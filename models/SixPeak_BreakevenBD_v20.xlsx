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E61FCB89-D2C1-4D6B-8862-79403B1A03BA}" xr6:coauthVersionLast="47" xr6:coauthVersionMax="47" xr10:uidLastSave="{00000000-0000-0000-0000-000000000000}"/>
  <bookViews>
    <workbookView xWindow="37650" yWindow="465" windowWidth="37995" windowHeight="19500" tabRatio="500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CF104" i="12"/>
  <c r="AZ104" i="12"/>
  <c r="AZ105" i="12" s="1"/>
  <c r="T104" i="12"/>
  <c r="CH103" i="12"/>
  <c r="CG103" i="12"/>
  <c r="J20" i="12" s="1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H104" i="12" s="1"/>
  <c r="BH105" i="12" s="1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J19" i="12" s="1"/>
  <c r="CG102" i="12"/>
  <c r="CF102" i="12"/>
  <c r="CE102" i="12"/>
  <c r="CD102" i="12"/>
  <c r="CC102" i="12"/>
  <c r="CC104" i="12" s="1"/>
  <c r="CB102" i="12"/>
  <c r="CA102" i="12"/>
  <c r="BZ102" i="12"/>
  <c r="BY102" i="12"/>
  <c r="BX102" i="12"/>
  <c r="BX104" i="12" s="1"/>
  <c r="BX105" i="12" s="1"/>
  <c r="BW102" i="12"/>
  <c r="BV102" i="12"/>
  <c r="BU102" i="12"/>
  <c r="BU104" i="12" s="1"/>
  <c r="BT102" i="12"/>
  <c r="BS102" i="12"/>
  <c r="BR102" i="12"/>
  <c r="BQ102" i="12"/>
  <c r="BP102" i="12"/>
  <c r="BP104" i="12" s="1"/>
  <c r="BO102" i="12"/>
  <c r="BN102" i="12"/>
  <c r="BM102" i="12"/>
  <c r="BM104" i="12" s="1"/>
  <c r="BL102" i="12"/>
  <c r="BK102" i="12"/>
  <c r="BJ102" i="12"/>
  <c r="BI102" i="12"/>
  <c r="BH102" i="12"/>
  <c r="BG102" i="12"/>
  <c r="BF102" i="12"/>
  <c r="BE102" i="12"/>
  <c r="BE104" i="12" s="1"/>
  <c r="BD102" i="12"/>
  <c r="BC102" i="12"/>
  <c r="BB102" i="12"/>
  <c r="BA102" i="12"/>
  <c r="AZ102" i="12"/>
  <c r="AY102" i="12"/>
  <c r="AX102" i="12"/>
  <c r="AW102" i="12"/>
  <c r="AW104" i="12" s="1"/>
  <c r="AV102" i="12"/>
  <c r="AU102" i="12"/>
  <c r="AT102" i="12"/>
  <c r="AS102" i="12"/>
  <c r="AR102" i="12"/>
  <c r="AR104" i="12" s="1"/>
  <c r="AR105" i="12" s="1"/>
  <c r="AQ102" i="12"/>
  <c r="AP102" i="12"/>
  <c r="AO102" i="12"/>
  <c r="AO104" i="12" s="1"/>
  <c r="AN102" i="12"/>
  <c r="AM102" i="12"/>
  <c r="AL102" i="12"/>
  <c r="AK102" i="12"/>
  <c r="AJ102" i="12"/>
  <c r="AJ104" i="12" s="1"/>
  <c r="AJ105" i="12" s="1"/>
  <c r="AI102" i="12"/>
  <c r="AH102" i="12"/>
  <c r="AG102" i="12"/>
  <c r="AG104" i="12" s="1"/>
  <c r="AF102" i="12"/>
  <c r="AE102" i="12"/>
  <c r="AD102" i="12"/>
  <c r="AC102" i="12"/>
  <c r="AB102" i="12"/>
  <c r="AB104" i="12" s="1"/>
  <c r="AA102" i="12"/>
  <c r="Z102" i="12"/>
  <c r="Y102" i="12"/>
  <c r="Y104" i="12" s="1"/>
  <c r="X102" i="12"/>
  <c r="W102" i="12"/>
  <c r="V102" i="12"/>
  <c r="U102" i="12"/>
  <c r="T102" i="12"/>
  <c r="S102" i="12"/>
  <c r="R102" i="12"/>
  <c r="Q102" i="12"/>
  <c r="Q104" i="12" s="1"/>
  <c r="P102" i="12"/>
  <c r="O102" i="12"/>
  <c r="N102" i="12"/>
  <c r="M102" i="12"/>
  <c r="L102" i="12"/>
  <c r="L104" i="12" s="1"/>
  <c r="L105" i="12" s="1"/>
  <c r="K102" i="12"/>
  <c r="J102" i="12"/>
  <c r="I102" i="12"/>
  <c r="I104" i="12" s="1"/>
  <c r="I106" i="12" s="1"/>
  <c r="H102" i="12"/>
  <c r="G102" i="12"/>
  <c r="F102" i="12"/>
  <c r="E102" i="12"/>
  <c r="D102" i="12"/>
  <c r="D104" i="12" s="1"/>
  <c r="D106" i="12" s="1"/>
  <c r="D107" i="12" s="1"/>
  <c r="C102" i="12"/>
  <c r="B102" i="12" s="1"/>
  <c r="B101" i="12"/>
  <c r="B100" i="12"/>
  <c r="B99" i="12"/>
  <c r="G47" i="12"/>
  <c r="G46" i="12"/>
  <c r="G45" i="12"/>
  <c r="G44" i="12"/>
  <c r="C22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H110" i="11"/>
  <c r="CG110" i="11"/>
  <c r="CF110" i="11"/>
  <c r="CE110" i="11"/>
  <c r="CD110" i="11"/>
  <c r="CC110" i="11"/>
  <c r="CB110" i="11"/>
  <c r="CA110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CH109" i="11"/>
  <c r="CG109" i="11"/>
  <c r="CF109" i="11"/>
  <c r="CE109" i="11"/>
  <c r="CD109" i="11"/>
  <c r="CC109" i="11"/>
  <c r="CB109" i="11"/>
  <c r="CA109" i="11"/>
  <c r="BZ109" i="11"/>
  <c r="BY109" i="11"/>
  <c r="BX109" i="11"/>
  <c r="BW109" i="11"/>
  <c r="BV109" i="11"/>
  <c r="BU109" i="11"/>
  <c r="BT109" i="11"/>
  <c r="BS109" i="11"/>
  <c r="BR109" i="11"/>
  <c r="BQ109" i="11"/>
  <c r="BP109" i="11"/>
  <c r="BO109" i="11"/>
  <c r="BN109" i="11"/>
  <c r="BM109" i="11"/>
  <c r="BL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CH108" i="11"/>
  <c r="CG108" i="11"/>
  <c r="CF108" i="11"/>
  <c r="CE108" i="11"/>
  <c r="CD108" i="11"/>
  <c r="CC108" i="11"/>
  <c r="CB108" i="11"/>
  <c r="CA108" i="11"/>
  <c r="BZ108" i="11"/>
  <c r="BY108" i="11"/>
  <c r="BX108" i="11"/>
  <c r="BW108" i="11"/>
  <c r="BV108" i="11"/>
  <c r="BU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AF100" i="11"/>
  <c r="AF10" i="2" s="1"/>
  <c r="AE100" i="11"/>
  <c r="AD100" i="11"/>
  <c r="AC100" i="11"/>
  <c r="AB100" i="11"/>
  <c r="AA100" i="11"/>
  <c r="Z100" i="11"/>
  <c r="Y100" i="11"/>
  <c r="X100" i="11"/>
  <c r="X10" i="2" s="1"/>
  <c r="I7" i="3" s="1"/>
  <c r="W100" i="11"/>
  <c r="V100" i="11"/>
  <c r="U100" i="11"/>
  <c r="T100" i="11"/>
  <c r="S100" i="11"/>
  <c r="R100" i="11"/>
  <c r="Q100" i="11"/>
  <c r="P100" i="11"/>
  <c r="P10" i="2" s="1"/>
  <c r="O100" i="11"/>
  <c r="N100" i="11"/>
  <c r="M100" i="11"/>
  <c r="L100" i="11"/>
  <c r="K100" i="11"/>
  <c r="J100" i="11"/>
  <c r="I100" i="11"/>
  <c r="H100" i="11"/>
  <c r="H10" i="2" s="1"/>
  <c r="B7" i="1" s="1"/>
  <c r="G100" i="11"/>
  <c r="F100" i="11"/>
  <c r="E100" i="11"/>
  <c r="D100" i="11"/>
  <c r="C100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5" i="11"/>
  <c r="C22" i="11"/>
  <c r="C23" i="11" s="1"/>
  <c r="C24" i="11" s="1"/>
  <c r="D22" i="11" s="1"/>
  <c r="C19" i="11"/>
  <c r="C20" i="11" s="1"/>
  <c r="C82" i="2" s="1"/>
  <c r="CH15" i="11"/>
  <c r="CG15" i="11"/>
  <c r="CF15" i="11"/>
  <c r="CF140" i="2" s="1"/>
  <c r="CE15" i="11"/>
  <c r="CD15" i="11"/>
  <c r="CC15" i="11"/>
  <c r="CB15" i="11"/>
  <c r="CA15" i="11"/>
  <c r="BZ15" i="11"/>
  <c r="BY15" i="11"/>
  <c r="BX15" i="11"/>
  <c r="BX140" i="2" s="1"/>
  <c r="BW15" i="11"/>
  <c r="BV15" i="11"/>
  <c r="BU15" i="11"/>
  <c r="BT15" i="11"/>
  <c r="BS15" i="11"/>
  <c r="BR15" i="11"/>
  <c r="BQ15" i="11"/>
  <c r="BP15" i="11"/>
  <c r="BP140" i="2" s="1"/>
  <c r="BO15" i="11"/>
  <c r="BN15" i="11"/>
  <c r="BM15" i="11"/>
  <c r="BL15" i="11"/>
  <c r="BK15" i="11"/>
  <c r="BJ15" i="11"/>
  <c r="BI15" i="11"/>
  <c r="BH15" i="11"/>
  <c r="BH140" i="2" s="1"/>
  <c r="BG15" i="11"/>
  <c r="BF15" i="11"/>
  <c r="BE15" i="11"/>
  <c r="BD15" i="11"/>
  <c r="BC15" i="11"/>
  <c r="BB15" i="11"/>
  <c r="BA15" i="11"/>
  <c r="AZ15" i="11"/>
  <c r="AZ140" i="2" s="1"/>
  <c r="AY15" i="11"/>
  <c r="AX15" i="11"/>
  <c r="AW15" i="11"/>
  <c r="AV15" i="11"/>
  <c r="AU15" i="11"/>
  <c r="AT15" i="11"/>
  <c r="AS15" i="11"/>
  <c r="AR15" i="11"/>
  <c r="AR140" i="2" s="1"/>
  <c r="AQ15" i="11"/>
  <c r="AP15" i="11"/>
  <c r="AO15" i="11"/>
  <c r="AN15" i="11"/>
  <c r="AM15" i="11"/>
  <c r="AL15" i="11"/>
  <c r="AK15" i="11"/>
  <c r="AJ15" i="11"/>
  <c r="AJ140" i="2" s="1"/>
  <c r="AI15" i="11"/>
  <c r="AH15" i="11"/>
  <c r="AG15" i="11"/>
  <c r="AF15" i="11"/>
  <c r="AE15" i="11"/>
  <c r="AD15" i="11"/>
  <c r="AC15" i="11"/>
  <c r="AB15" i="11"/>
  <c r="AB140" i="2" s="1"/>
  <c r="AA15" i="11"/>
  <c r="Z15" i="11"/>
  <c r="Y15" i="11"/>
  <c r="X15" i="11"/>
  <c r="W15" i="11"/>
  <c r="V15" i="11"/>
  <c r="U15" i="11"/>
  <c r="T15" i="11"/>
  <c r="T140" i="2" s="1"/>
  <c r="S15" i="11"/>
  <c r="R15" i="11"/>
  <c r="Q15" i="11"/>
  <c r="P15" i="11"/>
  <c r="O15" i="11"/>
  <c r="N15" i="11"/>
  <c r="M15" i="11"/>
  <c r="L15" i="11"/>
  <c r="L140" i="2" s="1"/>
  <c r="K15" i="11"/>
  <c r="J15" i="11"/>
  <c r="I15" i="11"/>
  <c r="H15" i="11"/>
  <c r="G15" i="11"/>
  <c r="F15" i="11"/>
  <c r="E15" i="11"/>
  <c r="D15" i="11"/>
  <c r="D140" i="2" s="1"/>
  <c r="C15" i="11"/>
  <c r="CH14" i="11"/>
  <c r="CG14" i="11"/>
  <c r="CF14" i="11"/>
  <c r="CE14" i="11"/>
  <c r="CD14" i="11"/>
  <c r="CC14" i="11"/>
  <c r="CB14" i="11"/>
  <c r="CB139" i="2" s="1"/>
  <c r="CA14" i="11"/>
  <c r="BZ14" i="11"/>
  <c r="BY14" i="11"/>
  <c r="BX14" i="11"/>
  <c r="BW14" i="11"/>
  <c r="BV14" i="11"/>
  <c r="BU14" i="11"/>
  <c r="BT14" i="11"/>
  <c r="BT139" i="2" s="1"/>
  <c r="BS14" i="11"/>
  <c r="BR14" i="11"/>
  <c r="BQ14" i="11"/>
  <c r="BP14" i="11"/>
  <c r="BO14" i="11"/>
  <c r="BN14" i="11"/>
  <c r="BM14" i="11"/>
  <c r="BL14" i="11"/>
  <c r="BL139" i="2" s="1"/>
  <c r="BK14" i="11"/>
  <c r="BJ14" i="11"/>
  <c r="BI14" i="11"/>
  <c r="BH14" i="11"/>
  <c r="BG14" i="11"/>
  <c r="BF14" i="11"/>
  <c r="BE14" i="11"/>
  <c r="BD14" i="11"/>
  <c r="BD139" i="2" s="1"/>
  <c r="BC14" i="11"/>
  <c r="BB14" i="11"/>
  <c r="BA14" i="11"/>
  <c r="AZ14" i="11"/>
  <c r="AY14" i="11"/>
  <c r="AX14" i="11"/>
  <c r="AW14" i="11"/>
  <c r="AV14" i="11"/>
  <c r="AV139" i="2" s="1"/>
  <c r="AU14" i="11"/>
  <c r="AT14" i="11"/>
  <c r="AS14" i="11"/>
  <c r="AR14" i="11"/>
  <c r="AQ14" i="11"/>
  <c r="AP14" i="11"/>
  <c r="AO14" i="11"/>
  <c r="AN14" i="11"/>
  <c r="AN139" i="2" s="1"/>
  <c r="AM14" i="11"/>
  <c r="AL14" i="11"/>
  <c r="AK14" i="11"/>
  <c r="AJ14" i="11"/>
  <c r="AI14" i="11"/>
  <c r="AH14" i="11"/>
  <c r="AG14" i="11"/>
  <c r="AF14" i="11"/>
  <c r="AF139" i="2" s="1"/>
  <c r="AE14" i="11"/>
  <c r="AD14" i="11"/>
  <c r="AC14" i="11"/>
  <c r="AB14" i="11"/>
  <c r="AA14" i="11"/>
  <c r="Z14" i="11"/>
  <c r="Y14" i="11"/>
  <c r="X14" i="11"/>
  <c r="X139" i="2" s="1"/>
  <c r="W14" i="11"/>
  <c r="V14" i="11"/>
  <c r="U14" i="11"/>
  <c r="T14" i="11"/>
  <c r="S14" i="11"/>
  <c r="R14" i="11"/>
  <c r="Q14" i="11"/>
  <c r="P14" i="11"/>
  <c r="P139" i="2" s="1"/>
  <c r="O14" i="11"/>
  <c r="N14" i="11"/>
  <c r="M14" i="11"/>
  <c r="L14" i="11"/>
  <c r="K14" i="11"/>
  <c r="J14" i="11"/>
  <c r="I14" i="11"/>
  <c r="H14" i="11"/>
  <c r="H139" i="2" s="1"/>
  <c r="G14" i="11"/>
  <c r="F14" i="11"/>
  <c r="E14" i="11"/>
  <c r="D14" i="11"/>
  <c r="C14" i="11"/>
  <c r="CH13" i="11"/>
  <c r="CG13" i="11"/>
  <c r="CF13" i="11"/>
  <c r="CF138" i="2" s="1"/>
  <c r="CE13" i="11"/>
  <c r="CD13" i="11"/>
  <c r="CC13" i="11"/>
  <c r="CB13" i="11"/>
  <c r="CA13" i="11"/>
  <c r="BZ13" i="11"/>
  <c r="BY13" i="11"/>
  <c r="BX13" i="11"/>
  <c r="BX138" i="2" s="1"/>
  <c r="BW13" i="11"/>
  <c r="BV13" i="11"/>
  <c r="BU13" i="11"/>
  <c r="BT13" i="11"/>
  <c r="BS13" i="11"/>
  <c r="BR13" i="11"/>
  <c r="BQ13" i="11"/>
  <c r="BP13" i="11"/>
  <c r="BP138" i="2" s="1"/>
  <c r="BO13" i="11"/>
  <c r="BN13" i="11"/>
  <c r="BM13" i="11"/>
  <c r="BL13" i="11"/>
  <c r="BK13" i="11"/>
  <c r="BJ13" i="11"/>
  <c r="BI13" i="11"/>
  <c r="BH13" i="11"/>
  <c r="BH138" i="2" s="1"/>
  <c r="BG13" i="11"/>
  <c r="BF13" i="11"/>
  <c r="BE13" i="11"/>
  <c r="BD13" i="11"/>
  <c r="BC13" i="11"/>
  <c r="BB13" i="11"/>
  <c r="BA13" i="11"/>
  <c r="AZ13" i="11"/>
  <c r="AZ138" i="2" s="1"/>
  <c r="AY13" i="11"/>
  <c r="AX13" i="11"/>
  <c r="AW13" i="11"/>
  <c r="AV13" i="11"/>
  <c r="AU13" i="11"/>
  <c r="AT13" i="11"/>
  <c r="AS13" i="11"/>
  <c r="AR13" i="11"/>
  <c r="AR138" i="2" s="1"/>
  <c r="AQ13" i="11"/>
  <c r="AP13" i="11"/>
  <c r="AO13" i="11"/>
  <c r="AN13" i="11"/>
  <c r="AM13" i="11"/>
  <c r="AL13" i="11"/>
  <c r="AK13" i="11"/>
  <c r="AJ13" i="11"/>
  <c r="AJ138" i="2" s="1"/>
  <c r="AI13" i="11"/>
  <c r="AH13" i="11"/>
  <c r="AG13" i="11"/>
  <c r="AF13" i="11"/>
  <c r="AE13" i="11"/>
  <c r="AD13" i="11"/>
  <c r="AC13" i="11"/>
  <c r="AB13" i="11"/>
  <c r="AB138" i="2" s="1"/>
  <c r="AA13" i="11"/>
  <c r="Z13" i="11"/>
  <c r="Y13" i="11"/>
  <c r="X13" i="11"/>
  <c r="W13" i="11"/>
  <c r="V13" i="11"/>
  <c r="U13" i="11"/>
  <c r="T13" i="11"/>
  <c r="T138" i="2" s="1"/>
  <c r="S13" i="11"/>
  <c r="R13" i="11"/>
  <c r="Q13" i="11"/>
  <c r="P13" i="11"/>
  <c r="O13" i="11"/>
  <c r="N13" i="11"/>
  <c r="M13" i="11"/>
  <c r="L13" i="11"/>
  <c r="L138" i="2" s="1"/>
  <c r="K13" i="11"/>
  <c r="J13" i="11"/>
  <c r="I13" i="11"/>
  <c r="H13" i="11"/>
  <c r="G13" i="11"/>
  <c r="F13" i="11"/>
  <c r="E13" i="11"/>
  <c r="D13" i="11"/>
  <c r="D138" i="2" s="1"/>
  <c r="C13" i="11"/>
  <c r="CH12" i="11"/>
  <c r="CG12" i="11"/>
  <c r="CF12" i="11"/>
  <c r="CE12" i="11"/>
  <c r="CD12" i="11"/>
  <c r="CC12" i="11"/>
  <c r="CB12" i="11"/>
  <c r="CB137" i="2" s="1"/>
  <c r="CA12" i="11"/>
  <c r="BZ12" i="11"/>
  <c r="BY12" i="11"/>
  <c r="BX12" i="11"/>
  <c r="BW12" i="11"/>
  <c r="BV12" i="11"/>
  <c r="BU12" i="11"/>
  <c r="BT12" i="11"/>
  <c r="BT137" i="2" s="1"/>
  <c r="BS12" i="11"/>
  <c r="BR12" i="11"/>
  <c r="BQ12" i="11"/>
  <c r="BP12" i="11"/>
  <c r="BO12" i="11"/>
  <c r="BN12" i="11"/>
  <c r="BM12" i="11"/>
  <c r="BL12" i="11"/>
  <c r="BL137" i="2" s="1"/>
  <c r="BK12" i="11"/>
  <c r="BJ12" i="11"/>
  <c r="BI12" i="11"/>
  <c r="BH12" i="11"/>
  <c r="BG12" i="11"/>
  <c r="BF12" i="11"/>
  <c r="BE12" i="11"/>
  <c r="BD12" i="11"/>
  <c r="BD137" i="2" s="1"/>
  <c r="BC12" i="11"/>
  <c r="BB12" i="11"/>
  <c r="BA12" i="11"/>
  <c r="AZ12" i="11"/>
  <c r="AY12" i="11"/>
  <c r="AX12" i="11"/>
  <c r="AW12" i="11"/>
  <c r="AV12" i="11"/>
  <c r="AV137" i="2" s="1"/>
  <c r="AU12" i="11"/>
  <c r="AT12" i="11"/>
  <c r="AS12" i="11"/>
  <c r="AR12" i="11"/>
  <c r="AQ12" i="11"/>
  <c r="AP12" i="11"/>
  <c r="AO12" i="11"/>
  <c r="AN12" i="11"/>
  <c r="AN137" i="2" s="1"/>
  <c r="AM12" i="11"/>
  <c r="AL12" i="11"/>
  <c r="AK12" i="11"/>
  <c r="AJ12" i="11"/>
  <c r="AI12" i="11"/>
  <c r="AH12" i="11"/>
  <c r="AG12" i="11"/>
  <c r="AF12" i="11"/>
  <c r="AF137" i="2" s="1"/>
  <c r="AE12" i="11"/>
  <c r="AD12" i="11"/>
  <c r="AC12" i="11"/>
  <c r="AB12" i="11"/>
  <c r="AA12" i="11"/>
  <c r="Z12" i="11"/>
  <c r="Y12" i="11"/>
  <c r="X12" i="11"/>
  <c r="X137" i="2" s="1"/>
  <c r="W12" i="11"/>
  <c r="V12" i="11"/>
  <c r="U12" i="11"/>
  <c r="T12" i="11"/>
  <c r="S12" i="11"/>
  <c r="R12" i="11"/>
  <c r="Q12" i="11"/>
  <c r="P12" i="11"/>
  <c r="P137" i="2" s="1"/>
  <c r="O12" i="11"/>
  <c r="N12" i="11"/>
  <c r="M12" i="11"/>
  <c r="L12" i="11"/>
  <c r="K12" i="11"/>
  <c r="J12" i="11"/>
  <c r="I12" i="11"/>
  <c r="H12" i="11"/>
  <c r="H137" i="2" s="1"/>
  <c r="G12" i="11"/>
  <c r="F12" i="11"/>
  <c r="E12" i="11"/>
  <c r="D12" i="11"/>
  <c r="C12" i="11"/>
  <c r="CH11" i="11"/>
  <c r="CG11" i="11"/>
  <c r="CF11" i="11"/>
  <c r="CF136" i="2" s="1"/>
  <c r="CE11" i="11"/>
  <c r="CD11" i="11"/>
  <c r="CC11" i="11"/>
  <c r="CB11" i="11"/>
  <c r="CA11" i="11"/>
  <c r="BZ11" i="11"/>
  <c r="BY11" i="11"/>
  <c r="BX11" i="11"/>
  <c r="BX136" i="2" s="1"/>
  <c r="BW11" i="11"/>
  <c r="BV11" i="11"/>
  <c r="BU11" i="11"/>
  <c r="BT11" i="11"/>
  <c r="BS11" i="11"/>
  <c r="BR11" i="11"/>
  <c r="BQ11" i="11"/>
  <c r="BP11" i="11"/>
  <c r="BP136" i="2" s="1"/>
  <c r="BO11" i="11"/>
  <c r="BN11" i="11"/>
  <c r="BM11" i="11"/>
  <c r="BL11" i="11"/>
  <c r="BK11" i="11"/>
  <c r="BJ11" i="11"/>
  <c r="BI11" i="11"/>
  <c r="BH11" i="11"/>
  <c r="BH136" i="2" s="1"/>
  <c r="BG11" i="11"/>
  <c r="BF11" i="11"/>
  <c r="BE11" i="11"/>
  <c r="BD11" i="11"/>
  <c r="BC11" i="11"/>
  <c r="BB11" i="11"/>
  <c r="BA11" i="11"/>
  <c r="AZ11" i="11"/>
  <c r="AZ136" i="2" s="1"/>
  <c r="AY11" i="11"/>
  <c r="AX11" i="11"/>
  <c r="AW11" i="11"/>
  <c r="AV11" i="11"/>
  <c r="AU11" i="11"/>
  <c r="AT11" i="11"/>
  <c r="AS11" i="11"/>
  <c r="AR11" i="11"/>
  <c r="AR136" i="2" s="1"/>
  <c r="AQ11" i="11"/>
  <c r="AP11" i="11"/>
  <c r="AO11" i="11"/>
  <c r="AN11" i="11"/>
  <c r="AM11" i="11"/>
  <c r="AL11" i="11"/>
  <c r="AK11" i="11"/>
  <c r="AJ11" i="11"/>
  <c r="AJ136" i="2" s="1"/>
  <c r="AI11" i="11"/>
  <c r="AH11" i="11"/>
  <c r="AG11" i="11"/>
  <c r="AF11" i="11"/>
  <c r="AE11" i="11"/>
  <c r="AD11" i="11"/>
  <c r="AC11" i="11"/>
  <c r="AB11" i="11"/>
  <c r="AB136" i="2" s="1"/>
  <c r="AA11" i="11"/>
  <c r="Z11" i="11"/>
  <c r="Y11" i="11"/>
  <c r="X11" i="11"/>
  <c r="W11" i="11"/>
  <c r="V11" i="11"/>
  <c r="U11" i="11"/>
  <c r="T11" i="11"/>
  <c r="T136" i="2" s="1"/>
  <c r="S11" i="11"/>
  <c r="R11" i="11"/>
  <c r="Q11" i="11"/>
  <c r="P11" i="11"/>
  <c r="O11" i="11"/>
  <c r="N11" i="11"/>
  <c r="M11" i="11"/>
  <c r="L11" i="11"/>
  <c r="L136" i="2" s="1"/>
  <c r="K11" i="11"/>
  <c r="J11" i="11"/>
  <c r="I11" i="11"/>
  <c r="H11" i="11"/>
  <c r="G11" i="11"/>
  <c r="F11" i="11"/>
  <c r="E11" i="11"/>
  <c r="D11" i="11"/>
  <c r="D136" i="2" s="1"/>
  <c r="C11" i="11"/>
  <c r="CH10" i="11"/>
  <c r="CG10" i="11"/>
  <c r="CF10" i="11"/>
  <c r="CE10" i="11"/>
  <c r="CD10" i="11"/>
  <c r="CC10" i="11"/>
  <c r="CB10" i="11"/>
  <c r="CB135" i="2" s="1"/>
  <c r="CA10" i="11"/>
  <c r="BZ10" i="11"/>
  <c r="BY10" i="11"/>
  <c r="BX10" i="11"/>
  <c r="BW10" i="11"/>
  <c r="BV10" i="11"/>
  <c r="BU10" i="11"/>
  <c r="BT10" i="11"/>
  <c r="BT135" i="2" s="1"/>
  <c r="BS10" i="11"/>
  <c r="BR10" i="11"/>
  <c r="BQ10" i="11"/>
  <c r="BP10" i="11"/>
  <c r="BO10" i="11"/>
  <c r="BN10" i="11"/>
  <c r="BM10" i="11"/>
  <c r="BL10" i="11"/>
  <c r="BL135" i="2" s="1"/>
  <c r="BK10" i="11"/>
  <c r="BJ10" i="11"/>
  <c r="BI10" i="11"/>
  <c r="BH10" i="11"/>
  <c r="BG10" i="11"/>
  <c r="BF10" i="11"/>
  <c r="BE10" i="11"/>
  <c r="BD10" i="11"/>
  <c r="BD135" i="2" s="1"/>
  <c r="BC10" i="11"/>
  <c r="BB10" i="11"/>
  <c r="BA10" i="11"/>
  <c r="AZ10" i="11"/>
  <c r="AY10" i="11"/>
  <c r="AX10" i="11"/>
  <c r="AW10" i="11"/>
  <c r="AV10" i="11"/>
  <c r="AV135" i="2" s="1"/>
  <c r="AU10" i="11"/>
  <c r="AT10" i="11"/>
  <c r="AS10" i="11"/>
  <c r="AR10" i="11"/>
  <c r="AQ10" i="11"/>
  <c r="AP10" i="11"/>
  <c r="AO10" i="11"/>
  <c r="AN10" i="11"/>
  <c r="AN135" i="2" s="1"/>
  <c r="AM10" i="11"/>
  <c r="AL10" i="11"/>
  <c r="AK10" i="11"/>
  <c r="AJ10" i="11"/>
  <c r="AI10" i="11"/>
  <c r="AH10" i="11"/>
  <c r="AG10" i="11"/>
  <c r="AF10" i="11"/>
  <c r="AF135" i="2" s="1"/>
  <c r="AE10" i="11"/>
  <c r="AD10" i="11"/>
  <c r="AC10" i="11"/>
  <c r="AB10" i="11"/>
  <c r="AA10" i="11"/>
  <c r="Z10" i="11"/>
  <c r="Y10" i="11"/>
  <c r="X10" i="11"/>
  <c r="X135" i="2" s="1"/>
  <c r="W10" i="11"/>
  <c r="V10" i="11"/>
  <c r="U10" i="11"/>
  <c r="T10" i="11"/>
  <c r="S10" i="11"/>
  <c r="R10" i="11"/>
  <c r="Q10" i="11"/>
  <c r="P10" i="11"/>
  <c r="P135" i="2" s="1"/>
  <c r="O10" i="11"/>
  <c r="N10" i="11"/>
  <c r="M10" i="11"/>
  <c r="L10" i="11"/>
  <c r="K10" i="11"/>
  <c r="J10" i="11"/>
  <c r="I10" i="11"/>
  <c r="H10" i="11"/>
  <c r="H135" i="2" s="1"/>
  <c r="G10" i="11"/>
  <c r="F10" i="11"/>
  <c r="E10" i="11"/>
  <c r="D10" i="11"/>
  <c r="C10" i="11"/>
  <c r="CH9" i="11"/>
  <c r="CG9" i="11"/>
  <c r="CF9" i="11"/>
  <c r="CF134" i="2" s="1"/>
  <c r="CE9" i="11"/>
  <c r="CD9" i="11"/>
  <c r="CC9" i="11"/>
  <c r="CB9" i="11"/>
  <c r="CA9" i="11"/>
  <c r="BZ9" i="11"/>
  <c r="BY9" i="11"/>
  <c r="BX9" i="11"/>
  <c r="BX134" i="2" s="1"/>
  <c r="BW9" i="11"/>
  <c r="BV9" i="11"/>
  <c r="BU9" i="11"/>
  <c r="BT9" i="11"/>
  <c r="BS9" i="11"/>
  <c r="BR9" i="11"/>
  <c r="BQ9" i="11"/>
  <c r="BP9" i="11"/>
  <c r="BP134" i="2" s="1"/>
  <c r="BO9" i="11"/>
  <c r="BN9" i="11"/>
  <c r="BM9" i="11"/>
  <c r="BL9" i="11"/>
  <c r="BK9" i="11"/>
  <c r="BJ9" i="11"/>
  <c r="BI9" i="11"/>
  <c r="BH9" i="11"/>
  <c r="BH134" i="2" s="1"/>
  <c r="BG9" i="11"/>
  <c r="BF9" i="11"/>
  <c r="BE9" i="11"/>
  <c r="BD9" i="11"/>
  <c r="BC9" i="11"/>
  <c r="BB9" i="11"/>
  <c r="BA9" i="11"/>
  <c r="AZ9" i="11"/>
  <c r="AZ134" i="2" s="1"/>
  <c r="AY9" i="11"/>
  <c r="AX9" i="11"/>
  <c r="AW9" i="11"/>
  <c r="AV9" i="11"/>
  <c r="AU9" i="11"/>
  <c r="AT9" i="11"/>
  <c r="AS9" i="11"/>
  <c r="AR9" i="11"/>
  <c r="AR134" i="2" s="1"/>
  <c r="AQ9" i="11"/>
  <c r="AP9" i="11"/>
  <c r="AO9" i="11"/>
  <c r="AN9" i="11"/>
  <c r="AM9" i="11"/>
  <c r="AL9" i="11"/>
  <c r="AK9" i="11"/>
  <c r="AJ9" i="11"/>
  <c r="AJ134" i="2" s="1"/>
  <c r="AI9" i="11"/>
  <c r="AH9" i="11"/>
  <c r="AG9" i="11"/>
  <c r="AF9" i="11"/>
  <c r="AE9" i="11"/>
  <c r="AD9" i="11"/>
  <c r="AC9" i="11"/>
  <c r="AB9" i="11"/>
  <c r="AB134" i="2" s="1"/>
  <c r="AA9" i="11"/>
  <c r="Z9" i="11"/>
  <c r="Y9" i="11"/>
  <c r="X9" i="11"/>
  <c r="W9" i="11"/>
  <c r="V9" i="11"/>
  <c r="U9" i="11"/>
  <c r="T9" i="11"/>
  <c r="T134" i="2" s="1"/>
  <c r="S9" i="11"/>
  <c r="R9" i="11"/>
  <c r="Q9" i="11"/>
  <c r="P9" i="11"/>
  <c r="O9" i="11"/>
  <c r="N9" i="11"/>
  <c r="M9" i="11"/>
  <c r="L9" i="11"/>
  <c r="L134" i="2" s="1"/>
  <c r="K9" i="11"/>
  <c r="J9" i="11"/>
  <c r="I9" i="11"/>
  <c r="H9" i="11"/>
  <c r="G9" i="11"/>
  <c r="F9" i="11"/>
  <c r="E9" i="11"/>
  <c r="D9" i="11"/>
  <c r="D134" i="2" s="1"/>
  <c r="C9" i="11"/>
  <c r="CH8" i="11"/>
  <c r="CH16" i="11" s="1"/>
  <c r="CG8" i="11"/>
  <c r="CG16" i="11" s="1"/>
  <c r="CF8" i="11"/>
  <c r="CE8" i="11"/>
  <c r="CE16" i="11" s="1"/>
  <c r="CD8" i="11"/>
  <c r="CD16" i="11" s="1"/>
  <c r="CC8" i="11"/>
  <c r="CC16" i="11" s="1"/>
  <c r="CB8" i="11"/>
  <c r="CB133" i="2" s="1"/>
  <c r="CA8" i="11"/>
  <c r="BZ8" i="11"/>
  <c r="BZ16" i="11" s="1"/>
  <c r="BY8" i="11"/>
  <c r="BY16" i="11" s="1"/>
  <c r="BX8" i="11"/>
  <c r="BW8" i="11"/>
  <c r="BW16" i="11" s="1"/>
  <c r="BV8" i="11"/>
  <c r="BV16" i="11" s="1"/>
  <c r="BU8" i="11"/>
  <c r="BU16" i="11" s="1"/>
  <c r="BT8" i="11"/>
  <c r="BT133" i="2" s="1"/>
  <c r="BS8" i="11"/>
  <c r="BR8" i="11"/>
  <c r="BR16" i="11" s="1"/>
  <c r="BQ8" i="11"/>
  <c r="BQ16" i="11" s="1"/>
  <c r="BP8" i="11"/>
  <c r="BO8" i="11"/>
  <c r="BO16" i="11" s="1"/>
  <c r="BN8" i="11"/>
  <c r="BN16" i="11" s="1"/>
  <c r="BM8" i="11"/>
  <c r="BM16" i="11" s="1"/>
  <c r="BL8" i="11"/>
  <c r="BK8" i="11"/>
  <c r="BJ8" i="11"/>
  <c r="BJ16" i="11" s="1"/>
  <c r="BI8" i="11"/>
  <c r="BI16" i="11" s="1"/>
  <c r="BH8" i="11"/>
  <c r="BG8" i="11"/>
  <c r="BG16" i="11" s="1"/>
  <c r="BF8" i="11"/>
  <c r="BF16" i="11" s="1"/>
  <c r="BE8" i="11"/>
  <c r="BE16" i="11" s="1"/>
  <c r="BD8" i="11"/>
  <c r="BD133" i="2" s="1"/>
  <c r="BC8" i="11"/>
  <c r="BB8" i="11"/>
  <c r="BB16" i="11" s="1"/>
  <c r="BA8" i="11"/>
  <c r="BA16" i="11" s="1"/>
  <c r="AZ8" i="11"/>
  <c r="AY8" i="11"/>
  <c r="AY16" i="11" s="1"/>
  <c r="AX8" i="11"/>
  <c r="AX16" i="11" s="1"/>
  <c r="AW8" i="11"/>
  <c r="AW16" i="11" s="1"/>
  <c r="AV8" i="11"/>
  <c r="AV133" i="2" s="1"/>
  <c r="AU8" i="11"/>
  <c r="AT8" i="11"/>
  <c r="AT16" i="11" s="1"/>
  <c r="AS8" i="11"/>
  <c r="AS16" i="11" s="1"/>
  <c r="AR8" i="11"/>
  <c r="AQ8" i="11"/>
  <c r="AQ16" i="11" s="1"/>
  <c r="AP8" i="11"/>
  <c r="AP16" i="11" s="1"/>
  <c r="AO8" i="11"/>
  <c r="AO16" i="11" s="1"/>
  <c r="AN8" i="11"/>
  <c r="AN133" i="2" s="1"/>
  <c r="AM8" i="11"/>
  <c r="AL8" i="11"/>
  <c r="AL16" i="11" s="1"/>
  <c r="AK8" i="11"/>
  <c r="AK16" i="11" s="1"/>
  <c r="AJ8" i="11"/>
  <c r="AI8" i="11"/>
  <c r="AI16" i="11" s="1"/>
  <c r="AH8" i="11"/>
  <c r="AH16" i="11" s="1"/>
  <c r="AG8" i="11"/>
  <c r="AG16" i="11" s="1"/>
  <c r="AF8" i="11"/>
  <c r="AF133" i="2" s="1"/>
  <c r="AE8" i="11"/>
  <c r="AD8" i="11"/>
  <c r="AD16" i="11" s="1"/>
  <c r="AC8" i="11"/>
  <c r="AC16" i="11" s="1"/>
  <c r="AB8" i="11"/>
  <c r="AA8" i="11"/>
  <c r="AA16" i="11" s="1"/>
  <c r="Z8" i="11"/>
  <c r="Z16" i="11" s="1"/>
  <c r="Y8" i="11"/>
  <c r="Y16" i="11" s="1"/>
  <c r="X8" i="11"/>
  <c r="X133" i="2" s="1"/>
  <c r="W8" i="11"/>
  <c r="V8" i="11"/>
  <c r="V16" i="11" s="1"/>
  <c r="U8" i="11"/>
  <c r="U16" i="11" s="1"/>
  <c r="T8" i="11"/>
  <c r="S8" i="11"/>
  <c r="S16" i="11" s="1"/>
  <c r="R8" i="11"/>
  <c r="R16" i="11" s="1"/>
  <c r="Q8" i="11"/>
  <c r="Q16" i="11" s="1"/>
  <c r="P8" i="11"/>
  <c r="P133" i="2" s="1"/>
  <c r="O8" i="11"/>
  <c r="N8" i="11"/>
  <c r="N16" i="11" s="1"/>
  <c r="M8" i="11"/>
  <c r="M16" i="11" s="1"/>
  <c r="L8" i="11"/>
  <c r="K8" i="11"/>
  <c r="K16" i="11" s="1"/>
  <c r="J8" i="11"/>
  <c r="J16" i="11" s="1"/>
  <c r="I8" i="11"/>
  <c r="I16" i="11" s="1"/>
  <c r="H8" i="11"/>
  <c r="H133" i="2" s="1"/>
  <c r="G8" i="11"/>
  <c r="F8" i="11"/>
  <c r="F16" i="11" s="1"/>
  <c r="E8" i="11"/>
  <c r="E16" i="11" s="1"/>
  <c r="D8" i="11"/>
  <c r="C8" i="11"/>
  <c r="C16" i="11" s="1"/>
  <c r="B85" i="10"/>
  <c r="B84" i="10"/>
  <c r="B83" i="10"/>
  <c r="CF31" i="2" s="1"/>
  <c r="B82" i="10"/>
  <c r="B81" i="10"/>
  <c r="B80" i="10"/>
  <c r="B79" i="10"/>
  <c r="B78" i="10"/>
  <c r="CA30" i="2" s="1"/>
  <c r="B77" i="10"/>
  <c r="B76" i="10"/>
  <c r="B75" i="10"/>
  <c r="B74" i="10"/>
  <c r="B73" i="10"/>
  <c r="B72" i="10"/>
  <c r="B71" i="10"/>
  <c r="B70" i="10"/>
  <c r="BS76" i="2" s="1"/>
  <c r="B69" i="10"/>
  <c r="B68" i="10"/>
  <c r="B67" i="10"/>
  <c r="B66" i="10"/>
  <c r="B65" i="10"/>
  <c r="B64" i="10"/>
  <c r="B63" i="10"/>
  <c r="B62" i="10"/>
  <c r="BK37" i="2" s="1"/>
  <c r="B61" i="10"/>
  <c r="B60" i="10"/>
  <c r="B59" i="10"/>
  <c r="BH36" i="2" s="1"/>
  <c r="B58" i="10"/>
  <c r="B57" i="10"/>
  <c r="B56" i="10"/>
  <c r="B55" i="10"/>
  <c r="B54" i="10"/>
  <c r="BC76" i="2" s="1"/>
  <c r="B53" i="10"/>
  <c r="B52" i="10"/>
  <c r="B51" i="10"/>
  <c r="B50" i="10"/>
  <c r="B49" i="10"/>
  <c r="B48" i="10"/>
  <c r="B47" i="10"/>
  <c r="B46" i="10"/>
  <c r="AU28" i="2" s="1"/>
  <c r="B45" i="10"/>
  <c r="B44" i="10"/>
  <c r="B43" i="10"/>
  <c r="AR28" i="2" s="1"/>
  <c r="B42" i="10"/>
  <c r="B41" i="10"/>
  <c r="B40" i="10"/>
  <c r="B39" i="10"/>
  <c r="B38" i="10"/>
  <c r="AM28" i="2" s="1"/>
  <c r="B37" i="10"/>
  <c r="B36" i="10"/>
  <c r="B35" i="10"/>
  <c r="AJ29" i="2" s="1"/>
  <c r="B34" i="10"/>
  <c r="B33" i="10"/>
  <c r="B32" i="10"/>
  <c r="B31" i="10"/>
  <c r="B30" i="10"/>
  <c r="AE26" i="2" s="1"/>
  <c r="B29" i="10"/>
  <c r="B28" i="10"/>
  <c r="B27" i="10"/>
  <c r="B26" i="10"/>
  <c r="B25" i="10"/>
  <c r="B24" i="10"/>
  <c r="B23" i="10"/>
  <c r="B22" i="10"/>
  <c r="W37" i="2" s="1"/>
  <c r="B21" i="10"/>
  <c r="B20" i="10"/>
  <c r="B19" i="10"/>
  <c r="T31" i="2" s="1"/>
  <c r="B18" i="10"/>
  <c r="B17" i="10"/>
  <c r="B16" i="10"/>
  <c r="B15" i="10"/>
  <c r="B14" i="10"/>
  <c r="O72" i="2" s="1"/>
  <c r="B13" i="10"/>
  <c r="B12" i="10"/>
  <c r="B11" i="10"/>
  <c r="B10" i="10"/>
  <c r="B9" i="10"/>
  <c r="B8" i="10"/>
  <c r="B7" i="10"/>
  <c r="B6" i="10"/>
  <c r="G26" i="2" s="1"/>
  <c r="B5" i="10"/>
  <c r="B4" i="10"/>
  <c r="B3" i="10"/>
  <c r="D33" i="2" s="1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12" i="7" s="1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E22" i="4"/>
  <c r="BO22" i="4"/>
  <c r="AY22" i="4"/>
  <c r="AI22" i="4"/>
  <c r="H21" i="4"/>
  <c r="CH20" i="4"/>
  <c r="CH22" i="4" s="1"/>
  <c r="CG20" i="4"/>
  <c r="CG22" i="4" s="1"/>
  <c r="CF20" i="4"/>
  <c r="CF22" i="4" s="1"/>
  <c r="CE20" i="4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X22" i="4" s="1"/>
  <c r="BW20" i="4"/>
  <c r="BW22" i="4" s="1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H22" i="4" s="1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F22" i="4" s="1"/>
  <c r="E20" i="4"/>
  <c r="E22" i="4" s="1"/>
  <c r="D20" i="4"/>
  <c r="D22" i="4" s="1"/>
  <c r="C20" i="4"/>
  <c r="C22" i="4" s="1"/>
  <c r="C23" i="4" s="1"/>
  <c r="CD16" i="4"/>
  <c r="BU16" i="4"/>
  <c r="BN16" i="4"/>
  <c r="BE16" i="4"/>
  <c r="AX16" i="4"/>
  <c r="AO16" i="4"/>
  <c r="AH16" i="4"/>
  <c r="F16" i="4"/>
  <c r="G15" i="4"/>
  <c r="CH14" i="4"/>
  <c r="CH16" i="4" s="1"/>
  <c r="CG14" i="4"/>
  <c r="CG16" i="4" s="1"/>
  <c r="CF14" i="4"/>
  <c r="CF16" i="4" s="1"/>
  <c r="CE14" i="4"/>
  <c r="CE16" i="4" s="1"/>
  <c r="CD14" i="4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E14" i="4"/>
  <c r="E16" i="4" s="1"/>
  <c r="D14" i="4"/>
  <c r="D16" i="4" s="1"/>
  <c r="C14" i="4"/>
  <c r="C16" i="4" s="1"/>
  <c r="C17" i="4" s="1"/>
  <c r="BS10" i="4"/>
  <c r="AM10" i="4"/>
  <c r="AE10" i="4"/>
  <c r="AA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D9" i="4"/>
  <c r="AD10" i="4" s="1"/>
  <c r="AB9" i="4"/>
  <c r="AB10" i="4" s="1"/>
  <c r="AA9" i="4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BU5" i="4"/>
  <c r="BE5" i="4"/>
  <c r="AU5" i="4"/>
  <c r="AG5" i="4"/>
  <c r="W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C5" i="4" s="1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T4" i="4"/>
  <c r="BT5" i="4" s="1"/>
  <c r="BS4" i="4"/>
  <c r="BS5" i="4" s="1"/>
  <c r="BR4" i="4"/>
  <c r="BR5" i="4" s="1"/>
  <c r="BQ4" i="4"/>
  <c r="BQ5" i="4" s="1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F5" i="4" s="1"/>
  <c r="BE4" i="4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T4" i="4"/>
  <c r="AT5" i="4" s="1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159" i="2" s="1"/>
  <c r="CH140" i="2"/>
  <c r="CG140" i="2"/>
  <c r="CE140" i="2"/>
  <c r="CD140" i="2"/>
  <c r="CC140" i="2"/>
  <c r="CB140" i="2"/>
  <c r="CA140" i="2"/>
  <c r="BZ140" i="2"/>
  <c r="BY140" i="2"/>
  <c r="BW140" i="2"/>
  <c r="BV140" i="2"/>
  <c r="BU140" i="2"/>
  <c r="BT140" i="2"/>
  <c r="BS140" i="2"/>
  <c r="BR140" i="2"/>
  <c r="BQ140" i="2"/>
  <c r="BO140" i="2"/>
  <c r="BN140" i="2"/>
  <c r="BM140" i="2"/>
  <c r="BL140" i="2"/>
  <c r="BK140" i="2"/>
  <c r="BJ140" i="2"/>
  <c r="BI140" i="2"/>
  <c r="BG140" i="2"/>
  <c r="BF140" i="2"/>
  <c r="BE140" i="2"/>
  <c r="BD140" i="2"/>
  <c r="BC140" i="2"/>
  <c r="BB140" i="2"/>
  <c r="BA140" i="2"/>
  <c r="AY140" i="2"/>
  <c r="AX140" i="2"/>
  <c r="AW140" i="2"/>
  <c r="AV140" i="2"/>
  <c r="AU140" i="2"/>
  <c r="AT140" i="2"/>
  <c r="AS140" i="2"/>
  <c r="AQ140" i="2"/>
  <c r="AP140" i="2"/>
  <c r="AO140" i="2"/>
  <c r="AN140" i="2"/>
  <c r="AM140" i="2"/>
  <c r="AL140" i="2"/>
  <c r="AK140" i="2"/>
  <c r="AI140" i="2"/>
  <c r="AH140" i="2"/>
  <c r="AG140" i="2"/>
  <c r="AF140" i="2"/>
  <c r="AE140" i="2"/>
  <c r="AD140" i="2"/>
  <c r="AC140" i="2"/>
  <c r="AA140" i="2"/>
  <c r="Z140" i="2"/>
  <c r="Y140" i="2"/>
  <c r="X140" i="2"/>
  <c r="W140" i="2"/>
  <c r="V140" i="2"/>
  <c r="U140" i="2"/>
  <c r="S140" i="2"/>
  <c r="R140" i="2"/>
  <c r="Q140" i="2"/>
  <c r="P140" i="2"/>
  <c r="O140" i="2"/>
  <c r="N140" i="2"/>
  <c r="M140" i="2"/>
  <c r="K140" i="2"/>
  <c r="J140" i="2"/>
  <c r="I140" i="2"/>
  <c r="H140" i="2"/>
  <c r="G140" i="2"/>
  <c r="F140" i="2"/>
  <c r="E140" i="2"/>
  <c r="C140" i="2"/>
  <c r="CH139" i="2"/>
  <c r="CG139" i="2"/>
  <c r="CF139" i="2"/>
  <c r="CE139" i="2"/>
  <c r="CD139" i="2"/>
  <c r="CC139" i="2"/>
  <c r="CA139" i="2"/>
  <c r="BZ139" i="2"/>
  <c r="BY139" i="2"/>
  <c r="BX139" i="2"/>
  <c r="BW139" i="2"/>
  <c r="BV139" i="2"/>
  <c r="BU139" i="2"/>
  <c r="BS139" i="2"/>
  <c r="BR139" i="2"/>
  <c r="BQ139" i="2"/>
  <c r="BP139" i="2"/>
  <c r="BO139" i="2"/>
  <c r="BN139" i="2"/>
  <c r="BM139" i="2"/>
  <c r="BK139" i="2"/>
  <c r="BJ139" i="2"/>
  <c r="BI139" i="2"/>
  <c r="BH139" i="2"/>
  <c r="BG139" i="2"/>
  <c r="BF139" i="2"/>
  <c r="BE139" i="2"/>
  <c r="BC139" i="2"/>
  <c r="BB139" i="2"/>
  <c r="BA139" i="2"/>
  <c r="AZ139" i="2"/>
  <c r="AY139" i="2"/>
  <c r="AX139" i="2"/>
  <c r="AW139" i="2"/>
  <c r="AU139" i="2"/>
  <c r="AT139" i="2"/>
  <c r="AS139" i="2"/>
  <c r="AR139" i="2"/>
  <c r="AQ139" i="2"/>
  <c r="AP139" i="2"/>
  <c r="AO139" i="2"/>
  <c r="AM139" i="2"/>
  <c r="AL139" i="2"/>
  <c r="AK139" i="2"/>
  <c r="AJ139" i="2"/>
  <c r="AI139" i="2"/>
  <c r="AH139" i="2"/>
  <c r="AG139" i="2"/>
  <c r="AE139" i="2"/>
  <c r="AD139" i="2"/>
  <c r="AC139" i="2"/>
  <c r="AB139" i="2"/>
  <c r="AA139" i="2"/>
  <c r="Z139" i="2"/>
  <c r="Y139" i="2"/>
  <c r="W139" i="2"/>
  <c r="V139" i="2"/>
  <c r="U139" i="2"/>
  <c r="T139" i="2"/>
  <c r="S139" i="2"/>
  <c r="R139" i="2"/>
  <c r="Q139" i="2"/>
  <c r="O139" i="2"/>
  <c r="N139" i="2"/>
  <c r="M139" i="2"/>
  <c r="L139" i="2"/>
  <c r="K139" i="2"/>
  <c r="J139" i="2"/>
  <c r="I139" i="2"/>
  <c r="G139" i="2"/>
  <c r="F139" i="2"/>
  <c r="E139" i="2"/>
  <c r="D139" i="2"/>
  <c r="C139" i="2"/>
  <c r="CH138" i="2"/>
  <c r="CG138" i="2"/>
  <c r="CE138" i="2"/>
  <c r="CD138" i="2"/>
  <c r="CC138" i="2"/>
  <c r="CB138" i="2"/>
  <c r="CA138" i="2"/>
  <c r="BZ138" i="2"/>
  <c r="BY138" i="2"/>
  <c r="BW138" i="2"/>
  <c r="BV138" i="2"/>
  <c r="BU138" i="2"/>
  <c r="BT138" i="2"/>
  <c r="BS138" i="2"/>
  <c r="BR138" i="2"/>
  <c r="BQ138" i="2"/>
  <c r="BO138" i="2"/>
  <c r="BN138" i="2"/>
  <c r="BM138" i="2"/>
  <c r="BL138" i="2"/>
  <c r="BK138" i="2"/>
  <c r="BJ138" i="2"/>
  <c r="BI138" i="2"/>
  <c r="BG138" i="2"/>
  <c r="BF138" i="2"/>
  <c r="BE138" i="2"/>
  <c r="BD138" i="2"/>
  <c r="BC138" i="2"/>
  <c r="BB138" i="2"/>
  <c r="BA138" i="2"/>
  <c r="AY138" i="2"/>
  <c r="AX138" i="2"/>
  <c r="AW138" i="2"/>
  <c r="AV138" i="2"/>
  <c r="AU138" i="2"/>
  <c r="AT138" i="2"/>
  <c r="AS138" i="2"/>
  <c r="AQ138" i="2"/>
  <c r="AP138" i="2"/>
  <c r="AO138" i="2"/>
  <c r="AN138" i="2"/>
  <c r="AM138" i="2"/>
  <c r="AL138" i="2"/>
  <c r="AK138" i="2"/>
  <c r="AI138" i="2"/>
  <c r="AH138" i="2"/>
  <c r="AG138" i="2"/>
  <c r="AF138" i="2"/>
  <c r="AE138" i="2"/>
  <c r="AD138" i="2"/>
  <c r="AC138" i="2"/>
  <c r="AA138" i="2"/>
  <c r="Z138" i="2"/>
  <c r="Y138" i="2"/>
  <c r="X138" i="2"/>
  <c r="W138" i="2"/>
  <c r="V138" i="2"/>
  <c r="U138" i="2"/>
  <c r="S138" i="2"/>
  <c r="R138" i="2"/>
  <c r="Q138" i="2"/>
  <c r="P138" i="2"/>
  <c r="O138" i="2"/>
  <c r="N138" i="2"/>
  <c r="M138" i="2"/>
  <c r="K138" i="2"/>
  <c r="J138" i="2"/>
  <c r="I138" i="2"/>
  <c r="H138" i="2"/>
  <c r="G138" i="2"/>
  <c r="F138" i="2"/>
  <c r="E138" i="2"/>
  <c r="C138" i="2"/>
  <c r="CH137" i="2"/>
  <c r="CG137" i="2"/>
  <c r="CF137" i="2"/>
  <c r="CE137" i="2"/>
  <c r="CD137" i="2"/>
  <c r="CC137" i="2"/>
  <c r="CA137" i="2"/>
  <c r="BZ137" i="2"/>
  <c r="BY137" i="2"/>
  <c r="BX137" i="2"/>
  <c r="BW137" i="2"/>
  <c r="BV137" i="2"/>
  <c r="BU137" i="2"/>
  <c r="BS137" i="2"/>
  <c r="BR137" i="2"/>
  <c r="BQ137" i="2"/>
  <c r="BP137" i="2"/>
  <c r="BO137" i="2"/>
  <c r="BN137" i="2"/>
  <c r="BM137" i="2"/>
  <c r="BK137" i="2"/>
  <c r="BJ137" i="2"/>
  <c r="BI137" i="2"/>
  <c r="BH137" i="2"/>
  <c r="BG137" i="2"/>
  <c r="BF137" i="2"/>
  <c r="BE137" i="2"/>
  <c r="BC137" i="2"/>
  <c r="BB137" i="2"/>
  <c r="BA137" i="2"/>
  <c r="AZ137" i="2"/>
  <c r="AY137" i="2"/>
  <c r="AX137" i="2"/>
  <c r="AW137" i="2"/>
  <c r="AU137" i="2"/>
  <c r="AT137" i="2"/>
  <c r="AS137" i="2"/>
  <c r="AR137" i="2"/>
  <c r="AQ137" i="2"/>
  <c r="AP137" i="2"/>
  <c r="AO137" i="2"/>
  <c r="AM137" i="2"/>
  <c r="AL137" i="2"/>
  <c r="AK137" i="2"/>
  <c r="AJ137" i="2"/>
  <c r="AI137" i="2"/>
  <c r="AH137" i="2"/>
  <c r="AG137" i="2"/>
  <c r="AE137" i="2"/>
  <c r="AD137" i="2"/>
  <c r="AC137" i="2"/>
  <c r="AB137" i="2"/>
  <c r="AA137" i="2"/>
  <c r="Z137" i="2"/>
  <c r="Y137" i="2"/>
  <c r="W137" i="2"/>
  <c r="V137" i="2"/>
  <c r="U137" i="2"/>
  <c r="T137" i="2"/>
  <c r="S137" i="2"/>
  <c r="R137" i="2"/>
  <c r="Q137" i="2"/>
  <c r="O137" i="2"/>
  <c r="N137" i="2"/>
  <c r="M137" i="2"/>
  <c r="L137" i="2"/>
  <c r="K137" i="2"/>
  <c r="J137" i="2"/>
  <c r="I137" i="2"/>
  <c r="G137" i="2"/>
  <c r="F137" i="2"/>
  <c r="E137" i="2"/>
  <c r="D137" i="2"/>
  <c r="C137" i="2"/>
  <c r="CH136" i="2"/>
  <c r="CG136" i="2"/>
  <c r="CE136" i="2"/>
  <c r="CD136" i="2"/>
  <c r="CC136" i="2"/>
  <c r="CB136" i="2"/>
  <c r="CA136" i="2"/>
  <c r="BZ136" i="2"/>
  <c r="BY136" i="2"/>
  <c r="BW136" i="2"/>
  <c r="BV136" i="2"/>
  <c r="BU136" i="2"/>
  <c r="BT136" i="2"/>
  <c r="BS136" i="2"/>
  <c r="BR136" i="2"/>
  <c r="BQ136" i="2"/>
  <c r="BO136" i="2"/>
  <c r="BN136" i="2"/>
  <c r="BM136" i="2"/>
  <c r="BL136" i="2"/>
  <c r="BK136" i="2"/>
  <c r="BJ136" i="2"/>
  <c r="BI136" i="2"/>
  <c r="BG136" i="2"/>
  <c r="BF136" i="2"/>
  <c r="BE136" i="2"/>
  <c r="BD136" i="2"/>
  <c r="BC136" i="2"/>
  <c r="BB136" i="2"/>
  <c r="BA136" i="2"/>
  <c r="AY136" i="2"/>
  <c r="AX136" i="2"/>
  <c r="AW136" i="2"/>
  <c r="AV136" i="2"/>
  <c r="AU136" i="2"/>
  <c r="AT136" i="2"/>
  <c r="AS136" i="2"/>
  <c r="AQ136" i="2"/>
  <c r="AP136" i="2"/>
  <c r="AO136" i="2"/>
  <c r="AN136" i="2"/>
  <c r="AM136" i="2"/>
  <c r="AL136" i="2"/>
  <c r="AK136" i="2"/>
  <c r="AI136" i="2"/>
  <c r="AH136" i="2"/>
  <c r="AG136" i="2"/>
  <c r="AF136" i="2"/>
  <c r="AE136" i="2"/>
  <c r="AD136" i="2"/>
  <c r="AC136" i="2"/>
  <c r="AA136" i="2"/>
  <c r="Z136" i="2"/>
  <c r="Y136" i="2"/>
  <c r="X136" i="2"/>
  <c r="W136" i="2"/>
  <c r="V136" i="2"/>
  <c r="U136" i="2"/>
  <c r="S136" i="2"/>
  <c r="R136" i="2"/>
  <c r="Q136" i="2"/>
  <c r="P136" i="2"/>
  <c r="O136" i="2"/>
  <c r="N136" i="2"/>
  <c r="M136" i="2"/>
  <c r="K136" i="2"/>
  <c r="J136" i="2"/>
  <c r="I136" i="2"/>
  <c r="H136" i="2"/>
  <c r="G136" i="2"/>
  <c r="F136" i="2"/>
  <c r="E136" i="2"/>
  <c r="C136" i="2"/>
  <c r="CH135" i="2"/>
  <c r="CG135" i="2"/>
  <c r="CF135" i="2"/>
  <c r="CE135" i="2"/>
  <c r="CD135" i="2"/>
  <c r="CC135" i="2"/>
  <c r="CA135" i="2"/>
  <c r="BZ135" i="2"/>
  <c r="BY135" i="2"/>
  <c r="BX135" i="2"/>
  <c r="BW135" i="2"/>
  <c r="BV135" i="2"/>
  <c r="BU135" i="2"/>
  <c r="BS135" i="2"/>
  <c r="BR135" i="2"/>
  <c r="BQ135" i="2"/>
  <c r="BP135" i="2"/>
  <c r="BO135" i="2"/>
  <c r="BN135" i="2"/>
  <c r="BM135" i="2"/>
  <c r="BK135" i="2"/>
  <c r="BJ135" i="2"/>
  <c r="BI135" i="2"/>
  <c r="BH135" i="2"/>
  <c r="BG135" i="2"/>
  <c r="BF135" i="2"/>
  <c r="BE135" i="2"/>
  <c r="BC135" i="2"/>
  <c r="BB135" i="2"/>
  <c r="BA135" i="2"/>
  <c r="AZ135" i="2"/>
  <c r="AY135" i="2"/>
  <c r="AX135" i="2"/>
  <c r="AW135" i="2"/>
  <c r="AU135" i="2"/>
  <c r="AT135" i="2"/>
  <c r="AS135" i="2"/>
  <c r="AR135" i="2"/>
  <c r="AQ135" i="2"/>
  <c r="AP135" i="2"/>
  <c r="AO135" i="2"/>
  <c r="AM135" i="2"/>
  <c r="AL135" i="2"/>
  <c r="AK135" i="2"/>
  <c r="AJ135" i="2"/>
  <c r="AI135" i="2"/>
  <c r="AH135" i="2"/>
  <c r="AG135" i="2"/>
  <c r="AE135" i="2"/>
  <c r="AD135" i="2"/>
  <c r="AC135" i="2"/>
  <c r="AB135" i="2"/>
  <c r="AA135" i="2"/>
  <c r="Z135" i="2"/>
  <c r="Y135" i="2"/>
  <c r="W135" i="2"/>
  <c r="V135" i="2"/>
  <c r="U135" i="2"/>
  <c r="T135" i="2"/>
  <c r="S135" i="2"/>
  <c r="R135" i="2"/>
  <c r="Q135" i="2"/>
  <c r="O135" i="2"/>
  <c r="N135" i="2"/>
  <c r="M135" i="2"/>
  <c r="L135" i="2"/>
  <c r="K135" i="2"/>
  <c r="J135" i="2"/>
  <c r="I135" i="2"/>
  <c r="G135" i="2"/>
  <c r="F135" i="2"/>
  <c r="E135" i="2"/>
  <c r="D135" i="2"/>
  <c r="C135" i="2"/>
  <c r="CH134" i="2"/>
  <c r="CG134" i="2"/>
  <c r="CE134" i="2"/>
  <c r="CD134" i="2"/>
  <c r="CC134" i="2"/>
  <c r="CB134" i="2"/>
  <c r="CA134" i="2"/>
  <c r="BZ134" i="2"/>
  <c r="BY134" i="2"/>
  <c r="BW134" i="2"/>
  <c r="BV134" i="2"/>
  <c r="BU134" i="2"/>
  <c r="BT134" i="2"/>
  <c r="BS134" i="2"/>
  <c r="BR134" i="2"/>
  <c r="BQ134" i="2"/>
  <c r="BO134" i="2"/>
  <c r="BN134" i="2"/>
  <c r="BM134" i="2"/>
  <c r="BL134" i="2"/>
  <c r="BK134" i="2"/>
  <c r="BJ134" i="2"/>
  <c r="BI134" i="2"/>
  <c r="BG134" i="2"/>
  <c r="BF134" i="2"/>
  <c r="BE134" i="2"/>
  <c r="BD134" i="2"/>
  <c r="BC134" i="2"/>
  <c r="BB134" i="2"/>
  <c r="BA134" i="2"/>
  <c r="AY134" i="2"/>
  <c r="AX134" i="2"/>
  <c r="AW134" i="2"/>
  <c r="AV134" i="2"/>
  <c r="AU134" i="2"/>
  <c r="AT134" i="2"/>
  <c r="AS134" i="2"/>
  <c r="AQ134" i="2"/>
  <c r="AP134" i="2"/>
  <c r="AO134" i="2"/>
  <c r="AN134" i="2"/>
  <c r="AM134" i="2"/>
  <c r="AL134" i="2"/>
  <c r="AK134" i="2"/>
  <c r="AI134" i="2"/>
  <c r="AH134" i="2"/>
  <c r="AG134" i="2"/>
  <c r="AF134" i="2"/>
  <c r="AE134" i="2"/>
  <c r="AD134" i="2"/>
  <c r="AC134" i="2"/>
  <c r="AA134" i="2"/>
  <c r="Z134" i="2"/>
  <c r="Y134" i="2"/>
  <c r="X134" i="2"/>
  <c r="W134" i="2"/>
  <c r="V134" i="2"/>
  <c r="U134" i="2"/>
  <c r="S134" i="2"/>
  <c r="R134" i="2"/>
  <c r="Q134" i="2"/>
  <c r="P134" i="2"/>
  <c r="O134" i="2"/>
  <c r="N134" i="2"/>
  <c r="M134" i="2"/>
  <c r="K134" i="2"/>
  <c r="J134" i="2"/>
  <c r="I134" i="2"/>
  <c r="H134" i="2"/>
  <c r="G134" i="2"/>
  <c r="F134" i="2"/>
  <c r="E134" i="2"/>
  <c r="C134" i="2"/>
  <c r="CH133" i="2"/>
  <c r="CH141" i="2" s="1"/>
  <c r="AC40" i="3" s="1"/>
  <c r="CG133" i="2"/>
  <c r="CG141" i="2" s="1"/>
  <c r="CF133" i="2"/>
  <c r="CE133" i="2"/>
  <c r="CD133" i="2"/>
  <c r="CD141" i="2" s="1"/>
  <c r="CC133" i="2"/>
  <c r="CC141" i="2" s="1"/>
  <c r="BZ133" i="2"/>
  <c r="BZ141" i="2" s="1"/>
  <c r="BY133" i="2"/>
  <c r="BY141" i="2" s="1"/>
  <c r="Z40" i="3" s="1"/>
  <c r="BX133" i="2"/>
  <c r="BW133" i="2"/>
  <c r="BV133" i="2"/>
  <c r="BV141" i="2" s="1"/>
  <c r="Y40" i="3" s="1"/>
  <c r="BU133" i="2"/>
  <c r="BU141" i="2" s="1"/>
  <c r="BR133" i="2"/>
  <c r="BR141" i="2" s="1"/>
  <c r="BQ133" i="2"/>
  <c r="BP133" i="2"/>
  <c r="BO133" i="2"/>
  <c r="BN133" i="2"/>
  <c r="BN141" i="2" s="1"/>
  <c r="BM133" i="2"/>
  <c r="BL133" i="2"/>
  <c r="BJ133" i="2"/>
  <c r="BJ141" i="2" s="1"/>
  <c r="U40" i="3" s="1"/>
  <c r="BI133" i="2"/>
  <c r="BH133" i="2"/>
  <c r="BG133" i="2"/>
  <c r="BF133" i="2"/>
  <c r="BF141" i="2" s="1"/>
  <c r="BE133" i="2"/>
  <c r="BE141" i="2" s="1"/>
  <c r="BB133" i="2"/>
  <c r="BB141" i="2" s="1"/>
  <c r="BA133" i="2"/>
  <c r="AZ133" i="2"/>
  <c r="AY133" i="2"/>
  <c r="AX133" i="2"/>
  <c r="AX141" i="2" s="1"/>
  <c r="Q40" i="3" s="1"/>
  <c r="AW133" i="2"/>
  <c r="AT133" i="2"/>
  <c r="AT141" i="2" s="1"/>
  <c r="AS133" i="2"/>
  <c r="AS141" i="2" s="1"/>
  <c r="AR133" i="2"/>
  <c r="AQ133" i="2"/>
  <c r="AP133" i="2"/>
  <c r="AP141" i="2" s="1"/>
  <c r="AO133" i="2"/>
  <c r="AL133" i="2"/>
  <c r="AL141" i="2" s="1"/>
  <c r="M40" i="3" s="1"/>
  <c r="AK133" i="2"/>
  <c r="AK141" i="2" s="1"/>
  <c r="AJ133" i="2"/>
  <c r="AI133" i="2"/>
  <c r="AH133" i="2"/>
  <c r="AG133" i="2"/>
  <c r="AG141" i="2" s="1"/>
  <c r="AD133" i="2"/>
  <c r="AC133" i="2"/>
  <c r="AB133" i="2"/>
  <c r="AA133" i="2"/>
  <c r="Z133" i="2"/>
  <c r="Z141" i="2" s="1"/>
  <c r="I40" i="3" s="1"/>
  <c r="Y133" i="2"/>
  <c r="V133" i="2"/>
  <c r="U133" i="2"/>
  <c r="U141" i="2" s="1"/>
  <c r="T133" i="2"/>
  <c r="S133" i="2"/>
  <c r="R133" i="2"/>
  <c r="R141" i="2" s="1"/>
  <c r="Q133" i="2"/>
  <c r="N133" i="2"/>
  <c r="N141" i="2" s="1"/>
  <c r="E40" i="3" s="1"/>
  <c r="M133" i="2"/>
  <c r="M141" i="2" s="1"/>
  <c r="L133" i="2"/>
  <c r="K133" i="2"/>
  <c r="J133" i="2"/>
  <c r="J141" i="2" s="1"/>
  <c r="I133" i="2"/>
  <c r="F133" i="2"/>
  <c r="E133" i="2"/>
  <c r="D133" i="2"/>
  <c r="C133" i="2"/>
  <c r="O128" i="2"/>
  <c r="C126" i="2"/>
  <c r="AC123" i="2"/>
  <c r="C122" i="2"/>
  <c r="C121" i="2"/>
  <c r="C116" i="2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G78" i="2"/>
  <c r="AI78" i="2"/>
  <c r="K78" i="2"/>
  <c r="CH77" i="2"/>
  <c r="CG77" i="2"/>
  <c r="CE77" i="2"/>
  <c r="CD77" i="2"/>
  <c r="CC77" i="2"/>
  <c r="CB77" i="2"/>
  <c r="BZ77" i="2"/>
  <c r="BY77" i="2"/>
  <c r="BW77" i="2"/>
  <c r="BV77" i="2"/>
  <c r="BU77" i="2"/>
  <c r="BT77" i="2"/>
  <c r="BR77" i="2"/>
  <c r="BQ77" i="2"/>
  <c r="BO77" i="2"/>
  <c r="BN77" i="2"/>
  <c r="BM77" i="2"/>
  <c r="BL77" i="2"/>
  <c r="BJ77" i="2"/>
  <c r="BI77" i="2"/>
  <c r="BG77" i="2"/>
  <c r="BF77" i="2"/>
  <c r="BE77" i="2"/>
  <c r="BD77" i="2"/>
  <c r="BB77" i="2"/>
  <c r="BA77" i="2"/>
  <c r="AY77" i="2"/>
  <c r="AX77" i="2"/>
  <c r="AW77" i="2"/>
  <c r="AV77" i="2"/>
  <c r="AT77" i="2"/>
  <c r="AS77" i="2"/>
  <c r="AQ77" i="2"/>
  <c r="AP77" i="2"/>
  <c r="AO77" i="2"/>
  <c r="AN77" i="2"/>
  <c r="AL77" i="2"/>
  <c r="AK77" i="2"/>
  <c r="AI77" i="2"/>
  <c r="AH77" i="2"/>
  <c r="AG77" i="2"/>
  <c r="AF77" i="2"/>
  <c r="AD77" i="2"/>
  <c r="AC77" i="2"/>
  <c r="AA77" i="2"/>
  <c r="Z77" i="2"/>
  <c r="Y77" i="2"/>
  <c r="X77" i="2"/>
  <c r="V77" i="2"/>
  <c r="U77" i="2"/>
  <c r="S77" i="2"/>
  <c r="R77" i="2"/>
  <c r="Q77" i="2"/>
  <c r="P77" i="2"/>
  <c r="N77" i="2"/>
  <c r="M77" i="2"/>
  <c r="K77" i="2"/>
  <c r="J77" i="2"/>
  <c r="I77" i="2"/>
  <c r="H77" i="2"/>
  <c r="F77" i="2"/>
  <c r="E77" i="2"/>
  <c r="C77" i="2"/>
  <c r="CH76" i="2"/>
  <c r="CG76" i="2"/>
  <c r="CE76" i="2"/>
  <c r="CD76" i="2"/>
  <c r="CC76" i="2"/>
  <c r="CB76" i="2"/>
  <c r="CA76" i="2"/>
  <c r="BZ76" i="2"/>
  <c r="BY76" i="2"/>
  <c r="BW76" i="2"/>
  <c r="BV76" i="2"/>
  <c r="BU76" i="2"/>
  <c r="BT76" i="2"/>
  <c r="BR76" i="2"/>
  <c r="BQ76" i="2"/>
  <c r="BO76" i="2"/>
  <c r="BN76" i="2"/>
  <c r="BM76" i="2"/>
  <c r="BL76" i="2"/>
  <c r="BJ76" i="2"/>
  <c r="BI76" i="2"/>
  <c r="BG76" i="2"/>
  <c r="BF76" i="2"/>
  <c r="BE76" i="2"/>
  <c r="BD76" i="2"/>
  <c r="BB76" i="2"/>
  <c r="BA76" i="2"/>
  <c r="AY76" i="2"/>
  <c r="AX76" i="2"/>
  <c r="AW76" i="2"/>
  <c r="AV76" i="2"/>
  <c r="AT76" i="2"/>
  <c r="AS76" i="2"/>
  <c r="AQ76" i="2"/>
  <c r="AP76" i="2"/>
  <c r="AO76" i="2"/>
  <c r="AN76" i="2"/>
  <c r="AL76" i="2"/>
  <c r="AK76" i="2"/>
  <c r="AI76" i="2"/>
  <c r="AH76" i="2"/>
  <c r="AG76" i="2"/>
  <c r="AF76" i="2"/>
  <c r="AD76" i="2"/>
  <c r="AC76" i="2"/>
  <c r="AA76" i="2"/>
  <c r="Z76" i="2"/>
  <c r="Y76" i="2"/>
  <c r="X76" i="2"/>
  <c r="V76" i="2"/>
  <c r="U76" i="2"/>
  <c r="S76" i="2"/>
  <c r="R76" i="2"/>
  <c r="Q76" i="2"/>
  <c r="P76" i="2"/>
  <c r="N76" i="2"/>
  <c r="M76" i="2"/>
  <c r="K76" i="2"/>
  <c r="J76" i="2"/>
  <c r="I76" i="2"/>
  <c r="H76" i="2"/>
  <c r="F76" i="2"/>
  <c r="E76" i="2"/>
  <c r="C76" i="2"/>
  <c r="CH75" i="2"/>
  <c r="CG75" i="2"/>
  <c r="CE75" i="2"/>
  <c r="CD75" i="2"/>
  <c r="CC75" i="2"/>
  <c r="CB75" i="2"/>
  <c r="BZ75" i="2"/>
  <c r="BY75" i="2"/>
  <c r="BW75" i="2"/>
  <c r="BV75" i="2"/>
  <c r="BU75" i="2"/>
  <c r="BT75" i="2"/>
  <c r="BR75" i="2"/>
  <c r="BQ75" i="2"/>
  <c r="BO75" i="2"/>
  <c r="BN75" i="2"/>
  <c r="BM75" i="2"/>
  <c r="BL75" i="2"/>
  <c r="BJ75" i="2"/>
  <c r="BI75" i="2"/>
  <c r="BG75" i="2"/>
  <c r="BF75" i="2"/>
  <c r="BE75" i="2"/>
  <c r="BD75" i="2"/>
  <c r="BB75" i="2"/>
  <c r="BA75" i="2"/>
  <c r="AY75" i="2"/>
  <c r="AX75" i="2"/>
  <c r="AW75" i="2"/>
  <c r="AV75" i="2"/>
  <c r="AT75" i="2"/>
  <c r="AS75" i="2"/>
  <c r="AQ75" i="2"/>
  <c r="AP75" i="2"/>
  <c r="AO75" i="2"/>
  <c r="AN75" i="2"/>
  <c r="AL75" i="2"/>
  <c r="AK75" i="2"/>
  <c r="AI75" i="2"/>
  <c r="AH75" i="2"/>
  <c r="AG75" i="2"/>
  <c r="AF75" i="2"/>
  <c r="AD75" i="2"/>
  <c r="AC75" i="2"/>
  <c r="AA75" i="2"/>
  <c r="Z75" i="2"/>
  <c r="Y75" i="2"/>
  <c r="X75" i="2"/>
  <c r="V75" i="2"/>
  <c r="U75" i="2"/>
  <c r="S75" i="2"/>
  <c r="R75" i="2"/>
  <c r="Q75" i="2"/>
  <c r="P75" i="2"/>
  <c r="N75" i="2"/>
  <c r="M75" i="2"/>
  <c r="K75" i="2"/>
  <c r="J75" i="2"/>
  <c r="I75" i="2"/>
  <c r="H75" i="2"/>
  <c r="F75" i="2"/>
  <c r="E75" i="2"/>
  <c r="C75" i="2"/>
  <c r="CH74" i="2"/>
  <c r="CG74" i="2"/>
  <c r="CE74" i="2"/>
  <c r="CD74" i="2"/>
  <c r="CC74" i="2"/>
  <c r="CB74" i="2"/>
  <c r="BZ74" i="2"/>
  <c r="BY74" i="2"/>
  <c r="BW74" i="2"/>
  <c r="BV74" i="2"/>
  <c r="BU74" i="2"/>
  <c r="BT74" i="2"/>
  <c r="BR74" i="2"/>
  <c r="BQ74" i="2"/>
  <c r="BO74" i="2"/>
  <c r="BN74" i="2"/>
  <c r="BM74" i="2"/>
  <c r="BL74" i="2"/>
  <c r="BK74" i="2"/>
  <c r="BJ74" i="2"/>
  <c r="BI74" i="2"/>
  <c r="BG74" i="2"/>
  <c r="BF74" i="2"/>
  <c r="BE74" i="2"/>
  <c r="BD74" i="2"/>
  <c r="BB74" i="2"/>
  <c r="BA74" i="2"/>
  <c r="AY74" i="2"/>
  <c r="AX74" i="2"/>
  <c r="AW74" i="2"/>
  <c r="AV74" i="2"/>
  <c r="AT74" i="2"/>
  <c r="AS74" i="2"/>
  <c r="AQ74" i="2"/>
  <c r="AP74" i="2"/>
  <c r="AO74" i="2"/>
  <c r="AN74" i="2"/>
  <c r="AL74" i="2"/>
  <c r="AK74" i="2"/>
  <c r="AI74" i="2"/>
  <c r="AH74" i="2"/>
  <c r="AG74" i="2"/>
  <c r="AF74" i="2"/>
  <c r="AD74" i="2"/>
  <c r="AC74" i="2"/>
  <c r="AA74" i="2"/>
  <c r="Z74" i="2"/>
  <c r="Y74" i="2"/>
  <c r="X74" i="2"/>
  <c r="W74" i="2"/>
  <c r="V74" i="2"/>
  <c r="U74" i="2"/>
  <c r="S74" i="2"/>
  <c r="R74" i="2"/>
  <c r="Q74" i="2"/>
  <c r="P74" i="2"/>
  <c r="N74" i="2"/>
  <c r="M74" i="2"/>
  <c r="K74" i="2"/>
  <c r="J74" i="2"/>
  <c r="I74" i="2"/>
  <c r="H74" i="2"/>
  <c r="F74" i="2"/>
  <c r="E74" i="2"/>
  <c r="C74" i="2"/>
  <c r="CH73" i="2"/>
  <c r="CG73" i="2"/>
  <c r="CE73" i="2"/>
  <c r="CD73" i="2"/>
  <c r="CC73" i="2"/>
  <c r="CB73" i="2"/>
  <c r="BZ73" i="2"/>
  <c r="BY73" i="2"/>
  <c r="BW73" i="2"/>
  <c r="BV73" i="2"/>
  <c r="BU73" i="2"/>
  <c r="BT73" i="2"/>
  <c r="BR73" i="2"/>
  <c r="BQ73" i="2"/>
  <c r="BO73" i="2"/>
  <c r="BN73" i="2"/>
  <c r="BM73" i="2"/>
  <c r="BL73" i="2"/>
  <c r="BJ73" i="2"/>
  <c r="BI73" i="2"/>
  <c r="BG73" i="2"/>
  <c r="BF73" i="2"/>
  <c r="BE73" i="2"/>
  <c r="BD73" i="2"/>
  <c r="BB73" i="2"/>
  <c r="BA73" i="2"/>
  <c r="AY73" i="2"/>
  <c r="AX73" i="2"/>
  <c r="AW73" i="2"/>
  <c r="AV73" i="2"/>
  <c r="AT73" i="2"/>
  <c r="AS73" i="2"/>
  <c r="AQ73" i="2"/>
  <c r="AP73" i="2"/>
  <c r="AO73" i="2"/>
  <c r="AN73" i="2"/>
  <c r="AL73" i="2"/>
  <c r="AK73" i="2"/>
  <c r="AI73" i="2"/>
  <c r="AH73" i="2"/>
  <c r="AG73" i="2"/>
  <c r="AF73" i="2"/>
  <c r="AD73" i="2"/>
  <c r="AC73" i="2"/>
  <c r="AA73" i="2"/>
  <c r="Z73" i="2"/>
  <c r="Y73" i="2"/>
  <c r="X73" i="2"/>
  <c r="V73" i="2"/>
  <c r="U73" i="2"/>
  <c r="S73" i="2"/>
  <c r="R73" i="2"/>
  <c r="Q73" i="2"/>
  <c r="P73" i="2"/>
  <c r="N73" i="2"/>
  <c r="M73" i="2"/>
  <c r="K73" i="2"/>
  <c r="J73" i="2"/>
  <c r="I73" i="2"/>
  <c r="H73" i="2"/>
  <c r="F73" i="2"/>
  <c r="E73" i="2"/>
  <c r="C73" i="2"/>
  <c r="CH72" i="2"/>
  <c r="CG72" i="2"/>
  <c r="CE72" i="2"/>
  <c r="CD72" i="2"/>
  <c r="CC72" i="2"/>
  <c r="CB72" i="2"/>
  <c r="BZ72" i="2"/>
  <c r="BY72" i="2"/>
  <c r="BW72" i="2"/>
  <c r="BV72" i="2"/>
  <c r="BU72" i="2"/>
  <c r="BT72" i="2"/>
  <c r="BR72" i="2"/>
  <c r="BQ72" i="2"/>
  <c r="BO72" i="2"/>
  <c r="BN72" i="2"/>
  <c r="BM72" i="2"/>
  <c r="BL72" i="2"/>
  <c r="BK72" i="2"/>
  <c r="BJ72" i="2"/>
  <c r="BI72" i="2"/>
  <c r="BG72" i="2"/>
  <c r="BF72" i="2"/>
  <c r="BE72" i="2"/>
  <c r="BD72" i="2"/>
  <c r="BB72" i="2"/>
  <c r="BA72" i="2"/>
  <c r="AY72" i="2"/>
  <c r="AX72" i="2"/>
  <c r="AW72" i="2"/>
  <c r="AV72" i="2"/>
  <c r="AT72" i="2"/>
  <c r="AS72" i="2"/>
  <c r="AQ72" i="2"/>
  <c r="AP72" i="2"/>
  <c r="AO72" i="2"/>
  <c r="AN72" i="2"/>
  <c r="AL72" i="2"/>
  <c r="AK72" i="2"/>
  <c r="AI72" i="2"/>
  <c r="AH72" i="2"/>
  <c r="AG72" i="2"/>
  <c r="AF72" i="2"/>
  <c r="AD72" i="2"/>
  <c r="AC72" i="2"/>
  <c r="AA72" i="2"/>
  <c r="Z72" i="2"/>
  <c r="Y72" i="2"/>
  <c r="X72" i="2"/>
  <c r="W72" i="2"/>
  <c r="V72" i="2"/>
  <c r="U72" i="2"/>
  <c r="S72" i="2"/>
  <c r="R72" i="2"/>
  <c r="Q72" i="2"/>
  <c r="P72" i="2"/>
  <c r="N72" i="2"/>
  <c r="M72" i="2"/>
  <c r="K72" i="2"/>
  <c r="J72" i="2"/>
  <c r="I72" i="2"/>
  <c r="H72" i="2"/>
  <c r="F72" i="2"/>
  <c r="E72" i="2"/>
  <c r="C72" i="2"/>
  <c r="CH71" i="2"/>
  <c r="CG71" i="2"/>
  <c r="CE71" i="2"/>
  <c r="CD71" i="2"/>
  <c r="CC71" i="2"/>
  <c r="CB71" i="2"/>
  <c r="BZ71" i="2"/>
  <c r="BY71" i="2"/>
  <c r="BW71" i="2"/>
  <c r="BV71" i="2"/>
  <c r="BU71" i="2"/>
  <c r="BT71" i="2"/>
  <c r="BR71" i="2"/>
  <c r="BQ71" i="2"/>
  <c r="BO71" i="2"/>
  <c r="BN71" i="2"/>
  <c r="BM71" i="2"/>
  <c r="BL71" i="2"/>
  <c r="BJ71" i="2"/>
  <c r="BI71" i="2"/>
  <c r="BG71" i="2"/>
  <c r="BF71" i="2"/>
  <c r="BE71" i="2"/>
  <c r="BD71" i="2"/>
  <c r="BB71" i="2"/>
  <c r="BA71" i="2"/>
  <c r="AY71" i="2"/>
  <c r="AX71" i="2"/>
  <c r="AW71" i="2"/>
  <c r="AV71" i="2"/>
  <c r="AT71" i="2"/>
  <c r="AS71" i="2"/>
  <c r="AQ71" i="2"/>
  <c r="AP71" i="2"/>
  <c r="AO71" i="2"/>
  <c r="AN71" i="2"/>
  <c r="AL71" i="2"/>
  <c r="AK71" i="2"/>
  <c r="AI71" i="2"/>
  <c r="AH71" i="2"/>
  <c r="AG71" i="2"/>
  <c r="AF71" i="2"/>
  <c r="AD71" i="2"/>
  <c r="AC71" i="2"/>
  <c r="AA71" i="2"/>
  <c r="Z71" i="2"/>
  <c r="Y71" i="2"/>
  <c r="X71" i="2"/>
  <c r="V71" i="2"/>
  <c r="U71" i="2"/>
  <c r="S71" i="2"/>
  <c r="R71" i="2"/>
  <c r="Q71" i="2"/>
  <c r="P71" i="2"/>
  <c r="N71" i="2"/>
  <c r="M71" i="2"/>
  <c r="K71" i="2"/>
  <c r="J71" i="2"/>
  <c r="I71" i="2"/>
  <c r="H71" i="2"/>
  <c r="F71" i="2"/>
  <c r="E71" i="2"/>
  <c r="C71" i="2"/>
  <c r="AR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Y20" i="4" s="1"/>
  <c r="Y22" i="4" s="1"/>
  <c r="X57" i="2"/>
  <c r="W57" i="2"/>
  <c r="V57" i="2"/>
  <c r="V20" i="4" s="1"/>
  <c r="V22" i="4" s="1"/>
  <c r="U57" i="2"/>
  <c r="T57" i="2"/>
  <c r="T20" i="4" s="1"/>
  <c r="T22" i="4" s="1"/>
  <c r="S57" i="2"/>
  <c r="R57" i="2"/>
  <c r="R20" i="4" s="1"/>
  <c r="R22" i="4" s="1"/>
  <c r="Q57" i="2"/>
  <c r="Q20" i="4" s="1"/>
  <c r="Q22" i="4" s="1"/>
  <c r="P57" i="2"/>
  <c r="O57" i="2"/>
  <c r="O20" i="4" s="1"/>
  <c r="O22" i="4" s="1"/>
  <c r="N57" i="2"/>
  <c r="N20" i="4" s="1"/>
  <c r="N22" i="4" s="1"/>
  <c r="M57" i="2"/>
  <c r="L57" i="2"/>
  <c r="L20" i="4" s="1"/>
  <c r="L22" i="4" s="1"/>
  <c r="K57" i="2"/>
  <c r="J57" i="2"/>
  <c r="J20" i="4" s="1"/>
  <c r="J22" i="4" s="1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X14" i="4" s="1"/>
  <c r="X16" i="4" s="1"/>
  <c r="W54" i="2"/>
  <c r="W14" i="4" s="1"/>
  <c r="W16" i="4" s="1"/>
  <c r="V54" i="2"/>
  <c r="U54" i="2"/>
  <c r="T54" i="2"/>
  <c r="S54" i="2"/>
  <c r="R54" i="2"/>
  <c r="R14" i="4" s="1"/>
  <c r="R16" i="4" s="1"/>
  <c r="Q54" i="2"/>
  <c r="P54" i="2"/>
  <c r="P14" i="4" s="1"/>
  <c r="P16" i="4" s="1"/>
  <c r="O54" i="2"/>
  <c r="O14" i="4" s="1"/>
  <c r="O16" i="4" s="1"/>
  <c r="N54" i="2"/>
  <c r="M54" i="2"/>
  <c r="L54" i="2"/>
  <c r="L14" i="4" s="1"/>
  <c r="L16" i="4" s="1"/>
  <c r="K54" i="2"/>
  <c r="J54" i="2"/>
  <c r="J14" i="4" s="1"/>
  <c r="J16" i="4" s="1"/>
  <c r="I54" i="2"/>
  <c r="H54" i="2"/>
  <c r="H14" i="4" s="1"/>
  <c r="H16" i="4" s="1"/>
  <c r="G54" i="2"/>
  <c r="G14" i="4" s="1"/>
  <c r="G16" i="4" s="1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H64" i="2" s="1"/>
  <c r="CG47" i="2"/>
  <c r="CG64" i="2" s="1"/>
  <c r="CF47" i="2"/>
  <c r="CF64" i="2" s="1"/>
  <c r="CE47" i="2"/>
  <c r="CD47" i="2"/>
  <c r="CD64" i="2" s="1"/>
  <c r="CC47" i="2"/>
  <c r="CC64" i="2" s="1"/>
  <c r="CB47" i="2"/>
  <c r="CA47" i="2"/>
  <c r="CA64" i="2" s="1"/>
  <c r="BZ47" i="2"/>
  <c r="BZ64" i="2" s="1"/>
  <c r="BY47" i="2"/>
  <c r="BY64" i="2" s="1"/>
  <c r="BX47" i="2"/>
  <c r="BX64" i="2" s="1"/>
  <c r="BW47" i="2"/>
  <c r="BV47" i="2"/>
  <c r="BV64" i="2" s="1"/>
  <c r="BU47" i="2"/>
  <c r="BU64" i="2" s="1"/>
  <c r="BT47" i="2"/>
  <c r="BS47" i="2"/>
  <c r="BS64" i="2" s="1"/>
  <c r="BR47" i="2"/>
  <c r="BR64" i="2" s="1"/>
  <c r="BQ47" i="2"/>
  <c r="BQ64" i="2" s="1"/>
  <c r="BP47" i="2"/>
  <c r="BO47" i="2"/>
  <c r="BN47" i="2"/>
  <c r="BN64" i="2" s="1"/>
  <c r="BM47" i="2"/>
  <c r="BL47" i="2"/>
  <c r="BK47" i="2"/>
  <c r="BK64" i="2" s="1"/>
  <c r="BJ47" i="2"/>
  <c r="BJ64" i="2" s="1"/>
  <c r="BI47" i="2"/>
  <c r="BI64" i="2" s="1"/>
  <c r="BH47" i="2"/>
  <c r="BH64" i="2" s="1"/>
  <c r="BG47" i="2"/>
  <c r="BF47" i="2"/>
  <c r="BF64" i="2" s="1"/>
  <c r="BE47" i="2"/>
  <c r="BE64" i="2" s="1"/>
  <c r="BD47" i="2"/>
  <c r="BC47" i="2"/>
  <c r="BC64" i="2" s="1"/>
  <c r="BB47" i="2"/>
  <c r="BB64" i="2" s="1"/>
  <c r="BA47" i="2"/>
  <c r="BA64" i="2" s="1"/>
  <c r="AZ47" i="2"/>
  <c r="AZ64" i="2" s="1"/>
  <c r="AY47" i="2"/>
  <c r="AX47" i="2"/>
  <c r="AX64" i="2" s="1"/>
  <c r="AX91" i="2" s="1"/>
  <c r="AW47" i="2"/>
  <c r="AW64" i="2" s="1"/>
  <c r="AV47" i="2"/>
  <c r="AU47" i="2"/>
  <c r="AU64" i="2" s="1"/>
  <c r="AT47" i="2"/>
  <c r="AT64" i="2" s="1"/>
  <c r="AS47" i="2"/>
  <c r="AS64" i="2" s="1"/>
  <c r="AR47" i="2"/>
  <c r="AQ47" i="2"/>
  <c r="AP47" i="2"/>
  <c r="AP64" i="2" s="1"/>
  <c r="AO47" i="2"/>
  <c r="AO64" i="2" s="1"/>
  <c r="AN47" i="2"/>
  <c r="AM47" i="2"/>
  <c r="AM64" i="2" s="1"/>
  <c r="AL47" i="2"/>
  <c r="AL64" i="2" s="1"/>
  <c r="AK47" i="2"/>
  <c r="AK64" i="2" s="1"/>
  <c r="AJ47" i="2"/>
  <c r="AJ64" i="2" s="1"/>
  <c r="AI47" i="2"/>
  <c r="AH47" i="2"/>
  <c r="AH64" i="2" s="1"/>
  <c r="AG47" i="2"/>
  <c r="AG64" i="2" s="1"/>
  <c r="AF47" i="2"/>
  <c r="AE47" i="2"/>
  <c r="AE64" i="2" s="1"/>
  <c r="AD47" i="2"/>
  <c r="AD64" i="2" s="1"/>
  <c r="AC47" i="2"/>
  <c r="AC64" i="2" s="1"/>
  <c r="AB47" i="2"/>
  <c r="AB64" i="2" s="1"/>
  <c r="AA47" i="2"/>
  <c r="Z47" i="2"/>
  <c r="Z64" i="2" s="1"/>
  <c r="Y47" i="2"/>
  <c r="X47" i="2"/>
  <c r="W47" i="2"/>
  <c r="W64" i="2" s="1"/>
  <c r="V47" i="2"/>
  <c r="U47" i="2"/>
  <c r="U64" i="2" s="1"/>
  <c r="T47" i="2"/>
  <c r="S47" i="2"/>
  <c r="R47" i="2"/>
  <c r="R64" i="2" s="1"/>
  <c r="Q47" i="2"/>
  <c r="P47" i="2"/>
  <c r="O47" i="2"/>
  <c r="O64" i="2" s="1"/>
  <c r="N47" i="2"/>
  <c r="M47" i="2"/>
  <c r="L47" i="2"/>
  <c r="L64" i="2" s="1"/>
  <c r="K47" i="2"/>
  <c r="J47" i="2"/>
  <c r="J64" i="2" s="1"/>
  <c r="I47" i="2"/>
  <c r="H47" i="2"/>
  <c r="G47" i="2"/>
  <c r="F47" i="2"/>
  <c r="E47" i="2"/>
  <c r="D47" i="2"/>
  <c r="C47" i="2"/>
  <c r="CH38" i="2"/>
  <c r="CG38" i="2"/>
  <c r="CE38" i="2"/>
  <c r="CD38" i="2"/>
  <c r="CC38" i="2"/>
  <c r="CB38" i="2"/>
  <c r="BZ38" i="2"/>
  <c r="BY38" i="2"/>
  <c r="BW38" i="2"/>
  <c r="BV38" i="2"/>
  <c r="BU38" i="2"/>
  <c r="BT38" i="2"/>
  <c r="BR38" i="2"/>
  <c r="BQ38" i="2"/>
  <c r="BO38" i="2"/>
  <c r="BN38" i="2"/>
  <c r="BM38" i="2"/>
  <c r="BL38" i="2"/>
  <c r="BJ38" i="2"/>
  <c r="BI38" i="2"/>
  <c r="BG38" i="2"/>
  <c r="BF38" i="2"/>
  <c r="BE38" i="2"/>
  <c r="BD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E37" i="2"/>
  <c r="CD37" i="2"/>
  <c r="CC37" i="2"/>
  <c r="CB37" i="2"/>
  <c r="CA37" i="2"/>
  <c r="BZ37" i="2"/>
  <c r="BY37" i="2"/>
  <c r="BW37" i="2"/>
  <c r="BV37" i="2"/>
  <c r="BU37" i="2"/>
  <c r="BT37" i="2"/>
  <c r="BR37" i="2"/>
  <c r="BQ37" i="2"/>
  <c r="BO37" i="2"/>
  <c r="BN37" i="2"/>
  <c r="BM37" i="2"/>
  <c r="BL37" i="2"/>
  <c r="BJ37" i="2"/>
  <c r="BI37" i="2"/>
  <c r="BG37" i="2"/>
  <c r="BF37" i="2"/>
  <c r="BE37" i="2"/>
  <c r="BD37" i="2"/>
  <c r="BC37" i="2"/>
  <c r="BB37" i="2"/>
  <c r="BA37" i="2"/>
  <c r="AY37" i="2"/>
  <c r="AX37" i="2"/>
  <c r="AW37" i="2"/>
  <c r="AV37" i="2"/>
  <c r="AT37" i="2"/>
  <c r="AS37" i="2"/>
  <c r="AQ37" i="2"/>
  <c r="AP37" i="2"/>
  <c r="AO37" i="2"/>
  <c r="AN37" i="2"/>
  <c r="AL37" i="2"/>
  <c r="AK37" i="2"/>
  <c r="AI37" i="2"/>
  <c r="AH37" i="2"/>
  <c r="AG37" i="2"/>
  <c r="AF37" i="2"/>
  <c r="AD37" i="2"/>
  <c r="AC37" i="2"/>
  <c r="AA37" i="2"/>
  <c r="Z37" i="2"/>
  <c r="Y37" i="2"/>
  <c r="X37" i="2"/>
  <c r="V37" i="2"/>
  <c r="U37" i="2"/>
  <c r="S37" i="2"/>
  <c r="R37" i="2"/>
  <c r="Q37" i="2"/>
  <c r="P37" i="2"/>
  <c r="O37" i="2"/>
  <c r="N37" i="2"/>
  <c r="M37" i="2"/>
  <c r="K37" i="2"/>
  <c r="J37" i="2"/>
  <c r="I37" i="2"/>
  <c r="H37" i="2"/>
  <c r="F37" i="2"/>
  <c r="E37" i="2"/>
  <c r="C37" i="2"/>
  <c r="CH36" i="2"/>
  <c r="CG36" i="2"/>
  <c r="CE36" i="2"/>
  <c r="CD36" i="2"/>
  <c r="CC36" i="2"/>
  <c r="CB36" i="2"/>
  <c r="BZ36" i="2"/>
  <c r="BY36" i="2"/>
  <c r="BW36" i="2"/>
  <c r="BV36" i="2"/>
  <c r="BU36" i="2"/>
  <c r="BT36" i="2"/>
  <c r="BR36" i="2"/>
  <c r="BQ36" i="2"/>
  <c r="BP36" i="2"/>
  <c r="BO36" i="2"/>
  <c r="BN36" i="2"/>
  <c r="BM36" i="2"/>
  <c r="BL36" i="2"/>
  <c r="BJ36" i="2"/>
  <c r="BI36" i="2"/>
  <c r="BG36" i="2"/>
  <c r="BF36" i="2"/>
  <c r="BE36" i="2"/>
  <c r="BD36" i="2"/>
  <c r="BB36" i="2"/>
  <c r="BA36" i="2"/>
  <c r="AY36" i="2"/>
  <c r="AX36" i="2"/>
  <c r="AW36" i="2"/>
  <c r="AV36" i="2"/>
  <c r="AT36" i="2"/>
  <c r="AS36" i="2"/>
  <c r="AR36" i="2"/>
  <c r="AQ36" i="2"/>
  <c r="AP36" i="2"/>
  <c r="AO36" i="2"/>
  <c r="AN36" i="2"/>
  <c r="AL36" i="2"/>
  <c r="AK36" i="2"/>
  <c r="AI36" i="2"/>
  <c r="AH36" i="2"/>
  <c r="AG36" i="2"/>
  <c r="AF36" i="2"/>
  <c r="AD36" i="2"/>
  <c r="AC36" i="2"/>
  <c r="AA36" i="2"/>
  <c r="Z36" i="2"/>
  <c r="Y36" i="2"/>
  <c r="X36" i="2"/>
  <c r="V36" i="2"/>
  <c r="U36" i="2"/>
  <c r="S36" i="2"/>
  <c r="R36" i="2"/>
  <c r="Q36" i="2"/>
  <c r="P36" i="2"/>
  <c r="N36" i="2"/>
  <c r="M36" i="2"/>
  <c r="K36" i="2"/>
  <c r="J36" i="2"/>
  <c r="I36" i="2"/>
  <c r="H36" i="2"/>
  <c r="F36" i="2"/>
  <c r="E36" i="2"/>
  <c r="D36" i="2"/>
  <c r="C36" i="2"/>
  <c r="CH35" i="2"/>
  <c r="CG35" i="2"/>
  <c r="CE35" i="2"/>
  <c r="CD35" i="2"/>
  <c r="CC35" i="2"/>
  <c r="CB35" i="2"/>
  <c r="CA35" i="2"/>
  <c r="BZ35" i="2"/>
  <c r="BY35" i="2"/>
  <c r="BW35" i="2"/>
  <c r="BV35" i="2"/>
  <c r="BU35" i="2"/>
  <c r="BT35" i="2"/>
  <c r="BR35" i="2"/>
  <c r="BQ35" i="2"/>
  <c r="BO35" i="2"/>
  <c r="BN35" i="2"/>
  <c r="BM35" i="2"/>
  <c r="BL35" i="2"/>
  <c r="BJ35" i="2"/>
  <c r="BI35" i="2"/>
  <c r="BG35" i="2"/>
  <c r="BF35" i="2"/>
  <c r="BE35" i="2"/>
  <c r="BD35" i="2"/>
  <c r="BB35" i="2"/>
  <c r="BA35" i="2"/>
  <c r="AY35" i="2"/>
  <c r="AX35" i="2"/>
  <c r="AW35" i="2"/>
  <c r="AV35" i="2"/>
  <c r="AT35" i="2"/>
  <c r="AS35" i="2"/>
  <c r="AQ35" i="2"/>
  <c r="AP35" i="2"/>
  <c r="AO35" i="2"/>
  <c r="AN35" i="2"/>
  <c r="AM35" i="2"/>
  <c r="AL35" i="2"/>
  <c r="AK35" i="2"/>
  <c r="AI35" i="2"/>
  <c r="AH35" i="2"/>
  <c r="AG35" i="2"/>
  <c r="AF35" i="2"/>
  <c r="AD35" i="2"/>
  <c r="AC35" i="2"/>
  <c r="AA35" i="2"/>
  <c r="Z35" i="2"/>
  <c r="Y35" i="2"/>
  <c r="X35" i="2"/>
  <c r="V35" i="2"/>
  <c r="U35" i="2"/>
  <c r="S35" i="2"/>
  <c r="R35" i="2"/>
  <c r="Q35" i="2"/>
  <c r="P35" i="2"/>
  <c r="O35" i="2"/>
  <c r="N35" i="2"/>
  <c r="M35" i="2"/>
  <c r="K35" i="2"/>
  <c r="J35" i="2"/>
  <c r="I35" i="2"/>
  <c r="H35" i="2"/>
  <c r="F35" i="2"/>
  <c r="E35" i="2"/>
  <c r="C35" i="2"/>
  <c r="CH34" i="2"/>
  <c r="CG34" i="2"/>
  <c r="CE34" i="2"/>
  <c r="CD34" i="2"/>
  <c r="CC34" i="2"/>
  <c r="CB34" i="2"/>
  <c r="CA34" i="2"/>
  <c r="BZ34" i="2"/>
  <c r="BY34" i="2"/>
  <c r="BW34" i="2"/>
  <c r="BV34" i="2"/>
  <c r="BU34" i="2"/>
  <c r="BT34" i="2"/>
  <c r="BR34" i="2"/>
  <c r="BQ34" i="2"/>
  <c r="BO34" i="2"/>
  <c r="BN34" i="2"/>
  <c r="BM34" i="2"/>
  <c r="BL34" i="2"/>
  <c r="BJ34" i="2"/>
  <c r="BI34" i="2"/>
  <c r="BG34" i="2"/>
  <c r="BF34" i="2"/>
  <c r="BE34" i="2"/>
  <c r="BD34" i="2"/>
  <c r="BB34" i="2"/>
  <c r="BA34" i="2"/>
  <c r="AY34" i="2"/>
  <c r="AX34" i="2"/>
  <c r="AW34" i="2"/>
  <c r="AV34" i="2"/>
  <c r="AT34" i="2"/>
  <c r="AS34" i="2"/>
  <c r="AQ34" i="2"/>
  <c r="AP34" i="2"/>
  <c r="AO34" i="2"/>
  <c r="AN34" i="2"/>
  <c r="AM34" i="2"/>
  <c r="AL34" i="2"/>
  <c r="AK34" i="2"/>
  <c r="AI34" i="2"/>
  <c r="AH34" i="2"/>
  <c r="AG34" i="2"/>
  <c r="AF34" i="2"/>
  <c r="AD34" i="2"/>
  <c r="AC34" i="2"/>
  <c r="AA34" i="2"/>
  <c r="Z34" i="2"/>
  <c r="Y34" i="2"/>
  <c r="X34" i="2"/>
  <c r="V34" i="2"/>
  <c r="U34" i="2"/>
  <c r="S34" i="2"/>
  <c r="R34" i="2"/>
  <c r="Q34" i="2"/>
  <c r="P34" i="2"/>
  <c r="O34" i="2"/>
  <c r="N34" i="2"/>
  <c r="M34" i="2"/>
  <c r="K34" i="2"/>
  <c r="J34" i="2"/>
  <c r="I34" i="2"/>
  <c r="H34" i="2"/>
  <c r="F34" i="2"/>
  <c r="E34" i="2"/>
  <c r="C34" i="2"/>
  <c r="CH33" i="2"/>
  <c r="CG33" i="2"/>
  <c r="CE33" i="2"/>
  <c r="CD33" i="2"/>
  <c r="CC33" i="2"/>
  <c r="CB33" i="2"/>
  <c r="BZ33" i="2"/>
  <c r="BY33" i="2"/>
  <c r="BX33" i="2"/>
  <c r="BW33" i="2"/>
  <c r="BV33" i="2"/>
  <c r="BU33" i="2"/>
  <c r="BT33" i="2"/>
  <c r="BR33" i="2"/>
  <c r="BQ33" i="2"/>
  <c r="BO33" i="2"/>
  <c r="BN33" i="2"/>
  <c r="BM33" i="2"/>
  <c r="BL33" i="2"/>
  <c r="BJ33" i="2"/>
  <c r="BI33" i="2"/>
  <c r="BG33" i="2"/>
  <c r="BF33" i="2"/>
  <c r="BE33" i="2"/>
  <c r="BD33" i="2"/>
  <c r="BB33" i="2"/>
  <c r="BA33" i="2"/>
  <c r="AZ33" i="2"/>
  <c r="AY33" i="2"/>
  <c r="AX33" i="2"/>
  <c r="AW33" i="2"/>
  <c r="AV33" i="2"/>
  <c r="AT33" i="2"/>
  <c r="AS33" i="2"/>
  <c r="AQ33" i="2"/>
  <c r="AP33" i="2"/>
  <c r="AO33" i="2"/>
  <c r="AN33" i="2"/>
  <c r="AL33" i="2"/>
  <c r="AK33" i="2"/>
  <c r="AI33" i="2"/>
  <c r="AH33" i="2"/>
  <c r="AG33" i="2"/>
  <c r="AF33" i="2"/>
  <c r="AD33" i="2"/>
  <c r="AC33" i="2"/>
  <c r="AA33" i="2"/>
  <c r="Z33" i="2"/>
  <c r="Y33" i="2"/>
  <c r="X33" i="2"/>
  <c r="V33" i="2"/>
  <c r="U33" i="2"/>
  <c r="S33" i="2"/>
  <c r="R33" i="2"/>
  <c r="Q33" i="2"/>
  <c r="P33" i="2"/>
  <c r="N33" i="2"/>
  <c r="M33" i="2"/>
  <c r="L33" i="2"/>
  <c r="K33" i="2"/>
  <c r="J33" i="2"/>
  <c r="I33" i="2"/>
  <c r="H33" i="2"/>
  <c r="F33" i="2"/>
  <c r="E33" i="2"/>
  <c r="C33" i="2"/>
  <c r="CH32" i="2"/>
  <c r="CG32" i="2"/>
  <c r="CE32" i="2"/>
  <c r="CD32" i="2"/>
  <c r="CC32" i="2"/>
  <c r="CB32" i="2"/>
  <c r="CA32" i="2"/>
  <c r="BZ32" i="2"/>
  <c r="BY32" i="2"/>
  <c r="BW32" i="2"/>
  <c r="BV32" i="2"/>
  <c r="BU32" i="2"/>
  <c r="BT32" i="2"/>
  <c r="BS32" i="2"/>
  <c r="BR32" i="2"/>
  <c r="BQ32" i="2"/>
  <c r="BO32" i="2"/>
  <c r="BN32" i="2"/>
  <c r="BM32" i="2"/>
  <c r="BL32" i="2"/>
  <c r="BK32" i="2"/>
  <c r="BJ32" i="2"/>
  <c r="BI32" i="2"/>
  <c r="BG32" i="2"/>
  <c r="BF32" i="2"/>
  <c r="BE32" i="2"/>
  <c r="BD32" i="2"/>
  <c r="BC32" i="2"/>
  <c r="BB32" i="2"/>
  <c r="BA32" i="2"/>
  <c r="AY32" i="2"/>
  <c r="AX32" i="2"/>
  <c r="AW32" i="2"/>
  <c r="AV32" i="2"/>
  <c r="AU32" i="2"/>
  <c r="AT32" i="2"/>
  <c r="AS32" i="2"/>
  <c r="AQ32" i="2"/>
  <c r="AP32" i="2"/>
  <c r="AO32" i="2"/>
  <c r="AN32" i="2"/>
  <c r="AM32" i="2"/>
  <c r="AL32" i="2"/>
  <c r="AK32" i="2"/>
  <c r="AI32" i="2"/>
  <c r="AH32" i="2"/>
  <c r="AG32" i="2"/>
  <c r="AF32" i="2"/>
  <c r="AE32" i="2"/>
  <c r="AD32" i="2"/>
  <c r="AC32" i="2"/>
  <c r="AA32" i="2"/>
  <c r="Z32" i="2"/>
  <c r="Y32" i="2"/>
  <c r="X32" i="2"/>
  <c r="W32" i="2"/>
  <c r="V32" i="2"/>
  <c r="U32" i="2"/>
  <c r="S32" i="2"/>
  <c r="R32" i="2"/>
  <c r="Q32" i="2"/>
  <c r="P32" i="2"/>
  <c r="O32" i="2"/>
  <c r="N32" i="2"/>
  <c r="M32" i="2"/>
  <c r="K32" i="2"/>
  <c r="J32" i="2"/>
  <c r="I32" i="2"/>
  <c r="H32" i="2"/>
  <c r="G32" i="2"/>
  <c r="F32" i="2"/>
  <c r="E32" i="2"/>
  <c r="C32" i="2"/>
  <c r="CH31" i="2"/>
  <c r="CG31" i="2"/>
  <c r="CE31" i="2"/>
  <c r="CD31" i="2"/>
  <c r="CC31" i="2"/>
  <c r="CB31" i="2"/>
  <c r="BZ31" i="2"/>
  <c r="BY31" i="2"/>
  <c r="BW31" i="2"/>
  <c r="BV31" i="2"/>
  <c r="BU31" i="2"/>
  <c r="BT31" i="2"/>
  <c r="BR31" i="2"/>
  <c r="BQ31" i="2"/>
  <c r="BP31" i="2"/>
  <c r="BO31" i="2"/>
  <c r="BN31" i="2"/>
  <c r="BM31" i="2"/>
  <c r="BL31" i="2"/>
  <c r="BJ31" i="2"/>
  <c r="BI31" i="2"/>
  <c r="BG31" i="2"/>
  <c r="BF31" i="2"/>
  <c r="BE31" i="2"/>
  <c r="BD31" i="2"/>
  <c r="BB31" i="2"/>
  <c r="BA31" i="2"/>
  <c r="AY31" i="2"/>
  <c r="AX31" i="2"/>
  <c r="AW31" i="2"/>
  <c r="AV31" i="2"/>
  <c r="AT31" i="2"/>
  <c r="AS31" i="2"/>
  <c r="AQ31" i="2"/>
  <c r="AP31" i="2"/>
  <c r="AO31" i="2"/>
  <c r="AN31" i="2"/>
  <c r="AL31" i="2"/>
  <c r="AK31" i="2"/>
  <c r="AI31" i="2"/>
  <c r="AH31" i="2"/>
  <c r="AG31" i="2"/>
  <c r="AF31" i="2"/>
  <c r="AD31" i="2"/>
  <c r="AC31" i="2"/>
  <c r="AB31" i="2"/>
  <c r="AA31" i="2"/>
  <c r="Z31" i="2"/>
  <c r="Y31" i="2"/>
  <c r="X31" i="2"/>
  <c r="V31" i="2"/>
  <c r="U31" i="2"/>
  <c r="S31" i="2"/>
  <c r="R31" i="2"/>
  <c r="Q31" i="2"/>
  <c r="P31" i="2"/>
  <c r="N31" i="2"/>
  <c r="M31" i="2"/>
  <c r="K31" i="2"/>
  <c r="J31" i="2"/>
  <c r="I31" i="2"/>
  <c r="H31" i="2"/>
  <c r="F31" i="2"/>
  <c r="E31" i="2"/>
  <c r="D31" i="2"/>
  <c r="C31" i="2"/>
  <c r="CH30" i="2"/>
  <c r="CG30" i="2"/>
  <c r="CE30" i="2"/>
  <c r="CD30" i="2"/>
  <c r="CC30" i="2"/>
  <c r="CB30" i="2"/>
  <c r="BZ30" i="2"/>
  <c r="BY30" i="2"/>
  <c r="BW30" i="2"/>
  <c r="BV30" i="2"/>
  <c r="BU30" i="2"/>
  <c r="BT30" i="2"/>
  <c r="BR30" i="2"/>
  <c r="BQ30" i="2"/>
  <c r="BO30" i="2"/>
  <c r="BN30" i="2"/>
  <c r="BM30" i="2"/>
  <c r="BL30" i="2"/>
  <c r="BJ30" i="2"/>
  <c r="BI30" i="2"/>
  <c r="BG30" i="2"/>
  <c r="BF30" i="2"/>
  <c r="BE30" i="2"/>
  <c r="BD30" i="2"/>
  <c r="BB30" i="2"/>
  <c r="BA30" i="2"/>
  <c r="AY30" i="2"/>
  <c r="AX30" i="2"/>
  <c r="AW30" i="2"/>
  <c r="AV30" i="2"/>
  <c r="AT30" i="2"/>
  <c r="AS30" i="2"/>
  <c r="AQ30" i="2"/>
  <c r="AP30" i="2"/>
  <c r="AO30" i="2"/>
  <c r="AN30" i="2"/>
  <c r="AL30" i="2"/>
  <c r="AK30" i="2"/>
  <c r="AI30" i="2"/>
  <c r="AH30" i="2"/>
  <c r="AG30" i="2"/>
  <c r="AF30" i="2"/>
  <c r="AD30" i="2"/>
  <c r="AC30" i="2"/>
  <c r="AA30" i="2"/>
  <c r="Z30" i="2"/>
  <c r="Y30" i="2"/>
  <c r="X30" i="2"/>
  <c r="V30" i="2"/>
  <c r="U30" i="2"/>
  <c r="S30" i="2"/>
  <c r="R30" i="2"/>
  <c r="Q30" i="2"/>
  <c r="P30" i="2"/>
  <c r="N30" i="2"/>
  <c r="M30" i="2"/>
  <c r="K30" i="2"/>
  <c r="J30" i="2"/>
  <c r="I30" i="2"/>
  <c r="H30" i="2"/>
  <c r="F30" i="2"/>
  <c r="E30" i="2"/>
  <c r="C30" i="2"/>
  <c r="CH29" i="2"/>
  <c r="CG29" i="2"/>
  <c r="CF29" i="2"/>
  <c r="CE29" i="2"/>
  <c r="CD29" i="2"/>
  <c r="CC29" i="2"/>
  <c r="CB29" i="2"/>
  <c r="BZ29" i="2"/>
  <c r="BY29" i="2"/>
  <c r="BW29" i="2"/>
  <c r="BV29" i="2"/>
  <c r="BU29" i="2"/>
  <c r="BT29" i="2"/>
  <c r="BR29" i="2"/>
  <c r="BQ29" i="2"/>
  <c r="BO29" i="2"/>
  <c r="BN29" i="2"/>
  <c r="BM29" i="2"/>
  <c r="BL29" i="2"/>
  <c r="BJ29" i="2"/>
  <c r="BI29" i="2"/>
  <c r="BG29" i="2"/>
  <c r="BF29" i="2"/>
  <c r="BE29" i="2"/>
  <c r="BD29" i="2"/>
  <c r="BB29" i="2"/>
  <c r="BA29" i="2"/>
  <c r="AY29" i="2"/>
  <c r="AX29" i="2"/>
  <c r="AW29" i="2"/>
  <c r="AV29" i="2"/>
  <c r="AT29" i="2"/>
  <c r="AS29" i="2"/>
  <c r="AR29" i="2"/>
  <c r="AQ29" i="2"/>
  <c r="AP29" i="2"/>
  <c r="AO29" i="2"/>
  <c r="AN29" i="2"/>
  <c r="AL29" i="2"/>
  <c r="AK29" i="2"/>
  <c r="AI29" i="2"/>
  <c r="AH29" i="2"/>
  <c r="AG29" i="2"/>
  <c r="AF29" i="2"/>
  <c r="AD29" i="2"/>
  <c r="AC29" i="2"/>
  <c r="AA29" i="2"/>
  <c r="Z29" i="2"/>
  <c r="Y29" i="2"/>
  <c r="X29" i="2"/>
  <c r="V29" i="2"/>
  <c r="U29" i="2"/>
  <c r="T29" i="2"/>
  <c r="S29" i="2"/>
  <c r="R29" i="2"/>
  <c r="Q29" i="2"/>
  <c r="P29" i="2"/>
  <c r="N29" i="2"/>
  <c r="M29" i="2"/>
  <c r="K29" i="2"/>
  <c r="J29" i="2"/>
  <c r="I29" i="2"/>
  <c r="H29" i="2"/>
  <c r="F29" i="2"/>
  <c r="E29" i="2"/>
  <c r="C29" i="2"/>
  <c r="CH28" i="2"/>
  <c r="CG28" i="2"/>
  <c r="CE28" i="2"/>
  <c r="CD28" i="2"/>
  <c r="CC28" i="2"/>
  <c r="CB28" i="2"/>
  <c r="BZ28" i="2"/>
  <c r="BY28" i="2"/>
  <c r="BW28" i="2"/>
  <c r="BV28" i="2"/>
  <c r="BU28" i="2"/>
  <c r="BT28" i="2"/>
  <c r="BR28" i="2"/>
  <c r="BQ28" i="2"/>
  <c r="BO28" i="2"/>
  <c r="BN28" i="2"/>
  <c r="BM28" i="2"/>
  <c r="BL28" i="2"/>
  <c r="BJ28" i="2"/>
  <c r="BI28" i="2"/>
  <c r="BG28" i="2"/>
  <c r="BF28" i="2"/>
  <c r="BE28" i="2"/>
  <c r="BD28" i="2"/>
  <c r="BB28" i="2"/>
  <c r="BA28" i="2"/>
  <c r="AY28" i="2"/>
  <c r="AX28" i="2"/>
  <c r="AW28" i="2"/>
  <c r="AV28" i="2"/>
  <c r="AT28" i="2"/>
  <c r="AS28" i="2"/>
  <c r="AQ28" i="2"/>
  <c r="AP28" i="2"/>
  <c r="AO28" i="2"/>
  <c r="AN28" i="2"/>
  <c r="AL28" i="2"/>
  <c r="AK28" i="2"/>
  <c r="AI28" i="2"/>
  <c r="AH28" i="2"/>
  <c r="AG28" i="2"/>
  <c r="AF28" i="2"/>
  <c r="AD28" i="2"/>
  <c r="AC28" i="2"/>
  <c r="AA28" i="2"/>
  <c r="Z28" i="2"/>
  <c r="Y28" i="2"/>
  <c r="X28" i="2"/>
  <c r="V28" i="2"/>
  <c r="U28" i="2"/>
  <c r="S28" i="2"/>
  <c r="R28" i="2"/>
  <c r="Q28" i="2"/>
  <c r="P28" i="2"/>
  <c r="N28" i="2"/>
  <c r="M28" i="2"/>
  <c r="K28" i="2"/>
  <c r="J28" i="2"/>
  <c r="I28" i="2"/>
  <c r="H28" i="2"/>
  <c r="F28" i="2"/>
  <c r="E28" i="2"/>
  <c r="C28" i="2"/>
  <c r="CH27" i="2"/>
  <c r="CG27" i="2"/>
  <c r="CE27" i="2"/>
  <c r="CD27" i="2"/>
  <c r="CC27" i="2"/>
  <c r="CB27" i="2"/>
  <c r="BZ27" i="2"/>
  <c r="BY27" i="2"/>
  <c r="BW27" i="2"/>
  <c r="BV27" i="2"/>
  <c r="BU27" i="2"/>
  <c r="BT27" i="2"/>
  <c r="BR27" i="2"/>
  <c r="BQ27" i="2"/>
  <c r="BO27" i="2"/>
  <c r="BN27" i="2"/>
  <c r="BM27" i="2"/>
  <c r="BL27" i="2"/>
  <c r="BJ27" i="2"/>
  <c r="BI27" i="2"/>
  <c r="BH27" i="2"/>
  <c r="BG27" i="2"/>
  <c r="BF27" i="2"/>
  <c r="BE27" i="2"/>
  <c r="BD27" i="2"/>
  <c r="BB27" i="2"/>
  <c r="BA27" i="2"/>
  <c r="AY27" i="2"/>
  <c r="AX27" i="2"/>
  <c r="AW27" i="2"/>
  <c r="AV27" i="2"/>
  <c r="AT27" i="2"/>
  <c r="AS27" i="2"/>
  <c r="AQ27" i="2"/>
  <c r="AP27" i="2"/>
  <c r="AO27" i="2"/>
  <c r="AN27" i="2"/>
  <c r="AL27" i="2"/>
  <c r="AK27" i="2"/>
  <c r="AJ27" i="2"/>
  <c r="AI27" i="2"/>
  <c r="AH27" i="2"/>
  <c r="AG27" i="2"/>
  <c r="AF27" i="2"/>
  <c r="AD27" i="2"/>
  <c r="AC27" i="2"/>
  <c r="AA27" i="2"/>
  <c r="Z27" i="2"/>
  <c r="Y27" i="2"/>
  <c r="X27" i="2"/>
  <c r="V27" i="2"/>
  <c r="U27" i="2"/>
  <c r="S27" i="2"/>
  <c r="R27" i="2"/>
  <c r="Q27" i="2"/>
  <c r="P27" i="2"/>
  <c r="N27" i="2"/>
  <c r="M27" i="2"/>
  <c r="K27" i="2"/>
  <c r="J27" i="2"/>
  <c r="I27" i="2"/>
  <c r="H27" i="2"/>
  <c r="F27" i="2"/>
  <c r="E27" i="2"/>
  <c r="C27" i="2"/>
  <c r="CH26" i="2"/>
  <c r="CG26" i="2"/>
  <c r="CF26" i="2"/>
  <c r="CE26" i="2"/>
  <c r="CD26" i="2"/>
  <c r="CC26" i="2"/>
  <c r="CB26" i="2"/>
  <c r="BZ26" i="2"/>
  <c r="BY26" i="2"/>
  <c r="BX26" i="2"/>
  <c r="BW26" i="2"/>
  <c r="BV26" i="2"/>
  <c r="BU26" i="2"/>
  <c r="BT26" i="2"/>
  <c r="BR26" i="2"/>
  <c r="BQ26" i="2"/>
  <c r="BP26" i="2"/>
  <c r="BO26" i="2"/>
  <c r="BN26" i="2"/>
  <c r="BM26" i="2"/>
  <c r="BL26" i="2"/>
  <c r="BJ26" i="2"/>
  <c r="BI26" i="2"/>
  <c r="BH26" i="2"/>
  <c r="BG26" i="2"/>
  <c r="BF26" i="2"/>
  <c r="BE26" i="2"/>
  <c r="BD26" i="2"/>
  <c r="BB26" i="2"/>
  <c r="BA26" i="2"/>
  <c r="AZ26" i="2"/>
  <c r="AY26" i="2"/>
  <c r="AX26" i="2"/>
  <c r="AW26" i="2"/>
  <c r="AV26" i="2"/>
  <c r="AT26" i="2"/>
  <c r="AS26" i="2"/>
  <c r="AR26" i="2"/>
  <c r="AQ26" i="2"/>
  <c r="AP26" i="2"/>
  <c r="AO26" i="2"/>
  <c r="AN26" i="2"/>
  <c r="AL26" i="2"/>
  <c r="AK26" i="2"/>
  <c r="AJ26" i="2"/>
  <c r="AI26" i="2"/>
  <c r="AH26" i="2"/>
  <c r="AG26" i="2"/>
  <c r="AF26" i="2"/>
  <c r="AD26" i="2"/>
  <c r="AC26" i="2"/>
  <c r="AB26" i="2"/>
  <c r="AA26" i="2"/>
  <c r="Z26" i="2"/>
  <c r="Y26" i="2"/>
  <c r="X26" i="2"/>
  <c r="V26" i="2"/>
  <c r="U26" i="2"/>
  <c r="T26" i="2"/>
  <c r="S26" i="2"/>
  <c r="R26" i="2"/>
  <c r="Q26" i="2"/>
  <c r="P26" i="2"/>
  <c r="N26" i="2"/>
  <c r="M26" i="2"/>
  <c r="L26" i="2"/>
  <c r="K26" i="2"/>
  <c r="J26" i="2"/>
  <c r="I26" i="2"/>
  <c r="H26" i="2"/>
  <c r="F26" i="2"/>
  <c r="E26" i="2"/>
  <c r="D26" i="2"/>
  <c r="C26" i="2"/>
  <c r="CH25" i="2"/>
  <c r="CG25" i="2"/>
  <c r="CE25" i="2"/>
  <c r="CD25" i="2"/>
  <c r="CC25" i="2"/>
  <c r="CB25" i="2"/>
  <c r="BZ25" i="2"/>
  <c r="BY25" i="2"/>
  <c r="BX25" i="2"/>
  <c r="BW25" i="2"/>
  <c r="BV25" i="2"/>
  <c r="BU25" i="2"/>
  <c r="BT25" i="2"/>
  <c r="BR25" i="2"/>
  <c r="BQ25" i="2"/>
  <c r="BO25" i="2"/>
  <c r="BN25" i="2"/>
  <c r="BM25" i="2"/>
  <c r="BL25" i="2"/>
  <c r="BJ25" i="2"/>
  <c r="BI25" i="2"/>
  <c r="BG25" i="2"/>
  <c r="BF25" i="2"/>
  <c r="BE25" i="2"/>
  <c r="BD25" i="2"/>
  <c r="BB25" i="2"/>
  <c r="BA25" i="2"/>
  <c r="AZ25" i="2"/>
  <c r="AY25" i="2"/>
  <c r="AX25" i="2"/>
  <c r="AW25" i="2"/>
  <c r="AV25" i="2"/>
  <c r="AT25" i="2"/>
  <c r="AS25" i="2"/>
  <c r="AQ25" i="2"/>
  <c r="AP25" i="2"/>
  <c r="AO25" i="2"/>
  <c r="AN25" i="2"/>
  <c r="AL25" i="2"/>
  <c r="AK25" i="2"/>
  <c r="AI25" i="2"/>
  <c r="AH25" i="2"/>
  <c r="AG25" i="2"/>
  <c r="AF25" i="2"/>
  <c r="AD25" i="2"/>
  <c r="AC25" i="2"/>
  <c r="AA25" i="2"/>
  <c r="Z25" i="2"/>
  <c r="Y25" i="2"/>
  <c r="X25" i="2"/>
  <c r="V25" i="2"/>
  <c r="U25" i="2"/>
  <c r="S25" i="2"/>
  <c r="R25" i="2"/>
  <c r="Q25" i="2"/>
  <c r="P25" i="2"/>
  <c r="N25" i="2"/>
  <c r="M25" i="2"/>
  <c r="L25" i="2"/>
  <c r="K25" i="2"/>
  <c r="J25" i="2"/>
  <c r="I25" i="2"/>
  <c r="H25" i="2"/>
  <c r="F25" i="2"/>
  <c r="E25" i="2"/>
  <c r="C25" i="2"/>
  <c r="CH24" i="2"/>
  <c r="CG24" i="2"/>
  <c r="CE24" i="2"/>
  <c r="CD24" i="2"/>
  <c r="CC24" i="2"/>
  <c r="CB24" i="2"/>
  <c r="CA24" i="2"/>
  <c r="BZ24" i="2"/>
  <c r="BY24" i="2"/>
  <c r="BW24" i="2"/>
  <c r="BV24" i="2"/>
  <c r="BU24" i="2"/>
  <c r="BT24" i="2"/>
  <c r="BS24" i="2"/>
  <c r="BR24" i="2"/>
  <c r="BQ24" i="2"/>
  <c r="BO24" i="2"/>
  <c r="BN24" i="2"/>
  <c r="BM24" i="2"/>
  <c r="BL24" i="2"/>
  <c r="BK24" i="2"/>
  <c r="BJ24" i="2"/>
  <c r="BI24" i="2"/>
  <c r="BG24" i="2"/>
  <c r="BF24" i="2"/>
  <c r="BE24" i="2"/>
  <c r="BD24" i="2"/>
  <c r="BC24" i="2"/>
  <c r="BB24" i="2"/>
  <c r="BA24" i="2"/>
  <c r="AY24" i="2"/>
  <c r="AX24" i="2"/>
  <c r="AW24" i="2"/>
  <c r="AV24" i="2"/>
  <c r="AU24" i="2"/>
  <c r="AT24" i="2"/>
  <c r="AS24" i="2"/>
  <c r="AQ24" i="2"/>
  <c r="AP24" i="2"/>
  <c r="AO24" i="2"/>
  <c r="AN24" i="2"/>
  <c r="AM24" i="2"/>
  <c r="AL24" i="2"/>
  <c r="AK24" i="2"/>
  <c r="AI24" i="2"/>
  <c r="AH24" i="2"/>
  <c r="AG24" i="2"/>
  <c r="AF24" i="2"/>
  <c r="AE24" i="2"/>
  <c r="AD24" i="2"/>
  <c r="AC24" i="2"/>
  <c r="AA24" i="2"/>
  <c r="Z24" i="2"/>
  <c r="Y24" i="2"/>
  <c r="X24" i="2"/>
  <c r="W24" i="2"/>
  <c r="V24" i="2"/>
  <c r="U24" i="2"/>
  <c r="S24" i="2"/>
  <c r="R24" i="2"/>
  <c r="Q24" i="2"/>
  <c r="P24" i="2"/>
  <c r="O24" i="2"/>
  <c r="N24" i="2"/>
  <c r="M24" i="2"/>
  <c r="K24" i="2"/>
  <c r="J24" i="2"/>
  <c r="I24" i="2"/>
  <c r="H24" i="2"/>
  <c r="G24" i="2"/>
  <c r="F24" i="2"/>
  <c r="E24" i="2"/>
  <c r="C24" i="2"/>
  <c r="CH23" i="2"/>
  <c r="CG23" i="2"/>
  <c r="CE23" i="2"/>
  <c r="CD23" i="2"/>
  <c r="CC23" i="2"/>
  <c r="CB23" i="2"/>
  <c r="BZ23" i="2"/>
  <c r="BY23" i="2"/>
  <c r="BW23" i="2"/>
  <c r="BV23" i="2"/>
  <c r="BU23" i="2"/>
  <c r="BT23" i="2"/>
  <c r="BR23" i="2"/>
  <c r="BQ23" i="2"/>
  <c r="BO23" i="2"/>
  <c r="BN23" i="2"/>
  <c r="BM23" i="2"/>
  <c r="BL23" i="2"/>
  <c r="BJ23" i="2"/>
  <c r="BI23" i="2"/>
  <c r="BG23" i="2"/>
  <c r="BF23" i="2"/>
  <c r="BE23" i="2"/>
  <c r="BD23" i="2"/>
  <c r="BB23" i="2"/>
  <c r="BA23" i="2"/>
  <c r="AY23" i="2"/>
  <c r="AX23" i="2"/>
  <c r="AW23" i="2"/>
  <c r="AV23" i="2"/>
  <c r="AT23" i="2"/>
  <c r="AS23" i="2"/>
  <c r="AQ23" i="2"/>
  <c r="AP23" i="2"/>
  <c r="AO23" i="2"/>
  <c r="AN23" i="2"/>
  <c r="AL23" i="2"/>
  <c r="AK23" i="2"/>
  <c r="AI23" i="2"/>
  <c r="AH23" i="2"/>
  <c r="AG23" i="2"/>
  <c r="AF23" i="2"/>
  <c r="AD23" i="2"/>
  <c r="AC23" i="2"/>
  <c r="AA23" i="2"/>
  <c r="Z23" i="2"/>
  <c r="Y23" i="2"/>
  <c r="X23" i="2"/>
  <c r="V23" i="2"/>
  <c r="U23" i="2"/>
  <c r="S23" i="2"/>
  <c r="R23" i="2"/>
  <c r="Q23" i="2"/>
  <c r="P23" i="2"/>
  <c r="N23" i="2"/>
  <c r="M23" i="2"/>
  <c r="K23" i="2"/>
  <c r="J23" i="2"/>
  <c r="I23" i="2"/>
  <c r="H23" i="2"/>
  <c r="F23" i="2"/>
  <c r="E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D12" i="1" s="1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CE11" i="2"/>
  <c r="CD11" i="2"/>
  <c r="CC11" i="2"/>
  <c r="CB11" i="2"/>
  <c r="CA11" i="2"/>
  <c r="BZ11" i="2"/>
  <c r="AA8" i="3" s="1"/>
  <c r="BY11" i="2"/>
  <c r="BX11" i="2"/>
  <c r="BW11" i="2"/>
  <c r="H8" i="1" s="1"/>
  <c r="H41" i="5" s="1"/>
  <c r="BV11" i="2"/>
  <c r="BU11" i="2"/>
  <c r="BT11" i="2"/>
  <c r="Y8" i="3" s="1"/>
  <c r="BS11" i="2"/>
  <c r="BR11" i="2"/>
  <c r="BQ11" i="2"/>
  <c r="BP11" i="2"/>
  <c r="BO11" i="2"/>
  <c r="BN11" i="2"/>
  <c r="BM11" i="2"/>
  <c r="BL11" i="2"/>
  <c r="BK11" i="2"/>
  <c r="BJ11" i="2"/>
  <c r="G8" i="1" s="1"/>
  <c r="G41" i="5" s="1"/>
  <c r="BI11" i="2"/>
  <c r="BH11" i="2"/>
  <c r="BG11" i="2"/>
  <c r="BF11" i="2"/>
  <c r="BE11" i="2"/>
  <c r="BD11" i="2"/>
  <c r="BC11" i="2"/>
  <c r="BB11" i="2"/>
  <c r="S8" i="3" s="1"/>
  <c r="BA11" i="2"/>
  <c r="AZ11" i="2"/>
  <c r="AY11" i="2"/>
  <c r="AX11" i="2"/>
  <c r="AW11" i="2"/>
  <c r="AV11" i="2"/>
  <c r="Q8" i="3" s="1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K8" i="3" s="1"/>
  <c r="AC11" i="2"/>
  <c r="AB11" i="2"/>
  <c r="AA11" i="2"/>
  <c r="D8" i="1" s="1"/>
  <c r="D41" i="5" s="1"/>
  <c r="Z11" i="2"/>
  <c r="Y11" i="2"/>
  <c r="X11" i="2"/>
  <c r="I8" i="3" s="1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C8" i="3" s="1"/>
  <c r="E11" i="2"/>
  <c r="D11" i="2"/>
  <c r="C11" i="2"/>
  <c r="AE10" i="2"/>
  <c r="AD10" i="2"/>
  <c r="AC10" i="2"/>
  <c r="AB10" i="2"/>
  <c r="AA10" i="2"/>
  <c r="Z10" i="2"/>
  <c r="Y10" i="2"/>
  <c r="W10" i="2"/>
  <c r="V10" i="2"/>
  <c r="U10" i="2"/>
  <c r="T10" i="2"/>
  <c r="S10" i="2"/>
  <c r="R10" i="2"/>
  <c r="Q10" i="2"/>
  <c r="O10" i="2"/>
  <c r="N10" i="2"/>
  <c r="M10" i="2"/>
  <c r="L10" i="2"/>
  <c r="E7" i="3" s="1"/>
  <c r="K10" i="2"/>
  <c r="J10" i="2"/>
  <c r="I10" i="2"/>
  <c r="G10" i="2"/>
  <c r="F10" i="2"/>
  <c r="E10" i="2"/>
  <c r="D10" i="2"/>
  <c r="C10" i="2"/>
  <c r="CH7" i="2"/>
  <c r="CG7" i="2"/>
  <c r="I3" i="1" s="1"/>
  <c r="CF7" i="2"/>
  <c r="CE7" i="2"/>
  <c r="CD7" i="2"/>
  <c r="CC7" i="2"/>
  <c r="CB7" i="2"/>
  <c r="CA7" i="2"/>
  <c r="BZ7" i="2"/>
  <c r="BY7" i="2"/>
  <c r="H3" i="1" s="1"/>
  <c r="BX7" i="2"/>
  <c r="BW7" i="2"/>
  <c r="BV7" i="2"/>
  <c r="BU7" i="2"/>
  <c r="BT7" i="2"/>
  <c r="BS7" i="2"/>
  <c r="BR7" i="2"/>
  <c r="BQ7" i="2"/>
  <c r="X3" i="3" s="1"/>
  <c r="BP7" i="2"/>
  <c r="BO7" i="2"/>
  <c r="BN7" i="2"/>
  <c r="W3" i="3" s="1"/>
  <c r="BM7" i="2"/>
  <c r="BL7" i="2"/>
  <c r="BK7" i="2"/>
  <c r="BJ7" i="2"/>
  <c r="BI7" i="2"/>
  <c r="G3" i="1" s="1"/>
  <c r="BH7" i="2"/>
  <c r="BG7" i="2"/>
  <c r="BF7" i="2"/>
  <c r="BE7" i="2"/>
  <c r="BD7" i="2"/>
  <c r="BC7" i="2"/>
  <c r="BB7" i="2"/>
  <c r="BA7" i="2"/>
  <c r="F3" i="1" s="1"/>
  <c r="AZ7" i="2"/>
  <c r="AY7" i="2"/>
  <c r="AX7" i="2"/>
  <c r="AW7" i="2"/>
  <c r="AV7" i="2"/>
  <c r="AU7" i="2"/>
  <c r="AT7" i="2"/>
  <c r="AS7" i="2"/>
  <c r="P3" i="3" s="1"/>
  <c r="AR7" i="2"/>
  <c r="AQ7" i="2"/>
  <c r="AP7" i="2"/>
  <c r="O3" i="3" s="1"/>
  <c r="AO7" i="2"/>
  <c r="AN7" i="2"/>
  <c r="AM7" i="2"/>
  <c r="AL7" i="2"/>
  <c r="AK7" i="2"/>
  <c r="E3" i="1" s="1"/>
  <c r="AJ7" i="2"/>
  <c r="AI7" i="2"/>
  <c r="AH7" i="2"/>
  <c r="AG7" i="2"/>
  <c r="AF7" i="2"/>
  <c r="AE7" i="2"/>
  <c r="AD7" i="2"/>
  <c r="AC7" i="2"/>
  <c r="D3" i="1" s="1"/>
  <c r="AB7" i="2"/>
  <c r="AA7" i="2"/>
  <c r="Z7" i="2"/>
  <c r="Y7" i="2"/>
  <c r="X7" i="2"/>
  <c r="W7" i="2"/>
  <c r="V7" i="2"/>
  <c r="U7" i="2"/>
  <c r="H3" i="3" s="1"/>
  <c r="T7" i="2"/>
  <c r="S7" i="2"/>
  <c r="R7" i="2"/>
  <c r="G3" i="3" s="1"/>
  <c r="Q7" i="2"/>
  <c r="P7" i="2"/>
  <c r="O7" i="2"/>
  <c r="N7" i="2"/>
  <c r="M7" i="2"/>
  <c r="C3" i="1" s="1"/>
  <c r="L7" i="2"/>
  <c r="K7" i="2"/>
  <c r="J7" i="2"/>
  <c r="I7" i="2"/>
  <c r="H7" i="2"/>
  <c r="G7" i="2"/>
  <c r="F7" i="2"/>
  <c r="E7" i="2"/>
  <c r="B3" i="1" s="1"/>
  <c r="D7" i="2"/>
  <c r="C7" i="2"/>
  <c r="B44" i="1"/>
  <c r="I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19" i="1"/>
  <c r="I8" i="1"/>
  <c r="I41" i="5" s="1"/>
  <c r="D34" i="9"/>
  <c r="D33" i="9"/>
  <c r="D32" i="9"/>
  <c r="D31" i="9"/>
  <c r="D30" i="9"/>
  <c r="D29" i="9"/>
  <c r="D28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L77" i="2" l="1"/>
  <c r="L75" i="2"/>
  <c r="L73" i="2"/>
  <c r="L71" i="2"/>
  <c r="L76" i="2"/>
  <c r="L74" i="2"/>
  <c r="L72" i="2"/>
  <c r="L37" i="2"/>
  <c r="L35" i="2"/>
  <c r="L34" i="2"/>
  <c r="AB77" i="2"/>
  <c r="AB75" i="2"/>
  <c r="AB73" i="2"/>
  <c r="AB71" i="2"/>
  <c r="AB76" i="2"/>
  <c r="AB74" i="2"/>
  <c r="AB72" i="2"/>
  <c r="AB37" i="2"/>
  <c r="AB35" i="2"/>
  <c r="AB34" i="2"/>
  <c r="AZ77" i="2"/>
  <c r="AZ75" i="2"/>
  <c r="AZ73" i="2"/>
  <c r="AZ71" i="2"/>
  <c r="AZ76" i="2"/>
  <c r="AZ74" i="2"/>
  <c r="AZ72" i="2"/>
  <c r="AZ37" i="2"/>
  <c r="AZ35" i="2"/>
  <c r="AZ34" i="2"/>
  <c r="BP77" i="2"/>
  <c r="BP75" i="2"/>
  <c r="BP73" i="2"/>
  <c r="BP71" i="2"/>
  <c r="BP76" i="2"/>
  <c r="BP74" i="2"/>
  <c r="BP72" i="2"/>
  <c r="BP37" i="2"/>
  <c r="BP35" i="2"/>
  <c r="BP38" i="2"/>
  <c r="BP34" i="2"/>
  <c r="BX77" i="2"/>
  <c r="BX75" i="2"/>
  <c r="BX73" i="2"/>
  <c r="BX71" i="2"/>
  <c r="BX76" i="2"/>
  <c r="BX74" i="2"/>
  <c r="BX72" i="2"/>
  <c r="BX37" i="2"/>
  <c r="BX35" i="2"/>
  <c r="BX34" i="2"/>
  <c r="BX38" i="2"/>
  <c r="G7" i="3"/>
  <c r="B8" i="1"/>
  <c r="B41" i="5" s="1"/>
  <c r="E8" i="3"/>
  <c r="M8" i="3"/>
  <c r="F8" i="1"/>
  <c r="F41" i="5" s="1"/>
  <c r="U8" i="3"/>
  <c r="I12" i="3"/>
  <c r="D23" i="2"/>
  <c r="L23" i="2"/>
  <c r="T23" i="2"/>
  <c r="AB23" i="2"/>
  <c r="AJ23" i="2"/>
  <c r="AR23" i="2"/>
  <c r="AZ23" i="2"/>
  <c r="BH23" i="2"/>
  <c r="BP23" i="2"/>
  <c r="BX23" i="2"/>
  <c r="CF23" i="2"/>
  <c r="D25" i="2"/>
  <c r="BP25" i="2"/>
  <c r="AZ27" i="2"/>
  <c r="D28" i="2"/>
  <c r="L28" i="2"/>
  <c r="T28" i="2"/>
  <c r="AB28" i="2"/>
  <c r="AJ28" i="2"/>
  <c r="AZ28" i="2"/>
  <c r="BH28" i="2"/>
  <c r="BP28" i="2"/>
  <c r="BX28" i="2"/>
  <c r="CF28" i="2"/>
  <c r="BP33" i="2"/>
  <c r="AE34" i="2"/>
  <c r="AE35" i="2"/>
  <c r="BS37" i="2"/>
  <c r="CA72" i="2"/>
  <c r="O74" i="2"/>
  <c r="BC74" i="2"/>
  <c r="P25" i="8"/>
  <c r="P18" i="8"/>
  <c r="P21" i="8"/>
  <c r="P43" i="8"/>
  <c r="P11" i="8"/>
  <c r="D77" i="2"/>
  <c r="D75" i="2"/>
  <c r="D73" i="2"/>
  <c r="D71" i="2"/>
  <c r="D76" i="2"/>
  <c r="D74" i="2"/>
  <c r="D72" i="2"/>
  <c r="D37" i="2"/>
  <c r="D35" i="2"/>
  <c r="D34" i="2"/>
  <c r="T77" i="2"/>
  <c r="T75" i="2"/>
  <c r="T73" i="2"/>
  <c r="T71" i="2"/>
  <c r="T76" i="2"/>
  <c r="T74" i="2"/>
  <c r="T72" i="2"/>
  <c r="T37" i="2"/>
  <c r="T35" i="2"/>
  <c r="T34" i="2"/>
  <c r="AJ77" i="2"/>
  <c r="AJ75" i="2"/>
  <c r="AJ73" i="2"/>
  <c r="AJ71" i="2"/>
  <c r="AJ76" i="2"/>
  <c r="AJ74" i="2"/>
  <c r="AJ72" i="2"/>
  <c r="AJ37" i="2"/>
  <c r="AJ35" i="2"/>
  <c r="AJ34" i="2"/>
  <c r="AR77" i="2"/>
  <c r="AR75" i="2"/>
  <c r="AR73" i="2"/>
  <c r="AR71" i="2"/>
  <c r="AR76" i="2"/>
  <c r="AR74" i="2"/>
  <c r="AR72" i="2"/>
  <c r="AR37" i="2"/>
  <c r="AR35" i="2"/>
  <c r="AR34" i="2"/>
  <c r="BH77" i="2"/>
  <c r="BH75" i="2"/>
  <c r="BH73" i="2"/>
  <c r="BH71" i="2"/>
  <c r="BH76" i="2"/>
  <c r="BH74" i="2"/>
  <c r="BH72" i="2"/>
  <c r="BH37" i="2"/>
  <c r="BH35" i="2"/>
  <c r="BH34" i="2"/>
  <c r="CF77" i="2"/>
  <c r="CF75" i="2"/>
  <c r="CF73" i="2"/>
  <c r="CF71" i="2"/>
  <c r="CF76" i="2"/>
  <c r="CF74" i="2"/>
  <c r="CF72" i="2"/>
  <c r="CF37" i="2"/>
  <c r="CF35" i="2"/>
  <c r="CF33" i="2"/>
  <c r="CF34" i="2"/>
  <c r="CF38" i="2"/>
  <c r="F3" i="3"/>
  <c r="N3" i="3"/>
  <c r="V3" i="3"/>
  <c r="B7" i="3"/>
  <c r="D12" i="3"/>
  <c r="L12" i="3"/>
  <c r="T12" i="3"/>
  <c r="AB12" i="3"/>
  <c r="BH25" i="2"/>
  <c r="AR27" i="2"/>
  <c r="AB29" i="2"/>
  <c r="G30" i="2"/>
  <c r="O30" i="2"/>
  <c r="W30" i="2"/>
  <c r="AE30" i="2"/>
  <c r="AM30" i="2"/>
  <c r="AU30" i="2"/>
  <c r="BC30" i="2"/>
  <c r="BK30" i="2"/>
  <c r="BS30" i="2"/>
  <c r="L31" i="2"/>
  <c r="BX31" i="2"/>
  <c r="BH33" i="2"/>
  <c r="W34" i="2"/>
  <c r="W35" i="2"/>
  <c r="AZ36" i="2"/>
  <c r="BS72" i="2"/>
  <c r="G74" i="2"/>
  <c r="W78" i="2"/>
  <c r="W77" i="2"/>
  <c r="W75" i="2"/>
  <c r="W73" i="2"/>
  <c r="W71" i="2"/>
  <c r="W36" i="2"/>
  <c r="W33" i="2"/>
  <c r="W31" i="2"/>
  <c r="W29" i="2"/>
  <c r="W27" i="2"/>
  <c r="W25" i="2"/>
  <c r="CA38" i="2"/>
  <c r="CA77" i="2"/>
  <c r="CA75" i="2"/>
  <c r="CA73" i="2"/>
  <c r="CA71" i="2"/>
  <c r="CA36" i="2"/>
  <c r="CA33" i="2"/>
  <c r="CA31" i="2"/>
  <c r="CA29" i="2"/>
  <c r="CA27" i="2"/>
  <c r="CA25" i="2"/>
  <c r="BK38" i="2"/>
  <c r="BK77" i="2"/>
  <c r="BK75" i="2"/>
  <c r="BK73" i="2"/>
  <c r="BK71" i="2"/>
  <c r="BK36" i="2"/>
  <c r="BK33" i="2"/>
  <c r="BK31" i="2"/>
  <c r="BK29" i="2"/>
  <c r="BK27" i="2"/>
  <c r="BK25" i="2"/>
  <c r="BK35" i="2"/>
  <c r="AB3" i="3"/>
  <c r="G23" i="2"/>
  <c r="O23" i="2"/>
  <c r="W23" i="2"/>
  <c r="AE23" i="2"/>
  <c r="AM23" i="2"/>
  <c r="AU23" i="2"/>
  <c r="BC23" i="2"/>
  <c r="BK23" i="2"/>
  <c r="BS23" i="2"/>
  <c r="CA23" i="2"/>
  <c r="AR25" i="2"/>
  <c r="AB27" i="2"/>
  <c r="G28" i="2"/>
  <c r="O28" i="2"/>
  <c r="W28" i="2"/>
  <c r="AE28" i="2"/>
  <c r="BC28" i="2"/>
  <c r="BK28" i="2"/>
  <c r="BS28" i="2"/>
  <c r="CA28" i="2"/>
  <c r="L29" i="2"/>
  <c r="BX29" i="2"/>
  <c r="BH31" i="2"/>
  <c r="AR33" i="2"/>
  <c r="G34" i="2"/>
  <c r="BS34" i="2"/>
  <c r="AJ36" i="2"/>
  <c r="G37" i="2"/>
  <c r="BC72" i="2"/>
  <c r="O77" i="2"/>
  <c r="O75" i="2"/>
  <c r="O73" i="2"/>
  <c r="O71" i="2"/>
  <c r="O36" i="2"/>
  <c r="O33" i="2"/>
  <c r="O31" i="2"/>
  <c r="O29" i="2"/>
  <c r="O27" i="2"/>
  <c r="O25" i="2"/>
  <c r="AM77" i="2"/>
  <c r="AM75" i="2"/>
  <c r="AM73" i="2"/>
  <c r="AM71" i="2"/>
  <c r="AM36" i="2"/>
  <c r="AM33" i="2"/>
  <c r="AM31" i="2"/>
  <c r="AM29" i="2"/>
  <c r="AM27" i="2"/>
  <c r="AM25" i="2"/>
  <c r="AM76" i="2"/>
  <c r="AM74" i="2"/>
  <c r="AM72" i="2"/>
  <c r="AM37" i="2"/>
  <c r="BS78" i="2"/>
  <c r="BS38" i="2"/>
  <c r="BS77" i="2"/>
  <c r="BS75" i="2"/>
  <c r="BS73" i="2"/>
  <c r="BS71" i="2"/>
  <c r="BS36" i="2"/>
  <c r="BS33" i="2"/>
  <c r="BS31" i="2"/>
  <c r="BS29" i="2"/>
  <c r="BS27" i="2"/>
  <c r="BS25" i="2"/>
  <c r="BS35" i="2"/>
  <c r="AD17" i="2"/>
  <c r="AH16" i="2"/>
  <c r="D24" i="2"/>
  <c r="L24" i="2"/>
  <c r="T24" i="2"/>
  <c r="AB24" i="2"/>
  <c r="AJ24" i="2"/>
  <c r="AR24" i="2"/>
  <c r="AZ24" i="2"/>
  <c r="BH24" i="2"/>
  <c r="BP24" i="2"/>
  <c r="BX24" i="2"/>
  <c r="CF24" i="2"/>
  <c r="AJ25" i="2"/>
  <c r="T27" i="2"/>
  <c r="CF27" i="2"/>
  <c r="D29" i="2"/>
  <c r="BP29" i="2"/>
  <c r="AZ31" i="2"/>
  <c r="D32" i="2"/>
  <c r="L32" i="2"/>
  <c r="T32" i="2"/>
  <c r="AB32" i="2"/>
  <c r="AJ32" i="2"/>
  <c r="AR32" i="2"/>
  <c r="AZ32" i="2"/>
  <c r="BH32" i="2"/>
  <c r="BP32" i="2"/>
  <c r="BX32" i="2"/>
  <c r="CF32" i="2"/>
  <c r="AJ33" i="2"/>
  <c r="BK34" i="2"/>
  <c r="AB36" i="2"/>
  <c r="G72" i="2"/>
  <c r="W76" i="2"/>
  <c r="BK76" i="2"/>
  <c r="AU78" i="2"/>
  <c r="AU77" i="2"/>
  <c r="AU75" i="2"/>
  <c r="AU73" i="2"/>
  <c r="AU71" i="2"/>
  <c r="AU36" i="2"/>
  <c r="AU33" i="2"/>
  <c r="AU31" i="2"/>
  <c r="AU29" i="2"/>
  <c r="AU27" i="2"/>
  <c r="AU25" i="2"/>
  <c r="AU76" i="2"/>
  <c r="AU74" i="2"/>
  <c r="AU72" i="2"/>
  <c r="AU37" i="2"/>
  <c r="BV18" i="2"/>
  <c r="C7" i="1"/>
  <c r="AT17" i="2"/>
  <c r="Z18" i="2"/>
  <c r="AB25" i="2"/>
  <c r="O26" i="2"/>
  <c r="W26" i="2"/>
  <c r="AM26" i="2"/>
  <c r="AU26" i="2"/>
  <c r="BC26" i="2"/>
  <c r="BK26" i="2"/>
  <c r="BS26" i="2"/>
  <c r="CA26" i="2"/>
  <c r="L27" i="2"/>
  <c r="BX27" i="2"/>
  <c r="BH29" i="2"/>
  <c r="AR31" i="2"/>
  <c r="AB33" i="2"/>
  <c r="BC34" i="2"/>
  <c r="T36" i="2"/>
  <c r="CF36" i="2"/>
  <c r="T14" i="4"/>
  <c r="T16" i="4" s="1"/>
  <c r="T64" i="2"/>
  <c r="CA74" i="2"/>
  <c r="O76" i="2"/>
  <c r="G77" i="2"/>
  <c r="G75" i="2"/>
  <c r="G73" i="2"/>
  <c r="G71" i="2"/>
  <c r="G36" i="2"/>
  <c r="G33" i="2"/>
  <c r="G31" i="2"/>
  <c r="G29" i="2"/>
  <c r="G27" i="2"/>
  <c r="G25" i="2"/>
  <c r="G35" i="2"/>
  <c r="AE77" i="2"/>
  <c r="AE75" i="2"/>
  <c r="AE73" i="2"/>
  <c r="AE71" i="2"/>
  <c r="AE76" i="2"/>
  <c r="AE74" i="2"/>
  <c r="AE72" i="2"/>
  <c r="AE37" i="2"/>
  <c r="AE36" i="2"/>
  <c r="AE33" i="2"/>
  <c r="AE31" i="2"/>
  <c r="AE29" i="2"/>
  <c r="AE27" i="2"/>
  <c r="AE25" i="2"/>
  <c r="BC38" i="2"/>
  <c r="BC77" i="2"/>
  <c r="BC75" i="2"/>
  <c r="BC73" i="2"/>
  <c r="BC71" i="2"/>
  <c r="BC36" i="2"/>
  <c r="BC35" i="2"/>
  <c r="BC33" i="2"/>
  <c r="BC31" i="2"/>
  <c r="BC29" i="2"/>
  <c r="BC27" i="2"/>
  <c r="BC25" i="2"/>
  <c r="C12" i="3"/>
  <c r="C12" i="1"/>
  <c r="K12" i="3"/>
  <c r="S12" i="3"/>
  <c r="G12" i="1"/>
  <c r="AA12" i="3"/>
  <c r="I12" i="1"/>
  <c r="T25" i="2"/>
  <c r="CF25" i="2"/>
  <c r="D27" i="2"/>
  <c r="BP27" i="2"/>
  <c r="AZ29" i="2"/>
  <c r="D30" i="2"/>
  <c r="L30" i="2"/>
  <c r="T30" i="2"/>
  <c r="AB30" i="2"/>
  <c r="AJ30" i="2"/>
  <c r="AR30" i="2"/>
  <c r="AZ30" i="2"/>
  <c r="BH30" i="2"/>
  <c r="BP30" i="2"/>
  <c r="BX30" i="2"/>
  <c r="CF30" i="2"/>
  <c r="AJ31" i="2"/>
  <c r="T33" i="2"/>
  <c r="AU34" i="2"/>
  <c r="AU35" i="2"/>
  <c r="L36" i="2"/>
  <c r="BX36" i="2"/>
  <c r="BH38" i="2"/>
  <c r="BS74" i="2"/>
  <c r="G76" i="2"/>
  <c r="E141" i="2"/>
  <c r="B40" i="3" s="1"/>
  <c r="AJ141" i="2"/>
  <c r="BM64" i="2"/>
  <c r="I14" i="4"/>
  <c r="I16" i="4" s="1"/>
  <c r="Q14" i="4"/>
  <c r="Q16" i="4" s="1"/>
  <c r="Y14" i="4"/>
  <c r="Y16" i="4" s="1"/>
  <c r="K20" i="4"/>
  <c r="K22" i="4" s="1"/>
  <c r="S20" i="4"/>
  <c r="S22" i="4" s="1"/>
  <c r="I141" i="2"/>
  <c r="BH141" i="2"/>
  <c r="BQ141" i="2"/>
  <c r="M20" i="4"/>
  <c r="M22" i="4" s="1"/>
  <c r="Q141" i="2"/>
  <c r="F40" i="3" s="1"/>
  <c r="AR141" i="2"/>
  <c r="O40" i="3" s="1"/>
  <c r="BA141" i="2"/>
  <c r="R40" i="3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H26" i="3"/>
  <c r="P26" i="3"/>
  <c r="X26" i="3"/>
  <c r="D27" i="3"/>
  <c r="L27" i="3"/>
  <c r="T27" i="3"/>
  <c r="AB27" i="3"/>
  <c r="AB141" i="2"/>
  <c r="BM141" i="2"/>
  <c r="V40" i="3" s="1"/>
  <c r="T105" i="12"/>
  <c r="T106" i="12" s="1"/>
  <c r="T107" i="12" s="1"/>
  <c r="G64" i="2"/>
  <c r="D11" i="4"/>
  <c r="C26" i="3"/>
  <c r="K26" i="3"/>
  <c r="S26" i="3"/>
  <c r="AA26" i="3"/>
  <c r="G27" i="3"/>
  <c r="O27" i="3"/>
  <c r="W27" i="3"/>
  <c r="T141" i="2"/>
  <c r="G40" i="3" s="1"/>
  <c r="AC141" i="2"/>
  <c r="J40" i="3" s="1"/>
  <c r="CF141" i="2"/>
  <c r="AB106" i="12"/>
  <c r="AB107" i="12" s="1"/>
  <c r="AB105" i="12"/>
  <c r="BP105" i="12"/>
  <c r="BP106" i="12" s="1"/>
  <c r="BP107" i="12" s="1"/>
  <c r="F26" i="3"/>
  <c r="N26" i="3"/>
  <c r="V26" i="3"/>
  <c r="L141" i="2"/>
  <c r="AD141" i="2"/>
  <c r="AW141" i="2"/>
  <c r="BX141" i="2"/>
  <c r="CF105" i="12"/>
  <c r="CF106" i="12" s="1"/>
  <c r="CF107" i="12" s="1"/>
  <c r="D141" i="2"/>
  <c r="V141" i="2"/>
  <c r="AO141" i="2"/>
  <c r="N40" i="3" s="1"/>
  <c r="BP141" i="2"/>
  <c r="W40" i="3" s="1"/>
  <c r="C19" i="12"/>
  <c r="C64" i="2"/>
  <c r="AA64" i="2"/>
  <c r="AI64" i="2"/>
  <c r="AQ64" i="2"/>
  <c r="AY64" i="2"/>
  <c r="BG64" i="2"/>
  <c r="BG91" i="2" s="1"/>
  <c r="BO64" i="2"/>
  <c r="BW64" i="2"/>
  <c r="CE64" i="2"/>
  <c r="G26" i="3"/>
  <c r="O26" i="3"/>
  <c r="W26" i="3"/>
  <c r="C27" i="3"/>
  <c r="K27" i="3"/>
  <c r="S27" i="3"/>
  <c r="AA27" i="3"/>
  <c r="F141" i="2"/>
  <c r="Y141" i="2"/>
  <c r="AH141" i="2"/>
  <c r="AZ141" i="2"/>
  <c r="BI141" i="2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17" i="12"/>
  <c r="B61" i="12" s="1"/>
  <c r="J104" i="12"/>
  <c r="J106" i="12" s="1"/>
  <c r="J107" i="12" s="1"/>
  <c r="R104" i="12"/>
  <c r="R105" i="12" s="1"/>
  <c r="Z104" i="12"/>
  <c r="Z105" i="12" s="1"/>
  <c r="AH104" i="12"/>
  <c r="AH105" i="12" s="1"/>
  <c r="AP104" i="12"/>
  <c r="AX104" i="12"/>
  <c r="BF104" i="12"/>
  <c r="BF105" i="12" s="1"/>
  <c r="BN104" i="12"/>
  <c r="BN105" i="12" s="1"/>
  <c r="CD104" i="12"/>
  <c r="CD105" i="12" s="1"/>
  <c r="D16" i="11"/>
  <c r="L16" i="11"/>
  <c r="T16" i="11"/>
  <c r="AB16" i="11"/>
  <c r="AJ16" i="11"/>
  <c r="AR16" i="11"/>
  <c r="AZ16" i="11"/>
  <c r="BH16" i="11"/>
  <c r="BP16" i="11"/>
  <c r="BX16" i="11"/>
  <c r="CF16" i="11"/>
  <c r="C104" i="12"/>
  <c r="K104" i="12"/>
  <c r="K106" i="12" s="1"/>
  <c r="K107" i="12" s="1"/>
  <c r="S104" i="12"/>
  <c r="S105" i="12" s="1"/>
  <c r="AA104" i="12"/>
  <c r="AI104" i="12"/>
  <c r="AQ104" i="12"/>
  <c r="AY104" i="12"/>
  <c r="BG104" i="12"/>
  <c r="BO104" i="12"/>
  <c r="BW104" i="12"/>
  <c r="CE104" i="12"/>
  <c r="CE105" i="12" s="1"/>
  <c r="G104" i="12"/>
  <c r="G106" i="12" s="1"/>
  <c r="O104" i="12"/>
  <c r="O105" i="12" s="1"/>
  <c r="W104" i="12"/>
  <c r="AE104" i="12"/>
  <c r="AM104" i="12"/>
  <c r="AM105" i="12" s="1"/>
  <c r="AU104" i="12"/>
  <c r="AU105" i="12" s="1"/>
  <c r="AU106" i="12" s="1"/>
  <c r="BC104" i="12"/>
  <c r="BC105" i="12" s="1"/>
  <c r="BC106" i="12" s="1"/>
  <c r="BK104" i="12"/>
  <c r="BS104" i="12"/>
  <c r="CA104" i="12"/>
  <c r="CA105" i="12" s="1"/>
  <c r="H19" i="12"/>
  <c r="B29" i="13"/>
  <c r="G48" i="12"/>
  <c r="I107" i="12"/>
  <c r="D8" i="13"/>
  <c r="AM16" i="11"/>
  <c r="AM133" i="2"/>
  <c r="AM141" i="2" s="1"/>
  <c r="E8" i="1"/>
  <c r="E41" i="5" s="1"/>
  <c r="C3" i="3"/>
  <c r="K3" i="3"/>
  <c r="S3" i="3"/>
  <c r="AA3" i="3"/>
  <c r="J16" i="2"/>
  <c r="BV16" i="2"/>
  <c r="BB17" i="2"/>
  <c r="AH18" i="2"/>
  <c r="G16" i="11"/>
  <c r="G133" i="2"/>
  <c r="G141" i="2" s="1"/>
  <c r="AE16" i="11"/>
  <c r="AE133" i="2"/>
  <c r="AE141" i="2" s="1"/>
  <c r="R16" i="2"/>
  <c r="CD16" i="2"/>
  <c r="BJ17" i="2"/>
  <c r="AP18" i="2"/>
  <c r="BK16" i="11"/>
  <c r="BK133" i="2"/>
  <c r="BK141" i="2" s="1"/>
  <c r="I3" i="3"/>
  <c r="Q3" i="3"/>
  <c r="Y3" i="3"/>
  <c r="Z16" i="2"/>
  <c r="F17" i="2"/>
  <c r="BR17" i="2"/>
  <c r="AX18" i="2"/>
  <c r="BX91" i="2"/>
  <c r="BC16" i="11"/>
  <c r="BC133" i="2"/>
  <c r="BC141" i="2" s="1"/>
  <c r="E12" i="1"/>
  <c r="H12" i="1"/>
  <c r="D3" i="3"/>
  <c r="L3" i="3"/>
  <c r="T3" i="3"/>
  <c r="N17" i="2"/>
  <c r="BZ17" i="2"/>
  <c r="BF18" i="2"/>
  <c r="L91" i="2"/>
  <c r="CC16" i="2"/>
  <c r="BU16" i="2"/>
  <c r="BM16" i="2"/>
  <c r="BE16" i="2"/>
  <c r="AW16" i="2"/>
  <c r="AO16" i="2"/>
  <c r="AG16" i="2"/>
  <c r="Y16" i="2"/>
  <c r="Q16" i="2"/>
  <c r="I16" i="2"/>
  <c r="CB16" i="2"/>
  <c r="BT16" i="2"/>
  <c r="BL16" i="2"/>
  <c r="BD16" i="2"/>
  <c r="AV16" i="2"/>
  <c r="AN16" i="2"/>
  <c r="AF16" i="2"/>
  <c r="X16" i="2"/>
  <c r="P16" i="2"/>
  <c r="H16" i="2"/>
  <c r="CA16" i="2"/>
  <c r="BS16" i="2"/>
  <c r="BK16" i="2"/>
  <c r="BC16" i="2"/>
  <c r="AU16" i="2"/>
  <c r="AM16" i="2"/>
  <c r="AE16" i="2"/>
  <c r="W16" i="2"/>
  <c r="O16" i="2"/>
  <c r="G16" i="2"/>
  <c r="CH16" i="2"/>
  <c r="BZ16" i="2"/>
  <c r="BR16" i="2"/>
  <c r="BJ16" i="2"/>
  <c r="BB16" i="2"/>
  <c r="AT16" i="2"/>
  <c r="AL16" i="2"/>
  <c r="AD16" i="2"/>
  <c r="V16" i="2"/>
  <c r="N16" i="2"/>
  <c r="F16" i="2"/>
  <c r="CG16" i="2"/>
  <c r="BY16" i="2"/>
  <c r="BQ16" i="2"/>
  <c r="BI16" i="2"/>
  <c r="BA16" i="2"/>
  <c r="AS16" i="2"/>
  <c r="AK16" i="2"/>
  <c r="AC16" i="2"/>
  <c r="U16" i="2"/>
  <c r="M16" i="2"/>
  <c r="E16" i="2"/>
  <c r="CF16" i="2"/>
  <c r="BX16" i="2"/>
  <c r="BP16" i="2"/>
  <c r="BH16" i="2"/>
  <c r="AZ16" i="2"/>
  <c r="AR16" i="2"/>
  <c r="AJ16" i="2"/>
  <c r="AB16" i="2"/>
  <c r="T16" i="2"/>
  <c r="L16" i="2"/>
  <c r="D16" i="2"/>
  <c r="CE16" i="2"/>
  <c r="BW16" i="2"/>
  <c r="BO16" i="2"/>
  <c r="BG16" i="2"/>
  <c r="AY16" i="2"/>
  <c r="AQ16" i="2"/>
  <c r="AI16" i="2"/>
  <c r="AA16" i="2"/>
  <c r="S16" i="2"/>
  <c r="K16" i="2"/>
  <c r="C16" i="2"/>
  <c r="BN16" i="2"/>
  <c r="W16" i="11"/>
  <c r="W133" i="2"/>
  <c r="W141" i="2" s="1"/>
  <c r="CA16" i="11"/>
  <c r="CA133" i="2"/>
  <c r="CA141" i="2" s="1"/>
  <c r="AP16" i="2"/>
  <c r="V17" i="2"/>
  <c r="CH17" i="2"/>
  <c r="BN18" i="2"/>
  <c r="J91" i="2"/>
  <c r="R91" i="2"/>
  <c r="Z91" i="2"/>
  <c r="AH91" i="2"/>
  <c r="O19" i="3"/>
  <c r="AP91" i="2"/>
  <c r="BF91" i="2"/>
  <c r="BN91" i="2"/>
  <c r="BV91" i="2"/>
  <c r="CD91" i="2"/>
  <c r="D4" i="4"/>
  <c r="D5" i="4" s="1"/>
  <c r="D64" i="2"/>
  <c r="BP32" i="4"/>
  <c r="BP64" i="2"/>
  <c r="W19" i="3" s="1"/>
  <c r="BD66" i="2"/>
  <c r="AU16" i="11"/>
  <c r="AU133" i="2"/>
  <c r="AU141" i="2" s="1"/>
  <c r="F12" i="1"/>
  <c r="B12" i="1"/>
  <c r="B3" i="3"/>
  <c r="J3" i="3"/>
  <c r="R3" i="3"/>
  <c r="Z3" i="3"/>
  <c r="AX16" i="2"/>
  <c r="J18" i="2"/>
  <c r="O16" i="11"/>
  <c r="O133" i="2"/>
  <c r="O141" i="2" s="1"/>
  <c r="BS16" i="11"/>
  <c r="BS133" i="2"/>
  <c r="BS141" i="2" s="1"/>
  <c r="BH4" i="11"/>
  <c r="CF4" i="11"/>
  <c r="BS4" i="11"/>
  <c r="AS4" i="11"/>
  <c r="AG4" i="11"/>
  <c r="I4" i="11"/>
  <c r="E4" i="11"/>
  <c r="BY4" i="11"/>
  <c r="BX4" i="11"/>
  <c r="BC4" i="11"/>
  <c r="AC4" i="11"/>
  <c r="CC4" i="11"/>
  <c r="AZ4" i="11"/>
  <c r="AW4" i="11"/>
  <c r="W4" i="11"/>
  <c r="BP4" i="11"/>
  <c r="Q4" i="11"/>
  <c r="BM4" i="11"/>
  <c r="AM4" i="11"/>
  <c r="BI4" i="11"/>
  <c r="AJ4" i="11"/>
  <c r="BE4" i="11"/>
  <c r="AR4" i="11"/>
  <c r="AE4" i="11"/>
  <c r="G4" i="11"/>
  <c r="BQ4" i="11"/>
  <c r="S4" i="11"/>
  <c r="CG17" i="2"/>
  <c r="BY17" i="2"/>
  <c r="BQ17" i="2"/>
  <c r="BI17" i="2"/>
  <c r="BA17" i="2"/>
  <c r="AS17" i="2"/>
  <c r="AK17" i="2"/>
  <c r="AC17" i="2"/>
  <c r="U17" i="2"/>
  <c r="M17" i="2"/>
  <c r="E17" i="2"/>
  <c r="CF17" i="2"/>
  <c r="BX17" i="2"/>
  <c r="BP17" i="2"/>
  <c r="BH17" i="2"/>
  <c r="AZ17" i="2"/>
  <c r="AR17" i="2"/>
  <c r="AJ17" i="2"/>
  <c r="AB17" i="2"/>
  <c r="T17" i="2"/>
  <c r="L17" i="2"/>
  <c r="D17" i="2"/>
  <c r="CE17" i="2"/>
  <c r="BW17" i="2"/>
  <c r="BO17" i="2"/>
  <c r="BG17" i="2"/>
  <c r="AY17" i="2"/>
  <c r="AQ17" i="2"/>
  <c r="AI17" i="2"/>
  <c r="AA17" i="2"/>
  <c r="S17" i="2"/>
  <c r="K17" i="2"/>
  <c r="C17" i="2"/>
  <c r="CD17" i="2"/>
  <c r="BV17" i="2"/>
  <c r="BN17" i="2"/>
  <c r="BF17" i="2"/>
  <c r="AX17" i="2"/>
  <c r="AP17" i="2"/>
  <c r="AH17" i="2"/>
  <c r="Z17" i="2"/>
  <c r="R17" i="2"/>
  <c r="J17" i="2"/>
  <c r="CC17" i="2"/>
  <c r="BU17" i="2"/>
  <c r="BM17" i="2"/>
  <c r="BE17" i="2"/>
  <c r="AW17" i="2"/>
  <c r="AO17" i="2"/>
  <c r="AG17" i="2"/>
  <c r="Y17" i="2"/>
  <c r="Q17" i="2"/>
  <c r="I17" i="2"/>
  <c r="CB17" i="2"/>
  <c r="BT17" i="2"/>
  <c r="BL17" i="2"/>
  <c r="BD17" i="2"/>
  <c r="AV17" i="2"/>
  <c r="AN17" i="2"/>
  <c r="AF17" i="2"/>
  <c r="X17" i="2"/>
  <c r="P17" i="2"/>
  <c r="H17" i="2"/>
  <c r="CA17" i="2"/>
  <c r="BS17" i="2"/>
  <c r="BK17" i="2"/>
  <c r="BC17" i="2"/>
  <c r="AU17" i="2"/>
  <c r="AM17" i="2"/>
  <c r="AE17" i="2"/>
  <c r="W17" i="2"/>
  <c r="O17" i="2"/>
  <c r="G17" i="2"/>
  <c r="BY5" i="11"/>
  <c r="BL5" i="11"/>
  <c r="AM5" i="11"/>
  <c r="Y5" i="11"/>
  <c r="M5" i="11"/>
  <c r="AW5" i="11"/>
  <c r="AK5" i="11"/>
  <c r="BS5" i="11"/>
  <c r="BE5" i="11"/>
  <c r="AS5" i="11"/>
  <c r="G5" i="11"/>
  <c r="BC5" i="11"/>
  <c r="AO5" i="11"/>
  <c r="CB5" i="11"/>
  <c r="AC5" i="11"/>
  <c r="BU5" i="11"/>
  <c r="W5" i="11"/>
  <c r="BI5" i="11"/>
  <c r="AI5" i="11"/>
  <c r="I5" i="11"/>
  <c r="CA66" i="2"/>
  <c r="BS66" i="2"/>
  <c r="BK66" i="2"/>
  <c r="BC66" i="2"/>
  <c r="AU66" i="2"/>
  <c r="AM66" i="2"/>
  <c r="AE66" i="2"/>
  <c r="W66" i="2"/>
  <c r="O66" i="2"/>
  <c r="G66" i="2"/>
  <c r="CH66" i="2"/>
  <c r="BZ66" i="2"/>
  <c r="BR66" i="2"/>
  <c r="BJ66" i="2"/>
  <c r="BB66" i="2"/>
  <c r="AT66" i="2"/>
  <c r="AL66" i="2"/>
  <c r="AD66" i="2"/>
  <c r="V66" i="2"/>
  <c r="N66" i="2"/>
  <c r="F66" i="2"/>
  <c r="CG66" i="2"/>
  <c r="BY66" i="2"/>
  <c r="BQ66" i="2"/>
  <c r="BI66" i="2"/>
  <c r="BA66" i="2"/>
  <c r="AS66" i="2"/>
  <c r="AK66" i="2"/>
  <c r="AC66" i="2"/>
  <c r="U66" i="2"/>
  <c r="M66" i="2"/>
  <c r="E66" i="2"/>
  <c r="CF66" i="2"/>
  <c r="BX66" i="2"/>
  <c r="BP66" i="2"/>
  <c r="BH66" i="2"/>
  <c r="AZ66" i="2"/>
  <c r="AR66" i="2"/>
  <c r="AJ66" i="2"/>
  <c r="AB66" i="2"/>
  <c r="T66" i="2"/>
  <c r="L66" i="2"/>
  <c r="D66" i="2"/>
  <c r="CE66" i="2"/>
  <c r="BW66" i="2"/>
  <c r="BO66" i="2"/>
  <c r="BG66" i="2"/>
  <c r="AY66" i="2"/>
  <c r="AQ66" i="2"/>
  <c r="AI66" i="2"/>
  <c r="AA66" i="2"/>
  <c r="S66" i="2"/>
  <c r="K66" i="2"/>
  <c r="C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AV66" i="2"/>
  <c r="CC18" i="2"/>
  <c r="BU18" i="2"/>
  <c r="BM18" i="2"/>
  <c r="BE18" i="2"/>
  <c r="AW18" i="2"/>
  <c r="AO18" i="2"/>
  <c r="AG18" i="2"/>
  <c r="Y18" i="2"/>
  <c r="Q18" i="2"/>
  <c r="I18" i="2"/>
  <c r="AN66" i="2"/>
  <c r="CB18" i="2"/>
  <c r="BT18" i="2"/>
  <c r="BL18" i="2"/>
  <c r="BD18" i="2"/>
  <c r="AV18" i="2"/>
  <c r="AN18" i="2"/>
  <c r="AF18" i="2"/>
  <c r="X18" i="2"/>
  <c r="P18" i="2"/>
  <c r="H18" i="2"/>
  <c r="AF66" i="2"/>
  <c r="CA18" i="2"/>
  <c r="BS18" i="2"/>
  <c r="BK18" i="2"/>
  <c r="BC18" i="2"/>
  <c r="AU18" i="2"/>
  <c r="AM18" i="2"/>
  <c r="AE18" i="2"/>
  <c r="W18" i="2"/>
  <c r="O18" i="2"/>
  <c r="F14" i="3" s="1"/>
  <c r="G18" i="2"/>
  <c r="X66" i="2"/>
  <c r="CH18" i="2"/>
  <c r="BZ18" i="2"/>
  <c r="BR18" i="2"/>
  <c r="BJ18" i="2"/>
  <c r="BB18" i="2"/>
  <c r="AT18" i="2"/>
  <c r="AL18" i="2"/>
  <c r="AD18" i="2"/>
  <c r="V18" i="2"/>
  <c r="N18" i="2"/>
  <c r="F18" i="2"/>
  <c r="CB66" i="2"/>
  <c r="P66" i="2"/>
  <c r="CG18" i="2"/>
  <c r="BY18" i="2"/>
  <c r="BQ18" i="2"/>
  <c r="BI18" i="2"/>
  <c r="BA18" i="2"/>
  <c r="AS18" i="2"/>
  <c r="AK18" i="2"/>
  <c r="AC18" i="2"/>
  <c r="U18" i="2"/>
  <c r="M18" i="2"/>
  <c r="E18" i="2"/>
  <c r="BT66" i="2"/>
  <c r="H66" i="2"/>
  <c r="CF18" i="2"/>
  <c r="BX18" i="2"/>
  <c r="BP18" i="2"/>
  <c r="BH18" i="2"/>
  <c r="AZ18" i="2"/>
  <c r="AR18" i="2"/>
  <c r="AJ18" i="2"/>
  <c r="AB18" i="2"/>
  <c r="T18" i="2"/>
  <c r="L18" i="2"/>
  <c r="D18" i="2"/>
  <c r="BL66" i="2"/>
  <c r="CE18" i="2"/>
  <c r="BW18" i="2"/>
  <c r="BO18" i="2"/>
  <c r="BG18" i="2"/>
  <c r="AY18" i="2"/>
  <c r="AQ18" i="2"/>
  <c r="AI18" i="2"/>
  <c r="AA18" i="2"/>
  <c r="S18" i="2"/>
  <c r="K18" i="2"/>
  <c r="C18" i="2"/>
  <c r="C8" i="1"/>
  <c r="C41" i="5" s="1"/>
  <c r="E3" i="3"/>
  <c r="M3" i="3"/>
  <c r="U3" i="3"/>
  <c r="AC3" i="3"/>
  <c r="BF16" i="2"/>
  <c r="AL17" i="2"/>
  <c r="R18" i="2"/>
  <c r="CD18" i="2"/>
  <c r="J7" i="3"/>
  <c r="F8" i="3"/>
  <c r="N8" i="3"/>
  <c r="V8" i="3"/>
  <c r="F12" i="3"/>
  <c r="N12" i="3"/>
  <c r="V12" i="3"/>
  <c r="C91" i="2"/>
  <c r="K64" i="2"/>
  <c r="S64" i="2"/>
  <c r="G19" i="3" s="1"/>
  <c r="J19" i="3"/>
  <c r="AA91" i="2"/>
  <c r="AI91" i="2"/>
  <c r="AQ91" i="2"/>
  <c r="R19" i="3"/>
  <c r="AY91" i="2"/>
  <c r="BO91" i="2"/>
  <c r="Z19" i="3"/>
  <c r="BW91" i="2"/>
  <c r="CE91" i="2"/>
  <c r="T91" i="2"/>
  <c r="AC19" i="3"/>
  <c r="CF91" i="2"/>
  <c r="Q12" i="3"/>
  <c r="Y12" i="3"/>
  <c r="AB91" i="2"/>
  <c r="H7" i="3"/>
  <c r="D8" i="3"/>
  <c r="L8" i="3"/>
  <c r="T8" i="3"/>
  <c r="AB8" i="3"/>
  <c r="E64" i="2"/>
  <c r="B19" i="3" s="1"/>
  <c r="M64" i="2"/>
  <c r="E19" i="3" s="1"/>
  <c r="U91" i="2"/>
  <c r="AC91" i="2"/>
  <c r="AK91" i="2"/>
  <c r="P19" i="3"/>
  <c r="AS91" i="2"/>
  <c r="BA91" i="2"/>
  <c r="BI91" i="2"/>
  <c r="X19" i="3"/>
  <c r="BQ91" i="2"/>
  <c r="BY91" i="2"/>
  <c r="CG91" i="2"/>
  <c r="M19" i="3"/>
  <c r="AJ91" i="2"/>
  <c r="C7" i="3"/>
  <c r="K7" i="3"/>
  <c r="G8" i="3"/>
  <c r="O8" i="3"/>
  <c r="W8" i="3"/>
  <c r="G12" i="3"/>
  <c r="O12" i="3"/>
  <c r="W12" i="3"/>
  <c r="F64" i="2"/>
  <c r="N64" i="2"/>
  <c r="V64" i="2"/>
  <c r="H19" i="3" s="1"/>
  <c r="AD91" i="2"/>
  <c r="AL91" i="2"/>
  <c r="AT91" i="2"/>
  <c r="BB91" i="2"/>
  <c r="BJ91" i="2"/>
  <c r="BR91" i="2"/>
  <c r="BZ91" i="2"/>
  <c r="CH91" i="2"/>
  <c r="AR91" i="2"/>
  <c r="F7" i="3"/>
  <c r="B8" i="3"/>
  <c r="J8" i="3"/>
  <c r="R8" i="3"/>
  <c r="Z8" i="3"/>
  <c r="B12" i="3"/>
  <c r="J12" i="3"/>
  <c r="R12" i="3"/>
  <c r="Z12" i="3"/>
  <c r="G91" i="2"/>
  <c r="O91" i="2"/>
  <c r="W91" i="2"/>
  <c r="AE91" i="2"/>
  <c r="N19" i="3"/>
  <c r="AM91" i="2"/>
  <c r="AU91" i="2"/>
  <c r="BC91" i="2"/>
  <c r="BK91" i="2"/>
  <c r="BS91" i="2"/>
  <c r="CA91" i="2"/>
  <c r="AZ91" i="2"/>
  <c r="AC8" i="3"/>
  <c r="E12" i="3"/>
  <c r="M12" i="3"/>
  <c r="U12" i="3"/>
  <c r="AC12" i="3"/>
  <c r="H64" i="2"/>
  <c r="P64" i="2"/>
  <c r="X64" i="2"/>
  <c r="AF64" i="2"/>
  <c r="K19" i="3" s="1"/>
  <c r="AN64" i="2"/>
  <c r="AV64" i="2"/>
  <c r="BD64" i="2"/>
  <c r="BL64" i="2"/>
  <c r="BT64" i="2"/>
  <c r="CB64" i="2"/>
  <c r="U19" i="3"/>
  <c r="BH91" i="2"/>
  <c r="D7" i="3"/>
  <c r="H8" i="3"/>
  <c r="P8" i="3"/>
  <c r="X8" i="3"/>
  <c r="H12" i="3"/>
  <c r="P12" i="3"/>
  <c r="X12" i="3"/>
  <c r="I64" i="2"/>
  <c r="Q64" i="2"/>
  <c r="Y64" i="2"/>
  <c r="L19" i="3"/>
  <c r="AG91" i="2"/>
  <c r="AO91" i="2"/>
  <c r="AW91" i="2"/>
  <c r="BE91" i="2"/>
  <c r="BM91" i="2"/>
  <c r="BU91" i="2"/>
  <c r="AB19" i="3"/>
  <c r="CC91" i="2"/>
  <c r="B26" i="3"/>
  <c r="J26" i="3"/>
  <c r="R26" i="3"/>
  <c r="Z26" i="3"/>
  <c r="F27" i="3"/>
  <c r="N27" i="3"/>
  <c r="V27" i="3"/>
  <c r="C27" i="4"/>
  <c r="K14" i="4"/>
  <c r="K16" i="4" s="1"/>
  <c r="S14" i="4"/>
  <c r="S16" i="4" s="1"/>
  <c r="U20" i="4"/>
  <c r="U22" i="4" s="1"/>
  <c r="E26" i="3"/>
  <c r="M26" i="3"/>
  <c r="U26" i="3"/>
  <c r="AC26" i="3"/>
  <c r="I27" i="3"/>
  <c r="Q27" i="3"/>
  <c r="Y27" i="3"/>
  <c r="B20" i="13"/>
  <c r="B34" i="11"/>
  <c r="B49" i="11" s="1"/>
  <c r="C20" i="13" s="1"/>
  <c r="C24" i="13" s="1"/>
  <c r="B39" i="11"/>
  <c r="B44" i="11" s="1"/>
  <c r="BA32" i="4"/>
  <c r="B36" i="3"/>
  <c r="F106" i="2"/>
  <c r="F108" i="2" s="1"/>
  <c r="G106" i="2" s="1"/>
  <c r="G108" i="2" s="1"/>
  <c r="H106" i="2" s="1"/>
  <c r="H108" i="2" s="1"/>
  <c r="M14" i="4"/>
  <c r="M16" i="4" s="1"/>
  <c r="U14" i="4"/>
  <c r="U16" i="4" s="1"/>
  <c r="W20" i="4"/>
  <c r="W22" i="4" s="1"/>
  <c r="B6" i="13"/>
  <c r="B32" i="11"/>
  <c r="B47" i="11" s="1"/>
  <c r="C6" i="13" s="1"/>
  <c r="B37" i="11"/>
  <c r="B42" i="11" s="1"/>
  <c r="AR26" i="4"/>
  <c r="E11" i="4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P20" i="4"/>
  <c r="P22" i="4" s="1"/>
  <c r="X20" i="4"/>
  <c r="X22" i="4" s="1"/>
  <c r="B27" i="3"/>
  <c r="J27" i="3"/>
  <c r="R27" i="3"/>
  <c r="Z27" i="3"/>
  <c r="I26" i="3"/>
  <c r="Q26" i="3"/>
  <c r="Y26" i="3"/>
  <c r="E27" i="3"/>
  <c r="M27" i="3"/>
  <c r="U27" i="3"/>
  <c r="AC27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8" i="11"/>
  <c r="B43" i="11" s="1"/>
  <c r="B33" i="11"/>
  <c r="D26" i="3"/>
  <c r="L26" i="3"/>
  <c r="T26" i="3"/>
  <c r="AB26" i="3"/>
  <c r="H27" i="3"/>
  <c r="P27" i="3"/>
  <c r="X27" i="3"/>
  <c r="C117" i="2"/>
  <c r="C120" i="2" s="1"/>
  <c r="D116" i="2" s="1"/>
  <c r="C115" i="2"/>
  <c r="D111" i="2" s="1"/>
  <c r="C100" i="2"/>
  <c r="C127" i="2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C141" i="2"/>
  <c r="K141" i="2"/>
  <c r="S141" i="2"/>
  <c r="AA141" i="2"/>
  <c r="AI141" i="2"/>
  <c r="AQ141" i="2"/>
  <c r="AY141" i="2"/>
  <c r="BG141" i="2"/>
  <c r="BO141" i="2"/>
  <c r="BW141" i="2"/>
  <c r="CE141" i="2"/>
  <c r="C129" i="2"/>
  <c r="C83" i="2" s="1"/>
  <c r="C28" i="4"/>
  <c r="C29" i="4" s="1"/>
  <c r="P5" i="11"/>
  <c r="AV5" i="11"/>
  <c r="L4" i="11"/>
  <c r="E5" i="11"/>
  <c r="M4" i="11"/>
  <c r="U4" i="11"/>
  <c r="AK4" i="11"/>
  <c r="BA5" i="11"/>
  <c r="BQ5" i="11"/>
  <c r="CG4" i="11"/>
  <c r="N4" i="11"/>
  <c r="Q5" i="11"/>
  <c r="Y4" i="11"/>
  <c r="AG5" i="11"/>
  <c r="AO4" i="11"/>
  <c r="BM5" i="11"/>
  <c r="BU4" i="11"/>
  <c r="CC5" i="11"/>
  <c r="CC100" i="11"/>
  <c r="CC10" i="2" s="1"/>
  <c r="BU100" i="11"/>
  <c r="BU10" i="2" s="1"/>
  <c r="BM100" i="11"/>
  <c r="BM10" i="2" s="1"/>
  <c r="BE100" i="11"/>
  <c r="BE10" i="2" s="1"/>
  <c r="AW100" i="11"/>
  <c r="AW10" i="2" s="1"/>
  <c r="AO100" i="11"/>
  <c r="AO10" i="2" s="1"/>
  <c r="AG100" i="11"/>
  <c r="AG10" i="2" s="1"/>
  <c r="CB100" i="11"/>
  <c r="CB10" i="2" s="1"/>
  <c r="BT100" i="11"/>
  <c r="BT10" i="2" s="1"/>
  <c r="BL100" i="11"/>
  <c r="BL10" i="2" s="1"/>
  <c r="BD100" i="11"/>
  <c r="BD10" i="2" s="1"/>
  <c r="AV100" i="11"/>
  <c r="AV10" i="2" s="1"/>
  <c r="AN100" i="11"/>
  <c r="AN10" i="2" s="1"/>
  <c r="CA100" i="11"/>
  <c r="CA10" i="2" s="1"/>
  <c r="BS100" i="11"/>
  <c r="BS10" i="2" s="1"/>
  <c r="BK100" i="11"/>
  <c r="BK10" i="2" s="1"/>
  <c r="BC100" i="11"/>
  <c r="BC10" i="2" s="1"/>
  <c r="AU100" i="11"/>
  <c r="AU10" i="2" s="1"/>
  <c r="AM100" i="11"/>
  <c r="AM10" i="2" s="1"/>
  <c r="N7" i="3" s="1"/>
  <c r="CG100" i="11"/>
  <c r="CG10" i="2" s="1"/>
  <c r="BY100" i="11"/>
  <c r="BY10" i="2" s="1"/>
  <c r="BQ100" i="11"/>
  <c r="BQ10" i="2" s="1"/>
  <c r="BI100" i="11"/>
  <c r="BI10" i="2" s="1"/>
  <c r="BA100" i="11"/>
  <c r="BA10" i="2" s="1"/>
  <c r="AS100" i="11"/>
  <c r="AS10" i="2" s="1"/>
  <c r="AK100" i="11"/>
  <c r="AK10" i="2" s="1"/>
  <c r="CF100" i="11"/>
  <c r="CF10" i="2" s="1"/>
  <c r="BP100" i="11"/>
  <c r="BP10" i="2" s="1"/>
  <c r="AZ100" i="11"/>
  <c r="AZ10" i="2" s="1"/>
  <c r="AJ100" i="11"/>
  <c r="AJ10" i="2" s="1"/>
  <c r="BX100" i="11"/>
  <c r="BX10" i="2" s="1"/>
  <c r="BH100" i="11"/>
  <c r="BH10" i="2" s="1"/>
  <c r="AR100" i="11"/>
  <c r="AR10" i="2" s="1"/>
  <c r="BW100" i="11"/>
  <c r="BW10" i="2" s="1"/>
  <c r="BG100" i="11"/>
  <c r="BG10" i="2" s="1"/>
  <c r="AQ100" i="11"/>
  <c r="AQ10" i="2" s="1"/>
  <c r="BN100" i="11"/>
  <c r="BN10" i="2" s="1"/>
  <c r="AL100" i="11"/>
  <c r="AL10" i="2" s="1"/>
  <c r="CH100" i="11"/>
  <c r="CH10" i="2" s="1"/>
  <c r="BJ100" i="11"/>
  <c r="BJ10" i="2" s="1"/>
  <c r="AI100" i="11"/>
  <c r="AI10" i="2" s="1"/>
  <c r="CE100" i="11"/>
  <c r="CE10" i="2" s="1"/>
  <c r="BF100" i="11"/>
  <c r="BF10" i="2" s="1"/>
  <c r="AH100" i="11"/>
  <c r="AH10" i="2" s="1"/>
  <c r="BZ100" i="11"/>
  <c r="BZ10" i="2" s="1"/>
  <c r="AA7" i="3" s="1"/>
  <c r="AY100" i="11"/>
  <c r="AY10" i="2" s="1"/>
  <c r="R7" i="3" s="1"/>
  <c r="AX100" i="11"/>
  <c r="AX10" i="2" s="1"/>
  <c r="AT100" i="11"/>
  <c r="AT10" i="2" s="1"/>
  <c r="AP100" i="11"/>
  <c r="AP10" i="2" s="1"/>
  <c r="CD100" i="11"/>
  <c r="CD10" i="2" s="1"/>
  <c r="BO100" i="11"/>
  <c r="BO10" i="2" s="1"/>
  <c r="BR100" i="11"/>
  <c r="BR10" i="2" s="1"/>
  <c r="BV100" i="11"/>
  <c r="BV10" i="2" s="1"/>
  <c r="P40" i="8"/>
  <c r="P32" i="8"/>
  <c r="P24" i="8"/>
  <c r="P16" i="8"/>
  <c r="P8" i="8"/>
  <c r="P44" i="8"/>
  <c r="P36" i="8"/>
  <c r="P28" i="8"/>
  <c r="P20" i="8"/>
  <c r="P12" i="8"/>
  <c r="BB100" i="11"/>
  <c r="BB10" i="2" s="1"/>
  <c r="P46" i="8"/>
  <c r="P38" i="8"/>
  <c r="P30" i="8"/>
  <c r="P22" i="8"/>
  <c r="P14" i="8"/>
  <c r="P35" i="8"/>
  <c r="P13" i="8"/>
  <c r="P10" i="8"/>
  <c r="P7" i="8"/>
  <c r="P41" i="8"/>
  <c r="P27" i="8"/>
  <c r="P5" i="8"/>
  <c r="P33" i="8"/>
  <c r="P19" i="8"/>
  <c r="P45" i="8"/>
  <c r="P42" i="8"/>
  <c r="P39" i="8"/>
  <c r="P17" i="8"/>
  <c r="P37" i="8"/>
  <c r="P34" i="8"/>
  <c r="P31" i="8"/>
  <c r="P9" i="8"/>
  <c r="P29" i="8"/>
  <c r="P26" i="8"/>
  <c r="P23" i="8"/>
  <c r="P4" i="8"/>
  <c r="P15" i="8"/>
  <c r="BO5" i="11"/>
  <c r="J5" i="11"/>
  <c r="J4" i="11"/>
  <c r="R5" i="11"/>
  <c r="R4" i="11"/>
  <c r="Z5" i="11"/>
  <c r="Z4" i="11"/>
  <c r="AH5" i="11"/>
  <c r="AH4" i="11"/>
  <c r="AP5" i="11"/>
  <c r="AP4" i="11"/>
  <c r="AX5" i="11"/>
  <c r="AX4" i="11"/>
  <c r="BF5" i="11"/>
  <c r="BF4" i="11"/>
  <c r="BN5" i="11"/>
  <c r="BN4" i="11"/>
  <c r="BV5" i="11"/>
  <c r="BV4" i="11"/>
  <c r="CD5" i="11"/>
  <c r="CD4" i="11"/>
  <c r="B11" i="7"/>
  <c r="B9" i="7"/>
  <c r="C4" i="11"/>
  <c r="K4" i="11"/>
  <c r="K5" i="11"/>
  <c r="S5" i="11"/>
  <c r="AA5" i="11"/>
  <c r="AI4" i="11"/>
  <c r="AQ5" i="11"/>
  <c r="AY5" i="11"/>
  <c r="AY4" i="11"/>
  <c r="BG4" i="11"/>
  <c r="BG5" i="11"/>
  <c r="BO4" i="11"/>
  <c r="BW5" i="11"/>
  <c r="CE4" i="11"/>
  <c r="CE5" i="11"/>
  <c r="B10" i="7"/>
  <c r="D5" i="11"/>
  <c r="L5" i="11"/>
  <c r="T5" i="11"/>
  <c r="T4" i="11"/>
  <c r="AB5" i="11"/>
  <c r="AB4" i="11"/>
  <c r="AJ5" i="11"/>
  <c r="AR5" i="11"/>
  <c r="AZ5" i="11"/>
  <c r="BH5" i="11"/>
  <c r="BP5" i="11"/>
  <c r="BX5" i="11"/>
  <c r="CF5" i="11"/>
  <c r="AQ4" i="11"/>
  <c r="F5" i="11"/>
  <c r="N5" i="11"/>
  <c r="V4" i="11"/>
  <c r="V5" i="11"/>
  <c r="AD4" i="11"/>
  <c r="AD5" i="11"/>
  <c r="AL4" i="11"/>
  <c r="AL5" i="11"/>
  <c r="AT4" i="11"/>
  <c r="AT5" i="11"/>
  <c r="BB4" i="11"/>
  <c r="BB5" i="11"/>
  <c r="BJ4" i="11"/>
  <c r="BJ5" i="11"/>
  <c r="BR4" i="11"/>
  <c r="BR5" i="11"/>
  <c r="BZ4" i="11"/>
  <c r="BZ5" i="11"/>
  <c r="CH4" i="11"/>
  <c r="CH5" i="11"/>
  <c r="BW4" i="11"/>
  <c r="D23" i="11"/>
  <c r="O5" i="11"/>
  <c r="AE5" i="11"/>
  <c r="AU4" i="11"/>
  <c r="CA5" i="11"/>
  <c r="D4" i="11"/>
  <c r="AA4" i="11"/>
  <c r="H4" i="11"/>
  <c r="H5" i="11"/>
  <c r="P4" i="11"/>
  <c r="X4" i="11"/>
  <c r="X5" i="11"/>
  <c r="AF4" i="11"/>
  <c r="AF5" i="11"/>
  <c r="AN4" i="11"/>
  <c r="AN5" i="11"/>
  <c r="AV4" i="11"/>
  <c r="BD4" i="11"/>
  <c r="BD5" i="11"/>
  <c r="BK5" i="11"/>
  <c r="BK4" i="11"/>
  <c r="BT4" i="11"/>
  <c r="BT5" i="11"/>
  <c r="CB4" i="11"/>
  <c r="F4" i="11"/>
  <c r="C5" i="11"/>
  <c r="BL4" i="11"/>
  <c r="H16" i="11"/>
  <c r="P16" i="11"/>
  <c r="X16" i="11"/>
  <c r="AF16" i="11"/>
  <c r="AN16" i="11"/>
  <c r="AV16" i="11"/>
  <c r="BD16" i="11"/>
  <c r="BT16" i="11"/>
  <c r="O4" i="11"/>
  <c r="BA4" i="11"/>
  <c r="CA4" i="11"/>
  <c r="U5" i="11"/>
  <c r="AU5" i="11"/>
  <c r="CG5" i="11"/>
  <c r="C21" i="11"/>
  <c r="D19" i="11" s="1"/>
  <c r="BL16" i="11"/>
  <c r="CB16" i="11"/>
  <c r="C26" i="11"/>
  <c r="C27" i="11" s="1"/>
  <c r="D25" i="11" s="1"/>
  <c r="H107" i="12"/>
  <c r="H104" i="12"/>
  <c r="H106" i="12" s="1"/>
  <c r="P104" i="12"/>
  <c r="E20" i="12"/>
  <c r="X104" i="12"/>
  <c r="AN104" i="12"/>
  <c r="G20" i="12"/>
  <c r="AV104" i="12"/>
  <c r="BD104" i="12"/>
  <c r="BL104" i="12"/>
  <c r="I20" i="12"/>
  <c r="BT104" i="12"/>
  <c r="CB104" i="12"/>
  <c r="AF104" i="12"/>
  <c r="C106" i="12"/>
  <c r="AA105" i="12"/>
  <c r="AA106" i="12" s="1"/>
  <c r="AA107" i="12" s="1"/>
  <c r="AI105" i="12"/>
  <c r="AI106" i="12" s="1"/>
  <c r="AI107" i="12" s="1"/>
  <c r="AQ105" i="12"/>
  <c r="AQ106" i="12" s="1"/>
  <c r="AQ107" i="12" s="1"/>
  <c r="AY105" i="12"/>
  <c r="AY106" i="12" s="1"/>
  <c r="AY107" i="12" s="1"/>
  <c r="BG105" i="12"/>
  <c r="BG106" i="12" s="1"/>
  <c r="BG107" i="12" s="1"/>
  <c r="BO105" i="12"/>
  <c r="BO106" i="12"/>
  <c r="BO107" i="12" s="1"/>
  <c r="BW105" i="12"/>
  <c r="BW106" i="12" s="1"/>
  <c r="BW107" i="12" s="1"/>
  <c r="D29" i="13"/>
  <c r="C20" i="12"/>
  <c r="D20" i="12"/>
  <c r="H20" i="12"/>
  <c r="B16" i="12"/>
  <c r="B18" i="12"/>
  <c r="B62" i="12" s="1"/>
  <c r="AZ106" i="12"/>
  <c r="AZ107" i="12" s="1"/>
  <c r="I19" i="12"/>
  <c r="BV104" i="12"/>
  <c r="F107" i="12"/>
  <c r="Q105" i="12"/>
  <c r="Q106" i="12"/>
  <c r="Q107" i="12" s="1"/>
  <c r="AG105" i="12"/>
  <c r="AG106" i="12" s="1"/>
  <c r="AG107" i="12" s="1"/>
  <c r="AW105" i="12"/>
  <c r="AW106" i="12"/>
  <c r="AW107" i="12" s="1"/>
  <c r="BM105" i="12"/>
  <c r="BM106" i="12" s="1"/>
  <c r="BM107" i="12" s="1"/>
  <c r="CC105" i="12"/>
  <c r="CC106" i="12" s="1"/>
  <c r="CC107" i="12" s="1"/>
  <c r="BN106" i="12"/>
  <c r="BN107" i="12" s="1"/>
  <c r="B28" i="13"/>
  <c r="E19" i="12"/>
  <c r="Z106" i="12"/>
  <c r="Z107" i="12" s="1"/>
  <c r="D7" i="13"/>
  <c r="D28" i="13" s="1"/>
  <c r="E104" i="12"/>
  <c r="E106" i="12" s="1"/>
  <c r="E107" i="12" s="1"/>
  <c r="M104" i="12"/>
  <c r="D19" i="12"/>
  <c r="U104" i="12"/>
  <c r="AC104" i="12"/>
  <c r="AK104" i="12"/>
  <c r="F19" i="12"/>
  <c r="AS104" i="12"/>
  <c r="F21" i="12" s="1"/>
  <c r="BA104" i="12"/>
  <c r="BI104" i="12"/>
  <c r="BQ104" i="12"/>
  <c r="BY104" i="12"/>
  <c r="CG104" i="12"/>
  <c r="F104" i="12"/>
  <c r="F106" i="12" s="1"/>
  <c r="N104" i="12"/>
  <c r="V104" i="12"/>
  <c r="AD104" i="12"/>
  <c r="AL104" i="12"/>
  <c r="AT104" i="12"/>
  <c r="BB104" i="12"/>
  <c r="BJ104" i="12"/>
  <c r="BR104" i="12"/>
  <c r="BZ104" i="12"/>
  <c r="CH104" i="12"/>
  <c r="J21" i="12" s="1"/>
  <c r="Y105" i="12"/>
  <c r="Y106" i="12" s="1"/>
  <c r="Y107" i="12" s="1"/>
  <c r="AO105" i="12"/>
  <c r="AO106" i="12" s="1"/>
  <c r="AO107" i="12" s="1"/>
  <c r="BE105" i="12"/>
  <c r="BE106" i="12" s="1"/>
  <c r="BE107" i="12" s="1"/>
  <c r="BU105" i="12"/>
  <c r="BU106" i="12" s="1"/>
  <c r="BU107" i="12" s="1"/>
  <c r="O106" i="12"/>
  <c r="AH106" i="12"/>
  <c r="AH107" i="12" s="1"/>
  <c r="CA106" i="12"/>
  <c r="AM106" i="12"/>
  <c r="AM107" i="12" s="1"/>
  <c r="G19" i="12"/>
  <c r="B103" i="12"/>
  <c r="F20" i="12"/>
  <c r="L106" i="12"/>
  <c r="AR106" i="12"/>
  <c r="AR107" i="12" s="1"/>
  <c r="BH106" i="12"/>
  <c r="BX106" i="12"/>
  <c r="BX107" i="12" s="1"/>
  <c r="R106" i="12"/>
  <c r="R107" i="12" s="1"/>
  <c r="CD106" i="12"/>
  <c r="CD107" i="12" s="1"/>
  <c r="AJ106" i="12"/>
  <c r="G107" i="12"/>
  <c r="O107" i="12"/>
  <c r="AU107" i="12"/>
  <c r="BC107" i="12"/>
  <c r="CA107" i="12"/>
  <c r="S14" i="3" l="1"/>
  <c r="BS105" i="12"/>
  <c r="BS106" i="12" s="1"/>
  <c r="BS107" i="12" s="1"/>
  <c r="CE106" i="12"/>
  <c r="CE107" i="12" s="1"/>
  <c r="S7" i="3"/>
  <c r="T19" i="3"/>
  <c r="N14" i="3"/>
  <c r="O13" i="3"/>
  <c r="AX105" i="12"/>
  <c r="AX106" i="12"/>
  <c r="AX107" i="12" s="1"/>
  <c r="F19" i="3"/>
  <c r="AA14" i="3"/>
  <c r="P13" i="3"/>
  <c r="AP105" i="12"/>
  <c r="AP106" i="12"/>
  <c r="AP107" i="12" s="1"/>
  <c r="AE105" i="12"/>
  <c r="AE106" i="12" s="1"/>
  <c r="AE107" i="12" s="1"/>
  <c r="BK105" i="12"/>
  <c r="BK106" i="12" s="1"/>
  <c r="BK107" i="12" s="1"/>
  <c r="BF106" i="12"/>
  <c r="BF107" i="12" s="1"/>
  <c r="B19" i="12"/>
  <c r="S106" i="12"/>
  <c r="S107" i="12" s="1"/>
  <c r="T7" i="3"/>
  <c r="W105" i="12"/>
  <c r="W106" i="12" s="1"/>
  <c r="W107" i="12" s="1"/>
  <c r="C130" i="2"/>
  <c r="D126" i="2" s="1"/>
  <c r="H14" i="3"/>
  <c r="D26" i="11"/>
  <c r="D27" i="11" s="1"/>
  <c r="E25" i="11" s="1"/>
  <c r="D117" i="2"/>
  <c r="D120" i="2" s="1"/>
  <c r="E116" i="2" s="1"/>
  <c r="CA22" i="2"/>
  <c r="CA20" i="2"/>
  <c r="CA21" i="2"/>
  <c r="CA19" i="2"/>
  <c r="CH70" i="2"/>
  <c r="CH68" i="2"/>
  <c r="CH69" i="2"/>
  <c r="CH67" i="2"/>
  <c r="BH70" i="2"/>
  <c r="BH68" i="2"/>
  <c r="BH67" i="2"/>
  <c r="BH69" i="2"/>
  <c r="AC7" i="3"/>
  <c r="I7" i="1"/>
  <c r="AO22" i="2"/>
  <c r="AO20" i="2"/>
  <c r="AO21" i="2"/>
  <c r="AO19" i="2"/>
  <c r="U21" i="2"/>
  <c r="U19" i="2"/>
  <c r="U22" i="2"/>
  <c r="U20" i="2"/>
  <c r="D40" i="3"/>
  <c r="B40" i="1"/>
  <c r="C101" i="2"/>
  <c r="C102" i="2" s="1"/>
  <c r="D99" i="2" s="1"/>
  <c r="D20" i="13"/>
  <c r="Q91" i="2"/>
  <c r="Y19" i="3"/>
  <c r="BT91" i="2"/>
  <c r="H19" i="1"/>
  <c r="H91" i="2"/>
  <c r="J14" i="3"/>
  <c r="U14" i="3"/>
  <c r="G14" i="1"/>
  <c r="L14" i="3"/>
  <c r="CB69" i="2"/>
  <c r="CB67" i="2"/>
  <c r="CB70" i="2"/>
  <c r="CB68" i="2"/>
  <c r="AW69" i="2"/>
  <c r="AW67" i="2"/>
  <c r="AW70" i="2"/>
  <c r="AW68" i="2"/>
  <c r="BQ21" i="2"/>
  <c r="BQ19" i="2"/>
  <c r="BQ22" i="2"/>
  <c r="BQ20" i="2"/>
  <c r="BM22" i="2"/>
  <c r="BM20" i="2"/>
  <c r="BM21" i="2"/>
  <c r="BM19" i="2"/>
  <c r="BM39" i="2" s="1"/>
  <c r="BM93" i="2" s="1"/>
  <c r="BC22" i="2"/>
  <c r="BC20" i="2"/>
  <c r="BC21" i="2"/>
  <c r="BC19" i="2"/>
  <c r="CF21" i="2"/>
  <c r="CF19" i="2"/>
  <c r="CF22" i="2"/>
  <c r="CF20" i="2"/>
  <c r="BP91" i="2"/>
  <c r="E13" i="3"/>
  <c r="C13" i="1"/>
  <c r="K13" i="3"/>
  <c r="BG21" i="2"/>
  <c r="BG19" i="2"/>
  <c r="BG22" i="2"/>
  <c r="BG20" i="2"/>
  <c r="AK21" i="2"/>
  <c r="AK19" i="2"/>
  <c r="AK22" i="2"/>
  <c r="AK20" i="2"/>
  <c r="D127" i="2"/>
  <c r="CB91" i="2"/>
  <c r="S21" i="2"/>
  <c r="S19" i="2"/>
  <c r="S39" i="2" s="1"/>
  <c r="S93" i="2" s="1"/>
  <c r="S22" i="2"/>
  <c r="S20" i="2"/>
  <c r="BD105" i="12"/>
  <c r="BD106" i="12" s="1"/>
  <c r="BD107" i="12" s="1"/>
  <c r="V22" i="2"/>
  <c r="V20" i="2"/>
  <c r="V21" i="2"/>
  <c r="V19" i="2"/>
  <c r="AY21" i="2"/>
  <c r="AY19" i="2"/>
  <c r="AY22" i="2"/>
  <c r="AY20" i="2"/>
  <c r="O22" i="2"/>
  <c r="O20" i="2"/>
  <c r="O21" i="2"/>
  <c r="O19" i="2"/>
  <c r="BK70" i="2"/>
  <c r="BK68" i="2"/>
  <c r="BK69" i="2"/>
  <c r="BK67" i="2"/>
  <c r="X69" i="2"/>
  <c r="X67" i="2"/>
  <c r="X70" i="2"/>
  <c r="X68" i="2"/>
  <c r="AU22" i="2"/>
  <c r="AU20" i="2"/>
  <c r="AU21" i="2"/>
  <c r="AU19" i="2"/>
  <c r="AU39" i="2" s="1"/>
  <c r="AU93" i="2" s="1"/>
  <c r="BZ70" i="2"/>
  <c r="BZ68" i="2"/>
  <c r="BZ69" i="2"/>
  <c r="BZ67" i="2"/>
  <c r="AT70" i="2"/>
  <c r="AT68" i="2"/>
  <c r="AT69" i="2"/>
  <c r="AT67" i="2"/>
  <c r="N70" i="2"/>
  <c r="N68" i="2"/>
  <c r="N69" i="2"/>
  <c r="N67" i="2"/>
  <c r="AR70" i="2"/>
  <c r="AR68" i="2"/>
  <c r="AR69" i="2"/>
  <c r="AR67" i="2"/>
  <c r="CC98" i="11"/>
  <c r="CC8" i="2" s="1"/>
  <c r="BU98" i="11"/>
  <c r="BU8" i="2" s="1"/>
  <c r="BM98" i="11"/>
  <c r="BM8" i="2" s="1"/>
  <c r="BE98" i="11"/>
  <c r="BE8" i="2" s="1"/>
  <c r="AW98" i="11"/>
  <c r="AW8" i="2" s="1"/>
  <c r="AO98" i="11"/>
  <c r="AO8" i="2" s="1"/>
  <c r="AG98" i="11"/>
  <c r="AG8" i="2" s="1"/>
  <c r="CB98" i="11"/>
  <c r="CB8" i="2" s="1"/>
  <c r="BT98" i="11"/>
  <c r="BT8" i="2" s="1"/>
  <c r="BL98" i="11"/>
  <c r="BL8" i="2" s="1"/>
  <c r="BD98" i="11"/>
  <c r="BD8" i="2" s="1"/>
  <c r="AV98" i="11"/>
  <c r="AV8" i="2" s="1"/>
  <c r="AN98" i="11"/>
  <c r="AN8" i="2" s="1"/>
  <c r="BY98" i="11"/>
  <c r="BY8" i="2" s="1"/>
  <c r="BO98" i="11"/>
  <c r="BO8" i="2" s="1"/>
  <c r="BC98" i="11"/>
  <c r="BC8" i="2" s="1"/>
  <c r="AS98" i="11"/>
  <c r="AS8" i="2" s="1"/>
  <c r="AI98" i="11"/>
  <c r="AI8" i="2" s="1"/>
  <c r="CE98" i="11"/>
  <c r="CE8" i="2" s="1"/>
  <c r="BS98" i="11"/>
  <c r="BS8" i="2" s="1"/>
  <c r="BI98" i="11"/>
  <c r="BI8" i="2" s="1"/>
  <c r="AY98" i="11"/>
  <c r="AY8" i="2" s="1"/>
  <c r="AM98" i="11"/>
  <c r="AM8" i="2" s="1"/>
  <c r="CD98" i="11"/>
  <c r="CD8" i="2" s="1"/>
  <c r="BR98" i="11"/>
  <c r="BR8" i="2" s="1"/>
  <c r="BH98" i="11"/>
  <c r="BH8" i="2" s="1"/>
  <c r="AX98" i="11"/>
  <c r="AX8" i="2" s="1"/>
  <c r="AL98" i="11"/>
  <c r="AL8" i="2" s="1"/>
  <c r="CA98" i="11"/>
  <c r="CA8" i="2" s="1"/>
  <c r="BK98" i="11"/>
  <c r="BK8" i="2" s="1"/>
  <c r="AT98" i="11"/>
  <c r="AT8" i="2" s="1"/>
  <c r="BZ98" i="11"/>
  <c r="BZ8" i="2" s="1"/>
  <c r="BJ98" i="11"/>
  <c r="BJ8" i="2" s="1"/>
  <c r="AR98" i="11"/>
  <c r="AR8" i="2" s="1"/>
  <c r="BX98" i="11"/>
  <c r="BX8" i="2" s="1"/>
  <c r="BG98" i="11"/>
  <c r="BG8" i="2" s="1"/>
  <c r="AQ98" i="11"/>
  <c r="AQ8" i="2" s="1"/>
  <c r="BV98" i="11"/>
  <c r="BV8" i="2" s="1"/>
  <c r="BB98" i="11"/>
  <c r="BB8" i="2" s="1"/>
  <c r="AK98" i="11"/>
  <c r="AK8" i="2" s="1"/>
  <c r="BN98" i="11"/>
  <c r="BN8" i="2" s="1"/>
  <c r="BF98" i="11"/>
  <c r="BF8" i="2" s="1"/>
  <c r="CH98" i="11"/>
  <c r="CH8" i="2" s="1"/>
  <c r="BA98" i="11"/>
  <c r="BA8" i="2" s="1"/>
  <c r="CG98" i="11"/>
  <c r="CG8" i="2" s="1"/>
  <c r="BQ98" i="11"/>
  <c r="BQ8" i="2" s="1"/>
  <c r="AJ98" i="11"/>
  <c r="AJ8" i="2" s="1"/>
  <c r="BW98" i="11"/>
  <c r="BW8" i="2" s="1"/>
  <c r="AZ98" i="11"/>
  <c r="AZ8" i="2" s="1"/>
  <c r="AH98" i="11"/>
  <c r="AH8" i="2" s="1"/>
  <c r="CF98" i="11"/>
  <c r="CF8" i="2" s="1"/>
  <c r="BP98" i="11"/>
  <c r="BP8" i="2" s="1"/>
  <c r="AP98" i="11"/>
  <c r="AP8" i="2" s="1"/>
  <c r="N46" i="8"/>
  <c r="N38" i="8"/>
  <c r="N30" i="8"/>
  <c r="N22" i="8"/>
  <c r="N14" i="8"/>
  <c r="AU98" i="11"/>
  <c r="AU8" i="2" s="1"/>
  <c r="N42" i="8"/>
  <c r="N34" i="8"/>
  <c r="N26" i="8"/>
  <c r="N18" i="8"/>
  <c r="N10" i="8"/>
  <c r="N4" i="8"/>
  <c r="N44" i="8"/>
  <c r="N36" i="8"/>
  <c r="N28" i="8"/>
  <c r="N20" i="8"/>
  <c r="N12" i="8"/>
  <c r="N43" i="8"/>
  <c r="N40" i="8"/>
  <c r="N21" i="8"/>
  <c r="N15" i="8"/>
  <c r="N35" i="8"/>
  <c r="N32" i="8"/>
  <c r="N13" i="8"/>
  <c r="N7" i="8"/>
  <c r="N27" i="8"/>
  <c r="N24" i="8"/>
  <c r="N5" i="8"/>
  <c r="N33" i="8"/>
  <c r="N11" i="8"/>
  <c r="N8" i="8"/>
  <c r="N45" i="8"/>
  <c r="N39" i="8"/>
  <c r="N25" i="8"/>
  <c r="N37" i="8"/>
  <c r="N31" i="8"/>
  <c r="N17" i="8"/>
  <c r="N41" i="8"/>
  <c r="N23" i="8"/>
  <c r="N9" i="8"/>
  <c r="N19" i="8"/>
  <c r="N16" i="8"/>
  <c r="N29" i="8"/>
  <c r="Y8" i="2"/>
  <c r="AE8" i="2"/>
  <c r="W8" i="2"/>
  <c r="O8" i="2"/>
  <c r="AD8" i="2"/>
  <c r="V8" i="2"/>
  <c r="N8" i="2"/>
  <c r="F8" i="2"/>
  <c r="AC8" i="2"/>
  <c r="U8" i="2"/>
  <c r="M8" i="2"/>
  <c r="E8" i="2"/>
  <c r="AB8" i="2"/>
  <c r="T8" i="2"/>
  <c r="L8" i="2"/>
  <c r="D8" i="2"/>
  <c r="AF8" i="2"/>
  <c r="K8" i="2"/>
  <c r="AA8" i="2"/>
  <c r="J8" i="2"/>
  <c r="Z8" i="2"/>
  <c r="I8" i="2"/>
  <c r="P8" i="2"/>
  <c r="X8" i="2"/>
  <c r="H8" i="2"/>
  <c r="S8" i="2"/>
  <c r="G8" i="2"/>
  <c r="R8" i="2"/>
  <c r="C8" i="2"/>
  <c r="Q8" i="2"/>
  <c r="AY69" i="2"/>
  <c r="AY67" i="2"/>
  <c r="AY70" i="2"/>
  <c r="AY68" i="2"/>
  <c r="BF21" i="2"/>
  <c r="BF19" i="2"/>
  <c r="BF39" i="2" s="1"/>
  <c r="BF93" i="2" s="1"/>
  <c r="BF22" i="2"/>
  <c r="BF20" i="2"/>
  <c r="Z21" i="2"/>
  <c r="Z19" i="2"/>
  <c r="Z39" i="2" s="1"/>
  <c r="Z93" i="2" s="1"/>
  <c r="Z20" i="2"/>
  <c r="Z22" i="2"/>
  <c r="Z7" i="3"/>
  <c r="AG69" i="2"/>
  <c r="AG67" i="2"/>
  <c r="AG70" i="2"/>
  <c r="AG68" i="2"/>
  <c r="M21" i="2"/>
  <c r="M19" i="2"/>
  <c r="M22" i="2"/>
  <c r="M20" i="2"/>
  <c r="D112" i="2"/>
  <c r="D115" i="2" s="1"/>
  <c r="E111" i="2" s="1"/>
  <c r="D19" i="3"/>
  <c r="I91" i="2"/>
  <c r="BL91" i="2"/>
  <c r="G19" i="1"/>
  <c r="AO69" i="2"/>
  <c r="AO67" i="2"/>
  <c r="AO70" i="2"/>
  <c r="AO68" i="2"/>
  <c r="M70" i="2"/>
  <c r="M68" i="2"/>
  <c r="M69" i="2"/>
  <c r="M67" i="2"/>
  <c r="G22" i="2"/>
  <c r="G20" i="2"/>
  <c r="G21" i="2"/>
  <c r="G19" i="2"/>
  <c r="Q22" i="2"/>
  <c r="Q20" i="2"/>
  <c r="Q21" i="2"/>
  <c r="Q19" i="2"/>
  <c r="Q39" i="2" s="1"/>
  <c r="Q93" i="2" s="1"/>
  <c r="BX21" i="2"/>
  <c r="BX19" i="2"/>
  <c r="BX22" i="2"/>
  <c r="BX20" i="2"/>
  <c r="BH21" i="2"/>
  <c r="BH19" i="2"/>
  <c r="BH22" i="2"/>
  <c r="BH20" i="2"/>
  <c r="H40" i="3"/>
  <c r="C40" i="1"/>
  <c r="AC13" i="3"/>
  <c r="I13" i="1"/>
  <c r="F13" i="3"/>
  <c r="O14" i="3"/>
  <c r="D21" i="2"/>
  <c r="D19" i="2"/>
  <c r="D39" i="2" s="1"/>
  <c r="D93" i="2" s="1"/>
  <c r="D22" i="2"/>
  <c r="D20" i="2"/>
  <c r="AH21" i="2"/>
  <c r="AH19" i="2"/>
  <c r="AH20" i="2"/>
  <c r="AH22" i="2"/>
  <c r="P91" i="2"/>
  <c r="AK70" i="2"/>
  <c r="AK68" i="2"/>
  <c r="AK69" i="2"/>
  <c r="AK67" i="2"/>
  <c r="BS22" i="2"/>
  <c r="BS20" i="2"/>
  <c r="BS21" i="2"/>
  <c r="BS19" i="2"/>
  <c r="E21" i="12"/>
  <c r="X105" i="12"/>
  <c r="X106" i="12" s="1"/>
  <c r="BB22" i="2"/>
  <c r="BB20" i="2"/>
  <c r="BB19" i="2"/>
  <c r="BB21" i="2"/>
  <c r="AZ70" i="2"/>
  <c r="AZ68" i="2"/>
  <c r="AZ69" i="2"/>
  <c r="AZ67" i="2"/>
  <c r="D70" i="2"/>
  <c r="D68" i="2"/>
  <c r="D67" i="2"/>
  <c r="D69" i="2"/>
  <c r="C21" i="2"/>
  <c r="C19" i="2"/>
  <c r="C22" i="2"/>
  <c r="C20" i="2"/>
  <c r="BN69" i="2"/>
  <c r="BN67" i="2"/>
  <c r="BN70" i="2"/>
  <c r="BN68" i="2"/>
  <c r="AH69" i="2"/>
  <c r="AH67" i="2"/>
  <c r="AH70" i="2"/>
  <c r="AH68" i="2"/>
  <c r="BZ105" i="12"/>
  <c r="BZ106" i="12" s="1"/>
  <c r="BZ107" i="12" s="1"/>
  <c r="N105" i="12"/>
  <c r="N106" i="12" s="1"/>
  <c r="BI106" i="12"/>
  <c r="BI107" i="12" s="1"/>
  <c r="BI105" i="12"/>
  <c r="H21" i="12"/>
  <c r="M106" i="12"/>
  <c r="M107" i="12" s="1"/>
  <c r="D21" i="12"/>
  <c r="M105" i="12"/>
  <c r="B12" i="12"/>
  <c r="B60" i="12"/>
  <c r="B63" i="12" s="1"/>
  <c r="CB105" i="12"/>
  <c r="CB106" i="12" s="1"/>
  <c r="CB107" i="12" s="1"/>
  <c r="BR106" i="12"/>
  <c r="BR107" i="12" s="1"/>
  <c r="BR105" i="12"/>
  <c r="BA106" i="12"/>
  <c r="BA107" i="12" s="1"/>
  <c r="BA105" i="12"/>
  <c r="C21" i="12"/>
  <c r="G21" i="12"/>
  <c r="AV105" i="12"/>
  <c r="BL22" i="2"/>
  <c r="BL20" i="2"/>
  <c r="BL21" i="2"/>
  <c r="BL19" i="2"/>
  <c r="BL39" i="2" s="1"/>
  <c r="BL93" i="2" s="1"/>
  <c r="BD69" i="2"/>
  <c r="BD67" i="2"/>
  <c r="BD68" i="2"/>
  <c r="BD70" i="2"/>
  <c r="X22" i="2"/>
  <c r="X20" i="2"/>
  <c r="X21" i="2"/>
  <c r="X19" i="2"/>
  <c r="AE70" i="2"/>
  <c r="AE68" i="2"/>
  <c r="AE69" i="2"/>
  <c r="AE67" i="2"/>
  <c r="BZ22" i="2"/>
  <c r="BZ20" i="2"/>
  <c r="BZ21" i="2"/>
  <c r="BZ19" i="2"/>
  <c r="AT22" i="2"/>
  <c r="AT20" i="2"/>
  <c r="AT19" i="2"/>
  <c r="AT39" i="2" s="1"/>
  <c r="AT93" i="2" s="1"/>
  <c r="AT21" i="2"/>
  <c r="F70" i="2"/>
  <c r="F68" i="2"/>
  <c r="F69" i="2"/>
  <c r="F67" i="2"/>
  <c r="AJ70" i="2"/>
  <c r="AJ68" i="2"/>
  <c r="AJ69" i="2"/>
  <c r="AJ67" i="2"/>
  <c r="CE69" i="2"/>
  <c r="CE67" i="2"/>
  <c r="CE70" i="2"/>
  <c r="CE68" i="2"/>
  <c r="AQ69" i="2"/>
  <c r="AQ67" i="2"/>
  <c r="AQ70" i="2"/>
  <c r="AQ68" i="2"/>
  <c r="CG99" i="11"/>
  <c r="CG9" i="2" s="1"/>
  <c r="BY99" i="11"/>
  <c r="BY9" i="2" s="1"/>
  <c r="BQ99" i="11"/>
  <c r="BQ9" i="2" s="1"/>
  <c r="BI99" i="11"/>
  <c r="BI9" i="2" s="1"/>
  <c r="BA99" i="11"/>
  <c r="BA9" i="2" s="1"/>
  <c r="AS99" i="11"/>
  <c r="AS9" i="2" s="1"/>
  <c r="AK99" i="11"/>
  <c r="AK9" i="2" s="1"/>
  <c r="CF99" i="11"/>
  <c r="CF9" i="2" s="1"/>
  <c r="BX99" i="11"/>
  <c r="BX9" i="2" s="1"/>
  <c r="BP99" i="11"/>
  <c r="BP9" i="2" s="1"/>
  <c r="BH99" i="11"/>
  <c r="BH9" i="2" s="1"/>
  <c r="AZ99" i="11"/>
  <c r="AZ9" i="2" s="1"/>
  <c r="AR99" i="11"/>
  <c r="AR9" i="2" s="1"/>
  <c r="AJ99" i="11"/>
  <c r="AJ9" i="2" s="1"/>
  <c r="CC99" i="11"/>
  <c r="CC9" i="2" s="1"/>
  <c r="BU99" i="11"/>
  <c r="BU9" i="2" s="1"/>
  <c r="BM99" i="11"/>
  <c r="BM9" i="2" s="1"/>
  <c r="BE99" i="11"/>
  <c r="BE9" i="2" s="1"/>
  <c r="AW99" i="11"/>
  <c r="AW9" i="2" s="1"/>
  <c r="AO99" i="11"/>
  <c r="AO9" i="2" s="1"/>
  <c r="BV99" i="11"/>
  <c r="BV9" i="2" s="1"/>
  <c r="BJ99" i="11"/>
  <c r="BJ9" i="2" s="1"/>
  <c r="AV99" i="11"/>
  <c r="AV9" i="2" s="1"/>
  <c r="AI99" i="11"/>
  <c r="AI9" i="2" s="1"/>
  <c r="CB99" i="11"/>
  <c r="CB9" i="2" s="1"/>
  <c r="BO99" i="11"/>
  <c r="BO9" i="2" s="1"/>
  <c r="BC99" i="11"/>
  <c r="BC9" i="2" s="1"/>
  <c r="AP99" i="11"/>
  <c r="AP9" i="2" s="1"/>
  <c r="CA99" i="11"/>
  <c r="CA9" i="2" s="1"/>
  <c r="BN99" i="11"/>
  <c r="BN9" i="2" s="1"/>
  <c r="BB99" i="11"/>
  <c r="BB9" i="2" s="1"/>
  <c r="AN99" i="11"/>
  <c r="AN9" i="2" s="1"/>
  <c r="BR99" i="11"/>
  <c r="BR9" i="2" s="1"/>
  <c r="AU99" i="11"/>
  <c r="AU9" i="2" s="1"/>
  <c r="CH99" i="11"/>
  <c r="CH9" i="2" s="1"/>
  <c r="BL99" i="11"/>
  <c r="BL9" i="2" s="1"/>
  <c r="AT99" i="11"/>
  <c r="AT9" i="2" s="1"/>
  <c r="CE99" i="11"/>
  <c r="CE9" i="2" s="1"/>
  <c r="BK99" i="11"/>
  <c r="BK9" i="2" s="1"/>
  <c r="AQ99" i="11"/>
  <c r="AQ9" i="2" s="1"/>
  <c r="BZ99" i="11"/>
  <c r="BZ9" i="2" s="1"/>
  <c r="AA6" i="3" s="1"/>
  <c r="BF99" i="11"/>
  <c r="BF9" i="2" s="1"/>
  <c r="AL99" i="11"/>
  <c r="AL9" i="2" s="1"/>
  <c r="AX99" i="11"/>
  <c r="AX9" i="2" s="1"/>
  <c r="CD99" i="11"/>
  <c r="CD9" i="2" s="1"/>
  <c r="AM99" i="11"/>
  <c r="AM9" i="2" s="1"/>
  <c r="BW99" i="11"/>
  <c r="BW9" i="2" s="1"/>
  <c r="Z6" i="3" s="1"/>
  <c r="AH99" i="11"/>
  <c r="AH9" i="2" s="1"/>
  <c r="BT99" i="11"/>
  <c r="BT9" i="2" s="1"/>
  <c r="AG99" i="11"/>
  <c r="AG9" i="2" s="1"/>
  <c r="L6" i="3" s="1"/>
  <c r="BD99" i="11"/>
  <c r="BD9" i="2" s="1"/>
  <c r="BS99" i="11"/>
  <c r="BS9" i="2" s="1"/>
  <c r="AY99" i="11"/>
  <c r="AY9" i="2" s="1"/>
  <c r="BG99" i="11"/>
  <c r="BG9" i="2" s="1"/>
  <c r="O39" i="8"/>
  <c r="O31" i="8"/>
  <c r="O23" i="8"/>
  <c r="O15" i="8"/>
  <c r="O7" i="8"/>
  <c r="O43" i="8"/>
  <c r="O35" i="8"/>
  <c r="O27" i="8"/>
  <c r="O19" i="8"/>
  <c r="O11" i="8"/>
  <c r="O5" i="8"/>
  <c r="O45" i="8"/>
  <c r="O37" i="8"/>
  <c r="O29" i="8"/>
  <c r="O21" i="8"/>
  <c r="O13" i="8"/>
  <c r="O6" i="8"/>
  <c r="Q6" i="8" s="1"/>
  <c r="R6" i="8" s="1"/>
  <c r="O2" i="8"/>
  <c r="Q2" i="8" s="1"/>
  <c r="R2" i="8" s="1"/>
  <c r="O46" i="8"/>
  <c r="O32" i="8"/>
  <c r="O18" i="8"/>
  <c r="O38" i="8"/>
  <c r="O24" i="8"/>
  <c r="O10" i="8"/>
  <c r="O44" i="8"/>
  <c r="O41" i="8"/>
  <c r="O30" i="8"/>
  <c r="O16" i="8"/>
  <c r="O28" i="8"/>
  <c r="O25" i="8"/>
  <c r="O14" i="8"/>
  <c r="O42" i="8"/>
  <c r="O20" i="8"/>
  <c r="O17" i="8"/>
  <c r="O34" i="8"/>
  <c r="O12" i="8"/>
  <c r="O9" i="8"/>
  <c r="O26" i="8"/>
  <c r="O3" i="8"/>
  <c r="Q3" i="8" s="1"/>
  <c r="R3" i="8" s="1"/>
  <c r="O8" i="8"/>
  <c r="O36" i="8"/>
  <c r="O33" i="8"/>
  <c r="O40" i="8"/>
  <c r="O4" i="8"/>
  <c r="O22" i="8"/>
  <c r="AC9" i="2"/>
  <c r="U9" i="2"/>
  <c r="M9" i="2"/>
  <c r="E9" i="2"/>
  <c r="AA9" i="2"/>
  <c r="S9" i="2"/>
  <c r="K9" i="2"/>
  <c r="C9" i="2"/>
  <c r="Z9" i="2"/>
  <c r="R9" i="2"/>
  <c r="J9" i="2"/>
  <c r="Y9" i="2"/>
  <c r="Q9" i="2"/>
  <c r="I9" i="2"/>
  <c r="D6" i="3" s="1"/>
  <c r="AF9" i="2"/>
  <c r="X9" i="2"/>
  <c r="P9" i="2"/>
  <c r="H9" i="2"/>
  <c r="AE9" i="2"/>
  <c r="L9" i="2"/>
  <c r="AD9" i="2"/>
  <c r="G9" i="2"/>
  <c r="N9" i="2"/>
  <c r="AB9" i="2"/>
  <c r="F9" i="2"/>
  <c r="W9" i="2"/>
  <c r="D9" i="2"/>
  <c r="V9" i="2"/>
  <c r="T9" i="2"/>
  <c r="O9" i="2"/>
  <c r="BF69" i="2"/>
  <c r="BF67" i="2"/>
  <c r="BF70" i="2"/>
  <c r="BF68" i="2"/>
  <c r="Z69" i="2"/>
  <c r="Z67" i="2"/>
  <c r="Z70" i="2"/>
  <c r="Z68" i="2"/>
  <c r="O7" i="3"/>
  <c r="P7" i="3"/>
  <c r="Y7" i="3"/>
  <c r="H7" i="1"/>
  <c r="AB7" i="3"/>
  <c r="Y22" i="2"/>
  <c r="Y20" i="2"/>
  <c r="Y21" i="2"/>
  <c r="Y19" i="2"/>
  <c r="E70" i="2"/>
  <c r="E68" i="2"/>
  <c r="E69" i="2"/>
  <c r="E67" i="2"/>
  <c r="T40" i="3"/>
  <c r="F40" i="1"/>
  <c r="C36" i="3"/>
  <c r="I106" i="2"/>
  <c r="I108" i="2" s="1"/>
  <c r="J106" i="2" s="1"/>
  <c r="J108" i="2" s="1"/>
  <c r="K106" i="2" s="1"/>
  <c r="K108" i="2" s="1"/>
  <c r="BD91" i="2"/>
  <c r="V19" i="3"/>
  <c r="E14" i="3"/>
  <c r="C14" i="1"/>
  <c r="Y14" i="3"/>
  <c r="H14" i="1"/>
  <c r="I69" i="2"/>
  <c r="I67" i="2"/>
  <c r="I70" i="2"/>
  <c r="I68" i="2"/>
  <c r="BC70" i="2"/>
  <c r="BC68" i="2"/>
  <c r="BC69" i="2"/>
  <c r="BC67" i="2"/>
  <c r="Y69" i="2"/>
  <c r="Y67" i="2"/>
  <c r="Y70" i="2"/>
  <c r="Y68" i="2"/>
  <c r="AE22" i="2"/>
  <c r="AE20" i="2"/>
  <c r="AE21" i="2"/>
  <c r="AE19" i="2"/>
  <c r="AE39" i="2" s="1"/>
  <c r="AE93" i="2" s="1"/>
  <c r="BP21" i="2"/>
  <c r="BP19" i="2"/>
  <c r="BP22" i="2"/>
  <c r="BP20" i="2"/>
  <c r="BY21" i="2"/>
  <c r="BY19" i="2"/>
  <c r="BY22" i="2"/>
  <c r="BY20" i="2"/>
  <c r="X40" i="3"/>
  <c r="G40" i="1"/>
  <c r="R13" i="3"/>
  <c r="X13" i="3"/>
  <c r="Y13" i="3"/>
  <c r="H13" i="1"/>
  <c r="T13" i="3"/>
  <c r="C124" i="2"/>
  <c r="C125" i="2" s="1"/>
  <c r="D121" i="2" s="1"/>
  <c r="C84" i="2"/>
  <c r="BB70" i="2"/>
  <c r="BB68" i="2"/>
  <c r="BB69" i="2"/>
  <c r="BB67" i="2"/>
  <c r="L70" i="2"/>
  <c r="L68" i="2"/>
  <c r="L67" i="2"/>
  <c r="L69" i="2"/>
  <c r="V13" i="3"/>
  <c r="V105" i="12"/>
  <c r="V106" i="12" s="1"/>
  <c r="V107" i="12" s="1"/>
  <c r="BK22" i="2"/>
  <c r="BK20" i="2"/>
  <c r="BK21" i="2"/>
  <c r="BK19" i="2"/>
  <c r="BJ105" i="12"/>
  <c r="BJ106" i="12" s="1"/>
  <c r="BJ107" i="12" s="1"/>
  <c r="C69" i="2"/>
  <c r="C67" i="2"/>
  <c r="C70" i="2"/>
  <c r="C68" i="2"/>
  <c r="BD22" i="2"/>
  <c r="BD20" i="2"/>
  <c r="BD21" i="2"/>
  <c r="BD19" i="2"/>
  <c r="P22" i="2"/>
  <c r="P20" i="2"/>
  <c r="P21" i="2"/>
  <c r="P19" i="2"/>
  <c r="O70" i="2"/>
  <c r="O68" i="2"/>
  <c r="O69" i="2"/>
  <c r="O67" i="2"/>
  <c r="BR70" i="2"/>
  <c r="BR68" i="2"/>
  <c r="BR69" i="2"/>
  <c r="BR67" i="2"/>
  <c r="AL70" i="2"/>
  <c r="AL68" i="2"/>
  <c r="AL69" i="2"/>
  <c r="AL67" i="2"/>
  <c r="AQ21" i="2"/>
  <c r="AQ19" i="2"/>
  <c r="AQ22" i="2"/>
  <c r="AQ20" i="2"/>
  <c r="AB21" i="2"/>
  <c r="AB19" i="2"/>
  <c r="AB22" i="2"/>
  <c r="AB20" i="2"/>
  <c r="CE21" i="2"/>
  <c r="CE19" i="2"/>
  <c r="CE22" i="2"/>
  <c r="CE20" i="2"/>
  <c r="AI21" i="2"/>
  <c r="AI19" i="2"/>
  <c r="AI22" i="2"/>
  <c r="AI20" i="2"/>
  <c r="CD21" i="2"/>
  <c r="CD19" i="2"/>
  <c r="CD20" i="2"/>
  <c r="CD22" i="2"/>
  <c r="AX21" i="2"/>
  <c r="AX19" i="2"/>
  <c r="AX22" i="2"/>
  <c r="AX20" i="2"/>
  <c r="R21" i="2"/>
  <c r="R19" i="2"/>
  <c r="R20" i="2"/>
  <c r="R22" i="2"/>
  <c r="U7" i="3"/>
  <c r="G7" i="1"/>
  <c r="V7" i="3"/>
  <c r="Q69" i="2"/>
  <c r="Q67" i="2"/>
  <c r="Q70" i="2"/>
  <c r="Q68" i="2"/>
  <c r="B91" i="11"/>
  <c r="B87" i="11"/>
  <c r="B83" i="11"/>
  <c r="B88" i="11"/>
  <c r="B85" i="11"/>
  <c r="B82" i="11"/>
  <c r="B79" i="11"/>
  <c r="B75" i="11"/>
  <c r="B71" i="11"/>
  <c r="B67" i="11"/>
  <c r="B63" i="11"/>
  <c r="B59" i="11"/>
  <c r="B55" i="11"/>
  <c r="B77" i="11"/>
  <c r="B73" i="11"/>
  <c r="B69" i="11"/>
  <c r="B65" i="11"/>
  <c r="B61" i="11"/>
  <c r="B57" i="11"/>
  <c r="B53" i="11"/>
  <c r="B81" i="11"/>
  <c r="B72" i="11"/>
  <c r="B56" i="11"/>
  <c r="B89" i="11"/>
  <c r="B70" i="11"/>
  <c r="B54" i="11"/>
  <c r="B80" i="11"/>
  <c r="B68" i="11"/>
  <c r="B76" i="11"/>
  <c r="B64" i="11"/>
  <c r="B90" i="11"/>
  <c r="B86" i="11"/>
  <c r="B74" i="11"/>
  <c r="B66" i="11"/>
  <c r="B78" i="11"/>
  <c r="B48" i="11"/>
  <c r="C13" i="13" s="1"/>
  <c r="C27" i="13" s="1"/>
  <c r="B62" i="11"/>
  <c r="B92" i="11"/>
  <c r="B60" i="11"/>
  <c r="B58" i="11"/>
  <c r="B84" i="11"/>
  <c r="Q19" i="3"/>
  <c r="AV91" i="2"/>
  <c r="F19" i="1"/>
  <c r="M91" i="2"/>
  <c r="C19" i="1"/>
  <c r="R14" i="3"/>
  <c r="AC14" i="3"/>
  <c r="I14" i="1"/>
  <c r="P14" i="3"/>
  <c r="C14" i="3"/>
  <c r="T14" i="3"/>
  <c r="AI69" i="2"/>
  <c r="AI67" i="2"/>
  <c r="AI70" i="2"/>
  <c r="AI68" i="2"/>
  <c r="G70" i="2"/>
  <c r="G68" i="2"/>
  <c r="G69" i="2"/>
  <c r="G67" i="2"/>
  <c r="AM70" i="2"/>
  <c r="AM68" i="2"/>
  <c r="AM69" i="2"/>
  <c r="AM67" i="2"/>
  <c r="AR21" i="2"/>
  <c r="AR19" i="2"/>
  <c r="AR22" i="2"/>
  <c r="AR20" i="2"/>
  <c r="W22" i="2"/>
  <c r="W20" i="2"/>
  <c r="W21" i="2"/>
  <c r="W19" i="2"/>
  <c r="W39" i="2" s="1"/>
  <c r="W93" i="2" s="1"/>
  <c r="E21" i="2"/>
  <c r="E19" i="2"/>
  <c r="E22" i="2"/>
  <c r="E20" i="2"/>
  <c r="W13" i="3"/>
  <c r="M13" i="3"/>
  <c r="E13" i="1"/>
  <c r="S13" i="3"/>
  <c r="BB39" i="2"/>
  <c r="AD106" i="12"/>
  <c r="AD107" i="12" s="1"/>
  <c r="AD105" i="12"/>
  <c r="U105" i="12"/>
  <c r="U106" i="12" s="1"/>
  <c r="U107" i="12" s="1"/>
  <c r="K21" i="2"/>
  <c r="K19" i="2"/>
  <c r="K39" i="2" s="1"/>
  <c r="K93" i="2" s="1"/>
  <c r="K22" i="2"/>
  <c r="K20" i="2"/>
  <c r="BO69" i="2"/>
  <c r="BO67" i="2"/>
  <c r="BO70" i="2"/>
  <c r="BO68" i="2"/>
  <c r="BM69" i="2"/>
  <c r="BM67" i="2"/>
  <c r="BM70" i="2"/>
  <c r="BM68" i="2"/>
  <c r="AB40" i="3"/>
  <c r="H40" i="1"/>
  <c r="Y91" i="2"/>
  <c r="AM22" i="2"/>
  <c r="AM20" i="2"/>
  <c r="AM21" i="2"/>
  <c r="AM19" i="2"/>
  <c r="J13" i="3"/>
  <c r="L13" i="3"/>
  <c r="BQ105" i="12"/>
  <c r="BQ106" i="12" s="1"/>
  <c r="BQ107" i="12" s="1"/>
  <c r="CH22" i="2"/>
  <c r="CH20" i="2"/>
  <c r="CH21" i="2"/>
  <c r="CH19" i="2"/>
  <c r="BH107" i="12"/>
  <c r="D20" i="11"/>
  <c r="D82" i="2" s="1"/>
  <c r="F22" i="2"/>
  <c r="F20" i="2"/>
  <c r="F21" i="2"/>
  <c r="F19" i="2"/>
  <c r="AV22" i="2"/>
  <c r="AV20" i="2"/>
  <c r="AV21" i="2"/>
  <c r="AV19" i="2"/>
  <c r="AV39" i="2" s="1"/>
  <c r="H69" i="2"/>
  <c r="H67" i="2"/>
  <c r="H68" i="2"/>
  <c r="H70" i="2"/>
  <c r="BR22" i="2"/>
  <c r="BR20" i="2"/>
  <c r="BR21" i="2"/>
  <c r="BR19" i="2"/>
  <c r="BR39" i="2" s="1"/>
  <c r="BR93" i="2" s="1"/>
  <c r="AL22" i="2"/>
  <c r="AL20" i="2"/>
  <c r="AL19" i="2"/>
  <c r="AL21" i="2"/>
  <c r="CF70" i="2"/>
  <c r="CF68" i="2"/>
  <c r="CF67" i="2"/>
  <c r="CF69" i="2"/>
  <c r="AB70" i="2"/>
  <c r="AB68" i="2"/>
  <c r="AB67" i="2"/>
  <c r="AB69" i="2"/>
  <c r="BW69" i="2"/>
  <c r="BW67" i="2"/>
  <c r="BW70" i="2"/>
  <c r="BW68" i="2"/>
  <c r="AA69" i="2"/>
  <c r="AA67" i="2"/>
  <c r="AA70" i="2"/>
  <c r="AA68" i="2"/>
  <c r="CD69" i="2"/>
  <c r="CD67" i="2"/>
  <c r="CD70" i="2"/>
  <c r="CD68" i="2"/>
  <c r="AX69" i="2"/>
  <c r="AX67" i="2"/>
  <c r="AX70" i="2"/>
  <c r="AX68" i="2"/>
  <c r="R69" i="2"/>
  <c r="R67" i="2"/>
  <c r="R70" i="2"/>
  <c r="R68" i="2"/>
  <c r="L7" i="3"/>
  <c r="D7" i="1"/>
  <c r="N22" i="2"/>
  <c r="N20" i="2"/>
  <c r="N21" i="2"/>
  <c r="N19" i="2"/>
  <c r="CG21" i="2"/>
  <c r="CG19" i="2"/>
  <c r="CG22" i="2"/>
  <c r="CG20" i="2"/>
  <c r="L21" i="2"/>
  <c r="L19" i="2"/>
  <c r="L22" i="2"/>
  <c r="L20" i="2"/>
  <c r="C10" i="13"/>
  <c r="AN91" i="2"/>
  <c r="E19" i="1"/>
  <c r="E91" i="2"/>
  <c r="I14" i="3"/>
  <c r="D14" i="1"/>
  <c r="BI70" i="2"/>
  <c r="BI68" i="2"/>
  <c r="BI69" i="2"/>
  <c r="BI67" i="2"/>
  <c r="AS70" i="2"/>
  <c r="AS68" i="2"/>
  <c r="AS69" i="2"/>
  <c r="AS67" i="2"/>
  <c r="BL69" i="2"/>
  <c r="BL67" i="2"/>
  <c r="BL68" i="2"/>
  <c r="BL70" i="2"/>
  <c r="BE22" i="2"/>
  <c r="BE20" i="2"/>
  <c r="BE21" i="2"/>
  <c r="BE19" i="2"/>
  <c r="AW22" i="2"/>
  <c r="AW20" i="2"/>
  <c r="AW21" i="2"/>
  <c r="AW19" i="2"/>
  <c r="AW39" i="2" s="1"/>
  <c r="AW93" i="2" s="1"/>
  <c r="I22" i="2"/>
  <c r="I20" i="2"/>
  <c r="I21" i="2"/>
  <c r="I19" i="2"/>
  <c r="D91" i="2"/>
  <c r="B19" i="1"/>
  <c r="W14" i="3"/>
  <c r="B13" i="3"/>
  <c r="B13" i="1"/>
  <c r="H13" i="3"/>
  <c r="N13" i="3"/>
  <c r="I13" i="3"/>
  <c r="D13" i="1"/>
  <c r="D13" i="3"/>
  <c r="G13" i="3"/>
  <c r="BT22" i="2"/>
  <c r="BT20" i="2"/>
  <c r="BT21" i="2"/>
  <c r="BT19" i="2"/>
  <c r="BN21" i="2"/>
  <c r="BN19" i="2"/>
  <c r="BN22" i="2"/>
  <c r="BN20" i="2"/>
  <c r="CH106" i="12"/>
  <c r="CH107" i="12" s="1"/>
  <c r="CH105" i="12"/>
  <c r="AF22" i="2"/>
  <c r="AF20" i="2"/>
  <c r="AF21" i="2"/>
  <c r="AF19" i="2"/>
  <c r="AF39" i="2" s="1"/>
  <c r="AF93" i="2" s="1"/>
  <c r="B104" i="12"/>
  <c r="P105" i="12"/>
  <c r="P106" i="12" s="1"/>
  <c r="P107" i="12" s="1"/>
  <c r="B20" i="12"/>
  <c r="C23" i="12"/>
  <c r="C107" i="12"/>
  <c r="C24" i="12" s="1"/>
  <c r="CG70" i="2"/>
  <c r="CG68" i="2"/>
  <c r="CG69" i="2"/>
  <c r="CG67" i="2"/>
  <c r="L107" i="12"/>
  <c r="AT106" i="12"/>
  <c r="AT107" i="12" s="1"/>
  <c r="AT105" i="12"/>
  <c r="AK105" i="12"/>
  <c r="AK106" i="12" s="1"/>
  <c r="BV105" i="12"/>
  <c r="BV106" i="12"/>
  <c r="BV107" i="12" s="1"/>
  <c r="AF105" i="12"/>
  <c r="AF106" i="12" s="1"/>
  <c r="AF107" i="12" s="1"/>
  <c r="AN105" i="12"/>
  <c r="AN106" i="12" s="1"/>
  <c r="AN107" i="12" s="1"/>
  <c r="AU70" i="2"/>
  <c r="AU68" i="2"/>
  <c r="AU69" i="2"/>
  <c r="AU67" i="2"/>
  <c r="CB22" i="2"/>
  <c r="CB20" i="2"/>
  <c r="CB21" i="2"/>
  <c r="CB19" i="2"/>
  <c r="AN69" i="2"/>
  <c r="AN67" i="2"/>
  <c r="AN68" i="2"/>
  <c r="AN70" i="2"/>
  <c r="H22" i="2"/>
  <c r="H20" i="2"/>
  <c r="H21" i="2"/>
  <c r="H19" i="2"/>
  <c r="D24" i="11"/>
  <c r="E22" i="11" s="1"/>
  <c r="BJ70" i="2"/>
  <c r="BJ68" i="2"/>
  <c r="BJ69" i="2"/>
  <c r="BJ67" i="2"/>
  <c r="AD70" i="2"/>
  <c r="AD68" i="2"/>
  <c r="AD69" i="2"/>
  <c r="AD67" i="2"/>
  <c r="BX70" i="2"/>
  <c r="BX68" i="2"/>
  <c r="BX67" i="2"/>
  <c r="BX69" i="2"/>
  <c r="T21" i="2"/>
  <c r="T19" i="2"/>
  <c r="T39" i="2" s="1"/>
  <c r="T93" i="2" s="1"/>
  <c r="T22" i="2"/>
  <c r="T20" i="2"/>
  <c r="BO21" i="2"/>
  <c r="BO19" i="2"/>
  <c r="BO22" i="2"/>
  <c r="BO20" i="2"/>
  <c r="S69" i="2"/>
  <c r="S67" i="2"/>
  <c r="S70" i="2"/>
  <c r="S68" i="2"/>
  <c r="BV21" i="2"/>
  <c r="BV19" i="2"/>
  <c r="BV20" i="2"/>
  <c r="BV22" i="2"/>
  <c r="AP21" i="2"/>
  <c r="AP19" i="2"/>
  <c r="AP39" i="2" s="1"/>
  <c r="AP20" i="2"/>
  <c r="AP22" i="2"/>
  <c r="J21" i="2"/>
  <c r="J19" i="2"/>
  <c r="J22" i="2"/>
  <c r="J20" i="2"/>
  <c r="M7" i="3"/>
  <c r="E7" i="1"/>
  <c r="X7" i="3"/>
  <c r="CC69" i="2"/>
  <c r="CC67" i="2"/>
  <c r="CC70" i="2"/>
  <c r="CC68" i="2"/>
  <c r="BQ70" i="2"/>
  <c r="BQ68" i="2"/>
  <c r="BQ69" i="2"/>
  <c r="BQ67" i="2"/>
  <c r="AV69" i="2"/>
  <c r="AV67" i="2"/>
  <c r="AV68" i="2"/>
  <c r="AV70" i="2"/>
  <c r="L40" i="3"/>
  <c r="D40" i="1"/>
  <c r="D6" i="13"/>
  <c r="B10" i="13"/>
  <c r="B27" i="13"/>
  <c r="AF91" i="2"/>
  <c r="S19" i="3"/>
  <c r="V91" i="2"/>
  <c r="S91" i="2"/>
  <c r="G14" i="3"/>
  <c r="B14" i="3"/>
  <c r="B14" i="1"/>
  <c r="M14" i="3"/>
  <c r="E14" i="1"/>
  <c r="D14" i="3"/>
  <c r="W70" i="2"/>
  <c r="W68" i="2"/>
  <c r="W69" i="2"/>
  <c r="W67" i="2"/>
  <c r="BE69" i="2"/>
  <c r="BE67" i="2"/>
  <c r="BE70" i="2"/>
  <c r="BE68" i="2"/>
  <c r="BY70" i="2"/>
  <c r="BY68" i="2"/>
  <c r="BY69" i="2"/>
  <c r="BY67" i="2"/>
  <c r="AJ21" i="2"/>
  <c r="AJ19" i="2"/>
  <c r="AJ22" i="2"/>
  <c r="AJ20" i="2"/>
  <c r="AZ21" i="2"/>
  <c r="AZ19" i="2"/>
  <c r="AZ22" i="2"/>
  <c r="AZ20" i="2"/>
  <c r="AG22" i="2"/>
  <c r="AG20" i="2"/>
  <c r="AG21" i="2"/>
  <c r="AG19" i="2"/>
  <c r="P40" i="3"/>
  <c r="E40" i="1"/>
  <c r="Z13" i="3"/>
  <c r="C13" i="3"/>
  <c r="AB13" i="3"/>
  <c r="BY105" i="12"/>
  <c r="BY106" i="12" s="1"/>
  <c r="BY107" i="12" s="1"/>
  <c r="AF69" i="2"/>
  <c r="AF67" i="2"/>
  <c r="AF70" i="2"/>
  <c r="AF68" i="2"/>
  <c r="V70" i="2"/>
  <c r="V68" i="2"/>
  <c r="V69" i="2"/>
  <c r="V67" i="2"/>
  <c r="Q7" i="3"/>
  <c r="F7" i="1"/>
  <c r="C19" i="3"/>
  <c r="F91" i="2"/>
  <c r="Q14" i="3"/>
  <c r="F14" i="1"/>
  <c r="AC70" i="2"/>
  <c r="AC68" i="2"/>
  <c r="AC69" i="2"/>
  <c r="AC67" i="2"/>
  <c r="AC21" i="2"/>
  <c r="AC19" i="2"/>
  <c r="AC22" i="2"/>
  <c r="AC20" i="2"/>
  <c r="Q13" i="3"/>
  <c r="F13" i="1"/>
  <c r="BA21" i="2"/>
  <c r="BA19" i="2"/>
  <c r="BA22" i="2"/>
  <c r="BA20" i="2"/>
  <c r="CA70" i="2"/>
  <c r="CA68" i="2"/>
  <c r="CA69" i="2"/>
  <c r="CA67" i="2"/>
  <c r="AS105" i="12"/>
  <c r="AS106" i="12" s="1"/>
  <c r="AS107" i="12" s="1"/>
  <c r="BT105" i="12"/>
  <c r="I22" i="12" s="1"/>
  <c r="I21" i="12"/>
  <c r="BB105" i="12"/>
  <c r="BB106" i="12" s="1"/>
  <c r="BB107" i="12" s="1"/>
  <c r="AJ107" i="12"/>
  <c r="AL105" i="12"/>
  <c r="AL106" i="12" s="1"/>
  <c r="AL107" i="12" s="1"/>
  <c r="CG105" i="12"/>
  <c r="J22" i="12" s="1"/>
  <c r="AC106" i="12"/>
  <c r="AC107" i="12" s="1"/>
  <c r="AC105" i="12"/>
  <c r="BL105" i="12"/>
  <c r="BL106" i="12" s="1"/>
  <c r="U70" i="2"/>
  <c r="U68" i="2"/>
  <c r="U69" i="2"/>
  <c r="U67" i="2"/>
  <c r="BT69" i="2"/>
  <c r="BT67" i="2"/>
  <c r="BT68" i="2"/>
  <c r="BT70" i="2"/>
  <c r="AN22" i="2"/>
  <c r="AN20" i="2"/>
  <c r="AN21" i="2"/>
  <c r="AN19" i="2"/>
  <c r="AA21" i="2"/>
  <c r="AA19" i="2"/>
  <c r="AA22" i="2"/>
  <c r="AA20" i="2"/>
  <c r="BW21" i="2"/>
  <c r="BW19" i="2"/>
  <c r="BW22" i="2"/>
  <c r="BW20" i="2"/>
  <c r="BJ22" i="2"/>
  <c r="BJ20" i="2"/>
  <c r="BJ39" i="2" s="1"/>
  <c r="BJ93" i="2" s="1"/>
  <c r="BJ19" i="2"/>
  <c r="BJ21" i="2"/>
  <c r="AD22" i="2"/>
  <c r="AD20" i="2"/>
  <c r="AD21" i="2"/>
  <c r="AD19" i="2"/>
  <c r="BP70" i="2"/>
  <c r="BP68" i="2"/>
  <c r="BP67" i="2"/>
  <c r="BP69" i="2"/>
  <c r="T70" i="2"/>
  <c r="T68" i="2"/>
  <c r="T67" i="2"/>
  <c r="T69" i="2"/>
  <c r="BG69" i="2"/>
  <c r="BG67" i="2"/>
  <c r="BG70" i="2"/>
  <c r="BG68" i="2"/>
  <c r="K69" i="2"/>
  <c r="K67" i="2"/>
  <c r="K70" i="2"/>
  <c r="K68" i="2"/>
  <c r="BV69" i="2"/>
  <c r="BV67" i="2"/>
  <c r="BV70" i="2"/>
  <c r="BV68" i="2"/>
  <c r="AP69" i="2"/>
  <c r="AP67" i="2"/>
  <c r="AP70" i="2"/>
  <c r="AP68" i="2"/>
  <c r="J69" i="2"/>
  <c r="J67" i="2"/>
  <c r="J70" i="2"/>
  <c r="J68" i="2"/>
  <c r="W7" i="3"/>
  <c r="BU22" i="2"/>
  <c r="BU20" i="2"/>
  <c r="BU21" i="2"/>
  <c r="BU19" i="2"/>
  <c r="BA70" i="2"/>
  <c r="BA68" i="2"/>
  <c r="BA69" i="2"/>
  <c r="BA67" i="2"/>
  <c r="P69" i="2"/>
  <c r="P67" i="2"/>
  <c r="P70" i="2"/>
  <c r="P68" i="2"/>
  <c r="P23" i="4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33" i="4"/>
  <c r="C35" i="4" s="1"/>
  <c r="C36" i="4" s="1"/>
  <c r="I19" i="3"/>
  <c r="X91" i="2"/>
  <c r="D19" i="1"/>
  <c r="AA19" i="3"/>
  <c r="N91" i="2"/>
  <c r="K91" i="2"/>
  <c r="Z14" i="3"/>
  <c r="X14" i="3"/>
  <c r="K14" i="3"/>
  <c r="V14" i="3"/>
  <c r="AB14" i="3"/>
  <c r="BU69" i="2"/>
  <c r="BU67" i="2"/>
  <c r="BU70" i="2"/>
  <c r="BU68" i="2"/>
  <c r="BS70" i="2"/>
  <c r="BS68" i="2"/>
  <c r="BS69" i="2"/>
  <c r="BS67" i="2"/>
  <c r="BI21" i="2"/>
  <c r="BI19" i="2"/>
  <c r="BI22" i="2"/>
  <c r="BI20" i="2"/>
  <c r="CC22" i="2"/>
  <c r="CC20" i="2"/>
  <c r="CC21" i="2"/>
  <c r="CC19" i="2"/>
  <c r="AS21" i="2"/>
  <c r="AS19" i="2"/>
  <c r="AS22" i="2"/>
  <c r="AS20" i="2"/>
  <c r="U13" i="3"/>
  <c r="G13" i="1"/>
  <c r="AA13" i="3"/>
  <c r="J39" i="2" l="1"/>
  <c r="J93" i="2" s="1"/>
  <c r="BV39" i="2"/>
  <c r="BV93" i="2" s="1"/>
  <c r="BO39" i="2"/>
  <c r="BO93" i="2" s="1"/>
  <c r="P39" i="2"/>
  <c r="P93" i="2" s="1"/>
  <c r="R6" i="3"/>
  <c r="M39" i="2"/>
  <c r="M93" i="2" s="1"/>
  <c r="BC39" i="2"/>
  <c r="BC93" i="2" s="1"/>
  <c r="BU39" i="2"/>
  <c r="BU93" i="2" s="1"/>
  <c r="AJ39" i="2"/>
  <c r="CD39" i="2"/>
  <c r="CD93" i="2" s="1"/>
  <c r="CE39" i="2"/>
  <c r="CE93" i="2" s="1"/>
  <c r="AQ39" i="2"/>
  <c r="AQ93" i="2" s="1"/>
  <c r="BS39" i="2"/>
  <c r="BS93" i="2" s="1"/>
  <c r="AD39" i="2"/>
  <c r="K15" i="3" s="1"/>
  <c r="AN39" i="2"/>
  <c r="AN93" i="2" s="1"/>
  <c r="H39" i="2"/>
  <c r="H93" i="2" s="1"/>
  <c r="CB39" i="2"/>
  <c r="CB93" i="2" s="1"/>
  <c r="N39" i="2"/>
  <c r="N93" i="2" s="1"/>
  <c r="CH39" i="2"/>
  <c r="CH93" i="2" s="1"/>
  <c r="BP39" i="2"/>
  <c r="BP93" i="2" s="1"/>
  <c r="Y39" i="2"/>
  <c r="Y93" i="2" s="1"/>
  <c r="U39" i="2"/>
  <c r="CA39" i="2"/>
  <c r="CA93" i="2" s="1"/>
  <c r="C85" i="2"/>
  <c r="F6" i="3"/>
  <c r="AS39" i="2"/>
  <c r="BW39" i="2"/>
  <c r="F39" i="2"/>
  <c r="G22" i="12"/>
  <c r="AH39" i="2"/>
  <c r="AH93" i="2" s="1"/>
  <c r="G39" i="2"/>
  <c r="G93" i="2" s="1"/>
  <c r="O39" i="2"/>
  <c r="V39" i="2"/>
  <c r="V93" i="2" s="1"/>
  <c r="AO39" i="2"/>
  <c r="AO93" i="2" s="1"/>
  <c r="CC39" i="2"/>
  <c r="AZ39" i="2"/>
  <c r="AZ93" i="2" s="1"/>
  <c r="AL39" i="2"/>
  <c r="AL93" i="2" s="1"/>
  <c r="AX39" i="2"/>
  <c r="AX93" i="2" s="1"/>
  <c r="AI39" i="2"/>
  <c r="AI93" i="2" s="1"/>
  <c r="AB39" i="2"/>
  <c r="AB93" i="2" s="1"/>
  <c r="V6" i="3"/>
  <c r="S6" i="3"/>
  <c r="AB6" i="3"/>
  <c r="BG39" i="2"/>
  <c r="BG93" i="2" s="1"/>
  <c r="AA39" i="2"/>
  <c r="AA93" i="2" s="1"/>
  <c r="AC39" i="2"/>
  <c r="AC93" i="2" s="1"/>
  <c r="AR39" i="2"/>
  <c r="AR93" i="2" s="1"/>
  <c r="BK39" i="2"/>
  <c r="BY39" i="2"/>
  <c r="BY93" i="2" s="1"/>
  <c r="N6" i="3"/>
  <c r="BX39" i="2"/>
  <c r="BX93" i="2" s="1"/>
  <c r="S12" i="2"/>
  <c r="K12" i="2"/>
  <c r="AE12" i="2"/>
  <c r="Q17" i="8"/>
  <c r="R17" i="8" s="1"/>
  <c r="Q33" i="8"/>
  <c r="R33" i="8" s="1"/>
  <c r="Q15" i="8"/>
  <c r="R15" i="8" s="1"/>
  <c r="Q14" i="8"/>
  <c r="R14" i="8" s="1"/>
  <c r="AH12" i="2"/>
  <c r="BF12" i="2"/>
  <c r="AR12" i="2"/>
  <c r="AI12" i="2"/>
  <c r="BL12" i="2"/>
  <c r="BL90" i="2" s="1"/>
  <c r="BL92" i="2" s="1"/>
  <c r="BU12" i="2"/>
  <c r="BW93" i="2"/>
  <c r="N107" i="12"/>
  <c r="D23" i="12"/>
  <c r="F15" i="3"/>
  <c r="O93" i="2"/>
  <c r="D100" i="2"/>
  <c r="D101" i="2" s="1"/>
  <c r="J15" i="3"/>
  <c r="BL107" i="12"/>
  <c r="H23" i="12"/>
  <c r="AK107" i="12"/>
  <c r="F24" i="12" s="1"/>
  <c r="F23" i="12"/>
  <c r="V15" i="3"/>
  <c r="BK93" i="2"/>
  <c r="E23" i="12"/>
  <c r="X107" i="12"/>
  <c r="E24" i="12" s="1"/>
  <c r="E117" i="2"/>
  <c r="E120" i="2" s="1"/>
  <c r="F116" i="2" s="1"/>
  <c r="E112" i="2"/>
  <c r="E115" i="2" s="1"/>
  <c r="Q15" i="3"/>
  <c r="AV93" i="2"/>
  <c r="E26" i="11"/>
  <c r="E27" i="11" s="1"/>
  <c r="F25" i="11" s="1"/>
  <c r="C15" i="3"/>
  <c r="F93" i="2"/>
  <c r="AD93" i="2"/>
  <c r="P15" i="3"/>
  <c r="AS93" i="2"/>
  <c r="AP93" i="2"/>
  <c r="C94" i="2"/>
  <c r="C87" i="2"/>
  <c r="AJ93" i="2"/>
  <c r="Q44" i="8"/>
  <c r="R44" i="8" s="1"/>
  <c r="BA39" i="2"/>
  <c r="BA93" i="2" s="1"/>
  <c r="D10" i="13"/>
  <c r="E23" i="11"/>
  <c r="BN39" i="2"/>
  <c r="L39" i="2"/>
  <c r="H24" i="12"/>
  <c r="D124" i="2"/>
  <c r="D84" i="2" s="1"/>
  <c r="D122" i="2"/>
  <c r="W6" i="3"/>
  <c r="M6" i="3"/>
  <c r="E6" i="1"/>
  <c r="P6" i="3"/>
  <c r="H12" i="2"/>
  <c r="AF12" i="2"/>
  <c r="AC12" i="2"/>
  <c r="Y12" i="2"/>
  <c r="Q31" i="8"/>
  <c r="R31" i="8" s="1"/>
  <c r="Q5" i="8"/>
  <c r="R5" i="8" s="1"/>
  <c r="Q21" i="8"/>
  <c r="R21" i="8" s="1"/>
  <c r="Q4" i="8"/>
  <c r="R4" i="8" s="1"/>
  <c r="Q22" i="8"/>
  <c r="R22" i="8" s="1"/>
  <c r="AZ12" i="2"/>
  <c r="W5" i="3"/>
  <c r="BN12" i="2"/>
  <c r="BJ12" i="2"/>
  <c r="BR12" i="2"/>
  <c r="P5" i="3"/>
  <c r="AS12" i="2"/>
  <c r="Y5" i="3"/>
  <c r="BT12" i="2"/>
  <c r="H5" i="1"/>
  <c r="AB5" i="3"/>
  <c r="CC12" i="2"/>
  <c r="AK39" i="2"/>
  <c r="AK93" i="2" s="1"/>
  <c r="H5" i="3"/>
  <c r="U12" i="2"/>
  <c r="U5" i="3"/>
  <c r="BH12" i="2"/>
  <c r="G5" i="1"/>
  <c r="D13" i="13"/>
  <c r="AM39" i="2"/>
  <c r="D36" i="3"/>
  <c r="L106" i="2"/>
  <c r="L108" i="2" s="1"/>
  <c r="M106" i="2" s="1"/>
  <c r="B36" i="1"/>
  <c r="G6" i="3"/>
  <c r="H6" i="3"/>
  <c r="B21" i="12"/>
  <c r="I5" i="3"/>
  <c r="X12" i="2"/>
  <c r="D5" i="1"/>
  <c r="D12" i="2"/>
  <c r="C5" i="3"/>
  <c r="F12" i="2"/>
  <c r="Q29" i="8"/>
  <c r="R29" i="8" s="1"/>
  <c r="Q37" i="8"/>
  <c r="R37" i="8" s="1"/>
  <c r="Q24" i="8"/>
  <c r="R24" i="8" s="1"/>
  <c r="Q40" i="8"/>
  <c r="R40" i="8" s="1"/>
  <c r="Q10" i="8"/>
  <c r="R10" i="8" s="1"/>
  <c r="Q30" i="8"/>
  <c r="R30" i="8" s="1"/>
  <c r="Z5" i="3"/>
  <c r="BW12" i="2"/>
  <c r="AK12" i="2"/>
  <c r="AA5" i="3"/>
  <c r="BZ12" i="2"/>
  <c r="CD12" i="2"/>
  <c r="BC12" i="2"/>
  <c r="CB12" i="2"/>
  <c r="BQ39" i="2"/>
  <c r="C40" i="4"/>
  <c r="C41" i="4" s="1"/>
  <c r="C42" i="4" s="1"/>
  <c r="AH90" i="2"/>
  <c r="AH92" i="2" s="1"/>
  <c r="AH41" i="2"/>
  <c r="AH147" i="2" s="1"/>
  <c r="AB15" i="3"/>
  <c r="CC93" i="2"/>
  <c r="BT39" i="2"/>
  <c r="I39" i="2"/>
  <c r="BE39" i="2"/>
  <c r="R39" i="2"/>
  <c r="C6" i="3"/>
  <c r="O6" i="3"/>
  <c r="BZ39" i="2"/>
  <c r="X39" i="2"/>
  <c r="B105" i="12"/>
  <c r="D22" i="12"/>
  <c r="P12" i="2"/>
  <c r="E5" i="3"/>
  <c r="L12" i="2"/>
  <c r="C5" i="1"/>
  <c r="N12" i="2"/>
  <c r="Q16" i="8"/>
  <c r="R16" i="8" s="1"/>
  <c r="Q25" i="8"/>
  <c r="R25" i="8" s="1"/>
  <c r="Q27" i="8"/>
  <c r="R27" i="8" s="1"/>
  <c r="Q43" i="8"/>
  <c r="R43" i="8" s="1"/>
  <c r="Q18" i="8"/>
  <c r="R18" i="8" s="1"/>
  <c r="Q38" i="8"/>
  <c r="R38" i="8" s="1"/>
  <c r="M5" i="3"/>
  <c r="AJ12" i="2"/>
  <c r="E5" i="1"/>
  <c r="S5" i="3"/>
  <c r="BB12" i="2"/>
  <c r="AT12" i="2"/>
  <c r="N5" i="3"/>
  <c r="AM12" i="2"/>
  <c r="BO12" i="2"/>
  <c r="L5" i="3"/>
  <c r="AG12" i="2"/>
  <c r="H15" i="3"/>
  <c r="U93" i="2"/>
  <c r="AE90" i="2"/>
  <c r="AE92" i="2" s="1"/>
  <c r="AE41" i="2"/>
  <c r="AE147" i="2" s="1"/>
  <c r="BU90" i="2"/>
  <c r="BU92" i="2" s="1"/>
  <c r="BU41" i="2"/>
  <c r="BU147" i="2" s="1"/>
  <c r="D24" i="12"/>
  <c r="B64" i="12"/>
  <c r="B65" i="12" s="1"/>
  <c r="B68" i="12"/>
  <c r="E39" i="2"/>
  <c r="E93" i="2" s="1"/>
  <c r="I6" i="3"/>
  <c r="D6" i="1"/>
  <c r="B6" i="3"/>
  <c r="B6" i="1"/>
  <c r="U6" i="3"/>
  <c r="G6" i="1"/>
  <c r="X6" i="3"/>
  <c r="BH39" i="2"/>
  <c r="Q12" i="2"/>
  <c r="D5" i="3"/>
  <c r="I12" i="2"/>
  <c r="T12" i="2"/>
  <c r="V12" i="2"/>
  <c r="Q19" i="8"/>
  <c r="R19" i="8" s="1"/>
  <c r="Q39" i="8"/>
  <c r="R39" i="8" s="1"/>
  <c r="Q7" i="8"/>
  <c r="R7" i="8" s="1"/>
  <c r="Q12" i="8"/>
  <c r="R12" i="8" s="1"/>
  <c r="Q26" i="8"/>
  <c r="R26" i="8" s="1"/>
  <c r="Q46" i="8"/>
  <c r="R46" i="8" s="1"/>
  <c r="X5" i="3"/>
  <c r="BQ12" i="2"/>
  <c r="BV12" i="2"/>
  <c r="V5" i="3"/>
  <c r="BK12" i="2"/>
  <c r="R5" i="3"/>
  <c r="AY12" i="2"/>
  <c r="BY12" i="2"/>
  <c r="AO12" i="2"/>
  <c r="AY39" i="2"/>
  <c r="D129" i="2"/>
  <c r="D83" i="2" s="1"/>
  <c r="F22" i="12"/>
  <c r="S90" i="2"/>
  <c r="S92" i="2" s="1"/>
  <c r="S41" i="2"/>
  <c r="S147" i="2" s="1"/>
  <c r="AI90" i="2"/>
  <c r="AI92" i="2" s="1"/>
  <c r="CG39" i="2"/>
  <c r="CG93" i="2" s="1"/>
  <c r="BB93" i="2"/>
  <c r="BD39" i="2"/>
  <c r="BD93" i="2" s="1"/>
  <c r="C45" i="4"/>
  <c r="C46" i="4" s="1"/>
  <c r="T6" i="3"/>
  <c r="B5" i="3"/>
  <c r="C12" i="2"/>
  <c r="B5" i="1"/>
  <c r="Z12" i="2"/>
  <c r="AB12" i="2"/>
  <c r="K5" i="3"/>
  <c r="AD12" i="2"/>
  <c r="Q9" i="8"/>
  <c r="R9" i="8" s="1"/>
  <c r="Q45" i="8"/>
  <c r="R45" i="8" s="1"/>
  <c r="Q13" i="8"/>
  <c r="R13" i="8" s="1"/>
  <c r="Q20" i="8"/>
  <c r="R20" i="8" s="1"/>
  <c r="Q34" i="8"/>
  <c r="R34" i="8" s="1"/>
  <c r="O5" i="3"/>
  <c r="AP12" i="2"/>
  <c r="CG12" i="2"/>
  <c r="AQ12" i="2"/>
  <c r="CA12" i="2"/>
  <c r="BI12" i="2"/>
  <c r="AN12" i="2"/>
  <c r="AW12" i="2"/>
  <c r="C153" i="2"/>
  <c r="E6" i="3"/>
  <c r="C6" i="1"/>
  <c r="Q6" i="3"/>
  <c r="F6" i="1"/>
  <c r="BF90" i="2"/>
  <c r="BF92" i="2" s="1"/>
  <c r="BF41" i="2"/>
  <c r="BF147" i="2" s="1"/>
  <c r="D27" i="4"/>
  <c r="D28" i="4" s="1"/>
  <c r="Y6" i="3"/>
  <c r="H6" i="1"/>
  <c r="E22" i="12"/>
  <c r="G5" i="3"/>
  <c r="R12" i="2"/>
  <c r="J12" i="2"/>
  <c r="E12" i="2"/>
  <c r="F5" i="3"/>
  <c r="O12" i="2"/>
  <c r="Q23" i="8"/>
  <c r="R23" i="8" s="1"/>
  <c r="Q8" i="8"/>
  <c r="R8" i="8" s="1"/>
  <c r="Q32" i="8"/>
  <c r="R32" i="8" s="1"/>
  <c r="Q28" i="8"/>
  <c r="R28" i="8" s="1"/>
  <c r="Q42" i="8"/>
  <c r="R42" i="8" s="1"/>
  <c r="BP12" i="2"/>
  <c r="BA12" i="2"/>
  <c r="BG12" i="2"/>
  <c r="AL12" i="2"/>
  <c r="BS12" i="2"/>
  <c r="Q5" i="3"/>
  <c r="AV12" i="2"/>
  <c r="F5" i="1"/>
  <c r="T5" i="3"/>
  <c r="BE12" i="2"/>
  <c r="D130" i="2"/>
  <c r="E126" i="2" s="1"/>
  <c r="CF39" i="2"/>
  <c r="K90" i="2"/>
  <c r="K92" i="2" s="1"/>
  <c r="K42" i="2"/>
  <c r="K41" i="2"/>
  <c r="K147" i="2" s="1"/>
  <c r="AR90" i="2"/>
  <c r="AR92" i="2" s="1"/>
  <c r="AR41" i="2"/>
  <c r="AR147" i="2" s="1"/>
  <c r="BT106" i="12"/>
  <c r="AG39" i="2"/>
  <c r="BI39" i="2"/>
  <c r="BI93" i="2" s="1"/>
  <c r="CG106" i="12"/>
  <c r="B106" i="12"/>
  <c r="B107" i="12" s="1"/>
  <c r="D21" i="11"/>
  <c r="E19" i="11" s="1"/>
  <c r="K6" i="3"/>
  <c r="J6" i="3"/>
  <c r="AC6" i="3"/>
  <c r="I6" i="1"/>
  <c r="AV106" i="12"/>
  <c r="H22" i="12"/>
  <c r="C39" i="2"/>
  <c r="G12" i="2"/>
  <c r="J5" i="3"/>
  <c r="AA12" i="2"/>
  <c r="M12" i="2"/>
  <c r="W12" i="2"/>
  <c r="Q41" i="8"/>
  <c r="R41" i="8" s="1"/>
  <c r="Q11" i="8"/>
  <c r="R11" i="8" s="1"/>
  <c r="Q35" i="8"/>
  <c r="R35" i="8" s="1"/>
  <c r="Q36" i="8"/>
  <c r="R36" i="8" s="1"/>
  <c r="AU12" i="2"/>
  <c r="AC5" i="3"/>
  <c r="CF12" i="2"/>
  <c r="I5" i="1"/>
  <c r="CH12" i="2"/>
  <c r="BX12" i="2"/>
  <c r="AX12" i="2"/>
  <c r="CE12" i="2"/>
  <c r="BD12" i="2"/>
  <c r="BM12" i="2"/>
  <c r="AI41" i="2" l="1"/>
  <c r="AH42" i="2"/>
  <c r="BL41" i="2"/>
  <c r="BL147" i="2" s="1"/>
  <c r="BL42" i="2"/>
  <c r="O15" i="3"/>
  <c r="AE42" i="2"/>
  <c r="AR42" i="2"/>
  <c r="S15" i="3"/>
  <c r="M15" i="3"/>
  <c r="Z15" i="3"/>
  <c r="D153" i="2"/>
  <c r="D102" i="2"/>
  <c r="E99" i="2" s="1"/>
  <c r="F26" i="11"/>
  <c r="F27" i="11" s="1"/>
  <c r="G25" i="11" s="1"/>
  <c r="D40" i="4"/>
  <c r="D41" i="4" s="1"/>
  <c r="F111" i="2"/>
  <c r="F120" i="2"/>
  <c r="G116" i="2" s="1"/>
  <c r="F117" i="2"/>
  <c r="BX90" i="2"/>
  <c r="BX92" i="2" s="1"/>
  <c r="BX41" i="2"/>
  <c r="BX147" i="2" s="1"/>
  <c r="K9" i="3"/>
  <c r="AD41" i="2"/>
  <c r="AD42" i="2" s="1"/>
  <c r="AD90" i="2"/>
  <c r="AD92" i="2" s="1"/>
  <c r="CB90" i="2"/>
  <c r="CB92" i="2" s="1"/>
  <c r="CB41" i="2"/>
  <c r="CB147" i="2" s="1"/>
  <c r="G23" i="12"/>
  <c r="AV107" i="12"/>
  <c r="G24" i="12" s="1"/>
  <c r="AO90" i="2"/>
  <c r="AO92" i="2" s="1"/>
  <c r="AO41" i="2"/>
  <c r="AO147" i="2" s="1"/>
  <c r="T90" i="2"/>
  <c r="T92" i="2" s="1"/>
  <c r="T41" i="2"/>
  <c r="T147" i="2" s="1"/>
  <c r="G15" i="3"/>
  <c r="R93" i="2"/>
  <c r="BC90" i="2"/>
  <c r="BC92" i="2" s="1"/>
  <c r="BC41" i="2"/>
  <c r="BC147" i="2" s="1"/>
  <c r="H9" i="3"/>
  <c r="U90" i="2"/>
  <c r="U92" i="2" s="1"/>
  <c r="U41" i="2"/>
  <c r="U42" i="2" s="1"/>
  <c r="P9" i="3"/>
  <c r="AS90" i="2"/>
  <c r="AS92" i="2" s="1"/>
  <c r="AS41" i="2"/>
  <c r="AS42" i="2"/>
  <c r="X9" i="3"/>
  <c r="BQ90" i="2"/>
  <c r="BQ92" i="2" s="1"/>
  <c r="BQ41" i="2"/>
  <c r="X17" i="3" s="1"/>
  <c r="BS90" i="2"/>
  <c r="BS92" i="2" s="1"/>
  <c r="BS41" i="2"/>
  <c r="BS147" i="2" s="1"/>
  <c r="O9" i="3"/>
  <c r="AP90" i="2"/>
  <c r="AP92" i="2" s="1"/>
  <c r="AP41" i="2"/>
  <c r="AP42" i="2"/>
  <c r="W90" i="2"/>
  <c r="W92" i="2" s="1"/>
  <c r="W41" i="2"/>
  <c r="W147" i="2" s="1"/>
  <c r="L15" i="3"/>
  <c r="AG93" i="2"/>
  <c r="AC15" i="3"/>
  <c r="CF93" i="2"/>
  <c r="I15" i="1"/>
  <c r="I42" i="5" s="1"/>
  <c r="AL41" i="2"/>
  <c r="AL147" i="2" s="1"/>
  <c r="AL90" i="2"/>
  <c r="AL92" i="2" s="1"/>
  <c r="BF42" i="2"/>
  <c r="AB90" i="2"/>
  <c r="AB92" i="2" s="1"/>
  <c r="AB41" i="2"/>
  <c r="AB147" i="2" s="1"/>
  <c r="S42" i="2"/>
  <c r="BY90" i="2"/>
  <c r="BY92" i="2" s="1"/>
  <c r="BY41" i="2"/>
  <c r="BY147" i="2" s="1"/>
  <c r="D9" i="3"/>
  <c r="I90" i="2"/>
  <c r="I92" i="2" s="1"/>
  <c r="I41" i="2"/>
  <c r="AT41" i="2"/>
  <c r="AT147" i="2" s="1"/>
  <c r="AT90" i="2"/>
  <c r="AT92" i="2" s="1"/>
  <c r="P90" i="2"/>
  <c r="P92" i="2" s="1"/>
  <c r="P41" i="2"/>
  <c r="P147" i="2" s="1"/>
  <c r="T15" i="3"/>
  <c r="BE93" i="2"/>
  <c r="CD90" i="2"/>
  <c r="CD92" i="2" s="1"/>
  <c r="CD41" i="2"/>
  <c r="CD147" i="2" s="1"/>
  <c r="CD42" i="2"/>
  <c r="I9" i="3"/>
  <c r="X90" i="2"/>
  <c r="X92" i="2" s="1"/>
  <c r="X41" i="2"/>
  <c r="D9" i="1"/>
  <c r="N15" i="3"/>
  <c r="AM93" i="2"/>
  <c r="E15" i="3"/>
  <c r="L93" i="2"/>
  <c r="C15" i="1"/>
  <c r="V90" i="2"/>
  <c r="V92" i="2" s="1"/>
  <c r="V41" i="2"/>
  <c r="V147" i="2" s="1"/>
  <c r="E127" i="2"/>
  <c r="E129" i="2"/>
  <c r="E83" i="2" s="1"/>
  <c r="E33" i="4" s="1"/>
  <c r="E35" i="4" s="1"/>
  <c r="Z90" i="2"/>
  <c r="Z92" i="2" s="1"/>
  <c r="Z41" i="2"/>
  <c r="Z147" i="2" s="1"/>
  <c r="Z42" i="2"/>
  <c r="S9" i="3"/>
  <c r="BB41" i="2"/>
  <c r="BB90" i="2"/>
  <c r="BB92" i="2" s="1"/>
  <c r="BB42" i="2"/>
  <c r="B22" i="12"/>
  <c r="B66" i="12" s="1"/>
  <c r="B67" i="12" s="1"/>
  <c r="B69" i="12" s="1"/>
  <c r="D15" i="3"/>
  <c r="I93" i="2"/>
  <c r="AA9" i="3"/>
  <c r="BZ90" i="2"/>
  <c r="BZ92" i="2" s="1"/>
  <c r="BZ41" i="2"/>
  <c r="BR90" i="2"/>
  <c r="BR92" i="2" s="1"/>
  <c r="BR42" i="2"/>
  <c r="BR41" i="2"/>
  <c r="BR147" i="2" s="1"/>
  <c r="W15" i="3"/>
  <c r="BN93" i="2"/>
  <c r="CG107" i="12"/>
  <c r="J24" i="12" s="1"/>
  <c r="J23" i="12"/>
  <c r="CG90" i="2"/>
  <c r="CG92" i="2" s="1"/>
  <c r="CG41" i="2"/>
  <c r="CG147" i="2" s="1"/>
  <c r="E9" i="3"/>
  <c r="L90" i="2"/>
  <c r="L92" i="2" s="1"/>
  <c r="L41" i="2"/>
  <c r="L42" i="2"/>
  <c r="C9" i="1"/>
  <c r="H90" i="2"/>
  <c r="H92" i="2" s="1"/>
  <c r="H41" i="2"/>
  <c r="H147" i="2" s="1"/>
  <c r="AW90" i="2"/>
  <c r="AW92" i="2" s="1"/>
  <c r="AW42" i="2"/>
  <c r="AW41" i="2"/>
  <c r="AW147" i="2" s="1"/>
  <c r="R9" i="3"/>
  <c r="AY90" i="2"/>
  <c r="AY92" i="2" s="1"/>
  <c r="AY42" i="2"/>
  <c r="AY41" i="2"/>
  <c r="BM90" i="2"/>
  <c r="BM92" i="2" s="1"/>
  <c r="BM41" i="2"/>
  <c r="BM147" i="2" s="1"/>
  <c r="BA90" i="2"/>
  <c r="BA92" i="2" s="1"/>
  <c r="BA41" i="2"/>
  <c r="BA147" i="2" s="1"/>
  <c r="AN90" i="2"/>
  <c r="AN92" i="2" s="1"/>
  <c r="AN41" i="2"/>
  <c r="AN147" i="2" s="1"/>
  <c r="Q90" i="2"/>
  <c r="Q92" i="2" s="1"/>
  <c r="Q41" i="2"/>
  <c r="Q147" i="2" s="1"/>
  <c r="Y15" i="3"/>
  <c r="BT93" i="2"/>
  <c r="H15" i="1"/>
  <c r="H42" i="5" s="1"/>
  <c r="AB9" i="3"/>
  <c r="CC90" i="2"/>
  <c r="CC92" i="2" s="1"/>
  <c r="CC41" i="2"/>
  <c r="AB17" i="3" s="1"/>
  <c r="CC42" i="2"/>
  <c r="BJ90" i="2"/>
  <c r="BJ92" i="2" s="1"/>
  <c r="BJ41" i="2"/>
  <c r="BJ147" i="2" s="1"/>
  <c r="CH90" i="2"/>
  <c r="CH92" i="2" s="1"/>
  <c r="CH41" i="2"/>
  <c r="CH147" i="2" s="1"/>
  <c r="M90" i="2"/>
  <c r="M92" i="2" s="1"/>
  <c r="M41" i="2"/>
  <c r="M147" i="2" s="1"/>
  <c r="F9" i="3"/>
  <c r="O90" i="2"/>
  <c r="O92" i="2" s="1"/>
  <c r="O41" i="2"/>
  <c r="O42" i="2" s="1"/>
  <c r="J9" i="3"/>
  <c r="AA90" i="2"/>
  <c r="AA92" i="2" s="1"/>
  <c r="AA41" i="2"/>
  <c r="J17" i="3" s="1"/>
  <c r="AA42" i="2"/>
  <c r="T17" i="3"/>
  <c r="T9" i="3"/>
  <c r="BE90" i="2"/>
  <c r="BE92" i="2" s="1"/>
  <c r="BE41" i="2"/>
  <c r="BE42" i="2" s="1"/>
  <c r="BD90" i="2"/>
  <c r="BD92" i="2" s="1"/>
  <c r="BD41" i="2"/>
  <c r="BD147" i="2" s="1"/>
  <c r="AU90" i="2"/>
  <c r="AU92" i="2" s="1"/>
  <c r="AU42" i="2"/>
  <c r="AU41" i="2"/>
  <c r="AU147" i="2" s="1"/>
  <c r="BP41" i="2"/>
  <c r="BP147" i="2" s="1"/>
  <c r="BP90" i="2"/>
  <c r="BP92" i="2" s="1"/>
  <c r="E90" i="2"/>
  <c r="E92" i="2" s="1"/>
  <c r="E41" i="2"/>
  <c r="E147" i="2" s="1"/>
  <c r="BI90" i="2"/>
  <c r="BI92" i="2" s="1"/>
  <c r="BI41" i="2"/>
  <c r="BI147" i="2" s="1"/>
  <c r="B9" i="3"/>
  <c r="C90" i="2"/>
  <c r="C92" i="2" s="1"/>
  <c r="C41" i="2"/>
  <c r="B9" i="1"/>
  <c r="V9" i="3"/>
  <c r="BK90" i="2"/>
  <c r="BK92" i="2" s="1"/>
  <c r="BK41" i="2"/>
  <c r="V17" i="3" s="1"/>
  <c r="U15" i="3"/>
  <c r="BH93" i="2"/>
  <c r="G15" i="1"/>
  <c r="G42" i="5" s="1"/>
  <c r="BU42" i="2"/>
  <c r="L9" i="3"/>
  <c r="AG90" i="2"/>
  <c r="AG92" i="2" s="1"/>
  <c r="AG41" i="2"/>
  <c r="AG42" i="2" s="1"/>
  <c r="I15" i="3"/>
  <c r="X93" i="2"/>
  <c r="D15" i="1"/>
  <c r="AK90" i="2"/>
  <c r="AK92" i="2" s="1"/>
  <c r="AK41" i="2"/>
  <c r="AK147" i="2" s="1"/>
  <c r="AK42" i="2"/>
  <c r="W9" i="3"/>
  <c r="BN90" i="2"/>
  <c r="BN92" i="2" s="1"/>
  <c r="BN42" i="2"/>
  <c r="BN41" i="2"/>
  <c r="Y90" i="2"/>
  <c r="Y92" i="2" s="1"/>
  <c r="Y41" i="2"/>
  <c r="Y147" i="2" s="1"/>
  <c r="Y42" i="2"/>
  <c r="E24" i="11"/>
  <c r="F22" i="11" s="1"/>
  <c r="C152" i="2"/>
  <c r="C156" i="2" s="1"/>
  <c r="D151" i="2" s="1"/>
  <c r="R15" i="3"/>
  <c r="AY93" i="2"/>
  <c r="N17" i="3"/>
  <c r="N9" i="3"/>
  <c r="AM90" i="2"/>
  <c r="AM92" i="2" s="1"/>
  <c r="AM41" i="2"/>
  <c r="AC9" i="3"/>
  <c r="CF42" i="2"/>
  <c r="CF41" i="2"/>
  <c r="CF90" i="2"/>
  <c r="CF92" i="2" s="1"/>
  <c r="I9" i="1"/>
  <c r="BG90" i="2"/>
  <c r="BG92" i="2" s="1"/>
  <c r="BG41" i="2"/>
  <c r="BG147" i="2" s="1"/>
  <c r="G90" i="2"/>
  <c r="G92" i="2" s="1"/>
  <c r="G41" i="2"/>
  <c r="G147" i="2" s="1"/>
  <c r="J90" i="2"/>
  <c r="J92" i="2" s="1"/>
  <c r="J41" i="2"/>
  <c r="J147" i="2" s="1"/>
  <c r="CA90" i="2"/>
  <c r="CA92" i="2" s="1"/>
  <c r="CA41" i="2"/>
  <c r="CA147" i="2" s="1"/>
  <c r="M9" i="3"/>
  <c r="M17" i="3"/>
  <c r="AJ90" i="2"/>
  <c r="AJ92" i="2" s="1"/>
  <c r="AJ41" i="2"/>
  <c r="AJ42" i="2"/>
  <c r="E9" i="1"/>
  <c r="N90" i="2"/>
  <c r="N92" i="2" s="1"/>
  <c r="N41" i="2"/>
  <c r="N147" i="2" s="1"/>
  <c r="AA15" i="3"/>
  <c r="BZ93" i="2"/>
  <c r="D42" i="4"/>
  <c r="Z9" i="3"/>
  <c r="BW90" i="2"/>
  <c r="BW92" i="2" s="1"/>
  <c r="BW42" i="2"/>
  <c r="BW41" i="2"/>
  <c r="C9" i="3"/>
  <c r="F90" i="2"/>
  <c r="F92" i="2" s="1"/>
  <c r="F41" i="2"/>
  <c r="C17" i="3" s="1"/>
  <c r="AC90" i="2"/>
  <c r="AC92" i="2" s="1"/>
  <c r="AC41" i="2"/>
  <c r="AC147" i="2" s="1"/>
  <c r="D27" i="13"/>
  <c r="E15" i="1"/>
  <c r="D90" i="2"/>
  <c r="D92" i="2" s="1"/>
  <c r="D41" i="2"/>
  <c r="D147" i="2" s="1"/>
  <c r="I23" i="12"/>
  <c r="BT107" i="12"/>
  <c r="I24" i="12" s="1"/>
  <c r="CE90" i="2"/>
  <c r="CE92" i="2" s="1"/>
  <c r="CE41" i="2"/>
  <c r="CE147" i="2" s="1"/>
  <c r="E20" i="11"/>
  <c r="E82" i="2" s="1"/>
  <c r="AX90" i="2"/>
  <c r="AX92" i="2" s="1"/>
  <c r="AX41" i="2"/>
  <c r="AX147" i="2" s="1"/>
  <c r="B15" i="3"/>
  <c r="C93" i="2"/>
  <c r="C95" i="2" s="1"/>
  <c r="B15" i="1"/>
  <c r="Q9" i="3"/>
  <c r="AV90" i="2"/>
  <c r="AV92" i="2" s="1"/>
  <c r="F9" i="1"/>
  <c r="AV41" i="2"/>
  <c r="G9" i="3"/>
  <c r="R90" i="2"/>
  <c r="R92" i="2" s="1"/>
  <c r="R42" i="2"/>
  <c r="R41" i="2"/>
  <c r="D45" i="4"/>
  <c r="D46" i="4" s="1"/>
  <c r="D29" i="4"/>
  <c r="AQ90" i="2"/>
  <c r="AQ92" i="2" s="1"/>
  <c r="AQ41" i="2"/>
  <c r="AQ147" i="2" s="1"/>
  <c r="D33" i="4"/>
  <c r="D35" i="4" s="1"/>
  <c r="D36" i="4" s="1"/>
  <c r="D85" i="2"/>
  <c r="BV90" i="2"/>
  <c r="BV92" i="2" s="1"/>
  <c r="BV41" i="2"/>
  <c r="BV147" i="2" s="1"/>
  <c r="BV42" i="2"/>
  <c r="BO90" i="2"/>
  <c r="BO92" i="2" s="1"/>
  <c r="BO41" i="2"/>
  <c r="BO147" i="2" s="1"/>
  <c r="X15" i="3"/>
  <c r="BQ93" i="2"/>
  <c r="U9" i="3"/>
  <c r="BH90" i="2"/>
  <c r="BH92" i="2" s="1"/>
  <c r="BH41" i="2"/>
  <c r="BH42" i="2"/>
  <c r="G9" i="1"/>
  <c r="Y9" i="3"/>
  <c r="Y17" i="3"/>
  <c r="BT90" i="2"/>
  <c r="BT92" i="2" s="1"/>
  <c r="BT42" i="2"/>
  <c r="BT41" i="2"/>
  <c r="H9" i="1"/>
  <c r="AZ90" i="2"/>
  <c r="AZ92" i="2" s="1"/>
  <c r="AZ41" i="2"/>
  <c r="AZ147" i="2" s="1"/>
  <c r="AZ42" i="2"/>
  <c r="AF90" i="2"/>
  <c r="AF92" i="2" s="1"/>
  <c r="AF41" i="2"/>
  <c r="AF147" i="2" s="1"/>
  <c r="D125" i="2"/>
  <c r="E121" i="2" s="1"/>
  <c r="F15" i="1"/>
  <c r="F42" i="5" s="1"/>
  <c r="I17" i="1" l="1"/>
  <c r="E130" i="2"/>
  <c r="F126" i="2" s="1"/>
  <c r="T42" i="2"/>
  <c r="AF42" i="2"/>
  <c r="AC42" i="2"/>
  <c r="Q42" i="2"/>
  <c r="CG42" i="2"/>
  <c r="G17" i="3"/>
  <c r="D17" i="1"/>
  <c r="P42" i="2"/>
  <c r="E21" i="11"/>
  <c r="F19" i="11" s="1"/>
  <c r="BG42" i="2"/>
  <c r="B24" i="12"/>
  <c r="B17" i="1"/>
  <c r="BA42" i="2"/>
  <c r="BX42" i="2"/>
  <c r="BO42" i="2"/>
  <c r="CE42" i="2"/>
  <c r="AT42" i="2"/>
  <c r="AI147" i="2"/>
  <c r="AI42" i="2"/>
  <c r="G26" i="11"/>
  <c r="B42" i="5"/>
  <c r="B101" i="5"/>
  <c r="U17" i="3"/>
  <c r="Q16" i="3"/>
  <c r="AV147" i="2"/>
  <c r="F16" i="1"/>
  <c r="F43" i="5" s="1"/>
  <c r="F42" i="2"/>
  <c r="Z17" i="3"/>
  <c r="E17" i="1"/>
  <c r="G42" i="2"/>
  <c r="BI42" i="2"/>
  <c r="F16" i="3"/>
  <c r="O147" i="2"/>
  <c r="CH42" i="2"/>
  <c r="BJ42" i="2"/>
  <c r="E16" i="3"/>
  <c r="L147" i="2"/>
  <c r="C16" i="1"/>
  <c r="C43" i="5" s="1"/>
  <c r="AA16" i="3"/>
  <c r="BZ147" i="2"/>
  <c r="V42" i="2"/>
  <c r="BY42" i="2"/>
  <c r="O17" i="3"/>
  <c r="E101" i="5"/>
  <c r="E42" i="5"/>
  <c r="CA42" i="2"/>
  <c r="AC16" i="3"/>
  <c r="CF147" i="2"/>
  <c r="I16" i="1"/>
  <c r="I43" i="5" s="1"/>
  <c r="AN42" i="2"/>
  <c r="R16" i="3"/>
  <c r="AY147" i="2"/>
  <c r="BZ42" i="2"/>
  <c r="AL42" i="2"/>
  <c r="W42" i="2"/>
  <c r="BS42" i="2"/>
  <c r="H16" i="3"/>
  <c r="U147" i="2"/>
  <c r="W17" i="3"/>
  <c r="B16" i="3"/>
  <c r="C147" i="2"/>
  <c r="B16" i="1"/>
  <c r="B43" i="5" s="1"/>
  <c r="F127" i="2"/>
  <c r="X147" i="2"/>
  <c r="I16" i="3"/>
  <c r="D16" i="1"/>
  <c r="D43" i="5" s="1"/>
  <c r="I147" i="2"/>
  <c r="D16" i="3"/>
  <c r="H17" i="3"/>
  <c r="K16" i="3"/>
  <c r="AD147" i="2"/>
  <c r="G117" i="2"/>
  <c r="G120" i="2" s="1"/>
  <c r="H116" i="2" s="1"/>
  <c r="AG147" i="2"/>
  <c r="L16" i="3"/>
  <c r="G17" i="1"/>
  <c r="B29" i="3"/>
  <c r="G16" i="3"/>
  <c r="R147" i="2"/>
  <c r="AV42" i="2"/>
  <c r="AX42" i="2"/>
  <c r="M16" i="3"/>
  <c r="AJ147" i="2"/>
  <c r="E16" i="1"/>
  <c r="E43" i="5" s="1"/>
  <c r="J42" i="2"/>
  <c r="AC17" i="3"/>
  <c r="V16" i="3"/>
  <c r="BK147" i="2"/>
  <c r="C42" i="2"/>
  <c r="E42" i="2"/>
  <c r="H42" i="2"/>
  <c r="E17" i="3"/>
  <c r="S16" i="3"/>
  <c r="BB147" i="2"/>
  <c r="C101" i="5"/>
  <c r="C42" i="5"/>
  <c r="X42" i="2"/>
  <c r="I42" i="2"/>
  <c r="P16" i="3"/>
  <c r="AS147" i="2"/>
  <c r="B23" i="12"/>
  <c r="C16" i="3"/>
  <c r="F147" i="2"/>
  <c r="D94" i="2"/>
  <c r="D95" i="2" s="1"/>
  <c r="D96" i="2" s="1"/>
  <c r="D87" i="2"/>
  <c r="D42" i="2"/>
  <c r="Z16" i="3"/>
  <c r="BW147" i="2"/>
  <c r="BK42" i="2"/>
  <c r="C96" i="2"/>
  <c r="BD42" i="2"/>
  <c r="J16" i="3"/>
  <c r="AA147" i="2"/>
  <c r="F17" i="3"/>
  <c r="CC147" i="2"/>
  <c r="AB16" i="3"/>
  <c r="AA17" i="3"/>
  <c r="AB42" i="2"/>
  <c r="O16" i="3"/>
  <c r="AP147" i="2"/>
  <c r="X16" i="3"/>
  <c r="BQ147" i="2"/>
  <c r="K17" i="3"/>
  <c r="F112" i="2"/>
  <c r="F115" i="2" s="1"/>
  <c r="G111" i="2" s="1"/>
  <c r="E122" i="2"/>
  <c r="E36" i="4"/>
  <c r="F20" i="11"/>
  <c r="F82" i="2" s="1"/>
  <c r="F21" i="11"/>
  <c r="G19" i="11" s="1"/>
  <c r="N16" i="3"/>
  <c r="AM147" i="2"/>
  <c r="L17" i="3"/>
  <c r="BP42" i="2"/>
  <c r="R17" i="3"/>
  <c r="S17" i="3"/>
  <c r="I17" i="3"/>
  <c r="BQ42" i="2"/>
  <c r="BC42" i="2"/>
  <c r="E100" i="2"/>
  <c r="E101" i="2" s="1"/>
  <c r="F17" i="1"/>
  <c r="F24" i="11"/>
  <c r="G22" i="11" s="1"/>
  <c r="F23" i="11"/>
  <c r="H17" i="1"/>
  <c r="Q17" i="3"/>
  <c r="BT147" i="2"/>
  <c r="Y16" i="3"/>
  <c r="H16" i="1"/>
  <c r="H43" i="5" s="1"/>
  <c r="U16" i="3"/>
  <c r="BH147" i="2"/>
  <c r="G16" i="1"/>
  <c r="G43" i="5" s="1"/>
  <c r="AQ42" i="2"/>
  <c r="E27" i="4"/>
  <c r="E28" i="4" s="1"/>
  <c r="B28" i="3"/>
  <c r="N42" i="2"/>
  <c r="AM42" i="2"/>
  <c r="W16" i="3"/>
  <c r="BN147" i="2"/>
  <c r="D42" i="5"/>
  <c r="D101" i="5"/>
  <c r="B17" i="3"/>
  <c r="T16" i="3"/>
  <c r="BE147" i="2"/>
  <c r="M42" i="2"/>
  <c r="BM42" i="2"/>
  <c r="C17" i="1"/>
  <c r="D17" i="3"/>
  <c r="P17" i="3"/>
  <c r="AO42" i="2"/>
  <c r="CB42" i="2"/>
  <c r="E124" i="2" l="1"/>
  <c r="E84" i="2" s="1"/>
  <c r="E85" i="2" s="1"/>
  <c r="E153" i="2"/>
  <c r="B33" i="3"/>
  <c r="G112" i="2"/>
  <c r="G115" i="2" s="1"/>
  <c r="H111" i="2" s="1"/>
  <c r="H117" i="2"/>
  <c r="H120" i="2" s="1"/>
  <c r="I116" i="2" s="1"/>
  <c r="C161" i="2"/>
  <c r="C148" i="2"/>
  <c r="D146" i="2" s="1"/>
  <c r="E29" i="4"/>
  <c r="F27" i="4"/>
  <c r="F28" i="4" s="1"/>
  <c r="G20" i="11"/>
  <c r="G82" i="2" s="1"/>
  <c r="B20" i="3"/>
  <c r="E102" i="2"/>
  <c r="E40" i="4"/>
  <c r="E41" i="4" s="1"/>
  <c r="E42" i="4" s="1"/>
  <c r="B30" i="3"/>
  <c r="F129" i="2"/>
  <c r="F130" i="2" s="1"/>
  <c r="G126" i="2" s="1"/>
  <c r="E94" i="2"/>
  <c r="E95" i="2" s="1"/>
  <c r="E96" i="2" s="1"/>
  <c r="B23" i="3" s="1"/>
  <c r="E87" i="2"/>
  <c r="E152" i="2" s="1"/>
  <c r="G23" i="11"/>
  <c r="G24" i="11" s="1"/>
  <c r="H22" i="11" s="1"/>
  <c r="D152" i="2"/>
  <c r="D156" i="2" s="1"/>
  <c r="E151" i="2" s="1"/>
  <c r="E156" i="2" s="1"/>
  <c r="G27" i="11"/>
  <c r="H25" i="11" s="1"/>
  <c r="G21" i="11" l="1"/>
  <c r="H19" i="11" s="1"/>
  <c r="B21" i="3"/>
  <c r="E125" i="2"/>
  <c r="I117" i="2"/>
  <c r="I120" i="2" s="1"/>
  <c r="J116" i="2" s="1"/>
  <c r="H112" i="2"/>
  <c r="H115" i="2" s="1"/>
  <c r="F83" i="2"/>
  <c r="H20" i="11"/>
  <c r="H82" i="2" s="1"/>
  <c r="G127" i="2"/>
  <c r="G129" i="2" s="1"/>
  <c r="G83" i="2" s="1"/>
  <c r="G33" i="4" s="1"/>
  <c r="G35" i="4" s="1"/>
  <c r="F29" i="4"/>
  <c r="B43" i="3"/>
  <c r="F151" i="2"/>
  <c r="D159" i="2"/>
  <c r="D161" i="2" s="1"/>
  <c r="D148" i="2"/>
  <c r="E146" i="2" s="1"/>
  <c r="H23" i="11"/>
  <c r="H24" i="11"/>
  <c r="I22" i="11" s="1"/>
  <c r="H26" i="11"/>
  <c r="H27" i="11"/>
  <c r="I25" i="11" s="1"/>
  <c r="B34" i="3"/>
  <c r="F99" i="2"/>
  <c r="G27" i="4"/>
  <c r="G28" i="4" s="1"/>
  <c r="E45" i="4"/>
  <c r="E46" i="4" s="1"/>
  <c r="F121" i="2" l="1"/>
  <c r="F122" i="2" s="1"/>
  <c r="B38" i="3"/>
  <c r="I111" i="2"/>
  <c r="J117" i="2"/>
  <c r="J120" i="2" s="1"/>
  <c r="K116" i="2" s="1"/>
  <c r="H27" i="4"/>
  <c r="H28" i="4" s="1"/>
  <c r="C28" i="3"/>
  <c r="H21" i="11"/>
  <c r="I19" i="11" s="1"/>
  <c r="F100" i="2"/>
  <c r="F101" i="2" s="1"/>
  <c r="G29" i="4"/>
  <c r="F33" i="4"/>
  <c r="F35" i="4" s="1"/>
  <c r="E159" i="2"/>
  <c r="E161" i="2" s="1"/>
  <c r="B45" i="3" s="1"/>
  <c r="E148" i="2"/>
  <c r="G130" i="2"/>
  <c r="H126" i="2" s="1"/>
  <c r="F124" i="2"/>
  <c r="F84" i="2" s="1"/>
  <c r="F85" i="2" s="1"/>
  <c r="I23" i="11"/>
  <c r="I24" i="11" s="1"/>
  <c r="J22" i="11" s="1"/>
  <c r="I26" i="11"/>
  <c r="I27" i="11"/>
  <c r="J25" i="11" s="1"/>
  <c r="H29" i="4" l="1"/>
  <c r="F153" i="2"/>
  <c r="J23" i="11"/>
  <c r="J24" i="11" s="1"/>
  <c r="K22" i="11" s="1"/>
  <c r="K117" i="2"/>
  <c r="K120" i="2" s="1"/>
  <c r="L116" i="2" s="1"/>
  <c r="F102" i="2"/>
  <c r="G99" i="2" s="1"/>
  <c r="F36" i="4"/>
  <c r="G36" i="4" s="1"/>
  <c r="F45" i="4"/>
  <c r="F46" i="4" s="1"/>
  <c r="F125" i="2"/>
  <c r="G121" i="2" s="1"/>
  <c r="J26" i="11"/>
  <c r="J27" i="11" s="1"/>
  <c r="K25" i="11" s="1"/>
  <c r="F40" i="4"/>
  <c r="F41" i="4" s="1"/>
  <c r="F42" i="4" s="1"/>
  <c r="I112" i="2"/>
  <c r="I115" i="2"/>
  <c r="J111" i="2" s="1"/>
  <c r="B42" i="3"/>
  <c r="F146" i="2"/>
  <c r="F94" i="2"/>
  <c r="F95" i="2" s="1"/>
  <c r="F96" i="2" s="1"/>
  <c r="F87" i="2"/>
  <c r="H127" i="2"/>
  <c r="H129" i="2" s="1"/>
  <c r="I20" i="11"/>
  <c r="I82" i="2" s="1"/>
  <c r="I21" i="11" l="1"/>
  <c r="J19" i="11" s="1"/>
  <c r="L117" i="2"/>
  <c r="L120" i="2"/>
  <c r="M116" i="2" s="1"/>
  <c r="H83" i="2"/>
  <c r="H130" i="2"/>
  <c r="I126" i="2" s="1"/>
  <c r="G122" i="2"/>
  <c r="K23" i="11"/>
  <c r="K26" i="11"/>
  <c r="J112" i="2"/>
  <c r="J115" i="2" s="1"/>
  <c r="K111" i="2" s="1"/>
  <c r="F152" i="2"/>
  <c r="F156" i="2" s="1"/>
  <c r="G151" i="2" s="1"/>
  <c r="J20" i="11"/>
  <c r="J82" i="2" s="1"/>
  <c r="G100" i="2"/>
  <c r="G101" i="2" s="1"/>
  <c r="F159" i="2"/>
  <c r="F161" i="2" s="1"/>
  <c r="F148" i="2"/>
  <c r="G146" i="2" s="1"/>
  <c r="I27" i="4"/>
  <c r="I28" i="4" s="1"/>
  <c r="K112" i="2" l="1"/>
  <c r="K115" i="2" s="1"/>
  <c r="G153" i="2"/>
  <c r="G124" i="2"/>
  <c r="G84" i="2" s="1"/>
  <c r="I29" i="4"/>
  <c r="J27" i="4"/>
  <c r="J28" i="4" s="1"/>
  <c r="I127" i="2"/>
  <c r="I129" i="2" s="1"/>
  <c r="I83" i="2" s="1"/>
  <c r="G102" i="2"/>
  <c r="H99" i="2" s="1"/>
  <c r="J21" i="11"/>
  <c r="K19" i="11" s="1"/>
  <c r="K27" i="11"/>
  <c r="L25" i="11" s="1"/>
  <c r="H33" i="4"/>
  <c r="H35" i="4" s="1"/>
  <c r="C29" i="3"/>
  <c r="G159" i="2"/>
  <c r="G148" i="2"/>
  <c r="H146" i="2" s="1"/>
  <c r="M117" i="2"/>
  <c r="M120" i="2"/>
  <c r="N116" i="2" s="1"/>
  <c r="K24" i="11"/>
  <c r="L22" i="11" s="1"/>
  <c r="I33" i="4" l="1"/>
  <c r="I35" i="4" s="1"/>
  <c r="L111" i="2"/>
  <c r="G40" i="4"/>
  <c r="G41" i="4" s="1"/>
  <c r="G85" i="2"/>
  <c r="H148" i="2"/>
  <c r="L23" i="11"/>
  <c r="I130" i="2"/>
  <c r="J126" i="2" s="1"/>
  <c r="G125" i="2"/>
  <c r="H121" i="2" s="1"/>
  <c r="N117" i="2"/>
  <c r="N120" i="2" s="1"/>
  <c r="O116" i="2" s="1"/>
  <c r="H36" i="4"/>
  <c r="I36" i="4" s="1"/>
  <c r="L26" i="11"/>
  <c r="K20" i="11"/>
  <c r="K82" i="2" s="1"/>
  <c r="H100" i="2"/>
  <c r="H101" i="2" s="1"/>
  <c r="J29" i="4"/>
  <c r="H102" i="2" l="1"/>
  <c r="C34" i="3"/>
  <c r="I99" i="2"/>
  <c r="O117" i="2"/>
  <c r="O120" i="2" s="1"/>
  <c r="P116" i="2" s="1"/>
  <c r="G45" i="4"/>
  <c r="G46" i="4" s="1"/>
  <c r="G42" i="4"/>
  <c r="H153" i="2"/>
  <c r="C33" i="3"/>
  <c r="G94" i="2"/>
  <c r="G95" i="2" s="1"/>
  <c r="G96" i="2" s="1"/>
  <c r="G87" i="2"/>
  <c r="L112" i="2"/>
  <c r="L115" i="2" s="1"/>
  <c r="M111" i="2" s="1"/>
  <c r="C42" i="3"/>
  <c r="I146" i="2"/>
  <c r="L27" i="11"/>
  <c r="M25" i="11" s="1"/>
  <c r="K21" i="11"/>
  <c r="L19" i="11" s="1"/>
  <c r="J129" i="2"/>
  <c r="J83" i="2" s="1"/>
  <c r="J127" i="2"/>
  <c r="L24" i="11"/>
  <c r="M22" i="11" s="1"/>
  <c r="K27" i="4"/>
  <c r="K28" i="4" s="1"/>
  <c r="K29" i="4" s="1"/>
  <c r="B28" i="1"/>
  <c r="D28" i="3"/>
  <c r="H122" i="2"/>
  <c r="H124" i="2" s="1"/>
  <c r="H84" i="2" s="1"/>
  <c r="H125" i="2" l="1"/>
  <c r="P117" i="2"/>
  <c r="P120" i="2" s="1"/>
  <c r="Q116" i="2" s="1"/>
  <c r="M112" i="2"/>
  <c r="M115" i="2" s="1"/>
  <c r="N111" i="2" s="1"/>
  <c r="L20" i="11"/>
  <c r="L82" i="2" s="1"/>
  <c r="L21" i="11"/>
  <c r="M19" i="11" s="1"/>
  <c r="H42" i="4"/>
  <c r="M26" i="11"/>
  <c r="M27" i="11" s="1"/>
  <c r="N25" i="11" s="1"/>
  <c r="J33" i="4"/>
  <c r="J35" i="4" s="1"/>
  <c r="G152" i="2"/>
  <c r="M23" i="11"/>
  <c r="I148" i="2"/>
  <c r="J146" i="2" s="1"/>
  <c r="I121" i="2"/>
  <c r="C38" i="3"/>
  <c r="J130" i="2"/>
  <c r="K126" i="2" s="1"/>
  <c r="I100" i="2"/>
  <c r="H40" i="4"/>
  <c r="H41" i="4" s="1"/>
  <c r="H45" i="4" s="1"/>
  <c r="H46" i="4" s="1"/>
  <c r="H85" i="2"/>
  <c r="C30" i="3"/>
  <c r="I101" i="2" l="1"/>
  <c r="I102" i="2" s="1"/>
  <c r="J99" i="2" s="1"/>
  <c r="N112" i="2"/>
  <c r="N115" i="2" s="1"/>
  <c r="O111" i="2" s="1"/>
  <c r="Q117" i="2"/>
  <c r="Q120" i="2" s="1"/>
  <c r="R116" i="2" s="1"/>
  <c r="G156" i="2"/>
  <c r="H151" i="2" s="1"/>
  <c r="G161" i="2"/>
  <c r="M20" i="11"/>
  <c r="M82" i="2" s="1"/>
  <c r="L27" i="4"/>
  <c r="L28" i="4" s="1"/>
  <c r="I153" i="2"/>
  <c r="J148" i="2"/>
  <c r="K146" i="2" s="1"/>
  <c r="I122" i="2"/>
  <c r="I124" i="2"/>
  <c r="I84" i="2" s="1"/>
  <c r="M24" i="11"/>
  <c r="N22" i="11" s="1"/>
  <c r="J36" i="4"/>
  <c r="N26" i="11"/>
  <c r="H94" i="2"/>
  <c r="H95" i="2" s="1"/>
  <c r="H96" i="2" s="1"/>
  <c r="H87" i="2"/>
  <c r="C20" i="3"/>
  <c r="K127" i="2"/>
  <c r="K129" i="2" s="1"/>
  <c r="K83" i="2" s="1"/>
  <c r="J100" i="2" l="1"/>
  <c r="J101" i="2"/>
  <c r="J153" i="2" s="1"/>
  <c r="I125" i="2"/>
  <c r="J121" i="2" s="1"/>
  <c r="R117" i="2"/>
  <c r="R120" i="2" s="1"/>
  <c r="S116" i="2" s="1"/>
  <c r="J122" i="2"/>
  <c r="J124" i="2" s="1"/>
  <c r="J84" i="2" s="1"/>
  <c r="K33" i="4"/>
  <c r="K35" i="4" s="1"/>
  <c r="D29" i="3"/>
  <c r="B29" i="1"/>
  <c r="O112" i="2"/>
  <c r="O115" i="2"/>
  <c r="P111" i="2" s="1"/>
  <c r="I40" i="4"/>
  <c r="I41" i="4" s="1"/>
  <c r="I85" i="2"/>
  <c r="M21" i="11"/>
  <c r="N19" i="11" s="1"/>
  <c r="C23" i="3"/>
  <c r="N27" i="11"/>
  <c r="O25" i="11" s="1"/>
  <c r="K148" i="2"/>
  <c r="N23" i="11"/>
  <c r="N24" i="11" s="1"/>
  <c r="O22" i="11" s="1"/>
  <c r="K130" i="2"/>
  <c r="L126" i="2" s="1"/>
  <c r="L29" i="4"/>
  <c r="M27" i="4"/>
  <c r="M28" i="4" s="1"/>
  <c r="H152" i="2"/>
  <c r="H156" i="2" s="1"/>
  <c r="C21" i="3"/>
  <c r="H159" i="2"/>
  <c r="H161" i="2" l="1"/>
  <c r="C45" i="3" s="1"/>
  <c r="M29" i="4"/>
  <c r="J102" i="2"/>
  <c r="K99" i="2" s="1"/>
  <c r="O23" i="11"/>
  <c r="J40" i="4"/>
  <c r="J41" i="4" s="1"/>
  <c r="J45" i="4" s="1"/>
  <c r="J85" i="2"/>
  <c r="S117" i="2"/>
  <c r="S120" i="2"/>
  <c r="T116" i="2" s="1"/>
  <c r="P112" i="2"/>
  <c r="P115" i="2" s="1"/>
  <c r="Q111" i="2" s="1"/>
  <c r="I45" i="4"/>
  <c r="I46" i="4" s="1"/>
  <c r="J46" i="4" s="1"/>
  <c r="I42" i="4"/>
  <c r="J42" i="4" s="1"/>
  <c r="J125" i="2"/>
  <c r="K121" i="2" s="1"/>
  <c r="I94" i="2"/>
  <c r="I95" i="2" s="1"/>
  <c r="I96" i="2" s="1"/>
  <c r="I87" i="2"/>
  <c r="N20" i="11"/>
  <c r="N82" i="2" s="1"/>
  <c r="N21" i="11"/>
  <c r="O19" i="11" s="1"/>
  <c r="L127" i="2"/>
  <c r="L129" i="2"/>
  <c r="L83" i="2" s="1"/>
  <c r="K36" i="4"/>
  <c r="C43" i="3"/>
  <c r="I151" i="2"/>
  <c r="D42" i="3"/>
  <c r="L146" i="2"/>
  <c r="B42" i="1"/>
  <c r="O26" i="11"/>
  <c r="O27" i="11" s="1"/>
  <c r="P25" i="11" s="1"/>
  <c r="K100" i="2" l="1"/>
  <c r="K101" i="2"/>
  <c r="L130" i="2"/>
  <c r="M126" i="2" s="1"/>
  <c r="P26" i="11"/>
  <c r="P27" i="11"/>
  <c r="Q25" i="11" s="1"/>
  <c r="M127" i="2"/>
  <c r="M129" i="2"/>
  <c r="M83" i="2" s="1"/>
  <c r="Q112" i="2"/>
  <c r="Q115" i="2" s="1"/>
  <c r="R111" i="2" s="1"/>
  <c r="I152" i="2"/>
  <c r="J94" i="2"/>
  <c r="J95" i="2" s="1"/>
  <c r="J96" i="2" s="1"/>
  <c r="J87" i="2"/>
  <c r="J152" i="2" s="1"/>
  <c r="T117" i="2"/>
  <c r="T120" i="2"/>
  <c r="U116" i="2" s="1"/>
  <c r="N27" i="4"/>
  <c r="N28" i="4" s="1"/>
  <c r="E28" i="3"/>
  <c r="O20" i="11"/>
  <c r="O82" i="2" s="1"/>
  <c r="O21" i="11"/>
  <c r="P19" i="11" s="1"/>
  <c r="L33" i="4"/>
  <c r="L35" i="4" s="1"/>
  <c r="B52" i="5"/>
  <c r="B71" i="5"/>
  <c r="L148" i="2"/>
  <c r="M146" i="2" s="1"/>
  <c r="I156" i="2"/>
  <c r="J151" i="2" s="1"/>
  <c r="I159" i="2"/>
  <c r="K122" i="2"/>
  <c r="O24" i="11"/>
  <c r="P22" i="11" s="1"/>
  <c r="D33" i="3" l="1"/>
  <c r="B33" i="1"/>
  <c r="K153" i="2"/>
  <c r="M130" i="2"/>
  <c r="N126" i="2" s="1"/>
  <c r="K102" i="2"/>
  <c r="R112" i="2"/>
  <c r="R115" i="2" s="1"/>
  <c r="S111" i="2" s="1"/>
  <c r="N127" i="2"/>
  <c r="E38" i="3" s="1"/>
  <c r="N29" i="4"/>
  <c r="M33" i="4"/>
  <c r="M35" i="4" s="1"/>
  <c r="J156" i="2"/>
  <c r="K151" i="2" s="1"/>
  <c r="J159" i="2"/>
  <c r="J161" i="2" s="1"/>
  <c r="P23" i="11"/>
  <c r="O27" i="4"/>
  <c r="O28" i="4" s="1"/>
  <c r="L36" i="4"/>
  <c r="M36" i="4" s="1"/>
  <c r="P20" i="11"/>
  <c r="P82" i="2" s="1"/>
  <c r="M148" i="2"/>
  <c r="N146" i="2" s="1"/>
  <c r="K124" i="2"/>
  <c r="K84" i="2" s="1"/>
  <c r="Q26" i="11"/>
  <c r="Q27" i="11" s="1"/>
  <c r="R25" i="11" s="1"/>
  <c r="U117" i="2"/>
  <c r="U120" i="2" s="1"/>
  <c r="V116" i="2" s="1"/>
  <c r="I161" i="2"/>
  <c r="L99" i="2" l="1"/>
  <c r="B34" i="1"/>
  <c r="D34" i="3"/>
  <c r="P21" i="11"/>
  <c r="Q19" i="11" s="1"/>
  <c r="S112" i="2"/>
  <c r="S115" i="2" s="1"/>
  <c r="T111" i="2" s="1"/>
  <c r="K40" i="4"/>
  <c r="K41" i="4" s="1"/>
  <c r="K85" i="2"/>
  <c r="B30" i="1"/>
  <c r="D30" i="3"/>
  <c r="K159" i="2"/>
  <c r="N148" i="2"/>
  <c r="O29" i="4"/>
  <c r="P27" i="4"/>
  <c r="P28" i="4" s="1"/>
  <c r="Q20" i="11"/>
  <c r="Q82" i="2" s="1"/>
  <c r="V117" i="2"/>
  <c r="V120" i="2" s="1"/>
  <c r="W116" i="2" s="1"/>
  <c r="R26" i="11"/>
  <c r="P24" i="11"/>
  <c r="Q22" i="11" s="1"/>
  <c r="N129" i="2"/>
  <c r="N83" i="2" s="1"/>
  <c r="K125" i="2"/>
  <c r="L100" i="2" l="1"/>
  <c r="L101" i="2" s="1"/>
  <c r="L153" i="2" s="1"/>
  <c r="L102" i="2"/>
  <c r="M99" i="2" s="1"/>
  <c r="T112" i="2"/>
  <c r="T115" i="2"/>
  <c r="U111" i="2" s="1"/>
  <c r="W117" i="2"/>
  <c r="W120" i="2" s="1"/>
  <c r="X116" i="2" s="1"/>
  <c r="L121" i="2"/>
  <c r="D38" i="3"/>
  <c r="B38" i="1"/>
  <c r="K94" i="2"/>
  <c r="K95" i="2" s="1"/>
  <c r="K96" i="2" s="1"/>
  <c r="K87" i="2"/>
  <c r="B20" i="1"/>
  <c r="B46" i="5" s="1"/>
  <c r="D20" i="3"/>
  <c r="E42" i="3"/>
  <c r="O146" i="2"/>
  <c r="K45" i="4"/>
  <c r="K46" i="4" s="1"/>
  <c r="K42" i="4"/>
  <c r="N33" i="4"/>
  <c r="N35" i="4" s="1"/>
  <c r="E29" i="3"/>
  <c r="Q23" i="11"/>
  <c r="Q24" i="11"/>
  <c r="R22" i="11" s="1"/>
  <c r="N130" i="2"/>
  <c r="O126" i="2" s="1"/>
  <c r="R27" i="11"/>
  <c r="S25" i="11" s="1"/>
  <c r="P29" i="4"/>
  <c r="Q27" i="4"/>
  <c r="Q28" i="4" s="1"/>
  <c r="F28" i="3"/>
  <c r="Q21" i="11"/>
  <c r="R19" i="11" s="1"/>
  <c r="M100" i="2" l="1"/>
  <c r="Q29" i="4"/>
  <c r="X117" i="2"/>
  <c r="X120" i="2" s="1"/>
  <c r="Y116" i="2" s="1"/>
  <c r="U112" i="2"/>
  <c r="U115" i="2" s="1"/>
  <c r="V111" i="2" s="1"/>
  <c r="K152" i="2"/>
  <c r="D21" i="3"/>
  <c r="B21" i="1"/>
  <c r="M107" i="2"/>
  <c r="B23" i="1"/>
  <c r="D23" i="3"/>
  <c r="N160" i="2"/>
  <c r="O148" i="2"/>
  <c r="P146" i="2" s="1"/>
  <c r="R20" i="11"/>
  <c r="R82" i="2" s="1"/>
  <c r="S26" i="11"/>
  <c r="S27" i="11" s="1"/>
  <c r="T25" i="11" s="1"/>
  <c r="R23" i="11"/>
  <c r="N36" i="4"/>
  <c r="O127" i="2"/>
  <c r="O129" i="2" s="1"/>
  <c r="O83" i="2" s="1"/>
  <c r="L122" i="2"/>
  <c r="L124" i="2" s="1"/>
  <c r="L84" i="2" s="1"/>
  <c r="M101" i="2" l="1"/>
  <c r="T26" i="11"/>
  <c r="V112" i="2"/>
  <c r="V115" i="2" s="1"/>
  <c r="W111" i="2" s="1"/>
  <c r="L40" i="4"/>
  <c r="L41" i="4" s="1"/>
  <c r="L85" i="2"/>
  <c r="Y117" i="2"/>
  <c r="Y120" i="2" s="1"/>
  <c r="Z116" i="2" s="1"/>
  <c r="O33" i="4"/>
  <c r="O35" i="4" s="1"/>
  <c r="O36" i="4" s="1"/>
  <c r="E35" i="3"/>
  <c r="M154" i="2"/>
  <c r="C35" i="1"/>
  <c r="M108" i="2"/>
  <c r="N106" i="2" s="1"/>
  <c r="N108" i="2" s="1"/>
  <c r="R21" i="11"/>
  <c r="S19" i="11" s="1"/>
  <c r="E44" i="3"/>
  <c r="C44" i="1"/>
  <c r="O130" i="2"/>
  <c r="P126" i="2" s="1"/>
  <c r="R27" i="4"/>
  <c r="R28" i="4" s="1"/>
  <c r="L125" i="2"/>
  <c r="M121" i="2" s="1"/>
  <c r="P148" i="2"/>
  <c r="Q146" i="2" s="1"/>
  <c r="R24" i="11"/>
  <c r="S22" i="11" s="1"/>
  <c r="K156" i="2"/>
  <c r="K161" i="2"/>
  <c r="M153" i="2" l="1"/>
  <c r="M102" i="2"/>
  <c r="N99" i="2" s="1"/>
  <c r="Z117" i="2"/>
  <c r="Z120" i="2" s="1"/>
  <c r="AA116" i="2" s="1"/>
  <c r="W112" i="2"/>
  <c r="W115" i="2"/>
  <c r="R29" i="4"/>
  <c r="Q148" i="2"/>
  <c r="L45" i="4"/>
  <c r="L46" i="4" s="1"/>
  <c r="L42" i="4"/>
  <c r="L94" i="2"/>
  <c r="L95" i="2" s="1"/>
  <c r="L96" i="2" s="1"/>
  <c r="L87" i="2"/>
  <c r="M122" i="2"/>
  <c r="M124" i="2" s="1"/>
  <c r="M84" i="2" s="1"/>
  <c r="D45" i="3"/>
  <c r="B45" i="1"/>
  <c r="S20" i="11"/>
  <c r="S82" i="2" s="1"/>
  <c r="P127" i="2"/>
  <c r="P129" i="2" s="1"/>
  <c r="P83" i="2" s="1"/>
  <c r="S23" i="11"/>
  <c r="S24" i="11"/>
  <c r="T22" i="11" s="1"/>
  <c r="E36" i="3"/>
  <c r="O106" i="2"/>
  <c r="O108" i="2" s="1"/>
  <c r="P106" i="2" s="1"/>
  <c r="P108" i="2" s="1"/>
  <c r="Q106" i="2" s="1"/>
  <c r="Q108" i="2" s="1"/>
  <c r="D43" i="3"/>
  <c r="L151" i="2"/>
  <c r="B43" i="1"/>
  <c r="T27" i="11"/>
  <c r="U25" i="11" s="1"/>
  <c r="N100" i="2" l="1"/>
  <c r="N101" i="2" s="1"/>
  <c r="N102" i="2"/>
  <c r="P33" i="4"/>
  <c r="P35" i="4" s="1"/>
  <c r="M40" i="4"/>
  <c r="M41" i="4" s="1"/>
  <c r="M45" i="4" s="1"/>
  <c r="M85" i="2"/>
  <c r="AA117" i="2"/>
  <c r="AA120" i="2"/>
  <c r="AB116" i="2" s="1"/>
  <c r="S27" i="4"/>
  <c r="S28" i="4" s="1"/>
  <c r="L152" i="2"/>
  <c r="U26" i="11"/>
  <c r="U27" i="11" s="1"/>
  <c r="V25" i="11" s="1"/>
  <c r="X111" i="2"/>
  <c r="F42" i="3"/>
  <c r="R146" i="2"/>
  <c r="M125" i="2"/>
  <c r="N121" i="2" s="1"/>
  <c r="B72" i="5"/>
  <c r="B50" i="5"/>
  <c r="B100" i="5"/>
  <c r="B102" i="5" s="1"/>
  <c r="B103" i="5" s="1"/>
  <c r="F36" i="3"/>
  <c r="R106" i="2"/>
  <c r="R108" i="2" s="1"/>
  <c r="S106" i="2" s="1"/>
  <c r="S108" i="2" s="1"/>
  <c r="T106" i="2" s="1"/>
  <c r="T108" i="2" s="1"/>
  <c r="S21" i="11"/>
  <c r="T19" i="11" s="1"/>
  <c r="T23" i="11"/>
  <c r="T24" i="11" s="1"/>
  <c r="U22" i="11" s="1"/>
  <c r="P130" i="2"/>
  <c r="Q126" i="2" s="1"/>
  <c r="L156" i="2"/>
  <c r="M151" i="2" s="1"/>
  <c r="L159" i="2"/>
  <c r="L161" i="2" s="1"/>
  <c r="M46" i="4"/>
  <c r="E34" i="3" l="1"/>
  <c r="O99" i="2"/>
  <c r="N153" i="2"/>
  <c r="E33" i="3"/>
  <c r="U23" i="11"/>
  <c r="X112" i="2"/>
  <c r="X115" i="2" s="1"/>
  <c r="Y111" i="2" s="1"/>
  <c r="M94" i="2"/>
  <c r="M95" i="2" s="1"/>
  <c r="M96" i="2" s="1"/>
  <c r="M87" i="2"/>
  <c r="T20" i="11"/>
  <c r="T82" i="2" s="1"/>
  <c r="AB117" i="2"/>
  <c r="AB120" i="2" s="1"/>
  <c r="AC116" i="2" s="1"/>
  <c r="S29" i="4"/>
  <c r="M159" i="2"/>
  <c r="G36" i="3"/>
  <c r="U106" i="2"/>
  <c r="U108" i="2" s="1"/>
  <c r="V106" i="2" s="1"/>
  <c r="V108" i="2" s="1"/>
  <c r="W106" i="2" s="1"/>
  <c r="W108" i="2" s="1"/>
  <c r="R148" i="2"/>
  <c r="S146" i="2" s="1"/>
  <c r="V26" i="11"/>
  <c r="V27" i="11" s="1"/>
  <c r="W25" i="11" s="1"/>
  <c r="N122" i="2"/>
  <c r="Q127" i="2"/>
  <c r="F38" i="3" s="1"/>
  <c r="M42" i="4"/>
  <c r="P36" i="4"/>
  <c r="Q129" i="2" l="1"/>
  <c r="Q83" i="2" s="1"/>
  <c r="N124" i="2"/>
  <c r="N84" i="2" s="1"/>
  <c r="N40" i="4" s="1"/>
  <c r="N41" i="4" s="1"/>
  <c r="N45" i="4" s="1"/>
  <c r="N46" i="4" s="1"/>
  <c r="O100" i="2"/>
  <c r="O101" i="2" s="1"/>
  <c r="O153" i="2" s="1"/>
  <c r="O102" i="2"/>
  <c r="P99" i="2" s="1"/>
  <c r="AC117" i="2"/>
  <c r="AC120" i="2" s="1"/>
  <c r="AD116" i="2" s="1"/>
  <c r="Y112" i="2"/>
  <c r="Y115" i="2"/>
  <c r="Z111" i="2" s="1"/>
  <c r="Q33" i="4"/>
  <c r="Q35" i="4" s="1"/>
  <c r="F29" i="3"/>
  <c r="T27" i="4"/>
  <c r="T28" i="4" s="1"/>
  <c r="G28" i="3"/>
  <c r="T21" i="11"/>
  <c r="U19" i="11" s="1"/>
  <c r="W26" i="11"/>
  <c r="W27" i="11" s="1"/>
  <c r="X25" i="11" s="1"/>
  <c r="N85" i="2"/>
  <c r="E30" i="3"/>
  <c r="M152" i="2"/>
  <c r="M156" i="2" s="1"/>
  <c r="N151" i="2" s="1"/>
  <c r="Q36" i="4"/>
  <c r="T29" i="4"/>
  <c r="H36" i="3"/>
  <c r="X106" i="2"/>
  <c r="X108" i="2" s="1"/>
  <c r="Y106" i="2" s="1"/>
  <c r="C36" i="1"/>
  <c r="Q130" i="2"/>
  <c r="R126" i="2" s="1"/>
  <c r="S148" i="2"/>
  <c r="T146" i="2" s="1"/>
  <c r="U24" i="11"/>
  <c r="V22" i="11" s="1"/>
  <c r="P100" i="2" l="1"/>
  <c r="P101" i="2"/>
  <c r="P153" i="2" s="1"/>
  <c r="N125" i="2"/>
  <c r="O121" i="2" s="1"/>
  <c r="X26" i="11"/>
  <c r="X27" i="11" s="1"/>
  <c r="Y25" i="11" s="1"/>
  <c r="AD117" i="2"/>
  <c r="AD120" i="2" s="1"/>
  <c r="AE116" i="2" s="1"/>
  <c r="Z112" i="2"/>
  <c r="Z115" i="2" s="1"/>
  <c r="AA111" i="2" s="1"/>
  <c r="N94" i="2"/>
  <c r="N95" i="2" s="1"/>
  <c r="N96" i="2" s="1"/>
  <c r="N87" i="2"/>
  <c r="E20" i="3"/>
  <c r="T148" i="2"/>
  <c r="N159" i="2"/>
  <c r="R127" i="2"/>
  <c r="R129" i="2" s="1"/>
  <c r="R83" i="2" s="1"/>
  <c r="N42" i="4"/>
  <c r="U20" i="11"/>
  <c r="U82" i="2" s="1"/>
  <c r="U21" i="11"/>
  <c r="V19" i="11" s="1"/>
  <c r="V24" i="11"/>
  <c r="W22" i="11" s="1"/>
  <c r="V23" i="11"/>
  <c r="M161" i="2"/>
  <c r="O122" i="2" l="1"/>
  <c r="O124" i="2"/>
  <c r="O84" i="2" s="1"/>
  <c r="P102" i="2"/>
  <c r="Q99" i="2" s="1"/>
  <c r="AE117" i="2"/>
  <c r="AE120" i="2" s="1"/>
  <c r="AF116" i="2" s="1"/>
  <c r="Y26" i="11"/>
  <c r="Y27" i="11" s="1"/>
  <c r="Z25" i="11" s="1"/>
  <c r="R33" i="4"/>
  <c r="R35" i="4" s="1"/>
  <c r="R130" i="2"/>
  <c r="S126" i="2" s="1"/>
  <c r="N152" i="2"/>
  <c r="N156" i="2" s="1"/>
  <c r="E21" i="3"/>
  <c r="W23" i="11"/>
  <c r="E23" i="3"/>
  <c r="AA112" i="2"/>
  <c r="AA115" i="2" s="1"/>
  <c r="AB111" i="2" s="1"/>
  <c r="U27" i="4"/>
  <c r="U28" i="4" s="1"/>
  <c r="G42" i="3"/>
  <c r="U146" i="2"/>
  <c r="V20" i="11"/>
  <c r="V82" i="2" s="1"/>
  <c r="Q100" i="2" l="1"/>
  <c r="Q101" i="2" s="1"/>
  <c r="Q102" i="2"/>
  <c r="O40" i="4"/>
  <c r="O41" i="4" s="1"/>
  <c r="O85" i="2"/>
  <c r="O125" i="2"/>
  <c r="P121" i="2" s="1"/>
  <c r="Z26" i="11"/>
  <c r="Z27" i="11" s="1"/>
  <c r="AA25" i="11" s="1"/>
  <c r="AB112" i="2"/>
  <c r="AB115" i="2" s="1"/>
  <c r="AC111" i="2" s="1"/>
  <c r="E43" i="3"/>
  <c r="O151" i="2"/>
  <c r="AF117" i="2"/>
  <c r="AF120" i="2" s="1"/>
  <c r="AG116" i="2" s="1"/>
  <c r="V27" i="4"/>
  <c r="V28" i="4" s="1"/>
  <c r="S127" i="2"/>
  <c r="S129" i="2" s="1"/>
  <c r="S83" i="2" s="1"/>
  <c r="V21" i="11"/>
  <c r="W19" i="11" s="1"/>
  <c r="W24" i="11"/>
  <c r="X22" i="11" s="1"/>
  <c r="U148" i="2"/>
  <c r="V146" i="2" s="1"/>
  <c r="U29" i="4"/>
  <c r="N161" i="2"/>
  <c r="E45" i="3" s="1"/>
  <c r="R36" i="4"/>
  <c r="O45" i="4" l="1"/>
  <c r="O46" i="4" s="1"/>
  <c r="O42" i="4"/>
  <c r="P122" i="2"/>
  <c r="P124" i="2" s="1"/>
  <c r="P84" i="2" s="1"/>
  <c r="P125" i="2"/>
  <c r="Q121" i="2" s="1"/>
  <c r="F34" i="3"/>
  <c r="R99" i="2"/>
  <c r="O94" i="2"/>
  <c r="O95" i="2" s="1"/>
  <c r="O96" i="2" s="1"/>
  <c r="O87" i="2"/>
  <c r="O152" i="2" s="1"/>
  <c r="Q153" i="2"/>
  <c r="F33" i="3"/>
  <c r="AC112" i="2"/>
  <c r="AC115" i="2" s="1"/>
  <c r="AD111" i="2" s="1"/>
  <c r="AG117" i="2"/>
  <c r="AG120" i="2" s="1"/>
  <c r="AH116" i="2" s="1"/>
  <c r="S33" i="4"/>
  <c r="S35" i="4" s="1"/>
  <c r="S36" i="4" s="1"/>
  <c r="V148" i="2"/>
  <c r="W146" i="2" s="1"/>
  <c r="O156" i="2"/>
  <c r="P151" i="2" s="1"/>
  <c r="O159" i="2"/>
  <c r="O161" i="2" s="1"/>
  <c r="V29" i="4"/>
  <c r="X23" i="11"/>
  <c r="X24" i="11" s="1"/>
  <c r="Y22" i="11" s="1"/>
  <c r="S130" i="2"/>
  <c r="T126" i="2" s="1"/>
  <c r="AA26" i="11"/>
  <c r="W20" i="11"/>
  <c r="W82" i="2" s="1"/>
  <c r="R100" i="2" l="1"/>
  <c r="R101" i="2"/>
  <c r="R153" i="2" s="1"/>
  <c r="W21" i="11"/>
  <c r="X19" i="11" s="1"/>
  <c r="P40" i="4"/>
  <c r="P41" i="4" s="1"/>
  <c r="P45" i="4" s="1"/>
  <c r="P46" i="4" s="1"/>
  <c r="P85" i="2"/>
  <c r="Q122" i="2"/>
  <c r="Y23" i="11"/>
  <c r="Y24" i="11"/>
  <c r="Z22" i="11" s="1"/>
  <c r="AD112" i="2"/>
  <c r="AD115" i="2" s="1"/>
  <c r="AE111" i="2" s="1"/>
  <c r="AH117" i="2"/>
  <c r="AH120" i="2" s="1"/>
  <c r="AI116" i="2" s="1"/>
  <c r="P159" i="2"/>
  <c r="T127" i="2"/>
  <c r="G38" i="3" s="1"/>
  <c r="X20" i="11"/>
  <c r="X82" i="2" s="1"/>
  <c r="X21" i="11"/>
  <c r="Y19" i="11" s="1"/>
  <c r="W148" i="2"/>
  <c r="AA27" i="11"/>
  <c r="AB25" i="11" s="1"/>
  <c r="W27" i="4"/>
  <c r="W28" i="4" s="1"/>
  <c r="W29" i="4" s="1"/>
  <c r="C28" i="1"/>
  <c r="H28" i="3"/>
  <c r="P94" i="2" l="1"/>
  <c r="P95" i="2" s="1"/>
  <c r="P96" i="2" s="1"/>
  <c r="P87" i="2"/>
  <c r="P152" i="2" s="1"/>
  <c r="P156" i="2" s="1"/>
  <c r="Q151" i="2" s="1"/>
  <c r="P161" i="2"/>
  <c r="Q124" i="2"/>
  <c r="Q84" i="2" s="1"/>
  <c r="P42" i="4"/>
  <c r="R102" i="2"/>
  <c r="S99" i="2" s="1"/>
  <c r="AE112" i="2"/>
  <c r="AE115" i="2" s="1"/>
  <c r="AF111" i="2" s="1"/>
  <c r="AI117" i="2"/>
  <c r="AI120" i="2" s="1"/>
  <c r="AJ116" i="2" s="1"/>
  <c r="AB26" i="11"/>
  <c r="H42" i="3"/>
  <c r="X146" i="2"/>
  <c r="C42" i="1"/>
  <c r="X27" i="4"/>
  <c r="X28" i="4" s="1"/>
  <c r="Q159" i="2"/>
  <c r="Y20" i="11"/>
  <c r="Y82" i="2" s="1"/>
  <c r="T129" i="2"/>
  <c r="T83" i="2" s="1"/>
  <c r="Z23" i="11"/>
  <c r="Z24" i="11" s="1"/>
  <c r="AA22" i="11" s="1"/>
  <c r="S100" i="2" l="1"/>
  <c r="S101" i="2"/>
  <c r="Q40" i="4"/>
  <c r="Q41" i="4" s="1"/>
  <c r="Q45" i="4" s="1"/>
  <c r="Q46" i="4" s="1"/>
  <c r="Q85" i="2"/>
  <c r="F30" i="3"/>
  <c r="Q125" i="2"/>
  <c r="R121" i="2" s="1"/>
  <c r="Q42" i="4"/>
  <c r="AA23" i="11"/>
  <c r="AA24" i="11"/>
  <c r="AB22" i="11" s="1"/>
  <c r="AF112" i="2"/>
  <c r="AF115" i="2" s="1"/>
  <c r="AG111" i="2" s="1"/>
  <c r="X148" i="2"/>
  <c r="Y146" i="2" s="1"/>
  <c r="AJ117" i="2"/>
  <c r="AJ120" i="2"/>
  <c r="AK116" i="2" s="1"/>
  <c r="T33" i="4"/>
  <c r="T35" i="4" s="1"/>
  <c r="G29" i="3"/>
  <c r="T130" i="2"/>
  <c r="U126" i="2" s="1"/>
  <c r="AB27" i="11"/>
  <c r="AC25" i="11" s="1"/>
  <c r="Y27" i="4"/>
  <c r="Y28" i="4" s="1"/>
  <c r="Y21" i="11"/>
  <c r="Z19" i="11" s="1"/>
  <c r="C71" i="5"/>
  <c r="C52" i="5"/>
  <c r="X29" i="4"/>
  <c r="Y29" i="4" s="1"/>
  <c r="Q87" i="2" l="1"/>
  <c r="Q94" i="2"/>
  <c r="Q95" i="2" s="1"/>
  <c r="Q96" i="2" s="1"/>
  <c r="F23" i="3" s="1"/>
  <c r="F20" i="3"/>
  <c r="R122" i="2"/>
  <c r="R124" i="2" s="1"/>
  <c r="S153" i="2"/>
  <c r="S102" i="2"/>
  <c r="T99" i="2" s="1"/>
  <c r="AG112" i="2"/>
  <c r="AG115" i="2" s="1"/>
  <c r="AH111" i="2" s="1"/>
  <c r="T36" i="4"/>
  <c r="U127" i="2"/>
  <c r="U129" i="2"/>
  <c r="U83" i="2" s="1"/>
  <c r="AC26" i="11"/>
  <c r="AC27" i="11" s="1"/>
  <c r="AD25" i="11" s="1"/>
  <c r="Z20" i="11"/>
  <c r="Z82" i="2" s="1"/>
  <c r="AB23" i="11"/>
  <c r="AB24" i="11"/>
  <c r="AC22" i="11" s="1"/>
  <c r="Y148" i="2"/>
  <c r="Z146" i="2" s="1"/>
  <c r="AK117" i="2"/>
  <c r="AK120" i="2"/>
  <c r="AL116" i="2" s="1"/>
  <c r="R84" i="2" l="1"/>
  <c r="R125" i="2"/>
  <c r="S121" i="2" s="1"/>
  <c r="T100" i="2"/>
  <c r="T101" i="2" s="1"/>
  <c r="Q152" i="2"/>
  <c r="F21" i="3"/>
  <c r="U130" i="2"/>
  <c r="V126" i="2" s="1"/>
  <c r="AH112" i="2"/>
  <c r="AH115" i="2"/>
  <c r="AI111" i="2" s="1"/>
  <c r="AC23" i="11"/>
  <c r="AC24" i="11" s="1"/>
  <c r="AD22" i="11" s="1"/>
  <c r="AD26" i="11"/>
  <c r="U33" i="4"/>
  <c r="U35" i="4" s="1"/>
  <c r="AL117" i="2"/>
  <c r="AL120" i="2" s="1"/>
  <c r="AM116" i="2" s="1"/>
  <c r="Z148" i="2"/>
  <c r="Z27" i="4"/>
  <c r="Z28" i="4" s="1"/>
  <c r="I28" i="3"/>
  <c r="U36" i="4"/>
  <c r="Z21" i="11"/>
  <c r="AA19" i="11" s="1"/>
  <c r="T153" i="2" l="1"/>
  <c r="G33" i="3"/>
  <c r="V127" i="2"/>
  <c r="T102" i="2"/>
  <c r="S122" i="2"/>
  <c r="S124" i="2" s="1"/>
  <c r="S84" i="2" s="1"/>
  <c r="S125" i="2"/>
  <c r="T121" i="2" s="1"/>
  <c r="T122" i="2" s="1"/>
  <c r="T124" i="2" s="1"/>
  <c r="T84" i="2" s="1"/>
  <c r="T40" i="4" s="1"/>
  <c r="T41" i="4" s="1"/>
  <c r="Q156" i="2"/>
  <c r="Q161" i="2"/>
  <c r="F45" i="3" s="1"/>
  <c r="R40" i="4"/>
  <c r="R41" i="4" s="1"/>
  <c r="R85" i="2"/>
  <c r="AD23" i="11"/>
  <c r="AD24" i="11" s="1"/>
  <c r="AE22" i="11" s="1"/>
  <c r="AM117" i="2"/>
  <c r="AM120" i="2" s="1"/>
  <c r="AN116" i="2" s="1"/>
  <c r="AA20" i="11"/>
  <c r="AA82" i="2" s="1"/>
  <c r="AA21" i="11"/>
  <c r="AB19" i="11" s="1"/>
  <c r="AD27" i="11"/>
  <c r="AE25" i="11" s="1"/>
  <c r="AI112" i="2"/>
  <c r="AI115" i="2" s="1"/>
  <c r="Z29" i="4"/>
  <c r="AA146" i="2"/>
  <c r="I42" i="3"/>
  <c r="T125" i="2" l="1"/>
  <c r="U121" i="2" s="1"/>
  <c r="R151" i="2"/>
  <c r="R159" i="2" s="1"/>
  <c r="F43" i="3"/>
  <c r="T85" i="2"/>
  <c r="G34" i="3"/>
  <c r="U99" i="2"/>
  <c r="R87" i="2"/>
  <c r="R152" i="2" s="1"/>
  <c r="R156" i="2" s="1"/>
  <c r="S151" i="2" s="1"/>
  <c r="S159" i="2" s="1"/>
  <c r="R94" i="2"/>
  <c r="R95" i="2" s="1"/>
  <c r="R96" i="2" s="1"/>
  <c r="R45" i="4"/>
  <c r="R46" i="4" s="1"/>
  <c r="R42" i="4"/>
  <c r="G30" i="3"/>
  <c r="S40" i="4"/>
  <c r="S41" i="4" s="1"/>
  <c r="S45" i="4" s="1"/>
  <c r="S46" i="4" s="1"/>
  <c r="S85" i="2"/>
  <c r="V129" i="2"/>
  <c r="V83" i="2" s="1"/>
  <c r="V33" i="4" s="1"/>
  <c r="V35" i="4" s="1"/>
  <c r="V36" i="4" s="1"/>
  <c r="AN117" i="2"/>
  <c r="AN120" i="2" s="1"/>
  <c r="AO116" i="2" s="1"/>
  <c r="AJ111" i="2"/>
  <c r="AE23" i="11"/>
  <c r="T94" i="2"/>
  <c r="T95" i="2" s="1"/>
  <c r="T96" i="2" s="1"/>
  <c r="T87" i="2"/>
  <c r="AB20" i="11"/>
  <c r="AB82" i="2" s="1"/>
  <c r="AA148" i="2"/>
  <c r="AB146" i="2" s="1"/>
  <c r="T45" i="4"/>
  <c r="U122" i="2"/>
  <c r="U124" i="2" s="1"/>
  <c r="U84" i="2" s="1"/>
  <c r="AA27" i="4"/>
  <c r="AA28" i="4" s="1"/>
  <c r="AE26" i="11"/>
  <c r="V130" i="2" l="1"/>
  <c r="W126" i="2" s="1"/>
  <c r="AB21" i="11"/>
  <c r="AC19" i="11" s="1"/>
  <c r="U100" i="2"/>
  <c r="U101" i="2" s="1"/>
  <c r="U153" i="2" s="1"/>
  <c r="T46" i="4"/>
  <c r="U46" i="4" s="1"/>
  <c r="S42" i="4"/>
  <c r="T42" i="4" s="1"/>
  <c r="U42" i="4" s="1"/>
  <c r="S87" i="2"/>
  <c r="S152" i="2" s="1"/>
  <c r="S156" i="2" s="1"/>
  <c r="T151" i="2" s="1"/>
  <c r="T159" i="2" s="1"/>
  <c r="T161" i="2" s="1"/>
  <c r="G45" i="3" s="1"/>
  <c r="S94" i="2"/>
  <c r="S95" i="2" s="1"/>
  <c r="S96" i="2" s="1"/>
  <c r="R161" i="2"/>
  <c r="G20" i="3"/>
  <c r="U40" i="4"/>
  <c r="U41" i="4" s="1"/>
  <c r="U45" i="4" s="1"/>
  <c r="U85" i="2"/>
  <c r="AO117" i="2"/>
  <c r="AO120" i="2" s="1"/>
  <c r="AP116" i="2" s="1"/>
  <c r="AC20" i="11"/>
  <c r="AC82" i="2" s="1"/>
  <c r="AC21" i="11"/>
  <c r="AD19" i="11" s="1"/>
  <c r="U125" i="2"/>
  <c r="V121" i="2" s="1"/>
  <c r="AJ112" i="2"/>
  <c r="AJ115" i="2" s="1"/>
  <c r="AK111" i="2" s="1"/>
  <c r="AB27" i="4"/>
  <c r="AB28" i="4" s="1"/>
  <c r="AE24" i="11"/>
  <c r="AF22" i="11" s="1"/>
  <c r="AA29" i="4"/>
  <c r="AB29" i="4" s="1"/>
  <c r="T152" i="2"/>
  <c r="T156" i="2" s="1"/>
  <c r="G21" i="3"/>
  <c r="AB148" i="2"/>
  <c r="AC146" i="2" s="1"/>
  <c r="AE27" i="11"/>
  <c r="AF25" i="11" s="1"/>
  <c r="G23" i="3"/>
  <c r="U102" i="2" l="1"/>
  <c r="V99" i="2" s="1"/>
  <c r="W127" i="2"/>
  <c r="W129" i="2"/>
  <c r="W83" i="2" s="1"/>
  <c r="S161" i="2"/>
  <c r="AP117" i="2"/>
  <c r="AP120" i="2"/>
  <c r="AQ116" i="2" s="1"/>
  <c r="AF23" i="11"/>
  <c r="V122" i="2"/>
  <c r="AD20" i="11"/>
  <c r="AD82" i="2" s="1"/>
  <c r="U94" i="2"/>
  <c r="U95" i="2" s="1"/>
  <c r="U96" i="2" s="1"/>
  <c r="U87" i="2"/>
  <c r="AF26" i="11"/>
  <c r="AC148" i="2"/>
  <c r="AK112" i="2"/>
  <c r="AK115" i="2" s="1"/>
  <c r="AL111" i="2" s="1"/>
  <c r="AC27" i="4"/>
  <c r="AC28" i="4" s="1"/>
  <c r="J28" i="3"/>
  <c r="G43" i="3"/>
  <c r="U151" i="2"/>
  <c r="H29" i="3" l="1"/>
  <c r="W33" i="4"/>
  <c r="W35" i="4" s="1"/>
  <c r="W36" i="4" s="1"/>
  <c r="C29" i="1"/>
  <c r="H38" i="3"/>
  <c r="W130" i="2"/>
  <c r="X126" i="2" s="1"/>
  <c r="X127" i="2" s="1"/>
  <c r="X129" i="2" s="1"/>
  <c r="X83" i="2" s="1"/>
  <c r="X33" i="4" s="1"/>
  <c r="X35" i="4" s="1"/>
  <c r="X36" i="4" s="1"/>
  <c r="V124" i="2"/>
  <c r="V84" i="2" s="1"/>
  <c r="V40" i="4" s="1"/>
  <c r="V41" i="4" s="1"/>
  <c r="V100" i="2"/>
  <c r="V101" i="2" s="1"/>
  <c r="AL112" i="2"/>
  <c r="AL115" i="2"/>
  <c r="AM111" i="2" s="1"/>
  <c r="U152" i="2"/>
  <c r="U156" i="2" s="1"/>
  <c r="V151" i="2" s="1"/>
  <c r="J42" i="3"/>
  <c r="AD146" i="2"/>
  <c r="AC29" i="4"/>
  <c r="U159" i="2"/>
  <c r="AD21" i="11"/>
  <c r="AE19" i="11" s="1"/>
  <c r="AF24" i="11"/>
  <c r="AG22" i="11" s="1"/>
  <c r="AF27" i="11"/>
  <c r="AG25" i="11" s="1"/>
  <c r="AQ117" i="2"/>
  <c r="AQ120" i="2" s="1"/>
  <c r="AR116" i="2" s="1"/>
  <c r="AD27" i="4"/>
  <c r="AD28" i="4" s="1"/>
  <c r="V125" i="2" l="1"/>
  <c r="W121" i="2" s="1"/>
  <c r="W122" i="2" s="1"/>
  <c r="W124" i="2" s="1"/>
  <c r="W84" i="2" s="1"/>
  <c r="V153" i="2"/>
  <c r="U161" i="2"/>
  <c r="X130" i="2"/>
  <c r="Y126" i="2" s="1"/>
  <c r="V85" i="2"/>
  <c r="V94" i="2" s="1"/>
  <c r="V95" i="2" s="1"/>
  <c r="V96" i="2" s="1"/>
  <c r="AD29" i="4"/>
  <c r="V102" i="2"/>
  <c r="W99" i="2" s="1"/>
  <c r="AR117" i="2"/>
  <c r="AR120" i="2"/>
  <c r="AS116" i="2" s="1"/>
  <c r="W40" i="4"/>
  <c r="W41" i="4" s="1"/>
  <c r="W45" i="4" s="1"/>
  <c r="W85" i="2"/>
  <c r="H30" i="3"/>
  <c r="C30" i="1"/>
  <c r="V45" i="4"/>
  <c r="V46" i="4" s="1"/>
  <c r="V42" i="4"/>
  <c r="AG26" i="11"/>
  <c r="AG27" i="11" s="1"/>
  <c r="AH25" i="11" s="1"/>
  <c r="AD148" i="2"/>
  <c r="AE146" i="2" s="1"/>
  <c r="W125" i="2"/>
  <c r="V159" i="2"/>
  <c r="Y127" i="2"/>
  <c r="Y129" i="2" s="1"/>
  <c r="Y83" i="2" s="1"/>
  <c r="AM112" i="2"/>
  <c r="AM115" i="2"/>
  <c r="AN111" i="2" s="1"/>
  <c r="AG23" i="11"/>
  <c r="AG24" i="11"/>
  <c r="AH22" i="11" s="1"/>
  <c r="AE20" i="11"/>
  <c r="AE82" i="2" s="1"/>
  <c r="V87" i="2"/>
  <c r="W100" i="2" l="1"/>
  <c r="W101" i="2" s="1"/>
  <c r="Y33" i="4"/>
  <c r="Y35" i="4" s="1"/>
  <c r="AH26" i="11"/>
  <c r="AN112" i="2"/>
  <c r="AN115" i="2" s="1"/>
  <c r="AO111" i="2" s="1"/>
  <c r="V152" i="2"/>
  <c r="V156" i="2" s="1"/>
  <c r="W151" i="2" s="1"/>
  <c r="H21" i="3"/>
  <c r="AH23" i="11"/>
  <c r="AH24" i="11" s="1"/>
  <c r="AI22" i="11" s="1"/>
  <c r="X121" i="2"/>
  <c r="C38" i="1"/>
  <c r="Y130" i="2"/>
  <c r="Z126" i="2" s="1"/>
  <c r="W42" i="4"/>
  <c r="W94" i="2"/>
  <c r="W95" i="2" s="1"/>
  <c r="W96" i="2" s="1"/>
  <c r="Y107" i="2" s="1"/>
  <c r="W87" i="2"/>
  <c r="W152" i="2" s="1"/>
  <c r="C20" i="1"/>
  <c r="C46" i="5" s="1"/>
  <c r="W46" i="4"/>
  <c r="AS117" i="2"/>
  <c r="AS120" i="2"/>
  <c r="AT116" i="2" s="1"/>
  <c r="AE148" i="2"/>
  <c r="AF146" i="2" s="1"/>
  <c r="H20" i="3"/>
  <c r="AE27" i="4"/>
  <c r="AE28" i="4" s="1"/>
  <c r="AE21" i="11"/>
  <c r="AF19" i="11" s="1"/>
  <c r="V161" i="2" l="1"/>
  <c r="C21" i="1"/>
  <c r="W102" i="2"/>
  <c r="W153" i="2"/>
  <c r="C33" i="1"/>
  <c r="H33" i="3"/>
  <c r="AO112" i="2"/>
  <c r="AO115" i="2" s="1"/>
  <c r="AP111" i="2" s="1"/>
  <c r="AF148" i="2"/>
  <c r="AT117" i="2"/>
  <c r="AT120" i="2" s="1"/>
  <c r="AU116" i="2" s="1"/>
  <c r="AE29" i="4"/>
  <c r="W156" i="2"/>
  <c r="W159" i="2"/>
  <c r="W161" i="2" s="1"/>
  <c r="AH27" i="11"/>
  <c r="AI25" i="11" s="1"/>
  <c r="AF21" i="11"/>
  <c r="AG19" i="11" s="1"/>
  <c r="AF20" i="11"/>
  <c r="AF82" i="2" s="1"/>
  <c r="I35" i="3"/>
  <c r="Y154" i="2"/>
  <c r="D35" i="1"/>
  <c r="Y108" i="2"/>
  <c r="Z106" i="2" s="1"/>
  <c r="Z108" i="2" s="1"/>
  <c r="Z127" i="2"/>
  <c r="I38" i="3" s="1"/>
  <c r="Z160" i="2"/>
  <c r="X122" i="2"/>
  <c r="X124" i="2" s="1"/>
  <c r="X84" i="2" s="1"/>
  <c r="AI23" i="11"/>
  <c r="AI24" i="11"/>
  <c r="AJ22" i="11" s="1"/>
  <c r="C23" i="1"/>
  <c r="H23" i="3"/>
  <c r="Y36" i="4"/>
  <c r="X99" i="2" l="1"/>
  <c r="C34" i="1"/>
  <c r="H34" i="3"/>
  <c r="Z129" i="2"/>
  <c r="Z83" i="2" s="1"/>
  <c r="X125" i="2"/>
  <c r="Y121" i="2" s="1"/>
  <c r="Y125" i="2" s="1"/>
  <c r="Z121" i="2" s="1"/>
  <c r="AU117" i="2"/>
  <c r="AU120" i="2" s="1"/>
  <c r="AV116" i="2" s="1"/>
  <c r="Y122" i="2"/>
  <c r="Y124" i="2"/>
  <c r="Y84" i="2" s="1"/>
  <c r="AP112" i="2"/>
  <c r="AP115" i="2" s="1"/>
  <c r="AQ111" i="2" s="1"/>
  <c r="AJ23" i="11"/>
  <c r="AJ24" i="11" s="1"/>
  <c r="AK22" i="11" s="1"/>
  <c r="AI26" i="11"/>
  <c r="Z33" i="4"/>
  <c r="Z35" i="4" s="1"/>
  <c r="I29" i="3"/>
  <c r="K42" i="3"/>
  <c r="AG146" i="2"/>
  <c r="X40" i="4"/>
  <c r="X41" i="4" s="1"/>
  <c r="X85" i="2"/>
  <c r="I36" i="3"/>
  <c r="AA106" i="2"/>
  <c r="AA108" i="2" s="1"/>
  <c r="AB106" i="2" s="1"/>
  <c r="AB108" i="2" s="1"/>
  <c r="AC106" i="2" s="1"/>
  <c r="AC108" i="2" s="1"/>
  <c r="H45" i="3"/>
  <c r="C45" i="1"/>
  <c r="I44" i="3"/>
  <c r="D44" i="1"/>
  <c r="AG20" i="11"/>
  <c r="AG82" i="2" s="1"/>
  <c r="H43" i="3"/>
  <c r="X151" i="2"/>
  <c r="C43" i="1"/>
  <c r="Z130" i="2"/>
  <c r="AA126" i="2" s="1"/>
  <c r="AF27" i="4"/>
  <c r="AF28" i="4" s="1"/>
  <c r="K28" i="3"/>
  <c r="X100" i="2" l="1"/>
  <c r="X101" i="2"/>
  <c r="AQ112" i="2"/>
  <c r="AQ115" i="2" s="1"/>
  <c r="AR111" i="2" s="1"/>
  <c r="AV117" i="2"/>
  <c r="AV120" i="2" s="1"/>
  <c r="AW116" i="2" s="1"/>
  <c r="AA127" i="2"/>
  <c r="Z122" i="2"/>
  <c r="Z124" i="2" s="1"/>
  <c r="Z84" i="2" s="1"/>
  <c r="AK23" i="11"/>
  <c r="AK24" i="11" s="1"/>
  <c r="AL22" i="11" s="1"/>
  <c r="C100" i="5"/>
  <c r="C102" i="5" s="1"/>
  <c r="C103" i="5" s="1"/>
  <c r="C50" i="5"/>
  <c r="C72" i="5"/>
  <c r="Y40" i="4"/>
  <c r="Y41" i="4" s="1"/>
  <c r="Y45" i="4" s="1"/>
  <c r="Y85" i="2"/>
  <c r="AG21" i="11"/>
  <c r="AH19" i="11" s="1"/>
  <c r="X159" i="2"/>
  <c r="AG27" i="4"/>
  <c r="AG28" i="4" s="1"/>
  <c r="AG148" i="2"/>
  <c r="AH146" i="2" s="1"/>
  <c r="X94" i="2"/>
  <c r="X95" i="2" s="1"/>
  <c r="X96" i="2" s="1"/>
  <c r="X87" i="2"/>
  <c r="J36" i="3"/>
  <c r="AD106" i="2"/>
  <c r="AD108" i="2" s="1"/>
  <c r="AE106" i="2" s="1"/>
  <c r="AE108" i="2" s="1"/>
  <c r="AF106" i="2" s="1"/>
  <c r="AF108" i="2" s="1"/>
  <c r="AI27" i="11"/>
  <c r="AJ25" i="11" s="1"/>
  <c r="AF29" i="4"/>
  <c r="Z36" i="4"/>
  <c r="X45" i="4"/>
  <c r="X46" i="4" s="1"/>
  <c r="X42" i="4"/>
  <c r="AA129" i="2" l="1"/>
  <c r="AA83" i="2" s="1"/>
  <c r="AA33" i="4" s="1"/>
  <c r="AA35" i="4" s="1"/>
  <c r="AA36" i="4" s="1"/>
  <c r="Y42" i="4"/>
  <c r="Y46" i="4"/>
  <c r="Z46" i="4" s="1"/>
  <c r="X153" i="2"/>
  <c r="X102" i="2"/>
  <c r="Y99" i="2" s="1"/>
  <c r="Z40" i="4"/>
  <c r="Z41" i="4" s="1"/>
  <c r="Z45" i="4" s="1"/>
  <c r="Z85" i="2"/>
  <c r="I30" i="3"/>
  <c r="AR112" i="2"/>
  <c r="AR115" i="2" s="1"/>
  <c r="AS111" i="2" s="1"/>
  <c r="AL23" i="11"/>
  <c r="AW117" i="2"/>
  <c r="AW120" i="2" s="1"/>
  <c r="AX116" i="2" s="1"/>
  <c r="Z125" i="2"/>
  <c r="AA121" i="2" s="1"/>
  <c r="K36" i="3"/>
  <c r="AG106" i="2"/>
  <c r="AG108" i="2" s="1"/>
  <c r="AH106" i="2" s="1"/>
  <c r="AH108" i="2" s="1"/>
  <c r="AI106" i="2" s="1"/>
  <c r="AI108" i="2" s="1"/>
  <c r="Y94" i="2"/>
  <c r="Y95" i="2" s="1"/>
  <c r="Y96" i="2" s="1"/>
  <c r="Y87" i="2"/>
  <c r="Y152" i="2" s="1"/>
  <c r="X161" i="2"/>
  <c r="X152" i="2"/>
  <c r="AG29" i="4"/>
  <c r="I20" i="3"/>
  <c r="AJ26" i="11"/>
  <c r="AJ27" i="11"/>
  <c r="AK25" i="11" s="1"/>
  <c r="AH148" i="2"/>
  <c r="AI146" i="2" s="1"/>
  <c r="AH20" i="11"/>
  <c r="AH82" i="2" s="1"/>
  <c r="Y100" i="2" l="1"/>
  <c r="X156" i="2"/>
  <c r="Y151" i="2" s="1"/>
  <c r="Z42" i="4"/>
  <c r="AA130" i="2"/>
  <c r="AB126" i="2" s="1"/>
  <c r="AX117" i="2"/>
  <c r="AX120" i="2" s="1"/>
  <c r="AY116" i="2" s="1"/>
  <c r="AS112" i="2"/>
  <c r="AS115" i="2" s="1"/>
  <c r="AT111" i="2" s="1"/>
  <c r="AH21" i="11"/>
  <c r="AI19" i="11" s="1"/>
  <c r="AI148" i="2"/>
  <c r="AK26" i="11"/>
  <c r="AK27" i="11" s="1"/>
  <c r="AL25" i="11" s="1"/>
  <c r="AH27" i="4"/>
  <c r="AH28" i="4" s="1"/>
  <c r="AH29" i="4" s="1"/>
  <c r="AA124" i="2"/>
  <c r="AA84" i="2" s="1"/>
  <c r="AA122" i="2"/>
  <c r="Y159" i="2"/>
  <c r="AL24" i="11"/>
  <c r="AM22" i="11" s="1"/>
  <c r="Z94" i="2"/>
  <c r="Z95" i="2" s="1"/>
  <c r="Z96" i="2" s="1"/>
  <c r="Z87" i="2"/>
  <c r="I21" i="3" s="1"/>
  <c r="L36" i="3"/>
  <c r="AJ106" i="2"/>
  <c r="AJ108" i="2" s="1"/>
  <c r="AK106" i="2" s="1"/>
  <c r="D36" i="1"/>
  <c r="AB127" i="2" l="1"/>
  <c r="Y101" i="2"/>
  <c r="AT112" i="2"/>
  <c r="AT115" i="2" s="1"/>
  <c r="AU111" i="2" s="1"/>
  <c r="AL26" i="11"/>
  <c r="AL27" i="11" s="1"/>
  <c r="AM25" i="11" s="1"/>
  <c r="AY117" i="2"/>
  <c r="AY120" i="2" s="1"/>
  <c r="AZ116" i="2" s="1"/>
  <c r="AA40" i="4"/>
  <c r="AA41" i="4" s="1"/>
  <c r="AA85" i="2"/>
  <c r="AI20" i="11"/>
  <c r="AI82" i="2" s="1"/>
  <c r="AM23" i="11"/>
  <c r="AM24" i="11" s="1"/>
  <c r="AN22" i="11" s="1"/>
  <c r="Z152" i="2"/>
  <c r="L42" i="3"/>
  <c r="AJ146" i="2"/>
  <c r="D42" i="1"/>
  <c r="D52" i="5" s="1"/>
  <c r="I23" i="3"/>
  <c r="AA125" i="2"/>
  <c r="AB121" i="2" s="1"/>
  <c r="Y153" i="2" l="1"/>
  <c r="AB129" i="2"/>
  <c r="AB83" i="2" s="1"/>
  <c r="Y102" i="2"/>
  <c r="Z99" i="2" s="1"/>
  <c r="AZ117" i="2"/>
  <c r="AZ120" i="2" s="1"/>
  <c r="BA116" i="2" s="1"/>
  <c r="AU112" i="2"/>
  <c r="AU115" i="2" s="1"/>
  <c r="AM26" i="11"/>
  <c r="AM27" i="11"/>
  <c r="AN25" i="11" s="1"/>
  <c r="AN23" i="11"/>
  <c r="AN24" i="11" s="1"/>
  <c r="AO22" i="11" s="1"/>
  <c r="AB122" i="2"/>
  <c r="AB124" i="2" s="1"/>
  <c r="AB84" i="2" s="1"/>
  <c r="AI21" i="11"/>
  <c r="AJ19" i="11" s="1"/>
  <c r="AI27" i="4"/>
  <c r="AI28" i="4" s="1"/>
  <c r="L28" i="3"/>
  <c r="D28" i="1"/>
  <c r="AA94" i="2"/>
  <c r="AA95" i="2" s="1"/>
  <c r="AA96" i="2" s="1"/>
  <c r="AA87" i="2"/>
  <c r="AA45" i="4"/>
  <c r="AA46" i="4" s="1"/>
  <c r="AA42" i="4"/>
  <c r="AJ148" i="2"/>
  <c r="AK146" i="2" s="1"/>
  <c r="Z100" i="2" l="1"/>
  <c r="Z101" i="2"/>
  <c r="AB130" i="2"/>
  <c r="AC126" i="2" s="1"/>
  <c r="AB33" i="4"/>
  <c r="AB35" i="4" s="1"/>
  <c r="AB36" i="4" s="1"/>
  <c r="Y161" i="2"/>
  <c r="Y156" i="2"/>
  <c r="Z151" i="2" s="1"/>
  <c r="AB40" i="4"/>
  <c r="AB41" i="4" s="1"/>
  <c r="AB45" i="4" s="1"/>
  <c r="AB46" i="4" s="1"/>
  <c r="AB85" i="2"/>
  <c r="AV111" i="2"/>
  <c r="BA117" i="2"/>
  <c r="BA120" i="2" s="1"/>
  <c r="BB116" i="2" s="1"/>
  <c r="AA152" i="2"/>
  <c r="AB125" i="2"/>
  <c r="AC121" i="2" s="1"/>
  <c r="AK148" i="2"/>
  <c r="AL146" i="2" s="1"/>
  <c r="AJ20" i="11"/>
  <c r="AJ82" i="2" s="1"/>
  <c r="AN26" i="11"/>
  <c r="AN27" i="11" s="1"/>
  <c r="AO25" i="11" s="1"/>
  <c r="AI29" i="4"/>
  <c r="AO23" i="11"/>
  <c r="AO24" i="11" s="1"/>
  <c r="AP22" i="11" s="1"/>
  <c r="Z159" i="2" l="1"/>
  <c r="AB42" i="4"/>
  <c r="AC127" i="2"/>
  <c r="J38" i="3" s="1"/>
  <c r="Z153" i="2"/>
  <c r="Z156" i="2" s="1"/>
  <c r="I33" i="3"/>
  <c r="Z102" i="2"/>
  <c r="AP23" i="11"/>
  <c r="BB117" i="2"/>
  <c r="BB120" i="2" s="1"/>
  <c r="BC116" i="2" s="1"/>
  <c r="AV112" i="2"/>
  <c r="AV115" i="2" s="1"/>
  <c r="AW111" i="2" s="1"/>
  <c r="AC122" i="2"/>
  <c r="AC124" i="2" s="1"/>
  <c r="AC84" i="2" s="1"/>
  <c r="AJ27" i="4"/>
  <c r="AJ28" i="4" s="1"/>
  <c r="AO26" i="11"/>
  <c r="AO27" i="11"/>
  <c r="AP25" i="11" s="1"/>
  <c r="AJ21" i="11"/>
  <c r="AK19" i="11" s="1"/>
  <c r="AJ29" i="4"/>
  <c r="AB94" i="2"/>
  <c r="AB95" i="2" s="1"/>
  <c r="AB96" i="2" s="1"/>
  <c r="AB87" i="2"/>
  <c r="AL148" i="2"/>
  <c r="I43" i="3" l="1"/>
  <c r="AA151" i="2"/>
  <c r="AC129" i="2"/>
  <c r="AC83" i="2" s="1"/>
  <c r="AA99" i="2"/>
  <c r="I34" i="3"/>
  <c r="Z161" i="2"/>
  <c r="I45" i="3" s="1"/>
  <c r="AC40" i="4"/>
  <c r="AC41" i="4" s="1"/>
  <c r="J30" i="3"/>
  <c r="BC117" i="2"/>
  <c r="BC120" i="2" s="1"/>
  <c r="BD116" i="2" s="1"/>
  <c r="AW112" i="2"/>
  <c r="AW115" i="2"/>
  <c r="AX111" i="2" s="1"/>
  <c r="AC125" i="2"/>
  <c r="AD121" i="2" s="1"/>
  <c r="AP24" i="11"/>
  <c r="AQ22" i="11" s="1"/>
  <c r="AB152" i="2"/>
  <c r="AP26" i="11"/>
  <c r="AP27" i="11" s="1"/>
  <c r="AQ25" i="11" s="1"/>
  <c r="AM146" i="2"/>
  <c r="M42" i="3"/>
  <c r="AK20" i="11"/>
  <c r="AK82" i="2" s="1"/>
  <c r="AK21" i="11" l="1"/>
  <c r="AL19" i="11" s="1"/>
  <c r="AA100" i="2"/>
  <c r="AA159" i="2"/>
  <c r="AC33" i="4"/>
  <c r="AC35" i="4" s="1"/>
  <c r="AC36" i="4" s="1"/>
  <c r="J29" i="3"/>
  <c r="AC130" i="2"/>
  <c r="AD126" i="2" s="1"/>
  <c r="AC85" i="2"/>
  <c r="BD117" i="2"/>
  <c r="BD120" i="2" s="1"/>
  <c r="BE116" i="2" s="1"/>
  <c r="AQ26" i="11"/>
  <c r="AX112" i="2"/>
  <c r="AX115" i="2"/>
  <c r="AY111" i="2" s="1"/>
  <c r="AL20" i="11"/>
  <c r="AL82" i="2" s="1"/>
  <c r="AD122" i="2"/>
  <c r="AD124" i="2"/>
  <c r="AD84" i="2" s="1"/>
  <c r="AQ23" i="11"/>
  <c r="AQ24" i="11" s="1"/>
  <c r="AR22" i="11" s="1"/>
  <c r="AK27" i="4"/>
  <c r="AK28" i="4" s="1"/>
  <c r="AC94" i="2"/>
  <c r="AC95" i="2" s="1"/>
  <c r="AC96" i="2" s="1"/>
  <c r="AC87" i="2"/>
  <c r="J20" i="3"/>
  <c r="AM148" i="2"/>
  <c r="AN146" i="2" s="1"/>
  <c r="AC45" i="4"/>
  <c r="AC46" i="4" s="1"/>
  <c r="AC42" i="4"/>
  <c r="AD127" i="2" l="1"/>
  <c r="AD129" i="2"/>
  <c r="AD83" i="2" s="1"/>
  <c r="AD33" i="4" s="1"/>
  <c r="AD35" i="4" s="1"/>
  <c r="AD36" i="4" s="1"/>
  <c r="AD130" i="2"/>
  <c r="AE126" i="2" s="1"/>
  <c r="AD125" i="2"/>
  <c r="AE121" i="2" s="1"/>
  <c r="AE122" i="2" s="1"/>
  <c r="AA101" i="2"/>
  <c r="AR23" i="11"/>
  <c r="AR24" i="11" s="1"/>
  <c r="AS22" i="11" s="1"/>
  <c r="BE117" i="2"/>
  <c r="BE120" i="2" s="1"/>
  <c r="BF116" i="2" s="1"/>
  <c r="AK29" i="4"/>
  <c r="AL27" i="4"/>
  <c r="AL28" i="4" s="1"/>
  <c r="AN148" i="2"/>
  <c r="AO146" i="2" s="1"/>
  <c r="AC152" i="2"/>
  <c r="J21" i="3"/>
  <c r="AL21" i="11"/>
  <c r="AM19" i="11" s="1"/>
  <c r="AQ27" i="11"/>
  <c r="AR25" i="11" s="1"/>
  <c r="AY112" i="2"/>
  <c r="AY115" i="2" s="1"/>
  <c r="AZ111" i="2" s="1"/>
  <c r="J23" i="3"/>
  <c r="AD40" i="4"/>
  <c r="AD41" i="4" s="1"/>
  <c r="AD45" i="4" s="1"/>
  <c r="AD46" i="4" s="1"/>
  <c r="AD85" i="2"/>
  <c r="M28" i="3"/>
  <c r="AA153" i="2" l="1"/>
  <c r="AA102" i="2"/>
  <c r="AB99" i="2" s="1"/>
  <c r="AE127" i="2"/>
  <c r="AE124" i="2"/>
  <c r="AE84" i="2" s="1"/>
  <c r="AE40" i="4" s="1"/>
  <c r="AE41" i="4" s="1"/>
  <c r="BF117" i="2"/>
  <c r="BF120" i="2" s="1"/>
  <c r="BG116" i="2" s="1"/>
  <c r="AZ112" i="2"/>
  <c r="AZ115" i="2" s="1"/>
  <c r="BA111" i="2" s="1"/>
  <c r="AD94" i="2"/>
  <c r="AD95" i="2" s="1"/>
  <c r="AD96" i="2" s="1"/>
  <c r="AD87" i="2"/>
  <c r="AR26" i="11"/>
  <c r="AM20" i="11"/>
  <c r="AM82" i="2" s="1"/>
  <c r="AM21" i="11"/>
  <c r="AN19" i="11" s="1"/>
  <c r="AO148" i="2"/>
  <c r="AS23" i="11"/>
  <c r="AD42" i="4"/>
  <c r="AL29" i="4"/>
  <c r="AE129" i="2" l="1"/>
  <c r="AE83" i="2" s="1"/>
  <c r="AB100" i="2"/>
  <c r="AB101" i="2" s="1"/>
  <c r="AB102" i="2"/>
  <c r="AC99" i="2" s="1"/>
  <c r="AE42" i="4"/>
  <c r="AA156" i="2"/>
  <c r="AB151" i="2" s="1"/>
  <c r="AA161" i="2"/>
  <c r="AE125" i="2"/>
  <c r="AF121" i="2" s="1"/>
  <c r="AF122" i="2" s="1"/>
  <c r="AF124" i="2" s="1"/>
  <c r="AF84" i="2" s="1"/>
  <c r="AF40" i="4"/>
  <c r="AF41" i="4" s="1"/>
  <c r="K30" i="3"/>
  <c r="BA112" i="2"/>
  <c r="BA115" i="2" s="1"/>
  <c r="BB111" i="2" s="1"/>
  <c r="BG117" i="2"/>
  <c r="BG120" i="2" s="1"/>
  <c r="BH116" i="2" s="1"/>
  <c r="AR27" i="11"/>
  <c r="AS25" i="11" s="1"/>
  <c r="AF125" i="2"/>
  <c r="AG121" i="2" s="1"/>
  <c r="AS24" i="11"/>
  <c r="AT22" i="11" s="1"/>
  <c r="AD152" i="2"/>
  <c r="AF42" i="4"/>
  <c r="AN20" i="11"/>
  <c r="AN82" i="2" s="1"/>
  <c r="N42" i="3"/>
  <c r="AP146" i="2"/>
  <c r="AM27" i="4"/>
  <c r="AM28" i="4" s="1"/>
  <c r="AM29" i="4" s="1"/>
  <c r="AB153" i="2" l="1"/>
  <c r="AE33" i="4"/>
  <c r="AE35" i="4" s="1"/>
  <c r="AE85" i="2"/>
  <c r="AB159" i="2"/>
  <c r="AB161" i="2" s="1"/>
  <c r="AB156" i="2"/>
  <c r="AC151" i="2" s="1"/>
  <c r="AC100" i="2"/>
  <c r="AC101" i="2" s="1"/>
  <c r="AC153" i="2" s="1"/>
  <c r="AE130" i="2"/>
  <c r="AF126" i="2" s="1"/>
  <c r="AN21" i="11"/>
  <c r="AO19" i="11" s="1"/>
  <c r="BH117" i="2"/>
  <c r="BH120" i="2" s="1"/>
  <c r="BI116" i="2" s="1"/>
  <c r="BB112" i="2"/>
  <c r="BB115" i="2" s="1"/>
  <c r="BC111" i="2" s="1"/>
  <c r="AO20" i="11"/>
  <c r="AO82" i="2" s="1"/>
  <c r="AG122" i="2"/>
  <c r="AG124" i="2" s="1"/>
  <c r="AG84" i="2" s="1"/>
  <c r="AS26" i="11"/>
  <c r="AS27" i="11"/>
  <c r="AT25" i="11" s="1"/>
  <c r="AT23" i="11"/>
  <c r="AT24" i="11" s="1"/>
  <c r="AU22" i="11" s="1"/>
  <c r="AP148" i="2"/>
  <c r="AQ146" i="2" s="1"/>
  <c r="AN27" i="4"/>
  <c r="AN28" i="4" s="1"/>
  <c r="J33" i="3" l="1"/>
  <c r="AC159" i="2"/>
  <c r="AC161" i="2" s="1"/>
  <c r="J45" i="3" s="1"/>
  <c r="AC156" i="2"/>
  <c r="AE94" i="2"/>
  <c r="AE95" i="2" s="1"/>
  <c r="AE96" i="2" s="1"/>
  <c r="AE87" i="2"/>
  <c r="AE36" i="4"/>
  <c r="AE45" i="4"/>
  <c r="AE46" i="4" s="1"/>
  <c r="AF127" i="2"/>
  <c r="K38" i="3" s="1"/>
  <c r="AF129" i="2"/>
  <c r="AF83" i="2" s="1"/>
  <c r="AF130" i="2"/>
  <c r="AG126" i="2" s="1"/>
  <c r="AC102" i="2"/>
  <c r="AU23" i="11"/>
  <c r="BC112" i="2"/>
  <c r="BC115" i="2"/>
  <c r="BD111" i="2" s="1"/>
  <c r="BI117" i="2"/>
  <c r="BI120" i="2" s="1"/>
  <c r="BJ116" i="2" s="1"/>
  <c r="AG40" i="4"/>
  <c r="AG41" i="4" s="1"/>
  <c r="AG42" i="4" s="1"/>
  <c r="AQ148" i="2"/>
  <c r="AR146" i="2" s="1"/>
  <c r="AO21" i="11"/>
  <c r="AP19" i="11" s="1"/>
  <c r="AN29" i="4"/>
  <c r="AO29" i="4" s="1"/>
  <c r="AG125" i="2"/>
  <c r="AH121" i="2" s="1"/>
  <c r="AT26" i="11"/>
  <c r="AO27" i="4"/>
  <c r="AO28" i="4" s="1"/>
  <c r="N28" i="3"/>
  <c r="AE152" i="2" l="1"/>
  <c r="AF46" i="4"/>
  <c r="J34" i="3"/>
  <c r="AD99" i="2"/>
  <c r="AG127" i="2"/>
  <c r="AG130" i="2" s="1"/>
  <c r="AH126" i="2" s="1"/>
  <c r="AG129" i="2"/>
  <c r="AG83" i="2" s="1"/>
  <c r="AF33" i="4"/>
  <c r="AF35" i="4" s="1"/>
  <c r="AF45" i="4" s="1"/>
  <c r="AF85" i="2"/>
  <c r="K29" i="3"/>
  <c r="AF36" i="4"/>
  <c r="AD151" i="2"/>
  <c r="J43" i="3"/>
  <c r="BJ117" i="2"/>
  <c r="BJ120" i="2" s="1"/>
  <c r="BK116" i="2" s="1"/>
  <c r="AR148" i="2"/>
  <c r="BD112" i="2"/>
  <c r="BD115" i="2" s="1"/>
  <c r="BE111" i="2" s="1"/>
  <c r="AP20" i="11"/>
  <c r="AP82" i="2" s="1"/>
  <c r="AP21" i="11"/>
  <c r="AQ19" i="11" s="1"/>
  <c r="AT27" i="11"/>
  <c r="AU25" i="11" s="1"/>
  <c r="AH122" i="2"/>
  <c r="AU24" i="11"/>
  <c r="AV22" i="11" s="1"/>
  <c r="AH127" i="2" l="1"/>
  <c r="AD100" i="2"/>
  <c r="AD101" i="2" s="1"/>
  <c r="AD102" i="2"/>
  <c r="AE99" i="2" s="1"/>
  <c r="AG33" i="4"/>
  <c r="AG35" i="4" s="1"/>
  <c r="AG85" i="2"/>
  <c r="AH124" i="2"/>
  <c r="AH84" i="2" s="1"/>
  <c r="AH40" i="4" s="1"/>
  <c r="AH41" i="4" s="1"/>
  <c r="AD159" i="2"/>
  <c r="AF94" i="2"/>
  <c r="AF95" i="2" s="1"/>
  <c r="AF96" i="2" s="1"/>
  <c r="K23" i="3" s="1"/>
  <c r="AF87" i="2"/>
  <c r="K20" i="3"/>
  <c r="BE112" i="2"/>
  <c r="BE115" i="2"/>
  <c r="BF111" i="2" s="1"/>
  <c r="BK117" i="2"/>
  <c r="BK120" i="2" s="1"/>
  <c r="BL116" i="2" s="1"/>
  <c r="AU26" i="11"/>
  <c r="AV23" i="11"/>
  <c r="AP27" i="4"/>
  <c r="AP28" i="4" s="1"/>
  <c r="O42" i="3"/>
  <c r="AS146" i="2"/>
  <c r="AQ20" i="11"/>
  <c r="AQ82" i="2" s="1"/>
  <c r="AG45" i="4" l="1"/>
  <c r="AG46" i="4" s="1"/>
  <c r="AG36" i="4"/>
  <c r="AG87" i="2"/>
  <c r="AG152" i="2" s="1"/>
  <c r="AG94" i="2"/>
  <c r="AG95" i="2" s="1"/>
  <c r="AG96" i="2" s="1"/>
  <c r="AD153" i="2"/>
  <c r="AD156" i="2" s="1"/>
  <c r="AE151" i="2" s="1"/>
  <c r="AH125" i="2"/>
  <c r="AI121" i="2" s="1"/>
  <c r="AI122" i="2" s="1"/>
  <c r="AI124" i="2" s="1"/>
  <c r="AI84" i="2" s="1"/>
  <c r="L30" i="3" s="1"/>
  <c r="AE100" i="2"/>
  <c r="AE101" i="2" s="1"/>
  <c r="AE153" i="2" s="1"/>
  <c r="AF152" i="2"/>
  <c r="K21" i="3"/>
  <c r="AD161" i="2"/>
  <c r="AH129" i="2"/>
  <c r="AH83" i="2" s="1"/>
  <c r="BL117" i="2"/>
  <c r="BL120" i="2" s="1"/>
  <c r="BM116" i="2" s="1"/>
  <c r="AQ21" i="11"/>
  <c r="AR19" i="11" s="1"/>
  <c r="AP29" i="4"/>
  <c r="AS148" i="2"/>
  <c r="AT146" i="2" s="1"/>
  <c r="BF112" i="2"/>
  <c r="BF115" i="2" s="1"/>
  <c r="BG111" i="2" s="1"/>
  <c r="AQ27" i="4"/>
  <c r="AQ28" i="4" s="1"/>
  <c r="AH42" i="4"/>
  <c r="AV24" i="11"/>
  <c r="AW22" i="11" s="1"/>
  <c r="AU27" i="11"/>
  <c r="AV25" i="11" s="1"/>
  <c r="D30" i="1" l="1"/>
  <c r="AH33" i="4"/>
  <c r="AH35" i="4" s="1"/>
  <c r="AH45" i="4" s="1"/>
  <c r="AH46" i="4" s="1"/>
  <c r="AH85" i="2"/>
  <c r="AE156" i="2"/>
  <c r="AF151" i="2" s="1"/>
  <c r="AE159" i="2"/>
  <c r="AE161" i="2" s="1"/>
  <c r="AI40" i="4"/>
  <c r="AI41" i="4" s="1"/>
  <c r="AH130" i="2"/>
  <c r="AI126" i="2" s="1"/>
  <c r="AI125" i="2"/>
  <c r="AJ121" i="2" s="1"/>
  <c r="AE102" i="2"/>
  <c r="AF99" i="2" s="1"/>
  <c r="BG112" i="2"/>
  <c r="BG115" i="2" s="1"/>
  <c r="BM117" i="2"/>
  <c r="BM120" i="2" s="1"/>
  <c r="BN116" i="2" s="1"/>
  <c r="AR20" i="11"/>
  <c r="AR82" i="2" s="1"/>
  <c r="AI42" i="4"/>
  <c r="AT148" i="2"/>
  <c r="AU146" i="2" s="1"/>
  <c r="AQ29" i="4"/>
  <c r="AW23" i="11"/>
  <c r="AW24" i="11"/>
  <c r="AX22" i="11" s="1"/>
  <c r="AV26" i="11"/>
  <c r="AV27" i="11" s="1"/>
  <c r="AW25" i="11" s="1"/>
  <c r="AH87" i="2" l="1"/>
  <c r="AH152" i="2" s="1"/>
  <c r="AH94" i="2"/>
  <c r="AH95" i="2" s="1"/>
  <c r="AH96" i="2" s="1"/>
  <c r="AI127" i="2"/>
  <c r="L38" i="3" s="1"/>
  <c r="AI129" i="2"/>
  <c r="AI83" i="2" s="1"/>
  <c r="AF100" i="2"/>
  <c r="AH36" i="4"/>
  <c r="AF159" i="2"/>
  <c r="AR21" i="11"/>
  <c r="AS19" i="11" s="1"/>
  <c r="BN117" i="2"/>
  <c r="BN120" i="2" s="1"/>
  <c r="BO116" i="2" s="1"/>
  <c r="BH111" i="2"/>
  <c r="AR27" i="4"/>
  <c r="AR28" i="4" s="1"/>
  <c r="O28" i="3"/>
  <c r="AW26" i="11"/>
  <c r="AW27" i="11" s="1"/>
  <c r="AX25" i="11" s="1"/>
  <c r="AS20" i="11"/>
  <c r="AS82" i="2" s="1"/>
  <c r="AS21" i="11"/>
  <c r="AT19" i="11" s="1"/>
  <c r="AJ122" i="2"/>
  <c r="AR29" i="4"/>
  <c r="AU148" i="2"/>
  <c r="AX23" i="11"/>
  <c r="AI130" i="2" l="1"/>
  <c r="D29" i="1"/>
  <c r="AI85" i="2"/>
  <c r="AI33" i="4"/>
  <c r="AI35" i="4" s="1"/>
  <c r="AI45" i="4" s="1"/>
  <c r="AI46" i="4" s="1"/>
  <c r="L29" i="3"/>
  <c r="AF101" i="2"/>
  <c r="BO117" i="2"/>
  <c r="BO120" i="2"/>
  <c r="BP116" i="2" s="1"/>
  <c r="P42" i="3"/>
  <c r="AV146" i="2"/>
  <c r="E42" i="1"/>
  <c r="AJ124" i="2"/>
  <c r="AJ84" i="2" s="1"/>
  <c r="AT20" i="11"/>
  <c r="AT82" i="2" s="1"/>
  <c r="BH112" i="2"/>
  <c r="BH115" i="2"/>
  <c r="BI111" i="2" s="1"/>
  <c r="AX26" i="11"/>
  <c r="AX27" i="11" s="1"/>
  <c r="AY25" i="11" s="1"/>
  <c r="AS27" i="4"/>
  <c r="AS28" i="4" s="1"/>
  <c r="AX24" i="11"/>
  <c r="AY22" i="11" s="1"/>
  <c r="D20" i="1" l="1"/>
  <c r="D46" i="5" s="1"/>
  <c r="AI94" i="2"/>
  <c r="AI95" i="2" s="1"/>
  <c r="AI96" i="2" s="1"/>
  <c r="AI87" i="2"/>
  <c r="L20" i="3"/>
  <c r="AJ126" i="2"/>
  <c r="D38" i="1"/>
  <c r="AF153" i="2"/>
  <c r="K33" i="3"/>
  <c r="AF102" i="2"/>
  <c r="AI36" i="4"/>
  <c r="AJ40" i="4"/>
  <c r="AJ41" i="4" s="1"/>
  <c r="E52" i="5"/>
  <c r="D71" i="5"/>
  <c r="AY27" i="11"/>
  <c r="AZ25" i="11" s="1"/>
  <c r="AY26" i="11"/>
  <c r="AV148" i="2"/>
  <c r="AW146" i="2" s="1"/>
  <c r="AJ125" i="2"/>
  <c r="AK121" i="2" s="1"/>
  <c r="AT27" i="4"/>
  <c r="AT28" i="4" s="1"/>
  <c r="AT21" i="11"/>
  <c r="AU19" i="11" s="1"/>
  <c r="AY23" i="11"/>
  <c r="AY24" i="11"/>
  <c r="AZ22" i="11" s="1"/>
  <c r="BP117" i="2"/>
  <c r="BP120" i="2"/>
  <c r="BQ116" i="2" s="1"/>
  <c r="AS29" i="4"/>
  <c r="AT29" i="4" s="1"/>
  <c r="BI112" i="2"/>
  <c r="BI115" i="2" s="1"/>
  <c r="BJ111" i="2" s="1"/>
  <c r="AF156" i="2" l="1"/>
  <c r="AF161" i="2"/>
  <c r="K45" i="3" s="1"/>
  <c r="AI152" i="2"/>
  <c r="L21" i="3"/>
  <c r="D21" i="1"/>
  <c r="AJ127" i="2"/>
  <c r="AJ129" i="2"/>
  <c r="AJ83" i="2" s="1"/>
  <c r="AG99" i="2"/>
  <c r="K34" i="3"/>
  <c r="AK107" i="2"/>
  <c r="D23" i="1"/>
  <c r="L23" i="3"/>
  <c r="AL160" i="2"/>
  <c r="BJ112" i="2"/>
  <c r="BJ115" i="2" s="1"/>
  <c r="BK111" i="2" s="1"/>
  <c r="BQ117" i="2"/>
  <c r="BQ120" i="2"/>
  <c r="BR116" i="2" s="1"/>
  <c r="AJ42" i="4"/>
  <c r="AW148" i="2"/>
  <c r="AX146" i="2" s="1"/>
  <c r="AZ23" i="11"/>
  <c r="AZ24" i="11"/>
  <c r="BA22" i="11" s="1"/>
  <c r="AU20" i="11"/>
  <c r="AU82" i="2" s="1"/>
  <c r="AK122" i="2"/>
  <c r="AK124" i="2"/>
  <c r="AK84" i="2" s="1"/>
  <c r="AZ26" i="11"/>
  <c r="M44" i="3" l="1"/>
  <c r="E44" i="1"/>
  <c r="AJ33" i="4"/>
  <c r="AJ35" i="4" s="1"/>
  <c r="AJ85" i="2"/>
  <c r="M35" i="3"/>
  <c r="E35" i="1"/>
  <c r="AK154" i="2"/>
  <c r="AK108" i="2"/>
  <c r="AL106" i="2" s="1"/>
  <c r="AL108" i="2" s="1"/>
  <c r="AJ130" i="2"/>
  <c r="AK126" i="2" s="1"/>
  <c r="AG100" i="2"/>
  <c r="AG101" i="2" s="1"/>
  <c r="AG102" i="2" s="1"/>
  <c r="AH99" i="2" s="1"/>
  <c r="K43" i="3"/>
  <c r="AG151" i="2"/>
  <c r="BR117" i="2"/>
  <c r="BR120" i="2" s="1"/>
  <c r="BS116" i="2" s="1"/>
  <c r="AU21" i="11"/>
  <c r="AV19" i="11" s="1"/>
  <c r="AK40" i="4"/>
  <c r="AK41" i="4" s="1"/>
  <c r="AZ27" i="11"/>
  <c r="BA25" i="11" s="1"/>
  <c r="AK125" i="2"/>
  <c r="AL121" i="2" s="1"/>
  <c r="AU27" i="4"/>
  <c r="AU28" i="4" s="1"/>
  <c r="P28" i="3"/>
  <c r="E28" i="1"/>
  <c r="BK112" i="2"/>
  <c r="BK115" i="2" s="1"/>
  <c r="BL111" i="2" s="1"/>
  <c r="BA24" i="11"/>
  <c r="BB22" i="11" s="1"/>
  <c r="BA23" i="11"/>
  <c r="AX148" i="2"/>
  <c r="AH100" i="2" l="1"/>
  <c r="AH101" i="2" s="1"/>
  <c r="AH153" i="2" s="1"/>
  <c r="AH102" i="2"/>
  <c r="AI99" i="2" s="1"/>
  <c r="M36" i="3"/>
  <c r="AM106" i="2"/>
  <c r="AM108" i="2" s="1"/>
  <c r="AN106" i="2" s="1"/>
  <c r="AN108" i="2" s="1"/>
  <c r="AO106" i="2" s="1"/>
  <c r="AO108" i="2" s="1"/>
  <c r="AG159" i="2"/>
  <c r="AG161" i="2" s="1"/>
  <c r="AG156" i="2"/>
  <c r="AH151" i="2" s="1"/>
  <c r="AJ87" i="2"/>
  <c r="AJ152" i="2" s="1"/>
  <c r="AJ94" i="2"/>
  <c r="AJ95" i="2" s="1"/>
  <c r="AJ96" i="2" s="1"/>
  <c r="AG153" i="2"/>
  <c r="AJ45" i="4"/>
  <c r="AJ46" i="4" s="1"/>
  <c r="AJ36" i="4"/>
  <c r="AK127" i="2"/>
  <c r="AK129" i="2" s="1"/>
  <c r="AK83" i="2" s="1"/>
  <c r="BS117" i="2"/>
  <c r="BS120" i="2" s="1"/>
  <c r="BT116" i="2" s="1"/>
  <c r="BL112" i="2"/>
  <c r="BL115" i="2" s="1"/>
  <c r="BM111" i="2" s="1"/>
  <c r="AL122" i="2"/>
  <c r="AV20" i="11"/>
  <c r="AV82" i="2" s="1"/>
  <c r="AU29" i="4"/>
  <c r="AY146" i="2"/>
  <c r="Q42" i="3"/>
  <c r="BB23" i="11"/>
  <c r="BB24" i="11" s="1"/>
  <c r="BC22" i="11" s="1"/>
  <c r="BA26" i="11"/>
  <c r="AK42" i="4"/>
  <c r="AK33" i="4" l="1"/>
  <c r="AK35" i="4" s="1"/>
  <c r="AK45" i="4" s="1"/>
  <c r="AK85" i="2"/>
  <c r="AK46" i="4"/>
  <c r="N36" i="3"/>
  <c r="AP106" i="2"/>
  <c r="AP108" i="2" s="1"/>
  <c r="AQ106" i="2" s="1"/>
  <c r="AQ108" i="2" s="1"/>
  <c r="AR106" i="2" s="1"/>
  <c r="AR108" i="2" s="1"/>
  <c r="AH159" i="2"/>
  <c r="AH161" i="2" s="1"/>
  <c r="AH156" i="2"/>
  <c r="AI151" i="2" s="1"/>
  <c r="AI100" i="2"/>
  <c r="AI101" i="2" s="1"/>
  <c r="AK130" i="2"/>
  <c r="AL126" i="2" s="1"/>
  <c r="AK36" i="4"/>
  <c r="BC23" i="11"/>
  <c r="BT117" i="2"/>
  <c r="BT120" i="2" s="1"/>
  <c r="BU116" i="2" s="1"/>
  <c r="BM112" i="2"/>
  <c r="BM115" i="2" s="1"/>
  <c r="BN111" i="2" s="1"/>
  <c r="AV27" i="4"/>
  <c r="AV28" i="4" s="1"/>
  <c r="AV21" i="11"/>
  <c r="AW19" i="11" s="1"/>
  <c r="BA27" i="11"/>
  <c r="BB25" i="11" s="1"/>
  <c r="AL124" i="2"/>
  <c r="AL84" i="2" s="1"/>
  <c r="AV29" i="4"/>
  <c r="AY148" i="2"/>
  <c r="AZ146" i="2" s="1"/>
  <c r="AI153" i="2" l="1"/>
  <c r="L33" i="3"/>
  <c r="D33" i="1"/>
  <c r="AI156" i="2"/>
  <c r="AI159" i="2"/>
  <c r="AI161" i="2" s="1"/>
  <c r="AL127" i="2"/>
  <c r="M38" i="3" s="1"/>
  <c r="AS106" i="2"/>
  <c r="AS108" i="2" s="1"/>
  <c r="AT106" i="2" s="1"/>
  <c r="AT108" i="2" s="1"/>
  <c r="AU106" i="2" s="1"/>
  <c r="AU108" i="2" s="1"/>
  <c r="O36" i="3"/>
  <c r="AK94" i="2"/>
  <c r="AK95" i="2" s="1"/>
  <c r="AK96" i="2" s="1"/>
  <c r="AK87" i="2"/>
  <c r="AK152" i="2" s="1"/>
  <c r="AI102" i="2"/>
  <c r="BN112" i="2"/>
  <c r="BN115" i="2" s="1"/>
  <c r="BO111" i="2" s="1"/>
  <c r="AZ148" i="2"/>
  <c r="BA146" i="2" s="1"/>
  <c r="AL40" i="4"/>
  <c r="AL41" i="4" s="1"/>
  <c r="M30" i="3"/>
  <c r="BB26" i="11"/>
  <c r="BB27" i="11" s="1"/>
  <c r="BC25" i="11" s="1"/>
  <c r="BU117" i="2"/>
  <c r="BU120" i="2" s="1"/>
  <c r="BV116" i="2" s="1"/>
  <c r="AW20" i="11"/>
  <c r="AW82" i="2" s="1"/>
  <c r="AL125" i="2"/>
  <c r="AM121" i="2" s="1"/>
  <c r="BC24" i="11"/>
  <c r="BD22" i="11" s="1"/>
  <c r="L45" i="3" l="1"/>
  <c r="D45" i="1"/>
  <c r="L43" i="3"/>
  <c r="D43" i="1"/>
  <c r="AJ151" i="2"/>
  <c r="AJ99" i="2"/>
  <c r="D34" i="1"/>
  <c r="L34" i="3"/>
  <c r="AV106" i="2"/>
  <c r="AV108" i="2" s="1"/>
  <c r="AW106" i="2" s="1"/>
  <c r="E36" i="1"/>
  <c r="P36" i="3"/>
  <c r="AL129" i="2"/>
  <c r="AL83" i="2" s="1"/>
  <c r="BC26" i="11"/>
  <c r="BC27" i="11" s="1"/>
  <c r="BD25" i="11" s="1"/>
  <c r="BV117" i="2"/>
  <c r="BV120" i="2" s="1"/>
  <c r="BW116" i="2" s="1"/>
  <c r="BA148" i="2"/>
  <c r="AW27" i="4"/>
  <c r="AW28" i="4" s="1"/>
  <c r="AW21" i="11"/>
  <c r="AX19" i="11" s="1"/>
  <c r="BD23" i="11"/>
  <c r="BD24" i="11" s="1"/>
  <c r="BE22" i="11" s="1"/>
  <c r="BO112" i="2"/>
  <c r="BO115" i="2" s="1"/>
  <c r="BP111" i="2" s="1"/>
  <c r="AM122" i="2"/>
  <c r="AM124" i="2" s="1"/>
  <c r="AM84" i="2" s="1"/>
  <c r="AL42" i="4"/>
  <c r="AJ159" i="2" l="1"/>
  <c r="D50" i="5"/>
  <c r="D100" i="5"/>
  <c r="D102" i="5" s="1"/>
  <c r="D103" i="5" s="1"/>
  <c r="AJ100" i="2"/>
  <c r="AJ101" i="2" s="1"/>
  <c r="AJ102" i="2" s="1"/>
  <c r="AK99" i="2" s="1"/>
  <c r="AL33" i="4"/>
  <c r="AL35" i="4" s="1"/>
  <c r="M29" i="3"/>
  <c r="AL85" i="2"/>
  <c r="AL130" i="2"/>
  <c r="AM126" i="2" s="1"/>
  <c r="BP112" i="2"/>
  <c r="BP115" i="2"/>
  <c r="BQ111" i="2" s="1"/>
  <c r="AM40" i="4"/>
  <c r="AM41" i="4" s="1"/>
  <c r="BE23" i="11"/>
  <c r="BE24" i="11"/>
  <c r="BF22" i="11" s="1"/>
  <c r="BD26" i="11"/>
  <c r="AX20" i="11"/>
  <c r="AX82" i="2" s="1"/>
  <c r="BW117" i="2"/>
  <c r="BW120" i="2" s="1"/>
  <c r="BX116" i="2" s="1"/>
  <c r="AW29" i="4"/>
  <c r="AM125" i="2"/>
  <c r="AN121" i="2" s="1"/>
  <c r="R42" i="3"/>
  <c r="BB146" i="2"/>
  <c r="AK100" i="2" l="1"/>
  <c r="AK101" i="2" s="1"/>
  <c r="AJ153" i="2"/>
  <c r="AJ156" i="2" s="1"/>
  <c r="AK151" i="2" s="1"/>
  <c r="AL36" i="4"/>
  <c r="AL45" i="4"/>
  <c r="AL46" i="4" s="1"/>
  <c r="AX21" i="11"/>
  <c r="AY19" i="11" s="1"/>
  <c r="AM127" i="2"/>
  <c r="AM129" i="2"/>
  <c r="AM83" i="2" s="1"/>
  <c r="AL94" i="2"/>
  <c r="AL95" i="2" s="1"/>
  <c r="AL96" i="2" s="1"/>
  <c r="M23" i="3" s="1"/>
  <c r="AL87" i="2"/>
  <c r="M20" i="3"/>
  <c r="AJ161" i="2"/>
  <c r="BX117" i="2"/>
  <c r="BX120" i="2"/>
  <c r="BY116" i="2" s="1"/>
  <c r="AM42" i="4"/>
  <c r="BQ112" i="2"/>
  <c r="BQ115" i="2" s="1"/>
  <c r="BR111" i="2" s="1"/>
  <c r="AN122" i="2"/>
  <c r="AN125" i="2" s="1"/>
  <c r="AO121" i="2" s="1"/>
  <c r="AN124" i="2"/>
  <c r="AN84" i="2" s="1"/>
  <c r="BD27" i="11"/>
  <c r="BE25" i="11" s="1"/>
  <c r="BB148" i="2"/>
  <c r="BC146" i="2" s="1"/>
  <c r="AY20" i="11"/>
  <c r="AY82" i="2" s="1"/>
  <c r="BF23" i="11"/>
  <c r="BF24" i="11"/>
  <c r="BG22" i="11" s="1"/>
  <c r="AX27" i="4"/>
  <c r="AX28" i="4" s="1"/>
  <c r="AX29" i="4" s="1"/>
  <c r="Q28" i="3"/>
  <c r="AK153" i="2" l="1"/>
  <c r="AK102" i="2"/>
  <c r="AL99" i="2" s="1"/>
  <c r="AL152" i="2"/>
  <c r="M21" i="3"/>
  <c r="AY21" i="11"/>
  <c r="AZ19" i="11" s="1"/>
  <c r="AK159" i="2"/>
  <c r="AK161" i="2" s="1"/>
  <c r="AK156" i="2"/>
  <c r="AL151" i="2" s="1"/>
  <c r="AM33" i="4"/>
  <c r="AM35" i="4" s="1"/>
  <c r="AM45" i="4" s="1"/>
  <c r="AM46" i="4" s="1"/>
  <c r="AM85" i="2"/>
  <c r="AM36" i="4"/>
  <c r="AM130" i="2"/>
  <c r="AN126" i="2" s="1"/>
  <c r="BR112" i="2"/>
  <c r="BR115" i="2" s="1"/>
  <c r="BS111" i="2" s="1"/>
  <c r="AO122" i="2"/>
  <c r="AO124" i="2" s="1"/>
  <c r="AO84" i="2" s="1"/>
  <c r="N30" i="3" s="1"/>
  <c r="AY27" i="4"/>
  <c r="AY28" i="4" s="1"/>
  <c r="AY29" i="4" s="1"/>
  <c r="BG23" i="11"/>
  <c r="BG24" i="11" s="1"/>
  <c r="BH22" i="11" s="1"/>
  <c r="BE26" i="11"/>
  <c r="BE27" i="11" s="1"/>
  <c r="BF25" i="11" s="1"/>
  <c r="BY117" i="2"/>
  <c r="BY120" i="2"/>
  <c r="BZ116" i="2" s="1"/>
  <c r="AN40" i="4"/>
  <c r="AN41" i="4" s="1"/>
  <c r="BC148" i="2"/>
  <c r="BD146" i="2" s="1"/>
  <c r="AL159" i="2" l="1"/>
  <c r="AZ20" i="11"/>
  <c r="AZ82" i="2" s="1"/>
  <c r="AN127" i="2"/>
  <c r="AN129" i="2" s="1"/>
  <c r="AN83" i="2" s="1"/>
  <c r="AO125" i="2"/>
  <c r="AP121" i="2" s="1"/>
  <c r="AL100" i="2"/>
  <c r="AL101" i="2" s="1"/>
  <c r="AL102" i="2"/>
  <c r="AM94" i="2"/>
  <c r="AM95" i="2" s="1"/>
  <c r="AM96" i="2" s="1"/>
  <c r="AM87" i="2"/>
  <c r="AM152" i="2" s="1"/>
  <c r="BF26" i="11"/>
  <c r="BF27" i="11" s="1"/>
  <c r="BG25" i="11" s="1"/>
  <c r="BS112" i="2"/>
  <c r="BS115" i="2" s="1"/>
  <c r="AP122" i="2"/>
  <c r="AP124" i="2" s="1"/>
  <c r="AP84" i="2" s="1"/>
  <c r="BZ117" i="2"/>
  <c r="BZ120" i="2" s="1"/>
  <c r="CA116" i="2" s="1"/>
  <c r="AO40" i="4"/>
  <c r="AO41" i="4" s="1"/>
  <c r="AN42" i="4"/>
  <c r="AO42" i="4" s="1"/>
  <c r="BH23" i="11"/>
  <c r="BH24" i="11" s="1"/>
  <c r="BI22" i="11" s="1"/>
  <c r="AZ27" i="4"/>
  <c r="AZ28" i="4" s="1"/>
  <c r="AZ29" i="4" s="1"/>
  <c r="BD148" i="2"/>
  <c r="AN33" i="4" l="1"/>
  <c r="AN35" i="4" s="1"/>
  <c r="AN85" i="2"/>
  <c r="AN130" i="2"/>
  <c r="AO126" i="2" s="1"/>
  <c r="AP125" i="2"/>
  <c r="AQ121" i="2" s="1"/>
  <c r="AQ122" i="2" s="1"/>
  <c r="AQ124" i="2" s="1"/>
  <c r="AQ84" i="2" s="1"/>
  <c r="AL161" i="2"/>
  <c r="M45" i="3" s="1"/>
  <c r="AM99" i="2"/>
  <c r="M34" i="3"/>
  <c r="AL153" i="2"/>
  <c r="AL156" i="2" s="1"/>
  <c r="M33" i="3"/>
  <c r="AZ21" i="11"/>
  <c r="BA19" i="11" s="1"/>
  <c r="BG26" i="11"/>
  <c r="CA117" i="2"/>
  <c r="CA120" i="2" s="1"/>
  <c r="CB116" i="2" s="1"/>
  <c r="BT111" i="2"/>
  <c r="BI23" i="11"/>
  <c r="S42" i="3"/>
  <c r="BE146" i="2"/>
  <c r="AP40" i="4"/>
  <c r="AP41" i="4" s="1"/>
  <c r="AM100" i="2" l="1"/>
  <c r="AM101" i="2" s="1"/>
  <c r="AO127" i="2"/>
  <c r="N38" i="3" s="1"/>
  <c r="AO129" i="2"/>
  <c r="AO83" i="2" s="1"/>
  <c r="AO130" i="2"/>
  <c r="AP126" i="2" s="1"/>
  <c r="AN94" i="2"/>
  <c r="AN95" i="2" s="1"/>
  <c r="AN96" i="2" s="1"/>
  <c r="AN87" i="2"/>
  <c r="AP42" i="4"/>
  <c r="BA20" i="11"/>
  <c r="BA82" i="2" s="1"/>
  <c r="BA21" i="11"/>
  <c r="BB19" i="11" s="1"/>
  <c r="BB20" i="11" s="1"/>
  <c r="BB82" i="2" s="1"/>
  <c r="BB27" i="4" s="1"/>
  <c r="BB28" i="4" s="1"/>
  <c r="AM151" i="2"/>
  <c r="M43" i="3"/>
  <c r="AN36" i="4"/>
  <c r="AN45" i="4"/>
  <c r="AN46" i="4" s="1"/>
  <c r="AQ40" i="4"/>
  <c r="AQ41" i="4" s="1"/>
  <c r="CB120" i="2"/>
  <c r="CC116" i="2" s="1"/>
  <c r="CB117" i="2"/>
  <c r="BE148" i="2"/>
  <c r="BF146" i="2" s="1"/>
  <c r="BI24" i="11"/>
  <c r="BJ22" i="11" s="1"/>
  <c r="AQ42" i="4"/>
  <c r="AQ125" i="2"/>
  <c r="AR121" i="2" s="1"/>
  <c r="BB21" i="11"/>
  <c r="BC19" i="11" s="1"/>
  <c r="BT112" i="2"/>
  <c r="BT115" i="2" s="1"/>
  <c r="BU111" i="2" s="1"/>
  <c r="BG27" i="11"/>
  <c r="BH25" i="11" s="1"/>
  <c r="AM153" i="2" l="1"/>
  <c r="AO33" i="4"/>
  <c r="AO35" i="4" s="1"/>
  <c r="AO45" i="4" s="1"/>
  <c r="AO46" i="4" s="1"/>
  <c r="AO85" i="2"/>
  <c r="N29" i="3"/>
  <c r="AO36" i="4"/>
  <c r="AM159" i="2"/>
  <c r="AM161" i="2" s="1"/>
  <c r="AM156" i="2"/>
  <c r="AN151" i="2" s="1"/>
  <c r="AN159" i="2" s="1"/>
  <c r="AM102" i="2"/>
  <c r="AN99" i="2" s="1"/>
  <c r="AN152" i="2"/>
  <c r="AP127" i="2"/>
  <c r="AP129" i="2" s="1"/>
  <c r="AP83" i="2" s="1"/>
  <c r="R28" i="3"/>
  <c r="BA27" i="4"/>
  <c r="BA28" i="4" s="1"/>
  <c r="BA29" i="4" s="1"/>
  <c r="BB29" i="4" s="1"/>
  <c r="BJ23" i="11"/>
  <c r="BU112" i="2"/>
  <c r="BU115" i="2" s="1"/>
  <c r="BV111" i="2" s="1"/>
  <c r="BH26" i="11"/>
  <c r="BH27" i="11" s="1"/>
  <c r="BI25" i="11" s="1"/>
  <c r="BC20" i="11"/>
  <c r="BC82" i="2" s="1"/>
  <c r="AR122" i="2"/>
  <c r="BF148" i="2"/>
  <c r="BG146" i="2" s="1"/>
  <c r="CC117" i="2"/>
  <c r="CC120" i="2" s="1"/>
  <c r="CD116" i="2" s="1"/>
  <c r="AP33" i="4" l="1"/>
  <c r="AP35" i="4" s="1"/>
  <c r="AP45" i="4" s="1"/>
  <c r="AP46" i="4" s="1"/>
  <c r="AP85" i="2"/>
  <c r="AO87" i="2"/>
  <c r="AO94" i="2"/>
  <c r="AO95" i="2" s="1"/>
  <c r="AO96" i="2" s="1"/>
  <c r="N23" i="3" s="1"/>
  <c r="N20" i="3"/>
  <c r="AR125" i="2"/>
  <c r="AS121" i="2" s="1"/>
  <c r="AN100" i="2"/>
  <c r="AN101" i="2" s="1"/>
  <c r="AP130" i="2"/>
  <c r="AQ126" i="2" s="1"/>
  <c r="AP36" i="4"/>
  <c r="AR124" i="2"/>
  <c r="AR84" i="2" s="1"/>
  <c r="BC21" i="11"/>
  <c r="BD19" i="11" s="1"/>
  <c r="AS122" i="2"/>
  <c r="BV112" i="2"/>
  <c r="BV115" i="2"/>
  <c r="BW111" i="2" s="1"/>
  <c r="CD117" i="2"/>
  <c r="CD120" i="2" s="1"/>
  <c r="CE116" i="2" s="1"/>
  <c r="BI26" i="11"/>
  <c r="AR40" i="4"/>
  <c r="AR41" i="4" s="1"/>
  <c r="O30" i="3"/>
  <c r="BG148" i="2"/>
  <c r="BJ24" i="11"/>
  <c r="BK22" i="11" s="1"/>
  <c r="BD20" i="11"/>
  <c r="BD82" i="2" s="1"/>
  <c r="BC27" i="4"/>
  <c r="BC28" i="4" s="1"/>
  <c r="AO152" i="2" l="1"/>
  <c r="N21" i="3"/>
  <c r="AP94" i="2"/>
  <c r="AP95" i="2" s="1"/>
  <c r="AP96" i="2" s="1"/>
  <c r="AP87" i="2"/>
  <c r="AP152" i="2" s="1"/>
  <c r="AN153" i="2"/>
  <c r="AQ129" i="2"/>
  <c r="AQ83" i="2" s="1"/>
  <c r="AQ127" i="2"/>
  <c r="AQ130" i="2" s="1"/>
  <c r="AR126" i="2" s="1"/>
  <c r="AN102" i="2"/>
  <c r="AO99" i="2" s="1"/>
  <c r="CE117" i="2"/>
  <c r="CE120" i="2" s="1"/>
  <c r="CF116" i="2" s="1"/>
  <c r="BD27" i="4"/>
  <c r="BD28" i="4" s="1"/>
  <c r="BW115" i="2"/>
  <c r="BX111" i="2" s="1"/>
  <c r="BW112" i="2"/>
  <c r="BK23" i="11"/>
  <c r="S28" i="3"/>
  <c r="T42" i="3"/>
  <c r="BH146" i="2"/>
  <c r="F42" i="1"/>
  <c r="F52" i="5" s="1"/>
  <c r="AR42" i="4"/>
  <c r="AS124" i="2"/>
  <c r="AS84" i="2" s="1"/>
  <c r="BD21" i="11"/>
  <c r="BE19" i="11" s="1"/>
  <c r="BC29" i="4"/>
  <c r="BD29" i="4" s="1"/>
  <c r="BI27" i="11"/>
  <c r="BJ25" i="11" s="1"/>
  <c r="AR127" i="2" l="1"/>
  <c r="O38" i="3" s="1"/>
  <c r="AR129" i="2"/>
  <c r="AR83" i="2" s="1"/>
  <c r="AR130" i="2"/>
  <c r="AS126" i="2" s="1"/>
  <c r="AS125" i="2"/>
  <c r="AT121" i="2" s="1"/>
  <c r="AN161" i="2"/>
  <c r="AN156" i="2"/>
  <c r="AO151" i="2" s="1"/>
  <c r="AQ33" i="4"/>
  <c r="AQ35" i="4" s="1"/>
  <c r="AQ85" i="2"/>
  <c r="AO100" i="2"/>
  <c r="AO101" i="2"/>
  <c r="CF117" i="2"/>
  <c r="CF120" i="2" s="1"/>
  <c r="CG116" i="2" s="1"/>
  <c r="BH148" i="2"/>
  <c r="BI146" i="2" s="1"/>
  <c r="AT122" i="2"/>
  <c r="BE20" i="11"/>
  <c r="BE82" i="2" s="1"/>
  <c r="BK24" i="11"/>
  <c r="BL22" i="11" s="1"/>
  <c r="AS40" i="4"/>
  <c r="AS41" i="4" s="1"/>
  <c r="BJ26" i="11"/>
  <c r="BJ27" i="11" s="1"/>
  <c r="BK25" i="11" s="1"/>
  <c r="BX112" i="2"/>
  <c r="BX115" i="2"/>
  <c r="BY111" i="2" s="1"/>
  <c r="AQ94" i="2" l="1"/>
  <c r="AQ95" i="2" s="1"/>
  <c r="AQ96" i="2" s="1"/>
  <c r="AQ87" i="2"/>
  <c r="AO159" i="2"/>
  <c r="AS42" i="4"/>
  <c r="AS129" i="2"/>
  <c r="AS83" i="2" s="1"/>
  <c r="AS127" i="2"/>
  <c r="AR33" i="4"/>
  <c r="AR35" i="4" s="1"/>
  <c r="AR85" i="2"/>
  <c r="AQ45" i="4"/>
  <c r="AQ46" i="4" s="1"/>
  <c r="AQ36" i="4"/>
  <c r="AO153" i="2"/>
  <c r="AO156" i="2" s="1"/>
  <c r="N33" i="3"/>
  <c r="AO102" i="2"/>
  <c r="O29" i="3"/>
  <c r="BK26" i="11"/>
  <c r="BK27" i="11" s="1"/>
  <c r="BL25" i="11" s="1"/>
  <c r="CG117" i="2"/>
  <c r="CG120" i="2" s="1"/>
  <c r="CH116" i="2" s="1"/>
  <c r="BL23" i="11"/>
  <c r="BI148" i="2"/>
  <c r="BJ146" i="2" s="1"/>
  <c r="BE27" i="4"/>
  <c r="BE28" i="4" s="1"/>
  <c r="AT124" i="2"/>
  <c r="AT84" i="2" s="1"/>
  <c r="BY112" i="2"/>
  <c r="BY115" i="2" s="1"/>
  <c r="BZ111" i="2" s="1"/>
  <c r="BE21" i="11"/>
  <c r="BF19" i="11" s="1"/>
  <c r="N43" i="3" l="1"/>
  <c r="AP151" i="2"/>
  <c r="AS33" i="4"/>
  <c r="AS35" i="4" s="1"/>
  <c r="AS45" i="4" s="1"/>
  <c r="AS46" i="4" s="1"/>
  <c r="AS85" i="2"/>
  <c r="AO161" i="2"/>
  <c r="N45" i="3" s="1"/>
  <c r="AR94" i="2"/>
  <c r="AR95" i="2" s="1"/>
  <c r="AR96" i="2" s="1"/>
  <c r="O23" i="3" s="1"/>
  <c r="AR87" i="2"/>
  <c r="AR152" i="2" s="1"/>
  <c r="O20" i="3"/>
  <c r="AR36" i="4"/>
  <c r="AR45" i="4"/>
  <c r="AR46" i="4" s="1"/>
  <c r="AQ152" i="2"/>
  <c r="AS130" i="2"/>
  <c r="AT126" i="2" s="1"/>
  <c r="N34" i="3"/>
  <c r="AP99" i="2"/>
  <c r="BZ112" i="2"/>
  <c r="BZ115" i="2"/>
  <c r="CA111" i="2" s="1"/>
  <c r="CH117" i="2"/>
  <c r="CH120" i="2" s="1"/>
  <c r="BL26" i="11"/>
  <c r="BL27" i="11" s="1"/>
  <c r="BM25" i="11" s="1"/>
  <c r="BE29" i="4"/>
  <c r="AT125" i="2"/>
  <c r="AU121" i="2" s="1"/>
  <c r="BJ148" i="2"/>
  <c r="BL24" i="11"/>
  <c r="BM22" i="11" s="1"/>
  <c r="AT40" i="4"/>
  <c r="AT41" i="4" s="1"/>
  <c r="BF20" i="11"/>
  <c r="BF82" i="2" s="1"/>
  <c r="BF21" i="11"/>
  <c r="BG19" i="11" s="1"/>
  <c r="AT127" i="2" l="1"/>
  <c r="AT129" i="2" s="1"/>
  <c r="AT83" i="2" s="1"/>
  <c r="AS87" i="2"/>
  <c r="AS152" i="2" s="1"/>
  <c r="AS94" i="2"/>
  <c r="AS95" i="2" s="1"/>
  <c r="AS96" i="2" s="1"/>
  <c r="O21" i="3"/>
  <c r="AP159" i="2"/>
  <c r="AP100" i="2"/>
  <c r="AP101" i="2" s="1"/>
  <c r="AS36" i="4"/>
  <c r="AT42" i="4"/>
  <c r="BM23" i="11"/>
  <c r="CA112" i="2"/>
  <c r="CA115" i="2" s="1"/>
  <c r="CB111" i="2" s="1"/>
  <c r="AU122" i="2"/>
  <c r="AU124" i="2"/>
  <c r="AU84" i="2" s="1"/>
  <c r="BG20" i="11"/>
  <c r="BG82" i="2" s="1"/>
  <c r="T28" i="3" s="1"/>
  <c r="BM26" i="11"/>
  <c r="BM27" i="11" s="1"/>
  <c r="BN25" i="11" s="1"/>
  <c r="BF27" i="4"/>
  <c r="BF28" i="4" s="1"/>
  <c r="F28" i="1"/>
  <c r="BK146" i="2"/>
  <c r="U42" i="3"/>
  <c r="AT33" i="4" l="1"/>
  <c r="AT35" i="4" s="1"/>
  <c r="AT45" i="4" s="1"/>
  <c r="AT46" i="4" s="1"/>
  <c r="AT85" i="2"/>
  <c r="AP153" i="2"/>
  <c r="AP156" i="2" s="1"/>
  <c r="AQ151" i="2" s="1"/>
  <c r="BG21" i="11"/>
  <c r="BH19" i="11" s="1"/>
  <c r="BH20" i="11" s="1"/>
  <c r="BH82" i="2" s="1"/>
  <c r="AU125" i="2"/>
  <c r="AT130" i="2"/>
  <c r="AU126" i="2" s="1"/>
  <c r="AT36" i="4"/>
  <c r="AP102" i="2"/>
  <c r="AQ99" i="2" s="1"/>
  <c r="CB112" i="2"/>
  <c r="CB115" i="2" s="1"/>
  <c r="CC111" i="2" s="1"/>
  <c r="AV121" i="2"/>
  <c r="BN26" i="11"/>
  <c r="AU40" i="4"/>
  <c r="AU41" i="4" s="1"/>
  <c r="E30" i="1"/>
  <c r="P30" i="3"/>
  <c r="BG27" i="4"/>
  <c r="BG28" i="4" s="1"/>
  <c r="BK148" i="2"/>
  <c r="BL146" i="2" s="1"/>
  <c r="BF29" i="4"/>
  <c r="BM24" i="11"/>
  <c r="BN22" i="11" s="1"/>
  <c r="AQ159" i="2" l="1"/>
  <c r="AQ100" i="2"/>
  <c r="AQ101" i="2" s="1"/>
  <c r="AU127" i="2"/>
  <c r="P38" i="3" s="1"/>
  <c r="AU129" i="2"/>
  <c r="AU83" i="2" s="1"/>
  <c r="BG29" i="4"/>
  <c r="AP161" i="2"/>
  <c r="AT94" i="2"/>
  <c r="AT95" i="2" s="1"/>
  <c r="AT96" i="2" s="1"/>
  <c r="AT87" i="2"/>
  <c r="AT152" i="2" s="1"/>
  <c r="CC112" i="2"/>
  <c r="CC115" i="2" s="1"/>
  <c r="CD111" i="2" s="1"/>
  <c r="BN27" i="11"/>
  <c r="BO25" i="11" s="1"/>
  <c r="BN23" i="11"/>
  <c r="BN24" i="11"/>
  <c r="BO22" i="11" s="1"/>
  <c r="BH29" i="4"/>
  <c r="BH27" i="4"/>
  <c r="BH28" i="4" s="1"/>
  <c r="AV122" i="2"/>
  <c r="AU42" i="4"/>
  <c r="BH21" i="11"/>
  <c r="BI19" i="11" s="1"/>
  <c r="BL148" i="2"/>
  <c r="BM146" i="2" s="1"/>
  <c r="AQ153" i="2" l="1"/>
  <c r="AQ156" i="2" s="1"/>
  <c r="AR151" i="2" s="1"/>
  <c r="AU130" i="2"/>
  <c r="AQ161" i="2"/>
  <c r="AU33" i="4"/>
  <c r="AU35" i="4" s="1"/>
  <c r="AU85" i="2"/>
  <c r="P29" i="3"/>
  <c r="E29" i="1"/>
  <c r="AQ102" i="2"/>
  <c r="AR99" i="2" s="1"/>
  <c r="CD112" i="2"/>
  <c r="CD115" i="2" s="1"/>
  <c r="CE111" i="2" s="1"/>
  <c r="BI20" i="11"/>
  <c r="BI82" i="2" s="1"/>
  <c r="AV124" i="2"/>
  <c r="AV84" i="2" s="1"/>
  <c r="BO26" i="11"/>
  <c r="BO23" i="11"/>
  <c r="BO24" i="11"/>
  <c r="BP22" i="11" s="1"/>
  <c r="BM148" i="2"/>
  <c r="AU94" i="2" l="1"/>
  <c r="AU95" i="2" s="1"/>
  <c r="AU96" i="2" s="1"/>
  <c r="P20" i="3"/>
  <c r="AU87" i="2"/>
  <c r="E20" i="1"/>
  <c r="E46" i="5" s="1"/>
  <c r="AU36" i="4"/>
  <c r="AU45" i="4"/>
  <c r="AU46" i="4" s="1"/>
  <c r="AV126" i="2"/>
  <c r="E38" i="1"/>
  <c r="AR100" i="2"/>
  <c r="AR101" i="2" s="1"/>
  <c r="AR102" i="2"/>
  <c r="BI21" i="11"/>
  <c r="BJ19" i="11" s="1"/>
  <c r="AR159" i="2"/>
  <c r="CE112" i="2"/>
  <c r="CE115" i="2" s="1"/>
  <c r="AV40" i="4"/>
  <c r="AV41" i="4" s="1"/>
  <c r="AV125" i="2"/>
  <c r="AW121" i="2" s="1"/>
  <c r="BO27" i="11"/>
  <c r="BP25" i="11" s="1"/>
  <c r="V42" i="3"/>
  <c r="BN146" i="2"/>
  <c r="BJ20" i="11"/>
  <c r="BJ82" i="2" s="1"/>
  <c r="BI27" i="4"/>
  <c r="BI28" i="4" s="1"/>
  <c r="BP23" i="11"/>
  <c r="AV127" i="2" l="1"/>
  <c r="AV129" i="2"/>
  <c r="AV83" i="2" s="1"/>
  <c r="AV130" i="2"/>
  <c r="AW126" i="2" s="1"/>
  <c r="E21" i="1"/>
  <c r="AU152" i="2"/>
  <c r="P21" i="3"/>
  <c r="O34" i="3"/>
  <c r="AS99" i="2"/>
  <c r="AR153" i="2"/>
  <c r="AR156" i="2" s="1"/>
  <c r="O33" i="3"/>
  <c r="AX160" i="2"/>
  <c r="E23" i="1"/>
  <c r="P23" i="3"/>
  <c r="AW107" i="2"/>
  <c r="CF111" i="2"/>
  <c r="BI29" i="4"/>
  <c r="BJ29" i="4" s="1"/>
  <c r="BP26" i="11"/>
  <c r="BP27" i="11" s="1"/>
  <c r="BQ25" i="11" s="1"/>
  <c r="AW122" i="2"/>
  <c r="AW124" i="2" s="1"/>
  <c r="AW84" i="2" s="1"/>
  <c r="BN148" i="2"/>
  <c r="BO146" i="2" s="1"/>
  <c r="BJ27" i="4"/>
  <c r="BJ28" i="4" s="1"/>
  <c r="BP24" i="11"/>
  <c r="BQ22" i="11" s="1"/>
  <c r="U28" i="3"/>
  <c r="BJ21" i="11"/>
  <c r="BK19" i="11" s="1"/>
  <c r="AV42" i="4"/>
  <c r="F44" i="1" l="1"/>
  <c r="Q44" i="3"/>
  <c r="AW127" i="2"/>
  <c r="AW130" i="2" s="1"/>
  <c r="AX126" i="2" s="1"/>
  <c r="AW129" i="2"/>
  <c r="AW83" i="2" s="1"/>
  <c r="AW33" i="4" s="1"/>
  <c r="AW35" i="4" s="1"/>
  <c r="O43" i="3"/>
  <c r="AS151" i="2"/>
  <c r="AV33" i="4"/>
  <c r="AV35" i="4" s="1"/>
  <c r="AV85" i="2"/>
  <c r="AR161" i="2"/>
  <c r="O45" i="3" s="1"/>
  <c r="Q35" i="3"/>
  <c r="AW154" i="2"/>
  <c r="AW108" i="2"/>
  <c r="AX106" i="2" s="1"/>
  <c r="AX108" i="2" s="1"/>
  <c r="F35" i="1"/>
  <c r="AS100" i="2"/>
  <c r="AS101" i="2" s="1"/>
  <c r="BO148" i="2"/>
  <c r="BP146" i="2" s="1"/>
  <c r="AW125" i="2"/>
  <c r="AX121" i="2" s="1"/>
  <c r="AW40" i="4"/>
  <c r="AW41" i="4" s="1"/>
  <c r="AW85" i="2"/>
  <c r="CF112" i="2"/>
  <c r="CF115" i="2" s="1"/>
  <c r="CG111" i="2" s="1"/>
  <c r="BQ26" i="11"/>
  <c r="BQ27" i="11" s="1"/>
  <c r="BR25" i="11" s="1"/>
  <c r="BQ23" i="11"/>
  <c r="BK20" i="11"/>
  <c r="BK82" i="2" s="1"/>
  <c r="AX127" i="2" l="1"/>
  <c r="Q38" i="3" s="1"/>
  <c r="AX129" i="2"/>
  <c r="AX83" i="2" s="1"/>
  <c r="AX33" i="4" s="1"/>
  <c r="AX35" i="4" s="1"/>
  <c r="AX130" i="2"/>
  <c r="AY126" i="2" s="1"/>
  <c r="AS153" i="2"/>
  <c r="AS159" i="2"/>
  <c r="AS161" i="2" s="1"/>
  <c r="AS156" i="2"/>
  <c r="AT151" i="2" s="1"/>
  <c r="Q36" i="3"/>
  <c r="AY106" i="2"/>
  <c r="AY108" i="2" s="1"/>
  <c r="AZ106" i="2" s="1"/>
  <c r="AZ108" i="2" s="1"/>
  <c r="BA106" i="2" s="1"/>
  <c r="BA108" i="2" s="1"/>
  <c r="AW45" i="4"/>
  <c r="AV94" i="2"/>
  <c r="AV95" i="2" s="1"/>
  <c r="AV96" i="2" s="1"/>
  <c r="AV87" i="2"/>
  <c r="AV152" i="2" s="1"/>
  <c r="Q29" i="3"/>
  <c r="AS102" i="2"/>
  <c r="AT99" i="2" s="1"/>
  <c r="AV36" i="4"/>
  <c r="AW36" i="4" s="1"/>
  <c r="AV45" i="4"/>
  <c r="AV46" i="4" s="1"/>
  <c r="BR26" i="11"/>
  <c r="CG112" i="2"/>
  <c r="CG115" i="2" s="1"/>
  <c r="CH111" i="2" s="1"/>
  <c r="AW42" i="4"/>
  <c r="AW94" i="2"/>
  <c r="AW95" i="2" s="1"/>
  <c r="AW96" i="2" s="1"/>
  <c r="AW87" i="2"/>
  <c r="BK27" i="4"/>
  <c r="BK28" i="4" s="1"/>
  <c r="AX36" i="4"/>
  <c r="AX122" i="2"/>
  <c r="AX124" i="2" s="1"/>
  <c r="BP148" i="2"/>
  <c r="BK21" i="11"/>
  <c r="BL19" i="11" s="1"/>
  <c r="BQ24" i="11"/>
  <c r="BR22" i="11" s="1"/>
  <c r="AT159" i="2" l="1"/>
  <c r="AT100" i="2"/>
  <c r="AT101" i="2"/>
  <c r="AY127" i="2"/>
  <c r="AY129" i="2" s="1"/>
  <c r="AY83" i="2" s="1"/>
  <c r="AY33" i="4" s="1"/>
  <c r="AY35" i="4" s="1"/>
  <c r="AY36" i="4" s="1"/>
  <c r="R36" i="3"/>
  <c r="BB106" i="2"/>
  <c r="BB108" i="2" s="1"/>
  <c r="BC106" i="2" s="1"/>
  <c r="BC108" i="2" s="1"/>
  <c r="BD106" i="2" s="1"/>
  <c r="BD108" i="2" s="1"/>
  <c r="AW46" i="4"/>
  <c r="AX84" i="2"/>
  <c r="AX125" i="2"/>
  <c r="AY121" i="2" s="1"/>
  <c r="CH112" i="2"/>
  <c r="CH115" i="2" s="1"/>
  <c r="BR23" i="11"/>
  <c r="W42" i="3"/>
  <c r="BQ146" i="2"/>
  <c r="BK29" i="4"/>
  <c r="BL20" i="11"/>
  <c r="BL82" i="2" s="1"/>
  <c r="AW152" i="2"/>
  <c r="BR27" i="11"/>
  <c r="BS25" i="11" s="1"/>
  <c r="AT102" i="2" l="1"/>
  <c r="AU99" i="2" s="1"/>
  <c r="AT153" i="2"/>
  <c r="AT156" i="2" s="1"/>
  <c r="AU151" i="2" s="1"/>
  <c r="AT161" i="2"/>
  <c r="AY130" i="2"/>
  <c r="AZ126" i="2" s="1"/>
  <c r="AZ127" i="2" s="1"/>
  <c r="BE106" i="2"/>
  <c r="BE108" i="2" s="1"/>
  <c r="BF106" i="2" s="1"/>
  <c r="BF108" i="2" s="1"/>
  <c r="BG106" i="2" s="1"/>
  <c r="BG108" i="2" s="1"/>
  <c r="S36" i="3"/>
  <c r="BS26" i="11"/>
  <c r="BS27" i="11" s="1"/>
  <c r="BT25" i="11" s="1"/>
  <c r="BR24" i="11"/>
  <c r="BS22" i="11" s="1"/>
  <c r="BL27" i="4"/>
  <c r="BL28" i="4" s="1"/>
  <c r="BL29" i="4" s="1"/>
  <c r="BL21" i="11"/>
  <c r="BM19" i="11" s="1"/>
  <c r="AY122" i="2"/>
  <c r="AY124" i="2" s="1"/>
  <c r="AY84" i="2" s="1"/>
  <c r="BQ148" i="2"/>
  <c r="BR146" i="2" s="1"/>
  <c r="AX40" i="4"/>
  <c r="AX41" i="4" s="1"/>
  <c r="AX85" i="2"/>
  <c r="Q30" i="3"/>
  <c r="T36" i="3" l="1"/>
  <c r="BH106" i="2"/>
  <c r="BH108" i="2" s="1"/>
  <c r="BI106" i="2" s="1"/>
  <c r="F36" i="1"/>
  <c r="AU159" i="2"/>
  <c r="AY125" i="2"/>
  <c r="AZ121" i="2" s="1"/>
  <c r="AZ122" i="2" s="1"/>
  <c r="AZ124" i="2" s="1"/>
  <c r="AZ84" i="2" s="1"/>
  <c r="AU100" i="2"/>
  <c r="AU101" i="2" s="1"/>
  <c r="AU102" i="2"/>
  <c r="BT26" i="11"/>
  <c r="BT27" i="11"/>
  <c r="BU25" i="11" s="1"/>
  <c r="AZ129" i="2"/>
  <c r="AZ83" i="2" s="1"/>
  <c r="BR148" i="2"/>
  <c r="BS146" i="2" s="1"/>
  <c r="BS23" i="11"/>
  <c r="AY40" i="4"/>
  <c r="AY41" i="4" s="1"/>
  <c r="AY45" i="4" s="1"/>
  <c r="AY85" i="2"/>
  <c r="BM20" i="11"/>
  <c r="BM82" i="2" s="1"/>
  <c r="AX94" i="2"/>
  <c r="AX95" i="2" s="1"/>
  <c r="AX96" i="2" s="1"/>
  <c r="AX87" i="2"/>
  <c r="Q20" i="3"/>
  <c r="AX45" i="4"/>
  <c r="AX46" i="4" s="1"/>
  <c r="AY46" i="4" s="1"/>
  <c r="AX42" i="4"/>
  <c r="AY42" i="4" s="1"/>
  <c r="AV99" i="2" l="1"/>
  <c r="P34" i="3"/>
  <c r="E34" i="1"/>
  <c r="AU153" i="2"/>
  <c r="AU156" i="2" s="1"/>
  <c r="E33" i="1"/>
  <c r="P33" i="3"/>
  <c r="AU161" i="2"/>
  <c r="AZ40" i="4"/>
  <c r="AZ41" i="4" s="1"/>
  <c r="AZ42" i="4" s="1"/>
  <c r="AZ85" i="2"/>
  <c r="AZ125" i="2"/>
  <c r="BA121" i="2" s="1"/>
  <c r="AZ33" i="4"/>
  <c r="AZ35" i="4" s="1"/>
  <c r="BS148" i="2"/>
  <c r="AZ130" i="2"/>
  <c r="BA126" i="2" s="1"/>
  <c r="BM27" i="4"/>
  <c r="BM28" i="4" s="1"/>
  <c r="V28" i="3"/>
  <c r="BS24" i="11"/>
  <c r="BT22" i="11" s="1"/>
  <c r="AY94" i="2"/>
  <c r="AY95" i="2" s="1"/>
  <c r="AY96" i="2" s="1"/>
  <c r="AY87" i="2"/>
  <c r="AX152" i="2"/>
  <c r="Q21" i="3"/>
  <c r="BU26" i="11"/>
  <c r="BU27" i="11" s="1"/>
  <c r="BV25" i="11" s="1"/>
  <c r="BM21" i="11"/>
  <c r="BN19" i="11" s="1"/>
  <c r="Q23" i="3"/>
  <c r="P43" i="3" l="1"/>
  <c r="E43" i="1"/>
  <c r="AV151" i="2"/>
  <c r="P45" i="3"/>
  <c r="E45" i="1"/>
  <c r="AV100" i="2"/>
  <c r="AV101" i="2" s="1"/>
  <c r="AV102" i="2" s="1"/>
  <c r="AW99" i="2" s="1"/>
  <c r="BV26" i="11"/>
  <c r="AZ45" i="4"/>
  <c r="AZ46" i="4" s="1"/>
  <c r="AZ36" i="4"/>
  <c r="BM29" i="4"/>
  <c r="BA127" i="2"/>
  <c r="R38" i="3" s="1"/>
  <c r="BA129" i="2"/>
  <c r="BA83" i="2" s="1"/>
  <c r="BA122" i="2"/>
  <c r="BA125" i="2" s="1"/>
  <c r="BB121" i="2" s="1"/>
  <c r="BA124" i="2"/>
  <c r="BA84" i="2" s="1"/>
  <c r="X42" i="3"/>
  <c r="BT146" i="2"/>
  <c r="G42" i="1"/>
  <c r="BN20" i="11"/>
  <c r="BN82" i="2" s="1"/>
  <c r="AY152" i="2"/>
  <c r="BT23" i="11"/>
  <c r="BT24" i="11"/>
  <c r="BU22" i="11" s="1"/>
  <c r="AZ94" i="2"/>
  <c r="AZ95" i="2" s="1"/>
  <c r="AZ96" i="2" s="1"/>
  <c r="AZ87" i="2"/>
  <c r="AZ152" i="2" s="1"/>
  <c r="AW100" i="2" l="1"/>
  <c r="AW101" i="2"/>
  <c r="AW153" i="2" s="1"/>
  <c r="AV159" i="2"/>
  <c r="E100" i="5"/>
  <c r="E102" i="5" s="1"/>
  <c r="E103" i="5" s="1"/>
  <c r="D72" i="5"/>
  <c r="E50" i="5"/>
  <c r="AV153" i="2"/>
  <c r="AV156" i="2" s="1"/>
  <c r="AW151" i="2" s="1"/>
  <c r="BB122" i="2"/>
  <c r="BA130" i="2"/>
  <c r="BB126" i="2" s="1"/>
  <c r="BN21" i="11"/>
  <c r="BO19" i="11" s="1"/>
  <c r="BN27" i="4"/>
  <c r="BN28" i="4" s="1"/>
  <c r="BN29" i="4" s="1"/>
  <c r="E71" i="5"/>
  <c r="G52" i="5"/>
  <c r="BA33" i="4"/>
  <c r="BA35" i="4" s="1"/>
  <c r="BA36" i="4" s="1"/>
  <c r="R29" i="3"/>
  <c r="BT148" i="2"/>
  <c r="BU146" i="2" s="1"/>
  <c r="BA40" i="4"/>
  <c r="BA41" i="4" s="1"/>
  <c r="BA42" i="4" s="1"/>
  <c r="BA85" i="2"/>
  <c r="R30" i="3"/>
  <c r="BU23" i="11"/>
  <c r="BU24" i="11"/>
  <c r="BV22" i="11" s="1"/>
  <c r="BV27" i="11"/>
  <c r="BW25" i="11" s="1"/>
  <c r="AW159" i="2" l="1"/>
  <c r="AW161" i="2" s="1"/>
  <c r="AW156" i="2"/>
  <c r="AX151" i="2" s="1"/>
  <c r="AV161" i="2"/>
  <c r="AW102" i="2"/>
  <c r="AX99" i="2" s="1"/>
  <c r="BB127" i="2"/>
  <c r="BB129" i="2" s="1"/>
  <c r="BB83" i="2" s="1"/>
  <c r="BA45" i="4"/>
  <c r="BA46" i="4" s="1"/>
  <c r="BA94" i="2"/>
  <c r="BA95" i="2" s="1"/>
  <c r="BA96" i="2" s="1"/>
  <c r="BA87" i="2"/>
  <c r="R20" i="3"/>
  <c r="BO20" i="11"/>
  <c r="BO82" i="2" s="1"/>
  <c r="BB124" i="2"/>
  <c r="BB84" i="2" s="1"/>
  <c r="BW26" i="11"/>
  <c r="BW27" i="11" s="1"/>
  <c r="BX25" i="11" s="1"/>
  <c r="BU148" i="2"/>
  <c r="BV146" i="2" s="1"/>
  <c r="BV23" i="11"/>
  <c r="BV24" i="11"/>
  <c r="BW22" i="11" s="1"/>
  <c r="AX100" i="2" l="1"/>
  <c r="AX101" i="2"/>
  <c r="AX102" i="2"/>
  <c r="AX159" i="2"/>
  <c r="BB40" i="4"/>
  <c r="BB41" i="4" s="1"/>
  <c r="BB42" i="4" s="1"/>
  <c r="BB85" i="2"/>
  <c r="R23" i="3"/>
  <c r="BV148" i="2"/>
  <c r="BB130" i="2"/>
  <c r="BC126" i="2" s="1"/>
  <c r="BX26" i="11"/>
  <c r="BO27" i="4"/>
  <c r="BO28" i="4" s="1"/>
  <c r="BO21" i="11"/>
  <c r="BP19" i="11" s="1"/>
  <c r="BW23" i="11"/>
  <c r="BB33" i="4"/>
  <c r="BB35" i="4" s="1"/>
  <c r="BA152" i="2"/>
  <c r="R21" i="3"/>
  <c r="BB125" i="2"/>
  <c r="BC121" i="2" s="1"/>
  <c r="Q34" i="3" l="1"/>
  <c r="AY99" i="2"/>
  <c r="AX153" i="2"/>
  <c r="AX156" i="2" s="1"/>
  <c r="Q33" i="3"/>
  <c r="BC127" i="2"/>
  <c r="BC129" i="2"/>
  <c r="BC83" i="2" s="1"/>
  <c r="BB94" i="2"/>
  <c r="BB95" i="2" s="1"/>
  <c r="BB96" i="2" s="1"/>
  <c r="BB87" i="2"/>
  <c r="BO29" i="4"/>
  <c r="BP20" i="11"/>
  <c r="BP82" i="2" s="1"/>
  <c r="Y42" i="3"/>
  <c r="BW146" i="2"/>
  <c r="BB45" i="4"/>
  <c r="BB46" i="4" s="1"/>
  <c r="BB36" i="4"/>
  <c r="BC122" i="2"/>
  <c r="BC124" i="2" s="1"/>
  <c r="BC84" i="2" s="1"/>
  <c r="BW24" i="11"/>
  <c r="BX22" i="11" s="1"/>
  <c r="BX27" i="11"/>
  <c r="BY25" i="11" s="1"/>
  <c r="AY151" i="2" l="1"/>
  <c r="Q43" i="3"/>
  <c r="AY100" i="2"/>
  <c r="AX161" i="2"/>
  <c r="Q45" i="3" s="1"/>
  <c r="BC40" i="4"/>
  <c r="BC41" i="4" s="1"/>
  <c r="BC42" i="4" s="1"/>
  <c r="BC125" i="2"/>
  <c r="BD121" i="2" s="1"/>
  <c r="BP21" i="11"/>
  <c r="BQ19" i="11" s="1"/>
  <c r="BB152" i="2"/>
  <c r="BY26" i="11"/>
  <c r="BY27" i="11"/>
  <c r="BZ25" i="11" s="1"/>
  <c r="BW148" i="2"/>
  <c r="BX146" i="2" s="1"/>
  <c r="BC33" i="4"/>
  <c r="BC35" i="4" s="1"/>
  <c r="BC45" i="4" s="1"/>
  <c r="BC46" i="4" s="1"/>
  <c r="BC85" i="2"/>
  <c r="BP27" i="4"/>
  <c r="BP28" i="4" s="1"/>
  <c r="W28" i="3"/>
  <c r="BC130" i="2"/>
  <c r="BD126" i="2" s="1"/>
  <c r="BX23" i="11"/>
  <c r="BX24" i="11" s="1"/>
  <c r="BY22" i="11" s="1"/>
  <c r="BC36" i="4" l="1"/>
  <c r="AY101" i="2"/>
  <c r="AY159" i="2"/>
  <c r="BY23" i="11"/>
  <c r="BZ26" i="11"/>
  <c r="BZ27" i="11" s="1"/>
  <c r="CA25" i="11" s="1"/>
  <c r="BX148" i="2"/>
  <c r="BY146" i="2" s="1"/>
  <c r="BQ20" i="11"/>
  <c r="BQ82" i="2" s="1"/>
  <c r="BD122" i="2"/>
  <c r="BD124" i="2"/>
  <c r="BD84" i="2" s="1"/>
  <c r="BC94" i="2"/>
  <c r="BC95" i="2" s="1"/>
  <c r="BC96" i="2" s="1"/>
  <c r="BC87" i="2"/>
  <c r="BP29" i="4"/>
  <c r="BD127" i="2"/>
  <c r="S38" i="3" s="1"/>
  <c r="AY153" i="2" l="1"/>
  <c r="AY156" i="2" s="1"/>
  <c r="AZ151" i="2" s="1"/>
  <c r="BD125" i="2"/>
  <c r="BE121" i="2" s="1"/>
  <c r="BD129" i="2"/>
  <c r="BD83" i="2" s="1"/>
  <c r="BD85" i="2" s="1"/>
  <c r="AY102" i="2"/>
  <c r="AZ99" i="2" s="1"/>
  <c r="BE122" i="2"/>
  <c r="BE124" i="2" s="1"/>
  <c r="BE84" i="2" s="1"/>
  <c r="CA26" i="11"/>
  <c r="CA27" i="11"/>
  <c r="CB25" i="11" s="1"/>
  <c r="BC152" i="2"/>
  <c r="BQ21" i="11"/>
  <c r="BR19" i="11" s="1"/>
  <c r="BY24" i="11"/>
  <c r="BZ22" i="11" s="1"/>
  <c r="BD40" i="4"/>
  <c r="BD41" i="4" s="1"/>
  <c r="BD42" i="4" s="1"/>
  <c r="S30" i="3"/>
  <c r="BQ27" i="4"/>
  <c r="BQ28" i="4" s="1"/>
  <c r="BY148" i="2"/>
  <c r="AZ100" i="2" l="1"/>
  <c r="AZ101" i="2" s="1"/>
  <c r="AZ102" i="2"/>
  <c r="BA99" i="2" s="1"/>
  <c r="BD33" i="4"/>
  <c r="BD35" i="4" s="1"/>
  <c r="AZ159" i="2"/>
  <c r="S29" i="3"/>
  <c r="BD130" i="2"/>
  <c r="BE126" i="2" s="1"/>
  <c r="BE127" i="2" s="1"/>
  <c r="AY161" i="2"/>
  <c r="Z42" i="3"/>
  <c r="BZ146" i="2"/>
  <c r="BD45" i="4"/>
  <c r="BD46" i="4" s="1"/>
  <c r="BD36" i="4"/>
  <c r="CB26" i="11"/>
  <c r="CB27" i="11" s="1"/>
  <c r="CC25" i="11" s="1"/>
  <c r="BZ23" i="11"/>
  <c r="BE125" i="2"/>
  <c r="BF121" i="2" s="1"/>
  <c r="BQ29" i="4"/>
  <c r="BE40" i="4"/>
  <c r="BE41" i="4" s="1"/>
  <c r="BE42" i="4" s="1"/>
  <c r="BR20" i="11"/>
  <c r="BR82" i="2" s="1"/>
  <c r="BR21" i="11"/>
  <c r="BS19" i="11" s="1"/>
  <c r="BD94" i="2"/>
  <c r="BD95" i="2" s="1"/>
  <c r="BD96" i="2" s="1"/>
  <c r="BD87" i="2"/>
  <c r="S20" i="3"/>
  <c r="BA100" i="2" l="1"/>
  <c r="BA101" i="2" s="1"/>
  <c r="BA153" i="2" s="1"/>
  <c r="AZ153" i="2"/>
  <c r="AZ156" i="2" s="1"/>
  <c r="BA151" i="2" s="1"/>
  <c r="R33" i="3"/>
  <c r="CC26" i="11"/>
  <c r="BE129" i="2"/>
  <c r="BE83" i="2" s="1"/>
  <c r="S23" i="3"/>
  <c r="BZ148" i="2"/>
  <c r="CA146" i="2" s="1"/>
  <c r="BD152" i="2"/>
  <c r="S21" i="3"/>
  <c r="BR27" i="4"/>
  <c r="BR28" i="4" s="1"/>
  <c r="X28" i="3"/>
  <c r="G28" i="1"/>
  <c r="BZ24" i="11"/>
  <c r="CA22" i="11" s="1"/>
  <c r="BS20" i="11"/>
  <c r="BS82" i="2" s="1"/>
  <c r="BF122" i="2"/>
  <c r="BF124" i="2" s="1"/>
  <c r="BF84" i="2" s="1"/>
  <c r="BA156" i="2" l="1"/>
  <c r="BA159" i="2"/>
  <c r="BA161" i="2" s="1"/>
  <c r="R45" i="3" s="1"/>
  <c r="BA102" i="2"/>
  <c r="AZ161" i="2"/>
  <c r="BF40" i="4"/>
  <c r="BF41" i="4" s="1"/>
  <c r="BF42" i="4" s="1"/>
  <c r="BE33" i="4"/>
  <c r="BE35" i="4" s="1"/>
  <c r="BE85" i="2"/>
  <c r="CA148" i="2"/>
  <c r="CB146" i="2" s="1"/>
  <c r="BF125" i="2"/>
  <c r="BG121" i="2" s="1"/>
  <c r="CC27" i="11"/>
  <c r="CD25" i="11" s="1"/>
  <c r="BS27" i="4"/>
  <c r="BS28" i="4" s="1"/>
  <c r="BE130" i="2"/>
  <c r="BF126" i="2" s="1"/>
  <c r="BS21" i="11"/>
  <c r="BT19" i="11" s="1"/>
  <c r="CA23" i="11"/>
  <c r="BR29" i="4"/>
  <c r="BS29" i="4" l="1"/>
  <c r="R34" i="3"/>
  <c r="BB99" i="2"/>
  <c r="R43" i="3"/>
  <c r="BB151" i="2"/>
  <c r="BE45" i="4"/>
  <c r="BE46" i="4" s="1"/>
  <c r="BE36" i="4"/>
  <c r="BF127" i="2"/>
  <c r="BF129" i="2" s="1"/>
  <c r="BF83" i="2" s="1"/>
  <c r="CA24" i="11"/>
  <c r="CB22" i="11" s="1"/>
  <c r="CD26" i="11"/>
  <c r="CD27" i="11"/>
  <c r="CE25" i="11" s="1"/>
  <c r="BE94" i="2"/>
  <c r="BE95" i="2" s="1"/>
  <c r="BE96" i="2" s="1"/>
  <c r="BE87" i="2"/>
  <c r="CB148" i="2"/>
  <c r="BT20" i="11"/>
  <c r="BT82" i="2" s="1"/>
  <c r="BG122" i="2"/>
  <c r="BG124" i="2" s="1"/>
  <c r="BG84" i="2" s="1"/>
  <c r="BB100" i="2" l="1"/>
  <c r="BB101" i="2"/>
  <c r="BB102" i="2" s="1"/>
  <c r="BC99" i="2" s="1"/>
  <c r="BB159" i="2"/>
  <c r="BG40" i="4"/>
  <c r="BG41" i="4" s="1"/>
  <c r="BG42" i="4" s="1"/>
  <c r="F30" i="1"/>
  <c r="T30" i="3"/>
  <c r="BF33" i="4"/>
  <c r="BF35" i="4" s="1"/>
  <c r="BF45" i="4" s="1"/>
  <c r="BF46" i="4" s="1"/>
  <c r="BF85" i="2"/>
  <c r="BF130" i="2"/>
  <c r="BG126" i="2" s="1"/>
  <c r="BT27" i="4"/>
  <c r="BT28" i="4" s="1"/>
  <c r="BE152" i="2"/>
  <c r="BT21" i="11"/>
  <c r="BU19" i="11" s="1"/>
  <c r="BF36" i="4"/>
  <c r="BG125" i="2"/>
  <c r="CE26" i="11"/>
  <c r="CE27" i="11" s="1"/>
  <c r="CF25" i="11" s="1"/>
  <c r="CB23" i="11"/>
  <c r="CB24" i="11" s="1"/>
  <c r="CC22" i="11" s="1"/>
  <c r="AA42" i="3"/>
  <c r="CC146" i="2"/>
  <c r="BC100" i="2" l="1"/>
  <c r="BC101" i="2" s="1"/>
  <c r="BC153" i="2" s="1"/>
  <c r="BC102" i="2"/>
  <c r="BD99" i="2" s="1"/>
  <c r="BB153" i="2"/>
  <c r="BB156" i="2" s="1"/>
  <c r="BC151" i="2" s="1"/>
  <c r="CC23" i="11"/>
  <c r="CC24" i="11"/>
  <c r="CD22" i="11" s="1"/>
  <c r="CF26" i="11"/>
  <c r="BF94" i="2"/>
  <c r="BF95" i="2" s="1"/>
  <c r="BF96" i="2" s="1"/>
  <c r="BF87" i="2"/>
  <c r="BG127" i="2"/>
  <c r="T38" i="3" s="1"/>
  <c r="BU20" i="11"/>
  <c r="BU82" i="2" s="1"/>
  <c r="BT29" i="4"/>
  <c r="CC148" i="2"/>
  <c r="CD146" i="2" s="1"/>
  <c r="BH121" i="2"/>
  <c r="BC156" i="2" l="1"/>
  <c r="BD151" i="2" s="1"/>
  <c r="BC159" i="2"/>
  <c r="BC161" i="2" s="1"/>
  <c r="BB161" i="2"/>
  <c r="BD100" i="2"/>
  <c r="BD102" i="2" s="1"/>
  <c r="BD101" i="2"/>
  <c r="BU21" i="11"/>
  <c r="BV19" i="11" s="1"/>
  <c r="CF27" i="11"/>
  <c r="CG25" i="11" s="1"/>
  <c r="BU27" i="4"/>
  <c r="BU28" i="4" s="1"/>
  <c r="CD148" i="2"/>
  <c r="CE146" i="2" s="1"/>
  <c r="CD23" i="11"/>
  <c r="BF152" i="2"/>
  <c r="BG129" i="2"/>
  <c r="BG83" i="2" s="1"/>
  <c r="BH124" i="2"/>
  <c r="BH84" i="2" s="1"/>
  <c r="BH122" i="2"/>
  <c r="BH125" i="2" s="1"/>
  <c r="BI121" i="2" s="1"/>
  <c r="S34" i="3" l="1"/>
  <c r="BE99" i="2"/>
  <c r="BD153" i="2"/>
  <c r="S33" i="3"/>
  <c r="BD159" i="2"/>
  <c r="BD161" i="2" s="1"/>
  <c r="S45" i="3" s="1"/>
  <c r="BD156" i="2"/>
  <c r="BI122" i="2"/>
  <c r="CE148" i="2"/>
  <c r="BH40" i="4"/>
  <c r="BH41" i="4" s="1"/>
  <c r="BH42" i="4" s="1"/>
  <c r="BG33" i="4"/>
  <c r="BG35" i="4" s="1"/>
  <c r="BG85" i="2"/>
  <c r="T29" i="3"/>
  <c r="F29" i="1"/>
  <c r="BG130" i="2"/>
  <c r="BU29" i="4"/>
  <c r="BV20" i="11"/>
  <c r="BV82" i="2" s="1"/>
  <c r="CG26" i="11"/>
  <c r="CG27" i="11" s="1"/>
  <c r="CH25" i="11" s="1"/>
  <c r="CD24" i="11"/>
  <c r="CE22" i="11" s="1"/>
  <c r="S43" i="3" l="1"/>
  <c r="BE151" i="2"/>
  <c r="BE100" i="2"/>
  <c r="BE101" i="2" s="1"/>
  <c r="CH26" i="11"/>
  <c r="CH27" i="11"/>
  <c r="C53" i="11" s="1"/>
  <c r="AB42" i="3"/>
  <c r="CF146" i="2"/>
  <c r="H42" i="1"/>
  <c r="H52" i="5" s="1"/>
  <c r="BH126" i="2"/>
  <c r="F38" i="1"/>
  <c r="BV21" i="11"/>
  <c r="BW19" i="11" s="1"/>
  <c r="BG94" i="2"/>
  <c r="BG95" i="2" s="1"/>
  <c r="BG96" i="2" s="1"/>
  <c r="BG87" i="2"/>
  <c r="F20" i="1"/>
  <c r="F46" i="5" s="1"/>
  <c r="T20" i="3"/>
  <c r="BI124" i="2"/>
  <c r="BI84" i="2" s="1"/>
  <c r="CE23" i="11"/>
  <c r="BV27" i="4"/>
  <c r="BV28" i="4" s="1"/>
  <c r="BV29" i="4" s="1"/>
  <c r="Y28" i="3"/>
  <c r="BG45" i="4"/>
  <c r="BG46" i="4" s="1"/>
  <c r="BG36" i="4"/>
  <c r="BE153" i="2" l="1"/>
  <c r="BE102" i="2"/>
  <c r="BF99" i="2" s="1"/>
  <c r="BE159" i="2"/>
  <c r="BE161" i="2" s="1"/>
  <c r="BE156" i="2"/>
  <c r="BF151" i="2" s="1"/>
  <c r="BG152" i="2"/>
  <c r="T21" i="3"/>
  <c r="F21" i="1"/>
  <c r="CF148" i="2"/>
  <c r="CG146" i="2" s="1"/>
  <c r="BH127" i="2"/>
  <c r="BI125" i="2"/>
  <c r="BJ121" i="2" s="1"/>
  <c r="BI107" i="2"/>
  <c r="T23" i="3"/>
  <c r="BJ160" i="2"/>
  <c r="F23" i="1"/>
  <c r="BW20" i="11"/>
  <c r="BW82" i="2" s="1"/>
  <c r="D53" i="11"/>
  <c r="CE24" i="11"/>
  <c r="CF22" i="11" s="1"/>
  <c r="BI40" i="4"/>
  <c r="BI41" i="4" s="1"/>
  <c r="BI42" i="4" s="1"/>
  <c r="BF100" i="2" l="1"/>
  <c r="BF101" i="2"/>
  <c r="BF102" i="2" s="1"/>
  <c r="BG99" i="2" s="1"/>
  <c r="BF159" i="2"/>
  <c r="CG148" i="2"/>
  <c r="CH146" i="2" s="1"/>
  <c r="U35" i="3"/>
  <c r="BI154" i="2"/>
  <c r="G35" i="1"/>
  <c r="BI108" i="2"/>
  <c r="BJ106" i="2" s="1"/>
  <c r="BJ108" i="2" s="1"/>
  <c r="CF23" i="11"/>
  <c r="CF24" i="11"/>
  <c r="CG22" i="11" s="1"/>
  <c r="U44" i="3"/>
  <c r="G44" i="1"/>
  <c r="BJ122" i="2"/>
  <c r="C54" i="11"/>
  <c r="BW27" i="4"/>
  <c r="BW28" i="4" s="1"/>
  <c r="BH129" i="2"/>
  <c r="BH83" i="2" s="1"/>
  <c r="BW21" i="11"/>
  <c r="BX19" i="11" s="1"/>
  <c r="BG100" i="2" l="1"/>
  <c r="BG101" i="2"/>
  <c r="BG153" i="2" s="1"/>
  <c r="BF153" i="2"/>
  <c r="BF156" i="2" s="1"/>
  <c r="BG151" i="2" s="1"/>
  <c r="F33" i="1"/>
  <c r="T33" i="3"/>
  <c r="BF161" i="2"/>
  <c r="BH130" i="2"/>
  <c r="BI126" i="2" s="1"/>
  <c r="BX20" i="11"/>
  <c r="BX82" i="2" s="1"/>
  <c r="CH148" i="2"/>
  <c r="U36" i="3"/>
  <c r="BK106" i="2"/>
  <c r="BK108" i="2" s="1"/>
  <c r="BL106" i="2" s="1"/>
  <c r="BL108" i="2" s="1"/>
  <c r="BM106" i="2" s="1"/>
  <c r="BM108" i="2" s="1"/>
  <c r="D54" i="11"/>
  <c r="C55" i="11"/>
  <c r="BJ124" i="2"/>
  <c r="BJ84" i="2" s="1"/>
  <c r="CG23" i="11"/>
  <c r="BW29" i="4"/>
  <c r="BH33" i="4"/>
  <c r="BH35" i="4" s="1"/>
  <c r="BH85" i="2"/>
  <c r="BG159" i="2" l="1"/>
  <c r="BG161" i="2" s="1"/>
  <c r="BG156" i="2"/>
  <c r="BG102" i="2"/>
  <c r="D55" i="11"/>
  <c r="BX27" i="4"/>
  <c r="BX28" i="4" s="1"/>
  <c r="BX29" i="4" s="1"/>
  <c r="BX21" i="11"/>
  <c r="BY19" i="11" s="1"/>
  <c r="AC42" i="3"/>
  <c r="I42" i="1"/>
  <c r="V36" i="3"/>
  <c r="BN106" i="2"/>
  <c r="BN108" i="2" s="1"/>
  <c r="BO106" i="2" s="1"/>
  <c r="BO108" i="2" s="1"/>
  <c r="BP106" i="2" s="1"/>
  <c r="BP108" i="2" s="1"/>
  <c r="BH94" i="2"/>
  <c r="BH95" i="2" s="1"/>
  <c r="BH96" i="2" s="1"/>
  <c r="BH87" i="2"/>
  <c r="BI127" i="2"/>
  <c r="CG24" i="11"/>
  <c r="CH22" i="11" s="1"/>
  <c r="BH45" i="4"/>
  <c r="BH46" i="4" s="1"/>
  <c r="BH36" i="4"/>
  <c r="BJ40" i="4"/>
  <c r="BJ41" i="4" s="1"/>
  <c r="BJ42" i="4" s="1"/>
  <c r="U30" i="3"/>
  <c r="BJ125" i="2"/>
  <c r="BK121" i="2" s="1"/>
  <c r="T34" i="3" l="1"/>
  <c r="BH99" i="2"/>
  <c r="F34" i="1"/>
  <c r="BH151" i="2"/>
  <c r="BH159" i="2" s="1"/>
  <c r="F43" i="1"/>
  <c r="F50" i="5" s="1"/>
  <c r="T43" i="3"/>
  <c r="T45" i="3"/>
  <c r="F45" i="1"/>
  <c r="BK122" i="2"/>
  <c r="BH152" i="2"/>
  <c r="C56" i="11"/>
  <c r="CH23" i="11"/>
  <c r="CH24" i="11" s="1"/>
  <c r="W36" i="3"/>
  <c r="BQ106" i="2"/>
  <c r="BQ108" i="2" s="1"/>
  <c r="BR106" i="2" s="1"/>
  <c r="BR108" i="2" s="1"/>
  <c r="BS106" i="2" s="1"/>
  <c r="BS108" i="2" s="1"/>
  <c r="BY20" i="11"/>
  <c r="BY82" i="2" s="1"/>
  <c r="BY21" i="11"/>
  <c r="BZ19" i="11" s="1"/>
  <c r="BI129" i="2"/>
  <c r="BI83" i="2" s="1"/>
  <c r="F71" i="5"/>
  <c r="I52" i="5"/>
  <c r="BK124" i="2" l="1"/>
  <c r="BK84" i="2" s="1"/>
  <c r="BK40" i="4" s="1"/>
  <c r="BK41" i="4" s="1"/>
  <c r="BK42" i="4" s="1"/>
  <c r="BH100" i="2"/>
  <c r="BH101" i="2" s="1"/>
  <c r="BH102" i="2"/>
  <c r="BI99" i="2" s="1"/>
  <c r="X36" i="3"/>
  <c r="BT106" i="2"/>
  <c r="BT108" i="2" s="1"/>
  <c r="BU106" i="2" s="1"/>
  <c r="G36" i="1"/>
  <c r="BZ20" i="11"/>
  <c r="BZ82" i="2" s="1"/>
  <c r="D56" i="11"/>
  <c r="C57" i="11" s="1"/>
  <c r="BI33" i="4"/>
  <c r="BI35" i="4" s="1"/>
  <c r="BI85" i="2"/>
  <c r="BY27" i="4"/>
  <c r="BY28" i="4" s="1"/>
  <c r="Z28" i="3"/>
  <c r="BI130" i="2"/>
  <c r="BJ126" i="2" s="1"/>
  <c r="BI100" i="2" l="1"/>
  <c r="BH153" i="2"/>
  <c r="BK125" i="2"/>
  <c r="BL121" i="2" s="1"/>
  <c r="BL122" i="2" s="1"/>
  <c r="D57" i="11"/>
  <c r="C58" i="11" s="1"/>
  <c r="BI94" i="2"/>
  <c r="BI95" i="2" s="1"/>
  <c r="BI96" i="2" s="1"/>
  <c r="BI87" i="2"/>
  <c r="BY29" i="4"/>
  <c r="BZ27" i="4"/>
  <c r="BZ28" i="4" s="1"/>
  <c r="BI45" i="4"/>
  <c r="BI46" i="4" s="1"/>
  <c r="BI36" i="4"/>
  <c r="BJ127" i="2"/>
  <c r="U38" i="3" s="1"/>
  <c r="BJ129" i="2"/>
  <c r="BJ83" i="2" s="1"/>
  <c r="BZ21" i="11"/>
  <c r="CA19" i="11" s="1"/>
  <c r="BL124" i="2"/>
  <c r="BL84" i="2" s="1"/>
  <c r="BH161" i="2" l="1"/>
  <c r="BH156" i="2"/>
  <c r="BI151" i="2" s="1"/>
  <c r="BI159" i="2" s="1"/>
  <c r="BI101" i="2"/>
  <c r="BI102" i="2" s="1"/>
  <c r="BJ99" i="2" s="1"/>
  <c r="D58" i="11"/>
  <c r="C59" i="11"/>
  <c r="BJ33" i="4"/>
  <c r="BJ35" i="4" s="1"/>
  <c r="BJ45" i="4" s="1"/>
  <c r="BJ85" i="2"/>
  <c r="U29" i="3"/>
  <c r="CA20" i="11"/>
  <c r="CA82" i="2" s="1"/>
  <c r="BL40" i="4"/>
  <c r="BL41" i="4" s="1"/>
  <c r="BL42" i="4" s="1"/>
  <c r="BL125" i="2"/>
  <c r="BM121" i="2" s="1"/>
  <c r="BI152" i="2"/>
  <c r="BJ130" i="2"/>
  <c r="BK126" i="2" s="1"/>
  <c r="BZ29" i="4"/>
  <c r="BJ36" i="4"/>
  <c r="BJ46" i="4"/>
  <c r="BJ100" i="2" l="1"/>
  <c r="BJ101" i="2" s="1"/>
  <c r="BJ153" i="2" s="1"/>
  <c r="BI153" i="2"/>
  <c r="U33" i="3"/>
  <c r="BI156" i="2"/>
  <c r="BJ151" i="2" s="1"/>
  <c r="BI161" i="2"/>
  <c r="D59" i="11"/>
  <c r="C60" i="11" s="1"/>
  <c r="CA21" i="11"/>
  <c r="CB19" i="11" s="1"/>
  <c r="BK127" i="2"/>
  <c r="BK130" i="2" s="1"/>
  <c r="BL126" i="2" s="1"/>
  <c r="BK129" i="2"/>
  <c r="BK83" i="2" s="1"/>
  <c r="CA27" i="4"/>
  <c r="CA28" i="4" s="1"/>
  <c r="CA29" i="4" s="1"/>
  <c r="BM122" i="2"/>
  <c r="BJ94" i="2"/>
  <c r="BJ95" i="2" s="1"/>
  <c r="BJ96" i="2" s="1"/>
  <c r="BJ87" i="2"/>
  <c r="U20" i="3"/>
  <c r="BJ102" i="2" l="1"/>
  <c r="BM124" i="2"/>
  <c r="BM84" i="2" s="1"/>
  <c r="BM40" i="4" s="1"/>
  <c r="BM41" i="4" s="1"/>
  <c r="BM42" i="4" s="1"/>
  <c r="BJ152" i="2"/>
  <c r="U21" i="3"/>
  <c r="U23" i="3"/>
  <c r="BL127" i="2"/>
  <c r="BL129" i="2" s="1"/>
  <c r="D60" i="11"/>
  <c r="C61" i="11" s="1"/>
  <c r="CB20" i="11"/>
  <c r="CB82" i="2" s="1"/>
  <c r="BK33" i="4"/>
  <c r="BK35" i="4" s="1"/>
  <c r="BK85" i="2"/>
  <c r="BJ156" i="2"/>
  <c r="BJ159" i="2"/>
  <c r="BJ161" i="2" s="1"/>
  <c r="U45" i="3" s="1"/>
  <c r="V30" i="3" l="1"/>
  <c r="U34" i="3"/>
  <c r="BK99" i="2"/>
  <c r="BM125" i="2"/>
  <c r="BN121" i="2" s="1"/>
  <c r="BN122" i="2" s="1"/>
  <c r="BN124" i="2" s="1"/>
  <c r="BN84" i="2" s="1"/>
  <c r="BL83" i="2"/>
  <c r="BL130" i="2"/>
  <c r="BM126" i="2" s="1"/>
  <c r="BN40" i="4"/>
  <c r="BN41" i="4" s="1"/>
  <c r="BN42" i="4" s="1"/>
  <c r="D61" i="11"/>
  <c r="C62" i="11" s="1"/>
  <c r="CB27" i="4"/>
  <c r="CB28" i="4" s="1"/>
  <c r="AA28" i="3"/>
  <c r="BK45" i="4"/>
  <c r="BK46" i="4" s="1"/>
  <c r="BK36" i="4"/>
  <c r="CB21" i="11"/>
  <c r="CC19" i="11" s="1"/>
  <c r="BK151" i="2"/>
  <c r="U43" i="3"/>
  <c r="BK94" i="2"/>
  <c r="BK95" i="2" s="1"/>
  <c r="BK96" i="2" s="1"/>
  <c r="BK87" i="2"/>
  <c r="BK101" i="2" l="1"/>
  <c r="BK153" i="2" s="1"/>
  <c r="BK100" i="2"/>
  <c r="BN125" i="2"/>
  <c r="BO121" i="2" s="1"/>
  <c r="D62" i="11"/>
  <c r="C63" i="11" s="1"/>
  <c r="BM129" i="2"/>
  <c r="BM83" i="2" s="1"/>
  <c r="BM127" i="2"/>
  <c r="V38" i="3" s="1"/>
  <c r="CC20" i="11"/>
  <c r="CC82" i="2" s="1"/>
  <c r="BK159" i="2"/>
  <c r="BK161" i="2" s="1"/>
  <c r="CB29" i="4"/>
  <c r="BK152" i="2"/>
  <c r="BK156" i="2" s="1"/>
  <c r="BL151" i="2" s="1"/>
  <c r="BO122" i="2"/>
  <c r="BO124" i="2" s="1"/>
  <c r="BO84" i="2" s="1"/>
  <c r="BL33" i="4"/>
  <c r="BL35" i="4" s="1"/>
  <c r="BL45" i="4" s="1"/>
  <c r="BL46" i="4" s="1"/>
  <c r="BL85" i="2"/>
  <c r="BK102" i="2" l="1"/>
  <c r="BL99" i="2" s="1"/>
  <c r="BO40" i="4"/>
  <c r="BO41" i="4" s="1"/>
  <c r="BO42" i="4" s="1"/>
  <c r="D63" i="11"/>
  <c r="C64" i="11" s="1"/>
  <c r="BM130" i="2"/>
  <c r="BN126" i="2" s="1"/>
  <c r="BM33" i="4"/>
  <c r="BM35" i="4" s="1"/>
  <c r="BM45" i="4" s="1"/>
  <c r="BM46" i="4" s="1"/>
  <c r="BM85" i="2"/>
  <c r="V20" i="3" s="1"/>
  <c r="CC27" i="4"/>
  <c r="CC28" i="4" s="1"/>
  <c r="BL36" i="4"/>
  <c r="BM36" i="4" s="1"/>
  <c r="BL94" i="2"/>
  <c r="BL95" i="2" s="1"/>
  <c r="BL96" i="2" s="1"/>
  <c r="BL87" i="2"/>
  <c r="BL159" i="2"/>
  <c r="CC21" i="11"/>
  <c r="CD19" i="11" s="1"/>
  <c r="BO125" i="2"/>
  <c r="BP121" i="2" s="1"/>
  <c r="V29" i="3"/>
  <c r="BL100" i="2" l="1"/>
  <c r="BL101" i="2"/>
  <c r="BL102" i="2"/>
  <c r="BM99" i="2" s="1"/>
  <c r="D64" i="11"/>
  <c r="C65" i="11"/>
  <c r="BN127" i="2"/>
  <c r="BN129" i="2" s="1"/>
  <c r="BL152" i="2"/>
  <c r="CD20" i="11"/>
  <c r="CD82" i="2" s="1"/>
  <c r="BP122" i="2"/>
  <c r="BP124" i="2" s="1"/>
  <c r="BP84" i="2" s="1"/>
  <c r="BM94" i="2"/>
  <c r="BM95" i="2" s="1"/>
  <c r="BM96" i="2" s="1"/>
  <c r="BM87" i="2"/>
  <c r="BM152" i="2" s="1"/>
  <c r="V23" i="3"/>
  <c r="CC29" i="4"/>
  <c r="V21" i="3" l="1"/>
  <c r="BM100" i="2"/>
  <c r="BM101" i="2"/>
  <c r="BM153" i="2" s="1"/>
  <c r="BL153" i="2"/>
  <c r="BL161" i="2" s="1"/>
  <c r="V33" i="3"/>
  <c r="BN83" i="2"/>
  <c r="BN130" i="2"/>
  <c r="BO126" i="2" s="1"/>
  <c r="BP40" i="4"/>
  <c r="BP41" i="4" s="1"/>
  <c r="BP42" i="4" s="1"/>
  <c r="W30" i="3"/>
  <c r="D65" i="11"/>
  <c r="C66" i="11" s="1"/>
  <c r="CD27" i="4"/>
  <c r="CD28" i="4" s="1"/>
  <c r="CD21" i="11"/>
  <c r="CE19" i="11" s="1"/>
  <c r="BP125" i="2"/>
  <c r="BQ121" i="2" s="1"/>
  <c r="BL156" i="2" l="1"/>
  <c r="BM151" i="2" s="1"/>
  <c r="BM102" i="2"/>
  <c r="D66" i="11"/>
  <c r="C67" i="11"/>
  <c r="CE20" i="11"/>
  <c r="CE82" i="2" s="1"/>
  <c r="CE21" i="11"/>
  <c r="CF19" i="11" s="1"/>
  <c r="BO127" i="2"/>
  <c r="BQ122" i="2"/>
  <c r="BQ124" i="2" s="1"/>
  <c r="CD29" i="4"/>
  <c r="BN33" i="4"/>
  <c r="BN35" i="4" s="1"/>
  <c r="BN85" i="2"/>
  <c r="V34" i="3" l="1"/>
  <c r="BN99" i="2"/>
  <c r="BM159" i="2"/>
  <c r="BM161" i="2" s="1"/>
  <c r="V45" i="3" s="1"/>
  <c r="BM156" i="2"/>
  <c r="BQ84" i="2"/>
  <c r="BQ125" i="2"/>
  <c r="BR121" i="2" s="1"/>
  <c r="CE27" i="4"/>
  <c r="CE28" i="4" s="1"/>
  <c r="CE29" i="4" s="1"/>
  <c r="H28" i="1"/>
  <c r="AB28" i="3"/>
  <c r="CF20" i="11"/>
  <c r="CF82" i="2" s="1"/>
  <c r="BO129" i="2"/>
  <c r="BO83" i="2" s="1"/>
  <c r="C68" i="11"/>
  <c r="D67" i="11"/>
  <c r="BN94" i="2"/>
  <c r="BN95" i="2" s="1"/>
  <c r="BN96" i="2" s="1"/>
  <c r="BN87" i="2"/>
  <c r="BN45" i="4"/>
  <c r="BN46" i="4" s="1"/>
  <c r="BN36" i="4"/>
  <c r="BN100" i="2" l="1"/>
  <c r="V43" i="3"/>
  <c r="BN151" i="2"/>
  <c r="BN159" i="2" s="1"/>
  <c r="BO33" i="4"/>
  <c r="BO35" i="4" s="1"/>
  <c r="BO45" i="4" s="1"/>
  <c r="BO46" i="4" s="1"/>
  <c r="BO85" i="2"/>
  <c r="CF29" i="4"/>
  <c r="D68" i="11"/>
  <c r="C69" i="11"/>
  <c r="CF27" i="4"/>
  <c r="CF28" i="4" s="1"/>
  <c r="BQ40" i="4"/>
  <c r="BQ41" i="4" s="1"/>
  <c r="BQ42" i="4" s="1"/>
  <c r="BO36" i="4"/>
  <c r="CF21" i="11"/>
  <c r="CG19" i="11" s="1"/>
  <c r="BN152" i="2"/>
  <c r="BR122" i="2"/>
  <c r="BR124" i="2" s="1"/>
  <c r="BR84" i="2" s="1"/>
  <c r="BO130" i="2"/>
  <c r="BP126" i="2" s="1"/>
  <c r="BN101" i="2" l="1"/>
  <c r="BN153" i="2" s="1"/>
  <c r="BN156" i="2" s="1"/>
  <c r="BO151" i="2" s="1"/>
  <c r="BO159" i="2" s="1"/>
  <c r="BR40" i="4"/>
  <c r="BR41" i="4" s="1"/>
  <c r="BR42" i="4" s="1"/>
  <c r="BP127" i="2"/>
  <c r="W38" i="3" s="1"/>
  <c r="BR125" i="2"/>
  <c r="BS121" i="2" s="1"/>
  <c r="D69" i="11"/>
  <c r="C70" i="11" s="1"/>
  <c r="BO94" i="2"/>
  <c r="BO95" i="2" s="1"/>
  <c r="BO96" i="2" s="1"/>
  <c r="BO87" i="2"/>
  <c r="CG20" i="11"/>
  <c r="CG82" i="2" s="1"/>
  <c r="BN161" i="2"/>
  <c r="BN102" i="2" l="1"/>
  <c r="BO99" i="2" s="1"/>
  <c r="D70" i="11"/>
  <c r="C71" i="11" s="1"/>
  <c r="CG27" i="4"/>
  <c r="CG28" i="4" s="1"/>
  <c r="BO152" i="2"/>
  <c r="BP129" i="2"/>
  <c r="BP83" i="2" s="1"/>
  <c r="CG21" i="11"/>
  <c r="CH19" i="11" s="1"/>
  <c r="BS122" i="2"/>
  <c r="BO100" i="2" l="1"/>
  <c r="BO101" i="2"/>
  <c r="BO102" i="2"/>
  <c r="BP99" i="2" s="1"/>
  <c r="D71" i="11"/>
  <c r="C72" i="11" s="1"/>
  <c r="BP33" i="4"/>
  <c r="BP35" i="4" s="1"/>
  <c r="BP85" i="2"/>
  <c r="W29" i="3"/>
  <c r="BS124" i="2"/>
  <c r="BS84" i="2" s="1"/>
  <c r="CH20" i="11"/>
  <c r="CH82" i="2" s="1"/>
  <c r="BP130" i="2"/>
  <c r="BQ126" i="2" s="1"/>
  <c r="CG29" i="4"/>
  <c r="BP100" i="2" l="1"/>
  <c r="BP101" i="2" s="1"/>
  <c r="BO153" i="2"/>
  <c r="D72" i="11"/>
  <c r="C73" i="11" s="1"/>
  <c r="BQ129" i="2"/>
  <c r="BQ83" i="2" s="1"/>
  <c r="BQ127" i="2"/>
  <c r="BP94" i="2"/>
  <c r="BP95" i="2" s="1"/>
  <c r="BP96" i="2" s="1"/>
  <c r="BP87" i="2"/>
  <c r="W20" i="3"/>
  <c r="BS40" i="4"/>
  <c r="BS41" i="4" s="1"/>
  <c r="BS42" i="4" s="1"/>
  <c r="X30" i="3"/>
  <c r="G30" i="1"/>
  <c r="CH27" i="4"/>
  <c r="CH28" i="4" s="1"/>
  <c r="I28" i="1"/>
  <c r="AC28" i="3"/>
  <c r="BP45" i="4"/>
  <c r="BP46" i="4" s="1"/>
  <c r="BP36" i="4"/>
  <c r="CH29" i="4"/>
  <c r="CH21" i="11"/>
  <c r="BS125" i="2"/>
  <c r="BP153" i="2" l="1"/>
  <c r="W33" i="3"/>
  <c r="BP102" i="2"/>
  <c r="BO156" i="2"/>
  <c r="BP151" i="2" s="1"/>
  <c r="BP159" i="2" s="1"/>
  <c r="BO161" i="2"/>
  <c r="D73" i="11"/>
  <c r="C74" i="11" s="1"/>
  <c r="BQ130" i="2"/>
  <c r="BR126" i="2" s="1"/>
  <c r="BP152" i="2"/>
  <c r="W21" i="3"/>
  <c r="BQ33" i="4"/>
  <c r="BQ35" i="4" s="1"/>
  <c r="BQ45" i="4" s="1"/>
  <c r="BQ46" i="4" s="1"/>
  <c r="BQ85" i="2"/>
  <c r="BT121" i="2"/>
  <c r="W23" i="3"/>
  <c r="W34" i="3" l="1"/>
  <c r="BQ99" i="2"/>
  <c r="D74" i="11"/>
  <c r="C75" i="11" s="1"/>
  <c r="BR127" i="2"/>
  <c r="BR129" i="2" s="1"/>
  <c r="BR83" i="2" s="1"/>
  <c r="BP156" i="2"/>
  <c r="BP161" i="2"/>
  <c r="W45" i="3" s="1"/>
  <c r="BT122" i="2"/>
  <c r="BT124" i="2" s="1"/>
  <c r="BT84" i="2" s="1"/>
  <c r="BQ36" i="4"/>
  <c r="BQ94" i="2"/>
  <c r="BQ95" i="2" s="1"/>
  <c r="BQ96" i="2" s="1"/>
  <c r="BQ87" i="2"/>
  <c r="BQ100" i="2" l="1"/>
  <c r="BQ101" i="2" s="1"/>
  <c r="BQ153" i="2" s="1"/>
  <c r="BQ102" i="2"/>
  <c r="BR99" i="2" s="1"/>
  <c r="BT40" i="4"/>
  <c r="BT41" i="4" s="1"/>
  <c r="BT42" i="4" s="1"/>
  <c r="BR33" i="4"/>
  <c r="BR35" i="4" s="1"/>
  <c r="BR45" i="4" s="1"/>
  <c r="BR46" i="4" s="1"/>
  <c r="BR85" i="2"/>
  <c r="D75" i="11"/>
  <c r="C76" i="11" s="1"/>
  <c r="BR130" i="2"/>
  <c r="BS126" i="2" s="1"/>
  <c r="BT125" i="2"/>
  <c r="BU121" i="2" s="1"/>
  <c r="W43" i="3"/>
  <c r="BQ151" i="2"/>
  <c r="BQ152" i="2"/>
  <c r="BR36" i="4" l="1"/>
  <c r="BR100" i="2"/>
  <c r="BR101" i="2" s="1"/>
  <c r="BR153" i="2" s="1"/>
  <c r="D76" i="11"/>
  <c r="C77" i="11"/>
  <c r="BQ156" i="2"/>
  <c r="BR151" i="2" s="1"/>
  <c r="BQ159" i="2"/>
  <c r="BQ161" i="2" s="1"/>
  <c r="BU122" i="2"/>
  <c r="BU124" i="2" s="1"/>
  <c r="BU84" i="2" s="1"/>
  <c r="BR94" i="2"/>
  <c r="BR95" i="2" s="1"/>
  <c r="BR96" i="2" s="1"/>
  <c r="BR87" i="2"/>
  <c r="BS127" i="2"/>
  <c r="X38" i="3" s="1"/>
  <c r="BS129" i="2"/>
  <c r="BS83" i="2" s="1"/>
  <c r="BR102" i="2" l="1"/>
  <c r="BS99" i="2" s="1"/>
  <c r="BU40" i="4"/>
  <c r="BU41" i="4" s="1"/>
  <c r="BU42" i="4" s="1"/>
  <c r="BS33" i="4"/>
  <c r="BS35" i="4" s="1"/>
  <c r="BS85" i="2"/>
  <c r="G29" i="1"/>
  <c r="X29" i="3"/>
  <c r="BU125" i="2"/>
  <c r="BV121" i="2" s="1"/>
  <c r="BR159" i="2"/>
  <c r="BR152" i="2"/>
  <c r="BR156" i="2" s="1"/>
  <c r="BS151" i="2" s="1"/>
  <c r="BS130" i="2"/>
  <c r="D77" i="11"/>
  <c r="C78" i="11" s="1"/>
  <c r="BS100" i="2" l="1"/>
  <c r="BS101" i="2" s="1"/>
  <c r="BS102" i="2"/>
  <c r="BS159" i="2"/>
  <c r="D78" i="11"/>
  <c r="C79" i="11"/>
  <c r="BS45" i="4"/>
  <c r="BS46" i="4" s="1"/>
  <c r="BS36" i="4"/>
  <c r="BR161" i="2"/>
  <c r="BT126" i="2"/>
  <c r="G38" i="1"/>
  <c r="BS94" i="2"/>
  <c r="BS95" i="2" s="1"/>
  <c r="BS96" i="2" s="1"/>
  <c r="BS87" i="2"/>
  <c r="X20" i="3"/>
  <c r="G20" i="1"/>
  <c r="G46" i="5" s="1"/>
  <c r="BV122" i="2"/>
  <c r="BV124" i="2" s="1"/>
  <c r="BV84" i="2" s="1"/>
  <c r="X34" i="3" l="1"/>
  <c r="BT99" i="2"/>
  <c r="G34" i="1"/>
  <c r="G33" i="1"/>
  <c r="X33" i="3"/>
  <c r="BS153" i="2"/>
  <c r="BS161" i="2" s="1"/>
  <c r="BV40" i="4"/>
  <c r="BV41" i="4" s="1"/>
  <c r="BV42" i="4" s="1"/>
  <c r="Y30" i="3"/>
  <c r="BS152" i="2"/>
  <c r="X21" i="3"/>
  <c r="G21" i="1"/>
  <c r="BU107" i="2"/>
  <c r="BV160" i="2"/>
  <c r="G23" i="1"/>
  <c r="X23" i="3"/>
  <c r="D79" i="11"/>
  <c r="C80" i="11" s="1"/>
  <c r="BV125" i="2"/>
  <c r="BW121" i="2" s="1"/>
  <c r="BT127" i="2"/>
  <c r="BT129" i="2" s="1"/>
  <c r="BT83" i="2" s="1"/>
  <c r="BS156" i="2" l="1"/>
  <c r="BT100" i="2"/>
  <c r="BT101" i="2"/>
  <c r="BT153" i="2" s="1"/>
  <c r="BT33" i="4"/>
  <c r="BT35" i="4" s="1"/>
  <c r="BT85" i="2"/>
  <c r="D80" i="11"/>
  <c r="C81" i="11" s="1"/>
  <c r="BT130" i="2"/>
  <c r="BU126" i="2" s="1"/>
  <c r="X45" i="3"/>
  <c r="G45" i="1"/>
  <c r="Y35" i="3"/>
  <c r="BU154" i="2"/>
  <c r="H35" i="1"/>
  <c r="BU108" i="2"/>
  <c r="BV106" i="2" s="1"/>
  <c r="BV108" i="2" s="1"/>
  <c r="X43" i="3"/>
  <c r="BT151" i="2"/>
  <c r="G43" i="1"/>
  <c r="Y44" i="3"/>
  <c r="H44" i="1"/>
  <c r="BW122" i="2"/>
  <c r="BT102" i="2" l="1"/>
  <c r="BU99" i="2" s="1"/>
  <c r="D81" i="11"/>
  <c r="C82" i="11" s="1"/>
  <c r="BU127" i="2"/>
  <c r="BU129" i="2" s="1"/>
  <c r="BU83" i="2" s="1"/>
  <c r="BT159" i="2"/>
  <c r="BW124" i="2"/>
  <c r="BW84" i="2" s="1"/>
  <c r="Y36" i="3"/>
  <c r="BW106" i="2"/>
  <c r="BW108" i="2" s="1"/>
  <c r="BX106" i="2" s="1"/>
  <c r="BX108" i="2" s="1"/>
  <c r="BY106" i="2" s="1"/>
  <c r="BY108" i="2" s="1"/>
  <c r="BT94" i="2"/>
  <c r="BT95" i="2" s="1"/>
  <c r="BT96" i="2" s="1"/>
  <c r="BT87" i="2"/>
  <c r="G50" i="5"/>
  <c r="E72" i="5"/>
  <c r="BT45" i="4"/>
  <c r="BT46" i="4" s="1"/>
  <c r="BT36" i="4"/>
  <c r="BU100" i="2" l="1"/>
  <c r="BU101" i="2"/>
  <c r="BU153" i="2" s="1"/>
  <c r="BU33" i="4"/>
  <c r="BU35" i="4" s="1"/>
  <c r="BU45" i="4" s="1"/>
  <c r="BU46" i="4" s="1"/>
  <c r="BU85" i="2"/>
  <c r="BU130" i="2"/>
  <c r="BV126" i="2" s="1"/>
  <c r="BT152" i="2"/>
  <c r="BT156" i="2" s="1"/>
  <c r="BU151" i="2" s="1"/>
  <c r="BW40" i="4"/>
  <c r="BW41" i="4" s="1"/>
  <c r="BW42" i="4" s="1"/>
  <c r="BW125" i="2"/>
  <c r="BX121" i="2" s="1"/>
  <c r="BU36" i="4"/>
  <c r="Z36" i="3"/>
  <c r="BZ106" i="2"/>
  <c r="BZ108" i="2" s="1"/>
  <c r="CA106" i="2" s="1"/>
  <c r="CA108" i="2" s="1"/>
  <c r="CB106" i="2" s="1"/>
  <c r="CB108" i="2" s="1"/>
  <c r="D82" i="11"/>
  <c r="C83" i="11" s="1"/>
  <c r="BT161" i="2" l="1"/>
  <c r="BU102" i="2"/>
  <c r="BV99" i="2" s="1"/>
  <c r="D83" i="11"/>
  <c r="C84" i="11" s="1"/>
  <c r="BU94" i="2"/>
  <c r="BU95" i="2" s="1"/>
  <c r="BU96" i="2" s="1"/>
  <c r="BU87" i="2"/>
  <c r="AA36" i="3"/>
  <c r="CC106" i="2"/>
  <c r="CC108" i="2" s="1"/>
  <c r="CD106" i="2" s="1"/>
  <c r="CD108" i="2" s="1"/>
  <c r="CE106" i="2" s="1"/>
  <c r="CE108" i="2" s="1"/>
  <c r="BU159" i="2"/>
  <c r="BV127" i="2"/>
  <c r="Y38" i="3" s="1"/>
  <c r="BX122" i="2"/>
  <c r="BX124" i="2" s="1"/>
  <c r="BX84" i="2" s="1"/>
  <c r="BV100" i="2" l="1"/>
  <c r="BV101" i="2"/>
  <c r="BX40" i="4"/>
  <c r="BX41" i="4" s="1"/>
  <c r="BX42" i="4" s="1"/>
  <c r="D84" i="11"/>
  <c r="C85" i="11"/>
  <c r="BU152" i="2"/>
  <c r="BU156" i="2" s="1"/>
  <c r="BV151" i="2" s="1"/>
  <c r="AB36" i="3"/>
  <c r="CF106" i="2"/>
  <c r="CF108" i="2" s="1"/>
  <c r="CG106" i="2" s="1"/>
  <c r="H36" i="1"/>
  <c r="BX125" i="2"/>
  <c r="BY121" i="2" s="1"/>
  <c r="BV129" i="2"/>
  <c r="BV83" i="2" s="1"/>
  <c r="BV153" i="2" l="1"/>
  <c r="Y33" i="3"/>
  <c r="BV130" i="2"/>
  <c r="BW126" i="2" s="1"/>
  <c r="BW127" i="2" s="1"/>
  <c r="BW129" i="2" s="1"/>
  <c r="BW83" i="2" s="1"/>
  <c r="BV102" i="2"/>
  <c r="BY122" i="2"/>
  <c r="BV159" i="2"/>
  <c r="D85" i="11"/>
  <c r="C86" i="11"/>
  <c r="BU161" i="2"/>
  <c r="BV33" i="4"/>
  <c r="BV35" i="4" s="1"/>
  <c r="BV85" i="2"/>
  <c r="Y29" i="3"/>
  <c r="Y34" i="3" l="1"/>
  <c r="BW99" i="2"/>
  <c r="BY124" i="2"/>
  <c r="BY84" i="2" s="1"/>
  <c r="BW130" i="2"/>
  <c r="BX126" i="2" s="1"/>
  <c r="BW33" i="4"/>
  <c r="BW35" i="4" s="1"/>
  <c r="BW45" i="4" s="1"/>
  <c r="BW85" i="2"/>
  <c r="BV94" i="2"/>
  <c r="BV95" i="2" s="1"/>
  <c r="BV96" i="2" s="1"/>
  <c r="BV87" i="2"/>
  <c r="Y20" i="3"/>
  <c r="D86" i="11"/>
  <c r="C87" i="11" s="1"/>
  <c r="BV45" i="4"/>
  <c r="BV46" i="4" s="1"/>
  <c r="BV36" i="4"/>
  <c r="BW100" i="2" l="1"/>
  <c r="BW101" i="2"/>
  <c r="BW153" i="2" s="1"/>
  <c r="BW36" i="4"/>
  <c r="D87" i="11"/>
  <c r="C88" i="11"/>
  <c r="BV152" i="2"/>
  <c r="Y21" i="3"/>
  <c r="BX127" i="2"/>
  <c r="BY40" i="4"/>
  <c r="BY41" i="4" s="1"/>
  <c r="BY42" i="4" s="1"/>
  <c r="Z30" i="3"/>
  <c r="Y23" i="3"/>
  <c r="BW46" i="4"/>
  <c r="BW94" i="2"/>
  <c r="BW95" i="2" s="1"/>
  <c r="BW96" i="2" s="1"/>
  <c r="BW87" i="2"/>
  <c r="BY125" i="2"/>
  <c r="BZ121" i="2" s="1"/>
  <c r="BW102" i="2" l="1"/>
  <c r="BX99" i="2" s="1"/>
  <c r="BZ122" i="2"/>
  <c r="BV156" i="2"/>
  <c r="BV161" i="2"/>
  <c r="Y45" i="3" s="1"/>
  <c r="BX129" i="2"/>
  <c r="BX83" i="2" s="1"/>
  <c r="BW152" i="2"/>
  <c r="D88" i="11"/>
  <c r="C89" i="11" s="1"/>
  <c r="BX100" i="2" l="1"/>
  <c r="BX101" i="2" s="1"/>
  <c r="BX153" i="2" s="1"/>
  <c r="D89" i="11"/>
  <c r="C90" i="11"/>
  <c r="BZ125" i="2"/>
  <c r="CA121" i="2" s="1"/>
  <c r="BW151" i="2"/>
  <c r="Y43" i="3"/>
  <c r="BZ124" i="2"/>
  <c r="BZ84" i="2" s="1"/>
  <c r="BX33" i="4"/>
  <c r="BX35" i="4" s="1"/>
  <c r="BX85" i="2"/>
  <c r="BX130" i="2"/>
  <c r="BY126" i="2" s="1"/>
  <c r="BX102" i="2" l="1"/>
  <c r="BY99" i="2" s="1"/>
  <c r="CA122" i="2"/>
  <c r="BZ40" i="4"/>
  <c r="BZ41" i="4" s="1"/>
  <c r="BZ42" i="4" s="1"/>
  <c r="BY127" i="2"/>
  <c r="Z38" i="3" s="1"/>
  <c r="BW156" i="2"/>
  <c r="BX151" i="2" s="1"/>
  <c r="BW159" i="2"/>
  <c r="BW161" i="2" s="1"/>
  <c r="BX94" i="2"/>
  <c r="BX95" i="2" s="1"/>
  <c r="BX96" i="2" s="1"/>
  <c r="BX87" i="2"/>
  <c r="BX45" i="4"/>
  <c r="BX46" i="4" s="1"/>
  <c r="BX36" i="4"/>
  <c r="D90" i="11"/>
  <c r="C91" i="11" s="1"/>
  <c r="BY129" i="2" l="1"/>
  <c r="BY83" i="2" s="1"/>
  <c r="BY33" i="4" s="1"/>
  <c r="BY35" i="4" s="1"/>
  <c r="BY45" i="4" s="1"/>
  <c r="BY46" i="4" s="1"/>
  <c r="CA124" i="2"/>
  <c r="CA84" i="2" s="1"/>
  <c r="BY100" i="2"/>
  <c r="BY101" i="2" s="1"/>
  <c r="BY102" i="2" s="1"/>
  <c r="D91" i="11"/>
  <c r="C92" i="11" s="1"/>
  <c r="D92" i="11" s="1"/>
  <c r="D93" i="11" s="1"/>
  <c r="BY85" i="2"/>
  <c r="Z29" i="3"/>
  <c r="BX159" i="2"/>
  <c r="BX152" i="2"/>
  <c r="BX156" i="2" s="1"/>
  <c r="BY151" i="2" s="1"/>
  <c r="CA40" i="4"/>
  <c r="CA41" i="4" s="1"/>
  <c r="CA42" i="4" s="1"/>
  <c r="BY130" i="2"/>
  <c r="BZ126" i="2" s="1"/>
  <c r="BZ99" i="2" l="1"/>
  <c r="Z34" i="3"/>
  <c r="BY153" i="2"/>
  <c r="Z33" i="3"/>
  <c r="BX161" i="2"/>
  <c r="CA125" i="2"/>
  <c r="CB121" i="2" s="1"/>
  <c r="CB122" i="2" s="1"/>
  <c r="BY159" i="2"/>
  <c r="BY36" i="4"/>
  <c r="BY94" i="2"/>
  <c r="BY95" i="2" s="1"/>
  <c r="BY96" i="2" s="1"/>
  <c r="BY87" i="2"/>
  <c r="Z20" i="3"/>
  <c r="BZ127" i="2"/>
  <c r="BZ129" i="2" s="1"/>
  <c r="BZ83" i="2" s="1"/>
  <c r="CB124" i="2" l="1"/>
  <c r="CB84" i="2" s="1"/>
  <c r="BZ100" i="2"/>
  <c r="BZ101" i="2" s="1"/>
  <c r="BZ153" i="2" s="1"/>
  <c r="BZ33" i="4"/>
  <c r="BZ35" i="4" s="1"/>
  <c r="BZ45" i="4" s="1"/>
  <c r="BZ46" i="4" s="1"/>
  <c r="BZ85" i="2"/>
  <c r="BY152" i="2"/>
  <c r="BY156" i="2" s="1"/>
  <c r="Z21" i="3"/>
  <c r="CB40" i="4"/>
  <c r="CB41" i="4" s="1"/>
  <c r="CB42" i="4" s="1"/>
  <c r="AA30" i="3"/>
  <c r="CB125" i="2"/>
  <c r="CC121" i="2" s="1"/>
  <c r="Z23" i="3"/>
  <c r="BZ130" i="2"/>
  <c r="CA126" i="2" s="1"/>
  <c r="BZ102" i="2" l="1"/>
  <c r="CA99" i="2" s="1"/>
  <c r="CA127" i="2"/>
  <c r="BY161" i="2"/>
  <c r="Z45" i="3" s="1"/>
  <c r="Z43" i="3"/>
  <c r="BZ151" i="2"/>
  <c r="BZ94" i="2"/>
  <c r="BZ95" i="2" s="1"/>
  <c r="BZ96" i="2" s="1"/>
  <c r="BZ87" i="2"/>
  <c r="BZ36" i="4"/>
  <c r="CC122" i="2"/>
  <c r="CC124" i="2" s="1"/>
  <c r="CA129" i="2" l="1"/>
  <c r="CA83" i="2" s="1"/>
  <c r="CA100" i="2"/>
  <c r="CA101" i="2" s="1"/>
  <c r="CA153" i="2" s="1"/>
  <c r="CA102" i="2"/>
  <c r="CB99" i="2" s="1"/>
  <c r="CC84" i="2"/>
  <c r="CC125" i="2"/>
  <c r="CD121" i="2" s="1"/>
  <c r="BZ152" i="2"/>
  <c r="CA33" i="4"/>
  <c r="CA35" i="4" s="1"/>
  <c r="CA45" i="4" s="1"/>
  <c r="CA46" i="4" s="1"/>
  <c r="CA85" i="2"/>
  <c r="BZ156" i="2"/>
  <c r="CA151" i="2" s="1"/>
  <c r="BZ159" i="2"/>
  <c r="CA36" i="4" l="1"/>
  <c r="CB100" i="2"/>
  <c r="BZ161" i="2"/>
  <c r="CA130" i="2"/>
  <c r="CB126" i="2" s="1"/>
  <c r="CB127" i="2" s="1"/>
  <c r="AA38" i="3" s="1"/>
  <c r="CA159" i="2"/>
  <c r="CA94" i="2"/>
  <c r="CA95" i="2" s="1"/>
  <c r="CA96" i="2" s="1"/>
  <c r="CA87" i="2"/>
  <c r="CD122" i="2"/>
  <c r="CD124" i="2" s="1"/>
  <c r="CD84" i="2" s="1"/>
  <c r="CC40" i="4"/>
  <c r="CC41" i="4" s="1"/>
  <c r="CC42" i="4" s="1"/>
  <c r="CB129" i="2" l="1"/>
  <c r="CB83" i="2" s="1"/>
  <c r="CB101" i="2"/>
  <c r="CB130" i="2"/>
  <c r="CC126" i="2" s="1"/>
  <c r="CC129" i="2" s="1"/>
  <c r="CC83" i="2" s="1"/>
  <c r="CD40" i="4"/>
  <c r="CD41" i="4" s="1"/>
  <c r="CD125" i="2"/>
  <c r="CE121" i="2" s="1"/>
  <c r="CA152" i="2"/>
  <c r="CA156" i="2" s="1"/>
  <c r="CB151" i="2" s="1"/>
  <c r="CB33" i="4"/>
  <c r="CB35" i="4" s="1"/>
  <c r="CB85" i="2"/>
  <c r="AA29" i="3"/>
  <c r="CC127" i="2"/>
  <c r="CA161" i="2"/>
  <c r="CD42" i="4"/>
  <c r="CC130" i="2" l="1"/>
  <c r="CD126" i="2" s="1"/>
  <c r="CB153" i="2"/>
  <c r="AA33" i="3"/>
  <c r="CB102" i="2"/>
  <c r="CD127" i="2"/>
  <c r="CD129" i="2" s="1"/>
  <c r="CD83" i="2" s="1"/>
  <c r="CE122" i="2"/>
  <c r="CE124" i="2" s="1"/>
  <c r="CE84" i="2" s="1"/>
  <c r="CC33" i="4"/>
  <c r="CC35" i="4" s="1"/>
  <c r="CC45" i="4" s="1"/>
  <c r="CC85" i="2"/>
  <c r="CB94" i="2"/>
  <c r="CB95" i="2" s="1"/>
  <c r="CB96" i="2" s="1"/>
  <c r="CB87" i="2"/>
  <c r="AA20" i="3"/>
  <c r="CB45" i="4"/>
  <c r="CB46" i="4" s="1"/>
  <c r="CC46" i="4" s="1"/>
  <c r="CB36" i="4"/>
  <c r="CC36" i="4" s="1"/>
  <c r="CB159" i="2"/>
  <c r="CC99" i="2" l="1"/>
  <c r="AA34" i="3"/>
  <c r="CE40" i="4"/>
  <c r="CE41" i="4" s="1"/>
  <c r="CE42" i="4" s="1"/>
  <c r="H30" i="1"/>
  <c r="AB30" i="3"/>
  <c r="CD33" i="4"/>
  <c r="CD35" i="4" s="1"/>
  <c r="CD45" i="4" s="1"/>
  <c r="CD46" i="4" s="1"/>
  <c r="CD85" i="2"/>
  <c r="CC94" i="2"/>
  <c r="CC95" i="2" s="1"/>
  <c r="CC96" i="2" s="1"/>
  <c r="CC87" i="2"/>
  <c r="CE125" i="2"/>
  <c r="AA23" i="3"/>
  <c r="CB152" i="2"/>
  <c r="CB156" i="2" s="1"/>
  <c r="AA21" i="3"/>
  <c r="CD36" i="4"/>
  <c r="CD130" i="2"/>
  <c r="CE126" i="2" s="1"/>
  <c r="CB161" i="2" l="1"/>
  <c r="AA45" i="3" s="1"/>
  <c r="CC100" i="2"/>
  <c r="CC101" i="2" s="1"/>
  <c r="CC153" i="2" s="1"/>
  <c r="CF121" i="2"/>
  <c r="CD94" i="2"/>
  <c r="CD95" i="2" s="1"/>
  <c r="CD96" i="2" s="1"/>
  <c r="CD87" i="2"/>
  <c r="CD152" i="2" s="1"/>
  <c r="CC152" i="2"/>
  <c r="AA43" i="3"/>
  <c r="CC151" i="2"/>
  <c r="CE127" i="2"/>
  <c r="AB38" i="3" s="1"/>
  <c r="CC102" i="2" l="1"/>
  <c r="CD99" i="2" s="1"/>
  <c r="CF122" i="2"/>
  <c r="CF124" i="2" s="1"/>
  <c r="CF84" i="2" s="1"/>
  <c r="CE129" i="2"/>
  <c r="CE83" i="2" s="1"/>
  <c r="CC156" i="2"/>
  <c r="CD151" i="2" s="1"/>
  <c r="CC159" i="2"/>
  <c r="CC161" i="2" s="1"/>
  <c r="CD100" i="2" l="1"/>
  <c r="CD101" i="2" s="1"/>
  <c r="CF40" i="4"/>
  <c r="CF41" i="4" s="1"/>
  <c r="CF42" i="4" s="1"/>
  <c r="CF125" i="2"/>
  <c r="CG121" i="2" s="1"/>
  <c r="CE33" i="4"/>
  <c r="CE35" i="4" s="1"/>
  <c r="CE85" i="2"/>
  <c r="AB29" i="3"/>
  <c r="H29" i="1"/>
  <c r="CE130" i="2"/>
  <c r="CD159" i="2"/>
  <c r="CD153" i="2" l="1"/>
  <c r="CD156" i="2" s="1"/>
  <c r="CE151" i="2" s="1"/>
  <c r="CD102" i="2"/>
  <c r="CE99" i="2" s="1"/>
  <c r="CD161" i="2"/>
  <c r="CG122" i="2"/>
  <c r="CG124" i="2" s="1"/>
  <c r="CG84" i="2" s="1"/>
  <c r="CE159" i="2"/>
  <c r="CF126" i="2"/>
  <c r="H38" i="1"/>
  <c r="CE94" i="2"/>
  <c r="CE95" i="2" s="1"/>
  <c r="CE96" i="2" s="1"/>
  <c r="CE87" i="2"/>
  <c r="H20" i="1"/>
  <c r="H46" i="5" s="1"/>
  <c r="AB20" i="3"/>
  <c r="CE45" i="4"/>
  <c r="CE46" i="4" s="1"/>
  <c r="CE36" i="4"/>
  <c r="CE100" i="2" l="1"/>
  <c r="CE101" i="2" s="1"/>
  <c r="CE102" i="2"/>
  <c r="CG40" i="4"/>
  <c r="CG41" i="4" s="1"/>
  <c r="CG42" i="4" s="1"/>
  <c r="CG125" i="2"/>
  <c r="CH121" i="2" s="1"/>
  <c r="CE152" i="2"/>
  <c r="H21" i="1"/>
  <c r="AB21" i="3"/>
  <c r="CF127" i="2"/>
  <c r="CF129" i="2" s="1"/>
  <c r="CF83" i="2" s="1"/>
  <c r="CG107" i="2"/>
  <c r="H23" i="1"/>
  <c r="AB23" i="3"/>
  <c r="CH160" i="2"/>
  <c r="CF99" i="2" l="1"/>
  <c r="AB34" i="3"/>
  <c r="H34" i="1"/>
  <c r="CE153" i="2"/>
  <c r="CE156" i="2" s="1"/>
  <c r="AB33" i="3"/>
  <c r="H33" i="1"/>
  <c r="CF33" i="4"/>
  <c r="CF35" i="4" s="1"/>
  <c r="CF85" i="2"/>
  <c r="AC35" i="3"/>
  <c r="CG154" i="2"/>
  <c r="I35" i="1"/>
  <c r="CG108" i="2"/>
  <c r="CH106" i="2" s="1"/>
  <c r="CH108" i="2" s="1"/>
  <c r="CH122" i="2"/>
  <c r="B16" i="13" s="1"/>
  <c r="CF130" i="2"/>
  <c r="CG126" i="2" s="1"/>
  <c r="AC44" i="3"/>
  <c r="I44" i="1"/>
  <c r="AB43" i="3" l="1"/>
  <c r="H43" i="1"/>
  <c r="H50" i="5" s="1"/>
  <c r="CF151" i="2"/>
  <c r="CE161" i="2"/>
  <c r="AB45" i="3" s="1"/>
  <c r="CF100" i="2"/>
  <c r="CF101" i="2" s="1"/>
  <c r="CF153" i="2" s="1"/>
  <c r="CF102" i="2"/>
  <c r="CG99" i="2" s="1"/>
  <c r="CG127" i="2"/>
  <c r="CG129" i="2" s="1"/>
  <c r="B17" i="13"/>
  <c r="CF94" i="2"/>
  <c r="CF95" i="2" s="1"/>
  <c r="CF96" i="2" s="1"/>
  <c r="CF87" i="2"/>
  <c r="CH124" i="2"/>
  <c r="CH84" i="2" s="1"/>
  <c r="CF159" i="2"/>
  <c r="AC36" i="3"/>
  <c r="I36" i="1"/>
  <c r="CF45" i="4"/>
  <c r="CF46" i="4" s="1"/>
  <c r="CF36" i="4"/>
  <c r="CG100" i="2" l="1"/>
  <c r="CG101" i="2" s="1"/>
  <c r="CG153" i="2" s="1"/>
  <c r="H45" i="1"/>
  <c r="CG83" i="2"/>
  <c r="CG130" i="2"/>
  <c r="CH126" i="2" s="1"/>
  <c r="CH125" i="2"/>
  <c r="CH40" i="4"/>
  <c r="CH41" i="4" s="1"/>
  <c r="CH42" i="4" s="1"/>
  <c r="AC30" i="3"/>
  <c r="I30" i="1"/>
  <c r="CF152" i="2"/>
  <c r="CF156" i="2" s="1"/>
  <c r="CG151" i="2" s="1"/>
  <c r="CF161" i="2" l="1"/>
  <c r="CG102" i="2"/>
  <c r="CH99" i="2" s="1"/>
  <c r="E53" i="11"/>
  <c r="CH127" i="2"/>
  <c r="CG159" i="2"/>
  <c r="CG33" i="4"/>
  <c r="CG35" i="4" s="1"/>
  <c r="CG85" i="2"/>
  <c r="CH100" i="2" l="1"/>
  <c r="CH101" i="2" s="1"/>
  <c r="AC38" i="3"/>
  <c r="B23" i="13"/>
  <c r="CH129" i="2"/>
  <c r="CH83" i="2" s="1"/>
  <c r="CG45" i="4"/>
  <c r="CG46" i="4" s="1"/>
  <c r="CG36" i="4"/>
  <c r="CG94" i="2"/>
  <c r="CG95" i="2" s="1"/>
  <c r="CG96" i="2" s="1"/>
  <c r="CG87" i="2"/>
  <c r="F53" i="11"/>
  <c r="G53" i="11"/>
  <c r="AC33" i="3" l="1"/>
  <c r="CH153" i="2"/>
  <c r="I33" i="1"/>
  <c r="CH102" i="2"/>
  <c r="CH33" i="4"/>
  <c r="CH35" i="4" s="1"/>
  <c r="CH45" i="4" s="1"/>
  <c r="CH46" i="4" s="1"/>
  <c r="CH85" i="2"/>
  <c r="AC29" i="3"/>
  <c r="I29" i="1"/>
  <c r="E54" i="11"/>
  <c r="D23" i="13"/>
  <c r="D24" i="13" s="1"/>
  <c r="B24" i="13"/>
  <c r="B31" i="13" s="1"/>
  <c r="B30" i="13"/>
  <c r="CG152" i="2"/>
  <c r="CH130" i="2"/>
  <c r="I38" i="1" s="1"/>
  <c r="I34" i="1" l="1"/>
  <c r="AC34" i="3"/>
  <c r="CH36" i="4"/>
  <c r="CG156" i="2"/>
  <c r="CH151" i="2" s="1"/>
  <c r="CG161" i="2"/>
  <c r="F54" i="11"/>
  <c r="G54" i="11" s="1"/>
  <c r="CH94" i="2"/>
  <c r="CH95" i="2" s="1"/>
  <c r="CH96" i="2" s="1"/>
  <c r="CH87" i="2"/>
  <c r="I20" i="1"/>
  <c r="I46" i="5" s="1"/>
  <c r="AC20" i="3"/>
  <c r="CH152" i="2" l="1"/>
  <c r="I21" i="1"/>
  <c r="AC21" i="3"/>
  <c r="AC23" i="3"/>
  <c r="I23" i="1"/>
  <c r="E55" i="11"/>
  <c r="CH156" i="2"/>
  <c r="CH159" i="2"/>
  <c r="CH161" i="2" s="1"/>
  <c r="F55" i="11" l="1"/>
  <c r="G55" i="11"/>
  <c r="E56" i="11" s="1"/>
  <c r="AC45" i="3"/>
  <c r="I45" i="1"/>
  <c r="AC43" i="3"/>
  <c r="I43" i="1"/>
  <c r="F56" i="11" l="1"/>
  <c r="F72" i="5"/>
  <c r="I50" i="5"/>
  <c r="G56" i="11" l="1"/>
  <c r="E57" i="11" s="1"/>
  <c r="F57" i="11" l="1"/>
  <c r="G57" i="11"/>
  <c r="E58" i="11" s="1"/>
  <c r="F58" i="11" l="1"/>
  <c r="G58" i="11" l="1"/>
  <c r="E59" i="11" s="1"/>
  <c r="F59" i="11" l="1"/>
  <c r="G59" i="11"/>
  <c r="E60" i="11" s="1"/>
  <c r="F60" i="11" l="1"/>
  <c r="G60" i="11" s="1"/>
  <c r="E61" i="11" s="1"/>
  <c r="F61" i="11" l="1"/>
  <c r="G61" i="11"/>
  <c r="E62" i="11"/>
  <c r="F62" i="11" l="1"/>
  <c r="G62" i="11" s="1"/>
  <c r="E63" i="11" l="1"/>
  <c r="F63" i="11" l="1"/>
  <c r="G63" i="11"/>
  <c r="E64" i="11" s="1"/>
  <c r="F64" i="11" l="1"/>
  <c r="G64" i="11" s="1"/>
  <c r="E65" i="11" s="1"/>
  <c r="F65" i="11" l="1"/>
  <c r="G65" i="11" l="1"/>
  <c r="E66" i="11" s="1"/>
  <c r="F66" i="11" l="1"/>
  <c r="G66" i="11"/>
  <c r="E67" i="11" s="1"/>
  <c r="F67" i="11" l="1"/>
  <c r="G67" i="11"/>
  <c r="E68" i="11" s="1"/>
  <c r="F68" i="11" l="1"/>
  <c r="G68" i="11" s="1"/>
  <c r="E69" i="11" l="1"/>
  <c r="F69" i="11" l="1"/>
  <c r="G69" i="11"/>
  <c r="E70" i="11" l="1"/>
  <c r="F70" i="11"/>
  <c r="G70" i="11"/>
  <c r="E71" i="11" s="1"/>
  <c r="F71" i="11" l="1"/>
  <c r="G71" i="11"/>
  <c r="E72" i="11"/>
  <c r="F72" i="11" l="1"/>
  <c r="G72" i="11" l="1"/>
  <c r="E73" i="11" s="1"/>
  <c r="F73" i="11" l="1"/>
  <c r="G73" i="11"/>
  <c r="E74" i="11"/>
  <c r="F74" i="11" l="1"/>
  <c r="G74" i="11" l="1"/>
  <c r="E75" i="11" s="1"/>
  <c r="F75" i="11" l="1"/>
  <c r="G75" i="11"/>
  <c r="E76" i="11" s="1"/>
  <c r="F76" i="11" l="1"/>
  <c r="G76" i="11" l="1"/>
  <c r="E77" i="11" s="1"/>
  <c r="F77" i="11" l="1"/>
  <c r="G77" i="11"/>
  <c r="E78" i="11" s="1"/>
  <c r="F78" i="11" l="1"/>
  <c r="G78" i="11" s="1"/>
  <c r="E79" i="11" l="1"/>
  <c r="F79" i="11" l="1"/>
  <c r="G79" i="11"/>
  <c r="E80" i="11" l="1"/>
  <c r="F80" i="11"/>
  <c r="G80" i="11" s="1"/>
  <c r="E81" i="11" l="1"/>
  <c r="F81" i="11" l="1"/>
  <c r="G81" i="11"/>
  <c r="E82" i="11" s="1"/>
  <c r="F82" i="11" l="1"/>
  <c r="G82" i="11" l="1"/>
  <c r="E83" i="11" s="1"/>
  <c r="F83" i="11" l="1"/>
  <c r="G83" i="11"/>
  <c r="E84" i="11" l="1"/>
  <c r="F84" i="11" s="1"/>
  <c r="G84" i="11" s="1"/>
  <c r="E85" i="11" l="1"/>
  <c r="F85" i="11" l="1"/>
  <c r="G85" i="11"/>
  <c r="E86" i="11" s="1"/>
  <c r="F86" i="11" l="1"/>
  <c r="G86" i="11" s="1"/>
  <c r="E87" i="11" l="1"/>
  <c r="F87" i="11" l="1"/>
  <c r="G87" i="11" s="1"/>
  <c r="E88" i="11" l="1"/>
  <c r="F88" i="11" l="1"/>
  <c r="G88" i="11" l="1"/>
  <c r="E89" i="11" s="1"/>
  <c r="F89" i="11" l="1"/>
  <c r="G89" i="11"/>
  <c r="E90" i="11" s="1"/>
  <c r="F90" i="11" l="1"/>
  <c r="G90" i="11" s="1"/>
  <c r="E91" i="11" s="1"/>
  <c r="F91" i="11" l="1"/>
  <c r="G91" i="11" s="1"/>
  <c r="E92" i="11" s="1"/>
  <c r="F92" i="11" l="1"/>
  <c r="F93" i="11" s="1"/>
  <c r="C16" i="13" s="1"/>
  <c r="G92" i="11" l="1"/>
  <c r="G93" i="11" s="1"/>
  <c r="C30" i="13"/>
  <c r="C17" i="13"/>
  <c r="C31" i="13" s="1"/>
  <c r="D16" i="13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<sst xmlns="http://schemas.openxmlformats.org/spreadsheetml/2006/main" count="1408" uniqueCount="753">
  <si>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</si>
  <si>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</si>
  <si>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</si>
  <si>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</si>
  <si>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</si>
  <si>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</si>
  <si>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</si>
  <si>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</si>
  <si>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</si>
  <si>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</si>
  <si>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Grady LaKamp</t>
  </si>
  <si>
    <t>Executive</t>
  </si>
  <si>
    <t>GC</t>
  </si>
  <si>
    <t>Yes</t>
  </si>
  <si>
    <t>Corporate</t>
  </si>
  <si>
    <t>Joe LaKamp</t>
  </si>
  <si>
    <t>Pedro Rosalas</t>
  </si>
  <si>
    <t>Project Manager</t>
  </si>
  <si>
    <t>Greg Smith</t>
  </si>
  <si>
    <t>New Hire - PM</t>
  </si>
  <si>
    <t>Dorian Puentes</t>
  </si>
  <si>
    <t>Asst Project Manager</t>
  </si>
  <si>
    <t>Roy Torries</t>
  </si>
  <si>
    <t>Lucy Mohler</t>
  </si>
  <si>
    <t>New Hire - APM 2</t>
  </si>
  <si>
    <t>Mike Savaiki</t>
  </si>
  <si>
    <t>Senior Superintendent</t>
  </si>
  <si>
    <t>Field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</si>
  <si>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</si>
  <si>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</si>
  <si>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</si>
  <si>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</si>
  <si>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</si>
  <si>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</si>
  <si>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</si>
  <si>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</si>
  <si>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</si>
  <si>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</si>
  <si>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</si>
  <si>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</si>
  <si>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</si>
  <si>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</si>
  <si>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Kim Moreno</t>
  </si>
  <si>
    <t>Project Coordinator/Admin</t>
  </si>
  <si>
    <t>Alina Akopian</t>
  </si>
  <si>
    <t>New Hire - Admin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</si>
  <si>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</si>
  <si>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</si>
  <si>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</si>
  <si>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</si>
  <si>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</si>
  <si>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</si>
  <si>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</si>
  <si>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Dir of 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</si>
  <si>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</si>
  <si>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</si>
  <si>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</si>
  <si>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</si>
  <si>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</si>
  <si>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</si>
  <si>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</si>
  <si>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</si>
  <si>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</si>
  <si>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</si>
  <si>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</si>
  <si>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</si>
  <si>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</si>
  <si>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</si>
  <si>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</si>
  <si>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</si>
  <si>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</si>
  <si>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</si>
  <si>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</si>
  <si>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</si>
  <si>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</si>
  <si>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</si>
  <si>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</si>
  <si>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</si>
  <si>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</si>
  <si>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</si>
  <si>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</si>
  <si>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</si>
  <si>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</si>
  <si>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</si>
  <si>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</si>
  <si>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</si>
  <si>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</si>
  <si>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</si>
  <si>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</si>
  <si>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</si>
  <si>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</si>
  <si>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</si>
  <si>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</si>
  <si>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</si>
  <si>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</si>
  <si>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</si>
  <si>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</si>
  <si>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</si>
  <si>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</si>
  <si>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</si>
  <si>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</si>
  <si>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</si>
  <si>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</si>
  <si>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</si>
  <si>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</si>
  <si>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</si>
  <si>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</si>
  <si>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</si>
  <si>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</si>
  <si>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</si>
  <si>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</si>
  <si>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</si>
  <si>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</si>
  <si>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</si>
  <si>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</si>
  <si>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</si>
  <si>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</si>
  <si>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</si>
  <si>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</si>
  <si>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</si>
  <si>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</si>
  <si>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</si>
  <si>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</si>
  <si>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</si>
  <si>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</si>
  <si>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</si>
  <si>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</si>
  <si>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</si>
  <si>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</si>
  <si>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</si>
  <si>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</si>
  <si>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</si>
  <si>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</si>
  <si>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</si>
  <si>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</si>
  <si>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</si>
  <si>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</si>
  <si>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</si>
  <si>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</si>
  <si>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</si>
  <si>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</si>
  <si>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</si>
  <si>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</si>
  <si>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</si>
  <si>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</si>
  <si>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</si>
  <si>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</si>
  <si>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</si>
  <si>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</si>
  <si>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</si>
  <si>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</si>
  <si>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</si>
  <si>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</si>
  <si>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</si>
  <si>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</si>
  <si>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</si>
  <si>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</si>
  <si>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</si>
  <si>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</si>
  <si>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</si>
  <si>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</si>
  <si>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</si>
  <si>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</si>
  <si>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</si>
  <si>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</si>
  <si>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</si>
  <si>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</si>
  <si>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</si>
  <si>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</si>
  <si>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</si>
  <si>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</si>
  <si>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</si>
  <si>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</si>
  <si>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</si>
  <si>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</si>
  <si>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</si>
  <si>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</si>
  <si>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</si>
  <si>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</si>
  <si>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</si>
  <si>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</si>
  <si>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</si>
  <si>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</si>
  <si>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</si>
  <si>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</si>
  <si>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</si>
  <si>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</si>
  <si>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</si>
  <si>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</si>
  <si>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</si>
  <si>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</si>
  <si>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</si>
  <si>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</si>
  <si>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</si>
  <si>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</si>
  <si>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</si>
  <si>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</si>
  <si>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</si>
  <si>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</si>
  <si>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</si>
  <si>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</si>
  <si>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</si>
  <si>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</si>
  <si>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</si>
  <si>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</si>
  <si>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</si>
  <si>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</si>
  <si>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</si>
  <si>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</si>
  <si>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</si>
  <si>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</si>
  <si>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</si>
  <si>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</si>
  <si>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</si>
  <si>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</si>
  <si>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</si>
  <si>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</si>
  <si>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</si>
  <si>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</si>
  <si>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</si>
  <si>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</si>
  <si>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</si>
  <si>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</si>
  <si>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</si>
  <si>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</si>
  <si>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</si>
  <si>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</si>
  <si>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</si>
  <si>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</si>
  <si>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</si>
  <si>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</si>
  <si>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</si>
  <si>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</si>
  <si>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</si>
  <si>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</si>
  <si>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</si>
  <si>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</si>
  <si>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</si>
  <si>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</si>
  <si>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</si>
  <si>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</si>
  <si>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</si>
  <si>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</si>
  <si>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</si>
  <si>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</si>
  <si>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</si>
  <si>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</si>
  <si>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</si>
  <si>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</si>
  <si>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</si>
  <si>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</si>
  <si>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</si>
  <si>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</si>
  <si>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</si>
  <si>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</si>
  <si>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</si>
  <si>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</si>
  <si>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</si>
  <si>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</si>
  <si>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</si>
  <si>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</si>
  <si>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</si>
  <si>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</si>
  <si>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</si>
  <si>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</si>
  <si>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</si>
  <si>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</si>
  <si>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</si>
  <si>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</si>
  <si>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</si>
  <si>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</si>
  <si>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</si>
  <si>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</si>
  <si>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</si>
  <si>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</si>
  <si>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</si>
  <si>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</si>
  <si>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</si>
  <si>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</si>
  <si>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</si>
  <si>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</si>
  <si>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</si>
  <si>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</si>
  <si>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</si>
  <si>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</si>
  <si>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</si>
  <si>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</si>
  <si>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</si>
  <si>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</si>
  <si>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</si>
  <si>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</si>
  <si>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</si>
  <si>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</si>
  <si>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</si>
  <si>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</si>
  <si>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</si>
  <si>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</si>
  <si>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</si>
  <si>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</si>
  <si>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</si>
  <si>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</si>
  <si>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</si>
  <si>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</si>
  <si>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</si>
  <si>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</si>
  <si>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</si>
  <si>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</si>
  <si>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</si>
  <si>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</si>
  <si>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</si>
  <si>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</si>
  <si>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</si>
  <si>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</si>
  <si>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</si>
  <si>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</si>
  <si>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</si>
  <si>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</si>
  <si>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</si>
  <si>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</si>
  <si>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</si>
  <si>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</si>
  <si>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</si>
  <si>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</si>
  <si>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</si>
  <si>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</si>
  <si>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</si>
  <si>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</si>
  <si>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</si>
  <si>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</si>
  <si>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</si>
  <si>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</si>
  <si>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</si>
  <si>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</si>
  <si>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</si>
  <si>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</si>
  <si>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</si>
  <si>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</si>
  <si>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</si>
  <si>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</si>
  <si>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</si>
  <si>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</si>
  <si>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</si>
  <si>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</si>
  <si>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</si>
  <si>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</si>
  <si>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</si>
  <si>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</si>
  <si>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</si>
  <si>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</si>
  <si>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</si>
  <si>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</si>
  <si>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</si>
  <si>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</si>
  <si>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</si>
  <si>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</si>
  <si>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</si>
  <si>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</si>
  <si>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</si>
  <si>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</si>
  <si>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</si>
  <si>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</si>
  <si>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</si>
  <si>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</si>
  <si>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</si>
  <si>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</si>
  <si>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</si>
  <si>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</si>
  <si>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</si>
  <si>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</si>
  <si>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</si>
  <si>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</si>
  <si>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</si>
  <si>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</si>
  <si>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</si>
  <si>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</si>
  <si>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</si>
  <si>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</si>
  <si>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</si>
  <si>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</si>
  <si>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</si>
  <si>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</si>
  <si>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</si>
  <si>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</si>
  <si>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</si>
  <si>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</si>
  <si>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</si>
  <si>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</si>
  <si>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</si>
  <si>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</si>
  <si>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</si>
  <si>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</si>
  <si>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</si>
  <si>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</si>
  <si>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</si>
  <si>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</si>
  <si>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</si>
  <si>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</si>
  <si>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</si>
  <si>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</si>
  <si>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</si>
  <si>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</si>
  <si>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</si>
  <si>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</si>
  <si>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</si>
  <si>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</si>
  <si>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</si>
  <si>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</si>
  <si>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</si>
  <si>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</si>
  <si>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</si>
  <si>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</si>
  <si>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</si>
  <si>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</si>
  <si>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</si>
  <si>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</si>
  <si>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</si>
  <si>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</si>
  <si>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</si>
  <si>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</si>
  <si>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</si>
  <si>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</si>
  <si>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</si>
  <si>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</si>
  <si>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</si>
  <si>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</si>
  <si>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</si>
  <si>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</si>
  <si>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</si>
  <si>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</si>
  <si>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</si>
  <si>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</si>
  <si>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</si>
  <si>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</si>
  <si>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</si>
  <si>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</si>
  <si>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</si>
  <si>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</si>
  <si>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</si>
  <si>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</si>
  <si>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</si>
  <si>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</si>
  <si>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</si>
  <si>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</si>
  <si>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</si>
  <si>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</si>
  <si>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</si>
  <si>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</si>
  <si>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</si>
  <si>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</si>
  <si>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</si>
  <si>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</si>
  <si>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</si>
  <si>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</si>
  <si>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</si>
  <si>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</si>
  <si>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</si>
  <si>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</si>
  <si>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</si>
  <si>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</si>
  <si>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</si>
  <si>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</si>
  <si>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</si>
  <si>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</si>
  <si>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</si>
  <si>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</si>
  <si>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</si>
  <si>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</si>
  <si>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</si>
  <si>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</si>
  <si>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</si>
  <si>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</si>
  <si>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</si>
  <si>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</si>
  <si>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</si>
  <si>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</si>
  <si>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</si>
  <si>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</si>
  <si>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</si>
  <si>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</si>
  <si>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</si>
  <si>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</si>
  <si>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</si>
  <si>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</si>
  <si>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</si>
  <si>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</si>
  <si>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</si>
  <si>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</si>
  <si>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</si>
  <si>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</si>
  <si>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</si>
  <si>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</si>
  <si>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</si>
  <si>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</si>
  <si>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</si>
  <si>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</si>
  <si>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</si>
  <si>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</si>
  <si>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</si>
  <si>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</si>
  <si>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</si>
  <si>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</si>
  <si>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</si>
  <si>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</si>
  <si>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</si>
  <si>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</si>
  <si>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</si>
  <si>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</si>
  <si>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</si>
  <si>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</si>
  <si>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</si>
  <si>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</si>
  <si>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</si>
  <si>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</si>
  <si>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</si>
  <si>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</si>
  <si>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</si>
  <si>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</si>
  <si>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</si>
  <si>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</si>
  <si>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</si>
  <si>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</si>
  <si>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</si>
  <si>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</si>
  <si>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</si>
  <si>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</si>
  <si>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</si>
  <si>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</si>
  <si>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</si>
  <si>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</si>
  <si>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</si>
  <si>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</si>
  <si>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</si>
  <si>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BE-01</t>
  </si>
  <si>
    <t>BE-02</t>
  </si>
  <si>
    <t>BE-03</t>
  </si>
  <si>
    <t>BE-04</t>
  </si>
  <si>
    <t>BE-05</t>
  </si>
  <si>
    <t>BE-06</t>
  </si>
  <si>
    <t>BE-07</t>
  </si>
  <si>
    <t>BE-08</t>
  </si>
  <si>
    <t>BE-09</t>
  </si>
  <si>
    <t>BE-10</t>
  </si>
  <si>
    <t>BE-11</t>
  </si>
  <si>
    <t>BE-12</t>
  </si>
  <si>
    <t>BE-13</t>
  </si>
  <si>
    <t>(dropped) BD-14</t>
  </si>
  <si>
    <t>(dropped) BD-15</t>
  </si>
  <si>
    <t>(dropped) BD-16</t>
  </si>
  <si>
    <t>(dropped) BD-17</t>
  </si>
  <si>
    <t>(dropped) BD-18</t>
  </si>
  <si>
    <t>(dropped) BD-19</t>
  </si>
  <si>
    <t>(dropped) BD-20</t>
  </si>
  <si>
    <t>(dropped) BD-21</t>
  </si>
  <si>
    <t>(dropped) BD-22</t>
  </si>
  <si>
    <t>(dropped) BD-23</t>
  </si>
  <si>
    <t>(dropped) BD-24</t>
  </si>
  <si>
    <t>(dropped) BD-25</t>
  </si>
  <si>
    <t>(dropped) BD-26</t>
  </si>
  <si>
    <t>(dropped) BD-27</t>
  </si>
  <si>
    <t>(dropped) BD-28</t>
  </si>
  <si>
    <t>(dropped) BD-29</t>
  </si>
  <si>
    <t>(dropped) 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</si>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</sst>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0" borderId="0" xfId="0" applyFont="1"/>
    <xf numFmtId="168" fontId="0" fillId="0" borderId="0" xfId="0" applyNumberFormat="1"/>
    <xf numFmtId="0" fontId="32" fillId="0" borderId="0" xfId="0" applyFont="1"/>
    <xf numFmtId="0" fontId="33" fillId="0" borderId="0" xfId="0" applyFont="1"/>
    <xf numFmtId="0" fontId="34" fillId="4" borderId="0" xfId="0" applyFont="1" applyFill="1"/>
    <xf numFmtId="3" fontId="18" fillId="0" borderId="0" xfId="0" applyNumberFormat="1" applyFont="1"/>
    <xf numFmtId="0" fontId="34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/>
    <xf numFmtId="0" fontId="3" fillId="15" borderId="0" xfId="0" applyFont="1" applyFill="1"/>
    <xf numFmtId="0" fontId="35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4" fillId="18" borderId="0" xfId="0" applyFont="1" applyFill="1"/>
    <xf numFmtId="0" fontId="3" fillId="19" borderId="0" xfId="0" applyFont="1" applyFill="1"/>
    <xf numFmtId="0" fontId="36" fillId="0" borderId="0" xfId="0" applyFont="1"/>
    <xf numFmtId="164" fontId="3" fillId="19" borderId="0" xfId="0" applyNumberFormat="1" applyFont="1" applyFill="1"/>
    <xf numFmtId="0" fontId="34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4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4" fillId="3" borderId="0" xfId="0" applyFont="1" applyFill="1"/>
    <xf numFmtId="0" fontId="34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7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7" fillId="0" borderId="0" xfId="0" applyNumberFormat="1" applyFont="1"/>
    <xf numFmtId="0" fontId="38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9" fillId="0" borderId="0" xfId="0" applyFont="1"/>
    <xf numFmtId="0" fontId="40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6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00" t="s">
        <v>62</v>
      </c>
      <c r="B1" s="201"/>
      <c r="C1" s="201"/>
      <c r="D1" s="201"/>
      <c r="E1" s="201"/>
      <c r="F1" s="1"/>
      <c r="G1" s="1"/>
      <c r="H1" s="1"/>
      <c r="I1" s="1"/>
    </row>
    <row r="2" spans="1:9" ht="15" customHeight="1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</row>
    <row r="3" spans="1:9" ht="15" customHeight="1" x14ac:dyDescent="0.25">
      <c r="A3" s="4" t="s">
        <v>71</v>
      </c>
      <c r="B3" s="5">
        <f>Model!C7+Model!D7+Model!E7+Model!F7+Model!G7+Model!H7+Model!I7+Model!J7+Model!K7</f>
        <v>49799774.817081191</v>
      </c>
      <c r="C3" s="5">
        <f>Model!L7+Model!M7+Model!N7+Model!O7+Model!P7+Model!Q7+Model!R7+Model!S7+Model!T7+Model!U7+Model!V7+Model!W7</f>
        <v>87218736.625086829</v>
      </c>
      <c r="D3" s="5">
        <f>Model!X7+Model!Y7+Model!Z7+Model!AA7+Model!AB7+Model!AC7+Model!AD7+Model!AE7+Model!AF7+Model!AG7+Model!AH7+Model!AI7</f>
        <v>53453480.678054005</v>
      </c>
      <c r="E3" s="5">
        <f>Model!AJ7+Model!AK7+Model!AL7+Model!AM7+Model!AN7+Model!AO7+Model!AP7+Model!AQ7+Model!AR7+Model!AS7+Model!AT7+Model!AU7</f>
        <v>62244170.824766003</v>
      </c>
      <c r="F3" s="5">
        <f>Model!AV7+Model!AW7+Model!AX7+Model!AY7+Model!AZ7+Model!BA7+Model!BB7+Model!BC7+Model!BD7+Model!BE7+Model!BF7+Model!BG7</f>
        <v>61258749.920151994</v>
      </c>
      <c r="G3" s="5">
        <f>Model!BH7+Model!BI7+Model!BJ7+Model!BK7+Model!BL7+Model!BM7+Model!BN7+Model!BO7+Model!BP7+Model!BQ7+Model!BR7+Model!BS7</f>
        <v>48397755</v>
      </c>
      <c r="H3" s="5">
        <f>Model!BT7+Model!BU7+Model!BV7+Model!BW7+Model!BX7+Model!BY7+Model!BZ7+Model!CA7+Model!CB7+Model!CC7+Model!CD7+Model!CE7</f>
        <v>56955885</v>
      </c>
      <c r="I3" s="5">
        <f>Model!CF7+Model!CG7+Model!CH7</f>
        <v>10628505</v>
      </c>
    </row>
    <row r="4" spans="1:9" ht="15" customHeight="1" x14ac:dyDescent="0.25">
      <c r="A4" s="6" t="s">
        <v>72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73</v>
      </c>
      <c r="B5" s="8">
        <f>Model!C8+Model!D8+Model!E8+Model!F8+Model!G8+Model!H8+Model!I8+Model!J8+Model!K8</f>
        <v>2130762.9750811686</v>
      </c>
      <c r="C5" s="8">
        <f>Model!L8+Model!M8+Model!N8+Model!O8+Model!P8+Model!Q8+Model!R8+Model!S8+Model!T8+Model!U8+Model!V8+Model!W8</f>
        <v>3682035.4976055189</v>
      </c>
      <c r="D5" s="8">
        <f>Model!X8+Model!Y8+Model!Z8+Model!AA8+Model!AB8+Model!AC8+Model!AD8+Model!AE8+Model!AF8+Model!AG8+Model!AH8+Model!AI8</f>
        <v>3236307.5618100641</v>
      </c>
      <c r="E5" s="8">
        <f>Model!AJ8+Model!AK8+Model!AL8+Model!AM8+Model!AN8+Model!AO8+Model!AP8+Model!AQ8+Model!AR8+Model!AS8+Model!AT8+Model!AU8</f>
        <v>2930680.3317370121</v>
      </c>
      <c r="F5" s="8">
        <f>Model!AV8+Model!AW8+Model!AX8+Model!AY8+Model!AZ8+Model!BA8+Model!BB8+Model!BC8+Model!BD8+Model!BE8+Model!BF8+Model!BG8</f>
        <v>3139915.3448051945</v>
      </c>
      <c r="G5" s="8">
        <f>Model!BH8+Model!BI8+Model!BJ8+Model!BK8+Model!BL8+Model!BM8+Model!BN8+Model!BO8+Model!BP8+Model!BQ8+Model!BR8+Model!BS8</f>
        <v>2374188.3116883109</v>
      </c>
      <c r="H5" s="8">
        <f>Model!BT8+Model!BU8+Model!BV8+Model!BW8+Model!BX8+Model!BY8+Model!BZ8+Model!CA8+Model!CB8+Model!CC8+Model!CD8+Model!CE8</f>
        <v>2644480.519480519</v>
      </c>
      <c r="I5" s="8">
        <f>Model!CF8+Model!CG8+Model!CH8</f>
        <v>460227.27272727265</v>
      </c>
    </row>
    <row r="6" spans="1:9" ht="15" customHeight="1" x14ac:dyDescent="0.25">
      <c r="A6" s="7" t="s">
        <v>74</v>
      </c>
      <c r="B6" s="8">
        <f>Model!C9+Model!D9+Model!E9+Model!F9+Model!G9+Model!H9+Model!I9+Model!J9+Model!K9</f>
        <v>2317007.3681604122</v>
      </c>
      <c r="C6" s="8">
        <f>Model!L9+Model!M9+Model!N9+Model!O9+Model!P9+Model!Q9+Model!R9+Model!S9+Model!T9+Model!U9+Model!V9+Model!W9</f>
        <v>4155089.1084658671</v>
      </c>
      <c r="D6" s="8">
        <f>Model!X9+Model!Y9+Model!Z9+Model!AA9+Model!AB9+Model!AC9+Model!AD9+Model!AE9+Model!AF9+Model!AG9+Model!AH9+Model!AI9</f>
        <v>2662679.6052346411</v>
      </c>
      <c r="E6" s="8">
        <f>Model!AJ9+Model!AK9+Model!AL9+Model!AM9+Model!AN9+Model!AO9+Model!AP9+Model!AQ9+Model!AR9+Model!AS9+Model!AT9+Model!AU9</f>
        <v>3028614.2013081666</v>
      </c>
      <c r="F6" s="8">
        <f>Model!AV9+Model!AW9+Model!AX9+Model!AY9+Model!AZ9+Model!BA9+Model!BB9+Model!BC9+Model!BD9+Model!BE9+Model!BF9+Model!BG9</f>
        <v>3051795.9752018373</v>
      </c>
      <c r="G6" s="8">
        <f>Model!BH9+Model!BI9+Model!BJ9+Model!BK9+Model!BL9+Model!BM9+Model!BN9+Model!BO9+Model!BP9+Model!BQ9+Model!BR9+Model!BS9</f>
        <v>2356064.9634740255</v>
      </c>
      <c r="H6" s="8">
        <f>Model!BT9+Model!BU9+Model!BV9+Model!BW9+Model!BX9+Model!BY9+Model!BZ9+Model!CA9+Model!CB9+Model!CC9+Model!CD9+Model!CE9</f>
        <v>2752017.4066558434</v>
      </c>
      <c r="I6" s="8">
        <f>Model!CF9+Model!CG9+Model!CH9</f>
        <v>491740.89691558434</v>
      </c>
    </row>
    <row r="7" spans="1:9" ht="15" customHeight="1" x14ac:dyDescent="0.25">
      <c r="A7" s="7" t="s">
        <v>75</v>
      </c>
      <c r="B7" s="8">
        <f>Model!C10+Model!D10+Model!E10+Model!F10+Model!G10+Model!H10+Model!I10+Model!J10+Model!K10</f>
        <v>591047.57606872299</v>
      </c>
      <c r="C7" s="8">
        <f>Model!L10+Model!M10+Model!N10+Model!O10+Model!P10+Model!Q10+Model!R10+Model!S10+Model!T10+Model!U10+Model!V10+Model!W10</f>
        <v>1126834.5814935067</v>
      </c>
      <c r="D7" s="8">
        <f>Model!X10+Model!Y10+Model!Z10+Model!AA10+Model!AB10+Model!AC10+Model!AD10+Model!AE10+Model!AF10+Model!AG10+Model!AH10+Model!AI10</f>
        <v>1078769.1872700215</v>
      </c>
      <c r="E7" s="8">
        <f>Model!AJ10+Model!AK10+Model!AL10+Model!AM10+Model!AN10+Model!AO10+Model!AP10+Model!AQ10+Model!AR10+Model!AS10+Model!AT10+Model!AU10</f>
        <v>976893.44391233765</v>
      </c>
      <c r="F7" s="8">
        <f>Model!AV10+Model!AW10+Model!AX10+Model!AY10+Model!AZ10+Model!BA10+Model!BB10+Model!BC10+Model!BD10+Model!BE10+Model!BF10+Model!BG10</f>
        <v>1046638.4482683983</v>
      </c>
      <c r="G7" s="8">
        <f>Model!BH10+Model!BI10+Model!BJ10+Model!BK10+Model!BL10+Model!BM10+Model!BN10+Model!BO10+Model!BP10+Model!BQ10+Model!BR10+Model!BS10</f>
        <v>791396.10389610392</v>
      </c>
      <c r="H7" s="8">
        <f>Model!BT10+Model!BU10+Model!BV10+Model!BW10+Model!BX10+Model!BY10+Model!BZ10+Model!CA10+Model!CB10+Model!CC10+Model!CD10+Model!CE10</f>
        <v>881493.50649350672</v>
      </c>
      <c r="I7" s="8">
        <f>Model!CF10+Model!CG10+Model!CH10</f>
        <v>153409.09090909091</v>
      </c>
    </row>
    <row r="8" spans="1:9" ht="15" customHeight="1" x14ac:dyDescent="0.25">
      <c r="A8" s="7" t="s">
        <v>76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77</v>
      </c>
      <c r="B9" s="10">
        <f>Model!C12+Model!D12+Model!E12+Model!F12+Model!G12+Model!H12+Model!I12+Model!J12+Model!K12</f>
        <v>6444355.5393103035</v>
      </c>
      <c r="C9" s="10">
        <f>Model!L12+Model!M12+Model!N12+Model!O12+Model!P12+Model!Q12+Model!R12+Model!S12+Model!T12+Model!U12+Model!V12+Model!W12</f>
        <v>9642960.7375648916</v>
      </c>
      <c r="D9" s="10">
        <f>Model!X12+Model!Y12+Model!Z12+Model!AA12+Model!AB12+Model!AC12+Model!AD12+Model!AE12+Model!AF12+Model!AG12+Model!AH12+Model!AI12</f>
        <v>7598075.8343147272</v>
      </c>
      <c r="E9" s="10">
        <f>Model!AJ12+Model!AK12+Model!AL12+Model!AM12+Model!AN12+Model!AO12+Model!AP12+Model!AQ12+Model!AR12+Model!AS12+Model!AT12+Model!AU12</f>
        <v>6936187.9769575177</v>
      </c>
      <c r="F9" s="10">
        <f>Model!AV12+Model!AW12+Model!AX12+Model!AY12+Model!AZ12+Model!BA12+Model!BB12+Model!BC12+Model!BD12+Model!BE12+Model!BF12+Model!BG12</f>
        <v>7238349.7682754286</v>
      </c>
      <c r="G9" s="10">
        <f>Model!BH12+Model!BI12+Model!BJ12+Model!BK12+Model!BL12+Model!BM12+Model!BN12+Model!BO12+Model!BP12+Model!BQ12+Model!BR12+Model!BS12</f>
        <v>5521649.3790584402</v>
      </c>
      <c r="H9" s="10">
        <f>Model!BT12+Model!BU12+Model!BV12+Model!BW12+Model!BX12+Model!BY12+Model!BZ12+Model!CA12+Model!CB12+Model!CC12+Model!CD12+Model!CE12</f>
        <v>6277991.4326298693</v>
      </c>
      <c r="I9" s="10">
        <f>Model!CF12+Model!CG12+Model!CH12</f>
        <v>1105377.2605519481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78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79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80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81</v>
      </c>
      <c r="B14" s="8">
        <f>Model!C18+Model!D18+Model!E18+Model!F18+Model!G18+Model!H18+Model!I18+Model!J18+Model!K18</f>
        <v>-657750.00000000023</v>
      </c>
      <c r="C14" s="8">
        <f>Model!L18+Model!M18+Model!N18+Model!O18+Model!P18+Model!Q18+Model!R18+Model!S18+Model!T18+Model!U18+Model!V18+Model!W18</f>
        <v>-890155.00000000012</v>
      </c>
      <c r="D14" s="8">
        <f>Model!X18+Model!Y18+Model!Z18+Model!AA18+Model!AB18+Model!AC18+Model!AD18+Model!AE18+Model!AF18+Model!AG18+Model!AH18+Model!AI18</f>
        <v>-907958.10000000021</v>
      </c>
      <c r="E14" s="8">
        <f>Model!AJ18+Model!AK18+Model!AL18+Model!AM18+Model!AN18+Model!AO18+Model!AP18+Model!AQ18+Model!AR18+Model!AS18+Model!AT18+Model!AU18</f>
        <v>-926117.2620000001</v>
      </c>
      <c r="F14" s="8">
        <f>Model!AV18+Model!AW18+Model!AX18+Model!AY18+Model!AZ18+Model!BA18+Model!BB18+Model!BC18+Model!BD18+Model!BE18+Model!BF18+Model!BG18</f>
        <v>-944639.60723999981</v>
      </c>
      <c r="G14" s="8">
        <f>Model!BH18+Model!BI18+Model!BJ18+Model!BK18+Model!BL18+Model!BM18+Model!BN18+Model!BO18+Model!BP18+Model!BQ18+Model!BR18+Model!BS18</f>
        <v>-963532.39938480023</v>
      </c>
      <c r="H14" s="8">
        <f>Model!BT18+Model!BU18+Model!BV18+Model!BW18+Model!BX18+Model!BY18+Model!BZ18+Model!CA18+Model!CB18+Model!CC18+Model!CD18+Model!CE18</f>
        <v>-982803.04737249599</v>
      </c>
      <c r="I14" s="8">
        <f>Model!CF18+Model!CG18+Model!CH18</f>
        <v>-246911.11042363205</v>
      </c>
    </row>
    <row r="15" spans="1:9" ht="15" customHeight="1" x14ac:dyDescent="0.25">
      <c r="A15" s="9" t="s">
        <v>82</v>
      </c>
      <c r="B15" s="10">
        <f>Model!C39+Model!D39+Model!E39+Model!F39+Model!G39+Model!H39+Model!I39+Model!J39+Model!K39</f>
        <v>-4234726.8442000002</v>
      </c>
      <c r="C15" s="10">
        <f>Model!L39+Model!M39+Model!N39+Model!O39+Model!P39+Model!Q39+Model!R39+Model!S39+Model!T39+Model!U39+Model!V39+Model!W39</f>
        <v>-6459215.2156999987</v>
      </c>
      <c r="D15" s="10">
        <f>Model!X39+Model!Y39+Model!Z39+Model!AA39+Model!AB39+Model!AC39+Model!AD39+Model!AE39+Model!AF39+Model!AG39+Model!AH39+Model!AI39</f>
        <v>-6446293.7945140013</v>
      </c>
      <c r="E15" s="10">
        <f>Model!AJ39+Model!AK39+Model!AL39+Model!AM39+Model!AN39+Model!AO39+Model!AP39+Model!AQ39+Model!AR39+Model!AS39+Model!AT39+Model!AU39</f>
        <v>-5109215.7796042794</v>
      </c>
      <c r="F15" s="10">
        <f>Model!AV39+Model!AW39+Model!AX39+Model!AY39+Model!AZ39+Model!BA39+Model!BB39+Model!BC39+Model!BD39+Model!BE39+Model!BF39+Model!BG39</f>
        <v>-5158902.2551963646</v>
      </c>
      <c r="G15" s="10">
        <f>Model!BH39+Model!BI39+Model!BJ39+Model!BK39+Model!BL39+Model!BM39+Model!BN39+Model!BO39+Model!BP39+Model!BQ39+Model!BR39+Model!BS39</f>
        <v>-5197342.4603002928</v>
      </c>
      <c r="H15" s="10">
        <f>Model!BT39+Model!BU39+Model!BV39+Model!BW39+Model!BX39+Model!BY39+Model!BZ39+Model!CA39+Model!CB39+Model!CC39+Model!CD39+Model!CE39</f>
        <v>-5140551.4695062982</v>
      </c>
      <c r="I15" s="10">
        <f>Model!CF39+Model!CG39+Model!CH39</f>
        <v>-1274100.5021912376</v>
      </c>
    </row>
    <row r="16" spans="1:9" ht="15" customHeight="1" x14ac:dyDescent="0.25">
      <c r="A16" s="13" t="s">
        <v>83</v>
      </c>
      <c r="B16" s="14">
        <f>Model!C41+Model!D41+Model!E41+Model!F41+Model!G41+Model!H41+Model!I41+Model!J41+Model!K41</f>
        <v>2209628.6951103033</v>
      </c>
      <c r="C16" s="14">
        <f>Model!L41+Model!M41+Model!N41+Model!O41+Model!P41+Model!Q41+Model!R41+Model!S41+Model!T41+Model!U41+Model!V41+Model!W41</f>
        <v>3183745.5218648915</v>
      </c>
      <c r="D16" s="14">
        <f>Model!X41+Model!Y41+Model!Z41+Model!AA41+Model!AB41+Model!AC41+Model!AD41+Model!AE41+Model!AF41+Model!AG41+Model!AH41+Model!AI41</f>
        <v>1151782.0398007266</v>
      </c>
      <c r="E16" s="14">
        <f>Model!AJ41+Model!AK41+Model!AL41+Model!AM41+Model!AN41+Model!AO41+Model!AP41+Model!AQ41+Model!AR41+Model!AS41+Model!AT41+Model!AU41</f>
        <v>1826972.1973532371</v>
      </c>
      <c r="F16" s="14">
        <f>Model!AV41+Model!AW41+Model!AX41+Model!AY41+Model!AZ41+Model!BA41+Model!BB41+Model!BC41+Model!BD41+Model!BE41+Model!BF41+Model!BG41</f>
        <v>2079447.5130790635</v>
      </c>
      <c r="G16" s="14">
        <f>Model!BH41+Model!BI41+Model!BJ41+Model!BK41+Model!BL41+Model!BM41+Model!BN41+Model!BO41+Model!BP41+Model!BQ41+Model!BR41+Model!BS41</f>
        <v>324306.91875814676</v>
      </c>
      <c r="H16" s="14">
        <f>Model!BT41+Model!BU41+Model!BV41+Model!BW41+Model!BX41+Model!BY41+Model!BZ41+Model!CA41+Model!CB41+Model!CC41+Model!CD41+Model!CE41</f>
        <v>1137439.96312357</v>
      </c>
      <c r="I16" s="14">
        <f>Model!CF41+Model!CG41+Model!CH41</f>
        <v>-168723.24163928977</v>
      </c>
    </row>
    <row r="17" spans="1:9" ht="15" customHeight="1" x14ac:dyDescent="0.25">
      <c r="A17" s="7" t="s">
        <v>84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0.34287814842487496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0.33016265527892974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0.15158864756245305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0.26339715754857879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0.28728198824999607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5.8733703734996673E-2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0.18117896071213543</v>
      </c>
      <c r="I17" s="15">
        <f>IF((Model!CF12+Model!CG12+Model!CH12)&lt;&gt;0,(Model!CF41+Model!CG41+Model!CH41)/(Model!CF12+Model!CG12+Model!CH12),0)</f>
        <v>-0.15263860372434401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85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86</v>
      </c>
      <c r="B20" s="8">
        <f>Model!C85+Model!D85+Model!E85+Model!F85+Model!G85+Model!H85+Model!I85+Model!J85+Model!K85</f>
        <v>-928831.25000000023</v>
      </c>
      <c r="C20" s="8">
        <f>Model!L85+Model!M85+Model!N85+Model!O85+Model!P85+Model!Q85+Model!R85+Model!S85+Model!T85+Model!U85+Model!V85+Model!W85</f>
        <v>-1242351.625</v>
      </c>
      <c r="D20" s="8">
        <f>Model!X85+Model!Y85+Model!Z85+Model!AA85+Model!AB85+Model!AC85+Model!AD85+Model!AE85+Model!AF85+Model!AG85+Model!AH85+Model!AI85</f>
        <v>-1267198.6575000004</v>
      </c>
      <c r="E20" s="8">
        <f>Model!AJ85+Model!AK85+Model!AL85+Model!AM85+Model!AN85+Model!AO85+Model!AP85+Model!AQ85+Model!AR85+Model!AS85+Model!AT85+Model!AU85</f>
        <v>-1455907.6306499999</v>
      </c>
      <c r="F20" s="8">
        <f>Model!AV85+Model!AW85+Model!AX85+Model!AY85+Model!AZ85+Model!BA85+Model!BB85+Model!BC85+Model!BD85+Model!BE85+Model!BF85+Model!BG85</f>
        <v>-2595350.4832629999</v>
      </c>
      <c r="G20" s="8">
        <f>Model!BH85+Model!BI85+Model!BJ85+Model!BK85+Model!BL85+Model!BM85+Model!BN85+Model!BO85+Model!BP85+Model!BQ85+Model!BR85+Model!BS85</f>
        <v>-1772045.8329282599</v>
      </c>
      <c r="H20" s="8">
        <f>Model!BT85+Model!BU85+Model!BV85+Model!BW85+Model!BX85+Model!BY85+Model!BZ85+Model!CA85+Model!CB85+Model!CC85+Model!CD85+Model!CE85</f>
        <v>-1903127.5799868254</v>
      </c>
      <c r="I20" s="8">
        <f>Model!CF85+Model!CG85+Model!CH85</f>
        <v>-480063.54044031724</v>
      </c>
    </row>
    <row r="21" spans="1:9" ht="15" customHeight="1" x14ac:dyDescent="0.25">
      <c r="A21" s="13" t="s">
        <v>87</v>
      </c>
      <c r="B21" s="14">
        <f>Model!C87+Model!D87+Model!E87+Model!F87+Model!G87+Model!H87+Model!I87+Model!J87+Model!K87</f>
        <v>-558383.35000000021</v>
      </c>
      <c r="C21" s="14">
        <f>Model!L87+Model!M87+Model!N87+Model!O87+Model!P87+Model!Q87+Model!R87+Model!S87+Model!T87+Model!U87+Model!V87+Model!W87</f>
        <v>-927539.12500000012</v>
      </c>
      <c r="D21" s="14">
        <f>Model!X87+Model!Y87+Model!Z87+Model!AA87+Model!AB87+Model!AC87+Model!AD87+Model!AE87+Model!AF87+Model!AG87+Model!AH87+Model!AI87</f>
        <v>-1066948.6575000004</v>
      </c>
      <c r="E21" s="14">
        <f>Model!AJ87+Model!AK87+Model!AL87+Model!AM87+Model!AN87+Model!AO87+Model!AP87+Model!AQ87+Model!AR87+Model!AS87+Model!AT87+Model!AU87</f>
        <v>-1292542.6306499999</v>
      </c>
      <c r="F21" s="14">
        <f>Model!AV87+Model!AW87+Model!AX87+Model!AY87+Model!AZ87+Model!BA87+Model!BB87+Model!BC87+Model!BD87+Model!BE87+Model!BF87+Model!BG87</f>
        <v>-1318393.4832629999</v>
      </c>
      <c r="G21" s="14">
        <f>Model!BH87+Model!BI87+Model!BJ87+Model!BK87+Model!BL87+Model!BM87+Model!BN87+Model!BO87+Model!BP87+Model!BQ87+Model!BR87+Model!BS87</f>
        <v>-1225485.8329282599</v>
      </c>
      <c r="H21" s="14">
        <f>Model!BT87+Model!BU87+Model!BV87+Model!BW87+Model!BX87+Model!BY87+Model!BZ87+Model!CA87+Model!CB87+Model!CC87+Model!CD87+Model!CE87</f>
        <v>-1083134.5799868256</v>
      </c>
      <c r="I21" s="14">
        <f>Model!CF87+Model!CG87+Model!CH87</f>
        <v>-249047.54044031724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88</v>
      </c>
      <c r="B23" s="14">
        <f>Model!C96+Model!D96+Model!E96+Model!F96+Model!G96+Model!H96+Model!I96+Model!J96+Model!K96</f>
        <v>1651245.3451103028</v>
      </c>
      <c r="C23" s="14">
        <f>Model!L96+Model!M96+Model!N96+Model!O96+Model!P96+Model!Q96+Model!R96+Model!S96+Model!T96+Model!U96+Model!V96+Model!W96</f>
        <v>2256206.3968648915</v>
      </c>
      <c r="D23" s="14">
        <f>Model!X96+Model!Y96+Model!Z96+Model!AA96+Model!AB96+Model!AC96+Model!AD96+Model!AE96+Model!AF96+Model!AG96+Model!AH96+Model!AI96</f>
        <v>84833.382300726196</v>
      </c>
      <c r="E23" s="14">
        <f>Model!AJ96+Model!AK96+Model!AL96+Model!AM96+Model!AN96+Model!AO96+Model!AP96+Model!AQ96+Model!AR96+Model!AS96+Model!AT96+Model!AU96</f>
        <v>534429.56670323701</v>
      </c>
      <c r="F23" s="14">
        <f>Model!AV96+Model!AW96+Model!AX96+Model!AY96+Model!AZ96+Model!BA96+Model!BB96+Model!BC96+Model!BD96+Model!BE96+Model!BF96+Model!BG96</f>
        <v>761054.02981606394</v>
      </c>
      <c r="G23" s="14">
        <f>Model!BH96+Model!BI96+Model!BJ96+Model!BK96+Model!BL96+Model!BM96+Model!BN96+Model!BO96+Model!BP96+Model!BQ96+Model!BR96+Model!BS96</f>
        <v>-901178.91417011293</v>
      </c>
      <c r="H23" s="14">
        <f>Model!BT96+Model!BU96+Model!BV96+Model!BW96+Model!BX96+Model!BY96+Model!BZ96+Model!CA96+Model!CB96+Model!CC96+Model!CD96+Model!CE96</f>
        <v>54305.383136744902</v>
      </c>
      <c r="I23" s="14">
        <f>Model!CF96+Model!CG96+Model!CH96</f>
        <v>-417770.78207960696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89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90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91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92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93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94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95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96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97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98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99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100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101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102</v>
      </c>
      <c r="B40" s="8">
        <f>Model!K141</f>
        <v>89880219.287110507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103</v>
      </c>
      <c r="B42" s="19">
        <f>Model!K148</f>
        <v>3861544.3851103038</v>
      </c>
      <c r="C42" s="19">
        <f>Model!W148</f>
        <v>7045289.9069751957</v>
      </c>
      <c r="D42" s="19">
        <f>Model!AI148</f>
        <v>8197071.9467759226</v>
      </c>
      <c r="E42" s="19">
        <f>Model!AU148</f>
        <v>10024044.144129161</v>
      </c>
      <c r="F42" s="19">
        <f>Model!BG148</f>
        <v>12103491.657208223</v>
      </c>
      <c r="G42" s="19">
        <f>Model!BS148</f>
        <v>12427798.575966369</v>
      </c>
      <c r="H42" s="19">
        <f>Model!CE148</f>
        <v>13565238.539089937</v>
      </c>
      <c r="I42" s="19">
        <f>Model!CH148</f>
        <v>13396515.297450649</v>
      </c>
    </row>
    <row r="43" spans="1:9" ht="15" customHeight="1" x14ac:dyDescent="0.25">
      <c r="A43" s="18" t="s">
        <v>104</v>
      </c>
      <c r="B43" s="19">
        <f>Model!K156</f>
        <v>-496752.19000000018</v>
      </c>
      <c r="C43" s="19">
        <f>Model!W156</f>
        <v>-3170260.5582854454</v>
      </c>
      <c r="D43" s="19">
        <f>Model!AI156</f>
        <v>-4487209.2157854456</v>
      </c>
      <c r="E43" s="19">
        <f>Model!AU156</f>
        <v>-5779751.8464354482</v>
      </c>
      <c r="F43" s="19">
        <f>Model!BG156</f>
        <v>-7098145.3296984509</v>
      </c>
      <c r="G43" s="19">
        <f>Model!BS156</f>
        <v>-8323631.1626267098</v>
      </c>
      <c r="H43" s="19">
        <f>Model!CE156</f>
        <v>-9406765.7426135354</v>
      </c>
      <c r="I43" s="19">
        <f>Model!CH156</f>
        <v>-9655813.2830538526</v>
      </c>
    </row>
    <row r="44" spans="1:9" ht="15" customHeight="1" x14ac:dyDescent="0.25">
      <c r="A44" s="18" t="s">
        <v>105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-495373.60353309079</v>
      </c>
      <c r="D44" s="19">
        <f>Model!X160+Model!Y160+Model!Z160+Model!AA160+Model!AB160+Model!AC160+Model!AD160+Model!AE160+Model!AF160+Model!AG160+Model!AH160+Model!AI160</f>
        <v>-676861.91905946739</v>
      </c>
      <c r="E44" s="19">
        <f>Model!AJ160+Model!AK160+Model!AL160+Model!AM160+Model!AN160+Model!AO160+Model!AP160+Model!AQ160+Model!AR160+Model!AS160+Model!AT160+Model!AU160</f>
        <v>-25450.014690217857</v>
      </c>
      <c r="F44" s="19">
        <f>Model!AV160+Model!AW160+Model!AX160+Model!AY160+Model!AZ160+Model!BA160+Model!BB160+Model!BC160+Model!BD160+Model!BE160+Model!BF160+Model!BG160</f>
        <v>-160328.87001097109</v>
      </c>
      <c r="G44" s="19">
        <f>Model!BH160+Model!BI160+Model!BJ160+Model!BK160+Model!BL160+Model!BM160+Model!BN160+Model!BO160+Model!BP160+Model!BQ160+Model!BR160+Model!BS160</f>
        <v>-228316.20894481917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-16291.61494102347</v>
      </c>
    </row>
    <row r="45" spans="1:9" ht="15" customHeight="1" x14ac:dyDescent="0.25">
      <c r="A45" s="20" t="s">
        <v>106</v>
      </c>
      <c r="B45" s="21">
        <f>Model!K161</f>
        <v>3364792.1951103033</v>
      </c>
      <c r="C45" s="21">
        <f>Model!W161</f>
        <v>3875029.3486897503</v>
      </c>
      <c r="D45" s="21">
        <f>Model!AI161</f>
        <v>3709862.7309904769</v>
      </c>
      <c r="E45" s="21">
        <f>Model!AU161</f>
        <v>4244292.2976937136</v>
      </c>
      <c r="F45" s="21">
        <f>Model!BG161</f>
        <v>5005346.327509773</v>
      </c>
      <c r="G45" s="21">
        <f>Model!BS161</f>
        <v>4104167.4133396596</v>
      </c>
      <c r="H45" s="21">
        <f>Model!CE161</f>
        <v>4158472.7964764023</v>
      </c>
      <c r="I45" s="21">
        <f>Model!CH161</f>
        <v>3724410.3994557713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00" t="s">
        <v>107</v>
      </c>
      <c r="B1" s="201"/>
      <c r="C1" s="201"/>
      <c r="D1" s="201"/>
      <c r="E1" s="201"/>
      <c r="F1" s="201"/>
      <c r="G1" s="201"/>
      <c r="H1" s="201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108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109</v>
      </c>
      <c r="B5" s="26"/>
      <c r="C5" s="27" t="s">
        <v>110</v>
      </c>
      <c r="D5" s="26"/>
      <c r="E5" s="26"/>
      <c r="F5" s="27" t="s">
        <v>111</v>
      </c>
      <c r="G5" s="27" t="s">
        <v>112</v>
      </c>
      <c r="H5" s="27" t="s">
        <v>113</v>
      </c>
      <c r="I5" s="27" t="s">
        <v>114</v>
      </c>
      <c r="J5" s="27" t="s">
        <v>115</v>
      </c>
      <c r="K5" s="26"/>
      <c r="L5" s="26"/>
      <c r="M5" s="26"/>
      <c r="N5" s="26"/>
      <c r="O5" s="27" t="s">
        <v>116</v>
      </c>
      <c r="P5" s="26"/>
      <c r="Q5" s="26"/>
      <c r="R5" s="27" t="s">
        <v>117</v>
      </c>
      <c r="S5" s="26"/>
      <c r="T5" s="26"/>
      <c r="U5" s="27" t="s">
        <v>118</v>
      </c>
      <c r="V5" s="26"/>
      <c r="W5" s="26"/>
      <c r="X5" s="26"/>
      <c r="Y5" s="26"/>
      <c r="Z5" s="26"/>
      <c r="AA5" s="26"/>
      <c r="AB5" s="26"/>
      <c r="AC5" s="27" t="s">
        <v>119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71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4059879.7962952275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4269889.0005298276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4427240.7758682305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5401705.687400056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5588599.4501976147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5710673.9728833213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6380432.8722675042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7051517.7900764709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6909835.4715629388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7106252.1326595247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7246741.446527292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7327821.527940792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8074323.1919937264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8133889.6328242309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8129424.4626202863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7440990.091895978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6970637.2501349999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6966936.153194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6867110.592646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3999095.4714789996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4105836.2097709998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4205392.3298230004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4293740.4702150002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4763451.1144420002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4906663.4738270007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4808764.8332779994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4931654.5343899997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5408282.1206259998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5528298.7452060003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5596783.4798999997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5606524.6968099996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5402595.3662160002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5488328.1974160001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5509083.79244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5464263.3365679998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5752875.4975039996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5676034.7800079994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5549808.1712640002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4999531.3038240001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5266127.8741359999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5173175.1601200001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5036609.6665359996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4544837.1249839999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4878457.0753760003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4800639.9298320003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4116390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3743952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4116390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4134789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4112652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3672792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4053486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4075830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4053486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3672792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4112652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4134789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4514145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4235367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4708620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4830969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4910922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4565622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5027541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5112390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5129466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4762242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4711326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4581651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4379769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3801366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3558981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3268158</v>
      </c>
      <c r="CI7" s="23"/>
    </row>
    <row r="8" spans="1:87" ht="15" customHeight="1" x14ac:dyDescent="0.25">
      <c r="A8" s="7" t="s">
        <v>120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165748.68900162337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165748.68900162337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165748.68900162337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232014.96432629868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232014.96432629868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232014.96432629868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289630.70596590906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340368.04206574667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307473.26706574671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307473.26706574671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307473.26706574671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307473.26706574671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377284.03248782462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377284.03248782462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438564.19239042199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360890.25533685053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268121.7473214285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372752.70836038957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201855.47199675321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238381.44602272724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276964.76501623372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213945.34399350648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213945.34399350648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250471.3180194805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250471.3180194805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250471.3180194805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360698.84237012983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224491.72142857139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224491.72142857139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224491.72142857139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224491.72142857139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261017.69545454541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261017.69545454541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304848.86428571423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217186.52662337659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253712.50064935061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253712.50064935061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290238.47467532463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217186.52662337659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261017.69545454541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361718.9097402597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233766.23376623372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160714.28571428568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197240.2597402597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197240.2597402597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241071.42857142852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153409.09090909088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189935.0649350649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189935.0649350649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226461.03896103892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153409.09090909088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197240.2597402597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197240.2597402597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270292.20779220772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197240.2597402597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233766.23376623372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233766.23376623372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277597.40259740257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189935.0649350649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226461.03896103892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226461.03896103892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262987.01298701297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189935.0649350649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189935.0649350649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189935.0649350649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226461.03896103892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153409.09090909088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153409.09090909088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153409.09090909088</v>
      </c>
      <c r="CI8" s="23"/>
    </row>
    <row r="9" spans="1:87" ht="15" customHeight="1" x14ac:dyDescent="0.25">
      <c r="A9" s="7" t="s">
        <v>121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187835.34771820449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197551.68265438318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204831.75667572167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249916.57806964542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258563.44858868833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264211.37699216662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295198.59879809065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339206.51544996654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319692.06321354496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328779.52237142273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335279.43380848673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339030.70380894892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373568.52430490445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376324.43918099115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437398.01247512683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392924.37600492744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322505.13251436275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322333.89669809898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327584.04608832952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236800.85785251865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189961.57788713227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299198.6256492784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198655.20032650564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220386.9427948003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265596.15828582708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222483.43790328404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228169.08154239442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250220.84486662498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255773.56207527756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258942.09282004865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369620.30658942368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249957.74015772075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253924.275367461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254884.55857879863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252810.88488991559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266163.88259555842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262608.75199712336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300599.8910406233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231309.48402432463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243643.90326765581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239343.33127178569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269550.93424720125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210272.49685396749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225707.83546788309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322808.74350683764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226975.83603896102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173218.55844155845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190449.86201298697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191301.11444805193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234108.08766233764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169926.25324675321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187539.53084415582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188573.30357142855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224065.50487012984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169926.25324675321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190276.91883116882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191301.11444805193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245378.46185064933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195954.4797077922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217850.11363636359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223510.74107142855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271041.03409090906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211234.1347402597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232605.38717532463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236531.03084415579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273847.04707792203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220331.00162337659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217975.31006493504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211975.73620129869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239161.39042207788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175874.88798701297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164660.6469155844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151205.362012987</v>
      </c>
      <c r="CI9" s="23"/>
    </row>
    <row r="10" spans="1:87" ht="15" customHeight="1" x14ac:dyDescent="0.25">
      <c r="A10" s="7" t="s">
        <v>122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41861.870292207794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41861.870292207794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41861.870292207794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63950.628733766236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63950.628733766236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63950.628733766236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83155.875946969696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99135.604646915584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91318.598396915593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91318.598396915593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91318.598396915593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91318.598396915593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114588.85353760823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114588.85353760823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135015.5735051407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120296.75177895022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89373.915773809524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124250.90278679655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67285.157332251081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79460.48200757576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92321.588338744594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71315.114664502165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71315.114664502165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83490.439339826844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83490.439339826844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83490.439339826844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120232.94745670995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74830.573809523805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74830.573809523805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74830.573809523805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74830.573809523805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87005.898484848483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87005.898484848483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101616.28809523811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72395.508874458872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84570.833549783565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84570.833549783565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96746.158225108229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72395.508874458872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87005.898484848483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120572.96991341992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77922.077922077922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53571.428571428572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65746.753246753244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65746.753246753244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80357.14285714287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51136.36363636364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63311.688311688318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63311.688311688318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75487.012987012989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51136.36363636364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65746.753246753244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65746.753246753244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90097.402597402601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65746.753246753244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77922.077922077922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77922.077922077922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92532.467532467548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63311.688311688318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75487.012987012989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75487.012987012989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87662.337662337668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63311.688311688318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63311.688311688318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63311.688311688318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75487.012987012989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51136.36363636364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51136.36363636364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51136.36363636364</v>
      </c>
      <c r="CI10" s="23"/>
    </row>
    <row r="11" spans="1:87" ht="15" customHeight="1" x14ac:dyDescent="0.25">
      <c r="A11" s="7" t="s">
        <v>123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77</v>
      </c>
      <c r="B12" s="28"/>
      <c r="C12" s="10">
        <f t="shared" ref="C12:AH12" si="0">C8+C9+C10+C11</f>
        <v>395445.90701203566</v>
      </c>
      <c r="D12" s="10">
        <f t="shared" si="0"/>
        <v>405162.24194821436</v>
      </c>
      <c r="E12" s="10">
        <f t="shared" si="0"/>
        <v>412442.31596955284</v>
      </c>
      <c r="F12" s="10">
        <f t="shared" si="0"/>
        <v>1190408.8911297102</v>
      </c>
      <c r="G12" s="10">
        <f t="shared" si="0"/>
        <v>554529.04164875322</v>
      </c>
      <c r="H12" s="10">
        <f t="shared" si="0"/>
        <v>560176.97005223157</v>
      </c>
      <c r="I12" s="10">
        <f t="shared" si="0"/>
        <v>1110045.0057109694</v>
      </c>
      <c r="J12" s="10">
        <f t="shared" si="0"/>
        <v>1097661.2371626287</v>
      </c>
      <c r="K12" s="10">
        <f t="shared" si="0"/>
        <v>718483.9286762072</v>
      </c>
      <c r="L12" s="10">
        <f t="shared" si="0"/>
        <v>727571.38783408504</v>
      </c>
      <c r="M12" s="10">
        <f t="shared" si="0"/>
        <v>734071.29927114898</v>
      </c>
      <c r="N12" s="10">
        <f t="shared" si="0"/>
        <v>737822.56927161117</v>
      </c>
      <c r="O12" s="10">
        <f t="shared" si="0"/>
        <v>1544442.9603303373</v>
      </c>
      <c r="P12" s="10">
        <f t="shared" si="0"/>
        <v>868197.32520642388</v>
      </c>
      <c r="Q12" s="10">
        <f t="shared" si="0"/>
        <v>1010977.7783706895</v>
      </c>
      <c r="R12" s="10">
        <f t="shared" si="0"/>
        <v>834536.53086152906</v>
      </c>
      <c r="S12" s="10">
        <f t="shared" si="0"/>
        <v>647666.49049596442</v>
      </c>
      <c r="T12" s="10">
        <f t="shared" si="0"/>
        <v>647495.25467970071</v>
      </c>
      <c r="U12" s="10">
        <f t="shared" si="0"/>
        <v>664995.40406993125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717987.86496831942</v>
      </c>
      <c r="AH12" s="10">
        <f t="shared" si="0"/>
        <v>547457.24098237033</v>
      </c>
      <c r="AI12" s="10">
        <f t="shared" ref="AI12:BN12" si="1">AI8+AI9+AI10+AI11</f>
        <v>796202.23679646454</v>
      </c>
      <c r="AJ12" s="10">
        <f t="shared" si="1"/>
        <v>467795.82965550991</v>
      </c>
      <c r="AK12" s="10">
        <f t="shared" si="1"/>
        <v>538228.87082510337</v>
      </c>
      <c r="AL12" s="10">
        <f t="shared" si="1"/>
        <v>634882.5116408054</v>
      </c>
      <c r="AM12" s="10">
        <f t="shared" si="1"/>
        <v>507743.89656129264</v>
      </c>
      <c r="AN12" s="10">
        <f t="shared" si="1"/>
        <v>513429.54020040302</v>
      </c>
      <c r="AO12" s="10">
        <f t="shared" si="1"/>
        <v>584182.60222593229</v>
      </c>
      <c r="AP12" s="10">
        <f t="shared" si="1"/>
        <v>589735.31943458493</v>
      </c>
      <c r="AQ12" s="10">
        <f t="shared" si="1"/>
        <v>592903.85017935594</v>
      </c>
      <c r="AR12" s="10">
        <f t="shared" si="1"/>
        <v>850552.09641626349</v>
      </c>
      <c r="AS12" s="10">
        <f t="shared" si="1"/>
        <v>549280.03539581597</v>
      </c>
      <c r="AT12" s="10">
        <f t="shared" si="1"/>
        <v>553246.57060555625</v>
      </c>
      <c r="AU12" s="10">
        <f t="shared" si="1"/>
        <v>554206.85381689388</v>
      </c>
      <c r="AV12" s="10">
        <f t="shared" si="1"/>
        <v>552133.1801280108</v>
      </c>
      <c r="AW12" s="10">
        <f t="shared" si="1"/>
        <v>614187.47653495229</v>
      </c>
      <c r="AX12" s="10">
        <f t="shared" si="1"/>
        <v>610632.34593651723</v>
      </c>
      <c r="AY12" s="10">
        <f t="shared" si="1"/>
        <v>707065.04342157568</v>
      </c>
      <c r="AZ12" s="10">
        <f t="shared" si="1"/>
        <v>520891.51952216006</v>
      </c>
      <c r="BA12" s="10">
        <f t="shared" si="1"/>
        <v>581927.23746679001</v>
      </c>
      <c r="BB12" s="10">
        <f t="shared" si="1"/>
        <v>577626.6654709198</v>
      </c>
      <c r="BC12" s="10">
        <f t="shared" si="1"/>
        <v>656535.56714763399</v>
      </c>
      <c r="BD12" s="10">
        <f t="shared" si="1"/>
        <v>499854.53235180292</v>
      </c>
      <c r="BE12" s="10">
        <f t="shared" si="1"/>
        <v>573731.42940727691</v>
      </c>
      <c r="BF12" s="10">
        <f t="shared" si="1"/>
        <v>805100.62316051719</v>
      </c>
      <c r="BG12" s="10">
        <f t="shared" si="1"/>
        <v>538664.14772727271</v>
      </c>
      <c r="BH12" s="10">
        <f t="shared" si="1"/>
        <v>387504.27272727271</v>
      </c>
      <c r="BI12" s="10">
        <f t="shared" si="1"/>
        <v>453436.87499999988</v>
      </c>
      <c r="BJ12" s="10">
        <f t="shared" si="1"/>
        <v>454288.12743506487</v>
      </c>
      <c r="BK12" s="10">
        <f t="shared" si="1"/>
        <v>555536.65909090906</v>
      </c>
      <c r="BL12" s="10">
        <f t="shared" si="1"/>
        <v>374471.70779220772</v>
      </c>
      <c r="BM12" s="10">
        <f t="shared" si="1"/>
        <v>440786.284090909</v>
      </c>
      <c r="BN12" s="10">
        <f t="shared" si="1"/>
        <v>441820.05681818177</v>
      </c>
      <c r="BO12" s="10">
        <f t="shared" ref="BO12:CT12" si="2">BO8+BO9+BO10+BO11</f>
        <v>526013.55681818177</v>
      </c>
      <c r="BP12" s="10">
        <f t="shared" si="2"/>
        <v>374471.70779220772</v>
      </c>
      <c r="BQ12" s="10">
        <f t="shared" si="2"/>
        <v>453263.93181818177</v>
      </c>
      <c r="BR12" s="10">
        <f t="shared" si="2"/>
        <v>454288.12743506487</v>
      </c>
      <c r="BS12" s="10">
        <f t="shared" si="2"/>
        <v>605768.07224025961</v>
      </c>
      <c r="BT12" s="10">
        <f t="shared" si="2"/>
        <v>458941.49269480514</v>
      </c>
      <c r="BU12" s="10">
        <f t="shared" si="2"/>
        <v>529538.42532467528</v>
      </c>
      <c r="BV12" s="10">
        <f t="shared" si="2"/>
        <v>535199.05275974027</v>
      </c>
      <c r="BW12" s="10">
        <f t="shared" si="2"/>
        <v>641170.90422077919</v>
      </c>
      <c r="BX12" s="10">
        <f t="shared" si="2"/>
        <v>464480.88798701292</v>
      </c>
      <c r="BY12" s="10">
        <f t="shared" si="2"/>
        <v>534553.43912337651</v>
      </c>
      <c r="BZ12" s="10">
        <f t="shared" si="2"/>
        <v>538479.08279220772</v>
      </c>
      <c r="CA12" s="10">
        <f t="shared" si="2"/>
        <v>624496.39772727271</v>
      </c>
      <c r="CB12" s="10">
        <f t="shared" si="2"/>
        <v>473577.75487012981</v>
      </c>
      <c r="CC12" s="10">
        <f t="shared" si="2"/>
        <v>471222.06331168825</v>
      </c>
      <c r="CD12" s="10">
        <f t="shared" si="2"/>
        <v>465222.4894480519</v>
      </c>
      <c r="CE12" s="10">
        <f t="shared" si="2"/>
        <v>541109.44237012975</v>
      </c>
      <c r="CF12" s="10">
        <f t="shared" si="2"/>
        <v>380420.3425324675</v>
      </c>
      <c r="CG12" s="10">
        <f t="shared" si="2"/>
        <v>369206.10146103892</v>
      </c>
      <c r="CH12" s="10">
        <f t="shared" si="2"/>
        <v>355750.8165584415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124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125</v>
      </c>
      <c r="B16" s="22"/>
      <c r="C16" s="8">
        <f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8">
        <f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-73282.666666666657</v>
      </c>
      <c r="E16" s="8">
        <f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-83699.333333333328</v>
      </c>
      <c r="F16" s="8">
        <f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-83699.333333333328</v>
      </c>
      <c r="G16" s="8">
        <f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-83699.333333333328</v>
      </c>
      <c r="H16" s="8">
        <f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-83699.333333333328</v>
      </c>
      <c r="I16" s="8">
        <f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-83699.333333333328</v>
      </c>
      <c r="J16" s="8">
        <f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-83699.333333333328</v>
      </c>
      <c r="K16" s="8">
        <f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-83699.333333333328</v>
      </c>
      <c r="L16" s="8">
        <f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-83699.333333333328</v>
      </c>
      <c r="M16" s="8">
        <f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-83699.333333333328</v>
      </c>
      <c r="N16" s="8">
        <f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-83699.333333333328</v>
      </c>
      <c r="O16" s="8">
        <f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-83699.333333333328</v>
      </c>
      <c r="P16" s="8">
        <f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-83699.333333333328</v>
      </c>
      <c r="Q16" s="8">
        <f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-83699.333333333328</v>
      </c>
      <c r="R16" s="8">
        <f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-83699.333333333328</v>
      </c>
      <c r="S16" s="8">
        <f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-83699.333333333328</v>
      </c>
      <c r="T16" s="8">
        <f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-83699.333333333328</v>
      </c>
      <c r="U16" s="8">
        <f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-83699.333333333328</v>
      </c>
      <c r="V16" s="8">
        <f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-83699.333333333328</v>
      </c>
      <c r="W16" s="8">
        <f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-83699.333333333328</v>
      </c>
      <c r="X16" s="8">
        <f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-83699.333333333328</v>
      </c>
      <c r="Y16" s="8">
        <f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-83699.333333333328</v>
      </c>
      <c r="Z16" s="8">
        <f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-83699.333333333328</v>
      </c>
      <c r="AA16" s="8">
        <f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-83699.333333333328</v>
      </c>
      <c r="AB16" s="8">
        <f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-83699.333333333328</v>
      </c>
      <c r="AC16" s="8">
        <f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-83699.333333333328</v>
      </c>
      <c r="AD16" s="8">
        <f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-83699.333333333328</v>
      </c>
      <c r="AE16" s="8">
        <f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-83699.333333333328</v>
      </c>
      <c r="AF16" s="8">
        <f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-83699.333333333328</v>
      </c>
      <c r="AG16" s="8">
        <f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-83699.333333333328</v>
      </c>
      <c r="AH16" s="8">
        <f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-83699.333333333328</v>
      </c>
      <c r="AI16" s="8">
        <f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-83699.333333333328</v>
      </c>
      <c r="AJ16" s="8">
        <f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-83699.333333333328</v>
      </c>
      <c r="AK16" s="8">
        <f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-83699.333333333328</v>
      </c>
      <c r="AL16" s="8">
        <f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-83699.333333333328</v>
      </c>
      <c r="AM16" s="8">
        <f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-83699.333333333328</v>
      </c>
      <c r="AN16" s="8">
        <f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-83699.333333333328</v>
      </c>
      <c r="AO16" s="8">
        <f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-83699.333333333328</v>
      </c>
      <c r="AP16" s="8">
        <f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-83699.333333333328</v>
      </c>
      <c r="AQ16" s="8">
        <f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-83699.333333333328</v>
      </c>
      <c r="AR16" s="8">
        <f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-83699.333333333328</v>
      </c>
      <c r="AS16" s="8">
        <f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-83699.333333333328</v>
      </c>
      <c r="AT16" s="8">
        <f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-83699.333333333328</v>
      </c>
      <c r="AU16" s="8">
        <f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-83699.333333333328</v>
      </c>
      <c r="AV16" s="8">
        <f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-83699.333333333328</v>
      </c>
      <c r="AW16" s="8">
        <f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-83699.333333333328</v>
      </c>
      <c r="AX16" s="8">
        <f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-83699.333333333328</v>
      </c>
      <c r="AY16" s="8">
        <f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-83699.333333333328</v>
      </c>
      <c r="AZ16" s="8">
        <f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-83699.333333333328</v>
      </c>
      <c r="BA16" s="8">
        <f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-83699.333333333328</v>
      </c>
      <c r="BB16" s="8">
        <f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-83699.333333333328</v>
      </c>
      <c r="BC16" s="8">
        <f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-83699.333333333328</v>
      </c>
      <c r="BD16" s="8">
        <f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-83699.333333333328</v>
      </c>
      <c r="BE16" s="8">
        <f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-83699.333333333328</v>
      </c>
      <c r="BF16" s="8">
        <f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-83699.333333333328</v>
      </c>
      <c r="BG16" s="8">
        <f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-83699.333333333328</v>
      </c>
      <c r="BH16" s="8">
        <f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-83699.333333333328</v>
      </c>
      <c r="BI16" s="8">
        <f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-83699.333333333328</v>
      </c>
      <c r="BJ16" s="8">
        <f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-83699.333333333328</v>
      </c>
      <c r="BK16" s="8">
        <f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-83699.333333333328</v>
      </c>
      <c r="BL16" s="8">
        <f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-83699.333333333328</v>
      </c>
      <c r="BM16" s="8">
        <f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-83699.333333333328</v>
      </c>
      <c r="BN16" s="8">
        <f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-83699.333333333328</v>
      </c>
      <c r="BO16" s="8">
        <f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-83699.333333333328</v>
      </c>
      <c r="BP16" s="8">
        <f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-83699.333333333328</v>
      </c>
      <c r="BQ16" s="8">
        <f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-83699.333333333328</v>
      </c>
      <c r="BR16" s="8">
        <f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-83699.333333333328</v>
      </c>
      <c r="BS16" s="8">
        <f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-83699.333333333328</v>
      </c>
      <c r="BT16" s="8">
        <f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-83699.333333333328</v>
      </c>
      <c r="BU16" s="8">
        <f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-83699.333333333328</v>
      </c>
      <c r="BV16" s="8">
        <f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-83699.333333333328</v>
      </c>
      <c r="BW16" s="8">
        <f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-83699.333333333328</v>
      </c>
      <c r="BX16" s="8">
        <f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-83699.333333333328</v>
      </c>
      <c r="BY16" s="8">
        <f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-83699.333333333328</v>
      </c>
      <c r="BZ16" s="8">
        <f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-83699.333333333328</v>
      </c>
      <c r="CA16" s="8">
        <f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-83699.333333333328</v>
      </c>
      <c r="CB16" s="8">
        <f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-83699.333333333328</v>
      </c>
      <c r="CC16" s="8">
        <f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-83699.333333333328</v>
      </c>
      <c r="CD16" s="8">
        <f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-83699.333333333328</v>
      </c>
      <c r="CE16" s="8">
        <f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-83699.333333333328</v>
      </c>
      <c r="CF16" s="8">
        <f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-83699.333333333328</v>
      </c>
      <c r="CG16" s="8">
        <f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-83699.333333333328</v>
      </c>
      <c r="CH16" s="8">
        <f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-83699.333333333328</v>
      </c>
      <c r="CI16" s="23"/>
    </row>
    <row r="17" spans="1:87" ht="15" customHeight="1" x14ac:dyDescent="0.25">
      <c r="A17" s="7" t="s">
        <v>126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-153958.33333333334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-173541.66666666669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-173541.66666666669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-173541.66666666669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-173541.66666666669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-173541.66666666669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-173541.66666666669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-173541.66666666669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-173541.66666666669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-173541.66666666669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-173541.66666666669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-173541.66666666669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-173541.66666666669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-173541.66666666669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-173541.66666666669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-173541.66666666669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-173541.66666666669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-173541.66666666669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-173541.66666666669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-173541.66666666669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-173541.66666666669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-173541.66666666669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-173541.66666666669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-173541.66666666669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-173541.66666666669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-173541.66666666669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-173541.66666666669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-173541.66666666669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-173541.66666666669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-173541.66666666669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-173541.66666666669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-173541.66666666669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-173541.66666666669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-173541.66666666669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-173541.66666666669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-173541.66666666669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-173541.66666666669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-173541.66666666669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-173541.66666666669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-173541.66666666669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-173541.66666666669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-173541.66666666669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-173541.66666666669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-173541.66666666669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-173541.66666666669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-173541.66666666669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-173541.66666666669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-173541.66666666669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-173541.66666666669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-173541.66666666669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-173541.66666666669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-173541.66666666669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-173541.66666666669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-173541.66666666669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-173541.66666666669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-173541.66666666669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-173541.66666666669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-173541.66666666669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-173541.66666666669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-173541.66666666669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-173541.66666666669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-173541.66666666669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-173541.66666666669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-173541.66666666669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-173541.66666666669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-173541.66666666669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-173541.66666666669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-173541.66666666669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-173541.66666666669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-173541.66666666669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-173541.66666666669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-173541.66666666669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-173541.66666666669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-173541.66666666669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-173541.66666666669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-173541.66666666669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-173541.66666666669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-173541.66666666669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-173541.66666666669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-173541.66666666669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-173541.66666666669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-173541.66666666669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-173541.66666666669</v>
      </c>
      <c r="CI17" s="23"/>
    </row>
    <row r="18" spans="1:87" ht="15" customHeight="1" x14ac:dyDescent="0.25">
      <c r="A18" s="7" t="s">
        <v>127</v>
      </c>
      <c r="B18" s="22"/>
      <c r="C18" s="8">
        <f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-73083.333333333343</v>
      </c>
      <c r="D18" s="8">
        <f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-73083.333333333343</v>
      </c>
      <c r="E18" s="8">
        <f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-73083.333333333343</v>
      </c>
      <c r="F18" s="8">
        <f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-73083.333333333343</v>
      </c>
      <c r="G18" s="8">
        <f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-73083.333333333343</v>
      </c>
      <c r="H18" s="8">
        <f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-73083.333333333343</v>
      </c>
      <c r="I18" s="8">
        <f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-73083.333333333343</v>
      </c>
      <c r="J18" s="8">
        <f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-73083.333333333343</v>
      </c>
      <c r="K18" s="8">
        <f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-73083.333333333343</v>
      </c>
      <c r="L18" s="8">
        <f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-73083.333333333343</v>
      </c>
      <c r="M18" s="8">
        <f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-73083.333333333343</v>
      </c>
      <c r="N18" s="8">
        <f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-73083.333333333343</v>
      </c>
      <c r="O18" s="8">
        <f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-74545.000000000015</v>
      </c>
      <c r="P18" s="8">
        <f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-74545.000000000015</v>
      </c>
      <c r="Q18" s="8">
        <f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-74545.000000000015</v>
      </c>
      <c r="R18" s="8">
        <f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-74545.000000000015</v>
      </c>
      <c r="S18" s="8">
        <f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-74545.000000000015</v>
      </c>
      <c r="T18" s="8">
        <f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-74545.000000000015</v>
      </c>
      <c r="U18" s="8">
        <f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-74545.000000000015</v>
      </c>
      <c r="V18" s="8">
        <f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-74545.000000000015</v>
      </c>
      <c r="W18" s="8">
        <f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-74545.000000000015</v>
      </c>
      <c r="X18" s="8">
        <f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-74545.000000000015</v>
      </c>
      <c r="Y18" s="8">
        <f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-74545.000000000015</v>
      </c>
      <c r="Z18" s="8">
        <f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-74545.000000000015</v>
      </c>
      <c r="AA18" s="8">
        <f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-76035.900000000009</v>
      </c>
      <c r="AB18" s="8">
        <f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-76035.900000000009</v>
      </c>
      <c r="AC18" s="8">
        <f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-76035.900000000009</v>
      </c>
      <c r="AD18" s="8">
        <f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-76035.900000000009</v>
      </c>
      <c r="AE18" s="8">
        <f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-76035.900000000009</v>
      </c>
      <c r="AF18" s="8">
        <f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-76035.900000000009</v>
      </c>
      <c r="AG18" s="8">
        <f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-76035.900000000009</v>
      </c>
      <c r="AH18" s="8">
        <f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-76035.900000000009</v>
      </c>
      <c r="AI18" s="8">
        <f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-76035.900000000009</v>
      </c>
      <c r="AJ18" s="8">
        <f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-76035.900000000009</v>
      </c>
      <c r="AK18" s="8">
        <f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-76035.900000000009</v>
      </c>
      <c r="AL18" s="8">
        <f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-76035.900000000009</v>
      </c>
      <c r="AM18" s="8">
        <f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-77556.618000000002</v>
      </c>
      <c r="AN18" s="8">
        <f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-77556.618000000002</v>
      </c>
      <c r="AO18" s="8">
        <f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-77556.618000000002</v>
      </c>
      <c r="AP18" s="8">
        <f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-77556.618000000002</v>
      </c>
      <c r="AQ18" s="8">
        <f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-77556.618000000002</v>
      </c>
      <c r="AR18" s="8">
        <f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-77556.618000000002</v>
      </c>
      <c r="AS18" s="8">
        <f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-77556.618000000002</v>
      </c>
      <c r="AT18" s="8">
        <f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-77556.618000000002</v>
      </c>
      <c r="AU18" s="8">
        <f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-77556.618000000002</v>
      </c>
      <c r="AV18" s="8">
        <f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-77556.618000000002</v>
      </c>
      <c r="AW18" s="8">
        <f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-77556.618000000002</v>
      </c>
      <c r="AX18" s="8">
        <f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-77556.618000000002</v>
      </c>
      <c r="AY18" s="8">
        <f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-79107.750360000005</v>
      </c>
      <c r="AZ18" s="8">
        <f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-79107.750360000005</v>
      </c>
      <c r="BA18" s="8">
        <f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-79107.750360000005</v>
      </c>
      <c r="BB18" s="8">
        <f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-79107.750360000005</v>
      </c>
      <c r="BC18" s="8">
        <f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-79107.750360000005</v>
      </c>
      <c r="BD18" s="8">
        <f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-79107.750360000005</v>
      </c>
      <c r="BE18" s="8">
        <f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-79107.750360000005</v>
      </c>
      <c r="BF18" s="8">
        <f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-79107.750360000005</v>
      </c>
      <c r="BG18" s="8">
        <f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-79107.750360000005</v>
      </c>
      <c r="BH18" s="8">
        <f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-79107.750360000005</v>
      </c>
      <c r="BI18" s="8">
        <f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-79107.750360000005</v>
      </c>
      <c r="BJ18" s="8">
        <f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-79107.750360000005</v>
      </c>
      <c r="BK18" s="8">
        <f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-80689.905367200015</v>
      </c>
      <c r="BL18" s="8">
        <f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-80689.905367200015</v>
      </c>
      <c r="BM18" s="8">
        <f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-80689.905367200015</v>
      </c>
      <c r="BN18" s="8">
        <f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-80689.905367200015</v>
      </c>
      <c r="BO18" s="8">
        <f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-80689.905367200015</v>
      </c>
      <c r="BP18" s="8">
        <f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-80689.905367200015</v>
      </c>
      <c r="BQ18" s="8">
        <f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-80689.905367200015</v>
      </c>
      <c r="BR18" s="8">
        <f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-80689.905367200015</v>
      </c>
      <c r="BS18" s="8">
        <f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-80689.905367200015</v>
      </c>
      <c r="BT18" s="8">
        <f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-80689.905367200015</v>
      </c>
      <c r="BU18" s="8">
        <f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-80689.905367200015</v>
      </c>
      <c r="BV18" s="8">
        <f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-80689.905367200015</v>
      </c>
      <c r="BW18" s="8">
        <f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-82303.703474544018</v>
      </c>
      <c r="BX18" s="8">
        <f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-82303.703474544018</v>
      </c>
      <c r="BY18" s="8">
        <f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-82303.703474544018</v>
      </c>
      <c r="BZ18" s="8">
        <f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-82303.703474544018</v>
      </c>
      <c r="CA18" s="8">
        <f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-82303.703474544018</v>
      </c>
      <c r="CB18" s="8">
        <f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-82303.703474544018</v>
      </c>
      <c r="CC18" s="8">
        <f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-82303.703474544018</v>
      </c>
      <c r="CD18" s="8">
        <f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-82303.703474544018</v>
      </c>
      <c r="CE18" s="8">
        <f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-82303.703474544018</v>
      </c>
      <c r="CF18" s="8">
        <f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-82303.703474544018</v>
      </c>
      <c r="CG18" s="8">
        <f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-82303.703474544018</v>
      </c>
      <c r="CH18" s="8">
        <f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-82303.703474544018</v>
      </c>
      <c r="CI18" s="23"/>
    </row>
    <row r="19" spans="1:87" ht="15" customHeight="1" x14ac:dyDescent="0.25">
      <c r="A19" s="7" t="s">
        <v>128</v>
      </c>
      <c r="B19" s="22"/>
      <c r="C19" s="8">
        <f>-Helpers!C4*Assumptions!$B$20</f>
        <v>-13661.036666666669</v>
      </c>
      <c r="D19" s="8">
        <f>-Helpers!D4*Assumptions!$B$20</f>
        <v>-16198.536666666669</v>
      </c>
      <c r="E19" s="8">
        <f>-Helpers!E4*Assumptions!$B$20</f>
        <v>-18298.53666666667</v>
      </c>
      <c r="F19" s="8">
        <f>-Helpers!F4*Assumptions!$B$20</f>
        <v>-18298.53666666667</v>
      </c>
      <c r="G19" s="8">
        <f>-Helpers!G4*Assumptions!$B$20</f>
        <v>-18298.53666666667</v>
      </c>
      <c r="H19" s="8">
        <f>-Helpers!H4*Assumptions!$B$20</f>
        <v>-18298.53666666667</v>
      </c>
      <c r="I19" s="8">
        <f>-Helpers!I4*Assumptions!$B$20</f>
        <v>-18298.53666666667</v>
      </c>
      <c r="J19" s="8">
        <f>-Helpers!J4*Assumptions!$B$20</f>
        <v>-18298.53666666667</v>
      </c>
      <c r="K19" s="8">
        <f>-Helpers!K4*Assumptions!$B$20</f>
        <v>-18298.53666666667</v>
      </c>
      <c r="L19" s="8">
        <f>-Helpers!L4*Assumptions!$B$20</f>
        <v>-18298.53666666667</v>
      </c>
      <c r="M19" s="8">
        <f>-Helpers!M4*Assumptions!$B$20</f>
        <v>-18298.53666666667</v>
      </c>
      <c r="N19" s="8">
        <f>-Helpers!N4*Assumptions!$B$20</f>
        <v>-18298.53666666667</v>
      </c>
      <c r="O19" s="8">
        <f>-Helpers!O4*Assumptions!$B$20</f>
        <v>-18664.507400000002</v>
      </c>
      <c r="P19" s="8">
        <f>-Helpers!P4*Assumptions!$B$20</f>
        <v>-18664.507400000002</v>
      </c>
      <c r="Q19" s="8">
        <f>-Helpers!Q4*Assumptions!$B$20</f>
        <v>-18664.507400000002</v>
      </c>
      <c r="R19" s="8">
        <f>-Helpers!R4*Assumptions!$B$20</f>
        <v>-18664.507400000002</v>
      </c>
      <c r="S19" s="8">
        <f>-Helpers!S4*Assumptions!$B$20</f>
        <v>-18664.507400000002</v>
      </c>
      <c r="T19" s="8">
        <f>-Helpers!T4*Assumptions!$B$20</f>
        <v>-18664.507400000002</v>
      </c>
      <c r="U19" s="8">
        <f>-Helpers!U4*Assumptions!$B$20</f>
        <v>-18664.507400000002</v>
      </c>
      <c r="V19" s="8">
        <f>-Helpers!V4*Assumptions!$B$20</f>
        <v>-18664.507400000002</v>
      </c>
      <c r="W19" s="8">
        <f>-Helpers!W4*Assumptions!$B$20</f>
        <v>-18664.507400000002</v>
      </c>
      <c r="X19" s="8">
        <f>-Helpers!X4*Assumptions!$B$20</f>
        <v>-18664.507400000002</v>
      </c>
      <c r="Y19" s="8">
        <f>-Helpers!Y4*Assumptions!$B$20</f>
        <v>-18664.507400000002</v>
      </c>
      <c r="Z19" s="8">
        <f>-Helpers!Z4*Assumptions!$B$20</f>
        <v>-18664.507400000002</v>
      </c>
      <c r="AA19" s="8">
        <f>-Helpers!AA4*Assumptions!$B$20</f>
        <v>-19037.797548000006</v>
      </c>
      <c r="AB19" s="8">
        <f>-Helpers!AB4*Assumptions!$B$20</f>
        <v>-19037.797548000006</v>
      </c>
      <c r="AC19" s="8">
        <f>-Helpers!AC4*Assumptions!$B$20</f>
        <v>-19037.797548000006</v>
      </c>
      <c r="AD19" s="8">
        <f>-Helpers!AD4*Assumptions!$B$20</f>
        <v>-19037.797548000006</v>
      </c>
      <c r="AE19" s="8">
        <f>-Helpers!AE4*Assumptions!$B$20</f>
        <v>-19037.797548000006</v>
      </c>
      <c r="AF19" s="8">
        <f>-Helpers!AF4*Assumptions!$B$20</f>
        <v>-19037.797548000006</v>
      </c>
      <c r="AG19" s="8">
        <f>-Helpers!AG4*Assumptions!$B$20</f>
        <v>-19037.797548000006</v>
      </c>
      <c r="AH19" s="8">
        <f>-Helpers!AH4*Assumptions!$B$20</f>
        <v>-19037.797548000006</v>
      </c>
      <c r="AI19" s="8">
        <f>-Helpers!AI4*Assumptions!$B$20</f>
        <v>-19037.797548000006</v>
      </c>
      <c r="AJ19" s="8">
        <f>-Helpers!AJ4*Assumptions!$B$20</f>
        <v>-19037.797548000006</v>
      </c>
      <c r="AK19" s="8">
        <f>-Helpers!AK4*Assumptions!$B$20</f>
        <v>-19037.797548000006</v>
      </c>
      <c r="AL19" s="8">
        <f>-Helpers!AL4*Assumptions!$B$20</f>
        <v>-19037.797548000006</v>
      </c>
      <c r="AM19" s="8">
        <f>-Helpers!AM4*Assumptions!$B$20</f>
        <v>-19418.553498960002</v>
      </c>
      <c r="AN19" s="8">
        <f>-Helpers!AN4*Assumptions!$B$20</f>
        <v>-19418.553498960002</v>
      </c>
      <c r="AO19" s="8">
        <f>-Helpers!AO4*Assumptions!$B$20</f>
        <v>-19418.553498960002</v>
      </c>
      <c r="AP19" s="8">
        <f>-Helpers!AP4*Assumptions!$B$20</f>
        <v>-19418.553498960002</v>
      </c>
      <c r="AQ19" s="8">
        <f>-Helpers!AQ4*Assumptions!$B$20</f>
        <v>-19418.553498960002</v>
      </c>
      <c r="AR19" s="8">
        <f>-Helpers!AR4*Assumptions!$B$20</f>
        <v>-19418.553498960002</v>
      </c>
      <c r="AS19" s="8">
        <f>-Helpers!AS4*Assumptions!$B$20</f>
        <v>-19418.553498960002</v>
      </c>
      <c r="AT19" s="8">
        <f>-Helpers!AT4*Assumptions!$B$20</f>
        <v>-19418.553498960002</v>
      </c>
      <c r="AU19" s="8">
        <f>-Helpers!AU4*Assumptions!$B$20</f>
        <v>-19418.553498960002</v>
      </c>
      <c r="AV19" s="8">
        <f>-Helpers!AV4*Assumptions!$B$20</f>
        <v>-19418.553498960002</v>
      </c>
      <c r="AW19" s="8">
        <f>-Helpers!AW4*Assumptions!$B$20</f>
        <v>-19418.553498960002</v>
      </c>
      <c r="AX19" s="8">
        <f>-Helpers!AX4*Assumptions!$B$20</f>
        <v>-19418.553498960002</v>
      </c>
      <c r="AY19" s="8">
        <f>-Helpers!AY4*Assumptions!$B$20</f>
        <v>-19806.924568939205</v>
      </c>
      <c r="AZ19" s="8">
        <f>-Helpers!AZ4*Assumptions!$B$20</f>
        <v>-19806.924568939205</v>
      </c>
      <c r="BA19" s="8">
        <f>-Helpers!BA4*Assumptions!$B$20</f>
        <v>-19806.924568939205</v>
      </c>
      <c r="BB19" s="8">
        <f>-Helpers!BB4*Assumptions!$B$20</f>
        <v>-19806.924568939205</v>
      </c>
      <c r="BC19" s="8">
        <f>-Helpers!BC4*Assumptions!$B$20</f>
        <v>-19806.924568939205</v>
      </c>
      <c r="BD19" s="8">
        <f>-Helpers!BD4*Assumptions!$B$20</f>
        <v>-19806.924568939205</v>
      </c>
      <c r="BE19" s="8">
        <f>-Helpers!BE4*Assumptions!$B$20</f>
        <v>-19806.924568939205</v>
      </c>
      <c r="BF19" s="8">
        <f>-Helpers!BF4*Assumptions!$B$20</f>
        <v>-19806.924568939205</v>
      </c>
      <c r="BG19" s="8">
        <f>-Helpers!BG4*Assumptions!$B$20</f>
        <v>-19806.924568939205</v>
      </c>
      <c r="BH19" s="8">
        <f>-Helpers!BH4*Assumptions!$B$20</f>
        <v>-19806.924568939205</v>
      </c>
      <c r="BI19" s="8">
        <f>-Helpers!BI4*Assumptions!$B$20</f>
        <v>-19806.924568939205</v>
      </c>
      <c r="BJ19" s="8">
        <f>-Helpers!BJ4*Assumptions!$B$20</f>
        <v>-19806.924568939205</v>
      </c>
      <c r="BK19" s="8">
        <f>-Helpers!BK4*Assumptions!$B$20</f>
        <v>-20203.063060317989</v>
      </c>
      <c r="BL19" s="8">
        <f>-Helpers!BL4*Assumptions!$B$20</f>
        <v>-20203.063060317989</v>
      </c>
      <c r="BM19" s="8">
        <f>-Helpers!BM4*Assumptions!$B$20</f>
        <v>-20203.063060317989</v>
      </c>
      <c r="BN19" s="8">
        <f>-Helpers!BN4*Assumptions!$B$20</f>
        <v>-20203.063060317989</v>
      </c>
      <c r="BO19" s="8">
        <f>-Helpers!BO4*Assumptions!$B$20</f>
        <v>-20203.063060317989</v>
      </c>
      <c r="BP19" s="8">
        <f>-Helpers!BP4*Assumptions!$B$20</f>
        <v>-20203.063060317989</v>
      </c>
      <c r="BQ19" s="8">
        <f>-Helpers!BQ4*Assumptions!$B$20</f>
        <v>-20203.063060317989</v>
      </c>
      <c r="BR19" s="8">
        <f>-Helpers!BR4*Assumptions!$B$20</f>
        <v>-20203.063060317989</v>
      </c>
      <c r="BS19" s="8">
        <f>-Helpers!BS4*Assumptions!$B$20</f>
        <v>-20203.063060317989</v>
      </c>
      <c r="BT19" s="8">
        <f>-Helpers!BT4*Assumptions!$B$20</f>
        <v>-20203.063060317989</v>
      </c>
      <c r="BU19" s="8">
        <f>-Helpers!BU4*Assumptions!$B$20</f>
        <v>-20203.063060317989</v>
      </c>
      <c r="BV19" s="8">
        <f>-Helpers!BV4*Assumptions!$B$20</f>
        <v>-20203.063060317989</v>
      </c>
      <c r="BW19" s="8">
        <f>-Helpers!BW4*Assumptions!$B$20</f>
        <v>-20607.124321524348</v>
      </c>
      <c r="BX19" s="8">
        <f>-Helpers!BX4*Assumptions!$B$20</f>
        <v>-20607.124321524348</v>
      </c>
      <c r="BY19" s="8">
        <f>-Helpers!BY4*Assumptions!$B$20</f>
        <v>-20607.124321524348</v>
      </c>
      <c r="BZ19" s="8">
        <f>-Helpers!BZ4*Assumptions!$B$20</f>
        <v>-20607.124321524348</v>
      </c>
      <c r="CA19" s="8">
        <f>-Helpers!CA4*Assumptions!$B$20</f>
        <v>-20607.124321524348</v>
      </c>
      <c r="CB19" s="8">
        <f>-Helpers!CB4*Assumptions!$B$20</f>
        <v>-20607.124321524348</v>
      </c>
      <c r="CC19" s="8">
        <f>-Helpers!CC4*Assumptions!$B$20</f>
        <v>-20607.124321524348</v>
      </c>
      <c r="CD19" s="8">
        <f>-Helpers!CD4*Assumptions!$B$20</f>
        <v>-20607.124321524348</v>
      </c>
      <c r="CE19" s="8">
        <f>-Helpers!CE4*Assumptions!$B$20</f>
        <v>-20607.124321524348</v>
      </c>
      <c r="CF19" s="8">
        <f>-Helpers!CF4*Assumptions!$B$20</f>
        <v>-20607.124321524348</v>
      </c>
      <c r="CG19" s="8">
        <f>-Helpers!CG4*Assumptions!$B$20</f>
        <v>-20607.124321524348</v>
      </c>
      <c r="CH19" s="8">
        <f>-Helpers!CH4*Assumptions!$B$20</f>
        <v>-20607.124321524348</v>
      </c>
      <c r="CI19" s="23"/>
    </row>
    <row r="20" spans="1:87" ht="15" customHeight="1" x14ac:dyDescent="0.25">
      <c r="A20" s="7" t="s">
        <v>129</v>
      </c>
      <c r="B20" s="22"/>
      <c r="C20" s="8">
        <f>-Helpers!C4*Assumptions!$B$21</f>
        <v>-975.78833333333341</v>
      </c>
      <c r="D20" s="8">
        <f>-Helpers!D4*Assumptions!$B$21</f>
        <v>-1157.0383333333334</v>
      </c>
      <c r="E20" s="8">
        <f>-Helpers!E4*Assumptions!$B$21</f>
        <v>-1307.0383333333334</v>
      </c>
      <c r="F20" s="8">
        <f>-Helpers!F4*Assumptions!$B$21</f>
        <v>-1307.0383333333334</v>
      </c>
      <c r="G20" s="8">
        <f>-Helpers!G4*Assumptions!$B$21</f>
        <v>-1307.0383333333334</v>
      </c>
      <c r="H20" s="8">
        <f>-Helpers!H4*Assumptions!$B$21</f>
        <v>-1307.0383333333334</v>
      </c>
      <c r="I20" s="8">
        <f>-Helpers!I4*Assumptions!$B$21</f>
        <v>-1307.0383333333334</v>
      </c>
      <c r="J20" s="8">
        <f>-Helpers!J4*Assumptions!$B$21</f>
        <v>-1307.0383333333334</v>
      </c>
      <c r="K20" s="8">
        <f>-Helpers!K4*Assumptions!$B$21</f>
        <v>-1307.0383333333334</v>
      </c>
      <c r="L20" s="8">
        <f>-Helpers!L4*Assumptions!$B$21</f>
        <v>-1307.0383333333334</v>
      </c>
      <c r="M20" s="8">
        <f>-Helpers!M4*Assumptions!$B$21</f>
        <v>-1307.0383333333334</v>
      </c>
      <c r="N20" s="8">
        <f>-Helpers!N4*Assumptions!$B$21</f>
        <v>-1307.0383333333334</v>
      </c>
      <c r="O20" s="8">
        <f>-Helpers!O4*Assumptions!$B$21</f>
        <v>-1333.1791000000001</v>
      </c>
      <c r="P20" s="8">
        <f>-Helpers!P4*Assumptions!$B$21</f>
        <v>-1333.1791000000001</v>
      </c>
      <c r="Q20" s="8">
        <f>-Helpers!Q4*Assumptions!$B$21</f>
        <v>-1333.1791000000001</v>
      </c>
      <c r="R20" s="8">
        <f>-Helpers!R4*Assumptions!$B$21</f>
        <v>-1333.1791000000001</v>
      </c>
      <c r="S20" s="8">
        <f>-Helpers!S4*Assumptions!$B$21</f>
        <v>-1333.1791000000001</v>
      </c>
      <c r="T20" s="8">
        <f>-Helpers!T4*Assumptions!$B$21</f>
        <v>-1333.1791000000001</v>
      </c>
      <c r="U20" s="8">
        <f>-Helpers!U4*Assumptions!$B$21</f>
        <v>-1333.1791000000001</v>
      </c>
      <c r="V20" s="8">
        <f>-Helpers!V4*Assumptions!$B$21</f>
        <v>-1333.1791000000001</v>
      </c>
      <c r="W20" s="8">
        <f>-Helpers!W4*Assumptions!$B$21</f>
        <v>-1333.1791000000001</v>
      </c>
      <c r="X20" s="8">
        <f>-Helpers!X4*Assumptions!$B$21</f>
        <v>-1333.1791000000001</v>
      </c>
      <c r="Y20" s="8">
        <f>-Helpers!Y4*Assumptions!$B$21</f>
        <v>-1333.1791000000001</v>
      </c>
      <c r="Z20" s="8">
        <f>-Helpers!Z4*Assumptions!$B$21</f>
        <v>-1333.1791000000001</v>
      </c>
      <c r="AA20" s="8">
        <f>-Helpers!AA4*Assumptions!$B$21</f>
        <v>-1359.8426820000002</v>
      </c>
      <c r="AB20" s="8">
        <f>-Helpers!AB4*Assumptions!$B$21</f>
        <v>-1359.8426820000002</v>
      </c>
      <c r="AC20" s="8">
        <f>-Helpers!AC4*Assumptions!$B$21</f>
        <v>-1359.8426820000002</v>
      </c>
      <c r="AD20" s="8">
        <f>-Helpers!AD4*Assumptions!$B$21</f>
        <v>-1359.8426820000002</v>
      </c>
      <c r="AE20" s="8">
        <f>-Helpers!AE4*Assumptions!$B$21</f>
        <v>-1359.8426820000002</v>
      </c>
      <c r="AF20" s="8">
        <f>-Helpers!AF4*Assumptions!$B$21</f>
        <v>-1359.8426820000002</v>
      </c>
      <c r="AG20" s="8">
        <f>-Helpers!AG4*Assumptions!$B$21</f>
        <v>-1359.8426820000002</v>
      </c>
      <c r="AH20" s="8">
        <f>-Helpers!AH4*Assumptions!$B$21</f>
        <v>-1359.8426820000002</v>
      </c>
      <c r="AI20" s="8">
        <f>-Helpers!AI4*Assumptions!$B$21</f>
        <v>-1359.8426820000002</v>
      </c>
      <c r="AJ20" s="8">
        <f>-Helpers!AJ4*Assumptions!$B$21</f>
        <v>-1359.8426820000002</v>
      </c>
      <c r="AK20" s="8">
        <f>-Helpers!AK4*Assumptions!$B$21</f>
        <v>-1359.8426820000002</v>
      </c>
      <c r="AL20" s="8">
        <f>-Helpers!AL4*Assumptions!$B$21</f>
        <v>-1359.8426820000002</v>
      </c>
      <c r="AM20" s="8">
        <f>-Helpers!AM4*Assumptions!$B$21</f>
        <v>-1387.0395356399999</v>
      </c>
      <c r="AN20" s="8">
        <f>-Helpers!AN4*Assumptions!$B$21</f>
        <v>-1387.0395356399999</v>
      </c>
      <c r="AO20" s="8">
        <f>-Helpers!AO4*Assumptions!$B$21</f>
        <v>-1387.0395356399999</v>
      </c>
      <c r="AP20" s="8">
        <f>-Helpers!AP4*Assumptions!$B$21</f>
        <v>-1387.0395356399999</v>
      </c>
      <c r="AQ20" s="8">
        <f>-Helpers!AQ4*Assumptions!$B$21</f>
        <v>-1387.0395356399999</v>
      </c>
      <c r="AR20" s="8">
        <f>-Helpers!AR4*Assumptions!$B$21</f>
        <v>-1387.0395356399999</v>
      </c>
      <c r="AS20" s="8">
        <f>-Helpers!AS4*Assumptions!$B$21</f>
        <v>-1387.0395356399999</v>
      </c>
      <c r="AT20" s="8">
        <f>-Helpers!AT4*Assumptions!$B$21</f>
        <v>-1387.0395356399999</v>
      </c>
      <c r="AU20" s="8">
        <f>-Helpers!AU4*Assumptions!$B$21</f>
        <v>-1387.0395356399999</v>
      </c>
      <c r="AV20" s="8">
        <f>-Helpers!AV4*Assumptions!$B$21</f>
        <v>-1387.0395356399999</v>
      </c>
      <c r="AW20" s="8">
        <f>-Helpers!AW4*Assumptions!$B$21</f>
        <v>-1387.0395356399999</v>
      </c>
      <c r="AX20" s="8">
        <f>-Helpers!AX4*Assumptions!$B$21</f>
        <v>-1387.0395356399999</v>
      </c>
      <c r="AY20" s="8">
        <f>-Helpers!AY4*Assumptions!$B$21</f>
        <v>-1414.7803263528001</v>
      </c>
      <c r="AZ20" s="8">
        <f>-Helpers!AZ4*Assumptions!$B$21</f>
        <v>-1414.7803263528001</v>
      </c>
      <c r="BA20" s="8">
        <f>-Helpers!BA4*Assumptions!$B$21</f>
        <v>-1414.7803263528001</v>
      </c>
      <c r="BB20" s="8">
        <f>-Helpers!BB4*Assumptions!$B$21</f>
        <v>-1414.7803263528001</v>
      </c>
      <c r="BC20" s="8">
        <f>-Helpers!BC4*Assumptions!$B$21</f>
        <v>-1414.7803263528001</v>
      </c>
      <c r="BD20" s="8">
        <f>-Helpers!BD4*Assumptions!$B$21</f>
        <v>-1414.7803263528001</v>
      </c>
      <c r="BE20" s="8">
        <f>-Helpers!BE4*Assumptions!$B$21</f>
        <v>-1414.7803263528001</v>
      </c>
      <c r="BF20" s="8">
        <f>-Helpers!BF4*Assumptions!$B$21</f>
        <v>-1414.7803263528001</v>
      </c>
      <c r="BG20" s="8">
        <f>-Helpers!BG4*Assumptions!$B$21</f>
        <v>-1414.7803263528001</v>
      </c>
      <c r="BH20" s="8">
        <f>-Helpers!BH4*Assumptions!$B$21</f>
        <v>-1414.7803263528001</v>
      </c>
      <c r="BI20" s="8">
        <f>-Helpers!BI4*Assumptions!$B$21</f>
        <v>-1414.7803263528001</v>
      </c>
      <c r="BJ20" s="8">
        <f>-Helpers!BJ4*Assumptions!$B$21</f>
        <v>-1414.7803263528001</v>
      </c>
      <c r="BK20" s="8">
        <f>-Helpers!BK4*Assumptions!$B$21</f>
        <v>-1443.0759328798563</v>
      </c>
      <c r="BL20" s="8">
        <f>-Helpers!BL4*Assumptions!$B$21</f>
        <v>-1443.0759328798563</v>
      </c>
      <c r="BM20" s="8">
        <f>-Helpers!BM4*Assumptions!$B$21</f>
        <v>-1443.0759328798563</v>
      </c>
      <c r="BN20" s="8">
        <f>-Helpers!BN4*Assumptions!$B$21</f>
        <v>-1443.0759328798563</v>
      </c>
      <c r="BO20" s="8">
        <f>-Helpers!BO4*Assumptions!$B$21</f>
        <v>-1443.0759328798563</v>
      </c>
      <c r="BP20" s="8">
        <f>-Helpers!BP4*Assumptions!$B$21</f>
        <v>-1443.0759328798563</v>
      </c>
      <c r="BQ20" s="8">
        <f>-Helpers!BQ4*Assumptions!$B$21</f>
        <v>-1443.0759328798563</v>
      </c>
      <c r="BR20" s="8">
        <f>-Helpers!BR4*Assumptions!$B$21</f>
        <v>-1443.0759328798563</v>
      </c>
      <c r="BS20" s="8">
        <f>-Helpers!BS4*Assumptions!$B$21</f>
        <v>-1443.0759328798563</v>
      </c>
      <c r="BT20" s="8">
        <f>-Helpers!BT4*Assumptions!$B$21</f>
        <v>-1443.0759328798563</v>
      </c>
      <c r="BU20" s="8">
        <f>-Helpers!BU4*Assumptions!$B$21</f>
        <v>-1443.0759328798563</v>
      </c>
      <c r="BV20" s="8">
        <f>-Helpers!BV4*Assumptions!$B$21</f>
        <v>-1443.0759328798563</v>
      </c>
      <c r="BW20" s="8">
        <f>-Helpers!BW4*Assumptions!$B$21</f>
        <v>-1471.9374515374534</v>
      </c>
      <c r="BX20" s="8">
        <f>-Helpers!BX4*Assumptions!$B$21</f>
        <v>-1471.9374515374534</v>
      </c>
      <c r="BY20" s="8">
        <f>-Helpers!BY4*Assumptions!$B$21</f>
        <v>-1471.9374515374534</v>
      </c>
      <c r="BZ20" s="8">
        <f>-Helpers!BZ4*Assumptions!$B$21</f>
        <v>-1471.9374515374534</v>
      </c>
      <c r="CA20" s="8">
        <f>-Helpers!CA4*Assumptions!$B$21</f>
        <v>-1471.9374515374534</v>
      </c>
      <c r="CB20" s="8">
        <f>-Helpers!CB4*Assumptions!$B$21</f>
        <v>-1471.9374515374534</v>
      </c>
      <c r="CC20" s="8">
        <f>-Helpers!CC4*Assumptions!$B$21</f>
        <v>-1471.9374515374534</v>
      </c>
      <c r="CD20" s="8">
        <f>-Helpers!CD4*Assumptions!$B$21</f>
        <v>-1471.9374515374534</v>
      </c>
      <c r="CE20" s="8">
        <f>-Helpers!CE4*Assumptions!$B$21</f>
        <v>-1471.9374515374534</v>
      </c>
      <c r="CF20" s="8">
        <f>-Helpers!CF4*Assumptions!$B$21</f>
        <v>-1471.9374515374534</v>
      </c>
      <c r="CG20" s="8">
        <f>-Helpers!CG4*Assumptions!$B$21</f>
        <v>-1471.9374515374534</v>
      </c>
      <c r="CH20" s="8">
        <f>-Helpers!CH4*Assumptions!$B$21</f>
        <v>-1471.9374515374534</v>
      </c>
      <c r="CI20" s="23"/>
    </row>
    <row r="21" spans="1:87" ht="15" customHeight="1" x14ac:dyDescent="0.25">
      <c r="A21" s="7" t="s">
        <v>130</v>
      </c>
      <c r="B21" s="22"/>
      <c r="C21" s="8">
        <f>-Helpers!C4*Assumptions!$B$22</f>
        <v>-13661.036666666669</v>
      </c>
      <c r="D21" s="8">
        <f>-Helpers!D4*Assumptions!$B$22</f>
        <v>-16198.536666666669</v>
      </c>
      <c r="E21" s="8">
        <f>-Helpers!E4*Assumptions!$B$22</f>
        <v>-18298.53666666667</v>
      </c>
      <c r="F21" s="8">
        <f>-Helpers!F4*Assumptions!$B$22</f>
        <v>-18298.53666666667</v>
      </c>
      <c r="G21" s="8">
        <f>-Helpers!G4*Assumptions!$B$22</f>
        <v>-18298.53666666667</v>
      </c>
      <c r="H21" s="8">
        <f>-Helpers!H4*Assumptions!$B$22</f>
        <v>-18298.53666666667</v>
      </c>
      <c r="I21" s="8">
        <f>-Helpers!I4*Assumptions!$B$22</f>
        <v>-18298.53666666667</v>
      </c>
      <c r="J21" s="8">
        <f>-Helpers!J4*Assumptions!$B$22</f>
        <v>-18298.53666666667</v>
      </c>
      <c r="K21" s="8">
        <f>-Helpers!K4*Assumptions!$B$22</f>
        <v>-18298.53666666667</v>
      </c>
      <c r="L21" s="8">
        <f>-Helpers!L4*Assumptions!$B$22</f>
        <v>-18298.53666666667</v>
      </c>
      <c r="M21" s="8">
        <f>-Helpers!M4*Assumptions!$B$22</f>
        <v>-18298.53666666667</v>
      </c>
      <c r="N21" s="8">
        <f>-Helpers!N4*Assumptions!$B$22</f>
        <v>-18298.53666666667</v>
      </c>
      <c r="O21" s="8">
        <f>-Helpers!O4*Assumptions!$B$22</f>
        <v>-18664.507400000002</v>
      </c>
      <c r="P21" s="8">
        <f>-Helpers!P4*Assumptions!$B$22</f>
        <v>-18664.507400000002</v>
      </c>
      <c r="Q21" s="8">
        <f>-Helpers!Q4*Assumptions!$B$22</f>
        <v>-18664.507400000002</v>
      </c>
      <c r="R21" s="8">
        <f>-Helpers!R4*Assumptions!$B$22</f>
        <v>-18664.507400000002</v>
      </c>
      <c r="S21" s="8">
        <f>-Helpers!S4*Assumptions!$B$22</f>
        <v>-18664.507400000002</v>
      </c>
      <c r="T21" s="8">
        <f>-Helpers!T4*Assumptions!$B$22</f>
        <v>-18664.507400000002</v>
      </c>
      <c r="U21" s="8">
        <f>-Helpers!U4*Assumptions!$B$22</f>
        <v>-18664.507400000002</v>
      </c>
      <c r="V21" s="8">
        <f>-Helpers!V4*Assumptions!$B$22</f>
        <v>-18664.507400000002</v>
      </c>
      <c r="W21" s="8">
        <f>-Helpers!W4*Assumptions!$B$22</f>
        <v>-18664.507400000002</v>
      </c>
      <c r="X21" s="8">
        <f>-Helpers!X4*Assumptions!$B$22</f>
        <v>-18664.507400000002</v>
      </c>
      <c r="Y21" s="8">
        <f>-Helpers!Y4*Assumptions!$B$22</f>
        <v>-18664.507400000002</v>
      </c>
      <c r="Z21" s="8">
        <f>-Helpers!Z4*Assumptions!$B$22</f>
        <v>-18664.507400000002</v>
      </c>
      <c r="AA21" s="8">
        <f>-Helpers!AA4*Assumptions!$B$22</f>
        <v>-19037.797548000006</v>
      </c>
      <c r="AB21" s="8">
        <f>-Helpers!AB4*Assumptions!$B$22</f>
        <v>-19037.797548000006</v>
      </c>
      <c r="AC21" s="8">
        <f>-Helpers!AC4*Assumptions!$B$22</f>
        <v>-19037.797548000006</v>
      </c>
      <c r="AD21" s="8">
        <f>-Helpers!AD4*Assumptions!$B$22</f>
        <v>-19037.797548000006</v>
      </c>
      <c r="AE21" s="8">
        <f>-Helpers!AE4*Assumptions!$B$22</f>
        <v>-19037.797548000006</v>
      </c>
      <c r="AF21" s="8">
        <f>-Helpers!AF4*Assumptions!$B$22</f>
        <v>-19037.797548000006</v>
      </c>
      <c r="AG21" s="8">
        <f>-Helpers!AG4*Assumptions!$B$22</f>
        <v>-19037.797548000006</v>
      </c>
      <c r="AH21" s="8">
        <f>-Helpers!AH4*Assumptions!$B$22</f>
        <v>-19037.797548000006</v>
      </c>
      <c r="AI21" s="8">
        <f>-Helpers!AI4*Assumptions!$B$22</f>
        <v>-19037.797548000006</v>
      </c>
      <c r="AJ21" s="8">
        <f>-Helpers!AJ4*Assumptions!$B$22</f>
        <v>-19037.797548000006</v>
      </c>
      <c r="AK21" s="8">
        <f>-Helpers!AK4*Assumptions!$B$22</f>
        <v>-19037.797548000006</v>
      </c>
      <c r="AL21" s="8">
        <f>-Helpers!AL4*Assumptions!$B$22</f>
        <v>-19037.797548000006</v>
      </c>
      <c r="AM21" s="8">
        <f>-Helpers!AM4*Assumptions!$B$22</f>
        <v>-19418.553498960002</v>
      </c>
      <c r="AN21" s="8">
        <f>-Helpers!AN4*Assumptions!$B$22</f>
        <v>-19418.553498960002</v>
      </c>
      <c r="AO21" s="8">
        <f>-Helpers!AO4*Assumptions!$B$22</f>
        <v>-19418.553498960002</v>
      </c>
      <c r="AP21" s="8">
        <f>-Helpers!AP4*Assumptions!$B$22</f>
        <v>-19418.553498960002</v>
      </c>
      <c r="AQ21" s="8">
        <f>-Helpers!AQ4*Assumptions!$B$22</f>
        <v>-19418.553498960002</v>
      </c>
      <c r="AR21" s="8">
        <f>-Helpers!AR4*Assumptions!$B$22</f>
        <v>-19418.553498960002</v>
      </c>
      <c r="AS21" s="8">
        <f>-Helpers!AS4*Assumptions!$B$22</f>
        <v>-19418.553498960002</v>
      </c>
      <c r="AT21" s="8">
        <f>-Helpers!AT4*Assumptions!$B$22</f>
        <v>-19418.553498960002</v>
      </c>
      <c r="AU21" s="8">
        <f>-Helpers!AU4*Assumptions!$B$22</f>
        <v>-19418.553498960002</v>
      </c>
      <c r="AV21" s="8">
        <f>-Helpers!AV4*Assumptions!$B$22</f>
        <v>-19418.553498960002</v>
      </c>
      <c r="AW21" s="8">
        <f>-Helpers!AW4*Assumptions!$B$22</f>
        <v>-19418.553498960002</v>
      </c>
      <c r="AX21" s="8">
        <f>-Helpers!AX4*Assumptions!$B$22</f>
        <v>-19418.553498960002</v>
      </c>
      <c r="AY21" s="8">
        <f>-Helpers!AY4*Assumptions!$B$22</f>
        <v>-19806.924568939205</v>
      </c>
      <c r="AZ21" s="8">
        <f>-Helpers!AZ4*Assumptions!$B$22</f>
        <v>-19806.924568939205</v>
      </c>
      <c r="BA21" s="8">
        <f>-Helpers!BA4*Assumptions!$B$22</f>
        <v>-19806.924568939205</v>
      </c>
      <c r="BB21" s="8">
        <f>-Helpers!BB4*Assumptions!$B$22</f>
        <v>-19806.924568939205</v>
      </c>
      <c r="BC21" s="8">
        <f>-Helpers!BC4*Assumptions!$B$22</f>
        <v>-19806.924568939205</v>
      </c>
      <c r="BD21" s="8">
        <f>-Helpers!BD4*Assumptions!$B$22</f>
        <v>-19806.924568939205</v>
      </c>
      <c r="BE21" s="8">
        <f>-Helpers!BE4*Assumptions!$B$22</f>
        <v>-19806.924568939205</v>
      </c>
      <c r="BF21" s="8">
        <f>-Helpers!BF4*Assumptions!$B$22</f>
        <v>-19806.924568939205</v>
      </c>
      <c r="BG21" s="8">
        <f>-Helpers!BG4*Assumptions!$B$22</f>
        <v>-19806.924568939205</v>
      </c>
      <c r="BH21" s="8">
        <f>-Helpers!BH4*Assumptions!$B$22</f>
        <v>-19806.924568939205</v>
      </c>
      <c r="BI21" s="8">
        <f>-Helpers!BI4*Assumptions!$B$22</f>
        <v>-19806.924568939205</v>
      </c>
      <c r="BJ21" s="8">
        <f>-Helpers!BJ4*Assumptions!$B$22</f>
        <v>-19806.924568939205</v>
      </c>
      <c r="BK21" s="8">
        <f>-Helpers!BK4*Assumptions!$B$22</f>
        <v>-20203.063060317989</v>
      </c>
      <c r="BL21" s="8">
        <f>-Helpers!BL4*Assumptions!$B$22</f>
        <v>-20203.063060317989</v>
      </c>
      <c r="BM21" s="8">
        <f>-Helpers!BM4*Assumptions!$B$22</f>
        <v>-20203.063060317989</v>
      </c>
      <c r="BN21" s="8">
        <f>-Helpers!BN4*Assumptions!$B$22</f>
        <v>-20203.063060317989</v>
      </c>
      <c r="BO21" s="8">
        <f>-Helpers!BO4*Assumptions!$B$22</f>
        <v>-20203.063060317989</v>
      </c>
      <c r="BP21" s="8">
        <f>-Helpers!BP4*Assumptions!$B$22</f>
        <v>-20203.063060317989</v>
      </c>
      <c r="BQ21" s="8">
        <f>-Helpers!BQ4*Assumptions!$B$22</f>
        <v>-20203.063060317989</v>
      </c>
      <c r="BR21" s="8">
        <f>-Helpers!BR4*Assumptions!$B$22</f>
        <v>-20203.063060317989</v>
      </c>
      <c r="BS21" s="8">
        <f>-Helpers!BS4*Assumptions!$B$22</f>
        <v>-20203.063060317989</v>
      </c>
      <c r="BT21" s="8">
        <f>-Helpers!BT4*Assumptions!$B$22</f>
        <v>-20203.063060317989</v>
      </c>
      <c r="BU21" s="8">
        <f>-Helpers!BU4*Assumptions!$B$22</f>
        <v>-20203.063060317989</v>
      </c>
      <c r="BV21" s="8">
        <f>-Helpers!BV4*Assumptions!$B$22</f>
        <v>-20203.063060317989</v>
      </c>
      <c r="BW21" s="8">
        <f>-Helpers!BW4*Assumptions!$B$22</f>
        <v>-20607.124321524348</v>
      </c>
      <c r="BX21" s="8">
        <f>-Helpers!BX4*Assumptions!$B$22</f>
        <v>-20607.124321524348</v>
      </c>
      <c r="BY21" s="8">
        <f>-Helpers!BY4*Assumptions!$B$22</f>
        <v>-20607.124321524348</v>
      </c>
      <c r="BZ21" s="8">
        <f>-Helpers!BZ4*Assumptions!$B$22</f>
        <v>-20607.124321524348</v>
      </c>
      <c r="CA21" s="8">
        <f>-Helpers!CA4*Assumptions!$B$22</f>
        <v>-20607.124321524348</v>
      </c>
      <c r="CB21" s="8">
        <f>-Helpers!CB4*Assumptions!$B$22</f>
        <v>-20607.124321524348</v>
      </c>
      <c r="CC21" s="8">
        <f>-Helpers!CC4*Assumptions!$B$22</f>
        <v>-20607.124321524348</v>
      </c>
      <c r="CD21" s="8">
        <f>-Helpers!CD4*Assumptions!$B$22</f>
        <v>-20607.124321524348</v>
      </c>
      <c r="CE21" s="8">
        <f>-Helpers!CE4*Assumptions!$B$22</f>
        <v>-20607.124321524348</v>
      </c>
      <c r="CF21" s="8">
        <f>-Helpers!CF4*Assumptions!$B$22</f>
        <v>-20607.124321524348</v>
      </c>
      <c r="CG21" s="8">
        <f>-Helpers!CG4*Assumptions!$B$22</f>
        <v>-20607.124321524348</v>
      </c>
      <c r="CH21" s="8">
        <f>-Helpers!CH4*Assumptions!$B$22</f>
        <v>-20607.124321524348</v>
      </c>
      <c r="CI21" s="23"/>
    </row>
    <row r="22" spans="1:87" ht="15" customHeight="1" x14ac:dyDescent="0.25">
      <c r="A22" s="7" t="s">
        <v>131</v>
      </c>
      <c r="B22" s="22"/>
      <c r="C22" s="8">
        <f>-Helpers!C4*Assumptions!$B$23</f>
        <v>-3903.1533333333336</v>
      </c>
      <c r="D22" s="8">
        <f>-Helpers!D4*Assumptions!$B$23</f>
        <v>-4628.1533333333336</v>
      </c>
      <c r="E22" s="8">
        <f>-Helpers!E4*Assumptions!$B$23</f>
        <v>-5228.1533333333336</v>
      </c>
      <c r="F22" s="8">
        <f>-Helpers!F4*Assumptions!$B$23</f>
        <v>-5228.1533333333336</v>
      </c>
      <c r="G22" s="8">
        <f>-Helpers!G4*Assumptions!$B$23</f>
        <v>-5228.1533333333336</v>
      </c>
      <c r="H22" s="8">
        <f>-Helpers!H4*Assumptions!$B$23</f>
        <v>-5228.1533333333336</v>
      </c>
      <c r="I22" s="8">
        <f>-Helpers!I4*Assumptions!$B$23</f>
        <v>-5228.1533333333336</v>
      </c>
      <c r="J22" s="8">
        <f>-Helpers!J4*Assumptions!$B$23</f>
        <v>-5228.1533333333336</v>
      </c>
      <c r="K22" s="8">
        <f>-Helpers!K4*Assumptions!$B$23</f>
        <v>-5228.1533333333336</v>
      </c>
      <c r="L22" s="8">
        <f>-Helpers!L4*Assumptions!$B$23</f>
        <v>-5228.1533333333336</v>
      </c>
      <c r="M22" s="8">
        <f>-Helpers!M4*Assumptions!$B$23</f>
        <v>-5228.1533333333336</v>
      </c>
      <c r="N22" s="8">
        <f>-Helpers!N4*Assumptions!$B$23</f>
        <v>-5228.1533333333336</v>
      </c>
      <c r="O22" s="8">
        <f>-Helpers!O4*Assumptions!$B$23</f>
        <v>-5332.7164000000002</v>
      </c>
      <c r="P22" s="8">
        <f>-Helpers!P4*Assumptions!$B$23</f>
        <v>-5332.7164000000002</v>
      </c>
      <c r="Q22" s="8">
        <f>-Helpers!Q4*Assumptions!$B$23</f>
        <v>-5332.7164000000002</v>
      </c>
      <c r="R22" s="8">
        <f>-Helpers!R4*Assumptions!$B$23</f>
        <v>-5332.7164000000002</v>
      </c>
      <c r="S22" s="8">
        <f>-Helpers!S4*Assumptions!$B$23</f>
        <v>-5332.7164000000002</v>
      </c>
      <c r="T22" s="8">
        <f>-Helpers!T4*Assumptions!$B$23</f>
        <v>-5332.7164000000002</v>
      </c>
      <c r="U22" s="8">
        <f>-Helpers!U4*Assumptions!$B$23</f>
        <v>-5332.7164000000002</v>
      </c>
      <c r="V22" s="8">
        <f>-Helpers!V4*Assumptions!$B$23</f>
        <v>-5332.7164000000002</v>
      </c>
      <c r="W22" s="8">
        <f>-Helpers!W4*Assumptions!$B$23</f>
        <v>-5332.7164000000002</v>
      </c>
      <c r="X22" s="8">
        <f>-Helpers!X4*Assumptions!$B$23</f>
        <v>-5332.7164000000002</v>
      </c>
      <c r="Y22" s="8">
        <f>-Helpers!Y4*Assumptions!$B$23</f>
        <v>-5332.7164000000002</v>
      </c>
      <c r="Z22" s="8">
        <f>-Helpers!Z4*Assumptions!$B$23</f>
        <v>-5332.7164000000002</v>
      </c>
      <c r="AA22" s="8">
        <f>-Helpers!AA4*Assumptions!$B$23</f>
        <v>-5439.3707280000008</v>
      </c>
      <c r="AB22" s="8">
        <f>-Helpers!AB4*Assumptions!$B$23</f>
        <v>-5439.3707280000008</v>
      </c>
      <c r="AC22" s="8">
        <f>-Helpers!AC4*Assumptions!$B$23</f>
        <v>-5439.3707280000008</v>
      </c>
      <c r="AD22" s="8">
        <f>-Helpers!AD4*Assumptions!$B$23</f>
        <v>-5439.3707280000008</v>
      </c>
      <c r="AE22" s="8">
        <f>-Helpers!AE4*Assumptions!$B$23</f>
        <v>-5439.3707280000008</v>
      </c>
      <c r="AF22" s="8">
        <f>-Helpers!AF4*Assumptions!$B$23</f>
        <v>-5439.3707280000008</v>
      </c>
      <c r="AG22" s="8">
        <f>-Helpers!AG4*Assumptions!$B$23</f>
        <v>-5439.3707280000008</v>
      </c>
      <c r="AH22" s="8">
        <f>-Helpers!AH4*Assumptions!$B$23</f>
        <v>-5439.3707280000008</v>
      </c>
      <c r="AI22" s="8">
        <f>-Helpers!AI4*Assumptions!$B$23</f>
        <v>-5439.3707280000008</v>
      </c>
      <c r="AJ22" s="8">
        <f>-Helpers!AJ4*Assumptions!$B$23</f>
        <v>-5439.3707280000008</v>
      </c>
      <c r="AK22" s="8">
        <f>-Helpers!AK4*Assumptions!$B$23</f>
        <v>-5439.3707280000008</v>
      </c>
      <c r="AL22" s="8">
        <f>-Helpers!AL4*Assumptions!$B$23</f>
        <v>-5439.3707280000008</v>
      </c>
      <c r="AM22" s="8">
        <f>-Helpers!AM4*Assumptions!$B$23</f>
        <v>-5548.1581425599998</v>
      </c>
      <c r="AN22" s="8">
        <f>-Helpers!AN4*Assumptions!$B$23</f>
        <v>-5548.1581425599998</v>
      </c>
      <c r="AO22" s="8">
        <f>-Helpers!AO4*Assumptions!$B$23</f>
        <v>-5548.1581425599998</v>
      </c>
      <c r="AP22" s="8">
        <f>-Helpers!AP4*Assumptions!$B$23</f>
        <v>-5548.1581425599998</v>
      </c>
      <c r="AQ22" s="8">
        <f>-Helpers!AQ4*Assumptions!$B$23</f>
        <v>-5548.1581425599998</v>
      </c>
      <c r="AR22" s="8">
        <f>-Helpers!AR4*Assumptions!$B$23</f>
        <v>-5548.1581425599998</v>
      </c>
      <c r="AS22" s="8">
        <f>-Helpers!AS4*Assumptions!$B$23</f>
        <v>-5548.1581425599998</v>
      </c>
      <c r="AT22" s="8">
        <f>-Helpers!AT4*Assumptions!$B$23</f>
        <v>-5548.1581425599998</v>
      </c>
      <c r="AU22" s="8">
        <f>-Helpers!AU4*Assumptions!$B$23</f>
        <v>-5548.1581425599998</v>
      </c>
      <c r="AV22" s="8">
        <f>-Helpers!AV4*Assumptions!$B$23</f>
        <v>-5548.1581425599998</v>
      </c>
      <c r="AW22" s="8">
        <f>-Helpers!AW4*Assumptions!$B$23</f>
        <v>-5548.1581425599998</v>
      </c>
      <c r="AX22" s="8">
        <f>-Helpers!AX4*Assumptions!$B$23</f>
        <v>-5548.1581425599998</v>
      </c>
      <c r="AY22" s="8">
        <f>-Helpers!AY4*Assumptions!$B$23</f>
        <v>-5659.1213054112004</v>
      </c>
      <c r="AZ22" s="8">
        <f>-Helpers!AZ4*Assumptions!$B$23</f>
        <v>-5659.1213054112004</v>
      </c>
      <c r="BA22" s="8">
        <f>-Helpers!BA4*Assumptions!$B$23</f>
        <v>-5659.1213054112004</v>
      </c>
      <c r="BB22" s="8">
        <f>-Helpers!BB4*Assumptions!$B$23</f>
        <v>-5659.1213054112004</v>
      </c>
      <c r="BC22" s="8">
        <f>-Helpers!BC4*Assumptions!$B$23</f>
        <v>-5659.1213054112004</v>
      </c>
      <c r="BD22" s="8">
        <f>-Helpers!BD4*Assumptions!$B$23</f>
        <v>-5659.1213054112004</v>
      </c>
      <c r="BE22" s="8">
        <f>-Helpers!BE4*Assumptions!$B$23</f>
        <v>-5659.1213054112004</v>
      </c>
      <c r="BF22" s="8">
        <f>-Helpers!BF4*Assumptions!$B$23</f>
        <v>-5659.1213054112004</v>
      </c>
      <c r="BG22" s="8">
        <f>-Helpers!BG4*Assumptions!$B$23</f>
        <v>-5659.1213054112004</v>
      </c>
      <c r="BH22" s="8">
        <f>-Helpers!BH4*Assumptions!$B$23</f>
        <v>-5659.1213054112004</v>
      </c>
      <c r="BI22" s="8">
        <f>-Helpers!BI4*Assumptions!$B$23</f>
        <v>-5659.1213054112004</v>
      </c>
      <c r="BJ22" s="8">
        <f>-Helpers!BJ4*Assumptions!$B$23</f>
        <v>-5659.1213054112004</v>
      </c>
      <c r="BK22" s="8">
        <f>-Helpers!BK4*Assumptions!$B$23</f>
        <v>-5772.3037315194251</v>
      </c>
      <c r="BL22" s="8">
        <f>-Helpers!BL4*Assumptions!$B$23</f>
        <v>-5772.3037315194251</v>
      </c>
      <c r="BM22" s="8">
        <f>-Helpers!BM4*Assumptions!$B$23</f>
        <v>-5772.3037315194251</v>
      </c>
      <c r="BN22" s="8">
        <f>-Helpers!BN4*Assumptions!$B$23</f>
        <v>-5772.3037315194251</v>
      </c>
      <c r="BO22" s="8">
        <f>-Helpers!BO4*Assumptions!$B$23</f>
        <v>-5772.3037315194251</v>
      </c>
      <c r="BP22" s="8">
        <f>-Helpers!BP4*Assumptions!$B$23</f>
        <v>-5772.3037315194251</v>
      </c>
      <c r="BQ22" s="8">
        <f>-Helpers!BQ4*Assumptions!$B$23</f>
        <v>-5772.3037315194251</v>
      </c>
      <c r="BR22" s="8">
        <f>-Helpers!BR4*Assumptions!$B$23</f>
        <v>-5772.3037315194251</v>
      </c>
      <c r="BS22" s="8">
        <f>-Helpers!BS4*Assumptions!$B$23</f>
        <v>-5772.3037315194251</v>
      </c>
      <c r="BT22" s="8">
        <f>-Helpers!BT4*Assumptions!$B$23</f>
        <v>-5772.3037315194251</v>
      </c>
      <c r="BU22" s="8">
        <f>-Helpers!BU4*Assumptions!$B$23</f>
        <v>-5772.3037315194251</v>
      </c>
      <c r="BV22" s="8">
        <f>-Helpers!BV4*Assumptions!$B$23</f>
        <v>-5772.3037315194251</v>
      </c>
      <c r="BW22" s="8">
        <f>-Helpers!BW4*Assumptions!$B$23</f>
        <v>-5887.7498061498136</v>
      </c>
      <c r="BX22" s="8">
        <f>-Helpers!BX4*Assumptions!$B$23</f>
        <v>-5887.7498061498136</v>
      </c>
      <c r="BY22" s="8">
        <f>-Helpers!BY4*Assumptions!$B$23</f>
        <v>-5887.7498061498136</v>
      </c>
      <c r="BZ22" s="8">
        <f>-Helpers!BZ4*Assumptions!$B$23</f>
        <v>-5887.7498061498136</v>
      </c>
      <c r="CA22" s="8">
        <f>-Helpers!CA4*Assumptions!$B$23</f>
        <v>-5887.7498061498136</v>
      </c>
      <c r="CB22" s="8">
        <f>-Helpers!CB4*Assumptions!$B$23</f>
        <v>-5887.7498061498136</v>
      </c>
      <c r="CC22" s="8">
        <f>-Helpers!CC4*Assumptions!$B$23</f>
        <v>-5887.7498061498136</v>
      </c>
      <c r="CD22" s="8">
        <f>-Helpers!CD4*Assumptions!$B$23</f>
        <v>-5887.7498061498136</v>
      </c>
      <c r="CE22" s="8">
        <f>-Helpers!CE4*Assumptions!$B$23</f>
        <v>-5887.7498061498136</v>
      </c>
      <c r="CF22" s="8">
        <f>-Helpers!CF4*Assumptions!$B$23</f>
        <v>-5887.7498061498136</v>
      </c>
      <c r="CG22" s="8">
        <f>-Helpers!CG4*Assumptions!$B$23</f>
        <v>-5887.7498061498136</v>
      </c>
      <c r="CH22" s="8">
        <f>-Helpers!CH4*Assumptions!$B$23</f>
        <v>-5887.7498061498136</v>
      </c>
      <c r="CI22" s="23"/>
    </row>
    <row r="23" spans="1:87" ht="15" customHeight="1" x14ac:dyDescent="0.25">
      <c r="A23" s="7" t="s">
        <v>132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133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134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135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136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137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138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139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140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141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142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143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144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145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146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147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82</v>
      </c>
      <c r="B39" s="28"/>
      <c r="C39" s="10">
        <f>C15+C16+C17+C18+C19+C20+C21+C22+C23+SUM(C24:C38)+Helpers!C103</f>
        <v>-328758.69833333336</v>
      </c>
      <c r="D39" s="10">
        <f>D15+D16+D17+D18+D19+D20+D21+D22+D23+SUM(D24:D38)+Helpers!D103</f>
        <v>-370989.94833333336</v>
      </c>
      <c r="E39" s="10">
        <f>E15+E16+E17+E18+E19+E20+E21+E22+E23+SUM(E24:E38)+Helpers!E103</f>
        <v>-405939.94833333336</v>
      </c>
      <c r="F39" s="10">
        <f>F15+F16+F17+F18+F19+F20+F21+F22+F23+SUM(F24:F38)+Helpers!F103</f>
        <v>-723906.46353333327</v>
      </c>
      <c r="G39" s="10">
        <f>G15+G16+G17+G18+G19+G20+G21+G22+G23+SUM(G24:G38)+Helpers!G103</f>
        <v>-405939.94833333336</v>
      </c>
      <c r="H39" s="10">
        <f>H15+H16+H17+H18+H19+H20+H21+H22+H23+SUM(H24:H38)+Helpers!H103</f>
        <v>-405939.94833333336</v>
      </c>
      <c r="I39" s="10">
        <f>I15+I16+I17+I18+I19+I20+I21+I22+I23+SUM(I24:I38)+Helpers!I103</f>
        <v>-624022.7953333332</v>
      </c>
      <c r="J39" s="10">
        <f>J15+J16+J17+J18+J19+J20+J21+J22+J23+SUM(J24:J38)+Helpers!J103</f>
        <v>-563289.14533333341</v>
      </c>
      <c r="K39" s="10">
        <f>K15+K16+K17+K18+K19+K20+K21+K22+K23+SUM(K24:K38)+Helpers!K103</f>
        <v>-405939.94833333336</v>
      </c>
      <c r="L39" s="10">
        <f>L15+L16+L17+L18+L19+L20+L21+L22+L23+SUM(L24:L38)+Helpers!L103</f>
        <v>-405939.94833333336</v>
      </c>
      <c r="M39" s="10">
        <f>M15+M16+M17+M18+M19+M20+M21+M22+M23+SUM(M24:M38)+Helpers!M103</f>
        <v>-405939.94833333336</v>
      </c>
      <c r="N39" s="10">
        <f>N15+N16+N17+N18+N19+N20+N21+N22+N23+SUM(N24:N38)+Helpers!N103</f>
        <v>-435939.94833333336</v>
      </c>
      <c r="O39" s="10">
        <f>O15+O16+O17+O18+O19+O20+O21+O22+O23+SUM(O24:O38)+Helpers!O103</f>
        <v>-1880083.9523000002</v>
      </c>
      <c r="P39" s="10">
        <f>P15+P16+P17+P18+P19+P20+P21+P22+P23+SUM(P24:P38)+Helpers!P103</f>
        <v>-408913.92729999998</v>
      </c>
      <c r="Q39" s="10">
        <f>Q15+Q16+Q17+Q18+Q19+Q20+Q21+Q22+Q23+SUM(Q24:Q38)+Helpers!Q103</f>
        <v>-438913.92729999998</v>
      </c>
      <c r="R39" s="10">
        <f>R15+R16+R17+R18+R19+R20+R21+R22+R23+SUM(R24:R38)+Helpers!R103</f>
        <v>-408913.92729999998</v>
      </c>
      <c r="S39" s="10">
        <f>S15+S16+S17+S18+S19+S20+S21+S22+S23+SUM(S24:S38)+Helpers!S103</f>
        <v>-408913.92729999998</v>
      </c>
      <c r="T39" s="10">
        <f>T15+T16+T17+T18+T19+T20+T21+T22+T23+SUM(T24:T38)+Helpers!T103</f>
        <v>-438913.92729999998</v>
      </c>
      <c r="U39" s="10">
        <f>U15+U16+U17+U18+U19+U20+U21+U22+U23+SUM(U24:U38)+Helpers!U103</f>
        <v>-408913.92729999998</v>
      </c>
      <c r="V39" s="10">
        <f>V15+V16+V17+V18+V19+V20+V21+V22+V23+SUM(V24:V38)+Helpers!V103</f>
        <v>-408913.92729999998</v>
      </c>
      <c r="W39" s="10">
        <f>W15+W16+W17+W18+W19+W20+W21+W22+W23+SUM(W24:W38)+Helpers!W103</f>
        <v>-408913.92729999998</v>
      </c>
      <c r="X39" s="10">
        <f>X15+X16+X17+X18+X19+X20+X21+X22+X23+SUM(X24:X38)+Helpers!X103</f>
        <v>-438913.92729999998</v>
      </c>
      <c r="Y39" s="10">
        <f>Y15+Y16+Y17+Y18+Y19+Y20+Y21+Y22+Y23+SUM(Y24:Y38)+Helpers!Y103</f>
        <v>-408913.92729999998</v>
      </c>
      <c r="Z39" s="10">
        <f>Z15+Z16+Z17+Z18+Z19+Z20+Z21+Z22+Z23+SUM(Z24:Z38)+Helpers!Z103</f>
        <v>-408913.92729999998</v>
      </c>
      <c r="AA39" s="10">
        <f>AA15+AA16+AA17+AA18+AA19+AA20+AA21+AA22+AA23+SUM(AA24:AA38)+Helpers!AA103</f>
        <v>-441947.38584600005</v>
      </c>
      <c r="AB39" s="10">
        <f>AB15+AB16+AB17+AB18+AB19+AB20+AB21+AB22+AB23+SUM(AB24:AB38)+Helpers!AB103</f>
        <v>-411947.38584600005</v>
      </c>
      <c r="AC39" s="10">
        <f>AC15+AC16+AC17+AC18+AC19+AC20+AC21+AC22+AC23+SUM(AC24:AC38)+Helpers!AC103</f>
        <v>-1755972.925846</v>
      </c>
      <c r="AD39" s="10">
        <f>AD15+AD16+AD17+AD18+AD19+AD20+AD21+AD22+AD23+SUM(AD24:AD38)+Helpers!AD103</f>
        <v>-447947.38584600005</v>
      </c>
      <c r="AE39" s="10">
        <f>AE15+AE16+AE17+AE18+AE19+AE20+AE21+AE22+AE23+SUM(AE24:AE38)+Helpers!AE103</f>
        <v>-411947.38584600005</v>
      </c>
      <c r="AF39" s="10">
        <f>AF15+AF16+AF17+AF18+AF19+AF20+AF21+AF22+AF23+SUM(AF24:AF38)+Helpers!AF103</f>
        <v>-411947.38584600005</v>
      </c>
      <c r="AG39" s="10">
        <f>AG15+AG16+AG17+AG18+AG19+AG20+AG21+AG22+AG23+SUM(AG24:AG38)+Helpers!AG103</f>
        <v>-447947.38584600005</v>
      </c>
      <c r="AH39" s="10">
        <f>AH15+AH16+AH17+AH18+AH19+AH20+AH21+AH22+AH23+SUM(AH24:AH38)+Helpers!AH103</f>
        <v>-411947.38584600005</v>
      </c>
      <c r="AI39" s="10">
        <f>AI15+AI16+AI17+AI18+AI19+AI20+AI21+AI22+AI23+SUM(AI24:AI38)+Helpers!AI103</f>
        <v>-447947.38584600005</v>
      </c>
      <c r="AJ39" s="10">
        <f>AJ15+AJ16+AJ17+AJ18+AJ19+AJ20+AJ21+AJ22+AJ23+SUM(AJ24:AJ38)+Helpers!AJ103</f>
        <v>-411947.38584600005</v>
      </c>
      <c r="AK39" s="10">
        <f>AK15+AK16+AK17+AK18+AK19+AK20+AK21+AK22+AK23+SUM(AK24:AK38)+Helpers!AK103</f>
        <v>-441947.38584600005</v>
      </c>
      <c r="AL39" s="10">
        <f>AL15+AL16+AL17+AL18+AL19+AL20+AL21+AL22+AL23+SUM(AL24:AL38)+Helpers!AL103</f>
        <v>-411947.38584600005</v>
      </c>
      <c r="AM39" s="10">
        <f>AM15+AM16+AM17+AM18+AM19+AM20+AM21+AM22+AM23+SUM(AM24:AM38)+Helpers!AM103</f>
        <v>-427041.51356291998</v>
      </c>
      <c r="AN39" s="10">
        <f>AN15+AN16+AN17+AN18+AN19+AN20+AN21+AN22+AN23+SUM(AN24:AN38)+Helpers!AN103</f>
        <v>-415041.51356291998</v>
      </c>
      <c r="AO39" s="10">
        <f>AO15+AO16+AO17+AO18+AO19+AO20+AO21+AO22+AO23+SUM(AO24:AO38)+Helpers!AO103</f>
        <v>-415041.51356291998</v>
      </c>
      <c r="AP39" s="10">
        <f>AP15+AP16+AP17+AP18+AP19+AP20+AP21+AP22+AP23+SUM(AP24:AP38)+Helpers!AP103</f>
        <v>-415041.51356291998</v>
      </c>
      <c r="AQ39" s="10">
        <f>AQ15+AQ16+AQ17+AQ18+AQ19+AQ20+AQ21+AQ22+AQ23+SUM(AQ24:AQ38)+Helpers!AQ103</f>
        <v>-445041.51356291998</v>
      </c>
      <c r="AR39" s="10">
        <f>AR15+AR16+AR17+AR18+AR19+AR20+AR21+AR22+AR23+SUM(AR24:AR38)+Helpers!AR103</f>
        <v>-415041.51356291998</v>
      </c>
      <c r="AS39" s="10">
        <f>AS15+AS16+AS17+AS18+AS19+AS20+AS21+AS22+AS23+SUM(AS24:AS38)+Helpers!AS103</f>
        <v>-451041.51356291998</v>
      </c>
      <c r="AT39" s="10">
        <f>AT15+AT16+AT17+AT18+AT19+AT20+AT21+AT22+AT23+SUM(AT24:AT38)+Helpers!AT103</f>
        <v>-415041.51356291998</v>
      </c>
      <c r="AU39" s="10">
        <f>AU15+AU16+AU17+AU18+AU19+AU20+AU21+AU22+AU23+SUM(AU24:AU38)+Helpers!AU103</f>
        <v>-445041.51356291998</v>
      </c>
      <c r="AV39" s="10">
        <f>AV15+AV16+AV17+AV18+AV19+AV20+AV21+AV22+AV23+SUM(AV24:AV38)+Helpers!AV103</f>
        <v>-415041.51356291998</v>
      </c>
      <c r="AW39" s="10">
        <f>AW15+AW16+AW17+AW18+AW19+AW20+AW21+AW22+AW23+SUM(AW24:AW38)+Helpers!AW103</f>
        <v>-445041.51356291998</v>
      </c>
      <c r="AX39" s="10">
        <f>AX15+AX16+AX17+AX18+AX19+AX20+AX21+AX22+AX23+SUM(AX24:AX38)+Helpers!AX103</f>
        <v>-415041.51356291998</v>
      </c>
      <c r="AY39" s="10">
        <f>AY15+AY16+AY17+AY18+AY19+AY20+AY21+AY22+AY23+SUM(AY24:AY38)+Helpers!AY103</f>
        <v>-442197.52383417846</v>
      </c>
      <c r="AZ39" s="10">
        <f>AZ15+AZ16+AZ17+AZ18+AZ19+AZ20+AZ21+AZ22+AZ23+SUM(AZ24:AZ38)+Helpers!AZ103</f>
        <v>-418197.52383417846</v>
      </c>
      <c r="BA39" s="10">
        <f>BA15+BA16+BA17+BA18+BA19+BA20+BA21+BA22+BA23+SUM(BA24:BA38)+Helpers!BA103</f>
        <v>-418197.52383417846</v>
      </c>
      <c r="BB39" s="10">
        <f>BB15+BB16+BB17+BB18+BB19+BB20+BB21+BB22+BB23+SUM(BB24:BB38)+Helpers!BB103</f>
        <v>-418197.52383417846</v>
      </c>
      <c r="BC39" s="10">
        <f>BC15+BC16+BC17+BC18+BC19+BC20+BC21+BC22+BC23+SUM(BC24:BC38)+Helpers!BC103</f>
        <v>-454197.52383417846</v>
      </c>
      <c r="BD39" s="10">
        <f>BD15+BD16+BD17+BD18+BD19+BD20+BD21+BD22+BD23+SUM(BD24:BD38)+Helpers!BD103</f>
        <v>-418197.52383417846</v>
      </c>
      <c r="BE39" s="10">
        <f>BE15+BE16+BE17+BE18+BE19+BE20+BE21+BE22+BE23+SUM(BE24:BE38)+Helpers!BE103</f>
        <v>-448197.52383417846</v>
      </c>
      <c r="BF39" s="10">
        <f>BF15+BF16+BF17+BF18+BF19+BF20+BF21+BF22+BF23+SUM(BF24:BF38)+Helpers!BF103</f>
        <v>-418197.52383417846</v>
      </c>
      <c r="BG39" s="10">
        <f>BG15+BG16+BG17+BG18+BG19+BG20+BG21+BG22+BG23+SUM(BG24:BG38)+Helpers!BG103</f>
        <v>-448197.52383417846</v>
      </c>
      <c r="BH39" s="10">
        <f>BH15+BH16+BH17+BH18+BH19+BH20+BH21+BH22+BH23+SUM(BH24:BH38)+Helpers!BH103</f>
        <v>-418197.52383417846</v>
      </c>
      <c r="BI39" s="10">
        <f>BI15+BI16+BI17+BI18+BI19+BI20+BI21+BI22+BI23+SUM(BI24:BI38)+Helpers!BI103</f>
        <v>-454197.52383417846</v>
      </c>
      <c r="BJ39" s="10">
        <f>BJ15+BJ16+BJ17+BJ18+BJ19+BJ20+BJ21+BJ22+BJ23+SUM(BJ24:BJ38)+Helpers!BJ103</f>
        <v>-418197.52383417846</v>
      </c>
      <c r="BK39" s="10">
        <f>BK15+BK16+BK17+BK18+BK19+BK20+BK21+BK22+BK23+SUM(BK24:BK38)+Helpers!BK103</f>
        <v>-439416.65431086207</v>
      </c>
      <c r="BL39" s="10">
        <f>BL15+BL16+BL17+BL18+BL19+BL20+BL21+BL22+BL23+SUM(BL24:BL38)+Helpers!BL103</f>
        <v>-421416.65431086207</v>
      </c>
      <c r="BM39" s="10">
        <f>BM15+BM16+BM17+BM18+BM19+BM20+BM21+BM22+BM23+SUM(BM24:BM38)+Helpers!BM103</f>
        <v>-421416.65431086207</v>
      </c>
      <c r="BN39" s="10">
        <f>BN15+BN16+BN17+BN18+BN19+BN20+BN21+BN22+BN23+SUM(BN24:BN38)+Helpers!BN103</f>
        <v>-421416.65431086207</v>
      </c>
      <c r="BO39" s="10">
        <f>BO15+BO16+BO17+BO18+BO19+BO20+BO21+BO22+BO23+SUM(BO24:BO38)+Helpers!BO103</f>
        <v>-457416.65431086207</v>
      </c>
      <c r="BP39" s="10">
        <f>BP15+BP16+BP17+BP18+BP19+BP20+BP21+BP22+BP23+SUM(BP24:BP38)+Helpers!BP103</f>
        <v>-421416.65431086207</v>
      </c>
      <c r="BQ39" s="10">
        <f>BQ15+BQ16+BQ17+BQ18+BQ19+BQ20+BQ21+BQ22+BQ23+SUM(BQ24:BQ38)+Helpers!BQ103</f>
        <v>-451416.65431086207</v>
      </c>
      <c r="BR39" s="10">
        <f>BR15+BR16+BR17+BR18+BR19+BR20+BR21+BR22+BR23+SUM(BR24:BR38)+Helpers!BR103</f>
        <v>-421416.65431086207</v>
      </c>
      <c r="BS39" s="10">
        <f>BS15+BS16+BS17+BS18+BS19+BS20+BS21+BS22+BS23+SUM(BS24:BS38)+Helpers!BS103</f>
        <v>-451416.65431086207</v>
      </c>
      <c r="BT39" s="10">
        <f>BT15+BT16+BT17+BT18+BT19+BT20+BT21+BT22+BT23+SUM(BT24:BT38)+Helpers!BT103</f>
        <v>-421416.65431086207</v>
      </c>
      <c r="BU39" s="10">
        <f>BU15+BU16+BU17+BU18+BU19+BU20+BU21+BU22+BU23+SUM(BU24:BU38)+Helpers!BU103</f>
        <v>-457416.65431086207</v>
      </c>
      <c r="BV39" s="10">
        <f>BV15+BV16+BV17+BV18+BV19+BV20+BV21+BV22+BV23+SUM(BV24:BV38)+Helpers!BV103</f>
        <v>-421416.65431086207</v>
      </c>
      <c r="BW39" s="10">
        <f>BW15+BW16+BW17+BW18+BW19+BW20+BW21+BW22+BW23+SUM(BW24:BW38)+Helpers!BW103</f>
        <v>-442700.16739707923</v>
      </c>
      <c r="BX39" s="10">
        <f>BX15+BX16+BX17+BX18+BX19+BX20+BX21+BX22+BX23+SUM(BX24:BX38)+Helpers!BX103</f>
        <v>-424700.16739707923</v>
      </c>
      <c r="BY39" s="10">
        <f>BY15+BY16+BY17+BY18+BY19+BY20+BY21+BY22+BY23+SUM(BY24:BY38)+Helpers!BY103</f>
        <v>-424700.16739707923</v>
      </c>
      <c r="BZ39" s="10">
        <f>BZ15+BZ16+BZ17+BZ18+BZ19+BZ20+BZ21+BZ22+BZ23+SUM(BZ24:BZ38)+Helpers!BZ103</f>
        <v>-424700.16739707923</v>
      </c>
      <c r="CA39" s="10">
        <f>CA15+CA16+CA17+CA18+CA19+CA20+CA21+CA22+CA23+SUM(CA24:CA38)+Helpers!CA103</f>
        <v>-424700.16739707923</v>
      </c>
      <c r="CB39" s="10">
        <f>CB15+CB16+CB17+CB18+CB19+CB20+CB21+CB22+CB23+SUM(CB24:CB38)+Helpers!CB103</f>
        <v>-424700.16739707923</v>
      </c>
      <c r="CC39" s="10">
        <f>CC15+CC16+CC17+CC18+CC19+CC20+CC21+CC22+CC23+SUM(CC24:CC38)+Helpers!CC103</f>
        <v>-424700.16739707923</v>
      </c>
      <c r="CD39" s="10">
        <f>CD15+CD16+CD17+CD18+CD19+CD20+CD21+CD22+CD23+SUM(CD24:CD38)+Helpers!CD103</f>
        <v>-424700.16739707923</v>
      </c>
      <c r="CE39" s="10">
        <f>CE15+CE16+CE17+CE18+CE19+CE20+CE21+CE22+CE23+SUM(CE24:CE38)+Helpers!CE103</f>
        <v>-424700.16739707923</v>
      </c>
      <c r="CF39" s="10">
        <f>CF15+CF16+CF17+CF18+CF19+CF20+CF21+CF22+CF23+SUM(CF24:CF38)+Helpers!CF103</f>
        <v>-424700.16739707923</v>
      </c>
      <c r="CG39" s="10">
        <f>CG15+CG16+CG17+CG18+CG19+CG20+CG21+CG22+CG23+SUM(CG24:CG38)+Helpers!CG103</f>
        <v>-424700.16739707923</v>
      </c>
      <c r="CH39" s="10">
        <f>CH15+CH16+CH17+CH18+CH19+CH20+CH21+CH22+CH23+SUM(CH24:CH38)+Helpers!CH103</f>
        <v>-424700.16739707923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83</v>
      </c>
      <c r="B41" s="29"/>
      <c r="C41" s="14">
        <f t="shared" ref="C41:AH41" si="3">C12+C39</f>
        <v>66687.2086787023</v>
      </c>
      <c r="D41" s="14">
        <f t="shared" si="3"/>
        <v>34172.293614880997</v>
      </c>
      <c r="E41" s="14">
        <f t="shared" si="3"/>
        <v>6502.3676362194819</v>
      </c>
      <c r="F41" s="14">
        <f t="shared" si="3"/>
        <v>466502.42759637698</v>
      </c>
      <c r="G41" s="14">
        <f t="shared" si="3"/>
        <v>148589.09331541986</v>
      </c>
      <c r="H41" s="14">
        <f t="shared" si="3"/>
        <v>154237.02171889821</v>
      </c>
      <c r="I41" s="14">
        <f t="shared" si="3"/>
        <v>486022.21037763625</v>
      </c>
      <c r="J41" s="14">
        <f t="shared" si="3"/>
        <v>534372.09182929527</v>
      </c>
      <c r="K41" s="14">
        <f t="shared" si="3"/>
        <v>312543.98034287384</v>
      </c>
      <c r="L41" s="14">
        <f t="shared" si="3"/>
        <v>321631.43950075167</v>
      </c>
      <c r="M41" s="14">
        <f t="shared" si="3"/>
        <v>328131.35093781562</v>
      </c>
      <c r="N41" s="14">
        <f t="shared" si="3"/>
        <v>301882.6209382778</v>
      </c>
      <c r="O41" s="14">
        <f t="shared" si="3"/>
        <v>-335640.99196966295</v>
      </c>
      <c r="P41" s="14">
        <f t="shared" si="3"/>
        <v>459283.3979064239</v>
      </c>
      <c r="Q41" s="14">
        <f t="shared" si="3"/>
        <v>572063.8510706895</v>
      </c>
      <c r="R41" s="14">
        <f t="shared" si="3"/>
        <v>425622.60356152907</v>
      </c>
      <c r="S41" s="14">
        <f t="shared" si="3"/>
        <v>238752.56319596444</v>
      </c>
      <c r="T41" s="14">
        <f t="shared" si="3"/>
        <v>208581.32737970073</v>
      </c>
      <c r="U41" s="14">
        <f t="shared" si="3"/>
        <v>256081.47676993127</v>
      </c>
      <c r="V41" s="14">
        <f t="shared" si="3"/>
        <v>209189.22901027056</v>
      </c>
      <c r="W41" s="14">
        <f t="shared" si="3"/>
        <v>198166.65356320061</v>
      </c>
      <c r="X41" s="14">
        <f t="shared" si="3"/>
        <v>154426.32068612764</v>
      </c>
      <c r="Y41" s="14">
        <f t="shared" si="3"/>
        <v>168761.56268768362</v>
      </c>
      <c r="Z41" s="14">
        <f t="shared" si="3"/>
        <v>151947.44874444825</v>
      </c>
      <c r="AA41" s="14">
        <f t="shared" si="3"/>
        <v>179050.52442495874</v>
      </c>
      <c r="AB41" s="14">
        <f t="shared" si="3"/>
        <v>57005.410573004221</v>
      </c>
      <c r="AC41" s="14">
        <f t="shared" si="3"/>
        <v>-585105.22678097198</v>
      </c>
      <c r="AD41" s="14">
        <f t="shared" si="3"/>
        <v>64789.249433575897</v>
      </c>
      <c r="AE41" s="14">
        <f t="shared" si="3"/>
        <v>102902.30074591277</v>
      </c>
      <c r="AF41" s="14">
        <f t="shared" si="3"/>
        <v>104199.26407683321</v>
      </c>
      <c r="AG41" s="14">
        <f t="shared" si="3"/>
        <v>270040.47912231938</v>
      </c>
      <c r="AH41" s="14">
        <f t="shared" si="3"/>
        <v>135509.85513637029</v>
      </c>
      <c r="AI41" s="14">
        <f t="shared" ref="AI41:BN41" si="4">AI12+AI39</f>
        <v>348254.85095046449</v>
      </c>
      <c r="AJ41" s="14">
        <f t="shared" si="4"/>
        <v>55848.443809509859</v>
      </c>
      <c r="AK41" s="14">
        <f t="shared" si="4"/>
        <v>96281.484979103319</v>
      </c>
      <c r="AL41" s="14">
        <f t="shared" si="4"/>
        <v>222935.12579480535</v>
      </c>
      <c r="AM41" s="14">
        <f t="shared" si="4"/>
        <v>80702.382998372661</v>
      </c>
      <c r="AN41" s="14">
        <f t="shared" si="4"/>
        <v>98388.026637483039</v>
      </c>
      <c r="AO41" s="14">
        <f t="shared" si="4"/>
        <v>169141.08866301231</v>
      </c>
      <c r="AP41" s="14">
        <f t="shared" si="4"/>
        <v>174693.80587166495</v>
      </c>
      <c r="AQ41" s="14">
        <f t="shared" si="4"/>
        <v>147862.33661643596</v>
      </c>
      <c r="AR41" s="14">
        <f t="shared" si="4"/>
        <v>435510.58285334351</v>
      </c>
      <c r="AS41" s="14">
        <f t="shared" si="4"/>
        <v>98238.521832895989</v>
      </c>
      <c r="AT41" s="14">
        <f t="shared" si="4"/>
        <v>138205.05704263627</v>
      </c>
      <c r="AU41" s="14">
        <f t="shared" si="4"/>
        <v>109165.3402539739</v>
      </c>
      <c r="AV41" s="14">
        <f t="shared" si="4"/>
        <v>137091.66656509083</v>
      </c>
      <c r="AW41" s="14">
        <f t="shared" si="4"/>
        <v>169145.96297203231</v>
      </c>
      <c r="AX41" s="14">
        <f t="shared" si="4"/>
        <v>195590.83237359725</v>
      </c>
      <c r="AY41" s="14">
        <f t="shared" si="4"/>
        <v>264867.51958739723</v>
      </c>
      <c r="AZ41" s="14">
        <f t="shared" si="4"/>
        <v>102693.9956879816</v>
      </c>
      <c r="BA41" s="14">
        <f t="shared" si="4"/>
        <v>163729.71363261156</v>
      </c>
      <c r="BB41" s="14">
        <f t="shared" si="4"/>
        <v>159429.14163674135</v>
      </c>
      <c r="BC41" s="14">
        <f t="shared" si="4"/>
        <v>202338.04331345554</v>
      </c>
      <c r="BD41" s="14">
        <f t="shared" si="4"/>
        <v>81657.008517624461</v>
      </c>
      <c r="BE41" s="14">
        <f t="shared" si="4"/>
        <v>125533.90557309845</v>
      </c>
      <c r="BF41" s="14">
        <f t="shared" si="4"/>
        <v>386903.09932633874</v>
      </c>
      <c r="BG41" s="14">
        <f t="shared" si="4"/>
        <v>90466.623893094249</v>
      </c>
      <c r="BH41" s="14">
        <f t="shared" si="4"/>
        <v>-30693.251106905751</v>
      </c>
      <c r="BI41" s="14">
        <f t="shared" si="4"/>
        <v>-760.64883417857345</v>
      </c>
      <c r="BJ41" s="14">
        <f t="shared" si="4"/>
        <v>36090.603600886418</v>
      </c>
      <c r="BK41" s="14">
        <f t="shared" si="4"/>
        <v>116120.00478004699</v>
      </c>
      <c r="BL41" s="14">
        <f t="shared" si="4"/>
        <v>-46944.946518654353</v>
      </c>
      <c r="BM41" s="14">
        <f t="shared" si="4"/>
        <v>19369.629780046933</v>
      </c>
      <c r="BN41" s="14">
        <f t="shared" si="4"/>
        <v>20403.402507319697</v>
      </c>
      <c r="BO41" s="14">
        <f t="shared" ref="BO41:CH41" si="5">BO12+BO39</f>
        <v>68596.902507319697</v>
      </c>
      <c r="BP41" s="14">
        <f t="shared" si="5"/>
        <v>-46944.946518654353</v>
      </c>
      <c r="BQ41" s="14">
        <f t="shared" si="5"/>
        <v>1847.2775073196972</v>
      </c>
      <c r="BR41" s="14">
        <f t="shared" si="5"/>
        <v>32871.473124202807</v>
      </c>
      <c r="BS41" s="14">
        <f t="shared" si="5"/>
        <v>154351.41792939755</v>
      </c>
      <c r="BT41" s="14">
        <f t="shared" si="5"/>
        <v>37524.838383943075</v>
      </c>
      <c r="BU41" s="14">
        <f t="shared" si="5"/>
        <v>72121.77101381321</v>
      </c>
      <c r="BV41" s="14">
        <f t="shared" si="5"/>
        <v>113782.3984488782</v>
      </c>
      <c r="BW41" s="14">
        <f t="shared" si="5"/>
        <v>198470.73682369996</v>
      </c>
      <c r="BX41" s="14">
        <f t="shared" si="5"/>
        <v>39780.720589933684</v>
      </c>
      <c r="BY41" s="14">
        <f t="shared" si="5"/>
        <v>109853.27172629727</v>
      </c>
      <c r="BZ41" s="14">
        <f t="shared" si="5"/>
        <v>113778.91539512848</v>
      </c>
      <c r="CA41" s="14">
        <f t="shared" si="5"/>
        <v>199796.23033019347</v>
      </c>
      <c r="CB41" s="14">
        <f t="shared" si="5"/>
        <v>48877.587473050575</v>
      </c>
      <c r="CC41" s="14">
        <f t="shared" si="5"/>
        <v>46521.89591460902</v>
      </c>
      <c r="CD41" s="14">
        <f t="shared" si="5"/>
        <v>40522.322050972667</v>
      </c>
      <c r="CE41" s="14">
        <f t="shared" si="5"/>
        <v>116409.27497305052</v>
      </c>
      <c r="CF41" s="14">
        <f t="shared" si="5"/>
        <v>-44279.824864611728</v>
      </c>
      <c r="CG41" s="14">
        <f t="shared" si="5"/>
        <v>-55494.065936040308</v>
      </c>
      <c r="CH41" s="14">
        <f t="shared" si="5"/>
        <v>-68949.350838637736</v>
      </c>
      <c r="CI41" s="23"/>
    </row>
    <row r="42" spans="1:87" ht="15" customHeight="1" x14ac:dyDescent="0.25">
      <c r="A42" s="7" t="s">
        <v>84</v>
      </c>
      <c r="B42" s="22"/>
      <c r="C42" s="30">
        <f t="shared" ref="C42:AH42" si="6">IF(C12&lt;&gt;0,C41/C12,0)</f>
        <v>0.16863800458218584</v>
      </c>
      <c r="D42" s="30">
        <f t="shared" si="6"/>
        <v>8.4342246332146403E-2</v>
      </c>
      <c r="E42" s="30">
        <f t="shared" si="6"/>
        <v>1.5765520133243303E-2</v>
      </c>
      <c r="F42" s="30">
        <f t="shared" si="6"/>
        <v>0.39188419296302585</v>
      </c>
      <c r="G42" s="30">
        <f t="shared" si="6"/>
        <v>0.26795547600830322</v>
      </c>
      <c r="H42" s="30">
        <f t="shared" si="6"/>
        <v>0.2753362418746293</v>
      </c>
      <c r="I42" s="30">
        <f t="shared" si="6"/>
        <v>0.43784009466025686</v>
      </c>
      <c r="J42" s="30">
        <f t="shared" si="6"/>
        <v>0.48682787889149365</v>
      </c>
      <c r="K42" s="30">
        <f t="shared" si="6"/>
        <v>0.4350048315189598</v>
      </c>
      <c r="L42" s="30">
        <f t="shared" si="6"/>
        <v>0.44206169302261833</v>
      </c>
      <c r="M42" s="30">
        <f t="shared" si="6"/>
        <v>0.44700201637581183</v>
      </c>
      <c r="N42" s="30">
        <f t="shared" si="6"/>
        <v>0.40915341101086211</v>
      </c>
      <c r="O42" s="30">
        <f t="shared" si="6"/>
        <v>-0.21732171442438605</v>
      </c>
      <c r="P42" s="30">
        <f t="shared" si="6"/>
        <v>0.52900807750959611</v>
      </c>
      <c r="Q42" s="30">
        <f t="shared" si="6"/>
        <v>0.56585205264614047</v>
      </c>
      <c r="R42" s="30">
        <f t="shared" si="6"/>
        <v>0.51001075186264166</v>
      </c>
      <c r="S42" s="30">
        <f t="shared" si="6"/>
        <v>0.36863504087286431</v>
      </c>
      <c r="T42" s="30">
        <f t="shared" si="6"/>
        <v>0.32213568496788531</v>
      </c>
      <c r="U42" s="30">
        <f t="shared" si="6"/>
        <v>0.38508758888054151</v>
      </c>
      <c r="V42" s="30">
        <f t="shared" si="6"/>
        <v>0.33843740623978208</v>
      </c>
      <c r="W42" s="30">
        <f t="shared" si="6"/>
        <v>0.32642561763617906</v>
      </c>
      <c r="X42" s="30">
        <f t="shared" si="6"/>
        <v>0.26026604669120329</v>
      </c>
      <c r="Y42" s="30">
        <f t="shared" si="6"/>
        <v>0.29213903932687491</v>
      </c>
      <c r="Z42" s="30">
        <f t="shared" si="6"/>
        <v>0.27091801153446948</v>
      </c>
      <c r="AA42" s="30">
        <f t="shared" si="6"/>
        <v>0.28832709653859218</v>
      </c>
      <c r="AB42" s="30">
        <f t="shared" si="6"/>
        <v>0.12155895221929863</v>
      </c>
      <c r="AC42" s="30">
        <f t="shared" si="6"/>
        <v>-0.4997193340017797</v>
      </c>
      <c r="AD42" s="30">
        <f t="shared" si="6"/>
        <v>0.12635970394089113</v>
      </c>
      <c r="AE42" s="30">
        <f t="shared" si="6"/>
        <v>0.19986862850608395</v>
      </c>
      <c r="AF42" s="30">
        <f t="shared" si="6"/>
        <v>0.20187918315930475</v>
      </c>
      <c r="AG42" s="30">
        <f t="shared" si="6"/>
        <v>0.37610730250188096</v>
      </c>
      <c r="AH42" s="30">
        <f t="shared" si="6"/>
        <v>0.24752591616691044</v>
      </c>
      <c r="AI42" s="30">
        <f t="shared" ref="AI42:BN42" si="7">IF(AI12&lt;&gt;0,AI41/AI12,0)</f>
        <v>0.4373949668261104</v>
      </c>
      <c r="AJ42" s="30">
        <f t="shared" si="7"/>
        <v>0.11938636530949256</v>
      </c>
      <c r="AK42" s="30">
        <f t="shared" si="7"/>
        <v>0.17888576811478743</v>
      </c>
      <c r="AL42" s="30">
        <f t="shared" si="7"/>
        <v>0.35114390726978212</v>
      </c>
      <c r="AM42" s="30">
        <f t="shared" si="7"/>
        <v>0.15894308832647999</v>
      </c>
      <c r="AN42" s="30">
        <f t="shared" si="7"/>
        <v>0.19162907260669107</v>
      </c>
      <c r="AO42" s="30">
        <f t="shared" si="7"/>
        <v>0.2895346215695706</v>
      </c>
      <c r="AP42" s="30">
        <f t="shared" si="7"/>
        <v>0.29622408581387749</v>
      </c>
      <c r="AQ42" s="30">
        <f t="shared" si="7"/>
        <v>0.24938670337813959</v>
      </c>
      <c r="AR42" s="30">
        <f t="shared" si="7"/>
        <v>0.51203281337890316</v>
      </c>
      <c r="AS42" s="30">
        <f t="shared" si="7"/>
        <v>0.17884961313422662</v>
      </c>
      <c r="AT42" s="30">
        <f t="shared" si="7"/>
        <v>0.24980734519757414</v>
      </c>
      <c r="AU42" s="30">
        <f t="shared" si="7"/>
        <v>0.19697580335237316</v>
      </c>
      <c r="AV42" s="30">
        <f t="shared" si="7"/>
        <v>0.24829456279607473</v>
      </c>
      <c r="AW42" s="30">
        <f t="shared" si="7"/>
        <v>0.27539793537683199</v>
      </c>
      <c r="AX42" s="30">
        <f t="shared" si="7"/>
        <v>0.32030866637702049</v>
      </c>
      <c r="AY42" s="30">
        <f t="shared" si="7"/>
        <v>0.37460134969432285</v>
      </c>
      <c r="AZ42" s="30">
        <f t="shared" si="7"/>
        <v>0.19715044656935088</v>
      </c>
      <c r="BA42" s="30">
        <f t="shared" si="7"/>
        <v>0.28135770778723079</v>
      </c>
      <c r="BB42" s="30">
        <f t="shared" si="7"/>
        <v>0.27600723991293591</v>
      </c>
      <c r="BC42" s="30">
        <f t="shared" si="7"/>
        <v>0.30819052834034222</v>
      </c>
      <c r="BD42" s="30">
        <f t="shared" si="7"/>
        <v>0.16336154467466826</v>
      </c>
      <c r="BE42" s="30">
        <f t="shared" si="7"/>
        <v>0.21880256011560634</v>
      </c>
      <c r="BF42" s="30">
        <f t="shared" si="7"/>
        <v>0.48056489859305423</v>
      </c>
      <c r="BG42" s="30">
        <f t="shared" si="7"/>
        <v>0.167946250506536</v>
      </c>
      <c r="BH42" s="30">
        <f t="shared" si="7"/>
        <v>-7.9207516580101819E-2</v>
      </c>
      <c r="BI42" s="30">
        <f t="shared" si="7"/>
        <v>-1.6775186935967077E-3</v>
      </c>
      <c r="BJ42" s="30">
        <f t="shared" si="7"/>
        <v>7.9444302902336228E-2</v>
      </c>
      <c r="BK42" s="30">
        <f t="shared" si="7"/>
        <v>0.20902311824042002</v>
      </c>
      <c r="BL42" s="30">
        <f t="shared" si="7"/>
        <v>-0.12536313302660462</v>
      </c>
      <c r="BM42" s="30">
        <f t="shared" si="7"/>
        <v>4.3943358673229689E-2</v>
      </c>
      <c r="BN42" s="30">
        <f t="shared" si="7"/>
        <v>4.61803446730263E-2</v>
      </c>
      <c r="BO42" s="30">
        <f t="shared" ref="BO42:CT42" si="8">IF(BO12&lt;&gt;0,BO41/BO12,0)</f>
        <v>0.13040900109544218</v>
      </c>
      <c r="BP42" s="30">
        <f t="shared" si="8"/>
        <v>-0.12536313302660462</v>
      </c>
      <c r="BQ42" s="30">
        <f t="shared" si="8"/>
        <v>4.0755007792252426E-3</v>
      </c>
      <c r="BR42" s="30">
        <f t="shared" si="8"/>
        <v>7.2358204274007576E-2</v>
      </c>
      <c r="BS42" s="30">
        <f t="shared" si="8"/>
        <v>0.25480282801728565</v>
      </c>
      <c r="BT42" s="30">
        <f t="shared" si="8"/>
        <v>8.176388271978928E-2</v>
      </c>
      <c r="BU42" s="30">
        <f t="shared" si="8"/>
        <v>0.13619742697537629</v>
      </c>
      <c r="BV42" s="30">
        <f t="shared" si="8"/>
        <v>0.21259828069979228</v>
      </c>
      <c r="BW42" s="30">
        <f t="shared" si="8"/>
        <v>0.30954420345212519</v>
      </c>
      <c r="BX42" s="30">
        <f t="shared" si="8"/>
        <v>8.5645548867117158E-2</v>
      </c>
      <c r="BY42" s="30">
        <f t="shared" si="8"/>
        <v>0.20550475160434392</v>
      </c>
      <c r="BZ42" s="30">
        <f t="shared" si="8"/>
        <v>0.21129681547729559</v>
      </c>
      <c r="CA42" s="30">
        <f t="shared" si="8"/>
        <v>0.31993175790494727</v>
      </c>
      <c r="CB42" s="30">
        <f t="shared" si="8"/>
        <v>0.10320921320819719</v>
      </c>
      <c r="CC42" s="30">
        <f t="shared" si="8"/>
        <v>9.8726056219989144E-2</v>
      </c>
      <c r="CD42" s="30">
        <f t="shared" si="8"/>
        <v>8.7103102214703895E-2</v>
      </c>
      <c r="CE42" s="30">
        <f t="shared" si="8"/>
        <v>0.2151307403972896</v>
      </c>
      <c r="CF42" s="30">
        <f t="shared" si="8"/>
        <v>-0.1163971005594492</v>
      </c>
      <c r="CG42" s="30">
        <f t="shared" si="8"/>
        <v>-0.15030647033306521</v>
      </c>
      <c r="CH42" s="30">
        <f t="shared" si="8"/>
        <v>-0.19381361230779068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148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149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150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151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152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153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154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155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156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157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158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159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160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161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162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163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164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165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166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86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167</v>
      </c>
      <c r="B66" s="22"/>
      <c r="C66" s="8">
        <f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-75833.333333333343</v>
      </c>
      <c r="D66" s="8">
        <f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-75833.333333333343</v>
      </c>
      <c r="E66" s="8">
        <f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-75833.333333333343</v>
      </c>
      <c r="F66" s="8">
        <f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-75833.333333333343</v>
      </c>
      <c r="G66" s="8">
        <f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-75833.333333333343</v>
      </c>
      <c r="H66" s="8">
        <f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-75833.333333333343</v>
      </c>
      <c r="I66" s="8">
        <f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-75833.333333333343</v>
      </c>
      <c r="J66" s="8">
        <f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-75833.333333333343</v>
      </c>
      <c r="K66" s="8">
        <f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-75833.333333333343</v>
      </c>
      <c r="L66" s="8">
        <f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-75833.333333333343</v>
      </c>
      <c r="M66" s="8">
        <f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-75833.333333333343</v>
      </c>
      <c r="N66" s="8">
        <f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-75833.333333333343</v>
      </c>
      <c r="O66" s="8">
        <f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-77350.000000000015</v>
      </c>
      <c r="P66" s="8">
        <f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-77350.000000000015</v>
      </c>
      <c r="Q66" s="8">
        <f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-77350.000000000015</v>
      </c>
      <c r="R66" s="8">
        <f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-77350.000000000015</v>
      </c>
      <c r="S66" s="8">
        <f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-77350.000000000015</v>
      </c>
      <c r="T66" s="8">
        <f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-77350.000000000015</v>
      </c>
      <c r="U66" s="8">
        <f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-77350.000000000015</v>
      </c>
      <c r="V66" s="8">
        <f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-77350.000000000015</v>
      </c>
      <c r="W66" s="8">
        <f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-77350.000000000015</v>
      </c>
      <c r="X66" s="8">
        <f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-77350.000000000015</v>
      </c>
      <c r="Y66" s="8">
        <f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-77350.000000000015</v>
      </c>
      <c r="Z66" s="8">
        <f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-77350.000000000015</v>
      </c>
      <c r="AA66" s="8">
        <f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-78897.000000000015</v>
      </c>
      <c r="AB66" s="8">
        <f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-78897.000000000015</v>
      </c>
      <c r="AC66" s="8">
        <f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-78897.000000000015</v>
      </c>
      <c r="AD66" s="8">
        <f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-78897.000000000015</v>
      </c>
      <c r="AE66" s="8">
        <f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-78897.000000000015</v>
      </c>
      <c r="AF66" s="8">
        <f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-78897.000000000015</v>
      </c>
      <c r="AG66" s="8">
        <f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-78897.000000000015</v>
      </c>
      <c r="AH66" s="8">
        <f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-78897.000000000015</v>
      </c>
      <c r="AI66" s="8">
        <f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-78897.000000000015</v>
      </c>
      <c r="AJ66" s="8">
        <f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-78897.000000000015</v>
      </c>
      <c r="AK66" s="8">
        <f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-78897.000000000015</v>
      </c>
      <c r="AL66" s="8">
        <f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-78897.000000000015</v>
      </c>
      <c r="AM66" s="8">
        <f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-80474.94</v>
      </c>
      <c r="AN66" s="8">
        <f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-80474.94</v>
      </c>
      <c r="AO66" s="8">
        <f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-80474.94</v>
      </c>
      <c r="AP66" s="8">
        <f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-80474.94</v>
      </c>
      <c r="AQ66" s="8">
        <f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-80474.94</v>
      </c>
      <c r="AR66" s="8">
        <f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-80474.94</v>
      </c>
      <c r="AS66" s="8">
        <f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-80474.94</v>
      </c>
      <c r="AT66" s="8">
        <f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-80474.94</v>
      </c>
      <c r="AU66" s="8">
        <f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-80474.94</v>
      </c>
      <c r="AV66" s="8">
        <f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-80474.94</v>
      </c>
      <c r="AW66" s="8">
        <f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-80474.94</v>
      </c>
      <c r="AX66" s="8">
        <f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-80474.94</v>
      </c>
      <c r="AY66" s="8">
        <f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-82084.438800000004</v>
      </c>
      <c r="AZ66" s="8">
        <f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-82084.438800000004</v>
      </c>
      <c r="BA66" s="8">
        <f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-82084.438800000004</v>
      </c>
      <c r="BB66" s="8">
        <f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-82084.438800000004</v>
      </c>
      <c r="BC66" s="8">
        <f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-82084.438800000004</v>
      </c>
      <c r="BD66" s="8">
        <f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-82084.438800000004</v>
      </c>
      <c r="BE66" s="8">
        <f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-82084.438800000004</v>
      </c>
      <c r="BF66" s="8">
        <f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-82084.438800000004</v>
      </c>
      <c r="BG66" s="8">
        <f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-82084.438800000004</v>
      </c>
      <c r="BH66" s="8">
        <f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-82084.438800000004</v>
      </c>
      <c r="BI66" s="8">
        <f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-82084.438800000004</v>
      </c>
      <c r="BJ66" s="8">
        <f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-82084.438800000004</v>
      </c>
      <c r="BK66" s="8">
        <f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-83726.127576000014</v>
      </c>
      <c r="BL66" s="8">
        <f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-83726.127576000014</v>
      </c>
      <c r="BM66" s="8">
        <f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-83726.127576000014</v>
      </c>
      <c r="BN66" s="8">
        <f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-83726.127576000014</v>
      </c>
      <c r="BO66" s="8">
        <f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-83726.127576000014</v>
      </c>
      <c r="BP66" s="8">
        <f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-83726.127576000014</v>
      </c>
      <c r="BQ66" s="8">
        <f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-83726.127576000014</v>
      </c>
      <c r="BR66" s="8">
        <f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-83726.127576000014</v>
      </c>
      <c r="BS66" s="8">
        <f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-83726.127576000014</v>
      </c>
      <c r="BT66" s="8">
        <f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-83726.127576000014</v>
      </c>
      <c r="BU66" s="8">
        <f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-83726.127576000014</v>
      </c>
      <c r="BV66" s="8">
        <f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-83726.127576000014</v>
      </c>
      <c r="BW66" s="8">
        <f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-85400.650127520013</v>
      </c>
      <c r="BX66" s="8">
        <f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-85400.650127520013</v>
      </c>
      <c r="BY66" s="8">
        <f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-85400.650127520013</v>
      </c>
      <c r="BZ66" s="8">
        <f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-85400.650127520013</v>
      </c>
      <c r="CA66" s="8">
        <f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-85400.650127520013</v>
      </c>
      <c r="CB66" s="8">
        <f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-85400.650127520013</v>
      </c>
      <c r="CC66" s="8">
        <f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-85400.650127520013</v>
      </c>
      <c r="CD66" s="8">
        <f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-85400.650127520013</v>
      </c>
      <c r="CE66" s="8">
        <f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-85400.650127520013</v>
      </c>
      <c r="CF66" s="8">
        <f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-85400.650127520013</v>
      </c>
      <c r="CG66" s="8">
        <f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-85400.650127520013</v>
      </c>
      <c r="CH66" s="8">
        <f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-85400.650127520013</v>
      </c>
      <c r="CI66" s="23"/>
    </row>
    <row r="67" spans="1:87" ht="15" customHeight="1" x14ac:dyDescent="0.25">
      <c r="A67" s="7" t="s">
        <v>168</v>
      </c>
      <c r="B67" s="22"/>
      <c r="C67" s="8">
        <f>-Helpers!C5*Assumptions!$B$20</f>
        <v>-1604.1666666666667</v>
      </c>
      <c r="D67" s="8">
        <f>-Helpers!D5*Assumptions!$B$20</f>
        <v>-1604.1666666666667</v>
      </c>
      <c r="E67" s="8">
        <f>-Helpers!E5*Assumptions!$B$20</f>
        <v>-1604.1666666666667</v>
      </c>
      <c r="F67" s="8">
        <f>-Helpers!F5*Assumptions!$B$20</f>
        <v>-1604.1666666666667</v>
      </c>
      <c r="G67" s="8">
        <f>-Helpers!G5*Assumptions!$B$20</f>
        <v>-1604.1666666666667</v>
      </c>
      <c r="H67" s="8">
        <f>-Helpers!H5*Assumptions!$B$20</f>
        <v>-1604.1666666666667</v>
      </c>
      <c r="I67" s="8">
        <f>-Helpers!I5*Assumptions!$B$20</f>
        <v>-1604.1666666666667</v>
      </c>
      <c r="J67" s="8">
        <f>-Helpers!J5*Assumptions!$B$20</f>
        <v>-1604.1666666666667</v>
      </c>
      <c r="K67" s="8">
        <f>-Helpers!K5*Assumptions!$B$20</f>
        <v>-1604.1666666666667</v>
      </c>
      <c r="L67" s="8">
        <f>-Helpers!L5*Assumptions!$B$20</f>
        <v>-1604.1666666666667</v>
      </c>
      <c r="M67" s="8">
        <f>-Helpers!M5*Assumptions!$B$20</f>
        <v>-1604.1666666666667</v>
      </c>
      <c r="N67" s="8">
        <f>-Helpers!N5*Assumptions!$B$20</f>
        <v>-1604.1666666666667</v>
      </c>
      <c r="O67" s="8">
        <f>-Helpers!O5*Assumptions!$B$20</f>
        <v>-1636.25</v>
      </c>
      <c r="P67" s="8">
        <f>-Helpers!P5*Assumptions!$B$20</f>
        <v>-1636.25</v>
      </c>
      <c r="Q67" s="8">
        <f>-Helpers!Q5*Assumptions!$B$20</f>
        <v>-1636.25</v>
      </c>
      <c r="R67" s="8">
        <f>-Helpers!R5*Assumptions!$B$20</f>
        <v>-1636.25</v>
      </c>
      <c r="S67" s="8">
        <f>-Helpers!S5*Assumptions!$B$20</f>
        <v>-1636.25</v>
      </c>
      <c r="T67" s="8">
        <f>-Helpers!T5*Assumptions!$B$20</f>
        <v>-1636.25</v>
      </c>
      <c r="U67" s="8">
        <f>-Helpers!U5*Assumptions!$B$20</f>
        <v>-1636.25</v>
      </c>
      <c r="V67" s="8">
        <f>-Helpers!V5*Assumptions!$B$20</f>
        <v>-1636.25</v>
      </c>
      <c r="W67" s="8">
        <f>-Helpers!W5*Assumptions!$B$20</f>
        <v>-1636.25</v>
      </c>
      <c r="X67" s="8">
        <f>-Helpers!X5*Assumptions!$B$20</f>
        <v>-1636.25</v>
      </c>
      <c r="Y67" s="8">
        <f>-Helpers!Y5*Assumptions!$B$20</f>
        <v>-1636.25</v>
      </c>
      <c r="Z67" s="8">
        <f>-Helpers!Z5*Assumptions!$B$20</f>
        <v>-1636.25</v>
      </c>
      <c r="AA67" s="8">
        <f>-Helpers!AA5*Assumptions!$B$20</f>
        <v>-1668.9749999999999</v>
      </c>
      <c r="AB67" s="8">
        <f>-Helpers!AB5*Assumptions!$B$20</f>
        <v>-1668.9749999999999</v>
      </c>
      <c r="AC67" s="8">
        <f>-Helpers!AC5*Assumptions!$B$20</f>
        <v>-1668.9749999999999</v>
      </c>
      <c r="AD67" s="8">
        <f>-Helpers!AD5*Assumptions!$B$20</f>
        <v>-1668.9749999999999</v>
      </c>
      <c r="AE67" s="8">
        <f>-Helpers!AE5*Assumptions!$B$20</f>
        <v>-1668.9749999999999</v>
      </c>
      <c r="AF67" s="8">
        <f>-Helpers!AF5*Assumptions!$B$20</f>
        <v>-1668.9749999999999</v>
      </c>
      <c r="AG67" s="8">
        <f>-Helpers!AG5*Assumptions!$B$20</f>
        <v>-1668.9749999999999</v>
      </c>
      <c r="AH67" s="8">
        <f>-Helpers!AH5*Assumptions!$B$20</f>
        <v>-1668.9749999999999</v>
      </c>
      <c r="AI67" s="8">
        <f>-Helpers!AI5*Assumptions!$B$20</f>
        <v>-1668.9749999999999</v>
      </c>
      <c r="AJ67" s="8">
        <f>-Helpers!AJ5*Assumptions!$B$20</f>
        <v>-1668.9749999999999</v>
      </c>
      <c r="AK67" s="8">
        <f>-Helpers!AK5*Assumptions!$B$20</f>
        <v>-1668.9749999999999</v>
      </c>
      <c r="AL67" s="8">
        <f>-Helpers!AL5*Assumptions!$B$20</f>
        <v>-1668.9749999999999</v>
      </c>
      <c r="AM67" s="8">
        <f>-Helpers!AM5*Assumptions!$B$20</f>
        <v>-1702.3544999999999</v>
      </c>
      <c r="AN67" s="8">
        <f>-Helpers!AN5*Assumptions!$B$20</f>
        <v>-1702.3544999999999</v>
      </c>
      <c r="AO67" s="8">
        <f>-Helpers!AO5*Assumptions!$B$20</f>
        <v>-1702.3544999999999</v>
      </c>
      <c r="AP67" s="8">
        <f>-Helpers!AP5*Assumptions!$B$20</f>
        <v>-1702.3544999999999</v>
      </c>
      <c r="AQ67" s="8">
        <f>-Helpers!AQ5*Assumptions!$B$20</f>
        <v>-1702.3544999999999</v>
      </c>
      <c r="AR67" s="8">
        <f>-Helpers!AR5*Assumptions!$B$20</f>
        <v>-1702.3544999999999</v>
      </c>
      <c r="AS67" s="8">
        <f>-Helpers!AS5*Assumptions!$B$20</f>
        <v>-1702.3544999999999</v>
      </c>
      <c r="AT67" s="8">
        <f>-Helpers!AT5*Assumptions!$B$20</f>
        <v>-1702.3544999999999</v>
      </c>
      <c r="AU67" s="8">
        <f>-Helpers!AU5*Assumptions!$B$20</f>
        <v>-1702.3544999999999</v>
      </c>
      <c r="AV67" s="8">
        <f>-Helpers!AV5*Assumptions!$B$20</f>
        <v>-1702.3544999999999</v>
      </c>
      <c r="AW67" s="8">
        <f>-Helpers!AW5*Assumptions!$B$20</f>
        <v>-1702.3544999999999</v>
      </c>
      <c r="AX67" s="8">
        <f>-Helpers!AX5*Assumptions!$B$20</f>
        <v>-1702.3544999999999</v>
      </c>
      <c r="AY67" s="8">
        <f>-Helpers!AY5*Assumptions!$B$20</f>
        <v>-1736.4015899999999</v>
      </c>
      <c r="AZ67" s="8">
        <f>-Helpers!AZ5*Assumptions!$B$20</f>
        <v>-1736.4015899999999</v>
      </c>
      <c r="BA67" s="8">
        <f>-Helpers!BA5*Assumptions!$B$20</f>
        <v>-1736.4015899999999</v>
      </c>
      <c r="BB67" s="8">
        <f>-Helpers!BB5*Assumptions!$B$20</f>
        <v>-1736.4015899999999</v>
      </c>
      <c r="BC67" s="8">
        <f>-Helpers!BC5*Assumptions!$B$20</f>
        <v>-1736.4015899999999</v>
      </c>
      <c r="BD67" s="8">
        <f>-Helpers!BD5*Assumptions!$B$20</f>
        <v>-1736.4015899999999</v>
      </c>
      <c r="BE67" s="8">
        <f>-Helpers!BE5*Assumptions!$B$20</f>
        <v>-1736.4015899999999</v>
      </c>
      <c r="BF67" s="8">
        <f>-Helpers!BF5*Assumptions!$B$20</f>
        <v>-1736.4015899999999</v>
      </c>
      <c r="BG67" s="8">
        <f>-Helpers!BG5*Assumptions!$B$20</f>
        <v>-1736.4015899999999</v>
      </c>
      <c r="BH67" s="8">
        <f>-Helpers!BH5*Assumptions!$B$20</f>
        <v>-1736.4015899999999</v>
      </c>
      <c r="BI67" s="8">
        <f>-Helpers!BI5*Assumptions!$B$20</f>
        <v>-1736.4015899999999</v>
      </c>
      <c r="BJ67" s="8">
        <f>-Helpers!BJ5*Assumptions!$B$20</f>
        <v>-1736.4015899999999</v>
      </c>
      <c r="BK67" s="8">
        <f>-Helpers!BK5*Assumptions!$B$20</f>
        <v>-1771.1296218</v>
      </c>
      <c r="BL67" s="8">
        <f>-Helpers!BL5*Assumptions!$B$20</f>
        <v>-1771.1296218</v>
      </c>
      <c r="BM67" s="8">
        <f>-Helpers!BM5*Assumptions!$B$20</f>
        <v>-1771.1296218</v>
      </c>
      <c r="BN67" s="8">
        <f>-Helpers!BN5*Assumptions!$B$20</f>
        <v>-1771.1296218</v>
      </c>
      <c r="BO67" s="8">
        <f>-Helpers!BO5*Assumptions!$B$20</f>
        <v>-1771.1296218</v>
      </c>
      <c r="BP67" s="8">
        <f>-Helpers!BP5*Assumptions!$B$20</f>
        <v>-1771.1296218</v>
      </c>
      <c r="BQ67" s="8">
        <f>-Helpers!BQ5*Assumptions!$B$20</f>
        <v>-1771.1296218</v>
      </c>
      <c r="BR67" s="8">
        <f>-Helpers!BR5*Assumptions!$B$20</f>
        <v>-1771.1296218</v>
      </c>
      <c r="BS67" s="8">
        <f>-Helpers!BS5*Assumptions!$B$20</f>
        <v>-1771.1296218</v>
      </c>
      <c r="BT67" s="8">
        <f>-Helpers!BT5*Assumptions!$B$20</f>
        <v>-1771.1296218</v>
      </c>
      <c r="BU67" s="8">
        <f>-Helpers!BU5*Assumptions!$B$20</f>
        <v>-1771.1296218</v>
      </c>
      <c r="BV67" s="8">
        <f>-Helpers!BV5*Assumptions!$B$20</f>
        <v>-1771.1296218</v>
      </c>
      <c r="BW67" s="8">
        <f>-Helpers!BW5*Assumptions!$B$20</f>
        <v>-1806.5522142360001</v>
      </c>
      <c r="BX67" s="8">
        <f>-Helpers!BX5*Assumptions!$B$20</f>
        <v>-1806.5522142360001</v>
      </c>
      <c r="BY67" s="8">
        <f>-Helpers!BY5*Assumptions!$B$20</f>
        <v>-1806.5522142360001</v>
      </c>
      <c r="BZ67" s="8">
        <f>-Helpers!BZ5*Assumptions!$B$20</f>
        <v>-1806.5522142360001</v>
      </c>
      <c r="CA67" s="8">
        <f>-Helpers!CA5*Assumptions!$B$20</f>
        <v>-1806.5522142360001</v>
      </c>
      <c r="CB67" s="8">
        <f>-Helpers!CB5*Assumptions!$B$20</f>
        <v>-1806.5522142360001</v>
      </c>
      <c r="CC67" s="8">
        <f>-Helpers!CC5*Assumptions!$B$20</f>
        <v>-1806.5522142360001</v>
      </c>
      <c r="CD67" s="8">
        <f>-Helpers!CD5*Assumptions!$B$20</f>
        <v>-1806.5522142360001</v>
      </c>
      <c r="CE67" s="8">
        <f>-Helpers!CE5*Assumptions!$B$20</f>
        <v>-1806.5522142360001</v>
      </c>
      <c r="CF67" s="8">
        <f>-Helpers!CF5*Assumptions!$B$20</f>
        <v>-1806.5522142360001</v>
      </c>
      <c r="CG67" s="8">
        <f>-Helpers!CG5*Assumptions!$B$20</f>
        <v>-1806.5522142360001</v>
      </c>
      <c r="CH67" s="8">
        <f>-Helpers!CH5*Assumptions!$B$20</f>
        <v>-1806.5522142360001</v>
      </c>
      <c r="CI67" s="23"/>
    </row>
    <row r="68" spans="1:87" ht="15" customHeight="1" x14ac:dyDescent="0.25">
      <c r="A68" s="7" t="s">
        <v>169</v>
      </c>
      <c r="B68" s="22"/>
      <c r="C68" s="8">
        <f>-Helpers!C5*Assumptions!$B$21</f>
        <v>-114.58333333333333</v>
      </c>
      <c r="D68" s="8">
        <f>-Helpers!D5*Assumptions!$B$21</f>
        <v>-114.58333333333333</v>
      </c>
      <c r="E68" s="8">
        <f>-Helpers!E5*Assumptions!$B$21</f>
        <v>-114.58333333333333</v>
      </c>
      <c r="F68" s="8">
        <f>-Helpers!F5*Assumptions!$B$21</f>
        <v>-114.58333333333333</v>
      </c>
      <c r="G68" s="8">
        <f>-Helpers!G5*Assumptions!$B$21</f>
        <v>-114.58333333333333</v>
      </c>
      <c r="H68" s="8">
        <f>-Helpers!H5*Assumptions!$B$21</f>
        <v>-114.58333333333333</v>
      </c>
      <c r="I68" s="8">
        <f>-Helpers!I5*Assumptions!$B$21</f>
        <v>-114.58333333333333</v>
      </c>
      <c r="J68" s="8">
        <f>-Helpers!J5*Assumptions!$B$21</f>
        <v>-114.58333333333333</v>
      </c>
      <c r="K68" s="8">
        <f>-Helpers!K5*Assumptions!$B$21</f>
        <v>-114.58333333333333</v>
      </c>
      <c r="L68" s="8">
        <f>-Helpers!L5*Assumptions!$B$21</f>
        <v>-114.58333333333333</v>
      </c>
      <c r="M68" s="8">
        <f>-Helpers!M5*Assumptions!$B$21</f>
        <v>-114.58333333333333</v>
      </c>
      <c r="N68" s="8">
        <f>-Helpers!N5*Assumptions!$B$21</f>
        <v>-114.58333333333333</v>
      </c>
      <c r="O68" s="8">
        <f>-Helpers!O5*Assumptions!$B$21</f>
        <v>-116.87499999999999</v>
      </c>
      <c r="P68" s="8">
        <f>-Helpers!P5*Assumptions!$B$21</f>
        <v>-116.87499999999999</v>
      </c>
      <c r="Q68" s="8">
        <f>-Helpers!Q5*Assumptions!$B$21</f>
        <v>-116.87499999999999</v>
      </c>
      <c r="R68" s="8">
        <f>-Helpers!R5*Assumptions!$B$21</f>
        <v>-116.87499999999999</v>
      </c>
      <c r="S68" s="8">
        <f>-Helpers!S5*Assumptions!$B$21</f>
        <v>-116.87499999999999</v>
      </c>
      <c r="T68" s="8">
        <f>-Helpers!T5*Assumptions!$B$21</f>
        <v>-116.87499999999999</v>
      </c>
      <c r="U68" s="8">
        <f>-Helpers!U5*Assumptions!$B$21</f>
        <v>-116.87499999999999</v>
      </c>
      <c r="V68" s="8">
        <f>-Helpers!V5*Assumptions!$B$21</f>
        <v>-116.87499999999999</v>
      </c>
      <c r="W68" s="8">
        <f>-Helpers!W5*Assumptions!$B$21</f>
        <v>-116.87499999999999</v>
      </c>
      <c r="X68" s="8">
        <f>-Helpers!X5*Assumptions!$B$21</f>
        <v>-116.87499999999999</v>
      </c>
      <c r="Y68" s="8">
        <f>-Helpers!Y5*Assumptions!$B$21</f>
        <v>-116.87499999999999</v>
      </c>
      <c r="Z68" s="8">
        <f>-Helpers!Z5*Assumptions!$B$21</f>
        <v>-116.87499999999999</v>
      </c>
      <c r="AA68" s="8">
        <f>-Helpers!AA5*Assumptions!$B$21</f>
        <v>-119.21249999999998</v>
      </c>
      <c r="AB68" s="8">
        <f>-Helpers!AB5*Assumptions!$B$21</f>
        <v>-119.21249999999998</v>
      </c>
      <c r="AC68" s="8">
        <f>-Helpers!AC5*Assumptions!$B$21</f>
        <v>-119.21249999999998</v>
      </c>
      <c r="AD68" s="8">
        <f>-Helpers!AD5*Assumptions!$B$21</f>
        <v>-119.21249999999998</v>
      </c>
      <c r="AE68" s="8">
        <f>-Helpers!AE5*Assumptions!$B$21</f>
        <v>-119.21249999999998</v>
      </c>
      <c r="AF68" s="8">
        <f>-Helpers!AF5*Assumptions!$B$21</f>
        <v>-119.21249999999998</v>
      </c>
      <c r="AG68" s="8">
        <f>-Helpers!AG5*Assumptions!$B$21</f>
        <v>-119.21249999999998</v>
      </c>
      <c r="AH68" s="8">
        <f>-Helpers!AH5*Assumptions!$B$21</f>
        <v>-119.21249999999998</v>
      </c>
      <c r="AI68" s="8">
        <f>-Helpers!AI5*Assumptions!$B$21</f>
        <v>-119.21249999999998</v>
      </c>
      <c r="AJ68" s="8">
        <f>-Helpers!AJ5*Assumptions!$B$21</f>
        <v>-119.21249999999998</v>
      </c>
      <c r="AK68" s="8">
        <f>-Helpers!AK5*Assumptions!$B$21</f>
        <v>-119.21249999999998</v>
      </c>
      <c r="AL68" s="8">
        <f>-Helpers!AL5*Assumptions!$B$21</f>
        <v>-119.21249999999998</v>
      </c>
      <c r="AM68" s="8">
        <f>-Helpers!AM5*Assumptions!$B$21</f>
        <v>-121.59674999999997</v>
      </c>
      <c r="AN68" s="8">
        <f>-Helpers!AN5*Assumptions!$B$21</f>
        <v>-121.59674999999997</v>
      </c>
      <c r="AO68" s="8">
        <f>-Helpers!AO5*Assumptions!$B$21</f>
        <v>-121.59674999999997</v>
      </c>
      <c r="AP68" s="8">
        <f>-Helpers!AP5*Assumptions!$B$21</f>
        <v>-121.59674999999997</v>
      </c>
      <c r="AQ68" s="8">
        <f>-Helpers!AQ5*Assumptions!$B$21</f>
        <v>-121.59674999999997</v>
      </c>
      <c r="AR68" s="8">
        <f>-Helpers!AR5*Assumptions!$B$21</f>
        <v>-121.59674999999997</v>
      </c>
      <c r="AS68" s="8">
        <f>-Helpers!AS5*Assumptions!$B$21</f>
        <v>-121.59674999999997</v>
      </c>
      <c r="AT68" s="8">
        <f>-Helpers!AT5*Assumptions!$B$21</f>
        <v>-121.59674999999997</v>
      </c>
      <c r="AU68" s="8">
        <f>-Helpers!AU5*Assumptions!$B$21</f>
        <v>-121.59674999999997</v>
      </c>
      <c r="AV68" s="8">
        <f>-Helpers!AV5*Assumptions!$B$21</f>
        <v>-121.59674999999997</v>
      </c>
      <c r="AW68" s="8">
        <f>-Helpers!AW5*Assumptions!$B$21</f>
        <v>-121.59674999999997</v>
      </c>
      <c r="AX68" s="8">
        <f>-Helpers!AX5*Assumptions!$B$21</f>
        <v>-121.59674999999997</v>
      </c>
      <c r="AY68" s="8">
        <f>-Helpers!AY5*Assumptions!$B$21</f>
        <v>-124.028685</v>
      </c>
      <c r="AZ68" s="8">
        <f>-Helpers!AZ5*Assumptions!$B$21</f>
        <v>-124.028685</v>
      </c>
      <c r="BA68" s="8">
        <f>-Helpers!BA5*Assumptions!$B$21</f>
        <v>-124.028685</v>
      </c>
      <c r="BB68" s="8">
        <f>-Helpers!BB5*Assumptions!$B$21</f>
        <v>-124.028685</v>
      </c>
      <c r="BC68" s="8">
        <f>-Helpers!BC5*Assumptions!$B$21</f>
        <v>-124.028685</v>
      </c>
      <c r="BD68" s="8">
        <f>-Helpers!BD5*Assumptions!$B$21</f>
        <v>-124.028685</v>
      </c>
      <c r="BE68" s="8">
        <f>-Helpers!BE5*Assumptions!$B$21</f>
        <v>-124.028685</v>
      </c>
      <c r="BF68" s="8">
        <f>-Helpers!BF5*Assumptions!$B$21</f>
        <v>-124.028685</v>
      </c>
      <c r="BG68" s="8">
        <f>-Helpers!BG5*Assumptions!$B$21</f>
        <v>-124.028685</v>
      </c>
      <c r="BH68" s="8">
        <f>-Helpers!BH5*Assumptions!$B$21</f>
        <v>-124.028685</v>
      </c>
      <c r="BI68" s="8">
        <f>-Helpers!BI5*Assumptions!$B$21</f>
        <v>-124.028685</v>
      </c>
      <c r="BJ68" s="8">
        <f>-Helpers!BJ5*Assumptions!$B$21</f>
        <v>-124.028685</v>
      </c>
      <c r="BK68" s="8">
        <f>-Helpers!BK5*Assumptions!$B$21</f>
        <v>-126.50925869999999</v>
      </c>
      <c r="BL68" s="8">
        <f>-Helpers!BL5*Assumptions!$B$21</f>
        <v>-126.50925869999999</v>
      </c>
      <c r="BM68" s="8">
        <f>-Helpers!BM5*Assumptions!$B$21</f>
        <v>-126.50925869999999</v>
      </c>
      <c r="BN68" s="8">
        <f>-Helpers!BN5*Assumptions!$B$21</f>
        <v>-126.50925869999999</v>
      </c>
      <c r="BO68" s="8">
        <f>-Helpers!BO5*Assumptions!$B$21</f>
        <v>-126.50925869999999</v>
      </c>
      <c r="BP68" s="8">
        <f>-Helpers!BP5*Assumptions!$B$21</f>
        <v>-126.50925869999999</v>
      </c>
      <c r="BQ68" s="8">
        <f>-Helpers!BQ5*Assumptions!$B$21</f>
        <v>-126.50925869999999</v>
      </c>
      <c r="BR68" s="8">
        <f>-Helpers!BR5*Assumptions!$B$21</f>
        <v>-126.50925869999999</v>
      </c>
      <c r="BS68" s="8">
        <f>-Helpers!BS5*Assumptions!$B$21</f>
        <v>-126.50925869999999</v>
      </c>
      <c r="BT68" s="8">
        <f>-Helpers!BT5*Assumptions!$B$21</f>
        <v>-126.50925869999999</v>
      </c>
      <c r="BU68" s="8">
        <f>-Helpers!BU5*Assumptions!$B$21</f>
        <v>-126.50925869999999</v>
      </c>
      <c r="BV68" s="8">
        <f>-Helpers!BV5*Assumptions!$B$21</f>
        <v>-126.50925869999999</v>
      </c>
      <c r="BW68" s="8">
        <f>-Helpers!BW5*Assumptions!$B$21</f>
        <v>-129.039443874</v>
      </c>
      <c r="BX68" s="8">
        <f>-Helpers!BX5*Assumptions!$B$21</f>
        <v>-129.039443874</v>
      </c>
      <c r="BY68" s="8">
        <f>-Helpers!BY5*Assumptions!$B$21</f>
        <v>-129.039443874</v>
      </c>
      <c r="BZ68" s="8">
        <f>-Helpers!BZ5*Assumptions!$B$21</f>
        <v>-129.039443874</v>
      </c>
      <c r="CA68" s="8">
        <f>-Helpers!CA5*Assumptions!$B$21</f>
        <v>-129.039443874</v>
      </c>
      <c r="CB68" s="8">
        <f>-Helpers!CB5*Assumptions!$B$21</f>
        <v>-129.039443874</v>
      </c>
      <c r="CC68" s="8">
        <f>-Helpers!CC5*Assumptions!$B$21</f>
        <v>-129.039443874</v>
      </c>
      <c r="CD68" s="8">
        <f>-Helpers!CD5*Assumptions!$B$21</f>
        <v>-129.039443874</v>
      </c>
      <c r="CE68" s="8">
        <f>-Helpers!CE5*Assumptions!$B$21</f>
        <v>-129.039443874</v>
      </c>
      <c r="CF68" s="8">
        <f>-Helpers!CF5*Assumptions!$B$21</f>
        <v>-129.039443874</v>
      </c>
      <c r="CG68" s="8">
        <f>-Helpers!CG5*Assumptions!$B$21</f>
        <v>-129.039443874</v>
      </c>
      <c r="CH68" s="8">
        <f>-Helpers!CH5*Assumptions!$B$21</f>
        <v>-129.039443874</v>
      </c>
      <c r="CI68" s="23"/>
    </row>
    <row r="69" spans="1:87" ht="15" customHeight="1" x14ac:dyDescent="0.25">
      <c r="A69" s="7" t="s">
        <v>170</v>
      </c>
      <c r="B69" s="22"/>
      <c r="C69" s="8">
        <f>-Helpers!C5*Assumptions!$B$22</f>
        <v>-1604.1666666666667</v>
      </c>
      <c r="D69" s="8">
        <f>-Helpers!D5*Assumptions!$B$22</f>
        <v>-1604.1666666666667</v>
      </c>
      <c r="E69" s="8">
        <f>-Helpers!E5*Assumptions!$B$22</f>
        <v>-1604.1666666666667</v>
      </c>
      <c r="F69" s="8">
        <f>-Helpers!F5*Assumptions!$B$22</f>
        <v>-1604.1666666666667</v>
      </c>
      <c r="G69" s="8">
        <f>-Helpers!G5*Assumptions!$B$22</f>
        <v>-1604.1666666666667</v>
      </c>
      <c r="H69" s="8">
        <f>-Helpers!H5*Assumptions!$B$22</f>
        <v>-1604.1666666666667</v>
      </c>
      <c r="I69" s="8">
        <f>-Helpers!I5*Assumptions!$B$22</f>
        <v>-1604.1666666666667</v>
      </c>
      <c r="J69" s="8">
        <f>-Helpers!J5*Assumptions!$B$22</f>
        <v>-1604.1666666666667</v>
      </c>
      <c r="K69" s="8">
        <f>-Helpers!K5*Assumptions!$B$22</f>
        <v>-1604.1666666666667</v>
      </c>
      <c r="L69" s="8">
        <f>-Helpers!L5*Assumptions!$B$22</f>
        <v>-1604.1666666666667</v>
      </c>
      <c r="M69" s="8">
        <f>-Helpers!M5*Assumptions!$B$22</f>
        <v>-1604.1666666666667</v>
      </c>
      <c r="N69" s="8">
        <f>-Helpers!N5*Assumptions!$B$22</f>
        <v>-1604.1666666666667</v>
      </c>
      <c r="O69" s="8">
        <f>-Helpers!O5*Assumptions!$B$22</f>
        <v>-1636.25</v>
      </c>
      <c r="P69" s="8">
        <f>-Helpers!P5*Assumptions!$B$22</f>
        <v>-1636.25</v>
      </c>
      <c r="Q69" s="8">
        <f>-Helpers!Q5*Assumptions!$B$22</f>
        <v>-1636.25</v>
      </c>
      <c r="R69" s="8">
        <f>-Helpers!R5*Assumptions!$B$22</f>
        <v>-1636.25</v>
      </c>
      <c r="S69" s="8">
        <f>-Helpers!S5*Assumptions!$B$22</f>
        <v>-1636.25</v>
      </c>
      <c r="T69" s="8">
        <f>-Helpers!T5*Assumptions!$B$22</f>
        <v>-1636.25</v>
      </c>
      <c r="U69" s="8">
        <f>-Helpers!U5*Assumptions!$B$22</f>
        <v>-1636.25</v>
      </c>
      <c r="V69" s="8">
        <f>-Helpers!V5*Assumptions!$B$22</f>
        <v>-1636.25</v>
      </c>
      <c r="W69" s="8">
        <f>-Helpers!W5*Assumptions!$B$22</f>
        <v>-1636.25</v>
      </c>
      <c r="X69" s="8">
        <f>-Helpers!X5*Assumptions!$B$22</f>
        <v>-1636.25</v>
      </c>
      <c r="Y69" s="8">
        <f>-Helpers!Y5*Assumptions!$B$22</f>
        <v>-1636.25</v>
      </c>
      <c r="Z69" s="8">
        <f>-Helpers!Z5*Assumptions!$B$22</f>
        <v>-1636.25</v>
      </c>
      <c r="AA69" s="8">
        <f>-Helpers!AA5*Assumptions!$B$22</f>
        <v>-1668.9749999999999</v>
      </c>
      <c r="AB69" s="8">
        <f>-Helpers!AB5*Assumptions!$B$22</f>
        <v>-1668.9749999999999</v>
      </c>
      <c r="AC69" s="8">
        <f>-Helpers!AC5*Assumptions!$B$22</f>
        <v>-1668.9749999999999</v>
      </c>
      <c r="AD69" s="8">
        <f>-Helpers!AD5*Assumptions!$B$22</f>
        <v>-1668.9749999999999</v>
      </c>
      <c r="AE69" s="8">
        <f>-Helpers!AE5*Assumptions!$B$22</f>
        <v>-1668.9749999999999</v>
      </c>
      <c r="AF69" s="8">
        <f>-Helpers!AF5*Assumptions!$B$22</f>
        <v>-1668.9749999999999</v>
      </c>
      <c r="AG69" s="8">
        <f>-Helpers!AG5*Assumptions!$B$22</f>
        <v>-1668.9749999999999</v>
      </c>
      <c r="AH69" s="8">
        <f>-Helpers!AH5*Assumptions!$B$22</f>
        <v>-1668.9749999999999</v>
      </c>
      <c r="AI69" s="8">
        <f>-Helpers!AI5*Assumptions!$B$22</f>
        <v>-1668.9749999999999</v>
      </c>
      <c r="AJ69" s="8">
        <f>-Helpers!AJ5*Assumptions!$B$22</f>
        <v>-1668.9749999999999</v>
      </c>
      <c r="AK69" s="8">
        <f>-Helpers!AK5*Assumptions!$B$22</f>
        <v>-1668.9749999999999</v>
      </c>
      <c r="AL69" s="8">
        <f>-Helpers!AL5*Assumptions!$B$22</f>
        <v>-1668.9749999999999</v>
      </c>
      <c r="AM69" s="8">
        <f>-Helpers!AM5*Assumptions!$B$22</f>
        <v>-1702.3544999999999</v>
      </c>
      <c r="AN69" s="8">
        <f>-Helpers!AN5*Assumptions!$B$22</f>
        <v>-1702.3544999999999</v>
      </c>
      <c r="AO69" s="8">
        <f>-Helpers!AO5*Assumptions!$B$22</f>
        <v>-1702.3544999999999</v>
      </c>
      <c r="AP69" s="8">
        <f>-Helpers!AP5*Assumptions!$B$22</f>
        <v>-1702.3544999999999</v>
      </c>
      <c r="AQ69" s="8">
        <f>-Helpers!AQ5*Assumptions!$B$22</f>
        <v>-1702.3544999999999</v>
      </c>
      <c r="AR69" s="8">
        <f>-Helpers!AR5*Assumptions!$B$22</f>
        <v>-1702.3544999999999</v>
      </c>
      <c r="AS69" s="8">
        <f>-Helpers!AS5*Assumptions!$B$22</f>
        <v>-1702.3544999999999</v>
      </c>
      <c r="AT69" s="8">
        <f>-Helpers!AT5*Assumptions!$B$22</f>
        <v>-1702.3544999999999</v>
      </c>
      <c r="AU69" s="8">
        <f>-Helpers!AU5*Assumptions!$B$22</f>
        <v>-1702.3544999999999</v>
      </c>
      <c r="AV69" s="8">
        <f>-Helpers!AV5*Assumptions!$B$22</f>
        <v>-1702.3544999999999</v>
      </c>
      <c r="AW69" s="8">
        <f>-Helpers!AW5*Assumptions!$B$22</f>
        <v>-1702.3544999999999</v>
      </c>
      <c r="AX69" s="8">
        <f>-Helpers!AX5*Assumptions!$B$22</f>
        <v>-1702.3544999999999</v>
      </c>
      <c r="AY69" s="8">
        <f>-Helpers!AY5*Assumptions!$B$22</f>
        <v>-1736.4015899999999</v>
      </c>
      <c r="AZ69" s="8">
        <f>-Helpers!AZ5*Assumptions!$B$22</f>
        <v>-1736.4015899999999</v>
      </c>
      <c r="BA69" s="8">
        <f>-Helpers!BA5*Assumptions!$B$22</f>
        <v>-1736.4015899999999</v>
      </c>
      <c r="BB69" s="8">
        <f>-Helpers!BB5*Assumptions!$B$22</f>
        <v>-1736.4015899999999</v>
      </c>
      <c r="BC69" s="8">
        <f>-Helpers!BC5*Assumptions!$B$22</f>
        <v>-1736.4015899999999</v>
      </c>
      <c r="BD69" s="8">
        <f>-Helpers!BD5*Assumptions!$B$22</f>
        <v>-1736.4015899999999</v>
      </c>
      <c r="BE69" s="8">
        <f>-Helpers!BE5*Assumptions!$B$22</f>
        <v>-1736.4015899999999</v>
      </c>
      <c r="BF69" s="8">
        <f>-Helpers!BF5*Assumptions!$B$22</f>
        <v>-1736.4015899999999</v>
      </c>
      <c r="BG69" s="8">
        <f>-Helpers!BG5*Assumptions!$B$22</f>
        <v>-1736.4015899999999</v>
      </c>
      <c r="BH69" s="8">
        <f>-Helpers!BH5*Assumptions!$B$22</f>
        <v>-1736.4015899999999</v>
      </c>
      <c r="BI69" s="8">
        <f>-Helpers!BI5*Assumptions!$B$22</f>
        <v>-1736.4015899999999</v>
      </c>
      <c r="BJ69" s="8">
        <f>-Helpers!BJ5*Assumptions!$B$22</f>
        <v>-1736.4015899999999</v>
      </c>
      <c r="BK69" s="8">
        <f>-Helpers!BK5*Assumptions!$B$22</f>
        <v>-1771.1296218</v>
      </c>
      <c r="BL69" s="8">
        <f>-Helpers!BL5*Assumptions!$B$22</f>
        <v>-1771.1296218</v>
      </c>
      <c r="BM69" s="8">
        <f>-Helpers!BM5*Assumptions!$B$22</f>
        <v>-1771.1296218</v>
      </c>
      <c r="BN69" s="8">
        <f>-Helpers!BN5*Assumptions!$B$22</f>
        <v>-1771.1296218</v>
      </c>
      <c r="BO69" s="8">
        <f>-Helpers!BO5*Assumptions!$B$22</f>
        <v>-1771.1296218</v>
      </c>
      <c r="BP69" s="8">
        <f>-Helpers!BP5*Assumptions!$B$22</f>
        <v>-1771.1296218</v>
      </c>
      <c r="BQ69" s="8">
        <f>-Helpers!BQ5*Assumptions!$B$22</f>
        <v>-1771.1296218</v>
      </c>
      <c r="BR69" s="8">
        <f>-Helpers!BR5*Assumptions!$B$22</f>
        <v>-1771.1296218</v>
      </c>
      <c r="BS69" s="8">
        <f>-Helpers!BS5*Assumptions!$B$22</f>
        <v>-1771.1296218</v>
      </c>
      <c r="BT69" s="8">
        <f>-Helpers!BT5*Assumptions!$B$22</f>
        <v>-1771.1296218</v>
      </c>
      <c r="BU69" s="8">
        <f>-Helpers!BU5*Assumptions!$B$22</f>
        <v>-1771.1296218</v>
      </c>
      <c r="BV69" s="8">
        <f>-Helpers!BV5*Assumptions!$B$22</f>
        <v>-1771.1296218</v>
      </c>
      <c r="BW69" s="8">
        <f>-Helpers!BW5*Assumptions!$B$22</f>
        <v>-1806.5522142360001</v>
      </c>
      <c r="BX69" s="8">
        <f>-Helpers!BX5*Assumptions!$B$22</f>
        <v>-1806.5522142360001</v>
      </c>
      <c r="BY69" s="8">
        <f>-Helpers!BY5*Assumptions!$B$22</f>
        <v>-1806.5522142360001</v>
      </c>
      <c r="BZ69" s="8">
        <f>-Helpers!BZ5*Assumptions!$B$22</f>
        <v>-1806.5522142360001</v>
      </c>
      <c r="CA69" s="8">
        <f>-Helpers!CA5*Assumptions!$B$22</f>
        <v>-1806.5522142360001</v>
      </c>
      <c r="CB69" s="8">
        <f>-Helpers!CB5*Assumptions!$B$22</f>
        <v>-1806.5522142360001</v>
      </c>
      <c r="CC69" s="8">
        <f>-Helpers!CC5*Assumptions!$B$22</f>
        <v>-1806.5522142360001</v>
      </c>
      <c r="CD69" s="8">
        <f>-Helpers!CD5*Assumptions!$B$22</f>
        <v>-1806.5522142360001</v>
      </c>
      <c r="CE69" s="8">
        <f>-Helpers!CE5*Assumptions!$B$22</f>
        <v>-1806.5522142360001</v>
      </c>
      <c r="CF69" s="8">
        <f>-Helpers!CF5*Assumptions!$B$22</f>
        <v>-1806.5522142360001</v>
      </c>
      <c r="CG69" s="8">
        <f>-Helpers!CG5*Assumptions!$B$22</f>
        <v>-1806.5522142360001</v>
      </c>
      <c r="CH69" s="8">
        <f>-Helpers!CH5*Assumptions!$B$22</f>
        <v>-1806.5522142360001</v>
      </c>
      <c r="CI69" s="23"/>
    </row>
    <row r="70" spans="1:87" ht="15" customHeight="1" x14ac:dyDescent="0.25">
      <c r="A70" s="7" t="s">
        <v>171</v>
      </c>
      <c r="B70" s="22"/>
      <c r="C70" s="8">
        <f>-Helpers!C5*Assumptions!$B$23</f>
        <v>-458.33333333333331</v>
      </c>
      <c r="D70" s="8">
        <f>-Helpers!D5*Assumptions!$B$23</f>
        <v>-458.33333333333331</v>
      </c>
      <c r="E70" s="8">
        <f>-Helpers!E5*Assumptions!$B$23</f>
        <v>-458.33333333333331</v>
      </c>
      <c r="F70" s="8">
        <f>-Helpers!F5*Assumptions!$B$23</f>
        <v>-458.33333333333331</v>
      </c>
      <c r="G70" s="8">
        <f>-Helpers!G5*Assumptions!$B$23</f>
        <v>-458.33333333333331</v>
      </c>
      <c r="H70" s="8">
        <f>-Helpers!H5*Assumptions!$B$23</f>
        <v>-458.33333333333331</v>
      </c>
      <c r="I70" s="8">
        <f>-Helpers!I5*Assumptions!$B$23</f>
        <v>-458.33333333333331</v>
      </c>
      <c r="J70" s="8">
        <f>-Helpers!J5*Assumptions!$B$23</f>
        <v>-458.33333333333331</v>
      </c>
      <c r="K70" s="8">
        <f>-Helpers!K5*Assumptions!$B$23</f>
        <v>-458.33333333333331</v>
      </c>
      <c r="L70" s="8">
        <f>-Helpers!L5*Assumptions!$B$23</f>
        <v>-458.33333333333331</v>
      </c>
      <c r="M70" s="8">
        <f>-Helpers!M5*Assumptions!$B$23</f>
        <v>-458.33333333333331</v>
      </c>
      <c r="N70" s="8">
        <f>-Helpers!N5*Assumptions!$B$23</f>
        <v>-458.33333333333331</v>
      </c>
      <c r="O70" s="8">
        <f>-Helpers!O5*Assumptions!$B$23</f>
        <v>-467.49999999999994</v>
      </c>
      <c r="P70" s="8">
        <f>-Helpers!P5*Assumptions!$B$23</f>
        <v>-467.49999999999994</v>
      </c>
      <c r="Q70" s="8">
        <f>-Helpers!Q5*Assumptions!$B$23</f>
        <v>-467.49999999999994</v>
      </c>
      <c r="R70" s="8">
        <f>-Helpers!R5*Assumptions!$B$23</f>
        <v>-467.49999999999994</v>
      </c>
      <c r="S70" s="8">
        <f>-Helpers!S5*Assumptions!$B$23</f>
        <v>-467.49999999999994</v>
      </c>
      <c r="T70" s="8">
        <f>-Helpers!T5*Assumptions!$B$23</f>
        <v>-467.49999999999994</v>
      </c>
      <c r="U70" s="8">
        <f>-Helpers!U5*Assumptions!$B$23</f>
        <v>-467.49999999999994</v>
      </c>
      <c r="V70" s="8">
        <f>-Helpers!V5*Assumptions!$B$23</f>
        <v>-467.49999999999994</v>
      </c>
      <c r="W70" s="8">
        <f>-Helpers!W5*Assumptions!$B$23</f>
        <v>-467.49999999999994</v>
      </c>
      <c r="X70" s="8">
        <f>-Helpers!X5*Assumptions!$B$23</f>
        <v>-467.49999999999994</v>
      </c>
      <c r="Y70" s="8">
        <f>-Helpers!Y5*Assumptions!$B$23</f>
        <v>-467.49999999999994</v>
      </c>
      <c r="Z70" s="8">
        <f>-Helpers!Z5*Assumptions!$B$23</f>
        <v>-467.49999999999994</v>
      </c>
      <c r="AA70" s="8">
        <f>-Helpers!AA5*Assumptions!$B$23</f>
        <v>-476.84999999999991</v>
      </c>
      <c r="AB70" s="8">
        <f>-Helpers!AB5*Assumptions!$B$23</f>
        <v>-476.84999999999991</v>
      </c>
      <c r="AC70" s="8">
        <f>-Helpers!AC5*Assumptions!$B$23</f>
        <v>-476.84999999999991</v>
      </c>
      <c r="AD70" s="8">
        <f>-Helpers!AD5*Assumptions!$B$23</f>
        <v>-476.84999999999991</v>
      </c>
      <c r="AE70" s="8">
        <f>-Helpers!AE5*Assumptions!$B$23</f>
        <v>-476.84999999999991</v>
      </c>
      <c r="AF70" s="8">
        <f>-Helpers!AF5*Assumptions!$B$23</f>
        <v>-476.84999999999991</v>
      </c>
      <c r="AG70" s="8">
        <f>-Helpers!AG5*Assumptions!$B$23</f>
        <v>-476.84999999999991</v>
      </c>
      <c r="AH70" s="8">
        <f>-Helpers!AH5*Assumptions!$B$23</f>
        <v>-476.84999999999991</v>
      </c>
      <c r="AI70" s="8">
        <f>-Helpers!AI5*Assumptions!$B$23</f>
        <v>-476.84999999999991</v>
      </c>
      <c r="AJ70" s="8">
        <f>-Helpers!AJ5*Assumptions!$B$23</f>
        <v>-476.84999999999991</v>
      </c>
      <c r="AK70" s="8">
        <f>-Helpers!AK5*Assumptions!$B$23</f>
        <v>-476.84999999999991</v>
      </c>
      <c r="AL70" s="8">
        <f>-Helpers!AL5*Assumptions!$B$23</f>
        <v>-476.84999999999991</v>
      </c>
      <c r="AM70" s="8">
        <f>-Helpers!AM5*Assumptions!$B$23</f>
        <v>-486.38699999999989</v>
      </c>
      <c r="AN70" s="8">
        <f>-Helpers!AN5*Assumptions!$B$23</f>
        <v>-486.38699999999989</v>
      </c>
      <c r="AO70" s="8">
        <f>-Helpers!AO5*Assumptions!$B$23</f>
        <v>-486.38699999999989</v>
      </c>
      <c r="AP70" s="8">
        <f>-Helpers!AP5*Assumptions!$B$23</f>
        <v>-486.38699999999989</v>
      </c>
      <c r="AQ70" s="8">
        <f>-Helpers!AQ5*Assumptions!$B$23</f>
        <v>-486.38699999999989</v>
      </c>
      <c r="AR70" s="8">
        <f>-Helpers!AR5*Assumptions!$B$23</f>
        <v>-486.38699999999989</v>
      </c>
      <c r="AS70" s="8">
        <f>-Helpers!AS5*Assumptions!$B$23</f>
        <v>-486.38699999999989</v>
      </c>
      <c r="AT70" s="8">
        <f>-Helpers!AT5*Assumptions!$B$23</f>
        <v>-486.38699999999989</v>
      </c>
      <c r="AU70" s="8">
        <f>-Helpers!AU5*Assumptions!$B$23</f>
        <v>-486.38699999999989</v>
      </c>
      <c r="AV70" s="8">
        <f>-Helpers!AV5*Assumptions!$B$23</f>
        <v>-486.38699999999989</v>
      </c>
      <c r="AW70" s="8">
        <f>-Helpers!AW5*Assumptions!$B$23</f>
        <v>-486.38699999999989</v>
      </c>
      <c r="AX70" s="8">
        <f>-Helpers!AX5*Assumptions!$B$23</f>
        <v>-486.38699999999989</v>
      </c>
      <c r="AY70" s="8">
        <f>-Helpers!AY5*Assumptions!$B$23</f>
        <v>-496.11473999999998</v>
      </c>
      <c r="AZ70" s="8">
        <f>-Helpers!AZ5*Assumptions!$B$23</f>
        <v>-496.11473999999998</v>
      </c>
      <c r="BA70" s="8">
        <f>-Helpers!BA5*Assumptions!$B$23</f>
        <v>-496.11473999999998</v>
      </c>
      <c r="BB70" s="8">
        <f>-Helpers!BB5*Assumptions!$B$23</f>
        <v>-496.11473999999998</v>
      </c>
      <c r="BC70" s="8">
        <f>-Helpers!BC5*Assumptions!$B$23</f>
        <v>-496.11473999999998</v>
      </c>
      <c r="BD70" s="8">
        <f>-Helpers!BD5*Assumptions!$B$23</f>
        <v>-496.11473999999998</v>
      </c>
      <c r="BE70" s="8">
        <f>-Helpers!BE5*Assumptions!$B$23</f>
        <v>-496.11473999999998</v>
      </c>
      <c r="BF70" s="8">
        <f>-Helpers!BF5*Assumptions!$B$23</f>
        <v>-496.11473999999998</v>
      </c>
      <c r="BG70" s="8">
        <f>-Helpers!BG5*Assumptions!$B$23</f>
        <v>-496.11473999999998</v>
      </c>
      <c r="BH70" s="8">
        <f>-Helpers!BH5*Assumptions!$B$23</f>
        <v>-496.11473999999998</v>
      </c>
      <c r="BI70" s="8">
        <f>-Helpers!BI5*Assumptions!$B$23</f>
        <v>-496.11473999999998</v>
      </c>
      <c r="BJ70" s="8">
        <f>-Helpers!BJ5*Assumptions!$B$23</f>
        <v>-496.11473999999998</v>
      </c>
      <c r="BK70" s="8">
        <f>-Helpers!BK5*Assumptions!$B$23</f>
        <v>-506.03703479999996</v>
      </c>
      <c r="BL70" s="8">
        <f>-Helpers!BL5*Assumptions!$B$23</f>
        <v>-506.03703479999996</v>
      </c>
      <c r="BM70" s="8">
        <f>-Helpers!BM5*Assumptions!$B$23</f>
        <v>-506.03703479999996</v>
      </c>
      <c r="BN70" s="8">
        <f>-Helpers!BN5*Assumptions!$B$23</f>
        <v>-506.03703479999996</v>
      </c>
      <c r="BO70" s="8">
        <f>-Helpers!BO5*Assumptions!$B$23</f>
        <v>-506.03703479999996</v>
      </c>
      <c r="BP70" s="8">
        <f>-Helpers!BP5*Assumptions!$B$23</f>
        <v>-506.03703479999996</v>
      </c>
      <c r="BQ70" s="8">
        <f>-Helpers!BQ5*Assumptions!$B$23</f>
        <v>-506.03703479999996</v>
      </c>
      <c r="BR70" s="8">
        <f>-Helpers!BR5*Assumptions!$B$23</f>
        <v>-506.03703479999996</v>
      </c>
      <c r="BS70" s="8">
        <f>-Helpers!BS5*Assumptions!$B$23</f>
        <v>-506.03703479999996</v>
      </c>
      <c r="BT70" s="8">
        <f>-Helpers!BT5*Assumptions!$B$23</f>
        <v>-506.03703479999996</v>
      </c>
      <c r="BU70" s="8">
        <f>-Helpers!BU5*Assumptions!$B$23</f>
        <v>-506.03703479999996</v>
      </c>
      <c r="BV70" s="8">
        <f>-Helpers!BV5*Assumptions!$B$23</f>
        <v>-506.03703479999996</v>
      </c>
      <c r="BW70" s="8">
        <f>-Helpers!BW5*Assumptions!$B$23</f>
        <v>-516.157775496</v>
      </c>
      <c r="BX70" s="8">
        <f>-Helpers!BX5*Assumptions!$B$23</f>
        <v>-516.157775496</v>
      </c>
      <c r="BY70" s="8">
        <f>-Helpers!BY5*Assumptions!$B$23</f>
        <v>-516.157775496</v>
      </c>
      <c r="BZ70" s="8">
        <f>-Helpers!BZ5*Assumptions!$B$23</f>
        <v>-516.157775496</v>
      </c>
      <c r="CA70" s="8">
        <f>-Helpers!CA5*Assumptions!$B$23</f>
        <v>-516.157775496</v>
      </c>
      <c r="CB70" s="8">
        <f>-Helpers!CB5*Assumptions!$B$23</f>
        <v>-516.157775496</v>
      </c>
      <c r="CC70" s="8">
        <f>-Helpers!CC5*Assumptions!$B$23</f>
        <v>-516.157775496</v>
      </c>
      <c r="CD70" s="8">
        <f>-Helpers!CD5*Assumptions!$B$23</f>
        <v>-516.157775496</v>
      </c>
      <c r="CE70" s="8">
        <f>-Helpers!CE5*Assumptions!$B$23</f>
        <v>-516.157775496</v>
      </c>
      <c r="CF70" s="8">
        <f>-Helpers!CF5*Assumptions!$B$23</f>
        <v>-516.157775496</v>
      </c>
      <c r="CG70" s="8">
        <f>-Helpers!CG5*Assumptions!$B$23</f>
        <v>-516.157775496</v>
      </c>
      <c r="CH70" s="8">
        <f>-Helpers!CH5*Assumptions!$B$23</f>
        <v>-516.157775496</v>
      </c>
      <c r="CI70" s="23"/>
    </row>
    <row r="71" spans="1:87" ht="15" customHeight="1" x14ac:dyDescent="0.25">
      <c r="A71" s="7" t="s">
        <v>172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173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174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175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176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177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178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179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180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181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182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183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184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185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186</v>
      </c>
      <c r="B85" s="28"/>
      <c r="C85" s="10">
        <f t="shared" ref="C85:AH85" si="12">C66+C67+C68+C69+C70+SUM(C71:C84)</f>
        <v>-98314.583333333343</v>
      </c>
      <c r="D85" s="10">
        <f t="shared" si="12"/>
        <v>-98314.583333333343</v>
      </c>
      <c r="E85" s="10">
        <f t="shared" si="12"/>
        <v>-98314.583333333343</v>
      </c>
      <c r="F85" s="10">
        <f t="shared" si="12"/>
        <v>-121314.58333333334</v>
      </c>
      <c r="G85" s="10">
        <f t="shared" si="12"/>
        <v>-98314.583333333343</v>
      </c>
      <c r="H85" s="10">
        <f t="shared" si="12"/>
        <v>-98314.583333333343</v>
      </c>
      <c r="I85" s="10">
        <f t="shared" si="12"/>
        <v>-98314.583333333343</v>
      </c>
      <c r="J85" s="10">
        <f t="shared" si="12"/>
        <v>-98314.583333333343</v>
      </c>
      <c r="K85" s="10">
        <f t="shared" si="12"/>
        <v>-119314.58333333334</v>
      </c>
      <c r="L85" s="10">
        <f t="shared" si="12"/>
        <v>-98314.583333333343</v>
      </c>
      <c r="M85" s="10">
        <f t="shared" si="12"/>
        <v>-98314.583333333343</v>
      </c>
      <c r="N85" s="10">
        <f t="shared" si="12"/>
        <v>-98314.583333333343</v>
      </c>
      <c r="O85" s="10">
        <f t="shared" si="12"/>
        <v>-100280.87500000001</v>
      </c>
      <c r="P85" s="10">
        <f t="shared" si="12"/>
        <v>-100280.87500000001</v>
      </c>
      <c r="Q85" s="10">
        <f t="shared" si="12"/>
        <v>-100280.87500000001</v>
      </c>
      <c r="R85" s="10">
        <f t="shared" si="12"/>
        <v>-123740.87500000001</v>
      </c>
      <c r="S85" s="10">
        <f t="shared" si="12"/>
        <v>-100280.87500000001</v>
      </c>
      <c r="T85" s="10">
        <f t="shared" si="12"/>
        <v>-100280.87500000001</v>
      </c>
      <c r="U85" s="10">
        <f t="shared" si="12"/>
        <v>-100280.87500000001</v>
      </c>
      <c r="V85" s="10">
        <f t="shared" si="12"/>
        <v>-100280.87500000001</v>
      </c>
      <c r="W85" s="10">
        <f t="shared" si="12"/>
        <v>-121700.87500000001</v>
      </c>
      <c r="X85" s="10">
        <f t="shared" si="12"/>
        <v>-100280.87500000001</v>
      </c>
      <c r="Y85" s="10">
        <f t="shared" si="12"/>
        <v>-100280.87500000001</v>
      </c>
      <c r="Z85" s="10">
        <f t="shared" si="12"/>
        <v>-100280.87500000001</v>
      </c>
      <c r="AA85" s="10">
        <f t="shared" si="12"/>
        <v>-102286.49250000002</v>
      </c>
      <c r="AB85" s="10">
        <f t="shared" si="12"/>
        <v>-102286.49250000002</v>
      </c>
      <c r="AC85" s="10">
        <f t="shared" si="12"/>
        <v>-102286.49250000002</v>
      </c>
      <c r="AD85" s="10">
        <f t="shared" si="12"/>
        <v>-126215.69250000003</v>
      </c>
      <c r="AE85" s="10">
        <f t="shared" si="12"/>
        <v>-102286.49250000002</v>
      </c>
      <c r="AF85" s="10">
        <f t="shared" si="12"/>
        <v>-102286.49250000002</v>
      </c>
      <c r="AG85" s="10">
        <f t="shared" si="12"/>
        <v>-102286.49250000002</v>
      </c>
      <c r="AH85" s="10">
        <f t="shared" si="12"/>
        <v>-102286.49250000002</v>
      </c>
      <c r="AI85" s="10">
        <f t="shared" ref="AI85:BN85" si="13">AI66+AI67+AI68+AI69+AI70+SUM(AI71:AI84)</f>
        <v>-124134.89250000003</v>
      </c>
      <c r="AJ85" s="10">
        <f t="shared" si="13"/>
        <v>-102286.49250000002</v>
      </c>
      <c r="AK85" s="10">
        <f t="shared" si="13"/>
        <v>-102286.49250000002</v>
      </c>
      <c r="AL85" s="10">
        <f t="shared" si="13"/>
        <v>-102286.49250000002</v>
      </c>
      <c r="AM85" s="10">
        <f t="shared" si="13"/>
        <v>-104332.22235000001</v>
      </c>
      <c r="AN85" s="10">
        <f t="shared" si="13"/>
        <v>-104332.22235000001</v>
      </c>
      <c r="AO85" s="10">
        <f t="shared" si="13"/>
        <v>-104332.22235000001</v>
      </c>
      <c r="AP85" s="10">
        <f t="shared" si="13"/>
        <v>-128740.00635000001</v>
      </c>
      <c r="AQ85" s="10">
        <f t="shared" si="13"/>
        <v>-104332.22235000001</v>
      </c>
      <c r="AR85" s="10">
        <f t="shared" si="13"/>
        <v>-186015.22235</v>
      </c>
      <c r="AS85" s="10">
        <f t="shared" si="13"/>
        <v>-104332.22235000001</v>
      </c>
      <c r="AT85" s="10">
        <f t="shared" si="13"/>
        <v>-104332.22235000001</v>
      </c>
      <c r="AU85" s="10">
        <f t="shared" si="13"/>
        <v>-208299.59035000001</v>
      </c>
      <c r="AV85" s="10">
        <f t="shared" si="13"/>
        <v>-104332.22235000001</v>
      </c>
      <c r="AW85" s="10">
        <f t="shared" si="13"/>
        <v>-104332.22235000001</v>
      </c>
      <c r="AX85" s="10">
        <f t="shared" si="13"/>
        <v>-186014.22235</v>
      </c>
      <c r="AY85" s="10">
        <f t="shared" si="13"/>
        <v>-106418.866797</v>
      </c>
      <c r="AZ85" s="10">
        <f t="shared" si="13"/>
        <v>-106418.866797</v>
      </c>
      <c r="BA85" s="10">
        <f t="shared" si="13"/>
        <v>-1039939.8667969999</v>
      </c>
      <c r="BB85" s="10">
        <f t="shared" si="13"/>
        <v>-131314.80647700001</v>
      </c>
      <c r="BC85" s="10">
        <f t="shared" si="13"/>
        <v>-106418.866797</v>
      </c>
      <c r="BD85" s="10">
        <f t="shared" si="13"/>
        <v>-237296.866797</v>
      </c>
      <c r="BE85" s="10">
        <f t="shared" si="13"/>
        <v>-106418.866797</v>
      </c>
      <c r="BF85" s="10">
        <f t="shared" si="13"/>
        <v>-106418.866797</v>
      </c>
      <c r="BG85" s="10">
        <f t="shared" si="13"/>
        <v>-260025.94215700001</v>
      </c>
      <c r="BH85" s="10">
        <f t="shared" si="13"/>
        <v>-106418.866797</v>
      </c>
      <c r="BI85" s="10">
        <f t="shared" si="13"/>
        <v>-106418.866797</v>
      </c>
      <c r="BJ85" s="10">
        <f t="shared" si="13"/>
        <v>-237294.866797</v>
      </c>
      <c r="BK85" s="10">
        <f t="shared" si="13"/>
        <v>-108547.24413294002</v>
      </c>
      <c r="BL85" s="10">
        <f t="shared" si="13"/>
        <v>-108547.24413294002</v>
      </c>
      <c r="BM85" s="10">
        <f t="shared" si="13"/>
        <v>-239423.24413294002</v>
      </c>
      <c r="BN85" s="10">
        <f t="shared" si="13"/>
        <v>-133941.10260654002</v>
      </c>
      <c r="BO85" s="10">
        <f t="shared" ref="BO85:CT85" si="14">BO66+BO67+BO68+BO69+BO70+SUM(BO71:BO84)</f>
        <v>-108547.24413294002</v>
      </c>
      <c r="BP85" s="10">
        <f t="shared" si="14"/>
        <v>-199439.72413294</v>
      </c>
      <c r="BQ85" s="10">
        <f t="shared" si="14"/>
        <v>-108547.24413294002</v>
      </c>
      <c r="BR85" s="10">
        <f t="shared" si="14"/>
        <v>-108547.24413294002</v>
      </c>
      <c r="BS85" s="10">
        <f t="shared" si="14"/>
        <v>-206372.94100014004</v>
      </c>
      <c r="BT85" s="10">
        <f t="shared" si="14"/>
        <v>-108547.24413294002</v>
      </c>
      <c r="BU85" s="10">
        <f t="shared" si="14"/>
        <v>-108547.24413294002</v>
      </c>
      <c r="BV85" s="10">
        <f t="shared" si="14"/>
        <v>-183187.24413294002</v>
      </c>
      <c r="BW85" s="10">
        <f t="shared" si="14"/>
        <v>-110718.18901559882</v>
      </c>
      <c r="BX85" s="10">
        <f t="shared" si="14"/>
        <v>-110718.18901559882</v>
      </c>
      <c r="BY85" s="10">
        <f t="shared" si="14"/>
        <v>-258514.18901559882</v>
      </c>
      <c r="BZ85" s="10">
        <f t="shared" si="14"/>
        <v>-136619.92465867082</v>
      </c>
      <c r="CA85" s="10">
        <f t="shared" si="14"/>
        <v>-110718.18901559882</v>
      </c>
      <c r="CB85" s="10">
        <f t="shared" si="14"/>
        <v>-265236.18901559885</v>
      </c>
      <c r="CC85" s="10">
        <f t="shared" si="14"/>
        <v>-110718.18901559882</v>
      </c>
      <c r="CD85" s="10">
        <f t="shared" si="14"/>
        <v>-110718.18901559882</v>
      </c>
      <c r="CE85" s="10">
        <f t="shared" si="14"/>
        <v>-288884.59982014284</v>
      </c>
      <c r="CF85" s="10">
        <f t="shared" si="14"/>
        <v>-110718.18901559882</v>
      </c>
      <c r="CG85" s="10">
        <f t="shared" si="14"/>
        <v>-110718.18901559882</v>
      </c>
      <c r="CH85" s="10">
        <f t="shared" si="14"/>
        <v>-258627.1624091196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87</v>
      </c>
      <c r="B87" s="29"/>
      <c r="C87" s="14">
        <f t="shared" ref="C87:AH87" si="15">C64+C85</f>
        <v>-54700.003333333341</v>
      </c>
      <c r="D87" s="14">
        <f t="shared" si="15"/>
        <v>-54700.003333333341</v>
      </c>
      <c r="E87" s="14">
        <f t="shared" si="15"/>
        <v>-54700.003333333341</v>
      </c>
      <c r="F87" s="14">
        <f t="shared" si="15"/>
        <v>-77700.003333333341</v>
      </c>
      <c r="G87" s="14">
        <f t="shared" si="15"/>
        <v>-54700.003333333341</v>
      </c>
      <c r="H87" s="14">
        <f t="shared" si="15"/>
        <v>-55533.333333333343</v>
      </c>
      <c r="I87" s="14">
        <f t="shared" si="15"/>
        <v>-55533.333333333343</v>
      </c>
      <c r="J87" s="14">
        <f t="shared" si="15"/>
        <v>-64908.333333333343</v>
      </c>
      <c r="K87" s="14">
        <f t="shared" si="15"/>
        <v>-85908.333333333343</v>
      </c>
      <c r="L87" s="14">
        <f t="shared" si="15"/>
        <v>-64908.333333333343</v>
      </c>
      <c r="M87" s="14">
        <f t="shared" si="15"/>
        <v>-64908.333333333343</v>
      </c>
      <c r="N87" s="14">
        <f t="shared" si="15"/>
        <v>-64908.333333333343</v>
      </c>
      <c r="O87" s="14">
        <f t="shared" si="15"/>
        <v>-66874.625000000015</v>
      </c>
      <c r="P87" s="14">
        <f t="shared" si="15"/>
        <v>-66874.625000000015</v>
      </c>
      <c r="Q87" s="14">
        <f t="shared" si="15"/>
        <v>-66874.625000000015</v>
      </c>
      <c r="R87" s="14">
        <f t="shared" si="15"/>
        <v>-114240.87500000001</v>
      </c>
      <c r="S87" s="14">
        <f t="shared" si="15"/>
        <v>-90780.875000000015</v>
      </c>
      <c r="T87" s="14">
        <f t="shared" si="15"/>
        <v>-90780.875000000015</v>
      </c>
      <c r="U87" s="14">
        <f t="shared" si="15"/>
        <v>-90780.875000000015</v>
      </c>
      <c r="V87" s="14">
        <f t="shared" si="15"/>
        <v>-90780.875000000015</v>
      </c>
      <c r="W87" s="14">
        <f t="shared" si="15"/>
        <v>-54825.875000000015</v>
      </c>
      <c r="X87" s="14">
        <f t="shared" si="15"/>
        <v>-90780.875000000015</v>
      </c>
      <c r="Y87" s="14">
        <f t="shared" si="15"/>
        <v>-90780.875000000015</v>
      </c>
      <c r="Z87" s="14">
        <f t="shared" si="15"/>
        <v>-33405.875000000015</v>
      </c>
      <c r="AA87" s="14">
        <f t="shared" si="15"/>
        <v>-92786.492500000022</v>
      </c>
      <c r="AB87" s="14">
        <f t="shared" si="15"/>
        <v>-92786.492500000022</v>
      </c>
      <c r="AC87" s="14">
        <f t="shared" si="15"/>
        <v>-35411.492500000022</v>
      </c>
      <c r="AD87" s="14">
        <f t="shared" si="15"/>
        <v>-116715.69250000003</v>
      </c>
      <c r="AE87" s="14">
        <f t="shared" si="15"/>
        <v>-92786.492500000022</v>
      </c>
      <c r="AF87" s="14">
        <f t="shared" si="15"/>
        <v>-92786.492500000022</v>
      </c>
      <c r="AG87" s="14">
        <f t="shared" si="15"/>
        <v>-102286.49250000002</v>
      </c>
      <c r="AH87" s="14">
        <f t="shared" si="15"/>
        <v>-102286.49250000002</v>
      </c>
      <c r="AI87" s="14">
        <f t="shared" ref="AI87:BN87" si="16">AI64+AI85</f>
        <v>-124134.89250000003</v>
      </c>
      <c r="AJ87" s="14">
        <f t="shared" si="16"/>
        <v>-102286.49250000002</v>
      </c>
      <c r="AK87" s="14">
        <f t="shared" si="16"/>
        <v>-102286.49250000002</v>
      </c>
      <c r="AL87" s="14">
        <f t="shared" si="16"/>
        <v>-102286.49250000002</v>
      </c>
      <c r="AM87" s="14">
        <f t="shared" si="16"/>
        <v>-104332.22235000001</v>
      </c>
      <c r="AN87" s="14">
        <f t="shared" si="16"/>
        <v>-104332.22235000001</v>
      </c>
      <c r="AO87" s="14">
        <f t="shared" si="16"/>
        <v>-104332.22235000001</v>
      </c>
      <c r="AP87" s="14">
        <f t="shared" si="16"/>
        <v>-128740.00635000001</v>
      </c>
      <c r="AQ87" s="14">
        <f t="shared" si="16"/>
        <v>-104332.22235000001</v>
      </c>
      <c r="AR87" s="14">
        <f t="shared" si="16"/>
        <v>-104332.22235</v>
      </c>
      <c r="AS87" s="14">
        <f t="shared" si="16"/>
        <v>-104332.22235000001</v>
      </c>
      <c r="AT87" s="14">
        <f t="shared" si="16"/>
        <v>-104332.22235000001</v>
      </c>
      <c r="AU87" s="14">
        <f t="shared" si="16"/>
        <v>-126617.59035000001</v>
      </c>
      <c r="AV87" s="14">
        <f t="shared" si="16"/>
        <v>-104332.22235000001</v>
      </c>
      <c r="AW87" s="14">
        <f t="shared" si="16"/>
        <v>-104332.22235000001</v>
      </c>
      <c r="AX87" s="14">
        <f t="shared" si="16"/>
        <v>-104332.22235</v>
      </c>
      <c r="AY87" s="14">
        <f t="shared" si="16"/>
        <v>-106418.866797</v>
      </c>
      <c r="AZ87" s="14">
        <f t="shared" si="16"/>
        <v>-106418.866797</v>
      </c>
      <c r="BA87" s="14">
        <f t="shared" si="16"/>
        <v>-106418.86679699994</v>
      </c>
      <c r="BB87" s="14">
        <f t="shared" si="16"/>
        <v>-131314.80647700001</v>
      </c>
      <c r="BC87" s="14">
        <f t="shared" si="16"/>
        <v>-106418.866797</v>
      </c>
      <c r="BD87" s="14">
        <f t="shared" si="16"/>
        <v>-106418.866797</v>
      </c>
      <c r="BE87" s="14">
        <f t="shared" si="16"/>
        <v>-106418.866797</v>
      </c>
      <c r="BF87" s="14">
        <f t="shared" si="16"/>
        <v>-106418.866797</v>
      </c>
      <c r="BG87" s="14">
        <f t="shared" si="16"/>
        <v>-129149.94215700001</v>
      </c>
      <c r="BH87" s="14">
        <f t="shared" si="16"/>
        <v>-106418.866797</v>
      </c>
      <c r="BI87" s="14">
        <f t="shared" si="16"/>
        <v>-106418.866797</v>
      </c>
      <c r="BJ87" s="14">
        <f t="shared" si="16"/>
        <v>-106418.866797</v>
      </c>
      <c r="BK87" s="14">
        <f t="shared" si="16"/>
        <v>-108547.24413294002</v>
      </c>
      <c r="BL87" s="14">
        <f t="shared" si="16"/>
        <v>-108547.24413294002</v>
      </c>
      <c r="BM87" s="14">
        <f t="shared" si="16"/>
        <v>-108547.24413294002</v>
      </c>
      <c r="BN87" s="14">
        <f t="shared" si="16"/>
        <v>-133941.10260654002</v>
      </c>
      <c r="BO87" s="14">
        <f t="shared" ref="BO87:CH87" si="17">BO64+BO85</f>
        <v>-108547.24413294002</v>
      </c>
      <c r="BP87" s="14">
        <f t="shared" si="17"/>
        <v>-57033.724132939999</v>
      </c>
      <c r="BQ87" s="14">
        <f t="shared" si="17"/>
        <v>-108547.24413294002</v>
      </c>
      <c r="BR87" s="14">
        <f t="shared" si="17"/>
        <v>-108547.24413294002</v>
      </c>
      <c r="BS87" s="14">
        <f t="shared" si="17"/>
        <v>-63970.941000140039</v>
      </c>
      <c r="BT87" s="14">
        <f t="shared" si="17"/>
        <v>-108547.24413294002</v>
      </c>
      <c r="BU87" s="14">
        <f t="shared" si="17"/>
        <v>-108547.24413294002</v>
      </c>
      <c r="BV87" s="14">
        <f t="shared" si="17"/>
        <v>-40785.244132940017</v>
      </c>
      <c r="BW87" s="14">
        <f t="shared" si="17"/>
        <v>-110718.18901559882</v>
      </c>
      <c r="BX87" s="14">
        <f t="shared" si="17"/>
        <v>-110718.18901559882</v>
      </c>
      <c r="BY87" s="14">
        <f t="shared" si="17"/>
        <v>-42956.189015598822</v>
      </c>
      <c r="BZ87" s="14">
        <f t="shared" si="17"/>
        <v>-136619.92465867082</v>
      </c>
      <c r="CA87" s="14">
        <f t="shared" si="17"/>
        <v>-110718.18901559882</v>
      </c>
      <c r="CB87" s="14">
        <f t="shared" si="17"/>
        <v>-34219.189015598851</v>
      </c>
      <c r="CC87" s="14">
        <f t="shared" si="17"/>
        <v>-110718.18901559882</v>
      </c>
      <c r="CD87" s="14">
        <f t="shared" si="17"/>
        <v>-110718.18901559882</v>
      </c>
      <c r="CE87" s="14">
        <f t="shared" si="17"/>
        <v>-57868.599820142845</v>
      </c>
      <c r="CF87" s="14">
        <f t="shared" si="17"/>
        <v>-110718.18901559882</v>
      </c>
      <c r="CG87" s="14">
        <f t="shared" si="17"/>
        <v>-110718.18901559882</v>
      </c>
      <c r="CH87" s="14">
        <f t="shared" si="17"/>
        <v>-27611.162409119599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187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72</v>
      </c>
      <c r="B90" s="22"/>
      <c r="C90" s="8">
        <f t="shared" ref="C90:AH90" si="18">C12</f>
        <v>395445.90701203566</v>
      </c>
      <c r="D90" s="8">
        <f t="shared" si="18"/>
        <v>405162.24194821436</v>
      </c>
      <c r="E90" s="8">
        <f t="shared" si="18"/>
        <v>412442.31596955284</v>
      </c>
      <c r="F90" s="8">
        <f t="shared" si="18"/>
        <v>1190408.8911297102</v>
      </c>
      <c r="G90" s="8">
        <f t="shared" si="18"/>
        <v>554529.04164875322</v>
      </c>
      <c r="H90" s="8">
        <f t="shared" si="18"/>
        <v>560176.97005223157</v>
      </c>
      <c r="I90" s="8">
        <f t="shared" si="18"/>
        <v>1110045.0057109694</v>
      </c>
      <c r="J90" s="8">
        <f t="shared" si="18"/>
        <v>1097661.2371626287</v>
      </c>
      <c r="K90" s="8">
        <f t="shared" si="18"/>
        <v>718483.9286762072</v>
      </c>
      <c r="L90" s="8">
        <f t="shared" si="18"/>
        <v>727571.38783408504</v>
      </c>
      <c r="M90" s="8">
        <f t="shared" si="18"/>
        <v>734071.29927114898</v>
      </c>
      <c r="N90" s="8">
        <f t="shared" si="18"/>
        <v>737822.56927161117</v>
      </c>
      <c r="O90" s="8">
        <f t="shared" si="18"/>
        <v>1544442.9603303373</v>
      </c>
      <c r="P90" s="8">
        <f t="shared" si="18"/>
        <v>868197.32520642388</v>
      </c>
      <c r="Q90" s="8">
        <f t="shared" si="18"/>
        <v>1010977.7783706895</v>
      </c>
      <c r="R90" s="8">
        <f t="shared" si="18"/>
        <v>834536.53086152906</v>
      </c>
      <c r="S90" s="8">
        <f t="shared" si="18"/>
        <v>647666.49049596442</v>
      </c>
      <c r="T90" s="8">
        <f t="shared" si="18"/>
        <v>647495.25467970071</v>
      </c>
      <c r="U90" s="8">
        <f t="shared" si="18"/>
        <v>664995.40406993125</v>
      </c>
      <c r="V90" s="8">
        <f t="shared" si="18"/>
        <v>618103.15631027054</v>
      </c>
      <c r="W90" s="8">
        <f t="shared" si="18"/>
        <v>607080.58086320059</v>
      </c>
      <c r="X90" s="8">
        <f t="shared" si="18"/>
        <v>593340.24798612762</v>
      </c>
      <c r="Y90" s="8">
        <f t="shared" si="18"/>
        <v>577675.4899876836</v>
      </c>
      <c r="Z90" s="8">
        <f t="shared" si="18"/>
        <v>560861.37604444823</v>
      </c>
      <c r="AA90" s="8">
        <f t="shared" si="18"/>
        <v>620997.91027095879</v>
      </c>
      <c r="AB90" s="8">
        <f t="shared" si="18"/>
        <v>468952.79641900427</v>
      </c>
      <c r="AC90" s="8">
        <f t="shared" si="18"/>
        <v>1170867.699065028</v>
      </c>
      <c r="AD90" s="8">
        <f t="shared" si="18"/>
        <v>512736.63527957594</v>
      </c>
      <c r="AE90" s="8">
        <f t="shared" si="18"/>
        <v>514849.68659191282</v>
      </c>
      <c r="AF90" s="8">
        <f t="shared" si="18"/>
        <v>516146.64992283325</v>
      </c>
      <c r="AG90" s="8">
        <f t="shared" si="18"/>
        <v>717987.86496831942</v>
      </c>
      <c r="AH90" s="8">
        <f t="shared" si="18"/>
        <v>547457.24098237033</v>
      </c>
      <c r="AI90" s="8">
        <f t="shared" ref="AI90:BN90" si="19">AI12</f>
        <v>796202.23679646454</v>
      </c>
      <c r="AJ90" s="8">
        <f t="shared" si="19"/>
        <v>467795.82965550991</v>
      </c>
      <c r="AK90" s="8">
        <f t="shared" si="19"/>
        <v>538228.87082510337</v>
      </c>
      <c r="AL90" s="8">
        <f t="shared" si="19"/>
        <v>634882.5116408054</v>
      </c>
      <c r="AM90" s="8">
        <f t="shared" si="19"/>
        <v>507743.89656129264</v>
      </c>
      <c r="AN90" s="8">
        <f t="shared" si="19"/>
        <v>513429.54020040302</v>
      </c>
      <c r="AO90" s="8">
        <f t="shared" si="19"/>
        <v>584182.60222593229</v>
      </c>
      <c r="AP90" s="8">
        <f t="shared" si="19"/>
        <v>589735.31943458493</v>
      </c>
      <c r="AQ90" s="8">
        <f t="shared" si="19"/>
        <v>592903.85017935594</v>
      </c>
      <c r="AR90" s="8">
        <f t="shared" si="19"/>
        <v>850552.09641626349</v>
      </c>
      <c r="AS90" s="8">
        <f t="shared" si="19"/>
        <v>549280.03539581597</v>
      </c>
      <c r="AT90" s="8">
        <f t="shared" si="19"/>
        <v>553246.57060555625</v>
      </c>
      <c r="AU90" s="8">
        <f t="shared" si="19"/>
        <v>554206.85381689388</v>
      </c>
      <c r="AV90" s="8">
        <f t="shared" si="19"/>
        <v>552133.1801280108</v>
      </c>
      <c r="AW90" s="8">
        <f t="shared" si="19"/>
        <v>614187.47653495229</v>
      </c>
      <c r="AX90" s="8">
        <f t="shared" si="19"/>
        <v>610632.34593651723</v>
      </c>
      <c r="AY90" s="8">
        <f t="shared" si="19"/>
        <v>707065.04342157568</v>
      </c>
      <c r="AZ90" s="8">
        <f t="shared" si="19"/>
        <v>520891.51952216006</v>
      </c>
      <c r="BA90" s="8">
        <f t="shared" si="19"/>
        <v>581927.23746679001</v>
      </c>
      <c r="BB90" s="8">
        <f t="shared" si="19"/>
        <v>577626.6654709198</v>
      </c>
      <c r="BC90" s="8">
        <f t="shared" si="19"/>
        <v>656535.56714763399</v>
      </c>
      <c r="BD90" s="8">
        <f t="shared" si="19"/>
        <v>499854.53235180292</v>
      </c>
      <c r="BE90" s="8">
        <f t="shared" si="19"/>
        <v>573731.42940727691</v>
      </c>
      <c r="BF90" s="8">
        <f t="shared" si="19"/>
        <v>805100.62316051719</v>
      </c>
      <c r="BG90" s="8">
        <f t="shared" si="19"/>
        <v>538664.14772727271</v>
      </c>
      <c r="BH90" s="8">
        <f t="shared" si="19"/>
        <v>387504.27272727271</v>
      </c>
      <c r="BI90" s="8">
        <f t="shared" si="19"/>
        <v>453436.87499999988</v>
      </c>
      <c r="BJ90" s="8">
        <f t="shared" si="19"/>
        <v>454288.12743506487</v>
      </c>
      <c r="BK90" s="8">
        <f t="shared" si="19"/>
        <v>555536.65909090906</v>
      </c>
      <c r="BL90" s="8">
        <f t="shared" si="19"/>
        <v>374471.70779220772</v>
      </c>
      <c r="BM90" s="8">
        <f t="shared" si="19"/>
        <v>440786.284090909</v>
      </c>
      <c r="BN90" s="8">
        <f t="shared" si="19"/>
        <v>441820.05681818177</v>
      </c>
      <c r="BO90" s="8">
        <f t="shared" ref="BO90:CH90" si="20">BO12</f>
        <v>526013.55681818177</v>
      </c>
      <c r="BP90" s="8">
        <f t="shared" si="20"/>
        <v>374471.70779220772</v>
      </c>
      <c r="BQ90" s="8">
        <f t="shared" si="20"/>
        <v>453263.93181818177</v>
      </c>
      <c r="BR90" s="8">
        <f t="shared" si="20"/>
        <v>454288.12743506487</v>
      </c>
      <c r="BS90" s="8">
        <f t="shared" si="20"/>
        <v>605768.07224025961</v>
      </c>
      <c r="BT90" s="8">
        <f t="shared" si="20"/>
        <v>458941.49269480514</v>
      </c>
      <c r="BU90" s="8">
        <f t="shared" si="20"/>
        <v>529538.42532467528</v>
      </c>
      <c r="BV90" s="8">
        <f t="shared" si="20"/>
        <v>535199.05275974027</v>
      </c>
      <c r="BW90" s="8">
        <f t="shared" si="20"/>
        <v>641170.90422077919</v>
      </c>
      <c r="BX90" s="8">
        <f t="shared" si="20"/>
        <v>464480.88798701292</v>
      </c>
      <c r="BY90" s="8">
        <f t="shared" si="20"/>
        <v>534553.43912337651</v>
      </c>
      <c r="BZ90" s="8">
        <f t="shared" si="20"/>
        <v>538479.08279220772</v>
      </c>
      <c r="CA90" s="8">
        <f t="shared" si="20"/>
        <v>624496.39772727271</v>
      </c>
      <c r="CB90" s="8">
        <f t="shared" si="20"/>
        <v>473577.75487012981</v>
      </c>
      <c r="CC90" s="8">
        <f t="shared" si="20"/>
        <v>471222.06331168825</v>
      </c>
      <c r="CD90" s="8">
        <f t="shared" si="20"/>
        <v>465222.4894480519</v>
      </c>
      <c r="CE90" s="8">
        <f t="shared" si="20"/>
        <v>541109.44237012975</v>
      </c>
      <c r="CF90" s="8">
        <f t="shared" si="20"/>
        <v>380420.3425324675</v>
      </c>
      <c r="CG90" s="8">
        <f t="shared" si="20"/>
        <v>369206.10146103892</v>
      </c>
      <c r="CH90" s="8">
        <f t="shared" si="20"/>
        <v>355750.8165584415</v>
      </c>
      <c r="CI90" s="23"/>
    </row>
    <row r="91" spans="1:87" ht="15" customHeight="1" x14ac:dyDescent="0.25">
      <c r="A91" s="16" t="s">
        <v>85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188</v>
      </c>
      <c r="B92" s="28"/>
      <c r="C92" s="10">
        <f t="shared" ref="C92:AH92" si="24">C90+C91</f>
        <v>439060.48701203568</v>
      </c>
      <c r="D92" s="10">
        <f t="shared" si="24"/>
        <v>448776.82194821438</v>
      </c>
      <c r="E92" s="10">
        <f t="shared" si="24"/>
        <v>456056.89596955286</v>
      </c>
      <c r="F92" s="10">
        <f t="shared" si="24"/>
        <v>1234023.4711297103</v>
      </c>
      <c r="G92" s="10">
        <f t="shared" si="24"/>
        <v>598143.62164875318</v>
      </c>
      <c r="H92" s="10">
        <f t="shared" si="24"/>
        <v>602958.22005223157</v>
      </c>
      <c r="I92" s="10">
        <f t="shared" si="24"/>
        <v>1152826.2557109694</v>
      </c>
      <c r="J92" s="10">
        <f t="shared" si="24"/>
        <v>1131067.4871626287</v>
      </c>
      <c r="K92" s="10">
        <f t="shared" si="24"/>
        <v>751890.1786762072</v>
      </c>
      <c r="L92" s="10">
        <f t="shared" si="24"/>
        <v>760977.63783408504</v>
      </c>
      <c r="M92" s="10">
        <f t="shared" si="24"/>
        <v>767477.54927114898</v>
      </c>
      <c r="N92" s="10">
        <f t="shared" si="24"/>
        <v>771228.81927161117</v>
      </c>
      <c r="O92" s="10">
        <f t="shared" si="24"/>
        <v>1577849.2103303373</v>
      </c>
      <c r="P92" s="10">
        <f t="shared" si="24"/>
        <v>901603.57520642388</v>
      </c>
      <c r="Q92" s="10">
        <f t="shared" si="24"/>
        <v>1044384.0283706895</v>
      </c>
      <c r="R92" s="10">
        <f t="shared" si="24"/>
        <v>844036.53086152906</v>
      </c>
      <c r="S92" s="10">
        <f t="shared" si="24"/>
        <v>657166.49049596442</v>
      </c>
      <c r="T92" s="10">
        <f t="shared" si="24"/>
        <v>656995.25467970071</v>
      </c>
      <c r="U92" s="10">
        <f t="shared" si="24"/>
        <v>674495.40406993125</v>
      </c>
      <c r="V92" s="10">
        <f t="shared" si="24"/>
        <v>627603.15631027054</v>
      </c>
      <c r="W92" s="10">
        <f t="shared" si="24"/>
        <v>673955.58086320059</v>
      </c>
      <c r="X92" s="10">
        <f t="shared" si="24"/>
        <v>602840.24798612762</v>
      </c>
      <c r="Y92" s="10">
        <f t="shared" si="24"/>
        <v>587175.4899876836</v>
      </c>
      <c r="Z92" s="10">
        <f t="shared" si="24"/>
        <v>627736.37604444823</v>
      </c>
      <c r="AA92" s="10">
        <f t="shared" si="24"/>
        <v>630497.91027095879</v>
      </c>
      <c r="AB92" s="10">
        <f t="shared" si="24"/>
        <v>478452.79641900427</v>
      </c>
      <c r="AC92" s="10">
        <f t="shared" si="24"/>
        <v>1237742.699065028</v>
      </c>
      <c r="AD92" s="10">
        <f t="shared" si="24"/>
        <v>522236.63527957594</v>
      </c>
      <c r="AE92" s="10">
        <f t="shared" si="24"/>
        <v>524349.68659191276</v>
      </c>
      <c r="AF92" s="10">
        <f t="shared" si="24"/>
        <v>525646.64992283331</v>
      </c>
      <c r="AG92" s="10">
        <f t="shared" si="24"/>
        <v>717987.86496831942</v>
      </c>
      <c r="AH92" s="10">
        <f t="shared" si="24"/>
        <v>547457.24098237033</v>
      </c>
      <c r="AI92" s="10">
        <f t="shared" ref="AI92:BN92" si="25">AI90+AI91</f>
        <v>796202.23679646454</v>
      </c>
      <c r="AJ92" s="10">
        <f t="shared" si="25"/>
        <v>467795.82965550991</v>
      </c>
      <c r="AK92" s="10">
        <f t="shared" si="25"/>
        <v>538228.87082510337</v>
      </c>
      <c r="AL92" s="10">
        <f t="shared" si="25"/>
        <v>634882.5116408054</v>
      </c>
      <c r="AM92" s="10">
        <f t="shared" si="25"/>
        <v>507743.89656129264</v>
      </c>
      <c r="AN92" s="10">
        <f t="shared" si="25"/>
        <v>513429.54020040302</v>
      </c>
      <c r="AO92" s="10">
        <f t="shared" si="25"/>
        <v>584182.60222593229</v>
      </c>
      <c r="AP92" s="10">
        <f t="shared" si="25"/>
        <v>589735.31943458493</v>
      </c>
      <c r="AQ92" s="10">
        <f t="shared" si="25"/>
        <v>592903.85017935594</v>
      </c>
      <c r="AR92" s="10">
        <f t="shared" si="25"/>
        <v>932235.09641626349</v>
      </c>
      <c r="AS92" s="10">
        <f t="shared" si="25"/>
        <v>549280.03539581597</v>
      </c>
      <c r="AT92" s="10">
        <f t="shared" si="25"/>
        <v>553246.57060555625</v>
      </c>
      <c r="AU92" s="10">
        <f t="shared" si="25"/>
        <v>635888.85381689388</v>
      </c>
      <c r="AV92" s="10">
        <f t="shared" si="25"/>
        <v>552133.1801280108</v>
      </c>
      <c r="AW92" s="10">
        <f t="shared" si="25"/>
        <v>614187.47653495229</v>
      </c>
      <c r="AX92" s="10">
        <f t="shared" si="25"/>
        <v>692314.34593651723</v>
      </c>
      <c r="AY92" s="10">
        <f t="shared" si="25"/>
        <v>707065.04342157568</v>
      </c>
      <c r="AZ92" s="10">
        <f t="shared" si="25"/>
        <v>520891.51952216006</v>
      </c>
      <c r="BA92" s="10">
        <f t="shared" si="25"/>
        <v>1515448.23746679</v>
      </c>
      <c r="BB92" s="10">
        <f t="shared" si="25"/>
        <v>577626.6654709198</v>
      </c>
      <c r="BC92" s="10">
        <f t="shared" si="25"/>
        <v>656535.56714763399</v>
      </c>
      <c r="BD92" s="10">
        <f t="shared" si="25"/>
        <v>630732.53235180292</v>
      </c>
      <c r="BE92" s="10">
        <f t="shared" si="25"/>
        <v>573731.42940727691</v>
      </c>
      <c r="BF92" s="10">
        <f t="shared" si="25"/>
        <v>805100.62316051719</v>
      </c>
      <c r="BG92" s="10">
        <f t="shared" si="25"/>
        <v>669540.14772727271</v>
      </c>
      <c r="BH92" s="10">
        <f t="shared" si="25"/>
        <v>387504.27272727271</v>
      </c>
      <c r="BI92" s="10">
        <f t="shared" si="25"/>
        <v>453436.87499999988</v>
      </c>
      <c r="BJ92" s="10">
        <f t="shared" si="25"/>
        <v>585164.12743506487</v>
      </c>
      <c r="BK92" s="10">
        <f t="shared" si="25"/>
        <v>555536.65909090906</v>
      </c>
      <c r="BL92" s="10">
        <f t="shared" si="25"/>
        <v>374471.70779220772</v>
      </c>
      <c r="BM92" s="10">
        <f t="shared" si="25"/>
        <v>571662.28409090894</v>
      </c>
      <c r="BN92" s="10">
        <f t="shared" si="25"/>
        <v>441820.05681818177</v>
      </c>
      <c r="BO92" s="10">
        <f t="shared" ref="BO92:CT92" si="26">BO90+BO91</f>
        <v>526013.55681818177</v>
      </c>
      <c r="BP92" s="10">
        <f t="shared" si="26"/>
        <v>516877.70779220772</v>
      </c>
      <c r="BQ92" s="10">
        <f t="shared" si="26"/>
        <v>453263.93181818177</v>
      </c>
      <c r="BR92" s="10">
        <f t="shared" si="26"/>
        <v>454288.12743506487</v>
      </c>
      <c r="BS92" s="10">
        <f t="shared" si="26"/>
        <v>748170.07224025961</v>
      </c>
      <c r="BT92" s="10">
        <f t="shared" si="26"/>
        <v>458941.49269480514</v>
      </c>
      <c r="BU92" s="10">
        <f t="shared" si="26"/>
        <v>529538.42532467528</v>
      </c>
      <c r="BV92" s="10">
        <f t="shared" si="26"/>
        <v>677601.05275974027</v>
      </c>
      <c r="BW92" s="10">
        <f t="shared" si="26"/>
        <v>641170.90422077919</v>
      </c>
      <c r="BX92" s="10">
        <f t="shared" si="26"/>
        <v>464480.88798701292</v>
      </c>
      <c r="BY92" s="10">
        <f t="shared" si="26"/>
        <v>750111.43912337651</v>
      </c>
      <c r="BZ92" s="10">
        <f t="shared" si="26"/>
        <v>538479.08279220772</v>
      </c>
      <c r="CA92" s="10">
        <f t="shared" si="26"/>
        <v>624496.39772727271</v>
      </c>
      <c r="CB92" s="10">
        <f t="shared" si="26"/>
        <v>704594.75487012975</v>
      </c>
      <c r="CC92" s="10">
        <f t="shared" si="26"/>
        <v>471222.06331168825</v>
      </c>
      <c r="CD92" s="10">
        <f t="shared" si="26"/>
        <v>465222.4894480519</v>
      </c>
      <c r="CE92" s="10">
        <f t="shared" si="26"/>
        <v>772125.44237012975</v>
      </c>
      <c r="CF92" s="10">
        <f t="shared" si="26"/>
        <v>380420.3425324675</v>
      </c>
      <c r="CG92" s="10">
        <f t="shared" si="26"/>
        <v>369206.10146103892</v>
      </c>
      <c r="CH92" s="10">
        <f t="shared" si="26"/>
        <v>586766.8165584415</v>
      </c>
      <c r="CI92" s="23"/>
    </row>
    <row r="93" spans="1:87" ht="15" customHeight="1" x14ac:dyDescent="0.25">
      <c r="A93" s="16" t="s">
        <v>78</v>
      </c>
      <c r="B93" s="22"/>
      <c r="C93" s="8">
        <f t="shared" ref="C93:AH93" si="27">C39</f>
        <v>-328758.69833333336</v>
      </c>
      <c r="D93" s="8">
        <f t="shared" si="27"/>
        <v>-370989.94833333336</v>
      </c>
      <c r="E93" s="8">
        <f t="shared" si="27"/>
        <v>-405939.94833333336</v>
      </c>
      <c r="F93" s="8">
        <f t="shared" si="27"/>
        <v>-723906.46353333327</v>
      </c>
      <c r="G93" s="8">
        <f t="shared" si="27"/>
        <v>-405939.94833333336</v>
      </c>
      <c r="H93" s="8">
        <f t="shared" si="27"/>
        <v>-405939.94833333336</v>
      </c>
      <c r="I93" s="8">
        <f t="shared" si="27"/>
        <v>-624022.7953333332</v>
      </c>
      <c r="J93" s="8">
        <f t="shared" si="27"/>
        <v>-563289.14533333341</v>
      </c>
      <c r="K93" s="8">
        <f t="shared" si="27"/>
        <v>-405939.94833333336</v>
      </c>
      <c r="L93" s="8">
        <f t="shared" si="27"/>
        <v>-405939.94833333336</v>
      </c>
      <c r="M93" s="8">
        <f t="shared" si="27"/>
        <v>-405939.94833333336</v>
      </c>
      <c r="N93" s="8">
        <f t="shared" si="27"/>
        <v>-435939.94833333336</v>
      </c>
      <c r="O93" s="8">
        <f t="shared" si="27"/>
        <v>-1880083.9523000002</v>
      </c>
      <c r="P93" s="8">
        <f t="shared" si="27"/>
        <v>-408913.92729999998</v>
      </c>
      <c r="Q93" s="8">
        <f t="shared" si="27"/>
        <v>-438913.92729999998</v>
      </c>
      <c r="R93" s="8">
        <f t="shared" si="27"/>
        <v>-408913.92729999998</v>
      </c>
      <c r="S93" s="8">
        <f t="shared" si="27"/>
        <v>-408913.92729999998</v>
      </c>
      <c r="T93" s="8">
        <f t="shared" si="27"/>
        <v>-438913.92729999998</v>
      </c>
      <c r="U93" s="8">
        <f t="shared" si="27"/>
        <v>-408913.92729999998</v>
      </c>
      <c r="V93" s="8">
        <f t="shared" si="27"/>
        <v>-408913.92729999998</v>
      </c>
      <c r="W93" s="8">
        <f t="shared" si="27"/>
        <v>-408913.92729999998</v>
      </c>
      <c r="X93" s="8">
        <f t="shared" si="27"/>
        <v>-438913.92729999998</v>
      </c>
      <c r="Y93" s="8">
        <f t="shared" si="27"/>
        <v>-408913.92729999998</v>
      </c>
      <c r="Z93" s="8">
        <f t="shared" si="27"/>
        <v>-408913.92729999998</v>
      </c>
      <c r="AA93" s="8">
        <f t="shared" si="27"/>
        <v>-441947.38584600005</v>
      </c>
      <c r="AB93" s="8">
        <f t="shared" si="27"/>
        <v>-411947.38584600005</v>
      </c>
      <c r="AC93" s="8">
        <f t="shared" si="27"/>
        <v>-1755972.925846</v>
      </c>
      <c r="AD93" s="8">
        <f t="shared" si="27"/>
        <v>-447947.38584600005</v>
      </c>
      <c r="AE93" s="8">
        <f t="shared" si="27"/>
        <v>-411947.38584600005</v>
      </c>
      <c r="AF93" s="8">
        <f t="shared" si="27"/>
        <v>-411947.38584600005</v>
      </c>
      <c r="AG93" s="8">
        <f t="shared" si="27"/>
        <v>-447947.38584600005</v>
      </c>
      <c r="AH93" s="8">
        <f t="shared" si="27"/>
        <v>-411947.38584600005</v>
      </c>
      <c r="AI93" s="8">
        <f t="shared" ref="AI93:BN93" si="28">AI39</f>
        <v>-447947.38584600005</v>
      </c>
      <c r="AJ93" s="8">
        <f t="shared" si="28"/>
        <v>-411947.38584600005</v>
      </c>
      <c r="AK93" s="8">
        <f t="shared" si="28"/>
        <v>-441947.38584600005</v>
      </c>
      <c r="AL93" s="8">
        <f t="shared" si="28"/>
        <v>-411947.38584600005</v>
      </c>
      <c r="AM93" s="8">
        <f t="shared" si="28"/>
        <v>-427041.51356291998</v>
      </c>
      <c r="AN93" s="8">
        <f t="shared" si="28"/>
        <v>-415041.51356291998</v>
      </c>
      <c r="AO93" s="8">
        <f t="shared" si="28"/>
        <v>-415041.51356291998</v>
      </c>
      <c r="AP93" s="8">
        <f t="shared" si="28"/>
        <v>-415041.51356291998</v>
      </c>
      <c r="AQ93" s="8">
        <f t="shared" si="28"/>
        <v>-445041.51356291998</v>
      </c>
      <c r="AR93" s="8">
        <f t="shared" si="28"/>
        <v>-415041.51356291998</v>
      </c>
      <c r="AS93" s="8">
        <f t="shared" si="28"/>
        <v>-451041.51356291998</v>
      </c>
      <c r="AT93" s="8">
        <f t="shared" si="28"/>
        <v>-415041.51356291998</v>
      </c>
      <c r="AU93" s="8">
        <f t="shared" si="28"/>
        <v>-445041.51356291998</v>
      </c>
      <c r="AV93" s="8">
        <f t="shared" si="28"/>
        <v>-415041.51356291998</v>
      </c>
      <c r="AW93" s="8">
        <f t="shared" si="28"/>
        <v>-445041.51356291998</v>
      </c>
      <c r="AX93" s="8">
        <f t="shared" si="28"/>
        <v>-415041.51356291998</v>
      </c>
      <c r="AY93" s="8">
        <f t="shared" si="28"/>
        <v>-442197.52383417846</v>
      </c>
      <c r="AZ93" s="8">
        <f t="shared" si="28"/>
        <v>-418197.52383417846</v>
      </c>
      <c r="BA93" s="8">
        <f t="shared" si="28"/>
        <v>-418197.52383417846</v>
      </c>
      <c r="BB93" s="8">
        <f t="shared" si="28"/>
        <v>-418197.52383417846</v>
      </c>
      <c r="BC93" s="8">
        <f t="shared" si="28"/>
        <v>-454197.52383417846</v>
      </c>
      <c r="BD93" s="8">
        <f t="shared" si="28"/>
        <v>-418197.52383417846</v>
      </c>
      <c r="BE93" s="8">
        <f t="shared" si="28"/>
        <v>-448197.52383417846</v>
      </c>
      <c r="BF93" s="8">
        <f t="shared" si="28"/>
        <v>-418197.52383417846</v>
      </c>
      <c r="BG93" s="8">
        <f t="shared" si="28"/>
        <v>-448197.52383417846</v>
      </c>
      <c r="BH93" s="8">
        <f t="shared" si="28"/>
        <v>-418197.52383417846</v>
      </c>
      <c r="BI93" s="8">
        <f t="shared" si="28"/>
        <v>-454197.52383417846</v>
      </c>
      <c r="BJ93" s="8">
        <f t="shared" si="28"/>
        <v>-418197.52383417846</v>
      </c>
      <c r="BK93" s="8">
        <f t="shared" si="28"/>
        <v>-439416.65431086207</v>
      </c>
      <c r="BL93" s="8">
        <f t="shared" si="28"/>
        <v>-421416.65431086207</v>
      </c>
      <c r="BM93" s="8">
        <f t="shared" si="28"/>
        <v>-421416.65431086207</v>
      </c>
      <c r="BN93" s="8">
        <f t="shared" si="28"/>
        <v>-421416.65431086207</v>
      </c>
      <c r="BO93" s="8">
        <f t="shared" ref="BO93:CH93" si="29">BO39</f>
        <v>-457416.65431086207</v>
      </c>
      <c r="BP93" s="8">
        <f t="shared" si="29"/>
        <v>-421416.65431086207</v>
      </c>
      <c r="BQ93" s="8">
        <f t="shared" si="29"/>
        <v>-451416.65431086207</v>
      </c>
      <c r="BR93" s="8">
        <f t="shared" si="29"/>
        <v>-421416.65431086207</v>
      </c>
      <c r="BS93" s="8">
        <f t="shared" si="29"/>
        <v>-451416.65431086207</v>
      </c>
      <c r="BT93" s="8">
        <f t="shared" si="29"/>
        <v>-421416.65431086207</v>
      </c>
      <c r="BU93" s="8">
        <f t="shared" si="29"/>
        <v>-457416.65431086207</v>
      </c>
      <c r="BV93" s="8">
        <f t="shared" si="29"/>
        <v>-421416.65431086207</v>
      </c>
      <c r="BW93" s="8">
        <f t="shared" si="29"/>
        <v>-442700.16739707923</v>
      </c>
      <c r="BX93" s="8">
        <f t="shared" si="29"/>
        <v>-424700.16739707923</v>
      </c>
      <c r="BY93" s="8">
        <f t="shared" si="29"/>
        <v>-424700.16739707923</v>
      </c>
      <c r="BZ93" s="8">
        <f t="shared" si="29"/>
        <v>-424700.16739707923</v>
      </c>
      <c r="CA93" s="8">
        <f t="shared" si="29"/>
        <v>-424700.16739707923</v>
      </c>
      <c r="CB93" s="8">
        <f t="shared" si="29"/>
        <v>-424700.16739707923</v>
      </c>
      <c r="CC93" s="8">
        <f t="shared" si="29"/>
        <v>-424700.16739707923</v>
      </c>
      <c r="CD93" s="8">
        <f t="shared" si="29"/>
        <v>-424700.16739707923</v>
      </c>
      <c r="CE93" s="8">
        <f t="shared" si="29"/>
        <v>-424700.16739707923</v>
      </c>
      <c r="CF93" s="8">
        <f t="shared" si="29"/>
        <v>-424700.16739707923</v>
      </c>
      <c r="CG93" s="8">
        <f t="shared" si="29"/>
        <v>-424700.16739707923</v>
      </c>
      <c r="CH93" s="8">
        <f t="shared" si="29"/>
        <v>-424700.16739707923</v>
      </c>
      <c r="CI93" s="23"/>
    </row>
    <row r="94" spans="1:87" ht="15" customHeight="1" x14ac:dyDescent="0.25">
      <c r="A94" s="16" t="s">
        <v>86</v>
      </c>
      <c r="B94" s="22"/>
      <c r="C94" s="8">
        <f t="shared" ref="C94:AH94" si="30">C85</f>
        <v>-98314.583333333343</v>
      </c>
      <c r="D94" s="8">
        <f t="shared" si="30"/>
        <v>-98314.583333333343</v>
      </c>
      <c r="E94" s="8">
        <f t="shared" si="30"/>
        <v>-98314.583333333343</v>
      </c>
      <c r="F94" s="8">
        <f t="shared" si="30"/>
        <v>-121314.58333333334</v>
      </c>
      <c r="G94" s="8">
        <f t="shared" si="30"/>
        <v>-98314.583333333343</v>
      </c>
      <c r="H94" s="8">
        <f t="shared" si="30"/>
        <v>-98314.583333333343</v>
      </c>
      <c r="I94" s="8">
        <f t="shared" si="30"/>
        <v>-98314.583333333343</v>
      </c>
      <c r="J94" s="8">
        <f t="shared" si="30"/>
        <v>-98314.583333333343</v>
      </c>
      <c r="K94" s="8">
        <f t="shared" si="30"/>
        <v>-119314.58333333334</v>
      </c>
      <c r="L94" s="8">
        <f t="shared" si="30"/>
        <v>-98314.583333333343</v>
      </c>
      <c r="M94" s="8">
        <f t="shared" si="30"/>
        <v>-98314.583333333343</v>
      </c>
      <c r="N94" s="8">
        <f t="shared" si="30"/>
        <v>-98314.583333333343</v>
      </c>
      <c r="O94" s="8">
        <f t="shared" si="30"/>
        <v>-100280.87500000001</v>
      </c>
      <c r="P94" s="8">
        <f t="shared" si="30"/>
        <v>-100280.87500000001</v>
      </c>
      <c r="Q94" s="8">
        <f t="shared" si="30"/>
        <v>-100280.87500000001</v>
      </c>
      <c r="R94" s="8">
        <f t="shared" si="30"/>
        <v>-123740.87500000001</v>
      </c>
      <c r="S94" s="8">
        <f t="shared" si="30"/>
        <v>-100280.87500000001</v>
      </c>
      <c r="T94" s="8">
        <f t="shared" si="30"/>
        <v>-100280.87500000001</v>
      </c>
      <c r="U94" s="8">
        <f t="shared" si="30"/>
        <v>-100280.87500000001</v>
      </c>
      <c r="V94" s="8">
        <f t="shared" si="30"/>
        <v>-100280.87500000001</v>
      </c>
      <c r="W94" s="8">
        <f t="shared" si="30"/>
        <v>-121700.87500000001</v>
      </c>
      <c r="X94" s="8">
        <f t="shared" si="30"/>
        <v>-100280.87500000001</v>
      </c>
      <c r="Y94" s="8">
        <f t="shared" si="30"/>
        <v>-100280.87500000001</v>
      </c>
      <c r="Z94" s="8">
        <f t="shared" si="30"/>
        <v>-100280.87500000001</v>
      </c>
      <c r="AA94" s="8">
        <f t="shared" si="30"/>
        <v>-102286.49250000002</v>
      </c>
      <c r="AB94" s="8">
        <f t="shared" si="30"/>
        <v>-102286.49250000002</v>
      </c>
      <c r="AC94" s="8">
        <f t="shared" si="30"/>
        <v>-102286.49250000002</v>
      </c>
      <c r="AD94" s="8">
        <f t="shared" si="30"/>
        <v>-126215.69250000003</v>
      </c>
      <c r="AE94" s="8">
        <f t="shared" si="30"/>
        <v>-102286.49250000002</v>
      </c>
      <c r="AF94" s="8">
        <f t="shared" si="30"/>
        <v>-102286.49250000002</v>
      </c>
      <c r="AG94" s="8">
        <f t="shared" si="30"/>
        <v>-102286.49250000002</v>
      </c>
      <c r="AH94" s="8">
        <f t="shared" si="30"/>
        <v>-102286.49250000002</v>
      </c>
      <c r="AI94" s="8">
        <f t="shared" ref="AI94:BN94" si="31">AI85</f>
        <v>-124134.89250000003</v>
      </c>
      <c r="AJ94" s="8">
        <f t="shared" si="31"/>
        <v>-102286.49250000002</v>
      </c>
      <c r="AK94" s="8">
        <f t="shared" si="31"/>
        <v>-102286.49250000002</v>
      </c>
      <c r="AL94" s="8">
        <f t="shared" si="31"/>
        <v>-102286.49250000002</v>
      </c>
      <c r="AM94" s="8">
        <f t="shared" si="31"/>
        <v>-104332.22235000001</v>
      </c>
      <c r="AN94" s="8">
        <f t="shared" si="31"/>
        <v>-104332.22235000001</v>
      </c>
      <c r="AO94" s="8">
        <f t="shared" si="31"/>
        <v>-104332.22235000001</v>
      </c>
      <c r="AP94" s="8">
        <f t="shared" si="31"/>
        <v>-128740.00635000001</v>
      </c>
      <c r="AQ94" s="8">
        <f t="shared" si="31"/>
        <v>-104332.22235000001</v>
      </c>
      <c r="AR94" s="8">
        <f t="shared" si="31"/>
        <v>-186015.22235</v>
      </c>
      <c r="AS94" s="8">
        <f t="shared" si="31"/>
        <v>-104332.22235000001</v>
      </c>
      <c r="AT94" s="8">
        <f t="shared" si="31"/>
        <v>-104332.22235000001</v>
      </c>
      <c r="AU94" s="8">
        <f t="shared" si="31"/>
        <v>-208299.59035000001</v>
      </c>
      <c r="AV94" s="8">
        <f t="shared" si="31"/>
        <v>-104332.22235000001</v>
      </c>
      <c r="AW94" s="8">
        <f t="shared" si="31"/>
        <v>-104332.22235000001</v>
      </c>
      <c r="AX94" s="8">
        <f t="shared" si="31"/>
        <v>-186014.22235</v>
      </c>
      <c r="AY94" s="8">
        <f t="shared" si="31"/>
        <v>-106418.866797</v>
      </c>
      <c r="AZ94" s="8">
        <f t="shared" si="31"/>
        <v>-106418.866797</v>
      </c>
      <c r="BA94" s="8">
        <f t="shared" si="31"/>
        <v>-1039939.8667969999</v>
      </c>
      <c r="BB94" s="8">
        <f t="shared" si="31"/>
        <v>-131314.80647700001</v>
      </c>
      <c r="BC94" s="8">
        <f t="shared" si="31"/>
        <v>-106418.866797</v>
      </c>
      <c r="BD94" s="8">
        <f t="shared" si="31"/>
        <v>-237296.866797</v>
      </c>
      <c r="BE94" s="8">
        <f t="shared" si="31"/>
        <v>-106418.866797</v>
      </c>
      <c r="BF94" s="8">
        <f t="shared" si="31"/>
        <v>-106418.866797</v>
      </c>
      <c r="BG94" s="8">
        <f t="shared" si="31"/>
        <v>-260025.94215700001</v>
      </c>
      <c r="BH94" s="8">
        <f t="shared" si="31"/>
        <v>-106418.866797</v>
      </c>
      <c r="BI94" s="8">
        <f t="shared" si="31"/>
        <v>-106418.866797</v>
      </c>
      <c r="BJ94" s="8">
        <f t="shared" si="31"/>
        <v>-237294.866797</v>
      </c>
      <c r="BK94" s="8">
        <f t="shared" si="31"/>
        <v>-108547.24413294002</v>
      </c>
      <c r="BL94" s="8">
        <f t="shared" si="31"/>
        <v>-108547.24413294002</v>
      </c>
      <c r="BM94" s="8">
        <f t="shared" si="31"/>
        <v>-239423.24413294002</v>
      </c>
      <c r="BN94" s="8">
        <f t="shared" si="31"/>
        <v>-133941.10260654002</v>
      </c>
      <c r="BO94" s="8">
        <f t="shared" ref="BO94:CH94" si="32">BO85</f>
        <v>-108547.24413294002</v>
      </c>
      <c r="BP94" s="8">
        <f t="shared" si="32"/>
        <v>-199439.72413294</v>
      </c>
      <c r="BQ94" s="8">
        <f t="shared" si="32"/>
        <v>-108547.24413294002</v>
      </c>
      <c r="BR94" s="8">
        <f t="shared" si="32"/>
        <v>-108547.24413294002</v>
      </c>
      <c r="BS94" s="8">
        <f t="shared" si="32"/>
        <v>-206372.94100014004</v>
      </c>
      <c r="BT94" s="8">
        <f t="shared" si="32"/>
        <v>-108547.24413294002</v>
      </c>
      <c r="BU94" s="8">
        <f t="shared" si="32"/>
        <v>-108547.24413294002</v>
      </c>
      <c r="BV94" s="8">
        <f t="shared" si="32"/>
        <v>-183187.24413294002</v>
      </c>
      <c r="BW94" s="8">
        <f t="shared" si="32"/>
        <v>-110718.18901559882</v>
      </c>
      <c r="BX94" s="8">
        <f t="shared" si="32"/>
        <v>-110718.18901559882</v>
      </c>
      <c r="BY94" s="8">
        <f t="shared" si="32"/>
        <v>-258514.18901559882</v>
      </c>
      <c r="BZ94" s="8">
        <f t="shared" si="32"/>
        <v>-136619.92465867082</v>
      </c>
      <c r="CA94" s="8">
        <f t="shared" si="32"/>
        <v>-110718.18901559882</v>
      </c>
      <c r="CB94" s="8">
        <f t="shared" si="32"/>
        <v>-265236.18901559885</v>
      </c>
      <c r="CC94" s="8">
        <f t="shared" si="32"/>
        <v>-110718.18901559882</v>
      </c>
      <c r="CD94" s="8">
        <f t="shared" si="32"/>
        <v>-110718.18901559882</v>
      </c>
      <c r="CE94" s="8">
        <f t="shared" si="32"/>
        <v>-288884.59982014284</v>
      </c>
      <c r="CF94" s="8">
        <f t="shared" si="32"/>
        <v>-110718.18901559882</v>
      </c>
      <c r="CG94" s="8">
        <f t="shared" si="32"/>
        <v>-110718.18901559882</v>
      </c>
      <c r="CH94" s="8">
        <f t="shared" si="32"/>
        <v>-258627.1624091196</v>
      </c>
      <c r="CI94" s="23"/>
    </row>
    <row r="95" spans="1:87" ht="15" customHeight="1" x14ac:dyDescent="0.25">
      <c r="A95" s="9" t="s">
        <v>189</v>
      </c>
      <c r="B95" s="28"/>
      <c r="C95" s="10">
        <f t="shared" ref="C95:AH95" si="33">C93+C94</f>
        <v>-427073.28166666673</v>
      </c>
      <c r="D95" s="10">
        <f t="shared" si="33"/>
        <v>-469304.53166666673</v>
      </c>
      <c r="E95" s="10">
        <f t="shared" si="33"/>
        <v>-504254.53166666673</v>
      </c>
      <c r="F95" s="10">
        <f t="shared" si="33"/>
        <v>-845221.04686666664</v>
      </c>
      <c r="G95" s="10">
        <f t="shared" si="33"/>
        <v>-504254.53166666673</v>
      </c>
      <c r="H95" s="10">
        <f t="shared" si="33"/>
        <v>-504254.53166666673</v>
      </c>
      <c r="I95" s="10">
        <f t="shared" si="33"/>
        <v>-722337.37866666657</v>
      </c>
      <c r="J95" s="10">
        <f t="shared" si="33"/>
        <v>-661603.72866666678</v>
      </c>
      <c r="K95" s="10">
        <f t="shared" si="33"/>
        <v>-525254.53166666673</v>
      </c>
      <c r="L95" s="10">
        <f t="shared" si="33"/>
        <v>-504254.53166666673</v>
      </c>
      <c r="M95" s="10">
        <f t="shared" si="33"/>
        <v>-504254.53166666673</v>
      </c>
      <c r="N95" s="10">
        <f t="shared" si="33"/>
        <v>-534254.53166666673</v>
      </c>
      <c r="O95" s="10">
        <f t="shared" si="33"/>
        <v>-1980364.8273000002</v>
      </c>
      <c r="P95" s="10">
        <f t="shared" si="33"/>
        <v>-509194.80229999998</v>
      </c>
      <c r="Q95" s="10">
        <f t="shared" si="33"/>
        <v>-539194.80229999998</v>
      </c>
      <c r="R95" s="10">
        <f t="shared" si="33"/>
        <v>-532654.80229999998</v>
      </c>
      <c r="S95" s="10">
        <f t="shared" si="33"/>
        <v>-509194.80229999998</v>
      </c>
      <c r="T95" s="10">
        <f t="shared" si="33"/>
        <v>-539194.80229999998</v>
      </c>
      <c r="U95" s="10">
        <f t="shared" si="33"/>
        <v>-509194.80229999998</v>
      </c>
      <c r="V95" s="10">
        <f t="shared" si="33"/>
        <v>-509194.80229999998</v>
      </c>
      <c r="W95" s="10">
        <f t="shared" si="33"/>
        <v>-530614.80229999998</v>
      </c>
      <c r="X95" s="10">
        <f t="shared" si="33"/>
        <v>-539194.80229999998</v>
      </c>
      <c r="Y95" s="10">
        <f t="shared" si="33"/>
        <v>-509194.80229999998</v>
      </c>
      <c r="Z95" s="10">
        <f t="shared" si="33"/>
        <v>-509194.80229999998</v>
      </c>
      <c r="AA95" s="10">
        <f t="shared" si="33"/>
        <v>-544233.8783460001</v>
      </c>
      <c r="AB95" s="10">
        <f t="shared" si="33"/>
        <v>-514233.8783460001</v>
      </c>
      <c r="AC95" s="10">
        <f t="shared" si="33"/>
        <v>-1858259.4183459999</v>
      </c>
      <c r="AD95" s="10">
        <f t="shared" si="33"/>
        <v>-574163.07834600005</v>
      </c>
      <c r="AE95" s="10">
        <f t="shared" si="33"/>
        <v>-514233.8783460001</v>
      </c>
      <c r="AF95" s="10">
        <f t="shared" si="33"/>
        <v>-514233.8783460001</v>
      </c>
      <c r="AG95" s="10">
        <f t="shared" si="33"/>
        <v>-550233.8783460001</v>
      </c>
      <c r="AH95" s="10">
        <f t="shared" si="33"/>
        <v>-514233.8783460001</v>
      </c>
      <c r="AI95" s="10">
        <f t="shared" ref="AI95:BN95" si="34">AI93+AI94</f>
        <v>-572082.27834600012</v>
      </c>
      <c r="AJ95" s="10">
        <f t="shared" si="34"/>
        <v>-514233.8783460001</v>
      </c>
      <c r="AK95" s="10">
        <f t="shared" si="34"/>
        <v>-544233.8783460001</v>
      </c>
      <c r="AL95" s="10">
        <f t="shared" si="34"/>
        <v>-514233.8783460001</v>
      </c>
      <c r="AM95" s="10">
        <f t="shared" si="34"/>
        <v>-531373.73591291998</v>
      </c>
      <c r="AN95" s="10">
        <f t="shared" si="34"/>
        <v>-519373.73591291998</v>
      </c>
      <c r="AO95" s="10">
        <f t="shared" si="34"/>
        <v>-519373.73591291998</v>
      </c>
      <c r="AP95" s="10">
        <f t="shared" si="34"/>
        <v>-543781.51991291996</v>
      </c>
      <c r="AQ95" s="10">
        <f t="shared" si="34"/>
        <v>-549373.73591291998</v>
      </c>
      <c r="AR95" s="10">
        <f t="shared" si="34"/>
        <v>-601056.73591291998</v>
      </c>
      <c r="AS95" s="10">
        <f t="shared" si="34"/>
        <v>-555373.73591291998</v>
      </c>
      <c r="AT95" s="10">
        <f t="shared" si="34"/>
        <v>-519373.73591291998</v>
      </c>
      <c r="AU95" s="10">
        <f t="shared" si="34"/>
        <v>-653341.10391291999</v>
      </c>
      <c r="AV95" s="10">
        <f t="shared" si="34"/>
        <v>-519373.73591291998</v>
      </c>
      <c r="AW95" s="10">
        <f t="shared" si="34"/>
        <v>-549373.73591291998</v>
      </c>
      <c r="AX95" s="10">
        <f t="shared" si="34"/>
        <v>-601055.73591291998</v>
      </c>
      <c r="AY95" s="10">
        <f t="shared" si="34"/>
        <v>-548616.39063117839</v>
      </c>
      <c r="AZ95" s="10">
        <f t="shared" si="34"/>
        <v>-524616.39063117839</v>
      </c>
      <c r="BA95" s="10">
        <f t="shared" si="34"/>
        <v>-1458137.3906311784</v>
      </c>
      <c r="BB95" s="10">
        <f t="shared" si="34"/>
        <v>-549512.33031117846</v>
      </c>
      <c r="BC95" s="10">
        <f t="shared" si="34"/>
        <v>-560616.39063117839</v>
      </c>
      <c r="BD95" s="10">
        <f t="shared" si="34"/>
        <v>-655494.39063117839</v>
      </c>
      <c r="BE95" s="10">
        <f t="shared" si="34"/>
        <v>-554616.39063117839</v>
      </c>
      <c r="BF95" s="10">
        <f t="shared" si="34"/>
        <v>-524616.39063117839</v>
      </c>
      <c r="BG95" s="10">
        <f t="shared" si="34"/>
        <v>-708223.46599117853</v>
      </c>
      <c r="BH95" s="10">
        <f t="shared" si="34"/>
        <v>-524616.39063117839</v>
      </c>
      <c r="BI95" s="10">
        <f t="shared" si="34"/>
        <v>-560616.39063117839</v>
      </c>
      <c r="BJ95" s="10">
        <f t="shared" si="34"/>
        <v>-655492.39063117839</v>
      </c>
      <c r="BK95" s="10">
        <f t="shared" si="34"/>
        <v>-547963.89844380203</v>
      </c>
      <c r="BL95" s="10">
        <f t="shared" si="34"/>
        <v>-529963.89844380203</v>
      </c>
      <c r="BM95" s="10">
        <f t="shared" si="34"/>
        <v>-660839.89844380203</v>
      </c>
      <c r="BN95" s="10">
        <f t="shared" si="34"/>
        <v>-555357.75691740215</v>
      </c>
      <c r="BO95" s="10">
        <f t="shared" ref="BO95:CT95" si="35">BO93+BO94</f>
        <v>-565963.89844380203</v>
      </c>
      <c r="BP95" s="10">
        <f t="shared" si="35"/>
        <v>-620856.37844380201</v>
      </c>
      <c r="BQ95" s="10">
        <f t="shared" si="35"/>
        <v>-559963.89844380203</v>
      </c>
      <c r="BR95" s="10">
        <f t="shared" si="35"/>
        <v>-529963.89844380203</v>
      </c>
      <c r="BS95" s="10">
        <f t="shared" si="35"/>
        <v>-657789.59531100211</v>
      </c>
      <c r="BT95" s="10">
        <f t="shared" si="35"/>
        <v>-529963.89844380203</v>
      </c>
      <c r="BU95" s="10">
        <f t="shared" si="35"/>
        <v>-565963.89844380203</v>
      </c>
      <c r="BV95" s="10">
        <f t="shared" si="35"/>
        <v>-604603.89844380203</v>
      </c>
      <c r="BW95" s="10">
        <f t="shared" si="35"/>
        <v>-553418.35641267803</v>
      </c>
      <c r="BX95" s="10">
        <f t="shared" si="35"/>
        <v>-535418.35641267803</v>
      </c>
      <c r="BY95" s="10">
        <f t="shared" si="35"/>
        <v>-683214.35641267803</v>
      </c>
      <c r="BZ95" s="10">
        <f t="shared" si="35"/>
        <v>-561320.09205575008</v>
      </c>
      <c r="CA95" s="10">
        <f t="shared" si="35"/>
        <v>-535418.35641267803</v>
      </c>
      <c r="CB95" s="10">
        <f t="shared" si="35"/>
        <v>-689936.35641267803</v>
      </c>
      <c r="CC95" s="10">
        <f t="shared" si="35"/>
        <v>-535418.35641267803</v>
      </c>
      <c r="CD95" s="10">
        <f t="shared" si="35"/>
        <v>-535418.35641267803</v>
      </c>
      <c r="CE95" s="10">
        <f t="shared" si="35"/>
        <v>-713584.76721722214</v>
      </c>
      <c r="CF95" s="10">
        <f t="shared" si="35"/>
        <v>-535418.35641267803</v>
      </c>
      <c r="CG95" s="10">
        <f t="shared" si="35"/>
        <v>-535418.35641267803</v>
      </c>
      <c r="CH95" s="10">
        <f t="shared" si="35"/>
        <v>-683327.32980619883</v>
      </c>
      <c r="CI95" s="23"/>
    </row>
    <row r="96" spans="1:87" ht="15" customHeight="1" x14ac:dyDescent="0.25">
      <c r="A96" s="13" t="s">
        <v>88</v>
      </c>
      <c r="B96" s="29"/>
      <c r="C96" s="14">
        <f t="shared" ref="C96:AH96" si="36">C92+C95</f>
        <v>11987.205345368944</v>
      </c>
      <c r="D96" s="14">
        <f t="shared" si="36"/>
        <v>-20527.709718452359</v>
      </c>
      <c r="E96" s="14">
        <f t="shared" si="36"/>
        <v>-48197.635697113874</v>
      </c>
      <c r="F96" s="14">
        <f t="shared" si="36"/>
        <v>388802.42426304368</v>
      </c>
      <c r="G96" s="14">
        <f t="shared" si="36"/>
        <v>93889.089982086443</v>
      </c>
      <c r="H96" s="14">
        <f t="shared" si="36"/>
        <v>98703.688385564834</v>
      </c>
      <c r="I96" s="14">
        <f t="shared" si="36"/>
        <v>430488.87704430288</v>
      </c>
      <c r="J96" s="14">
        <f t="shared" si="36"/>
        <v>469463.7584959619</v>
      </c>
      <c r="K96" s="14">
        <f t="shared" si="36"/>
        <v>226635.64700954047</v>
      </c>
      <c r="L96" s="14">
        <f t="shared" si="36"/>
        <v>256723.1061674183</v>
      </c>
      <c r="M96" s="14">
        <f t="shared" si="36"/>
        <v>263223.01760448224</v>
      </c>
      <c r="N96" s="14">
        <f t="shared" si="36"/>
        <v>236974.28760494443</v>
      </c>
      <c r="O96" s="14">
        <f t="shared" si="36"/>
        <v>-402515.61696966295</v>
      </c>
      <c r="P96" s="14">
        <f t="shared" si="36"/>
        <v>392408.7729064239</v>
      </c>
      <c r="Q96" s="14">
        <f t="shared" si="36"/>
        <v>505189.2260706895</v>
      </c>
      <c r="R96" s="14">
        <f t="shared" si="36"/>
        <v>311381.72856152907</v>
      </c>
      <c r="S96" s="14">
        <f t="shared" si="36"/>
        <v>147971.68819596444</v>
      </c>
      <c r="T96" s="14">
        <f t="shared" si="36"/>
        <v>117800.45237970073</v>
      </c>
      <c r="U96" s="14">
        <f t="shared" si="36"/>
        <v>165300.60176993127</v>
      </c>
      <c r="V96" s="14">
        <f t="shared" si="36"/>
        <v>118408.35401027056</v>
      </c>
      <c r="W96" s="14">
        <f t="shared" si="36"/>
        <v>143340.77856320061</v>
      </c>
      <c r="X96" s="14">
        <f t="shared" si="36"/>
        <v>63645.445686127641</v>
      </c>
      <c r="Y96" s="14">
        <f t="shared" si="36"/>
        <v>77980.687687683618</v>
      </c>
      <c r="Z96" s="14">
        <f t="shared" si="36"/>
        <v>118541.57374444825</v>
      </c>
      <c r="AA96" s="14">
        <f t="shared" si="36"/>
        <v>86264.03192495869</v>
      </c>
      <c r="AB96" s="14">
        <f t="shared" si="36"/>
        <v>-35781.08192699583</v>
      </c>
      <c r="AC96" s="14">
        <f t="shared" si="36"/>
        <v>-620516.71928097191</v>
      </c>
      <c r="AD96" s="14">
        <f t="shared" si="36"/>
        <v>-51926.443066424108</v>
      </c>
      <c r="AE96" s="14">
        <f t="shared" si="36"/>
        <v>10115.80824591266</v>
      </c>
      <c r="AF96" s="14">
        <f t="shared" si="36"/>
        <v>11412.771576833213</v>
      </c>
      <c r="AG96" s="14">
        <f t="shared" si="36"/>
        <v>167753.98662231932</v>
      </c>
      <c r="AH96" s="14">
        <f t="shared" si="36"/>
        <v>33223.362636370235</v>
      </c>
      <c r="AI96" s="14">
        <f t="shared" ref="AI96:BN96" si="37">AI92+AI95</f>
        <v>224119.95845046442</v>
      </c>
      <c r="AJ96" s="14">
        <f t="shared" si="37"/>
        <v>-46438.048690490192</v>
      </c>
      <c r="AK96" s="14">
        <f t="shared" si="37"/>
        <v>-6005.0075208967319</v>
      </c>
      <c r="AL96" s="14">
        <f t="shared" si="37"/>
        <v>120648.6332948053</v>
      </c>
      <c r="AM96" s="14">
        <f t="shared" si="37"/>
        <v>-23629.839351627335</v>
      </c>
      <c r="AN96" s="14">
        <f t="shared" si="37"/>
        <v>-5944.1957125169574</v>
      </c>
      <c r="AO96" s="14">
        <f t="shared" si="37"/>
        <v>64808.866313012317</v>
      </c>
      <c r="AP96" s="14">
        <f t="shared" si="37"/>
        <v>45953.799521664972</v>
      </c>
      <c r="AQ96" s="14">
        <f t="shared" si="37"/>
        <v>43530.114266435965</v>
      </c>
      <c r="AR96" s="14">
        <f t="shared" si="37"/>
        <v>331178.36050334352</v>
      </c>
      <c r="AS96" s="14">
        <f t="shared" si="37"/>
        <v>-6093.7005171040073</v>
      </c>
      <c r="AT96" s="14">
        <f t="shared" si="37"/>
        <v>33872.834692636272</v>
      </c>
      <c r="AU96" s="14">
        <f t="shared" si="37"/>
        <v>-17452.25009602611</v>
      </c>
      <c r="AV96" s="14">
        <f t="shared" si="37"/>
        <v>32759.444215090829</v>
      </c>
      <c r="AW96" s="14">
        <f t="shared" si="37"/>
        <v>64813.740622032317</v>
      </c>
      <c r="AX96" s="14">
        <f t="shared" si="37"/>
        <v>91258.610023597255</v>
      </c>
      <c r="AY96" s="14">
        <f t="shared" si="37"/>
        <v>158448.65279039729</v>
      </c>
      <c r="AZ96" s="14">
        <f t="shared" si="37"/>
        <v>-3724.8711090183351</v>
      </c>
      <c r="BA96" s="14">
        <f t="shared" si="37"/>
        <v>57310.846835611621</v>
      </c>
      <c r="BB96" s="14">
        <f t="shared" si="37"/>
        <v>28114.335159741342</v>
      </c>
      <c r="BC96" s="14">
        <f t="shared" si="37"/>
        <v>95919.176516455598</v>
      </c>
      <c r="BD96" s="14">
        <f t="shared" si="37"/>
        <v>-24761.858279375476</v>
      </c>
      <c r="BE96" s="14">
        <f t="shared" si="37"/>
        <v>19115.038776098518</v>
      </c>
      <c r="BF96" s="14">
        <f t="shared" si="37"/>
        <v>280484.2325293388</v>
      </c>
      <c r="BG96" s="14">
        <f t="shared" si="37"/>
        <v>-38683.318263905821</v>
      </c>
      <c r="BH96" s="14">
        <f t="shared" si="37"/>
        <v>-137112.11790390569</v>
      </c>
      <c r="BI96" s="14">
        <f t="shared" si="37"/>
        <v>-107179.51563117851</v>
      </c>
      <c r="BJ96" s="14">
        <f t="shared" si="37"/>
        <v>-70328.263196113519</v>
      </c>
      <c r="BK96" s="14">
        <f t="shared" si="37"/>
        <v>7572.7606471070321</v>
      </c>
      <c r="BL96" s="14">
        <f t="shared" si="37"/>
        <v>-155492.19065159431</v>
      </c>
      <c r="BM96" s="14">
        <f t="shared" si="37"/>
        <v>-89177.614352893084</v>
      </c>
      <c r="BN96" s="14">
        <f t="shared" si="37"/>
        <v>-113537.70009922038</v>
      </c>
      <c r="BO96" s="14">
        <f t="shared" ref="BO96:CT96" si="38">BO92+BO95</f>
        <v>-39950.341625620262</v>
      </c>
      <c r="BP96" s="14">
        <f t="shared" si="38"/>
        <v>-103978.67065159429</v>
      </c>
      <c r="BQ96" s="14">
        <f t="shared" si="38"/>
        <v>-106699.96662562026</v>
      </c>
      <c r="BR96" s="14">
        <f t="shared" si="38"/>
        <v>-75675.771008737152</v>
      </c>
      <c r="BS96" s="14">
        <f t="shared" si="38"/>
        <v>90380.476929257507</v>
      </c>
      <c r="BT96" s="14">
        <f t="shared" si="38"/>
        <v>-71022.405748996884</v>
      </c>
      <c r="BU96" s="14">
        <f t="shared" si="38"/>
        <v>-36425.473119126749</v>
      </c>
      <c r="BV96" s="14">
        <f t="shared" si="38"/>
        <v>72997.154315938242</v>
      </c>
      <c r="BW96" s="14">
        <f t="shared" si="38"/>
        <v>87752.547808101168</v>
      </c>
      <c r="BX96" s="14">
        <f t="shared" si="38"/>
        <v>-70937.468425665109</v>
      </c>
      <c r="BY96" s="14">
        <f t="shared" si="38"/>
        <v>66897.08271069848</v>
      </c>
      <c r="BZ96" s="14">
        <f t="shared" si="38"/>
        <v>-22841.009263542364</v>
      </c>
      <c r="CA96" s="14">
        <f t="shared" si="38"/>
        <v>89078.04131459468</v>
      </c>
      <c r="CB96" s="14">
        <f t="shared" si="38"/>
        <v>14658.398457451724</v>
      </c>
      <c r="CC96" s="14">
        <f t="shared" si="38"/>
        <v>-64196.293100989773</v>
      </c>
      <c r="CD96" s="14">
        <f t="shared" si="38"/>
        <v>-70195.866964626126</v>
      </c>
      <c r="CE96" s="14">
        <f t="shared" si="38"/>
        <v>58540.675152907614</v>
      </c>
      <c r="CF96" s="14">
        <f t="shared" si="38"/>
        <v>-154998.01388021052</v>
      </c>
      <c r="CG96" s="14">
        <f t="shared" si="38"/>
        <v>-166212.2549516391</v>
      </c>
      <c r="CH96" s="14">
        <f t="shared" si="38"/>
        <v>-96560.513247757335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190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191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192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193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194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191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500000</v>
      </c>
      <c r="AM106" s="8">
        <f t="shared" si="46"/>
        <v>500000</v>
      </c>
      <c r="AN106" s="8">
        <f t="shared" si="46"/>
        <v>500000</v>
      </c>
      <c r="AO106" s="8">
        <f t="shared" si="46"/>
        <v>500000</v>
      </c>
      <c r="AP106" s="8">
        <f t="shared" si="46"/>
        <v>500000</v>
      </c>
      <c r="AQ106" s="8">
        <f t="shared" si="46"/>
        <v>500000</v>
      </c>
      <c r="AR106" s="8">
        <f t="shared" si="46"/>
        <v>500000</v>
      </c>
      <c r="AS106" s="8">
        <f t="shared" si="46"/>
        <v>500000</v>
      </c>
      <c r="AT106" s="8">
        <f t="shared" si="46"/>
        <v>500000</v>
      </c>
      <c r="AU106" s="8">
        <f t="shared" si="46"/>
        <v>500000</v>
      </c>
      <c r="AV106" s="8">
        <f t="shared" si="46"/>
        <v>500000</v>
      </c>
      <c r="AW106" s="8">
        <f t="shared" si="46"/>
        <v>500000</v>
      </c>
      <c r="AX106" s="8">
        <f t="shared" si="46"/>
        <v>500000</v>
      </c>
      <c r="AY106" s="8">
        <f t="shared" si="46"/>
        <v>500000</v>
      </c>
      <c r="AZ106" s="8">
        <f t="shared" si="46"/>
        <v>500000</v>
      </c>
      <c r="BA106" s="8">
        <f t="shared" si="46"/>
        <v>500000</v>
      </c>
      <c r="BB106" s="8">
        <f t="shared" si="46"/>
        <v>500000</v>
      </c>
      <c r="BC106" s="8">
        <f t="shared" si="46"/>
        <v>500000</v>
      </c>
      <c r="BD106" s="8">
        <f t="shared" si="46"/>
        <v>500000</v>
      </c>
      <c r="BE106" s="8">
        <f t="shared" si="46"/>
        <v>500000</v>
      </c>
      <c r="BF106" s="8">
        <f t="shared" si="46"/>
        <v>500000</v>
      </c>
      <c r="BG106" s="8">
        <f t="shared" si="46"/>
        <v>500000</v>
      </c>
      <c r="BH106" s="8">
        <f t="shared" si="46"/>
        <v>500000</v>
      </c>
      <c r="BI106" s="8">
        <f t="shared" si="46"/>
        <v>500000</v>
      </c>
      <c r="BJ106" s="8">
        <f t="shared" si="46"/>
        <v>500000</v>
      </c>
      <c r="BK106" s="8">
        <f t="shared" si="46"/>
        <v>500000</v>
      </c>
      <c r="BL106" s="8">
        <f t="shared" si="46"/>
        <v>500000</v>
      </c>
      <c r="BM106" s="8">
        <f t="shared" si="46"/>
        <v>500000</v>
      </c>
      <c r="BN106" s="8">
        <f t="shared" si="46"/>
        <v>500000</v>
      </c>
      <c r="BO106" s="8">
        <f t="shared" si="46"/>
        <v>500000</v>
      </c>
      <c r="BP106" s="8">
        <f t="shared" ref="BP106:CH106" si="47">BO108</f>
        <v>500000</v>
      </c>
      <c r="BQ106" s="8">
        <f t="shared" si="47"/>
        <v>500000</v>
      </c>
      <c r="BR106" s="8">
        <f t="shared" si="47"/>
        <v>500000</v>
      </c>
      <c r="BS106" s="8">
        <f t="shared" si="47"/>
        <v>500000</v>
      </c>
      <c r="BT106" s="8">
        <f t="shared" si="47"/>
        <v>500000</v>
      </c>
      <c r="BU106" s="8">
        <f t="shared" si="47"/>
        <v>500000</v>
      </c>
      <c r="BV106" s="8">
        <f t="shared" si="47"/>
        <v>500000</v>
      </c>
      <c r="BW106" s="8">
        <f t="shared" si="47"/>
        <v>500000</v>
      </c>
      <c r="BX106" s="8">
        <f t="shared" si="47"/>
        <v>500000</v>
      </c>
      <c r="BY106" s="8">
        <f t="shared" si="47"/>
        <v>500000</v>
      </c>
      <c r="BZ106" s="8">
        <f t="shared" si="47"/>
        <v>500000</v>
      </c>
      <c r="CA106" s="8">
        <f t="shared" si="47"/>
        <v>500000</v>
      </c>
      <c r="CB106" s="8">
        <f t="shared" si="47"/>
        <v>500000</v>
      </c>
      <c r="CC106" s="8">
        <f t="shared" si="47"/>
        <v>500000</v>
      </c>
      <c r="CD106" s="8">
        <f t="shared" si="47"/>
        <v>500000</v>
      </c>
      <c r="CE106" s="8">
        <f t="shared" si="47"/>
        <v>500000</v>
      </c>
      <c r="CF106" s="8">
        <f t="shared" si="47"/>
        <v>500000</v>
      </c>
      <c r="CG106" s="8">
        <f t="shared" si="47"/>
        <v>500000</v>
      </c>
      <c r="CH106" s="8">
        <f t="shared" si="47"/>
        <v>500000</v>
      </c>
      <c r="CI106" s="23"/>
    </row>
    <row r="107" spans="1:87" ht="15" customHeight="1" x14ac:dyDescent="0.25">
      <c r="A107" s="7" t="s">
        <v>196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194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500000</v>
      </c>
      <c r="AL108" s="32">
        <f t="shared" si="49"/>
        <v>500000</v>
      </c>
      <c r="AM108" s="32">
        <f t="shared" si="49"/>
        <v>500000</v>
      </c>
      <c r="AN108" s="32">
        <f t="shared" si="49"/>
        <v>500000</v>
      </c>
      <c r="AO108" s="32">
        <f t="shared" si="49"/>
        <v>500000</v>
      </c>
      <c r="AP108" s="32">
        <f t="shared" si="49"/>
        <v>500000</v>
      </c>
      <c r="AQ108" s="32">
        <f t="shared" si="49"/>
        <v>500000</v>
      </c>
      <c r="AR108" s="32">
        <f t="shared" si="49"/>
        <v>500000</v>
      </c>
      <c r="AS108" s="32">
        <f t="shared" si="49"/>
        <v>500000</v>
      </c>
      <c r="AT108" s="32">
        <f t="shared" si="49"/>
        <v>500000</v>
      </c>
      <c r="AU108" s="32">
        <f t="shared" si="49"/>
        <v>500000</v>
      </c>
      <c r="AV108" s="32">
        <f t="shared" si="49"/>
        <v>500000</v>
      </c>
      <c r="AW108" s="32">
        <f t="shared" si="49"/>
        <v>500000</v>
      </c>
      <c r="AX108" s="32">
        <f t="shared" si="49"/>
        <v>500000</v>
      </c>
      <c r="AY108" s="32">
        <f t="shared" si="49"/>
        <v>500000</v>
      </c>
      <c r="AZ108" s="32">
        <f t="shared" si="49"/>
        <v>500000</v>
      </c>
      <c r="BA108" s="32">
        <f t="shared" si="49"/>
        <v>500000</v>
      </c>
      <c r="BB108" s="32">
        <f t="shared" si="49"/>
        <v>500000</v>
      </c>
      <c r="BC108" s="32">
        <f t="shared" si="49"/>
        <v>500000</v>
      </c>
      <c r="BD108" s="32">
        <f t="shared" si="49"/>
        <v>500000</v>
      </c>
      <c r="BE108" s="32">
        <f t="shared" si="49"/>
        <v>500000</v>
      </c>
      <c r="BF108" s="32">
        <f t="shared" si="49"/>
        <v>500000</v>
      </c>
      <c r="BG108" s="32">
        <f t="shared" si="49"/>
        <v>500000</v>
      </c>
      <c r="BH108" s="32">
        <f t="shared" si="49"/>
        <v>500000</v>
      </c>
      <c r="BI108" s="32">
        <f t="shared" si="49"/>
        <v>500000</v>
      </c>
      <c r="BJ108" s="32">
        <f t="shared" si="49"/>
        <v>500000</v>
      </c>
      <c r="BK108" s="32">
        <f t="shared" si="49"/>
        <v>500000</v>
      </c>
      <c r="BL108" s="32">
        <f t="shared" si="49"/>
        <v>500000</v>
      </c>
      <c r="BM108" s="32">
        <f t="shared" si="49"/>
        <v>500000</v>
      </c>
      <c r="BN108" s="32">
        <f t="shared" si="49"/>
        <v>500000</v>
      </c>
      <c r="BO108" s="32">
        <f t="shared" ref="BO108:CT108" si="50">MAX(0,BO106+BO107)</f>
        <v>500000</v>
      </c>
      <c r="BP108" s="32">
        <f t="shared" si="50"/>
        <v>500000</v>
      </c>
      <c r="BQ108" s="32">
        <f t="shared" si="50"/>
        <v>500000</v>
      </c>
      <c r="BR108" s="32">
        <f t="shared" si="50"/>
        <v>500000</v>
      </c>
      <c r="BS108" s="32">
        <f t="shared" si="50"/>
        <v>500000</v>
      </c>
      <c r="BT108" s="32">
        <f t="shared" si="50"/>
        <v>500000</v>
      </c>
      <c r="BU108" s="32">
        <f t="shared" si="50"/>
        <v>500000</v>
      </c>
      <c r="BV108" s="32">
        <f t="shared" si="50"/>
        <v>500000</v>
      </c>
      <c r="BW108" s="32">
        <f t="shared" si="50"/>
        <v>500000</v>
      </c>
      <c r="BX108" s="32">
        <f t="shared" si="50"/>
        <v>500000</v>
      </c>
      <c r="BY108" s="32">
        <f t="shared" si="50"/>
        <v>500000</v>
      </c>
      <c r="BZ108" s="32">
        <f t="shared" si="50"/>
        <v>500000</v>
      </c>
      <c r="CA108" s="32">
        <f t="shared" si="50"/>
        <v>500000</v>
      </c>
      <c r="CB108" s="32">
        <f t="shared" si="50"/>
        <v>500000</v>
      </c>
      <c r="CC108" s="32">
        <f t="shared" si="50"/>
        <v>500000</v>
      </c>
      <c r="CD108" s="32">
        <f t="shared" si="50"/>
        <v>500000</v>
      </c>
      <c r="CE108" s="32">
        <f t="shared" si="50"/>
        <v>500000</v>
      </c>
      <c r="CF108" s="32">
        <f t="shared" si="50"/>
        <v>500000</v>
      </c>
      <c r="CG108" s="32">
        <f t="shared" si="50"/>
        <v>500000</v>
      </c>
      <c r="CH108" s="32">
        <f t="shared" si="50"/>
        <v>500000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197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198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199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200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201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202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203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204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205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206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207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208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209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210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211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212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213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214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215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216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217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218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219</v>
      </c>
      <c r="B133" s="22"/>
      <c r="C133" s="8">
        <f>Helpers!C8</f>
        <v>10946461.542965369</v>
      </c>
      <c r="D133" s="8">
        <f>Helpers!D8</f>
        <v>10133653.21477537</v>
      </c>
      <c r="E133" s="8">
        <f>Helpers!E8</f>
        <v>9246899.8394238371</v>
      </c>
      <c r="F133" s="8">
        <f>Helpers!F8</f>
        <v>8303243.599525284</v>
      </c>
      <c r="G133" s="8">
        <f>Helpers!G8</f>
        <v>7323700.4558519367</v>
      </c>
      <c r="H133" s="8">
        <f>Helpers!H8</f>
        <v>6331894.5878293645</v>
      </c>
      <c r="I133" s="8">
        <f>Helpers!I8</f>
        <v>5352351.4441560172</v>
      </c>
      <c r="J133" s="8">
        <f>Helpers!J8</f>
        <v>4408695.204257464</v>
      </c>
      <c r="K133" s="8">
        <f>Helpers!K8</f>
        <v>3521941.8289059317</v>
      </c>
      <c r="L133" s="8">
        <f>Helpers!L8</f>
        <v>2709133.5007159319</v>
      </c>
      <c r="M133" s="8">
        <f>Helpers!M8</f>
        <v>1982410.0436813007</v>
      </c>
      <c r="N133" s="8">
        <f>Helpers!N8</f>
        <v>1348626.5665139642</v>
      </c>
      <c r="O133" s="8">
        <f>Helpers!O8</f>
        <v>809476.36299933877</v>
      </c>
      <c r="P133" s="8">
        <f>Helpers!P8</f>
        <v>362105.41377329524</v>
      </c>
      <c r="Q133" s="8">
        <f>Helpers!Q8</f>
        <v>-2.5919677515418016E-9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220</v>
      </c>
      <c r="B134" s="22"/>
      <c r="C134" s="8">
        <f>Helpers!C9</f>
        <v>12652545.517624598</v>
      </c>
      <c r="D134" s="8">
        <f>Helpers!D9</f>
        <v>11713055.223965524</v>
      </c>
      <c r="E134" s="8">
        <f>Helpers!E9</f>
        <v>10688095.021026451</v>
      </c>
      <c r="F134" s="8">
        <f>Helpers!F9</f>
        <v>9597363.236929534</v>
      </c>
      <c r="G134" s="8">
        <f>Helpers!G9</f>
        <v>8465151.3195753992</v>
      </c>
      <c r="H134" s="8">
        <f>Helpers!H9</f>
        <v>7318765.4449667064</v>
      </c>
      <c r="I134" s="8">
        <f>Helpers!I9</f>
        <v>6186553.5276125716</v>
      </c>
      <c r="J134" s="8">
        <f>Helpers!J9</f>
        <v>5095821.7435156535</v>
      </c>
      <c r="K134" s="8">
        <f>Helpers!K9</f>
        <v>4070861.5405765832</v>
      </c>
      <c r="L134" s="8">
        <f>Helpers!L9</f>
        <v>3131371.2469175067</v>
      </c>
      <c r="M134" s="8">
        <f>Helpers!M9</f>
        <v>2291382.7645421051</v>
      </c>
      <c r="N134" s="8">
        <f>Helpers!N9</f>
        <v>1558819.6196661771</v>
      </c>
      <c r="O134" s="8">
        <f>Helpers!O9</f>
        <v>935639.01796852541</v>
      </c>
      <c r="P134" s="8">
        <f>Helpers!P9</f>
        <v>418542.12084536091</v>
      </c>
      <c r="Q134" s="8">
        <f>Helpers!Q9</f>
        <v>-2.9959443814675524E-9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111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221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222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115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116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119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223</v>
      </c>
      <c r="B141" s="28"/>
      <c r="C141" s="10">
        <f t="shared" ref="C141:AH141" si="65">SUM(C133:C140)</f>
        <v>23599007.060589969</v>
      </c>
      <c r="D141" s="10">
        <f t="shared" si="65"/>
        <v>21846708.438740894</v>
      </c>
      <c r="E141" s="10">
        <f t="shared" si="65"/>
        <v>19934994.86045029</v>
      </c>
      <c r="F141" s="10">
        <f t="shared" si="65"/>
        <v>59988330.557798818</v>
      </c>
      <c r="G141" s="10">
        <f t="shared" si="65"/>
        <v>56830895.346243337</v>
      </c>
      <c r="H141" s="10">
        <f t="shared" si="65"/>
        <v>53470466.10025207</v>
      </c>
      <c r="I141" s="10">
        <f t="shared" si="65"/>
        <v>78806360.836637586</v>
      </c>
      <c r="J141" s="10">
        <f t="shared" si="65"/>
        <v>95138155.811395124</v>
      </c>
      <c r="K141" s="10">
        <f t="shared" si="65"/>
        <v>89880219.287110507</v>
      </c>
      <c r="L141" s="10">
        <f t="shared" si="65"/>
        <v>84327348.519684434</v>
      </c>
      <c r="M141" s="10">
        <f t="shared" si="65"/>
        <v>78517826.76764141</v>
      </c>
      <c r="N141" s="10">
        <f t="shared" si="65"/>
        <v>72497927.028571129</v>
      </c>
      <c r="O141" s="10">
        <f t="shared" si="65"/>
        <v>110860792.78762487</v>
      </c>
      <c r="P141" s="10">
        <f t="shared" si="65"/>
        <v>103756479.76066665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226</v>
      </c>
      <c r="B146" s="22"/>
      <c r="C146" s="8">
        <f>Assumptions!$B$29</f>
        <v>1651915.69</v>
      </c>
      <c r="D146" s="8">
        <f t="shared" ref="D146:AI146" si="68">C148</f>
        <v>1718602.8986787023</v>
      </c>
      <c r="E146" s="8">
        <f t="shared" si="68"/>
        <v>1752775.1922935834</v>
      </c>
      <c r="F146" s="8">
        <f t="shared" si="68"/>
        <v>1759277.559929803</v>
      </c>
      <c r="G146" s="8">
        <f t="shared" si="68"/>
        <v>2225779.9875261802</v>
      </c>
      <c r="H146" s="8">
        <f t="shared" si="68"/>
        <v>2374369.0808416</v>
      </c>
      <c r="I146" s="8">
        <f t="shared" si="68"/>
        <v>2528606.1025604983</v>
      </c>
      <c r="J146" s="8">
        <f t="shared" si="68"/>
        <v>3014628.3129381347</v>
      </c>
      <c r="K146" s="8">
        <f t="shared" si="68"/>
        <v>3549000.4047674299</v>
      </c>
      <c r="L146" s="8">
        <f t="shared" si="68"/>
        <v>3861544.3851103038</v>
      </c>
      <c r="M146" s="8">
        <f t="shared" si="68"/>
        <v>4183175.8246110557</v>
      </c>
      <c r="N146" s="8">
        <f t="shared" si="68"/>
        <v>4511307.175548871</v>
      </c>
      <c r="O146" s="8">
        <f t="shared" si="68"/>
        <v>4813189.7964871489</v>
      </c>
      <c r="P146" s="8">
        <f t="shared" si="68"/>
        <v>4477548.8045174861</v>
      </c>
      <c r="Q146" s="8">
        <f t="shared" si="68"/>
        <v>4936832.2024239097</v>
      </c>
      <c r="R146" s="8">
        <f t="shared" si="68"/>
        <v>5508896.0534945987</v>
      </c>
      <c r="S146" s="8">
        <f t="shared" si="68"/>
        <v>5934518.6570561277</v>
      </c>
      <c r="T146" s="8">
        <f t="shared" si="68"/>
        <v>6173271.220252092</v>
      </c>
      <c r="U146" s="8">
        <f t="shared" si="68"/>
        <v>6381852.5476317927</v>
      </c>
      <c r="V146" s="8">
        <f t="shared" si="68"/>
        <v>6637934.0244017243</v>
      </c>
      <c r="W146" s="8">
        <f t="shared" si="68"/>
        <v>6847123.2534119952</v>
      </c>
      <c r="X146" s="8">
        <f t="shared" si="68"/>
        <v>7045289.9069751957</v>
      </c>
      <c r="Y146" s="8">
        <f t="shared" si="68"/>
        <v>7199716.2276613237</v>
      </c>
      <c r="Z146" s="8">
        <f t="shared" si="68"/>
        <v>7368477.7903490076</v>
      </c>
      <c r="AA146" s="8">
        <f t="shared" si="68"/>
        <v>7520425.2390934555</v>
      </c>
      <c r="AB146" s="8">
        <f t="shared" si="68"/>
        <v>7699475.7635184145</v>
      </c>
      <c r="AC146" s="8">
        <f t="shared" si="68"/>
        <v>7756481.1740914183</v>
      </c>
      <c r="AD146" s="8">
        <f t="shared" si="68"/>
        <v>7171375.9473104458</v>
      </c>
      <c r="AE146" s="8">
        <f t="shared" si="68"/>
        <v>7236165.196744022</v>
      </c>
      <c r="AF146" s="8">
        <f t="shared" si="68"/>
        <v>7339067.4974899348</v>
      </c>
      <c r="AG146" s="8">
        <f t="shared" si="68"/>
        <v>7443266.7615667684</v>
      </c>
      <c r="AH146" s="8">
        <f t="shared" si="68"/>
        <v>7713307.2406890877</v>
      </c>
      <c r="AI146" s="8">
        <f t="shared" si="68"/>
        <v>7848817.0958254579</v>
      </c>
      <c r="AJ146" s="8">
        <f t="shared" ref="AJ146:BO146" si="69">AI148</f>
        <v>8197071.9467759226</v>
      </c>
      <c r="AK146" s="8">
        <f t="shared" si="69"/>
        <v>8252920.3905854328</v>
      </c>
      <c r="AL146" s="8">
        <f t="shared" si="69"/>
        <v>8349201.8755645361</v>
      </c>
      <c r="AM146" s="8">
        <f t="shared" si="69"/>
        <v>8572137.0013593417</v>
      </c>
      <c r="AN146" s="8">
        <f t="shared" si="69"/>
        <v>8652839.384357715</v>
      </c>
      <c r="AO146" s="8">
        <f t="shared" si="69"/>
        <v>8751227.4109951984</v>
      </c>
      <c r="AP146" s="8">
        <f t="shared" si="69"/>
        <v>8920368.4996582102</v>
      </c>
      <c r="AQ146" s="8">
        <f t="shared" si="69"/>
        <v>9095062.3055298757</v>
      </c>
      <c r="AR146" s="8">
        <f t="shared" si="69"/>
        <v>9242924.6421463117</v>
      </c>
      <c r="AS146" s="8">
        <f t="shared" si="69"/>
        <v>9678435.224999655</v>
      </c>
      <c r="AT146" s="8">
        <f t="shared" si="69"/>
        <v>9776673.7468325514</v>
      </c>
      <c r="AU146" s="8">
        <f t="shared" si="69"/>
        <v>9914878.8038751874</v>
      </c>
      <c r="AV146" s="8">
        <f t="shared" si="69"/>
        <v>10024044.144129161</v>
      </c>
      <c r="AW146" s="8">
        <f t="shared" si="69"/>
        <v>10161135.810694251</v>
      </c>
      <c r="AX146" s="8">
        <f t="shared" si="69"/>
        <v>10330281.773666283</v>
      </c>
      <c r="AY146" s="8">
        <f t="shared" si="69"/>
        <v>10525872.60603988</v>
      </c>
      <c r="AZ146" s="8">
        <f t="shared" si="69"/>
        <v>10790740.125627277</v>
      </c>
      <c r="BA146" s="8">
        <f t="shared" si="69"/>
        <v>10893434.121315259</v>
      </c>
      <c r="BB146" s="8">
        <f t="shared" si="69"/>
        <v>11057163.834947871</v>
      </c>
      <c r="BC146" s="8">
        <f t="shared" si="69"/>
        <v>11216592.976584613</v>
      </c>
      <c r="BD146" s="8">
        <f t="shared" si="69"/>
        <v>11418931.019898068</v>
      </c>
      <c r="BE146" s="8">
        <f t="shared" si="69"/>
        <v>11500588.028415693</v>
      </c>
      <c r="BF146" s="8">
        <f t="shared" si="69"/>
        <v>11626121.933988791</v>
      </c>
      <c r="BG146" s="8">
        <f t="shared" si="69"/>
        <v>12013025.03331513</v>
      </c>
      <c r="BH146" s="8">
        <f t="shared" si="69"/>
        <v>12103491.657208223</v>
      </c>
      <c r="BI146" s="8">
        <f t="shared" si="69"/>
        <v>12072798.406101316</v>
      </c>
      <c r="BJ146" s="8">
        <f t="shared" si="69"/>
        <v>12072037.757267138</v>
      </c>
      <c r="BK146" s="8">
        <f t="shared" si="69"/>
        <v>12108128.360868024</v>
      </c>
      <c r="BL146" s="8">
        <f t="shared" si="69"/>
        <v>12224248.36564807</v>
      </c>
      <c r="BM146" s="8">
        <f t="shared" si="69"/>
        <v>12177303.419129416</v>
      </c>
      <c r="BN146" s="8">
        <f t="shared" si="69"/>
        <v>12196673.048909463</v>
      </c>
      <c r="BO146" s="8">
        <f t="shared" si="69"/>
        <v>12217076.451416783</v>
      </c>
      <c r="BP146" s="8">
        <f t="shared" ref="BP146:CH146" si="70">BO148</f>
        <v>12285673.353924103</v>
      </c>
      <c r="BQ146" s="8">
        <f t="shared" si="70"/>
        <v>12238728.407405449</v>
      </c>
      <c r="BR146" s="8">
        <f t="shared" si="70"/>
        <v>12240575.684912769</v>
      </c>
      <c r="BS146" s="8">
        <f t="shared" si="70"/>
        <v>12273447.158036971</v>
      </c>
      <c r="BT146" s="8">
        <f t="shared" si="70"/>
        <v>12427798.575966369</v>
      </c>
      <c r="BU146" s="8">
        <f t="shared" si="70"/>
        <v>12465323.414350312</v>
      </c>
      <c r="BV146" s="8">
        <f t="shared" si="70"/>
        <v>12537445.185364125</v>
      </c>
      <c r="BW146" s="8">
        <f t="shared" si="70"/>
        <v>12651227.583813004</v>
      </c>
      <c r="BX146" s="8">
        <f t="shared" si="70"/>
        <v>12849698.320636705</v>
      </c>
      <c r="BY146" s="8">
        <f t="shared" si="70"/>
        <v>12889479.041226638</v>
      </c>
      <c r="BZ146" s="8">
        <f t="shared" si="70"/>
        <v>12999332.312952936</v>
      </c>
      <c r="CA146" s="8">
        <f t="shared" si="70"/>
        <v>13113111.228348063</v>
      </c>
      <c r="CB146" s="8">
        <f t="shared" si="70"/>
        <v>13312907.458678257</v>
      </c>
      <c r="CC146" s="8">
        <f t="shared" si="70"/>
        <v>13361785.046151306</v>
      </c>
      <c r="CD146" s="8">
        <f t="shared" si="70"/>
        <v>13408306.942065915</v>
      </c>
      <c r="CE146" s="8">
        <f t="shared" si="70"/>
        <v>13448829.264116887</v>
      </c>
      <c r="CF146" s="8">
        <f t="shared" si="70"/>
        <v>13565238.539089937</v>
      </c>
      <c r="CG146" s="8">
        <f t="shared" si="70"/>
        <v>13520958.714225326</v>
      </c>
      <c r="CH146" s="8">
        <f t="shared" si="70"/>
        <v>13465464.648289286</v>
      </c>
      <c r="CI146" s="23"/>
      <c r="CJ146" s="54"/>
      <c r="CK146" s="54"/>
    </row>
    <row r="147" spans="1:89" ht="15" customHeight="1" x14ac:dyDescent="0.25">
      <c r="A147" s="7" t="s">
        <v>227</v>
      </c>
      <c r="B147" s="22"/>
      <c r="C147" s="8">
        <f t="shared" ref="C147:AH147" si="71">C41</f>
        <v>66687.2086787023</v>
      </c>
      <c r="D147" s="8">
        <f t="shared" si="71"/>
        <v>34172.293614880997</v>
      </c>
      <c r="E147" s="8">
        <f t="shared" si="71"/>
        <v>6502.3676362194819</v>
      </c>
      <c r="F147" s="8">
        <f t="shared" si="71"/>
        <v>466502.42759637698</v>
      </c>
      <c r="G147" s="8">
        <f t="shared" si="71"/>
        <v>148589.09331541986</v>
      </c>
      <c r="H147" s="8">
        <f t="shared" si="71"/>
        <v>154237.02171889821</v>
      </c>
      <c r="I147" s="8">
        <f t="shared" si="71"/>
        <v>486022.21037763625</v>
      </c>
      <c r="J147" s="8">
        <f t="shared" si="71"/>
        <v>534372.09182929527</v>
      </c>
      <c r="K147" s="8">
        <f t="shared" si="71"/>
        <v>312543.98034287384</v>
      </c>
      <c r="L147" s="8">
        <f t="shared" si="71"/>
        <v>321631.43950075167</v>
      </c>
      <c r="M147" s="8">
        <f t="shared" si="71"/>
        <v>328131.35093781562</v>
      </c>
      <c r="N147" s="8">
        <f t="shared" si="71"/>
        <v>301882.6209382778</v>
      </c>
      <c r="O147" s="8">
        <f t="shared" si="71"/>
        <v>-335640.99196966295</v>
      </c>
      <c r="P147" s="8">
        <f t="shared" si="71"/>
        <v>459283.3979064239</v>
      </c>
      <c r="Q147" s="8">
        <f t="shared" si="71"/>
        <v>572063.8510706895</v>
      </c>
      <c r="R147" s="8">
        <f t="shared" si="71"/>
        <v>425622.60356152907</v>
      </c>
      <c r="S147" s="8">
        <f t="shared" si="71"/>
        <v>238752.56319596444</v>
      </c>
      <c r="T147" s="8">
        <f t="shared" si="71"/>
        <v>208581.32737970073</v>
      </c>
      <c r="U147" s="8">
        <f t="shared" si="71"/>
        <v>256081.47676993127</v>
      </c>
      <c r="V147" s="8">
        <f t="shared" si="71"/>
        <v>209189.22901027056</v>
      </c>
      <c r="W147" s="8">
        <f t="shared" si="71"/>
        <v>198166.65356320061</v>
      </c>
      <c r="X147" s="8">
        <f t="shared" si="71"/>
        <v>154426.32068612764</v>
      </c>
      <c r="Y147" s="8">
        <f t="shared" si="71"/>
        <v>168761.56268768362</v>
      </c>
      <c r="Z147" s="8">
        <f t="shared" si="71"/>
        <v>151947.44874444825</v>
      </c>
      <c r="AA147" s="8">
        <f t="shared" si="71"/>
        <v>179050.52442495874</v>
      </c>
      <c r="AB147" s="8">
        <f t="shared" si="71"/>
        <v>57005.410573004221</v>
      </c>
      <c r="AC147" s="8">
        <f t="shared" si="71"/>
        <v>-585105.22678097198</v>
      </c>
      <c r="AD147" s="8">
        <f t="shared" si="71"/>
        <v>64789.249433575897</v>
      </c>
      <c r="AE147" s="8">
        <f t="shared" si="71"/>
        <v>102902.30074591277</v>
      </c>
      <c r="AF147" s="8">
        <f t="shared" si="71"/>
        <v>104199.26407683321</v>
      </c>
      <c r="AG147" s="8">
        <f t="shared" si="71"/>
        <v>270040.47912231938</v>
      </c>
      <c r="AH147" s="8">
        <f t="shared" si="71"/>
        <v>135509.85513637029</v>
      </c>
      <c r="AI147" s="8">
        <f t="shared" ref="AI147:BN147" si="72">AI41</f>
        <v>348254.85095046449</v>
      </c>
      <c r="AJ147" s="8">
        <f t="shared" si="72"/>
        <v>55848.443809509859</v>
      </c>
      <c r="AK147" s="8">
        <f t="shared" si="72"/>
        <v>96281.484979103319</v>
      </c>
      <c r="AL147" s="8">
        <f t="shared" si="72"/>
        <v>222935.12579480535</v>
      </c>
      <c r="AM147" s="8">
        <f t="shared" si="72"/>
        <v>80702.382998372661</v>
      </c>
      <c r="AN147" s="8">
        <f t="shared" si="72"/>
        <v>98388.026637483039</v>
      </c>
      <c r="AO147" s="8">
        <f t="shared" si="72"/>
        <v>169141.08866301231</v>
      </c>
      <c r="AP147" s="8">
        <f t="shared" si="72"/>
        <v>174693.80587166495</v>
      </c>
      <c r="AQ147" s="8">
        <f t="shared" si="72"/>
        <v>147862.33661643596</v>
      </c>
      <c r="AR147" s="8">
        <f t="shared" si="72"/>
        <v>435510.58285334351</v>
      </c>
      <c r="AS147" s="8">
        <f t="shared" si="72"/>
        <v>98238.521832895989</v>
      </c>
      <c r="AT147" s="8">
        <f t="shared" si="72"/>
        <v>138205.05704263627</v>
      </c>
      <c r="AU147" s="8">
        <f t="shared" si="72"/>
        <v>109165.3402539739</v>
      </c>
      <c r="AV147" s="8">
        <f t="shared" si="72"/>
        <v>137091.66656509083</v>
      </c>
      <c r="AW147" s="8">
        <f t="shared" si="72"/>
        <v>169145.96297203231</v>
      </c>
      <c r="AX147" s="8">
        <f t="shared" si="72"/>
        <v>195590.83237359725</v>
      </c>
      <c r="AY147" s="8">
        <f t="shared" si="72"/>
        <v>264867.51958739723</v>
      </c>
      <c r="AZ147" s="8">
        <f t="shared" si="72"/>
        <v>102693.9956879816</v>
      </c>
      <c r="BA147" s="8">
        <f t="shared" si="72"/>
        <v>163729.71363261156</v>
      </c>
      <c r="BB147" s="8">
        <f t="shared" si="72"/>
        <v>159429.14163674135</v>
      </c>
      <c r="BC147" s="8">
        <f t="shared" si="72"/>
        <v>202338.04331345554</v>
      </c>
      <c r="BD147" s="8">
        <f t="shared" si="72"/>
        <v>81657.008517624461</v>
      </c>
      <c r="BE147" s="8">
        <f t="shared" si="72"/>
        <v>125533.90557309845</v>
      </c>
      <c r="BF147" s="8">
        <f t="shared" si="72"/>
        <v>386903.09932633874</v>
      </c>
      <c r="BG147" s="8">
        <f t="shared" si="72"/>
        <v>90466.623893094249</v>
      </c>
      <c r="BH147" s="8">
        <f t="shared" si="72"/>
        <v>-30693.251106905751</v>
      </c>
      <c r="BI147" s="8">
        <f t="shared" si="72"/>
        <v>-760.64883417857345</v>
      </c>
      <c r="BJ147" s="8">
        <f t="shared" si="72"/>
        <v>36090.603600886418</v>
      </c>
      <c r="BK147" s="8">
        <f t="shared" si="72"/>
        <v>116120.00478004699</v>
      </c>
      <c r="BL147" s="8">
        <f t="shared" si="72"/>
        <v>-46944.946518654353</v>
      </c>
      <c r="BM147" s="8">
        <f t="shared" si="72"/>
        <v>19369.629780046933</v>
      </c>
      <c r="BN147" s="8">
        <f t="shared" si="72"/>
        <v>20403.402507319697</v>
      </c>
      <c r="BO147" s="8">
        <f t="shared" ref="BO147:CH147" si="73">BO41</f>
        <v>68596.902507319697</v>
      </c>
      <c r="BP147" s="8">
        <f t="shared" si="73"/>
        <v>-46944.946518654353</v>
      </c>
      <c r="BQ147" s="8">
        <f t="shared" si="73"/>
        <v>1847.2775073196972</v>
      </c>
      <c r="BR147" s="8">
        <f t="shared" si="73"/>
        <v>32871.473124202807</v>
      </c>
      <c r="BS147" s="8">
        <f t="shared" si="73"/>
        <v>154351.41792939755</v>
      </c>
      <c r="BT147" s="8">
        <f t="shared" si="73"/>
        <v>37524.838383943075</v>
      </c>
      <c r="BU147" s="8">
        <f t="shared" si="73"/>
        <v>72121.77101381321</v>
      </c>
      <c r="BV147" s="8">
        <f t="shared" si="73"/>
        <v>113782.3984488782</v>
      </c>
      <c r="BW147" s="8">
        <f t="shared" si="73"/>
        <v>198470.73682369996</v>
      </c>
      <c r="BX147" s="8">
        <f t="shared" si="73"/>
        <v>39780.720589933684</v>
      </c>
      <c r="BY147" s="8">
        <f t="shared" si="73"/>
        <v>109853.27172629727</v>
      </c>
      <c r="BZ147" s="8">
        <f t="shared" si="73"/>
        <v>113778.91539512848</v>
      </c>
      <c r="CA147" s="8">
        <f t="shared" si="73"/>
        <v>199796.23033019347</v>
      </c>
      <c r="CB147" s="8">
        <f t="shared" si="73"/>
        <v>48877.587473050575</v>
      </c>
      <c r="CC147" s="8">
        <f t="shared" si="73"/>
        <v>46521.89591460902</v>
      </c>
      <c r="CD147" s="8">
        <f t="shared" si="73"/>
        <v>40522.322050972667</v>
      </c>
      <c r="CE147" s="8">
        <f t="shared" si="73"/>
        <v>116409.27497305052</v>
      </c>
      <c r="CF147" s="8">
        <f t="shared" si="73"/>
        <v>-44279.824864611728</v>
      </c>
      <c r="CG147" s="8">
        <f t="shared" si="73"/>
        <v>-55494.065936040308</v>
      </c>
      <c r="CH147" s="8">
        <f t="shared" si="73"/>
        <v>-68949.350838637736</v>
      </c>
      <c r="CI147" s="23"/>
      <c r="CJ147" s="54"/>
      <c r="CK147" s="54"/>
    </row>
    <row r="148" spans="1:89" ht="15" customHeight="1" x14ac:dyDescent="0.25">
      <c r="A148" s="57" t="s">
        <v>103</v>
      </c>
      <c r="B148" s="58"/>
      <c r="C148" s="59">
        <f t="shared" ref="C148:AH148" si="74">C146+C147</f>
        <v>1718602.8986787023</v>
      </c>
      <c r="D148" s="59">
        <f t="shared" si="74"/>
        <v>1752775.1922935834</v>
      </c>
      <c r="E148" s="59">
        <f t="shared" si="74"/>
        <v>1759277.559929803</v>
      </c>
      <c r="F148" s="59">
        <f t="shared" si="74"/>
        <v>2225779.9875261802</v>
      </c>
      <c r="G148" s="59">
        <f t="shared" si="74"/>
        <v>2374369.0808416</v>
      </c>
      <c r="H148" s="59">
        <f t="shared" si="74"/>
        <v>2528606.1025604983</v>
      </c>
      <c r="I148" s="59">
        <f t="shared" si="74"/>
        <v>3014628.3129381347</v>
      </c>
      <c r="J148" s="59">
        <f t="shared" si="74"/>
        <v>3549000.4047674299</v>
      </c>
      <c r="K148" s="59">
        <f t="shared" si="74"/>
        <v>3861544.3851103038</v>
      </c>
      <c r="L148" s="59">
        <f t="shared" si="74"/>
        <v>4183175.8246110557</v>
      </c>
      <c r="M148" s="59">
        <f t="shared" si="74"/>
        <v>4511307.175548871</v>
      </c>
      <c r="N148" s="59">
        <f t="shared" si="74"/>
        <v>4813189.7964871489</v>
      </c>
      <c r="O148" s="59">
        <f t="shared" si="74"/>
        <v>4477548.8045174861</v>
      </c>
      <c r="P148" s="59">
        <f t="shared" si="74"/>
        <v>4936832.2024239097</v>
      </c>
      <c r="Q148" s="59">
        <f t="shared" si="74"/>
        <v>5508896.0534945987</v>
      </c>
      <c r="R148" s="59">
        <f t="shared" si="74"/>
        <v>5934518.6570561277</v>
      </c>
      <c r="S148" s="59">
        <f t="shared" si="74"/>
        <v>6173271.220252092</v>
      </c>
      <c r="T148" s="59">
        <f t="shared" si="74"/>
        <v>6381852.5476317927</v>
      </c>
      <c r="U148" s="59">
        <f t="shared" si="74"/>
        <v>6637934.0244017243</v>
      </c>
      <c r="V148" s="59">
        <f t="shared" si="74"/>
        <v>6847123.2534119952</v>
      </c>
      <c r="W148" s="59">
        <f t="shared" si="74"/>
        <v>7045289.9069751957</v>
      </c>
      <c r="X148" s="59">
        <f t="shared" si="74"/>
        <v>7199716.2276613237</v>
      </c>
      <c r="Y148" s="59">
        <f t="shared" si="74"/>
        <v>7368477.7903490076</v>
      </c>
      <c r="Z148" s="59">
        <f t="shared" si="74"/>
        <v>7520425.2390934555</v>
      </c>
      <c r="AA148" s="59">
        <f t="shared" si="74"/>
        <v>7699475.7635184145</v>
      </c>
      <c r="AB148" s="59">
        <f t="shared" si="74"/>
        <v>7756481.1740914183</v>
      </c>
      <c r="AC148" s="59">
        <f t="shared" si="74"/>
        <v>7171375.9473104458</v>
      </c>
      <c r="AD148" s="59">
        <f t="shared" si="74"/>
        <v>7236165.196744022</v>
      </c>
      <c r="AE148" s="59">
        <f t="shared" si="74"/>
        <v>7339067.4974899348</v>
      </c>
      <c r="AF148" s="59">
        <f t="shared" si="74"/>
        <v>7443266.7615667684</v>
      </c>
      <c r="AG148" s="59">
        <f t="shared" si="74"/>
        <v>7713307.2406890877</v>
      </c>
      <c r="AH148" s="59">
        <f t="shared" si="74"/>
        <v>7848817.0958254579</v>
      </c>
      <c r="AI148" s="59">
        <f t="shared" ref="AI148:BN148" si="75">AI146+AI147</f>
        <v>8197071.9467759226</v>
      </c>
      <c r="AJ148" s="59">
        <f t="shared" si="75"/>
        <v>8252920.3905854328</v>
      </c>
      <c r="AK148" s="59">
        <f t="shared" si="75"/>
        <v>8349201.8755645361</v>
      </c>
      <c r="AL148" s="59">
        <f t="shared" si="75"/>
        <v>8572137.0013593417</v>
      </c>
      <c r="AM148" s="59">
        <f t="shared" si="75"/>
        <v>8652839.384357715</v>
      </c>
      <c r="AN148" s="59">
        <f t="shared" si="75"/>
        <v>8751227.4109951984</v>
      </c>
      <c r="AO148" s="59">
        <f t="shared" si="75"/>
        <v>8920368.4996582102</v>
      </c>
      <c r="AP148" s="59">
        <f t="shared" si="75"/>
        <v>9095062.3055298757</v>
      </c>
      <c r="AQ148" s="59">
        <f t="shared" si="75"/>
        <v>9242924.6421463117</v>
      </c>
      <c r="AR148" s="59">
        <f t="shared" si="75"/>
        <v>9678435.224999655</v>
      </c>
      <c r="AS148" s="59">
        <f t="shared" si="75"/>
        <v>9776673.7468325514</v>
      </c>
      <c r="AT148" s="59">
        <f t="shared" si="75"/>
        <v>9914878.8038751874</v>
      </c>
      <c r="AU148" s="59">
        <f t="shared" si="75"/>
        <v>10024044.144129161</v>
      </c>
      <c r="AV148" s="59">
        <f t="shared" si="75"/>
        <v>10161135.810694251</v>
      </c>
      <c r="AW148" s="59">
        <f t="shared" si="75"/>
        <v>10330281.773666283</v>
      </c>
      <c r="AX148" s="59">
        <f t="shared" si="75"/>
        <v>10525872.60603988</v>
      </c>
      <c r="AY148" s="59">
        <f t="shared" si="75"/>
        <v>10790740.125627277</v>
      </c>
      <c r="AZ148" s="59">
        <f t="shared" si="75"/>
        <v>10893434.121315259</v>
      </c>
      <c r="BA148" s="59">
        <f t="shared" si="75"/>
        <v>11057163.834947871</v>
      </c>
      <c r="BB148" s="59">
        <f t="shared" si="75"/>
        <v>11216592.976584613</v>
      </c>
      <c r="BC148" s="59">
        <f t="shared" si="75"/>
        <v>11418931.019898068</v>
      </c>
      <c r="BD148" s="59">
        <f t="shared" si="75"/>
        <v>11500588.028415693</v>
      </c>
      <c r="BE148" s="59">
        <f t="shared" si="75"/>
        <v>11626121.933988791</v>
      </c>
      <c r="BF148" s="59">
        <f t="shared" si="75"/>
        <v>12013025.03331513</v>
      </c>
      <c r="BG148" s="59">
        <f t="shared" si="75"/>
        <v>12103491.657208223</v>
      </c>
      <c r="BH148" s="59">
        <f t="shared" si="75"/>
        <v>12072798.406101316</v>
      </c>
      <c r="BI148" s="59">
        <f t="shared" si="75"/>
        <v>12072037.757267138</v>
      </c>
      <c r="BJ148" s="59">
        <f t="shared" si="75"/>
        <v>12108128.360868024</v>
      </c>
      <c r="BK148" s="59">
        <f t="shared" si="75"/>
        <v>12224248.36564807</v>
      </c>
      <c r="BL148" s="59">
        <f t="shared" si="75"/>
        <v>12177303.419129416</v>
      </c>
      <c r="BM148" s="59">
        <f t="shared" si="75"/>
        <v>12196673.048909463</v>
      </c>
      <c r="BN148" s="59">
        <f t="shared" si="75"/>
        <v>12217076.451416783</v>
      </c>
      <c r="BO148" s="59">
        <f t="shared" ref="BO148:CT148" si="76">BO146+BO147</f>
        <v>12285673.353924103</v>
      </c>
      <c r="BP148" s="59">
        <f t="shared" si="76"/>
        <v>12238728.407405449</v>
      </c>
      <c r="BQ148" s="59">
        <f t="shared" si="76"/>
        <v>12240575.684912769</v>
      </c>
      <c r="BR148" s="59">
        <f t="shared" si="76"/>
        <v>12273447.158036971</v>
      </c>
      <c r="BS148" s="59">
        <f t="shared" si="76"/>
        <v>12427798.575966369</v>
      </c>
      <c r="BT148" s="59">
        <f t="shared" si="76"/>
        <v>12465323.414350312</v>
      </c>
      <c r="BU148" s="59">
        <f t="shared" si="76"/>
        <v>12537445.185364125</v>
      </c>
      <c r="BV148" s="59">
        <f t="shared" si="76"/>
        <v>12651227.583813004</v>
      </c>
      <c r="BW148" s="59">
        <f t="shared" si="76"/>
        <v>12849698.320636705</v>
      </c>
      <c r="BX148" s="59">
        <f t="shared" si="76"/>
        <v>12889479.041226638</v>
      </c>
      <c r="BY148" s="59">
        <f t="shared" si="76"/>
        <v>12999332.312952936</v>
      </c>
      <c r="BZ148" s="59">
        <f t="shared" si="76"/>
        <v>13113111.228348063</v>
      </c>
      <c r="CA148" s="59">
        <f t="shared" si="76"/>
        <v>13312907.458678257</v>
      </c>
      <c r="CB148" s="59">
        <f t="shared" si="76"/>
        <v>13361785.046151306</v>
      </c>
      <c r="CC148" s="59">
        <f t="shared" si="76"/>
        <v>13408306.942065915</v>
      </c>
      <c r="CD148" s="59">
        <f t="shared" si="76"/>
        <v>13448829.264116887</v>
      </c>
      <c r="CE148" s="59">
        <f t="shared" si="76"/>
        <v>13565238.539089937</v>
      </c>
      <c r="CF148" s="59">
        <f t="shared" si="76"/>
        <v>13520958.714225326</v>
      </c>
      <c r="CG148" s="59">
        <f t="shared" si="76"/>
        <v>13465464.648289286</v>
      </c>
      <c r="CH148" s="59">
        <f t="shared" si="76"/>
        <v>13396515.297450649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228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229</v>
      </c>
      <c r="B151" s="22"/>
      <c r="C151" s="8">
        <f>Assumptions!$B$30</f>
        <v>451631.16</v>
      </c>
      <c r="D151" s="8">
        <f t="shared" ref="D151:AI151" si="77">C156</f>
        <v>396931.15666666662</v>
      </c>
      <c r="E151" s="8">
        <f t="shared" si="77"/>
        <v>342231.15333333326</v>
      </c>
      <c r="F151" s="8">
        <f t="shared" si="77"/>
        <v>287531.14999999991</v>
      </c>
      <c r="G151" s="8">
        <f t="shared" si="77"/>
        <v>209831.14666666655</v>
      </c>
      <c r="H151" s="8">
        <f t="shared" si="77"/>
        <v>155131.1433333332</v>
      </c>
      <c r="I151" s="8">
        <f t="shared" si="77"/>
        <v>99597.809999999852</v>
      </c>
      <c r="J151" s="8">
        <f t="shared" si="77"/>
        <v>-85935.523333333491</v>
      </c>
      <c r="K151" s="8">
        <f t="shared" si="77"/>
        <v>-280843.8566666668</v>
      </c>
      <c r="L151" s="8">
        <f t="shared" si="77"/>
        <v>-496752.19000000018</v>
      </c>
      <c r="M151" s="8">
        <f t="shared" si="77"/>
        <v>-691660.52333333355</v>
      </c>
      <c r="N151" s="8">
        <f t="shared" si="77"/>
        <v>-1136568.8566666669</v>
      </c>
      <c r="O151" s="8">
        <f t="shared" si="77"/>
        <v>-1331477.1900000002</v>
      </c>
      <c r="P151" s="8">
        <f t="shared" si="77"/>
        <v>-1528351.8150000002</v>
      </c>
      <c r="Q151" s="8">
        <f t="shared" si="77"/>
        <v>-1725226.4400000002</v>
      </c>
      <c r="R151" s="8">
        <f t="shared" si="77"/>
        <v>-1922101.0650000002</v>
      </c>
      <c r="S151" s="8">
        <f t="shared" si="77"/>
        <v>-2166341.9400000004</v>
      </c>
      <c r="T151" s="8">
        <f t="shared" si="77"/>
        <v>-2387122.8150000004</v>
      </c>
      <c r="U151" s="8">
        <f t="shared" si="77"/>
        <v>-2607903.6900000004</v>
      </c>
      <c r="V151" s="8">
        <f t="shared" si="77"/>
        <v>-2828684.5650000004</v>
      </c>
      <c r="W151" s="8">
        <f t="shared" si="77"/>
        <v>-3049465.4400000004</v>
      </c>
      <c r="X151" s="8">
        <f t="shared" si="77"/>
        <v>-3170260.5582854454</v>
      </c>
      <c r="Y151" s="8">
        <f t="shared" si="77"/>
        <v>-3261041.4332854454</v>
      </c>
      <c r="Z151" s="8">
        <f t="shared" si="77"/>
        <v>-3601822.3082854454</v>
      </c>
      <c r="AA151" s="8">
        <f t="shared" si="77"/>
        <v>-3635228.1832854454</v>
      </c>
      <c r="AB151" s="8">
        <f t="shared" si="77"/>
        <v>-3728014.6757854456</v>
      </c>
      <c r="AC151" s="8">
        <f t="shared" si="77"/>
        <v>-3820801.1682854458</v>
      </c>
      <c r="AD151" s="8">
        <f t="shared" si="77"/>
        <v>-3856212.6607854459</v>
      </c>
      <c r="AE151" s="8">
        <f t="shared" si="77"/>
        <v>-3972928.3532854458</v>
      </c>
      <c r="AF151" s="8">
        <f t="shared" si="77"/>
        <v>-4065714.845785446</v>
      </c>
      <c r="AG151" s="8">
        <f t="shared" si="77"/>
        <v>-4158501.3382854462</v>
      </c>
      <c r="AH151" s="8">
        <f t="shared" si="77"/>
        <v>-4260787.8307854459</v>
      </c>
      <c r="AI151" s="8">
        <f t="shared" si="77"/>
        <v>-4363074.3232854456</v>
      </c>
      <c r="AJ151" s="8">
        <f t="shared" ref="AJ151:BO151" si="78">AI156</f>
        <v>-4487209.2157854456</v>
      </c>
      <c r="AK151" s="8">
        <f t="shared" si="78"/>
        <v>-4589495.7082854453</v>
      </c>
      <c r="AL151" s="8">
        <f t="shared" si="78"/>
        <v>-4691782.200785445</v>
      </c>
      <c r="AM151" s="8">
        <f t="shared" si="78"/>
        <v>-4794068.6932854448</v>
      </c>
      <c r="AN151" s="8">
        <f t="shared" si="78"/>
        <v>-4898400.9156354452</v>
      </c>
      <c r="AO151" s="8">
        <f t="shared" si="78"/>
        <v>-5002733.1379854456</v>
      </c>
      <c r="AP151" s="8">
        <f t="shared" si="78"/>
        <v>-5107065.360335446</v>
      </c>
      <c r="AQ151" s="8">
        <f t="shared" si="78"/>
        <v>-5235805.3666854464</v>
      </c>
      <c r="AR151" s="8">
        <f t="shared" si="78"/>
        <v>-5340137.5890354468</v>
      </c>
      <c r="AS151" s="8">
        <f t="shared" si="78"/>
        <v>-5444469.8113854472</v>
      </c>
      <c r="AT151" s="8">
        <f t="shared" si="78"/>
        <v>-5548802.0337354476</v>
      </c>
      <c r="AU151" s="8">
        <f t="shared" si="78"/>
        <v>-5653134.256085448</v>
      </c>
      <c r="AV151" s="8">
        <f t="shared" si="78"/>
        <v>-5779751.8464354482</v>
      </c>
      <c r="AW151" s="8">
        <f t="shared" si="78"/>
        <v>-5884084.0687854486</v>
      </c>
      <c r="AX151" s="8">
        <f t="shared" si="78"/>
        <v>-5988416.291135449</v>
      </c>
      <c r="AY151" s="8">
        <f t="shared" si="78"/>
        <v>-6092748.5134854494</v>
      </c>
      <c r="AZ151" s="8">
        <f t="shared" si="78"/>
        <v>-6199167.3802824495</v>
      </c>
      <c r="BA151" s="8">
        <f t="shared" si="78"/>
        <v>-6305586.2470794497</v>
      </c>
      <c r="BB151" s="8">
        <f t="shared" si="78"/>
        <v>-6412005.1138764499</v>
      </c>
      <c r="BC151" s="8">
        <f t="shared" si="78"/>
        <v>-6543319.9203534499</v>
      </c>
      <c r="BD151" s="8">
        <f t="shared" si="78"/>
        <v>-6649738.7871504501</v>
      </c>
      <c r="BE151" s="8">
        <f t="shared" si="78"/>
        <v>-6756157.6539474502</v>
      </c>
      <c r="BF151" s="8">
        <f t="shared" si="78"/>
        <v>-6862576.5207444504</v>
      </c>
      <c r="BG151" s="8">
        <f t="shared" si="78"/>
        <v>-6968995.3875414506</v>
      </c>
      <c r="BH151" s="8">
        <f t="shared" si="78"/>
        <v>-7098145.3296984509</v>
      </c>
      <c r="BI151" s="8">
        <f t="shared" si="78"/>
        <v>-7204564.196495451</v>
      </c>
      <c r="BJ151" s="8">
        <f t="shared" si="78"/>
        <v>-7310983.0632924512</v>
      </c>
      <c r="BK151" s="8">
        <f t="shared" si="78"/>
        <v>-7417401.9300894514</v>
      </c>
      <c r="BL151" s="8">
        <f t="shared" si="78"/>
        <v>-7525949.1742223911</v>
      </c>
      <c r="BM151" s="8">
        <f t="shared" si="78"/>
        <v>-7634496.4183553308</v>
      </c>
      <c r="BN151" s="8">
        <f t="shared" si="78"/>
        <v>-7743043.6624882706</v>
      </c>
      <c r="BO151" s="8">
        <f t="shared" si="78"/>
        <v>-7876984.7650948102</v>
      </c>
      <c r="BP151" s="8">
        <f t="shared" ref="BP151:CH151" si="79">BO156</f>
        <v>-7985532.0092277499</v>
      </c>
      <c r="BQ151" s="8">
        <f t="shared" si="79"/>
        <v>-8042565.7333606901</v>
      </c>
      <c r="BR151" s="8">
        <f t="shared" si="79"/>
        <v>-8151112.9774936298</v>
      </c>
      <c r="BS151" s="8">
        <f t="shared" si="79"/>
        <v>-8259660.2216265695</v>
      </c>
      <c r="BT151" s="8">
        <f t="shared" si="79"/>
        <v>-8323631.1626267098</v>
      </c>
      <c r="BU151" s="8">
        <f t="shared" si="79"/>
        <v>-8432178.4067596495</v>
      </c>
      <c r="BV151" s="8">
        <f t="shared" si="79"/>
        <v>-8540725.6508925892</v>
      </c>
      <c r="BW151" s="8">
        <f t="shared" si="79"/>
        <v>-8581510.895025529</v>
      </c>
      <c r="BX151" s="8">
        <f t="shared" si="79"/>
        <v>-8692229.0840411279</v>
      </c>
      <c r="BY151" s="8">
        <f t="shared" si="79"/>
        <v>-8802947.2730567269</v>
      </c>
      <c r="BZ151" s="8">
        <f t="shared" si="79"/>
        <v>-8845903.4620723259</v>
      </c>
      <c r="CA151" s="8">
        <f t="shared" si="79"/>
        <v>-8982523.3867309969</v>
      </c>
      <c r="CB151" s="8">
        <f t="shared" si="79"/>
        <v>-9093241.5757465959</v>
      </c>
      <c r="CC151" s="8">
        <f t="shared" si="79"/>
        <v>-9127460.7647621948</v>
      </c>
      <c r="CD151" s="8">
        <f t="shared" si="79"/>
        <v>-9238178.9537777938</v>
      </c>
      <c r="CE151" s="8">
        <f t="shared" si="79"/>
        <v>-9348897.1427933928</v>
      </c>
      <c r="CF151" s="8">
        <f t="shared" si="79"/>
        <v>-9406765.7426135354</v>
      </c>
      <c r="CG151" s="8">
        <f t="shared" si="79"/>
        <v>-9517483.9316291343</v>
      </c>
      <c r="CH151" s="8">
        <f t="shared" si="79"/>
        <v>-9628202.1206447333</v>
      </c>
      <c r="CI151" s="23"/>
      <c r="CJ151" s="54"/>
      <c r="CK151" s="54"/>
    </row>
    <row r="152" spans="1:89" ht="15" customHeight="1" x14ac:dyDescent="0.25">
      <c r="A152" s="7" t="s">
        <v>230</v>
      </c>
      <c r="B152" s="22"/>
      <c r="C152" s="8">
        <f t="shared" ref="C152:AH152" si="80">C87</f>
        <v>-54700.003333333341</v>
      </c>
      <c r="D152" s="8">
        <f t="shared" si="80"/>
        <v>-54700.003333333341</v>
      </c>
      <c r="E152" s="8">
        <f t="shared" si="80"/>
        <v>-54700.003333333341</v>
      </c>
      <c r="F152" s="8">
        <f t="shared" si="80"/>
        <v>-77700.003333333341</v>
      </c>
      <c r="G152" s="8">
        <f t="shared" si="80"/>
        <v>-54700.003333333341</v>
      </c>
      <c r="H152" s="8">
        <f t="shared" si="80"/>
        <v>-55533.333333333343</v>
      </c>
      <c r="I152" s="8">
        <f t="shared" si="80"/>
        <v>-55533.333333333343</v>
      </c>
      <c r="J152" s="8">
        <f t="shared" si="80"/>
        <v>-64908.333333333343</v>
      </c>
      <c r="K152" s="8">
        <f t="shared" si="80"/>
        <v>-85908.333333333343</v>
      </c>
      <c r="L152" s="8">
        <f t="shared" si="80"/>
        <v>-64908.333333333343</v>
      </c>
      <c r="M152" s="8">
        <f t="shared" si="80"/>
        <v>-64908.333333333343</v>
      </c>
      <c r="N152" s="8">
        <f t="shared" si="80"/>
        <v>-64908.333333333343</v>
      </c>
      <c r="O152" s="8">
        <f t="shared" si="80"/>
        <v>-66874.625000000015</v>
      </c>
      <c r="P152" s="8">
        <f t="shared" si="80"/>
        <v>-66874.625000000015</v>
      </c>
      <c r="Q152" s="8">
        <f t="shared" si="80"/>
        <v>-66874.625000000015</v>
      </c>
      <c r="R152" s="8">
        <f t="shared" si="80"/>
        <v>-114240.87500000001</v>
      </c>
      <c r="S152" s="8">
        <f t="shared" si="80"/>
        <v>-90780.875000000015</v>
      </c>
      <c r="T152" s="8">
        <f t="shared" si="80"/>
        <v>-90780.875000000015</v>
      </c>
      <c r="U152" s="8">
        <f t="shared" si="80"/>
        <v>-90780.875000000015</v>
      </c>
      <c r="V152" s="8">
        <f t="shared" si="80"/>
        <v>-90780.875000000015</v>
      </c>
      <c r="W152" s="8">
        <f t="shared" si="80"/>
        <v>-54825.875000000015</v>
      </c>
      <c r="X152" s="8">
        <f t="shared" si="80"/>
        <v>-90780.875000000015</v>
      </c>
      <c r="Y152" s="8">
        <f t="shared" si="80"/>
        <v>-90780.875000000015</v>
      </c>
      <c r="Z152" s="8">
        <f t="shared" si="80"/>
        <v>-33405.875000000015</v>
      </c>
      <c r="AA152" s="8">
        <f t="shared" si="80"/>
        <v>-92786.492500000022</v>
      </c>
      <c r="AB152" s="8">
        <f t="shared" si="80"/>
        <v>-92786.492500000022</v>
      </c>
      <c r="AC152" s="8">
        <f t="shared" si="80"/>
        <v>-35411.492500000022</v>
      </c>
      <c r="AD152" s="8">
        <f t="shared" si="80"/>
        <v>-116715.69250000003</v>
      </c>
      <c r="AE152" s="8">
        <f t="shared" si="80"/>
        <v>-92786.492500000022</v>
      </c>
      <c r="AF152" s="8">
        <f t="shared" si="80"/>
        <v>-92786.492500000022</v>
      </c>
      <c r="AG152" s="8">
        <f t="shared" si="80"/>
        <v>-102286.49250000002</v>
      </c>
      <c r="AH152" s="8">
        <f t="shared" si="80"/>
        <v>-102286.49250000002</v>
      </c>
      <c r="AI152" s="8">
        <f t="shared" ref="AI152:BN152" si="81">AI87</f>
        <v>-124134.89250000003</v>
      </c>
      <c r="AJ152" s="8">
        <f t="shared" si="81"/>
        <v>-102286.49250000002</v>
      </c>
      <c r="AK152" s="8">
        <f t="shared" si="81"/>
        <v>-102286.49250000002</v>
      </c>
      <c r="AL152" s="8">
        <f t="shared" si="81"/>
        <v>-102286.49250000002</v>
      </c>
      <c r="AM152" s="8">
        <f t="shared" si="81"/>
        <v>-104332.22235000001</v>
      </c>
      <c r="AN152" s="8">
        <f t="shared" si="81"/>
        <v>-104332.22235000001</v>
      </c>
      <c r="AO152" s="8">
        <f t="shared" si="81"/>
        <v>-104332.22235000001</v>
      </c>
      <c r="AP152" s="8">
        <f t="shared" si="81"/>
        <v>-128740.00635000001</v>
      </c>
      <c r="AQ152" s="8">
        <f t="shared" si="81"/>
        <v>-104332.22235000001</v>
      </c>
      <c r="AR152" s="8">
        <f t="shared" si="81"/>
        <v>-104332.22235</v>
      </c>
      <c r="AS152" s="8">
        <f t="shared" si="81"/>
        <v>-104332.22235000001</v>
      </c>
      <c r="AT152" s="8">
        <f t="shared" si="81"/>
        <v>-104332.22235000001</v>
      </c>
      <c r="AU152" s="8">
        <f t="shared" si="81"/>
        <v>-126617.59035000001</v>
      </c>
      <c r="AV152" s="8">
        <f t="shared" si="81"/>
        <v>-104332.22235000001</v>
      </c>
      <c r="AW152" s="8">
        <f t="shared" si="81"/>
        <v>-104332.22235000001</v>
      </c>
      <c r="AX152" s="8">
        <f t="shared" si="81"/>
        <v>-104332.22235</v>
      </c>
      <c r="AY152" s="8">
        <f t="shared" si="81"/>
        <v>-106418.866797</v>
      </c>
      <c r="AZ152" s="8">
        <f t="shared" si="81"/>
        <v>-106418.866797</v>
      </c>
      <c r="BA152" s="8">
        <f t="shared" si="81"/>
        <v>-106418.86679699994</v>
      </c>
      <c r="BB152" s="8">
        <f t="shared" si="81"/>
        <v>-131314.80647700001</v>
      </c>
      <c r="BC152" s="8">
        <f t="shared" si="81"/>
        <v>-106418.866797</v>
      </c>
      <c r="BD152" s="8">
        <f t="shared" si="81"/>
        <v>-106418.866797</v>
      </c>
      <c r="BE152" s="8">
        <f t="shared" si="81"/>
        <v>-106418.866797</v>
      </c>
      <c r="BF152" s="8">
        <f t="shared" si="81"/>
        <v>-106418.866797</v>
      </c>
      <c r="BG152" s="8">
        <f t="shared" si="81"/>
        <v>-129149.94215700001</v>
      </c>
      <c r="BH152" s="8">
        <f t="shared" si="81"/>
        <v>-106418.866797</v>
      </c>
      <c r="BI152" s="8">
        <f t="shared" si="81"/>
        <v>-106418.866797</v>
      </c>
      <c r="BJ152" s="8">
        <f t="shared" si="81"/>
        <v>-106418.866797</v>
      </c>
      <c r="BK152" s="8">
        <f t="shared" si="81"/>
        <v>-108547.24413294002</v>
      </c>
      <c r="BL152" s="8">
        <f t="shared" si="81"/>
        <v>-108547.24413294002</v>
      </c>
      <c r="BM152" s="8">
        <f t="shared" si="81"/>
        <v>-108547.24413294002</v>
      </c>
      <c r="BN152" s="8">
        <f t="shared" si="81"/>
        <v>-133941.10260654002</v>
      </c>
      <c r="BO152" s="8">
        <f t="shared" ref="BO152:CH152" si="82">BO87</f>
        <v>-108547.24413294002</v>
      </c>
      <c r="BP152" s="8">
        <f t="shared" si="82"/>
        <v>-57033.724132939999</v>
      </c>
      <c r="BQ152" s="8">
        <f t="shared" si="82"/>
        <v>-108547.24413294002</v>
      </c>
      <c r="BR152" s="8">
        <f t="shared" si="82"/>
        <v>-108547.24413294002</v>
      </c>
      <c r="BS152" s="8">
        <f t="shared" si="82"/>
        <v>-63970.941000140039</v>
      </c>
      <c r="BT152" s="8">
        <f t="shared" si="82"/>
        <v>-108547.24413294002</v>
      </c>
      <c r="BU152" s="8">
        <f t="shared" si="82"/>
        <v>-108547.24413294002</v>
      </c>
      <c r="BV152" s="8">
        <f t="shared" si="82"/>
        <v>-40785.244132940017</v>
      </c>
      <c r="BW152" s="8">
        <f t="shared" si="82"/>
        <v>-110718.18901559882</v>
      </c>
      <c r="BX152" s="8">
        <f t="shared" si="82"/>
        <v>-110718.18901559882</v>
      </c>
      <c r="BY152" s="8">
        <f t="shared" si="82"/>
        <v>-42956.189015598822</v>
      </c>
      <c r="BZ152" s="8">
        <f t="shared" si="82"/>
        <v>-136619.92465867082</v>
      </c>
      <c r="CA152" s="8">
        <f t="shared" si="82"/>
        <v>-110718.18901559882</v>
      </c>
      <c r="CB152" s="8">
        <f t="shared" si="82"/>
        <v>-34219.189015598851</v>
      </c>
      <c r="CC152" s="8">
        <f t="shared" si="82"/>
        <v>-110718.18901559882</v>
      </c>
      <c r="CD152" s="8">
        <f t="shared" si="82"/>
        <v>-110718.18901559882</v>
      </c>
      <c r="CE152" s="8">
        <f t="shared" si="82"/>
        <v>-57868.599820142845</v>
      </c>
      <c r="CF152" s="8">
        <f t="shared" si="82"/>
        <v>-110718.18901559882</v>
      </c>
      <c r="CG152" s="8">
        <f t="shared" si="82"/>
        <v>-110718.18901559882</v>
      </c>
      <c r="CH152" s="8">
        <f t="shared" si="82"/>
        <v>-27611.162409119599</v>
      </c>
      <c r="CI152" s="23"/>
      <c r="CJ152" s="54"/>
      <c r="CK152" s="54"/>
    </row>
    <row r="153" spans="1:89" ht="15" customHeight="1" x14ac:dyDescent="0.25">
      <c r="A153" s="7" t="s">
        <v>231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232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233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104</v>
      </c>
      <c r="B156" s="58"/>
      <c r="C156" s="59">
        <f t="shared" ref="C156:AH156" si="89">C151+C152+C153+C154+C155</f>
        <v>396931.15666666662</v>
      </c>
      <c r="D156" s="59">
        <f t="shared" si="89"/>
        <v>342231.15333333326</v>
      </c>
      <c r="E156" s="59">
        <f t="shared" si="89"/>
        <v>287531.14999999991</v>
      </c>
      <c r="F156" s="59">
        <f t="shared" si="89"/>
        <v>209831.14666666655</v>
      </c>
      <c r="G156" s="59">
        <f t="shared" si="89"/>
        <v>155131.1433333332</v>
      </c>
      <c r="H156" s="59">
        <f t="shared" si="89"/>
        <v>99597.809999999852</v>
      </c>
      <c r="I156" s="59">
        <f t="shared" si="89"/>
        <v>-85935.523333333491</v>
      </c>
      <c r="J156" s="59">
        <f t="shared" si="89"/>
        <v>-280843.8566666668</v>
      </c>
      <c r="K156" s="59">
        <f t="shared" si="89"/>
        <v>-496752.19000000018</v>
      </c>
      <c r="L156" s="59">
        <f t="shared" si="89"/>
        <v>-691660.52333333355</v>
      </c>
      <c r="M156" s="59">
        <f t="shared" si="89"/>
        <v>-1136568.8566666669</v>
      </c>
      <c r="N156" s="59">
        <f t="shared" si="89"/>
        <v>-1331477.1900000002</v>
      </c>
      <c r="O156" s="59">
        <f t="shared" si="89"/>
        <v>-1528351.8150000002</v>
      </c>
      <c r="P156" s="59">
        <f t="shared" si="89"/>
        <v>-1725226.4400000002</v>
      </c>
      <c r="Q156" s="59">
        <f t="shared" si="89"/>
        <v>-1922101.0650000002</v>
      </c>
      <c r="R156" s="59">
        <f t="shared" si="89"/>
        <v>-2166341.9400000004</v>
      </c>
      <c r="S156" s="59">
        <f t="shared" si="89"/>
        <v>-2387122.8150000004</v>
      </c>
      <c r="T156" s="59">
        <f t="shared" si="89"/>
        <v>-2607903.6900000004</v>
      </c>
      <c r="U156" s="59">
        <f t="shared" si="89"/>
        <v>-2828684.5650000004</v>
      </c>
      <c r="V156" s="59">
        <f t="shared" si="89"/>
        <v>-3049465.4400000004</v>
      </c>
      <c r="W156" s="59">
        <f t="shared" si="89"/>
        <v>-3170260.5582854454</v>
      </c>
      <c r="X156" s="59">
        <f t="shared" si="89"/>
        <v>-3261041.4332854454</v>
      </c>
      <c r="Y156" s="59">
        <f t="shared" si="89"/>
        <v>-3601822.3082854454</v>
      </c>
      <c r="Z156" s="59">
        <f t="shared" si="89"/>
        <v>-3635228.1832854454</v>
      </c>
      <c r="AA156" s="59">
        <f t="shared" si="89"/>
        <v>-3728014.6757854456</v>
      </c>
      <c r="AB156" s="59">
        <f t="shared" si="89"/>
        <v>-3820801.1682854458</v>
      </c>
      <c r="AC156" s="59">
        <f t="shared" si="89"/>
        <v>-3856212.6607854459</v>
      </c>
      <c r="AD156" s="59">
        <f t="shared" si="89"/>
        <v>-3972928.3532854458</v>
      </c>
      <c r="AE156" s="59">
        <f t="shared" si="89"/>
        <v>-4065714.845785446</v>
      </c>
      <c r="AF156" s="59">
        <f t="shared" si="89"/>
        <v>-4158501.3382854462</v>
      </c>
      <c r="AG156" s="59">
        <f t="shared" si="89"/>
        <v>-4260787.8307854459</v>
      </c>
      <c r="AH156" s="59">
        <f t="shared" si="89"/>
        <v>-4363074.3232854456</v>
      </c>
      <c r="AI156" s="59">
        <f t="shared" ref="AI156:BN156" si="90">AI151+AI152+AI153+AI154+AI155</f>
        <v>-4487209.2157854456</v>
      </c>
      <c r="AJ156" s="59">
        <f t="shared" si="90"/>
        <v>-4589495.7082854453</v>
      </c>
      <c r="AK156" s="59">
        <f t="shared" si="90"/>
        <v>-4691782.200785445</v>
      </c>
      <c r="AL156" s="59">
        <f t="shared" si="90"/>
        <v>-4794068.6932854448</v>
      </c>
      <c r="AM156" s="59">
        <f t="shared" si="90"/>
        <v>-4898400.9156354452</v>
      </c>
      <c r="AN156" s="59">
        <f t="shared" si="90"/>
        <v>-5002733.1379854456</v>
      </c>
      <c r="AO156" s="59">
        <f t="shared" si="90"/>
        <v>-5107065.360335446</v>
      </c>
      <c r="AP156" s="59">
        <f t="shared" si="90"/>
        <v>-5235805.3666854464</v>
      </c>
      <c r="AQ156" s="59">
        <f t="shared" si="90"/>
        <v>-5340137.5890354468</v>
      </c>
      <c r="AR156" s="59">
        <f t="shared" si="90"/>
        <v>-5444469.8113854472</v>
      </c>
      <c r="AS156" s="59">
        <f t="shared" si="90"/>
        <v>-5548802.0337354476</v>
      </c>
      <c r="AT156" s="59">
        <f t="shared" si="90"/>
        <v>-5653134.256085448</v>
      </c>
      <c r="AU156" s="59">
        <f t="shared" si="90"/>
        <v>-5779751.8464354482</v>
      </c>
      <c r="AV156" s="59">
        <f t="shared" si="90"/>
        <v>-5884084.0687854486</v>
      </c>
      <c r="AW156" s="59">
        <f t="shared" si="90"/>
        <v>-5988416.291135449</v>
      </c>
      <c r="AX156" s="59">
        <f t="shared" si="90"/>
        <v>-6092748.5134854494</v>
      </c>
      <c r="AY156" s="59">
        <f t="shared" si="90"/>
        <v>-6199167.3802824495</v>
      </c>
      <c r="AZ156" s="59">
        <f t="shared" si="90"/>
        <v>-6305586.2470794497</v>
      </c>
      <c r="BA156" s="59">
        <f t="shared" si="90"/>
        <v>-6412005.1138764499</v>
      </c>
      <c r="BB156" s="59">
        <f t="shared" si="90"/>
        <v>-6543319.9203534499</v>
      </c>
      <c r="BC156" s="59">
        <f t="shared" si="90"/>
        <v>-6649738.7871504501</v>
      </c>
      <c r="BD156" s="59">
        <f t="shared" si="90"/>
        <v>-6756157.6539474502</v>
      </c>
      <c r="BE156" s="59">
        <f t="shared" si="90"/>
        <v>-6862576.5207444504</v>
      </c>
      <c r="BF156" s="59">
        <f t="shared" si="90"/>
        <v>-6968995.3875414506</v>
      </c>
      <c r="BG156" s="59">
        <f t="shared" si="90"/>
        <v>-7098145.3296984509</v>
      </c>
      <c r="BH156" s="59">
        <f t="shared" si="90"/>
        <v>-7204564.196495451</v>
      </c>
      <c r="BI156" s="59">
        <f t="shared" si="90"/>
        <v>-7310983.0632924512</v>
      </c>
      <c r="BJ156" s="59">
        <f t="shared" si="90"/>
        <v>-7417401.9300894514</v>
      </c>
      <c r="BK156" s="59">
        <f t="shared" si="90"/>
        <v>-7525949.1742223911</v>
      </c>
      <c r="BL156" s="59">
        <f t="shared" si="90"/>
        <v>-7634496.4183553308</v>
      </c>
      <c r="BM156" s="59">
        <f t="shared" si="90"/>
        <v>-7743043.6624882706</v>
      </c>
      <c r="BN156" s="59">
        <f t="shared" si="90"/>
        <v>-7876984.7650948102</v>
      </c>
      <c r="BO156" s="59">
        <f t="shared" ref="BO156:CT156" si="91">BO151+BO152+BO153+BO154+BO155</f>
        <v>-7985532.0092277499</v>
      </c>
      <c r="BP156" s="59">
        <f t="shared" si="91"/>
        <v>-8042565.7333606901</v>
      </c>
      <c r="BQ156" s="59">
        <f t="shared" si="91"/>
        <v>-8151112.9774936298</v>
      </c>
      <c r="BR156" s="59">
        <f t="shared" si="91"/>
        <v>-8259660.2216265695</v>
      </c>
      <c r="BS156" s="59">
        <f t="shared" si="91"/>
        <v>-8323631.1626267098</v>
      </c>
      <c r="BT156" s="59">
        <f t="shared" si="91"/>
        <v>-8432178.4067596495</v>
      </c>
      <c r="BU156" s="59">
        <f t="shared" si="91"/>
        <v>-8540725.6508925892</v>
      </c>
      <c r="BV156" s="59">
        <f t="shared" si="91"/>
        <v>-8581510.895025529</v>
      </c>
      <c r="BW156" s="59">
        <f t="shared" si="91"/>
        <v>-8692229.0840411279</v>
      </c>
      <c r="BX156" s="59">
        <f t="shared" si="91"/>
        <v>-8802947.2730567269</v>
      </c>
      <c r="BY156" s="59">
        <f t="shared" si="91"/>
        <v>-8845903.4620723259</v>
      </c>
      <c r="BZ156" s="59">
        <f t="shared" si="91"/>
        <v>-8982523.3867309969</v>
      </c>
      <c r="CA156" s="59">
        <f t="shared" si="91"/>
        <v>-9093241.5757465959</v>
      </c>
      <c r="CB156" s="59">
        <f t="shared" si="91"/>
        <v>-9127460.7647621948</v>
      </c>
      <c r="CC156" s="59">
        <f t="shared" si="91"/>
        <v>-9238178.9537777938</v>
      </c>
      <c r="CD156" s="59">
        <f t="shared" si="91"/>
        <v>-9348897.1427933928</v>
      </c>
      <c r="CE156" s="59">
        <f t="shared" si="91"/>
        <v>-9406765.7426135354</v>
      </c>
      <c r="CF156" s="59">
        <f t="shared" si="91"/>
        <v>-9517483.9316291343</v>
      </c>
      <c r="CG156" s="59">
        <f t="shared" si="91"/>
        <v>-9628202.1206447333</v>
      </c>
      <c r="CH156" s="59">
        <f t="shared" si="91"/>
        <v>-9655813.2830538526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235</v>
      </c>
      <c r="B159" s="22"/>
      <c r="C159" s="8">
        <f t="shared" ref="C159:AH159" si="92">C146+C151</f>
        <v>2103546.85</v>
      </c>
      <c r="D159" s="8">
        <f t="shared" si="92"/>
        <v>2115534.055345369</v>
      </c>
      <c r="E159" s="8">
        <f t="shared" si="92"/>
        <v>2095006.3456269167</v>
      </c>
      <c r="F159" s="8">
        <f t="shared" si="92"/>
        <v>2046808.7099298029</v>
      </c>
      <c r="G159" s="8">
        <f t="shared" si="92"/>
        <v>2435611.1341928467</v>
      </c>
      <c r="H159" s="8">
        <f t="shared" si="92"/>
        <v>2529500.224174933</v>
      </c>
      <c r="I159" s="8">
        <f t="shared" si="92"/>
        <v>2628203.9125604983</v>
      </c>
      <c r="J159" s="8">
        <f t="shared" si="92"/>
        <v>2928692.7896048012</v>
      </c>
      <c r="K159" s="8">
        <f t="shared" si="92"/>
        <v>3268156.548100763</v>
      </c>
      <c r="L159" s="8">
        <f t="shared" si="92"/>
        <v>3364792.1951103033</v>
      </c>
      <c r="M159" s="8">
        <f t="shared" si="92"/>
        <v>3491515.3012777222</v>
      </c>
      <c r="N159" s="8">
        <f t="shared" si="92"/>
        <v>3374738.3188822041</v>
      </c>
      <c r="O159" s="8">
        <f t="shared" si="92"/>
        <v>3481712.6064871484</v>
      </c>
      <c r="P159" s="8">
        <f t="shared" si="92"/>
        <v>2949196.9895174857</v>
      </c>
      <c r="Q159" s="8">
        <f t="shared" si="92"/>
        <v>3211605.7624239093</v>
      </c>
      <c r="R159" s="8">
        <f t="shared" si="92"/>
        <v>3586794.9884945983</v>
      </c>
      <c r="S159" s="8">
        <f t="shared" si="92"/>
        <v>3768176.7170561273</v>
      </c>
      <c r="T159" s="8">
        <f t="shared" si="92"/>
        <v>3786148.4052520916</v>
      </c>
      <c r="U159" s="8">
        <f t="shared" si="92"/>
        <v>3773948.8576317923</v>
      </c>
      <c r="V159" s="8">
        <f t="shared" si="92"/>
        <v>3809249.4594017239</v>
      </c>
      <c r="W159" s="8">
        <f t="shared" si="92"/>
        <v>3797657.8134119948</v>
      </c>
      <c r="X159" s="8">
        <f t="shared" si="92"/>
        <v>3875029.3486897503</v>
      </c>
      <c r="Y159" s="8">
        <f t="shared" si="92"/>
        <v>3938674.7943758783</v>
      </c>
      <c r="Z159" s="8">
        <f t="shared" si="92"/>
        <v>3766655.4820635621</v>
      </c>
      <c r="AA159" s="8">
        <f t="shared" si="92"/>
        <v>3885197.05580801</v>
      </c>
      <c r="AB159" s="8">
        <f t="shared" si="92"/>
        <v>3971461.0877329689</v>
      </c>
      <c r="AC159" s="8">
        <f t="shared" si="92"/>
        <v>3935680.0058059725</v>
      </c>
      <c r="AD159" s="8">
        <f t="shared" si="92"/>
        <v>3315163.2865249999</v>
      </c>
      <c r="AE159" s="8">
        <f t="shared" si="92"/>
        <v>3263236.8434585761</v>
      </c>
      <c r="AF159" s="8">
        <f t="shared" si="92"/>
        <v>3273352.6517044888</v>
      </c>
      <c r="AG159" s="8">
        <f t="shared" si="92"/>
        <v>3284765.4232813222</v>
      </c>
      <c r="AH159" s="8">
        <f t="shared" si="92"/>
        <v>3452519.4099036418</v>
      </c>
      <c r="AI159" s="8">
        <f t="shared" ref="AI159:BN159" si="93">AI146+AI151</f>
        <v>3485742.7725400124</v>
      </c>
      <c r="AJ159" s="8">
        <f t="shared" si="93"/>
        <v>3709862.7309904769</v>
      </c>
      <c r="AK159" s="8">
        <f t="shared" si="93"/>
        <v>3663424.6822999874</v>
      </c>
      <c r="AL159" s="8">
        <f t="shared" si="93"/>
        <v>3657419.674779091</v>
      </c>
      <c r="AM159" s="8">
        <f t="shared" si="93"/>
        <v>3778068.3080738969</v>
      </c>
      <c r="AN159" s="8">
        <f t="shared" si="93"/>
        <v>3754438.4687222699</v>
      </c>
      <c r="AO159" s="8">
        <f t="shared" si="93"/>
        <v>3748494.2730097529</v>
      </c>
      <c r="AP159" s="8">
        <f t="shared" si="93"/>
        <v>3813303.1393227642</v>
      </c>
      <c r="AQ159" s="8">
        <f t="shared" si="93"/>
        <v>3859256.9388444293</v>
      </c>
      <c r="AR159" s="8">
        <f t="shared" si="93"/>
        <v>3902787.0531108649</v>
      </c>
      <c r="AS159" s="8">
        <f t="shared" si="93"/>
        <v>4233965.4136142079</v>
      </c>
      <c r="AT159" s="8">
        <f t="shared" si="93"/>
        <v>4227871.7130971039</v>
      </c>
      <c r="AU159" s="8">
        <f t="shared" si="93"/>
        <v>4261744.5477897394</v>
      </c>
      <c r="AV159" s="8">
        <f t="shared" si="93"/>
        <v>4244292.2976937126</v>
      </c>
      <c r="AW159" s="8">
        <f t="shared" si="93"/>
        <v>4277051.7419088027</v>
      </c>
      <c r="AX159" s="8">
        <f t="shared" si="93"/>
        <v>4341865.4825308342</v>
      </c>
      <c r="AY159" s="8">
        <f t="shared" si="93"/>
        <v>4433124.0925544305</v>
      </c>
      <c r="AZ159" s="8">
        <f t="shared" si="93"/>
        <v>4591572.7453448279</v>
      </c>
      <c r="BA159" s="8">
        <f t="shared" si="93"/>
        <v>4587847.8742358098</v>
      </c>
      <c r="BB159" s="8">
        <f t="shared" si="93"/>
        <v>4645158.7210714212</v>
      </c>
      <c r="BC159" s="8">
        <f t="shared" si="93"/>
        <v>4673273.0562311634</v>
      </c>
      <c r="BD159" s="8">
        <f t="shared" si="93"/>
        <v>4769192.2327476181</v>
      </c>
      <c r="BE159" s="8">
        <f t="shared" si="93"/>
        <v>4744430.3744682427</v>
      </c>
      <c r="BF159" s="8">
        <f t="shared" si="93"/>
        <v>4763545.4132443406</v>
      </c>
      <c r="BG159" s="8">
        <f t="shared" si="93"/>
        <v>5044029.645773679</v>
      </c>
      <c r="BH159" s="8">
        <f t="shared" si="93"/>
        <v>5005346.327509772</v>
      </c>
      <c r="BI159" s="8">
        <f t="shared" si="93"/>
        <v>4868234.2096058652</v>
      </c>
      <c r="BJ159" s="8">
        <f t="shared" si="93"/>
        <v>4761054.6939746868</v>
      </c>
      <c r="BK159" s="8">
        <f t="shared" si="93"/>
        <v>4690726.4307785723</v>
      </c>
      <c r="BL159" s="8">
        <f t="shared" si="93"/>
        <v>4698299.1914256793</v>
      </c>
      <c r="BM159" s="8">
        <f t="shared" si="93"/>
        <v>4542807.0007740855</v>
      </c>
      <c r="BN159" s="8">
        <f t="shared" si="93"/>
        <v>4453629.3864211924</v>
      </c>
      <c r="BO159" s="8">
        <f t="shared" ref="BO159:CH159" si="94">BO146+BO151</f>
        <v>4340091.6863219729</v>
      </c>
      <c r="BP159" s="8">
        <f t="shared" si="94"/>
        <v>4300141.3446963532</v>
      </c>
      <c r="BQ159" s="8">
        <f t="shared" si="94"/>
        <v>4196162.674044759</v>
      </c>
      <c r="BR159" s="8">
        <f t="shared" si="94"/>
        <v>4089462.7074191393</v>
      </c>
      <c r="BS159" s="8">
        <f t="shared" si="94"/>
        <v>4013786.9364104019</v>
      </c>
      <c r="BT159" s="8">
        <f t="shared" si="94"/>
        <v>4104167.4133396596</v>
      </c>
      <c r="BU159" s="8">
        <f t="shared" si="94"/>
        <v>4033145.0075906627</v>
      </c>
      <c r="BV159" s="8">
        <f t="shared" si="94"/>
        <v>3996719.5344715361</v>
      </c>
      <c r="BW159" s="8">
        <f t="shared" si="94"/>
        <v>4069716.6887874752</v>
      </c>
      <c r="BX159" s="8">
        <f t="shared" si="94"/>
        <v>4157469.2365955766</v>
      </c>
      <c r="BY159" s="8">
        <f t="shared" si="94"/>
        <v>4086531.7681699116</v>
      </c>
      <c r="BZ159" s="8">
        <f t="shared" si="94"/>
        <v>4153428.8508806098</v>
      </c>
      <c r="CA159" s="8">
        <f t="shared" si="94"/>
        <v>4130587.8416170664</v>
      </c>
      <c r="CB159" s="8">
        <f t="shared" si="94"/>
        <v>4219665.8829316609</v>
      </c>
      <c r="CC159" s="8">
        <f t="shared" si="94"/>
        <v>4234324.2813891117</v>
      </c>
      <c r="CD159" s="8">
        <f t="shared" si="94"/>
        <v>4170127.9882881213</v>
      </c>
      <c r="CE159" s="8">
        <f t="shared" si="94"/>
        <v>4099932.1213234942</v>
      </c>
      <c r="CF159" s="8">
        <f t="shared" si="94"/>
        <v>4158472.7964764014</v>
      </c>
      <c r="CG159" s="8">
        <f t="shared" si="94"/>
        <v>4003474.7825961914</v>
      </c>
      <c r="CH159" s="8">
        <f t="shared" si="94"/>
        <v>3837262.5276445523</v>
      </c>
      <c r="CI159" s="23"/>
      <c r="CJ159" s="54"/>
      <c r="CK159" s="54"/>
    </row>
    <row r="160" spans="1:89" ht="15" customHeight="1" x14ac:dyDescent="0.25">
      <c r="A160" s="7" t="s">
        <v>105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-495373.60353309079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-676861.91905946739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-25450.014690217857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-160328.87001097109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-228316.20894481917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-16291.61494102347</v>
      </c>
      <c r="CI160" s="23"/>
      <c r="CJ160" s="54"/>
      <c r="CK160" s="54"/>
    </row>
    <row r="161" spans="1:89" ht="15" customHeight="1" x14ac:dyDescent="0.25">
      <c r="A161" s="57" t="s">
        <v>106</v>
      </c>
      <c r="B161" s="58"/>
      <c r="C161" s="59">
        <f t="shared" ref="C161:AH161" si="95">C159+C147+C152+C153+C154+C155+C160</f>
        <v>2115534.055345369</v>
      </c>
      <c r="D161" s="59">
        <f t="shared" si="95"/>
        <v>2095006.3456269167</v>
      </c>
      <c r="E161" s="59">
        <f t="shared" si="95"/>
        <v>2046808.7099298029</v>
      </c>
      <c r="F161" s="59">
        <f t="shared" si="95"/>
        <v>2435611.1341928462</v>
      </c>
      <c r="G161" s="59">
        <f t="shared" si="95"/>
        <v>2529500.224174933</v>
      </c>
      <c r="H161" s="59">
        <f t="shared" si="95"/>
        <v>2628203.9125604979</v>
      </c>
      <c r="I161" s="59">
        <f t="shared" si="95"/>
        <v>2928692.7896048012</v>
      </c>
      <c r="J161" s="59">
        <f t="shared" si="95"/>
        <v>3268156.548100763</v>
      </c>
      <c r="K161" s="59">
        <f t="shared" si="95"/>
        <v>3364792.1951103033</v>
      </c>
      <c r="L161" s="59">
        <f t="shared" si="95"/>
        <v>3491515.3012777218</v>
      </c>
      <c r="M161" s="59">
        <f t="shared" si="95"/>
        <v>3374738.3188822041</v>
      </c>
      <c r="N161" s="59">
        <f t="shared" si="95"/>
        <v>2986339.0029540574</v>
      </c>
      <c r="O161" s="59">
        <f t="shared" si="95"/>
        <v>2949196.9895174857</v>
      </c>
      <c r="P161" s="59">
        <f t="shared" si="95"/>
        <v>3211605.7624239097</v>
      </c>
      <c r="Q161" s="59">
        <f t="shared" si="95"/>
        <v>3586794.9884945988</v>
      </c>
      <c r="R161" s="59">
        <f t="shared" si="95"/>
        <v>3768176.7170561273</v>
      </c>
      <c r="S161" s="59">
        <f t="shared" si="95"/>
        <v>3786148.4052520916</v>
      </c>
      <c r="T161" s="59">
        <f t="shared" si="95"/>
        <v>3773948.8576317923</v>
      </c>
      <c r="U161" s="59">
        <f t="shared" si="95"/>
        <v>3809249.4594017235</v>
      </c>
      <c r="V161" s="59">
        <f t="shared" si="95"/>
        <v>3797657.8134119944</v>
      </c>
      <c r="W161" s="59">
        <f t="shared" si="95"/>
        <v>3875029.3486897503</v>
      </c>
      <c r="X161" s="59">
        <f t="shared" si="95"/>
        <v>3938674.7943758778</v>
      </c>
      <c r="Y161" s="59">
        <f t="shared" si="95"/>
        <v>3766655.4820635617</v>
      </c>
      <c r="Z161" s="59">
        <f t="shared" si="95"/>
        <v>3208335.136748543</v>
      </c>
      <c r="AA161" s="59">
        <f t="shared" si="95"/>
        <v>3971461.0877329684</v>
      </c>
      <c r="AB161" s="59">
        <f t="shared" si="95"/>
        <v>3935680.005805973</v>
      </c>
      <c r="AC161" s="59">
        <f t="shared" si="95"/>
        <v>3315163.2865250004</v>
      </c>
      <c r="AD161" s="59">
        <f t="shared" si="95"/>
        <v>3263236.8434585761</v>
      </c>
      <c r="AE161" s="59">
        <f t="shared" si="95"/>
        <v>3273352.6517044888</v>
      </c>
      <c r="AF161" s="59">
        <f t="shared" si="95"/>
        <v>3284765.4232813218</v>
      </c>
      <c r="AG161" s="59">
        <f t="shared" si="95"/>
        <v>3452519.4099036413</v>
      </c>
      <c r="AH161" s="59">
        <f t="shared" si="95"/>
        <v>3485742.7725400119</v>
      </c>
      <c r="AI161" s="59">
        <f t="shared" ref="AI161:BN161" si="96">AI159+AI147+AI152+AI153+AI154+AI155+AI160</f>
        <v>3709862.7309904769</v>
      </c>
      <c r="AJ161" s="59">
        <f t="shared" si="96"/>
        <v>3663424.6822999865</v>
      </c>
      <c r="AK161" s="59">
        <f t="shared" si="96"/>
        <v>3657419.6747790906</v>
      </c>
      <c r="AL161" s="59">
        <f t="shared" si="96"/>
        <v>3752618.2933836784</v>
      </c>
      <c r="AM161" s="59">
        <f t="shared" si="96"/>
        <v>3754438.4687222694</v>
      </c>
      <c r="AN161" s="59">
        <f t="shared" si="96"/>
        <v>3748494.2730097529</v>
      </c>
      <c r="AO161" s="59">
        <f t="shared" si="96"/>
        <v>3813303.1393227652</v>
      </c>
      <c r="AP161" s="59">
        <f t="shared" si="96"/>
        <v>3859256.9388444293</v>
      </c>
      <c r="AQ161" s="59">
        <f t="shared" si="96"/>
        <v>3902787.0531108654</v>
      </c>
      <c r="AR161" s="59">
        <f t="shared" si="96"/>
        <v>4233965.4136142079</v>
      </c>
      <c r="AS161" s="59">
        <f t="shared" si="96"/>
        <v>4227871.7130971039</v>
      </c>
      <c r="AT161" s="59">
        <f t="shared" si="96"/>
        <v>4261744.5477897394</v>
      </c>
      <c r="AU161" s="59">
        <f t="shared" si="96"/>
        <v>4244292.2976937136</v>
      </c>
      <c r="AV161" s="59">
        <f t="shared" si="96"/>
        <v>4277051.7419088027</v>
      </c>
      <c r="AW161" s="59">
        <f t="shared" si="96"/>
        <v>4341865.4825308342</v>
      </c>
      <c r="AX161" s="59">
        <f t="shared" si="96"/>
        <v>4272795.2225434603</v>
      </c>
      <c r="AY161" s="59">
        <f t="shared" si="96"/>
        <v>4591572.7453448279</v>
      </c>
      <c r="AZ161" s="59">
        <f t="shared" si="96"/>
        <v>4587847.8742358088</v>
      </c>
      <c r="BA161" s="59">
        <f t="shared" si="96"/>
        <v>4645158.7210714212</v>
      </c>
      <c r="BB161" s="59">
        <f t="shared" si="96"/>
        <v>4673273.0562311625</v>
      </c>
      <c r="BC161" s="59">
        <f t="shared" si="96"/>
        <v>4769192.232747619</v>
      </c>
      <c r="BD161" s="59">
        <f t="shared" si="96"/>
        <v>4744430.3744682427</v>
      </c>
      <c r="BE161" s="59">
        <f t="shared" si="96"/>
        <v>4763545.4132443406</v>
      </c>
      <c r="BF161" s="59">
        <f t="shared" si="96"/>
        <v>5044029.645773679</v>
      </c>
      <c r="BG161" s="59">
        <f t="shared" si="96"/>
        <v>5005346.327509773</v>
      </c>
      <c r="BH161" s="59">
        <f t="shared" si="96"/>
        <v>4868234.2096058661</v>
      </c>
      <c r="BI161" s="59">
        <f t="shared" si="96"/>
        <v>4761054.6939746868</v>
      </c>
      <c r="BJ161" s="59">
        <f t="shared" si="96"/>
        <v>4462410.2218337543</v>
      </c>
      <c r="BK161" s="59">
        <f t="shared" si="96"/>
        <v>4698299.1914256793</v>
      </c>
      <c r="BL161" s="59">
        <f t="shared" si="96"/>
        <v>4542807.0007740855</v>
      </c>
      <c r="BM161" s="59">
        <f t="shared" si="96"/>
        <v>4453629.3864211924</v>
      </c>
      <c r="BN161" s="59">
        <f t="shared" si="96"/>
        <v>4340091.6863219729</v>
      </c>
      <c r="BO161" s="59">
        <f t="shared" ref="BO161:CT161" si="97">BO159+BO147+BO152+BO153+BO154+BO155+BO160</f>
        <v>4300141.3446963532</v>
      </c>
      <c r="BP161" s="59">
        <f t="shared" si="97"/>
        <v>4196162.674044759</v>
      </c>
      <c r="BQ161" s="59">
        <f t="shared" si="97"/>
        <v>4089462.7074191389</v>
      </c>
      <c r="BR161" s="59">
        <f t="shared" si="97"/>
        <v>4013786.9364104019</v>
      </c>
      <c r="BS161" s="59">
        <f t="shared" si="97"/>
        <v>4104167.4133396596</v>
      </c>
      <c r="BT161" s="59">
        <f t="shared" si="97"/>
        <v>4033145.0075906622</v>
      </c>
      <c r="BU161" s="59">
        <f t="shared" si="97"/>
        <v>3996719.5344715356</v>
      </c>
      <c r="BV161" s="59">
        <f t="shared" si="97"/>
        <v>4069716.6887874738</v>
      </c>
      <c r="BW161" s="59">
        <f t="shared" si="97"/>
        <v>4157469.2365955766</v>
      </c>
      <c r="BX161" s="59">
        <f t="shared" si="97"/>
        <v>4086531.7681699116</v>
      </c>
      <c r="BY161" s="59">
        <f t="shared" si="97"/>
        <v>4153428.8508806098</v>
      </c>
      <c r="BZ161" s="59">
        <f t="shared" si="97"/>
        <v>4130587.8416170673</v>
      </c>
      <c r="CA161" s="59">
        <f t="shared" si="97"/>
        <v>4219665.8829316609</v>
      </c>
      <c r="CB161" s="59">
        <f t="shared" si="97"/>
        <v>4234324.2813891126</v>
      </c>
      <c r="CC161" s="59">
        <f t="shared" si="97"/>
        <v>4170127.9882881213</v>
      </c>
      <c r="CD161" s="59">
        <f t="shared" si="97"/>
        <v>4099932.1213234952</v>
      </c>
      <c r="CE161" s="59">
        <f t="shared" si="97"/>
        <v>4158472.7964764023</v>
      </c>
      <c r="CF161" s="59">
        <f t="shared" si="97"/>
        <v>4003474.7825961905</v>
      </c>
      <c r="CG161" s="59">
        <f t="shared" si="97"/>
        <v>3837262.5276445523</v>
      </c>
      <c r="CH161" s="59">
        <f t="shared" si="97"/>
        <v>3724410.3994557713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236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237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238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239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240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00" t="s">
        <v>241</v>
      </c>
      <c r="B1" s="201"/>
      <c r="C1" s="201"/>
      <c r="D1" s="201"/>
      <c r="E1" s="20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242</v>
      </c>
      <c r="C2" s="3" t="s">
        <v>243</v>
      </c>
      <c r="D2" s="3" t="s">
        <v>244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  <c r="L2" s="3" t="s">
        <v>252</v>
      </c>
      <c r="M2" s="3" t="s">
        <v>253</v>
      </c>
      <c r="N2" s="3" t="s">
        <v>254</v>
      </c>
      <c r="O2" s="3" t="s">
        <v>255</v>
      </c>
      <c r="P2" s="3" t="s">
        <v>256</v>
      </c>
      <c r="Q2" s="3" t="s">
        <v>257</v>
      </c>
      <c r="R2" s="3" t="s">
        <v>258</v>
      </c>
      <c r="S2" s="3" t="s">
        <v>259</v>
      </c>
      <c r="T2" s="3" t="s">
        <v>260</v>
      </c>
      <c r="U2" s="3" t="s">
        <v>261</v>
      </c>
      <c r="V2" s="3" t="s">
        <v>262</v>
      </c>
      <c r="W2" s="3" t="s">
        <v>263</v>
      </c>
      <c r="X2" s="3" t="s">
        <v>264</v>
      </c>
      <c r="Y2" s="3" t="s">
        <v>265</v>
      </c>
      <c r="Z2" s="3" t="s">
        <v>266</v>
      </c>
      <c r="AA2" s="3" t="s">
        <v>267</v>
      </c>
      <c r="AB2" s="3" t="s">
        <v>268</v>
      </c>
      <c r="AC2" s="3" t="s">
        <v>269</v>
      </c>
    </row>
    <row r="3" spans="1:29" ht="15" customHeight="1" x14ac:dyDescent="0.25">
      <c r="A3" s="4" t="s">
        <v>71</v>
      </c>
      <c r="B3" s="63">
        <f>Model!C7+Model!D7+Model!E7</f>
        <v>12757009.572693285</v>
      </c>
      <c r="C3" s="63">
        <f>Model!F7+Model!G7+Model!H7</f>
        <v>16700979.110480992</v>
      </c>
      <c r="D3" s="63">
        <f>Model!I7+Model!J7+Model!K7</f>
        <v>20341786.133906916</v>
      </c>
      <c r="E3" s="63">
        <f>Model!L7+Model!M7+Model!N7</f>
        <v>21680815.107127607</v>
      </c>
      <c r="F3" s="63">
        <f>Model!O7+Model!P7+Model!Q7</f>
        <v>24337637.287438244</v>
      </c>
      <c r="G3" s="63">
        <f>Model!R7+Model!S7+Model!T7</f>
        <v>21378563.495224979</v>
      </c>
      <c r="H3" s="63">
        <f>Model!U7+Model!V7+Model!W7</f>
        <v>19821720.735296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12310324.011073001</v>
      </c>
      <c r="M3" s="63">
        <f>Model!AJ7+Model!AK7+Model!AL7</f>
        <v>13963855.058484001</v>
      </c>
      <c r="N3" s="63">
        <f>Model!AM7+Model!AN7+Model!AO7</f>
        <v>15148701.488293998</v>
      </c>
      <c r="O3" s="63">
        <f>Model!AP7+Model!AQ7+Model!AR7</f>
        <v>16731606.921916001</v>
      </c>
      <c r="P3" s="63">
        <f>Model!AS7+Model!AT7+Model!AU7</f>
        <v>16400007.356072001</v>
      </c>
      <c r="Q3" s="63">
        <f>Model!AV7+Model!AW7+Model!AX7</f>
        <v>16893173.614079997</v>
      </c>
      <c r="R3" s="63">
        <f>Model!AY7+Model!AZ7+Model!BA7</f>
        <v>15815467.349224001</v>
      </c>
      <c r="S3" s="63">
        <f>Model!BB7+Model!BC7+Model!BD7</f>
        <v>14754621.951639999</v>
      </c>
      <c r="T3" s="63">
        <f>Model!BE7+Model!BF7+Model!BG7</f>
        <v>13795487.005208001</v>
      </c>
      <c r="U3" s="63">
        <f>Model!BH7+Model!BI7+Model!BJ7</f>
        <v>11995131</v>
      </c>
      <c r="V3" s="63">
        <f>Model!BK7+Model!BL7+Model!BM7</f>
        <v>11838930</v>
      </c>
      <c r="W3" s="63">
        <f>Model!BN7+Model!BO7+Model!BP7</f>
        <v>11802108</v>
      </c>
      <c r="X3" s="63">
        <f>Model!BQ7+Model!BR7+Model!BS7</f>
        <v>12761586</v>
      </c>
      <c r="Y3" s="63">
        <f>Model!BT7+Model!BU7+Model!BV7</f>
        <v>13774956</v>
      </c>
      <c r="Z3" s="63">
        <f>Model!BW7+Model!BX7+Model!BY7</f>
        <v>14504085</v>
      </c>
      <c r="AA3" s="63">
        <f>Model!BZ7+Model!CA7+Model!CB7</f>
        <v>15004098</v>
      </c>
      <c r="AB3" s="63">
        <f>Model!CC7+Model!CD7+Model!CE7</f>
        <v>13672746</v>
      </c>
      <c r="AC3" s="63">
        <f>Model!CF7+Model!CG7+Model!CH7</f>
        <v>10628505</v>
      </c>
    </row>
    <row r="4" spans="1:29" ht="15" customHeight="1" x14ac:dyDescent="0.25">
      <c r="A4" s="6" t="s">
        <v>72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73</v>
      </c>
      <c r="B5" s="8">
        <f>Model!C8+Model!D8+Model!E8</f>
        <v>497246.0670048701</v>
      </c>
      <c r="C5" s="8">
        <f>Model!F8+Model!G8+Model!H8</f>
        <v>696044.89297889604</v>
      </c>
      <c r="D5" s="8">
        <f>Model!I8+Model!J8+Model!K8</f>
        <v>937472.0150974025</v>
      </c>
      <c r="E5" s="8">
        <f>Model!L8+Model!M8+Model!N8</f>
        <v>922419.80119724013</v>
      </c>
      <c r="F5" s="8">
        <f>Model!O8+Model!P8+Model!Q8</f>
        <v>1193132.2573660712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1001764.7110186686</v>
      </c>
      <c r="M5" s="8">
        <f>Model!AJ8+Model!AK8+Model!AL8</f>
        <v>717201.68303571409</v>
      </c>
      <c r="N5" s="8">
        <f>Model!AM8+Model!AN8+Model!AO8</f>
        <v>678362.00600649347</v>
      </c>
      <c r="O5" s="8">
        <f>Model!AP8+Model!AQ8+Model!AR8</f>
        <v>861641.47840909078</v>
      </c>
      <c r="P5" s="8">
        <f>Model!AS8+Model!AT8+Model!AU8</f>
        <v>673475.16428571416</v>
      </c>
      <c r="Q5" s="8">
        <f>Model!AV8+Model!AW8+Model!AX8</f>
        <v>746527.11233766226</v>
      </c>
      <c r="R5" s="8">
        <f>Model!AY8+Model!AZ8+Model!BA8</f>
        <v>775747.89155844145</v>
      </c>
      <c r="S5" s="8">
        <f>Model!BB8+Model!BC8+Model!BD8</f>
        <v>761137.50194805185</v>
      </c>
      <c r="T5" s="8">
        <f>Model!BE8+Model!BF8+Model!BG8</f>
        <v>856502.83896103874</v>
      </c>
      <c r="U5" s="8">
        <f>Model!BH8+Model!BI8+Model!BJ8</f>
        <v>555194.80519480514</v>
      </c>
      <c r="V5" s="8">
        <f>Model!BK8+Model!BL8+Model!BM8</f>
        <v>584415.58441558434</v>
      </c>
      <c r="W5" s="8">
        <f>Model!BN8+Model!BO8+Model!BP8</f>
        <v>569805.19480519462</v>
      </c>
      <c r="X5" s="8">
        <f>Model!BQ8+Model!BR8+Model!BS8</f>
        <v>664772.72727272706</v>
      </c>
      <c r="Y5" s="8">
        <f>Model!BT8+Model!BU8+Model!BV8</f>
        <v>664772.72727272706</v>
      </c>
      <c r="Z5" s="8">
        <f>Model!BW8+Model!BX8+Model!BY8</f>
        <v>693993.50649350637</v>
      </c>
      <c r="AA5" s="8">
        <f>Model!BZ8+Model!CA8+Model!CB8</f>
        <v>679383.11688311677</v>
      </c>
      <c r="AB5" s="8">
        <f>Model!CC8+Model!CD8+Model!CE8</f>
        <v>606331.16883116867</v>
      </c>
      <c r="AC5" s="8">
        <f>Model!CF8+Model!CG8+Model!CH8</f>
        <v>460227.27272727265</v>
      </c>
    </row>
    <row r="6" spans="1:29" ht="15" customHeight="1" x14ac:dyDescent="0.25">
      <c r="A6" s="7" t="s">
        <v>74</v>
      </c>
      <c r="B6" s="8">
        <f>Model!C9+Model!D9+Model!E9</f>
        <v>590218.78704830934</v>
      </c>
      <c r="C6" s="8">
        <f>Model!F9+Model!G9+Model!H9</f>
        <v>772691.40365050035</v>
      </c>
      <c r="D6" s="8">
        <f>Model!I9+Model!J9+Model!K9</f>
        <v>954097.17746160203</v>
      </c>
      <c r="E6" s="8">
        <f>Model!L9+Model!M9+Model!N9</f>
        <v>1003089.6599888583</v>
      </c>
      <c r="F6" s="8">
        <f>Model!O9+Model!P9+Model!Q9</f>
        <v>1187290.9759610225</v>
      </c>
      <c r="G6" s="8">
        <f>Model!R9+Model!S9+Model!T9</f>
        <v>1037763.4052173892</v>
      </c>
      <c r="H6" s="8">
        <f>Model!U9+Model!V9+Model!W9</f>
        <v>926945.06729859731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725961.06138892937</v>
      </c>
      <c r="M6" s="8">
        <f>Model!AJ9+Model!AK9+Model!AL9</f>
        <v>684638.301407133</v>
      </c>
      <c r="N6" s="8">
        <f>Model!AM9+Model!AN9+Model!AO9</f>
        <v>700873.36431230349</v>
      </c>
      <c r="O6" s="8">
        <f>Model!AP9+Model!AQ9+Model!AR9</f>
        <v>884335.96148474992</v>
      </c>
      <c r="P6" s="8">
        <f>Model!AS9+Model!AT9+Model!AU9</f>
        <v>758766.57410398044</v>
      </c>
      <c r="Q6" s="8">
        <f>Model!AV9+Model!AW9+Model!AX9</f>
        <v>781583.51948259736</v>
      </c>
      <c r="R6" s="8">
        <f>Model!AY9+Model!AZ9+Model!BA9</f>
        <v>775553.27833260363</v>
      </c>
      <c r="S6" s="8">
        <f>Model!BB9+Model!BC9+Model!BD9</f>
        <v>719166.76237295452</v>
      </c>
      <c r="T6" s="8">
        <f>Model!BE9+Model!BF9+Model!BG9</f>
        <v>775492.41501368186</v>
      </c>
      <c r="U6" s="8">
        <f>Model!BH9+Model!BI9+Model!BJ9</f>
        <v>554969.53490259731</v>
      </c>
      <c r="V6" s="8">
        <f>Model!BK9+Model!BL9+Model!BM9</f>
        <v>591573.87175324664</v>
      </c>
      <c r="W6" s="8">
        <f>Model!BN9+Model!BO9+Model!BP9</f>
        <v>582565.06168831163</v>
      </c>
      <c r="X6" s="8">
        <f>Model!BQ9+Model!BR9+Model!BS9</f>
        <v>626956.49512987002</v>
      </c>
      <c r="Y6" s="8">
        <f>Model!BT9+Model!BU9+Model!BV9</f>
        <v>637315.33441558434</v>
      </c>
      <c r="Z6" s="8">
        <f>Model!BW9+Model!BX9+Model!BY9</f>
        <v>714880.5560064934</v>
      </c>
      <c r="AA6" s="8">
        <f>Model!BZ9+Model!CA9+Model!CB9</f>
        <v>730709.07954545447</v>
      </c>
      <c r="AB6" s="8">
        <f>Model!CC9+Model!CD9+Model!CE9</f>
        <v>669112.43668831163</v>
      </c>
      <c r="AC6" s="8">
        <f>Model!CF9+Model!CG9+Model!CH9</f>
        <v>491740.89691558434</v>
      </c>
    </row>
    <row r="7" spans="1:29" ht="15" customHeight="1" x14ac:dyDescent="0.25">
      <c r="A7" s="7" t="s">
        <v>75</v>
      </c>
      <c r="B7" s="8">
        <f>Model!C10+Model!D10+Model!E10</f>
        <v>125585.61087662338</v>
      </c>
      <c r="C7" s="8">
        <f>Model!F10+Model!G10+Model!H10</f>
        <v>191851.88620129871</v>
      </c>
      <c r="D7" s="8">
        <f>Model!I10+Model!J10+Model!K10</f>
        <v>273610.07899080089</v>
      </c>
      <c r="E7" s="8">
        <f>Model!L10+Model!M10+Model!N10</f>
        <v>273955.79519074678</v>
      </c>
      <c r="F7" s="8">
        <f>Model!O10+Model!P10+Model!Q10</f>
        <v>364193.28058035718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333921.57033955632</v>
      </c>
      <c r="M7" s="8">
        <f>Model!AJ10+Model!AK10+Model!AL10</f>
        <v>239067.22767857142</v>
      </c>
      <c r="N7" s="8">
        <f>Model!AM10+Model!AN10+Model!AO10</f>
        <v>226120.66866883117</v>
      </c>
      <c r="O7" s="8">
        <f>Model!AP10+Model!AQ10+Model!AR10</f>
        <v>287213.82613636367</v>
      </c>
      <c r="P7" s="8">
        <f>Model!AS10+Model!AT10+Model!AU10</f>
        <v>224491.72142857141</v>
      </c>
      <c r="Q7" s="8">
        <f>Model!AV10+Model!AW10+Model!AX10</f>
        <v>248842.37077922077</v>
      </c>
      <c r="R7" s="8">
        <f>Model!AY10+Model!AZ10+Model!BA10</f>
        <v>258582.63051948056</v>
      </c>
      <c r="S7" s="8">
        <f>Model!BB10+Model!BC10+Model!BD10</f>
        <v>253712.50064935067</v>
      </c>
      <c r="T7" s="8">
        <f>Model!BE10+Model!BF10+Model!BG10</f>
        <v>285500.94632034632</v>
      </c>
      <c r="U7" s="8">
        <f>Model!BH10+Model!BI10+Model!BJ10</f>
        <v>185064.93506493507</v>
      </c>
      <c r="V7" s="8">
        <f>Model!BK10+Model!BL10+Model!BM10</f>
        <v>194805.19480519483</v>
      </c>
      <c r="W7" s="8">
        <f>Model!BN10+Model!BO10+Model!BP10</f>
        <v>189935.06493506496</v>
      </c>
      <c r="X7" s="8">
        <f>Model!BQ10+Model!BR10+Model!BS10</f>
        <v>221590.90909090909</v>
      </c>
      <c r="Y7" s="8">
        <f>Model!BT10+Model!BU10+Model!BV10</f>
        <v>221590.90909090906</v>
      </c>
      <c r="Z7" s="8">
        <f>Model!BW10+Model!BX10+Model!BY10</f>
        <v>231331.16883116885</v>
      </c>
      <c r="AA7" s="8">
        <f>Model!BZ10+Model!CA10+Model!CB10</f>
        <v>226461.03896103898</v>
      </c>
      <c r="AB7" s="8">
        <f>Model!CC10+Model!CD10+Model!CE10</f>
        <v>202110.38961038963</v>
      </c>
      <c r="AC7" s="8">
        <f>Model!CF10+Model!CG10+Model!CH10</f>
        <v>153409.09090909091</v>
      </c>
    </row>
    <row r="8" spans="1:29" ht="15" customHeight="1" x14ac:dyDescent="0.25">
      <c r="A8" s="7" t="s">
        <v>76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77</v>
      </c>
      <c r="B9" s="10">
        <f>Model!C12+Model!D12+Model!E12</f>
        <v>1213050.4649298028</v>
      </c>
      <c r="C9" s="10">
        <f>Model!F12+Model!G12+Model!H12</f>
        <v>2305114.9028306948</v>
      </c>
      <c r="D9" s="10">
        <f>Model!I12+Model!J12+Model!K12</f>
        <v>2926190.171549805</v>
      </c>
      <c r="E9" s="10">
        <f>Model!L12+Model!M12+Model!N12</f>
        <v>2199465.2563768453</v>
      </c>
      <c r="F9" s="10">
        <f>Model!O12+Model!P12+Model!Q12</f>
        <v>3423618.063907451</v>
      </c>
      <c r="G9" s="10">
        <f>Model!R12+Model!S12+Model!T12</f>
        <v>2129698.2760371943</v>
      </c>
      <c r="H9" s="10">
        <f>Model!U12+Model!V12+Model!W12</f>
        <v>1890179.1412434024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2061647.3427471544</v>
      </c>
      <c r="M9" s="10">
        <f>Model!AJ12+Model!AK12+Model!AL12</f>
        <v>1640907.2121214187</v>
      </c>
      <c r="N9" s="10">
        <f>Model!AM12+Model!AN12+Model!AO12</f>
        <v>1605356.038987628</v>
      </c>
      <c r="O9" s="10">
        <f>Model!AP12+Model!AQ12+Model!AR12</f>
        <v>2033191.2660302045</v>
      </c>
      <c r="P9" s="10">
        <f>Model!AS12+Model!AT12+Model!AU12</f>
        <v>1656733.4598182661</v>
      </c>
      <c r="Q9" s="10">
        <f>Model!AV12+Model!AW12+Model!AX12</f>
        <v>1776953.0025994803</v>
      </c>
      <c r="R9" s="10">
        <f>Model!AY12+Model!AZ12+Model!BA12</f>
        <v>1809883.8004105256</v>
      </c>
      <c r="S9" s="10">
        <f>Model!BB12+Model!BC12+Model!BD12</f>
        <v>1734016.7649703566</v>
      </c>
      <c r="T9" s="10">
        <f>Model!BE12+Model!BF12+Model!BG12</f>
        <v>1917496.2002950667</v>
      </c>
      <c r="U9" s="10">
        <f>Model!BH12+Model!BI12+Model!BJ12</f>
        <v>1295229.2751623373</v>
      </c>
      <c r="V9" s="10">
        <f>Model!BK12+Model!BL12+Model!BM12</f>
        <v>1370794.6509740257</v>
      </c>
      <c r="W9" s="10">
        <f>Model!BN12+Model!BO12+Model!BP12</f>
        <v>1342305.3214285714</v>
      </c>
      <c r="X9" s="10">
        <f>Model!BQ12+Model!BR12+Model!BS12</f>
        <v>1513320.1314935063</v>
      </c>
      <c r="Y9" s="10">
        <f>Model!BT12+Model!BU12+Model!BV12</f>
        <v>1523678.9707792206</v>
      </c>
      <c r="Z9" s="10">
        <f>Model!BW12+Model!BX12+Model!BY12</f>
        <v>1640205.2313311687</v>
      </c>
      <c r="AA9" s="10">
        <f>Model!BZ12+Model!CA12+Model!CB12</f>
        <v>1636553.2353896103</v>
      </c>
      <c r="AB9" s="10">
        <f>Model!CC12+Model!CD12+Model!CE12</f>
        <v>1477553.9951298698</v>
      </c>
      <c r="AC9" s="10">
        <f>Model!CF12+Model!CG12+Model!CH12</f>
        <v>1105377.2605519481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78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79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80</v>
      </c>
      <c r="B13" s="8">
        <f>Model!C16+Model!D16+Model!E16+Model!C17+Model!D17+Model!E17</f>
        <v>-675473</v>
      </c>
      <c r="C13" s="8">
        <f>Model!F16+Model!G16+Model!H16+Model!F17+Model!G17+Model!H17</f>
        <v>-771723</v>
      </c>
      <c r="D13" s="8">
        <f>Model!I16+Model!J16+Model!K16+Model!I17+Model!J17+Model!K17</f>
        <v>-771723</v>
      </c>
      <c r="E13" s="8">
        <f>Model!L16+Model!M16+Model!N16+Model!L17+Model!M17+Model!N17</f>
        <v>-771723</v>
      </c>
      <c r="F13" s="8">
        <f>Model!O16+Model!P16+Model!Q16+Model!O17+Model!P17+Model!Q17</f>
        <v>-771723</v>
      </c>
      <c r="G13" s="8">
        <f>Model!R16+Model!S16+Model!T16+Model!R17+Model!S17+Model!T17</f>
        <v>-771723</v>
      </c>
      <c r="H13" s="8">
        <f>Model!U16+Model!V16+Model!W16+Model!U17+Model!V17+Model!W17</f>
        <v>-771723</v>
      </c>
      <c r="I13" s="8">
        <f>Model!X16+Model!Y16+Model!Z16+Model!X17+Model!Y17+Model!Z17</f>
        <v>-771723</v>
      </c>
      <c r="J13" s="8">
        <f>Model!AA16+Model!AB16+Model!AC16+Model!AA17+Model!AB17+Model!AC17</f>
        <v>-771723</v>
      </c>
      <c r="K13" s="8">
        <f>Model!AD16+Model!AE16+Model!AF16+Model!AD17+Model!AE17+Model!AF17</f>
        <v>-771723</v>
      </c>
      <c r="L13" s="8">
        <f>Model!AG16+Model!AH16+Model!AI16+Model!AG17+Model!AH17+Model!AI17</f>
        <v>-771723</v>
      </c>
      <c r="M13" s="8">
        <f>Model!AJ16+Model!AK16+Model!AL16+Model!AJ17+Model!AK17+Model!AL17</f>
        <v>-771723</v>
      </c>
      <c r="N13" s="8">
        <f>Model!AM16+Model!AN16+Model!AO16+Model!AM17+Model!AN17+Model!AO17</f>
        <v>-771723</v>
      </c>
      <c r="O13" s="8">
        <f>Model!AP16+Model!AQ16+Model!AR16+Model!AP17+Model!AQ17+Model!AR17</f>
        <v>-771723</v>
      </c>
      <c r="P13" s="8">
        <f>Model!AS16+Model!AT16+Model!AU16+Model!AS17+Model!AT17+Model!AU17</f>
        <v>-771723</v>
      </c>
      <c r="Q13" s="8">
        <f>Model!AV16+Model!AW16+Model!AX16+Model!AV17+Model!AW17+Model!AX17</f>
        <v>-771723</v>
      </c>
      <c r="R13" s="8">
        <f>Model!AY16+Model!AZ16+Model!BA16+Model!AY17+Model!AZ17+Model!BA17</f>
        <v>-771723</v>
      </c>
      <c r="S13" s="8">
        <f>Model!BB16+Model!BC16+Model!BD16+Model!BB17+Model!BC17+Model!BD17</f>
        <v>-771723</v>
      </c>
      <c r="T13" s="8">
        <f>Model!BE16+Model!BF16+Model!BG16+Model!BE17+Model!BF17+Model!BG17</f>
        <v>-771723</v>
      </c>
      <c r="U13" s="8">
        <f>Model!BH16+Model!BI16+Model!BJ16+Model!BH17+Model!BI17+Model!BJ17</f>
        <v>-771723</v>
      </c>
      <c r="V13" s="8">
        <f>Model!BK16+Model!BL16+Model!BM16+Model!BK17+Model!BL17+Model!BM17</f>
        <v>-771723</v>
      </c>
      <c r="W13" s="8">
        <f>Model!BN16+Model!BO16+Model!BP16+Model!BN17+Model!BO17+Model!BP17</f>
        <v>-771723</v>
      </c>
      <c r="X13" s="8">
        <f>Model!BQ16+Model!BR16+Model!BS16+Model!BQ17+Model!BR17+Model!BS17</f>
        <v>-771723</v>
      </c>
      <c r="Y13" s="8">
        <f>Model!BT16+Model!BU16+Model!BV16+Model!BT17+Model!BU17+Model!BV17</f>
        <v>-771723</v>
      </c>
      <c r="Z13" s="8">
        <f>Model!BW16+Model!BX16+Model!BY16+Model!BW17+Model!BX17+Model!BY17</f>
        <v>-771723</v>
      </c>
      <c r="AA13" s="8">
        <f>Model!BZ16+Model!CA16+Model!CB16+Model!BZ17+Model!CA17+Model!CB17</f>
        <v>-771723</v>
      </c>
      <c r="AB13" s="8">
        <f>Model!CC16+Model!CD16+Model!CE16+Model!CC17+Model!CD17+Model!CE17</f>
        <v>-771723</v>
      </c>
      <c r="AC13" s="8">
        <f>Model!CF16+Model!CG16+Model!CH16+Model!CF17+Model!CG17+Model!CH17</f>
        <v>-771723</v>
      </c>
    </row>
    <row r="14" spans="1:29" ht="15" customHeight="1" x14ac:dyDescent="0.25">
      <c r="A14" s="7" t="s">
        <v>81</v>
      </c>
      <c r="B14" s="8">
        <f>Model!C18+Model!D18+Model!E18</f>
        <v>-219250.00000000003</v>
      </c>
      <c r="C14" s="8">
        <f>Model!F18+Model!G18+Model!H18</f>
        <v>-219250.00000000003</v>
      </c>
      <c r="D14" s="8">
        <f>Model!I18+Model!J18+Model!K18</f>
        <v>-219250.00000000003</v>
      </c>
      <c r="E14" s="8">
        <f>Model!L18+Model!M18+Model!N18</f>
        <v>-219250.00000000003</v>
      </c>
      <c r="F14" s="8">
        <f>Model!O18+Model!P18+Model!Q18</f>
        <v>-223635.00000000006</v>
      </c>
      <c r="G14" s="8">
        <f>Model!R18+Model!S18+Model!T18</f>
        <v>-223635.00000000006</v>
      </c>
      <c r="H14" s="8">
        <f>Model!U18+Model!V18+Model!W18</f>
        <v>-223635.00000000006</v>
      </c>
      <c r="I14" s="8">
        <f>Model!X18+Model!Y18+Model!Z18</f>
        <v>-223635.00000000006</v>
      </c>
      <c r="J14" s="8">
        <f>Model!AA18+Model!AB18+Model!AC18</f>
        <v>-228107.7</v>
      </c>
      <c r="K14" s="8">
        <f>Model!AD18+Model!AE18+Model!AF18</f>
        <v>-228107.7</v>
      </c>
      <c r="L14" s="8">
        <f>Model!AG18+Model!AH18+Model!AI18</f>
        <v>-228107.7</v>
      </c>
      <c r="M14" s="8">
        <f>Model!AJ18+Model!AK18+Model!AL18</f>
        <v>-228107.7</v>
      </c>
      <c r="N14" s="8">
        <f>Model!AM18+Model!AN18+Model!AO18</f>
        <v>-232669.85399999999</v>
      </c>
      <c r="O14" s="8">
        <f>Model!AP18+Model!AQ18+Model!AR18</f>
        <v>-232669.85399999999</v>
      </c>
      <c r="P14" s="8">
        <f>Model!AS18+Model!AT18+Model!AU18</f>
        <v>-232669.85399999999</v>
      </c>
      <c r="Q14" s="8">
        <f>Model!AV18+Model!AW18+Model!AX18</f>
        <v>-232669.85399999999</v>
      </c>
      <c r="R14" s="8">
        <f>Model!AY18+Model!AZ18+Model!BA18</f>
        <v>-237323.25108000002</v>
      </c>
      <c r="S14" s="8">
        <f>Model!BB18+Model!BC18+Model!BD18</f>
        <v>-237323.25108000002</v>
      </c>
      <c r="T14" s="8">
        <f>Model!BE18+Model!BF18+Model!BG18</f>
        <v>-237323.25108000002</v>
      </c>
      <c r="U14" s="8">
        <f>Model!BH18+Model!BI18+Model!BJ18</f>
        <v>-237323.25108000002</v>
      </c>
      <c r="V14" s="8">
        <f>Model!BK18+Model!BL18+Model!BM18</f>
        <v>-242069.71610160003</v>
      </c>
      <c r="W14" s="8">
        <f>Model!BN18+Model!BO18+Model!BP18</f>
        <v>-242069.71610160003</v>
      </c>
      <c r="X14" s="8">
        <f>Model!BQ18+Model!BR18+Model!BS18</f>
        <v>-242069.71610160003</v>
      </c>
      <c r="Y14" s="8">
        <f>Model!BT18+Model!BU18+Model!BV18</f>
        <v>-242069.71610160003</v>
      </c>
      <c r="Z14" s="8">
        <f>Model!BW18+Model!BX18+Model!BY18</f>
        <v>-246911.11042363205</v>
      </c>
      <c r="AA14" s="8">
        <f>Model!BZ18+Model!CA18+Model!CB18</f>
        <v>-246911.11042363205</v>
      </c>
      <c r="AB14" s="8">
        <f>Model!CC18+Model!CD18+Model!CE18</f>
        <v>-246911.11042363205</v>
      </c>
      <c r="AC14" s="8">
        <f>Model!CF18+Model!CG18+Model!CH18</f>
        <v>-246911.11042363205</v>
      </c>
    </row>
    <row r="15" spans="1:29" ht="15" customHeight="1" x14ac:dyDescent="0.25">
      <c r="A15" s="9" t="s">
        <v>82</v>
      </c>
      <c r="B15" s="10">
        <f>Model!C39+Model!D39+Model!E39</f>
        <v>-1105688.5950000002</v>
      </c>
      <c r="C15" s="10">
        <f>Model!F39+Model!G39+Model!H39</f>
        <v>-1535786.3602</v>
      </c>
      <c r="D15" s="10">
        <f>Model!I39+Model!J39+Model!K39</f>
        <v>-1593251.889</v>
      </c>
      <c r="E15" s="10">
        <f>Model!L39+Model!M39+Model!N39</f>
        <v>-1247819.8450000002</v>
      </c>
      <c r="F15" s="10">
        <f>Model!O39+Model!P39+Model!Q39</f>
        <v>-2727911.8069000002</v>
      </c>
      <c r="G15" s="10">
        <f>Model!R39+Model!S39+Model!T39</f>
        <v>-1256741.7818999998</v>
      </c>
      <c r="H15" s="10">
        <f>Model!U39+Model!V39+Model!W39</f>
        <v>-1226741.7818999998</v>
      </c>
      <c r="I15" s="10">
        <f>Model!X39+Model!Y39+Model!Z39</f>
        <v>-1256741.7818999998</v>
      </c>
      <c r="J15" s="10">
        <f>Model!AA39+Model!AB39+Model!AC39</f>
        <v>-2609867.6975380001</v>
      </c>
      <c r="K15" s="10">
        <f>Model!AD39+Model!AE39+Model!AF39</f>
        <v>-1271842.157538</v>
      </c>
      <c r="L15" s="10">
        <f>Model!AG39+Model!AH39+Model!AI39</f>
        <v>-1307842.157538</v>
      </c>
      <c r="M15" s="10">
        <f>Model!AJ39+Model!AK39+Model!AL39</f>
        <v>-1265842.157538</v>
      </c>
      <c r="N15" s="10">
        <f>Model!AM39+Model!AN39+Model!AO39</f>
        <v>-1257124.5406887599</v>
      </c>
      <c r="O15" s="10">
        <f>Model!AP39+Model!AQ39+Model!AR39</f>
        <v>-1275124.5406887599</v>
      </c>
      <c r="P15" s="10">
        <f>Model!AS39+Model!AT39+Model!AU39</f>
        <v>-1311124.5406887599</v>
      </c>
      <c r="Q15" s="10">
        <f>Model!AV39+Model!AW39+Model!AX39</f>
        <v>-1275124.5406887599</v>
      </c>
      <c r="R15" s="10">
        <f>Model!AY39+Model!AZ39+Model!BA39</f>
        <v>-1278592.5715025354</v>
      </c>
      <c r="S15" s="10">
        <f>Model!BB39+Model!BC39+Model!BD39</f>
        <v>-1290592.5715025354</v>
      </c>
      <c r="T15" s="10">
        <f>Model!BE39+Model!BF39+Model!BG39</f>
        <v>-1314592.5715025354</v>
      </c>
      <c r="U15" s="10">
        <f>Model!BH39+Model!BI39+Model!BJ39</f>
        <v>-1290592.5715025354</v>
      </c>
      <c r="V15" s="10">
        <f>Model!BK39+Model!BL39+Model!BM39</f>
        <v>-1282249.9629325862</v>
      </c>
      <c r="W15" s="10">
        <f>Model!BN39+Model!BO39+Model!BP39</f>
        <v>-1300249.9629325862</v>
      </c>
      <c r="X15" s="10">
        <f>Model!BQ39+Model!BR39+Model!BS39</f>
        <v>-1324249.9629325862</v>
      </c>
      <c r="Y15" s="10">
        <f>Model!BT39+Model!BU39+Model!BV39</f>
        <v>-1300249.9629325862</v>
      </c>
      <c r="Z15" s="10">
        <f>Model!BW39+Model!BX39+Model!BY39</f>
        <v>-1292100.5021912376</v>
      </c>
      <c r="AA15" s="10">
        <f>Model!BZ39+Model!CA39+Model!CB39</f>
        <v>-1274100.5021912376</v>
      </c>
      <c r="AB15" s="10">
        <f>Model!CC39+Model!CD39+Model!CE39</f>
        <v>-1274100.5021912376</v>
      </c>
      <c r="AC15" s="10">
        <f>Model!CF39+Model!CG39+Model!CH39</f>
        <v>-1274100.5021912376</v>
      </c>
    </row>
    <row r="16" spans="1:29" ht="15" customHeight="1" x14ac:dyDescent="0.25">
      <c r="A16" s="13" t="s">
        <v>83</v>
      </c>
      <c r="B16" s="14">
        <f>Model!C41+Model!D41+Model!E41</f>
        <v>107361.86992980278</v>
      </c>
      <c r="C16" s="14">
        <f>Model!F41+Model!G41+Model!H41</f>
        <v>769328.54263069504</v>
      </c>
      <c r="D16" s="14">
        <f>Model!I41+Model!J41+Model!K41</f>
        <v>1332938.2825498055</v>
      </c>
      <c r="E16" s="14">
        <f>Model!L41+Model!M41+Model!N41</f>
        <v>951645.41137684509</v>
      </c>
      <c r="F16" s="14">
        <f>Model!O41+Model!P41+Model!Q41</f>
        <v>695706.25700745045</v>
      </c>
      <c r="G16" s="14">
        <f>Model!R41+Model!S41+Model!T41</f>
        <v>872956.49413719424</v>
      </c>
      <c r="H16" s="14">
        <f>Model!U41+Model!V41+Model!W41</f>
        <v>663437.35934340244</v>
      </c>
      <c r="I16" s="14">
        <f>Model!X41+Model!Y41+Model!Z41</f>
        <v>475135.33211825951</v>
      </c>
      <c r="J16" s="14">
        <f>Model!AA41+Model!AB41+Model!AC41</f>
        <v>-349049.29178300902</v>
      </c>
      <c r="K16" s="14">
        <f>Model!AD41+Model!AE41+Model!AF41</f>
        <v>271890.81425632187</v>
      </c>
      <c r="L16" s="14">
        <f>Model!AG41+Model!AH41+Model!AI41</f>
        <v>753805.18520915415</v>
      </c>
      <c r="M16" s="14">
        <f>Model!AJ41+Model!AK41+Model!AL41</f>
        <v>375065.05458341853</v>
      </c>
      <c r="N16" s="14">
        <f>Model!AM41+Model!AN41+Model!AO41</f>
        <v>348231.49829886801</v>
      </c>
      <c r="O16" s="14">
        <f>Model!AP41+Model!AQ41+Model!AR41</f>
        <v>758066.72534144437</v>
      </c>
      <c r="P16" s="14">
        <f>Model!AS41+Model!AT41+Model!AU41</f>
        <v>345608.91912950616</v>
      </c>
      <c r="Q16" s="14">
        <f>Model!AV41+Model!AW41+Model!AX41</f>
        <v>501828.46191072039</v>
      </c>
      <c r="R16" s="14">
        <f>Model!AY41+Model!AZ41+Model!BA41</f>
        <v>531291.22890799039</v>
      </c>
      <c r="S16" s="14">
        <f>Model!BB41+Model!BC41+Model!BD41</f>
        <v>443424.19346782134</v>
      </c>
      <c r="T16" s="14">
        <f>Model!BE41+Model!BF41+Model!BG41</f>
        <v>602903.62879253144</v>
      </c>
      <c r="U16" s="14">
        <f>Model!BH41+Model!BI41+Model!BJ41</f>
        <v>4636.7036598020932</v>
      </c>
      <c r="V16" s="14">
        <f>Model!BK41+Model!BL41+Model!BM41</f>
        <v>88544.688041439571</v>
      </c>
      <c r="W16" s="14">
        <f>Model!BN41+Model!BO41+Model!BP41</f>
        <v>42055.358495985041</v>
      </c>
      <c r="X16" s="14">
        <f>Model!BQ41+Model!BR41+Model!BS41</f>
        <v>189070.16856092005</v>
      </c>
      <c r="Y16" s="14">
        <f>Model!BT41+Model!BU41+Model!BV41</f>
        <v>223429.00784663449</v>
      </c>
      <c r="Z16" s="14">
        <f>Model!BW41+Model!BX41+Model!BY41</f>
        <v>348104.72913993092</v>
      </c>
      <c r="AA16" s="14">
        <f>Model!BZ41+Model!CA41+Model!CB41</f>
        <v>362452.73319837253</v>
      </c>
      <c r="AB16" s="14">
        <f>Model!CC41+Model!CD41+Model!CE41</f>
        <v>203453.4929386322</v>
      </c>
      <c r="AC16" s="14">
        <f>Model!CF41+Model!CG41+Model!CH41</f>
        <v>-168723.24163928977</v>
      </c>
    </row>
    <row r="17" spans="1:29" ht="15" customHeight="1" x14ac:dyDescent="0.25">
      <c r="A17" s="7" t="s">
        <v>84</v>
      </c>
      <c r="B17" s="15">
        <f>IF((Model!C12+Model!D12+Model!E12)&lt;&gt;0,(Model!C41+Model!D41+Model!E41)/(Model!C12+Model!D12+Model!E12),0)</f>
        <v>8.8505691258290414E-2</v>
      </c>
      <c r="C17" s="15">
        <f>IF((Model!F12+Model!G12+Model!H12)&lt;&gt;0,(Model!F41+Model!G41+Model!H41)/(Model!F12+Model!G12+Model!H12),0)</f>
        <v>0.33374845726169877</v>
      </c>
      <c r="D17" s="15">
        <f>IF((Model!I12+Model!J12+Model!K12)&lt;&gt;0,(Model!I41+Model!J41+Model!K41)/(Model!I12+Model!J12+Model!K12),0)</f>
        <v>0.45552004634197724</v>
      </c>
      <c r="E17" s="15">
        <f>IF((Model!L12+Model!M12+Model!N12)&lt;&gt;0,(Model!L41+Model!M41+Model!N41)/(Model!L12+Model!M12+Model!N12),0)</f>
        <v>0.43267126344358808</v>
      </c>
      <c r="F17" s="15">
        <f>IF((Model!O12+Model!P12+Model!Q12)&lt;&gt;0,(Model!O41+Model!P41+Model!Q41)/(Model!O12+Model!P12+Model!Q12),0)</f>
        <v>0.20320790579467429</v>
      </c>
      <c r="G17" s="15">
        <f>IF((Model!R12+Model!S12+Model!T12)&lt;&gt;0,(Model!R41+Model!S41+Model!T41)/(Model!R12+Model!S12+Model!T12),0)</f>
        <v>0.4098967933436729</v>
      </c>
      <c r="H17" s="15">
        <f>IF((Model!U12+Model!V12+Model!W12)&lt;&gt;0,(Model!U41+Model!V41+Model!W41)/(Model!U12+Model!V12+Model!W12),0)</f>
        <v>0.35099178954380927</v>
      </c>
      <c r="I17" s="15">
        <f>IF((Model!X12+Model!Y12+Model!Z12)&lt;&gt;0,(Model!X41+Model!Y41+Model!Z41)/(Model!X12+Model!Y12+Model!Z12),0)</f>
        <v>0.27434702397323213</v>
      </c>
      <c r="J17" s="15">
        <f>IF((Model!AA12+Model!AB12+Model!AC12)&lt;&gt;0,(Model!AA41+Model!AB41+Model!AC41)/(Model!AA12+Model!AB12+Model!AC12),0)</f>
        <v>-0.15439068033703726</v>
      </c>
      <c r="K17" s="15">
        <f>IF((Model!AD12+Model!AE12+Model!AF12)&lt;&gt;0,(Model!AD41+Model!AE41+Model!AF41)/(Model!AD12+Model!AE12+Model!AF12),0)</f>
        <v>0.17612554711472925</v>
      </c>
      <c r="L17" s="15">
        <f>IF((Model!AG12+Model!AH12+Model!AI12)&lt;&gt;0,(Model!AG41+Model!AH41+Model!AI41)/(Model!AG12+Model!AH12+Model!AI12),0)</f>
        <v>0.36563245787938947</v>
      </c>
      <c r="M17" s="15">
        <f>IF((Model!AJ12+Model!AK12+Model!AL12)&lt;&gt;0,(Model!AJ41+Model!AK41+Model!AL41)/(Model!AJ12+Model!AK12+Model!AL12),0)</f>
        <v>0.22857176311543059</v>
      </c>
      <c r="N17" s="15">
        <f>IF((Model!AM12+Model!AN12+Model!AO12)&lt;&gt;0,(Model!AM41+Model!AN41+Model!AO41)/(Model!AM12+Model!AN12+Model!AO12),0)</f>
        <v>0.21691854631728316</v>
      </c>
      <c r="O17" s="15">
        <f>IF((Model!AP12+Model!AQ12+Model!AR12)&lt;&gt;0,(Model!AP41+Model!AQ41+Model!AR41)/(Model!AP12+Model!AQ12+Model!AR12),0)</f>
        <v>0.37284575140909676</v>
      </c>
      <c r="P17" s="15">
        <f>IF((Model!AS12+Model!AT12+Model!AU12)&lt;&gt;0,(Model!AS41+Model!AT41+Model!AU41)/(Model!AS12+Model!AT12+Model!AU12),0)</f>
        <v>0.20860864315942373</v>
      </c>
      <c r="Q17" s="15">
        <f>IF((Model!AV12+Model!AW12+Model!AX12)&lt;&gt;0,(Model!AV41+Model!AW41+Model!AX41)/(Model!AV12+Model!AW12+Model!AX12),0)</f>
        <v>0.28240952978306255</v>
      </c>
      <c r="R17" s="15">
        <f>IF((Model!AY12+Model!AZ12+Model!BA12)&lt;&gt;0,(Model!AY41+Model!AZ41+Model!BA41)/(Model!AY12+Model!AZ12+Model!BA12),0)</f>
        <v>0.29354991120837737</v>
      </c>
      <c r="S17" s="15">
        <f>IF((Model!BB12+Model!BC12+Model!BD12)&lt;&gt;0,(Model!BB41+Model!BC41+Model!BD41)/(Model!BB12+Model!BC12+Model!BD12),0)</f>
        <v>0.25572082255813816</v>
      </c>
      <c r="T17" s="15">
        <f>IF((Model!BE12+Model!BF12+Model!BG12)&lt;&gt;0,(Model!BE41+Model!BF41+Model!BG41)/(Model!BE12+Model!BF12+Model!BG12),0)</f>
        <v>0.31442233298806843</v>
      </c>
      <c r="U17" s="15">
        <f>IF((Model!BH12+Model!BI12+Model!BJ12)&lt;&gt;0,(Model!BH41+Model!BI41+Model!BJ41)/(Model!BH12+Model!BI12+Model!BJ12),0)</f>
        <v>3.5798323499296701E-3</v>
      </c>
      <c r="V17" s="15">
        <f>IF((Model!BK12+Model!BL12+Model!BM12)&lt;&gt;0,(Model!BK41+Model!BL41+Model!BM41)/(Model!BK12+Model!BL12+Model!BM12),0)</f>
        <v>6.4593692409379955E-2</v>
      </c>
      <c r="W17" s="15">
        <f>IF((Model!BN12+Model!BO12+Model!BP12)&lt;&gt;0,(Model!BN41+Model!BO41+Model!BP41)/(Model!BN12+Model!BO12+Model!BP12),0)</f>
        <v>3.1330694905706627E-2</v>
      </c>
      <c r="X17" s="15">
        <f>IF((Model!BQ12+Model!BR12+Model!BS12)&lt;&gt;0,(Model!BQ41+Model!BR41+Model!BS41)/(Model!BQ12+Model!BR12+Model!BS12),0)</f>
        <v>0.12493732464546373</v>
      </c>
      <c r="Y17" s="15">
        <f>IF((Model!BT12+Model!BU12+Model!BV12)&lt;&gt;0,(Model!BT41+Model!BU41+Model!BV41)/(Model!BT12+Model!BU12+Model!BV12),0)</f>
        <v>0.14663784965961121</v>
      </c>
      <c r="Z17" s="15">
        <f>IF((Model!BW12+Model!BX12+Model!BY12)&lt;&gt;0,(Model!BW41+Model!BX41+Model!BY41)/(Model!BW12+Model!BX12+Model!BY12),0)</f>
        <v>0.21223242219354085</v>
      </c>
      <c r="AA17" s="15">
        <f>IF((Model!BZ12+Model!CA12+Model!CB12)&lt;&gt;0,(Model!BZ41+Model!CA41+Model!CB41)/(Model!BZ12+Model!CA12+Model!CB12),0)</f>
        <v>0.22147323127688193</v>
      </c>
      <c r="AB17" s="15">
        <f>IF((Model!CC12+Model!CD12+Model!CE12)&lt;&gt;0,(Model!CC41+Model!CD41+Model!CE41)/(Model!CC12+Model!CD12+Model!CE12),0)</f>
        <v>0.13769614755821472</v>
      </c>
      <c r="AC17" s="15">
        <f>IF((Model!CF12+Model!CG12+Model!CH12)&lt;&gt;0,(Model!CF41+Model!CG41+Model!CH41)/(Model!CF12+Model!CG12+Model!CH12),0)</f>
        <v>-0.15263860372434401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85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86</v>
      </c>
      <c r="B20" s="8">
        <f>Model!C85+Model!D85+Model!E85</f>
        <v>-294943.75</v>
      </c>
      <c r="C20" s="8">
        <f>Model!F85+Model!G85+Model!H85</f>
        <v>-317943.75</v>
      </c>
      <c r="D20" s="8">
        <f>Model!I85+Model!J85+Model!K85</f>
        <v>-315943.75</v>
      </c>
      <c r="E20" s="8">
        <f>Model!L85+Model!M85+Model!N85</f>
        <v>-294943.75</v>
      </c>
      <c r="F20" s="8">
        <f>Model!O85+Model!P85+Model!Q85</f>
        <v>-300842.62500000006</v>
      </c>
      <c r="G20" s="8">
        <f>Model!R85+Model!S85+Model!T85</f>
        <v>-324302.62500000006</v>
      </c>
      <c r="H20" s="8">
        <f>Model!U85+Model!V85+Model!W85</f>
        <v>-322262.62500000006</v>
      </c>
      <c r="I20" s="8">
        <f>Model!X85+Model!Y85+Model!Z85</f>
        <v>-300842.62500000006</v>
      </c>
      <c r="J20" s="8">
        <f>Model!AA85+Model!AB85+Model!AC85</f>
        <v>-306859.47750000004</v>
      </c>
      <c r="K20" s="8">
        <f>Model!AD85+Model!AE85+Model!AF85</f>
        <v>-330788.67750000011</v>
      </c>
      <c r="L20" s="8">
        <f>Model!AG85+Model!AH85+Model!AI85</f>
        <v>-328707.87750000006</v>
      </c>
      <c r="M20" s="8">
        <f>Model!AJ85+Model!AK85+Model!AL85</f>
        <v>-306859.47750000004</v>
      </c>
      <c r="N20" s="8">
        <f>Model!AM85+Model!AN85+Model!AO85</f>
        <v>-312996.66705000005</v>
      </c>
      <c r="O20" s="8">
        <f>Model!AP85+Model!AQ85+Model!AR85</f>
        <v>-419087.45105000003</v>
      </c>
      <c r="P20" s="8">
        <f>Model!AS85+Model!AT85+Model!AU85</f>
        <v>-416964.03505000006</v>
      </c>
      <c r="Q20" s="8">
        <f>Model!AV85+Model!AW85+Model!AX85</f>
        <v>-394678.66705000005</v>
      </c>
      <c r="R20" s="8">
        <f>Model!AY85+Model!AZ85+Model!BA85</f>
        <v>-1252777.600391</v>
      </c>
      <c r="S20" s="8">
        <f>Model!BB85+Model!BC85+Model!BD85</f>
        <v>-475030.540071</v>
      </c>
      <c r="T20" s="8">
        <f>Model!BE85+Model!BF85+Model!BG85</f>
        <v>-472863.675751</v>
      </c>
      <c r="U20" s="8">
        <f>Model!BH85+Model!BI85+Model!BJ85</f>
        <v>-450132.60039099999</v>
      </c>
      <c r="V20" s="8">
        <f>Model!BK85+Model!BL85+Model!BM85</f>
        <v>-456517.73239882005</v>
      </c>
      <c r="W20" s="8">
        <f>Model!BN85+Model!BO85+Model!BP85</f>
        <v>-441928.07087242004</v>
      </c>
      <c r="X20" s="8">
        <f>Model!BQ85+Model!BR85+Model!BS85</f>
        <v>-423467.42926602007</v>
      </c>
      <c r="Y20" s="8">
        <f>Model!BT85+Model!BU85+Model!BV85</f>
        <v>-400281.73239882005</v>
      </c>
      <c r="Z20" s="8">
        <f>Model!BW85+Model!BX85+Model!BY85</f>
        <v>-479950.56704679644</v>
      </c>
      <c r="AA20" s="8">
        <f>Model!BZ85+Model!CA85+Model!CB85</f>
        <v>-512574.30268986849</v>
      </c>
      <c r="AB20" s="8">
        <f>Model!CC85+Model!CD85+Model!CE85</f>
        <v>-510320.97785134049</v>
      </c>
      <c r="AC20" s="8">
        <f>Model!CF85+Model!CG85+Model!CH85</f>
        <v>-480063.54044031724</v>
      </c>
    </row>
    <row r="21" spans="1:29" ht="15" customHeight="1" x14ac:dyDescent="0.25">
      <c r="A21" s="13" t="s">
        <v>87</v>
      </c>
      <c r="B21" s="14">
        <f>Model!C87+Model!D87+Model!E87</f>
        <v>-164100.01</v>
      </c>
      <c r="C21" s="14">
        <f>Model!F87+Model!G87+Model!H87</f>
        <v>-187933.34000000003</v>
      </c>
      <c r="D21" s="14">
        <f>Model!I87+Model!J87+Model!K87</f>
        <v>-206350.00000000003</v>
      </c>
      <c r="E21" s="14">
        <f>Model!L87+Model!M87+Model!N87</f>
        <v>-194725.00000000003</v>
      </c>
      <c r="F21" s="14">
        <f>Model!O87+Model!P87+Model!Q87</f>
        <v>-200623.87500000006</v>
      </c>
      <c r="G21" s="14">
        <f>Model!R87+Model!S87+Model!T87</f>
        <v>-295802.62500000006</v>
      </c>
      <c r="H21" s="14">
        <f>Model!U87+Model!V87+Model!W87</f>
        <v>-236387.62500000006</v>
      </c>
      <c r="I21" s="14">
        <f>Model!X87+Model!Y87+Model!Z87</f>
        <v>-214967.62500000006</v>
      </c>
      <c r="J21" s="14">
        <f>Model!AA87+Model!AB87+Model!AC87</f>
        <v>-220984.47750000007</v>
      </c>
      <c r="K21" s="14">
        <f>Model!AD87+Model!AE87+Model!AF87</f>
        <v>-302288.67750000011</v>
      </c>
      <c r="L21" s="14">
        <f>Model!AG87+Model!AH87+Model!AI87</f>
        <v>-328707.87750000006</v>
      </c>
      <c r="M21" s="14">
        <f>Model!AJ87+Model!AK87+Model!AL87</f>
        <v>-306859.47750000004</v>
      </c>
      <c r="N21" s="14">
        <f>Model!AM87+Model!AN87+Model!AO87</f>
        <v>-312996.66705000005</v>
      </c>
      <c r="O21" s="14">
        <f>Model!AP87+Model!AQ87+Model!AR87</f>
        <v>-337404.45105000003</v>
      </c>
      <c r="P21" s="14">
        <f>Model!AS87+Model!AT87+Model!AU87</f>
        <v>-335282.03505000006</v>
      </c>
      <c r="Q21" s="14">
        <f>Model!AV87+Model!AW87+Model!AX87</f>
        <v>-312996.66705000005</v>
      </c>
      <c r="R21" s="14">
        <f>Model!AY87+Model!AZ87+Model!BA87</f>
        <v>-319256.60039099993</v>
      </c>
      <c r="S21" s="14">
        <f>Model!BB87+Model!BC87+Model!BD87</f>
        <v>-344152.540071</v>
      </c>
      <c r="T21" s="14">
        <f>Model!BE87+Model!BF87+Model!BG87</f>
        <v>-341987.675751</v>
      </c>
      <c r="U21" s="14">
        <f>Model!BH87+Model!BI87+Model!BJ87</f>
        <v>-319256.60039099999</v>
      </c>
      <c r="V21" s="14">
        <f>Model!BK87+Model!BL87+Model!BM87</f>
        <v>-325641.73239882005</v>
      </c>
      <c r="W21" s="14">
        <f>Model!BN87+Model!BO87+Model!BP87</f>
        <v>-299522.07087242004</v>
      </c>
      <c r="X21" s="14">
        <f>Model!BQ87+Model!BR87+Model!BS87</f>
        <v>-281065.42926602007</v>
      </c>
      <c r="Y21" s="14">
        <f>Model!BT87+Model!BU87+Model!BV87</f>
        <v>-257879.73239882005</v>
      </c>
      <c r="Z21" s="14">
        <f>Model!BW87+Model!BX87+Model!BY87</f>
        <v>-264392.56704679644</v>
      </c>
      <c r="AA21" s="14">
        <f>Model!BZ87+Model!CA87+Model!CB87</f>
        <v>-281557.30268986849</v>
      </c>
      <c r="AB21" s="14">
        <f>Model!CC87+Model!CD87+Model!CE87</f>
        <v>-279304.97785134049</v>
      </c>
      <c r="AC21" s="14">
        <f>Model!CF87+Model!CG87+Model!CH87</f>
        <v>-249047.54044031724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88</v>
      </c>
      <c r="B23" s="14">
        <f>Model!C96+Model!D96+Model!E96</f>
        <v>-56738.140070197289</v>
      </c>
      <c r="C23" s="14">
        <f>Model!F96+Model!G96+Model!H96</f>
        <v>581395.20263069496</v>
      </c>
      <c r="D23" s="14">
        <f>Model!I96+Model!J96+Model!K96</f>
        <v>1126588.2825498052</v>
      </c>
      <c r="E23" s="14">
        <f>Model!L96+Model!M96+Model!N96</f>
        <v>756920.41137684498</v>
      </c>
      <c r="F23" s="14">
        <f>Model!O96+Model!P96+Model!Q96</f>
        <v>495082.38200745045</v>
      </c>
      <c r="G23" s="14">
        <f>Model!R96+Model!S96+Model!T96</f>
        <v>577153.86913719424</v>
      </c>
      <c r="H23" s="14">
        <f>Model!U96+Model!V96+Model!W96</f>
        <v>427049.73434340244</v>
      </c>
      <c r="I23" s="14">
        <f>Model!X96+Model!Y96+Model!Z96</f>
        <v>260167.70711825951</v>
      </c>
      <c r="J23" s="14">
        <f>Model!AA96+Model!AB96+Model!AC96</f>
        <v>-570033.76928300899</v>
      </c>
      <c r="K23" s="14">
        <f>Model!AD96+Model!AE96+Model!AF96</f>
        <v>-30397.863243678235</v>
      </c>
      <c r="L23" s="14">
        <f>Model!AG96+Model!AH96+Model!AI96</f>
        <v>425097.30770915397</v>
      </c>
      <c r="M23" s="14">
        <f>Model!AJ96+Model!AK96+Model!AL96</f>
        <v>68205.577083418379</v>
      </c>
      <c r="N23" s="14">
        <f>Model!AM96+Model!AN96+Model!AO96</f>
        <v>35234.831248868024</v>
      </c>
      <c r="O23" s="14">
        <f>Model!AP96+Model!AQ96+Model!AR96</f>
        <v>420662.27429144445</v>
      </c>
      <c r="P23" s="14">
        <f>Model!AS96+Model!AT96+Model!AU96</f>
        <v>10326.884079506155</v>
      </c>
      <c r="Q23" s="14">
        <f>Model!AV96+Model!AW96+Model!AX96</f>
        <v>188831.7948607204</v>
      </c>
      <c r="R23" s="14">
        <f>Model!AY96+Model!AZ96+Model!BA96</f>
        <v>212034.62851699058</v>
      </c>
      <c r="S23" s="14">
        <f>Model!BB96+Model!BC96+Model!BD96</f>
        <v>99271.653396821464</v>
      </c>
      <c r="T23" s="14">
        <f>Model!BE96+Model!BF96+Model!BG96</f>
        <v>260915.95304153149</v>
      </c>
      <c r="U23" s="14">
        <f>Model!BH96+Model!BI96+Model!BJ96</f>
        <v>-314619.89673119772</v>
      </c>
      <c r="V23" s="14">
        <f>Model!BK96+Model!BL96+Model!BM96</f>
        <v>-237097.04435738036</v>
      </c>
      <c r="W23" s="14">
        <f>Model!BN96+Model!BO96+Model!BP96</f>
        <v>-257466.71237643494</v>
      </c>
      <c r="X23" s="14">
        <f>Model!BQ96+Model!BR96+Model!BS96</f>
        <v>-91995.260705099907</v>
      </c>
      <c r="Y23" s="14">
        <f>Model!BT96+Model!BU96+Model!BV96</f>
        <v>-34450.724552185391</v>
      </c>
      <c r="Z23" s="14">
        <f>Model!BW96+Model!BX96+Model!BY96</f>
        <v>83712.162093134539</v>
      </c>
      <c r="AA23" s="14">
        <f>Model!BZ96+Model!CA96+Model!CB96</f>
        <v>80895.43050850404</v>
      </c>
      <c r="AB23" s="14">
        <f>Model!CC96+Model!CD96+Model!CE96</f>
        <v>-75851.484912708285</v>
      </c>
      <c r="AC23" s="14">
        <f>Model!CF96+Model!CG96+Model!CH96</f>
        <v>-417770.78207960696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89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90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91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92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93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94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96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97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98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99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100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101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102</v>
      </c>
      <c r="B40" s="8">
        <f>Model!E141</f>
        <v>19934994.86045029</v>
      </c>
      <c r="C40" s="8">
        <f>Model!H141</f>
        <v>53470466.10025207</v>
      </c>
      <c r="D40" s="8">
        <f>Model!K141</f>
        <v>89880219.287110507</v>
      </c>
      <c r="E40" s="8">
        <f>Model!N141</f>
        <v>72497927.028571129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103</v>
      </c>
      <c r="B42" s="19">
        <f>Model!E148</f>
        <v>1759277.559929803</v>
      </c>
      <c r="C42" s="19">
        <f>Model!H148</f>
        <v>2528606.1025604983</v>
      </c>
      <c r="D42" s="19">
        <f>Model!K148</f>
        <v>3861544.3851103038</v>
      </c>
      <c r="E42" s="19">
        <f>Model!N148</f>
        <v>4813189.7964871489</v>
      </c>
      <c r="F42" s="19">
        <f>Model!Q148</f>
        <v>5508896.0534945987</v>
      </c>
      <c r="G42" s="19">
        <f>Model!T148</f>
        <v>6381852.5476317927</v>
      </c>
      <c r="H42" s="19">
        <f>Model!W148</f>
        <v>7045289.9069751957</v>
      </c>
      <c r="I42" s="19">
        <f>Model!Z148</f>
        <v>7520425.2390934555</v>
      </c>
      <c r="J42" s="19">
        <f>Model!AC148</f>
        <v>7171375.9473104458</v>
      </c>
      <c r="K42" s="19">
        <f>Model!AF148</f>
        <v>7443266.7615667684</v>
      </c>
      <c r="L42" s="19">
        <f>Model!AI148</f>
        <v>8197071.9467759226</v>
      </c>
      <c r="M42" s="19">
        <f>Model!AL148</f>
        <v>8572137.0013593417</v>
      </c>
      <c r="N42" s="19">
        <f>Model!AO148</f>
        <v>8920368.4996582102</v>
      </c>
      <c r="O42" s="19">
        <f>Model!AR148</f>
        <v>9678435.224999655</v>
      </c>
      <c r="P42" s="19">
        <f>Model!AU148</f>
        <v>10024044.144129161</v>
      </c>
      <c r="Q42" s="19">
        <f>Model!AX148</f>
        <v>10525872.60603988</v>
      </c>
      <c r="R42" s="19">
        <f>Model!BA148</f>
        <v>11057163.834947871</v>
      </c>
      <c r="S42" s="19">
        <f>Model!BD148</f>
        <v>11500588.028415693</v>
      </c>
      <c r="T42" s="19">
        <f>Model!BG148</f>
        <v>12103491.657208223</v>
      </c>
      <c r="U42" s="19">
        <f>Model!BJ148</f>
        <v>12108128.360868024</v>
      </c>
      <c r="V42" s="19">
        <f>Model!BM148</f>
        <v>12196673.048909463</v>
      </c>
      <c r="W42" s="19">
        <f>Model!BP148</f>
        <v>12238728.407405449</v>
      </c>
      <c r="X42" s="19">
        <f>Model!BS148</f>
        <v>12427798.575966369</v>
      </c>
      <c r="Y42" s="19">
        <f>Model!BV148</f>
        <v>12651227.583813004</v>
      </c>
      <c r="Z42" s="19">
        <f>Model!BY148</f>
        <v>12999332.312952936</v>
      </c>
      <c r="AA42" s="19">
        <f>Model!CB148</f>
        <v>13361785.046151306</v>
      </c>
      <c r="AB42" s="19">
        <f>Model!CE148</f>
        <v>13565238.539089937</v>
      </c>
      <c r="AC42" s="19">
        <f>Model!CH148</f>
        <v>13396515.297450649</v>
      </c>
    </row>
    <row r="43" spans="1:29" ht="15" customHeight="1" x14ac:dyDescent="0.25">
      <c r="A43" s="18" t="s">
        <v>104</v>
      </c>
      <c r="B43" s="19">
        <f>Model!E156</f>
        <v>287531.14999999991</v>
      </c>
      <c r="C43" s="19">
        <f>Model!H156</f>
        <v>99597.809999999852</v>
      </c>
      <c r="D43" s="19">
        <f>Model!K156</f>
        <v>-496752.19000000018</v>
      </c>
      <c r="E43" s="19">
        <f>Model!N156</f>
        <v>-1331477.1900000002</v>
      </c>
      <c r="F43" s="19">
        <f>Model!Q156</f>
        <v>-1922101.0650000002</v>
      </c>
      <c r="G43" s="19">
        <f>Model!T156</f>
        <v>-2607903.6900000004</v>
      </c>
      <c r="H43" s="19">
        <f>Model!W156</f>
        <v>-3170260.5582854454</v>
      </c>
      <c r="I43" s="19">
        <f>Model!Z156</f>
        <v>-3635228.1832854454</v>
      </c>
      <c r="J43" s="19">
        <f>Model!AC156</f>
        <v>-3856212.6607854459</v>
      </c>
      <c r="K43" s="19">
        <f>Model!AF156</f>
        <v>-4158501.3382854462</v>
      </c>
      <c r="L43" s="19">
        <f>Model!AI156</f>
        <v>-4487209.2157854456</v>
      </c>
      <c r="M43" s="19">
        <f>Model!AL156</f>
        <v>-4794068.6932854448</v>
      </c>
      <c r="N43" s="19">
        <f>Model!AO156</f>
        <v>-5107065.360335446</v>
      </c>
      <c r="O43" s="19">
        <f>Model!AR156</f>
        <v>-5444469.8113854472</v>
      </c>
      <c r="P43" s="19">
        <f>Model!AU156</f>
        <v>-5779751.8464354482</v>
      </c>
      <c r="Q43" s="19">
        <f>Model!AX156</f>
        <v>-6092748.5134854494</v>
      </c>
      <c r="R43" s="19">
        <f>Model!BA156</f>
        <v>-6412005.1138764499</v>
      </c>
      <c r="S43" s="19">
        <f>Model!BD156</f>
        <v>-6756157.6539474502</v>
      </c>
      <c r="T43" s="19">
        <f>Model!BG156</f>
        <v>-7098145.3296984509</v>
      </c>
      <c r="U43" s="19">
        <f>Model!BJ156</f>
        <v>-7417401.9300894514</v>
      </c>
      <c r="V43" s="19">
        <f>Model!BM156</f>
        <v>-7743043.6624882706</v>
      </c>
      <c r="W43" s="19">
        <f>Model!BP156</f>
        <v>-8042565.7333606901</v>
      </c>
      <c r="X43" s="19">
        <f>Model!BS156</f>
        <v>-8323631.1626267098</v>
      </c>
      <c r="Y43" s="19">
        <f>Model!BV156</f>
        <v>-8581510.895025529</v>
      </c>
      <c r="Z43" s="19">
        <f>Model!BY156</f>
        <v>-8845903.4620723259</v>
      </c>
      <c r="AA43" s="19">
        <f>Model!CB156</f>
        <v>-9127460.7647621948</v>
      </c>
      <c r="AB43" s="19">
        <f>Model!CE156</f>
        <v>-9406765.7426135354</v>
      </c>
      <c r="AC43" s="19">
        <f>Model!CH156</f>
        <v>-9655813.2830538526</v>
      </c>
    </row>
    <row r="44" spans="1:29" ht="15" customHeight="1" x14ac:dyDescent="0.25">
      <c r="A44" s="18" t="s">
        <v>105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-495373.60353309079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-676861.91905946739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-25450.014690217857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-160328.87001097109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-228316.20894481917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-16291.61494102347</v>
      </c>
    </row>
    <row r="45" spans="1:29" ht="15" customHeight="1" x14ac:dyDescent="0.25">
      <c r="A45" s="20" t="s">
        <v>106</v>
      </c>
      <c r="B45" s="21">
        <f>Model!E161</f>
        <v>2046808.7099298029</v>
      </c>
      <c r="C45" s="21">
        <f>Model!H161</f>
        <v>2628203.9125604979</v>
      </c>
      <c r="D45" s="21">
        <f>Model!K161</f>
        <v>3364792.1951103033</v>
      </c>
      <c r="E45" s="21">
        <f>Model!N161</f>
        <v>2986339.0029540574</v>
      </c>
      <c r="F45" s="21">
        <f>Model!Q161</f>
        <v>3586794.9884945988</v>
      </c>
      <c r="G45" s="21">
        <f>Model!T161</f>
        <v>3773948.8576317923</v>
      </c>
      <c r="H45" s="21">
        <f>Model!W161</f>
        <v>3875029.3486897503</v>
      </c>
      <c r="I45" s="21">
        <f>Model!Z161</f>
        <v>3208335.136748543</v>
      </c>
      <c r="J45" s="21">
        <f>Model!AC161</f>
        <v>3315163.2865250004</v>
      </c>
      <c r="K45" s="21">
        <f>Model!AF161</f>
        <v>3284765.4232813218</v>
      </c>
      <c r="L45" s="21">
        <f>Model!AI161</f>
        <v>3709862.7309904769</v>
      </c>
      <c r="M45" s="21">
        <f>Model!AL161</f>
        <v>3752618.2933836784</v>
      </c>
      <c r="N45" s="21">
        <f>Model!AO161</f>
        <v>3813303.1393227652</v>
      </c>
      <c r="O45" s="21">
        <f>Model!AR161</f>
        <v>4233965.4136142079</v>
      </c>
      <c r="P45" s="21">
        <f>Model!AU161</f>
        <v>4244292.2976937136</v>
      </c>
      <c r="Q45" s="21">
        <f>Model!AX161</f>
        <v>4272795.2225434603</v>
      </c>
      <c r="R45" s="21">
        <f>Model!BA161</f>
        <v>4645158.7210714212</v>
      </c>
      <c r="S45" s="21">
        <f>Model!BD161</f>
        <v>4744430.3744682427</v>
      </c>
      <c r="T45" s="21">
        <f>Model!BG161</f>
        <v>5005346.327509773</v>
      </c>
      <c r="U45" s="21">
        <f>Model!BJ161</f>
        <v>4462410.2218337543</v>
      </c>
      <c r="V45" s="21">
        <f>Model!BM161</f>
        <v>4453629.3864211924</v>
      </c>
      <c r="W45" s="21">
        <f>Model!BP161</f>
        <v>4196162.674044759</v>
      </c>
      <c r="X45" s="21">
        <f>Model!BS161</f>
        <v>4104167.4133396596</v>
      </c>
      <c r="Y45" s="21">
        <f>Model!BV161</f>
        <v>4069716.6887874738</v>
      </c>
      <c r="Z45" s="21">
        <f>Model!BY161</f>
        <v>4153428.8508806098</v>
      </c>
      <c r="AA45" s="21">
        <f>Model!CB161</f>
        <v>4234324.2813891126</v>
      </c>
      <c r="AB45" s="21">
        <f>Model!CE161</f>
        <v>4158472.7964764023</v>
      </c>
      <c r="AC45" s="21">
        <f>Model!CH161</f>
        <v>3724410.3994557713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00" t="s">
        <v>270</v>
      </c>
      <c r="B1" s="201"/>
      <c r="C1" s="201"/>
      <c r="D1" s="201"/>
      <c r="E1" s="201"/>
      <c r="F1" s="2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272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273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274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272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273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274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272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276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273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274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272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276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273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274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272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276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273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274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116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272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276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100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273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274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119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272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276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273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274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277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278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279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281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282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283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284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285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286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287</v>
      </c>
      <c r="B55" s="73" t="s">
        <v>288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289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00" t="s">
        <v>290</v>
      </c>
      <c r="B1" s="201"/>
      <c r="C1" s="201"/>
      <c r="D1" s="201"/>
      <c r="E1" s="201"/>
      <c r="F1" s="201"/>
      <c r="G1" s="20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291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292</v>
      </c>
      <c r="B4" s="6" t="s">
        <v>293</v>
      </c>
      <c r="C4" s="6" t="s">
        <v>294</v>
      </c>
      <c r="D4" s="6" t="s">
        <v>295</v>
      </c>
      <c r="E4" s="6" t="s">
        <v>296</v>
      </c>
      <c r="F4" s="6" t="s">
        <v>297</v>
      </c>
      <c r="G4" s="6" t="s">
        <v>298</v>
      </c>
      <c r="H4" s="1"/>
      <c r="I4" s="1"/>
    </row>
    <row r="5" spans="1:9" ht="15" customHeight="1" x14ac:dyDescent="0.25">
      <c r="A5" s="16" t="s">
        <v>299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300</v>
      </c>
      <c r="G5" s="61" t="s">
        <v>301</v>
      </c>
      <c r="H5" s="1"/>
      <c r="I5" s="1"/>
    </row>
    <row r="6" spans="1:9" ht="15" customHeight="1" x14ac:dyDescent="0.25">
      <c r="A6" s="16" t="s">
        <v>302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300</v>
      </c>
      <c r="G6" s="61" t="s">
        <v>301</v>
      </c>
      <c r="H6" s="1"/>
      <c r="I6" s="1"/>
    </row>
    <row r="7" spans="1:9" ht="15" customHeight="1" x14ac:dyDescent="0.25">
      <c r="A7" s="16" t="s">
        <v>303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300</v>
      </c>
      <c r="G7" s="61" t="s">
        <v>304</v>
      </c>
      <c r="H7" s="1"/>
      <c r="I7" s="1"/>
    </row>
    <row r="8" spans="1:9" ht="15" customHeight="1" x14ac:dyDescent="0.25">
      <c r="A8" s="16" t="s">
        <v>305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300</v>
      </c>
      <c r="G8" s="61" t="s">
        <v>306</v>
      </c>
      <c r="H8" s="1"/>
      <c r="I8" s="1"/>
    </row>
    <row r="9" spans="1:9" ht="15" customHeight="1" x14ac:dyDescent="0.25">
      <c r="A9" s="16" t="s">
        <v>307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300</v>
      </c>
      <c r="G9" s="61" t="s">
        <v>308</v>
      </c>
      <c r="H9" s="1"/>
      <c r="I9" s="1"/>
    </row>
    <row r="10" spans="1:9" ht="15" customHeight="1" x14ac:dyDescent="0.25">
      <c r="A10" s="16" t="s">
        <v>309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300</v>
      </c>
      <c r="G10" s="61" t="s">
        <v>310</v>
      </c>
      <c r="H10" s="1"/>
      <c r="I10" s="1"/>
    </row>
    <row r="11" spans="1:9" ht="15" customHeight="1" x14ac:dyDescent="0.25">
      <c r="A11" s="16" t="s">
        <v>311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300</v>
      </c>
      <c r="G11" s="61" t="s">
        <v>312</v>
      </c>
      <c r="H11" s="1"/>
      <c r="I11" s="1"/>
    </row>
    <row r="12" spans="1:9" ht="15" customHeight="1" x14ac:dyDescent="0.25">
      <c r="A12" s="16" t="s">
        <v>313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300</v>
      </c>
      <c r="G12" s="61" t="s">
        <v>314</v>
      </c>
      <c r="H12" s="1"/>
      <c r="I12" s="1"/>
    </row>
    <row r="13" spans="1:9" ht="15" customHeight="1" x14ac:dyDescent="0.25">
      <c r="A13" s="16" t="s">
        <v>315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300</v>
      </c>
      <c r="G13" s="61" t="s">
        <v>316</v>
      </c>
      <c r="H13" s="1"/>
      <c r="I13" s="1"/>
    </row>
    <row r="14" spans="1:9" ht="15" customHeight="1" x14ac:dyDescent="0.25">
      <c r="A14" s="16" t="s">
        <v>317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318</v>
      </c>
      <c r="G14" s="61" t="s">
        <v>319</v>
      </c>
      <c r="H14" s="1"/>
      <c r="I14" s="1"/>
    </row>
    <row r="15" spans="1:9" ht="15" customHeight="1" x14ac:dyDescent="0.25">
      <c r="A15" s="16" t="s">
        <v>320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300</v>
      </c>
      <c r="G15" s="61" t="s">
        <v>321</v>
      </c>
      <c r="H15" s="1"/>
      <c r="I15" s="1"/>
    </row>
    <row r="16" spans="1:9" ht="15" customHeight="1" x14ac:dyDescent="0.25">
      <c r="A16" s="16" t="s">
        <v>322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300</v>
      </c>
      <c r="G16" s="61" t="s">
        <v>323</v>
      </c>
      <c r="H16" s="1"/>
      <c r="I16" s="1"/>
    </row>
    <row r="17" spans="1:9" ht="15" customHeight="1" x14ac:dyDescent="0.25">
      <c r="A17" s="16" t="s">
        <v>324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300</v>
      </c>
      <c r="G17" s="61" t="s">
        <v>325</v>
      </c>
      <c r="H17" s="1"/>
      <c r="I17" s="1"/>
    </row>
    <row r="18" spans="1:9" ht="15" customHeight="1" x14ac:dyDescent="0.25">
      <c r="A18" s="16" t="s">
        <v>326</v>
      </c>
      <c r="B18" s="80">
        <v>10</v>
      </c>
      <c r="C18" s="81">
        <v>10</v>
      </c>
      <c r="D18" s="82">
        <v>5</v>
      </c>
      <c r="E18" s="82">
        <v>15</v>
      </c>
      <c r="F18" s="16" t="s">
        <v>327</v>
      </c>
      <c r="G18" s="61" t="s">
        <v>328</v>
      </c>
      <c r="H18" s="1"/>
      <c r="I18" s="1"/>
    </row>
    <row r="19" spans="1:9" ht="15" customHeight="1" x14ac:dyDescent="0.25">
      <c r="A19" s="16" t="s">
        <v>329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318</v>
      </c>
      <c r="G19" s="61" t="s">
        <v>330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331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332</v>
      </c>
      <c r="B23" s="6" t="s">
        <v>6</v>
      </c>
      <c r="C23" s="6" t="s">
        <v>333</v>
      </c>
      <c r="D23" s="6" t="s">
        <v>5</v>
      </c>
      <c r="E23" s="6" t="s">
        <v>334</v>
      </c>
      <c r="F23" s="6" t="s">
        <v>335</v>
      </c>
      <c r="G23" s="6" t="s">
        <v>336</v>
      </c>
      <c r="H23" s="1"/>
      <c r="I23" s="1"/>
    </row>
    <row r="24" spans="1:9" ht="15" customHeight="1" x14ac:dyDescent="0.25">
      <c r="A24" s="16" t="s">
        <v>271</v>
      </c>
      <c r="B24" s="84" t="str">
        <f>Projects!$G$2</f>
        <v>Yes</v>
      </c>
      <c r="C24" s="83">
        <v>5321971</v>
      </c>
      <c r="D24" s="16" t="s">
        <v>337</v>
      </c>
      <c r="E24" s="16" t="s">
        <v>338</v>
      </c>
      <c r="F24" s="16" t="s">
        <v>339</v>
      </c>
      <c r="G24" s="16" t="s">
        <v>339</v>
      </c>
      <c r="H24" s="1"/>
      <c r="I24" s="1"/>
    </row>
    <row r="25" spans="1:9" ht="15" customHeight="1" x14ac:dyDescent="0.25">
      <c r="A25" s="16" t="s">
        <v>275</v>
      </c>
      <c r="B25" s="84" t="str">
        <f>Projects!$G$3</f>
        <v>Yes</v>
      </c>
      <c r="C25" s="83">
        <v>19982132</v>
      </c>
      <c r="D25" s="16" t="s">
        <v>337</v>
      </c>
      <c r="E25" s="16" t="s">
        <v>340</v>
      </c>
      <c r="F25" s="16" t="s">
        <v>339</v>
      </c>
      <c r="G25" s="16" t="s">
        <v>339</v>
      </c>
      <c r="H25" s="1"/>
      <c r="I25" s="1"/>
    </row>
    <row r="26" spans="1:9" ht="15" customHeight="1" x14ac:dyDescent="0.25">
      <c r="A26" s="16" t="s">
        <v>219</v>
      </c>
      <c r="B26" s="84" t="str">
        <f>Projects!$G$4</f>
        <v>Yes</v>
      </c>
      <c r="C26" s="83">
        <v>11673185</v>
      </c>
      <c r="D26" s="16" t="s">
        <v>341</v>
      </c>
      <c r="E26" s="16" t="s">
        <v>342</v>
      </c>
      <c r="F26" s="16" t="s">
        <v>339</v>
      </c>
      <c r="G26" s="16" t="s">
        <v>13</v>
      </c>
      <c r="H26" s="1"/>
      <c r="I26" s="1"/>
    </row>
    <row r="27" spans="1:9" ht="15" customHeight="1" x14ac:dyDescent="0.25">
      <c r="A27" s="16" t="s">
        <v>220</v>
      </c>
      <c r="B27" s="84" t="str">
        <f>Projects!$G$5</f>
        <v>Yes</v>
      </c>
      <c r="C27" s="83">
        <v>13492534</v>
      </c>
      <c r="D27" s="16" t="s">
        <v>341</v>
      </c>
      <c r="E27" s="16" t="s">
        <v>342</v>
      </c>
      <c r="F27" s="16" t="s">
        <v>339</v>
      </c>
      <c r="G27" s="16" t="s">
        <v>13</v>
      </c>
      <c r="H27" s="1"/>
      <c r="I27" s="1"/>
    </row>
    <row r="28" spans="1:9" ht="15" customHeight="1" x14ac:dyDescent="0.25">
      <c r="A28" s="16" t="s">
        <v>343</v>
      </c>
      <c r="B28" s="84" t="str">
        <f>Projects!$G$6</f>
        <v>Yes</v>
      </c>
      <c r="C28" s="83">
        <v>4052747</v>
      </c>
      <c r="D28" s="16" t="s">
        <v>341</v>
      </c>
      <c r="E28" s="16" t="s">
        <v>344</v>
      </c>
      <c r="F28" s="16" t="s">
        <v>339</v>
      </c>
      <c r="G28" s="16" t="s">
        <v>13</v>
      </c>
      <c r="H28" s="1"/>
      <c r="I28" s="1"/>
    </row>
    <row r="29" spans="1:9" ht="15" customHeight="1" x14ac:dyDescent="0.25">
      <c r="A29" s="16" t="s">
        <v>111</v>
      </c>
      <c r="B29" s="84" t="str">
        <f>Projects!$G$7</f>
        <v>Yes</v>
      </c>
      <c r="C29" s="83">
        <v>42968448</v>
      </c>
      <c r="D29" s="16" t="s">
        <v>337</v>
      </c>
      <c r="E29" s="16" t="s">
        <v>345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221</v>
      </c>
      <c r="B30" s="84" t="str">
        <f>Projects!$G$8</f>
        <v>Yes</v>
      </c>
      <c r="C30" s="83">
        <v>13625772</v>
      </c>
      <c r="D30" s="16" t="s">
        <v>341</v>
      </c>
      <c r="E30" s="16" t="s">
        <v>344</v>
      </c>
      <c r="F30" s="16" t="s">
        <v>339</v>
      </c>
      <c r="G30" s="16" t="s">
        <v>13</v>
      </c>
      <c r="H30" s="1"/>
      <c r="I30" s="1"/>
    </row>
    <row r="31" spans="1:9" ht="15" customHeight="1" x14ac:dyDescent="0.25">
      <c r="A31" s="16" t="s">
        <v>222</v>
      </c>
      <c r="B31" s="84" t="str">
        <f>Projects!$G$9</f>
        <v>Yes</v>
      </c>
      <c r="C31" s="83">
        <v>15844883</v>
      </c>
      <c r="D31" s="16" t="s">
        <v>341</v>
      </c>
      <c r="E31" s="16" t="s">
        <v>346</v>
      </c>
      <c r="F31" s="16" t="s">
        <v>339</v>
      </c>
      <c r="G31" s="16" t="s">
        <v>13</v>
      </c>
      <c r="H31" s="1"/>
      <c r="I31" s="1"/>
    </row>
    <row r="32" spans="1:9" ht="15" customHeight="1" x14ac:dyDescent="0.25">
      <c r="A32" s="16" t="s">
        <v>115</v>
      </c>
      <c r="B32" s="84" t="str">
        <f>Projects!$G$10</f>
        <v>Yes</v>
      </c>
      <c r="C32" s="83">
        <v>21263405</v>
      </c>
      <c r="D32" s="16" t="s">
        <v>341</v>
      </c>
      <c r="E32" s="16" t="s">
        <v>344</v>
      </c>
      <c r="F32" s="16" t="s">
        <v>339</v>
      </c>
      <c r="G32" s="16" t="s">
        <v>13</v>
      </c>
      <c r="H32" s="1"/>
      <c r="I32" s="1"/>
    </row>
    <row r="33" spans="1:9" ht="15" customHeight="1" x14ac:dyDescent="0.25">
      <c r="A33" s="16" t="s">
        <v>112</v>
      </c>
      <c r="B33" s="84" t="str">
        <f>Projects!$G$11</f>
        <v>No</v>
      </c>
      <c r="C33" s="83">
        <v>9577109</v>
      </c>
      <c r="D33" s="16" t="s">
        <v>337</v>
      </c>
      <c r="E33" s="16" t="s">
        <v>344</v>
      </c>
      <c r="F33" s="16" t="s">
        <v>13</v>
      </c>
      <c r="G33" s="16" t="s">
        <v>339</v>
      </c>
      <c r="H33" s="1"/>
      <c r="I33" s="1"/>
    </row>
    <row r="34" spans="1:9" ht="15" customHeight="1" x14ac:dyDescent="0.25">
      <c r="A34" s="16" t="s">
        <v>113</v>
      </c>
      <c r="B34" s="84" t="str">
        <f>Projects!$G$12</f>
        <v>No</v>
      </c>
      <c r="C34" s="83">
        <v>7545203</v>
      </c>
      <c r="D34" s="16" t="s">
        <v>337</v>
      </c>
      <c r="E34" s="16" t="s">
        <v>344</v>
      </c>
      <c r="F34" s="16" t="s">
        <v>13</v>
      </c>
      <c r="G34" s="16" t="s">
        <v>339</v>
      </c>
      <c r="H34" s="1"/>
      <c r="I34" s="1"/>
    </row>
    <row r="35" spans="1:9" ht="15" customHeight="1" x14ac:dyDescent="0.25">
      <c r="A35" s="16" t="s">
        <v>116</v>
      </c>
      <c r="B35" s="84" t="str">
        <f>Projects!$G$13</f>
        <v>Yes</v>
      </c>
      <c r="C35" s="83">
        <v>45266770</v>
      </c>
      <c r="D35" s="16" t="s">
        <v>337</v>
      </c>
      <c r="E35" s="16" t="s">
        <v>346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119</v>
      </c>
      <c r="B36" s="84" t="str">
        <f>Projects!$G$14</f>
        <v>Yes</v>
      </c>
      <c r="C36" s="83">
        <v>41354632</v>
      </c>
      <c r="D36" s="16" t="s">
        <v>337</v>
      </c>
      <c r="E36" s="16" t="s">
        <v>346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347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348</v>
      </c>
      <c r="B40" s="85" t="s">
        <v>63</v>
      </c>
      <c r="C40" s="85" t="s">
        <v>64</v>
      </c>
      <c r="D40" s="85" t="s">
        <v>65</v>
      </c>
      <c r="E40" s="85" t="s">
        <v>66</v>
      </c>
      <c r="F40" s="85" t="s">
        <v>67</v>
      </c>
      <c r="G40" s="85" t="s">
        <v>68</v>
      </c>
      <c r="H40" s="85" t="s">
        <v>69</v>
      </c>
      <c r="I40" s="85" t="s">
        <v>70</v>
      </c>
    </row>
    <row r="41" spans="1:9" ht="15" customHeight="1" x14ac:dyDescent="0.25">
      <c r="A41" s="28" t="s">
        <v>77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83</v>
      </c>
      <c r="B42" s="87">
        <f>'Annual Summary'!B15</f>
        <v>-4234726.8442000002</v>
      </c>
      <c r="C42" s="87">
        <f>'Annual Summary'!C15</f>
        <v>-6459215.2156999987</v>
      </c>
      <c r="D42" s="87">
        <f>'Annual Summary'!D15</f>
        <v>-6446293.7945140013</v>
      </c>
      <c r="E42" s="87">
        <f>'Annual Summary'!E15</f>
        <v>-5109215.7796042794</v>
      </c>
      <c r="F42" s="87">
        <f>'Annual Summary'!F15</f>
        <v>-5158902.2551963646</v>
      </c>
      <c r="G42" s="87">
        <f>'Annual Summary'!G15</f>
        <v>-5197342.4603002928</v>
      </c>
      <c r="H42" s="87">
        <f>'Annual Summary'!H15</f>
        <v>-5140551.4695062982</v>
      </c>
      <c r="I42" s="87">
        <f>'Annual Summary'!I15</f>
        <v>-1274100.5021912376</v>
      </c>
    </row>
    <row r="43" spans="1:9" ht="15" customHeight="1" x14ac:dyDescent="0.25">
      <c r="A43" s="16" t="s">
        <v>84</v>
      </c>
      <c r="B43" s="75">
        <f>'Annual Summary'!B16</f>
        <v>2209628.6951103033</v>
      </c>
      <c r="C43" s="75">
        <f>'Annual Summary'!C16</f>
        <v>3183745.5218648915</v>
      </c>
      <c r="D43" s="75">
        <f>'Annual Summary'!D16</f>
        <v>1151782.0398007266</v>
      </c>
      <c r="E43" s="75">
        <f>'Annual Summary'!E16</f>
        <v>1826972.1973532371</v>
      </c>
      <c r="F43" s="75">
        <f>'Annual Summary'!F16</f>
        <v>2079447.5130790635</v>
      </c>
      <c r="G43" s="75">
        <f>'Annual Summary'!G16</f>
        <v>324306.91875814676</v>
      </c>
      <c r="H43" s="75">
        <f>'Annual Summary'!H16</f>
        <v>1137439.96312357</v>
      </c>
      <c r="I43" s="75">
        <f>'Annual Summary'!I16</f>
        <v>-168723.24163928977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85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87</v>
      </c>
      <c r="B46" s="87">
        <f>'Annual Summary'!B20</f>
        <v>-928831.25000000023</v>
      </c>
      <c r="C46" s="87">
        <f>'Annual Summary'!C20</f>
        <v>-1242351.625</v>
      </c>
      <c r="D46" s="87">
        <f>'Annual Summary'!D20</f>
        <v>-1267198.6575000004</v>
      </c>
      <c r="E46" s="87">
        <f>'Annual Summary'!E20</f>
        <v>-1455907.6306499999</v>
      </c>
      <c r="F46" s="87">
        <f>'Annual Summary'!F20</f>
        <v>-2595350.4832629999</v>
      </c>
      <c r="G46" s="87">
        <f>'Annual Summary'!G20</f>
        <v>-1772045.8329282599</v>
      </c>
      <c r="H46" s="87">
        <f>'Annual Summary'!H20</f>
        <v>-1903127.5799868254</v>
      </c>
      <c r="I46" s="87">
        <f>'Annual Summary'!I20</f>
        <v>-480063.54044031724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88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106</v>
      </c>
      <c r="B50" s="89">
        <f>'Annual Summary'!B43</f>
        <v>-496752.19000000018</v>
      </c>
      <c r="C50" s="89">
        <f>'Annual Summary'!C43</f>
        <v>-3170260.5582854454</v>
      </c>
      <c r="D50" s="89">
        <f>'Annual Summary'!D43</f>
        <v>-4487209.2157854456</v>
      </c>
      <c r="E50" s="89">
        <f>'Annual Summary'!E43</f>
        <v>-5779751.8464354482</v>
      </c>
      <c r="F50" s="89">
        <f>'Annual Summary'!F43</f>
        <v>-7098145.3296984509</v>
      </c>
      <c r="G50" s="89">
        <f>'Annual Summary'!G43</f>
        <v>-8323631.1626267098</v>
      </c>
      <c r="H50" s="89">
        <f>'Annual Summary'!H43</f>
        <v>-9406765.7426135354</v>
      </c>
      <c r="I50" s="89">
        <f>'Annual Summary'!I43</f>
        <v>-9655813.2830538526</v>
      </c>
    </row>
    <row r="51" spans="1:9" ht="15" customHeight="1" x14ac:dyDescent="0.25">
      <c r="A51" s="88" t="s">
        <v>103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104</v>
      </c>
      <c r="B52" s="89">
        <f>'Annual Summary'!B42</f>
        <v>3861544.3851103038</v>
      </c>
      <c r="C52" s="89">
        <f>'Annual Summary'!C42</f>
        <v>7045289.9069751957</v>
      </c>
      <c r="D52" s="89">
        <f>'Annual Summary'!D42</f>
        <v>8197071.9467759226</v>
      </c>
      <c r="E52" s="89">
        <f>'Annual Summary'!E42</f>
        <v>10024044.144129161</v>
      </c>
      <c r="F52" s="89">
        <f>'Annual Summary'!F42</f>
        <v>12103491.657208223</v>
      </c>
      <c r="G52" s="89">
        <f>'Annual Summary'!G42</f>
        <v>12427798.575966369</v>
      </c>
      <c r="H52" s="89">
        <f>'Annual Summary'!H42</f>
        <v>13565238.539089937</v>
      </c>
      <c r="I52" s="89">
        <f>'Annual Summary'!I42</f>
        <v>13396515.297450649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223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349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350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351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352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353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354</v>
      </c>
      <c r="B69" s="6" t="s">
        <v>355</v>
      </c>
      <c r="C69" s="6" t="s">
        <v>356</v>
      </c>
      <c r="D69" s="6" t="s">
        <v>357</v>
      </c>
      <c r="E69" s="6" t="s">
        <v>358</v>
      </c>
      <c r="F69" s="6" t="s">
        <v>359</v>
      </c>
      <c r="G69" s="1"/>
      <c r="H69" s="1"/>
      <c r="I69" s="1"/>
    </row>
    <row r="70" spans="1:9" ht="15" customHeight="1" x14ac:dyDescent="0.25">
      <c r="A70" s="16" t="s">
        <v>360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361</v>
      </c>
      <c r="B71" s="83">
        <f>'Annual Summary'!B42</f>
        <v>3861544.3851103038</v>
      </c>
      <c r="C71" s="79">
        <f>'Annual Summary'!C42</f>
        <v>7045289.9069751957</v>
      </c>
      <c r="D71" s="79">
        <f>'Annual Summary'!E42</f>
        <v>10024044.144129161</v>
      </c>
      <c r="E71" s="79">
        <f>'Annual Summary'!G42</f>
        <v>12427798.575966369</v>
      </c>
      <c r="F71" s="79">
        <f>'Annual Summary'!I42</f>
        <v>13396515.297450649</v>
      </c>
      <c r="G71" s="1"/>
      <c r="H71" s="1"/>
      <c r="I71" s="1"/>
    </row>
    <row r="72" spans="1:9" ht="15" customHeight="1" x14ac:dyDescent="0.25">
      <c r="A72" s="88" t="s">
        <v>362</v>
      </c>
      <c r="B72" s="94">
        <f>'Annual Summary'!B43</f>
        <v>-496752.19000000018</v>
      </c>
      <c r="C72" s="95">
        <f>'Annual Summary'!C43</f>
        <v>-3170260.5582854454</v>
      </c>
      <c r="D72" s="95">
        <f>'Annual Summary'!E43</f>
        <v>-5779751.8464354482</v>
      </c>
      <c r="E72" s="95">
        <f>'Annual Summary'!G43</f>
        <v>-8323631.1626267098</v>
      </c>
      <c r="F72" s="95">
        <f>'Annual Summary'!I43</f>
        <v>-9655813.2830538526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363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332</v>
      </c>
      <c r="B76" s="6" t="s">
        <v>364</v>
      </c>
      <c r="C76" s="6" t="s">
        <v>365</v>
      </c>
      <c r="D76" s="6" t="s">
        <v>366</v>
      </c>
      <c r="E76" s="6" t="s">
        <v>367</v>
      </c>
      <c r="F76" s="6" t="s">
        <v>368</v>
      </c>
      <c r="G76" s="1"/>
      <c r="H76" s="1"/>
      <c r="I76" s="1"/>
    </row>
    <row r="77" spans="1:9" ht="15" customHeight="1" x14ac:dyDescent="0.25">
      <c r="A77" s="16" t="s">
        <v>112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369</v>
      </c>
      <c r="G77" s="1"/>
      <c r="H77" s="1"/>
      <c r="I77" s="1"/>
    </row>
    <row r="78" spans="1:9" ht="15" customHeight="1" x14ac:dyDescent="0.25">
      <c r="A78" s="16" t="s">
        <v>113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369</v>
      </c>
      <c r="G78" s="1"/>
      <c r="H78" s="1"/>
      <c r="I78" s="1"/>
    </row>
    <row r="79" spans="1:9" ht="15" customHeight="1" x14ac:dyDescent="0.25">
      <c r="A79" s="16" t="s">
        <v>111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370</v>
      </c>
      <c r="G79" s="1"/>
      <c r="H79" s="1"/>
      <c r="I79" s="1"/>
    </row>
    <row r="80" spans="1:9" ht="15" customHeight="1" x14ac:dyDescent="0.25">
      <c r="A80" s="16" t="s">
        <v>116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370</v>
      </c>
      <c r="G80" s="1"/>
      <c r="H80" s="1"/>
      <c r="I80" s="1"/>
    </row>
    <row r="81" spans="1:9" ht="15" customHeight="1" x14ac:dyDescent="0.25">
      <c r="A81" s="16" t="s">
        <v>119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371</v>
      </c>
      <c r="G81" s="1"/>
      <c r="H81" s="1"/>
      <c r="I81" s="1"/>
    </row>
    <row r="82" spans="1:9" ht="15" customHeight="1" x14ac:dyDescent="0.25">
      <c r="A82" s="28" t="s">
        <v>372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373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374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375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376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63</v>
      </c>
      <c r="C89" s="6" t="s">
        <v>64</v>
      </c>
      <c r="D89" s="6" t="s">
        <v>65</v>
      </c>
      <c r="E89" s="6" t="s">
        <v>66</v>
      </c>
      <c r="F89" s="6" t="s">
        <v>377</v>
      </c>
      <c r="G89" s="1"/>
      <c r="H89" s="1"/>
      <c r="I89" s="1"/>
    </row>
    <row r="90" spans="1:9" ht="15" customHeight="1" x14ac:dyDescent="0.25">
      <c r="A90" s="69" t="s">
        <v>378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379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380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381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382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63</v>
      </c>
      <c r="C97" s="6" t="s">
        <v>64</v>
      </c>
      <c r="D97" s="6" t="s">
        <v>65</v>
      </c>
      <c r="E97" s="6" t="s">
        <v>66</v>
      </c>
      <c r="F97" s="1"/>
      <c r="G97" s="1"/>
      <c r="H97" s="1"/>
      <c r="I97" s="1"/>
    </row>
    <row r="98" spans="1:9" ht="15" customHeight="1" x14ac:dyDescent="0.25">
      <c r="A98" s="16" t="s">
        <v>383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384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385</v>
      </c>
      <c r="B100" s="79">
        <f>'Annual Summary'!B43</f>
        <v>-496752.19000000018</v>
      </c>
      <c r="C100" s="79">
        <f>'Annual Summary'!C43</f>
        <v>-3170260.5582854454</v>
      </c>
      <c r="D100" s="79">
        <f>'Annual Summary'!D43</f>
        <v>-4487209.2157854456</v>
      </c>
      <c r="E100" s="79">
        <f>'Annual Summary'!E43</f>
        <v>-5779751.8464354482</v>
      </c>
      <c r="F100" s="1"/>
      <c r="G100" s="1"/>
      <c r="H100" s="1"/>
      <c r="I100" s="1"/>
    </row>
    <row r="101" spans="1:9" ht="15" customHeight="1" x14ac:dyDescent="0.25">
      <c r="A101" s="16" t="s">
        <v>386</v>
      </c>
      <c r="B101" s="79">
        <f>'Annual Summary'!B15*0.05</f>
        <v>-211736.34221000003</v>
      </c>
      <c r="C101" s="79">
        <f>'Annual Summary'!C15*0.05</f>
        <v>-322960.76078499993</v>
      </c>
      <c r="D101" s="79">
        <f>'Annual Summary'!D15*0.05</f>
        <v>-322314.68972570007</v>
      </c>
      <c r="E101" s="79">
        <f>'Annual Summary'!E15*0.05</f>
        <v>-255460.78898021398</v>
      </c>
      <c r="F101" s="1"/>
      <c r="G101" s="1"/>
      <c r="H101" s="1"/>
      <c r="I101" s="1"/>
    </row>
    <row r="102" spans="1:9" ht="15" customHeight="1" x14ac:dyDescent="0.25">
      <c r="A102" s="16" t="s">
        <v>387</v>
      </c>
      <c r="B102" s="79">
        <f>B100+B101</f>
        <v>-708488.53221000021</v>
      </c>
      <c r="C102" s="79">
        <f>C100+C101</f>
        <v>-3493221.3190704454</v>
      </c>
      <c r="D102" s="79">
        <f>D100+D101</f>
        <v>-4809523.9055111455</v>
      </c>
      <c r="E102" s="79">
        <f>E100+E101</f>
        <v>-6035212.6354156621</v>
      </c>
      <c r="F102" s="1"/>
      <c r="G102" s="1"/>
      <c r="H102" s="1"/>
      <c r="I102" s="1"/>
    </row>
    <row r="103" spans="1:9" ht="15" customHeight="1" x14ac:dyDescent="0.25">
      <c r="A103" s="28" t="s">
        <v>388</v>
      </c>
      <c r="B103" s="67">
        <f>B102-B99</f>
        <v>-708488.53221000021</v>
      </c>
      <c r="C103" s="67">
        <f>C102-C99</f>
        <v>-3493221.3190704454</v>
      </c>
      <c r="D103" s="67">
        <f>D102-D99</f>
        <v>-4809523.9055111455</v>
      </c>
      <c r="E103" s="67">
        <f>E102-E99</f>
        <v>-6035212.6354156621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389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390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391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392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393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394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395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64</v>
      </c>
      <c r="C114" s="6" t="s">
        <v>65</v>
      </c>
      <c r="D114" s="6" t="s">
        <v>66</v>
      </c>
      <c r="E114" s="6" t="s">
        <v>67</v>
      </c>
      <c r="F114" s="6" t="s">
        <v>377</v>
      </c>
      <c r="G114" s="1"/>
      <c r="H114" s="1"/>
      <c r="I114" s="1"/>
    </row>
    <row r="115" spans="1:9" ht="15" customHeight="1" x14ac:dyDescent="0.25">
      <c r="A115" s="16" t="s">
        <v>396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397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398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399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400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401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402</v>
      </c>
      <c r="C124" s="6" t="s">
        <v>403</v>
      </c>
      <c r="D124" s="6" t="s">
        <v>298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404</v>
      </c>
      <c r="B125" s="83">
        <v>1450000</v>
      </c>
      <c r="C125" s="25" t="s">
        <v>405</v>
      </c>
      <c r="D125" s="61" t="s">
        <v>406</v>
      </c>
      <c r="E125" s="1"/>
      <c r="F125" s="1"/>
      <c r="G125" s="1"/>
      <c r="H125" s="1"/>
      <c r="I125" s="1"/>
    </row>
    <row r="126" spans="1:9" ht="15" customHeight="1" x14ac:dyDescent="0.25">
      <c r="A126" s="16" t="s">
        <v>407</v>
      </c>
      <c r="B126" s="70">
        <v>-1450000</v>
      </c>
      <c r="C126" s="25" t="s">
        <v>408</v>
      </c>
      <c r="D126" s="61" t="s">
        <v>409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410</v>
      </c>
      <c r="B127" s="1"/>
      <c r="C127" s="25" t="s">
        <v>411</v>
      </c>
      <c r="D127" s="61" t="s">
        <v>412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413</v>
      </c>
      <c r="B128" s="67">
        <v>0</v>
      </c>
      <c r="C128" s="28" t="s">
        <v>414</v>
      </c>
      <c r="D128" s="28" t="s">
        <v>415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416</v>
      </c>
      <c r="B130" s="98">
        <v>362885</v>
      </c>
      <c r="C130" s="25" t="s">
        <v>417</v>
      </c>
      <c r="D130" s="61" t="s">
        <v>418</v>
      </c>
      <c r="E130" s="1"/>
      <c r="F130" s="1"/>
      <c r="G130" s="1"/>
      <c r="H130" s="1"/>
      <c r="I130" s="1"/>
    </row>
    <row r="131" spans="1:9" ht="15" customHeight="1" x14ac:dyDescent="0.25">
      <c r="A131" s="28" t="s">
        <v>419</v>
      </c>
      <c r="B131" s="67">
        <v>1812885</v>
      </c>
      <c r="C131" s="28" t="s">
        <v>420</v>
      </c>
      <c r="D131" s="28" t="s">
        <v>421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422</v>
      </c>
      <c r="B1" s="3" t="s">
        <v>423</v>
      </c>
      <c r="C1" s="3" t="s">
        <v>424</v>
      </c>
      <c r="D1" s="3" t="s">
        <v>425</v>
      </c>
      <c r="E1" s="3" t="s">
        <v>426</v>
      </c>
      <c r="F1" s="3" t="s">
        <v>427</v>
      </c>
      <c r="G1" s="3" t="s">
        <v>428</v>
      </c>
      <c r="H1" s="3" t="s">
        <v>429</v>
      </c>
      <c r="I1" s="3" t="s">
        <v>430</v>
      </c>
      <c r="J1" s="3" t="s">
        <v>431</v>
      </c>
      <c r="K1" s="3" t="s">
        <v>432</v>
      </c>
      <c r="L1" s="3" t="s">
        <v>433</v>
      </c>
      <c r="M1" s="3" t="s">
        <v>434</v>
      </c>
      <c r="N1" s="3" t="s">
        <v>435</v>
      </c>
      <c r="O1" s="3" t="s">
        <v>436</v>
      </c>
      <c r="P1" s="3" t="s">
        <v>437</v>
      </c>
      <c r="Q1" s="3" t="s">
        <v>438</v>
      </c>
      <c r="R1" s="3" t="s">
        <v>439</v>
      </c>
      <c r="S1" s="3" t="s">
        <v>440</v>
      </c>
      <c r="T1" s="3" t="s">
        <v>441</v>
      </c>
      <c r="U1" s="3" t="s">
        <v>442</v>
      </c>
      <c r="V1" s="3" t="s">
        <v>443</v>
      </c>
      <c r="W1" s="3" t="s">
        <v>444</v>
      </c>
      <c r="X1" s="3" t="s">
        <v>445</v>
      </c>
      <c r="Y1" s="3" t="s">
        <v>446</v>
      </c>
      <c r="Z1" s="3" t="s">
        <v>447</v>
      </c>
      <c r="AA1" s="3" t="s">
        <v>448</v>
      </c>
      <c r="AB1" s="3" t="s">
        <v>449</v>
      </c>
      <c r="AC1" s="3" t="s">
        <v>450</v>
      </c>
      <c r="AD1" s="3" t="s">
        <v>451</v>
      </c>
      <c r="AE1" s="3" t="s">
        <v>452</v>
      </c>
      <c r="AF1" s="3" t="s">
        <v>453</v>
      </c>
      <c r="AG1" s="3" t="s">
        <v>454</v>
      </c>
      <c r="AH1" s="3" t="s">
        <v>455</v>
      </c>
      <c r="AI1" s="3" t="s">
        <v>456</v>
      </c>
      <c r="AJ1" s="3" t="s">
        <v>457</v>
      </c>
      <c r="AK1" s="3" t="s">
        <v>458</v>
      </c>
      <c r="AL1" s="3" t="s">
        <v>459</v>
      </c>
      <c r="AM1" s="3" t="s">
        <v>460</v>
      </c>
      <c r="AN1" s="3" t="s">
        <v>461</v>
      </c>
      <c r="AO1" s="3" t="s">
        <v>462</v>
      </c>
    </row>
    <row r="2" spans="1:41" ht="15" customHeight="1" x14ac:dyDescent="0.25">
      <c r="A2" s="99" t="s">
        <v>463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464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465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466</v>
      </c>
    </row>
    <row r="6" spans="1:41" ht="15" customHeight="1" x14ac:dyDescent="0.25">
      <c r="A6" s="99" t="s">
        <v>271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275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219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220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02" t="s">
        <v>467</v>
      </c>
      <c r="B1" s="201"/>
      <c r="C1" s="201"/>
      <c r="D1" s="201"/>
    </row>
    <row r="3" spans="1:4" ht="15" customHeight="1" x14ac:dyDescent="0.25">
      <c r="A3" s="6" t="s">
        <v>468</v>
      </c>
      <c r="B3" s="6"/>
      <c r="C3" s="6"/>
      <c r="D3" s="6"/>
    </row>
    <row r="4" spans="1:4" ht="15" customHeight="1" x14ac:dyDescent="0.25">
      <c r="A4" s="99" t="s">
        <v>469</v>
      </c>
      <c r="B4" s="100">
        <v>0.06</v>
      </c>
    </row>
    <row r="5" spans="1:4" ht="15" customHeight="1" x14ac:dyDescent="0.25">
      <c r="A5" s="99" t="s">
        <v>302</v>
      </c>
      <c r="B5" s="100">
        <v>0.06</v>
      </c>
    </row>
    <row r="6" spans="1:4" ht="15" customHeight="1" x14ac:dyDescent="0.25">
      <c r="A6" s="99" t="s">
        <v>470</v>
      </c>
      <c r="B6" s="100">
        <v>0.02</v>
      </c>
    </row>
    <row r="7" spans="1:4" ht="15" customHeight="1" x14ac:dyDescent="0.25">
      <c r="A7" s="99" t="s">
        <v>471</v>
      </c>
      <c r="B7" s="102">
        <f>B4+B5+B6</f>
        <v>0.13999999999999999</v>
      </c>
    </row>
    <row r="8" spans="1:4" ht="15" customHeight="1" x14ac:dyDescent="0.25">
      <c r="A8" s="99" t="s">
        <v>305</v>
      </c>
      <c r="B8" s="100">
        <v>9.1999999999999998E-2</v>
      </c>
    </row>
    <row r="9" spans="1:4" ht="15" customHeight="1" x14ac:dyDescent="0.25">
      <c r="A9" s="99" t="s">
        <v>472</v>
      </c>
      <c r="B9" s="102">
        <f>B7/(1+B7+B8)</f>
        <v>0.11363636363636363</v>
      </c>
    </row>
    <row r="10" spans="1:4" ht="15" customHeight="1" x14ac:dyDescent="0.25">
      <c r="A10" s="99" t="s">
        <v>473</v>
      </c>
      <c r="B10" s="102">
        <f>B4/(1+B7+B8)</f>
        <v>4.8701298701298697E-2</v>
      </c>
    </row>
    <row r="11" spans="1:4" ht="15" customHeight="1" x14ac:dyDescent="0.25">
      <c r="A11" s="99" t="s">
        <v>474</v>
      </c>
      <c r="B11" s="102">
        <f>B5/(1+B7+B8)</f>
        <v>4.8701298701298697E-2</v>
      </c>
    </row>
    <row r="12" spans="1:4" ht="15" customHeight="1" x14ac:dyDescent="0.25">
      <c r="A12" s="99" t="s">
        <v>475</v>
      </c>
      <c r="B12" s="102">
        <f>B6/(1+B7+B8)</f>
        <v>1.6233766233766236E-2</v>
      </c>
    </row>
    <row r="14" spans="1:4" ht="15" customHeight="1" x14ac:dyDescent="0.25">
      <c r="A14" s="6" t="s">
        <v>476</v>
      </c>
      <c r="B14" s="6"/>
      <c r="C14" s="6"/>
      <c r="D14" s="6"/>
    </row>
    <row r="15" spans="1:4" ht="15" customHeight="1" x14ac:dyDescent="0.25">
      <c r="A15" s="99" t="s">
        <v>309</v>
      </c>
      <c r="B15" s="100">
        <v>1.4999999999999999E-2</v>
      </c>
    </row>
    <row r="16" spans="1:4" ht="15" customHeight="1" x14ac:dyDescent="0.25">
      <c r="A16" s="99" t="s">
        <v>311</v>
      </c>
      <c r="B16" s="100">
        <v>7.4000000000000003E-3</v>
      </c>
    </row>
    <row r="17" spans="1:4" ht="15" customHeight="1" x14ac:dyDescent="0.25">
      <c r="A17" s="99" t="s">
        <v>313</v>
      </c>
      <c r="B17" s="100">
        <v>3.2500000000000001E-2</v>
      </c>
    </row>
    <row r="19" spans="1:4" ht="15" customHeight="1" x14ac:dyDescent="0.25">
      <c r="A19" s="6" t="s">
        <v>477</v>
      </c>
      <c r="B19" s="6"/>
      <c r="C19" s="6"/>
      <c r="D19" s="6"/>
    </row>
    <row r="20" spans="1:4" ht="15" customHeight="1" x14ac:dyDescent="0.25">
      <c r="A20" s="99" t="s">
        <v>478</v>
      </c>
      <c r="B20" s="100">
        <v>7.0000000000000007E-2</v>
      </c>
    </row>
    <row r="21" spans="1:4" ht="15" customHeight="1" x14ac:dyDescent="0.25">
      <c r="A21" s="99" t="s">
        <v>479</v>
      </c>
      <c r="B21" s="100">
        <v>5.0000000000000001E-3</v>
      </c>
    </row>
    <row r="22" spans="1:4" ht="15" customHeight="1" x14ac:dyDescent="0.25">
      <c r="A22" s="99" t="s">
        <v>480</v>
      </c>
      <c r="B22" s="100">
        <v>7.0000000000000007E-2</v>
      </c>
    </row>
    <row r="23" spans="1:4" ht="15" customHeight="1" x14ac:dyDescent="0.25">
      <c r="A23" s="99" t="s">
        <v>481</v>
      </c>
      <c r="B23" s="100">
        <v>0.02</v>
      </c>
    </row>
    <row r="25" spans="1:4" ht="15" customHeight="1" x14ac:dyDescent="0.25">
      <c r="A25" s="6" t="s">
        <v>482</v>
      </c>
      <c r="B25" s="6"/>
      <c r="C25" s="6"/>
      <c r="D25" s="6"/>
    </row>
    <row r="26" spans="1:4" ht="15" customHeight="1" x14ac:dyDescent="0.25">
      <c r="A26" s="99" t="s">
        <v>483</v>
      </c>
      <c r="B26" s="76">
        <v>0.02</v>
      </c>
    </row>
    <row r="28" spans="1:4" ht="15" customHeight="1" x14ac:dyDescent="0.25">
      <c r="A28" s="6" t="s">
        <v>484</v>
      </c>
      <c r="B28" s="6"/>
      <c r="C28" s="6"/>
      <c r="D28" s="6"/>
    </row>
    <row r="29" spans="1:4" ht="15" customHeight="1" x14ac:dyDescent="0.25">
      <c r="A29" s="99" t="s">
        <v>485</v>
      </c>
      <c r="B29" s="78">
        <v>1651915.69</v>
      </c>
    </row>
    <row r="30" spans="1:4" ht="15" customHeight="1" x14ac:dyDescent="0.25">
      <c r="A30" s="99" t="s">
        <v>486</v>
      </c>
      <c r="B30" s="78">
        <v>451631.16</v>
      </c>
    </row>
    <row r="32" spans="1:4" ht="15" customHeight="1" x14ac:dyDescent="0.25">
      <c r="A32" s="6" t="s">
        <v>487</v>
      </c>
      <c r="B32" s="6"/>
      <c r="C32" s="6"/>
      <c r="D32" s="6"/>
    </row>
    <row r="33" spans="1:4" ht="15" customHeight="1" x14ac:dyDescent="0.25">
      <c r="A33" s="99" t="s">
        <v>488</v>
      </c>
      <c r="B33" s="78">
        <v>1615485</v>
      </c>
    </row>
    <row r="34" spans="1:4" ht="15" customHeight="1" x14ac:dyDescent="0.25">
      <c r="A34" s="99" t="s">
        <v>489</v>
      </c>
      <c r="B34" s="100">
        <v>0.15</v>
      </c>
    </row>
    <row r="35" spans="1:4" ht="15" customHeight="1" x14ac:dyDescent="0.25">
      <c r="A35" s="99" t="s">
        <v>490</v>
      </c>
      <c r="B35" s="102">
        <f>B34/4</f>
        <v>3.7499999999999999E-2</v>
      </c>
    </row>
    <row r="36" spans="1:4" ht="15" customHeight="1" x14ac:dyDescent="0.25">
      <c r="A36" s="99" t="s">
        <v>491</v>
      </c>
      <c r="B36" s="78">
        <v>130000</v>
      </c>
    </row>
    <row r="37" spans="1:4" ht="15" customHeight="1" x14ac:dyDescent="0.25">
      <c r="A37" s="99" t="s">
        <v>492</v>
      </c>
      <c r="B37" s="103">
        <v>7</v>
      </c>
    </row>
    <row r="38" spans="1:4" ht="15" customHeight="1" x14ac:dyDescent="0.25">
      <c r="A38" s="104" t="s">
        <v>493</v>
      </c>
    </row>
    <row r="40" spans="1:4" ht="15" customHeight="1" x14ac:dyDescent="0.25">
      <c r="A40" s="6" t="s">
        <v>494</v>
      </c>
      <c r="B40" s="6"/>
      <c r="C40" s="6"/>
      <c r="D40" s="6"/>
    </row>
    <row r="41" spans="1:4" ht="15" customHeight="1" x14ac:dyDescent="0.25">
      <c r="A41" s="99" t="s">
        <v>495</v>
      </c>
      <c r="B41" s="78">
        <v>1000000</v>
      </c>
    </row>
    <row r="42" spans="1:4" ht="15" customHeight="1" x14ac:dyDescent="0.25">
      <c r="A42" s="99" t="s">
        <v>496</v>
      </c>
      <c r="B42" s="105">
        <f>B41*0.25</f>
        <v>250000</v>
      </c>
    </row>
    <row r="43" spans="1:4" ht="15" customHeight="1" x14ac:dyDescent="0.25">
      <c r="A43" s="99" t="s">
        <v>497</v>
      </c>
      <c r="B43" s="78">
        <v>1000000</v>
      </c>
    </row>
    <row r="44" spans="1:4" ht="15" customHeight="1" x14ac:dyDescent="0.25">
      <c r="A44" s="104" t="s">
        <v>498</v>
      </c>
    </row>
    <row r="46" spans="1:4" ht="15" customHeight="1" x14ac:dyDescent="0.25">
      <c r="A46" s="6" t="s">
        <v>499</v>
      </c>
      <c r="B46" s="6"/>
      <c r="C46" s="6"/>
      <c r="D46" s="6"/>
    </row>
    <row r="47" spans="1:4" ht="15" customHeight="1" x14ac:dyDescent="0.25">
      <c r="A47" s="99" t="s">
        <v>500</v>
      </c>
      <c r="B47" s="100">
        <v>0.01</v>
      </c>
    </row>
    <row r="48" spans="1:4" ht="15" customHeight="1" x14ac:dyDescent="0.25">
      <c r="A48" s="99" t="s">
        <v>501</v>
      </c>
      <c r="B48" s="100">
        <v>0.03</v>
      </c>
    </row>
    <row r="50" spans="1:4" ht="15" customHeight="1" x14ac:dyDescent="0.25">
      <c r="A50" s="6" t="s">
        <v>502</v>
      </c>
      <c r="B50" s="6"/>
      <c r="C50" s="106"/>
      <c r="D50" s="6"/>
    </row>
    <row r="51" spans="1:4" ht="15" customHeight="1" x14ac:dyDescent="0.25">
      <c r="A51" s="99" t="s">
        <v>112</v>
      </c>
      <c r="B51" s="78">
        <v>2000000</v>
      </c>
    </row>
    <row r="52" spans="1:4" ht="15" customHeight="1" x14ac:dyDescent="0.25">
      <c r="A52" s="99" t="s">
        <v>113</v>
      </c>
      <c r="B52" s="78">
        <v>2000000</v>
      </c>
    </row>
    <row r="53" spans="1:4" ht="15" customHeight="1" x14ac:dyDescent="0.25">
      <c r="A53" s="99" t="s">
        <v>111</v>
      </c>
      <c r="B53" s="78">
        <v>5000000</v>
      </c>
      <c r="C53" s="107"/>
    </row>
    <row r="54" spans="1:4" ht="15" customHeight="1" x14ac:dyDescent="0.25">
      <c r="A54" s="99" t="s">
        <v>116</v>
      </c>
      <c r="B54" s="78">
        <v>5000000</v>
      </c>
      <c r="C54" s="107"/>
    </row>
    <row r="55" spans="1:4" ht="15" customHeight="1" x14ac:dyDescent="0.25">
      <c r="A55" s="99" t="s">
        <v>119</v>
      </c>
      <c r="B55" s="78">
        <v>5000000</v>
      </c>
      <c r="C55" s="107"/>
    </row>
    <row r="57" spans="1:4" ht="15" customHeight="1" x14ac:dyDescent="0.25">
      <c r="A57" s="6" t="s">
        <v>503</v>
      </c>
      <c r="B57" s="6"/>
      <c r="C57" s="6"/>
      <c r="D57" s="6"/>
    </row>
    <row r="58" spans="1:4" ht="15" customHeight="1" x14ac:dyDescent="0.25">
      <c r="A58" s="99" t="s">
        <v>504</v>
      </c>
      <c r="B58" s="100">
        <v>0.15</v>
      </c>
    </row>
    <row r="59" spans="1:4" ht="15" customHeight="1" x14ac:dyDescent="0.25">
      <c r="A59" s="99" t="s">
        <v>505</v>
      </c>
      <c r="B59" s="102">
        <f>B58/4</f>
        <v>3.7499999999999999E-2</v>
      </c>
    </row>
    <row r="60" spans="1:4" ht="15" customHeight="1" x14ac:dyDescent="0.25">
      <c r="A60" s="99" t="s">
        <v>506</v>
      </c>
      <c r="B60" s="78">
        <v>0</v>
      </c>
    </row>
    <row r="61" spans="1:4" ht="15" customHeight="1" x14ac:dyDescent="0.25">
      <c r="A61" s="99" t="s">
        <v>507</v>
      </c>
      <c r="B61" s="78">
        <v>0</v>
      </c>
    </row>
    <row r="62" spans="1:4" ht="15" customHeight="1" x14ac:dyDescent="0.25">
      <c r="A62" s="99" t="s">
        <v>508</v>
      </c>
      <c r="B62" s="78">
        <v>1784000</v>
      </c>
    </row>
    <row r="63" spans="1:4" ht="15" customHeight="1" x14ac:dyDescent="0.25">
      <c r="A63" s="99" t="s">
        <v>509</v>
      </c>
      <c r="B63" s="78">
        <v>1766181</v>
      </c>
    </row>
    <row r="64" spans="1:4" ht="15" customHeight="1" x14ac:dyDescent="0.25">
      <c r="A64" s="104" t="s">
        <v>510</v>
      </c>
    </row>
    <row r="66" spans="1:2" ht="15" customHeight="1" x14ac:dyDescent="0.25">
      <c r="A66" s="4" t="s">
        <v>149</v>
      </c>
    </row>
    <row r="67" spans="1:2" ht="15" customHeight="1" x14ac:dyDescent="0.25">
      <c r="A67" s="107" t="s">
        <v>511</v>
      </c>
      <c r="B67" s="108">
        <v>833.33</v>
      </c>
    </row>
    <row r="68" spans="1:2" ht="15" customHeight="1" x14ac:dyDescent="0.25">
      <c r="A68" s="107" t="s">
        <v>512</v>
      </c>
      <c r="B68" s="107">
        <v>5</v>
      </c>
    </row>
    <row r="70" spans="1:2" ht="15" customHeight="1" x14ac:dyDescent="0.25">
      <c r="A70" s="109" t="s">
        <v>513</v>
      </c>
      <c r="B70" s="109"/>
    </row>
    <row r="71" spans="1:2" ht="15" customHeight="1" x14ac:dyDescent="0.25">
      <c r="A71" s="110" t="s">
        <v>514</v>
      </c>
      <c r="B71" s="111">
        <v>1134000</v>
      </c>
    </row>
    <row r="72" spans="1:2" ht="15" customHeight="1" x14ac:dyDescent="0.25">
      <c r="A72" s="112" t="s">
        <v>515</v>
      </c>
      <c r="B72" s="113">
        <v>50000</v>
      </c>
    </row>
    <row r="73" spans="1:2" ht="15" customHeight="1" x14ac:dyDescent="0.25">
      <c r="A73" s="110" t="s">
        <v>516</v>
      </c>
      <c r="B73" s="114">
        <v>14</v>
      </c>
    </row>
    <row r="74" spans="1:2" ht="15" customHeight="1" x14ac:dyDescent="0.25">
      <c r="A74" s="112" t="s">
        <v>215</v>
      </c>
      <c r="B74" s="113">
        <v>-1450000</v>
      </c>
    </row>
    <row r="75" spans="1:2" ht="15" customHeight="1" x14ac:dyDescent="0.25">
      <c r="A75" s="110" t="s">
        <v>517</v>
      </c>
      <c r="B75" s="111">
        <v>264927.15000000002</v>
      </c>
    </row>
    <row r="76" spans="1:2" ht="15" customHeight="1" x14ac:dyDescent="0.25">
      <c r="A76" s="112" t="s">
        <v>518</v>
      </c>
      <c r="B76" s="113">
        <v>883090.5</v>
      </c>
    </row>
    <row r="77" spans="1:2" ht="15" customHeight="1" x14ac:dyDescent="0.25">
      <c r="A77" s="110" t="s">
        <v>210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</cols>
  <sheetData>
    <row r="1" spans="1:19" ht="27.75" customHeight="1" x14ac:dyDescent="0.25">
      <c r="A1" s="26" t="s">
        <v>332</v>
      </c>
      <c r="B1" s="26" t="s">
        <v>519</v>
      </c>
      <c r="C1" s="26" t="s">
        <v>4</v>
      </c>
      <c r="D1" s="26" t="s">
        <v>334</v>
      </c>
      <c r="E1" s="26" t="s">
        <v>422</v>
      </c>
      <c r="F1" s="26" t="s">
        <v>520</v>
      </c>
      <c r="G1" s="26" t="s">
        <v>6</v>
      </c>
      <c r="H1" s="26" t="s">
        <v>521</v>
      </c>
      <c r="I1" s="26" t="s">
        <v>522</v>
      </c>
      <c r="J1" s="26" t="s">
        <v>523</v>
      </c>
      <c r="K1" s="26" t="s">
        <v>336</v>
      </c>
      <c r="L1" s="26" t="s">
        <v>5</v>
      </c>
      <c r="N1" s="26" t="s">
        <v>524</v>
      </c>
      <c r="O1" s="26" t="s">
        <v>525</v>
      </c>
      <c r="P1" s="26" t="s">
        <v>526</v>
      </c>
      <c r="Q1" s="26" t="s">
        <v>527</v>
      </c>
      <c r="R1" s="26" t="s">
        <v>528</v>
      </c>
      <c r="S1" s="26" t="s">
        <v>529</v>
      </c>
    </row>
    <row r="2" spans="1:19" ht="15" customHeight="1" x14ac:dyDescent="0.25">
      <c r="A2" s="99" t="s">
        <v>271</v>
      </c>
      <c r="B2" s="115">
        <v>5321971</v>
      </c>
      <c r="C2" s="116">
        <v>1</v>
      </c>
      <c r="D2" s="116">
        <v>8</v>
      </c>
      <c r="E2" s="116">
        <v>2</v>
      </c>
      <c r="F2" s="116" t="s">
        <v>339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339</v>
      </c>
      <c r="K2" s="116" t="s">
        <v>339</v>
      </c>
      <c r="L2" s="116" t="s">
        <v>530</v>
      </c>
      <c r="N2" s="115">
        <v>194932</v>
      </c>
      <c r="O2" s="115">
        <f>B2*Assumptions!$B$11</f>
        <v>259186.89935064933</v>
      </c>
      <c r="P2" s="115">
        <v>46323</v>
      </c>
      <c r="Q2" s="115">
        <f t="shared" ref="Q2:Q46" si="0">N2+O2+P2</f>
        <v>500441.89935064933</v>
      </c>
      <c r="R2" s="115">
        <f t="shared" ref="R2:R46" si="1">Q2*0.05</f>
        <v>25022.094967532466</v>
      </c>
      <c r="S2" s="99">
        <f t="shared" ref="S2:S46" si="2">C2+D2-1</f>
        <v>8</v>
      </c>
    </row>
    <row r="3" spans="1:19" ht="15" customHeight="1" x14ac:dyDescent="0.25">
      <c r="A3" s="99" t="s">
        <v>275</v>
      </c>
      <c r="B3" s="115">
        <v>19982132</v>
      </c>
      <c r="C3" s="116">
        <v>1</v>
      </c>
      <c r="D3" s="116">
        <v>16</v>
      </c>
      <c r="E3" s="116">
        <v>2</v>
      </c>
      <c r="F3" s="116" t="s">
        <v>339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339</v>
      </c>
      <c r="K3" s="116" t="s">
        <v>339</v>
      </c>
      <c r="L3" s="116" t="s">
        <v>530</v>
      </c>
      <c r="N3" s="115">
        <v>888067</v>
      </c>
      <c r="O3" s="115">
        <f>B3*Assumptions!$B$11</f>
        <v>973155.77922077908</v>
      </c>
      <c r="P3" s="115">
        <v>176626</v>
      </c>
      <c r="Q3" s="115">
        <f t="shared" si="0"/>
        <v>2037848.779220779</v>
      </c>
      <c r="R3" s="115">
        <f t="shared" si="1"/>
        <v>101892.43896103895</v>
      </c>
      <c r="S3" s="99">
        <f t="shared" si="2"/>
        <v>16</v>
      </c>
    </row>
    <row r="4" spans="1:19" ht="15" customHeight="1" x14ac:dyDescent="0.25">
      <c r="A4" s="99" t="s">
        <v>219</v>
      </c>
      <c r="B4" s="115">
        <v>11673185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339</v>
      </c>
      <c r="K4" s="116" t="s">
        <v>13</v>
      </c>
      <c r="L4" s="116" t="s">
        <v>531</v>
      </c>
      <c r="N4" s="115">
        <f>B4*Assumptions!$B$10</f>
        <v>568499.26948051946</v>
      </c>
      <c r="O4" s="115">
        <f>B4*Assumptions!$B$11</f>
        <v>568499.26948051946</v>
      </c>
      <c r="P4" s="115">
        <f>B4*Assumptions!$B$12</f>
        <v>189499.75649350652</v>
      </c>
      <c r="Q4" s="115">
        <f t="shared" si="0"/>
        <v>1326498.2954545454</v>
      </c>
      <c r="R4" s="115">
        <f t="shared" si="1"/>
        <v>66324.914772727279</v>
      </c>
      <c r="S4" s="99">
        <f t="shared" si="2"/>
        <v>15</v>
      </c>
    </row>
    <row r="5" spans="1:19" ht="15" customHeight="1" x14ac:dyDescent="0.25">
      <c r="A5" s="99" t="s">
        <v>220</v>
      </c>
      <c r="B5" s="115">
        <v>13492534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339</v>
      </c>
      <c r="K5" s="116" t="s">
        <v>13</v>
      </c>
      <c r="L5" s="116" t="s">
        <v>531</v>
      </c>
      <c r="N5" s="115">
        <f>B5*Assumptions!$B$10</f>
        <v>657103.92857142852</v>
      </c>
      <c r="O5" s="115">
        <f>B5*Assumptions!$B$11</f>
        <v>657103.92857142852</v>
      </c>
      <c r="P5" s="115">
        <f>B5*Assumptions!$B$12</f>
        <v>219034.64285714287</v>
      </c>
      <c r="Q5" s="115">
        <f t="shared" si="0"/>
        <v>1533242.5</v>
      </c>
      <c r="R5" s="115">
        <f t="shared" si="1"/>
        <v>76662.125</v>
      </c>
      <c r="S5" s="99">
        <f t="shared" si="2"/>
        <v>15</v>
      </c>
    </row>
    <row r="6" spans="1:19" ht="15" customHeight="1" x14ac:dyDescent="0.25">
      <c r="A6" s="99" t="s">
        <v>343</v>
      </c>
      <c r="B6" s="115">
        <v>4052747</v>
      </c>
      <c r="C6" s="116">
        <v>1</v>
      </c>
      <c r="D6" s="116">
        <v>19</v>
      </c>
      <c r="E6" s="116">
        <v>3</v>
      </c>
      <c r="F6" s="116" t="s">
        <v>339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339</v>
      </c>
      <c r="K6" s="116" t="s">
        <v>13</v>
      </c>
      <c r="L6" s="116" t="s">
        <v>531</v>
      </c>
      <c r="N6" s="115">
        <v>245000</v>
      </c>
      <c r="O6" s="115">
        <f>B6*Assumptions!$B$11</f>
        <v>197374.0422077922</v>
      </c>
      <c r="P6" s="115">
        <v>0</v>
      </c>
      <c r="Q6" s="115">
        <f t="shared" si="0"/>
        <v>442374.04220779217</v>
      </c>
      <c r="R6" s="115">
        <f t="shared" si="1"/>
        <v>22118.702110389611</v>
      </c>
      <c r="S6" s="99">
        <f t="shared" si="2"/>
        <v>19</v>
      </c>
    </row>
    <row r="7" spans="1:19" ht="15" customHeight="1" x14ac:dyDescent="0.25">
      <c r="A7" s="99" t="s">
        <v>111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530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221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339</v>
      </c>
      <c r="K8" s="116" t="s">
        <v>13</v>
      </c>
      <c r="L8" s="116" t="s">
        <v>531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222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339</v>
      </c>
      <c r="K9" s="116" t="s">
        <v>13</v>
      </c>
      <c r="L9" s="116" t="s">
        <v>531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115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339</v>
      </c>
      <c r="K10" s="116" t="s">
        <v>13</v>
      </c>
      <c r="L10" s="116" t="s">
        <v>531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112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339</v>
      </c>
      <c r="G11" s="116" t="s">
        <v>339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339</v>
      </c>
      <c r="L11" s="116" t="s">
        <v>530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113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339</v>
      </c>
      <c r="G12" s="116" t="s">
        <v>339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339</v>
      </c>
      <c r="L12" s="116" t="s">
        <v>530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116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530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119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530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117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339</v>
      </c>
      <c r="H15" s="116">
        <v>2</v>
      </c>
      <c r="I15" s="102">
        <f>IF(H15=1,Assumptions!$B$16,IF(H15=2,Assumptions!$B$17,0))</f>
        <v>3.2500000000000001E-2</v>
      </c>
      <c r="J15" s="116" t="s">
        <v>339</v>
      </c>
      <c r="K15" s="116" t="s">
        <v>13</v>
      </c>
      <c r="L15" s="116" t="s">
        <v>531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118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339</v>
      </c>
      <c r="H16" s="116">
        <v>2</v>
      </c>
      <c r="I16" s="102">
        <f>IF(H16=1,Assumptions!$B$16,IF(H16=2,Assumptions!$B$17,0))</f>
        <v>3.2500000000000001E-2</v>
      </c>
      <c r="J16" s="116" t="s">
        <v>339</v>
      </c>
      <c r="K16" s="116" t="s">
        <v>13</v>
      </c>
      <c r="L16" s="116" t="s">
        <v>531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532</v>
      </c>
      <c r="B17" s="115">
        <v>18000000</v>
      </c>
      <c r="C17" s="116">
        <v>31</v>
      </c>
      <c r="D17" s="116">
        <v>19</v>
      </c>
      <c r="E17" s="116">
        <v>3</v>
      </c>
      <c r="F17" s="116" t="s">
        <v>339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339</v>
      </c>
      <c r="K17" s="116" t="s">
        <v>339</v>
      </c>
      <c r="L17" s="116" t="s">
        <v>531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49</v>
      </c>
    </row>
    <row r="18" spans="1:19" ht="15" customHeight="1" x14ac:dyDescent="0.25">
      <c r="A18" s="99" t="s">
        <v>533</v>
      </c>
      <c r="B18" s="115">
        <v>15000000</v>
      </c>
      <c r="C18" s="116">
        <v>35</v>
      </c>
      <c r="D18" s="116">
        <v>19</v>
      </c>
      <c r="E18" s="116">
        <v>3</v>
      </c>
      <c r="F18" s="116" t="s">
        <v>339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339</v>
      </c>
      <c r="K18" s="116" t="s">
        <v>339</v>
      </c>
      <c r="L18" s="116" t="s">
        <v>531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53</v>
      </c>
    </row>
    <row r="19" spans="1:19" ht="15" customHeight="1" x14ac:dyDescent="0.25">
      <c r="A19" s="99" t="s">
        <v>534</v>
      </c>
      <c r="B19" s="115">
        <v>15000000</v>
      </c>
      <c r="C19" s="116">
        <v>39</v>
      </c>
      <c r="D19" s="116">
        <v>19</v>
      </c>
      <c r="E19" s="116">
        <v>3</v>
      </c>
      <c r="F19" s="116" t="s">
        <v>339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339</v>
      </c>
      <c r="K19" s="116" t="s">
        <v>339</v>
      </c>
      <c r="L19" s="116" t="s">
        <v>531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57</v>
      </c>
    </row>
    <row r="20" spans="1:19" ht="15" customHeight="1" x14ac:dyDescent="0.25">
      <c r="A20" s="99" t="s">
        <v>535</v>
      </c>
      <c r="B20" s="115">
        <v>18000000</v>
      </c>
      <c r="C20" s="116">
        <v>43</v>
      </c>
      <c r="D20" s="116">
        <v>19</v>
      </c>
      <c r="E20" s="116">
        <v>3</v>
      </c>
      <c r="F20" s="116" t="s">
        <v>339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339</v>
      </c>
      <c r="K20" s="116" t="s">
        <v>339</v>
      </c>
      <c r="L20" s="116" t="s">
        <v>531</v>
      </c>
      <c r="N20" s="115">
        <f>B20*Assumptions!$B$10</f>
        <v>876623.37662337651</v>
      </c>
      <c r="O20" s="115">
        <f>B20*Assumptions!$B$11</f>
        <v>876623.37662337651</v>
      </c>
      <c r="P20" s="115">
        <f>B20*Assumptions!$B$12</f>
        <v>292207.79220779223</v>
      </c>
      <c r="Q20" s="115">
        <f t="shared" si="0"/>
        <v>2045454.5454545452</v>
      </c>
      <c r="R20" s="115">
        <f t="shared" si="1"/>
        <v>102272.72727272726</v>
      </c>
      <c r="S20" s="99">
        <f t="shared" si="2"/>
        <v>61</v>
      </c>
    </row>
    <row r="21" spans="1:19" ht="15" customHeight="1" x14ac:dyDescent="0.25">
      <c r="A21" s="99" t="s">
        <v>536</v>
      </c>
      <c r="B21" s="115">
        <v>15000000</v>
      </c>
      <c r="C21" s="116">
        <v>47</v>
      </c>
      <c r="D21" s="116">
        <v>19</v>
      </c>
      <c r="E21" s="116">
        <v>3</v>
      </c>
      <c r="F21" s="116" t="s">
        <v>339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339</v>
      </c>
      <c r="K21" s="116" t="s">
        <v>339</v>
      </c>
      <c r="L21" s="116" t="s">
        <v>531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65</v>
      </c>
    </row>
    <row r="22" spans="1:19" ht="15" customHeight="1" x14ac:dyDescent="0.25">
      <c r="A22" s="99" t="s">
        <v>537</v>
      </c>
      <c r="B22" s="115">
        <v>15000000</v>
      </c>
      <c r="C22" s="116">
        <v>51</v>
      </c>
      <c r="D22" s="116">
        <v>19</v>
      </c>
      <c r="E22" s="116">
        <v>3</v>
      </c>
      <c r="F22" s="116" t="s">
        <v>339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339</v>
      </c>
      <c r="K22" s="116" t="s">
        <v>339</v>
      </c>
      <c r="L22" s="116" t="s">
        <v>531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69</v>
      </c>
    </row>
    <row r="23" spans="1:19" ht="15" customHeight="1" x14ac:dyDescent="0.25">
      <c r="A23" s="99" t="s">
        <v>538</v>
      </c>
      <c r="B23" s="115">
        <v>18000000</v>
      </c>
      <c r="C23" s="116">
        <v>55</v>
      </c>
      <c r="D23" s="116">
        <v>19</v>
      </c>
      <c r="E23" s="116">
        <v>3</v>
      </c>
      <c r="F23" s="116" t="s">
        <v>339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339</v>
      </c>
      <c r="K23" s="116" t="s">
        <v>339</v>
      </c>
      <c r="L23" s="116" t="s">
        <v>531</v>
      </c>
      <c r="N23" s="115">
        <f>B23*Assumptions!$B$10</f>
        <v>876623.37662337651</v>
      </c>
      <c r="O23" s="115">
        <f>B23*Assumptions!$B$11</f>
        <v>876623.37662337651</v>
      </c>
      <c r="P23" s="115">
        <f>B23*Assumptions!$B$12</f>
        <v>292207.79220779223</v>
      </c>
      <c r="Q23" s="115">
        <f t="shared" si="0"/>
        <v>2045454.5454545452</v>
      </c>
      <c r="R23" s="115">
        <f t="shared" si="1"/>
        <v>102272.72727272726</v>
      </c>
      <c r="S23" s="99">
        <f t="shared" si="2"/>
        <v>73</v>
      </c>
    </row>
    <row r="24" spans="1:19" ht="15" customHeight="1" x14ac:dyDescent="0.25">
      <c r="A24" s="99" t="s">
        <v>539</v>
      </c>
      <c r="B24" s="115">
        <v>15000000</v>
      </c>
      <c r="C24" s="116">
        <v>59</v>
      </c>
      <c r="D24" s="116">
        <v>19</v>
      </c>
      <c r="E24" s="116">
        <v>3</v>
      </c>
      <c r="F24" s="116" t="s">
        <v>339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339</v>
      </c>
      <c r="K24" s="116" t="s">
        <v>339</v>
      </c>
      <c r="L24" s="116" t="s">
        <v>531</v>
      </c>
      <c r="N24" s="115">
        <f>B24*Assumptions!$B$10</f>
        <v>730519.48051948042</v>
      </c>
      <c r="O24" s="115">
        <f>B24*Assumptions!$B$11</f>
        <v>730519.48051948042</v>
      </c>
      <c r="P24" s="115">
        <f>B24*Assumptions!$B$12</f>
        <v>243506.49350649354</v>
      </c>
      <c r="Q24" s="115">
        <f t="shared" si="0"/>
        <v>1704545.4545454544</v>
      </c>
      <c r="R24" s="115">
        <f t="shared" si="1"/>
        <v>85227.272727272721</v>
      </c>
      <c r="S24" s="99">
        <f t="shared" si="2"/>
        <v>77</v>
      </c>
    </row>
    <row r="25" spans="1:19" ht="15" customHeight="1" x14ac:dyDescent="0.25">
      <c r="A25" s="99" t="s">
        <v>540</v>
      </c>
      <c r="B25" s="115">
        <v>15000000</v>
      </c>
      <c r="C25" s="116">
        <v>63</v>
      </c>
      <c r="D25" s="116">
        <v>19</v>
      </c>
      <c r="E25" s="116">
        <v>3</v>
      </c>
      <c r="F25" s="116" t="s">
        <v>339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339</v>
      </c>
      <c r="K25" s="116" t="s">
        <v>339</v>
      </c>
      <c r="L25" s="116" t="s">
        <v>531</v>
      </c>
      <c r="N25" s="115">
        <f>B25*Assumptions!$B$10</f>
        <v>730519.48051948042</v>
      </c>
      <c r="O25" s="115">
        <f>B25*Assumptions!$B$11</f>
        <v>730519.48051948042</v>
      </c>
      <c r="P25" s="115">
        <f>B25*Assumptions!$B$12</f>
        <v>243506.49350649354</v>
      </c>
      <c r="Q25" s="115">
        <f t="shared" si="0"/>
        <v>1704545.4545454544</v>
      </c>
      <c r="R25" s="115">
        <f t="shared" si="1"/>
        <v>85227.272727272721</v>
      </c>
      <c r="S25" s="99">
        <f t="shared" si="2"/>
        <v>81</v>
      </c>
    </row>
    <row r="26" spans="1:19" ht="15" customHeight="1" x14ac:dyDescent="0.25">
      <c r="A26" s="99" t="s">
        <v>541</v>
      </c>
      <c r="B26" s="115">
        <v>18000000</v>
      </c>
      <c r="C26" s="116">
        <v>67</v>
      </c>
      <c r="D26" s="116">
        <v>19</v>
      </c>
      <c r="E26" s="116">
        <v>3</v>
      </c>
      <c r="F26" s="116" t="s">
        <v>339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339</v>
      </c>
      <c r="K26" s="116" t="s">
        <v>339</v>
      </c>
      <c r="L26" s="116" t="s">
        <v>531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85</v>
      </c>
    </row>
    <row r="27" spans="1:19" ht="15" customHeight="1" x14ac:dyDescent="0.25">
      <c r="A27" s="99" t="s">
        <v>542</v>
      </c>
      <c r="B27" s="115">
        <v>15000000</v>
      </c>
      <c r="C27" s="116">
        <v>69</v>
      </c>
      <c r="D27" s="116">
        <v>19</v>
      </c>
      <c r="E27" s="116">
        <v>3</v>
      </c>
      <c r="F27" s="116" t="s">
        <v>339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339</v>
      </c>
      <c r="K27" s="116" t="s">
        <v>339</v>
      </c>
      <c r="L27" s="116" t="s">
        <v>531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87</v>
      </c>
    </row>
    <row r="28" spans="1:19" ht="15" customHeight="1" x14ac:dyDescent="0.25">
      <c r="A28" s="99" t="s">
        <v>543</v>
      </c>
      <c r="B28" s="115">
        <v>15000000</v>
      </c>
      <c r="C28" s="116">
        <v>71</v>
      </c>
      <c r="D28" s="116">
        <v>19</v>
      </c>
      <c r="E28" s="116">
        <v>3</v>
      </c>
      <c r="F28" s="116" t="s">
        <v>339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339</v>
      </c>
      <c r="K28" s="116" t="s">
        <v>339</v>
      </c>
      <c r="L28" s="116" t="s">
        <v>531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89</v>
      </c>
    </row>
    <row r="29" spans="1:19" ht="15" customHeight="1" x14ac:dyDescent="0.25">
      <c r="A29" s="99" t="s">
        <v>544</v>
      </c>
      <c r="B29" s="115">
        <v>15000000</v>
      </c>
      <c r="C29" s="116">
        <v>75</v>
      </c>
      <c r="D29" s="116">
        <v>19</v>
      </c>
      <c r="E29" s="116">
        <v>3</v>
      </c>
      <c r="F29" s="116" t="s">
        <v>339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339</v>
      </c>
      <c r="K29" s="116" t="s">
        <v>339</v>
      </c>
      <c r="L29" s="116" t="s">
        <v>531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93</v>
      </c>
    </row>
    <row r="30" spans="1:19" ht="15" customHeight="1" x14ac:dyDescent="0.25">
      <c r="A30" s="99" t="s">
        <v>545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339</v>
      </c>
      <c r="G30" s="116" t="s">
        <v>339</v>
      </c>
      <c r="H30" s="116">
        <v>0</v>
      </c>
      <c r="I30" s="102">
        <f>IF(H30=1,Assumptions!$B$16,IF(H30=2,Assumptions!$B$17,0))</f>
        <v>0</v>
      </c>
      <c r="J30" s="116" t="s">
        <v>339</v>
      </c>
      <c r="K30" s="116" t="s">
        <v>339</v>
      </c>
      <c r="L30" s="116" t="s">
        <v>531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546</v>
      </c>
      <c r="B31" s="115">
        <v>18000000</v>
      </c>
      <c r="C31" s="116">
        <v>52</v>
      </c>
      <c r="D31" s="116">
        <v>19</v>
      </c>
      <c r="E31" s="116">
        <v>3</v>
      </c>
      <c r="F31" s="116" t="s">
        <v>339</v>
      </c>
      <c r="G31" s="116" t="s">
        <v>339</v>
      </c>
      <c r="H31" s="116">
        <v>0</v>
      </c>
      <c r="I31" s="102">
        <f>IF(H31=1,Assumptions!$B$16,IF(H31=2,Assumptions!$B$17,0))</f>
        <v>0</v>
      </c>
      <c r="J31" s="116" t="s">
        <v>339</v>
      </c>
      <c r="K31" s="116" t="s">
        <v>339</v>
      </c>
      <c r="L31" s="116" t="s">
        <v>531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70</v>
      </c>
    </row>
    <row r="32" spans="1:19" ht="15" customHeight="1" x14ac:dyDescent="0.25">
      <c r="A32" s="99" t="s">
        <v>547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339</v>
      </c>
      <c r="G32" s="116" t="s">
        <v>339</v>
      </c>
      <c r="H32" s="116">
        <v>0</v>
      </c>
      <c r="I32" s="102">
        <f>IF(H32=1,Assumptions!$B$16,IF(H32=2,Assumptions!$B$17,0))</f>
        <v>0</v>
      </c>
      <c r="J32" s="116" t="s">
        <v>339</v>
      </c>
      <c r="K32" s="116" t="s">
        <v>339</v>
      </c>
      <c r="L32" s="116" t="s">
        <v>531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548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339</v>
      </c>
      <c r="G33" s="116" t="s">
        <v>339</v>
      </c>
      <c r="H33" s="116">
        <v>0</v>
      </c>
      <c r="I33" s="102">
        <f>IF(H33=1,Assumptions!$B$16,IF(H33=2,Assumptions!$B$17,0))</f>
        <v>0</v>
      </c>
      <c r="J33" s="116" t="s">
        <v>339</v>
      </c>
      <c r="K33" s="116" t="s">
        <v>339</v>
      </c>
      <c r="L33" s="116" t="s">
        <v>531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549</v>
      </c>
      <c r="B34" s="115">
        <v>18000000</v>
      </c>
      <c r="C34" s="116">
        <v>58</v>
      </c>
      <c r="D34" s="116">
        <v>19</v>
      </c>
      <c r="E34" s="116">
        <v>3</v>
      </c>
      <c r="F34" s="116" t="s">
        <v>339</v>
      </c>
      <c r="G34" s="116" t="s">
        <v>339</v>
      </c>
      <c r="H34" s="116">
        <v>0</v>
      </c>
      <c r="I34" s="102">
        <f>IF(H34=1,Assumptions!$B$16,IF(H34=2,Assumptions!$B$17,0))</f>
        <v>0</v>
      </c>
      <c r="J34" s="116" t="s">
        <v>339</v>
      </c>
      <c r="K34" s="116" t="s">
        <v>339</v>
      </c>
      <c r="L34" s="116" t="s">
        <v>531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76</v>
      </c>
    </row>
    <row r="35" spans="1:19" ht="15" customHeight="1" x14ac:dyDescent="0.25">
      <c r="A35" s="99" t="s">
        <v>550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339</v>
      </c>
      <c r="G35" s="116" t="s">
        <v>339</v>
      </c>
      <c r="H35" s="116">
        <v>0</v>
      </c>
      <c r="I35" s="102">
        <f>IF(H35=1,Assumptions!$B$16,IF(H35=2,Assumptions!$B$17,0))</f>
        <v>0</v>
      </c>
      <c r="J35" s="116" t="s">
        <v>339</v>
      </c>
      <c r="K35" s="116" t="s">
        <v>339</v>
      </c>
      <c r="L35" s="116" t="s">
        <v>531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551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339</v>
      </c>
      <c r="G36" s="116" t="s">
        <v>339</v>
      </c>
      <c r="H36" s="116">
        <v>0</v>
      </c>
      <c r="I36" s="102">
        <f>IF(H36=1,Assumptions!$B$16,IF(H36=2,Assumptions!$B$17,0))</f>
        <v>0</v>
      </c>
      <c r="J36" s="116" t="s">
        <v>339</v>
      </c>
      <c r="K36" s="116" t="s">
        <v>339</v>
      </c>
      <c r="L36" s="116" t="s">
        <v>531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552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339</v>
      </c>
      <c r="G37" s="116" t="s">
        <v>339</v>
      </c>
      <c r="H37" s="116">
        <v>0</v>
      </c>
      <c r="I37" s="102">
        <f>IF(H37=1,Assumptions!$B$16,IF(H37=2,Assumptions!$B$17,0))</f>
        <v>0</v>
      </c>
      <c r="J37" s="116" t="s">
        <v>339</v>
      </c>
      <c r="K37" s="116" t="s">
        <v>339</v>
      </c>
      <c r="L37" s="116" t="s">
        <v>531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553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339</v>
      </c>
      <c r="G38" s="116" t="s">
        <v>339</v>
      </c>
      <c r="H38" s="116">
        <v>0</v>
      </c>
      <c r="I38" s="102">
        <f>IF(H38=1,Assumptions!$B$16,IF(H38=2,Assumptions!$B$17,0))</f>
        <v>0</v>
      </c>
      <c r="J38" s="116" t="s">
        <v>339</v>
      </c>
      <c r="K38" s="116" t="s">
        <v>339</v>
      </c>
      <c r="L38" s="116" t="s">
        <v>531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554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339</v>
      </c>
      <c r="G39" s="116" t="s">
        <v>339</v>
      </c>
      <c r="H39" s="116">
        <v>0</v>
      </c>
      <c r="I39" s="102">
        <f>IF(H39=1,Assumptions!$B$16,IF(H39=2,Assumptions!$B$17,0))</f>
        <v>0</v>
      </c>
      <c r="J39" s="116" t="s">
        <v>339</v>
      </c>
      <c r="K39" s="116" t="s">
        <v>339</v>
      </c>
      <c r="L39" s="116" t="s">
        <v>531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555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339</v>
      </c>
      <c r="G40" s="116" t="s">
        <v>339</v>
      </c>
      <c r="H40" s="116">
        <v>0</v>
      </c>
      <c r="I40" s="102">
        <f>IF(H40=1,Assumptions!$B$16,IF(H40=2,Assumptions!$B$17,0))</f>
        <v>0</v>
      </c>
      <c r="J40" s="116" t="s">
        <v>339</v>
      </c>
      <c r="K40" s="116" t="s">
        <v>339</v>
      </c>
      <c r="L40" s="116" t="s">
        <v>531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556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339</v>
      </c>
      <c r="G41" s="116" t="s">
        <v>339</v>
      </c>
      <c r="H41" s="116">
        <v>0</v>
      </c>
      <c r="I41" s="102">
        <f>IF(H41=1,Assumptions!$B$16,IF(H41=2,Assumptions!$B$17,0))</f>
        <v>0</v>
      </c>
      <c r="J41" s="116" t="s">
        <v>339</v>
      </c>
      <c r="K41" s="116" t="s">
        <v>339</v>
      </c>
      <c r="L41" s="116" t="s">
        <v>531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557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339</v>
      </c>
      <c r="G42" s="116" t="s">
        <v>339</v>
      </c>
      <c r="H42" s="116">
        <v>0</v>
      </c>
      <c r="I42" s="102">
        <f>IF(H42=1,Assumptions!$B$16,IF(H42=2,Assumptions!$B$17,0))</f>
        <v>0</v>
      </c>
      <c r="J42" s="116" t="s">
        <v>339</v>
      </c>
      <c r="K42" s="116" t="s">
        <v>339</v>
      </c>
      <c r="L42" s="116" t="s">
        <v>531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558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339</v>
      </c>
      <c r="G43" s="116" t="s">
        <v>339</v>
      </c>
      <c r="H43" s="116">
        <v>0</v>
      </c>
      <c r="I43" s="102">
        <f>IF(H43=1,Assumptions!$B$16,IF(H43=2,Assumptions!$B$17,0))</f>
        <v>0</v>
      </c>
      <c r="J43" s="116" t="s">
        <v>339</v>
      </c>
      <c r="K43" s="116" t="s">
        <v>339</v>
      </c>
      <c r="L43" s="116" t="s">
        <v>531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559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339</v>
      </c>
      <c r="G44" s="116" t="s">
        <v>339</v>
      </c>
      <c r="H44" s="116">
        <v>0</v>
      </c>
      <c r="I44" s="102">
        <f>IF(H44=1,Assumptions!$B$16,IF(H44=2,Assumptions!$B$17,0))</f>
        <v>0</v>
      </c>
      <c r="J44" s="116" t="s">
        <v>339</v>
      </c>
      <c r="K44" s="116" t="s">
        <v>339</v>
      </c>
      <c r="L44" s="116" t="s">
        <v>531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560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339</v>
      </c>
      <c r="G45" s="116" t="s">
        <v>339</v>
      </c>
      <c r="H45" s="116">
        <v>0</v>
      </c>
      <c r="I45" s="102">
        <f>IF(H45=1,Assumptions!$B$16,IF(H45=2,Assumptions!$B$17,0))</f>
        <v>0</v>
      </c>
      <c r="J45" s="116" t="s">
        <v>339</v>
      </c>
      <c r="K45" s="116" t="s">
        <v>339</v>
      </c>
      <c r="L45" s="116" t="s">
        <v>531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561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339</v>
      </c>
      <c r="G46" s="116" t="s">
        <v>339</v>
      </c>
      <c r="H46" s="116">
        <v>0</v>
      </c>
      <c r="I46" s="102">
        <f>IF(H46=1,Assumptions!$B$16,IF(H46=2,Assumptions!$B$17,0))</f>
        <v>0</v>
      </c>
      <c r="J46" s="116" t="s">
        <v>339</v>
      </c>
      <c r="K46" s="116" t="s">
        <v>339</v>
      </c>
      <c r="L46" s="116" t="s">
        <v>531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4"/>
  <sheetViews>
    <sheetView tabSelected="1"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t="s">
        <v>9</v>
      </c>
    </row>
    <row r="2" spans="1:10" ht="15" customHeight="1" x14ac:dyDescent="0.25">
      <c r="A2" s="99" t="s">
        <v>10</v>
      </c>
      <c r="B2" s="99" t="s">
        <v>11</v>
      </c>
      <c r="C2" s="115">
        <v>400000</v>
      </c>
      <c r="D2" s="105">
        <f t="shared" ref="D2:D25" si="0">C2/12</f>
        <v>33333.333333333336</v>
      </c>
      <c r="E2" s="116">
        <v>1</v>
      </c>
      <c r="F2" s="99" t="s">
        <v>12</v>
      </c>
      <c r="G2" s="103" t="s">
        <v>13</v>
      </c>
      <c r="H2" s="100">
        <v>0.5</v>
      </c>
      <c r="I2" s="102">
        <v>0</v>
      </c>
      <c r="J2" t="s">
        <v>14</v>
      </c>
    </row>
    <row r="3" spans="1:10" ht="15" customHeight="1" x14ac:dyDescent="0.25">
      <c r="A3" s="99" t="s">
        <v>15</v>
      </c>
      <c r="B3" s="99" t="s">
        <v>11</v>
      </c>
      <c r="C3" s="115">
        <v>250000</v>
      </c>
      <c r="D3" s="105">
        <f t="shared" si="0"/>
        <v>20833.333333333332</v>
      </c>
      <c r="E3" s="116">
        <v>1</v>
      </c>
      <c r="F3" s="99" t="s">
        <v>12</v>
      </c>
      <c r="G3" s="103" t="s">
        <v>13</v>
      </c>
      <c r="H3" s="100">
        <v>0.5</v>
      </c>
      <c r="I3" s="102">
        <v>0</v>
      </c>
      <c r="J3" t="s">
        <v>14</v>
      </c>
    </row>
    <row r="4" spans="1:10" ht="15" customHeight="1" x14ac:dyDescent="0.25">
      <c r="A4" s="99" t="s">
        <v>16</v>
      </c>
      <c r="B4" s="99" t="s">
        <v>17</v>
      </c>
      <c r="C4" s="115">
        <v>190000</v>
      </c>
      <c r="D4" s="105">
        <f t="shared" si="0"/>
        <v>15833.333333333334</v>
      </c>
      <c r="E4" s="116">
        <v>1</v>
      </c>
      <c r="F4" s="99" t="s">
        <v>12</v>
      </c>
      <c r="G4" s="103" t="s">
        <v>13</v>
      </c>
      <c r="H4" s="100">
        <v>0</v>
      </c>
      <c r="I4" s="102">
        <v>0</v>
      </c>
      <c r="J4" t="s">
        <v>14</v>
      </c>
    </row>
    <row r="5" spans="1:10" ht="15" customHeight="1" x14ac:dyDescent="0.25">
      <c r="A5" s="99" t="s">
        <v>18</v>
      </c>
      <c r="B5" s="99" t="s">
        <v>17</v>
      </c>
      <c r="C5" s="115">
        <v>200000</v>
      </c>
      <c r="D5" s="105">
        <f t="shared" si="0"/>
        <v>16666.666666666668</v>
      </c>
      <c r="E5" s="116">
        <v>1</v>
      </c>
      <c r="F5" s="99" t="s">
        <v>12</v>
      </c>
      <c r="G5" s="103" t="s">
        <v>13</v>
      </c>
      <c r="H5" s="100">
        <v>0</v>
      </c>
      <c r="I5" s="102">
        <v>0</v>
      </c>
      <c r="J5" t="s">
        <v>14</v>
      </c>
    </row>
    <row r="6" spans="1:10" ht="15" customHeight="1" x14ac:dyDescent="0.25">
      <c r="A6" s="117" t="s">
        <v>19</v>
      </c>
      <c r="B6" s="99" t="s">
        <v>17</v>
      </c>
      <c r="C6" s="115">
        <v>175000</v>
      </c>
      <c r="D6" s="105">
        <f t="shared" si="0"/>
        <v>14583.333333333334</v>
      </c>
      <c r="E6" s="116">
        <v>2</v>
      </c>
      <c r="F6" s="99" t="s">
        <v>12</v>
      </c>
      <c r="G6" s="103" t="s">
        <v>13</v>
      </c>
      <c r="H6" s="100">
        <v>0</v>
      </c>
      <c r="I6" s="102">
        <v>0</v>
      </c>
      <c r="J6" t="s">
        <v>14</v>
      </c>
    </row>
    <row r="7" spans="1:10" ht="15" customHeight="1" x14ac:dyDescent="0.25">
      <c r="A7" s="99" t="s">
        <v>20</v>
      </c>
      <c r="B7" s="99" t="s">
        <v>21</v>
      </c>
      <c r="C7" s="115">
        <v>145000</v>
      </c>
      <c r="D7" s="105">
        <f t="shared" si="0"/>
        <v>12083.333333333334</v>
      </c>
      <c r="E7" s="116">
        <v>1</v>
      </c>
      <c r="F7" s="99" t="s">
        <v>12</v>
      </c>
      <c r="G7" s="103" t="s">
        <v>13</v>
      </c>
      <c r="H7" s="100">
        <v>0</v>
      </c>
      <c r="I7" s="102">
        <v>0</v>
      </c>
      <c r="J7" t="s">
        <v>14</v>
      </c>
    </row>
    <row r="8" spans="1:10" ht="15" customHeight="1" x14ac:dyDescent="0.25">
      <c r="A8" s="99" t="s">
        <v>22</v>
      </c>
      <c r="B8" s="99" t="s">
        <v>21</v>
      </c>
      <c r="C8" s="115">
        <v>185000</v>
      </c>
      <c r="D8" s="105">
        <f t="shared" si="0"/>
        <v>15416.666666666666</v>
      </c>
      <c r="E8" s="116">
        <v>1</v>
      </c>
      <c r="F8" s="99" t="s">
        <v>12</v>
      </c>
      <c r="G8" s="103" t="s">
        <v>13</v>
      </c>
      <c r="H8" s="100">
        <v>0</v>
      </c>
      <c r="I8" s="102">
        <v>0</v>
      </c>
      <c r="J8" t="s">
        <v>14</v>
      </c>
    </row>
    <row r="9" spans="1:10" ht="15" customHeight="1" x14ac:dyDescent="0.25">
      <c r="A9" s="117" t="s">
        <v>23</v>
      </c>
      <c r="B9" s="99" t="s">
        <v>21</v>
      </c>
      <c r="C9" s="115">
        <v>135000</v>
      </c>
      <c r="D9" s="105">
        <f t="shared" si="0"/>
        <v>11250</v>
      </c>
      <c r="E9" s="116">
        <v>2</v>
      </c>
      <c r="F9" s="99" t="s">
        <v>12</v>
      </c>
      <c r="G9" s="103" t="s">
        <v>13</v>
      </c>
      <c r="H9" s="100">
        <v>0</v>
      </c>
      <c r="I9" s="102">
        <v>0</v>
      </c>
      <c r="J9" t="s">
        <v>14</v>
      </c>
    </row>
    <row r="10" spans="1:10" ht="15" customHeight="1" x14ac:dyDescent="0.25">
      <c r="A10" s="117" t="s">
        <v>24</v>
      </c>
      <c r="B10" s="99" t="s">
        <v>21</v>
      </c>
      <c r="C10" s="115">
        <v>135000</v>
      </c>
      <c r="D10" s="105">
        <f t="shared" si="0"/>
        <v>11250</v>
      </c>
      <c r="E10" s="116">
        <v>3</v>
      </c>
      <c r="F10" s="99" t="s">
        <v>12</v>
      </c>
      <c r="G10" s="103" t="s">
        <v>13</v>
      </c>
      <c r="H10" s="100">
        <v>0</v>
      </c>
      <c r="I10" s="102">
        <v>0</v>
      </c>
      <c r="J10" t="s">
        <v>14</v>
      </c>
    </row>
    <row r="11" spans="1:10" ht="15" customHeight="1" x14ac:dyDescent="0.25">
      <c r="A11" s="99" t="s">
        <v>25</v>
      </c>
      <c r="B11" s="99" t="s">
        <v>26</v>
      </c>
      <c r="C11" s="115">
        <v>150000</v>
      </c>
      <c r="D11" s="105">
        <f t="shared" si="0"/>
        <v>12500</v>
      </c>
      <c r="E11" s="116">
        <v>1</v>
      </c>
      <c r="F11" s="99" t="s">
        <v>12</v>
      </c>
      <c r="G11" s="103" t="s">
        <v>13</v>
      </c>
      <c r="H11" s="100">
        <v>0</v>
      </c>
      <c r="I11" s="102">
        <v>0</v>
      </c>
      <c r="J11" t="s">
        <v>27</v>
      </c>
    </row>
    <row r="12" spans="1:10" ht="15" customHeight="1" x14ac:dyDescent="0.25">
      <c r="A12" s="99" t="s">
        <v>28</v>
      </c>
      <c r="B12" s="99" t="s">
        <v>26</v>
      </c>
      <c r="C12" s="115">
        <v>150000</v>
      </c>
      <c r="D12" s="105">
        <f t="shared" si="0"/>
        <v>12500</v>
      </c>
      <c r="E12" s="116">
        <v>1</v>
      </c>
      <c r="F12" s="99" t="s">
        <v>12</v>
      </c>
      <c r="G12" s="103" t="s">
        <v>13</v>
      </c>
      <c r="H12" s="100">
        <v>0</v>
      </c>
      <c r="I12" s="102">
        <v>0</v>
      </c>
      <c r="J12" t="s">
        <v>27</v>
      </c>
    </row>
    <row r="13" spans="1:10" ht="15" customHeight="1" x14ac:dyDescent="0.25">
      <c r="A13" s="99" t="s">
        <v>29</v>
      </c>
      <c r="B13" s="99" t="s">
        <v>26</v>
      </c>
      <c r="C13" s="115">
        <v>110000</v>
      </c>
      <c r="D13" s="105">
        <f t="shared" si="0"/>
        <v>9166.6666666666661</v>
      </c>
      <c r="E13" s="116">
        <v>1</v>
      </c>
      <c r="F13" s="99" t="s">
        <v>12</v>
      </c>
      <c r="G13" s="103" t="s">
        <v>13</v>
      </c>
      <c r="H13" s="100">
        <v>0</v>
      </c>
      <c r="I13" s="102">
        <v>0</v>
      </c>
      <c r="J13" t="s">
        <v>27</v>
      </c>
    </row>
    <row r="14" spans="1:10" ht="15" customHeight="1" x14ac:dyDescent="0.25">
      <c r="A14" s="99" t="s">
        <v>30</v>
      </c>
      <c r="B14" s="99" t="s">
        <v>31</v>
      </c>
      <c r="C14" s="115">
        <v>75000</v>
      </c>
      <c r="D14" s="105">
        <f t="shared" si="0"/>
        <v>6250</v>
      </c>
      <c r="E14" s="116">
        <v>1</v>
      </c>
      <c r="F14" s="99" t="s">
        <v>12</v>
      </c>
      <c r="G14" s="103" t="s">
        <v>13</v>
      </c>
      <c r="H14" s="100">
        <v>0</v>
      </c>
      <c r="I14" s="102">
        <v>0</v>
      </c>
      <c r="J14" t="s">
        <v>27</v>
      </c>
    </row>
    <row r="15" spans="1:10" ht="15" customHeight="1" x14ac:dyDescent="0.25">
      <c r="A15" s="117" t="s">
        <v>32</v>
      </c>
      <c r="B15" s="99" t="s">
        <v>31</v>
      </c>
      <c r="C15" s="115">
        <v>125000</v>
      </c>
      <c r="D15" s="105">
        <f t="shared" si="0"/>
        <v>10416.666666666666</v>
      </c>
      <c r="E15" s="116">
        <v>2</v>
      </c>
      <c r="F15" s="99" t="s">
        <v>12</v>
      </c>
      <c r="G15" s="103" t="s">
        <v>13</v>
      </c>
      <c r="H15" s="100">
        <v>0</v>
      </c>
      <c r="I15" s="102">
        <v>0</v>
      </c>
      <c r="J15" t="s">
        <v>27</v>
      </c>
    </row>
    <row r="16" spans="1:10" ht="15" customHeight="1" x14ac:dyDescent="0.25">
      <c r="A16" s="117" t="s">
        <v>33</v>
      </c>
      <c r="B16" s="99" t="s">
        <v>31</v>
      </c>
      <c r="C16" s="115">
        <v>125000</v>
      </c>
      <c r="D16" s="105">
        <f t="shared" si="0"/>
        <v>10416.666666666666</v>
      </c>
      <c r="E16" s="116">
        <v>3</v>
      </c>
      <c r="F16" s="99" t="s">
        <v>12</v>
      </c>
      <c r="G16" s="103" t="s">
        <v>13</v>
      </c>
      <c r="H16" s="100">
        <v>0</v>
      </c>
      <c r="I16" s="102">
        <v>0</v>
      </c>
      <c r="J16" t="s">
        <v>27</v>
      </c>
    </row>
    <row r="17" spans="1:10" ht="15" customHeight="1" x14ac:dyDescent="0.25">
      <c r="A17" s="117" t="s">
        <v>34</v>
      </c>
      <c r="B17" s="99" t="s">
        <v>31</v>
      </c>
      <c r="C17" s="115">
        <v>125000</v>
      </c>
      <c r="D17" s="105">
        <f t="shared" si="0"/>
        <v>10416.666666666666</v>
      </c>
      <c r="E17" s="116">
        <v>999</v>
      </c>
      <c r="F17" s="99" t="s">
        <v>12</v>
      </c>
      <c r="G17" s="103" t="s">
        <v>13</v>
      </c>
      <c r="H17" s="100">
        <v>0</v>
      </c>
      <c r="I17" s="102">
        <v>0</v>
      </c>
      <c r="J17" t="s">
        <v>27</v>
      </c>
    </row>
    <row r="18" spans="1:10" ht="15" customHeight="1" x14ac:dyDescent="0.25">
      <c r="A18" s="117" t="s">
        <v>35</v>
      </c>
      <c r="B18" s="99" t="s">
        <v>31</v>
      </c>
      <c r="C18" s="115">
        <v>125000</v>
      </c>
      <c r="D18" s="105">
        <f t="shared" si="0"/>
        <v>10416.666666666666</v>
      </c>
      <c r="E18" s="116">
        <v>999</v>
      </c>
      <c r="F18" s="99" t="s">
        <v>12</v>
      </c>
      <c r="G18" s="103" t="s">
        <v>13</v>
      </c>
      <c r="H18" s="100">
        <v>0</v>
      </c>
      <c r="I18" s="102">
        <v>0</v>
      </c>
      <c r="J18" t="s">
        <v>27</v>
      </c>
    </row>
    <row r="19" spans="1:10" ht="15" customHeight="1" x14ac:dyDescent="0.25">
      <c r="A19" s="99" t="s">
        <v>36</v>
      </c>
      <c r="B19" s="99" t="s">
        <v>37</v>
      </c>
      <c r="C19" s="115">
        <v>62400</v>
      </c>
      <c r="D19" s="105">
        <f t="shared" si="0"/>
        <v>5200</v>
      </c>
      <c r="E19" s="116">
        <v>1</v>
      </c>
      <c r="F19" s="99" t="s">
        <v>12</v>
      </c>
      <c r="G19" s="103" t="s">
        <v>13</v>
      </c>
      <c r="H19" s="100">
        <v>0</v>
      </c>
      <c r="I19" s="102">
        <v>0</v>
      </c>
      <c r="J19" t="s">
        <v>27</v>
      </c>
    </row>
    <row r="20" spans="1:10" ht="15" customHeight="1" x14ac:dyDescent="0.25">
      <c r="A20" s="99" t="s">
        <v>38</v>
      </c>
      <c r="B20" s="99" t="s">
        <v>37</v>
      </c>
      <c r="C20" s="115">
        <v>85000</v>
      </c>
      <c r="D20" s="105">
        <f t="shared" si="0"/>
        <v>7083.333333333333</v>
      </c>
      <c r="E20" s="116">
        <v>1</v>
      </c>
      <c r="F20" s="99" t="s">
        <v>12</v>
      </c>
      <c r="G20" s="103" t="s">
        <v>13</v>
      </c>
      <c r="H20" s="100">
        <v>0</v>
      </c>
      <c r="I20" s="102">
        <v>0</v>
      </c>
      <c r="J20" t="s">
        <v>27</v>
      </c>
    </row>
    <row r="21" spans="1:10" ht="15" customHeight="1" x14ac:dyDescent="0.25">
      <c r="A21" s="99" t="s">
        <v>39</v>
      </c>
      <c r="B21" s="99" t="s">
        <v>40</v>
      </c>
      <c r="C21" s="115">
        <v>69992</v>
      </c>
      <c r="D21" s="105">
        <f t="shared" si="0"/>
        <v>5832.666666666667</v>
      </c>
      <c r="E21" s="116">
        <v>1</v>
      </c>
      <c r="F21" s="99" t="s">
        <v>12</v>
      </c>
      <c r="G21" s="103" t="s">
        <v>13</v>
      </c>
      <c r="H21" s="100">
        <v>0</v>
      </c>
      <c r="I21" s="102">
        <v>0</v>
      </c>
      <c r="J21" t="s">
        <v>27</v>
      </c>
    </row>
    <row r="22" spans="1:10" ht="15" customHeight="1" x14ac:dyDescent="0.25">
      <c r="A22" s="99" t="s">
        <v>41</v>
      </c>
      <c r="B22" s="99" t="s">
        <v>40</v>
      </c>
      <c r="C22" s="115">
        <v>52000</v>
      </c>
      <c r="D22" s="105">
        <f t="shared" si="0"/>
        <v>4333.333333333333</v>
      </c>
      <c r="E22" s="116">
        <v>1</v>
      </c>
      <c r="F22" s="99" t="s">
        <v>12</v>
      </c>
      <c r="G22" s="103" t="s">
        <v>13</v>
      </c>
      <c r="H22" s="100">
        <v>0</v>
      </c>
      <c r="I22" s="102">
        <v>0</v>
      </c>
      <c r="J22" t="s">
        <v>27</v>
      </c>
    </row>
    <row r="23" spans="1:10" ht="15" customHeight="1" x14ac:dyDescent="0.25">
      <c r="A23" s="99" t="s">
        <v>42</v>
      </c>
      <c r="B23" s="99" t="s">
        <v>43</v>
      </c>
      <c r="C23" s="115">
        <v>70000</v>
      </c>
      <c r="D23" s="105">
        <f t="shared" si="0"/>
        <v>5833.333333333333</v>
      </c>
      <c r="E23" s="116">
        <v>1</v>
      </c>
      <c r="F23" s="99" t="s">
        <v>12</v>
      </c>
      <c r="G23" s="103" t="s">
        <v>13</v>
      </c>
      <c r="H23" s="100">
        <v>0</v>
      </c>
      <c r="I23" s="102">
        <v>0</v>
      </c>
      <c r="J23" t="s">
        <v>14</v>
      </c>
    </row>
    <row r="24" spans="1:10" ht="15" customHeight="1" x14ac:dyDescent="0.25">
      <c r="A24" s="99" t="s">
        <v>44</v>
      </c>
      <c r="B24" s="99" t="s">
        <v>43</v>
      </c>
      <c r="C24" s="115">
        <v>97500</v>
      </c>
      <c r="D24" s="105">
        <f t="shared" si="0"/>
        <v>8125</v>
      </c>
      <c r="E24" s="116">
        <v>1</v>
      </c>
      <c r="F24" s="99" t="s">
        <v>12</v>
      </c>
      <c r="G24" s="103" t="s">
        <v>13</v>
      </c>
      <c r="H24" s="100">
        <v>0</v>
      </c>
      <c r="I24" s="102">
        <v>0</v>
      </c>
      <c r="J24" t="s">
        <v>14</v>
      </c>
    </row>
    <row r="25" spans="1:10" ht="15" customHeight="1" x14ac:dyDescent="0.25">
      <c r="A25" s="117" t="s">
        <v>45</v>
      </c>
      <c r="B25" s="99" t="s">
        <v>43</v>
      </c>
      <c r="C25" s="115">
        <v>100000</v>
      </c>
      <c r="D25" s="105">
        <f t="shared" si="0"/>
        <v>8333.3333333333339</v>
      </c>
      <c r="E25" s="116">
        <v>3</v>
      </c>
      <c r="F25" s="99" t="s">
        <v>12</v>
      </c>
      <c r="G25" s="103" t="s">
        <v>13</v>
      </c>
      <c r="H25" s="100">
        <v>0</v>
      </c>
      <c r="I25" s="102">
        <v>0</v>
      </c>
      <c r="J25" t="s">
        <v>14</v>
      </c>
    </row>
    <row r="27" spans="1:10" ht="15" customHeight="1" x14ac:dyDescent="0.25">
      <c r="A27" s="6" t="s">
        <v>46</v>
      </c>
      <c r="B27" s="6"/>
      <c r="C27" s="6"/>
      <c r="D27" s="6"/>
      <c r="E27" s="6"/>
      <c r="F27" s="6"/>
      <c r="G27" s="6"/>
      <c r="H27" s="6"/>
      <c r="I27" s="6"/>
    </row>
    <row r="28" spans="1:10" ht="15" customHeight="1" x14ac:dyDescent="0.25">
      <c r="A28" s="99" t="s">
        <v>47</v>
      </c>
      <c r="B28" s="99" t="s">
        <v>48</v>
      </c>
      <c r="C28" s="115">
        <v>400000</v>
      </c>
      <c r="D28" s="105">
        <f t="shared" ref="D28:D34" si="1">C28/12</f>
        <v>33333.333333333336</v>
      </c>
      <c r="E28" s="116">
        <v>1</v>
      </c>
      <c r="F28" s="99" t="s">
        <v>49</v>
      </c>
      <c r="G28" s="103" t="s">
        <v>13</v>
      </c>
      <c r="H28" s="100">
        <v>1</v>
      </c>
      <c r="I28" s="76">
        <v>0.5</v>
      </c>
      <c r="J28" t="s">
        <v>50</v>
      </c>
    </row>
    <row r="29" spans="1:10" ht="15" customHeight="1" x14ac:dyDescent="0.25">
      <c r="A29" s="99" t="s">
        <v>51</v>
      </c>
      <c r="B29" s="99" t="s">
        <v>48</v>
      </c>
      <c r="C29" s="115">
        <v>400000</v>
      </c>
      <c r="D29" s="105">
        <f t="shared" si="1"/>
        <v>33333.333333333336</v>
      </c>
      <c r="E29" s="116">
        <v>1</v>
      </c>
      <c r="F29" s="99" t="s">
        <v>49</v>
      </c>
      <c r="G29" s="103" t="s">
        <v>13</v>
      </c>
      <c r="H29" s="100">
        <v>1</v>
      </c>
      <c r="I29" s="76">
        <v>0.2</v>
      </c>
      <c r="J29" t="s">
        <v>50</v>
      </c>
    </row>
    <row r="30" spans="1:10" ht="15" customHeight="1" x14ac:dyDescent="0.25">
      <c r="A30" s="99" t="s">
        <v>52</v>
      </c>
      <c r="B30" s="99" t="s">
        <v>53</v>
      </c>
      <c r="C30" s="115">
        <v>222000</v>
      </c>
      <c r="D30" s="105">
        <f t="shared" si="1"/>
        <v>18500</v>
      </c>
      <c r="E30" s="116">
        <v>1</v>
      </c>
      <c r="F30" s="99" t="s">
        <v>49</v>
      </c>
      <c r="G30" s="103" t="s">
        <v>13</v>
      </c>
      <c r="H30" s="100">
        <v>1</v>
      </c>
      <c r="I30" s="100">
        <v>1</v>
      </c>
      <c r="J30" t="s">
        <v>50</v>
      </c>
    </row>
    <row r="31" spans="1:10" ht="15" customHeight="1" x14ac:dyDescent="0.25">
      <c r="A31" s="99" t="s">
        <v>54</v>
      </c>
      <c r="B31" s="99" t="s">
        <v>55</v>
      </c>
      <c r="C31" s="115">
        <v>115000</v>
      </c>
      <c r="D31" s="105">
        <f t="shared" si="1"/>
        <v>9583.3333333333339</v>
      </c>
      <c r="E31" s="116">
        <v>1</v>
      </c>
      <c r="F31" s="99" t="s">
        <v>49</v>
      </c>
      <c r="G31" s="103" t="s">
        <v>13</v>
      </c>
      <c r="H31" s="100">
        <v>1</v>
      </c>
      <c r="I31" s="100">
        <v>0</v>
      </c>
      <c r="J31" t="s">
        <v>50</v>
      </c>
    </row>
    <row r="32" spans="1:10" ht="15" customHeight="1" x14ac:dyDescent="0.25">
      <c r="A32" s="99" t="s">
        <v>56</v>
      </c>
      <c r="B32" s="99" t="s">
        <v>57</v>
      </c>
      <c r="C32" s="115">
        <v>250000</v>
      </c>
      <c r="D32" s="105">
        <f t="shared" si="1"/>
        <v>20833.333333333332</v>
      </c>
      <c r="E32" s="116">
        <v>1</v>
      </c>
      <c r="F32" s="99" t="s">
        <v>49</v>
      </c>
      <c r="G32" s="103" t="s">
        <v>13</v>
      </c>
      <c r="H32" s="100">
        <v>0</v>
      </c>
      <c r="I32" s="76">
        <v>0.3</v>
      </c>
      <c r="J32" t="s">
        <v>50</v>
      </c>
    </row>
    <row r="33" spans="1:10" ht="15" customHeight="1" x14ac:dyDescent="0.25">
      <c r="A33" s="99" t="s">
        <v>58</v>
      </c>
      <c r="B33" s="99" t="s">
        <v>59</v>
      </c>
      <c r="C33" s="115">
        <v>150000</v>
      </c>
      <c r="D33" s="105">
        <f t="shared" si="1"/>
        <v>12500</v>
      </c>
      <c r="E33" s="116">
        <v>1</v>
      </c>
      <c r="F33" s="99" t="s">
        <v>49</v>
      </c>
      <c r="G33" s="103" t="s">
        <v>13</v>
      </c>
      <c r="H33" s="100">
        <v>0</v>
      </c>
      <c r="I33" s="76">
        <v>0.75</v>
      </c>
      <c r="J33" t="s">
        <v>50</v>
      </c>
    </row>
    <row r="34" spans="1:10" ht="15" customHeight="1" x14ac:dyDescent="0.25">
      <c r="A34" s="99" t="s">
        <v>60</v>
      </c>
      <c r="B34" s="99" t="s">
        <v>61</v>
      </c>
      <c r="C34" s="115">
        <v>250000</v>
      </c>
      <c r="D34" s="105">
        <f t="shared" si="1"/>
        <v>20833.333333333332</v>
      </c>
      <c r="E34" s="116">
        <v>1</v>
      </c>
      <c r="F34" s="99" t="s">
        <v>49</v>
      </c>
      <c r="G34" s="103" t="s">
        <v>13</v>
      </c>
      <c r="H34" s="100">
        <v>0</v>
      </c>
      <c r="I34" s="76">
        <v>0.75</v>
      </c>
      <c r="J34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562</v>
      </c>
      <c r="B1" s="2" t="s">
        <v>563</v>
      </c>
    </row>
    <row r="2" spans="1:2" ht="15" customHeight="1" x14ac:dyDescent="0.25">
      <c r="A2" s="118">
        <v>1</v>
      </c>
      <c r="B2" s="119">
        <f>(1+Assumptions!$B$26)^INT((A2-1)/12)</f>
        <v>1</v>
      </c>
    </row>
    <row r="3" spans="1:2" ht="15" customHeight="1" x14ac:dyDescent="0.25">
      <c r="A3" s="118">
        <v>2</v>
      </c>
      <c r="B3" s="119">
        <f>(1+Assumptions!$B$26)^INT((A3-1)/12)</f>
        <v>1</v>
      </c>
    </row>
    <row r="4" spans="1:2" ht="15" customHeight="1" x14ac:dyDescent="0.25">
      <c r="A4" s="118">
        <v>3</v>
      </c>
      <c r="B4" s="119">
        <f>(1+Assumptions!$B$26)^INT((A4-1)/12)</f>
        <v>1</v>
      </c>
    </row>
    <row r="5" spans="1:2" ht="15" customHeight="1" x14ac:dyDescent="0.25">
      <c r="A5" s="118">
        <v>4</v>
      </c>
      <c r="B5" s="119">
        <f>(1+Assumptions!$B$26)^INT((A5-1)/12)</f>
        <v>1</v>
      </c>
    </row>
    <row r="6" spans="1:2" ht="15" customHeight="1" x14ac:dyDescent="0.25">
      <c r="A6" s="118">
        <v>5</v>
      </c>
      <c r="B6" s="119">
        <f>(1+Assumptions!$B$26)^INT((A6-1)/12)</f>
        <v>1</v>
      </c>
    </row>
    <row r="7" spans="1:2" ht="15" customHeight="1" x14ac:dyDescent="0.25">
      <c r="A7" s="118">
        <v>6</v>
      </c>
      <c r="B7" s="119">
        <f>(1+Assumptions!$B$26)^INT((A7-1)/12)</f>
        <v>1</v>
      </c>
    </row>
    <row r="8" spans="1:2" ht="15" customHeight="1" x14ac:dyDescent="0.25">
      <c r="A8" s="118">
        <v>7</v>
      </c>
      <c r="B8" s="119">
        <f>(1+Assumptions!$B$26)^INT((A8-1)/12)</f>
        <v>1</v>
      </c>
    </row>
    <row r="9" spans="1:2" ht="15" customHeight="1" x14ac:dyDescent="0.25">
      <c r="A9" s="118">
        <v>8</v>
      </c>
      <c r="B9" s="119">
        <f>(1+Assumptions!$B$26)^INT((A9-1)/12)</f>
        <v>1</v>
      </c>
    </row>
    <row r="10" spans="1:2" ht="15" customHeight="1" x14ac:dyDescent="0.25">
      <c r="A10" s="118">
        <v>9</v>
      </c>
      <c r="B10" s="119">
        <f>(1+Assumptions!$B$26)^INT((A10-1)/12)</f>
        <v>1</v>
      </c>
    </row>
    <row r="11" spans="1:2" ht="15" customHeight="1" x14ac:dyDescent="0.25">
      <c r="A11" s="118">
        <v>10</v>
      </c>
      <c r="B11" s="119">
        <f>(1+Assumptions!$B$26)^INT((A11-1)/12)</f>
        <v>1</v>
      </c>
    </row>
    <row r="12" spans="1:2" ht="15" customHeight="1" x14ac:dyDescent="0.25">
      <c r="A12" s="118">
        <v>11</v>
      </c>
      <c r="B12" s="119">
        <f>(1+Assumptions!$B$26)^INT((A12-1)/12)</f>
        <v>1</v>
      </c>
    </row>
    <row r="13" spans="1:2" ht="15" customHeight="1" x14ac:dyDescent="0.25">
      <c r="A13" s="118">
        <v>12</v>
      </c>
      <c r="B13" s="119">
        <f>(1+Assumptions!$B$26)^INT((A13-1)/12)</f>
        <v>1</v>
      </c>
    </row>
    <row r="14" spans="1:2" ht="15" customHeight="1" x14ac:dyDescent="0.25">
      <c r="A14" s="118">
        <v>13</v>
      </c>
      <c r="B14" s="119">
        <f>(1+Assumptions!$B$26)^INT((A14-1)/12)</f>
        <v>1.02</v>
      </c>
    </row>
    <row r="15" spans="1:2" ht="15" customHeight="1" x14ac:dyDescent="0.25">
      <c r="A15" s="118">
        <v>14</v>
      </c>
      <c r="B15" s="119">
        <f>(1+Assumptions!$B$26)^INT((A15-1)/12)</f>
        <v>1.02</v>
      </c>
    </row>
    <row r="16" spans="1:2" ht="15" customHeight="1" x14ac:dyDescent="0.25">
      <c r="A16" s="118">
        <v>15</v>
      </c>
      <c r="B16" s="119">
        <f>(1+Assumptions!$B$26)^INT((A16-1)/12)</f>
        <v>1.02</v>
      </c>
    </row>
    <row r="17" spans="1:2" ht="15" customHeight="1" x14ac:dyDescent="0.25">
      <c r="A17" s="118">
        <v>16</v>
      </c>
      <c r="B17" s="119">
        <f>(1+Assumptions!$B$26)^INT((A17-1)/12)</f>
        <v>1.02</v>
      </c>
    </row>
    <row r="18" spans="1:2" ht="15" customHeight="1" x14ac:dyDescent="0.25">
      <c r="A18" s="118">
        <v>17</v>
      </c>
      <c r="B18" s="119">
        <f>(1+Assumptions!$B$26)^INT((A18-1)/12)</f>
        <v>1.02</v>
      </c>
    </row>
    <row r="19" spans="1:2" ht="15" customHeight="1" x14ac:dyDescent="0.25">
      <c r="A19" s="118">
        <v>18</v>
      </c>
      <c r="B19" s="119">
        <f>(1+Assumptions!$B$26)^INT((A19-1)/12)</f>
        <v>1.02</v>
      </c>
    </row>
    <row r="20" spans="1:2" ht="15" customHeight="1" x14ac:dyDescent="0.25">
      <c r="A20" s="118">
        <v>19</v>
      </c>
      <c r="B20" s="119">
        <f>(1+Assumptions!$B$26)^INT((A20-1)/12)</f>
        <v>1.02</v>
      </c>
    </row>
    <row r="21" spans="1:2" ht="15" customHeight="1" x14ac:dyDescent="0.25">
      <c r="A21" s="118">
        <v>20</v>
      </c>
      <c r="B21" s="119">
        <f>(1+Assumptions!$B$26)^INT((A21-1)/12)</f>
        <v>1.02</v>
      </c>
    </row>
    <row r="22" spans="1:2" ht="15" customHeight="1" x14ac:dyDescent="0.25">
      <c r="A22" s="118">
        <v>21</v>
      </c>
      <c r="B22" s="119">
        <f>(1+Assumptions!$B$26)^INT((A22-1)/12)</f>
        <v>1.02</v>
      </c>
    </row>
    <row r="23" spans="1:2" ht="15" customHeight="1" x14ac:dyDescent="0.25">
      <c r="A23" s="118">
        <v>22</v>
      </c>
      <c r="B23" s="119">
        <f>(1+Assumptions!$B$26)^INT((A23-1)/12)</f>
        <v>1.02</v>
      </c>
    </row>
    <row r="24" spans="1:2" ht="15" customHeight="1" x14ac:dyDescent="0.25">
      <c r="A24" s="118">
        <v>23</v>
      </c>
      <c r="B24" s="119">
        <f>(1+Assumptions!$B$26)^INT((A24-1)/12)</f>
        <v>1.02</v>
      </c>
    </row>
    <row r="25" spans="1:2" ht="15" customHeight="1" x14ac:dyDescent="0.25">
      <c r="A25" s="118">
        <v>24</v>
      </c>
      <c r="B25" s="119">
        <f>(1+Assumptions!$B$26)^INT((A25-1)/12)</f>
        <v>1.02</v>
      </c>
    </row>
    <row r="26" spans="1:2" ht="15" customHeight="1" x14ac:dyDescent="0.25">
      <c r="A26" s="118">
        <v>25</v>
      </c>
      <c r="B26" s="119">
        <f>(1+Assumptions!$B$26)^INT((A26-1)/12)</f>
        <v>1.0404</v>
      </c>
    </row>
    <row r="27" spans="1:2" ht="15" customHeight="1" x14ac:dyDescent="0.25">
      <c r="A27" s="118">
        <v>26</v>
      </c>
      <c r="B27" s="119">
        <f>(1+Assumptions!$B$26)^INT((A27-1)/12)</f>
        <v>1.0404</v>
      </c>
    </row>
    <row r="28" spans="1:2" ht="15" customHeight="1" x14ac:dyDescent="0.25">
      <c r="A28" s="118">
        <v>27</v>
      </c>
      <c r="B28" s="119">
        <f>(1+Assumptions!$B$26)^INT((A28-1)/12)</f>
        <v>1.0404</v>
      </c>
    </row>
    <row r="29" spans="1:2" ht="15" customHeight="1" x14ac:dyDescent="0.25">
      <c r="A29" s="118">
        <v>28</v>
      </c>
      <c r="B29" s="119">
        <f>(1+Assumptions!$B$26)^INT((A29-1)/12)</f>
        <v>1.0404</v>
      </c>
    </row>
    <row r="30" spans="1:2" ht="15" customHeight="1" x14ac:dyDescent="0.25">
      <c r="A30" s="118">
        <v>29</v>
      </c>
      <c r="B30" s="119">
        <f>(1+Assumptions!$B$26)^INT((A30-1)/12)</f>
        <v>1.0404</v>
      </c>
    </row>
    <row r="31" spans="1:2" ht="15" customHeight="1" x14ac:dyDescent="0.25">
      <c r="A31" s="118">
        <v>30</v>
      </c>
      <c r="B31" s="119">
        <f>(1+Assumptions!$B$26)^INT((A31-1)/12)</f>
        <v>1.0404</v>
      </c>
    </row>
    <row r="32" spans="1:2" ht="15" customHeight="1" x14ac:dyDescent="0.25">
      <c r="A32" s="118">
        <v>31</v>
      </c>
      <c r="B32" s="119">
        <f>(1+Assumptions!$B$26)^INT((A32-1)/12)</f>
        <v>1.0404</v>
      </c>
    </row>
    <row r="33" spans="1:2" ht="15" customHeight="1" x14ac:dyDescent="0.25">
      <c r="A33" s="118">
        <v>32</v>
      </c>
      <c r="B33" s="119">
        <f>(1+Assumptions!$B$26)^INT((A33-1)/12)</f>
        <v>1.0404</v>
      </c>
    </row>
    <row r="34" spans="1:2" ht="15" customHeight="1" x14ac:dyDescent="0.25">
      <c r="A34" s="118">
        <v>33</v>
      </c>
      <c r="B34" s="119">
        <f>(1+Assumptions!$B$26)^INT((A34-1)/12)</f>
        <v>1.0404</v>
      </c>
    </row>
    <row r="35" spans="1:2" ht="15" customHeight="1" x14ac:dyDescent="0.25">
      <c r="A35" s="118">
        <v>34</v>
      </c>
      <c r="B35" s="119">
        <f>(1+Assumptions!$B$26)^INT((A35-1)/12)</f>
        <v>1.0404</v>
      </c>
    </row>
    <row r="36" spans="1:2" ht="15" customHeight="1" x14ac:dyDescent="0.25">
      <c r="A36" s="118">
        <v>35</v>
      </c>
      <c r="B36" s="119">
        <f>(1+Assumptions!$B$26)^INT((A36-1)/12)</f>
        <v>1.0404</v>
      </c>
    </row>
    <row r="37" spans="1:2" ht="15" customHeight="1" x14ac:dyDescent="0.25">
      <c r="A37" s="118">
        <v>36</v>
      </c>
      <c r="B37" s="119">
        <f>(1+Assumptions!$B$26)^INT((A37-1)/12)</f>
        <v>1.0404</v>
      </c>
    </row>
    <row r="38" spans="1:2" ht="15" customHeight="1" x14ac:dyDescent="0.25">
      <c r="A38" s="118">
        <v>37</v>
      </c>
      <c r="B38" s="119">
        <f>(1+Assumptions!$B$26)^INT((A38-1)/12)</f>
        <v>1.0612079999999999</v>
      </c>
    </row>
    <row r="39" spans="1:2" ht="15" customHeight="1" x14ac:dyDescent="0.25">
      <c r="A39" s="118">
        <v>38</v>
      </c>
      <c r="B39" s="119">
        <f>(1+Assumptions!$B$26)^INT((A39-1)/12)</f>
        <v>1.0612079999999999</v>
      </c>
    </row>
    <row r="40" spans="1:2" ht="15" customHeight="1" x14ac:dyDescent="0.25">
      <c r="A40" s="118">
        <v>39</v>
      </c>
      <c r="B40" s="119">
        <f>(1+Assumptions!$B$26)^INT((A40-1)/12)</f>
        <v>1.0612079999999999</v>
      </c>
    </row>
    <row r="41" spans="1:2" ht="15" customHeight="1" x14ac:dyDescent="0.25">
      <c r="A41" s="118">
        <v>40</v>
      </c>
      <c r="B41" s="119">
        <f>(1+Assumptions!$B$26)^INT((A41-1)/12)</f>
        <v>1.0612079999999999</v>
      </c>
    </row>
    <row r="42" spans="1:2" ht="15" customHeight="1" x14ac:dyDescent="0.25">
      <c r="A42" s="118">
        <v>41</v>
      </c>
      <c r="B42" s="119">
        <f>(1+Assumptions!$B$26)^INT((A42-1)/12)</f>
        <v>1.0612079999999999</v>
      </c>
    </row>
    <row r="43" spans="1:2" ht="15" customHeight="1" x14ac:dyDescent="0.25">
      <c r="A43" s="118">
        <v>42</v>
      </c>
      <c r="B43" s="119">
        <f>(1+Assumptions!$B$26)^INT((A43-1)/12)</f>
        <v>1.0612079999999999</v>
      </c>
    </row>
    <row r="44" spans="1:2" ht="15" customHeight="1" x14ac:dyDescent="0.25">
      <c r="A44" s="118">
        <v>43</v>
      </c>
      <c r="B44" s="119">
        <f>(1+Assumptions!$B$26)^INT((A44-1)/12)</f>
        <v>1.0612079999999999</v>
      </c>
    </row>
    <row r="45" spans="1:2" ht="15" customHeight="1" x14ac:dyDescent="0.25">
      <c r="A45" s="118">
        <v>44</v>
      </c>
      <c r="B45" s="119">
        <f>(1+Assumptions!$B$26)^INT((A45-1)/12)</f>
        <v>1.0612079999999999</v>
      </c>
    </row>
    <row r="46" spans="1:2" ht="15" customHeight="1" x14ac:dyDescent="0.25">
      <c r="A46" s="118">
        <v>45</v>
      </c>
      <c r="B46" s="119">
        <f>(1+Assumptions!$B$26)^INT((A46-1)/12)</f>
        <v>1.0612079999999999</v>
      </c>
    </row>
    <row r="47" spans="1:2" ht="15" customHeight="1" x14ac:dyDescent="0.25">
      <c r="A47" s="118">
        <v>46</v>
      </c>
      <c r="B47" s="119">
        <f>(1+Assumptions!$B$26)^INT((A47-1)/12)</f>
        <v>1.0612079999999999</v>
      </c>
    </row>
    <row r="48" spans="1:2" ht="15" customHeight="1" x14ac:dyDescent="0.25">
      <c r="A48" s="118">
        <v>47</v>
      </c>
      <c r="B48" s="119">
        <f>(1+Assumptions!$B$26)^INT((A48-1)/12)</f>
        <v>1.0612079999999999</v>
      </c>
    </row>
    <row r="49" spans="1:2" ht="15" customHeight="1" x14ac:dyDescent="0.25">
      <c r="A49" s="118">
        <v>48</v>
      </c>
      <c r="B49" s="119">
        <f>(1+Assumptions!$B$26)^INT((A49-1)/12)</f>
        <v>1.0612079999999999</v>
      </c>
    </row>
    <row r="50" spans="1:2" ht="15" customHeight="1" x14ac:dyDescent="0.25">
      <c r="A50" s="118">
        <v>49</v>
      </c>
      <c r="B50" s="119">
        <f>(1+Assumptions!$B$26)^INT((A50-1)/12)</f>
        <v>1.08243216</v>
      </c>
    </row>
    <row r="51" spans="1:2" ht="15" customHeight="1" x14ac:dyDescent="0.25">
      <c r="A51" s="118">
        <v>50</v>
      </c>
      <c r="B51" s="119">
        <f>(1+Assumptions!$B$26)^INT((A51-1)/12)</f>
        <v>1.08243216</v>
      </c>
    </row>
    <row r="52" spans="1:2" ht="15" customHeight="1" x14ac:dyDescent="0.25">
      <c r="A52" s="118">
        <v>51</v>
      </c>
      <c r="B52" s="119">
        <f>(1+Assumptions!$B$26)^INT((A52-1)/12)</f>
        <v>1.08243216</v>
      </c>
    </row>
    <row r="53" spans="1:2" ht="15" customHeight="1" x14ac:dyDescent="0.25">
      <c r="A53" s="118">
        <v>52</v>
      </c>
      <c r="B53" s="119">
        <f>(1+Assumptions!$B$26)^INT((A53-1)/12)</f>
        <v>1.08243216</v>
      </c>
    </row>
    <row r="54" spans="1:2" ht="15" customHeight="1" x14ac:dyDescent="0.25">
      <c r="A54" s="118">
        <v>53</v>
      </c>
      <c r="B54" s="119">
        <f>(1+Assumptions!$B$26)^INT((A54-1)/12)</f>
        <v>1.08243216</v>
      </c>
    </row>
    <row r="55" spans="1:2" ht="15" customHeight="1" x14ac:dyDescent="0.25">
      <c r="A55" s="118">
        <v>54</v>
      </c>
      <c r="B55" s="119">
        <f>(1+Assumptions!$B$26)^INT((A55-1)/12)</f>
        <v>1.08243216</v>
      </c>
    </row>
    <row r="56" spans="1:2" ht="15" customHeight="1" x14ac:dyDescent="0.25">
      <c r="A56" s="118">
        <v>55</v>
      </c>
      <c r="B56" s="119">
        <f>(1+Assumptions!$B$26)^INT((A56-1)/12)</f>
        <v>1.08243216</v>
      </c>
    </row>
    <row r="57" spans="1:2" ht="15" customHeight="1" x14ac:dyDescent="0.25">
      <c r="A57" s="118">
        <v>56</v>
      </c>
      <c r="B57" s="119">
        <f>(1+Assumptions!$B$26)^INT((A57-1)/12)</f>
        <v>1.08243216</v>
      </c>
    </row>
    <row r="58" spans="1:2" ht="15" customHeight="1" x14ac:dyDescent="0.25">
      <c r="A58" s="118">
        <v>57</v>
      </c>
      <c r="B58" s="119">
        <f>(1+Assumptions!$B$26)^INT((A58-1)/12)</f>
        <v>1.08243216</v>
      </c>
    </row>
    <row r="59" spans="1:2" ht="15" customHeight="1" x14ac:dyDescent="0.25">
      <c r="A59" s="118">
        <v>58</v>
      </c>
      <c r="B59" s="119">
        <f>(1+Assumptions!$B$26)^INT((A59-1)/12)</f>
        <v>1.08243216</v>
      </c>
    </row>
    <row r="60" spans="1:2" ht="15" customHeight="1" x14ac:dyDescent="0.25">
      <c r="A60" s="118">
        <v>59</v>
      </c>
      <c r="B60" s="119">
        <f>(1+Assumptions!$B$26)^INT((A60-1)/12)</f>
        <v>1.08243216</v>
      </c>
    </row>
    <row r="61" spans="1:2" ht="15" customHeight="1" x14ac:dyDescent="0.25">
      <c r="A61" s="118">
        <v>60</v>
      </c>
      <c r="B61" s="119">
        <f>(1+Assumptions!$B$26)^INT((A61-1)/12)</f>
        <v>1.08243216</v>
      </c>
    </row>
    <row r="62" spans="1:2" ht="15" customHeight="1" x14ac:dyDescent="0.25">
      <c r="A62" s="118">
        <v>61</v>
      </c>
      <c r="B62" s="119">
        <f>(1+Assumptions!$B$26)^INT((A62-1)/12)</f>
        <v>1.1040808032</v>
      </c>
    </row>
    <row r="63" spans="1:2" ht="15" customHeight="1" x14ac:dyDescent="0.25">
      <c r="A63" s="118">
        <v>62</v>
      </c>
      <c r="B63" s="119">
        <f>(1+Assumptions!$B$26)^INT((A63-1)/12)</f>
        <v>1.1040808032</v>
      </c>
    </row>
    <row r="64" spans="1:2" ht="15" customHeight="1" x14ac:dyDescent="0.25">
      <c r="A64" s="118">
        <v>63</v>
      </c>
      <c r="B64" s="119">
        <f>(1+Assumptions!$B$26)^INT((A64-1)/12)</f>
        <v>1.1040808032</v>
      </c>
    </row>
    <row r="65" spans="1:2" ht="15" customHeight="1" x14ac:dyDescent="0.25">
      <c r="A65" s="118">
        <v>64</v>
      </c>
      <c r="B65" s="119">
        <f>(1+Assumptions!$B$26)^INT((A65-1)/12)</f>
        <v>1.1040808032</v>
      </c>
    </row>
    <row r="66" spans="1:2" ht="15" customHeight="1" x14ac:dyDescent="0.25">
      <c r="A66" s="118">
        <v>65</v>
      </c>
      <c r="B66" s="119">
        <f>(1+Assumptions!$B$26)^INT((A66-1)/12)</f>
        <v>1.1040808032</v>
      </c>
    </row>
    <row r="67" spans="1:2" ht="15" customHeight="1" x14ac:dyDescent="0.25">
      <c r="A67" s="118">
        <v>66</v>
      </c>
      <c r="B67" s="119">
        <f>(1+Assumptions!$B$26)^INT((A67-1)/12)</f>
        <v>1.1040808032</v>
      </c>
    </row>
    <row r="68" spans="1:2" ht="15" customHeight="1" x14ac:dyDescent="0.25">
      <c r="A68" s="118">
        <v>67</v>
      </c>
      <c r="B68" s="119">
        <f>(1+Assumptions!$B$26)^INT((A68-1)/12)</f>
        <v>1.1040808032</v>
      </c>
    </row>
    <row r="69" spans="1:2" ht="15" customHeight="1" x14ac:dyDescent="0.25">
      <c r="A69" s="118">
        <v>68</v>
      </c>
      <c r="B69" s="119">
        <f>(1+Assumptions!$B$26)^INT((A69-1)/12)</f>
        <v>1.1040808032</v>
      </c>
    </row>
    <row r="70" spans="1:2" ht="15" customHeight="1" x14ac:dyDescent="0.25">
      <c r="A70" s="118">
        <v>69</v>
      </c>
      <c r="B70" s="119">
        <f>(1+Assumptions!$B$26)^INT((A70-1)/12)</f>
        <v>1.1040808032</v>
      </c>
    </row>
    <row r="71" spans="1:2" ht="15" customHeight="1" x14ac:dyDescent="0.25">
      <c r="A71" s="118">
        <v>70</v>
      </c>
      <c r="B71" s="119">
        <f>(1+Assumptions!$B$26)^INT((A71-1)/12)</f>
        <v>1.1040808032</v>
      </c>
    </row>
    <row r="72" spans="1:2" ht="15" customHeight="1" x14ac:dyDescent="0.25">
      <c r="A72" s="118">
        <v>71</v>
      </c>
      <c r="B72" s="119">
        <f>(1+Assumptions!$B$26)^INT((A72-1)/12)</f>
        <v>1.1040808032</v>
      </c>
    </row>
    <row r="73" spans="1:2" ht="15" customHeight="1" x14ac:dyDescent="0.25">
      <c r="A73" s="118">
        <v>72</v>
      </c>
      <c r="B73" s="119">
        <f>(1+Assumptions!$B$26)^INT((A73-1)/12)</f>
        <v>1.1040808032</v>
      </c>
    </row>
    <row r="74" spans="1:2" ht="15" customHeight="1" x14ac:dyDescent="0.25">
      <c r="A74" s="118">
        <v>73</v>
      </c>
      <c r="B74" s="119">
        <f>(1+Assumptions!$B$26)^INT((A74-1)/12)</f>
        <v>1.1261624192640001</v>
      </c>
    </row>
    <row r="75" spans="1:2" ht="15" customHeight="1" x14ac:dyDescent="0.25">
      <c r="A75" s="118">
        <v>74</v>
      </c>
      <c r="B75" s="119">
        <f>(1+Assumptions!$B$26)^INT((A75-1)/12)</f>
        <v>1.1261624192640001</v>
      </c>
    </row>
    <row r="76" spans="1:2" ht="15" customHeight="1" x14ac:dyDescent="0.25">
      <c r="A76" s="118">
        <v>75</v>
      </c>
      <c r="B76" s="119">
        <f>(1+Assumptions!$B$26)^INT((A76-1)/12)</f>
        <v>1.1261624192640001</v>
      </c>
    </row>
    <row r="77" spans="1:2" ht="15" customHeight="1" x14ac:dyDescent="0.25">
      <c r="A77" s="118">
        <v>76</v>
      </c>
      <c r="B77" s="119">
        <f>(1+Assumptions!$B$26)^INT((A77-1)/12)</f>
        <v>1.1261624192640001</v>
      </c>
    </row>
    <row r="78" spans="1:2" ht="15" customHeight="1" x14ac:dyDescent="0.25">
      <c r="A78" s="118">
        <v>77</v>
      </c>
      <c r="B78" s="119">
        <f>(1+Assumptions!$B$26)^INT((A78-1)/12)</f>
        <v>1.1261624192640001</v>
      </c>
    </row>
    <row r="79" spans="1:2" ht="15" customHeight="1" x14ac:dyDescent="0.25">
      <c r="A79" s="118">
        <v>78</v>
      </c>
      <c r="B79" s="119">
        <f>(1+Assumptions!$B$26)^INT((A79-1)/12)</f>
        <v>1.1261624192640001</v>
      </c>
    </row>
    <row r="80" spans="1:2" ht="15" customHeight="1" x14ac:dyDescent="0.25">
      <c r="A80" s="118">
        <v>79</v>
      </c>
      <c r="B80" s="119">
        <f>(1+Assumptions!$B$26)^INT((A80-1)/12)</f>
        <v>1.1261624192640001</v>
      </c>
    </row>
    <row r="81" spans="1:2" ht="15" customHeight="1" x14ac:dyDescent="0.25">
      <c r="A81" s="118">
        <v>80</v>
      </c>
      <c r="B81" s="119">
        <f>(1+Assumptions!$B$26)^INT((A81-1)/12)</f>
        <v>1.1261624192640001</v>
      </c>
    </row>
    <row r="82" spans="1:2" ht="15" customHeight="1" x14ac:dyDescent="0.25">
      <c r="A82" s="118">
        <v>81</v>
      </c>
      <c r="B82" s="119">
        <f>(1+Assumptions!$B$26)^INT((A82-1)/12)</f>
        <v>1.1261624192640001</v>
      </c>
    </row>
    <row r="83" spans="1:2" ht="15" customHeight="1" x14ac:dyDescent="0.25">
      <c r="A83" s="118">
        <v>82</v>
      </c>
      <c r="B83" s="119">
        <f>(1+Assumptions!$B$26)^INT((A83-1)/12)</f>
        <v>1.1261624192640001</v>
      </c>
    </row>
    <row r="84" spans="1:2" ht="15" customHeight="1" x14ac:dyDescent="0.25">
      <c r="A84" s="118">
        <v>83</v>
      </c>
      <c r="B84" s="119">
        <f>(1+Assumptions!$B$26)^INT((A84-1)/12)</f>
        <v>1.1261624192640001</v>
      </c>
    </row>
    <row r="85" spans="1:2" ht="15" customHeight="1" x14ac:dyDescent="0.25">
      <c r="A85" s="118">
        <v>84</v>
      </c>
      <c r="B85" s="119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02" t="s">
        <v>564</v>
      </c>
      <c r="B1" s="201"/>
      <c r="C1" s="201"/>
      <c r="D1" s="20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108</v>
      </c>
      <c r="C3" s="118">
        <v>1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  <c r="I3" s="118">
        <v>7</v>
      </c>
      <c r="J3" s="118">
        <v>8</v>
      </c>
      <c r="K3" s="118">
        <v>9</v>
      </c>
      <c r="L3" s="118">
        <v>10</v>
      </c>
      <c r="M3" s="118">
        <v>11</v>
      </c>
      <c r="N3" s="118">
        <v>12</v>
      </c>
      <c r="O3" s="118">
        <v>13</v>
      </c>
      <c r="P3" s="118">
        <v>14</v>
      </c>
      <c r="Q3" s="118">
        <v>15</v>
      </c>
      <c r="R3" s="118">
        <v>16</v>
      </c>
      <c r="S3" s="118">
        <v>17</v>
      </c>
      <c r="T3" s="118">
        <v>18</v>
      </c>
      <c r="U3" s="118">
        <v>19</v>
      </c>
      <c r="V3" s="118">
        <v>20</v>
      </c>
      <c r="W3" s="118">
        <v>21</v>
      </c>
      <c r="X3" s="118">
        <v>22</v>
      </c>
      <c r="Y3" s="118">
        <v>23</v>
      </c>
      <c r="Z3" s="118">
        <v>24</v>
      </c>
      <c r="AA3" s="118">
        <v>25</v>
      </c>
      <c r="AB3" s="118">
        <v>26</v>
      </c>
      <c r="AC3" s="118">
        <v>27</v>
      </c>
      <c r="AD3" s="118">
        <v>28</v>
      </c>
      <c r="AE3" s="118">
        <v>29</v>
      </c>
      <c r="AF3" s="118">
        <v>30</v>
      </c>
      <c r="AG3" s="118">
        <v>31</v>
      </c>
      <c r="AH3" s="118">
        <v>32</v>
      </c>
      <c r="AI3" s="118">
        <v>33</v>
      </c>
      <c r="AJ3" s="118">
        <v>34</v>
      </c>
      <c r="AK3" s="118">
        <v>35</v>
      </c>
      <c r="AL3" s="118">
        <v>36</v>
      </c>
      <c r="AM3" s="118">
        <v>37</v>
      </c>
      <c r="AN3" s="118">
        <v>38</v>
      </c>
      <c r="AO3" s="118">
        <v>39</v>
      </c>
      <c r="AP3" s="118">
        <v>40</v>
      </c>
      <c r="AQ3" s="118">
        <v>41</v>
      </c>
      <c r="AR3" s="118">
        <v>42</v>
      </c>
      <c r="AS3" s="118">
        <v>43</v>
      </c>
      <c r="AT3" s="118">
        <v>44</v>
      </c>
      <c r="AU3" s="118">
        <v>45</v>
      </c>
      <c r="AV3" s="118">
        <v>46</v>
      </c>
      <c r="AW3" s="118">
        <v>47</v>
      </c>
      <c r="AX3" s="118">
        <v>48</v>
      </c>
      <c r="AY3" s="118">
        <v>49</v>
      </c>
      <c r="AZ3" s="118">
        <v>50</v>
      </c>
      <c r="BA3" s="118">
        <v>51</v>
      </c>
      <c r="BB3" s="118">
        <v>52</v>
      </c>
      <c r="BC3" s="118">
        <v>53</v>
      </c>
      <c r="BD3" s="118">
        <v>54</v>
      </c>
      <c r="BE3" s="118">
        <v>55</v>
      </c>
      <c r="BF3" s="118">
        <v>56</v>
      </c>
      <c r="BG3" s="118">
        <v>57</v>
      </c>
      <c r="BH3" s="118">
        <v>58</v>
      </c>
      <c r="BI3" s="118">
        <v>59</v>
      </c>
      <c r="BJ3" s="118">
        <v>60</v>
      </c>
      <c r="BK3" s="118">
        <v>61</v>
      </c>
      <c r="BL3" s="118">
        <v>62</v>
      </c>
      <c r="BM3" s="118">
        <v>63</v>
      </c>
      <c r="BN3" s="118">
        <v>64</v>
      </c>
      <c r="BO3" s="118">
        <v>65</v>
      </c>
      <c r="BP3" s="118">
        <v>66</v>
      </c>
      <c r="BQ3" s="118">
        <v>67</v>
      </c>
      <c r="BR3" s="118">
        <v>68</v>
      </c>
      <c r="BS3" s="118">
        <v>69</v>
      </c>
      <c r="BT3" s="118">
        <v>70</v>
      </c>
      <c r="BU3" s="118">
        <v>71</v>
      </c>
      <c r="BV3" s="118">
        <v>72</v>
      </c>
      <c r="BW3" s="118">
        <v>73</v>
      </c>
      <c r="BX3" s="118">
        <v>74</v>
      </c>
      <c r="BY3" s="118">
        <v>75</v>
      </c>
      <c r="BZ3" s="118">
        <v>76</v>
      </c>
      <c r="CA3" s="118">
        <v>77</v>
      </c>
      <c r="CB3" s="118">
        <v>78</v>
      </c>
      <c r="CC3" s="118">
        <v>79</v>
      </c>
      <c r="CD3" s="118">
        <v>80</v>
      </c>
      <c r="CE3" s="118">
        <v>81</v>
      </c>
      <c r="CF3" s="118">
        <v>82</v>
      </c>
      <c r="CG3" s="118">
        <v>83</v>
      </c>
      <c r="CH3" s="118">
        <v>84</v>
      </c>
    </row>
    <row r="4" spans="1:86" ht="15" customHeight="1" x14ac:dyDescent="0.25">
      <c r="A4" s="99" t="s">
        <v>565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195157.66666666669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231407.66666666669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261407.66666666669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261407.66666666669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261407.66666666669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261407.66666666669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261407.66666666669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261407.66666666669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261407.66666666669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261407.66666666669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261407.66666666669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261407.66666666669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271968.53640000004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271968.53640000004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271968.53640000004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271968.53640000004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271968.53640000004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271968.53640000004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271968.53640000004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271968.53640000004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271968.53640000004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271968.53640000004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271968.53640000004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271968.53640000004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277407.90712799999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277407.90712799999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277407.90712799999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277407.90712799999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277407.90712799999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277407.90712799999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277407.90712799999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277407.90712799999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277407.90712799999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277407.90712799999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277407.90712799999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277407.90712799999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282956.06527056004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282956.06527056004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282956.06527056004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282956.06527056004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282956.06527056004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282956.06527056004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282956.06527056004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282956.06527056004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282956.06527056004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282956.06527056004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282956.06527056004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282956.06527056004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288615.18657597125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288615.18657597125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288615.18657597125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288615.18657597125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288615.18657597125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288615.18657597125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288615.18657597125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288615.18657597125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288615.18657597125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288615.18657597125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288615.18657597125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288615.18657597125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294387.49030749069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294387.49030749069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294387.49030749069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294387.49030749069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294387.49030749069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294387.49030749069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294387.49030749069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294387.49030749069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294387.49030749069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294387.49030749069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294387.49030749069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294387.49030749069</v>
      </c>
    </row>
    <row r="5" spans="1:86" ht="15" customHeight="1" x14ac:dyDescent="0.25">
      <c r="A5" s="99" t="s">
        <v>566</v>
      </c>
      <c r="C5" s="105">
        <f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22916.666666666664</v>
      </c>
      <c r="D5" s="105">
        <f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22916.666666666664</v>
      </c>
      <c r="E5" s="105">
        <f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22916.666666666664</v>
      </c>
      <c r="F5" s="105">
        <f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22916.666666666664</v>
      </c>
      <c r="G5" s="105">
        <f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22916.666666666664</v>
      </c>
      <c r="H5" s="105">
        <f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22916.666666666664</v>
      </c>
      <c r="I5" s="105">
        <f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22916.666666666664</v>
      </c>
      <c r="J5" s="105">
        <f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22916.666666666664</v>
      </c>
      <c r="K5" s="105">
        <f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22916.666666666664</v>
      </c>
      <c r="L5" s="105">
        <f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22916.666666666664</v>
      </c>
      <c r="M5" s="105">
        <f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22916.666666666664</v>
      </c>
      <c r="N5" s="105">
        <f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22916.666666666664</v>
      </c>
      <c r="O5" s="105">
        <f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23374.999999999996</v>
      </c>
      <c r="P5" s="105">
        <f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23374.999999999996</v>
      </c>
      <c r="Q5" s="105">
        <f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23374.999999999996</v>
      </c>
      <c r="R5" s="105">
        <f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23374.999999999996</v>
      </c>
      <c r="S5" s="105">
        <f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23374.999999999996</v>
      </c>
      <c r="T5" s="105">
        <f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23374.999999999996</v>
      </c>
      <c r="U5" s="105">
        <f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23374.999999999996</v>
      </c>
      <c r="V5" s="105">
        <f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23374.999999999996</v>
      </c>
      <c r="W5" s="105">
        <f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23374.999999999996</v>
      </c>
      <c r="X5" s="105">
        <f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23374.999999999996</v>
      </c>
      <c r="Y5" s="105">
        <f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23374.999999999996</v>
      </c>
      <c r="Z5" s="105">
        <f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23374.999999999996</v>
      </c>
      <c r="AA5" s="105">
        <f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23842.499999999996</v>
      </c>
      <c r="AB5" s="105">
        <f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23842.499999999996</v>
      </c>
      <c r="AC5" s="105">
        <f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23842.499999999996</v>
      </c>
      <c r="AD5" s="105">
        <f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23842.499999999996</v>
      </c>
      <c r="AE5" s="105">
        <f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23842.499999999996</v>
      </c>
      <c r="AF5" s="105">
        <f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23842.499999999996</v>
      </c>
      <c r="AG5" s="105">
        <f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23842.499999999996</v>
      </c>
      <c r="AH5" s="105">
        <f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23842.499999999996</v>
      </c>
      <c r="AI5" s="105">
        <f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23842.499999999996</v>
      </c>
      <c r="AJ5" s="105">
        <f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23842.499999999996</v>
      </c>
      <c r="AK5" s="105">
        <f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23842.499999999996</v>
      </c>
      <c r="AL5" s="105">
        <f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23842.499999999996</v>
      </c>
      <c r="AM5" s="105">
        <f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24319.349999999995</v>
      </c>
      <c r="AN5" s="105">
        <f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24319.349999999995</v>
      </c>
      <c r="AO5" s="105">
        <f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24319.349999999995</v>
      </c>
      <c r="AP5" s="105">
        <f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24319.349999999995</v>
      </c>
      <c r="AQ5" s="105">
        <f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24319.349999999995</v>
      </c>
      <c r="AR5" s="105">
        <f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24319.349999999995</v>
      </c>
      <c r="AS5" s="105">
        <f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24319.349999999995</v>
      </c>
      <c r="AT5" s="105">
        <f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24319.349999999995</v>
      </c>
      <c r="AU5" s="105">
        <f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24319.349999999995</v>
      </c>
      <c r="AV5" s="105">
        <f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24319.349999999995</v>
      </c>
      <c r="AW5" s="105">
        <f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24319.349999999995</v>
      </c>
      <c r="AX5" s="105">
        <f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24319.349999999995</v>
      </c>
      <c r="AY5" s="105">
        <f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24805.736999999997</v>
      </c>
      <c r="AZ5" s="105">
        <f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24805.736999999997</v>
      </c>
      <c r="BA5" s="105">
        <f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24805.736999999997</v>
      </c>
      <c r="BB5" s="105">
        <f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24805.736999999997</v>
      </c>
      <c r="BC5" s="105">
        <f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24805.736999999997</v>
      </c>
      <c r="BD5" s="105">
        <f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24805.736999999997</v>
      </c>
      <c r="BE5" s="105">
        <f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24805.736999999997</v>
      </c>
      <c r="BF5" s="105">
        <f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24805.736999999997</v>
      </c>
      <c r="BG5" s="105">
        <f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24805.736999999997</v>
      </c>
      <c r="BH5" s="105">
        <f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24805.736999999997</v>
      </c>
      <c r="BI5" s="105">
        <f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24805.736999999997</v>
      </c>
      <c r="BJ5" s="105">
        <f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24805.736999999997</v>
      </c>
      <c r="BK5" s="105">
        <f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25301.851739999998</v>
      </c>
      <c r="BL5" s="105">
        <f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25301.851739999998</v>
      </c>
      <c r="BM5" s="105">
        <f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25301.851739999998</v>
      </c>
      <c r="BN5" s="105">
        <f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25301.851739999998</v>
      </c>
      <c r="BO5" s="105">
        <f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25301.851739999998</v>
      </c>
      <c r="BP5" s="105">
        <f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25301.851739999998</v>
      </c>
      <c r="BQ5" s="105">
        <f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25301.851739999998</v>
      </c>
      <c r="BR5" s="105">
        <f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25301.851739999998</v>
      </c>
      <c r="BS5" s="105">
        <f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25301.851739999998</v>
      </c>
      <c r="BT5" s="105">
        <f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25301.851739999998</v>
      </c>
      <c r="BU5" s="105">
        <f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25301.851739999998</v>
      </c>
      <c r="BV5" s="105">
        <f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25301.851739999998</v>
      </c>
      <c r="BW5" s="105">
        <f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25807.888774799998</v>
      </c>
      <c r="BX5" s="105">
        <f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25807.888774799998</v>
      </c>
      <c r="BY5" s="105">
        <f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25807.888774799998</v>
      </c>
      <c r="BZ5" s="105">
        <f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25807.888774799998</v>
      </c>
      <c r="CA5" s="105">
        <f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25807.888774799998</v>
      </c>
      <c r="CB5" s="105">
        <f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25807.888774799998</v>
      </c>
      <c r="CC5" s="105">
        <f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25807.888774799998</v>
      </c>
      <c r="CD5" s="105">
        <f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25807.888774799998</v>
      </c>
      <c r="CE5" s="105">
        <f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25807.888774799998</v>
      </c>
      <c r="CF5" s="105">
        <f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25807.888774799998</v>
      </c>
      <c r="CG5" s="105">
        <f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25807.888774799998</v>
      </c>
      <c r="CH5" s="105">
        <f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25807.888774799998</v>
      </c>
    </row>
    <row r="7" spans="1:86" ht="15" customHeight="1" x14ac:dyDescent="0.25">
      <c r="A7" s="101" t="s">
        <v>567</v>
      </c>
    </row>
    <row r="8" spans="1:86" ht="15" customHeight="1" x14ac:dyDescent="0.25">
      <c r="A8" s="99" t="s">
        <v>219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10946461.542965369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10133653.21477537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9246899.8394238371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8303243.599525284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7323700.4558519367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6331894.5878293645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5352351.4441560172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4408695.204257464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3521941.8289059317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2709133.5007159319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1982410.0436813007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1348626.5665139642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809476.36299933877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362105.41377329524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-2.5919677515418016E-9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220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12652545.517624598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11713055.223965524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10688095.021026451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9597363.236929534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8465151.3195753992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7318765.4449667064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6186553.5276125716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5095821.7435156535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4070861.5405765832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3131371.2469175067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2291382.7645421051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1558819.6196661771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935639.01796852541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418542.12084536091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-2.9959443814675524E-9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111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221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222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115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116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119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20" t="s">
        <v>223</v>
      </c>
      <c r="C16" s="121">
        <f t="shared" ref="C16:AH16" si="0">SUM(C8:C15)</f>
        <v>23599007.060589969</v>
      </c>
      <c r="D16" s="121">
        <f t="shared" si="0"/>
        <v>21846708.438740894</v>
      </c>
      <c r="E16" s="121">
        <f t="shared" si="0"/>
        <v>19934994.86045029</v>
      </c>
      <c r="F16" s="121">
        <f t="shared" si="0"/>
        <v>59988330.557798818</v>
      </c>
      <c r="G16" s="121">
        <f t="shared" si="0"/>
        <v>56830895.346243337</v>
      </c>
      <c r="H16" s="121">
        <f t="shared" si="0"/>
        <v>53470466.10025207</v>
      </c>
      <c r="I16" s="121">
        <f t="shared" si="0"/>
        <v>78806360.836637586</v>
      </c>
      <c r="J16" s="121">
        <f t="shared" si="0"/>
        <v>95138155.811395124</v>
      </c>
      <c r="K16" s="121">
        <f t="shared" si="0"/>
        <v>89880219.287110507</v>
      </c>
      <c r="L16" s="121">
        <f t="shared" si="0"/>
        <v>84327348.519684434</v>
      </c>
      <c r="M16" s="121">
        <f t="shared" si="0"/>
        <v>78517826.76764141</v>
      </c>
      <c r="N16" s="121">
        <f t="shared" si="0"/>
        <v>72497927.028571129</v>
      </c>
      <c r="O16" s="121">
        <f t="shared" si="0"/>
        <v>110860792.78762487</v>
      </c>
      <c r="P16" s="121">
        <f t="shared" si="0"/>
        <v>103756479.76066665</v>
      </c>
      <c r="Q16" s="121">
        <f t="shared" si="0"/>
        <v>96517203.05507499</v>
      </c>
      <c r="R16" s="121">
        <f t="shared" si="0"/>
        <v>89832380.402736992</v>
      </c>
      <c r="S16" s="121">
        <f t="shared" si="0"/>
        <v>83021753.709655985</v>
      </c>
      <c r="T16" s="121">
        <f t="shared" si="0"/>
        <v>76187589.600928992</v>
      </c>
      <c r="U16" s="121">
        <f t="shared" si="0"/>
        <v>69427945.700481981</v>
      </c>
      <c r="V16" s="121">
        <f t="shared" si="0"/>
        <v>62831519.462921992</v>
      </c>
      <c r="W16" s="121">
        <f t="shared" si="0"/>
        <v>56473335.557831988</v>
      </c>
      <c r="X16" s="121">
        <f t="shared" si="0"/>
        <v>50412135.689663991</v>
      </c>
      <c r="Y16" s="121">
        <f t="shared" si="0"/>
        <v>44689514.450514987</v>
      </c>
      <c r="Z16" s="121">
        <f t="shared" si="0"/>
        <v>39330314.060103998</v>
      </c>
      <c r="AA16" s="121">
        <f t="shared" si="0"/>
        <v>34344660.929919995</v>
      </c>
      <c r="AB16" s="121">
        <f t="shared" si="0"/>
        <v>30015781.278079994</v>
      </c>
      <c r="AC16" s="121">
        <f t="shared" si="0"/>
        <v>67115910.942615986</v>
      </c>
      <c r="AD16" s="121">
        <f t="shared" si="0"/>
        <v>63678669.505812995</v>
      </c>
      <c r="AE16" s="121">
        <f t="shared" si="0"/>
        <v>60195756.503802985</v>
      </c>
      <c r="AF16" s="121">
        <f t="shared" si="0"/>
        <v>56684810.890850991</v>
      </c>
      <c r="AG16" s="121">
        <f t="shared" si="0"/>
        <v>53163021.419371992</v>
      </c>
      <c r="AH16" s="121">
        <f t="shared" si="0"/>
        <v>49646883.209601</v>
      </c>
      <c r="AI16" s="121">
        <f t="shared" ref="AI16:BN16" si="1">SUM(AI8:AI15)</f>
        <v>46152166.879777998</v>
      </c>
      <c r="AJ16" s="121">
        <f t="shared" si="1"/>
        <v>42693842.409563005</v>
      </c>
      <c r="AK16" s="121">
        <f t="shared" si="1"/>
        <v>39286070.295121007</v>
      </c>
      <c r="AL16" s="121">
        <f t="shared" si="1"/>
        <v>35942217.821294002</v>
      </c>
      <c r="AM16" s="121">
        <f t="shared" si="1"/>
        <v>32894612.367548011</v>
      </c>
      <c r="AN16" s="121">
        <f t="shared" si="1"/>
        <v>29903009.833158009</v>
      </c>
      <c r="AO16" s="121">
        <f t="shared" si="1"/>
        <v>26981928.712532006</v>
      </c>
      <c r="AP16" s="121">
        <f t="shared" si="1"/>
        <v>24145214.967326008</v>
      </c>
      <c r="AQ16" s="121">
        <f t="shared" si="1"/>
        <v>21405892.487426009</v>
      </c>
      <c r="AR16" s="121">
        <f t="shared" si="1"/>
        <v>18775979.790616009</v>
      </c>
      <c r="AS16" s="121">
        <f t="shared" si="1"/>
        <v>16893987.491480004</v>
      </c>
      <c r="AT16" s="121">
        <f t="shared" si="1"/>
        <v>15049033.294064002</v>
      </c>
      <c r="AU16" s="121">
        <f t="shared" si="1"/>
        <v>13258584.501624003</v>
      </c>
      <c r="AV16" s="121">
        <f t="shared" si="1"/>
        <v>11538273.165056005</v>
      </c>
      <c r="AW16" s="121">
        <f t="shared" si="1"/>
        <v>9901787.6675520036</v>
      </c>
      <c r="AX16" s="121">
        <f t="shared" si="1"/>
        <v>8360541.8875440042</v>
      </c>
      <c r="AY16" s="121">
        <f t="shared" si="1"/>
        <v>6923385.716280004</v>
      </c>
      <c r="AZ16" s="121">
        <f t="shared" si="1"/>
        <v>5596646.4124560058</v>
      </c>
      <c r="BA16" s="121">
        <f t="shared" si="1"/>
        <v>4384004.5383200068</v>
      </c>
      <c r="BB16" s="121">
        <f t="shared" si="1"/>
        <v>3286659.3782000076</v>
      </c>
      <c r="BC16" s="121">
        <f t="shared" si="1"/>
        <v>2303535.7116640056</v>
      </c>
      <c r="BD16" s="121">
        <f t="shared" si="1"/>
        <v>1431490.5866800072</v>
      </c>
      <c r="BE16" s="121">
        <f t="shared" si="1"/>
        <v>665685.51130400575</v>
      </c>
      <c r="BF16" s="121">
        <f t="shared" si="1"/>
        <v>-165.41852799557415</v>
      </c>
      <c r="BG16" s="121">
        <f t="shared" si="1"/>
        <v>0</v>
      </c>
      <c r="BH16" s="121">
        <f t="shared" si="1"/>
        <v>0</v>
      </c>
      <c r="BI16" s="121">
        <f t="shared" si="1"/>
        <v>0</v>
      </c>
      <c r="BJ16" s="121">
        <f t="shared" si="1"/>
        <v>0</v>
      </c>
      <c r="BK16" s="121">
        <f t="shared" si="1"/>
        <v>0</v>
      </c>
      <c r="BL16" s="121">
        <f t="shared" si="1"/>
        <v>0</v>
      </c>
      <c r="BM16" s="121">
        <f t="shared" si="1"/>
        <v>0</v>
      </c>
      <c r="BN16" s="121">
        <f t="shared" si="1"/>
        <v>0</v>
      </c>
      <c r="BO16" s="121">
        <f t="shared" ref="BO16:CT16" si="2">SUM(BO8:BO15)</f>
        <v>0</v>
      </c>
      <c r="BP16" s="121">
        <f t="shared" si="2"/>
        <v>0</v>
      </c>
      <c r="BQ16" s="121">
        <f t="shared" si="2"/>
        <v>0</v>
      </c>
      <c r="BR16" s="121">
        <f t="shared" si="2"/>
        <v>0</v>
      </c>
      <c r="BS16" s="121">
        <f t="shared" si="2"/>
        <v>0</v>
      </c>
      <c r="BT16" s="121">
        <f t="shared" si="2"/>
        <v>0</v>
      </c>
      <c r="BU16" s="121">
        <f t="shared" si="2"/>
        <v>0</v>
      </c>
      <c r="BV16" s="121">
        <f t="shared" si="2"/>
        <v>0</v>
      </c>
      <c r="BW16" s="121">
        <f t="shared" si="2"/>
        <v>0</v>
      </c>
      <c r="BX16" s="121">
        <f t="shared" si="2"/>
        <v>0</v>
      </c>
      <c r="BY16" s="121">
        <f t="shared" si="2"/>
        <v>0</v>
      </c>
      <c r="BZ16" s="121">
        <f t="shared" si="2"/>
        <v>0</v>
      </c>
      <c r="CA16" s="121">
        <f t="shared" si="2"/>
        <v>0</v>
      </c>
      <c r="CB16" s="121">
        <f t="shared" si="2"/>
        <v>0</v>
      </c>
      <c r="CC16" s="121">
        <f t="shared" si="2"/>
        <v>0</v>
      </c>
      <c r="CD16" s="121">
        <f t="shared" si="2"/>
        <v>0</v>
      </c>
      <c r="CE16" s="121">
        <f t="shared" si="2"/>
        <v>0</v>
      </c>
      <c r="CF16" s="121">
        <f t="shared" si="2"/>
        <v>0</v>
      </c>
      <c r="CG16" s="121">
        <f t="shared" si="2"/>
        <v>0</v>
      </c>
      <c r="CH16" s="121">
        <f t="shared" si="2"/>
        <v>0</v>
      </c>
    </row>
    <row r="18" spans="1:86" ht="15" customHeight="1" x14ac:dyDescent="0.25">
      <c r="A18" s="6" t="s">
        <v>568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569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2" t="s">
        <v>570</v>
      </c>
      <c r="C20" s="123">
        <f>MIN(C19,Model!C60)</f>
        <v>0</v>
      </c>
      <c r="D20" s="123">
        <f>MIN(D19,Model!D60)</f>
        <v>0</v>
      </c>
      <c r="E20" s="123">
        <f>MIN(E19,Model!E60)</f>
        <v>0</v>
      </c>
      <c r="F20" s="123">
        <f>MIN(F19,Model!F60)</f>
        <v>0</v>
      </c>
      <c r="G20" s="123">
        <f>MIN(G19,Model!G60)</f>
        <v>0</v>
      </c>
      <c r="H20" s="123">
        <f>MIN(H19,Model!H60)</f>
        <v>0</v>
      </c>
      <c r="I20" s="123">
        <f>MIN(I19,Model!I60)</f>
        <v>0</v>
      </c>
      <c r="J20" s="123">
        <f>MIN(J19,Model!J60)</f>
        <v>0</v>
      </c>
      <c r="K20" s="123">
        <f>MIN(K19,Model!K60)</f>
        <v>0</v>
      </c>
      <c r="L20" s="123">
        <f>MIN(L19,Model!L60)</f>
        <v>0</v>
      </c>
      <c r="M20" s="123">
        <f>MIN(M19,Model!M60)</f>
        <v>0</v>
      </c>
      <c r="N20" s="123">
        <f>MIN(N19,Model!N60)</f>
        <v>0</v>
      </c>
      <c r="O20" s="123">
        <f>MIN(O19,Model!O60)</f>
        <v>0</v>
      </c>
      <c r="P20" s="123">
        <f>MIN(P19,Model!P60)</f>
        <v>0</v>
      </c>
      <c r="Q20" s="123">
        <f>MIN(Q19,Model!Q60)</f>
        <v>0</v>
      </c>
      <c r="R20" s="123">
        <f>MIN(R19,Model!R60)</f>
        <v>0</v>
      </c>
      <c r="S20" s="123">
        <f>MIN(S19,Model!S60)</f>
        <v>0</v>
      </c>
      <c r="T20" s="123">
        <f>MIN(T19,Model!T60)</f>
        <v>0</v>
      </c>
      <c r="U20" s="123">
        <f>MIN(U19,Model!U60)</f>
        <v>0</v>
      </c>
      <c r="V20" s="123">
        <f>MIN(V19,Model!V60)</f>
        <v>0</v>
      </c>
      <c r="W20" s="123">
        <f>MIN(W19,Model!W60)</f>
        <v>0</v>
      </c>
      <c r="X20" s="123">
        <f>MIN(X19,Model!X60)</f>
        <v>0</v>
      </c>
      <c r="Y20" s="123">
        <f>MIN(Y19,Model!Y60)</f>
        <v>0</v>
      </c>
      <c r="Z20" s="123">
        <f>MIN(Z19,Model!Z60)</f>
        <v>0</v>
      </c>
      <c r="AA20" s="123">
        <f>MIN(AA19,Model!AA60)</f>
        <v>0</v>
      </c>
      <c r="AB20" s="123">
        <f>MIN(AB19,Model!AB60)</f>
        <v>0</v>
      </c>
      <c r="AC20" s="123">
        <f>MIN(AC19,Model!AC60)</f>
        <v>0</v>
      </c>
      <c r="AD20" s="123">
        <f>MIN(AD19,Model!AD60)</f>
        <v>0</v>
      </c>
      <c r="AE20" s="123">
        <f>MIN(AE19,Model!AE60)</f>
        <v>0</v>
      </c>
      <c r="AF20" s="123">
        <f>MIN(AF19,Model!AF60)</f>
        <v>0</v>
      </c>
      <c r="AG20" s="123">
        <f>MIN(AG19,Model!AG60)</f>
        <v>0</v>
      </c>
      <c r="AH20" s="123">
        <f>MIN(AH19,Model!AH60)</f>
        <v>0</v>
      </c>
      <c r="AI20" s="123">
        <f>MIN(AI19,Model!AI60)</f>
        <v>0</v>
      </c>
      <c r="AJ20" s="123">
        <f>MIN(AJ19,Model!AJ60)</f>
        <v>0</v>
      </c>
      <c r="AK20" s="123">
        <f>MIN(AK19,Model!AK60)</f>
        <v>0</v>
      </c>
      <c r="AL20" s="123">
        <f>MIN(AL19,Model!AL60)</f>
        <v>0</v>
      </c>
      <c r="AM20" s="123">
        <f>MIN(AM19,Model!AM60)</f>
        <v>0</v>
      </c>
      <c r="AN20" s="123">
        <f>MIN(AN19,Model!AN60)</f>
        <v>0</v>
      </c>
      <c r="AO20" s="123">
        <f>MIN(AO19,Model!AO60)</f>
        <v>0</v>
      </c>
      <c r="AP20" s="123">
        <f>MIN(AP19,Model!AP60)</f>
        <v>0</v>
      </c>
      <c r="AQ20" s="123">
        <f>MIN(AQ19,Model!AQ60)</f>
        <v>0</v>
      </c>
      <c r="AR20" s="123">
        <f>MIN(AR19,Model!AR60)</f>
        <v>81683</v>
      </c>
      <c r="AS20" s="123">
        <f>MIN(AS19,Model!AS60)</f>
        <v>0</v>
      </c>
      <c r="AT20" s="123">
        <f>MIN(AT19,Model!AT60)</f>
        <v>0</v>
      </c>
      <c r="AU20" s="123">
        <f>MIN(AU19,Model!AU60)</f>
        <v>81682</v>
      </c>
      <c r="AV20" s="123">
        <f>MIN(AV19,Model!AV60)</f>
        <v>0</v>
      </c>
      <c r="AW20" s="123">
        <f>MIN(AW19,Model!AW60)</f>
        <v>0</v>
      </c>
      <c r="AX20" s="123">
        <f>MIN(AX19,Model!AX60)</f>
        <v>81682</v>
      </c>
      <c r="AY20" s="123">
        <f>MIN(AY19,Model!AY60)</f>
        <v>0</v>
      </c>
      <c r="AZ20" s="123">
        <f>MIN(AZ19,Model!AZ60)</f>
        <v>0</v>
      </c>
      <c r="BA20" s="123">
        <f>MIN(BA19,Model!BA60)</f>
        <v>81682</v>
      </c>
      <c r="BB20" s="123">
        <f>MIN(BB19,Model!BB60)</f>
        <v>0</v>
      </c>
      <c r="BC20" s="123">
        <f>MIN(BC19,Model!BC60)</f>
        <v>0</v>
      </c>
      <c r="BD20" s="123">
        <f>MIN(BD19,Model!BD60)</f>
        <v>59178</v>
      </c>
      <c r="BE20" s="123">
        <f>MIN(BE19,Model!BE60)</f>
        <v>0</v>
      </c>
      <c r="BF20" s="123">
        <f>MIN(BF19,Model!BF60)</f>
        <v>0</v>
      </c>
      <c r="BG20" s="123">
        <f>MIN(BG19,Model!BG60)</f>
        <v>59176</v>
      </c>
      <c r="BH20" s="123">
        <f>MIN(BH19,Model!BH60)</f>
        <v>0</v>
      </c>
      <c r="BI20" s="123">
        <f>MIN(BI19,Model!BI60)</f>
        <v>0</v>
      </c>
      <c r="BJ20" s="123">
        <f>MIN(BJ19,Model!BJ60)</f>
        <v>59176</v>
      </c>
      <c r="BK20" s="123">
        <f>MIN(BK19,Model!BK60)</f>
        <v>0</v>
      </c>
      <c r="BL20" s="123">
        <f>MIN(BL19,Model!BL60)</f>
        <v>0</v>
      </c>
      <c r="BM20" s="123">
        <f>MIN(BM19,Model!BM60)</f>
        <v>59176</v>
      </c>
      <c r="BN20" s="123">
        <f>MIN(BN19,Model!BN60)</f>
        <v>0</v>
      </c>
      <c r="BO20" s="123">
        <f>MIN(BO19,Model!BO60)</f>
        <v>0</v>
      </c>
      <c r="BP20" s="123">
        <f>MIN(BP19,Model!BP60)</f>
        <v>16249.479999999981</v>
      </c>
      <c r="BQ20" s="123">
        <f>MIN(BQ19,Model!BQ60)</f>
        <v>0</v>
      </c>
      <c r="BR20" s="123">
        <f>MIN(BR19,Model!BR60)</f>
        <v>0</v>
      </c>
      <c r="BS20" s="123">
        <f>MIN(BS19,Model!BS60)</f>
        <v>0</v>
      </c>
      <c r="BT20" s="123">
        <f>MIN(BT19,Model!BT60)</f>
        <v>0</v>
      </c>
      <c r="BU20" s="123">
        <f>MIN(BU19,Model!BU60)</f>
        <v>0</v>
      </c>
      <c r="BV20" s="123">
        <f>MIN(BV19,Model!BV60)</f>
        <v>0</v>
      </c>
      <c r="BW20" s="123">
        <f>MIN(BW19,Model!BW60)</f>
        <v>0</v>
      </c>
      <c r="BX20" s="123">
        <f>MIN(BX19,Model!BX60)</f>
        <v>0</v>
      </c>
      <c r="BY20" s="123">
        <f>MIN(BY19,Model!BY60)</f>
        <v>0</v>
      </c>
      <c r="BZ20" s="123">
        <f>MIN(BZ19,Model!BZ60)</f>
        <v>0</v>
      </c>
      <c r="CA20" s="123">
        <f>MIN(CA19,Model!CA60)</f>
        <v>0</v>
      </c>
      <c r="CB20" s="123">
        <f>MIN(CB19,Model!CB60)</f>
        <v>0</v>
      </c>
      <c r="CC20" s="123">
        <f>MIN(CC19,Model!CC60)</f>
        <v>0</v>
      </c>
      <c r="CD20" s="123">
        <f>MIN(CD19,Model!CD60)</f>
        <v>0</v>
      </c>
      <c r="CE20" s="123">
        <f>MIN(CE19,Model!CE60)</f>
        <v>0</v>
      </c>
      <c r="CF20" s="123">
        <f>MIN(CF19,Model!CF60)</f>
        <v>0</v>
      </c>
      <c r="CG20" s="123">
        <f>MIN(CG19,Model!CG60)</f>
        <v>0</v>
      </c>
      <c r="CH20" s="123">
        <f>MIN(CH19,Model!CH60)</f>
        <v>0</v>
      </c>
    </row>
    <row r="21" spans="1:86" ht="15" customHeight="1" x14ac:dyDescent="0.25">
      <c r="A21" s="120" t="s">
        <v>571</v>
      </c>
      <c r="C21" s="121">
        <f t="shared" ref="C21:AH21" si="6">MAX(0,C19-C20)</f>
        <v>579684.48</v>
      </c>
      <c r="D21" s="121">
        <f t="shared" si="6"/>
        <v>579684.48</v>
      </c>
      <c r="E21" s="121">
        <f t="shared" si="6"/>
        <v>579684.48</v>
      </c>
      <c r="F21" s="121">
        <f t="shared" si="6"/>
        <v>579684.48</v>
      </c>
      <c r="G21" s="121">
        <f t="shared" si="6"/>
        <v>579684.48</v>
      </c>
      <c r="H21" s="121">
        <f t="shared" si="6"/>
        <v>579684.48</v>
      </c>
      <c r="I21" s="121">
        <f t="shared" si="6"/>
        <v>579684.48</v>
      </c>
      <c r="J21" s="121">
        <f t="shared" si="6"/>
        <v>579684.48</v>
      </c>
      <c r="K21" s="121">
        <f t="shared" si="6"/>
        <v>579684.48</v>
      </c>
      <c r="L21" s="121">
        <f t="shared" si="6"/>
        <v>579684.48</v>
      </c>
      <c r="M21" s="121">
        <f t="shared" si="6"/>
        <v>579684.48</v>
      </c>
      <c r="N21" s="121">
        <f t="shared" si="6"/>
        <v>579684.48</v>
      </c>
      <c r="O21" s="121">
        <f t="shared" si="6"/>
        <v>579684.48</v>
      </c>
      <c r="P21" s="121">
        <f t="shared" si="6"/>
        <v>579684.48</v>
      </c>
      <c r="Q21" s="121">
        <f t="shared" si="6"/>
        <v>579684.48</v>
      </c>
      <c r="R21" s="121">
        <f t="shared" si="6"/>
        <v>579684.48</v>
      </c>
      <c r="S21" s="121">
        <f t="shared" si="6"/>
        <v>579684.48</v>
      </c>
      <c r="T21" s="121">
        <f t="shared" si="6"/>
        <v>579684.48</v>
      </c>
      <c r="U21" s="121">
        <f t="shared" si="6"/>
        <v>579684.48</v>
      </c>
      <c r="V21" s="121">
        <f t="shared" si="6"/>
        <v>579684.48</v>
      </c>
      <c r="W21" s="121">
        <f t="shared" si="6"/>
        <v>579684.48</v>
      </c>
      <c r="X21" s="121">
        <f t="shared" si="6"/>
        <v>579684.48</v>
      </c>
      <c r="Y21" s="121">
        <f t="shared" si="6"/>
        <v>579684.48</v>
      </c>
      <c r="Z21" s="121">
        <f t="shared" si="6"/>
        <v>579684.48</v>
      </c>
      <c r="AA21" s="121">
        <f t="shared" si="6"/>
        <v>579684.48</v>
      </c>
      <c r="AB21" s="121">
        <f t="shared" si="6"/>
        <v>579684.48</v>
      </c>
      <c r="AC21" s="121">
        <f t="shared" si="6"/>
        <v>579684.48</v>
      </c>
      <c r="AD21" s="121">
        <f t="shared" si="6"/>
        <v>579684.48</v>
      </c>
      <c r="AE21" s="121">
        <f t="shared" si="6"/>
        <v>579684.48</v>
      </c>
      <c r="AF21" s="121">
        <f t="shared" si="6"/>
        <v>579684.48</v>
      </c>
      <c r="AG21" s="121">
        <f t="shared" si="6"/>
        <v>579684.48</v>
      </c>
      <c r="AH21" s="121">
        <f t="shared" si="6"/>
        <v>579684.48</v>
      </c>
      <c r="AI21" s="121">
        <f t="shared" ref="AI21:BN21" si="7">MAX(0,AI19-AI20)</f>
        <v>579684.48</v>
      </c>
      <c r="AJ21" s="121">
        <f t="shared" si="7"/>
        <v>579684.48</v>
      </c>
      <c r="AK21" s="121">
        <f t="shared" si="7"/>
        <v>579684.48</v>
      </c>
      <c r="AL21" s="121">
        <f t="shared" si="7"/>
        <v>579684.48</v>
      </c>
      <c r="AM21" s="121">
        <f t="shared" si="7"/>
        <v>579684.48</v>
      </c>
      <c r="AN21" s="121">
        <f t="shared" si="7"/>
        <v>579684.48</v>
      </c>
      <c r="AO21" s="121">
        <f t="shared" si="7"/>
        <v>579684.48</v>
      </c>
      <c r="AP21" s="121">
        <f t="shared" si="7"/>
        <v>579684.48</v>
      </c>
      <c r="AQ21" s="121">
        <f t="shared" si="7"/>
        <v>579684.48</v>
      </c>
      <c r="AR21" s="121">
        <f t="shared" si="7"/>
        <v>498001.48</v>
      </c>
      <c r="AS21" s="121">
        <f t="shared" si="7"/>
        <v>498001.48</v>
      </c>
      <c r="AT21" s="121">
        <f t="shared" si="7"/>
        <v>498001.48</v>
      </c>
      <c r="AU21" s="121">
        <f t="shared" si="7"/>
        <v>416319.48</v>
      </c>
      <c r="AV21" s="121">
        <f t="shared" si="7"/>
        <v>416319.48</v>
      </c>
      <c r="AW21" s="121">
        <f t="shared" si="7"/>
        <v>416319.48</v>
      </c>
      <c r="AX21" s="121">
        <f t="shared" si="7"/>
        <v>334637.48</v>
      </c>
      <c r="AY21" s="121">
        <f t="shared" si="7"/>
        <v>334637.48</v>
      </c>
      <c r="AZ21" s="121">
        <f t="shared" si="7"/>
        <v>334637.48</v>
      </c>
      <c r="BA21" s="121">
        <f t="shared" si="7"/>
        <v>252955.47999999998</v>
      </c>
      <c r="BB21" s="121">
        <f t="shared" si="7"/>
        <v>252955.47999999998</v>
      </c>
      <c r="BC21" s="121">
        <f t="shared" si="7"/>
        <v>252955.47999999998</v>
      </c>
      <c r="BD21" s="121">
        <f t="shared" si="7"/>
        <v>193777.47999999998</v>
      </c>
      <c r="BE21" s="121">
        <f t="shared" si="7"/>
        <v>193777.47999999998</v>
      </c>
      <c r="BF21" s="121">
        <f t="shared" si="7"/>
        <v>193777.47999999998</v>
      </c>
      <c r="BG21" s="121">
        <f t="shared" si="7"/>
        <v>134601.47999999998</v>
      </c>
      <c r="BH21" s="121">
        <f t="shared" si="7"/>
        <v>134601.47999999998</v>
      </c>
      <c r="BI21" s="121">
        <f t="shared" si="7"/>
        <v>134601.47999999998</v>
      </c>
      <c r="BJ21" s="121">
        <f t="shared" si="7"/>
        <v>75425.479999999981</v>
      </c>
      <c r="BK21" s="121">
        <f t="shared" si="7"/>
        <v>75425.479999999981</v>
      </c>
      <c r="BL21" s="121">
        <f t="shared" si="7"/>
        <v>75425.479999999981</v>
      </c>
      <c r="BM21" s="121">
        <f t="shared" si="7"/>
        <v>16249.479999999981</v>
      </c>
      <c r="BN21" s="121">
        <f t="shared" si="7"/>
        <v>16249.479999999981</v>
      </c>
      <c r="BO21" s="121">
        <f t="shared" ref="BO21:CT21" si="8">MAX(0,BO19-BO20)</f>
        <v>16249.479999999981</v>
      </c>
      <c r="BP21" s="121">
        <f t="shared" si="8"/>
        <v>0</v>
      </c>
      <c r="BQ21" s="121">
        <f t="shared" si="8"/>
        <v>0</v>
      </c>
      <c r="BR21" s="121">
        <f t="shared" si="8"/>
        <v>0</v>
      </c>
      <c r="BS21" s="121">
        <f t="shared" si="8"/>
        <v>0</v>
      </c>
      <c r="BT21" s="121">
        <f t="shared" si="8"/>
        <v>0</v>
      </c>
      <c r="BU21" s="121">
        <f t="shared" si="8"/>
        <v>0</v>
      </c>
      <c r="BV21" s="121">
        <f t="shared" si="8"/>
        <v>0</v>
      </c>
      <c r="BW21" s="121">
        <f t="shared" si="8"/>
        <v>0</v>
      </c>
      <c r="BX21" s="121">
        <f t="shared" si="8"/>
        <v>0</v>
      </c>
      <c r="BY21" s="121">
        <f t="shared" si="8"/>
        <v>0</v>
      </c>
      <c r="BZ21" s="121">
        <f t="shared" si="8"/>
        <v>0</v>
      </c>
      <c r="CA21" s="121">
        <f t="shared" si="8"/>
        <v>0</v>
      </c>
      <c r="CB21" s="121">
        <f t="shared" si="8"/>
        <v>0</v>
      </c>
      <c r="CC21" s="121">
        <f t="shared" si="8"/>
        <v>0</v>
      </c>
      <c r="CD21" s="121">
        <f t="shared" si="8"/>
        <v>0</v>
      </c>
      <c r="CE21" s="121">
        <f t="shared" si="8"/>
        <v>0</v>
      </c>
      <c r="CF21" s="121">
        <f t="shared" si="8"/>
        <v>0</v>
      </c>
      <c r="CG21" s="121">
        <f t="shared" si="8"/>
        <v>0</v>
      </c>
      <c r="CH21" s="121">
        <f t="shared" si="8"/>
        <v>0</v>
      </c>
    </row>
    <row r="22" spans="1:86" ht="15" customHeight="1" x14ac:dyDescent="0.25">
      <c r="A22" s="99" t="s">
        <v>572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2" t="s">
        <v>573</v>
      </c>
      <c r="C23" s="123">
        <f>MIN(C22,Model!C61)</f>
        <v>0</v>
      </c>
      <c r="D23" s="123">
        <f>MIN(D22,Model!D61)</f>
        <v>0</v>
      </c>
      <c r="E23" s="123">
        <f>MIN(E22,Model!E61)</f>
        <v>0</v>
      </c>
      <c r="F23" s="123">
        <f>MIN(F22,Model!F61)</f>
        <v>0</v>
      </c>
      <c r="G23" s="123">
        <f>MIN(G22,Model!G61)</f>
        <v>0</v>
      </c>
      <c r="H23" s="123">
        <f>MIN(H22,Model!H61)</f>
        <v>0</v>
      </c>
      <c r="I23" s="123">
        <f>MIN(I22,Model!I61)</f>
        <v>0</v>
      </c>
      <c r="J23" s="123">
        <f>MIN(J22,Model!J61)</f>
        <v>0</v>
      </c>
      <c r="K23" s="123">
        <f>MIN(K22,Model!K61)</f>
        <v>0</v>
      </c>
      <c r="L23" s="123">
        <f>MIN(L22,Model!L61)</f>
        <v>0</v>
      </c>
      <c r="M23" s="123">
        <f>MIN(M22,Model!M61)</f>
        <v>0</v>
      </c>
      <c r="N23" s="123">
        <f>MIN(N22,Model!N61)</f>
        <v>0</v>
      </c>
      <c r="O23" s="123">
        <f>MIN(O22,Model!O61)</f>
        <v>0</v>
      </c>
      <c r="P23" s="123">
        <f>MIN(P22,Model!P61)</f>
        <v>0</v>
      </c>
      <c r="Q23" s="123">
        <f>MIN(Q22,Model!Q61)</f>
        <v>0</v>
      </c>
      <c r="R23" s="123">
        <f>MIN(R22,Model!R61)</f>
        <v>0</v>
      </c>
      <c r="S23" s="123">
        <f>MIN(S22,Model!S61)</f>
        <v>0</v>
      </c>
      <c r="T23" s="123">
        <f>MIN(T22,Model!T61)</f>
        <v>0</v>
      </c>
      <c r="U23" s="123">
        <f>MIN(U22,Model!U61)</f>
        <v>0</v>
      </c>
      <c r="V23" s="123">
        <f>MIN(V22,Model!V61)</f>
        <v>0</v>
      </c>
      <c r="W23" s="123">
        <f>MIN(W22,Model!W61)</f>
        <v>0</v>
      </c>
      <c r="X23" s="123">
        <f>MIN(X22,Model!X61)</f>
        <v>0</v>
      </c>
      <c r="Y23" s="123">
        <f>MIN(Y22,Model!Y61)</f>
        <v>0</v>
      </c>
      <c r="Z23" s="123">
        <f>MIN(Z22,Model!Z61)</f>
        <v>0</v>
      </c>
      <c r="AA23" s="123">
        <f>MIN(AA22,Model!AA61)</f>
        <v>0</v>
      </c>
      <c r="AB23" s="123">
        <f>MIN(AB22,Model!AB61)</f>
        <v>0</v>
      </c>
      <c r="AC23" s="123">
        <f>MIN(AC22,Model!AC61)</f>
        <v>0</v>
      </c>
      <c r="AD23" s="123">
        <f>MIN(AD22,Model!AD61)</f>
        <v>0</v>
      </c>
      <c r="AE23" s="123">
        <f>MIN(AE22,Model!AE61)</f>
        <v>0</v>
      </c>
      <c r="AF23" s="123">
        <f>MIN(AF22,Model!AF61)</f>
        <v>0</v>
      </c>
      <c r="AG23" s="123">
        <f>MIN(AG22,Model!AG61)</f>
        <v>0</v>
      </c>
      <c r="AH23" s="123">
        <f>MIN(AH22,Model!AH61)</f>
        <v>0</v>
      </c>
      <c r="AI23" s="123">
        <f>MIN(AI22,Model!AI61)</f>
        <v>0</v>
      </c>
      <c r="AJ23" s="123">
        <f>MIN(AJ22,Model!AJ61)</f>
        <v>0</v>
      </c>
      <c r="AK23" s="123">
        <f>MIN(AK22,Model!AK61)</f>
        <v>0</v>
      </c>
      <c r="AL23" s="123">
        <f>MIN(AL22,Model!AL61)</f>
        <v>0</v>
      </c>
      <c r="AM23" s="123">
        <f>MIN(AM22,Model!AM61)</f>
        <v>0</v>
      </c>
      <c r="AN23" s="123">
        <f>MIN(AN22,Model!AN61)</f>
        <v>0</v>
      </c>
      <c r="AO23" s="123">
        <f>MIN(AO22,Model!AO61)</f>
        <v>0</v>
      </c>
      <c r="AP23" s="123">
        <f>MIN(AP22,Model!AP61)</f>
        <v>0</v>
      </c>
      <c r="AQ23" s="123">
        <f>MIN(AQ22,Model!AQ61)</f>
        <v>0</v>
      </c>
      <c r="AR23" s="123">
        <f>MIN(AR22,Model!AR61)</f>
        <v>0</v>
      </c>
      <c r="AS23" s="123">
        <f>MIN(AS22,Model!AS61)</f>
        <v>0</v>
      </c>
      <c r="AT23" s="123">
        <f>MIN(AT22,Model!AT61)</f>
        <v>0</v>
      </c>
      <c r="AU23" s="123">
        <f>MIN(AU22,Model!AU61)</f>
        <v>0</v>
      </c>
      <c r="AV23" s="123">
        <f>MIN(AV22,Model!AV61)</f>
        <v>0</v>
      </c>
      <c r="AW23" s="123">
        <f>MIN(AW22,Model!AW61)</f>
        <v>0</v>
      </c>
      <c r="AX23" s="123">
        <f>MIN(AX22,Model!AX61)</f>
        <v>0</v>
      </c>
      <c r="AY23" s="123">
        <f>MIN(AY22,Model!AY61)</f>
        <v>0</v>
      </c>
      <c r="AZ23" s="123">
        <f>MIN(AZ22,Model!AZ61)</f>
        <v>0</v>
      </c>
      <c r="BA23" s="123">
        <f>MIN(BA22,Model!BA61)</f>
        <v>602667.69999999995</v>
      </c>
      <c r="BB23" s="123">
        <f>MIN(BB22,Model!BB61)</f>
        <v>0</v>
      </c>
      <c r="BC23" s="123">
        <f>MIN(BC22,Model!BC61)</f>
        <v>0</v>
      </c>
      <c r="BD23" s="123">
        <f>MIN(BD22,Model!BD61)</f>
        <v>0</v>
      </c>
      <c r="BE23" s="123">
        <f>MIN(BE22,Model!BE61)</f>
        <v>0</v>
      </c>
      <c r="BF23" s="123">
        <f>MIN(BF22,Model!BF61)</f>
        <v>0</v>
      </c>
      <c r="BG23" s="123">
        <f>MIN(BG22,Model!BG61)</f>
        <v>0</v>
      </c>
      <c r="BH23" s="123">
        <f>MIN(BH22,Model!BH61)</f>
        <v>0</v>
      </c>
      <c r="BI23" s="123">
        <f>MIN(BI22,Model!BI61)</f>
        <v>0</v>
      </c>
      <c r="BJ23" s="123">
        <f>MIN(BJ22,Model!BJ61)</f>
        <v>0</v>
      </c>
      <c r="BK23" s="123">
        <f>MIN(BK22,Model!BK61)</f>
        <v>0</v>
      </c>
      <c r="BL23" s="123">
        <f>MIN(BL22,Model!BL61)</f>
        <v>0</v>
      </c>
      <c r="BM23" s="123">
        <f>MIN(BM22,Model!BM61)</f>
        <v>0</v>
      </c>
      <c r="BN23" s="123">
        <f>MIN(BN22,Model!BN61)</f>
        <v>0</v>
      </c>
      <c r="BO23" s="123">
        <f>MIN(BO22,Model!BO61)</f>
        <v>0</v>
      </c>
      <c r="BP23" s="123">
        <f>MIN(BP22,Model!BP61)</f>
        <v>0</v>
      </c>
      <c r="BQ23" s="123">
        <f>MIN(BQ22,Model!BQ61)</f>
        <v>0</v>
      </c>
      <c r="BR23" s="123">
        <f>MIN(BR22,Model!BR61)</f>
        <v>0</v>
      </c>
      <c r="BS23" s="123">
        <f>MIN(BS22,Model!BS61)</f>
        <v>0</v>
      </c>
      <c r="BT23" s="123">
        <f>MIN(BT22,Model!BT61)</f>
        <v>0</v>
      </c>
      <c r="BU23" s="123">
        <f>MIN(BU22,Model!BU61)</f>
        <v>0</v>
      </c>
      <c r="BV23" s="123">
        <f>MIN(BV22,Model!BV61)</f>
        <v>0</v>
      </c>
      <c r="BW23" s="123">
        <f>MIN(BW22,Model!BW61)</f>
        <v>0</v>
      </c>
      <c r="BX23" s="123">
        <f>MIN(BX22,Model!BX61)</f>
        <v>0</v>
      </c>
      <c r="BY23" s="123">
        <f>MIN(BY22,Model!BY61)</f>
        <v>0</v>
      </c>
      <c r="BZ23" s="123">
        <f>MIN(BZ22,Model!BZ61)</f>
        <v>0</v>
      </c>
      <c r="CA23" s="123">
        <f>MIN(CA22,Model!CA61)</f>
        <v>0</v>
      </c>
      <c r="CB23" s="123">
        <f>MIN(CB22,Model!CB61)</f>
        <v>0</v>
      </c>
      <c r="CC23" s="123">
        <f>MIN(CC22,Model!CC61)</f>
        <v>0</v>
      </c>
      <c r="CD23" s="123">
        <f>MIN(CD22,Model!CD61)</f>
        <v>0</v>
      </c>
      <c r="CE23" s="123">
        <f>MIN(CE22,Model!CE61)</f>
        <v>0</v>
      </c>
      <c r="CF23" s="123">
        <f>MIN(CF22,Model!CF61)</f>
        <v>0</v>
      </c>
      <c r="CG23" s="123">
        <f>MIN(CG22,Model!CG61)</f>
        <v>0</v>
      </c>
      <c r="CH23" s="123">
        <f>MIN(CH22,Model!CH61)</f>
        <v>0</v>
      </c>
    </row>
    <row r="24" spans="1:86" ht="15" customHeight="1" x14ac:dyDescent="0.25">
      <c r="A24" s="120" t="s">
        <v>574</v>
      </c>
      <c r="C24" s="121">
        <f t="shared" ref="C24:AH24" si="12">MAX(0,C22-C23)</f>
        <v>602667.69999999995</v>
      </c>
      <c r="D24" s="121">
        <f t="shared" si="12"/>
        <v>602667.69999999995</v>
      </c>
      <c r="E24" s="121">
        <f t="shared" si="12"/>
        <v>602667.69999999995</v>
      </c>
      <c r="F24" s="121">
        <f t="shared" si="12"/>
        <v>602667.69999999995</v>
      </c>
      <c r="G24" s="121">
        <f t="shared" si="12"/>
        <v>602667.69999999995</v>
      </c>
      <c r="H24" s="121">
        <f t="shared" si="12"/>
        <v>602667.69999999995</v>
      </c>
      <c r="I24" s="121">
        <f t="shared" si="12"/>
        <v>602667.69999999995</v>
      </c>
      <c r="J24" s="121">
        <f t="shared" si="12"/>
        <v>602667.69999999995</v>
      </c>
      <c r="K24" s="121">
        <f t="shared" si="12"/>
        <v>602667.69999999995</v>
      </c>
      <c r="L24" s="121">
        <f t="shared" si="12"/>
        <v>602667.69999999995</v>
      </c>
      <c r="M24" s="121">
        <f t="shared" si="12"/>
        <v>602667.69999999995</v>
      </c>
      <c r="N24" s="121">
        <f t="shared" si="12"/>
        <v>602667.69999999995</v>
      </c>
      <c r="O24" s="121">
        <f t="shared" si="12"/>
        <v>602667.69999999995</v>
      </c>
      <c r="P24" s="121">
        <f t="shared" si="12"/>
        <v>602667.69999999995</v>
      </c>
      <c r="Q24" s="121">
        <f t="shared" si="12"/>
        <v>602667.69999999995</v>
      </c>
      <c r="R24" s="121">
        <f t="shared" si="12"/>
        <v>602667.69999999995</v>
      </c>
      <c r="S24" s="121">
        <f t="shared" si="12"/>
        <v>602667.69999999995</v>
      </c>
      <c r="T24" s="121">
        <f t="shared" si="12"/>
        <v>602667.69999999995</v>
      </c>
      <c r="U24" s="121">
        <f t="shared" si="12"/>
        <v>602667.69999999995</v>
      </c>
      <c r="V24" s="121">
        <f t="shared" si="12"/>
        <v>602667.69999999995</v>
      </c>
      <c r="W24" s="121">
        <f t="shared" si="12"/>
        <v>602667.69999999995</v>
      </c>
      <c r="X24" s="121">
        <f t="shared" si="12"/>
        <v>602667.69999999995</v>
      </c>
      <c r="Y24" s="121">
        <f t="shared" si="12"/>
        <v>602667.69999999995</v>
      </c>
      <c r="Z24" s="121">
        <f t="shared" si="12"/>
        <v>602667.69999999995</v>
      </c>
      <c r="AA24" s="121">
        <f t="shared" si="12"/>
        <v>602667.69999999995</v>
      </c>
      <c r="AB24" s="121">
        <f t="shared" si="12"/>
        <v>602667.69999999995</v>
      </c>
      <c r="AC24" s="121">
        <f t="shared" si="12"/>
        <v>602667.69999999995</v>
      </c>
      <c r="AD24" s="121">
        <f t="shared" si="12"/>
        <v>602667.69999999995</v>
      </c>
      <c r="AE24" s="121">
        <f t="shared" si="12"/>
        <v>602667.69999999995</v>
      </c>
      <c r="AF24" s="121">
        <f t="shared" si="12"/>
        <v>602667.69999999995</v>
      </c>
      <c r="AG24" s="121">
        <f t="shared" si="12"/>
        <v>602667.69999999995</v>
      </c>
      <c r="AH24" s="121">
        <f t="shared" si="12"/>
        <v>602667.69999999995</v>
      </c>
      <c r="AI24" s="121">
        <f t="shared" ref="AI24:BN24" si="13">MAX(0,AI22-AI23)</f>
        <v>602667.69999999995</v>
      </c>
      <c r="AJ24" s="121">
        <f t="shared" si="13"/>
        <v>602667.69999999995</v>
      </c>
      <c r="AK24" s="121">
        <f t="shared" si="13"/>
        <v>602667.69999999995</v>
      </c>
      <c r="AL24" s="121">
        <f t="shared" si="13"/>
        <v>602667.69999999995</v>
      </c>
      <c r="AM24" s="121">
        <f t="shared" si="13"/>
        <v>602667.69999999995</v>
      </c>
      <c r="AN24" s="121">
        <f t="shared" si="13"/>
        <v>602667.69999999995</v>
      </c>
      <c r="AO24" s="121">
        <f t="shared" si="13"/>
        <v>602667.69999999995</v>
      </c>
      <c r="AP24" s="121">
        <f t="shared" si="13"/>
        <v>602667.69999999995</v>
      </c>
      <c r="AQ24" s="121">
        <f t="shared" si="13"/>
        <v>602667.69999999995</v>
      </c>
      <c r="AR24" s="121">
        <f t="shared" si="13"/>
        <v>602667.69999999995</v>
      </c>
      <c r="AS24" s="121">
        <f t="shared" si="13"/>
        <v>602667.69999999995</v>
      </c>
      <c r="AT24" s="121">
        <f t="shared" si="13"/>
        <v>602667.69999999995</v>
      </c>
      <c r="AU24" s="121">
        <f t="shared" si="13"/>
        <v>602667.69999999995</v>
      </c>
      <c r="AV24" s="121">
        <f t="shared" si="13"/>
        <v>602667.69999999995</v>
      </c>
      <c r="AW24" s="121">
        <f t="shared" si="13"/>
        <v>602667.69999999995</v>
      </c>
      <c r="AX24" s="121">
        <f t="shared" si="13"/>
        <v>602667.69999999995</v>
      </c>
      <c r="AY24" s="121">
        <f t="shared" si="13"/>
        <v>602667.69999999995</v>
      </c>
      <c r="AZ24" s="121">
        <f t="shared" si="13"/>
        <v>602667.69999999995</v>
      </c>
      <c r="BA24" s="121">
        <f t="shared" si="13"/>
        <v>0</v>
      </c>
      <c r="BB24" s="121">
        <f t="shared" si="13"/>
        <v>0</v>
      </c>
      <c r="BC24" s="121">
        <f t="shared" si="13"/>
        <v>0</v>
      </c>
      <c r="BD24" s="121">
        <f t="shared" si="13"/>
        <v>0</v>
      </c>
      <c r="BE24" s="121">
        <f t="shared" si="13"/>
        <v>0</v>
      </c>
      <c r="BF24" s="121">
        <f t="shared" si="13"/>
        <v>0</v>
      </c>
      <c r="BG24" s="121">
        <f t="shared" si="13"/>
        <v>0</v>
      </c>
      <c r="BH24" s="121">
        <f t="shared" si="13"/>
        <v>0</v>
      </c>
      <c r="BI24" s="121">
        <f t="shared" si="13"/>
        <v>0</v>
      </c>
      <c r="BJ24" s="121">
        <f t="shared" si="13"/>
        <v>0</v>
      </c>
      <c r="BK24" s="121">
        <f t="shared" si="13"/>
        <v>0</v>
      </c>
      <c r="BL24" s="121">
        <f t="shared" si="13"/>
        <v>0</v>
      </c>
      <c r="BM24" s="121">
        <f t="shared" si="13"/>
        <v>0</v>
      </c>
      <c r="BN24" s="121">
        <f t="shared" si="13"/>
        <v>0</v>
      </c>
      <c r="BO24" s="121">
        <f t="shared" ref="BO24:CT24" si="14">MAX(0,BO22-BO23)</f>
        <v>0</v>
      </c>
      <c r="BP24" s="121">
        <f t="shared" si="14"/>
        <v>0</v>
      </c>
      <c r="BQ24" s="121">
        <f t="shared" si="14"/>
        <v>0</v>
      </c>
      <c r="BR24" s="121">
        <f t="shared" si="14"/>
        <v>0</v>
      </c>
      <c r="BS24" s="121">
        <f t="shared" si="14"/>
        <v>0</v>
      </c>
      <c r="BT24" s="121">
        <f t="shared" si="14"/>
        <v>0</v>
      </c>
      <c r="BU24" s="121">
        <f t="shared" si="14"/>
        <v>0</v>
      </c>
      <c r="BV24" s="121">
        <f t="shared" si="14"/>
        <v>0</v>
      </c>
      <c r="BW24" s="121">
        <f t="shared" si="14"/>
        <v>0</v>
      </c>
      <c r="BX24" s="121">
        <f t="shared" si="14"/>
        <v>0</v>
      </c>
      <c r="BY24" s="121">
        <f t="shared" si="14"/>
        <v>0</v>
      </c>
      <c r="BZ24" s="121">
        <f t="shared" si="14"/>
        <v>0</v>
      </c>
      <c r="CA24" s="121">
        <f t="shared" si="14"/>
        <v>0</v>
      </c>
      <c r="CB24" s="121">
        <f t="shared" si="14"/>
        <v>0</v>
      </c>
      <c r="CC24" s="121">
        <f t="shared" si="14"/>
        <v>0</v>
      </c>
      <c r="CD24" s="121">
        <f t="shared" si="14"/>
        <v>0</v>
      </c>
      <c r="CE24" s="121">
        <f t="shared" si="14"/>
        <v>0</v>
      </c>
      <c r="CF24" s="121">
        <f t="shared" si="14"/>
        <v>0</v>
      </c>
      <c r="CG24" s="121">
        <f t="shared" si="14"/>
        <v>0</v>
      </c>
      <c r="CH24" s="121">
        <f t="shared" si="14"/>
        <v>0</v>
      </c>
    </row>
    <row r="25" spans="1:86" ht="15" customHeight="1" x14ac:dyDescent="0.25">
      <c r="A25" t="s">
        <v>575</v>
      </c>
      <c r="B25" t="s">
        <v>576</v>
      </c>
      <c r="C25" s="124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577</v>
      </c>
      <c r="C26" s="124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578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579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5" t="s">
        <v>580</v>
      </c>
    </row>
    <row r="32" spans="1:86" ht="15" customHeight="1" x14ac:dyDescent="0.25">
      <c r="A32" s="126" t="s">
        <v>111</v>
      </c>
      <c r="B32" s="63">
        <f>LOOKUP(2,1/(Model!C60:CH60&gt;0),Model!C60:CH60)</f>
        <v>76499</v>
      </c>
    </row>
    <row r="33" spans="1:2" ht="15" customHeight="1" x14ac:dyDescent="0.25">
      <c r="A33" s="126" t="s">
        <v>119</v>
      </c>
      <c r="B33" s="63">
        <f>LOOKUP(2,1/(Model!C62:CH62&gt;0),Model!C62:CH62)</f>
        <v>73155</v>
      </c>
    </row>
    <row r="34" spans="1:2" ht="15" customHeight="1" x14ac:dyDescent="0.25">
      <c r="A34" s="126" t="s">
        <v>116</v>
      </c>
      <c r="B34" s="63">
        <f>LOOKUP(2,1/(Model!C61:CH61&gt;0),Model!C61:CH61)</f>
        <v>81362</v>
      </c>
    </row>
    <row r="36" spans="1:2" ht="15" customHeight="1" x14ac:dyDescent="0.25">
      <c r="A36" s="125" t="s">
        <v>581</v>
      </c>
    </row>
    <row r="37" spans="1:2" ht="15" customHeight="1" x14ac:dyDescent="0.25">
      <c r="A37" s="126" t="s">
        <v>111</v>
      </c>
      <c r="B37" s="107">
        <f>SUMPRODUCT((Model!C60:CH60&gt;0)*1)</f>
        <v>15</v>
      </c>
    </row>
    <row r="38" spans="1:2" ht="15" customHeight="1" x14ac:dyDescent="0.25">
      <c r="A38" s="126" t="s">
        <v>119</v>
      </c>
      <c r="B38" s="107">
        <f>SUMPRODUCT((Model!C62:CH62&gt;0)*1)</f>
        <v>4</v>
      </c>
    </row>
    <row r="39" spans="1:2" ht="15" customHeight="1" x14ac:dyDescent="0.25">
      <c r="A39" s="126" t="s">
        <v>116</v>
      </c>
      <c r="B39" s="107">
        <f>SUMPRODUCT((Model!C61:CH61&gt;0)*1)</f>
        <v>12</v>
      </c>
    </row>
    <row r="41" spans="1:2" ht="15" customHeight="1" x14ac:dyDescent="0.25">
      <c r="A41" s="125" t="s">
        <v>582</v>
      </c>
    </row>
    <row r="42" spans="1:2" ht="15" customHeight="1" x14ac:dyDescent="0.25">
      <c r="A42" s="126" t="s">
        <v>111</v>
      </c>
      <c r="B42" s="107">
        <f>40-B37</f>
        <v>25</v>
      </c>
    </row>
    <row r="43" spans="1:2" ht="15" customHeight="1" x14ac:dyDescent="0.25">
      <c r="A43" s="126" t="s">
        <v>119</v>
      </c>
      <c r="B43" s="107">
        <f>40-B38</f>
        <v>36</v>
      </c>
    </row>
    <row r="44" spans="1:2" ht="15" customHeight="1" x14ac:dyDescent="0.25">
      <c r="A44" s="126" t="s">
        <v>116</v>
      </c>
      <c r="B44" s="107">
        <f>40-B39</f>
        <v>28</v>
      </c>
    </row>
    <row r="46" spans="1:2" ht="15" customHeight="1" x14ac:dyDescent="0.25">
      <c r="A46" s="125" t="s">
        <v>583</v>
      </c>
    </row>
    <row r="47" spans="1:2" ht="15" customHeight="1" x14ac:dyDescent="0.25">
      <c r="A47" s="126" t="s">
        <v>111</v>
      </c>
      <c r="B47" s="63">
        <f>B32*B42</f>
        <v>1912475</v>
      </c>
    </row>
    <row r="48" spans="1:2" ht="15" customHeight="1" x14ac:dyDescent="0.25">
      <c r="A48" s="126" t="s">
        <v>119</v>
      </c>
      <c r="B48" s="63">
        <f>B33*B43</f>
        <v>2633580</v>
      </c>
    </row>
    <row r="49" spans="1:7" ht="15" customHeight="1" x14ac:dyDescent="0.25">
      <c r="A49" s="126" t="s">
        <v>116</v>
      </c>
      <c r="B49" s="63">
        <f>B34*B44</f>
        <v>2278136</v>
      </c>
    </row>
    <row r="51" spans="1:7" ht="15" customHeight="1" x14ac:dyDescent="0.25">
      <c r="A51" s="109" t="s">
        <v>584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5" t="s">
        <v>585</v>
      </c>
      <c r="B52" s="125" t="s">
        <v>586</v>
      </c>
      <c r="C52" s="125" t="s">
        <v>587</v>
      </c>
      <c r="D52" s="125" t="s">
        <v>588</v>
      </c>
      <c r="E52" s="125" t="s">
        <v>589</v>
      </c>
      <c r="F52" s="125" t="s">
        <v>590</v>
      </c>
      <c r="G52" s="125" t="s">
        <v>591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5" t="s">
        <v>592</v>
      </c>
      <c r="D93" s="127">
        <f>SUM(D53:D92)</f>
        <v>270925.32000000007</v>
      </c>
      <c r="F93" s="127">
        <f>SUM(F53:F92)</f>
        <v>240125.88120644525</v>
      </c>
      <c r="G93" s="127">
        <f>SUM(G53:G92)</f>
        <v>810147.42821161717</v>
      </c>
    </row>
    <row r="96" spans="1:7" ht="15" customHeight="1" x14ac:dyDescent="0.25">
      <c r="A96" s="128" t="s">
        <v>593</v>
      </c>
    </row>
    <row r="97" spans="1:86" ht="15" customHeight="1" x14ac:dyDescent="0.25">
      <c r="A97" t="s">
        <v>594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0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0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0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0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0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0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0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0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0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0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0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0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0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0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0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477306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589698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710676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835416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1355679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1562811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1761096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1940052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2487201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2691585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2857461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2976612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3520422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3643374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3718635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3743952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4116390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4134789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4112652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3672792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4053486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4075830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4053486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3672792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4112652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4134789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4116390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3743952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4116390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4134789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4112652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3672792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4053486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4075830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4053486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3672792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4112652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4134789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4514145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4235367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4708620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4830969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4910922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4565622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5027541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5112390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5129466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4762242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4711326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4581651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4379769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3801366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3558981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3268158</v>
      </c>
    </row>
    <row r="98" spans="1:86" ht="15" customHeight="1" x14ac:dyDescent="0.25">
      <c r="A98" t="s">
        <v>595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0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0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0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0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0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0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0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0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0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0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0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0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0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0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0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43831.168831168819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43831.168831168819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43831.168831168819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43831.168831168819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80357.142857142841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80357.142857142841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80357.142857142841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80357.142857142841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116883.11688311686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116883.11688311686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116883.11688311686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116883.11688311686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160714.28571428568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160714.28571428568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160714.28571428568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160714.28571428568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197240.2597402597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197240.2597402597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241071.42857142852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153409.09090909088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189935.0649350649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189935.0649350649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226461.03896103892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153409.09090909088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197240.2597402597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197240.2597402597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233766.23376623372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160714.28571428568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197240.2597402597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197240.2597402597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241071.42857142852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153409.09090909088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189935.0649350649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189935.0649350649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226461.03896103892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153409.09090909088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197240.2597402597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197240.2597402597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270292.20779220772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197240.2597402597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233766.23376623372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233766.23376623372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277597.40259740257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189935.0649350649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226461.03896103892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226461.03896103892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262987.01298701297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189935.0649350649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189935.0649350649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189935.0649350649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226461.03896103892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153409.09090909088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153409.09090909088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153409.09090909088</v>
      </c>
    </row>
    <row r="99" spans="1:86" ht="15" customHeight="1" x14ac:dyDescent="0.25">
      <c r="A99" t="s">
        <v>596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0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0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0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0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0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0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0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0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0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0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0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0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0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0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0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22083.150974025968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27283.105519480516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32880.301948051943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38651.551948051943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62722.161525974021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72305.379058441555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81479.279220779208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89758.899350649328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115073.42288961037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124529.5008116883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132203.95860389608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137716.62662337659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162876.6672077922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168565.19318181815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172047.23620129866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173218.55844155845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190449.86201298697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191301.11444805193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234108.08766233764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169926.25324675321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187539.53084415582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188573.30357142855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224065.50487012984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169926.25324675321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190276.91883116882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191301.11444805193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226975.83603896102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173218.55844155845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190449.86201298697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191301.11444805193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234108.08766233764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169926.25324675321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187539.53084415582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188573.30357142855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224065.50487012984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169926.25324675321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190276.91883116882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191301.11444805193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245378.46185064933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195954.4797077922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217850.11363636359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223510.74107142855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271041.03409090906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211234.1347402597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232605.38717532463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236531.03084415579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273847.04707792203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220331.00162337659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217975.31006493504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211975.73620129869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239161.39042207788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175874.88798701297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164660.6469155844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151205.362012987</v>
      </c>
    </row>
    <row r="100" spans="1:86" ht="15" customHeight="1" x14ac:dyDescent="0.25">
      <c r="A100" t="s">
        <v>597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0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0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0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0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0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0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0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0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0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0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0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0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0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0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0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14610.38961038961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14610.38961038961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14610.38961038961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14610.38961038961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26785.714285714286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26785.714285714286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26785.714285714286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26785.714285714286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38961.038961038961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38961.038961038961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38961.038961038961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38961.038961038961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53571.428571428572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53571.428571428572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53571.428571428572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53571.428571428572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65746.753246753244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65746.753246753244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80357.14285714287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51136.36363636364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63311.688311688318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63311.688311688318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75487.012987012989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51136.36363636364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65746.753246753244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65746.753246753244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77922.077922077922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53571.428571428572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65746.753246753244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65746.753246753244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80357.14285714287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51136.36363636364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63311.688311688318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63311.688311688318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75487.012987012989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51136.36363636364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65746.753246753244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65746.753246753244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90097.402597402601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65746.753246753244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77922.077922077922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77922.077922077922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92532.467532467548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63311.688311688318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75487.012987012989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75487.012987012989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87662.337662337668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63311.688311688318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63311.688311688318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63311.688311688318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75487.012987012989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51136.36363636364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51136.36363636364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51136.36363636364</v>
      </c>
    </row>
    <row r="102" spans="1:86" ht="15" customHeight="1" x14ac:dyDescent="0.25">
      <c r="A102" s="128" t="s">
        <v>598</v>
      </c>
    </row>
    <row r="103" spans="1:86" ht="15" customHeight="1" x14ac:dyDescent="0.25">
      <c r="A103" s="129" t="s">
        <v>599</v>
      </c>
      <c r="C103" s="130">
        <v>0</v>
      </c>
      <c r="D103" s="130">
        <v>0</v>
      </c>
      <c r="E103" s="130">
        <v>0</v>
      </c>
      <c r="F103" s="130">
        <v>0</v>
      </c>
      <c r="G103" s="130">
        <v>0</v>
      </c>
      <c r="H103" s="130">
        <v>0</v>
      </c>
      <c r="I103" s="130">
        <v>0</v>
      </c>
      <c r="J103" s="130">
        <v>0</v>
      </c>
      <c r="K103" s="130">
        <v>0</v>
      </c>
      <c r="L103" s="130">
        <v>0</v>
      </c>
      <c r="M103" s="130">
        <v>0</v>
      </c>
      <c r="N103" s="130">
        <v>-30000</v>
      </c>
      <c r="O103" s="130">
        <v>0</v>
      </c>
      <c r="P103" s="130">
        <v>0</v>
      </c>
      <c r="Q103" s="130">
        <v>-30000</v>
      </c>
      <c r="R103" s="130">
        <v>0</v>
      </c>
      <c r="S103" s="130">
        <v>0</v>
      </c>
      <c r="T103" s="130">
        <v>-30000</v>
      </c>
      <c r="U103" s="130">
        <v>0</v>
      </c>
      <c r="V103" s="130">
        <v>0</v>
      </c>
      <c r="W103" s="130">
        <v>0</v>
      </c>
      <c r="X103" s="130">
        <v>-30000</v>
      </c>
      <c r="Y103" s="130">
        <v>0</v>
      </c>
      <c r="Z103" s="130">
        <v>0</v>
      </c>
      <c r="AA103" s="130">
        <v>-30000</v>
      </c>
      <c r="AB103" s="130">
        <v>0</v>
      </c>
      <c r="AC103" s="130">
        <v>0</v>
      </c>
      <c r="AD103" s="130">
        <v>-36000</v>
      </c>
      <c r="AE103" s="130">
        <v>0</v>
      </c>
      <c r="AF103" s="130">
        <v>0</v>
      </c>
      <c r="AG103" s="130">
        <v>-36000</v>
      </c>
      <c r="AH103" s="130">
        <v>0</v>
      </c>
      <c r="AI103" s="130">
        <v>-36000</v>
      </c>
      <c r="AJ103" s="130">
        <v>0</v>
      </c>
      <c r="AK103" s="130">
        <v>-30000</v>
      </c>
      <c r="AL103" s="130">
        <v>0</v>
      </c>
      <c r="AM103" s="130">
        <v>-12000</v>
      </c>
      <c r="AN103" s="130">
        <v>0</v>
      </c>
      <c r="AO103" s="130">
        <v>0</v>
      </c>
      <c r="AP103" s="130">
        <v>0</v>
      </c>
      <c r="AQ103" s="130">
        <v>-30000</v>
      </c>
      <c r="AR103" s="130">
        <v>0</v>
      </c>
      <c r="AS103" s="130">
        <v>-36000</v>
      </c>
      <c r="AT103" s="130">
        <v>0</v>
      </c>
      <c r="AU103" s="130">
        <v>-30000</v>
      </c>
      <c r="AV103" s="130">
        <v>0</v>
      </c>
      <c r="AW103" s="130">
        <v>-30000</v>
      </c>
      <c r="AX103" s="130">
        <v>0</v>
      </c>
      <c r="AY103" s="130">
        <v>-24000</v>
      </c>
      <c r="AZ103" s="130">
        <v>0</v>
      </c>
      <c r="BA103" s="130">
        <v>0</v>
      </c>
      <c r="BB103" s="130">
        <v>0</v>
      </c>
      <c r="BC103" s="130">
        <v>-36000</v>
      </c>
      <c r="BD103" s="130">
        <v>0</v>
      </c>
      <c r="BE103" s="130">
        <v>-30000</v>
      </c>
      <c r="BF103" s="130">
        <v>0</v>
      </c>
      <c r="BG103" s="130">
        <v>-30000</v>
      </c>
      <c r="BH103" s="130">
        <v>0</v>
      </c>
      <c r="BI103" s="130">
        <v>-36000</v>
      </c>
      <c r="BJ103" s="130">
        <v>0</v>
      </c>
      <c r="BK103" s="130">
        <v>-18000</v>
      </c>
      <c r="BL103" s="130">
        <v>0</v>
      </c>
      <c r="BM103" s="130">
        <v>0</v>
      </c>
      <c r="BN103" s="130">
        <v>0</v>
      </c>
      <c r="BO103" s="130">
        <v>-36000</v>
      </c>
      <c r="BP103" s="130">
        <v>0</v>
      </c>
      <c r="BQ103" s="130">
        <v>-30000</v>
      </c>
      <c r="BR103" s="130">
        <v>0</v>
      </c>
      <c r="BS103" s="130">
        <v>-30000</v>
      </c>
      <c r="BT103" s="130">
        <v>0</v>
      </c>
      <c r="BU103" s="130">
        <v>-36000</v>
      </c>
      <c r="BV103" s="130">
        <v>0</v>
      </c>
      <c r="BW103" s="130">
        <v>-18000</v>
      </c>
      <c r="BX103" s="130">
        <v>0</v>
      </c>
      <c r="BY103" s="130">
        <v>0</v>
      </c>
      <c r="BZ103" s="130">
        <v>0</v>
      </c>
      <c r="CA103" s="130">
        <v>0</v>
      </c>
      <c r="CB103" s="130">
        <v>0</v>
      </c>
      <c r="CC103" s="130">
        <v>0</v>
      </c>
      <c r="CD103" s="130">
        <v>0</v>
      </c>
      <c r="CE103" s="130">
        <v>0</v>
      </c>
      <c r="CF103" s="130">
        <v>0</v>
      </c>
      <c r="CG103" s="130">
        <v>0</v>
      </c>
      <c r="CH103" s="130">
        <v>0</v>
      </c>
    </row>
    <row r="104" spans="1:86" ht="15" customHeight="1" x14ac:dyDescent="0.25">
      <c r="A104" s="131" t="s">
        <v>600</v>
      </c>
    </row>
    <row r="106" spans="1:86" ht="15" customHeight="1" x14ac:dyDescent="0.25">
      <c r="A106" s="128" t="s">
        <v>601</v>
      </c>
    </row>
    <row r="107" spans="1:86" ht="15" customHeight="1" x14ac:dyDescent="0.25">
      <c r="A107" t="s">
        <v>602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0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0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0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0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0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0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0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0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0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0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0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0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0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0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0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0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0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0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0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0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0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0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0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0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0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0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0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0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0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0</v>
      </c>
    </row>
    <row r="108" spans="1:86" ht="15" customHeight="1" x14ac:dyDescent="0.25">
      <c r="A108" t="s">
        <v>603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0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0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0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0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0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0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0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0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0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0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0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0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0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0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0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0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0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0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0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0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0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0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0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0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0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0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0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0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0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0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0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0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0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0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0</v>
      </c>
    </row>
    <row r="109" spans="1:86" ht="15" customHeight="1" x14ac:dyDescent="0.25">
      <c r="A109" t="s">
        <v>604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0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0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0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0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0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0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0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0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0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0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0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0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0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0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0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0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0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0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0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0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0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0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0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0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0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0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0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0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0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0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0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0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0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0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0</v>
      </c>
    </row>
    <row r="110" spans="1:86" ht="15" customHeight="1" x14ac:dyDescent="0.25">
      <c r="A110" t="s">
        <v>605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0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0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0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0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0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0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0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0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0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0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0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0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0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0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0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0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0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0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0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0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0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0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0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0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0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0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0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0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0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0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0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0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0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0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2" t="s">
        <v>606</v>
      </c>
    </row>
    <row r="2" spans="1:11" ht="15" customHeight="1" x14ac:dyDescent="0.25">
      <c r="A2" s="107" t="s">
        <v>6</v>
      </c>
      <c r="B2" s="4" t="s">
        <v>339</v>
      </c>
    </row>
    <row r="4" spans="1:11" ht="15" customHeight="1" x14ac:dyDescent="0.25">
      <c r="A4" s="133" t="s">
        <v>607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15" customHeight="1" x14ac:dyDescent="0.25">
      <c r="A5" s="107" t="s">
        <v>608</v>
      </c>
      <c r="B5" s="107" t="s">
        <v>606</v>
      </c>
    </row>
    <row r="6" spans="1:11" ht="15" customHeight="1" x14ac:dyDescent="0.25">
      <c r="A6" s="107" t="s">
        <v>609</v>
      </c>
      <c r="B6" s="107" t="s">
        <v>610</v>
      </c>
    </row>
    <row r="7" spans="1:11" ht="15" customHeight="1" x14ac:dyDescent="0.25">
      <c r="A7" s="107" t="s">
        <v>611</v>
      </c>
      <c r="B7" s="134">
        <v>60</v>
      </c>
    </row>
    <row r="8" spans="1:11" ht="15" customHeight="1" x14ac:dyDescent="0.25">
      <c r="A8" s="107" t="s">
        <v>612</v>
      </c>
      <c r="B8" s="107" t="s">
        <v>613</v>
      </c>
    </row>
    <row r="9" spans="1:11" ht="15" customHeight="1" x14ac:dyDescent="0.25">
      <c r="A9" s="107" t="s">
        <v>614</v>
      </c>
      <c r="B9" s="63">
        <v>1400000</v>
      </c>
    </row>
    <row r="10" spans="1:11" ht="15" customHeight="1" x14ac:dyDescent="0.25">
      <c r="A10" s="107" t="s">
        <v>615</v>
      </c>
      <c r="B10" s="63">
        <v>1609391</v>
      </c>
    </row>
    <row r="11" spans="1:11" ht="15" customHeight="1" x14ac:dyDescent="0.25">
      <c r="A11" s="107" t="s">
        <v>616</v>
      </c>
      <c r="B11" s="63">
        <v>3419763</v>
      </c>
    </row>
    <row r="12" spans="1:11" ht="15" customHeight="1" x14ac:dyDescent="0.25">
      <c r="A12" s="107" t="s">
        <v>527</v>
      </c>
      <c r="B12" s="5">
        <f>B16</f>
        <v>9009665</v>
      </c>
    </row>
    <row r="14" spans="1:11" ht="15" customHeight="1" x14ac:dyDescent="0.25">
      <c r="A14" s="135" t="s">
        <v>617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</row>
    <row r="15" spans="1:11" ht="15" customHeight="1" x14ac:dyDescent="0.25">
      <c r="B15" s="136" t="s">
        <v>377</v>
      </c>
      <c r="C15" s="136" t="s">
        <v>63</v>
      </c>
      <c r="D15" s="136" t="s">
        <v>64</v>
      </c>
      <c r="E15" s="136" t="s">
        <v>65</v>
      </c>
      <c r="F15" s="136" t="s">
        <v>66</v>
      </c>
      <c r="G15" s="136" t="s">
        <v>67</v>
      </c>
      <c r="H15" s="136" t="s">
        <v>68</v>
      </c>
      <c r="I15" s="136" t="s">
        <v>69</v>
      </c>
      <c r="J15" s="136" t="s">
        <v>70</v>
      </c>
    </row>
    <row r="16" spans="1:11" ht="15" customHeight="1" x14ac:dyDescent="0.25">
      <c r="A16" s="107" t="s">
        <v>527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618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619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7" t="s">
        <v>620</v>
      </c>
      <c r="B19" s="138">
        <f t="shared" si="0"/>
        <v>7053626</v>
      </c>
      <c r="C19" s="138">
        <f t="shared" si="1"/>
        <v>0</v>
      </c>
      <c r="D19" s="138">
        <f t="shared" si="2"/>
        <v>768293.65999999992</v>
      </c>
      <c r="E19" s="138">
        <f t="shared" si="3"/>
        <v>3186090.3899999997</v>
      </c>
      <c r="F19" s="138">
        <f t="shared" si="4"/>
        <v>1863287.0100000002</v>
      </c>
      <c r="G19" s="138">
        <f t="shared" si="5"/>
        <v>805320.42000000016</v>
      </c>
      <c r="H19" s="138">
        <f t="shared" si="6"/>
        <v>430634.52</v>
      </c>
      <c r="I19" s="138">
        <f t="shared" si="7"/>
        <v>0</v>
      </c>
      <c r="J19" s="138">
        <f t="shared" si="8"/>
        <v>0</v>
      </c>
    </row>
    <row r="20" spans="1:11" ht="15" customHeight="1" x14ac:dyDescent="0.25">
      <c r="A20" s="107" t="s">
        <v>621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7" t="s">
        <v>622</v>
      </c>
      <c r="B21" s="138">
        <f t="shared" si="0"/>
        <v>6490433.3829999994</v>
      </c>
      <c r="C21" s="138">
        <f t="shared" si="1"/>
        <v>0</v>
      </c>
      <c r="D21" s="138">
        <f t="shared" si="2"/>
        <v>674711.83999999985</v>
      </c>
      <c r="E21" s="138">
        <f t="shared" si="3"/>
        <v>3036090.3899999997</v>
      </c>
      <c r="F21" s="138">
        <f t="shared" si="4"/>
        <v>1714836.7080000001</v>
      </c>
      <c r="G21" s="138">
        <f t="shared" si="5"/>
        <v>668387.17799999996</v>
      </c>
      <c r="H21" s="138">
        <f t="shared" si="6"/>
        <v>396407.26699999999</v>
      </c>
      <c r="I21" s="138">
        <f t="shared" si="7"/>
        <v>0</v>
      </c>
      <c r="J21" s="138">
        <f t="shared" si="8"/>
        <v>0</v>
      </c>
    </row>
    <row r="22" spans="1:11" ht="15" customHeight="1" x14ac:dyDescent="0.25">
      <c r="A22" s="107" t="s">
        <v>623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624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9" t="s">
        <v>625</v>
      </c>
      <c r="B24" s="140">
        <f t="shared" si="0"/>
        <v>4101960.074</v>
      </c>
      <c r="C24" s="140">
        <f t="shared" si="1"/>
        <v>0</v>
      </c>
      <c r="D24" s="140">
        <f t="shared" si="2"/>
        <v>498408.924</v>
      </c>
      <c r="E24" s="140">
        <f t="shared" si="3"/>
        <v>1850317.6580000001</v>
      </c>
      <c r="F24" s="140">
        <f t="shared" si="4"/>
        <v>1049675.7745000001</v>
      </c>
      <c r="G24" s="140">
        <f t="shared" si="5"/>
        <v>471126.83100000001</v>
      </c>
      <c r="H24" s="140">
        <f t="shared" si="6"/>
        <v>232430.88650000002</v>
      </c>
      <c r="I24" s="140">
        <f t="shared" si="7"/>
        <v>0</v>
      </c>
      <c r="J24" s="140">
        <f t="shared" si="8"/>
        <v>0</v>
      </c>
    </row>
    <row r="26" spans="1:11" ht="15" customHeight="1" x14ac:dyDescent="0.25">
      <c r="A26" s="141" t="s">
        <v>626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</row>
    <row r="27" spans="1:11" ht="15" customHeight="1" x14ac:dyDescent="0.25">
      <c r="A27" s="142" t="s">
        <v>627</v>
      </c>
      <c r="B27" s="142" t="s">
        <v>628</v>
      </c>
      <c r="C27" s="142" t="s">
        <v>629</v>
      </c>
      <c r="D27" s="142" t="s">
        <v>614</v>
      </c>
      <c r="E27" s="142" t="s">
        <v>630</v>
      </c>
    </row>
    <row r="28" spans="1:11" ht="15" customHeight="1" x14ac:dyDescent="0.25">
      <c r="A28" s="107" t="s">
        <v>631</v>
      </c>
      <c r="B28" s="134">
        <v>6</v>
      </c>
      <c r="C28" s="107" t="s">
        <v>632</v>
      </c>
      <c r="D28" s="63">
        <v>1400000</v>
      </c>
      <c r="E28" s="143" t="s">
        <v>633</v>
      </c>
    </row>
    <row r="29" spans="1:11" ht="15" customHeight="1" x14ac:dyDescent="0.25">
      <c r="A29" s="107" t="s">
        <v>634</v>
      </c>
      <c r="B29" s="134">
        <v>18</v>
      </c>
      <c r="C29" s="107" t="s">
        <v>635</v>
      </c>
      <c r="D29" s="63">
        <v>1400000</v>
      </c>
      <c r="E29" s="143" t="s">
        <v>636</v>
      </c>
    </row>
    <row r="30" spans="1:11" ht="15" customHeight="1" x14ac:dyDescent="0.25">
      <c r="A30" s="107" t="s">
        <v>637</v>
      </c>
      <c r="B30" s="134">
        <v>18</v>
      </c>
      <c r="C30" s="107" t="s">
        <v>638</v>
      </c>
      <c r="D30" s="63">
        <v>1400000</v>
      </c>
      <c r="E30" s="143" t="s">
        <v>639</v>
      </c>
    </row>
    <row r="31" spans="1:11" ht="15" customHeight="1" x14ac:dyDescent="0.25">
      <c r="A31" s="107" t="s">
        <v>640</v>
      </c>
      <c r="B31" s="134">
        <v>18</v>
      </c>
      <c r="C31" s="107" t="s">
        <v>641</v>
      </c>
      <c r="D31" s="63">
        <v>1400000</v>
      </c>
      <c r="E31" s="143" t="s">
        <v>642</v>
      </c>
    </row>
    <row r="32" spans="1:11" ht="15" customHeight="1" x14ac:dyDescent="0.25">
      <c r="A32" s="142" t="s">
        <v>377</v>
      </c>
      <c r="B32" s="144">
        <v>60</v>
      </c>
      <c r="C32" s="142" t="s">
        <v>643</v>
      </c>
      <c r="D32" s="145">
        <v>1400000</v>
      </c>
    </row>
    <row r="34" spans="1:11" ht="15" customHeight="1" x14ac:dyDescent="0.25">
      <c r="A34" s="146" t="s">
        <v>644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</row>
    <row r="35" spans="1:11" ht="15" customHeight="1" x14ac:dyDescent="0.25">
      <c r="A35" s="147" t="s">
        <v>645</v>
      </c>
      <c r="B35" s="147" t="s">
        <v>646</v>
      </c>
      <c r="C35" s="147" t="s">
        <v>647</v>
      </c>
      <c r="D35" s="147" t="s">
        <v>648</v>
      </c>
      <c r="E35" s="147" t="s">
        <v>649</v>
      </c>
      <c r="F35" s="147" t="s">
        <v>298</v>
      </c>
    </row>
    <row r="36" spans="1:11" ht="15" customHeight="1" x14ac:dyDescent="0.25">
      <c r="A36" s="107" t="s">
        <v>650</v>
      </c>
      <c r="B36" s="107" t="s">
        <v>651</v>
      </c>
      <c r="C36" s="107" t="s">
        <v>652</v>
      </c>
      <c r="D36" s="63">
        <v>14000</v>
      </c>
      <c r="E36" s="63">
        <v>840000</v>
      </c>
      <c r="F36" s="148" t="s">
        <v>653</v>
      </c>
    </row>
    <row r="37" spans="1:11" ht="15" customHeight="1" x14ac:dyDescent="0.25">
      <c r="A37" s="107" t="s">
        <v>654</v>
      </c>
      <c r="B37" s="107" t="s">
        <v>655</v>
      </c>
      <c r="C37" s="107" t="s">
        <v>656</v>
      </c>
      <c r="D37" s="63">
        <v>96563</v>
      </c>
      <c r="E37" s="63">
        <v>5793808</v>
      </c>
      <c r="F37" s="148" t="s">
        <v>657</v>
      </c>
    </row>
    <row r="38" spans="1:11" ht="15" customHeight="1" x14ac:dyDescent="0.25">
      <c r="A38" s="107" t="s">
        <v>658</v>
      </c>
      <c r="B38" s="107" t="s">
        <v>659</v>
      </c>
      <c r="C38" s="107" t="s">
        <v>660</v>
      </c>
      <c r="D38" s="63">
        <v>5400</v>
      </c>
      <c r="E38" s="63">
        <v>324000</v>
      </c>
      <c r="F38" s="148" t="s">
        <v>661</v>
      </c>
    </row>
    <row r="39" spans="1:11" ht="15" customHeight="1" x14ac:dyDescent="0.25">
      <c r="A39" s="107" t="s">
        <v>662</v>
      </c>
      <c r="B39" s="107" t="s">
        <v>651</v>
      </c>
      <c r="C39" s="107" t="s">
        <v>663</v>
      </c>
      <c r="D39" s="63">
        <v>34198</v>
      </c>
      <c r="E39" s="63">
        <v>2051858</v>
      </c>
      <c r="F39" s="148" t="s">
        <v>664</v>
      </c>
    </row>
    <row r="40" spans="1:11" ht="15" customHeight="1" x14ac:dyDescent="0.25">
      <c r="A40" s="147" t="s">
        <v>527</v>
      </c>
      <c r="D40" s="149">
        <v>150161</v>
      </c>
      <c r="E40" s="149">
        <v>9009665</v>
      </c>
    </row>
    <row r="42" spans="1:11" ht="15" customHeight="1" x14ac:dyDescent="0.25">
      <c r="A42" s="150" t="s">
        <v>665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</row>
    <row r="43" spans="1:11" ht="15" customHeight="1" x14ac:dyDescent="0.25">
      <c r="A43" s="151" t="s">
        <v>1</v>
      </c>
      <c r="B43" s="151" t="s">
        <v>666</v>
      </c>
      <c r="C43" s="151" t="s">
        <v>667</v>
      </c>
      <c r="D43" s="151" t="s">
        <v>668</v>
      </c>
      <c r="E43" s="151" t="s">
        <v>669</v>
      </c>
      <c r="F43" s="151" t="s">
        <v>670</v>
      </c>
      <c r="G43" s="151" t="s">
        <v>671</v>
      </c>
    </row>
    <row r="44" spans="1:11" ht="15" customHeight="1" x14ac:dyDescent="0.25">
      <c r="A44" s="107" t="s">
        <v>672</v>
      </c>
      <c r="B44" s="63">
        <v>125000</v>
      </c>
      <c r="C44" s="63">
        <v>10417</v>
      </c>
      <c r="D44" s="107" t="s">
        <v>433</v>
      </c>
      <c r="E44" s="107" t="s">
        <v>673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674</v>
      </c>
      <c r="B45" s="63">
        <v>90000</v>
      </c>
      <c r="C45" s="63">
        <v>7500</v>
      </c>
      <c r="D45" s="107" t="s">
        <v>436</v>
      </c>
      <c r="E45" s="107" t="s">
        <v>673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675</v>
      </c>
      <c r="B46" s="63">
        <v>110000</v>
      </c>
      <c r="C46" s="63">
        <v>9167</v>
      </c>
      <c r="D46" s="107" t="s">
        <v>441</v>
      </c>
      <c r="E46" s="107" t="s">
        <v>673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676</v>
      </c>
      <c r="B47" s="63">
        <v>125000</v>
      </c>
      <c r="C47" s="63">
        <v>10417</v>
      </c>
      <c r="D47" s="107" t="s">
        <v>449</v>
      </c>
      <c r="E47" s="107" t="s">
        <v>673</v>
      </c>
      <c r="F47" s="107">
        <v>31</v>
      </c>
      <c r="G47" s="63">
        <f>C47*F47</f>
        <v>322927</v>
      </c>
    </row>
    <row r="48" spans="1:11" ht="15" customHeight="1" x14ac:dyDescent="0.25">
      <c r="A48" s="151" t="s">
        <v>677</v>
      </c>
      <c r="G48" s="152">
        <f>SUM(G44:G47)</f>
        <v>1500039</v>
      </c>
    </row>
    <row r="50" spans="1:11" ht="15" customHeight="1" x14ac:dyDescent="0.25">
      <c r="A50" s="153" t="s">
        <v>678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ht="15" customHeight="1" x14ac:dyDescent="0.25">
      <c r="A51" s="154" t="s">
        <v>679</v>
      </c>
      <c r="B51" s="154" t="s">
        <v>680</v>
      </c>
      <c r="C51" s="154" t="s">
        <v>667</v>
      </c>
      <c r="D51" s="154" t="s">
        <v>681</v>
      </c>
      <c r="E51" s="154" t="s">
        <v>377</v>
      </c>
    </row>
    <row r="52" spans="1:11" ht="15" customHeight="1" x14ac:dyDescent="0.25">
      <c r="A52" s="107" t="s">
        <v>682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177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683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684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4" t="s">
        <v>685</v>
      </c>
      <c r="E56" s="155">
        <v>456000</v>
      </c>
    </row>
    <row r="57" spans="1:11" ht="15" customHeight="1" x14ac:dyDescent="0.25">
      <c r="A57" s="156" t="s">
        <v>686</v>
      </c>
    </row>
    <row r="59" spans="1:11" ht="15" customHeight="1" x14ac:dyDescent="0.25">
      <c r="A59" s="157" t="s">
        <v>687</v>
      </c>
      <c r="B59" s="157"/>
      <c r="C59" s="157"/>
      <c r="D59" s="157"/>
      <c r="E59" s="157"/>
      <c r="F59" s="157"/>
      <c r="G59" s="157"/>
      <c r="H59" s="157"/>
      <c r="I59" s="157"/>
      <c r="J59" s="157"/>
      <c r="K59" s="157"/>
    </row>
    <row r="60" spans="1:11" ht="15" customHeight="1" x14ac:dyDescent="0.25">
      <c r="A60" s="107" t="s">
        <v>688</v>
      </c>
      <c r="B60" s="63">
        <f>B16</f>
        <v>9009665</v>
      </c>
    </row>
    <row r="61" spans="1:11" ht="15" customHeight="1" x14ac:dyDescent="0.25">
      <c r="A61" s="107" t="s">
        <v>618</v>
      </c>
      <c r="B61" s="63">
        <f>B17</f>
        <v>-1500039</v>
      </c>
    </row>
    <row r="62" spans="1:11" ht="15" customHeight="1" x14ac:dyDescent="0.25">
      <c r="A62" s="107" t="s">
        <v>619</v>
      </c>
      <c r="B62" s="63">
        <f>B18</f>
        <v>-456000</v>
      </c>
    </row>
    <row r="63" spans="1:11" ht="15" customHeight="1" x14ac:dyDescent="0.25">
      <c r="A63" s="142" t="s">
        <v>620</v>
      </c>
      <c r="B63" s="145">
        <f>B60+B61+B62</f>
        <v>7053626</v>
      </c>
    </row>
    <row r="64" spans="1:11" ht="15" customHeight="1" x14ac:dyDescent="0.25">
      <c r="A64" s="107" t="s">
        <v>689</v>
      </c>
      <c r="B64" s="63">
        <f>-B20</f>
        <v>-563192.61699999997</v>
      </c>
    </row>
    <row r="65" spans="1:11" ht="15" customHeight="1" x14ac:dyDescent="0.25">
      <c r="A65" s="142" t="s">
        <v>622</v>
      </c>
      <c r="B65" s="145">
        <f>B63+B64</f>
        <v>6490433.3830000004</v>
      </c>
    </row>
    <row r="66" spans="1:11" ht="15" customHeight="1" x14ac:dyDescent="0.25">
      <c r="A66" s="107" t="s">
        <v>690</v>
      </c>
      <c r="B66" s="63">
        <f>-B22</f>
        <v>-2951665.926</v>
      </c>
    </row>
    <row r="67" spans="1:11" ht="15" customHeight="1" x14ac:dyDescent="0.25">
      <c r="A67" s="142" t="s">
        <v>624</v>
      </c>
      <c r="B67" s="145">
        <f>B65+B66</f>
        <v>3538767.4570000004</v>
      </c>
    </row>
    <row r="68" spans="1:11" ht="15" customHeight="1" x14ac:dyDescent="0.25">
      <c r="A68" s="107" t="s">
        <v>621</v>
      </c>
      <c r="B68" s="63">
        <f>B20</f>
        <v>563192.61699999997</v>
      </c>
    </row>
    <row r="69" spans="1:11" ht="15" customHeight="1" x14ac:dyDescent="0.25">
      <c r="A69" s="142" t="s">
        <v>625</v>
      </c>
      <c r="B69" s="145">
        <f>B67+B68</f>
        <v>4101960.0740000005</v>
      </c>
    </row>
    <row r="71" spans="1:11" ht="15" customHeight="1" x14ac:dyDescent="0.25">
      <c r="A71" s="146" t="s">
        <v>691</v>
      </c>
      <c r="B71" s="146"/>
      <c r="C71" s="146"/>
      <c r="D71" s="146"/>
      <c r="E71" s="146"/>
      <c r="F71" s="146"/>
      <c r="G71" s="146"/>
      <c r="H71" s="146"/>
      <c r="I71" s="146"/>
      <c r="J71" s="146"/>
      <c r="K71" s="146"/>
    </row>
    <row r="72" spans="1:11" ht="15" customHeight="1" x14ac:dyDescent="0.25">
      <c r="A72" s="147" t="s">
        <v>0</v>
      </c>
      <c r="B72" s="147" t="s">
        <v>1</v>
      </c>
      <c r="C72" s="147" t="s">
        <v>692</v>
      </c>
    </row>
    <row r="73" spans="1:11" ht="31.5" customHeight="1" x14ac:dyDescent="0.25">
      <c r="A73" s="4" t="s">
        <v>54</v>
      </c>
      <c r="B73" s="107" t="s">
        <v>693</v>
      </c>
      <c r="C73" s="203" t="s">
        <v>694</v>
      </c>
      <c r="D73" s="201"/>
      <c r="E73" s="201"/>
      <c r="F73" s="201"/>
      <c r="G73" s="201"/>
    </row>
    <row r="74" spans="1:11" ht="31.5" customHeight="1" x14ac:dyDescent="0.25">
      <c r="A74" s="4" t="s">
        <v>47</v>
      </c>
      <c r="B74" s="107" t="s">
        <v>695</v>
      </c>
      <c r="C74" s="203" t="s">
        <v>696</v>
      </c>
      <c r="D74" s="201"/>
      <c r="E74" s="201"/>
      <c r="F74" s="201"/>
      <c r="G74" s="201"/>
    </row>
    <row r="75" spans="1:11" ht="31.5" customHeight="1" x14ac:dyDescent="0.25">
      <c r="A75" s="4" t="s">
        <v>56</v>
      </c>
      <c r="B75" s="107" t="s">
        <v>697</v>
      </c>
      <c r="C75" s="203" t="s">
        <v>698</v>
      </c>
      <c r="D75" s="201"/>
      <c r="E75" s="201"/>
      <c r="F75" s="201"/>
      <c r="G75" s="201"/>
    </row>
    <row r="76" spans="1:11" ht="31.5" customHeight="1" x14ac:dyDescent="0.25">
      <c r="A76" s="4" t="s">
        <v>60</v>
      </c>
      <c r="B76" s="107" t="s">
        <v>699</v>
      </c>
      <c r="C76" s="203" t="s">
        <v>700</v>
      </c>
      <c r="D76" s="201"/>
      <c r="E76" s="201"/>
      <c r="F76" s="201"/>
      <c r="G76" s="201"/>
    </row>
    <row r="77" spans="1:11" ht="31.5" customHeight="1" x14ac:dyDescent="0.25">
      <c r="A77" s="4" t="s">
        <v>58</v>
      </c>
      <c r="B77" s="107" t="s">
        <v>699</v>
      </c>
      <c r="C77" s="203" t="s">
        <v>701</v>
      </c>
      <c r="D77" s="201"/>
      <c r="E77" s="201"/>
      <c r="F77" s="201"/>
      <c r="G77" s="201"/>
    </row>
    <row r="78" spans="1:11" ht="31.5" customHeight="1" x14ac:dyDescent="0.25">
      <c r="A78" s="4" t="s">
        <v>52</v>
      </c>
      <c r="B78" s="107" t="s">
        <v>702</v>
      </c>
      <c r="C78" s="203" t="s">
        <v>703</v>
      </c>
      <c r="D78" s="201"/>
      <c r="E78" s="201"/>
      <c r="F78" s="201"/>
      <c r="G78" s="201"/>
    </row>
    <row r="80" spans="1:11" ht="15" customHeight="1" x14ac:dyDescent="0.25">
      <c r="A80" s="158" t="s">
        <v>704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spans="1:11" ht="27.75" customHeight="1" x14ac:dyDescent="0.25">
      <c r="A81" s="4" t="s">
        <v>705</v>
      </c>
      <c r="B81" s="203" t="s">
        <v>706</v>
      </c>
      <c r="C81" s="201"/>
      <c r="D81" s="201"/>
      <c r="E81" s="201"/>
      <c r="F81" s="201"/>
      <c r="G81" s="201"/>
    </row>
    <row r="82" spans="1:11" ht="27.75" customHeight="1" x14ac:dyDescent="0.25">
      <c r="A82" s="4" t="s">
        <v>707</v>
      </c>
      <c r="B82" s="203" t="s">
        <v>708</v>
      </c>
      <c r="C82" s="201"/>
      <c r="D82" s="201"/>
      <c r="E82" s="201"/>
      <c r="F82" s="201"/>
      <c r="G82" s="201"/>
    </row>
    <row r="83" spans="1:11" ht="27.75" customHeight="1" x14ac:dyDescent="0.25">
      <c r="A83" s="4" t="s">
        <v>709</v>
      </c>
      <c r="B83" s="203" t="s">
        <v>710</v>
      </c>
      <c r="C83" s="201"/>
      <c r="D83" s="201"/>
      <c r="E83" s="201"/>
      <c r="F83" s="201"/>
      <c r="G83" s="201"/>
    </row>
    <row r="84" spans="1:11" ht="27.75" customHeight="1" x14ac:dyDescent="0.25">
      <c r="A84" s="4" t="s">
        <v>711</v>
      </c>
      <c r="B84" s="203" t="s">
        <v>712</v>
      </c>
      <c r="C84" s="201"/>
      <c r="D84" s="201"/>
      <c r="E84" s="201"/>
      <c r="F84" s="201"/>
      <c r="G84" s="201"/>
    </row>
    <row r="85" spans="1:11" ht="27.75" customHeight="1" x14ac:dyDescent="0.25">
      <c r="A85" s="4" t="s">
        <v>713</v>
      </c>
      <c r="B85" s="203" t="s">
        <v>714</v>
      </c>
      <c r="C85" s="201"/>
      <c r="D85" s="201"/>
      <c r="E85" s="201"/>
      <c r="F85" s="201"/>
      <c r="G85" s="201"/>
    </row>
    <row r="86" spans="1:11" ht="27.75" customHeight="1" x14ac:dyDescent="0.25">
      <c r="A86" s="4" t="s">
        <v>715</v>
      </c>
      <c r="B86" s="203" t="s">
        <v>716</v>
      </c>
      <c r="C86" s="201"/>
      <c r="D86" s="201"/>
      <c r="E86" s="201"/>
      <c r="F86" s="201"/>
      <c r="G86" s="201"/>
    </row>
    <row r="87" spans="1:11" ht="27.75" customHeight="1" x14ac:dyDescent="0.25">
      <c r="A87" s="4" t="s">
        <v>717</v>
      </c>
      <c r="B87" s="203" t="s">
        <v>718</v>
      </c>
      <c r="C87" s="201"/>
      <c r="D87" s="201"/>
      <c r="E87" s="201"/>
      <c r="F87" s="201"/>
      <c r="G87" s="201"/>
    </row>
    <row r="88" spans="1:11" ht="27.75" customHeight="1" x14ac:dyDescent="0.25">
      <c r="A88" s="4" t="s">
        <v>719</v>
      </c>
      <c r="B88" s="203" t="s">
        <v>720</v>
      </c>
      <c r="C88" s="201"/>
      <c r="D88" s="201"/>
      <c r="E88" s="201"/>
      <c r="F88" s="201"/>
      <c r="G88" s="201"/>
    </row>
    <row r="89" spans="1:11" ht="27.75" customHeight="1" x14ac:dyDescent="0.25">
      <c r="A89" s="4" t="s">
        <v>721</v>
      </c>
      <c r="B89" s="203" t="s">
        <v>722</v>
      </c>
      <c r="C89" s="201"/>
      <c r="D89" s="201"/>
      <c r="E89" s="201"/>
      <c r="F89" s="201"/>
      <c r="G89" s="201"/>
    </row>
    <row r="90" spans="1:11" ht="27.75" customHeight="1" x14ac:dyDescent="0.25">
      <c r="A90" s="4" t="s">
        <v>723</v>
      </c>
      <c r="B90" s="203" t="s">
        <v>724</v>
      </c>
      <c r="C90" s="201"/>
      <c r="D90" s="201"/>
      <c r="E90" s="201"/>
      <c r="F90" s="201"/>
      <c r="G90" s="201"/>
    </row>
    <row r="91" spans="1:11" ht="15" customHeight="1" x14ac:dyDescent="0.25">
      <c r="A91" t="s">
        <v>725</v>
      </c>
      <c r="B91" t="s">
        <v>726</v>
      </c>
    </row>
    <row r="93" spans="1:11" ht="15" customHeight="1" x14ac:dyDescent="0.25">
      <c r="A93" s="141" t="s">
        <v>727</v>
      </c>
      <c r="B93" s="141"/>
      <c r="C93" s="141"/>
      <c r="D93" s="141"/>
      <c r="E93" s="141"/>
      <c r="F93" s="141"/>
      <c r="G93" s="141"/>
      <c r="H93" s="141"/>
      <c r="I93" s="141"/>
      <c r="J93" s="141"/>
      <c r="K93" s="141"/>
    </row>
    <row r="94" spans="1:11" ht="15" customHeight="1" x14ac:dyDescent="0.25">
      <c r="A94" s="107" t="s">
        <v>728</v>
      </c>
      <c r="B94" s="159">
        <v>0.1</v>
      </c>
    </row>
    <row r="95" spans="1:11" ht="15" customHeight="1" x14ac:dyDescent="0.25">
      <c r="A95" s="107" t="s">
        <v>729</v>
      </c>
      <c r="B95" s="159">
        <v>150000</v>
      </c>
    </row>
    <row r="96" spans="1:11" ht="15" customHeight="1" x14ac:dyDescent="0.25">
      <c r="A96" t="s">
        <v>730</v>
      </c>
      <c r="B96" t="s">
        <v>731</v>
      </c>
    </row>
    <row r="97" spans="1:86" ht="15" customHeight="1" x14ac:dyDescent="0.25">
      <c r="A97" s="160" t="s">
        <v>732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spans="1:86" ht="15" customHeight="1" x14ac:dyDescent="0.25">
      <c r="A98" s="161"/>
      <c r="C98" s="162">
        <v>1</v>
      </c>
      <c r="D98" s="162">
        <v>2</v>
      </c>
      <c r="E98" s="162">
        <v>3</v>
      </c>
      <c r="F98" s="162">
        <v>4</v>
      </c>
      <c r="G98" s="162">
        <v>5</v>
      </c>
      <c r="H98" s="162">
        <v>6</v>
      </c>
      <c r="I98" s="162">
        <v>7</v>
      </c>
      <c r="J98" s="162">
        <v>8</v>
      </c>
      <c r="K98" s="162">
        <v>9</v>
      </c>
      <c r="L98" s="162">
        <v>10</v>
      </c>
      <c r="M98" s="162">
        <v>11</v>
      </c>
      <c r="N98" s="162">
        <v>12</v>
      </c>
      <c r="O98" s="162">
        <v>13</v>
      </c>
      <c r="P98" s="162">
        <v>14</v>
      </c>
      <c r="Q98" s="162">
        <v>15</v>
      </c>
      <c r="R98" s="162">
        <v>16</v>
      </c>
      <c r="S98" s="162">
        <v>17</v>
      </c>
      <c r="T98" s="162">
        <v>18</v>
      </c>
      <c r="U98" s="162">
        <v>19</v>
      </c>
      <c r="V98" s="162">
        <v>20</v>
      </c>
      <c r="W98" s="162">
        <v>21</v>
      </c>
      <c r="X98" s="162">
        <v>22</v>
      </c>
      <c r="Y98" s="162">
        <v>23</v>
      </c>
      <c r="Z98" s="162">
        <v>24</v>
      </c>
      <c r="AA98" s="162">
        <v>25</v>
      </c>
      <c r="AB98" s="162">
        <v>26</v>
      </c>
      <c r="AC98" s="162">
        <v>27</v>
      </c>
      <c r="AD98" s="162">
        <v>28</v>
      </c>
      <c r="AE98" s="162">
        <v>29</v>
      </c>
      <c r="AF98" s="162">
        <v>30</v>
      </c>
      <c r="AG98" s="162">
        <v>31</v>
      </c>
      <c r="AH98" s="162">
        <v>32</v>
      </c>
      <c r="AI98" s="162">
        <v>33</v>
      </c>
      <c r="AJ98" s="162">
        <v>34</v>
      </c>
      <c r="AK98" s="162">
        <v>35</v>
      </c>
      <c r="AL98" s="162">
        <v>36</v>
      </c>
      <c r="AM98" s="162">
        <v>37</v>
      </c>
      <c r="AN98" s="162">
        <v>38</v>
      </c>
      <c r="AO98" s="162">
        <v>39</v>
      </c>
      <c r="AP98" s="162">
        <v>40</v>
      </c>
      <c r="AQ98" s="162">
        <v>41</v>
      </c>
      <c r="AR98" s="162">
        <v>42</v>
      </c>
      <c r="AS98" s="162">
        <v>43</v>
      </c>
      <c r="AT98" s="162">
        <v>44</v>
      </c>
      <c r="AU98" s="162">
        <v>45</v>
      </c>
      <c r="AV98" s="162">
        <v>46</v>
      </c>
      <c r="AW98" s="162">
        <v>47</v>
      </c>
      <c r="AX98" s="162">
        <v>48</v>
      </c>
      <c r="AY98" s="162">
        <v>49</v>
      </c>
      <c r="AZ98" s="162">
        <v>50</v>
      </c>
      <c r="BA98" s="162">
        <v>51</v>
      </c>
      <c r="BB98" s="162">
        <v>52</v>
      </c>
      <c r="BC98" s="162">
        <v>53</v>
      </c>
      <c r="BD98" s="162">
        <v>54</v>
      </c>
      <c r="BE98" s="162">
        <v>55</v>
      </c>
      <c r="BF98" s="162">
        <v>56</v>
      </c>
      <c r="BG98" s="162">
        <v>57</v>
      </c>
      <c r="BH98" s="162">
        <v>58</v>
      </c>
      <c r="BI98" s="162">
        <v>59</v>
      </c>
      <c r="BJ98" s="162">
        <v>60</v>
      </c>
      <c r="BK98" s="162">
        <v>61</v>
      </c>
      <c r="BL98" s="162">
        <v>62</v>
      </c>
      <c r="BM98" s="162">
        <v>63</v>
      </c>
      <c r="BN98" s="162">
        <v>64</v>
      </c>
      <c r="BO98" s="162">
        <v>65</v>
      </c>
      <c r="BP98" s="162">
        <v>66</v>
      </c>
      <c r="BQ98" s="162">
        <v>67</v>
      </c>
      <c r="BR98" s="162">
        <v>68</v>
      </c>
      <c r="BS98" s="162">
        <v>69</v>
      </c>
      <c r="BT98" s="162">
        <v>70</v>
      </c>
      <c r="BU98" s="162">
        <v>71</v>
      </c>
      <c r="BV98" s="162">
        <v>72</v>
      </c>
      <c r="BW98" s="162">
        <v>73</v>
      </c>
      <c r="BX98" s="162">
        <v>74</v>
      </c>
      <c r="BY98" s="162">
        <v>75</v>
      </c>
      <c r="BZ98" s="162">
        <v>76</v>
      </c>
      <c r="CA98" s="162">
        <v>77</v>
      </c>
      <c r="CB98" s="162">
        <v>78</v>
      </c>
      <c r="CC98" s="162">
        <v>79</v>
      </c>
      <c r="CD98" s="162">
        <v>80</v>
      </c>
      <c r="CE98" s="162">
        <v>81</v>
      </c>
      <c r="CF98" s="162">
        <v>82</v>
      </c>
      <c r="CG98" s="162">
        <v>83</v>
      </c>
      <c r="CH98" s="162">
        <v>84</v>
      </c>
    </row>
    <row r="99" spans="1:86" ht="15" customHeight="1" x14ac:dyDescent="0.25">
      <c r="A99" s="162" t="s">
        <v>527</v>
      </c>
      <c r="B99" s="163">
        <f t="shared" ref="B99:B105" si="9">SUM(C99:CH99)</f>
        <v>9009664.9999999981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4">
        <v>45050.36</v>
      </c>
      <c r="M99" s="164">
        <v>45050.36</v>
      </c>
      <c r="N99" s="164">
        <v>45050.36</v>
      </c>
      <c r="O99" s="164">
        <v>45050.36</v>
      </c>
      <c r="P99" s="164">
        <v>45050.36</v>
      </c>
      <c r="Q99" s="164">
        <v>45050.36</v>
      </c>
      <c r="R99" s="164">
        <v>70944.52</v>
      </c>
      <c r="S99" s="164">
        <v>96838.68</v>
      </c>
      <c r="T99" s="164">
        <v>122732.84</v>
      </c>
      <c r="U99" s="164">
        <v>148626.99</v>
      </c>
      <c r="V99" s="164">
        <v>174521.16</v>
      </c>
      <c r="W99" s="164">
        <v>200415.31</v>
      </c>
      <c r="X99" s="164">
        <v>226309.46</v>
      </c>
      <c r="Y99" s="164">
        <v>252203.62</v>
      </c>
      <c r="Z99" s="164">
        <v>278097.78999999998</v>
      </c>
      <c r="AA99" s="164">
        <v>303991.94</v>
      </c>
      <c r="AB99" s="164">
        <v>329886.11</v>
      </c>
      <c r="AC99" s="164">
        <v>400830.61</v>
      </c>
      <c r="AD99" s="164">
        <v>311512.01</v>
      </c>
      <c r="AE99" s="164">
        <v>312294.13</v>
      </c>
      <c r="AF99" s="164">
        <v>313076.23</v>
      </c>
      <c r="AG99" s="164">
        <v>313858.34000000003</v>
      </c>
      <c r="AH99" s="164">
        <v>314640.44</v>
      </c>
      <c r="AI99" s="164">
        <v>341316.71</v>
      </c>
      <c r="AJ99" s="164">
        <v>316204.67</v>
      </c>
      <c r="AK99" s="164">
        <v>291092.62</v>
      </c>
      <c r="AL99" s="164">
        <v>265980.57</v>
      </c>
      <c r="AM99" s="164">
        <v>240868.51</v>
      </c>
      <c r="AN99" s="164">
        <v>215756.47</v>
      </c>
      <c r="AO99" s="164">
        <v>190644.42</v>
      </c>
      <c r="AP99" s="164">
        <v>165532.35999999999</v>
      </c>
      <c r="AQ99" s="164">
        <v>140420.32</v>
      </c>
      <c r="AR99" s="164">
        <v>115308.27</v>
      </c>
      <c r="AS99" s="164">
        <v>196095.1</v>
      </c>
      <c r="AT99" s="164">
        <v>170200.95</v>
      </c>
      <c r="AU99" s="164">
        <v>119194.75</v>
      </c>
      <c r="AV99" s="164">
        <v>118412.64</v>
      </c>
      <c r="AW99" s="164">
        <v>117630.52</v>
      </c>
      <c r="AX99" s="164">
        <v>116848.42</v>
      </c>
      <c r="AY99" s="164">
        <v>116066.31</v>
      </c>
      <c r="AZ99" s="164">
        <v>115284.2</v>
      </c>
      <c r="BA99" s="164">
        <v>114502.09</v>
      </c>
      <c r="BB99" s="164">
        <v>113719.98</v>
      </c>
      <c r="BC99" s="164">
        <v>112937.87</v>
      </c>
      <c r="BD99" s="164">
        <v>112155.76</v>
      </c>
      <c r="BE99" s="164">
        <v>111373.65</v>
      </c>
      <c r="BF99" s="164">
        <v>110591.54</v>
      </c>
      <c r="BG99" s="164">
        <v>109809.44</v>
      </c>
      <c r="BH99" s="164">
        <v>109027.32</v>
      </c>
      <c r="BI99" s="164">
        <v>108245.21</v>
      </c>
      <c r="BJ99" s="164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spans="1:86" ht="15" customHeight="1" x14ac:dyDescent="0.25">
      <c r="A100" s="162" t="s">
        <v>618</v>
      </c>
      <c r="B100" s="163">
        <f t="shared" si="9"/>
        <v>-1500039</v>
      </c>
      <c r="C100" s="161">
        <v>0</v>
      </c>
      <c r="D100" s="161">
        <v>0</v>
      </c>
      <c r="E100" s="161">
        <v>0</v>
      </c>
      <c r="F100" s="161">
        <v>0</v>
      </c>
      <c r="G100" s="161">
        <v>0</v>
      </c>
      <c r="H100" s="161">
        <v>0</v>
      </c>
      <c r="I100" s="161">
        <v>0</v>
      </c>
      <c r="J100" s="161">
        <v>0</v>
      </c>
      <c r="K100" s="161">
        <v>0</v>
      </c>
      <c r="L100" s="164">
        <v>0</v>
      </c>
      <c r="M100" s="164">
        <v>-10417</v>
      </c>
      <c r="N100" s="164">
        <v>-10417</v>
      </c>
      <c r="O100" s="164">
        <v>-10417</v>
      </c>
      <c r="P100" s="164">
        <v>-17917</v>
      </c>
      <c r="Q100" s="164">
        <v>-17917</v>
      </c>
      <c r="R100" s="164">
        <v>-17917</v>
      </c>
      <c r="S100" s="164">
        <v>-17917</v>
      </c>
      <c r="T100" s="164">
        <v>-17917</v>
      </c>
      <c r="U100" s="164">
        <v>-27084</v>
      </c>
      <c r="V100" s="164">
        <v>-27084</v>
      </c>
      <c r="W100" s="164">
        <v>-27084</v>
      </c>
      <c r="X100" s="164">
        <v>-27084</v>
      </c>
      <c r="Y100" s="164">
        <v>-27084</v>
      </c>
      <c r="Z100" s="164">
        <v>-27084</v>
      </c>
      <c r="AA100" s="164">
        <v>-27084</v>
      </c>
      <c r="AB100" s="164">
        <v>-27084</v>
      </c>
      <c r="AC100" s="164">
        <v>-37501</v>
      </c>
      <c r="AD100" s="164">
        <v>-37501</v>
      </c>
      <c r="AE100" s="164">
        <v>-37501</v>
      </c>
      <c r="AF100" s="164">
        <v>-37501</v>
      </c>
      <c r="AG100" s="164">
        <v>-37501</v>
      </c>
      <c r="AH100" s="164">
        <v>-37501</v>
      </c>
      <c r="AI100" s="164">
        <v>-37501</v>
      </c>
      <c r="AJ100" s="164">
        <v>-37501</v>
      </c>
      <c r="AK100" s="164">
        <v>-37501</v>
      </c>
      <c r="AL100" s="164">
        <v>-37501</v>
      </c>
      <c r="AM100" s="164">
        <v>-37501</v>
      </c>
      <c r="AN100" s="164">
        <v>-37501</v>
      </c>
      <c r="AO100" s="164">
        <v>-37501</v>
      </c>
      <c r="AP100" s="164">
        <v>-37501</v>
      </c>
      <c r="AQ100" s="164">
        <v>-37501</v>
      </c>
      <c r="AR100" s="164">
        <v>-37501</v>
      </c>
      <c r="AS100" s="164">
        <v>-37501</v>
      </c>
      <c r="AT100" s="164">
        <v>-37501</v>
      </c>
      <c r="AU100" s="164">
        <v>-37501</v>
      </c>
      <c r="AV100" s="164">
        <v>-37501</v>
      </c>
      <c r="AW100" s="164">
        <v>-37501</v>
      </c>
      <c r="AX100" s="164">
        <v>-37501</v>
      </c>
      <c r="AY100" s="164">
        <v>-37501</v>
      </c>
      <c r="AZ100" s="164">
        <v>-37501</v>
      </c>
      <c r="BA100" s="164">
        <v>-37501</v>
      </c>
      <c r="BB100" s="164">
        <v>-37501</v>
      </c>
      <c r="BC100" s="164">
        <v>-37501</v>
      </c>
      <c r="BD100" s="164">
        <v>-37501</v>
      </c>
      <c r="BE100" s="164">
        <v>-37501</v>
      </c>
      <c r="BF100" s="164">
        <v>-37501</v>
      </c>
      <c r="BG100" s="164">
        <v>-37501</v>
      </c>
      <c r="BH100" s="161">
        <v>0</v>
      </c>
      <c r="BI100" s="161">
        <v>0</v>
      </c>
      <c r="BJ100" s="161">
        <v>0</v>
      </c>
      <c r="BK100" s="161">
        <v>0</v>
      </c>
      <c r="BL100" s="161">
        <v>0</v>
      </c>
      <c r="BM100" s="161">
        <v>0</v>
      </c>
      <c r="BN100" s="161">
        <v>0</v>
      </c>
      <c r="BO100" s="161">
        <v>0</v>
      </c>
      <c r="BP100" s="161">
        <v>0</v>
      </c>
      <c r="BQ100" s="161">
        <v>0</v>
      </c>
      <c r="BR100" s="161">
        <v>0</v>
      </c>
      <c r="BS100" s="161">
        <v>0</v>
      </c>
      <c r="BT100" s="161">
        <v>0</v>
      </c>
      <c r="BU100" s="161">
        <v>0</v>
      </c>
      <c r="BV100" s="161">
        <v>0</v>
      </c>
      <c r="BW100" s="161">
        <v>0</v>
      </c>
      <c r="BX100" s="161">
        <v>0</v>
      </c>
      <c r="BY100" s="161">
        <v>0</v>
      </c>
      <c r="BZ100" s="161">
        <v>0</v>
      </c>
      <c r="CA100" s="161">
        <v>0</v>
      </c>
      <c r="CB100" s="161">
        <v>0</v>
      </c>
      <c r="CC100" s="161">
        <v>0</v>
      </c>
      <c r="CD100" s="161">
        <v>0</v>
      </c>
      <c r="CE100" s="161">
        <v>0</v>
      </c>
      <c r="CF100" s="161">
        <v>0</v>
      </c>
      <c r="CG100" s="161">
        <v>0</v>
      </c>
      <c r="CH100" s="161"/>
    </row>
    <row r="101" spans="1:86" ht="15" customHeight="1" x14ac:dyDescent="0.25">
      <c r="A101" s="162" t="s">
        <v>619</v>
      </c>
      <c r="B101" s="163">
        <f t="shared" si="9"/>
        <v>-456000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4">
        <v>-9500</v>
      </c>
      <c r="M101" s="164">
        <v>-9500</v>
      </c>
      <c r="N101" s="164">
        <v>-9500</v>
      </c>
      <c r="O101" s="164">
        <v>-9500</v>
      </c>
      <c r="P101" s="164">
        <v>-9500</v>
      </c>
      <c r="Q101" s="164">
        <v>-9500</v>
      </c>
      <c r="R101" s="164">
        <v>-9500</v>
      </c>
      <c r="S101" s="164">
        <v>-9500</v>
      </c>
      <c r="T101" s="164">
        <v>-9500</v>
      </c>
      <c r="U101" s="164">
        <v>-9500</v>
      </c>
      <c r="V101" s="164">
        <v>-9500</v>
      </c>
      <c r="W101" s="164">
        <v>-9500</v>
      </c>
      <c r="X101" s="164">
        <v>-9500</v>
      </c>
      <c r="Y101" s="164">
        <v>-9500</v>
      </c>
      <c r="Z101" s="164">
        <v>-9500</v>
      </c>
      <c r="AA101" s="164">
        <v>-9500</v>
      </c>
      <c r="AB101" s="164">
        <v>-9500</v>
      </c>
      <c r="AC101" s="164">
        <v>-9500</v>
      </c>
      <c r="AD101" s="164">
        <v>-9500</v>
      </c>
      <c r="AE101" s="164">
        <v>-9500</v>
      </c>
      <c r="AF101" s="164">
        <v>-9500</v>
      </c>
      <c r="AG101" s="164">
        <v>-9500</v>
      </c>
      <c r="AH101" s="164">
        <v>-9500</v>
      </c>
      <c r="AI101" s="164">
        <v>-9500</v>
      </c>
      <c r="AJ101" s="164">
        <v>-9500</v>
      </c>
      <c r="AK101" s="164">
        <v>-9500</v>
      </c>
      <c r="AL101" s="164">
        <v>-9500</v>
      </c>
      <c r="AM101" s="164">
        <v>-9500</v>
      </c>
      <c r="AN101" s="164">
        <v>-9500</v>
      </c>
      <c r="AO101" s="164">
        <v>-9500</v>
      </c>
      <c r="AP101" s="164">
        <v>-9500</v>
      </c>
      <c r="AQ101" s="164">
        <v>-9500</v>
      </c>
      <c r="AR101" s="164">
        <v>-9500</v>
      </c>
      <c r="AS101" s="164">
        <v>-9500</v>
      </c>
      <c r="AT101" s="164">
        <v>-9500</v>
      </c>
      <c r="AU101" s="164">
        <v>-9500</v>
      </c>
      <c r="AV101" s="164">
        <v>-9500</v>
      </c>
      <c r="AW101" s="164">
        <v>-9500</v>
      </c>
      <c r="AX101" s="164">
        <v>-9500</v>
      </c>
      <c r="AY101" s="164">
        <v>-9500</v>
      </c>
      <c r="AZ101" s="164">
        <v>-9500</v>
      </c>
      <c r="BA101" s="164">
        <v>-9500</v>
      </c>
      <c r="BB101" s="164">
        <v>-9500</v>
      </c>
      <c r="BC101" s="164">
        <v>-9500</v>
      </c>
      <c r="BD101" s="164">
        <v>-9500</v>
      </c>
      <c r="BE101" s="164">
        <v>-9500</v>
      </c>
      <c r="BF101" s="164">
        <v>-9500</v>
      </c>
      <c r="BG101" s="164">
        <v>-9500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spans="1:86" ht="15" customHeight="1" x14ac:dyDescent="0.25">
      <c r="A102" s="162" t="s">
        <v>620</v>
      </c>
      <c r="B102" s="163">
        <f t="shared" si="9"/>
        <v>7053625.9999999991</v>
      </c>
      <c r="C102" s="165">
        <f t="shared" ref="C102:AH102" si="10">C99+C100+C101</f>
        <v>0</v>
      </c>
      <c r="D102" s="165">
        <f t="shared" si="10"/>
        <v>0</v>
      </c>
      <c r="E102" s="165">
        <f t="shared" si="10"/>
        <v>0</v>
      </c>
      <c r="F102" s="165">
        <f t="shared" si="10"/>
        <v>0</v>
      </c>
      <c r="G102" s="165">
        <f t="shared" si="10"/>
        <v>0</v>
      </c>
      <c r="H102" s="165">
        <f t="shared" si="10"/>
        <v>0</v>
      </c>
      <c r="I102" s="165">
        <f t="shared" si="10"/>
        <v>0</v>
      </c>
      <c r="J102" s="165">
        <f t="shared" si="10"/>
        <v>0</v>
      </c>
      <c r="K102" s="165">
        <f t="shared" si="10"/>
        <v>0</v>
      </c>
      <c r="L102" s="165">
        <f t="shared" si="10"/>
        <v>35550.36</v>
      </c>
      <c r="M102" s="165">
        <f t="shared" si="10"/>
        <v>25133.360000000001</v>
      </c>
      <c r="N102" s="165">
        <f t="shared" si="10"/>
        <v>25133.360000000001</v>
      </c>
      <c r="O102" s="165">
        <f t="shared" si="10"/>
        <v>25133.360000000001</v>
      </c>
      <c r="P102" s="165">
        <f t="shared" si="10"/>
        <v>17633.36</v>
      </c>
      <c r="Q102" s="165">
        <f t="shared" si="10"/>
        <v>17633.36</v>
      </c>
      <c r="R102" s="165">
        <f t="shared" si="10"/>
        <v>43527.520000000004</v>
      </c>
      <c r="S102" s="165">
        <f t="shared" si="10"/>
        <v>69421.679999999993</v>
      </c>
      <c r="T102" s="165">
        <f t="shared" si="10"/>
        <v>95315.839999999997</v>
      </c>
      <c r="U102" s="165">
        <f t="shared" si="10"/>
        <v>112042.98999999999</v>
      </c>
      <c r="V102" s="165">
        <f t="shared" si="10"/>
        <v>137937.16</v>
      </c>
      <c r="W102" s="165">
        <f t="shared" si="10"/>
        <v>163831.31</v>
      </c>
      <c r="X102" s="165">
        <f t="shared" si="10"/>
        <v>189725.46</v>
      </c>
      <c r="Y102" s="165">
        <f t="shared" si="10"/>
        <v>215619.62</v>
      </c>
      <c r="Z102" s="165">
        <f t="shared" si="10"/>
        <v>241513.78999999998</v>
      </c>
      <c r="AA102" s="165">
        <f t="shared" si="10"/>
        <v>267407.94</v>
      </c>
      <c r="AB102" s="165">
        <f t="shared" si="10"/>
        <v>293302.11</v>
      </c>
      <c r="AC102" s="165">
        <f t="shared" si="10"/>
        <v>353829.61</v>
      </c>
      <c r="AD102" s="165">
        <f t="shared" si="10"/>
        <v>264511.01</v>
      </c>
      <c r="AE102" s="165">
        <f t="shared" si="10"/>
        <v>265293.13</v>
      </c>
      <c r="AF102" s="165">
        <f t="shared" si="10"/>
        <v>266075.23</v>
      </c>
      <c r="AG102" s="165">
        <f t="shared" si="10"/>
        <v>266857.34000000003</v>
      </c>
      <c r="AH102" s="165">
        <f t="shared" si="10"/>
        <v>267639.44</v>
      </c>
      <c r="AI102" s="165">
        <f t="shared" ref="AI102:BN102" si="11">AI99+AI100+AI101</f>
        <v>294315.71000000002</v>
      </c>
      <c r="AJ102" s="165">
        <f t="shared" si="11"/>
        <v>269203.67</v>
      </c>
      <c r="AK102" s="165">
        <f t="shared" si="11"/>
        <v>244091.62</v>
      </c>
      <c r="AL102" s="165">
        <f t="shared" si="11"/>
        <v>218979.57</v>
      </c>
      <c r="AM102" s="165">
        <f t="shared" si="11"/>
        <v>193867.51</v>
      </c>
      <c r="AN102" s="165">
        <f t="shared" si="11"/>
        <v>168755.47</v>
      </c>
      <c r="AO102" s="165">
        <f t="shared" si="11"/>
        <v>143643.42000000001</v>
      </c>
      <c r="AP102" s="165">
        <f t="shared" si="11"/>
        <v>118531.35999999999</v>
      </c>
      <c r="AQ102" s="165">
        <f t="shared" si="11"/>
        <v>93419.32</v>
      </c>
      <c r="AR102" s="165">
        <f t="shared" si="11"/>
        <v>68307.27</v>
      </c>
      <c r="AS102" s="165">
        <f t="shared" si="11"/>
        <v>149094.1</v>
      </c>
      <c r="AT102" s="165">
        <f t="shared" si="11"/>
        <v>123199.95000000001</v>
      </c>
      <c r="AU102" s="165">
        <f t="shared" si="11"/>
        <v>72193.75</v>
      </c>
      <c r="AV102" s="165">
        <f t="shared" si="11"/>
        <v>71411.64</v>
      </c>
      <c r="AW102" s="165">
        <f t="shared" si="11"/>
        <v>70629.52</v>
      </c>
      <c r="AX102" s="165">
        <f t="shared" si="11"/>
        <v>69847.42</v>
      </c>
      <c r="AY102" s="165">
        <f t="shared" si="11"/>
        <v>69065.31</v>
      </c>
      <c r="AZ102" s="165">
        <f t="shared" si="11"/>
        <v>68283.199999999997</v>
      </c>
      <c r="BA102" s="165">
        <f t="shared" si="11"/>
        <v>67501.09</v>
      </c>
      <c r="BB102" s="165">
        <f t="shared" si="11"/>
        <v>66718.98</v>
      </c>
      <c r="BC102" s="165">
        <f t="shared" si="11"/>
        <v>65936.87</v>
      </c>
      <c r="BD102" s="165">
        <f t="shared" si="11"/>
        <v>65154.759999999995</v>
      </c>
      <c r="BE102" s="165">
        <f t="shared" si="11"/>
        <v>64372.649999999994</v>
      </c>
      <c r="BF102" s="165">
        <f t="shared" si="11"/>
        <v>63590.539999999994</v>
      </c>
      <c r="BG102" s="165">
        <f t="shared" si="11"/>
        <v>62808.44</v>
      </c>
      <c r="BH102" s="165">
        <f t="shared" si="11"/>
        <v>109027.32</v>
      </c>
      <c r="BI102" s="165">
        <f t="shared" si="11"/>
        <v>108245.21</v>
      </c>
      <c r="BJ102" s="165">
        <f t="shared" si="11"/>
        <v>213361.99</v>
      </c>
      <c r="BK102" s="165">
        <f t="shared" si="11"/>
        <v>0</v>
      </c>
      <c r="BL102" s="165">
        <f t="shared" si="11"/>
        <v>0</v>
      </c>
      <c r="BM102" s="165">
        <f t="shared" si="11"/>
        <v>0</v>
      </c>
      <c r="BN102" s="165">
        <f t="shared" si="11"/>
        <v>0</v>
      </c>
      <c r="BO102" s="165">
        <f t="shared" ref="BO102:CT102" si="12">BO99+BO100+BO101</f>
        <v>0</v>
      </c>
      <c r="BP102" s="165">
        <f t="shared" si="12"/>
        <v>0</v>
      </c>
      <c r="BQ102" s="165">
        <f t="shared" si="12"/>
        <v>0</v>
      </c>
      <c r="BR102" s="165">
        <f t="shared" si="12"/>
        <v>0</v>
      </c>
      <c r="BS102" s="165">
        <f t="shared" si="12"/>
        <v>0</v>
      </c>
      <c r="BT102" s="165">
        <f t="shared" si="12"/>
        <v>0</v>
      </c>
      <c r="BU102" s="165">
        <f t="shared" si="12"/>
        <v>0</v>
      </c>
      <c r="BV102" s="165">
        <f t="shared" si="12"/>
        <v>0</v>
      </c>
      <c r="BW102" s="165">
        <f t="shared" si="12"/>
        <v>0</v>
      </c>
      <c r="BX102" s="165">
        <f t="shared" si="12"/>
        <v>0</v>
      </c>
      <c r="BY102" s="165">
        <f t="shared" si="12"/>
        <v>0</v>
      </c>
      <c r="BZ102" s="165">
        <f t="shared" si="12"/>
        <v>0</v>
      </c>
      <c r="CA102" s="165">
        <f t="shared" si="12"/>
        <v>0</v>
      </c>
      <c r="CB102" s="165">
        <f t="shared" si="12"/>
        <v>0</v>
      </c>
      <c r="CC102" s="165">
        <f t="shared" si="12"/>
        <v>0</v>
      </c>
      <c r="CD102" s="165">
        <f t="shared" si="12"/>
        <v>0</v>
      </c>
      <c r="CE102" s="165">
        <f t="shared" si="12"/>
        <v>0</v>
      </c>
      <c r="CF102" s="165">
        <f t="shared" si="12"/>
        <v>0</v>
      </c>
      <c r="CG102" s="165">
        <f t="shared" si="12"/>
        <v>0</v>
      </c>
      <c r="CH102" s="165">
        <f t="shared" si="12"/>
        <v>0</v>
      </c>
    </row>
    <row r="103" spans="1:86" ht="15" customHeight="1" x14ac:dyDescent="0.25">
      <c r="A103" s="162" t="s">
        <v>621</v>
      </c>
      <c r="B103" s="163">
        <f t="shared" si="9"/>
        <v>563192.61699999985</v>
      </c>
      <c r="C103" s="165">
        <f t="shared" ref="C103:K103" si="13">C99*$B$94</f>
        <v>0</v>
      </c>
      <c r="D103" s="165">
        <f t="shared" si="13"/>
        <v>0</v>
      </c>
      <c r="E103" s="165">
        <f t="shared" si="13"/>
        <v>0</v>
      </c>
      <c r="F103" s="165">
        <f t="shared" si="13"/>
        <v>0</v>
      </c>
      <c r="G103" s="165">
        <f t="shared" si="13"/>
        <v>0</v>
      </c>
      <c r="H103" s="165">
        <f t="shared" si="13"/>
        <v>0</v>
      </c>
      <c r="I103" s="165">
        <f t="shared" si="13"/>
        <v>0</v>
      </c>
      <c r="J103" s="165">
        <f t="shared" si="13"/>
        <v>0</v>
      </c>
      <c r="K103" s="165">
        <f t="shared" si="13"/>
        <v>0</v>
      </c>
      <c r="L103" s="165">
        <f t="shared" ref="L103:AQ103" si="14">MIN(L99*$B$94,12500)</f>
        <v>4505.0360000000001</v>
      </c>
      <c r="M103" s="165">
        <f t="shared" si="14"/>
        <v>4505.0360000000001</v>
      </c>
      <c r="N103" s="165">
        <f t="shared" si="14"/>
        <v>4505.0360000000001</v>
      </c>
      <c r="O103" s="165">
        <f t="shared" si="14"/>
        <v>4505.0360000000001</v>
      </c>
      <c r="P103" s="165">
        <f t="shared" si="14"/>
        <v>4505.0360000000001</v>
      </c>
      <c r="Q103" s="165">
        <f t="shared" si="14"/>
        <v>4505.0360000000001</v>
      </c>
      <c r="R103" s="165">
        <f t="shared" si="14"/>
        <v>7094.4520000000011</v>
      </c>
      <c r="S103" s="165">
        <f t="shared" si="14"/>
        <v>9683.8680000000004</v>
      </c>
      <c r="T103" s="165">
        <f t="shared" si="14"/>
        <v>12273.284</v>
      </c>
      <c r="U103" s="165">
        <f t="shared" si="14"/>
        <v>12500</v>
      </c>
      <c r="V103" s="165">
        <f t="shared" si="14"/>
        <v>12500</v>
      </c>
      <c r="W103" s="165">
        <f t="shared" si="14"/>
        <v>12500</v>
      </c>
      <c r="X103" s="165">
        <f t="shared" si="14"/>
        <v>12500</v>
      </c>
      <c r="Y103" s="165">
        <f t="shared" si="14"/>
        <v>12500</v>
      </c>
      <c r="Z103" s="165">
        <f t="shared" si="14"/>
        <v>12500</v>
      </c>
      <c r="AA103" s="165">
        <f t="shared" si="14"/>
        <v>12500</v>
      </c>
      <c r="AB103" s="165">
        <f t="shared" si="14"/>
        <v>12500</v>
      </c>
      <c r="AC103" s="165">
        <f t="shared" si="14"/>
        <v>12500</v>
      </c>
      <c r="AD103" s="165">
        <f t="shared" si="14"/>
        <v>12500</v>
      </c>
      <c r="AE103" s="165">
        <f t="shared" si="14"/>
        <v>12500</v>
      </c>
      <c r="AF103" s="165">
        <f t="shared" si="14"/>
        <v>12500</v>
      </c>
      <c r="AG103" s="165">
        <f t="shared" si="14"/>
        <v>12500</v>
      </c>
      <c r="AH103" s="165">
        <f t="shared" si="14"/>
        <v>12500</v>
      </c>
      <c r="AI103" s="165">
        <f t="shared" si="14"/>
        <v>12500</v>
      </c>
      <c r="AJ103" s="165">
        <f t="shared" si="14"/>
        <v>12500</v>
      </c>
      <c r="AK103" s="165">
        <f t="shared" si="14"/>
        <v>12500</v>
      </c>
      <c r="AL103" s="165">
        <f t="shared" si="14"/>
        <v>12500</v>
      </c>
      <c r="AM103" s="165">
        <f t="shared" si="14"/>
        <v>12500</v>
      </c>
      <c r="AN103" s="165">
        <f t="shared" si="14"/>
        <v>12500</v>
      </c>
      <c r="AO103" s="165">
        <f t="shared" si="14"/>
        <v>12500</v>
      </c>
      <c r="AP103" s="165">
        <f t="shared" si="14"/>
        <v>12500</v>
      </c>
      <c r="AQ103" s="165">
        <f t="shared" si="14"/>
        <v>12500</v>
      </c>
      <c r="AR103" s="165">
        <f t="shared" ref="AR103:BW103" si="15">MIN(AR99*$B$94,12500)</f>
        <v>11530.827000000001</v>
      </c>
      <c r="AS103" s="165">
        <f t="shared" si="15"/>
        <v>12500</v>
      </c>
      <c r="AT103" s="165">
        <f t="shared" si="15"/>
        <v>12500</v>
      </c>
      <c r="AU103" s="165">
        <f t="shared" si="15"/>
        <v>11919.475</v>
      </c>
      <c r="AV103" s="165">
        <f t="shared" si="15"/>
        <v>11841.264000000001</v>
      </c>
      <c r="AW103" s="165">
        <f t="shared" si="15"/>
        <v>11763.052000000001</v>
      </c>
      <c r="AX103" s="165">
        <f t="shared" si="15"/>
        <v>11684.842000000001</v>
      </c>
      <c r="AY103" s="165">
        <f t="shared" si="15"/>
        <v>11606.631000000001</v>
      </c>
      <c r="AZ103" s="165">
        <f t="shared" si="15"/>
        <v>11528.42</v>
      </c>
      <c r="BA103" s="165">
        <f t="shared" si="15"/>
        <v>11450.209000000001</v>
      </c>
      <c r="BB103" s="165">
        <f t="shared" si="15"/>
        <v>11371.998</v>
      </c>
      <c r="BC103" s="165">
        <f t="shared" si="15"/>
        <v>11293.787</v>
      </c>
      <c r="BD103" s="165">
        <f t="shared" si="15"/>
        <v>11215.576000000001</v>
      </c>
      <c r="BE103" s="165">
        <f t="shared" si="15"/>
        <v>11137.365</v>
      </c>
      <c r="BF103" s="165">
        <f t="shared" si="15"/>
        <v>11059.154</v>
      </c>
      <c r="BG103" s="165">
        <f t="shared" si="15"/>
        <v>10980.944000000001</v>
      </c>
      <c r="BH103" s="165">
        <f t="shared" si="15"/>
        <v>10902.732000000002</v>
      </c>
      <c r="BI103" s="165">
        <f t="shared" si="15"/>
        <v>10824.521000000001</v>
      </c>
      <c r="BJ103" s="165">
        <f t="shared" si="15"/>
        <v>12500</v>
      </c>
      <c r="BK103" s="165">
        <f t="shared" si="15"/>
        <v>0</v>
      </c>
      <c r="BL103" s="165">
        <f t="shared" si="15"/>
        <v>0</v>
      </c>
      <c r="BM103" s="165">
        <f t="shared" si="15"/>
        <v>0</v>
      </c>
      <c r="BN103" s="165">
        <f t="shared" si="15"/>
        <v>0</v>
      </c>
      <c r="BO103" s="165">
        <f t="shared" si="15"/>
        <v>0</v>
      </c>
      <c r="BP103" s="165">
        <f t="shared" si="15"/>
        <v>0</v>
      </c>
      <c r="BQ103" s="165">
        <f t="shared" si="15"/>
        <v>0</v>
      </c>
      <c r="BR103" s="165">
        <f t="shared" si="15"/>
        <v>0</v>
      </c>
      <c r="BS103" s="165">
        <f t="shared" si="15"/>
        <v>0</v>
      </c>
      <c r="BT103" s="165">
        <f t="shared" si="15"/>
        <v>0</v>
      </c>
      <c r="BU103" s="165">
        <f t="shared" si="15"/>
        <v>0</v>
      </c>
      <c r="BV103" s="165">
        <f t="shared" si="15"/>
        <v>0</v>
      </c>
      <c r="BW103" s="165">
        <f t="shared" si="15"/>
        <v>0</v>
      </c>
      <c r="BX103" s="165">
        <f t="shared" ref="BX103:CG103" si="16">MIN(BX99*$B$94,12500)</f>
        <v>0</v>
      </c>
      <c r="BY103" s="165">
        <f t="shared" si="16"/>
        <v>0</v>
      </c>
      <c r="BZ103" s="165">
        <f t="shared" si="16"/>
        <v>0</v>
      </c>
      <c r="CA103" s="165">
        <f t="shared" si="16"/>
        <v>0</v>
      </c>
      <c r="CB103" s="165">
        <f t="shared" si="16"/>
        <v>0</v>
      </c>
      <c r="CC103" s="165">
        <f t="shared" si="16"/>
        <v>0</v>
      </c>
      <c r="CD103" s="165">
        <f t="shared" si="16"/>
        <v>0</v>
      </c>
      <c r="CE103" s="165">
        <f t="shared" si="16"/>
        <v>0</v>
      </c>
      <c r="CF103" s="165">
        <f t="shared" si="16"/>
        <v>0</v>
      </c>
      <c r="CG103" s="165">
        <f t="shared" si="16"/>
        <v>0</v>
      </c>
      <c r="CH103" s="165">
        <f>CH99*$B$94</f>
        <v>0</v>
      </c>
    </row>
    <row r="104" spans="1:86" ht="15" customHeight="1" x14ac:dyDescent="0.25">
      <c r="A104" s="162" t="s">
        <v>622</v>
      </c>
      <c r="B104" s="163">
        <f t="shared" si="9"/>
        <v>6490433.3830000013</v>
      </c>
      <c r="C104" s="165">
        <f t="shared" ref="C104:AH104" si="17">C102-C103</f>
        <v>0</v>
      </c>
      <c r="D104" s="165">
        <f t="shared" si="17"/>
        <v>0</v>
      </c>
      <c r="E104" s="165">
        <f t="shared" si="17"/>
        <v>0</v>
      </c>
      <c r="F104" s="165">
        <f t="shared" si="17"/>
        <v>0</v>
      </c>
      <c r="G104" s="165">
        <f t="shared" si="17"/>
        <v>0</v>
      </c>
      <c r="H104" s="165">
        <f t="shared" si="17"/>
        <v>0</v>
      </c>
      <c r="I104" s="165">
        <f t="shared" si="17"/>
        <v>0</v>
      </c>
      <c r="J104" s="165">
        <f t="shared" si="17"/>
        <v>0</v>
      </c>
      <c r="K104" s="165">
        <f t="shared" si="17"/>
        <v>0</v>
      </c>
      <c r="L104" s="165">
        <f t="shared" si="17"/>
        <v>31045.324000000001</v>
      </c>
      <c r="M104" s="165">
        <f t="shared" si="17"/>
        <v>20628.324000000001</v>
      </c>
      <c r="N104" s="165">
        <f t="shared" si="17"/>
        <v>20628.324000000001</v>
      </c>
      <c r="O104" s="165">
        <f t="shared" si="17"/>
        <v>20628.324000000001</v>
      </c>
      <c r="P104" s="165">
        <f t="shared" si="17"/>
        <v>13128.324000000001</v>
      </c>
      <c r="Q104" s="165">
        <f t="shared" si="17"/>
        <v>13128.324000000001</v>
      </c>
      <c r="R104" s="165">
        <f t="shared" si="17"/>
        <v>36433.067999999999</v>
      </c>
      <c r="S104" s="165">
        <f t="shared" si="17"/>
        <v>59737.811999999991</v>
      </c>
      <c r="T104" s="165">
        <f t="shared" si="17"/>
        <v>83042.555999999997</v>
      </c>
      <c r="U104" s="165">
        <f t="shared" si="17"/>
        <v>99542.989999999991</v>
      </c>
      <c r="V104" s="165">
        <f t="shared" si="17"/>
        <v>125437.16</v>
      </c>
      <c r="W104" s="165">
        <f t="shared" si="17"/>
        <v>151331.31</v>
      </c>
      <c r="X104" s="165">
        <f t="shared" si="17"/>
        <v>177225.46</v>
      </c>
      <c r="Y104" s="165">
        <f t="shared" si="17"/>
        <v>203119.62</v>
      </c>
      <c r="Z104" s="165">
        <f t="shared" si="17"/>
        <v>229013.78999999998</v>
      </c>
      <c r="AA104" s="165">
        <f t="shared" si="17"/>
        <v>254907.94</v>
      </c>
      <c r="AB104" s="165">
        <f t="shared" si="17"/>
        <v>280802.11</v>
      </c>
      <c r="AC104" s="165">
        <f t="shared" si="17"/>
        <v>341329.61</v>
      </c>
      <c r="AD104" s="165">
        <f t="shared" si="17"/>
        <v>252011.01</v>
      </c>
      <c r="AE104" s="165">
        <f t="shared" si="17"/>
        <v>252793.13</v>
      </c>
      <c r="AF104" s="165">
        <f t="shared" si="17"/>
        <v>253575.22999999998</v>
      </c>
      <c r="AG104" s="165">
        <f t="shared" si="17"/>
        <v>254357.34000000003</v>
      </c>
      <c r="AH104" s="165">
        <f t="shared" si="17"/>
        <v>255139.44</v>
      </c>
      <c r="AI104" s="165">
        <f t="shared" ref="AI104:BN104" si="18">AI102-AI103</f>
        <v>281815.71000000002</v>
      </c>
      <c r="AJ104" s="165">
        <f t="shared" si="18"/>
        <v>256703.66999999998</v>
      </c>
      <c r="AK104" s="165">
        <f t="shared" si="18"/>
        <v>231591.62</v>
      </c>
      <c r="AL104" s="165">
        <f t="shared" si="18"/>
        <v>206479.57</v>
      </c>
      <c r="AM104" s="165">
        <f t="shared" si="18"/>
        <v>181367.51</v>
      </c>
      <c r="AN104" s="165">
        <f t="shared" si="18"/>
        <v>156255.47</v>
      </c>
      <c r="AO104" s="165">
        <f t="shared" si="18"/>
        <v>131143.42000000001</v>
      </c>
      <c r="AP104" s="165">
        <f t="shared" si="18"/>
        <v>106031.35999999999</v>
      </c>
      <c r="AQ104" s="165">
        <f t="shared" si="18"/>
        <v>80919.320000000007</v>
      </c>
      <c r="AR104" s="165">
        <f t="shared" si="18"/>
        <v>56776.442999999999</v>
      </c>
      <c r="AS104" s="165">
        <f t="shared" si="18"/>
        <v>136594.1</v>
      </c>
      <c r="AT104" s="165">
        <f t="shared" si="18"/>
        <v>110699.95000000001</v>
      </c>
      <c r="AU104" s="165">
        <f t="shared" si="18"/>
        <v>60274.275000000001</v>
      </c>
      <c r="AV104" s="165">
        <f t="shared" si="18"/>
        <v>59570.375999999997</v>
      </c>
      <c r="AW104" s="165">
        <f t="shared" si="18"/>
        <v>58866.468000000001</v>
      </c>
      <c r="AX104" s="165">
        <f t="shared" si="18"/>
        <v>58162.577999999994</v>
      </c>
      <c r="AY104" s="165">
        <f t="shared" si="18"/>
        <v>57458.678999999996</v>
      </c>
      <c r="AZ104" s="165">
        <f t="shared" si="18"/>
        <v>56754.78</v>
      </c>
      <c r="BA104" s="165">
        <f t="shared" si="18"/>
        <v>56050.880999999994</v>
      </c>
      <c r="BB104" s="165">
        <f t="shared" si="18"/>
        <v>55346.981999999996</v>
      </c>
      <c r="BC104" s="165">
        <f t="shared" si="18"/>
        <v>54643.082999999999</v>
      </c>
      <c r="BD104" s="165">
        <f t="shared" si="18"/>
        <v>53939.183999999994</v>
      </c>
      <c r="BE104" s="165">
        <f t="shared" si="18"/>
        <v>53235.284999999996</v>
      </c>
      <c r="BF104" s="165">
        <f t="shared" si="18"/>
        <v>52531.385999999991</v>
      </c>
      <c r="BG104" s="165">
        <f t="shared" si="18"/>
        <v>51827.495999999999</v>
      </c>
      <c r="BH104" s="165">
        <f t="shared" si="18"/>
        <v>98124.588000000003</v>
      </c>
      <c r="BI104" s="165">
        <f t="shared" si="18"/>
        <v>97420.689000000013</v>
      </c>
      <c r="BJ104" s="165">
        <f t="shared" si="18"/>
        <v>200861.99</v>
      </c>
      <c r="BK104" s="165">
        <f t="shared" si="18"/>
        <v>0</v>
      </c>
      <c r="BL104" s="165">
        <f t="shared" si="18"/>
        <v>0</v>
      </c>
      <c r="BM104" s="165">
        <f t="shared" si="18"/>
        <v>0</v>
      </c>
      <c r="BN104" s="165">
        <f t="shared" si="18"/>
        <v>0</v>
      </c>
      <c r="BO104" s="165">
        <f t="shared" ref="BO104:CT104" si="19">BO102-BO103</f>
        <v>0</v>
      </c>
      <c r="BP104" s="165">
        <f t="shared" si="19"/>
        <v>0</v>
      </c>
      <c r="BQ104" s="165">
        <f t="shared" si="19"/>
        <v>0</v>
      </c>
      <c r="BR104" s="165">
        <f t="shared" si="19"/>
        <v>0</v>
      </c>
      <c r="BS104" s="165">
        <f t="shared" si="19"/>
        <v>0</v>
      </c>
      <c r="BT104" s="165">
        <f t="shared" si="19"/>
        <v>0</v>
      </c>
      <c r="BU104" s="165">
        <f t="shared" si="19"/>
        <v>0</v>
      </c>
      <c r="BV104" s="165">
        <f t="shared" si="19"/>
        <v>0</v>
      </c>
      <c r="BW104" s="165">
        <f t="shared" si="19"/>
        <v>0</v>
      </c>
      <c r="BX104" s="165">
        <f t="shared" si="19"/>
        <v>0</v>
      </c>
      <c r="BY104" s="165">
        <f t="shared" si="19"/>
        <v>0</v>
      </c>
      <c r="BZ104" s="165">
        <f t="shared" si="19"/>
        <v>0</v>
      </c>
      <c r="CA104" s="165">
        <f t="shared" si="19"/>
        <v>0</v>
      </c>
      <c r="CB104" s="165">
        <f t="shared" si="19"/>
        <v>0</v>
      </c>
      <c r="CC104" s="165">
        <f t="shared" si="19"/>
        <v>0</v>
      </c>
      <c r="CD104" s="165">
        <f t="shared" si="19"/>
        <v>0</v>
      </c>
      <c r="CE104" s="165">
        <f t="shared" si="19"/>
        <v>0</v>
      </c>
      <c r="CF104" s="165">
        <f t="shared" si="19"/>
        <v>0</v>
      </c>
      <c r="CG104" s="165">
        <f t="shared" si="19"/>
        <v>0</v>
      </c>
      <c r="CH104" s="165">
        <f t="shared" si="19"/>
        <v>0</v>
      </c>
    </row>
    <row r="105" spans="1:86" ht="15" customHeight="1" x14ac:dyDescent="0.25">
      <c r="A105" s="162" t="s">
        <v>623</v>
      </c>
      <c r="B105" s="163">
        <f t="shared" si="9"/>
        <v>2951665.9260000009</v>
      </c>
      <c r="C105" s="165">
        <v>0</v>
      </c>
      <c r="D105" s="165">
        <v>0</v>
      </c>
      <c r="E105" s="165">
        <v>0</v>
      </c>
      <c r="F105" s="165">
        <v>0</v>
      </c>
      <c r="G105" s="165">
        <v>0</v>
      </c>
      <c r="H105" s="165">
        <v>0</v>
      </c>
      <c r="I105" s="165">
        <v>0</v>
      </c>
      <c r="J105" s="165">
        <v>0</v>
      </c>
      <c r="K105" s="165">
        <v>0</v>
      </c>
      <c r="L105" s="165">
        <f t="shared" ref="L105:Z105" si="20">MAX(0,L104)*0.4</f>
        <v>12418.1296</v>
      </c>
      <c r="M105" s="165">
        <f t="shared" si="20"/>
        <v>8251.3296000000009</v>
      </c>
      <c r="N105" s="165">
        <f t="shared" si="20"/>
        <v>8251.3296000000009</v>
      </c>
      <c r="O105" s="165">
        <f t="shared" si="20"/>
        <v>8251.3296000000009</v>
      </c>
      <c r="P105" s="165">
        <f t="shared" si="20"/>
        <v>5251.3296000000009</v>
      </c>
      <c r="Q105" s="165">
        <f t="shared" si="20"/>
        <v>5251.3296000000009</v>
      </c>
      <c r="R105" s="165">
        <f t="shared" si="20"/>
        <v>14573.227200000001</v>
      </c>
      <c r="S105" s="165">
        <f t="shared" si="20"/>
        <v>23895.124799999998</v>
      </c>
      <c r="T105" s="165">
        <f t="shared" si="20"/>
        <v>33217.022400000002</v>
      </c>
      <c r="U105" s="165">
        <f t="shared" si="20"/>
        <v>39817.195999999996</v>
      </c>
      <c r="V105" s="165">
        <f t="shared" si="20"/>
        <v>50174.864000000001</v>
      </c>
      <c r="W105" s="165">
        <f t="shared" si="20"/>
        <v>60532.524000000005</v>
      </c>
      <c r="X105" s="165">
        <f t="shared" si="20"/>
        <v>70890.183999999994</v>
      </c>
      <c r="Y105" s="165">
        <f t="shared" si="20"/>
        <v>81247.847999999998</v>
      </c>
      <c r="Z105" s="165">
        <f t="shared" si="20"/>
        <v>91605.516000000003</v>
      </c>
      <c r="AA105" s="165">
        <f t="shared" ref="AA105:AM105" si="21">MAX(0,AA104)*0.45</f>
        <v>114708.573</v>
      </c>
      <c r="AB105" s="165">
        <f t="shared" si="21"/>
        <v>126360.9495</v>
      </c>
      <c r="AC105" s="165">
        <f t="shared" si="21"/>
        <v>153598.32449999999</v>
      </c>
      <c r="AD105" s="165">
        <f t="shared" si="21"/>
        <v>113404.95450000001</v>
      </c>
      <c r="AE105" s="165">
        <f t="shared" si="21"/>
        <v>113756.90850000001</v>
      </c>
      <c r="AF105" s="165">
        <f t="shared" si="21"/>
        <v>114108.8535</v>
      </c>
      <c r="AG105" s="165">
        <f t="shared" si="21"/>
        <v>114460.80300000001</v>
      </c>
      <c r="AH105" s="165">
        <f t="shared" si="21"/>
        <v>114812.74800000001</v>
      </c>
      <c r="AI105" s="165">
        <f t="shared" si="21"/>
        <v>126817.06950000001</v>
      </c>
      <c r="AJ105" s="165">
        <f t="shared" si="21"/>
        <v>115516.65149999999</v>
      </c>
      <c r="AK105" s="165">
        <f t="shared" si="21"/>
        <v>104216.22900000001</v>
      </c>
      <c r="AL105" s="165">
        <f t="shared" si="21"/>
        <v>92915.806500000006</v>
      </c>
      <c r="AM105" s="165">
        <f t="shared" si="21"/>
        <v>81615.37950000001</v>
      </c>
      <c r="AN105" s="165">
        <f t="shared" ref="AN105:CG105" si="22">MAX(0,AN104)*0.5</f>
        <v>78127.735000000001</v>
      </c>
      <c r="AO105" s="165">
        <f t="shared" si="22"/>
        <v>65571.710000000006</v>
      </c>
      <c r="AP105" s="165">
        <f t="shared" si="22"/>
        <v>53015.679999999993</v>
      </c>
      <c r="AQ105" s="165">
        <f t="shared" si="22"/>
        <v>40459.660000000003</v>
      </c>
      <c r="AR105" s="165">
        <f t="shared" si="22"/>
        <v>28388.2215</v>
      </c>
      <c r="AS105" s="165">
        <f t="shared" si="22"/>
        <v>68297.05</v>
      </c>
      <c r="AT105" s="165">
        <f t="shared" si="22"/>
        <v>55349.975000000006</v>
      </c>
      <c r="AU105" s="165">
        <f t="shared" si="22"/>
        <v>30137.137500000001</v>
      </c>
      <c r="AV105" s="165">
        <f t="shared" si="22"/>
        <v>29785.187999999998</v>
      </c>
      <c r="AW105" s="165">
        <f t="shared" si="22"/>
        <v>29433.234</v>
      </c>
      <c r="AX105" s="165">
        <f t="shared" si="22"/>
        <v>29081.288999999997</v>
      </c>
      <c r="AY105" s="165">
        <f t="shared" si="22"/>
        <v>28729.339499999998</v>
      </c>
      <c r="AZ105" s="165">
        <f t="shared" si="22"/>
        <v>28377.39</v>
      </c>
      <c r="BA105" s="165">
        <f t="shared" si="22"/>
        <v>28025.440499999997</v>
      </c>
      <c r="BB105" s="165">
        <f t="shared" si="22"/>
        <v>27673.490999999998</v>
      </c>
      <c r="BC105" s="165">
        <f t="shared" si="22"/>
        <v>27321.541499999999</v>
      </c>
      <c r="BD105" s="165">
        <f t="shared" si="22"/>
        <v>26969.591999999997</v>
      </c>
      <c r="BE105" s="165">
        <f t="shared" si="22"/>
        <v>26617.642499999998</v>
      </c>
      <c r="BF105" s="165">
        <f t="shared" si="22"/>
        <v>26265.692999999996</v>
      </c>
      <c r="BG105" s="165">
        <f t="shared" si="22"/>
        <v>25913.748</v>
      </c>
      <c r="BH105" s="165">
        <f t="shared" si="22"/>
        <v>49062.294000000002</v>
      </c>
      <c r="BI105" s="165">
        <f t="shared" si="22"/>
        <v>48710.344500000007</v>
      </c>
      <c r="BJ105" s="165">
        <f t="shared" si="22"/>
        <v>100430.995</v>
      </c>
      <c r="BK105" s="165">
        <f t="shared" si="22"/>
        <v>0</v>
      </c>
      <c r="BL105" s="165">
        <f t="shared" si="22"/>
        <v>0</v>
      </c>
      <c r="BM105" s="165">
        <f t="shared" si="22"/>
        <v>0</v>
      </c>
      <c r="BN105" s="165">
        <f t="shared" si="22"/>
        <v>0</v>
      </c>
      <c r="BO105" s="165">
        <f t="shared" si="22"/>
        <v>0</v>
      </c>
      <c r="BP105" s="165">
        <f t="shared" si="22"/>
        <v>0</v>
      </c>
      <c r="BQ105" s="165">
        <f t="shared" si="22"/>
        <v>0</v>
      </c>
      <c r="BR105" s="165">
        <f t="shared" si="22"/>
        <v>0</v>
      </c>
      <c r="BS105" s="165">
        <f t="shared" si="22"/>
        <v>0</v>
      </c>
      <c r="BT105" s="165">
        <f t="shared" si="22"/>
        <v>0</v>
      </c>
      <c r="BU105" s="165">
        <f t="shared" si="22"/>
        <v>0</v>
      </c>
      <c r="BV105" s="165">
        <f t="shared" si="22"/>
        <v>0</v>
      </c>
      <c r="BW105" s="165">
        <f t="shared" si="22"/>
        <v>0</v>
      </c>
      <c r="BX105" s="165">
        <f t="shared" si="22"/>
        <v>0</v>
      </c>
      <c r="BY105" s="165">
        <f t="shared" si="22"/>
        <v>0</v>
      </c>
      <c r="BZ105" s="165">
        <f t="shared" si="22"/>
        <v>0</v>
      </c>
      <c r="CA105" s="165">
        <f t="shared" si="22"/>
        <v>0</v>
      </c>
      <c r="CB105" s="165">
        <f t="shared" si="22"/>
        <v>0</v>
      </c>
      <c r="CC105" s="165">
        <f t="shared" si="22"/>
        <v>0</v>
      </c>
      <c r="CD105" s="165">
        <f t="shared" si="22"/>
        <v>0</v>
      </c>
      <c r="CE105" s="165">
        <f t="shared" si="22"/>
        <v>0</v>
      </c>
      <c r="CF105" s="165">
        <f t="shared" si="22"/>
        <v>0</v>
      </c>
      <c r="CG105" s="165">
        <f t="shared" si="22"/>
        <v>0</v>
      </c>
      <c r="CH105" s="165">
        <f>MAX(0,CH104)*$B$95</f>
        <v>0</v>
      </c>
    </row>
    <row r="106" spans="1:86" ht="15" customHeight="1" x14ac:dyDescent="0.25">
      <c r="A106" s="162" t="s">
        <v>624</v>
      </c>
      <c r="B106" s="163">
        <f t="shared" ref="B106:AG106" si="23">B104-B105</f>
        <v>3538767.4570000004</v>
      </c>
      <c r="C106" s="165">
        <f t="shared" si="23"/>
        <v>0</v>
      </c>
      <c r="D106" s="165">
        <f t="shared" si="23"/>
        <v>0</v>
      </c>
      <c r="E106" s="165">
        <f t="shared" si="23"/>
        <v>0</v>
      </c>
      <c r="F106" s="165">
        <f t="shared" si="23"/>
        <v>0</v>
      </c>
      <c r="G106" s="165">
        <f t="shared" si="23"/>
        <v>0</v>
      </c>
      <c r="H106" s="165">
        <f t="shared" si="23"/>
        <v>0</v>
      </c>
      <c r="I106" s="165">
        <f t="shared" si="23"/>
        <v>0</v>
      </c>
      <c r="J106" s="165">
        <f t="shared" si="23"/>
        <v>0</v>
      </c>
      <c r="K106" s="165">
        <f t="shared" si="23"/>
        <v>0</v>
      </c>
      <c r="L106" s="165">
        <f t="shared" si="23"/>
        <v>18627.1944</v>
      </c>
      <c r="M106" s="165">
        <f t="shared" si="23"/>
        <v>12376.9944</v>
      </c>
      <c r="N106" s="165">
        <f t="shared" si="23"/>
        <v>12376.9944</v>
      </c>
      <c r="O106" s="165">
        <f t="shared" si="23"/>
        <v>12376.9944</v>
      </c>
      <c r="P106" s="165">
        <f t="shared" si="23"/>
        <v>7876.9943999999996</v>
      </c>
      <c r="Q106" s="165">
        <f t="shared" si="23"/>
        <v>7876.9943999999996</v>
      </c>
      <c r="R106" s="165">
        <f t="shared" si="23"/>
        <v>21859.840799999998</v>
      </c>
      <c r="S106" s="165">
        <f t="shared" si="23"/>
        <v>35842.687199999993</v>
      </c>
      <c r="T106" s="165">
        <f t="shared" si="23"/>
        <v>49825.533599999995</v>
      </c>
      <c r="U106" s="165">
        <f t="shared" si="23"/>
        <v>59725.793999999994</v>
      </c>
      <c r="V106" s="165">
        <f t="shared" si="23"/>
        <v>75262.296000000002</v>
      </c>
      <c r="W106" s="165">
        <f t="shared" si="23"/>
        <v>90798.785999999993</v>
      </c>
      <c r="X106" s="165">
        <f t="shared" si="23"/>
        <v>106335.276</v>
      </c>
      <c r="Y106" s="165">
        <f t="shared" si="23"/>
        <v>121871.772</v>
      </c>
      <c r="Z106" s="165">
        <f t="shared" si="23"/>
        <v>137408.27399999998</v>
      </c>
      <c r="AA106" s="165">
        <f t="shared" si="23"/>
        <v>140199.367</v>
      </c>
      <c r="AB106" s="165">
        <f t="shared" si="23"/>
        <v>154441.1605</v>
      </c>
      <c r="AC106" s="165">
        <f t="shared" si="23"/>
        <v>187731.2855</v>
      </c>
      <c r="AD106" s="165">
        <f t="shared" si="23"/>
        <v>138606.05550000002</v>
      </c>
      <c r="AE106" s="165">
        <f t="shared" si="23"/>
        <v>139036.22149999999</v>
      </c>
      <c r="AF106" s="165">
        <f t="shared" si="23"/>
        <v>139466.37649999998</v>
      </c>
      <c r="AG106" s="165">
        <f t="shared" si="23"/>
        <v>139896.53700000001</v>
      </c>
      <c r="AH106" s="165">
        <f t="shared" ref="AH106:BM106" si="24">AH104-AH105</f>
        <v>140326.69199999998</v>
      </c>
      <c r="AI106" s="165">
        <f t="shared" si="24"/>
        <v>154998.64050000001</v>
      </c>
      <c r="AJ106" s="165">
        <f t="shared" si="24"/>
        <v>141187.01850000001</v>
      </c>
      <c r="AK106" s="165">
        <f t="shared" si="24"/>
        <v>127375.39099999999</v>
      </c>
      <c r="AL106" s="165">
        <f t="shared" si="24"/>
        <v>113563.7635</v>
      </c>
      <c r="AM106" s="165">
        <f t="shared" si="24"/>
        <v>99752.130499999999</v>
      </c>
      <c r="AN106" s="165">
        <f t="shared" si="24"/>
        <v>78127.735000000001</v>
      </c>
      <c r="AO106" s="165">
        <f t="shared" si="24"/>
        <v>65571.710000000006</v>
      </c>
      <c r="AP106" s="165">
        <f t="shared" si="24"/>
        <v>53015.679999999993</v>
      </c>
      <c r="AQ106" s="165">
        <f t="shared" si="24"/>
        <v>40459.660000000003</v>
      </c>
      <c r="AR106" s="165">
        <f t="shared" si="24"/>
        <v>28388.2215</v>
      </c>
      <c r="AS106" s="165">
        <f t="shared" si="24"/>
        <v>68297.05</v>
      </c>
      <c r="AT106" s="165">
        <f t="shared" si="24"/>
        <v>55349.975000000006</v>
      </c>
      <c r="AU106" s="165">
        <f t="shared" si="24"/>
        <v>30137.137500000001</v>
      </c>
      <c r="AV106" s="165">
        <f t="shared" si="24"/>
        <v>29785.187999999998</v>
      </c>
      <c r="AW106" s="165">
        <f t="shared" si="24"/>
        <v>29433.234</v>
      </c>
      <c r="AX106" s="165">
        <f t="shared" si="24"/>
        <v>29081.288999999997</v>
      </c>
      <c r="AY106" s="165">
        <f t="shared" si="24"/>
        <v>28729.339499999998</v>
      </c>
      <c r="AZ106" s="165">
        <f t="shared" si="24"/>
        <v>28377.39</v>
      </c>
      <c r="BA106" s="165">
        <f t="shared" si="24"/>
        <v>28025.440499999997</v>
      </c>
      <c r="BB106" s="165">
        <f t="shared" si="24"/>
        <v>27673.490999999998</v>
      </c>
      <c r="BC106" s="165">
        <f t="shared" si="24"/>
        <v>27321.541499999999</v>
      </c>
      <c r="BD106" s="165">
        <f t="shared" si="24"/>
        <v>26969.591999999997</v>
      </c>
      <c r="BE106" s="165">
        <f t="shared" si="24"/>
        <v>26617.642499999998</v>
      </c>
      <c r="BF106" s="165">
        <f t="shared" si="24"/>
        <v>26265.692999999996</v>
      </c>
      <c r="BG106" s="165">
        <f t="shared" si="24"/>
        <v>25913.748</v>
      </c>
      <c r="BH106" s="165">
        <f t="shared" si="24"/>
        <v>49062.294000000002</v>
      </c>
      <c r="BI106" s="165">
        <f t="shared" si="24"/>
        <v>48710.344500000007</v>
      </c>
      <c r="BJ106" s="165">
        <f t="shared" si="24"/>
        <v>100430.995</v>
      </c>
      <c r="BK106" s="165">
        <f t="shared" si="24"/>
        <v>0</v>
      </c>
      <c r="BL106" s="165">
        <f t="shared" si="24"/>
        <v>0</v>
      </c>
      <c r="BM106" s="165">
        <f t="shared" si="24"/>
        <v>0</v>
      </c>
      <c r="BN106" s="165">
        <f t="shared" ref="BN106:CS106" si="25">BN104-BN105</f>
        <v>0</v>
      </c>
      <c r="BO106" s="165">
        <f t="shared" si="25"/>
        <v>0</v>
      </c>
      <c r="BP106" s="165">
        <f t="shared" si="25"/>
        <v>0</v>
      </c>
      <c r="BQ106" s="165">
        <f t="shared" si="25"/>
        <v>0</v>
      </c>
      <c r="BR106" s="165">
        <f t="shared" si="25"/>
        <v>0</v>
      </c>
      <c r="BS106" s="165">
        <f t="shared" si="25"/>
        <v>0</v>
      </c>
      <c r="BT106" s="165">
        <f t="shared" si="25"/>
        <v>0</v>
      </c>
      <c r="BU106" s="165">
        <f t="shared" si="25"/>
        <v>0</v>
      </c>
      <c r="BV106" s="165">
        <f t="shared" si="25"/>
        <v>0</v>
      </c>
      <c r="BW106" s="165">
        <f t="shared" si="25"/>
        <v>0</v>
      </c>
      <c r="BX106" s="165">
        <f t="shared" si="25"/>
        <v>0</v>
      </c>
      <c r="BY106" s="165">
        <f t="shared" si="25"/>
        <v>0</v>
      </c>
      <c r="BZ106" s="165">
        <f t="shared" si="25"/>
        <v>0</v>
      </c>
      <c r="CA106" s="165">
        <f t="shared" si="25"/>
        <v>0</v>
      </c>
      <c r="CB106" s="165">
        <f t="shared" si="25"/>
        <v>0</v>
      </c>
      <c r="CC106" s="165">
        <f t="shared" si="25"/>
        <v>0</v>
      </c>
      <c r="CD106" s="165">
        <f t="shared" si="25"/>
        <v>0</v>
      </c>
      <c r="CE106" s="165">
        <f t="shared" si="25"/>
        <v>0</v>
      </c>
      <c r="CF106" s="165">
        <f t="shared" si="25"/>
        <v>0</v>
      </c>
      <c r="CG106" s="165">
        <f t="shared" si="25"/>
        <v>0</v>
      </c>
      <c r="CH106" s="165">
        <f t="shared" si="25"/>
        <v>0</v>
      </c>
    </row>
    <row r="107" spans="1:86" ht="15" customHeight="1" x14ac:dyDescent="0.25">
      <c r="A107" s="162" t="s">
        <v>625</v>
      </c>
      <c r="B107" s="163">
        <f t="shared" ref="B107:AG107" si="26">B103+B106</f>
        <v>4101960.074</v>
      </c>
      <c r="C107" s="165">
        <f t="shared" si="26"/>
        <v>0</v>
      </c>
      <c r="D107" s="165">
        <f t="shared" si="26"/>
        <v>0</v>
      </c>
      <c r="E107" s="165">
        <f t="shared" si="26"/>
        <v>0</v>
      </c>
      <c r="F107" s="165">
        <f t="shared" si="26"/>
        <v>0</v>
      </c>
      <c r="G107" s="165">
        <f t="shared" si="26"/>
        <v>0</v>
      </c>
      <c r="H107" s="165">
        <f t="shared" si="26"/>
        <v>0</v>
      </c>
      <c r="I107" s="165">
        <f t="shared" si="26"/>
        <v>0</v>
      </c>
      <c r="J107" s="165">
        <f t="shared" si="26"/>
        <v>0</v>
      </c>
      <c r="K107" s="165">
        <f t="shared" si="26"/>
        <v>0</v>
      </c>
      <c r="L107" s="165">
        <f t="shared" si="26"/>
        <v>23132.2304</v>
      </c>
      <c r="M107" s="165">
        <f t="shared" si="26"/>
        <v>16882.0304</v>
      </c>
      <c r="N107" s="165">
        <f t="shared" si="26"/>
        <v>16882.0304</v>
      </c>
      <c r="O107" s="165">
        <f t="shared" si="26"/>
        <v>16882.0304</v>
      </c>
      <c r="P107" s="165">
        <f t="shared" si="26"/>
        <v>12382.0304</v>
      </c>
      <c r="Q107" s="165">
        <f t="shared" si="26"/>
        <v>12382.0304</v>
      </c>
      <c r="R107" s="165">
        <f t="shared" si="26"/>
        <v>28954.292799999999</v>
      </c>
      <c r="S107" s="165">
        <f t="shared" si="26"/>
        <v>45526.555199999995</v>
      </c>
      <c r="T107" s="165">
        <f t="shared" si="26"/>
        <v>62098.817599999995</v>
      </c>
      <c r="U107" s="165">
        <f t="shared" si="26"/>
        <v>72225.793999999994</v>
      </c>
      <c r="V107" s="165">
        <f t="shared" si="26"/>
        <v>87762.296000000002</v>
      </c>
      <c r="W107" s="165">
        <f t="shared" si="26"/>
        <v>103298.78599999999</v>
      </c>
      <c r="X107" s="165">
        <f t="shared" si="26"/>
        <v>118835.276</v>
      </c>
      <c r="Y107" s="165">
        <f t="shared" si="26"/>
        <v>134371.772</v>
      </c>
      <c r="Z107" s="165">
        <f t="shared" si="26"/>
        <v>149908.27399999998</v>
      </c>
      <c r="AA107" s="165">
        <f t="shared" si="26"/>
        <v>152699.367</v>
      </c>
      <c r="AB107" s="165">
        <f t="shared" si="26"/>
        <v>166941.1605</v>
      </c>
      <c r="AC107" s="165">
        <f t="shared" si="26"/>
        <v>200231.2855</v>
      </c>
      <c r="AD107" s="165">
        <f t="shared" si="26"/>
        <v>151106.05550000002</v>
      </c>
      <c r="AE107" s="165">
        <f t="shared" si="26"/>
        <v>151536.22149999999</v>
      </c>
      <c r="AF107" s="165">
        <f t="shared" si="26"/>
        <v>151966.37649999998</v>
      </c>
      <c r="AG107" s="165">
        <f t="shared" si="26"/>
        <v>152396.53700000001</v>
      </c>
      <c r="AH107" s="165">
        <f t="shared" ref="AH107:BM107" si="27">AH103+AH106</f>
        <v>152826.69199999998</v>
      </c>
      <c r="AI107" s="165">
        <f t="shared" si="27"/>
        <v>167498.64050000001</v>
      </c>
      <c r="AJ107" s="165">
        <f t="shared" si="27"/>
        <v>153687.01850000001</v>
      </c>
      <c r="AK107" s="165">
        <f t="shared" si="27"/>
        <v>139875.391</v>
      </c>
      <c r="AL107" s="165">
        <f t="shared" si="27"/>
        <v>126063.7635</v>
      </c>
      <c r="AM107" s="165">
        <f t="shared" si="27"/>
        <v>112252.1305</v>
      </c>
      <c r="AN107" s="165">
        <f t="shared" si="27"/>
        <v>90627.735000000001</v>
      </c>
      <c r="AO107" s="165">
        <f t="shared" si="27"/>
        <v>78071.710000000006</v>
      </c>
      <c r="AP107" s="165">
        <f t="shared" si="27"/>
        <v>65515.679999999993</v>
      </c>
      <c r="AQ107" s="165">
        <f t="shared" si="27"/>
        <v>52959.66</v>
      </c>
      <c r="AR107" s="165">
        <f t="shared" si="27"/>
        <v>39919.048500000004</v>
      </c>
      <c r="AS107" s="165">
        <f t="shared" si="27"/>
        <v>80797.05</v>
      </c>
      <c r="AT107" s="165">
        <f t="shared" si="27"/>
        <v>67849.975000000006</v>
      </c>
      <c r="AU107" s="165">
        <f t="shared" si="27"/>
        <v>42056.612500000003</v>
      </c>
      <c r="AV107" s="165">
        <f t="shared" si="27"/>
        <v>41626.451999999997</v>
      </c>
      <c r="AW107" s="165">
        <f t="shared" si="27"/>
        <v>41196.286</v>
      </c>
      <c r="AX107" s="165">
        <f t="shared" si="27"/>
        <v>40766.130999999994</v>
      </c>
      <c r="AY107" s="165">
        <f t="shared" si="27"/>
        <v>40335.970499999996</v>
      </c>
      <c r="AZ107" s="165">
        <f t="shared" si="27"/>
        <v>39905.81</v>
      </c>
      <c r="BA107" s="165">
        <f t="shared" si="27"/>
        <v>39475.6495</v>
      </c>
      <c r="BB107" s="165">
        <f t="shared" si="27"/>
        <v>39045.489000000001</v>
      </c>
      <c r="BC107" s="165">
        <f t="shared" si="27"/>
        <v>38615.328500000003</v>
      </c>
      <c r="BD107" s="165">
        <f t="shared" si="27"/>
        <v>38185.167999999998</v>
      </c>
      <c r="BE107" s="165">
        <f t="shared" si="27"/>
        <v>37755.0075</v>
      </c>
      <c r="BF107" s="165">
        <f t="shared" si="27"/>
        <v>37324.846999999994</v>
      </c>
      <c r="BG107" s="165">
        <f t="shared" si="27"/>
        <v>36894.692000000003</v>
      </c>
      <c r="BH107" s="165">
        <f t="shared" si="27"/>
        <v>59965.026000000005</v>
      </c>
      <c r="BI107" s="165">
        <f t="shared" si="27"/>
        <v>59534.865500000007</v>
      </c>
      <c r="BJ107" s="165">
        <f t="shared" si="27"/>
        <v>112930.995</v>
      </c>
      <c r="BK107" s="165">
        <f t="shared" si="27"/>
        <v>0</v>
      </c>
      <c r="BL107" s="165">
        <f t="shared" si="27"/>
        <v>0</v>
      </c>
      <c r="BM107" s="165">
        <f t="shared" si="27"/>
        <v>0</v>
      </c>
      <c r="BN107" s="165">
        <f t="shared" ref="BN107:CS107" si="28">BN103+BN106</f>
        <v>0</v>
      </c>
      <c r="BO107" s="165">
        <f t="shared" si="28"/>
        <v>0</v>
      </c>
      <c r="BP107" s="165">
        <f t="shared" si="28"/>
        <v>0</v>
      </c>
      <c r="BQ107" s="165">
        <f t="shared" si="28"/>
        <v>0</v>
      </c>
      <c r="BR107" s="165">
        <f t="shared" si="28"/>
        <v>0</v>
      </c>
      <c r="BS107" s="165">
        <f t="shared" si="28"/>
        <v>0</v>
      </c>
      <c r="BT107" s="165">
        <f t="shared" si="28"/>
        <v>0</v>
      </c>
      <c r="BU107" s="165">
        <f t="shared" si="28"/>
        <v>0</v>
      </c>
      <c r="BV107" s="165">
        <f t="shared" si="28"/>
        <v>0</v>
      </c>
      <c r="BW107" s="165">
        <f t="shared" si="28"/>
        <v>0</v>
      </c>
      <c r="BX107" s="165">
        <f t="shared" si="28"/>
        <v>0</v>
      </c>
      <c r="BY107" s="165">
        <f t="shared" si="28"/>
        <v>0</v>
      </c>
      <c r="BZ107" s="165">
        <f t="shared" si="28"/>
        <v>0</v>
      </c>
      <c r="CA107" s="165">
        <f t="shared" si="28"/>
        <v>0</v>
      </c>
      <c r="CB107" s="165">
        <f t="shared" si="28"/>
        <v>0</v>
      </c>
      <c r="CC107" s="165">
        <f t="shared" si="28"/>
        <v>0</v>
      </c>
      <c r="CD107" s="165">
        <f t="shared" si="28"/>
        <v>0</v>
      </c>
      <c r="CE107" s="165">
        <f t="shared" si="28"/>
        <v>0</v>
      </c>
      <c r="CF107" s="165">
        <f t="shared" si="28"/>
        <v>0</v>
      </c>
      <c r="CG107" s="165">
        <f t="shared" si="28"/>
        <v>0</v>
      </c>
      <c r="CH107" s="165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6" t="s">
        <v>733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</row>
    <row r="3" spans="1:86" ht="15" customHeight="1" x14ac:dyDescent="0.25">
      <c r="A3" s="168"/>
      <c r="B3" s="169" t="s">
        <v>734</v>
      </c>
      <c r="C3" s="169" t="s">
        <v>735</v>
      </c>
      <c r="D3" s="169" t="s">
        <v>736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70" t="s">
        <v>111</v>
      </c>
      <c r="B5" s="171"/>
      <c r="C5" s="171"/>
      <c r="D5" s="171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2" t="s">
        <v>737</v>
      </c>
      <c r="B6" s="173">
        <f>SUM(Model!C60:CH60)</f>
        <v>1063981</v>
      </c>
      <c r="C6" s="173">
        <f>Helpers!B47</f>
        <v>1912475</v>
      </c>
      <c r="D6" s="173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738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2" t="s">
        <v>739</v>
      </c>
      <c r="B8" s="173">
        <f>-Assumptions!$B$53*Assumptions!$B$48</f>
        <v>-150000</v>
      </c>
      <c r="C8" s="173">
        <v>0</v>
      </c>
      <c r="D8" s="173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590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2" t="s">
        <v>740</v>
      </c>
      <c r="B10" s="145">
        <f>SUM(B6:B9)</f>
        <v>484296.52</v>
      </c>
      <c r="C10" s="145">
        <f>SUM(C6:C9)</f>
        <v>1912475</v>
      </c>
      <c r="D10" s="145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4"/>
      <c r="B11" s="175"/>
      <c r="C11" s="175"/>
      <c r="D11" s="175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741</v>
      </c>
      <c r="B12" s="109"/>
      <c r="C12" s="176"/>
      <c r="D12" s="176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2" t="s">
        <v>737</v>
      </c>
      <c r="B13" s="173">
        <f>SUM(Model!C62:CH62)</f>
        <v>292621</v>
      </c>
      <c r="C13" s="173">
        <f>Helpers!B48</f>
        <v>2633580</v>
      </c>
      <c r="D13" s="173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7" t="s">
        <v>738</v>
      </c>
      <c r="B14" s="178">
        <f>-Projects!$B$14*Assumptions!$B$47</f>
        <v>-413546.32</v>
      </c>
      <c r="C14" s="178">
        <v>0</v>
      </c>
      <c r="D14" s="178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2" t="s">
        <v>739</v>
      </c>
      <c r="B15" s="173">
        <f>-Assumptions!$B$55*Assumptions!$B$48</f>
        <v>-150000</v>
      </c>
      <c r="C15" s="173">
        <v>0</v>
      </c>
      <c r="D15" s="173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7" t="s">
        <v>590</v>
      </c>
      <c r="B16" s="178">
        <f>-SUM(Model!C122:CH122)</f>
        <v>-603840.54700517165</v>
      </c>
      <c r="C16" s="178">
        <f>-Helpers!F93</f>
        <v>-240125.88120644525</v>
      </c>
      <c r="D16" s="178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740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9"/>
      <c r="B18" s="180"/>
      <c r="C18" s="180"/>
      <c r="D18" s="180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1" t="s">
        <v>116</v>
      </c>
      <c r="B19" s="182"/>
      <c r="C19" s="182"/>
      <c r="D19" s="18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3" t="s">
        <v>737</v>
      </c>
      <c r="B20" s="184">
        <f>SUM(Model!C61:CH61)</f>
        <v>1681289</v>
      </c>
      <c r="C20" s="184">
        <f>Helpers!B49</f>
        <v>2278136</v>
      </c>
      <c r="D20" s="184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5" t="s">
        <v>738</v>
      </c>
      <c r="B21" s="186">
        <f>-Projects!$B$13*Assumptions!$B$47</f>
        <v>-452667.7</v>
      </c>
      <c r="C21" s="186">
        <v>0</v>
      </c>
      <c r="D21" s="186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3" t="s">
        <v>739</v>
      </c>
      <c r="B22" s="184">
        <f>-Assumptions!$B$54*Assumptions!$B$48</f>
        <v>-150000</v>
      </c>
      <c r="C22" s="184">
        <v>0</v>
      </c>
      <c r="D22" s="184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590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7" t="s">
        <v>740</v>
      </c>
      <c r="B24" s="149">
        <f>SUM(B20:B23)</f>
        <v>340608.02660647908</v>
      </c>
      <c r="C24" s="149">
        <f>SUM(C20:C23)</f>
        <v>2278136</v>
      </c>
      <c r="D24" s="149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6"/>
      <c r="B25" s="187"/>
      <c r="C25" s="187"/>
      <c r="D25" s="187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8" t="s">
        <v>742</v>
      </c>
      <c r="B26" s="189"/>
      <c r="C26" s="189"/>
      <c r="D26" s="189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90" t="s">
        <v>743</v>
      </c>
      <c r="B27" s="191">
        <f t="shared" ref="B27:D31" si="0">B6+B13+B20</f>
        <v>3037891</v>
      </c>
      <c r="C27" s="191">
        <f t="shared" si="0"/>
        <v>6824191</v>
      </c>
      <c r="D27" s="191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744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2" t="s">
        <v>745</v>
      </c>
      <c r="B29" s="193">
        <f t="shared" si="0"/>
        <v>-450000</v>
      </c>
      <c r="C29" s="193">
        <f t="shared" si="0"/>
        <v>0</v>
      </c>
      <c r="D29" s="193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4" t="s">
        <v>746</v>
      </c>
      <c r="B30" s="195">
        <f t="shared" si="0"/>
        <v>-1341853.8203986925</v>
      </c>
      <c r="C30" s="195">
        <f t="shared" si="0"/>
        <v>-240125.88120644525</v>
      </c>
      <c r="D30" s="195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747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6"/>
      <c r="B32" s="197"/>
      <c r="C32" s="197"/>
      <c r="D32" s="19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6"/>
      <c r="B33" s="187"/>
      <c r="C33" s="187"/>
      <c r="D33" s="187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6"/>
      <c r="B34" s="197"/>
      <c r="C34" s="197"/>
      <c r="D34" s="197"/>
    </row>
    <row r="35" spans="1:86" ht="15" customHeight="1" x14ac:dyDescent="0.25">
      <c r="A35" s="174"/>
      <c r="B35" s="175"/>
      <c r="C35" s="175"/>
      <c r="D35" s="175"/>
    </row>
    <row r="37" spans="1:86" ht="15" customHeight="1" x14ac:dyDescent="0.25">
      <c r="A37" s="198"/>
    </row>
    <row r="38" spans="1:86" ht="15" customHeight="1" x14ac:dyDescent="0.25">
      <c r="A38" s="199"/>
    </row>
    <row r="39" spans="1:86" ht="15" customHeight="1" x14ac:dyDescent="0.25">
      <c r="A39" s="199"/>
    </row>
    <row r="40" spans="1:86" ht="15" customHeight="1" x14ac:dyDescent="0.25">
      <c r="A40" s="199" t="s">
        <v>748</v>
      </c>
    </row>
    <row r="41" spans="1:86" ht="15" customHeight="1" x14ac:dyDescent="0.25">
      <c r="A41" s="199" t="s">
        <v>749</v>
      </c>
    </row>
    <row r="42" spans="1:86" ht="15" customHeight="1" x14ac:dyDescent="0.25">
      <c r="A42" s="199" t="s">
        <v>750</v>
      </c>
    </row>
    <row r="43" spans="1:86" ht="15" customHeight="1" x14ac:dyDescent="0.25">
      <c r="A43" s="199" t="s">
        <v>751</v>
      </c>
    </row>
    <row r="44" spans="1:86" ht="15" customHeight="1" x14ac:dyDescent="0.25">
      <c r="A44" s="199" t="s">
        <v>752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2026-04-20T15:00:12Z</dcterms:modified>
  <dc:language>en-US</dc:language>
</cp:coreProperties>
</file>