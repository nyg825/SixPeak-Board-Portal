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700" yWindow="870" windowWidth="37995" windowHeight="19500" tabRatio="500" firstSheet="0" activeTab="8" autoFilterDateGrouping="1"/>
  </bookViews>
  <sheets>
    <sheet xmlns:r="http://schemas.openxmlformats.org/officeDocument/2006/relationships" name="Annual Summary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QTR Summary" sheetId="3" state="visible" r:id="rId3"/>
    <sheet xmlns:r="http://schemas.openxmlformats.org/officeDocument/2006/relationships" name="Appendix" sheetId="4" state="hidden" r:id="rId4"/>
    <sheet xmlns:r="http://schemas.openxmlformats.org/officeDocument/2006/relationships" name="Sensitivity" sheetId="5" state="hidden" r:id="rId5"/>
    <sheet xmlns:r="http://schemas.openxmlformats.org/officeDocument/2006/relationships" name="Curves" sheetId="6" state="hidden" r:id="rId6"/>
    <sheet xmlns:r="http://schemas.openxmlformats.org/officeDocument/2006/relationships" name="Assumptions" sheetId="7" state="visible" r:id="rId7"/>
    <sheet xmlns:r="http://schemas.openxmlformats.org/officeDocument/2006/relationships" name="Projects" sheetId="8" state="visible" r:id="rId8"/>
    <sheet xmlns:r="http://schemas.openxmlformats.org/officeDocument/2006/relationships" name="Personnel" sheetId="9" state="visible" r:id="rId9"/>
    <sheet xmlns:r="http://schemas.openxmlformats.org/officeDocument/2006/relationships" name="Escalation" sheetId="10" state="hidden" r:id="rId10"/>
    <sheet xmlns:r="http://schemas.openxmlformats.org/officeDocument/2006/relationships" name="Helpers" sheetId="11" state="hidden" r:id="rId11"/>
    <sheet xmlns:r="http://schemas.openxmlformats.org/officeDocument/2006/relationships" name="Uplifters" sheetId="12" state="visible" r:id="rId12"/>
    <sheet xmlns:r="http://schemas.openxmlformats.org/officeDocument/2006/relationships" name="LIHTC Project P&amp;L" sheetId="13" state="visible" r:id="rId1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_(\$* #,##0_);[Red]_(\$* \(#,##0\);_(\$* \-_);_(@_)"/>
    <numFmt numFmtId="165" formatCode="0.0%"/>
    <numFmt numFmtId="166" formatCode="0.0000"/>
    <numFmt numFmtId="167" formatCode="[$$-409]#,##0.00;[Red]\-[$$-409]#,##0.00"/>
    <numFmt numFmtId="168" formatCode="#,##0;\(#,##0\);\-"/>
    <numFmt numFmtId="169" formatCode="&quot;$&quot;#,##0"/>
  </numFmts>
  <fonts count="44">
    <font>
      <name val="Calibri"/>
      <charset val="1"/>
      <family val="2"/>
      <color theme="1"/>
      <sz val="11"/>
    </font>
    <font>
      <name val="Aptos"/>
      <charset val="1"/>
      <b val="1"/>
      <color rgb="FF0B1833"/>
      <sz val="14"/>
    </font>
    <font>
      <name val="Aptos"/>
      <charset val="1"/>
      <b val="1"/>
      <color rgb="FFF8FAFC"/>
      <sz val="11"/>
    </font>
    <font>
      <name val="Aptos"/>
      <charset val="1"/>
      <b val="1"/>
      <sz val="10"/>
    </font>
    <font>
      <name val="Aptos"/>
      <charset val="1"/>
      <color rgb="FF000000"/>
      <sz val="10"/>
    </font>
    <font>
      <name val="Aptos"/>
      <charset val="1"/>
      <b val="1"/>
      <color rgb="FF000000"/>
      <sz val="10"/>
    </font>
    <font>
      <name val="Calibri"/>
      <charset val="1"/>
      <color rgb="FF000000"/>
      <sz val="11"/>
    </font>
    <font>
      <name val="Aptos"/>
      <charset val="1"/>
      <b val="1"/>
      <color rgb="FF000000"/>
      <sz val="11"/>
    </font>
    <font>
      <name val="Aptos"/>
      <charset val="1"/>
      <color rgb="FF2C3A51"/>
      <sz val="10"/>
    </font>
    <font>
      <name val="Aptos"/>
      <charset val="1"/>
      <family val="2"/>
      <sz val="10"/>
    </font>
    <font>
      <name val="Aptos"/>
      <charset val="1"/>
      <color theme="1"/>
      <sz val="11"/>
    </font>
    <font>
      <name val="Aptos"/>
      <charset val="1"/>
      <color rgb="FF0B1833"/>
      <sz val="10"/>
    </font>
    <font>
      <name val="Aptos"/>
      <charset val="1"/>
      <i val="1"/>
      <color rgb="FFF8FAFC"/>
      <sz val="8"/>
    </font>
    <font>
      <name val="Aptos"/>
      <charset val="1"/>
      <b val="1"/>
      <color rgb="FF0B1833"/>
      <sz val="10"/>
    </font>
    <font>
      <name val="Aptos"/>
      <charset val="1"/>
      <color rgb="FF000000"/>
      <sz val="11"/>
    </font>
    <font>
      <name val="Cambria"/>
      <charset val="1"/>
      <sz val="11"/>
    </font>
    <font>
      <name val="Aptos"/>
      <charset val="1"/>
      <i val="1"/>
      <color rgb="FF666666"/>
      <sz val="9"/>
    </font>
    <font>
      <name val="Aptos"/>
      <charset val="1"/>
      <color rgb="FF666666"/>
      <sz val="9"/>
    </font>
    <font>
      <name val="Aptos"/>
      <charset val="1"/>
      <sz val="10"/>
    </font>
    <font>
      <name val="Calibri"/>
      <charset val="1"/>
      <family val="2"/>
      <sz val="11"/>
    </font>
    <font>
      <name val="Aptos"/>
      <charset val="1"/>
      <color rgb="FF717F4B"/>
      <sz val="10"/>
    </font>
    <font>
      <name val="Aptos"/>
      <charset val="1"/>
      <color rgb="FFEF4444"/>
      <sz val="10"/>
    </font>
    <font>
      <name val="Aptos"/>
      <charset val="1"/>
      <b val="1"/>
      <color rgb="FF0B1833"/>
      <sz val="11"/>
    </font>
    <font>
      <name val="Aptos"/>
      <charset val="1"/>
      <i val="1"/>
      <color rgb="FF999999"/>
      <sz val="10"/>
    </font>
    <font>
      <name val="Aptos"/>
      <charset val="1"/>
      <color rgb="FF0000FF"/>
      <sz val="10"/>
    </font>
    <font>
      <name val="Aptos"/>
      <charset val="1"/>
      <b val="1"/>
      <color rgb="FFC4581A"/>
      <sz val="10"/>
    </font>
    <font>
      <name val="Aptos"/>
      <charset val="1"/>
      <i val="1"/>
      <color rgb="FF999999"/>
      <sz val="9"/>
    </font>
    <font>
      <name val="Aptos"/>
      <charset val="1"/>
      <b val="1"/>
      <color rgb="FFFFFFFF"/>
      <sz val="10"/>
    </font>
    <font>
      <name val="Aptos"/>
      <charset val="1"/>
      <b val="1"/>
      <color rgb="FF1F3864"/>
      <sz val="10"/>
    </font>
    <font>
      <name val="Aptos"/>
      <charset val="1"/>
      <color rgb="FF333333"/>
      <sz val="10"/>
    </font>
    <font>
      <name val="Cambria"/>
      <charset val="1"/>
      <b val="1"/>
      <sz val="11"/>
    </font>
    <font>
      <name val="Cambria"/>
      <charset val="1"/>
      <i val="1"/>
      <sz val="11"/>
    </font>
    <font>
      <name val="Cambria"/>
      <charset val="1"/>
      <i val="1"/>
      <color rgb="FF666666"/>
      <sz val="9"/>
    </font>
    <font>
      <name val="Aptos"/>
      <charset val="1"/>
      <b val="1"/>
      <sz val="12"/>
    </font>
    <font>
      <name val="Aptos"/>
      <charset val="1"/>
      <b val="1"/>
      <color rgb="FFFFFFFF"/>
      <sz val="11"/>
    </font>
    <font>
      <name val="Aptos"/>
      <charset val="1"/>
      <i val="1"/>
      <sz val="10"/>
    </font>
    <font>
      <name val="Aptos"/>
      <charset val="1"/>
      <sz val="9"/>
    </font>
    <font>
      <name val="Aptos"/>
      <charset val="1"/>
      <color theme="1"/>
      <sz val="10"/>
    </font>
    <font>
      <name val="Aptos"/>
      <charset val="1"/>
      <b val="1"/>
      <sz val="13"/>
    </font>
    <font>
      <name val="Aptos"/>
      <charset val="1"/>
      <b val="1"/>
      <color rgb="FF666666"/>
      <sz val="9"/>
    </font>
    <font>
      <name val="Aptos"/>
      <charset val="1"/>
      <color rgb="FF888888"/>
      <sz val="9"/>
    </font>
    <font>
      <name val="Aptos"/>
      <b val="1"/>
      <color rgb="00FFFFFF"/>
      <sz val="10"/>
    </font>
    <font>
      <name val="Aptos"/>
      <color rgb="002D2D2D"/>
      <sz val="10"/>
    </font>
    <font>
      <name val="Aptos"/>
      <b val="1"/>
      <color rgb="000B1833"/>
      <sz val="10"/>
    </font>
  </fonts>
  <fills count="30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000B1833"/>
      </patternFill>
    </fill>
    <fill>
      <patternFill patternType="solid">
        <fgColor rgb="00F5F5F5"/>
      </patternFill>
    </fill>
    <fill>
      <patternFill patternType="solid">
        <fgColor rgb="00E2E7F0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/>
  </borders>
  <cellStyleXfs count="1">
    <xf numFmtId="0" fontId="0" fillId="0" borderId="0"/>
  </cellStyleXfs>
  <cellXfs count="223">
    <xf numFmtId="0" fontId="0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164" fontId="3" fillId="0" borderId="0" pivotButton="0" quotePrefix="0" xfId="0"/>
    <xf numFmtId="0" fontId="2" fillId="4" borderId="0" pivotButton="0" quotePrefix="0" xfId="0"/>
    <xf numFmtId="0" fontId="4" fillId="2" borderId="0" pivotButton="0" quotePrefix="0" xfId="0"/>
    <xf numFmtId="164" fontId="4" fillId="2" borderId="0" pivotButton="0" quotePrefix="0" xfId="0"/>
    <xf numFmtId="0" fontId="5" fillId="5" borderId="1" pivotButton="0" quotePrefix="0" xfId="0"/>
    <xf numFmtId="164" fontId="5" fillId="5" borderId="1" pivotButton="0" quotePrefix="0" xfId="0"/>
    <xf numFmtId="0" fontId="6" fillId="2" borderId="0" pivotButton="0" quotePrefix="0" xfId="0"/>
    <xf numFmtId="0" fontId="7" fillId="4" borderId="0" pivotButton="0" quotePrefix="0" xfId="0"/>
    <xf numFmtId="0" fontId="5" fillId="6" borderId="1" pivotButton="0" quotePrefix="0" xfId="0"/>
    <xf numFmtId="164" fontId="5" fillId="6" borderId="1" pivotButton="0" quotePrefix="0" xfId="0"/>
    <xf numFmtId="165" fontId="4" fillId="2" borderId="0" pivotButton="0" quotePrefix="0" xfId="0"/>
    <xf numFmtId="0" fontId="8" fillId="2" borderId="0" pivotButton="0" quotePrefix="0" xfId="0"/>
    <xf numFmtId="164" fontId="9" fillId="2" borderId="0" pivotButton="0" quotePrefix="0" xfId="0"/>
    <xf numFmtId="0" fontId="4" fillId="7" borderId="1" pivotButton="0" quotePrefix="0" xfId="0"/>
    <xf numFmtId="164" fontId="4" fillId="7" borderId="1" pivotButton="0" quotePrefix="0" xfId="0"/>
    <xf numFmtId="0" fontId="5" fillId="2" borderId="0" pivotButton="0" quotePrefix="0" xfId="0"/>
    <xf numFmtId="164" fontId="5" fillId="2" borderId="0" pivotButton="0" quotePrefix="0" xfId="0"/>
    <xf numFmtId="0" fontId="10" fillId="2" borderId="0" pivotButton="0" quotePrefix="0" xfId="0"/>
    <xf numFmtId="0" fontId="10" fillId="0" borderId="0" pivotButton="0" quotePrefix="0" xfId="0"/>
    <xf numFmtId="17" fontId="2" fillId="3" borderId="0" applyAlignment="1" pivotButton="0" quotePrefix="0" xfId="0">
      <alignment horizontal="center"/>
    </xf>
    <xf numFmtId="0" fontId="11" fillId="2" borderId="0" pivotButton="0" quotePrefix="0" xfId="0"/>
    <xf numFmtId="0" fontId="2" fillId="3" borderId="0" applyAlignment="1" pivotButton="0" quotePrefix="0" xfId="0">
      <alignment horizontal="center" wrapText="1"/>
    </xf>
    <xf numFmtId="0" fontId="12" fillId="3" borderId="0" applyAlignment="1" pivotButton="0" quotePrefix="0" xfId="0">
      <alignment horizontal="center" wrapText="1"/>
    </xf>
    <xf numFmtId="0" fontId="13" fillId="5" borderId="1" pivotButton="0" quotePrefix="0" xfId="0"/>
    <xf numFmtId="0" fontId="10" fillId="6" borderId="1" pivotButton="0" quotePrefix="0" xfId="0"/>
    <xf numFmtId="10" fontId="4" fillId="2" borderId="0" pivotButton="0" quotePrefix="0" xfId="0"/>
    <xf numFmtId="0" fontId="14" fillId="2" borderId="0" pivotButton="0" quotePrefix="0" xfId="0"/>
    <xf numFmtId="164" fontId="4" fillId="5" borderId="1" pivotButton="0" quotePrefix="0" xfId="0"/>
    <xf numFmtId="0" fontId="4" fillId="5" borderId="1" pivotButton="0" quotePrefix="0" xfId="0"/>
    <xf numFmtId="0" fontId="4" fillId="8" borderId="0" pivotButton="0" quotePrefix="0" xfId="0"/>
    <xf numFmtId="0" fontId="10" fillId="8" borderId="0" pivotButton="0" quotePrefix="0" xfId="0"/>
    <xf numFmtId="164" fontId="4" fillId="2" borderId="0" applyAlignment="1" pivotButton="0" quotePrefix="0" xfId="0">
      <alignment horizontal="right"/>
    </xf>
    <xf numFmtId="0" fontId="4" fillId="2" borderId="2" pivotButton="0" quotePrefix="0" xfId="0"/>
    <xf numFmtId="164" fontId="4" fillId="2" borderId="2" applyAlignment="1" pivotButton="0" quotePrefix="0" xfId="0">
      <alignment horizontal="right"/>
    </xf>
    <xf numFmtId="0" fontId="5" fillId="9" borderId="3" pivotButton="0" quotePrefix="0" xfId="0"/>
    <xf numFmtId="0" fontId="4" fillId="9" borderId="3" pivotButton="0" quotePrefix="0" xfId="0"/>
    <xf numFmtId="164" fontId="5" fillId="9" borderId="3" applyAlignment="1" pivotButton="0" quotePrefix="0" xfId="0">
      <alignment horizontal="right"/>
    </xf>
    <xf numFmtId="0" fontId="4" fillId="5" borderId="0" pivotButton="0" quotePrefix="0" xfId="0"/>
    <xf numFmtId="164" fontId="4" fillId="5" borderId="0" applyAlignment="1" pivotButton="0" quotePrefix="0" xfId="0">
      <alignment horizontal="right"/>
    </xf>
    <xf numFmtId="0" fontId="4" fillId="5" borderId="2" pivotButton="0" quotePrefix="0" xfId="0"/>
    <xf numFmtId="164" fontId="4" fillId="5" borderId="2" applyAlignment="1" pivotButton="0" quotePrefix="0" xfId="0">
      <alignment horizontal="right"/>
    </xf>
    <xf numFmtId="0" fontId="5" fillId="9" borderId="2" pivotButton="0" quotePrefix="0" xfId="0"/>
    <xf numFmtId="0" fontId="4" fillId="9" borderId="2" pivotButton="0" quotePrefix="0" xfId="0"/>
    <xf numFmtId="164" fontId="5" fillId="9" borderId="2" applyAlignment="1" pivotButton="0" quotePrefix="0" xfId="0">
      <alignment horizontal="right"/>
    </xf>
    <xf numFmtId="0" fontId="5" fillId="8" borderId="0" pivotButton="0" quotePrefix="0" xfId="0"/>
    <xf numFmtId="164" fontId="5" fillId="8" borderId="0" applyAlignment="1" pivotButton="0" quotePrefix="0" xfId="0">
      <alignment horizontal="right"/>
    </xf>
    <xf numFmtId="0" fontId="2" fillId="3" borderId="4" applyAlignment="1" pivotButton="0" quotePrefix="0" xfId="0">
      <alignment horizontal="center" wrapText="1"/>
    </xf>
    <xf numFmtId="0" fontId="0" fillId="0" borderId="5" pivotButton="0" quotePrefix="0" xfId="0"/>
    <xf numFmtId="0" fontId="15" fillId="0" borderId="4" pivotButton="0" quotePrefix="0" xfId="0"/>
    <xf numFmtId="0" fontId="15" fillId="0" borderId="0" pivotButton="0" quotePrefix="0" xfId="0"/>
    <xf numFmtId="0" fontId="2" fillId="8" borderId="0" applyAlignment="1" pivotButton="0" quotePrefix="0" xfId="0">
      <alignment horizontal="center" wrapText="1"/>
    </xf>
    <xf numFmtId="0" fontId="15" fillId="8" borderId="0" pivotButton="0" quotePrefix="0" xfId="0"/>
    <xf numFmtId="0" fontId="5" fillId="7" borderId="1" pivotButton="0" quotePrefix="0" xfId="0"/>
    <xf numFmtId="0" fontId="10" fillId="7" borderId="1" pivotButton="0" quotePrefix="0" xfId="0"/>
    <xf numFmtId="164" fontId="5" fillId="7" borderId="1" pivotButton="0" quotePrefix="0" xfId="0"/>
    <xf numFmtId="0" fontId="13" fillId="2" borderId="0" pivotButton="0" quotePrefix="0" xfId="0"/>
    <xf numFmtId="0" fontId="16" fillId="2" borderId="0" pivotButton="0" quotePrefix="0" xfId="0"/>
    <xf numFmtId="0" fontId="17" fillId="2" borderId="0" pivotButton="0" quotePrefix="0" xfId="0"/>
    <xf numFmtId="164" fontId="18" fillId="0" borderId="0" pivotButton="0" quotePrefix="0" xfId="0"/>
    <xf numFmtId="0" fontId="19" fillId="0" borderId="0" pivotButton="0" quotePrefix="0" xfId="0"/>
    <xf numFmtId="0" fontId="9" fillId="2" borderId="0" pivotButton="0" quotePrefix="0" xfId="0"/>
    <xf numFmtId="164" fontId="20" fillId="2" borderId="0" pivotButton="0" quotePrefix="0" xfId="0"/>
    <xf numFmtId="164" fontId="13" fillId="5" borderId="1" pivotButton="0" quotePrefix="0" xfId="0"/>
    <xf numFmtId="164" fontId="13" fillId="2" borderId="0" pivotButton="0" quotePrefix="0" xfId="0"/>
    <xf numFmtId="0" fontId="21" fillId="2" borderId="0" pivotButton="0" quotePrefix="0" xfId="0"/>
    <xf numFmtId="164" fontId="21" fillId="2" borderId="0" pivotButton="0" quotePrefix="0" xfId="0"/>
    <xf numFmtId="0" fontId="22" fillId="2" borderId="0" pivotButton="0" quotePrefix="0" xfId="0"/>
    <xf numFmtId="17" fontId="11" fillId="2" borderId="0" pivotButton="0" quotePrefix="0" xfId="0"/>
    <xf numFmtId="0" fontId="23" fillId="2" borderId="0" pivotButton="0" quotePrefix="0" xfId="0"/>
    <xf numFmtId="17" fontId="13" fillId="2" borderId="0" pivotButton="0" quotePrefix="0" xfId="0"/>
    <xf numFmtId="10" fontId="20" fillId="2" borderId="0" pivotButton="0" quotePrefix="0" xfId="0"/>
    <xf numFmtId="10" fontId="24" fillId="10" borderId="0" pivotButton="0" quotePrefix="0" xfId="0"/>
    <xf numFmtId="10" fontId="11" fillId="2" borderId="0" pivotButton="0" quotePrefix="0" xfId="0"/>
    <xf numFmtId="164" fontId="24" fillId="10" borderId="0" pivotButton="0" quotePrefix="0" xfId="0"/>
    <xf numFmtId="164" fontId="11" fillId="2" borderId="0" pivotButton="0" quotePrefix="0" xfId="0"/>
    <xf numFmtId="3" fontId="24" fillId="2" borderId="0" pivotButton="0" quotePrefix="0" xfId="0"/>
    <xf numFmtId="3" fontId="24" fillId="10" borderId="0" pivotButton="0" quotePrefix="0" xfId="0"/>
    <xf numFmtId="3" fontId="11" fillId="2" borderId="0" pivotButton="0" quotePrefix="0" xfId="0"/>
    <xf numFmtId="164" fontId="24" fillId="2" borderId="0" pivotButton="0" quotePrefix="0" xfId="0"/>
    <xf numFmtId="0" fontId="20" fillId="2" borderId="0" pivotButton="0" quotePrefix="0" xfId="0"/>
    <xf numFmtId="0" fontId="2" fillId="4" borderId="0" applyAlignment="1" pivotButton="0" quotePrefix="0" xfId="0">
      <alignment horizontal="center"/>
    </xf>
    <xf numFmtId="0" fontId="25" fillId="6" borderId="1" pivotButton="0" quotePrefix="0" xfId="0"/>
    <xf numFmtId="164" fontId="25" fillId="6" borderId="1" pivotButton="0" quotePrefix="0" xfId="0"/>
    <xf numFmtId="0" fontId="13" fillId="7" borderId="1" pivotButton="0" quotePrefix="0" xfId="0"/>
    <xf numFmtId="164" fontId="13" fillId="7" borderId="1" pivotButton="0" quotePrefix="0" xfId="0"/>
    <xf numFmtId="0" fontId="2" fillId="2" borderId="0" pivotButton="0" quotePrefix="0" xfId="0"/>
    <xf numFmtId="10" fontId="2" fillId="2" borderId="0" applyAlignment="1" pivotButton="0" quotePrefix="0" xfId="0">
      <alignment horizontal="center"/>
    </xf>
    <xf numFmtId="10" fontId="8" fillId="2" borderId="0" pivotButton="0" quotePrefix="0" xfId="0"/>
    <xf numFmtId="164" fontId="13" fillId="10" borderId="0" pivotButton="0" quotePrefix="0" xfId="0"/>
    <xf numFmtId="164" fontId="24" fillId="7" borderId="1" pivotButton="0" quotePrefix="0" xfId="0"/>
    <xf numFmtId="164" fontId="11" fillId="7" borderId="1" pivotButton="0" quotePrefix="0" xfId="0"/>
    <xf numFmtId="10" fontId="24" fillId="2" borderId="0" pivotButton="0" quotePrefix="0" xfId="0"/>
    <xf numFmtId="0" fontId="24" fillId="2" borderId="0" pivotButton="0" quotePrefix="0" xfId="0"/>
    <xf numFmtId="164" fontId="25" fillId="2" borderId="0" pivotButton="0" quotePrefix="0" xfId="0"/>
    <xf numFmtId="0" fontId="8" fillId="0" borderId="0" pivotButton="0" quotePrefix="0" xfId="0"/>
    <xf numFmtId="10" fontId="24" fillId="0" borderId="0" pivotButton="0" quotePrefix="0" xfId="0"/>
    <xf numFmtId="0" fontId="2" fillId="0" borderId="0" pivotButton="0" quotePrefix="0" xfId="0"/>
    <xf numFmtId="10" fontId="11" fillId="0" borderId="0" pivotButton="0" quotePrefix="0" xfId="0"/>
    <xf numFmtId="0" fontId="24" fillId="10" borderId="0" pivotButton="0" quotePrefix="0" xfId="0"/>
    <xf numFmtId="0" fontId="26" fillId="0" borderId="0" pivotButton="0" quotePrefix="0" xfId="0"/>
    <xf numFmtId="164" fontId="11" fillId="0" borderId="0" pivotButton="0" quotePrefix="0" xfId="0"/>
    <xf numFmtId="0" fontId="18" fillId="4" borderId="0" pivotButton="0" quotePrefix="0" xfId="0"/>
    <xf numFmtId="0" fontId="18" fillId="0" borderId="0" pivotButton="0" quotePrefix="0" xfId="0"/>
    <xf numFmtId="4" fontId="18" fillId="0" borderId="0" pivotButton="0" quotePrefix="0" xfId="0"/>
    <xf numFmtId="0" fontId="27" fillId="11" borderId="0" pivotButton="0" quotePrefix="0" xfId="0"/>
    <xf numFmtId="0" fontId="18" fillId="12" borderId="6" pivotButton="0" quotePrefix="0" xfId="0"/>
    <xf numFmtId="164" fontId="18" fillId="12" borderId="6" applyAlignment="1" pivotButton="0" quotePrefix="0" xfId="0">
      <alignment horizontal="right"/>
    </xf>
    <xf numFmtId="0" fontId="18" fillId="8" borderId="6" pivotButton="0" quotePrefix="0" xfId="0"/>
    <xf numFmtId="164" fontId="18" fillId="8" borderId="6" applyAlignment="1" pivotButton="0" quotePrefix="0" xfId="0">
      <alignment horizontal="right"/>
    </xf>
    <xf numFmtId="3" fontId="18" fillId="12" borderId="6" applyAlignment="1" pivotButton="0" quotePrefix="0" xfId="0">
      <alignment horizontal="right"/>
    </xf>
    <xf numFmtId="164" fontId="24" fillId="0" borderId="0" pivotButton="0" quotePrefix="0" xfId="0"/>
    <xf numFmtId="0" fontId="24" fillId="0" borderId="0" pivotButton="0" quotePrefix="0" xfId="0"/>
    <xf numFmtId="0" fontId="8" fillId="1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0" fontId="21" fillId="0" borderId="0" pivotButton="0" quotePrefix="0" xfId="0"/>
    <xf numFmtId="164" fontId="21" fillId="0" borderId="0" pivotButton="0" quotePrefix="0" xfId="0"/>
    <xf numFmtId="167" fontId="0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164" fontId="3" fillId="0" borderId="7" pivotButton="0" quotePrefix="0" xfId="0"/>
    <xf numFmtId="0" fontId="30" fillId="0" borderId="0" pivotButton="0" quotePrefix="0" xfId="0"/>
    <xf numFmtId="0" fontId="31" fillId="0" borderId="0" pivotButton="0" quotePrefix="0" xfId="0"/>
    <xf numFmtId="168" fontId="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4" borderId="0" pivotButton="0" quotePrefix="0" xfId="0"/>
    <xf numFmtId="3" fontId="18" fillId="0" borderId="0" pivotButton="0" quotePrefix="0" xfId="0"/>
    <xf numFmtId="0" fontId="34" fillId="13" borderId="0" pivotButton="0" quotePrefix="0" xfId="0"/>
    <xf numFmtId="0" fontId="28" fillId="14" borderId="0" pivotButton="0" quotePrefix="0" xfId="0"/>
    <xf numFmtId="0" fontId="3" fillId="15" borderId="2" pivotButton="0" quotePrefix="0" xfId="0"/>
    <xf numFmtId="164" fontId="3" fillId="16" borderId="2" pivotButton="0" quotePrefix="0" xfId="0"/>
    <xf numFmtId="0" fontId="3" fillId="15" borderId="8" pivotButton="0" quotePrefix="0" xfId="0"/>
    <xf numFmtId="164" fontId="3" fillId="16" borderId="8" pivotButton="0" quotePrefix="0" xfId="0"/>
    <xf numFmtId="0" fontId="34" fillId="17" borderId="0" pivotButton="0" quotePrefix="0" xfId="0"/>
    <xf numFmtId="0" fontId="3" fillId="15" borderId="0" pivotButton="0" quotePrefix="0" xfId="0"/>
    <xf numFmtId="0" fontId="35" fillId="0" borderId="0" pivotButton="0" quotePrefix="0" xfId="0"/>
    <xf numFmtId="3" fontId="3" fillId="15" borderId="0" pivotButton="0" quotePrefix="0" xfId="0"/>
    <xf numFmtId="164" fontId="3" fillId="15" borderId="0" pivotButton="0" quotePrefix="0" xfId="0"/>
    <xf numFmtId="0" fontId="34" fillId="18" borderId="0" pivotButton="0" quotePrefix="0" xfId="0"/>
    <xf numFmtId="0" fontId="3" fillId="19" borderId="0" pivotButton="0" quotePrefix="0" xfId="0"/>
    <xf numFmtId="0" fontId="36" fillId="0" borderId="0" pivotButton="0" quotePrefix="0" xfId="0"/>
    <xf numFmtId="164" fontId="3" fillId="19" borderId="0" pivotButton="0" quotePrefix="0" xfId="0"/>
    <xf numFmtId="0" fontId="34" fillId="20" borderId="0" pivotButton="0" quotePrefix="0" xfId="0"/>
    <xf numFmtId="0" fontId="3" fillId="21" borderId="0" pivotButton="0" quotePrefix="0" xfId="0"/>
    <xf numFmtId="164" fontId="3" fillId="21" borderId="0" pivotButton="0" quotePrefix="0" xfId="0"/>
    <xf numFmtId="0" fontId="34" fillId="22" borderId="0" pivotButton="0" quotePrefix="0" xfId="0"/>
    <xf numFmtId="0" fontId="3" fillId="16" borderId="0" pivotButton="0" quotePrefix="0" xfId="0"/>
    <xf numFmtId="164" fontId="3" fillId="16" borderId="0" pivotButton="0" quotePrefix="0" xfId="0"/>
    <xf numFmtId="0" fontId="16" fillId="0" borderId="0" pivotButton="0" quotePrefix="0" xfId="0"/>
    <xf numFmtId="0" fontId="34" fillId="3" borderId="0" pivotButton="0" quotePrefix="0" xfId="0"/>
    <xf numFmtId="0" fontId="34" fillId="23" borderId="0" pivotButton="0" quotePrefix="0" xfId="0"/>
    <xf numFmtId="165" fontId="18" fillId="0" borderId="0" pivotButton="0" quotePrefix="0" xfId="0"/>
    <xf numFmtId="0" fontId="27" fillId="3" borderId="0" pivotButton="0" quotePrefix="0" xfId="0"/>
    <xf numFmtId="0" fontId="37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37" fillId="0" borderId="0" pivotButton="0" quotePrefix="0" xfId="0"/>
    <xf numFmtId="0" fontId="38" fillId="0" borderId="0" pivotButton="0" quotePrefix="0" xfId="0"/>
    <xf numFmtId="0" fontId="18" fillId="0" borderId="0" applyAlignment="1" pivotButton="0" quotePrefix="0" xfId="0">
      <alignment horizontal="center"/>
    </xf>
    <xf numFmtId="0" fontId="18" fillId="0" borderId="9" pivotButton="0" quotePrefix="0" xfId="0"/>
    <xf numFmtId="0" fontId="3" fillId="0" borderId="9" applyAlignment="1" pivotButton="0" quotePrefix="0" xfId="0">
      <alignment horizontal="center"/>
    </xf>
    <xf numFmtId="0" fontId="27" fillId="24" borderId="0" pivotButton="0" quotePrefix="0" xfId="0"/>
    <xf numFmtId="164" fontId="27" fillId="24" borderId="0" pivotButton="0" quotePrefix="0" xfId="0"/>
    <xf numFmtId="0" fontId="18" fillId="12" borderId="0" pivotButton="0" quotePrefix="0" xfId="0"/>
    <xf numFmtId="164" fontId="18" fillId="12" borderId="0" pivotButton="0" quotePrefix="0" xfId="0"/>
    <xf numFmtId="0" fontId="5" fillId="0" borderId="7" pivotButton="0" quotePrefix="0" xfId="0"/>
    <xf numFmtId="164" fontId="5" fillId="0" borderId="7" pivotButton="0" quotePrefix="0" xfId="0"/>
    <xf numFmtId="164" fontId="27" fillId="11" borderId="0" pivotButton="0" quotePrefix="0" xfId="0"/>
    <xf numFmtId="0" fontId="18" fillId="15" borderId="0" pivotButton="0" quotePrefix="0" xfId="0"/>
    <xf numFmtId="164" fontId="18" fillId="15" borderId="0" pivotButton="0" quotePrefix="0" xfId="0"/>
    <xf numFmtId="0" fontId="29" fillId="15" borderId="0" pivotButton="0" quotePrefix="0" xfId="0"/>
    <xf numFmtId="164" fontId="29" fillId="15" borderId="0" pivotButton="0" quotePrefix="0" xfId="0"/>
    <xf numFmtId="0" fontId="27" fillId="25" borderId="7" pivotButton="0" quotePrefix="0" xfId="0"/>
    <xf numFmtId="164" fontId="27" fillId="25" borderId="7" pivotButton="0" quotePrefix="0" xfId="0"/>
    <xf numFmtId="0" fontId="18" fillId="19" borderId="0" pivotButton="0" quotePrefix="0" xfId="0"/>
    <xf numFmtId="164" fontId="18" fillId="19" borderId="0" pivotButton="0" quotePrefix="0" xfId="0"/>
    <xf numFmtId="0" fontId="18" fillId="25" borderId="0" pivotButton="0" quotePrefix="0" xfId="0"/>
    <xf numFmtId="164" fontId="18" fillId="25" borderId="0" pivotButton="0" quotePrefix="0" xfId="0"/>
    <xf numFmtId="164" fontId="29" fillId="0" borderId="0" pivotButton="0" quotePrefix="0" xfId="0"/>
    <xf numFmtId="0" fontId="27" fillId="26" borderId="0" pivotButton="0" quotePrefix="0" xfId="0"/>
    <xf numFmtId="164" fontId="27" fillId="26" borderId="0" pivotButton="0" quotePrefix="0" xfId="0"/>
    <xf numFmtId="0" fontId="18" fillId="0" borderId="7" pivotButton="0" quotePrefix="0" xfId="0"/>
    <xf numFmtId="164" fontId="18" fillId="0" borderId="7" pivotButton="0" quotePrefix="0" xfId="0"/>
    <xf numFmtId="0" fontId="18" fillId="26" borderId="0" pivotButton="0" quotePrefix="0" xfId="0"/>
    <xf numFmtId="164" fontId="18" fillId="26" borderId="0" pivotButton="0" quotePrefix="0" xfId="0"/>
    <xf numFmtId="0" fontId="18" fillId="21" borderId="0" pivotButton="0" quotePrefix="0" xfId="0"/>
    <xf numFmtId="164" fontId="18" fillId="21" borderId="0" pivotButton="0" quotePrefix="0" xfId="0"/>
    <xf numFmtId="0" fontId="29" fillId="21" borderId="0" pivotButton="0" quotePrefix="0" xfId="0"/>
    <xf numFmtId="164" fontId="29" fillId="21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6" fillId="0" borderId="0" applyAlignment="1" pivotButton="0" quotePrefix="0" xfId="0">
      <alignment wrapText="1"/>
    </xf>
    <xf numFmtId="0" fontId="41" fillId="27" borderId="10" applyAlignment="1" pivotButton="0" quotePrefix="0" xfId="0">
      <alignment horizontal="left" vertical="center"/>
    </xf>
    <xf numFmtId="0" fontId="41" fillId="27" borderId="10" applyAlignment="1" pivotButton="0" quotePrefix="0" xfId="0">
      <alignment horizontal="center" vertical="center"/>
    </xf>
    <xf numFmtId="0" fontId="42" fillId="28" borderId="10" applyAlignment="1" pivotButton="0" quotePrefix="0" xfId="0">
      <alignment horizontal="left" vertical="center"/>
    </xf>
    <xf numFmtId="169" fontId="42" fillId="28" borderId="10" applyAlignment="1" pivotButton="0" quotePrefix="0" xfId="0">
      <alignment horizontal="right" vertical="center"/>
    </xf>
    <xf numFmtId="1" fontId="42" fillId="28" borderId="10" applyAlignment="1" pivotButton="0" quotePrefix="0" xfId="0">
      <alignment horizontal="center" vertical="center"/>
    </xf>
    <xf numFmtId="0" fontId="42" fillId="28" borderId="10" applyAlignment="1" pivotButton="0" quotePrefix="0" xfId="0">
      <alignment horizontal="center" vertical="center"/>
    </xf>
    <xf numFmtId="10" fontId="42" fillId="28" borderId="10" applyAlignment="1" pivotButton="0" quotePrefix="0" xfId="0">
      <alignment horizontal="right" vertical="center"/>
    </xf>
    <xf numFmtId="0" fontId="42" fillId="0" borderId="10" applyAlignment="1" pivotButton="0" quotePrefix="0" xfId="0">
      <alignment horizontal="left" vertical="center"/>
    </xf>
    <xf numFmtId="169" fontId="42" fillId="0" borderId="10" applyAlignment="1" pivotButton="0" quotePrefix="0" xfId="0">
      <alignment horizontal="right" vertical="center"/>
    </xf>
    <xf numFmtId="1" fontId="42" fillId="0" borderId="10" applyAlignment="1" pivotButton="0" quotePrefix="0" xfId="0">
      <alignment horizontal="center" vertical="center"/>
    </xf>
    <xf numFmtId="0" fontId="42" fillId="0" borderId="10" applyAlignment="1" pivotButton="0" quotePrefix="0" xfId="0">
      <alignment horizontal="center" vertical="center"/>
    </xf>
    <xf numFmtId="10" fontId="42" fillId="0" borderId="10" applyAlignment="1" pivotButton="0" quotePrefix="0" xfId="0">
      <alignment horizontal="right" vertical="center"/>
    </xf>
    <xf numFmtId="0" fontId="42" fillId="0" borderId="11" pivotButton="0" quotePrefix="0" xfId="0"/>
    <xf numFmtId="164" fontId="42" fillId="0" borderId="11" pivotButton="0" quotePrefix="0" xfId="0"/>
    <xf numFmtId="10" fontId="42" fillId="0" borderId="11" pivotButton="0" quotePrefix="0" xfId="0"/>
    <xf numFmtId="0" fontId="43" fillId="29" borderId="10" applyAlignment="1" pivotButton="0" quotePrefix="0" xfId="0">
      <alignment horizontal="left" vertical="center"/>
    </xf>
    <xf numFmtId="0" fontId="43" fillId="29" borderId="10" applyAlignment="1" pivotButton="0" quotePrefix="0" xfId="0">
      <alignment horizontal="center" vertical="center"/>
    </xf>
    <xf numFmtId="164" fontId="43" fillId="29" borderId="10" applyAlignment="1" pivotButton="0" quotePrefix="0" xfId="0">
      <alignment horizontal="center" vertical="center"/>
    </xf>
    <xf numFmtId="10" fontId="43" fillId="29" borderId="1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Scenario H</author>
  </authors>
  <commentList>
    <comment ref="A39" authorId="0" shapeId="0">
      <text>
        <t>Includes Taggart BD bonus (0.20% of signed GMP, $150K/yr cap). See Helpers row 103.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B1833"/>
    <outlinePr summaryBelow="1" summaryRight="1"/>
    <pageSetUpPr/>
  </sheetPr>
  <dimension ref="A1:I45"/>
  <sheetViews>
    <sheetView zoomScaleNormal="100" workbookViewId="0">
      <pane xSplit="1" ySplit="2" topLeftCell="B18" activePane="bottomRight" state="frozen"/>
      <selection pane="topRight" activeCell="B1" sqref="B1"/>
      <selection pane="bottomLeft" activeCell="A18" sqref="A18"/>
      <selection pane="bottomRight" activeCell="I16" sqref="I16"/>
    </sheetView>
  </sheetViews>
  <sheetFormatPr baseColWidth="8" defaultColWidth="8.7109375" defaultRowHeight="15" customHeight="1"/>
  <cols>
    <col width="30" customWidth="1" style="201" min="1" max="1"/>
    <col width="16" customWidth="1" style="201" min="2" max="9"/>
  </cols>
  <sheetData>
    <row r="1" ht="17.25" customHeight="1" s="201">
      <c r="A1" s="200" t="inlineStr">
        <is>
          <t>Six Peak Capital - Annual Summary</t>
        </is>
      </c>
      <c r="F1" s="1" t="n"/>
      <c r="G1" s="1" t="n"/>
      <c r="H1" s="1" t="n"/>
      <c r="I1" s="1" t="n"/>
    </row>
    <row r="2" ht="15" customHeight="1" s="201">
      <c r="A2" s="2" t="n"/>
      <c r="B2" s="3" t="inlineStr">
        <is>
          <t>FY 2026</t>
        </is>
      </c>
      <c r="C2" s="3" t="inlineStr">
        <is>
          <t>FY 2027</t>
        </is>
      </c>
      <c r="D2" s="3" t="inlineStr">
        <is>
          <t>FY 2028</t>
        </is>
      </c>
      <c r="E2" s="3" t="inlineStr">
        <is>
          <t>FY 2029</t>
        </is>
      </c>
      <c r="F2" s="3" t="inlineStr">
        <is>
          <t>FY 2030</t>
        </is>
      </c>
      <c r="G2" s="3" t="inlineStr">
        <is>
          <t>FY 2031</t>
        </is>
      </c>
      <c r="H2" s="3" t="inlineStr">
        <is>
          <t>FY 2032</t>
        </is>
      </c>
      <c r="I2" s="3" t="inlineStr">
        <is>
          <t>FY 2033</t>
        </is>
      </c>
    </row>
    <row r="3" ht="15" customHeight="1" s="201">
      <c r="A3" s="4" t="inlineStr">
        <is>
          <t>Construction Billing</t>
        </is>
      </c>
      <c r="B3" s="5">
        <f>Model!C7+Model!D7+Model!E7+Model!F7+Model!G7+Model!H7+Model!I7+Model!J7+Model!K7</f>
        <v/>
      </c>
      <c r="C3" s="5">
        <f>Model!L7+Model!M7+Model!N7+Model!O7+Model!P7+Model!Q7+Model!R7+Model!S7+Model!T7+Model!U7+Model!V7+Model!W7</f>
        <v/>
      </c>
      <c r="D3" s="5">
        <f>Model!X7+Model!Y7+Model!Z7+Model!AA7+Model!AB7+Model!AC7+Model!AD7+Model!AE7+Model!AF7+Model!AG7+Model!AH7+Model!AI7</f>
        <v/>
      </c>
      <c r="E3" s="5">
        <f>Model!AJ7+Model!AK7+Model!AL7+Model!AM7+Model!AN7+Model!AO7+Model!AP7+Model!AQ7+Model!AR7+Model!AS7+Model!AT7+Model!AU7</f>
        <v/>
      </c>
      <c r="F3" s="5">
        <f>Model!AV7+Model!AW7+Model!AX7+Model!AY7+Model!AZ7+Model!BA7+Model!BB7+Model!BC7+Model!BD7+Model!BE7+Model!BF7+Model!BG7</f>
        <v/>
      </c>
      <c r="G3" s="5">
        <f>Model!BH7+Model!BI7+Model!BJ7+Model!BK7+Model!BL7+Model!BM7+Model!BN7+Model!BO7+Model!BP7+Model!BQ7+Model!BR7+Model!BS7</f>
        <v/>
      </c>
      <c r="H3" s="5">
        <f>Model!BT7+Model!BU7+Model!BV7+Model!BW7+Model!BX7+Model!BY7+Model!BZ7+Model!CA7+Model!CB7+Model!CC7+Model!CD7+Model!CE7</f>
        <v/>
      </c>
      <c r="I3" s="5">
        <f>Model!CF7+Model!CG7+Model!CH7</f>
        <v/>
      </c>
    </row>
    <row r="4" ht="15" customHeight="1" s="201">
      <c r="A4" s="6" t="inlineStr">
        <is>
          <t>GC Revenue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5" customHeight="1" s="201">
      <c r="A5" s="7" t="inlineStr">
        <is>
          <t xml:space="preserve">  Project Supervision</t>
        </is>
      </c>
      <c r="B5" s="8">
        <f>Model!C8+Model!D8+Model!E8+Model!F8+Model!G8+Model!H8+Model!I8+Model!J8+Model!K8</f>
        <v/>
      </c>
      <c r="C5" s="8">
        <f>Model!L8+Model!M8+Model!N8+Model!O8+Model!P8+Model!Q8+Model!R8+Model!S8+Model!T8+Model!U8+Model!V8+Model!W8</f>
        <v/>
      </c>
      <c r="D5" s="8">
        <f>Model!X8+Model!Y8+Model!Z8+Model!AA8+Model!AB8+Model!AC8+Model!AD8+Model!AE8+Model!AF8+Model!AG8+Model!AH8+Model!AI8</f>
        <v/>
      </c>
      <c r="E5" s="8">
        <f>Model!AJ8+Model!AK8+Model!AL8+Model!AM8+Model!AN8+Model!AO8+Model!AP8+Model!AQ8+Model!AR8+Model!AS8+Model!AT8+Model!AU8</f>
        <v/>
      </c>
      <c r="F5" s="8">
        <f>Model!AV8+Model!AW8+Model!AX8+Model!AY8+Model!AZ8+Model!BA8+Model!BB8+Model!BC8+Model!BD8+Model!BE8+Model!BF8+Model!BG8</f>
        <v/>
      </c>
      <c r="G5" s="8">
        <f>Model!BH8+Model!BI8+Model!BJ8+Model!BK8+Model!BL8+Model!BM8+Model!BN8+Model!BO8+Model!BP8+Model!BQ8+Model!BR8+Model!BS8</f>
        <v/>
      </c>
      <c r="H5" s="8">
        <f>Model!BT8+Model!BU8+Model!BV8+Model!BW8+Model!BX8+Model!BY8+Model!BZ8+Model!CA8+Model!CB8+Model!CC8+Model!CD8+Model!CE8</f>
        <v/>
      </c>
      <c r="I5" s="8">
        <f>Model!CF8+Model!CG8+Model!CH8</f>
        <v/>
      </c>
    </row>
    <row r="6" ht="15" customHeight="1" s="201">
      <c r="A6" s="7" t="inlineStr">
        <is>
          <t xml:space="preserve">  GC-CM Fee</t>
        </is>
      </c>
      <c r="B6" s="8">
        <f>Model!C9+Model!D9+Model!E9+Model!F9+Model!G9+Model!H9+Model!I9+Model!J9+Model!K9</f>
        <v/>
      </c>
      <c r="C6" s="8">
        <f>Model!L9+Model!M9+Model!N9+Model!O9+Model!P9+Model!Q9+Model!R9+Model!S9+Model!T9+Model!U9+Model!V9+Model!W9</f>
        <v/>
      </c>
      <c r="D6" s="8">
        <f>Model!X9+Model!Y9+Model!Z9+Model!AA9+Model!AB9+Model!AC9+Model!AD9+Model!AE9+Model!AF9+Model!AG9+Model!AH9+Model!AI9</f>
        <v/>
      </c>
      <c r="E6" s="8">
        <f>Model!AJ9+Model!AK9+Model!AL9+Model!AM9+Model!AN9+Model!AO9+Model!AP9+Model!AQ9+Model!AR9+Model!AS9+Model!AT9+Model!AU9</f>
        <v/>
      </c>
      <c r="F6" s="8">
        <f>Model!AV9+Model!AW9+Model!AX9+Model!AY9+Model!AZ9+Model!BA9+Model!BB9+Model!BC9+Model!BD9+Model!BE9+Model!BF9+Model!BG9</f>
        <v/>
      </c>
      <c r="G6" s="8">
        <f>Model!BH9+Model!BI9+Model!BJ9+Model!BK9+Model!BL9+Model!BM9+Model!BN9+Model!BO9+Model!BP9+Model!BQ9+Model!BR9+Model!BS9</f>
        <v/>
      </c>
      <c r="H6" s="8">
        <f>Model!BT9+Model!BU9+Model!BV9+Model!BW9+Model!BX9+Model!BY9+Model!BZ9+Model!CA9+Model!CB9+Model!CC9+Model!CD9+Model!CE9</f>
        <v/>
      </c>
      <c r="I6" s="8">
        <f>Model!CF9+Model!CG9+Model!CH9</f>
        <v/>
      </c>
    </row>
    <row r="7" ht="15" customHeight="1" s="201">
      <c r="A7" s="7" t="inlineStr">
        <is>
          <t xml:space="preserve">  Project Administration</t>
        </is>
      </c>
      <c r="B7" s="8">
        <f>Model!C10+Model!D10+Model!E10+Model!F10+Model!G10+Model!H10+Model!I10+Model!J10+Model!K10</f>
        <v/>
      </c>
      <c r="C7" s="8">
        <f>Model!L10+Model!M10+Model!N10+Model!O10+Model!P10+Model!Q10+Model!R10+Model!S10+Model!T10+Model!U10+Model!V10+Model!W10</f>
        <v/>
      </c>
      <c r="D7" s="8">
        <f>Model!X10+Model!Y10+Model!Z10+Model!AA10+Model!AB10+Model!AC10+Model!AD10+Model!AE10+Model!AF10+Model!AG10+Model!AH10+Model!AI10</f>
        <v/>
      </c>
      <c r="E7" s="8">
        <f>Model!AJ10+Model!AK10+Model!AL10+Model!AM10+Model!AN10+Model!AO10+Model!AP10+Model!AQ10+Model!AR10+Model!AS10+Model!AT10+Model!AU10</f>
        <v/>
      </c>
      <c r="F7" s="8">
        <f>Model!AV10+Model!AW10+Model!AX10+Model!AY10+Model!AZ10+Model!BA10+Model!BB10+Model!BC10+Model!BD10+Model!BE10+Model!BF10+Model!BG10</f>
        <v/>
      </c>
      <c r="G7" s="8">
        <f>Model!BH10+Model!BI10+Model!BJ10+Model!BK10+Model!BL10+Model!BM10+Model!BN10+Model!BO10+Model!BP10+Model!BQ10+Model!BR10+Model!BS10</f>
        <v/>
      </c>
      <c r="H7" s="8">
        <f>Model!BT10+Model!BU10+Model!BV10+Model!BW10+Model!BX10+Model!BY10+Model!BZ10+Model!CA10+Model!CB10+Model!CC10+Model!CD10+Model!CE10</f>
        <v/>
      </c>
      <c r="I7" s="8">
        <f>Model!CF10+Model!CG10+Model!CH10</f>
        <v/>
      </c>
    </row>
    <row r="8" ht="15" customHeight="1" s="201">
      <c r="A8" s="7" t="inlineStr">
        <is>
          <t xml:space="preserve">  Bonding Revenue</t>
        </is>
      </c>
      <c r="B8" s="8">
        <f>Model!C11+Model!D11+Model!E11+Model!F11+Model!G11+Model!H11+Model!I11+Model!J11+Model!K11</f>
        <v/>
      </c>
      <c r="C8" s="8">
        <f>Model!L11+Model!M11+Model!N11+Model!O11+Model!P11+Model!Q11+Model!R11+Model!S11+Model!T11+Model!U11+Model!V11+Model!W11</f>
        <v/>
      </c>
      <c r="D8" s="8">
        <f>Model!X11+Model!Y11+Model!Z11+Model!AA11+Model!AB11+Model!AC11+Model!AD11+Model!AE11+Model!AF11+Model!AG11+Model!AH11+Model!AI11</f>
        <v/>
      </c>
      <c r="E8" s="8">
        <f>Model!AJ11+Model!AK11+Model!AL11+Model!AM11+Model!AN11+Model!AO11+Model!AP11+Model!AQ11+Model!AR11+Model!AS11+Model!AT11+Model!AU11</f>
        <v/>
      </c>
      <c r="F8" s="8">
        <f>Model!AV11+Model!AW11+Model!AX11+Model!AY11+Model!AZ11+Model!BA11+Model!BB11+Model!BC11+Model!BD11+Model!BE11+Model!BF11+Model!BG11</f>
        <v/>
      </c>
      <c r="G8" s="8">
        <f>Model!BH11+Model!BI11+Model!BJ11+Model!BK11+Model!BL11+Model!BM11+Model!BN11+Model!BO11+Model!BP11+Model!BQ11+Model!BR11+Model!BS11</f>
        <v/>
      </c>
      <c r="H8" s="8">
        <f>Model!BT11+Model!BU11+Model!BV11+Model!BW11+Model!BX11+Model!BY11+Model!BZ11+Model!CA11+Model!CB11+Model!CC11+Model!CD11+Model!CE11</f>
        <v/>
      </c>
      <c r="I8" s="8">
        <f>Model!CF11+Model!CG11+Model!CH11</f>
        <v/>
      </c>
    </row>
    <row r="9" ht="15" customHeight="1" s="201">
      <c r="A9" s="9" t="inlineStr">
        <is>
          <t>Total GC Revenue</t>
        </is>
      </c>
      <c r="B9" s="10">
        <f>Model!C12+Model!D12+Model!E12+Model!F12+Model!G12+Model!H12+Model!I12+Model!J12+Model!K12</f>
        <v/>
      </c>
      <c r="C9" s="10">
        <f>Model!L12+Model!M12+Model!N12+Model!O12+Model!P12+Model!Q12+Model!R12+Model!S12+Model!T12+Model!U12+Model!V12+Model!W12</f>
        <v/>
      </c>
      <c r="D9" s="10">
        <f>Model!X12+Model!Y12+Model!Z12+Model!AA12+Model!AB12+Model!AC12+Model!AD12+Model!AE12+Model!AF12+Model!AG12+Model!AH12+Model!AI12</f>
        <v/>
      </c>
      <c r="E9" s="10">
        <f>Model!AJ12+Model!AK12+Model!AL12+Model!AM12+Model!AN12+Model!AO12+Model!AP12+Model!AQ12+Model!AR12+Model!AS12+Model!AT12+Model!AU12</f>
        <v/>
      </c>
      <c r="F9" s="10">
        <f>Model!AV12+Model!AW12+Model!AX12+Model!AY12+Model!AZ12+Model!BA12+Model!BB12+Model!BC12+Model!BD12+Model!BE12+Model!BF12+Model!BG12</f>
        <v/>
      </c>
      <c r="G9" s="10">
        <f>Model!BH12+Model!BI12+Model!BJ12+Model!BK12+Model!BL12+Model!BM12+Model!BN12+Model!BO12+Model!BP12+Model!BQ12+Model!BR12+Model!BS12</f>
        <v/>
      </c>
      <c r="H9" s="10">
        <f>Model!BT12+Model!BU12+Model!BV12+Model!BW12+Model!BX12+Model!BY12+Model!BZ12+Model!CA12+Model!CB12+Model!CC12+Model!CD12+Model!CE12</f>
        <v/>
      </c>
      <c r="I9" s="10">
        <f>Model!CF12+Model!CG12+Model!CH12</f>
        <v/>
      </c>
    </row>
    <row r="10" ht="15" customHeight="1" s="201">
      <c r="A10" s="1" t="n"/>
      <c r="B10" s="11" t="n"/>
      <c r="C10" s="11" t="n"/>
      <c r="D10" s="11" t="n"/>
      <c r="E10" s="11" t="n"/>
      <c r="F10" s="11" t="n"/>
      <c r="G10" s="11" t="n"/>
      <c r="H10" s="11" t="n"/>
      <c r="I10" s="1" t="n"/>
    </row>
    <row r="11" ht="15" customHeight="1" s="201">
      <c r="A11" s="6" t="inlineStr">
        <is>
          <t>GC Costs</t>
        </is>
      </c>
      <c r="B11" s="12" t="n"/>
      <c r="C11" s="12" t="n"/>
      <c r="D11" s="12" t="n"/>
      <c r="E11" s="12" t="n"/>
      <c r="F11" s="12" t="n"/>
      <c r="G11" s="12" t="n"/>
      <c r="H11" s="12" t="n"/>
      <c r="I11" s="6" t="n"/>
    </row>
    <row r="12" ht="15" customHeight="1" s="201">
      <c r="A12" s="7" t="inlineStr">
        <is>
          <t xml:space="preserve">  Bonding Costs</t>
        </is>
      </c>
      <c r="B12" s="8">
        <f>Model!C15+Model!D15+Model!E15+Model!F15+Model!G15+Model!H15+Model!I15+Model!J15+Model!K15</f>
        <v/>
      </c>
      <c r="C12" s="8">
        <f>Model!L15+Model!M15+Model!N15+Model!O15+Model!P15+Model!Q15+Model!R15+Model!S15+Model!T15+Model!U15+Model!V15+Model!W15</f>
        <v/>
      </c>
      <c r="D12" s="8">
        <f>Model!X15+Model!Y15+Model!Z15+Model!AA15+Model!AB15+Model!AC15+Model!AD15+Model!AE15+Model!AF15+Model!AG15+Model!AH15+Model!AI15</f>
        <v/>
      </c>
      <c r="E12" s="8">
        <f>Model!AJ15+Model!AK15+Model!AL15+Model!AM15+Model!AN15+Model!AO15+Model!AP15+Model!AQ15+Model!AR15+Model!AS15+Model!AT15+Model!AU15</f>
        <v/>
      </c>
      <c r="F12" s="8">
        <f>Model!AV15+Model!AW15+Model!AX15+Model!AY15+Model!AZ15+Model!BA15+Model!BB15+Model!BC15+Model!BD15+Model!BE15+Model!BF15+Model!BG15</f>
        <v/>
      </c>
      <c r="G12" s="8">
        <f>Model!BH15+Model!BI15+Model!BJ15+Model!BK15+Model!BL15+Model!BM15+Model!BN15+Model!BO15+Model!BP15+Model!BQ15+Model!BR15+Model!BS15</f>
        <v/>
      </c>
      <c r="H12" s="8">
        <f>Model!BT15+Model!BU15+Model!BV15+Model!BW15+Model!BX15+Model!BY15+Model!BZ15+Model!CA15+Model!CB15+Model!CC15+Model!CD15+Model!CE15</f>
        <v/>
      </c>
      <c r="I12" s="8">
        <f>Model!CF15+Model!CG15+Model!CH15</f>
        <v/>
      </c>
    </row>
    <row r="13" ht="15" customHeight="1" s="201">
      <c r="A13" s="7" t="inlineStr">
        <is>
          <t xml:space="preserve">  GC Personnel</t>
        </is>
      </c>
      <c r="B13" s="8">
        <f>Model!C16+Model!C17+Model!D16+Model!D17+Model!E16+Model!E17+Model!F16+Model!F17+Model!G16+Model!G17+Model!H16+Model!H17+Model!I16+Model!I17+Model!J16+Model!J17+Model!K16+Model!K17</f>
        <v/>
      </c>
      <c r="C13" s="8">
        <f>Model!L16+Model!L17+Model!M16+Model!M17+Model!N16+Model!N17+Model!O16+Model!O17+Model!P16+Model!P17+Model!Q16+Model!Q17+Model!R16+Model!R17+Model!S16+Model!S17+Model!T16+Model!T17+Model!U16+Model!U17+Model!V16+Model!V17+Model!W16+Model!W17</f>
        <v/>
      </c>
      <c r="D13" s="8">
        <f>Model!X16+Model!X17+Model!Y16+Model!Y17+Model!Z16+Model!Z17+Model!AA16+Model!AA17+Model!AB16+Model!AB17+Model!AC16+Model!AC17+Model!AD16+Model!AD17+Model!AE16+Model!AE17+Model!AF16+Model!AF17+Model!AG16+Model!AG17+Model!AH16+Model!AH17+Model!AI16+Model!AI17</f>
        <v/>
      </c>
      <c r="E13" s="8">
        <f>Model!AJ16+Model!AJ17+Model!AK16+Model!AK17+Model!AL16+Model!AL17+Model!AM16+Model!AM17+Model!AN16+Model!AN17+Model!AO16+Model!AO17+Model!AP16+Model!AP17+Model!AQ16+Model!AQ17+Model!AR16+Model!AR17+Model!AS16+Model!AS17+Model!AT16+Model!AT17+Model!AU16+Model!AU17</f>
        <v/>
      </c>
      <c r="F13" s="8">
        <f>Model!AV16+Model!AV17+Model!AW16+Model!AW17+Model!AX16+Model!AX17+Model!AY16+Model!AY17+Model!AZ16+Model!AZ17+Model!BA16+Model!BA17+Model!BB16+Model!BB17+Model!BC16+Model!BC17+Model!BD16+Model!BD17+Model!BE16+Model!BE17+Model!BF16+Model!BF17+Model!BG16+Model!BG17</f>
        <v/>
      </c>
      <c r="G13" s="8">
        <f>Model!BH16+Model!BH17+Model!BI16+Model!BI17+Model!BJ16+Model!BJ17+Model!BK16+Model!BK17+Model!BL16+Model!BL17+Model!BM16+Model!BM17+Model!BN16+Model!BN17+Model!BO16+Model!BO17+Model!BP16+Model!BP17+Model!BQ16+Model!BQ17+Model!BR16+Model!BR17+Model!BS16+Model!BS17</f>
        <v/>
      </c>
      <c r="H13" s="8">
        <f>Model!BT16+Model!BT17+Model!BU16+Model!BU17+Model!BV16+Model!BV17+Model!BW16+Model!BW17+Model!BX16+Model!BX17+Model!BY16+Model!BY17+Model!BZ16+Model!BZ17+Model!CA16+Model!CA17+Model!CB16+Model!CB17+Model!CC16+Model!CC17+Model!CD16+Model!CD17+Model!CE16+Model!CE17</f>
        <v/>
      </c>
      <c r="I13" s="8">
        <f>Model!CF16+Model!CF17+Model!CG16+Model!CG17+Model!CH16+Model!CH17</f>
        <v/>
      </c>
    </row>
    <row r="14" ht="15" customHeight="1" s="201">
      <c r="A14" s="7" t="inlineStr">
        <is>
          <t xml:space="preserve">  SP Allocated to LV</t>
        </is>
      </c>
      <c r="B14" s="8">
        <f>Model!C18+Model!D18+Model!E18+Model!F18+Model!G18+Model!H18+Model!I18+Model!J18+Model!K18</f>
        <v/>
      </c>
      <c r="C14" s="8">
        <f>Model!L18+Model!M18+Model!N18+Model!O18+Model!P18+Model!Q18+Model!R18+Model!S18+Model!T18+Model!U18+Model!V18+Model!W18</f>
        <v/>
      </c>
      <c r="D14" s="8">
        <f>Model!X18+Model!Y18+Model!Z18+Model!AA18+Model!AB18+Model!AC18+Model!AD18+Model!AE18+Model!AF18+Model!AG18+Model!AH18+Model!AI18</f>
        <v/>
      </c>
      <c r="E14" s="8">
        <f>Model!AJ18+Model!AK18+Model!AL18+Model!AM18+Model!AN18+Model!AO18+Model!AP18+Model!AQ18+Model!AR18+Model!AS18+Model!AT18+Model!AU18</f>
        <v/>
      </c>
      <c r="F14" s="8">
        <f>Model!AV18+Model!AW18+Model!AX18+Model!AY18+Model!AZ18+Model!BA18+Model!BB18+Model!BC18+Model!BD18+Model!BE18+Model!BF18+Model!BG18</f>
        <v/>
      </c>
      <c r="G14" s="8">
        <f>Model!BH18+Model!BI18+Model!BJ18+Model!BK18+Model!BL18+Model!BM18+Model!BN18+Model!BO18+Model!BP18+Model!BQ18+Model!BR18+Model!BS18</f>
        <v/>
      </c>
      <c r="H14" s="8">
        <f>Model!BT18+Model!BU18+Model!BV18+Model!BW18+Model!BX18+Model!BY18+Model!BZ18+Model!CA18+Model!CB18+Model!CC18+Model!CD18+Model!CE18</f>
        <v/>
      </c>
      <c r="I14" s="8">
        <f>Model!CF18+Model!CG18+Model!CH18</f>
        <v/>
      </c>
    </row>
    <row r="15" ht="15" customHeight="1" s="201">
      <c r="A15" s="9" t="inlineStr">
        <is>
          <t>Total GC Costs</t>
        </is>
      </c>
      <c r="B15" s="10">
        <f>Model!C39+Model!D39+Model!E39+Model!F39+Model!G39+Model!H39+Model!I39+Model!J39+Model!K39</f>
        <v/>
      </c>
      <c r="C15" s="10">
        <f>Model!L39+Model!M39+Model!N39+Model!O39+Model!P39+Model!Q39+Model!R39+Model!S39+Model!T39+Model!U39+Model!V39+Model!W39</f>
        <v/>
      </c>
      <c r="D15" s="10">
        <f>Model!X39+Model!Y39+Model!Z39+Model!AA39+Model!AB39+Model!AC39+Model!AD39+Model!AE39+Model!AF39+Model!AG39+Model!AH39+Model!AI39</f>
        <v/>
      </c>
      <c r="E15" s="10">
        <f>Model!AJ39+Model!AK39+Model!AL39+Model!AM39+Model!AN39+Model!AO39+Model!AP39+Model!AQ39+Model!AR39+Model!AS39+Model!AT39+Model!AU39</f>
        <v/>
      </c>
      <c r="F15" s="10">
        <f>Model!AV39+Model!AW39+Model!AX39+Model!AY39+Model!AZ39+Model!BA39+Model!BB39+Model!BC39+Model!BD39+Model!BE39+Model!BF39+Model!BG39</f>
        <v/>
      </c>
      <c r="G15" s="10">
        <f>Model!BH39+Model!BI39+Model!BJ39+Model!BK39+Model!BL39+Model!BM39+Model!BN39+Model!BO39+Model!BP39+Model!BQ39+Model!BR39+Model!BS39</f>
        <v/>
      </c>
      <c r="H15" s="10">
        <f>Model!BT39+Model!BU39+Model!BV39+Model!BW39+Model!BX39+Model!BY39+Model!BZ39+Model!CA39+Model!CB39+Model!CC39+Model!CD39+Model!CE39</f>
        <v/>
      </c>
      <c r="I15" s="10">
        <f>Model!CF39+Model!CG39+Model!CH39</f>
        <v/>
      </c>
    </row>
    <row r="16" ht="15" customHeight="1" s="201">
      <c r="A16" s="13" t="inlineStr">
        <is>
          <t>GC Net Income</t>
        </is>
      </c>
      <c r="B16" s="14">
        <f>Model!C41+Model!D41+Model!E41+Model!F41+Model!G41+Model!H41+Model!I41+Model!J41+Model!K41</f>
        <v/>
      </c>
      <c r="C16" s="14">
        <f>Model!L41+Model!M41+Model!N41+Model!O41+Model!P41+Model!Q41+Model!R41+Model!S41+Model!T41+Model!U41+Model!V41+Model!W41</f>
        <v/>
      </c>
      <c r="D16" s="14">
        <f>Model!X41+Model!Y41+Model!Z41+Model!AA41+Model!AB41+Model!AC41+Model!AD41+Model!AE41+Model!AF41+Model!AG41+Model!AH41+Model!AI41</f>
        <v/>
      </c>
      <c r="E16" s="14">
        <f>Model!AJ41+Model!AK41+Model!AL41+Model!AM41+Model!AN41+Model!AO41+Model!AP41+Model!AQ41+Model!AR41+Model!AS41+Model!AT41+Model!AU41</f>
        <v/>
      </c>
      <c r="F16" s="14">
        <f>Model!AV41+Model!AW41+Model!AX41+Model!AY41+Model!AZ41+Model!BA41+Model!BB41+Model!BC41+Model!BD41+Model!BE41+Model!BF41+Model!BG41</f>
        <v/>
      </c>
      <c r="G16" s="14">
        <f>Model!BH41+Model!BI41+Model!BJ41+Model!BK41+Model!BL41+Model!BM41+Model!BN41+Model!BO41+Model!BP41+Model!BQ41+Model!BR41+Model!BS41</f>
        <v/>
      </c>
      <c r="H16" s="14">
        <f>Model!BT41+Model!BU41+Model!BV41+Model!BW41+Model!BX41+Model!BY41+Model!BZ41+Model!CA41+Model!CB41+Model!CC41+Model!CD41+Model!CE41</f>
        <v/>
      </c>
      <c r="I16" s="14">
        <f>Model!CF41+Model!CG41+Model!CH41</f>
        <v/>
      </c>
    </row>
    <row r="17" ht="15" customHeight="1" s="201">
      <c r="A17" s="7" t="inlineStr">
        <is>
          <t>GC Profit Margin %</t>
        </is>
      </c>
      <c r="B17" s="15">
        <f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/>
      </c>
      <c r="C17" s="15">
        <f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/>
      </c>
      <c r="D17" s="15">
        <f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/>
      </c>
      <c r="E17" s="15">
        <f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/>
      </c>
      <c r="F17" s="15">
        <f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/>
      </c>
      <c r="G17" s="15">
        <f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/>
      </c>
      <c r="H17" s="15">
        <f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/>
      </c>
      <c r="I17" s="15">
        <f>IF((Model!CF12+Model!CG12+Model!CH12)&lt;&gt;0,(Model!CF41+Model!CG41+Model!CH41)/(Model!CF12+Model!CG12+Model!CH12),0)</f>
        <v/>
      </c>
    </row>
    <row r="18" ht="15" customHeight="1" s="201">
      <c r="A18" s="1" t="n"/>
      <c r="B18" s="11" t="n"/>
      <c r="C18" s="11" t="n"/>
      <c r="D18" s="11" t="n"/>
      <c r="E18" s="11" t="n"/>
      <c r="F18" s="11" t="n"/>
      <c r="G18" s="11" t="n"/>
      <c r="H18" s="11" t="n"/>
      <c r="I18" s="1" t="n"/>
    </row>
    <row r="19" ht="15" customHeight="1" s="201">
      <c r="A19" s="16" t="inlineStr">
        <is>
          <t>Six Peak Revenue</t>
        </is>
      </c>
      <c r="B19" s="17">
        <f>Model!C64+Model!D64+Model!E64+Model!F64+Model!G64+Model!H64+Model!I64+Model!J64+Model!K64</f>
        <v/>
      </c>
      <c r="C19" s="17">
        <f>Model!L64+Model!M64+Model!N64+Model!O64+Model!P64+Model!Q64+Model!R64+Model!S64+Model!T64+Model!U64+Model!V64+Model!W64</f>
        <v/>
      </c>
      <c r="D19" s="17">
        <f>Model!X64+Model!Y64+Model!Z64+Model!AA64+Model!AB64+Model!AC64+Model!AD64+Model!AE64+Model!AF64+Model!AG64+Model!AH64+Model!AI64</f>
        <v/>
      </c>
      <c r="E19" s="17">
        <f>Model!AJ64+Model!AK64+Model!AL64+Model!AM64+Model!AN64+Model!AO64+Model!AP64+Model!AQ64+Model!AR64+Model!AS64+Model!AT64+Model!AU64</f>
        <v/>
      </c>
      <c r="F19" s="17">
        <f>Model!AV64+Model!AW64+Model!AX64+Model!AY64+Model!AZ64+Model!BA64+Model!BB64+Model!BC64+Model!BD64+Model!BE64+Model!BF64+Model!BG64</f>
        <v/>
      </c>
      <c r="G19" s="17">
        <f>Model!BH64+Model!BI64+Model!BJ64+Model!BK64+Model!BL64+Model!BM64+Model!BN64+Model!BO64+Model!BP64+Model!BQ64+Model!BR64+Model!BS64</f>
        <v/>
      </c>
      <c r="H19" s="17">
        <f>Model!BT64+Model!BU64+Model!BV64+Model!BW64+Model!BX64+Model!BY64+Model!BZ64+Model!CA64+Model!CB64+Model!CC64+Model!CD64+Model!CE64</f>
        <v/>
      </c>
      <c r="I19" s="17">
        <f>Model!CF64+Model!CG64+Model!CH64</f>
        <v/>
      </c>
    </row>
    <row r="20" ht="15" customHeight="1" s="201">
      <c r="A20" s="7" t="inlineStr">
        <is>
          <t>Six Peak Expenses</t>
        </is>
      </c>
      <c r="B20" s="8">
        <f>Model!C85+Model!D85+Model!E85+Model!F85+Model!G85+Model!H85+Model!I85+Model!J85+Model!K85</f>
        <v/>
      </c>
      <c r="C20" s="8">
        <f>Model!L85+Model!M85+Model!N85+Model!O85+Model!P85+Model!Q85+Model!R85+Model!S85+Model!T85+Model!U85+Model!V85+Model!W85</f>
        <v/>
      </c>
      <c r="D20" s="8">
        <f>Model!X85+Model!Y85+Model!Z85+Model!AA85+Model!AB85+Model!AC85+Model!AD85+Model!AE85+Model!AF85+Model!AG85+Model!AH85+Model!AI85</f>
        <v/>
      </c>
      <c r="E20" s="8">
        <f>Model!AJ85+Model!AK85+Model!AL85+Model!AM85+Model!AN85+Model!AO85+Model!AP85+Model!AQ85+Model!AR85+Model!AS85+Model!AT85+Model!AU85</f>
        <v/>
      </c>
      <c r="F20" s="8">
        <f>Model!AV85+Model!AW85+Model!AX85+Model!AY85+Model!AZ85+Model!BA85+Model!BB85+Model!BC85+Model!BD85+Model!BE85+Model!BF85+Model!BG85</f>
        <v/>
      </c>
      <c r="G20" s="8">
        <f>Model!BH85+Model!BI85+Model!BJ85+Model!BK85+Model!BL85+Model!BM85+Model!BN85+Model!BO85+Model!BP85+Model!BQ85+Model!BR85+Model!BS85</f>
        <v/>
      </c>
      <c r="H20" s="8">
        <f>Model!BT85+Model!BU85+Model!BV85+Model!BW85+Model!BX85+Model!BY85+Model!BZ85+Model!CA85+Model!CB85+Model!CC85+Model!CD85+Model!CE85</f>
        <v/>
      </c>
      <c r="I20" s="8">
        <f>Model!CF85+Model!CG85+Model!CH85</f>
        <v/>
      </c>
    </row>
    <row r="21" ht="15" customHeight="1" s="201">
      <c r="A21" s="13" t="inlineStr">
        <is>
          <t>Six Peak Net Income</t>
        </is>
      </c>
      <c r="B21" s="14">
        <f>Model!C87+Model!D87+Model!E87+Model!F87+Model!G87+Model!H87+Model!I87+Model!J87+Model!K87</f>
        <v/>
      </c>
      <c r="C21" s="14">
        <f>Model!L87+Model!M87+Model!N87+Model!O87+Model!P87+Model!Q87+Model!R87+Model!S87+Model!T87+Model!U87+Model!V87+Model!W87</f>
        <v/>
      </c>
      <c r="D21" s="14">
        <f>Model!X87+Model!Y87+Model!Z87+Model!AA87+Model!AB87+Model!AC87+Model!AD87+Model!AE87+Model!AF87+Model!AG87+Model!AH87+Model!AI87</f>
        <v/>
      </c>
      <c r="E21" s="14">
        <f>Model!AJ87+Model!AK87+Model!AL87+Model!AM87+Model!AN87+Model!AO87+Model!AP87+Model!AQ87+Model!AR87+Model!AS87+Model!AT87+Model!AU87</f>
        <v/>
      </c>
      <c r="F21" s="14">
        <f>Model!AV87+Model!AW87+Model!AX87+Model!AY87+Model!AZ87+Model!BA87+Model!BB87+Model!BC87+Model!BD87+Model!BE87+Model!BF87+Model!BG87</f>
        <v/>
      </c>
      <c r="G21" s="14">
        <f>Model!BH87+Model!BI87+Model!BJ87+Model!BK87+Model!BL87+Model!BM87+Model!BN87+Model!BO87+Model!BP87+Model!BQ87+Model!BR87+Model!BS87</f>
        <v/>
      </c>
      <c r="H21" s="14">
        <f>Model!BT87+Model!BU87+Model!BV87+Model!BW87+Model!BX87+Model!BY87+Model!BZ87+Model!CA87+Model!CB87+Model!CC87+Model!CD87+Model!CE87</f>
        <v/>
      </c>
      <c r="I21" s="14">
        <f>Model!CF87+Model!CG87+Model!CH87</f>
        <v/>
      </c>
    </row>
    <row r="22" ht="15" customHeight="1" s="201">
      <c r="A22" s="1" t="n"/>
      <c r="B22" s="11" t="n"/>
      <c r="C22" s="11" t="n"/>
      <c r="D22" s="11" t="n"/>
      <c r="E22" s="11" t="n"/>
      <c r="F22" s="11" t="n"/>
      <c r="G22" s="11" t="n"/>
      <c r="H22" s="11" t="n"/>
      <c r="I22" s="1" t="n"/>
    </row>
    <row r="23" ht="15" customHeight="1" s="201">
      <c r="A23" s="13" t="inlineStr">
        <is>
          <t>Consolidated Net Income</t>
        </is>
      </c>
      <c r="B23" s="14">
        <f>Model!C96+Model!D96+Model!E96+Model!F96+Model!G96+Model!H96+Model!I96+Model!J96+Model!K96</f>
        <v/>
      </c>
      <c r="C23" s="14">
        <f>Model!L96+Model!M96+Model!N96+Model!O96+Model!P96+Model!Q96+Model!R96+Model!S96+Model!T96+Model!U96+Model!V96+Model!W96</f>
        <v/>
      </c>
      <c r="D23" s="14">
        <f>Model!X96+Model!Y96+Model!Z96+Model!AA96+Model!AB96+Model!AC96+Model!AD96+Model!AE96+Model!AF96+Model!AG96+Model!AH96+Model!AI96</f>
        <v/>
      </c>
      <c r="E23" s="14">
        <f>Model!AJ96+Model!AK96+Model!AL96+Model!AM96+Model!AN96+Model!AO96+Model!AP96+Model!AQ96+Model!AR96+Model!AS96+Model!AT96+Model!AU96</f>
        <v/>
      </c>
      <c r="F23" s="14">
        <f>Model!AV96+Model!AW96+Model!AX96+Model!AY96+Model!AZ96+Model!BA96+Model!BB96+Model!BC96+Model!BD96+Model!BE96+Model!BF96+Model!BG96</f>
        <v/>
      </c>
      <c r="G23" s="14">
        <f>Model!BH96+Model!BI96+Model!BJ96+Model!BK96+Model!BL96+Model!BM96+Model!BN96+Model!BO96+Model!BP96+Model!BQ96+Model!BR96+Model!BS96</f>
        <v/>
      </c>
      <c r="H23" s="14">
        <f>Model!BT96+Model!BU96+Model!BV96+Model!BW96+Model!BX96+Model!BY96+Model!BZ96+Model!CA96+Model!CB96+Model!CC96+Model!CD96+Model!CE96</f>
        <v/>
      </c>
      <c r="I23" s="14">
        <f>Model!CF96+Model!CG96+Model!CH96</f>
        <v/>
      </c>
    </row>
    <row r="24" ht="15" customHeight="1" s="201">
      <c r="A24" s="1" t="n"/>
      <c r="B24" s="11" t="n"/>
      <c r="C24" s="11" t="n"/>
      <c r="D24" s="11" t="n"/>
      <c r="E24" s="11" t="n"/>
      <c r="F24" s="11" t="n"/>
      <c r="G24" s="11" t="n"/>
      <c r="H24" s="11" t="n"/>
      <c r="I24" s="1" t="n"/>
    </row>
    <row r="25" ht="15" customHeight="1" s="201">
      <c r="A25" s="6" t="inlineStr">
        <is>
          <t>Steyn Group Fees</t>
        </is>
      </c>
      <c r="B25" s="12" t="n"/>
      <c r="C25" s="12" t="n"/>
      <c r="D25" s="12" t="n"/>
      <c r="E25" s="12" t="n"/>
      <c r="F25" s="12" t="n"/>
      <c r="G25" s="12" t="n"/>
      <c r="H25" s="12" t="n"/>
      <c r="I25" s="6" t="n"/>
    </row>
    <row r="26" ht="15" customHeight="1" s="201">
      <c r="A26" s="7" t="inlineStr">
        <is>
          <t xml:space="preserve">  Completion Guaranty Fee</t>
        </is>
      </c>
      <c r="B26" s="8">
        <f>Model!C80+Model!D80+Model!E80+Model!F80+Model!G80+Model!H80+Model!I80+Model!J80+Model!K80</f>
        <v/>
      </c>
      <c r="C26" s="8">
        <f>Model!L80+Model!M80+Model!N80+Model!O80+Model!P80+Model!Q80+Model!R80+Model!S80+Model!T80+Model!U80+Model!V80+Model!W80</f>
        <v/>
      </c>
      <c r="D26" s="8">
        <f>Model!X80+Model!Y80+Model!Z80+Model!AA80+Model!AB80+Model!AC80+Model!AD80+Model!AE80+Model!AF80+Model!AG80+Model!AH80+Model!AI80</f>
        <v/>
      </c>
      <c r="E26" s="8">
        <f>Model!AJ80+Model!AK80+Model!AL80+Model!AM80+Model!AN80+Model!AO80+Model!AP80+Model!AQ80+Model!AR80+Model!AS80+Model!AT80+Model!AU80</f>
        <v/>
      </c>
      <c r="F26" s="8">
        <f>Model!AV80+Model!AW80+Model!AX80+Model!AY80+Model!AZ80+Model!BA80+Model!BB80+Model!BC80+Model!BD80+Model!BE80+Model!BF80+Model!BG80</f>
        <v/>
      </c>
      <c r="G26" s="8">
        <f>Model!BH80+Model!BI80+Model!BJ80+Model!BK80+Model!BL80+Model!BM80+Model!BN80+Model!BO80+Model!BP80+Model!BQ80+Model!BR80+Model!BS80</f>
        <v/>
      </c>
      <c r="H26" s="8">
        <f>Model!BT80+Model!BU80+Model!BV80+Model!BW80+Model!BX80+Model!BY80+Model!BZ80+Model!CA80+Model!CB80+Model!CC80+Model!CD80+Model!CE80</f>
        <v/>
      </c>
      <c r="I26" s="8">
        <f>Model!CF80+Model!CG80+Model!CH80</f>
        <v/>
      </c>
    </row>
    <row r="27" ht="15" customHeight="1" s="201">
      <c r="A27" s="7" t="inlineStr">
        <is>
          <t xml:space="preserve">  Liquidity Guarantee Fee</t>
        </is>
      </c>
      <c r="B27" s="8">
        <f>Model!C81+Model!D81+Model!E81+Model!F81+Model!G81+Model!H81+Model!I81+Model!J81+Model!K81</f>
        <v/>
      </c>
      <c r="C27" s="8">
        <f>Model!L81+Model!M81+Model!N81+Model!O81+Model!P81+Model!Q81+Model!R81+Model!S81+Model!T81+Model!U81+Model!V81+Model!W81</f>
        <v/>
      </c>
      <c r="D27" s="8">
        <f>Model!X81+Model!Y81+Model!Z81+Model!AA81+Model!AB81+Model!AC81+Model!AD81+Model!AE81+Model!AF81+Model!AG81+Model!AH81+Model!AI81</f>
        <v/>
      </c>
      <c r="E27" s="8">
        <f>Model!AJ81+Model!AK81+Model!AL81+Model!AM81+Model!AN81+Model!AO81+Model!AP81+Model!AQ81+Model!AR81+Model!AS81+Model!AT81+Model!AU81</f>
        <v/>
      </c>
      <c r="F27" s="8">
        <f>Model!AV81+Model!AW81+Model!AX81+Model!AY81+Model!AZ81+Model!BA81+Model!BB81+Model!BC81+Model!BD81+Model!BE81+Model!BF81+Model!BG81</f>
        <v/>
      </c>
      <c r="G27" s="8">
        <f>Model!BH81+Model!BI81+Model!BJ81+Model!BK81+Model!BL81+Model!BM81+Model!BN81+Model!BO81+Model!BP81+Model!BQ81+Model!BR81+Model!BS81</f>
        <v/>
      </c>
      <c r="H27" s="8">
        <f>Model!BT81+Model!BU81+Model!BV81+Model!BW81+Model!BX81+Model!BY81+Model!BZ81+Model!CA81+Model!CB81+Model!CC81+Model!CD81+Model!CE81</f>
        <v/>
      </c>
      <c r="I27" s="8">
        <f>Model!CF81+Model!CG81+Model!CH81</f>
        <v/>
      </c>
    </row>
    <row r="28" ht="15" customHeight="1" s="201">
      <c r="A28" s="7" t="inlineStr">
        <is>
          <t xml:space="preserve">  Francis Steyn Fee + PIK (LIHTC)</t>
        </is>
      </c>
      <c r="B28" s="8">
        <f>Model!C82+Model!D82+Model!E82+Model!F82+Model!G82+Model!H82+Model!I82+Model!J82+Model!K82</f>
        <v/>
      </c>
      <c r="C28" s="8">
        <f>Model!L82+Model!M82+Model!N82+Model!O82+Model!P82+Model!Q82+Model!R82+Model!S82+Model!T82+Model!U82+Model!V82+Model!W82</f>
        <v/>
      </c>
      <c r="D28" s="8">
        <f>Model!X82+Model!Y82+Model!Z82+Model!AA82+Model!AB82+Model!AC82+Model!AD82+Model!AE82+Model!AF82+Model!AG82+Model!AH82+Model!AI82</f>
        <v/>
      </c>
      <c r="E28" s="8">
        <f>Model!AJ82+Model!AK82+Model!AL82+Model!AM82+Model!AN82+Model!AO82+Model!AP82+Model!AQ82+Model!AR82+Model!AS82+Model!AT82+Model!AU82</f>
        <v/>
      </c>
      <c r="F28" s="8">
        <f>Model!AV82+Model!AW82+Model!AX82+Model!AY82+Model!AZ82+Model!BA82+Model!BB82+Model!BC82+Model!BD82+Model!BE82+Model!BF82+Model!BG82</f>
        <v/>
      </c>
      <c r="G28" s="8">
        <f>Model!BH82+Model!BI82+Model!BJ82+Model!BK82+Model!BL82+Model!BM82+Model!BN82+Model!BO82+Model!BP82+Model!BQ82+Model!BR82+Model!BS82</f>
        <v/>
      </c>
      <c r="H28" s="8">
        <f>Model!BT82+Model!BU82+Model!BV82+Model!BW82+Model!BX82+Model!BY82+Model!BZ82+Model!CA82+Model!CB82+Model!CC82+Model!CD82+Model!CE82</f>
        <v/>
      </c>
      <c r="I28" s="8">
        <f>Model!CF82+Model!CG82+Model!CH82</f>
        <v/>
      </c>
    </row>
    <row r="29" ht="15" customHeight="1" s="201">
      <c r="A29" s="7" t="inlineStr">
        <is>
          <t xml:space="preserve">  Reseda Steyn Fee + PIK (LIHTC)</t>
        </is>
      </c>
      <c r="B29" s="8">
        <f>Model!C83+Model!D83+Model!E83+Model!F83+Model!G83+Model!H83+Model!I83+Model!J83+Model!K83</f>
        <v/>
      </c>
      <c r="C29" s="8">
        <f>Model!L83+Model!M83+Model!N83+Model!O83+Model!P83+Model!Q83+Model!R83+Model!S83+Model!T83+Model!U83+Model!V83+Model!W83</f>
        <v/>
      </c>
      <c r="D29" s="8">
        <f>Model!X83+Model!Y83+Model!Z83+Model!AA83+Model!AB83+Model!AC83+Model!AD83+Model!AE83+Model!AF83+Model!AG83+Model!AH83+Model!AI83</f>
        <v/>
      </c>
      <c r="E29" s="8">
        <f>Model!AJ83+Model!AK83+Model!AL83+Model!AM83+Model!AN83+Model!AO83+Model!AP83+Model!AQ83+Model!AR83+Model!AS83+Model!AT83+Model!AU83</f>
        <v/>
      </c>
      <c r="F29" s="8">
        <f>Model!AV83+Model!AW83+Model!AX83+Model!AY83+Model!AZ83+Model!BA83+Model!BB83+Model!BC83+Model!BD83+Model!BE83+Model!BF83+Model!BG83</f>
        <v/>
      </c>
      <c r="G29" s="8">
        <f>Model!BH83+Model!BI83+Model!BJ83+Model!BK83+Model!BL83+Model!BM83+Model!BN83+Model!BO83+Model!BP83+Model!BQ83+Model!BR83+Model!BS83</f>
        <v/>
      </c>
      <c r="H29" s="8">
        <f>Model!BT83+Model!BU83+Model!BV83+Model!BW83+Model!BX83+Model!BY83+Model!BZ83+Model!CA83+Model!CB83+Model!CC83+Model!CD83+Model!CE83</f>
        <v/>
      </c>
      <c r="I29" s="8">
        <f>Model!CF83+Model!CG83+Model!CH83</f>
        <v/>
      </c>
    </row>
    <row r="30" ht="15" customHeight="1" s="201">
      <c r="A30" s="7" t="inlineStr">
        <is>
          <t xml:space="preserve">  3rd St Steyn Fee + PIK (LIHTC)</t>
        </is>
      </c>
      <c r="B30" s="8">
        <f>Model!C84+Model!D84+Model!E84+Model!F84+Model!G84+Model!H84+Model!I84+Model!J84+Model!K84</f>
        <v/>
      </c>
      <c r="C30" s="8">
        <f>Model!L84+Model!M84+Model!N84+Model!O84+Model!P84+Model!Q84+Model!R84+Model!S84+Model!T84+Model!U84+Model!V84+Model!W84</f>
        <v/>
      </c>
      <c r="D30" s="8">
        <f>Model!X84+Model!Y84+Model!Z84+Model!AA84+Model!AB84+Model!AC84+Model!AD84+Model!AE84+Model!AF84+Model!AG84+Model!AH84+Model!AI84</f>
        <v/>
      </c>
      <c r="E30" s="8">
        <f>Model!AJ84+Model!AK84+Model!AL84+Model!AM84+Model!AN84+Model!AO84+Model!AP84+Model!AQ84+Model!AR84+Model!AS84+Model!AT84+Model!AU84</f>
        <v/>
      </c>
      <c r="F30" s="8">
        <f>Model!AV84+Model!AW84+Model!AX84+Model!AY84+Model!AZ84+Model!BA84+Model!BB84+Model!BC84+Model!BD84+Model!BE84+Model!BF84+Model!BG84</f>
        <v/>
      </c>
      <c r="G30" s="8">
        <f>Model!BH84+Model!BI84+Model!BJ84+Model!BK84+Model!BL84+Model!BM84+Model!BN84+Model!BO84+Model!BP84+Model!BQ84+Model!BR84+Model!BS84</f>
        <v/>
      </c>
      <c r="H30" s="8">
        <f>Model!BT84+Model!BU84+Model!BV84+Model!BW84+Model!BX84+Model!BY84+Model!BZ84+Model!CA84+Model!CB84+Model!CC84+Model!CD84+Model!CE84</f>
        <v/>
      </c>
      <c r="I30" s="8">
        <f>Model!CF84+Model!CG84+Model!CH84</f>
        <v/>
      </c>
    </row>
    <row r="31" ht="15" customHeight="1" s="201">
      <c r="A31" s="1" t="n"/>
      <c r="B31" s="11" t="n"/>
      <c r="C31" s="11" t="n"/>
      <c r="D31" s="11" t="n"/>
      <c r="E31" s="11" t="n"/>
      <c r="F31" s="11" t="n"/>
      <c r="G31" s="11" t="n"/>
      <c r="H31" s="11" t="n"/>
      <c r="I31" s="1" t="n"/>
    </row>
    <row r="32" ht="15" customHeight="1" s="201">
      <c r="A32" s="6" t="inlineStr">
        <is>
          <t>Debt Facilities</t>
        </is>
      </c>
      <c r="B32" s="12" t="n"/>
      <c r="C32" s="12" t="n"/>
      <c r="D32" s="12" t="n"/>
      <c r="E32" s="12" t="n"/>
      <c r="F32" s="12" t="n"/>
      <c r="G32" s="12" t="n"/>
      <c r="H32" s="12" t="n"/>
      <c r="I32" s="6" t="n"/>
    </row>
    <row r="33" ht="15" customHeight="1" s="201">
      <c r="A33" s="7" t="inlineStr">
        <is>
          <t xml:space="preserve">  Debt Facility Payment</t>
        </is>
      </c>
      <c r="B33" s="8">
        <f>Model!C101+Model!D101+Model!E101+Model!F101+Model!G101+Model!H101+Model!I101+Model!J101+Model!K101</f>
        <v/>
      </c>
      <c r="C33" s="8">
        <f>Model!L101+Model!M101+Model!N101+Model!O101+Model!P101+Model!Q101+Model!R101+Model!S101+Model!T101+Model!U101+Model!V101+Model!W101</f>
        <v/>
      </c>
      <c r="D33" s="8">
        <f>Model!X101+Model!Y101+Model!Z101+Model!AA101+Model!AB101+Model!AC101+Model!AD101+Model!AE101+Model!AF101+Model!AG101+Model!AH101+Model!AI101</f>
        <v/>
      </c>
      <c r="E33" s="8">
        <f>Model!AJ101+Model!AK101+Model!AL101+Model!AM101+Model!AN101+Model!AO101+Model!AP101+Model!AQ101+Model!AR101+Model!AS101+Model!AT101+Model!AU101</f>
        <v/>
      </c>
      <c r="F33" s="8">
        <f>Model!AV101+Model!AW101+Model!AX101+Model!AY101+Model!AZ101+Model!BA101+Model!BB101+Model!BC101+Model!BD101+Model!BE101+Model!BF101+Model!BG101</f>
        <v/>
      </c>
      <c r="G33" s="8">
        <f>Model!BH101+Model!BI101+Model!BJ101+Model!BK101+Model!BL101+Model!BM101+Model!BN101+Model!BO101+Model!BP101+Model!BQ101+Model!BR101+Model!BS101</f>
        <v/>
      </c>
      <c r="H33" s="8">
        <f>Model!BT101+Model!BU101+Model!BV101+Model!BW101+Model!BX101+Model!BY101+Model!BZ101+Model!CA101+Model!CB101+Model!CC101+Model!CD101+Model!CE101</f>
        <v/>
      </c>
      <c r="I33" s="8">
        <f>Model!CF101+Model!CG101+Model!CH101</f>
        <v/>
      </c>
    </row>
    <row r="34" ht="15" customHeight="1" s="201">
      <c r="A34" s="7" t="inlineStr">
        <is>
          <t xml:space="preserve">  Debt Facility Balance</t>
        </is>
      </c>
      <c r="B34" s="8">
        <f>Model!K102</f>
        <v/>
      </c>
      <c r="C34" s="8">
        <f>Model!W102</f>
        <v/>
      </c>
      <c r="D34" s="8">
        <f>Model!AI102</f>
        <v/>
      </c>
      <c r="E34" s="8">
        <f>Model!AU102</f>
        <v/>
      </c>
      <c r="F34" s="8">
        <f>Model!BG102</f>
        <v/>
      </c>
      <c r="G34" s="8">
        <f>Model!BS102</f>
        <v/>
      </c>
      <c r="H34" s="8">
        <f>Model!CE102</f>
        <v/>
      </c>
      <c r="I34" s="8">
        <f>Model!CH102</f>
        <v/>
      </c>
    </row>
    <row r="35" ht="15" customHeight="1" s="201">
      <c r="A35" s="7" t="inlineStr">
        <is>
          <t xml:space="preserve">  Row Run Capital Payment</t>
        </is>
      </c>
      <c r="B35" s="8">
        <f>Model!C107+Model!D107+Model!E107+Model!F107+Model!G107+Model!H107+Model!I107+Model!J107+Model!K107</f>
        <v/>
      </c>
      <c r="C35" s="8">
        <f>Model!L107+Model!M107+Model!N107+Model!O107+Model!P107+Model!Q107+Model!R107+Model!S107+Model!T107+Model!U107+Model!V107+Model!W107</f>
        <v/>
      </c>
      <c r="D35" s="8">
        <f>Model!X107+Model!Y107+Model!Z107+Model!AA107+Model!AB107+Model!AC107+Model!AD107+Model!AE107+Model!AF107+Model!AG107+Model!AH107+Model!AI107</f>
        <v/>
      </c>
      <c r="E35" s="8">
        <f>Model!AJ107+Model!AK107+Model!AL107+Model!AM107+Model!AN107+Model!AO107+Model!AP107+Model!AQ107+Model!AR107+Model!AS107+Model!AT107+Model!AU107</f>
        <v/>
      </c>
      <c r="F35" s="8">
        <f>Model!AV107+Model!AW107+Model!AX107+Model!AY107+Model!AZ107+Model!BA107+Model!BB107+Model!BC107+Model!BD107+Model!BE107+Model!BF107+Model!BG107</f>
        <v/>
      </c>
      <c r="G35" s="8">
        <f>Model!BH107+Model!BI107+Model!BJ107+Model!BK107+Model!BL107+Model!BM107+Model!BN107+Model!BO107+Model!BP107+Model!BQ107+Model!BR107+Model!BS107</f>
        <v/>
      </c>
      <c r="H35" s="8">
        <f>Model!BT107+Model!BU107+Model!BV107+Model!BW107+Model!BX107+Model!BY107+Model!BZ107+Model!CA107+Model!CB107+Model!CC107+Model!CD107+Model!CE107</f>
        <v/>
      </c>
      <c r="I35" s="8">
        <f>Model!CF107+Model!CG107+Model!CH107</f>
        <v/>
      </c>
    </row>
    <row r="36" ht="15" customHeight="1" s="201">
      <c r="A36" s="7" t="inlineStr">
        <is>
          <t xml:space="preserve">  Row Run Capital Balance</t>
        </is>
      </c>
      <c r="B36" s="8">
        <f>Model!K108</f>
        <v/>
      </c>
      <c r="C36" s="8">
        <f>Model!W108</f>
        <v/>
      </c>
      <c r="D36" s="8">
        <f>Model!AI108</f>
        <v/>
      </c>
      <c r="E36" s="8">
        <f>Model!AU108</f>
        <v/>
      </c>
      <c r="F36" s="8">
        <f>Model!BG108</f>
        <v/>
      </c>
      <c r="G36" s="8">
        <f>Model!BS108</f>
        <v/>
      </c>
      <c r="H36" s="8">
        <f>Model!CE108</f>
        <v/>
      </c>
      <c r="I36" s="8">
        <f>Model!CH108</f>
        <v/>
      </c>
    </row>
    <row r="37" ht="15" customHeight="1" s="201">
      <c r="A37" s="7" t="inlineStr">
        <is>
          <t xml:space="preserve">  PIK Repayment (in Steyn + PIK above)</t>
        </is>
      </c>
      <c r="B37" s="8">
        <f>Model!C155+Model!D155+Model!E155+Model!F155+Model!G155+Model!H155+Model!I155+Model!J155+Model!K155</f>
        <v/>
      </c>
      <c r="C37" s="8">
        <f>Model!L155+Model!M155+Model!N155+Model!O155+Model!P155+Model!Q155+Model!R155+Model!S155+Model!T155+Model!U155+Model!V155+Model!W155</f>
        <v/>
      </c>
      <c r="D37" s="8">
        <f>Model!X155+Model!Y155+Model!Z155+Model!AA155+Model!AB155+Model!AC155+Model!AD155+Model!AE155+Model!AF155+Model!AG155+Model!AH155+Model!AI155</f>
        <v/>
      </c>
      <c r="E37" s="8">
        <f>Model!AJ155+Model!AK155+Model!AL155+Model!AM155+Model!AN155+Model!AO155+Model!AP155+Model!AQ155+Model!AR155+Model!AS155+Model!AT155+Model!AU155</f>
        <v/>
      </c>
      <c r="F37" s="8">
        <f>Model!AV155+Model!AW155+Model!AX155+Model!AY155+Model!AZ155+Model!BA155+Model!BB155+Model!BC155+Model!BD155+Model!BE155+Model!BF155+Model!BG155</f>
        <v/>
      </c>
      <c r="G37" s="8">
        <f>Model!BH155+Model!BI155+Model!BJ155+Model!BK155+Model!BL155+Model!BM155+Model!BN155+Model!BO155+Model!BP155+Model!BQ155+Model!BR155+Model!BS155</f>
        <v/>
      </c>
      <c r="H37" s="8">
        <f>Model!BT155+Model!BU155+Model!BV155+Model!BW155+Model!BX155+Model!BY155+Model!BZ155+Model!CA155+Model!CB155+Model!CC155+Model!CD155+Model!CE155</f>
        <v/>
      </c>
      <c r="I37" s="8">
        <f>Model!CF155+Model!CG155+Model!CH155</f>
        <v/>
      </c>
    </row>
    <row r="38" ht="15" customHeight="1" s="201">
      <c r="A38" s="7" t="inlineStr">
        <is>
          <t xml:space="preserve">  Investment Capital Outstanding</t>
        </is>
      </c>
      <c r="B38" s="8">
        <f>Model!K115+Model!K120+Model!K125+Model!K130</f>
        <v/>
      </c>
      <c r="C38" s="8">
        <f>Model!W115+Model!W120+Model!W125+Model!W130</f>
        <v/>
      </c>
      <c r="D38" s="8">
        <f>Model!AI115+Model!AI120+Model!AI125+Model!AI130</f>
        <v/>
      </c>
      <c r="E38" s="8">
        <f>Model!AU115+Model!AU120+Model!AU125+Model!AU130</f>
        <v/>
      </c>
      <c r="F38" s="8">
        <f>Model!BG115+Model!BG120+Model!BG125+Model!BG130</f>
        <v/>
      </c>
      <c r="G38" s="8">
        <f>Model!BS115+Model!BS120+Model!BS125+Model!BS130</f>
        <v/>
      </c>
      <c r="H38" s="8">
        <f>Model!CE115+Model!CE120+Model!CE125+Model!CE130</f>
        <v/>
      </c>
      <c r="I38" s="8">
        <f>Model!CH115+Model!CH120+Model!CH125+Model!CH130</f>
        <v/>
      </c>
    </row>
    <row r="39" ht="15" customHeight="1" s="201">
      <c r="A39" s="1" t="n"/>
      <c r="B39" s="11" t="n"/>
      <c r="C39" s="11" t="n"/>
      <c r="D39" s="11" t="n"/>
      <c r="E39" s="11" t="n"/>
      <c r="F39" s="11" t="n"/>
      <c r="G39" s="11" t="n"/>
      <c r="H39" s="11" t="n"/>
      <c r="I39" s="1" t="n"/>
    </row>
    <row r="40" ht="15" customHeight="1" s="201">
      <c r="A40" s="7" t="inlineStr">
        <is>
          <t>Bonding Outstanding</t>
        </is>
      </c>
      <c r="B40" s="8">
        <f>Model!K141</f>
        <v/>
      </c>
      <c r="C40" s="8">
        <f>Model!W141</f>
        <v/>
      </c>
      <c r="D40" s="8">
        <f>Model!AI141</f>
        <v/>
      </c>
      <c r="E40" s="8">
        <f>Model!AU141</f>
        <v/>
      </c>
      <c r="F40" s="8">
        <f>Model!BG141</f>
        <v/>
      </c>
      <c r="G40" s="8">
        <f>Model!BS141</f>
        <v/>
      </c>
      <c r="H40" s="8">
        <f>Model!CE141</f>
        <v/>
      </c>
      <c r="I40" s="8">
        <f>Model!CH141</f>
        <v/>
      </c>
    </row>
    <row r="41" ht="15" customHeight="1" s="201">
      <c r="A41" s="1" t="n"/>
      <c r="B41" s="11" t="n"/>
      <c r="C41" s="11" t="n"/>
      <c r="D41" s="11" t="n"/>
      <c r="E41" s="11" t="n"/>
      <c r="F41" s="11" t="n"/>
      <c r="G41" s="11" t="n"/>
      <c r="H41" s="11" t="n"/>
      <c r="I41" s="1" t="n"/>
    </row>
    <row r="42" ht="15" customHeight="1" s="201">
      <c r="A42" s="18" t="inlineStr">
        <is>
          <t>LV Ending Cash</t>
        </is>
      </c>
      <c r="B42" s="19">
        <f>Model!K148</f>
        <v/>
      </c>
      <c r="C42" s="19">
        <f>Model!W148</f>
        <v/>
      </c>
      <c r="D42" s="19">
        <f>Model!AI148</f>
        <v/>
      </c>
      <c r="E42" s="19">
        <f>Model!AU148</f>
        <v/>
      </c>
      <c r="F42" s="19">
        <f>Model!BG148</f>
        <v/>
      </c>
      <c r="G42" s="19">
        <f>Model!BS148</f>
        <v/>
      </c>
      <c r="H42" s="19">
        <f>Model!CE148</f>
        <v/>
      </c>
      <c r="I42" s="19">
        <f>Model!CH148</f>
        <v/>
      </c>
    </row>
    <row r="43" ht="15" customHeight="1" s="201">
      <c r="A43" s="18" t="inlineStr">
        <is>
          <t>SP Ending Cash</t>
        </is>
      </c>
      <c r="B43" s="19">
        <f>Model!K156</f>
        <v/>
      </c>
      <c r="C43" s="19">
        <f>Model!W156</f>
        <v/>
      </c>
      <c r="D43" s="19">
        <f>Model!AI156</f>
        <v/>
      </c>
      <c r="E43" s="19">
        <f>Model!AU156</f>
        <v/>
      </c>
      <c r="F43" s="19">
        <f>Model!BG156</f>
        <v/>
      </c>
      <c r="G43" s="19">
        <f>Model!BS156</f>
        <v/>
      </c>
      <c r="H43" s="19">
        <f>Model!CE156</f>
        <v/>
      </c>
      <c r="I43" s="19">
        <f>Model!CH156</f>
        <v/>
      </c>
    </row>
    <row r="44" ht="15" customHeight="1" s="201">
      <c r="A44" s="18" t="inlineStr">
        <is>
          <t>Tax Distribution (30% Consol NI)</t>
        </is>
      </c>
      <c r="B44" s="19">
        <f>Model!C160+Model!D160+Model!E160+Model!F160+Model!G160+Model!H160+Model!I160+Model!J160+Model!K160</f>
        <v/>
      </c>
      <c r="C44" s="19">
        <f>Model!L160+Model!M160+Model!N160+Model!O160+Model!P160+Model!Q160+Model!R160+Model!S160+Model!T160+Model!U160+Model!V160+Model!W160</f>
        <v/>
      </c>
      <c r="D44" s="19">
        <f>Model!X160+Model!Y160+Model!Z160+Model!AA160+Model!AB160+Model!AC160+Model!AD160+Model!AE160+Model!AF160+Model!AG160+Model!AH160+Model!AI160</f>
        <v/>
      </c>
      <c r="E44" s="19">
        <f>Model!AJ160+Model!AK160+Model!AL160+Model!AM160+Model!AN160+Model!AO160+Model!AP160+Model!AQ160+Model!AR160+Model!AS160+Model!AT160+Model!AU160</f>
        <v/>
      </c>
      <c r="F44" s="19">
        <f>Model!AV160+Model!AW160+Model!AX160+Model!AY160+Model!AZ160+Model!BA160+Model!BB160+Model!BC160+Model!BD160+Model!BE160+Model!BF160+Model!BG160</f>
        <v/>
      </c>
      <c r="G44" s="19">
        <f>Model!BH160+Model!BI160+Model!BJ160+Model!BK160+Model!BL160+Model!BM160+Model!BN160+Model!BO160+Model!BP160+Model!BQ160+Model!BR160+Model!BS160</f>
        <v/>
      </c>
      <c r="H44" s="19">
        <f>Model!BT160+Model!BU160+Model!BV160+Model!BW160+Model!BX160+Model!BY160+Model!BZ160+Model!CA160+Model!CB160+Model!CC160+Model!CD160+Model!CE160</f>
        <v/>
      </c>
      <c r="I44" s="19">
        <f>Model!CF160+Model!CG160+Model!CH160</f>
        <v/>
      </c>
    </row>
    <row r="45" ht="15" customHeight="1" s="201">
      <c r="A45" s="20" t="inlineStr">
        <is>
          <t>Total Ending Cash</t>
        </is>
      </c>
      <c r="B45" s="21">
        <f>Model!K161</f>
        <v/>
      </c>
      <c r="C45" s="21">
        <f>Model!W161</f>
        <v/>
      </c>
      <c r="D45" s="21">
        <f>Model!AI161</f>
        <v/>
      </c>
      <c r="E45" s="21">
        <f>Model!AU161</f>
        <v/>
      </c>
      <c r="F45" s="21">
        <f>Model!BG161</f>
        <v/>
      </c>
      <c r="G45" s="21">
        <f>Model!BS161</f>
        <v/>
      </c>
      <c r="H45" s="21">
        <f>Model!CE161</f>
        <v/>
      </c>
      <c r="I45" s="21">
        <f>Model!CH161</f>
        <v/>
      </c>
    </row>
  </sheetData>
  <mergeCells count="1">
    <mergeCell ref="A1:E1"/>
  </mergeCells>
  <conditionalFormatting sqref="B8:I44">
    <cfRule type="cellIs" priority="2" operator="lessThan" dxfId="0">
      <formula>0</formula>
    </cfRule>
  </conditionalFormatting>
  <conditionalFormatting sqref="B3:J45">
    <cfRule type="cellIs" priority="9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B1833"/>
    <outlinePr summaryBelow="1" summaryRight="1"/>
    <pageSetUpPr/>
  </sheetPr>
  <dimension ref="A1:CK170"/>
  <sheetViews>
    <sheetView zoomScaleNormal="100" workbookViewId="0">
      <pane xSplit="2" ySplit="5" topLeftCell="C118" activePane="bottomRight" state="frozen"/>
      <selection pane="topRight" activeCell="C1" sqref="C1"/>
      <selection pane="bottomLeft" activeCell="A118" sqref="A118"/>
      <selection pane="bottomRight" activeCell="F135" sqref="F135"/>
    </sheetView>
  </sheetViews>
  <sheetFormatPr baseColWidth="8" defaultColWidth="8.7109375" defaultRowHeight="15" customHeight="1"/>
  <cols>
    <col width="34" customWidth="1" style="201" min="1" max="1"/>
    <col width="4" customWidth="1" style="201" min="2" max="2"/>
    <col width="14" customWidth="1" style="201" min="3" max="86"/>
  </cols>
  <sheetData>
    <row r="1" ht="17.25" customHeight="1" s="201">
      <c r="A1" s="200" t="inlineStr">
        <is>
          <t>Six Peak Capital - Financial Projections</t>
        </is>
      </c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  <c r="AG1" s="22" t="n"/>
      <c r="AH1" s="22" t="n"/>
      <c r="AI1" s="22" t="n"/>
      <c r="AJ1" s="22" t="n"/>
      <c r="AK1" s="22" t="n"/>
      <c r="AL1" s="22" t="n"/>
      <c r="AM1" s="22" t="n"/>
      <c r="AN1" s="22" t="n"/>
      <c r="AO1" s="22" t="n"/>
      <c r="AP1" s="22" t="n"/>
      <c r="AQ1" s="22" t="n"/>
      <c r="AR1" s="22" t="n"/>
      <c r="AS1" s="22" t="n"/>
      <c r="AT1" s="22" t="n"/>
      <c r="AU1" s="22" t="n"/>
      <c r="AV1" s="22" t="n"/>
      <c r="AW1" s="22" t="n"/>
      <c r="AX1" s="22" t="n"/>
      <c r="AY1" s="22" t="n"/>
      <c r="AZ1" s="22" t="n"/>
      <c r="BA1" s="22" t="n"/>
      <c r="BB1" s="22" t="n"/>
      <c r="BC1" s="22" t="n"/>
      <c r="BD1" s="22" t="n"/>
      <c r="BE1" s="22" t="n"/>
      <c r="BF1" s="22" t="n"/>
      <c r="BG1" s="22" t="n"/>
      <c r="BH1" s="22" t="n"/>
      <c r="BI1" s="22" t="n"/>
      <c r="BJ1" s="22" t="n"/>
      <c r="BK1" s="22" t="n"/>
      <c r="BL1" s="22" t="n"/>
      <c r="BM1" s="22" t="n"/>
      <c r="BN1" s="22" t="n"/>
      <c r="BO1" s="22" t="n"/>
      <c r="BP1" s="22" t="n"/>
      <c r="BQ1" s="22" t="n"/>
      <c r="BR1" s="22" t="n"/>
      <c r="BS1" s="22" t="n"/>
      <c r="BT1" s="22" t="n"/>
      <c r="BU1" s="22" t="n"/>
      <c r="BV1" s="22" t="n"/>
      <c r="BW1" s="22" t="n"/>
      <c r="BX1" s="22" t="n"/>
      <c r="BY1" s="22" t="n"/>
      <c r="BZ1" s="22" t="n"/>
      <c r="CA1" s="22" t="n"/>
      <c r="CB1" s="22" t="n"/>
      <c r="CC1" s="22" t="n"/>
      <c r="CD1" s="22" t="n"/>
      <c r="CE1" s="22" t="n"/>
      <c r="CF1" s="22" t="n"/>
      <c r="CG1" s="22" t="n"/>
      <c r="CH1" s="22" t="n"/>
      <c r="CI1" s="23" t="n"/>
    </row>
    <row r="2" ht="15" customHeight="1" s="201">
      <c r="A2" s="2" t="n"/>
      <c r="B2" s="2" t="n"/>
      <c r="C2" s="24" t="n">
        <v>46113</v>
      </c>
      <c r="D2" s="24" t="n">
        <v>46143</v>
      </c>
      <c r="E2" s="24" t="n">
        <v>46174</v>
      </c>
      <c r="F2" s="24" t="n">
        <v>46204</v>
      </c>
      <c r="G2" s="24" t="n">
        <v>46235</v>
      </c>
      <c r="H2" s="24" t="n">
        <v>46266</v>
      </c>
      <c r="I2" s="24" t="n">
        <v>46296</v>
      </c>
      <c r="J2" s="24" t="n">
        <v>46327</v>
      </c>
      <c r="K2" s="24" t="n">
        <v>46357</v>
      </c>
      <c r="L2" s="24" t="n">
        <v>46388</v>
      </c>
      <c r="M2" s="24" t="n">
        <v>46419</v>
      </c>
      <c r="N2" s="24" t="n">
        <v>46447</v>
      </c>
      <c r="O2" s="24" t="n">
        <v>46478</v>
      </c>
      <c r="P2" s="24" t="n">
        <v>46508</v>
      </c>
      <c r="Q2" s="24" t="n">
        <v>46539</v>
      </c>
      <c r="R2" s="24" t="n">
        <v>46569</v>
      </c>
      <c r="S2" s="24" t="n">
        <v>46600</v>
      </c>
      <c r="T2" s="24" t="n">
        <v>46631</v>
      </c>
      <c r="U2" s="24" t="n">
        <v>46661</v>
      </c>
      <c r="V2" s="24" t="n">
        <v>46692</v>
      </c>
      <c r="W2" s="24" t="n">
        <v>46722</v>
      </c>
      <c r="X2" s="24" t="n">
        <v>46753</v>
      </c>
      <c r="Y2" s="24" t="n">
        <v>46784</v>
      </c>
      <c r="Z2" s="24" t="n">
        <v>46813</v>
      </c>
      <c r="AA2" s="24" t="n">
        <v>46844</v>
      </c>
      <c r="AB2" s="24" t="n">
        <v>46874</v>
      </c>
      <c r="AC2" s="24" t="n">
        <v>46905</v>
      </c>
      <c r="AD2" s="24" t="n">
        <v>46935</v>
      </c>
      <c r="AE2" s="24" t="n">
        <v>46966</v>
      </c>
      <c r="AF2" s="24" t="n">
        <v>46997</v>
      </c>
      <c r="AG2" s="24" t="n">
        <v>47027</v>
      </c>
      <c r="AH2" s="24" t="n">
        <v>47058</v>
      </c>
      <c r="AI2" s="24" t="n">
        <v>47088</v>
      </c>
      <c r="AJ2" s="24" t="n">
        <v>47119</v>
      </c>
      <c r="AK2" s="24" t="n">
        <v>47150</v>
      </c>
      <c r="AL2" s="24" t="n">
        <v>47178</v>
      </c>
      <c r="AM2" s="24" t="n">
        <v>47209</v>
      </c>
      <c r="AN2" s="24" t="n">
        <v>47239</v>
      </c>
      <c r="AO2" s="24" t="n">
        <v>47270</v>
      </c>
      <c r="AP2" s="24" t="n">
        <v>47300</v>
      </c>
      <c r="AQ2" s="24" t="n">
        <v>47331</v>
      </c>
      <c r="AR2" s="24" t="n">
        <v>47362</v>
      </c>
      <c r="AS2" s="24" t="n">
        <v>47392</v>
      </c>
      <c r="AT2" s="24" t="n">
        <v>47423</v>
      </c>
      <c r="AU2" s="24" t="n">
        <v>47453</v>
      </c>
      <c r="AV2" s="24" t="n">
        <v>47484</v>
      </c>
      <c r="AW2" s="24" t="n">
        <v>47515</v>
      </c>
      <c r="AX2" s="24" t="n">
        <v>47543</v>
      </c>
      <c r="AY2" s="24" t="n">
        <v>47574</v>
      </c>
      <c r="AZ2" s="24" t="n">
        <v>47604</v>
      </c>
      <c r="BA2" s="24" t="n">
        <v>47635</v>
      </c>
      <c r="BB2" s="24" t="n">
        <v>47665</v>
      </c>
      <c r="BC2" s="24" t="n">
        <v>47696</v>
      </c>
      <c r="BD2" s="24" t="n">
        <v>47727</v>
      </c>
      <c r="BE2" s="24" t="n">
        <v>47757</v>
      </c>
      <c r="BF2" s="24" t="n">
        <v>47788</v>
      </c>
      <c r="BG2" s="24" t="n">
        <v>47818</v>
      </c>
      <c r="BH2" s="24" t="n">
        <v>47849</v>
      </c>
      <c r="BI2" s="24" t="n">
        <v>47880</v>
      </c>
      <c r="BJ2" s="24" t="n">
        <v>47908</v>
      </c>
      <c r="BK2" s="24" t="n">
        <v>47939</v>
      </c>
      <c r="BL2" s="24" t="n">
        <v>47969</v>
      </c>
      <c r="BM2" s="24" t="n">
        <v>48000</v>
      </c>
      <c r="BN2" s="24" t="n">
        <v>48030</v>
      </c>
      <c r="BO2" s="24" t="n">
        <v>48061</v>
      </c>
      <c r="BP2" s="24" t="n">
        <v>48092</v>
      </c>
      <c r="BQ2" s="24" t="n">
        <v>48122</v>
      </c>
      <c r="BR2" s="24" t="n">
        <v>48153</v>
      </c>
      <c r="BS2" s="24" t="n">
        <v>48183</v>
      </c>
      <c r="BT2" s="24" t="n">
        <v>48214</v>
      </c>
      <c r="BU2" s="24" t="n">
        <v>48245</v>
      </c>
      <c r="BV2" s="24" t="n">
        <v>48274</v>
      </c>
      <c r="BW2" s="24" t="n">
        <v>48305</v>
      </c>
      <c r="BX2" s="24" t="n">
        <v>48335</v>
      </c>
      <c r="BY2" s="24" t="n">
        <v>48366</v>
      </c>
      <c r="BZ2" s="24" t="n">
        <v>48396</v>
      </c>
      <c r="CA2" s="24" t="n">
        <v>48427</v>
      </c>
      <c r="CB2" s="24" t="n">
        <v>48458</v>
      </c>
      <c r="CC2" s="24" t="n">
        <v>48488</v>
      </c>
      <c r="CD2" s="24" t="n">
        <v>48519</v>
      </c>
      <c r="CE2" s="24" t="n">
        <v>48549</v>
      </c>
      <c r="CF2" s="24" t="n">
        <v>48580</v>
      </c>
      <c r="CG2" s="24" t="n">
        <v>48611</v>
      </c>
      <c r="CH2" s="24" t="n">
        <v>48639</v>
      </c>
      <c r="CI2" s="23" t="n"/>
    </row>
    <row r="3" hidden="1" ht="15" customHeight="1" s="201">
      <c r="A3" s="16" t="inlineStr">
        <is>
          <t>Month #</t>
        </is>
      </c>
      <c r="B3" s="22" t="n"/>
      <c r="C3" s="25" t="n">
        <v>1</v>
      </c>
      <c r="D3" s="25" t="n">
        <v>2</v>
      </c>
      <c r="E3" s="25" t="n">
        <v>3</v>
      </c>
      <c r="F3" s="25" t="n">
        <v>4</v>
      </c>
      <c r="G3" s="25" t="n">
        <v>5</v>
      </c>
      <c r="H3" s="25" t="n">
        <v>6</v>
      </c>
      <c r="I3" s="25" t="n">
        <v>7</v>
      </c>
      <c r="J3" s="25" t="n">
        <v>8</v>
      </c>
      <c r="K3" s="25" t="n">
        <v>9</v>
      </c>
      <c r="L3" s="25" t="n">
        <v>10</v>
      </c>
      <c r="M3" s="25" t="n">
        <v>11</v>
      </c>
      <c r="N3" s="25" t="n">
        <v>12</v>
      </c>
      <c r="O3" s="25" t="n">
        <v>13</v>
      </c>
      <c r="P3" s="25" t="n">
        <v>14</v>
      </c>
      <c r="Q3" s="25" t="n">
        <v>15</v>
      </c>
      <c r="R3" s="25" t="n">
        <v>16</v>
      </c>
      <c r="S3" s="25" t="n">
        <v>17</v>
      </c>
      <c r="T3" s="25" t="n">
        <v>18</v>
      </c>
      <c r="U3" s="25" t="n">
        <v>19</v>
      </c>
      <c r="V3" s="25" t="n">
        <v>20</v>
      </c>
      <c r="W3" s="25" t="n">
        <v>21</v>
      </c>
      <c r="X3" s="25" t="n">
        <v>22</v>
      </c>
      <c r="Y3" s="25" t="n">
        <v>23</v>
      </c>
      <c r="Z3" s="25" t="n">
        <v>24</v>
      </c>
      <c r="AA3" s="25" t="n">
        <v>25</v>
      </c>
      <c r="AB3" s="25" t="n">
        <v>26</v>
      </c>
      <c r="AC3" s="25" t="n">
        <v>27</v>
      </c>
      <c r="AD3" s="25" t="n">
        <v>28</v>
      </c>
      <c r="AE3" s="25" t="n">
        <v>29</v>
      </c>
      <c r="AF3" s="25" t="n">
        <v>30</v>
      </c>
      <c r="AG3" s="25" t="n">
        <v>31</v>
      </c>
      <c r="AH3" s="25" t="n">
        <v>32</v>
      </c>
      <c r="AI3" s="25" t="n">
        <v>33</v>
      </c>
      <c r="AJ3" s="25" t="n">
        <v>34</v>
      </c>
      <c r="AK3" s="25" t="n">
        <v>35</v>
      </c>
      <c r="AL3" s="25" t="n">
        <v>36</v>
      </c>
      <c r="AM3" s="25" t="n">
        <v>37</v>
      </c>
      <c r="AN3" s="25" t="n">
        <v>38</v>
      </c>
      <c r="AO3" s="25" t="n">
        <v>39</v>
      </c>
      <c r="AP3" s="25" t="n">
        <v>40</v>
      </c>
      <c r="AQ3" s="25" t="n">
        <v>41</v>
      </c>
      <c r="AR3" s="25" t="n">
        <v>42</v>
      </c>
      <c r="AS3" s="25" t="n">
        <v>43</v>
      </c>
      <c r="AT3" s="25" t="n">
        <v>44</v>
      </c>
      <c r="AU3" s="25" t="n">
        <v>45</v>
      </c>
      <c r="AV3" s="25" t="n">
        <v>46</v>
      </c>
      <c r="AW3" s="25" t="n">
        <v>47</v>
      </c>
      <c r="AX3" s="25" t="n">
        <v>48</v>
      </c>
      <c r="AY3" s="25" t="n">
        <v>49</v>
      </c>
      <c r="AZ3" s="25" t="n">
        <v>50</v>
      </c>
      <c r="BA3" s="25" t="n">
        <v>51</v>
      </c>
      <c r="BB3" s="25" t="n">
        <v>52</v>
      </c>
      <c r="BC3" s="25" t="n">
        <v>53</v>
      </c>
      <c r="BD3" s="25" t="n">
        <v>54</v>
      </c>
      <c r="BE3" s="25" t="n">
        <v>55</v>
      </c>
      <c r="BF3" s="25" t="n">
        <v>56</v>
      </c>
      <c r="BG3" s="25" t="n">
        <v>57</v>
      </c>
      <c r="BH3" s="25" t="n">
        <v>58</v>
      </c>
      <c r="BI3" s="25" t="n">
        <v>59</v>
      </c>
      <c r="BJ3" s="25" t="n">
        <v>60</v>
      </c>
      <c r="BK3" s="25" t="n">
        <v>61</v>
      </c>
      <c r="BL3" s="25" t="n">
        <v>62</v>
      </c>
      <c r="BM3" s="25" t="n">
        <v>63</v>
      </c>
      <c r="BN3" s="25" t="n">
        <v>64</v>
      </c>
      <c r="BO3" s="25" t="n">
        <v>65</v>
      </c>
      <c r="BP3" s="25" t="n">
        <v>66</v>
      </c>
      <c r="BQ3" s="25" t="n">
        <v>67</v>
      </c>
      <c r="BR3" s="25" t="n">
        <v>68</v>
      </c>
      <c r="BS3" s="25" t="n">
        <v>69</v>
      </c>
      <c r="BT3" s="25" t="n">
        <v>70</v>
      </c>
      <c r="BU3" s="25" t="n">
        <v>71</v>
      </c>
      <c r="BV3" s="25" t="n">
        <v>72</v>
      </c>
      <c r="BW3" s="25" t="n">
        <v>73</v>
      </c>
      <c r="BX3" s="25" t="n">
        <v>74</v>
      </c>
      <c r="BY3" s="25" t="n">
        <v>75</v>
      </c>
      <c r="BZ3" s="25" t="n">
        <v>76</v>
      </c>
      <c r="CA3" s="25" t="n">
        <v>77</v>
      </c>
      <c r="CB3" s="25" t="n">
        <v>78</v>
      </c>
      <c r="CC3" s="25" t="n">
        <v>79</v>
      </c>
      <c r="CD3" s="25" t="n">
        <v>80</v>
      </c>
      <c r="CE3" s="25" t="n">
        <v>81</v>
      </c>
      <c r="CF3" s="25" t="n">
        <v>82</v>
      </c>
      <c r="CG3" s="25" t="n">
        <v>83</v>
      </c>
      <c r="CH3" s="25" t="n">
        <v>84</v>
      </c>
      <c r="CI3" s="23" t="n"/>
    </row>
    <row r="4" ht="15" customHeight="1" s="201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  <c r="AP4" s="22" t="n"/>
      <c r="AQ4" s="22" t="n"/>
      <c r="AR4" s="22" t="n"/>
      <c r="AS4" s="22" t="n"/>
      <c r="AT4" s="22" t="n"/>
      <c r="AU4" s="22" t="n"/>
      <c r="AV4" s="22" t="n"/>
      <c r="AW4" s="22" t="n"/>
      <c r="AX4" s="22" t="n"/>
      <c r="AY4" s="22" t="n"/>
      <c r="AZ4" s="22" t="n"/>
      <c r="BA4" s="22" t="n"/>
      <c r="BB4" s="22" t="n"/>
      <c r="BC4" s="22" t="n"/>
      <c r="BD4" s="22" t="n"/>
      <c r="BE4" s="22" t="n"/>
      <c r="BF4" s="22" t="n"/>
      <c r="BG4" s="22" t="n"/>
      <c r="BH4" s="22" t="n"/>
      <c r="BI4" s="22" t="n"/>
      <c r="BJ4" s="22" t="n"/>
      <c r="BK4" s="22" t="n"/>
      <c r="BL4" s="22" t="n"/>
      <c r="BM4" s="22" t="n"/>
      <c r="BN4" s="22" t="n"/>
      <c r="BO4" s="22" t="n"/>
      <c r="BP4" s="22" t="n"/>
      <c r="BQ4" s="22" t="n"/>
      <c r="BR4" s="22" t="n"/>
      <c r="BS4" s="22" t="n"/>
      <c r="BT4" s="22" t="n"/>
      <c r="BU4" s="22" t="n"/>
      <c r="BV4" s="22" t="n"/>
      <c r="BW4" s="22" t="n"/>
      <c r="BX4" s="22" t="n"/>
      <c r="BY4" s="22" t="n"/>
      <c r="BZ4" s="22" t="n"/>
      <c r="CA4" s="22" t="n"/>
      <c r="CB4" s="22" t="n"/>
      <c r="CC4" s="22" t="n"/>
      <c r="CD4" s="22" t="n"/>
      <c r="CE4" s="22" t="n"/>
      <c r="CF4" s="22" t="n"/>
      <c r="CG4" s="22" t="n"/>
      <c r="CH4" s="22" t="n"/>
      <c r="CI4" s="23" t="n"/>
    </row>
    <row r="5" ht="39.75" customHeight="1" s="201">
      <c r="A5" s="26" t="inlineStr">
        <is>
          <t>GC CONSTRUCTION P&amp;L</t>
        </is>
      </c>
      <c r="B5" s="26" t="n"/>
      <c r="C5" s="27" t="inlineStr">
        <is>
          <t>Crenshaw, Ramsgate, Califa, Whipple, Nelrose</t>
        </is>
      </c>
      <c r="D5" s="26" t="n"/>
      <c r="E5" s="26" t="n"/>
      <c r="F5" s="27" t="inlineStr">
        <is>
          <t>Francis</t>
        </is>
      </c>
      <c r="G5" s="27" t="inlineStr">
        <is>
          <t>Klump</t>
        </is>
      </c>
      <c r="H5" s="27" t="inlineStr">
        <is>
          <t>Scott</t>
        </is>
      </c>
      <c r="I5" s="27" t="inlineStr">
        <is>
          <t>Lexington, Denny</t>
        </is>
      </c>
      <c r="J5" s="27" t="inlineStr">
        <is>
          <t>Acama</t>
        </is>
      </c>
      <c r="K5" s="26" t="n"/>
      <c r="L5" s="26" t="n"/>
      <c r="M5" s="26" t="n"/>
      <c r="N5" s="26" t="n"/>
      <c r="O5" s="27" t="inlineStr">
        <is>
          <t>Reseda</t>
        </is>
      </c>
      <c r="P5" s="26" t="n"/>
      <c r="Q5" s="26" t="n"/>
      <c r="R5" s="27" t="inlineStr">
        <is>
          <t>HVN Pipeline 1</t>
        </is>
      </c>
      <c r="S5" s="26" t="n"/>
      <c r="T5" s="26" t="n"/>
      <c r="U5" s="27" t="inlineStr">
        <is>
          <t>HVN Pipeline 2</t>
        </is>
      </c>
      <c r="V5" s="26" t="n"/>
      <c r="W5" s="26" t="n"/>
      <c r="X5" s="26" t="n"/>
      <c r="Y5" s="26" t="n"/>
      <c r="Z5" s="26" t="n"/>
      <c r="AA5" s="26" t="n"/>
      <c r="AB5" s="26" t="n"/>
      <c r="AC5" s="27" t="inlineStr">
        <is>
          <t>3rd St</t>
        </is>
      </c>
      <c r="AD5" s="26" t="n"/>
      <c r="AE5" s="26" t="n"/>
      <c r="AF5" s="26" t="n"/>
      <c r="AG5" s="26" t="n"/>
      <c r="AH5" s="26" t="n"/>
      <c r="AI5" s="26" t="n"/>
      <c r="AJ5" s="26" t="n"/>
      <c r="AK5" s="26" t="n"/>
      <c r="AL5" s="26" t="n"/>
      <c r="AM5" s="26" t="n"/>
      <c r="AN5" s="26" t="n"/>
      <c r="AO5" s="26" t="n"/>
      <c r="AP5" s="26" t="n"/>
      <c r="AQ5" s="26" t="n"/>
      <c r="AR5" s="26" t="n"/>
      <c r="AS5" s="26" t="n"/>
      <c r="AT5" s="26" t="n"/>
      <c r="AU5" s="26" t="n"/>
      <c r="AV5" s="26" t="n"/>
      <c r="AW5" s="26" t="n"/>
      <c r="AX5" s="26" t="n"/>
      <c r="AY5" s="26" t="n"/>
      <c r="AZ5" s="26" t="n"/>
      <c r="BA5" s="26" t="n"/>
      <c r="BB5" s="26" t="n"/>
      <c r="BC5" s="26" t="n"/>
      <c r="BD5" s="26" t="n"/>
      <c r="BE5" s="26" t="n"/>
      <c r="BF5" s="26" t="n"/>
      <c r="BG5" s="26" t="n"/>
      <c r="BH5" s="26" t="n"/>
      <c r="BI5" s="26" t="n"/>
      <c r="BJ5" s="26" t="n"/>
      <c r="BK5" s="26" t="n"/>
      <c r="BL5" s="26" t="n"/>
      <c r="BM5" s="26" t="n"/>
      <c r="BN5" s="26" t="n"/>
      <c r="BO5" s="26" t="n"/>
      <c r="BP5" s="26" t="n"/>
      <c r="BQ5" s="26" t="n"/>
      <c r="BR5" s="26" t="n"/>
      <c r="BS5" s="26" t="n"/>
      <c r="BT5" s="26" t="n"/>
      <c r="BU5" s="26" t="n"/>
      <c r="BV5" s="26" t="n"/>
      <c r="BW5" s="26" t="n"/>
      <c r="BX5" s="26" t="n"/>
      <c r="BY5" s="26" t="n"/>
      <c r="BZ5" s="26" t="n"/>
      <c r="CA5" s="26" t="n"/>
      <c r="CB5" s="26" t="n"/>
      <c r="CC5" s="26" t="n"/>
      <c r="CD5" s="26" t="n"/>
      <c r="CE5" s="26" t="n"/>
      <c r="CF5" s="26" t="n"/>
      <c r="CG5" s="26" t="n"/>
      <c r="CH5" s="26" t="n"/>
      <c r="CI5" s="23" t="n"/>
    </row>
    <row r="6" ht="15" customHeight="1" s="201">
      <c r="A6" s="6" t="inlineStr">
        <is>
          <t>GC Revenue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  <c r="AZ6" s="6" t="n"/>
      <c r="BA6" s="6" t="n"/>
      <c r="BB6" s="6" t="n"/>
      <c r="BC6" s="6" t="n"/>
      <c r="BD6" s="6" t="n"/>
      <c r="BE6" s="6" t="n"/>
      <c r="BF6" s="6" t="n"/>
      <c r="BG6" s="6" t="n"/>
      <c r="BH6" s="6" t="n"/>
      <c r="BI6" s="6" t="n"/>
      <c r="BJ6" s="6" t="n"/>
      <c r="BK6" s="6" t="n"/>
      <c r="BL6" s="6" t="n"/>
      <c r="BM6" s="6" t="n"/>
      <c r="BN6" s="6" t="n"/>
      <c r="BO6" s="6" t="n"/>
      <c r="BP6" s="6" t="n"/>
      <c r="BQ6" s="6" t="n"/>
      <c r="BR6" s="6" t="n"/>
      <c r="BS6" s="6" t="n"/>
      <c r="BT6" s="6" t="n"/>
      <c r="BU6" s="6" t="n"/>
      <c r="BV6" s="6" t="n"/>
      <c r="BW6" s="6" t="n"/>
      <c r="BX6" s="6" t="n"/>
      <c r="BY6" s="6" t="n"/>
      <c r="BZ6" s="6" t="n"/>
      <c r="CA6" s="6" t="n"/>
      <c r="CB6" s="6" t="n"/>
      <c r="CC6" s="6" t="n"/>
      <c r="CD6" s="6" t="n"/>
      <c r="CE6" s="6" t="n"/>
      <c r="CF6" s="6" t="n"/>
      <c r="CG6" s="6" t="n"/>
      <c r="CH6" s="6" t="n"/>
      <c r="CI6" s="23" t="n"/>
    </row>
    <row r="7" ht="15" customHeight="1" s="201">
      <c r="A7" s="7" t="inlineStr">
        <is>
          <t>Construction Billing</t>
        </is>
      </c>
      <c r="B7" s="22" t="n"/>
      <c r="C7" s="8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+Helpers!C97+Helpers!C107</f>
        <v/>
      </c>
      <c r="D7" s="8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+Helpers!D97+Helpers!D107</f>
        <v/>
      </c>
      <c r="E7" s="8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+Helpers!E97+Helpers!E107</f>
        <v/>
      </c>
      <c r="F7" s="8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+Helpers!F97+Helpers!F107</f>
        <v/>
      </c>
      <c r="G7" s="8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+Helpers!G97+Helpers!G107</f>
        <v/>
      </c>
      <c r="H7" s="8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+Helpers!H97+Helpers!H107</f>
        <v/>
      </c>
      <c r="I7" s="8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+Helpers!I97+Helpers!I107</f>
        <v/>
      </c>
      <c r="J7" s="8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+Helpers!J97+Helpers!J107</f>
        <v/>
      </c>
      <c r="K7" s="8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+Helpers!K97+Helpers!K107</f>
        <v/>
      </c>
      <c r="L7" s="8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+Helpers!L97+Helpers!L107</f>
        <v/>
      </c>
      <c r="M7" s="8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+Helpers!M97+Helpers!M107</f>
        <v/>
      </c>
      <c r="N7" s="8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+Helpers!N97+Helpers!N107</f>
        <v/>
      </c>
      <c r="O7" s="8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+Helpers!O97+Helpers!O107</f>
        <v/>
      </c>
      <c r="P7" s="8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+Helpers!P97+Helpers!P107</f>
        <v/>
      </c>
      <c r="Q7" s="8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+Helpers!Q97+Helpers!Q107</f>
        <v/>
      </c>
      <c r="R7" s="8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+Helpers!R97+Helpers!R107</f>
        <v/>
      </c>
      <c r="S7" s="8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+Helpers!S97+Helpers!S107</f>
        <v/>
      </c>
      <c r="T7" s="8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+Helpers!T97+Helpers!T107</f>
        <v/>
      </c>
      <c r="U7" s="8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+Helpers!U97+Helpers!U107</f>
        <v/>
      </c>
      <c r="V7" s="8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+Helpers!V97+Helpers!V107</f>
        <v/>
      </c>
      <c r="W7" s="8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+Helpers!W97+Helpers!W107</f>
        <v/>
      </c>
      <c r="X7" s="8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+Helpers!X97+Helpers!X107</f>
        <v/>
      </c>
      <c r="Y7" s="8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+Helpers!Y97+Helpers!Y107</f>
        <v/>
      </c>
      <c r="Z7" s="8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+Helpers!Z97+Helpers!Z107</f>
        <v/>
      </c>
      <c r="AA7" s="8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+Helpers!AA97+Helpers!AA107</f>
        <v/>
      </c>
      <c r="AB7" s="8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+Helpers!AB97+Helpers!AB107</f>
        <v/>
      </c>
      <c r="AC7" s="8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+Helpers!AC97+Helpers!AC107</f>
        <v/>
      </c>
      <c r="AD7" s="8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+Helpers!AD97+Helpers!AD107</f>
        <v/>
      </c>
      <c r="AE7" s="8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+Helpers!AE97+Helpers!AE107</f>
        <v/>
      </c>
      <c r="AF7" s="8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+Helpers!AF97+Helpers!AF107</f>
        <v/>
      </c>
      <c r="AG7" s="8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+Helpers!AG97+Helpers!AG107</f>
        <v/>
      </c>
      <c r="AH7" s="8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+Helpers!AH97+Helpers!AH107</f>
        <v/>
      </c>
      <c r="AI7" s="8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+Helpers!AI97+Helpers!AI107</f>
        <v/>
      </c>
      <c r="AJ7" s="8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+Helpers!AJ97+Helpers!AJ107</f>
        <v/>
      </c>
      <c r="AK7" s="8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+Helpers!AK97+Helpers!AK107</f>
        <v/>
      </c>
      <c r="AL7" s="8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+Helpers!AL97+Helpers!AL107</f>
        <v/>
      </c>
      <c r="AM7" s="8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+Helpers!AM97+Helpers!AM107</f>
        <v/>
      </c>
      <c r="AN7" s="8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+Helpers!AN97+Helpers!AN107</f>
        <v/>
      </c>
      <c r="AO7" s="8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+Helpers!AO97+Helpers!AO107</f>
        <v/>
      </c>
      <c r="AP7" s="8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+Helpers!AP97+Helpers!AP107</f>
        <v/>
      </c>
      <c r="AQ7" s="8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+Helpers!AQ97+Helpers!AQ107</f>
        <v/>
      </c>
      <c r="AR7" s="8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+Helpers!AR97+Helpers!AR107</f>
        <v/>
      </c>
      <c r="AS7" s="8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+Helpers!AS97+Helpers!AS107</f>
        <v/>
      </c>
      <c r="AT7" s="8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+Helpers!AT97+Helpers!AT107</f>
        <v/>
      </c>
      <c r="AU7" s="8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+Helpers!AU97+Helpers!AU107</f>
        <v/>
      </c>
      <c r="AV7" s="8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+Helpers!AV97+Helpers!AV107</f>
        <v/>
      </c>
      <c r="AW7" s="8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+Helpers!AW97+Helpers!AW107</f>
        <v/>
      </c>
      <c r="AX7" s="8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+Helpers!AX97+Helpers!AX107</f>
        <v/>
      </c>
      <c r="AY7" s="8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+Helpers!AY97+Helpers!AY107</f>
        <v/>
      </c>
      <c r="AZ7" s="8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+Helpers!AZ97+Helpers!AZ107</f>
        <v/>
      </c>
      <c r="BA7" s="8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+Helpers!BA97+Helpers!BA107</f>
        <v/>
      </c>
      <c r="BB7" s="8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+Helpers!BB97+Helpers!BB107</f>
        <v/>
      </c>
      <c r="BC7" s="8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+Helpers!BC97+Helpers!BC107</f>
        <v/>
      </c>
      <c r="BD7" s="8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+Helpers!BD97+Helpers!BD107</f>
        <v/>
      </c>
      <c r="BE7" s="8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+Helpers!BE97+Helpers!BE107</f>
        <v/>
      </c>
      <c r="BF7" s="8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+Helpers!BF97+Helpers!BF107</f>
        <v/>
      </c>
      <c r="BG7" s="8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+Helpers!BG97+Helpers!BG107</f>
        <v/>
      </c>
      <c r="BH7" s="8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+Helpers!BH97+Helpers!BH107</f>
        <v/>
      </c>
      <c r="BI7" s="8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+Helpers!BI97+Helpers!BI107</f>
        <v/>
      </c>
      <c r="BJ7" s="8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+Helpers!BJ97+Helpers!BJ107</f>
        <v/>
      </c>
      <c r="BK7" s="8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+Helpers!BK97+Helpers!BK107</f>
        <v/>
      </c>
      <c r="BL7" s="8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+Helpers!BL97+Helpers!BL107</f>
        <v/>
      </c>
      <c r="BM7" s="8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+Helpers!BM97+Helpers!BM107</f>
        <v/>
      </c>
      <c r="BN7" s="8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+Helpers!BN97+Helpers!BN107</f>
        <v/>
      </c>
      <c r="BO7" s="8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+Helpers!BO97+Helpers!BO107</f>
        <v/>
      </c>
      <c r="BP7" s="8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+Helpers!BP97+Helpers!BP107</f>
        <v/>
      </c>
      <c r="BQ7" s="8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+Helpers!BQ97+Helpers!BQ107</f>
        <v/>
      </c>
      <c r="BR7" s="8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+Helpers!BR97+Helpers!BR107</f>
        <v/>
      </c>
      <c r="BS7" s="8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+Helpers!BS97+Helpers!BS107</f>
        <v/>
      </c>
      <c r="BT7" s="8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+Helpers!BT97+Helpers!BT107</f>
        <v/>
      </c>
      <c r="BU7" s="8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+Helpers!BU97+Helpers!BU107</f>
        <v/>
      </c>
      <c r="BV7" s="8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+Helpers!BV97+Helpers!BV107</f>
        <v/>
      </c>
      <c r="BW7" s="8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+Helpers!BW97+Helpers!BW107</f>
        <v/>
      </c>
      <c r="BX7" s="8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+Helpers!BX97+Helpers!BX107</f>
        <v/>
      </c>
      <c r="BY7" s="8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+Helpers!BY97+Helpers!BY107</f>
        <v/>
      </c>
      <c r="BZ7" s="8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+Helpers!BZ97+Helpers!BZ107</f>
        <v/>
      </c>
      <c r="CA7" s="8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+Helpers!CA97+Helpers!CA107</f>
        <v/>
      </c>
      <c r="CB7" s="8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+Helpers!CB97+Helpers!CB107</f>
        <v/>
      </c>
      <c r="CC7" s="8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+Helpers!CC97+Helpers!CC107</f>
        <v/>
      </c>
      <c r="CD7" s="8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+Helpers!CD97+Helpers!CD107</f>
        <v/>
      </c>
      <c r="CE7" s="8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+Helpers!CE97+Helpers!CE107</f>
        <v/>
      </c>
      <c r="CF7" s="8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+Helpers!CF97+Helpers!CF107</f>
        <v/>
      </c>
      <c r="CG7" s="8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+Helpers!CG97+Helpers!CG107</f>
        <v/>
      </c>
      <c r="CH7" s="8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+Helpers!CH97+Helpers!CH107</f>
        <v/>
      </c>
      <c r="CI7" s="23" t="n"/>
    </row>
    <row r="8" ht="15" customHeight="1" s="201">
      <c r="A8" s="7" t="inlineStr">
        <is>
          <t>Project Supervision Revenue</t>
        </is>
      </c>
      <c r="B8" s="22" t="n"/>
      <c r="C8" s="8">
        <f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+Helpers!C98+Helpers!C108</f>
        <v/>
      </c>
      <c r="D8" s="8">
        <f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+Helpers!D98+Helpers!D108</f>
        <v/>
      </c>
      <c r="E8" s="8">
        <f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+Helpers!E98+Helpers!E108</f>
        <v/>
      </c>
      <c r="F8" s="8">
        <f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+Helpers!F98+Helpers!F108</f>
        <v/>
      </c>
      <c r="G8" s="8">
        <f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+Helpers!G98+Helpers!G108</f>
        <v/>
      </c>
      <c r="H8" s="8">
        <f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+Helpers!H98+Helpers!H108</f>
        <v/>
      </c>
      <c r="I8" s="8">
        <f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+Helpers!I98+Helpers!I108</f>
        <v/>
      </c>
      <c r="J8" s="8">
        <f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+Helpers!J98+Helpers!J108</f>
        <v/>
      </c>
      <c r="K8" s="8">
        <f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+Helpers!K98+Helpers!K108</f>
        <v/>
      </c>
      <c r="L8" s="8">
        <f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+Helpers!L98+Helpers!L108</f>
        <v/>
      </c>
      <c r="M8" s="8">
        <f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+Helpers!M98+Helpers!M108</f>
        <v/>
      </c>
      <c r="N8" s="8">
        <f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+Helpers!N98+Helpers!N108</f>
        <v/>
      </c>
      <c r="O8" s="8">
        <f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+Helpers!O98+Helpers!O108</f>
        <v/>
      </c>
      <c r="P8" s="8">
        <f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+Helpers!P98+Helpers!P108</f>
        <v/>
      </c>
      <c r="Q8" s="8">
        <f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+Helpers!Q98+Helpers!Q108</f>
        <v/>
      </c>
      <c r="R8" s="8">
        <f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+Helpers!R98+Helpers!R108</f>
        <v/>
      </c>
      <c r="S8" s="8">
        <f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+Helpers!S98+Helpers!S108</f>
        <v/>
      </c>
      <c r="T8" s="8">
        <f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+Helpers!T98+Helpers!T108</f>
        <v/>
      </c>
      <c r="U8" s="8">
        <f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+Helpers!U98+Helpers!U108</f>
        <v/>
      </c>
      <c r="V8" s="8">
        <f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+Helpers!V98+Helpers!V108</f>
        <v/>
      </c>
      <c r="W8" s="8">
        <f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+Helpers!W98+Helpers!W108</f>
        <v/>
      </c>
      <c r="X8" s="8">
        <f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+Helpers!X98+Helpers!X108</f>
        <v/>
      </c>
      <c r="Y8" s="8">
        <f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+Helpers!Y98+Helpers!Y108</f>
        <v/>
      </c>
      <c r="Z8" s="8">
        <f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+Helpers!Z98+Helpers!Z108</f>
        <v/>
      </c>
      <c r="AA8" s="8">
        <f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+Helpers!AA98+Helpers!AA108</f>
        <v/>
      </c>
      <c r="AB8" s="8">
        <f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+Helpers!AB98+Helpers!AB108</f>
        <v/>
      </c>
      <c r="AC8" s="8">
        <f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+Helpers!AC98+Helpers!AC108</f>
        <v/>
      </c>
      <c r="AD8" s="8">
        <f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+Helpers!AD98+Helpers!AD108</f>
        <v/>
      </c>
      <c r="AE8" s="8">
        <f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+Helpers!AE98+Helpers!AE108</f>
        <v/>
      </c>
      <c r="AF8" s="8">
        <f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+Helpers!AF98+Helpers!AF108</f>
        <v/>
      </c>
      <c r="AG8" s="8">
        <f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+Helpers!AG98+Helpers!AG108</f>
        <v/>
      </c>
      <c r="AH8" s="8">
        <f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+Helpers!AH98+Helpers!AH108</f>
        <v/>
      </c>
      <c r="AI8" s="8">
        <f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+Helpers!AI98+Helpers!AI108</f>
        <v/>
      </c>
      <c r="AJ8" s="8">
        <f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+Helpers!AJ98+Helpers!AJ108</f>
        <v/>
      </c>
      <c r="AK8" s="8">
        <f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+Helpers!AK98+Helpers!AK108</f>
        <v/>
      </c>
      <c r="AL8" s="8">
        <f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+Helpers!AL98+Helpers!AL108</f>
        <v/>
      </c>
      <c r="AM8" s="8">
        <f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+Helpers!AM98+Helpers!AM108</f>
        <v/>
      </c>
      <c r="AN8" s="8">
        <f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+Helpers!AN98+Helpers!AN108</f>
        <v/>
      </c>
      <c r="AO8" s="8">
        <f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+Helpers!AO98+Helpers!AO108</f>
        <v/>
      </c>
      <c r="AP8" s="8">
        <f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+Helpers!AP98+Helpers!AP108</f>
        <v/>
      </c>
      <c r="AQ8" s="8">
        <f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+Helpers!AQ98+Helpers!AQ108</f>
        <v/>
      </c>
      <c r="AR8" s="8">
        <f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+Helpers!AR98+Helpers!AR108</f>
        <v/>
      </c>
      <c r="AS8" s="8">
        <f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+Helpers!AS98+Helpers!AS108</f>
        <v/>
      </c>
      <c r="AT8" s="8">
        <f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+Helpers!AT98+Helpers!AT108</f>
        <v/>
      </c>
      <c r="AU8" s="8">
        <f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+Helpers!AU98+Helpers!AU108</f>
        <v/>
      </c>
      <c r="AV8" s="8">
        <f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+Helpers!AV98+Helpers!AV108</f>
        <v/>
      </c>
      <c r="AW8" s="8">
        <f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+Helpers!AW98+Helpers!AW108</f>
        <v/>
      </c>
      <c r="AX8" s="8">
        <f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+Helpers!AX98+Helpers!AX108</f>
        <v/>
      </c>
      <c r="AY8" s="8">
        <f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+Helpers!AY98+Helpers!AY108</f>
        <v/>
      </c>
      <c r="AZ8" s="8">
        <f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+Helpers!AZ98+Helpers!AZ108</f>
        <v/>
      </c>
      <c r="BA8" s="8">
        <f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+Helpers!BA98+Helpers!BA108</f>
        <v/>
      </c>
      <c r="BB8" s="8">
        <f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+Helpers!BB98+Helpers!BB108</f>
        <v/>
      </c>
      <c r="BC8" s="8">
        <f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+Helpers!BC98+Helpers!BC108</f>
        <v/>
      </c>
      <c r="BD8" s="8">
        <f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+Helpers!BD98+Helpers!BD108</f>
        <v/>
      </c>
      <c r="BE8" s="8">
        <f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+Helpers!BE98+Helpers!BE108</f>
        <v/>
      </c>
      <c r="BF8" s="8">
        <f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+Helpers!BF98+Helpers!BF108</f>
        <v/>
      </c>
      <c r="BG8" s="8">
        <f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+Helpers!BG98+Helpers!BG108</f>
        <v/>
      </c>
      <c r="BH8" s="8">
        <f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+Helpers!BH98+Helpers!BH108</f>
        <v/>
      </c>
      <c r="BI8" s="8">
        <f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+Helpers!BI98+Helpers!BI108</f>
        <v/>
      </c>
      <c r="BJ8" s="8">
        <f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+Helpers!BJ98+Helpers!BJ108</f>
        <v/>
      </c>
      <c r="BK8" s="8">
        <f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+Helpers!BK98+Helpers!BK108</f>
        <v/>
      </c>
      <c r="BL8" s="8">
        <f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+Helpers!BL98+Helpers!BL108</f>
        <v/>
      </c>
      <c r="BM8" s="8">
        <f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+Helpers!BM98+Helpers!BM108</f>
        <v/>
      </c>
      <c r="BN8" s="8">
        <f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+Helpers!BN98+Helpers!BN108</f>
        <v/>
      </c>
      <c r="BO8" s="8">
        <f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+Helpers!BO98+Helpers!BO108</f>
        <v/>
      </c>
      <c r="BP8" s="8">
        <f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+Helpers!BP98+Helpers!BP108</f>
        <v/>
      </c>
      <c r="BQ8" s="8">
        <f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+Helpers!BQ98+Helpers!BQ108</f>
        <v/>
      </c>
      <c r="BR8" s="8">
        <f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+Helpers!BR98+Helpers!BR108</f>
        <v/>
      </c>
      <c r="BS8" s="8">
        <f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+Helpers!BS98+Helpers!BS108</f>
        <v/>
      </c>
      <c r="BT8" s="8">
        <f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+Helpers!BT98+Helpers!BT108</f>
        <v/>
      </c>
      <c r="BU8" s="8">
        <f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+Helpers!BU98+Helpers!BU108</f>
        <v/>
      </c>
      <c r="BV8" s="8">
        <f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+Helpers!BV98+Helpers!BV108</f>
        <v/>
      </c>
      <c r="BW8" s="8">
        <f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+Helpers!BW98+Helpers!BW108</f>
        <v/>
      </c>
      <c r="BX8" s="8">
        <f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+Helpers!BX98+Helpers!BX108</f>
        <v/>
      </c>
      <c r="BY8" s="8">
        <f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+Helpers!BY98+Helpers!BY108</f>
        <v/>
      </c>
      <c r="BZ8" s="8">
        <f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+Helpers!BZ98+Helpers!BZ108</f>
        <v/>
      </c>
      <c r="CA8" s="8">
        <f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+Helpers!CA98+Helpers!CA108</f>
        <v/>
      </c>
      <c r="CB8" s="8">
        <f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+Helpers!CB98+Helpers!CB108</f>
        <v/>
      </c>
      <c r="CC8" s="8">
        <f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+Helpers!CC98+Helpers!CC108</f>
        <v/>
      </c>
      <c r="CD8" s="8">
        <f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+Helpers!CD98+Helpers!CD108</f>
        <v/>
      </c>
      <c r="CE8" s="8">
        <f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+Helpers!CE98+Helpers!CE108</f>
        <v/>
      </c>
      <c r="CF8" s="8">
        <f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+Helpers!CF98+Helpers!CF108</f>
        <v/>
      </c>
      <c r="CG8" s="8">
        <f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+Helpers!CG98+Helpers!CG108</f>
        <v/>
      </c>
      <c r="CH8" s="8">
        <f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+Helpers!CH98+Helpers!CH108</f>
        <v/>
      </c>
      <c r="CI8" s="23" t="n"/>
    </row>
    <row r="9" ht="15" customHeight="1" s="201">
      <c r="A9" s="7" t="inlineStr">
        <is>
          <t>GC-CM Fee Revenue</t>
        </is>
      </c>
      <c r="B9" s="22" t="n"/>
      <c r="C9" s="8">
        <f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+Helpers!C99+Helpers!C109</f>
        <v/>
      </c>
      <c r="D9" s="8">
        <f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+Helpers!D99+Helpers!D109</f>
        <v/>
      </c>
      <c r="E9" s="8">
        <f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+Helpers!E99+Helpers!E109</f>
        <v/>
      </c>
      <c r="F9" s="8">
        <f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+Helpers!F99+Helpers!F109</f>
        <v/>
      </c>
      <c r="G9" s="8">
        <f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+Helpers!G99+Helpers!G109</f>
        <v/>
      </c>
      <c r="H9" s="8">
        <f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+Helpers!H99+Helpers!H109</f>
        <v/>
      </c>
      <c r="I9" s="8">
        <f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+Helpers!I99+Helpers!I109</f>
        <v/>
      </c>
      <c r="J9" s="8">
        <f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+Helpers!J99+Helpers!J109</f>
        <v/>
      </c>
      <c r="K9" s="8">
        <f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+Helpers!K99+Helpers!K109</f>
        <v/>
      </c>
      <c r="L9" s="8">
        <f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+Helpers!L99+Helpers!L109</f>
        <v/>
      </c>
      <c r="M9" s="8">
        <f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+Helpers!M99+Helpers!M109</f>
        <v/>
      </c>
      <c r="N9" s="8">
        <f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+Helpers!N99+Helpers!N109</f>
        <v/>
      </c>
      <c r="O9" s="8">
        <f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+Helpers!O99+Helpers!O109</f>
        <v/>
      </c>
      <c r="P9" s="8">
        <f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+Helpers!P99+Helpers!P109</f>
        <v/>
      </c>
      <c r="Q9" s="8">
        <f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+Helpers!Q99+Helpers!Q109</f>
        <v/>
      </c>
      <c r="R9" s="8">
        <f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+Helpers!R99+Helpers!R109</f>
        <v/>
      </c>
      <c r="S9" s="8">
        <f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+Helpers!S99+Helpers!S109</f>
        <v/>
      </c>
      <c r="T9" s="8">
        <f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+Helpers!T99+Helpers!T109</f>
        <v/>
      </c>
      <c r="U9" s="8">
        <f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+Helpers!U99+Helpers!U109</f>
        <v/>
      </c>
      <c r="V9" s="8">
        <f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+Helpers!V99+Helpers!V109</f>
        <v/>
      </c>
      <c r="W9" s="8">
        <f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+Helpers!W99+Helpers!W109</f>
        <v/>
      </c>
      <c r="X9" s="8">
        <f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+Helpers!X99+Helpers!X109</f>
        <v/>
      </c>
      <c r="Y9" s="8">
        <f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+Helpers!Y99+Helpers!Y109</f>
        <v/>
      </c>
      <c r="Z9" s="8">
        <f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+Helpers!Z99+Helpers!Z109</f>
        <v/>
      </c>
      <c r="AA9" s="8">
        <f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+Helpers!AA99+Helpers!AA109</f>
        <v/>
      </c>
      <c r="AB9" s="8">
        <f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+Helpers!AB99+Helpers!AB109</f>
        <v/>
      </c>
      <c r="AC9" s="8">
        <f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+Helpers!AC99+Helpers!AC109</f>
        <v/>
      </c>
      <c r="AD9" s="8">
        <f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+Helpers!AD99+Helpers!AD109</f>
        <v/>
      </c>
      <c r="AE9" s="8">
        <f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+Helpers!AE99+Helpers!AE109</f>
        <v/>
      </c>
      <c r="AF9" s="8">
        <f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+Helpers!AF99+Helpers!AF109</f>
        <v/>
      </c>
      <c r="AG9" s="8">
        <f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+Helpers!AG99+Helpers!AG109</f>
        <v/>
      </c>
      <c r="AH9" s="8">
        <f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+Helpers!AH99+Helpers!AH109</f>
        <v/>
      </c>
      <c r="AI9" s="8">
        <f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+Helpers!AI99+Helpers!AI109</f>
        <v/>
      </c>
      <c r="AJ9" s="8">
        <f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+Helpers!AJ99+Helpers!AJ109</f>
        <v/>
      </c>
      <c r="AK9" s="8">
        <f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+Helpers!AK99+Helpers!AK109</f>
        <v/>
      </c>
      <c r="AL9" s="8">
        <f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+Helpers!AL99+Helpers!AL109</f>
        <v/>
      </c>
      <c r="AM9" s="8">
        <f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+Helpers!AM99+Helpers!AM109</f>
        <v/>
      </c>
      <c r="AN9" s="8">
        <f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+Helpers!AN99+Helpers!AN109</f>
        <v/>
      </c>
      <c r="AO9" s="8">
        <f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+Helpers!AO99+Helpers!AO109</f>
        <v/>
      </c>
      <c r="AP9" s="8">
        <f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+Helpers!AP99+Helpers!AP109</f>
        <v/>
      </c>
      <c r="AQ9" s="8">
        <f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+Helpers!AQ99+Helpers!AQ109</f>
        <v/>
      </c>
      <c r="AR9" s="8">
        <f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+Helpers!AR99+Helpers!AR109</f>
        <v/>
      </c>
      <c r="AS9" s="8">
        <f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+Helpers!AS99+Helpers!AS109</f>
        <v/>
      </c>
      <c r="AT9" s="8">
        <f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+Helpers!AT99+Helpers!AT109</f>
        <v/>
      </c>
      <c r="AU9" s="8">
        <f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+Helpers!AU99+Helpers!AU109</f>
        <v/>
      </c>
      <c r="AV9" s="8">
        <f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+Helpers!AV99+Helpers!AV109</f>
        <v/>
      </c>
      <c r="AW9" s="8">
        <f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+Helpers!AW99+Helpers!AW109</f>
        <v/>
      </c>
      <c r="AX9" s="8">
        <f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+Helpers!AX99+Helpers!AX109</f>
        <v/>
      </c>
      <c r="AY9" s="8">
        <f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+Helpers!AY99+Helpers!AY109</f>
        <v/>
      </c>
      <c r="AZ9" s="8">
        <f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+Helpers!AZ99+Helpers!AZ109</f>
        <v/>
      </c>
      <c r="BA9" s="8">
        <f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+Helpers!BA99+Helpers!BA109</f>
        <v/>
      </c>
      <c r="BB9" s="8">
        <f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+Helpers!BB99+Helpers!BB109</f>
        <v/>
      </c>
      <c r="BC9" s="8">
        <f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+Helpers!BC99+Helpers!BC109</f>
        <v/>
      </c>
      <c r="BD9" s="8">
        <f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+Helpers!BD99+Helpers!BD109</f>
        <v/>
      </c>
      <c r="BE9" s="8">
        <f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+Helpers!BE99+Helpers!BE109</f>
        <v/>
      </c>
      <c r="BF9" s="8">
        <f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+Helpers!BF99+Helpers!BF109</f>
        <v/>
      </c>
      <c r="BG9" s="8">
        <f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+Helpers!BG99+Helpers!BG109</f>
        <v/>
      </c>
      <c r="BH9" s="8">
        <f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+Helpers!BH99+Helpers!BH109</f>
        <v/>
      </c>
      <c r="BI9" s="8">
        <f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+Helpers!BI99+Helpers!BI109</f>
        <v/>
      </c>
      <c r="BJ9" s="8">
        <f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+Helpers!BJ99+Helpers!BJ109</f>
        <v/>
      </c>
      <c r="BK9" s="8">
        <f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+Helpers!BK99+Helpers!BK109</f>
        <v/>
      </c>
      <c r="BL9" s="8">
        <f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+Helpers!BL99+Helpers!BL109</f>
        <v/>
      </c>
      <c r="BM9" s="8">
        <f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+Helpers!BM99+Helpers!BM109</f>
        <v/>
      </c>
      <c r="BN9" s="8">
        <f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+Helpers!BN99+Helpers!BN109</f>
        <v/>
      </c>
      <c r="BO9" s="8">
        <f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+Helpers!BO99+Helpers!BO109</f>
        <v/>
      </c>
      <c r="BP9" s="8">
        <f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+Helpers!BP99+Helpers!BP109</f>
        <v/>
      </c>
      <c r="BQ9" s="8">
        <f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+Helpers!BQ99+Helpers!BQ109</f>
        <v/>
      </c>
      <c r="BR9" s="8">
        <f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+Helpers!BR99+Helpers!BR109</f>
        <v/>
      </c>
      <c r="BS9" s="8">
        <f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+Helpers!BS99+Helpers!BS109</f>
        <v/>
      </c>
      <c r="BT9" s="8">
        <f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+Helpers!BT99+Helpers!BT109</f>
        <v/>
      </c>
      <c r="BU9" s="8">
        <f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+Helpers!BU99+Helpers!BU109</f>
        <v/>
      </c>
      <c r="BV9" s="8">
        <f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+Helpers!BV99+Helpers!BV109</f>
        <v/>
      </c>
      <c r="BW9" s="8">
        <f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+Helpers!BW99+Helpers!BW109</f>
        <v/>
      </c>
      <c r="BX9" s="8">
        <f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+Helpers!BX99+Helpers!BX109</f>
        <v/>
      </c>
      <c r="BY9" s="8">
        <f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+Helpers!BY99+Helpers!BY109</f>
        <v/>
      </c>
      <c r="BZ9" s="8">
        <f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+Helpers!BZ99+Helpers!BZ109</f>
        <v/>
      </c>
      <c r="CA9" s="8">
        <f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+Helpers!CA99+Helpers!CA109</f>
        <v/>
      </c>
      <c r="CB9" s="8">
        <f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+Helpers!CB99+Helpers!CB109</f>
        <v/>
      </c>
      <c r="CC9" s="8">
        <f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+Helpers!CC99+Helpers!CC109</f>
        <v/>
      </c>
      <c r="CD9" s="8">
        <f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+Helpers!CD99+Helpers!CD109</f>
        <v/>
      </c>
      <c r="CE9" s="8">
        <f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+Helpers!CE99+Helpers!CE109</f>
        <v/>
      </c>
      <c r="CF9" s="8">
        <f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+Helpers!CF99+Helpers!CF109</f>
        <v/>
      </c>
      <c r="CG9" s="8">
        <f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+Helpers!CG99+Helpers!CG109</f>
        <v/>
      </c>
      <c r="CH9" s="8">
        <f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+Helpers!CH99+Helpers!CH109</f>
        <v/>
      </c>
      <c r="CI9" s="23" t="n"/>
    </row>
    <row r="10" ht="15" customHeight="1" s="201">
      <c r="A10" s="7" t="inlineStr">
        <is>
          <t>Project Administration Revenue</t>
        </is>
      </c>
      <c r="B10" s="22" t="n"/>
      <c r="C10" s="8">
        <f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+Helpers!C100+Helpers!C110</f>
        <v/>
      </c>
      <c r="D10" s="8">
        <f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+Helpers!D100+Helpers!D110</f>
        <v/>
      </c>
      <c r="E10" s="8">
        <f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+Helpers!E100+Helpers!E110</f>
        <v/>
      </c>
      <c r="F10" s="8">
        <f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+Helpers!F100+Helpers!F110</f>
        <v/>
      </c>
      <c r="G10" s="8">
        <f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+Helpers!G100+Helpers!G110</f>
        <v/>
      </c>
      <c r="H10" s="8">
        <f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+Helpers!H100+Helpers!H110</f>
        <v/>
      </c>
      <c r="I10" s="8">
        <f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+Helpers!I100+Helpers!I110</f>
        <v/>
      </c>
      <c r="J10" s="8">
        <f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+Helpers!J100+Helpers!J110</f>
        <v/>
      </c>
      <c r="K10" s="8">
        <f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+Helpers!K100+Helpers!K110</f>
        <v/>
      </c>
      <c r="L10" s="8">
        <f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+Helpers!L100+Helpers!L110</f>
        <v/>
      </c>
      <c r="M10" s="8">
        <f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+Helpers!M100+Helpers!M110</f>
        <v/>
      </c>
      <c r="N10" s="8">
        <f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+Helpers!N100+Helpers!N110</f>
        <v/>
      </c>
      <c r="O10" s="8">
        <f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+Helpers!O100+Helpers!O110</f>
        <v/>
      </c>
      <c r="P10" s="8">
        <f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+Helpers!P100+Helpers!P110</f>
        <v/>
      </c>
      <c r="Q10" s="8">
        <f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+Helpers!Q100+Helpers!Q110</f>
        <v/>
      </c>
      <c r="R10" s="8">
        <f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+Helpers!R100+Helpers!R110</f>
        <v/>
      </c>
      <c r="S10" s="8">
        <f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+Helpers!S100+Helpers!S110</f>
        <v/>
      </c>
      <c r="T10" s="8">
        <f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+Helpers!T100+Helpers!T110</f>
        <v/>
      </c>
      <c r="U10" s="8">
        <f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+Helpers!U100+Helpers!U110</f>
        <v/>
      </c>
      <c r="V10" s="8">
        <f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+Helpers!V100+Helpers!V110</f>
        <v/>
      </c>
      <c r="W10" s="8">
        <f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+Helpers!W100+Helpers!W110</f>
        <v/>
      </c>
      <c r="X10" s="8">
        <f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+Helpers!X100+Helpers!X110</f>
        <v/>
      </c>
      <c r="Y10" s="8">
        <f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+Helpers!Y100+Helpers!Y110</f>
        <v/>
      </c>
      <c r="Z10" s="8">
        <f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+Helpers!Z100+Helpers!Z110</f>
        <v/>
      </c>
      <c r="AA10" s="8">
        <f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+Helpers!AA100+Helpers!AA110</f>
        <v/>
      </c>
      <c r="AB10" s="8">
        <f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+Helpers!AB100+Helpers!AB110</f>
        <v/>
      </c>
      <c r="AC10" s="8">
        <f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+Helpers!AC100+Helpers!AC110</f>
        <v/>
      </c>
      <c r="AD10" s="8">
        <f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+Helpers!AD100+Helpers!AD110</f>
        <v/>
      </c>
      <c r="AE10" s="8">
        <f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+Helpers!AE100+Helpers!AE110</f>
        <v/>
      </c>
      <c r="AF10" s="8">
        <f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+Helpers!AF100+Helpers!AF110</f>
        <v/>
      </c>
      <c r="AG10" s="8">
        <f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+Helpers!AG100+Helpers!AG110</f>
        <v/>
      </c>
      <c r="AH10" s="8">
        <f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+Helpers!AH100+Helpers!AH110</f>
        <v/>
      </c>
      <c r="AI10" s="8">
        <f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+Helpers!AI100+Helpers!AI110</f>
        <v/>
      </c>
      <c r="AJ10" s="8">
        <f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+Helpers!AJ100+Helpers!AJ110</f>
        <v/>
      </c>
      <c r="AK10" s="8">
        <f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+Helpers!AK100+Helpers!AK110</f>
        <v/>
      </c>
      <c r="AL10" s="8">
        <f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+Helpers!AL100+Helpers!AL110</f>
        <v/>
      </c>
      <c r="AM10" s="8">
        <f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+Helpers!AM100+Helpers!AM110</f>
        <v/>
      </c>
      <c r="AN10" s="8">
        <f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+Helpers!AN100+Helpers!AN110</f>
        <v/>
      </c>
      <c r="AO10" s="8">
        <f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+Helpers!AO100+Helpers!AO110</f>
        <v/>
      </c>
      <c r="AP10" s="8">
        <f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+Helpers!AP100+Helpers!AP110</f>
        <v/>
      </c>
      <c r="AQ10" s="8">
        <f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+Helpers!AQ100+Helpers!AQ110</f>
        <v/>
      </c>
      <c r="AR10" s="8">
        <f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+Helpers!AR100+Helpers!AR110</f>
        <v/>
      </c>
      <c r="AS10" s="8">
        <f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+Helpers!AS100+Helpers!AS110</f>
        <v/>
      </c>
      <c r="AT10" s="8">
        <f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+Helpers!AT100+Helpers!AT110</f>
        <v/>
      </c>
      <c r="AU10" s="8">
        <f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+Helpers!AU100+Helpers!AU110</f>
        <v/>
      </c>
      <c r="AV10" s="8">
        <f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+Helpers!AV100+Helpers!AV110</f>
        <v/>
      </c>
      <c r="AW10" s="8">
        <f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+Helpers!AW100+Helpers!AW110</f>
        <v/>
      </c>
      <c r="AX10" s="8">
        <f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+Helpers!AX100+Helpers!AX110</f>
        <v/>
      </c>
      <c r="AY10" s="8">
        <f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+Helpers!AY100+Helpers!AY110</f>
        <v/>
      </c>
      <c r="AZ10" s="8">
        <f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+Helpers!AZ100+Helpers!AZ110</f>
        <v/>
      </c>
      <c r="BA10" s="8">
        <f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+Helpers!BA100+Helpers!BA110</f>
        <v/>
      </c>
      <c r="BB10" s="8">
        <f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+Helpers!BB100+Helpers!BB110</f>
        <v/>
      </c>
      <c r="BC10" s="8">
        <f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+Helpers!BC100+Helpers!BC110</f>
        <v/>
      </c>
      <c r="BD10" s="8">
        <f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+Helpers!BD100+Helpers!BD110</f>
        <v/>
      </c>
      <c r="BE10" s="8">
        <f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+Helpers!BE100+Helpers!BE110</f>
        <v/>
      </c>
      <c r="BF10" s="8">
        <f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+Helpers!BF100+Helpers!BF110</f>
        <v/>
      </c>
      <c r="BG10" s="8">
        <f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+Helpers!BG100+Helpers!BG110</f>
        <v/>
      </c>
      <c r="BH10" s="8">
        <f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+Helpers!BH100+Helpers!BH110</f>
        <v/>
      </c>
      <c r="BI10" s="8">
        <f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+Helpers!BI100+Helpers!BI110</f>
        <v/>
      </c>
      <c r="BJ10" s="8">
        <f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+Helpers!BJ100+Helpers!BJ110</f>
        <v/>
      </c>
      <c r="BK10" s="8">
        <f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+Helpers!BK100+Helpers!BK110</f>
        <v/>
      </c>
      <c r="BL10" s="8">
        <f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+Helpers!BL100+Helpers!BL110</f>
        <v/>
      </c>
      <c r="BM10" s="8">
        <f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+Helpers!BM100+Helpers!BM110</f>
        <v/>
      </c>
      <c r="BN10" s="8">
        <f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+Helpers!BN100+Helpers!BN110</f>
        <v/>
      </c>
      <c r="BO10" s="8">
        <f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+Helpers!BO100+Helpers!BO110</f>
        <v/>
      </c>
      <c r="BP10" s="8">
        <f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+Helpers!BP100+Helpers!BP110</f>
        <v/>
      </c>
      <c r="BQ10" s="8">
        <f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+Helpers!BQ100+Helpers!BQ110</f>
        <v/>
      </c>
      <c r="BR10" s="8">
        <f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+Helpers!BR100+Helpers!BR110</f>
        <v/>
      </c>
      <c r="BS10" s="8">
        <f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+Helpers!BS100+Helpers!BS110</f>
        <v/>
      </c>
      <c r="BT10" s="8">
        <f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+Helpers!BT100+Helpers!BT110</f>
        <v/>
      </c>
      <c r="BU10" s="8">
        <f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+Helpers!BU100+Helpers!BU110</f>
        <v/>
      </c>
      <c r="BV10" s="8">
        <f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+Helpers!BV100+Helpers!BV110</f>
        <v/>
      </c>
      <c r="BW10" s="8">
        <f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+Helpers!BW100+Helpers!BW110</f>
        <v/>
      </c>
      <c r="BX10" s="8">
        <f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+Helpers!BX100+Helpers!BX110</f>
        <v/>
      </c>
      <c r="BY10" s="8">
        <f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+Helpers!BY100+Helpers!BY110</f>
        <v/>
      </c>
      <c r="BZ10" s="8">
        <f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+Helpers!BZ100+Helpers!BZ110</f>
        <v/>
      </c>
      <c r="CA10" s="8">
        <f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+Helpers!CA100+Helpers!CA110</f>
        <v/>
      </c>
      <c r="CB10" s="8">
        <f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+Helpers!CB100+Helpers!CB110</f>
        <v/>
      </c>
      <c r="CC10" s="8">
        <f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+Helpers!CC100+Helpers!CC110</f>
        <v/>
      </c>
      <c r="CD10" s="8">
        <f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+Helpers!CD100+Helpers!CD110</f>
        <v/>
      </c>
      <c r="CE10" s="8">
        <f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+Helpers!CE100+Helpers!CE110</f>
        <v/>
      </c>
      <c r="CF10" s="8">
        <f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+Helpers!CF100+Helpers!CF110</f>
        <v/>
      </c>
      <c r="CG10" s="8">
        <f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+Helpers!CG100+Helpers!CG110</f>
        <v/>
      </c>
      <c r="CH10" s="8">
        <f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+Helpers!CH100+Helpers!CH110</f>
        <v/>
      </c>
      <c r="CI10" s="23" t="n"/>
    </row>
    <row r="11" ht="15" customHeight="1" s="201">
      <c r="A11" s="7" t="inlineStr">
        <is>
          <t>Bonding Revenue</t>
        </is>
      </c>
      <c r="B11" s="22" t="n"/>
      <c r="C11" s="8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8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8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8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8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8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8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8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8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8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8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8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8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8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8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8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8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8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8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8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8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8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8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8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8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8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8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8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8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8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8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8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8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8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8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8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8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8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8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8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8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8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8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8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8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8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8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8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8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8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8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8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8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8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8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8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8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8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8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8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8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8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8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8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8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8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8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8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8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8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8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8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8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8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8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8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8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8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8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8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8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8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8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8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3" t="n"/>
    </row>
    <row r="12" ht="15" customHeight="1" s="201">
      <c r="A12" s="9" t="inlineStr">
        <is>
          <t>Total GC Revenue</t>
        </is>
      </c>
      <c r="B12" s="28" t="n"/>
      <c r="C12" s="10">
        <f>C8+C9+C10+C11</f>
        <v/>
      </c>
      <c r="D12" s="10">
        <f>D8+D9+D10+D11</f>
        <v/>
      </c>
      <c r="E12" s="10">
        <f>E8+E9+E10+E11</f>
        <v/>
      </c>
      <c r="F12" s="10">
        <f>F8+F9+F10+F11</f>
        <v/>
      </c>
      <c r="G12" s="10">
        <f>G8+G9+G10+G11</f>
        <v/>
      </c>
      <c r="H12" s="10">
        <f>H8+H9+H10+H11</f>
        <v/>
      </c>
      <c r="I12" s="10">
        <f>I8+I9+I10+I11</f>
        <v/>
      </c>
      <c r="J12" s="10">
        <f>J8+J9+J10+J11</f>
        <v/>
      </c>
      <c r="K12" s="10">
        <f>K8+K9+K10+K11</f>
        <v/>
      </c>
      <c r="L12" s="10">
        <f>L8+L9+L10+L11</f>
        <v/>
      </c>
      <c r="M12" s="10">
        <f>M8+M9+M10+M11</f>
        <v/>
      </c>
      <c r="N12" s="10">
        <f>N8+N9+N10+N11</f>
        <v/>
      </c>
      <c r="O12" s="10">
        <f>O8+O9+O10+O11</f>
        <v/>
      </c>
      <c r="P12" s="10">
        <f>P8+P9+P10+P11</f>
        <v/>
      </c>
      <c r="Q12" s="10">
        <f>Q8+Q9+Q10+Q11</f>
        <v/>
      </c>
      <c r="R12" s="10">
        <f>R8+R9+R10+R11</f>
        <v/>
      </c>
      <c r="S12" s="10">
        <f>S8+S9+S10+S11</f>
        <v/>
      </c>
      <c r="T12" s="10">
        <f>T8+T9+T10+T11</f>
        <v/>
      </c>
      <c r="U12" s="10">
        <f>U8+U9+U10+U11</f>
        <v/>
      </c>
      <c r="V12" s="10">
        <f>V8+V9+V10+V11</f>
        <v/>
      </c>
      <c r="W12" s="10">
        <f>W8+W9+W10+W11</f>
        <v/>
      </c>
      <c r="X12" s="10">
        <f>X8+X9+X10+X11</f>
        <v/>
      </c>
      <c r="Y12" s="10">
        <f>Y8+Y9+Y10+Y11</f>
        <v/>
      </c>
      <c r="Z12" s="10">
        <f>Z8+Z9+Z10+Z11</f>
        <v/>
      </c>
      <c r="AA12" s="10">
        <f>AA8+AA9+AA10+AA11</f>
        <v/>
      </c>
      <c r="AB12" s="10">
        <f>AB8+AB9+AB10+AB11</f>
        <v/>
      </c>
      <c r="AC12" s="10">
        <f>AC8+AC9+AC10+AC11</f>
        <v/>
      </c>
      <c r="AD12" s="10">
        <f>AD8+AD9+AD10+AD11</f>
        <v/>
      </c>
      <c r="AE12" s="10">
        <f>AE8+AE9+AE10+AE11</f>
        <v/>
      </c>
      <c r="AF12" s="10">
        <f>AF8+AF9+AF10+AF11</f>
        <v/>
      </c>
      <c r="AG12" s="10">
        <f>AG8+AG9+AG10+AG11</f>
        <v/>
      </c>
      <c r="AH12" s="10">
        <f>AH8+AH9+AH10+AH11</f>
        <v/>
      </c>
      <c r="AI12" s="10">
        <f>AI8+AI9+AI10+AI11</f>
        <v/>
      </c>
      <c r="AJ12" s="10">
        <f>AJ8+AJ9+AJ10+AJ11</f>
        <v/>
      </c>
      <c r="AK12" s="10">
        <f>AK8+AK9+AK10+AK11</f>
        <v/>
      </c>
      <c r="AL12" s="10">
        <f>AL8+AL9+AL10+AL11</f>
        <v/>
      </c>
      <c r="AM12" s="10">
        <f>AM8+AM9+AM10+AM11</f>
        <v/>
      </c>
      <c r="AN12" s="10">
        <f>AN8+AN9+AN10+AN11</f>
        <v/>
      </c>
      <c r="AO12" s="10">
        <f>AO8+AO9+AO10+AO11</f>
        <v/>
      </c>
      <c r="AP12" s="10">
        <f>AP8+AP9+AP10+AP11</f>
        <v/>
      </c>
      <c r="AQ12" s="10">
        <f>AQ8+AQ9+AQ10+AQ11</f>
        <v/>
      </c>
      <c r="AR12" s="10">
        <f>AR8+AR9+AR10+AR11</f>
        <v/>
      </c>
      <c r="AS12" s="10">
        <f>AS8+AS9+AS10+AS11</f>
        <v/>
      </c>
      <c r="AT12" s="10">
        <f>AT8+AT9+AT10+AT11</f>
        <v/>
      </c>
      <c r="AU12" s="10">
        <f>AU8+AU9+AU10+AU11</f>
        <v/>
      </c>
      <c r="AV12" s="10">
        <f>AV8+AV9+AV10+AV11</f>
        <v/>
      </c>
      <c r="AW12" s="10">
        <f>AW8+AW9+AW10+AW11</f>
        <v/>
      </c>
      <c r="AX12" s="10">
        <f>AX8+AX9+AX10+AX11</f>
        <v/>
      </c>
      <c r="AY12" s="10">
        <f>AY8+AY9+AY10+AY11</f>
        <v/>
      </c>
      <c r="AZ12" s="10">
        <f>AZ8+AZ9+AZ10+AZ11</f>
        <v/>
      </c>
      <c r="BA12" s="10">
        <f>BA8+BA9+BA10+BA11</f>
        <v/>
      </c>
      <c r="BB12" s="10">
        <f>BB8+BB9+BB10+BB11</f>
        <v/>
      </c>
      <c r="BC12" s="10">
        <f>BC8+BC9+BC10+BC11</f>
        <v/>
      </c>
      <c r="BD12" s="10">
        <f>BD8+BD9+BD10+BD11</f>
        <v/>
      </c>
      <c r="BE12" s="10">
        <f>BE8+BE9+BE10+BE11</f>
        <v/>
      </c>
      <c r="BF12" s="10">
        <f>BF8+BF9+BF10+BF11</f>
        <v/>
      </c>
      <c r="BG12" s="10">
        <f>BG8+BG9+BG10+BG11</f>
        <v/>
      </c>
      <c r="BH12" s="10">
        <f>BH8+BH9+BH10+BH11</f>
        <v/>
      </c>
      <c r="BI12" s="10">
        <f>BI8+BI9+BI10+BI11</f>
        <v/>
      </c>
      <c r="BJ12" s="10">
        <f>BJ8+BJ9+BJ10+BJ11</f>
        <v/>
      </c>
      <c r="BK12" s="10">
        <f>BK8+BK9+BK10+BK11</f>
        <v/>
      </c>
      <c r="BL12" s="10">
        <f>BL8+BL9+BL10+BL11</f>
        <v/>
      </c>
      <c r="BM12" s="10">
        <f>BM8+BM9+BM10+BM11</f>
        <v/>
      </c>
      <c r="BN12" s="10">
        <f>BN8+BN9+BN10+BN11</f>
        <v/>
      </c>
      <c r="BO12" s="10">
        <f>BO8+BO9+BO10+BO11</f>
        <v/>
      </c>
      <c r="BP12" s="10">
        <f>BP8+BP9+BP10+BP11</f>
        <v/>
      </c>
      <c r="BQ12" s="10">
        <f>BQ8+BQ9+BQ10+BQ11</f>
        <v/>
      </c>
      <c r="BR12" s="10">
        <f>BR8+BR9+BR10+BR11</f>
        <v/>
      </c>
      <c r="BS12" s="10">
        <f>BS8+BS9+BS10+BS11</f>
        <v/>
      </c>
      <c r="BT12" s="10">
        <f>BT8+BT9+BT10+BT11</f>
        <v/>
      </c>
      <c r="BU12" s="10">
        <f>BU8+BU9+BU10+BU11</f>
        <v/>
      </c>
      <c r="BV12" s="10">
        <f>BV8+BV9+BV10+BV11</f>
        <v/>
      </c>
      <c r="BW12" s="10">
        <f>BW8+BW9+BW10+BW11</f>
        <v/>
      </c>
      <c r="BX12" s="10">
        <f>BX8+BX9+BX10+BX11</f>
        <v/>
      </c>
      <c r="BY12" s="10">
        <f>BY8+BY9+BY10+BY11</f>
        <v/>
      </c>
      <c r="BZ12" s="10">
        <f>BZ8+BZ9+BZ10+BZ11</f>
        <v/>
      </c>
      <c r="CA12" s="10">
        <f>CA8+CA9+CA10+CA11</f>
        <v/>
      </c>
      <c r="CB12" s="10">
        <f>CB8+CB9+CB10+CB11</f>
        <v/>
      </c>
      <c r="CC12" s="10">
        <f>CC8+CC9+CC10+CC11</f>
        <v/>
      </c>
      <c r="CD12" s="10">
        <f>CD8+CD9+CD10+CD11</f>
        <v/>
      </c>
      <c r="CE12" s="10">
        <f>CE8+CE9+CE10+CE11</f>
        <v/>
      </c>
      <c r="CF12" s="10">
        <f>CF8+CF9+CF10+CF11</f>
        <v/>
      </c>
      <c r="CG12" s="10">
        <f>CG8+CG9+CG10+CG11</f>
        <v/>
      </c>
      <c r="CH12" s="10">
        <f>CH8+CH9+CH10+CH11</f>
        <v/>
      </c>
      <c r="CI12" s="23" t="n"/>
    </row>
    <row r="13" ht="15" customHeight="1" s="201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2" t="n"/>
      <c r="BE13" s="22" t="n"/>
      <c r="BF13" s="22" t="n"/>
      <c r="BG13" s="22" t="n"/>
      <c r="BH13" s="22" t="n"/>
      <c r="BI13" s="22" t="n"/>
      <c r="BJ13" s="22" t="n"/>
      <c r="BK13" s="22" t="n"/>
      <c r="BL13" s="22" t="n"/>
      <c r="BM13" s="22" t="n"/>
      <c r="BN13" s="22" t="n"/>
      <c r="BO13" s="22" t="n"/>
      <c r="BP13" s="22" t="n"/>
      <c r="BQ13" s="22" t="n"/>
      <c r="BR13" s="22" t="n"/>
      <c r="BS13" s="22" t="n"/>
      <c r="BT13" s="22" t="n"/>
      <c r="BU13" s="22" t="n"/>
      <c r="BV13" s="22" t="n"/>
      <c r="BW13" s="22" t="n"/>
      <c r="BX13" s="22" t="n"/>
      <c r="BY13" s="22" t="n"/>
      <c r="BZ13" s="22" t="n"/>
      <c r="CA13" s="22" t="n"/>
      <c r="CB13" s="22" t="n"/>
      <c r="CC13" s="22" t="n"/>
      <c r="CD13" s="22" t="n"/>
      <c r="CE13" s="22" t="n"/>
      <c r="CF13" s="22" t="n"/>
      <c r="CG13" s="22" t="n"/>
      <c r="CH13" s="22" t="n"/>
      <c r="CI13" s="23" t="n"/>
    </row>
    <row r="14" ht="15" customHeight="1" s="201">
      <c r="A14" s="6" t="inlineStr">
        <is>
          <t>GC Costs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6" t="n"/>
      <c r="BE14" s="6" t="n"/>
      <c r="BF14" s="6" t="n"/>
      <c r="BG14" s="6" t="n"/>
      <c r="BH14" s="6" t="n"/>
      <c r="BI14" s="6" t="n"/>
      <c r="BJ14" s="6" t="n"/>
      <c r="BK14" s="6" t="n"/>
      <c r="BL14" s="6" t="n"/>
      <c r="BM14" s="6" t="n"/>
      <c r="BN14" s="6" t="n"/>
      <c r="BO14" s="6" t="n"/>
      <c r="BP14" s="6" t="n"/>
      <c r="BQ14" s="6" t="n"/>
      <c r="BR14" s="6" t="n"/>
      <c r="BS14" s="6" t="n"/>
      <c r="BT14" s="6" t="n"/>
      <c r="BU14" s="6" t="n"/>
      <c r="BV14" s="6" t="n"/>
      <c r="BW14" s="6" t="n"/>
      <c r="BX14" s="6" t="n"/>
      <c r="BY14" s="6" t="n"/>
      <c r="BZ14" s="6" t="n"/>
      <c r="CA14" s="6" t="n"/>
      <c r="CB14" s="6" t="n"/>
      <c r="CC14" s="6" t="n"/>
      <c r="CD14" s="6" t="n"/>
      <c r="CE14" s="6" t="n"/>
      <c r="CF14" s="6" t="n"/>
      <c r="CG14" s="6" t="n"/>
      <c r="CH14" s="6" t="n"/>
      <c r="CI14" s="23" t="n"/>
    </row>
    <row r="15" ht="15" customHeight="1" s="201">
      <c r="A15" s="7" t="inlineStr">
        <is>
          <t>Bonding Costs</t>
        </is>
      </c>
      <c r="B15" s="22" t="n"/>
      <c r="C15" s="8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8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8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8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8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8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8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8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8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8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8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8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8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8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8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8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8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8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8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8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8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8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8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8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8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8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8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8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8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8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8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8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8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8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8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8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8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8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8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8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8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8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8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8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8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8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8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8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8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8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8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8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8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8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8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8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8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8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8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8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8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8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8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8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8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8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8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8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8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8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8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8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8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8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8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8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8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8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8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8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8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8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8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8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3" t="n"/>
    </row>
    <row r="16" ht="15" customHeight="1" s="201">
      <c r="A16" s="7" t="inlineStr">
        <is>
          <t>GC Job Payroll</t>
        </is>
      </c>
      <c r="B16" s="22" t="n"/>
      <c r="C16" s="8">
        <f>-(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+IF(AND(1&gt;=Personnel!$E$26,Personnel!$G$26="Yes"),Personnel!$D$26,0)+IF(AND(1&gt;=Personnel!$E$27,Personnel!$G$27="Yes"),Personnel!$D$27,0)+IF(AND(1&gt;=Personnel!$E$28,Personnel!$G$28="Yes"),Personnel!$D$28,0)+IF(AND(1&gt;=Personnel!$E$29,Personnel!$G$29="Yes"),Personnel!$D$29,0))</f>
        <v/>
      </c>
      <c r="D16" s="8">
        <f>-(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+IF(AND(2&gt;=Personnel!$E$26,Personnel!$G$26="Yes"),Personnel!$D$26,0)+IF(AND(2&gt;=Personnel!$E$27,Personnel!$G$27="Yes"),Personnel!$D$27,0)+IF(AND(2&gt;=Personnel!$E$28,Personnel!$G$28="Yes"),Personnel!$D$28,0)+IF(AND(2&gt;=Personnel!$E$29,Personnel!$G$29="Yes"),Personnel!$D$29,0))</f>
        <v/>
      </c>
      <c r="E16" s="8">
        <f>-(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+IF(AND(3&gt;=Personnel!$E$26,Personnel!$G$26="Yes"),Personnel!$D$26,0)+IF(AND(3&gt;=Personnel!$E$27,Personnel!$G$27="Yes"),Personnel!$D$27,0)+IF(AND(3&gt;=Personnel!$E$28,Personnel!$G$28="Yes"),Personnel!$D$28,0)+IF(AND(3&gt;=Personnel!$E$29,Personnel!$G$29="Yes"),Personnel!$D$29,0))</f>
        <v/>
      </c>
      <c r="F16" s="8">
        <f>-(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+IF(AND(4&gt;=Personnel!$E$26,Personnel!$G$26="Yes"),Personnel!$D$26,0)+IF(AND(4&gt;=Personnel!$E$27,Personnel!$G$27="Yes"),Personnel!$D$27,0)+IF(AND(4&gt;=Personnel!$E$28,Personnel!$G$28="Yes"),Personnel!$D$28,0)+IF(AND(4&gt;=Personnel!$E$29,Personnel!$G$29="Yes"),Personnel!$D$29,0))</f>
        <v/>
      </c>
      <c r="G16" s="8">
        <f>-(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+IF(AND(5&gt;=Personnel!$E$26,Personnel!$G$26="Yes"),Personnel!$D$26,0)+IF(AND(5&gt;=Personnel!$E$27,Personnel!$G$27="Yes"),Personnel!$D$27,0)+IF(AND(5&gt;=Personnel!$E$28,Personnel!$G$28="Yes"),Personnel!$D$28,0)+IF(AND(5&gt;=Personnel!$E$29,Personnel!$G$29="Yes"),Personnel!$D$29,0))</f>
        <v/>
      </c>
      <c r="H16" s="8">
        <f>-(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+IF(AND(6&gt;=Personnel!$E$26,Personnel!$G$26="Yes"),Personnel!$D$26,0)+IF(AND(6&gt;=Personnel!$E$27,Personnel!$G$27="Yes"),Personnel!$D$27,0)+IF(AND(6&gt;=Personnel!$E$28,Personnel!$G$28="Yes"),Personnel!$D$28,0)+IF(AND(6&gt;=Personnel!$E$29,Personnel!$G$29="Yes"),Personnel!$D$29,0))</f>
        <v/>
      </c>
      <c r="I16" s="8">
        <f>-(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+IF(AND(7&gt;=Personnel!$E$26,Personnel!$G$26="Yes"),Personnel!$D$26,0)+IF(AND(7&gt;=Personnel!$E$27,Personnel!$G$27="Yes"),Personnel!$D$27,0)+IF(AND(7&gt;=Personnel!$E$28,Personnel!$G$28="Yes"),Personnel!$D$28,0)+IF(AND(7&gt;=Personnel!$E$29,Personnel!$G$29="Yes"),Personnel!$D$29,0))</f>
        <v/>
      </c>
      <c r="J16" s="8">
        <f>-(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+IF(AND(8&gt;=Personnel!$E$26,Personnel!$G$26="Yes"),Personnel!$D$26,0)+IF(AND(8&gt;=Personnel!$E$27,Personnel!$G$27="Yes"),Personnel!$D$27,0)+IF(AND(8&gt;=Personnel!$E$28,Personnel!$G$28="Yes"),Personnel!$D$28,0)+IF(AND(8&gt;=Personnel!$E$29,Personnel!$G$29="Yes"),Personnel!$D$29,0))</f>
        <v/>
      </c>
      <c r="K16" s="8">
        <f>-(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+IF(AND(9&gt;=Personnel!$E$26,Personnel!$G$26="Yes"),Personnel!$D$26,0)+IF(AND(9&gt;=Personnel!$E$27,Personnel!$G$27="Yes"),Personnel!$D$27,0)+IF(AND(9&gt;=Personnel!$E$28,Personnel!$G$28="Yes"),Personnel!$D$28,0)+IF(AND(9&gt;=Personnel!$E$29,Personnel!$G$29="Yes"),Personnel!$D$29,0))</f>
        <v/>
      </c>
      <c r="L16" s="8">
        <f>-(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+IF(AND(10&gt;=Personnel!$E$26,Personnel!$G$26="Yes"),Personnel!$D$26,0)+IF(AND(10&gt;=Personnel!$E$27,Personnel!$G$27="Yes"),Personnel!$D$27,0)+IF(AND(10&gt;=Personnel!$E$28,Personnel!$G$28="Yes"),Personnel!$D$28,0)+IF(AND(10&gt;=Personnel!$E$29,Personnel!$G$29="Yes"),Personnel!$D$29,0))</f>
        <v/>
      </c>
      <c r="M16" s="8">
        <f>-(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+IF(AND(11&gt;=Personnel!$E$26,Personnel!$G$26="Yes"),Personnel!$D$26,0)+IF(AND(11&gt;=Personnel!$E$27,Personnel!$G$27="Yes"),Personnel!$D$27,0)+IF(AND(11&gt;=Personnel!$E$28,Personnel!$G$28="Yes"),Personnel!$D$28,0)+IF(AND(11&gt;=Personnel!$E$29,Personnel!$G$29="Yes"),Personnel!$D$29,0))</f>
        <v/>
      </c>
      <c r="N16" s="8">
        <f>-(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+IF(AND(12&gt;=Personnel!$E$26,Personnel!$G$26="Yes"),Personnel!$D$26,0)+IF(AND(12&gt;=Personnel!$E$27,Personnel!$G$27="Yes"),Personnel!$D$27,0)+IF(AND(12&gt;=Personnel!$E$28,Personnel!$G$28="Yes"),Personnel!$D$28,0)+IF(AND(12&gt;=Personnel!$E$29,Personnel!$G$29="Yes"),Personnel!$D$29,0))</f>
        <v/>
      </c>
      <c r="O16" s="8">
        <f>-(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+IF(AND(13&gt;=Personnel!$E$26,Personnel!$G$26="Yes"),Personnel!$D$26,0)+IF(AND(13&gt;=Personnel!$E$27,Personnel!$G$27="Yes"),Personnel!$D$27,0)+IF(AND(13&gt;=Personnel!$E$28,Personnel!$G$28="Yes"),Personnel!$D$28,0)+IF(AND(13&gt;=Personnel!$E$29,Personnel!$G$29="Yes"),Personnel!$D$29,0))</f>
        <v/>
      </c>
      <c r="P16" s="8">
        <f>-(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+IF(AND(14&gt;=Personnel!$E$26,Personnel!$G$26="Yes"),Personnel!$D$26,0)+IF(AND(14&gt;=Personnel!$E$27,Personnel!$G$27="Yes"),Personnel!$D$27,0)+IF(AND(14&gt;=Personnel!$E$28,Personnel!$G$28="Yes"),Personnel!$D$28,0)+IF(AND(14&gt;=Personnel!$E$29,Personnel!$G$29="Yes"),Personnel!$D$29,0))</f>
        <v/>
      </c>
      <c r="Q16" s="8">
        <f>-(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+IF(AND(15&gt;=Personnel!$E$26,Personnel!$G$26="Yes"),Personnel!$D$26,0)+IF(AND(15&gt;=Personnel!$E$27,Personnel!$G$27="Yes"),Personnel!$D$27,0)+IF(AND(15&gt;=Personnel!$E$28,Personnel!$G$28="Yes"),Personnel!$D$28,0)+IF(AND(15&gt;=Personnel!$E$29,Personnel!$G$29="Yes"),Personnel!$D$29,0))</f>
        <v/>
      </c>
      <c r="R16" s="8">
        <f>-(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+IF(AND(16&gt;=Personnel!$E$26,Personnel!$G$26="Yes"),Personnel!$D$26,0)+IF(AND(16&gt;=Personnel!$E$27,Personnel!$G$27="Yes"),Personnel!$D$27,0)+IF(AND(16&gt;=Personnel!$E$28,Personnel!$G$28="Yes"),Personnel!$D$28,0)+IF(AND(16&gt;=Personnel!$E$29,Personnel!$G$29="Yes"),Personnel!$D$29,0))</f>
        <v/>
      </c>
      <c r="S16" s="8">
        <f>-(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+IF(AND(17&gt;=Personnel!$E$26,Personnel!$G$26="Yes"),Personnel!$D$26,0)+IF(AND(17&gt;=Personnel!$E$27,Personnel!$G$27="Yes"),Personnel!$D$27,0)+IF(AND(17&gt;=Personnel!$E$28,Personnel!$G$28="Yes"),Personnel!$D$28,0)+IF(AND(17&gt;=Personnel!$E$29,Personnel!$G$29="Yes"),Personnel!$D$29,0))</f>
        <v/>
      </c>
      <c r="T16" s="8">
        <f>-(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+IF(AND(18&gt;=Personnel!$E$26,Personnel!$G$26="Yes"),Personnel!$D$26,0)+IF(AND(18&gt;=Personnel!$E$27,Personnel!$G$27="Yes"),Personnel!$D$27,0)+IF(AND(18&gt;=Personnel!$E$28,Personnel!$G$28="Yes"),Personnel!$D$28,0)+IF(AND(18&gt;=Personnel!$E$29,Personnel!$G$29="Yes"),Personnel!$D$29,0))</f>
        <v/>
      </c>
      <c r="U16" s="8">
        <f>-(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+IF(AND(19&gt;=Personnel!$E$26,Personnel!$G$26="Yes"),Personnel!$D$26,0)+IF(AND(19&gt;=Personnel!$E$27,Personnel!$G$27="Yes"),Personnel!$D$27,0)+IF(AND(19&gt;=Personnel!$E$28,Personnel!$G$28="Yes"),Personnel!$D$28,0)+IF(AND(19&gt;=Personnel!$E$29,Personnel!$G$29="Yes"),Personnel!$D$29,0))</f>
        <v/>
      </c>
      <c r="V16" s="8">
        <f>-(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+IF(AND(20&gt;=Personnel!$E$26,Personnel!$G$26="Yes"),Personnel!$D$26,0)+IF(AND(20&gt;=Personnel!$E$27,Personnel!$G$27="Yes"),Personnel!$D$27,0)+IF(AND(20&gt;=Personnel!$E$28,Personnel!$G$28="Yes"),Personnel!$D$28,0)+IF(AND(20&gt;=Personnel!$E$29,Personnel!$G$29="Yes"),Personnel!$D$29,0))</f>
        <v/>
      </c>
      <c r="W16" s="8">
        <f>-(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+IF(AND(21&gt;=Personnel!$E$26,Personnel!$G$26="Yes"),Personnel!$D$26,0)+IF(AND(21&gt;=Personnel!$E$27,Personnel!$G$27="Yes"),Personnel!$D$27,0)+IF(AND(21&gt;=Personnel!$E$28,Personnel!$G$28="Yes"),Personnel!$D$28,0)+IF(AND(21&gt;=Personnel!$E$29,Personnel!$G$29="Yes"),Personnel!$D$29,0))</f>
        <v/>
      </c>
      <c r="X16" s="8">
        <f>-(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+IF(AND(22&gt;=Personnel!$E$26,Personnel!$G$26="Yes"),Personnel!$D$26,0)+IF(AND(22&gt;=Personnel!$E$27,Personnel!$G$27="Yes"),Personnel!$D$27,0)+IF(AND(22&gt;=Personnel!$E$28,Personnel!$G$28="Yes"),Personnel!$D$28,0)+IF(AND(22&gt;=Personnel!$E$29,Personnel!$G$29="Yes"),Personnel!$D$29,0))</f>
        <v/>
      </c>
      <c r="Y16" s="8">
        <f>-(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+IF(AND(23&gt;=Personnel!$E$26,Personnel!$G$26="Yes"),Personnel!$D$26,0)+IF(AND(23&gt;=Personnel!$E$27,Personnel!$G$27="Yes"),Personnel!$D$27,0)+IF(AND(23&gt;=Personnel!$E$28,Personnel!$G$28="Yes"),Personnel!$D$28,0)+IF(AND(23&gt;=Personnel!$E$29,Personnel!$G$29="Yes"),Personnel!$D$29,0))</f>
        <v/>
      </c>
      <c r="Z16" s="8">
        <f>-(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+IF(AND(24&gt;=Personnel!$E$26,Personnel!$G$26="Yes"),Personnel!$D$26,0)+IF(AND(24&gt;=Personnel!$E$27,Personnel!$G$27="Yes"),Personnel!$D$27,0)+IF(AND(24&gt;=Personnel!$E$28,Personnel!$G$28="Yes"),Personnel!$D$28,0)+IF(AND(24&gt;=Personnel!$E$29,Personnel!$G$29="Yes"),Personnel!$D$29,0))</f>
        <v/>
      </c>
      <c r="AA16" s="8">
        <f>-(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+IF(AND(25&gt;=Personnel!$E$26,Personnel!$G$26="Yes"),Personnel!$D$26,0)+IF(AND(25&gt;=Personnel!$E$27,Personnel!$G$27="Yes"),Personnel!$D$27,0)+IF(AND(25&gt;=Personnel!$E$28,Personnel!$G$28="Yes"),Personnel!$D$28,0)+IF(AND(25&gt;=Personnel!$E$29,Personnel!$G$29="Yes"),Personnel!$D$29,0))</f>
        <v/>
      </c>
      <c r="AB16" s="8">
        <f>-(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+IF(AND(26&gt;=Personnel!$E$26,Personnel!$G$26="Yes"),Personnel!$D$26,0)+IF(AND(26&gt;=Personnel!$E$27,Personnel!$G$27="Yes"),Personnel!$D$27,0)+IF(AND(26&gt;=Personnel!$E$28,Personnel!$G$28="Yes"),Personnel!$D$28,0)+IF(AND(26&gt;=Personnel!$E$29,Personnel!$G$29="Yes"),Personnel!$D$29,0))</f>
        <v/>
      </c>
      <c r="AC16" s="8">
        <f>-(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+IF(AND(27&gt;=Personnel!$E$26,Personnel!$G$26="Yes"),Personnel!$D$26,0)+IF(AND(27&gt;=Personnel!$E$27,Personnel!$G$27="Yes"),Personnel!$D$27,0)+IF(AND(27&gt;=Personnel!$E$28,Personnel!$G$28="Yes"),Personnel!$D$28,0)+IF(AND(27&gt;=Personnel!$E$29,Personnel!$G$29="Yes"),Personnel!$D$29,0))</f>
        <v/>
      </c>
      <c r="AD16" s="8">
        <f>-(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+IF(AND(28&gt;=Personnel!$E$26,Personnel!$G$26="Yes"),Personnel!$D$26,0)+IF(AND(28&gt;=Personnel!$E$27,Personnel!$G$27="Yes"),Personnel!$D$27,0)+IF(AND(28&gt;=Personnel!$E$28,Personnel!$G$28="Yes"),Personnel!$D$28,0)+IF(AND(28&gt;=Personnel!$E$29,Personnel!$G$29="Yes"),Personnel!$D$29,0))</f>
        <v/>
      </c>
      <c r="AE16" s="8">
        <f>-(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+IF(AND(29&gt;=Personnel!$E$26,Personnel!$G$26="Yes"),Personnel!$D$26,0)+IF(AND(29&gt;=Personnel!$E$27,Personnel!$G$27="Yes"),Personnel!$D$27,0)+IF(AND(29&gt;=Personnel!$E$28,Personnel!$G$28="Yes"),Personnel!$D$28,0)+IF(AND(29&gt;=Personnel!$E$29,Personnel!$G$29="Yes"),Personnel!$D$29,0))</f>
        <v/>
      </c>
      <c r="AF16" s="8">
        <f>-(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+IF(AND(30&gt;=Personnel!$E$26,Personnel!$G$26="Yes"),Personnel!$D$26,0)+IF(AND(30&gt;=Personnel!$E$27,Personnel!$G$27="Yes"),Personnel!$D$27,0)+IF(AND(30&gt;=Personnel!$E$28,Personnel!$G$28="Yes"),Personnel!$D$28,0)+IF(AND(30&gt;=Personnel!$E$29,Personnel!$G$29="Yes"),Personnel!$D$29,0))</f>
        <v/>
      </c>
      <c r="AG16" s="8">
        <f>-(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+IF(AND(31&gt;=Personnel!$E$26,Personnel!$G$26="Yes"),Personnel!$D$26,0)+IF(AND(31&gt;=Personnel!$E$27,Personnel!$G$27="Yes"),Personnel!$D$27,0)+IF(AND(31&gt;=Personnel!$E$28,Personnel!$G$28="Yes"),Personnel!$D$28,0)+IF(AND(31&gt;=Personnel!$E$29,Personnel!$G$29="Yes"),Personnel!$D$29,0))</f>
        <v/>
      </c>
      <c r="AH16" s="8">
        <f>-(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+IF(AND(32&gt;=Personnel!$E$26,Personnel!$G$26="Yes"),Personnel!$D$26,0)+IF(AND(32&gt;=Personnel!$E$27,Personnel!$G$27="Yes"),Personnel!$D$27,0)+IF(AND(32&gt;=Personnel!$E$28,Personnel!$G$28="Yes"),Personnel!$D$28,0)+IF(AND(32&gt;=Personnel!$E$29,Personnel!$G$29="Yes"),Personnel!$D$29,0))</f>
        <v/>
      </c>
      <c r="AI16" s="8">
        <f>-(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+IF(AND(33&gt;=Personnel!$E$26,Personnel!$G$26="Yes"),Personnel!$D$26,0)+IF(AND(33&gt;=Personnel!$E$27,Personnel!$G$27="Yes"),Personnel!$D$27,0)+IF(AND(33&gt;=Personnel!$E$28,Personnel!$G$28="Yes"),Personnel!$D$28,0)+IF(AND(33&gt;=Personnel!$E$29,Personnel!$G$29="Yes"),Personnel!$D$29,0))</f>
        <v/>
      </c>
      <c r="AJ16" s="8">
        <f>-(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+IF(AND(34&gt;=Personnel!$E$26,Personnel!$G$26="Yes"),Personnel!$D$26,0)+IF(AND(34&gt;=Personnel!$E$27,Personnel!$G$27="Yes"),Personnel!$D$27,0)+IF(AND(34&gt;=Personnel!$E$28,Personnel!$G$28="Yes"),Personnel!$D$28,0)+IF(AND(34&gt;=Personnel!$E$29,Personnel!$G$29="Yes"),Personnel!$D$29,0))</f>
        <v/>
      </c>
      <c r="AK16" s="8">
        <f>-(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+IF(AND(35&gt;=Personnel!$E$26,Personnel!$G$26="Yes"),Personnel!$D$26,0)+IF(AND(35&gt;=Personnel!$E$27,Personnel!$G$27="Yes"),Personnel!$D$27,0)+IF(AND(35&gt;=Personnel!$E$28,Personnel!$G$28="Yes"),Personnel!$D$28,0)+IF(AND(35&gt;=Personnel!$E$29,Personnel!$G$29="Yes"),Personnel!$D$29,0))</f>
        <v/>
      </c>
      <c r="AL16" s="8">
        <f>-(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+IF(AND(36&gt;=Personnel!$E$26,Personnel!$G$26="Yes"),Personnel!$D$26,0)+IF(AND(36&gt;=Personnel!$E$27,Personnel!$G$27="Yes"),Personnel!$D$27,0)+IF(AND(36&gt;=Personnel!$E$28,Personnel!$G$28="Yes"),Personnel!$D$28,0)+IF(AND(36&gt;=Personnel!$E$29,Personnel!$G$29="Yes"),Personnel!$D$29,0))</f>
        <v/>
      </c>
      <c r="AM16" s="8">
        <f>-(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+IF(AND(37&gt;=Personnel!$E$26,Personnel!$G$26="Yes"),Personnel!$D$26,0)+IF(AND(37&gt;=Personnel!$E$27,Personnel!$G$27="Yes"),Personnel!$D$27,0)+IF(AND(37&gt;=Personnel!$E$28,Personnel!$G$28="Yes"),Personnel!$D$28,0)+IF(AND(37&gt;=Personnel!$E$29,Personnel!$G$29="Yes"),Personnel!$D$29,0))</f>
        <v/>
      </c>
      <c r="AN16" s="8">
        <f>-(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+IF(AND(38&gt;=Personnel!$E$26,Personnel!$G$26="Yes"),Personnel!$D$26,0)+IF(AND(38&gt;=Personnel!$E$27,Personnel!$G$27="Yes"),Personnel!$D$27,0)+IF(AND(38&gt;=Personnel!$E$28,Personnel!$G$28="Yes"),Personnel!$D$28,0)+IF(AND(38&gt;=Personnel!$E$29,Personnel!$G$29="Yes"),Personnel!$D$29,0))</f>
        <v/>
      </c>
      <c r="AO16" s="8">
        <f>-(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+IF(AND(39&gt;=Personnel!$E$26,Personnel!$G$26="Yes"),Personnel!$D$26,0)+IF(AND(39&gt;=Personnel!$E$27,Personnel!$G$27="Yes"),Personnel!$D$27,0)+IF(AND(39&gt;=Personnel!$E$28,Personnel!$G$28="Yes"),Personnel!$D$28,0)+IF(AND(39&gt;=Personnel!$E$29,Personnel!$G$29="Yes"),Personnel!$D$29,0))</f>
        <v/>
      </c>
      <c r="AP16" s="8">
        <f>-(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+IF(AND(40&gt;=Personnel!$E$26,Personnel!$G$26="Yes"),Personnel!$D$26,0)+IF(AND(40&gt;=Personnel!$E$27,Personnel!$G$27="Yes"),Personnel!$D$27,0)+IF(AND(40&gt;=Personnel!$E$28,Personnel!$G$28="Yes"),Personnel!$D$28,0)+IF(AND(40&gt;=Personnel!$E$29,Personnel!$G$29="Yes"),Personnel!$D$29,0))</f>
        <v/>
      </c>
      <c r="AQ16" s="8">
        <f>-(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+IF(AND(41&gt;=Personnel!$E$26,Personnel!$G$26="Yes"),Personnel!$D$26,0)+IF(AND(41&gt;=Personnel!$E$27,Personnel!$G$27="Yes"),Personnel!$D$27,0)+IF(AND(41&gt;=Personnel!$E$28,Personnel!$G$28="Yes"),Personnel!$D$28,0)+IF(AND(41&gt;=Personnel!$E$29,Personnel!$G$29="Yes"),Personnel!$D$29,0))</f>
        <v/>
      </c>
      <c r="AR16" s="8">
        <f>-(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+IF(AND(42&gt;=Personnel!$E$26,Personnel!$G$26="Yes"),Personnel!$D$26,0)+IF(AND(42&gt;=Personnel!$E$27,Personnel!$G$27="Yes"),Personnel!$D$27,0)+IF(AND(42&gt;=Personnel!$E$28,Personnel!$G$28="Yes"),Personnel!$D$28,0)+IF(AND(42&gt;=Personnel!$E$29,Personnel!$G$29="Yes"),Personnel!$D$29,0))</f>
        <v/>
      </c>
      <c r="AS16" s="8">
        <f>-(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+IF(AND(43&gt;=Personnel!$E$26,Personnel!$G$26="Yes"),Personnel!$D$26,0)+IF(AND(43&gt;=Personnel!$E$27,Personnel!$G$27="Yes"),Personnel!$D$27,0)+IF(AND(43&gt;=Personnel!$E$28,Personnel!$G$28="Yes"),Personnel!$D$28,0)+IF(AND(43&gt;=Personnel!$E$29,Personnel!$G$29="Yes"),Personnel!$D$29,0))</f>
        <v/>
      </c>
      <c r="AT16" s="8">
        <f>-(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+IF(AND(44&gt;=Personnel!$E$26,Personnel!$G$26="Yes"),Personnel!$D$26,0)+IF(AND(44&gt;=Personnel!$E$27,Personnel!$G$27="Yes"),Personnel!$D$27,0)+IF(AND(44&gt;=Personnel!$E$28,Personnel!$G$28="Yes"),Personnel!$D$28,0)+IF(AND(44&gt;=Personnel!$E$29,Personnel!$G$29="Yes"),Personnel!$D$29,0))</f>
        <v/>
      </c>
      <c r="AU16" s="8">
        <f>-(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+IF(AND(45&gt;=Personnel!$E$26,Personnel!$G$26="Yes"),Personnel!$D$26,0)+IF(AND(45&gt;=Personnel!$E$27,Personnel!$G$27="Yes"),Personnel!$D$27,0)+IF(AND(45&gt;=Personnel!$E$28,Personnel!$G$28="Yes"),Personnel!$D$28,0)+IF(AND(45&gt;=Personnel!$E$29,Personnel!$G$29="Yes"),Personnel!$D$29,0))</f>
        <v/>
      </c>
      <c r="AV16" s="8">
        <f>-(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+IF(AND(46&gt;=Personnel!$E$26,Personnel!$G$26="Yes"),Personnel!$D$26,0)+IF(AND(46&gt;=Personnel!$E$27,Personnel!$G$27="Yes"),Personnel!$D$27,0)+IF(AND(46&gt;=Personnel!$E$28,Personnel!$G$28="Yes"),Personnel!$D$28,0)+IF(AND(46&gt;=Personnel!$E$29,Personnel!$G$29="Yes"),Personnel!$D$29,0))</f>
        <v/>
      </c>
      <c r="AW16" s="8">
        <f>-(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+IF(AND(47&gt;=Personnel!$E$26,Personnel!$G$26="Yes"),Personnel!$D$26,0)+IF(AND(47&gt;=Personnel!$E$27,Personnel!$G$27="Yes"),Personnel!$D$27,0)+IF(AND(47&gt;=Personnel!$E$28,Personnel!$G$28="Yes"),Personnel!$D$28,0)+IF(AND(47&gt;=Personnel!$E$29,Personnel!$G$29="Yes"),Personnel!$D$29,0))</f>
        <v/>
      </c>
      <c r="AX16" s="8">
        <f>-(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+IF(AND(48&gt;=Personnel!$E$26,Personnel!$G$26="Yes"),Personnel!$D$26,0)+IF(AND(48&gt;=Personnel!$E$27,Personnel!$G$27="Yes"),Personnel!$D$27,0)+IF(AND(48&gt;=Personnel!$E$28,Personnel!$G$28="Yes"),Personnel!$D$28,0)+IF(AND(48&gt;=Personnel!$E$29,Personnel!$G$29="Yes"),Personnel!$D$29,0))</f>
        <v/>
      </c>
      <c r="AY16" s="8">
        <f>-(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+IF(AND(49&gt;=Personnel!$E$26,Personnel!$G$26="Yes"),Personnel!$D$26,0)+IF(AND(49&gt;=Personnel!$E$27,Personnel!$G$27="Yes"),Personnel!$D$27,0)+IF(AND(49&gt;=Personnel!$E$28,Personnel!$G$28="Yes"),Personnel!$D$28,0)+IF(AND(49&gt;=Personnel!$E$29,Personnel!$G$29="Yes"),Personnel!$D$29,0))</f>
        <v/>
      </c>
      <c r="AZ16" s="8">
        <f>-(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+IF(AND(50&gt;=Personnel!$E$26,Personnel!$G$26="Yes"),Personnel!$D$26,0)+IF(AND(50&gt;=Personnel!$E$27,Personnel!$G$27="Yes"),Personnel!$D$27,0)+IF(AND(50&gt;=Personnel!$E$28,Personnel!$G$28="Yes"),Personnel!$D$28,0)+IF(AND(50&gt;=Personnel!$E$29,Personnel!$G$29="Yes"),Personnel!$D$29,0))</f>
        <v/>
      </c>
      <c r="BA16" s="8">
        <f>-(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+IF(AND(51&gt;=Personnel!$E$26,Personnel!$G$26="Yes"),Personnel!$D$26,0)+IF(AND(51&gt;=Personnel!$E$27,Personnel!$G$27="Yes"),Personnel!$D$27,0)+IF(AND(51&gt;=Personnel!$E$28,Personnel!$G$28="Yes"),Personnel!$D$28,0)+IF(AND(51&gt;=Personnel!$E$29,Personnel!$G$29="Yes"),Personnel!$D$29,0))</f>
        <v/>
      </c>
      <c r="BB16" s="8">
        <f>-(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+IF(AND(52&gt;=Personnel!$E$26,Personnel!$G$26="Yes"),Personnel!$D$26,0)+IF(AND(52&gt;=Personnel!$E$27,Personnel!$G$27="Yes"),Personnel!$D$27,0)+IF(AND(52&gt;=Personnel!$E$28,Personnel!$G$28="Yes"),Personnel!$D$28,0)+IF(AND(52&gt;=Personnel!$E$29,Personnel!$G$29="Yes"),Personnel!$D$29,0))</f>
        <v/>
      </c>
      <c r="BC16" s="8">
        <f>-(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+IF(AND(53&gt;=Personnel!$E$26,Personnel!$G$26="Yes"),Personnel!$D$26,0)+IF(AND(53&gt;=Personnel!$E$27,Personnel!$G$27="Yes"),Personnel!$D$27,0)+IF(AND(53&gt;=Personnel!$E$28,Personnel!$G$28="Yes"),Personnel!$D$28,0)+IF(AND(53&gt;=Personnel!$E$29,Personnel!$G$29="Yes"),Personnel!$D$29,0))</f>
        <v/>
      </c>
      <c r="BD16" s="8">
        <f>-(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+IF(AND(54&gt;=Personnel!$E$26,Personnel!$G$26="Yes"),Personnel!$D$26,0)+IF(AND(54&gt;=Personnel!$E$27,Personnel!$G$27="Yes"),Personnel!$D$27,0)+IF(AND(54&gt;=Personnel!$E$28,Personnel!$G$28="Yes"),Personnel!$D$28,0)+IF(AND(54&gt;=Personnel!$E$29,Personnel!$G$29="Yes"),Personnel!$D$29,0))</f>
        <v/>
      </c>
      <c r="BE16" s="8">
        <f>-(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+IF(AND(55&gt;=Personnel!$E$26,Personnel!$G$26="Yes"),Personnel!$D$26,0)+IF(AND(55&gt;=Personnel!$E$27,Personnel!$G$27="Yes"),Personnel!$D$27,0)+IF(AND(55&gt;=Personnel!$E$28,Personnel!$G$28="Yes"),Personnel!$D$28,0)+IF(AND(55&gt;=Personnel!$E$29,Personnel!$G$29="Yes"),Personnel!$D$29,0))</f>
        <v/>
      </c>
      <c r="BF16" s="8">
        <f>-(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+IF(AND(56&gt;=Personnel!$E$26,Personnel!$G$26="Yes"),Personnel!$D$26,0)+IF(AND(56&gt;=Personnel!$E$27,Personnel!$G$27="Yes"),Personnel!$D$27,0)+IF(AND(56&gt;=Personnel!$E$28,Personnel!$G$28="Yes"),Personnel!$D$28,0)+IF(AND(56&gt;=Personnel!$E$29,Personnel!$G$29="Yes"),Personnel!$D$29,0))</f>
        <v/>
      </c>
      <c r="BG16" s="8">
        <f>-(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+IF(AND(57&gt;=Personnel!$E$26,Personnel!$G$26="Yes"),Personnel!$D$26,0)+IF(AND(57&gt;=Personnel!$E$27,Personnel!$G$27="Yes"),Personnel!$D$27,0)+IF(AND(57&gt;=Personnel!$E$28,Personnel!$G$28="Yes"),Personnel!$D$28,0)+IF(AND(57&gt;=Personnel!$E$29,Personnel!$G$29="Yes"),Personnel!$D$29,0))</f>
        <v/>
      </c>
      <c r="BH16" s="8">
        <f>-(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+IF(AND(58&gt;=Personnel!$E$26,Personnel!$G$26="Yes"),Personnel!$D$26,0)+IF(AND(58&gt;=Personnel!$E$27,Personnel!$G$27="Yes"),Personnel!$D$27,0)+IF(AND(58&gt;=Personnel!$E$28,Personnel!$G$28="Yes"),Personnel!$D$28,0)+IF(AND(58&gt;=Personnel!$E$29,Personnel!$G$29="Yes"),Personnel!$D$29,0))</f>
        <v/>
      </c>
      <c r="BI16" s="8">
        <f>-(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+IF(AND(59&gt;=Personnel!$E$26,Personnel!$G$26="Yes"),Personnel!$D$26,0)+IF(AND(59&gt;=Personnel!$E$27,Personnel!$G$27="Yes"),Personnel!$D$27,0)+IF(AND(59&gt;=Personnel!$E$28,Personnel!$G$28="Yes"),Personnel!$D$28,0)+IF(AND(59&gt;=Personnel!$E$29,Personnel!$G$29="Yes"),Personnel!$D$29,0))</f>
        <v/>
      </c>
      <c r="BJ16" s="8">
        <f>-(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+IF(AND(60&gt;=Personnel!$E$26,Personnel!$G$26="Yes"),Personnel!$D$26,0)+IF(AND(60&gt;=Personnel!$E$27,Personnel!$G$27="Yes"),Personnel!$D$27,0)+IF(AND(60&gt;=Personnel!$E$28,Personnel!$G$28="Yes"),Personnel!$D$28,0)+IF(AND(60&gt;=Personnel!$E$29,Personnel!$G$29="Yes"),Personnel!$D$29,0))</f>
        <v/>
      </c>
      <c r="BK16" s="8">
        <f>-(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+IF(AND(61&gt;=Personnel!$E$26,Personnel!$G$26="Yes"),Personnel!$D$26,0)+IF(AND(61&gt;=Personnel!$E$27,Personnel!$G$27="Yes"),Personnel!$D$27,0)+IF(AND(61&gt;=Personnel!$E$28,Personnel!$G$28="Yes"),Personnel!$D$28,0)+IF(AND(61&gt;=Personnel!$E$29,Personnel!$G$29="Yes"),Personnel!$D$29,0))</f>
        <v/>
      </c>
      <c r="BL16" s="8">
        <f>-(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+IF(AND(62&gt;=Personnel!$E$26,Personnel!$G$26="Yes"),Personnel!$D$26,0)+IF(AND(62&gt;=Personnel!$E$27,Personnel!$G$27="Yes"),Personnel!$D$27,0)+IF(AND(62&gt;=Personnel!$E$28,Personnel!$G$28="Yes"),Personnel!$D$28,0)+IF(AND(62&gt;=Personnel!$E$29,Personnel!$G$29="Yes"),Personnel!$D$29,0))</f>
        <v/>
      </c>
      <c r="BM16" s="8">
        <f>-(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+IF(AND(63&gt;=Personnel!$E$26,Personnel!$G$26="Yes"),Personnel!$D$26,0)+IF(AND(63&gt;=Personnel!$E$27,Personnel!$G$27="Yes"),Personnel!$D$27,0)+IF(AND(63&gt;=Personnel!$E$28,Personnel!$G$28="Yes"),Personnel!$D$28,0)+IF(AND(63&gt;=Personnel!$E$29,Personnel!$G$29="Yes"),Personnel!$D$29,0))</f>
        <v/>
      </c>
      <c r="BN16" s="8">
        <f>-(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+IF(AND(64&gt;=Personnel!$E$26,Personnel!$G$26="Yes"),Personnel!$D$26,0)+IF(AND(64&gt;=Personnel!$E$27,Personnel!$G$27="Yes"),Personnel!$D$27,0)+IF(AND(64&gt;=Personnel!$E$28,Personnel!$G$28="Yes"),Personnel!$D$28,0)+IF(AND(64&gt;=Personnel!$E$29,Personnel!$G$29="Yes"),Personnel!$D$29,0))</f>
        <v/>
      </c>
      <c r="BO16" s="8">
        <f>-(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+IF(AND(65&gt;=Personnel!$E$26,Personnel!$G$26="Yes"),Personnel!$D$26,0)+IF(AND(65&gt;=Personnel!$E$27,Personnel!$G$27="Yes"),Personnel!$D$27,0)+IF(AND(65&gt;=Personnel!$E$28,Personnel!$G$28="Yes"),Personnel!$D$28,0)+IF(AND(65&gt;=Personnel!$E$29,Personnel!$G$29="Yes"),Personnel!$D$29,0))</f>
        <v/>
      </c>
      <c r="BP16" s="8">
        <f>-(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+IF(AND(66&gt;=Personnel!$E$26,Personnel!$G$26="Yes"),Personnel!$D$26,0)+IF(AND(66&gt;=Personnel!$E$27,Personnel!$G$27="Yes"),Personnel!$D$27,0)+IF(AND(66&gt;=Personnel!$E$28,Personnel!$G$28="Yes"),Personnel!$D$28,0)+IF(AND(66&gt;=Personnel!$E$29,Personnel!$G$29="Yes"),Personnel!$D$29,0))</f>
        <v/>
      </c>
      <c r="BQ16" s="8">
        <f>-(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+IF(AND(67&gt;=Personnel!$E$26,Personnel!$G$26="Yes"),Personnel!$D$26,0)+IF(AND(67&gt;=Personnel!$E$27,Personnel!$G$27="Yes"),Personnel!$D$27,0)+IF(AND(67&gt;=Personnel!$E$28,Personnel!$G$28="Yes"),Personnel!$D$28,0)+IF(AND(67&gt;=Personnel!$E$29,Personnel!$G$29="Yes"),Personnel!$D$29,0))</f>
        <v/>
      </c>
      <c r="BR16" s="8">
        <f>-(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+IF(AND(68&gt;=Personnel!$E$26,Personnel!$G$26="Yes"),Personnel!$D$26,0)+IF(AND(68&gt;=Personnel!$E$27,Personnel!$G$27="Yes"),Personnel!$D$27,0)+IF(AND(68&gt;=Personnel!$E$28,Personnel!$G$28="Yes"),Personnel!$D$28,0)+IF(AND(68&gt;=Personnel!$E$29,Personnel!$G$29="Yes"),Personnel!$D$29,0))</f>
        <v/>
      </c>
      <c r="BS16" s="8">
        <f>-(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+IF(AND(69&gt;=Personnel!$E$26,Personnel!$G$26="Yes"),Personnel!$D$26,0)+IF(AND(69&gt;=Personnel!$E$27,Personnel!$G$27="Yes"),Personnel!$D$27,0)+IF(AND(69&gt;=Personnel!$E$28,Personnel!$G$28="Yes"),Personnel!$D$28,0)+IF(AND(69&gt;=Personnel!$E$29,Personnel!$G$29="Yes"),Personnel!$D$29,0))</f>
        <v/>
      </c>
      <c r="BT16" s="8">
        <f>-(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+IF(AND(70&gt;=Personnel!$E$26,Personnel!$G$26="Yes"),Personnel!$D$26,0)+IF(AND(70&gt;=Personnel!$E$27,Personnel!$G$27="Yes"),Personnel!$D$27,0)+IF(AND(70&gt;=Personnel!$E$28,Personnel!$G$28="Yes"),Personnel!$D$28,0)+IF(AND(70&gt;=Personnel!$E$29,Personnel!$G$29="Yes"),Personnel!$D$29,0))</f>
        <v/>
      </c>
      <c r="BU16" s="8">
        <f>-(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+IF(AND(71&gt;=Personnel!$E$26,Personnel!$G$26="Yes"),Personnel!$D$26,0)+IF(AND(71&gt;=Personnel!$E$27,Personnel!$G$27="Yes"),Personnel!$D$27,0)+IF(AND(71&gt;=Personnel!$E$28,Personnel!$G$28="Yes"),Personnel!$D$28,0)+IF(AND(71&gt;=Personnel!$E$29,Personnel!$G$29="Yes"),Personnel!$D$29,0))</f>
        <v/>
      </c>
      <c r="BV16" s="8">
        <f>-(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+IF(AND(72&gt;=Personnel!$E$26,Personnel!$G$26="Yes"),Personnel!$D$26,0)+IF(AND(72&gt;=Personnel!$E$27,Personnel!$G$27="Yes"),Personnel!$D$27,0)+IF(AND(72&gt;=Personnel!$E$28,Personnel!$G$28="Yes"),Personnel!$D$28,0)+IF(AND(72&gt;=Personnel!$E$29,Personnel!$G$29="Yes"),Personnel!$D$29,0))</f>
        <v/>
      </c>
      <c r="BW16" s="8">
        <f>-(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+IF(AND(73&gt;=Personnel!$E$26,Personnel!$G$26="Yes"),Personnel!$D$26,0)+IF(AND(73&gt;=Personnel!$E$27,Personnel!$G$27="Yes"),Personnel!$D$27,0)+IF(AND(73&gt;=Personnel!$E$28,Personnel!$G$28="Yes"),Personnel!$D$28,0)+IF(AND(73&gt;=Personnel!$E$29,Personnel!$G$29="Yes"),Personnel!$D$29,0))</f>
        <v/>
      </c>
      <c r="BX16" s="8">
        <f>-(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+IF(AND(74&gt;=Personnel!$E$26,Personnel!$G$26="Yes"),Personnel!$D$26,0)+IF(AND(74&gt;=Personnel!$E$27,Personnel!$G$27="Yes"),Personnel!$D$27,0)+IF(AND(74&gt;=Personnel!$E$28,Personnel!$G$28="Yes"),Personnel!$D$28,0)+IF(AND(74&gt;=Personnel!$E$29,Personnel!$G$29="Yes"),Personnel!$D$29,0))</f>
        <v/>
      </c>
      <c r="BY16" s="8">
        <f>-(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+IF(AND(75&gt;=Personnel!$E$26,Personnel!$G$26="Yes"),Personnel!$D$26,0)+IF(AND(75&gt;=Personnel!$E$27,Personnel!$G$27="Yes"),Personnel!$D$27,0)+IF(AND(75&gt;=Personnel!$E$28,Personnel!$G$28="Yes"),Personnel!$D$28,0)+IF(AND(75&gt;=Personnel!$E$29,Personnel!$G$29="Yes"),Personnel!$D$29,0))</f>
        <v/>
      </c>
      <c r="BZ16" s="8">
        <f>-(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+IF(AND(76&gt;=Personnel!$E$26,Personnel!$G$26="Yes"),Personnel!$D$26,0)+IF(AND(76&gt;=Personnel!$E$27,Personnel!$G$27="Yes"),Personnel!$D$27,0)+IF(AND(76&gt;=Personnel!$E$28,Personnel!$G$28="Yes"),Personnel!$D$28,0)+IF(AND(76&gt;=Personnel!$E$29,Personnel!$G$29="Yes"),Personnel!$D$29,0))</f>
        <v/>
      </c>
      <c r="CA16" s="8">
        <f>-(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+IF(AND(77&gt;=Personnel!$E$26,Personnel!$G$26="Yes"),Personnel!$D$26,0)+IF(AND(77&gt;=Personnel!$E$27,Personnel!$G$27="Yes"),Personnel!$D$27,0)+IF(AND(77&gt;=Personnel!$E$28,Personnel!$G$28="Yes"),Personnel!$D$28,0)+IF(AND(77&gt;=Personnel!$E$29,Personnel!$G$29="Yes"),Personnel!$D$29,0))</f>
        <v/>
      </c>
      <c r="CB16" s="8">
        <f>-(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+IF(AND(78&gt;=Personnel!$E$26,Personnel!$G$26="Yes"),Personnel!$D$26,0)+IF(AND(78&gt;=Personnel!$E$27,Personnel!$G$27="Yes"),Personnel!$D$27,0)+IF(AND(78&gt;=Personnel!$E$28,Personnel!$G$28="Yes"),Personnel!$D$28,0)+IF(AND(78&gt;=Personnel!$E$29,Personnel!$G$29="Yes"),Personnel!$D$29,0))</f>
        <v/>
      </c>
      <c r="CC16" s="8">
        <f>-(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+IF(AND(79&gt;=Personnel!$E$26,Personnel!$G$26="Yes"),Personnel!$D$26,0)+IF(AND(79&gt;=Personnel!$E$27,Personnel!$G$27="Yes"),Personnel!$D$27,0)+IF(AND(79&gt;=Personnel!$E$28,Personnel!$G$28="Yes"),Personnel!$D$28,0)+IF(AND(79&gt;=Personnel!$E$29,Personnel!$G$29="Yes"),Personnel!$D$29,0))</f>
        <v/>
      </c>
      <c r="CD16" s="8">
        <f>-(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+IF(AND(80&gt;=Personnel!$E$26,Personnel!$G$26="Yes"),Personnel!$D$26,0)+IF(AND(80&gt;=Personnel!$E$27,Personnel!$G$27="Yes"),Personnel!$D$27,0)+IF(AND(80&gt;=Personnel!$E$28,Personnel!$G$28="Yes"),Personnel!$D$28,0)+IF(AND(80&gt;=Personnel!$E$29,Personnel!$G$29="Yes"),Personnel!$D$29,0))</f>
        <v/>
      </c>
      <c r="CE16" s="8">
        <f>-(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+IF(AND(81&gt;=Personnel!$E$26,Personnel!$G$26="Yes"),Personnel!$D$26,0)+IF(AND(81&gt;=Personnel!$E$27,Personnel!$G$27="Yes"),Personnel!$D$27,0)+IF(AND(81&gt;=Personnel!$E$28,Personnel!$G$28="Yes"),Personnel!$D$28,0)+IF(AND(81&gt;=Personnel!$E$29,Personnel!$G$29="Yes"),Personnel!$D$29,0))</f>
        <v/>
      </c>
      <c r="CF16" s="8">
        <f>-(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+IF(AND(82&gt;=Personnel!$E$26,Personnel!$G$26="Yes"),Personnel!$D$26,0)+IF(AND(82&gt;=Personnel!$E$27,Personnel!$G$27="Yes"),Personnel!$D$27,0)+IF(AND(82&gt;=Personnel!$E$28,Personnel!$G$28="Yes"),Personnel!$D$28,0)+IF(AND(82&gt;=Personnel!$E$29,Personnel!$G$29="Yes"),Personnel!$D$29,0))</f>
        <v/>
      </c>
      <c r="CG16" s="8">
        <f>-(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+IF(AND(83&gt;=Personnel!$E$26,Personnel!$G$26="Yes"),Personnel!$D$26,0)+IF(AND(83&gt;=Personnel!$E$27,Personnel!$G$27="Yes"),Personnel!$D$27,0)+IF(AND(83&gt;=Personnel!$E$28,Personnel!$G$28="Yes"),Personnel!$D$28,0)+IF(AND(83&gt;=Personnel!$E$29,Personnel!$G$29="Yes"),Personnel!$D$29,0))</f>
        <v/>
      </c>
      <c r="CH16" s="8">
        <f>-(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+IF(AND(84&gt;=Personnel!$E$26,Personnel!$G$26="Yes"),Personnel!$D$26,0)+IF(AND(84&gt;=Personnel!$E$27,Personnel!$G$27="Yes"),Personnel!$D$27,0)+IF(AND(84&gt;=Personnel!$E$28,Personnel!$G$28="Yes"),Personnel!$D$28,0)+IF(AND(84&gt;=Personnel!$E$29,Personnel!$G$29="Yes"),Personnel!$D$29,0))</f>
        <v/>
      </c>
      <c r="CI16" s="23" t="n"/>
    </row>
    <row r="17" ht="15" customHeight="1" s="201">
      <c r="A17" s="7" t="inlineStr">
        <is>
          <t>GC Corporate Payroll</t>
        </is>
      </c>
      <c r="B17" s="22" t="n"/>
      <c r="C17" s="8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)</f>
        <v/>
      </c>
      <c r="D17" s="8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)</f>
        <v/>
      </c>
      <c r="E17" s="8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)</f>
        <v/>
      </c>
      <c r="F17" s="8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)</f>
        <v/>
      </c>
      <c r="G17" s="8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)</f>
        <v/>
      </c>
      <c r="H17" s="8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)</f>
        <v/>
      </c>
      <c r="I17" s="8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)</f>
        <v/>
      </c>
      <c r="J17" s="8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)</f>
        <v/>
      </c>
      <c r="K17" s="8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)</f>
        <v/>
      </c>
      <c r="L17" s="8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)</f>
        <v/>
      </c>
      <c r="M17" s="8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)</f>
        <v/>
      </c>
      <c r="N17" s="8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)</f>
        <v/>
      </c>
      <c r="O17" s="8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)</f>
        <v/>
      </c>
      <c r="P17" s="8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)</f>
        <v/>
      </c>
      <c r="Q17" s="8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)</f>
        <v/>
      </c>
      <c r="R17" s="8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)</f>
        <v/>
      </c>
      <c r="S17" s="8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)</f>
        <v/>
      </c>
      <c r="T17" s="8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)</f>
        <v/>
      </c>
      <c r="U17" s="8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)</f>
        <v/>
      </c>
      <c r="V17" s="8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)</f>
        <v/>
      </c>
      <c r="W17" s="8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)</f>
        <v/>
      </c>
      <c r="X17" s="8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)</f>
        <v/>
      </c>
      <c r="Y17" s="8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)</f>
        <v/>
      </c>
      <c r="Z17" s="8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)</f>
        <v/>
      </c>
      <c r="AA17" s="8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)</f>
        <v/>
      </c>
      <c r="AB17" s="8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)</f>
        <v/>
      </c>
      <c r="AC17" s="8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)</f>
        <v/>
      </c>
      <c r="AD17" s="8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)</f>
        <v/>
      </c>
      <c r="AE17" s="8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)</f>
        <v/>
      </c>
      <c r="AF17" s="8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)</f>
        <v/>
      </c>
      <c r="AG17" s="8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)</f>
        <v/>
      </c>
      <c r="AH17" s="8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)</f>
        <v/>
      </c>
      <c r="AI17" s="8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)</f>
        <v/>
      </c>
      <c r="AJ17" s="8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)</f>
        <v/>
      </c>
      <c r="AK17" s="8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)</f>
        <v/>
      </c>
      <c r="AL17" s="8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)</f>
        <v/>
      </c>
      <c r="AM17" s="8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)</f>
        <v/>
      </c>
      <c r="AN17" s="8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)</f>
        <v/>
      </c>
      <c r="AO17" s="8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)</f>
        <v/>
      </c>
      <c r="AP17" s="8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)</f>
        <v/>
      </c>
      <c r="AQ17" s="8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)</f>
        <v/>
      </c>
      <c r="AR17" s="8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)</f>
        <v/>
      </c>
      <c r="AS17" s="8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)</f>
        <v/>
      </c>
      <c r="AT17" s="8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)</f>
        <v/>
      </c>
      <c r="AU17" s="8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)</f>
        <v/>
      </c>
      <c r="AV17" s="8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)</f>
        <v/>
      </c>
      <c r="AW17" s="8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)</f>
        <v/>
      </c>
      <c r="AX17" s="8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)</f>
        <v/>
      </c>
      <c r="AY17" s="8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)</f>
        <v/>
      </c>
      <c r="AZ17" s="8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)</f>
        <v/>
      </c>
      <c r="BA17" s="8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)</f>
        <v/>
      </c>
      <c r="BB17" s="8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)</f>
        <v/>
      </c>
      <c r="BC17" s="8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)</f>
        <v/>
      </c>
      <c r="BD17" s="8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)</f>
        <v/>
      </c>
      <c r="BE17" s="8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)</f>
        <v/>
      </c>
      <c r="BF17" s="8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)</f>
        <v/>
      </c>
      <c r="BG17" s="8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)</f>
        <v/>
      </c>
      <c r="BH17" s="8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)</f>
        <v/>
      </c>
      <c r="BI17" s="8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)</f>
        <v/>
      </c>
      <c r="BJ17" s="8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)</f>
        <v/>
      </c>
      <c r="BK17" s="8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)</f>
        <v/>
      </c>
      <c r="BL17" s="8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)</f>
        <v/>
      </c>
      <c r="BM17" s="8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)</f>
        <v/>
      </c>
      <c r="BN17" s="8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)</f>
        <v/>
      </c>
      <c r="BO17" s="8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)</f>
        <v/>
      </c>
      <c r="BP17" s="8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)</f>
        <v/>
      </c>
      <c r="BQ17" s="8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)</f>
        <v/>
      </c>
      <c r="BR17" s="8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)</f>
        <v/>
      </c>
      <c r="BS17" s="8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)</f>
        <v/>
      </c>
      <c r="BT17" s="8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)</f>
        <v/>
      </c>
      <c r="BU17" s="8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)</f>
        <v/>
      </c>
      <c r="BV17" s="8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)</f>
        <v/>
      </c>
      <c r="BW17" s="8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)</f>
        <v/>
      </c>
      <c r="BX17" s="8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)</f>
        <v/>
      </c>
      <c r="BY17" s="8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)</f>
        <v/>
      </c>
      <c r="BZ17" s="8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)</f>
        <v/>
      </c>
      <c r="CA17" s="8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)</f>
        <v/>
      </c>
      <c r="CB17" s="8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)</f>
        <v/>
      </c>
      <c r="CC17" s="8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)</f>
        <v/>
      </c>
      <c r="CD17" s="8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)</f>
        <v/>
      </c>
      <c r="CE17" s="8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)</f>
        <v/>
      </c>
      <c r="CF17" s="8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)</f>
        <v/>
      </c>
      <c r="CG17" s="8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)</f>
        <v/>
      </c>
      <c r="CH17" s="8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)</f>
        <v/>
      </c>
      <c r="CI17" s="23" t="n"/>
    </row>
    <row r="18" ht="15" customHeight="1" s="201">
      <c r="A18" s="7" t="inlineStr">
        <is>
          <t>SP Allocated to LV</t>
        </is>
      </c>
      <c r="B18" s="22" t="n"/>
      <c r="C18" s="8">
        <f>-(IF(AND(1&gt;=Personnel!$E$32,Personnel!$G$32="Yes"),Personnel!$D$32*Personnel!$I$32,0)+IF(AND(1&gt;=Personnel!$E$33,Personnel!$G$33="Yes"),Personnel!$D$33*Personnel!$I$33,0)+IF(AND(1&gt;=Personnel!$E$34,Personnel!$G$34="Yes"),Personnel!$D$34*Personnel!$I$34,0)+IF(AND(1&gt;=Personnel!$E$35,Personnel!$G$35="Yes"),Personnel!$D$35*Personnel!$I$35,0)+IF(AND(1&gt;=Personnel!$E$36,Personnel!$G$36="Yes"),Personnel!$D$36*Personnel!$I$36,0)+IF(AND(1&gt;=Personnel!$E$37,Personnel!$G$37="Yes"),Personnel!$D$37*Personnel!$I$37,0)+IF(AND(1&gt;=Personnel!$E$38,Personnel!$G$38="Yes"),Personnel!$D$38*Personnel!$I$38,0))</f>
        <v/>
      </c>
      <c r="D18" s="8">
        <f>-(IF(AND(2&gt;=Personnel!$E$32,Personnel!$G$32="Yes"),Personnel!$D$32*Personnel!$I$32,0)+IF(AND(2&gt;=Personnel!$E$33,Personnel!$G$33="Yes"),Personnel!$D$33*Personnel!$I$33,0)+IF(AND(2&gt;=Personnel!$E$34,Personnel!$G$34="Yes"),Personnel!$D$34*Personnel!$I$34,0)+IF(AND(2&gt;=Personnel!$E$35,Personnel!$G$35="Yes"),Personnel!$D$35*Personnel!$I$35,0)+IF(AND(2&gt;=Personnel!$E$36,Personnel!$G$36="Yes"),Personnel!$D$36*Personnel!$I$36,0)+IF(AND(2&gt;=Personnel!$E$37,Personnel!$G$37="Yes"),Personnel!$D$37*Personnel!$I$37,0)+IF(AND(2&gt;=Personnel!$E$38,Personnel!$G$38="Yes"),Personnel!$D$38*Personnel!$I$38,0))</f>
        <v/>
      </c>
      <c r="E18" s="8">
        <f>-(IF(AND(3&gt;=Personnel!$E$32,Personnel!$G$32="Yes"),Personnel!$D$32*Personnel!$I$32,0)+IF(AND(3&gt;=Personnel!$E$33,Personnel!$G$33="Yes"),Personnel!$D$33*Personnel!$I$33,0)+IF(AND(3&gt;=Personnel!$E$34,Personnel!$G$34="Yes"),Personnel!$D$34*Personnel!$I$34,0)+IF(AND(3&gt;=Personnel!$E$35,Personnel!$G$35="Yes"),Personnel!$D$35*Personnel!$I$35,0)+IF(AND(3&gt;=Personnel!$E$36,Personnel!$G$36="Yes"),Personnel!$D$36*Personnel!$I$36,0)+IF(AND(3&gt;=Personnel!$E$37,Personnel!$G$37="Yes"),Personnel!$D$37*Personnel!$I$37,0)+IF(AND(3&gt;=Personnel!$E$38,Personnel!$G$38="Yes"),Personnel!$D$38*Personnel!$I$38,0))</f>
        <v/>
      </c>
      <c r="F18" s="8">
        <f>-(IF(AND(4&gt;=Personnel!$E$32,Personnel!$G$32="Yes"),Personnel!$D$32*Personnel!$I$32,0)+IF(AND(4&gt;=Personnel!$E$33,Personnel!$G$33="Yes"),Personnel!$D$33*Personnel!$I$33,0)+IF(AND(4&gt;=Personnel!$E$34,Personnel!$G$34="Yes"),Personnel!$D$34*Personnel!$I$34,0)+IF(AND(4&gt;=Personnel!$E$35,Personnel!$G$35="Yes"),Personnel!$D$35*Personnel!$I$35,0)+IF(AND(4&gt;=Personnel!$E$36,Personnel!$G$36="Yes"),Personnel!$D$36*Personnel!$I$36,0)+IF(AND(4&gt;=Personnel!$E$37,Personnel!$G$37="Yes"),Personnel!$D$37*Personnel!$I$37,0)+IF(AND(4&gt;=Personnel!$E$38,Personnel!$G$38="Yes"),Personnel!$D$38*Personnel!$I$38,0))</f>
        <v/>
      </c>
      <c r="G18" s="8">
        <f>-(IF(AND(5&gt;=Personnel!$E$32,Personnel!$G$32="Yes"),Personnel!$D$32*Personnel!$I$32,0)+IF(AND(5&gt;=Personnel!$E$33,Personnel!$G$33="Yes"),Personnel!$D$33*Personnel!$I$33,0)+IF(AND(5&gt;=Personnel!$E$34,Personnel!$G$34="Yes"),Personnel!$D$34*Personnel!$I$34,0)+IF(AND(5&gt;=Personnel!$E$35,Personnel!$G$35="Yes"),Personnel!$D$35*Personnel!$I$35,0)+IF(AND(5&gt;=Personnel!$E$36,Personnel!$G$36="Yes"),Personnel!$D$36*Personnel!$I$36,0)+IF(AND(5&gt;=Personnel!$E$37,Personnel!$G$37="Yes"),Personnel!$D$37*Personnel!$I$37,0)+IF(AND(5&gt;=Personnel!$E$38,Personnel!$G$38="Yes"),Personnel!$D$38*Personnel!$I$38,0))</f>
        <v/>
      </c>
      <c r="H18" s="8">
        <f>-(IF(AND(6&gt;=Personnel!$E$32,Personnel!$G$32="Yes"),Personnel!$D$32*Personnel!$I$32,0)+IF(AND(6&gt;=Personnel!$E$33,Personnel!$G$33="Yes"),Personnel!$D$33*Personnel!$I$33,0)+IF(AND(6&gt;=Personnel!$E$34,Personnel!$G$34="Yes"),Personnel!$D$34*Personnel!$I$34,0)+IF(AND(6&gt;=Personnel!$E$35,Personnel!$G$35="Yes"),Personnel!$D$35*Personnel!$I$35,0)+IF(AND(6&gt;=Personnel!$E$36,Personnel!$G$36="Yes"),Personnel!$D$36*Personnel!$I$36,0)+IF(AND(6&gt;=Personnel!$E$37,Personnel!$G$37="Yes"),Personnel!$D$37*Personnel!$I$37,0)+IF(AND(6&gt;=Personnel!$E$38,Personnel!$G$38="Yes"),Personnel!$D$38*Personnel!$I$38,0))</f>
        <v/>
      </c>
      <c r="I18" s="8">
        <f>-(IF(AND(7&gt;=Personnel!$E$32,Personnel!$G$32="Yes"),Personnel!$D$32*Personnel!$I$32,0)+IF(AND(7&gt;=Personnel!$E$33,Personnel!$G$33="Yes"),Personnel!$D$33*Personnel!$I$33,0)+IF(AND(7&gt;=Personnel!$E$34,Personnel!$G$34="Yes"),Personnel!$D$34*Personnel!$I$34,0)+IF(AND(7&gt;=Personnel!$E$35,Personnel!$G$35="Yes"),Personnel!$D$35*Personnel!$I$35,0)+IF(AND(7&gt;=Personnel!$E$36,Personnel!$G$36="Yes"),Personnel!$D$36*Personnel!$I$36,0)+IF(AND(7&gt;=Personnel!$E$37,Personnel!$G$37="Yes"),Personnel!$D$37*Personnel!$I$37,0)+IF(AND(7&gt;=Personnel!$E$38,Personnel!$G$38="Yes"),Personnel!$D$38*Personnel!$I$38,0))</f>
        <v/>
      </c>
      <c r="J18" s="8">
        <f>-(IF(AND(8&gt;=Personnel!$E$32,Personnel!$G$32="Yes"),Personnel!$D$32*Personnel!$I$32,0)+IF(AND(8&gt;=Personnel!$E$33,Personnel!$G$33="Yes"),Personnel!$D$33*Personnel!$I$33,0)+IF(AND(8&gt;=Personnel!$E$34,Personnel!$G$34="Yes"),Personnel!$D$34*Personnel!$I$34,0)+IF(AND(8&gt;=Personnel!$E$35,Personnel!$G$35="Yes"),Personnel!$D$35*Personnel!$I$35,0)+IF(AND(8&gt;=Personnel!$E$36,Personnel!$G$36="Yes"),Personnel!$D$36*Personnel!$I$36,0)+IF(AND(8&gt;=Personnel!$E$37,Personnel!$G$37="Yes"),Personnel!$D$37*Personnel!$I$37,0)+IF(AND(8&gt;=Personnel!$E$38,Personnel!$G$38="Yes"),Personnel!$D$38*Personnel!$I$38,0))</f>
        <v/>
      </c>
      <c r="K18" s="8">
        <f>-(IF(AND(9&gt;=Personnel!$E$32,Personnel!$G$32="Yes"),Personnel!$D$32*Personnel!$I$32,0)+IF(AND(9&gt;=Personnel!$E$33,Personnel!$G$33="Yes"),Personnel!$D$33*Personnel!$I$33,0)+IF(AND(9&gt;=Personnel!$E$34,Personnel!$G$34="Yes"),Personnel!$D$34*Personnel!$I$34,0)+IF(AND(9&gt;=Personnel!$E$35,Personnel!$G$35="Yes"),Personnel!$D$35*Personnel!$I$35,0)+IF(AND(9&gt;=Personnel!$E$36,Personnel!$G$36="Yes"),Personnel!$D$36*Personnel!$I$36,0)+IF(AND(9&gt;=Personnel!$E$37,Personnel!$G$37="Yes"),Personnel!$D$37*Personnel!$I$37,0)+IF(AND(9&gt;=Personnel!$E$38,Personnel!$G$38="Yes"),Personnel!$D$38*Personnel!$I$38,0))</f>
        <v/>
      </c>
      <c r="L18" s="8">
        <f>-(IF(AND(10&gt;=Personnel!$E$32,Personnel!$G$32="Yes"),Personnel!$D$32*Personnel!$I$32,0)+IF(AND(10&gt;=Personnel!$E$33,Personnel!$G$33="Yes"),Personnel!$D$33*Personnel!$I$33,0)+IF(AND(10&gt;=Personnel!$E$34,Personnel!$G$34="Yes"),Personnel!$D$34*Personnel!$I$34,0)+IF(AND(10&gt;=Personnel!$E$35,Personnel!$G$35="Yes"),Personnel!$D$35*Personnel!$I$35,0)+IF(AND(10&gt;=Personnel!$E$36,Personnel!$G$36="Yes"),Personnel!$D$36*Personnel!$I$36,0)+IF(AND(10&gt;=Personnel!$E$37,Personnel!$G$37="Yes"),Personnel!$D$37*Personnel!$I$37,0)+IF(AND(10&gt;=Personnel!$E$38,Personnel!$G$38="Yes"),Personnel!$D$38*Personnel!$I$38,0))</f>
        <v/>
      </c>
      <c r="M18" s="8">
        <f>-(IF(AND(11&gt;=Personnel!$E$32,Personnel!$G$32="Yes"),Personnel!$D$32*Personnel!$I$32,0)+IF(AND(11&gt;=Personnel!$E$33,Personnel!$G$33="Yes"),Personnel!$D$33*Personnel!$I$33,0)+IF(AND(11&gt;=Personnel!$E$34,Personnel!$G$34="Yes"),Personnel!$D$34*Personnel!$I$34,0)+IF(AND(11&gt;=Personnel!$E$35,Personnel!$G$35="Yes"),Personnel!$D$35*Personnel!$I$35,0)+IF(AND(11&gt;=Personnel!$E$36,Personnel!$G$36="Yes"),Personnel!$D$36*Personnel!$I$36,0)+IF(AND(11&gt;=Personnel!$E$37,Personnel!$G$37="Yes"),Personnel!$D$37*Personnel!$I$37,0)+IF(AND(11&gt;=Personnel!$E$38,Personnel!$G$38="Yes"),Personnel!$D$38*Personnel!$I$38,0))</f>
        <v/>
      </c>
      <c r="N18" s="8">
        <f>-(IF(AND(12&gt;=Personnel!$E$32,Personnel!$G$32="Yes"),Personnel!$D$32*Personnel!$I$32,0)+IF(AND(12&gt;=Personnel!$E$33,Personnel!$G$33="Yes"),Personnel!$D$33*Personnel!$I$33,0)+IF(AND(12&gt;=Personnel!$E$34,Personnel!$G$34="Yes"),Personnel!$D$34*Personnel!$I$34,0)+IF(AND(12&gt;=Personnel!$E$35,Personnel!$G$35="Yes"),Personnel!$D$35*Personnel!$I$35,0)+IF(AND(12&gt;=Personnel!$E$36,Personnel!$G$36="Yes"),Personnel!$D$36*Personnel!$I$36,0)+IF(AND(12&gt;=Personnel!$E$37,Personnel!$G$37="Yes"),Personnel!$D$37*Personnel!$I$37,0)+IF(AND(12&gt;=Personnel!$E$38,Personnel!$G$38="Yes"),Personnel!$D$38*Personnel!$I$38,0))</f>
        <v/>
      </c>
      <c r="O18" s="8">
        <f>-(IF(AND(13&gt;=Personnel!$E$32,Personnel!$G$32="Yes"),Personnel!$D$32*Personnel!$I$32,0)+IF(AND(13&gt;=Personnel!$E$33,Personnel!$G$33="Yes"),Personnel!$D$33*Personnel!$I$33,0)+IF(AND(13&gt;=Personnel!$E$34,Personnel!$G$34="Yes"),Personnel!$D$34*Personnel!$I$34,0)+IF(AND(13&gt;=Personnel!$E$35,Personnel!$G$35="Yes"),Personnel!$D$35*Personnel!$I$35,0)+IF(AND(13&gt;=Personnel!$E$36,Personnel!$G$36="Yes"),Personnel!$D$36*Personnel!$I$36,0)+IF(AND(13&gt;=Personnel!$E$37,Personnel!$G$37="Yes"),Personnel!$D$37*Personnel!$I$37,0)+IF(AND(13&gt;=Personnel!$E$38,Personnel!$G$38="Yes"),Personnel!$D$38*Personnel!$I$38,0))</f>
        <v/>
      </c>
      <c r="P18" s="8">
        <f>-(IF(AND(14&gt;=Personnel!$E$32,Personnel!$G$32="Yes"),Personnel!$D$32*Personnel!$I$32,0)+IF(AND(14&gt;=Personnel!$E$33,Personnel!$G$33="Yes"),Personnel!$D$33*Personnel!$I$33,0)+IF(AND(14&gt;=Personnel!$E$34,Personnel!$G$34="Yes"),Personnel!$D$34*Personnel!$I$34,0)+IF(AND(14&gt;=Personnel!$E$35,Personnel!$G$35="Yes"),Personnel!$D$35*Personnel!$I$35,0)+IF(AND(14&gt;=Personnel!$E$36,Personnel!$G$36="Yes"),Personnel!$D$36*Personnel!$I$36,0)+IF(AND(14&gt;=Personnel!$E$37,Personnel!$G$37="Yes"),Personnel!$D$37*Personnel!$I$37,0)+IF(AND(14&gt;=Personnel!$E$38,Personnel!$G$38="Yes"),Personnel!$D$38*Personnel!$I$38,0))</f>
        <v/>
      </c>
      <c r="Q18" s="8">
        <f>-(IF(AND(15&gt;=Personnel!$E$32,Personnel!$G$32="Yes"),Personnel!$D$32*Personnel!$I$32,0)+IF(AND(15&gt;=Personnel!$E$33,Personnel!$G$33="Yes"),Personnel!$D$33*Personnel!$I$33,0)+IF(AND(15&gt;=Personnel!$E$34,Personnel!$G$34="Yes"),Personnel!$D$34*Personnel!$I$34,0)+IF(AND(15&gt;=Personnel!$E$35,Personnel!$G$35="Yes"),Personnel!$D$35*Personnel!$I$35,0)+IF(AND(15&gt;=Personnel!$E$36,Personnel!$G$36="Yes"),Personnel!$D$36*Personnel!$I$36,0)+IF(AND(15&gt;=Personnel!$E$37,Personnel!$G$37="Yes"),Personnel!$D$37*Personnel!$I$37,0)+IF(AND(15&gt;=Personnel!$E$38,Personnel!$G$38="Yes"),Personnel!$D$38*Personnel!$I$38,0))</f>
        <v/>
      </c>
      <c r="R18" s="8">
        <f>-(IF(AND(16&gt;=Personnel!$E$32,Personnel!$G$32="Yes"),Personnel!$D$32*Personnel!$I$32,0)+IF(AND(16&gt;=Personnel!$E$33,Personnel!$G$33="Yes"),Personnel!$D$33*Personnel!$I$33,0)+IF(AND(16&gt;=Personnel!$E$34,Personnel!$G$34="Yes"),Personnel!$D$34*Personnel!$I$34,0)+IF(AND(16&gt;=Personnel!$E$35,Personnel!$G$35="Yes"),Personnel!$D$35*Personnel!$I$35,0)+IF(AND(16&gt;=Personnel!$E$36,Personnel!$G$36="Yes"),Personnel!$D$36*Personnel!$I$36,0)+IF(AND(16&gt;=Personnel!$E$37,Personnel!$G$37="Yes"),Personnel!$D$37*Personnel!$I$37,0)+IF(AND(16&gt;=Personnel!$E$38,Personnel!$G$38="Yes"),Personnel!$D$38*Personnel!$I$38,0))</f>
        <v/>
      </c>
      <c r="S18" s="8">
        <f>-(IF(AND(17&gt;=Personnel!$E$32,Personnel!$G$32="Yes"),Personnel!$D$32*Personnel!$I$32,0)+IF(AND(17&gt;=Personnel!$E$33,Personnel!$G$33="Yes"),Personnel!$D$33*Personnel!$I$33,0)+IF(AND(17&gt;=Personnel!$E$34,Personnel!$G$34="Yes"),Personnel!$D$34*Personnel!$I$34,0)+IF(AND(17&gt;=Personnel!$E$35,Personnel!$G$35="Yes"),Personnel!$D$35*Personnel!$I$35,0)+IF(AND(17&gt;=Personnel!$E$36,Personnel!$G$36="Yes"),Personnel!$D$36*Personnel!$I$36,0)+IF(AND(17&gt;=Personnel!$E$37,Personnel!$G$37="Yes"),Personnel!$D$37*Personnel!$I$37,0)+IF(AND(17&gt;=Personnel!$E$38,Personnel!$G$38="Yes"),Personnel!$D$38*Personnel!$I$38,0))</f>
        <v/>
      </c>
      <c r="T18" s="8">
        <f>-(IF(AND(18&gt;=Personnel!$E$32,Personnel!$G$32="Yes"),Personnel!$D$32*Personnel!$I$32,0)+IF(AND(18&gt;=Personnel!$E$33,Personnel!$G$33="Yes"),Personnel!$D$33*Personnel!$I$33,0)+IF(AND(18&gt;=Personnel!$E$34,Personnel!$G$34="Yes"),Personnel!$D$34*Personnel!$I$34,0)+IF(AND(18&gt;=Personnel!$E$35,Personnel!$G$35="Yes"),Personnel!$D$35*Personnel!$I$35,0)+IF(AND(18&gt;=Personnel!$E$36,Personnel!$G$36="Yes"),Personnel!$D$36*Personnel!$I$36,0)+IF(AND(18&gt;=Personnel!$E$37,Personnel!$G$37="Yes"),Personnel!$D$37*Personnel!$I$37,0)+IF(AND(18&gt;=Personnel!$E$38,Personnel!$G$38="Yes"),Personnel!$D$38*Personnel!$I$38,0))</f>
        <v/>
      </c>
      <c r="U18" s="8">
        <f>-(IF(AND(19&gt;=Personnel!$E$32,Personnel!$G$32="Yes"),Personnel!$D$32*Personnel!$I$32,0)+IF(AND(19&gt;=Personnel!$E$33,Personnel!$G$33="Yes"),Personnel!$D$33*Personnel!$I$33,0)+IF(AND(19&gt;=Personnel!$E$34,Personnel!$G$34="Yes"),Personnel!$D$34*Personnel!$I$34,0)+IF(AND(19&gt;=Personnel!$E$35,Personnel!$G$35="Yes"),Personnel!$D$35*Personnel!$I$35,0)+IF(AND(19&gt;=Personnel!$E$36,Personnel!$G$36="Yes"),Personnel!$D$36*Personnel!$I$36,0)+IF(AND(19&gt;=Personnel!$E$37,Personnel!$G$37="Yes"),Personnel!$D$37*Personnel!$I$37,0)+IF(AND(19&gt;=Personnel!$E$38,Personnel!$G$38="Yes"),Personnel!$D$38*Personnel!$I$38,0))</f>
        <v/>
      </c>
      <c r="V18" s="8">
        <f>-(IF(AND(20&gt;=Personnel!$E$32,Personnel!$G$32="Yes"),Personnel!$D$32*Personnel!$I$32,0)+IF(AND(20&gt;=Personnel!$E$33,Personnel!$G$33="Yes"),Personnel!$D$33*Personnel!$I$33,0)+IF(AND(20&gt;=Personnel!$E$34,Personnel!$G$34="Yes"),Personnel!$D$34*Personnel!$I$34,0)+IF(AND(20&gt;=Personnel!$E$35,Personnel!$G$35="Yes"),Personnel!$D$35*Personnel!$I$35,0)+IF(AND(20&gt;=Personnel!$E$36,Personnel!$G$36="Yes"),Personnel!$D$36*Personnel!$I$36,0)+IF(AND(20&gt;=Personnel!$E$37,Personnel!$G$37="Yes"),Personnel!$D$37*Personnel!$I$37,0)+IF(AND(20&gt;=Personnel!$E$38,Personnel!$G$38="Yes"),Personnel!$D$38*Personnel!$I$38,0))</f>
        <v/>
      </c>
      <c r="W18" s="8">
        <f>-(IF(AND(21&gt;=Personnel!$E$32,Personnel!$G$32="Yes"),Personnel!$D$32*Personnel!$I$32,0)+IF(AND(21&gt;=Personnel!$E$33,Personnel!$G$33="Yes"),Personnel!$D$33*Personnel!$I$33,0)+IF(AND(21&gt;=Personnel!$E$34,Personnel!$G$34="Yes"),Personnel!$D$34*Personnel!$I$34,0)+IF(AND(21&gt;=Personnel!$E$35,Personnel!$G$35="Yes"),Personnel!$D$35*Personnel!$I$35,0)+IF(AND(21&gt;=Personnel!$E$36,Personnel!$G$36="Yes"),Personnel!$D$36*Personnel!$I$36,0)+IF(AND(21&gt;=Personnel!$E$37,Personnel!$G$37="Yes"),Personnel!$D$37*Personnel!$I$37,0)+IF(AND(21&gt;=Personnel!$E$38,Personnel!$G$38="Yes"),Personnel!$D$38*Personnel!$I$38,0))</f>
        <v/>
      </c>
      <c r="X18" s="8">
        <f>-(IF(AND(22&gt;=Personnel!$E$32,Personnel!$G$32="Yes"),Personnel!$D$32*Personnel!$I$32,0)+IF(AND(22&gt;=Personnel!$E$33,Personnel!$G$33="Yes"),Personnel!$D$33*Personnel!$I$33,0)+IF(AND(22&gt;=Personnel!$E$34,Personnel!$G$34="Yes"),Personnel!$D$34*Personnel!$I$34,0)+IF(AND(22&gt;=Personnel!$E$35,Personnel!$G$35="Yes"),Personnel!$D$35*Personnel!$I$35,0)+IF(AND(22&gt;=Personnel!$E$36,Personnel!$G$36="Yes"),Personnel!$D$36*Personnel!$I$36,0)+IF(AND(22&gt;=Personnel!$E$37,Personnel!$G$37="Yes"),Personnel!$D$37*Personnel!$I$37,0)+IF(AND(22&gt;=Personnel!$E$38,Personnel!$G$38="Yes"),Personnel!$D$38*Personnel!$I$38,0))</f>
        <v/>
      </c>
      <c r="Y18" s="8">
        <f>-(IF(AND(23&gt;=Personnel!$E$32,Personnel!$G$32="Yes"),Personnel!$D$32*Personnel!$I$32,0)+IF(AND(23&gt;=Personnel!$E$33,Personnel!$G$33="Yes"),Personnel!$D$33*Personnel!$I$33,0)+IF(AND(23&gt;=Personnel!$E$34,Personnel!$G$34="Yes"),Personnel!$D$34*Personnel!$I$34,0)+IF(AND(23&gt;=Personnel!$E$35,Personnel!$G$35="Yes"),Personnel!$D$35*Personnel!$I$35,0)+IF(AND(23&gt;=Personnel!$E$36,Personnel!$G$36="Yes"),Personnel!$D$36*Personnel!$I$36,0)+IF(AND(23&gt;=Personnel!$E$37,Personnel!$G$37="Yes"),Personnel!$D$37*Personnel!$I$37,0)+IF(AND(23&gt;=Personnel!$E$38,Personnel!$G$38="Yes"),Personnel!$D$38*Personnel!$I$38,0))</f>
        <v/>
      </c>
      <c r="Z18" s="8">
        <f>-(IF(AND(24&gt;=Personnel!$E$32,Personnel!$G$32="Yes"),Personnel!$D$32*Personnel!$I$32,0)+IF(AND(24&gt;=Personnel!$E$33,Personnel!$G$33="Yes"),Personnel!$D$33*Personnel!$I$33,0)+IF(AND(24&gt;=Personnel!$E$34,Personnel!$G$34="Yes"),Personnel!$D$34*Personnel!$I$34,0)+IF(AND(24&gt;=Personnel!$E$35,Personnel!$G$35="Yes"),Personnel!$D$35*Personnel!$I$35,0)+IF(AND(24&gt;=Personnel!$E$36,Personnel!$G$36="Yes"),Personnel!$D$36*Personnel!$I$36,0)+IF(AND(24&gt;=Personnel!$E$37,Personnel!$G$37="Yes"),Personnel!$D$37*Personnel!$I$37,0)+IF(AND(24&gt;=Personnel!$E$38,Personnel!$G$38="Yes"),Personnel!$D$38*Personnel!$I$38,0))</f>
        <v/>
      </c>
      <c r="AA18" s="8">
        <f>-(IF(AND(25&gt;=Personnel!$E$32,Personnel!$G$32="Yes"),Personnel!$D$32*Personnel!$I$32,0)+IF(AND(25&gt;=Personnel!$E$33,Personnel!$G$33="Yes"),Personnel!$D$33*Personnel!$I$33,0)+IF(AND(25&gt;=Personnel!$E$34,Personnel!$G$34="Yes"),Personnel!$D$34*Personnel!$I$34,0)+IF(AND(25&gt;=Personnel!$E$35,Personnel!$G$35="Yes"),Personnel!$D$35*Personnel!$I$35,0)+IF(AND(25&gt;=Personnel!$E$36,Personnel!$G$36="Yes"),Personnel!$D$36*Personnel!$I$36,0)+IF(AND(25&gt;=Personnel!$E$37,Personnel!$G$37="Yes"),Personnel!$D$37*Personnel!$I$37,0)+IF(AND(25&gt;=Personnel!$E$38,Personnel!$G$38="Yes"),Personnel!$D$38*Personnel!$I$38,0))</f>
        <v/>
      </c>
      <c r="AB18" s="8">
        <f>-(IF(AND(26&gt;=Personnel!$E$32,Personnel!$G$32="Yes"),Personnel!$D$32*Personnel!$I$32,0)+IF(AND(26&gt;=Personnel!$E$33,Personnel!$G$33="Yes"),Personnel!$D$33*Personnel!$I$33,0)+IF(AND(26&gt;=Personnel!$E$34,Personnel!$G$34="Yes"),Personnel!$D$34*Personnel!$I$34,0)+IF(AND(26&gt;=Personnel!$E$35,Personnel!$G$35="Yes"),Personnel!$D$35*Personnel!$I$35,0)+IF(AND(26&gt;=Personnel!$E$36,Personnel!$G$36="Yes"),Personnel!$D$36*Personnel!$I$36,0)+IF(AND(26&gt;=Personnel!$E$37,Personnel!$G$37="Yes"),Personnel!$D$37*Personnel!$I$37,0)+IF(AND(26&gt;=Personnel!$E$38,Personnel!$G$38="Yes"),Personnel!$D$38*Personnel!$I$38,0))</f>
        <v/>
      </c>
      <c r="AC18" s="8">
        <f>-(IF(AND(27&gt;=Personnel!$E$32,Personnel!$G$32="Yes"),Personnel!$D$32*Personnel!$I$32,0)+IF(AND(27&gt;=Personnel!$E$33,Personnel!$G$33="Yes"),Personnel!$D$33*Personnel!$I$33,0)+IF(AND(27&gt;=Personnel!$E$34,Personnel!$G$34="Yes"),Personnel!$D$34*Personnel!$I$34,0)+IF(AND(27&gt;=Personnel!$E$35,Personnel!$G$35="Yes"),Personnel!$D$35*Personnel!$I$35,0)+IF(AND(27&gt;=Personnel!$E$36,Personnel!$G$36="Yes"),Personnel!$D$36*Personnel!$I$36,0)+IF(AND(27&gt;=Personnel!$E$37,Personnel!$G$37="Yes"),Personnel!$D$37*Personnel!$I$37,0)+IF(AND(27&gt;=Personnel!$E$38,Personnel!$G$38="Yes"),Personnel!$D$38*Personnel!$I$38,0))</f>
        <v/>
      </c>
      <c r="AD18" s="8">
        <f>-(IF(AND(28&gt;=Personnel!$E$32,Personnel!$G$32="Yes"),Personnel!$D$32*Personnel!$I$32,0)+IF(AND(28&gt;=Personnel!$E$33,Personnel!$G$33="Yes"),Personnel!$D$33*Personnel!$I$33,0)+IF(AND(28&gt;=Personnel!$E$34,Personnel!$G$34="Yes"),Personnel!$D$34*Personnel!$I$34,0)+IF(AND(28&gt;=Personnel!$E$35,Personnel!$G$35="Yes"),Personnel!$D$35*Personnel!$I$35,0)+IF(AND(28&gt;=Personnel!$E$36,Personnel!$G$36="Yes"),Personnel!$D$36*Personnel!$I$36,0)+IF(AND(28&gt;=Personnel!$E$37,Personnel!$G$37="Yes"),Personnel!$D$37*Personnel!$I$37,0)+IF(AND(28&gt;=Personnel!$E$38,Personnel!$G$38="Yes"),Personnel!$D$38*Personnel!$I$38,0))</f>
        <v/>
      </c>
      <c r="AE18" s="8">
        <f>-(IF(AND(29&gt;=Personnel!$E$32,Personnel!$G$32="Yes"),Personnel!$D$32*Personnel!$I$32,0)+IF(AND(29&gt;=Personnel!$E$33,Personnel!$G$33="Yes"),Personnel!$D$33*Personnel!$I$33,0)+IF(AND(29&gt;=Personnel!$E$34,Personnel!$G$34="Yes"),Personnel!$D$34*Personnel!$I$34,0)+IF(AND(29&gt;=Personnel!$E$35,Personnel!$G$35="Yes"),Personnel!$D$35*Personnel!$I$35,0)+IF(AND(29&gt;=Personnel!$E$36,Personnel!$G$36="Yes"),Personnel!$D$36*Personnel!$I$36,0)+IF(AND(29&gt;=Personnel!$E$37,Personnel!$G$37="Yes"),Personnel!$D$37*Personnel!$I$37,0)+IF(AND(29&gt;=Personnel!$E$38,Personnel!$G$38="Yes"),Personnel!$D$38*Personnel!$I$38,0))</f>
        <v/>
      </c>
      <c r="AF18" s="8">
        <f>-(IF(AND(30&gt;=Personnel!$E$32,Personnel!$G$32="Yes"),Personnel!$D$32*Personnel!$I$32,0)+IF(AND(30&gt;=Personnel!$E$33,Personnel!$G$33="Yes"),Personnel!$D$33*Personnel!$I$33,0)+IF(AND(30&gt;=Personnel!$E$34,Personnel!$G$34="Yes"),Personnel!$D$34*Personnel!$I$34,0)+IF(AND(30&gt;=Personnel!$E$35,Personnel!$G$35="Yes"),Personnel!$D$35*Personnel!$I$35,0)+IF(AND(30&gt;=Personnel!$E$36,Personnel!$G$36="Yes"),Personnel!$D$36*Personnel!$I$36,0)+IF(AND(30&gt;=Personnel!$E$37,Personnel!$G$37="Yes"),Personnel!$D$37*Personnel!$I$37,0)+IF(AND(30&gt;=Personnel!$E$38,Personnel!$G$38="Yes"),Personnel!$D$38*Personnel!$I$38,0))</f>
        <v/>
      </c>
      <c r="AG18" s="8">
        <f>-(IF(AND(31&gt;=Personnel!$E$32,Personnel!$G$32="Yes"),Personnel!$D$32*Personnel!$I$32,0)+IF(AND(31&gt;=Personnel!$E$33,Personnel!$G$33="Yes"),Personnel!$D$33*Personnel!$I$33,0)+IF(AND(31&gt;=Personnel!$E$34,Personnel!$G$34="Yes"),Personnel!$D$34*Personnel!$I$34,0)+IF(AND(31&gt;=Personnel!$E$35,Personnel!$G$35="Yes"),Personnel!$D$35*Personnel!$I$35,0)+IF(AND(31&gt;=Personnel!$E$36,Personnel!$G$36="Yes"),Personnel!$D$36*Personnel!$I$36,0)+IF(AND(31&gt;=Personnel!$E$37,Personnel!$G$37="Yes"),Personnel!$D$37*Personnel!$I$37,0)+IF(AND(31&gt;=Personnel!$E$38,Personnel!$G$38="Yes"),Personnel!$D$38*Personnel!$I$38,0))</f>
        <v/>
      </c>
      <c r="AH18" s="8">
        <f>-(IF(AND(32&gt;=Personnel!$E$32,Personnel!$G$32="Yes"),Personnel!$D$32*Personnel!$I$32,0)+IF(AND(32&gt;=Personnel!$E$33,Personnel!$G$33="Yes"),Personnel!$D$33*Personnel!$I$33,0)+IF(AND(32&gt;=Personnel!$E$34,Personnel!$G$34="Yes"),Personnel!$D$34*Personnel!$I$34,0)+IF(AND(32&gt;=Personnel!$E$35,Personnel!$G$35="Yes"),Personnel!$D$35*Personnel!$I$35,0)+IF(AND(32&gt;=Personnel!$E$36,Personnel!$G$36="Yes"),Personnel!$D$36*Personnel!$I$36,0)+IF(AND(32&gt;=Personnel!$E$37,Personnel!$G$37="Yes"),Personnel!$D$37*Personnel!$I$37,0)+IF(AND(32&gt;=Personnel!$E$38,Personnel!$G$38="Yes"),Personnel!$D$38*Personnel!$I$38,0))</f>
        <v/>
      </c>
      <c r="AI18" s="8">
        <f>-(IF(AND(33&gt;=Personnel!$E$32,Personnel!$G$32="Yes"),Personnel!$D$32*Personnel!$I$32,0)+IF(AND(33&gt;=Personnel!$E$33,Personnel!$G$33="Yes"),Personnel!$D$33*Personnel!$I$33,0)+IF(AND(33&gt;=Personnel!$E$34,Personnel!$G$34="Yes"),Personnel!$D$34*Personnel!$I$34,0)+IF(AND(33&gt;=Personnel!$E$35,Personnel!$G$35="Yes"),Personnel!$D$35*Personnel!$I$35,0)+IF(AND(33&gt;=Personnel!$E$36,Personnel!$G$36="Yes"),Personnel!$D$36*Personnel!$I$36,0)+IF(AND(33&gt;=Personnel!$E$37,Personnel!$G$37="Yes"),Personnel!$D$37*Personnel!$I$37,0)+IF(AND(33&gt;=Personnel!$E$38,Personnel!$G$38="Yes"),Personnel!$D$38*Personnel!$I$38,0))</f>
        <v/>
      </c>
      <c r="AJ18" s="8">
        <f>-(IF(AND(34&gt;=Personnel!$E$32,Personnel!$G$32="Yes"),Personnel!$D$32*Personnel!$I$32,0)+IF(AND(34&gt;=Personnel!$E$33,Personnel!$G$33="Yes"),Personnel!$D$33*Personnel!$I$33,0)+IF(AND(34&gt;=Personnel!$E$34,Personnel!$G$34="Yes"),Personnel!$D$34*Personnel!$I$34,0)+IF(AND(34&gt;=Personnel!$E$35,Personnel!$G$35="Yes"),Personnel!$D$35*Personnel!$I$35,0)+IF(AND(34&gt;=Personnel!$E$36,Personnel!$G$36="Yes"),Personnel!$D$36*Personnel!$I$36,0)+IF(AND(34&gt;=Personnel!$E$37,Personnel!$G$37="Yes"),Personnel!$D$37*Personnel!$I$37,0)+IF(AND(34&gt;=Personnel!$E$38,Personnel!$G$38="Yes"),Personnel!$D$38*Personnel!$I$38,0))</f>
        <v/>
      </c>
      <c r="AK18" s="8">
        <f>-(IF(AND(35&gt;=Personnel!$E$32,Personnel!$G$32="Yes"),Personnel!$D$32*Personnel!$I$32,0)+IF(AND(35&gt;=Personnel!$E$33,Personnel!$G$33="Yes"),Personnel!$D$33*Personnel!$I$33,0)+IF(AND(35&gt;=Personnel!$E$34,Personnel!$G$34="Yes"),Personnel!$D$34*Personnel!$I$34,0)+IF(AND(35&gt;=Personnel!$E$35,Personnel!$G$35="Yes"),Personnel!$D$35*Personnel!$I$35,0)+IF(AND(35&gt;=Personnel!$E$36,Personnel!$G$36="Yes"),Personnel!$D$36*Personnel!$I$36,0)+IF(AND(35&gt;=Personnel!$E$37,Personnel!$G$37="Yes"),Personnel!$D$37*Personnel!$I$37,0)+IF(AND(35&gt;=Personnel!$E$38,Personnel!$G$38="Yes"),Personnel!$D$38*Personnel!$I$38,0))</f>
        <v/>
      </c>
      <c r="AL18" s="8">
        <f>-(IF(AND(36&gt;=Personnel!$E$32,Personnel!$G$32="Yes"),Personnel!$D$32*Personnel!$I$32,0)+IF(AND(36&gt;=Personnel!$E$33,Personnel!$G$33="Yes"),Personnel!$D$33*Personnel!$I$33,0)+IF(AND(36&gt;=Personnel!$E$34,Personnel!$G$34="Yes"),Personnel!$D$34*Personnel!$I$34,0)+IF(AND(36&gt;=Personnel!$E$35,Personnel!$G$35="Yes"),Personnel!$D$35*Personnel!$I$35,0)+IF(AND(36&gt;=Personnel!$E$36,Personnel!$G$36="Yes"),Personnel!$D$36*Personnel!$I$36,0)+IF(AND(36&gt;=Personnel!$E$37,Personnel!$G$37="Yes"),Personnel!$D$37*Personnel!$I$37,0)+IF(AND(36&gt;=Personnel!$E$38,Personnel!$G$38="Yes"),Personnel!$D$38*Personnel!$I$38,0))</f>
        <v/>
      </c>
      <c r="AM18" s="8">
        <f>-(IF(AND(37&gt;=Personnel!$E$32,Personnel!$G$32="Yes"),Personnel!$D$32*Personnel!$I$32,0)+IF(AND(37&gt;=Personnel!$E$33,Personnel!$G$33="Yes"),Personnel!$D$33*Personnel!$I$33,0)+IF(AND(37&gt;=Personnel!$E$34,Personnel!$G$34="Yes"),Personnel!$D$34*Personnel!$I$34,0)+IF(AND(37&gt;=Personnel!$E$35,Personnel!$G$35="Yes"),Personnel!$D$35*Personnel!$I$35,0)+IF(AND(37&gt;=Personnel!$E$36,Personnel!$G$36="Yes"),Personnel!$D$36*Personnel!$I$36,0)+IF(AND(37&gt;=Personnel!$E$37,Personnel!$G$37="Yes"),Personnel!$D$37*Personnel!$I$37,0)+IF(AND(37&gt;=Personnel!$E$38,Personnel!$G$38="Yes"),Personnel!$D$38*Personnel!$I$38,0))</f>
        <v/>
      </c>
      <c r="AN18" s="8">
        <f>-(IF(AND(38&gt;=Personnel!$E$32,Personnel!$G$32="Yes"),Personnel!$D$32*Personnel!$I$32,0)+IF(AND(38&gt;=Personnel!$E$33,Personnel!$G$33="Yes"),Personnel!$D$33*Personnel!$I$33,0)+IF(AND(38&gt;=Personnel!$E$34,Personnel!$G$34="Yes"),Personnel!$D$34*Personnel!$I$34,0)+IF(AND(38&gt;=Personnel!$E$35,Personnel!$G$35="Yes"),Personnel!$D$35*Personnel!$I$35,0)+IF(AND(38&gt;=Personnel!$E$36,Personnel!$G$36="Yes"),Personnel!$D$36*Personnel!$I$36,0)+IF(AND(38&gt;=Personnel!$E$37,Personnel!$G$37="Yes"),Personnel!$D$37*Personnel!$I$37,0)+IF(AND(38&gt;=Personnel!$E$38,Personnel!$G$38="Yes"),Personnel!$D$38*Personnel!$I$38,0))</f>
        <v/>
      </c>
      <c r="AO18" s="8">
        <f>-(IF(AND(39&gt;=Personnel!$E$32,Personnel!$G$32="Yes"),Personnel!$D$32*Personnel!$I$32,0)+IF(AND(39&gt;=Personnel!$E$33,Personnel!$G$33="Yes"),Personnel!$D$33*Personnel!$I$33,0)+IF(AND(39&gt;=Personnel!$E$34,Personnel!$G$34="Yes"),Personnel!$D$34*Personnel!$I$34,0)+IF(AND(39&gt;=Personnel!$E$35,Personnel!$G$35="Yes"),Personnel!$D$35*Personnel!$I$35,0)+IF(AND(39&gt;=Personnel!$E$36,Personnel!$G$36="Yes"),Personnel!$D$36*Personnel!$I$36,0)+IF(AND(39&gt;=Personnel!$E$37,Personnel!$G$37="Yes"),Personnel!$D$37*Personnel!$I$37,0)+IF(AND(39&gt;=Personnel!$E$38,Personnel!$G$38="Yes"),Personnel!$D$38*Personnel!$I$38,0))</f>
        <v/>
      </c>
      <c r="AP18" s="8">
        <f>-(IF(AND(40&gt;=Personnel!$E$32,Personnel!$G$32="Yes"),Personnel!$D$32*Personnel!$I$32,0)+IF(AND(40&gt;=Personnel!$E$33,Personnel!$G$33="Yes"),Personnel!$D$33*Personnel!$I$33,0)+IF(AND(40&gt;=Personnel!$E$34,Personnel!$G$34="Yes"),Personnel!$D$34*Personnel!$I$34,0)+IF(AND(40&gt;=Personnel!$E$35,Personnel!$G$35="Yes"),Personnel!$D$35*Personnel!$I$35,0)+IF(AND(40&gt;=Personnel!$E$36,Personnel!$G$36="Yes"),Personnel!$D$36*Personnel!$I$36,0)+IF(AND(40&gt;=Personnel!$E$37,Personnel!$G$37="Yes"),Personnel!$D$37*Personnel!$I$37,0)+IF(AND(40&gt;=Personnel!$E$38,Personnel!$G$38="Yes"),Personnel!$D$38*Personnel!$I$38,0))</f>
        <v/>
      </c>
      <c r="AQ18" s="8">
        <f>-(IF(AND(41&gt;=Personnel!$E$32,Personnel!$G$32="Yes"),Personnel!$D$32*Personnel!$I$32,0)+IF(AND(41&gt;=Personnel!$E$33,Personnel!$G$33="Yes"),Personnel!$D$33*Personnel!$I$33,0)+IF(AND(41&gt;=Personnel!$E$34,Personnel!$G$34="Yes"),Personnel!$D$34*Personnel!$I$34,0)+IF(AND(41&gt;=Personnel!$E$35,Personnel!$G$35="Yes"),Personnel!$D$35*Personnel!$I$35,0)+IF(AND(41&gt;=Personnel!$E$36,Personnel!$G$36="Yes"),Personnel!$D$36*Personnel!$I$36,0)+IF(AND(41&gt;=Personnel!$E$37,Personnel!$G$37="Yes"),Personnel!$D$37*Personnel!$I$37,0)+IF(AND(41&gt;=Personnel!$E$38,Personnel!$G$38="Yes"),Personnel!$D$38*Personnel!$I$38,0))</f>
        <v/>
      </c>
      <c r="AR18" s="8">
        <f>-(IF(AND(42&gt;=Personnel!$E$32,Personnel!$G$32="Yes"),Personnel!$D$32*Personnel!$I$32,0)+IF(AND(42&gt;=Personnel!$E$33,Personnel!$G$33="Yes"),Personnel!$D$33*Personnel!$I$33,0)+IF(AND(42&gt;=Personnel!$E$34,Personnel!$G$34="Yes"),Personnel!$D$34*Personnel!$I$34,0)+IF(AND(42&gt;=Personnel!$E$35,Personnel!$G$35="Yes"),Personnel!$D$35*Personnel!$I$35,0)+IF(AND(42&gt;=Personnel!$E$36,Personnel!$G$36="Yes"),Personnel!$D$36*Personnel!$I$36,0)+IF(AND(42&gt;=Personnel!$E$37,Personnel!$G$37="Yes"),Personnel!$D$37*Personnel!$I$37,0)+IF(AND(42&gt;=Personnel!$E$38,Personnel!$G$38="Yes"),Personnel!$D$38*Personnel!$I$38,0))</f>
        <v/>
      </c>
      <c r="AS18" s="8">
        <f>-(IF(AND(43&gt;=Personnel!$E$32,Personnel!$G$32="Yes"),Personnel!$D$32*Personnel!$I$32,0)+IF(AND(43&gt;=Personnel!$E$33,Personnel!$G$33="Yes"),Personnel!$D$33*Personnel!$I$33,0)+IF(AND(43&gt;=Personnel!$E$34,Personnel!$G$34="Yes"),Personnel!$D$34*Personnel!$I$34,0)+IF(AND(43&gt;=Personnel!$E$35,Personnel!$G$35="Yes"),Personnel!$D$35*Personnel!$I$35,0)+IF(AND(43&gt;=Personnel!$E$36,Personnel!$G$36="Yes"),Personnel!$D$36*Personnel!$I$36,0)+IF(AND(43&gt;=Personnel!$E$37,Personnel!$G$37="Yes"),Personnel!$D$37*Personnel!$I$37,0)+IF(AND(43&gt;=Personnel!$E$38,Personnel!$G$38="Yes"),Personnel!$D$38*Personnel!$I$38,0))</f>
        <v/>
      </c>
      <c r="AT18" s="8">
        <f>-(IF(AND(44&gt;=Personnel!$E$32,Personnel!$G$32="Yes"),Personnel!$D$32*Personnel!$I$32,0)+IF(AND(44&gt;=Personnel!$E$33,Personnel!$G$33="Yes"),Personnel!$D$33*Personnel!$I$33,0)+IF(AND(44&gt;=Personnel!$E$34,Personnel!$G$34="Yes"),Personnel!$D$34*Personnel!$I$34,0)+IF(AND(44&gt;=Personnel!$E$35,Personnel!$G$35="Yes"),Personnel!$D$35*Personnel!$I$35,0)+IF(AND(44&gt;=Personnel!$E$36,Personnel!$G$36="Yes"),Personnel!$D$36*Personnel!$I$36,0)+IF(AND(44&gt;=Personnel!$E$37,Personnel!$G$37="Yes"),Personnel!$D$37*Personnel!$I$37,0)+IF(AND(44&gt;=Personnel!$E$38,Personnel!$G$38="Yes"),Personnel!$D$38*Personnel!$I$38,0))</f>
        <v/>
      </c>
      <c r="AU18" s="8">
        <f>-(IF(AND(45&gt;=Personnel!$E$32,Personnel!$G$32="Yes"),Personnel!$D$32*Personnel!$I$32,0)+IF(AND(45&gt;=Personnel!$E$33,Personnel!$G$33="Yes"),Personnel!$D$33*Personnel!$I$33,0)+IF(AND(45&gt;=Personnel!$E$34,Personnel!$G$34="Yes"),Personnel!$D$34*Personnel!$I$34,0)+IF(AND(45&gt;=Personnel!$E$35,Personnel!$G$35="Yes"),Personnel!$D$35*Personnel!$I$35,0)+IF(AND(45&gt;=Personnel!$E$36,Personnel!$G$36="Yes"),Personnel!$D$36*Personnel!$I$36,0)+IF(AND(45&gt;=Personnel!$E$37,Personnel!$G$37="Yes"),Personnel!$D$37*Personnel!$I$37,0)+IF(AND(45&gt;=Personnel!$E$38,Personnel!$G$38="Yes"),Personnel!$D$38*Personnel!$I$38,0))</f>
        <v/>
      </c>
      <c r="AV18" s="8">
        <f>-(IF(AND(46&gt;=Personnel!$E$32,Personnel!$G$32="Yes"),Personnel!$D$32*Personnel!$I$32,0)+IF(AND(46&gt;=Personnel!$E$33,Personnel!$G$33="Yes"),Personnel!$D$33*Personnel!$I$33,0)+IF(AND(46&gt;=Personnel!$E$34,Personnel!$G$34="Yes"),Personnel!$D$34*Personnel!$I$34,0)+IF(AND(46&gt;=Personnel!$E$35,Personnel!$G$35="Yes"),Personnel!$D$35*Personnel!$I$35,0)+IF(AND(46&gt;=Personnel!$E$36,Personnel!$G$36="Yes"),Personnel!$D$36*Personnel!$I$36,0)+IF(AND(46&gt;=Personnel!$E$37,Personnel!$G$37="Yes"),Personnel!$D$37*Personnel!$I$37,0)+IF(AND(46&gt;=Personnel!$E$38,Personnel!$G$38="Yes"),Personnel!$D$38*Personnel!$I$38,0))</f>
        <v/>
      </c>
      <c r="AW18" s="8">
        <f>-(IF(AND(47&gt;=Personnel!$E$32,Personnel!$G$32="Yes"),Personnel!$D$32*Personnel!$I$32,0)+IF(AND(47&gt;=Personnel!$E$33,Personnel!$G$33="Yes"),Personnel!$D$33*Personnel!$I$33,0)+IF(AND(47&gt;=Personnel!$E$34,Personnel!$G$34="Yes"),Personnel!$D$34*Personnel!$I$34,0)+IF(AND(47&gt;=Personnel!$E$35,Personnel!$G$35="Yes"),Personnel!$D$35*Personnel!$I$35,0)+IF(AND(47&gt;=Personnel!$E$36,Personnel!$G$36="Yes"),Personnel!$D$36*Personnel!$I$36,0)+IF(AND(47&gt;=Personnel!$E$37,Personnel!$G$37="Yes"),Personnel!$D$37*Personnel!$I$37,0)+IF(AND(47&gt;=Personnel!$E$38,Personnel!$G$38="Yes"),Personnel!$D$38*Personnel!$I$38,0))</f>
        <v/>
      </c>
      <c r="AX18" s="8">
        <f>-(IF(AND(48&gt;=Personnel!$E$32,Personnel!$G$32="Yes"),Personnel!$D$32*Personnel!$I$32,0)+IF(AND(48&gt;=Personnel!$E$33,Personnel!$G$33="Yes"),Personnel!$D$33*Personnel!$I$33,0)+IF(AND(48&gt;=Personnel!$E$34,Personnel!$G$34="Yes"),Personnel!$D$34*Personnel!$I$34,0)+IF(AND(48&gt;=Personnel!$E$35,Personnel!$G$35="Yes"),Personnel!$D$35*Personnel!$I$35,0)+IF(AND(48&gt;=Personnel!$E$36,Personnel!$G$36="Yes"),Personnel!$D$36*Personnel!$I$36,0)+IF(AND(48&gt;=Personnel!$E$37,Personnel!$G$37="Yes"),Personnel!$D$37*Personnel!$I$37,0)+IF(AND(48&gt;=Personnel!$E$38,Personnel!$G$38="Yes"),Personnel!$D$38*Personnel!$I$38,0))</f>
        <v/>
      </c>
      <c r="AY18" s="8">
        <f>-(IF(AND(49&gt;=Personnel!$E$32,Personnel!$G$32="Yes"),Personnel!$D$32*Personnel!$I$32,0)+IF(AND(49&gt;=Personnel!$E$33,Personnel!$G$33="Yes"),Personnel!$D$33*Personnel!$I$33,0)+IF(AND(49&gt;=Personnel!$E$34,Personnel!$G$34="Yes"),Personnel!$D$34*Personnel!$I$34,0)+IF(AND(49&gt;=Personnel!$E$35,Personnel!$G$35="Yes"),Personnel!$D$35*Personnel!$I$35,0)+IF(AND(49&gt;=Personnel!$E$36,Personnel!$G$36="Yes"),Personnel!$D$36*Personnel!$I$36,0)+IF(AND(49&gt;=Personnel!$E$37,Personnel!$G$37="Yes"),Personnel!$D$37*Personnel!$I$37,0)+IF(AND(49&gt;=Personnel!$E$38,Personnel!$G$38="Yes"),Personnel!$D$38*Personnel!$I$38,0))</f>
        <v/>
      </c>
      <c r="AZ18" s="8">
        <f>-(IF(AND(50&gt;=Personnel!$E$32,Personnel!$G$32="Yes"),Personnel!$D$32*Personnel!$I$32,0)+IF(AND(50&gt;=Personnel!$E$33,Personnel!$G$33="Yes"),Personnel!$D$33*Personnel!$I$33,0)+IF(AND(50&gt;=Personnel!$E$34,Personnel!$G$34="Yes"),Personnel!$D$34*Personnel!$I$34,0)+IF(AND(50&gt;=Personnel!$E$35,Personnel!$G$35="Yes"),Personnel!$D$35*Personnel!$I$35,0)+IF(AND(50&gt;=Personnel!$E$36,Personnel!$G$36="Yes"),Personnel!$D$36*Personnel!$I$36,0)+IF(AND(50&gt;=Personnel!$E$37,Personnel!$G$37="Yes"),Personnel!$D$37*Personnel!$I$37,0)+IF(AND(50&gt;=Personnel!$E$38,Personnel!$G$38="Yes"),Personnel!$D$38*Personnel!$I$38,0))</f>
        <v/>
      </c>
      <c r="BA18" s="8">
        <f>-(IF(AND(51&gt;=Personnel!$E$32,Personnel!$G$32="Yes"),Personnel!$D$32*Personnel!$I$32,0)+IF(AND(51&gt;=Personnel!$E$33,Personnel!$G$33="Yes"),Personnel!$D$33*Personnel!$I$33,0)+IF(AND(51&gt;=Personnel!$E$34,Personnel!$G$34="Yes"),Personnel!$D$34*Personnel!$I$34,0)+IF(AND(51&gt;=Personnel!$E$35,Personnel!$G$35="Yes"),Personnel!$D$35*Personnel!$I$35,0)+IF(AND(51&gt;=Personnel!$E$36,Personnel!$G$36="Yes"),Personnel!$D$36*Personnel!$I$36,0)+IF(AND(51&gt;=Personnel!$E$37,Personnel!$G$37="Yes"),Personnel!$D$37*Personnel!$I$37,0)+IF(AND(51&gt;=Personnel!$E$38,Personnel!$G$38="Yes"),Personnel!$D$38*Personnel!$I$38,0))</f>
        <v/>
      </c>
      <c r="BB18" s="8">
        <f>-(IF(AND(52&gt;=Personnel!$E$32,Personnel!$G$32="Yes"),Personnel!$D$32*Personnel!$I$32,0)+IF(AND(52&gt;=Personnel!$E$33,Personnel!$G$33="Yes"),Personnel!$D$33*Personnel!$I$33,0)+IF(AND(52&gt;=Personnel!$E$34,Personnel!$G$34="Yes"),Personnel!$D$34*Personnel!$I$34,0)+IF(AND(52&gt;=Personnel!$E$35,Personnel!$G$35="Yes"),Personnel!$D$35*Personnel!$I$35,0)+IF(AND(52&gt;=Personnel!$E$36,Personnel!$G$36="Yes"),Personnel!$D$36*Personnel!$I$36,0)+IF(AND(52&gt;=Personnel!$E$37,Personnel!$G$37="Yes"),Personnel!$D$37*Personnel!$I$37,0)+IF(AND(52&gt;=Personnel!$E$38,Personnel!$G$38="Yes"),Personnel!$D$38*Personnel!$I$38,0))</f>
        <v/>
      </c>
      <c r="BC18" s="8">
        <f>-(IF(AND(53&gt;=Personnel!$E$32,Personnel!$G$32="Yes"),Personnel!$D$32*Personnel!$I$32,0)+IF(AND(53&gt;=Personnel!$E$33,Personnel!$G$33="Yes"),Personnel!$D$33*Personnel!$I$33,0)+IF(AND(53&gt;=Personnel!$E$34,Personnel!$G$34="Yes"),Personnel!$D$34*Personnel!$I$34,0)+IF(AND(53&gt;=Personnel!$E$35,Personnel!$G$35="Yes"),Personnel!$D$35*Personnel!$I$35,0)+IF(AND(53&gt;=Personnel!$E$36,Personnel!$G$36="Yes"),Personnel!$D$36*Personnel!$I$36,0)+IF(AND(53&gt;=Personnel!$E$37,Personnel!$G$37="Yes"),Personnel!$D$37*Personnel!$I$37,0)+IF(AND(53&gt;=Personnel!$E$38,Personnel!$G$38="Yes"),Personnel!$D$38*Personnel!$I$38,0))</f>
        <v/>
      </c>
      <c r="BD18" s="8">
        <f>-(IF(AND(54&gt;=Personnel!$E$32,Personnel!$G$32="Yes"),Personnel!$D$32*Personnel!$I$32,0)+IF(AND(54&gt;=Personnel!$E$33,Personnel!$G$33="Yes"),Personnel!$D$33*Personnel!$I$33,0)+IF(AND(54&gt;=Personnel!$E$34,Personnel!$G$34="Yes"),Personnel!$D$34*Personnel!$I$34,0)+IF(AND(54&gt;=Personnel!$E$35,Personnel!$G$35="Yes"),Personnel!$D$35*Personnel!$I$35,0)+IF(AND(54&gt;=Personnel!$E$36,Personnel!$G$36="Yes"),Personnel!$D$36*Personnel!$I$36,0)+IF(AND(54&gt;=Personnel!$E$37,Personnel!$G$37="Yes"),Personnel!$D$37*Personnel!$I$37,0)+IF(AND(54&gt;=Personnel!$E$38,Personnel!$G$38="Yes"),Personnel!$D$38*Personnel!$I$38,0))</f>
        <v/>
      </c>
      <c r="BE18" s="8">
        <f>-(IF(AND(55&gt;=Personnel!$E$32,Personnel!$G$32="Yes"),Personnel!$D$32*Personnel!$I$32,0)+IF(AND(55&gt;=Personnel!$E$33,Personnel!$G$33="Yes"),Personnel!$D$33*Personnel!$I$33,0)+IF(AND(55&gt;=Personnel!$E$34,Personnel!$G$34="Yes"),Personnel!$D$34*Personnel!$I$34,0)+IF(AND(55&gt;=Personnel!$E$35,Personnel!$G$35="Yes"),Personnel!$D$35*Personnel!$I$35,0)+IF(AND(55&gt;=Personnel!$E$36,Personnel!$G$36="Yes"),Personnel!$D$36*Personnel!$I$36,0)+IF(AND(55&gt;=Personnel!$E$37,Personnel!$G$37="Yes"),Personnel!$D$37*Personnel!$I$37,0)+IF(AND(55&gt;=Personnel!$E$38,Personnel!$G$38="Yes"),Personnel!$D$38*Personnel!$I$38,0))</f>
        <v/>
      </c>
      <c r="BF18" s="8">
        <f>-(IF(AND(56&gt;=Personnel!$E$32,Personnel!$G$32="Yes"),Personnel!$D$32*Personnel!$I$32,0)+IF(AND(56&gt;=Personnel!$E$33,Personnel!$G$33="Yes"),Personnel!$D$33*Personnel!$I$33,0)+IF(AND(56&gt;=Personnel!$E$34,Personnel!$G$34="Yes"),Personnel!$D$34*Personnel!$I$34,0)+IF(AND(56&gt;=Personnel!$E$35,Personnel!$G$35="Yes"),Personnel!$D$35*Personnel!$I$35,0)+IF(AND(56&gt;=Personnel!$E$36,Personnel!$G$36="Yes"),Personnel!$D$36*Personnel!$I$36,0)+IF(AND(56&gt;=Personnel!$E$37,Personnel!$G$37="Yes"),Personnel!$D$37*Personnel!$I$37,0)+IF(AND(56&gt;=Personnel!$E$38,Personnel!$G$38="Yes"),Personnel!$D$38*Personnel!$I$38,0))</f>
        <v/>
      </c>
      <c r="BG18" s="8">
        <f>-(IF(AND(57&gt;=Personnel!$E$32,Personnel!$G$32="Yes"),Personnel!$D$32*Personnel!$I$32,0)+IF(AND(57&gt;=Personnel!$E$33,Personnel!$G$33="Yes"),Personnel!$D$33*Personnel!$I$33,0)+IF(AND(57&gt;=Personnel!$E$34,Personnel!$G$34="Yes"),Personnel!$D$34*Personnel!$I$34,0)+IF(AND(57&gt;=Personnel!$E$35,Personnel!$G$35="Yes"),Personnel!$D$35*Personnel!$I$35,0)+IF(AND(57&gt;=Personnel!$E$36,Personnel!$G$36="Yes"),Personnel!$D$36*Personnel!$I$36,0)+IF(AND(57&gt;=Personnel!$E$37,Personnel!$G$37="Yes"),Personnel!$D$37*Personnel!$I$37,0)+IF(AND(57&gt;=Personnel!$E$38,Personnel!$G$38="Yes"),Personnel!$D$38*Personnel!$I$38,0))</f>
        <v/>
      </c>
      <c r="BH18" s="8">
        <f>-(IF(AND(58&gt;=Personnel!$E$32,Personnel!$G$32="Yes"),Personnel!$D$32*Personnel!$I$32,0)+IF(AND(58&gt;=Personnel!$E$33,Personnel!$G$33="Yes"),Personnel!$D$33*Personnel!$I$33,0)+IF(AND(58&gt;=Personnel!$E$34,Personnel!$G$34="Yes"),Personnel!$D$34*Personnel!$I$34,0)+IF(AND(58&gt;=Personnel!$E$35,Personnel!$G$35="Yes"),Personnel!$D$35*Personnel!$I$35,0)+IF(AND(58&gt;=Personnel!$E$36,Personnel!$G$36="Yes"),Personnel!$D$36*Personnel!$I$36,0)+IF(AND(58&gt;=Personnel!$E$37,Personnel!$G$37="Yes"),Personnel!$D$37*Personnel!$I$37,0)+IF(AND(58&gt;=Personnel!$E$38,Personnel!$G$38="Yes"),Personnel!$D$38*Personnel!$I$38,0))</f>
        <v/>
      </c>
      <c r="BI18" s="8">
        <f>-(IF(AND(59&gt;=Personnel!$E$32,Personnel!$G$32="Yes"),Personnel!$D$32*Personnel!$I$32,0)+IF(AND(59&gt;=Personnel!$E$33,Personnel!$G$33="Yes"),Personnel!$D$33*Personnel!$I$33,0)+IF(AND(59&gt;=Personnel!$E$34,Personnel!$G$34="Yes"),Personnel!$D$34*Personnel!$I$34,0)+IF(AND(59&gt;=Personnel!$E$35,Personnel!$G$35="Yes"),Personnel!$D$35*Personnel!$I$35,0)+IF(AND(59&gt;=Personnel!$E$36,Personnel!$G$36="Yes"),Personnel!$D$36*Personnel!$I$36,0)+IF(AND(59&gt;=Personnel!$E$37,Personnel!$G$37="Yes"),Personnel!$D$37*Personnel!$I$37,0)+IF(AND(59&gt;=Personnel!$E$38,Personnel!$G$38="Yes"),Personnel!$D$38*Personnel!$I$38,0))</f>
        <v/>
      </c>
      <c r="BJ18" s="8">
        <f>-(IF(AND(60&gt;=Personnel!$E$32,Personnel!$G$32="Yes"),Personnel!$D$32*Personnel!$I$32,0)+IF(AND(60&gt;=Personnel!$E$33,Personnel!$G$33="Yes"),Personnel!$D$33*Personnel!$I$33,0)+IF(AND(60&gt;=Personnel!$E$34,Personnel!$G$34="Yes"),Personnel!$D$34*Personnel!$I$34,0)+IF(AND(60&gt;=Personnel!$E$35,Personnel!$G$35="Yes"),Personnel!$D$35*Personnel!$I$35,0)+IF(AND(60&gt;=Personnel!$E$36,Personnel!$G$36="Yes"),Personnel!$D$36*Personnel!$I$36,0)+IF(AND(60&gt;=Personnel!$E$37,Personnel!$G$37="Yes"),Personnel!$D$37*Personnel!$I$37,0)+IF(AND(60&gt;=Personnel!$E$38,Personnel!$G$38="Yes"),Personnel!$D$38*Personnel!$I$38,0))</f>
        <v/>
      </c>
      <c r="BK18" s="8">
        <f>-(IF(AND(61&gt;=Personnel!$E$32,Personnel!$G$32="Yes"),Personnel!$D$32*Personnel!$I$32,0)+IF(AND(61&gt;=Personnel!$E$33,Personnel!$G$33="Yes"),Personnel!$D$33*Personnel!$I$33,0)+IF(AND(61&gt;=Personnel!$E$34,Personnel!$G$34="Yes"),Personnel!$D$34*Personnel!$I$34,0)+IF(AND(61&gt;=Personnel!$E$35,Personnel!$G$35="Yes"),Personnel!$D$35*Personnel!$I$35,0)+IF(AND(61&gt;=Personnel!$E$36,Personnel!$G$36="Yes"),Personnel!$D$36*Personnel!$I$36,0)+IF(AND(61&gt;=Personnel!$E$37,Personnel!$G$37="Yes"),Personnel!$D$37*Personnel!$I$37,0)+IF(AND(61&gt;=Personnel!$E$38,Personnel!$G$38="Yes"),Personnel!$D$38*Personnel!$I$38,0))</f>
        <v/>
      </c>
      <c r="BL18" s="8">
        <f>-(IF(AND(62&gt;=Personnel!$E$32,Personnel!$G$32="Yes"),Personnel!$D$32*Personnel!$I$32,0)+IF(AND(62&gt;=Personnel!$E$33,Personnel!$G$33="Yes"),Personnel!$D$33*Personnel!$I$33,0)+IF(AND(62&gt;=Personnel!$E$34,Personnel!$G$34="Yes"),Personnel!$D$34*Personnel!$I$34,0)+IF(AND(62&gt;=Personnel!$E$35,Personnel!$G$35="Yes"),Personnel!$D$35*Personnel!$I$35,0)+IF(AND(62&gt;=Personnel!$E$36,Personnel!$G$36="Yes"),Personnel!$D$36*Personnel!$I$36,0)+IF(AND(62&gt;=Personnel!$E$37,Personnel!$G$37="Yes"),Personnel!$D$37*Personnel!$I$37,0)+IF(AND(62&gt;=Personnel!$E$38,Personnel!$G$38="Yes"),Personnel!$D$38*Personnel!$I$38,0))</f>
        <v/>
      </c>
      <c r="BM18" s="8">
        <f>-(IF(AND(63&gt;=Personnel!$E$32,Personnel!$G$32="Yes"),Personnel!$D$32*Personnel!$I$32,0)+IF(AND(63&gt;=Personnel!$E$33,Personnel!$G$33="Yes"),Personnel!$D$33*Personnel!$I$33,0)+IF(AND(63&gt;=Personnel!$E$34,Personnel!$G$34="Yes"),Personnel!$D$34*Personnel!$I$34,0)+IF(AND(63&gt;=Personnel!$E$35,Personnel!$G$35="Yes"),Personnel!$D$35*Personnel!$I$35,0)+IF(AND(63&gt;=Personnel!$E$36,Personnel!$G$36="Yes"),Personnel!$D$36*Personnel!$I$36,0)+IF(AND(63&gt;=Personnel!$E$37,Personnel!$G$37="Yes"),Personnel!$D$37*Personnel!$I$37,0)+IF(AND(63&gt;=Personnel!$E$38,Personnel!$G$38="Yes"),Personnel!$D$38*Personnel!$I$38,0))</f>
        <v/>
      </c>
      <c r="BN18" s="8">
        <f>-(IF(AND(64&gt;=Personnel!$E$32,Personnel!$G$32="Yes"),Personnel!$D$32*Personnel!$I$32,0)+IF(AND(64&gt;=Personnel!$E$33,Personnel!$G$33="Yes"),Personnel!$D$33*Personnel!$I$33,0)+IF(AND(64&gt;=Personnel!$E$34,Personnel!$G$34="Yes"),Personnel!$D$34*Personnel!$I$34,0)+IF(AND(64&gt;=Personnel!$E$35,Personnel!$G$35="Yes"),Personnel!$D$35*Personnel!$I$35,0)+IF(AND(64&gt;=Personnel!$E$36,Personnel!$G$36="Yes"),Personnel!$D$36*Personnel!$I$36,0)+IF(AND(64&gt;=Personnel!$E$37,Personnel!$G$37="Yes"),Personnel!$D$37*Personnel!$I$37,0)+IF(AND(64&gt;=Personnel!$E$38,Personnel!$G$38="Yes"),Personnel!$D$38*Personnel!$I$38,0))</f>
        <v/>
      </c>
      <c r="BO18" s="8">
        <f>-(IF(AND(65&gt;=Personnel!$E$32,Personnel!$G$32="Yes"),Personnel!$D$32*Personnel!$I$32,0)+IF(AND(65&gt;=Personnel!$E$33,Personnel!$G$33="Yes"),Personnel!$D$33*Personnel!$I$33,0)+IF(AND(65&gt;=Personnel!$E$34,Personnel!$G$34="Yes"),Personnel!$D$34*Personnel!$I$34,0)+IF(AND(65&gt;=Personnel!$E$35,Personnel!$G$35="Yes"),Personnel!$D$35*Personnel!$I$35,0)+IF(AND(65&gt;=Personnel!$E$36,Personnel!$G$36="Yes"),Personnel!$D$36*Personnel!$I$36,0)+IF(AND(65&gt;=Personnel!$E$37,Personnel!$G$37="Yes"),Personnel!$D$37*Personnel!$I$37,0)+IF(AND(65&gt;=Personnel!$E$38,Personnel!$G$38="Yes"),Personnel!$D$38*Personnel!$I$38,0))</f>
        <v/>
      </c>
      <c r="BP18" s="8">
        <f>-(IF(AND(66&gt;=Personnel!$E$32,Personnel!$G$32="Yes"),Personnel!$D$32*Personnel!$I$32,0)+IF(AND(66&gt;=Personnel!$E$33,Personnel!$G$33="Yes"),Personnel!$D$33*Personnel!$I$33,0)+IF(AND(66&gt;=Personnel!$E$34,Personnel!$G$34="Yes"),Personnel!$D$34*Personnel!$I$34,0)+IF(AND(66&gt;=Personnel!$E$35,Personnel!$G$35="Yes"),Personnel!$D$35*Personnel!$I$35,0)+IF(AND(66&gt;=Personnel!$E$36,Personnel!$G$36="Yes"),Personnel!$D$36*Personnel!$I$36,0)+IF(AND(66&gt;=Personnel!$E$37,Personnel!$G$37="Yes"),Personnel!$D$37*Personnel!$I$37,0)+IF(AND(66&gt;=Personnel!$E$38,Personnel!$G$38="Yes"),Personnel!$D$38*Personnel!$I$38,0))</f>
        <v/>
      </c>
      <c r="BQ18" s="8">
        <f>-(IF(AND(67&gt;=Personnel!$E$32,Personnel!$G$32="Yes"),Personnel!$D$32*Personnel!$I$32,0)+IF(AND(67&gt;=Personnel!$E$33,Personnel!$G$33="Yes"),Personnel!$D$33*Personnel!$I$33,0)+IF(AND(67&gt;=Personnel!$E$34,Personnel!$G$34="Yes"),Personnel!$D$34*Personnel!$I$34,0)+IF(AND(67&gt;=Personnel!$E$35,Personnel!$G$35="Yes"),Personnel!$D$35*Personnel!$I$35,0)+IF(AND(67&gt;=Personnel!$E$36,Personnel!$G$36="Yes"),Personnel!$D$36*Personnel!$I$36,0)+IF(AND(67&gt;=Personnel!$E$37,Personnel!$G$37="Yes"),Personnel!$D$37*Personnel!$I$37,0)+IF(AND(67&gt;=Personnel!$E$38,Personnel!$G$38="Yes"),Personnel!$D$38*Personnel!$I$38,0))</f>
        <v/>
      </c>
      <c r="BR18" s="8">
        <f>-(IF(AND(68&gt;=Personnel!$E$32,Personnel!$G$32="Yes"),Personnel!$D$32*Personnel!$I$32,0)+IF(AND(68&gt;=Personnel!$E$33,Personnel!$G$33="Yes"),Personnel!$D$33*Personnel!$I$33,0)+IF(AND(68&gt;=Personnel!$E$34,Personnel!$G$34="Yes"),Personnel!$D$34*Personnel!$I$34,0)+IF(AND(68&gt;=Personnel!$E$35,Personnel!$G$35="Yes"),Personnel!$D$35*Personnel!$I$35,0)+IF(AND(68&gt;=Personnel!$E$36,Personnel!$G$36="Yes"),Personnel!$D$36*Personnel!$I$36,0)+IF(AND(68&gt;=Personnel!$E$37,Personnel!$G$37="Yes"),Personnel!$D$37*Personnel!$I$37,0)+IF(AND(68&gt;=Personnel!$E$38,Personnel!$G$38="Yes"),Personnel!$D$38*Personnel!$I$38,0))</f>
        <v/>
      </c>
      <c r="BS18" s="8">
        <f>-(IF(AND(69&gt;=Personnel!$E$32,Personnel!$G$32="Yes"),Personnel!$D$32*Personnel!$I$32,0)+IF(AND(69&gt;=Personnel!$E$33,Personnel!$G$33="Yes"),Personnel!$D$33*Personnel!$I$33,0)+IF(AND(69&gt;=Personnel!$E$34,Personnel!$G$34="Yes"),Personnel!$D$34*Personnel!$I$34,0)+IF(AND(69&gt;=Personnel!$E$35,Personnel!$G$35="Yes"),Personnel!$D$35*Personnel!$I$35,0)+IF(AND(69&gt;=Personnel!$E$36,Personnel!$G$36="Yes"),Personnel!$D$36*Personnel!$I$36,0)+IF(AND(69&gt;=Personnel!$E$37,Personnel!$G$37="Yes"),Personnel!$D$37*Personnel!$I$37,0)+IF(AND(69&gt;=Personnel!$E$38,Personnel!$G$38="Yes"),Personnel!$D$38*Personnel!$I$38,0))</f>
        <v/>
      </c>
      <c r="BT18" s="8">
        <f>-(IF(AND(70&gt;=Personnel!$E$32,Personnel!$G$32="Yes"),Personnel!$D$32*Personnel!$I$32,0)+IF(AND(70&gt;=Personnel!$E$33,Personnel!$G$33="Yes"),Personnel!$D$33*Personnel!$I$33,0)+IF(AND(70&gt;=Personnel!$E$34,Personnel!$G$34="Yes"),Personnel!$D$34*Personnel!$I$34,0)+IF(AND(70&gt;=Personnel!$E$35,Personnel!$G$35="Yes"),Personnel!$D$35*Personnel!$I$35,0)+IF(AND(70&gt;=Personnel!$E$36,Personnel!$G$36="Yes"),Personnel!$D$36*Personnel!$I$36,0)+IF(AND(70&gt;=Personnel!$E$37,Personnel!$G$37="Yes"),Personnel!$D$37*Personnel!$I$37,0)+IF(AND(70&gt;=Personnel!$E$38,Personnel!$G$38="Yes"),Personnel!$D$38*Personnel!$I$38,0))</f>
        <v/>
      </c>
      <c r="BU18" s="8">
        <f>-(IF(AND(71&gt;=Personnel!$E$32,Personnel!$G$32="Yes"),Personnel!$D$32*Personnel!$I$32,0)+IF(AND(71&gt;=Personnel!$E$33,Personnel!$G$33="Yes"),Personnel!$D$33*Personnel!$I$33,0)+IF(AND(71&gt;=Personnel!$E$34,Personnel!$G$34="Yes"),Personnel!$D$34*Personnel!$I$34,0)+IF(AND(71&gt;=Personnel!$E$35,Personnel!$G$35="Yes"),Personnel!$D$35*Personnel!$I$35,0)+IF(AND(71&gt;=Personnel!$E$36,Personnel!$G$36="Yes"),Personnel!$D$36*Personnel!$I$36,0)+IF(AND(71&gt;=Personnel!$E$37,Personnel!$G$37="Yes"),Personnel!$D$37*Personnel!$I$37,0)+IF(AND(71&gt;=Personnel!$E$38,Personnel!$G$38="Yes"),Personnel!$D$38*Personnel!$I$38,0))</f>
        <v/>
      </c>
      <c r="BV18" s="8">
        <f>-(IF(AND(72&gt;=Personnel!$E$32,Personnel!$G$32="Yes"),Personnel!$D$32*Personnel!$I$32,0)+IF(AND(72&gt;=Personnel!$E$33,Personnel!$G$33="Yes"),Personnel!$D$33*Personnel!$I$33,0)+IF(AND(72&gt;=Personnel!$E$34,Personnel!$G$34="Yes"),Personnel!$D$34*Personnel!$I$34,0)+IF(AND(72&gt;=Personnel!$E$35,Personnel!$G$35="Yes"),Personnel!$D$35*Personnel!$I$35,0)+IF(AND(72&gt;=Personnel!$E$36,Personnel!$G$36="Yes"),Personnel!$D$36*Personnel!$I$36,0)+IF(AND(72&gt;=Personnel!$E$37,Personnel!$G$37="Yes"),Personnel!$D$37*Personnel!$I$37,0)+IF(AND(72&gt;=Personnel!$E$38,Personnel!$G$38="Yes"),Personnel!$D$38*Personnel!$I$38,0))</f>
        <v/>
      </c>
      <c r="BW18" s="8">
        <f>-(IF(AND(73&gt;=Personnel!$E$32,Personnel!$G$32="Yes"),Personnel!$D$32*Personnel!$I$32,0)+IF(AND(73&gt;=Personnel!$E$33,Personnel!$G$33="Yes"),Personnel!$D$33*Personnel!$I$33,0)+IF(AND(73&gt;=Personnel!$E$34,Personnel!$G$34="Yes"),Personnel!$D$34*Personnel!$I$34,0)+IF(AND(73&gt;=Personnel!$E$35,Personnel!$G$35="Yes"),Personnel!$D$35*Personnel!$I$35,0)+IF(AND(73&gt;=Personnel!$E$36,Personnel!$G$36="Yes"),Personnel!$D$36*Personnel!$I$36,0)+IF(AND(73&gt;=Personnel!$E$37,Personnel!$G$37="Yes"),Personnel!$D$37*Personnel!$I$37,0)+IF(AND(73&gt;=Personnel!$E$38,Personnel!$G$38="Yes"),Personnel!$D$38*Personnel!$I$38,0))</f>
        <v/>
      </c>
      <c r="BX18" s="8">
        <f>-(IF(AND(74&gt;=Personnel!$E$32,Personnel!$G$32="Yes"),Personnel!$D$32*Personnel!$I$32,0)+IF(AND(74&gt;=Personnel!$E$33,Personnel!$G$33="Yes"),Personnel!$D$33*Personnel!$I$33,0)+IF(AND(74&gt;=Personnel!$E$34,Personnel!$G$34="Yes"),Personnel!$D$34*Personnel!$I$34,0)+IF(AND(74&gt;=Personnel!$E$35,Personnel!$G$35="Yes"),Personnel!$D$35*Personnel!$I$35,0)+IF(AND(74&gt;=Personnel!$E$36,Personnel!$G$36="Yes"),Personnel!$D$36*Personnel!$I$36,0)+IF(AND(74&gt;=Personnel!$E$37,Personnel!$G$37="Yes"),Personnel!$D$37*Personnel!$I$37,0)+IF(AND(74&gt;=Personnel!$E$38,Personnel!$G$38="Yes"),Personnel!$D$38*Personnel!$I$38,0))</f>
        <v/>
      </c>
      <c r="BY18" s="8">
        <f>-(IF(AND(75&gt;=Personnel!$E$32,Personnel!$G$32="Yes"),Personnel!$D$32*Personnel!$I$32,0)+IF(AND(75&gt;=Personnel!$E$33,Personnel!$G$33="Yes"),Personnel!$D$33*Personnel!$I$33,0)+IF(AND(75&gt;=Personnel!$E$34,Personnel!$G$34="Yes"),Personnel!$D$34*Personnel!$I$34,0)+IF(AND(75&gt;=Personnel!$E$35,Personnel!$G$35="Yes"),Personnel!$D$35*Personnel!$I$35,0)+IF(AND(75&gt;=Personnel!$E$36,Personnel!$G$36="Yes"),Personnel!$D$36*Personnel!$I$36,0)+IF(AND(75&gt;=Personnel!$E$37,Personnel!$G$37="Yes"),Personnel!$D$37*Personnel!$I$37,0)+IF(AND(75&gt;=Personnel!$E$38,Personnel!$G$38="Yes"),Personnel!$D$38*Personnel!$I$38,0))</f>
        <v/>
      </c>
      <c r="BZ18" s="8">
        <f>-(IF(AND(76&gt;=Personnel!$E$32,Personnel!$G$32="Yes"),Personnel!$D$32*Personnel!$I$32,0)+IF(AND(76&gt;=Personnel!$E$33,Personnel!$G$33="Yes"),Personnel!$D$33*Personnel!$I$33,0)+IF(AND(76&gt;=Personnel!$E$34,Personnel!$G$34="Yes"),Personnel!$D$34*Personnel!$I$34,0)+IF(AND(76&gt;=Personnel!$E$35,Personnel!$G$35="Yes"),Personnel!$D$35*Personnel!$I$35,0)+IF(AND(76&gt;=Personnel!$E$36,Personnel!$G$36="Yes"),Personnel!$D$36*Personnel!$I$36,0)+IF(AND(76&gt;=Personnel!$E$37,Personnel!$G$37="Yes"),Personnel!$D$37*Personnel!$I$37,0)+IF(AND(76&gt;=Personnel!$E$38,Personnel!$G$38="Yes"),Personnel!$D$38*Personnel!$I$38,0))</f>
        <v/>
      </c>
      <c r="CA18" s="8">
        <f>-(IF(AND(77&gt;=Personnel!$E$32,Personnel!$G$32="Yes"),Personnel!$D$32*Personnel!$I$32,0)+IF(AND(77&gt;=Personnel!$E$33,Personnel!$G$33="Yes"),Personnel!$D$33*Personnel!$I$33,0)+IF(AND(77&gt;=Personnel!$E$34,Personnel!$G$34="Yes"),Personnel!$D$34*Personnel!$I$34,0)+IF(AND(77&gt;=Personnel!$E$35,Personnel!$G$35="Yes"),Personnel!$D$35*Personnel!$I$35,0)+IF(AND(77&gt;=Personnel!$E$36,Personnel!$G$36="Yes"),Personnel!$D$36*Personnel!$I$36,0)+IF(AND(77&gt;=Personnel!$E$37,Personnel!$G$37="Yes"),Personnel!$D$37*Personnel!$I$37,0)+IF(AND(77&gt;=Personnel!$E$38,Personnel!$G$38="Yes"),Personnel!$D$38*Personnel!$I$38,0))</f>
        <v/>
      </c>
      <c r="CB18" s="8">
        <f>-(IF(AND(78&gt;=Personnel!$E$32,Personnel!$G$32="Yes"),Personnel!$D$32*Personnel!$I$32,0)+IF(AND(78&gt;=Personnel!$E$33,Personnel!$G$33="Yes"),Personnel!$D$33*Personnel!$I$33,0)+IF(AND(78&gt;=Personnel!$E$34,Personnel!$G$34="Yes"),Personnel!$D$34*Personnel!$I$34,0)+IF(AND(78&gt;=Personnel!$E$35,Personnel!$G$35="Yes"),Personnel!$D$35*Personnel!$I$35,0)+IF(AND(78&gt;=Personnel!$E$36,Personnel!$G$36="Yes"),Personnel!$D$36*Personnel!$I$36,0)+IF(AND(78&gt;=Personnel!$E$37,Personnel!$G$37="Yes"),Personnel!$D$37*Personnel!$I$37,0)+IF(AND(78&gt;=Personnel!$E$38,Personnel!$G$38="Yes"),Personnel!$D$38*Personnel!$I$38,0))</f>
        <v/>
      </c>
      <c r="CC18" s="8">
        <f>-(IF(AND(79&gt;=Personnel!$E$32,Personnel!$G$32="Yes"),Personnel!$D$32*Personnel!$I$32,0)+IF(AND(79&gt;=Personnel!$E$33,Personnel!$G$33="Yes"),Personnel!$D$33*Personnel!$I$33,0)+IF(AND(79&gt;=Personnel!$E$34,Personnel!$G$34="Yes"),Personnel!$D$34*Personnel!$I$34,0)+IF(AND(79&gt;=Personnel!$E$35,Personnel!$G$35="Yes"),Personnel!$D$35*Personnel!$I$35,0)+IF(AND(79&gt;=Personnel!$E$36,Personnel!$G$36="Yes"),Personnel!$D$36*Personnel!$I$36,0)+IF(AND(79&gt;=Personnel!$E$37,Personnel!$G$37="Yes"),Personnel!$D$37*Personnel!$I$37,0)+IF(AND(79&gt;=Personnel!$E$38,Personnel!$G$38="Yes"),Personnel!$D$38*Personnel!$I$38,0))</f>
        <v/>
      </c>
      <c r="CD18" s="8">
        <f>-(IF(AND(80&gt;=Personnel!$E$32,Personnel!$G$32="Yes"),Personnel!$D$32*Personnel!$I$32,0)+IF(AND(80&gt;=Personnel!$E$33,Personnel!$G$33="Yes"),Personnel!$D$33*Personnel!$I$33,0)+IF(AND(80&gt;=Personnel!$E$34,Personnel!$G$34="Yes"),Personnel!$D$34*Personnel!$I$34,0)+IF(AND(80&gt;=Personnel!$E$35,Personnel!$G$35="Yes"),Personnel!$D$35*Personnel!$I$35,0)+IF(AND(80&gt;=Personnel!$E$36,Personnel!$G$36="Yes"),Personnel!$D$36*Personnel!$I$36,0)+IF(AND(80&gt;=Personnel!$E$37,Personnel!$G$37="Yes"),Personnel!$D$37*Personnel!$I$37,0)+IF(AND(80&gt;=Personnel!$E$38,Personnel!$G$38="Yes"),Personnel!$D$38*Personnel!$I$38,0))</f>
        <v/>
      </c>
      <c r="CE18" s="8">
        <f>-(IF(AND(81&gt;=Personnel!$E$32,Personnel!$G$32="Yes"),Personnel!$D$32*Personnel!$I$32,0)+IF(AND(81&gt;=Personnel!$E$33,Personnel!$G$33="Yes"),Personnel!$D$33*Personnel!$I$33,0)+IF(AND(81&gt;=Personnel!$E$34,Personnel!$G$34="Yes"),Personnel!$D$34*Personnel!$I$34,0)+IF(AND(81&gt;=Personnel!$E$35,Personnel!$G$35="Yes"),Personnel!$D$35*Personnel!$I$35,0)+IF(AND(81&gt;=Personnel!$E$36,Personnel!$G$36="Yes"),Personnel!$D$36*Personnel!$I$36,0)+IF(AND(81&gt;=Personnel!$E$37,Personnel!$G$37="Yes"),Personnel!$D$37*Personnel!$I$37,0)+IF(AND(81&gt;=Personnel!$E$38,Personnel!$G$38="Yes"),Personnel!$D$38*Personnel!$I$38,0))</f>
        <v/>
      </c>
      <c r="CF18" s="8">
        <f>-(IF(AND(82&gt;=Personnel!$E$32,Personnel!$G$32="Yes"),Personnel!$D$32*Personnel!$I$32,0)+IF(AND(82&gt;=Personnel!$E$33,Personnel!$G$33="Yes"),Personnel!$D$33*Personnel!$I$33,0)+IF(AND(82&gt;=Personnel!$E$34,Personnel!$G$34="Yes"),Personnel!$D$34*Personnel!$I$34,0)+IF(AND(82&gt;=Personnel!$E$35,Personnel!$G$35="Yes"),Personnel!$D$35*Personnel!$I$35,0)+IF(AND(82&gt;=Personnel!$E$36,Personnel!$G$36="Yes"),Personnel!$D$36*Personnel!$I$36,0)+IF(AND(82&gt;=Personnel!$E$37,Personnel!$G$37="Yes"),Personnel!$D$37*Personnel!$I$37,0)+IF(AND(82&gt;=Personnel!$E$38,Personnel!$G$38="Yes"),Personnel!$D$38*Personnel!$I$38,0))</f>
        <v/>
      </c>
      <c r="CG18" s="8">
        <f>-(IF(AND(83&gt;=Personnel!$E$32,Personnel!$G$32="Yes"),Personnel!$D$32*Personnel!$I$32,0)+IF(AND(83&gt;=Personnel!$E$33,Personnel!$G$33="Yes"),Personnel!$D$33*Personnel!$I$33,0)+IF(AND(83&gt;=Personnel!$E$34,Personnel!$G$34="Yes"),Personnel!$D$34*Personnel!$I$34,0)+IF(AND(83&gt;=Personnel!$E$35,Personnel!$G$35="Yes"),Personnel!$D$35*Personnel!$I$35,0)+IF(AND(83&gt;=Personnel!$E$36,Personnel!$G$36="Yes"),Personnel!$D$36*Personnel!$I$36,0)+IF(AND(83&gt;=Personnel!$E$37,Personnel!$G$37="Yes"),Personnel!$D$37*Personnel!$I$37,0)+IF(AND(83&gt;=Personnel!$E$38,Personnel!$G$38="Yes"),Personnel!$D$38*Personnel!$I$38,0))</f>
        <v/>
      </c>
      <c r="CH18" s="8">
        <f>-(IF(AND(84&gt;=Personnel!$E$32,Personnel!$G$32="Yes"),Personnel!$D$32*Personnel!$I$32,0)+IF(AND(84&gt;=Personnel!$E$33,Personnel!$G$33="Yes"),Personnel!$D$33*Personnel!$I$33,0)+IF(AND(84&gt;=Personnel!$E$34,Personnel!$G$34="Yes"),Personnel!$D$34*Personnel!$I$34,0)+IF(AND(84&gt;=Personnel!$E$35,Personnel!$G$35="Yes"),Personnel!$D$35*Personnel!$I$35,0)+IF(AND(84&gt;=Personnel!$E$36,Personnel!$G$36="Yes"),Personnel!$D$36*Personnel!$I$36,0)+IF(AND(84&gt;=Personnel!$E$37,Personnel!$G$37="Yes"),Personnel!$D$37*Personnel!$I$37,0)+IF(AND(84&gt;=Personnel!$E$38,Personnel!$G$38="Yes"),Personnel!$D$38*Personnel!$I$38,0))</f>
        <v/>
      </c>
      <c r="CI18" s="23" t="n"/>
    </row>
    <row r="19" ht="15" customHeight="1" s="201">
      <c r="A19" s="7" t="inlineStr">
        <is>
          <t>GC Payroll Tax</t>
        </is>
      </c>
      <c r="B19" s="22" t="n"/>
      <c r="C19" s="8">
        <f>-Helpers!C4*Assumptions!$B$20</f>
        <v/>
      </c>
      <c r="D19" s="8">
        <f>-Helpers!D4*Assumptions!$B$20</f>
        <v/>
      </c>
      <c r="E19" s="8">
        <f>-Helpers!E4*Assumptions!$B$20</f>
        <v/>
      </c>
      <c r="F19" s="8">
        <f>-Helpers!F4*Assumptions!$B$20</f>
        <v/>
      </c>
      <c r="G19" s="8">
        <f>-Helpers!G4*Assumptions!$B$20</f>
        <v/>
      </c>
      <c r="H19" s="8">
        <f>-Helpers!H4*Assumptions!$B$20</f>
        <v/>
      </c>
      <c r="I19" s="8">
        <f>-Helpers!I4*Assumptions!$B$20</f>
        <v/>
      </c>
      <c r="J19" s="8">
        <f>-Helpers!J4*Assumptions!$B$20</f>
        <v/>
      </c>
      <c r="K19" s="8">
        <f>-Helpers!K4*Assumptions!$B$20</f>
        <v/>
      </c>
      <c r="L19" s="8">
        <f>-Helpers!L4*Assumptions!$B$20</f>
        <v/>
      </c>
      <c r="M19" s="8">
        <f>-Helpers!M4*Assumptions!$B$20</f>
        <v/>
      </c>
      <c r="N19" s="8">
        <f>-Helpers!N4*Assumptions!$B$20</f>
        <v/>
      </c>
      <c r="O19" s="8">
        <f>-Helpers!O4*Assumptions!$B$20</f>
        <v/>
      </c>
      <c r="P19" s="8">
        <f>-Helpers!P4*Assumptions!$B$20</f>
        <v/>
      </c>
      <c r="Q19" s="8">
        <f>-Helpers!Q4*Assumptions!$B$20</f>
        <v/>
      </c>
      <c r="R19" s="8">
        <f>-Helpers!R4*Assumptions!$B$20</f>
        <v/>
      </c>
      <c r="S19" s="8">
        <f>-Helpers!S4*Assumptions!$B$20</f>
        <v/>
      </c>
      <c r="T19" s="8">
        <f>-Helpers!T4*Assumptions!$B$20</f>
        <v/>
      </c>
      <c r="U19" s="8">
        <f>-Helpers!U4*Assumptions!$B$20</f>
        <v/>
      </c>
      <c r="V19" s="8">
        <f>-Helpers!V4*Assumptions!$B$20</f>
        <v/>
      </c>
      <c r="W19" s="8">
        <f>-Helpers!W4*Assumptions!$B$20</f>
        <v/>
      </c>
      <c r="X19" s="8">
        <f>-Helpers!X4*Assumptions!$B$20</f>
        <v/>
      </c>
      <c r="Y19" s="8">
        <f>-Helpers!Y4*Assumptions!$B$20</f>
        <v/>
      </c>
      <c r="Z19" s="8">
        <f>-Helpers!Z4*Assumptions!$B$20</f>
        <v/>
      </c>
      <c r="AA19" s="8">
        <f>-Helpers!AA4*Assumptions!$B$20</f>
        <v/>
      </c>
      <c r="AB19" s="8">
        <f>-Helpers!AB4*Assumptions!$B$20</f>
        <v/>
      </c>
      <c r="AC19" s="8">
        <f>-Helpers!AC4*Assumptions!$B$20</f>
        <v/>
      </c>
      <c r="AD19" s="8">
        <f>-Helpers!AD4*Assumptions!$B$20</f>
        <v/>
      </c>
      <c r="AE19" s="8">
        <f>-Helpers!AE4*Assumptions!$B$20</f>
        <v/>
      </c>
      <c r="AF19" s="8">
        <f>-Helpers!AF4*Assumptions!$B$20</f>
        <v/>
      </c>
      <c r="AG19" s="8">
        <f>-Helpers!AG4*Assumptions!$B$20</f>
        <v/>
      </c>
      <c r="AH19" s="8">
        <f>-Helpers!AH4*Assumptions!$B$20</f>
        <v/>
      </c>
      <c r="AI19" s="8">
        <f>-Helpers!AI4*Assumptions!$B$20</f>
        <v/>
      </c>
      <c r="AJ19" s="8">
        <f>-Helpers!AJ4*Assumptions!$B$20</f>
        <v/>
      </c>
      <c r="AK19" s="8">
        <f>-Helpers!AK4*Assumptions!$B$20</f>
        <v/>
      </c>
      <c r="AL19" s="8">
        <f>-Helpers!AL4*Assumptions!$B$20</f>
        <v/>
      </c>
      <c r="AM19" s="8">
        <f>-Helpers!AM4*Assumptions!$B$20</f>
        <v/>
      </c>
      <c r="AN19" s="8">
        <f>-Helpers!AN4*Assumptions!$B$20</f>
        <v/>
      </c>
      <c r="AO19" s="8">
        <f>-Helpers!AO4*Assumptions!$B$20</f>
        <v/>
      </c>
      <c r="AP19" s="8">
        <f>-Helpers!AP4*Assumptions!$B$20</f>
        <v/>
      </c>
      <c r="AQ19" s="8">
        <f>-Helpers!AQ4*Assumptions!$B$20</f>
        <v/>
      </c>
      <c r="AR19" s="8">
        <f>-Helpers!AR4*Assumptions!$B$20</f>
        <v/>
      </c>
      <c r="AS19" s="8">
        <f>-Helpers!AS4*Assumptions!$B$20</f>
        <v/>
      </c>
      <c r="AT19" s="8">
        <f>-Helpers!AT4*Assumptions!$B$20</f>
        <v/>
      </c>
      <c r="AU19" s="8">
        <f>-Helpers!AU4*Assumptions!$B$20</f>
        <v/>
      </c>
      <c r="AV19" s="8">
        <f>-Helpers!AV4*Assumptions!$B$20</f>
        <v/>
      </c>
      <c r="AW19" s="8">
        <f>-Helpers!AW4*Assumptions!$B$20</f>
        <v/>
      </c>
      <c r="AX19" s="8">
        <f>-Helpers!AX4*Assumptions!$B$20</f>
        <v/>
      </c>
      <c r="AY19" s="8">
        <f>-Helpers!AY4*Assumptions!$B$20</f>
        <v/>
      </c>
      <c r="AZ19" s="8">
        <f>-Helpers!AZ4*Assumptions!$B$20</f>
        <v/>
      </c>
      <c r="BA19" s="8">
        <f>-Helpers!BA4*Assumptions!$B$20</f>
        <v/>
      </c>
      <c r="BB19" s="8">
        <f>-Helpers!BB4*Assumptions!$B$20</f>
        <v/>
      </c>
      <c r="BC19" s="8">
        <f>-Helpers!BC4*Assumptions!$B$20</f>
        <v/>
      </c>
      <c r="BD19" s="8">
        <f>-Helpers!BD4*Assumptions!$B$20</f>
        <v/>
      </c>
      <c r="BE19" s="8">
        <f>-Helpers!BE4*Assumptions!$B$20</f>
        <v/>
      </c>
      <c r="BF19" s="8">
        <f>-Helpers!BF4*Assumptions!$B$20</f>
        <v/>
      </c>
      <c r="BG19" s="8">
        <f>-Helpers!BG4*Assumptions!$B$20</f>
        <v/>
      </c>
      <c r="BH19" s="8">
        <f>-Helpers!BH4*Assumptions!$B$20</f>
        <v/>
      </c>
      <c r="BI19" s="8">
        <f>-Helpers!BI4*Assumptions!$B$20</f>
        <v/>
      </c>
      <c r="BJ19" s="8">
        <f>-Helpers!BJ4*Assumptions!$B$20</f>
        <v/>
      </c>
      <c r="BK19" s="8">
        <f>-Helpers!BK4*Assumptions!$B$20</f>
        <v/>
      </c>
      <c r="BL19" s="8">
        <f>-Helpers!BL4*Assumptions!$B$20</f>
        <v/>
      </c>
      <c r="BM19" s="8">
        <f>-Helpers!BM4*Assumptions!$B$20</f>
        <v/>
      </c>
      <c r="BN19" s="8">
        <f>-Helpers!BN4*Assumptions!$B$20</f>
        <v/>
      </c>
      <c r="BO19" s="8">
        <f>-Helpers!BO4*Assumptions!$B$20</f>
        <v/>
      </c>
      <c r="BP19" s="8">
        <f>-Helpers!BP4*Assumptions!$B$20</f>
        <v/>
      </c>
      <c r="BQ19" s="8">
        <f>-Helpers!BQ4*Assumptions!$B$20</f>
        <v/>
      </c>
      <c r="BR19" s="8">
        <f>-Helpers!BR4*Assumptions!$B$20</f>
        <v/>
      </c>
      <c r="BS19" s="8">
        <f>-Helpers!BS4*Assumptions!$B$20</f>
        <v/>
      </c>
      <c r="BT19" s="8">
        <f>-Helpers!BT4*Assumptions!$B$20</f>
        <v/>
      </c>
      <c r="BU19" s="8">
        <f>-Helpers!BU4*Assumptions!$B$20</f>
        <v/>
      </c>
      <c r="BV19" s="8">
        <f>-Helpers!BV4*Assumptions!$B$20</f>
        <v/>
      </c>
      <c r="BW19" s="8">
        <f>-Helpers!BW4*Assumptions!$B$20</f>
        <v/>
      </c>
      <c r="BX19" s="8">
        <f>-Helpers!BX4*Assumptions!$B$20</f>
        <v/>
      </c>
      <c r="BY19" s="8">
        <f>-Helpers!BY4*Assumptions!$B$20</f>
        <v/>
      </c>
      <c r="BZ19" s="8">
        <f>-Helpers!BZ4*Assumptions!$B$20</f>
        <v/>
      </c>
      <c r="CA19" s="8">
        <f>-Helpers!CA4*Assumptions!$B$20</f>
        <v/>
      </c>
      <c r="CB19" s="8">
        <f>-Helpers!CB4*Assumptions!$B$20</f>
        <v/>
      </c>
      <c r="CC19" s="8">
        <f>-Helpers!CC4*Assumptions!$B$20</f>
        <v/>
      </c>
      <c r="CD19" s="8">
        <f>-Helpers!CD4*Assumptions!$B$20</f>
        <v/>
      </c>
      <c r="CE19" s="8">
        <f>-Helpers!CE4*Assumptions!$B$20</f>
        <v/>
      </c>
      <c r="CF19" s="8">
        <f>-Helpers!CF4*Assumptions!$B$20</f>
        <v/>
      </c>
      <c r="CG19" s="8">
        <f>-Helpers!CG4*Assumptions!$B$20</f>
        <v/>
      </c>
      <c r="CH19" s="8">
        <f>-Helpers!CH4*Assumptions!$B$20</f>
        <v/>
      </c>
      <c r="CI19" s="23" t="n"/>
    </row>
    <row r="20" ht="15" customHeight="1" s="201">
      <c r="A20" s="7" t="inlineStr">
        <is>
          <t>GC Payroll Servicing</t>
        </is>
      </c>
      <c r="B20" s="22" t="n"/>
      <c r="C20" s="8">
        <f>-Helpers!C4*Assumptions!$B$21</f>
        <v/>
      </c>
      <c r="D20" s="8">
        <f>-Helpers!D4*Assumptions!$B$21</f>
        <v/>
      </c>
      <c r="E20" s="8">
        <f>-Helpers!E4*Assumptions!$B$21</f>
        <v/>
      </c>
      <c r="F20" s="8">
        <f>-Helpers!F4*Assumptions!$B$21</f>
        <v/>
      </c>
      <c r="G20" s="8">
        <f>-Helpers!G4*Assumptions!$B$21</f>
        <v/>
      </c>
      <c r="H20" s="8">
        <f>-Helpers!H4*Assumptions!$B$21</f>
        <v/>
      </c>
      <c r="I20" s="8">
        <f>-Helpers!I4*Assumptions!$B$21</f>
        <v/>
      </c>
      <c r="J20" s="8">
        <f>-Helpers!J4*Assumptions!$B$21</f>
        <v/>
      </c>
      <c r="K20" s="8">
        <f>-Helpers!K4*Assumptions!$B$21</f>
        <v/>
      </c>
      <c r="L20" s="8">
        <f>-Helpers!L4*Assumptions!$B$21</f>
        <v/>
      </c>
      <c r="M20" s="8">
        <f>-Helpers!M4*Assumptions!$B$21</f>
        <v/>
      </c>
      <c r="N20" s="8">
        <f>-Helpers!N4*Assumptions!$B$21</f>
        <v/>
      </c>
      <c r="O20" s="8">
        <f>-Helpers!O4*Assumptions!$B$21</f>
        <v/>
      </c>
      <c r="P20" s="8">
        <f>-Helpers!P4*Assumptions!$B$21</f>
        <v/>
      </c>
      <c r="Q20" s="8">
        <f>-Helpers!Q4*Assumptions!$B$21</f>
        <v/>
      </c>
      <c r="R20" s="8">
        <f>-Helpers!R4*Assumptions!$B$21</f>
        <v/>
      </c>
      <c r="S20" s="8">
        <f>-Helpers!S4*Assumptions!$B$21</f>
        <v/>
      </c>
      <c r="T20" s="8">
        <f>-Helpers!T4*Assumptions!$B$21</f>
        <v/>
      </c>
      <c r="U20" s="8">
        <f>-Helpers!U4*Assumptions!$B$21</f>
        <v/>
      </c>
      <c r="V20" s="8">
        <f>-Helpers!V4*Assumptions!$B$21</f>
        <v/>
      </c>
      <c r="W20" s="8">
        <f>-Helpers!W4*Assumptions!$B$21</f>
        <v/>
      </c>
      <c r="X20" s="8">
        <f>-Helpers!X4*Assumptions!$B$21</f>
        <v/>
      </c>
      <c r="Y20" s="8">
        <f>-Helpers!Y4*Assumptions!$B$21</f>
        <v/>
      </c>
      <c r="Z20" s="8">
        <f>-Helpers!Z4*Assumptions!$B$21</f>
        <v/>
      </c>
      <c r="AA20" s="8">
        <f>-Helpers!AA4*Assumptions!$B$21</f>
        <v/>
      </c>
      <c r="AB20" s="8">
        <f>-Helpers!AB4*Assumptions!$B$21</f>
        <v/>
      </c>
      <c r="AC20" s="8">
        <f>-Helpers!AC4*Assumptions!$B$21</f>
        <v/>
      </c>
      <c r="AD20" s="8">
        <f>-Helpers!AD4*Assumptions!$B$21</f>
        <v/>
      </c>
      <c r="AE20" s="8">
        <f>-Helpers!AE4*Assumptions!$B$21</f>
        <v/>
      </c>
      <c r="AF20" s="8">
        <f>-Helpers!AF4*Assumptions!$B$21</f>
        <v/>
      </c>
      <c r="AG20" s="8">
        <f>-Helpers!AG4*Assumptions!$B$21</f>
        <v/>
      </c>
      <c r="AH20" s="8">
        <f>-Helpers!AH4*Assumptions!$B$21</f>
        <v/>
      </c>
      <c r="AI20" s="8">
        <f>-Helpers!AI4*Assumptions!$B$21</f>
        <v/>
      </c>
      <c r="AJ20" s="8">
        <f>-Helpers!AJ4*Assumptions!$B$21</f>
        <v/>
      </c>
      <c r="AK20" s="8">
        <f>-Helpers!AK4*Assumptions!$B$21</f>
        <v/>
      </c>
      <c r="AL20" s="8">
        <f>-Helpers!AL4*Assumptions!$B$21</f>
        <v/>
      </c>
      <c r="AM20" s="8">
        <f>-Helpers!AM4*Assumptions!$B$21</f>
        <v/>
      </c>
      <c r="AN20" s="8">
        <f>-Helpers!AN4*Assumptions!$B$21</f>
        <v/>
      </c>
      <c r="AO20" s="8">
        <f>-Helpers!AO4*Assumptions!$B$21</f>
        <v/>
      </c>
      <c r="AP20" s="8">
        <f>-Helpers!AP4*Assumptions!$B$21</f>
        <v/>
      </c>
      <c r="AQ20" s="8">
        <f>-Helpers!AQ4*Assumptions!$B$21</f>
        <v/>
      </c>
      <c r="AR20" s="8">
        <f>-Helpers!AR4*Assumptions!$B$21</f>
        <v/>
      </c>
      <c r="AS20" s="8">
        <f>-Helpers!AS4*Assumptions!$B$21</f>
        <v/>
      </c>
      <c r="AT20" s="8">
        <f>-Helpers!AT4*Assumptions!$B$21</f>
        <v/>
      </c>
      <c r="AU20" s="8">
        <f>-Helpers!AU4*Assumptions!$B$21</f>
        <v/>
      </c>
      <c r="AV20" s="8">
        <f>-Helpers!AV4*Assumptions!$B$21</f>
        <v/>
      </c>
      <c r="AW20" s="8">
        <f>-Helpers!AW4*Assumptions!$B$21</f>
        <v/>
      </c>
      <c r="AX20" s="8">
        <f>-Helpers!AX4*Assumptions!$B$21</f>
        <v/>
      </c>
      <c r="AY20" s="8">
        <f>-Helpers!AY4*Assumptions!$B$21</f>
        <v/>
      </c>
      <c r="AZ20" s="8">
        <f>-Helpers!AZ4*Assumptions!$B$21</f>
        <v/>
      </c>
      <c r="BA20" s="8">
        <f>-Helpers!BA4*Assumptions!$B$21</f>
        <v/>
      </c>
      <c r="BB20" s="8">
        <f>-Helpers!BB4*Assumptions!$B$21</f>
        <v/>
      </c>
      <c r="BC20" s="8">
        <f>-Helpers!BC4*Assumptions!$B$21</f>
        <v/>
      </c>
      <c r="BD20" s="8">
        <f>-Helpers!BD4*Assumptions!$B$21</f>
        <v/>
      </c>
      <c r="BE20" s="8">
        <f>-Helpers!BE4*Assumptions!$B$21</f>
        <v/>
      </c>
      <c r="BF20" s="8">
        <f>-Helpers!BF4*Assumptions!$B$21</f>
        <v/>
      </c>
      <c r="BG20" s="8">
        <f>-Helpers!BG4*Assumptions!$B$21</f>
        <v/>
      </c>
      <c r="BH20" s="8">
        <f>-Helpers!BH4*Assumptions!$B$21</f>
        <v/>
      </c>
      <c r="BI20" s="8">
        <f>-Helpers!BI4*Assumptions!$B$21</f>
        <v/>
      </c>
      <c r="BJ20" s="8">
        <f>-Helpers!BJ4*Assumptions!$B$21</f>
        <v/>
      </c>
      <c r="BK20" s="8">
        <f>-Helpers!BK4*Assumptions!$B$21</f>
        <v/>
      </c>
      <c r="BL20" s="8">
        <f>-Helpers!BL4*Assumptions!$B$21</f>
        <v/>
      </c>
      <c r="BM20" s="8">
        <f>-Helpers!BM4*Assumptions!$B$21</f>
        <v/>
      </c>
      <c r="BN20" s="8">
        <f>-Helpers!BN4*Assumptions!$B$21</f>
        <v/>
      </c>
      <c r="BO20" s="8">
        <f>-Helpers!BO4*Assumptions!$B$21</f>
        <v/>
      </c>
      <c r="BP20" s="8">
        <f>-Helpers!BP4*Assumptions!$B$21</f>
        <v/>
      </c>
      <c r="BQ20" s="8">
        <f>-Helpers!BQ4*Assumptions!$B$21</f>
        <v/>
      </c>
      <c r="BR20" s="8">
        <f>-Helpers!BR4*Assumptions!$B$21</f>
        <v/>
      </c>
      <c r="BS20" s="8">
        <f>-Helpers!BS4*Assumptions!$B$21</f>
        <v/>
      </c>
      <c r="BT20" s="8">
        <f>-Helpers!BT4*Assumptions!$B$21</f>
        <v/>
      </c>
      <c r="BU20" s="8">
        <f>-Helpers!BU4*Assumptions!$B$21</f>
        <v/>
      </c>
      <c r="BV20" s="8">
        <f>-Helpers!BV4*Assumptions!$B$21</f>
        <v/>
      </c>
      <c r="BW20" s="8">
        <f>-Helpers!BW4*Assumptions!$B$21</f>
        <v/>
      </c>
      <c r="BX20" s="8">
        <f>-Helpers!BX4*Assumptions!$B$21</f>
        <v/>
      </c>
      <c r="BY20" s="8">
        <f>-Helpers!BY4*Assumptions!$B$21</f>
        <v/>
      </c>
      <c r="BZ20" s="8">
        <f>-Helpers!BZ4*Assumptions!$B$21</f>
        <v/>
      </c>
      <c r="CA20" s="8">
        <f>-Helpers!CA4*Assumptions!$B$21</f>
        <v/>
      </c>
      <c r="CB20" s="8">
        <f>-Helpers!CB4*Assumptions!$B$21</f>
        <v/>
      </c>
      <c r="CC20" s="8">
        <f>-Helpers!CC4*Assumptions!$B$21</f>
        <v/>
      </c>
      <c r="CD20" s="8">
        <f>-Helpers!CD4*Assumptions!$B$21</f>
        <v/>
      </c>
      <c r="CE20" s="8">
        <f>-Helpers!CE4*Assumptions!$B$21</f>
        <v/>
      </c>
      <c r="CF20" s="8">
        <f>-Helpers!CF4*Assumptions!$B$21</f>
        <v/>
      </c>
      <c r="CG20" s="8">
        <f>-Helpers!CG4*Assumptions!$B$21</f>
        <v/>
      </c>
      <c r="CH20" s="8">
        <f>-Helpers!CH4*Assumptions!$B$21</f>
        <v/>
      </c>
      <c r="CI20" s="23" t="n"/>
    </row>
    <row r="21" ht="15" customHeight="1" s="201">
      <c r="A21" s="7" t="inlineStr">
        <is>
          <t>GC Employee Benefits</t>
        </is>
      </c>
      <c r="B21" s="22" t="n"/>
      <c r="C21" s="8">
        <f>-Helpers!C4*Assumptions!$B$22</f>
        <v/>
      </c>
      <c r="D21" s="8">
        <f>-Helpers!D4*Assumptions!$B$22</f>
        <v/>
      </c>
      <c r="E21" s="8">
        <f>-Helpers!E4*Assumptions!$B$22</f>
        <v/>
      </c>
      <c r="F21" s="8">
        <f>-Helpers!F4*Assumptions!$B$22</f>
        <v/>
      </c>
      <c r="G21" s="8">
        <f>-Helpers!G4*Assumptions!$B$22</f>
        <v/>
      </c>
      <c r="H21" s="8">
        <f>-Helpers!H4*Assumptions!$B$22</f>
        <v/>
      </c>
      <c r="I21" s="8">
        <f>-Helpers!I4*Assumptions!$B$22</f>
        <v/>
      </c>
      <c r="J21" s="8">
        <f>-Helpers!J4*Assumptions!$B$22</f>
        <v/>
      </c>
      <c r="K21" s="8">
        <f>-Helpers!K4*Assumptions!$B$22</f>
        <v/>
      </c>
      <c r="L21" s="8">
        <f>-Helpers!L4*Assumptions!$B$22</f>
        <v/>
      </c>
      <c r="M21" s="8">
        <f>-Helpers!M4*Assumptions!$B$22</f>
        <v/>
      </c>
      <c r="N21" s="8">
        <f>-Helpers!N4*Assumptions!$B$22</f>
        <v/>
      </c>
      <c r="O21" s="8">
        <f>-Helpers!O4*Assumptions!$B$22</f>
        <v/>
      </c>
      <c r="P21" s="8">
        <f>-Helpers!P4*Assumptions!$B$22</f>
        <v/>
      </c>
      <c r="Q21" s="8">
        <f>-Helpers!Q4*Assumptions!$B$22</f>
        <v/>
      </c>
      <c r="R21" s="8">
        <f>-Helpers!R4*Assumptions!$B$22</f>
        <v/>
      </c>
      <c r="S21" s="8">
        <f>-Helpers!S4*Assumptions!$B$22</f>
        <v/>
      </c>
      <c r="T21" s="8">
        <f>-Helpers!T4*Assumptions!$B$22</f>
        <v/>
      </c>
      <c r="U21" s="8">
        <f>-Helpers!U4*Assumptions!$B$22</f>
        <v/>
      </c>
      <c r="V21" s="8">
        <f>-Helpers!V4*Assumptions!$B$22</f>
        <v/>
      </c>
      <c r="W21" s="8">
        <f>-Helpers!W4*Assumptions!$B$22</f>
        <v/>
      </c>
      <c r="X21" s="8">
        <f>-Helpers!X4*Assumptions!$B$22</f>
        <v/>
      </c>
      <c r="Y21" s="8">
        <f>-Helpers!Y4*Assumptions!$B$22</f>
        <v/>
      </c>
      <c r="Z21" s="8">
        <f>-Helpers!Z4*Assumptions!$B$22</f>
        <v/>
      </c>
      <c r="AA21" s="8">
        <f>-Helpers!AA4*Assumptions!$B$22</f>
        <v/>
      </c>
      <c r="AB21" s="8">
        <f>-Helpers!AB4*Assumptions!$B$22</f>
        <v/>
      </c>
      <c r="AC21" s="8">
        <f>-Helpers!AC4*Assumptions!$B$22</f>
        <v/>
      </c>
      <c r="AD21" s="8">
        <f>-Helpers!AD4*Assumptions!$B$22</f>
        <v/>
      </c>
      <c r="AE21" s="8">
        <f>-Helpers!AE4*Assumptions!$B$22</f>
        <v/>
      </c>
      <c r="AF21" s="8">
        <f>-Helpers!AF4*Assumptions!$B$22</f>
        <v/>
      </c>
      <c r="AG21" s="8">
        <f>-Helpers!AG4*Assumptions!$B$22</f>
        <v/>
      </c>
      <c r="AH21" s="8">
        <f>-Helpers!AH4*Assumptions!$B$22</f>
        <v/>
      </c>
      <c r="AI21" s="8">
        <f>-Helpers!AI4*Assumptions!$B$22</f>
        <v/>
      </c>
      <c r="AJ21" s="8">
        <f>-Helpers!AJ4*Assumptions!$B$22</f>
        <v/>
      </c>
      <c r="AK21" s="8">
        <f>-Helpers!AK4*Assumptions!$B$22</f>
        <v/>
      </c>
      <c r="AL21" s="8">
        <f>-Helpers!AL4*Assumptions!$B$22</f>
        <v/>
      </c>
      <c r="AM21" s="8">
        <f>-Helpers!AM4*Assumptions!$B$22</f>
        <v/>
      </c>
      <c r="AN21" s="8">
        <f>-Helpers!AN4*Assumptions!$B$22</f>
        <v/>
      </c>
      <c r="AO21" s="8">
        <f>-Helpers!AO4*Assumptions!$B$22</f>
        <v/>
      </c>
      <c r="AP21" s="8">
        <f>-Helpers!AP4*Assumptions!$B$22</f>
        <v/>
      </c>
      <c r="AQ21" s="8">
        <f>-Helpers!AQ4*Assumptions!$B$22</f>
        <v/>
      </c>
      <c r="AR21" s="8">
        <f>-Helpers!AR4*Assumptions!$B$22</f>
        <v/>
      </c>
      <c r="AS21" s="8">
        <f>-Helpers!AS4*Assumptions!$B$22</f>
        <v/>
      </c>
      <c r="AT21" s="8">
        <f>-Helpers!AT4*Assumptions!$B$22</f>
        <v/>
      </c>
      <c r="AU21" s="8">
        <f>-Helpers!AU4*Assumptions!$B$22</f>
        <v/>
      </c>
      <c r="AV21" s="8">
        <f>-Helpers!AV4*Assumptions!$B$22</f>
        <v/>
      </c>
      <c r="AW21" s="8">
        <f>-Helpers!AW4*Assumptions!$B$22</f>
        <v/>
      </c>
      <c r="AX21" s="8">
        <f>-Helpers!AX4*Assumptions!$B$22</f>
        <v/>
      </c>
      <c r="AY21" s="8">
        <f>-Helpers!AY4*Assumptions!$B$22</f>
        <v/>
      </c>
      <c r="AZ21" s="8">
        <f>-Helpers!AZ4*Assumptions!$B$22</f>
        <v/>
      </c>
      <c r="BA21" s="8">
        <f>-Helpers!BA4*Assumptions!$B$22</f>
        <v/>
      </c>
      <c r="BB21" s="8">
        <f>-Helpers!BB4*Assumptions!$B$22</f>
        <v/>
      </c>
      <c r="BC21" s="8">
        <f>-Helpers!BC4*Assumptions!$B$22</f>
        <v/>
      </c>
      <c r="BD21" s="8">
        <f>-Helpers!BD4*Assumptions!$B$22</f>
        <v/>
      </c>
      <c r="BE21" s="8">
        <f>-Helpers!BE4*Assumptions!$B$22</f>
        <v/>
      </c>
      <c r="BF21" s="8">
        <f>-Helpers!BF4*Assumptions!$B$22</f>
        <v/>
      </c>
      <c r="BG21" s="8">
        <f>-Helpers!BG4*Assumptions!$B$22</f>
        <v/>
      </c>
      <c r="BH21" s="8">
        <f>-Helpers!BH4*Assumptions!$B$22</f>
        <v/>
      </c>
      <c r="BI21" s="8">
        <f>-Helpers!BI4*Assumptions!$B$22</f>
        <v/>
      </c>
      <c r="BJ21" s="8">
        <f>-Helpers!BJ4*Assumptions!$B$22</f>
        <v/>
      </c>
      <c r="BK21" s="8">
        <f>-Helpers!BK4*Assumptions!$B$22</f>
        <v/>
      </c>
      <c r="BL21" s="8">
        <f>-Helpers!BL4*Assumptions!$B$22</f>
        <v/>
      </c>
      <c r="BM21" s="8">
        <f>-Helpers!BM4*Assumptions!$B$22</f>
        <v/>
      </c>
      <c r="BN21" s="8">
        <f>-Helpers!BN4*Assumptions!$B$22</f>
        <v/>
      </c>
      <c r="BO21" s="8">
        <f>-Helpers!BO4*Assumptions!$B$22</f>
        <v/>
      </c>
      <c r="BP21" s="8">
        <f>-Helpers!BP4*Assumptions!$B$22</f>
        <v/>
      </c>
      <c r="BQ21" s="8">
        <f>-Helpers!BQ4*Assumptions!$B$22</f>
        <v/>
      </c>
      <c r="BR21" s="8">
        <f>-Helpers!BR4*Assumptions!$B$22</f>
        <v/>
      </c>
      <c r="BS21" s="8">
        <f>-Helpers!BS4*Assumptions!$B$22</f>
        <v/>
      </c>
      <c r="BT21" s="8">
        <f>-Helpers!BT4*Assumptions!$B$22</f>
        <v/>
      </c>
      <c r="BU21" s="8">
        <f>-Helpers!BU4*Assumptions!$B$22</f>
        <v/>
      </c>
      <c r="BV21" s="8">
        <f>-Helpers!BV4*Assumptions!$B$22</f>
        <v/>
      </c>
      <c r="BW21" s="8">
        <f>-Helpers!BW4*Assumptions!$B$22</f>
        <v/>
      </c>
      <c r="BX21" s="8">
        <f>-Helpers!BX4*Assumptions!$B$22</f>
        <v/>
      </c>
      <c r="BY21" s="8">
        <f>-Helpers!BY4*Assumptions!$B$22</f>
        <v/>
      </c>
      <c r="BZ21" s="8">
        <f>-Helpers!BZ4*Assumptions!$B$22</f>
        <v/>
      </c>
      <c r="CA21" s="8">
        <f>-Helpers!CA4*Assumptions!$B$22</f>
        <v/>
      </c>
      <c r="CB21" s="8">
        <f>-Helpers!CB4*Assumptions!$B$22</f>
        <v/>
      </c>
      <c r="CC21" s="8">
        <f>-Helpers!CC4*Assumptions!$B$22</f>
        <v/>
      </c>
      <c r="CD21" s="8">
        <f>-Helpers!CD4*Assumptions!$B$22</f>
        <v/>
      </c>
      <c r="CE21" s="8">
        <f>-Helpers!CE4*Assumptions!$B$22</f>
        <v/>
      </c>
      <c r="CF21" s="8">
        <f>-Helpers!CF4*Assumptions!$B$22</f>
        <v/>
      </c>
      <c r="CG21" s="8">
        <f>-Helpers!CG4*Assumptions!$B$22</f>
        <v/>
      </c>
      <c r="CH21" s="8">
        <f>-Helpers!CH4*Assumptions!$B$22</f>
        <v/>
      </c>
      <c r="CI21" s="23" t="n"/>
    </row>
    <row r="22" ht="15" customHeight="1" s="201">
      <c r="A22" s="7" t="inlineStr">
        <is>
          <t>GC Workers Comp</t>
        </is>
      </c>
      <c r="B22" s="22" t="n"/>
      <c r="C22" s="8">
        <f>-Helpers!C4*Assumptions!$B$23</f>
        <v/>
      </c>
      <c r="D22" s="8">
        <f>-Helpers!D4*Assumptions!$B$23</f>
        <v/>
      </c>
      <c r="E22" s="8">
        <f>-Helpers!E4*Assumptions!$B$23</f>
        <v/>
      </c>
      <c r="F22" s="8">
        <f>-Helpers!F4*Assumptions!$B$23</f>
        <v/>
      </c>
      <c r="G22" s="8">
        <f>-Helpers!G4*Assumptions!$B$23</f>
        <v/>
      </c>
      <c r="H22" s="8">
        <f>-Helpers!H4*Assumptions!$B$23</f>
        <v/>
      </c>
      <c r="I22" s="8">
        <f>-Helpers!I4*Assumptions!$B$23</f>
        <v/>
      </c>
      <c r="J22" s="8">
        <f>-Helpers!J4*Assumptions!$B$23</f>
        <v/>
      </c>
      <c r="K22" s="8">
        <f>-Helpers!K4*Assumptions!$B$23</f>
        <v/>
      </c>
      <c r="L22" s="8">
        <f>-Helpers!L4*Assumptions!$B$23</f>
        <v/>
      </c>
      <c r="M22" s="8">
        <f>-Helpers!M4*Assumptions!$B$23</f>
        <v/>
      </c>
      <c r="N22" s="8">
        <f>-Helpers!N4*Assumptions!$B$23</f>
        <v/>
      </c>
      <c r="O22" s="8">
        <f>-Helpers!O4*Assumptions!$B$23</f>
        <v/>
      </c>
      <c r="P22" s="8">
        <f>-Helpers!P4*Assumptions!$B$23</f>
        <v/>
      </c>
      <c r="Q22" s="8">
        <f>-Helpers!Q4*Assumptions!$B$23</f>
        <v/>
      </c>
      <c r="R22" s="8">
        <f>-Helpers!R4*Assumptions!$B$23</f>
        <v/>
      </c>
      <c r="S22" s="8">
        <f>-Helpers!S4*Assumptions!$B$23</f>
        <v/>
      </c>
      <c r="T22" s="8">
        <f>-Helpers!T4*Assumptions!$B$23</f>
        <v/>
      </c>
      <c r="U22" s="8">
        <f>-Helpers!U4*Assumptions!$B$23</f>
        <v/>
      </c>
      <c r="V22" s="8">
        <f>-Helpers!V4*Assumptions!$B$23</f>
        <v/>
      </c>
      <c r="W22" s="8">
        <f>-Helpers!W4*Assumptions!$B$23</f>
        <v/>
      </c>
      <c r="X22" s="8">
        <f>-Helpers!X4*Assumptions!$B$23</f>
        <v/>
      </c>
      <c r="Y22" s="8">
        <f>-Helpers!Y4*Assumptions!$B$23</f>
        <v/>
      </c>
      <c r="Z22" s="8">
        <f>-Helpers!Z4*Assumptions!$B$23</f>
        <v/>
      </c>
      <c r="AA22" s="8">
        <f>-Helpers!AA4*Assumptions!$B$23</f>
        <v/>
      </c>
      <c r="AB22" s="8">
        <f>-Helpers!AB4*Assumptions!$B$23</f>
        <v/>
      </c>
      <c r="AC22" s="8">
        <f>-Helpers!AC4*Assumptions!$B$23</f>
        <v/>
      </c>
      <c r="AD22" s="8">
        <f>-Helpers!AD4*Assumptions!$B$23</f>
        <v/>
      </c>
      <c r="AE22" s="8">
        <f>-Helpers!AE4*Assumptions!$B$23</f>
        <v/>
      </c>
      <c r="AF22" s="8">
        <f>-Helpers!AF4*Assumptions!$B$23</f>
        <v/>
      </c>
      <c r="AG22" s="8">
        <f>-Helpers!AG4*Assumptions!$B$23</f>
        <v/>
      </c>
      <c r="AH22" s="8">
        <f>-Helpers!AH4*Assumptions!$B$23</f>
        <v/>
      </c>
      <c r="AI22" s="8">
        <f>-Helpers!AI4*Assumptions!$B$23</f>
        <v/>
      </c>
      <c r="AJ22" s="8">
        <f>-Helpers!AJ4*Assumptions!$B$23</f>
        <v/>
      </c>
      <c r="AK22" s="8">
        <f>-Helpers!AK4*Assumptions!$B$23</f>
        <v/>
      </c>
      <c r="AL22" s="8">
        <f>-Helpers!AL4*Assumptions!$B$23</f>
        <v/>
      </c>
      <c r="AM22" s="8">
        <f>-Helpers!AM4*Assumptions!$B$23</f>
        <v/>
      </c>
      <c r="AN22" s="8">
        <f>-Helpers!AN4*Assumptions!$B$23</f>
        <v/>
      </c>
      <c r="AO22" s="8">
        <f>-Helpers!AO4*Assumptions!$B$23</f>
        <v/>
      </c>
      <c r="AP22" s="8">
        <f>-Helpers!AP4*Assumptions!$B$23</f>
        <v/>
      </c>
      <c r="AQ22" s="8">
        <f>-Helpers!AQ4*Assumptions!$B$23</f>
        <v/>
      </c>
      <c r="AR22" s="8">
        <f>-Helpers!AR4*Assumptions!$B$23</f>
        <v/>
      </c>
      <c r="AS22" s="8">
        <f>-Helpers!AS4*Assumptions!$B$23</f>
        <v/>
      </c>
      <c r="AT22" s="8">
        <f>-Helpers!AT4*Assumptions!$B$23</f>
        <v/>
      </c>
      <c r="AU22" s="8">
        <f>-Helpers!AU4*Assumptions!$B$23</f>
        <v/>
      </c>
      <c r="AV22" s="8">
        <f>-Helpers!AV4*Assumptions!$B$23</f>
        <v/>
      </c>
      <c r="AW22" s="8">
        <f>-Helpers!AW4*Assumptions!$B$23</f>
        <v/>
      </c>
      <c r="AX22" s="8">
        <f>-Helpers!AX4*Assumptions!$B$23</f>
        <v/>
      </c>
      <c r="AY22" s="8">
        <f>-Helpers!AY4*Assumptions!$B$23</f>
        <v/>
      </c>
      <c r="AZ22" s="8">
        <f>-Helpers!AZ4*Assumptions!$B$23</f>
        <v/>
      </c>
      <c r="BA22" s="8">
        <f>-Helpers!BA4*Assumptions!$B$23</f>
        <v/>
      </c>
      <c r="BB22" s="8">
        <f>-Helpers!BB4*Assumptions!$B$23</f>
        <v/>
      </c>
      <c r="BC22" s="8">
        <f>-Helpers!BC4*Assumptions!$B$23</f>
        <v/>
      </c>
      <c r="BD22" s="8">
        <f>-Helpers!BD4*Assumptions!$B$23</f>
        <v/>
      </c>
      <c r="BE22" s="8">
        <f>-Helpers!BE4*Assumptions!$B$23</f>
        <v/>
      </c>
      <c r="BF22" s="8">
        <f>-Helpers!BF4*Assumptions!$B$23</f>
        <v/>
      </c>
      <c r="BG22" s="8">
        <f>-Helpers!BG4*Assumptions!$B$23</f>
        <v/>
      </c>
      <c r="BH22" s="8">
        <f>-Helpers!BH4*Assumptions!$B$23</f>
        <v/>
      </c>
      <c r="BI22" s="8">
        <f>-Helpers!BI4*Assumptions!$B$23</f>
        <v/>
      </c>
      <c r="BJ22" s="8">
        <f>-Helpers!BJ4*Assumptions!$B$23</f>
        <v/>
      </c>
      <c r="BK22" s="8">
        <f>-Helpers!BK4*Assumptions!$B$23</f>
        <v/>
      </c>
      <c r="BL22" s="8">
        <f>-Helpers!BL4*Assumptions!$B$23</f>
        <v/>
      </c>
      <c r="BM22" s="8">
        <f>-Helpers!BM4*Assumptions!$B$23</f>
        <v/>
      </c>
      <c r="BN22" s="8">
        <f>-Helpers!BN4*Assumptions!$B$23</f>
        <v/>
      </c>
      <c r="BO22" s="8">
        <f>-Helpers!BO4*Assumptions!$B$23</f>
        <v/>
      </c>
      <c r="BP22" s="8">
        <f>-Helpers!BP4*Assumptions!$B$23</f>
        <v/>
      </c>
      <c r="BQ22" s="8">
        <f>-Helpers!BQ4*Assumptions!$B$23</f>
        <v/>
      </c>
      <c r="BR22" s="8">
        <f>-Helpers!BR4*Assumptions!$B$23</f>
        <v/>
      </c>
      <c r="BS22" s="8">
        <f>-Helpers!BS4*Assumptions!$B$23</f>
        <v/>
      </c>
      <c r="BT22" s="8">
        <f>-Helpers!BT4*Assumptions!$B$23</f>
        <v/>
      </c>
      <c r="BU22" s="8">
        <f>-Helpers!BU4*Assumptions!$B$23</f>
        <v/>
      </c>
      <c r="BV22" s="8">
        <f>-Helpers!BV4*Assumptions!$B$23</f>
        <v/>
      </c>
      <c r="BW22" s="8">
        <f>-Helpers!BW4*Assumptions!$B$23</f>
        <v/>
      </c>
      <c r="BX22" s="8">
        <f>-Helpers!BX4*Assumptions!$B$23</f>
        <v/>
      </c>
      <c r="BY22" s="8">
        <f>-Helpers!BY4*Assumptions!$B$23</f>
        <v/>
      </c>
      <c r="BZ22" s="8">
        <f>-Helpers!BZ4*Assumptions!$B$23</f>
        <v/>
      </c>
      <c r="CA22" s="8">
        <f>-Helpers!CA4*Assumptions!$B$23</f>
        <v/>
      </c>
      <c r="CB22" s="8">
        <f>-Helpers!CB4*Assumptions!$B$23</f>
        <v/>
      </c>
      <c r="CC22" s="8">
        <f>-Helpers!CC4*Assumptions!$B$23</f>
        <v/>
      </c>
      <c r="CD22" s="8">
        <f>-Helpers!CD4*Assumptions!$B$23</f>
        <v/>
      </c>
      <c r="CE22" s="8">
        <f>-Helpers!CE4*Assumptions!$B$23</f>
        <v/>
      </c>
      <c r="CF22" s="8">
        <f>-Helpers!CF4*Assumptions!$B$23</f>
        <v/>
      </c>
      <c r="CG22" s="8">
        <f>-Helpers!CG4*Assumptions!$B$23</f>
        <v/>
      </c>
      <c r="CH22" s="8">
        <f>-Helpers!CH4*Assumptions!$B$23</f>
        <v/>
      </c>
      <c r="CI22" s="23" t="n"/>
    </row>
    <row r="23" ht="15" customHeight="1" s="201">
      <c r="A23" s="7" t="inlineStr">
        <is>
          <t>Rent Expense</t>
        </is>
      </c>
      <c r="B23" s="22" t="n"/>
      <c r="C23" s="8">
        <f>-10000*Escalation!$B$2</f>
        <v/>
      </c>
      <c r="D23" s="8">
        <f>-10000*Escalation!$B$3</f>
        <v/>
      </c>
      <c r="E23" s="8">
        <f>-10000*Escalation!$B$4</f>
        <v/>
      </c>
      <c r="F23" s="8">
        <f>-10000*Escalation!$B$5</f>
        <v/>
      </c>
      <c r="G23" s="8">
        <f>-10000*Escalation!$B$6</f>
        <v/>
      </c>
      <c r="H23" s="8">
        <f>-10000*Escalation!$B$7</f>
        <v/>
      </c>
      <c r="I23" s="8">
        <f>-10000*Escalation!$B$8</f>
        <v/>
      </c>
      <c r="J23" s="8">
        <f>-10000*Escalation!$B$9</f>
        <v/>
      </c>
      <c r="K23" s="8">
        <f>-10000*Escalation!$B$10</f>
        <v/>
      </c>
      <c r="L23" s="8">
        <f>-10000*Escalation!$B$11</f>
        <v/>
      </c>
      <c r="M23" s="8">
        <f>-10000*Escalation!$B$12</f>
        <v/>
      </c>
      <c r="N23" s="8">
        <f>-10000*Escalation!$B$13</f>
        <v/>
      </c>
      <c r="O23" s="8">
        <f>-10000*Escalation!$B$14</f>
        <v/>
      </c>
      <c r="P23" s="8">
        <f>-10000*Escalation!$B$15</f>
        <v/>
      </c>
      <c r="Q23" s="8">
        <f>-10000*Escalation!$B$16</f>
        <v/>
      </c>
      <c r="R23" s="8">
        <f>-10000*Escalation!$B$17</f>
        <v/>
      </c>
      <c r="S23" s="8">
        <f>-10000*Escalation!$B$18</f>
        <v/>
      </c>
      <c r="T23" s="8">
        <f>-10000*Escalation!$B$19</f>
        <v/>
      </c>
      <c r="U23" s="8">
        <f>-10000*Escalation!$B$20</f>
        <v/>
      </c>
      <c r="V23" s="8">
        <f>-10000*Escalation!$B$21</f>
        <v/>
      </c>
      <c r="W23" s="8">
        <f>-10000*Escalation!$B$22</f>
        <v/>
      </c>
      <c r="X23" s="8">
        <f>-10000*Escalation!$B$23</f>
        <v/>
      </c>
      <c r="Y23" s="8">
        <f>-10000*Escalation!$B$24</f>
        <v/>
      </c>
      <c r="Z23" s="8">
        <f>-10000*Escalation!$B$25</f>
        <v/>
      </c>
      <c r="AA23" s="8">
        <f>-10000*Escalation!$B$26</f>
        <v/>
      </c>
      <c r="AB23" s="8">
        <f>-10000*Escalation!$B$27</f>
        <v/>
      </c>
      <c r="AC23" s="8">
        <f>-10000*Escalation!$B$28</f>
        <v/>
      </c>
      <c r="AD23" s="8">
        <f>-10000*Escalation!$B$29</f>
        <v/>
      </c>
      <c r="AE23" s="8">
        <f>-10000*Escalation!$B$30</f>
        <v/>
      </c>
      <c r="AF23" s="8">
        <f>-10000*Escalation!$B$31</f>
        <v/>
      </c>
      <c r="AG23" s="8">
        <f>-10000*Escalation!$B$32</f>
        <v/>
      </c>
      <c r="AH23" s="8">
        <f>-10000*Escalation!$B$33</f>
        <v/>
      </c>
      <c r="AI23" s="8">
        <f>-10000*Escalation!$B$34</f>
        <v/>
      </c>
      <c r="AJ23" s="8">
        <f>-10000*Escalation!$B$35</f>
        <v/>
      </c>
      <c r="AK23" s="8">
        <f>-10000*Escalation!$B$36</f>
        <v/>
      </c>
      <c r="AL23" s="8">
        <f>-10000*Escalation!$B$37</f>
        <v/>
      </c>
      <c r="AM23" s="8">
        <f>-10000*Escalation!$B$38</f>
        <v/>
      </c>
      <c r="AN23" s="8">
        <f>-10000*Escalation!$B$39</f>
        <v/>
      </c>
      <c r="AO23" s="8">
        <f>-10000*Escalation!$B$40</f>
        <v/>
      </c>
      <c r="AP23" s="8">
        <f>-10000*Escalation!$B$41</f>
        <v/>
      </c>
      <c r="AQ23" s="8">
        <f>-10000*Escalation!$B$42</f>
        <v/>
      </c>
      <c r="AR23" s="8">
        <f>-10000*Escalation!$B$43</f>
        <v/>
      </c>
      <c r="AS23" s="8">
        <f>-10000*Escalation!$B$44</f>
        <v/>
      </c>
      <c r="AT23" s="8">
        <f>-10000*Escalation!$B$45</f>
        <v/>
      </c>
      <c r="AU23" s="8">
        <f>-10000*Escalation!$B$46</f>
        <v/>
      </c>
      <c r="AV23" s="8">
        <f>-10000*Escalation!$B$47</f>
        <v/>
      </c>
      <c r="AW23" s="8">
        <f>-10000*Escalation!$B$48</f>
        <v/>
      </c>
      <c r="AX23" s="8">
        <f>-10000*Escalation!$B$49</f>
        <v/>
      </c>
      <c r="AY23" s="8">
        <f>-10000*Escalation!$B$50</f>
        <v/>
      </c>
      <c r="AZ23" s="8">
        <f>-10000*Escalation!$B$51</f>
        <v/>
      </c>
      <c r="BA23" s="8">
        <f>-10000*Escalation!$B$52</f>
        <v/>
      </c>
      <c r="BB23" s="8">
        <f>-10000*Escalation!$B$53</f>
        <v/>
      </c>
      <c r="BC23" s="8">
        <f>-10000*Escalation!$B$54</f>
        <v/>
      </c>
      <c r="BD23" s="8">
        <f>-10000*Escalation!$B$55</f>
        <v/>
      </c>
      <c r="BE23" s="8">
        <f>-10000*Escalation!$B$56</f>
        <v/>
      </c>
      <c r="BF23" s="8">
        <f>-10000*Escalation!$B$57</f>
        <v/>
      </c>
      <c r="BG23" s="8">
        <f>-10000*Escalation!$B$58</f>
        <v/>
      </c>
      <c r="BH23" s="8">
        <f>-10000*Escalation!$B$59</f>
        <v/>
      </c>
      <c r="BI23" s="8">
        <f>-10000*Escalation!$B$60</f>
        <v/>
      </c>
      <c r="BJ23" s="8">
        <f>-10000*Escalation!$B$61</f>
        <v/>
      </c>
      <c r="BK23" s="8">
        <f>-10000*Escalation!$B$62</f>
        <v/>
      </c>
      <c r="BL23" s="8">
        <f>-10000*Escalation!$B$63</f>
        <v/>
      </c>
      <c r="BM23" s="8">
        <f>-10000*Escalation!$B$64</f>
        <v/>
      </c>
      <c r="BN23" s="8">
        <f>-10000*Escalation!$B$65</f>
        <v/>
      </c>
      <c r="BO23" s="8">
        <f>-10000*Escalation!$B$66</f>
        <v/>
      </c>
      <c r="BP23" s="8">
        <f>-10000*Escalation!$B$67</f>
        <v/>
      </c>
      <c r="BQ23" s="8">
        <f>-10000*Escalation!$B$68</f>
        <v/>
      </c>
      <c r="BR23" s="8">
        <f>-10000*Escalation!$B$69</f>
        <v/>
      </c>
      <c r="BS23" s="8">
        <f>-10000*Escalation!$B$70</f>
        <v/>
      </c>
      <c r="BT23" s="8">
        <f>-10000*Escalation!$B$71</f>
        <v/>
      </c>
      <c r="BU23" s="8">
        <f>-10000*Escalation!$B$72</f>
        <v/>
      </c>
      <c r="BV23" s="8">
        <f>-10000*Escalation!$B$73</f>
        <v/>
      </c>
      <c r="BW23" s="8">
        <f>-10000*Escalation!$B$74</f>
        <v/>
      </c>
      <c r="BX23" s="8">
        <f>-10000*Escalation!$B$75</f>
        <v/>
      </c>
      <c r="BY23" s="8">
        <f>-10000*Escalation!$B$76</f>
        <v/>
      </c>
      <c r="BZ23" s="8">
        <f>-10000*Escalation!$B$77</f>
        <v/>
      </c>
      <c r="CA23" s="8">
        <f>-10000*Escalation!$B$78</f>
        <v/>
      </c>
      <c r="CB23" s="8">
        <f>-10000*Escalation!$B$79</f>
        <v/>
      </c>
      <c r="CC23" s="8">
        <f>-10000*Escalation!$B$80</f>
        <v/>
      </c>
      <c r="CD23" s="8">
        <f>-10000*Escalation!$B$81</f>
        <v/>
      </c>
      <c r="CE23" s="8">
        <f>-10000*Escalation!$B$82</f>
        <v/>
      </c>
      <c r="CF23" s="8">
        <f>-10000*Escalation!$B$83</f>
        <v/>
      </c>
      <c r="CG23" s="8">
        <f>-10000*Escalation!$B$84</f>
        <v/>
      </c>
      <c r="CH23" s="8">
        <f>-10000*Escalation!$B$85</f>
        <v/>
      </c>
      <c r="CI23" s="23" t="n"/>
    </row>
    <row r="24" ht="15" customHeight="1" s="201">
      <c r="A24" s="7" t="inlineStr">
        <is>
          <t>Office Supplies</t>
        </is>
      </c>
      <c r="B24" s="22" t="n"/>
      <c r="C24" s="8">
        <f>-2500*Escalation!$B$2</f>
        <v/>
      </c>
      <c r="D24" s="8">
        <f>-2500*Escalation!$B$3</f>
        <v/>
      </c>
      <c r="E24" s="8">
        <f>-2500*Escalation!$B$4</f>
        <v/>
      </c>
      <c r="F24" s="8">
        <f>-2500*Escalation!$B$5</f>
        <v/>
      </c>
      <c r="G24" s="8">
        <f>-2500*Escalation!$B$6</f>
        <v/>
      </c>
      <c r="H24" s="8">
        <f>-2500*Escalation!$B$7</f>
        <v/>
      </c>
      <c r="I24" s="8">
        <f>-2500*Escalation!$B$8</f>
        <v/>
      </c>
      <c r="J24" s="8">
        <f>-2500*Escalation!$B$9</f>
        <v/>
      </c>
      <c r="K24" s="8">
        <f>-2500*Escalation!$B$10</f>
        <v/>
      </c>
      <c r="L24" s="8">
        <f>-2500*Escalation!$B$11</f>
        <v/>
      </c>
      <c r="M24" s="8">
        <f>-2500*Escalation!$B$12</f>
        <v/>
      </c>
      <c r="N24" s="8">
        <f>-2500*Escalation!$B$13</f>
        <v/>
      </c>
      <c r="O24" s="8">
        <f>-2500*Escalation!$B$14</f>
        <v/>
      </c>
      <c r="P24" s="8">
        <f>-2500*Escalation!$B$15</f>
        <v/>
      </c>
      <c r="Q24" s="8">
        <f>-2500*Escalation!$B$16</f>
        <v/>
      </c>
      <c r="R24" s="8">
        <f>-2500*Escalation!$B$17</f>
        <v/>
      </c>
      <c r="S24" s="8">
        <f>-2500*Escalation!$B$18</f>
        <v/>
      </c>
      <c r="T24" s="8">
        <f>-2500*Escalation!$B$19</f>
        <v/>
      </c>
      <c r="U24" s="8">
        <f>-2500*Escalation!$B$20</f>
        <v/>
      </c>
      <c r="V24" s="8">
        <f>-2500*Escalation!$B$21</f>
        <v/>
      </c>
      <c r="W24" s="8">
        <f>-2500*Escalation!$B$22</f>
        <v/>
      </c>
      <c r="X24" s="8">
        <f>-2500*Escalation!$B$23</f>
        <v/>
      </c>
      <c r="Y24" s="8">
        <f>-2500*Escalation!$B$24</f>
        <v/>
      </c>
      <c r="Z24" s="8">
        <f>-2500*Escalation!$B$25</f>
        <v/>
      </c>
      <c r="AA24" s="8">
        <f>-2500*Escalation!$B$26</f>
        <v/>
      </c>
      <c r="AB24" s="8">
        <f>-2500*Escalation!$B$27</f>
        <v/>
      </c>
      <c r="AC24" s="8">
        <f>-2500*Escalation!$B$28</f>
        <v/>
      </c>
      <c r="AD24" s="8">
        <f>-2500*Escalation!$B$29</f>
        <v/>
      </c>
      <c r="AE24" s="8">
        <f>-2500*Escalation!$B$30</f>
        <v/>
      </c>
      <c r="AF24" s="8">
        <f>-2500*Escalation!$B$31</f>
        <v/>
      </c>
      <c r="AG24" s="8">
        <f>-2500*Escalation!$B$32</f>
        <v/>
      </c>
      <c r="AH24" s="8">
        <f>-2500*Escalation!$B$33</f>
        <v/>
      </c>
      <c r="AI24" s="8">
        <f>-2500*Escalation!$B$34</f>
        <v/>
      </c>
      <c r="AJ24" s="8">
        <f>-2500*Escalation!$B$35</f>
        <v/>
      </c>
      <c r="AK24" s="8">
        <f>-2500*Escalation!$B$36</f>
        <v/>
      </c>
      <c r="AL24" s="8">
        <f>-2500*Escalation!$B$37</f>
        <v/>
      </c>
      <c r="AM24" s="8">
        <f>-2500*Escalation!$B$38</f>
        <v/>
      </c>
      <c r="AN24" s="8">
        <f>-2500*Escalation!$B$39</f>
        <v/>
      </c>
      <c r="AO24" s="8">
        <f>-2500*Escalation!$B$40</f>
        <v/>
      </c>
      <c r="AP24" s="8">
        <f>-2500*Escalation!$B$41</f>
        <v/>
      </c>
      <c r="AQ24" s="8">
        <f>-2500*Escalation!$B$42</f>
        <v/>
      </c>
      <c r="AR24" s="8">
        <f>-2500*Escalation!$B$43</f>
        <v/>
      </c>
      <c r="AS24" s="8">
        <f>-2500*Escalation!$B$44</f>
        <v/>
      </c>
      <c r="AT24" s="8">
        <f>-2500*Escalation!$B$45</f>
        <v/>
      </c>
      <c r="AU24" s="8">
        <f>-2500*Escalation!$B$46</f>
        <v/>
      </c>
      <c r="AV24" s="8">
        <f>-2500*Escalation!$B$47</f>
        <v/>
      </c>
      <c r="AW24" s="8">
        <f>-2500*Escalation!$B$48</f>
        <v/>
      </c>
      <c r="AX24" s="8">
        <f>-2500*Escalation!$B$49</f>
        <v/>
      </c>
      <c r="AY24" s="8">
        <f>-2500*Escalation!$B$50</f>
        <v/>
      </c>
      <c r="AZ24" s="8">
        <f>-2500*Escalation!$B$51</f>
        <v/>
      </c>
      <c r="BA24" s="8">
        <f>-2500*Escalation!$B$52</f>
        <v/>
      </c>
      <c r="BB24" s="8">
        <f>-2500*Escalation!$B$53</f>
        <v/>
      </c>
      <c r="BC24" s="8">
        <f>-2500*Escalation!$B$54</f>
        <v/>
      </c>
      <c r="BD24" s="8">
        <f>-2500*Escalation!$B$55</f>
        <v/>
      </c>
      <c r="BE24" s="8">
        <f>-2500*Escalation!$B$56</f>
        <v/>
      </c>
      <c r="BF24" s="8">
        <f>-2500*Escalation!$B$57</f>
        <v/>
      </c>
      <c r="BG24" s="8">
        <f>-2500*Escalation!$B$58</f>
        <v/>
      </c>
      <c r="BH24" s="8">
        <f>-2500*Escalation!$B$59</f>
        <v/>
      </c>
      <c r="BI24" s="8">
        <f>-2500*Escalation!$B$60</f>
        <v/>
      </c>
      <c r="BJ24" s="8">
        <f>-2500*Escalation!$B$61</f>
        <v/>
      </c>
      <c r="BK24" s="8">
        <f>-2500*Escalation!$B$62</f>
        <v/>
      </c>
      <c r="BL24" s="8">
        <f>-2500*Escalation!$B$63</f>
        <v/>
      </c>
      <c r="BM24" s="8">
        <f>-2500*Escalation!$B$64</f>
        <v/>
      </c>
      <c r="BN24" s="8">
        <f>-2500*Escalation!$B$65</f>
        <v/>
      </c>
      <c r="BO24" s="8">
        <f>-2500*Escalation!$B$66</f>
        <v/>
      </c>
      <c r="BP24" s="8">
        <f>-2500*Escalation!$B$67</f>
        <v/>
      </c>
      <c r="BQ24" s="8">
        <f>-2500*Escalation!$B$68</f>
        <v/>
      </c>
      <c r="BR24" s="8">
        <f>-2500*Escalation!$B$69</f>
        <v/>
      </c>
      <c r="BS24" s="8">
        <f>-2500*Escalation!$B$70</f>
        <v/>
      </c>
      <c r="BT24" s="8">
        <f>-2500*Escalation!$B$71</f>
        <v/>
      </c>
      <c r="BU24" s="8">
        <f>-2500*Escalation!$B$72</f>
        <v/>
      </c>
      <c r="BV24" s="8">
        <f>-2500*Escalation!$B$73</f>
        <v/>
      </c>
      <c r="BW24" s="8">
        <f>-2500*Escalation!$B$74</f>
        <v/>
      </c>
      <c r="BX24" s="8">
        <f>-2500*Escalation!$B$75</f>
        <v/>
      </c>
      <c r="BY24" s="8">
        <f>-2500*Escalation!$B$76</f>
        <v/>
      </c>
      <c r="BZ24" s="8">
        <f>-2500*Escalation!$B$77</f>
        <v/>
      </c>
      <c r="CA24" s="8">
        <f>-2500*Escalation!$B$78</f>
        <v/>
      </c>
      <c r="CB24" s="8">
        <f>-2500*Escalation!$B$79</f>
        <v/>
      </c>
      <c r="CC24" s="8">
        <f>-2500*Escalation!$B$80</f>
        <v/>
      </c>
      <c r="CD24" s="8">
        <f>-2500*Escalation!$B$81</f>
        <v/>
      </c>
      <c r="CE24" s="8">
        <f>-2500*Escalation!$B$82</f>
        <v/>
      </c>
      <c r="CF24" s="8">
        <f>-2500*Escalation!$B$83</f>
        <v/>
      </c>
      <c r="CG24" s="8">
        <f>-2500*Escalation!$B$84</f>
        <v/>
      </c>
      <c r="CH24" s="8">
        <f>-2500*Escalation!$B$85</f>
        <v/>
      </c>
      <c r="CI24" s="23" t="n"/>
    </row>
    <row r="25" ht="15" customHeight="1" s="201">
      <c r="A25" s="7" t="inlineStr">
        <is>
          <t>Postage and Delivery</t>
        </is>
      </c>
      <c r="B25" s="22" t="n"/>
      <c r="C25" s="8">
        <f>-300*Escalation!$B$2</f>
        <v/>
      </c>
      <c r="D25" s="8">
        <f>-300*Escalation!$B$3</f>
        <v/>
      </c>
      <c r="E25" s="8">
        <f>-300*Escalation!$B$4</f>
        <v/>
      </c>
      <c r="F25" s="8">
        <f>-300*Escalation!$B$5</f>
        <v/>
      </c>
      <c r="G25" s="8">
        <f>-300*Escalation!$B$6</f>
        <v/>
      </c>
      <c r="H25" s="8">
        <f>-300*Escalation!$B$7</f>
        <v/>
      </c>
      <c r="I25" s="8">
        <f>-300*Escalation!$B$8</f>
        <v/>
      </c>
      <c r="J25" s="8">
        <f>-300*Escalation!$B$9</f>
        <v/>
      </c>
      <c r="K25" s="8">
        <f>-300*Escalation!$B$10</f>
        <v/>
      </c>
      <c r="L25" s="8">
        <f>-300*Escalation!$B$11</f>
        <v/>
      </c>
      <c r="M25" s="8">
        <f>-300*Escalation!$B$12</f>
        <v/>
      </c>
      <c r="N25" s="8">
        <f>-300*Escalation!$B$13</f>
        <v/>
      </c>
      <c r="O25" s="8">
        <f>-300*Escalation!$B$14</f>
        <v/>
      </c>
      <c r="P25" s="8">
        <f>-300*Escalation!$B$15</f>
        <v/>
      </c>
      <c r="Q25" s="8">
        <f>-300*Escalation!$B$16</f>
        <v/>
      </c>
      <c r="R25" s="8">
        <f>-300*Escalation!$B$17</f>
        <v/>
      </c>
      <c r="S25" s="8">
        <f>-300*Escalation!$B$18</f>
        <v/>
      </c>
      <c r="T25" s="8">
        <f>-300*Escalation!$B$19</f>
        <v/>
      </c>
      <c r="U25" s="8">
        <f>-300*Escalation!$B$20</f>
        <v/>
      </c>
      <c r="V25" s="8">
        <f>-300*Escalation!$B$21</f>
        <v/>
      </c>
      <c r="W25" s="8">
        <f>-300*Escalation!$B$22</f>
        <v/>
      </c>
      <c r="X25" s="8">
        <f>-300*Escalation!$B$23</f>
        <v/>
      </c>
      <c r="Y25" s="8">
        <f>-300*Escalation!$B$24</f>
        <v/>
      </c>
      <c r="Z25" s="8">
        <f>-300*Escalation!$B$25</f>
        <v/>
      </c>
      <c r="AA25" s="8">
        <f>-300*Escalation!$B$26</f>
        <v/>
      </c>
      <c r="AB25" s="8">
        <f>-300*Escalation!$B$27</f>
        <v/>
      </c>
      <c r="AC25" s="8">
        <f>-300*Escalation!$B$28</f>
        <v/>
      </c>
      <c r="AD25" s="8">
        <f>-300*Escalation!$B$29</f>
        <v/>
      </c>
      <c r="AE25" s="8">
        <f>-300*Escalation!$B$30</f>
        <v/>
      </c>
      <c r="AF25" s="8">
        <f>-300*Escalation!$B$31</f>
        <v/>
      </c>
      <c r="AG25" s="8">
        <f>-300*Escalation!$B$32</f>
        <v/>
      </c>
      <c r="AH25" s="8">
        <f>-300*Escalation!$B$33</f>
        <v/>
      </c>
      <c r="AI25" s="8">
        <f>-300*Escalation!$B$34</f>
        <v/>
      </c>
      <c r="AJ25" s="8">
        <f>-300*Escalation!$B$35</f>
        <v/>
      </c>
      <c r="AK25" s="8">
        <f>-300*Escalation!$B$36</f>
        <v/>
      </c>
      <c r="AL25" s="8">
        <f>-300*Escalation!$B$37</f>
        <v/>
      </c>
      <c r="AM25" s="8">
        <f>-300*Escalation!$B$38</f>
        <v/>
      </c>
      <c r="AN25" s="8">
        <f>-300*Escalation!$B$39</f>
        <v/>
      </c>
      <c r="AO25" s="8">
        <f>-300*Escalation!$B$40</f>
        <v/>
      </c>
      <c r="AP25" s="8">
        <f>-300*Escalation!$B$41</f>
        <v/>
      </c>
      <c r="AQ25" s="8">
        <f>-300*Escalation!$B$42</f>
        <v/>
      </c>
      <c r="AR25" s="8">
        <f>-300*Escalation!$B$43</f>
        <v/>
      </c>
      <c r="AS25" s="8">
        <f>-300*Escalation!$B$44</f>
        <v/>
      </c>
      <c r="AT25" s="8">
        <f>-300*Escalation!$B$45</f>
        <v/>
      </c>
      <c r="AU25" s="8">
        <f>-300*Escalation!$B$46</f>
        <v/>
      </c>
      <c r="AV25" s="8">
        <f>-300*Escalation!$B$47</f>
        <v/>
      </c>
      <c r="AW25" s="8">
        <f>-300*Escalation!$B$48</f>
        <v/>
      </c>
      <c r="AX25" s="8">
        <f>-300*Escalation!$B$49</f>
        <v/>
      </c>
      <c r="AY25" s="8">
        <f>-300*Escalation!$B$50</f>
        <v/>
      </c>
      <c r="AZ25" s="8">
        <f>-300*Escalation!$B$51</f>
        <v/>
      </c>
      <c r="BA25" s="8">
        <f>-300*Escalation!$B$52</f>
        <v/>
      </c>
      <c r="BB25" s="8">
        <f>-300*Escalation!$B$53</f>
        <v/>
      </c>
      <c r="BC25" s="8">
        <f>-300*Escalation!$B$54</f>
        <v/>
      </c>
      <c r="BD25" s="8">
        <f>-300*Escalation!$B$55</f>
        <v/>
      </c>
      <c r="BE25" s="8">
        <f>-300*Escalation!$B$56</f>
        <v/>
      </c>
      <c r="BF25" s="8">
        <f>-300*Escalation!$B$57</f>
        <v/>
      </c>
      <c r="BG25" s="8">
        <f>-300*Escalation!$B$58</f>
        <v/>
      </c>
      <c r="BH25" s="8">
        <f>-300*Escalation!$B$59</f>
        <v/>
      </c>
      <c r="BI25" s="8">
        <f>-300*Escalation!$B$60</f>
        <v/>
      </c>
      <c r="BJ25" s="8">
        <f>-300*Escalation!$B$61</f>
        <v/>
      </c>
      <c r="BK25" s="8">
        <f>-300*Escalation!$B$62</f>
        <v/>
      </c>
      <c r="BL25" s="8">
        <f>-300*Escalation!$B$63</f>
        <v/>
      </c>
      <c r="BM25" s="8">
        <f>-300*Escalation!$B$64</f>
        <v/>
      </c>
      <c r="BN25" s="8">
        <f>-300*Escalation!$B$65</f>
        <v/>
      </c>
      <c r="BO25" s="8">
        <f>-300*Escalation!$B$66</f>
        <v/>
      </c>
      <c r="BP25" s="8">
        <f>-300*Escalation!$B$67</f>
        <v/>
      </c>
      <c r="BQ25" s="8">
        <f>-300*Escalation!$B$68</f>
        <v/>
      </c>
      <c r="BR25" s="8">
        <f>-300*Escalation!$B$69</f>
        <v/>
      </c>
      <c r="BS25" s="8">
        <f>-300*Escalation!$B$70</f>
        <v/>
      </c>
      <c r="BT25" s="8">
        <f>-300*Escalation!$B$71</f>
        <v/>
      </c>
      <c r="BU25" s="8">
        <f>-300*Escalation!$B$72</f>
        <v/>
      </c>
      <c r="BV25" s="8">
        <f>-300*Escalation!$B$73</f>
        <v/>
      </c>
      <c r="BW25" s="8">
        <f>-300*Escalation!$B$74</f>
        <v/>
      </c>
      <c r="BX25" s="8">
        <f>-300*Escalation!$B$75</f>
        <v/>
      </c>
      <c r="BY25" s="8">
        <f>-300*Escalation!$B$76</f>
        <v/>
      </c>
      <c r="BZ25" s="8">
        <f>-300*Escalation!$B$77</f>
        <v/>
      </c>
      <c r="CA25" s="8">
        <f>-300*Escalation!$B$78</f>
        <v/>
      </c>
      <c r="CB25" s="8">
        <f>-300*Escalation!$B$79</f>
        <v/>
      </c>
      <c r="CC25" s="8">
        <f>-300*Escalation!$B$80</f>
        <v/>
      </c>
      <c r="CD25" s="8">
        <f>-300*Escalation!$B$81</f>
        <v/>
      </c>
      <c r="CE25" s="8">
        <f>-300*Escalation!$B$82</f>
        <v/>
      </c>
      <c r="CF25" s="8">
        <f>-300*Escalation!$B$83</f>
        <v/>
      </c>
      <c r="CG25" s="8">
        <f>-300*Escalation!$B$84</f>
        <v/>
      </c>
      <c r="CH25" s="8">
        <f>-300*Escalation!$B$85</f>
        <v/>
      </c>
      <c r="CI25" s="23" t="n"/>
    </row>
    <row r="26" ht="15" customHeight="1" s="201">
      <c r="A26" s="7" t="inlineStr">
        <is>
          <t>Computer &amp; IT Expenses</t>
        </is>
      </c>
      <c r="B26" s="22" t="n"/>
      <c r="C26" s="8">
        <f>-3000*Escalation!$B$2</f>
        <v/>
      </c>
      <c r="D26" s="8">
        <f>-3000*Escalation!$B$3</f>
        <v/>
      </c>
      <c r="E26" s="8">
        <f>-3000*Escalation!$B$4</f>
        <v/>
      </c>
      <c r="F26" s="8">
        <f>-3000*Escalation!$B$5</f>
        <v/>
      </c>
      <c r="G26" s="8">
        <f>-3000*Escalation!$B$6</f>
        <v/>
      </c>
      <c r="H26" s="8">
        <f>-3000*Escalation!$B$7</f>
        <v/>
      </c>
      <c r="I26" s="8">
        <f>-3000*Escalation!$B$8</f>
        <v/>
      </c>
      <c r="J26" s="8">
        <f>-3000*Escalation!$B$9</f>
        <v/>
      </c>
      <c r="K26" s="8">
        <f>-3000*Escalation!$B$10</f>
        <v/>
      </c>
      <c r="L26" s="8">
        <f>-3000*Escalation!$B$11</f>
        <v/>
      </c>
      <c r="M26" s="8">
        <f>-3000*Escalation!$B$12</f>
        <v/>
      </c>
      <c r="N26" s="8">
        <f>-3000*Escalation!$B$13</f>
        <v/>
      </c>
      <c r="O26" s="8">
        <f>-3000*Escalation!$B$14</f>
        <v/>
      </c>
      <c r="P26" s="8">
        <f>-3000*Escalation!$B$15</f>
        <v/>
      </c>
      <c r="Q26" s="8">
        <f>-3000*Escalation!$B$16</f>
        <v/>
      </c>
      <c r="R26" s="8">
        <f>-3000*Escalation!$B$17</f>
        <v/>
      </c>
      <c r="S26" s="8">
        <f>-3000*Escalation!$B$18</f>
        <v/>
      </c>
      <c r="T26" s="8">
        <f>-3000*Escalation!$B$19</f>
        <v/>
      </c>
      <c r="U26" s="8">
        <f>-3000*Escalation!$B$20</f>
        <v/>
      </c>
      <c r="V26" s="8">
        <f>-3000*Escalation!$B$21</f>
        <v/>
      </c>
      <c r="W26" s="8">
        <f>-3000*Escalation!$B$22</f>
        <v/>
      </c>
      <c r="X26" s="8">
        <f>-3000*Escalation!$B$23</f>
        <v/>
      </c>
      <c r="Y26" s="8">
        <f>-3000*Escalation!$B$24</f>
        <v/>
      </c>
      <c r="Z26" s="8">
        <f>-3000*Escalation!$B$25</f>
        <v/>
      </c>
      <c r="AA26" s="8">
        <f>-3000*Escalation!$B$26</f>
        <v/>
      </c>
      <c r="AB26" s="8">
        <f>-3000*Escalation!$B$27</f>
        <v/>
      </c>
      <c r="AC26" s="8">
        <f>-3000*Escalation!$B$28</f>
        <v/>
      </c>
      <c r="AD26" s="8">
        <f>-3000*Escalation!$B$29</f>
        <v/>
      </c>
      <c r="AE26" s="8">
        <f>-3000*Escalation!$B$30</f>
        <v/>
      </c>
      <c r="AF26" s="8">
        <f>-3000*Escalation!$B$31</f>
        <v/>
      </c>
      <c r="AG26" s="8">
        <f>-3000*Escalation!$B$32</f>
        <v/>
      </c>
      <c r="AH26" s="8">
        <f>-3000*Escalation!$B$33</f>
        <v/>
      </c>
      <c r="AI26" s="8">
        <f>-3000*Escalation!$B$34</f>
        <v/>
      </c>
      <c r="AJ26" s="8">
        <f>-3000*Escalation!$B$35</f>
        <v/>
      </c>
      <c r="AK26" s="8">
        <f>-3000*Escalation!$B$36</f>
        <v/>
      </c>
      <c r="AL26" s="8">
        <f>-3000*Escalation!$B$37</f>
        <v/>
      </c>
      <c r="AM26" s="8">
        <f>-3000*Escalation!$B$38</f>
        <v/>
      </c>
      <c r="AN26" s="8">
        <f>-3000*Escalation!$B$39</f>
        <v/>
      </c>
      <c r="AO26" s="8">
        <f>-3000*Escalation!$B$40</f>
        <v/>
      </c>
      <c r="AP26" s="8">
        <f>-3000*Escalation!$B$41</f>
        <v/>
      </c>
      <c r="AQ26" s="8">
        <f>-3000*Escalation!$B$42</f>
        <v/>
      </c>
      <c r="AR26" s="8">
        <f>-3000*Escalation!$B$43</f>
        <v/>
      </c>
      <c r="AS26" s="8">
        <f>-3000*Escalation!$B$44</f>
        <v/>
      </c>
      <c r="AT26" s="8">
        <f>-3000*Escalation!$B$45</f>
        <v/>
      </c>
      <c r="AU26" s="8">
        <f>-3000*Escalation!$B$46</f>
        <v/>
      </c>
      <c r="AV26" s="8">
        <f>-3000*Escalation!$B$47</f>
        <v/>
      </c>
      <c r="AW26" s="8">
        <f>-3000*Escalation!$B$48</f>
        <v/>
      </c>
      <c r="AX26" s="8">
        <f>-3000*Escalation!$B$49</f>
        <v/>
      </c>
      <c r="AY26" s="8">
        <f>-3000*Escalation!$B$50</f>
        <v/>
      </c>
      <c r="AZ26" s="8">
        <f>-3000*Escalation!$B$51</f>
        <v/>
      </c>
      <c r="BA26" s="8">
        <f>-3000*Escalation!$B$52</f>
        <v/>
      </c>
      <c r="BB26" s="8">
        <f>-3000*Escalation!$B$53</f>
        <v/>
      </c>
      <c r="BC26" s="8">
        <f>-3000*Escalation!$B$54</f>
        <v/>
      </c>
      <c r="BD26" s="8">
        <f>-3000*Escalation!$B$55</f>
        <v/>
      </c>
      <c r="BE26" s="8">
        <f>-3000*Escalation!$B$56</f>
        <v/>
      </c>
      <c r="BF26" s="8">
        <f>-3000*Escalation!$B$57</f>
        <v/>
      </c>
      <c r="BG26" s="8">
        <f>-3000*Escalation!$B$58</f>
        <v/>
      </c>
      <c r="BH26" s="8">
        <f>-3000*Escalation!$B$59</f>
        <v/>
      </c>
      <c r="BI26" s="8">
        <f>-3000*Escalation!$B$60</f>
        <v/>
      </c>
      <c r="BJ26" s="8">
        <f>-3000*Escalation!$B$61</f>
        <v/>
      </c>
      <c r="BK26" s="8">
        <f>-3000*Escalation!$B$62</f>
        <v/>
      </c>
      <c r="BL26" s="8">
        <f>-3000*Escalation!$B$63</f>
        <v/>
      </c>
      <c r="BM26" s="8">
        <f>-3000*Escalation!$B$64</f>
        <v/>
      </c>
      <c r="BN26" s="8">
        <f>-3000*Escalation!$B$65</f>
        <v/>
      </c>
      <c r="BO26" s="8">
        <f>-3000*Escalation!$B$66</f>
        <v/>
      </c>
      <c r="BP26" s="8">
        <f>-3000*Escalation!$B$67</f>
        <v/>
      </c>
      <c r="BQ26" s="8">
        <f>-3000*Escalation!$B$68</f>
        <v/>
      </c>
      <c r="BR26" s="8">
        <f>-3000*Escalation!$B$69</f>
        <v/>
      </c>
      <c r="BS26" s="8">
        <f>-3000*Escalation!$B$70</f>
        <v/>
      </c>
      <c r="BT26" s="8">
        <f>-3000*Escalation!$B$71</f>
        <v/>
      </c>
      <c r="BU26" s="8">
        <f>-3000*Escalation!$B$72</f>
        <v/>
      </c>
      <c r="BV26" s="8">
        <f>-3000*Escalation!$B$73</f>
        <v/>
      </c>
      <c r="BW26" s="8">
        <f>-3000*Escalation!$B$74</f>
        <v/>
      </c>
      <c r="BX26" s="8">
        <f>-3000*Escalation!$B$75</f>
        <v/>
      </c>
      <c r="BY26" s="8">
        <f>-3000*Escalation!$B$76</f>
        <v/>
      </c>
      <c r="BZ26" s="8">
        <f>-3000*Escalation!$B$77</f>
        <v/>
      </c>
      <c r="CA26" s="8">
        <f>-3000*Escalation!$B$78</f>
        <v/>
      </c>
      <c r="CB26" s="8">
        <f>-3000*Escalation!$B$79</f>
        <v/>
      </c>
      <c r="CC26" s="8">
        <f>-3000*Escalation!$B$80</f>
        <v/>
      </c>
      <c r="CD26" s="8">
        <f>-3000*Escalation!$B$81</f>
        <v/>
      </c>
      <c r="CE26" s="8">
        <f>-3000*Escalation!$B$82</f>
        <v/>
      </c>
      <c r="CF26" s="8">
        <f>-3000*Escalation!$B$83</f>
        <v/>
      </c>
      <c r="CG26" s="8">
        <f>-3000*Escalation!$B$84</f>
        <v/>
      </c>
      <c r="CH26" s="8">
        <f>-3000*Escalation!$B$85</f>
        <v/>
      </c>
      <c r="CI26" s="23" t="n"/>
    </row>
    <row r="27" ht="15" customHeight="1" s="201">
      <c r="A27" s="7" t="inlineStr">
        <is>
          <t>Internet</t>
        </is>
      </c>
      <c r="B27" s="22" t="n"/>
      <c r="C27" s="8">
        <f>-300*Escalation!$B$2</f>
        <v/>
      </c>
      <c r="D27" s="8">
        <f>-300*Escalation!$B$3</f>
        <v/>
      </c>
      <c r="E27" s="8">
        <f>-300*Escalation!$B$4</f>
        <v/>
      </c>
      <c r="F27" s="8">
        <f>-300*Escalation!$B$5</f>
        <v/>
      </c>
      <c r="G27" s="8">
        <f>-300*Escalation!$B$6</f>
        <v/>
      </c>
      <c r="H27" s="8">
        <f>-300*Escalation!$B$7</f>
        <v/>
      </c>
      <c r="I27" s="8">
        <f>-300*Escalation!$B$8</f>
        <v/>
      </c>
      <c r="J27" s="8">
        <f>-300*Escalation!$B$9</f>
        <v/>
      </c>
      <c r="K27" s="8">
        <f>-300*Escalation!$B$10</f>
        <v/>
      </c>
      <c r="L27" s="8">
        <f>-300*Escalation!$B$11</f>
        <v/>
      </c>
      <c r="M27" s="8">
        <f>-300*Escalation!$B$12</f>
        <v/>
      </c>
      <c r="N27" s="8">
        <f>-300*Escalation!$B$13</f>
        <v/>
      </c>
      <c r="O27" s="8">
        <f>-300*Escalation!$B$14</f>
        <v/>
      </c>
      <c r="P27" s="8">
        <f>-300*Escalation!$B$15</f>
        <v/>
      </c>
      <c r="Q27" s="8">
        <f>-300*Escalation!$B$16</f>
        <v/>
      </c>
      <c r="R27" s="8">
        <f>-300*Escalation!$B$17</f>
        <v/>
      </c>
      <c r="S27" s="8">
        <f>-300*Escalation!$B$18</f>
        <v/>
      </c>
      <c r="T27" s="8">
        <f>-300*Escalation!$B$19</f>
        <v/>
      </c>
      <c r="U27" s="8">
        <f>-300*Escalation!$B$20</f>
        <v/>
      </c>
      <c r="V27" s="8">
        <f>-300*Escalation!$B$21</f>
        <v/>
      </c>
      <c r="W27" s="8">
        <f>-300*Escalation!$B$22</f>
        <v/>
      </c>
      <c r="X27" s="8">
        <f>-300*Escalation!$B$23</f>
        <v/>
      </c>
      <c r="Y27" s="8">
        <f>-300*Escalation!$B$24</f>
        <v/>
      </c>
      <c r="Z27" s="8">
        <f>-300*Escalation!$B$25</f>
        <v/>
      </c>
      <c r="AA27" s="8">
        <f>-300*Escalation!$B$26</f>
        <v/>
      </c>
      <c r="AB27" s="8">
        <f>-300*Escalation!$B$27</f>
        <v/>
      </c>
      <c r="AC27" s="8">
        <f>-300*Escalation!$B$28</f>
        <v/>
      </c>
      <c r="AD27" s="8">
        <f>-300*Escalation!$B$29</f>
        <v/>
      </c>
      <c r="AE27" s="8">
        <f>-300*Escalation!$B$30</f>
        <v/>
      </c>
      <c r="AF27" s="8">
        <f>-300*Escalation!$B$31</f>
        <v/>
      </c>
      <c r="AG27" s="8">
        <f>-300*Escalation!$B$32</f>
        <v/>
      </c>
      <c r="AH27" s="8">
        <f>-300*Escalation!$B$33</f>
        <v/>
      </c>
      <c r="AI27" s="8">
        <f>-300*Escalation!$B$34</f>
        <v/>
      </c>
      <c r="AJ27" s="8">
        <f>-300*Escalation!$B$35</f>
        <v/>
      </c>
      <c r="AK27" s="8">
        <f>-300*Escalation!$B$36</f>
        <v/>
      </c>
      <c r="AL27" s="8">
        <f>-300*Escalation!$B$37</f>
        <v/>
      </c>
      <c r="AM27" s="8">
        <f>-300*Escalation!$B$38</f>
        <v/>
      </c>
      <c r="AN27" s="8">
        <f>-300*Escalation!$B$39</f>
        <v/>
      </c>
      <c r="AO27" s="8">
        <f>-300*Escalation!$B$40</f>
        <v/>
      </c>
      <c r="AP27" s="8">
        <f>-300*Escalation!$B$41</f>
        <v/>
      </c>
      <c r="AQ27" s="8">
        <f>-300*Escalation!$B$42</f>
        <v/>
      </c>
      <c r="AR27" s="8">
        <f>-300*Escalation!$B$43</f>
        <v/>
      </c>
      <c r="AS27" s="8">
        <f>-300*Escalation!$B$44</f>
        <v/>
      </c>
      <c r="AT27" s="8">
        <f>-300*Escalation!$B$45</f>
        <v/>
      </c>
      <c r="AU27" s="8">
        <f>-300*Escalation!$B$46</f>
        <v/>
      </c>
      <c r="AV27" s="8">
        <f>-300*Escalation!$B$47</f>
        <v/>
      </c>
      <c r="AW27" s="8">
        <f>-300*Escalation!$B$48</f>
        <v/>
      </c>
      <c r="AX27" s="8">
        <f>-300*Escalation!$B$49</f>
        <v/>
      </c>
      <c r="AY27" s="8">
        <f>-300*Escalation!$B$50</f>
        <v/>
      </c>
      <c r="AZ27" s="8">
        <f>-300*Escalation!$B$51</f>
        <v/>
      </c>
      <c r="BA27" s="8">
        <f>-300*Escalation!$B$52</f>
        <v/>
      </c>
      <c r="BB27" s="8">
        <f>-300*Escalation!$B$53</f>
        <v/>
      </c>
      <c r="BC27" s="8">
        <f>-300*Escalation!$B$54</f>
        <v/>
      </c>
      <c r="BD27" s="8">
        <f>-300*Escalation!$B$55</f>
        <v/>
      </c>
      <c r="BE27" s="8">
        <f>-300*Escalation!$B$56</f>
        <v/>
      </c>
      <c r="BF27" s="8">
        <f>-300*Escalation!$B$57</f>
        <v/>
      </c>
      <c r="BG27" s="8">
        <f>-300*Escalation!$B$58</f>
        <v/>
      </c>
      <c r="BH27" s="8">
        <f>-300*Escalation!$B$59</f>
        <v/>
      </c>
      <c r="BI27" s="8">
        <f>-300*Escalation!$B$60</f>
        <v/>
      </c>
      <c r="BJ27" s="8">
        <f>-300*Escalation!$B$61</f>
        <v/>
      </c>
      <c r="BK27" s="8">
        <f>-300*Escalation!$B$62</f>
        <v/>
      </c>
      <c r="BL27" s="8">
        <f>-300*Escalation!$B$63</f>
        <v/>
      </c>
      <c r="BM27" s="8">
        <f>-300*Escalation!$B$64</f>
        <v/>
      </c>
      <c r="BN27" s="8">
        <f>-300*Escalation!$B$65</f>
        <v/>
      </c>
      <c r="BO27" s="8">
        <f>-300*Escalation!$B$66</f>
        <v/>
      </c>
      <c r="BP27" s="8">
        <f>-300*Escalation!$B$67</f>
        <v/>
      </c>
      <c r="BQ27" s="8">
        <f>-300*Escalation!$B$68</f>
        <v/>
      </c>
      <c r="BR27" s="8">
        <f>-300*Escalation!$B$69</f>
        <v/>
      </c>
      <c r="BS27" s="8">
        <f>-300*Escalation!$B$70</f>
        <v/>
      </c>
      <c r="BT27" s="8">
        <f>-300*Escalation!$B$71</f>
        <v/>
      </c>
      <c r="BU27" s="8">
        <f>-300*Escalation!$B$72</f>
        <v/>
      </c>
      <c r="BV27" s="8">
        <f>-300*Escalation!$B$73</f>
        <v/>
      </c>
      <c r="BW27" s="8">
        <f>-300*Escalation!$B$74</f>
        <v/>
      </c>
      <c r="BX27" s="8">
        <f>-300*Escalation!$B$75</f>
        <v/>
      </c>
      <c r="BY27" s="8">
        <f>-300*Escalation!$B$76</f>
        <v/>
      </c>
      <c r="BZ27" s="8">
        <f>-300*Escalation!$B$77</f>
        <v/>
      </c>
      <c r="CA27" s="8">
        <f>-300*Escalation!$B$78</f>
        <v/>
      </c>
      <c r="CB27" s="8">
        <f>-300*Escalation!$B$79</f>
        <v/>
      </c>
      <c r="CC27" s="8">
        <f>-300*Escalation!$B$80</f>
        <v/>
      </c>
      <c r="CD27" s="8">
        <f>-300*Escalation!$B$81</f>
        <v/>
      </c>
      <c r="CE27" s="8">
        <f>-300*Escalation!$B$82</f>
        <v/>
      </c>
      <c r="CF27" s="8">
        <f>-300*Escalation!$B$83</f>
        <v/>
      </c>
      <c r="CG27" s="8">
        <f>-300*Escalation!$B$84</f>
        <v/>
      </c>
      <c r="CH27" s="8">
        <f>-300*Escalation!$B$85</f>
        <v/>
      </c>
      <c r="CI27" s="23" t="n"/>
    </row>
    <row r="28" ht="15" customHeight="1" s="201">
      <c r="A28" s="7" t="inlineStr">
        <is>
          <t>Telephone Expenses</t>
        </is>
      </c>
      <c r="B28" s="22" t="n"/>
      <c r="C28" s="8">
        <f>-300*Escalation!$B$2</f>
        <v/>
      </c>
      <c r="D28" s="8">
        <f>-300*Escalation!$B$3</f>
        <v/>
      </c>
      <c r="E28" s="8">
        <f>-300*Escalation!$B$4</f>
        <v/>
      </c>
      <c r="F28" s="8">
        <f>-300*Escalation!$B$5</f>
        <v/>
      </c>
      <c r="G28" s="8">
        <f>-300*Escalation!$B$6</f>
        <v/>
      </c>
      <c r="H28" s="8">
        <f>-300*Escalation!$B$7</f>
        <v/>
      </c>
      <c r="I28" s="8">
        <f>-300*Escalation!$B$8</f>
        <v/>
      </c>
      <c r="J28" s="8">
        <f>-300*Escalation!$B$9</f>
        <v/>
      </c>
      <c r="K28" s="8">
        <f>-300*Escalation!$B$10</f>
        <v/>
      </c>
      <c r="L28" s="8">
        <f>-300*Escalation!$B$11</f>
        <v/>
      </c>
      <c r="M28" s="8">
        <f>-300*Escalation!$B$12</f>
        <v/>
      </c>
      <c r="N28" s="8">
        <f>-300*Escalation!$B$13</f>
        <v/>
      </c>
      <c r="O28" s="8">
        <f>-300*Escalation!$B$14</f>
        <v/>
      </c>
      <c r="P28" s="8">
        <f>-300*Escalation!$B$15</f>
        <v/>
      </c>
      <c r="Q28" s="8">
        <f>-300*Escalation!$B$16</f>
        <v/>
      </c>
      <c r="R28" s="8">
        <f>-300*Escalation!$B$17</f>
        <v/>
      </c>
      <c r="S28" s="8">
        <f>-300*Escalation!$B$18</f>
        <v/>
      </c>
      <c r="T28" s="8">
        <f>-300*Escalation!$B$19</f>
        <v/>
      </c>
      <c r="U28" s="8">
        <f>-300*Escalation!$B$20</f>
        <v/>
      </c>
      <c r="V28" s="8">
        <f>-300*Escalation!$B$21</f>
        <v/>
      </c>
      <c r="W28" s="8">
        <f>-300*Escalation!$B$22</f>
        <v/>
      </c>
      <c r="X28" s="8">
        <f>-300*Escalation!$B$23</f>
        <v/>
      </c>
      <c r="Y28" s="8">
        <f>-300*Escalation!$B$24</f>
        <v/>
      </c>
      <c r="Z28" s="8">
        <f>-300*Escalation!$B$25</f>
        <v/>
      </c>
      <c r="AA28" s="8">
        <f>-300*Escalation!$B$26</f>
        <v/>
      </c>
      <c r="AB28" s="8">
        <f>-300*Escalation!$B$27</f>
        <v/>
      </c>
      <c r="AC28" s="8">
        <f>-300*Escalation!$B$28</f>
        <v/>
      </c>
      <c r="AD28" s="8">
        <f>-300*Escalation!$B$29</f>
        <v/>
      </c>
      <c r="AE28" s="8">
        <f>-300*Escalation!$B$30</f>
        <v/>
      </c>
      <c r="AF28" s="8">
        <f>-300*Escalation!$B$31</f>
        <v/>
      </c>
      <c r="AG28" s="8">
        <f>-300*Escalation!$B$32</f>
        <v/>
      </c>
      <c r="AH28" s="8">
        <f>-300*Escalation!$B$33</f>
        <v/>
      </c>
      <c r="AI28" s="8">
        <f>-300*Escalation!$B$34</f>
        <v/>
      </c>
      <c r="AJ28" s="8">
        <f>-300*Escalation!$B$35</f>
        <v/>
      </c>
      <c r="AK28" s="8">
        <f>-300*Escalation!$B$36</f>
        <v/>
      </c>
      <c r="AL28" s="8">
        <f>-300*Escalation!$B$37</f>
        <v/>
      </c>
      <c r="AM28" s="8">
        <f>-300*Escalation!$B$38</f>
        <v/>
      </c>
      <c r="AN28" s="8">
        <f>-300*Escalation!$B$39</f>
        <v/>
      </c>
      <c r="AO28" s="8">
        <f>-300*Escalation!$B$40</f>
        <v/>
      </c>
      <c r="AP28" s="8">
        <f>-300*Escalation!$B$41</f>
        <v/>
      </c>
      <c r="AQ28" s="8">
        <f>-300*Escalation!$B$42</f>
        <v/>
      </c>
      <c r="AR28" s="8">
        <f>-300*Escalation!$B$43</f>
        <v/>
      </c>
      <c r="AS28" s="8">
        <f>-300*Escalation!$B$44</f>
        <v/>
      </c>
      <c r="AT28" s="8">
        <f>-300*Escalation!$B$45</f>
        <v/>
      </c>
      <c r="AU28" s="8">
        <f>-300*Escalation!$B$46</f>
        <v/>
      </c>
      <c r="AV28" s="8">
        <f>-300*Escalation!$B$47</f>
        <v/>
      </c>
      <c r="AW28" s="8">
        <f>-300*Escalation!$B$48</f>
        <v/>
      </c>
      <c r="AX28" s="8">
        <f>-300*Escalation!$B$49</f>
        <v/>
      </c>
      <c r="AY28" s="8">
        <f>-300*Escalation!$B$50</f>
        <v/>
      </c>
      <c r="AZ28" s="8">
        <f>-300*Escalation!$B$51</f>
        <v/>
      </c>
      <c r="BA28" s="8">
        <f>-300*Escalation!$B$52</f>
        <v/>
      </c>
      <c r="BB28" s="8">
        <f>-300*Escalation!$B$53</f>
        <v/>
      </c>
      <c r="BC28" s="8">
        <f>-300*Escalation!$B$54</f>
        <v/>
      </c>
      <c r="BD28" s="8">
        <f>-300*Escalation!$B$55</f>
        <v/>
      </c>
      <c r="BE28" s="8">
        <f>-300*Escalation!$B$56</f>
        <v/>
      </c>
      <c r="BF28" s="8">
        <f>-300*Escalation!$B$57</f>
        <v/>
      </c>
      <c r="BG28" s="8">
        <f>-300*Escalation!$B$58</f>
        <v/>
      </c>
      <c r="BH28" s="8">
        <f>-300*Escalation!$B$59</f>
        <v/>
      </c>
      <c r="BI28" s="8">
        <f>-300*Escalation!$B$60</f>
        <v/>
      </c>
      <c r="BJ28" s="8">
        <f>-300*Escalation!$B$61</f>
        <v/>
      </c>
      <c r="BK28" s="8">
        <f>-300*Escalation!$B$62</f>
        <v/>
      </c>
      <c r="BL28" s="8">
        <f>-300*Escalation!$B$63</f>
        <v/>
      </c>
      <c r="BM28" s="8">
        <f>-300*Escalation!$B$64</f>
        <v/>
      </c>
      <c r="BN28" s="8">
        <f>-300*Escalation!$B$65</f>
        <v/>
      </c>
      <c r="BO28" s="8">
        <f>-300*Escalation!$B$66</f>
        <v/>
      </c>
      <c r="BP28" s="8">
        <f>-300*Escalation!$B$67</f>
        <v/>
      </c>
      <c r="BQ28" s="8">
        <f>-300*Escalation!$B$68</f>
        <v/>
      </c>
      <c r="BR28" s="8">
        <f>-300*Escalation!$B$69</f>
        <v/>
      </c>
      <c r="BS28" s="8">
        <f>-300*Escalation!$B$70</f>
        <v/>
      </c>
      <c r="BT28" s="8">
        <f>-300*Escalation!$B$71</f>
        <v/>
      </c>
      <c r="BU28" s="8">
        <f>-300*Escalation!$B$72</f>
        <v/>
      </c>
      <c r="BV28" s="8">
        <f>-300*Escalation!$B$73</f>
        <v/>
      </c>
      <c r="BW28" s="8">
        <f>-300*Escalation!$B$74</f>
        <v/>
      </c>
      <c r="BX28" s="8">
        <f>-300*Escalation!$B$75</f>
        <v/>
      </c>
      <c r="BY28" s="8">
        <f>-300*Escalation!$B$76</f>
        <v/>
      </c>
      <c r="BZ28" s="8">
        <f>-300*Escalation!$B$77</f>
        <v/>
      </c>
      <c r="CA28" s="8">
        <f>-300*Escalation!$B$78</f>
        <v/>
      </c>
      <c r="CB28" s="8">
        <f>-300*Escalation!$B$79</f>
        <v/>
      </c>
      <c r="CC28" s="8">
        <f>-300*Escalation!$B$80</f>
        <v/>
      </c>
      <c r="CD28" s="8">
        <f>-300*Escalation!$B$81</f>
        <v/>
      </c>
      <c r="CE28" s="8">
        <f>-300*Escalation!$B$82</f>
        <v/>
      </c>
      <c r="CF28" s="8">
        <f>-300*Escalation!$B$83</f>
        <v/>
      </c>
      <c r="CG28" s="8">
        <f>-300*Escalation!$B$84</f>
        <v/>
      </c>
      <c r="CH28" s="8">
        <f>-300*Escalation!$B$85</f>
        <v/>
      </c>
      <c r="CI28" s="23" t="n"/>
    </row>
    <row r="29" ht="15" customHeight="1" s="201">
      <c r="A29" s="7" t="inlineStr">
        <is>
          <t>Meal and Entertainment</t>
        </is>
      </c>
      <c r="B29" s="22" t="n"/>
      <c r="C29" s="8">
        <f>-1500*Escalation!$B$2</f>
        <v/>
      </c>
      <c r="D29" s="8">
        <f>-1500*Escalation!$B$3</f>
        <v/>
      </c>
      <c r="E29" s="8">
        <f>-1500*Escalation!$B$4</f>
        <v/>
      </c>
      <c r="F29" s="8">
        <f>-1500*Escalation!$B$5</f>
        <v/>
      </c>
      <c r="G29" s="8">
        <f>-1500*Escalation!$B$6</f>
        <v/>
      </c>
      <c r="H29" s="8">
        <f>-1500*Escalation!$B$7</f>
        <v/>
      </c>
      <c r="I29" s="8">
        <f>-1500*Escalation!$B$8</f>
        <v/>
      </c>
      <c r="J29" s="8">
        <f>-1500*Escalation!$B$9</f>
        <v/>
      </c>
      <c r="K29" s="8">
        <f>-1500*Escalation!$B$10</f>
        <v/>
      </c>
      <c r="L29" s="8">
        <f>-1500*Escalation!$B$11</f>
        <v/>
      </c>
      <c r="M29" s="8">
        <f>-1500*Escalation!$B$12</f>
        <v/>
      </c>
      <c r="N29" s="8">
        <f>-1500*Escalation!$B$13</f>
        <v/>
      </c>
      <c r="O29" s="8">
        <f>-1500*Escalation!$B$14</f>
        <v/>
      </c>
      <c r="P29" s="8">
        <f>-1500*Escalation!$B$15</f>
        <v/>
      </c>
      <c r="Q29" s="8">
        <f>-1500*Escalation!$B$16</f>
        <v/>
      </c>
      <c r="R29" s="8">
        <f>-1500*Escalation!$B$17</f>
        <v/>
      </c>
      <c r="S29" s="8">
        <f>-1500*Escalation!$B$18</f>
        <v/>
      </c>
      <c r="T29" s="8">
        <f>-1500*Escalation!$B$19</f>
        <v/>
      </c>
      <c r="U29" s="8">
        <f>-1500*Escalation!$B$20</f>
        <v/>
      </c>
      <c r="V29" s="8">
        <f>-1500*Escalation!$B$21</f>
        <v/>
      </c>
      <c r="W29" s="8">
        <f>-1500*Escalation!$B$22</f>
        <v/>
      </c>
      <c r="X29" s="8">
        <f>-1500*Escalation!$B$23</f>
        <v/>
      </c>
      <c r="Y29" s="8">
        <f>-1500*Escalation!$B$24</f>
        <v/>
      </c>
      <c r="Z29" s="8">
        <f>-1500*Escalation!$B$25</f>
        <v/>
      </c>
      <c r="AA29" s="8">
        <f>-1500*Escalation!$B$26</f>
        <v/>
      </c>
      <c r="AB29" s="8">
        <f>-1500*Escalation!$B$27</f>
        <v/>
      </c>
      <c r="AC29" s="8">
        <f>-1500*Escalation!$B$28</f>
        <v/>
      </c>
      <c r="AD29" s="8">
        <f>-1500*Escalation!$B$29</f>
        <v/>
      </c>
      <c r="AE29" s="8">
        <f>-1500*Escalation!$B$30</f>
        <v/>
      </c>
      <c r="AF29" s="8">
        <f>-1500*Escalation!$B$31</f>
        <v/>
      </c>
      <c r="AG29" s="8">
        <f>-1500*Escalation!$B$32</f>
        <v/>
      </c>
      <c r="AH29" s="8">
        <f>-1500*Escalation!$B$33</f>
        <v/>
      </c>
      <c r="AI29" s="8">
        <f>-1500*Escalation!$B$34</f>
        <v/>
      </c>
      <c r="AJ29" s="8">
        <f>-1500*Escalation!$B$35</f>
        <v/>
      </c>
      <c r="AK29" s="8">
        <f>-1500*Escalation!$B$36</f>
        <v/>
      </c>
      <c r="AL29" s="8">
        <f>-1500*Escalation!$B$37</f>
        <v/>
      </c>
      <c r="AM29" s="8">
        <f>-1500*Escalation!$B$38</f>
        <v/>
      </c>
      <c r="AN29" s="8">
        <f>-1500*Escalation!$B$39</f>
        <v/>
      </c>
      <c r="AO29" s="8">
        <f>-1500*Escalation!$B$40</f>
        <v/>
      </c>
      <c r="AP29" s="8">
        <f>-1500*Escalation!$B$41</f>
        <v/>
      </c>
      <c r="AQ29" s="8">
        <f>-1500*Escalation!$B$42</f>
        <v/>
      </c>
      <c r="AR29" s="8">
        <f>-1500*Escalation!$B$43</f>
        <v/>
      </c>
      <c r="AS29" s="8">
        <f>-1500*Escalation!$B$44</f>
        <v/>
      </c>
      <c r="AT29" s="8">
        <f>-1500*Escalation!$B$45</f>
        <v/>
      </c>
      <c r="AU29" s="8">
        <f>-1500*Escalation!$B$46</f>
        <v/>
      </c>
      <c r="AV29" s="8">
        <f>-1500*Escalation!$B$47</f>
        <v/>
      </c>
      <c r="AW29" s="8">
        <f>-1500*Escalation!$B$48</f>
        <v/>
      </c>
      <c r="AX29" s="8">
        <f>-1500*Escalation!$B$49</f>
        <v/>
      </c>
      <c r="AY29" s="8">
        <f>-1500*Escalation!$B$50</f>
        <v/>
      </c>
      <c r="AZ29" s="8">
        <f>-1500*Escalation!$B$51</f>
        <v/>
      </c>
      <c r="BA29" s="8">
        <f>-1500*Escalation!$B$52</f>
        <v/>
      </c>
      <c r="BB29" s="8">
        <f>-1500*Escalation!$B$53</f>
        <v/>
      </c>
      <c r="BC29" s="8">
        <f>-1500*Escalation!$B$54</f>
        <v/>
      </c>
      <c r="BD29" s="8">
        <f>-1500*Escalation!$B$55</f>
        <v/>
      </c>
      <c r="BE29" s="8">
        <f>-1500*Escalation!$B$56</f>
        <v/>
      </c>
      <c r="BF29" s="8">
        <f>-1500*Escalation!$B$57</f>
        <v/>
      </c>
      <c r="BG29" s="8">
        <f>-1500*Escalation!$B$58</f>
        <v/>
      </c>
      <c r="BH29" s="8">
        <f>-1500*Escalation!$B$59</f>
        <v/>
      </c>
      <c r="BI29" s="8">
        <f>-1500*Escalation!$B$60</f>
        <v/>
      </c>
      <c r="BJ29" s="8">
        <f>-1500*Escalation!$B$61</f>
        <v/>
      </c>
      <c r="BK29" s="8">
        <f>-1500*Escalation!$B$62</f>
        <v/>
      </c>
      <c r="BL29" s="8">
        <f>-1500*Escalation!$B$63</f>
        <v/>
      </c>
      <c r="BM29" s="8">
        <f>-1500*Escalation!$B$64</f>
        <v/>
      </c>
      <c r="BN29" s="8">
        <f>-1500*Escalation!$B$65</f>
        <v/>
      </c>
      <c r="BO29" s="8">
        <f>-1500*Escalation!$B$66</f>
        <v/>
      </c>
      <c r="BP29" s="8">
        <f>-1500*Escalation!$B$67</f>
        <v/>
      </c>
      <c r="BQ29" s="8">
        <f>-1500*Escalation!$B$68</f>
        <v/>
      </c>
      <c r="BR29" s="8">
        <f>-1500*Escalation!$B$69</f>
        <v/>
      </c>
      <c r="BS29" s="8">
        <f>-1500*Escalation!$B$70</f>
        <v/>
      </c>
      <c r="BT29" s="8">
        <f>-1500*Escalation!$B$71</f>
        <v/>
      </c>
      <c r="BU29" s="8">
        <f>-1500*Escalation!$B$72</f>
        <v/>
      </c>
      <c r="BV29" s="8">
        <f>-1500*Escalation!$B$73</f>
        <v/>
      </c>
      <c r="BW29" s="8">
        <f>-1500*Escalation!$B$74</f>
        <v/>
      </c>
      <c r="BX29" s="8">
        <f>-1500*Escalation!$B$75</f>
        <v/>
      </c>
      <c r="BY29" s="8">
        <f>-1500*Escalation!$B$76</f>
        <v/>
      </c>
      <c r="BZ29" s="8">
        <f>-1500*Escalation!$B$77</f>
        <v/>
      </c>
      <c r="CA29" s="8">
        <f>-1500*Escalation!$B$78</f>
        <v/>
      </c>
      <c r="CB29" s="8">
        <f>-1500*Escalation!$B$79</f>
        <v/>
      </c>
      <c r="CC29" s="8">
        <f>-1500*Escalation!$B$80</f>
        <v/>
      </c>
      <c r="CD29" s="8">
        <f>-1500*Escalation!$B$81</f>
        <v/>
      </c>
      <c r="CE29" s="8">
        <f>-1500*Escalation!$B$82</f>
        <v/>
      </c>
      <c r="CF29" s="8">
        <f>-1500*Escalation!$B$83</f>
        <v/>
      </c>
      <c r="CG29" s="8">
        <f>-1500*Escalation!$B$84</f>
        <v/>
      </c>
      <c r="CH29" s="8">
        <f>-1500*Escalation!$B$85</f>
        <v/>
      </c>
      <c r="CI29" s="23" t="n"/>
    </row>
    <row r="30" ht="15" customHeight="1" s="201">
      <c r="A30" s="7" t="inlineStr">
        <is>
          <t>Legal and Professional Fees</t>
        </is>
      </c>
      <c r="B30" s="22" t="n"/>
      <c r="C30" s="8">
        <f>-1000*Escalation!$B$2</f>
        <v/>
      </c>
      <c r="D30" s="8">
        <f>-1000*Escalation!$B$3</f>
        <v/>
      </c>
      <c r="E30" s="8">
        <f>-1000*Escalation!$B$4</f>
        <v/>
      </c>
      <c r="F30" s="8">
        <f>-1000*Escalation!$B$5</f>
        <v/>
      </c>
      <c r="G30" s="8">
        <f>-1000*Escalation!$B$6</f>
        <v/>
      </c>
      <c r="H30" s="8">
        <f>-1000*Escalation!$B$7</f>
        <v/>
      </c>
      <c r="I30" s="8">
        <f>-1000*Escalation!$B$8</f>
        <v/>
      </c>
      <c r="J30" s="8">
        <f>-1000*Escalation!$B$9</f>
        <v/>
      </c>
      <c r="K30" s="8">
        <f>-1000*Escalation!$B$10</f>
        <v/>
      </c>
      <c r="L30" s="8">
        <f>-1000*Escalation!$B$11</f>
        <v/>
      </c>
      <c r="M30" s="8">
        <f>-1000*Escalation!$B$12</f>
        <v/>
      </c>
      <c r="N30" s="8">
        <f>-1000*Escalation!$B$13</f>
        <v/>
      </c>
      <c r="O30" s="8">
        <f>-1000*Escalation!$B$14</f>
        <v/>
      </c>
      <c r="P30" s="8">
        <f>-1000*Escalation!$B$15</f>
        <v/>
      </c>
      <c r="Q30" s="8">
        <f>-1000*Escalation!$B$16</f>
        <v/>
      </c>
      <c r="R30" s="8">
        <f>-1000*Escalation!$B$17</f>
        <v/>
      </c>
      <c r="S30" s="8">
        <f>-1000*Escalation!$B$18</f>
        <v/>
      </c>
      <c r="T30" s="8">
        <f>-1000*Escalation!$B$19</f>
        <v/>
      </c>
      <c r="U30" s="8">
        <f>-1000*Escalation!$B$20</f>
        <v/>
      </c>
      <c r="V30" s="8">
        <f>-1000*Escalation!$B$21</f>
        <v/>
      </c>
      <c r="W30" s="8">
        <f>-1000*Escalation!$B$22</f>
        <v/>
      </c>
      <c r="X30" s="8">
        <f>-1000*Escalation!$B$23</f>
        <v/>
      </c>
      <c r="Y30" s="8">
        <f>-1000*Escalation!$B$24</f>
        <v/>
      </c>
      <c r="Z30" s="8">
        <f>-1000*Escalation!$B$25</f>
        <v/>
      </c>
      <c r="AA30" s="8">
        <f>-1000*Escalation!$B$26</f>
        <v/>
      </c>
      <c r="AB30" s="8">
        <f>-1000*Escalation!$B$27</f>
        <v/>
      </c>
      <c r="AC30" s="8">
        <f>-1000*Escalation!$B$28</f>
        <v/>
      </c>
      <c r="AD30" s="8">
        <f>-1000*Escalation!$B$29</f>
        <v/>
      </c>
      <c r="AE30" s="8">
        <f>-1000*Escalation!$B$30</f>
        <v/>
      </c>
      <c r="AF30" s="8">
        <f>-1000*Escalation!$B$31</f>
        <v/>
      </c>
      <c r="AG30" s="8">
        <f>-1000*Escalation!$B$32</f>
        <v/>
      </c>
      <c r="AH30" s="8">
        <f>-1000*Escalation!$B$33</f>
        <v/>
      </c>
      <c r="AI30" s="8">
        <f>-1000*Escalation!$B$34</f>
        <v/>
      </c>
      <c r="AJ30" s="8">
        <f>-1000*Escalation!$B$35</f>
        <v/>
      </c>
      <c r="AK30" s="8">
        <f>-1000*Escalation!$B$36</f>
        <v/>
      </c>
      <c r="AL30" s="8">
        <f>-1000*Escalation!$B$37</f>
        <v/>
      </c>
      <c r="AM30" s="8">
        <f>-1000*Escalation!$B$38</f>
        <v/>
      </c>
      <c r="AN30" s="8">
        <f>-1000*Escalation!$B$39</f>
        <v/>
      </c>
      <c r="AO30" s="8">
        <f>-1000*Escalation!$B$40</f>
        <v/>
      </c>
      <c r="AP30" s="8">
        <f>-1000*Escalation!$B$41</f>
        <v/>
      </c>
      <c r="AQ30" s="8">
        <f>-1000*Escalation!$B$42</f>
        <v/>
      </c>
      <c r="AR30" s="8">
        <f>-1000*Escalation!$B$43</f>
        <v/>
      </c>
      <c r="AS30" s="8">
        <f>-1000*Escalation!$B$44</f>
        <v/>
      </c>
      <c r="AT30" s="8">
        <f>-1000*Escalation!$B$45</f>
        <v/>
      </c>
      <c r="AU30" s="8">
        <f>-1000*Escalation!$B$46</f>
        <v/>
      </c>
      <c r="AV30" s="8">
        <f>-1000*Escalation!$B$47</f>
        <v/>
      </c>
      <c r="AW30" s="8">
        <f>-1000*Escalation!$B$48</f>
        <v/>
      </c>
      <c r="AX30" s="8">
        <f>-1000*Escalation!$B$49</f>
        <v/>
      </c>
      <c r="AY30" s="8">
        <f>-1000*Escalation!$B$50</f>
        <v/>
      </c>
      <c r="AZ30" s="8">
        <f>-1000*Escalation!$B$51</f>
        <v/>
      </c>
      <c r="BA30" s="8">
        <f>-1000*Escalation!$B$52</f>
        <v/>
      </c>
      <c r="BB30" s="8">
        <f>-1000*Escalation!$B$53</f>
        <v/>
      </c>
      <c r="BC30" s="8">
        <f>-1000*Escalation!$B$54</f>
        <v/>
      </c>
      <c r="BD30" s="8">
        <f>-1000*Escalation!$B$55</f>
        <v/>
      </c>
      <c r="BE30" s="8">
        <f>-1000*Escalation!$B$56</f>
        <v/>
      </c>
      <c r="BF30" s="8">
        <f>-1000*Escalation!$B$57</f>
        <v/>
      </c>
      <c r="BG30" s="8">
        <f>-1000*Escalation!$B$58</f>
        <v/>
      </c>
      <c r="BH30" s="8">
        <f>-1000*Escalation!$B$59</f>
        <v/>
      </c>
      <c r="BI30" s="8">
        <f>-1000*Escalation!$B$60</f>
        <v/>
      </c>
      <c r="BJ30" s="8">
        <f>-1000*Escalation!$B$61</f>
        <v/>
      </c>
      <c r="BK30" s="8">
        <f>-1000*Escalation!$B$62</f>
        <v/>
      </c>
      <c r="BL30" s="8">
        <f>-1000*Escalation!$B$63</f>
        <v/>
      </c>
      <c r="BM30" s="8">
        <f>-1000*Escalation!$B$64</f>
        <v/>
      </c>
      <c r="BN30" s="8">
        <f>-1000*Escalation!$B$65</f>
        <v/>
      </c>
      <c r="BO30" s="8">
        <f>-1000*Escalation!$B$66</f>
        <v/>
      </c>
      <c r="BP30" s="8">
        <f>-1000*Escalation!$B$67</f>
        <v/>
      </c>
      <c r="BQ30" s="8">
        <f>-1000*Escalation!$B$68</f>
        <v/>
      </c>
      <c r="BR30" s="8">
        <f>-1000*Escalation!$B$69</f>
        <v/>
      </c>
      <c r="BS30" s="8">
        <f>-1000*Escalation!$B$70</f>
        <v/>
      </c>
      <c r="BT30" s="8">
        <f>-1000*Escalation!$B$71</f>
        <v/>
      </c>
      <c r="BU30" s="8">
        <f>-1000*Escalation!$B$72</f>
        <v/>
      </c>
      <c r="BV30" s="8">
        <f>-1000*Escalation!$B$73</f>
        <v/>
      </c>
      <c r="BW30" s="8">
        <f>-1000*Escalation!$B$74</f>
        <v/>
      </c>
      <c r="BX30" s="8">
        <f>-1000*Escalation!$B$75</f>
        <v/>
      </c>
      <c r="BY30" s="8">
        <f>-1000*Escalation!$B$76</f>
        <v/>
      </c>
      <c r="BZ30" s="8">
        <f>-1000*Escalation!$B$77</f>
        <v/>
      </c>
      <c r="CA30" s="8">
        <f>-1000*Escalation!$B$78</f>
        <v/>
      </c>
      <c r="CB30" s="8">
        <f>-1000*Escalation!$B$79</f>
        <v/>
      </c>
      <c r="CC30" s="8">
        <f>-1000*Escalation!$B$80</f>
        <v/>
      </c>
      <c r="CD30" s="8">
        <f>-1000*Escalation!$B$81</f>
        <v/>
      </c>
      <c r="CE30" s="8">
        <f>-1000*Escalation!$B$82</f>
        <v/>
      </c>
      <c r="CF30" s="8">
        <f>-1000*Escalation!$B$83</f>
        <v/>
      </c>
      <c r="CG30" s="8">
        <f>-1000*Escalation!$B$84</f>
        <v/>
      </c>
      <c r="CH30" s="8">
        <f>-1000*Escalation!$B$85</f>
        <v/>
      </c>
      <c r="CI30" s="23" t="n"/>
    </row>
    <row r="31" ht="15" customHeight="1" s="201">
      <c r="A31" s="7" t="inlineStr">
        <is>
          <t>Accounting/Consulting</t>
        </is>
      </c>
      <c r="B31" s="22" t="n"/>
      <c r="C31" s="8">
        <f>-1000*Escalation!$B$2</f>
        <v/>
      </c>
      <c r="D31" s="8">
        <f>-1000*Escalation!$B$3</f>
        <v/>
      </c>
      <c r="E31" s="8">
        <f>-1000*Escalation!$B$4</f>
        <v/>
      </c>
      <c r="F31" s="8">
        <f>-1000*Escalation!$B$5</f>
        <v/>
      </c>
      <c r="G31" s="8">
        <f>-1000*Escalation!$B$6</f>
        <v/>
      </c>
      <c r="H31" s="8">
        <f>-1000*Escalation!$B$7</f>
        <v/>
      </c>
      <c r="I31" s="8">
        <f>-1000*Escalation!$B$8</f>
        <v/>
      </c>
      <c r="J31" s="8">
        <f>-1000*Escalation!$B$9</f>
        <v/>
      </c>
      <c r="K31" s="8">
        <f>-1000*Escalation!$B$10</f>
        <v/>
      </c>
      <c r="L31" s="8">
        <f>-1000*Escalation!$B$11</f>
        <v/>
      </c>
      <c r="M31" s="8">
        <f>-1000*Escalation!$B$12</f>
        <v/>
      </c>
      <c r="N31" s="8">
        <f>-1000*Escalation!$B$13</f>
        <v/>
      </c>
      <c r="O31" s="8">
        <f>-1000*Escalation!$B$14</f>
        <v/>
      </c>
      <c r="P31" s="8">
        <f>-1000*Escalation!$B$15</f>
        <v/>
      </c>
      <c r="Q31" s="8">
        <f>-1000*Escalation!$B$16</f>
        <v/>
      </c>
      <c r="R31" s="8">
        <f>-1000*Escalation!$B$17</f>
        <v/>
      </c>
      <c r="S31" s="8">
        <f>-1000*Escalation!$B$18</f>
        <v/>
      </c>
      <c r="T31" s="8">
        <f>-1000*Escalation!$B$19</f>
        <v/>
      </c>
      <c r="U31" s="8">
        <f>-1000*Escalation!$B$20</f>
        <v/>
      </c>
      <c r="V31" s="8">
        <f>-1000*Escalation!$B$21</f>
        <v/>
      </c>
      <c r="W31" s="8">
        <f>-1000*Escalation!$B$22</f>
        <v/>
      </c>
      <c r="X31" s="8">
        <f>-1000*Escalation!$B$23</f>
        <v/>
      </c>
      <c r="Y31" s="8">
        <f>-1000*Escalation!$B$24</f>
        <v/>
      </c>
      <c r="Z31" s="8">
        <f>-1000*Escalation!$B$25</f>
        <v/>
      </c>
      <c r="AA31" s="8">
        <f>-1000*Escalation!$B$26</f>
        <v/>
      </c>
      <c r="AB31" s="8">
        <f>-1000*Escalation!$B$27</f>
        <v/>
      </c>
      <c r="AC31" s="8">
        <f>-1000*Escalation!$B$28</f>
        <v/>
      </c>
      <c r="AD31" s="8">
        <f>-1000*Escalation!$B$29</f>
        <v/>
      </c>
      <c r="AE31" s="8">
        <f>-1000*Escalation!$B$30</f>
        <v/>
      </c>
      <c r="AF31" s="8">
        <f>-1000*Escalation!$B$31</f>
        <v/>
      </c>
      <c r="AG31" s="8">
        <f>-1000*Escalation!$B$32</f>
        <v/>
      </c>
      <c r="AH31" s="8">
        <f>-1000*Escalation!$B$33</f>
        <v/>
      </c>
      <c r="AI31" s="8">
        <f>-1000*Escalation!$B$34</f>
        <v/>
      </c>
      <c r="AJ31" s="8">
        <f>-1000*Escalation!$B$35</f>
        <v/>
      </c>
      <c r="AK31" s="8">
        <f>-1000*Escalation!$B$36</f>
        <v/>
      </c>
      <c r="AL31" s="8">
        <f>-1000*Escalation!$B$37</f>
        <v/>
      </c>
      <c r="AM31" s="8">
        <f>-1000*Escalation!$B$38</f>
        <v/>
      </c>
      <c r="AN31" s="8">
        <f>-1000*Escalation!$B$39</f>
        <v/>
      </c>
      <c r="AO31" s="8">
        <f>-1000*Escalation!$B$40</f>
        <v/>
      </c>
      <c r="AP31" s="8">
        <f>-1000*Escalation!$B$41</f>
        <v/>
      </c>
      <c r="AQ31" s="8">
        <f>-1000*Escalation!$B$42</f>
        <v/>
      </c>
      <c r="AR31" s="8">
        <f>-1000*Escalation!$B$43</f>
        <v/>
      </c>
      <c r="AS31" s="8">
        <f>-1000*Escalation!$B$44</f>
        <v/>
      </c>
      <c r="AT31" s="8">
        <f>-1000*Escalation!$B$45</f>
        <v/>
      </c>
      <c r="AU31" s="8">
        <f>-1000*Escalation!$B$46</f>
        <v/>
      </c>
      <c r="AV31" s="8">
        <f>-1000*Escalation!$B$47</f>
        <v/>
      </c>
      <c r="AW31" s="8">
        <f>-1000*Escalation!$B$48</f>
        <v/>
      </c>
      <c r="AX31" s="8">
        <f>-1000*Escalation!$B$49</f>
        <v/>
      </c>
      <c r="AY31" s="8">
        <f>-1000*Escalation!$B$50</f>
        <v/>
      </c>
      <c r="AZ31" s="8">
        <f>-1000*Escalation!$B$51</f>
        <v/>
      </c>
      <c r="BA31" s="8">
        <f>-1000*Escalation!$B$52</f>
        <v/>
      </c>
      <c r="BB31" s="8">
        <f>-1000*Escalation!$B$53</f>
        <v/>
      </c>
      <c r="BC31" s="8">
        <f>-1000*Escalation!$B$54</f>
        <v/>
      </c>
      <c r="BD31" s="8">
        <f>-1000*Escalation!$B$55</f>
        <v/>
      </c>
      <c r="BE31" s="8">
        <f>-1000*Escalation!$B$56</f>
        <v/>
      </c>
      <c r="BF31" s="8">
        <f>-1000*Escalation!$B$57</f>
        <v/>
      </c>
      <c r="BG31" s="8">
        <f>-1000*Escalation!$B$58</f>
        <v/>
      </c>
      <c r="BH31" s="8">
        <f>-1000*Escalation!$B$59</f>
        <v/>
      </c>
      <c r="BI31" s="8">
        <f>-1000*Escalation!$B$60</f>
        <v/>
      </c>
      <c r="BJ31" s="8">
        <f>-1000*Escalation!$B$61</f>
        <v/>
      </c>
      <c r="BK31" s="8">
        <f>-1000*Escalation!$B$62</f>
        <v/>
      </c>
      <c r="BL31" s="8">
        <f>-1000*Escalation!$B$63</f>
        <v/>
      </c>
      <c r="BM31" s="8">
        <f>-1000*Escalation!$B$64</f>
        <v/>
      </c>
      <c r="BN31" s="8">
        <f>-1000*Escalation!$B$65</f>
        <v/>
      </c>
      <c r="BO31" s="8">
        <f>-1000*Escalation!$B$66</f>
        <v/>
      </c>
      <c r="BP31" s="8">
        <f>-1000*Escalation!$B$67</f>
        <v/>
      </c>
      <c r="BQ31" s="8">
        <f>-1000*Escalation!$B$68</f>
        <v/>
      </c>
      <c r="BR31" s="8">
        <f>-1000*Escalation!$B$69</f>
        <v/>
      </c>
      <c r="BS31" s="8">
        <f>-1000*Escalation!$B$70</f>
        <v/>
      </c>
      <c r="BT31" s="8">
        <f>-1000*Escalation!$B$71</f>
        <v/>
      </c>
      <c r="BU31" s="8">
        <f>-1000*Escalation!$B$72</f>
        <v/>
      </c>
      <c r="BV31" s="8">
        <f>-1000*Escalation!$B$73</f>
        <v/>
      </c>
      <c r="BW31" s="8">
        <f>-1000*Escalation!$B$74</f>
        <v/>
      </c>
      <c r="BX31" s="8">
        <f>-1000*Escalation!$B$75</f>
        <v/>
      </c>
      <c r="BY31" s="8">
        <f>-1000*Escalation!$B$76</f>
        <v/>
      </c>
      <c r="BZ31" s="8">
        <f>-1000*Escalation!$B$77</f>
        <v/>
      </c>
      <c r="CA31" s="8">
        <f>-1000*Escalation!$B$78</f>
        <v/>
      </c>
      <c r="CB31" s="8">
        <f>-1000*Escalation!$B$79</f>
        <v/>
      </c>
      <c r="CC31" s="8">
        <f>-1000*Escalation!$B$80</f>
        <v/>
      </c>
      <c r="CD31" s="8">
        <f>-1000*Escalation!$B$81</f>
        <v/>
      </c>
      <c r="CE31" s="8">
        <f>-1000*Escalation!$B$82</f>
        <v/>
      </c>
      <c r="CF31" s="8">
        <f>-1000*Escalation!$B$83</f>
        <v/>
      </c>
      <c r="CG31" s="8">
        <f>-1000*Escalation!$B$84</f>
        <v/>
      </c>
      <c r="CH31" s="8">
        <f>-1000*Escalation!$B$85</f>
        <v/>
      </c>
      <c r="CI31" s="23" t="n"/>
    </row>
    <row r="32" ht="15" customHeight="1" s="201">
      <c r="A32" s="7" t="inlineStr">
        <is>
          <t>Entity Filing and Formation Fees</t>
        </is>
      </c>
      <c r="B32" s="22" t="n"/>
      <c r="C32" s="8">
        <f>-416.67*Escalation!$B$2</f>
        <v/>
      </c>
      <c r="D32" s="8">
        <f>-416.67*Escalation!$B$3</f>
        <v/>
      </c>
      <c r="E32" s="8">
        <f>-416.67*Escalation!$B$4</f>
        <v/>
      </c>
      <c r="F32" s="8">
        <f>-416.67*Escalation!$B$5</f>
        <v/>
      </c>
      <c r="G32" s="8">
        <f>-416.67*Escalation!$B$6</f>
        <v/>
      </c>
      <c r="H32" s="8">
        <f>-416.67*Escalation!$B$7</f>
        <v/>
      </c>
      <c r="I32" s="8">
        <f>-416.67*Escalation!$B$8</f>
        <v/>
      </c>
      <c r="J32" s="8">
        <f>-416.67*Escalation!$B$9</f>
        <v/>
      </c>
      <c r="K32" s="8">
        <f>-416.67*Escalation!$B$10</f>
        <v/>
      </c>
      <c r="L32" s="8">
        <f>-416.67*Escalation!$B$11</f>
        <v/>
      </c>
      <c r="M32" s="8">
        <f>-416.67*Escalation!$B$12</f>
        <v/>
      </c>
      <c r="N32" s="8">
        <f>-416.67*Escalation!$B$13</f>
        <v/>
      </c>
      <c r="O32" s="8">
        <f>-416.67*Escalation!$B$14</f>
        <v/>
      </c>
      <c r="P32" s="8">
        <f>-416.67*Escalation!$B$15</f>
        <v/>
      </c>
      <c r="Q32" s="8">
        <f>-416.67*Escalation!$B$16</f>
        <v/>
      </c>
      <c r="R32" s="8">
        <f>-416.67*Escalation!$B$17</f>
        <v/>
      </c>
      <c r="S32" s="8">
        <f>-416.67*Escalation!$B$18</f>
        <v/>
      </c>
      <c r="T32" s="8">
        <f>-416.67*Escalation!$B$19</f>
        <v/>
      </c>
      <c r="U32" s="8">
        <f>-416.67*Escalation!$B$20</f>
        <v/>
      </c>
      <c r="V32" s="8">
        <f>-416.67*Escalation!$B$21</f>
        <v/>
      </c>
      <c r="W32" s="8">
        <f>-416.67*Escalation!$B$22</f>
        <v/>
      </c>
      <c r="X32" s="8">
        <f>-416.67*Escalation!$B$23</f>
        <v/>
      </c>
      <c r="Y32" s="8">
        <f>-416.67*Escalation!$B$24</f>
        <v/>
      </c>
      <c r="Z32" s="8">
        <f>-416.67*Escalation!$B$25</f>
        <v/>
      </c>
      <c r="AA32" s="8">
        <f>-416.67*Escalation!$B$26</f>
        <v/>
      </c>
      <c r="AB32" s="8">
        <f>-416.67*Escalation!$B$27</f>
        <v/>
      </c>
      <c r="AC32" s="8">
        <f>-416.67*Escalation!$B$28</f>
        <v/>
      </c>
      <c r="AD32" s="8">
        <f>-416.67*Escalation!$B$29</f>
        <v/>
      </c>
      <c r="AE32" s="8">
        <f>-416.67*Escalation!$B$30</f>
        <v/>
      </c>
      <c r="AF32" s="8">
        <f>-416.67*Escalation!$B$31</f>
        <v/>
      </c>
      <c r="AG32" s="8">
        <f>-416.67*Escalation!$B$32</f>
        <v/>
      </c>
      <c r="AH32" s="8">
        <f>-416.67*Escalation!$B$33</f>
        <v/>
      </c>
      <c r="AI32" s="8">
        <f>-416.67*Escalation!$B$34</f>
        <v/>
      </c>
      <c r="AJ32" s="8">
        <f>-416.67*Escalation!$B$35</f>
        <v/>
      </c>
      <c r="AK32" s="8">
        <f>-416.67*Escalation!$B$36</f>
        <v/>
      </c>
      <c r="AL32" s="8">
        <f>-416.67*Escalation!$B$37</f>
        <v/>
      </c>
      <c r="AM32" s="8">
        <f>-416.67*Escalation!$B$38</f>
        <v/>
      </c>
      <c r="AN32" s="8">
        <f>-416.67*Escalation!$B$39</f>
        <v/>
      </c>
      <c r="AO32" s="8">
        <f>-416.67*Escalation!$B$40</f>
        <v/>
      </c>
      <c r="AP32" s="8">
        <f>-416.67*Escalation!$B$41</f>
        <v/>
      </c>
      <c r="AQ32" s="8">
        <f>-416.67*Escalation!$B$42</f>
        <v/>
      </c>
      <c r="AR32" s="8">
        <f>-416.67*Escalation!$B$43</f>
        <v/>
      </c>
      <c r="AS32" s="8">
        <f>-416.67*Escalation!$B$44</f>
        <v/>
      </c>
      <c r="AT32" s="8">
        <f>-416.67*Escalation!$B$45</f>
        <v/>
      </c>
      <c r="AU32" s="8">
        <f>-416.67*Escalation!$B$46</f>
        <v/>
      </c>
      <c r="AV32" s="8">
        <f>-416.67*Escalation!$B$47</f>
        <v/>
      </c>
      <c r="AW32" s="8">
        <f>-416.67*Escalation!$B$48</f>
        <v/>
      </c>
      <c r="AX32" s="8">
        <f>-416.67*Escalation!$B$49</f>
        <v/>
      </c>
      <c r="AY32" s="8">
        <f>-416.67*Escalation!$B$50</f>
        <v/>
      </c>
      <c r="AZ32" s="8">
        <f>-416.67*Escalation!$B$51</f>
        <v/>
      </c>
      <c r="BA32" s="8">
        <f>-416.67*Escalation!$B$52</f>
        <v/>
      </c>
      <c r="BB32" s="8">
        <f>-416.67*Escalation!$B$53</f>
        <v/>
      </c>
      <c r="BC32" s="8">
        <f>-416.67*Escalation!$B$54</f>
        <v/>
      </c>
      <c r="BD32" s="8">
        <f>-416.67*Escalation!$B$55</f>
        <v/>
      </c>
      <c r="BE32" s="8">
        <f>-416.67*Escalation!$B$56</f>
        <v/>
      </c>
      <c r="BF32" s="8">
        <f>-416.67*Escalation!$B$57</f>
        <v/>
      </c>
      <c r="BG32" s="8">
        <f>-416.67*Escalation!$B$58</f>
        <v/>
      </c>
      <c r="BH32" s="8">
        <f>-416.67*Escalation!$B$59</f>
        <v/>
      </c>
      <c r="BI32" s="8">
        <f>-416.67*Escalation!$B$60</f>
        <v/>
      </c>
      <c r="BJ32" s="8">
        <f>-416.67*Escalation!$B$61</f>
        <v/>
      </c>
      <c r="BK32" s="8">
        <f>-416.67*Escalation!$B$62</f>
        <v/>
      </c>
      <c r="BL32" s="8">
        <f>-416.67*Escalation!$B$63</f>
        <v/>
      </c>
      <c r="BM32" s="8">
        <f>-416.67*Escalation!$B$64</f>
        <v/>
      </c>
      <c r="BN32" s="8">
        <f>-416.67*Escalation!$B$65</f>
        <v/>
      </c>
      <c r="BO32" s="8">
        <f>-416.67*Escalation!$B$66</f>
        <v/>
      </c>
      <c r="BP32" s="8">
        <f>-416.67*Escalation!$B$67</f>
        <v/>
      </c>
      <c r="BQ32" s="8">
        <f>-416.67*Escalation!$B$68</f>
        <v/>
      </c>
      <c r="BR32" s="8">
        <f>-416.67*Escalation!$B$69</f>
        <v/>
      </c>
      <c r="BS32" s="8">
        <f>-416.67*Escalation!$B$70</f>
        <v/>
      </c>
      <c r="BT32" s="8">
        <f>-416.67*Escalation!$B$71</f>
        <v/>
      </c>
      <c r="BU32" s="8">
        <f>-416.67*Escalation!$B$72</f>
        <v/>
      </c>
      <c r="BV32" s="8">
        <f>-416.67*Escalation!$B$73</f>
        <v/>
      </c>
      <c r="BW32" s="8">
        <f>-416.67*Escalation!$B$74</f>
        <v/>
      </c>
      <c r="BX32" s="8">
        <f>-416.67*Escalation!$B$75</f>
        <v/>
      </c>
      <c r="BY32" s="8">
        <f>-416.67*Escalation!$B$76</f>
        <v/>
      </c>
      <c r="BZ32" s="8">
        <f>-416.67*Escalation!$B$77</f>
        <v/>
      </c>
      <c r="CA32" s="8">
        <f>-416.67*Escalation!$B$78</f>
        <v/>
      </c>
      <c r="CB32" s="8">
        <f>-416.67*Escalation!$B$79</f>
        <v/>
      </c>
      <c r="CC32" s="8">
        <f>-416.67*Escalation!$B$80</f>
        <v/>
      </c>
      <c r="CD32" s="8">
        <f>-416.67*Escalation!$B$81</f>
        <v/>
      </c>
      <c r="CE32" s="8">
        <f>-416.67*Escalation!$B$82</f>
        <v/>
      </c>
      <c r="CF32" s="8">
        <f>-416.67*Escalation!$B$83</f>
        <v/>
      </c>
      <c r="CG32" s="8">
        <f>-416.67*Escalation!$B$84</f>
        <v/>
      </c>
      <c r="CH32" s="8">
        <f>-416.67*Escalation!$B$85</f>
        <v/>
      </c>
      <c r="CI32" s="23" t="n"/>
    </row>
    <row r="33" ht="15" customHeight="1" s="201">
      <c r="A33" s="7" t="inlineStr">
        <is>
          <t>General Insurance</t>
        </is>
      </c>
      <c r="B33" s="22" t="n"/>
      <c r="C33" s="8">
        <f>-1666.67*Escalation!$B$2</f>
        <v/>
      </c>
      <c r="D33" s="8">
        <f>-1666.67*Escalation!$B$3</f>
        <v/>
      </c>
      <c r="E33" s="8">
        <f>-1666.67*Escalation!$B$4</f>
        <v/>
      </c>
      <c r="F33" s="8">
        <f>-1666.67*Escalation!$B$5</f>
        <v/>
      </c>
      <c r="G33" s="8">
        <f>-1666.67*Escalation!$B$6</f>
        <v/>
      </c>
      <c r="H33" s="8">
        <f>-1666.67*Escalation!$B$7</f>
        <v/>
      </c>
      <c r="I33" s="8">
        <f>-1666.67*Escalation!$B$8</f>
        <v/>
      </c>
      <c r="J33" s="8">
        <f>-1666.67*Escalation!$B$9</f>
        <v/>
      </c>
      <c r="K33" s="8">
        <f>-1666.67*Escalation!$B$10</f>
        <v/>
      </c>
      <c r="L33" s="8">
        <f>-1666.67*Escalation!$B$11</f>
        <v/>
      </c>
      <c r="M33" s="8">
        <f>-1666.67*Escalation!$B$12</f>
        <v/>
      </c>
      <c r="N33" s="8">
        <f>-1666.67*Escalation!$B$13</f>
        <v/>
      </c>
      <c r="O33" s="8">
        <f>-1666.67*Escalation!$B$14</f>
        <v/>
      </c>
      <c r="P33" s="8">
        <f>-1666.67*Escalation!$B$15</f>
        <v/>
      </c>
      <c r="Q33" s="8">
        <f>-1666.67*Escalation!$B$16</f>
        <v/>
      </c>
      <c r="R33" s="8">
        <f>-1666.67*Escalation!$B$17</f>
        <v/>
      </c>
      <c r="S33" s="8">
        <f>-1666.67*Escalation!$B$18</f>
        <v/>
      </c>
      <c r="T33" s="8">
        <f>-1666.67*Escalation!$B$19</f>
        <v/>
      </c>
      <c r="U33" s="8">
        <f>-1666.67*Escalation!$B$20</f>
        <v/>
      </c>
      <c r="V33" s="8">
        <f>-1666.67*Escalation!$B$21</f>
        <v/>
      </c>
      <c r="W33" s="8">
        <f>-1666.67*Escalation!$B$22</f>
        <v/>
      </c>
      <c r="X33" s="8">
        <f>-1666.67*Escalation!$B$23</f>
        <v/>
      </c>
      <c r="Y33" s="8">
        <f>-1666.67*Escalation!$B$24</f>
        <v/>
      </c>
      <c r="Z33" s="8">
        <f>-1666.67*Escalation!$B$25</f>
        <v/>
      </c>
      <c r="AA33" s="8">
        <f>-1666.67*Escalation!$B$26</f>
        <v/>
      </c>
      <c r="AB33" s="8">
        <f>-1666.67*Escalation!$B$27</f>
        <v/>
      </c>
      <c r="AC33" s="8">
        <f>-1666.67*Escalation!$B$28</f>
        <v/>
      </c>
      <c r="AD33" s="8">
        <f>-1666.67*Escalation!$B$29</f>
        <v/>
      </c>
      <c r="AE33" s="8">
        <f>-1666.67*Escalation!$B$30</f>
        <v/>
      </c>
      <c r="AF33" s="8">
        <f>-1666.67*Escalation!$B$31</f>
        <v/>
      </c>
      <c r="AG33" s="8">
        <f>-1666.67*Escalation!$B$32</f>
        <v/>
      </c>
      <c r="AH33" s="8">
        <f>-1666.67*Escalation!$B$33</f>
        <v/>
      </c>
      <c r="AI33" s="8">
        <f>-1666.67*Escalation!$B$34</f>
        <v/>
      </c>
      <c r="AJ33" s="8">
        <f>-1666.67*Escalation!$B$35</f>
        <v/>
      </c>
      <c r="AK33" s="8">
        <f>-1666.67*Escalation!$B$36</f>
        <v/>
      </c>
      <c r="AL33" s="8">
        <f>-1666.67*Escalation!$B$37</f>
        <v/>
      </c>
      <c r="AM33" s="8">
        <f>-1666.67*Escalation!$B$38</f>
        <v/>
      </c>
      <c r="AN33" s="8">
        <f>-1666.67*Escalation!$B$39</f>
        <v/>
      </c>
      <c r="AO33" s="8">
        <f>-1666.67*Escalation!$B$40</f>
        <v/>
      </c>
      <c r="AP33" s="8">
        <f>-1666.67*Escalation!$B$41</f>
        <v/>
      </c>
      <c r="AQ33" s="8">
        <f>-1666.67*Escalation!$B$42</f>
        <v/>
      </c>
      <c r="AR33" s="8">
        <f>-1666.67*Escalation!$B$43</f>
        <v/>
      </c>
      <c r="AS33" s="8">
        <f>-1666.67*Escalation!$B$44</f>
        <v/>
      </c>
      <c r="AT33" s="8">
        <f>-1666.67*Escalation!$B$45</f>
        <v/>
      </c>
      <c r="AU33" s="8">
        <f>-1666.67*Escalation!$B$46</f>
        <v/>
      </c>
      <c r="AV33" s="8">
        <f>-1666.67*Escalation!$B$47</f>
        <v/>
      </c>
      <c r="AW33" s="8">
        <f>-1666.67*Escalation!$B$48</f>
        <v/>
      </c>
      <c r="AX33" s="8">
        <f>-1666.67*Escalation!$B$49</f>
        <v/>
      </c>
      <c r="AY33" s="8">
        <f>-1666.67*Escalation!$B$50</f>
        <v/>
      </c>
      <c r="AZ33" s="8">
        <f>-1666.67*Escalation!$B$51</f>
        <v/>
      </c>
      <c r="BA33" s="8">
        <f>-1666.67*Escalation!$B$52</f>
        <v/>
      </c>
      <c r="BB33" s="8">
        <f>-1666.67*Escalation!$B$53</f>
        <v/>
      </c>
      <c r="BC33" s="8">
        <f>-1666.67*Escalation!$B$54</f>
        <v/>
      </c>
      <c r="BD33" s="8">
        <f>-1666.67*Escalation!$B$55</f>
        <v/>
      </c>
      <c r="BE33" s="8">
        <f>-1666.67*Escalation!$B$56</f>
        <v/>
      </c>
      <c r="BF33" s="8">
        <f>-1666.67*Escalation!$B$57</f>
        <v/>
      </c>
      <c r="BG33" s="8">
        <f>-1666.67*Escalation!$B$58</f>
        <v/>
      </c>
      <c r="BH33" s="8">
        <f>-1666.67*Escalation!$B$59</f>
        <v/>
      </c>
      <c r="BI33" s="8">
        <f>-1666.67*Escalation!$B$60</f>
        <v/>
      </c>
      <c r="BJ33" s="8">
        <f>-1666.67*Escalation!$B$61</f>
        <v/>
      </c>
      <c r="BK33" s="8">
        <f>-1666.67*Escalation!$B$62</f>
        <v/>
      </c>
      <c r="BL33" s="8">
        <f>-1666.67*Escalation!$B$63</f>
        <v/>
      </c>
      <c r="BM33" s="8">
        <f>-1666.67*Escalation!$B$64</f>
        <v/>
      </c>
      <c r="BN33" s="8">
        <f>-1666.67*Escalation!$B$65</f>
        <v/>
      </c>
      <c r="BO33" s="8">
        <f>-1666.67*Escalation!$B$66</f>
        <v/>
      </c>
      <c r="BP33" s="8">
        <f>-1666.67*Escalation!$B$67</f>
        <v/>
      </c>
      <c r="BQ33" s="8">
        <f>-1666.67*Escalation!$B$68</f>
        <v/>
      </c>
      <c r="BR33" s="8">
        <f>-1666.67*Escalation!$B$69</f>
        <v/>
      </c>
      <c r="BS33" s="8">
        <f>-1666.67*Escalation!$B$70</f>
        <v/>
      </c>
      <c r="BT33" s="8">
        <f>-1666.67*Escalation!$B$71</f>
        <v/>
      </c>
      <c r="BU33" s="8">
        <f>-1666.67*Escalation!$B$72</f>
        <v/>
      </c>
      <c r="BV33" s="8">
        <f>-1666.67*Escalation!$B$73</f>
        <v/>
      </c>
      <c r="BW33" s="8">
        <f>-1666.67*Escalation!$B$74</f>
        <v/>
      </c>
      <c r="BX33" s="8">
        <f>-1666.67*Escalation!$B$75</f>
        <v/>
      </c>
      <c r="BY33" s="8">
        <f>-1666.67*Escalation!$B$76</f>
        <v/>
      </c>
      <c r="BZ33" s="8">
        <f>-1666.67*Escalation!$B$77</f>
        <v/>
      </c>
      <c r="CA33" s="8">
        <f>-1666.67*Escalation!$B$78</f>
        <v/>
      </c>
      <c r="CB33" s="8">
        <f>-1666.67*Escalation!$B$79</f>
        <v/>
      </c>
      <c r="CC33" s="8">
        <f>-1666.67*Escalation!$B$80</f>
        <v/>
      </c>
      <c r="CD33" s="8">
        <f>-1666.67*Escalation!$B$81</f>
        <v/>
      </c>
      <c r="CE33" s="8">
        <f>-1666.67*Escalation!$B$82</f>
        <v/>
      </c>
      <c r="CF33" s="8">
        <f>-1666.67*Escalation!$B$83</f>
        <v/>
      </c>
      <c r="CG33" s="8">
        <f>-1666.67*Escalation!$B$84</f>
        <v/>
      </c>
      <c r="CH33" s="8">
        <f>-1666.67*Escalation!$B$85</f>
        <v/>
      </c>
      <c r="CI33" s="23" t="n"/>
    </row>
    <row r="34" ht="15" customHeight="1" s="201">
      <c r="A34" s="7" t="inlineStr">
        <is>
          <t>Other Utilities</t>
        </is>
      </c>
      <c r="B34" s="22" t="n"/>
      <c r="C34" s="8">
        <f>-1000*Escalation!$B$2</f>
        <v/>
      </c>
      <c r="D34" s="8">
        <f>-1000*Escalation!$B$3</f>
        <v/>
      </c>
      <c r="E34" s="8">
        <f>-1000*Escalation!$B$4</f>
        <v/>
      </c>
      <c r="F34" s="8">
        <f>-1000*Escalation!$B$5</f>
        <v/>
      </c>
      <c r="G34" s="8">
        <f>-1000*Escalation!$B$6</f>
        <v/>
      </c>
      <c r="H34" s="8">
        <f>-1000*Escalation!$B$7</f>
        <v/>
      </c>
      <c r="I34" s="8">
        <f>-1000*Escalation!$B$8</f>
        <v/>
      </c>
      <c r="J34" s="8">
        <f>-1000*Escalation!$B$9</f>
        <v/>
      </c>
      <c r="K34" s="8">
        <f>-1000*Escalation!$B$10</f>
        <v/>
      </c>
      <c r="L34" s="8">
        <f>-1000*Escalation!$B$11</f>
        <v/>
      </c>
      <c r="M34" s="8">
        <f>-1000*Escalation!$B$12</f>
        <v/>
      </c>
      <c r="N34" s="8">
        <f>-1000*Escalation!$B$13</f>
        <v/>
      </c>
      <c r="O34" s="8">
        <f>-1000*Escalation!$B$14</f>
        <v/>
      </c>
      <c r="P34" s="8">
        <f>-1000*Escalation!$B$15</f>
        <v/>
      </c>
      <c r="Q34" s="8">
        <f>-1000*Escalation!$B$16</f>
        <v/>
      </c>
      <c r="R34" s="8">
        <f>-1000*Escalation!$B$17</f>
        <v/>
      </c>
      <c r="S34" s="8">
        <f>-1000*Escalation!$B$18</f>
        <v/>
      </c>
      <c r="T34" s="8">
        <f>-1000*Escalation!$B$19</f>
        <v/>
      </c>
      <c r="U34" s="8">
        <f>-1000*Escalation!$B$20</f>
        <v/>
      </c>
      <c r="V34" s="8">
        <f>-1000*Escalation!$B$21</f>
        <v/>
      </c>
      <c r="W34" s="8">
        <f>-1000*Escalation!$B$22</f>
        <v/>
      </c>
      <c r="X34" s="8">
        <f>-1000*Escalation!$B$23</f>
        <v/>
      </c>
      <c r="Y34" s="8">
        <f>-1000*Escalation!$B$24</f>
        <v/>
      </c>
      <c r="Z34" s="8">
        <f>-1000*Escalation!$B$25</f>
        <v/>
      </c>
      <c r="AA34" s="8">
        <f>-1000*Escalation!$B$26</f>
        <v/>
      </c>
      <c r="AB34" s="8">
        <f>-1000*Escalation!$B$27</f>
        <v/>
      </c>
      <c r="AC34" s="8">
        <f>-1000*Escalation!$B$28</f>
        <v/>
      </c>
      <c r="AD34" s="8">
        <f>-1000*Escalation!$B$29</f>
        <v/>
      </c>
      <c r="AE34" s="8">
        <f>-1000*Escalation!$B$30</f>
        <v/>
      </c>
      <c r="AF34" s="8">
        <f>-1000*Escalation!$B$31</f>
        <v/>
      </c>
      <c r="AG34" s="8">
        <f>-1000*Escalation!$B$32</f>
        <v/>
      </c>
      <c r="AH34" s="8">
        <f>-1000*Escalation!$B$33</f>
        <v/>
      </c>
      <c r="AI34" s="8">
        <f>-1000*Escalation!$B$34</f>
        <v/>
      </c>
      <c r="AJ34" s="8">
        <f>-1000*Escalation!$B$35</f>
        <v/>
      </c>
      <c r="AK34" s="8">
        <f>-1000*Escalation!$B$36</f>
        <v/>
      </c>
      <c r="AL34" s="8">
        <f>-1000*Escalation!$B$37</f>
        <v/>
      </c>
      <c r="AM34" s="8">
        <f>-1000*Escalation!$B$38</f>
        <v/>
      </c>
      <c r="AN34" s="8">
        <f>-1000*Escalation!$B$39</f>
        <v/>
      </c>
      <c r="AO34" s="8">
        <f>-1000*Escalation!$B$40</f>
        <v/>
      </c>
      <c r="AP34" s="8">
        <f>-1000*Escalation!$B$41</f>
        <v/>
      </c>
      <c r="AQ34" s="8">
        <f>-1000*Escalation!$B$42</f>
        <v/>
      </c>
      <c r="AR34" s="8">
        <f>-1000*Escalation!$B$43</f>
        <v/>
      </c>
      <c r="AS34" s="8">
        <f>-1000*Escalation!$B$44</f>
        <v/>
      </c>
      <c r="AT34" s="8">
        <f>-1000*Escalation!$B$45</f>
        <v/>
      </c>
      <c r="AU34" s="8">
        <f>-1000*Escalation!$B$46</f>
        <v/>
      </c>
      <c r="AV34" s="8">
        <f>-1000*Escalation!$B$47</f>
        <v/>
      </c>
      <c r="AW34" s="8">
        <f>-1000*Escalation!$B$48</f>
        <v/>
      </c>
      <c r="AX34" s="8">
        <f>-1000*Escalation!$B$49</f>
        <v/>
      </c>
      <c r="AY34" s="8">
        <f>-1000*Escalation!$B$50</f>
        <v/>
      </c>
      <c r="AZ34" s="8">
        <f>-1000*Escalation!$B$51</f>
        <v/>
      </c>
      <c r="BA34" s="8">
        <f>-1000*Escalation!$B$52</f>
        <v/>
      </c>
      <c r="BB34" s="8">
        <f>-1000*Escalation!$B$53</f>
        <v/>
      </c>
      <c r="BC34" s="8">
        <f>-1000*Escalation!$B$54</f>
        <v/>
      </c>
      <c r="BD34" s="8">
        <f>-1000*Escalation!$B$55</f>
        <v/>
      </c>
      <c r="BE34" s="8">
        <f>-1000*Escalation!$B$56</f>
        <v/>
      </c>
      <c r="BF34" s="8">
        <f>-1000*Escalation!$B$57</f>
        <v/>
      </c>
      <c r="BG34" s="8">
        <f>-1000*Escalation!$B$58</f>
        <v/>
      </c>
      <c r="BH34" s="8">
        <f>-1000*Escalation!$B$59</f>
        <v/>
      </c>
      <c r="BI34" s="8">
        <f>-1000*Escalation!$B$60</f>
        <v/>
      </c>
      <c r="BJ34" s="8">
        <f>-1000*Escalation!$B$61</f>
        <v/>
      </c>
      <c r="BK34" s="8">
        <f>-1000*Escalation!$B$62</f>
        <v/>
      </c>
      <c r="BL34" s="8">
        <f>-1000*Escalation!$B$63</f>
        <v/>
      </c>
      <c r="BM34" s="8">
        <f>-1000*Escalation!$B$64</f>
        <v/>
      </c>
      <c r="BN34" s="8">
        <f>-1000*Escalation!$B$65</f>
        <v/>
      </c>
      <c r="BO34" s="8">
        <f>-1000*Escalation!$B$66</f>
        <v/>
      </c>
      <c r="BP34" s="8">
        <f>-1000*Escalation!$B$67</f>
        <v/>
      </c>
      <c r="BQ34" s="8">
        <f>-1000*Escalation!$B$68</f>
        <v/>
      </c>
      <c r="BR34" s="8">
        <f>-1000*Escalation!$B$69</f>
        <v/>
      </c>
      <c r="BS34" s="8">
        <f>-1000*Escalation!$B$70</f>
        <v/>
      </c>
      <c r="BT34" s="8">
        <f>-1000*Escalation!$B$71</f>
        <v/>
      </c>
      <c r="BU34" s="8">
        <f>-1000*Escalation!$B$72</f>
        <v/>
      </c>
      <c r="BV34" s="8">
        <f>-1000*Escalation!$B$73</f>
        <v/>
      </c>
      <c r="BW34" s="8">
        <f>-1000*Escalation!$B$74</f>
        <v/>
      </c>
      <c r="BX34" s="8">
        <f>-1000*Escalation!$B$75</f>
        <v/>
      </c>
      <c r="BY34" s="8">
        <f>-1000*Escalation!$B$76</f>
        <v/>
      </c>
      <c r="BZ34" s="8">
        <f>-1000*Escalation!$B$77</f>
        <v/>
      </c>
      <c r="CA34" s="8">
        <f>-1000*Escalation!$B$78</f>
        <v/>
      </c>
      <c r="CB34" s="8">
        <f>-1000*Escalation!$B$79</f>
        <v/>
      </c>
      <c r="CC34" s="8">
        <f>-1000*Escalation!$B$80</f>
        <v/>
      </c>
      <c r="CD34" s="8">
        <f>-1000*Escalation!$B$81</f>
        <v/>
      </c>
      <c r="CE34" s="8">
        <f>-1000*Escalation!$B$82</f>
        <v/>
      </c>
      <c r="CF34" s="8">
        <f>-1000*Escalation!$B$83</f>
        <v/>
      </c>
      <c r="CG34" s="8">
        <f>-1000*Escalation!$B$84</f>
        <v/>
      </c>
      <c r="CH34" s="8">
        <f>-1000*Escalation!$B$85</f>
        <v/>
      </c>
      <c r="CI34" s="23" t="n"/>
    </row>
    <row r="35" ht="15" customHeight="1" s="201">
      <c r="A35" s="7" t="inlineStr">
        <is>
          <t>Gas Expense</t>
        </is>
      </c>
      <c r="B35" s="22" t="n"/>
      <c r="C35" s="8">
        <f>-4166.67*Escalation!$B$2</f>
        <v/>
      </c>
      <c r="D35" s="8">
        <f>-4166.67*Escalation!$B$3</f>
        <v/>
      </c>
      <c r="E35" s="8">
        <f>-4166.67*Escalation!$B$4</f>
        <v/>
      </c>
      <c r="F35" s="8">
        <f>-4166.67*Escalation!$B$5</f>
        <v/>
      </c>
      <c r="G35" s="8">
        <f>-4166.67*Escalation!$B$6</f>
        <v/>
      </c>
      <c r="H35" s="8">
        <f>-4166.67*Escalation!$B$7</f>
        <v/>
      </c>
      <c r="I35" s="8">
        <f>-4166.67*Escalation!$B$8</f>
        <v/>
      </c>
      <c r="J35" s="8">
        <f>-4166.67*Escalation!$B$9</f>
        <v/>
      </c>
      <c r="K35" s="8">
        <f>-4166.67*Escalation!$B$10</f>
        <v/>
      </c>
      <c r="L35" s="8">
        <f>-4166.67*Escalation!$B$11</f>
        <v/>
      </c>
      <c r="M35" s="8">
        <f>-4166.67*Escalation!$B$12</f>
        <v/>
      </c>
      <c r="N35" s="8">
        <f>-4166.67*Escalation!$B$13</f>
        <v/>
      </c>
      <c r="O35" s="8">
        <f>-4166.67*Escalation!$B$14</f>
        <v/>
      </c>
      <c r="P35" s="8">
        <f>-4166.67*Escalation!$B$15</f>
        <v/>
      </c>
      <c r="Q35" s="8">
        <f>-4166.67*Escalation!$B$16</f>
        <v/>
      </c>
      <c r="R35" s="8">
        <f>-4166.67*Escalation!$B$17</f>
        <v/>
      </c>
      <c r="S35" s="8">
        <f>-4166.67*Escalation!$B$18</f>
        <v/>
      </c>
      <c r="T35" s="8">
        <f>-4166.67*Escalation!$B$19</f>
        <v/>
      </c>
      <c r="U35" s="8">
        <f>-4166.67*Escalation!$B$20</f>
        <v/>
      </c>
      <c r="V35" s="8">
        <f>-4166.67*Escalation!$B$21</f>
        <v/>
      </c>
      <c r="W35" s="8">
        <f>-4166.67*Escalation!$B$22</f>
        <v/>
      </c>
      <c r="X35" s="8">
        <f>-4166.67*Escalation!$B$23</f>
        <v/>
      </c>
      <c r="Y35" s="8">
        <f>-4166.67*Escalation!$B$24</f>
        <v/>
      </c>
      <c r="Z35" s="8">
        <f>-4166.67*Escalation!$B$25</f>
        <v/>
      </c>
      <c r="AA35" s="8">
        <f>-4166.67*Escalation!$B$26</f>
        <v/>
      </c>
      <c r="AB35" s="8">
        <f>-4166.67*Escalation!$B$27</f>
        <v/>
      </c>
      <c r="AC35" s="8">
        <f>-4166.67*Escalation!$B$28</f>
        <v/>
      </c>
      <c r="AD35" s="8">
        <f>-4166.67*Escalation!$B$29</f>
        <v/>
      </c>
      <c r="AE35" s="8">
        <f>-4166.67*Escalation!$B$30</f>
        <v/>
      </c>
      <c r="AF35" s="8">
        <f>-4166.67*Escalation!$B$31</f>
        <v/>
      </c>
      <c r="AG35" s="8">
        <f>-4166.67*Escalation!$B$32</f>
        <v/>
      </c>
      <c r="AH35" s="8">
        <f>-4166.67*Escalation!$B$33</f>
        <v/>
      </c>
      <c r="AI35" s="8">
        <f>-4166.67*Escalation!$B$34</f>
        <v/>
      </c>
      <c r="AJ35" s="8">
        <f>-4166.67*Escalation!$B$35</f>
        <v/>
      </c>
      <c r="AK35" s="8">
        <f>-4166.67*Escalation!$B$36</f>
        <v/>
      </c>
      <c r="AL35" s="8">
        <f>-4166.67*Escalation!$B$37</f>
        <v/>
      </c>
      <c r="AM35" s="8">
        <f>-4166.67*Escalation!$B$38</f>
        <v/>
      </c>
      <c r="AN35" s="8">
        <f>-4166.67*Escalation!$B$39</f>
        <v/>
      </c>
      <c r="AO35" s="8">
        <f>-4166.67*Escalation!$B$40</f>
        <v/>
      </c>
      <c r="AP35" s="8">
        <f>-4166.67*Escalation!$B$41</f>
        <v/>
      </c>
      <c r="AQ35" s="8">
        <f>-4166.67*Escalation!$B$42</f>
        <v/>
      </c>
      <c r="AR35" s="8">
        <f>-4166.67*Escalation!$B$43</f>
        <v/>
      </c>
      <c r="AS35" s="8">
        <f>-4166.67*Escalation!$B$44</f>
        <v/>
      </c>
      <c r="AT35" s="8">
        <f>-4166.67*Escalation!$B$45</f>
        <v/>
      </c>
      <c r="AU35" s="8">
        <f>-4166.67*Escalation!$B$46</f>
        <v/>
      </c>
      <c r="AV35" s="8">
        <f>-4166.67*Escalation!$B$47</f>
        <v/>
      </c>
      <c r="AW35" s="8">
        <f>-4166.67*Escalation!$B$48</f>
        <v/>
      </c>
      <c r="AX35" s="8">
        <f>-4166.67*Escalation!$B$49</f>
        <v/>
      </c>
      <c r="AY35" s="8">
        <f>-4166.67*Escalation!$B$50</f>
        <v/>
      </c>
      <c r="AZ35" s="8">
        <f>-4166.67*Escalation!$B$51</f>
        <v/>
      </c>
      <c r="BA35" s="8">
        <f>-4166.67*Escalation!$B$52</f>
        <v/>
      </c>
      <c r="BB35" s="8">
        <f>-4166.67*Escalation!$B$53</f>
        <v/>
      </c>
      <c r="BC35" s="8">
        <f>-4166.67*Escalation!$B$54</f>
        <v/>
      </c>
      <c r="BD35" s="8">
        <f>-4166.67*Escalation!$B$55</f>
        <v/>
      </c>
      <c r="BE35" s="8">
        <f>-4166.67*Escalation!$B$56</f>
        <v/>
      </c>
      <c r="BF35" s="8">
        <f>-4166.67*Escalation!$B$57</f>
        <v/>
      </c>
      <c r="BG35" s="8">
        <f>-4166.67*Escalation!$B$58</f>
        <v/>
      </c>
      <c r="BH35" s="8">
        <f>-4166.67*Escalation!$B$59</f>
        <v/>
      </c>
      <c r="BI35" s="8">
        <f>-4166.67*Escalation!$B$60</f>
        <v/>
      </c>
      <c r="BJ35" s="8">
        <f>-4166.67*Escalation!$B$61</f>
        <v/>
      </c>
      <c r="BK35" s="8">
        <f>-4166.67*Escalation!$B$62</f>
        <v/>
      </c>
      <c r="BL35" s="8">
        <f>-4166.67*Escalation!$B$63</f>
        <v/>
      </c>
      <c r="BM35" s="8">
        <f>-4166.67*Escalation!$B$64</f>
        <v/>
      </c>
      <c r="BN35" s="8">
        <f>-4166.67*Escalation!$B$65</f>
        <v/>
      </c>
      <c r="BO35" s="8">
        <f>-4166.67*Escalation!$B$66</f>
        <v/>
      </c>
      <c r="BP35" s="8">
        <f>-4166.67*Escalation!$B$67</f>
        <v/>
      </c>
      <c r="BQ35" s="8">
        <f>-4166.67*Escalation!$B$68</f>
        <v/>
      </c>
      <c r="BR35" s="8">
        <f>-4166.67*Escalation!$B$69</f>
        <v/>
      </c>
      <c r="BS35" s="8">
        <f>-4166.67*Escalation!$B$70</f>
        <v/>
      </c>
      <c r="BT35" s="8">
        <f>-4166.67*Escalation!$B$71</f>
        <v/>
      </c>
      <c r="BU35" s="8">
        <f>-4166.67*Escalation!$B$72</f>
        <v/>
      </c>
      <c r="BV35" s="8">
        <f>-4166.67*Escalation!$B$73</f>
        <v/>
      </c>
      <c r="BW35" s="8">
        <f>-4166.67*Escalation!$B$74</f>
        <v/>
      </c>
      <c r="BX35" s="8">
        <f>-4166.67*Escalation!$B$75</f>
        <v/>
      </c>
      <c r="BY35" s="8">
        <f>-4166.67*Escalation!$B$76</f>
        <v/>
      </c>
      <c r="BZ35" s="8">
        <f>-4166.67*Escalation!$B$77</f>
        <v/>
      </c>
      <c r="CA35" s="8">
        <f>-4166.67*Escalation!$B$78</f>
        <v/>
      </c>
      <c r="CB35" s="8">
        <f>-4166.67*Escalation!$B$79</f>
        <v/>
      </c>
      <c r="CC35" s="8">
        <f>-4166.67*Escalation!$B$80</f>
        <v/>
      </c>
      <c r="CD35" s="8">
        <f>-4166.67*Escalation!$B$81</f>
        <v/>
      </c>
      <c r="CE35" s="8">
        <f>-4166.67*Escalation!$B$82</f>
        <v/>
      </c>
      <c r="CF35" s="8">
        <f>-4166.67*Escalation!$B$83</f>
        <v/>
      </c>
      <c r="CG35" s="8">
        <f>-4166.67*Escalation!$B$84</f>
        <v/>
      </c>
      <c r="CH35" s="8">
        <f>-4166.67*Escalation!$B$85</f>
        <v/>
      </c>
      <c r="CI35" s="23" t="n"/>
    </row>
    <row r="36" ht="15" customHeight="1" s="201">
      <c r="A36" s="7" t="inlineStr">
        <is>
          <t>Auto &amp; Truck Expense</t>
        </is>
      </c>
      <c r="B36" s="22" t="n"/>
      <c r="C36" s="8">
        <f>-1000*Escalation!$B$2</f>
        <v/>
      </c>
      <c r="D36" s="8">
        <f>-1000*Escalation!$B$3</f>
        <v/>
      </c>
      <c r="E36" s="8">
        <f>-1000*Escalation!$B$4</f>
        <v/>
      </c>
      <c r="F36" s="8">
        <f>-1000*Escalation!$B$5</f>
        <v/>
      </c>
      <c r="G36" s="8">
        <f>-1000*Escalation!$B$6</f>
        <v/>
      </c>
      <c r="H36" s="8">
        <f>-1000*Escalation!$B$7</f>
        <v/>
      </c>
      <c r="I36" s="8">
        <f>-1000*Escalation!$B$8</f>
        <v/>
      </c>
      <c r="J36" s="8">
        <f>-1000*Escalation!$B$9</f>
        <v/>
      </c>
      <c r="K36" s="8">
        <f>-1000*Escalation!$B$10</f>
        <v/>
      </c>
      <c r="L36" s="8">
        <f>-1000*Escalation!$B$11</f>
        <v/>
      </c>
      <c r="M36" s="8">
        <f>-1000*Escalation!$B$12</f>
        <v/>
      </c>
      <c r="N36" s="8">
        <f>-1000*Escalation!$B$13</f>
        <v/>
      </c>
      <c r="O36" s="8">
        <f>-1000*Escalation!$B$14</f>
        <v/>
      </c>
      <c r="P36" s="8">
        <f>-1000*Escalation!$B$15</f>
        <v/>
      </c>
      <c r="Q36" s="8">
        <f>-1000*Escalation!$B$16</f>
        <v/>
      </c>
      <c r="R36" s="8">
        <f>-1000*Escalation!$B$17</f>
        <v/>
      </c>
      <c r="S36" s="8">
        <f>-1000*Escalation!$B$18</f>
        <v/>
      </c>
      <c r="T36" s="8">
        <f>-1000*Escalation!$B$19</f>
        <v/>
      </c>
      <c r="U36" s="8">
        <f>-1000*Escalation!$B$20</f>
        <v/>
      </c>
      <c r="V36" s="8">
        <f>-1000*Escalation!$B$21</f>
        <v/>
      </c>
      <c r="W36" s="8">
        <f>-1000*Escalation!$B$22</f>
        <v/>
      </c>
      <c r="X36" s="8">
        <f>-1000*Escalation!$B$23</f>
        <v/>
      </c>
      <c r="Y36" s="8">
        <f>-1000*Escalation!$B$24</f>
        <v/>
      </c>
      <c r="Z36" s="8">
        <f>-1000*Escalation!$B$25</f>
        <v/>
      </c>
      <c r="AA36" s="8">
        <f>-1000*Escalation!$B$26</f>
        <v/>
      </c>
      <c r="AB36" s="8">
        <f>-1000*Escalation!$B$27</f>
        <v/>
      </c>
      <c r="AC36" s="8">
        <f>-1000*Escalation!$B$28</f>
        <v/>
      </c>
      <c r="AD36" s="8">
        <f>-1000*Escalation!$B$29</f>
        <v/>
      </c>
      <c r="AE36" s="8">
        <f>-1000*Escalation!$B$30</f>
        <v/>
      </c>
      <c r="AF36" s="8">
        <f>-1000*Escalation!$B$31</f>
        <v/>
      </c>
      <c r="AG36" s="8">
        <f>-1000*Escalation!$B$32</f>
        <v/>
      </c>
      <c r="AH36" s="8">
        <f>-1000*Escalation!$B$33</f>
        <v/>
      </c>
      <c r="AI36" s="8">
        <f>-1000*Escalation!$B$34</f>
        <v/>
      </c>
      <c r="AJ36" s="8">
        <f>-1000*Escalation!$B$35</f>
        <v/>
      </c>
      <c r="AK36" s="8">
        <f>-1000*Escalation!$B$36</f>
        <v/>
      </c>
      <c r="AL36" s="8">
        <f>-1000*Escalation!$B$37</f>
        <v/>
      </c>
      <c r="AM36" s="8">
        <f>-1000*Escalation!$B$38</f>
        <v/>
      </c>
      <c r="AN36" s="8">
        <f>-1000*Escalation!$B$39</f>
        <v/>
      </c>
      <c r="AO36" s="8">
        <f>-1000*Escalation!$B$40</f>
        <v/>
      </c>
      <c r="AP36" s="8">
        <f>-1000*Escalation!$B$41</f>
        <v/>
      </c>
      <c r="AQ36" s="8">
        <f>-1000*Escalation!$B$42</f>
        <v/>
      </c>
      <c r="AR36" s="8">
        <f>-1000*Escalation!$B$43</f>
        <v/>
      </c>
      <c r="AS36" s="8">
        <f>-1000*Escalation!$B$44</f>
        <v/>
      </c>
      <c r="AT36" s="8">
        <f>-1000*Escalation!$B$45</f>
        <v/>
      </c>
      <c r="AU36" s="8">
        <f>-1000*Escalation!$B$46</f>
        <v/>
      </c>
      <c r="AV36" s="8">
        <f>-1000*Escalation!$B$47</f>
        <v/>
      </c>
      <c r="AW36" s="8">
        <f>-1000*Escalation!$B$48</f>
        <v/>
      </c>
      <c r="AX36" s="8">
        <f>-1000*Escalation!$B$49</f>
        <v/>
      </c>
      <c r="AY36" s="8">
        <f>-1000*Escalation!$B$50</f>
        <v/>
      </c>
      <c r="AZ36" s="8">
        <f>-1000*Escalation!$B$51</f>
        <v/>
      </c>
      <c r="BA36" s="8">
        <f>-1000*Escalation!$B$52</f>
        <v/>
      </c>
      <c r="BB36" s="8">
        <f>-1000*Escalation!$B$53</f>
        <v/>
      </c>
      <c r="BC36" s="8">
        <f>-1000*Escalation!$B$54</f>
        <v/>
      </c>
      <c r="BD36" s="8">
        <f>-1000*Escalation!$B$55</f>
        <v/>
      </c>
      <c r="BE36" s="8">
        <f>-1000*Escalation!$B$56</f>
        <v/>
      </c>
      <c r="BF36" s="8">
        <f>-1000*Escalation!$B$57</f>
        <v/>
      </c>
      <c r="BG36" s="8">
        <f>-1000*Escalation!$B$58</f>
        <v/>
      </c>
      <c r="BH36" s="8">
        <f>-1000*Escalation!$B$59</f>
        <v/>
      </c>
      <c r="BI36" s="8">
        <f>-1000*Escalation!$B$60</f>
        <v/>
      </c>
      <c r="BJ36" s="8">
        <f>-1000*Escalation!$B$61</f>
        <v/>
      </c>
      <c r="BK36" s="8">
        <f>-1000*Escalation!$B$62</f>
        <v/>
      </c>
      <c r="BL36" s="8">
        <f>-1000*Escalation!$B$63</f>
        <v/>
      </c>
      <c r="BM36" s="8">
        <f>-1000*Escalation!$B$64</f>
        <v/>
      </c>
      <c r="BN36" s="8">
        <f>-1000*Escalation!$B$65</f>
        <v/>
      </c>
      <c r="BO36" s="8">
        <f>-1000*Escalation!$B$66</f>
        <v/>
      </c>
      <c r="BP36" s="8">
        <f>-1000*Escalation!$B$67</f>
        <v/>
      </c>
      <c r="BQ36" s="8">
        <f>-1000*Escalation!$B$68</f>
        <v/>
      </c>
      <c r="BR36" s="8">
        <f>-1000*Escalation!$B$69</f>
        <v/>
      </c>
      <c r="BS36" s="8">
        <f>-1000*Escalation!$B$70</f>
        <v/>
      </c>
      <c r="BT36" s="8">
        <f>-1000*Escalation!$B$71</f>
        <v/>
      </c>
      <c r="BU36" s="8">
        <f>-1000*Escalation!$B$72</f>
        <v/>
      </c>
      <c r="BV36" s="8">
        <f>-1000*Escalation!$B$73</f>
        <v/>
      </c>
      <c r="BW36" s="8">
        <f>-1000*Escalation!$B$74</f>
        <v/>
      </c>
      <c r="BX36" s="8">
        <f>-1000*Escalation!$B$75</f>
        <v/>
      </c>
      <c r="BY36" s="8">
        <f>-1000*Escalation!$B$76</f>
        <v/>
      </c>
      <c r="BZ36" s="8">
        <f>-1000*Escalation!$B$77</f>
        <v/>
      </c>
      <c r="CA36" s="8">
        <f>-1000*Escalation!$B$78</f>
        <v/>
      </c>
      <c r="CB36" s="8">
        <f>-1000*Escalation!$B$79</f>
        <v/>
      </c>
      <c r="CC36" s="8">
        <f>-1000*Escalation!$B$80</f>
        <v/>
      </c>
      <c r="CD36" s="8">
        <f>-1000*Escalation!$B$81</f>
        <v/>
      </c>
      <c r="CE36" s="8">
        <f>-1000*Escalation!$B$82</f>
        <v/>
      </c>
      <c r="CF36" s="8">
        <f>-1000*Escalation!$B$83</f>
        <v/>
      </c>
      <c r="CG36" s="8">
        <f>-1000*Escalation!$B$84</f>
        <v/>
      </c>
      <c r="CH36" s="8">
        <f>-1000*Escalation!$B$85</f>
        <v/>
      </c>
      <c r="CI36" s="23" t="n"/>
    </row>
    <row r="37" ht="15" customHeight="1" s="201">
      <c r="A37" s="7" t="inlineStr">
        <is>
          <t>Bank Service Charges</t>
        </is>
      </c>
      <c r="B37" s="22" t="n"/>
      <c r="C37" s="8">
        <f>-166.67*Escalation!$B$2</f>
        <v/>
      </c>
      <c r="D37" s="8">
        <f>-166.67*Escalation!$B$3</f>
        <v/>
      </c>
      <c r="E37" s="8">
        <f>-166.67*Escalation!$B$4</f>
        <v/>
      </c>
      <c r="F37" s="8">
        <f>-166.67*Escalation!$B$5</f>
        <v/>
      </c>
      <c r="G37" s="8">
        <f>-166.67*Escalation!$B$6</f>
        <v/>
      </c>
      <c r="H37" s="8">
        <f>-166.67*Escalation!$B$7</f>
        <v/>
      </c>
      <c r="I37" s="8">
        <f>-166.67*Escalation!$B$8</f>
        <v/>
      </c>
      <c r="J37" s="8">
        <f>-166.67*Escalation!$B$9</f>
        <v/>
      </c>
      <c r="K37" s="8">
        <f>-166.67*Escalation!$B$10</f>
        <v/>
      </c>
      <c r="L37" s="8">
        <f>-166.67*Escalation!$B$11</f>
        <v/>
      </c>
      <c r="M37" s="8">
        <f>-166.67*Escalation!$B$12</f>
        <v/>
      </c>
      <c r="N37" s="8">
        <f>-166.67*Escalation!$B$13</f>
        <v/>
      </c>
      <c r="O37" s="8">
        <f>-166.67*Escalation!$B$14</f>
        <v/>
      </c>
      <c r="P37" s="8">
        <f>-166.67*Escalation!$B$15</f>
        <v/>
      </c>
      <c r="Q37" s="8">
        <f>-166.67*Escalation!$B$16</f>
        <v/>
      </c>
      <c r="R37" s="8">
        <f>-166.67*Escalation!$B$17</f>
        <v/>
      </c>
      <c r="S37" s="8">
        <f>-166.67*Escalation!$B$18</f>
        <v/>
      </c>
      <c r="T37" s="8">
        <f>-166.67*Escalation!$B$19</f>
        <v/>
      </c>
      <c r="U37" s="8">
        <f>-166.67*Escalation!$B$20</f>
        <v/>
      </c>
      <c r="V37" s="8">
        <f>-166.67*Escalation!$B$21</f>
        <v/>
      </c>
      <c r="W37" s="8">
        <f>-166.67*Escalation!$B$22</f>
        <v/>
      </c>
      <c r="X37" s="8">
        <f>-166.67*Escalation!$B$23</f>
        <v/>
      </c>
      <c r="Y37" s="8">
        <f>-166.67*Escalation!$B$24</f>
        <v/>
      </c>
      <c r="Z37" s="8">
        <f>-166.67*Escalation!$B$25</f>
        <v/>
      </c>
      <c r="AA37" s="8">
        <f>-166.67*Escalation!$B$26</f>
        <v/>
      </c>
      <c r="AB37" s="8">
        <f>-166.67*Escalation!$B$27</f>
        <v/>
      </c>
      <c r="AC37" s="8">
        <f>-166.67*Escalation!$B$28</f>
        <v/>
      </c>
      <c r="AD37" s="8">
        <f>-166.67*Escalation!$B$29</f>
        <v/>
      </c>
      <c r="AE37" s="8">
        <f>-166.67*Escalation!$B$30</f>
        <v/>
      </c>
      <c r="AF37" s="8">
        <f>-166.67*Escalation!$B$31</f>
        <v/>
      </c>
      <c r="AG37" s="8">
        <f>-166.67*Escalation!$B$32</f>
        <v/>
      </c>
      <c r="AH37" s="8">
        <f>-166.67*Escalation!$B$33</f>
        <v/>
      </c>
      <c r="AI37" s="8">
        <f>-166.67*Escalation!$B$34</f>
        <v/>
      </c>
      <c r="AJ37" s="8">
        <f>-166.67*Escalation!$B$35</f>
        <v/>
      </c>
      <c r="AK37" s="8">
        <f>-166.67*Escalation!$B$36</f>
        <v/>
      </c>
      <c r="AL37" s="8">
        <f>-166.67*Escalation!$B$37</f>
        <v/>
      </c>
      <c r="AM37" s="8">
        <f>-166.67*Escalation!$B$38</f>
        <v/>
      </c>
      <c r="AN37" s="8">
        <f>-166.67*Escalation!$B$39</f>
        <v/>
      </c>
      <c r="AO37" s="8">
        <f>-166.67*Escalation!$B$40</f>
        <v/>
      </c>
      <c r="AP37" s="8">
        <f>-166.67*Escalation!$B$41</f>
        <v/>
      </c>
      <c r="AQ37" s="8">
        <f>-166.67*Escalation!$B$42</f>
        <v/>
      </c>
      <c r="AR37" s="8">
        <f>-166.67*Escalation!$B$43</f>
        <v/>
      </c>
      <c r="AS37" s="8">
        <f>-166.67*Escalation!$B$44</f>
        <v/>
      </c>
      <c r="AT37" s="8">
        <f>-166.67*Escalation!$B$45</f>
        <v/>
      </c>
      <c r="AU37" s="8">
        <f>-166.67*Escalation!$B$46</f>
        <v/>
      </c>
      <c r="AV37" s="8">
        <f>-166.67*Escalation!$B$47</f>
        <v/>
      </c>
      <c r="AW37" s="8">
        <f>-166.67*Escalation!$B$48</f>
        <v/>
      </c>
      <c r="AX37" s="8">
        <f>-166.67*Escalation!$B$49</f>
        <v/>
      </c>
      <c r="AY37" s="8">
        <f>-166.67*Escalation!$B$50</f>
        <v/>
      </c>
      <c r="AZ37" s="8">
        <f>-166.67*Escalation!$B$51</f>
        <v/>
      </c>
      <c r="BA37" s="8">
        <f>-166.67*Escalation!$B$52</f>
        <v/>
      </c>
      <c r="BB37" s="8">
        <f>-166.67*Escalation!$B$53</f>
        <v/>
      </c>
      <c r="BC37" s="8">
        <f>-166.67*Escalation!$B$54</f>
        <v/>
      </c>
      <c r="BD37" s="8">
        <f>-166.67*Escalation!$B$55</f>
        <v/>
      </c>
      <c r="BE37" s="8">
        <f>-166.67*Escalation!$B$56</f>
        <v/>
      </c>
      <c r="BF37" s="8">
        <f>-166.67*Escalation!$B$57</f>
        <v/>
      </c>
      <c r="BG37" s="8">
        <f>-166.67*Escalation!$B$58</f>
        <v/>
      </c>
      <c r="BH37" s="8">
        <f>-166.67*Escalation!$B$59</f>
        <v/>
      </c>
      <c r="BI37" s="8">
        <f>-166.67*Escalation!$B$60</f>
        <v/>
      </c>
      <c r="BJ37" s="8">
        <f>-166.67*Escalation!$B$61</f>
        <v/>
      </c>
      <c r="BK37" s="8">
        <f>-166.67*Escalation!$B$62</f>
        <v/>
      </c>
      <c r="BL37" s="8">
        <f>-166.67*Escalation!$B$63</f>
        <v/>
      </c>
      <c r="BM37" s="8">
        <f>-166.67*Escalation!$B$64</f>
        <v/>
      </c>
      <c r="BN37" s="8">
        <f>-166.67*Escalation!$B$65</f>
        <v/>
      </c>
      <c r="BO37" s="8">
        <f>-166.67*Escalation!$B$66</f>
        <v/>
      </c>
      <c r="BP37" s="8">
        <f>-166.67*Escalation!$B$67</f>
        <v/>
      </c>
      <c r="BQ37" s="8">
        <f>-166.67*Escalation!$B$68</f>
        <v/>
      </c>
      <c r="BR37" s="8">
        <f>-166.67*Escalation!$B$69</f>
        <v/>
      </c>
      <c r="BS37" s="8">
        <f>-166.67*Escalation!$B$70</f>
        <v/>
      </c>
      <c r="BT37" s="8">
        <f>-166.67*Escalation!$B$71</f>
        <v/>
      </c>
      <c r="BU37" s="8">
        <f>-166.67*Escalation!$B$72</f>
        <v/>
      </c>
      <c r="BV37" s="8">
        <f>-166.67*Escalation!$B$73</f>
        <v/>
      </c>
      <c r="BW37" s="8">
        <f>-166.67*Escalation!$B$74</f>
        <v/>
      </c>
      <c r="BX37" s="8">
        <f>-166.67*Escalation!$B$75</f>
        <v/>
      </c>
      <c r="BY37" s="8">
        <f>-166.67*Escalation!$B$76</f>
        <v/>
      </c>
      <c r="BZ37" s="8">
        <f>-166.67*Escalation!$B$77</f>
        <v/>
      </c>
      <c r="CA37" s="8">
        <f>-166.67*Escalation!$B$78</f>
        <v/>
      </c>
      <c r="CB37" s="8">
        <f>-166.67*Escalation!$B$79</f>
        <v/>
      </c>
      <c r="CC37" s="8">
        <f>-166.67*Escalation!$B$80</f>
        <v/>
      </c>
      <c r="CD37" s="8">
        <f>-166.67*Escalation!$B$81</f>
        <v/>
      </c>
      <c r="CE37" s="8">
        <f>-166.67*Escalation!$B$82</f>
        <v/>
      </c>
      <c r="CF37" s="8">
        <f>-166.67*Escalation!$B$83</f>
        <v/>
      </c>
      <c r="CG37" s="8">
        <f>-166.67*Escalation!$B$84</f>
        <v/>
      </c>
      <c r="CH37" s="8">
        <f>-166.67*Escalation!$B$85</f>
        <v/>
      </c>
      <c r="CI37" s="23" t="n"/>
    </row>
    <row r="38" ht="15" customHeight="1" s="201">
      <c r="A38" s="7" t="inlineStr">
        <is>
          <t>Warranty</t>
        </is>
      </c>
      <c r="B38" s="22" t="n"/>
      <c r="C38" s="8">
        <f>-4166.67*Escalation!$B$2</f>
        <v/>
      </c>
      <c r="D38" s="8">
        <f>-4166.67*Escalation!$B$3</f>
        <v/>
      </c>
      <c r="E38" s="8">
        <f>-4166.67*Escalation!$B$4</f>
        <v/>
      </c>
      <c r="F38" s="8">
        <f>-4166.67*Escalation!$B$5</f>
        <v/>
      </c>
      <c r="G38" s="8">
        <f>-4166.67*Escalation!$B$6</f>
        <v/>
      </c>
      <c r="H38" s="8">
        <f>-4166.67*Escalation!$B$7</f>
        <v/>
      </c>
      <c r="I38" s="8">
        <f>-4166.67*Escalation!$B$8</f>
        <v/>
      </c>
      <c r="J38" s="8">
        <f>-4166.67*Escalation!$B$9</f>
        <v/>
      </c>
      <c r="K38" s="8">
        <f>-4166.67*Escalation!$B$10</f>
        <v/>
      </c>
      <c r="L38" s="8">
        <f>-4166.67*Escalation!$B$11</f>
        <v/>
      </c>
      <c r="M38" s="8">
        <f>-4166.67*Escalation!$B$12</f>
        <v/>
      </c>
      <c r="N38" s="8">
        <f>-4166.67*Escalation!$B$13</f>
        <v/>
      </c>
      <c r="O38" s="8">
        <f>-4166.67*Escalation!$B$14</f>
        <v/>
      </c>
      <c r="P38" s="8">
        <f>-4166.67*Escalation!$B$15</f>
        <v/>
      </c>
      <c r="Q38" s="8">
        <f>-4166.67*Escalation!$B$16</f>
        <v/>
      </c>
      <c r="R38" s="8">
        <f>-4166.67*Escalation!$B$17</f>
        <v/>
      </c>
      <c r="S38" s="8">
        <f>-4166.67*Escalation!$B$18</f>
        <v/>
      </c>
      <c r="T38" s="8">
        <f>-4166.67*Escalation!$B$19</f>
        <v/>
      </c>
      <c r="U38" s="8">
        <f>-4166.67*Escalation!$B$20</f>
        <v/>
      </c>
      <c r="V38" s="8">
        <f>-4166.67*Escalation!$B$21</f>
        <v/>
      </c>
      <c r="W38" s="8">
        <f>-4166.67*Escalation!$B$22</f>
        <v/>
      </c>
      <c r="X38" s="8">
        <f>-4166.67*Escalation!$B$23</f>
        <v/>
      </c>
      <c r="Y38" s="8">
        <f>-4166.67*Escalation!$B$24</f>
        <v/>
      </c>
      <c r="Z38" s="8">
        <f>-4166.67*Escalation!$B$25</f>
        <v/>
      </c>
      <c r="AA38" s="8">
        <f>-4166.67*Escalation!$B$26</f>
        <v/>
      </c>
      <c r="AB38" s="8">
        <f>-4166.67*Escalation!$B$27</f>
        <v/>
      </c>
      <c r="AC38" s="8">
        <f>-4166.67*Escalation!$B$28</f>
        <v/>
      </c>
      <c r="AD38" s="8">
        <f>-4166.67*Escalation!$B$29</f>
        <v/>
      </c>
      <c r="AE38" s="8">
        <f>-4166.67*Escalation!$B$30</f>
        <v/>
      </c>
      <c r="AF38" s="8">
        <f>-4166.67*Escalation!$B$31</f>
        <v/>
      </c>
      <c r="AG38" s="8">
        <f>-4166.67*Escalation!$B$32</f>
        <v/>
      </c>
      <c r="AH38" s="8">
        <f>-4166.67*Escalation!$B$33</f>
        <v/>
      </c>
      <c r="AI38" s="8">
        <f>-4166.67*Escalation!$B$34</f>
        <v/>
      </c>
      <c r="AJ38" s="8">
        <f>-4166.67*Escalation!$B$35</f>
        <v/>
      </c>
      <c r="AK38" s="8">
        <f>-4166.67*Escalation!$B$36</f>
        <v/>
      </c>
      <c r="AL38" s="8">
        <f>-4166.67*Escalation!$B$37</f>
        <v/>
      </c>
      <c r="AM38" s="8">
        <f>-4166.67*Escalation!$B$38</f>
        <v/>
      </c>
      <c r="AN38" s="8">
        <f>-4166.67*Escalation!$B$39</f>
        <v/>
      </c>
      <c r="AO38" s="8">
        <f>-4166.67*Escalation!$B$40</f>
        <v/>
      </c>
      <c r="AP38" s="8">
        <f>-4166.67*Escalation!$B$41</f>
        <v/>
      </c>
      <c r="AQ38" s="8">
        <f>-4166.67*Escalation!$B$42</f>
        <v/>
      </c>
      <c r="AR38" s="8">
        <f>-4166.67*Escalation!$B$43</f>
        <v/>
      </c>
      <c r="AS38" s="8">
        <f>-4166.67*Escalation!$B$44</f>
        <v/>
      </c>
      <c r="AT38" s="8">
        <f>-4166.67*Escalation!$B$45</f>
        <v/>
      </c>
      <c r="AU38" s="8">
        <f>-4166.67*Escalation!$B$46</f>
        <v/>
      </c>
      <c r="AV38" s="8">
        <f>-4166.67*Escalation!$B$47</f>
        <v/>
      </c>
      <c r="AW38" s="8">
        <f>-4166.67*Escalation!$B$48</f>
        <v/>
      </c>
      <c r="AX38" s="8">
        <f>-4166.67*Escalation!$B$49</f>
        <v/>
      </c>
      <c r="AY38" s="8">
        <f>-4166.67*Escalation!$B$50</f>
        <v/>
      </c>
      <c r="AZ38" s="8">
        <f>-4166.67*Escalation!$B$51</f>
        <v/>
      </c>
      <c r="BA38" s="8">
        <f>-4166.67*Escalation!$B$52</f>
        <v/>
      </c>
      <c r="BB38" s="8">
        <f>-4166.67*Escalation!$B$53</f>
        <v/>
      </c>
      <c r="BC38" s="8">
        <f>-4166.67*Escalation!$B$54</f>
        <v/>
      </c>
      <c r="BD38" s="8">
        <f>-4166.67*Escalation!$B$55</f>
        <v/>
      </c>
      <c r="BE38" s="8">
        <f>-4166.67*Escalation!$B$56</f>
        <v/>
      </c>
      <c r="BF38" s="8">
        <f>-4166.67*Escalation!$B$57</f>
        <v/>
      </c>
      <c r="BG38" s="8">
        <f>-4166.67*Escalation!$B$58</f>
        <v/>
      </c>
      <c r="BH38" s="8">
        <f>-4166.67*Escalation!$B$59</f>
        <v/>
      </c>
      <c r="BI38" s="8">
        <f>-4166.67*Escalation!$B$60</f>
        <v/>
      </c>
      <c r="BJ38" s="8">
        <f>-4166.67*Escalation!$B$61</f>
        <v/>
      </c>
      <c r="BK38" s="8">
        <f>-4166.67*Escalation!$B$62</f>
        <v/>
      </c>
      <c r="BL38" s="8">
        <f>-4166.67*Escalation!$B$63</f>
        <v/>
      </c>
      <c r="BM38" s="8">
        <f>-4166.67*Escalation!$B$64</f>
        <v/>
      </c>
      <c r="BN38" s="8">
        <f>-4166.67*Escalation!$B$65</f>
        <v/>
      </c>
      <c r="BO38" s="8">
        <f>-4166.67*Escalation!$B$66</f>
        <v/>
      </c>
      <c r="BP38" s="8">
        <f>-4166.67*Escalation!$B$67</f>
        <v/>
      </c>
      <c r="BQ38" s="8">
        <f>-4166.67*Escalation!$B$68</f>
        <v/>
      </c>
      <c r="BR38" s="8">
        <f>-4166.67*Escalation!$B$69</f>
        <v/>
      </c>
      <c r="BS38" s="8">
        <f>-4166.67*Escalation!$B$70</f>
        <v/>
      </c>
      <c r="BT38" s="8">
        <f>-4166.67*Escalation!$B$71</f>
        <v/>
      </c>
      <c r="BU38" s="8">
        <f>-4166.67*Escalation!$B$72</f>
        <v/>
      </c>
      <c r="BV38" s="8">
        <f>-4166.67*Escalation!$B$73</f>
        <v/>
      </c>
      <c r="BW38" s="8">
        <f>-4166.67*Escalation!$B$74</f>
        <v/>
      </c>
      <c r="BX38" s="8">
        <f>-4166.67*Escalation!$B$75</f>
        <v/>
      </c>
      <c r="BY38" s="8">
        <f>-4166.67*Escalation!$B$76</f>
        <v/>
      </c>
      <c r="BZ38" s="8">
        <f>-4166.67*Escalation!$B$77</f>
        <v/>
      </c>
      <c r="CA38" s="8">
        <f>-4166.67*Escalation!$B$78</f>
        <v/>
      </c>
      <c r="CB38" s="8">
        <f>-4166.67*Escalation!$B$79</f>
        <v/>
      </c>
      <c r="CC38" s="8">
        <f>-4166.67*Escalation!$B$80</f>
        <v/>
      </c>
      <c r="CD38" s="8">
        <f>-4166.67*Escalation!$B$81</f>
        <v/>
      </c>
      <c r="CE38" s="8">
        <f>-4166.67*Escalation!$B$82</f>
        <v/>
      </c>
      <c r="CF38" s="8">
        <f>-4166.67*Escalation!$B$83</f>
        <v/>
      </c>
      <c r="CG38" s="8">
        <f>-4166.67*Escalation!$B$84</f>
        <v/>
      </c>
      <c r="CH38" s="8">
        <f>-4166.67*Escalation!$B$85</f>
        <v/>
      </c>
      <c r="CI38" s="23" t="n"/>
    </row>
    <row r="39" ht="15" customHeight="1" s="201">
      <c r="A39" s="9" t="inlineStr">
        <is>
          <t>Total GC Costs</t>
        </is>
      </c>
      <c r="B39" s="28" t="n"/>
      <c r="C39" s="10">
        <f>C15+C16+C17+C18+C19+C20+C21+C22+C23+SUM(C24:C38)+Helpers!C103</f>
        <v/>
      </c>
      <c r="D39" s="10">
        <f>D15+D16+D17+D18+D19+D20+D21+D22+D23+SUM(D24:D38)+Helpers!D103</f>
        <v/>
      </c>
      <c r="E39" s="10">
        <f>E15+E16+E17+E18+E19+E20+E21+E22+E23+SUM(E24:E38)+Helpers!E103</f>
        <v/>
      </c>
      <c r="F39" s="10">
        <f>F15+F16+F17+F18+F19+F20+F21+F22+F23+SUM(F24:F38)+Helpers!F103</f>
        <v/>
      </c>
      <c r="G39" s="10">
        <f>G15+G16+G17+G18+G19+G20+G21+G22+G23+SUM(G24:G38)+Helpers!G103</f>
        <v/>
      </c>
      <c r="H39" s="10">
        <f>H15+H16+H17+H18+H19+H20+H21+H22+H23+SUM(H24:H38)+Helpers!H103</f>
        <v/>
      </c>
      <c r="I39" s="10">
        <f>I15+I16+I17+I18+I19+I20+I21+I22+I23+SUM(I24:I38)+Helpers!I103</f>
        <v/>
      </c>
      <c r="J39" s="10">
        <f>J15+J16+J17+J18+J19+J20+J21+J22+J23+SUM(J24:J38)+Helpers!J103</f>
        <v/>
      </c>
      <c r="K39" s="10">
        <f>K15+K16+K17+K18+K19+K20+K21+K22+K23+SUM(K24:K38)+Helpers!K103</f>
        <v/>
      </c>
      <c r="L39" s="10">
        <f>L15+L16+L17+L18+L19+L20+L21+L22+L23+SUM(L24:L38)+Helpers!L103</f>
        <v/>
      </c>
      <c r="M39" s="10">
        <f>M15+M16+M17+M18+M19+M20+M21+M22+M23+SUM(M24:M38)+Helpers!M103</f>
        <v/>
      </c>
      <c r="N39" s="10">
        <f>N15+N16+N17+N18+N19+N20+N21+N22+N23+SUM(N24:N38)+Helpers!N103</f>
        <v/>
      </c>
      <c r="O39" s="10">
        <f>O15+O16+O17+O18+O19+O20+O21+O22+O23+SUM(O24:O38)+Helpers!O103</f>
        <v/>
      </c>
      <c r="P39" s="10">
        <f>P15+P16+P17+P18+P19+P20+P21+P22+P23+SUM(P24:P38)+Helpers!P103</f>
        <v/>
      </c>
      <c r="Q39" s="10">
        <f>Q15+Q16+Q17+Q18+Q19+Q20+Q21+Q22+Q23+SUM(Q24:Q38)+Helpers!Q103</f>
        <v/>
      </c>
      <c r="R39" s="10">
        <f>R15+R16+R17+R18+R19+R20+R21+R22+R23+SUM(R24:R38)+Helpers!R103</f>
        <v/>
      </c>
      <c r="S39" s="10">
        <f>S15+S16+S17+S18+S19+S20+S21+S22+S23+SUM(S24:S38)+Helpers!S103</f>
        <v/>
      </c>
      <c r="T39" s="10">
        <f>T15+T16+T17+T18+T19+T20+T21+T22+T23+SUM(T24:T38)+Helpers!T103</f>
        <v/>
      </c>
      <c r="U39" s="10">
        <f>U15+U16+U17+U18+U19+U20+U21+U22+U23+SUM(U24:U38)+Helpers!U103</f>
        <v/>
      </c>
      <c r="V39" s="10">
        <f>V15+V16+V17+V18+V19+V20+V21+V22+V23+SUM(V24:V38)+Helpers!V103</f>
        <v/>
      </c>
      <c r="W39" s="10">
        <f>W15+W16+W17+W18+W19+W20+W21+W22+W23+SUM(W24:W38)+Helpers!W103</f>
        <v/>
      </c>
      <c r="X39" s="10">
        <f>X15+X16+X17+X18+X19+X20+X21+X22+X23+SUM(X24:X38)+Helpers!X103</f>
        <v/>
      </c>
      <c r="Y39" s="10">
        <f>Y15+Y16+Y17+Y18+Y19+Y20+Y21+Y22+Y23+SUM(Y24:Y38)+Helpers!Y103</f>
        <v/>
      </c>
      <c r="Z39" s="10">
        <f>Z15+Z16+Z17+Z18+Z19+Z20+Z21+Z22+Z23+SUM(Z24:Z38)+Helpers!Z103</f>
        <v/>
      </c>
      <c r="AA39" s="10">
        <f>AA15+AA16+AA17+AA18+AA19+AA20+AA21+AA22+AA23+SUM(AA24:AA38)+Helpers!AA103</f>
        <v/>
      </c>
      <c r="AB39" s="10">
        <f>AB15+AB16+AB17+AB18+AB19+AB20+AB21+AB22+AB23+SUM(AB24:AB38)+Helpers!AB103</f>
        <v/>
      </c>
      <c r="AC39" s="10">
        <f>AC15+AC16+AC17+AC18+AC19+AC20+AC21+AC22+AC23+SUM(AC24:AC38)+Helpers!AC103</f>
        <v/>
      </c>
      <c r="AD39" s="10">
        <f>AD15+AD16+AD17+AD18+AD19+AD20+AD21+AD22+AD23+SUM(AD24:AD38)+Helpers!AD103</f>
        <v/>
      </c>
      <c r="AE39" s="10">
        <f>AE15+AE16+AE17+AE18+AE19+AE20+AE21+AE22+AE23+SUM(AE24:AE38)+Helpers!AE103</f>
        <v/>
      </c>
      <c r="AF39" s="10">
        <f>AF15+AF16+AF17+AF18+AF19+AF20+AF21+AF22+AF23+SUM(AF24:AF38)+Helpers!AF103</f>
        <v/>
      </c>
      <c r="AG39" s="10">
        <f>AG15+AG16+AG17+AG18+AG19+AG20+AG21+AG22+AG23+SUM(AG24:AG38)+Helpers!AG103</f>
        <v/>
      </c>
      <c r="AH39" s="10">
        <f>AH15+AH16+AH17+AH18+AH19+AH20+AH21+AH22+AH23+SUM(AH24:AH38)+Helpers!AH103</f>
        <v/>
      </c>
      <c r="AI39" s="10">
        <f>AI15+AI16+AI17+AI18+AI19+AI20+AI21+AI22+AI23+SUM(AI24:AI38)+Helpers!AI103</f>
        <v/>
      </c>
      <c r="AJ39" s="10">
        <f>AJ15+AJ16+AJ17+AJ18+AJ19+AJ20+AJ21+AJ22+AJ23+SUM(AJ24:AJ38)+Helpers!AJ103</f>
        <v/>
      </c>
      <c r="AK39" s="10">
        <f>AK15+AK16+AK17+AK18+AK19+AK20+AK21+AK22+AK23+SUM(AK24:AK38)+Helpers!AK103</f>
        <v/>
      </c>
      <c r="AL39" s="10">
        <f>AL15+AL16+AL17+AL18+AL19+AL20+AL21+AL22+AL23+SUM(AL24:AL38)+Helpers!AL103</f>
        <v/>
      </c>
      <c r="AM39" s="10">
        <f>AM15+AM16+AM17+AM18+AM19+AM20+AM21+AM22+AM23+SUM(AM24:AM38)+Helpers!AM103</f>
        <v/>
      </c>
      <c r="AN39" s="10">
        <f>AN15+AN16+AN17+AN18+AN19+AN20+AN21+AN22+AN23+SUM(AN24:AN38)+Helpers!AN103</f>
        <v/>
      </c>
      <c r="AO39" s="10">
        <f>AO15+AO16+AO17+AO18+AO19+AO20+AO21+AO22+AO23+SUM(AO24:AO38)+Helpers!AO103</f>
        <v/>
      </c>
      <c r="AP39" s="10">
        <f>AP15+AP16+AP17+AP18+AP19+AP20+AP21+AP22+AP23+SUM(AP24:AP38)+Helpers!AP103</f>
        <v/>
      </c>
      <c r="AQ39" s="10">
        <f>AQ15+AQ16+AQ17+AQ18+AQ19+AQ20+AQ21+AQ22+AQ23+SUM(AQ24:AQ38)+Helpers!AQ103</f>
        <v/>
      </c>
      <c r="AR39" s="10">
        <f>AR15+AR16+AR17+AR18+AR19+AR20+AR21+AR22+AR23+SUM(AR24:AR38)+Helpers!AR103</f>
        <v/>
      </c>
      <c r="AS39" s="10">
        <f>AS15+AS16+AS17+AS18+AS19+AS20+AS21+AS22+AS23+SUM(AS24:AS38)+Helpers!AS103</f>
        <v/>
      </c>
      <c r="AT39" s="10">
        <f>AT15+AT16+AT17+AT18+AT19+AT20+AT21+AT22+AT23+SUM(AT24:AT38)+Helpers!AT103</f>
        <v/>
      </c>
      <c r="AU39" s="10">
        <f>AU15+AU16+AU17+AU18+AU19+AU20+AU21+AU22+AU23+SUM(AU24:AU38)+Helpers!AU103</f>
        <v/>
      </c>
      <c r="AV39" s="10">
        <f>AV15+AV16+AV17+AV18+AV19+AV20+AV21+AV22+AV23+SUM(AV24:AV38)+Helpers!AV103</f>
        <v/>
      </c>
      <c r="AW39" s="10">
        <f>AW15+AW16+AW17+AW18+AW19+AW20+AW21+AW22+AW23+SUM(AW24:AW38)+Helpers!AW103</f>
        <v/>
      </c>
      <c r="AX39" s="10">
        <f>AX15+AX16+AX17+AX18+AX19+AX20+AX21+AX22+AX23+SUM(AX24:AX38)+Helpers!AX103</f>
        <v/>
      </c>
      <c r="AY39" s="10">
        <f>AY15+AY16+AY17+AY18+AY19+AY20+AY21+AY22+AY23+SUM(AY24:AY38)+Helpers!AY103</f>
        <v/>
      </c>
      <c r="AZ39" s="10">
        <f>AZ15+AZ16+AZ17+AZ18+AZ19+AZ20+AZ21+AZ22+AZ23+SUM(AZ24:AZ38)+Helpers!AZ103</f>
        <v/>
      </c>
      <c r="BA39" s="10">
        <f>BA15+BA16+BA17+BA18+BA19+BA20+BA21+BA22+BA23+SUM(BA24:BA38)+Helpers!BA103</f>
        <v/>
      </c>
      <c r="BB39" s="10">
        <f>BB15+BB16+BB17+BB18+BB19+BB20+BB21+BB22+BB23+SUM(BB24:BB38)+Helpers!BB103</f>
        <v/>
      </c>
      <c r="BC39" s="10">
        <f>BC15+BC16+BC17+BC18+BC19+BC20+BC21+BC22+BC23+SUM(BC24:BC38)+Helpers!BC103</f>
        <v/>
      </c>
      <c r="BD39" s="10">
        <f>BD15+BD16+BD17+BD18+BD19+BD20+BD21+BD22+BD23+SUM(BD24:BD38)+Helpers!BD103</f>
        <v/>
      </c>
      <c r="BE39" s="10">
        <f>BE15+BE16+BE17+BE18+BE19+BE20+BE21+BE22+BE23+SUM(BE24:BE38)+Helpers!BE103</f>
        <v/>
      </c>
      <c r="BF39" s="10">
        <f>BF15+BF16+BF17+BF18+BF19+BF20+BF21+BF22+BF23+SUM(BF24:BF38)+Helpers!BF103</f>
        <v/>
      </c>
      <c r="BG39" s="10">
        <f>BG15+BG16+BG17+BG18+BG19+BG20+BG21+BG22+BG23+SUM(BG24:BG38)+Helpers!BG103</f>
        <v/>
      </c>
      <c r="BH39" s="10">
        <f>BH15+BH16+BH17+BH18+BH19+BH20+BH21+BH22+BH23+SUM(BH24:BH38)+Helpers!BH103</f>
        <v/>
      </c>
      <c r="BI39" s="10">
        <f>BI15+BI16+BI17+BI18+BI19+BI20+BI21+BI22+BI23+SUM(BI24:BI38)+Helpers!BI103</f>
        <v/>
      </c>
      <c r="BJ39" s="10">
        <f>BJ15+BJ16+BJ17+BJ18+BJ19+BJ20+BJ21+BJ22+BJ23+SUM(BJ24:BJ38)+Helpers!BJ103</f>
        <v/>
      </c>
      <c r="BK39" s="10">
        <f>BK15+BK16+BK17+BK18+BK19+BK20+BK21+BK22+BK23+SUM(BK24:BK38)+Helpers!BK103</f>
        <v/>
      </c>
      <c r="BL39" s="10">
        <f>BL15+BL16+BL17+BL18+BL19+BL20+BL21+BL22+BL23+SUM(BL24:BL38)+Helpers!BL103</f>
        <v/>
      </c>
      <c r="BM39" s="10">
        <f>BM15+BM16+BM17+BM18+BM19+BM20+BM21+BM22+BM23+SUM(BM24:BM38)+Helpers!BM103</f>
        <v/>
      </c>
      <c r="BN39" s="10">
        <f>BN15+BN16+BN17+BN18+BN19+BN20+BN21+BN22+BN23+SUM(BN24:BN38)+Helpers!BN103</f>
        <v/>
      </c>
      <c r="BO39" s="10">
        <f>BO15+BO16+BO17+BO18+BO19+BO20+BO21+BO22+BO23+SUM(BO24:BO38)+Helpers!BO103</f>
        <v/>
      </c>
      <c r="BP39" s="10">
        <f>BP15+BP16+BP17+BP18+BP19+BP20+BP21+BP22+BP23+SUM(BP24:BP38)+Helpers!BP103</f>
        <v/>
      </c>
      <c r="BQ39" s="10">
        <f>BQ15+BQ16+BQ17+BQ18+BQ19+BQ20+BQ21+BQ22+BQ23+SUM(BQ24:BQ38)+Helpers!BQ103</f>
        <v/>
      </c>
      <c r="BR39" s="10">
        <f>BR15+BR16+BR17+BR18+BR19+BR20+BR21+BR22+BR23+SUM(BR24:BR38)+Helpers!BR103</f>
        <v/>
      </c>
      <c r="BS39" s="10">
        <f>BS15+BS16+BS17+BS18+BS19+BS20+BS21+BS22+BS23+SUM(BS24:BS38)+Helpers!BS103</f>
        <v/>
      </c>
      <c r="BT39" s="10">
        <f>BT15+BT16+BT17+BT18+BT19+BT20+BT21+BT22+BT23+SUM(BT24:BT38)+Helpers!BT103</f>
        <v/>
      </c>
      <c r="BU39" s="10">
        <f>BU15+BU16+BU17+BU18+BU19+BU20+BU21+BU22+BU23+SUM(BU24:BU38)+Helpers!BU103</f>
        <v/>
      </c>
      <c r="BV39" s="10">
        <f>BV15+BV16+BV17+BV18+BV19+BV20+BV21+BV22+BV23+SUM(BV24:BV38)+Helpers!BV103</f>
        <v/>
      </c>
      <c r="BW39" s="10">
        <f>BW15+BW16+BW17+BW18+BW19+BW20+BW21+BW22+BW23+SUM(BW24:BW38)+Helpers!BW103</f>
        <v/>
      </c>
      <c r="BX39" s="10">
        <f>BX15+BX16+BX17+BX18+BX19+BX20+BX21+BX22+BX23+SUM(BX24:BX38)+Helpers!BX103</f>
        <v/>
      </c>
      <c r="BY39" s="10">
        <f>BY15+BY16+BY17+BY18+BY19+BY20+BY21+BY22+BY23+SUM(BY24:BY38)+Helpers!BY103</f>
        <v/>
      </c>
      <c r="BZ39" s="10">
        <f>BZ15+BZ16+BZ17+BZ18+BZ19+BZ20+BZ21+BZ22+BZ23+SUM(BZ24:BZ38)+Helpers!BZ103</f>
        <v/>
      </c>
      <c r="CA39" s="10">
        <f>CA15+CA16+CA17+CA18+CA19+CA20+CA21+CA22+CA23+SUM(CA24:CA38)+Helpers!CA103</f>
        <v/>
      </c>
      <c r="CB39" s="10">
        <f>CB15+CB16+CB17+CB18+CB19+CB20+CB21+CB22+CB23+SUM(CB24:CB38)+Helpers!CB103</f>
        <v/>
      </c>
      <c r="CC39" s="10">
        <f>CC15+CC16+CC17+CC18+CC19+CC20+CC21+CC22+CC23+SUM(CC24:CC38)+Helpers!CC103</f>
        <v/>
      </c>
      <c r="CD39" s="10">
        <f>CD15+CD16+CD17+CD18+CD19+CD20+CD21+CD22+CD23+SUM(CD24:CD38)+Helpers!CD103</f>
        <v/>
      </c>
      <c r="CE39" s="10">
        <f>CE15+CE16+CE17+CE18+CE19+CE20+CE21+CE22+CE23+SUM(CE24:CE38)+Helpers!CE103</f>
        <v/>
      </c>
      <c r="CF39" s="10">
        <f>CF15+CF16+CF17+CF18+CF19+CF20+CF21+CF22+CF23+SUM(CF24:CF38)+Helpers!CF103</f>
        <v/>
      </c>
      <c r="CG39" s="10">
        <f>CG15+CG16+CG17+CG18+CG19+CG20+CG21+CG22+CG23+SUM(CG24:CG38)+Helpers!CG103</f>
        <v/>
      </c>
      <c r="CH39" s="10">
        <f>CH15+CH16+CH17+CH18+CH19+CH20+CH21+CH22+CH23+SUM(CH24:CH38)+Helpers!CH103</f>
        <v/>
      </c>
      <c r="CI39" s="23" t="n"/>
    </row>
    <row r="40" ht="15" customHeight="1" s="201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  <c r="BC40" s="22" t="n"/>
      <c r="BD40" s="22" t="n"/>
      <c r="BE40" s="22" t="n"/>
      <c r="BF40" s="22" t="n"/>
      <c r="BG40" s="22" t="n"/>
      <c r="BH40" s="22" t="n"/>
      <c r="BI40" s="22" t="n"/>
      <c r="BJ40" s="22" t="n"/>
      <c r="BK40" s="22" t="n"/>
      <c r="BL40" s="22" t="n"/>
      <c r="BM40" s="22" t="n"/>
      <c r="BN40" s="22" t="n"/>
      <c r="BO40" s="22" t="n"/>
      <c r="BP40" s="22" t="n"/>
      <c r="BQ40" s="22" t="n"/>
      <c r="BR40" s="22" t="n"/>
      <c r="BS40" s="22" t="n"/>
      <c r="BT40" s="22" t="n"/>
      <c r="BU40" s="22" t="n"/>
      <c r="BV40" s="22" t="n"/>
      <c r="BW40" s="22" t="n"/>
      <c r="BX40" s="22" t="n"/>
      <c r="BY40" s="22" t="n"/>
      <c r="BZ40" s="22" t="n"/>
      <c r="CA40" s="22" t="n"/>
      <c r="CB40" s="22" t="n"/>
      <c r="CC40" s="22" t="n"/>
      <c r="CD40" s="22" t="n"/>
      <c r="CE40" s="22" t="n"/>
      <c r="CF40" s="22" t="n"/>
      <c r="CG40" s="22" t="n"/>
      <c r="CH40" s="22" t="n"/>
      <c r="CI40" s="23" t="n"/>
    </row>
    <row r="41" ht="15" customHeight="1" s="201">
      <c r="A41" s="13" t="inlineStr">
        <is>
          <t>GC Net Income</t>
        </is>
      </c>
      <c r="B41" s="29" t="n"/>
      <c r="C41" s="14">
        <f>C12+C39</f>
        <v/>
      </c>
      <c r="D41" s="14">
        <f>D12+D39</f>
        <v/>
      </c>
      <c r="E41" s="14">
        <f>E12+E39</f>
        <v/>
      </c>
      <c r="F41" s="14">
        <f>F12+F39</f>
        <v/>
      </c>
      <c r="G41" s="14">
        <f>G12+G39</f>
        <v/>
      </c>
      <c r="H41" s="14">
        <f>H12+H39</f>
        <v/>
      </c>
      <c r="I41" s="14">
        <f>I12+I39</f>
        <v/>
      </c>
      <c r="J41" s="14">
        <f>J12+J39</f>
        <v/>
      </c>
      <c r="K41" s="14">
        <f>K12+K39</f>
        <v/>
      </c>
      <c r="L41" s="14">
        <f>L12+L39</f>
        <v/>
      </c>
      <c r="M41" s="14">
        <f>M12+M39</f>
        <v/>
      </c>
      <c r="N41" s="14">
        <f>N12+N39</f>
        <v/>
      </c>
      <c r="O41" s="14">
        <f>O12+O39</f>
        <v/>
      </c>
      <c r="P41" s="14">
        <f>P12+P39</f>
        <v/>
      </c>
      <c r="Q41" s="14">
        <f>Q12+Q39</f>
        <v/>
      </c>
      <c r="R41" s="14">
        <f>R12+R39</f>
        <v/>
      </c>
      <c r="S41" s="14">
        <f>S12+S39</f>
        <v/>
      </c>
      <c r="T41" s="14">
        <f>T12+T39</f>
        <v/>
      </c>
      <c r="U41" s="14">
        <f>U12+U39</f>
        <v/>
      </c>
      <c r="V41" s="14">
        <f>V12+V39</f>
        <v/>
      </c>
      <c r="W41" s="14">
        <f>W12+W39</f>
        <v/>
      </c>
      <c r="X41" s="14">
        <f>X12+X39</f>
        <v/>
      </c>
      <c r="Y41" s="14">
        <f>Y12+Y39</f>
        <v/>
      </c>
      <c r="Z41" s="14">
        <f>Z12+Z39</f>
        <v/>
      </c>
      <c r="AA41" s="14">
        <f>AA12+AA39</f>
        <v/>
      </c>
      <c r="AB41" s="14">
        <f>AB12+AB39</f>
        <v/>
      </c>
      <c r="AC41" s="14">
        <f>AC12+AC39</f>
        <v/>
      </c>
      <c r="AD41" s="14">
        <f>AD12+AD39</f>
        <v/>
      </c>
      <c r="AE41" s="14">
        <f>AE12+AE39</f>
        <v/>
      </c>
      <c r="AF41" s="14">
        <f>AF12+AF39</f>
        <v/>
      </c>
      <c r="AG41" s="14">
        <f>AG12+AG39</f>
        <v/>
      </c>
      <c r="AH41" s="14">
        <f>AH12+AH39</f>
        <v/>
      </c>
      <c r="AI41" s="14">
        <f>AI12+AI39</f>
        <v/>
      </c>
      <c r="AJ41" s="14">
        <f>AJ12+AJ39</f>
        <v/>
      </c>
      <c r="AK41" s="14">
        <f>AK12+AK39</f>
        <v/>
      </c>
      <c r="AL41" s="14">
        <f>AL12+AL39</f>
        <v/>
      </c>
      <c r="AM41" s="14">
        <f>AM12+AM39</f>
        <v/>
      </c>
      <c r="AN41" s="14">
        <f>AN12+AN39</f>
        <v/>
      </c>
      <c r="AO41" s="14">
        <f>AO12+AO39</f>
        <v/>
      </c>
      <c r="AP41" s="14">
        <f>AP12+AP39</f>
        <v/>
      </c>
      <c r="AQ41" s="14">
        <f>AQ12+AQ39</f>
        <v/>
      </c>
      <c r="AR41" s="14">
        <f>AR12+AR39</f>
        <v/>
      </c>
      <c r="AS41" s="14">
        <f>AS12+AS39</f>
        <v/>
      </c>
      <c r="AT41" s="14">
        <f>AT12+AT39</f>
        <v/>
      </c>
      <c r="AU41" s="14">
        <f>AU12+AU39</f>
        <v/>
      </c>
      <c r="AV41" s="14">
        <f>AV12+AV39</f>
        <v/>
      </c>
      <c r="AW41" s="14">
        <f>AW12+AW39</f>
        <v/>
      </c>
      <c r="AX41" s="14">
        <f>AX12+AX39</f>
        <v/>
      </c>
      <c r="AY41" s="14">
        <f>AY12+AY39</f>
        <v/>
      </c>
      <c r="AZ41" s="14">
        <f>AZ12+AZ39</f>
        <v/>
      </c>
      <c r="BA41" s="14">
        <f>BA12+BA39</f>
        <v/>
      </c>
      <c r="BB41" s="14">
        <f>BB12+BB39</f>
        <v/>
      </c>
      <c r="BC41" s="14">
        <f>BC12+BC39</f>
        <v/>
      </c>
      <c r="BD41" s="14">
        <f>BD12+BD39</f>
        <v/>
      </c>
      <c r="BE41" s="14">
        <f>BE12+BE39</f>
        <v/>
      </c>
      <c r="BF41" s="14">
        <f>BF12+BF39</f>
        <v/>
      </c>
      <c r="BG41" s="14">
        <f>BG12+BG39</f>
        <v/>
      </c>
      <c r="BH41" s="14">
        <f>BH12+BH39</f>
        <v/>
      </c>
      <c r="BI41" s="14">
        <f>BI12+BI39</f>
        <v/>
      </c>
      <c r="BJ41" s="14">
        <f>BJ12+BJ39</f>
        <v/>
      </c>
      <c r="BK41" s="14">
        <f>BK12+BK39</f>
        <v/>
      </c>
      <c r="BL41" s="14">
        <f>BL12+BL39</f>
        <v/>
      </c>
      <c r="BM41" s="14">
        <f>BM12+BM39</f>
        <v/>
      </c>
      <c r="BN41" s="14">
        <f>BN12+BN39</f>
        <v/>
      </c>
      <c r="BO41" s="14">
        <f>BO12+BO39</f>
        <v/>
      </c>
      <c r="BP41" s="14">
        <f>BP12+BP39</f>
        <v/>
      </c>
      <c r="BQ41" s="14">
        <f>BQ12+BQ39</f>
        <v/>
      </c>
      <c r="BR41" s="14">
        <f>BR12+BR39</f>
        <v/>
      </c>
      <c r="BS41" s="14">
        <f>BS12+BS39</f>
        <v/>
      </c>
      <c r="BT41" s="14">
        <f>BT12+BT39</f>
        <v/>
      </c>
      <c r="BU41" s="14">
        <f>BU12+BU39</f>
        <v/>
      </c>
      <c r="BV41" s="14">
        <f>BV12+BV39</f>
        <v/>
      </c>
      <c r="BW41" s="14">
        <f>BW12+BW39</f>
        <v/>
      </c>
      <c r="BX41" s="14">
        <f>BX12+BX39</f>
        <v/>
      </c>
      <c r="BY41" s="14">
        <f>BY12+BY39</f>
        <v/>
      </c>
      <c r="BZ41" s="14">
        <f>BZ12+BZ39</f>
        <v/>
      </c>
      <c r="CA41" s="14">
        <f>CA12+CA39</f>
        <v/>
      </c>
      <c r="CB41" s="14">
        <f>CB12+CB39</f>
        <v/>
      </c>
      <c r="CC41" s="14">
        <f>CC12+CC39</f>
        <v/>
      </c>
      <c r="CD41" s="14">
        <f>CD12+CD39</f>
        <v/>
      </c>
      <c r="CE41" s="14">
        <f>CE12+CE39</f>
        <v/>
      </c>
      <c r="CF41" s="14">
        <f>CF12+CF39</f>
        <v/>
      </c>
      <c r="CG41" s="14">
        <f>CG12+CG39</f>
        <v/>
      </c>
      <c r="CH41" s="14">
        <f>CH12+CH39</f>
        <v/>
      </c>
      <c r="CI41" s="23" t="n"/>
    </row>
    <row r="42" ht="15" customHeight="1" s="201">
      <c r="A42" s="7" t="inlineStr">
        <is>
          <t>GC Profit Margin %</t>
        </is>
      </c>
      <c r="B42" s="22" t="n"/>
      <c r="C42" s="30">
        <f>IF(C12&lt;&gt;0,C41/C12,0)</f>
        <v/>
      </c>
      <c r="D42" s="30">
        <f>IF(D12&lt;&gt;0,D41/D12,0)</f>
        <v/>
      </c>
      <c r="E42" s="30">
        <f>IF(E12&lt;&gt;0,E41/E12,0)</f>
        <v/>
      </c>
      <c r="F42" s="30">
        <f>IF(F12&lt;&gt;0,F41/F12,0)</f>
        <v/>
      </c>
      <c r="G42" s="30">
        <f>IF(G12&lt;&gt;0,G41/G12,0)</f>
        <v/>
      </c>
      <c r="H42" s="30">
        <f>IF(H12&lt;&gt;0,H41/H12,0)</f>
        <v/>
      </c>
      <c r="I42" s="30">
        <f>IF(I12&lt;&gt;0,I41/I12,0)</f>
        <v/>
      </c>
      <c r="J42" s="30">
        <f>IF(J12&lt;&gt;0,J41/J12,0)</f>
        <v/>
      </c>
      <c r="K42" s="30">
        <f>IF(K12&lt;&gt;0,K41/K12,0)</f>
        <v/>
      </c>
      <c r="L42" s="30">
        <f>IF(L12&lt;&gt;0,L41/L12,0)</f>
        <v/>
      </c>
      <c r="M42" s="30">
        <f>IF(M12&lt;&gt;0,M41/M12,0)</f>
        <v/>
      </c>
      <c r="N42" s="30">
        <f>IF(N12&lt;&gt;0,N41/N12,0)</f>
        <v/>
      </c>
      <c r="O42" s="30">
        <f>IF(O12&lt;&gt;0,O41/O12,0)</f>
        <v/>
      </c>
      <c r="P42" s="30">
        <f>IF(P12&lt;&gt;0,P41/P12,0)</f>
        <v/>
      </c>
      <c r="Q42" s="30">
        <f>IF(Q12&lt;&gt;0,Q41/Q12,0)</f>
        <v/>
      </c>
      <c r="R42" s="30">
        <f>IF(R12&lt;&gt;0,R41/R12,0)</f>
        <v/>
      </c>
      <c r="S42" s="30">
        <f>IF(S12&lt;&gt;0,S41/S12,0)</f>
        <v/>
      </c>
      <c r="T42" s="30">
        <f>IF(T12&lt;&gt;0,T41/T12,0)</f>
        <v/>
      </c>
      <c r="U42" s="30">
        <f>IF(U12&lt;&gt;0,U41/U12,0)</f>
        <v/>
      </c>
      <c r="V42" s="30">
        <f>IF(V12&lt;&gt;0,V41/V12,0)</f>
        <v/>
      </c>
      <c r="W42" s="30">
        <f>IF(W12&lt;&gt;0,W41/W12,0)</f>
        <v/>
      </c>
      <c r="X42" s="30">
        <f>IF(X12&lt;&gt;0,X41/X12,0)</f>
        <v/>
      </c>
      <c r="Y42" s="30">
        <f>IF(Y12&lt;&gt;0,Y41/Y12,0)</f>
        <v/>
      </c>
      <c r="Z42" s="30">
        <f>IF(Z12&lt;&gt;0,Z41/Z12,0)</f>
        <v/>
      </c>
      <c r="AA42" s="30">
        <f>IF(AA12&lt;&gt;0,AA41/AA12,0)</f>
        <v/>
      </c>
      <c r="AB42" s="30">
        <f>IF(AB12&lt;&gt;0,AB41/AB12,0)</f>
        <v/>
      </c>
      <c r="AC42" s="30">
        <f>IF(AC12&lt;&gt;0,AC41/AC12,0)</f>
        <v/>
      </c>
      <c r="AD42" s="30">
        <f>IF(AD12&lt;&gt;0,AD41/AD12,0)</f>
        <v/>
      </c>
      <c r="AE42" s="30">
        <f>IF(AE12&lt;&gt;0,AE41/AE12,0)</f>
        <v/>
      </c>
      <c r="AF42" s="30">
        <f>IF(AF12&lt;&gt;0,AF41/AF12,0)</f>
        <v/>
      </c>
      <c r="AG42" s="30">
        <f>IF(AG12&lt;&gt;0,AG41/AG12,0)</f>
        <v/>
      </c>
      <c r="AH42" s="30">
        <f>IF(AH12&lt;&gt;0,AH41/AH12,0)</f>
        <v/>
      </c>
      <c r="AI42" s="30">
        <f>IF(AI12&lt;&gt;0,AI41/AI12,0)</f>
        <v/>
      </c>
      <c r="AJ42" s="30">
        <f>IF(AJ12&lt;&gt;0,AJ41/AJ12,0)</f>
        <v/>
      </c>
      <c r="AK42" s="30">
        <f>IF(AK12&lt;&gt;0,AK41/AK12,0)</f>
        <v/>
      </c>
      <c r="AL42" s="30">
        <f>IF(AL12&lt;&gt;0,AL41/AL12,0)</f>
        <v/>
      </c>
      <c r="AM42" s="30">
        <f>IF(AM12&lt;&gt;0,AM41/AM12,0)</f>
        <v/>
      </c>
      <c r="AN42" s="30">
        <f>IF(AN12&lt;&gt;0,AN41/AN12,0)</f>
        <v/>
      </c>
      <c r="AO42" s="30">
        <f>IF(AO12&lt;&gt;0,AO41/AO12,0)</f>
        <v/>
      </c>
      <c r="AP42" s="30">
        <f>IF(AP12&lt;&gt;0,AP41/AP12,0)</f>
        <v/>
      </c>
      <c r="AQ42" s="30">
        <f>IF(AQ12&lt;&gt;0,AQ41/AQ12,0)</f>
        <v/>
      </c>
      <c r="AR42" s="30">
        <f>IF(AR12&lt;&gt;0,AR41/AR12,0)</f>
        <v/>
      </c>
      <c r="AS42" s="30">
        <f>IF(AS12&lt;&gt;0,AS41/AS12,0)</f>
        <v/>
      </c>
      <c r="AT42" s="30">
        <f>IF(AT12&lt;&gt;0,AT41/AT12,0)</f>
        <v/>
      </c>
      <c r="AU42" s="30">
        <f>IF(AU12&lt;&gt;0,AU41/AU12,0)</f>
        <v/>
      </c>
      <c r="AV42" s="30">
        <f>IF(AV12&lt;&gt;0,AV41/AV12,0)</f>
        <v/>
      </c>
      <c r="AW42" s="30">
        <f>IF(AW12&lt;&gt;0,AW41/AW12,0)</f>
        <v/>
      </c>
      <c r="AX42" s="30">
        <f>IF(AX12&lt;&gt;0,AX41/AX12,0)</f>
        <v/>
      </c>
      <c r="AY42" s="30">
        <f>IF(AY12&lt;&gt;0,AY41/AY12,0)</f>
        <v/>
      </c>
      <c r="AZ42" s="30">
        <f>IF(AZ12&lt;&gt;0,AZ41/AZ12,0)</f>
        <v/>
      </c>
      <c r="BA42" s="30">
        <f>IF(BA12&lt;&gt;0,BA41/BA12,0)</f>
        <v/>
      </c>
      <c r="BB42" s="30">
        <f>IF(BB12&lt;&gt;0,BB41/BB12,0)</f>
        <v/>
      </c>
      <c r="BC42" s="30">
        <f>IF(BC12&lt;&gt;0,BC41/BC12,0)</f>
        <v/>
      </c>
      <c r="BD42" s="30">
        <f>IF(BD12&lt;&gt;0,BD41/BD12,0)</f>
        <v/>
      </c>
      <c r="BE42" s="30">
        <f>IF(BE12&lt;&gt;0,BE41/BE12,0)</f>
        <v/>
      </c>
      <c r="BF42" s="30">
        <f>IF(BF12&lt;&gt;0,BF41/BF12,0)</f>
        <v/>
      </c>
      <c r="BG42" s="30">
        <f>IF(BG12&lt;&gt;0,BG41/BG12,0)</f>
        <v/>
      </c>
      <c r="BH42" s="30">
        <f>IF(BH12&lt;&gt;0,BH41/BH12,0)</f>
        <v/>
      </c>
      <c r="BI42" s="30">
        <f>IF(BI12&lt;&gt;0,BI41/BI12,0)</f>
        <v/>
      </c>
      <c r="BJ42" s="30">
        <f>IF(BJ12&lt;&gt;0,BJ41/BJ12,0)</f>
        <v/>
      </c>
      <c r="BK42" s="30">
        <f>IF(BK12&lt;&gt;0,BK41/BK12,0)</f>
        <v/>
      </c>
      <c r="BL42" s="30">
        <f>IF(BL12&lt;&gt;0,BL41/BL12,0)</f>
        <v/>
      </c>
      <c r="BM42" s="30">
        <f>IF(BM12&lt;&gt;0,BM41/BM12,0)</f>
        <v/>
      </c>
      <c r="BN42" s="30">
        <f>IF(BN12&lt;&gt;0,BN41/BN12,0)</f>
        <v/>
      </c>
      <c r="BO42" s="30">
        <f>IF(BO12&lt;&gt;0,BO41/BO12,0)</f>
        <v/>
      </c>
      <c r="BP42" s="30">
        <f>IF(BP12&lt;&gt;0,BP41/BP12,0)</f>
        <v/>
      </c>
      <c r="BQ42" s="30">
        <f>IF(BQ12&lt;&gt;0,BQ41/BQ12,0)</f>
        <v/>
      </c>
      <c r="BR42" s="30">
        <f>IF(BR12&lt;&gt;0,BR41/BR12,0)</f>
        <v/>
      </c>
      <c r="BS42" s="30">
        <f>IF(BS12&lt;&gt;0,BS41/BS12,0)</f>
        <v/>
      </c>
      <c r="BT42" s="30">
        <f>IF(BT12&lt;&gt;0,BT41/BT12,0)</f>
        <v/>
      </c>
      <c r="BU42" s="30">
        <f>IF(BU12&lt;&gt;0,BU41/BU12,0)</f>
        <v/>
      </c>
      <c r="BV42" s="30">
        <f>IF(BV12&lt;&gt;0,BV41/BV12,0)</f>
        <v/>
      </c>
      <c r="BW42" s="30">
        <f>IF(BW12&lt;&gt;0,BW41/BW12,0)</f>
        <v/>
      </c>
      <c r="BX42" s="30">
        <f>IF(BX12&lt;&gt;0,BX41/BX12,0)</f>
        <v/>
      </c>
      <c r="BY42" s="30">
        <f>IF(BY12&lt;&gt;0,BY41/BY12,0)</f>
        <v/>
      </c>
      <c r="BZ42" s="30">
        <f>IF(BZ12&lt;&gt;0,BZ41/BZ12,0)</f>
        <v/>
      </c>
      <c r="CA42" s="30">
        <f>IF(CA12&lt;&gt;0,CA41/CA12,0)</f>
        <v/>
      </c>
      <c r="CB42" s="30">
        <f>IF(CB12&lt;&gt;0,CB41/CB12,0)</f>
        <v/>
      </c>
      <c r="CC42" s="30">
        <f>IF(CC12&lt;&gt;0,CC41/CC12,0)</f>
        <v/>
      </c>
      <c r="CD42" s="30">
        <f>IF(CD12&lt;&gt;0,CD41/CD12,0)</f>
        <v/>
      </c>
      <c r="CE42" s="30">
        <f>IF(CE12&lt;&gt;0,CE41/CE12,0)</f>
        <v/>
      </c>
      <c r="CF42" s="30">
        <f>IF(CF12&lt;&gt;0,CF41/CF12,0)</f>
        <v/>
      </c>
      <c r="CG42" s="30">
        <f>IF(CG12&lt;&gt;0,CG41/CG12,0)</f>
        <v/>
      </c>
      <c r="CH42" s="30">
        <f>IF(CH12&lt;&gt;0,CH41/CH12,0)</f>
        <v/>
      </c>
      <c r="CI42" s="23" t="n"/>
    </row>
    <row r="43" ht="15" customHeight="1" s="201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  <c r="BC43" s="22" t="n"/>
      <c r="BD43" s="22" t="n"/>
      <c r="BE43" s="22" t="n"/>
      <c r="BF43" s="22" t="n"/>
      <c r="BG43" s="22" t="n"/>
      <c r="BH43" s="22" t="n"/>
      <c r="BI43" s="22" t="n"/>
      <c r="BJ43" s="22" t="n"/>
      <c r="BK43" s="22" t="n"/>
      <c r="BL43" s="22" t="n"/>
      <c r="BM43" s="22" t="n"/>
      <c r="BN43" s="22" t="n"/>
      <c r="BO43" s="22" t="n"/>
      <c r="BP43" s="22" t="n"/>
      <c r="BQ43" s="22" t="n"/>
      <c r="BR43" s="22" t="n"/>
      <c r="BS43" s="22" t="n"/>
      <c r="BT43" s="22" t="n"/>
      <c r="BU43" s="22" t="n"/>
      <c r="BV43" s="22" t="n"/>
      <c r="BW43" s="22" t="n"/>
      <c r="BX43" s="22" t="n"/>
      <c r="BY43" s="22" t="n"/>
      <c r="BZ43" s="22" t="n"/>
      <c r="CA43" s="22" t="n"/>
      <c r="CB43" s="22" t="n"/>
      <c r="CC43" s="22" t="n"/>
      <c r="CD43" s="22" t="n"/>
      <c r="CE43" s="22" t="n"/>
      <c r="CF43" s="22" t="n"/>
      <c r="CG43" s="22" t="n"/>
      <c r="CH43" s="22" t="n"/>
      <c r="CI43" s="23" t="n"/>
    </row>
    <row r="44" ht="15" customHeight="1" s="201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  <c r="AP44" s="22" t="n"/>
      <c r="AQ44" s="22" t="n"/>
      <c r="AR44" s="22" t="n"/>
      <c r="AS44" s="22" t="n"/>
      <c r="AT44" s="22" t="n"/>
      <c r="AU44" s="22" t="n"/>
      <c r="AV44" s="22" t="n"/>
      <c r="AW44" s="22" t="n"/>
      <c r="AX44" s="22" t="n"/>
      <c r="AY44" s="22" t="n"/>
      <c r="AZ44" s="22" t="n"/>
      <c r="BA44" s="22" t="n"/>
      <c r="BB44" s="22" t="n"/>
      <c r="BC44" s="22" t="n"/>
      <c r="BD44" s="22" t="n"/>
      <c r="BE44" s="22" t="n"/>
      <c r="BF44" s="22" t="n"/>
      <c r="BG44" s="22" t="n"/>
      <c r="BH44" s="22" t="n"/>
      <c r="BI44" s="22" t="n"/>
      <c r="BJ44" s="22" t="n"/>
      <c r="BK44" s="22" t="n"/>
      <c r="BL44" s="22" t="n"/>
      <c r="BM44" s="22" t="n"/>
      <c r="BN44" s="22" t="n"/>
      <c r="BO44" s="22" t="n"/>
      <c r="BP44" s="22" t="n"/>
      <c r="BQ44" s="22" t="n"/>
      <c r="BR44" s="22" t="n"/>
      <c r="BS44" s="22" t="n"/>
      <c r="BT44" s="22" t="n"/>
      <c r="BU44" s="22" t="n"/>
      <c r="BV44" s="22" t="n"/>
      <c r="BW44" s="22" t="n"/>
      <c r="BX44" s="22" t="n"/>
      <c r="BY44" s="22" t="n"/>
      <c r="BZ44" s="22" t="n"/>
      <c r="CA44" s="22" t="n"/>
      <c r="CB44" s="22" t="n"/>
      <c r="CC44" s="22" t="n"/>
      <c r="CD44" s="22" t="n"/>
      <c r="CE44" s="22" t="n"/>
      <c r="CF44" s="22" t="n"/>
      <c r="CG44" s="22" t="n"/>
      <c r="CH44" s="22" t="n"/>
      <c r="CI44" s="23" t="n"/>
    </row>
    <row r="45" ht="15" customHeight="1" s="201">
      <c r="A45" s="26" t="inlineStr">
        <is>
          <t>SIX PEAK CAPITAL P&amp;L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  <c r="AA45" s="26" t="n"/>
      <c r="AB45" s="26" t="n"/>
      <c r="AC45" s="26" t="n"/>
      <c r="AD45" s="26" t="n"/>
      <c r="AE45" s="26" t="n"/>
      <c r="AF45" s="26" t="n"/>
      <c r="AG45" s="26" t="n"/>
      <c r="AH45" s="26" t="n"/>
      <c r="AI45" s="26" t="n"/>
      <c r="AJ45" s="26" t="n"/>
      <c r="AK45" s="26" t="n"/>
      <c r="AL45" s="26" t="n"/>
      <c r="AM45" s="26" t="n"/>
      <c r="AN45" s="26" t="n"/>
      <c r="AO45" s="26" t="n"/>
      <c r="AP45" s="26" t="n"/>
      <c r="AQ45" s="26" t="n"/>
      <c r="AR45" s="26" t="n"/>
      <c r="AS45" s="26" t="n"/>
      <c r="AT45" s="26" t="n"/>
      <c r="AU45" s="26" t="n"/>
      <c r="AV45" s="26" t="n"/>
      <c r="AW45" s="26" t="n"/>
      <c r="AX45" s="26" t="n"/>
      <c r="AY45" s="26" t="n"/>
      <c r="AZ45" s="26" t="n"/>
      <c r="BA45" s="26" t="n"/>
      <c r="BB45" s="26" t="n"/>
      <c r="BC45" s="26" t="n"/>
      <c r="BD45" s="26" t="n"/>
      <c r="BE45" s="26" t="n"/>
      <c r="BF45" s="26" t="n"/>
      <c r="BG45" s="26" t="n"/>
      <c r="BH45" s="26" t="n"/>
      <c r="BI45" s="26" t="n"/>
      <c r="BJ45" s="26" t="n"/>
      <c r="BK45" s="26" t="n"/>
      <c r="BL45" s="26" t="n"/>
      <c r="BM45" s="26" t="n"/>
      <c r="BN45" s="26" t="n"/>
      <c r="BO45" s="26" t="n"/>
      <c r="BP45" s="26" t="n"/>
      <c r="BQ45" s="26" t="n"/>
      <c r="BR45" s="26" t="n"/>
      <c r="BS45" s="26" t="n"/>
      <c r="BT45" s="26" t="n"/>
      <c r="BU45" s="26" t="n"/>
      <c r="BV45" s="26" t="n"/>
      <c r="BW45" s="26" t="n"/>
      <c r="BX45" s="26" t="n"/>
      <c r="BY45" s="26" t="n"/>
      <c r="BZ45" s="26" t="n"/>
      <c r="CA45" s="26" t="n"/>
      <c r="CB45" s="26" t="n"/>
      <c r="CC45" s="26" t="n"/>
      <c r="CD45" s="26" t="n"/>
      <c r="CE45" s="26" t="n"/>
      <c r="CF45" s="26" t="n"/>
      <c r="CG45" s="26" t="n"/>
      <c r="CH45" s="26" t="n"/>
      <c r="CI45" s="23" t="n"/>
    </row>
    <row r="46" ht="15" customHeight="1" s="201">
      <c r="A46" s="6" t="inlineStr">
        <is>
          <t>Six Peak Revenue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  <c r="AK46" s="6" t="n"/>
      <c r="AL46" s="6" t="n"/>
      <c r="AM46" s="6" t="n"/>
      <c r="AN46" s="6" t="n"/>
      <c r="AO46" s="6" t="n"/>
      <c r="AP46" s="6" t="n"/>
      <c r="AQ46" s="6" t="n"/>
      <c r="AR46" s="6" t="n"/>
      <c r="AS46" s="6" t="n"/>
      <c r="AT46" s="6" t="n"/>
      <c r="AU46" s="6" t="n"/>
      <c r="AV46" s="6" t="n"/>
      <c r="AW46" s="6" t="n"/>
      <c r="AX46" s="6" t="n"/>
      <c r="AY46" s="6" t="n"/>
      <c r="AZ46" s="6" t="n"/>
      <c r="BA46" s="6" t="n"/>
      <c r="BB46" s="6" t="n"/>
      <c r="BC46" s="6" t="n"/>
      <c r="BD46" s="6" t="n"/>
      <c r="BE46" s="6" t="n"/>
      <c r="BF46" s="6" t="n"/>
      <c r="BG46" s="6" t="n"/>
      <c r="BH46" s="6" t="n"/>
      <c r="BI46" s="6" t="n"/>
      <c r="BJ46" s="6" t="n"/>
      <c r="BK46" s="6" t="n"/>
      <c r="BL46" s="6" t="n"/>
      <c r="BM46" s="6" t="n"/>
      <c r="BN46" s="6" t="n"/>
      <c r="BO46" s="6" t="n"/>
      <c r="BP46" s="6" t="n"/>
      <c r="BQ46" s="6" t="n"/>
      <c r="BR46" s="6" t="n"/>
      <c r="BS46" s="6" t="n"/>
      <c r="BT46" s="6" t="n"/>
      <c r="BU46" s="6" t="n"/>
      <c r="BV46" s="6" t="n"/>
      <c r="BW46" s="6" t="n"/>
      <c r="BX46" s="6" t="n"/>
      <c r="BY46" s="6" t="n"/>
      <c r="BZ46" s="6" t="n"/>
      <c r="CA46" s="6" t="n"/>
      <c r="CB46" s="6" t="n"/>
      <c r="CC46" s="6" t="n"/>
      <c r="CD46" s="6" t="n"/>
      <c r="CE46" s="6" t="n"/>
      <c r="CF46" s="6" t="n"/>
      <c r="CG46" s="6" t="n"/>
      <c r="CH46" s="6" t="n"/>
      <c r="CI46" s="23" t="n"/>
    </row>
    <row r="47" ht="15" customHeight="1" s="201">
      <c r="A47" s="7" t="inlineStr">
        <is>
          <t>Edgemont Management Fee</t>
        </is>
      </c>
      <c r="B47" s="22" t="n"/>
      <c r="C47" s="8">
        <f>IF(1&lt;=Assumptions!$B$68,Assumptions!$B$67,0)</f>
        <v/>
      </c>
      <c r="D47" s="8">
        <f>IF(2&lt;=Assumptions!$B$68,Assumptions!$B$67,0)</f>
        <v/>
      </c>
      <c r="E47" s="8">
        <f>IF(3&lt;=Assumptions!$B$68,Assumptions!$B$67,0)</f>
        <v/>
      </c>
      <c r="F47" s="8">
        <f>IF(4&lt;=Assumptions!$B$68,Assumptions!$B$67,0)</f>
        <v/>
      </c>
      <c r="G47" s="8">
        <f>IF(5&lt;=Assumptions!$B$68,Assumptions!$B$67,0)</f>
        <v/>
      </c>
      <c r="H47" s="8">
        <f>IF(6&lt;=Assumptions!$B$68,Assumptions!$B$67,0)</f>
        <v/>
      </c>
      <c r="I47" s="8">
        <f>IF(7&lt;=Assumptions!$B$68,Assumptions!$B$67,0)</f>
        <v/>
      </c>
      <c r="J47" s="8">
        <f>IF(8&lt;=Assumptions!$B$68,Assumptions!$B$67,0)</f>
        <v/>
      </c>
      <c r="K47" s="8">
        <f>IF(9&lt;=Assumptions!$B$68,Assumptions!$B$67,0)</f>
        <v/>
      </c>
      <c r="L47" s="8">
        <f>IF(10&lt;=Assumptions!$B$68,Assumptions!$B$67,0)</f>
        <v/>
      </c>
      <c r="M47" s="8">
        <f>IF(11&lt;=Assumptions!$B$68,Assumptions!$B$67,0)</f>
        <v/>
      </c>
      <c r="N47" s="8">
        <f>IF(12&lt;=Assumptions!$B$68,Assumptions!$B$67,0)</f>
        <v/>
      </c>
      <c r="O47" s="8">
        <f>IF(13&lt;=Assumptions!$B$68,Assumptions!$B$67,0)</f>
        <v/>
      </c>
      <c r="P47" s="8">
        <f>IF(14&lt;=Assumptions!$B$68,Assumptions!$B$67,0)</f>
        <v/>
      </c>
      <c r="Q47" s="8">
        <f>IF(15&lt;=Assumptions!$B$68,Assumptions!$B$67,0)</f>
        <v/>
      </c>
      <c r="R47" s="8">
        <f>IF(16&lt;=Assumptions!$B$68,Assumptions!$B$67,0)</f>
        <v/>
      </c>
      <c r="S47" s="8">
        <f>IF(17&lt;=Assumptions!$B$68,Assumptions!$B$67,0)</f>
        <v/>
      </c>
      <c r="T47" s="8">
        <f>IF(18&lt;=Assumptions!$B$68,Assumptions!$B$67,0)</f>
        <v/>
      </c>
      <c r="U47" s="8">
        <f>IF(19&lt;=Assumptions!$B$68,Assumptions!$B$67,0)</f>
        <v/>
      </c>
      <c r="V47" s="8">
        <f>IF(20&lt;=Assumptions!$B$68,Assumptions!$B$67,0)</f>
        <v/>
      </c>
      <c r="W47" s="8">
        <f>IF(21&lt;=Assumptions!$B$68,Assumptions!$B$67,0)</f>
        <v/>
      </c>
      <c r="X47" s="8">
        <f>IF(22&lt;=Assumptions!$B$68,Assumptions!$B$67,0)</f>
        <v/>
      </c>
      <c r="Y47" s="8">
        <f>IF(23&lt;=Assumptions!$B$68,Assumptions!$B$67,0)</f>
        <v/>
      </c>
      <c r="Z47" s="8">
        <f>IF(24&lt;=Assumptions!$B$68,Assumptions!$B$67,0)</f>
        <v/>
      </c>
      <c r="AA47" s="8">
        <f>IF(25&lt;=Assumptions!$B$68,Assumptions!$B$67,0)</f>
        <v/>
      </c>
      <c r="AB47" s="8">
        <f>IF(26&lt;=Assumptions!$B$68,Assumptions!$B$67,0)</f>
        <v/>
      </c>
      <c r="AC47" s="8">
        <f>IF(27&lt;=Assumptions!$B$68,Assumptions!$B$67,0)</f>
        <v/>
      </c>
      <c r="AD47" s="8">
        <f>IF(28&lt;=Assumptions!$B$68,Assumptions!$B$67,0)</f>
        <v/>
      </c>
      <c r="AE47" s="8">
        <f>IF(29&lt;=Assumptions!$B$68,Assumptions!$B$67,0)</f>
        <v/>
      </c>
      <c r="AF47" s="8">
        <f>IF(30&lt;=Assumptions!$B$68,Assumptions!$B$67,0)</f>
        <v/>
      </c>
      <c r="AG47" s="8">
        <f>IF(31&lt;=Assumptions!$B$68,Assumptions!$B$67,0)</f>
        <v/>
      </c>
      <c r="AH47" s="8">
        <f>IF(32&lt;=Assumptions!$B$68,Assumptions!$B$67,0)</f>
        <v/>
      </c>
      <c r="AI47" s="8">
        <f>IF(33&lt;=Assumptions!$B$68,Assumptions!$B$67,0)</f>
        <v/>
      </c>
      <c r="AJ47" s="8">
        <f>IF(34&lt;=Assumptions!$B$68,Assumptions!$B$67,0)</f>
        <v/>
      </c>
      <c r="AK47" s="8">
        <f>IF(35&lt;=Assumptions!$B$68,Assumptions!$B$67,0)</f>
        <v/>
      </c>
      <c r="AL47" s="8">
        <f>IF(36&lt;=Assumptions!$B$68,Assumptions!$B$67,0)</f>
        <v/>
      </c>
      <c r="AM47" s="8">
        <f>IF(37&lt;=Assumptions!$B$68,Assumptions!$B$67,0)</f>
        <v/>
      </c>
      <c r="AN47" s="8">
        <f>IF(38&lt;=Assumptions!$B$68,Assumptions!$B$67,0)</f>
        <v/>
      </c>
      <c r="AO47" s="8">
        <f>IF(39&lt;=Assumptions!$B$68,Assumptions!$B$67,0)</f>
        <v/>
      </c>
      <c r="AP47" s="8">
        <f>IF(40&lt;=Assumptions!$B$68,Assumptions!$B$67,0)</f>
        <v/>
      </c>
      <c r="AQ47" s="8">
        <f>IF(41&lt;=Assumptions!$B$68,Assumptions!$B$67,0)</f>
        <v/>
      </c>
      <c r="AR47" s="8">
        <f>IF(42&lt;=Assumptions!$B$68,Assumptions!$B$67,0)</f>
        <v/>
      </c>
      <c r="AS47" s="8">
        <f>IF(43&lt;=Assumptions!$B$68,Assumptions!$B$67,0)</f>
        <v/>
      </c>
      <c r="AT47" s="8">
        <f>IF(44&lt;=Assumptions!$B$68,Assumptions!$B$67,0)</f>
        <v/>
      </c>
      <c r="AU47" s="8">
        <f>IF(45&lt;=Assumptions!$B$68,Assumptions!$B$67,0)</f>
        <v/>
      </c>
      <c r="AV47" s="8">
        <f>IF(46&lt;=Assumptions!$B$68,Assumptions!$B$67,0)</f>
        <v/>
      </c>
      <c r="AW47" s="8">
        <f>IF(47&lt;=Assumptions!$B$68,Assumptions!$B$67,0)</f>
        <v/>
      </c>
      <c r="AX47" s="8">
        <f>IF(48&lt;=Assumptions!$B$68,Assumptions!$B$67,0)</f>
        <v/>
      </c>
      <c r="AY47" s="8">
        <f>IF(49&lt;=Assumptions!$B$68,Assumptions!$B$67,0)</f>
        <v/>
      </c>
      <c r="AZ47" s="8">
        <f>IF(50&lt;=Assumptions!$B$68,Assumptions!$B$67,0)</f>
        <v/>
      </c>
      <c r="BA47" s="8">
        <f>IF(51&lt;=Assumptions!$B$68,Assumptions!$B$67,0)</f>
        <v/>
      </c>
      <c r="BB47" s="8">
        <f>IF(52&lt;=Assumptions!$B$68,Assumptions!$B$67,0)</f>
        <v/>
      </c>
      <c r="BC47" s="8">
        <f>IF(53&lt;=Assumptions!$B$68,Assumptions!$B$67,0)</f>
        <v/>
      </c>
      <c r="BD47" s="8">
        <f>IF(54&lt;=Assumptions!$B$68,Assumptions!$B$67,0)</f>
        <v/>
      </c>
      <c r="BE47" s="8">
        <f>IF(55&lt;=Assumptions!$B$68,Assumptions!$B$67,0)</f>
        <v/>
      </c>
      <c r="BF47" s="8">
        <f>IF(56&lt;=Assumptions!$B$68,Assumptions!$B$67,0)</f>
        <v/>
      </c>
      <c r="BG47" s="8">
        <f>IF(57&lt;=Assumptions!$B$68,Assumptions!$B$67,0)</f>
        <v/>
      </c>
      <c r="BH47" s="8">
        <f>IF(58&lt;=Assumptions!$B$68,Assumptions!$B$67,0)</f>
        <v/>
      </c>
      <c r="BI47" s="8">
        <f>IF(59&lt;=Assumptions!$B$68,Assumptions!$B$67,0)</f>
        <v/>
      </c>
      <c r="BJ47" s="8">
        <f>IF(60&lt;=Assumptions!$B$68,Assumptions!$B$67,0)</f>
        <v/>
      </c>
      <c r="BK47" s="8">
        <f>IF(61&lt;=Assumptions!$B$68,Assumptions!$B$67,0)</f>
        <v/>
      </c>
      <c r="BL47" s="8">
        <f>IF(62&lt;=Assumptions!$B$68,Assumptions!$B$67,0)</f>
        <v/>
      </c>
      <c r="BM47" s="8">
        <f>IF(63&lt;=Assumptions!$B$68,Assumptions!$B$67,0)</f>
        <v/>
      </c>
      <c r="BN47" s="8">
        <f>IF(64&lt;=Assumptions!$B$68,Assumptions!$B$67,0)</f>
        <v/>
      </c>
      <c r="BO47" s="8">
        <f>IF(65&lt;=Assumptions!$B$68,Assumptions!$B$67,0)</f>
        <v/>
      </c>
      <c r="BP47" s="8">
        <f>IF(66&lt;=Assumptions!$B$68,Assumptions!$B$67,0)</f>
        <v/>
      </c>
      <c r="BQ47" s="8">
        <f>IF(67&lt;=Assumptions!$B$68,Assumptions!$B$67,0)</f>
        <v/>
      </c>
      <c r="BR47" s="8">
        <f>IF(68&lt;=Assumptions!$B$68,Assumptions!$B$67,0)</f>
        <v/>
      </c>
      <c r="BS47" s="8">
        <f>IF(69&lt;=Assumptions!$B$68,Assumptions!$B$67,0)</f>
        <v/>
      </c>
      <c r="BT47" s="8">
        <f>IF(70&lt;=Assumptions!$B$68,Assumptions!$B$67,0)</f>
        <v/>
      </c>
      <c r="BU47" s="8">
        <f>IF(71&lt;=Assumptions!$B$68,Assumptions!$B$67,0)</f>
        <v/>
      </c>
      <c r="BV47" s="8">
        <f>IF(72&lt;=Assumptions!$B$68,Assumptions!$B$67,0)</f>
        <v/>
      </c>
      <c r="BW47" s="8">
        <f>IF(73&lt;=Assumptions!$B$68,Assumptions!$B$67,0)</f>
        <v/>
      </c>
      <c r="BX47" s="8">
        <f>IF(74&lt;=Assumptions!$B$68,Assumptions!$B$67,0)</f>
        <v/>
      </c>
      <c r="BY47" s="8">
        <f>IF(75&lt;=Assumptions!$B$68,Assumptions!$B$67,0)</f>
        <v/>
      </c>
      <c r="BZ47" s="8">
        <f>IF(76&lt;=Assumptions!$B$68,Assumptions!$B$67,0)</f>
        <v/>
      </c>
      <c r="CA47" s="8">
        <f>IF(77&lt;=Assumptions!$B$68,Assumptions!$B$67,0)</f>
        <v/>
      </c>
      <c r="CB47" s="8">
        <f>IF(78&lt;=Assumptions!$B$68,Assumptions!$B$67,0)</f>
        <v/>
      </c>
      <c r="CC47" s="8">
        <f>IF(79&lt;=Assumptions!$B$68,Assumptions!$B$67,0)</f>
        <v/>
      </c>
      <c r="CD47" s="8">
        <f>IF(80&lt;=Assumptions!$B$68,Assumptions!$B$67,0)</f>
        <v/>
      </c>
      <c r="CE47" s="8">
        <f>IF(81&lt;=Assumptions!$B$68,Assumptions!$B$67,0)</f>
        <v/>
      </c>
      <c r="CF47" s="8">
        <f>IF(82&lt;=Assumptions!$B$68,Assumptions!$B$67,0)</f>
        <v/>
      </c>
      <c r="CG47" s="8">
        <f>IF(83&lt;=Assumptions!$B$68,Assumptions!$B$67,0)</f>
        <v/>
      </c>
      <c r="CH47" s="8">
        <f>IF(84&lt;=Assumptions!$B$68,Assumptions!$B$67,0)</f>
        <v/>
      </c>
      <c r="CI47" s="23" t="n"/>
    </row>
    <row r="48" ht="15" customHeight="1" s="201">
      <c r="A48" s="7" t="inlineStr">
        <is>
          <t>Ramsgate Dev Fee - Construction</t>
        </is>
      </c>
      <c r="B48" s="22" t="n"/>
      <c r="C48" s="8">
        <f>IF(Projects!$G$3="Yes",23906.25,0)</f>
        <v/>
      </c>
      <c r="D48" s="8">
        <f>IF(Projects!$G$3="Yes",23906.25,0)</f>
        <v/>
      </c>
      <c r="E48" s="8">
        <f>IF(Projects!$G$3="Yes",23906.25,0)</f>
        <v/>
      </c>
      <c r="F48" s="8">
        <f>IF(Projects!$G$3="Yes",23906.25,0)</f>
        <v/>
      </c>
      <c r="G48" s="8">
        <f>IF(Projects!$G$3="Yes",23906.25,0)</f>
        <v/>
      </c>
      <c r="H48" s="8">
        <f>IF(Projects!$G$3="Yes",23906.25,0)</f>
        <v/>
      </c>
      <c r="I48" s="8">
        <f>IF(Projects!$G$3="Yes",23906.25,0)</f>
        <v/>
      </c>
      <c r="J48" s="8">
        <f>IF(Projects!$G$3="Yes",23906.25,0)</f>
        <v/>
      </c>
      <c r="K48" s="8">
        <f>IF(Projects!$G$3="Yes",23906.25,0)</f>
        <v/>
      </c>
      <c r="L48" s="8">
        <f>IF(Projects!$G$3="Yes",23906.25,0)</f>
        <v/>
      </c>
      <c r="M48" s="8">
        <f>IF(Projects!$G$3="Yes",23906.25,0)</f>
        <v/>
      </c>
      <c r="N48" s="8">
        <f>IF(Projects!$G$3="Yes",23906.25,0)</f>
        <v/>
      </c>
      <c r="O48" s="8">
        <f>IF(Projects!$G$3="Yes",23906.25,0)</f>
        <v/>
      </c>
      <c r="P48" s="8">
        <f>IF(Projects!$G$3="Yes",23906.25,0)</f>
        <v/>
      </c>
      <c r="Q48" s="8">
        <f>IF(Projects!$G$3="Yes",23906.25,0)</f>
        <v/>
      </c>
      <c r="R48" s="8" t="n">
        <v>0</v>
      </c>
      <c r="S48" s="8" t="n">
        <v>0</v>
      </c>
      <c r="T48" s="8" t="n">
        <v>0</v>
      </c>
      <c r="U48" s="8" t="n">
        <v>0</v>
      </c>
      <c r="V48" s="8" t="n">
        <v>0</v>
      </c>
      <c r="W48" s="8" t="n">
        <v>0</v>
      </c>
      <c r="X48" s="8" t="n">
        <v>0</v>
      </c>
      <c r="Y48" s="8" t="n">
        <v>0</v>
      </c>
      <c r="Z48" s="8" t="n">
        <v>0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  <c r="AK48" s="8" t="n">
        <v>0</v>
      </c>
      <c r="AL48" s="8" t="n">
        <v>0</v>
      </c>
      <c r="AM48" s="8" t="n">
        <v>0</v>
      </c>
      <c r="AN48" s="8" t="n">
        <v>0</v>
      </c>
      <c r="AO48" s="8" t="n">
        <v>0</v>
      </c>
      <c r="AP48" s="8" t="n">
        <v>0</v>
      </c>
      <c r="AQ48" s="8" t="n">
        <v>0</v>
      </c>
      <c r="AR48" s="8" t="n">
        <v>0</v>
      </c>
      <c r="AS48" s="8" t="n">
        <v>0</v>
      </c>
      <c r="AT48" s="8" t="n">
        <v>0</v>
      </c>
      <c r="AU48" s="8" t="n">
        <v>0</v>
      </c>
      <c r="AV48" s="8" t="n">
        <v>0</v>
      </c>
      <c r="AW48" s="8" t="n">
        <v>0</v>
      </c>
      <c r="AX48" s="8" t="n">
        <v>0</v>
      </c>
      <c r="AY48" s="8" t="n">
        <v>0</v>
      </c>
      <c r="AZ48" s="8" t="n">
        <v>0</v>
      </c>
      <c r="BA48" s="8" t="n">
        <v>0</v>
      </c>
      <c r="BB48" s="8" t="n">
        <v>0</v>
      </c>
      <c r="BC48" s="8" t="n">
        <v>0</v>
      </c>
      <c r="BD48" s="8" t="n">
        <v>0</v>
      </c>
      <c r="BE48" s="8" t="n">
        <v>0</v>
      </c>
      <c r="BF48" s="8" t="n">
        <v>0</v>
      </c>
      <c r="BG48" s="8" t="n">
        <v>0</v>
      </c>
      <c r="BH48" s="8" t="n">
        <v>0</v>
      </c>
      <c r="BI48" s="8" t="n">
        <v>0</v>
      </c>
      <c r="BJ48" s="8" t="n">
        <v>0</v>
      </c>
      <c r="BK48" s="8" t="n">
        <v>0</v>
      </c>
      <c r="BL48" s="8" t="n">
        <v>0</v>
      </c>
      <c r="BM48" s="8" t="n">
        <v>0</v>
      </c>
      <c r="BN48" s="8" t="n">
        <v>0</v>
      </c>
      <c r="BO48" s="8" t="n">
        <v>0</v>
      </c>
      <c r="BP48" s="8" t="n">
        <v>0</v>
      </c>
      <c r="BQ48" s="8" t="n">
        <v>0</v>
      </c>
      <c r="BR48" s="8" t="n">
        <v>0</v>
      </c>
      <c r="BS48" s="8" t="n">
        <v>0</v>
      </c>
      <c r="BT48" s="8" t="n">
        <v>0</v>
      </c>
      <c r="BU48" s="8" t="n">
        <v>0</v>
      </c>
      <c r="BV48" s="8" t="n">
        <v>0</v>
      </c>
      <c r="BW48" s="8" t="n">
        <v>0</v>
      </c>
      <c r="BX48" s="8" t="n">
        <v>0</v>
      </c>
      <c r="BY48" s="8" t="n">
        <v>0</v>
      </c>
      <c r="BZ48" s="8" t="n">
        <v>0</v>
      </c>
      <c r="CA48" s="8" t="n">
        <v>0</v>
      </c>
      <c r="CB48" s="8" t="n">
        <v>0</v>
      </c>
      <c r="CC48" s="8" t="n">
        <v>0</v>
      </c>
      <c r="CD48" s="8" t="n">
        <v>0</v>
      </c>
      <c r="CE48" s="8" t="n">
        <v>0</v>
      </c>
      <c r="CF48" s="8" t="n">
        <v>0</v>
      </c>
      <c r="CG48" s="8" t="n">
        <v>0</v>
      </c>
      <c r="CH48" s="8" t="n">
        <v>0</v>
      </c>
      <c r="CI48" s="23" t="n"/>
    </row>
    <row r="49" ht="15" customHeight="1" s="201">
      <c r="A49" s="7" t="inlineStr">
        <is>
          <t>Ramsgate Dev Fee - 20% Occ</t>
        </is>
      </c>
      <c r="B49" s="22" t="n"/>
      <c r="C49" s="8" t="n">
        <v>0</v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8" t="n">
        <v>0</v>
      </c>
      <c r="M49" s="8" t="n">
        <v>0</v>
      </c>
      <c r="N49" s="8" t="n">
        <v>0</v>
      </c>
      <c r="O49" s="8" t="n">
        <v>0</v>
      </c>
      <c r="P49" s="8" t="n">
        <v>0</v>
      </c>
      <c r="Q49" s="8" t="n">
        <v>0</v>
      </c>
      <c r="R49" s="8" t="n">
        <v>0</v>
      </c>
      <c r="S49" s="8" t="n">
        <v>0</v>
      </c>
      <c r="T49" s="8" t="n">
        <v>0</v>
      </c>
      <c r="U49" s="8" t="n">
        <v>0</v>
      </c>
      <c r="V49" s="8" t="n">
        <v>0</v>
      </c>
      <c r="W49" s="8">
        <f>IF(Projects!$G$3="Yes",57375,0)</f>
        <v/>
      </c>
      <c r="X49" s="8" t="n">
        <v>0</v>
      </c>
      <c r="Y49" s="8" t="n">
        <v>0</v>
      </c>
      <c r="Z49" s="8" t="n">
        <v>0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  <c r="AK49" s="8" t="n">
        <v>0</v>
      </c>
      <c r="AL49" s="8" t="n">
        <v>0</v>
      </c>
      <c r="AM49" s="8" t="n">
        <v>0</v>
      </c>
      <c r="AN49" s="8" t="n">
        <v>0</v>
      </c>
      <c r="AO49" s="8" t="n">
        <v>0</v>
      </c>
      <c r="AP49" s="8" t="n">
        <v>0</v>
      </c>
      <c r="AQ49" s="8" t="n">
        <v>0</v>
      </c>
      <c r="AR49" s="8" t="n">
        <v>0</v>
      </c>
      <c r="AS49" s="8" t="n">
        <v>0</v>
      </c>
      <c r="AT49" s="8" t="n">
        <v>0</v>
      </c>
      <c r="AU49" s="8" t="n">
        <v>0</v>
      </c>
      <c r="AV49" s="8" t="n">
        <v>0</v>
      </c>
      <c r="AW49" s="8" t="n">
        <v>0</v>
      </c>
      <c r="AX49" s="8" t="n">
        <v>0</v>
      </c>
      <c r="AY49" s="8" t="n">
        <v>0</v>
      </c>
      <c r="AZ49" s="8" t="n">
        <v>0</v>
      </c>
      <c r="BA49" s="8" t="n">
        <v>0</v>
      </c>
      <c r="BB49" s="8" t="n">
        <v>0</v>
      </c>
      <c r="BC49" s="8" t="n">
        <v>0</v>
      </c>
      <c r="BD49" s="8" t="n">
        <v>0</v>
      </c>
      <c r="BE49" s="8" t="n">
        <v>0</v>
      </c>
      <c r="BF49" s="8" t="n">
        <v>0</v>
      </c>
      <c r="BG49" s="8" t="n">
        <v>0</v>
      </c>
      <c r="BH49" s="8" t="n">
        <v>0</v>
      </c>
      <c r="BI49" s="8" t="n">
        <v>0</v>
      </c>
      <c r="BJ49" s="8" t="n">
        <v>0</v>
      </c>
      <c r="BK49" s="8" t="n">
        <v>0</v>
      </c>
      <c r="BL49" s="8" t="n">
        <v>0</v>
      </c>
      <c r="BM49" s="8" t="n">
        <v>0</v>
      </c>
      <c r="BN49" s="8" t="n">
        <v>0</v>
      </c>
      <c r="BO49" s="8" t="n">
        <v>0</v>
      </c>
      <c r="BP49" s="8" t="n">
        <v>0</v>
      </c>
      <c r="BQ49" s="8" t="n">
        <v>0</v>
      </c>
      <c r="BR49" s="8" t="n">
        <v>0</v>
      </c>
      <c r="BS49" s="8" t="n">
        <v>0</v>
      </c>
      <c r="BT49" s="8" t="n">
        <v>0</v>
      </c>
      <c r="BU49" s="8" t="n">
        <v>0</v>
      </c>
      <c r="BV49" s="8" t="n">
        <v>0</v>
      </c>
      <c r="BW49" s="8" t="n">
        <v>0</v>
      </c>
      <c r="BX49" s="8" t="n">
        <v>0</v>
      </c>
      <c r="BY49" s="8" t="n">
        <v>0</v>
      </c>
      <c r="BZ49" s="8" t="n">
        <v>0</v>
      </c>
      <c r="CA49" s="8" t="n">
        <v>0</v>
      </c>
      <c r="CB49" s="8" t="n">
        <v>0</v>
      </c>
      <c r="CC49" s="8" t="n">
        <v>0</v>
      </c>
      <c r="CD49" s="8" t="n">
        <v>0</v>
      </c>
      <c r="CE49" s="8" t="n">
        <v>0</v>
      </c>
      <c r="CF49" s="8" t="n">
        <v>0</v>
      </c>
      <c r="CG49" s="8" t="n">
        <v>0</v>
      </c>
      <c r="CH49" s="8" t="n">
        <v>0</v>
      </c>
      <c r="CI49" s="23" t="n"/>
    </row>
    <row r="50" ht="15" customHeight="1" s="201">
      <c r="A50" s="7" t="inlineStr">
        <is>
          <t>Ramsgate Dev Fee - 50% Occ</t>
        </is>
      </c>
      <c r="B50" s="22" t="n"/>
      <c r="C50" s="8" t="n">
        <v>0</v>
      </c>
      <c r="D50" s="8" t="n">
        <v>0</v>
      </c>
      <c r="E50" s="8" t="n">
        <v>0</v>
      </c>
      <c r="F50" s="8" t="n">
        <v>0</v>
      </c>
      <c r="G50" s="8" t="n">
        <v>0</v>
      </c>
      <c r="H50" s="8" t="n">
        <v>0</v>
      </c>
      <c r="I50" s="8" t="n">
        <v>0</v>
      </c>
      <c r="J50" s="8" t="n">
        <v>0</v>
      </c>
      <c r="K50" s="8" t="n">
        <v>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0</v>
      </c>
      <c r="S50" s="8" t="n">
        <v>0</v>
      </c>
      <c r="T50" s="8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n">
        <v>0</v>
      </c>
      <c r="Z50" s="8">
        <f>IF(Projects!$G$3="Yes",57375,0)</f>
        <v/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  <c r="AK50" s="8" t="n">
        <v>0</v>
      </c>
      <c r="AL50" s="8" t="n">
        <v>0</v>
      </c>
      <c r="AM50" s="8" t="n">
        <v>0</v>
      </c>
      <c r="AN50" s="8" t="n">
        <v>0</v>
      </c>
      <c r="AO50" s="8" t="n">
        <v>0</v>
      </c>
      <c r="AP50" s="8" t="n">
        <v>0</v>
      </c>
      <c r="AQ50" s="8" t="n">
        <v>0</v>
      </c>
      <c r="AR50" s="8" t="n">
        <v>0</v>
      </c>
      <c r="AS50" s="8" t="n">
        <v>0</v>
      </c>
      <c r="AT50" s="8" t="n">
        <v>0</v>
      </c>
      <c r="AU50" s="8" t="n">
        <v>0</v>
      </c>
      <c r="AV50" s="8" t="n">
        <v>0</v>
      </c>
      <c r="AW50" s="8" t="n">
        <v>0</v>
      </c>
      <c r="AX50" s="8" t="n">
        <v>0</v>
      </c>
      <c r="AY50" s="8" t="n">
        <v>0</v>
      </c>
      <c r="AZ50" s="8" t="n">
        <v>0</v>
      </c>
      <c r="BA50" s="8" t="n">
        <v>0</v>
      </c>
      <c r="BB50" s="8" t="n">
        <v>0</v>
      </c>
      <c r="BC50" s="8" t="n">
        <v>0</v>
      </c>
      <c r="BD50" s="8" t="n">
        <v>0</v>
      </c>
      <c r="BE50" s="8" t="n">
        <v>0</v>
      </c>
      <c r="BF50" s="8" t="n">
        <v>0</v>
      </c>
      <c r="BG50" s="8" t="n">
        <v>0</v>
      </c>
      <c r="BH50" s="8" t="n">
        <v>0</v>
      </c>
      <c r="BI50" s="8" t="n">
        <v>0</v>
      </c>
      <c r="BJ50" s="8" t="n">
        <v>0</v>
      </c>
      <c r="BK50" s="8" t="n">
        <v>0</v>
      </c>
      <c r="BL50" s="8" t="n">
        <v>0</v>
      </c>
      <c r="BM50" s="8" t="n">
        <v>0</v>
      </c>
      <c r="BN50" s="8" t="n">
        <v>0</v>
      </c>
      <c r="BO50" s="8" t="n">
        <v>0</v>
      </c>
      <c r="BP50" s="8" t="n">
        <v>0</v>
      </c>
      <c r="BQ50" s="8" t="n">
        <v>0</v>
      </c>
      <c r="BR50" s="8" t="n">
        <v>0</v>
      </c>
      <c r="BS50" s="8" t="n">
        <v>0</v>
      </c>
      <c r="BT50" s="8" t="n">
        <v>0</v>
      </c>
      <c r="BU50" s="8" t="n">
        <v>0</v>
      </c>
      <c r="BV50" s="8" t="n">
        <v>0</v>
      </c>
      <c r="BW50" s="8" t="n">
        <v>0</v>
      </c>
      <c r="BX50" s="8" t="n">
        <v>0</v>
      </c>
      <c r="BY50" s="8" t="n">
        <v>0</v>
      </c>
      <c r="BZ50" s="8" t="n">
        <v>0</v>
      </c>
      <c r="CA50" s="8" t="n">
        <v>0</v>
      </c>
      <c r="CB50" s="8" t="n">
        <v>0</v>
      </c>
      <c r="CC50" s="8" t="n">
        <v>0</v>
      </c>
      <c r="CD50" s="8" t="n">
        <v>0</v>
      </c>
      <c r="CE50" s="8" t="n">
        <v>0</v>
      </c>
      <c r="CF50" s="8" t="n">
        <v>0</v>
      </c>
      <c r="CG50" s="8" t="n">
        <v>0</v>
      </c>
      <c r="CH50" s="8" t="n">
        <v>0</v>
      </c>
      <c r="CI50" s="23" t="n"/>
    </row>
    <row r="51" ht="15" customHeight="1" s="201">
      <c r="A51" s="7" t="inlineStr">
        <is>
          <t>Ramsgate Dev Fee - 90% Occ</t>
        </is>
      </c>
      <c r="B51" s="22" t="n"/>
      <c r="C51" s="8" t="n">
        <v>0</v>
      </c>
      <c r="D51" s="8" t="n">
        <v>0</v>
      </c>
      <c r="E51" s="8" t="n">
        <v>0</v>
      </c>
      <c r="F51" s="8" t="n">
        <v>0</v>
      </c>
      <c r="G51" s="8" t="n">
        <v>0</v>
      </c>
      <c r="H51" s="8" t="n">
        <v>0</v>
      </c>
      <c r="I51" s="8" t="n">
        <v>0</v>
      </c>
      <c r="J51" s="8" t="n">
        <v>0</v>
      </c>
      <c r="K51" s="8" t="n">
        <v>0</v>
      </c>
      <c r="L51" s="8" t="n">
        <v>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8" t="n">
        <v>0</v>
      </c>
      <c r="S51" s="8" t="n">
        <v>0</v>
      </c>
      <c r="T51" s="8" t="n">
        <v>0</v>
      </c>
      <c r="U51" s="8" t="n">
        <v>0</v>
      </c>
      <c r="V51" s="8" t="n">
        <v>0</v>
      </c>
      <c r="W51" s="8" t="n">
        <v>0</v>
      </c>
      <c r="X51" s="8" t="n">
        <v>0</v>
      </c>
      <c r="Y51" s="8" t="n">
        <v>0</v>
      </c>
      <c r="Z51" s="8" t="n">
        <v>0</v>
      </c>
      <c r="AA51" s="8" t="n">
        <v>0</v>
      </c>
      <c r="AB51" s="8" t="n">
        <v>0</v>
      </c>
      <c r="AC51" s="8">
        <f>IF(Projects!$G$3="Yes",57375,0)</f>
        <v/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  <c r="AK51" s="8" t="n">
        <v>0</v>
      </c>
      <c r="AL51" s="8" t="n">
        <v>0</v>
      </c>
      <c r="AM51" s="8" t="n">
        <v>0</v>
      </c>
      <c r="AN51" s="8" t="n">
        <v>0</v>
      </c>
      <c r="AO51" s="8" t="n">
        <v>0</v>
      </c>
      <c r="AP51" s="8" t="n">
        <v>0</v>
      </c>
      <c r="AQ51" s="8" t="n">
        <v>0</v>
      </c>
      <c r="AR51" s="8" t="n">
        <v>0</v>
      </c>
      <c r="AS51" s="8" t="n">
        <v>0</v>
      </c>
      <c r="AT51" s="8" t="n">
        <v>0</v>
      </c>
      <c r="AU51" s="8" t="n">
        <v>0</v>
      </c>
      <c r="AV51" s="8" t="n">
        <v>0</v>
      </c>
      <c r="AW51" s="8" t="n">
        <v>0</v>
      </c>
      <c r="AX51" s="8" t="n">
        <v>0</v>
      </c>
      <c r="AY51" s="8" t="n">
        <v>0</v>
      </c>
      <c r="AZ51" s="8" t="n">
        <v>0</v>
      </c>
      <c r="BA51" s="8" t="n">
        <v>0</v>
      </c>
      <c r="BB51" s="8" t="n">
        <v>0</v>
      </c>
      <c r="BC51" s="8" t="n">
        <v>0</v>
      </c>
      <c r="BD51" s="8" t="n">
        <v>0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0</v>
      </c>
      <c r="BJ51" s="8" t="n">
        <v>0</v>
      </c>
      <c r="BK51" s="8" t="n">
        <v>0</v>
      </c>
      <c r="BL51" s="8" t="n">
        <v>0</v>
      </c>
      <c r="BM51" s="8" t="n">
        <v>0</v>
      </c>
      <c r="BN51" s="8" t="n">
        <v>0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0</v>
      </c>
      <c r="BT51" s="8" t="n">
        <v>0</v>
      </c>
      <c r="BU51" s="8" t="n">
        <v>0</v>
      </c>
      <c r="BV51" s="8" t="n">
        <v>0</v>
      </c>
      <c r="BW51" s="8" t="n">
        <v>0</v>
      </c>
      <c r="BX51" s="8" t="n">
        <v>0</v>
      </c>
      <c r="BY51" s="8" t="n">
        <v>0</v>
      </c>
      <c r="BZ51" s="8" t="n">
        <v>0</v>
      </c>
      <c r="CA51" s="8" t="n">
        <v>0</v>
      </c>
      <c r="CB51" s="8" t="n">
        <v>0</v>
      </c>
      <c r="CC51" s="8" t="n">
        <v>0</v>
      </c>
      <c r="CD51" s="8" t="n">
        <v>0</v>
      </c>
      <c r="CE51" s="8" t="n">
        <v>0</v>
      </c>
      <c r="CF51" s="8" t="n">
        <v>0</v>
      </c>
      <c r="CG51" s="8" t="n">
        <v>0</v>
      </c>
      <c r="CH51" s="8" t="n">
        <v>0</v>
      </c>
      <c r="CI51" s="23" t="n"/>
    </row>
    <row r="52" ht="15" customHeight="1" s="201">
      <c r="A52" s="7" t="inlineStr">
        <is>
          <t>Crenshaw Development Fee</t>
        </is>
      </c>
      <c r="B52" s="22" t="n"/>
      <c r="C52" s="8">
        <f>IF(Projects!$G$2="Yes",9375,0)</f>
        <v/>
      </c>
      <c r="D52" s="8">
        <f>IF(Projects!$G$2="Yes",9375,0)</f>
        <v/>
      </c>
      <c r="E52" s="8">
        <f>IF(Projects!$G$2="Yes",9375,0)</f>
        <v/>
      </c>
      <c r="F52" s="8">
        <f>IF(Projects!$G$2="Yes",9375,0)</f>
        <v/>
      </c>
      <c r="G52" s="8">
        <f>IF(Projects!$G$2="Yes",9375,0)</f>
        <v/>
      </c>
      <c r="H52" s="8">
        <f>IF(Projects!$G$2="Yes",9375,0)</f>
        <v/>
      </c>
      <c r="I52" s="8">
        <f>IF(Projects!$G$2="Yes",9375,0)</f>
        <v/>
      </c>
      <c r="J52" s="8" t="n">
        <v>0</v>
      </c>
      <c r="K52" s="8" t="n">
        <v>0</v>
      </c>
      <c r="L52" s="8" t="n">
        <v>0</v>
      </c>
      <c r="M52" s="8" t="n">
        <v>0</v>
      </c>
      <c r="N52" s="8" t="n">
        <v>0</v>
      </c>
      <c r="O52" s="8" t="n">
        <v>0</v>
      </c>
      <c r="P52" s="8" t="n">
        <v>0</v>
      </c>
      <c r="Q52" s="8" t="n">
        <v>0</v>
      </c>
      <c r="R52" s="8" t="n">
        <v>0</v>
      </c>
      <c r="S52" s="8" t="n">
        <v>0</v>
      </c>
      <c r="T52" s="8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n">
        <v>0</v>
      </c>
      <c r="Z52" s="8" t="n">
        <v>0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  <c r="AK52" s="8" t="n">
        <v>0</v>
      </c>
      <c r="AL52" s="8" t="n">
        <v>0</v>
      </c>
      <c r="AM52" s="8" t="n">
        <v>0</v>
      </c>
      <c r="AN52" s="8" t="n">
        <v>0</v>
      </c>
      <c r="AO52" s="8" t="n">
        <v>0</v>
      </c>
      <c r="AP52" s="8" t="n">
        <v>0</v>
      </c>
      <c r="AQ52" s="8" t="n">
        <v>0</v>
      </c>
      <c r="AR52" s="8" t="n">
        <v>0</v>
      </c>
      <c r="AS52" s="8" t="n">
        <v>0</v>
      </c>
      <c r="AT52" s="8" t="n">
        <v>0</v>
      </c>
      <c r="AU52" s="8" t="n">
        <v>0</v>
      </c>
      <c r="AV52" s="8" t="n">
        <v>0</v>
      </c>
      <c r="AW52" s="8" t="n">
        <v>0</v>
      </c>
      <c r="AX52" s="8" t="n">
        <v>0</v>
      </c>
      <c r="AY52" s="8" t="n">
        <v>0</v>
      </c>
      <c r="AZ52" s="8" t="n">
        <v>0</v>
      </c>
      <c r="BA52" s="8" t="n">
        <v>0</v>
      </c>
      <c r="BB52" s="8" t="n">
        <v>0</v>
      </c>
      <c r="BC52" s="8" t="n">
        <v>0</v>
      </c>
      <c r="BD52" s="8" t="n">
        <v>0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0</v>
      </c>
      <c r="BJ52" s="8" t="n">
        <v>0</v>
      </c>
      <c r="BK52" s="8" t="n">
        <v>0</v>
      </c>
      <c r="BL52" s="8" t="n">
        <v>0</v>
      </c>
      <c r="BM52" s="8" t="n">
        <v>0</v>
      </c>
      <c r="BN52" s="8" t="n">
        <v>0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0</v>
      </c>
      <c r="BT52" s="8" t="n">
        <v>0</v>
      </c>
      <c r="BU52" s="8" t="n">
        <v>0</v>
      </c>
      <c r="BV52" s="8" t="n">
        <v>0</v>
      </c>
      <c r="BW52" s="8" t="n">
        <v>0</v>
      </c>
      <c r="BX52" s="8" t="n">
        <v>0</v>
      </c>
      <c r="BY52" s="8" t="n">
        <v>0</v>
      </c>
      <c r="BZ52" s="8" t="n">
        <v>0</v>
      </c>
      <c r="CA52" s="8" t="n">
        <v>0</v>
      </c>
      <c r="CB52" s="8" t="n">
        <v>0</v>
      </c>
      <c r="CC52" s="8" t="n">
        <v>0</v>
      </c>
      <c r="CD52" s="8" t="n">
        <v>0</v>
      </c>
      <c r="CE52" s="8" t="n">
        <v>0</v>
      </c>
      <c r="CF52" s="8" t="n">
        <v>0</v>
      </c>
      <c r="CG52" s="8" t="n">
        <v>0</v>
      </c>
      <c r="CH52" s="8" t="n">
        <v>0</v>
      </c>
      <c r="CI52" s="23" t="n"/>
    </row>
    <row r="53" ht="15" customHeight="1" s="201">
      <c r="A53" s="7" t="inlineStr">
        <is>
          <t>12th &amp; Fir Developer Fee</t>
        </is>
      </c>
      <c r="B53" s="22" t="n"/>
      <c r="C53" s="8" t="n">
        <v>9500</v>
      </c>
      <c r="D53" s="8" t="n">
        <v>9500</v>
      </c>
      <c r="E53" s="8" t="n">
        <v>9500</v>
      </c>
      <c r="F53" s="8" t="n">
        <v>9500</v>
      </c>
      <c r="G53" s="8" t="n">
        <v>9500</v>
      </c>
      <c r="H53" s="8" t="n">
        <v>9500</v>
      </c>
      <c r="I53" s="8" t="n">
        <v>9500</v>
      </c>
      <c r="J53" s="8" t="n">
        <v>9500</v>
      </c>
      <c r="K53" s="8" t="n">
        <v>9500</v>
      </c>
      <c r="L53" s="8" t="n">
        <v>9500</v>
      </c>
      <c r="M53" s="8" t="n">
        <v>9500</v>
      </c>
      <c r="N53" s="8" t="n">
        <v>9500</v>
      </c>
      <c r="O53" s="8" t="n">
        <v>9500</v>
      </c>
      <c r="P53" s="8" t="n">
        <v>9500</v>
      </c>
      <c r="Q53" s="8" t="n">
        <v>9500</v>
      </c>
      <c r="R53" s="8" t="n">
        <v>9500</v>
      </c>
      <c r="S53" s="8" t="n">
        <v>9500</v>
      </c>
      <c r="T53" s="8" t="n">
        <v>9500</v>
      </c>
      <c r="U53" s="8" t="n">
        <v>9500</v>
      </c>
      <c r="V53" s="8" t="n">
        <v>9500</v>
      </c>
      <c r="W53" s="8" t="n">
        <v>9500</v>
      </c>
      <c r="X53" s="8" t="n">
        <v>9500</v>
      </c>
      <c r="Y53" s="8" t="n">
        <v>9500</v>
      </c>
      <c r="Z53" s="8" t="n">
        <v>9500</v>
      </c>
      <c r="AA53" s="8" t="n">
        <v>9500</v>
      </c>
      <c r="AB53" s="8" t="n">
        <v>9500</v>
      </c>
      <c r="AC53" s="8" t="n">
        <v>9500</v>
      </c>
      <c r="AD53" s="8" t="n">
        <v>9500</v>
      </c>
      <c r="AE53" s="8" t="n">
        <v>9500</v>
      </c>
      <c r="AF53" s="8" t="n">
        <v>9500</v>
      </c>
      <c r="AG53" s="8" t="n">
        <v>0</v>
      </c>
      <c r="AH53" s="8" t="n">
        <v>0</v>
      </c>
      <c r="AI53" s="8" t="n">
        <v>0</v>
      </c>
      <c r="AJ53" s="8" t="n">
        <v>0</v>
      </c>
      <c r="AK53" s="8" t="n">
        <v>0</v>
      </c>
      <c r="AL53" s="8" t="n">
        <v>0</v>
      </c>
      <c r="AM53" s="8" t="n">
        <v>0</v>
      </c>
      <c r="AN53" s="8" t="n">
        <v>0</v>
      </c>
      <c r="AO53" s="8" t="n">
        <v>0</v>
      </c>
      <c r="AP53" s="8" t="n">
        <v>0</v>
      </c>
      <c r="AQ53" s="8" t="n">
        <v>0</v>
      </c>
      <c r="AR53" s="8" t="n">
        <v>0</v>
      </c>
      <c r="AS53" s="8" t="n">
        <v>0</v>
      </c>
      <c r="AT53" s="8" t="n">
        <v>0</v>
      </c>
      <c r="AU53" s="8" t="n">
        <v>0</v>
      </c>
      <c r="AV53" s="8" t="n">
        <v>0</v>
      </c>
      <c r="AW53" s="8" t="n">
        <v>0</v>
      </c>
      <c r="AX53" s="8" t="n">
        <v>0</v>
      </c>
      <c r="AY53" s="8" t="n">
        <v>0</v>
      </c>
      <c r="AZ53" s="8" t="n">
        <v>0</v>
      </c>
      <c r="BA53" s="8" t="n">
        <v>0</v>
      </c>
      <c r="BB53" s="8" t="n">
        <v>0</v>
      </c>
      <c r="BC53" s="8" t="n">
        <v>0</v>
      </c>
      <c r="BD53" s="8" t="n">
        <v>0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0</v>
      </c>
      <c r="BJ53" s="8" t="n">
        <v>0</v>
      </c>
      <c r="BK53" s="8" t="n">
        <v>0</v>
      </c>
      <c r="BL53" s="8" t="n">
        <v>0</v>
      </c>
      <c r="BM53" s="8" t="n">
        <v>0</v>
      </c>
      <c r="BN53" s="8" t="n">
        <v>0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0</v>
      </c>
      <c r="BT53" s="8" t="n">
        <v>0</v>
      </c>
      <c r="BU53" s="8" t="n">
        <v>0</v>
      </c>
      <c r="BV53" s="8" t="n">
        <v>0</v>
      </c>
      <c r="BW53" s="8" t="n">
        <v>0</v>
      </c>
      <c r="BX53" s="8" t="n">
        <v>0</v>
      </c>
      <c r="BY53" s="8" t="n">
        <v>0</v>
      </c>
      <c r="BZ53" s="8" t="n">
        <v>0</v>
      </c>
      <c r="CA53" s="8" t="n">
        <v>0</v>
      </c>
      <c r="CB53" s="8" t="n">
        <v>0</v>
      </c>
      <c r="CC53" s="8" t="n">
        <v>0</v>
      </c>
      <c r="CD53" s="8" t="n">
        <v>0</v>
      </c>
      <c r="CE53" s="8" t="n">
        <v>0</v>
      </c>
      <c r="CF53" s="8" t="n">
        <v>0</v>
      </c>
      <c r="CG53" s="8" t="n">
        <v>0</v>
      </c>
      <c r="CH53" s="8" t="n">
        <v>0</v>
      </c>
      <c r="CI53" s="23" t="n"/>
    </row>
    <row r="54" ht="15" customHeight="1" s="201">
      <c r="A54" s="7" t="inlineStr">
        <is>
          <t>Klump Accounting Fee</t>
        </is>
      </c>
      <c r="B54" s="22" t="n"/>
      <c r="C54" s="8" t="n">
        <v>0</v>
      </c>
      <c r="D54" s="8" t="n">
        <v>0</v>
      </c>
      <c r="E54" s="8" t="n">
        <v>0</v>
      </c>
      <c r="F54" s="8" t="n">
        <v>0</v>
      </c>
      <c r="G54" s="8">
        <f>IF(Projects!$G$11="Yes",6315.79,0)</f>
        <v/>
      </c>
      <c r="H54" s="8">
        <f>IF(Projects!$G$11="Yes",6315.79,0)</f>
        <v/>
      </c>
      <c r="I54" s="8">
        <f>IF(Projects!$G$11="Yes",6315.79,0)</f>
        <v/>
      </c>
      <c r="J54" s="8">
        <f>IF(Projects!$G$11="Yes",6315.79,0)</f>
        <v/>
      </c>
      <c r="K54" s="8">
        <f>IF(Projects!$G$11="Yes",6315.79,0)</f>
        <v/>
      </c>
      <c r="L54" s="8">
        <f>IF(Projects!$G$11="Yes",6315.79,0)</f>
        <v/>
      </c>
      <c r="M54" s="8">
        <f>IF(Projects!$G$11="Yes",6315.79,0)</f>
        <v/>
      </c>
      <c r="N54" s="8">
        <f>IF(Projects!$G$11="Yes",6315.79,0)</f>
        <v/>
      </c>
      <c r="O54" s="8">
        <f>IF(Projects!$G$11="Yes",6315.79,0)</f>
        <v/>
      </c>
      <c r="P54" s="8">
        <f>IF(Projects!$G$11="Yes",6315.79,0)</f>
        <v/>
      </c>
      <c r="Q54" s="8">
        <f>IF(Projects!$G$11="Yes",6315.79,0)</f>
        <v/>
      </c>
      <c r="R54" s="8">
        <f>IF(Projects!$G$11="Yes",6315.79,0)</f>
        <v/>
      </c>
      <c r="S54" s="8">
        <f>IF(Projects!$G$11="Yes",6315.79,0)</f>
        <v/>
      </c>
      <c r="T54" s="8">
        <f>IF(Projects!$G$11="Yes",6315.79,0)</f>
        <v/>
      </c>
      <c r="U54" s="8">
        <f>IF(Projects!$G$11="Yes",6315.79,0)</f>
        <v/>
      </c>
      <c r="V54" s="8">
        <f>IF(Projects!$G$11="Yes",6315.79,0)</f>
        <v/>
      </c>
      <c r="W54" s="8">
        <f>IF(Projects!$G$11="Yes",6315.79,0)</f>
        <v/>
      </c>
      <c r="X54" s="8">
        <f>IF(Projects!$G$11="Yes",6315.79,0)</f>
        <v/>
      </c>
      <c r="Y54" s="8">
        <f>IF(Projects!$G$11="Yes",6315.79,0)</f>
        <v/>
      </c>
      <c r="Z54" s="8" t="n">
        <v>0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  <c r="AK54" s="8" t="n">
        <v>0</v>
      </c>
      <c r="AL54" s="8" t="n">
        <v>0</v>
      </c>
      <c r="AM54" s="8" t="n">
        <v>0</v>
      </c>
      <c r="AN54" s="8" t="n">
        <v>0</v>
      </c>
      <c r="AO54" s="8" t="n">
        <v>0</v>
      </c>
      <c r="AP54" s="8" t="n">
        <v>0</v>
      </c>
      <c r="AQ54" s="8" t="n">
        <v>0</v>
      </c>
      <c r="AR54" s="8" t="n">
        <v>0</v>
      </c>
      <c r="AS54" s="8" t="n">
        <v>0</v>
      </c>
      <c r="AT54" s="8" t="n">
        <v>0</v>
      </c>
      <c r="AU54" s="8" t="n">
        <v>0</v>
      </c>
      <c r="AV54" s="8" t="n">
        <v>0</v>
      </c>
      <c r="AW54" s="8" t="n">
        <v>0</v>
      </c>
      <c r="AX54" s="8" t="n">
        <v>0</v>
      </c>
      <c r="AY54" s="8" t="n">
        <v>0</v>
      </c>
      <c r="AZ54" s="8" t="n">
        <v>0</v>
      </c>
      <c r="BA54" s="8" t="n">
        <v>0</v>
      </c>
      <c r="BB54" s="8" t="n">
        <v>0</v>
      </c>
      <c r="BC54" s="8" t="n">
        <v>0</v>
      </c>
      <c r="BD54" s="8" t="n">
        <v>0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0</v>
      </c>
      <c r="BJ54" s="8" t="n">
        <v>0</v>
      </c>
      <c r="BK54" s="8" t="n">
        <v>0</v>
      </c>
      <c r="BL54" s="8" t="n">
        <v>0</v>
      </c>
      <c r="BM54" s="8" t="n">
        <v>0</v>
      </c>
      <c r="BN54" s="8" t="n">
        <v>0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0</v>
      </c>
      <c r="BT54" s="8" t="n">
        <v>0</v>
      </c>
      <c r="BU54" s="8" t="n">
        <v>0</v>
      </c>
      <c r="BV54" s="8" t="n">
        <v>0</v>
      </c>
      <c r="BW54" s="8" t="n">
        <v>0</v>
      </c>
      <c r="BX54" s="8" t="n">
        <v>0</v>
      </c>
      <c r="BY54" s="8" t="n">
        <v>0</v>
      </c>
      <c r="BZ54" s="8" t="n">
        <v>0</v>
      </c>
      <c r="CA54" s="8" t="n">
        <v>0</v>
      </c>
      <c r="CB54" s="8" t="n">
        <v>0</v>
      </c>
      <c r="CC54" s="8" t="n">
        <v>0</v>
      </c>
      <c r="CD54" s="8" t="n">
        <v>0</v>
      </c>
      <c r="CE54" s="8" t="n">
        <v>0</v>
      </c>
      <c r="CF54" s="8" t="n">
        <v>0</v>
      </c>
      <c r="CG54" s="8" t="n">
        <v>0</v>
      </c>
      <c r="CH54" s="8" t="n">
        <v>0</v>
      </c>
      <c r="CI54" s="23" t="n"/>
    </row>
    <row r="55" ht="15" customHeight="1" s="201">
      <c r="A55" s="7" t="inlineStr">
        <is>
          <t>Klump Developer Fee</t>
        </is>
      </c>
      <c r="B55" s="22" t="n"/>
      <c r="C55" s="8" t="n">
        <v>0</v>
      </c>
      <c r="D55" s="8" t="n">
        <v>0</v>
      </c>
      <c r="E55" s="8" t="n">
        <v>0</v>
      </c>
      <c r="F55" s="8" t="n">
        <v>0</v>
      </c>
      <c r="G55" s="8">
        <f>IF(Projects!$G$11="Yes",6315.79,0)</f>
        <v/>
      </c>
      <c r="H55" s="8">
        <f>IF(Projects!$G$11="Yes",6315.79,0)</f>
        <v/>
      </c>
      <c r="I55" s="8">
        <f>IF(Projects!$G$11="Yes",6315.79,0)</f>
        <v/>
      </c>
      <c r="J55" s="8">
        <f>IF(Projects!$G$11="Yes",6315.79,0)</f>
        <v/>
      </c>
      <c r="K55" s="8">
        <f>IF(Projects!$G$11="Yes",6315.79,0)</f>
        <v/>
      </c>
      <c r="L55" s="8">
        <f>IF(Projects!$G$11="Yes",6315.79,0)</f>
        <v/>
      </c>
      <c r="M55" s="8">
        <f>IF(Projects!$G$11="Yes",6315.79,0)</f>
        <v/>
      </c>
      <c r="N55" s="8">
        <f>IF(Projects!$G$11="Yes",6315.79,0)</f>
        <v/>
      </c>
      <c r="O55" s="8">
        <f>IF(Projects!$G$11="Yes",6315.79,0)</f>
        <v/>
      </c>
      <c r="P55" s="8">
        <f>IF(Projects!$G$11="Yes",6315.79,0)</f>
        <v/>
      </c>
      <c r="Q55" s="8">
        <f>IF(Projects!$G$11="Yes",6315.79,0)</f>
        <v/>
      </c>
      <c r="R55" s="8">
        <f>IF(Projects!$G$11="Yes",6315.79,0)</f>
        <v/>
      </c>
      <c r="S55" s="8">
        <f>IF(Projects!$G$11="Yes",6315.79,0)</f>
        <v/>
      </c>
      <c r="T55" s="8">
        <f>IF(Projects!$G$11="Yes",6315.79,0)</f>
        <v/>
      </c>
      <c r="U55" s="8">
        <f>IF(Projects!$G$11="Yes",6315.79,0)</f>
        <v/>
      </c>
      <c r="V55" s="8">
        <f>IF(Projects!$G$11="Yes",6315.79,0)</f>
        <v/>
      </c>
      <c r="W55" s="8">
        <f>IF(Projects!$G$11="Yes",6315.79,0)</f>
        <v/>
      </c>
      <c r="X55" s="8">
        <f>IF(Projects!$G$11="Yes",6315.79,0)</f>
        <v/>
      </c>
      <c r="Y55" s="8">
        <f>IF(Projects!$G$11="Yes",6315.79,0)</f>
        <v/>
      </c>
      <c r="Z55" s="8" t="n">
        <v>0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  <c r="AK55" s="8" t="n">
        <v>0</v>
      </c>
      <c r="AL55" s="8" t="n">
        <v>0</v>
      </c>
      <c r="AM55" s="8" t="n">
        <v>0</v>
      </c>
      <c r="AN55" s="8" t="n">
        <v>0</v>
      </c>
      <c r="AO55" s="8" t="n">
        <v>0</v>
      </c>
      <c r="AP55" s="8" t="n">
        <v>0</v>
      </c>
      <c r="AQ55" s="8" t="n">
        <v>0</v>
      </c>
      <c r="AR55" s="8" t="n">
        <v>0</v>
      </c>
      <c r="AS55" s="8" t="n">
        <v>0</v>
      </c>
      <c r="AT55" s="8" t="n">
        <v>0</v>
      </c>
      <c r="AU55" s="8" t="n">
        <v>0</v>
      </c>
      <c r="AV55" s="8" t="n">
        <v>0</v>
      </c>
      <c r="AW55" s="8" t="n">
        <v>0</v>
      </c>
      <c r="AX55" s="8" t="n">
        <v>0</v>
      </c>
      <c r="AY55" s="8" t="n">
        <v>0</v>
      </c>
      <c r="AZ55" s="8" t="n">
        <v>0</v>
      </c>
      <c r="BA55" s="8" t="n">
        <v>0</v>
      </c>
      <c r="BB55" s="8" t="n">
        <v>0</v>
      </c>
      <c r="BC55" s="8" t="n">
        <v>0</v>
      </c>
      <c r="BD55" s="8" t="n">
        <v>0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0</v>
      </c>
      <c r="BJ55" s="8" t="n">
        <v>0</v>
      </c>
      <c r="BK55" s="8" t="n">
        <v>0</v>
      </c>
      <c r="BL55" s="8" t="n">
        <v>0</v>
      </c>
      <c r="BM55" s="8" t="n">
        <v>0</v>
      </c>
      <c r="BN55" s="8" t="n">
        <v>0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0</v>
      </c>
      <c r="BT55" s="8" t="n">
        <v>0</v>
      </c>
      <c r="BU55" s="8" t="n">
        <v>0</v>
      </c>
      <c r="BV55" s="8" t="n">
        <v>0</v>
      </c>
      <c r="BW55" s="8" t="n">
        <v>0</v>
      </c>
      <c r="BX55" s="8" t="n">
        <v>0</v>
      </c>
      <c r="BY55" s="8" t="n">
        <v>0</v>
      </c>
      <c r="BZ55" s="8" t="n">
        <v>0</v>
      </c>
      <c r="CA55" s="8" t="n">
        <v>0</v>
      </c>
      <c r="CB55" s="8" t="n">
        <v>0</v>
      </c>
      <c r="CC55" s="8" t="n">
        <v>0</v>
      </c>
      <c r="CD55" s="8" t="n">
        <v>0</v>
      </c>
      <c r="CE55" s="8" t="n">
        <v>0</v>
      </c>
      <c r="CF55" s="8" t="n">
        <v>0</v>
      </c>
      <c r="CG55" s="8" t="n">
        <v>0</v>
      </c>
      <c r="CH55" s="8" t="n">
        <v>0</v>
      </c>
      <c r="CI55" s="23" t="n"/>
    </row>
    <row r="56" ht="15" customHeight="1" s="201">
      <c r="A56" s="7" t="inlineStr">
        <is>
          <t>Klump Guarantee Fee</t>
        </is>
      </c>
      <c r="B56" s="22" t="n"/>
      <c r="C56" s="8" t="n">
        <v>0</v>
      </c>
      <c r="D56" s="8" t="n">
        <v>0</v>
      </c>
      <c r="E56" s="8" t="n">
        <v>0</v>
      </c>
      <c r="F56" s="8" t="n">
        <v>0</v>
      </c>
      <c r="G56" s="8">
        <f>IF(Projects!$G$11="Yes",253980,0)</f>
        <v/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8" t="n">
        <v>0</v>
      </c>
      <c r="T56" s="8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n">
        <v>0</v>
      </c>
      <c r="Z56" s="8" t="n">
        <v>0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  <c r="AK56" s="8" t="n">
        <v>0</v>
      </c>
      <c r="AL56" s="8" t="n">
        <v>0</v>
      </c>
      <c r="AM56" s="8" t="n">
        <v>0</v>
      </c>
      <c r="AN56" s="8" t="n">
        <v>0</v>
      </c>
      <c r="AO56" s="8" t="n">
        <v>0</v>
      </c>
      <c r="AP56" s="8" t="n">
        <v>0</v>
      </c>
      <c r="AQ56" s="8" t="n">
        <v>0</v>
      </c>
      <c r="AR56" s="8" t="n">
        <v>0</v>
      </c>
      <c r="AS56" s="8" t="n">
        <v>0</v>
      </c>
      <c r="AT56" s="8" t="n">
        <v>0</v>
      </c>
      <c r="AU56" s="8" t="n">
        <v>0</v>
      </c>
      <c r="AV56" s="8" t="n">
        <v>0</v>
      </c>
      <c r="AW56" s="8" t="n">
        <v>0</v>
      </c>
      <c r="AX56" s="8" t="n">
        <v>0</v>
      </c>
      <c r="AY56" s="8" t="n">
        <v>0</v>
      </c>
      <c r="AZ56" s="8" t="n">
        <v>0</v>
      </c>
      <c r="BA56" s="8" t="n">
        <v>0</v>
      </c>
      <c r="BB56" s="8" t="n">
        <v>0</v>
      </c>
      <c r="BC56" s="8" t="n">
        <v>0</v>
      </c>
      <c r="BD56" s="8" t="n">
        <v>0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0</v>
      </c>
      <c r="BJ56" s="8" t="n">
        <v>0</v>
      </c>
      <c r="BK56" s="8" t="n">
        <v>0</v>
      </c>
      <c r="BL56" s="8" t="n">
        <v>0</v>
      </c>
      <c r="BM56" s="8" t="n">
        <v>0</v>
      </c>
      <c r="BN56" s="8" t="n">
        <v>0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0</v>
      </c>
      <c r="BT56" s="8" t="n">
        <v>0</v>
      </c>
      <c r="BU56" s="8" t="n">
        <v>0</v>
      </c>
      <c r="BV56" s="8" t="n">
        <v>0</v>
      </c>
      <c r="BW56" s="8" t="n">
        <v>0</v>
      </c>
      <c r="BX56" s="8" t="n">
        <v>0</v>
      </c>
      <c r="BY56" s="8" t="n">
        <v>0</v>
      </c>
      <c r="BZ56" s="8" t="n">
        <v>0</v>
      </c>
      <c r="CA56" s="8" t="n">
        <v>0</v>
      </c>
      <c r="CB56" s="8" t="n">
        <v>0</v>
      </c>
      <c r="CC56" s="8" t="n">
        <v>0</v>
      </c>
      <c r="CD56" s="8" t="n">
        <v>0</v>
      </c>
      <c r="CE56" s="8" t="n">
        <v>0</v>
      </c>
      <c r="CF56" s="8" t="n">
        <v>0</v>
      </c>
      <c r="CG56" s="8" t="n">
        <v>0</v>
      </c>
      <c r="CH56" s="8" t="n">
        <v>0</v>
      </c>
      <c r="CI56" s="23" t="n"/>
    </row>
    <row r="57" ht="15" customHeight="1" s="201">
      <c r="A57" s="7" t="inlineStr">
        <is>
          <t>Scott Accounting Fee</t>
        </is>
      </c>
      <c r="B57" s="22" t="n"/>
      <c r="C57" s="8" t="n">
        <v>0</v>
      </c>
      <c r="D57" s="8" t="n">
        <v>0</v>
      </c>
      <c r="E57" s="8" t="n">
        <v>0</v>
      </c>
      <c r="F57" s="8" t="n">
        <v>0</v>
      </c>
      <c r="G57" s="8" t="n">
        <v>0</v>
      </c>
      <c r="H57" s="8">
        <f>IF(Projects!$G$12="Yes",6315.79,0)</f>
        <v/>
      </c>
      <c r="I57" s="8">
        <f>IF(Projects!$G$12="Yes",6315.79,0)</f>
        <v/>
      </c>
      <c r="J57" s="8">
        <f>IF(Projects!$G$12="Yes",6315.79,0)</f>
        <v/>
      </c>
      <c r="K57" s="8">
        <f>IF(Projects!$G$12="Yes",6315.79,0)</f>
        <v/>
      </c>
      <c r="L57" s="8">
        <f>IF(Projects!$G$12="Yes",6315.79,0)</f>
        <v/>
      </c>
      <c r="M57" s="8">
        <f>IF(Projects!$G$12="Yes",6315.79,0)</f>
        <v/>
      </c>
      <c r="N57" s="8">
        <f>IF(Projects!$G$12="Yes",6315.79,0)</f>
        <v/>
      </c>
      <c r="O57" s="8">
        <f>IF(Projects!$G$12="Yes",6315.79,0)</f>
        <v/>
      </c>
      <c r="P57" s="8">
        <f>IF(Projects!$G$12="Yes",6315.79,0)</f>
        <v/>
      </c>
      <c r="Q57" s="8">
        <f>IF(Projects!$G$12="Yes",6315.79,0)</f>
        <v/>
      </c>
      <c r="R57" s="8">
        <f>IF(Projects!$G$12="Yes",6315.79,0)</f>
        <v/>
      </c>
      <c r="S57" s="8">
        <f>IF(Projects!$G$12="Yes",6315.79,0)</f>
        <v/>
      </c>
      <c r="T57" s="8">
        <f>IF(Projects!$G$12="Yes",6315.79,0)</f>
        <v/>
      </c>
      <c r="U57" s="8">
        <f>IF(Projects!$G$12="Yes",6315.79,0)</f>
        <v/>
      </c>
      <c r="V57" s="8">
        <f>IF(Projects!$G$12="Yes",6315.79,0)</f>
        <v/>
      </c>
      <c r="W57" s="8">
        <f>IF(Projects!$G$12="Yes",6315.79,0)</f>
        <v/>
      </c>
      <c r="X57" s="8">
        <f>IF(Projects!$G$12="Yes",6315.79,0)</f>
        <v/>
      </c>
      <c r="Y57" s="8">
        <f>IF(Projects!$G$12="Yes",6315.79,0)</f>
        <v/>
      </c>
      <c r="Z57" s="8">
        <f>IF(Projects!$G$12="Yes",6315.79,0)</f>
        <v/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  <c r="AK57" s="8" t="n">
        <v>0</v>
      </c>
      <c r="AL57" s="8" t="n">
        <v>0</v>
      </c>
      <c r="AM57" s="8" t="n">
        <v>0</v>
      </c>
      <c r="AN57" s="8" t="n">
        <v>0</v>
      </c>
      <c r="AO57" s="8" t="n">
        <v>0</v>
      </c>
      <c r="AP57" s="8" t="n">
        <v>0</v>
      </c>
      <c r="AQ57" s="8" t="n">
        <v>0</v>
      </c>
      <c r="AR57" s="8" t="n">
        <v>0</v>
      </c>
      <c r="AS57" s="8" t="n">
        <v>0</v>
      </c>
      <c r="AT57" s="8" t="n">
        <v>0</v>
      </c>
      <c r="AU57" s="8" t="n">
        <v>0</v>
      </c>
      <c r="AV57" s="8" t="n">
        <v>0</v>
      </c>
      <c r="AW57" s="8" t="n">
        <v>0</v>
      </c>
      <c r="AX57" s="8" t="n">
        <v>0</v>
      </c>
      <c r="AY57" s="8" t="n">
        <v>0</v>
      </c>
      <c r="AZ57" s="8" t="n">
        <v>0</v>
      </c>
      <c r="BA57" s="8" t="n">
        <v>0</v>
      </c>
      <c r="BB57" s="8" t="n">
        <v>0</v>
      </c>
      <c r="BC57" s="8" t="n">
        <v>0</v>
      </c>
      <c r="BD57" s="8" t="n">
        <v>0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0</v>
      </c>
      <c r="BJ57" s="8" t="n">
        <v>0</v>
      </c>
      <c r="BK57" s="8" t="n">
        <v>0</v>
      </c>
      <c r="BL57" s="8" t="n">
        <v>0</v>
      </c>
      <c r="BM57" s="8" t="n">
        <v>0</v>
      </c>
      <c r="BN57" s="8" t="n">
        <v>0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0</v>
      </c>
      <c r="BT57" s="8" t="n">
        <v>0</v>
      </c>
      <c r="BU57" s="8" t="n">
        <v>0</v>
      </c>
      <c r="BV57" s="8" t="n">
        <v>0</v>
      </c>
      <c r="BW57" s="8" t="n">
        <v>0</v>
      </c>
      <c r="BX57" s="8" t="n">
        <v>0</v>
      </c>
      <c r="BY57" s="8" t="n">
        <v>0</v>
      </c>
      <c r="BZ57" s="8" t="n">
        <v>0</v>
      </c>
      <c r="CA57" s="8" t="n">
        <v>0</v>
      </c>
      <c r="CB57" s="8" t="n">
        <v>0</v>
      </c>
      <c r="CC57" s="8" t="n">
        <v>0</v>
      </c>
      <c r="CD57" s="8" t="n">
        <v>0</v>
      </c>
      <c r="CE57" s="8" t="n">
        <v>0</v>
      </c>
      <c r="CF57" s="8" t="n">
        <v>0</v>
      </c>
      <c r="CG57" s="8" t="n">
        <v>0</v>
      </c>
      <c r="CH57" s="8" t="n">
        <v>0</v>
      </c>
      <c r="CI57" s="23" t="n"/>
    </row>
    <row r="58" ht="15" customHeight="1" s="201">
      <c r="A58" s="7" t="inlineStr">
        <is>
          <t>Scott Developer Fee</t>
        </is>
      </c>
      <c r="B58" s="22" t="n"/>
      <c r="C58" s="8" t="n">
        <v>0</v>
      </c>
      <c r="D58" s="8" t="n">
        <v>0</v>
      </c>
      <c r="E58" s="8" t="n">
        <v>0</v>
      </c>
      <c r="F58" s="8" t="n">
        <v>0</v>
      </c>
      <c r="G58" s="8" t="n">
        <v>0</v>
      </c>
      <c r="H58" s="8">
        <f>IF(Projects!$G$12="Yes",4736.84,0)</f>
        <v/>
      </c>
      <c r="I58" s="8">
        <f>IF(Projects!$G$12="Yes",4736.84,0)</f>
        <v/>
      </c>
      <c r="J58" s="8">
        <f>IF(Projects!$G$12="Yes",4736.84,0)</f>
        <v/>
      </c>
      <c r="K58" s="8">
        <f>IF(Projects!$G$12="Yes",4736.84,0)</f>
        <v/>
      </c>
      <c r="L58" s="8">
        <f>IF(Projects!$G$12="Yes",4736.84,0)</f>
        <v/>
      </c>
      <c r="M58" s="8">
        <f>IF(Projects!$G$12="Yes",4736.84,0)</f>
        <v/>
      </c>
      <c r="N58" s="8">
        <f>IF(Projects!$G$12="Yes",4736.84,0)</f>
        <v/>
      </c>
      <c r="O58" s="8">
        <f>IF(Projects!$G$12="Yes",4736.84,0)</f>
        <v/>
      </c>
      <c r="P58" s="8">
        <f>IF(Projects!$G$12="Yes",4736.84,0)</f>
        <v/>
      </c>
      <c r="Q58" s="8">
        <f>IF(Projects!$G$12="Yes",4736.84,0)</f>
        <v/>
      </c>
      <c r="R58" s="8">
        <f>IF(Projects!$G$12="Yes",4736.84,0)</f>
        <v/>
      </c>
      <c r="S58" s="8">
        <f>IF(Projects!$G$12="Yes",4736.84,0)</f>
        <v/>
      </c>
      <c r="T58" s="8">
        <f>IF(Projects!$G$12="Yes",4736.84,0)</f>
        <v/>
      </c>
      <c r="U58" s="8">
        <f>IF(Projects!$G$12="Yes",4736.84,0)</f>
        <v/>
      </c>
      <c r="V58" s="8">
        <f>IF(Projects!$G$12="Yes",4736.84,0)</f>
        <v/>
      </c>
      <c r="W58" s="8">
        <f>IF(Projects!$G$12="Yes",4736.84,0)</f>
        <v/>
      </c>
      <c r="X58" s="8">
        <f>IF(Projects!$G$12="Yes",4736.84,0)</f>
        <v/>
      </c>
      <c r="Y58" s="8">
        <f>IF(Projects!$G$12="Yes",4736.84,0)</f>
        <v/>
      </c>
      <c r="Z58" s="8">
        <f>IF(Projects!$G$12="Yes",4736.84,0)</f>
        <v/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  <c r="AK58" s="8" t="n">
        <v>0</v>
      </c>
      <c r="AL58" s="8" t="n">
        <v>0</v>
      </c>
      <c r="AM58" s="8" t="n">
        <v>0</v>
      </c>
      <c r="AN58" s="8" t="n">
        <v>0</v>
      </c>
      <c r="AO58" s="8" t="n">
        <v>0</v>
      </c>
      <c r="AP58" s="8" t="n">
        <v>0</v>
      </c>
      <c r="AQ58" s="8" t="n">
        <v>0</v>
      </c>
      <c r="AR58" s="8" t="n">
        <v>0</v>
      </c>
      <c r="AS58" s="8" t="n">
        <v>0</v>
      </c>
      <c r="AT58" s="8" t="n">
        <v>0</v>
      </c>
      <c r="AU58" s="8" t="n">
        <v>0</v>
      </c>
      <c r="AV58" s="8" t="n">
        <v>0</v>
      </c>
      <c r="AW58" s="8" t="n">
        <v>0</v>
      </c>
      <c r="AX58" s="8" t="n">
        <v>0</v>
      </c>
      <c r="AY58" s="8" t="n">
        <v>0</v>
      </c>
      <c r="AZ58" s="8" t="n">
        <v>0</v>
      </c>
      <c r="BA58" s="8" t="n">
        <v>0</v>
      </c>
      <c r="BB58" s="8" t="n">
        <v>0</v>
      </c>
      <c r="BC58" s="8" t="n">
        <v>0</v>
      </c>
      <c r="BD58" s="8" t="n">
        <v>0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0</v>
      </c>
      <c r="BJ58" s="8" t="n">
        <v>0</v>
      </c>
      <c r="BK58" s="8" t="n">
        <v>0</v>
      </c>
      <c r="BL58" s="8" t="n">
        <v>0</v>
      </c>
      <c r="BM58" s="8" t="n">
        <v>0</v>
      </c>
      <c r="BN58" s="8" t="n">
        <v>0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0</v>
      </c>
      <c r="BT58" s="8" t="n">
        <v>0</v>
      </c>
      <c r="BU58" s="8" t="n">
        <v>0</v>
      </c>
      <c r="BV58" s="8" t="n">
        <v>0</v>
      </c>
      <c r="BW58" s="8" t="n">
        <v>0</v>
      </c>
      <c r="BX58" s="8" t="n">
        <v>0</v>
      </c>
      <c r="BY58" s="8" t="n">
        <v>0</v>
      </c>
      <c r="BZ58" s="8" t="n">
        <v>0</v>
      </c>
      <c r="CA58" s="8" t="n">
        <v>0</v>
      </c>
      <c r="CB58" s="8" t="n">
        <v>0</v>
      </c>
      <c r="CC58" s="8" t="n">
        <v>0</v>
      </c>
      <c r="CD58" s="8" t="n">
        <v>0</v>
      </c>
      <c r="CE58" s="8" t="n">
        <v>0</v>
      </c>
      <c r="CF58" s="8" t="n">
        <v>0</v>
      </c>
      <c r="CG58" s="8" t="n">
        <v>0</v>
      </c>
      <c r="CH58" s="8" t="n">
        <v>0</v>
      </c>
      <c r="CI58" s="23" t="n"/>
    </row>
    <row r="59" ht="15" customHeight="1" s="201">
      <c r="A59" s="7" t="inlineStr">
        <is>
          <t>Scott Guarantee Fee</t>
        </is>
      </c>
      <c r="B59" s="22" t="n"/>
      <c r="C59" s="8" t="n">
        <v>0</v>
      </c>
      <c r="D59" s="8" t="n">
        <v>0</v>
      </c>
      <c r="E59" s="8" t="n">
        <v>0</v>
      </c>
      <c r="F59" s="8" t="n">
        <v>0</v>
      </c>
      <c r="G59" s="8" t="n">
        <v>0</v>
      </c>
      <c r="H59" s="8">
        <f>IF(Projects!$G$12="Yes",181745,0)</f>
        <v/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0</v>
      </c>
      <c r="N59" s="8" t="n">
        <v>0</v>
      </c>
      <c r="O59" s="8" t="n">
        <v>0</v>
      </c>
      <c r="P59" s="8" t="n">
        <v>0</v>
      </c>
      <c r="Q59" s="8" t="n">
        <v>0</v>
      </c>
      <c r="R59" s="8" t="n">
        <v>0</v>
      </c>
      <c r="S59" s="8" t="n">
        <v>0</v>
      </c>
      <c r="T59" s="8" t="n">
        <v>0</v>
      </c>
      <c r="U59" s="8" t="n">
        <v>0</v>
      </c>
      <c r="V59" s="8" t="n">
        <v>0</v>
      </c>
      <c r="W59" s="8" t="n">
        <v>0</v>
      </c>
      <c r="X59" s="8" t="n">
        <v>0</v>
      </c>
      <c r="Y59" s="8" t="n">
        <v>0</v>
      </c>
      <c r="Z59" s="8" t="n">
        <v>0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  <c r="AK59" s="8" t="n">
        <v>0</v>
      </c>
      <c r="AL59" s="8" t="n">
        <v>0</v>
      </c>
      <c r="AM59" s="8" t="n">
        <v>0</v>
      </c>
      <c r="AN59" s="8" t="n">
        <v>0</v>
      </c>
      <c r="AO59" s="8" t="n">
        <v>0</v>
      </c>
      <c r="AP59" s="8" t="n">
        <v>0</v>
      </c>
      <c r="AQ59" s="8" t="n">
        <v>0</v>
      </c>
      <c r="AR59" s="8" t="n">
        <v>0</v>
      </c>
      <c r="AS59" s="8" t="n">
        <v>0</v>
      </c>
      <c r="AT59" s="8" t="n">
        <v>0</v>
      </c>
      <c r="AU59" s="8" t="n">
        <v>0</v>
      </c>
      <c r="AV59" s="8" t="n">
        <v>0</v>
      </c>
      <c r="AW59" s="8" t="n">
        <v>0</v>
      </c>
      <c r="AX59" s="8" t="n">
        <v>0</v>
      </c>
      <c r="AY59" s="8" t="n">
        <v>0</v>
      </c>
      <c r="AZ59" s="8" t="n">
        <v>0</v>
      </c>
      <c r="BA59" s="8" t="n">
        <v>0</v>
      </c>
      <c r="BB59" s="8" t="n">
        <v>0</v>
      </c>
      <c r="BC59" s="8" t="n">
        <v>0</v>
      </c>
      <c r="BD59" s="8" t="n">
        <v>0</v>
      </c>
      <c r="BE59" s="8" t="n">
        <v>0</v>
      </c>
      <c r="BF59" s="8" t="n">
        <v>0</v>
      </c>
      <c r="BG59" s="8" t="n">
        <v>0</v>
      </c>
      <c r="BH59" s="8" t="n">
        <v>0</v>
      </c>
      <c r="BI59" s="8" t="n">
        <v>0</v>
      </c>
      <c r="BJ59" s="8" t="n">
        <v>0</v>
      </c>
      <c r="BK59" s="8" t="n">
        <v>0</v>
      </c>
      <c r="BL59" s="8" t="n">
        <v>0</v>
      </c>
      <c r="BM59" s="8" t="n">
        <v>0</v>
      </c>
      <c r="BN59" s="8" t="n">
        <v>0</v>
      </c>
      <c r="BO59" s="8" t="n">
        <v>0</v>
      </c>
      <c r="BP59" s="8" t="n">
        <v>0</v>
      </c>
      <c r="BQ59" s="8" t="n">
        <v>0</v>
      </c>
      <c r="BR59" s="8" t="n">
        <v>0</v>
      </c>
      <c r="BS59" s="8" t="n">
        <v>0</v>
      </c>
      <c r="BT59" s="8" t="n">
        <v>0</v>
      </c>
      <c r="BU59" s="8" t="n">
        <v>0</v>
      </c>
      <c r="BV59" s="8" t="n">
        <v>0</v>
      </c>
      <c r="BW59" s="8" t="n">
        <v>0</v>
      </c>
      <c r="BX59" s="8" t="n">
        <v>0</v>
      </c>
      <c r="BY59" s="8" t="n">
        <v>0</v>
      </c>
      <c r="BZ59" s="8" t="n">
        <v>0</v>
      </c>
      <c r="CA59" s="8" t="n">
        <v>0</v>
      </c>
      <c r="CB59" s="8" t="n">
        <v>0</v>
      </c>
      <c r="CC59" s="8" t="n">
        <v>0</v>
      </c>
      <c r="CD59" s="8" t="n">
        <v>0</v>
      </c>
      <c r="CE59" s="8" t="n">
        <v>0</v>
      </c>
      <c r="CF59" s="8" t="n">
        <v>0</v>
      </c>
      <c r="CG59" s="8" t="n">
        <v>0</v>
      </c>
      <c r="CH59" s="8" t="n">
        <v>0</v>
      </c>
      <c r="CI59" s="23" t="n"/>
    </row>
    <row r="60" ht="15" customHeight="1" s="201">
      <c r="A60" s="7" t="inlineStr">
        <is>
          <t>Francis LIHTC Revenue (SP Share)</t>
        </is>
      </c>
      <c r="B60" s="22" t="n"/>
      <c r="C60" s="8" t="n">
        <v>0</v>
      </c>
      <c r="D60" s="8" t="n">
        <v>0</v>
      </c>
      <c r="E60" s="8" t="n">
        <v>0</v>
      </c>
      <c r="F60" s="8" t="n">
        <v>0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</v>
      </c>
      <c r="L60" s="8" t="n">
        <v>0</v>
      </c>
      <c r="M60" s="8" t="n">
        <v>0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n">
        <v>0</v>
      </c>
      <c r="Z60" s="8" t="n">
        <v>0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8" t="n">
        <v>0</v>
      </c>
      <c r="AN60" s="8" t="n">
        <v>0</v>
      </c>
      <c r="AO60" s="8" t="n">
        <v>0</v>
      </c>
      <c r="AP60" s="8" t="n">
        <v>0</v>
      </c>
      <c r="AQ60" s="8" t="n">
        <v>0</v>
      </c>
      <c r="AR60" s="8">
        <f>IF(Projects!$G$7="Yes",81683,0)</f>
        <v/>
      </c>
      <c r="AS60" s="8" t="n">
        <v>0</v>
      </c>
      <c r="AT60" s="8" t="n">
        <v>0</v>
      </c>
      <c r="AU60" s="8">
        <f>IF(Projects!$G$7="Yes",81682,0)</f>
        <v/>
      </c>
      <c r="AV60" s="8" t="n">
        <v>0</v>
      </c>
      <c r="AW60" s="8" t="n">
        <v>0</v>
      </c>
      <c r="AX60" s="8">
        <f>IF(Projects!$G$7="Yes",81682,0)</f>
        <v/>
      </c>
      <c r="AY60" s="8" t="n">
        <v>0</v>
      </c>
      <c r="AZ60" s="8" t="n">
        <v>0</v>
      </c>
      <c r="BA60" s="8">
        <f>IF(Projects!$G$7="Yes",81682,0)</f>
        <v/>
      </c>
      <c r="BB60" s="8" t="n">
        <v>0</v>
      </c>
      <c r="BC60" s="8" t="n">
        <v>0</v>
      </c>
      <c r="BD60" s="8">
        <f>IF(Projects!$G$7="Yes",59178,0)</f>
        <v/>
      </c>
      <c r="BE60" s="8" t="n">
        <v>0</v>
      </c>
      <c r="BF60" s="8" t="n">
        <v>0</v>
      </c>
      <c r="BG60" s="8">
        <f>IF(Projects!$G$7="Yes",59176,0)</f>
        <v/>
      </c>
      <c r="BH60" s="8" t="n">
        <v>0</v>
      </c>
      <c r="BI60" s="8" t="n">
        <v>0</v>
      </c>
      <c r="BJ60" s="8">
        <f>IF(Projects!$G$7="Yes",59176,0)</f>
        <v/>
      </c>
      <c r="BK60" s="8" t="n">
        <v>0</v>
      </c>
      <c r="BL60" s="8" t="n">
        <v>0</v>
      </c>
      <c r="BM60" s="8">
        <f>IF(Projects!$G$7="Yes",59176,0)</f>
        <v/>
      </c>
      <c r="BN60" s="8" t="n">
        <v>0</v>
      </c>
      <c r="BO60" s="8" t="n">
        <v>0</v>
      </c>
      <c r="BP60" s="8">
        <f>IF(Projects!$G$7="Yes",67763,0)</f>
        <v/>
      </c>
      <c r="BQ60" s="8" t="n">
        <v>0</v>
      </c>
      <c r="BR60" s="8" t="n">
        <v>0</v>
      </c>
      <c r="BS60" s="8">
        <f>IF(Projects!$G$7="Yes",67762,0)</f>
        <v/>
      </c>
      <c r="BT60" s="8" t="n">
        <v>0</v>
      </c>
      <c r="BU60" s="8" t="n">
        <v>0</v>
      </c>
      <c r="BV60" s="8">
        <f>IF(Projects!$G$7="Yes",67762,0)</f>
        <v/>
      </c>
      <c r="BW60" s="8" t="n">
        <v>0</v>
      </c>
      <c r="BX60" s="8" t="n">
        <v>0</v>
      </c>
      <c r="BY60" s="8">
        <f>IF(Projects!$G$7="Yes",67762,0)</f>
        <v/>
      </c>
      <c r="BZ60" s="8" t="n">
        <v>0</v>
      </c>
      <c r="CA60" s="8" t="n">
        <v>0</v>
      </c>
      <c r="CB60" s="8">
        <f>IF(Projects!$G$7="Yes",76499,0)</f>
        <v/>
      </c>
      <c r="CC60" s="8" t="n">
        <v>0</v>
      </c>
      <c r="CD60" s="8" t="n">
        <v>0</v>
      </c>
      <c r="CE60" s="8">
        <f>IF(Projects!$G$7="Yes",76499,0)</f>
        <v/>
      </c>
      <c r="CF60" s="8" t="n">
        <v>0</v>
      </c>
      <c r="CG60" s="8" t="n">
        <v>0</v>
      </c>
      <c r="CH60" s="8">
        <f>IF(Projects!$G$7="Yes",76499,0)</f>
        <v/>
      </c>
      <c r="CI60" s="23" t="n"/>
    </row>
    <row r="61" ht="15" customHeight="1" s="201">
      <c r="A61" s="7" t="inlineStr">
        <is>
          <t>Reseda LIHTC Revenue (SP Share)</t>
        </is>
      </c>
      <c r="B61" s="22" t="n"/>
      <c r="C61" s="8" t="n">
        <v>0</v>
      </c>
      <c r="D61" s="8" t="n">
        <v>0</v>
      </c>
      <c r="E61" s="8" t="n">
        <v>0</v>
      </c>
      <c r="F61" s="8" t="n">
        <v>0</v>
      </c>
      <c r="G61" s="8" t="n">
        <v>0</v>
      </c>
      <c r="H61" s="8" t="n">
        <v>0</v>
      </c>
      <c r="I61" s="8" t="n">
        <v>0</v>
      </c>
      <c r="J61" s="8" t="n">
        <v>0</v>
      </c>
      <c r="K61" s="8" t="n">
        <v>0</v>
      </c>
      <c r="L61" s="8" t="n">
        <v>0</v>
      </c>
      <c r="M61" s="8" t="n">
        <v>0</v>
      </c>
      <c r="N61" s="8" t="n">
        <v>0</v>
      </c>
      <c r="O61" s="8" t="n">
        <v>0</v>
      </c>
      <c r="P61" s="8" t="n">
        <v>0</v>
      </c>
      <c r="Q61" s="8" t="n">
        <v>0</v>
      </c>
      <c r="R61" s="8" t="n">
        <v>0</v>
      </c>
      <c r="S61" s="8" t="n">
        <v>0</v>
      </c>
      <c r="T61" s="8" t="n">
        <v>0</v>
      </c>
      <c r="U61" s="8" t="n">
        <v>0</v>
      </c>
      <c r="V61" s="8" t="n">
        <v>0</v>
      </c>
      <c r="W61" s="8" t="n">
        <v>0</v>
      </c>
      <c r="X61" s="8" t="n">
        <v>0</v>
      </c>
      <c r="Y61" s="8" t="n">
        <v>0</v>
      </c>
      <c r="Z61" s="8" t="n">
        <v>0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  <c r="AK61" s="8" t="n">
        <v>0</v>
      </c>
      <c r="AL61" s="8" t="n">
        <v>0</v>
      </c>
      <c r="AM61" s="8" t="n">
        <v>0</v>
      </c>
      <c r="AN61" s="8" t="n">
        <v>0</v>
      </c>
      <c r="AO61" s="8" t="n">
        <v>0</v>
      </c>
      <c r="AP61" s="8" t="n">
        <v>0</v>
      </c>
      <c r="AQ61" s="8" t="n">
        <v>0</v>
      </c>
      <c r="AR61" s="8" t="n">
        <v>0</v>
      </c>
      <c r="AS61" s="8" t="n">
        <v>0</v>
      </c>
      <c r="AT61" s="8" t="n">
        <v>0</v>
      </c>
      <c r="AU61" s="8" t="n">
        <v>0</v>
      </c>
      <c r="AV61" s="8" t="n">
        <v>0</v>
      </c>
      <c r="AW61" s="8" t="n">
        <v>0</v>
      </c>
      <c r="AX61" s="8" t="n">
        <v>0</v>
      </c>
      <c r="AY61" s="8" t="n">
        <v>0</v>
      </c>
      <c r="AZ61" s="8" t="n">
        <v>0</v>
      </c>
      <c r="BA61" s="8">
        <f>IF(Projects!$G$13="Yes",851839,0)</f>
        <v/>
      </c>
      <c r="BB61" s="8" t="n">
        <v>0</v>
      </c>
      <c r="BC61" s="8" t="n">
        <v>0</v>
      </c>
      <c r="BD61" s="8">
        <f>IF(Projects!$G$13="Yes",71700,0)</f>
        <v/>
      </c>
      <c r="BE61" s="8" t="n">
        <v>0</v>
      </c>
      <c r="BF61" s="8" t="n">
        <v>0</v>
      </c>
      <c r="BG61" s="8">
        <f>IF(Projects!$G$13="Yes",71700,0)</f>
        <v/>
      </c>
      <c r="BH61" s="8" t="n">
        <v>0</v>
      </c>
      <c r="BI61" s="8" t="n">
        <v>0</v>
      </c>
      <c r="BJ61" s="8">
        <f>IF(Projects!$G$13="Yes",71700,0)</f>
        <v/>
      </c>
      <c r="BK61" s="8" t="n">
        <v>0</v>
      </c>
      <c r="BL61" s="8" t="n">
        <v>0</v>
      </c>
      <c r="BM61" s="8">
        <f>IF(Projects!$G$13="Yes",71700,0)</f>
        <v/>
      </c>
      <c r="BN61" s="8" t="n">
        <v>0</v>
      </c>
      <c r="BO61" s="8" t="n">
        <v>0</v>
      </c>
      <c r="BP61" s="8">
        <f>IF(Projects!$G$13="Yes",74643,0)</f>
        <v/>
      </c>
      <c r="BQ61" s="8" t="n">
        <v>0</v>
      </c>
      <c r="BR61" s="8" t="n">
        <v>0</v>
      </c>
      <c r="BS61" s="8">
        <f>IF(Projects!$G$13="Yes",74640,0)</f>
        <v/>
      </c>
      <c r="BT61" s="8" t="n">
        <v>0</v>
      </c>
      <c r="BU61" s="8" t="n">
        <v>0</v>
      </c>
      <c r="BV61" s="8">
        <f>IF(Projects!$G$13="Yes",74640,0)</f>
        <v/>
      </c>
      <c r="BW61" s="8" t="n">
        <v>0</v>
      </c>
      <c r="BX61" s="8" t="n">
        <v>0</v>
      </c>
      <c r="BY61" s="8">
        <f>IF(Projects!$G$13="Yes",74640,0)</f>
        <v/>
      </c>
      <c r="BZ61" s="8" t="n">
        <v>0</v>
      </c>
      <c r="CA61" s="8" t="n">
        <v>0</v>
      </c>
      <c r="CB61" s="8">
        <f>IF(Projects!$G$13="Yes",81363,0)</f>
        <v/>
      </c>
      <c r="CC61" s="8" t="n">
        <v>0</v>
      </c>
      <c r="CD61" s="8" t="n">
        <v>0</v>
      </c>
      <c r="CE61" s="8">
        <f>IF(Projects!$G$13="Yes",81362,0)</f>
        <v/>
      </c>
      <c r="CF61" s="8" t="n">
        <v>0</v>
      </c>
      <c r="CG61" s="8" t="n">
        <v>0</v>
      </c>
      <c r="CH61" s="8">
        <f>IF(Projects!$G$13="Yes",81362,0)</f>
        <v/>
      </c>
      <c r="CI61" s="23" t="n"/>
    </row>
    <row r="62" ht="15" customHeight="1" s="201">
      <c r="A62" s="7" t="inlineStr">
        <is>
          <t>3rd St LIHTC Revenue (SP Share)</t>
        </is>
      </c>
      <c r="B62" s="7" t="n"/>
      <c r="C62" s="8" t="n">
        <v>0</v>
      </c>
      <c r="D62" s="8" t="n">
        <v>0</v>
      </c>
      <c r="E62" s="8" t="n">
        <v>0</v>
      </c>
      <c r="F62" s="8" t="n">
        <v>0</v>
      </c>
      <c r="G62" s="8" t="n">
        <v>0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0</v>
      </c>
      <c r="M62" s="8" t="n">
        <v>0</v>
      </c>
      <c r="N62" s="8" t="n">
        <v>0</v>
      </c>
      <c r="O62" s="8" t="n">
        <v>0</v>
      </c>
      <c r="P62" s="8" t="n">
        <v>0</v>
      </c>
      <c r="Q62" s="8" t="n">
        <v>0</v>
      </c>
      <c r="R62" s="8" t="n">
        <v>0</v>
      </c>
      <c r="S62" s="8" t="n">
        <v>0</v>
      </c>
      <c r="T62" s="8" t="n">
        <v>0</v>
      </c>
      <c r="U62" s="8" t="n">
        <v>0</v>
      </c>
      <c r="V62" s="8" t="n">
        <v>0</v>
      </c>
      <c r="W62" s="8" t="n">
        <v>0</v>
      </c>
      <c r="X62" s="8" t="n">
        <v>0</v>
      </c>
      <c r="Y62" s="8" t="n">
        <v>0</v>
      </c>
      <c r="Z62" s="8" t="n">
        <v>0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  <c r="AK62" s="8" t="n">
        <v>0</v>
      </c>
      <c r="AL62" s="8" t="n">
        <v>0</v>
      </c>
      <c r="AM62" s="8" t="n">
        <v>0</v>
      </c>
      <c r="AN62" s="8" t="n">
        <v>0</v>
      </c>
      <c r="AO62" s="8" t="n">
        <v>0</v>
      </c>
      <c r="AP62" s="8" t="n">
        <v>0</v>
      </c>
      <c r="AQ62" s="8" t="n">
        <v>0</v>
      </c>
      <c r="AR62" s="8" t="n">
        <v>0</v>
      </c>
      <c r="AS62" s="8" t="n">
        <v>0</v>
      </c>
      <c r="AT62" s="8" t="n">
        <v>0</v>
      </c>
      <c r="AU62" s="8" t="n">
        <v>0</v>
      </c>
      <c r="AV62" s="8" t="n">
        <v>0</v>
      </c>
      <c r="AW62" s="8" t="n">
        <v>0</v>
      </c>
      <c r="AX62" s="8" t="n">
        <v>0</v>
      </c>
      <c r="AY62" s="8" t="n">
        <v>0</v>
      </c>
      <c r="AZ62" s="8" t="n">
        <v>0</v>
      </c>
      <c r="BA62" s="8" t="n">
        <v>0</v>
      </c>
      <c r="BB62" s="8" t="n">
        <v>0</v>
      </c>
      <c r="BC62" s="8" t="n">
        <v>0</v>
      </c>
      <c r="BD62" s="8" t="n">
        <v>0</v>
      </c>
      <c r="BE62" s="8" t="n">
        <v>0</v>
      </c>
      <c r="BF62" s="8" t="n">
        <v>0</v>
      </c>
      <c r="BG62" s="8" t="n">
        <v>0</v>
      </c>
      <c r="BH62" s="8" t="n">
        <v>0</v>
      </c>
      <c r="BI62" s="8" t="n">
        <v>0</v>
      </c>
      <c r="BJ62" s="8" t="n">
        <v>0</v>
      </c>
      <c r="BK62" s="8" t="n">
        <v>0</v>
      </c>
      <c r="BL62" s="8" t="n">
        <v>0</v>
      </c>
      <c r="BM62" s="8" t="n">
        <v>0</v>
      </c>
      <c r="BN62" s="8" t="n">
        <v>0</v>
      </c>
      <c r="BO62" s="8" t="n">
        <v>0</v>
      </c>
      <c r="BP62" s="8" t="n">
        <v>0</v>
      </c>
      <c r="BQ62" s="8" t="n">
        <v>0</v>
      </c>
      <c r="BR62" s="8" t="n">
        <v>0</v>
      </c>
      <c r="BS62" s="8" t="n">
        <v>0</v>
      </c>
      <c r="BT62" s="8" t="n">
        <v>0</v>
      </c>
      <c r="BU62" s="8" t="n">
        <v>0</v>
      </c>
      <c r="BV62" s="8" t="n">
        <v>0</v>
      </c>
      <c r="BW62" s="8" t="n">
        <v>0</v>
      </c>
      <c r="BX62" s="8" t="n">
        <v>0</v>
      </c>
      <c r="BY62" s="8">
        <f>IF(Projects!$G$14="Yes",73156,0)</f>
        <v/>
      </c>
      <c r="BZ62" s="8" t="n">
        <v>0</v>
      </c>
      <c r="CA62" s="8" t="n">
        <v>0</v>
      </c>
      <c r="CB62" s="8">
        <f>IF(Projects!$G$14="Yes",73155,0)</f>
        <v/>
      </c>
      <c r="CC62" s="8" t="n">
        <v>0</v>
      </c>
      <c r="CD62" s="8" t="n">
        <v>0</v>
      </c>
      <c r="CE62" s="8">
        <f>IF(Projects!$G$14="Yes",73155,0)</f>
        <v/>
      </c>
      <c r="CF62" s="8" t="n">
        <v>0</v>
      </c>
      <c r="CG62" s="8" t="n">
        <v>0</v>
      </c>
      <c r="CH62" s="8">
        <f>IF(Projects!$G$14="Yes",73155,0)</f>
        <v/>
      </c>
      <c r="CI62" s="23" t="n"/>
    </row>
    <row r="63" ht="15" customHeight="1" s="201">
      <c r="A63" s="7" t="inlineStr">
        <is>
          <t>Uplifters Total to SP</t>
        </is>
      </c>
      <c r="B63" s="31" t="n"/>
      <c r="C63" s="8">
        <f>IF(Uplifters!$B$2="Yes",Uplifters!C107,0)</f>
        <v/>
      </c>
      <c r="D63" s="8">
        <f>IF(Uplifters!$B$2="Yes",Uplifters!D107,0)</f>
        <v/>
      </c>
      <c r="E63" s="8">
        <f>IF(Uplifters!$B$2="Yes",Uplifters!E107,0)</f>
        <v/>
      </c>
      <c r="F63" s="8">
        <f>IF(Uplifters!$B$2="Yes",Uplifters!F107,0)</f>
        <v/>
      </c>
      <c r="G63" s="8">
        <f>IF(Uplifters!$B$2="Yes",Uplifters!G107,0)</f>
        <v/>
      </c>
      <c r="H63" s="8">
        <f>IF(Uplifters!$B$2="Yes",Uplifters!H107,0)</f>
        <v/>
      </c>
      <c r="I63" s="8">
        <f>IF(Uplifters!$B$2="Yes",Uplifters!I107,0)</f>
        <v/>
      </c>
      <c r="J63" s="8">
        <f>IF(Uplifters!$B$2="Yes",Uplifters!J107,0)</f>
        <v/>
      </c>
      <c r="K63" s="8">
        <f>IF(Uplifters!$B$2="Yes",Uplifters!K107,0)</f>
        <v/>
      </c>
      <c r="L63" s="8">
        <f>IF(Uplifters!$B$2="Yes",Uplifters!L107,0)</f>
        <v/>
      </c>
      <c r="M63" s="8">
        <f>IF(Uplifters!$B$2="Yes",Uplifters!M107,0)</f>
        <v/>
      </c>
      <c r="N63" s="8">
        <f>IF(Uplifters!$B$2="Yes",Uplifters!N107,0)</f>
        <v/>
      </c>
      <c r="O63" s="8">
        <f>IF(Uplifters!$B$2="Yes",Uplifters!O107,0)</f>
        <v/>
      </c>
      <c r="P63" s="8">
        <f>IF(Uplifters!$B$2="Yes",Uplifters!P107,0)</f>
        <v/>
      </c>
      <c r="Q63" s="8">
        <f>IF(Uplifters!$B$2="Yes",Uplifters!Q107,0)</f>
        <v/>
      </c>
      <c r="R63" s="8">
        <f>IF(Uplifters!$B$2="Yes",Uplifters!R107,0)</f>
        <v/>
      </c>
      <c r="S63" s="8">
        <f>IF(Uplifters!$B$2="Yes",Uplifters!S107,0)</f>
        <v/>
      </c>
      <c r="T63" s="8">
        <f>IF(Uplifters!$B$2="Yes",Uplifters!T107,0)</f>
        <v/>
      </c>
      <c r="U63" s="8">
        <f>IF(Uplifters!$B$2="Yes",Uplifters!U107,0)</f>
        <v/>
      </c>
      <c r="V63" s="8">
        <f>IF(Uplifters!$B$2="Yes",Uplifters!V107,0)</f>
        <v/>
      </c>
      <c r="W63" s="8">
        <f>IF(Uplifters!$B$2="Yes",Uplifters!W107,0)</f>
        <v/>
      </c>
      <c r="X63" s="8">
        <f>IF(Uplifters!$B$2="Yes",Uplifters!X107,0)</f>
        <v/>
      </c>
      <c r="Y63" s="8">
        <f>IF(Uplifters!$B$2="Yes",Uplifters!Y107,0)</f>
        <v/>
      </c>
      <c r="Z63" s="8">
        <f>IF(Uplifters!$B$2="Yes",Uplifters!Z107,0)</f>
        <v/>
      </c>
      <c r="AA63" s="8">
        <f>IF(Uplifters!$B$2="Yes",Uplifters!AA107,0)</f>
        <v/>
      </c>
      <c r="AB63" s="8">
        <f>IF(Uplifters!$B$2="Yes",Uplifters!AB107,0)</f>
        <v/>
      </c>
      <c r="AC63" s="8">
        <f>IF(Uplifters!$B$2="Yes",Uplifters!AC107,0)</f>
        <v/>
      </c>
      <c r="AD63" s="8">
        <f>IF(Uplifters!$B$2="Yes",Uplifters!AD107,0)</f>
        <v/>
      </c>
      <c r="AE63" s="8">
        <f>IF(Uplifters!$B$2="Yes",Uplifters!AE107,0)</f>
        <v/>
      </c>
      <c r="AF63" s="8">
        <f>IF(Uplifters!$B$2="Yes",Uplifters!AF107,0)</f>
        <v/>
      </c>
      <c r="AG63" s="8">
        <f>IF(Uplifters!$B$2="Yes",Uplifters!AG107,0)</f>
        <v/>
      </c>
      <c r="AH63" s="8">
        <f>IF(Uplifters!$B$2="Yes",Uplifters!AH107,0)</f>
        <v/>
      </c>
      <c r="AI63" s="8">
        <f>IF(Uplifters!$B$2="Yes",Uplifters!AI107,0)</f>
        <v/>
      </c>
      <c r="AJ63" s="8">
        <f>IF(Uplifters!$B$2="Yes",Uplifters!AJ107,0)</f>
        <v/>
      </c>
      <c r="AK63" s="8">
        <f>IF(Uplifters!$B$2="Yes",Uplifters!AK107,0)</f>
        <v/>
      </c>
      <c r="AL63" s="8">
        <f>IF(Uplifters!$B$2="Yes",Uplifters!AL107,0)</f>
        <v/>
      </c>
      <c r="AM63" s="8">
        <f>IF(Uplifters!$B$2="Yes",Uplifters!AM107,0)</f>
        <v/>
      </c>
      <c r="AN63" s="8">
        <f>IF(Uplifters!$B$2="Yes",Uplifters!AN107,0)</f>
        <v/>
      </c>
      <c r="AO63" s="8">
        <f>IF(Uplifters!$B$2="Yes",Uplifters!AO107,0)</f>
        <v/>
      </c>
      <c r="AP63" s="8">
        <f>IF(Uplifters!$B$2="Yes",Uplifters!AP107,0)</f>
        <v/>
      </c>
      <c r="AQ63" s="8">
        <f>IF(Uplifters!$B$2="Yes",Uplifters!AQ107,0)</f>
        <v/>
      </c>
      <c r="AR63" s="8">
        <f>IF(Uplifters!$B$2="Yes",Uplifters!AR107,0)</f>
        <v/>
      </c>
      <c r="AS63" s="8">
        <f>IF(Uplifters!$B$2="Yes",Uplifters!AS107,0)</f>
        <v/>
      </c>
      <c r="AT63" s="8">
        <f>IF(Uplifters!$B$2="Yes",Uplifters!AT107,0)</f>
        <v/>
      </c>
      <c r="AU63" s="8">
        <f>IF(Uplifters!$B$2="Yes",Uplifters!AU107,0)</f>
        <v/>
      </c>
      <c r="AV63" s="8">
        <f>IF(Uplifters!$B$2="Yes",Uplifters!AV107,0)</f>
        <v/>
      </c>
      <c r="AW63" s="8">
        <f>IF(Uplifters!$B$2="Yes",Uplifters!AW107,0)</f>
        <v/>
      </c>
      <c r="AX63" s="8">
        <f>IF(Uplifters!$B$2="Yes",Uplifters!AX107,0)</f>
        <v/>
      </c>
      <c r="AY63" s="8">
        <f>IF(Uplifters!$B$2="Yes",Uplifters!AY107,0)</f>
        <v/>
      </c>
      <c r="AZ63" s="8">
        <f>IF(Uplifters!$B$2="Yes",Uplifters!AZ107,0)</f>
        <v/>
      </c>
      <c r="BA63" s="8">
        <f>IF(Uplifters!$B$2="Yes",Uplifters!BA107,0)</f>
        <v/>
      </c>
      <c r="BB63" s="8">
        <f>IF(Uplifters!$B$2="Yes",Uplifters!BB107,0)</f>
        <v/>
      </c>
      <c r="BC63" s="8">
        <f>IF(Uplifters!$B$2="Yes",Uplifters!BC107,0)</f>
        <v/>
      </c>
      <c r="BD63" s="8">
        <f>IF(Uplifters!$B$2="Yes",Uplifters!BD107,0)</f>
        <v/>
      </c>
      <c r="BE63" s="8">
        <f>IF(Uplifters!$B$2="Yes",Uplifters!BE107,0)</f>
        <v/>
      </c>
      <c r="BF63" s="8">
        <f>IF(Uplifters!$B$2="Yes",Uplifters!BF107,0)</f>
        <v/>
      </c>
      <c r="BG63" s="8">
        <f>IF(Uplifters!$B$2="Yes",Uplifters!BG107,0)</f>
        <v/>
      </c>
      <c r="BH63" s="8">
        <f>IF(Uplifters!$B$2="Yes",Uplifters!BH107,0)</f>
        <v/>
      </c>
      <c r="BI63" s="8">
        <f>IF(Uplifters!$B$2="Yes",Uplifters!BI107,0)</f>
        <v/>
      </c>
      <c r="BJ63" s="8">
        <f>IF(Uplifters!$B$2="Yes",Uplifters!BJ107,0)</f>
        <v/>
      </c>
      <c r="BK63" s="8">
        <f>IF(Uplifters!$B$2="Yes",Uplifters!BK107,0)</f>
        <v/>
      </c>
      <c r="BL63" s="8">
        <f>IF(Uplifters!$B$2="Yes",Uplifters!BL107,0)</f>
        <v/>
      </c>
      <c r="BM63" s="8">
        <f>IF(Uplifters!$B$2="Yes",Uplifters!BM107,0)</f>
        <v/>
      </c>
      <c r="BN63" s="8">
        <f>IF(Uplifters!$B$2="Yes",Uplifters!BN107,0)</f>
        <v/>
      </c>
      <c r="BO63" s="8">
        <f>IF(Uplifters!$B$2="Yes",Uplifters!BO107,0)</f>
        <v/>
      </c>
      <c r="BP63" s="8">
        <f>IF(Uplifters!$B$2="Yes",Uplifters!BP107,0)</f>
        <v/>
      </c>
      <c r="BQ63" s="8">
        <f>IF(Uplifters!$B$2="Yes",Uplifters!BQ107,0)</f>
        <v/>
      </c>
      <c r="BR63" s="8">
        <f>IF(Uplifters!$B$2="Yes",Uplifters!BR107,0)</f>
        <v/>
      </c>
      <c r="BS63" s="8">
        <f>IF(Uplifters!$B$2="Yes",Uplifters!BS107,0)</f>
        <v/>
      </c>
      <c r="BT63" s="8">
        <f>IF(Uplifters!$B$2="Yes",Uplifters!BT107,0)</f>
        <v/>
      </c>
      <c r="BU63" s="8">
        <f>IF(Uplifters!$B$2="Yes",Uplifters!BU107,0)</f>
        <v/>
      </c>
      <c r="BV63" s="8">
        <f>IF(Uplifters!$B$2="Yes",Uplifters!BV107,0)</f>
        <v/>
      </c>
      <c r="BW63" s="8">
        <f>IF(Uplifters!$B$2="Yes",Uplifters!BW107,0)</f>
        <v/>
      </c>
      <c r="BX63" s="8">
        <f>IF(Uplifters!$B$2="Yes",Uplifters!BX107,0)</f>
        <v/>
      </c>
      <c r="BY63" s="8">
        <f>IF(Uplifters!$B$2="Yes",Uplifters!BY107,0)</f>
        <v/>
      </c>
      <c r="BZ63" s="8">
        <f>IF(Uplifters!$B$2="Yes",Uplifters!BZ107,0)</f>
        <v/>
      </c>
      <c r="CA63" s="8">
        <f>IF(Uplifters!$B$2="Yes",Uplifters!CA107,0)</f>
        <v/>
      </c>
      <c r="CB63" s="8">
        <f>IF(Uplifters!$B$2="Yes",Uplifters!CB107,0)</f>
        <v/>
      </c>
      <c r="CC63" s="8">
        <f>IF(Uplifters!$B$2="Yes",Uplifters!CC107,0)</f>
        <v/>
      </c>
      <c r="CD63" s="8">
        <f>IF(Uplifters!$B$2="Yes",Uplifters!CD107,0)</f>
        <v/>
      </c>
      <c r="CE63" s="8">
        <f>IF(Uplifters!$B$2="Yes",Uplifters!CE107,0)</f>
        <v/>
      </c>
      <c r="CF63" s="8">
        <f>IF(Uplifters!$B$2="Yes",Uplifters!CF107,0)</f>
        <v/>
      </c>
      <c r="CG63" s="8">
        <f>IF(Uplifters!$B$2="Yes",Uplifters!CG107,0)</f>
        <v/>
      </c>
      <c r="CH63" s="8">
        <f>IF(Uplifters!$B$2="Yes",Uplifters!CH107,0)</f>
        <v/>
      </c>
      <c r="CI63" s="23" t="n"/>
    </row>
    <row r="64" ht="15" customHeight="1" s="201">
      <c r="A64" s="9" t="inlineStr">
        <is>
          <t>Total Six Peak Revenue</t>
        </is>
      </c>
      <c r="B64" s="28" t="n"/>
      <c r="C64" s="32">
        <f>SUM(C47:C63)</f>
        <v/>
      </c>
      <c r="D64" s="32">
        <f>SUM(D47:D63)</f>
        <v/>
      </c>
      <c r="E64" s="32">
        <f>SUM(E47:E63)</f>
        <v/>
      </c>
      <c r="F64" s="32">
        <f>SUM(F47:F63)</f>
        <v/>
      </c>
      <c r="G64" s="32">
        <f>SUM(G47:G63)</f>
        <v/>
      </c>
      <c r="H64" s="32">
        <f>SUM(H47:H63)</f>
        <v/>
      </c>
      <c r="I64" s="32">
        <f>SUM(I47:I63)</f>
        <v/>
      </c>
      <c r="J64" s="32">
        <f>SUM(J47:J63)</f>
        <v/>
      </c>
      <c r="K64" s="32">
        <f>SUM(K47:K63)</f>
        <v/>
      </c>
      <c r="L64" s="32">
        <f>SUM(L47:L63)</f>
        <v/>
      </c>
      <c r="M64" s="32">
        <f>SUM(M47:M63)</f>
        <v/>
      </c>
      <c r="N64" s="32">
        <f>SUM(N47:N63)</f>
        <v/>
      </c>
      <c r="O64" s="32">
        <f>SUM(O47:O63)</f>
        <v/>
      </c>
      <c r="P64" s="32">
        <f>SUM(P47:P63)</f>
        <v/>
      </c>
      <c r="Q64" s="32">
        <f>SUM(Q47:Q63)</f>
        <v/>
      </c>
      <c r="R64" s="32">
        <f>SUM(R47:R63)</f>
        <v/>
      </c>
      <c r="S64" s="32">
        <f>SUM(S47:S63)</f>
        <v/>
      </c>
      <c r="T64" s="32">
        <f>SUM(T47:T63)</f>
        <v/>
      </c>
      <c r="U64" s="32">
        <f>SUM(U47:U63)</f>
        <v/>
      </c>
      <c r="V64" s="32">
        <f>SUM(V47:V63)</f>
        <v/>
      </c>
      <c r="W64" s="32">
        <f>SUM(W47:W63)</f>
        <v/>
      </c>
      <c r="X64" s="32">
        <f>SUM(X47:X63)</f>
        <v/>
      </c>
      <c r="Y64" s="32">
        <f>SUM(Y47:Y63)</f>
        <v/>
      </c>
      <c r="Z64" s="32">
        <f>SUM(Z47:Z63)</f>
        <v/>
      </c>
      <c r="AA64" s="32">
        <f>SUM(AA47:AA63)</f>
        <v/>
      </c>
      <c r="AB64" s="32">
        <f>SUM(AB47:AB63)</f>
        <v/>
      </c>
      <c r="AC64" s="32">
        <f>SUM(AC47:AC63)</f>
        <v/>
      </c>
      <c r="AD64" s="32">
        <f>SUM(AD47:AD63)</f>
        <v/>
      </c>
      <c r="AE64" s="32">
        <f>SUM(AE47:AE63)</f>
        <v/>
      </c>
      <c r="AF64" s="32">
        <f>SUM(AF47:AF63)</f>
        <v/>
      </c>
      <c r="AG64" s="32">
        <f>SUM(AG47:AG63)</f>
        <v/>
      </c>
      <c r="AH64" s="32">
        <f>SUM(AH47:AH63)</f>
        <v/>
      </c>
      <c r="AI64" s="32">
        <f>SUM(AI47:AI63)</f>
        <v/>
      </c>
      <c r="AJ64" s="32">
        <f>SUM(AJ47:AJ63)</f>
        <v/>
      </c>
      <c r="AK64" s="32">
        <f>SUM(AK47:AK63)</f>
        <v/>
      </c>
      <c r="AL64" s="32">
        <f>SUM(AL47:AL63)</f>
        <v/>
      </c>
      <c r="AM64" s="32">
        <f>SUM(AM47:AM63)</f>
        <v/>
      </c>
      <c r="AN64" s="32">
        <f>SUM(AN47:AN63)</f>
        <v/>
      </c>
      <c r="AO64" s="32">
        <f>SUM(AO47:AO63)</f>
        <v/>
      </c>
      <c r="AP64" s="32">
        <f>SUM(AP47:AP63)</f>
        <v/>
      </c>
      <c r="AQ64" s="32">
        <f>SUM(AQ47:AQ63)</f>
        <v/>
      </c>
      <c r="AR64" s="32">
        <f>SUM(AR47:AR63)</f>
        <v/>
      </c>
      <c r="AS64" s="32">
        <f>SUM(AS47:AS63)</f>
        <v/>
      </c>
      <c r="AT64" s="32">
        <f>SUM(AT47:AT63)</f>
        <v/>
      </c>
      <c r="AU64" s="32">
        <f>SUM(AU47:AU63)</f>
        <v/>
      </c>
      <c r="AV64" s="32">
        <f>SUM(AV47:AV63)</f>
        <v/>
      </c>
      <c r="AW64" s="32">
        <f>SUM(AW47:AW63)</f>
        <v/>
      </c>
      <c r="AX64" s="32">
        <f>SUM(AX47:AX63)</f>
        <v/>
      </c>
      <c r="AY64" s="32">
        <f>SUM(AY47:AY63)</f>
        <v/>
      </c>
      <c r="AZ64" s="32">
        <f>SUM(AZ47:AZ63)</f>
        <v/>
      </c>
      <c r="BA64" s="32">
        <f>SUM(BA47:BA63)</f>
        <v/>
      </c>
      <c r="BB64" s="32">
        <f>SUM(BB47:BB63)</f>
        <v/>
      </c>
      <c r="BC64" s="32">
        <f>SUM(BC47:BC63)</f>
        <v/>
      </c>
      <c r="BD64" s="32">
        <f>SUM(BD47:BD63)</f>
        <v/>
      </c>
      <c r="BE64" s="32">
        <f>SUM(BE47:BE63)</f>
        <v/>
      </c>
      <c r="BF64" s="32">
        <f>SUM(BF47:BF63)</f>
        <v/>
      </c>
      <c r="BG64" s="32">
        <f>SUM(BG47:BG63)</f>
        <v/>
      </c>
      <c r="BH64" s="32">
        <f>SUM(BH47:BH63)</f>
        <v/>
      </c>
      <c r="BI64" s="32">
        <f>SUM(BI47:BI63)</f>
        <v/>
      </c>
      <c r="BJ64" s="32">
        <f>SUM(BJ47:BJ63)</f>
        <v/>
      </c>
      <c r="BK64" s="32">
        <f>SUM(BK47:BK63)</f>
        <v/>
      </c>
      <c r="BL64" s="32">
        <f>SUM(BL47:BL63)</f>
        <v/>
      </c>
      <c r="BM64" s="32">
        <f>SUM(BM47:BM63)</f>
        <v/>
      </c>
      <c r="BN64" s="32">
        <f>SUM(BN47:BN63)</f>
        <v/>
      </c>
      <c r="BO64" s="32">
        <f>SUM(BO47:BO63)</f>
        <v/>
      </c>
      <c r="BP64" s="32">
        <f>SUM(BP47:BP63)</f>
        <v/>
      </c>
      <c r="BQ64" s="32">
        <f>SUM(BQ47:BQ63)</f>
        <v/>
      </c>
      <c r="BR64" s="32">
        <f>SUM(BR47:BR63)</f>
        <v/>
      </c>
      <c r="BS64" s="32">
        <f>SUM(BS47:BS63)</f>
        <v/>
      </c>
      <c r="BT64" s="32">
        <f>SUM(BT47:BT63)</f>
        <v/>
      </c>
      <c r="BU64" s="32">
        <f>SUM(BU47:BU63)</f>
        <v/>
      </c>
      <c r="BV64" s="32">
        <f>SUM(BV47:BV63)</f>
        <v/>
      </c>
      <c r="BW64" s="32">
        <f>SUM(BW47:BW63)</f>
        <v/>
      </c>
      <c r="BX64" s="32">
        <f>SUM(BX47:BX63)</f>
        <v/>
      </c>
      <c r="BY64" s="32">
        <f>SUM(BY47:BY63)</f>
        <v/>
      </c>
      <c r="BZ64" s="32">
        <f>SUM(BZ47:BZ63)</f>
        <v/>
      </c>
      <c r="CA64" s="32">
        <f>SUM(CA47:CA63)</f>
        <v/>
      </c>
      <c r="CB64" s="32">
        <f>SUM(CB47:CB63)</f>
        <v/>
      </c>
      <c r="CC64" s="32">
        <f>SUM(CC47:CC63)</f>
        <v/>
      </c>
      <c r="CD64" s="32">
        <f>SUM(CD47:CD63)</f>
        <v/>
      </c>
      <c r="CE64" s="32">
        <f>SUM(CE47:CE63)</f>
        <v/>
      </c>
      <c r="CF64" s="32">
        <f>SUM(CF47:CF63)</f>
        <v/>
      </c>
      <c r="CG64" s="32">
        <f>SUM(CG47:CG63)</f>
        <v/>
      </c>
      <c r="CH64" s="32">
        <f>SUM(CH47:CH63)</f>
        <v/>
      </c>
      <c r="CI64" s="23" t="n"/>
    </row>
    <row r="65" ht="15" customHeight="1" s="201">
      <c r="A65" s="6" t="inlineStr">
        <is>
          <t>Six Peak Expenses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  <c r="AJ65" s="6" t="n"/>
      <c r="AK65" s="6" t="n"/>
      <c r="AL65" s="6" t="n"/>
      <c r="AM65" s="6" t="n"/>
      <c r="AN65" s="6" t="n"/>
      <c r="AO65" s="6" t="n"/>
      <c r="AP65" s="6" t="n"/>
      <c r="AQ65" s="6" t="n"/>
      <c r="AR65" s="6" t="n"/>
      <c r="AS65" s="6" t="n"/>
      <c r="AT65" s="6" t="n"/>
      <c r="AU65" s="6" t="n"/>
      <c r="AV65" s="6" t="n"/>
      <c r="AW65" s="6" t="n"/>
      <c r="AX65" s="6" t="n"/>
      <c r="AY65" s="6" t="n"/>
      <c r="AZ65" s="6" t="n"/>
      <c r="BA65" s="6" t="n"/>
      <c r="BB65" s="6" t="n"/>
      <c r="BC65" s="6" t="n"/>
      <c r="BD65" s="6" t="n"/>
      <c r="BE65" s="6" t="n"/>
      <c r="BF65" s="6" t="n"/>
      <c r="BG65" s="6" t="n"/>
      <c r="BH65" s="6" t="n"/>
      <c r="BI65" s="6" t="n"/>
      <c r="BJ65" s="6" t="n"/>
      <c r="BK65" s="6" t="n"/>
      <c r="BL65" s="6" t="n"/>
      <c r="BM65" s="6" t="n"/>
      <c r="BN65" s="6" t="n"/>
      <c r="BO65" s="6" t="n"/>
      <c r="BP65" s="6" t="n"/>
      <c r="BQ65" s="6" t="n"/>
      <c r="BR65" s="6" t="n"/>
      <c r="BS65" s="6" t="n"/>
      <c r="BT65" s="6" t="n"/>
      <c r="BU65" s="6" t="n"/>
      <c r="BV65" s="6" t="n"/>
      <c r="BW65" s="6" t="n"/>
      <c r="BX65" s="6" t="n"/>
      <c r="BY65" s="6" t="n"/>
      <c r="BZ65" s="6" t="n"/>
      <c r="CA65" s="6" t="n"/>
      <c r="CB65" s="6" t="n"/>
      <c r="CC65" s="6" t="n"/>
      <c r="CD65" s="6" t="n"/>
      <c r="CE65" s="6" t="n"/>
      <c r="CF65" s="6" t="n"/>
      <c r="CG65" s="6" t="n"/>
      <c r="CH65" s="6" t="n"/>
      <c r="CI65" s="23" t="n"/>
    </row>
    <row r="66" ht="15" customHeight="1" s="201">
      <c r="A66" s="7" t="inlineStr">
        <is>
          <t>Six Peak Personnel</t>
        </is>
      </c>
      <c r="B66" s="22" t="n"/>
      <c r="C66" s="8">
        <f>-(IF(AND(1&gt;=Personnel!$E$32,Personnel!$G$32="Yes"),Personnel!$D$32*(1-Personnel!$I$32),0)+IF(AND(1&gt;=Personnel!$E$33,Personnel!$G$33="Yes"),Personnel!$D$33*(1-Personnel!$I$33),0)+IF(AND(1&gt;=Personnel!$E$34,Personnel!$G$34="Yes"),Personnel!$D$34*(1-Personnel!$I$34),0)+IF(AND(1&gt;=Personnel!$E$35,Personnel!$G$35="Yes"),Personnel!$D$35*(1-Personnel!$I$35),0)+IF(AND(1&gt;=Personnel!$E$36,Personnel!$G$36="Yes"),Personnel!$D$36*(1-Personnel!$I$36),0)+IF(AND(1&gt;=Personnel!$E$37,Personnel!$G$37="Yes"),Personnel!$D$37*(1-Personnel!$I$37),0)+IF(AND(1&gt;=Personnel!$E$38,Personnel!$G$38="Yes"),Personnel!$D$38*(1-Personnel!$I$38),0))</f>
        <v/>
      </c>
      <c r="D66" s="8">
        <f>-(IF(AND(2&gt;=Personnel!$E$32,Personnel!$G$32="Yes"),Personnel!$D$32*(1-Personnel!$I$32),0)+IF(AND(2&gt;=Personnel!$E$33,Personnel!$G$33="Yes"),Personnel!$D$33*(1-Personnel!$I$33),0)+IF(AND(2&gt;=Personnel!$E$34,Personnel!$G$34="Yes"),Personnel!$D$34*(1-Personnel!$I$34),0)+IF(AND(2&gt;=Personnel!$E$35,Personnel!$G$35="Yes"),Personnel!$D$35*(1-Personnel!$I$35),0)+IF(AND(2&gt;=Personnel!$E$36,Personnel!$G$36="Yes"),Personnel!$D$36*(1-Personnel!$I$36),0)+IF(AND(2&gt;=Personnel!$E$37,Personnel!$G$37="Yes"),Personnel!$D$37*(1-Personnel!$I$37),0)+IF(AND(2&gt;=Personnel!$E$38,Personnel!$G$38="Yes"),Personnel!$D$38*(1-Personnel!$I$38),0))</f>
        <v/>
      </c>
      <c r="E66" s="8">
        <f>-(IF(AND(3&gt;=Personnel!$E$32,Personnel!$G$32="Yes"),Personnel!$D$32*(1-Personnel!$I$32),0)+IF(AND(3&gt;=Personnel!$E$33,Personnel!$G$33="Yes"),Personnel!$D$33*(1-Personnel!$I$33),0)+IF(AND(3&gt;=Personnel!$E$34,Personnel!$G$34="Yes"),Personnel!$D$34*(1-Personnel!$I$34),0)+IF(AND(3&gt;=Personnel!$E$35,Personnel!$G$35="Yes"),Personnel!$D$35*(1-Personnel!$I$35),0)+IF(AND(3&gt;=Personnel!$E$36,Personnel!$G$36="Yes"),Personnel!$D$36*(1-Personnel!$I$36),0)+IF(AND(3&gt;=Personnel!$E$37,Personnel!$G$37="Yes"),Personnel!$D$37*(1-Personnel!$I$37),0)+IF(AND(3&gt;=Personnel!$E$38,Personnel!$G$38="Yes"),Personnel!$D$38*(1-Personnel!$I$38),0))</f>
        <v/>
      </c>
      <c r="F66" s="8">
        <f>-(IF(AND(4&gt;=Personnel!$E$32,Personnel!$G$32="Yes"),Personnel!$D$32*(1-Personnel!$I$32),0)+IF(AND(4&gt;=Personnel!$E$33,Personnel!$G$33="Yes"),Personnel!$D$33*(1-Personnel!$I$33),0)+IF(AND(4&gt;=Personnel!$E$34,Personnel!$G$34="Yes"),Personnel!$D$34*(1-Personnel!$I$34),0)+IF(AND(4&gt;=Personnel!$E$35,Personnel!$G$35="Yes"),Personnel!$D$35*(1-Personnel!$I$35),0)+IF(AND(4&gt;=Personnel!$E$36,Personnel!$G$36="Yes"),Personnel!$D$36*(1-Personnel!$I$36),0)+IF(AND(4&gt;=Personnel!$E$37,Personnel!$G$37="Yes"),Personnel!$D$37*(1-Personnel!$I$37),0)+IF(AND(4&gt;=Personnel!$E$38,Personnel!$G$38="Yes"),Personnel!$D$38*(1-Personnel!$I$38),0))</f>
        <v/>
      </c>
      <c r="G66" s="8">
        <f>-(IF(AND(5&gt;=Personnel!$E$32,Personnel!$G$32="Yes"),Personnel!$D$32*(1-Personnel!$I$32),0)+IF(AND(5&gt;=Personnel!$E$33,Personnel!$G$33="Yes"),Personnel!$D$33*(1-Personnel!$I$33),0)+IF(AND(5&gt;=Personnel!$E$34,Personnel!$G$34="Yes"),Personnel!$D$34*(1-Personnel!$I$34),0)+IF(AND(5&gt;=Personnel!$E$35,Personnel!$G$35="Yes"),Personnel!$D$35*(1-Personnel!$I$35),0)+IF(AND(5&gt;=Personnel!$E$36,Personnel!$G$36="Yes"),Personnel!$D$36*(1-Personnel!$I$36),0)+IF(AND(5&gt;=Personnel!$E$37,Personnel!$G$37="Yes"),Personnel!$D$37*(1-Personnel!$I$37),0)+IF(AND(5&gt;=Personnel!$E$38,Personnel!$G$38="Yes"),Personnel!$D$38*(1-Personnel!$I$38),0))</f>
        <v/>
      </c>
      <c r="H66" s="8">
        <f>-(IF(AND(6&gt;=Personnel!$E$32,Personnel!$G$32="Yes"),Personnel!$D$32*(1-Personnel!$I$32),0)+IF(AND(6&gt;=Personnel!$E$33,Personnel!$G$33="Yes"),Personnel!$D$33*(1-Personnel!$I$33),0)+IF(AND(6&gt;=Personnel!$E$34,Personnel!$G$34="Yes"),Personnel!$D$34*(1-Personnel!$I$34),0)+IF(AND(6&gt;=Personnel!$E$35,Personnel!$G$35="Yes"),Personnel!$D$35*(1-Personnel!$I$35),0)+IF(AND(6&gt;=Personnel!$E$36,Personnel!$G$36="Yes"),Personnel!$D$36*(1-Personnel!$I$36),0)+IF(AND(6&gt;=Personnel!$E$37,Personnel!$G$37="Yes"),Personnel!$D$37*(1-Personnel!$I$37),0)+IF(AND(6&gt;=Personnel!$E$38,Personnel!$G$38="Yes"),Personnel!$D$38*(1-Personnel!$I$38),0))</f>
        <v/>
      </c>
      <c r="I66" s="8">
        <f>-(IF(AND(7&gt;=Personnel!$E$32,Personnel!$G$32="Yes"),Personnel!$D$32*(1-Personnel!$I$32),0)+IF(AND(7&gt;=Personnel!$E$33,Personnel!$G$33="Yes"),Personnel!$D$33*(1-Personnel!$I$33),0)+IF(AND(7&gt;=Personnel!$E$34,Personnel!$G$34="Yes"),Personnel!$D$34*(1-Personnel!$I$34),0)+IF(AND(7&gt;=Personnel!$E$35,Personnel!$G$35="Yes"),Personnel!$D$35*(1-Personnel!$I$35),0)+IF(AND(7&gt;=Personnel!$E$36,Personnel!$G$36="Yes"),Personnel!$D$36*(1-Personnel!$I$36),0)+IF(AND(7&gt;=Personnel!$E$37,Personnel!$G$37="Yes"),Personnel!$D$37*(1-Personnel!$I$37),0)+IF(AND(7&gt;=Personnel!$E$38,Personnel!$G$38="Yes"),Personnel!$D$38*(1-Personnel!$I$38),0))</f>
        <v/>
      </c>
      <c r="J66" s="8">
        <f>-(IF(AND(8&gt;=Personnel!$E$32,Personnel!$G$32="Yes"),Personnel!$D$32*(1-Personnel!$I$32),0)+IF(AND(8&gt;=Personnel!$E$33,Personnel!$G$33="Yes"),Personnel!$D$33*(1-Personnel!$I$33),0)+IF(AND(8&gt;=Personnel!$E$34,Personnel!$G$34="Yes"),Personnel!$D$34*(1-Personnel!$I$34),0)+IF(AND(8&gt;=Personnel!$E$35,Personnel!$G$35="Yes"),Personnel!$D$35*(1-Personnel!$I$35),0)+IF(AND(8&gt;=Personnel!$E$36,Personnel!$G$36="Yes"),Personnel!$D$36*(1-Personnel!$I$36),0)+IF(AND(8&gt;=Personnel!$E$37,Personnel!$G$37="Yes"),Personnel!$D$37*(1-Personnel!$I$37),0)+IF(AND(8&gt;=Personnel!$E$38,Personnel!$G$38="Yes"),Personnel!$D$38*(1-Personnel!$I$38),0))</f>
        <v/>
      </c>
      <c r="K66" s="8">
        <f>-(IF(AND(9&gt;=Personnel!$E$32,Personnel!$G$32="Yes"),Personnel!$D$32*(1-Personnel!$I$32),0)+IF(AND(9&gt;=Personnel!$E$33,Personnel!$G$33="Yes"),Personnel!$D$33*(1-Personnel!$I$33),0)+IF(AND(9&gt;=Personnel!$E$34,Personnel!$G$34="Yes"),Personnel!$D$34*(1-Personnel!$I$34),0)+IF(AND(9&gt;=Personnel!$E$35,Personnel!$G$35="Yes"),Personnel!$D$35*(1-Personnel!$I$35),0)+IF(AND(9&gt;=Personnel!$E$36,Personnel!$G$36="Yes"),Personnel!$D$36*(1-Personnel!$I$36),0)+IF(AND(9&gt;=Personnel!$E$37,Personnel!$G$37="Yes"),Personnel!$D$37*(1-Personnel!$I$37),0)+IF(AND(9&gt;=Personnel!$E$38,Personnel!$G$38="Yes"),Personnel!$D$38*(1-Personnel!$I$38),0))</f>
        <v/>
      </c>
      <c r="L66" s="8">
        <f>-(IF(AND(10&gt;=Personnel!$E$32,Personnel!$G$32="Yes"),Personnel!$D$32*(1-Personnel!$I$32),0)+IF(AND(10&gt;=Personnel!$E$33,Personnel!$G$33="Yes"),Personnel!$D$33*(1-Personnel!$I$33),0)+IF(AND(10&gt;=Personnel!$E$34,Personnel!$G$34="Yes"),Personnel!$D$34*(1-Personnel!$I$34),0)+IF(AND(10&gt;=Personnel!$E$35,Personnel!$G$35="Yes"),Personnel!$D$35*(1-Personnel!$I$35),0)+IF(AND(10&gt;=Personnel!$E$36,Personnel!$G$36="Yes"),Personnel!$D$36*(1-Personnel!$I$36),0)+IF(AND(10&gt;=Personnel!$E$37,Personnel!$G$37="Yes"),Personnel!$D$37*(1-Personnel!$I$37),0)+IF(AND(10&gt;=Personnel!$E$38,Personnel!$G$38="Yes"),Personnel!$D$38*(1-Personnel!$I$38),0))</f>
        <v/>
      </c>
      <c r="M66" s="8">
        <f>-(IF(AND(11&gt;=Personnel!$E$32,Personnel!$G$32="Yes"),Personnel!$D$32*(1-Personnel!$I$32),0)+IF(AND(11&gt;=Personnel!$E$33,Personnel!$G$33="Yes"),Personnel!$D$33*(1-Personnel!$I$33),0)+IF(AND(11&gt;=Personnel!$E$34,Personnel!$G$34="Yes"),Personnel!$D$34*(1-Personnel!$I$34),0)+IF(AND(11&gt;=Personnel!$E$35,Personnel!$G$35="Yes"),Personnel!$D$35*(1-Personnel!$I$35),0)+IF(AND(11&gt;=Personnel!$E$36,Personnel!$G$36="Yes"),Personnel!$D$36*(1-Personnel!$I$36),0)+IF(AND(11&gt;=Personnel!$E$37,Personnel!$G$37="Yes"),Personnel!$D$37*(1-Personnel!$I$37),0)+IF(AND(11&gt;=Personnel!$E$38,Personnel!$G$38="Yes"),Personnel!$D$38*(1-Personnel!$I$38),0))</f>
        <v/>
      </c>
      <c r="N66" s="8">
        <f>-(IF(AND(12&gt;=Personnel!$E$32,Personnel!$G$32="Yes"),Personnel!$D$32*(1-Personnel!$I$32),0)+IF(AND(12&gt;=Personnel!$E$33,Personnel!$G$33="Yes"),Personnel!$D$33*(1-Personnel!$I$33),0)+IF(AND(12&gt;=Personnel!$E$34,Personnel!$G$34="Yes"),Personnel!$D$34*(1-Personnel!$I$34),0)+IF(AND(12&gt;=Personnel!$E$35,Personnel!$G$35="Yes"),Personnel!$D$35*(1-Personnel!$I$35),0)+IF(AND(12&gt;=Personnel!$E$36,Personnel!$G$36="Yes"),Personnel!$D$36*(1-Personnel!$I$36),0)+IF(AND(12&gt;=Personnel!$E$37,Personnel!$G$37="Yes"),Personnel!$D$37*(1-Personnel!$I$37),0)+IF(AND(12&gt;=Personnel!$E$38,Personnel!$G$38="Yes"),Personnel!$D$38*(1-Personnel!$I$38),0))</f>
        <v/>
      </c>
      <c r="O66" s="8">
        <f>-(IF(AND(13&gt;=Personnel!$E$32,Personnel!$G$32="Yes"),Personnel!$D$32*(1-Personnel!$I$32),0)+IF(AND(13&gt;=Personnel!$E$33,Personnel!$G$33="Yes"),Personnel!$D$33*(1-Personnel!$I$33),0)+IF(AND(13&gt;=Personnel!$E$34,Personnel!$G$34="Yes"),Personnel!$D$34*(1-Personnel!$I$34),0)+IF(AND(13&gt;=Personnel!$E$35,Personnel!$G$35="Yes"),Personnel!$D$35*(1-Personnel!$I$35),0)+IF(AND(13&gt;=Personnel!$E$36,Personnel!$G$36="Yes"),Personnel!$D$36*(1-Personnel!$I$36),0)+IF(AND(13&gt;=Personnel!$E$37,Personnel!$G$37="Yes"),Personnel!$D$37*(1-Personnel!$I$37),0)+IF(AND(13&gt;=Personnel!$E$38,Personnel!$G$38="Yes"),Personnel!$D$38*(1-Personnel!$I$38),0))</f>
        <v/>
      </c>
      <c r="P66" s="8">
        <f>-(IF(AND(14&gt;=Personnel!$E$32,Personnel!$G$32="Yes"),Personnel!$D$32*(1-Personnel!$I$32),0)+IF(AND(14&gt;=Personnel!$E$33,Personnel!$G$33="Yes"),Personnel!$D$33*(1-Personnel!$I$33),0)+IF(AND(14&gt;=Personnel!$E$34,Personnel!$G$34="Yes"),Personnel!$D$34*(1-Personnel!$I$34),0)+IF(AND(14&gt;=Personnel!$E$35,Personnel!$G$35="Yes"),Personnel!$D$35*(1-Personnel!$I$35),0)+IF(AND(14&gt;=Personnel!$E$36,Personnel!$G$36="Yes"),Personnel!$D$36*(1-Personnel!$I$36),0)+IF(AND(14&gt;=Personnel!$E$37,Personnel!$G$37="Yes"),Personnel!$D$37*(1-Personnel!$I$37),0)+IF(AND(14&gt;=Personnel!$E$38,Personnel!$G$38="Yes"),Personnel!$D$38*(1-Personnel!$I$38),0))</f>
        <v/>
      </c>
      <c r="Q66" s="8">
        <f>-(IF(AND(15&gt;=Personnel!$E$32,Personnel!$G$32="Yes"),Personnel!$D$32*(1-Personnel!$I$32),0)+IF(AND(15&gt;=Personnel!$E$33,Personnel!$G$33="Yes"),Personnel!$D$33*(1-Personnel!$I$33),0)+IF(AND(15&gt;=Personnel!$E$34,Personnel!$G$34="Yes"),Personnel!$D$34*(1-Personnel!$I$34),0)+IF(AND(15&gt;=Personnel!$E$35,Personnel!$G$35="Yes"),Personnel!$D$35*(1-Personnel!$I$35),0)+IF(AND(15&gt;=Personnel!$E$36,Personnel!$G$36="Yes"),Personnel!$D$36*(1-Personnel!$I$36),0)+IF(AND(15&gt;=Personnel!$E$37,Personnel!$G$37="Yes"),Personnel!$D$37*(1-Personnel!$I$37),0)+IF(AND(15&gt;=Personnel!$E$38,Personnel!$G$38="Yes"),Personnel!$D$38*(1-Personnel!$I$38),0))</f>
        <v/>
      </c>
      <c r="R66" s="8">
        <f>-(IF(AND(16&gt;=Personnel!$E$32,Personnel!$G$32="Yes"),Personnel!$D$32*(1-Personnel!$I$32),0)+IF(AND(16&gt;=Personnel!$E$33,Personnel!$G$33="Yes"),Personnel!$D$33*(1-Personnel!$I$33),0)+IF(AND(16&gt;=Personnel!$E$34,Personnel!$G$34="Yes"),Personnel!$D$34*(1-Personnel!$I$34),0)+IF(AND(16&gt;=Personnel!$E$35,Personnel!$G$35="Yes"),Personnel!$D$35*(1-Personnel!$I$35),0)+IF(AND(16&gt;=Personnel!$E$36,Personnel!$G$36="Yes"),Personnel!$D$36*(1-Personnel!$I$36),0)+IF(AND(16&gt;=Personnel!$E$37,Personnel!$G$37="Yes"),Personnel!$D$37*(1-Personnel!$I$37),0)+IF(AND(16&gt;=Personnel!$E$38,Personnel!$G$38="Yes"),Personnel!$D$38*(1-Personnel!$I$38),0))</f>
        <v/>
      </c>
      <c r="S66" s="8">
        <f>-(IF(AND(17&gt;=Personnel!$E$32,Personnel!$G$32="Yes"),Personnel!$D$32*(1-Personnel!$I$32),0)+IF(AND(17&gt;=Personnel!$E$33,Personnel!$G$33="Yes"),Personnel!$D$33*(1-Personnel!$I$33),0)+IF(AND(17&gt;=Personnel!$E$34,Personnel!$G$34="Yes"),Personnel!$D$34*(1-Personnel!$I$34),0)+IF(AND(17&gt;=Personnel!$E$35,Personnel!$G$35="Yes"),Personnel!$D$35*(1-Personnel!$I$35),0)+IF(AND(17&gt;=Personnel!$E$36,Personnel!$G$36="Yes"),Personnel!$D$36*(1-Personnel!$I$36),0)+IF(AND(17&gt;=Personnel!$E$37,Personnel!$G$37="Yes"),Personnel!$D$37*(1-Personnel!$I$37),0)+IF(AND(17&gt;=Personnel!$E$38,Personnel!$G$38="Yes"),Personnel!$D$38*(1-Personnel!$I$38),0))</f>
        <v/>
      </c>
      <c r="T66" s="8">
        <f>-(IF(AND(18&gt;=Personnel!$E$32,Personnel!$G$32="Yes"),Personnel!$D$32*(1-Personnel!$I$32),0)+IF(AND(18&gt;=Personnel!$E$33,Personnel!$G$33="Yes"),Personnel!$D$33*(1-Personnel!$I$33),0)+IF(AND(18&gt;=Personnel!$E$34,Personnel!$G$34="Yes"),Personnel!$D$34*(1-Personnel!$I$34),0)+IF(AND(18&gt;=Personnel!$E$35,Personnel!$G$35="Yes"),Personnel!$D$35*(1-Personnel!$I$35),0)+IF(AND(18&gt;=Personnel!$E$36,Personnel!$G$36="Yes"),Personnel!$D$36*(1-Personnel!$I$36),0)+IF(AND(18&gt;=Personnel!$E$37,Personnel!$G$37="Yes"),Personnel!$D$37*(1-Personnel!$I$37),0)+IF(AND(18&gt;=Personnel!$E$38,Personnel!$G$38="Yes"),Personnel!$D$38*(1-Personnel!$I$38),0))</f>
        <v/>
      </c>
      <c r="U66" s="8">
        <f>-(IF(AND(19&gt;=Personnel!$E$32,Personnel!$G$32="Yes"),Personnel!$D$32*(1-Personnel!$I$32),0)+IF(AND(19&gt;=Personnel!$E$33,Personnel!$G$33="Yes"),Personnel!$D$33*(1-Personnel!$I$33),0)+IF(AND(19&gt;=Personnel!$E$34,Personnel!$G$34="Yes"),Personnel!$D$34*(1-Personnel!$I$34),0)+IF(AND(19&gt;=Personnel!$E$35,Personnel!$G$35="Yes"),Personnel!$D$35*(1-Personnel!$I$35),0)+IF(AND(19&gt;=Personnel!$E$36,Personnel!$G$36="Yes"),Personnel!$D$36*(1-Personnel!$I$36),0)+IF(AND(19&gt;=Personnel!$E$37,Personnel!$G$37="Yes"),Personnel!$D$37*(1-Personnel!$I$37),0)+IF(AND(19&gt;=Personnel!$E$38,Personnel!$G$38="Yes"),Personnel!$D$38*(1-Personnel!$I$38),0))</f>
        <v/>
      </c>
      <c r="V66" s="8">
        <f>-(IF(AND(20&gt;=Personnel!$E$32,Personnel!$G$32="Yes"),Personnel!$D$32*(1-Personnel!$I$32),0)+IF(AND(20&gt;=Personnel!$E$33,Personnel!$G$33="Yes"),Personnel!$D$33*(1-Personnel!$I$33),0)+IF(AND(20&gt;=Personnel!$E$34,Personnel!$G$34="Yes"),Personnel!$D$34*(1-Personnel!$I$34),0)+IF(AND(20&gt;=Personnel!$E$35,Personnel!$G$35="Yes"),Personnel!$D$35*(1-Personnel!$I$35),0)+IF(AND(20&gt;=Personnel!$E$36,Personnel!$G$36="Yes"),Personnel!$D$36*(1-Personnel!$I$36),0)+IF(AND(20&gt;=Personnel!$E$37,Personnel!$G$37="Yes"),Personnel!$D$37*(1-Personnel!$I$37),0)+IF(AND(20&gt;=Personnel!$E$38,Personnel!$G$38="Yes"),Personnel!$D$38*(1-Personnel!$I$38),0))</f>
        <v/>
      </c>
      <c r="W66" s="8">
        <f>-(IF(AND(21&gt;=Personnel!$E$32,Personnel!$G$32="Yes"),Personnel!$D$32*(1-Personnel!$I$32),0)+IF(AND(21&gt;=Personnel!$E$33,Personnel!$G$33="Yes"),Personnel!$D$33*(1-Personnel!$I$33),0)+IF(AND(21&gt;=Personnel!$E$34,Personnel!$G$34="Yes"),Personnel!$D$34*(1-Personnel!$I$34),0)+IF(AND(21&gt;=Personnel!$E$35,Personnel!$G$35="Yes"),Personnel!$D$35*(1-Personnel!$I$35),0)+IF(AND(21&gt;=Personnel!$E$36,Personnel!$G$36="Yes"),Personnel!$D$36*(1-Personnel!$I$36),0)+IF(AND(21&gt;=Personnel!$E$37,Personnel!$G$37="Yes"),Personnel!$D$37*(1-Personnel!$I$37),0)+IF(AND(21&gt;=Personnel!$E$38,Personnel!$G$38="Yes"),Personnel!$D$38*(1-Personnel!$I$38),0))</f>
        <v/>
      </c>
      <c r="X66" s="8">
        <f>-(IF(AND(22&gt;=Personnel!$E$32,Personnel!$G$32="Yes"),Personnel!$D$32*(1-Personnel!$I$32),0)+IF(AND(22&gt;=Personnel!$E$33,Personnel!$G$33="Yes"),Personnel!$D$33*(1-Personnel!$I$33),0)+IF(AND(22&gt;=Personnel!$E$34,Personnel!$G$34="Yes"),Personnel!$D$34*(1-Personnel!$I$34),0)+IF(AND(22&gt;=Personnel!$E$35,Personnel!$G$35="Yes"),Personnel!$D$35*(1-Personnel!$I$35),0)+IF(AND(22&gt;=Personnel!$E$36,Personnel!$G$36="Yes"),Personnel!$D$36*(1-Personnel!$I$36),0)+IF(AND(22&gt;=Personnel!$E$37,Personnel!$G$37="Yes"),Personnel!$D$37*(1-Personnel!$I$37),0)+IF(AND(22&gt;=Personnel!$E$38,Personnel!$G$38="Yes"),Personnel!$D$38*(1-Personnel!$I$38),0))</f>
        <v/>
      </c>
      <c r="Y66" s="8">
        <f>-(IF(AND(23&gt;=Personnel!$E$32,Personnel!$G$32="Yes"),Personnel!$D$32*(1-Personnel!$I$32),0)+IF(AND(23&gt;=Personnel!$E$33,Personnel!$G$33="Yes"),Personnel!$D$33*(1-Personnel!$I$33),0)+IF(AND(23&gt;=Personnel!$E$34,Personnel!$G$34="Yes"),Personnel!$D$34*(1-Personnel!$I$34),0)+IF(AND(23&gt;=Personnel!$E$35,Personnel!$G$35="Yes"),Personnel!$D$35*(1-Personnel!$I$35),0)+IF(AND(23&gt;=Personnel!$E$36,Personnel!$G$36="Yes"),Personnel!$D$36*(1-Personnel!$I$36),0)+IF(AND(23&gt;=Personnel!$E$37,Personnel!$G$37="Yes"),Personnel!$D$37*(1-Personnel!$I$37),0)+IF(AND(23&gt;=Personnel!$E$38,Personnel!$G$38="Yes"),Personnel!$D$38*(1-Personnel!$I$38),0))</f>
        <v/>
      </c>
      <c r="Z66" s="8">
        <f>-(IF(AND(24&gt;=Personnel!$E$32,Personnel!$G$32="Yes"),Personnel!$D$32*(1-Personnel!$I$32),0)+IF(AND(24&gt;=Personnel!$E$33,Personnel!$G$33="Yes"),Personnel!$D$33*(1-Personnel!$I$33),0)+IF(AND(24&gt;=Personnel!$E$34,Personnel!$G$34="Yes"),Personnel!$D$34*(1-Personnel!$I$34),0)+IF(AND(24&gt;=Personnel!$E$35,Personnel!$G$35="Yes"),Personnel!$D$35*(1-Personnel!$I$35),0)+IF(AND(24&gt;=Personnel!$E$36,Personnel!$G$36="Yes"),Personnel!$D$36*(1-Personnel!$I$36),0)+IF(AND(24&gt;=Personnel!$E$37,Personnel!$G$37="Yes"),Personnel!$D$37*(1-Personnel!$I$37),0)+IF(AND(24&gt;=Personnel!$E$38,Personnel!$G$38="Yes"),Personnel!$D$38*(1-Personnel!$I$38),0))</f>
        <v/>
      </c>
      <c r="AA66" s="8">
        <f>-(IF(AND(25&gt;=Personnel!$E$32,Personnel!$G$32="Yes"),Personnel!$D$32*(1-Personnel!$I$32),0)+IF(AND(25&gt;=Personnel!$E$33,Personnel!$G$33="Yes"),Personnel!$D$33*(1-Personnel!$I$33),0)+IF(AND(25&gt;=Personnel!$E$34,Personnel!$G$34="Yes"),Personnel!$D$34*(1-Personnel!$I$34),0)+IF(AND(25&gt;=Personnel!$E$35,Personnel!$G$35="Yes"),Personnel!$D$35*(1-Personnel!$I$35),0)+IF(AND(25&gt;=Personnel!$E$36,Personnel!$G$36="Yes"),Personnel!$D$36*(1-Personnel!$I$36),0)+IF(AND(25&gt;=Personnel!$E$37,Personnel!$G$37="Yes"),Personnel!$D$37*(1-Personnel!$I$37),0)+IF(AND(25&gt;=Personnel!$E$38,Personnel!$G$38="Yes"),Personnel!$D$38*(1-Personnel!$I$38),0))</f>
        <v/>
      </c>
      <c r="AB66" s="8">
        <f>-(IF(AND(26&gt;=Personnel!$E$32,Personnel!$G$32="Yes"),Personnel!$D$32*(1-Personnel!$I$32),0)+IF(AND(26&gt;=Personnel!$E$33,Personnel!$G$33="Yes"),Personnel!$D$33*(1-Personnel!$I$33),0)+IF(AND(26&gt;=Personnel!$E$34,Personnel!$G$34="Yes"),Personnel!$D$34*(1-Personnel!$I$34),0)+IF(AND(26&gt;=Personnel!$E$35,Personnel!$G$35="Yes"),Personnel!$D$35*(1-Personnel!$I$35),0)+IF(AND(26&gt;=Personnel!$E$36,Personnel!$G$36="Yes"),Personnel!$D$36*(1-Personnel!$I$36),0)+IF(AND(26&gt;=Personnel!$E$37,Personnel!$G$37="Yes"),Personnel!$D$37*(1-Personnel!$I$37),0)+IF(AND(26&gt;=Personnel!$E$38,Personnel!$G$38="Yes"),Personnel!$D$38*(1-Personnel!$I$38),0))</f>
        <v/>
      </c>
      <c r="AC66" s="8">
        <f>-(IF(AND(27&gt;=Personnel!$E$32,Personnel!$G$32="Yes"),Personnel!$D$32*(1-Personnel!$I$32),0)+IF(AND(27&gt;=Personnel!$E$33,Personnel!$G$33="Yes"),Personnel!$D$33*(1-Personnel!$I$33),0)+IF(AND(27&gt;=Personnel!$E$34,Personnel!$G$34="Yes"),Personnel!$D$34*(1-Personnel!$I$34),0)+IF(AND(27&gt;=Personnel!$E$35,Personnel!$G$35="Yes"),Personnel!$D$35*(1-Personnel!$I$35),0)+IF(AND(27&gt;=Personnel!$E$36,Personnel!$G$36="Yes"),Personnel!$D$36*(1-Personnel!$I$36),0)+IF(AND(27&gt;=Personnel!$E$37,Personnel!$G$37="Yes"),Personnel!$D$37*(1-Personnel!$I$37),0)+IF(AND(27&gt;=Personnel!$E$38,Personnel!$G$38="Yes"),Personnel!$D$38*(1-Personnel!$I$38),0))</f>
        <v/>
      </c>
      <c r="AD66" s="8">
        <f>-(IF(AND(28&gt;=Personnel!$E$32,Personnel!$G$32="Yes"),Personnel!$D$32*(1-Personnel!$I$32),0)+IF(AND(28&gt;=Personnel!$E$33,Personnel!$G$33="Yes"),Personnel!$D$33*(1-Personnel!$I$33),0)+IF(AND(28&gt;=Personnel!$E$34,Personnel!$G$34="Yes"),Personnel!$D$34*(1-Personnel!$I$34),0)+IF(AND(28&gt;=Personnel!$E$35,Personnel!$G$35="Yes"),Personnel!$D$35*(1-Personnel!$I$35),0)+IF(AND(28&gt;=Personnel!$E$36,Personnel!$G$36="Yes"),Personnel!$D$36*(1-Personnel!$I$36),0)+IF(AND(28&gt;=Personnel!$E$37,Personnel!$G$37="Yes"),Personnel!$D$37*(1-Personnel!$I$37),0)+IF(AND(28&gt;=Personnel!$E$38,Personnel!$G$38="Yes"),Personnel!$D$38*(1-Personnel!$I$38),0))</f>
        <v/>
      </c>
      <c r="AE66" s="8">
        <f>-(IF(AND(29&gt;=Personnel!$E$32,Personnel!$G$32="Yes"),Personnel!$D$32*(1-Personnel!$I$32),0)+IF(AND(29&gt;=Personnel!$E$33,Personnel!$G$33="Yes"),Personnel!$D$33*(1-Personnel!$I$33),0)+IF(AND(29&gt;=Personnel!$E$34,Personnel!$G$34="Yes"),Personnel!$D$34*(1-Personnel!$I$34),0)+IF(AND(29&gt;=Personnel!$E$35,Personnel!$G$35="Yes"),Personnel!$D$35*(1-Personnel!$I$35),0)+IF(AND(29&gt;=Personnel!$E$36,Personnel!$G$36="Yes"),Personnel!$D$36*(1-Personnel!$I$36),0)+IF(AND(29&gt;=Personnel!$E$37,Personnel!$G$37="Yes"),Personnel!$D$37*(1-Personnel!$I$37),0)+IF(AND(29&gt;=Personnel!$E$38,Personnel!$G$38="Yes"),Personnel!$D$38*(1-Personnel!$I$38),0))</f>
        <v/>
      </c>
      <c r="AF66" s="8">
        <f>-(IF(AND(30&gt;=Personnel!$E$32,Personnel!$G$32="Yes"),Personnel!$D$32*(1-Personnel!$I$32),0)+IF(AND(30&gt;=Personnel!$E$33,Personnel!$G$33="Yes"),Personnel!$D$33*(1-Personnel!$I$33),0)+IF(AND(30&gt;=Personnel!$E$34,Personnel!$G$34="Yes"),Personnel!$D$34*(1-Personnel!$I$34),0)+IF(AND(30&gt;=Personnel!$E$35,Personnel!$G$35="Yes"),Personnel!$D$35*(1-Personnel!$I$35),0)+IF(AND(30&gt;=Personnel!$E$36,Personnel!$G$36="Yes"),Personnel!$D$36*(1-Personnel!$I$36),0)+IF(AND(30&gt;=Personnel!$E$37,Personnel!$G$37="Yes"),Personnel!$D$37*(1-Personnel!$I$37),0)+IF(AND(30&gt;=Personnel!$E$38,Personnel!$G$38="Yes"),Personnel!$D$38*(1-Personnel!$I$38),0))</f>
        <v/>
      </c>
      <c r="AG66" s="8">
        <f>-(IF(AND(31&gt;=Personnel!$E$32,Personnel!$G$32="Yes"),Personnel!$D$32*(1-Personnel!$I$32),0)+IF(AND(31&gt;=Personnel!$E$33,Personnel!$G$33="Yes"),Personnel!$D$33*(1-Personnel!$I$33),0)+IF(AND(31&gt;=Personnel!$E$34,Personnel!$G$34="Yes"),Personnel!$D$34*(1-Personnel!$I$34),0)+IF(AND(31&gt;=Personnel!$E$35,Personnel!$G$35="Yes"),Personnel!$D$35*(1-Personnel!$I$35),0)+IF(AND(31&gt;=Personnel!$E$36,Personnel!$G$36="Yes"),Personnel!$D$36*(1-Personnel!$I$36),0)+IF(AND(31&gt;=Personnel!$E$37,Personnel!$G$37="Yes"),Personnel!$D$37*(1-Personnel!$I$37),0)+IF(AND(31&gt;=Personnel!$E$38,Personnel!$G$38="Yes"),Personnel!$D$38*(1-Personnel!$I$38),0))</f>
        <v/>
      </c>
      <c r="AH66" s="8">
        <f>-(IF(AND(32&gt;=Personnel!$E$32,Personnel!$G$32="Yes"),Personnel!$D$32*(1-Personnel!$I$32),0)+IF(AND(32&gt;=Personnel!$E$33,Personnel!$G$33="Yes"),Personnel!$D$33*(1-Personnel!$I$33),0)+IF(AND(32&gt;=Personnel!$E$34,Personnel!$G$34="Yes"),Personnel!$D$34*(1-Personnel!$I$34),0)+IF(AND(32&gt;=Personnel!$E$35,Personnel!$G$35="Yes"),Personnel!$D$35*(1-Personnel!$I$35),0)+IF(AND(32&gt;=Personnel!$E$36,Personnel!$G$36="Yes"),Personnel!$D$36*(1-Personnel!$I$36),0)+IF(AND(32&gt;=Personnel!$E$37,Personnel!$G$37="Yes"),Personnel!$D$37*(1-Personnel!$I$37),0)+IF(AND(32&gt;=Personnel!$E$38,Personnel!$G$38="Yes"),Personnel!$D$38*(1-Personnel!$I$38),0))</f>
        <v/>
      </c>
      <c r="AI66" s="8">
        <f>-(IF(AND(33&gt;=Personnel!$E$32,Personnel!$G$32="Yes"),Personnel!$D$32*(1-Personnel!$I$32),0)+IF(AND(33&gt;=Personnel!$E$33,Personnel!$G$33="Yes"),Personnel!$D$33*(1-Personnel!$I$33),0)+IF(AND(33&gt;=Personnel!$E$34,Personnel!$G$34="Yes"),Personnel!$D$34*(1-Personnel!$I$34),0)+IF(AND(33&gt;=Personnel!$E$35,Personnel!$G$35="Yes"),Personnel!$D$35*(1-Personnel!$I$35),0)+IF(AND(33&gt;=Personnel!$E$36,Personnel!$G$36="Yes"),Personnel!$D$36*(1-Personnel!$I$36),0)+IF(AND(33&gt;=Personnel!$E$37,Personnel!$G$37="Yes"),Personnel!$D$37*(1-Personnel!$I$37),0)+IF(AND(33&gt;=Personnel!$E$38,Personnel!$G$38="Yes"),Personnel!$D$38*(1-Personnel!$I$38),0))</f>
        <v/>
      </c>
      <c r="AJ66" s="8">
        <f>-(IF(AND(34&gt;=Personnel!$E$32,Personnel!$G$32="Yes"),Personnel!$D$32*(1-Personnel!$I$32),0)+IF(AND(34&gt;=Personnel!$E$33,Personnel!$G$33="Yes"),Personnel!$D$33*(1-Personnel!$I$33),0)+IF(AND(34&gt;=Personnel!$E$34,Personnel!$G$34="Yes"),Personnel!$D$34*(1-Personnel!$I$34),0)+IF(AND(34&gt;=Personnel!$E$35,Personnel!$G$35="Yes"),Personnel!$D$35*(1-Personnel!$I$35),0)+IF(AND(34&gt;=Personnel!$E$36,Personnel!$G$36="Yes"),Personnel!$D$36*(1-Personnel!$I$36),0)+IF(AND(34&gt;=Personnel!$E$37,Personnel!$G$37="Yes"),Personnel!$D$37*(1-Personnel!$I$37),0)+IF(AND(34&gt;=Personnel!$E$38,Personnel!$G$38="Yes"),Personnel!$D$38*(1-Personnel!$I$38),0))</f>
        <v/>
      </c>
      <c r="AK66" s="8">
        <f>-(IF(AND(35&gt;=Personnel!$E$32,Personnel!$G$32="Yes"),Personnel!$D$32*(1-Personnel!$I$32),0)+IF(AND(35&gt;=Personnel!$E$33,Personnel!$G$33="Yes"),Personnel!$D$33*(1-Personnel!$I$33),0)+IF(AND(35&gt;=Personnel!$E$34,Personnel!$G$34="Yes"),Personnel!$D$34*(1-Personnel!$I$34),0)+IF(AND(35&gt;=Personnel!$E$35,Personnel!$G$35="Yes"),Personnel!$D$35*(1-Personnel!$I$35),0)+IF(AND(35&gt;=Personnel!$E$36,Personnel!$G$36="Yes"),Personnel!$D$36*(1-Personnel!$I$36),0)+IF(AND(35&gt;=Personnel!$E$37,Personnel!$G$37="Yes"),Personnel!$D$37*(1-Personnel!$I$37),0)+IF(AND(35&gt;=Personnel!$E$38,Personnel!$G$38="Yes"),Personnel!$D$38*(1-Personnel!$I$38),0))</f>
        <v/>
      </c>
      <c r="AL66" s="8">
        <f>-(IF(AND(36&gt;=Personnel!$E$32,Personnel!$G$32="Yes"),Personnel!$D$32*(1-Personnel!$I$32),0)+IF(AND(36&gt;=Personnel!$E$33,Personnel!$G$33="Yes"),Personnel!$D$33*(1-Personnel!$I$33),0)+IF(AND(36&gt;=Personnel!$E$34,Personnel!$G$34="Yes"),Personnel!$D$34*(1-Personnel!$I$34),0)+IF(AND(36&gt;=Personnel!$E$35,Personnel!$G$35="Yes"),Personnel!$D$35*(1-Personnel!$I$35),0)+IF(AND(36&gt;=Personnel!$E$36,Personnel!$G$36="Yes"),Personnel!$D$36*(1-Personnel!$I$36),0)+IF(AND(36&gt;=Personnel!$E$37,Personnel!$G$37="Yes"),Personnel!$D$37*(1-Personnel!$I$37),0)+IF(AND(36&gt;=Personnel!$E$38,Personnel!$G$38="Yes"),Personnel!$D$38*(1-Personnel!$I$38),0))</f>
        <v/>
      </c>
      <c r="AM66" s="8">
        <f>-(IF(AND(37&gt;=Personnel!$E$32,Personnel!$G$32="Yes"),Personnel!$D$32*(1-Personnel!$I$32),0)+IF(AND(37&gt;=Personnel!$E$33,Personnel!$G$33="Yes"),Personnel!$D$33*(1-Personnel!$I$33),0)+IF(AND(37&gt;=Personnel!$E$34,Personnel!$G$34="Yes"),Personnel!$D$34*(1-Personnel!$I$34),0)+IF(AND(37&gt;=Personnel!$E$35,Personnel!$G$35="Yes"),Personnel!$D$35*(1-Personnel!$I$35),0)+IF(AND(37&gt;=Personnel!$E$36,Personnel!$G$36="Yes"),Personnel!$D$36*(1-Personnel!$I$36),0)+IF(AND(37&gt;=Personnel!$E$37,Personnel!$G$37="Yes"),Personnel!$D$37*(1-Personnel!$I$37),0)+IF(AND(37&gt;=Personnel!$E$38,Personnel!$G$38="Yes"),Personnel!$D$38*(1-Personnel!$I$38),0))</f>
        <v/>
      </c>
      <c r="AN66" s="8">
        <f>-(IF(AND(38&gt;=Personnel!$E$32,Personnel!$G$32="Yes"),Personnel!$D$32*(1-Personnel!$I$32),0)+IF(AND(38&gt;=Personnel!$E$33,Personnel!$G$33="Yes"),Personnel!$D$33*(1-Personnel!$I$33),0)+IF(AND(38&gt;=Personnel!$E$34,Personnel!$G$34="Yes"),Personnel!$D$34*(1-Personnel!$I$34),0)+IF(AND(38&gt;=Personnel!$E$35,Personnel!$G$35="Yes"),Personnel!$D$35*(1-Personnel!$I$35),0)+IF(AND(38&gt;=Personnel!$E$36,Personnel!$G$36="Yes"),Personnel!$D$36*(1-Personnel!$I$36),0)+IF(AND(38&gt;=Personnel!$E$37,Personnel!$G$37="Yes"),Personnel!$D$37*(1-Personnel!$I$37),0)+IF(AND(38&gt;=Personnel!$E$38,Personnel!$G$38="Yes"),Personnel!$D$38*(1-Personnel!$I$38),0))</f>
        <v/>
      </c>
      <c r="AO66" s="8">
        <f>-(IF(AND(39&gt;=Personnel!$E$32,Personnel!$G$32="Yes"),Personnel!$D$32*(1-Personnel!$I$32),0)+IF(AND(39&gt;=Personnel!$E$33,Personnel!$G$33="Yes"),Personnel!$D$33*(1-Personnel!$I$33),0)+IF(AND(39&gt;=Personnel!$E$34,Personnel!$G$34="Yes"),Personnel!$D$34*(1-Personnel!$I$34),0)+IF(AND(39&gt;=Personnel!$E$35,Personnel!$G$35="Yes"),Personnel!$D$35*(1-Personnel!$I$35),0)+IF(AND(39&gt;=Personnel!$E$36,Personnel!$G$36="Yes"),Personnel!$D$36*(1-Personnel!$I$36),0)+IF(AND(39&gt;=Personnel!$E$37,Personnel!$G$37="Yes"),Personnel!$D$37*(1-Personnel!$I$37),0)+IF(AND(39&gt;=Personnel!$E$38,Personnel!$G$38="Yes"),Personnel!$D$38*(1-Personnel!$I$38),0))</f>
        <v/>
      </c>
      <c r="AP66" s="8">
        <f>-(IF(AND(40&gt;=Personnel!$E$32,Personnel!$G$32="Yes"),Personnel!$D$32*(1-Personnel!$I$32),0)+IF(AND(40&gt;=Personnel!$E$33,Personnel!$G$33="Yes"),Personnel!$D$33*(1-Personnel!$I$33),0)+IF(AND(40&gt;=Personnel!$E$34,Personnel!$G$34="Yes"),Personnel!$D$34*(1-Personnel!$I$34),0)+IF(AND(40&gt;=Personnel!$E$35,Personnel!$G$35="Yes"),Personnel!$D$35*(1-Personnel!$I$35),0)+IF(AND(40&gt;=Personnel!$E$36,Personnel!$G$36="Yes"),Personnel!$D$36*(1-Personnel!$I$36),0)+IF(AND(40&gt;=Personnel!$E$37,Personnel!$G$37="Yes"),Personnel!$D$37*(1-Personnel!$I$37),0)+IF(AND(40&gt;=Personnel!$E$38,Personnel!$G$38="Yes"),Personnel!$D$38*(1-Personnel!$I$38),0))</f>
        <v/>
      </c>
      <c r="AQ66" s="8">
        <f>-(IF(AND(41&gt;=Personnel!$E$32,Personnel!$G$32="Yes"),Personnel!$D$32*(1-Personnel!$I$32),0)+IF(AND(41&gt;=Personnel!$E$33,Personnel!$G$33="Yes"),Personnel!$D$33*(1-Personnel!$I$33),0)+IF(AND(41&gt;=Personnel!$E$34,Personnel!$G$34="Yes"),Personnel!$D$34*(1-Personnel!$I$34),0)+IF(AND(41&gt;=Personnel!$E$35,Personnel!$G$35="Yes"),Personnel!$D$35*(1-Personnel!$I$35),0)+IF(AND(41&gt;=Personnel!$E$36,Personnel!$G$36="Yes"),Personnel!$D$36*(1-Personnel!$I$36),0)+IF(AND(41&gt;=Personnel!$E$37,Personnel!$G$37="Yes"),Personnel!$D$37*(1-Personnel!$I$37),0)+IF(AND(41&gt;=Personnel!$E$38,Personnel!$G$38="Yes"),Personnel!$D$38*(1-Personnel!$I$38),0))</f>
        <v/>
      </c>
      <c r="AR66" s="8">
        <f>-(IF(AND(42&gt;=Personnel!$E$32,Personnel!$G$32="Yes"),Personnel!$D$32*(1-Personnel!$I$32),0)+IF(AND(42&gt;=Personnel!$E$33,Personnel!$G$33="Yes"),Personnel!$D$33*(1-Personnel!$I$33),0)+IF(AND(42&gt;=Personnel!$E$34,Personnel!$G$34="Yes"),Personnel!$D$34*(1-Personnel!$I$34),0)+IF(AND(42&gt;=Personnel!$E$35,Personnel!$G$35="Yes"),Personnel!$D$35*(1-Personnel!$I$35),0)+IF(AND(42&gt;=Personnel!$E$36,Personnel!$G$36="Yes"),Personnel!$D$36*(1-Personnel!$I$36),0)+IF(AND(42&gt;=Personnel!$E$37,Personnel!$G$37="Yes"),Personnel!$D$37*(1-Personnel!$I$37),0)+IF(AND(42&gt;=Personnel!$E$38,Personnel!$G$38="Yes"),Personnel!$D$38*(1-Personnel!$I$38),0))</f>
        <v/>
      </c>
      <c r="AS66" s="8">
        <f>-(IF(AND(43&gt;=Personnel!$E$32,Personnel!$G$32="Yes"),Personnel!$D$32*(1-Personnel!$I$32),0)+IF(AND(43&gt;=Personnel!$E$33,Personnel!$G$33="Yes"),Personnel!$D$33*(1-Personnel!$I$33),0)+IF(AND(43&gt;=Personnel!$E$34,Personnel!$G$34="Yes"),Personnel!$D$34*(1-Personnel!$I$34),0)+IF(AND(43&gt;=Personnel!$E$35,Personnel!$G$35="Yes"),Personnel!$D$35*(1-Personnel!$I$35),0)+IF(AND(43&gt;=Personnel!$E$36,Personnel!$G$36="Yes"),Personnel!$D$36*(1-Personnel!$I$36),0)+IF(AND(43&gt;=Personnel!$E$37,Personnel!$G$37="Yes"),Personnel!$D$37*(1-Personnel!$I$37),0)+IF(AND(43&gt;=Personnel!$E$38,Personnel!$G$38="Yes"),Personnel!$D$38*(1-Personnel!$I$38),0))</f>
        <v/>
      </c>
      <c r="AT66" s="8">
        <f>-(IF(AND(44&gt;=Personnel!$E$32,Personnel!$G$32="Yes"),Personnel!$D$32*(1-Personnel!$I$32),0)+IF(AND(44&gt;=Personnel!$E$33,Personnel!$G$33="Yes"),Personnel!$D$33*(1-Personnel!$I$33),0)+IF(AND(44&gt;=Personnel!$E$34,Personnel!$G$34="Yes"),Personnel!$D$34*(1-Personnel!$I$34),0)+IF(AND(44&gt;=Personnel!$E$35,Personnel!$G$35="Yes"),Personnel!$D$35*(1-Personnel!$I$35),0)+IF(AND(44&gt;=Personnel!$E$36,Personnel!$G$36="Yes"),Personnel!$D$36*(1-Personnel!$I$36),0)+IF(AND(44&gt;=Personnel!$E$37,Personnel!$G$37="Yes"),Personnel!$D$37*(1-Personnel!$I$37),0)+IF(AND(44&gt;=Personnel!$E$38,Personnel!$G$38="Yes"),Personnel!$D$38*(1-Personnel!$I$38),0))</f>
        <v/>
      </c>
      <c r="AU66" s="8">
        <f>-(IF(AND(45&gt;=Personnel!$E$32,Personnel!$G$32="Yes"),Personnel!$D$32*(1-Personnel!$I$32),0)+IF(AND(45&gt;=Personnel!$E$33,Personnel!$G$33="Yes"),Personnel!$D$33*(1-Personnel!$I$33),0)+IF(AND(45&gt;=Personnel!$E$34,Personnel!$G$34="Yes"),Personnel!$D$34*(1-Personnel!$I$34),0)+IF(AND(45&gt;=Personnel!$E$35,Personnel!$G$35="Yes"),Personnel!$D$35*(1-Personnel!$I$35),0)+IF(AND(45&gt;=Personnel!$E$36,Personnel!$G$36="Yes"),Personnel!$D$36*(1-Personnel!$I$36),0)+IF(AND(45&gt;=Personnel!$E$37,Personnel!$G$37="Yes"),Personnel!$D$37*(1-Personnel!$I$37),0)+IF(AND(45&gt;=Personnel!$E$38,Personnel!$G$38="Yes"),Personnel!$D$38*(1-Personnel!$I$38),0))</f>
        <v/>
      </c>
      <c r="AV66" s="8">
        <f>-(IF(AND(46&gt;=Personnel!$E$32,Personnel!$G$32="Yes"),Personnel!$D$32*(1-Personnel!$I$32),0)+IF(AND(46&gt;=Personnel!$E$33,Personnel!$G$33="Yes"),Personnel!$D$33*(1-Personnel!$I$33),0)+IF(AND(46&gt;=Personnel!$E$34,Personnel!$G$34="Yes"),Personnel!$D$34*(1-Personnel!$I$34),0)+IF(AND(46&gt;=Personnel!$E$35,Personnel!$G$35="Yes"),Personnel!$D$35*(1-Personnel!$I$35),0)+IF(AND(46&gt;=Personnel!$E$36,Personnel!$G$36="Yes"),Personnel!$D$36*(1-Personnel!$I$36),0)+IF(AND(46&gt;=Personnel!$E$37,Personnel!$G$37="Yes"),Personnel!$D$37*(1-Personnel!$I$37),0)+IF(AND(46&gt;=Personnel!$E$38,Personnel!$G$38="Yes"),Personnel!$D$38*(1-Personnel!$I$38),0))</f>
        <v/>
      </c>
      <c r="AW66" s="8">
        <f>-(IF(AND(47&gt;=Personnel!$E$32,Personnel!$G$32="Yes"),Personnel!$D$32*(1-Personnel!$I$32),0)+IF(AND(47&gt;=Personnel!$E$33,Personnel!$G$33="Yes"),Personnel!$D$33*(1-Personnel!$I$33),0)+IF(AND(47&gt;=Personnel!$E$34,Personnel!$G$34="Yes"),Personnel!$D$34*(1-Personnel!$I$34),0)+IF(AND(47&gt;=Personnel!$E$35,Personnel!$G$35="Yes"),Personnel!$D$35*(1-Personnel!$I$35),0)+IF(AND(47&gt;=Personnel!$E$36,Personnel!$G$36="Yes"),Personnel!$D$36*(1-Personnel!$I$36),0)+IF(AND(47&gt;=Personnel!$E$37,Personnel!$G$37="Yes"),Personnel!$D$37*(1-Personnel!$I$37),0)+IF(AND(47&gt;=Personnel!$E$38,Personnel!$G$38="Yes"),Personnel!$D$38*(1-Personnel!$I$38),0))</f>
        <v/>
      </c>
      <c r="AX66" s="8">
        <f>-(IF(AND(48&gt;=Personnel!$E$32,Personnel!$G$32="Yes"),Personnel!$D$32*(1-Personnel!$I$32),0)+IF(AND(48&gt;=Personnel!$E$33,Personnel!$G$33="Yes"),Personnel!$D$33*(1-Personnel!$I$33),0)+IF(AND(48&gt;=Personnel!$E$34,Personnel!$G$34="Yes"),Personnel!$D$34*(1-Personnel!$I$34),0)+IF(AND(48&gt;=Personnel!$E$35,Personnel!$G$35="Yes"),Personnel!$D$35*(1-Personnel!$I$35),0)+IF(AND(48&gt;=Personnel!$E$36,Personnel!$G$36="Yes"),Personnel!$D$36*(1-Personnel!$I$36),0)+IF(AND(48&gt;=Personnel!$E$37,Personnel!$G$37="Yes"),Personnel!$D$37*(1-Personnel!$I$37),0)+IF(AND(48&gt;=Personnel!$E$38,Personnel!$G$38="Yes"),Personnel!$D$38*(1-Personnel!$I$38),0))</f>
        <v/>
      </c>
      <c r="AY66" s="8">
        <f>-(IF(AND(49&gt;=Personnel!$E$32,Personnel!$G$32="Yes"),Personnel!$D$32*(1-Personnel!$I$32),0)+IF(AND(49&gt;=Personnel!$E$33,Personnel!$G$33="Yes"),Personnel!$D$33*(1-Personnel!$I$33),0)+IF(AND(49&gt;=Personnel!$E$34,Personnel!$G$34="Yes"),Personnel!$D$34*(1-Personnel!$I$34),0)+IF(AND(49&gt;=Personnel!$E$35,Personnel!$G$35="Yes"),Personnel!$D$35*(1-Personnel!$I$35),0)+IF(AND(49&gt;=Personnel!$E$36,Personnel!$G$36="Yes"),Personnel!$D$36*(1-Personnel!$I$36),0)+IF(AND(49&gt;=Personnel!$E$37,Personnel!$G$37="Yes"),Personnel!$D$37*(1-Personnel!$I$37),0)+IF(AND(49&gt;=Personnel!$E$38,Personnel!$G$38="Yes"),Personnel!$D$38*(1-Personnel!$I$38),0))</f>
        <v/>
      </c>
      <c r="AZ66" s="8">
        <f>-(IF(AND(50&gt;=Personnel!$E$32,Personnel!$G$32="Yes"),Personnel!$D$32*(1-Personnel!$I$32),0)+IF(AND(50&gt;=Personnel!$E$33,Personnel!$G$33="Yes"),Personnel!$D$33*(1-Personnel!$I$33),0)+IF(AND(50&gt;=Personnel!$E$34,Personnel!$G$34="Yes"),Personnel!$D$34*(1-Personnel!$I$34),0)+IF(AND(50&gt;=Personnel!$E$35,Personnel!$G$35="Yes"),Personnel!$D$35*(1-Personnel!$I$35),0)+IF(AND(50&gt;=Personnel!$E$36,Personnel!$G$36="Yes"),Personnel!$D$36*(1-Personnel!$I$36),0)+IF(AND(50&gt;=Personnel!$E$37,Personnel!$G$37="Yes"),Personnel!$D$37*(1-Personnel!$I$37),0)+IF(AND(50&gt;=Personnel!$E$38,Personnel!$G$38="Yes"),Personnel!$D$38*(1-Personnel!$I$38),0))</f>
        <v/>
      </c>
      <c r="BA66" s="8">
        <f>-(IF(AND(51&gt;=Personnel!$E$32,Personnel!$G$32="Yes"),Personnel!$D$32*(1-Personnel!$I$32),0)+IF(AND(51&gt;=Personnel!$E$33,Personnel!$G$33="Yes"),Personnel!$D$33*(1-Personnel!$I$33),0)+IF(AND(51&gt;=Personnel!$E$34,Personnel!$G$34="Yes"),Personnel!$D$34*(1-Personnel!$I$34),0)+IF(AND(51&gt;=Personnel!$E$35,Personnel!$G$35="Yes"),Personnel!$D$35*(1-Personnel!$I$35),0)+IF(AND(51&gt;=Personnel!$E$36,Personnel!$G$36="Yes"),Personnel!$D$36*(1-Personnel!$I$36),0)+IF(AND(51&gt;=Personnel!$E$37,Personnel!$G$37="Yes"),Personnel!$D$37*(1-Personnel!$I$37),0)+IF(AND(51&gt;=Personnel!$E$38,Personnel!$G$38="Yes"),Personnel!$D$38*(1-Personnel!$I$38),0))</f>
        <v/>
      </c>
      <c r="BB66" s="8">
        <f>-(IF(AND(52&gt;=Personnel!$E$32,Personnel!$G$32="Yes"),Personnel!$D$32*(1-Personnel!$I$32),0)+IF(AND(52&gt;=Personnel!$E$33,Personnel!$G$33="Yes"),Personnel!$D$33*(1-Personnel!$I$33),0)+IF(AND(52&gt;=Personnel!$E$34,Personnel!$G$34="Yes"),Personnel!$D$34*(1-Personnel!$I$34),0)+IF(AND(52&gt;=Personnel!$E$35,Personnel!$G$35="Yes"),Personnel!$D$35*(1-Personnel!$I$35),0)+IF(AND(52&gt;=Personnel!$E$36,Personnel!$G$36="Yes"),Personnel!$D$36*(1-Personnel!$I$36),0)+IF(AND(52&gt;=Personnel!$E$37,Personnel!$G$37="Yes"),Personnel!$D$37*(1-Personnel!$I$37),0)+IF(AND(52&gt;=Personnel!$E$38,Personnel!$G$38="Yes"),Personnel!$D$38*(1-Personnel!$I$38),0))</f>
        <v/>
      </c>
      <c r="BC66" s="8">
        <f>-(IF(AND(53&gt;=Personnel!$E$32,Personnel!$G$32="Yes"),Personnel!$D$32*(1-Personnel!$I$32),0)+IF(AND(53&gt;=Personnel!$E$33,Personnel!$G$33="Yes"),Personnel!$D$33*(1-Personnel!$I$33),0)+IF(AND(53&gt;=Personnel!$E$34,Personnel!$G$34="Yes"),Personnel!$D$34*(1-Personnel!$I$34),0)+IF(AND(53&gt;=Personnel!$E$35,Personnel!$G$35="Yes"),Personnel!$D$35*(1-Personnel!$I$35),0)+IF(AND(53&gt;=Personnel!$E$36,Personnel!$G$36="Yes"),Personnel!$D$36*(1-Personnel!$I$36),0)+IF(AND(53&gt;=Personnel!$E$37,Personnel!$G$37="Yes"),Personnel!$D$37*(1-Personnel!$I$37),0)+IF(AND(53&gt;=Personnel!$E$38,Personnel!$G$38="Yes"),Personnel!$D$38*(1-Personnel!$I$38),0))</f>
        <v/>
      </c>
      <c r="BD66" s="8">
        <f>-(IF(AND(54&gt;=Personnel!$E$32,Personnel!$G$32="Yes"),Personnel!$D$32*(1-Personnel!$I$32),0)+IF(AND(54&gt;=Personnel!$E$33,Personnel!$G$33="Yes"),Personnel!$D$33*(1-Personnel!$I$33),0)+IF(AND(54&gt;=Personnel!$E$34,Personnel!$G$34="Yes"),Personnel!$D$34*(1-Personnel!$I$34),0)+IF(AND(54&gt;=Personnel!$E$35,Personnel!$G$35="Yes"),Personnel!$D$35*(1-Personnel!$I$35),0)+IF(AND(54&gt;=Personnel!$E$36,Personnel!$G$36="Yes"),Personnel!$D$36*(1-Personnel!$I$36),0)+IF(AND(54&gt;=Personnel!$E$37,Personnel!$G$37="Yes"),Personnel!$D$37*(1-Personnel!$I$37),0)+IF(AND(54&gt;=Personnel!$E$38,Personnel!$G$38="Yes"),Personnel!$D$38*(1-Personnel!$I$38),0))</f>
        <v/>
      </c>
      <c r="BE66" s="8">
        <f>-(IF(AND(55&gt;=Personnel!$E$32,Personnel!$G$32="Yes"),Personnel!$D$32*(1-Personnel!$I$32),0)+IF(AND(55&gt;=Personnel!$E$33,Personnel!$G$33="Yes"),Personnel!$D$33*(1-Personnel!$I$33),0)+IF(AND(55&gt;=Personnel!$E$34,Personnel!$G$34="Yes"),Personnel!$D$34*(1-Personnel!$I$34),0)+IF(AND(55&gt;=Personnel!$E$35,Personnel!$G$35="Yes"),Personnel!$D$35*(1-Personnel!$I$35),0)+IF(AND(55&gt;=Personnel!$E$36,Personnel!$G$36="Yes"),Personnel!$D$36*(1-Personnel!$I$36),0)+IF(AND(55&gt;=Personnel!$E$37,Personnel!$G$37="Yes"),Personnel!$D$37*(1-Personnel!$I$37),0)+IF(AND(55&gt;=Personnel!$E$38,Personnel!$G$38="Yes"),Personnel!$D$38*(1-Personnel!$I$38),0))</f>
        <v/>
      </c>
      <c r="BF66" s="8">
        <f>-(IF(AND(56&gt;=Personnel!$E$32,Personnel!$G$32="Yes"),Personnel!$D$32*(1-Personnel!$I$32),0)+IF(AND(56&gt;=Personnel!$E$33,Personnel!$G$33="Yes"),Personnel!$D$33*(1-Personnel!$I$33),0)+IF(AND(56&gt;=Personnel!$E$34,Personnel!$G$34="Yes"),Personnel!$D$34*(1-Personnel!$I$34),0)+IF(AND(56&gt;=Personnel!$E$35,Personnel!$G$35="Yes"),Personnel!$D$35*(1-Personnel!$I$35),0)+IF(AND(56&gt;=Personnel!$E$36,Personnel!$G$36="Yes"),Personnel!$D$36*(1-Personnel!$I$36),0)+IF(AND(56&gt;=Personnel!$E$37,Personnel!$G$37="Yes"),Personnel!$D$37*(1-Personnel!$I$37),0)+IF(AND(56&gt;=Personnel!$E$38,Personnel!$G$38="Yes"),Personnel!$D$38*(1-Personnel!$I$38),0))</f>
        <v/>
      </c>
      <c r="BG66" s="8">
        <f>-(IF(AND(57&gt;=Personnel!$E$32,Personnel!$G$32="Yes"),Personnel!$D$32*(1-Personnel!$I$32),0)+IF(AND(57&gt;=Personnel!$E$33,Personnel!$G$33="Yes"),Personnel!$D$33*(1-Personnel!$I$33),0)+IF(AND(57&gt;=Personnel!$E$34,Personnel!$G$34="Yes"),Personnel!$D$34*(1-Personnel!$I$34),0)+IF(AND(57&gt;=Personnel!$E$35,Personnel!$G$35="Yes"),Personnel!$D$35*(1-Personnel!$I$35),0)+IF(AND(57&gt;=Personnel!$E$36,Personnel!$G$36="Yes"),Personnel!$D$36*(1-Personnel!$I$36),0)+IF(AND(57&gt;=Personnel!$E$37,Personnel!$G$37="Yes"),Personnel!$D$37*(1-Personnel!$I$37),0)+IF(AND(57&gt;=Personnel!$E$38,Personnel!$G$38="Yes"),Personnel!$D$38*(1-Personnel!$I$38),0))</f>
        <v/>
      </c>
      <c r="BH66" s="8">
        <f>-(IF(AND(58&gt;=Personnel!$E$32,Personnel!$G$32="Yes"),Personnel!$D$32*(1-Personnel!$I$32),0)+IF(AND(58&gt;=Personnel!$E$33,Personnel!$G$33="Yes"),Personnel!$D$33*(1-Personnel!$I$33),0)+IF(AND(58&gt;=Personnel!$E$34,Personnel!$G$34="Yes"),Personnel!$D$34*(1-Personnel!$I$34),0)+IF(AND(58&gt;=Personnel!$E$35,Personnel!$G$35="Yes"),Personnel!$D$35*(1-Personnel!$I$35),0)+IF(AND(58&gt;=Personnel!$E$36,Personnel!$G$36="Yes"),Personnel!$D$36*(1-Personnel!$I$36),0)+IF(AND(58&gt;=Personnel!$E$37,Personnel!$G$37="Yes"),Personnel!$D$37*(1-Personnel!$I$37),0)+IF(AND(58&gt;=Personnel!$E$38,Personnel!$G$38="Yes"),Personnel!$D$38*(1-Personnel!$I$38),0))</f>
        <v/>
      </c>
      <c r="BI66" s="8">
        <f>-(IF(AND(59&gt;=Personnel!$E$32,Personnel!$G$32="Yes"),Personnel!$D$32*(1-Personnel!$I$32),0)+IF(AND(59&gt;=Personnel!$E$33,Personnel!$G$33="Yes"),Personnel!$D$33*(1-Personnel!$I$33),0)+IF(AND(59&gt;=Personnel!$E$34,Personnel!$G$34="Yes"),Personnel!$D$34*(1-Personnel!$I$34),0)+IF(AND(59&gt;=Personnel!$E$35,Personnel!$G$35="Yes"),Personnel!$D$35*(1-Personnel!$I$35),0)+IF(AND(59&gt;=Personnel!$E$36,Personnel!$G$36="Yes"),Personnel!$D$36*(1-Personnel!$I$36),0)+IF(AND(59&gt;=Personnel!$E$37,Personnel!$G$37="Yes"),Personnel!$D$37*(1-Personnel!$I$37),0)+IF(AND(59&gt;=Personnel!$E$38,Personnel!$G$38="Yes"),Personnel!$D$38*(1-Personnel!$I$38),0))</f>
        <v/>
      </c>
      <c r="BJ66" s="8">
        <f>-(IF(AND(60&gt;=Personnel!$E$32,Personnel!$G$32="Yes"),Personnel!$D$32*(1-Personnel!$I$32),0)+IF(AND(60&gt;=Personnel!$E$33,Personnel!$G$33="Yes"),Personnel!$D$33*(1-Personnel!$I$33),0)+IF(AND(60&gt;=Personnel!$E$34,Personnel!$G$34="Yes"),Personnel!$D$34*(1-Personnel!$I$34),0)+IF(AND(60&gt;=Personnel!$E$35,Personnel!$G$35="Yes"),Personnel!$D$35*(1-Personnel!$I$35),0)+IF(AND(60&gt;=Personnel!$E$36,Personnel!$G$36="Yes"),Personnel!$D$36*(1-Personnel!$I$36),0)+IF(AND(60&gt;=Personnel!$E$37,Personnel!$G$37="Yes"),Personnel!$D$37*(1-Personnel!$I$37),0)+IF(AND(60&gt;=Personnel!$E$38,Personnel!$G$38="Yes"),Personnel!$D$38*(1-Personnel!$I$38),0))</f>
        <v/>
      </c>
      <c r="BK66" s="8">
        <f>-(IF(AND(61&gt;=Personnel!$E$32,Personnel!$G$32="Yes"),Personnel!$D$32*(1-Personnel!$I$32),0)+IF(AND(61&gt;=Personnel!$E$33,Personnel!$G$33="Yes"),Personnel!$D$33*(1-Personnel!$I$33),0)+IF(AND(61&gt;=Personnel!$E$34,Personnel!$G$34="Yes"),Personnel!$D$34*(1-Personnel!$I$34),0)+IF(AND(61&gt;=Personnel!$E$35,Personnel!$G$35="Yes"),Personnel!$D$35*(1-Personnel!$I$35),0)+IF(AND(61&gt;=Personnel!$E$36,Personnel!$G$36="Yes"),Personnel!$D$36*(1-Personnel!$I$36),0)+IF(AND(61&gt;=Personnel!$E$37,Personnel!$G$37="Yes"),Personnel!$D$37*(1-Personnel!$I$37),0)+IF(AND(61&gt;=Personnel!$E$38,Personnel!$G$38="Yes"),Personnel!$D$38*(1-Personnel!$I$38),0))</f>
        <v/>
      </c>
      <c r="BL66" s="8">
        <f>-(IF(AND(62&gt;=Personnel!$E$32,Personnel!$G$32="Yes"),Personnel!$D$32*(1-Personnel!$I$32),0)+IF(AND(62&gt;=Personnel!$E$33,Personnel!$G$33="Yes"),Personnel!$D$33*(1-Personnel!$I$33),0)+IF(AND(62&gt;=Personnel!$E$34,Personnel!$G$34="Yes"),Personnel!$D$34*(1-Personnel!$I$34),0)+IF(AND(62&gt;=Personnel!$E$35,Personnel!$G$35="Yes"),Personnel!$D$35*(1-Personnel!$I$35),0)+IF(AND(62&gt;=Personnel!$E$36,Personnel!$G$36="Yes"),Personnel!$D$36*(1-Personnel!$I$36),0)+IF(AND(62&gt;=Personnel!$E$37,Personnel!$G$37="Yes"),Personnel!$D$37*(1-Personnel!$I$37),0)+IF(AND(62&gt;=Personnel!$E$38,Personnel!$G$38="Yes"),Personnel!$D$38*(1-Personnel!$I$38),0))</f>
        <v/>
      </c>
      <c r="BM66" s="8">
        <f>-(IF(AND(63&gt;=Personnel!$E$32,Personnel!$G$32="Yes"),Personnel!$D$32*(1-Personnel!$I$32),0)+IF(AND(63&gt;=Personnel!$E$33,Personnel!$G$33="Yes"),Personnel!$D$33*(1-Personnel!$I$33),0)+IF(AND(63&gt;=Personnel!$E$34,Personnel!$G$34="Yes"),Personnel!$D$34*(1-Personnel!$I$34),0)+IF(AND(63&gt;=Personnel!$E$35,Personnel!$G$35="Yes"),Personnel!$D$35*(1-Personnel!$I$35),0)+IF(AND(63&gt;=Personnel!$E$36,Personnel!$G$36="Yes"),Personnel!$D$36*(1-Personnel!$I$36),0)+IF(AND(63&gt;=Personnel!$E$37,Personnel!$G$37="Yes"),Personnel!$D$37*(1-Personnel!$I$37),0)+IF(AND(63&gt;=Personnel!$E$38,Personnel!$G$38="Yes"),Personnel!$D$38*(1-Personnel!$I$38),0))</f>
        <v/>
      </c>
      <c r="BN66" s="8">
        <f>-(IF(AND(64&gt;=Personnel!$E$32,Personnel!$G$32="Yes"),Personnel!$D$32*(1-Personnel!$I$32),0)+IF(AND(64&gt;=Personnel!$E$33,Personnel!$G$33="Yes"),Personnel!$D$33*(1-Personnel!$I$33),0)+IF(AND(64&gt;=Personnel!$E$34,Personnel!$G$34="Yes"),Personnel!$D$34*(1-Personnel!$I$34),0)+IF(AND(64&gt;=Personnel!$E$35,Personnel!$G$35="Yes"),Personnel!$D$35*(1-Personnel!$I$35),0)+IF(AND(64&gt;=Personnel!$E$36,Personnel!$G$36="Yes"),Personnel!$D$36*(1-Personnel!$I$36),0)+IF(AND(64&gt;=Personnel!$E$37,Personnel!$G$37="Yes"),Personnel!$D$37*(1-Personnel!$I$37),0)+IF(AND(64&gt;=Personnel!$E$38,Personnel!$G$38="Yes"),Personnel!$D$38*(1-Personnel!$I$38),0))</f>
        <v/>
      </c>
      <c r="BO66" s="8">
        <f>-(IF(AND(65&gt;=Personnel!$E$32,Personnel!$G$32="Yes"),Personnel!$D$32*(1-Personnel!$I$32),0)+IF(AND(65&gt;=Personnel!$E$33,Personnel!$G$33="Yes"),Personnel!$D$33*(1-Personnel!$I$33),0)+IF(AND(65&gt;=Personnel!$E$34,Personnel!$G$34="Yes"),Personnel!$D$34*(1-Personnel!$I$34),0)+IF(AND(65&gt;=Personnel!$E$35,Personnel!$G$35="Yes"),Personnel!$D$35*(1-Personnel!$I$35),0)+IF(AND(65&gt;=Personnel!$E$36,Personnel!$G$36="Yes"),Personnel!$D$36*(1-Personnel!$I$36),0)+IF(AND(65&gt;=Personnel!$E$37,Personnel!$G$37="Yes"),Personnel!$D$37*(1-Personnel!$I$37),0)+IF(AND(65&gt;=Personnel!$E$38,Personnel!$G$38="Yes"),Personnel!$D$38*(1-Personnel!$I$38),0))</f>
        <v/>
      </c>
      <c r="BP66" s="8">
        <f>-(IF(AND(66&gt;=Personnel!$E$32,Personnel!$G$32="Yes"),Personnel!$D$32*(1-Personnel!$I$32),0)+IF(AND(66&gt;=Personnel!$E$33,Personnel!$G$33="Yes"),Personnel!$D$33*(1-Personnel!$I$33),0)+IF(AND(66&gt;=Personnel!$E$34,Personnel!$G$34="Yes"),Personnel!$D$34*(1-Personnel!$I$34),0)+IF(AND(66&gt;=Personnel!$E$35,Personnel!$G$35="Yes"),Personnel!$D$35*(1-Personnel!$I$35),0)+IF(AND(66&gt;=Personnel!$E$36,Personnel!$G$36="Yes"),Personnel!$D$36*(1-Personnel!$I$36),0)+IF(AND(66&gt;=Personnel!$E$37,Personnel!$G$37="Yes"),Personnel!$D$37*(1-Personnel!$I$37),0)+IF(AND(66&gt;=Personnel!$E$38,Personnel!$G$38="Yes"),Personnel!$D$38*(1-Personnel!$I$38),0))</f>
        <v/>
      </c>
      <c r="BQ66" s="8">
        <f>-(IF(AND(67&gt;=Personnel!$E$32,Personnel!$G$32="Yes"),Personnel!$D$32*(1-Personnel!$I$32),0)+IF(AND(67&gt;=Personnel!$E$33,Personnel!$G$33="Yes"),Personnel!$D$33*(1-Personnel!$I$33),0)+IF(AND(67&gt;=Personnel!$E$34,Personnel!$G$34="Yes"),Personnel!$D$34*(1-Personnel!$I$34),0)+IF(AND(67&gt;=Personnel!$E$35,Personnel!$G$35="Yes"),Personnel!$D$35*(1-Personnel!$I$35),0)+IF(AND(67&gt;=Personnel!$E$36,Personnel!$G$36="Yes"),Personnel!$D$36*(1-Personnel!$I$36),0)+IF(AND(67&gt;=Personnel!$E$37,Personnel!$G$37="Yes"),Personnel!$D$37*(1-Personnel!$I$37),0)+IF(AND(67&gt;=Personnel!$E$38,Personnel!$G$38="Yes"),Personnel!$D$38*(1-Personnel!$I$38),0))</f>
        <v/>
      </c>
      <c r="BR66" s="8">
        <f>-(IF(AND(68&gt;=Personnel!$E$32,Personnel!$G$32="Yes"),Personnel!$D$32*(1-Personnel!$I$32),0)+IF(AND(68&gt;=Personnel!$E$33,Personnel!$G$33="Yes"),Personnel!$D$33*(1-Personnel!$I$33),0)+IF(AND(68&gt;=Personnel!$E$34,Personnel!$G$34="Yes"),Personnel!$D$34*(1-Personnel!$I$34),0)+IF(AND(68&gt;=Personnel!$E$35,Personnel!$G$35="Yes"),Personnel!$D$35*(1-Personnel!$I$35),0)+IF(AND(68&gt;=Personnel!$E$36,Personnel!$G$36="Yes"),Personnel!$D$36*(1-Personnel!$I$36),0)+IF(AND(68&gt;=Personnel!$E$37,Personnel!$G$37="Yes"),Personnel!$D$37*(1-Personnel!$I$37),0)+IF(AND(68&gt;=Personnel!$E$38,Personnel!$G$38="Yes"),Personnel!$D$38*(1-Personnel!$I$38),0))</f>
        <v/>
      </c>
      <c r="BS66" s="8">
        <f>-(IF(AND(69&gt;=Personnel!$E$32,Personnel!$G$32="Yes"),Personnel!$D$32*(1-Personnel!$I$32),0)+IF(AND(69&gt;=Personnel!$E$33,Personnel!$G$33="Yes"),Personnel!$D$33*(1-Personnel!$I$33),0)+IF(AND(69&gt;=Personnel!$E$34,Personnel!$G$34="Yes"),Personnel!$D$34*(1-Personnel!$I$34),0)+IF(AND(69&gt;=Personnel!$E$35,Personnel!$G$35="Yes"),Personnel!$D$35*(1-Personnel!$I$35),0)+IF(AND(69&gt;=Personnel!$E$36,Personnel!$G$36="Yes"),Personnel!$D$36*(1-Personnel!$I$36),0)+IF(AND(69&gt;=Personnel!$E$37,Personnel!$G$37="Yes"),Personnel!$D$37*(1-Personnel!$I$37),0)+IF(AND(69&gt;=Personnel!$E$38,Personnel!$G$38="Yes"),Personnel!$D$38*(1-Personnel!$I$38),0))</f>
        <v/>
      </c>
      <c r="BT66" s="8">
        <f>-(IF(AND(70&gt;=Personnel!$E$32,Personnel!$G$32="Yes"),Personnel!$D$32*(1-Personnel!$I$32),0)+IF(AND(70&gt;=Personnel!$E$33,Personnel!$G$33="Yes"),Personnel!$D$33*(1-Personnel!$I$33),0)+IF(AND(70&gt;=Personnel!$E$34,Personnel!$G$34="Yes"),Personnel!$D$34*(1-Personnel!$I$34),0)+IF(AND(70&gt;=Personnel!$E$35,Personnel!$G$35="Yes"),Personnel!$D$35*(1-Personnel!$I$35),0)+IF(AND(70&gt;=Personnel!$E$36,Personnel!$G$36="Yes"),Personnel!$D$36*(1-Personnel!$I$36),0)+IF(AND(70&gt;=Personnel!$E$37,Personnel!$G$37="Yes"),Personnel!$D$37*(1-Personnel!$I$37),0)+IF(AND(70&gt;=Personnel!$E$38,Personnel!$G$38="Yes"),Personnel!$D$38*(1-Personnel!$I$38),0))</f>
        <v/>
      </c>
      <c r="BU66" s="8">
        <f>-(IF(AND(71&gt;=Personnel!$E$32,Personnel!$G$32="Yes"),Personnel!$D$32*(1-Personnel!$I$32),0)+IF(AND(71&gt;=Personnel!$E$33,Personnel!$G$33="Yes"),Personnel!$D$33*(1-Personnel!$I$33),0)+IF(AND(71&gt;=Personnel!$E$34,Personnel!$G$34="Yes"),Personnel!$D$34*(1-Personnel!$I$34),0)+IF(AND(71&gt;=Personnel!$E$35,Personnel!$G$35="Yes"),Personnel!$D$35*(1-Personnel!$I$35),0)+IF(AND(71&gt;=Personnel!$E$36,Personnel!$G$36="Yes"),Personnel!$D$36*(1-Personnel!$I$36),0)+IF(AND(71&gt;=Personnel!$E$37,Personnel!$G$37="Yes"),Personnel!$D$37*(1-Personnel!$I$37),0)+IF(AND(71&gt;=Personnel!$E$38,Personnel!$G$38="Yes"),Personnel!$D$38*(1-Personnel!$I$38),0))</f>
        <v/>
      </c>
      <c r="BV66" s="8">
        <f>-(IF(AND(72&gt;=Personnel!$E$32,Personnel!$G$32="Yes"),Personnel!$D$32*(1-Personnel!$I$32),0)+IF(AND(72&gt;=Personnel!$E$33,Personnel!$G$33="Yes"),Personnel!$D$33*(1-Personnel!$I$33),0)+IF(AND(72&gt;=Personnel!$E$34,Personnel!$G$34="Yes"),Personnel!$D$34*(1-Personnel!$I$34),0)+IF(AND(72&gt;=Personnel!$E$35,Personnel!$G$35="Yes"),Personnel!$D$35*(1-Personnel!$I$35),0)+IF(AND(72&gt;=Personnel!$E$36,Personnel!$G$36="Yes"),Personnel!$D$36*(1-Personnel!$I$36),0)+IF(AND(72&gt;=Personnel!$E$37,Personnel!$G$37="Yes"),Personnel!$D$37*(1-Personnel!$I$37),0)+IF(AND(72&gt;=Personnel!$E$38,Personnel!$G$38="Yes"),Personnel!$D$38*(1-Personnel!$I$38),0))</f>
        <v/>
      </c>
      <c r="BW66" s="8">
        <f>-(IF(AND(73&gt;=Personnel!$E$32,Personnel!$G$32="Yes"),Personnel!$D$32*(1-Personnel!$I$32),0)+IF(AND(73&gt;=Personnel!$E$33,Personnel!$G$33="Yes"),Personnel!$D$33*(1-Personnel!$I$33),0)+IF(AND(73&gt;=Personnel!$E$34,Personnel!$G$34="Yes"),Personnel!$D$34*(1-Personnel!$I$34),0)+IF(AND(73&gt;=Personnel!$E$35,Personnel!$G$35="Yes"),Personnel!$D$35*(1-Personnel!$I$35),0)+IF(AND(73&gt;=Personnel!$E$36,Personnel!$G$36="Yes"),Personnel!$D$36*(1-Personnel!$I$36),0)+IF(AND(73&gt;=Personnel!$E$37,Personnel!$G$37="Yes"),Personnel!$D$37*(1-Personnel!$I$37),0)+IF(AND(73&gt;=Personnel!$E$38,Personnel!$G$38="Yes"),Personnel!$D$38*(1-Personnel!$I$38),0))</f>
        <v/>
      </c>
      <c r="BX66" s="8">
        <f>-(IF(AND(74&gt;=Personnel!$E$32,Personnel!$G$32="Yes"),Personnel!$D$32*(1-Personnel!$I$32),0)+IF(AND(74&gt;=Personnel!$E$33,Personnel!$G$33="Yes"),Personnel!$D$33*(1-Personnel!$I$33),0)+IF(AND(74&gt;=Personnel!$E$34,Personnel!$G$34="Yes"),Personnel!$D$34*(1-Personnel!$I$34),0)+IF(AND(74&gt;=Personnel!$E$35,Personnel!$G$35="Yes"),Personnel!$D$35*(1-Personnel!$I$35),0)+IF(AND(74&gt;=Personnel!$E$36,Personnel!$G$36="Yes"),Personnel!$D$36*(1-Personnel!$I$36),0)+IF(AND(74&gt;=Personnel!$E$37,Personnel!$G$37="Yes"),Personnel!$D$37*(1-Personnel!$I$37),0)+IF(AND(74&gt;=Personnel!$E$38,Personnel!$G$38="Yes"),Personnel!$D$38*(1-Personnel!$I$38),0))</f>
        <v/>
      </c>
      <c r="BY66" s="8">
        <f>-(IF(AND(75&gt;=Personnel!$E$32,Personnel!$G$32="Yes"),Personnel!$D$32*(1-Personnel!$I$32),0)+IF(AND(75&gt;=Personnel!$E$33,Personnel!$G$33="Yes"),Personnel!$D$33*(1-Personnel!$I$33),0)+IF(AND(75&gt;=Personnel!$E$34,Personnel!$G$34="Yes"),Personnel!$D$34*(1-Personnel!$I$34),0)+IF(AND(75&gt;=Personnel!$E$35,Personnel!$G$35="Yes"),Personnel!$D$35*(1-Personnel!$I$35),0)+IF(AND(75&gt;=Personnel!$E$36,Personnel!$G$36="Yes"),Personnel!$D$36*(1-Personnel!$I$36),0)+IF(AND(75&gt;=Personnel!$E$37,Personnel!$G$37="Yes"),Personnel!$D$37*(1-Personnel!$I$37),0)+IF(AND(75&gt;=Personnel!$E$38,Personnel!$G$38="Yes"),Personnel!$D$38*(1-Personnel!$I$38),0))</f>
        <v/>
      </c>
      <c r="BZ66" s="8">
        <f>-(IF(AND(76&gt;=Personnel!$E$32,Personnel!$G$32="Yes"),Personnel!$D$32*(1-Personnel!$I$32),0)+IF(AND(76&gt;=Personnel!$E$33,Personnel!$G$33="Yes"),Personnel!$D$33*(1-Personnel!$I$33),0)+IF(AND(76&gt;=Personnel!$E$34,Personnel!$G$34="Yes"),Personnel!$D$34*(1-Personnel!$I$34),0)+IF(AND(76&gt;=Personnel!$E$35,Personnel!$G$35="Yes"),Personnel!$D$35*(1-Personnel!$I$35),0)+IF(AND(76&gt;=Personnel!$E$36,Personnel!$G$36="Yes"),Personnel!$D$36*(1-Personnel!$I$36),0)+IF(AND(76&gt;=Personnel!$E$37,Personnel!$G$37="Yes"),Personnel!$D$37*(1-Personnel!$I$37),0)+IF(AND(76&gt;=Personnel!$E$38,Personnel!$G$38="Yes"),Personnel!$D$38*(1-Personnel!$I$38),0))</f>
        <v/>
      </c>
      <c r="CA66" s="8">
        <f>-(IF(AND(77&gt;=Personnel!$E$32,Personnel!$G$32="Yes"),Personnel!$D$32*(1-Personnel!$I$32),0)+IF(AND(77&gt;=Personnel!$E$33,Personnel!$G$33="Yes"),Personnel!$D$33*(1-Personnel!$I$33),0)+IF(AND(77&gt;=Personnel!$E$34,Personnel!$G$34="Yes"),Personnel!$D$34*(1-Personnel!$I$34),0)+IF(AND(77&gt;=Personnel!$E$35,Personnel!$G$35="Yes"),Personnel!$D$35*(1-Personnel!$I$35),0)+IF(AND(77&gt;=Personnel!$E$36,Personnel!$G$36="Yes"),Personnel!$D$36*(1-Personnel!$I$36),0)+IF(AND(77&gt;=Personnel!$E$37,Personnel!$G$37="Yes"),Personnel!$D$37*(1-Personnel!$I$37),0)+IF(AND(77&gt;=Personnel!$E$38,Personnel!$G$38="Yes"),Personnel!$D$38*(1-Personnel!$I$38),0))</f>
        <v/>
      </c>
      <c r="CB66" s="8">
        <f>-(IF(AND(78&gt;=Personnel!$E$32,Personnel!$G$32="Yes"),Personnel!$D$32*(1-Personnel!$I$32),0)+IF(AND(78&gt;=Personnel!$E$33,Personnel!$G$33="Yes"),Personnel!$D$33*(1-Personnel!$I$33),0)+IF(AND(78&gt;=Personnel!$E$34,Personnel!$G$34="Yes"),Personnel!$D$34*(1-Personnel!$I$34),0)+IF(AND(78&gt;=Personnel!$E$35,Personnel!$G$35="Yes"),Personnel!$D$35*(1-Personnel!$I$35),0)+IF(AND(78&gt;=Personnel!$E$36,Personnel!$G$36="Yes"),Personnel!$D$36*(1-Personnel!$I$36),0)+IF(AND(78&gt;=Personnel!$E$37,Personnel!$G$37="Yes"),Personnel!$D$37*(1-Personnel!$I$37),0)+IF(AND(78&gt;=Personnel!$E$38,Personnel!$G$38="Yes"),Personnel!$D$38*(1-Personnel!$I$38),0))</f>
        <v/>
      </c>
      <c r="CC66" s="8">
        <f>-(IF(AND(79&gt;=Personnel!$E$32,Personnel!$G$32="Yes"),Personnel!$D$32*(1-Personnel!$I$32),0)+IF(AND(79&gt;=Personnel!$E$33,Personnel!$G$33="Yes"),Personnel!$D$33*(1-Personnel!$I$33),0)+IF(AND(79&gt;=Personnel!$E$34,Personnel!$G$34="Yes"),Personnel!$D$34*(1-Personnel!$I$34),0)+IF(AND(79&gt;=Personnel!$E$35,Personnel!$G$35="Yes"),Personnel!$D$35*(1-Personnel!$I$35),0)+IF(AND(79&gt;=Personnel!$E$36,Personnel!$G$36="Yes"),Personnel!$D$36*(1-Personnel!$I$36),0)+IF(AND(79&gt;=Personnel!$E$37,Personnel!$G$37="Yes"),Personnel!$D$37*(1-Personnel!$I$37),0)+IF(AND(79&gt;=Personnel!$E$38,Personnel!$G$38="Yes"),Personnel!$D$38*(1-Personnel!$I$38),0))</f>
        <v/>
      </c>
      <c r="CD66" s="8">
        <f>-(IF(AND(80&gt;=Personnel!$E$32,Personnel!$G$32="Yes"),Personnel!$D$32*(1-Personnel!$I$32),0)+IF(AND(80&gt;=Personnel!$E$33,Personnel!$G$33="Yes"),Personnel!$D$33*(1-Personnel!$I$33),0)+IF(AND(80&gt;=Personnel!$E$34,Personnel!$G$34="Yes"),Personnel!$D$34*(1-Personnel!$I$34),0)+IF(AND(80&gt;=Personnel!$E$35,Personnel!$G$35="Yes"),Personnel!$D$35*(1-Personnel!$I$35),0)+IF(AND(80&gt;=Personnel!$E$36,Personnel!$G$36="Yes"),Personnel!$D$36*(1-Personnel!$I$36),0)+IF(AND(80&gt;=Personnel!$E$37,Personnel!$G$37="Yes"),Personnel!$D$37*(1-Personnel!$I$37),0)+IF(AND(80&gt;=Personnel!$E$38,Personnel!$G$38="Yes"),Personnel!$D$38*(1-Personnel!$I$38),0))</f>
        <v/>
      </c>
      <c r="CE66" s="8">
        <f>-(IF(AND(81&gt;=Personnel!$E$32,Personnel!$G$32="Yes"),Personnel!$D$32*(1-Personnel!$I$32),0)+IF(AND(81&gt;=Personnel!$E$33,Personnel!$G$33="Yes"),Personnel!$D$33*(1-Personnel!$I$33),0)+IF(AND(81&gt;=Personnel!$E$34,Personnel!$G$34="Yes"),Personnel!$D$34*(1-Personnel!$I$34),0)+IF(AND(81&gt;=Personnel!$E$35,Personnel!$G$35="Yes"),Personnel!$D$35*(1-Personnel!$I$35),0)+IF(AND(81&gt;=Personnel!$E$36,Personnel!$G$36="Yes"),Personnel!$D$36*(1-Personnel!$I$36),0)+IF(AND(81&gt;=Personnel!$E$37,Personnel!$G$37="Yes"),Personnel!$D$37*(1-Personnel!$I$37),0)+IF(AND(81&gt;=Personnel!$E$38,Personnel!$G$38="Yes"),Personnel!$D$38*(1-Personnel!$I$38),0))</f>
        <v/>
      </c>
      <c r="CF66" s="8">
        <f>-(IF(AND(82&gt;=Personnel!$E$32,Personnel!$G$32="Yes"),Personnel!$D$32*(1-Personnel!$I$32),0)+IF(AND(82&gt;=Personnel!$E$33,Personnel!$G$33="Yes"),Personnel!$D$33*(1-Personnel!$I$33),0)+IF(AND(82&gt;=Personnel!$E$34,Personnel!$G$34="Yes"),Personnel!$D$34*(1-Personnel!$I$34),0)+IF(AND(82&gt;=Personnel!$E$35,Personnel!$G$35="Yes"),Personnel!$D$35*(1-Personnel!$I$35),0)+IF(AND(82&gt;=Personnel!$E$36,Personnel!$G$36="Yes"),Personnel!$D$36*(1-Personnel!$I$36),0)+IF(AND(82&gt;=Personnel!$E$37,Personnel!$G$37="Yes"),Personnel!$D$37*(1-Personnel!$I$37),0)+IF(AND(82&gt;=Personnel!$E$38,Personnel!$G$38="Yes"),Personnel!$D$38*(1-Personnel!$I$38),0))</f>
        <v/>
      </c>
      <c r="CG66" s="8">
        <f>-(IF(AND(83&gt;=Personnel!$E$32,Personnel!$G$32="Yes"),Personnel!$D$32*(1-Personnel!$I$32),0)+IF(AND(83&gt;=Personnel!$E$33,Personnel!$G$33="Yes"),Personnel!$D$33*(1-Personnel!$I$33),0)+IF(AND(83&gt;=Personnel!$E$34,Personnel!$G$34="Yes"),Personnel!$D$34*(1-Personnel!$I$34),0)+IF(AND(83&gt;=Personnel!$E$35,Personnel!$G$35="Yes"),Personnel!$D$35*(1-Personnel!$I$35),0)+IF(AND(83&gt;=Personnel!$E$36,Personnel!$G$36="Yes"),Personnel!$D$36*(1-Personnel!$I$36),0)+IF(AND(83&gt;=Personnel!$E$37,Personnel!$G$37="Yes"),Personnel!$D$37*(1-Personnel!$I$37),0)+IF(AND(83&gt;=Personnel!$E$38,Personnel!$G$38="Yes"),Personnel!$D$38*(1-Personnel!$I$38),0))</f>
        <v/>
      </c>
      <c r="CH66" s="8">
        <f>-(IF(AND(84&gt;=Personnel!$E$32,Personnel!$G$32="Yes"),Personnel!$D$32*(1-Personnel!$I$32),0)+IF(AND(84&gt;=Personnel!$E$33,Personnel!$G$33="Yes"),Personnel!$D$33*(1-Personnel!$I$33),0)+IF(AND(84&gt;=Personnel!$E$34,Personnel!$G$34="Yes"),Personnel!$D$34*(1-Personnel!$I$34),0)+IF(AND(84&gt;=Personnel!$E$35,Personnel!$G$35="Yes"),Personnel!$D$35*(1-Personnel!$I$35),0)+IF(AND(84&gt;=Personnel!$E$36,Personnel!$G$36="Yes"),Personnel!$D$36*(1-Personnel!$I$36),0)+IF(AND(84&gt;=Personnel!$E$37,Personnel!$G$37="Yes"),Personnel!$D$37*(1-Personnel!$I$37),0)+IF(AND(84&gt;=Personnel!$E$38,Personnel!$G$38="Yes"),Personnel!$D$38*(1-Personnel!$I$38),0))</f>
        <v/>
      </c>
      <c r="CI66" s="23" t="n"/>
    </row>
    <row r="67" ht="15" customHeight="1" s="201">
      <c r="A67" s="7" t="inlineStr">
        <is>
          <t>SP Payroll Tax</t>
        </is>
      </c>
      <c r="B67" s="22" t="n"/>
      <c r="C67" s="8">
        <f>-Helpers!C5*Assumptions!$B$20</f>
        <v/>
      </c>
      <c r="D67" s="8">
        <f>-Helpers!D5*Assumptions!$B$20</f>
        <v/>
      </c>
      <c r="E67" s="8">
        <f>-Helpers!E5*Assumptions!$B$20</f>
        <v/>
      </c>
      <c r="F67" s="8">
        <f>-Helpers!F5*Assumptions!$B$20</f>
        <v/>
      </c>
      <c r="G67" s="8">
        <f>-Helpers!G5*Assumptions!$B$20</f>
        <v/>
      </c>
      <c r="H67" s="8">
        <f>-Helpers!H5*Assumptions!$B$20</f>
        <v/>
      </c>
      <c r="I67" s="8">
        <f>-Helpers!I5*Assumptions!$B$20</f>
        <v/>
      </c>
      <c r="J67" s="8">
        <f>-Helpers!J5*Assumptions!$B$20</f>
        <v/>
      </c>
      <c r="K67" s="8">
        <f>-Helpers!K5*Assumptions!$B$20</f>
        <v/>
      </c>
      <c r="L67" s="8">
        <f>-Helpers!L5*Assumptions!$B$20</f>
        <v/>
      </c>
      <c r="M67" s="8">
        <f>-Helpers!M5*Assumptions!$B$20</f>
        <v/>
      </c>
      <c r="N67" s="8">
        <f>-Helpers!N5*Assumptions!$B$20</f>
        <v/>
      </c>
      <c r="O67" s="8">
        <f>-Helpers!O5*Assumptions!$B$20</f>
        <v/>
      </c>
      <c r="P67" s="8">
        <f>-Helpers!P5*Assumptions!$B$20</f>
        <v/>
      </c>
      <c r="Q67" s="8">
        <f>-Helpers!Q5*Assumptions!$B$20</f>
        <v/>
      </c>
      <c r="R67" s="8">
        <f>-Helpers!R5*Assumptions!$B$20</f>
        <v/>
      </c>
      <c r="S67" s="8">
        <f>-Helpers!S5*Assumptions!$B$20</f>
        <v/>
      </c>
      <c r="T67" s="8">
        <f>-Helpers!T5*Assumptions!$B$20</f>
        <v/>
      </c>
      <c r="U67" s="8">
        <f>-Helpers!U5*Assumptions!$B$20</f>
        <v/>
      </c>
      <c r="V67" s="8">
        <f>-Helpers!V5*Assumptions!$B$20</f>
        <v/>
      </c>
      <c r="W67" s="8">
        <f>-Helpers!W5*Assumptions!$B$20</f>
        <v/>
      </c>
      <c r="X67" s="8">
        <f>-Helpers!X5*Assumptions!$B$20</f>
        <v/>
      </c>
      <c r="Y67" s="8">
        <f>-Helpers!Y5*Assumptions!$B$20</f>
        <v/>
      </c>
      <c r="Z67" s="8">
        <f>-Helpers!Z5*Assumptions!$B$20</f>
        <v/>
      </c>
      <c r="AA67" s="8">
        <f>-Helpers!AA5*Assumptions!$B$20</f>
        <v/>
      </c>
      <c r="AB67" s="8">
        <f>-Helpers!AB5*Assumptions!$B$20</f>
        <v/>
      </c>
      <c r="AC67" s="8">
        <f>-Helpers!AC5*Assumptions!$B$20</f>
        <v/>
      </c>
      <c r="AD67" s="8">
        <f>-Helpers!AD5*Assumptions!$B$20</f>
        <v/>
      </c>
      <c r="AE67" s="8">
        <f>-Helpers!AE5*Assumptions!$B$20</f>
        <v/>
      </c>
      <c r="AF67" s="8">
        <f>-Helpers!AF5*Assumptions!$B$20</f>
        <v/>
      </c>
      <c r="AG67" s="8">
        <f>-Helpers!AG5*Assumptions!$B$20</f>
        <v/>
      </c>
      <c r="AH67" s="8">
        <f>-Helpers!AH5*Assumptions!$B$20</f>
        <v/>
      </c>
      <c r="AI67" s="8">
        <f>-Helpers!AI5*Assumptions!$B$20</f>
        <v/>
      </c>
      <c r="AJ67" s="8">
        <f>-Helpers!AJ5*Assumptions!$B$20</f>
        <v/>
      </c>
      <c r="AK67" s="8">
        <f>-Helpers!AK5*Assumptions!$B$20</f>
        <v/>
      </c>
      <c r="AL67" s="8">
        <f>-Helpers!AL5*Assumptions!$B$20</f>
        <v/>
      </c>
      <c r="AM67" s="8">
        <f>-Helpers!AM5*Assumptions!$B$20</f>
        <v/>
      </c>
      <c r="AN67" s="8">
        <f>-Helpers!AN5*Assumptions!$B$20</f>
        <v/>
      </c>
      <c r="AO67" s="8">
        <f>-Helpers!AO5*Assumptions!$B$20</f>
        <v/>
      </c>
      <c r="AP67" s="8">
        <f>-Helpers!AP5*Assumptions!$B$20</f>
        <v/>
      </c>
      <c r="AQ67" s="8">
        <f>-Helpers!AQ5*Assumptions!$B$20</f>
        <v/>
      </c>
      <c r="AR67" s="8">
        <f>-Helpers!AR5*Assumptions!$B$20</f>
        <v/>
      </c>
      <c r="AS67" s="8">
        <f>-Helpers!AS5*Assumptions!$B$20</f>
        <v/>
      </c>
      <c r="AT67" s="8">
        <f>-Helpers!AT5*Assumptions!$B$20</f>
        <v/>
      </c>
      <c r="AU67" s="8">
        <f>-Helpers!AU5*Assumptions!$B$20</f>
        <v/>
      </c>
      <c r="AV67" s="8">
        <f>-Helpers!AV5*Assumptions!$B$20</f>
        <v/>
      </c>
      <c r="AW67" s="8">
        <f>-Helpers!AW5*Assumptions!$B$20</f>
        <v/>
      </c>
      <c r="AX67" s="8">
        <f>-Helpers!AX5*Assumptions!$B$20</f>
        <v/>
      </c>
      <c r="AY67" s="8">
        <f>-Helpers!AY5*Assumptions!$B$20</f>
        <v/>
      </c>
      <c r="AZ67" s="8">
        <f>-Helpers!AZ5*Assumptions!$B$20</f>
        <v/>
      </c>
      <c r="BA67" s="8">
        <f>-Helpers!BA5*Assumptions!$B$20</f>
        <v/>
      </c>
      <c r="BB67" s="8">
        <f>-Helpers!BB5*Assumptions!$B$20</f>
        <v/>
      </c>
      <c r="BC67" s="8">
        <f>-Helpers!BC5*Assumptions!$B$20</f>
        <v/>
      </c>
      <c r="BD67" s="8">
        <f>-Helpers!BD5*Assumptions!$B$20</f>
        <v/>
      </c>
      <c r="BE67" s="8">
        <f>-Helpers!BE5*Assumptions!$B$20</f>
        <v/>
      </c>
      <c r="BF67" s="8">
        <f>-Helpers!BF5*Assumptions!$B$20</f>
        <v/>
      </c>
      <c r="BG67" s="8">
        <f>-Helpers!BG5*Assumptions!$B$20</f>
        <v/>
      </c>
      <c r="BH67" s="8">
        <f>-Helpers!BH5*Assumptions!$B$20</f>
        <v/>
      </c>
      <c r="BI67" s="8">
        <f>-Helpers!BI5*Assumptions!$B$20</f>
        <v/>
      </c>
      <c r="BJ67" s="8">
        <f>-Helpers!BJ5*Assumptions!$B$20</f>
        <v/>
      </c>
      <c r="BK67" s="8">
        <f>-Helpers!BK5*Assumptions!$B$20</f>
        <v/>
      </c>
      <c r="BL67" s="8">
        <f>-Helpers!BL5*Assumptions!$B$20</f>
        <v/>
      </c>
      <c r="BM67" s="8">
        <f>-Helpers!BM5*Assumptions!$B$20</f>
        <v/>
      </c>
      <c r="BN67" s="8">
        <f>-Helpers!BN5*Assumptions!$B$20</f>
        <v/>
      </c>
      <c r="BO67" s="8">
        <f>-Helpers!BO5*Assumptions!$B$20</f>
        <v/>
      </c>
      <c r="BP67" s="8">
        <f>-Helpers!BP5*Assumptions!$B$20</f>
        <v/>
      </c>
      <c r="BQ67" s="8">
        <f>-Helpers!BQ5*Assumptions!$B$20</f>
        <v/>
      </c>
      <c r="BR67" s="8">
        <f>-Helpers!BR5*Assumptions!$B$20</f>
        <v/>
      </c>
      <c r="BS67" s="8">
        <f>-Helpers!BS5*Assumptions!$B$20</f>
        <v/>
      </c>
      <c r="BT67" s="8">
        <f>-Helpers!BT5*Assumptions!$B$20</f>
        <v/>
      </c>
      <c r="BU67" s="8">
        <f>-Helpers!BU5*Assumptions!$B$20</f>
        <v/>
      </c>
      <c r="BV67" s="8">
        <f>-Helpers!BV5*Assumptions!$B$20</f>
        <v/>
      </c>
      <c r="BW67" s="8">
        <f>-Helpers!BW5*Assumptions!$B$20</f>
        <v/>
      </c>
      <c r="BX67" s="8">
        <f>-Helpers!BX5*Assumptions!$B$20</f>
        <v/>
      </c>
      <c r="BY67" s="8">
        <f>-Helpers!BY5*Assumptions!$B$20</f>
        <v/>
      </c>
      <c r="BZ67" s="8">
        <f>-Helpers!BZ5*Assumptions!$B$20</f>
        <v/>
      </c>
      <c r="CA67" s="8">
        <f>-Helpers!CA5*Assumptions!$B$20</f>
        <v/>
      </c>
      <c r="CB67" s="8">
        <f>-Helpers!CB5*Assumptions!$B$20</f>
        <v/>
      </c>
      <c r="CC67" s="8">
        <f>-Helpers!CC5*Assumptions!$B$20</f>
        <v/>
      </c>
      <c r="CD67" s="8">
        <f>-Helpers!CD5*Assumptions!$B$20</f>
        <v/>
      </c>
      <c r="CE67" s="8">
        <f>-Helpers!CE5*Assumptions!$B$20</f>
        <v/>
      </c>
      <c r="CF67" s="8">
        <f>-Helpers!CF5*Assumptions!$B$20</f>
        <v/>
      </c>
      <c r="CG67" s="8">
        <f>-Helpers!CG5*Assumptions!$B$20</f>
        <v/>
      </c>
      <c r="CH67" s="8">
        <f>-Helpers!CH5*Assumptions!$B$20</f>
        <v/>
      </c>
      <c r="CI67" s="23" t="n"/>
    </row>
    <row r="68" ht="15" customHeight="1" s="201">
      <c r="A68" s="7" t="inlineStr">
        <is>
          <t>SP Payroll Servicing</t>
        </is>
      </c>
      <c r="B68" s="22" t="n"/>
      <c r="C68" s="8">
        <f>-Helpers!C5*Assumptions!$B$21</f>
        <v/>
      </c>
      <c r="D68" s="8">
        <f>-Helpers!D5*Assumptions!$B$21</f>
        <v/>
      </c>
      <c r="E68" s="8">
        <f>-Helpers!E5*Assumptions!$B$21</f>
        <v/>
      </c>
      <c r="F68" s="8">
        <f>-Helpers!F5*Assumptions!$B$21</f>
        <v/>
      </c>
      <c r="G68" s="8">
        <f>-Helpers!G5*Assumptions!$B$21</f>
        <v/>
      </c>
      <c r="H68" s="8">
        <f>-Helpers!H5*Assumptions!$B$21</f>
        <v/>
      </c>
      <c r="I68" s="8">
        <f>-Helpers!I5*Assumptions!$B$21</f>
        <v/>
      </c>
      <c r="J68" s="8">
        <f>-Helpers!J5*Assumptions!$B$21</f>
        <v/>
      </c>
      <c r="K68" s="8">
        <f>-Helpers!K5*Assumptions!$B$21</f>
        <v/>
      </c>
      <c r="L68" s="8">
        <f>-Helpers!L5*Assumptions!$B$21</f>
        <v/>
      </c>
      <c r="M68" s="8">
        <f>-Helpers!M5*Assumptions!$B$21</f>
        <v/>
      </c>
      <c r="N68" s="8">
        <f>-Helpers!N5*Assumptions!$B$21</f>
        <v/>
      </c>
      <c r="O68" s="8">
        <f>-Helpers!O5*Assumptions!$B$21</f>
        <v/>
      </c>
      <c r="P68" s="8">
        <f>-Helpers!P5*Assumptions!$B$21</f>
        <v/>
      </c>
      <c r="Q68" s="8">
        <f>-Helpers!Q5*Assumptions!$B$21</f>
        <v/>
      </c>
      <c r="R68" s="8">
        <f>-Helpers!R5*Assumptions!$B$21</f>
        <v/>
      </c>
      <c r="S68" s="8">
        <f>-Helpers!S5*Assumptions!$B$21</f>
        <v/>
      </c>
      <c r="T68" s="8">
        <f>-Helpers!T5*Assumptions!$B$21</f>
        <v/>
      </c>
      <c r="U68" s="8">
        <f>-Helpers!U5*Assumptions!$B$21</f>
        <v/>
      </c>
      <c r="V68" s="8">
        <f>-Helpers!V5*Assumptions!$B$21</f>
        <v/>
      </c>
      <c r="W68" s="8">
        <f>-Helpers!W5*Assumptions!$B$21</f>
        <v/>
      </c>
      <c r="X68" s="8">
        <f>-Helpers!X5*Assumptions!$B$21</f>
        <v/>
      </c>
      <c r="Y68" s="8">
        <f>-Helpers!Y5*Assumptions!$B$21</f>
        <v/>
      </c>
      <c r="Z68" s="8">
        <f>-Helpers!Z5*Assumptions!$B$21</f>
        <v/>
      </c>
      <c r="AA68" s="8">
        <f>-Helpers!AA5*Assumptions!$B$21</f>
        <v/>
      </c>
      <c r="AB68" s="8">
        <f>-Helpers!AB5*Assumptions!$B$21</f>
        <v/>
      </c>
      <c r="AC68" s="8">
        <f>-Helpers!AC5*Assumptions!$B$21</f>
        <v/>
      </c>
      <c r="AD68" s="8">
        <f>-Helpers!AD5*Assumptions!$B$21</f>
        <v/>
      </c>
      <c r="AE68" s="8">
        <f>-Helpers!AE5*Assumptions!$B$21</f>
        <v/>
      </c>
      <c r="AF68" s="8">
        <f>-Helpers!AF5*Assumptions!$B$21</f>
        <v/>
      </c>
      <c r="AG68" s="8">
        <f>-Helpers!AG5*Assumptions!$B$21</f>
        <v/>
      </c>
      <c r="AH68" s="8">
        <f>-Helpers!AH5*Assumptions!$B$21</f>
        <v/>
      </c>
      <c r="AI68" s="8">
        <f>-Helpers!AI5*Assumptions!$B$21</f>
        <v/>
      </c>
      <c r="AJ68" s="8">
        <f>-Helpers!AJ5*Assumptions!$B$21</f>
        <v/>
      </c>
      <c r="AK68" s="8">
        <f>-Helpers!AK5*Assumptions!$B$21</f>
        <v/>
      </c>
      <c r="AL68" s="8">
        <f>-Helpers!AL5*Assumptions!$B$21</f>
        <v/>
      </c>
      <c r="AM68" s="8">
        <f>-Helpers!AM5*Assumptions!$B$21</f>
        <v/>
      </c>
      <c r="AN68" s="8">
        <f>-Helpers!AN5*Assumptions!$B$21</f>
        <v/>
      </c>
      <c r="AO68" s="8">
        <f>-Helpers!AO5*Assumptions!$B$21</f>
        <v/>
      </c>
      <c r="AP68" s="8">
        <f>-Helpers!AP5*Assumptions!$B$21</f>
        <v/>
      </c>
      <c r="AQ68" s="8">
        <f>-Helpers!AQ5*Assumptions!$B$21</f>
        <v/>
      </c>
      <c r="AR68" s="8">
        <f>-Helpers!AR5*Assumptions!$B$21</f>
        <v/>
      </c>
      <c r="AS68" s="8">
        <f>-Helpers!AS5*Assumptions!$B$21</f>
        <v/>
      </c>
      <c r="AT68" s="8">
        <f>-Helpers!AT5*Assumptions!$B$21</f>
        <v/>
      </c>
      <c r="AU68" s="8">
        <f>-Helpers!AU5*Assumptions!$B$21</f>
        <v/>
      </c>
      <c r="AV68" s="8">
        <f>-Helpers!AV5*Assumptions!$B$21</f>
        <v/>
      </c>
      <c r="AW68" s="8">
        <f>-Helpers!AW5*Assumptions!$B$21</f>
        <v/>
      </c>
      <c r="AX68" s="8">
        <f>-Helpers!AX5*Assumptions!$B$21</f>
        <v/>
      </c>
      <c r="AY68" s="8">
        <f>-Helpers!AY5*Assumptions!$B$21</f>
        <v/>
      </c>
      <c r="AZ68" s="8">
        <f>-Helpers!AZ5*Assumptions!$B$21</f>
        <v/>
      </c>
      <c r="BA68" s="8">
        <f>-Helpers!BA5*Assumptions!$B$21</f>
        <v/>
      </c>
      <c r="BB68" s="8">
        <f>-Helpers!BB5*Assumptions!$B$21</f>
        <v/>
      </c>
      <c r="BC68" s="8">
        <f>-Helpers!BC5*Assumptions!$B$21</f>
        <v/>
      </c>
      <c r="BD68" s="8">
        <f>-Helpers!BD5*Assumptions!$B$21</f>
        <v/>
      </c>
      <c r="BE68" s="8">
        <f>-Helpers!BE5*Assumptions!$B$21</f>
        <v/>
      </c>
      <c r="BF68" s="8">
        <f>-Helpers!BF5*Assumptions!$B$21</f>
        <v/>
      </c>
      <c r="BG68" s="8">
        <f>-Helpers!BG5*Assumptions!$B$21</f>
        <v/>
      </c>
      <c r="BH68" s="8">
        <f>-Helpers!BH5*Assumptions!$B$21</f>
        <v/>
      </c>
      <c r="BI68" s="8">
        <f>-Helpers!BI5*Assumptions!$B$21</f>
        <v/>
      </c>
      <c r="BJ68" s="8">
        <f>-Helpers!BJ5*Assumptions!$B$21</f>
        <v/>
      </c>
      <c r="BK68" s="8">
        <f>-Helpers!BK5*Assumptions!$B$21</f>
        <v/>
      </c>
      <c r="BL68" s="8">
        <f>-Helpers!BL5*Assumptions!$B$21</f>
        <v/>
      </c>
      <c r="BM68" s="8">
        <f>-Helpers!BM5*Assumptions!$B$21</f>
        <v/>
      </c>
      <c r="BN68" s="8">
        <f>-Helpers!BN5*Assumptions!$B$21</f>
        <v/>
      </c>
      <c r="BO68" s="8">
        <f>-Helpers!BO5*Assumptions!$B$21</f>
        <v/>
      </c>
      <c r="BP68" s="8">
        <f>-Helpers!BP5*Assumptions!$B$21</f>
        <v/>
      </c>
      <c r="BQ68" s="8">
        <f>-Helpers!BQ5*Assumptions!$B$21</f>
        <v/>
      </c>
      <c r="BR68" s="8">
        <f>-Helpers!BR5*Assumptions!$B$21</f>
        <v/>
      </c>
      <c r="BS68" s="8">
        <f>-Helpers!BS5*Assumptions!$B$21</f>
        <v/>
      </c>
      <c r="BT68" s="8">
        <f>-Helpers!BT5*Assumptions!$B$21</f>
        <v/>
      </c>
      <c r="BU68" s="8">
        <f>-Helpers!BU5*Assumptions!$B$21</f>
        <v/>
      </c>
      <c r="BV68" s="8">
        <f>-Helpers!BV5*Assumptions!$B$21</f>
        <v/>
      </c>
      <c r="BW68" s="8">
        <f>-Helpers!BW5*Assumptions!$B$21</f>
        <v/>
      </c>
      <c r="BX68" s="8">
        <f>-Helpers!BX5*Assumptions!$B$21</f>
        <v/>
      </c>
      <c r="BY68" s="8">
        <f>-Helpers!BY5*Assumptions!$B$21</f>
        <v/>
      </c>
      <c r="BZ68" s="8">
        <f>-Helpers!BZ5*Assumptions!$B$21</f>
        <v/>
      </c>
      <c r="CA68" s="8">
        <f>-Helpers!CA5*Assumptions!$B$21</f>
        <v/>
      </c>
      <c r="CB68" s="8">
        <f>-Helpers!CB5*Assumptions!$B$21</f>
        <v/>
      </c>
      <c r="CC68" s="8">
        <f>-Helpers!CC5*Assumptions!$B$21</f>
        <v/>
      </c>
      <c r="CD68" s="8">
        <f>-Helpers!CD5*Assumptions!$B$21</f>
        <v/>
      </c>
      <c r="CE68" s="8">
        <f>-Helpers!CE5*Assumptions!$B$21</f>
        <v/>
      </c>
      <c r="CF68" s="8">
        <f>-Helpers!CF5*Assumptions!$B$21</f>
        <v/>
      </c>
      <c r="CG68" s="8">
        <f>-Helpers!CG5*Assumptions!$B$21</f>
        <v/>
      </c>
      <c r="CH68" s="8">
        <f>-Helpers!CH5*Assumptions!$B$21</f>
        <v/>
      </c>
      <c r="CI68" s="23" t="n"/>
    </row>
    <row r="69" ht="15" customHeight="1" s="201">
      <c r="A69" s="7" t="inlineStr">
        <is>
          <t>SP Employee Benefits</t>
        </is>
      </c>
      <c r="B69" s="22" t="n"/>
      <c r="C69" s="8">
        <f>-Helpers!C5*Assumptions!$B$22</f>
        <v/>
      </c>
      <c r="D69" s="8">
        <f>-Helpers!D5*Assumptions!$B$22</f>
        <v/>
      </c>
      <c r="E69" s="8">
        <f>-Helpers!E5*Assumptions!$B$22</f>
        <v/>
      </c>
      <c r="F69" s="8">
        <f>-Helpers!F5*Assumptions!$B$22</f>
        <v/>
      </c>
      <c r="G69" s="8">
        <f>-Helpers!G5*Assumptions!$B$22</f>
        <v/>
      </c>
      <c r="H69" s="8">
        <f>-Helpers!H5*Assumptions!$B$22</f>
        <v/>
      </c>
      <c r="I69" s="8">
        <f>-Helpers!I5*Assumptions!$B$22</f>
        <v/>
      </c>
      <c r="J69" s="8">
        <f>-Helpers!J5*Assumptions!$B$22</f>
        <v/>
      </c>
      <c r="K69" s="8">
        <f>-Helpers!K5*Assumptions!$B$22</f>
        <v/>
      </c>
      <c r="L69" s="8">
        <f>-Helpers!L5*Assumptions!$B$22</f>
        <v/>
      </c>
      <c r="M69" s="8">
        <f>-Helpers!M5*Assumptions!$B$22</f>
        <v/>
      </c>
      <c r="N69" s="8">
        <f>-Helpers!N5*Assumptions!$B$22</f>
        <v/>
      </c>
      <c r="O69" s="8">
        <f>-Helpers!O5*Assumptions!$B$22</f>
        <v/>
      </c>
      <c r="P69" s="8">
        <f>-Helpers!P5*Assumptions!$B$22</f>
        <v/>
      </c>
      <c r="Q69" s="8">
        <f>-Helpers!Q5*Assumptions!$B$22</f>
        <v/>
      </c>
      <c r="R69" s="8">
        <f>-Helpers!R5*Assumptions!$B$22</f>
        <v/>
      </c>
      <c r="S69" s="8">
        <f>-Helpers!S5*Assumptions!$B$22</f>
        <v/>
      </c>
      <c r="T69" s="8">
        <f>-Helpers!T5*Assumptions!$B$22</f>
        <v/>
      </c>
      <c r="U69" s="8">
        <f>-Helpers!U5*Assumptions!$B$22</f>
        <v/>
      </c>
      <c r="V69" s="8">
        <f>-Helpers!V5*Assumptions!$B$22</f>
        <v/>
      </c>
      <c r="W69" s="8">
        <f>-Helpers!W5*Assumptions!$B$22</f>
        <v/>
      </c>
      <c r="X69" s="8">
        <f>-Helpers!X5*Assumptions!$B$22</f>
        <v/>
      </c>
      <c r="Y69" s="8">
        <f>-Helpers!Y5*Assumptions!$B$22</f>
        <v/>
      </c>
      <c r="Z69" s="8">
        <f>-Helpers!Z5*Assumptions!$B$22</f>
        <v/>
      </c>
      <c r="AA69" s="8">
        <f>-Helpers!AA5*Assumptions!$B$22</f>
        <v/>
      </c>
      <c r="AB69" s="8">
        <f>-Helpers!AB5*Assumptions!$B$22</f>
        <v/>
      </c>
      <c r="AC69" s="8">
        <f>-Helpers!AC5*Assumptions!$B$22</f>
        <v/>
      </c>
      <c r="AD69" s="8">
        <f>-Helpers!AD5*Assumptions!$B$22</f>
        <v/>
      </c>
      <c r="AE69" s="8">
        <f>-Helpers!AE5*Assumptions!$B$22</f>
        <v/>
      </c>
      <c r="AF69" s="8">
        <f>-Helpers!AF5*Assumptions!$B$22</f>
        <v/>
      </c>
      <c r="AG69" s="8">
        <f>-Helpers!AG5*Assumptions!$B$22</f>
        <v/>
      </c>
      <c r="AH69" s="8">
        <f>-Helpers!AH5*Assumptions!$B$22</f>
        <v/>
      </c>
      <c r="AI69" s="8">
        <f>-Helpers!AI5*Assumptions!$B$22</f>
        <v/>
      </c>
      <c r="AJ69" s="8">
        <f>-Helpers!AJ5*Assumptions!$B$22</f>
        <v/>
      </c>
      <c r="AK69" s="8">
        <f>-Helpers!AK5*Assumptions!$B$22</f>
        <v/>
      </c>
      <c r="AL69" s="8">
        <f>-Helpers!AL5*Assumptions!$B$22</f>
        <v/>
      </c>
      <c r="AM69" s="8">
        <f>-Helpers!AM5*Assumptions!$B$22</f>
        <v/>
      </c>
      <c r="AN69" s="8">
        <f>-Helpers!AN5*Assumptions!$B$22</f>
        <v/>
      </c>
      <c r="AO69" s="8">
        <f>-Helpers!AO5*Assumptions!$B$22</f>
        <v/>
      </c>
      <c r="AP69" s="8">
        <f>-Helpers!AP5*Assumptions!$B$22</f>
        <v/>
      </c>
      <c r="AQ69" s="8">
        <f>-Helpers!AQ5*Assumptions!$B$22</f>
        <v/>
      </c>
      <c r="AR69" s="8">
        <f>-Helpers!AR5*Assumptions!$B$22</f>
        <v/>
      </c>
      <c r="AS69" s="8">
        <f>-Helpers!AS5*Assumptions!$B$22</f>
        <v/>
      </c>
      <c r="AT69" s="8">
        <f>-Helpers!AT5*Assumptions!$B$22</f>
        <v/>
      </c>
      <c r="AU69" s="8">
        <f>-Helpers!AU5*Assumptions!$B$22</f>
        <v/>
      </c>
      <c r="AV69" s="8">
        <f>-Helpers!AV5*Assumptions!$B$22</f>
        <v/>
      </c>
      <c r="AW69" s="8">
        <f>-Helpers!AW5*Assumptions!$B$22</f>
        <v/>
      </c>
      <c r="AX69" s="8">
        <f>-Helpers!AX5*Assumptions!$B$22</f>
        <v/>
      </c>
      <c r="AY69" s="8">
        <f>-Helpers!AY5*Assumptions!$B$22</f>
        <v/>
      </c>
      <c r="AZ69" s="8">
        <f>-Helpers!AZ5*Assumptions!$B$22</f>
        <v/>
      </c>
      <c r="BA69" s="8">
        <f>-Helpers!BA5*Assumptions!$B$22</f>
        <v/>
      </c>
      <c r="BB69" s="8">
        <f>-Helpers!BB5*Assumptions!$B$22</f>
        <v/>
      </c>
      <c r="BC69" s="8">
        <f>-Helpers!BC5*Assumptions!$B$22</f>
        <v/>
      </c>
      <c r="BD69" s="8">
        <f>-Helpers!BD5*Assumptions!$B$22</f>
        <v/>
      </c>
      <c r="BE69" s="8">
        <f>-Helpers!BE5*Assumptions!$B$22</f>
        <v/>
      </c>
      <c r="BF69" s="8">
        <f>-Helpers!BF5*Assumptions!$B$22</f>
        <v/>
      </c>
      <c r="BG69" s="8">
        <f>-Helpers!BG5*Assumptions!$B$22</f>
        <v/>
      </c>
      <c r="BH69" s="8">
        <f>-Helpers!BH5*Assumptions!$B$22</f>
        <v/>
      </c>
      <c r="BI69" s="8">
        <f>-Helpers!BI5*Assumptions!$B$22</f>
        <v/>
      </c>
      <c r="BJ69" s="8">
        <f>-Helpers!BJ5*Assumptions!$B$22</f>
        <v/>
      </c>
      <c r="BK69" s="8">
        <f>-Helpers!BK5*Assumptions!$B$22</f>
        <v/>
      </c>
      <c r="BL69" s="8">
        <f>-Helpers!BL5*Assumptions!$B$22</f>
        <v/>
      </c>
      <c r="BM69" s="8">
        <f>-Helpers!BM5*Assumptions!$B$22</f>
        <v/>
      </c>
      <c r="BN69" s="8">
        <f>-Helpers!BN5*Assumptions!$B$22</f>
        <v/>
      </c>
      <c r="BO69" s="8">
        <f>-Helpers!BO5*Assumptions!$B$22</f>
        <v/>
      </c>
      <c r="BP69" s="8">
        <f>-Helpers!BP5*Assumptions!$B$22</f>
        <v/>
      </c>
      <c r="BQ69" s="8">
        <f>-Helpers!BQ5*Assumptions!$B$22</f>
        <v/>
      </c>
      <c r="BR69" s="8">
        <f>-Helpers!BR5*Assumptions!$B$22</f>
        <v/>
      </c>
      <c r="BS69" s="8">
        <f>-Helpers!BS5*Assumptions!$B$22</f>
        <v/>
      </c>
      <c r="BT69" s="8">
        <f>-Helpers!BT5*Assumptions!$B$22</f>
        <v/>
      </c>
      <c r="BU69" s="8">
        <f>-Helpers!BU5*Assumptions!$B$22</f>
        <v/>
      </c>
      <c r="BV69" s="8">
        <f>-Helpers!BV5*Assumptions!$B$22</f>
        <v/>
      </c>
      <c r="BW69" s="8">
        <f>-Helpers!BW5*Assumptions!$B$22</f>
        <v/>
      </c>
      <c r="BX69" s="8">
        <f>-Helpers!BX5*Assumptions!$B$22</f>
        <v/>
      </c>
      <c r="BY69" s="8">
        <f>-Helpers!BY5*Assumptions!$B$22</f>
        <v/>
      </c>
      <c r="BZ69" s="8">
        <f>-Helpers!BZ5*Assumptions!$B$22</f>
        <v/>
      </c>
      <c r="CA69" s="8">
        <f>-Helpers!CA5*Assumptions!$B$22</f>
        <v/>
      </c>
      <c r="CB69" s="8">
        <f>-Helpers!CB5*Assumptions!$B$22</f>
        <v/>
      </c>
      <c r="CC69" s="8">
        <f>-Helpers!CC5*Assumptions!$B$22</f>
        <v/>
      </c>
      <c r="CD69" s="8">
        <f>-Helpers!CD5*Assumptions!$B$22</f>
        <v/>
      </c>
      <c r="CE69" s="8">
        <f>-Helpers!CE5*Assumptions!$B$22</f>
        <v/>
      </c>
      <c r="CF69" s="8">
        <f>-Helpers!CF5*Assumptions!$B$22</f>
        <v/>
      </c>
      <c r="CG69" s="8">
        <f>-Helpers!CG5*Assumptions!$B$22</f>
        <v/>
      </c>
      <c r="CH69" s="8">
        <f>-Helpers!CH5*Assumptions!$B$22</f>
        <v/>
      </c>
      <c r="CI69" s="23" t="n"/>
    </row>
    <row r="70" ht="15" customHeight="1" s="201">
      <c r="A70" s="7" t="inlineStr">
        <is>
          <t>SP Workers Comp</t>
        </is>
      </c>
      <c r="B70" s="22" t="n"/>
      <c r="C70" s="8">
        <f>-Helpers!C5*Assumptions!$B$23</f>
        <v/>
      </c>
      <c r="D70" s="8">
        <f>-Helpers!D5*Assumptions!$B$23</f>
        <v/>
      </c>
      <c r="E70" s="8">
        <f>-Helpers!E5*Assumptions!$B$23</f>
        <v/>
      </c>
      <c r="F70" s="8">
        <f>-Helpers!F5*Assumptions!$B$23</f>
        <v/>
      </c>
      <c r="G70" s="8">
        <f>-Helpers!G5*Assumptions!$B$23</f>
        <v/>
      </c>
      <c r="H70" s="8">
        <f>-Helpers!H5*Assumptions!$B$23</f>
        <v/>
      </c>
      <c r="I70" s="8">
        <f>-Helpers!I5*Assumptions!$B$23</f>
        <v/>
      </c>
      <c r="J70" s="8">
        <f>-Helpers!J5*Assumptions!$B$23</f>
        <v/>
      </c>
      <c r="K70" s="8">
        <f>-Helpers!K5*Assumptions!$B$23</f>
        <v/>
      </c>
      <c r="L70" s="8">
        <f>-Helpers!L5*Assumptions!$B$23</f>
        <v/>
      </c>
      <c r="M70" s="8">
        <f>-Helpers!M5*Assumptions!$B$23</f>
        <v/>
      </c>
      <c r="N70" s="8">
        <f>-Helpers!N5*Assumptions!$B$23</f>
        <v/>
      </c>
      <c r="O70" s="8">
        <f>-Helpers!O5*Assumptions!$B$23</f>
        <v/>
      </c>
      <c r="P70" s="8">
        <f>-Helpers!P5*Assumptions!$B$23</f>
        <v/>
      </c>
      <c r="Q70" s="8">
        <f>-Helpers!Q5*Assumptions!$B$23</f>
        <v/>
      </c>
      <c r="R70" s="8">
        <f>-Helpers!R5*Assumptions!$B$23</f>
        <v/>
      </c>
      <c r="S70" s="8">
        <f>-Helpers!S5*Assumptions!$B$23</f>
        <v/>
      </c>
      <c r="T70" s="8">
        <f>-Helpers!T5*Assumptions!$B$23</f>
        <v/>
      </c>
      <c r="U70" s="8">
        <f>-Helpers!U5*Assumptions!$B$23</f>
        <v/>
      </c>
      <c r="V70" s="8">
        <f>-Helpers!V5*Assumptions!$B$23</f>
        <v/>
      </c>
      <c r="W70" s="8">
        <f>-Helpers!W5*Assumptions!$B$23</f>
        <v/>
      </c>
      <c r="X70" s="8">
        <f>-Helpers!X5*Assumptions!$B$23</f>
        <v/>
      </c>
      <c r="Y70" s="8">
        <f>-Helpers!Y5*Assumptions!$B$23</f>
        <v/>
      </c>
      <c r="Z70" s="8">
        <f>-Helpers!Z5*Assumptions!$B$23</f>
        <v/>
      </c>
      <c r="AA70" s="8">
        <f>-Helpers!AA5*Assumptions!$B$23</f>
        <v/>
      </c>
      <c r="AB70" s="8">
        <f>-Helpers!AB5*Assumptions!$B$23</f>
        <v/>
      </c>
      <c r="AC70" s="8">
        <f>-Helpers!AC5*Assumptions!$B$23</f>
        <v/>
      </c>
      <c r="AD70" s="8">
        <f>-Helpers!AD5*Assumptions!$B$23</f>
        <v/>
      </c>
      <c r="AE70" s="8">
        <f>-Helpers!AE5*Assumptions!$B$23</f>
        <v/>
      </c>
      <c r="AF70" s="8">
        <f>-Helpers!AF5*Assumptions!$B$23</f>
        <v/>
      </c>
      <c r="AG70" s="8">
        <f>-Helpers!AG5*Assumptions!$B$23</f>
        <v/>
      </c>
      <c r="AH70" s="8">
        <f>-Helpers!AH5*Assumptions!$B$23</f>
        <v/>
      </c>
      <c r="AI70" s="8">
        <f>-Helpers!AI5*Assumptions!$B$23</f>
        <v/>
      </c>
      <c r="AJ70" s="8">
        <f>-Helpers!AJ5*Assumptions!$B$23</f>
        <v/>
      </c>
      <c r="AK70" s="8">
        <f>-Helpers!AK5*Assumptions!$B$23</f>
        <v/>
      </c>
      <c r="AL70" s="8">
        <f>-Helpers!AL5*Assumptions!$B$23</f>
        <v/>
      </c>
      <c r="AM70" s="8">
        <f>-Helpers!AM5*Assumptions!$B$23</f>
        <v/>
      </c>
      <c r="AN70" s="8">
        <f>-Helpers!AN5*Assumptions!$B$23</f>
        <v/>
      </c>
      <c r="AO70" s="8">
        <f>-Helpers!AO5*Assumptions!$B$23</f>
        <v/>
      </c>
      <c r="AP70" s="8">
        <f>-Helpers!AP5*Assumptions!$B$23</f>
        <v/>
      </c>
      <c r="AQ70" s="8">
        <f>-Helpers!AQ5*Assumptions!$B$23</f>
        <v/>
      </c>
      <c r="AR70" s="8">
        <f>-Helpers!AR5*Assumptions!$B$23</f>
        <v/>
      </c>
      <c r="AS70" s="8">
        <f>-Helpers!AS5*Assumptions!$B$23</f>
        <v/>
      </c>
      <c r="AT70" s="8">
        <f>-Helpers!AT5*Assumptions!$B$23</f>
        <v/>
      </c>
      <c r="AU70" s="8">
        <f>-Helpers!AU5*Assumptions!$B$23</f>
        <v/>
      </c>
      <c r="AV70" s="8">
        <f>-Helpers!AV5*Assumptions!$B$23</f>
        <v/>
      </c>
      <c r="AW70" s="8">
        <f>-Helpers!AW5*Assumptions!$B$23</f>
        <v/>
      </c>
      <c r="AX70" s="8">
        <f>-Helpers!AX5*Assumptions!$B$23</f>
        <v/>
      </c>
      <c r="AY70" s="8">
        <f>-Helpers!AY5*Assumptions!$B$23</f>
        <v/>
      </c>
      <c r="AZ70" s="8">
        <f>-Helpers!AZ5*Assumptions!$B$23</f>
        <v/>
      </c>
      <c r="BA70" s="8">
        <f>-Helpers!BA5*Assumptions!$B$23</f>
        <v/>
      </c>
      <c r="BB70" s="8">
        <f>-Helpers!BB5*Assumptions!$B$23</f>
        <v/>
      </c>
      <c r="BC70" s="8">
        <f>-Helpers!BC5*Assumptions!$B$23</f>
        <v/>
      </c>
      <c r="BD70" s="8">
        <f>-Helpers!BD5*Assumptions!$B$23</f>
        <v/>
      </c>
      <c r="BE70" s="8">
        <f>-Helpers!BE5*Assumptions!$B$23</f>
        <v/>
      </c>
      <c r="BF70" s="8">
        <f>-Helpers!BF5*Assumptions!$B$23</f>
        <v/>
      </c>
      <c r="BG70" s="8">
        <f>-Helpers!BG5*Assumptions!$B$23</f>
        <v/>
      </c>
      <c r="BH70" s="8">
        <f>-Helpers!BH5*Assumptions!$B$23</f>
        <v/>
      </c>
      <c r="BI70" s="8">
        <f>-Helpers!BI5*Assumptions!$B$23</f>
        <v/>
      </c>
      <c r="BJ70" s="8">
        <f>-Helpers!BJ5*Assumptions!$B$23</f>
        <v/>
      </c>
      <c r="BK70" s="8">
        <f>-Helpers!BK5*Assumptions!$B$23</f>
        <v/>
      </c>
      <c r="BL70" s="8">
        <f>-Helpers!BL5*Assumptions!$B$23</f>
        <v/>
      </c>
      <c r="BM70" s="8">
        <f>-Helpers!BM5*Assumptions!$B$23</f>
        <v/>
      </c>
      <c r="BN70" s="8">
        <f>-Helpers!BN5*Assumptions!$B$23</f>
        <v/>
      </c>
      <c r="BO70" s="8">
        <f>-Helpers!BO5*Assumptions!$B$23</f>
        <v/>
      </c>
      <c r="BP70" s="8">
        <f>-Helpers!BP5*Assumptions!$B$23</f>
        <v/>
      </c>
      <c r="BQ70" s="8">
        <f>-Helpers!BQ5*Assumptions!$B$23</f>
        <v/>
      </c>
      <c r="BR70" s="8">
        <f>-Helpers!BR5*Assumptions!$B$23</f>
        <v/>
      </c>
      <c r="BS70" s="8">
        <f>-Helpers!BS5*Assumptions!$B$23</f>
        <v/>
      </c>
      <c r="BT70" s="8">
        <f>-Helpers!BT5*Assumptions!$B$23</f>
        <v/>
      </c>
      <c r="BU70" s="8">
        <f>-Helpers!BU5*Assumptions!$B$23</f>
        <v/>
      </c>
      <c r="BV70" s="8">
        <f>-Helpers!BV5*Assumptions!$B$23</f>
        <v/>
      </c>
      <c r="BW70" s="8">
        <f>-Helpers!BW5*Assumptions!$B$23</f>
        <v/>
      </c>
      <c r="BX70" s="8">
        <f>-Helpers!BX5*Assumptions!$B$23</f>
        <v/>
      </c>
      <c r="BY70" s="8">
        <f>-Helpers!BY5*Assumptions!$B$23</f>
        <v/>
      </c>
      <c r="BZ70" s="8">
        <f>-Helpers!BZ5*Assumptions!$B$23</f>
        <v/>
      </c>
      <c r="CA70" s="8">
        <f>-Helpers!CA5*Assumptions!$B$23</f>
        <v/>
      </c>
      <c r="CB70" s="8">
        <f>-Helpers!CB5*Assumptions!$B$23</f>
        <v/>
      </c>
      <c r="CC70" s="8">
        <f>-Helpers!CC5*Assumptions!$B$23</f>
        <v/>
      </c>
      <c r="CD70" s="8">
        <f>-Helpers!CD5*Assumptions!$B$23</f>
        <v/>
      </c>
      <c r="CE70" s="8">
        <f>-Helpers!CE5*Assumptions!$B$23</f>
        <v/>
      </c>
      <c r="CF70" s="8">
        <f>-Helpers!CF5*Assumptions!$B$23</f>
        <v/>
      </c>
      <c r="CG70" s="8">
        <f>-Helpers!CG5*Assumptions!$B$23</f>
        <v/>
      </c>
      <c r="CH70" s="8">
        <f>-Helpers!CH5*Assumptions!$B$23</f>
        <v/>
      </c>
      <c r="CI70" s="23" t="n"/>
    </row>
    <row r="71" ht="15" customHeight="1" s="201">
      <c r="A71" s="7" t="inlineStr">
        <is>
          <t>NYC Rent</t>
        </is>
      </c>
      <c r="B71" s="22" t="n"/>
      <c r="C71" s="8">
        <f>-3500*Escalation!$B$2</f>
        <v/>
      </c>
      <c r="D71" s="8">
        <f>-3500*Escalation!$B$3</f>
        <v/>
      </c>
      <c r="E71" s="8">
        <f>-3500*Escalation!$B$4</f>
        <v/>
      </c>
      <c r="F71" s="8">
        <f>-3500*Escalation!$B$5</f>
        <v/>
      </c>
      <c r="G71" s="8">
        <f>-3500*Escalation!$B$6</f>
        <v/>
      </c>
      <c r="H71" s="8">
        <f>-3500*Escalation!$B$7</f>
        <v/>
      </c>
      <c r="I71" s="8">
        <f>-3500*Escalation!$B$8</f>
        <v/>
      </c>
      <c r="J71" s="8">
        <f>-3500*Escalation!$B$9</f>
        <v/>
      </c>
      <c r="K71" s="8">
        <f>-3500*Escalation!$B$10</f>
        <v/>
      </c>
      <c r="L71" s="8">
        <f>-3500*Escalation!$B$11</f>
        <v/>
      </c>
      <c r="M71" s="8">
        <f>-3500*Escalation!$B$12</f>
        <v/>
      </c>
      <c r="N71" s="8">
        <f>-3500*Escalation!$B$13</f>
        <v/>
      </c>
      <c r="O71" s="8">
        <f>-3500*Escalation!$B$14</f>
        <v/>
      </c>
      <c r="P71" s="8">
        <f>-3500*Escalation!$B$15</f>
        <v/>
      </c>
      <c r="Q71" s="8">
        <f>-3500*Escalation!$B$16</f>
        <v/>
      </c>
      <c r="R71" s="8">
        <f>-3500*Escalation!$B$17</f>
        <v/>
      </c>
      <c r="S71" s="8">
        <f>-3500*Escalation!$B$18</f>
        <v/>
      </c>
      <c r="T71" s="8">
        <f>-3500*Escalation!$B$19</f>
        <v/>
      </c>
      <c r="U71" s="8">
        <f>-3500*Escalation!$B$20</f>
        <v/>
      </c>
      <c r="V71" s="8">
        <f>-3500*Escalation!$B$21</f>
        <v/>
      </c>
      <c r="W71" s="8">
        <f>-3500*Escalation!$B$22</f>
        <v/>
      </c>
      <c r="X71" s="8">
        <f>-3500*Escalation!$B$23</f>
        <v/>
      </c>
      <c r="Y71" s="8">
        <f>-3500*Escalation!$B$24</f>
        <v/>
      </c>
      <c r="Z71" s="8">
        <f>-3500*Escalation!$B$25</f>
        <v/>
      </c>
      <c r="AA71" s="8">
        <f>-3500*Escalation!$B$26</f>
        <v/>
      </c>
      <c r="AB71" s="8">
        <f>-3500*Escalation!$B$27</f>
        <v/>
      </c>
      <c r="AC71" s="8">
        <f>-3500*Escalation!$B$28</f>
        <v/>
      </c>
      <c r="AD71" s="8">
        <f>-3500*Escalation!$B$29</f>
        <v/>
      </c>
      <c r="AE71" s="8">
        <f>-3500*Escalation!$B$30</f>
        <v/>
      </c>
      <c r="AF71" s="8">
        <f>-3500*Escalation!$B$31</f>
        <v/>
      </c>
      <c r="AG71" s="8">
        <f>-3500*Escalation!$B$32</f>
        <v/>
      </c>
      <c r="AH71" s="8">
        <f>-3500*Escalation!$B$33</f>
        <v/>
      </c>
      <c r="AI71" s="8">
        <f>-3500*Escalation!$B$34</f>
        <v/>
      </c>
      <c r="AJ71" s="8">
        <f>-3500*Escalation!$B$35</f>
        <v/>
      </c>
      <c r="AK71" s="8">
        <f>-3500*Escalation!$B$36</f>
        <v/>
      </c>
      <c r="AL71" s="8">
        <f>-3500*Escalation!$B$37</f>
        <v/>
      </c>
      <c r="AM71" s="8">
        <f>-3500*Escalation!$B$38</f>
        <v/>
      </c>
      <c r="AN71" s="8">
        <f>-3500*Escalation!$B$39</f>
        <v/>
      </c>
      <c r="AO71" s="8">
        <f>-3500*Escalation!$B$40</f>
        <v/>
      </c>
      <c r="AP71" s="8">
        <f>-3500*Escalation!$B$41</f>
        <v/>
      </c>
      <c r="AQ71" s="8">
        <f>-3500*Escalation!$B$42</f>
        <v/>
      </c>
      <c r="AR71" s="8">
        <f>-3500*Escalation!$B$43</f>
        <v/>
      </c>
      <c r="AS71" s="8">
        <f>-3500*Escalation!$B$44</f>
        <v/>
      </c>
      <c r="AT71" s="8">
        <f>-3500*Escalation!$B$45</f>
        <v/>
      </c>
      <c r="AU71" s="8">
        <f>-3500*Escalation!$B$46</f>
        <v/>
      </c>
      <c r="AV71" s="8">
        <f>-3500*Escalation!$B$47</f>
        <v/>
      </c>
      <c r="AW71" s="8">
        <f>-3500*Escalation!$B$48</f>
        <v/>
      </c>
      <c r="AX71" s="8">
        <f>-3500*Escalation!$B$49</f>
        <v/>
      </c>
      <c r="AY71" s="8">
        <f>-3500*Escalation!$B$50</f>
        <v/>
      </c>
      <c r="AZ71" s="8">
        <f>-3500*Escalation!$B$51</f>
        <v/>
      </c>
      <c r="BA71" s="8">
        <f>-3500*Escalation!$B$52</f>
        <v/>
      </c>
      <c r="BB71" s="8">
        <f>-3500*Escalation!$B$53</f>
        <v/>
      </c>
      <c r="BC71" s="8">
        <f>-3500*Escalation!$B$54</f>
        <v/>
      </c>
      <c r="BD71" s="8">
        <f>-3500*Escalation!$B$55</f>
        <v/>
      </c>
      <c r="BE71" s="8">
        <f>-3500*Escalation!$B$56</f>
        <v/>
      </c>
      <c r="BF71" s="8">
        <f>-3500*Escalation!$B$57</f>
        <v/>
      </c>
      <c r="BG71" s="8">
        <f>-3500*Escalation!$B$58</f>
        <v/>
      </c>
      <c r="BH71" s="8">
        <f>-3500*Escalation!$B$59</f>
        <v/>
      </c>
      <c r="BI71" s="8">
        <f>-3500*Escalation!$B$60</f>
        <v/>
      </c>
      <c r="BJ71" s="8">
        <f>-3500*Escalation!$B$61</f>
        <v/>
      </c>
      <c r="BK71" s="8">
        <f>-3500*Escalation!$B$62</f>
        <v/>
      </c>
      <c r="BL71" s="8">
        <f>-3500*Escalation!$B$63</f>
        <v/>
      </c>
      <c r="BM71" s="8">
        <f>-3500*Escalation!$B$64</f>
        <v/>
      </c>
      <c r="BN71" s="8">
        <f>-3500*Escalation!$B$65</f>
        <v/>
      </c>
      <c r="BO71" s="8">
        <f>-3500*Escalation!$B$66</f>
        <v/>
      </c>
      <c r="BP71" s="8">
        <f>-3500*Escalation!$B$67</f>
        <v/>
      </c>
      <c r="BQ71" s="8">
        <f>-3500*Escalation!$B$68</f>
        <v/>
      </c>
      <c r="BR71" s="8">
        <f>-3500*Escalation!$B$69</f>
        <v/>
      </c>
      <c r="BS71" s="8">
        <f>-3500*Escalation!$B$70</f>
        <v/>
      </c>
      <c r="BT71" s="8">
        <f>-3500*Escalation!$B$71</f>
        <v/>
      </c>
      <c r="BU71" s="8">
        <f>-3500*Escalation!$B$72</f>
        <v/>
      </c>
      <c r="BV71" s="8">
        <f>-3500*Escalation!$B$73</f>
        <v/>
      </c>
      <c r="BW71" s="8">
        <f>-3500*Escalation!$B$74</f>
        <v/>
      </c>
      <c r="BX71" s="8">
        <f>-3500*Escalation!$B$75</f>
        <v/>
      </c>
      <c r="BY71" s="8">
        <f>-3500*Escalation!$B$76</f>
        <v/>
      </c>
      <c r="BZ71" s="8">
        <f>-3500*Escalation!$B$77</f>
        <v/>
      </c>
      <c r="CA71" s="8">
        <f>-3500*Escalation!$B$78</f>
        <v/>
      </c>
      <c r="CB71" s="8">
        <f>-3500*Escalation!$B$79</f>
        <v/>
      </c>
      <c r="CC71" s="8">
        <f>-3500*Escalation!$B$80</f>
        <v/>
      </c>
      <c r="CD71" s="8">
        <f>-3500*Escalation!$B$81</f>
        <v/>
      </c>
      <c r="CE71" s="8">
        <f>-3500*Escalation!$B$82</f>
        <v/>
      </c>
      <c r="CF71" s="8">
        <f>-3500*Escalation!$B$83</f>
        <v/>
      </c>
      <c r="CG71" s="8">
        <f>-3500*Escalation!$B$84</f>
        <v/>
      </c>
      <c r="CH71" s="8">
        <f>-3500*Escalation!$B$85</f>
        <v/>
      </c>
      <c r="CI71" s="23" t="n"/>
    </row>
    <row r="72" ht="15" customHeight="1" s="201">
      <c r="A72" s="7" t="inlineStr">
        <is>
          <t>LA Rent</t>
        </is>
      </c>
      <c r="B72" s="22" t="n"/>
      <c r="C72" s="8">
        <f>-5000*Escalation!$B$2</f>
        <v/>
      </c>
      <c r="D72" s="8">
        <f>-5000*Escalation!$B$3</f>
        <v/>
      </c>
      <c r="E72" s="8">
        <f>-5000*Escalation!$B$4</f>
        <v/>
      </c>
      <c r="F72" s="8">
        <f>-5000*Escalation!$B$5</f>
        <v/>
      </c>
      <c r="G72" s="8">
        <f>-5000*Escalation!$B$6</f>
        <v/>
      </c>
      <c r="H72" s="8">
        <f>-5000*Escalation!$B$7</f>
        <v/>
      </c>
      <c r="I72" s="8">
        <f>-5000*Escalation!$B$8</f>
        <v/>
      </c>
      <c r="J72" s="8">
        <f>-5000*Escalation!$B$9</f>
        <v/>
      </c>
      <c r="K72" s="8">
        <f>-5000*Escalation!$B$10</f>
        <v/>
      </c>
      <c r="L72" s="8">
        <f>-5000*Escalation!$B$11</f>
        <v/>
      </c>
      <c r="M72" s="8">
        <f>-5000*Escalation!$B$12</f>
        <v/>
      </c>
      <c r="N72" s="8">
        <f>-5000*Escalation!$B$13</f>
        <v/>
      </c>
      <c r="O72" s="8">
        <f>-5000*Escalation!$B$14</f>
        <v/>
      </c>
      <c r="P72" s="8">
        <f>-5000*Escalation!$B$15</f>
        <v/>
      </c>
      <c r="Q72" s="8">
        <f>-5000*Escalation!$B$16</f>
        <v/>
      </c>
      <c r="R72" s="8">
        <f>-5000*Escalation!$B$17</f>
        <v/>
      </c>
      <c r="S72" s="8">
        <f>-5000*Escalation!$B$18</f>
        <v/>
      </c>
      <c r="T72" s="8">
        <f>-5000*Escalation!$B$19</f>
        <v/>
      </c>
      <c r="U72" s="8">
        <f>-5000*Escalation!$B$20</f>
        <v/>
      </c>
      <c r="V72" s="8">
        <f>-5000*Escalation!$B$21</f>
        <v/>
      </c>
      <c r="W72" s="8">
        <f>-5000*Escalation!$B$22</f>
        <v/>
      </c>
      <c r="X72" s="8">
        <f>-5000*Escalation!$B$23</f>
        <v/>
      </c>
      <c r="Y72" s="8">
        <f>-5000*Escalation!$B$24</f>
        <v/>
      </c>
      <c r="Z72" s="8">
        <f>-5000*Escalation!$B$25</f>
        <v/>
      </c>
      <c r="AA72" s="8">
        <f>-5000*Escalation!$B$26</f>
        <v/>
      </c>
      <c r="AB72" s="8">
        <f>-5000*Escalation!$B$27</f>
        <v/>
      </c>
      <c r="AC72" s="8">
        <f>-5000*Escalation!$B$28</f>
        <v/>
      </c>
      <c r="AD72" s="8">
        <f>-5000*Escalation!$B$29</f>
        <v/>
      </c>
      <c r="AE72" s="8">
        <f>-5000*Escalation!$B$30</f>
        <v/>
      </c>
      <c r="AF72" s="8">
        <f>-5000*Escalation!$B$31</f>
        <v/>
      </c>
      <c r="AG72" s="8">
        <f>-5000*Escalation!$B$32</f>
        <v/>
      </c>
      <c r="AH72" s="8">
        <f>-5000*Escalation!$B$33</f>
        <v/>
      </c>
      <c r="AI72" s="8">
        <f>-5000*Escalation!$B$34</f>
        <v/>
      </c>
      <c r="AJ72" s="8">
        <f>-5000*Escalation!$B$35</f>
        <v/>
      </c>
      <c r="AK72" s="8">
        <f>-5000*Escalation!$B$36</f>
        <v/>
      </c>
      <c r="AL72" s="8">
        <f>-5000*Escalation!$B$37</f>
        <v/>
      </c>
      <c r="AM72" s="8">
        <f>-5000*Escalation!$B$38</f>
        <v/>
      </c>
      <c r="AN72" s="8">
        <f>-5000*Escalation!$B$39</f>
        <v/>
      </c>
      <c r="AO72" s="8">
        <f>-5000*Escalation!$B$40</f>
        <v/>
      </c>
      <c r="AP72" s="8">
        <f>-5000*Escalation!$B$41</f>
        <v/>
      </c>
      <c r="AQ72" s="8">
        <f>-5000*Escalation!$B$42</f>
        <v/>
      </c>
      <c r="AR72" s="8">
        <f>-5000*Escalation!$B$43</f>
        <v/>
      </c>
      <c r="AS72" s="8">
        <f>-5000*Escalation!$B$44</f>
        <v/>
      </c>
      <c r="AT72" s="8">
        <f>-5000*Escalation!$B$45</f>
        <v/>
      </c>
      <c r="AU72" s="8">
        <f>-5000*Escalation!$B$46</f>
        <v/>
      </c>
      <c r="AV72" s="8">
        <f>-5000*Escalation!$B$47</f>
        <v/>
      </c>
      <c r="AW72" s="8">
        <f>-5000*Escalation!$B$48</f>
        <v/>
      </c>
      <c r="AX72" s="8">
        <f>-5000*Escalation!$B$49</f>
        <v/>
      </c>
      <c r="AY72" s="8">
        <f>-5000*Escalation!$B$50</f>
        <v/>
      </c>
      <c r="AZ72" s="8">
        <f>-5000*Escalation!$B$51</f>
        <v/>
      </c>
      <c r="BA72" s="8">
        <f>-5000*Escalation!$B$52</f>
        <v/>
      </c>
      <c r="BB72" s="8">
        <f>-5000*Escalation!$B$53</f>
        <v/>
      </c>
      <c r="BC72" s="8">
        <f>-5000*Escalation!$B$54</f>
        <v/>
      </c>
      <c r="BD72" s="8">
        <f>-5000*Escalation!$B$55</f>
        <v/>
      </c>
      <c r="BE72" s="8">
        <f>-5000*Escalation!$B$56</f>
        <v/>
      </c>
      <c r="BF72" s="8">
        <f>-5000*Escalation!$B$57</f>
        <v/>
      </c>
      <c r="BG72" s="8">
        <f>-5000*Escalation!$B$58</f>
        <v/>
      </c>
      <c r="BH72" s="8">
        <f>-5000*Escalation!$B$59</f>
        <v/>
      </c>
      <c r="BI72" s="8">
        <f>-5000*Escalation!$B$60</f>
        <v/>
      </c>
      <c r="BJ72" s="8">
        <f>-5000*Escalation!$B$61</f>
        <v/>
      </c>
      <c r="BK72" s="8">
        <f>-5000*Escalation!$B$62</f>
        <v/>
      </c>
      <c r="BL72" s="8">
        <f>-5000*Escalation!$B$63</f>
        <v/>
      </c>
      <c r="BM72" s="8">
        <f>-5000*Escalation!$B$64</f>
        <v/>
      </c>
      <c r="BN72" s="8">
        <f>-5000*Escalation!$B$65</f>
        <v/>
      </c>
      <c r="BO72" s="8">
        <f>-5000*Escalation!$B$66</f>
        <v/>
      </c>
      <c r="BP72" s="8">
        <f>-5000*Escalation!$B$67</f>
        <v/>
      </c>
      <c r="BQ72" s="8">
        <f>-5000*Escalation!$B$68</f>
        <v/>
      </c>
      <c r="BR72" s="8">
        <f>-5000*Escalation!$B$69</f>
        <v/>
      </c>
      <c r="BS72" s="8">
        <f>-5000*Escalation!$B$70</f>
        <v/>
      </c>
      <c r="BT72" s="8">
        <f>-5000*Escalation!$B$71</f>
        <v/>
      </c>
      <c r="BU72" s="8">
        <f>-5000*Escalation!$B$72</f>
        <v/>
      </c>
      <c r="BV72" s="8">
        <f>-5000*Escalation!$B$73</f>
        <v/>
      </c>
      <c r="BW72" s="8">
        <f>-5000*Escalation!$B$74</f>
        <v/>
      </c>
      <c r="BX72" s="8">
        <f>-5000*Escalation!$B$75</f>
        <v/>
      </c>
      <c r="BY72" s="8">
        <f>-5000*Escalation!$B$76</f>
        <v/>
      </c>
      <c r="BZ72" s="8">
        <f>-5000*Escalation!$B$77</f>
        <v/>
      </c>
      <c r="CA72" s="8">
        <f>-5000*Escalation!$B$78</f>
        <v/>
      </c>
      <c r="CB72" s="8">
        <f>-5000*Escalation!$B$79</f>
        <v/>
      </c>
      <c r="CC72" s="8">
        <f>-5000*Escalation!$B$80</f>
        <v/>
      </c>
      <c r="CD72" s="8">
        <f>-5000*Escalation!$B$81</f>
        <v/>
      </c>
      <c r="CE72" s="8">
        <f>-5000*Escalation!$B$82</f>
        <v/>
      </c>
      <c r="CF72" s="8">
        <f>-5000*Escalation!$B$83</f>
        <v/>
      </c>
      <c r="CG72" s="8">
        <f>-5000*Escalation!$B$84</f>
        <v/>
      </c>
      <c r="CH72" s="8">
        <f>-5000*Escalation!$B$85</f>
        <v/>
      </c>
      <c r="CI72" s="23" t="n"/>
    </row>
    <row r="73" ht="15" customHeight="1" s="201">
      <c r="A73" s="7" t="inlineStr">
        <is>
          <t>Yardi Bill Pay</t>
        </is>
      </c>
      <c r="B73" s="22" t="n"/>
      <c r="C73" s="8">
        <f>-100*Escalation!$B$2</f>
        <v/>
      </c>
      <c r="D73" s="8">
        <f>-100*Escalation!$B$3</f>
        <v/>
      </c>
      <c r="E73" s="8">
        <f>-100*Escalation!$B$4</f>
        <v/>
      </c>
      <c r="F73" s="8">
        <f>-100*Escalation!$B$5</f>
        <v/>
      </c>
      <c r="G73" s="8">
        <f>-100*Escalation!$B$6</f>
        <v/>
      </c>
      <c r="H73" s="8">
        <f>-100*Escalation!$B$7</f>
        <v/>
      </c>
      <c r="I73" s="8">
        <f>-100*Escalation!$B$8</f>
        <v/>
      </c>
      <c r="J73" s="8">
        <f>-100*Escalation!$B$9</f>
        <v/>
      </c>
      <c r="K73" s="8">
        <f>-100*Escalation!$B$10</f>
        <v/>
      </c>
      <c r="L73" s="8">
        <f>-100*Escalation!$B$11</f>
        <v/>
      </c>
      <c r="M73" s="8">
        <f>-100*Escalation!$B$12</f>
        <v/>
      </c>
      <c r="N73" s="8">
        <f>-100*Escalation!$B$13</f>
        <v/>
      </c>
      <c r="O73" s="8">
        <f>-100*Escalation!$B$14</f>
        <v/>
      </c>
      <c r="P73" s="8">
        <f>-100*Escalation!$B$15</f>
        <v/>
      </c>
      <c r="Q73" s="8">
        <f>-100*Escalation!$B$16</f>
        <v/>
      </c>
      <c r="R73" s="8">
        <f>-100*Escalation!$B$17</f>
        <v/>
      </c>
      <c r="S73" s="8">
        <f>-100*Escalation!$B$18</f>
        <v/>
      </c>
      <c r="T73" s="8">
        <f>-100*Escalation!$B$19</f>
        <v/>
      </c>
      <c r="U73" s="8">
        <f>-100*Escalation!$B$20</f>
        <v/>
      </c>
      <c r="V73" s="8">
        <f>-100*Escalation!$B$21</f>
        <v/>
      </c>
      <c r="W73" s="8">
        <f>-100*Escalation!$B$22</f>
        <v/>
      </c>
      <c r="X73" s="8">
        <f>-100*Escalation!$B$23</f>
        <v/>
      </c>
      <c r="Y73" s="8">
        <f>-100*Escalation!$B$24</f>
        <v/>
      </c>
      <c r="Z73" s="8">
        <f>-100*Escalation!$B$25</f>
        <v/>
      </c>
      <c r="AA73" s="8">
        <f>-100*Escalation!$B$26</f>
        <v/>
      </c>
      <c r="AB73" s="8">
        <f>-100*Escalation!$B$27</f>
        <v/>
      </c>
      <c r="AC73" s="8">
        <f>-100*Escalation!$B$28</f>
        <v/>
      </c>
      <c r="AD73" s="8">
        <f>-100*Escalation!$B$29</f>
        <v/>
      </c>
      <c r="AE73" s="8">
        <f>-100*Escalation!$B$30</f>
        <v/>
      </c>
      <c r="AF73" s="8">
        <f>-100*Escalation!$B$31</f>
        <v/>
      </c>
      <c r="AG73" s="8">
        <f>-100*Escalation!$B$32</f>
        <v/>
      </c>
      <c r="AH73" s="8">
        <f>-100*Escalation!$B$33</f>
        <v/>
      </c>
      <c r="AI73" s="8">
        <f>-100*Escalation!$B$34</f>
        <v/>
      </c>
      <c r="AJ73" s="8">
        <f>-100*Escalation!$B$35</f>
        <v/>
      </c>
      <c r="AK73" s="8">
        <f>-100*Escalation!$B$36</f>
        <v/>
      </c>
      <c r="AL73" s="8">
        <f>-100*Escalation!$B$37</f>
        <v/>
      </c>
      <c r="AM73" s="8">
        <f>-100*Escalation!$B$38</f>
        <v/>
      </c>
      <c r="AN73" s="8">
        <f>-100*Escalation!$B$39</f>
        <v/>
      </c>
      <c r="AO73" s="8">
        <f>-100*Escalation!$B$40</f>
        <v/>
      </c>
      <c r="AP73" s="8">
        <f>-100*Escalation!$B$41</f>
        <v/>
      </c>
      <c r="AQ73" s="8">
        <f>-100*Escalation!$B$42</f>
        <v/>
      </c>
      <c r="AR73" s="8">
        <f>-100*Escalation!$B$43</f>
        <v/>
      </c>
      <c r="AS73" s="8">
        <f>-100*Escalation!$B$44</f>
        <v/>
      </c>
      <c r="AT73" s="8">
        <f>-100*Escalation!$B$45</f>
        <v/>
      </c>
      <c r="AU73" s="8">
        <f>-100*Escalation!$B$46</f>
        <v/>
      </c>
      <c r="AV73" s="8">
        <f>-100*Escalation!$B$47</f>
        <v/>
      </c>
      <c r="AW73" s="8">
        <f>-100*Escalation!$B$48</f>
        <v/>
      </c>
      <c r="AX73" s="8">
        <f>-100*Escalation!$B$49</f>
        <v/>
      </c>
      <c r="AY73" s="8">
        <f>-100*Escalation!$B$50</f>
        <v/>
      </c>
      <c r="AZ73" s="8">
        <f>-100*Escalation!$B$51</f>
        <v/>
      </c>
      <c r="BA73" s="8">
        <f>-100*Escalation!$B$52</f>
        <v/>
      </c>
      <c r="BB73" s="8">
        <f>-100*Escalation!$B$53</f>
        <v/>
      </c>
      <c r="BC73" s="8">
        <f>-100*Escalation!$B$54</f>
        <v/>
      </c>
      <c r="BD73" s="8">
        <f>-100*Escalation!$B$55</f>
        <v/>
      </c>
      <c r="BE73" s="8">
        <f>-100*Escalation!$B$56</f>
        <v/>
      </c>
      <c r="BF73" s="8">
        <f>-100*Escalation!$B$57</f>
        <v/>
      </c>
      <c r="BG73" s="8">
        <f>-100*Escalation!$B$58</f>
        <v/>
      </c>
      <c r="BH73" s="8">
        <f>-100*Escalation!$B$59</f>
        <v/>
      </c>
      <c r="BI73" s="8">
        <f>-100*Escalation!$B$60</f>
        <v/>
      </c>
      <c r="BJ73" s="8">
        <f>-100*Escalation!$B$61</f>
        <v/>
      </c>
      <c r="BK73" s="8">
        <f>-100*Escalation!$B$62</f>
        <v/>
      </c>
      <c r="BL73" s="8">
        <f>-100*Escalation!$B$63</f>
        <v/>
      </c>
      <c r="BM73" s="8">
        <f>-100*Escalation!$B$64</f>
        <v/>
      </c>
      <c r="BN73" s="8">
        <f>-100*Escalation!$B$65</f>
        <v/>
      </c>
      <c r="BO73" s="8">
        <f>-100*Escalation!$B$66</f>
        <v/>
      </c>
      <c r="BP73" s="8">
        <f>-100*Escalation!$B$67</f>
        <v/>
      </c>
      <c r="BQ73" s="8">
        <f>-100*Escalation!$B$68</f>
        <v/>
      </c>
      <c r="BR73" s="8">
        <f>-100*Escalation!$B$69</f>
        <v/>
      </c>
      <c r="BS73" s="8">
        <f>-100*Escalation!$B$70</f>
        <v/>
      </c>
      <c r="BT73" s="8">
        <f>-100*Escalation!$B$71</f>
        <v/>
      </c>
      <c r="BU73" s="8">
        <f>-100*Escalation!$B$72</f>
        <v/>
      </c>
      <c r="BV73" s="8">
        <f>-100*Escalation!$B$73</f>
        <v/>
      </c>
      <c r="BW73" s="8">
        <f>-100*Escalation!$B$74</f>
        <v/>
      </c>
      <c r="BX73" s="8">
        <f>-100*Escalation!$B$75</f>
        <v/>
      </c>
      <c r="BY73" s="8">
        <f>-100*Escalation!$B$76</f>
        <v/>
      </c>
      <c r="BZ73" s="8">
        <f>-100*Escalation!$B$77</f>
        <v/>
      </c>
      <c r="CA73" s="8">
        <f>-100*Escalation!$B$78</f>
        <v/>
      </c>
      <c r="CB73" s="8">
        <f>-100*Escalation!$B$79</f>
        <v/>
      </c>
      <c r="CC73" s="8">
        <f>-100*Escalation!$B$80</f>
        <v/>
      </c>
      <c r="CD73" s="8">
        <f>-100*Escalation!$B$81</f>
        <v/>
      </c>
      <c r="CE73" s="8">
        <f>-100*Escalation!$B$82</f>
        <v/>
      </c>
      <c r="CF73" s="8">
        <f>-100*Escalation!$B$83</f>
        <v/>
      </c>
      <c r="CG73" s="8">
        <f>-100*Escalation!$B$84</f>
        <v/>
      </c>
      <c r="CH73" s="8">
        <f>-100*Escalation!$B$85</f>
        <v/>
      </c>
      <c r="CI73" s="23" t="n"/>
    </row>
    <row r="74" ht="15" customHeight="1" s="201">
      <c r="A74" s="7" t="inlineStr">
        <is>
          <t>Office and IT</t>
        </is>
      </c>
      <c r="B74" s="22" t="n"/>
      <c r="C74" s="8">
        <f>-3000*Escalation!$B$2</f>
        <v/>
      </c>
      <c r="D74" s="8">
        <f>-3000*Escalation!$B$3</f>
        <v/>
      </c>
      <c r="E74" s="8">
        <f>-3000*Escalation!$B$4</f>
        <v/>
      </c>
      <c r="F74" s="8">
        <f>-3000*Escalation!$B$5</f>
        <v/>
      </c>
      <c r="G74" s="8">
        <f>-3000*Escalation!$B$6</f>
        <v/>
      </c>
      <c r="H74" s="8">
        <f>-3000*Escalation!$B$7</f>
        <v/>
      </c>
      <c r="I74" s="8">
        <f>-3000*Escalation!$B$8</f>
        <v/>
      </c>
      <c r="J74" s="8">
        <f>-3000*Escalation!$B$9</f>
        <v/>
      </c>
      <c r="K74" s="8">
        <f>-3000*Escalation!$B$10</f>
        <v/>
      </c>
      <c r="L74" s="8">
        <f>-3000*Escalation!$B$11</f>
        <v/>
      </c>
      <c r="M74" s="8">
        <f>-3000*Escalation!$B$12</f>
        <v/>
      </c>
      <c r="N74" s="8">
        <f>-3000*Escalation!$B$13</f>
        <v/>
      </c>
      <c r="O74" s="8">
        <f>-3000*Escalation!$B$14</f>
        <v/>
      </c>
      <c r="P74" s="8">
        <f>-3000*Escalation!$B$15</f>
        <v/>
      </c>
      <c r="Q74" s="8">
        <f>-3000*Escalation!$B$16</f>
        <v/>
      </c>
      <c r="R74" s="8">
        <f>-3000*Escalation!$B$17</f>
        <v/>
      </c>
      <c r="S74" s="8">
        <f>-3000*Escalation!$B$18</f>
        <v/>
      </c>
      <c r="T74" s="8">
        <f>-3000*Escalation!$B$19</f>
        <v/>
      </c>
      <c r="U74" s="8">
        <f>-3000*Escalation!$B$20</f>
        <v/>
      </c>
      <c r="V74" s="8">
        <f>-3000*Escalation!$B$21</f>
        <v/>
      </c>
      <c r="W74" s="8">
        <f>-3000*Escalation!$B$22</f>
        <v/>
      </c>
      <c r="X74" s="8">
        <f>-3000*Escalation!$B$23</f>
        <v/>
      </c>
      <c r="Y74" s="8">
        <f>-3000*Escalation!$B$24</f>
        <v/>
      </c>
      <c r="Z74" s="8">
        <f>-3000*Escalation!$B$25</f>
        <v/>
      </c>
      <c r="AA74" s="8">
        <f>-3000*Escalation!$B$26</f>
        <v/>
      </c>
      <c r="AB74" s="8">
        <f>-3000*Escalation!$B$27</f>
        <v/>
      </c>
      <c r="AC74" s="8">
        <f>-3000*Escalation!$B$28</f>
        <v/>
      </c>
      <c r="AD74" s="8">
        <f>-3000*Escalation!$B$29</f>
        <v/>
      </c>
      <c r="AE74" s="8">
        <f>-3000*Escalation!$B$30</f>
        <v/>
      </c>
      <c r="AF74" s="8">
        <f>-3000*Escalation!$B$31</f>
        <v/>
      </c>
      <c r="AG74" s="8">
        <f>-3000*Escalation!$B$32</f>
        <v/>
      </c>
      <c r="AH74" s="8">
        <f>-3000*Escalation!$B$33</f>
        <v/>
      </c>
      <c r="AI74" s="8">
        <f>-3000*Escalation!$B$34</f>
        <v/>
      </c>
      <c r="AJ74" s="8">
        <f>-3000*Escalation!$B$35</f>
        <v/>
      </c>
      <c r="AK74" s="8">
        <f>-3000*Escalation!$B$36</f>
        <v/>
      </c>
      <c r="AL74" s="8">
        <f>-3000*Escalation!$B$37</f>
        <v/>
      </c>
      <c r="AM74" s="8">
        <f>-3000*Escalation!$B$38</f>
        <v/>
      </c>
      <c r="AN74" s="8">
        <f>-3000*Escalation!$B$39</f>
        <v/>
      </c>
      <c r="AO74" s="8">
        <f>-3000*Escalation!$B$40</f>
        <v/>
      </c>
      <c r="AP74" s="8">
        <f>-3000*Escalation!$B$41</f>
        <v/>
      </c>
      <c r="AQ74" s="8">
        <f>-3000*Escalation!$B$42</f>
        <v/>
      </c>
      <c r="AR74" s="8">
        <f>-3000*Escalation!$B$43</f>
        <v/>
      </c>
      <c r="AS74" s="8">
        <f>-3000*Escalation!$B$44</f>
        <v/>
      </c>
      <c r="AT74" s="8">
        <f>-3000*Escalation!$B$45</f>
        <v/>
      </c>
      <c r="AU74" s="8">
        <f>-3000*Escalation!$B$46</f>
        <v/>
      </c>
      <c r="AV74" s="8">
        <f>-3000*Escalation!$B$47</f>
        <v/>
      </c>
      <c r="AW74" s="8">
        <f>-3000*Escalation!$B$48</f>
        <v/>
      </c>
      <c r="AX74" s="8">
        <f>-3000*Escalation!$B$49</f>
        <v/>
      </c>
      <c r="AY74" s="8">
        <f>-3000*Escalation!$B$50</f>
        <v/>
      </c>
      <c r="AZ74" s="8">
        <f>-3000*Escalation!$B$51</f>
        <v/>
      </c>
      <c r="BA74" s="8">
        <f>-3000*Escalation!$B$52</f>
        <v/>
      </c>
      <c r="BB74" s="8">
        <f>-3000*Escalation!$B$53</f>
        <v/>
      </c>
      <c r="BC74" s="8">
        <f>-3000*Escalation!$B$54</f>
        <v/>
      </c>
      <c r="BD74" s="8">
        <f>-3000*Escalation!$B$55</f>
        <v/>
      </c>
      <c r="BE74" s="8">
        <f>-3000*Escalation!$B$56</f>
        <v/>
      </c>
      <c r="BF74" s="8">
        <f>-3000*Escalation!$B$57</f>
        <v/>
      </c>
      <c r="BG74" s="8">
        <f>-3000*Escalation!$B$58</f>
        <v/>
      </c>
      <c r="BH74" s="8">
        <f>-3000*Escalation!$B$59</f>
        <v/>
      </c>
      <c r="BI74" s="8">
        <f>-3000*Escalation!$B$60</f>
        <v/>
      </c>
      <c r="BJ74" s="8">
        <f>-3000*Escalation!$B$61</f>
        <v/>
      </c>
      <c r="BK74" s="8">
        <f>-3000*Escalation!$B$62</f>
        <v/>
      </c>
      <c r="BL74" s="8">
        <f>-3000*Escalation!$B$63</f>
        <v/>
      </c>
      <c r="BM74" s="8">
        <f>-3000*Escalation!$B$64</f>
        <v/>
      </c>
      <c r="BN74" s="8">
        <f>-3000*Escalation!$B$65</f>
        <v/>
      </c>
      <c r="BO74" s="8">
        <f>-3000*Escalation!$B$66</f>
        <v/>
      </c>
      <c r="BP74" s="8">
        <f>-3000*Escalation!$B$67</f>
        <v/>
      </c>
      <c r="BQ74" s="8">
        <f>-3000*Escalation!$B$68</f>
        <v/>
      </c>
      <c r="BR74" s="8">
        <f>-3000*Escalation!$B$69</f>
        <v/>
      </c>
      <c r="BS74" s="8">
        <f>-3000*Escalation!$B$70</f>
        <v/>
      </c>
      <c r="BT74" s="8">
        <f>-3000*Escalation!$B$71</f>
        <v/>
      </c>
      <c r="BU74" s="8">
        <f>-3000*Escalation!$B$72</f>
        <v/>
      </c>
      <c r="BV74" s="8">
        <f>-3000*Escalation!$B$73</f>
        <v/>
      </c>
      <c r="BW74" s="8">
        <f>-3000*Escalation!$B$74</f>
        <v/>
      </c>
      <c r="BX74" s="8">
        <f>-3000*Escalation!$B$75</f>
        <v/>
      </c>
      <c r="BY74" s="8">
        <f>-3000*Escalation!$B$76</f>
        <v/>
      </c>
      <c r="BZ74" s="8">
        <f>-3000*Escalation!$B$77</f>
        <v/>
      </c>
      <c r="CA74" s="8">
        <f>-3000*Escalation!$B$78</f>
        <v/>
      </c>
      <c r="CB74" s="8">
        <f>-3000*Escalation!$B$79</f>
        <v/>
      </c>
      <c r="CC74" s="8">
        <f>-3000*Escalation!$B$80</f>
        <v/>
      </c>
      <c r="CD74" s="8">
        <f>-3000*Escalation!$B$81</f>
        <v/>
      </c>
      <c r="CE74" s="8">
        <f>-3000*Escalation!$B$82</f>
        <v/>
      </c>
      <c r="CF74" s="8">
        <f>-3000*Escalation!$B$83</f>
        <v/>
      </c>
      <c r="CG74" s="8">
        <f>-3000*Escalation!$B$84</f>
        <v/>
      </c>
      <c r="CH74" s="8">
        <f>-3000*Escalation!$B$85</f>
        <v/>
      </c>
      <c r="CI74" s="23" t="n"/>
    </row>
    <row r="75" ht="15" customHeight="1" s="201">
      <c r="A75" s="7" t="inlineStr">
        <is>
          <t>Travel and M&amp;E</t>
        </is>
      </c>
      <c r="B75" s="22" t="n"/>
      <c r="C75" s="8">
        <f>-2500*Escalation!$B$2</f>
        <v/>
      </c>
      <c r="D75" s="8">
        <f>-2500*Escalation!$B$3</f>
        <v/>
      </c>
      <c r="E75" s="8">
        <f>-2500*Escalation!$B$4</f>
        <v/>
      </c>
      <c r="F75" s="8">
        <f>-2500*Escalation!$B$5</f>
        <v/>
      </c>
      <c r="G75" s="8">
        <f>-2500*Escalation!$B$6</f>
        <v/>
      </c>
      <c r="H75" s="8">
        <f>-2500*Escalation!$B$7</f>
        <v/>
      </c>
      <c r="I75" s="8">
        <f>-2500*Escalation!$B$8</f>
        <v/>
      </c>
      <c r="J75" s="8">
        <f>-2500*Escalation!$B$9</f>
        <v/>
      </c>
      <c r="K75" s="8">
        <f>-2500*Escalation!$B$10</f>
        <v/>
      </c>
      <c r="L75" s="8">
        <f>-2500*Escalation!$B$11</f>
        <v/>
      </c>
      <c r="M75" s="8">
        <f>-2500*Escalation!$B$12</f>
        <v/>
      </c>
      <c r="N75" s="8">
        <f>-2500*Escalation!$B$13</f>
        <v/>
      </c>
      <c r="O75" s="8">
        <f>-2500*Escalation!$B$14</f>
        <v/>
      </c>
      <c r="P75" s="8">
        <f>-2500*Escalation!$B$15</f>
        <v/>
      </c>
      <c r="Q75" s="8">
        <f>-2500*Escalation!$B$16</f>
        <v/>
      </c>
      <c r="R75" s="8">
        <f>-2500*Escalation!$B$17</f>
        <v/>
      </c>
      <c r="S75" s="8">
        <f>-2500*Escalation!$B$18</f>
        <v/>
      </c>
      <c r="T75" s="8">
        <f>-2500*Escalation!$B$19</f>
        <v/>
      </c>
      <c r="U75" s="8">
        <f>-2500*Escalation!$B$20</f>
        <v/>
      </c>
      <c r="V75" s="8">
        <f>-2500*Escalation!$B$21</f>
        <v/>
      </c>
      <c r="W75" s="8">
        <f>-2500*Escalation!$B$22</f>
        <v/>
      </c>
      <c r="X75" s="8">
        <f>-2500*Escalation!$B$23</f>
        <v/>
      </c>
      <c r="Y75" s="8">
        <f>-2500*Escalation!$B$24</f>
        <v/>
      </c>
      <c r="Z75" s="8">
        <f>-2500*Escalation!$B$25</f>
        <v/>
      </c>
      <c r="AA75" s="8">
        <f>-2500*Escalation!$B$26</f>
        <v/>
      </c>
      <c r="AB75" s="8">
        <f>-2500*Escalation!$B$27</f>
        <v/>
      </c>
      <c r="AC75" s="8">
        <f>-2500*Escalation!$B$28</f>
        <v/>
      </c>
      <c r="AD75" s="8">
        <f>-2500*Escalation!$B$29</f>
        <v/>
      </c>
      <c r="AE75" s="8">
        <f>-2500*Escalation!$B$30</f>
        <v/>
      </c>
      <c r="AF75" s="8">
        <f>-2500*Escalation!$B$31</f>
        <v/>
      </c>
      <c r="AG75" s="8">
        <f>-2500*Escalation!$B$32</f>
        <v/>
      </c>
      <c r="AH75" s="8">
        <f>-2500*Escalation!$B$33</f>
        <v/>
      </c>
      <c r="AI75" s="8">
        <f>-2500*Escalation!$B$34</f>
        <v/>
      </c>
      <c r="AJ75" s="8">
        <f>-2500*Escalation!$B$35</f>
        <v/>
      </c>
      <c r="AK75" s="8">
        <f>-2500*Escalation!$B$36</f>
        <v/>
      </c>
      <c r="AL75" s="8">
        <f>-2500*Escalation!$B$37</f>
        <v/>
      </c>
      <c r="AM75" s="8">
        <f>-2500*Escalation!$B$38</f>
        <v/>
      </c>
      <c r="AN75" s="8">
        <f>-2500*Escalation!$B$39</f>
        <v/>
      </c>
      <c r="AO75" s="8">
        <f>-2500*Escalation!$B$40</f>
        <v/>
      </c>
      <c r="AP75" s="8">
        <f>-2500*Escalation!$B$41</f>
        <v/>
      </c>
      <c r="AQ75" s="8">
        <f>-2500*Escalation!$B$42</f>
        <v/>
      </c>
      <c r="AR75" s="8">
        <f>-2500*Escalation!$B$43</f>
        <v/>
      </c>
      <c r="AS75" s="8">
        <f>-2500*Escalation!$B$44</f>
        <v/>
      </c>
      <c r="AT75" s="8">
        <f>-2500*Escalation!$B$45</f>
        <v/>
      </c>
      <c r="AU75" s="8">
        <f>-2500*Escalation!$B$46</f>
        <v/>
      </c>
      <c r="AV75" s="8">
        <f>-2500*Escalation!$B$47</f>
        <v/>
      </c>
      <c r="AW75" s="8">
        <f>-2500*Escalation!$B$48</f>
        <v/>
      </c>
      <c r="AX75" s="8">
        <f>-2500*Escalation!$B$49</f>
        <v/>
      </c>
      <c r="AY75" s="8">
        <f>-2500*Escalation!$B$50</f>
        <v/>
      </c>
      <c r="AZ75" s="8">
        <f>-2500*Escalation!$B$51</f>
        <v/>
      </c>
      <c r="BA75" s="8">
        <f>-2500*Escalation!$B$52</f>
        <v/>
      </c>
      <c r="BB75" s="8">
        <f>-2500*Escalation!$B$53</f>
        <v/>
      </c>
      <c r="BC75" s="8">
        <f>-2500*Escalation!$B$54</f>
        <v/>
      </c>
      <c r="BD75" s="8">
        <f>-2500*Escalation!$B$55</f>
        <v/>
      </c>
      <c r="BE75" s="8">
        <f>-2500*Escalation!$B$56</f>
        <v/>
      </c>
      <c r="BF75" s="8">
        <f>-2500*Escalation!$B$57</f>
        <v/>
      </c>
      <c r="BG75" s="8">
        <f>-2500*Escalation!$B$58</f>
        <v/>
      </c>
      <c r="BH75" s="8">
        <f>-2500*Escalation!$B$59</f>
        <v/>
      </c>
      <c r="BI75" s="8">
        <f>-2500*Escalation!$B$60</f>
        <v/>
      </c>
      <c r="BJ75" s="8">
        <f>-2500*Escalation!$B$61</f>
        <v/>
      </c>
      <c r="BK75" s="8">
        <f>-2500*Escalation!$B$62</f>
        <v/>
      </c>
      <c r="BL75" s="8">
        <f>-2500*Escalation!$B$63</f>
        <v/>
      </c>
      <c r="BM75" s="8">
        <f>-2500*Escalation!$B$64</f>
        <v/>
      </c>
      <c r="BN75" s="8">
        <f>-2500*Escalation!$B$65</f>
        <v/>
      </c>
      <c r="BO75" s="8">
        <f>-2500*Escalation!$B$66</f>
        <v/>
      </c>
      <c r="BP75" s="8">
        <f>-2500*Escalation!$B$67</f>
        <v/>
      </c>
      <c r="BQ75" s="8">
        <f>-2500*Escalation!$B$68</f>
        <v/>
      </c>
      <c r="BR75" s="8">
        <f>-2500*Escalation!$B$69</f>
        <v/>
      </c>
      <c r="BS75" s="8">
        <f>-2500*Escalation!$B$70</f>
        <v/>
      </c>
      <c r="BT75" s="8">
        <f>-2500*Escalation!$B$71</f>
        <v/>
      </c>
      <c r="BU75" s="8">
        <f>-2500*Escalation!$B$72</f>
        <v/>
      </c>
      <c r="BV75" s="8">
        <f>-2500*Escalation!$B$73</f>
        <v/>
      </c>
      <c r="BW75" s="8">
        <f>-2500*Escalation!$B$74</f>
        <v/>
      </c>
      <c r="BX75" s="8">
        <f>-2500*Escalation!$B$75</f>
        <v/>
      </c>
      <c r="BY75" s="8">
        <f>-2500*Escalation!$B$76</f>
        <v/>
      </c>
      <c r="BZ75" s="8">
        <f>-2500*Escalation!$B$77</f>
        <v/>
      </c>
      <c r="CA75" s="8">
        <f>-2500*Escalation!$B$78</f>
        <v/>
      </c>
      <c r="CB75" s="8">
        <f>-2500*Escalation!$B$79</f>
        <v/>
      </c>
      <c r="CC75" s="8">
        <f>-2500*Escalation!$B$80</f>
        <v/>
      </c>
      <c r="CD75" s="8">
        <f>-2500*Escalation!$B$81</f>
        <v/>
      </c>
      <c r="CE75" s="8">
        <f>-2500*Escalation!$B$82</f>
        <v/>
      </c>
      <c r="CF75" s="8">
        <f>-2500*Escalation!$B$83</f>
        <v/>
      </c>
      <c r="CG75" s="8">
        <f>-2500*Escalation!$B$84</f>
        <v/>
      </c>
      <c r="CH75" s="8">
        <f>-2500*Escalation!$B$85</f>
        <v/>
      </c>
      <c r="CI75" s="23" t="n"/>
    </row>
    <row r="76" ht="15" customHeight="1" s="201">
      <c r="A76" s="7" t="inlineStr">
        <is>
          <t>Insurance</t>
        </is>
      </c>
      <c r="B76" s="22" t="n"/>
      <c r="C76" s="8">
        <f>-2100*Escalation!$B$2</f>
        <v/>
      </c>
      <c r="D76" s="8">
        <f>-2100*Escalation!$B$3</f>
        <v/>
      </c>
      <c r="E76" s="8">
        <f>-2100*Escalation!$B$4</f>
        <v/>
      </c>
      <c r="F76" s="8">
        <f>-2100*Escalation!$B$5</f>
        <v/>
      </c>
      <c r="G76" s="8">
        <f>-2100*Escalation!$B$6</f>
        <v/>
      </c>
      <c r="H76" s="8">
        <f>-2100*Escalation!$B$7</f>
        <v/>
      </c>
      <c r="I76" s="8">
        <f>-2100*Escalation!$B$8</f>
        <v/>
      </c>
      <c r="J76" s="8">
        <f>-2100*Escalation!$B$9</f>
        <v/>
      </c>
      <c r="K76" s="8">
        <f>-2100*Escalation!$B$10</f>
        <v/>
      </c>
      <c r="L76" s="8">
        <f>-2100*Escalation!$B$11</f>
        <v/>
      </c>
      <c r="M76" s="8">
        <f>-2100*Escalation!$B$12</f>
        <v/>
      </c>
      <c r="N76" s="8">
        <f>-2100*Escalation!$B$13</f>
        <v/>
      </c>
      <c r="O76" s="8">
        <f>-2100*Escalation!$B$14</f>
        <v/>
      </c>
      <c r="P76" s="8">
        <f>-2100*Escalation!$B$15</f>
        <v/>
      </c>
      <c r="Q76" s="8">
        <f>-2100*Escalation!$B$16</f>
        <v/>
      </c>
      <c r="R76" s="8">
        <f>-2100*Escalation!$B$17</f>
        <v/>
      </c>
      <c r="S76" s="8">
        <f>-2100*Escalation!$B$18</f>
        <v/>
      </c>
      <c r="T76" s="8">
        <f>-2100*Escalation!$B$19</f>
        <v/>
      </c>
      <c r="U76" s="8">
        <f>-2100*Escalation!$B$20</f>
        <v/>
      </c>
      <c r="V76" s="8">
        <f>-2100*Escalation!$B$21</f>
        <v/>
      </c>
      <c r="W76" s="8">
        <f>-2100*Escalation!$B$22</f>
        <v/>
      </c>
      <c r="X76" s="8">
        <f>-2100*Escalation!$B$23</f>
        <v/>
      </c>
      <c r="Y76" s="8">
        <f>-2100*Escalation!$B$24</f>
        <v/>
      </c>
      <c r="Z76" s="8">
        <f>-2100*Escalation!$B$25</f>
        <v/>
      </c>
      <c r="AA76" s="8">
        <f>-2100*Escalation!$B$26</f>
        <v/>
      </c>
      <c r="AB76" s="8">
        <f>-2100*Escalation!$B$27</f>
        <v/>
      </c>
      <c r="AC76" s="8">
        <f>-2100*Escalation!$B$28</f>
        <v/>
      </c>
      <c r="AD76" s="8">
        <f>-2100*Escalation!$B$29</f>
        <v/>
      </c>
      <c r="AE76" s="8">
        <f>-2100*Escalation!$B$30</f>
        <v/>
      </c>
      <c r="AF76" s="8">
        <f>-2100*Escalation!$B$31</f>
        <v/>
      </c>
      <c r="AG76" s="8">
        <f>-2100*Escalation!$B$32</f>
        <v/>
      </c>
      <c r="AH76" s="8">
        <f>-2100*Escalation!$B$33</f>
        <v/>
      </c>
      <c r="AI76" s="8">
        <f>-2100*Escalation!$B$34</f>
        <v/>
      </c>
      <c r="AJ76" s="8">
        <f>-2100*Escalation!$B$35</f>
        <v/>
      </c>
      <c r="AK76" s="8">
        <f>-2100*Escalation!$B$36</f>
        <v/>
      </c>
      <c r="AL76" s="8">
        <f>-2100*Escalation!$B$37</f>
        <v/>
      </c>
      <c r="AM76" s="8">
        <f>-2100*Escalation!$B$38</f>
        <v/>
      </c>
      <c r="AN76" s="8">
        <f>-2100*Escalation!$B$39</f>
        <v/>
      </c>
      <c r="AO76" s="8">
        <f>-2100*Escalation!$B$40</f>
        <v/>
      </c>
      <c r="AP76" s="8">
        <f>-2100*Escalation!$B$41</f>
        <v/>
      </c>
      <c r="AQ76" s="8">
        <f>-2100*Escalation!$B$42</f>
        <v/>
      </c>
      <c r="AR76" s="8">
        <f>-2100*Escalation!$B$43</f>
        <v/>
      </c>
      <c r="AS76" s="8">
        <f>-2100*Escalation!$B$44</f>
        <v/>
      </c>
      <c r="AT76" s="8">
        <f>-2100*Escalation!$B$45</f>
        <v/>
      </c>
      <c r="AU76" s="8">
        <f>-2100*Escalation!$B$46</f>
        <v/>
      </c>
      <c r="AV76" s="8">
        <f>-2100*Escalation!$B$47</f>
        <v/>
      </c>
      <c r="AW76" s="8">
        <f>-2100*Escalation!$B$48</f>
        <v/>
      </c>
      <c r="AX76" s="8">
        <f>-2100*Escalation!$B$49</f>
        <v/>
      </c>
      <c r="AY76" s="8">
        <f>-2100*Escalation!$B$50</f>
        <v/>
      </c>
      <c r="AZ76" s="8">
        <f>-2100*Escalation!$B$51</f>
        <v/>
      </c>
      <c r="BA76" s="8">
        <f>-2100*Escalation!$B$52</f>
        <v/>
      </c>
      <c r="BB76" s="8">
        <f>-2100*Escalation!$B$53</f>
        <v/>
      </c>
      <c r="BC76" s="8">
        <f>-2100*Escalation!$B$54</f>
        <v/>
      </c>
      <c r="BD76" s="8">
        <f>-2100*Escalation!$B$55</f>
        <v/>
      </c>
      <c r="BE76" s="8">
        <f>-2100*Escalation!$B$56</f>
        <v/>
      </c>
      <c r="BF76" s="8">
        <f>-2100*Escalation!$B$57</f>
        <v/>
      </c>
      <c r="BG76" s="8">
        <f>-2100*Escalation!$B$58</f>
        <v/>
      </c>
      <c r="BH76" s="8">
        <f>-2100*Escalation!$B$59</f>
        <v/>
      </c>
      <c r="BI76" s="8">
        <f>-2100*Escalation!$B$60</f>
        <v/>
      </c>
      <c r="BJ76" s="8">
        <f>-2100*Escalation!$B$61</f>
        <v/>
      </c>
      <c r="BK76" s="8">
        <f>-2100*Escalation!$B$62</f>
        <v/>
      </c>
      <c r="BL76" s="8">
        <f>-2100*Escalation!$B$63</f>
        <v/>
      </c>
      <c r="BM76" s="8">
        <f>-2100*Escalation!$B$64</f>
        <v/>
      </c>
      <c r="BN76" s="8">
        <f>-2100*Escalation!$B$65</f>
        <v/>
      </c>
      <c r="BO76" s="8">
        <f>-2100*Escalation!$B$66</f>
        <v/>
      </c>
      <c r="BP76" s="8">
        <f>-2100*Escalation!$B$67</f>
        <v/>
      </c>
      <c r="BQ76" s="8">
        <f>-2100*Escalation!$B$68</f>
        <v/>
      </c>
      <c r="BR76" s="8">
        <f>-2100*Escalation!$B$69</f>
        <v/>
      </c>
      <c r="BS76" s="8">
        <f>-2100*Escalation!$B$70</f>
        <v/>
      </c>
      <c r="BT76" s="8">
        <f>-2100*Escalation!$B$71</f>
        <v/>
      </c>
      <c r="BU76" s="8">
        <f>-2100*Escalation!$B$72</f>
        <v/>
      </c>
      <c r="BV76" s="8">
        <f>-2100*Escalation!$B$73</f>
        <v/>
      </c>
      <c r="BW76" s="8">
        <f>-2100*Escalation!$B$74</f>
        <v/>
      </c>
      <c r="BX76" s="8">
        <f>-2100*Escalation!$B$75</f>
        <v/>
      </c>
      <c r="BY76" s="8">
        <f>-2100*Escalation!$B$76</f>
        <v/>
      </c>
      <c r="BZ76" s="8">
        <f>-2100*Escalation!$B$77</f>
        <v/>
      </c>
      <c r="CA76" s="8">
        <f>-2100*Escalation!$B$78</f>
        <v/>
      </c>
      <c r="CB76" s="8">
        <f>-2100*Escalation!$B$79</f>
        <v/>
      </c>
      <c r="CC76" s="8">
        <f>-2100*Escalation!$B$80</f>
        <v/>
      </c>
      <c r="CD76" s="8">
        <f>-2100*Escalation!$B$81</f>
        <v/>
      </c>
      <c r="CE76" s="8">
        <f>-2100*Escalation!$B$82</f>
        <v/>
      </c>
      <c r="CF76" s="8">
        <f>-2100*Escalation!$B$83</f>
        <v/>
      </c>
      <c r="CG76" s="8">
        <f>-2100*Escalation!$B$84</f>
        <v/>
      </c>
      <c r="CH76" s="8">
        <f>-2100*Escalation!$B$85</f>
        <v/>
      </c>
      <c r="CI76" s="23" t="n"/>
    </row>
    <row r="77" ht="15" customHeight="1" s="201">
      <c r="A77" s="7" t="inlineStr">
        <is>
          <t>Other Operating Expenses</t>
        </is>
      </c>
      <c r="B77" s="22" t="n"/>
      <c r="C77" s="8">
        <f>-2500*Escalation!$B$2</f>
        <v/>
      </c>
      <c r="D77" s="8">
        <f>-2500*Escalation!$B$3</f>
        <v/>
      </c>
      <c r="E77" s="8">
        <f>-2500*Escalation!$B$4</f>
        <v/>
      </c>
      <c r="F77" s="8">
        <f>-2500*Escalation!$B$5</f>
        <v/>
      </c>
      <c r="G77" s="8">
        <f>-2500*Escalation!$B$6</f>
        <v/>
      </c>
      <c r="H77" s="8">
        <f>-2500*Escalation!$B$7</f>
        <v/>
      </c>
      <c r="I77" s="8">
        <f>-2500*Escalation!$B$8</f>
        <v/>
      </c>
      <c r="J77" s="8">
        <f>-2500*Escalation!$B$9</f>
        <v/>
      </c>
      <c r="K77" s="8">
        <f>-2500*Escalation!$B$10</f>
        <v/>
      </c>
      <c r="L77" s="8">
        <f>-2500*Escalation!$B$11</f>
        <v/>
      </c>
      <c r="M77" s="8">
        <f>-2500*Escalation!$B$12</f>
        <v/>
      </c>
      <c r="N77" s="8">
        <f>-2500*Escalation!$B$13</f>
        <v/>
      </c>
      <c r="O77" s="8">
        <f>-2500*Escalation!$B$14</f>
        <v/>
      </c>
      <c r="P77" s="8">
        <f>-2500*Escalation!$B$15</f>
        <v/>
      </c>
      <c r="Q77" s="8">
        <f>-2500*Escalation!$B$16</f>
        <v/>
      </c>
      <c r="R77" s="8">
        <f>-2500*Escalation!$B$17</f>
        <v/>
      </c>
      <c r="S77" s="8">
        <f>-2500*Escalation!$B$18</f>
        <v/>
      </c>
      <c r="T77" s="8">
        <f>-2500*Escalation!$B$19</f>
        <v/>
      </c>
      <c r="U77" s="8">
        <f>-2500*Escalation!$B$20</f>
        <v/>
      </c>
      <c r="V77" s="8">
        <f>-2500*Escalation!$B$21</f>
        <v/>
      </c>
      <c r="W77" s="8">
        <f>-2500*Escalation!$B$22</f>
        <v/>
      </c>
      <c r="X77" s="8">
        <f>-2500*Escalation!$B$23</f>
        <v/>
      </c>
      <c r="Y77" s="8">
        <f>-2500*Escalation!$B$24</f>
        <v/>
      </c>
      <c r="Z77" s="8">
        <f>-2500*Escalation!$B$25</f>
        <v/>
      </c>
      <c r="AA77" s="8">
        <f>-2500*Escalation!$B$26</f>
        <v/>
      </c>
      <c r="AB77" s="8">
        <f>-2500*Escalation!$B$27</f>
        <v/>
      </c>
      <c r="AC77" s="8">
        <f>-2500*Escalation!$B$28</f>
        <v/>
      </c>
      <c r="AD77" s="8">
        <f>-2500*Escalation!$B$29</f>
        <v/>
      </c>
      <c r="AE77" s="8">
        <f>-2500*Escalation!$B$30</f>
        <v/>
      </c>
      <c r="AF77" s="8">
        <f>-2500*Escalation!$B$31</f>
        <v/>
      </c>
      <c r="AG77" s="8">
        <f>-2500*Escalation!$B$32</f>
        <v/>
      </c>
      <c r="AH77" s="8">
        <f>-2500*Escalation!$B$33</f>
        <v/>
      </c>
      <c r="AI77" s="8">
        <f>-2500*Escalation!$B$34</f>
        <v/>
      </c>
      <c r="AJ77" s="8">
        <f>-2500*Escalation!$B$35</f>
        <v/>
      </c>
      <c r="AK77" s="8">
        <f>-2500*Escalation!$B$36</f>
        <v/>
      </c>
      <c r="AL77" s="8">
        <f>-2500*Escalation!$B$37</f>
        <v/>
      </c>
      <c r="AM77" s="8">
        <f>-2500*Escalation!$B$38</f>
        <v/>
      </c>
      <c r="AN77" s="8">
        <f>-2500*Escalation!$B$39</f>
        <v/>
      </c>
      <c r="AO77" s="8">
        <f>-2500*Escalation!$B$40</f>
        <v/>
      </c>
      <c r="AP77" s="8">
        <f>-2500*Escalation!$B$41</f>
        <v/>
      </c>
      <c r="AQ77" s="8">
        <f>-2500*Escalation!$B$42</f>
        <v/>
      </c>
      <c r="AR77" s="8">
        <f>-2500*Escalation!$B$43</f>
        <v/>
      </c>
      <c r="AS77" s="8">
        <f>-2500*Escalation!$B$44</f>
        <v/>
      </c>
      <c r="AT77" s="8">
        <f>-2500*Escalation!$B$45</f>
        <v/>
      </c>
      <c r="AU77" s="8">
        <f>-2500*Escalation!$B$46</f>
        <v/>
      </c>
      <c r="AV77" s="8">
        <f>-2500*Escalation!$B$47</f>
        <v/>
      </c>
      <c r="AW77" s="8">
        <f>-2500*Escalation!$B$48</f>
        <v/>
      </c>
      <c r="AX77" s="8">
        <f>-2500*Escalation!$B$49</f>
        <v/>
      </c>
      <c r="AY77" s="8">
        <f>-2500*Escalation!$B$50</f>
        <v/>
      </c>
      <c r="AZ77" s="8">
        <f>-2500*Escalation!$B$51</f>
        <v/>
      </c>
      <c r="BA77" s="8">
        <f>-2500*Escalation!$B$52</f>
        <v/>
      </c>
      <c r="BB77" s="8">
        <f>-2500*Escalation!$B$53</f>
        <v/>
      </c>
      <c r="BC77" s="8">
        <f>-2500*Escalation!$B$54</f>
        <v/>
      </c>
      <c r="BD77" s="8">
        <f>-2500*Escalation!$B$55</f>
        <v/>
      </c>
      <c r="BE77" s="8">
        <f>-2500*Escalation!$B$56</f>
        <v/>
      </c>
      <c r="BF77" s="8">
        <f>-2500*Escalation!$B$57</f>
        <v/>
      </c>
      <c r="BG77" s="8">
        <f>-2500*Escalation!$B$58</f>
        <v/>
      </c>
      <c r="BH77" s="8">
        <f>-2500*Escalation!$B$59</f>
        <v/>
      </c>
      <c r="BI77" s="8">
        <f>-2500*Escalation!$B$60</f>
        <v/>
      </c>
      <c r="BJ77" s="8">
        <f>-2500*Escalation!$B$61</f>
        <v/>
      </c>
      <c r="BK77" s="8">
        <f>-2500*Escalation!$B$62</f>
        <v/>
      </c>
      <c r="BL77" s="8">
        <f>-2500*Escalation!$B$63</f>
        <v/>
      </c>
      <c r="BM77" s="8">
        <f>-2500*Escalation!$B$64</f>
        <v/>
      </c>
      <c r="BN77" s="8">
        <f>-2500*Escalation!$B$65</f>
        <v/>
      </c>
      <c r="BO77" s="8">
        <f>-2500*Escalation!$B$66</f>
        <v/>
      </c>
      <c r="BP77" s="8">
        <f>-2500*Escalation!$B$67</f>
        <v/>
      </c>
      <c r="BQ77" s="8">
        <f>-2500*Escalation!$B$68</f>
        <v/>
      </c>
      <c r="BR77" s="8">
        <f>-2500*Escalation!$B$69</f>
        <v/>
      </c>
      <c r="BS77" s="8">
        <f>-2500*Escalation!$B$70</f>
        <v/>
      </c>
      <c r="BT77" s="8">
        <f>-2500*Escalation!$B$71</f>
        <v/>
      </c>
      <c r="BU77" s="8">
        <f>-2500*Escalation!$B$72</f>
        <v/>
      </c>
      <c r="BV77" s="8">
        <f>-2500*Escalation!$B$73</f>
        <v/>
      </c>
      <c r="BW77" s="8">
        <f>-2500*Escalation!$B$74</f>
        <v/>
      </c>
      <c r="BX77" s="8">
        <f>-2500*Escalation!$B$75</f>
        <v/>
      </c>
      <c r="BY77" s="8">
        <f>-2500*Escalation!$B$76</f>
        <v/>
      </c>
      <c r="BZ77" s="8">
        <f>-2500*Escalation!$B$77</f>
        <v/>
      </c>
      <c r="CA77" s="8">
        <f>-2500*Escalation!$B$78</f>
        <v/>
      </c>
      <c r="CB77" s="8">
        <f>-2500*Escalation!$B$79</f>
        <v/>
      </c>
      <c r="CC77" s="8">
        <f>-2500*Escalation!$B$80</f>
        <v/>
      </c>
      <c r="CD77" s="8">
        <f>-2500*Escalation!$B$81</f>
        <v/>
      </c>
      <c r="CE77" s="8">
        <f>-2500*Escalation!$B$82</f>
        <v/>
      </c>
      <c r="CF77" s="8">
        <f>-2500*Escalation!$B$83</f>
        <v/>
      </c>
      <c r="CG77" s="8">
        <f>-2500*Escalation!$B$84</f>
        <v/>
      </c>
      <c r="CH77" s="8">
        <f>-2500*Escalation!$B$85</f>
        <v/>
      </c>
      <c r="CI77" s="23" t="n"/>
    </row>
    <row r="78" ht="15" customHeight="1" s="201">
      <c r="A78" s="7" t="inlineStr">
        <is>
          <t>Yardi License (Annual)</t>
        </is>
      </c>
      <c r="B78" s="22" t="n"/>
      <c r="C78" s="8" t="n">
        <v>0</v>
      </c>
      <c r="D78" s="8" t="n">
        <v>0</v>
      </c>
      <c r="E78" s="8" t="n">
        <v>0</v>
      </c>
      <c r="F78" s="8" t="n">
        <v>0</v>
      </c>
      <c r="G78" s="8" t="n">
        <v>0</v>
      </c>
      <c r="H78" s="8" t="n">
        <v>0</v>
      </c>
      <c r="I78" s="8" t="n">
        <v>0</v>
      </c>
      <c r="J78" s="8" t="n">
        <v>0</v>
      </c>
      <c r="K78" s="8">
        <f>-21000*Escalation!$B$10</f>
        <v/>
      </c>
      <c r="L78" s="8" t="n">
        <v>0</v>
      </c>
      <c r="M78" s="8" t="n">
        <v>0</v>
      </c>
      <c r="N78" s="8" t="n">
        <v>0</v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0</v>
      </c>
      <c r="T78" s="8" t="n">
        <v>0</v>
      </c>
      <c r="U78" s="8" t="n">
        <v>0</v>
      </c>
      <c r="V78" s="8" t="n">
        <v>0</v>
      </c>
      <c r="W78" s="8">
        <f>-21000*Escalation!$B$22</f>
        <v/>
      </c>
      <c r="X78" s="8" t="n">
        <v>0</v>
      </c>
      <c r="Y78" s="8" t="n">
        <v>0</v>
      </c>
      <c r="Z78" s="8" t="n">
        <v>0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>
        <f>-21000*Escalation!$B$34</f>
        <v/>
      </c>
      <c r="AJ78" s="8" t="n">
        <v>0</v>
      </c>
      <c r="AK78" s="8" t="n">
        <v>0</v>
      </c>
      <c r="AL78" s="8" t="n">
        <v>0</v>
      </c>
      <c r="AM78" s="8" t="n">
        <v>0</v>
      </c>
      <c r="AN78" s="8" t="n">
        <v>0</v>
      </c>
      <c r="AO78" s="8" t="n">
        <v>0</v>
      </c>
      <c r="AP78" s="8" t="n">
        <v>0</v>
      </c>
      <c r="AQ78" s="8" t="n">
        <v>0</v>
      </c>
      <c r="AR78" s="8" t="n">
        <v>0</v>
      </c>
      <c r="AS78" s="8" t="n">
        <v>0</v>
      </c>
      <c r="AT78" s="8" t="n">
        <v>0</v>
      </c>
      <c r="AU78" s="8">
        <f>-21000*Escalation!$B$46</f>
        <v/>
      </c>
      <c r="AV78" s="8" t="n">
        <v>0</v>
      </c>
      <c r="AW78" s="8" t="n">
        <v>0</v>
      </c>
      <c r="AX78" s="8" t="n">
        <v>0</v>
      </c>
      <c r="AY78" s="8" t="n">
        <v>0</v>
      </c>
      <c r="AZ78" s="8" t="n">
        <v>0</v>
      </c>
      <c r="BA78" s="8" t="n">
        <v>0</v>
      </c>
      <c r="BB78" s="8" t="n">
        <v>0</v>
      </c>
      <c r="BC78" s="8" t="n">
        <v>0</v>
      </c>
      <c r="BD78" s="8" t="n">
        <v>0</v>
      </c>
      <c r="BE78" s="8" t="n">
        <v>0</v>
      </c>
      <c r="BF78" s="8" t="n">
        <v>0</v>
      </c>
      <c r="BG78" s="8">
        <f>-21000*Escalation!$B$58</f>
        <v/>
      </c>
      <c r="BH78" s="8" t="n">
        <v>0</v>
      </c>
      <c r="BI78" s="8" t="n">
        <v>0</v>
      </c>
      <c r="BJ78" s="8" t="n">
        <v>0</v>
      </c>
      <c r="BK78" s="8" t="n">
        <v>0</v>
      </c>
      <c r="BL78" s="8" t="n">
        <v>0</v>
      </c>
      <c r="BM78" s="8" t="n">
        <v>0</v>
      </c>
      <c r="BN78" s="8" t="n">
        <v>0</v>
      </c>
      <c r="BO78" s="8" t="n">
        <v>0</v>
      </c>
      <c r="BP78" s="8" t="n">
        <v>0</v>
      </c>
      <c r="BQ78" s="8" t="n">
        <v>0</v>
      </c>
      <c r="BR78" s="8" t="n">
        <v>0</v>
      </c>
      <c r="BS78" s="8">
        <f>-21000*Escalation!$B$70</f>
        <v/>
      </c>
      <c r="BT78" s="8" t="n">
        <v>0</v>
      </c>
      <c r="BU78" s="8" t="n">
        <v>0</v>
      </c>
      <c r="BV78" s="8" t="n">
        <v>0</v>
      </c>
      <c r="BW78" s="8" t="n">
        <v>0</v>
      </c>
      <c r="BX78" s="8" t="n">
        <v>0</v>
      </c>
      <c r="BY78" s="8" t="n">
        <v>0</v>
      </c>
      <c r="BZ78" s="8" t="n">
        <v>0</v>
      </c>
      <c r="CA78" s="8" t="n">
        <v>0</v>
      </c>
      <c r="CB78" s="8" t="n">
        <v>0</v>
      </c>
      <c r="CC78" s="8" t="n">
        <v>0</v>
      </c>
      <c r="CD78" s="8" t="n">
        <v>0</v>
      </c>
      <c r="CE78" s="8">
        <f>-21000*Escalation!$B$82</f>
        <v/>
      </c>
      <c r="CF78" s="8" t="n">
        <v>0</v>
      </c>
      <c r="CG78" s="8" t="n">
        <v>0</v>
      </c>
      <c r="CH78" s="8" t="n">
        <v>0</v>
      </c>
      <c r="CI78" s="23" t="n"/>
    </row>
    <row r="79" ht="15" customHeight="1" s="201">
      <c r="A79" s="7" t="inlineStr">
        <is>
          <t>Juniper Square (Annual)</t>
        </is>
      </c>
      <c r="B79" s="22" t="n"/>
      <c r="C79" s="8" t="n">
        <v>0</v>
      </c>
      <c r="D79" s="8" t="n">
        <v>0</v>
      </c>
      <c r="E79" s="8" t="n">
        <v>0</v>
      </c>
      <c r="F79" s="8">
        <f>-23000*Escalation!$B$5</f>
        <v/>
      </c>
      <c r="G79" s="8" t="n">
        <v>0</v>
      </c>
      <c r="H79" s="8" t="n">
        <v>0</v>
      </c>
      <c r="I79" s="8" t="n">
        <v>0</v>
      </c>
      <c r="J79" s="8" t="n">
        <v>0</v>
      </c>
      <c r="K79" s="8" t="n">
        <v>0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8" t="n">
        <v>0</v>
      </c>
      <c r="R79" s="8">
        <f>-23000*Escalation!$B$17</f>
        <v/>
      </c>
      <c r="S79" s="8" t="n">
        <v>0</v>
      </c>
      <c r="T79" s="8" t="n">
        <v>0</v>
      </c>
      <c r="U79" s="8" t="n">
        <v>0</v>
      </c>
      <c r="V79" s="8" t="n">
        <v>0</v>
      </c>
      <c r="W79" s="8" t="n">
        <v>0</v>
      </c>
      <c r="X79" s="8" t="n">
        <v>0</v>
      </c>
      <c r="Y79" s="8" t="n">
        <v>0</v>
      </c>
      <c r="Z79" s="8" t="n">
        <v>0</v>
      </c>
      <c r="AA79" s="8" t="n">
        <v>0</v>
      </c>
      <c r="AB79" s="8" t="n">
        <v>0</v>
      </c>
      <c r="AC79" s="8" t="n">
        <v>0</v>
      </c>
      <c r="AD79" s="8">
        <f>-23000*Escalation!$B$29</f>
        <v/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  <c r="AK79" s="8" t="n">
        <v>0</v>
      </c>
      <c r="AL79" s="8" t="n">
        <v>0</v>
      </c>
      <c r="AM79" s="8" t="n">
        <v>0</v>
      </c>
      <c r="AN79" s="8" t="n">
        <v>0</v>
      </c>
      <c r="AO79" s="8" t="n">
        <v>0</v>
      </c>
      <c r="AP79" s="8">
        <f>-23000*Escalation!$B$41</f>
        <v/>
      </c>
      <c r="AQ79" s="8" t="n">
        <v>0</v>
      </c>
      <c r="AR79" s="8" t="n">
        <v>0</v>
      </c>
      <c r="AS79" s="8" t="n">
        <v>0</v>
      </c>
      <c r="AT79" s="8" t="n">
        <v>0</v>
      </c>
      <c r="AU79" s="8" t="n">
        <v>0</v>
      </c>
      <c r="AV79" s="8" t="n">
        <v>0</v>
      </c>
      <c r="AW79" s="8" t="n">
        <v>0</v>
      </c>
      <c r="AX79" s="8" t="n">
        <v>0</v>
      </c>
      <c r="AY79" s="8" t="n">
        <v>0</v>
      </c>
      <c r="AZ79" s="8" t="n">
        <v>0</v>
      </c>
      <c r="BA79" s="8" t="n">
        <v>0</v>
      </c>
      <c r="BB79" s="8">
        <f>-23000*Escalation!$B$53</f>
        <v/>
      </c>
      <c r="BC79" s="8" t="n">
        <v>0</v>
      </c>
      <c r="BD79" s="8" t="n">
        <v>0</v>
      </c>
      <c r="BE79" s="8" t="n">
        <v>0</v>
      </c>
      <c r="BF79" s="8" t="n">
        <v>0</v>
      </c>
      <c r="BG79" s="8" t="n">
        <v>0</v>
      </c>
      <c r="BH79" s="8" t="n">
        <v>0</v>
      </c>
      <c r="BI79" s="8" t="n">
        <v>0</v>
      </c>
      <c r="BJ79" s="8" t="n">
        <v>0</v>
      </c>
      <c r="BK79" s="8" t="n">
        <v>0</v>
      </c>
      <c r="BL79" s="8" t="n">
        <v>0</v>
      </c>
      <c r="BM79" s="8" t="n">
        <v>0</v>
      </c>
      <c r="BN79" s="8">
        <f>-23000*Escalation!$B$65</f>
        <v/>
      </c>
      <c r="BO79" s="8" t="n">
        <v>0</v>
      </c>
      <c r="BP79" s="8" t="n">
        <v>0</v>
      </c>
      <c r="BQ79" s="8" t="n">
        <v>0</v>
      </c>
      <c r="BR79" s="8" t="n">
        <v>0</v>
      </c>
      <c r="BS79" s="8" t="n">
        <v>0</v>
      </c>
      <c r="BT79" s="8" t="n">
        <v>0</v>
      </c>
      <c r="BU79" s="8" t="n">
        <v>0</v>
      </c>
      <c r="BV79" s="8" t="n">
        <v>0</v>
      </c>
      <c r="BW79" s="8" t="n">
        <v>0</v>
      </c>
      <c r="BX79" s="8" t="n">
        <v>0</v>
      </c>
      <c r="BY79" s="8" t="n">
        <v>0</v>
      </c>
      <c r="BZ79" s="8">
        <f>-23000*Escalation!$B$77</f>
        <v/>
      </c>
      <c r="CA79" s="8" t="n">
        <v>0</v>
      </c>
      <c r="CB79" s="8" t="n">
        <v>0</v>
      </c>
      <c r="CC79" s="8" t="n">
        <v>0</v>
      </c>
      <c r="CD79" s="8" t="n">
        <v>0</v>
      </c>
      <c r="CE79" s="8" t="n">
        <v>0</v>
      </c>
      <c r="CF79" s="8" t="n">
        <v>0</v>
      </c>
      <c r="CG79" s="8" t="n">
        <v>0</v>
      </c>
      <c r="CH79" s="8" t="n">
        <v>0</v>
      </c>
      <c r="CI79" s="23" t="n"/>
    </row>
    <row r="80" ht="15" customHeight="1" s="201">
      <c r="A80" s="7" t="inlineStr">
        <is>
          <t>Steyn Group Guaranty Fee</t>
        </is>
      </c>
      <c r="B80" s="22" t="n"/>
      <c r="C80" s="8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80" s="8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80" s="8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80" s="8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80" s="8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80" s="8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80" s="8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80" s="8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80" s="8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80" s="8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80" s="8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80" s="8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80" s="8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80" s="8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80" s="8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80" s="8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80" s="8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80" s="8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80" s="8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80" s="8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80" s="8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80" s="8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80" s="8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80" s="8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80" s="8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80" s="8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80" s="8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80" s="8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80" s="8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80" s="8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80" s="8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80" s="8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80" s="8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80" s="8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80" s="8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80" s="8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80" s="8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80" s="8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80" s="8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80" s="8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80" s="8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80" s="8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80" s="8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80" s="8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80" s="8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80" s="8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80" s="8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80" s="8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80" s="8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80" s="8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80" s="8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80" s="8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80" s="8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80" s="8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80" s="8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80" s="8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80" s="8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80" s="8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80" s="8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80" s="8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80" s="8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80" s="8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80" s="8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80" s="8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80" s="8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80" s="8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80" s="8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80" s="8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80" s="8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80" s="8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80" s="8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80" s="8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80" s="8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80" s="8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80" s="8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80" s="8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80" s="8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80" s="8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80" s="8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80" s="8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80" s="8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80" s="8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80" s="8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80" s="8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80" s="23" t="n"/>
    </row>
    <row r="81" ht="15" customHeight="1" s="201">
      <c r="A81" s="7" t="inlineStr">
        <is>
          <t>Steyn Liquidity Guarantee Fee</t>
        </is>
      </c>
      <c r="B81" s="22" t="n"/>
      <c r="C81" s="8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1" s="8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1" s="8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1" s="8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1" s="8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1" s="8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1" s="8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1" s="8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1" s="8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1" s="8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1" s="8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1" s="8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1" s="8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1" s="8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1" s="8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1" s="8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1" s="8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1" s="8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1" s="8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1" s="8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1" s="8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1" s="8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1" s="8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1" s="8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1" s="8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1" s="8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1" s="8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1" s="8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1" s="8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1" s="8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1" s="8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1" s="8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1" s="8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1" s="8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1" s="8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1" s="8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1" s="8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1" s="8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1" s="8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1" s="8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1" s="8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1" s="8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1" s="8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1" s="8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1" s="8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1" s="8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1" s="8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1" s="8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1" s="8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1" s="8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1" s="8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1" s="8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1" s="8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1" s="8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1" s="8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1" s="8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1" s="8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1" s="8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1" s="8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1" s="8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1" s="8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1" s="8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1" s="8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1" s="8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1" s="8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1" s="8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1" s="8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1" s="8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1" s="8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1" s="8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1" s="8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1" s="8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1" s="8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1" s="8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1" s="8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1" s="8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1" s="8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1" s="8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1" s="8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1" s="8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1" s="8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1" s="8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1" s="8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1" s="8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1" s="23" t="n"/>
    </row>
    <row r="82" ht="15" customHeight="1" s="201">
      <c r="A82" s="7" t="inlineStr">
        <is>
          <t>Francis Steyn Fee + PIK (from LIHTC Revenue)</t>
        </is>
      </c>
      <c r="B82" s="22" t="n"/>
      <c r="C82" s="8">
        <f>-Helpers!C20</f>
        <v/>
      </c>
      <c r="D82" s="8">
        <f>-Helpers!D20</f>
        <v/>
      </c>
      <c r="E82" s="8">
        <f>-Helpers!E20</f>
        <v/>
      </c>
      <c r="F82" s="8">
        <f>-Helpers!F20</f>
        <v/>
      </c>
      <c r="G82" s="8">
        <f>-Helpers!G20</f>
        <v/>
      </c>
      <c r="H82" s="8">
        <f>-Helpers!H20</f>
        <v/>
      </c>
      <c r="I82" s="8">
        <f>-Helpers!I20</f>
        <v/>
      </c>
      <c r="J82" s="8">
        <f>-Helpers!J20</f>
        <v/>
      </c>
      <c r="K82" s="8">
        <f>-Helpers!K20</f>
        <v/>
      </c>
      <c r="L82" s="8">
        <f>-Helpers!L20</f>
        <v/>
      </c>
      <c r="M82" s="8">
        <f>-Helpers!M20</f>
        <v/>
      </c>
      <c r="N82" s="8">
        <f>-Helpers!N20</f>
        <v/>
      </c>
      <c r="O82" s="8">
        <f>-Helpers!O20</f>
        <v/>
      </c>
      <c r="P82" s="8">
        <f>-Helpers!P20</f>
        <v/>
      </c>
      <c r="Q82" s="8">
        <f>-Helpers!Q20</f>
        <v/>
      </c>
      <c r="R82" s="8">
        <f>-Helpers!R20</f>
        <v/>
      </c>
      <c r="S82" s="8">
        <f>-Helpers!S20</f>
        <v/>
      </c>
      <c r="T82" s="8">
        <f>-Helpers!T20</f>
        <v/>
      </c>
      <c r="U82" s="8">
        <f>-Helpers!U20</f>
        <v/>
      </c>
      <c r="V82" s="8">
        <f>-Helpers!V20</f>
        <v/>
      </c>
      <c r="W82" s="8">
        <f>-Helpers!W20</f>
        <v/>
      </c>
      <c r="X82" s="8">
        <f>-Helpers!X20</f>
        <v/>
      </c>
      <c r="Y82" s="8">
        <f>-Helpers!Y20</f>
        <v/>
      </c>
      <c r="Z82" s="8">
        <f>-Helpers!Z20</f>
        <v/>
      </c>
      <c r="AA82" s="8">
        <f>-Helpers!AA20</f>
        <v/>
      </c>
      <c r="AB82" s="8">
        <f>-Helpers!AB20</f>
        <v/>
      </c>
      <c r="AC82" s="8">
        <f>-Helpers!AC20</f>
        <v/>
      </c>
      <c r="AD82" s="8">
        <f>-Helpers!AD20</f>
        <v/>
      </c>
      <c r="AE82" s="8">
        <f>-Helpers!AE20</f>
        <v/>
      </c>
      <c r="AF82" s="8">
        <f>-Helpers!AF20</f>
        <v/>
      </c>
      <c r="AG82" s="8">
        <f>-Helpers!AG20</f>
        <v/>
      </c>
      <c r="AH82" s="8">
        <f>-Helpers!AH20</f>
        <v/>
      </c>
      <c r="AI82" s="8">
        <f>-Helpers!AI20</f>
        <v/>
      </c>
      <c r="AJ82" s="8">
        <f>-Helpers!AJ20</f>
        <v/>
      </c>
      <c r="AK82" s="8">
        <f>-Helpers!AK20</f>
        <v/>
      </c>
      <c r="AL82" s="8">
        <f>-Helpers!AL20</f>
        <v/>
      </c>
      <c r="AM82" s="8">
        <f>-Helpers!AM20</f>
        <v/>
      </c>
      <c r="AN82" s="8">
        <f>-Helpers!AN20</f>
        <v/>
      </c>
      <c r="AO82" s="8">
        <f>-Helpers!AO20</f>
        <v/>
      </c>
      <c r="AP82" s="8">
        <f>-Helpers!AP20</f>
        <v/>
      </c>
      <c r="AQ82" s="8">
        <f>-Helpers!AQ20</f>
        <v/>
      </c>
      <c r="AR82" s="8">
        <f>-Helpers!AR20</f>
        <v/>
      </c>
      <c r="AS82" s="8">
        <f>-Helpers!AS20</f>
        <v/>
      </c>
      <c r="AT82" s="8">
        <f>-Helpers!AT20</f>
        <v/>
      </c>
      <c r="AU82" s="8">
        <f>-Helpers!AU20</f>
        <v/>
      </c>
      <c r="AV82" s="8">
        <f>-Helpers!AV20</f>
        <v/>
      </c>
      <c r="AW82" s="8">
        <f>-Helpers!AW20</f>
        <v/>
      </c>
      <c r="AX82" s="8">
        <f>-Helpers!AX20</f>
        <v/>
      </c>
      <c r="AY82" s="8">
        <f>-Helpers!AY20</f>
        <v/>
      </c>
      <c r="AZ82" s="8">
        <f>-Helpers!AZ20</f>
        <v/>
      </c>
      <c r="BA82" s="8">
        <f>-Helpers!BA20</f>
        <v/>
      </c>
      <c r="BB82" s="8">
        <f>-Helpers!BB20</f>
        <v/>
      </c>
      <c r="BC82" s="8">
        <f>-Helpers!BC20</f>
        <v/>
      </c>
      <c r="BD82" s="8">
        <f>-Helpers!BD20</f>
        <v/>
      </c>
      <c r="BE82" s="8">
        <f>-Helpers!BE20</f>
        <v/>
      </c>
      <c r="BF82" s="8">
        <f>-Helpers!BF20</f>
        <v/>
      </c>
      <c r="BG82" s="8">
        <f>-Helpers!BG20</f>
        <v/>
      </c>
      <c r="BH82" s="8">
        <f>-Helpers!BH20</f>
        <v/>
      </c>
      <c r="BI82" s="8">
        <f>-Helpers!BI20</f>
        <v/>
      </c>
      <c r="BJ82" s="8">
        <f>-Helpers!BJ20</f>
        <v/>
      </c>
      <c r="BK82" s="8">
        <f>-Helpers!BK20</f>
        <v/>
      </c>
      <c r="BL82" s="8">
        <f>-Helpers!BL20</f>
        <v/>
      </c>
      <c r="BM82" s="8">
        <f>-Helpers!BM20</f>
        <v/>
      </c>
      <c r="BN82" s="8">
        <f>-Helpers!BN20</f>
        <v/>
      </c>
      <c r="BO82" s="8">
        <f>-Helpers!BO20</f>
        <v/>
      </c>
      <c r="BP82" s="8">
        <f>-Helpers!BP20</f>
        <v/>
      </c>
      <c r="BQ82" s="8">
        <f>-Helpers!BQ20</f>
        <v/>
      </c>
      <c r="BR82" s="8">
        <f>-Helpers!BR20</f>
        <v/>
      </c>
      <c r="BS82" s="8">
        <f>-Helpers!BS20</f>
        <v/>
      </c>
      <c r="BT82" s="8">
        <f>-Helpers!BT20</f>
        <v/>
      </c>
      <c r="BU82" s="8">
        <f>-Helpers!BU20</f>
        <v/>
      </c>
      <c r="BV82" s="8">
        <f>-Helpers!BV20</f>
        <v/>
      </c>
      <c r="BW82" s="8">
        <f>-Helpers!BW20</f>
        <v/>
      </c>
      <c r="BX82" s="8">
        <f>-Helpers!BX20</f>
        <v/>
      </c>
      <c r="BY82" s="8">
        <f>-Helpers!BY20</f>
        <v/>
      </c>
      <c r="BZ82" s="8">
        <f>-Helpers!BZ20</f>
        <v/>
      </c>
      <c r="CA82" s="8">
        <f>-Helpers!CA20</f>
        <v/>
      </c>
      <c r="CB82" s="8">
        <f>-Helpers!CB20</f>
        <v/>
      </c>
      <c r="CC82" s="8">
        <f>-Helpers!CC20</f>
        <v/>
      </c>
      <c r="CD82" s="8">
        <f>-Helpers!CD20</f>
        <v/>
      </c>
      <c r="CE82" s="8">
        <f>-Helpers!CE20</f>
        <v/>
      </c>
      <c r="CF82" s="8">
        <f>-Helpers!CF20</f>
        <v/>
      </c>
      <c r="CG82" s="8">
        <f>-Helpers!CG20</f>
        <v/>
      </c>
      <c r="CH82" s="8">
        <f>-Helpers!CH20</f>
        <v/>
      </c>
      <c r="CI82" s="23" t="n"/>
    </row>
    <row r="83" ht="15" customHeight="1" s="201">
      <c r="A83" s="7" t="inlineStr">
        <is>
          <t>Reseda Steyn Fee + PIK (from LIHTC Revenue)</t>
        </is>
      </c>
      <c r="B83" s="22" t="n"/>
      <c r="C83" s="8">
        <f>-Helpers!C23+C129</f>
        <v/>
      </c>
      <c r="D83" s="8">
        <f>-Helpers!D23+D129</f>
        <v/>
      </c>
      <c r="E83" s="8">
        <f>-Helpers!E23+E129</f>
        <v/>
      </c>
      <c r="F83" s="8">
        <f>-Helpers!F23+F129</f>
        <v/>
      </c>
      <c r="G83" s="8">
        <f>-Helpers!G23+G129</f>
        <v/>
      </c>
      <c r="H83" s="8">
        <f>-Helpers!H23+H129</f>
        <v/>
      </c>
      <c r="I83" s="8">
        <f>-Helpers!I23+I129</f>
        <v/>
      </c>
      <c r="J83" s="8">
        <f>-Helpers!J23+J129</f>
        <v/>
      </c>
      <c r="K83" s="8">
        <f>-Helpers!K23+K129</f>
        <v/>
      </c>
      <c r="L83" s="8">
        <f>-Helpers!L23+L129</f>
        <v/>
      </c>
      <c r="M83" s="8">
        <f>-Helpers!M23+M129</f>
        <v/>
      </c>
      <c r="N83" s="8">
        <f>-Helpers!N23+N129</f>
        <v/>
      </c>
      <c r="O83" s="8">
        <f>-Helpers!O23+O129</f>
        <v/>
      </c>
      <c r="P83" s="8">
        <f>-Helpers!P23+P129</f>
        <v/>
      </c>
      <c r="Q83" s="8">
        <f>-Helpers!Q23+Q129</f>
        <v/>
      </c>
      <c r="R83" s="8">
        <f>-Helpers!R23+R129</f>
        <v/>
      </c>
      <c r="S83" s="8">
        <f>-Helpers!S23+S129</f>
        <v/>
      </c>
      <c r="T83" s="8">
        <f>-Helpers!T23+T129</f>
        <v/>
      </c>
      <c r="U83" s="8">
        <f>-Helpers!U23+U129</f>
        <v/>
      </c>
      <c r="V83" s="8">
        <f>-Helpers!V23+V129</f>
        <v/>
      </c>
      <c r="W83" s="8">
        <f>-Helpers!W23+W129</f>
        <v/>
      </c>
      <c r="X83" s="8">
        <f>-Helpers!X23+X129</f>
        <v/>
      </c>
      <c r="Y83" s="8">
        <f>-Helpers!Y23+Y129</f>
        <v/>
      </c>
      <c r="Z83" s="8">
        <f>-Helpers!Z23+Z129</f>
        <v/>
      </c>
      <c r="AA83" s="8">
        <f>-Helpers!AA23+AA129</f>
        <v/>
      </c>
      <c r="AB83" s="8">
        <f>-Helpers!AB23+AB129</f>
        <v/>
      </c>
      <c r="AC83" s="8">
        <f>-Helpers!AC23+AC129</f>
        <v/>
      </c>
      <c r="AD83" s="8">
        <f>-Helpers!AD23+AD129</f>
        <v/>
      </c>
      <c r="AE83" s="8">
        <f>-Helpers!AE23+AE129</f>
        <v/>
      </c>
      <c r="AF83" s="8">
        <f>-Helpers!AF23+AF129</f>
        <v/>
      </c>
      <c r="AG83" s="8">
        <f>-Helpers!AG23+AG129</f>
        <v/>
      </c>
      <c r="AH83" s="8">
        <f>-Helpers!AH23+AH129</f>
        <v/>
      </c>
      <c r="AI83" s="8">
        <f>-Helpers!AI23+AI129</f>
        <v/>
      </c>
      <c r="AJ83" s="8">
        <f>-Helpers!AJ23+AJ129</f>
        <v/>
      </c>
      <c r="AK83" s="8">
        <f>-Helpers!AK23+AK129</f>
        <v/>
      </c>
      <c r="AL83" s="8">
        <f>-Helpers!AL23+AL129</f>
        <v/>
      </c>
      <c r="AM83" s="8">
        <f>-Helpers!AM23+AM129</f>
        <v/>
      </c>
      <c r="AN83" s="8">
        <f>-Helpers!AN23+AN129</f>
        <v/>
      </c>
      <c r="AO83" s="8">
        <f>-Helpers!AO23+AO129</f>
        <v/>
      </c>
      <c r="AP83" s="8">
        <f>-Helpers!AP23+AP129</f>
        <v/>
      </c>
      <c r="AQ83" s="8">
        <f>-Helpers!AQ23+AQ129</f>
        <v/>
      </c>
      <c r="AR83" s="8">
        <f>-Helpers!AR23+AR129</f>
        <v/>
      </c>
      <c r="AS83" s="8">
        <f>-Helpers!AS23+AS129</f>
        <v/>
      </c>
      <c r="AT83" s="8">
        <f>-Helpers!AT23+AT129</f>
        <v/>
      </c>
      <c r="AU83" s="8">
        <f>-Helpers!AU23+AU129</f>
        <v/>
      </c>
      <c r="AV83" s="8">
        <f>-Helpers!AV23+AV129</f>
        <v/>
      </c>
      <c r="AW83" s="8">
        <f>-Helpers!AW23+AW129</f>
        <v/>
      </c>
      <c r="AX83" s="8">
        <f>-Helpers!AX23+AX129</f>
        <v/>
      </c>
      <c r="AY83" s="8">
        <f>-Helpers!AY23+AY129</f>
        <v/>
      </c>
      <c r="AZ83" s="8">
        <f>-Helpers!AZ23+AZ129</f>
        <v/>
      </c>
      <c r="BA83" s="8">
        <f>-Helpers!BA23+BA129</f>
        <v/>
      </c>
      <c r="BB83" s="8">
        <f>-Helpers!BB23+BB129</f>
        <v/>
      </c>
      <c r="BC83" s="8">
        <f>-Helpers!BC23+BC129</f>
        <v/>
      </c>
      <c r="BD83" s="8">
        <f>-Helpers!BD23+BD129</f>
        <v/>
      </c>
      <c r="BE83" s="8">
        <f>-Helpers!BE23+BE129</f>
        <v/>
      </c>
      <c r="BF83" s="8">
        <f>-Helpers!BF23+BF129</f>
        <v/>
      </c>
      <c r="BG83" s="8">
        <f>-Helpers!BG23+BG129</f>
        <v/>
      </c>
      <c r="BH83" s="8">
        <f>-Helpers!BH23+BH129</f>
        <v/>
      </c>
      <c r="BI83" s="8">
        <f>-Helpers!BI23+BI129</f>
        <v/>
      </c>
      <c r="BJ83" s="8">
        <f>-Helpers!BJ23+BJ129</f>
        <v/>
      </c>
      <c r="BK83" s="8">
        <f>-Helpers!BK23+BK129</f>
        <v/>
      </c>
      <c r="BL83" s="8">
        <f>-Helpers!BL23+BL129</f>
        <v/>
      </c>
      <c r="BM83" s="8">
        <f>-Helpers!BM23+BM129</f>
        <v/>
      </c>
      <c r="BN83" s="8">
        <f>-Helpers!BN23+BN129</f>
        <v/>
      </c>
      <c r="BO83" s="8">
        <f>-Helpers!BO23+BO129</f>
        <v/>
      </c>
      <c r="BP83" s="8">
        <f>-Helpers!BP23+BP129</f>
        <v/>
      </c>
      <c r="BQ83" s="8">
        <f>-Helpers!BQ23+BQ129</f>
        <v/>
      </c>
      <c r="BR83" s="8">
        <f>-Helpers!BR23+BR129</f>
        <v/>
      </c>
      <c r="BS83" s="8">
        <f>-Helpers!BS23+BS129</f>
        <v/>
      </c>
      <c r="BT83" s="8">
        <f>-Helpers!BT23+BT129</f>
        <v/>
      </c>
      <c r="BU83" s="8">
        <f>-Helpers!BU23+BU129</f>
        <v/>
      </c>
      <c r="BV83" s="8">
        <f>-Helpers!BV23+BV129</f>
        <v/>
      </c>
      <c r="BW83" s="8">
        <f>-Helpers!BW23+BW129</f>
        <v/>
      </c>
      <c r="BX83" s="8">
        <f>-Helpers!BX23+BX129</f>
        <v/>
      </c>
      <c r="BY83" s="8">
        <f>-Helpers!BY23+BY129</f>
        <v/>
      </c>
      <c r="BZ83" s="8">
        <f>-Helpers!BZ23+BZ129</f>
        <v/>
      </c>
      <c r="CA83" s="8">
        <f>-Helpers!CA23+CA129</f>
        <v/>
      </c>
      <c r="CB83" s="8">
        <f>-Helpers!CB23+CB129</f>
        <v/>
      </c>
      <c r="CC83" s="8">
        <f>-Helpers!CC23+CC129</f>
        <v/>
      </c>
      <c r="CD83" s="8">
        <f>-Helpers!CD23+CD129</f>
        <v/>
      </c>
      <c r="CE83" s="8">
        <f>-Helpers!CE23+CE129</f>
        <v/>
      </c>
      <c r="CF83" s="8">
        <f>-Helpers!CF23+CF129</f>
        <v/>
      </c>
      <c r="CG83" s="8">
        <f>-Helpers!CG23+CG129</f>
        <v/>
      </c>
      <c r="CH83" s="8">
        <f>-Helpers!CH23+CH129</f>
        <v/>
      </c>
      <c r="CI83" s="23" t="n"/>
    </row>
    <row r="84" ht="15" customHeight="1" s="201">
      <c r="A84" s="7" t="inlineStr">
        <is>
          <t>3rd St Steyn Fee + PIK (from LIHTC Revenue)</t>
        </is>
      </c>
      <c r="B84" s="22" t="n"/>
      <c r="C84" s="8">
        <f>-Helpers!C26+C124</f>
        <v/>
      </c>
      <c r="D84" s="8">
        <f>-Helpers!D26+D124</f>
        <v/>
      </c>
      <c r="E84" s="8">
        <f>-Helpers!E26+E124</f>
        <v/>
      </c>
      <c r="F84" s="8">
        <f>-Helpers!F26+F124</f>
        <v/>
      </c>
      <c r="G84" s="8">
        <f>-Helpers!G26+G124</f>
        <v/>
      </c>
      <c r="H84" s="8">
        <f>-Helpers!H26+H124</f>
        <v/>
      </c>
      <c r="I84" s="8">
        <f>-Helpers!I26+I124</f>
        <v/>
      </c>
      <c r="J84" s="8">
        <f>-Helpers!J26+J124</f>
        <v/>
      </c>
      <c r="K84" s="8">
        <f>-Helpers!K26+K124</f>
        <v/>
      </c>
      <c r="L84" s="8">
        <f>-Helpers!L26+L124</f>
        <v/>
      </c>
      <c r="M84" s="8">
        <f>-Helpers!M26+M124</f>
        <v/>
      </c>
      <c r="N84" s="8">
        <f>-Helpers!N26+N124</f>
        <v/>
      </c>
      <c r="O84" s="8">
        <f>-Helpers!O26+O124</f>
        <v/>
      </c>
      <c r="P84" s="8">
        <f>-Helpers!P26+P124</f>
        <v/>
      </c>
      <c r="Q84" s="8">
        <f>-Helpers!Q26+Q124</f>
        <v/>
      </c>
      <c r="R84" s="8">
        <f>-Helpers!R26+R124</f>
        <v/>
      </c>
      <c r="S84" s="8">
        <f>-Helpers!S26+S124</f>
        <v/>
      </c>
      <c r="T84" s="8">
        <f>-Helpers!T26+T124</f>
        <v/>
      </c>
      <c r="U84" s="8">
        <f>-Helpers!U26+U124</f>
        <v/>
      </c>
      <c r="V84" s="8">
        <f>-Helpers!V26+V124</f>
        <v/>
      </c>
      <c r="W84" s="8">
        <f>-Helpers!W26+W124</f>
        <v/>
      </c>
      <c r="X84" s="8">
        <f>-Helpers!X26+X124</f>
        <v/>
      </c>
      <c r="Y84" s="8">
        <f>-Helpers!Y26+Y124</f>
        <v/>
      </c>
      <c r="Z84" s="8">
        <f>-Helpers!Z26+Z124</f>
        <v/>
      </c>
      <c r="AA84" s="8">
        <f>-Helpers!AA26+AA124</f>
        <v/>
      </c>
      <c r="AB84" s="8">
        <f>-Helpers!AB26+AB124</f>
        <v/>
      </c>
      <c r="AC84" s="8">
        <f>-Helpers!AC26+AC124</f>
        <v/>
      </c>
      <c r="AD84" s="8">
        <f>-Helpers!AD26+AD124</f>
        <v/>
      </c>
      <c r="AE84" s="8">
        <f>-Helpers!AE26+AE124</f>
        <v/>
      </c>
      <c r="AF84" s="8">
        <f>-Helpers!AF26+AF124</f>
        <v/>
      </c>
      <c r="AG84" s="8">
        <f>-Helpers!AG26+AG124</f>
        <v/>
      </c>
      <c r="AH84" s="8">
        <f>-Helpers!AH26+AH124</f>
        <v/>
      </c>
      <c r="AI84" s="8">
        <f>-Helpers!AI26+AI124</f>
        <v/>
      </c>
      <c r="AJ84" s="8">
        <f>-Helpers!AJ26+AJ124</f>
        <v/>
      </c>
      <c r="AK84" s="8">
        <f>-Helpers!AK26+AK124</f>
        <v/>
      </c>
      <c r="AL84" s="8">
        <f>-Helpers!AL26+AL124</f>
        <v/>
      </c>
      <c r="AM84" s="8">
        <f>-Helpers!AM26+AM124</f>
        <v/>
      </c>
      <c r="AN84" s="8">
        <f>-Helpers!AN26+AN124</f>
        <v/>
      </c>
      <c r="AO84" s="8">
        <f>-Helpers!AO26+AO124</f>
        <v/>
      </c>
      <c r="AP84" s="8">
        <f>-Helpers!AP26+AP124</f>
        <v/>
      </c>
      <c r="AQ84" s="8">
        <f>-Helpers!AQ26+AQ124</f>
        <v/>
      </c>
      <c r="AR84" s="8">
        <f>-Helpers!AR26+AR124</f>
        <v/>
      </c>
      <c r="AS84" s="8">
        <f>-Helpers!AS26+AS124</f>
        <v/>
      </c>
      <c r="AT84" s="8">
        <f>-Helpers!AT26+AT124</f>
        <v/>
      </c>
      <c r="AU84" s="8">
        <f>-Helpers!AU26+AU124</f>
        <v/>
      </c>
      <c r="AV84" s="8">
        <f>-Helpers!AV26+AV124</f>
        <v/>
      </c>
      <c r="AW84" s="8">
        <f>-Helpers!AW26+AW124</f>
        <v/>
      </c>
      <c r="AX84" s="8">
        <f>-Helpers!AX26+AX124</f>
        <v/>
      </c>
      <c r="AY84" s="8">
        <f>-Helpers!AY26+AY124</f>
        <v/>
      </c>
      <c r="AZ84" s="8">
        <f>-Helpers!AZ26+AZ124</f>
        <v/>
      </c>
      <c r="BA84" s="8">
        <f>-Helpers!BA26+BA124</f>
        <v/>
      </c>
      <c r="BB84" s="8">
        <f>-Helpers!BB26+BB124</f>
        <v/>
      </c>
      <c r="BC84" s="8">
        <f>-Helpers!BC26+BC124</f>
        <v/>
      </c>
      <c r="BD84" s="8">
        <f>-Helpers!BD26+BD124</f>
        <v/>
      </c>
      <c r="BE84" s="8">
        <f>-Helpers!BE26+BE124</f>
        <v/>
      </c>
      <c r="BF84" s="8">
        <f>-Helpers!BF26+BF124</f>
        <v/>
      </c>
      <c r="BG84" s="8">
        <f>-Helpers!BG26+BG124</f>
        <v/>
      </c>
      <c r="BH84" s="8">
        <f>-Helpers!BH26+BH124</f>
        <v/>
      </c>
      <c r="BI84" s="8">
        <f>-Helpers!BI26+BI124</f>
        <v/>
      </c>
      <c r="BJ84" s="8">
        <f>-Helpers!BJ26+BJ124</f>
        <v/>
      </c>
      <c r="BK84" s="8">
        <f>-Helpers!BK26+BK124</f>
        <v/>
      </c>
      <c r="BL84" s="8">
        <f>-Helpers!BL26+BL124</f>
        <v/>
      </c>
      <c r="BM84" s="8">
        <f>-Helpers!BM26+BM124</f>
        <v/>
      </c>
      <c r="BN84" s="8">
        <f>-Helpers!BN26+BN124</f>
        <v/>
      </c>
      <c r="BO84" s="8">
        <f>-Helpers!BO26+BO124</f>
        <v/>
      </c>
      <c r="BP84" s="8">
        <f>-Helpers!BP26+BP124</f>
        <v/>
      </c>
      <c r="BQ84" s="8">
        <f>-Helpers!BQ26+BQ124</f>
        <v/>
      </c>
      <c r="BR84" s="8">
        <f>-Helpers!BR26+BR124</f>
        <v/>
      </c>
      <c r="BS84" s="8">
        <f>-Helpers!BS26+BS124</f>
        <v/>
      </c>
      <c r="BT84" s="8">
        <f>-Helpers!BT26+BT124</f>
        <v/>
      </c>
      <c r="BU84" s="8">
        <f>-Helpers!BU26+BU124</f>
        <v/>
      </c>
      <c r="BV84" s="8">
        <f>-Helpers!BV26+BV124</f>
        <v/>
      </c>
      <c r="BW84" s="8">
        <f>-Helpers!BW26+BW124</f>
        <v/>
      </c>
      <c r="BX84" s="8">
        <f>-Helpers!BX26+BX124</f>
        <v/>
      </c>
      <c r="BY84" s="8">
        <f>-Helpers!BY26+BY124</f>
        <v/>
      </c>
      <c r="BZ84" s="8">
        <f>-Helpers!BZ26+BZ124</f>
        <v/>
      </c>
      <c r="CA84" s="8">
        <f>-Helpers!CA26+CA124</f>
        <v/>
      </c>
      <c r="CB84" s="8">
        <f>-Helpers!CB26+CB124</f>
        <v/>
      </c>
      <c r="CC84" s="8">
        <f>-Helpers!CC26+CC124</f>
        <v/>
      </c>
      <c r="CD84" s="8">
        <f>-Helpers!CD26+CD124</f>
        <v/>
      </c>
      <c r="CE84" s="8">
        <f>-Helpers!CE26+CE124</f>
        <v/>
      </c>
      <c r="CF84" s="8">
        <f>-Helpers!CF26+CF124</f>
        <v/>
      </c>
      <c r="CG84" s="8">
        <f>-Helpers!CG26+CG124</f>
        <v/>
      </c>
      <c r="CH84" s="8">
        <f>-Helpers!CH26+CH124</f>
        <v/>
      </c>
      <c r="CI84" s="23" t="n"/>
    </row>
    <row r="85" ht="15" customHeight="1" s="201">
      <c r="A85" s="9" t="inlineStr">
        <is>
          <t>Total Six Peak Expenses</t>
        </is>
      </c>
      <c r="B85" s="28" t="n"/>
      <c r="C85" s="10">
        <f>C66+C67+C68+C69+C70+SUM(C71:C84)</f>
        <v/>
      </c>
      <c r="D85" s="10">
        <f>D66+D67+D68+D69+D70+SUM(D71:D84)</f>
        <v/>
      </c>
      <c r="E85" s="10">
        <f>E66+E67+E68+E69+E70+SUM(E71:E84)</f>
        <v/>
      </c>
      <c r="F85" s="10">
        <f>F66+F67+F68+F69+F70+SUM(F71:F84)</f>
        <v/>
      </c>
      <c r="G85" s="10">
        <f>G66+G67+G68+G69+G70+SUM(G71:G84)</f>
        <v/>
      </c>
      <c r="H85" s="10">
        <f>H66+H67+H68+H69+H70+SUM(H71:H84)</f>
        <v/>
      </c>
      <c r="I85" s="10">
        <f>I66+I67+I68+I69+I70+SUM(I71:I84)</f>
        <v/>
      </c>
      <c r="J85" s="10">
        <f>J66+J67+J68+J69+J70+SUM(J71:J84)</f>
        <v/>
      </c>
      <c r="K85" s="10">
        <f>K66+K67+K68+K69+K70+SUM(K71:K84)</f>
        <v/>
      </c>
      <c r="L85" s="10">
        <f>L66+L67+L68+L69+L70+SUM(L71:L84)</f>
        <v/>
      </c>
      <c r="M85" s="10">
        <f>M66+M67+M68+M69+M70+SUM(M71:M84)</f>
        <v/>
      </c>
      <c r="N85" s="10">
        <f>N66+N67+N68+N69+N70+SUM(N71:N84)</f>
        <v/>
      </c>
      <c r="O85" s="10">
        <f>O66+O67+O68+O69+O70+SUM(O71:O84)</f>
        <v/>
      </c>
      <c r="P85" s="10">
        <f>P66+P67+P68+P69+P70+SUM(P71:P84)</f>
        <v/>
      </c>
      <c r="Q85" s="10">
        <f>Q66+Q67+Q68+Q69+Q70+SUM(Q71:Q84)</f>
        <v/>
      </c>
      <c r="R85" s="10">
        <f>R66+R67+R68+R69+R70+SUM(R71:R84)</f>
        <v/>
      </c>
      <c r="S85" s="10">
        <f>S66+S67+S68+S69+S70+SUM(S71:S84)</f>
        <v/>
      </c>
      <c r="T85" s="10">
        <f>T66+T67+T68+T69+T70+SUM(T71:T84)</f>
        <v/>
      </c>
      <c r="U85" s="10">
        <f>U66+U67+U68+U69+U70+SUM(U71:U84)</f>
        <v/>
      </c>
      <c r="V85" s="10">
        <f>V66+V67+V68+V69+V70+SUM(V71:V84)</f>
        <v/>
      </c>
      <c r="W85" s="10">
        <f>W66+W67+W68+W69+W70+SUM(W71:W84)</f>
        <v/>
      </c>
      <c r="X85" s="10">
        <f>X66+X67+X68+X69+X70+SUM(X71:X84)</f>
        <v/>
      </c>
      <c r="Y85" s="10">
        <f>Y66+Y67+Y68+Y69+Y70+SUM(Y71:Y84)</f>
        <v/>
      </c>
      <c r="Z85" s="10">
        <f>Z66+Z67+Z68+Z69+Z70+SUM(Z71:Z84)</f>
        <v/>
      </c>
      <c r="AA85" s="10">
        <f>AA66+AA67+AA68+AA69+AA70+SUM(AA71:AA84)</f>
        <v/>
      </c>
      <c r="AB85" s="10">
        <f>AB66+AB67+AB68+AB69+AB70+SUM(AB71:AB84)</f>
        <v/>
      </c>
      <c r="AC85" s="10">
        <f>AC66+AC67+AC68+AC69+AC70+SUM(AC71:AC84)</f>
        <v/>
      </c>
      <c r="AD85" s="10">
        <f>AD66+AD67+AD68+AD69+AD70+SUM(AD71:AD84)</f>
        <v/>
      </c>
      <c r="AE85" s="10">
        <f>AE66+AE67+AE68+AE69+AE70+SUM(AE71:AE84)</f>
        <v/>
      </c>
      <c r="AF85" s="10">
        <f>AF66+AF67+AF68+AF69+AF70+SUM(AF71:AF84)</f>
        <v/>
      </c>
      <c r="AG85" s="10">
        <f>AG66+AG67+AG68+AG69+AG70+SUM(AG71:AG84)</f>
        <v/>
      </c>
      <c r="AH85" s="10">
        <f>AH66+AH67+AH68+AH69+AH70+SUM(AH71:AH84)</f>
        <v/>
      </c>
      <c r="AI85" s="10">
        <f>AI66+AI67+AI68+AI69+AI70+SUM(AI71:AI84)</f>
        <v/>
      </c>
      <c r="AJ85" s="10">
        <f>AJ66+AJ67+AJ68+AJ69+AJ70+SUM(AJ71:AJ84)</f>
        <v/>
      </c>
      <c r="AK85" s="10">
        <f>AK66+AK67+AK68+AK69+AK70+SUM(AK71:AK84)</f>
        <v/>
      </c>
      <c r="AL85" s="10">
        <f>AL66+AL67+AL68+AL69+AL70+SUM(AL71:AL84)</f>
        <v/>
      </c>
      <c r="AM85" s="10">
        <f>AM66+AM67+AM68+AM69+AM70+SUM(AM71:AM84)</f>
        <v/>
      </c>
      <c r="AN85" s="10">
        <f>AN66+AN67+AN68+AN69+AN70+SUM(AN71:AN84)</f>
        <v/>
      </c>
      <c r="AO85" s="10">
        <f>AO66+AO67+AO68+AO69+AO70+SUM(AO71:AO84)</f>
        <v/>
      </c>
      <c r="AP85" s="10">
        <f>AP66+AP67+AP68+AP69+AP70+SUM(AP71:AP84)</f>
        <v/>
      </c>
      <c r="AQ85" s="10">
        <f>AQ66+AQ67+AQ68+AQ69+AQ70+SUM(AQ71:AQ84)</f>
        <v/>
      </c>
      <c r="AR85" s="10">
        <f>AR66+AR67+AR68+AR69+AR70+SUM(AR71:AR84)</f>
        <v/>
      </c>
      <c r="AS85" s="10">
        <f>AS66+AS67+AS68+AS69+AS70+SUM(AS71:AS84)</f>
        <v/>
      </c>
      <c r="AT85" s="10">
        <f>AT66+AT67+AT68+AT69+AT70+SUM(AT71:AT84)</f>
        <v/>
      </c>
      <c r="AU85" s="10">
        <f>AU66+AU67+AU68+AU69+AU70+SUM(AU71:AU84)</f>
        <v/>
      </c>
      <c r="AV85" s="10">
        <f>AV66+AV67+AV68+AV69+AV70+SUM(AV71:AV84)</f>
        <v/>
      </c>
      <c r="AW85" s="10">
        <f>AW66+AW67+AW68+AW69+AW70+SUM(AW71:AW84)</f>
        <v/>
      </c>
      <c r="AX85" s="10">
        <f>AX66+AX67+AX68+AX69+AX70+SUM(AX71:AX84)</f>
        <v/>
      </c>
      <c r="AY85" s="10">
        <f>AY66+AY67+AY68+AY69+AY70+SUM(AY71:AY84)</f>
        <v/>
      </c>
      <c r="AZ85" s="10">
        <f>AZ66+AZ67+AZ68+AZ69+AZ70+SUM(AZ71:AZ84)</f>
        <v/>
      </c>
      <c r="BA85" s="10">
        <f>BA66+BA67+BA68+BA69+BA70+SUM(BA71:BA84)</f>
        <v/>
      </c>
      <c r="BB85" s="10">
        <f>BB66+BB67+BB68+BB69+BB70+SUM(BB71:BB84)</f>
        <v/>
      </c>
      <c r="BC85" s="10">
        <f>BC66+BC67+BC68+BC69+BC70+SUM(BC71:BC84)</f>
        <v/>
      </c>
      <c r="BD85" s="10">
        <f>BD66+BD67+BD68+BD69+BD70+SUM(BD71:BD84)</f>
        <v/>
      </c>
      <c r="BE85" s="10">
        <f>BE66+BE67+BE68+BE69+BE70+SUM(BE71:BE84)</f>
        <v/>
      </c>
      <c r="BF85" s="10">
        <f>BF66+BF67+BF68+BF69+BF70+SUM(BF71:BF84)</f>
        <v/>
      </c>
      <c r="BG85" s="10">
        <f>BG66+BG67+BG68+BG69+BG70+SUM(BG71:BG84)</f>
        <v/>
      </c>
      <c r="BH85" s="10">
        <f>BH66+BH67+BH68+BH69+BH70+SUM(BH71:BH84)</f>
        <v/>
      </c>
      <c r="BI85" s="10">
        <f>BI66+BI67+BI68+BI69+BI70+SUM(BI71:BI84)</f>
        <v/>
      </c>
      <c r="BJ85" s="10">
        <f>BJ66+BJ67+BJ68+BJ69+BJ70+SUM(BJ71:BJ84)</f>
        <v/>
      </c>
      <c r="BK85" s="10">
        <f>BK66+BK67+BK68+BK69+BK70+SUM(BK71:BK84)</f>
        <v/>
      </c>
      <c r="BL85" s="10">
        <f>BL66+BL67+BL68+BL69+BL70+SUM(BL71:BL84)</f>
        <v/>
      </c>
      <c r="BM85" s="10">
        <f>BM66+BM67+BM68+BM69+BM70+SUM(BM71:BM84)</f>
        <v/>
      </c>
      <c r="BN85" s="10">
        <f>BN66+BN67+BN68+BN69+BN70+SUM(BN71:BN84)</f>
        <v/>
      </c>
      <c r="BO85" s="10">
        <f>BO66+BO67+BO68+BO69+BO70+SUM(BO71:BO84)</f>
        <v/>
      </c>
      <c r="BP85" s="10">
        <f>BP66+BP67+BP68+BP69+BP70+SUM(BP71:BP84)</f>
        <v/>
      </c>
      <c r="BQ85" s="10">
        <f>BQ66+BQ67+BQ68+BQ69+BQ70+SUM(BQ71:BQ84)</f>
        <v/>
      </c>
      <c r="BR85" s="10">
        <f>BR66+BR67+BR68+BR69+BR70+SUM(BR71:BR84)</f>
        <v/>
      </c>
      <c r="BS85" s="10">
        <f>BS66+BS67+BS68+BS69+BS70+SUM(BS71:BS84)</f>
        <v/>
      </c>
      <c r="BT85" s="10">
        <f>BT66+BT67+BT68+BT69+BT70+SUM(BT71:BT84)</f>
        <v/>
      </c>
      <c r="BU85" s="10">
        <f>BU66+BU67+BU68+BU69+BU70+SUM(BU71:BU84)</f>
        <v/>
      </c>
      <c r="BV85" s="10">
        <f>BV66+BV67+BV68+BV69+BV70+SUM(BV71:BV84)</f>
        <v/>
      </c>
      <c r="BW85" s="10">
        <f>BW66+BW67+BW68+BW69+BW70+SUM(BW71:BW84)</f>
        <v/>
      </c>
      <c r="BX85" s="10">
        <f>BX66+BX67+BX68+BX69+BX70+SUM(BX71:BX84)</f>
        <v/>
      </c>
      <c r="BY85" s="10">
        <f>BY66+BY67+BY68+BY69+BY70+SUM(BY71:BY84)</f>
        <v/>
      </c>
      <c r="BZ85" s="10">
        <f>BZ66+BZ67+BZ68+BZ69+BZ70+SUM(BZ71:BZ84)</f>
        <v/>
      </c>
      <c r="CA85" s="10">
        <f>CA66+CA67+CA68+CA69+CA70+SUM(CA71:CA84)</f>
        <v/>
      </c>
      <c r="CB85" s="10">
        <f>CB66+CB67+CB68+CB69+CB70+SUM(CB71:CB84)</f>
        <v/>
      </c>
      <c r="CC85" s="10">
        <f>CC66+CC67+CC68+CC69+CC70+SUM(CC71:CC84)</f>
        <v/>
      </c>
      <c r="CD85" s="10">
        <f>CD66+CD67+CD68+CD69+CD70+SUM(CD71:CD84)</f>
        <v/>
      </c>
      <c r="CE85" s="10">
        <f>CE66+CE67+CE68+CE69+CE70+SUM(CE71:CE84)</f>
        <v/>
      </c>
      <c r="CF85" s="10">
        <f>CF66+CF67+CF68+CF69+CF70+SUM(CF71:CF84)</f>
        <v/>
      </c>
      <c r="CG85" s="10">
        <f>CG66+CG67+CG68+CG69+CG70+SUM(CG71:CG84)</f>
        <v/>
      </c>
      <c r="CH85" s="10">
        <f>CH66+CH67+CH68+CH69+CH70+SUM(CH71:CH84)</f>
        <v/>
      </c>
      <c r="CI85" s="23" t="n"/>
    </row>
    <row r="86" ht="15" customHeight="1" s="201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2" t="n"/>
      <c r="AM86" s="22" t="n"/>
      <c r="AN86" s="22" t="n"/>
      <c r="AO86" s="22" t="n"/>
      <c r="AP86" s="22" t="n"/>
      <c r="AQ86" s="22" t="n"/>
      <c r="AR86" s="22" t="n"/>
      <c r="AS86" s="22" t="n"/>
      <c r="AT86" s="22" t="n"/>
      <c r="AU86" s="22" t="n"/>
      <c r="AV86" s="22" t="n"/>
      <c r="AW86" s="22" t="n"/>
      <c r="AX86" s="22" t="n"/>
      <c r="AY86" s="22" t="n"/>
      <c r="AZ86" s="22" t="n"/>
      <c r="BA86" s="22" t="n"/>
      <c r="BB86" s="22" t="n"/>
      <c r="BC86" s="22" t="n"/>
      <c r="BD86" s="22" t="n"/>
      <c r="BE86" s="22" t="n"/>
      <c r="BF86" s="22" t="n"/>
      <c r="BG86" s="22" t="n"/>
      <c r="BH86" s="22" t="n"/>
      <c r="BI86" s="22" t="n"/>
      <c r="BJ86" s="22" t="n"/>
      <c r="BK86" s="22" t="n"/>
      <c r="BL86" s="22" t="n"/>
      <c r="BM86" s="22" t="n"/>
      <c r="BN86" s="22" t="n"/>
      <c r="BO86" s="22" t="n"/>
      <c r="BP86" s="22" t="n"/>
      <c r="BQ86" s="22" t="n"/>
      <c r="BR86" s="22" t="n"/>
      <c r="BS86" s="22" t="n"/>
      <c r="BT86" s="22" t="n"/>
      <c r="BU86" s="22" t="n"/>
      <c r="BV86" s="22" t="n"/>
      <c r="BW86" s="22" t="n"/>
      <c r="BX86" s="22" t="n"/>
      <c r="BY86" s="22" t="n"/>
      <c r="BZ86" s="22" t="n"/>
      <c r="CA86" s="22" t="n"/>
      <c r="CB86" s="22" t="n"/>
      <c r="CC86" s="22" t="n"/>
      <c r="CD86" s="22" t="n"/>
      <c r="CE86" s="22" t="n"/>
      <c r="CF86" s="22" t="n"/>
      <c r="CG86" s="22" t="n"/>
      <c r="CH86" s="22" t="n"/>
      <c r="CI86" s="23" t="n"/>
    </row>
    <row r="87" ht="15" customHeight="1" s="201">
      <c r="A87" s="13" t="inlineStr">
        <is>
          <t>Six Peak Net Income</t>
        </is>
      </c>
      <c r="B87" s="29" t="n"/>
      <c r="C87" s="14">
        <f>C64+C85</f>
        <v/>
      </c>
      <c r="D87" s="14">
        <f>D64+D85</f>
        <v/>
      </c>
      <c r="E87" s="14">
        <f>E64+E85</f>
        <v/>
      </c>
      <c r="F87" s="14">
        <f>F64+F85</f>
        <v/>
      </c>
      <c r="G87" s="14">
        <f>G64+G85</f>
        <v/>
      </c>
      <c r="H87" s="14">
        <f>H64+H85</f>
        <v/>
      </c>
      <c r="I87" s="14">
        <f>I64+I85</f>
        <v/>
      </c>
      <c r="J87" s="14">
        <f>J64+J85</f>
        <v/>
      </c>
      <c r="K87" s="14">
        <f>K64+K85</f>
        <v/>
      </c>
      <c r="L87" s="14">
        <f>L64+L85</f>
        <v/>
      </c>
      <c r="M87" s="14">
        <f>M64+M85</f>
        <v/>
      </c>
      <c r="N87" s="14">
        <f>N64+N85</f>
        <v/>
      </c>
      <c r="O87" s="14">
        <f>O64+O85</f>
        <v/>
      </c>
      <c r="P87" s="14">
        <f>P64+P85</f>
        <v/>
      </c>
      <c r="Q87" s="14">
        <f>Q64+Q85</f>
        <v/>
      </c>
      <c r="R87" s="14">
        <f>R64+R85</f>
        <v/>
      </c>
      <c r="S87" s="14">
        <f>S64+S85</f>
        <v/>
      </c>
      <c r="T87" s="14">
        <f>T64+T85</f>
        <v/>
      </c>
      <c r="U87" s="14">
        <f>U64+U85</f>
        <v/>
      </c>
      <c r="V87" s="14">
        <f>V64+V85</f>
        <v/>
      </c>
      <c r="W87" s="14">
        <f>W64+W85</f>
        <v/>
      </c>
      <c r="X87" s="14">
        <f>X64+X85</f>
        <v/>
      </c>
      <c r="Y87" s="14">
        <f>Y64+Y85</f>
        <v/>
      </c>
      <c r="Z87" s="14">
        <f>Z64+Z85</f>
        <v/>
      </c>
      <c r="AA87" s="14">
        <f>AA64+AA85</f>
        <v/>
      </c>
      <c r="AB87" s="14">
        <f>AB64+AB85</f>
        <v/>
      </c>
      <c r="AC87" s="14">
        <f>AC64+AC85</f>
        <v/>
      </c>
      <c r="AD87" s="14">
        <f>AD64+AD85</f>
        <v/>
      </c>
      <c r="AE87" s="14">
        <f>AE64+AE85</f>
        <v/>
      </c>
      <c r="AF87" s="14">
        <f>AF64+AF85</f>
        <v/>
      </c>
      <c r="AG87" s="14">
        <f>AG64+AG85</f>
        <v/>
      </c>
      <c r="AH87" s="14">
        <f>AH64+AH85</f>
        <v/>
      </c>
      <c r="AI87" s="14">
        <f>AI64+AI85</f>
        <v/>
      </c>
      <c r="AJ87" s="14">
        <f>AJ64+AJ85</f>
        <v/>
      </c>
      <c r="AK87" s="14">
        <f>AK64+AK85</f>
        <v/>
      </c>
      <c r="AL87" s="14">
        <f>AL64+AL85</f>
        <v/>
      </c>
      <c r="AM87" s="14">
        <f>AM64+AM85</f>
        <v/>
      </c>
      <c r="AN87" s="14">
        <f>AN64+AN85</f>
        <v/>
      </c>
      <c r="AO87" s="14">
        <f>AO64+AO85</f>
        <v/>
      </c>
      <c r="AP87" s="14">
        <f>AP64+AP85</f>
        <v/>
      </c>
      <c r="AQ87" s="14">
        <f>AQ64+AQ85</f>
        <v/>
      </c>
      <c r="AR87" s="14">
        <f>AR64+AR85</f>
        <v/>
      </c>
      <c r="AS87" s="14">
        <f>AS64+AS85</f>
        <v/>
      </c>
      <c r="AT87" s="14">
        <f>AT64+AT85</f>
        <v/>
      </c>
      <c r="AU87" s="14">
        <f>AU64+AU85</f>
        <v/>
      </c>
      <c r="AV87" s="14">
        <f>AV64+AV85</f>
        <v/>
      </c>
      <c r="AW87" s="14">
        <f>AW64+AW85</f>
        <v/>
      </c>
      <c r="AX87" s="14">
        <f>AX64+AX85</f>
        <v/>
      </c>
      <c r="AY87" s="14">
        <f>AY64+AY85</f>
        <v/>
      </c>
      <c r="AZ87" s="14">
        <f>AZ64+AZ85</f>
        <v/>
      </c>
      <c r="BA87" s="14">
        <f>BA64+BA85</f>
        <v/>
      </c>
      <c r="BB87" s="14">
        <f>BB64+BB85</f>
        <v/>
      </c>
      <c r="BC87" s="14">
        <f>BC64+BC85</f>
        <v/>
      </c>
      <c r="BD87" s="14">
        <f>BD64+BD85</f>
        <v/>
      </c>
      <c r="BE87" s="14">
        <f>BE64+BE85</f>
        <v/>
      </c>
      <c r="BF87" s="14">
        <f>BF64+BF85</f>
        <v/>
      </c>
      <c r="BG87" s="14">
        <f>BG64+BG85</f>
        <v/>
      </c>
      <c r="BH87" s="14">
        <f>BH64+BH85</f>
        <v/>
      </c>
      <c r="BI87" s="14">
        <f>BI64+BI85</f>
        <v/>
      </c>
      <c r="BJ87" s="14">
        <f>BJ64+BJ85</f>
        <v/>
      </c>
      <c r="BK87" s="14">
        <f>BK64+BK85</f>
        <v/>
      </c>
      <c r="BL87" s="14">
        <f>BL64+BL85</f>
        <v/>
      </c>
      <c r="BM87" s="14">
        <f>BM64+BM85</f>
        <v/>
      </c>
      <c r="BN87" s="14">
        <f>BN64+BN85</f>
        <v/>
      </c>
      <c r="BO87" s="14">
        <f>BO64+BO85</f>
        <v/>
      </c>
      <c r="BP87" s="14">
        <f>BP64+BP85</f>
        <v/>
      </c>
      <c r="BQ87" s="14">
        <f>BQ64+BQ85</f>
        <v/>
      </c>
      <c r="BR87" s="14">
        <f>BR64+BR85</f>
        <v/>
      </c>
      <c r="BS87" s="14">
        <f>BS64+BS85</f>
        <v/>
      </c>
      <c r="BT87" s="14">
        <f>BT64+BT85</f>
        <v/>
      </c>
      <c r="BU87" s="14">
        <f>BU64+BU85</f>
        <v/>
      </c>
      <c r="BV87" s="14">
        <f>BV64+BV85</f>
        <v/>
      </c>
      <c r="BW87" s="14">
        <f>BW64+BW85</f>
        <v/>
      </c>
      <c r="BX87" s="14">
        <f>BX64+BX85</f>
        <v/>
      </c>
      <c r="BY87" s="14">
        <f>BY64+BY85</f>
        <v/>
      </c>
      <c r="BZ87" s="14">
        <f>BZ64+BZ85</f>
        <v/>
      </c>
      <c r="CA87" s="14">
        <f>CA64+CA85</f>
        <v/>
      </c>
      <c r="CB87" s="14">
        <f>CB64+CB85</f>
        <v/>
      </c>
      <c r="CC87" s="14">
        <f>CC64+CC85</f>
        <v/>
      </c>
      <c r="CD87" s="14">
        <f>CD64+CD85</f>
        <v/>
      </c>
      <c r="CE87" s="14">
        <f>CE64+CE85</f>
        <v/>
      </c>
      <c r="CF87" s="14">
        <f>CF64+CF85</f>
        <v/>
      </c>
      <c r="CG87" s="14">
        <f>CG64+CG85</f>
        <v/>
      </c>
      <c r="CH87" s="14">
        <f>CH64+CH85</f>
        <v/>
      </c>
      <c r="CI87" s="23" t="n"/>
    </row>
    <row r="88" ht="15" customHeight="1" s="201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2" t="n"/>
      <c r="AM88" s="22" t="n"/>
      <c r="AN88" s="22" t="n"/>
      <c r="AO88" s="22" t="n"/>
      <c r="AP88" s="22" t="n"/>
      <c r="AQ88" s="22" t="n"/>
      <c r="AR88" s="22" t="n"/>
      <c r="AS88" s="22" t="n"/>
      <c r="AT88" s="22" t="n"/>
      <c r="AU88" s="22" t="n"/>
      <c r="AV88" s="22" t="n"/>
      <c r="AW88" s="22" t="n"/>
      <c r="AX88" s="22" t="n"/>
      <c r="AY88" s="22" t="n"/>
      <c r="AZ88" s="22" t="n"/>
      <c r="BA88" s="22" t="n"/>
      <c r="BB88" s="22" t="n"/>
      <c r="BC88" s="22" t="n"/>
      <c r="BD88" s="22" t="n"/>
      <c r="BE88" s="22" t="n"/>
      <c r="BF88" s="22" t="n"/>
      <c r="BG88" s="22" t="n"/>
      <c r="BH88" s="22" t="n"/>
      <c r="BI88" s="22" t="n"/>
      <c r="BJ88" s="22" t="n"/>
      <c r="BK88" s="22" t="n"/>
      <c r="BL88" s="22" t="n"/>
      <c r="BM88" s="22" t="n"/>
      <c r="BN88" s="22" t="n"/>
      <c r="BO88" s="22" t="n"/>
      <c r="BP88" s="22" t="n"/>
      <c r="BQ88" s="22" t="n"/>
      <c r="BR88" s="22" t="n"/>
      <c r="BS88" s="22" t="n"/>
      <c r="BT88" s="22" t="n"/>
      <c r="BU88" s="22" t="n"/>
      <c r="BV88" s="22" t="n"/>
      <c r="BW88" s="22" t="n"/>
      <c r="BX88" s="22" t="n"/>
      <c r="BY88" s="22" t="n"/>
      <c r="BZ88" s="22" t="n"/>
      <c r="CA88" s="22" t="n"/>
      <c r="CB88" s="22" t="n"/>
      <c r="CC88" s="22" t="n"/>
      <c r="CD88" s="22" t="n"/>
      <c r="CE88" s="22" t="n"/>
      <c r="CF88" s="22" t="n"/>
      <c r="CG88" s="22" t="n"/>
      <c r="CH88" s="22" t="n"/>
      <c r="CI88" s="23" t="n"/>
    </row>
    <row r="89" ht="15" customHeight="1" s="201">
      <c r="A89" s="26" t="inlineStr">
        <is>
          <t>CONSOLIDATED P&amp;L</t>
        </is>
      </c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6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6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3" t="n"/>
    </row>
    <row r="90" ht="15" customHeight="1" s="201">
      <c r="A90" s="16" t="inlineStr">
        <is>
          <t>GC Revenue</t>
        </is>
      </c>
      <c r="B90" s="22" t="n"/>
      <c r="C90" s="8">
        <f>C12</f>
        <v/>
      </c>
      <c r="D90" s="8">
        <f>D12</f>
        <v/>
      </c>
      <c r="E90" s="8">
        <f>E12</f>
        <v/>
      </c>
      <c r="F90" s="8">
        <f>F12</f>
        <v/>
      </c>
      <c r="G90" s="8">
        <f>G12</f>
        <v/>
      </c>
      <c r="H90" s="8">
        <f>H12</f>
        <v/>
      </c>
      <c r="I90" s="8">
        <f>I12</f>
        <v/>
      </c>
      <c r="J90" s="8">
        <f>J12</f>
        <v/>
      </c>
      <c r="K90" s="8">
        <f>K12</f>
        <v/>
      </c>
      <c r="L90" s="8">
        <f>L12</f>
        <v/>
      </c>
      <c r="M90" s="8">
        <f>M12</f>
        <v/>
      </c>
      <c r="N90" s="8">
        <f>N12</f>
        <v/>
      </c>
      <c r="O90" s="8">
        <f>O12</f>
        <v/>
      </c>
      <c r="P90" s="8">
        <f>P12</f>
        <v/>
      </c>
      <c r="Q90" s="8">
        <f>Q12</f>
        <v/>
      </c>
      <c r="R90" s="8">
        <f>R12</f>
        <v/>
      </c>
      <c r="S90" s="8">
        <f>S12</f>
        <v/>
      </c>
      <c r="T90" s="8">
        <f>T12</f>
        <v/>
      </c>
      <c r="U90" s="8">
        <f>U12</f>
        <v/>
      </c>
      <c r="V90" s="8">
        <f>V12</f>
        <v/>
      </c>
      <c r="W90" s="8">
        <f>W12</f>
        <v/>
      </c>
      <c r="X90" s="8">
        <f>X12</f>
        <v/>
      </c>
      <c r="Y90" s="8">
        <f>Y12</f>
        <v/>
      </c>
      <c r="Z90" s="8">
        <f>Z12</f>
        <v/>
      </c>
      <c r="AA90" s="8">
        <f>AA12</f>
        <v/>
      </c>
      <c r="AB90" s="8">
        <f>AB12</f>
        <v/>
      </c>
      <c r="AC90" s="8">
        <f>AC12</f>
        <v/>
      </c>
      <c r="AD90" s="8">
        <f>AD12</f>
        <v/>
      </c>
      <c r="AE90" s="8">
        <f>AE12</f>
        <v/>
      </c>
      <c r="AF90" s="8">
        <f>AF12</f>
        <v/>
      </c>
      <c r="AG90" s="8">
        <f>AG12</f>
        <v/>
      </c>
      <c r="AH90" s="8">
        <f>AH12</f>
        <v/>
      </c>
      <c r="AI90" s="8">
        <f>AI12</f>
        <v/>
      </c>
      <c r="AJ90" s="8">
        <f>AJ12</f>
        <v/>
      </c>
      <c r="AK90" s="8">
        <f>AK12</f>
        <v/>
      </c>
      <c r="AL90" s="8">
        <f>AL12</f>
        <v/>
      </c>
      <c r="AM90" s="8">
        <f>AM12</f>
        <v/>
      </c>
      <c r="AN90" s="8">
        <f>AN12</f>
        <v/>
      </c>
      <c r="AO90" s="8">
        <f>AO12</f>
        <v/>
      </c>
      <c r="AP90" s="8">
        <f>AP12</f>
        <v/>
      </c>
      <c r="AQ90" s="8">
        <f>AQ12</f>
        <v/>
      </c>
      <c r="AR90" s="8">
        <f>AR12</f>
        <v/>
      </c>
      <c r="AS90" s="8">
        <f>AS12</f>
        <v/>
      </c>
      <c r="AT90" s="8">
        <f>AT12</f>
        <v/>
      </c>
      <c r="AU90" s="8">
        <f>AU12</f>
        <v/>
      </c>
      <c r="AV90" s="8">
        <f>AV12</f>
        <v/>
      </c>
      <c r="AW90" s="8">
        <f>AW12</f>
        <v/>
      </c>
      <c r="AX90" s="8">
        <f>AX12</f>
        <v/>
      </c>
      <c r="AY90" s="8">
        <f>AY12</f>
        <v/>
      </c>
      <c r="AZ90" s="8">
        <f>AZ12</f>
        <v/>
      </c>
      <c r="BA90" s="8">
        <f>BA12</f>
        <v/>
      </c>
      <c r="BB90" s="8">
        <f>BB12</f>
        <v/>
      </c>
      <c r="BC90" s="8">
        <f>BC12</f>
        <v/>
      </c>
      <c r="BD90" s="8">
        <f>BD12</f>
        <v/>
      </c>
      <c r="BE90" s="8">
        <f>BE12</f>
        <v/>
      </c>
      <c r="BF90" s="8">
        <f>BF12</f>
        <v/>
      </c>
      <c r="BG90" s="8">
        <f>BG12</f>
        <v/>
      </c>
      <c r="BH90" s="8">
        <f>BH12</f>
        <v/>
      </c>
      <c r="BI90" s="8">
        <f>BI12</f>
        <v/>
      </c>
      <c r="BJ90" s="8">
        <f>BJ12</f>
        <v/>
      </c>
      <c r="BK90" s="8">
        <f>BK12</f>
        <v/>
      </c>
      <c r="BL90" s="8">
        <f>BL12</f>
        <v/>
      </c>
      <c r="BM90" s="8">
        <f>BM12</f>
        <v/>
      </c>
      <c r="BN90" s="8">
        <f>BN12</f>
        <v/>
      </c>
      <c r="BO90" s="8">
        <f>BO12</f>
        <v/>
      </c>
      <c r="BP90" s="8">
        <f>BP12</f>
        <v/>
      </c>
      <c r="BQ90" s="8">
        <f>BQ12</f>
        <v/>
      </c>
      <c r="BR90" s="8">
        <f>BR12</f>
        <v/>
      </c>
      <c r="BS90" s="8">
        <f>BS12</f>
        <v/>
      </c>
      <c r="BT90" s="8">
        <f>BT12</f>
        <v/>
      </c>
      <c r="BU90" s="8">
        <f>BU12</f>
        <v/>
      </c>
      <c r="BV90" s="8">
        <f>BV12</f>
        <v/>
      </c>
      <c r="BW90" s="8">
        <f>BW12</f>
        <v/>
      </c>
      <c r="BX90" s="8">
        <f>BX12</f>
        <v/>
      </c>
      <c r="BY90" s="8">
        <f>BY12</f>
        <v/>
      </c>
      <c r="BZ90" s="8">
        <f>BZ12</f>
        <v/>
      </c>
      <c r="CA90" s="8">
        <f>CA12</f>
        <v/>
      </c>
      <c r="CB90" s="8">
        <f>CB12</f>
        <v/>
      </c>
      <c r="CC90" s="8">
        <f>CC12</f>
        <v/>
      </c>
      <c r="CD90" s="8">
        <f>CD12</f>
        <v/>
      </c>
      <c r="CE90" s="8">
        <f>CE12</f>
        <v/>
      </c>
      <c r="CF90" s="8">
        <f>CF12</f>
        <v/>
      </c>
      <c r="CG90" s="8">
        <f>CG12</f>
        <v/>
      </c>
      <c r="CH90" s="8">
        <f>CH12</f>
        <v/>
      </c>
      <c r="CI90" s="23" t="n"/>
    </row>
    <row r="91" ht="15" customHeight="1" s="201">
      <c r="A91" s="16" t="inlineStr">
        <is>
          <t>Six Peak Revenue</t>
        </is>
      </c>
      <c r="B91" s="22" t="n"/>
      <c r="C91" s="8">
        <f>C64</f>
        <v/>
      </c>
      <c r="D91" s="8">
        <f>D64</f>
        <v/>
      </c>
      <c r="E91" s="8">
        <f>E64</f>
        <v/>
      </c>
      <c r="F91" s="8">
        <f>F64</f>
        <v/>
      </c>
      <c r="G91" s="8">
        <f>G64</f>
        <v/>
      </c>
      <c r="H91" s="8">
        <f>H64</f>
        <v/>
      </c>
      <c r="I91" s="8">
        <f>I64</f>
        <v/>
      </c>
      <c r="J91" s="8">
        <f>J64</f>
        <v/>
      </c>
      <c r="K91" s="8">
        <f>K64</f>
        <v/>
      </c>
      <c r="L91" s="8">
        <f>L64</f>
        <v/>
      </c>
      <c r="M91" s="8">
        <f>M64</f>
        <v/>
      </c>
      <c r="N91" s="8">
        <f>N64</f>
        <v/>
      </c>
      <c r="O91" s="8">
        <f>O64</f>
        <v/>
      </c>
      <c r="P91" s="8">
        <f>P64</f>
        <v/>
      </c>
      <c r="Q91" s="8">
        <f>Q64</f>
        <v/>
      </c>
      <c r="R91" s="8">
        <f>R64</f>
        <v/>
      </c>
      <c r="S91" s="8">
        <f>S64</f>
        <v/>
      </c>
      <c r="T91" s="8">
        <f>T64</f>
        <v/>
      </c>
      <c r="U91" s="8">
        <f>U64</f>
        <v/>
      </c>
      <c r="V91" s="8">
        <f>V64</f>
        <v/>
      </c>
      <c r="W91" s="8">
        <f>W64</f>
        <v/>
      </c>
      <c r="X91" s="8">
        <f>X64</f>
        <v/>
      </c>
      <c r="Y91" s="8">
        <f>Y64</f>
        <v/>
      </c>
      <c r="Z91" s="8">
        <f>Z64</f>
        <v/>
      </c>
      <c r="AA91" s="8">
        <f>AA64</f>
        <v/>
      </c>
      <c r="AB91" s="8">
        <f>AB64</f>
        <v/>
      </c>
      <c r="AC91" s="8">
        <f>AC64</f>
        <v/>
      </c>
      <c r="AD91" s="8">
        <f>AD64</f>
        <v/>
      </c>
      <c r="AE91" s="8">
        <f>AE64</f>
        <v/>
      </c>
      <c r="AF91" s="8">
        <f>AF64</f>
        <v/>
      </c>
      <c r="AG91" s="8">
        <f>AG64</f>
        <v/>
      </c>
      <c r="AH91" s="8">
        <f>AH64</f>
        <v/>
      </c>
      <c r="AI91" s="8">
        <f>AI64</f>
        <v/>
      </c>
      <c r="AJ91" s="8">
        <f>AJ64</f>
        <v/>
      </c>
      <c r="AK91" s="8">
        <f>AK64</f>
        <v/>
      </c>
      <c r="AL91" s="8">
        <f>AL64</f>
        <v/>
      </c>
      <c r="AM91" s="8">
        <f>AM64</f>
        <v/>
      </c>
      <c r="AN91" s="8">
        <f>AN64</f>
        <v/>
      </c>
      <c r="AO91" s="8">
        <f>AO64</f>
        <v/>
      </c>
      <c r="AP91" s="8">
        <f>AP64</f>
        <v/>
      </c>
      <c r="AQ91" s="8">
        <f>AQ64</f>
        <v/>
      </c>
      <c r="AR91" s="8">
        <f>AR64</f>
        <v/>
      </c>
      <c r="AS91" s="8">
        <f>AS64</f>
        <v/>
      </c>
      <c r="AT91" s="8">
        <f>AT64</f>
        <v/>
      </c>
      <c r="AU91" s="8">
        <f>AU64</f>
        <v/>
      </c>
      <c r="AV91" s="8">
        <f>AV64</f>
        <v/>
      </c>
      <c r="AW91" s="8">
        <f>AW64</f>
        <v/>
      </c>
      <c r="AX91" s="8">
        <f>AX64</f>
        <v/>
      </c>
      <c r="AY91" s="8">
        <f>AY64</f>
        <v/>
      </c>
      <c r="AZ91" s="8">
        <f>AZ64</f>
        <v/>
      </c>
      <c r="BA91" s="8">
        <f>BA64</f>
        <v/>
      </c>
      <c r="BB91" s="8">
        <f>BB64</f>
        <v/>
      </c>
      <c r="BC91" s="8">
        <f>BC64</f>
        <v/>
      </c>
      <c r="BD91" s="8">
        <f>BD64</f>
        <v/>
      </c>
      <c r="BE91" s="8">
        <f>BE64</f>
        <v/>
      </c>
      <c r="BF91" s="8">
        <f>BF64</f>
        <v/>
      </c>
      <c r="BG91" s="8">
        <f>BG64</f>
        <v/>
      </c>
      <c r="BH91" s="8">
        <f>BH64</f>
        <v/>
      </c>
      <c r="BI91" s="8">
        <f>BI64</f>
        <v/>
      </c>
      <c r="BJ91" s="8">
        <f>BJ64</f>
        <v/>
      </c>
      <c r="BK91" s="8">
        <f>BK64</f>
        <v/>
      </c>
      <c r="BL91" s="8">
        <f>BL64</f>
        <v/>
      </c>
      <c r="BM91" s="8">
        <f>BM64</f>
        <v/>
      </c>
      <c r="BN91" s="8">
        <f>BN64</f>
        <v/>
      </c>
      <c r="BO91" s="8">
        <f>BO64</f>
        <v/>
      </c>
      <c r="BP91" s="8">
        <f>BP64</f>
        <v/>
      </c>
      <c r="BQ91" s="8">
        <f>BQ64</f>
        <v/>
      </c>
      <c r="BR91" s="8">
        <f>BR64</f>
        <v/>
      </c>
      <c r="BS91" s="8">
        <f>BS64</f>
        <v/>
      </c>
      <c r="BT91" s="8">
        <f>BT64</f>
        <v/>
      </c>
      <c r="BU91" s="8">
        <f>BU64</f>
        <v/>
      </c>
      <c r="BV91" s="8">
        <f>BV64</f>
        <v/>
      </c>
      <c r="BW91" s="8">
        <f>BW64</f>
        <v/>
      </c>
      <c r="BX91" s="8">
        <f>BX64</f>
        <v/>
      </c>
      <c r="BY91" s="8">
        <f>BY64</f>
        <v/>
      </c>
      <c r="BZ91" s="8">
        <f>BZ64</f>
        <v/>
      </c>
      <c r="CA91" s="8">
        <f>CA64</f>
        <v/>
      </c>
      <c r="CB91" s="8">
        <f>CB64</f>
        <v/>
      </c>
      <c r="CC91" s="8">
        <f>CC64</f>
        <v/>
      </c>
      <c r="CD91" s="8">
        <f>CD64</f>
        <v/>
      </c>
      <c r="CE91" s="8">
        <f>CE64</f>
        <v/>
      </c>
      <c r="CF91" s="8">
        <f>CF64</f>
        <v/>
      </c>
      <c r="CG91" s="8">
        <f>CG64</f>
        <v/>
      </c>
      <c r="CH91" s="8">
        <f>CH64</f>
        <v/>
      </c>
      <c r="CI91" s="23" t="n"/>
    </row>
    <row r="92" ht="15" customHeight="1" s="201">
      <c r="A92" s="9" t="inlineStr">
        <is>
          <t>Total Revenue</t>
        </is>
      </c>
      <c r="B92" s="28" t="n"/>
      <c r="C92" s="10">
        <f>C90+C91</f>
        <v/>
      </c>
      <c r="D92" s="10">
        <f>D90+D91</f>
        <v/>
      </c>
      <c r="E92" s="10">
        <f>E90+E91</f>
        <v/>
      </c>
      <c r="F92" s="10">
        <f>F90+F91</f>
        <v/>
      </c>
      <c r="G92" s="10">
        <f>G90+G91</f>
        <v/>
      </c>
      <c r="H92" s="10">
        <f>H90+H91</f>
        <v/>
      </c>
      <c r="I92" s="10">
        <f>I90+I91</f>
        <v/>
      </c>
      <c r="J92" s="10">
        <f>J90+J91</f>
        <v/>
      </c>
      <c r="K92" s="10">
        <f>K90+K91</f>
        <v/>
      </c>
      <c r="L92" s="10">
        <f>L90+L91</f>
        <v/>
      </c>
      <c r="M92" s="10">
        <f>M90+M91</f>
        <v/>
      </c>
      <c r="N92" s="10">
        <f>N90+N91</f>
        <v/>
      </c>
      <c r="O92" s="10">
        <f>O90+O91</f>
        <v/>
      </c>
      <c r="P92" s="10">
        <f>P90+P91</f>
        <v/>
      </c>
      <c r="Q92" s="10">
        <f>Q90+Q91</f>
        <v/>
      </c>
      <c r="R92" s="10">
        <f>R90+R91</f>
        <v/>
      </c>
      <c r="S92" s="10">
        <f>S90+S91</f>
        <v/>
      </c>
      <c r="T92" s="10">
        <f>T90+T91</f>
        <v/>
      </c>
      <c r="U92" s="10">
        <f>U90+U91</f>
        <v/>
      </c>
      <c r="V92" s="10">
        <f>V90+V91</f>
        <v/>
      </c>
      <c r="W92" s="10">
        <f>W90+W91</f>
        <v/>
      </c>
      <c r="X92" s="10">
        <f>X90+X91</f>
        <v/>
      </c>
      <c r="Y92" s="10">
        <f>Y90+Y91</f>
        <v/>
      </c>
      <c r="Z92" s="10">
        <f>Z90+Z91</f>
        <v/>
      </c>
      <c r="AA92" s="10">
        <f>AA90+AA91</f>
        <v/>
      </c>
      <c r="AB92" s="10">
        <f>AB90+AB91</f>
        <v/>
      </c>
      <c r="AC92" s="10">
        <f>AC90+AC91</f>
        <v/>
      </c>
      <c r="AD92" s="10">
        <f>AD90+AD91</f>
        <v/>
      </c>
      <c r="AE92" s="10">
        <f>AE90+AE91</f>
        <v/>
      </c>
      <c r="AF92" s="10">
        <f>AF90+AF91</f>
        <v/>
      </c>
      <c r="AG92" s="10">
        <f>AG90+AG91</f>
        <v/>
      </c>
      <c r="AH92" s="10">
        <f>AH90+AH91</f>
        <v/>
      </c>
      <c r="AI92" s="10">
        <f>AI90+AI91</f>
        <v/>
      </c>
      <c r="AJ92" s="10">
        <f>AJ90+AJ91</f>
        <v/>
      </c>
      <c r="AK92" s="10">
        <f>AK90+AK91</f>
        <v/>
      </c>
      <c r="AL92" s="10">
        <f>AL90+AL91</f>
        <v/>
      </c>
      <c r="AM92" s="10">
        <f>AM90+AM91</f>
        <v/>
      </c>
      <c r="AN92" s="10">
        <f>AN90+AN91</f>
        <v/>
      </c>
      <c r="AO92" s="10">
        <f>AO90+AO91</f>
        <v/>
      </c>
      <c r="AP92" s="10">
        <f>AP90+AP91</f>
        <v/>
      </c>
      <c r="AQ92" s="10">
        <f>AQ90+AQ91</f>
        <v/>
      </c>
      <c r="AR92" s="10">
        <f>AR90+AR91</f>
        <v/>
      </c>
      <c r="AS92" s="10">
        <f>AS90+AS91</f>
        <v/>
      </c>
      <c r="AT92" s="10">
        <f>AT90+AT91</f>
        <v/>
      </c>
      <c r="AU92" s="10">
        <f>AU90+AU91</f>
        <v/>
      </c>
      <c r="AV92" s="10">
        <f>AV90+AV91</f>
        <v/>
      </c>
      <c r="AW92" s="10">
        <f>AW90+AW91</f>
        <v/>
      </c>
      <c r="AX92" s="10">
        <f>AX90+AX91</f>
        <v/>
      </c>
      <c r="AY92" s="10">
        <f>AY90+AY91</f>
        <v/>
      </c>
      <c r="AZ92" s="10">
        <f>AZ90+AZ91</f>
        <v/>
      </c>
      <c r="BA92" s="10">
        <f>BA90+BA91</f>
        <v/>
      </c>
      <c r="BB92" s="10">
        <f>BB90+BB91</f>
        <v/>
      </c>
      <c r="BC92" s="10">
        <f>BC90+BC91</f>
        <v/>
      </c>
      <c r="BD92" s="10">
        <f>BD90+BD91</f>
        <v/>
      </c>
      <c r="BE92" s="10">
        <f>BE90+BE91</f>
        <v/>
      </c>
      <c r="BF92" s="10">
        <f>BF90+BF91</f>
        <v/>
      </c>
      <c r="BG92" s="10">
        <f>BG90+BG91</f>
        <v/>
      </c>
      <c r="BH92" s="10">
        <f>BH90+BH91</f>
        <v/>
      </c>
      <c r="BI92" s="10">
        <f>BI90+BI91</f>
        <v/>
      </c>
      <c r="BJ92" s="10">
        <f>BJ90+BJ91</f>
        <v/>
      </c>
      <c r="BK92" s="10">
        <f>BK90+BK91</f>
        <v/>
      </c>
      <c r="BL92" s="10">
        <f>BL90+BL91</f>
        <v/>
      </c>
      <c r="BM92" s="10">
        <f>BM90+BM91</f>
        <v/>
      </c>
      <c r="BN92" s="10">
        <f>BN90+BN91</f>
        <v/>
      </c>
      <c r="BO92" s="10">
        <f>BO90+BO91</f>
        <v/>
      </c>
      <c r="BP92" s="10">
        <f>BP90+BP91</f>
        <v/>
      </c>
      <c r="BQ92" s="10">
        <f>BQ90+BQ91</f>
        <v/>
      </c>
      <c r="BR92" s="10">
        <f>BR90+BR91</f>
        <v/>
      </c>
      <c r="BS92" s="10">
        <f>BS90+BS91</f>
        <v/>
      </c>
      <c r="BT92" s="10">
        <f>BT90+BT91</f>
        <v/>
      </c>
      <c r="BU92" s="10">
        <f>BU90+BU91</f>
        <v/>
      </c>
      <c r="BV92" s="10">
        <f>BV90+BV91</f>
        <v/>
      </c>
      <c r="BW92" s="10">
        <f>BW90+BW91</f>
        <v/>
      </c>
      <c r="BX92" s="10">
        <f>BX90+BX91</f>
        <v/>
      </c>
      <c r="BY92" s="10">
        <f>BY90+BY91</f>
        <v/>
      </c>
      <c r="BZ92" s="10">
        <f>BZ90+BZ91</f>
        <v/>
      </c>
      <c r="CA92" s="10">
        <f>CA90+CA91</f>
        <v/>
      </c>
      <c r="CB92" s="10">
        <f>CB90+CB91</f>
        <v/>
      </c>
      <c r="CC92" s="10">
        <f>CC90+CC91</f>
        <v/>
      </c>
      <c r="CD92" s="10">
        <f>CD90+CD91</f>
        <v/>
      </c>
      <c r="CE92" s="10">
        <f>CE90+CE91</f>
        <v/>
      </c>
      <c r="CF92" s="10">
        <f>CF90+CF91</f>
        <v/>
      </c>
      <c r="CG92" s="10">
        <f>CG90+CG91</f>
        <v/>
      </c>
      <c r="CH92" s="10">
        <f>CH90+CH91</f>
        <v/>
      </c>
      <c r="CI92" s="23" t="n"/>
    </row>
    <row r="93" ht="15" customHeight="1" s="201">
      <c r="A93" s="16" t="inlineStr">
        <is>
          <t>GC Costs</t>
        </is>
      </c>
      <c r="B93" s="22" t="n"/>
      <c r="C93" s="8">
        <f>C39</f>
        <v/>
      </c>
      <c r="D93" s="8">
        <f>D39</f>
        <v/>
      </c>
      <c r="E93" s="8">
        <f>E39</f>
        <v/>
      </c>
      <c r="F93" s="8">
        <f>F39</f>
        <v/>
      </c>
      <c r="G93" s="8">
        <f>G39</f>
        <v/>
      </c>
      <c r="H93" s="8">
        <f>H39</f>
        <v/>
      </c>
      <c r="I93" s="8">
        <f>I39</f>
        <v/>
      </c>
      <c r="J93" s="8">
        <f>J39</f>
        <v/>
      </c>
      <c r="K93" s="8">
        <f>K39</f>
        <v/>
      </c>
      <c r="L93" s="8">
        <f>L39</f>
        <v/>
      </c>
      <c r="M93" s="8">
        <f>M39</f>
        <v/>
      </c>
      <c r="N93" s="8">
        <f>N39</f>
        <v/>
      </c>
      <c r="O93" s="8">
        <f>O39</f>
        <v/>
      </c>
      <c r="P93" s="8">
        <f>P39</f>
        <v/>
      </c>
      <c r="Q93" s="8">
        <f>Q39</f>
        <v/>
      </c>
      <c r="R93" s="8">
        <f>R39</f>
        <v/>
      </c>
      <c r="S93" s="8">
        <f>S39</f>
        <v/>
      </c>
      <c r="T93" s="8">
        <f>T39</f>
        <v/>
      </c>
      <c r="U93" s="8">
        <f>U39</f>
        <v/>
      </c>
      <c r="V93" s="8">
        <f>V39</f>
        <v/>
      </c>
      <c r="W93" s="8">
        <f>W39</f>
        <v/>
      </c>
      <c r="X93" s="8">
        <f>X39</f>
        <v/>
      </c>
      <c r="Y93" s="8">
        <f>Y39</f>
        <v/>
      </c>
      <c r="Z93" s="8">
        <f>Z39</f>
        <v/>
      </c>
      <c r="AA93" s="8">
        <f>AA39</f>
        <v/>
      </c>
      <c r="AB93" s="8">
        <f>AB39</f>
        <v/>
      </c>
      <c r="AC93" s="8">
        <f>AC39</f>
        <v/>
      </c>
      <c r="AD93" s="8">
        <f>AD39</f>
        <v/>
      </c>
      <c r="AE93" s="8">
        <f>AE39</f>
        <v/>
      </c>
      <c r="AF93" s="8">
        <f>AF39</f>
        <v/>
      </c>
      <c r="AG93" s="8">
        <f>AG39</f>
        <v/>
      </c>
      <c r="AH93" s="8">
        <f>AH39</f>
        <v/>
      </c>
      <c r="AI93" s="8">
        <f>AI39</f>
        <v/>
      </c>
      <c r="AJ93" s="8">
        <f>AJ39</f>
        <v/>
      </c>
      <c r="AK93" s="8">
        <f>AK39</f>
        <v/>
      </c>
      <c r="AL93" s="8">
        <f>AL39</f>
        <v/>
      </c>
      <c r="AM93" s="8">
        <f>AM39</f>
        <v/>
      </c>
      <c r="AN93" s="8">
        <f>AN39</f>
        <v/>
      </c>
      <c r="AO93" s="8">
        <f>AO39</f>
        <v/>
      </c>
      <c r="AP93" s="8">
        <f>AP39</f>
        <v/>
      </c>
      <c r="AQ93" s="8">
        <f>AQ39</f>
        <v/>
      </c>
      <c r="AR93" s="8">
        <f>AR39</f>
        <v/>
      </c>
      <c r="AS93" s="8">
        <f>AS39</f>
        <v/>
      </c>
      <c r="AT93" s="8">
        <f>AT39</f>
        <v/>
      </c>
      <c r="AU93" s="8">
        <f>AU39</f>
        <v/>
      </c>
      <c r="AV93" s="8">
        <f>AV39</f>
        <v/>
      </c>
      <c r="AW93" s="8">
        <f>AW39</f>
        <v/>
      </c>
      <c r="AX93" s="8">
        <f>AX39</f>
        <v/>
      </c>
      <c r="AY93" s="8">
        <f>AY39</f>
        <v/>
      </c>
      <c r="AZ93" s="8">
        <f>AZ39</f>
        <v/>
      </c>
      <c r="BA93" s="8">
        <f>BA39</f>
        <v/>
      </c>
      <c r="BB93" s="8">
        <f>BB39</f>
        <v/>
      </c>
      <c r="BC93" s="8">
        <f>BC39</f>
        <v/>
      </c>
      <c r="BD93" s="8">
        <f>BD39</f>
        <v/>
      </c>
      <c r="BE93" s="8">
        <f>BE39</f>
        <v/>
      </c>
      <c r="BF93" s="8">
        <f>BF39</f>
        <v/>
      </c>
      <c r="BG93" s="8">
        <f>BG39</f>
        <v/>
      </c>
      <c r="BH93" s="8">
        <f>BH39</f>
        <v/>
      </c>
      <c r="BI93" s="8">
        <f>BI39</f>
        <v/>
      </c>
      <c r="BJ93" s="8">
        <f>BJ39</f>
        <v/>
      </c>
      <c r="BK93" s="8">
        <f>BK39</f>
        <v/>
      </c>
      <c r="BL93" s="8">
        <f>BL39</f>
        <v/>
      </c>
      <c r="BM93" s="8">
        <f>BM39</f>
        <v/>
      </c>
      <c r="BN93" s="8">
        <f>BN39</f>
        <v/>
      </c>
      <c r="BO93" s="8">
        <f>BO39</f>
        <v/>
      </c>
      <c r="BP93" s="8">
        <f>BP39</f>
        <v/>
      </c>
      <c r="BQ93" s="8">
        <f>BQ39</f>
        <v/>
      </c>
      <c r="BR93" s="8">
        <f>BR39</f>
        <v/>
      </c>
      <c r="BS93" s="8">
        <f>BS39</f>
        <v/>
      </c>
      <c r="BT93" s="8">
        <f>BT39</f>
        <v/>
      </c>
      <c r="BU93" s="8">
        <f>BU39</f>
        <v/>
      </c>
      <c r="BV93" s="8">
        <f>BV39</f>
        <v/>
      </c>
      <c r="BW93" s="8">
        <f>BW39</f>
        <v/>
      </c>
      <c r="BX93" s="8">
        <f>BX39</f>
        <v/>
      </c>
      <c r="BY93" s="8">
        <f>BY39</f>
        <v/>
      </c>
      <c r="BZ93" s="8">
        <f>BZ39</f>
        <v/>
      </c>
      <c r="CA93" s="8">
        <f>CA39</f>
        <v/>
      </c>
      <c r="CB93" s="8">
        <f>CB39</f>
        <v/>
      </c>
      <c r="CC93" s="8">
        <f>CC39</f>
        <v/>
      </c>
      <c r="CD93" s="8">
        <f>CD39</f>
        <v/>
      </c>
      <c r="CE93" s="8">
        <f>CE39</f>
        <v/>
      </c>
      <c r="CF93" s="8">
        <f>CF39</f>
        <v/>
      </c>
      <c r="CG93" s="8">
        <f>CG39</f>
        <v/>
      </c>
      <c r="CH93" s="8">
        <f>CH39</f>
        <v/>
      </c>
      <c r="CI93" s="23" t="n"/>
    </row>
    <row r="94" ht="15" customHeight="1" s="201">
      <c r="A94" s="16" t="inlineStr">
        <is>
          <t>Six Peak Expenses</t>
        </is>
      </c>
      <c r="B94" s="22" t="n"/>
      <c r="C94" s="8">
        <f>C85</f>
        <v/>
      </c>
      <c r="D94" s="8">
        <f>D85</f>
        <v/>
      </c>
      <c r="E94" s="8">
        <f>E85</f>
        <v/>
      </c>
      <c r="F94" s="8">
        <f>F85</f>
        <v/>
      </c>
      <c r="G94" s="8">
        <f>G85</f>
        <v/>
      </c>
      <c r="H94" s="8">
        <f>H85</f>
        <v/>
      </c>
      <c r="I94" s="8">
        <f>I85</f>
        <v/>
      </c>
      <c r="J94" s="8">
        <f>J85</f>
        <v/>
      </c>
      <c r="K94" s="8">
        <f>K85</f>
        <v/>
      </c>
      <c r="L94" s="8">
        <f>L85</f>
        <v/>
      </c>
      <c r="M94" s="8">
        <f>M85</f>
        <v/>
      </c>
      <c r="N94" s="8">
        <f>N85</f>
        <v/>
      </c>
      <c r="O94" s="8">
        <f>O85</f>
        <v/>
      </c>
      <c r="P94" s="8">
        <f>P85</f>
        <v/>
      </c>
      <c r="Q94" s="8">
        <f>Q85</f>
        <v/>
      </c>
      <c r="R94" s="8">
        <f>R85</f>
        <v/>
      </c>
      <c r="S94" s="8">
        <f>S85</f>
        <v/>
      </c>
      <c r="T94" s="8">
        <f>T85</f>
        <v/>
      </c>
      <c r="U94" s="8">
        <f>U85</f>
        <v/>
      </c>
      <c r="V94" s="8">
        <f>V85</f>
        <v/>
      </c>
      <c r="W94" s="8">
        <f>W85</f>
        <v/>
      </c>
      <c r="X94" s="8">
        <f>X85</f>
        <v/>
      </c>
      <c r="Y94" s="8">
        <f>Y85</f>
        <v/>
      </c>
      <c r="Z94" s="8">
        <f>Z85</f>
        <v/>
      </c>
      <c r="AA94" s="8">
        <f>AA85</f>
        <v/>
      </c>
      <c r="AB94" s="8">
        <f>AB85</f>
        <v/>
      </c>
      <c r="AC94" s="8">
        <f>AC85</f>
        <v/>
      </c>
      <c r="AD94" s="8">
        <f>AD85</f>
        <v/>
      </c>
      <c r="AE94" s="8">
        <f>AE85</f>
        <v/>
      </c>
      <c r="AF94" s="8">
        <f>AF85</f>
        <v/>
      </c>
      <c r="AG94" s="8">
        <f>AG85</f>
        <v/>
      </c>
      <c r="AH94" s="8">
        <f>AH85</f>
        <v/>
      </c>
      <c r="AI94" s="8">
        <f>AI85</f>
        <v/>
      </c>
      <c r="AJ94" s="8">
        <f>AJ85</f>
        <v/>
      </c>
      <c r="AK94" s="8">
        <f>AK85</f>
        <v/>
      </c>
      <c r="AL94" s="8">
        <f>AL85</f>
        <v/>
      </c>
      <c r="AM94" s="8">
        <f>AM85</f>
        <v/>
      </c>
      <c r="AN94" s="8">
        <f>AN85</f>
        <v/>
      </c>
      <c r="AO94" s="8">
        <f>AO85</f>
        <v/>
      </c>
      <c r="AP94" s="8">
        <f>AP85</f>
        <v/>
      </c>
      <c r="AQ94" s="8">
        <f>AQ85</f>
        <v/>
      </c>
      <c r="AR94" s="8">
        <f>AR85</f>
        <v/>
      </c>
      <c r="AS94" s="8">
        <f>AS85</f>
        <v/>
      </c>
      <c r="AT94" s="8">
        <f>AT85</f>
        <v/>
      </c>
      <c r="AU94" s="8">
        <f>AU85</f>
        <v/>
      </c>
      <c r="AV94" s="8">
        <f>AV85</f>
        <v/>
      </c>
      <c r="AW94" s="8">
        <f>AW85</f>
        <v/>
      </c>
      <c r="AX94" s="8">
        <f>AX85</f>
        <v/>
      </c>
      <c r="AY94" s="8">
        <f>AY85</f>
        <v/>
      </c>
      <c r="AZ94" s="8">
        <f>AZ85</f>
        <v/>
      </c>
      <c r="BA94" s="8">
        <f>BA85</f>
        <v/>
      </c>
      <c r="BB94" s="8">
        <f>BB85</f>
        <v/>
      </c>
      <c r="BC94" s="8">
        <f>BC85</f>
        <v/>
      </c>
      <c r="BD94" s="8">
        <f>BD85</f>
        <v/>
      </c>
      <c r="BE94" s="8">
        <f>BE85</f>
        <v/>
      </c>
      <c r="BF94" s="8">
        <f>BF85</f>
        <v/>
      </c>
      <c r="BG94" s="8">
        <f>BG85</f>
        <v/>
      </c>
      <c r="BH94" s="8">
        <f>BH85</f>
        <v/>
      </c>
      <c r="BI94" s="8">
        <f>BI85</f>
        <v/>
      </c>
      <c r="BJ94" s="8">
        <f>BJ85</f>
        <v/>
      </c>
      <c r="BK94" s="8">
        <f>BK85</f>
        <v/>
      </c>
      <c r="BL94" s="8">
        <f>BL85</f>
        <v/>
      </c>
      <c r="BM94" s="8">
        <f>BM85</f>
        <v/>
      </c>
      <c r="BN94" s="8">
        <f>BN85</f>
        <v/>
      </c>
      <c r="BO94" s="8">
        <f>BO85</f>
        <v/>
      </c>
      <c r="BP94" s="8">
        <f>BP85</f>
        <v/>
      </c>
      <c r="BQ94" s="8">
        <f>BQ85</f>
        <v/>
      </c>
      <c r="BR94" s="8">
        <f>BR85</f>
        <v/>
      </c>
      <c r="BS94" s="8">
        <f>BS85</f>
        <v/>
      </c>
      <c r="BT94" s="8">
        <f>BT85</f>
        <v/>
      </c>
      <c r="BU94" s="8">
        <f>BU85</f>
        <v/>
      </c>
      <c r="BV94" s="8">
        <f>BV85</f>
        <v/>
      </c>
      <c r="BW94" s="8">
        <f>BW85</f>
        <v/>
      </c>
      <c r="BX94" s="8">
        <f>BX85</f>
        <v/>
      </c>
      <c r="BY94" s="8">
        <f>BY85</f>
        <v/>
      </c>
      <c r="BZ94" s="8">
        <f>BZ85</f>
        <v/>
      </c>
      <c r="CA94" s="8">
        <f>CA85</f>
        <v/>
      </c>
      <c r="CB94" s="8">
        <f>CB85</f>
        <v/>
      </c>
      <c r="CC94" s="8">
        <f>CC85</f>
        <v/>
      </c>
      <c r="CD94" s="8">
        <f>CD85</f>
        <v/>
      </c>
      <c r="CE94" s="8">
        <f>CE85</f>
        <v/>
      </c>
      <c r="CF94" s="8">
        <f>CF85</f>
        <v/>
      </c>
      <c r="CG94" s="8">
        <f>CG85</f>
        <v/>
      </c>
      <c r="CH94" s="8">
        <f>CH85</f>
        <v/>
      </c>
      <c r="CI94" s="23" t="n"/>
    </row>
    <row r="95" ht="15" customHeight="1" s="201">
      <c r="A95" s="9" t="inlineStr">
        <is>
          <t>Total Expenses</t>
        </is>
      </c>
      <c r="B95" s="28" t="n"/>
      <c r="C95" s="10">
        <f>C93+C94</f>
        <v/>
      </c>
      <c r="D95" s="10">
        <f>D93+D94</f>
        <v/>
      </c>
      <c r="E95" s="10">
        <f>E93+E94</f>
        <v/>
      </c>
      <c r="F95" s="10">
        <f>F93+F94</f>
        <v/>
      </c>
      <c r="G95" s="10">
        <f>G93+G94</f>
        <v/>
      </c>
      <c r="H95" s="10">
        <f>H93+H94</f>
        <v/>
      </c>
      <c r="I95" s="10">
        <f>I93+I94</f>
        <v/>
      </c>
      <c r="J95" s="10">
        <f>J93+J94</f>
        <v/>
      </c>
      <c r="K95" s="10">
        <f>K93+K94</f>
        <v/>
      </c>
      <c r="L95" s="10">
        <f>L93+L94</f>
        <v/>
      </c>
      <c r="M95" s="10">
        <f>M93+M94</f>
        <v/>
      </c>
      <c r="N95" s="10">
        <f>N93+N94</f>
        <v/>
      </c>
      <c r="O95" s="10">
        <f>O93+O94</f>
        <v/>
      </c>
      <c r="P95" s="10">
        <f>P93+P94</f>
        <v/>
      </c>
      <c r="Q95" s="10">
        <f>Q93+Q94</f>
        <v/>
      </c>
      <c r="R95" s="10">
        <f>R93+R94</f>
        <v/>
      </c>
      <c r="S95" s="10">
        <f>S93+S94</f>
        <v/>
      </c>
      <c r="T95" s="10">
        <f>T93+T94</f>
        <v/>
      </c>
      <c r="U95" s="10">
        <f>U93+U94</f>
        <v/>
      </c>
      <c r="V95" s="10">
        <f>V93+V94</f>
        <v/>
      </c>
      <c r="W95" s="10">
        <f>W93+W94</f>
        <v/>
      </c>
      <c r="X95" s="10">
        <f>X93+X94</f>
        <v/>
      </c>
      <c r="Y95" s="10">
        <f>Y93+Y94</f>
        <v/>
      </c>
      <c r="Z95" s="10">
        <f>Z93+Z94</f>
        <v/>
      </c>
      <c r="AA95" s="10">
        <f>AA93+AA94</f>
        <v/>
      </c>
      <c r="AB95" s="10">
        <f>AB93+AB94</f>
        <v/>
      </c>
      <c r="AC95" s="10">
        <f>AC93+AC94</f>
        <v/>
      </c>
      <c r="AD95" s="10">
        <f>AD93+AD94</f>
        <v/>
      </c>
      <c r="AE95" s="10">
        <f>AE93+AE94</f>
        <v/>
      </c>
      <c r="AF95" s="10">
        <f>AF93+AF94</f>
        <v/>
      </c>
      <c r="AG95" s="10">
        <f>AG93+AG94</f>
        <v/>
      </c>
      <c r="AH95" s="10">
        <f>AH93+AH94</f>
        <v/>
      </c>
      <c r="AI95" s="10">
        <f>AI93+AI94</f>
        <v/>
      </c>
      <c r="AJ95" s="10">
        <f>AJ93+AJ94</f>
        <v/>
      </c>
      <c r="AK95" s="10">
        <f>AK93+AK94</f>
        <v/>
      </c>
      <c r="AL95" s="10">
        <f>AL93+AL94</f>
        <v/>
      </c>
      <c r="AM95" s="10">
        <f>AM93+AM94</f>
        <v/>
      </c>
      <c r="AN95" s="10">
        <f>AN93+AN94</f>
        <v/>
      </c>
      <c r="AO95" s="10">
        <f>AO93+AO94</f>
        <v/>
      </c>
      <c r="AP95" s="10">
        <f>AP93+AP94</f>
        <v/>
      </c>
      <c r="AQ95" s="10">
        <f>AQ93+AQ94</f>
        <v/>
      </c>
      <c r="AR95" s="10">
        <f>AR93+AR94</f>
        <v/>
      </c>
      <c r="AS95" s="10">
        <f>AS93+AS94</f>
        <v/>
      </c>
      <c r="AT95" s="10">
        <f>AT93+AT94</f>
        <v/>
      </c>
      <c r="AU95" s="10">
        <f>AU93+AU94</f>
        <v/>
      </c>
      <c r="AV95" s="10">
        <f>AV93+AV94</f>
        <v/>
      </c>
      <c r="AW95" s="10">
        <f>AW93+AW94</f>
        <v/>
      </c>
      <c r="AX95" s="10">
        <f>AX93+AX94</f>
        <v/>
      </c>
      <c r="AY95" s="10">
        <f>AY93+AY94</f>
        <v/>
      </c>
      <c r="AZ95" s="10">
        <f>AZ93+AZ94</f>
        <v/>
      </c>
      <c r="BA95" s="10">
        <f>BA93+BA94</f>
        <v/>
      </c>
      <c r="BB95" s="10">
        <f>BB93+BB94</f>
        <v/>
      </c>
      <c r="BC95" s="10">
        <f>BC93+BC94</f>
        <v/>
      </c>
      <c r="BD95" s="10">
        <f>BD93+BD94</f>
        <v/>
      </c>
      <c r="BE95" s="10">
        <f>BE93+BE94</f>
        <v/>
      </c>
      <c r="BF95" s="10">
        <f>BF93+BF94</f>
        <v/>
      </c>
      <c r="BG95" s="10">
        <f>BG93+BG94</f>
        <v/>
      </c>
      <c r="BH95" s="10">
        <f>BH93+BH94</f>
        <v/>
      </c>
      <c r="BI95" s="10">
        <f>BI93+BI94</f>
        <v/>
      </c>
      <c r="BJ95" s="10">
        <f>BJ93+BJ94</f>
        <v/>
      </c>
      <c r="BK95" s="10">
        <f>BK93+BK94</f>
        <v/>
      </c>
      <c r="BL95" s="10">
        <f>BL93+BL94</f>
        <v/>
      </c>
      <c r="BM95" s="10">
        <f>BM93+BM94</f>
        <v/>
      </c>
      <c r="BN95" s="10">
        <f>BN93+BN94</f>
        <v/>
      </c>
      <c r="BO95" s="10">
        <f>BO93+BO94</f>
        <v/>
      </c>
      <c r="BP95" s="10">
        <f>BP93+BP94</f>
        <v/>
      </c>
      <c r="BQ95" s="10">
        <f>BQ93+BQ94</f>
        <v/>
      </c>
      <c r="BR95" s="10">
        <f>BR93+BR94</f>
        <v/>
      </c>
      <c r="BS95" s="10">
        <f>BS93+BS94</f>
        <v/>
      </c>
      <c r="BT95" s="10">
        <f>BT93+BT94</f>
        <v/>
      </c>
      <c r="BU95" s="10">
        <f>BU93+BU94</f>
        <v/>
      </c>
      <c r="BV95" s="10">
        <f>BV93+BV94</f>
        <v/>
      </c>
      <c r="BW95" s="10">
        <f>BW93+BW94</f>
        <v/>
      </c>
      <c r="BX95" s="10">
        <f>BX93+BX94</f>
        <v/>
      </c>
      <c r="BY95" s="10">
        <f>BY93+BY94</f>
        <v/>
      </c>
      <c r="BZ95" s="10">
        <f>BZ93+BZ94</f>
        <v/>
      </c>
      <c r="CA95" s="10">
        <f>CA93+CA94</f>
        <v/>
      </c>
      <c r="CB95" s="10">
        <f>CB93+CB94</f>
        <v/>
      </c>
      <c r="CC95" s="10">
        <f>CC93+CC94</f>
        <v/>
      </c>
      <c r="CD95" s="10">
        <f>CD93+CD94</f>
        <v/>
      </c>
      <c r="CE95" s="10">
        <f>CE93+CE94</f>
        <v/>
      </c>
      <c r="CF95" s="10">
        <f>CF93+CF94</f>
        <v/>
      </c>
      <c r="CG95" s="10">
        <f>CG93+CG94</f>
        <v/>
      </c>
      <c r="CH95" s="10">
        <f>CH93+CH94</f>
        <v/>
      </c>
      <c r="CI95" s="23" t="n"/>
    </row>
    <row r="96" ht="15" customHeight="1" s="201">
      <c r="A96" s="13" t="inlineStr">
        <is>
          <t>Consolidated Net Income</t>
        </is>
      </c>
      <c r="B96" s="29" t="n"/>
      <c r="C96" s="14">
        <f>C92+C95</f>
        <v/>
      </c>
      <c r="D96" s="14">
        <f>D92+D95</f>
        <v/>
      </c>
      <c r="E96" s="14">
        <f>E92+E95</f>
        <v/>
      </c>
      <c r="F96" s="14">
        <f>F92+F95</f>
        <v/>
      </c>
      <c r="G96" s="14">
        <f>G92+G95</f>
        <v/>
      </c>
      <c r="H96" s="14">
        <f>H92+H95</f>
        <v/>
      </c>
      <c r="I96" s="14">
        <f>I92+I95</f>
        <v/>
      </c>
      <c r="J96" s="14">
        <f>J92+J95</f>
        <v/>
      </c>
      <c r="K96" s="14">
        <f>K92+K95</f>
        <v/>
      </c>
      <c r="L96" s="14">
        <f>L92+L95</f>
        <v/>
      </c>
      <c r="M96" s="14">
        <f>M92+M95</f>
        <v/>
      </c>
      <c r="N96" s="14">
        <f>N92+N95</f>
        <v/>
      </c>
      <c r="O96" s="14">
        <f>O92+O95</f>
        <v/>
      </c>
      <c r="P96" s="14">
        <f>P92+P95</f>
        <v/>
      </c>
      <c r="Q96" s="14">
        <f>Q92+Q95</f>
        <v/>
      </c>
      <c r="R96" s="14">
        <f>R92+R95</f>
        <v/>
      </c>
      <c r="S96" s="14">
        <f>S92+S95</f>
        <v/>
      </c>
      <c r="T96" s="14">
        <f>T92+T95</f>
        <v/>
      </c>
      <c r="U96" s="14">
        <f>U92+U95</f>
        <v/>
      </c>
      <c r="V96" s="14">
        <f>V92+V95</f>
        <v/>
      </c>
      <c r="W96" s="14">
        <f>W92+W95</f>
        <v/>
      </c>
      <c r="X96" s="14">
        <f>X92+X95</f>
        <v/>
      </c>
      <c r="Y96" s="14">
        <f>Y92+Y95</f>
        <v/>
      </c>
      <c r="Z96" s="14">
        <f>Z92+Z95</f>
        <v/>
      </c>
      <c r="AA96" s="14">
        <f>AA92+AA95</f>
        <v/>
      </c>
      <c r="AB96" s="14">
        <f>AB92+AB95</f>
        <v/>
      </c>
      <c r="AC96" s="14">
        <f>AC92+AC95</f>
        <v/>
      </c>
      <c r="AD96" s="14">
        <f>AD92+AD95</f>
        <v/>
      </c>
      <c r="AE96" s="14">
        <f>AE92+AE95</f>
        <v/>
      </c>
      <c r="AF96" s="14">
        <f>AF92+AF95</f>
        <v/>
      </c>
      <c r="AG96" s="14">
        <f>AG92+AG95</f>
        <v/>
      </c>
      <c r="AH96" s="14">
        <f>AH92+AH95</f>
        <v/>
      </c>
      <c r="AI96" s="14">
        <f>AI92+AI95</f>
        <v/>
      </c>
      <c r="AJ96" s="14">
        <f>AJ92+AJ95</f>
        <v/>
      </c>
      <c r="AK96" s="14">
        <f>AK92+AK95</f>
        <v/>
      </c>
      <c r="AL96" s="14">
        <f>AL92+AL95</f>
        <v/>
      </c>
      <c r="AM96" s="14">
        <f>AM92+AM95</f>
        <v/>
      </c>
      <c r="AN96" s="14">
        <f>AN92+AN95</f>
        <v/>
      </c>
      <c r="AO96" s="14">
        <f>AO92+AO95</f>
        <v/>
      </c>
      <c r="AP96" s="14">
        <f>AP92+AP95</f>
        <v/>
      </c>
      <c r="AQ96" s="14">
        <f>AQ92+AQ95</f>
        <v/>
      </c>
      <c r="AR96" s="14">
        <f>AR92+AR95</f>
        <v/>
      </c>
      <c r="AS96" s="14">
        <f>AS92+AS95</f>
        <v/>
      </c>
      <c r="AT96" s="14">
        <f>AT92+AT95</f>
        <v/>
      </c>
      <c r="AU96" s="14">
        <f>AU92+AU95</f>
        <v/>
      </c>
      <c r="AV96" s="14">
        <f>AV92+AV95</f>
        <v/>
      </c>
      <c r="AW96" s="14">
        <f>AW92+AW95</f>
        <v/>
      </c>
      <c r="AX96" s="14">
        <f>AX92+AX95</f>
        <v/>
      </c>
      <c r="AY96" s="14">
        <f>AY92+AY95</f>
        <v/>
      </c>
      <c r="AZ96" s="14">
        <f>AZ92+AZ95</f>
        <v/>
      </c>
      <c r="BA96" s="14">
        <f>BA92+BA95</f>
        <v/>
      </c>
      <c r="BB96" s="14">
        <f>BB92+BB95</f>
        <v/>
      </c>
      <c r="BC96" s="14">
        <f>BC92+BC95</f>
        <v/>
      </c>
      <c r="BD96" s="14">
        <f>BD92+BD95</f>
        <v/>
      </c>
      <c r="BE96" s="14">
        <f>BE92+BE95</f>
        <v/>
      </c>
      <c r="BF96" s="14">
        <f>BF92+BF95</f>
        <v/>
      </c>
      <c r="BG96" s="14">
        <f>BG92+BG95</f>
        <v/>
      </c>
      <c r="BH96" s="14">
        <f>BH92+BH95</f>
        <v/>
      </c>
      <c r="BI96" s="14">
        <f>BI92+BI95</f>
        <v/>
      </c>
      <c r="BJ96" s="14">
        <f>BJ92+BJ95</f>
        <v/>
      </c>
      <c r="BK96" s="14">
        <f>BK92+BK95</f>
        <v/>
      </c>
      <c r="BL96" s="14">
        <f>BL92+BL95</f>
        <v/>
      </c>
      <c r="BM96" s="14">
        <f>BM92+BM95</f>
        <v/>
      </c>
      <c r="BN96" s="14">
        <f>BN92+BN95</f>
        <v/>
      </c>
      <c r="BO96" s="14">
        <f>BO92+BO95</f>
        <v/>
      </c>
      <c r="BP96" s="14">
        <f>BP92+BP95</f>
        <v/>
      </c>
      <c r="BQ96" s="14">
        <f>BQ92+BQ95</f>
        <v/>
      </c>
      <c r="BR96" s="14">
        <f>BR92+BR95</f>
        <v/>
      </c>
      <c r="BS96" s="14">
        <f>BS92+BS95</f>
        <v/>
      </c>
      <c r="BT96" s="14">
        <f>BT92+BT95</f>
        <v/>
      </c>
      <c r="BU96" s="14">
        <f>BU92+BU95</f>
        <v/>
      </c>
      <c r="BV96" s="14">
        <f>BV92+BV95</f>
        <v/>
      </c>
      <c r="BW96" s="14">
        <f>BW92+BW95</f>
        <v/>
      </c>
      <c r="BX96" s="14">
        <f>BX92+BX95</f>
        <v/>
      </c>
      <c r="BY96" s="14">
        <f>BY92+BY95</f>
        <v/>
      </c>
      <c r="BZ96" s="14">
        <f>BZ92+BZ95</f>
        <v/>
      </c>
      <c r="CA96" s="14">
        <f>CA92+CA95</f>
        <v/>
      </c>
      <c r="CB96" s="14">
        <f>CB92+CB95</f>
        <v/>
      </c>
      <c r="CC96" s="14">
        <f>CC92+CC95</f>
        <v/>
      </c>
      <c r="CD96" s="14">
        <f>CD92+CD95</f>
        <v/>
      </c>
      <c r="CE96" s="14">
        <f>CE92+CE95</f>
        <v/>
      </c>
      <c r="CF96" s="14">
        <f>CF92+CF95</f>
        <v/>
      </c>
      <c r="CG96" s="14">
        <f>CG92+CG95</f>
        <v/>
      </c>
      <c r="CH96" s="14">
        <f>CH92+CH95</f>
        <v/>
      </c>
      <c r="CI96" s="23" t="n"/>
    </row>
    <row r="97" ht="15" customHeight="1" s="201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2" t="n"/>
      <c r="AM97" s="22" t="n"/>
      <c r="AN97" s="22" t="n"/>
      <c r="AO97" s="22" t="n"/>
      <c r="AP97" s="22" t="n"/>
      <c r="AQ97" s="22" t="n"/>
      <c r="AR97" s="22" t="n"/>
      <c r="AS97" s="22" t="n"/>
      <c r="AT97" s="22" t="n"/>
      <c r="AU97" s="22" t="n"/>
      <c r="AV97" s="22" t="n"/>
      <c r="AW97" s="22" t="n"/>
      <c r="AX97" s="22" t="n"/>
      <c r="AY97" s="22" t="n"/>
      <c r="AZ97" s="22" t="n"/>
      <c r="BA97" s="22" t="n"/>
      <c r="BB97" s="22" t="n"/>
      <c r="BC97" s="22" t="n"/>
      <c r="BD97" s="22" t="n"/>
      <c r="BE97" s="22" t="n"/>
      <c r="BF97" s="22" t="n"/>
      <c r="BG97" s="22" t="n"/>
      <c r="BH97" s="22" t="n"/>
      <c r="BI97" s="22" t="n"/>
      <c r="BJ97" s="22" t="n"/>
      <c r="BK97" s="22" t="n"/>
      <c r="BL97" s="22" t="n"/>
      <c r="BM97" s="22" t="n"/>
      <c r="BN97" s="22" t="n"/>
      <c r="BO97" s="22" t="n"/>
      <c r="BP97" s="22" t="n"/>
      <c r="BQ97" s="22" t="n"/>
      <c r="BR97" s="22" t="n"/>
      <c r="BS97" s="22" t="n"/>
      <c r="BT97" s="22" t="n"/>
      <c r="BU97" s="22" t="n"/>
      <c r="BV97" s="22" t="n"/>
      <c r="BW97" s="22" t="n"/>
      <c r="BX97" s="22" t="n"/>
      <c r="BY97" s="22" t="n"/>
      <c r="BZ97" s="22" t="n"/>
      <c r="CA97" s="22" t="n"/>
      <c r="CB97" s="22" t="n"/>
      <c r="CC97" s="22" t="n"/>
      <c r="CD97" s="22" t="n"/>
      <c r="CE97" s="22" t="n"/>
      <c r="CF97" s="22" t="n"/>
      <c r="CG97" s="22" t="n"/>
      <c r="CH97" s="22" t="n"/>
      <c r="CI97" s="23" t="n"/>
    </row>
    <row r="98" ht="15" customHeight="1" s="201">
      <c r="A98" s="26" t="inlineStr">
        <is>
          <t>DEBT FACILITY</t>
        </is>
      </c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  <c r="AA98" s="26" t="n"/>
      <c r="AB98" s="26" t="n"/>
      <c r="AC98" s="26" t="n"/>
      <c r="AD98" s="26" t="n"/>
      <c r="AE98" s="26" t="n"/>
      <c r="AF98" s="26" t="n"/>
      <c r="AG98" s="26" t="n"/>
      <c r="AH98" s="26" t="n"/>
      <c r="AI98" s="26" t="n"/>
      <c r="AJ98" s="26" t="n"/>
      <c r="AK98" s="26" t="n"/>
      <c r="AL98" s="26" t="n"/>
      <c r="AM98" s="26" t="n"/>
      <c r="AN98" s="26" t="n"/>
      <c r="AO98" s="26" t="n"/>
      <c r="AP98" s="26" t="n"/>
      <c r="AQ98" s="26" t="n"/>
      <c r="AR98" s="26" t="n"/>
      <c r="AS98" s="26" t="n"/>
      <c r="AT98" s="26" t="n"/>
      <c r="AU98" s="26" t="n"/>
      <c r="AV98" s="26" t="n"/>
      <c r="AW98" s="26" t="n"/>
      <c r="AX98" s="26" t="n"/>
      <c r="AY98" s="26" t="n"/>
      <c r="AZ98" s="26" t="n"/>
      <c r="BA98" s="26" t="n"/>
      <c r="BB98" s="26" t="n"/>
      <c r="BC98" s="26" t="n"/>
      <c r="BD98" s="26" t="n"/>
      <c r="BE98" s="26" t="n"/>
      <c r="BF98" s="26" t="n"/>
      <c r="BG98" s="26" t="n"/>
      <c r="BH98" s="26" t="n"/>
      <c r="BI98" s="26" t="n"/>
      <c r="BJ98" s="26" t="n"/>
      <c r="BK98" s="26" t="n"/>
      <c r="BL98" s="26" t="n"/>
      <c r="BM98" s="26" t="n"/>
      <c r="BN98" s="26" t="n"/>
      <c r="BO98" s="26" t="n"/>
      <c r="BP98" s="26" t="n"/>
      <c r="BQ98" s="26" t="n"/>
      <c r="BR98" s="26" t="n"/>
      <c r="BS98" s="26" t="n"/>
      <c r="BT98" s="26" t="n"/>
      <c r="BU98" s="26" t="n"/>
      <c r="BV98" s="26" t="n"/>
      <c r="BW98" s="26" t="n"/>
      <c r="BX98" s="26" t="n"/>
      <c r="BY98" s="26" t="n"/>
      <c r="BZ98" s="26" t="n"/>
      <c r="CA98" s="26" t="n"/>
      <c r="CB98" s="26" t="n"/>
      <c r="CC98" s="26" t="n"/>
      <c r="CD98" s="26" t="n"/>
      <c r="CE98" s="26" t="n"/>
      <c r="CF98" s="26" t="n"/>
      <c r="CG98" s="26" t="n"/>
      <c r="CH98" s="26" t="n"/>
      <c r="CI98" s="23" t="n"/>
    </row>
    <row r="99" ht="15" customHeight="1" s="201">
      <c r="A99" s="7" t="inlineStr">
        <is>
          <t>Beginning Balance</t>
        </is>
      </c>
      <c r="B99" s="22" t="n"/>
      <c r="C99" s="8">
        <f>Assumptions!$B$33</f>
        <v/>
      </c>
      <c r="D99" s="8">
        <f>C102</f>
        <v/>
      </c>
      <c r="E99" s="8">
        <f>D102</f>
        <v/>
      </c>
      <c r="F99" s="8">
        <f>E102</f>
        <v/>
      </c>
      <c r="G99" s="8">
        <f>F102</f>
        <v/>
      </c>
      <c r="H99" s="8">
        <f>G102</f>
        <v/>
      </c>
      <c r="I99" s="8">
        <f>H102</f>
        <v/>
      </c>
      <c r="J99" s="8">
        <f>I102</f>
        <v/>
      </c>
      <c r="K99" s="8">
        <f>J102</f>
        <v/>
      </c>
      <c r="L99" s="8">
        <f>K102</f>
        <v/>
      </c>
      <c r="M99" s="8">
        <f>L102</f>
        <v/>
      </c>
      <c r="N99" s="8">
        <f>M102</f>
        <v/>
      </c>
      <c r="O99" s="8">
        <f>N102</f>
        <v/>
      </c>
      <c r="P99" s="8">
        <f>O102</f>
        <v/>
      </c>
      <c r="Q99" s="8">
        <f>P102</f>
        <v/>
      </c>
      <c r="R99" s="8">
        <f>Q102</f>
        <v/>
      </c>
      <c r="S99" s="8">
        <f>R102</f>
        <v/>
      </c>
      <c r="T99" s="8">
        <f>S102</f>
        <v/>
      </c>
      <c r="U99" s="8">
        <f>T102</f>
        <v/>
      </c>
      <c r="V99" s="8">
        <f>U102</f>
        <v/>
      </c>
      <c r="W99" s="8">
        <f>V102</f>
        <v/>
      </c>
      <c r="X99" s="8">
        <f>W102</f>
        <v/>
      </c>
      <c r="Y99" s="8">
        <f>X102</f>
        <v/>
      </c>
      <c r="Z99" s="8">
        <f>Y102</f>
        <v/>
      </c>
      <c r="AA99" s="8">
        <f>Z102</f>
        <v/>
      </c>
      <c r="AB99" s="8">
        <f>AA102</f>
        <v/>
      </c>
      <c r="AC99" s="8">
        <f>AB102</f>
        <v/>
      </c>
      <c r="AD99" s="8">
        <f>AC102</f>
        <v/>
      </c>
      <c r="AE99" s="8">
        <f>AD102</f>
        <v/>
      </c>
      <c r="AF99" s="8">
        <f>AE102</f>
        <v/>
      </c>
      <c r="AG99" s="8">
        <f>AF102</f>
        <v/>
      </c>
      <c r="AH99" s="8">
        <f>AG102</f>
        <v/>
      </c>
      <c r="AI99" s="8">
        <f>AH102</f>
        <v/>
      </c>
      <c r="AJ99" s="8">
        <f>AI102</f>
        <v/>
      </c>
      <c r="AK99" s="8">
        <f>AJ102</f>
        <v/>
      </c>
      <c r="AL99" s="8">
        <f>AK102</f>
        <v/>
      </c>
      <c r="AM99" s="8">
        <f>AL102</f>
        <v/>
      </c>
      <c r="AN99" s="8">
        <f>AM102</f>
        <v/>
      </c>
      <c r="AO99" s="8">
        <f>AN102</f>
        <v/>
      </c>
      <c r="AP99" s="8">
        <f>AO102</f>
        <v/>
      </c>
      <c r="AQ99" s="8">
        <f>AP102</f>
        <v/>
      </c>
      <c r="AR99" s="8">
        <f>AQ102</f>
        <v/>
      </c>
      <c r="AS99" s="8">
        <f>AR102</f>
        <v/>
      </c>
      <c r="AT99" s="8">
        <f>AS102</f>
        <v/>
      </c>
      <c r="AU99" s="8">
        <f>AT102</f>
        <v/>
      </c>
      <c r="AV99" s="8">
        <f>AU102</f>
        <v/>
      </c>
      <c r="AW99" s="8">
        <f>AV102</f>
        <v/>
      </c>
      <c r="AX99" s="8">
        <f>AW102</f>
        <v/>
      </c>
      <c r="AY99" s="8">
        <f>AX102</f>
        <v/>
      </c>
      <c r="AZ99" s="8">
        <f>AY102</f>
        <v/>
      </c>
      <c r="BA99" s="8">
        <f>AZ102</f>
        <v/>
      </c>
      <c r="BB99" s="8">
        <f>BA102</f>
        <v/>
      </c>
      <c r="BC99" s="8">
        <f>BB102</f>
        <v/>
      </c>
      <c r="BD99" s="8">
        <f>BC102</f>
        <v/>
      </c>
      <c r="BE99" s="8">
        <f>BD102</f>
        <v/>
      </c>
      <c r="BF99" s="8">
        <f>BE102</f>
        <v/>
      </c>
      <c r="BG99" s="8">
        <f>BF102</f>
        <v/>
      </c>
      <c r="BH99" s="8">
        <f>BG102</f>
        <v/>
      </c>
      <c r="BI99" s="8">
        <f>BH102</f>
        <v/>
      </c>
      <c r="BJ99" s="8">
        <f>BI102</f>
        <v/>
      </c>
      <c r="BK99" s="8">
        <f>BJ102</f>
        <v/>
      </c>
      <c r="BL99" s="8">
        <f>BK102</f>
        <v/>
      </c>
      <c r="BM99" s="8">
        <f>BL102</f>
        <v/>
      </c>
      <c r="BN99" s="8">
        <f>BM102</f>
        <v/>
      </c>
      <c r="BO99" s="8">
        <f>BN102</f>
        <v/>
      </c>
      <c r="BP99" s="8">
        <f>BO102</f>
        <v/>
      </c>
      <c r="BQ99" s="8">
        <f>BP102</f>
        <v/>
      </c>
      <c r="BR99" s="8">
        <f>BQ102</f>
        <v/>
      </c>
      <c r="BS99" s="8">
        <f>BR102</f>
        <v/>
      </c>
      <c r="BT99" s="8">
        <f>BS102</f>
        <v/>
      </c>
      <c r="BU99" s="8">
        <f>BT102</f>
        <v/>
      </c>
      <c r="BV99" s="8">
        <f>BU102</f>
        <v/>
      </c>
      <c r="BW99" s="8">
        <f>BV102</f>
        <v/>
      </c>
      <c r="BX99" s="8">
        <f>BW102</f>
        <v/>
      </c>
      <c r="BY99" s="8">
        <f>BX102</f>
        <v/>
      </c>
      <c r="BZ99" s="8">
        <f>BY102</f>
        <v/>
      </c>
      <c r="CA99" s="8">
        <f>BZ102</f>
        <v/>
      </c>
      <c r="CB99" s="8">
        <f>CA102</f>
        <v/>
      </c>
      <c r="CC99" s="8">
        <f>CB102</f>
        <v/>
      </c>
      <c r="CD99" s="8">
        <f>CC102</f>
        <v/>
      </c>
      <c r="CE99" s="8">
        <f>CD102</f>
        <v/>
      </c>
      <c r="CF99" s="8">
        <f>CE102</f>
        <v/>
      </c>
      <c r="CG99" s="8">
        <f>CF102</f>
        <v/>
      </c>
      <c r="CH99" s="8">
        <f>CG102</f>
        <v/>
      </c>
      <c r="CI99" s="23" t="n"/>
    </row>
    <row r="100" ht="15" customHeight="1" s="201">
      <c r="A100" s="7" t="inlineStr">
        <is>
          <t>Quarterly Interest (15% / 4)</t>
        </is>
      </c>
      <c r="B100" s="22" t="n"/>
      <c r="C100" s="8">
        <f>IF(AND(MOD(1,3)=0,C99&gt;0),C99*Assumptions!$B$35,0)</f>
        <v/>
      </c>
      <c r="D100" s="8">
        <f>IF(AND(MOD(2,3)=0,D99&gt;0),D99*Assumptions!$B$35,0)</f>
        <v/>
      </c>
      <c r="E100" s="8">
        <f>IF(AND(MOD(3,3)=0,E99&gt;0),E99*Assumptions!$B$35,0)</f>
        <v/>
      </c>
      <c r="F100" s="8">
        <f>IF(AND(MOD(4,3)=0,F99&gt;0),F99*Assumptions!$B$35,0)</f>
        <v/>
      </c>
      <c r="G100" s="8">
        <f>IF(AND(MOD(5,3)=0,G99&gt;0),G99*Assumptions!$B$35,0)</f>
        <v/>
      </c>
      <c r="H100" s="8">
        <f>IF(AND(MOD(6,3)=0,H99&gt;0),H99*Assumptions!$B$35,0)</f>
        <v/>
      </c>
      <c r="I100" s="8">
        <f>IF(AND(MOD(7,3)=0,I99&gt;0),I99*Assumptions!$B$35,0)</f>
        <v/>
      </c>
      <c r="J100" s="8">
        <f>IF(AND(MOD(8,3)=0,J99&gt;0),J99*Assumptions!$B$35,0)</f>
        <v/>
      </c>
      <c r="K100" s="8">
        <f>IF(AND(MOD(9,3)=0,K99&gt;0),K99*Assumptions!$B$35,0)</f>
        <v/>
      </c>
      <c r="L100" s="8">
        <f>IF(AND(MOD(10,3)=0,L99&gt;0),L99*Assumptions!$B$35,0)</f>
        <v/>
      </c>
      <c r="M100" s="8">
        <f>IF(AND(MOD(11,3)=0,M99&gt;0),M99*Assumptions!$B$35,0)</f>
        <v/>
      </c>
      <c r="N100" s="8">
        <f>IF(AND(MOD(12,3)=0,N99&gt;0),N99*Assumptions!$B$35,0)</f>
        <v/>
      </c>
      <c r="O100" s="8">
        <f>IF(AND(MOD(13,3)=0,O99&gt;0),O99*Assumptions!$B$35,0)</f>
        <v/>
      </c>
      <c r="P100" s="8">
        <f>IF(AND(MOD(14,3)=0,P99&gt;0),P99*Assumptions!$B$35,0)</f>
        <v/>
      </c>
      <c r="Q100" s="8">
        <f>IF(AND(MOD(15,3)=0,Q99&gt;0),Q99*Assumptions!$B$35,0)</f>
        <v/>
      </c>
      <c r="R100" s="8">
        <f>IF(AND(MOD(16,3)=0,R99&gt;0),R99*Assumptions!$B$35,0)</f>
        <v/>
      </c>
      <c r="S100" s="8">
        <f>IF(AND(MOD(17,3)=0,S99&gt;0),S99*Assumptions!$B$35,0)</f>
        <v/>
      </c>
      <c r="T100" s="8">
        <f>IF(AND(MOD(18,3)=0,T99&gt;0),T99*Assumptions!$B$35,0)</f>
        <v/>
      </c>
      <c r="U100" s="8">
        <f>IF(AND(MOD(19,3)=0,U99&gt;0),U99*Assumptions!$B$35,0)</f>
        <v/>
      </c>
      <c r="V100" s="8">
        <f>IF(AND(MOD(20,3)=0,V99&gt;0),V99*Assumptions!$B$35,0)</f>
        <v/>
      </c>
      <c r="W100" s="8">
        <f>IF(AND(MOD(21,3)=0,W99&gt;0),W99*Assumptions!$B$35,0)</f>
        <v/>
      </c>
      <c r="X100" s="8">
        <f>IF(AND(MOD(22,3)=0,X99&gt;0),X99*Assumptions!$B$35,0)</f>
        <v/>
      </c>
      <c r="Y100" s="8">
        <f>IF(AND(MOD(23,3)=0,Y99&gt;0),Y99*Assumptions!$B$35,0)</f>
        <v/>
      </c>
      <c r="Z100" s="8">
        <f>IF(AND(MOD(24,3)=0,Z99&gt;0),Z99*Assumptions!$B$35,0)</f>
        <v/>
      </c>
      <c r="AA100" s="8">
        <f>IF(AND(MOD(25,3)=0,AA99&gt;0),AA99*Assumptions!$B$35,0)</f>
        <v/>
      </c>
      <c r="AB100" s="8">
        <f>IF(AND(MOD(26,3)=0,AB99&gt;0),AB99*Assumptions!$B$35,0)</f>
        <v/>
      </c>
      <c r="AC100" s="8">
        <f>IF(AND(MOD(27,3)=0,AC99&gt;0),AC99*Assumptions!$B$35,0)</f>
        <v/>
      </c>
      <c r="AD100" s="8">
        <f>IF(AND(MOD(28,3)=0,AD99&gt;0),AD99*Assumptions!$B$35,0)</f>
        <v/>
      </c>
      <c r="AE100" s="8">
        <f>IF(AND(MOD(29,3)=0,AE99&gt;0),AE99*Assumptions!$B$35,0)</f>
        <v/>
      </c>
      <c r="AF100" s="8">
        <f>IF(AND(MOD(30,3)=0,AF99&gt;0),AF99*Assumptions!$B$35,0)</f>
        <v/>
      </c>
      <c r="AG100" s="8">
        <f>IF(AND(MOD(31,3)=0,AG99&gt;0),AG99*Assumptions!$B$35,0)</f>
        <v/>
      </c>
      <c r="AH100" s="8">
        <f>IF(AND(MOD(32,3)=0,AH99&gt;0),AH99*Assumptions!$B$35,0)</f>
        <v/>
      </c>
      <c r="AI100" s="8">
        <f>IF(AND(MOD(33,3)=0,AI99&gt;0),AI99*Assumptions!$B$35,0)</f>
        <v/>
      </c>
      <c r="AJ100" s="8">
        <f>IF(AND(MOD(34,3)=0,AJ99&gt;0),AJ99*Assumptions!$B$35,0)</f>
        <v/>
      </c>
      <c r="AK100" s="8">
        <f>IF(AND(MOD(35,3)=0,AK99&gt;0),AK99*Assumptions!$B$35,0)</f>
        <v/>
      </c>
      <c r="AL100" s="8">
        <f>IF(AND(MOD(36,3)=0,AL99&gt;0),AL99*Assumptions!$B$35,0)</f>
        <v/>
      </c>
      <c r="AM100" s="8">
        <f>IF(AND(MOD(37,3)=0,AM99&gt;0),AM99*Assumptions!$B$35,0)</f>
        <v/>
      </c>
      <c r="AN100" s="8">
        <f>IF(AND(MOD(38,3)=0,AN99&gt;0),AN99*Assumptions!$B$35,0)</f>
        <v/>
      </c>
      <c r="AO100" s="8">
        <f>IF(AND(MOD(39,3)=0,AO99&gt;0),AO99*Assumptions!$B$35,0)</f>
        <v/>
      </c>
      <c r="AP100" s="8">
        <f>IF(AND(MOD(40,3)=0,AP99&gt;0),AP99*Assumptions!$B$35,0)</f>
        <v/>
      </c>
      <c r="AQ100" s="8">
        <f>IF(AND(MOD(41,3)=0,AQ99&gt;0),AQ99*Assumptions!$B$35,0)</f>
        <v/>
      </c>
      <c r="AR100" s="8">
        <f>IF(AND(MOD(42,3)=0,AR99&gt;0),AR99*Assumptions!$B$35,0)</f>
        <v/>
      </c>
      <c r="AS100" s="8">
        <f>IF(AND(MOD(43,3)=0,AS99&gt;0),AS99*Assumptions!$B$35,0)</f>
        <v/>
      </c>
      <c r="AT100" s="8">
        <f>IF(AND(MOD(44,3)=0,AT99&gt;0),AT99*Assumptions!$B$35,0)</f>
        <v/>
      </c>
      <c r="AU100" s="8">
        <f>IF(AND(MOD(45,3)=0,AU99&gt;0),AU99*Assumptions!$B$35,0)</f>
        <v/>
      </c>
      <c r="AV100" s="8">
        <f>IF(AND(MOD(46,3)=0,AV99&gt;0),AV99*Assumptions!$B$35,0)</f>
        <v/>
      </c>
      <c r="AW100" s="8">
        <f>IF(AND(MOD(47,3)=0,AW99&gt;0),AW99*Assumptions!$B$35,0)</f>
        <v/>
      </c>
      <c r="AX100" s="8">
        <f>IF(AND(MOD(48,3)=0,AX99&gt;0),AX99*Assumptions!$B$35,0)</f>
        <v/>
      </c>
      <c r="AY100" s="8">
        <f>IF(AND(MOD(49,3)=0,AY99&gt;0),AY99*Assumptions!$B$35,0)</f>
        <v/>
      </c>
      <c r="AZ100" s="8">
        <f>IF(AND(MOD(50,3)=0,AZ99&gt;0),AZ99*Assumptions!$B$35,0)</f>
        <v/>
      </c>
      <c r="BA100" s="8">
        <f>IF(AND(MOD(51,3)=0,BA99&gt;0),BA99*Assumptions!$B$35,0)</f>
        <v/>
      </c>
      <c r="BB100" s="8">
        <f>IF(AND(MOD(52,3)=0,BB99&gt;0),BB99*Assumptions!$B$35,0)</f>
        <v/>
      </c>
      <c r="BC100" s="8">
        <f>IF(AND(MOD(53,3)=0,BC99&gt;0),BC99*Assumptions!$B$35,0)</f>
        <v/>
      </c>
      <c r="BD100" s="8">
        <f>IF(AND(MOD(54,3)=0,BD99&gt;0),BD99*Assumptions!$B$35,0)</f>
        <v/>
      </c>
      <c r="BE100" s="8">
        <f>IF(AND(MOD(55,3)=0,BE99&gt;0),BE99*Assumptions!$B$35,0)</f>
        <v/>
      </c>
      <c r="BF100" s="8">
        <f>IF(AND(MOD(56,3)=0,BF99&gt;0),BF99*Assumptions!$B$35,0)</f>
        <v/>
      </c>
      <c r="BG100" s="8">
        <f>IF(AND(MOD(57,3)=0,BG99&gt;0),BG99*Assumptions!$B$35,0)</f>
        <v/>
      </c>
      <c r="BH100" s="8">
        <f>IF(AND(MOD(58,3)=0,BH99&gt;0),BH99*Assumptions!$B$35,0)</f>
        <v/>
      </c>
      <c r="BI100" s="8">
        <f>IF(AND(MOD(59,3)=0,BI99&gt;0),BI99*Assumptions!$B$35,0)</f>
        <v/>
      </c>
      <c r="BJ100" s="8">
        <f>IF(AND(MOD(60,3)=0,BJ99&gt;0),BJ99*Assumptions!$B$35,0)</f>
        <v/>
      </c>
      <c r="BK100" s="8">
        <f>IF(AND(MOD(61,3)=0,BK99&gt;0),BK99*Assumptions!$B$35,0)</f>
        <v/>
      </c>
      <c r="BL100" s="8">
        <f>IF(AND(MOD(62,3)=0,BL99&gt;0),BL99*Assumptions!$B$35,0)</f>
        <v/>
      </c>
      <c r="BM100" s="8">
        <f>IF(AND(MOD(63,3)=0,BM99&gt;0),BM99*Assumptions!$B$35,0)</f>
        <v/>
      </c>
      <c r="BN100" s="8">
        <f>IF(AND(MOD(64,3)=0,BN99&gt;0),BN99*Assumptions!$B$35,0)</f>
        <v/>
      </c>
      <c r="BO100" s="8">
        <f>IF(AND(MOD(65,3)=0,BO99&gt;0),BO99*Assumptions!$B$35,0)</f>
        <v/>
      </c>
      <c r="BP100" s="8">
        <f>IF(AND(MOD(66,3)=0,BP99&gt;0),BP99*Assumptions!$B$35,0)</f>
        <v/>
      </c>
      <c r="BQ100" s="8">
        <f>IF(AND(MOD(67,3)=0,BQ99&gt;0),BQ99*Assumptions!$B$35,0)</f>
        <v/>
      </c>
      <c r="BR100" s="8">
        <f>IF(AND(MOD(68,3)=0,BR99&gt;0),BR99*Assumptions!$B$35,0)</f>
        <v/>
      </c>
      <c r="BS100" s="8">
        <f>IF(AND(MOD(69,3)=0,BS99&gt;0),BS99*Assumptions!$B$35,0)</f>
        <v/>
      </c>
      <c r="BT100" s="8">
        <f>IF(AND(MOD(70,3)=0,BT99&gt;0),BT99*Assumptions!$B$35,0)</f>
        <v/>
      </c>
      <c r="BU100" s="8">
        <f>IF(AND(MOD(71,3)=0,BU99&gt;0),BU99*Assumptions!$B$35,0)</f>
        <v/>
      </c>
      <c r="BV100" s="8">
        <f>IF(AND(MOD(72,3)=0,BV99&gt;0),BV99*Assumptions!$B$35,0)</f>
        <v/>
      </c>
      <c r="BW100" s="8">
        <f>IF(AND(MOD(73,3)=0,BW99&gt;0),BW99*Assumptions!$B$35,0)</f>
        <v/>
      </c>
      <c r="BX100" s="8">
        <f>IF(AND(MOD(74,3)=0,BX99&gt;0),BX99*Assumptions!$B$35,0)</f>
        <v/>
      </c>
      <c r="BY100" s="8">
        <f>IF(AND(MOD(75,3)=0,BY99&gt;0),BY99*Assumptions!$B$35,0)</f>
        <v/>
      </c>
      <c r="BZ100" s="8">
        <f>IF(AND(MOD(76,3)=0,BZ99&gt;0),BZ99*Assumptions!$B$35,0)</f>
        <v/>
      </c>
      <c r="CA100" s="8">
        <f>IF(AND(MOD(77,3)=0,CA99&gt;0),CA99*Assumptions!$B$35,0)</f>
        <v/>
      </c>
      <c r="CB100" s="8">
        <f>IF(AND(MOD(78,3)=0,CB99&gt;0),CB99*Assumptions!$B$35,0)</f>
        <v/>
      </c>
      <c r="CC100" s="8">
        <f>IF(AND(MOD(79,3)=0,CC99&gt;0),CC99*Assumptions!$B$35,0)</f>
        <v/>
      </c>
      <c r="CD100" s="8">
        <f>IF(AND(MOD(80,3)=0,CD99&gt;0),CD99*Assumptions!$B$35,0)</f>
        <v/>
      </c>
      <c r="CE100" s="8">
        <f>IF(AND(MOD(81,3)=0,CE99&gt;0),CE99*Assumptions!$B$35,0)</f>
        <v/>
      </c>
      <c r="CF100" s="8">
        <f>IF(AND(MOD(82,3)=0,CF99&gt;0),CF99*Assumptions!$B$35,0)</f>
        <v/>
      </c>
      <c r="CG100" s="8">
        <f>IF(AND(MOD(83,3)=0,CG99&gt;0),CG99*Assumptions!$B$35,0)</f>
        <v/>
      </c>
      <c r="CH100" s="8">
        <f>IF(AND(MOD(84,3)=0,CH99&gt;0),CH99*Assumptions!$B$35,0)</f>
        <v/>
      </c>
      <c r="CI100" s="23" t="n"/>
    </row>
    <row r="101" ht="15" customHeight="1" s="201">
      <c r="A101" s="7" t="inlineStr">
        <is>
          <t>Monthly Payment</t>
        </is>
      </c>
      <c r="B101" s="22" t="n"/>
      <c r="C101" s="8">
        <f>IF(AND(1&gt;=Assumptions!$B$37,C99+C100&gt;0),-MIN(Assumptions!$B$36,C99+C100),0)</f>
        <v/>
      </c>
      <c r="D101" s="8">
        <f>IF(AND(2&gt;=Assumptions!$B$37,D99+D100&gt;0),-MIN(Assumptions!$B$36,D99+D100),0)</f>
        <v/>
      </c>
      <c r="E101" s="8">
        <f>IF(AND(3&gt;=Assumptions!$B$37,E99+E100&gt;0),-MIN(Assumptions!$B$36,E99+E100),0)</f>
        <v/>
      </c>
      <c r="F101" s="8">
        <f>IF(AND(4&gt;=Assumptions!$B$37,F99+F100&gt;0),-MIN(Assumptions!$B$36,F99+F100),0)</f>
        <v/>
      </c>
      <c r="G101" s="8">
        <f>IF(AND(5&gt;=Assumptions!$B$37,G99+G100&gt;0),-MIN(Assumptions!$B$36,G99+G100),0)</f>
        <v/>
      </c>
      <c r="H101" s="8">
        <f>IF(AND(6&gt;=Assumptions!$B$37,H99+H100&gt;0),-MIN(Assumptions!$B$36,H99+H100),0)</f>
        <v/>
      </c>
      <c r="I101" s="8">
        <f>IF(AND(7&gt;=Assumptions!$B$37,I99+I100&gt;0),-MIN(Assumptions!$B$36,I99+I100),0)</f>
        <v/>
      </c>
      <c r="J101" s="8">
        <f>IF(AND(8&gt;=Assumptions!$B$37,J99+J100&gt;0),-MIN(Assumptions!$B$36,J99+J100),0)</f>
        <v/>
      </c>
      <c r="K101" s="8">
        <f>IF(AND(9&gt;=Assumptions!$B$37,K99+K100&gt;0),-MIN(Assumptions!$B$36,K99+K100),0)</f>
        <v/>
      </c>
      <c r="L101" s="8">
        <f>IF(AND(10&gt;=Assumptions!$B$37,L99+L100&gt;0),-MIN(Assumptions!$B$36,L99+L100),0)</f>
        <v/>
      </c>
      <c r="M101" s="8">
        <f>IF(AND(11&gt;=Assumptions!$B$37,M99+M100&gt;0),-MIN(Assumptions!$B$36,M99+M100),0)</f>
        <v/>
      </c>
      <c r="N101" s="8">
        <f>IF(AND(12&gt;=Assumptions!$B$37,N99+N100&gt;0),-MIN(Assumptions!$B$36,N99+N100),0)</f>
        <v/>
      </c>
      <c r="O101" s="8">
        <f>IF(AND(13&gt;=Assumptions!$B$37,O99+O100&gt;0),-MIN(Assumptions!$B$36,O99+O100),0)</f>
        <v/>
      </c>
      <c r="P101" s="8">
        <f>IF(AND(14&gt;=Assumptions!$B$37,P99+P100&gt;0),-MIN(Assumptions!$B$36,P99+P100),0)</f>
        <v/>
      </c>
      <c r="Q101" s="8">
        <f>IF(AND(15&gt;=Assumptions!$B$37,Q99+Q100&gt;0),-MIN(Assumptions!$B$36,Q99+Q100),0)</f>
        <v/>
      </c>
      <c r="R101" s="8">
        <f>IF(AND(16&gt;=Assumptions!$B$37,R99+R100&gt;0),-MIN(Assumptions!$B$36,R99+R100),0)</f>
        <v/>
      </c>
      <c r="S101" s="8">
        <f>IF(AND(17&gt;=Assumptions!$B$37,S99+S100&gt;0),-MIN(Assumptions!$B$36,S99+S100),0)</f>
        <v/>
      </c>
      <c r="T101" s="8">
        <f>IF(AND(18&gt;=Assumptions!$B$37,T99+T100&gt;0),-MIN(Assumptions!$B$36,T99+T100),0)</f>
        <v/>
      </c>
      <c r="U101" s="8">
        <f>IF(AND(19&gt;=Assumptions!$B$37,U99+U100&gt;0),-MIN(Assumptions!$B$36,U99+U100),0)</f>
        <v/>
      </c>
      <c r="V101" s="8">
        <f>IF(AND(20&gt;=Assumptions!$B$37,V99+V100&gt;0),-MIN(Assumptions!$B$36,V99+V100),0)</f>
        <v/>
      </c>
      <c r="W101" s="8">
        <f>IF(AND(21&gt;=Assumptions!$B$37,W99+W100&gt;0),-MIN(Assumptions!$B$36,W99+W100),0)</f>
        <v/>
      </c>
      <c r="X101" s="8">
        <f>IF(AND(22&gt;=Assumptions!$B$37,X99+X100&gt;0),-MIN(Assumptions!$B$36,X99+X100),0)</f>
        <v/>
      </c>
      <c r="Y101" s="8">
        <f>IF(AND(23&gt;=Assumptions!$B$37,Y99+Y100&gt;0),-MIN(Assumptions!$B$36,Y99+Y100),0)</f>
        <v/>
      </c>
      <c r="Z101" s="8">
        <f>IF(AND(24&gt;=Assumptions!$B$37,Z99+Z100&gt;0),-MIN(Assumptions!$B$36,Z99+Z100),0)</f>
        <v/>
      </c>
      <c r="AA101" s="8">
        <f>IF(AND(25&gt;=Assumptions!$B$37,AA99+AA100&gt;0),-MIN(Assumptions!$B$36,AA99+AA100),0)</f>
        <v/>
      </c>
      <c r="AB101" s="8">
        <f>IF(AND(26&gt;=Assumptions!$B$37,AB99+AB100&gt;0),-MIN(Assumptions!$B$36,AB99+AB100),0)</f>
        <v/>
      </c>
      <c r="AC101" s="8">
        <f>IF(AND(27&gt;=Assumptions!$B$37,AC99+AC100&gt;0),-MIN(Assumptions!$B$36,AC99+AC100),0)</f>
        <v/>
      </c>
      <c r="AD101" s="8">
        <f>IF(AND(28&gt;=Assumptions!$B$37,AD99+AD100&gt;0),-MIN(Assumptions!$B$36,AD99+AD100),0)</f>
        <v/>
      </c>
      <c r="AE101" s="8">
        <f>IF(AND(29&gt;=Assumptions!$B$37,AE99+AE100&gt;0),-MIN(Assumptions!$B$36,AE99+AE100),0)</f>
        <v/>
      </c>
      <c r="AF101" s="8">
        <f>IF(AND(30&gt;=Assumptions!$B$37,AF99+AF100&gt;0),-MIN(Assumptions!$B$36,AF99+AF100),0)</f>
        <v/>
      </c>
      <c r="AG101" s="8">
        <f>IF(AND(31&gt;=Assumptions!$B$37,AG99+AG100&gt;0),-MIN(Assumptions!$B$36,AG99+AG100),0)</f>
        <v/>
      </c>
      <c r="AH101" s="8">
        <f>IF(AND(32&gt;=Assumptions!$B$37,AH99+AH100&gt;0),-MIN(Assumptions!$B$36,AH99+AH100),0)</f>
        <v/>
      </c>
      <c r="AI101" s="8">
        <f>IF(AND(33&gt;=Assumptions!$B$37,AI99+AI100&gt;0),-MIN(Assumptions!$B$36,AI99+AI100),0)</f>
        <v/>
      </c>
      <c r="AJ101" s="8">
        <f>IF(AND(34&gt;=Assumptions!$B$37,AJ99+AJ100&gt;0),-MIN(Assumptions!$B$36,AJ99+AJ100),0)</f>
        <v/>
      </c>
      <c r="AK101" s="8">
        <f>IF(AND(35&gt;=Assumptions!$B$37,AK99+AK100&gt;0),-MIN(Assumptions!$B$36,AK99+AK100),0)</f>
        <v/>
      </c>
      <c r="AL101" s="8">
        <f>IF(AND(36&gt;=Assumptions!$B$37,AL99+AL100&gt;0),-MIN(Assumptions!$B$36,AL99+AL100),0)</f>
        <v/>
      </c>
      <c r="AM101" s="8">
        <f>IF(AND(37&gt;=Assumptions!$B$37,AM99+AM100&gt;0),-MIN(Assumptions!$B$36,AM99+AM100),0)</f>
        <v/>
      </c>
      <c r="AN101" s="8">
        <f>IF(AND(38&gt;=Assumptions!$B$37,AN99+AN100&gt;0),-MIN(Assumptions!$B$36,AN99+AN100),0)</f>
        <v/>
      </c>
      <c r="AO101" s="8">
        <f>IF(AND(39&gt;=Assumptions!$B$37,AO99+AO100&gt;0),-MIN(Assumptions!$B$36,AO99+AO100),0)</f>
        <v/>
      </c>
      <c r="AP101" s="8">
        <f>IF(AND(40&gt;=Assumptions!$B$37,AP99+AP100&gt;0),-MIN(Assumptions!$B$36,AP99+AP100),0)</f>
        <v/>
      </c>
      <c r="AQ101" s="8">
        <f>IF(AND(41&gt;=Assumptions!$B$37,AQ99+AQ100&gt;0),-MIN(Assumptions!$B$36,AQ99+AQ100),0)</f>
        <v/>
      </c>
      <c r="AR101" s="8">
        <f>IF(AND(42&gt;=Assumptions!$B$37,AR99+AR100&gt;0),-MIN(Assumptions!$B$36,AR99+AR100),0)</f>
        <v/>
      </c>
      <c r="AS101" s="8">
        <f>IF(AND(43&gt;=Assumptions!$B$37,AS99+AS100&gt;0),-MIN(Assumptions!$B$36,AS99+AS100),0)</f>
        <v/>
      </c>
      <c r="AT101" s="8">
        <f>IF(AND(44&gt;=Assumptions!$B$37,AT99+AT100&gt;0),-MIN(Assumptions!$B$36,AT99+AT100),0)</f>
        <v/>
      </c>
      <c r="AU101" s="8">
        <f>IF(AND(45&gt;=Assumptions!$B$37,AU99+AU100&gt;0),-MIN(Assumptions!$B$36,AU99+AU100),0)</f>
        <v/>
      </c>
      <c r="AV101" s="8">
        <f>IF(AND(46&gt;=Assumptions!$B$37,AV99+AV100&gt;0),-MIN(Assumptions!$B$36,AV99+AV100),0)</f>
        <v/>
      </c>
      <c r="AW101" s="8">
        <f>IF(AND(47&gt;=Assumptions!$B$37,AW99+AW100&gt;0),-MIN(Assumptions!$B$36,AW99+AW100),0)</f>
        <v/>
      </c>
      <c r="AX101" s="8">
        <f>IF(AND(48&gt;=Assumptions!$B$37,AX99+AX100&gt;0),-MIN(Assumptions!$B$36,AX99+AX100),0)</f>
        <v/>
      </c>
      <c r="AY101" s="8">
        <f>IF(AND(49&gt;=Assumptions!$B$37,AY99+AY100&gt;0),-MIN(Assumptions!$B$36,AY99+AY100),0)</f>
        <v/>
      </c>
      <c r="AZ101" s="8">
        <f>IF(AND(50&gt;=Assumptions!$B$37,AZ99+AZ100&gt;0),-MIN(Assumptions!$B$36,AZ99+AZ100),0)</f>
        <v/>
      </c>
      <c r="BA101" s="8">
        <f>IF(AND(51&gt;=Assumptions!$B$37,BA99+BA100&gt;0),-MIN(Assumptions!$B$36,BA99+BA100),0)</f>
        <v/>
      </c>
      <c r="BB101" s="8">
        <f>IF(AND(52&gt;=Assumptions!$B$37,BB99+BB100&gt;0),-MIN(Assumptions!$B$36,BB99+BB100),0)</f>
        <v/>
      </c>
      <c r="BC101" s="8">
        <f>IF(AND(53&gt;=Assumptions!$B$37,BC99+BC100&gt;0),-MIN(Assumptions!$B$36,BC99+BC100),0)</f>
        <v/>
      </c>
      <c r="BD101" s="8">
        <f>IF(AND(54&gt;=Assumptions!$B$37,BD99+BD100&gt;0),-MIN(Assumptions!$B$36,BD99+BD100),0)</f>
        <v/>
      </c>
      <c r="BE101" s="8">
        <f>IF(AND(55&gt;=Assumptions!$B$37,BE99+BE100&gt;0),-MIN(Assumptions!$B$36,BE99+BE100),0)</f>
        <v/>
      </c>
      <c r="BF101" s="8">
        <f>IF(AND(56&gt;=Assumptions!$B$37,BF99+BF100&gt;0),-MIN(Assumptions!$B$36,BF99+BF100),0)</f>
        <v/>
      </c>
      <c r="BG101" s="8">
        <f>IF(AND(57&gt;=Assumptions!$B$37,BG99+BG100&gt;0),-MIN(Assumptions!$B$36,BG99+BG100),0)</f>
        <v/>
      </c>
      <c r="BH101" s="8">
        <f>IF(AND(58&gt;=Assumptions!$B$37,BH99+BH100&gt;0),-MIN(Assumptions!$B$36,BH99+BH100),0)</f>
        <v/>
      </c>
      <c r="BI101" s="8">
        <f>IF(AND(59&gt;=Assumptions!$B$37,BI99+BI100&gt;0),-MIN(Assumptions!$B$36,BI99+BI100),0)</f>
        <v/>
      </c>
      <c r="BJ101" s="8">
        <f>IF(AND(60&gt;=Assumptions!$B$37,BJ99+BJ100&gt;0),-MIN(Assumptions!$B$36,BJ99+BJ100),0)</f>
        <v/>
      </c>
      <c r="BK101" s="8">
        <f>IF(AND(61&gt;=Assumptions!$B$37,BK99+BK100&gt;0),-MIN(Assumptions!$B$36,BK99+BK100),0)</f>
        <v/>
      </c>
      <c r="BL101" s="8">
        <f>IF(AND(62&gt;=Assumptions!$B$37,BL99+BL100&gt;0),-MIN(Assumptions!$B$36,BL99+BL100),0)</f>
        <v/>
      </c>
      <c r="BM101" s="8">
        <f>IF(AND(63&gt;=Assumptions!$B$37,BM99+BM100&gt;0),-MIN(Assumptions!$B$36,BM99+BM100),0)</f>
        <v/>
      </c>
      <c r="BN101" s="8">
        <f>IF(AND(64&gt;=Assumptions!$B$37,BN99+BN100&gt;0),-MIN(Assumptions!$B$36,BN99+BN100),0)</f>
        <v/>
      </c>
      <c r="BO101" s="8">
        <f>IF(AND(65&gt;=Assumptions!$B$37,BO99+BO100&gt;0),-MIN(Assumptions!$B$36,BO99+BO100),0)</f>
        <v/>
      </c>
      <c r="BP101" s="8">
        <f>IF(AND(66&gt;=Assumptions!$B$37,BP99+BP100&gt;0),-MIN(Assumptions!$B$36,BP99+BP100),0)</f>
        <v/>
      </c>
      <c r="BQ101" s="8">
        <f>IF(AND(67&gt;=Assumptions!$B$37,BQ99+BQ100&gt;0),-MIN(Assumptions!$B$36,BQ99+BQ100),0)</f>
        <v/>
      </c>
      <c r="BR101" s="8">
        <f>IF(AND(68&gt;=Assumptions!$B$37,BR99+BR100&gt;0),-MIN(Assumptions!$B$36,BR99+BR100),0)</f>
        <v/>
      </c>
      <c r="BS101" s="8">
        <f>IF(AND(69&gt;=Assumptions!$B$37,BS99+BS100&gt;0),-MIN(Assumptions!$B$36,BS99+BS100),0)</f>
        <v/>
      </c>
      <c r="BT101" s="8">
        <f>IF(AND(70&gt;=Assumptions!$B$37,BT99+BT100&gt;0),-MIN(Assumptions!$B$36,BT99+BT100),0)</f>
        <v/>
      </c>
      <c r="BU101" s="8">
        <f>IF(AND(71&gt;=Assumptions!$B$37,BU99+BU100&gt;0),-MIN(Assumptions!$B$36,BU99+BU100),0)</f>
        <v/>
      </c>
      <c r="BV101" s="8">
        <f>IF(AND(72&gt;=Assumptions!$B$37,BV99+BV100&gt;0),-MIN(Assumptions!$B$36,BV99+BV100),0)</f>
        <v/>
      </c>
      <c r="BW101" s="8">
        <f>IF(AND(73&gt;=Assumptions!$B$37,BW99+BW100&gt;0),-MIN(Assumptions!$B$36,BW99+BW100),0)</f>
        <v/>
      </c>
      <c r="BX101" s="8">
        <f>IF(AND(74&gt;=Assumptions!$B$37,BX99+BX100&gt;0),-MIN(Assumptions!$B$36,BX99+BX100),0)</f>
        <v/>
      </c>
      <c r="BY101" s="8">
        <f>IF(AND(75&gt;=Assumptions!$B$37,BY99+BY100&gt;0),-MIN(Assumptions!$B$36,BY99+BY100),0)</f>
        <v/>
      </c>
      <c r="BZ101" s="8">
        <f>IF(AND(76&gt;=Assumptions!$B$37,BZ99+BZ100&gt;0),-MIN(Assumptions!$B$36,BZ99+BZ100),0)</f>
        <v/>
      </c>
      <c r="CA101" s="8">
        <f>IF(AND(77&gt;=Assumptions!$B$37,CA99+CA100&gt;0),-MIN(Assumptions!$B$36,CA99+CA100),0)</f>
        <v/>
      </c>
      <c r="CB101" s="8">
        <f>IF(AND(78&gt;=Assumptions!$B$37,CB99+CB100&gt;0),-MIN(Assumptions!$B$36,CB99+CB100),0)</f>
        <v/>
      </c>
      <c r="CC101" s="8">
        <f>IF(AND(79&gt;=Assumptions!$B$37,CC99+CC100&gt;0),-MIN(Assumptions!$B$36,CC99+CC100),0)</f>
        <v/>
      </c>
      <c r="CD101" s="8">
        <f>IF(AND(80&gt;=Assumptions!$B$37,CD99+CD100&gt;0),-MIN(Assumptions!$B$36,CD99+CD100),0)</f>
        <v/>
      </c>
      <c r="CE101" s="8">
        <f>IF(AND(81&gt;=Assumptions!$B$37,CE99+CE100&gt;0),-MIN(Assumptions!$B$36,CE99+CE100),0)</f>
        <v/>
      </c>
      <c r="CF101" s="8">
        <f>IF(AND(82&gt;=Assumptions!$B$37,CF99+CF100&gt;0),-MIN(Assumptions!$B$36,CF99+CF100),0)</f>
        <v/>
      </c>
      <c r="CG101" s="8">
        <f>IF(AND(83&gt;=Assumptions!$B$37,CG99+CG100&gt;0),-MIN(Assumptions!$B$36,CG99+CG100),0)</f>
        <v/>
      </c>
      <c r="CH101" s="8">
        <f>IF(AND(84&gt;=Assumptions!$B$37,CH99+CH100&gt;0),-MIN(Assumptions!$B$36,CH99+CH100),0)</f>
        <v/>
      </c>
      <c r="CI101" s="23" t="n"/>
    </row>
    <row r="102" ht="15" customHeight="1" s="201">
      <c r="A102" s="33" t="inlineStr">
        <is>
          <t>Ending Balance</t>
        </is>
      </c>
      <c r="B102" s="28" t="n"/>
      <c r="C102" s="32">
        <f>MAX(0,C99+C100+C101)</f>
        <v/>
      </c>
      <c r="D102" s="32">
        <f>MAX(0,D99+D100+D101)</f>
        <v/>
      </c>
      <c r="E102" s="32">
        <f>MAX(0,E99+E100+E101)</f>
        <v/>
      </c>
      <c r="F102" s="32">
        <f>MAX(0,F99+F100+F101)</f>
        <v/>
      </c>
      <c r="G102" s="32">
        <f>MAX(0,G99+G100+G101)</f>
        <v/>
      </c>
      <c r="H102" s="32">
        <f>MAX(0,H99+H100+H101)</f>
        <v/>
      </c>
      <c r="I102" s="32">
        <f>MAX(0,I99+I100+I101)</f>
        <v/>
      </c>
      <c r="J102" s="32">
        <f>MAX(0,J99+J100+J101)</f>
        <v/>
      </c>
      <c r="K102" s="32">
        <f>MAX(0,K99+K100+K101)</f>
        <v/>
      </c>
      <c r="L102" s="32">
        <f>MAX(0,L99+L100+L101)</f>
        <v/>
      </c>
      <c r="M102" s="32">
        <f>MAX(0,M99+M100+M101)</f>
        <v/>
      </c>
      <c r="N102" s="32">
        <f>MAX(0,N99+N100+N101)</f>
        <v/>
      </c>
      <c r="O102" s="32">
        <f>MAX(0,O99+O100+O101)</f>
        <v/>
      </c>
      <c r="P102" s="32">
        <f>MAX(0,P99+P100+P101)</f>
        <v/>
      </c>
      <c r="Q102" s="32">
        <f>MAX(0,Q99+Q100+Q101)</f>
        <v/>
      </c>
      <c r="R102" s="32">
        <f>MAX(0,R99+R100+R101)</f>
        <v/>
      </c>
      <c r="S102" s="32">
        <f>MAX(0,S99+S100+S101)</f>
        <v/>
      </c>
      <c r="T102" s="32">
        <f>MAX(0,T99+T100+T101)</f>
        <v/>
      </c>
      <c r="U102" s="32">
        <f>MAX(0,U99+U100+U101)</f>
        <v/>
      </c>
      <c r="V102" s="32">
        <f>MAX(0,V99+V100+V101)</f>
        <v/>
      </c>
      <c r="W102" s="32">
        <f>MAX(0,W99+W100+W101)</f>
        <v/>
      </c>
      <c r="X102" s="32">
        <f>MAX(0,X99+X100+X101)</f>
        <v/>
      </c>
      <c r="Y102" s="32">
        <f>MAX(0,Y99+Y100+Y101)</f>
        <v/>
      </c>
      <c r="Z102" s="32">
        <f>MAX(0,Z99+Z100+Z101)</f>
        <v/>
      </c>
      <c r="AA102" s="32">
        <f>MAX(0,AA99+AA100+AA101)</f>
        <v/>
      </c>
      <c r="AB102" s="32">
        <f>MAX(0,AB99+AB100+AB101)</f>
        <v/>
      </c>
      <c r="AC102" s="32">
        <f>MAX(0,AC99+AC100+AC101)</f>
        <v/>
      </c>
      <c r="AD102" s="32">
        <f>MAX(0,AD99+AD100+AD101)</f>
        <v/>
      </c>
      <c r="AE102" s="32">
        <f>MAX(0,AE99+AE100+AE101)</f>
        <v/>
      </c>
      <c r="AF102" s="32">
        <f>MAX(0,AF99+AF100+AF101)</f>
        <v/>
      </c>
      <c r="AG102" s="32">
        <f>MAX(0,AG99+AG100+AG101)</f>
        <v/>
      </c>
      <c r="AH102" s="32">
        <f>MAX(0,AH99+AH100+AH101)</f>
        <v/>
      </c>
      <c r="AI102" s="32">
        <f>MAX(0,AI99+AI100+AI101)</f>
        <v/>
      </c>
      <c r="AJ102" s="32">
        <f>MAX(0,AJ99+AJ100+AJ101)</f>
        <v/>
      </c>
      <c r="AK102" s="32">
        <f>MAX(0,AK99+AK100+AK101)</f>
        <v/>
      </c>
      <c r="AL102" s="32">
        <f>MAX(0,AL99+AL100+AL101)</f>
        <v/>
      </c>
      <c r="AM102" s="32">
        <f>MAX(0,AM99+AM100+AM101)</f>
        <v/>
      </c>
      <c r="AN102" s="32">
        <f>MAX(0,AN99+AN100+AN101)</f>
        <v/>
      </c>
      <c r="AO102" s="32">
        <f>MAX(0,AO99+AO100+AO101)</f>
        <v/>
      </c>
      <c r="AP102" s="32">
        <f>MAX(0,AP99+AP100+AP101)</f>
        <v/>
      </c>
      <c r="AQ102" s="32">
        <f>MAX(0,AQ99+AQ100+AQ101)</f>
        <v/>
      </c>
      <c r="AR102" s="32">
        <f>MAX(0,AR99+AR100+AR101)</f>
        <v/>
      </c>
      <c r="AS102" s="32">
        <f>MAX(0,AS99+AS100+AS101)</f>
        <v/>
      </c>
      <c r="AT102" s="32">
        <f>MAX(0,AT99+AT100+AT101)</f>
        <v/>
      </c>
      <c r="AU102" s="32">
        <f>MAX(0,AU99+AU100+AU101)</f>
        <v/>
      </c>
      <c r="AV102" s="32">
        <f>MAX(0,AV99+AV100+AV101)</f>
        <v/>
      </c>
      <c r="AW102" s="32">
        <f>MAX(0,AW99+AW100+AW101)</f>
        <v/>
      </c>
      <c r="AX102" s="32">
        <f>MAX(0,AX99+AX100+AX101)</f>
        <v/>
      </c>
      <c r="AY102" s="32">
        <f>MAX(0,AY99+AY100+AY101)</f>
        <v/>
      </c>
      <c r="AZ102" s="32">
        <f>MAX(0,AZ99+AZ100+AZ101)</f>
        <v/>
      </c>
      <c r="BA102" s="32">
        <f>MAX(0,BA99+BA100+BA101)</f>
        <v/>
      </c>
      <c r="BB102" s="32">
        <f>MAX(0,BB99+BB100+BB101)</f>
        <v/>
      </c>
      <c r="BC102" s="32">
        <f>MAX(0,BC99+BC100+BC101)</f>
        <v/>
      </c>
      <c r="BD102" s="32">
        <f>MAX(0,BD99+BD100+BD101)</f>
        <v/>
      </c>
      <c r="BE102" s="32">
        <f>MAX(0,BE99+BE100+BE101)</f>
        <v/>
      </c>
      <c r="BF102" s="32">
        <f>MAX(0,BF99+BF100+BF101)</f>
        <v/>
      </c>
      <c r="BG102" s="32">
        <f>MAX(0,BG99+BG100+BG101)</f>
        <v/>
      </c>
      <c r="BH102" s="32">
        <f>MAX(0,BH99+BH100+BH101)</f>
        <v/>
      </c>
      <c r="BI102" s="32">
        <f>MAX(0,BI99+BI100+BI101)</f>
        <v/>
      </c>
      <c r="BJ102" s="32">
        <f>MAX(0,BJ99+BJ100+BJ101)</f>
        <v/>
      </c>
      <c r="BK102" s="32">
        <f>MAX(0,BK99+BK100+BK101)</f>
        <v/>
      </c>
      <c r="BL102" s="32">
        <f>MAX(0,BL99+BL100+BL101)</f>
        <v/>
      </c>
      <c r="BM102" s="32">
        <f>MAX(0,BM99+BM100+BM101)</f>
        <v/>
      </c>
      <c r="BN102" s="32">
        <f>MAX(0,BN99+BN100+BN101)</f>
        <v/>
      </c>
      <c r="BO102" s="32">
        <f>MAX(0,BO99+BO100+BO101)</f>
        <v/>
      </c>
      <c r="BP102" s="32">
        <f>MAX(0,BP99+BP100+BP101)</f>
        <v/>
      </c>
      <c r="BQ102" s="32">
        <f>MAX(0,BQ99+BQ100+BQ101)</f>
        <v/>
      </c>
      <c r="BR102" s="32">
        <f>MAX(0,BR99+BR100+BR101)</f>
        <v/>
      </c>
      <c r="BS102" s="32">
        <f>MAX(0,BS99+BS100+BS101)</f>
        <v/>
      </c>
      <c r="BT102" s="32">
        <f>MAX(0,BT99+BT100+BT101)</f>
        <v/>
      </c>
      <c r="BU102" s="32">
        <f>MAX(0,BU99+BU100+BU101)</f>
        <v/>
      </c>
      <c r="BV102" s="32">
        <f>MAX(0,BV99+BV100+BV101)</f>
        <v/>
      </c>
      <c r="BW102" s="32">
        <f>MAX(0,BW99+BW100+BW101)</f>
        <v/>
      </c>
      <c r="BX102" s="32">
        <f>MAX(0,BX99+BX100+BX101)</f>
        <v/>
      </c>
      <c r="BY102" s="32">
        <f>MAX(0,BY99+BY100+BY101)</f>
        <v/>
      </c>
      <c r="BZ102" s="32">
        <f>MAX(0,BZ99+BZ100+BZ101)</f>
        <v/>
      </c>
      <c r="CA102" s="32">
        <f>MAX(0,CA99+CA100+CA101)</f>
        <v/>
      </c>
      <c r="CB102" s="32">
        <f>MAX(0,CB99+CB100+CB101)</f>
        <v/>
      </c>
      <c r="CC102" s="32">
        <f>MAX(0,CC99+CC100+CC101)</f>
        <v/>
      </c>
      <c r="CD102" s="32">
        <f>MAX(0,CD99+CD100+CD101)</f>
        <v/>
      </c>
      <c r="CE102" s="32">
        <f>MAX(0,CE99+CE100+CE101)</f>
        <v/>
      </c>
      <c r="CF102" s="32">
        <f>MAX(0,CF99+CF100+CF101)</f>
        <v/>
      </c>
      <c r="CG102" s="32">
        <f>MAX(0,CG99+CG100+CG101)</f>
        <v/>
      </c>
      <c r="CH102" s="32">
        <f>MAX(0,CH99+CH100+CH101)</f>
        <v/>
      </c>
      <c r="CI102" s="23" t="n"/>
    </row>
    <row r="103" ht="15" customHeight="1" s="201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2" t="n"/>
      <c r="AM103" s="22" t="n"/>
      <c r="AN103" s="22" t="n"/>
      <c r="AO103" s="22" t="n"/>
      <c r="AP103" s="22" t="n"/>
      <c r="AQ103" s="22" t="n"/>
      <c r="AR103" s="22" t="n"/>
      <c r="AS103" s="22" t="n"/>
      <c r="AT103" s="22" t="n"/>
      <c r="AU103" s="22" t="n"/>
      <c r="AV103" s="22" t="n"/>
      <c r="AW103" s="22" t="n"/>
      <c r="AX103" s="22" t="n"/>
      <c r="AY103" s="22" t="n"/>
      <c r="AZ103" s="22" t="n"/>
      <c r="BA103" s="22" t="n"/>
      <c r="BB103" s="22" t="n"/>
      <c r="BC103" s="22" t="n"/>
      <c r="BD103" s="22" t="n"/>
      <c r="BE103" s="22" t="n"/>
      <c r="BF103" s="22" t="n"/>
      <c r="BG103" s="22" t="n"/>
      <c r="BH103" s="22" t="n"/>
      <c r="BI103" s="22" t="n"/>
      <c r="BJ103" s="22" t="n"/>
      <c r="BK103" s="22" t="n"/>
      <c r="BL103" s="22" t="n"/>
      <c r="BM103" s="22" t="n"/>
      <c r="BN103" s="22" t="n"/>
      <c r="BO103" s="22" t="n"/>
      <c r="BP103" s="22" t="n"/>
      <c r="BQ103" s="22" t="n"/>
      <c r="BR103" s="22" t="n"/>
      <c r="BS103" s="22" t="n"/>
      <c r="BT103" s="22" t="n"/>
      <c r="BU103" s="22" t="n"/>
      <c r="BV103" s="22" t="n"/>
      <c r="BW103" s="22" t="n"/>
      <c r="BX103" s="22" t="n"/>
      <c r="BY103" s="22" t="n"/>
      <c r="BZ103" s="22" t="n"/>
      <c r="CA103" s="22" t="n"/>
      <c r="CB103" s="22" t="n"/>
      <c r="CC103" s="22" t="n"/>
      <c r="CD103" s="22" t="n"/>
      <c r="CE103" s="22" t="n"/>
      <c r="CF103" s="22" t="n"/>
      <c r="CG103" s="22" t="n"/>
      <c r="CH103" s="22" t="n"/>
      <c r="CI103" s="23" t="n"/>
    </row>
    <row r="104" ht="7.5" customHeight="1" s="201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22" t="n"/>
      <c r="AM104" s="22" t="n"/>
      <c r="AN104" s="22" t="n"/>
      <c r="AO104" s="22" t="n"/>
      <c r="AP104" s="22" t="n"/>
      <c r="AQ104" s="22" t="n"/>
      <c r="AR104" s="22" t="n"/>
      <c r="AS104" s="22" t="n"/>
      <c r="AT104" s="22" t="n"/>
      <c r="AU104" s="22" t="n"/>
      <c r="AV104" s="22" t="n"/>
      <c r="AW104" s="22" t="n"/>
      <c r="AX104" s="22" t="n"/>
      <c r="AY104" s="22" t="n"/>
      <c r="AZ104" s="22" t="n"/>
      <c r="BA104" s="22" t="n"/>
      <c r="BB104" s="22" t="n"/>
      <c r="BC104" s="22" t="n"/>
      <c r="BD104" s="22" t="n"/>
      <c r="BE104" s="22" t="n"/>
      <c r="BF104" s="22" t="n"/>
      <c r="BG104" s="22" t="n"/>
      <c r="BH104" s="22" t="n"/>
      <c r="BI104" s="22" t="n"/>
      <c r="BJ104" s="22" t="n"/>
      <c r="BK104" s="22" t="n"/>
      <c r="BL104" s="22" t="n"/>
      <c r="BM104" s="22" t="n"/>
      <c r="BN104" s="22" t="n"/>
      <c r="BO104" s="22" t="n"/>
      <c r="BP104" s="22" t="n"/>
      <c r="BQ104" s="22" t="n"/>
      <c r="BR104" s="22" t="n"/>
      <c r="BS104" s="22" t="n"/>
      <c r="BT104" s="22" t="n"/>
      <c r="BU104" s="22" t="n"/>
      <c r="BV104" s="22" t="n"/>
      <c r="BW104" s="22" t="n"/>
      <c r="BX104" s="22" t="n"/>
      <c r="BY104" s="22" t="n"/>
      <c r="BZ104" s="22" t="n"/>
      <c r="CA104" s="22" t="n"/>
      <c r="CB104" s="22" t="n"/>
      <c r="CC104" s="22" t="n"/>
      <c r="CD104" s="22" t="n"/>
      <c r="CE104" s="22" t="n"/>
      <c r="CF104" s="22" t="n"/>
      <c r="CG104" s="22" t="n"/>
      <c r="CH104" s="22" t="n"/>
      <c r="CI104" s="23" t="n"/>
    </row>
    <row r="105" ht="15" customHeight="1" s="201">
      <c r="A105" s="26" t="inlineStr">
        <is>
          <t>ROW RUN CAPITAL LLC - DEBT FACILITY</t>
        </is>
      </c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  <c r="AA105" s="26" t="n"/>
      <c r="AB105" s="26" t="n"/>
      <c r="AC105" s="26" t="n"/>
      <c r="AD105" s="26" t="n"/>
      <c r="AE105" s="26" t="n"/>
      <c r="AF105" s="26" t="n"/>
      <c r="AG105" s="26" t="n"/>
      <c r="AH105" s="26" t="n"/>
      <c r="AI105" s="26" t="n"/>
      <c r="AJ105" s="26" t="n"/>
      <c r="AK105" s="26" t="n"/>
      <c r="AL105" s="26" t="n"/>
      <c r="AM105" s="26" t="n"/>
      <c r="AN105" s="26" t="n"/>
      <c r="AO105" s="26" t="n"/>
      <c r="AP105" s="26" t="n"/>
      <c r="AQ105" s="26" t="n"/>
      <c r="AR105" s="26" t="n"/>
      <c r="AS105" s="26" t="n"/>
      <c r="AT105" s="26" t="n"/>
      <c r="AU105" s="26" t="n"/>
      <c r="AV105" s="26" t="n"/>
      <c r="AW105" s="26" t="n"/>
      <c r="AX105" s="26" t="n"/>
      <c r="AY105" s="26" t="n"/>
      <c r="AZ105" s="26" t="n"/>
      <c r="BA105" s="26" t="n"/>
      <c r="BB105" s="26" t="n"/>
      <c r="BC105" s="26" t="n"/>
      <c r="BD105" s="26" t="n"/>
      <c r="BE105" s="26" t="n"/>
      <c r="BF105" s="26" t="n"/>
      <c r="BG105" s="26" t="n"/>
      <c r="BH105" s="26" t="n"/>
      <c r="BI105" s="26" t="n"/>
      <c r="BJ105" s="26" t="n"/>
      <c r="BK105" s="26" t="n"/>
      <c r="BL105" s="26" t="n"/>
      <c r="BM105" s="26" t="n"/>
      <c r="BN105" s="26" t="n"/>
      <c r="BO105" s="26" t="n"/>
      <c r="BP105" s="26" t="n"/>
      <c r="BQ105" s="26" t="n"/>
      <c r="BR105" s="26" t="n"/>
      <c r="BS105" s="26" t="n"/>
      <c r="BT105" s="26" t="n"/>
      <c r="BU105" s="26" t="n"/>
      <c r="BV105" s="26" t="n"/>
      <c r="BW105" s="26" t="n"/>
      <c r="BX105" s="26" t="n"/>
      <c r="BY105" s="26" t="n"/>
      <c r="BZ105" s="26" t="n"/>
      <c r="CA105" s="26" t="n"/>
      <c r="CB105" s="26" t="n"/>
      <c r="CC105" s="26" t="n"/>
      <c r="CD105" s="26" t="n"/>
      <c r="CE105" s="26" t="n"/>
      <c r="CF105" s="26" t="n"/>
      <c r="CG105" s="26" t="n"/>
      <c r="CH105" s="26" t="n"/>
      <c r="CI105" s="23" t="n"/>
    </row>
    <row r="106" ht="15" customHeight="1" s="201">
      <c r="A106" s="7" t="inlineStr">
        <is>
          <t>Beginning Balance</t>
        </is>
      </c>
      <c r="B106" s="22" t="n"/>
      <c r="C106" s="8">
        <f>Assumptions!$B$41</f>
        <v/>
      </c>
      <c r="D106" s="8">
        <f>C108</f>
        <v/>
      </c>
      <c r="E106" s="8">
        <f>D108</f>
        <v/>
      </c>
      <c r="F106" s="8">
        <f>E108</f>
        <v/>
      </c>
      <c r="G106" s="8">
        <f>F108</f>
        <v/>
      </c>
      <c r="H106" s="8">
        <f>G108</f>
        <v/>
      </c>
      <c r="I106" s="8">
        <f>H108</f>
        <v/>
      </c>
      <c r="J106" s="8">
        <f>I108</f>
        <v/>
      </c>
      <c r="K106" s="8">
        <f>J108</f>
        <v/>
      </c>
      <c r="L106" s="8">
        <f>K108</f>
        <v/>
      </c>
      <c r="M106" s="8">
        <f>L108</f>
        <v/>
      </c>
      <c r="N106" s="8">
        <f>M108</f>
        <v/>
      </c>
      <c r="O106" s="8">
        <f>N108</f>
        <v/>
      </c>
      <c r="P106" s="8">
        <f>O108</f>
        <v/>
      </c>
      <c r="Q106" s="8">
        <f>P108</f>
        <v/>
      </c>
      <c r="R106" s="8">
        <f>Q108</f>
        <v/>
      </c>
      <c r="S106" s="8">
        <f>R108</f>
        <v/>
      </c>
      <c r="T106" s="8">
        <f>S108</f>
        <v/>
      </c>
      <c r="U106" s="8">
        <f>T108</f>
        <v/>
      </c>
      <c r="V106" s="8">
        <f>U108</f>
        <v/>
      </c>
      <c r="W106" s="8">
        <f>V108</f>
        <v/>
      </c>
      <c r="X106" s="8">
        <f>W108</f>
        <v/>
      </c>
      <c r="Y106" s="8">
        <f>X108</f>
        <v/>
      </c>
      <c r="Z106" s="8">
        <f>Y108</f>
        <v/>
      </c>
      <c r="AA106" s="8">
        <f>Z108</f>
        <v/>
      </c>
      <c r="AB106" s="8">
        <f>AA108</f>
        <v/>
      </c>
      <c r="AC106" s="8">
        <f>AB108</f>
        <v/>
      </c>
      <c r="AD106" s="8">
        <f>AC108</f>
        <v/>
      </c>
      <c r="AE106" s="8">
        <f>AD108</f>
        <v/>
      </c>
      <c r="AF106" s="8">
        <f>AE108</f>
        <v/>
      </c>
      <c r="AG106" s="8">
        <f>AF108</f>
        <v/>
      </c>
      <c r="AH106" s="8">
        <f>AG108</f>
        <v/>
      </c>
      <c r="AI106" s="8">
        <f>AH108</f>
        <v/>
      </c>
      <c r="AJ106" s="8">
        <f>AI108</f>
        <v/>
      </c>
      <c r="AK106" s="8">
        <f>AJ108</f>
        <v/>
      </c>
      <c r="AL106" s="8">
        <f>AK108</f>
        <v/>
      </c>
      <c r="AM106" s="8">
        <f>AL108</f>
        <v/>
      </c>
      <c r="AN106" s="8">
        <f>AM108</f>
        <v/>
      </c>
      <c r="AO106" s="8">
        <f>AN108</f>
        <v/>
      </c>
      <c r="AP106" s="8">
        <f>AO108</f>
        <v/>
      </c>
      <c r="AQ106" s="8">
        <f>AP108</f>
        <v/>
      </c>
      <c r="AR106" s="8">
        <f>AQ108</f>
        <v/>
      </c>
      <c r="AS106" s="8">
        <f>AR108</f>
        <v/>
      </c>
      <c r="AT106" s="8">
        <f>AS108</f>
        <v/>
      </c>
      <c r="AU106" s="8">
        <f>AT108</f>
        <v/>
      </c>
      <c r="AV106" s="8">
        <f>AU108</f>
        <v/>
      </c>
      <c r="AW106" s="8">
        <f>AV108</f>
        <v/>
      </c>
      <c r="AX106" s="8">
        <f>AW108</f>
        <v/>
      </c>
      <c r="AY106" s="8">
        <f>AX108</f>
        <v/>
      </c>
      <c r="AZ106" s="8">
        <f>AY108</f>
        <v/>
      </c>
      <c r="BA106" s="8">
        <f>AZ108</f>
        <v/>
      </c>
      <c r="BB106" s="8">
        <f>BA108</f>
        <v/>
      </c>
      <c r="BC106" s="8">
        <f>BB108</f>
        <v/>
      </c>
      <c r="BD106" s="8">
        <f>BC108</f>
        <v/>
      </c>
      <c r="BE106" s="8">
        <f>BD108</f>
        <v/>
      </c>
      <c r="BF106" s="8">
        <f>BE108</f>
        <v/>
      </c>
      <c r="BG106" s="8">
        <f>BF108</f>
        <v/>
      </c>
      <c r="BH106" s="8">
        <f>BG108</f>
        <v/>
      </c>
      <c r="BI106" s="8">
        <f>BH108</f>
        <v/>
      </c>
      <c r="BJ106" s="8">
        <f>BI108</f>
        <v/>
      </c>
      <c r="BK106" s="8">
        <f>BJ108</f>
        <v/>
      </c>
      <c r="BL106" s="8">
        <f>BK108</f>
        <v/>
      </c>
      <c r="BM106" s="8">
        <f>BL108</f>
        <v/>
      </c>
      <c r="BN106" s="8">
        <f>BM108</f>
        <v/>
      </c>
      <c r="BO106" s="8">
        <f>BN108</f>
        <v/>
      </c>
      <c r="BP106" s="8">
        <f>BO108</f>
        <v/>
      </c>
      <c r="BQ106" s="8">
        <f>BP108</f>
        <v/>
      </c>
      <c r="BR106" s="8">
        <f>BQ108</f>
        <v/>
      </c>
      <c r="BS106" s="8">
        <f>BR108</f>
        <v/>
      </c>
      <c r="BT106" s="8">
        <f>BS108</f>
        <v/>
      </c>
      <c r="BU106" s="8">
        <f>BT108</f>
        <v/>
      </c>
      <c r="BV106" s="8">
        <f>BU108</f>
        <v/>
      </c>
      <c r="BW106" s="8">
        <f>BV108</f>
        <v/>
      </c>
      <c r="BX106" s="8">
        <f>BW108</f>
        <v/>
      </c>
      <c r="BY106" s="8">
        <f>BX108</f>
        <v/>
      </c>
      <c r="BZ106" s="8">
        <f>BY108</f>
        <v/>
      </c>
      <c r="CA106" s="8">
        <f>BZ108</f>
        <v/>
      </c>
      <c r="CB106" s="8">
        <f>CA108</f>
        <v/>
      </c>
      <c r="CC106" s="8">
        <f>CB108</f>
        <v/>
      </c>
      <c r="CD106" s="8">
        <f>CC108</f>
        <v/>
      </c>
      <c r="CE106" s="8">
        <f>CD108</f>
        <v/>
      </c>
      <c r="CF106" s="8">
        <f>CE108</f>
        <v/>
      </c>
      <c r="CG106" s="8">
        <f>CF108</f>
        <v/>
      </c>
      <c r="CH106" s="8">
        <f>CG108</f>
        <v/>
      </c>
      <c r="CI106" s="23" t="n"/>
    </row>
    <row r="107" ht="15" customHeight="1" s="201">
      <c r="A107" s="7" t="inlineStr">
        <is>
          <t>Annual Payment (25% tranche)</t>
        </is>
      </c>
      <c r="B107" s="22" t="n"/>
      <c r="C107" s="8" t="n">
        <v>0</v>
      </c>
      <c r="D107" s="8" t="n">
        <v>0</v>
      </c>
      <c r="E107" s="8" t="n">
        <v>0</v>
      </c>
      <c r="F107" s="8" t="n">
        <v>0</v>
      </c>
      <c r="G107" s="8" t="n">
        <v>0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>
        <f>IF(AND(M106&gt;0,SUM(C96:K96)&gt;=Assumptions!$B$43),-MIN(Assumptions!$B$42,M106),0)</f>
        <v/>
      </c>
      <c r="N107" s="8" t="n">
        <v>0</v>
      </c>
      <c r="O107" s="8" t="n">
        <v>0</v>
      </c>
      <c r="P107" s="8" t="n">
        <v>0</v>
      </c>
      <c r="Q107" s="8" t="n">
        <v>0</v>
      </c>
      <c r="R107" s="8" t="n">
        <v>0</v>
      </c>
      <c r="S107" s="8" t="n">
        <v>0</v>
      </c>
      <c r="T107" s="8" t="n">
        <v>0</v>
      </c>
      <c r="U107" s="8" t="n">
        <v>0</v>
      </c>
      <c r="V107" s="8" t="n">
        <v>0</v>
      </c>
      <c r="W107" s="8" t="n">
        <v>0</v>
      </c>
      <c r="X107" s="8" t="n">
        <v>0</v>
      </c>
      <c r="Y107" s="8">
        <f>IF(AND(Y106&gt;0,SUM(L96:W96)&gt;=Assumptions!$B$43),-MIN(Assumptions!$B$42,Y106),0)</f>
        <v/>
      </c>
      <c r="Z107" s="8" t="n">
        <v>0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  <c r="AK107" s="8">
        <f>IF(AND(AK106&gt;0,SUM(X96:AI96)&gt;=Assumptions!$B$43),-MIN(Assumptions!$B$42,AK106),0)</f>
        <v/>
      </c>
      <c r="AL107" s="8" t="n">
        <v>0</v>
      </c>
      <c r="AM107" s="8" t="n">
        <v>0</v>
      </c>
      <c r="AN107" s="8" t="n">
        <v>0</v>
      </c>
      <c r="AO107" s="8" t="n">
        <v>0</v>
      </c>
      <c r="AP107" s="8" t="n">
        <v>0</v>
      </c>
      <c r="AQ107" s="8" t="n">
        <v>0</v>
      </c>
      <c r="AR107" s="8" t="n">
        <v>0</v>
      </c>
      <c r="AS107" s="8" t="n">
        <v>0</v>
      </c>
      <c r="AT107" s="8" t="n">
        <v>0</v>
      </c>
      <c r="AU107" s="8" t="n">
        <v>0</v>
      </c>
      <c r="AV107" s="8" t="n">
        <v>0</v>
      </c>
      <c r="AW107" s="8">
        <f>IF(AND(AW106&gt;0,SUM(AJ96:AU96)&gt;=Assumptions!$B$43),-MIN(Assumptions!$B$42,AW106),0)</f>
        <v/>
      </c>
      <c r="AX107" s="8" t="n">
        <v>0</v>
      </c>
      <c r="AY107" s="8" t="n">
        <v>0</v>
      </c>
      <c r="AZ107" s="8" t="n">
        <v>0</v>
      </c>
      <c r="BA107" s="8" t="n">
        <v>0</v>
      </c>
      <c r="BB107" s="8" t="n">
        <v>0</v>
      </c>
      <c r="BC107" s="8" t="n">
        <v>0</v>
      </c>
      <c r="BD107" s="8" t="n">
        <v>0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>
        <f>IF(AND(BI106&gt;0,SUM(AV96:BG96)&gt;=Assumptions!$B$43),-MIN(Assumptions!$B$42,BI106),0)</f>
        <v/>
      </c>
      <c r="BJ107" s="8" t="n">
        <v>0</v>
      </c>
      <c r="BK107" s="8" t="n">
        <v>0</v>
      </c>
      <c r="BL107" s="8" t="n">
        <v>0</v>
      </c>
      <c r="BM107" s="8" t="n">
        <v>0</v>
      </c>
      <c r="BN107" s="8" t="n">
        <v>0</v>
      </c>
      <c r="BO107" s="8" t="n">
        <v>0</v>
      </c>
      <c r="BP107" s="8" t="n">
        <v>0</v>
      </c>
      <c r="BQ107" s="8" t="n">
        <v>0</v>
      </c>
      <c r="BR107" s="8" t="n">
        <v>0</v>
      </c>
      <c r="BS107" s="8" t="n">
        <v>0</v>
      </c>
      <c r="BT107" s="8" t="n">
        <v>0</v>
      </c>
      <c r="BU107" s="8">
        <f>IF(AND(BU106&gt;0,SUM(BH96:BS96)&gt;=Assumptions!$B$43),-MIN(Assumptions!$B$42,BU106),0)</f>
        <v/>
      </c>
      <c r="BV107" s="8" t="n">
        <v>0</v>
      </c>
      <c r="BW107" s="8" t="n">
        <v>0</v>
      </c>
      <c r="BX107" s="8" t="n">
        <v>0</v>
      </c>
      <c r="BY107" s="8" t="n">
        <v>0</v>
      </c>
      <c r="BZ107" s="8" t="n">
        <v>0</v>
      </c>
      <c r="CA107" s="8" t="n">
        <v>0</v>
      </c>
      <c r="CB107" s="8" t="n">
        <v>0</v>
      </c>
      <c r="CC107" s="8" t="n">
        <v>0</v>
      </c>
      <c r="CD107" s="8" t="n">
        <v>0</v>
      </c>
      <c r="CE107" s="8" t="n">
        <v>0</v>
      </c>
      <c r="CF107" s="8" t="n">
        <v>0</v>
      </c>
      <c r="CG107" s="8">
        <f>IF(AND(CG106&gt;0,SUM(BT96:CE96)&gt;=Assumptions!$B$43),-MIN(Assumptions!$B$42,CG106),0)</f>
        <v/>
      </c>
      <c r="CH107" s="8" t="n">
        <v>0</v>
      </c>
      <c r="CI107" s="23" t="n"/>
    </row>
    <row r="108" ht="15" customHeight="1" s="201">
      <c r="A108" s="33" t="inlineStr">
        <is>
          <t>Ending Balance</t>
        </is>
      </c>
      <c r="B108" s="28" t="n"/>
      <c r="C108" s="32">
        <f>MAX(0,C106+C107)</f>
        <v/>
      </c>
      <c r="D108" s="32">
        <f>MAX(0,D106+D107)</f>
        <v/>
      </c>
      <c r="E108" s="32">
        <f>MAX(0,E106+E107)</f>
        <v/>
      </c>
      <c r="F108" s="32">
        <f>MAX(0,F106+F107)</f>
        <v/>
      </c>
      <c r="G108" s="32">
        <f>MAX(0,G106+G107)</f>
        <v/>
      </c>
      <c r="H108" s="32">
        <f>MAX(0,H106+H107)</f>
        <v/>
      </c>
      <c r="I108" s="32">
        <f>MAX(0,I106+I107)</f>
        <v/>
      </c>
      <c r="J108" s="32">
        <f>MAX(0,J106+J107)</f>
        <v/>
      </c>
      <c r="K108" s="32">
        <f>MAX(0,K106+K107)</f>
        <v/>
      </c>
      <c r="L108" s="32">
        <f>MAX(0,L106+L107)</f>
        <v/>
      </c>
      <c r="M108" s="32">
        <f>MAX(0,M106+M107)</f>
        <v/>
      </c>
      <c r="N108" s="32">
        <f>MAX(0,N106+N107)</f>
        <v/>
      </c>
      <c r="O108" s="32">
        <f>MAX(0,O106+O107)</f>
        <v/>
      </c>
      <c r="P108" s="32">
        <f>MAX(0,P106+P107)</f>
        <v/>
      </c>
      <c r="Q108" s="32">
        <f>MAX(0,Q106+Q107)</f>
        <v/>
      </c>
      <c r="R108" s="32">
        <f>MAX(0,R106+R107)</f>
        <v/>
      </c>
      <c r="S108" s="32">
        <f>MAX(0,S106+S107)</f>
        <v/>
      </c>
      <c r="T108" s="32">
        <f>MAX(0,T106+T107)</f>
        <v/>
      </c>
      <c r="U108" s="32">
        <f>MAX(0,U106+U107)</f>
        <v/>
      </c>
      <c r="V108" s="32">
        <f>MAX(0,V106+V107)</f>
        <v/>
      </c>
      <c r="W108" s="32">
        <f>MAX(0,W106+W107)</f>
        <v/>
      </c>
      <c r="X108" s="32">
        <f>MAX(0,X106+X107)</f>
        <v/>
      </c>
      <c r="Y108" s="32">
        <f>MAX(0,Y106+Y107)</f>
        <v/>
      </c>
      <c r="Z108" s="32">
        <f>MAX(0,Z106+Z107)</f>
        <v/>
      </c>
      <c r="AA108" s="32">
        <f>MAX(0,AA106+AA107)</f>
        <v/>
      </c>
      <c r="AB108" s="32">
        <f>MAX(0,AB106+AB107)</f>
        <v/>
      </c>
      <c r="AC108" s="32">
        <f>MAX(0,AC106+AC107)</f>
        <v/>
      </c>
      <c r="AD108" s="32">
        <f>MAX(0,AD106+AD107)</f>
        <v/>
      </c>
      <c r="AE108" s="32">
        <f>MAX(0,AE106+AE107)</f>
        <v/>
      </c>
      <c r="AF108" s="32">
        <f>MAX(0,AF106+AF107)</f>
        <v/>
      </c>
      <c r="AG108" s="32">
        <f>MAX(0,AG106+AG107)</f>
        <v/>
      </c>
      <c r="AH108" s="32">
        <f>MAX(0,AH106+AH107)</f>
        <v/>
      </c>
      <c r="AI108" s="32">
        <f>MAX(0,AI106+AI107)</f>
        <v/>
      </c>
      <c r="AJ108" s="32">
        <f>MAX(0,AJ106+AJ107)</f>
        <v/>
      </c>
      <c r="AK108" s="32">
        <f>MAX(0,AK106+AK107)</f>
        <v/>
      </c>
      <c r="AL108" s="32">
        <f>MAX(0,AL106+AL107)</f>
        <v/>
      </c>
      <c r="AM108" s="32">
        <f>MAX(0,AM106+AM107)</f>
        <v/>
      </c>
      <c r="AN108" s="32">
        <f>MAX(0,AN106+AN107)</f>
        <v/>
      </c>
      <c r="AO108" s="32">
        <f>MAX(0,AO106+AO107)</f>
        <v/>
      </c>
      <c r="AP108" s="32">
        <f>MAX(0,AP106+AP107)</f>
        <v/>
      </c>
      <c r="AQ108" s="32">
        <f>MAX(0,AQ106+AQ107)</f>
        <v/>
      </c>
      <c r="AR108" s="32">
        <f>MAX(0,AR106+AR107)</f>
        <v/>
      </c>
      <c r="AS108" s="32">
        <f>MAX(0,AS106+AS107)</f>
        <v/>
      </c>
      <c r="AT108" s="32">
        <f>MAX(0,AT106+AT107)</f>
        <v/>
      </c>
      <c r="AU108" s="32">
        <f>MAX(0,AU106+AU107)</f>
        <v/>
      </c>
      <c r="AV108" s="32">
        <f>MAX(0,AV106+AV107)</f>
        <v/>
      </c>
      <c r="AW108" s="32">
        <f>MAX(0,AW106+AW107)</f>
        <v/>
      </c>
      <c r="AX108" s="32">
        <f>MAX(0,AX106+AX107)</f>
        <v/>
      </c>
      <c r="AY108" s="32">
        <f>MAX(0,AY106+AY107)</f>
        <v/>
      </c>
      <c r="AZ108" s="32">
        <f>MAX(0,AZ106+AZ107)</f>
        <v/>
      </c>
      <c r="BA108" s="32">
        <f>MAX(0,BA106+BA107)</f>
        <v/>
      </c>
      <c r="BB108" s="32">
        <f>MAX(0,BB106+BB107)</f>
        <v/>
      </c>
      <c r="BC108" s="32">
        <f>MAX(0,BC106+BC107)</f>
        <v/>
      </c>
      <c r="BD108" s="32">
        <f>MAX(0,BD106+BD107)</f>
        <v/>
      </c>
      <c r="BE108" s="32">
        <f>MAX(0,BE106+BE107)</f>
        <v/>
      </c>
      <c r="BF108" s="32">
        <f>MAX(0,BF106+BF107)</f>
        <v/>
      </c>
      <c r="BG108" s="32">
        <f>MAX(0,BG106+BG107)</f>
        <v/>
      </c>
      <c r="BH108" s="32">
        <f>MAX(0,BH106+BH107)</f>
        <v/>
      </c>
      <c r="BI108" s="32">
        <f>MAX(0,BI106+BI107)</f>
        <v/>
      </c>
      <c r="BJ108" s="32">
        <f>MAX(0,BJ106+BJ107)</f>
        <v/>
      </c>
      <c r="BK108" s="32">
        <f>MAX(0,BK106+BK107)</f>
        <v/>
      </c>
      <c r="BL108" s="32">
        <f>MAX(0,BL106+BL107)</f>
        <v/>
      </c>
      <c r="BM108" s="32">
        <f>MAX(0,BM106+BM107)</f>
        <v/>
      </c>
      <c r="BN108" s="32">
        <f>MAX(0,BN106+BN107)</f>
        <v/>
      </c>
      <c r="BO108" s="32">
        <f>MAX(0,BO106+BO107)</f>
        <v/>
      </c>
      <c r="BP108" s="32">
        <f>MAX(0,BP106+BP107)</f>
        <v/>
      </c>
      <c r="BQ108" s="32">
        <f>MAX(0,BQ106+BQ107)</f>
        <v/>
      </c>
      <c r="BR108" s="32">
        <f>MAX(0,BR106+BR107)</f>
        <v/>
      </c>
      <c r="BS108" s="32">
        <f>MAX(0,BS106+BS107)</f>
        <v/>
      </c>
      <c r="BT108" s="32">
        <f>MAX(0,BT106+BT107)</f>
        <v/>
      </c>
      <c r="BU108" s="32">
        <f>MAX(0,BU106+BU107)</f>
        <v/>
      </c>
      <c r="BV108" s="32">
        <f>MAX(0,BV106+BV107)</f>
        <v/>
      </c>
      <c r="BW108" s="32">
        <f>MAX(0,BW106+BW107)</f>
        <v/>
      </c>
      <c r="BX108" s="32">
        <f>MAX(0,BX106+BX107)</f>
        <v/>
      </c>
      <c r="BY108" s="32">
        <f>MAX(0,BY106+BY107)</f>
        <v/>
      </c>
      <c r="BZ108" s="32">
        <f>MAX(0,BZ106+BZ107)</f>
        <v/>
      </c>
      <c r="CA108" s="32">
        <f>MAX(0,CA106+CA107)</f>
        <v/>
      </c>
      <c r="CB108" s="32">
        <f>MAX(0,CB106+CB107)</f>
        <v/>
      </c>
      <c r="CC108" s="32">
        <f>MAX(0,CC106+CC107)</f>
        <v/>
      </c>
      <c r="CD108" s="32">
        <f>MAX(0,CD106+CD107)</f>
        <v/>
      </c>
      <c r="CE108" s="32">
        <f>MAX(0,CE106+CE107)</f>
        <v/>
      </c>
      <c r="CF108" s="32">
        <f>MAX(0,CF106+CF107)</f>
        <v/>
      </c>
      <c r="CG108" s="32">
        <f>MAX(0,CG106+CG107)</f>
        <v/>
      </c>
      <c r="CH108" s="32">
        <f>MAX(0,CH106+CH107)</f>
        <v/>
      </c>
      <c r="CI108" s="23" t="n"/>
    </row>
    <row r="109" ht="16.5" customHeight="1" s="201">
      <c r="A109" s="34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  <c r="AA109" s="34" t="n"/>
      <c r="AB109" s="34" t="n"/>
      <c r="AC109" s="34" t="n"/>
      <c r="AD109" s="34" t="n"/>
      <c r="AE109" s="34" t="n"/>
      <c r="AF109" s="34" t="n"/>
      <c r="AG109" s="34" t="n"/>
      <c r="AH109" s="34" t="n"/>
      <c r="AI109" s="34" t="n"/>
      <c r="AJ109" s="34" t="n"/>
      <c r="AK109" s="34" t="n"/>
      <c r="AL109" s="34" t="n"/>
      <c r="AM109" s="34" t="n"/>
      <c r="AN109" s="34" t="n"/>
      <c r="AO109" s="34" t="n"/>
      <c r="AP109" s="34" t="n"/>
      <c r="AQ109" s="34" t="n"/>
      <c r="AR109" s="34" t="n"/>
      <c r="AS109" s="34" t="n"/>
      <c r="AT109" s="34" t="n"/>
      <c r="AU109" s="34" t="n"/>
      <c r="AV109" s="34" t="n"/>
      <c r="AW109" s="34" t="n"/>
      <c r="AX109" s="34" t="n"/>
      <c r="AY109" s="34" t="n"/>
      <c r="AZ109" s="34" t="n"/>
      <c r="BA109" s="34" t="n"/>
      <c r="BB109" s="34" t="n"/>
      <c r="BC109" s="34" t="n"/>
      <c r="BD109" s="34" t="n"/>
      <c r="BE109" s="34" t="n"/>
      <c r="BF109" s="34" t="n"/>
      <c r="BG109" s="34" t="n"/>
      <c r="BH109" s="34" t="n"/>
      <c r="BI109" s="34" t="n"/>
      <c r="BJ109" s="34" t="n"/>
      <c r="BK109" s="34" t="n"/>
      <c r="BL109" s="34" t="n"/>
      <c r="BM109" s="34" t="n"/>
      <c r="BN109" s="34" t="n"/>
      <c r="BO109" s="34" t="n"/>
      <c r="BP109" s="34" t="n"/>
      <c r="BQ109" s="34" t="n"/>
      <c r="BR109" s="34" t="n"/>
      <c r="BS109" s="34" t="n"/>
      <c r="BT109" s="34" t="n"/>
      <c r="BU109" s="34" t="n"/>
      <c r="BV109" s="34" t="n"/>
      <c r="BW109" s="34" t="n"/>
      <c r="BX109" s="34" t="n"/>
      <c r="BY109" s="34" t="n"/>
      <c r="BZ109" s="34" t="n"/>
      <c r="CA109" s="34" t="n"/>
      <c r="CB109" s="34" t="n"/>
      <c r="CC109" s="34" t="n"/>
      <c r="CD109" s="34" t="n"/>
      <c r="CE109" s="34" t="n"/>
      <c r="CF109" s="34" t="n"/>
      <c r="CG109" s="34" t="n"/>
      <c r="CH109" s="34" t="n"/>
      <c r="CI109" s="35" t="n"/>
    </row>
    <row r="110" ht="15" customHeight="1" s="201">
      <c r="A110" s="2" t="inlineStr">
        <is>
          <t>PROJECT INVESTMENT CAPITAL - DEBT FACILITY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  <c r="BA110" s="2" t="n"/>
      <c r="BB110" s="2" t="n"/>
      <c r="BC110" s="2" t="n"/>
      <c r="BD110" s="2" t="n"/>
      <c r="BE110" s="2" t="n"/>
      <c r="BF110" s="2" t="n"/>
      <c r="BG110" s="2" t="n"/>
      <c r="BH110" s="2" t="n"/>
      <c r="BI110" s="2" t="n"/>
      <c r="BJ110" s="2" t="n"/>
      <c r="BK110" s="2" t="n"/>
      <c r="BL110" s="2" t="n"/>
      <c r="BM110" s="2" t="n"/>
      <c r="BN110" s="2" t="n"/>
      <c r="BO110" s="2" t="n"/>
      <c r="BP110" s="2" t="n"/>
      <c r="BQ110" s="2" t="n"/>
      <c r="BR110" s="2" t="n"/>
      <c r="BS110" s="2" t="n"/>
      <c r="BT110" s="2" t="n"/>
      <c r="BU110" s="2" t="n"/>
      <c r="BV110" s="2" t="n"/>
      <c r="BW110" s="2" t="n"/>
      <c r="BX110" s="2" t="n"/>
      <c r="BY110" s="2" t="n"/>
      <c r="BZ110" s="2" t="n"/>
      <c r="CA110" s="2" t="n"/>
      <c r="CB110" s="2" t="n"/>
      <c r="CC110" s="2" t="n"/>
      <c r="CD110" s="2" t="n"/>
      <c r="CE110" s="2" t="n"/>
      <c r="CF110" s="2" t="n"/>
      <c r="CG110" s="2" t="n"/>
      <c r="CH110" s="2" t="n"/>
      <c r="CI110" s="23" t="n"/>
    </row>
    <row r="111" ht="15" customHeight="1" s="201">
      <c r="A111" s="7" t="inlineStr">
        <is>
          <t>Klump - Beginning Balance</t>
        </is>
      </c>
      <c r="B111" s="7" t="n"/>
      <c r="C111" s="36">
        <f>IF(AND(Projects!$G$11="Yes",Projects!$C$11&lt;=1),Assumptions!$B$60,0)</f>
        <v/>
      </c>
      <c r="D111" s="36">
        <f>IF(AND(Projects!$G$11="Yes",2=Projects!$C$11),Assumptions!$B$60,C115)</f>
        <v/>
      </c>
      <c r="E111" s="36">
        <f>IF(AND(Projects!$G$11="Yes",3=Projects!$C$11),Assumptions!$B$60,D115)</f>
        <v/>
      </c>
      <c r="F111" s="36">
        <f>IF(AND(Projects!$G$11="Yes",4=Projects!$C$11),Assumptions!$B$60,E115)</f>
        <v/>
      </c>
      <c r="G111" s="36">
        <f>IF(AND(Projects!$G$11="Yes",5=Projects!$C$11),Assumptions!$B$60,F115)</f>
        <v/>
      </c>
      <c r="H111" s="36">
        <f>IF(AND(Projects!$G$11="Yes",6=Projects!$C$11),Assumptions!$B$60,G115)</f>
        <v/>
      </c>
      <c r="I111" s="36">
        <f>IF(AND(Projects!$G$11="Yes",7=Projects!$C$11),Assumptions!$B$60,H115)</f>
        <v/>
      </c>
      <c r="J111" s="36">
        <f>IF(AND(Projects!$G$11="Yes",8=Projects!$C$11),Assumptions!$B$60,I115)</f>
        <v/>
      </c>
      <c r="K111" s="36">
        <f>IF(AND(Projects!$G$11="Yes",9=Projects!$C$11),Assumptions!$B$60,J115)</f>
        <v/>
      </c>
      <c r="L111" s="36">
        <f>IF(AND(Projects!$G$11="Yes",10=Projects!$C$11),Assumptions!$B$60,K115)</f>
        <v/>
      </c>
      <c r="M111" s="36">
        <f>IF(AND(Projects!$G$11="Yes",11=Projects!$C$11),Assumptions!$B$60,L115)</f>
        <v/>
      </c>
      <c r="N111" s="36">
        <f>IF(AND(Projects!$G$11="Yes",12=Projects!$C$11),Assumptions!$B$60,M115)</f>
        <v/>
      </c>
      <c r="O111" s="36">
        <f>IF(AND(Projects!$G$11="Yes",13=Projects!$C$11),Assumptions!$B$60,N115)</f>
        <v/>
      </c>
      <c r="P111" s="36">
        <f>IF(AND(Projects!$G$11="Yes",14=Projects!$C$11),Assumptions!$B$60,O115)</f>
        <v/>
      </c>
      <c r="Q111" s="36">
        <f>IF(AND(Projects!$G$11="Yes",15=Projects!$C$11),Assumptions!$B$60,P115)</f>
        <v/>
      </c>
      <c r="R111" s="36">
        <f>IF(AND(Projects!$G$11="Yes",16=Projects!$C$11),Assumptions!$B$60,Q115)</f>
        <v/>
      </c>
      <c r="S111" s="36">
        <f>IF(AND(Projects!$G$11="Yes",17=Projects!$C$11),Assumptions!$B$60,R115)</f>
        <v/>
      </c>
      <c r="T111" s="36">
        <f>IF(AND(Projects!$G$11="Yes",18=Projects!$C$11),Assumptions!$B$60,S115)</f>
        <v/>
      </c>
      <c r="U111" s="36">
        <f>IF(AND(Projects!$G$11="Yes",19=Projects!$C$11),Assumptions!$B$60,T115)</f>
        <v/>
      </c>
      <c r="V111" s="36">
        <f>IF(AND(Projects!$G$11="Yes",20=Projects!$C$11),Assumptions!$B$60,U115)</f>
        <v/>
      </c>
      <c r="W111" s="36">
        <f>IF(AND(Projects!$G$11="Yes",21=Projects!$C$11),Assumptions!$B$60,V115)</f>
        <v/>
      </c>
      <c r="X111" s="36">
        <f>IF(AND(Projects!$G$11="Yes",22=Projects!$C$11),Assumptions!$B$60,W115)</f>
        <v/>
      </c>
      <c r="Y111" s="36">
        <f>IF(AND(Projects!$G$11="Yes",23=Projects!$C$11),Assumptions!$B$60,X115)</f>
        <v/>
      </c>
      <c r="Z111" s="36">
        <f>IF(AND(Projects!$G$11="Yes",24=Projects!$C$11),Assumptions!$B$60,Y115)</f>
        <v/>
      </c>
      <c r="AA111" s="36">
        <f>IF(AND(Projects!$G$11="Yes",25=Projects!$C$11),Assumptions!$B$60,Z115)</f>
        <v/>
      </c>
      <c r="AB111" s="36">
        <f>IF(AND(Projects!$G$11="Yes",26=Projects!$C$11),Assumptions!$B$60,AA115)</f>
        <v/>
      </c>
      <c r="AC111" s="36">
        <f>IF(AND(Projects!$G$11="Yes",27=Projects!$C$11),Assumptions!$B$60,AB115)</f>
        <v/>
      </c>
      <c r="AD111" s="36">
        <f>IF(AND(Projects!$G$11="Yes",28=Projects!$C$11),Assumptions!$B$60,AC115)</f>
        <v/>
      </c>
      <c r="AE111" s="36">
        <f>IF(AND(Projects!$G$11="Yes",29=Projects!$C$11),Assumptions!$B$60,AD115)</f>
        <v/>
      </c>
      <c r="AF111" s="36">
        <f>IF(AND(Projects!$G$11="Yes",30=Projects!$C$11),Assumptions!$B$60,AE115)</f>
        <v/>
      </c>
      <c r="AG111" s="36">
        <f>IF(AND(Projects!$G$11="Yes",31=Projects!$C$11),Assumptions!$B$60,AF115)</f>
        <v/>
      </c>
      <c r="AH111" s="36">
        <f>IF(AND(Projects!$G$11="Yes",32=Projects!$C$11),Assumptions!$B$60,AG115)</f>
        <v/>
      </c>
      <c r="AI111" s="36">
        <f>IF(AND(Projects!$G$11="Yes",33=Projects!$C$11),Assumptions!$B$60,AH115)</f>
        <v/>
      </c>
      <c r="AJ111" s="36">
        <f>IF(AND(Projects!$G$11="Yes",34=Projects!$C$11),Assumptions!$B$60,AI115)</f>
        <v/>
      </c>
      <c r="AK111" s="36">
        <f>IF(AND(Projects!$G$11="Yes",35=Projects!$C$11),Assumptions!$B$60,AJ115)</f>
        <v/>
      </c>
      <c r="AL111" s="36">
        <f>IF(AND(Projects!$G$11="Yes",36=Projects!$C$11),Assumptions!$B$60,AK115)</f>
        <v/>
      </c>
      <c r="AM111" s="36">
        <f>IF(AND(Projects!$G$11="Yes",37=Projects!$C$11),Assumptions!$B$60,AL115)</f>
        <v/>
      </c>
      <c r="AN111" s="36">
        <f>IF(AND(Projects!$G$11="Yes",38=Projects!$C$11),Assumptions!$B$60,AM115)</f>
        <v/>
      </c>
      <c r="AO111" s="36">
        <f>IF(AND(Projects!$G$11="Yes",39=Projects!$C$11),Assumptions!$B$60,AN115)</f>
        <v/>
      </c>
      <c r="AP111" s="36">
        <f>IF(AND(Projects!$G$11="Yes",40=Projects!$C$11),Assumptions!$B$60,AO115)</f>
        <v/>
      </c>
      <c r="AQ111" s="36">
        <f>IF(AND(Projects!$G$11="Yes",41=Projects!$C$11),Assumptions!$B$60,AP115)</f>
        <v/>
      </c>
      <c r="AR111" s="36">
        <f>IF(AND(Projects!$G$11="Yes",42=Projects!$C$11),Assumptions!$B$60,AQ115)</f>
        <v/>
      </c>
      <c r="AS111" s="36">
        <f>IF(AND(Projects!$G$11="Yes",43=Projects!$C$11),Assumptions!$B$60,AR115)</f>
        <v/>
      </c>
      <c r="AT111" s="36">
        <f>IF(AND(Projects!$G$11="Yes",44=Projects!$C$11),Assumptions!$B$60,AS115)</f>
        <v/>
      </c>
      <c r="AU111" s="36">
        <f>IF(AND(Projects!$G$11="Yes",45=Projects!$C$11),Assumptions!$B$60,AT115)</f>
        <v/>
      </c>
      <c r="AV111" s="36">
        <f>IF(AND(Projects!$G$11="Yes",46=Projects!$C$11),Assumptions!$B$60,AU115)</f>
        <v/>
      </c>
      <c r="AW111" s="36">
        <f>IF(AND(Projects!$G$11="Yes",47=Projects!$C$11),Assumptions!$B$60,AV115)</f>
        <v/>
      </c>
      <c r="AX111" s="36">
        <f>IF(AND(Projects!$G$11="Yes",48=Projects!$C$11),Assumptions!$B$60,AW115)</f>
        <v/>
      </c>
      <c r="AY111" s="36">
        <f>IF(AND(Projects!$G$11="Yes",49=Projects!$C$11),Assumptions!$B$60,AX115)</f>
        <v/>
      </c>
      <c r="AZ111" s="36">
        <f>IF(AND(Projects!$G$11="Yes",50=Projects!$C$11),Assumptions!$B$60,AY115)</f>
        <v/>
      </c>
      <c r="BA111" s="36">
        <f>IF(AND(Projects!$G$11="Yes",51=Projects!$C$11),Assumptions!$B$60,AZ115)</f>
        <v/>
      </c>
      <c r="BB111" s="36">
        <f>IF(AND(Projects!$G$11="Yes",52=Projects!$C$11),Assumptions!$B$60,BA115)</f>
        <v/>
      </c>
      <c r="BC111" s="36">
        <f>IF(AND(Projects!$G$11="Yes",53=Projects!$C$11),Assumptions!$B$60,BB115)</f>
        <v/>
      </c>
      <c r="BD111" s="36">
        <f>IF(AND(Projects!$G$11="Yes",54=Projects!$C$11),Assumptions!$B$60,BC115)</f>
        <v/>
      </c>
      <c r="BE111" s="36">
        <f>IF(AND(Projects!$G$11="Yes",55=Projects!$C$11),Assumptions!$B$60,BD115)</f>
        <v/>
      </c>
      <c r="BF111" s="36">
        <f>IF(AND(Projects!$G$11="Yes",56=Projects!$C$11),Assumptions!$B$60,BE115)</f>
        <v/>
      </c>
      <c r="BG111" s="36">
        <f>IF(AND(Projects!$G$11="Yes",57=Projects!$C$11),Assumptions!$B$60,BF115)</f>
        <v/>
      </c>
      <c r="BH111" s="36">
        <f>IF(AND(Projects!$G$11="Yes",58=Projects!$C$11),Assumptions!$B$60,BG115)</f>
        <v/>
      </c>
      <c r="BI111" s="36">
        <f>IF(AND(Projects!$G$11="Yes",59=Projects!$C$11),Assumptions!$B$60,BH115)</f>
        <v/>
      </c>
      <c r="BJ111" s="36">
        <f>IF(AND(Projects!$G$11="Yes",60=Projects!$C$11),Assumptions!$B$60,BI115)</f>
        <v/>
      </c>
      <c r="BK111" s="36">
        <f>IF(AND(Projects!$G$11="Yes",61=Projects!$C$11),Assumptions!$B$60,BJ115)</f>
        <v/>
      </c>
      <c r="BL111" s="36">
        <f>IF(AND(Projects!$G$11="Yes",62=Projects!$C$11),Assumptions!$B$60,BK115)</f>
        <v/>
      </c>
      <c r="BM111" s="36">
        <f>IF(AND(Projects!$G$11="Yes",63=Projects!$C$11),Assumptions!$B$60,BL115)</f>
        <v/>
      </c>
      <c r="BN111" s="36">
        <f>IF(AND(Projects!$G$11="Yes",64=Projects!$C$11),Assumptions!$B$60,BM115)</f>
        <v/>
      </c>
      <c r="BO111" s="36">
        <f>IF(AND(Projects!$G$11="Yes",65=Projects!$C$11),Assumptions!$B$60,BN115)</f>
        <v/>
      </c>
      <c r="BP111" s="36">
        <f>IF(AND(Projects!$G$11="Yes",66=Projects!$C$11),Assumptions!$B$60,BO115)</f>
        <v/>
      </c>
      <c r="BQ111" s="36">
        <f>IF(AND(Projects!$G$11="Yes",67=Projects!$C$11),Assumptions!$B$60,BP115)</f>
        <v/>
      </c>
      <c r="BR111" s="36">
        <f>IF(AND(Projects!$G$11="Yes",68=Projects!$C$11),Assumptions!$B$60,BQ115)</f>
        <v/>
      </c>
      <c r="BS111" s="36">
        <f>IF(AND(Projects!$G$11="Yes",69=Projects!$C$11),Assumptions!$B$60,BR115)</f>
        <v/>
      </c>
      <c r="BT111" s="36">
        <f>IF(AND(Projects!$G$11="Yes",70=Projects!$C$11),Assumptions!$B$60,BS115)</f>
        <v/>
      </c>
      <c r="BU111" s="36">
        <f>IF(AND(Projects!$G$11="Yes",71=Projects!$C$11),Assumptions!$B$60,BT115)</f>
        <v/>
      </c>
      <c r="BV111" s="36">
        <f>IF(AND(Projects!$G$11="Yes",72=Projects!$C$11),Assumptions!$B$60,BU115)</f>
        <v/>
      </c>
      <c r="BW111" s="36">
        <f>IF(AND(Projects!$G$11="Yes",73=Projects!$C$11),Assumptions!$B$60,BV115)</f>
        <v/>
      </c>
      <c r="BX111" s="36">
        <f>IF(AND(Projects!$G$11="Yes",74=Projects!$C$11),Assumptions!$B$60,BW115)</f>
        <v/>
      </c>
      <c r="BY111" s="36">
        <f>IF(AND(Projects!$G$11="Yes",75=Projects!$C$11),Assumptions!$B$60,BX115)</f>
        <v/>
      </c>
      <c r="BZ111" s="36">
        <f>IF(AND(Projects!$G$11="Yes",76=Projects!$C$11),Assumptions!$B$60,BY115)</f>
        <v/>
      </c>
      <c r="CA111" s="36">
        <f>IF(AND(Projects!$G$11="Yes",77=Projects!$C$11),Assumptions!$B$60,BZ115)</f>
        <v/>
      </c>
      <c r="CB111" s="36">
        <f>IF(AND(Projects!$G$11="Yes",78=Projects!$C$11),Assumptions!$B$60,CA115)</f>
        <v/>
      </c>
      <c r="CC111" s="36">
        <f>IF(AND(Projects!$G$11="Yes",79=Projects!$C$11),Assumptions!$B$60,CB115)</f>
        <v/>
      </c>
      <c r="CD111" s="36">
        <f>IF(AND(Projects!$G$11="Yes",80=Projects!$C$11),Assumptions!$B$60,CC115)</f>
        <v/>
      </c>
      <c r="CE111" s="36">
        <f>IF(AND(Projects!$G$11="Yes",81=Projects!$C$11),Assumptions!$B$60,CD115)</f>
        <v/>
      </c>
      <c r="CF111" s="36">
        <f>IF(AND(Projects!$G$11="Yes",82=Projects!$C$11),Assumptions!$B$60,CE115)</f>
        <v/>
      </c>
      <c r="CG111" s="36">
        <f>IF(AND(Projects!$G$11="Yes",83=Projects!$C$11),Assumptions!$B$60,CF115)</f>
        <v/>
      </c>
      <c r="CH111" s="36">
        <f>IF(AND(Projects!$G$11="Yes",84=Projects!$C$11),Assumptions!$B$60,CG115)</f>
        <v/>
      </c>
      <c r="CI111" s="23" t="n"/>
    </row>
    <row r="112" ht="15" customHeight="1" s="201">
      <c r="A112" s="7" t="inlineStr">
        <is>
          <t>Klump - Quarterly Interest</t>
        </is>
      </c>
      <c r="B112" s="7" t="n"/>
      <c r="C112" s="36">
        <f>IF(AND(MOD(1,3)=0,C111&gt;0),C111*Assumptions!$B$59,0)</f>
        <v/>
      </c>
      <c r="D112" s="36">
        <f>IF(AND(MOD(2,3)=0,D111&gt;0),D111*Assumptions!$B$59,0)</f>
        <v/>
      </c>
      <c r="E112" s="36">
        <f>IF(AND(MOD(3,3)=0,E111&gt;0),E111*Assumptions!$B$59,0)</f>
        <v/>
      </c>
      <c r="F112" s="36">
        <f>IF(AND(MOD(4,3)=0,F111&gt;0),F111*Assumptions!$B$59,0)</f>
        <v/>
      </c>
      <c r="G112" s="36">
        <f>IF(AND(MOD(5,3)=0,G111&gt;0),G111*Assumptions!$B$59,0)</f>
        <v/>
      </c>
      <c r="H112" s="36">
        <f>IF(AND(MOD(6,3)=0,H111&gt;0),H111*Assumptions!$B$59,0)</f>
        <v/>
      </c>
      <c r="I112" s="36">
        <f>IF(AND(MOD(7,3)=0,I111&gt;0),I111*Assumptions!$B$59,0)</f>
        <v/>
      </c>
      <c r="J112" s="36">
        <f>IF(AND(MOD(8,3)=0,J111&gt;0),J111*Assumptions!$B$59,0)</f>
        <v/>
      </c>
      <c r="K112" s="36">
        <f>IF(AND(MOD(9,3)=0,K111&gt;0),K111*Assumptions!$B$59,0)</f>
        <v/>
      </c>
      <c r="L112" s="36">
        <f>IF(AND(MOD(10,3)=0,L111&gt;0),L111*Assumptions!$B$59,0)</f>
        <v/>
      </c>
      <c r="M112" s="36">
        <f>IF(AND(MOD(11,3)=0,M111&gt;0),M111*Assumptions!$B$59,0)</f>
        <v/>
      </c>
      <c r="N112" s="36">
        <f>IF(AND(MOD(12,3)=0,N111&gt;0),N111*Assumptions!$B$59,0)</f>
        <v/>
      </c>
      <c r="O112" s="36">
        <f>IF(AND(MOD(13,3)=0,O111&gt;0),O111*Assumptions!$B$59,0)</f>
        <v/>
      </c>
      <c r="P112" s="36">
        <f>IF(AND(MOD(14,3)=0,P111&gt;0),P111*Assumptions!$B$59,0)</f>
        <v/>
      </c>
      <c r="Q112" s="36">
        <f>IF(AND(MOD(15,3)=0,Q111&gt;0),Q111*Assumptions!$B$59,0)</f>
        <v/>
      </c>
      <c r="R112" s="36">
        <f>IF(AND(MOD(16,3)=0,R111&gt;0),R111*Assumptions!$B$59,0)</f>
        <v/>
      </c>
      <c r="S112" s="36">
        <f>IF(AND(MOD(17,3)=0,S111&gt;0),S111*Assumptions!$B$59,0)</f>
        <v/>
      </c>
      <c r="T112" s="36">
        <f>IF(AND(MOD(18,3)=0,T111&gt;0),T111*Assumptions!$B$59,0)</f>
        <v/>
      </c>
      <c r="U112" s="36">
        <f>IF(AND(MOD(19,3)=0,U111&gt;0),U111*Assumptions!$B$59,0)</f>
        <v/>
      </c>
      <c r="V112" s="36">
        <f>IF(AND(MOD(20,3)=0,V111&gt;0),V111*Assumptions!$B$59,0)</f>
        <v/>
      </c>
      <c r="W112" s="36">
        <f>IF(AND(MOD(21,3)=0,W111&gt;0),W111*Assumptions!$B$59,0)</f>
        <v/>
      </c>
      <c r="X112" s="36">
        <f>IF(AND(MOD(22,3)=0,X111&gt;0),X111*Assumptions!$B$59,0)</f>
        <v/>
      </c>
      <c r="Y112" s="36">
        <f>IF(AND(MOD(23,3)=0,Y111&gt;0),Y111*Assumptions!$B$59,0)</f>
        <v/>
      </c>
      <c r="Z112" s="36">
        <f>IF(AND(MOD(24,3)=0,Z111&gt;0),Z111*Assumptions!$B$59,0)</f>
        <v/>
      </c>
      <c r="AA112" s="36">
        <f>IF(AND(MOD(25,3)=0,AA111&gt;0),AA111*Assumptions!$B$59,0)</f>
        <v/>
      </c>
      <c r="AB112" s="36">
        <f>IF(AND(MOD(26,3)=0,AB111&gt;0),AB111*Assumptions!$B$59,0)</f>
        <v/>
      </c>
      <c r="AC112" s="36">
        <f>IF(AND(MOD(27,3)=0,AC111&gt;0),AC111*Assumptions!$B$59,0)</f>
        <v/>
      </c>
      <c r="AD112" s="36">
        <f>IF(AND(MOD(28,3)=0,AD111&gt;0),AD111*Assumptions!$B$59,0)</f>
        <v/>
      </c>
      <c r="AE112" s="36">
        <f>IF(AND(MOD(29,3)=0,AE111&gt;0),AE111*Assumptions!$B$59,0)</f>
        <v/>
      </c>
      <c r="AF112" s="36">
        <f>IF(AND(MOD(30,3)=0,AF111&gt;0),AF111*Assumptions!$B$59,0)</f>
        <v/>
      </c>
      <c r="AG112" s="36">
        <f>IF(AND(MOD(31,3)=0,AG111&gt;0),AG111*Assumptions!$B$59,0)</f>
        <v/>
      </c>
      <c r="AH112" s="36">
        <f>IF(AND(MOD(32,3)=0,AH111&gt;0),AH111*Assumptions!$B$59,0)</f>
        <v/>
      </c>
      <c r="AI112" s="36">
        <f>IF(AND(MOD(33,3)=0,AI111&gt;0),AI111*Assumptions!$B$59,0)</f>
        <v/>
      </c>
      <c r="AJ112" s="36">
        <f>IF(AND(MOD(34,3)=0,AJ111&gt;0),AJ111*Assumptions!$B$59,0)</f>
        <v/>
      </c>
      <c r="AK112" s="36">
        <f>IF(AND(MOD(35,3)=0,AK111&gt;0),AK111*Assumptions!$B$59,0)</f>
        <v/>
      </c>
      <c r="AL112" s="36">
        <f>IF(AND(MOD(36,3)=0,AL111&gt;0),AL111*Assumptions!$B$59,0)</f>
        <v/>
      </c>
      <c r="AM112" s="36">
        <f>IF(AND(MOD(37,3)=0,AM111&gt;0),AM111*Assumptions!$B$59,0)</f>
        <v/>
      </c>
      <c r="AN112" s="36">
        <f>IF(AND(MOD(38,3)=0,AN111&gt;0),AN111*Assumptions!$B$59,0)</f>
        <v/>
      </c>
      <c r="AO112" s="36">
        <f>IF(AND(MOD(39,3)=0,AO111&gt;0),AO111*Assumptions!$B$59,0)</f>
        <v/>
      </c>
      <c r="AP112" s="36">
        <f>IF(AND(MOD(40,3)=0,AP111&gt;0),AP111*Assumptions!$B$59,0)</f>
        <v/>
      </c>
      <c r="AQ112" s="36">
        <f>IF(AND(MOD(41,3)=0,AQ111&gt;0),AQ111*Assumptions!$B$59,0)</f>
        <v/>
      </c>
      <c r="AR112" s="36">
        <f>IF(AND(MOD(42,3)=0,AR111&gt;0),AR111*Assumptions!$B$59,0)</f>
        <v/>
      </c>
      <c r="AS112" s="36">
        <f>IF(AND(MOD(43,3)=0,AS111&gt;0),AS111*Assumptions!$B$59,0)</f>
        <v/>
      </c>
      <c r="AT112" s="36">
        <f>IF(AND(MOD(44,3)=0,AT111&gt;0),AT111*Assumptions!$B$59,0)</f>
        <v/>
      </c>
      <c r="AU112" s="36">
        <f>IF(AND(MOD(45,3)=0,AU111&gt;0),AU111*Assumptions!$B$59,0)</f>
        <v/>
      </c>
      <c r="AV112" s="36">
        <f>IF(AND(MOD(46,3)=0,AV111&gt;0),AV111*Assumptions!$B$59,0)</f>
        <v/>
      </c>
      <c r="AW112" s="36">
        <f>IF(AND(MOD(47,3)=0,AW111&gt;0),AW111*Assumptions!$B$59,0)</f>
        <v/>
      </c>
      <c r="AX112" s="36">
        <f>IF(AND(MOD(48,3)=0,AX111&gt;0),AX111*Assumptions!$B$59,0)</f>
        <v/>
      </c>
      <c r="AY112" s="36">
        <f>IF(AND(MOD(49,3)=0,AY111&gt;0),AY111*Assumptions!$B$59,0)</f>
        <v/>
      </c>
      <c r="AZ112" s="36">
        <f>IF(AND(MOD(50,3)=0,AZ111&gt;0),AZ111*Assumptions!$B$59,0)</f>
        <v/>
      </c>
      <c r="BA112" s="36">
        <f>IF(AND(MOD(51,3)=0,BA111&gt;0),BA111*Assumptions!$B$59,0)</f>
        <v/>
      </c>
      <c r="BB112" s="36">
        <f>IF(AND(MOD(52,3)=0,BB111&gt;0),BB111*Assumptions!$B$59,0)</f>
        <v/>
      </c>
      <c r="BC112" s="36">
        <f>IF(AND(MOD(53,3)=0,BC111&gt;0),BC111*Assumptions!$B$59,0)</f>
        <v/>
      </c>
      <c r="BD112" s="36">
        <f>IF(AND(MOD(54,3)=0,BD111&gt;0),BD111*Assumptions!$B$59,0)</f>
        <v/>
      </c>
      <c r="BE112" s="36">
        <f>IF(AND(MOD(55,3)=0,BE111&gt;0),BE111*Assumptions!$B$59,0)</f>
        <v/>
      </c>
      <c r="BF112" s="36">
        <f>IF(AND(MOD(56,3)=0,BF111&gt;0),BF111*Assumptions!$B$59,0)</f>
        <v/>
      </c>
      <c r="BG112" s="36">
        <f>IF(AND(MOD(57,3)=0,BG111&gt;0),BG111*Assumptions!$B$59,0)</f>
        <v/>
      </c>
      <c r="BH112" s="36">
        <f>IF(AND(MOD(58,3)=0,BH111&gt;0),BH111*Assumptions!$B$59,0)</f>
        <v/>
      </c>
      <c r="BI112" s="36">
        <f>IF(AND(MOD(59,3)=0,BI111&gt;0),BI111*Assumptions!$B$59,0)</f>
        <v/>
      </c>
      <c r="BJ112" s="36">
        <f>IF(AND(MOD(60,3)=0,BJ111&gt;0),BJ111*Assumptions!$B$59,0)</f>
        <v/>
      </c>
      <c r="BK112" s="36">
        <f>IF(AND(MOD(61,3)=0,BK111&gt;0),BK111*Assumptions!$B$59,0)</f>
        <v/>
      </c>
      <c r="BL112" s="36">
        <f>IF(AND(MOD(62,3)=0,BL111&gt;0),BL111*Assumptions!$B$59,0)</f>
        <v/>
      </c>
      <c r="BM112" s="36">
        <f>IF(AND(MOD(63,3)=0,BM111&gt;0),BM111*Assumptions!$B$59,0)</f>
        <v/>
      </c>
      <c r="BN112" s="36">
        <f>IF(AND(MOD(64,3)=0,BN111&gt;0),BN111*Assumptions!$B$59,0)</f>
        <v/>
      </c>
      <c r="BO112" s="36">
        <f>IF(AND(MOD(65,3)=0,BO111&gt;0),BO111*Assumptions!$B$59,0)</f>
        <v/>
      </c>
      <c r="BP112" s="36">
        <f>IF(AND(MOD(66,3)=0,BP111&gt;0),BP111*Assumptions!$B$59,0)</f>
        <v/>
      </c>
      <c r="BQ112" s="36">
        <f>IF(AND(MOD(67,3)=0,BQ111&gt;0),BQ111*Assumptions!$B$59,0)</f>
        <v/>
      </c>
      <c r="BR112" s="36">
        <f>IF(AND(MOD(68,3)=0,BR111&gt;0),BR111*Assumptions!$B$59,0)</f>
        <v/>
      </c>
      <c r="BS112" s="36">
        <f>IF(AND(MOD(69,3)=0,BS111&gt;0),BS111*Assumptions!$B$59,0)</f>
        <v/>
      </c>
      <c r="BT112" s="36">
        <f>IF(AND(MOD(70,3)=0,BT111&gt;0),BT111*Assumptions!$B$59,0)</f>
        <v/>
      </c>
      <c r="BU112" s="36">
        <f>IF(AND(MOD(71,3)=0,BU111&gt;0),BU111*Assumptions!$B$59,0)</f>
        <v/>
      </c>
      <c r="BV112" s="36">
        <f>IF(AND(MOD(72,3)=0,BV111&gt;0),BV111*Assumptions!$B$59,0)</f>
        <v/>
      </c>
      <c r="BW112" s="36">
        <f>IF(AND(MOD(73,3)=0,BW111&gt;0),BW111*Assumptions!$B$59,0)</f>
        <v/>
      </c>
      <c r="BX112" s="36">
        <f>IF(AND(MOD(74,3)=0,BX111&gt;0),BX111*Assumptions!$B$59,0)</f>
        <v/>
      </c>
      <c r="BY112" s="36">
        <f>IF(AND(MOD(75,3)=0,BY111&gt;0),BY111*Assumptions!$B$59,0)</f>
        <v/>
      </c>
      <c r="BZ112" s="36">
        <f>IF(AND(MOD(76,3)=0,BZ111&gt;0),BZ111*Assumptions!$B$59,0)</f>
        <v/>
      </c>
      <c r="CA112" s="36">
        <f>IF(AND(MOD(77,3)=0,CA111&gt;0),CA111*Assumptions!$B$59,0)</f>
        <v/>
      </c>
      <c r="CB112" s="36">
        <f>IF(AND(MOD(78,3)=0,CB111&gt;0),CB111*Assumptions!$B$59,0)</f>
        <v/>
      </c>
      <c r="CC112" s="36">
        <f>IF(AND(MOD(79,3)=0,CC111&gt;0),CC111*Assumptions!$B$59,0)</f>
        <v/>
      </c>
      <c r="CD112" s="36">
        <f>IF(AND(MOD(80,3)=0,CD111&gt;0),CD111*Assumptions!$B$59,0)</f>
        <v/>
      </c>
      <c r="CE112" s="36">
        <f>IF(AND(MOD(81,3)=0,CE111&gt;0),CE111*Assumptions!$B$59,0)</f>
        <v/>
      </c>
      <c r="CF112" s="36">
        <f>IF(AND(MOD(82,3)=0,CF111&gt;0),CF111*Assumptions!$B$59,0)</f>
        <v/>
      </c>
      <c r="CG112" s="36">
        <f>IF(AND(MOD(83,3)=0,CG111&gt;0),CG111*Assumptions!$B$59,0)</f>
        <v/>
      </c>
      <c r="CH112" s="36">
        <f>IF(AND(MOD(84,3)=0,CH111&gt;0),CH111*Assumptions!$B$59,0)</f>
        <v/>
      </c>
      <c r="CI112" s="23" t="n"/>
    </row>
    <row r="113" ht="15" customHeight="1" s="201">
      <c r="A113" s="7" t="inlineStr">
        <is>
          <t>Klump - Deal Distribution</t>
        </is>
      </c>
      <c r="B113" s="7" t="n"/>
      <c r="C113" s="36" t="n">
        <v>0</v>
      </c>
      <c r="D113" s="36" t="n">
        <v>0</v>
      </c>
      <c r="E113" s="36" t="n">
        <v>0</v>
      </c>
      <c r="F113" s="36" t="n">
        <v>0</v>
      </c>
      <c r="G113" s="36" t="n">
        <v>0</v>
      </c>
      <c r="H113" s="36" t="n">
        <v>0</v>
      </c>
      <c r="I113" s="36" t="n">
        <v>0</v>
      </c>
      <c r="J113" s="36" t="n">
        <v>0</v>
      </c>
      <c r="K113" s="36" t="n">
        <v>0</v>
      </c>
      <c r="L113" s="36" t="n">
        <v>0</v>
      </c>
      <c r="M113" s="36" t="n">
        <v>0</v>
      </c>
      <c r="N113" s="36" t="n">
        <v>0</v>
      </c>
      <c r="O113" s="36" t="n">
        <v>0</v>
      </c>
      <c r="P113" s="36" t="n">
        <v>0</v>
      </c>
      <c r="Q113" s="36" t="n">
        <v>0</v>
      </c>
      <c r="R113" s="36" t="n">
        <v>0</v>
      </c>
      <c r="S113" s="36" t="n">
        <v>0</v>
      </c>
      <c r="T113" s="36" t="n">
        <v>0</v>
      </c>
      <c r="U113" s="36" t="n">
        <v>0</v>
      </c>
      <c r="V113" s="36" t="n">
        <v>0</v>
      </c>
      <c r="W113" s="36" t="n">
        <v>0</v>
      </c>
      <c r="X113" s="36" t="n">
        <v>0</v>
      </c>
      <c r="Y113" s="36" t="n">
        <v>0</v>
      </c>
      <c r="Z113" s="36" t="n">
        <v>0</v>
      </c>
      <c r="AA113" s="36" t="n">
        <v>0</v>
      </c>
      <c r="AB113" s="36" t="n">
        <v>0</v>
      </c>
      <c r="AC113" s="36" t="n">
        <v>0</v>
      </c>
      <c r="AD113" s="36" t="n">
        <v>0</v>
      </c>
      <c r="AE113" s="36" t="n">
        <v>0</v>
      </c>
      <c r="AF113" s="36" t="n">
        <v>0</v>
      </c>
      <c r="AG113" s="36" t="n">
        <v>0</v>
      </c>
      <c r="AH113" s="36" t="n">
        <v>0</v>
      </c>
      <c r="AI113" s="36" t="n">
        <v>0</v>
      </c>
      <c r="AJ113" s="36" t="n">
        <v>0</v>
      </c>
      <c r="AK113" s="36" t="n">
        <v>0</v>
      </c>
      <c r="AL113" s="36" t="n">
        <v>0</v>
      </c>
      <c r="AM113" s="36" t="n">
        <v>0</v>
      </c>
      <c r="AN113" s="36" t="n">
        <v>0</v>
      </c>
      <c r="AO113" s="36" t="n">
        <v>0</v>
      </c>
      <c r="AP113" s="36" t="n">
        <v>0</v>
      </c>
      <c r="AQ113" s="36" t="n">
        <v>0</v>
      </c>
      <c r="AR113" s="36" t="n">
        <v>0</v>
      </c>
      <c r="AS113" s="36" t="n">
        <v>0</v>
      </c>
      <c r="AT113" s="36" t="n">
        <v>0</v>
      </c>
      <c r="AU113" s="36" t="n">
        <v>0</v>
      </c>
      <c r="AV113" s="36" t="n">
        <v>0</v>
      </c>
      <c r="AW113" s="36" t="n">
        <v>0</v>
      </c>
      <c r="AX113" s="36" t="n">
        <v>0</v>
      </c>
      <c r="AY113" s="36" t="n">
        <v>0</v>
      </c>
      <c r="AZ113" s="36" t="n">
        <v>0</v>
      </c>
      <c r="BA113" s="36" t="n">
        <v>0</v>
      </c>
      <c r="BB113" s="36" t="n">
        <v>0</v>
      </c>
      <c r="BC113" s="36" t="n">
        <v>0</v>
      </c>
      <c r="BD113" s="36" t="n">
        <v>0</v>
      </c>
      <c r="BE113" s="36" t="n">
        <v>0</v>
      </c>
      <c r="BF113" s="36" t="n">
        <v>0</v>
      </c>
      <c r="BG113" s="36" t="n">
        <v>0</v>
      </c>
      <c r="BH113" s="36" t="n">
        <v>0</v>
      </c>
      <c r="BI113" s="36" t="n">
        <v>0</v>
      </c>
      <c r="BJ113" s="36" t="n">
        <v>0</v>
      </c>
      <c r="BK113" s="36" t="n">
        <v>0</v>
      </c>
      <c r="BL113" s="36" t="n">
        <v>0</v>
      </c>
      <c r="BM113" s="36" t="n">
        <v>0</v>
      </c>
      <c r="BN113" s="36" t="n">
        <v>0</v>
      </c>
      <c r="BO113" s="36" t="n">
        <v>0</v>
      </c>
      <c r="BP113" s="36" t="n">
        <v>0</v>
      </c>
      <c r="BQ113" s="36" t="n">
        <v>0</v>
      </c>
      <c r="BR113" s="36" t="n">
        <v>0</v>
      </c>
      <c r="BS113" s="36" t="n">
        <v>0</v>
      </c>
      <c r="BT113" s="36" t="n">
        <v>0</v>
      </c>
      <c r="BU113" s="36" t="n">
        <v>0</v>
      </c>
      <c r="BV113" s="36" t="n">
        <v>0</v>
      </c>
      <c r="BW113" s="36" t="n">
        <v>0</v>
      </c>
      <c r="BX113" s="36" t="n">
        <v>0</v>
      </c>
      <c r="BY113" s="36" t="n">
        <v>0</v>
      </c>
      <c r="BZ113" s="36" t="n">
        <v>0</v>
      </c>
      <c r="CA113" s="36" t="n">
        <v>0</v>
      </c>
      <c r="CB113" s="36" t="n">
        <v>0</v>
      </c>
      <c r="CC113" s="36" t="n">
        <v>0</v>
      </c>
      <c r="CD113" s="36" t="n">
        <v>0</v>
      </c>
      <c r="CE113" s="36" t="n">
        <v>0</v>
      </c>
      <c r="CF113" s="36" t="n">
        <v>0</v>
      </c>
      <c r="CG113" s="36" t="n">
        <v>0</v>
      </c>
      <c r="CH113" s="36" t="n">
        <v>0</v>
      </c>
      <c r="CI113" s="23" t="n"/>
    </row>
    <row r="114" ht="15" customHeight="1" s="201">
      <c r="A114" s="37" t="inlineStr">
        <is>
          <t>Klump - PIK Payment (LIHTC)</t>
        </is>
      </c>
      <c r="B114" s="37" t="n"/>
      <c r="C114" s="38" t="n">
        <v>0</v>
      </c>
      <c r="D114" s="38" t="n">
        <v>0</v>
      </c>
      <c r="E114" s="38" t="n">
        <v>0</v>
      </c>
      <c r="F114" s="38" t="n">
        <v>0</v>
      </c>
      <c r="G114" s="38" t="n">
        <v>0</v>
      </c>
      <c r="H114" s="38" t="n">
        <v>0</v>
      </c>
      <c r="I114" s="38" t="n">
        <v>0</v>
      </c>
      <c r="J114" s="38" t="n">
        <v>0</v>
      </c>
      <c r="K114" s="38" t="n">
        <v>0</v>
      </c>
      <c r="L114" s="38" t="n">
        <v>0</v>
      </c>
      <c r="M114" s="38" t="n">
        <v>0</v>
      </c>
      <c r="N114" s="38" t="n">
        <v>0</v>
      </c>
      <c r="O114" s="38" t="n">
        <v>0</v>
      </c>
      <c r="P114" s="38" t="n">
        <v>0</v>
      </c>
      <c r="Q114" s="38" t="n">
        <v>0</v>
      </c>
      <c r="R114" s="38" t="n">
        <v>0</v>
      </c>
      <c r="S114" s="38" t="n">
        <v>0</v>
      </c>
      <c r="T114" s="38" t="n">
        <v>0</v>
      </c>
      <c r="U114" s="38" t="n">
        <v>0</v>
      </c>
      <c r="V114" s="38" t="n">
        <v>0</v>
      </c>
      <c r="W114" s="38" t="n">
        <v>0</v>
      </c>
      <c r="X114" s="38" t="n">
        <v>0</v>
      </c>
      <c r="Y114" s="38" t="n">
        <v>0</v>
      </c>
      <c r="Z114" s="38" t="n">
        <v>0</v>
      </c>
      <c r="AA114" s="38" t="n">
        <v>0</v>
      </c>
      <c r="AB114" s="38" t="n">
        <v>0</v>
      </c>
      <c r="AC114" s="38" t="n">
        <v>0</v>
      </c>
      <c r="AD114" s="38" t="n">
        <v>0</v>
      </c>
      <c r="AE114" s="38" t="n">
        <v>0</v>
      </c>
      <c r="AF114" s="38" t="n">
        <v>0</v>
      </c>
      <c r="AG114" s="38" t="n">
        <v>0</v>
      </c>
      <c r="AH114" s="38" t="n">
        <v>0</v>
      </c>
      <c r="AI114" s="38" t="n">
        <v>0</v>
      </c>
      <c r="AJ114" s="38" t="n">
        <v>0</v>
      </c>
      <c r="AK114" s="38" t="n">
        <v>0</v>
      </c>
      <c r="AL114" s="38" t="n">
        <v>0</v>
      </c>
      <c r="AM114" s="38" t="n">
        <v>0</v>
      </c>
      <c r="AN114" s="38" t="n">
        <v>0</v>
      </c>
      <c r="AO114" s="38" t="n">
        <v>0</v>
      </c>
      <c r="AP114" s="38" t="n">
        <v>0</v>
      </c>
      <c r="AQ114" s="38" t="n">
        <v>0</v>
      </c>
      <c r="AR114" s="38" t="n">
        <v>0</v>
      </c>
      <c r="AS114" s="38" t="n">
        <v>0</v>
      </c>
      <c r="AT114" s="38" t="n">
        <v>0</v>
      </c>
      <c r="AU114" s="38" t="n">
        <v>0</v>
      </c>
      <c r="AV114" s="38" t="n">
        <v>0</v>
      </c>
      <c r="AW114" s="38" t="n">
        <v>0</v>
      </c>
      <c r="AX114" s="38" t="n">
        <v>0</v>
      </c>
      <c r="AY114" s="38" t="n">
        <v>0</v>
      </c>
      <c r="AZ114" s="38" t="n">
        <v>0</v>
      </c>
      <c r="BA114" s="38" t="n">
        <v>0</v>
      </c>
      <c r="BB114" s="38" t="n">
        <v>0</v>
      </c>
      <c r="BC114" s="38" t="n">
        <v>0</v>
      </c>
      <c r="BD114" s="38" t="n">
        <v>0</v>
      </c>
      <c r="BE114" s="38" t="n">
        <v>0</v>
      </c>
      <c r="BF114" s="38" t="n">
        <v>0</v>
      </c>
      <c r="BG114" s="38" t="n">
        <v>0</v>
      </c>
      <c r="BH114" s="38" t="n">
        <v>0</v>
      </c>
      <c r="BI114" s="38" t="n">
        <v>0</v>
      </c>
      <c r="BJ114" s="38" t="n">
        <v>0</v>
      </c>
      <c r="BK114" s="38" t="n">
        <v>0</v>
      </c>
      <c r="BL114" s="38" t="n">
        <v>0</v>
      </c>
      <c r="BM114" s="38" t="n">
        <v>0</v>
      </c>
      <c r="BN114" s="38" t="n">
        <v>0</v>
      </c>
      <c r="BO114" s="38" t="n">
        <v>0</v>
      </c>
      <c r="BP114" s="38" t="n">
        <v>0</v>
      </c>
      <c r="BQ114" s="38" t="n">
        <v>0</v>
      </c>
      <c r="BR114" s="38" t="n">
        <v>0</v>
      </c>
      <c r="BS114" s="38" t="n">
        <v>0</v>
      </c>
      <c r="BT114" s="38" t="n">
        <v>0</v>
      </c>
      <c r="BU114" s="38" t="n">
        <v>0</v>
      </c>
      <c r="BV114" s="38" t="n">
        <v>0</v>
      </c>
      <c r="BW114" s="38" t="n">
        <v>0</v>
      </c>
      <c r="BX114" s="38" t="n">
        <v>0</v>
      </c>
      <c r="BY114" s="38" t="n">
        <v>0</v>
      </c>
      <c r="BZ114" s="38" t="n">
        <v>0</v>
      </c>
      <c r="CA114" s="38" t="n">
        <v>0</v>
      </c>
      <c r="CB114" s="38" t="n">
        <v>0</v>
      </c>
      <c r="CC114" s="38" t="n">
        <v>0</v>
      </c>
      <c r="CD114" s="38" t="n">
        <v>0</v>
      </c>
      <c r="CE114" s="38" t="n">
        <v>0</v>
      </c>
      <c r="CF114" s="38" t="n">
        <v>0</v>
      </c>
      <c r="CG114" s="38" t="n">
        <v>0</v>
      </c>
      <c r="CH114" s="38" t="n">
        <v>0</v>
      </c>
      <c r="CI114" s="23" t="n"/>
    </row>
    <row r="115" ht="15" customHeight="1" s="201">
      <c r="A115" s="39" t="inlineStr">
        <is>
          <t>Klump - Ending Balance</t>
        </is>
      </c>
      <c r="B115" s="40" t="n"/>
      <c r="C115" s="41">
        <f>MAX(0,C111+C112+C113+C114)</f>
        <v/>
      </c>
      <c r="D115" s="41">
        <f>MAX(0,D111+D112+D113+D114)</f>
        <v/>
      </c>
      <c r="E115" s="41">
        <f>MAX(0,E111+E112+E113+E114)</f>
        <v/>
      </c>
      <c r="F115" s="41">
        <f>MAX(0,F111+F112+F113+F114)</f>
        <v/>
      </c>
      <c r="G115" s="41">
        <f>MAX(0,G111+G112+G113+G114)</f>
        <v/>
      </c>
      <c r="H115" s="41">
        <f>MAX(0,H111+H112+H113+H114)</f>
        <v/>
      </c>
      <c r="I115" s="41">
        <f>MAX(0,I111+I112+I113+I114)</f>
        <v/>
      </c>
      <c r="J115" s="41">
        <f>MAX(0,J111+J112+J113+J114)</f>
        <v/>
      </c>
      <c r="K115" s="41">
        <f>MAX(0,K111+K112+K113+K114)</f>
        <v/>
      </c>
      <c r="L115" s="41">
        <f>MAX(0,L111+L112+L113+L114)</f>
        <v/>
      </c>
      <c r="M115" s="41">
        <f>MAX(0,M111+M112+M113+M114)</f>
        <v/>
      </c>
      <c r="N115" s="41">
        <f>MAX(0,N111+N112+N113+N114)</f>
        <v/>
      </c>
      <c r="O115" s="41">
        <f>MAX(0,O111+O112+O113+O114)</f>
        <v/>
      </c>
      <c r="P115" s="41">
        <f>MAX(0,P111+P112+P113+P114)</f>
        <v/>
      </c>
      <c r="Q115" s="41">
        <f>MAX(0,Q111+Q112+Q113+Q114)</f>
        <v/>
      </c>
      <c r="R115" s="41">
        <f>MAX(0,R111+R112+R113+R114)</f>
        <v/>
      </c>
      <c r="S115" s="41">
        <f>MAX(0,S111+S112+S113+S114)</f>
        <v/>
      </c>
      <c r="T115" s="41">
        <f>MAX(0,T111+T112+T113+T114)</f>
        <v/>
      </c>
      <c r="U115" s="41">
        <f>MAX(0,U111+U112+U113+U114)</f>
        <v/>
      </c>
      <c r="V115" s="41">
        <f>MAX(0,V111+V112+V113+V114)</f>
        <v/>
      </c>
      <c r="W115" s="41">
        <f>MAX(0,W111+W112+W113+W114)</f>
        <v/>
      </c>
      <c r="X115" s="41">
        <f>MAX(0,X111+X112+X113+X114)</f>
        <v/>
      </c>
      <c r="Y115" s="41">
        <f>MAX(0,Y111+Y112+Y113+Y114)</f>
        <v/>
      </c>
      <c r="Z115" s="41">
        <f>MAX(0,Z111+Z112+Z113+Z114)</f>
        <v/>
      </c>
      <c r="AA115" s="41">
        <f>MAX(0,AA111+AA112+AA113+AA114)</f>
        <v/>
      </c>
      <c r="AB115" s="41">
        <f>MAX(0,AB111+AB112+AB113+AB114)</f>
        <v/>
      </c>
      <c r="AC115" s="41">
        <f>MAX(0,AC111+AC112+AC113+AC114)</f>
        <v/>
      </c>
      <c r="AD115" s="41">
        <f>MAX(0,AD111+AD112+AD113+AD114)</f>
        <v/>
      </c>
      <c r="AE115" s="41">
        <f>MAX(0,AE111+AE112+AE113+AE114)</f>
        <v/>
      </c>
      <c r="AF115" s="41">
        <f>MAX(0,AF111+AF112+AF113+AF114)</f>
        <v/>
      </c>
      <c r="AG115" s="41">
        <f>MAX(0,AG111+AG112+AG113+AG114)</f>
        <v/>
      </c>
      <c r="AH115" s="41">
        <f>MAX(0,AH111+AH112+AH113+AH114)</f>
        <v/>
      </c>
      <c r="AI115" s="41">
        <f>MAX(0,AI111+AI112+AI113+AI114)</f>
        <v/>
      </c>
      <c r="AJ115" s="41">
        <f>MAX(0,AJ111+AJ112+AJ113+AJ114)</f>
        <v/>
      </c>
      <c r="AK115" s="41">
        <f>MAX(0,AK111+AK112+AK113+AK114)</f>
        <v/>
      </c>
      <c r="AL115" s="41">
        <f>MAX(0,AL111+AL112+AL113+AL114)</f>
        <v/>
      </c>
      <c r="AM115" s="41">
        <f>MAX(0,AM111+AM112+AM113+AM114)</f>
        <v/>
      </c>
      <c r="AN115" s="41">
        <f>MAX(0,AN111+AN112+AN113+AN114)</f>
        <v/>
      </c>
      <c r="AO115" s="41">
        <f>MAX(0,AO111+AO112+AO113+AO114)</f>
        <v/>
      </c>
      <c r="AP115" s="41">
        <f>MAX(0,AP111+AP112+AP113+AP114)</f>
        <v/>
      </c>
      <c r="AQ115" s="41">
        <f>MAX(0,AQ111+AQ112+AQ113+AQ114)</f>
        <v/>
      </c>
      <c r="AR115" s="41">
        <f>MAX(0,AR111+AR112+AR113+AR114)</f>
        <v/>
      </c>
      <c r="AS115" s="41">
        <f>MAX(0,AS111+AS112+AS113+AS114)</f>
        <v/>
      </c>
      <c r="AT115" s="41">
        <f>MAX(0,AT111+AT112+AT113+AT114)</f>
        <v/>
      </c>
      <c r="AU115" s="41">
        <f>MAX(0,AU111+AU112+AU113+AU114)</f>
        <v/>
      </c>
      <c r="AV115" s="41">
        <f>MAX(0,AV111+AV112+AV113+AV114)</f>
        <v/>
      </c>
      <c r="AW115" s="41">
        <f>MAX(0,AW111+AW112+AW113+AW114)</f>
        <v/>
      </c>
      <c r="AX115" s="41">
        <f>MAX(0,AX111+AX112+AX113+AX114)</f>
        <v/>
      </c>
      <c r="AY115" s="41">
        <f>MAX(0,AY111+AY112+AY113+AY114)</f>
        <v/>
      </c>
      <c r="AZ115" s="41">
        <f>MAX(0,AZ111+AZ112+AZ113+AZ114)</f>
        <v/>
      </c>
      <c r="BA115" s="41">
        <f>MAX(0,BA111+BA112+BA113+BA114)</f>
        <v/>
      </c>
      <c r="BB115" s="41">
        <f>MAX(0,BB111+BB112+BB113+BB114)</f>
        <v/>
      </c>
      <c r="BC115" s="41">
        <f>MAX(0,BC111+BC112+BC113+BC114)</f>
        <v/>
      </c>
      <c r="BD115" s="41">
        <f>MAX(0,BD111+BD112+BD113+BD114)</f>
        <v/>
      </c>
      <c r="BE115" s="41">
        <f>MAX(0,BE111+BE112+BE113+BE114)</f>
        <v/>
      </c>
      <c r="BF115" s="41">
        <f>MAX(0,BF111+BF112+BF113+BF114)</f>
        <v/>
      </c>
      <c r="BG115" s="41">
        <f>MAX(0,BG111+BG112+BG113+BG114)</f>
        <v/>
      </c>
      <c r="BH115" s="41">
        <f>MAX(0,BH111+BH112+BH113+BH114)</f>
        <v/>
      </c>
      <c r="BI115" s="41">
        <f>MAX(0,BI111+BI112+BI113+BI114)</f>
        <v/>
      </c>
      <c r="BJ115" s="41">
        <f>MAX(0,BJ111+BJ112+BJ113+BJ114)</f>
        <v/>
      </c>
      <c r="BK115" s="41">
        <f>MAX(0,BK111+BK112+BK113+BK114)</f>
        <v/>
      </c>
      <c r="BL115" s="41">
        <f>MAX(0,BL111+BL112+BL113+BL114)</f>
        <v/>
      </c>
      <c r="BM115" s="41">
        <f>MAX(0,BM111+BM112+BM113+BM114)</f>
        <v/>
      </c>
      <c r="BN115" s="41">
        <f>MAX(0,BN111+BN112+BN113+BN114)</f>
        <v/>
      </c>
      <c r="BO115" s="41">
        <f>MAX(0,BO111+BO112+BO113+BO114)</f>
        <v/>
      </c>
      <c r="BP115" s="41">
        <f>MAX(0,BP111+BP112+BP113+BP114)</f>
        <v/>
      </c>
      <c r="BQ115" s="41">
        <f>MAX(0,BQ111+BQ112+BQ113+BQ114)</f>
        <v/>
      </c>
      <c r="BR115" s="41">
        <f>MAX(0,BR111+BR112+BR113+BR114)</f>
        <v/>
      </c>
      <c r="BS115" s="41">
        <f>MAX(0,BS111+BS112+BS113+BS114)</f>
        <v/>
      </c>
      <c r="BT115" s="41">
        <f>MAX(0,BT111+BT112+BT113+BT114)</f>
        <v/>
      </c>
      <c r="BU115" s="41">
        <f>MAX(0,BU111+BU112+BU113+BU114)</f>
        <v/>
      </c>
      <c r="BV115" s="41">
        <f>MAX(0,BV111+BV112+BV113+BV114)</f>
        <v/>
      </c>
      <c r="BW115" s="41">
        <f>MAX(0,BW111+BW112+BW113+BW114)</f>
        <v/>
      </c>
      <c r="BX115" s="41">
        <f>MAX(0,BX111+BX112+BX113+BX114)</f>
        <v/>
      </c>
      <c r="BY115" s="41">
        <f>MAX(0,BY111+BY112+BY113+BY114)</f>
        <v/>
      </c>
      <c r="BZ115" s="41">
        <f>MAX(0,BZ111+BZ112+BZ113+BZ114)</f>
        <v/>
      </c>
      <c r="CA115" s="41">
        <f>MAX(0,CA111+CA112+CA113+CA114)</f>
        <v/>
      </c>
      <c r="CB115" s="41">
        <f>MAX(0,CB111+CB112+CB113+CB114)</f>
        <v/>
      </c>
      <c r="CC115" s="41">
        <f>MAX(0,CC111+CC112+CC113+CC114)</f>
        <v/>
      </c>
      <c r="CD115" s="41">
        <f>MAX(0,CD111+CD112+CD113+CD114)</f>
        <v/>
      </c>
      <c r="CE115" s="41">
        <f>MAX(0,CE111+CE112+CE113+CE114)</f>
        <v/>
      </c>
      <c r="CF115" s="41">
        <f>MAX(0,CF111+CF112+CF113+CF114)</f>
        <v/>
      </c>
      <c r="CG115" s="41">
        <f>MAX(0,CG111+CG112+CG113+CG114)</f>
        <v/>
      </c>
      <c r="CH115" s="41">
        <f>MAX(0,CH111+CH112+CH113+CH114)</f>
        <v/>
      </c>
      <c r="CI115" s="23" t="n"/>
    </row>
    <row r="116" ht="15" customHeight="1" s="201">
      <c r="A116" s="7" t="inlineStr">
        <is>
          <t>Scott - Beginning Balance</t>
        </is>
      </c>
      <c r="B116" s="7" t="n"/>
      <c r="C116" s="36">
        <f>IF(AND(Projects!$G$12="Yes",Projects!$C$12&lt;=1),Assumptions!$B$61,0)</f>
        <v/>
      </c>
      <c r="D116" s="36">
        <f>IF(AND(Projects!$G$12="Yes",2=Projects!$C$12),Assumptions!$B$61,C120)</f>
        <v/>
      </c>
      <c r="E116" s="36">
        <f>IF(AND(Projects!$G$12="Yes",3=Projects!$C$12),Assumptions!$B$61,D120)</f>
        <v/>
      </c>
      <c r="F116" s="36">
        <f>IF(AND(Projects!$G$12="Yes",4=Projects!$C$12),Assumptions!$B$61,E120)</f>
        <v/>
      </c>
      <c r="G116" s="36">
        <f>IF(AND(Projects!$G$12="Yes",5=Projects!$C$12),Assumptions!$B$61,F120)</f>
        <v/>
      </c>
      <c r="H116" s="36">
        <f>IF(AND(Projects!$G$12="Yes",6=Projects!$C$12),Assumptions!$B$61,G120)</f>
        <v/>
      </c>
      <c r="I116" s="36">
        <f>IF(AND(Projects!$G$12="Yes",7=Projects!$C$12),Assumptions!$B$61,H120)</f>
        <v/>
      </c>
      <c r="J116" s="36">
        <f>IF(AND(Projects!$G$12="Yes",8=Projects!$C$12),Assumptions!$B$61,I120)</f>
        <v/>
      </c>
      <c r="K116" s="36">
        <f>IF(AND(Projects!$G$12="Yes",9=Projects!$C$12),Assumptions!$B$61,J120)</f>
        <v/>
      </c>
      <c r="L116" s="36">
        <f>IF(AND(Projects!$G$12="Yes",10=Projects!$C$12),Assumptions!$B$61,K120)</f>
        <v/>
      </c>
      <c r="M116" s="36">
        <f>IF(AND(Projects!$G$12="Yes",11=Projects!$C$12),Assumptions!$B$61,L120)</f>
        <v/>
      </c>
      <c r="N116" s="36">
        <f>IF(AND(Projects!$G$12="Yes",12=Projects!$C$12),Assumptions!$B$61,M120)</f>
        <v/>
      </c>
      <c r="O116" s="36">
        <f>IF(AND(Projects!$G$12="Yes",13=Projects!$C$12),Assumptions!$B$61,N120)</f>
        <v/>
      </c>
      <c r="P116" s="36">
        <f>IF(AND(Projects!$G$12="Yes",14=Projects!$C$12),Assumptions!$B$61,O120)</f>
        <v/>
      </c>
      <c r="Q116" s="36">
        <f>IF(AND(Projects!$G$12="Yes",15=Projects!$C$12),Assumptions!$B$61,P120)</f>
        <v/>
      </c>
      <c r="R116" s="36">
        <f>IF(AND(Projects!$G$12="Yes",16=Projects!$C$12),Assumptions!$B$61,Q120)</f>
        <v/>
      </c>
      <c r="S116" s="36">
        <f>IF(AND(Projects!$G$12="Yes",17=Projects!$C$12),Assumptions!$B$61,R120)</f>
        <v/>
      </c>
      <c r="T116" s="36">
        <f>IF(AND(Projects!$G$12="Yes",18=Projects!$C$12),Assumptions!$B$61,S120)</f>
        <v/>
      </c>
      <c r="U116" s="36">
        <f>IF(AND(Projects!$G$12="Yes",19=Projects!$C$12),Assumptions!$B$61,T120)</f>
        <v/>
      </c>
      <c r="V116" s="36">
        <f>IF(AND(Projects!$G$12="Yes",20=Projects!$C$12),Assumptions!$B$61,U120)</f>
        <v/>
      </c>
      <c r="W116" s="36">
        <f>IF(AND(Projects!$G$12="Yes",21=Projects!$C$12),Assumptions!$B$61,V120)</f>
        <v/>
      </c>
      <c r="X116" s="36">
        <f>IF(AND(Projects!$G$12="Yes",22=Projects!$C$12),Assumptions!$B$61,W120)</f>
        <v/>
      </c>
      <c r="Y116" s="36">
        <f>IF(AND(Projects!$G$12="Yes",23=Projects!$C$12),Assumptions!$B$61,X120)</f>
        <v/>
      </c>
      <c r="Z116" s="36">
        <f>IF(AND(Projects!$G$12="Yes",24=Projects!$C$12),Assumptions!$B$61,Y120)</f>
        <v/>
      </c>
      <c r="AA116" s="36">
        <f>IF(AND(Projects!$G$12="Yes",25=Projects!$C$12),Assumptions!$B$61,Z120)</f>
        <v/>
      </c>
      <c r="AB116" s="36">
        <f>IF(AND(Projects!$G$12="Yes",26=Projects!$C$12),Assumptions!$B$61,AA120)</f>
        <v/>
      </c>
      <c r="AC116" s="36">
        <f>IF(AND(Projects!$G$12="Yes",27=Projects!$C$12),Assumptions!$B$61,AB120)</f>
        <v/>
      </c>
      <c r="AD116" s="36">
        <f>IF(AND(Projects!$G$12="Yes",28=Projects!$C$12),Assumptions!$B$61,AC120)</f>
        <v/>
      </c>
      <c r="AE116" s="36">
        <f>IF(AND(Projects!$G$12="Yes",29=Projects!$C$12),Assumptions!$B$61,AD120)</f>
        <v/>
      </c>
      <c r="AF116" s="36">
        <f>IF(AND(Projects!$G$12="Yes",30=Projects!$C$12),Assumptions!$B$61,AE120)</f>
        <v/>
      </c>
      <c r="AG116" s="36">
        <f>IF(AND(Projects!$G$12="Yes",31=Projects!$C$12),Assumptions!$B$61,AF120)</f>
        <v/>
      </c>
      <c r="AH116" s="36">
        <f>IF(AND(Projects!$G$12="Yes",32=Projects!$C$12),Assumptions!$B$61,AG120)</f>
        <v/>
      </c>
      <c r="AI116" s="36">
        <f>IF(AND(Projects!$G$12="Yes",33=Projects!$C$12),Assumptions!$B$61,AH120)</f>
        <v/>
      </c>
      <c r="AJ116" s="36">
        <f>IF(AND(Projects!$G$12="Yes",34=Projects!$C$12),Assumptions!$B$61,AI120)</f>
        <v/>
      </c>
      <c r="AK116" s="36">
        <f>IF(AND(Projects!$G$12="Yes",35=Projects!$C$12),Assumptions!$B$61,AJ120)</f>
        <v/>
      </c>
      <c r="AL116" s="36">
        <f>IF(AND(Projects!$G$12="Yes",36=Projects!$C$12),Assumptions!$B$61,AK120)</f>
        <v/>
      </c>
      <c r="AM116" s="36">
        <f>IF(AND(Projects!$G$12="Yes",37=Projects!$C$12),Assumptions!$B$61,AL120)</f>
        <v/>
      </c>
      <c r="AN116" s="36">
        <f>IF(AND(Projects!$G$12="Yes",38=Projects!$C$12),Assumptions!$B$61,AM120)</f>
        <v/>
      </c>
      <c r="AO116" s="36">
        <f>IF(AND(Projects!$G$12="Yes",39=Projects!$C$12),Assumptions!$B$61,AN120)</f>
        <v/>
      </c>
      <c r="AP116" s="36">
        <f>IF(AND(Projects!$G$12="Yes",40=Projects!$C$12),Assumptions!$B$61,AO120)</f>
        <v/>
      </c>
      <c r="AQ116" s="36">
        <f>IF(AND(Projects!$G$12="Yes",41=Projects!$C$12),Assumptions!$B$61,AP120)</f>
        <v/>
      </c>
      <c r="AR116" s="36">
        <f>IF(AND(Projects!$G$12="Yes",42=Projects!$C$12),Assumptions!$B$61,AQ120)</f>
        <v/>
      </c>
      <c r="AS116" s="36">
        <f>IF(AND(Projects!$G$12="Yes",43=Projects!$C$12),Assumptions!$B$61,AR120)</f>
        <v/>
      </c>
      <c r="AT116" s="36">
        <f>IF(AND(Projects!$G$12="Yes",44=Projects!$C$12),Assumptions!$B$61,AS120)</f>
        <v/>
      </c>
      <c r="AU116" s="36">
        <f>IF(AND(Projects!$G$12="Yes",45=Projects!$C$12),Assumptions!$B$61,AT120)</f>
        <v/>
      </c>
      <c r="AV116" s="36">
        <f>IF(AND(Projects!$G$12="Yes",46=Projects!$C$12),Assumptions!$B$61,AU120)</f>
        <v/>
      </c>
      <c r="AW116" s="36">
        <f>IF(AND(Projects!$G$12="Yes",47=Projects!$C$12),Assumptions!$B$61,AV120)</f>
        <v/>
      </c>
      <c r="AX116" s="36">
        <f>IF(AND(Projects!$G$12="Yes",48=Projects!$C$12),Assumptions!$B$61,AW120)</f>
        <v/>
      </c>
      <c r="AY116" s="36">
        <f>IF(AND(Projects!$G$12="Yes",49=Projects!$C$12),Assumptions!$B$61,AX120)</f>
        <v/>
      </c>
      <c r="AZ116" s="36">
        <f>IF(AND(Projects!$G$12="Yes",50=Projects!$C$12),Assumptions!$B$61,AY120)</f>
        <v/>
      </c>
      <c r="BA116" s="36">
        <f>IF(AND(Projects!$G$12="Yes",51=Projects!$C$12),Assumptions!$B$61,AZ120)</f>
        <v/>
      </c>
      <c r="BB116" s="36">
        <f>IF(AND(Projects!$G$12="Yes",52=Projects!$C$12),Assumptions!$B$61,BA120)</f>
        <v/>
      </c>
      <c r="BC116" s="36">
        <f>IF(AND(Projects!$G$12="Yes",53=Projects!$C$12),Assumptions!$B$61,BB120)</f>
        <v/>
      </c>
      <c r="BD116" s="36">
        <f>IF(AND(Projects!$G$12="Yes",54=Projects!$C$12),Assumptions!$B$61,BC120)</f>
        <v/>
      </c>
      <c r="BE116" s="36">
        <f>IF(AND(Projects!$G$12="Yes",55=Projects!$C$12),Assumptions!$B$61,BD120)</f>
        <v/>
      </c>
      <c r="BF116" s="36">
        <f>IF(AND(Projects!$G$12="Yes",56=Projects!$C$12),Assumptions!$B$61,BE120)</f>
        <v/>
      </c>
      <c r="BG116" s="36">
        <f>IF(AND(Projects!$G$12="Yes",57=Projects!$C$12),Assumptions!$B$61,BF120)</f>
        <v/>
      </c>
      <c r="BH116" s="36">
        <f>IF(AND(Projects!$G$12="Yes",58=Projects!$C$12),Assumptions!$B$61,BG120)</f>
        <v/>
      </c>
      <c r="BI116" s="36">
        <f>IF(AND(Projects!$G$12="Yes",59=Projects!$C$12),Assumptions!$B$61,BH120)</f>
        <v/>
      </c>
      <c r="BJ116" s="36">
        <f>IF(AND(Projects!$G$12="Yes",60=Projects!$C$12),Assumptions!$B$61,BI120)</f>
        <v/>
      </c>
      <c r="BK116" s="36">
        <f>IF(AND(Projects!$G$12="Yes",61=Projects!$C$12),Assumptions!$B$61,BJ120)</f>
        <v/>
      </c>
      <c r="BL116" s="36">
        <f>IF(AND(Projects!$G$12="Yes",62=Projects!$C$12),Assumptions!$B$61,BK120)</f>
        <v/>
      </c>
      <c r="BM116" s="36">
        <f>IF(AND(Projects!$G$12="Yes",63=Projects!$C$12),Assumptions!$B$61,BL120)</f>
        <v/>
      </c>
      <c r="BN116" s="36">
        <f>IF(AND(Projects!$G$12="Yes",64=Projects!$C$12),Assumptions!$B$61,BM120)</f>
        <v/>
      </c>
      <c r="BO116" s="36">
        <f>IF(AND(Projects!$G$12="Yes",65=Projects!$C$12),Assumptions!$B$61,BN120)</f>
        <v/>
      </c>
      <c r="BP116" s="36">
        <f>IF(AND(Projects!$G$12="Yes",66=Projects!$C$12),Assumptions!$B$61,BO120)</f>
        <v/>
      </c>
      <c r="BQ116" s="36">
        <f>IF(AND(Projects!$G$12="Yes",67=Projects!$C$12),Assumptions!$B$61,BP120)</f>
        <v/>
      </c>
      <c r="BR116" s="36">
        <f>IF(AND(Projects!$G$12="Yes",68=Projects!$C$12),Assumptions!$B$61,BQ120)</f>
        <v/>
      </c>
      <c r="BS116" s="36">
        <f>IF(AND(Projects!$G$12="Yes",69=Projects!$C$12),Assumptions!$B$61,BR120)</f>
        <v/>
      </c>
      <c r="BT116" s="36">
        <f>IF(AND(Projects!$G$12="Yes",70=Projects!$C$12),Assumptions!$B$61,BS120)</f>
        <v/>
      </c>
      <c r="BU116" s="36">
        <f>IF(AND(Projects!$G$12="Yes",71=Projects!$C$12),Assumptions!$B$61,BT120)</f>
        <v/>
      </c>
      <c r="BV116" s="36">
        <f>IF(AND(Projects!$G$12="Yes",72=Projects!$C$12),Assumptions!$B$61,BU120)</f>
        <v/>
      </c>
      <c r="BW116" s="36">
        <f>IF(AND(Projects!$G$12="Yes",73=Projects!$C$12),Assumptions!$B$61,BV120)</f>
        <v/>
      </c>
      <c r="BX116" s="36">
        <f>IF(AND(Projects!$G$12="Yes",74=Projects!$C$12),Assumptions!$B$61,BW120)</f>
        <v/>
      </c>
      <c r="BY116" s="36">
        <f>IF(AND(Projects!$G$12="Yes",75=Projects!$C$12),Assumptions!$B$61,BX120)</f>
        <v/>
      </c>
      <c r="BZ116" s="36">
        <f>IF(AND(Projects!$G$12="Yes",76=Projects!$C$12),Assumptions!$B$61,BY120)</f>
        <v/>
      </c>
      <c r="CA116" s="36">
        <f>IF(AND(Projects!$G$12="Yes",77=Projects!$C$12),Assumptions!$B$61,BZ120)</f>
        <v/>
      </c>
      <c r="CB116" s="36">
        <f>IF(AND(Projects!$G$12="Yes",78=Projects!$C$12),Assumptions!$B$61,CA120)</f>
        <v/>
      </c>
      <c r="CC116" s="36">
        <f>IF(AND(Projects!$G$12="Yes",79=Projects!$C$12),Assumptions!$B$61,CB120)</f>
        <v/>
      </c>
      <c r="CD116" s="36">
        <f>IF(AND(Projects!$G$12="Yes",80=Projects!$C$12),Assumptions!$B$61,CC120)</f>
        <v/>
      </c>
      <c r="CE116" s="36">
        <f>IF(AND(Projects!$G$12="Yes",81=Projects!$C$12),Assumptions!$B$61,CD120)</f>
        <v/>
      </c>
      <c r="CF116" s="36">
        <f>IF(AND(Projects!$G$12="Yes",82=Projects!$C$12),Assumptions!$B$61,CE120)</f>
        <v/>
      </c>
      <c r="CG116" s="36">
        <f>IF(AND(Projects!$G$12="Yes",83=Projects!$C$12),Assumptions!$B$61,CF120)</f>
        <v/>
      </c>
      <c r="CH116" s="36">
        <f>IF(AND(Projects!$G$12="Yes",84=Projects!$C$12),Assumptions!$B$61,CG120)</f>
        <v/>
      </c>
      <c r="CI116" s="23" t="n"/>
    </row>
    <row r="117" ht="15" customHeight="1" s="201">
      <c r="A117" s="7" t="inlineStr">
        <is>
          <t>Scott - Quarterly Interest</t>
        </is>
      </c>
      <c r="B117" s="7" t="n"/>
      <c r="C117" s="36">
        <f>IF(AND(MOD(1,3)=0,C116&gt;0),C116*Assumptions!$B$59,0)</f>
        <v/>
      </c>
      <c r="D117" s="36">
        <f>IF(AND(MOD(2,3)=0,D116&gt;0),D116*Assumptions!$B$59,0)</f>
        <v/>
      </c>
      <c r="E117" s="36">
        <f>IF(AND(MOD(3,3)=0,E116&gt;0),E116*Assumptions!$B$59,0)</f>
        <v/>
      </c>
      <c r="F117" s="36">
        <f>IF(AND(MOD(4,3)=0,F116&gt;0),F116*Assumptions!$B$59,0)</f>
        <v/>
      </c>
      <c r="G117" s="36">
        <f>IF(AND(MOD(5,3)=0,G116&gt;0),G116*Assumptions!$B$59,0)</f>
        <v/>
      </c>
      <c r="H117" s="36">
        <f>IF(AND(MOD(6,3)=0,H116&gt;0),H116*Assumptions!$B$59,0)</f>
        <v/>
      </c>
      <c r="I117" s="36">
        <f>IF(AND(MOD(7,3)=0,I116&gt;0),I116*Assumptions!$B$59,0)</f>
        <v/>
      </c>
      <c r="J117" s="36">
        <f>IF(AND(MOD(8,3)=0,J116&gt;0),J116*Assumptions!$B$59,0)</f>
        <v/>
      </c>
      <c r="K117" s="36">
        <f>IF(AND(MOD(9,3)=0,K116&gt;0),K116*Assumptions!$B$59,0)</f>
        <v/>
      </c>
      <c r="L117" s="36">
        <f>IF(AND(MOD(10,3)=0,L116&gt;0),L116*Assumptions!$B$59,0)</f>
        <v/>
      </c>
      <c r="M117" s="36">
        <f>IF(AND(MOD(11,3)=0,M116&gt;0),M116*Assumptions!$B$59,0)</f>
        <v/>
      </c>
      <c r="N117" s="36">
        <f>IF(AND(MOD(12,3)=0,N116&gt;0),N116*Assumptions!$B$59,0)</f>
        <v/>
      </c>
      <c r="O117" s="36">
        <f>IF(AND(MOD(13,3)=0,O116&gt;0),O116*Assumptions!$B$59,0)</f>
        <v/>
      </c>
      <c r="P117" s="36">
        <f>IF(AND(MOD(14,3)=0,P116&gt;0),P116*Assumptions!$B$59,0)</f>
        <v/>
      </c>
      <c r="Q117" s="36">
        <f>IF(AND(MOD(15,3)=0,Q116&gt;0),Q116*Assumptions!$B$59,0)</f>
        <v/>
      </c>
      <c r="R117" s="36">
        <f>IF(AND(MOD(16,3)=0,R116&gt;0),R116*Assumptions!$B$59,0)</f>
        <v/>
      </c>
      <c r="S117" s="36">
        <f>IF(AND(MOD(17,3)=0,S116&gt;0),S116*Assumptions!$B$59,0)</f>
        <v/>
      </c>
      <c r="T117" s="36">
        <f>IF(AND(MOD(18,3)=0,T116&gt;0),T116*Assumptions!$B$59,0)</f>
        <v/>
      </c>
      <c r="U117" s="36">
        <f>IF(AND(MOD(19,3)=0,U116&gt;0),U116*Assumptions!$B$59,0)</f>
        <v/>
      </c>
      <c r="V117" s="36">
        <f>IF(AND(MOD(20,3)=0,V116&gt;0),V116*Assumptions!$B$59,0)</f>
        <v/>
      </c>
      <c r="W117" s="36">
        <f>IF(AND(MOD(21,3)=0,W116&gt;0),W116*Assumptions!$B$59,0)</f>
        <v/>
      </c>
      <c r="X117" s="36">
        <f>IF(AND(MOD(22,3)=0,X116&gt;0),X116*Assumptions!$B$59,0)</f>
        <v/>
      </c>
      <c r="Y117" s="36">
        <f>IF(AND(MOD(23,3)=0,Y116&gt;0),Y116*Assumptions!$B$59,0)</f>
        <v/>
      </c>
      <c r="Z117" s="36">
        <f>IF(AND(MOD(24,3)=0,Z116&gt;0),Z116*Assumptions!$B$59,0)</f>
        <v/>
      </c>
      <c r="AA117" s="36">
        <f>IF(AND(MOD(25,3)=0,AA116&gt;0),AA116*Assumptions!$B$59,0)</f>
        <v/>
      </c>
      <c r="AB117" s="36">
        <f>IF(AND(MOD(26,3)=0,AB116&gt;0),AB116*Assumptions!$B$59,0)</f>
        <v/>
      </c>
      <c r="AC117" s="36">
        <f>IF(AND(MOD(27,3)=0,AC116&gt;0),AC116*Assumptions!$B$59,0)</f>
        <v/>
      </c>
      <c r="AD117" s="36">
        <f>IF(AND(MOD(28,3)=0,AD116&gt;0),AD116*Assumptions!$B$59,0)</f>
        <v/>
      </c>
      <c r="AE117" s="36">
        <f>IF(AND(MOD(29,3)=0,AE116&gt;0),AE116*Assumptions!$B$59,0)</f>
        <v/>
      </c>
      <c r="AF117" s="36">
        <f>IF(AND(MOD(30,3)=0,AF116&gt;0),AF116*Assumptions!$B$59,0)</f>
        <v/>
      </c>
      <c r="AG117" s="36">
        <f>IF(AND(MOD(31,3)=0,AG116&gt;0),AG116*Assumptions!$B$59,0)</f>
        <v/>
      </c>
      <c r="AH117" s="36">
        <f>IF(AND(MOD(32,3)=0,AH116&gt;0),AH116*Assumptions!$B$59,0)</f>
        <v/>
      </c>
      <c r="AI117" s="36">
        <f>IF(AND(MOD(33,3)=0,AI116&gt;0),AI116*Assumptions!$B$59,0)</f>
        <v/>
      </c>
      <c r="AJ117" s="36">
        <f>IF(AND(MOD(34,3)=0,AJ116&gt;0),AJ116*Assumptions!$B$59,0)</f>
        <v/>
      </c>
      <c r="AK117" s="36">
        <f>IF(AND(MOD(35,3)=0,AK116&gt;0),AK116*Assumptions!$B$59,0)</f>
        <v/>
      </c>
      <c r="AL117" s="36">
        <f>IF(AND(MOD(36,3)=0,AL116&gt;0),AL116*Assumptions!$B$59,0)</f>
        <v/>
      </c>
      <c r="AM117" s="36">
        <f>IF(AND(MOD(37,3)=0,AM116&gt;0),AM116*Assumptions!$B$59,0)</f>
        <v/>
      </c>
      <c r="AN117" s="36">
        <f>IF(AND(MOD(38,3)=0,AN116&gt;0),AN116*Assumptions!$B$59,0)</f>
        <v/>
      </c>
      <c r="AO117" s="36">
        <f>IF(AND(MOD(39,3)=0,AO116&gt;0),AO116*Assumptions!$B$59,0)</f>
        <v/>
      </c>
      <c r="AP117" s="36">
        <f>IF(AND(MOD(40,3)=0,AP116&gt;0),AP116*Assumptions!$B$59,0)</f>
        <v/>
      </c>
      <c r="AQ117" s="36">
        <f>IF(AND(MOD(41,3)=0,AQ116&gt;0),AQ116*Assumptions!$B$59,0)</f>
        <v/>
      </c>
      <c r="AR117" s="36">
        <f>IF(AND(MOD(42,3)=0,AR116&gt;0),AR116*Assumptions!$B$59,0)</f>
        <v/>
      </c>
      <c r="AS117" s="36">
        <f>IF(AND(MOD(43,3)=0,AS116&gt;0),AS116*Assumptions!$B$59,0)</f>
        <v/>
      </c>
      <c r="AT117" s="36">
        <f>IF(AND(MOD(44,3)=0,AT116&gt;0),AT116*Assumptions!$B$59,0)</f>
        <v/>
      </c>
      <c r="AU117" s="36">
        <f>IF(AND(MOD(45,3)=0,AU116&gt;0),AU116*Assumptions!$B$59,0)</f>
        <v/>
      </c>
      <c r="AV117" s="36">
        <f>IF(AND(MOD(46,3)=0,AV116&gt;0),AV116*Assumptions!$B$59,0)</f>
        <v/>
      </c>
      <c r="AW117" s="36">
        <f>IF(AND(MOD(47,3)=0,AW116&gt;0),AW116*Assumptions!$B$59,0)</f>
        <v/>
      </c>
      <c r="AX117" s="36">
        <f>IF(AND(MOD(48,3)=0,AX116&gt;0),AX116*Assumptions!$B$59,0)</f>
        <v/>
      </c>
      <c r="AY117" s="36">
        <f>IF(AND(MOD(49,3)=0,AY116&gt;0),AY116*Assumptions!$B$59,0)</f>
        <v/>
      </c>
      <c r="AZ117" s="36">
        <f>IF(AND(MOD(50,3)=0,AZ116&gt;0),AZ116*Assumptions!$B$59,0)</f>
        <v/>
      </c>
      <c r="BA117" s="36">
        <f>IF(AND(MOD(51,3)=0,BA116&gt;0),BA116*Assumptions!$B$59,0)</f>
        <v/>
      </c>
      <c r="BB117" s="36">
        <f>IF(AND(MOD(52,3)=0,BB116&gt;0),BB116*Assumptions!$B$59,0)</f>
        <v/>
      </c>
      <c r="BC117" s="36">
        <f>IF(AND(MOD(53,3)=0,BC116&gt;0),BC116*Assumptions!$B$59,0)</f>
        <v/>
      </c>
      <c r="BD117" s="36">
        <f>IF(AND(MOD(54,3)=0,BD116&gt;0),BD116*Assumptions!$B$59,0)</f>
        <v/>
      </c>
      <c r="BE117" s="36">
        <f>IF(AND(MOD(55,3)=0,BE116&gt;0),BE116*Assumptions!$B$59,0)</f>
        <v/>
      </c>
      <c r="BF117" s="36">
        <f>IF(AND(MOD(56,3)=0,BF116&gt;0),BF116*Assumptions!$B$59,0)</f>
        <v/>
      </c>
      <c r="BG117" s="36">
        <f>IF(AND(MOD(57,3)=0,BG116&gt;0),BG116*Assumptions!$B$59,0)</f>
        <v/>
      </c>
      <c r="BH117" s="36">
        <f>IF(AND(MOD(58,3)=0,BH116&gt;0),BH116*Assumptions!$B$59,0)</f>
        <v/>
      </c>
      <c r="BI117" s="36">
        <f>IF(AND(MOD(59,3)=0,BI116&gt;0),BI116*Assumptions!$B$59,0)</f>
        <v/>
      </c>
      <c r="BJ117" s="36">
        <f>IF(AND(MOD(60,3)=0,BJ116&gt;0),BJ116*Assumptions!$B$59,0)</f>
        <v/>
      </c>
      <c r="BK117" s="36">
        <f>IF(AND(MOD(61,3)=0,BK116&gt;0),BK116*Assumptions!$B$59,0)</f>
        <v/>
      </c>
      <c r="BL117" s="36">
        <f>IF(AND(MOD(62,3)=0,BL116&gt;0),BL116*Assumptions!$B$59,0)</f>
        <v/>
      </c>
      <c r="BM117" s="36">
        <f>IF(AND(MOD(63,3)=0,BM116&gt;0),BM116*Assumptions!$B$59,0)</f>
        <v/>
      </c>
      <c r="BN117" s="36">
        <f>IF(AND(MOD(64,3)=0,BN116&gt;0),BN116*Assumptions!$B$59,0)</f>
        <v/>
      </c>
      <c r="BO117" s="36">
        <f>IF(AND(MOD(65,3)=0,BO116&gt;0),BO116*Assumptions!$B$59,0)</f>
        <v/>
      </c>
      <c r="BP117" s="36">
        <f>IF(AND(MOD(66,3)=0,BP116&gt;0),BP116*Assumptions!$B$59,0)</f>
        <v/>
      </c>
      <c r="BQ117" s="36">
        <f>IF(AND(MOD(67,3)=0,BQ116&gt;0),BQ116*Assumptions!$B$59,0)</f>
        <v/>
      </c>
      <c r="BR117" s="36">
        <f>IF(AND(MOD(68,3)=0,BR116&gt;0),BR116*Assumptions!$B$59,0)</f>
        <v/>
      </c>
      <c r="BS117" s="36">
        <f>IF(AND(MOD(69,3)=0,BS116&gt;0),BS116*Assumptions!$B$59,0)</f>
        <v/>
      </c>
      <c r="BT117" s="36">
        <f>IF(AND(MOD(70,3)=0,BT116&gt;0),BT116*Assumptions!$B$59,0)</f>
        <v/>
      </c>
      <c r="BU117" s="36">
        <f>IF(AND(MOD(71,3)=0,BU116&gt;0),BU116*Assumptions!$B$59,0)</f>
        <v/>
      </c>
      <c r="BV117" s="36">
        <f>IF(AND(MOD(72,3)=0,BV116&gt;0),BV116*Assumptions!$B$59,0)</f>
        <v/>
      </c>
      <c r="BW117" s="36">
        <f>IF(AND(MOD(73,3)=0,BW116&gt;0),BW116*Assumptions!$B$59,0)</f>
        <v/>
      </c>
      <c r="BX117" s="36">
        <f>IF(AND(MOD(74,3)=0,BX116&gt;0),BX116*Assumptions!$B$59,0)</f>
        <v/>
      </c>
      <c r="BY117" s="36">
        <f>IF(AND(MOD(75,3)=0,BY116&gt;0),BY116*Assumptions!$B$59,0)</f>
        <v/>
      </c>
      <c r="BZ117" s="36">
        <f>IF(AND(MOD(76,3)=0,BZ116&gt;0),BZ116*Assumptions!$B$59,0)</f>
        <v/>
      </c>
      <c r="CA117" s="36">
        <f>IF(AND(MOD(77,3)=0,CA116&gt;0),CA116*Assumptions!$B$59,0)</f>
        <v/>
      </c>
      <c r="CB117" s="36">
        <f>IF(AND(MOD(78,3)=0,CB116&gt;0),CB116*Assumptions!$B$59,0)</f>
        <v/>
      </c>
      <c r="CC117" s="36">
        <f>IF(AND(MOD(79,3)=0,CC116&gt;0),CC116*Assumptions!$B$59,0)</f>
        <v/>
      </c>
      <c r="CD117" s="36">
        <f>IF(AND(MOD(80,3)=0,CD116&gt;0),CD116*Assumptions!$B$59,0)</f>
        <v/>
      </c>
      <c r="CE117" s="36">
        <f>IF(AND(MOD(81,3)=0,CE116&gt;0),CE116*Assumptions!$B$59,0)</f>
        <v/>
      </c>
      <c r="CF117" s="36">
        <f>IF(AND(MOD(82,3)=0,CF116&gt;0),CF116*Assumptions!$B$59,0)</f>
        <v/>
      </c>
      <c r="CG117" s="36">
        <f>IF(AND(MOD(83,3)=0,CG116&gt;0),CG116*Assumptions!$B$59,0)</f>
        <v/>
      </c>
      <c r="CH117" s="36">
        <f>IF(AND(MOD(84,3)=0,CH116&gt;0),CH116*Assumptions!$B$59,0)</f>
        <v/>
      </c>
      <c r="CI117" s="23" t="n"/>
    </row>
    <row r="118" ht="15" customHeight="1" s="201">
      <c r="A118" s="7" t="inlineStr">
        <is>
          <t>Scott - Deal Distribution</t>
        </is>
      </c>
      <c r="B118" s="7" t="n"/>
      <c r="C118" s="36" t="n">
        <v>0</v>
      </c>
      <c r="D118" s="36" t="n">
        <v>0</v>
      </c>
      <c r="E118" s="36" t="n">
        <v>0</v>
      </c>
      <c r="F118" s="36" t="n">
        <v>0</v>
      </c>
      <c r="G118" s="36" t="n">
        <v>0</v>
      </c>
      <c r="H118" s="36" t="n">
        <v>0</v>
      </c>
      <c r="I118" s="36" t="n">
        <v>0</v>
      </c>
      <c r="J118" s="36" t="n">
        <v>0</v>
      </c>
      <c r="K118" s="36" t="n">
        <v>0</v>
      </c>
      <c r="L118" s="36" t="n">
        <v>0</v>
      </c>
      <c r="M118" s="36" t="n">
        <v>0</v>
      </c>
      <c r="N118" s="36" t="n">
        <v>0</v>
      </c>
      <c r="O118" s="36" t="n">
        <v>0</v>
      </c>
      <c r="P118" s="36" t="n">
        <v>0</v>
      </c>
      <c r="Q118" s="36" t="n">
        <v>0</v>
      </c>
      <c r="R118" s="36" t="n">
        <v>0</v>
      </c>
      <c r="S118" s="36" t="n">
        <v>0</v>
      </c>
      <c r="T118" s="36" t="n">
        <v>0</v>
      </c>
      <c r="U118" s="36" t="n">
        <v>0</v>
      </c>
      <c r="V118" s="36" t="n">
        <v>0</v>
      </c>
      <c r="W118" s="36" t="n">
        <v>0</v>
      </c>
      <c r="X118" s="36" t="n">
        <v>0</v>
      </c>
      <c r="Y118" s="36" t="n">
        <v>0</v>
      </c>
      <c r="Z118" s="36" t="n">
        <v>0</v>
      </c>
      <c r="AA118" s="36" t="n">
        <v>0</v>
      </c>
      <c r="AB118" s="36" t="n">
        <v>0</v>
      </c>
      <c r="AC118" s="36" t="n">
        <v>0</v>
      </c>
      <c r="AD118" s="36" t="n">
        <v>0</v>
      </c>
      <c r="AE118" s="36" t="n">
        <v>0</v>
      </c>
      <c r="AF118" s="36" t="n">
        <v>0</v>
      </c>
      <c r="AG118" s="36" t="n">
        <v>0</v>
      </c>
      <c r="AH118" s="36" t="n">
        <v>0</v>
      </c>
      <c r="AI118" s="36" t="n">
        <v>0</v>
      </c>
      <c r="AJ118" s="36" t="n">
        <v>0</v>
      </c>
      <c r="AK118" s="36" t="n">
        <v>0</v>
      </c>
      <c r="AL118" s="36" t="n">
        <v>0</v>
      </c>
      <c r="AM118" s="36" t="n">
        <v>0</v>
      </c>
      <c r="AN118" s="36" t="n">
        <v>0</v>
      </c>
      <c r="AO118" s="36" t="n">
        <v>0</v>
      </c>
      <c r="AP118" s="36" t="n">
        <v>0</v>
      </c>
      <c r="AQ118" s="36" t="n">
        <v>0</v>
      </c>
      <c r="AR118" s="36" t="n">
        <v>0</v>
      </c>
      <c r="AS118" s="36" t="n">
        <v>0</v>
      </c>
      <c r="AT118" s="36" t="n">
        <v>0</v>
      </c>
      <c r="AU118" s="36" t="n">
        <v>0</v>
      </c>
      <c r="AV118" s="36" t="n">
        <v>0</v>
      </c>
      <c r="AW118" s="36" t="n">
        <v>0</v>
      </c>
      <c r="AX118" s="36" t="n">
        <v>0</v>
      </c>
      <c r="AY118" s="36" t="n">
        <v>0</v>
      </c>
      <c r="AZ118" s="36" t="n">
        <v>0</v>
      </c>
      <c r="BA118" s="36" t="n">
        <v>0</v>
      </c>
      <c r="BB118" s="36" t="n">
        <v>0</v>
      </c>
      <c r="BC118" s="36" t="n">
        <v>0</v>
      </c>
      <c r="BD118" s="36" t="n">
        <v>0</v>
      </c>
      <c r="BE118" s="36" t="n">
        <v>0</v>
      </c>
      <c r="BF118" s="36" t="n">
        <v>0</v>
      </c>
      <c r="BG118" s="36" t="n">
        <v>0</v>
      </c>
      <c r="BH118" s="36" t="n">
        <v>0</v>
      </c>
      <c r="BI118" s="36" t="n">
        <v>0</v>
      </c>
      <c r="BJ118" s="36" t="n">
        <v>0</v>
      </c>
      <c r="BK118" s="36" t="n">
        <v>0</v>
      </c>
      <c r="BL118" s="36" t="n">
        <v>0</v>
      </c>
      <c r="BM118" s="36" t="n">
        <v>0</v>
      </c>
      <c r="BN118" s="36" t="n">
        <v>0</v>
      </c>
      <c r="BO118" s="36" t="n">
        <v>0</v>
      </c>
      <c r="BP118" s="36" t="n">
        <v>0</v>
      </c>
      <c r="BQ118" s="36" t="n">
        <v>0</v>
      </c>
      <c r="BR118" s="36" t="n">
        <v>0</v>
      </c>
      <c r="BS118" s="36" t="n">
        <v>0</v>
      </c>
      <c r="BT118" s="36" t="n">
        <v>0</v>
      </c>
      <c r="BU118" s="36" t="n">
        <v>0</v>
      </c>
      <c r="BV118" s="36" t="n">
        <v>0</v>
      </c>
      <c r="BW118" s="36" t="n">
        <v>0</v>
      </c>
      <c r="BX118" s="36" t="n">
        <v>0</v>
      </c>
      <c r="BY118" s="36" t="n">
        <v>0</v>
      </c>
      <c r="BZ118" s="36" t="n">
        <v>0</v>
      </c>
      <c r="CA118" s="36" t="n">
        <v>0</v>
      </c>
      <c r="CB118" s="36" t="n">
        <v>0</v>
      </c>
      <c r="CC118" s="36" t="n">
        <v>0</v>
      </c>
      <c r="CD118" s="36" t="n">
        <v>0</v>
      </c>
      <c r="CE118" s="36" t="n">
        <v>0</v>
      </c>
      <c r="CF118" s="36" t="n">
        <v>0</v>
      </c>
      <c r="CG118" s="36" t="n">
        <v>0</v>
      </c>
      <c r="CH118" s="36" t="n">
        <v>0</v>
      </c>
      <c r="CI118" s="23" t="n"/>
    </row>
    <row r="119" ht="15" customHeight="1" s="201">
      <c r="A119" s="37" t="inlineStr">
        <is>
          <t>Scott - PIK Payment (LIHTC)</t>
        </is>
      </c>
      <c r="B119" s="37" t="n"/>
      <c r="C119" s="38" t="n">
        <v>0</v>
      </c>
      <c r="D119" s="38" t="n">
        <v>0</v>
      </c>
      <c r="E119" s="38" t="n">
        <v>0</v>
      </c>
      <c r="F119" s="38" t="n">
        <v>0</v>
      </c>
      <c r="G119" s="38" t="n">
        <v>0</v>
      </c>
      <c r="H119" s="38" t="n">
        <v>0</v>
      </c>
      <c r="I119" s="38" t="n">
        <v>0</v>
      </c>
      <c r="J119" s="38" t="n">
        <v>0</v>
      </c>
      <c r="K119" s="38" t="n">
        <v>0</v>
      </c>
      <c r="L119" s="38" t="n">
        <v>0</v>
      </c>
      <c r="M119" s="38" t="n">
        <v>0</v>
      </c>
      <c r="N119" s="38" t="n">
        <v>0</v>
      </c>
      <c r="O119" s="38" t="n">
        <v>0</v>
      </c>
      <c r="P119" s="38" t="n">
        <v>0</v>
      </c>
      <c r="Q119" s="38" t="n">
        <v>0</v>
      </c>
      <c r="R119" s="38" t="n">
        <v>0</v>
      </c>
      <c r="S119" s="38" t="n">
        <v>0</v>
      </c>
      <c r="T119" s="38" t="n">
        <v>0</v>
      </c>
      <c r="U119" s="38" t="n">
        <v>0</v>
      </c>
      <c r="V119" s="38" t="n">
        <v>0</v>
      </c>
      <c r="W119" s="38" t="n">
        <v>0</v>
      </c>
      <c r="X119" s="38" t="n">
        <v>0</v>
      </c>
      <c r="Y119" s="38" t="n">
        <v>0</v>
      </c>
      <c r="Z119" s="38" t="n">
        <v>0</v>
      </c>
      <c r="AA119" s="38" t="n">
        <v>0</v>
      </c>
      <c r="AB119" s="38" t="n">
        <v>0</v>
      </c>
      <c r="AC119" s="38" t="n">
        <v>0</v>
      </c>
      <c r="AD119" s="38" t="n">
        <v>0</v>
      </c>
      <c r="AE119" s="38" t="n">
        <v>0</v>
      </c>
      <c r="AF119" s="38" t="n">
        <v>0</v>
      </c>
      <c r="AG119" s="38" t="n">
        <v>0</v>
      </c>
      <c r="AH119" s="38" t="n">
        <v>0</v>
      </c>
      <c r="AI119" s="38" t="n">
        <v>0</v>
      </c>
      <c r="AJ119" s="38" t="n">
        <v>0</v>
      </c>
      <c r="AK119" s="38" t="n">
        <v>0</v>
      </c>
      <c r="AL119" s="38" t="n">
        <v>0</v>
      </c>
      <c r="AM119" s="38" t="n">
        <v>0</v>
      </c>
      <c r="AN119" s="38" t="n">
        <v>0</v>
      </c>
      <c r="AO119" s="38" t="n">
        <v>0</v>
      </c>
      <c r="AP119" s="38" t="n">
        <v>0</v>
      </c>
      <c r="AQ119" s="38" t="n">
        <v>0</v>
      </c>
      <c r="AR119" s="38" t="n">
        <v>0</v>
      </c>
      <c r="AS119" s="38" t="n">
        <v>0</v>
      </c>
      <c r="AT119" s="38" t="n">
        <v>0</v>
      </c>
      <c r="AU119" s="38" t="n">
        <v>0</v>
      </c>
      <c r="AV119" s="38" t="n">
        <v>0</v>
      </c>
      <c r="AW119" s="38" t="n">
        <v>0</v>
      </c>
      <c r="AX119" s="38" t="n">
        <v>0</v>
      </c>
      <c r="AY119" s="38" t="n">
        <v>0</v>
      </c>
      <c r="AZ119" s="38" t="n">
        <v>0</v>
      </c>
      <c r="BA119" s="38" t="n">
        <v>0</v>
      </c>
      <c r="BB119" s="38" t="n">
        <v>0</v>
      </c>
      <c r="BC119" s="38" t="n">
        <v>0</v>
      </c>
      <c r="BD119" s="38" t="n">
        <v>0</v>
      </c>
      <c r="BE119" s="38" t="n">
        <v>0</v>
      </c>
      <c r="BF119" s="38" t="n">
        <v>0</v>
      </c>
      <c r="BG119" s="38" t="n">
        <v>0</v>
      </c>
      <c r="BH119" s="38" t="n">
        <v>0</v>
      </c>
      <c r="BI119" s="38" t="n">
        <v>0</v>
      </c>
      <c r="BJ119" s="38" t="n">
        <v>0</v>
      </c>
      <c r="BK119" s="38" t="n">
        <v>0</v>
      </c>
      <c r="BL119" s="38" t="n">
        <v>0</v>
      </c>
      <c r="BM119" s="38" t="n">
        <v>0</v>
      </c>
      <c r="BN119" s="38" t="n">
        <v>0</v>
      </c>
      <c r="BO119" s="38" t="n">
        <v>0</v>
      </c>
      <c r="BP119" s="38" t="n">
        <v>0</v>
      </c>
      <c r="BQ119" s="38" t="n">
        <v>0</v>
      </c>
      <c r="BR119" s="38" t="n">
        <v>0</v>
      </c>
      <c r="BS119" s="38" t="n">
        <v>0</v>
      </c>
      <c r="BT119" s="38" t="n">
        <v>0</v>
      </c>
      <c r="BU119" s="38" t="n">
        <v>0</v>
      </c>
      <c r="BV119" s="38" t="n">
        <v>0</v>
      </c>
      <c r="BW119" s="38" t="n">
        <v>0</v>
      </c>
      <c r="BX119" s="38" t="n">
        <v>0</v>
      </c>
      <c r="BY119" s="38" t="n">
        <v>0</v>
      </c>
      <c r="BZ119" s="38" t="n">
        <v>0</v>
      </c>
      <c r="CA119" s="38" t="n">
        <v>0</v>
      </c>
      <c r="CB119" s="38" t="n">
        <v>0</v>
      </c>
      <c r="CC119" s="38" t="n">
        <v>0</v>
      </c>
      <c r="CD119" s="38" t="n">
        <v>0</v>
      </c>
      <c r="CE119" s="38" t="n">
        <v>0</v>
      </c>
      <c r="CF119" s="38" t="n">
        <v>0</v>
      </c>
      <c r="CG119" s="38" t="n">
        <v>0</v>
      </c>
      <c r="CH119" s="38" t="n">
        <v>0</v>
      </c>
      <c r="CI119" s="23" t="n"/>
    </row>
    <row r="120" ht="15" customHeight="1" s="201">
      <c r="A120" s="39" t="inlineStr">
        <is>
          <t>Scott - Ending Balance</t>
        </is>
      </c>
      <c r="B120" s="40" t="n"/>
      <c r="C120" s="41">
        <f>MAX(0,C116+C117+C118+C119)</f>
        <v/>
      </c>
      <c r="D120" s="41">
        <f>MAX(0,D116+D117+D118+D119)</f>
        <v/>
      </c>
      <c r="E120" s="41">
        <f>MAX(0,E116+E117+E118+E119)</f>
        <v/>
      </c>
      <c r="F120" s="41">
        <f>MAX(0,F116+F117+F118+F119)</f>
        <v/>
      </c>
      <c r="G120" s="41">
        <f>MAX(0,G116+G117+G118+G119)</f>
        <v/>
      </c>
      <c r="H120" s="41">
        <f>MAX(0,H116+H117+H118+H119)</f>
        <v/>
      </c>
      <c r="I120" s="41">
        <f>MAX(0,I116+I117+I118+I119)</f>
        <v/>
      </c>
      <c r="J120" s="41">
        <f>MAX(0,J116+J117+J118+J119)</f>
        <v/>
      </c>
      <c r="K120" s="41">
        <f>MAX(0,K116+K117+K118+K119)</f>
        <v/>
      </c>
      <c r="L120" s="41">
        <f>MAX(0,L116+L117+L118+L119)</f>
        <v/>
      </c>
      <c r="M120" s="41">
        <f>MAX(0,M116+M117+M118+M119)</f>
        <v/>
      </c>
      <c r="N120" s="41">
        <f>MAX(0,N116+N117+N118+N119)</f>
        <v/>
      </c>
      <c r="O120" s="41">
        <f>MAX(0,O116+O117+O118+O119)</f>
        <v/>
      </c>
      <c r="P120" s="41">
        <f>MAX(0,P116+P117+P118+P119)</f>
        <v/>
      </c>
      <c r="Q120" s="41">
        <f>MAX(0,Q116+Q117+Q118+Q119)</f>
        <v/>
      </c>
      <c r="R120" s="41">
        <f>MAX(0,R116+R117+R118+R119)</f>
        <v/>
      </c>
      <c r="S120" s="41">
        <f>MAX(0,S116+S117+S118+S119)</f>
        <v/>
      </c>
      <c r="T120" s="41">
        <f>MAX(0,T116+T117+T118+T119)</f>
        <v/>
      </c>
      <c r="U120" s="41">
        <f>MAX(0,U116+U117+U118+U119)</f>
        <v/>
      </c>
      <c r="V120" s="41">
        <f>MAX(0,V116+V117+V118+V119)</f>
        <v/>
      </c>
      <c r="W120" s="41">
        <f>MAX(0,W116+W117+W118+W119)</f>
        <v/>
      </c>
      <c r="X120" s="41">
        <f>MAX(0,X116+X117+X118+X119)</f>
        <v/>
      </c>
      <c r="Y120" s="41">
        <f>MAX(0,Y116+Y117+Y118+Y119)</f>
        <v/>
      </c>
      <c r="Z120" s="41">
        <f>MAX(0,Z116+Z117+Z118+Z119)</f>
        <v/>
      </c>
      <c r="AA120" s="41">
        <f>MAX(0,AA116+AA117+AA118+AA119)</f>
        <v/>
      </c>
      <c r="AB120" s="41">
        <f>MAX(0,AB116+AB117+AB118+AB119)</f>
        <v/>
      </c>
      <c r="AC120" s="41">
        <f>MAX(0,AC116+AC117+AC118+AC119)</f>
        <v/>
      </c>
      <c r="AD120" s="41">
        <f>MAX(0,AD116+AD117+AD118+AD119)</f>
        <v/>
      </c>
      <c r="AE120" s="41">
        <f>MAX(0,AE116+AE117+AE118+AE119)</f>
        <v/>
      </c>
      <c r="AF120" s="41">
        <f>MAX(0,AF116+AF117+AF118+AF119)</f>
        <v/>
      </c>
      <c r="AG120" s="41">
        <f>MAX(0,AG116+AG117+AG118+AG119)</f>
        <v/>
      </c>
      <c r="AH120" s="41">
        <f>MAX(0,AH116+AH117+AH118+AH119)</f>
        <v/>
      </c>
      <c r="AI120" s="41">
        <f>MAX(0,AI116+AI117+AI118+AI119)</f>
        <v/>
      </c>
      <c r="AJ120" s="41">
        <f>MAX(0,AJ116+AJ117+AJ118+AJ119)</f>
        <v/>
      </c>
      <c r="AK120" s="41">
        <f>MAX(0,AK116+AK117+AK118+AK119)</f>
        <v/>
      </c>
      <c r="AL120" s="41">
        <f>MAX(0,AL116+AL117+AL118+AL119)</f>
        <v/>
      </c>
      <c r="AM120" s="41">
        <f>MAX(0,AM116+AM117+AM118+AM119)</f>
        <v/>
      </c>
      <c r="AN120" s="41">
        <f>MAX(0,AN116+AN117+AN118+AN119)</f>
        <v/>
      </c>
      <c r="AO120" s="41">
        <f>MAX(0,AO116+AO117+AO118+AO119)</f>
        <v/>
      </c>
      <c r="AP120" s="41">
        <f>MAX(0,AP116+AP117+AP118+AP119)</f>
        <v/>
      </c>
      <c r="AQ120" s="41">
        <f>MAX(0,AQ116+AQ117+AQ118+AQ119)</f>
        <v/>
      </c>
      <c r="AR120" s="41">
        <f>MAX(0,AR116+AR117+AR118+AR119)</f>
        <v/>
      </c>
      <c r="AS120" s="41">
        <f>MAX(0,AS116+AS117+AS118+AS119)</f>
        <v/>
      </c>
      <c r="AT120" s="41">
        <f>MAX(0,AT116+AT117+AT118+AT119)</f>
        <v/>
      </c>
      <c r="AU120" s="41">
        <f>MAX(0,AU116+AU117+AU118+AU119)</f>
        <v/>
      </c>
      <c r="AV120" s="41">
        <f>MAX(0,AV116+AV117+AV118+AV119)</f>
        <v/>
      </c>
      <c r="AW120" s="41">
        <f>MAX(0,AW116+AW117+AW118+AW119)</f>
        <v/>
      </c>
      <c r="AX120" s="41">
        <f>MAX(0,AX116+AX117+AX118+AX119)</f>
        <v/>
      </c>
      <c r="AY120" s="41">
        <f>MAX(0,AY116+AY117+AY118+AY119)</f>
        <v/>
      </c>
      <c r="AZ120" s="41">
        <f>MAX(0,AZ116+AZ117+AZ118+AZ119)</f>
        <v/>
      </c>
      <c r="BA120" s="41">
        <f>MAX(0,BA116+BA117+BA118+BA119)</f>
        <v/>
      </c>
      <c r="BB120" s="41">
        <f>MAX(0,BB116+BB117+BB118+BB119)</f>
        <v/>
      </c>
      <c r="BC120" s="41">
        <f>MAX(0,BC116+BC117+BC118+BC119)</f>
        <v/>
      </c>
      <c r="BD120" s="41">
        <f>MAX(0,BD116+BD117+BD118+BD119)</f>
        <v/>
      </c>
      <c r="BE120" s="41">
        <f>MAX(0,BE116+BE117+BE118+BE119)</f>
        <v/>
      </c>
      <c r="BF120" s="41">
        <f>MAX(0,BF116+BF117+BF118+BF119)</f>
        <v/>
      </c>
      <c r="BG120" s="41">
        <f>MAX(0,BG116+BG117+BG118+BG119)</f>
        <v/>
      </c>
      <c r="BH120" s="41">
        <f>MAX(0,BH116+BH117+BH118+BH119)</f>
        <v/>
      </c>
      <c r="BI120" s="41">
        <f>MAX(0,BI116+BI117+BI118+BI119)</f>
        <v/>
      </c>
      <c r="BJ120" s="41">
        <f>MAX(0,BJ116+BJ117+BJ118+BJ119)</f>
        <v/>
      </c>
      <c r="BK120" s="41">
        <f>MAX(0,BK116+BK117+BK118+BK119)</f>
        <v/>
      </c>
      <c r="BL120" s="41">
        <f>MAX(0,BL116+BL117+BL118+BL119)</f>
        <v/>
      </c>
      <c r="BM120" s="41">
        <f>MAX(0,BM116+BM117+BM118+BM119)</f>
        <v/>
      </c>
      <c r="BN120" s="41">
        <f>MAX(0,BN116+BN117+BN118+BN119)</f>
        <v/>
      </c>
      <c r="BO120" s="41">
        <f>MAX(0,BO116+BO117+BO118+BO119)</f>
        <v/>
      </c>
      <c r="BP120" s="41">
        <f>MAX(0,BP116+BP117+BP118+BP119)</f>
        <v/>
      </c>
      <c r="BQ120" s="41">
        <f>MAX(0,BQ116+BQ117+BQ118+BQ119)</f>
        <v/>
      </c>
      <c r="BR120" s="41">
        <f>MAX(0,BR116+BR117+BR118+BR119)</f>
        <v/>
      </c>
      <c r="BS120" s="41">
        <f>MAX(0,BS116+BS117+BS118+BS119)</f>
        <v/>
      </c>
      <c r="BT120" s="41">
        <f>MAX(0,BT116+BT117+BT118+BT119)</f>
        <v/>
      </c>
      <c r="BU120" s="41">
        <f>MAX(0,BU116+BU117+BU118+BU119)</f>
        <v/>
      </c>
      <c r="BV120" s="41">
        <f>MAX(0,BV116+BV117+BV118+BV119)</f>
        <v/>
      </c>
      <c r="BW120" s="41">
        <f>MAX(0,BW116+BW117+BW118+BW119)</f>
        <v/>
      </c>
      <c r="BX120" s="41">
        <f>MAX(0,BX116+BX117+BX118+BX119)</f>
        <v/>
      </c>
      <c r="BY120" s="41">
        <f>MAX(0,BY116+BY117+BY118+BY119)</f>
        <v/>
      </c>
      <c r="BZ120" s="41">
        <f>MAX(0,BZ116+BZ117+BZ118+BZ119)</f>
        <v/>
      </c>
      <c r="CA120" s="41">
        <f>MAX(0,CA116+CA117+CA118+CA119)</f>
        <v/>
      </c>
      <c r="CB120" s="41">
        <f>MAX(0,CB116+CB117+CB118+CB119)</f>
        <v/>
      </c>
      <c r="CC120" s="41">
        <f>MAX(0,CC116+CC117+CC118+CC119)</f>
        <v/>
      </c>
      <c r="CD120" s="41">
        <f>MAX(0,CD116+CD117+CD118+CD119)</f>
        <v/>
      </c>
      <c r="CE120" s="41">
        <f>MAX(0,CE116+CE117+CE118+CE119)</f>
        <v/>
      </c>
      <c r="CF120" s="41">
        <f>MAX(0,CF116+CF117+CF118+CF119)</f>
        <v/>
      </c>
      <c r="CG120" s="41">
        <f>MAX(0,CG116+CG117+CG118+CG119)</f>
        <v/>
      </c>
      <c r="CH120" s="41">
        <f>MAX(0,CH116+CH117+CH118+CH119)</f>
        <v/>
      </c>
      <c r="CI120" s="23" t="n"/>
    </row>
    <row r="121" ht="15" customHeight="1" s="201">
      <c r="A121" s="42" t="inlineStr">
        <is>
          <t>3rd St - Beginning Balance</t>
        </is>
      </c>
      <c r="B121" s="42" t="n"/>
      <c r="C121" s="43">
        <f>IF(Projects!$G$14="Yes",Assumptions!$B$75,0)</f>
        <v/>
      </c>
      <c r="D121" s="43">
        <f>C125</f>
        <v/>
      </c>
      <c r="E121" s="43">
        <f>IF(Projects!$G$14="Yes",D125+176618.1,D125)</f>
        <v/>
      </c>
      <c r="F121" s="43">
        <f>E125</f>
        <v/>
      </c>
      <c r="G121" s="43">
        <f>F125</f>
        <v/>
      </c>
      <c r="H121" s="43">
        <f>IF(Projects!$G$14="Yes",G125+176618.1,G125)</f>
        <v/>
      </c>
      <c r="I121" s="43">
        <f>H125</f>
        <v/>
      </c>
      <c r="J121" s="43">
        <f>I125</f>
        <v/>
      </c>
      <c r="K121" s="43">
        <f>J125</f>
        <v/>
      </c>
      <c r="L121" s="43">
        <f>IF(Projects!$G$14="Yes",K125+88309.05,K125)</f>
        <v/>
      </c>
      <c r="M121" s="43">
        <f>L125</f>
        <v/>
      </c>
      <c r="N121" s="43">
        <f>M125</f>
        <v/>
      </c>
      <c r="O121" s="43">
        <f>N125</f>
        <v/>
      </c>
      <c r="P121" s="43">
        <f>O125</f>
        <v/>
      </c>
      <c r="Q121" s="43">
        <f>IF(Projects!$G$14="Yes",P125+88309.05,P125)</f>
        <v/>
      </c>
      <c r="R121" s="43">
        <f>Q125</f>
        <v/>
      </c>
      <c r="S121" s="43">
        <f>R125</f>
        <v/>
      </c>
      <c r="T121" s="43">
        <f>S125</f>
        <v/>
      </c>
      <c r="U121" s="43">
        <f>T125</f>
        <v/>
      </c>
      <c r="V121" s="43">
        <f>U125</f>
        <v/>
      </c>
      <c r="W121" s="43">
        <f>IF(Projects!$G$14="Yes",V125+88309.05,V125)</f>
        <v/>
      </c>
      <c r="X121" s="43">
        <f>W125</f>
        <v/>
      </c>
      <c r="Y121" s="43">
        <f>X125</f>
        <v/>
      </c>
      <c r="Z121" s="43">
        <f>Y125</f>
        <v/>
      </c>
      <c r="AA121" s="43">
        <f>Z125</f>
        <v/>
      </c>
      <c r="AB121" s="43">
        <f>AA125</f>
        <v/>
      </c>
      <c r="AC121" s="43">
        <f>IF(Projects!$G$14="Yes",AB125+Assumptions!$B$76,AB125)</f>
        <v/>
      </c>
      <c r="AD121" s="43">
        <f>AC125</f>
        <v/>
      </c>
      <c r="AE121" s="43">
        <f>AD125</f>
        <v/>
      </c>
      <c r="AF121" s="43">
        <f>AE125</f>
        <v/>
      </c>
      <c r="AG121" s="43">
        <f>AF125</f>
        <v/>
      </c>
      <c r="AH121" s="43">
        <f>AG125</f>
        <v/>
      </c>
      <c r="AI121" s="43">
        <f>AH125</f>
        <v/>
      </c>
      <c r="AJ121" s="43">
        <f>AI125</f>
        <v/>
      </c>
      <c r="AK121" s="43">
        <f>AJ125</f>
        <v/>
      </c>
      <c r="AL121" s="43">
        <f>AK125</f>
        <v/>
      </c>
      <c r="AM121" s="43">
        <f>AL125</f>
        <v/>
      </c>
      <c r="AN121" s="43">
        <f>AM125</f>
        <v/>
      </c>
      <c r="AO121" s="43">
        <f>AN125</f>
        <v/>
      </c>
      <c r="AP121" s="43">
        <f>AO125</f>
        <v/>
      </c>
      <c r="AQ121" s="43">
        <f>AP125</f>
        <v/>
      </c>
      <c r="AR121" s="43">
        <f>AQ125</f>
        <v/>
      </c>
      <c r="AS121" s="43">
        <f>AR125</f>
        <v/>
      </c>
      <c r="AT121" s="43">
        <f>AS125</f>
        <v/>
      </c>
      <c r="AU121" s="43">
        <f>AT125</f>
        <v/>
      </c>
      <c r="AV121" s="43">
        <f>AU125</f>
        <v/>
      </c>
      <c r="AW121" s="43">
        <f>AV125</f>
        <v/>
      </c>
      <c r="AX121" s="43">
        <f>AW125</f>
        <v/>
      </c>
      <c r="AY121" s="43">
        <f>AX125</f>
        <v/>
      </c>
      <c r="AZ121" s="43">
        <f>AY125</f>
        <v/>
      </c>
      <c r="BA121" s="43">
        <f>AZ125</f>
        <v/>
      </c>
      <c r="BB121" s="43">
        <f>BA125</f>
        <v/>
      </c>
      <c r="BC121" s="43">
        <f>BB125</f>
        <v/>
      </c>
      <c r="BD121" s="43">
        <f>BC125</f>
        <v/>
      </c>
      <c r="BE121" s="43">
        <f>BD125</f>
        <v/>
      </c>
      <c r="BF121" s="43">
        <f>BE125</f>
        <v/>
      </c>
      <c r="BG121" s="43">
        <f>BF125</f>
        <v/>
      </c>
      <c r="BH121" s="43">
        <f>BG125</f>
        <v/>
      </c>
      <c r="BI121" s="43">
        <f>BH125</f>
        <v/>
      </c>
      <c r="BJ121" s="43">
        <f>BI125</f>
        <v/>
      </c>
      <c r="BK121" s="43">
        <f>BJ125</f>
        <v/>
      </c>
      <c r="BL121" s="43">
        <f>BK125</f>
        <v/>
      </c>
      <c r="BM121" s="43">
        <f>BL125</f>
        <v/>
      </c>
      <c r="BN121" s="43">
        <f>BM125</f>
        <v/>
      </c>
      <c r="BO121" s="43">
        <f>BN125</f>
        <v/>
      </c>
      <c r="BP121" s="43">
        <f>BO125</f>
        <v/>
      </c>
      <c r="BQ121" s="43">
        <f>BP125</f>
        <v/>
      </c>
      <c r="BR121" s="43">
        <f>BQ125</f>
        <v/>
      </c>
      <c r="BS121" s="43">
        <f>BR125</f>
        <v/>
      </c>
      <c r="BT121" s="43">
        <f>BS125</f>
        <v/>
      </c>
      <c r="BU121" s="43">
        <f>BT125</f>
        <v/>
      </c>
      <c r="BV121" s="43">
        <f>BU125</f>
        <v/>
      </c>
      <c r="BW121" s="43">
        <f>BV125</f>
        <v/>
      </c>
      <c r="BX121" s="43">
        <f>BW125</f>
        <v/>
      </c>
      <c r="BY121" s="43">
        <f>BX125</f>
        <v/>
      </c>
      <c r="BZ121" s="43">
        <f>BY125</f>
        <v/>
      </c>
      <c r="CA121" s="43">
        <f>BZ125</f>
        <v/>
      </c>
      <c r="CB121" s="43">
        <f>CA125</f>
        <v/>
      </c>
      <c r="CC121" s="43">
        <f>CB125</f>
        <v/>
      </c>
      <c r="CD121" s="43">
        <f>CC125</f>
        <v/>
      </c>
      <c r="CE121" s="43">
        <f>CD125</f>
        <v/>
      </c>
      <c r="CF121" s="43">
        <f>CE125</f>
        <v/>
      </c>
      <c r="CG121" s="43">
        <f>CF125</f>
        <v/>
      </c>
      <c r="CH121" s="43">
        <f>CG125</f>
        <v/>
      </c>
      <c r="CI121" s="23" t="n"/>
    </row>
    <row r="122" ht="15" customHeight="1" s="201">
      <c r="A122" s="42" t="inlineStr">
        <is>
          <t>3rd St - Quarterly Interest</t>
        </is>
      </c>
      <c r="B122" s="42" t="n"/>
      <c r="C122" s="43">
        <f>IF(AND(MOD(1,3)=0,C121&gt;0),C121*Assumptions!$B$59,0)</f>
        <v/>
      </c>
      <c r="D122" s="43">
        <f>IF(AND(MOD(2,3)=0,D121&gt;0),D121*Assumptions!$B$59,0)</f>
        <v/>
      </c>
      <c r="E122" s="43">
        <f>IF(AND(MOD(3,3)=0,E121&gt;0),E121*Assumptions!$B$59,0)</f>
        <v/>
      </c>
      <c r="F122" s="43">
        <f>IF(AND(MOD(4,3)=0,F121&gt;0),F121*Assumptions!$B$59,0)</f>
        <v/>
      </c>
      <c r="G122" s="43">
        <f>IF(AND(MOD(5,3)=0,G121&gt;0),G121*Assumptions!$B$59,0)</f>
        <v/>
      </c>
      <c r="H122" s="43">
        <f>IF(AND(MOD(6,3)=0,H121&gt;0),H121*Assumptions!$B$59,0)</f>
        <v/>
      </c>
      <c r="I122" s="43">
        <f>IF(AND(MOD(7,3)=0,I121&gt;0),I121*Assumptions!$B$59,0)</f>
        <v/>
      </c>
      <c r="J122" s="43">
        <f>IF(AND(MOD(8,3)=0,J121&gt;0),J121*Assumptions!$B$59,0)</f>
        <v/>
      </c>
      <c r="K122" s="43">
        <f>IF(AND(MOD(9,3)=0,K121&gt;0),K121*Assumptions!$B$59,0)</f>
        <v/>
      </c>
      <c r="L122" s="43">
        <f>IF(AND(MOD(10,3)=0,L121&gt;0),L121*Assumptions!$B$59,0)</f>
        <v/>
      </c>
      <c r="M122" s="43">
        <f>IF(AND(MOD(11,3)=0,M121&gt;0),M121*Assumptions!$B$59,0)</f>
        <v/>
      </c>
      <c r="N122" s="43">
        <f>IF(AND(MOD(12,3)=0,N121&gt;0),N121*Assumptions!$B$59,0)</f>
        <v/>
      </c>
      <c r="O122" s="43">
        <f>IF(AND(MOD(13,3)=0,O121&gt;0),O121*Assumptions!$B$59,0)</f>
        <v/>
      </c>
      <c r="P122" s="43">
        <f>IF(AND(MOD(14,3)=0,P121&gt;0),P121*Assumptions!$B$59,0)</f>
        <v/>
      </c>
      <c r="Q122" s="43">
        <f>IF(AND(MOD(15,3)=0,Q121&gt;0),Q121*Assumptions!$B$59,0)</f>
        <v/>
      </c>
      <c r="R122" s="43">
        <f>IF(AND(MOD(16,3)=0,R121&gt;0),R121*Assumptions!$B$59,0)</f>
        <v/>
      </c>
      <c r="S122" s="43">
        <f>IF(AND(MOD(17,3)=0,S121&gt;0),S121*Assumptions!$B$59,0)</f>
        <v/>
      </c>
      <c r="T122" s="43">
        <f>IF(AND(MOD(18,3)=0,T121&gt;0),T121*Assumptions!$B$59,0)</f>
        <v/>
      </c>
      <c r="U122" s="43">
        <f>IF(AND(MOD(19,3)=0,U121&gt;0),U121*Assumptions!$B$59,0)</f>
        <v/>
      </c>
      <c r="V122" s="43">
        <f>IF(AND(MOD(20,3)=0,V121&gt;0),V121*Assumptions!$B$59,0)</f>
        <v/>
      </c>
      <c r="W122" s="43">
        <f>IF(AND(MOD(21,3)=0,W121&gt;0),W121*Assumptions!$B$59,0)</f>
        <v/>
      </c>
      <c r="X122" s="43">
        <f>IF(AND(MOD(22,3)=0,X121&gt;0),X121*Assumptions!$B$59,0)</f>
        <v/>
      </c>
      <c r="Y122" s="43">
        <f>IF(AND(MOD(23,3)=0,Y121&gt;0),Y121*Assumptions!$B$59,0)</f>
        <v/>
      </c>
      <c r="Z122" s="43">
        <f>IF(AND(MOD(24,3)=0,Z121&gt;0),Z121*Assumptions!$B$59,0)</f>
        <v/>
      </c>
      <c r="AA122" s="43">
        <f>IF(AND(MOD(25,3)=0,AA121&gt;0),AA121*Assumptions!$B$59,0)</f>
        <v/>
      </c>
      <c r="AB122" s="43">
        <f>IF(AND(MOD(26,3)=0,AB121&gt;0),AB121*Assumptions!$B$59,0)</f>
        <v/>
      </c>
      <c r="AC122" s="43">
        <f>IF(AND(MOD(27,3)=0,AC121&gt;0),AC121*Assumptions!$B$59,0)</f>
        <v/>
      </c>
      <c r="AD122" s="43">
        <f>IF(AND(MOD(28,3)=0,AD121&gt;0),AD121*Assumptions!$B$59,0)</f>
        <v/>
      </c>
      <c r="AE122" s="43">
        <f>IF(AND(MOD(29,3)=0,AE121&gt;0),AE121*Assumptions!$B$59,0)</f>
        <v/>
      </c>
      <c r="AF122" s="43">
        <f>IF(AND(MOD(30,3)=0,AF121&gt;0),AF121*Assumptions!$B$59,0)</f>
        <v/>
      </c>
      <c r="AG122" s="43">
        <f>IF(AND(MOD(31,3)=0,AG121&gt;0),AG121*Assumptions!$B$59,0)</f>
        <v/>
      </c>
      <c r="AH122" s="43">
        <f>IF(AND(MOD(32,3)=0,AH121&gt;0),AH121*Assumptions!$B$59,0)</f>
        <v/>
      </c>
      <c r="AI122" s="43">
        <f>IF(AND(MOD(33,3)=0,AI121&gt;0),AI121*Assumptions!$B$59,0)</f>
        <v/>
      </c>
      <c r="AJ122" s="43">
        <f>IF(AND(MOD(34,3)=0,AJ121&gt;0),AJ121*Assumptions!$B$59,0)</f>
        <v/>
      </c>
      <c r="AK122" s="43">
        <f>IF(AND(MOD(35,3)=0,AK121&gt;0),AK121*Assumptions!$B$59,0)</f>
        <v/>
      </c>
      <c r="AL122" s="43">
        <f>IF(AND(MOD(36,3)=0,AL121&gt;0),AL121*Assumptions!$B$59,0)</f>
        <v/>
      </c>
      <c r="AM122" s="43">
        <f>IF(AND(MOD(37,3)=0,AM121&gt;0),AM121*Assumptions!$B$59,0)</f>
        <v/>
      </c>
      <c r="AN122" s="43">
        <f>IF(AND(MOD(38,3)=0,AN121&gt;0),AN121*Assumptions!$B$59,0)</f>
        <v/>
      </c>
      <c r="AO122" s="43">
        <f>IF(AND(MOD(39,3)=0,AO121&gt;0),AO121*Assumptions!$B$59,0)</f>
        <v/>
      </c>
      <c r="AP122" s="43">
        <f>IF(AND(MOD(40,3)=0,AP121&gt;0),AP121*Assumptions!$B$59,0)</f>
        <v/>
      </c>
      <c r="AQ122" s="43">
        <f>IF(AND(MOD(41,3)=0,AQ121&gt;0),AQ121*Assumptions!$B$59,0)</f>
        <v/>
      </c>
      <c r="AR122" s="43">
        <f>IF(AND(MOD(42,3)=0,AR121&gt;0),AR121*Assumptions!$B$59,0)</f>
        <v/>
      </c>
      <c r="AS122" s="43">
        <f>IF(AND(MOD(43,3)=0,AS121&gt;0),AS121*Assumptions!$B$59,0)</f>
        <v/>
      </c>
      <c r="AT122" s="43">
        <f>IF(AND(MOD(44,3)=0,AT121&gt;0),AT121*Assumptions!$B$59,0)</f>
        <v/>
      </c>
      <c r="AU122" s="43">
        <f>IF(AND(MOD(45,3)=0,AU121&gt;0),AU121*Assumptions!$B$59,0)</f>
        <v/>
      </c>
      <c r="AV122" s="43">
        <f>IF(AND(MOD(46,3)=0,AV121&gt;0),AV121*Assumptions!$B$59,0)</f>
        <v/>
      </c>
      <c r="AW122" s="43">
        <f>IF(AND(MOD(47,3)=0,AW121&gt;0),AW121*Assumptions!$B$59,0)</f>
        <v/>
      </c>
      <c r="AX122" s="43">
        <f>IF(AND(MOD(48,3)=0,AX121&gt;0),AX121*Assumptions!$B$59,0)</f>
        <v/>
      </c>
      <c r="AY122" s="43">
        <f>IF(AND(MOD(49,3)=0,AY121&gt;0),AY121*Assumptions!$B$59,0)</f>
        <v/>
      </c>
      <c r="AZ122" s="43">
        <f>IF(AND(MOD(50,3)=0,AZ121&gt;0),AZ121*Assumptions!$B$59,0)</f>
        <v/>
      </c>
      <c r="BA122" s="43">
        <f>IF(AND(MOD(51,3)=0,BA121&gt;0),BA121*Assumptions!$B$59,0)</f>
        <v/>
      </c>
      <c r="BB122" s="43">
        <f>IF(AND(MOD(52,3)=0,BB121&gt;0),BB121*Assumptions!$B$59,0)</f>
        <v/>
      </c>
      <c r="BC122" s="43">
        <f>IF(AND(MOD(53,3)=0,BC121&gt;0),BC121*Assumptions!$B$59,0)</f>
        <v/>
      </c>
      <c r="BD122" s="43">
        <f>IF(AND(MOD(54,3)=0,BD121&gt;0),BD121*Assumptions!$B$59,0)</f>
        <v/>
      </c>
      <c r="BE122" s="43">
        <f>IF(AND(MOD(55,3)=0,BE121&gt;0),BE121*Assumptions!$B$59,0)</f>
        <v/>
      </c>
      <c r="BF122" s="43">
        <f>IF(AND(MOD(56,3)=0,BF121&gt;0),BF121*Assumptions!$B$59,0)</f>
        <v/>
      </c>
      <c r="BG122" s="43">
        <f>IF(AND(MOD(57,3)=0,BG121&gt;0),BG121*Assumptions!$B$59,0)</f>
        <v/>
      </c>
      <c r="BH122" s="43">
        <f>IF(AND(MOD(58,3)=0,BH121&gt;0),BH121*Assumptions!$B$59,0)</f>
        <v/>
      </c>
      <c r="BI122" s="43">
        <f>IF(AND(MOD(59,3)=0,BI121&gt;0),BI121*Assumptions!$B$59,0)</f>
        <v/>
      </c>
      <c r="BJ122" s="43">
        <f>IF(AND(MOD(60,3)=0,BJ121&gt;0),BJ121*Assumptions!$B$59,0)</f>
        <v/>
      </c>
      <c r="BK122" s="43">
        <f>IF(AND(MOD(61,3)=0,BK121&gt;0),BK121*Assumptions!$B$59,0)</f>
        <v/>
      </c>
      <c r="BL122" s="43">
        <f>IF(AND(MOD(62,3)=0,BL121&gt;0),BL121*Assumptions!$B$59,0)</f>
        <v/>
      </c>
      <c r="BM122" s="43">
        <f>IF(AND(MOD(63,3)=0,BM121&gt;0),BM121*Assumptions!$B$59,0)</f>
        <v/>
      </c>
      <c r="BN122" s="43">
        <f>IF(AND(MOD(64,3)=0,BN121&gt;0),BN121*Assumptions!$B$59,0)</f>
        <v/>
      </c>
      <c r="BO122" s="43">
        <f>IF(AND(MOD(65,3)=0,BO121&gt;0),BO121*Assumptions!$B$59,0)</f>
        <v/>
      </c>
      <c r="BP122" s="43">
        <f>IF(AND(MOD(66,3)=0,BP121&gt;0),BP121*Assumptions!$B$59,0)</f>
        <v/>
      </c>
      <c r="BQ122" s="43">
        <f>IF(AND(MOD(67,3)=0,BQ121&gt;0),BQ121*Assumptions!$B$59,0)</f>
        <v/>
      </c>
      <c r="BR122" s="43">
        <f>IF(AND(MOD(68,3)=0,BR121&gt;0),BR121*Assumptions!$B$59,0)</f>
        <v/>
      </c>
      <c r="BS122" s="43">
        <f>IF(AND(MOD(69,3)=0,BS121&gt;0),BS121*Assumptions!$B$59,0)</f>
        <v/>
      </c>
      <c r="BT122" s="43">
        <f>IF(AND(MOD(70,3)=0,BT121&gt;0),BT121*Assumptions!$B$59,0)</f>
        <v/>
      </c>
      <c r="BU122" s="43">
        <f>IF(AND(MOD(71,3)=0,BU121&gt;0),BU121*Assumptions!$B$59,0)</f>
        <v/>
      </c>
      <c r="BV122" s="43">
        <f>IF(AND(MOD(72,3)=0,BV121&gt;0),BV121*Assumptions!$B$59,0)</f>
        <v/>
      </c>
      <c r="BW122" s="43">
        <f>IF(AND(MOD(73,3)=0,BW121&gt;0),BW121*Assumptions!$B$59,0)</f>
        <v/>
      </c>
      <c r="BX122" s="43">
        <f>IF(AND(MOD(74,3)=0,BX121&gt;0),BX121*Assumptions!$B$59,0)</f>
        <v/>
      </c>
      <c r="BY122" s="43">
        <f>IF(AND(MOD(75,3)=0,BY121&gt;0),BY121*Assumptions!$B$59,0)</f>
        <v/>
      </c>
      <c r="BZ122" s="43">
        <f>IF(AND(MOD(76,3)=0,BZ121&gt;0),BZ121*Assumptions!$B$59,0)</f>
        <v/>
      </c>
      <c r="CA122" s="43">
        <f>IF(AND(MOD(77,3)=0,CA121&gt;0),CA121*Assumptions!$B$59,0)</f>
        <v/>
      </c>
      <c r="CB122" s="43">
        <f>IF(AND(MOD(78,3)=0,CB121&gt;0),CB121*Assumptions!$B$59,0)</f>
        <v/>
      </c>
      <c r="CC122" s="43">
        <f>IF(AND(MOD(79,3)=0,CC121&gt;0),CC121*Assumptions!$B$59,0)</f>
        <v/>
      </c>
      <c r="CD122" s="43">
        <f>IF(AND(MOD(80,3)=0,CD121&gt;0),CD121*Assumptions!$B$59,0)</f>
        <v/>
      </c>
      <c r="CE122" s="43">
        <f>IF(AND(MOD(81,3)=0,CE121&gt;0),CE121*Assumptions!$B$59,0)</f>
        <v/>
      </c>
      <c r="CF122" s="43">
        <f>IF(AND(MOD(82,3)=0,CF121&gt;0),CF121*Assumptions!$B$59,0)</f>
        <v/>
      </c>
      <c r="CG122" s="43">
        <f>IF(AND(MOD(83,3)=0,CG121&gt;0),CG121*Assumptions!$B$59,0)</f>
        <v/>
      </c>
      <c r="CH122" s="43">
        <f>IF(AND(MOD(84,3)=0,CH121&gt;0),CH121*Assumptions!$B$59,0)</f>
        <v/>
      </c>
      <c r="CI122" s="23" t="n"/>
    </row>
    <row r="123" ht="15" customHeight="1" s="201">
      <c r="A123" s="42" t="inlineStr">
        <is>
          <t>3rd St - Deal Distribution</t>
        </is>
      </c>
      <c r="B123" s="42" t="n"/>
      <c r="C123" s="43" t="n">
        <v>0</v>
      </c>
      <c r="D123" s="43" t="n">
        <v>0</v>
      </c>
      <c r="E123" s="43" t="n">
        <v>0</v>
      </c>
      <c r="F123" s="43" t="n">
        <v>0</v>
      </c>
      <c r="G123" s="43" t="n">
        <v>0</v>
      </c>
      <c r="H123" s="43" t="n">
        <v>0</v>
      </c>
      <c r="I123" s="43" t="n">
        <v>0</v>
      </c>
      <c r="J123" s="43" t="n">
        <v>0</v>
      </c>
      <c r="K123" s="43" t="n">
        <v>0</v>
      </c>
      <c r="L123" s="43" t="n">
        <v>0</v>
      </c>
      <c r="M123" s="43" t="n">
        <v>0</v>
      </c>
      <c r="N123" s="43" t="n">
        <v>0</v>
      </c>
      <c r="O123" s="43" t="n">
        <v>0</v>
      </c>
      <c r="P123" s="43" t="n">
        <v>0</v>
      </c>
      <c r="Q123" s="43" t="n">
        <v>0</v>
      </c>
      <c r="R123" s="43" t="n">
        <v>0</v>
      </c>
      <c r="S123" s="43" t="n">
        <v>0</v>
      </c>
      <c r="T123" s="43" t="n">
        <v>0</v>
      </c>
      <c r="U123" s="43" t="n">
        <v>0</v>
      </c>
      <c r="V123" s="43" t="n">
        <v>0</v>
      </c>
      <c r="W123" s="43" t="n">
        <v>0</v>
      </c>
      <c r="X123" s="43" t="n">
        <v>0</v>
      </c>
      <c r="Y123" s="43" t="n">
        <v>0</v>
      </c>
      <c r="Z123" s="43" t="n">
        <v>0</v>
      </c>
      <c r="AA123" s="43" t="n">
        <v>0</v>
      </c>
      <c r="AB123" s="43" t="n">
        <v>0</v>
      </c>
      <c r="AC123" s="43">
        <f>IF(Projects!$G$14="Yes",Assumptions!$B$77,0)</f>
        <v/>
      </c>
      <c r="AD123" s="43" t="n">
        <v>0</v>
      </c>
      <c r="AE123" s="43" t="n">
        <v>0</v>
      </c>
      <c r="AF123" s="43" t="n">
        <v>0</v>
      </c>
      <c r="AG123" s="43" t="n">
        <v>0</v>
      </c>
      <c r="AH123" s="43" t="n">
        <v>0</v>
      </c>
      <c r="AI123" s="43" t="n">
        <v>0</v>
      </c>
      <c r="AJ123" s="43" t="n">
        <v>0</v>
      </c>
      <c r="AK123" s="43" t="n">
        <v>0</v>
      </c>
      <c r="AL123" s="43" t="n">
        <v>0</v>
      </c>
      <c r="AM123" s="43" t="n">
        <v>0</v>
      </c>
      <c r="AN123" s="43" t="n">
        <v>0</v>
      </c>
      <c r="AO123" s="43" t="n">
        <v>0</v>
      </c>
      <c r="AP123" s="43" t="n">
        <v>0</v>
      </c>
      <c r="AQ123" s="43" t="n">
        <v>0</v>
      </c>
      <c r="AR123" s="43" t="n">
        <v>0</v>
      </c>
      <c r="AS123" s="43" t="n">
        <v>0</v>
      </c>
      <c r="AT123" s="43" t="n">
        <v>0</v>
      </c>
      <c r="AU123" s="43" t="n">
        <v>0</v>
      </c>
      <c r="AV123" s="43" t="n">
        <v>0</v>
      </c>
      <c r="AW123" s="43" t="n">
        <v>0</v>
      </c>
      <c r="AX123" s="43" t="n">
        <v>0</v>
      </c>
      <c r="AY123" s="43" t="n">
        <v>0</v>
      </c>
      <c r="AZ123" s="43" t="n">
        <v>0</v>
      </c>
      <c r="BA123" s="43" t="n">
        <v>0</v>
      </c>
      <c r="BB123" s="43" t="n">
        <v>0</v>
      </c>
      <c r="BC123" s="43" t="n">
        <v>0</v>
      </c>
      <c r="BD123" s="43" t="n">
        <v>0</v>
      </c>
      <c r="BE123" s="43" t="n">
        <v>0</v>
      </c>
      <c r="BF123" s="43" t="n">
        <v>0</v>
      </c>
      <c r="BG123" s="43" t="n">
        <v>0</v>
      </c>
      <c r="BH123" s="43" t="n">
        <v>0</v>
      </c>
      <c r="BI123" s="43" t="n">
        <v>0</v>
      </c>
      <c r="BJ123" s="43" t="n">
        <v>0</v>
      </c>
      <c r="BK123" s="43" t="n">
        <v>0</v>
      </c>
      <c r="BL123" s="43" t="n">
        <v>0</v>
      </c>
      <c r="BM123" s="43" t="n">
        <v>0</v>
      </c>
      <c r="BN123" s="43" t="n">
        <v>0</v>
      </c>
      <c r="BO123" s="43" t="n">
        <v>0</v>
      </c>
      <c r="BP123" s="43" t="n">
        <v>0</v>
      </c>
      <c r="BQ123" s="43" t="n">
        <v>0</v>
      </c>
      <c r="BR123" s="43" t="n">
        <v>0</v>
      </c>
      <c r="BS123" s="43" t="n">
        <v>0</v>
      </c>
      <c r="BT123" s="43" t="n">
        <v>0</v>
      </c>
      <c r="BU123" s="43" t="n">
        <v>0</v>
      </c>
      <c r="BV123" s="43" t="n">
        <v>0</v>
      </c>
      <c r="BW123" s="43" t="n">
        <v>0</v>
      </c>
      <c r="BX123" s="43" t="n">
        <v>0</v>
      </c>
      <c r="BY123" s="43" t="n">
        <v>0</v>
      </c>
      <c r="BZ123" s="43" t="n">
        <v>0</v>
      </c>
      <c r="CA123" s="43" t="n">
        <v>0</v>
      </c>
      <c r="CB123" s="43" t="n">
        <v>0</v>
      </c>
      <c r="CC123" s="43" t="n">
        <v>0</v>
      </c>
      <c r="CD123" s="43" t="n">
        <v>0</v>
      </c>
      <c r="CE123" s="43" t="n">
        <v>0</v>
      </c>
      <c r="CF123" s="43" t="n">
        <v>0</v>
      </c>
      <c r="CG123" s="43" t="n">
        <v>0</v>
      </c>
      <c r="CH123" s="43" t="n">
        <v>0</v>
      </c>
      <c r="CI123" s="23" t="n"/>
    </row>
    <row r="124" ht="15" customHeight="1" s="201">
      <c r="A124" s="44" t="inlineStr">
        <is>
          <t>3rd St - PIK Payment (LIHTC)</t>
        </is>
      </c>
      <c r="B124" s="44" t="n"/>
      <c r="C124" s="45">
        <f>-MIN(C121+C122+C123,MAX(0,C62-Helpers!C26))</f>
        <v/>
      </c>
      <c r="D124" s="45">
        <f>-MIN(D121+D122+D123,MAX(0,D62-Helpers!D26))</f>
        <v/>
      </c>
      <c r="E124" s="45">
        <f>-MIN(E121+E122+E123,MAX(0,E62-Helpers!E26))</f>
        <v/>
      </c>
      <c r="F124" s="45">
        <f>-MIN(F121+F122+F123,MAX(0,F62-Helpers!F26))</f>
        <v/>
      </c>
      <c r="G124" s="45">
        <f>-MIN(G121+G122+G123,MAX(0,G62-Helpers!G26))</f>
        <v/>
      </c>
      <c r="H124" s="45">
        <f>-MIN(H121+H122+H123,MAX(0,H62-Helpers!H26))</f>
        <v/>
      </c>
      <c r="I124" s="45">
        <f>-MIN(I121+I122+I123,MAX(0,I62-Helpers!I26))</f>
        <v/>
      </c>
      <c r="J124" s="45">
        <f>-MIN(J121+J122+J123,MAX(0,J62-Helpers!J26))</f>
        <v/>
      </c>
      <c r="K124" s="45">
        <f>-MIN(K121+K122+K123,MAX(0,K62-Helpers!K26))</f>
        <v/>
      </c>
      <c r="L124" s="45">
        <f>-MIN(L121+L122+L123,MAX(0,L62-Helpers!L26))</f>
        <v/>
      </c>
      <c r="M124" s="45">
        <f>-MIN(M121+M122+M123,MAX(0,M62-Helpers!M26))</f>
        <v/>
      </c>
      <c r="N124" s="45">
        <f>-MIN(N121+N122+N123,MAX(0,N62-Helpers!N26))</f>
        <v/>
      </c>
      <c r="O124" s="45">
        <f>-MIN(O121+O122+O123,MAX(0,O62-Helpers!O26))</f>
        <v/>
      </c>
      <c r="P124" s="45">
        <f>-MIN(P121+P122+P123,MAX(0,P62-Helpers!P26))</f>
        <v/>
      </c>
      <c r="Q124" s="45">
        <f>-MIN(Q121+Q122+Q123,MAX(0,Q62-Helpers!Q26))</f>
        <v/>
      </c>
      <c r="R124" s="45">
        <f>-MIN(R121+R122+R123,MAX(0,R62-Helpers!R26))</f>
        <v/>
      </c>
      <c r="S124" s="45">
        <f>-MIN(S121+S122+S123,MAX(0,S62-Helpers!S26))</f>
        <v/>
      </c>
      <c r="T124" s="45">
        <f>-MIN(T121+T122+T123,MAX(0,T62-Helpers!T26))</f>
        <v/>
      </c>
      <c r="U124" s="45">
        <f>-MIN(U121+U122+U123,MAX(0,U62-Helpers!U26))</f>
        <v/>
      </c>
      <c r="V124" s="45">
        <f>-MIN(V121+V122+V123,MAX(0,V62-Helpers!V26))</f>
        <v/>
      </c>
      <c r="W124" s="45">
        <f>-MIN(W121+W122+W123,MAX(0,W62-Helpers!W26))</f>
        <v/>
      </c>
      <c r="X124" s="45">
        <f>-MIN(X121+X122+X123,MAX(0,X62-Helpers!X26))</f>
        <v/>
      </c>
      <c r="Y124" s="45">
        <f>-MIN(Y121+Y122+Y123,MAX(0,Y62-Helpers!Y26))</f>
        <v/>
      </c>
      <c r="Z124" s="45">
        <f>-MIN(Z121+Z122+Z123,MAX(0,Z62-Helpers!Z26))</f>
        <v/>
      </c>
      <c r="AA124" s="45">
        <f>-MIN(AA121+AA122+AA123,MAX(0,AA62-Helpers!AA26))</f>
        <v/>
      </c>
      <c r="AB124" s="45">
        <f>-MIN(AB121+AB122+AB123,MAX(0,AB62-Helpers!AB26))</f>
        <v/>
      </c>
      <c r="AC124" s="45">
        <f>-MIN(AC121+AC122+AC123,MAX(0,AC62-Helpers!AC26))</f>
        <v/>
      </c>
      <c r="AD124" s="45">
        <f>-MIN(AD121+AD122+AD123,MAX(0,AD62-Helpers!AD26))</f>
        <v/>
      </c>
      <c r="AE124" s="45">
        <f>-MIN(AE121+AE122+AE123,MAX(0,AE62-Helpers!AE26))</f>
        <v/>
      </c>
      <c r="AF124" s="45">
        <f>-MIN(AF121+AF122+AF123,MAX(0,AF62-Helpers!AF26))</f>
        <v/>
      </c>
      <c r="AG124" s="45">
        <f>-MIN(AG121+AG122+AG123,MAX(0,AG62-Helpers!AG26))</f>
        <v/>
      </c>
      <c r="AH124" s="45">
        <f>-MIN(AH121+AH122+AH123,MAX(0,AH62-Helpers!AH26))</f>
        <v/>
      </c>
      <c r="AI124" s="45">
        <f>-MIN(AI121+AI122+AI123,MAX(0,AI62-Helpers!AI26))</f>
        <v/>
      </c>
      <c r="AJ124" s="45">
        <f>-MIN(AJ121+AJ122+AJ123,MAX(0,AJ62-Helpers!AJ26))</f>
        <v/>
      </c>
      <c r="AK124" s="45">
        <f>-MIN(AK121+AK122+AK123,MAX(0,AK62-Helpers!AK26))</f>
        <v/>
      </c>
      <c r="AL124" s="45">
        <f>-MIN(AL121+AL122+AL123,MAX(0,AL62-Helpers!AL26))</f>
        <v/>
      </c>
      <c r="AM124" s="45">
        <f>-MIN(AM121+AM122+AM123,MAX(0,AM62-Helpers!AM26))</f>
        <v/>
      </c>
      <c r="AN124" s="45">
        <f>-MIN(AN121+AN122+AN123,MAX(0,AN62-Helpers!AN26))</f>
        <v/>
      </c>
      <c r="AO124" s="45">
        <f>-MIN(AO121+AO122+AO123,MAX(0,AO62-Helpers!AO26))</f>
        <v/>
      </c>
      <c r="AP124" s="45">
        <f>-MIN(AP121+AP122+AP123,MAX(0,AP62-Helpers!AP26))</f>
        <v/>
      </c>
      <c r="AQ124" s="45">
        <f>-MIN(AQ121+AQ122+AQ123,MAX(0,AQ62-Helpers!AQ26))</f>
        <v/>
      </c>
      <c r="AR124" s="45">
        <f>-MIN(AR121+AR122+AR123,MAX(0,AR62-Helpers!AR26))</f>
        <v/>
      </c>
      <c r="AS124" s="45">
        <f>-MIN(AS121+AS122+AS123,MAX(0,AS62-Helpers!AS26))</f>
        <v/>
      </c>
      <c r="AT124" s="45">
        <f>-MIN(AT121+AT122+AT123,MAX(0,AT62-Helpers!AT26))</f>
        <v/>
      </c>
      <c r="AU124" s="45">
        <f>-MIN(AU121+AU122+AU123,MAX(0,AU62-Helpers!AU26))</f>
        <v/>
      </c>
      <c r="AV124" s="45">
        <f>-MIN(AV121+AV122+AV123,MAX(0,AV62-Helpers!AV26))</f>
        <v/>
      </c>
      <c r="AW124" s="45">
        <f>-MIN(AW121+AW122+AW123,MAX(0,AW62-Helpers!AW26))</f>
        <v/>
      </c>
      <c r="AX124" s="45">
        <f>-MIN(AX121+AX122+AX123,MAX(0,AX62-Helpers!AX26))</f>
        <v/>
      </c>
      <c r="AY124" s="45">
        <f>-MIN(AY121+AY122+AY123,MAX(0,AY62-Helpers!AY26))</f>
        <v/>
      </c>
      <c r="AZ124" s="45">
        <f>-MIN(AZ121+AZ122+AZ123,MAX(0,AZ62-Helpers!AZ26))</f>
        <v/>
      </c>
      <c r="BA124" s="45">
        <f>-MIN(BA121+BA122+BA123,MAX(0,BA62-Helpers!BA26))</f>
        <v/>
      </c>
      <c r="BB124" s="45">
        <f>-MIN(BB121+BB122+BB123,MAX(0,BB62-Helpers!BB26))</f>
        <v/>
      </c>
      <c r="BC124" s="45">
        <f>-MIN(BC121+BC122+BC123,MAX(0,BC62-Helpers!BC26))</f>
        <v/>
      </c>
      <c r="BD124" s="45">
        <f>-MIN(BD121+BD122+BD123,MAX(0,BD62-Helpers!BD26))</f>
        <v/>
      </c>
      <c r="BE124" s="45">
        <f>-MIN(BE121+BE122+BE123,MAX(0,BE62-Helpers!BE26))</f>
        <v/>
      </c>
      <c r="BF124" s="45">
        <f>-MIN(BF121+BF122+BF123,MAX(0,BF62-Helpers!BF26))</f>
        <v/>
      </c>
      <c r="BG124" s="45">
        <f>-MIN(BG121+BG122+BG123,MAX(0,BG62-Helpers!BG26))</f>
        <v/>
      </c>
      <c r="BH124" s="45">
        <f>-MIN(BH121+BH122+BH123,MAX(0,BH62-Helpers!BH26))</f>
        <v/>
      </c>
      <c r="BI124" s="45">
        <f>-MIN(BI121+BI122+BI123,MAX(0,BI62-Helpers!BI26))</f>
        <v/>
      </c>
      <c r="BJ124" s="45">
        <f>-MIN(BJ121+BJ122+BJ123,MAX(0,BJ62-Helpers!BJ26))</f>
        <v/>
      </c>
      <c r="BK124" s="45">
        <f>-MIN(BK121+BK122+BK123,MAX(0,BK62-Helpers!BK26))</f>
        <v/>
      </c>
      <c r="BL124" s="45">
        <f>-MIN(BL121+BL122+BL123,MAX(0,BL62-Helpers!BL26))</f>
        <v/>
      </c>
      <c r="BM124" s="45">
        <f>-MIN(BM121+BM122+BM123,MAX(0,BM62-Helpers!BM26))</f>
        <v/>
      </c>
      <c r="BN124" s="45">
        <f>-MIN(BN121+BN122+BN123,MAX(0,BN62-Helpers!BN26))</f>
        <v/>
      </c>
      <c r="BO124" s="45">
        <f>-MIN(BO121+BO122+BO123,MAX(0,BO62-Helpers!BO26))</f>
        <v/>
      </c>
      <c r="BP124" s="45">
        <f>-MIN(BP121+BP122+BP123,MAX(0,BP62-Helpers!BP26))</f>
        <v/>
      </c>
      <c r="BQ124" s="45">
        <f>-MIN(BQ121+BQ122+BQ123,MAX(0,BQ62-Helpers!BQ26))</f>
        <v/>
      </c>
      <c r="BR124" s="45">
        <f>-MIN(BR121+BR122+BR123,MAX(0,BR62-Helpers!BR26))</f>
        <v/>
      </c>
      <c r="BS124" s="45">
        <f>-MIN(BS121+BS122+BS123,MAX(0,BS62-Helpers!BS26))</f>
        <v/>
      </c>
      <c r="BT124" s="45">
        <f>-MIN(BT121+BT122+BT123,MAX(0,BT62-Helpers!BT26))</f>
        <v/>
      </c>
      <c r="BU124" s="45">
        <f>-MIN(BU121+BU122+BU123,MAX(0,BU62-Helpers!BU26))</f>
        <v/>
      </c>
      <c r="BV124" s="45">
        <f>-MIN(BV121+BV122+BV123,MAX(0,BV62-Helpers!BV26))</f>
        <v/>
      </c>
      <c r="BW124" s="45">
        <f>-MIN(BW121+BW122+BW123,MAX(0,BW62-Helpers!BW26))</f>
        <v/>
      </c>
      <c r="BX124" s="45">
        <f>-MIN(BX121+BX122+BX123,MAX(0,BX62-Helpers!BX26))</f>
        <v/>
      </c>
      <c r="BY124" s="45">
        <f>-MIN(BY121+BY122+BY123,MAX(0,BY62-Helpers!BY26))</f>
        <v/>
      </c>
      <c r="BZ124" s="45">
        <f>-MIN(BZ121+BZ122+BZ123,MAX(0,BZ62-Helpers!BZ26))</f>
        <v/>
      </c>
      <c r="CA124" s="45">
        <f>-MIN(CA121+CA122+CA123,MAX(0,CA62-Helpers!CA26))</f>
        <v/>
      </c>
      <c r="CB124" s="45">
        <f>-MIN(CB121+CB122+CB123,MAX(0,CB62-Helpers!CB26))</f>
        <v/>
      </c>
      <c r="CC124" s="45">
        <f>-MIN(CC121+CC122+CC123,MAX(0,CC62-Helpers!CC26))</f>
        <v/>
      </c>
      <c r="CD124" s="45">
        <f>-MIN(CD121+CD122+CD123,MAX(0,CD62-Helpers!CD26))</f>
        <v/>
      </c>
      <c r="CE124" s="45">
        <f>-MIN(CE121+CE122+CE123,MAX(0,CE62-Helpers!CE26))</f>
        <v/>
      </c>
      <c r="CF124" s="45">
        <f>-MIN(CF121+CF122+CF123,MAX(0,CF62-Helpers!CF26))</f>
        <v/>
      </c>
      <c r="CG124" s="45">
        <f>-MIN(CG121+CG122+CG123,MAX(0,CG62-Helpers!CG26))</f>
        <v/>
      </c>
      <c r="CH124" s="45">
        <f>-MIN(CH121+CH122+CH123,MAX(0,CH62-Helpers!CH26))</f>
        <v/>
      </c>
      <c r="CI124" s="23" t="n"/>
    </row>
    <row r="125" ht="15" customHeight="1" s="201">
      <c r="A125" s="39" t="inlineStr">
        <is>
          <t>3rd St - Ending Balance</t>
        </is>
      </c>
      <c r="B125" s="40" t="n"/>
      <c r="C125" s="41">
        <f>MAX(0,C121+C122+C123+C124)</f>
        <v/>
      </c>
      <c r="D125" s="41">
        <f>MAX(0,D121+D122+D123+D124)</f>
        <v/>
      </c>
      <c r="E125" s="41">
        <f>MAX(0,E121+E122+E123+E124)</f>
        <v/>
      </c>
      <c r="F125" s="41">
        <f>MAX(0,F121+F122+F123+F124)</f>
        <v/>
      </c>
      <c r="G125" s="41">
        <f>MAX(0,G121+G122+G123+G124)</f>
        <v/>
      </c>
      <c r="H125" s="41">
        <f>MAX(0,H121+H122+H123+H124)</f>
        <v/>
      </c>
      <c r="I125" s="41">
        <f>MAX(0,I121+I122+I123+I124)</f>
        <v/>
      </c>
      <c r="J125" s="41">
        <f>MAX(0,J121+J122+J123+J124)</f>
        <v/>
      </c>
      <c r="K125" s="41">
        <f>MAX(0,K121+K122+K123+K124)</f>
        <v/>
      </c>
      <c r="L125" s="41">
        <f>MAX(0,L121+L122+L123+L124)</f>
        <v/>
      </c>
      <c r="M125" s="41">
        <f>MAX(0,M121+M122+M123+M124)</f>
        <v/>
      </c>
      <c r="N125" s="41">
        <f>MAX(0,N121+N122+N123+N124)</f>
        <v/>
      </c>
      <c r="O125" s="41">
        <f>MAX(0,O121+O122+O123+O124)</f>
        <v/>
      </c>
      <c r="P125" s="41">
        <f>MAX(0,P121+P122+P123+P124)</f>
        <v/>
      </c>
      <c r="Q125" s="41">
        <f>MAX(0,Q121+Q122+Q123+Q124)</f>
        <v/>
      </c>
      <c r="R125" s="41">
        <f>MAX(0,R121+R122+R123+R124)</f>
        <v/>
      </c>
      <c r="S125" s="41">
        <f>MAX(0,S121+S122+S123+S124)</f>
        <v/>
      </c>
      <c r="T125" s="41">
        <f>MAX(0,T121+T122+T123+T124)</f>
        <v/>
      </c>
      <c r="U125" s="41">
        <f>MAX(0,U121+U122+U123+U124)</f>
        <v/>
      </c>
      <c r="V125" s="41">
        <f>MAX(0,V121+V122+V123+V124)</f>
        <v/>
      </c>
      <c r="W125" s="41">
        <f>MAX(0,W121+W122+W123+W124)</f>
        <v/>
      </c>
      <c r="X125" s="41">
        <f>MAX(0,X121+X122+X123+X124)</f>
        <v/>
      </c>
      <c r="Y125" s="41">
        <f>MAX(0,Y121+Y122+Y123+Y124)</f>
        <v/>
      </c>
      <c r="Z125" s="41">
        <f>MAX(0,Z121+Z122+Z123+Z124)</f>
        <v/>
      </c>
      <c r="AA125" s="41">
        <f>MAX(0,AA121+AA122+AA123+AA124)</f>
        <v/>
      </c>
      <c r="AB125" s="41">
        <f>MAX(0,AB121+AB122+AB123+AB124)</f>
        <v/>
      </c>
      <c r="AC125" s="41">
        <f>MAX(0,AC121+AC122+AC123+AC124)</f>
        <v/>
      </c>
      <c r="AD125" s="41">
        <f>MAX(0,AD121+AD122+AD123+AD124)</f>
        <v/>
      </c>
      <c r="AE125" s="41">
        <f>MAX(0,AE121+AE122+AE123+AE124)</f>
        <v/>
      </c>
      <c r="AF125" s="41">
        <f>MAX(0,AF121+AF122+AF123+AF124)</f>
        <v/>
      </c>
      <c r="AG125" s="41">
        <f>MAX(0,AG121+AG122+AG123+AG124)</f>
        <v/>
      </c>
      <c r="AH125" s="41">
        <f>MAX(0,AH121+AH122+AH123+AH124)</f>
        <v/>
      </c>
      <c r="AI125" s="41">
        <f>MAX(0,AI121+AI122+AI123+AI124)</f>
        <v/>
      </c>
      <c r="AJ125" s="41">
        <f>MAX(0,AJ121+AJ122+AJ123+AJ124)</f>
        <v/>
      </c>
      <c r="AK125" s="41">
        <f>MAX(0,AK121+AK122+AK123+AK124)</f>
        <v/>
      </c>
      <c r="AL125" s="41">
        <f>MAX(0,AL121+AL122+AL123+AL124)</f>
        <v/>
      </c>
      <c r="AM125" s="41">
        <f>MAX(0,AM121+AM122+AM123+AM124)</f>
        <v/>
      </c>
      <c r="AN125" s="41">
        <f>MAX(0,AN121+AN122+AN123+AN124)</f>
        <v/>
      </c>
      <c r="AO125" s="41">
        <f>MAX(0,AO121+AO122+AO123+AO124)</f>
        <v/>
      </c>
      <c r="AP125" s="41">
        <f>MAX(0,AP121+AP122+AP123+AP124)</f>
        <v/>
      </c>
      <c r="AQ125" s="41">
        <f>MAX(0,AQ121+AQ122+AQ123+AQ124)</f>
        <v/>
      </c>
      <c r="AR125" s="41">
        <f>MAX(0,AR121+AR122+AR123+AR124)</f>
        <v/>
      </c>
      <c r="AS125" s="41">
        <f>MAX(0,AS121+AS122+AS123+AS124)</f>
        <v/>
      </c>
      <c r="AT125" s="41">
        <f>MAX(0,AT121+AT122+AT123+AT124)</f>
        <v/>
      </c>
      <c r="AU125" s="41">
        <f>MAX(0,AU121+AU122+AU123+AU124)</f>
        <v/>
      </c>
      <c r="AV125" s="41">
        <f>MAX(0,AV121+AV122+AV123+AV124)</f>
        <v/>
      </c>
      <c r="AW125" s="41">
        <f>MAX(0,AW121+AW122+AW123+AW124)</f>
        <v/>
      </c>
      <c r="AX125" s="41">
        <f>MAX(0,AX121+AX122+AX123+AX124)</f>
        <v/>
      </c>
      <c r="AY125" s="41">
        <f>MAX(0,AY121+AY122+AY123+AY124)</f>
        <v/>
      </c>
      <c r="AZ125" s="41">
        <f>MAX(0,AZ121+AZ122+AZ123+AZ124)</f>
        <v/>
      </c>
      <c r="BA125" s="41">
        <f>MAX(0,BA121+BA122+BA123+BA124)</f>
        <v/>
      </c>
      <c r="BB125" s="41">
        <f>MAX(0,BB121+BB122+BB123+BB124)</f>
        <v/>
      </c>
      <c r="BC125" s="41">
        <f>MAX(0,BC121+BC122+BC123+BC124)</f>
        <v/>
      </c>
      <c r="BD125" s="41">
        <f>MAX(0,BD121+BD122+BD123+BD124)</f>
        <v/>
      </c>
      <c r="BE125" s="41">
        <f>MAX(0,BE121+BE122+BE123+BE124)</f>
        <v/>
      </c>
      <c r="BF125" s="41">
        <f>MAX(0,BF121+BF122+BF123+BF124)</f>
        <v/>
      </c>
      <c r="BG125" s="41">
        <f>MAX(0,BG121+BG122+BG123+BG124)</f>
        <v/>
      </c>
      <c r="BH125" s="41">
        <f>MAX(0,BH121+BH122+BH123+BH124)</f>
        <v/>
      </c>
      <c r="BI125" s="41">
        <f>MAX(0,BI121+BI122+BI123+BI124)</f>
        <v/>
      </c>
      <c r="BJ125" s="41">
        <f>MAX(0,BJ121+BJ122+BJ123+BJ124)</f>
        <v/>
      </c>
      <c r="BK125" s="41">
        <f>MAX(0,BK121+BK122+BK123+BK124)</f>
        <v/>
      </c>
      <c r="BL125" s="41">
        <f>MAX(0,BL121+BL122+BL123+BL124)</f>
        <v/>
      </c>
      <c r="BM125" s="41">
        <f>MAX(0,BM121+BM122+BM123+BM124)</f>
        <v/>
      </c>
      <c r="BN125" s="41">
        <f>MAX(0,BN121+BN122+BN123+BN124)</f>
        <v/>
      </c>
      <c r="BO125" s="41">
        <f>MAX(0,BO121+BO122+BO123+BO124)</f>
        <v/>
      </c>
      <c r="BP125" s="41">
        <f>MAX(0,BP121+BP122+BP123+BP124)</f>
        <v/>
      </c>
      <c r="BQ125" s="41">
        <f>MAX(0,BQ121+BQ122+BQ123+BQ124)</f>
        <v/>
      </c>
      <c r="BR125" s="41">
        <f>MAX(0,BR121+BR122+BR123+BR124)</f>
        <v/>
      </c>
      <c r="BS125" s="41">
        <f>MAX(0,BS121+BS122+BS123+BS124)</f>
        <v/>
      </c>
      <c r="BT125" s="41">
        <f>MAX(0,BT121+BT122+BT123+BT124)</f>
        <v/>
      </c>
      <c r="BU125" s="41">
        <f>MAX(0,BU121+BU122+BU123+BU124)</f>
        <v/>
      </c>
      <c r="BV125" s="41">
        <f>MAX(0,BV121+BV122+BV123+BV124)</f>
        <v/>
      </c>
      <c r="BW125" s="41">
        <f>MAX(0,BW121+BW122+BW123+BW124)</f>
        <v/>
      </c>
      <c r="BX125" s="41">
        <f>MAX(0,BX121+BX122+BX123+BX124)</f>
        <v/>
      </c>
      <c r="BY125" s="41">
        <f>MAX(0,BY121+BY122+BY123+BY124)</f>
        <v/>
      </c>
      <c r="BZ125" s="41">
        <f>MAX(0,BZ121+BZ122+BZ123+BZ124)</f>
        <v/>
      </c>
      <c r="CA125" s="41">
        <f>MAX(0,CA121+CA122+CA123+CA124)</f>
        <v/>
      </c>
      <c r="CB125" s="41">
        <f>MAX(0,CB121+CB122+CB123+CB124)</f>
        <v/>
      </c>
      <c r="CC125" s="41">
        <f>MAX(0,CC121+CC122+CC123+CC124)</f>
        <v/>
      </c>
      <c r="CD125" s="41">
        <f>MAX(0,CD121+CD122+CD123+CD124)</f>
        <v/>
      </c>
      <c r="CE125" s="41">
        <f>MAX(0,CE121+CE122+CE123+CE124)</f>
        <v/>
      </c>
      <c r="CF125" s="41">
        <f>MAX(0,CF121+CF122+CF123+CF124)</f>
        <v/>
      </c>
      <c r="CG125" s="41">
        <f>MAX(0,CG121+CG122+CG123+CG124)</f>
        <v/>
      </c>
      <c r="CH125" s="41">
        <f>MAX(0,CH121+CH122+CH123+CH124)</f>
        <v/>
      </c>
      <c r="CI125" s="23" t="n"/>
    </row>
    <row r="126" ht="15" customHeight="1" s="201">
      <c r="A126" s="42" t="inlineStr">
        <is>
          <t>Reseda - Beginning Balance</t>
        </is>
      </c>
      <c r="B126" s="42" t="n"/>
      <c r="C126" s="43">
        <f>IF(Projects!$G$13="Yes",Assumptions!$B$71,0)</f>
        <v/>
      </c>
      <c r="D126" s="43">
        <f>C130+IF(AND(Projects!$G$13="Yes",2&lt;=Assumptions!$B$73),Assumptions!$B$72,0)</f>
        <v/>
      </c>
      <c r="E126" s="43">
        <f>D130+IF(AND(Projects!$G$13="Yes",3&lt;=Assumptions!$B$73),Assumptions!$B$72,0)</f>
        <v/>
      </c>
      <c r="F126" s="43">
        <f>E130+IF(AND(Projects!$G$13="Yes",4&lt;=Assumptions!$B$73),Assumptions!$B$72,0)</f>
        <v/>
      </c>
      <c r="G126" s="43">
        <f>F130+IF(AND(Projects!$G$13="Yes",5&lt;=Assumptions!$B$73),Assumptions!$B$72,0)</f>
        <v/>
      </c>
      <c r="H126" s="43">
        <f>G130+IF(AND(Projects!$G$13="Yes",6&lt;=Assumptions!$B$73),Assumptions!$B$72,0)</f>
        <v/>
      </c>
      <c r="I126" s="43">
        <f>H130+IF(AND(Projects!$G$13="Yes",7&lt;=Assumptions!$B$73),Assumptions!$B$72,0)</f>
        <v/>
      </c>
      <c r="J126" s="43">
        <f>I130+IF(AND(Projects!$G$13="Yes",8&lt;=Assumptions!$B$73),Assumptions!$B$72,0)</f>
        <v/>
      </c>
      <c r="K126" s="43">
        <f>J130+IF(AND(Projects!$G$13="Yes",9&lt;=Assumptions!$B$73),Assumptions!$B$72,0)</f>
        <v/>
      </c>
      <c r="L126" s="43">
        <f>K130+IF(AND(Projects!$G$13="Yes",10&lt;=Assumptions!$B$73),Assumptions!$B$72,0)</f>
        <v/>
      </c>
      <c r="M126" s="43">
        <f>L130+IF(AND(Projects!$G$13="Yes",11&lt;=Assumptions!$B$73),Assumptions!$B$72,0)</f>
        <v/>
      </c>
      <c r="N126" s="43">
        <f>M130+IF(AND(Projects!$G$13="Yes",12&lt;=Assumptions!$B$73),Assumptions!$B$72,0)</f>
        <v/>
      </c>
      <c r="O126" s="43">
        <f>N130+IF(AND(Projects!$G$13="Yes",13&lt;=Assumptions!$B$73),Assumptions!$B$72,0)</f>
        <v/>
      </c>
      <c r="P126" s="43">
        <f>O130+IF(AND(Projects!$G$13="Yes",14&lt;=Assumptions!$B$73),Assumptions!$B$72,0)</f>
        <v/>
      </c>
      <c r="Q126" s="43">
        <f>P130+IF(AND(Projects!$G$13="Yes",15&lt;=Assumptions!$B$73),Assumptions!$B$72,0)</f>
        <v/>
      </c>
      <c r="R126" s="43">
        <f>Q130+IF(AND(Projects!$G$13="Yes",16&lt;=Assumptions!$B$73),Assumptions!$B$72,0)</f>
        <v/>
      </c>
      <c r="S126" s="43">
        <f>R130+IF(AND(Projects!$G$13="Yes",17&lt;=Assumptions!$B$73),Assumptions!$B$72,0)</f>
        <v/>
      </c>
      <c r="T126" s="43">
        <f>S130+IF(AND(Projects!$G$13="Yes",18&lt;=Assumptions!$B$73),Assumptions!$B$72,0)</f>
        <v/>
      </c>
      <c r="U126" s="43">
        <f>T130+IF(AND(Projects!$G$13="Yes",19&lt;=Assumptions!$B$73),Assumptions!$B$72,0)</f>
        <v/>
      </c>
      <c r="V126" s="43">
        <f>U130+IF(AND(Projects!$G$13="Yes",20&lt;=Assumptions!$B$73),Assumptions!$B$72,0)</f>
        <v/>
      </c>
      <c r="W126" s="43">
        <f>V130+IF(AND(Projects!$G$13="Yes",21&lt;=Assumptions!$B$73),Assumptions!$B$72,0)</f>
        <v/>
      </c>
      <c r="X126" s="43">
        <f>W130+IF(AND(Projects!$G$13="Yes",22&lt;=Assumptions!$B$73),Assumptions!$B$72,0)</f>
        <v/>
      </c>
      <c r="Y126" s="43">
        <f>X130+IF(AND(Projects!$G$13="Yes",23&lt;=Assumptions!$B$73),Assumptions!$B$72,0)</f>
        <v/>
      </c>
      <c r="Z126" s="43">
        <f>Y130+IF(AND(Projects!$G$13="Yes",24&lt;=Assumptions!$B$73),Assumptions!$B$72,0)</f>
        <v/>
      </c>
      <c r="AA126" s="43">
        <f>Z130+IF(AND(Projects!$G$13="Yes",25&lt;=Assumptions!$B$73),Assumptions!$B$72,0)</f>
        <v/>
      </c>
      <c r="AB126" s="43">
        <f>AA130+IF(AND(Projects!$G$13="Yes",26&lt;=Assumptions!$B$73),Assumptions!$B$72,0)</f>
        <v/>
      </c>
      <c r="AC126" s="43">
        <f>AB130+IF(AND(Projects!$G$13="Yes",27&lt;=Assumptions!$B$73),Assumptions!$B$72,0)</f>
        <v/>
      </c>
      <c r="AD126" s="43">
        <f>AC130+IF(AND(Projects!$G$13="Yes",28&lt;=Assumptions!$B$73),Assumptions!$B$72,0)</f>
        <v/>
      </c>
      <c r="AE126" s="43">
        <f>AD130+IF(AND(Projects!$G$13="Yes",29&lt;=Assumptions!$B$73),Assumptions!$B$72,0)</f>
        <v/>
      </c>
      <c r="AF126" s="43">
        <f>AE130+IF(AND(Projects!$G$13="Yes",30&lt;=Assumptions!$B$73),Assumptions!$B$72,0)</f>
        <v/>
      </c>
      <c r="AG126" s="43">
        <f>AF130+IF(AND(Projects!$G$13="Yes",31&lt;=Assumptions!$B$73),Assumptions!$B$72,0)</f>
        <v/>
      </c>
      <c r="AH126" s="43">
        <f>AG130+IF(AND(Projects!$G$13="Yes",32&lt;=Assumptions!$B$73),Assumptions!$B$72,0)</f>
        <v/>
      </c>
      <c r="AI126" s="43">
        <f>AH130+IF(AND(Projects!$G$13="Yes",33&lt;=Assumptions!$B$73),Assumptions!$B$72,0)</f>
        <v/>
      </c>
      <c r="AJ126" s="43">
        <f>AI130+IF(AND(Projects!$G$13="Yes",34&lt;=Assumptions!$B$73),Assumptions!$B$72,0)</f>
        <v/>
      </c>
      <c r="AK126" s="43">
        <f>AJ130+IF(AND(Projects!$G$13="Yes",35&lt;=Assumptions!$B$73),Assumptions!$B$72,0)</f>
        <v/>
      </c>
      <c r="AL126" s="43">
        <f>AK130+IF(AND(Projects!$G$13="Yes",36&lt;=Assumptions!$B$73),Assumptions!$B$72,0)</f>
        <v/>
      </c>
      <c r="AM126" s="43">
        <f>AL130+IF(AND(Projects!$G$13="Yes",37&lt;=Assumptions!$B$73),Assumptions!$B$72,0)</f>
        <v/>
      </c>
      <c r="AN126" s="43">
        <f>AM130+IF(AND(Projects!$G$13="Yes",38&lt;=Assumptions!$B$73),Assumptions!$B$72,0)</f>
        <v/>
      </c>
      <c r="AO126" s="43">
        <f>AN130+IF(AND(Projects!$G$13="Yes",39&lt;=Assumptions!$B$73),Assumptions!$B$72,0)</f>
        <v/>
      </c>
      <c r="AP126" s="43">
        <f>AO130+IF(AND(Projects!$G$13="Yes",40&lt;=Assumptions!$B$73),Assumptions!$B$72,0)</f>
        <v/>
      </c>
      <c r="AQ126" s="43">
        <f>AP130+IF(AND(Projects!$G$13="Yes",41&lt;=Assumptions!$B$73),Assumptions!$B$72,0)</f>
        <v/>
      </c>
      <c r="AR126" s="43">
        <f>AQ130+IF(AND(Projects!$G$13="Yes",42&lt;=Assumptions!$B$73),Assumptions!$B$72,0)</f>
        <v/>
      </c>
      <c r="AS126" s="43">
        <f>AR130+IF(AND(Projects!$G$13="Yes",43&lt;=Assumptions!$B$73),Assumptions!$B$72,0)</f>
        <v/>
      </c>
      <c r="AT126" s="43">
        <f>AS130+IF(AND(Projects!$G$13="Yes",44&lt;=Assumptions!$B$73),Assumptions!$B$72,0)</f>
        <v/>
      </c>
      <c r="AU126" s="43">
        <f>AT130+IF(AND(Projects!$G$13="Yes",45&lt;=Assumptions!$B$73),Assumptions!$B$72,0)</f>
        <v/>
      </c>
      <c r="AV126" s="43">
        <f>AU130+IF(AND(Projects!$G$13="Yes",46&lt;=Assumptions!$B$73),Assumptions!$B$72,0)</f>
        <v/>
      </c>
      <c r="AW126" s="43">
        <f>AV130+IF(AND(Projects!$G$13="Yes",47&lt;=Assumptions!$B$73),Assumptions!$B$72,0)</f>
        <v/>
      </c>
      <c r="AX126" s="43">
        <f>AW130+IF(AND(Projects!$G$13="Yes",48&lt;=Assumptions!$B$73),Assumptions!$B$72,0)</f>
        <v/>
      </c>
      <c r="AY126" s="43">
        <f>AX130+IF(AND(Projects!$G$13="Yes",49&lt;=Assumptions!$B$73),Assumptions!$B$72,0)</f>
        <v/>
      </c>
      <c r="AZ126" s="43">
        <f>AY130+IF(AND(Projects!$G$13="Yes",50&lt;=Assumptions!$B$73),Assumptions!$B$72,0)</f>
        <v/>
      </c>
      <c r="BA126" s="43">
        <f>AZ130+IF(AND(Projects!$G$13="Yes",51&lt;=Assumptions!$B$73),Assumptions!$B$72,0)</f>
        <v/>
      </c>
      <c r="BB126" s="43">
        <f>BA130+IF(AND(Projects!$G$13="Yes",52&lt;=Assumptions!$B$73),Assumptions!$B$72,0)</f>
        <v/>
      </c>
      <c r="BC126" s="43">
        <f>BB130+IF(AND(Projects!$G$13="Yes",53&lt;=Assumptions!$B$73),Assumptions!$B$72,0)</f>
        <v/>
      </c>
      <c r="BD126" s="43">
        <f>BC130+IF(AND(Projects!$G$13="Yes",54&lt;=Assumptions!$B$73),Assumptions!$B$72,0)</f>
        <v/>
      </c>
      <c r="BE126" s="43">
        <f>BD130+IF(AND(Projects!$G$13="Yes",55&lt;=Assumptions!$B$73),Assumptions!$B$72,0)</f>
        <v/>
      </c>
      <c r="BF126" s="43">
        <f>BE130+IF(AND(Projects!$G$13="Yes",56&lt;=Assumptions!$B$73),Assumptions!$B$72,0)</f>
        <v/>
      </c>
      <c r="BG126" s="43">
        <f>BF130+IF(AND(Projects!$G$13="Yes",57&lt;=Assumptions!$B$73),Assumptions!$B$72,0)</f>
        <v/>
      </c>
      <c r="BH126" s="43">
        <f>BG130+IF(AND(Projects!$G$13="Yes",58&lt;=Assumptions!$B$73),Assumptions!$B$72,0)</f>
        <v/>
      </c>
      <c r="BI126" s="43">
        <f>BH130+IF(AND(Projects!$G$13="Yes",59&lt;=Assumptions!$B$73),Assumptions!$B$72,0)</f>
        <v/>
      </c>
      <c r="BJ126" s="43">
        <f>BI130+IF(AND(Projects!$G$13="Yes",60&lt;=Assumptions!$B$73),Assumptions!$B$72,0)</f>
        <v/>
      </c>
      <c r="BK126" s="43">
        <f>BJ130+IF(AND(Projects!$G$13="Yes",61&lt;=Assumptions!$B$73),Assumptions!$B$72,0)</f>
        <v/>
      </c>
      <c r="BL126" s="43">
        <f>BK130+IF(AND(Projects!$G$13="Yes",62&lt;=Assumptions!$B$73),Assumptions!$B$72,0)</f>
        <v/>
      </c>
      <c r="BM126" s="43">
        <f>BL130+IF(AND(Projects!$G$13="Yes",63&lt;=Assumptions!$B$73),Assumptions!$B$72,0)</f>
        <v/>
      </c>
      <c r="BN126" s="43">
        <f>BM130+IF(AND(Projects!$G$13="Yes",64&lt;=Assumptions!$B$73),Assumptions!$B$72,0)</f>
        <v/>
      </c>
      <c r="BO126" s="43">
        <f>BN130+IF(AND(Projects!$G$13="Yes",65&lt;=Assumptions!$B$73),Assumptions!$B$72,0)</f>
        <v/>
      </c>
      <c r="BP126" s="43">
        <f>BO130+IF(AND(Projects!$G$13="Yes",66&lt;=Assumptions!$B$73),Assumptions!$B$72,0)</f>
        <v/>
      </c>
      <c r="BQ126" s="43">
        <f>BP130+IF(AND(Projects!$G$13="Yes",67&lt;=Assumptions!$B$73),Assumptions!$B$72,0)</f>
        <v/>
      </c>
      <c r="BR126" s="43">
        <f>BQ130+IF(AND(Projects!$G$13="Yes",68&lt;=Assumptions!$B$73),Assumptions!$B$72,0)</f>
        <v/>
      </c>
      <c r="BS126" s="43">
        <f>BR130+IF(AND(Projects!$G$13="Yes",69&lt;=Assumptions!$B$73),Assumptions!$B$72,0)</f>
        <v/>
      </c>
      <c r="BT126" s="43">
        <f>BS130+IF(AND(Projects!$G$13="Yes",70&lt;=Assumptions!$B$73),Assumptions!$B$72,0)</f>
        <v/>
      </c>
      <c r="BU126" s="43">
        <f>BT130+IF(AND(Projects!$G$13="Yes",71&lt;=Assumptions!$B$73),Assumptions!$B$72,0)</f>
        <v/>
      </c>
      <c r="BV126" s="43">
        <f>BU130+IF(AND(Projects!$G$13="Yes",72&lt;=Assumptions!$B$73),Assumptions!$B$72,0)</f>
        <v/>
      </c>
      <c r="BW126" s="43">
        <f>BV130+IF(AND(Projects!$G$13="Yes",73&lt;=Assumptions!$B$73),Assumptions!$B$72,0)</f>
        <v/>
      </c>
      <c r="BX126" s="43">
        <f>BW130+IF(AND(Projects!$G$13="Yes",74&lt;=Assumptions!$B$73),Assumptions!$B$72,0)</f>
        <v/>
      </c>
      <c r="BY126" s="43">
        <f>BX130+IF(AND(Projects!$G$13="Yes",75&lt;=Assumptions!$B$73),Assumptions!$B$72,0)</f>
        <v/>
      </c>
      <c r="BZ126" s="43">
        <f>BY130+IF(AND(Projects!$G$13="Yes",76&lt;=Assumptions!$B$73),Assumptions!$B$72,0)</f>
        <v/>
      </c>
      <c r="CA126" s="43">
        <f>BZ130+IF(AND(Projects!$G$13="Yes",77&lt;=Assumptions!$B$73),Assumptions!$B$72,0)</f>
        <v/>
      </c>
      <c r="CB126" s="43">
        <f>CA130+IF(AND(Projects!$G$13="Yes",78&lt;=Assumptions!$B$73),Assumptions!$B$72,0)</f>
        <v/>
      </c>
      <c r="CC126" s="43">
        <f>CB130+IF(AND(Projects!$G$13="Yes",79&lt;=Assumptions!$B$73),Assumptions!$B$72,0)</f>
        <v/>
      </c>
      <c r="CD126" s="43">
        <f>CC130+IF(AND(Projects!$G$13="Yes",80&lt;=Assumptions!$B$73),Assumptions!$B$72,0)</f>
        <v/>
      </c>
      <c r="CE126" s="43">
        <f>CD130+IF(AND(Projects!$G$13="Yes",81&lt;=Assumptions!$B$73),Assumptions!$B$72,0)</f>
        <v/>
      </c>
      <c r="CF126" s="43">
        <f>CE130+IF(AND(Projects!$G$13="Yes",82&lt;=Assumptions!$B$73),Assumptions!$B$72,0)</f>
        <v/>
      </c>
      <c r="CG126" s="43">
        <f>CF130+IF(AND(Projects!$G$13="Yes",83&lt;=Assumptions!$B$73),Assumptions!$B$72,0)</f>
        <v/>
      </c>
      <c r="CH126" s="43">
        <f>CG130+IF(AND(Projects!$G$13="Yes",84&lt;=Assumptions!$B$73),Assumptions!$B$72,0)</f>
        <v/>
      </c>
      <c r="CI126" s="23" t="n"/>
    </row>
    <row r="127" ht="15" customHeight="1" s="201">
      <c r="A127" s="42" t="inlineStr">
        <is>
          <t>Reseda - Quarterly Interest</t>
        </is>
      </c>
      <c r="B127" s="42" t="n"/>
      <c r="C127" s="43">
        <f>IF(AND(MOD(1,3)=0,C126&gt;0),C126*Assumptions!$B$59,0)</f>
        <v/>
      </c>
      <c r="D127" s="43">
        <f>IF(AND(MOD(2,3)=0,D126&gt;0),D126*Assumptions!$B$59,0)</f>
        <v/>
      </c>
      <c r="E127" s="43">
        <f>IF(AND(MOD(3,3)=0,E126&gt;0),E126*Assumptions!$B$59,0)</f>
        <v/>
      </c>
      <c r="F127" s="43">
        <f>IF(AND(MOD(4,3)=0,F126&gt;0),F126*Assumptions!$B$59,0)</f>
        <v/>
      </c>
      <c r="G127" s="43">
        <f>IF(AND(MOD(5,3)=0,G126&gt;0),G126*Assumptions!$B$59,0)</f>
        <v/>
      </c>
      <c r="H127" s="43">
        <f>IF(AND(MOD(6,3)=0,H126&gt;0),H126*Assumptions!$B$59,0)</f>
        <v/>
      </c>
      <c r="I127" s="43">
        <f>IF(AND(MOD(7,3)=0,I126&gt;0),I126*Assumptions!$B$59,0)</f>
        <v/>
      </c>
      <c r="J127" s="43">
        <f>IF(AND(MOD(8,3)=0,J126&gt;0),J126*Assumptions!$B$59,0)</f>
        <v/>
      </c>
      <c r="K127" s="43">
        <f>IF(AND(MOD(9,3)=0,K126&gt;0),K126*Assumptions!$B$59,0)</f>
        <v/>
      </c>
      <c r="L127" s="43">
        <f>IF(AND(MOD(10,3)=0,L126&gt;0),L126*Assumptions!$B$59,0)</f>
        <v/>
      </c>
      <c r="M127" s="43">
        <f>IF(AND(MOD(11,3)=0,M126&gt;0),M126*Assumptions!$B$59,0)</f>
        <v/>
      </c>
      <c r="N127" s="43">
        <f>IF(AND(MOD(12,3)=0,N126&gt;0),N126*Assumptions!$B$59,0)</f>
        <v/>
      </c>
      <c r="O127" s="43">
        <f>IF(AND(MOD(13,3)=0,O126&gt;0),O126*Assumptions!$B$59,0)</f>
        <v/>
      </c>
      <c r="P127" s="43">
        <f>IF(AND(MOD(14,3)=0,P126&gt;0),P126*Assumptions!$B$59,0)</f>
        <v/>
      </c>
      <c r="Q127" s="43">
        <f>IF(AND(MOD(15,3)=0,Q126&gt;0),Q126*Assumptions!$B$59,0)</f>
        <v/>
      </c>
      <c r="R127" s="43">
        <f>IF(AND(MOD(16,3)=0,R126&gt;0),R126*Assumptions!$B$59,0)</f>
        <v/>
      </c>
      <c r="S127" s="43">
        <f>IF(AND(MOD(17,3)=0,S126&gt;0),S126*Assumptions!$B$59,0)</f>
        <v/>
      </c>
      <c r="T127" s="43">
        <f>IF(AND(MOD(18,3)=0,T126&gt;0),T126*Assumptions!$B$59,0)</f>
        <v/>
      </c>
      <c r="U127" s="43">
        <f>IF(AND(MOD(19,3)=0,U126&gt;0),U126*Assumptions!$B$59,0)</f>
        <v/>
      </c>
      <c r="V127" s="43">
        <f>IF(AND(MOD(20,3)=0,V126&gt;0),V126*Assumptions!$B$59,0)</f>
        <v/>
      </c>
      <c r="W127" s="43">
        <f>IF(AND(MOD(21,3)=0,W126&gt;0),W126*Assumptions!$B$59,0)</f>
        <v/>
      </c>
      <c r="X127" s="43">
        <f>IF(AND(MOD(22,3)=0,X126&gt;0),X126*Assumptions!$B$59,0)</f>
        <v/>
      </c>
      <c r="Y127" s="43">
        <f>IF(AND(MOD(23,3)=0,Y126&gt;0),Y126*Assumptions!$B$59,0)</f>
        <v/>
      </c>
      <c r="Z127" s="43">
        <f>IF(AND(MOD(24,3)=0,Z126&gt;0),Z126*Assumptions!$B$59,0)</f>
        <v/>
      </c>
      <c r="AA127" s="43">
        <f>IF(AND(MOD(25,3)=0,AA126&gt;0),AA126*Assumptions!$B$59,0)</f>
        <v/>
      </c>
      <c r="AB127" s="43">
        <f>IF(AND(MOD(26,3)=0,AB126&gt;0),AB126*Assumptions!$B$59,0)</f>
        <v/>
      </c>
      <c r="AC127" s="43">
        <f>IF(AND(MOD(27,3)=0,AC126&gt;0),AC126*Assumptions!$B$59,0)</f>
        <v/>
      </c>
      <c r="AD127" s="43">
        <f>IF(AND(MOD(28,3)=0,AD126&gt;0),AD126*Assumptions!$B$59,0)</f>
        <v/>
      </c>
      <c r="AE127" s="43">
        <f>IF(AND(MOD(29,3)=0,AE126&gt;0),AE126*Assumptions!$B$59,0)</f>
        <v/>
      </c>
      <c r="AF127" s="43">
        <f>IF(AND(MOD(30,3)=0,AF126&gt;0),AF126*Assumptions!$B$59,0)</f>
        <v/>
      </c>
      <c r="AG127" s="43">
        <f>IF(AND(MOD(31,3)=0,AG126&gt;0),AG126*Assumptions!$B$59,0)</f>
        <v/>
      </c>
      <c r="AH127" s="43">
        <f>IF(AND(MOD(32,3)=0,AH126&gt;0),AH126*Assumptions!$B$59,0)</f>
        <v/>
      </c>
      <c r="AI127" s="43">
        <f>IF(AND(MOD(33,3)=0,AI126&gt;0),AI126*Assumptions!$B$59,0)</f>
        <v/>
      </c>
      <c r="AJ127" s="43">
        <f>IF(AND(MOD(34,3)=0,AJ126&gt;0),AJ126*Assumptions!$B$59,0)</f>
        <v/>
      </c>
      <c r="AK127" s="43">
        <f>IF(AND(MOD(35,3)=0,AK126&gt;0),AK126*Assumptions!$B$59,0)</f>
        <v/>
      </c>
      <c r="AL127" s="43">
        <f>IF(AND(MOD(36,3)=0,AL126&gt;0),AL126*Assumptions!$B$59,0)</f>
        <v/>
      </c>
      <c r="AM127" s="43">
        <f>IF(AND(MOD(37,3)=0,AM126&gt;0),AM126*Assumptions!$B$59,0)</f>
        <v/>
      </c>
      <c r="AN127" s="43">
        <f>IF(AND(MOD(38,3)=0,AN126&gt;0),AN126*Assumptions!$B$59,0)</f>
        <v/>
      </c>
      <c r="AO127" s="43">
        <f>IF(AND(MOD(39,3)=0,AO126&gt;0),AO126*Assumptions!$B$59,0)</f>
        <v/>
      </c>
      <c r="AP127" s="43">
        <f>IF(AND(MOD(40,3)=0,AP126&gt;0),AP126*Assumptions!$B$59,0)</f>
        <v/>
      </c>
      <c r="AQ127" s="43">
        <f>IF(AND(MOD(41,3)=0,AQ126&gt;0),AQ126*Assumptions!$B$59,0)</f>
        <v/>
      </c>
      <c r="AR127" s="43">
        <f>IF(AND(MOD(42,3)=0,AR126&gt;0),AR126*Assumptions!$B$59,0)</f>
        <v/>
      </c>
      <c r="AS127" s="43">
        <f>IF(AND(MOD(43,3)=0,AS126&gt;0),AS126*Assumptions!$B$59,0)</f>
        <v/>
      </c>
      <c r="AT127" s="43">
        <f>IF(AND(MOD(44,3)=0,AT126&gt;0),AT126*Assumptions!$B$59,0)</f>
        <v/>
      </c>
      <c r="AU127" s="43">
        <f>IF(AND(MOD(45,3)=0,AU126&gt;0),AU126*Assumptions!$B$59,0)</f>
        <v/>
      </c>
      <c r="AV127" s="43">
        <f>IF(AND(MOD(46,3)=0,AV126&gt;0),AV126*Assumptions!$B$59,0)</f>
        <v/>
      </c>
      <c r="AW127" s="43">
        <f>IF(AND(MOD(47,3)=0,AW126&gt;0),AW126*Assumptions!$B$59,0)</f>
        <v/>
      </c>
      <c r="AX127" s="43">
        <f>IF(AND(MOD(48,3)=0,AX126&gt;0),AX126*Assumptions!$B$59,0)</f>
        <v/>
      </c>
      <c r="AY127" s="43">
        <f>IF(AND(MOD(49,3)=0,AY126&gt;0),AY126*Assumptions!$B$59,0)</f>
        <v/>
      </c>
      <c r="AZ127" s="43">
        <f>IF(AND(MOD(50,3)=0,AZ126&gt;0),AZ126*Assumptions!$B$59,0)</f>
        <v/>
      </c>
      <c r="BA127" s="43">
        <f>IF(AND(MOD(51,3)=0,BA126&gt;0),BA126*Assumptions!$B$59,0)</f>
        <v/>
      </c>
      <c r="BB127" s="43">
        <f>IF(AND(MOD(52,3)=0,BB126&gt;0),BB126*Assumptions!$B$59,0)</f>
        <v/>
      </c>
      <c r="BC127" s="43">
        <f>IF(AND(MOD(53,3)=0,BC126&gt;0),BC126*Assumptions!$B$59,0)</f>
        <v/>
      </c>
      <c r="BD127" s="43">
        <f>IF(AND(MOD(54,3)=0,BD126&gt;0),BD126*Assumptions!$B$59,0)</f>
        <v/>
      </c>
      <c r="BE127" s="43">
        <f>IF(AND(MOD(55,3)=0,BE126&gt;0),BE126*Assumptions!$B$59,0)</f>
        <v/>
      </c>
      <c r="BF127" s="43">
        <f>IF(AND(MOD(56,3)=0,BF126&gt;0),BF126*Assumptions!$B$59,0)</f>
        <v/>
      </c>
      <c r="BG127" s="43">
        <f>IF(AND(MOD(57,3)=0,BG126&gt;0),BG126*Assumptions!$B$59,0)</f>
        <v/>
      </c>
      <c r="BH127" s="43">
        <f>IF(AND(MOD(58,3)=0,BH126&gt;0),BH126*Assumptions!$B$59,0)</f>
        <v/>
      </c>
      <c r="BI127" s="43">
        <f>IF(AND(MOD(59,3)=0,BI126&gt;0),BI126*Assumptions!$B$59,0)</f>
        <v/>
      </c>
      <c r="BJ127" s="43">
        <f>IF(AND(MOD(60,3)=0,BJ126&gt;0),BJ126*Assumptions!$B$59,0)</f>
        <v/>
      </c>
      <c r="BK127" s="43">
        <f>IF(AND(MOD(61,3)=0,BK126&gt;0),BK126*Assumptions!$B$59,0)</f>
        <v/>
      </c>
      <c r="BL127" s="43">
        <f>IF(AND(MOD(62,3)=0,BL126&gt;0),BL126*Assumptions!$B$59,0)</f>
        <v/>
      </c>
      <c r="BM127" s="43">
        <f>IF(AND(MOD(63,3)=0,BM126&gt;0),BM126*Assumptions!$B$59,0)</f>
        <v/>
      </c>
      <c r="BN127" s="43">
        <f>IF(AND(MOD(64,3)=0,BN126&gt;0),BN126*Assumptions!$B$59,0)</f>
        <v/>
      </c>
      <c r="BO127" s="43">
        <f>IF(AND(MOD(65,3)=0,BO126&gt;0),BO126*Assumptions!$B$59,0)</f>
        <v/>
      </c>
      <c r="BP127" s="43">
        <f>IF(AND(MOD(66,3)=0,BP126&gt;0),BP126*Assumptions!$B$59,0)</f>
        <v/>
      </c>
      <c r="BQ127" s="43">
        <f>IF(AND(MOD(67,3)=0,BQ126&gt;0),BQ126*Assumptions!$B$59,0)</f>
        <v/>
      </c>
      <c r="BR127" s="43">
        <f>IF(AND(MOD(68,3)=0,BR126&gt;0),BR126*Assumptions!$B$59,0)</f>
        <v/>
      </c>
      <c r="BS127" s="43">
        <f>IF(AND(MOD(69,3)=0,BS126&gt;0),BS126*Assumptions!$B$59,0)</f>
        <v/>
      </c>
      <c r="BT127" s="43">
        <f>IF(AND(MOD(70,3)=0,BT126&gt;0),BT126*Assumptions!$B$59,0)</f>
        <v/>
      </c>
      <c r="BU127" s="43">
        <f>IF(AND(MOD(71,3)=0,BU126&gt;0),BU126*Assumptions!$B$59,0)</f>
        <v/>
      </c>
      <c r="BV127" s="43">
        <f>IF(AND(MOD(72,3)=0,BV126&gt;0),BV126*Assumptions!$B$59,0)</f>
        <v/>
      </c>
      <c r="BW127" s="43">
        <f>IF(AND(MOD(73,3)=0,BW126&gt;0),BW126*Assumptions!$B$59,0)</f>
        <v/>
      </c>
      <c r="BX127" s="43">
        <f>IF(AND(MOD(74,3)=0,BX126&gt;0),BX126*Assumptions!$B$59,0)</f>
        <v/>
      </c>
      <c r="BY127" s="43">
        <f>IF(AND(MOD(75,3)=0,BY126&gt;0),BY126*Assumptions!$B$59,0)</f>
        <v/>
      </c>
      <c r="BZ127" s="43">
        <f>IF(AND(MOD(76,3)=0,BZ126&gt;0),BZ126*Assumptions!$B$59,0)</f>
        <v/>
      </c>
      <c r="CA127" s="43">
        <f>IF(AND(MOD(77,3)=0,CA126&gt;0),CA126*Assumptions!$B$59,0)</f>
        <v/>
      </c>
      <c r="CB127" s="43">
        <f>IF(AND(MOD(78,3)=0,CB126&gt;0),CB126*Assumptions!$B$59,0)</f>
        <v/>
      </c>
      <c r="CC127" s="43">
        <f>IF(AND(MOD(79,3)=0,CC126&gt;0),CC126*Assumptions!$B$59,0)</f>
        <v/>
      </c>
      <c r="CD127" s="43">
        <f>IF(AND(MOD(80,3)=0,CD126&gt;0),CD126*Assumptions!$B$59,0)</f>
        <v/>
      </c>
      <c r="CE127" s="43">
        <f>IF(AND(MOD(81,3)=0,CE126&gt;0),CE126*Assumptions!$B$59,0)</f>
        <v/>
      </c>
      <c r="CF127" s="43">
        <f>IF(AND(MOD(82,3)=0,CF126&gt;0),CF126*Assumptions!$B$59,0)</f>
        <v/>
      </c>
      <c r="CG127" s="43">
        <f>IF(AND(MOD(83,3)=0,CG126&gt;0),CG126*Assumptions!$B$59,0)</f>
        <v/>
      </c>
      <c r="CH127" s="43">
        <f>IF(AND(MOD(84,3)=0,CH126&gt;0),CH126*Assumptions!$B$59,0)</f>
        <v/>
      </c>
      <c r="CI127" s="23" t="n"/>
    </row>
    <row r="128" ht="15" customHeight="1" s="201">
      <c r="A128" s="42" t="inlineStr">
        <is>
          <t>Reseda - Deal Distribution</t>
        </is>
      </c>
      <c r="B128" s="42" t="n"/>
      <c r="C128" s="43" t="n">
        <v>0</v>
      </c>
      <c r="D128" s="43" t="n">
        <v>0</v>
      </c>
      <c r="E128" s="43" t="n">
        <v>0</v>
      </c>
      <c r="F128" s="43" t="n">
        <v>0</v>
      </c>
      <c r="G128" s="43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0</v>
      </c>
      <c r="M128" s="43" t="n">
        <v>0</v>
      </c>
      <c r="N128" s="43" t="n">
        <v>0</v>
      </c>
      <c r="O128" s="43">
        <f>IF(Projects!$G$13="Yes",Assumptions!$B$74,0)</f>
        <v/>
      </c>
      <c r="P128" s="43" t="n">
        <v>0</v>
      </c>
      <c r="Q128" s="43" t="n">
        <v>0</v>
      </c>
      <c r="R128" s="43" t="n">
        <v>0</v>
      </c>
      <c r="S128" s="43" t="n">
        <v>0</v>
      </c>
      <c r="T128" s="43" t="n">
        <v>0</v>
      </c>
      <c r="U128" s="43" t="n">
        <v>0</v>
      </c>
      <c r="V128" s="43" t="n">
        <v>0</v>
      </c>
      <c r="W128" s="43" t="n">
        <v>0</v>
      </c>
      <c r="X128" s="43" t="n">
        <v>0</v>
      </c>
      <c r="Y128" s="43" t="n">
        <v>0</v>
      </c>
      <c r="Z128" s="43" t="n">
        <v>0</v>
      </c>
      <c r="AA128" s="43" t="n">
        <v>0</v>
      </c>
      <c r="AB128" s="43" t="n">
        <v>0</v>
      </c>
      <c r="AC128" s="43" t="n">
        <v>0</v>
      </c>
      <c r="AD128" s="43" t="n">
        <v>0</v>
      </c>
      <c r="AE128" s="43" t="n">
        <v>0</v>
      </c>
      <c r="AF128" s="43" t="n">
        <v>0</v>
      </c>
      <c r="AG128" s="43" t="n">
        <v>0</v>
      </c>
      <c r="AH128" s="43" t="n">
        <v>0</v>
      </c>
      <c r="AI128" s="43" t="n">
        <v>0</v>
      </c>
      <c r="AJ128" s="43" t="n">
        <v>0</v>
      </c>
      <c r="AK128" s="43" t="n">
        <v>0</v>
      </c>
      <c r="AL128" s="43" t="n">
        <v>0</v>
      </c>
      <c r="AM128" s="43" t="n">
        <v>0</v>
      </c>
      <c r="AN128" s="43" t="n">
        <v>0</v>
      </c>
      <c r="AO128" s="43" t="n">
        <v>0</v>
      </c>
      <c r="AP128" s="43" t="n">
        <v>0</v>
      </c>
      <c r="AQ128" s="43" t="n">
        <v>0</v>
      </c>
      <c r="AR128" s="43" t="n">
        <v>0</v>
      </c>
      <c r="AS128" s="43" t="n">
        <v>0</v>
      </c>
      <c r="AT128" s="43" t="n">
        <v>0</v>
      </c>
      <c r="AU128" s="43" t="n">
        <v>0</v>
      </c>
      <c r="AV128" s="43" t="n">
        <v>0</v>
      </c>
      <c r="AW128" s="43" t="n">
        <v>0</v>
      </c>
      <c r="AX128" s="43" t="n">
        <v>0</v>
      </c>
      <c r="AY128" s="43" t="n">
        <v>0</v>
      </c>
      <c r="AZ128" s="43" t="n">
        <v>0</v>
      </c>
      <c r="BA128" s="43" t="n">
        <v>0</v>
      </c>
      <c r="BB128" s="43" t="n">
        <v>0</v>
      </c>
      <c r="BC128" s="43" t="n">
        <v>0</v>
      </c>
      <c r="BD128" s="43" t="n">
        <v>0</v>
      </c>
      <c r="BE128" s="43" t="n">
        <v>0</v>
      </c>
      <c r="BF128" s="43" t="n">
        <v>0</v>
      </c>
      <c r="BG128" s="43" t="n">
        <v>0</v>
      </c>
      <c r="BH128" s="43" t="n">
        <v>0</v>
      </c>
      <c r="BI128" s="43" t="n">
        <v>0</v>
      </c>
      <c r="BJ128" s="43" t="n">
        <v>0</v>
      </c>
      <c r="BK128" s="43" t="n">
        <v>0</v>
      </c>
      <c r="BL128" s="43" t="n">
        <v>0</v>
      </c>
      <c r="BM128" s="43" t="n">
        <v>0</v>
      </c>
      <c r="BN128" s="43" t="n">
        <v>0</v>
      </c>
      <c r="BO128" s="43" t="n">
        <v>0</v>
      </c>
      <c r="BP128" s="43" t="n">
        <v>0</v>
      </c>
      <c r="BQ128" s="43" t="n">
        <v>0</v>
      </c>
      <c r="BR128" s="43" t="n">
        <v>0</v>
      </c>
      <c r="BS128" s="43" t="n">
        <v>0</v>
      </c>
      <c r="BT128" s="43" t="n">
        <v>0</v>
      </c>
      <c r="BU128" s="43" t="n">
        <v>0</v>
      </c>
      <c r="BV128" s="43" t="n">
        <v>0</v>
      </c>
      <c r="BW128" s="43" t="n">
        <v>0</v>
      </c>
      <c r="BX128" s="43" t="n">
        <v>0</v>
      </c>
      <c r="BY128" s="43" t="n">
        <v>0</v>
      </c>
      <c r="BZ128" s="43" t="n">
        <v>0</v>
      </c>
      <c r="CA128" s="43" t="n">
        <v>0</v>
      </c>
      <c r="CB128" s="43" t="n">
        <v>0</v>
      </c>
      <c r="CC128" s="43" t="n">
        <v>0</v>
      </c>
      <c r="CD128" s="43" t="n">
        <v>0</v>
      </c>
      <c r="CE128" s="43" t="n">
        <v>0</v>
      </c>
      <c r="CF128" s="43" t="n">
        <v>0</v>
      </c>
      <c r="CG128" s="43" t="n">
        <v>0</v>
      </c>
      <c r="CH128" s="43" t="n">
        <v>0</v>
      </c>
      <c r="CI128" s="23" t="n"/>
    </row>
    <row r="129" ht="15" customHeight="1" s="201">
      <c r="A129" s="44" t="inlineStr">
        <is>
          <t>Reseda - PIK Payment (LIHTC)</t>
        </is>
      </c>
      <c r="B129" s="44" t="n"/>
      <c r="C129" s="45">
        <f>-MIN(C126+C127+C128,MAX(0,C61-Helpers!C23))</f>
        <v/>
      </c>
      <c r="D129" s="45">
        <f>-MIN(D126+D127+D128,MAX(0,D61-Helpers!D23))</f>
        <v/>
      </c>
      <c r="E129" s="45">
        <f>-MIN(E126+E127+E128,MAX(0,E61-Helpers!E23))</f>
        <v/>
      </c>
      <c r="F129" s="45">
        <f>-MIN(F126+F127+F128,MAX(0,F61-Helpers!F23))</f>
        <v/>
      </c>
      <c r="G129" s="45">
        <f>-MIN(G126+G127+G128,MAX(0,G61-Helpers!G23))</f>
        <v/>
      </c>
      <c r="H129" s="45">
        <f>-MIN(H126+H127+H128,MAX(0,H61-Helpers!H23))</f>
        <v/>
      </c>
      <c r="I129" s="45">
        <f>-MIN(I126+I127+I128,MAX(0,I61-Helpers!I23))</f>
        <v/>
      </c>
      <c r="J129" s="45">
        <f>-MIN(J126+J127+J128,MAX(0,J61-Helpers!J23))</f>
        <v/>
      </c>
      <c r="K129" s="45">
        <f>-MIN(K126+K127+K128,MAX(0,K61-Helpers!K23))</f>
        <v/>
      </c>
      <c r="L129" s="45">
        <f>-MIN(L126+L127+L128,MAX(0,L61-Helpers!L23))</f>
        <v/>
      </c>
      <c r="M129" s="45">
        <f>-MIN(M126+M127+M128,MAX(0,M61-Helpers!M23))</f>
        <v/>
      </c>
      <c r="N129" s="45">
        <f>-MIN(N126+N127+N128,MAX(0,N61-Helpers!N23))</f>
        <v/>
      </c>
      <c r="O129" s="45">
        <f>-MIN(O126+O127+O128,MAX(0,O61-Helpers!O23))</f>
        <v/>
      </c>
      <c r="P129" s="45">
        <f>-MIN(P126+P127+P128,MAX(0,P61-Helpers!P23))</f>
        <v/>
      </c>
      <c r="Q129" s="45">
        <f>-MIN(Q126+Q127+Q128,MAX(0,Q61-Helpers!Q23))</f>
        <v/>
      </c>
      <c r="R129" s="45">
        <f>-MIN(R126+R127+R128,MAX(0,R61-Helpers!R23))</f>
        <v/>
      </c>
      <c r="S129" s="45">
        <f>-MIN(S126+S127+S128,MAX(0,S61-Helpers!S23))</f>
        <v/>
      </c>
      <c r="T129" s="45">
        <f>-MIN(T126+T127+T128,MAX(0,T61-Helpers!T23))</f>
        <v/>
      </c>
      <c r="U129" s="45">
        <f>-MIN(U126+U127+U128,MAX(0,U61-Helpers!U23))</f>
        <v/>
      </c>
      <c r="V129" s="45">
        <f>-MIN(V126+V127+V128,MAX(0,V61-Helpers!V23))</f>
        <v/>
      </c>
      <c r="W129" s="45">
        <f>-MIN(W126+W127+W128,MAX(0,W61-Helpers!W23))</f>
        <v/>
      </c>
      <c r="X129" s="45">
        <f>-MIN(X126+X127+X128,MAX(0,X61-Helpers!X23))</f>
        <v/>
      </c>
      <c r="Y129" s="45">
        <f>-MIN(Y126+Y127+Y128,MAX(0,Y61-Helpers!Y23))</f>
        <v/>
      </c>
      <c r="Z129" s="45">
        <f>-MIN(Z126+Z127+Z128,MAX(0,Z61-Helpers!Z23))</f>
        <v/>
      </c>
      <c r="AA129" s="45">
        <f>-MIN(AA126+AA127+AA128,MAX(0,AA61-Helpers!AA23))</f>
        <v/>
      </c>
      <c r="AB129" s="45">
        <f>-MIN(AB126+AB127+AB128,MAX(0,AB61-Helpers!AB23))</f>
        <v/>
      </c>
      <c r="AC129" s="45">
        <f>-MIN(AC126+AC127+AC128,MAX(0,AC61-Helpers!AC23))</f>
        <v/>
      </c>
      <c r="AD129" s="45">
        <f>-MIN(AD126+AD127+AD128,MAX(0,AD61-Helpers!AD23))</f>
        <v/>
      </c>
      <c r="AE129" s="45">
        <f>-MIN(AE126+AE127+AE128,MAX(0,AE61-Helpers!AE23))</f>
        <v/>
      </c>
      <c r="AF129" s="45">
        <f>-MIN(AF126+AF127+AF128,MAX(0,AF61-Helpers!AF23))</f>
        <v/>
      </c>
      <c r="AG129" s="45">
        <f>-MIN(AG126+AG127+AG128,MAX(0,AG61-Helpers!AG23))</f>
        <v/>
      </c>
      <c r="AH129" s="45">
        <f>-MIN(AH126+AH127+AH128,MAX(0,AH61-Helpers!AH23))</f>
        <v/>
      </c>
      <c r="AI129" s="45">
        <f>-MIN(AI126+AI127+AI128,MAX(0,AI61-Helpers!AI23))</f>
        <v/>
      </c>
      <c r="AJ129" s="45">
        <f>-MIN(AJ126+AJ127+AJ128,MAX(0,AJ61-Helpers!AJ23))</f>
        <v/>
      </c>
      <c r="AK129" s="45">
        <f>-MIN(AK126+AK127+AK128,MAX(0,AK61-Helpers!AK23))</f>
        <v/>
      </c>
      <c r="AL129" s="45">
        <f>-MIN(AL126+AL127+AL128,MAX(0,AL61-Helpers!AL23))</f>
        <v/>
      </c>
      <c r="AM129" s="45">
        <f>-MIN(AM126+AM127+AM128,MAX(0,AM61-Helpers!AM23))</f>
        <v/>
      </c>
      <c r="AN129" s="45">
        <f>-MIN(AN126+AN127+AN128,MAX(0,AN61-Helpers!AN23))</f>
        <v/>
      </c>
      <c r="AO129" s="45">
        <f>-MIN(AO126+AO127+AO128,MAX(0,AO61-Helpers!AO23))</f>
        <v/>
      </c>
      <c r="AP129" s="45">
        <f>-MIN(AP126+AP127+AP128,MAX(0,AP61-Helpers!AP23))</f>
        <v/>
      </c>
      <c r="AQ129" s="45">
        <f>-MIN(AQ126+AQ127+AQ128,MAX(0,AQ61-Helpers!AQ23))</f>
        <v/>
      </c>
      <c r="AR129" s="45">
        <f>-MIN(AR126+AR127+AR128,MAX(0,AR61-Helpers!AR23))</f>
        <v/>
      </c>
      <c r="AS129" s="45">
        <f>-MIN(AS126+AS127+AS128,MAX(0,AS61-Helpers!AS23))</f>
        <v/>
      </c>
      <c r="AT129" s="45">
        <f>-MIN(AT126+AT127+AT128,MAX(0,AT61-Helpers!AT23))</f>
        <v/>
      </c>
      <c r="AU129" s="45">
        <f>-MIN(AU126+AU127+AU128,MAX(0,AU61-Helpers!AU23))</f>
        <v/>
      </c>
      <c r="AV129" s="45">
        <f>-MIN(AV126+AV127+AV128,MAX(0,AV61-Helpers!AV23))</f>
        <v/>
      </c>
      <c r="AW129" s="45">
        <f>-MIN(AW126+AW127+AW128,MAX(0,AW61-Helpers!AW23))</f>
        <v/>
      </c>
      <c r="AX129" s="45">
        <f>-MIN(AX126+AX127+AX128,MAX(0,AX61-Helpers!AX23))</f>
        <v/>
      </c>
      <c r="AY129" s="45">
        <f>-MIN(AY126+AY127+AY128,MAX(0,AY61-Helpers!AY23))</f>
        <v/>
      </c>
      <c r="AZ129" s="45">
        <f>-MIN(AZ126+AZ127+AZ128,MAX(0,AZ61-Helpers!AZ23))</f>
        <v/>
      </c>
      <c r="BA129" s="45">
        <f>-MIN(BA126+BA127+BA128,MAX(0,BA61-Helpers!BA23))</f>
        <v/>
      </c>
      <c r="BB129" s="45">
        <f>-MIN(BB126+BB127+BB128,MAX(0,BB61-Helpers!BB23))</f>
        <v/>
      </c>
      <c r="BC129" s="45">
        <f>-MIN(BC126+BC127+BC128,MAX(0,BC61-Helpers!BC23))</f>
        <v/>
      </c>
      <c r="BD129" s="45">
        <f>-MIN(BD126+BD127+BD128,MAX(0,BD61-Helpers!BD23))</f>
        <v/>
      </c>
      <c r="BE129" s="45">
        <f>-MIN(BE126+BE127+BE128,MAX(0,BE61-Helpers!BE23))</f>
        <v/>
      </c>
      <c r="BF129" s="45">
        <f>-MIN(BF126+BF127+BF128,MAX(0,BF61-Helpers!BF23))</f>
        <v/>
      </c>
      <c r="BG129" s="45">
        <f>-MIN(BG126+BG127+BG128,MAX(0,BG61-Helpers!BG23))</f>
        <v/>
      </c>
      <c r="BH129" s="45">
        <f>-MIN(BH126+BH127+BH128,MAX(0,BH61-Helpers!BH23))</f>
        <v/>
      </c>
      <c r="BI129" s="45">
        <f>-MIN(BI126+BI127+BI128,MAX(0,BI61-Helpers!BI23))</f>
        <v/>
      </c>
      <c r="BJ129" s="45">
        <f>-MIN(BJ126+BJ127+BJ128,MAX(0,BJ61-Helpers!BJ23))</f>
        <v/>
      </c>
      <c r="BK129" s="45">
        <f>-MIN(BK126+BK127+BK128,MAX(0,BK61-Helpers!BK23))</f>
        <v/>
      </c>
      <c r="BL129" s="45">
        <f>-MIN(BL126+BL127+BL128,MAX(0,BL61-Helpers!BL23))</f>
        <v/>
      </c>
      <c r="BM129" s="45">
        <f>-MIN(BM126+BM127+BM128,MAX(0,BM61-Helpers!BM23))</f>
        <v/>
      </c>
      <c r="BN129" s="45">
        <f>-MIN(BN126+BN127+BN128,MAX(0,BN61-Helpers!BN23))</f>
        <v/>
      </c>
      <c r="BO129" s="45">
        <f>-MIN(BO126+BO127+BO128,MAX(0,BO61-Helpers!BO23))</f>
        <v/>
      </c>
      <c r="BP129" s="45">
        <f>-MIN(BP126+BP127+BP128,MAX(0,BP61-Helpers!BP23))</f>
        <v/>
      </c>
      <c r="BQ129" s="45">
        <f>-MIN(BQ126+BQ127+BQ128,MAX(0,BQ61-Helpers!BQ23))</f>
        <v/>
      </c>
      <c r="BR129" s="45">
        <f>-MIN(BR126+BR127+BR128,MAX(0,BR61-Helpers!BR23))</f>
        <v/>
      </c>
      <c r="BS129" s="45">
        <f>-MIN(BS126+BS127+BS128,MAX(0,BS61-Helpers!BS23))</f>
        <v/>
      </c>
      <c r="BT129" s="45">
        <f>-MIN(BT126+BT127+BT128,MAX(0,BT61-Helpers!BT23))</f>
        <v/>
      </c>
      <c r="BU129" s="45">
        <f>-MIN(BU126+BU127+BU128,MAX(0,BU61-Helpers!BU23))</f>
        <v/>
      </c>
      <c r="BV129" s="45">
        <f>-MIN(BV126+BV127+BV128,MAX(0,BV61-Helpers!BV23))</f>
        <v/>
      </c>
      <c r="BW129" s="45">
        <f>-MIN(BW126+BW127+BW128,MAX(0,BW61-Helpers!BW23))</f>
        <v/>
      </c>
      <c r="BX129" s="45">
        <f>-MIN(BX126+BX127+BX128,MAX(0,BX61-Helpers!BX23))</f>
        <v/>
      </c>
      <c r="BY129" s="45">
        <f>-MIN(BY126+BY127+BY128,MAX(0,BY61-Helpers!BY23))</f>
        <v/>
      </c>
      <c r="BZ129" s="45">
        <f>-MIN(BZ126+BZ127+BZ128,MAX(0,BZ61-Helpers!BZ23))</f>
        <v/>
      </c>
      <c r="CA129" s="45">
        <f>-MIN(CA126+CA127+CA128,MAX(0,CA61-Helpers!CA23))</f>
        <v/>
      </c>
      <c r="CB129" s="45">
        <f>-MIN(CB126+CB127+CB128,MAX(0,CB61-Helpers!CB23))</f>
        <v/>
      </c>
      <c r="CC129" s="45">
        <f>-MIN(CC126+CC127+CC128,MAX(0,CC61-Helpers!CC23))</f>
        <v/>
      </c>
      <c r="CD129" s="45">
        <f>-MIN(CD126+CD127+CD128,MAX(0,CD61-Helpers!CD23))</f>
        <v/>
      </c>
      <c r="CE129" s="45">
        <f>-MIN(CE126+CE127+CE128,MAX(0,CE61-Helpers!CE23))</f>
        <v/>
      </c>
      <c r="CF129" s="45">
        <f>-MIN(CF126+CF127+CF128,MAX(0,CF61-Helpers!CF23))</f>
        <v/>
      </c>
      <c r="CG129" s="45">
        <f>-MIN(CG126+CG127+CG128,MAX(0,CG61-Helpers!CG23))</f>
        <v/>
      </c>
      <c r="CH129" s="45">
        <f>-MIN(CH126+CH127+CH128,MAX(0,CH61-Helpers!CH23))</f>
        <v/>
      </c>
      <c r="CI129" s="23" t="n"/>
    </row>
    <row r="130" ht="13.5" customHeight="1" s="201">
      <c r="A130" s="46" t="inlineStr">
        <is>
          <t>Reseda - Ending Balance</t>
        </is>
      </c>
      <c r="B130" s="47" t="n"/>
      <c r="C130" s="48">
        <f>MAX(0,C126+C127+C128+C129)</f>
        <v/>
      </c>
      <c r="D130" s="48">
        <f>MAX(0,D126+D127+D128+D129)</f>
        <v/>
      </c>
      <c r="E130" s="48">
        <f>MAX(0,E126+E127+E128+E129)</f>
        <v/>
      </c>
      <c r="F130" s="48">
        <f>MAX(0,F126+F127+F128+F129)</f>
        <v/>
      </c>
      <c r="G130" s="48">
        <f>MAX(0,G126+G127+G128+G129)</f>
        <v/>
      </c>
      <c r="H130" s="48">
        <f>MAX(0,H126+H127+H128+H129)</f>
        <v/>
      </c>
      <c r="I130" s="48">
        <f>MAX(0,I126+I127+I128+I129)</f>
        <v/>
      </c>
      <c r="J130" s="48">
        <f>MAX(0,J126+J127+J128+J129)</f>
        <v/>
      </c>
      <c r="K130" s="48">
        <f>MAX(0,K126+K127+K128+K129)</f>
        <v/>
      </c>
      <c r="L130" s="48">
        <f>MAX(0,L126+L127+L128+L129)</f>
        <v/>
      </c>
      <c r="M130" s="48">
        <f>MAX(0,M126+M127+M128+M129)</f>
        <v/>
      </c>
      <c r="N130" s="48">
        <f>MAX(0,N126+N127+N128+N129)</f>
        <v/>
      </c>
      <c r="O130" s="48">
        <f>MAX(0,O126+O127+O128+O129)</f>
        <v/>
      </c>
      <c r="P130" s="48">
        <f>MAX(0,P126+P127+P128+P129)</f>
        <v/>
      </c>
      <c r="Q130" s="48">
        <f>MAX(0,Q126+Q127+Q128+Q129)</f>
        <v/>
      </c>
      <c r="R130" s="48">
        <f>MAX(0,R126+R127+R128+R129)</f>
        <v/>
      </c>
      <c r="S130" s="48">
        <f>MAX(0,S126+S127+S128+S129)</f>
        <v/>
      </c>
      <c r="T130" s="48">
        <f>MAX(0,T126+T127+T128+T129)</f>
        <v/>
      </c>
      <c r="U130" s="48">
        <f>MAX(0,U126+U127+U128+U129)</f>
        <v/>
      </c>
      <c r="V130" s="48">
        <f>MAX(0,V126+V127+V128+V129)</f>
        <v/>
      </c>
      <c r="W130" s="48">
        <f>MAX(0,W126+W127+W128+W129)</f>
        <v/>
      </c>
      <c r="X130" s="48">
        <f>MAX(0,X126+X127+X128+X129)</f>
        <v/>
      </c>
      <c r="Y130" s="48">
        <f>MAX(0,Y126+Y127+Y128+Y129)</f>
        <v/>
      </c>
      <c r="Z130" s="48">
        <f>MAX(0,Z126+Z127+Z128+Z129)</f>
        <v/>
      </c>
      <c r="AA130" s="48">
        <f>MAX(0,AA126+AA127+AA128+AA129)</f>
        <v/>
      </c>
      <c r="AB130" s="48">
        <f>MAX(0,AB126+AB127+AB128+AB129)</f>
        <v/>
      </c>
      <c r="AC130" s="48">
        <f>MAX(0,AC126+AC127+AC128+AC129)</f>
        <v/>
      </c>
      <c r="AD130" s="48">
        <f>MAX(0,AD126+AD127+AD128+AD129)</f>
        <v/>
      </c>
      <c r="AE130" s="48">
        <f>MAX(0,AE126+AE127+AE128+AE129)</f>
        <v/>
      </c>
      <c r="AF130" s="48">
        <f>MAX(0,AF126+AF127+AF128+AF129)</f>
        <v/>
      </c>
      <c r="AG130" s="48">
        <f>MAX(0,AG126+AG127+AG128+AG129)</f>
        <v/>
      </c>
      <c r="AH130" s="48">
        <f>MAX(0,AH126+AH127+AH128+AH129)</f>
        <v/>
      </c>
      <c r="AI130" s="48">
        <f>MAX(0,AI126+AI127+AI128+AI129)</f>
        <v/>
      </c>
      <c r="AJ130" s="48">
        <f>MAX(0,AJ126+AJ127+AJ128+AJ129)</f>
        <v/>
      </c>
      <c r="AK130" s="48">
        <f>MAX(0,AK126+AK127+AK128+AK129)</f>
        <v/>
      </c>
      <c r="AL130" s="48">
        <f>MAX(0,AL126+AL127+AL128+AL129)</f>
        <v/>
      </c>
      <c r="AM130" s="48">
        <f>MAX(0,AM126+AM127+AM128+AM129)</f>
        <v/>
      </c>
      <c r="AN130" s="48">
        <f>MAX(0,AN126+AN127+AN128+AN129)</f>
        <v/>
      </c>
      <c r="AO130" s="48">
        <f>MAX(0,AO126+AO127+AO128+AO129)</f>
        <v/>
      </c>
      <c r="AP130" s="48">
        <f>MAX(0,AP126+AP127+AP128+AP129)</f>
        <v/>
      </c>
      <c r="AQ130" s="48">
        <f>MAX(0,AQ126+AQ127+AQ128+AQ129)</f>
        <v/>
      </c>
      <c r="AR130" s="48">
        <f>MAX(0,AR126+AR127+AR128+AR129)</f>
        <v/>
      </c>
      <c r="AS130" s="48">
        <f>MAX(0,AS126+AS127+AS128+AS129)</f>
        <v/>
      </c>
      <c r="AT130" s="48">
        <f>MAX(0,AT126+AT127+AT128+AT129)</f>
        <v/>
      </c>
      <c r="AU130" s="48">
        <f>MAX(0,AU126+AU127+AU128+AU129)</f>
        <v/>
      </c>
      <c r="AV130" s="48">
        <f>MAX(0,AV126+AV127+AV128+AV129)</f>
        <v/>
      </c>
      <c r="AW130" s="48">
        <f>MAX(0,AW126+AW127+AW128+AW129)</f>
        <v/>
      </c>
      <c r="AX130" s="48">
        <f>MAX(0,AX126+AX127+AX128+AX129)</f>
        <v/>
      </c>
      <c r="AY130" s="48">
        <f>MAX(0,AY126+AY127+AY128+AY129)</f>
        <v/>
      </c>
      <c r="AZ130" s="48">
        <f>MAX(0,AZ126+AZ127+AZ128+AZ129)</f>
        <v/>
      </c>
      <c r="BA130" s="48">
        <f>MAX(0,BA126+BA127+BA128+BA129)</f>
        <v/>
      </c>
      <c r="BB130" s="48">
        <f>MAX(0,BB126+BB127+BB128+BB129)</f>
        <v/>
      </c>
      <c r="BC130" s="48">
        <f>MAX(0,BC126+BC127+BC128+BC129)</f>
        <v/>
      </c>
      <c r="BD130" s="48">
        <f>MAX(0,BD126+BD127+BD128+BD129)</f>
        <v/>
      </c>
      <c r="BE130" s="48">
        <f>MAX(0,BE126+BE127+BE128+BE129)</f>
        <v/>
      </c>
      <c r="BF130" s="48">
        <f>MAX(0,BF126+BF127+BF128+BF129)</f>
        <v/>
      </c>
      <c r="BG130" s="48">
        <f>MAX(0,BG126+BG127+BG128+BG129)</f>
        <v/>
      </c>
      <c r="BH130" s="48">
        <f>MAX(0,BH126+BH127+BH128+BH129)</f>
        <v/>
      </c>
      <c r="BI130" s="48">
        <f>MAX(0,BI126+BI127+BI128+BI129)</f>
        <v/>
      </c>
      <c r="BJ130" s="48">
        <f>MAX(0,BJ126+BJ127+BJ128+BJ129)</f>
        <v/>
      </c>
      <c r="BK130" s="48">
        <f>MAX(0,BK126+BK127+BK128+BK129)</f>
        <v/>
      </c>
      <c r="BL130" s="48">
        <f>MAX(0,BL126+BL127+BL128+BL129)</f>
        <v/>
      </c>
      <c r="BM130" s="48">
        <f>MAX(0,BM126+BM127+BM128+BM129)</f>
        <v/>
      </c>
      <c r="BN130" s="48">
        <f>MAX(0,BN126+BN127+BN128+BN129)</f>
        <v/>
      </c>
      <c r="BO130" s="48">
        <f>MAX(0,BO126+BO127+BO128+BO129)</f>
        <v/>
      </c>
      <c r="BP130" s="48">
        <f>MAX(0,BP126+BP127+BP128+BP129)</f>
        <v/>
      </c>
      <c r="BQ130" s="48">
        <f>MAX(0,BQ126+BQ127+BQ128+BQ129)</f>
        <v/>
      </c>
      <c r="BR130" s="48">
        <f>MAX(0,BR126+BR127+BR128+BR129)</f>
        <v/>
      </c>
      <c r="BS130" s="48">
        <f>MAX(0,BS126+BS127+BS128+BS129)</f>
        <v/>
      </c>
      <c r="BT130" s="48">
        <f>MAX(0,BT126+BT127+BT128+BT129)</f>
        <v/>
      </c>
      <c r="BU130" s="48">
        <f>MAX(0,BU126+BU127+BU128+BU129)</f>
        <v/>
      </c>
      <c r="BV130" s="48">
        <f>MAX(0,BV126+BV127+BV128+BV129)</f>
        <v/>
      </c>
      <c r="BW130" s="48">
        <f>MAX(0,BW126+BW127+BW128+BW129)</f>
        <v/>
      </c>
      <c r="BX130" s="48">
        <f>MAX(0,BX126+BX127+BX128+BX129)</f>
        <v/>
      </c>
      <c r="BY130" s="48">
        <f>MAX(0,BY126+BY127+BY128+BY129)</f>
        <v/>
      </c>
      <c r="BZ130" s="48">
        <f>MAX(0,BZ126+BZ127+BZ128+BZ129)</f>
        <v/>
      </c>
      <c r="CA130" s="48">
        <f>MAX(0,CA126+CA127+CA128+CA129)</f>
        <v/>
      </c>
      <c r="CB130" s="48">
        <f>MAX(0,CB126+CB127+CB128+CB129)</f>
        <v/>
      </c>
      <c r="CC130" s="48">
        <f>MAX(0,CC126+CC127+CC128+CC129)</f>
        <v/>
      </c>
      <c r="CD130" s="48">
        <f>MAX(0,CD126+CD127+CD128+CD129)</f>
        <v/>
      </c>
      <c r="CE130" s="48">
        <f>MAX(0,CE126+CE127+CE128+CE129)</f>
        <v/>
      </c>
      <c r="CF130" s="48">
        <f>MAX(0,CF126+CF127+CF128+CF129)</f>
        <v/>
      </c>
      <c r="CG130" s="48">
        <f>MAX(0,CG126+CG127+CG128+CG129)</f>
        <v/>
      </c>
      <c r="CH130" s="48">
        <f>MAX(0,CH126+CH127+CH128+CH129)</f>
        <v/>
      </c>
      <c r="CI130" s="23" t="n"/>
    </row>
    <row r="131" ht="16.5" customHeight="1" s="201">
      <c r="A131" s="49" t="n"/>
      <c r="B131" s="34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0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50" t="n"/>
      <c r="AY131" s="50" t="n"/>
      <c r="AZ131" s="50" t="n"/>
      <c r="BA131" s="50" t="n"/>
      <c r="BB131" s="50" t="n"/>
      <c r="BC131" s="50" t="n"/>
      <c r="BD131" s="50" t="n"/>
      <c r="BE131" s="50" t="n"/>
      <c r="BF131" s="50" t="n"/>
      <c r="BG131" s="50" t="n"/>
      <c r="BH131" s="50" t="n"/>
      <c r="BI131" s="50" t="n"/>
      <c r="BJ131" s="50" t="n"/>
      <c r="BK131" s="50" t="n"/>
      <c r="BL131" s="50" t="n"/>
      <c r="BM131" s="50" t="n"/>
      <c r="BN131" s="50" t="n"/>
      <c r="BO131" s="50" t="n"/>
      <c r="BP131" s="50" t="n"/>
      <c r="BQ131" s="50" t="n"/>
      <c r="BR131" s="50" t="n"/>
      <c r="BS131" s="50" t="n"/>
      <c r="BT131" s="50" t="n"/>
      <c r="BU131" s="50" t="n"/>
      <c r="BV131" s="50" t="n"/>
      <c r="BW131" s="50" t="n"/>
      <c r="BX131" s="50" t="n"/>
      <c r="BY131" s="50" t="n"/>
      <c r="BZ131" s="50" t="n"/>
      <c r="CA131" s="50" t="n"/>
      <c r="CB131" s="50" t="n"/>
      <c r="CC131" s="50" t="n"/>
      <c r="CD131" s="50" t="n"/>
      <c r="CE131" s="50" t="n"/>
      <c r="CF131" s="50" t="n"/>
      <c r="CG131" s="50" t="n"/>
      <c r="CH131" s="50" t="n"/>
      <c r="CI131" s="35" t="n"/>
    </row>
    <row r="132" ht="15" customHeight="1" s="201">
      <c r="A132" s="51" t="inlineStr">
        <is>
          <t>BONDING OUTSTANDING</t>
        </is>
      </c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  <c r="AN132" s="51" t="n"/>
      <c r="AO132" s="51" t="n"/>
      <c r="AP132" s="51" t="n"/>
      <c r="AQ132" s="51" t="n"/>
      <c r="AR132" s="51" t="n"/>
      <c r="AS132" s="51" t="n"/>
      <c r="AT132" s="51" t="n"/>
      <c r="AU132" s="51" t="n"/>
      <c r="AV132" s="51" t="n"/>
      <c r="AW132" s="51" t="n"/>
      <c r="AX132" s="51" t="n"/>
      <c r="AY132" s="51" t="n"/>
      <c r="AZ132" s="51" t="n"/>
      <c r="BA132" s="51" t="n"/>
      <c r="BB132" s="51" t="n"/>
      <c r="BC132" s="51" t="n"/>
      <c r="BD132" s="51" t="n"/>
      <c r="BE132" s="51" t="n"/>
      <c r="BF132" s="51" t="n"/>
      <c r="BG132" s="51" t="n"/>
      <c r="BH132" s="51" t="n"/>
      <c r="BI132" s="51" t="n"/>
      <c r="BJ132" s="51" t="n"/>
      <c r="BK132" s="51" t="n"/>
      <c r="BL132" s="51" t="n"/>
      <c r="BM132" s="51" t="n"/>
      <c r="BN132" s="51" t="n"/>
      <c r="BO132" s="51" t="n"/>
      <c r="BP132" s="51" t="n"/>
      <c r="BQ132" s="51" t="n"/>
      <c r="BR132" s="51" t="n"/>
      <c r="BS132" s="51" t="n"/>
      <c r="BT132" s="51" t="n"/>
      <c r="BU132" s="51" t="n"/>
      <c r="BV132" s="51" t="n"/>
      <c r="BW132" s="51" t="n"/>
      <c r="BX132" s="51" t="n"/>
      <c r="BY132" s="51" t="n"/>
      <c r="BZ132" s="51" t="n"/>
      <c r="CA132" s="51" t="n"/>
      <c r="CB132" s="51" t="n"/>
      <c r="CC132" s="51" t="n"/>
      <c r="CD132" s="51" t="n"/>
      <c r="CE132" s="51" t="n"/>
      <c r="CF132" s="51" t="n"/>
      <c r="CG132" s="51" t="n"/>
      <c r="CH132" s="51" t="n"/>
      <c r="CI132" s="23" t="n"/>
      <c r="CJ132" s="52" t="n"/>
      <c r="CK132" s="52" t="n"/>
    </row>
    <row r="133" ht="15" customHeight="1" s="201">
      <c r="A133" s="7" t="inlineStr">
        <is>
          <t>Califa</t>
        </is>
      </c>
      <c r="B133" s="22" t="n"/>
      <c r="C133" s="8">
        <f>Helpers!C8</f>
        <v/>
      </c>
      <c r="D133" s="8">
        <f>Helpers!D8</f>
        <v/>
      </c>
      <c r="E133" s="8">
        <f>Helpers!E8</f>
        <v/>
      </c>
      <c r="F133" s="8">
        <f>Helpers!F8</f>
        <v/>
      </c>
      <c r="G133" s="8">
        <f>Helpers!G8</f>
        <v/>
      </c>
      <c r="H133" s="8">
        <f>Helpers!H8</f>
        <v/>
      </c>
      <c r="I133" s="8">
        <f>Helpers!I8</f>
        <v/>
      </c>
      <c r="J133" s="8">
        <f>Helpers!J8</f>
        <v/>
      </c>
      <c r="K133" s="8">
        <f>Helpers!K8</f>
        <v/>
      </c>
      <c r="L133" s="8">
        <f>Helpers!L8</f>
        <v/>
      </c>
      <c r="M133" s="8">
        <f>Helpers!M8</f>
        <v/>
      </c>
      <c r="N133" s="8">
        <f>Helpers!N8</f>
        <v/>
      </c>
      <c r="O133" s="8">
        <f>Helpers!O8</f>
        <v/>
      </c>
      <c r="P133" s="8">
        <f>Helpers!P8</f>
        <v/>
      </c>
      <c r="Q133" s="8">
        <f>Helpers!Q8</f>
        <v/>
      </c>
      <c r="R133" s="8">
        <f>Helpers!R8</f>
        <v/>
      </c>
      <c r="S133" s="8">
        <f>Helpers!S8</f>
        <v/>
      </c>
      <c r="T133" s="8">
        <f>Helpers!T8</f>
        <v/>
      </c>
      <c r="U133" s="8">
        <f>Helpers!U8</f>
        <v/>
      </c>
      <c r="V133" s="8">
        <f>Helpers!V8</f>
        <v/>
      </c>
      <c r="W133" s="8">
        <f>Helpers!W8</f>
        <v/>
      </c>
      <c r="X133" s="8">
        <f>Helpers!X8</f>
        <v/>
      </c>
      <c r="Y133" s="8">
        <f>Helpers!Y8</f>
        <v/>
      </c>
      <c r="Z133" s="8">
        <f>Helpers!Z8</f>
        <v/>
      </c>
      <c r="AA133" s="8">
        <f>Helpers!AA8</f>
        <v/>
      </c>
      <c r="AB133" s="8">
        <f>Helpers!AB8</f>
        <v/>
      </c>
      <c r="AC133" s="8">
        <f>Helpers!AC8</f>
        <v/>
      </c>
      <c r="AD133" s="8">
        <f>Helpers!AD8</f>
        <v/>
      </c>
      <c r="AE133" s="8">
        <f>Helpers!AE8</f>
        <v/>
      </c>
      <c r="AF133" s="8">
        <f>Helpers!AF8</f>
        <v/>
      </c>
      <c r="AG133" s="8">
        <f>Helpers!AG8</f>
        <v/>
      </c>
      <c r="AH133" s="8">
        <f>Helpers!AH8</f>
        <v/>
      </c>
      <c r="AI133" s="8">
        <f>Helpers!AI8</f>
        <v/>
      </c>
      <c r="AJ133" s="8">
        <f>Helpers!AJ8</f>
        <v/>
      </c>
      <c r="AK133" s="8">
        <f>Helpers!AK8</f>
        <v/>
      </c>
      <c r="AL133" s="8">
        <f>Helpers!AL8</f>
        <v/>
      </c>
      <c r="AM133" s="8">
        <f>Helpers!AM8</f>
        <v/>
      </c>
      <c r="AN133" s="8">
        <f>Helpers!AN8</f>
        <v/>
      </c>
      <c r="AO133" s="8">
        <f>Helpers!AO8</f>
        <v/>
      </c>
      <c r="AP133" s="8">
        <f>Helpers!AP8</f>
        <v/>
      </c>
      <c r="AQ133" s="8">
        <f>Helpers!AQ8</f>
        <v/>
      </c>
      <c r="AR133" s="8">
        <f>Helpers!AR8</f>
        <v/>
      </c>
      <c r="AS133" s="8">
        <f>Helpers!AS8</f>
        <v/>
      </c>
      <c r="AT133" s="8">
        <f>Helpers!AT8</f>
        <v/>
      </c>
      <c r="AU133" s="8">
        <f>Helpers!AU8</f>
        <v/>
      </c>
      <c r="AV133" s="8">
        <f>Helpers!AV8</f>
        <v/>
      </c>
      <c r="AW133" s="8">
        <f>Helpers!AW8</f>
        <v/>
      </c>
      <c r="AX133" s="8">
        <f>Helpers!AX8</f>
        <v/>
      </c>
      <c r="AY133" s="8">
        <f>Helpers!AY8</f>
        <v/>
      </c>
      <c r="AZ133" s="8">
        <f>Helpers!AZ8</f>
        <v/>
      </c>
      <c r="BA133" s="8">
        <f>Helpers!BA8</f>
        <v/>
      </c>
      <c r="BB133" s="8">
        <f>Helpers!BB8</f>
        <v/>
      </c>
      <c r="BC133" s="8">
        <f>Helpers!BC8</f>
        <v/>
      </c>
      <c r="BD133" s="8">
        <f>Helpers!BD8</f>
        <v/>
      </c>
      <c r="BE133" s="8">
        <f>Helpers!BE8</f>
        <v/>
      </c>
      <c r="BF133" s="8">
        <f>Helpers!BF8</f>
        <v/>
      </c>
      <c r="BG133" s="8">
        <f>Helpers!BG8</f>
        <v/>
      </c>
      <c r="BH133" s="8">
        <f>Helpers!BH8</f>
        <v/>
      </c>
      <c r="BI133" s="8">
        <f>Helpers!BI8</f>
        <v/>
      </c>
      <c r="BJ133" s="8">
        <f>Helpers!BJ8</f>
        <v/>
      </c>
      <c r="BK133" s="8">
        <f>Helpers!BK8</f>
        <v/>
      </c>
      <c r="BL133" s="8">
        <f>Helpers!BL8</f>
        <v/>
      </c>
      <c r="BM133" s="8">
        <f>Helpers!BM8</f>
        <v/>
      </c>
      <c r="BN133" s="8">
        <f>Helpers!BN8</f>
        <v/>
      </c>
      <c r="BO133" s="8">
        <f>Helpers!BO8</f>
        <v/>
      </c>
      <c r="BP133" s="8">
        <f>Helpers!BP8</f>
        <v/>
      </c>
      <c r="BQ133" s="8">
        <f>Helpers!BQ8</f>
        <v/>
      </c>
      <c r="BR133" s="8">
        <f>Helpers!BR8</f>
        <v/>
      </c>
      <c r="BS133" s="8">
        <f>Helpers!BS8</f>
        <v/>
      </c>
      <c r="BT133" s="8">
        <f>Helpers!BT8</f>
        <v/>
      </c>
      <c r="BU133" s="8">
        <f>Helpers!BU8</f>
        <v/>
      </c>
      <c r="BV133" s="8">
        <f>Helpers!BV8</f>
        <v/>
      </c>
      <c r="BW133" s="8">
        <f>Helpers!BW8</f>
        <v/>
      </c>
      <c r="BX133" s="8">
        <f>Helpers!BX8</f>
        <v/>
      </c>
      <c r="BY133" s="8">
        <f>Helpers!BY8</f>
        <v/>
      </c>
      <c r="BZ133" s="8">
        <f>Helpers!BZ8</f>
        <v/>
      </c>
      <c r="CA133" s="8">
        <f>Helpers!CA8</f>
        <v/>
      </c>
      <c r="CB133" s="8">
        <f>Helpers!CB8</f>
        <v/>
      </c>
      <c r="CC133" s="8">
        <f>Helpers!CC8</f>
        <v/>
      </c>
      <c r="CD133" s="8">
        <f>Helpers!CD8</f>
        <v/>
      </c>
      <c r="CE133" s="8">
        <f>Helpers!CE8</f>
        <v/>
      </c>
      <c r="CF133" s="8">
        <f>Helpers!CF8</f>
        <v/>
      </c>
      <c r="CG133" s="8">
        <f>Helpers!CG8</f>
        <v/>
      </c>
      <c r="CH133" s="8">
        <f>Helpers!CH8</f>
        <v/>
      </c>
      <c r="CI133" s="23" t="n"/>
      <c r="CJ133" s="52" t="n"/>
      <c r="CK133" s="52" t="n"/>
    </row>
    <row r="134" ht="15" customHeight="1" s="201">
      <c r="A134" s="7" t="inlineStr">
        <is>
          <t>Whipple</t>
        </is>
      </c>
      <c r="B134" s="22" t="n"/>
      <c r="C134" s="8">
        <f>Helpers!C9</f>
        <v/>
      </c>
      <c r="D134" s="8">
        <f>Helpers!D9</f>
        <v/>
      </c>
      <c r="E134" s="8">
        <f>Helpers!E9</f>
        <v/>
      </c>
      <c r="F134" s="8">
        <f>Helpers!F9</f>
        <v/>
      </c>
      <c r="G134" s="8">
        <f>Helpers!G9</f>
        <v/>
      </c>
      <c r="H134" s="8">
        <f>Helpers!H9</f>
        <v/>
      </c>
      <c r="I134" s="8">
        <f>Helpers!I9</f>
        <v/>
      </c>
      <c r="J134" s="8">
        <f>Helpers!J9</f>
        <v/>
      </c>
      <c r="K134" s="8">
        <f>Helpers!K9</f>
        <v/>
      </c>
      <c r="L134" s="8">
        <f>Helpers!L9</f>
        <v/>
      </c>
      <c r="M134" s="8">
        <f>Helpers!M9</f>
        <v/>
      </c>
      <c r="N134" s="8">
        <f>Helpers!N9</f>
        <v/>
      </c>
      <c r="O134" s="8">
        <f>Helpers!O9</f>
        <v/>
      </c>
      <c r="P134" s="8">
        <f>Helpers!P9</f>
        <v/>
      </c>
      <c r="Q134" s="8">
        <f>Helpers!Q9</f>
        <v/>
      </c>
      <c r="R134" s="8">
        <f>Helpers!R9</f>
        <v/>
      </c>
      <c r="S134" s="8">
        <f>Helpers!S9</f>
        <v/>
      </c>
      <c r="T134" s="8">
        <f>Helpers!T9</f>
        <v/>
      </c>
      <c r="U134" s="8">
        <f>Helpers!U9</f>
        <v/>
      </c>
      <c r="V134" s="8">
        <f>Helpers!V9</f>
        <v/>
      </c>
      <c r="W134" s="8">
        <f>Helpers!W9</f>
        <v/>
      </c>
      <c r="X134" s="8">
        <f>Helpers!X9</f>
        <v/>
      </c>
      <c r="Y134" s="8">
        <f>Helpers!Y9</f>
        <v/>
      </c>
      <c r="Z134" s="8">
        <f>Helpers!Z9</f>
        <v/>
      </c>
      <c r="AA134" s="8">
        <f>Helpers!AA9</f>
        <v/>
      </c>
      <c r="AB134" s="8">
        <f>Helpers!AB9</f>
        <v/>
      </c>
      <c r="AC134" s="8">
        <f>Helpers!AC9</f>
        <v/>
      </c>
      <c r="AD134" s="8">
        <f>Helpers!AD9</f>
        <v/>
      </c>
      <c r="AE134" s="8">
        <f>Helpers!AE9</f>
        <v/>
      </c>
      <c r="AF134" s="8">
        <f>Helpers!AF9</f>
        <v/>
      </c>
      <c r="AG134" s="8">
        <f>Helpers!AG9</f>
        <v/>
      </c>
      <c r="AH134" s="8">
        <f>Helpers!AH9</f>
        <v/>
      </c>
      <c r="AI134" s="8">
        <f>Helpers!AI9</f>
        <v/>
      </c>
      <c r="AJ134" s="8">
        <f>Helpers!AJ9</f>
        <v/>
      </c>
      <c r="AK134" s="8">
        <f>Helpers!AK9</f>
        <v/>
      </c>
      <c r="AL134" s="8">
        <f>Helpers!AL9</f>
        <v/>
      </c>
      <c r="AM134" s="8">
        <f>Helpers!AM9</f>
        <v/>
      </c>
      <c r="AN134" s="8">
        <f>Helpers!AN9</f>
        <v/>
      </c>
      <c r="AO134" s="8">
        <f>Helpers!AO9</f>
        <v/>
      </c>
      <c r="AP134" s="8">
        <f>Helpers!AP9</f>
        <v/>
      </c>
      <c r="AQ134" s="8">
        <f>Helpers!AQ9</f>
        <v/>
      </c>
      <c r="AR134" s="8">
        <f>Helpers!AR9</f>
        <v/>
      </c>
      <c r="AS134" s="8">
        <f>Helpers!AS9</f>
        <v/>
      </c>
      <c r="AT134" s="8">
        <f>Helpers!AT9</f>
        <v/>
      </c>
      <c r="AU134" s="8">
        <f>Helpers!AU9</f>
        <v/>
      </c>
      <c r="AV134" s="8">
        <f>Helpers!AV9</f>
        <v/>
      </c>
      <c r="AW134" s="8">
        <f>Helpers!AW9</f>
        <v/>
      </c>
      <c r="AX134" s="8">
        <f>Helpers!AX9</f>
        <v/>
      </c>
      <c r="AY134" s="8">
        <f>Helpers!AY9</f>
        <v/>
      </c>
      <c r="AZ134" s="8">
        <f>Helpers!AZ9</f>
        <v/>
      </c>
      <c r="BA134" s="8">
        <f>Helpers!BA9</f>
        <v/>
      </c>
      <c r="BB134" s="8">
        <f>Helpers!BB9</f>
        <v/>
      </c>
      <c r="BC134" s="8">
        <f>Helpers!BC9</f>
        <v/>
      </c>
      <c r="BD134" s="8">
        <f>Helpers!BD9</f>
        <v/>
      </c>
      <c r="BE134" s="8">
        <f>Helpers!BE9</f>
        <v/>
      </c>
      <c r="BF134" s="8">
        <f>Helpers!BF9</f>
        <v/>
      </c>
      <c r="BG134" s="8">
        <f>Helpers!BG9</f>
        <v/>
      </c>
      <c r="BH134" s="8">
        <f>Helpers!BH9</f>
        <v/>
      </c>
      <c r="BI134" s="8">
        <f>Helpers!BI9</f>
        <v/>
      </c>
      <c r="BJ134" s="8">
        <f>Helpers!BJ9</f>
        <v/>
      </c>
      <c r="BK134" s="8">
        <f>Helpers!BK9</f>
        <v/>
      </c>
      <c r="BL134" s="8">
        <f>Helpers!BL9</f>
        <v/>
      </c>
      <c r="BM134" s="8">
        <f>Helpers!BM9</f>
        <v/>
      </c>
      <c r="BN134" s="8">
        <f>Helpers!BN9</f>
        <v/>
      </c>
      <c r="BO134" s="8">
        <f>Helpers!BO9</f>
        <v/>
      </c>
      <c r="BP134" s="8">
        <f>Helpers!BP9</f>
        <v/>
      </c>
      <c r="BQ134" s="8">
        <f>Helpers!BQ9</f>
        <v/>
      </c>
      <c r="BR134" s="8">
        <f>Helpers!BR9</f>
        <v/>
      </c>
      <c r="BS134" s="8">
        <f>Helpers!BS9</f>
        <v/>
      </c>
      <c r="BT134" s="8">
        <f>Helpers!BT9</f>
        <v/>
      </c>
      <c r="BU134" s="8">
        <f>Helpers!BU9</f>
        <v/>
      </c>
      <c r="BV134" s="8">
        <f>Helpers!BV9</f>
        <v/>
      </c>
      <c r="BW134" s="8">
        <f>Helpers!BW9</f>
        <v/>
      </c>
      <c r="BX134" s="8">
        <f>Helpers!BX9</f>
        <v/>
      </c>
      <c r="BY134" s="8">
        <f>Helpers!BY9</f>
        <v/>
      </c>
      <c r="BZ134" s="8">
        <f>Helpers!BZ9</f>
        <v/>
      </c>
      <c r="CA134" s="8">
        <f>Helpers!CA9</f>
        <v/>
      </c>
      <c r="CB134" s="8">
        <f>Helpers!CB9</f>
        <v/>
      </c>
      <c r="CC134" s="8">
        <f>Helpers!CC9</f>
        <v/>
      </c>
      <c r="CD134" s="8">
        <f>Helpers!CD9</f>
        <v/>
      </c>
      <c r="CE134" s="8">
        <f>Helpers!CE9</f>
        <v/>
      </c>
      <c r="CF134" s="8">
        <f>Helpers!CF9</f>
        <v/>
      </c>
      <c r="CG134" s="8">
        <f>Helpers!CG9</f>
        <v/>
      </c>
      <c r="CH134" s="8">
        <f>Helpers!CH9</f>
        <v/>
      </c>
      <c r="CI134" s="23" t="n"/>
      <c r="CJ134" s="53" t="n"/>
      <c r="CK134" s="53" t="n"/>
    </row>
    <row r="135" ht="15" customHeight="1" s="201">
      <c r="A135" s="7" t="inlineStr">
        <is>
          <t>Francis</t>
        </is>
      </c>
      <c r="B135" s="22" t="n"/>
      <c r="C135" s="8">
        <f>Helpers!C10</f>
        <v/>
      </c>
      <c r="D135" s="8">
        <f>Helpers!D10</f>
        <v/>
      </c>
      <c r="E135" s="8">
        <f>Helpers!E10</f>
        <v/>
      </c>
      <c r="F135" s="8">
        <f>Helpers!F10</f>
        <v/>
      </c>
      <c r="G135" s="8">
        <f>Helpers!G10</f>
        <v/>
      </c>
      <c r="H135" s="8">
        <f>Helpers!H10</f>
        <v/>
      </c>
      <c r="I135" s="8">
        <f>Helpers!I10</f>
        <v/>
      </c>
      <c r="J135" s="8">
        <f>Helpers!J10</f>
        <v/>
      </c>
      <c r="K135" s="8">
        <f>Helpers!K10</f>
        <v/>
      </c>
      <c r="L135" s="8">
        <f>Helpers!L10</f>
        <v/>
      </c>
      <c r="M135" s="8">
        <f>Helpers!M10</f>
        <v/>
      </c>
      <c r="N135" s="8">
        <f>Helpers!N10</f>
        <v/>
      </c>
      <c r="O135" s="8">
        <f>Helpers!O10</f>
        <v/>
      </c>
      <c r="P135" s="8">
        <f>Helpers!P10</f>
        <v/>
      </c>
      <c r="Q135" s="8">
        <f>Helpers!Q10</f>
        <v/>
      </c>
      <c r="R135" s="8">
        <f>Helpers!R10</f>
        <v/>
      </c>
      <c r="S135" s="8">
        <f>Helpers!S10</f>
        <v/>
      </c>
      <c r="T135" s="8">
        <f>Helpers!T10</f>
        <v/>
      </c>
      <c r="U135" s="8">
        <f>Helpers!U10</f>
        <v/>
      </c>
      <c r="V135" s="8">
        <f>Helpers!V10</f>
        <v/>
      </c>
      <c r="W135" s="8">
        <f>Helpers!W10</f>
        <v/>
      </c>
      <c r="X135" s="8">
        <f>Helpers!X10</f>
        <v/>
      </c>
      <c r="Y135" s="8">
        <f>Helpers!Y10</f>
        <v/>
      </c>
      <c r="Z135" s="8">
        <f>Helpers!Z10</f>
        <v/>
      </c>
      <c r="AA135" s="8">
        <f>Helpers!AA10</f>
        <v/>
      </c>
      <c r="AB135" s="8">
        <f>Helpers!AB10</f>
        <v/>
      </c>
      <c r="AC135" s="8">
        <f>Helpers!AC10</f>
        <v/>
      </c>
      <c r="AD135" s="8">
        <f>Helpers!AD10</f>
        <v/>
      </c>
      <c r="AE135" s="8">
        <f>Helpers!AE10</f>
        <v/>
      </c>
      <c r="AF135" s="8">
        <f>Helpers!AF10</f>
        <v/>
      </c>
      <c r="AG135" s="8">
        <f>Helpers!AG10</f>
        <v/>
      </c>
      <c r="AH135" s="8">
        <f>Helpers!AH10</f>
        <v/>
      </c>
      <c r="AI135" s="8">
        <f>Helpers!AI10</f>
        <v/>
      </c>
      <c r="AJ135" s="8">
        <f>Helpers!AJ10</f>
        <v/>
      </c>
      <c r="AK135" s="8">
        <f>Helpers!AK10</f>
        <v/>
      </c>
      <c r="AL135" s="8">
        <f>Helpers!AL10</f>
        <v/>
      </c>
      <c r="AM135" s="8">
        <f>Helpers!AM10</f>
        <v/>
      </c>
      <c r="AN135" s="8">
        <f>Helpers!AN10</f>
        <v/>
      </c>
      <c r="AO135" s="8">
        <f>Helpers!AO10</f>
        <v/>
      </c>
      <c r="AP135" s="8">
        <f>Helpers!AP10</f>
        <v/>
      </c>
      <c r="AQ135" s="8">
        <f>Helpers!AQ10</f>
        <v/>
      </c>
      <c r="AR135" s="8">
        <f>Helpers!AR10</f>
        <v/>
      </c>
      <c r="AS135" s="8">
        <f>Helpers!AS10</f>
        <v/>
      </c>
      <c r="AT135" s="8">
        <f>Helpers!AT10</f>
        <v/>
      </c>
      <c r="AU135" s="8">
        <f>Helpers!AU10</f>
        <v/>
      </c>
      <c r="AV135" s="8">
        <f>Helpers!AV10</f>
        <v/>
      </c>
      <c r="AW135" s="8">
        <f>Helpers!AW10</f>
        <v/>
      </c>
      <c r="AX135" s="8">
        <f>Helpers!AX10</f>
        <v/>
      </c>
      <c r="AY135" s="8">
        <f>Helpers!AY10</f>
        <v/>
      </c>
      <c r="AZ135" s="8">
        <f>Helpers!AZ10</f>
        <v/>
      </c>
      <c r="BA135" s="8">
        <f>Helpers!BA10</f>
        <v/>
      </c>
      <c r="BB135" s="8">
        <f>Helpers!BB10</f>
        <v/>
      </c>
      <c r="BC135" s="8">
        <f>Helpers!BC10</f>
        <v/>
      </c>
      <c r="BD135" s="8">
        <f>Helpers!BD10</f>
        <v/>
      </c>
      <c r="BE135" s="8">
        <f>Helpers!BE10</f>
        <v/>
      </c>
      <c r="BF135" s="8">
        <f>Helpers!BF10</f>
        <v/>
      </c>
      <c r="BG135" s="8">
        <f>Helpers!BG10</f>
        <v/>
      </c>
      <c r="BH135" s="8">
        <f>Helpers!BH10</f>
        <v/>
      </c>
      <c r="BI135" s="8">
        <f>Helpers!BI10</f>
        <v/>
      </c>
      <c r="BJ135" s="8">
        <f>Helpers!BJ10</f>
        <v/>
      </c>
      <c r="BK135" s="8">
        <f>Helpers!BK10</f>
        <v/>
      </c>
      <c r="BL135" s="8">
        <f>Helpers!BL10</f>
        <v/>
      </c>
      <c r="BM135" s="8">
        <f>Helpers!BM10</f>
        <v/>
      </c>
      <c r="BN135" s="8">
        <f>Helpers!BN10</f>
        <v/>
      </c>
      <c r="BO135" s="8">
        <f>Helpers!BO10</f>
        <v/>
      </c>
      <c r="BP135" s="8">
        <f>Helpers!BP10</f>
        <v/>
      </c>
      <c r="BQ135" s="8">
        <f>Helpers!BQ10</f>
        <v/>
      </c>
      <c r="BR135" s="8">
        <f>Helpers!BR10</f>
        <v/>
      </c>
      <c r="BS135" s="8">
        <f>Helpers!BS10</f>
        <v/>
      </c>
      <c r="BT135" s="8">
        <f>Helpers!BT10</f>
        <v/>
      </c>
      <c r="BU135" s="8">
        <f>Helpers!BU10</f>
        <v/>
      </c>
      <c r="BV135" s="8">
        <f>Helpers!BV10</f>
        <v/>
      </c>
      <c r="BW135" s="8">
        <f>Helpers!BW10</f>
        <v/>
      </c>
      <c r="BX135" s="8">
        <f>Helpers!BX10</f>
        <v/>
      </c>
      <c r="BY135" s="8">
        <f>Helpers!BY10</f>
        <v/>
      </c>
      <c r="BZ135" s="8">
        <f>Helpers!BZ10</f>
        <v/>
      </c>
      <c r="CA135" s="8">
        <f>Helpers!CA10</f>
        <v/>
      </c>
      <c r="CB135" s="8">
        <f>Helpers!CB10</f>
        <v/>
      </c>
      <c r="CC135" s="8">
        <f>Helpers!CC10</f>
        <v/>
      </c>
      <c r="CD135" s="8">
        <f>Helpers!CD10</f>
        <v/>
      </c>
      <c r="CE135" s="8">
        <f>Helpers!CE10</f>
        <v/>
      </c>
      <c r="CF135" s="8">
        <f>Helpers!CF10</f>
        <v/>
      </c>
      <c r="CG135" s="8">
        <f>Helpers!CG10</f>
        <v/>
      </c>
      <c r="CH135" s="8">
        <f>Helpers!CH10</f>
        <v/>
      </c>
      <c r="CI135" s="23" t="n"/>
      <c r="CJ135" s="54" t="n"/>
      <c r="CK135" s="54" t="n"/>
    </row>
    <row r="136" ht="15" customHeight="1" s="201">
      <c r="A136" s="7" t="inlineStr">
        <is>
          <t>Lexington</t>
        </is>
      </c>
      <c r="B136" s="22" t="n"/>
      <c r="C136" s="8">
        <f>Helpers!C11</f>
        <v/>
      </c>
      <c r="D136" s="8">
        <f>Helpers!D11</f>
        <v/>
      </c>
      <c r="E136" s="8">
        <f>Helpers!E11</f>
        <v/>
      </c>
      <c r="F136" s="8">
        <f>Helpers!F11</f>
        <v/>
      </c>
      <c r="G136" s="8">
        <f>Helpers!G11</f>
        <v/>
      </c>
      <c r="H136" s="8">
        <f>Helpers!H11</f>
        <v/>
      </c>
      <c r="I136" s="8">
        <f>Helpers!I11</f>
        <v/>
      </c>
      <c r="J136" s="8">
        <f>Helpers!J11</f>
        <v/>
      </c>
      <c r="K136" s="8">
        <f>Helpers!K11</f>
        <v/>
      </c>
      <c r="L136" s="8">
        <f>Helpers!L11</f>
        <v/>
      </c>
      <c r="M136" s="8">
        <f>Helpers!M11</f>
        <v/>
      </c>
      <c r="N136" s="8">
        <f>Helpers!N11</f>
        <v/>
      </c>
      <c r="O136" s="8">
        <f>Helpers!O11</f>
        <v/>
      </c>
      <c r="P136" s="8">
        <f>Helpers!P11</f>
        <v/>
      </c>
      <c r="Q136" s="8">
        <f>Helpers!Q11</f>
        <v/>
      </c>
      <c r="R136" s="8">
        <f>Helpers!R11</f>
        <v/>
      </c>
      <c r="S136" s="8">
        <f>Helpers!S11</f>
        <v/>
      </c>
      <c r="T136" s="8">
        <f>Helpers!T11</f>
        <v/>
      </c>
      <c r="U136" s="8">
        <f>Helpers!U11</f>
        <v/>
      </c>
      <c r="V136" s="8">
        <f>Helpers!V11</f>
        <v/>
      </c>
      <c r="W136" s="8">
        <f>Helpers!W11</f>
        <v/>
      </c>
      <c r="X136" s="8">
        <f>Helpers!X11</f>
        <v/>
      </c>
      <c r="Y136" s="8">
        <f>Helpers!Y11</f>
        <v/>
      </c>
      <c r="Z136" s="8">
        <f>Helpers!Z11</f>
        <v/>
      </c>
      <c r="AA136" s="8">
        <f>Helpers!AA11</f>
        <v/>
      </c>
      <c r="AB136" s="8">
        <f>Helpers!AB11</f>
        <v/>
      </c>
      <c r="AC136" s="8">
        <f>Helpers!AC11</f>
        <v/>
      </c>
      <c r="AD136" s="8">
        <f>Helpers!AD11</f>
        <v/>
      </c>
      <c r="AE136" s="8">
        <f>Helpers!AE11</f>
        <v/>
      </c>
      <c r="AF136" s="8">
        <f>Helpers!AF11</f>
        <v/>
      </c>
      <c r="AG136" s="8">
        <f>Helpers!AG11</f>
        <v/>
      </c>
      <c r="AH136" s="8">
        <f>Helpers!AH11</f>
        <v/>
      </c>
      <c r="AI136" s="8">
        <f>Helpers!AI11</f>
        <v/>
      </c>
      <c r="AJ136" s="8">
        <f>Helpers!AJ11</f>
        <v/>
      </c>
      <c r="AK136" s="8">
        <f>Helpers!AK11</f>
        <v/>
      </c>
      <c r="AL136" s="8">
        <f>Helpers!AL11</f>
        <v/>
      </c>
      <c r="AM136" s="8">
        <f>Helpers!AM11</f>
        <v/>
      </c>
      <c r="AN136" s="8">
        <f>Helpers!AN11</f>
        <v/>
      </c>
      <c r="AO136" s="8">
        <f>Helpers!AO11</f>
        <v/>
      </c>
      <c r="AP136" s="8">
        <f>Helpers!AP11</f>
        <v/>
      </c>
      <c r="AQ136" s="8">
        <f>Helpers!AQ11</f>
        <v/>
      </c>
      <c r="AR136" s="8">
        <f>Helpers!AR11</f>
        <v/>
      </c>
      <c r="AS136" s="8">
        <f>Helpers!AS11</f>
        <v/>
      </c>
      <c r="AT136" s="8">
        <f>Helpers!AT11</f>
        <v/>
      </c>
      <c r="AU136" s="8">
        <f>Helpers!AU11</f>
        <v/>
      </c>
      <c r="AV136" s="8">
        <f>Helpers!AV11</f>
        <v/>
      </c>
      <c r="AW136" s="8">
        <f>Helpers!AW11</f>
        <v/>
      </c>
      <c r="AX136" s="8">
        <f>Helpers!AX11</f>
        <v/>
      </c>
      <c r="AY136" s="8">
        <f>Helpers!AY11</f>
        <v/>
      </c>
      <c r="AZ136" s="8">
        <f>Helpers!AZ11</f>
        <v/>
      </c>
      <c r="BA136" s="8">
        <f>Helpers!BA11</f>
        <v/>
      </c>
      <c r="BB136" s="8">
        <f>Helpers!BB11</f>
        <v/>
      </c>
      <c r="BC136" s="8">
        <f>Helpers!BC11</f>
        <v/>
      </c>
      <c r="BD136" s="8">
        <f>Helpers!BD11</f>
        <v/>
      </c>
      <c r="BE136" s="8">
        <f>Helpers!BE11</f>
        <v/>
      </c>
      <c r="BF136" s="8">
        <f>Helpers!BF11</f>
        <v/>
      </c>
      <c r="BG136" s="8">
        <f>Helpers!BG11</f>
        <v/>
      </c>
      <c r="BH136" s="8">
        <f>Helpers!BH11</f>
        <v/>
      </c>
      <c r="BI136" s="8">
        <f>Helpers!BI11</f>
        <v/>
      </c>
      <c r="BJ136" s="8">
        <f>Helpers!BJ11</f>
        <v/>
      </c>
      <c r="BK136" s="8">
        <f>Helpers!BK11</f>
        <v/>
      </c>
      <c r="BL136" s="8">
        <f>Helpers!BL11</f>
        <v/>
      </c>
      <c r="BM136" s="8">
        <f>Helpers!BM11</f>
        <v/>
      </c>
      <c r="BN136" s="8">
        <f>Helpers!BN11</f>
        <v/>
      </c>
      <c r="BO136" s="8">
        <f>Helpers!BO11</f>
        <v/>
      </c>
      <c r="BP136" s="8">
        <f>Helpers!BP11</f>
        <v/>
      </c>
      <c r="BQ136" s="8">
        <f>Helpers!BQ11</f>
        <v/>
      </c>
      <c r="BR136" s="8">
        <f>Helpers!BR11</f>
        <v/>
      </c>
      <c r="BS136" s="8">
        <f>Helpers!BS11</f>
        <v/>
      </c>
      <c r="BT136" s="8">
        <f>Helpers!BT11</f>
        <v/>
      </c>
      <c r="BU136" s="8">
        <f>Helpers!BU11</f>
        <v/>
      </c>
      <c r="BV136" s="8">
        <f>Helpers!BV11</f>
        <v/>
      </c>
      <c r="BW136" s="8">
        <f>Helpers!BW11</f>
        <v/>
      </c>
      <c r="BX136" s="8">
        <f>Helpers!BX11</f>
        <v/>
      </c>
      <c r="BY136" s="8">
        <f>Helpers!BY11</f>
        <v/>
      </c>
      <c r="BZ136" s="8">
        <f>Helpers!BZ11</f>
        <v/>
      </c>
      <c r="CA136" s="8">
        <f>Helpers!CA11</f>
        <v/>
      </c>
      <c r="CB136" s="8">
        <f>Helpers!CB11</f>
        <v/>
      </c>
      <c r="CC136" s="8">
        <f>Helpers!CC11</f>
        <v/>
      </c>
      <c r="CD136" s="8">
        <f>Helpers!CD11</f>
        <v/>
      </c>
      <c r="CE136" s="8">
        <f>Helpers!CE11</f>
        <v/>
      </c>
      <c r="CF136" s="8">
        <f>Helpers!CF11</f>
        <v/>
      </c>
      <c r="CG136" s="8">
        <f>Helpers!CG11</f>
        <v/>
      </c>
      <c r="CH136" s="8">
        <f>Helpers!CH11</f>
        <v/>
      </c>
      <c r="CI136" s="23" t="n"/>
      <c r="CJ136" s="54" t="n"/>
      <c r="CK136" s="54" t="n"/>
    </row>
    <row r="137" ht="15" customHeight="1" s="201">
      <c r="A137" s="7" t="inlineStr">
        <is>
          <t>Denny</t>
        </is>
      </c>
      <c r="B137" s="22" t="n"/>
      <c r="C137" s="8">
        <f>Helpers!C12</f>
        <v/>
      </c>
      <c r="D137" s="8">
        <f>Helpers!D12</f>
        <v/>
      </c>
      <c r="E137" s="8">
        <f>Helpers!E12</f>
        <v/>
      </c>
      <c r="F137" s="8">
        <f>Helpers!F12</f>
        <v/>
      </c>
      <c r="G137" s="8">
        <f>Helpers!G12</f>
        <v/>
      </c>
      <c r="H137" s="8">
        <f>Helpers!H12</f>
        <v/>
      </c>
      <c r="I137" s="8">
        <f>Helpers!I12</f>
        <v/>
      </c>
      <c r="J137" s="8">
        <f>Helpers!J12</f>
        <v/>
      </c>
      <c r="K137" s="8">
        <f>Helpers!K12</f>
        <v/>
      </c>
      <c r="L137" s="8">
        <f>Helpers!L12</f>
        <v/>
      </c>
      <c r="M137" s="8">
        <f>Helpers!M12</f>
        <v/>
      </c>
      <c r="N137" s="8">
        <f>Helpers!N12</f>
        <v/>
      </c>
      <c r="O137" s="8">
        <f>Helpers!O12</f>
        <v/>
      </c>
      <c r="P137" s="8">
        <f>Helpers!P12</f>
        <v/>
      </c>
      <c r="Q137" s="8">
        <f>Helpers!Q12</f>
        <v/>
      </c>
      <c r="R137" s="8">
        <f>Helpers!R12</f>
        <v/>
      </c>
      <c r="S137" s="8">
        <f>Helpers!S12</f>
        <v/>
      </c>
      <c r="T137" s="8">
        <f>Helpers!T12</f>
        <v/>
      </c>
      <c r="U137" s="8">
        <f>Helpers!U12</f>
        <v/>
      </c>
      <c r="V137" s="8">
        <f>Helpers!V12</f>
        <v/>
      </c>
      <c r="W137" s="8">
        <f>Helpers!W12</f>
        <v/>
      </c>
      <c r="X137" s="8">
        <f>Helpers!X12</f>
        <v/>
      </c>
      <c r="Y137" s="8">
        <f>Helpers!Y12</f>
        <v/>
      </c>
      <c r="Z137" s="8">
        <f>Helpers!Z12</f>
        <v/>
      </c>
      <c r="AA137" s="8">
        <f>Helpers!AA12</f>
        <v/>
      </c>
      <c r="AB137" s="8">
        <f>Helpers!AB12</f>
        <v/>
      </c>
      <c r="AC137" s="8">
        <f>Helpers!AC12</f>
        <v/>
      </c>
      <c r="AD137" s="8">
        <f>Helpers!AD12</f>
        <v/>
      </c>
      <c r="AE137" s="8">
        <f>Helpers!AE12</f>
        <v/>
      </c>
      <c r="AF137" s="8">
        <f>Helpers!AF12</f>
        <v/>
      </c>
      <c r="AG137" s="8">
        <f>Helpers!AG12</f>
        <v/>
      </c>
      <c r="AH137" s="8">
        <f>Helpers!AH12</f>
        <v/>
      </c>
      <c r="AI137" s="8">
        <f>Helpers!AI12</f>
        <v/>
      </c>
      <c r="AJ137" s="8">
        <f>Helpers!AJ12</f>
        <v/>
      </c>
      <c r="AK137" s="8">
        <f>Helpers!AK12</f>
        <v/>
      </c>
      <c r="AL137" s="8">
        <f>Helpers!AL12</f>
        <v/>
      </c>
      <c r="AM137" s="8">
        <f>Helpers!AM12</f>
        <v/>
      </c>
      <c r="AN137" s="8">
        <f>Helpers!AN12</f>
        <v/>
      </c>
      <c r="AO137" s="8">
        <f>Helpers!AO12</f>
        <v/>
      </c>
      <c r="AP137" s="8">
        <f>Helpers!AP12</f>
        <v/>
      </c>
      <c r="AQ137" s="8">
        <f>Helpers!AQ12</f>
        <v/>
      </c>
      <c r="AR137" s="8">
        <f>Helpers!AR12</f>
        <v/>
      </c>
      <c r="AS137" s="8">
        <f>Helpers!AS12</f>
        <v/>
      </c>
      <c r="AT137" s="8">
        <f>Helpers!AT12</f>
        <v/>
      </c>
      <c r="AU137" s="8">
        <f>Helpers!AU12</f>
        <v/>
      </c>
      <c r="AV137" s="8">
        <f>Helpers!AV12</f>
        <v/>
      </c>
      <c r="AW137" s="8">
        <f>Helpers!AW12</f>
        <v/>
      </c>
      <c r="AX137" s="8">
        <f>Helpers!AX12</f>
        <v/>
      </c>
      <c r="AY137" s="8">
        <f>Helpers!AY12</f>
        <v/>
      </c>
      <c r="AZ137" s="8">
        <f>Helpers!AZ12</f>
        <v/>
      </c>
      <c r="BA137" s="8">
        <f>Helpers!BA12</f>
        <v/>
      </c>
      <c r="BB137" s="8">
        <f>Helpers!BB12</f>
        <v/>
      </c>
      <c r="BC137" s="8">
        <f>Helpers!BC12</f>
        <v/>
      </c>
      <c r="BD137" s="8">
        <f>Helpers!BD12</f>
        <v/>
      </c>
      <c r="BE137" s="8">
        <f>Helpers!BE12</f>
        <v/>
      </c>
      <c r="BF137" s="8">
        <f>Helpers!BF12</f>
        <v/>
      </c>
      <c r="BG137" s="8">
        <f>Helpers!BG12</f>
        <v/>
      </c>
      <c r="BH137" s="8">
        <f>Helpers!BH12</f>
        <v/>
      </c>
      <c r="BI137" s="8">
        <f>Helpers!BI12</f>
        <v/>
      </c>
      <c r="BJ137" s="8">
        <f>Helpers!BJ12</f>
        <v/>
      </c>
      <c r="BK137" s="8">
        <f>Helpers!BK12</f>
        <v/>
      </c>
      <c r="BL137" s="8">
        <f>Helpers!BL12</f>
        <v/>
      </c>
      <c r="BM137" s="8">
        <f>Helpers!BM12</f>
        <v/>
      </c>
      <c r="BN137" s="8">
        <f>Helpers!BN12</f>
        <v/>
      </c>
      <c r="BO137" s="8">
        <f>Helpers!BO12</f>
        <v/>
      </c>
      <c r="BP137" s="8">
        <f>Helpers!BP12</f>
        <v/>
      </c>
      <c r="BQ137" s="8">
        <f>Helpers!BQ12</f>
        <v/>
      </c>
      <c r="BR137" s="8">
        <f>Helpers!BR12</f>
        <v/>
      </c>
      <c r="BS137" s="8">
        <f>Helpers!BS12</f>
        <v/>
      </c>
      <c r="BT137" s="8">
        <f>Helpers!BT12</f>
        <v/>
      </c>
      <c r="BU137" s="8">
        <f>Helpers!BU12</f>
        <v/>
      </c>
      <c r="BV137" s="8">
        <f>Helpers!BV12</f>
        <v/>
      </c>
      <c r="BW137" s="8">
        <f>Helpers!BW12</f>
        <v/>
      </c>
      <c r="BX137" s="8">
        <f>Helpers!BX12</f>
        <v/>
      </c>
      <c r="BY137" s="8">
        <f>Helpers!BY12</f>
        <v/>
      </c>
      <c r="BZ137" s="8">
        <f>Helpers!BZ12</f>
        <v/>
      </c>
      <c r="CA137" s="8">
        <f>Helpers!CA12</f>
        <v/>
      </c>
      <c r="CB137" s="8">
        <f>Helpers!CB12</f>
        <v/>
      </c>
      <c r="CC137" s="8">
        <f>Helpers!CC12</f>
        <v/>
      </c>
      <c r="CD137" s="8">
        <f>Helpers!CD12</f>
        <v/>
      </c>
      <c r="CE137" s="8">
        <f>Helpers!CE12</f>
        <v/>
      </c>
      <c r="CF137" s="8">
        <f>Helpers!CF12</f>
        <v/>
      </c>
      <c r="CG137" s="8">
        <f>Helpers!CG12</f>
        <v/>
      </c>
      <c r="CH137" s="8">
        <f>Helpers!CH12</f>
        <v/>
      </c>
      <c r="CI137" s="23" t="n"/>
      <c r="CJ137" s="54" t="n"/>
      <c r="CK137" s="54" t="n"/>
    </row>
    <row r="138" ht="15" customHeight="1" s="201">
      <c r="A138" s="7" t="inlineStr">
        <is>
          <t>Acama</t>
        </is>
      </c>
      <c r="B138" s="22" t="n"/>
      <c r="C138" s="8">
        <f>Helpers!C13</f>
        <v/>
      </c>
      <c r="D138" s="8">
        <f>Helpers!D13</f>
        <v/>
      </c>
      <c r="E138" s="8">
        <f>Helpers!E13</f>
        <v/>
      </c>
      <c r="F138" s="8">
        <f>Helpers!F13</f>
        <v/>
      </c>
      <c r="G138" s="8">
        <f>Helpers!G13</f>
        <v/>
      </c>
      <c r="H138" s="8">
        <f>Helpers!H13</f>
        <v/>
      </c>
      <c r="I138" s="8">
        <f>Helpers!I13</f>
        <v/>
      </c>
      <c r="J138" s="8">
        <f>Helpers!J13</f>
        <v/>
      </c>
      <c r="K138" s="8">
        <f>Helpers!K13</f>
        <v/>
      </c>
      <c r="L138" s="8">
        <f>Helpers!L13</f>
        <v/>
      </c>
      <c r="M138" s="8">
        <f>Helpers!M13</f>
        <v/>
      </c>
      <c r="N138" s="8">
        <f>Helpers!N13</f>
        <v/>
      </c>
      <c r="O138" s="8">
        <f>Helpers!O13</f>
        <v/>
      </c>
      <c r="P138" s="8">
        <f>Helpers!P13</f>
        <v/>
      </c>
      <c r="Q138" s="8">
        <f>Helpers!Q13</f>
        <v/>
      </c>
      <c r="R138" s="8">
        <f>Helpers!R13</f>
        <v/>
      </c>
      <c r="S138" s="8">
        <f>Helpers!S13</f>
        <v/>
      </c>
      <c r="T138" s="8">
        <f>Helpers!T13</f>
        <v/>
      </c>
      <c r="U138" s="8">
        <f>Helpers!U13</f>
        <v/>
      </c>
      <c r="V138" s="8">
        <f>Helpers!V13</f>
        <v/>
      </c>
      <c r="W138" s="8">
        <f>Helpers!W13</f>
        <v/>
      </c>
      <c r="X138" s="8">
        <f>Helpers!X13</f>
        <v/>
      </c>
      <c r="Y138" s="8">
        <f>Helpers!Y13</f>
        <v/>
      </c>
      <c r="Z138" s="8">
        <f>Helpers!Z13</f>
        <v/>
      </c>
      <c r="AA138" s="8">
        <f>Helpers!AA13</f>
        <v/>
      </c>
      <c r="AB138" s="8">
        <f>Helpers!AB13</f>
        <v/>
      </c>
      <c r="AC138" s="8">
        <f>Helpers!AC13</f>
        <v/>
      </c>
      <c r="AD138" s="8">
        <f>Helpers!AD13</f>
        <v/>
      </c>
      <c r="AE138" s="8">
        <f>Helpers!AE13</f>
        <v/>
      </c>
      <c r="AF138" s="8">
        <f>Helpers!AF13</f>
        <v/>
      </c>
      <c r="AG138" s="8">
        <f>Helpers!AG13</f>
        <v/>
      </c>
      <c r="AH138" s="8">
        <f>Helpers!AH13</f>
        <v/>
      </c>
      <c r="AI138" s="8">
        <f>Helpers!AI13</f>
        <v/>
      </c>
      <c r="AJ138" s="8">
        <f>Helpers!AJ13</f>
        <v/>
      </c>
      <c r="AK138" s="8">
        <f>Helpers!AK13</f>
        <v/>
      </c>
      <c r="AL138" s="8">
        <f>Helpers!AL13</f>
        <v/>
      </c>
      <c r="AM138" s="8">
        <f>Helpers!AM13</f>
        <v/>
      </c>
      <c r="AN138" s="8">
        <f>Helpers!AN13</f>
        <v/>
      </c>
      <c r="AO138" s="8">
        <f>Helpers!AO13</f>
        <v/>
      </c>
      <c r="AP138" s="8">
        <f>Helpers!AP13</f>
        <v/>
      </c>
      <c r="AQ138" s="8">
        <f>Helpers!AQ13</f>
        <v/>
      </c>
      <c r="AR138" s="8">
        <f>Helpers!AR13</f>
        <v/>
      </c>
      <c r="AS138" s="8">
        <f>Helpers!AS13</f>
        <v/>
      </c>
      <c r="AT138" s="8">
        <f>Helpers!AT13</f>
        <v/>
      </c>
      <c r="AU138" s="8">
        <f>Helpers!AU13</f>
        <v/>
      </c>
      <c r="AV138" s="8">
        <f>Helpers!AV13</f>
        <v/>
      </c>
      <c r="AW138" s="8">
        <f>Helpers!AW13</f>
        <v/>
      </c>
      <c r="AX138" s="8">
        <f>Helpers!AX13</f>
        <v/>
      </c>
      <c r="AY138" s="8">
        <f>Helpers!AY13</f>
        <v/>
      </c>
      <c r="AZ138" s="8">
        <f>Helpers!AZ13</f>
        <v/>
      </c>
      <c r="BA138" s="8">
        <f>Helpers!BA13</f>
        <v/>
      </c>
      <c r="BB138" s="8">
        <f>Helpers!BB13</f>
        <v/>
      </c>
      <c r="BC138" s="8">
        <f>Helpers!BC13</f>
        <v/>
      </c>
      <c r="BD138" s="8">
        <f>Helpers!BD13</f>
        <v/>
      </c>
      <c r="BE138" s="8">
        <f>Helpers!BE13</f>
        <v/>
      </c>
      <c r="BF138" s="8">
        <f>Helpers!BF13</f>
        <v/>
      </c>
      <c r="BG138" s="8">
        <f>Helpers!BG13</f>
        <v/>
      </c>
      <c r="BH138" s="8">
        <f>Helpers!BH13</f>
        <v/>
      </c>
      <c r="BI138" s="8">
        <f>Helpers!BI13</f>
        <v/>
      </c>
      <c r="BJ138" s="8">
        <f>Helpers!BJ13</f>
        <v/>
      </c>
      <c r="BK138" s="8">
        <f>Helpers!BK13</f>
        <v/>
      </c>
      <c r="BL138" s="8">
        <f>Helpers!BL13</f>
        <v/>
      </c>
      <c r="BM138" s="8">
        <f>Helpers!BM13</f>
        <v/>
      </c>
      <c r="BN138" s="8">
        <f>Helpers!BN13</f>
        <v/>
      </c>
      <c r="BO138" s="8">
        <f>Helpers!BO13</f>
        <v/>
      </c>
      <c r="BP138" s="8">
        <f>Helpers!BP13</f>
        <v/>
      </c>
      <c r="BQ138" s="8">
        <f>Helpers!BQ13</f>
        <v/>
      </c>
      <c r="BR138" s="8">
        <f>Helpers!BR13</f>
        <v/>
      </c>
      <c r="BS138" s="8">
        <f>Helpers!BS13</f>
        <v/>
      </c>
      <c r="BT138" s="8">
        <f>Helpers!BT13</f>
        <v/>
      </c>
      <c r="BU138" s="8">
        <f>Helpers!BU13</f>
        <v/>
      </c>
      <c r="BV138" s="8">
        <f>Helpers!BV13</f>
        <v/>
      </c>
      <c r="BW138" s="8">
        <f>Helpers!BW13</f>
        <v/>
      </c>
      <c r="BX138" s="8">
        <f>Helpers!BX13</f>
        <v/>
      </c>
      <c r="BY138" s="8">
        <f>Helpers!BY13</f>
        <v/>
      </c>
      <c r="BZ138" s="8">
        <f>Helpers!BZ13</f>
        <v/>
      </c>
      <c r="CA138" s="8">
        <f>Helpers!CA13</f>
        <v/>
      </c>
      <c r="CB138" s="8">
        <f>Helpers!CB13</f>
        <v/>
      </c>
      <c r="CC138" s="8">
        <f>Helpers!CC13</f>
        <v/>
      </c>
      <c r="CD138" s="8">
        <f>Helpers!CD13</f>
        <v/>
      </c>
      <c r="CE138" s="8">
        <f>Helpers!CE13</f>
        <v/>
      </c>
      <c r="CF138" s="8">
        <f>Helpers!CF13</f>
        <v/>
      </c>
      <c r="CG138" s="8">
        <f>Helpers!CG13</f>
        <v/>
      </c>
      <c r="CH138" s="8">
        <f>Helpers!CH13</f>
        <v/>
      </c>
      <c r="CI138" s="23" t="n"/>
      <c r="CJ138" s="54" t="n"/>
      <c r="CK138" s="54" t="n"/>
    </row>
    <row r="139" ht="15" customHeight="1" s="201">
      <c r="A139" s="7" t="inlineStr">
        <is>
          <t>Reseda</t>
        </is>
      </c>
      <c r="B139" s="22" t="n"/>
      <c r="C139" s="8">
        <f>Helpers!C14</f>
        <v/>
      </c>
      <c r="D139" s="8">
        <f>Helpers!D14</f>
        <v/>
      </c>
      <c r="E139" s="8">
        <f>Helpers!E14</f>
        <v/>
      </c>
      <c r="F139" s="8">
        <f>Helpers!F14</f>
        <v/>
      </c>
      <c r="G139" s="8">
        <f>Helpers!G14</f>
        <v/>
      </c>
      <c r="H139" s="8">
        <f>Helpers!H14</f>
        <v/>
      </c>
      <c r="I139" s="8">
        <f>Helpers!I14</f>
        <v/>
      </c>
      <c r="J139" s="8">
        <f>Helpers!J14</f>
        <v/>
      </c>
      <c r="K139" s="8">
        <f>Helpers!K14</f>
        <v/>
      </c>
      <c r="L139" s="8">
        <f>Helpers!L14</f>
        <v/>
      </c>
      <c r="M139" s="8">
        <f>Helpers!M14</f>
        <v/>
      </c>
      <c r="N139" s="8">
        <f>Helpers!N14</f>
        <v/>
      </c>
      <c r="O139" s="8">
        <f>Helpers!O14</f>
        <v/>
      </c>
      <c r="P139" s="8">
        <f>Helpers!P14</f>
        <v/>
      </c>
      <c r="Q139" s="8">
        <f>Helpers!Q14</f>
        <v/>
      </c>
      <c r="R139" s="8">
        <f>Helpers!R14</f>
        <v/>
      </c>
      <c r="S139" s="8">
        <f>Helpers!S14</f>
        <v/>
      </c>
      <c r="T139" s="8">
        <f>Helpers!T14</f>
        <v/>
      </c>
      <c r="U139" s="8">
        <f>Helpers!U14</f>
        <v/>
      </c>
      <c r="V139" s="8">
        <f>Helpers!V14</f>
        <v/>
      </c>
      <c r="W139" s="8">
        <f>Helpers!W14</f>
        <v/>
      </c>
      <c r="X139" s="8">
        <f>Helpers!X14</f>
        <v/>
      </c>
      <c r="Y139" s="8">
        <f>Helpers!Y14</f>
        <v/>
      </c>
      <c r="Z139" s="8">
        <f>Helpers!Z14</f>
        <v/>
      </c>
      <c r="AA139" s="8">
        <f>Helpers!AA14</f>
        <v/>
      </c>
      <c r="AB139" s="8">
        <f>Helpers!AB14</f>
        <v/>
      </c>
      <c r="AC139" s="8">
        <f>Helpers!AC14</f>
        <v/>
      </c>
      <c r="AD139" s="8">
        <f>Helpers!AD14</f>
        <v/>
      </c>
      <c r="AE139" s="8">
        <f>Helpers!AE14</f>
        <v/>
      </c>
      <c r="AF139" s="8">
        <f>Helpers!AF14</f>
        <v/>
      </c>
      <c r="AG139" s="8">
        <f>Helpers!AG14</f>
        <v/>
      </c>
      <c r="AH139" s="8">
        <f>Helpers!AH14</f>
        <v/>
      </c>
      <c r="AI139" s="8">
        <f>Helpers!AI14</f>
        <v/>
      </c>
      <c r="AJ139" s="8">
        <f>Helpers!AJ14</f>
        <v/>
      </c>
      <c r="AK139" s="8">
        <f>Helpers!AK14</f>
        <v/>
      </c>
      <c r="AL139" s="8">
        <f>Helpers!AL14</f>
        <v/>
      </c>
      <c r="AM139" s="8">
        <f>Helpers!AM14</f>
        <v/>
      </c>
      <c r="AN139" s="8">
        <f>Helpers!AN14</f>
        <v/>
      </c>
      <c r="AO139" s="8">
        <f>Helpers!AO14</f>
        <v/>
      </c>
      <c r="AP139" s="8">
        <f>Helpers!AP14</f>
        <v/>
      </c>
      <c r="AQ139" s="8">
        <f>Helpers!AQ14</f>
        <v/>
      </c>
      <c r="AR139" s="8">
        <f>Helpers!AR14</f>
        <v/>
      </c>
      <c r="AS139" s="8">
        <f>Helpers!AS14</f>
        <v/>
      </c>
      <c r="AT139" s="8">
        <f>Helpers!AT14</f>
        <v/>
      </c>
      <c r="AU139" s="8">
        <f>Helpers!AU14</f>
        <v/>
      </c>
      <c r="AV139" s="8">
        <f>Helpers!AV14</f>
        <v/>
      </c>
      <c r="AW139" s="8">
        <f>Helpers!AW14</f>
        <v/>
      </c>
      <c r="AX139" s="8">
        <f>Helpers!AX14</f>
        <v/>
      </c>
      <c r="AY139" s="8">
        <f>Helpers!AY14</f>
        <v/>
      </c>
      <c r="AZ139" s="8">
        <f>Helpers!AZ14</f>
        <v/>
      </c>
      <c r="BA139" s="8">
        <f>Helpers!BA14</f>
        <v/>
      </c>
      <c r="BB139" s="8">
        <f>Helpers!BB14</f>
        <v/>
      </c>
      <c r="BC139" s="8">
        <f>Helpers!BC14</f>
        <v/>
      </c>
      <c r="BD139" s="8">
        <f>Helpers!BD14</f>
        <v/>
      </c>
      <c r="BE139" s="8">
        <f>Helpers!BE14</f>
        <v/>
      </c>
      <c r="BF139" s="8">
        <f>Helpers!BF14</f>
        <v/>
      </c>
      <c r="BG139" s="8">
        <f>Helpers!BG14</f>
        <v/>
      </c>
      <c r="BH139" s="8">
        <f>Helpers!BH14</f>
        <v/>
      </c>
      <c r="BI139" s="8">
        <f>Helpers!BI14</f>
        <v/>
      </c>
      <c r="BJ139" s="8">
        <f>Helpers!BJ14</f>
        <v/>
      </c>
      <c r="BK139" s="8">
        <f>Helpers!BK14</f>
        <v/>
      </c>
      <c r="BL139" s="8">
        <f>Helpers!BL14</f>
        <v/>
      </c>
      <c r="BM139" s="8">
        <f>Helpers!BM14</f>
        <v/>
      </c>
      <c r="BN139" s="8">
        <f>Helpers!BN14</f>
        <v/>
      </c>
      <c r="BO139" s="8">
        <f>Helpers!BO14</f>
        <v/>
      </c>
      <c r="BP139" s="8">
        <f>Helpers!BP14</f>
        <v/>
      </c>
      <c r="BQ139" s="8">
        <f>Helpers!BQ14</f>
        <v/>
      </c>
      <c r="BR139" s="8">
        <f>Helpers!BR14</f>
        <v/>
      </c>
      <c r="BS139" s="8">
        <f>Helpers!BS14</f>
        <v/>
      </c>
      <c r="BT139" s="8">
        <f>Helpers!BT14</f>
        <v/>
      </c>
      <c r="BU139" s="8">
        <f>Helpers!BU14</f>
        <v/>
      </c>
      <c r="BV139" s="8">
        <f>Helpers!BV14</f>
        <v/>
      </c>
      <c r="BW139" s="8">
        <f>Helpers!BW14</f>
        <v/>
      </c>
      <c r="BX139" s="8">
        <f>Helpers!BX14</f>
        <v/>
      </c>
      <c r="BY139" s="8">
        <f>Helpers!BY14</f>
        <v/>
      </c>
      <c r="BZ139" s="8">
        <f>Helpers!BZ14</f>
        <v/>
      </c>
      <c r="CA139" s="8">
        <f>Helpers!CA14</f>
        <v/>
      </c>
      <c r="CB139" s="8">
        <f>Helpers!CB14</f>
        <v/>
      </c>
      <c r="CC139" s="8">
        <f>Helpers!CC14</f>
        <v/>
      </c>
      <c r="CD139" s="8">
        <f>Helpers!CD14</f>
        <v/>
      </c>
      <c r="CE139" s="8">
        <f>Helpers!CE14</f>
        <v/>
      </c>
      <c r="CF139" s="8">
        <f>Helpers!CF14</f>
        <v/>
      </c>
      <c r="CG139" s="8">
        <f>Helpers!CG14</f>
        <v/>
      </c>
      <c r="CH139" s="8">
        <f>Helpers!CH14</f>
        <v/>
      </c>
      <c r="CI139" s="23" t="n"/>
      <c r="CJ139" s="54" t="n"/>
      <c r="CK139" s="54" t="n"/>
    </row>
    <row r="140" ht="15" customHeight="1" s="201">
      <c r="A140" s="7" t="inlineStr">
        <is>
          <t>3rd St</t>
        </is>
      </c>
      <c r="B140" s="22" t="n"/>
      <c r="C140" s="8">
        <f>Helpers!C15</f>
        <v/>
      </c>
      <c r="D140" s="8">
        <f>Helpers!D15</f>
        <v/>
      </c>
      <c r="E140" s="8">
        <f>Helpers!E15</f>
        <v/>
      </c>
      <c r="F140" s="8">
        <f>Helpers!F15</f>
        <v/>
      </c>
      <c r="G140" s="8">
        <f>Helpers!G15</f>
        <v/>
      </c>
      <c r="H140" s="8">
        <f>Helpers!H15</f>
        <v/>
      </c>
      <c r="I140" s="8">
        <f>Helpers!I15</f>
        <v/>
      </c>
      <c r="J140" s="8">
        <f>Helpers!J15</f>
        <v/>
      </c>
      <c r="K140" s="8">
        <f>Helpers!K15</f>
        <v/>
      </c>
      <c r="L140" s="8">
        <f>Helpers!L15</f>
        <v/>
      </c>
      <c r="M140" s="8">
        <f>Helpers!M15</f>
        <v/>
      </c>
      <c r="N140" s="8">
        <f>Helpers!N15</f>
        <v/>
      </c>
      <c r="O140" s="8">
        <f>Helpers!O15</f>
        <v/>
      </c>
      <c r="P140" s="8">
        <f>Helpers!P15</f>
        <v/>
      </c>
      <c r="Q140" s="8">
        <f>Helpers!Q15</f>
        <v/>
      </c>
      <c r="R140" s="8">
        <f>Helpers!R15</f>
        <v/>
      </c>
      <c r="S140" s="8">
        <f>Helpers!S15</f>
        <v/>
      </c>
      <c r="T140" s="8">
        <f>Helpers!T15</f>
        <v/>
      </c>
      <c r="U140" s="8">
        <f>Helpers!U15</f>
        <v/>
      </c>
      <c r="V140" s="8">
        <f>Helpers!V15</f>
        <v/>
      </c>
      <c r="W140" s="8">
        <f>Helpers!W15</f>
        <v/>
      </c>
      <c r="X140" s="8">
        <f>Helpers!X15</f>
        <v/>
      </c>
      <c r="Y140" s="8">
        <f>Helpers!Y15</f>
        <v/>
      </c>
      <c r="Z140" s="8">
        <f>Helpers!Z15</f>
        <v/>
      </c>
      <c r="AA140" s="8">
        <f>Helpers!AA15</f>
        <v/>
      </c>
      <c r="AB140" s="8">
        <f>Helpers!AB15</f>
        <v/>
      </c>
      <c r="AC140" s="8">
        <f>Helpers!AC15</f>
        <v/>
      </c>
      <c r="AD140" s="8">
        <f>Helpers!AD15</f>
        <v/>
      </c>
      <c r="AE140" s="8">
        <f>Helpers!AE15</f>
        <v/>
      </c>
      <c r="AF140" s="8">
        <f>Helpers!AF15</f>
        <v/>
      </c>
      <c r="AG140" s="8">
        <f>Helpers!AG15</f>
        <v/>
      </c>
      <c r="AH140" s="8">
        <f>Helpers!AH15</f>
        <v/>
      </c>
      <c r="AI140" s="8">
        <f>Helpers!AI15</f>
        <v/>
      </c>
      <c r="AJ140" s="8">
        <f>Helpers!AJ15</f>
        <v/>
      </c>
      <c r="AK140" s="8">
        <f>Helpers!AK15</f>
        <v/>
      </c>
      <c r="AL140" s="8">
        <f>Helpers!AL15</f>
        <v/>
      </c>
      <c r="AM140" s="8">
        <f>Helpers!AM15</f>
        <v/>
      </c>
      <c r="AN140" s="8">
        <f>Helpers!AN15</f>
        <v/>
      </c>
      <c r="AO140" s="8">
        <f>Helpers!AO15</f>
        <v/>
      </c>
      <c r="AP140" s="8">
        <f>Helpers!AP15</f>
        <v/>
      </c>
      <c r="AQ140" s="8">
        <f>Helpers!AQ15</f>
        <v/>
      </c>
      <c r="AR140" s="8">
        <f>Helpers!AR15</f>
        <v/>
      </c>
      <c r="AS140" s="8">
        <f>Helpers!AS15</f>
        <v/>
      </c>
      <c r="AT140" s="8">
        <f>Helpers!AT15</f>
        <v/>
      </c>
      <c r="AU140" s="8">
        <f>Helpers!AU15</f>
        <v/>
      </c>
      <c r="AV140" s="8">
        <f>Helpers!AV15</f>
        <v/>
      </c>
      <c r="AW140" s="8">
        <f>Helpers!AW15</f>
        <v/>
      </c>
      <c r="AX140" s="8">
        <f>Helpers!AX15</f>
        <v/>
      </c>
      <c r="AY140" s="8">
        <f>Helpers!AY15</f>
        <v/>
      </c>
      <c r="AZ140" s="8">
        <f>Helpers!AZ15</f>
        <v/>
      </c>
      <c r="BA140" s="8">
        <f>Helpers!BA15</f>
        <v/>
      </c>
      <c r="BB140" s="8">
        <f>Helpers!BB15</f>
        <v/>
      </c>
      <c r="BC140" s="8">
        <f>Helpers!BC15</f>
        <v/>
      </c>
      <c r="BD140" s="8">
        <f>Helpers!BD15</f>
        <v/>
      </c>
      <c r="BE140" s="8">
        <f>Helpers!BE15</f>
        <v/>
      </c>
      <c r="BF140" s="8">
        <f>Helpers!BF15</f>
        <v/>
      </c>
      <c r="BG140" s="8">
        <f>Helpers!BG15</f>
        <v/>
      </c>
      <c r="BH140" s="8">
        <f>Helpers!BH15</f>
        <v/>
      </c>
      <c r="BI140" s="8">
        <f>Helpers!BI15</f>
        <v/>
      </c>
      <c r="BJ140" s="8">
        <f>Helpers!BJ15</f>
        <v/>
      </c>
      <c r="BK140" s="8">
        <f>Helpers!BK15</f>
        <v/>
      </c>
      <c r="BL140" s="8">
        <f>Helpers!BL15</f>
        <v/>
      </c>
      <c r="BM140" s="8">
        <f>Helpers!BM15</f>
        <v/>
      </c>
      <c r="BN140" s="8">
        <f>Helpers!BN15</f>
        <v/>
      </c>
      <c r="BO140" s="8">
        <f>Helpers!BO15</f>
        <v/>
      </c>
      <c r="BP140" s="8">
        <f>Helpers!BP15</f>
        <v/>
      </c>
      <c r="BQ140" s="8">
        <f>Helpers!BQ15</f>
        <v/>
      </c>
      <c r="BR140" s="8">
        <f>Helpers!BR15</f>
        <v/>
      </c>
      <c r="BS140" s="8">
        <f>Helpers!BS15</f>
        <v/>
      </c>
      <c r="BT140" s="8">
        <f>Helpers!BT15</f>
        <v/>
      </c>
      <c r="BU140" s="8">
        <f>Helpers!BU15</f>
        <v/>
      </c>
      <c r="BV140" s="8">
        <f>Helpers!BV15</f>
        <v/>
      </c>
      <c r="BW140" s="8">
        <f>Helpers!BW15</f>
        <v/>
      </c>
      <c r="BX140" s="8">
        <f>Helpers!BX15</f>
        <v/>
      </c>
      <c r="BY140" s="8">
        <f>Helpers!BY15</f>
        <v/>
      </c>
      <c r="BZ140" s="8">
        <f>Helpers!BZ15</f>
        <v/>
      </c>
      <c r="CA140" s="8">
        <f>Helpers!CA15</f>
        <v/>
      </c>
      <c r="CB140" s="8">
        <f>Helpers!CB15</f>
        <v/>
      </c>
      <c r="CC140" s="8">
        <f>Helpers!CC15</f>
        <v/>
      </c>
      <c r="CD140" s="8">
        <f>Helpers!CD15</f>
        <v/>
      </c>
      <c r="CE140" s="8">
        <f>Helpers!CE15</f>
        <v/>
      </c>
      <c r="CF140" s="8">
        <f>Helpers!CF15</f>
        <v/>
      </c>
      <c r="CG140" s="8">
        <f>Helpers!CG15</f>
        <v/>
      </c>
      <c r="CH140" s="8">
        <f>Helpers!CH15</f>
        <v/>
      </c>
      <c r="CI140" s="23" t="n"/>
      <c r="CJ140" s="54" t="n"/>
      <c r="CK140" s="54" t="n"/>
    </row>
    <row r="141" ht="15" customHeight="1" s="201">
      <c r="A141" s="9" t="inlineStr">
        <is>
          <t>Total Bonding Outstanding</t>
        </is>
      </c>
      <c r="B141" s="28" t="n"/>
      <c r="C141" s="10">
        <f>SUM(C133:C140)</f>
        <v/>
      </c>
      <c r="D141" s="10">
        <f>SUM(D133:D140)</f>
        <v/>
      </c>
      <c r="E141" s="10">
        <f>SUM(E133:E140)</f>
        <v/>
      </c>
      <c r="F141" s="10">
        <f>SUM(F133:F140)</f>
        <v/>
      </c>
      <c r="G141" s="10">
        <f>SUM(G133:G140)</f>
        <v/>
      </c>
      <c r="H141" s="10">
        <f>SUM(H133:H140)</f>
        <v/>
      </c>
      <c r="I141" s="10">
        <f>SUM(I133:I140)</f>
        <v/>
      </c>
      <c r="J141" s="10">
        <f>SUM(J133:J140)</f>
        <v/>
      </c>
      <c r="K141" s="10">
        <f>SUM(K133:K140)</f>
        <v/>
      </c>
      <c r="L141" s="10">
        <f>SUM(L133:L140)</f>
        <v/>
      </c>
      <c r="M141" s="10">
        <f>SUM(M133:M140)</f>
        <v/>
      </c>
      <c r="N141" s="10">
        <f>SUM(N133:N140)</f>
        <v/>
      </c>
      <c r="O141" s="10">
        <f>SUM(O133:O140)</f>
        <v/>
      </c>
      <c r="P141" s="10">
        <f>SUM(P133:P140)</f>
        <v/>
      </c>
      <c r="Q141" s="10">
        <f>SUM(Q133:Q140)</f>
        <v/>
      </c>
      <c r="R141" s="10">
        <f>SUM(R133:R140)</f>
        <v/>
      </c>
      <c r="S141" s="10">
        <f>SUM(S133:S140)</f>
        <v/>
      </c>
      <c r="T141" s="10">
        <f>SUM(T133:T140)</f>
        <v/>
      </c>
      <c r="U141" s="10">
        <f>SUM(U133:U140)</f>
        <v/>
      </c>
      <c r="V141" s="10">
        <f>SUM(V133:V140)</f>
        <v/>
      </c>
      <c r="W141" s="10">
        <f>SUM(W133:W140)</f>
        <v/>
      </c>
      <c r="X141" s="10">
        <f>SUM(X133:X140)</f>
        <v/>
      </c>
      <c r="Y141" s="10">
        <f>SUM(Y133:Y140)</f>
        <v/>
      </c>
      <c r="Z141" s="10">
        <f>SUM(Z133:Z140)</f>
        <v/>
      </c>
      <c r="AA141" s="10">
        <f>SUM(AA133:AA140)</f>
        <v/>
      </c>
      <c r="AB141" s="10">
        <f>SUM(AB133:AB140)</f>
        <v/>
      </c>
      <c r="AC141" s="10">
        <f>SUM(AC133:AC140)</f>
        <v/>
      </c>
      <c r="AD141" s="10">
        <f>SUM(AD133:AD140)</f>
        <v/>
      </c>
      <c r="AE141" s="10">
        <f>SUM(AE133:AE140)</f>
        <v/>
      </c>
      <c r="AF141" s="10">
        <f>SUM(AF133:AF140)</f>
        <v/>
      </c>
      <c r="AG141" s="10">
        <f>SUM(AG133:AG140)</f>
        <v/>
      </c>
      <c r="AH141" s="10">
        <f>SUM(AH133:AH140)</f>
        <v/>
      </c>
      <c r="AI141" s="10">
        <f>SUM(AI133:AI140)</f>
        <v/>
      </c>
      <c r="AJ141" s="10">
        <f>SUM(AJ133:AJ140)</f>
        <v/>
      </c>
      <c r="AK141" s="10">
        <f>SUM(AK133:AK140)</f>
        <v/>
      </c>
      <c r="AL141" s="10">
        <f>SUM(AL133:AL140)</f>
        <v/>
      </c>
      <c r="AM141" s="10">
        <f>SUM(AM133:AM140)</f>
        <v/>
      </c>
      <c r="AN141" s="10">
        <f>SUM(AN133:AN140)</f>
        <v/>
      </c>
      <c r="AO141" s="10">
        <f>SUM(AO133:AO140)</f>
        <v/>
      </c>
      <c r="AP141" s="10">
        <f>SUM(AP133:AP140)</f>
        <v/>
      </c>
      <c r="AQ141" s="10">
        <f>SUM(AQ133:AQ140)</f>
        <v/>
      </c>
      <c r="AR141" s="10">
        <f>SUM(AR133:AR140)</f>
        <v/>
      </c>
      <c r="AS141" s="10">
        <f>SUM(AS133:AS140)</f>
        <v/>
      </c>
      <c r="AT141" s="10">
        <f>SUM(AT133:AT140)</f>
        <v/>
      </c>
      <c r="AU141" s="10">
        <f>SUM(AU133:AU140)</f>
        <v/>
      </c>
      <c r="AV141" s="10">
        <f>SUM(AV133:AV140)</f>
        <v/>
      </c>
      <c r="AW141" s="10">
        <f>SUM(AW133:AW140)</f>
        <v/>
      </c>
      <c r="AX141" s="10">
        <f>SUM(AX133:AX140)</f>
        <v/>
      </c>
      <c r="AY141" s="10">
        <f>SUM(AY133:AY140)</f>
        <v/>
      </c>
      <c r="AZ141" s="10">
        <f>SUM(AZ133:AZ140)</f>
        <v/>
      </c>
      <c r="BA141" s="10">
        <f>SUM(BA133:BA140)</f>
        <v/>
      </c>
      <c r="BB141" s="10">
        <f>SUM(BB133:BB140)</f>
        <v/>
      </c>
      <c r="BC141" s="10">
        <f>SUM(BC133:BC140)</f>
        <v/>
      </c>
      <c r="BD141" s="10">
        <f>SUM(BD133:BD140)</f>
        <v/>
      </c>
      <c r="BE141" s="10">
        <f>SUM(BE133:BE140)</f>
        <v/>
      </c>
      <c r="BF141" s="10">
        <f>SUM(BF133:BF140)</f>
        <v/>
      </c>
      <c r="BG141" s="10">
        <f>SUM(BG133:BG140)</f>
        <v/>
      </c>
      <c r="BH141" s="10">
        <f>SUM(BH133:BH140)</f>
        <v/>
      </c>
      <c r="BI141" s="10">
        <f>SUM(BI133:BI140)</f>
        <v/>
      </c>
      <c r="BJ141" s="10">
        <f>SUM(BJ133:BJ140)</f>
        <v/>
      </c>
      <c r="BK141" s="10">
        <f>SUM(BK133:BK140)</f>
        <v/>
      </c>
      <c r="BL141" s="10">
        <f>SUM(BL133:BL140)</f>
        <v/>
      </c>
      <c r="BM141" s="10">
        <f>SUM(BM133:BM140)</f>
        <v/>
      </c>
      <c r="BN141" s="10">
        <f>SUM(BN133:BN140)</f>
        <v/>
      </c>
      <c r="BO141" s="10">
        <f>SUM(BO133:BO140)</f>
        <v/>
      </c>
      <c r="BP141" s="10">
        <f>SUM(BP133:BP140)</f>
        <v/>
      </c>
      <c r="BQ141" s="10">
        <f>SUM(BQ133:BQ140)</f>
        <v/>
      </c>
      <c r="BR141" s="10">
        <f>SUM(BR133:BR140)</f>
        <v/>
      </c>
      <c r="BS141" s="10">
        <f>SUM(BS133:BS140)</f>
        <v/>
      </c>
      <c r="BT141" s="10">
        <f>SUM(BT133:BT140)</f>
        <v/>
      </c>
      <c r="BU141" s="10">
        <f>SUM(BU133:BU140)</f>
        <v/>
      </c>
      <c r="BV141" s="10">
        <f>SUM(BV133:BV140)</f>
        <v/>
      </c>
      <c r="BW141" s="10">
        <f>SUM(BW133:BW140)</f>
        <v/>
      </c>
      <c r="BX141" s="10">
        <f>SUM(BX133:BX140)</f>
        <v/>
      </c>
      <c r="BY141" s="10">
        <f>SUM(BY133:BY140)</f>
        <v/>
      </c>
      <c r="BZ141" s="10">
        <f>SUM(BZ133:BZ140)</f>
        <v/>
      </c>
      <c r="CA141" s="10">
        <f>SUM(CA133:CA140)</f>
        <v/>
      </c>
      <c r="CB141" s="10">
        <f>SUM(CB133:CB140)</f>
        <v/>
      </c>
      <c r="CC141" s="10">
        <f>SUM(CC133:CC140)</f>
        <v/>
      </c>
      <c r="CD141" s="10">
        <f>SUM(CD133:CD140)</f>
        <v/>
      </c>
      <c r="CE141" s="10">
        <f>SUM(CE133:CE140)</f>
        <v/>
      </c>
      <c r="CF141" s="10">
        <f>SUM(CF133:CF140)</f>
        <v/>
      </c>
      <c r="CG141" s="10">
        <f>SUM(CG133:CG140)</f>
        <v/>
      </c>
      <c r="CH141" s="10">
        <f>SUM(CH133:CH140)</f>
        <v/>
      </c>
      <c r="CI141" s="23" t="n"/>
      <c r="CJ141" s="54" t="n"/>
      <c r="CK141" s="54" t="n"/>
    </row>
    <row r="142" ht="15" customHeight="1" s="201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  <c r="AJ142" s="22" t="n"/>
      <c r="AK142" s="22" t="n"/>
      <c r="AL142" s="22" t="n"/>
      <c r="AM142" s="22" t="n"/>
      <c r="AN142" s="22" t="n"/>
      <c r="AO142" s="22" t="n"/>
      <c r="AP142" s="22" t="n"/>
      <c r="AQ142" s="22" t="n"/>
      <c r="AR142" s="22" t="n"/>
      <c r="AS142" s="22" t="n"/>
      <c r="AT142" s="22" t="n"/>
      <c r="AU142" s="22" t="n"/>
      <c r="AV142" s="22" t="n"/>
      <c r="AW142" s="22" t="n"/>
      <c r="AX142" s="22" t="n"/>
      <c r="AY142" s="22" t="n"/>
      <c r="AZ142" s="22" t="n"/>
      <c r="BA142" s="22" t="n"/>
      <c r="BB142" s="22" t="n"/>
      <c r="BC142" s="22" t="n"/>
      <c r="BD142" s="22" t="n"/>
      <c r="BE142" s="22" t="n"/>
      <c r="BF142" s="22" t="n"/>
      <c r="BG142" s="22" t="n"/>
      <c r="BH142" s="22" t="n"/>
      <c r="BI142" s="22" t="n"/>
      <c r="BJ142" s="22" t="n"/>
      <c r="BK142" s="22" t="n"/>
      <c r="BL142" s="22" t="n"/>
      <c r="BM142" s="22" t="n"/>
      <c r="BN142" s="22" t="n"/>
      <c r="BO142" s="22" t="n"/>
      <c r="BP142" s="22" t="n"/>
      <c r="BQ142" s="22" t="n"/>
      <c r="BR142" s="22" t="n"/>
      <c r="BS142" s="22" t="n"/>
      <c r="BT142" s="22" t="n"/>
      <c r="BU142" s="22" t="n"/>
      <c r="BV142" s="22" t="n"/>
      <c r="BW142" s="22" t="n"/>
      <c r="BX142" s="22" t="n"/>
      <c r="BY142" s="22" t="n"/>
      <c r="BZ142" s="22" t="n"/>
      <c r="CA142" s="22" t="n"/>
      <c r="CB142" s="22" t="n"/>
      <c r="CC142" s="22" t="n"/>
      <c r="CD142" s="22" t="n"/>
      <c r="CE142" s="22" t="n"/>
      <c r="CF142" s="22" t="n"/>
      <c r="CG142" s="22" t="n"/>
      <c r="CH142" s="22" t="n"/>
      <c r="CI142" s="23" t="n"/>
      <c r="CJ142" s="54" t="n"/>
      <c r="CK142" s="54" t="n"/>
    </row>
    <row r="143" ht="15" customHeight="1" s="201">
      <c r="A143" s="26" t="inlineStr">
        <is>
          <t>CASH ON HAND</t>
        </is>
      </c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  <c r="AA143" s="26" t="n"/>
      <c r="AB143" s="26" t="n"/>
      <c r="AC143" s="26" t="n"/>
      <c r="AD143" s="26" t="n"/>
      <c r="AE143" s="26" t="n"/>
      <c r="AF143" s="26" t="n"/>
      <c r="AG143" s="26" t="n"/>
      <c r="AH143" s="26" t="n"/>
      <c r="AI143" s="26" t="n"/>
      <c r="AJ143" s="26" t="n"/>
      <c r="AK143" s="26" t="n"/>
      <c r="AL143" s="26" t="n"/>
      <c r="AM143" s="26" t="n"/>
      <c r="AN143" s="26" t="n"/>
      <c r="AO143" s="26" t="n"/>
      <c r="AP143" s="26" t="n"/>
      <c r="AQ143" s="26" t="n"/>
      <c r="AR143" s="26" t="n"/>
      <c r="AS143" s="26" t="n"/>
      <c r="AT143" s="26" t="n"/>
      <c r="AU143" s="26" t="n"/>
      <c r="AV143" s="26" t="n"/>
      <c r="AW143" s="26" t="n"/>
      <c r="AX143" s="26" t="n"/>
      <c r="AY143" s="26" t="n"/>
      <c r="AZ143" s="26" t="n"/>
      <c r="BA143" s="26" t="n"/>
      <c r="BB143" s="26" t="n"/>
      <c r="BC143" s="26" t="n"/>
      <c r="BD143" s="26" t="n"/>
      <c r="BE143" s="26" t="n"/>
      <c r="BF143" s="26" t="n"/>
      <c r="BG143" s="26" t="n"/>
      <c r="BH143" s="26" t="n"/>
      <c r="BI143" s="26" t="n"/>
      <c r="BJ143" s="26" t="n"/>
      <c r="BK143" s="26" t="n"/>
      <c r="BL143" s="26" t="n"/>
      <c r="BM143" s="26" t="n"/>
      <c r="BN143" s="26" t="n"/>
      <c r="BO143" s="26" t="n"/>
      <c r="BP143" s="26" t="n"/>
      <c r="BQ143" s="26" t="n"/>
      <c r="BR143" s="26" t="n"/>
      <c r="BS143" s="26" t="n"/>
      <c r="BT143" s="26" t="n"/>
      <c r="BU143" s="26" t="n"/>
      <c r="BV143" s="26" t="n"/>
      <c r="BW143" s="26" t="n"/>
      <c r="BX143" s="26" t="n"/>
      <c r="BY143" s="26" t="n"/>
      <c r="BZ143" s="26" t="n"/>
      <c r="CA143" s="26" t="n"/>
      <c r="CB143" s="26" t="n"/>
      <c r="CC143" s="26" t="n"/>
      <c r="CD143" s="26" t="n"/>
      <c r="CE143" s="26" t="n"/>
      <c r="CF143" s="26" t="n"/>
      <c r="CG143" s="26" t="n"/>
      <c r="CH143" s="26" t="n"/>
      <c r="CI143" s="23" t="n"/>
      <c r="CJ143" s="54" t="n"/>
      <c r="CK143" s="54" t="n"/>
    </row>
    <row r="144" ht="8.25" customHeight="1" s="201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  <c r="Z144" s="55" t="n"/>
      <c r="AA144" s="55" t="n"/>
      <c r="AB144" s="55" t="n"/>
      <c r="AC144" s="55" t="n"/>
      <c r="AD144" s="55" t="n"/>
      <c r="AE144" s="55" t="n"/>
      <c r="AF144" s="55" t="n"/>
      <c r="AG144" s="55" t="n"/>
      <c r="AH144" s="55" t="n"/>
      <c r="AI144" s="55" t="n"/>
      <c r="AJ144" s="55" t="n"/>
      <c r="AK144" s="55" t="n"/>
      <c r="AL144" s="55" t="n"/>
      <c r="AM144" s="55" t="n"/>
      <c r="AN144" s="55" t="n"/>
      <c r="AO144" s="55" t="n"/>
      <c r="AP144" s="55" t="n"/>
      <c r="AQ144" s="55" t="n"/>
      <c r="AR144" s="55" t="n"/>
      <c r="AS144" s="55" t="n"/>
      <c r="AT144" s="55" t="n"/>
      <c r="AU144" s="55" t="n"/>
      <c r="AV144" s="55" t="n"/>
      <c r="AW144" s="55" t="n"/>
      <c r="AX144" s="55" t="n"/>
      <c r="AY144" s="55" t="n"/>
      <c r="AZ144" s="55" t="n"/>
      <c r="BA144" s="55" t="n"/>
      <c r="BB144" s="55" t="n"/>
      <c r="BC144" s="55" t="n"/>
      <c r="BD144" s="55" t="n"/>
      <c r="BE144" s="55" t="n"/>
      <c r="BF144" s="55" t="n"/>
      <c r="BG144" s="55" t="n"/>
      <c r="BH144" s="55" t="n"/>
      <c r="BI144" s="55" t="n"/>
      <c r="BJ144" s="55" t="n"/>
      <c r="BK144" s="55" t="n"/>
      <c r="BL144" s="55" t="n"/>
      <c r="BM144" s="55" t="n"/>
      <c r="BN144" s="55" t="n"/>
      <c r="BO144" s="55" t="n"/>
      <c r="BP144" s="55" t="n"/>
      <c r="BQ144" s="55" t="n"/>
      <c r="BR144" s="55" t="n"/>
      <c r="BS144" s="55" t="n"/>
      <c r="BT144" s="55" t="n"/>
      <c r="BU144" s="55" t="n"/>
      <c r="BV144" s="55" t="n"/>
      <c r="BW144" s="55" t="n"/>
      <c r="BX144" s="55" t="n"/>
      <c r="BY144" s="55" t="n"/>
      <c r="BZ144" s="55" t="n"/>
      <c r="CA144" s="55" t="n"/>
      <c r="CB144" s="55" t="n"/>
      <c r="CC144" s="55" t="n"/>
      <c r="CD144" s="55" t="n"/>
      <c r="CE144" s="55" t="n"/>
      <c r="CF144" s="55" t="n"/>
      <c r="CG144" s="55" t="n"/>
      <c r="CH144" s="55" t="n"/>
      <c r="CI144" s="35" t="n"/>
      <c r="CJ144" s="56" t="n"/>
      <c r="CK144" s="56" t="n"/>
    </row>
    <row r="145" ht="15" customHeight="1" s="201">
      <c r="A145" s="6" t="inlineStr">
        <is>
          <t>LV (GC) Cash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  <c r="AH145" s="6" t="n"/>
      <c r="AI145" s="6" t="n"/>
      <c r="AJ145" s="6" t="n"/>
      <c r="AK145" s="6" t="n"/>
      <c r="AL145" s="6" t="n"/>
      <c r="AM145" s="6" t="n"/>
      <c r="AN145" s="6" t="n"/>
      <c r="AO145" s="6" t="n"/>
      <c r="AP145" s="6" t="n"/>
      <c r="AQ145" s="6" t="n"/>
      <c r="AR145" s="6" t="n"/>
      <c r="AS145" s="6" t="n"/>
      <c r="AT145" s="6" t="n"/>
      <c r="AU145" s="6" t="n"/>
      <c r="AV145" s="6" t="n"/>
      <c r="AW145" s="6" t="n"/>
      <c r="AX145" s="6" t="n"/>
      <c r="AY145" s="6" t="n"/>
      <c r="AZ145" s="6" t="n"/>
      <c r="BA145" s="6" t="n"/>
      <c r="BB145" s="6" t="n"/>
      <c r="BC145" s="6" t="n"/>
      <c r="BD145" s="6" t="n"/>
      <c r="BE145" s="6" t="n"/>
      <c r="BF145" s="6" t="n"/>
      <c r="BG145" s="6" t="n"/>
      <c r="BH145" s="6" t="n"/>
      <c r="BI145" s="6" t="n"/>
      <c r="BJ145" s="6" t="n"/>
      <c r="BK145" s="6" t="n"/>
      <c r="BL145" s="6" t="n"/>
      <c r="BM145" s="6" t="n"/>
      <c r="BN145" s="6" t="n"/>
      <c r="BO145" s="6" t="n"/>
      <c r="BP145" s="6" t="n"/>
      <c r="BQ145" s="6" t="n"/>
      <c r="BR145" s="6" t="n"/>
      <c r="BS145" s="6" t="n"/>
      <c r="BT145" s="6" t="n"/>
      <c r="BU145" s="6" t="n"/>
      <c r="BV145" s="6" t="n"/>
      <c r="BW145" s="6" t="n"/>
      <c r="BX145" s="6" t="n"/>
      <c r="BY145" s="6" t="n"/>
      <c r="BZ145" s="6" t="n"/>
      <c r="CA145" s="6" t="n"/>
      <c r="CB145" s="6" t="n"/>
      <c r="CC145" s="6" t="n"/>
      <c r="CD145" s="6" t="n"/>
      <c r="CE145" s="6" t="n"/>
      <c r="CF145" s="6" t="n"/>
      <c r="CG145" s="6" t="n"/>
      <c r="CH145" s="6" t="n"/>
      <c r="CI145" s="23" t="n"/>
      <c r="CJ145" s="54" t="n"/>
      <c r="CK145" s="54" t="n"/>
    </row>
    <row r="146" ht="15" customHeight="1" s="201">
      <c r="A146" s="7" t="inlineStr">
        <is>
          <t>LV Beginning Cash</t>
        </is>
      </c>
      <c r="B146" s="22" t="n"/>
      <c r="C146" s="8">
        <f>Assumptions!$B$29</f>
        <v/>
      </c>
      <c r="D146" s="8">
        <f>C148</f>
        <v/>
      </c>
      <c r="E146" s="8">
        <f>D148</f>
        <v/>
      </c>
      <c r="F146" s="8">
        <f>E148</f>
        <v/>
      </c>
      <c r="G146" s="8">
        <f>F148</f>
        <v/>
      </c>
      <c r="H146" s="8">
        <f>G148</f>
        <v/>
      </c>
      <c r="I146" s="8">
        <f>H148</f>
        <v/>
      </c>
      <c r="J146" s="8">
        <f>I148</f>
        <v/>
      </c>
      <c r="K146" s="8">
        <f>J148</f>
        <v/>
      </c>
      <c r="L146" s="8">
        <f>K148</f>
        <v/>
      </c>
      <c r="M146" s="8">
        <f>L148</f>
        <v/>
      </c>
      <c r="N146" s="8">
        <f>M148</f>
        <v/>
      </c>
      <c r="O146" s="8">
        <f>N148</f>
        <v/>
      </c>
      <c r="P146" s="8">
        <f>O148</f>
        <v/>
      </c>
      <c r="Q146" s="8">
        <f>P148</f>
        <v/>
      </c>
      <c r="R146" s="8">
        <f>Q148</f>
        <v/>
      </c>
      <c r="S146" s="8">
        <f>R148</f>
        <v/>
      </c>
      <c r="T146" s="8">
        <f>S148</f>
        <v/>
      </c>
      <c r="U146" s="8">
        <f>T148</f>
        <v/>
      </c>
      <c r="V146" s="8">
        <f>U148</f>
        <v/>
      </c>
      <c r="W146" s="8">
        <f>V148</f>
        <v/>
      </c>
      <c r="X146" s="8">
        <f>W148</f>
        <v/>
      </c>
      <c r="Y146" s="8">
        <f>X148</f>
        <v/>
      </c>
      <c r="Z146" s="8">
        <f>Y148</f>
        <v/>
      </c>
      <c r="AA146" s="8">
        <f>Z148</f>
        <v/>
      </c>
      <c r="AB146" s="8">
        <f>AA148</f>
        <v/>
      </c>
      <c r="AC146" s="8">
        <f>AB148</f>
        <v/>
      </c>
      <c r="AD146" s="8">
        <f>AC148</f>
        <v/>
      </c>
      <c r="AE146" s="8">
        <f>AD148</f>
        <v/>
      </c>
      <c r="AF146" s="8">
        <f>AE148</f>
        <v/>
      </c>
      <c r="AG146" s="8">
        <f>AF148</f>
        <v/>
      </c>
      <c r="AH146" s="8">
        <f>AG148</f>
        <v/>
      </c>
      <c r="AI146" s="8">
        <f>AH148</f>
        <v/>
      </c>
      <c r="AJ146" s="8">
        <f>AI148</f>
        <v/>
      </c>
      <c r="AK146" s="8">
        <f>AJ148</f>
        <v/>
      </c>
      <c r="AL146" s="8">
        <f>AK148</f>
        <v/>
      </c>
      <c r="AM146" s="8">
        <f>AL148</f>
        <v/>
      </c>
      <c r="AN146" s="8">
        <f>AM148</f>
        <v/>
      </c>
      <c r="AO146" s="8">
        <f>AN148</f>
        <v/>
      </c>
      <c r="AP146" s="8">
        <f>AO148</f>
        <v/>
      </c>
      <c r="AQ146" s="8">
        <f>AP148</f>
        <v/>
      </c>
      <c r="AR146" s="8">
        <f>AQ148</f>
        <v/>
      </c>
      <c r="AS146" s="8">
        <f>AR148</f>
        <v/>
      </c>
      <c r="AT146" s="8">
        <f>AS148</f>
        <v/>
      </c>
      <c r="AU146" s="8">
        <f>AT148</f>
        <v/>
      </c>
      <c r="AV146" s="8">
        <f>AU148</f>
        <v/>
      </c>
      <c r="AW146" s="8">
        <f>AV148</f>
        <v/>
      </c>
      <c r="AX146" s="8">
        <f>AW148</f>
        <v/>
      </c>
      <c r="AY146" s="8">
        <f>AX148</f>
        <v/>
      </c>
      <c r="AZ146" s="8">
        <f>AY148</f>
        <v/>
      </c>
      <c r="BA146" s="8">
        <f>AZ148</f>
        <v/>
      </c>
      <c r="BB146" s="8">
        <f>BA148</f>
        <v/>
      </c>
      <c r="BC146" s="8">
        <f>BB148</f>
        <v/>
      </c>
      <c r="BD146" s="8">
        <f>BC148</f>
        <v/>
      </c>
      <c r="BE146" s="8">
        <f>BD148</f>
        <v/>
      </c>
      <c r="BF146" s="8">
        <f>BE148</f>
        <v/>
      </c>
      <c r="BG146" s="8">
        <f>BF148</f>
        <v/>
      </c>
      <c r="BH146" s="8">
        <f>BG148</f>
        <v/>
      </c>
      <c r="BI146" s="8">
        <f>BH148</f>
        <v/>
      </c>
      <c r="BJ146" s="8">
        <f>BI148</f>
        <v/>
      </c>
      <c r="BK146" s="8">
        <f>BJ148</f>
        <v/>
      </c>
      <c r="BL146" s="8">
        <f>BK148</f>
        <v/>
      </c>
      <c r="BM146" s="8">
        <f>BL148</f>
        <v/>
      </c>
      <c r="BN146" s="8">
        <f>BM148</f>
        <v/>
      </c>
      <c r="BO146" s="8">
        <f>BN148</f>
        <v/>
      </c>
      <c r="BP146" s="8">
        <f>BO148</f>
        <v/>
      </c>
      <c r="BQ146" s="8">
        <f>BP148</f>
        <v/>
      </c>
      <c r="BR146" s="8">
        <f>BQ148</f>
        <v/>
      </c>
      <c r="BS146" s="8">
        <f>BR148</f>
        <v/>
      </c>
      <c r="BT146" s="8">
        <f>BS148</f>
        <v/>
      </c>
      <c r="BU146" s="8">
        <f>BT148</f>
        <v/>
      </c>
      <c r="BV146" s="8">
        <f>BU148</f>
        <v/>
      </c>
      <c r="BW146" s="8">
        <f>BV148</f>
        <v/>
      </c>
      <c r="BX146" s="8">
        <f>BW148</f>
        <v/>
      </c>
      <c r="BY146" s="8">
        <f>BX148</f>
        <v/>
      </c>
      <c r="BZ146" s="8">
        <f>BY148</f>
        <v/>
      </c>
      <c r="CA146" s="8">
        <f>BZ148</f>
        <v/>
      </c>
      <c r="CB146" s="8">
        <f>CA148</f>
        <v/>
      </c>
      <c r="CC146" s="8">
        <f>CB148</f>
        <v/>
      </c>
      <c r="CD146" s="8">
        <f>CC148</f>
        <v/>
      </c>
      <c r="CE146" s="8">
        <f>CD148</f>
        <v/>
      </c>
      <c r="CF146" s="8">
        <f>CE148</f>
        <v/>
      </c>
      <c r="CG146" s="8">
        <f>CF148</f>
        <v/>
      </c>
      <c r="CH146" s="8">
        <f>CG148</f>
        <v/>
      </c>
      <c r="CI146" s="23" t="n"/>
      <c r="CJ146" s="54" t="n"/>
      <c r="CK146" s="54" t="n"/>
    </row>
    <row r="147" ht="15" customHeight="1" s="201">
      <c r="A147" s="7" t="inlineStr">
        <is>
          <t>LV Net Cash Flow</t>
        </is>
      </c>
      <c r="B147" s="22" t="n"/>
      <c r="C147" s="8">
        <f>C41</f>
        <v/>
      </c>
      <c r="D147" s="8">
        <f>D41</f>
        <v/>
      </c>
      <c r="E147" s="8">
        <f>E41</f>
        <v/>
      </c>
      <c r="F147" s="8">
        <f>F41</f>
        <v/>
      </c>
      <c r="G147" s="8">
        <f>G41</f>
        <v/>
      </c>
      <c r="H147" s="8">
        <f>H41</f>
        <v/>
      </c>
      <c r="I147" s="8">
        <f>I41</f>
        <v/>
      </c>
      <c r="J147" s="8">
        <f>J41</f>
        <v/>
      </c>
      <c r="K147" s="8">
        <f>K41</f>
        <v/>
      </c>
      <c r="L147" s="8">
        <f>L41</f>
        <v/>
      </c>
      <c r="M147" s="8">
        <f>M41</f>
        <v/>
      </c>
      <c r="N147" s="8">
        <f>N41</f>
        <v/>
      </c>
      <c r="O147" s="8">
        <f>O41</f>
        <v/>
      </c>
      <c r="P147" s="8">
        <f>P41</f>
        <v/>
      </c>
      <c r="Q147" s="8">
        <f>Q41</f>
        <v/>
      </c>
      <c r="R147" s="8">
        <f>R41</f>
        <v/>
      </c>
      <c r="S147" s="8">
        <f>S41</f>
        <v/>
      </c>
      <c r="T147" s="8">
        <f>T41</f>
        <v/>
      </c>
      <c r="U147" s="8">
        <f>U41</f>
        <v/>
      </c>
      <c r="V147" s="8">
        <f>V41</f>
        <v/>
      </c>
      <c r="W147" s="8">
        <f>W41</f>
        <v/>
      </c>
      <c r="X147" s="8">
        <f>X41</f>
        <v/>
      </c>
      <c r="Y147" s="8">
        <f>Y41</f>
        <v/>
      </c>
      <c r="Z147" s="8">
        <f>Z41</f>
        <v/>
      </c>
      <c r="AA147" s="8">
        <f>AA41</f>
        <v/>
      </c>
      <c r="AB147" s="8">
        <f>AB41</f>
        <v/>
      </c>
      <c r="AC147" s="8">
        <f>AC41</f>
        <v/>
      </c>
      <c r="AD147" s="8">
        <f>AD41</f>
        <v/>
      </c>
      <c r="AE147" s="8">
        <f>AE41</f>
        <v/>
      </c>
      <c r="AF147" s="8">
        <f>AF41</f>
        <v/>
      </c>
      <c r="AG147" s="8">
        <f>AG41</f>
        <v/>
      </c>
      <c r="AH147" s="8">
        <f>AH41</f>
        <v/>
      </c>
      <c r="AI147" s="8">
        <f>AI41</f>
        <v/>
      </c>
      <c r="AJ147" s="8">
        <f>AJ41</f>
        <v/>
      </c>
      <c r="AK147" s="8">
        <f>AK41</f>
        <v/>
      </c>
      <c r="AL147" s="8">
        <f>AL41</f>
        <v/>
      </c>
      <c r="AM147" s="8">
        <f>AM41</f>
        <v/>
      </c>
      <c r="AN147" s="8">
        <f>AN41</f>
        <v/>
      </c>
      <c r="AO147" s="8">
        <f>AO41</f>
        <v/>
      </c>
      <c r="AP147" s="8">
        <f>AP41</f>
        <v/>
      </c>
      <c r="AQ147" s="8">
        <f>AQ41</f>
        <v/>
      </c>
      <c r="AR147" s="8">
        <f>AR41</f>
        <v/>
      </c>
      <c r="AS147" s="8">
        <f>AS41</f>
        <v/>
      </c>
      <c r="AT147" s="8">
        <f>AT41</f>
        <v/>
      </c>
      <c r="AU147" s="8">
        <f>AU41</f>
        <v/>
      </c>
      <c r="AV147" s="8">
        <f>AV41</f>
        <v/>
      </c>
      <c r="AW147" s="8">
        <f>AW41</f>
        <v/>
      </c>
      <c r="AX147" s="8">
        <f>AX41</f>
        <v/>
      </c>
      <c r="AY147" s="8">
        <f>AY41</f>
        <v/>
      </c>
      <c r="AZ147" s="8">
        <f>AZ41</f>
        <v/>
      </c>
      <c r="BA147" s="8">
        <f>BA41</f>
        <v/>
      </c>
      <c r="BB147" s="8">
        <f>BB41</f>
        <v/>
      </c>
      <c r="BC147" s="8">
        <f>BC41</f>
        <v/>
      </c>
      <c r="BD147" s="8">
        <f>BD41</f>
        <v/>
      </c>
      <c r="BE147" s="8">
        <f>BE41</f>
        <v/>
      </c>
      <c r="BF147" s="8">
        <f>BF41</f>
        <v/>
      </c>
      <c r="BG147" s="8">
        <f>BG41</f>
        <v/>
      </c>
      <c r="BH147" s="8">
        <f>BH41</f>
        <v/>
      </c>
      <c r="BI147" s="8">
        <f>BI41</f>
        <v/>
      </c>
      <c r="BJ147" s="8">
        <f>BJ41</f>
        <v/>
      </c>
      <c r="BK147" s="8">
        <f>BK41</f>
        <v/>
      </c>
      <c r="BL147" s="8">
        <f>BL41</f>
        <v/>
      </c>
      <c r="BM147" s="8">
        <f>BM41</f>
        <v/>
      </c>
      <c r="BN147" s="8">
        <f>BN41</f>
        <v/>
      </c>
      <c r="BO147" s="8">
        <f>BO41</f>
        <v/>
      </c>
      <c r="BP147" s="8">
        <f>BP41</f>
        <v/>
      </c>
      <c r="BQ147" s="8">
        <f>BQ41</f>
        <v/>
      </c>
      <c r="BR147" s="8">
        <f>BR41</f>
        <v/>
      </c>
      <c r="BS147" s="8">
        <f>BS41</f>
        <v/>
      </c>
      <c r="BT147" s="8">
        <f>BT41</f>
        <v/>
      </c>
      <c r="BU147" s="8">
        <f>BU41</f>
        <v/>
      </c>
      <c r="BV147" s="8">
        <f>BV41</f>
        <v/>
      </c>
      <c r="BW147" s="8">
        <f>BW41</f>
        <v/>
      </c>
      <c r="BX147" s="8">
        <f>BX41</f>
        <v/>
      </c>
      <c r="BY147" s="8">
        <f>BY41</f>
        <v/>
      </c>
      <c r="BZ147" s="8">
        <f>BZ41</f>
        <v/>
      </c>
      <c r="CA147" s="8">
        <f>CA41</f>
        <v/>
      </c>
      <c r="CB147" s="8">
        <f>CB41</f>
        <v/>
      </c>
      <c r="CC147" s="8">
        <f>CC41</f>
        <v/>
      </c>
      <c r="CD147" s="8">
        <f>CD41</f>
        <v/>
      </c>
      <c r="CE147" s="8">
        <f>CE41</f>
        <v/>
      </c>
      <c r="CF147" s="8">
        <f>CF41</f>
        <v/>
      </c>
      <c r="CG147" s="8">
        <f>CG41</f>
        <v/>
      </c>
      <c r="CH147" s="8">
        <f>CH41</f>
        <v/>
      </c>
      <c r="CI147" s="23" t="n"/>
      <c r="CJ147" s="54" t="n"/>
      <c r="CK147" s="54" t="n"/>
    </row>
    <row r="148" ht="15" customHeight="1" s="201">
      <c r="A148" s="57" t="inlineStr">
        <is>
          <t>LV Ending Cash</t>
        </is>
      </c>
      <c r="B148" s="58" t="n"/>
      <c r="C148" s="59">
        <f>C146+C147</f>
        <v/>
      </c>
      <c r="D148" s="59">
        <f>D146+D147</f>
        <v/>
      </c>
      <c r="E148" s="59">
        <f>E146+E147</f>
        <v/>
      </c>
      <c r="F148" s="59">
        <f>F146+F147</f>
        <v/>
      </c>
      <c r="G148" s="59">
        <f>G146+G147</f>
        <v/>
      </c>
      <c r="H148" s="59">
        <f>H146+H147</f>
        <v/>
      </c>
      <c r="I148" s="59">
        <f>I146+I147</f>
        <v/>
      </c>
      <c r="J148" s="59">
        <f>J146+J147</f>
        <v/>
      </c>
      <c r="K148" s="59">
        <f>K146+K147</f>
        <v/>
      </c>
      <c r="L148" s="59">
        <f>L146+L147</f>
        <v/>
      </c>
      <c r="M148" s="59">
        <f>M146+M147</f>
        <v/>
      </c>
      <c r="N148" s="59">
        <f>N146+N147</f>
        <v/>
      </c>
      <c r="O148" s="59">
        <f>O146+O147</f>
        <v/>
      </c>
      <c r="P148" s="59">
        <f>P146+P147</f>
        <v/>
      </c>
      <c r="Q148" s="59">
        <f>Q146+Q147</f>
        <v/>
      </c>
      <c r="R148" s="59">
        <f>R146+R147</f>
        <v/>
      </c>
      <c r="S148" s="59">
        <f>S146+S147</f>
        <v/>
      </c>
      <c r="T148" s="59">
        <f>T146+T147</f>
        <v/>
      </c>
      <c r="U148" s="59">
        <f>U146+U147</f>
        <v/>
      </c>
      <c r="V148" s="59">
        <f>V146+V147</f>
        <v/>
      </c>
      <c r="W148" s="59">
        <f>W146+W147</f>
        <v/>
      </c>
      <c r="X148" s="59">
        <f>X146+X147</f>
        <v/>
      </c>
      <c r="Y148" s="59">
        <f>Y146+Y147</f>
        <v/>
      </c>
      <c r="Z148" s="59">
        <f>Z146+Z147</f>
        <v/>
      </c>
      <c r="AA148" s="59">
        <f>AA146+AA147</f>
        <v/>
      </c>
      <c r="AB148" s="59">
        <f>AB146+AB147</f>
        <v/>
      </c>
      <c r="AC148" s="59">
        <f>AC146+AC147</f>
        <v/>
      </c>
      <c r="AD148" s="59">
        <f>AD146+AD147</f>
        <v/>
      </c>
      <c r="AE148" s="59">
        <f>AE146+AE147</f>
        <v/>
      </c>
      <c r="AF148" s="59">
        <f>AF146+AF147</f>
        <v/>
      </c>
      <c r="AG148" s="59">
        <f>AG146+AG147</f>
        <v/>
      </c>
      <c r="AH148" s="59">
        <f>AH146+AH147</f>
        <v/>
      </c>
      <c r="AI148" s="59">
        <f>AI146+AI147</f>
        <v/>
      </c>
      <c r="AJ148" s="59">
        <f>AJ146+AJ147</f>
        <v/>
      </c>
      <c r="AK148" s="59">
        <f>AK146+AK147</f>
        <v/>
      </c>
      <c r="AL148" s="59">
        <f>AL146+AL147</f>
        <v/>
      </c>
      <c r="AM148" s="59">
        <f>AM146+AM147</f>
        <v/>
      </c>
      <c r="AN148" s="59">
        <f>AN146+AN147</f>
        <v/>
      </c>
      <c r="AO148" s="59">
        <f>AO146+AO147</f>
        <v/>
      </c>
      <c r="AP148" s="59">
        <f>AP146+AP147</f>
        <v/>
      </c>
      <c r="AQ148" s="59">
        <f>AQ146+AQ147</f>
        <v/>
      </c>
      <c r="AR148" s="59">
        <f>AR146+AR147</f>
        <v/>
      </c>
      <c r="AS148" s="59">
        <f>AS146+AS147</f>
        <v/>
      </c>
      <c r="AT148" s="59">
        <f>AT146+AT147</f>
        <v/>
      </c>
      <c r="AU148" s="59">
        <f>AU146+AU147</f>
        <v/>
      </c>
      <c r="AV148" s="59">
        <f>AV146+AV147</f>
        <v/>
      </c>
      <c r="AW148" s="59">
        <f>AW146+AW147</f>
        <v/>
      </c>
      <c r="AX148" s="59">
        <f>AX146+AX147</f>
        <v/>
      </c>
      <c r="AY148" s="59">
        <f>AY146+AY147</f>
        <v/>
      </c>
      <c r="AZ148" s="59">
        <f>AZ146+AZ147</f>
        <v/>
      </c>
      <c r="BA148" s="59">
        <f>BA146+BA147</f>
        <v/>
      </c>
      <c r="BB148" s="59">
        <f>BB146+BB147</f>
        <v/>
      </c>
      <c r="BC148" s="59">
        <f>BC146+BC147</f>
        <v/>
      </c>
      <c r="BD148" s="59">
        <f>BD146+BD147</f>
        <v/>
      </c>
      <c r="BE148" s="59">
        <f>BE146+BE147</f>
        <v/>
      </c>
      <c r="BF148" s="59">
        <f>BF146+BF147</f>
        <v/>
      </c>
      <c r="BG148" s="59">
        <f>BG146+BG147</f>
        <v/>
      </c>
      <c r="BH148" s="59">
        <f>BH146+BH147</f>
        <v/>
      </c>
      <c r="BI148" s="59">
        <f>BI146+BI147</f>
        <v/>
      </c>
      <c r="BJ148" s="59">
        <f>BJ146+BJ147</f>
        <v/>
      </c>
      <c r="BK148" s="59">
        <f>BK146+BK147</f>
        <v/>
      </c>
      <c r="BL148" s="59">
        <f>BL146+BL147</f>
        <v/>
      </c>
      <c r="BM148" s="59">
        <f>BM146+BM147</f>
        <v/>
      </c>
      <c r="BN148" s="59">
        <f>BN146+BN147</f>
        <v/>
      </c>
      <c r="BO148" s="59">
        <f>BO146+BO147</f>
        <v/>
      </c>
      <c r="BP148" s="59">
        <f>BP146+BP147</f>
        <v/>
      </c>
      <c r="BQ148" s="59">
        <f>BQ146+BQ147</f>
        <v/>
      </c>
      <c r="BR148" s="59">
        <f>BR146+BR147</f>
        <v/>
      </c>
      <c r="BS148" s="59">
        <f>BS146+BS147</f>
        <v/>
      </c>
      <c r="BT148" s="59">
        <f>BT146+BT147</f>
        <v/>
      </c>
      <c r="BU148" s="59">
        <f>BU146+BU147</f>
        <v/>
      </c>
      <c r="BV148" s="59">
        <f>BV146+BV147</f>
        <v/>
      </c>
      <c r="BW148" s="59">
        <f>BW146+BW147</f>
        <v/>
      </c>
      <c r="BX148" s="59">
        <f>BX146+BX147</f>
        <v/>
      </c>
      <c r="BY148" s="59">
        <f>BY146+BY147</f>
        <v/>
      </c>
      <c r="BZ148" s="59">
        <f>BZ146+BZ147</f>
        <v/>
      </c>
      <c r="CA148" s="59">
        <f>CA146+CA147</f>
        <v/>
      </c>
      <c r="CB148" s="59">
        <f>CB146+CB147</f>
        <v/>
      </c>
      <c r="CC148" s="59">
        <f>CC146+CC147</f>
        <v/>
      </c>
      <c r="CD148" s="59">
        <f>CD146+CD147</f>
        <v/>
      </c>
      <c r="CE148" s="59">
        <f>CE146+CE147</f>
        <v/>
      </c>
      <c r="CF148" s="59">
        <f>CF146+CF147</f>
        <v/>
      </c>
      <c r="CG148" s="59">
        <f>CG146+CG147</f>
        <v/>
      </c>
      <c r="CH148" s="59">
        <f>CH146+CH147</f>
        <v/>
      </c>
      <c r="CI148" s="23" t="n"/>
      <c r="CJ148" s="54" t="n"/>
      <c r="CK148" s="54" t="n"/>
    </row>
    <row r="149" ht="15" customHeight="1" s="201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  <c r="AJ149" s="22" t="n"/>
      <c r="AK149" s="22" t="n"/>
      <c r="AL149" s="22" t="n"/>
      <c r="AM149" s="22" t="n"/>
      <c r="AN149" s="22" t="n"/>
      <c r="AO149" s="22" t="n"/>
      <c r="AP149" s="22" t="n"/>
      <c r="AQ149" s="22" t="n"/>
      <c r="AR149" s="22" t="n"/>
      <c r="AS149" s="22" t="n"/>
      <c r="AT149" s="22" t="n"/>
      <c r="AU149" s="22" t="n"/>
      <c r="AV149" s="22" t="n"/>
      <c r="AW149" s="22" t="n"/>
      <c r="AX149" s="22" t="n"/>
      <c r="AY149" s="22" t="n"/>
      <c r="AZ149" s="22" t="n"/>
      <c r="BA149" s="22" t="n"/>
      <c r="BB149" s="22" t="n"/>
      <c r="BC149" s="22" t="n"/>
      <c r="BD149" s="22" t="n"/>
      <c r="BE149" s="22" t="n"/>
      <c r="BF149" s="22" t="n"/>
      <c r="BG149" s="22" t="n"/>
      <c r="BH149" s="22" t="n"/>
      <c r="BI149" s="22" t="n"/>
      <c r="BJ149" s="22" t="n"/>
      <c r="BK149" s="22" t="n"/>
      <c r="BL149" s="22" t="n"/>
      <c r="BM149" s="22" t="n"/>
      <c r="BN149" s="22" t="n"/>
      <c r="BO149" s="22" t="n"/>
      <c r="BP149" s="22" t="n"/>
      <c r="BQ149" s="22" t="n"/>
      <c r="BR149" s="22" t="n"/>
      <c r="BS149" s="22" t="n"/>
      <c r="BT149" s="22" t="n"/>
      <c r="BU149" s="22" t="n"/>
      <c r="BV149" s="22" t="n"/>
      <c r="BW149" s="22" t="n"/>
      <c r="BX149" s="22" t="n"/>
      <c r="BY149" s="22" t="n"/>
      <c r="BZ149" s="22" t="n"/>
      <c r="CA149" s="22" t="n"/>
      <c r="CB149" s="22" t="n"/>
      <c r="CC149" s="22" t="n"/>
      <c r="CD149" s="22" t="n"/>
      <c r="CE149" s="22" t="n"/>
      <c r="CF149" s="22" t="n"/>
      <c r="CG149" s="22" t="n"/>
      <c r="CH149" s="22" t="n"/>
      <c r="CI149" s="23" t="n"/>
      <c r="CJ149" s="54" t="n"/>
      <c r="CK149" s="54" t="n"/>
    </row>
    <row r="150" ht="15" customHeight="1" s="201">
      <c r="A150" s="6" t="inlineStr">
        <is>
          <t>Six Peak Cash</t>
        </is>
      </c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  <c r="AH150" s="6" t="n"/>
      <c r="AI150" s="6" t="n"/>
      <c r="AJ150" s="6" t="n"/>
      <c r="AK150" s="6" t="n"/>
      <c r="AL150" s="6" t="n"/>
      <c r="AM150" s="6" t="n"/>
      <c r="AN150" s="6" t="n"/>
      <c r="AO150" s="6" t="n"/>
      <c r="AP150" s="6" t="n"/>
      <c r="AQ150" s="6" t="n"/>
      <c r="AR150" s="6" t="n"/>
      <c r="AS150" s="6" t="n"/>
      <c r="AT150" s="6" t="n"/>
      <c r="AU150" s="6" t="n"/>
      <c r="AV150" s="6" t="n"/>
      <c r="AW150" s="6" t="n"/>
      <c r="AX150" s="6" t="n"/>
      <c r="AY150" s="6" t="n"/>
      <c r="AZ150" s="6" t="n"/>
      <c r="BA150" s="6" t="n"/>
      <c r="BB150" s="6" t="n"/>
      <c r="BC150" s="6" t="n"/>
      <c r="BD150" s="6" t="n"/>
      <c r="BE150" s="6" t="n"/>
      <c r="BF150" s="6" t="n"/>
      <c r="BG150" s="6" t="n"/>
      <c r="BH150" s="6" t="n"/>
      <c r="BI150" s="6" t="n"/>
      <c r="BJ150" s="6" t="n"/>
      <c r="BK150" s="6" t="n"/>
      <c r="BL150" s="6" t="n"/>
      <c r="BM150" s="6" t="n"/>
      <c r="BN150" s="6" t="n"/>
      <c r="BO150" s="6" t="n"/>
      <c r="BP150" s="6" t="n"/>
      <c r="BQ150" s="6" t="n"/>
      <c r="BR150" s="6" t="n"/>
      <c r="BS150" s="6" t="n"/>
      <c r="BT150" s="6" t="n"/>
      <c r="BU150" s="6" t="n"/>
      <c r="BV150" s="6" t="n"/>
      <c r="BW150" s="6" t="n"/>
      <c r="BX150" s="6" t="n"/>
      <c r="BY150" s="6" t="n"/>
      <c r="BZ150" s="6" t="n"/>
      <c r="CA150" s="6" t="n"/>
      <c r="CB150" s="6" t="n"/>
      <c r="CC150" s="6" t="n"/>
      <c r="CD150" s="6" t="n"/>
      <c r="CE150" s="6" t="n"/>
      <c r="CF150" s="6" t="n"/>
      <c r="CG150" s="6" t="n"/>
      <c r="CH150" s="6" t="n"/>
      <c r="CI150" s="23" t="n"/>
      <c r="CJ150" s="54" t="n"/>
      <c r="CK150" s="54" t="n"/>
    </row>
    <row r="151" ht="15" customHeight="1" s="201">
      <c r="A151" s="7" t="inlineStr">
        <is>
          <t>SP Beginning Cash</t>
        </is>
      </c>
      <c r="B151" s="22" t="n"/>
      <c r="C151" s="8">
        <f>Assumptions!$B$30</f>
        <v/>
      </c>
      <c r="D151" s="8">
        <f>C156</f>
        <v/>
      </c>
      <c r="E151" s="8">
        <f>D156</f>
        <v/>
      </c>
      <c r="F151" s="8">
        <f>E156</f>
        <v/>
      </c>
      <c r="G151" s="8">
        <f>F156</f>
        <v/>
      </c>
      <c r="H151" s="8">
        <f>G156</f>
        <v/>
      </c>
      <c r="I151" s="8">
        <f>H156</f>
        <v/>
      </c>
      <c r="J151" s="8">
        <f>I156</f>
        <v/>
      </c>
      <c r="K151" s="8">
        <f>J156</f>
        <v/>
      </c>
      <c r="L151" s="8">
        <f>K156</f>
        <v/>
      </c>
      <c r="M151" s="8">
        <f>L156</f>
        <v/>
      </c>
      <c r="N151" s="8">
        <f>M156</f>
        <v/>
      </c>
      <c r="O151" s="8">
        <f>N156</f>
        <v/>
      </c>
      <c r="P151" s="8">
        <f>O156</f>
        <v/>
      </c>
      <c r="Q151" s="8">
        <f>P156</f>
        <v/>
      </c>
      <c r="R151" s="8">
        <f>Q156</f>
        <v/>
      </c>
      <c r="S151" s="8">
        <f>R156</f>
        <v/>
      </c>
      <c r="T151" s="8">
        <f>S156</f>
        <v/>
      </c>
      <c r="U151" s="8">
        <f>T156</f>
        <v/>
      </c>
      <c r="V151" s="8">
        <f>U156</f>
        <v/>
      </c>
      <c r="W151" s="8">
        <f>V156</f>
        <v/>
      </c>
      <c r="X151" s="8">
        <f>W156</f>
        <v/>
      </c>
      <c r="Y151" s="8">
        <f>X156</f>
        <v/>
      </c>
      <c r="Z151" s="8">
        <f>Y156</f>
        <v/>
      </c>
      <c r="AA151" s="8">
        <f>Z156</f>
        <v/>
      </c>
      <c r="AB151" s="8">
        <f>AA156</f>
        <v/>
      </c>
      <c r="AC151" s="8">
        <f>AB156</f>
        <v/>
      </c>
      <c r="AD151" s="8">
        <f>AC156</f>
        <v/>
      </c>
      <c r="AE151" s="8">
        <f>AD156</f>
        <v/>
      </c>
      <c r="AF151" s="8">
        <f>AE156</f>
        <v/>
      </c>
      <c r="AG151" s="8">
        <f>AF156</f>
        <v/>
      </c>
      <c r="AH151" s="8">
        <f>AG156</f>
        <v/>
      </c>
      <c r="AI151" s="8">
        <f>AH156</f>
        <v/>
      </c>
      <c r="AJ151" s="8">
        <f>AI156</f>
        <v/>
      </c>
      <c r="AK151" s="8">
        <f>AJ156</f>
        <v/>
      </c>
      <c r="AL151" s="8">
        <f>AK156</f>
        <v/>
      </c>
      <c r="AM151" s="8">
        <f>AL156</f>
        <v/>
      </c>
      <c r="AN151" s="8">
        <f>AM156</f>
        <v/>
      </c>
      <c r="AO151" s="8">
        <f>AN156</f>
        <v/>
      </c>
      <c r="AP151" s="8">
        <f>AO156</f>
        <v/>
      </c>
      <c r="AQ151" s="8">
        <f>AP156</f>
        <v/>
      </c>
      <c r="AR151" s="8">
        <f>AQ156</f>
        <v/>
      </c>
      <c r="AS151" s="8">
        <f>AR156</f>
        <v/>
      </c>
      <c r="AT151" s="8">
        <f>AS156</f>
        <v/>
      </c>
      <c r="AU151" s="8">
        <f>AT156</f>
        <v/>
      </c>
      <c r="AV151" s="8">
        <f>AU156</f>
        <v/>
      </c>
      <c r="AW151" s="8">
        <f>AV156</f>
        <v/>
      </c>
      <c r="AX151" s="8">
        <f>AW156</f>
        <v/>
      </c>
      <c r="AY151" s="8">
        <f>AX156</f>
        <v/>
      </c>
      <c r="AZ151" s="8">
        <f>AY156</f>
        <v/>
      </c>
      <c r="BA151" s="8">
        <f>AZ156</f>
        <v/>
      </c>
      <c r="BB151" s="8">
        <f>BA156</f>
        <v/>
      </c>
      <c r="BC151" s="8">
        <f>BB156</f>
        <v/>
      </c>
      <c r="BD151" s="8">
        <f>BC156</f>
        <v/>
      </c>
      <c r="BE151" s="8">
        <f>BD156</f>
        <v/>
      </c>
      <c r="BF151" s="8">
        <f>BE156</f>
        <v/>
      </c>
      <c r="BG151" s="8">
        <f>BF156</f>
        <v/>
      </c>
      <c r="BH151" s="8">
        <f>BG156</f>
        <v/>
      </c>
      <c r="BI151" s="8">
        <f>BH156</f>
        <v/>
      </c>
      <c r="BJ151" s="8">
        <f>BI156</f>
        <v/>
      </c>
      <c r="BK151" s="8">
        <f>BJ156</f>
        <v/>
      </c>
      <c r="BL151" s="8">
        <f>BK156</f>
        <v/>
      </c>
      <c r="BM151" s="8">
        <f>BL156</f>
        <v/>
      </c>
      <c r="BN151" s="8">
        <f>BM156</f>
        <v/>
      </c>
      <c r="BO151" s="8">
        <f>BN156</f>
        <v/>
      </c>
      <c r="BP151" s="8">
        <f>BO156</f>
        <v/>
      </c>
      <c r="BQ151" s="8">
        <f>BP156</f>
        <v/>
      </c>
      <c r="BR151" s="8">
        <f>BQ156</f>
        <v/>
      </c>
      <c r="BS151" s="8">
        <f>BR156</f>
        <v/>
      </c>
      <c r="BT151" s="8">
        <f>BS156</f>
        <v/>
      </c>
      <c r="BU151" s="8">
        <f>BT156</f>
        <v/>
      </c>
      <c r="BV151" s="8">
        <f>BU156</f>
        <v/>
      </c>
      <c r="BW151" s="8">
        <f>BV156</f>
        <v/>
      </c>
      <c r="BX151" s="8">
        <f>BW156</f>
        <v/>
      </c>
      <c r="BY151" s="8">
        <f>BX156</f>
        <v/>
      </c>
      <c r="BZ151" s="8">
        <f>BY156</f>
        <v/>
      </c>
      <c r="CA151" s="8">
        <f>BZ156</f>
        <v/>
      </c>
      <c r="CB151" s="8">
        <f>CA156</f>
        <v/>
      </c>
      <c r="CC151" s="8">
        <f>CB156</f>
        <v/>
      </c>
      <c r="CD151" s="8">
        <f>CC156</f>
        <v/>
      </c>
      <c r="CE151" s="8">
        <f>CD156</f>
        <v/>
      </c>
      <c r="CF151" s="8">
        <f>CE156</f>
        <v/>
      </c>
      <c r="CG151" s="8">
        <f>CF156</f>
        <v/>
      </c>
      <c r="CH151" s="8">
        <f>CG156</f>
        <v/>
      </c>
      <c r="CI151" s="23" t="n"/>
      <c r="CJ151" s="54" t="n"/>
      <c r="CK151" s="54" t="n"/>
    </row>
    <row r="152" ht="15" customHeight="1" s="201">
      <c r="A152" s="7" t="inlineStr">
        <is>
          <t>SP Net Cash Flow</t>
        </is>
      </c>
      <c r="B152" s="22" t="n"/>
      <c r="C152" s="8">
        <f>C87</f>
        <v/>
      </c>
      <c r="D152" s="8">
        <f>D87</f>
        <v/>
      </c>
      <c r="E152" s="8">
        <f>E87</f>
        <v/>
      </c>
      <c r="F152" s="8">
        <f>F87</f>
        <v/>
      </c>
      <c r="G152" s="8">
        <f>G87</f>
        <v/>
      </c>
      <c r="H152" s="8">
        <f>H87</f>
        <v/>
      </c>
      <c r="I152" s="8">
        <f>I87</f>
        <v/>
      </c>
      <c r="J152" s="8">
        <f>J87</f>
        <v/>
      </c>
      <c r="K152" s="8">
        <f>K87</f>
        <v/>
      </c>
      <c r="L152" s="8">
        <f>L87</f>
        <v/>
      </c>
      <c r="M152" s="8">
        <f>M87</f>
        <v/>
      </c>
      <c r="N152" s="8">
        <f>N87</f>
        <v/>
      </c>
      <c r="O152" s="8">
        <f>O87</f>
        <v/>
      </c>
      <c r="P152" s="8">
        <f>P87</f>
        <v/>
      </c>
      <c r="Q152" s="8">
        <f>Q87</f>
        <v/>
      </c>
      <c r="R152" s="8">
        <f>R87</f>
        <v/>
      </c>
      <c r="S152" s="8">
        <f>S87</f>
        <v/>
      </c>
      <c r="T152" s="8">
        <f>T87</f>
        <v/>
      </c>
      <c r="U152" s="8">
        <f>U87</f>
        <v/>
      </c>
      <c r="V152" s="8">
        <f>V87</f>
        <v/>
      </c>
      <c r="W152" s="8">
        <f>W87</f>
        <v/>
      </c>
      <c r="X152" s="8">
        <f>X87</f>
        <v/>
      </c>
      <c r="Y152" s="8">
        <f>Y87</f>
        <v/>
      </c>
      <c r="Z152" s="8">
        <f>Z87</f>
        <v/>
      </c>
      <c r="AA152" s="8">
        <f>AA87</f>
        <v/>
      </c>
      <c r="AB152" s="8">
        <f>AB87</f>
        <v/>
      </c>
      <c r="AC152" s="8">
        <f>AC87</f>
        <v/>
      </c>
      <c r="AD152" s="8">
        <f>AD87</f>
        <v/>
      </c>
      <c r="AE152" s="8">
        <f>AE87</f>
        <v/>
      </c>
      <c r="AF152" s="8">
        <f>AF87</f>
        <v/>
      </c>
      <c r="AG152" s="8">
        <f>AG87</f>
        <v/>
      </c>
      <c r="AH152" s="8">
        <f>AH87</f>
        <v/>
      </c>
      <c r="AI152" s="8">
        <f>AI87</f>
        <v/>
      </c>
      <c r="AJ152" s="8">
        <f>AJ87</f>
        <v/>
      </c>
      <c r="AK152" s="8">
        <f>AK87</f>
        <v/>
      </c>
      <c r="AL152" s="8">
        <f>AL87</f>
        <v/>
      </c>
      <c r="AM152" s="8">
        <f>AM87</f>
        <v/>
      </c>
      <c r="AN152" s="8">
        <f>AN87</f>
        <v/>
      </c>
      <c r="AO152" s="8">
        <f>AO87</f>
        <v/>
      </c>
      <c r="AP152" s="8">
        <f>AP87</f>
        <v/>
      </c>
      <c r="AQ152" s="8">
        <f>AQ87</f>
        <v/>
      </c>
      <c r="AR152" s="8">
        <f>AR87</f>
        <v/>
      </c>
      <c r="AS152" s="8">
        <f>AS87</f>
        <v/>
      </c>
      <c r="AT152" s="8">
        <f>AT87</f>
        <v/>
      </c>
      <c r="AU152" s="8">
        <f>AU87</f>
        <v/>
      </c>
      <c r="AV152" s="8">
        <f>AV87</f>
        <v/>
      </c>
      <c r="AW152" s="8">
        <f>AW87</f>
        <v/>
      </c>
      <c r="AX152" s="8">
        <f>AX87</f>
        <v/>
      </c>
      <c r="AY152" s="8">
        <f>AY87</f>
        <v/>
      </c>
      <c r="AZ152" s="8">
        <f>AZ87</f>
        <v/>
      </c>
      <c r="BA152" s="8">
        <f>BA87</f>
        <v/>
      </c>
      <c r="BB152" s="8">
        <f>BB87</f>
        <v/>
      </c>
      <c r="BC152" s="8">
        <f>BC87</f>
        <v/>
      </c>
      <c r="BD152" s="8">
        <f>BD87</f>
        <v/>
      </c>
      <c r="BE152" s="8">
        <f>BE87</f>
        <v/>
      </c>
      <c r="BF152" s="8">
        <f>BF87</f>
        <v/>
      </c>
      <c r="BG152" s="8">
        <f>BG87</f>
        <v/>
      </c>
      <c r="BH152" s="8">
        <f>BH87</f>
        <v/>
      </c>
      <c r="BI152" s="8">
        <f>BI87</f>
        <v/>
      </c>
      <c r="BJ152" s="8">
        <f>BJ87</f>
        <v/>
      </c>
      <c r="BK152" s="8">
        <f>BK87</f>
        <v/>
      </c>
      <c r="BL152" s="8">
        <f>BL87</f>
        <v/>
      </c>
      <c r="BM152" s="8">
        <f>BM87</f>
        <v/>
      </c>
      <c r="BN152" s="8">
        <f>BN87</f>
        <v/>
      </c>
      <c r="BO152" s="8">
        <f>BO87</f>
        <v/>
      </c>
      <c r="BP152" s="8">
        <f>BP87</f>
        <v/>
      </c>
      <c r="BQ152" s="8">
        <f>BQ87</f>
        <v/>
      </c>
      <c r="BR152" s="8">
        <f>BR87</f>
        <v/>
      </c>
      <c r="BS152" s="8">
        <f>BS87</f>
        <v/>
      </c>
      <c r="BT152" s="8">
        <f>BT87</f>
        <v/>
      </c>
      <c r="BU152" s="8">
        <f>BU87</f>
        <v/>
      </c>
      <c r="BV152" s="8">
        <f>BV87</f>
        <v/>
      </c>
      <c r="BW152" s="8">
        <f>BW87</f>
        <v/>
      </c>
      <c r="BX152" s="8">
        <f>BX87</f>
        <v/>
      </c>
      <c r="BY152" s="8">
        <f>BY87</f>
        <v/>
      </c>
      <c r="BZ152" s="8">
        <f>BZ87</f>
        <v/>
      </c>
      <c r="CA152" s="8">
        <f>CA87</f>
        <v/>
      </c>
      <c r="CB152" s="8">
        <f>CB87</f>
        <v/>
      </c>
      <c r="CC152" s="8">
        <f>CC87</f>
        <v/>
      </c>
      <c r="CD152" s="8">
        <f>CD87</f>
        <v/>
      </c>
      <c r="CE152" s="8">
        <f>CE87</f>
        <v/>
      </c>
      <c r="CF152" s="8">
        <f>CF87</f>
        <v/>
      </c>
      <c r="CG152" s="8">
        <f>CG87</f>
        <v/>
      </c>
      <c r="CH152" s="8">
        <f>CH87</f>
        <v/>
      </c>
      <c r="CI152" s="23" t="n"/>
      <c r="CJ152" s="54" t="n"/>
      <c r="CK152" s="54" t="n"/>
    </row>
    <row r="153" ht="15" customHeight="1" s="201">
      <c r="A153" s="7" t="inlineStr">
        <is>
          <t>Debt Facility Payment</t>
        </is>
      </c>
      <c r="B153" s="22" t="n"/>
      <c r="C153" s="8">
        <f>C101</f>
        <v/>
      </c>
      <c r="D153" s="8">
        <f>D101</f>
        <v/>
      </c>
      <c r="E153" s="8">
        <f>E101</f>
        <v/>
      </c>
      <c r="F153" s="8">
        <f>F101</f>
        <v/>
      </c>
      <c r="G153" s="8">
        <f>G101</f>
        <v/>
      </c>
      <c r="H153" s="8">
        <f>H101</f>
        <v/>
      </c>
      <c r="I153" s="8">
        <f>I101</f>
        <v/>
      </c>
      <c r="J153" s="8">
        <f>J101</f>
        <v/>
      </c>
      <c r="K153" s="8">
        <f>K101</f>
        <v/>
      </c>
      <c r="L153" s="8">
        <f>L101</f>
        <v/>
      </c>
      <c r="M153" s="8">
        <f>M101</f>
        <v/>
      </c>
      <c r="N153" s="8">
        <f>N101</f>
        <v/>
      </c>
      <c r="O153" s="8">
        <f>O101</f>
        <v/>
      </c>
      <c r="P153" s="8">
        <f>P101</f>
        <v/>
      </c>
      <c r="Q153" s="8">
        <f>Q101</f>
        <v/>
      </c>
      <c r="R153" s="8">
        <f>R101</f>
        <v/>
      </c>
      <c r="S153" s="8">
        <f>S101</f>
        <v/>
      </c>
      <c r="T153" s="8">
        <f>T101</f>
        <v/>
      </c>
      <c r="U153" s="8">
        <f>U101</f>
        <v/>
      </c>
      <c r="V153" s="8">
        <f>V101</f>
        <v/>
      </c>
      <c r="W153" s="8">
        <f>W101</f>
        <v/>
      </c>
      <c r="X153" s="8">
        <f>X101</f>
        <v/>
      </c>
      <c r="Y153" s="8">
        <f>Y101</f>
        <v/>
      </c>
      <c r="Z153" s="8">
        <f>Z101</f>
        <v/>
      </c>
      <c r="AA153" s="8">
        <f>AA101</f>
        <v/>
      </c>
      <c r="AB153" s="8">
        <f>AB101</f>
        <v/>
      </c>
      <c r="AC153" s="8">
        <f>AC101</f>
        <v/>
      </c>
      <c r="AD153" s="8">
        <f>AD101</f>
        <v/>
      </c>
      <c r="AE153" s="8">
        <f>AE101</f>
        <v/>
      </c>
      <c r="AF153" s="8">
        <f>AF101</f>
        <v/>
      </c>
      <c r="AG153" s="8">
        <f>AG101</f>
        <v/>
      </c>
      <c r="AH153" s="8">
        <f>AH101</f>
        <v/>
      </c>
      <c r="AI153" s="8">
        <f>AI101</f>
        <v/>
      </c>
      <c r="AJ153" s="8">
        <f>AJ101</f>
        <v/>
      </c>
      <c r="AK153" s="8">
        <f>AK101</f>
        <v/>
      </c>
      <c r="AL153" s="8">
        <f>AL101</f>
        <v/>
      </c>
      <c r="AM153" s="8">
        <f>AM101</f>
        <v/>
      </c>
      <c r="AN153" s="8">
        <f>AN101</f>
        <v/>
      </c>
      <c r="AO153" s="8">
        <f>AO101</f>
        <v/>
      </c>
      <c r="AP153" s="8">
        <f>AP101</f>
        <v/>
      </c>
      <c r="AQ153" s="8">
        <f>AQ101</f>
        <v/>
      </c>
      <c r="AR153" s="8">
        <f>AR101</f>
        <v/>
      </c>
      <c r="AS153" s="8">
        <f>AS101</f>
        <v/>
      </c>
      <c r="AT153" s="8">
        <f>AT101</f>
        <v/>
      </c>
      <c r="AU153" s="8">
        <f>AU101</f>
        <v/>
      </c>
      <c r="AV153" s="8">
        <f>AV101</f>
        <v/>
      </c>
      <c r="AW153" s="8">
        <f>AW101</f>
        <v/>
      </c>
      <c r="AX153" s="8">
        <f>AX101</f>
        <v/>
      </c>
      <c r="AY153" s="8">
        <f>AY101</f>
        <v/>
      </c>
      <c r="AZ153" s="8">
        <f>AZ101</f>
        <v/>
      </c>
      <c r="BA153" s="8">
        <f>BA101</f>
        <v/>
      </c>
      <c r="BB153" s="8">
        <f>BB101</f>
        <v/>
      </c>
      <c r="BC153" s="8">
        <f>BC101</f>
        <v/>
      </c>
      <c r="BD153" s="8">
        <f>BD101</f>
        <v/>
      </c>
      <c r="BE153" s="8">
        <f>BE101</f>
        <v/>
      </c>
      <c r="BF153" s="8">
        <f>BF101</f>
        <v/>
      </c>
      <c r="BG153" s="8">
        <f>BG101</f>
        <v/>
      </c>
      <c r="BH153" s="8">
        <f>BH101</f>
        <v/>
      </c>
      <c r="BI153" s="8">
        <f>BI101</f>
        <v/>
      </c>
      <c r="BJ153" s="8">
        <f>BJ101</f>
        <v/>
      </c>
      <c r="BK153" s="8">
        <f>BK101</f>
        <v/>
      </c>
      <c r="BL153" s="8">
        <f>BL101</f>
        <v/>
      </c>
      <c r="BM153" s="8">
        <f>BM101</f>
        <v/>
      </c>
      <c r="BN153" s="8">
        <f>BN101</f>
        <v/>
      </c>
      <c r="BO153" s="8">
        <f>BO101</f>
        <v/>
      </c>
      <c r="BP153" s="8">
        <f>BP101</f>
        <v/>
      </c>
      <c r="BQ153" s="8">
        <f>BQ101</f>
        <v/>
      </c>
      <c r="BR153" s="8">
        <f>BR101</f>
        <v/>
      </c>
      <c r="BS153" s="8">
        <f>BS101</f>
        <v/>
      </c>
      <c r="BT153" s="8">
        <f>BT101</f>
        <v/>
      </c>
      <c r="BU153" s="8">
        <f>BU101</f>
        <v/>
      </c>
      <c r="BV153" s="8">
        <f>BV101</f>
        <v/>
      </c>
      <c r="BW153" s="8">
        <f>BW101</f>
        <v/>
      </c>
      <c r="BX153" s="8">
        <f>BX101</f>
        <v/>
      </c>
      <c r="BY153" s="8">
        <f>BY101</f>
        <v/>
      </c>
      <c r="BZ153" s="8">
        <f>BZ101</f>
        <v/>
      </c>
      <c r="CA153" s="8">
        <f>CA101</f>
        <v/>
      </c>
      <c r="CB153" s="8">
        <f>CB101</f>
        <v/>
      </c>
      <c r="CC153" s="8">
        <f>CC101</f>
        <v/>
      </c>
      <c r="CD153" s="8">
        <f>CD101</f>
        <v/>
      </c>
      <c r="CE153" s="8">
        <f>CE101</f>
        <v/>
      </c>
      <c r="CF153" s="8">
        <f>CF101</f>
        <v/>
      </c>
      <c r="CG153" s="8">
        <f>CG101</f>
        <v/>
      </c>
      <c r="CH153" s="8">
        <f>CH101</f>
        <v/>
      </c>
      <c r="CI153" s="23" t="n"/>
      <c r="CJ153" s="54" t="n"/>
      <c r="CK153" s="54" t="n"/>
    </row>
    <row r="154" ht="15" customHeight="1" s="201">
      <c r="A154" s="7" t="inlineStr">
        <is>
          <t>Row Run Capital Payment</t>
        </is>
      </c>
      <c r="B154" s="22" t="n"/>
      <c r="C154" s="8">
        <f>C107</f>
        <v/>
      </c>
      <c r="D154" s="8">
        <f>D107</f>
        <v/>
      </c>
      <c r="E154" s="8">
        <f>E107</f>
        <v/>
      </c>
      <c r="F154" s="8">
        <f>F107</f>
        <v/>
      </c>
      <c r="G154" s="8">
        <f>G107</f>
        <v/>
      </c>
      <c r="H154" s="8">
        <f>H107</f>
        <v/>
      </c>
      <c r="I154" s="8">
        <f>I107</f>
        <v/>
      </c>
      <c r="J154" s="8">
        <f>J107</f>
        <v/>
      </c>
      <c r="K154" s="8">
        <f>K107</f>
        <v/>
      </c>
      <c r="L154" s="8">
        <f>L107</f>
        <v/>
      </c>
      <c r="M154" s="8">
        <f>M107</f>
        <v/>
      </c>
      <c r="N154" s="8">
        <f>N107</f>
        <v/>
      </c>
      <c r="O154" s="8">
        <f>O107</f>
        <v/>
      </c>
      <c r="P154" s="8">
        <f>P107</f>
        <v/>
      </c>
      <c r="Q154" s="8">
        <f>Q107</f>
        <v/>
      </c>
      <c r="R154" s="8">
        <f>R107</f>
        <v/>
      </c>
      <c r="S154" s="8">
        <f>S107</f>
        <v/>
      </c>
      <c r="T154" s="8">
        <f>T107</f>
        <v/>
      </c>
      <c r="U154" s="8">
        <f>U107</f>
        <v/>
      </c>
      <c r="V154" s="8">
        <f>V107</f>
        <v/>
      </c>
      <c r="W154" s="8">
        <f>W107</f>
        <v/>
      </c>
      <c r="X154" s="8">
        <f>X107</f>
        <v/>
      </c>
      <c r="Y154" s="8">
        <f>Y107</f>
        <v/>
      </c>
      <c r="Z154" s="8">
        <f>Z107</f>
        <v/>
      </c>
      <c r="AA154" s="8">
        <f>AA107</f>
        <v/>
      </c>
      <c r="AB154" s="8">
        <f>AB107</f>
        <v/>
      </c>
      <c r="AC154" s="8">
        <f>AC107</f>
        <v/>
      </c>
      <c r="AD154" s="8">
        <f>AD107</f>
        <v/>
      </c>
      <c r="AE154" s="8">
        <f>AE107</f>
        <v/>
      </c>
      <c r="AF154" s="8">
        <f>AF107</f>
        <v/>
      </c>
      <c r="AG154" s="8">
        <f>AG107</f>
        <v/>
      </c>
      <c r="AH154" s="8">
        <f>AH107</f>
        <v/>
      </c>
      <c r="AI154" s="8">
        <f>AI107</f>
        <v/>
      </c>
      <c r="AJ154" s="8">
        <f>AJ107</f>
        <v/>
      </c>
      <c r="AK154" s="8">
        <f>AK107</f>
        <v/>
      </c>
      <c r="AL154" s="8">
        <f>AL107</f>
        <v/>
      </c>
      <c r="AM154" s="8">
        <f>AM107</f>
        <v/>
      </c>
      <c r="AN154" s="8">
        <f>AN107</f>
        <v/>
      </c>
      <c r="AO154" s="8">
        <f>AO107</f>
        <v/>
      </c>
      <c r="AP154" s="8">
        <f>AP107</f>
        <v/>
      </c>
      <c r="AQ154" s="8">
        <f>AQ107</f>
        <v/>
      </c>
      <c r="AR154" s="8">
        <f>AR107</f>
        <v/>
      </c>
      <c r="AS154" s="8">
        <f>AS107</f>
        <v/>
      </c>
      <c r="AT154" s="8">
        <f>AT107</f>
        <v/>
      </c>
      <c r="AU154" s="8">
        <f>AU107</f>
        <v/>
      </c>
      <c r="AV154" s="8">
        <f>AV107</f>
        <v/>
      </c>
      <c r="AW154" s="8">
        <f>AW107</f>
        <v/>
      </c>
      <c r="AX154" s="8">
        <f>AX107</f>
        <v/>
      </c>
      <c r="AY154" s="8">
        <f>AY107</f>
        <v/>
      </c>
      <c r="AZ154" s="8">
        <f>AZ107</f>
        <v/>
      </c>
      <c r="BA154" s="8">
        <f>BA107</f>
        <v/>
      </c>
      <c r="BB154" s="8">
        <f>BB107</f>
        <v/>
      </c>
      <c r="BC154" s="8">
        <f>BC107</f>
        <v/>
      </c>
      <c r="BD154" s="8">
        <f>BD107</f>
        <v/>
      </c>
      <c r="BE154" s="8">
        <f>BE107</f>
        <v/>
      </c>
      <c r="BF154" s="8">
        <f>BF107</f>
        <v/>
      </c>
      <c r="BG154" s="8">
        <f>BG107</f>
        <v/>
      </c>
      <c r="BH154" s="8">
        <f>BH107</f>
        <v/>
      </c>
      <c r="BI154" s="8">
        <f>BI107</f>
        <v/>
      </c>
      <c r="BJ154" s="8">
        <f>BJ107</f>
        <v/>
      </c>
      <c r="BK154" s="8">
        <f>BK107</f>
        <v/>
      </c>
      <c r="BL154" s="8">
        <f>BL107</f>
        <v/>
      </c>
      <c r="BM154" s="8">
        <f>BM107</f>
        <v/>
      </c>
      <c r="BN154" s="8">
        <f>BN107</f>
        <v/>
      </c>
      <c r="BO154" s="8">
        <f>BO107</f>
        <v/>
      </c>
      <c r="BP154" s="8">
        <f>BP107</f>
        <v/>
      </c>
      <c r="BQ154" s="8">
        <f>BQ107</f>
        <v/>
      </c>
      <c r="BR154" s="8">
        <f>BR107</f>
        <v/>
      </c>
      <c r="BS154" s="8">
        <f>BS107</f>
        <v/>
      </c>
      <c r="BT154" s="8">
        <f>BT107</f>
        <v/>
      </c>
      <c r="BU154" s="8">
        <f>BU107</f>
        <v/>
      </c>
      <c r="BV154" s="8">
        <f>BV107</f>
        <v/>
      </c>
      <c r="BW154" s="8">
        <f>BW107</f>
        <v/>
      </c>
      <c r="BX154" s="8">
        <f>BX107</f>
        <v/>
      </c>
      <c r="BY154" s="8">
        <f>BY107</f>
        <v/>
      </c>
      <c r="BZ154" s="8">
        <f>BZ107</f>
        <v/>
      </c>
      <c r="CA154" s="8">
        <f>CA107</f>
        <v/>
      </c>
      <c r="CB154" s="8">
        <f>CB107</f>
        <v/>
      </c>
      <c r="CC154" s="8">
        <f>CC107</f>
        <v/>
      </c>
      <c r="CD154" s="8">
        <f>CD107</f>
        <v/>
      </c>
      <c r="CE154" s="8">
        <f>CE107</f>
        <v/>
      </c>
      <c r="CF154" s="8">
        <f>CF107</f>
        <v/>
      </c>
      <c r="CG154" s="8">
        <f>CG107</f>
        <v/>
      </c>
      <c r="CH154" s="8">
        <f>CH107</f>
        <v/>
      </c>
      <c r="CI154" s="23" t="n"/>
      <c r="CJ154" s="54" t="n"/>
      <c r="CK154" s="54" t="n"/>
    </row>
    <row r="155" ht="15" customHeight="1" s="201">
      <c r="A155" s="7" t="inlineStr">
        <is>
          <t>PIK Repayment (included in SP Expenses above)</t>
        </is>
      </c>
      <c r="B155" s="22" t="n"/>
      <c r="C155" s="8" t="n">
        <v>0</v>
      </c>
      <c r="D155" s="8" t="n">
        <v>0</v>
      </c>
      <c r="E155" s="8" t="n">
        <v>0</v>
      </c>
      <c r="F155" s="8" t="n">
        <v>0</v>
      </c>
      <c r="G155" s="8" t="n">
        <v>0</v>
      </c>
      <c r="H155" s="8" t="n">
        <v>0</v>
      </c>
      <c r="I155" s="8" t="n">
        <v>0</v>
      </c>
      <c r="J155" s="8" t="n">
        <v>0</v>
      </c>
      <c r="K155" s="8" t="n">
        <v>0</v>
      </c>
      <c r="L155" s="8" t="n">
        <v>0</v>
      </c>
      <c r="M155" s="8" t="n">
        <v>0</v>
      </c>
      <c r="N155" s="8" t="n">
        <v>0</v>
      </c>
      <c r="O155" s="8" t="n">
        <v>0</v>
      </c>
      <c r="P155" s="8" t="n">
        <v>0</v>
      </c>
      <c r="Q155" s="8" t="n">
        <v>0</v>
      </c>
      <c r="R155" s="8" t="n">
        <v>0</v>
      </c>
      <c r="S155" s="8" t="n">
        <v>0</v>
      </c>
      <c r="T155" s="8" t="n">
        <v>0</v>
      </c>
      <c r="U155" s="8" t="n">
        <v>0</v>
      </c>
      <c r="V155" s="8" t="n">
        <v>0</v>
      </c>
      <c r="W155" s="8" t="n">
        <v>0</v>
      </c>
      <c r="X155" s="8" t="n">
        <v>0</v>
      </c>
      <c r="Y155" s="8" t="n">
        <v>0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  <c r="AK155" s="8" t="n">
        <v>0</v>
      </c>
      <c r="AL155" s="8" t="n">
        <v>0</v>
      </c>
      <c r="AM155" s="8" t="n">
        <v>0</v>
      </c>
      <c r="AN155" s="8" t="n">
        <v>0</v>
      </c>
      <c r="AO155" s="8" t="n">
        <v>0</v>
      </c>
      <c r="AP155" s="8" t="n">
        <v>0</v>
      </c>
      <c r="AQ155" s="8" t="n">
        <v>0</v>
      </c>
      <c r="AR155" s="8" t="n">
        <v>0</v>
      </c>
      <c r="AS155" s="8" t="n">
        <v>0</v>
      </c>
      <c r="AT155" s="8" t="n">
        <v>0</v>
      </c>
      <c r="AU155" s="8" t="n">
        <v>0</v>
      </c>
      <c r="AV155" s="8" t="n">
        <v>0</v>
      </c>
      <c r="AW155" s="8" t="n">
        <v>0</v>
      </c>
      <c r="AX155" s="8" t="n">
        <v>0</v>
      </c>
      <c r="AY155" s="8" t="n">
        <v>0</v>
      </c>
      <c r="AZ155" s="8" t="n">
        <v>0</v>
      </c>
      <c r="BA155" s="8" t="n">
        <v>0</v>
      </c>
      <c r="BB155" s="8" t="n">
        <v>0</v>
      </c>
      <c r="BC155" s="8" t="n">
        <v>0</v>
      </c>
      <c r="BD155" s="8" t="n">
        <v>0</v>
      </c>
      <c r="BE155" s="8" t="n">
        <v>0</v>
      </c>
      <c r="BF155" s="8" t="n">
        <v>0</v>
      </c>
      <c r="BG155" s="8" t="n">
        <v>0</v>
      </c>
      <c r="BH155" s="8" t="n">
        <v>0</v>
      </c>
      <c r="BI155" s="8" t="n">
        <v>0</v>
      </c>
      <c r="BJ155" s="8" t="n">
        <v>0</v>
      </c>
      <c r="BK155" s="8" t="n">
        <v>0</v>
      </c>
      <c r="BL155" s="8" t="n">
        <v>0</v>
      </c>
      <c r="BM155" s="8" t="n">
        <v>0</v>
      </c>
      <c r="BN155" s="8" t="n">
        <v>0</v>
      </c>
      <c r="BO155" s="8" t="n">
        <v>0</v>
      </c>
      <c r="BP155" s="8" t="n">
        <v>0</v>
      </c>
      <c r="BQ155" s="8" t="n">
        <v>0</v>
      </c>
      <c r="BR155" s="8" t="n">
        <v>0</v>
      </c>
      <c r="BS155" s="8" t="n">
        <v>0</v>
      </c>
      <c r="BT155" s="8" t="n">
        <v>0</v>
      </c>
      <c r="BU155" s="8" t="n">
        <v>0</v>
      </c>
      <c r="BV155" s="8" t="n">
        <v>0</v>
      </c>
      <c r="BW155" s="8" t="n">
        <v>0</v>
      </c>
      <c r="BX155" s="8" t="n">
        <v>0</v>
      </c>
      <c r="BY155" s="8" t="n">
        <v>0</v>
      </c>
      <c r="BZ155" s="8" t="n">
        <v>0</v>
      </c>
      <c r="CA155" s="8" t="n">
        <v>0</v>
      </c>
      <c r="CB155" s="8" t="n">
        <v>0</v>
      </c>
      <c r="CC155" s="8" t="n">
        <v>0</v>
      </c>
      <c r="CD155" s="8" t="n">
        <v>0</v>
      </c>
      <c r="CE155" s="8" t="n">
        <v>0</v>
      </c>
      <c r="CF155" s="8" t="n">
        <v>0</v>
      </c>
      <c r="CG155" s="8" t="n">
        <v>0</v>
      </c>
      <c r="CH155" s="8" t="n">
        <v>0</v>
      </c>
      <c r="CI155" s="23" t="n"/>
      <c r="CJ155" s="54" t="n"/>
      <c r="CK155" s="54" t="n"/>
    </row>
    <row r="156" ht="15" customHeight="1" s="201">
      <c r="A156" s="57" t="inlineStr">
        <is>
          <t>SP Ending Cash</t>
        </is>
      </c>
      <c r="B156" s="58" t="n"/>
      <c r="C156" s="59">
        <f>C151+C152+C153+C154+C155</f>
        <v/>
      </c>
      <c r="D156" s="59">
        <f>D151+D152+D153+D154+D155</f>
        <v/>
      </c>
      <c r="E156" s="59">
        <f>E151+E152+E153+E154+E155</f>
        <v/>
      </c>
      <c r="F156" s="59">
        <f>F151+F152+F153+F154+F155</f>
        <v/>
      </c>
      <c r="G156" s="59">
        <f>G151+G152+G153+G154+G155</f>
        <v/>
      </c>
      <c r="H156" s="59">
        <f>H151+H152+H153+H154+H155</f>
        <v/>
      </c>
      <c r="I156" s="59">
        <f>I151+I152+I153+I154+I155</f>
        <v/>
      </c>
      <c r="J156" s="59">
        <f>J151+J152+J153+J154+J155</f>
        <v/>
      </c>
      <c r="K156" s="59">
        <f>K151+K152+K153+K154+K155</f>
        <v/>
      </c>
      <c r="L156" s="59">
        <f>L151+L152+L153+L154+L155</f>
        <v/>
      </c>
      <c r="M156" s="59">
        <f>M151+M152+M153+M154+M155</f>
        <v/>
      </c>
      <c r="N156" s="59">
        <f>N151+N152+N153+N154+N155</f>
        <v/>
      </c>
      <c r="O156" s="59">
        <f>O151+O152+O153+O154+O155</f>
        <v/>
      </c>
      <c r="P156" s="59">
        <f>P151+P152+P153+P154+P155</f>
        <v/>
      </c>
      <c r="Q156" s="59">
        <f>Q151+Q152+Q153+Q154+Q155</f>
        <v/>
      </c>
      <c r="R156" s="59">
        <f>R151+R152+R153+R154+R155</f>
        <v/>
      </c>
      <c r="S156" s="59">
        <f>S151+S152+S153+S154+S155</f>
        <v/>
      </c>
      <c r="T156" s="59">
        <f>T151+T152+T153+T154+T155</f>
        <v/>
      </c>
      <c r="U156" s="59">
        <f>U151+U152+U153+U154+U155</f>
        <v/>
      </c>
      <c r="V156" s="59">
        <f>V151+V152+V153+V154+V155</f>
        <v/>
      </c>
      <c r="W156" s="59">
        <f>W151+W152+W153+W154+W155</f>
        <v/>
      </c>
      <c r="X156" s="59">
        <f>X151+X152+X153+X154+X155</f>
        <v/>
      </c>
      <c r="Y156" s="59">
        <f>Y151+Y152+Y153+Y154+Y155</f>
        <v/>
      </c>
      <c r="Z156" s="59">
        <f>Z151+Z152+Z153+Z154+Z155</f>
        <v/>
      </c>
      <c r="AA156" s="59">
        <f>AA151+AA152+AA153+AA154+AA155</f>
        <v/>
      </c>
      <c r="AB156" s="59">
        <f>AB151+AB152+AB153+AB154+AB155</f>
        <v/>
      </c>
      <c r="AC156" s="59">
        <f>AC151+AC152+AC153+AC154+AC155</f>
        <v/>
      </c>
      <c r="AD156" s="59">
        <f>AD151+AD152+AD153+AD154+AD155</f>
        <v/>
      </c>
      <c r="AE156" s="59">
        <f>AE151+AE152+AE153+AE154+AE155</f>
        <v/>
      </c>
      <c r="AF156" s="59">
        <f>AF151+AF152+AF153+AF154+AF155</f>
        <v/>
      </c>
      <c r="AG156" s="59">
        <f>AG151+AG152+AG153+AG154+AG155</f>
        <v/>
      </c>
      <c r="AH156" s="59">
        <f>AH151+AH152+AH153+AH154+AH155</f>
        <v/>
      </c>
      <c r="AI156" s="59">
        <f>AI151+AI152+AI153+AI154+AI155</f>
        <v/>
      </c>
      <c r="AJ156" s="59">
        <f>AJ151+AJ152+AJ153+AJ154+AJ155</f>
        <v/>
      </c>
      <c r="AK156" s="59">
        <f>AK151+AK152+AK153+AK154+AK155</f>
        <v/>
      </c>
      <c r="AL156" s="59">
        <f>AL151+AL152+AL153+AL154+AL155</f>
        <v/>
      </c>
      <c r="AM156" s="59">
        <f>AM151+AM152+AM153+AM154+AM155</f>
        <v/>
      </c>
      <c r="AN156" s="59">
        <f>AN151+AN152+AN153+AN154+AN155</f>
        <v/>
      </c>
      <c r="AO156" s="59">
        <f>AO151+AO152+AO153+AO154+AO155</f>
        <v/>
      </c>
      <c r="AP156" s="59">
        <f>AP151+AP152+AP153+AP154+AP155</f>
        <v/>
      </c>
      <c r="AQ156" s="59">
        <f>AQ151+AQ152+AQ153+AQ154+AQ155</f>
        <v/>
      </c>
      <c r="AR156" s="59">
        <f>AR151+AR152+AR153+AR154+AR155</f>
        <v/>
      </c>
      <c r="AS156" s="59">
        <f>AS151+AS152+AS153+AS154+AS155</f>
        <v/>
      </c>
      <c r="AT156" s="59">
        <f>AT151+AT152+AT153+AT154+AT155</f>
        <v/>
      </c>
      <c r="AU156" s="59">
        <f>AU151+AU152+AU153+AU154+AU155</f>
        <v/>
      </c>
      <c r="AV156" s="59">
        <f>AV151+AV152+AV153+AV154+AV155</f>
        <v/>
      </c>
      <c r="AW156" s="59">
        <f>AW151+AW152+AW153+AW154+AW155</f>
        <v/>
      </c>
      <c r="AX156" s="59">
        <f>AX151+AX152+AX153+AX154+AX155</f>
        <v/>
      </c>
      <c r="AY156" s="59">
        <f>AY151+AY152+AY153+AY154+AY155</f>
        <v/>
      </c>
      <c r="AZ156" s="59">
        <f>AZ151+AZ152+AZ153+AZ154+AZ155</f>
        <v/>
      </c>
      <c r="BA156" s="59">
        <f>BA151+BA152+BA153+BA154+BA155</f>
        <v/>
      </c>
      <c r="BB156" s="59">
        <f>BB151+BB152+BB153+BB154+BB155</f>
        <v/>
      </c>
      <c r="BC156" s="59">
        <f>BC151+BC152+BC153+BC154+BC155</f>
        <v/>
      </c>
      <c r="BD156" s="59">
        <f>BD151+BD152+BD153+BD154+BD155</f>
        <v/>
      </c>
      <c r="BE156" s="59">
        <f>BE151+BE152+BE153+BE154+BE155</f>
        <v/>
      </c>
      <c r="BF156" s="59">
        <f>BF151+BF152+BF153+BF154+BF155</f>
        <v/>
      </c>
      <c r="BG156" s="59">
        <f>BG151+BG152+BG153+BG154+BG155</f>
        <v/>
      </c>
      <c r="BH156" s="59">
        <f>BH151+BH152+BH153+BH154+BH155</f>
        <v/>
      </c>
      <c r="BI156" s="59">
        <f>BI151+BI152+BI153+BI154+BI155</f>
        <v/>
      </c>
      <c r="BJ156" s="59">
        <f>BJ151+BJ152+BJ153+BJ154+BJ155</f>
        <v/>
      </c>
      <c r="BK156" s="59">
        <f>BK151+BK152+BK153+BK154+BK155</f>
        <v/>
      </c>
      <c r="BL156" s="59">
        <f>BL151+BL152+BL153+BL154+BL155</f>
        <v/>
      </c>
      <c r="BM156" s="59">
        <f>BM151+BM152+BM153+BM154+BM155</f>
        <v/>
      </c>
      <c r="BN156" s="59">
        <f>BN151+BN152+BN153+BN154+BN155</f>
        <v/>
      </c>
      <c r="BO156" s="59">
        <f>BO151+BO152+BO153+BO154+BO155</f>
        <v/>
      </c>
      <c r="BP156" s="59">
        <f>BP151+BP152+BP153+BP154+BP155</f>
        <v/>
      </c>
      <c r="BQ156" s="59">
        <f>BQ151+BQ152+BQ153+BQ154+BQ155</f>
        <v/>
      </c>
      <c r="BR156" s="59">
        <f>BR151+BR152+BR153+BR154+BR155</f>
        <v/>
      </c>
      <c r="BS156" s="59">
        <f>BS151+BS152+BS153+BS154+BS155</f>
        <v/>
      </c>
      <c r="BT156" s="59">
        <f>BT151+BT152+BT153+BT154+BT155</f>
        <v/>
      </c>
      <c r="BU156" s="59">
        <f>BU151+BU152+BU153+BU154+BU155</f>
        <v/>
      </c>
      <c r="BV156" s="59">
        <f>BV151+BV152+BV153+BV154+BV155</f>
        <v/>
      </c>
      <c r="BW156" s="59">
        <f>BW151+BW152+BW153+BW154+BW155</f>
        <v/>
      </c>
      <c r="BX156" s="59">
        <f>BX151+BX152+BX153+BX154+BX155</f>
        <v/>
      </c>
      <c r="BY156" s="59">
        <f>BY151+BY152+BY153+BY154+BY155</f>
        <v/>
      </c>
      <c r="BZ156" s="59">
        <f>BZ151+BZ152+BZ153+BZ154+BZ155</f>
        <v/>
      </c>
      <c r="CA156" s="59">
        <f>CA151+CA152+CA153+CA154+CA155</f>
        <v/>
      </c>
      <c r="CB156" s="59">
        <f>CB151+CB152+CB153+CB154+CB155</f>
        <v/>
      </c>
      <c r="CC156" s="59">
        <f>CC151+CC152+CC153+CC154+CC155</f>
        <v/>
      </c>
      <c r="CD156" s="59">
        <f>CD151+CD152+CD153+CD154+CD155</f>
        <v/>
      </c>
      <c r="CE156" s="59">
        <f>CE151+CE152+CE153+CE154+CE155</f>
        <v/>
      </c>
      <c r="CF156" s="59">
        <f>CF151+CF152+CF153+CF154+CF155</f>
        <v/>
      </c>
      <c r="CG156" s="59">
        <f>CG151+CG152+CG153+CG154+CG155</f>
        <v/>
      </c>
      <c r="CH156" s="59">
        <f>CH151+CH152+CH153+CH154+CH155</f>
        <v/>
      </c>
      <c r="CI156" s="23" t="n"/>
      <c r="CJ156" s="54" t="n"/>
      <c r="CK156" s="54" t="n"/>
    </row>
    <row r="157" ht="15" customHeight="1" s="20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  <c r="AJ157" s="22" t="n"/>
      <c r="AK157" s="22" t="n"/>
      <c r="AL157" s="22" t="n"/>
      <c r="AM157" s="22" t="n"/>
      <c r="AN157" s="22" t="n"/>
      <c r="AO157" s="22" t="n"/>
      <c r="AP157" s="22" t="n"/>
      <c r="AQ157" s="22" t="n"/>
      <c r="AR157" s="22" t="n"/>
      <c r="AS157" s="22" t="n"/>
      <c r="AT157" s="22" t="n"/>
      <c r="AU157" s="22" t="n"/>
      <c r="AV157" s="22" t="n"/>
      <c r="AW157" s="22" t="n"/>
      <c r="AX157" s="22" t="n"/>
      <c r="AY157" s="22" t="n"/>
      <c r="AZ157" s="22" t="n"/>
      <c r="BA157" s="22" t="n"/>
      <c r="BB157" s="22" t="n"/>
      <c r="BC157" s="22" t="n"/>
      <c r="BD157" s="22" t="n"/>
      <c r="BE157" s="22" t="n"/>
      <c r="BF157" s="22" t="n"/>
      <c r="BG157" s="22" t="n"/>
      <c r="BH157" s="22" t="n"/>
      <c r="BI157" s="22" t="n"/>
      <c r="BJ157" s="22" t="n"/>
      <c r="BK157" s="22" t="n"/>
      <c r="BL157" s="22" t="n"/>
      <c r="BM157" s="22" t="n"/>
      <c r="BN157" s="22" t="n"/>
      <c r="BO157" s="22" t="n"/>
      <c r="BP157" s="22" t="n"/>
      <c r="BQ157" s="22" t="n"/>
      <c r="BR157" s="22" t="n"/>
      <c r="BS157" s="22" t="n"/>
      <c r="BT157" s="22" t="n"/>
      <c r="BU157" s="22" t="n"/>
      <c r="BV157" s="22" t="n"/>
      <c r="BW157" s="22" t="n"/>
      <c r="BX157" s="22" t="n"/>
      <c r="BY157" s="22" t="n"/>
      <c r="BZ157" s="22" t="n"/>
      <c r="CA157" s="22" t="n"/>
      <c r="CB157" s="22" t="n"/>
      <c r="CC157" s="22" t="n"/>
      <c r="CD157" s="22" t="n"/>
      <c r="CE157" s="22" t="n"/>
      <c r="CF157" s="22" t="n"/>
      <c r="CG157" s="22" t="n"/>
      <c r="CH157" s="22" t="n"/>
      <c r="CI157" s="23" t="n"/>
      <c r="CJ157" s="54" t="n"/>
      <c r="CK157" s="54" t="n"/>
    </row>
    <row r="158" ht="15" customHeight="1" s="201">
      <c r="A158" s="6" t="inlineStr">
        <is>
          <t>Consolidated Cash</t>
        </is>
      </c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  <c r="AH158" s="6" t="n"/>
      <c r="AI158" s="6" t="n"/>
      <c r="AJ158" s="6" t="n"/>
      <c r="AK158" s="6" t="n"/>
      <c r="AL158" s="6" t="n"/>
      <c r="AM158" s="6" t="n"/>
      <c r="AN158" s="6" t="n"/>
      <c r="AO158" s="6" t="n"/>
      <c r="AP158" s="6" t="n"/>
      <c r="AQ158" s="6" t="n"/>
      <c r="AR158" s="6" t="n"/>
      <c r="AS158" s="6" t="n"/>
      <c r="AT158" s="6" t="n"/>
      <c r="AU158" s="6" t="n"/>
      <c r="AV158" s="6" t="n"/>
      <c r="AW158" s="6" t="n"/>
      <c r="AX158" s="6" t="n"/>
      <c r="AY158" s="6" t="n"/>
      <c r="AZ158" s="6" t="n"/>
      <c r="BA158" s="6" t="n"/>
      <c r="BB158" s="6" t="n"/>
      <c r="BC158" s="6" t="n"/>
      <c r="BD158" s="6" t="n"/>
      <c r="BE158" s="6" t="n"/>
      <c r="BF158" s="6" t="n"/>
      <c r="BG158" s="6" t="n"/>
      <c r="BH158" s="6" t="n"/>
      <c r="BI158" s="6" t="n"/>
      <c r="BJ158" s="6" t="n"/>
      <c r="BK158" s="6" t="n"/>
      <c r="BL158" s="6" t="n"/>
      <c r="BM158" s="6" t="n"/>
      <c r="BN158" s="6" t="n"/>
      <c r="BO158" s="6" t="n"/>
      <c r="BP158" s="6" t="n"/>
      <c r="BQ158" s="6" t="n"/>
      <c r="BR158" s="6" t="n"/>
      <c r="BS158" s="6" t="n"/>
      <c r="BT158" s="6" t="n"/>
      <c r="BU158" s="6" t="n"/>
      <c r="BV158" s="6" t="n"/>
      <c r="BW158" s="6" t="n"/>
      <c r="BX158" s="6" t="n"/>
      <c r="BY158" s="6" t="n"/>
      <c r="BZ158" s="6" t="n"/>
      <c r="CA158" s="6" t="n"/>
      <c r="CB158" s="6" t="n"/>
      <c r="CC158" s="6" t="n"/>
      <c r="CD158" s="6" t="n"/>
      <c r="CE158" s="6" t="n"/>
      <c r="CF158" s="6" t="n"/>
      <c r="CG158" s="6" t="n"/>
      <c r="CH158" s="6" t="n"/>
      <c r="CI158" s="23" t="n"/>
      <c r="CJ158" s="54" t="n"/>
      <c r="CK158" s="54" t="n"/>
    </row>
    <row r="159" ht="15" customHeight="1" s="201">
      <c r="A159" s="7" t="inlineStr">
        <is>
          <t>Total Beginning Cash</t>
        </is>
      </c>
      <c r="B159" s="22" t="n"/>
      <c r="C159" s="8">
        <f>C146+C151</f>
        <v/>
      </c>
      <c r="D159" s="8">
        <f>D146+D151</f>
        <v/>
      </c>
      <c r="E159" s="8">
        <f>E146+E151</f>
        <v/>
      </c>
      <c r="F159" s="8">
        <f>F146+F151</f>
        <v/>
      </c>
      <c r="G159" s="8">
        <f>G146+G151</f>
        <v/>
      </c>
      <c r="H159" s="8">
        <f>H146+H151</f>
        <v/>
      </c>
      <c r="I159" s="8">
        <f>I146+I151</f>
        <v/>
      </c>
      <c r="J159" s="8">
        <f>J146+J151</f>
        <v/>
      </c>
      <c r="K159" s="8">
        <f>K146+K151</f>
        <v/>
      </c>
      <c r="L159" s="8">
        <f>L146+L151</f>
        <v/>
      </c>
      <c r="M159" s="8">
        <f>M146+M151</f>
        <v/>
      </c>
      <c r="N159" s="8">
        <f>N146+N151</f>
        <v/>
      </c>
      <c r="O159" s="8">
        <f>O146+O151</f>
        <v/>
      </c>
      <c r="P159" s="8">
        <f>P146+P151</f>
        <v/>
      </c>
      <c r="Q159" s="8">
        <f>Q146+Q151</f>
        <v/>
      </c>
      <c r="R159" s="8">
        <f>R146+R151</f>
        <v/>
      </c>
      <c r="S159" s="8">
        <f>S146+S151</f>
        <v/>
      </c>
      <c r="T159" s="8">
        <f>T146+T151</f>
        <v/>
      </c>
      <c r="U159" s="8">
        <f>U146+U151</f>
        <v/>
      </c>
      <c r="V159" s="8">
        <f>V146+V151</f>
        <v/>
      </c>
      <c r="W159" s="8">
        <f>W146+W151</f>
        <v/>
      </c>
      <c r="X159" s="8">
        <f>X146+X151</f>
        <v/>
      </c>
      <c r="Y159" s="8">
        <f>Y146+Y151</f>
        <v/>
      </c>
      <c r="Z159" s="8">
        <f>Z146+Z151</f>
        <v/>
      </c>
      <c r="AA159" s="8">
        <f>AA146+AA151</f>
        <v/>
      </c>
      <c r="AB159" s="8">
        <f>AB146+AB151</f>
        <v/>
      </c>
      <c r="AC159" s="8">
        <f>AC146+AC151</f>
        <v/>
      </c>
      <c r="AD159" s="8">
        <f>AD146+AD151</f>
        <v/>
      </c>
      <c r="AE159" s="8">
        <f>AE146+AE151</f>
        <v/>
      </c>
      <c r="AF159" s="8">
        <f>AF146+AF151</f>
        <v/>
      </c>
      <c r="AG159" s="8">
        <f>AG146+AG151</f>
        <v/>
      </c>
      <c r="AH159" s="8">
        <f>AH146+AH151</f>
        <v/>
      </c>
      <c r="AI159" s="8">
        <f>AI146+AI151</f>
        <v/>
      </c>
      <c r="AJ159" s="8">
        <f>AJ146+AJ151</f>
        <v/>
      </c>
      <c r="AK159" s="8">
        <f>AK146+AK151</f>
        <v/>
      </c>
      <c r="AL159" s="8">
        <f>AL146+AL151</f>
        <v/>
      </c>
      <c r="AM159" s="8">
        <f>AM146+AM151</f>
        <v/>
      </c>
      <c r="AN159" s="8">
        <f>AN146+AN151</f>
        <v/>
      </c>
      <c r="AO159" s="8">
        <f>AO146+AO151</f>
        <v/>
      </c>
      <c r="AP159" s="8">
        <f>AP146+AP151</f>
        <v/>
      </c>
      <c r="AQ159" s="8">
        <f>AQ146+AQ151</f>
        <v/>
      </c>
      <c r="AR159" s="8">
        <f>AR146+AR151</f>
        <v/>
      </c>
      <c r="AS159" s="8">
        <f>AS146+AS151</f>
        <v/>
      </c>
      <c r="AT159" s="8">
        <f>AT146+AT151</f>
        <v/>
      </c>
      <c r="AU159" s="8">
        <f>AU146+AU151</f>
        <v/>
      </c>
      <c r="AV159" s="8">
        <f>AV146+AV151</f>
        <v/>
      </c>
      <c r="AW159" s="8">
        <f>AW146+AW151</f>
        <v/>
      </c>
      <c r="AX159" s="8">
        <f>AX146+AX151</f>
        <v/>
      </c>
      <c r="AY159" s="8">
        <f>AY146+AY151</f>
        <v/>
      </c>
      <c r="AZ159" s="8">
        <f>AZ146+AZ151</f>
        <v/>
      </c>
      <c r="BA159" s="8">
        <f>BA146+BA151</f>
        <v/>
      </c>
      <c r="BB159" s="8">
        <f>BB146+BB151</f>
        <v/>
      </c>
      <c r="BC159" s="8">
        <f>BC146+BC151</f>
        <v/>
      </c>
      <c r="BD159" s="8">
        <f>BD146+BD151</f>
        <v/>
      </c>
      <c r="BE159" s="8">
        <f>BE146+BE151</f>
        <v/>
      </c>
      <c r="BF159" s="8">
        <f>BF146+BF151</f>
        <v/>
      </c>
      <c r="BG159" s="8">
        <f>BG146+BG151</f>
        <v/>
      </c>
      <c r="BH159" s="8">
        <f>BH146+BH151</f>
        <v/>
      </c>
      <c r="BI159" s="8">
        <f>BI146+BI151</f>
        <v/>
      </c>
      <c r="BJ159" s="8">
        <f>BJ146+BJ151</f>
        <v/>
      </c>
      <c r="BK159" s="8">
        <f>BK146+BK151</f>
        <v/>
      </c>
      <c r="BL159" s="8">
        <f>BL146+BL151</f>
        <v/>
      </c>
      <c r="BM159" s="8">
        <f>BM146+BM151</f>
        <v/>
      </c>
      <c r="BN159" s="8">
        <f>BN146+BN151</f>
        <v/>
      </c>
      <c r="BO159" s="8">
        <f>BO146+BO151</f>
        <v/>
      </c>
      <c r="BP159" s="8">
        <f>BP146+BP151</f>
        <v/>
      </c>
      <c r="BQ159" s="8">
        <f>BQ146+BQ151</f>
        <v/>
      </c>
      <c r="BR159" s="8">
        <f>BR146+BR151</f>
        <v/>
      </c>
      <c r="BS159" s="8">
        <f>BS146+BS151</f>
        <v/>
      </c>
      <c r="BT159" s="8">
        <f>BT146+BT151</f>
        <v/>
      </c>
      <c r="BU159" s="8">
        <f>BU146+BU151</f>
        <v/>
      </c>
      <c r="BV159" s="8">
        <f>BV146+BV151</f>
        <v/>
      </c>
      <c r="BW159" s="8">
        <f>BW146+BW151</f>
        <v/>
      </c>
      <c r="BX159" s="8">
        <f>BX146+BX151</f>
        <v/>
      </c>
      <c r="BY159" s="8">
        <f>BY146+BY151</f>
        <v/>
      </c>
      <c r="BZ159" s="8">
        <f>BZ146+BZ151</f>
        <v/>
      </c>
      <c r="CA159" s="8">
        <f>CA146+CA151</f>
        <v/>
      </c>
      <c r="CB159" s="8">
        <f>CB146+CB151</f>
        <v/>
      </c>
      <c r="CC159" s="8">
        <f>CC146+CC151</f>
        <v/>
      </c>
      <c r="CD159" s="8">
        <f>CD146+CD151</f>
        <v/>
      </c>
      <c r="CE159" s="8">
        <f>CE146+CE151</f>
        <v/>
      </c>
      <c r="CF159" s="8">
        <f>CF146+CF151</f>
        <v/>
      </c>
      <c r="CG159" s="8">
        <f>CG146+CG151</f>
        <v/>
      </c>
      <c r="CH159" s="8">
        <f>CH146+CH151</f>
        <v/>
      </c>
      <c r="CI159" s="23" t="n"/>
      <c r="CJ159" s="54" t="n"/>
      <c r="CK159" s="54" t="n"/>
    </row>
    <row r="160" ht="15" customHeight="1" s="201">
      <c r="A160" s="7" t="inlineStr">
        <is>
          <t>Tax Distribution (30% Consol NI)</t>
        </is>
      </c>
      <c r="B160" s="22" t="n"/>
      <c r="C160" s="8" t="n">
        <v>0</v>
      </c>
      <c r="D160" s="8" t="n">
        <v>0</v>
      </c>
      <c r="E160" s="8" t="n">
        <v>0</v>
      </c>
      <c r="F160" s="8" t="n">
        <v>0</v>
      </c>
      <c r="G160" s="8" t="n">
        <v>0</v>
      </c>
      <c r="H160" s="8" t="n">
        <v>0</v>
      </c>
      <c r="I160" s="8" t="n">
        <v>0</v>
      </c>
      <c r="J160" s="8" t="n">
        <v>0</v>
      </c>
      <c r="K160" s="8" t="n">
        <v>0</v>
      </c>
      <c r="L160" s="8" t="n">
        <v>0</v>
      </c>
      <c r="M160" s="8" t="n">
        <v>0</v>
      </c>
      <c r="N160" s="8">
        <f>IF((C96+D96+E96+F96+G96+H96+I96+J96+K96)&gt;0,-(C96+D96+E96+F96+G96+H96+I96+J96+K96)*0.3,0)</f>
        <v/>
      </c>
      <c r="O160" s="8" t="n">
        <v>0</v>
      </c>
      <c r="P160" s="8" t="n">
        <v>0</v>
      </c>
      <c r="Q160" s="8" t="n">
        <v>0</v>
      </c>
      <c r="R160" s="8" t="n">
        <v>0</v>
      </c>
      <c r="S160" s="8" t="n">
        <v>0</v>
      </c>
      <c r="T160" s="8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n">
        <v>0</v>
      </c>
      <c r="Z160" s="8">
        <f>IF((L96+M96+N96+O96+P96+Q96+R96+S96+T96+U96+V96+W96)&gt;0,-(L96+M96+N96+O96+P96+Q96+R96+S96+T96+U96+V96+W96)*0.3,0)</f>
        <v/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  <c r="AK160" s="8" t="n">
        <v>0</v>
      </c>
      <c r="AL160" s="8">
        <f>IF((X96+Y96+Z96+AA96+AB96+AC96+AD96+AE96+AF96+AG96+AH96+AI96)&gt;0,-(X96+Y96+Z96+AA96+AB96+AC96+AD96+AE96+AF96+AG96+AH96+AI96)*0.3,0)</f>
        <v/>
      </c>
      <c r="AM160" s="8" t="n">
        <v>0</v>
      </c>
      <c r="AN160" s="8" t="n">
        <v>0</v>
      </c>
      <c r="AO160" s="8" t="n">
        <v>0</v>
      </c>
      <c r="AP160" s="8" t="n">
        <v>0</v>
      </c>
      <c r="AQ160" s="8" t="n">
        <v>0</v>
      </c>
      <c r="AR160" s="8" t="n">
        <v>0</v>
      </c>
      <c r="AS160" s="8" t="n">
        <v>0</v>
      </c>
      <c r="AT160" s="8" t="n">
        <v>0</v>
      </c>
      <c r="AU160" s="8" t="n">
        <v>0</v>
      </c>
      <c r="AV160" s="8" t="n">
        <v>0</v>
      </c>
      <c r="AW160" s="8" t="n">
        <v>0</v>
      </c>
      <c r="AX160" s="8">
        <f>IF((AJ96+AK96+AL96+AM96+AN96+AO96+AP96+AQ96+AR96+AS96+AT96+AU96)&gt;0,-(AJ96+AK96+AL96+AM96+AN96+AO96+AP96+AQ96+AR96+AS96+AT96+AU96)*0.3,0)</f>
        <v/>
      </c>
      <c r="AY160" s="8" t="n">
        <v>0</v>
      </c>
      <c r="AZ160" s="8" t="n">
        <v>0</v>
      </c>
      <c r="BA160" s="8" t="n">
        <v>0</v>
      </c>
      <c r="BB160" s="8" t="n">
        <v>0</v>
      </c>
      <c r="BC160" s="8" t="n">
        <v>0</v>
      </c>
      <c r="BD160" s="8" t="n">
        <v>0</v>
      </c>
      <c r="BE160" s="8" t="n">
        <v>0</v>
      </c>
      <c r="BF160" s="8" t="n">
        <v>0</v>
      </c>
      <c r="BG160" s="8" t="n">
        <v>0</v>
      </c>
      <c r="BH160" s="8" t="n">
        <v>0</v>
      </c>
      <c r="BI160" s="8" t="n">
        <v>0</v>
      </c>
      <c r="BJ160" s="8">
        <f>IF((AV96+AW96+AX96+AY96+AZ96+BA96+BB96+BC96+BD96+BE96+BF96+BG96)&gt;0,-(AV96+AW96+AX96+AY96+AZ96+BA96+BB96+BC96+BD96+BE96+BF96+BG96)*0.3,0)</f>
        <v/>
      </c>
      <c r="BK160" s="8" t="n">
        <v>0</v>
      </c>
      <c r="BL160" s="8" t="n">
        <v>0</v>
      </c>
      <c r="BM160" s="8" t="n">
        <v>0</v>
      </c>
      <c r="BN160" s="8" t="n">
        <v>0</v>
      </c>
      <c r="BO160" s="8" t="n">
        <v>0</v>
      </c>
      <c r="BP160" s="8" t="n">
        <v>0</v>
      </c>
      <c r="BQ160" s="8" t="n">
        <v>0</v>
      </c>
      <c r="BR160" s="8" t="n">
        <v>0</v>
      </c>
      <c r="BS160" s="8" t="n">
        <v>0</v>
      </c>
      <c r="BT160" s="8" t="n">
        <v>0</v>
      </c>
      <c r="BU160" s="8" t="n">
        <v>0</v>
      </c>
      <c r="BV160" s="8">
        <f>IF((BH96+BI96+BJ96+BK96+BL96+BM96+BN96+BO96+BP96+BQ96+BR96+BS96)&gt;0,-(BH96+BI96+BJ96+BK96+BL96+BM96+BN96+BO96+BP96+BQ96+BR96+BS96)*0.3,0)</f>
        <v/>
      </c>
      <c r="BW160" s="8" t="n">
        <v>0</v>
      </c>
      <c r="BX160" s="8" t="n">
        <v>0</v>
      </c>
      <c r="BY160" s="8" t="n">
        <v>0</v>
      </c>
      <c r="BZ160" s="8" t="n">
        <v>0</v>
      </c>
      <c r="CA160" s="8" t="n">
        <v>0</v>
      </c>
      <c r="CB160" s="8" t="n">
        <v>0</v>
      </c>
      <c r="CC160" s="8" t="n">
        <v>0</v>
      </c>
      <c r="CD160" s="8" t="n">
        <v>0</v>
      </c>
      <c r="CE160" s="8" t="n">
        <v>0</v>
      </c>
      <c r="CF160" s="8" t="n">
        <v>0</v>
      </c>
      <c r="CG160" s="8" t="n">
        <v>0</v>
      </c>
      <c r="CH160" s="8">
        <f>IF((BT96+BU96+BV96+BW96+BX96+BY96+BZ96+CA96+CB96+CC96+CD96+CE96)&gt;0,-(BT96+BU96+BV96+BW96+BX96+BY96+BZ96+CA96+CB96+CC96+CD96+CE96)*0.3,0)</f>
        <v/>
      </c>
      <c r="CI160" s="23" t="n"/>
      <c r="CJ160" s="54" t="n"/>
      <c r="CK160" s="54" t="n"/>
    </row>
    <row r="161" ht="15" customHeight="1" s="201">
      <c r="A161" s="57" t="inlineStr">
        <is>
          <t>Total Ending Cash</t>
        </is>
      </c>
      <c r="B161" s="58" t="n"/>
      <c r="C161" s="59">
        <f>C159+C147+C152+C153+C154+C155+C160</f>
        <v/>
      </c>
      <c r="D161" s="59">
        <f>D159+D147+D152+D153+D154+D155+D160</f>
        <v/>
      </c>
      <c r="E161" s="59">
        <f>E159+E147+E152+E153+E154+E155+E160</f>
        <v/>
      </c>
      <c r="F161" s="59">
        <f>F159+F147+F152+F153+F154+F155+F160</f>
        <v/>
      </c>
      <c r="G161" s="59">
        <f>G159+G147+G152+G153+G154+G155+G160</f>
        <v/>
      </c>
      <c r="H161" s="59">
        <f>H159+H147+H152+H153+H154+H155+H160</f>
        <v/>
      </c>
      <c r="I161" s="59">
        <f>I159+I147+I152+I153+I154+I155+I160</f>
        <v/>
      </c>
      <c r="J161" s="59">
        <f>J159+J147+J152+J153+J154+J155+J160</f>
        <v/>
      </c>
      <c r="K161" s="59">
        <f>K159+K147+K152+K153+K154+K155+K160</f>
        <v/>
      </c>
      <c r="L161" s="59">
        <f>L159+L147+L152+L153+L154+L155+L160</f>
        <v/>
      </c>
      <c r="M161" s="59">
        <f>M159+M147+M152+M153+M154+M155+M160</f>
        <v/>
      </c>
      <c r="N161" s="59">
        <f>N159+N147+N152+N153+N154+N155+N160</f>
        <v/>
      </c>
      <c r="O161" s="59">
        <f>O159+O147+O152+O153+O154+O155+O160</f>
        <v/>
      </c>
      <c r="P161" s="59">
        <f>P159+P147+P152+P153+P154+P155+P160</f>
        <v/>
      </c>
      <c r="Q161" s="59">
        <f>Q159+Q147+Q152+Q153+Q154+Q155+Q160</f>
        <v/>
      </c>
      <c r="R161" s="59">
        <f>R159+R147+R152+R153+R154+R155+R160</f>
        <v/>
      </c>
      <c r="S161" s="59">
        <f>S159+S147+S152+S153+S154+S155+S160</f>
        <v/>
      </c>
      <c r="T161" s="59">
        <f>T159+T147+T152+T153+T154+T155+T160</f>
        <v/>
      </c>
      <c r="U161" s="59">
        <f>U159+U147+U152+U153+U154+U155+U160</f>
        <v/>
      </c>
      <c r="V161" s="59">
        <f>V159+V147+V152+V153+V154+V155+V160</f>
        <v/>
      </c>
      <c r="W161" s="59">
        <f>W159+W147+W152+W153+W154+W155+W160</f>
        <v/>
      </c>
      <c r="X161" s="59">
        <f>X159+X147+X152+X153+X154+X155+X160</f>
        <v/>
      </c>
      <c r="Y161" s="59">
        <f>Y159+Y147+Y152+Y153+Y154+Y155+Y160</f>
        <v/>
      </c>
      <c r="Z161" s="59">
        <f>Z159+Z147+Z152+Z153+Z154+Z155+Z160</f>
        <v/>
      </c>
      <c r="AA161" s="59">
        <f>AA159+AA147+AA152+AA153+AA154+AA155+AA160</f>
        <v/>
      </c>
      <c r="AB161" s="59">
        <f>AB159+AB147+AB152+AB153+AB154+AB155+AB160</f>
        <v/>
      </c>
      <c r="AC161" s="59">
        <f>AC159+AC147+AC152+AC153+AC154+AC155+AC160</f>
        <v/>
      </c>
      <c r="AD161" s="59">
        <f>AD159+AD147+AD152+AD153+AD154+AD155+AD160</f>
        <v/>
      </c>
      <c r="AE161" s="59">
        <f>AE159+AE147+AE152+AE153+AE154+AE155+AE160</f>
        <v/>
      </c>
      <c r="AF161" s="59">
        <f>AF159+AF147+AF152+AF153+AF154+AF155+AF160</f>
        <v/>
      </c>
      <c r="AG161" s="59">
        <f>AG159+AG147+AG152+AG153+AG154+AG155+AG160</f>
        <v/>
      </c>
      <c r="AH161" s="59">
        <f>AH159+AH147+AH152+AH153+AH154+AH155+AH160</f>
        <v/>
      </c>
      <c r="AI161" s="59">
        <f>AI159+AI147+AI152+AI153+AI154+AI155+AI160</f>
        <v/>
      </c>
      <c r="AJ161" s="59">
        <f>AJ159+AJ147+AJ152+AJ153+AJ154+AJ155+AJ160</f>
        <v/>
      </c>
      <c r="AK161" s="59">
        <f>AK159+AK147+AK152+AK153+AK154+AK155+AK160</f>
        <v/>
      </c>
      <c r="AL161" s="59">
        <f>AL159+AL147+AL152+AL153+AL154+AL155+AL160</f>
        <v/>
      </c>
      <c r="AM161" s="59">
        <f>AM159+AM147+AM152+AM153+AM154+AM155+AM160</f>
        <v/>
      </c>
      <c r="AN161" s="59">
        <f>AN159+AN147+AN152+AN153+AN154+AN155+AN160</f>
        <v/>
      </c>
      <c r="AO161" s="59">
        <f>AO159+AO147+AO152+AO153+AO154+AO155+AO160</f>
        <v/>
      </c>
      <c r="AP161" s="59">
        <f>AP159+AP147+AP152+AP153+AP154+AP155+AP160</f>
        <v/>
      </c>
      <c r="AQ161" s="59">
        <f>AQ159+AQ147+AQ152+AQ153+AQ154+AQ155+AQ160</f>
        <v/>
      </c>
      <c r="AR161" s="59">
        <f>AR159+AR147+AR152+AR153+AR154+AR155+AR160</f>
        <v/>
      </c>
      <c r="AS161" s="59">
        <f>AS159+AS147+AS152+AS153+AS154+AS155+AS160</f>
        <v/>
      </c>
      <c r="AT161" s="59">
        <f>AT159+AT147+AT152+AT153+AT154+AT155+AT160</f>
        <v/>
      </c>
      <c r="AU161" s="59">
        <f>AU159+AU147+AU152+AU153+AU154+AU155+AU160</f>
        <v/>
      </c>
      <c r="AV161" s="59">
        <f>AV159+AV147+AV152+AV153+AV154+AV155+AV160</f>
        <v/>
      </c>
      <c r="AW161" s="59">
        <f>AW159+AW147+AW152+AW153+AW154+AW155+AW160</f>
        <v/>
      </c>
      <c r="AX161" s="59">
        <f>AX159+AX147+AX152+AX153+AX154+AX155+AX160</f>
        <v/>
      </c>
      <c r="AY161" s="59">
        <f>AY159+AY147+AY152+AY153+AY154+AY155+AY160</f>
        <v/>
      </c>
      <c r="AZ161" s="59">
        <f>AZ159+AZ147+AZ152+AZ153+AZ154+AZ155+AZ160</f>
        <v/>
      </c>
      <c r="BA161" s="59">
        <f>BA159+BA147+BA152+BA153+BA154+BA155+BA160</f>
        <v/>
      </c>
      <c r="BB161" s="59">
        <f>BB159+BB147+BB152+BB153+BB154+BB155+BB160</f>
        <v/>
      </c>
      <c r="BC161" s="59">
        <f>BC159+BC147+BC152+BC153+BC154+BC155+BC160</f>
        <v/>
      </c>
      <c r="BD161" s="59">
        <f>BD159+BD147+BD152+BD153+BD154+BD155+BD160</f>
        <v/>
      </c>
      <c r="BE161" s="59">
        <f>BE159+BE147+BE152+BE153+BE154+BE155+BE160</f>
        <v/>
      </c>
      <c r="BF161" s="59">
        <f>BF159+BF147+BF152+BF153+BF154+BF155+BF160</f>
        <v/>
      </c>
      <c r="BG161" s="59">
        <f>BG159+BG147+BG152+BG153+BG154+BG155+BG160</f>
        <v/>
      </c>
      <c r="BH161" s="59">
        <f>BH159+BH147+BH152+BH153+BH154+BH155+BH160</f>
        <v/>
      </c>
      <c r="BI161" s="59">
        <f>BI159+BI147+BI152+BI153+BI154+BI155+BI160</f>
        <v/>
      </c>
      <c r="BJ161" s="59">
        <f>BJ159+BJ147+BJ152+BJ153+BJ154+BJ155+BJ160</f>
        <v/>
      </c>
      <c r="BK161" s="59">
        <f>BK159+BK147+BK152+BK153+BK154+BK155+BK160</f>
        <v/>
      </c>
      <c r="BL161" s="59">
        <f>BL159+BL147+BL152+BL153+BL154+BL155+BL160</f>
        <v/>
      </c>
      <c r="BM161" s="59">
        <f>BM159+BM147+BM152+BM153+BM154+BM155+BM160</f>
        <v/>
      </c>
      <c r="BN161" s="59">
        <f>BN159+BN147+BN152+BN153+BN154+BN155+BN160</f>
        <v/>
      </c>
      <c r="BO161" s="59">
        <f>BO159+BO147+BO152+BO153+BO154+BO155+BO160</f>
        <v/>
      </c>
      <c r="BP161" s="59">
        <f>BP159+BP147+BP152+BP153+BP154+BP155+BP160</f>
        <v/>
      </c>
      <c r="BQ161" s="59">
        <f>BQ159+BQ147+BQ152+BQ153+BQ154+BQ155+BQ160</f>
        <v/>
      </c>
      <c r="BR161" s="59">
        <f>BR159+BR147+BR152+BR153+BR154+BR155+BR160</f>
        <v/>
      </c>
      <c r="BS161" s="59">
        <f>BS159+BS147+BS152+BS153+BS154+BS155+BS160</f>
        <v/>
      </c>
      <c r="BT161" s="59">
        <f>BT159+BT147+BT152+BT153+BT154+BT155+BT160</f>
        <v/>
      </c>
      <c r="BU161" s="59">
        <f>BU159+BU147+BU152+BU153+BU154+BU155+BU160</f>
        <v/>
      </c>
      <c r="BV161" s="59">
        <f>BV159+BV147+BV152+BV153+BV154+BV155+BV160</f>
        <v/>
      </c>
      <c r="BW161" s="59">
        <f>BW159+BW147+BW152+BW153+BW154+BW155+BW160</f>
        <v/>
      </c>
      <c r="BX161" s="59">
        <f>BX159+BX147+BX152+BX153+BX154+BX155+BX160</f>
        <v/>
      </c>
      <c r="BY161" s="59">
        <f>BY159+BY147+BY152+BY153+BY154+BY155+BY160</f>
        <v/>
      </c>
      <c r="BZ161" s="59">
        <f>BZ159+BZ147+BZ152+BZ153+BZ154+BZ155+BZ160</f>
        <v/>
      </c>
      <c r="CA161" s="59">
        <f>CA159+CA147+CA152+CA153+CA154+CA155+CA160</f>
        <v/>
      </c>
      <c r="CB161" s="59">
        <f>CB159+CB147+CB152+CB153+CB154+CB155+CB160</f>
        <v/>
      </c>
      <c r="CC161" s="59">
        <f>CC159+CC147+CC152+CC153+CC154+CC155+CC160</f>
        <v/>
      </c>
      <c r="CD161" s="59">
        <f>CD159+CD147+CD152+CD153+CD154+CD155+CD160</f>
        <v/>
      </c>
      <c r="CE161" s="59">
        <f>CE159+CE147+CE152+CE153+CE154+CE155+CE160</f>
        <v/>
      </c>
      <c r="CF161" s="59">
        <f>CF159+CF147+CF152+CF153+CF154+CF155+CF160</f>
        <v/>
      </c>
      <c r="CG161" s="59">
        <f>CG159+CG147+CG152+CG153+CG154+CG155+CG160</f>
        <v/>
      </c>
      <c r="CH161" s="59">
        <f>CH159+CH147+CH152+CH153+CH154+CH155+CH160</f>
        <v/>
      </c>
      <c r="CI161" s="23" t="n"/>
      <c r="CJ161" s="54" t="n"/>
      <c r="CK161" s="54" t="n"/>
    </row>
    <row r="162" ht="15" customHeight="1" s="201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  <c r="AJ162" s="22" t="n"/>
      <c r="AK162" s="22" t="n"/>
      <c r="AL162" s="22" t="n"/>
      <c r="AM162" s="22" t="n"/>
      <c r="AN162" s="22" t="n"/>
      <c r="AO162" s="22" t="n"/>
      <c r="AP162" s="22" t="n"/>
      <c r="AQ162" s="22" t="n"/>
      <c r="AR162" s="22" t="n"/>
      <c r="AS162" s="22" t="n"/>
      <c r="AT162" s="22" t="n"/>
      <c r="AU162" s="22" t="n"/>
      <c r="AV162" s="22" t="n"/>
      <c r="AW162" s="22" t="n"/>
      <c r="AX162" s="22" t="n"/>
      <c r="AY162" s="22" t="n"/>
      <c r="AZ162" s="22" t="n"/>
      <c r="BA162" s="22" t="n"/>
      <c r="BB162" s="22" t="n"/>
      <c r="BC162" s="22" t="n"/>
      <c r="BD162" s="22" t="n"/>
      <c r="BE162" s="22" t="n"/>
      <c r="BF162" s="22" t="n"/>
      <c r="BG162" s="22" t="n"/>
      <c r="BH162" s="22" t="n"/>
      <c r="BI162" s="22" t="n"/>
      <c r="BJ162" s="22" t="n"/>
      <c r="BK162" s="22" t="n"/>
      <c r="BL162" s="22" t="n"/>
      <c r="BM162" s="22" t="n"/>
      <c r="BN162" s="22" t="n"/>
      <c r="BO162" s="22" t="n"/>
      <c r="BP162" s="22" t="n"/>
      <c r="BQ162" s="22" t="n"/>
      <c r="BR162" s="22" t="n"/>
      <c r="BS162" s="22" t="n"/>
      <c r="BT162" s="22" t="n"/>
      <c r="BU162" s="22" t="n"/>
      <c r="BV162" s="22" t="n"/>
      <c r="BW162" s="22" t="n"/>
      <c r="BX162" s="22" t="n"/>
      <c r="BY162" s="22" t="n"/>
      <c r="BZ162" s="22" t="n"/>
      <c r="CA162" s="22" t="n"/>
      <c r="CB162" s="22" t="n"/>
      <c r="CC162" s="22" t="n"/>
      <c r="CD162" s="22" t="n"/>
      <c r="CE162" s="22" t="n"/>
      <c r="CF162" s="22" t="n"/>
      <c r="CG162" s="22" t="n"/>
      <c r="CH162" s="22" t="n"/>
      <c r="CI162" s="23" t="n"/>
      <c r="CJ162" s="54" t="n"/>
      <c r="CK162" s="54" t="n"/>
    </row>
    <row r="163" ht="15" customHeight="1" s="201">
      <c r="A163" s="60" t="inlineStr">
        <is>
          <t>Notes:</t>
        </is>
      </c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  <c r="AJ163" s="22" t="n"/>
      <c r="AK163" s="22" t="n"/>
      <c r="AL163" s="22" t="n"/>
      <c r="AM163" s="22" t="n"/>
      <c r="AN163" s="22" t="n"/>
      <c r="AO163" s="22" t="n"/>
      <c r="AP163" s="22" t="n"/>
      <c r="AQ163" s="22" t="n"/>
      <c r="AR163" s="22" t="n"/>
      <c r="AS163" s="22" t="n"/>
      <c r="AT163" s="22" t="n"/>
      <c r="AU163" s="22" t="n"/>
      <c r="AV163" s="22" t="n"/>
      <c r="AW163" s="22" t="n"/>
      <c r="AX163" s="22" t="n"/>
      <c r="AY163" s="22" t="n"/>
      <c r="AZ163" s="22" t="n"/>
      <c r="BA163" s="22" t="n"/>
      <c r="BB163" s="22" t="n"/>
      <c r="BC163" s="22" t="n"/>
      <c r="BD163" s="22" t="n"/>
      <c r="BE163" s="22" t="n"/>
      <c r="BF163" s="22" t="n"/>
      <c r="BG163" s="22" t="n"/>
      <c r="BH163" s="22" t="n"/>
      <c r="BI163" s="22" t="n"/>
      <c r="BJ163" s="22" t="n"/>
      <c r="BK163" s="22" t="n"/>
      <c r="BL163" s="22" t="n"/>
      <c r="BM163" s="22" t="n"/>
      <c r="BN163" s="22" t="n"/>
      <c r="BO163" s="22" t="n"/>
      <c r="BP163" s="22" t="n"/>
      <c r="BQ163" s="22" t="n"/>
      <c r="BR163" s="22" t="n"/>
      <c r="BS163" s="22" t="n"/>
      <c r="BT163" s="22" t="n"/>
      <c r="BU163" s="22" t="n"/>
      <c r="BV163" s="22" t="n"/>
      <c r="BW163" s="22" t="n"/>
      <c r="BX163" s="22" t="n"/>
      <c r="BY163" s="22" t="n"/>
      <c r="BZ163" s="22" t="n"/>
      <c r="CA163" s="22" t="n"/>
      <c r="CB163" s="22" t="n"/>
      <c r="CC163" s="22" t="n"/>
      <c r="CD163" s="22" t="n"/>
      <c r="CE163" s="22" t="n"/>
      <c r="CF163" s="22" t="n"/>
      <c r="CG163" s="22" t="n"/>
      <c r="CH163" s="22" t="n"/>
      <c r="CI163" s="23" t="n"/>
      <c r="CJ163" s="54" t="n"/>
      <c r="CK163" s="54" t="n"/>
    </row>
    <row r="164" ht="15" customHeight="1" s="201">
      <c r="A164" s="61" t="inlineStr">
        <is>
          <t>Outstanding Steyn Fee Balances Owed (paid from future LIHTC revenue):</t>
        </is>
      </c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  <c r="AJ164" s="22" t="n"/>
      <c r="AK164" s="22" t="n"/>
      <c r="AL164" s="22" t="n"/>
      <c r="AM164" s="22" t="n"/>
      <c r="AN164" s="22" t="n"/>
      <c r="AO164" s="22" t="n"/>
      <c r="AP164" s="22" t="n"/>
      <c r="AQ164" s="22" t="n"/>
      <c r="AR164" s="22" t="n"/>
      <c r="AS164" s="22" t="n"/>
      <c r="AT164" s="22" t="n"/>
      <c r="AU164" s="22" t="n"/>
      <c r="AV164" s="22" t="n"/>
      <c r="AW164" s="22" t="n"/>
      <c r="AX164" s="22" t="n"/>
      <c r="AY164" s="22" t="n"/>
      <c r="AZ164" s="22" t="n"/>
      <c r="BA164" s="22" t="n"/>
      <c r="BB164" s="22" t="n"/>
      <c r="BC164" s="22" t="n"/>
      <c r="BD164" s="22" t="n"/>
      <c r="BE164" s="22" t="n"/>
      <c r="BF164" s="22" t="n"/>
      <c r="BG164" s="22" t="n"/>
      <c r="BH164" s="22" t="n"/>
      <c r="BI164" s="22" t="n"/>
      <c r="BJ164" s="22" t="n"/>
      <c r="BK164" s="22" t="n"/>
      <c r="BL164" s="22" t="n"/>
      <c r="BM164" s="22" t="n"/>
      <c r="BN164" s="22" t="n"/>
      <c r="BO164" s="22" t="n"/>
      <c r="BP164" s="22" t="n"/>
      <c r="BQ164" s="22" t="n"/>
      <c r="BR164" s="22" t="n"/>
      <c r="BS164" s="22" t="n"/>
      <c r="BT164" s="22" t="n"/>
      <c r="BU164" s="22" t="n"/>
      <c r="BV164" s="22" t="n"/>
      <c r="BW164" s="22" t="n"/>
      <c r="BX164" s="22" t="n"/>
      <c r="BY164" s="22" t="n"/>
      <c r="BZ164" s="22" t="n"/>
      <c r="CA164" s="22" t="n"/>
      <c r="CB164" s="22" t="n"/>
      <c r="CC164" s="22" t="n"/>
      <c r="CD164" s="22" t="n"/>
      <c r="CE164" s="22" t="n"/>
      <c r="CF164" s="22" t="n"/>
      <c r="CG164" s="22" t="n"/>
      <c r="CH164" s="22" t="n"/>
      <c r="CI164" s="23" t="n"/>
      <c r="CJ164" s="54" t="n"/>
      <c r="CK164" s="54" t="n"/>
    </row>
    <row r="165" ht="15" customHeight="1" s="201">
      <c r="A165" s="62" t="inlineStr">
        <is>
          <t>3rd St: $563,546  (1% GMP + 3% liquidity requirement)</t>
        </is>
      </c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  <c r="AJ165" s="22" t="n"/>
      <c r="AK165" s="22" t="n"/>
      <c r="AL165" s="22" t="n"/>
      <c r="AM165" s="22" t="n"/>
      <c r="AN165" s="22" t="n"/>
      <c r="AO165" s="22" t="n"/>
      <c r="AP165" s="22" t="n"/>
      <c r="AQ165" s="22" t="n"/>
      <c r="AR165" s="22" t="n"/>
      <c r="AS165" s="22" t="n"/>
      <c r="AT165" s="22" t="n"/>
      <c r="AU165" s="22" t="n"/>
      <c r="AV165" s="22" t="n"/>
      <c r="AW165" s="22" t="n"/>
      <c r="AX165" s="22" t="n"/>
      <c r="AY165" s="22" t="n"/>
      <c r="AZ165" s="22" t="n"/>
      <c r="BA165" s="22" t="n"/>
      <c r="BB165" s="22" t="n"/>
      <c r="BC165" s="22" t="n"/>
      <c r="BD165" s="22" t="n"/>
      <c r="BE165" s="22" t="n"/>
      <c r="BF165" s="22" t="n"/>
      <c r="BG165" s="22" t="n"/>
      <c r="BH165" s="22" t="n"/>
      <c r="BI165" s="22" t="n"/>
      <c r="BJ165" s="22" t="n"/>
      <c r="BK165" s="22" t="n"/>
      <c r="BL165" s="22" t="n"/>
      <c r="BM165" s="22" t="n"/>
      <c r="BN165" s="22" t="n"/>
      <c r="BO165" s="22" t="n"/>
      <c r="BP165" s="22" t="n"/>
      <c r="BQ165" s="22" t="n"/>
      <c r="BR165" s="22" t="n"/>
      <c r="BS165" s="22" t="n"/>
      <c r="BT165" s="22" t="n"/>
      <c r="BU165" s="22" t="n"/>
      <c r="BV165" s="22" t="n"/>
      <c r="BW165" s="22" t="n"/>
      <c r="BX165" s="22" t="n"/>
      <c r="BY165" s="22" t="n"/>
      <c r="BZ165" s="22" t="n"/>
      <c r="CA165" s="22" t="n"/>
      <c r="CB165" s="22" t="n"/>
      <c r="CC165" s="22" t="n"/>
      <c r="CD165" s="22" t="n"/>
      <c r="CE165" s="22" t="n"/>
      <c r="CF165" s="22" t="n"/>
      <c r="CG165" s="22" t="n"/>
      <c r="CH165" s="22" t="n"/>
      <c r="CI165" s="23" t="n"/>
      <c r="CJ165" s="54" t="n"/>
      <c r="CK165" s="54" t="n"/>
    </row>
    <row r="166" ht="15" customHeight="1" s="201">
      <c r="A166" s="62" t="inlineStr">
        <is>
          <t>Francis: $579,684 paid quarterly from LIHTC revenue starting Mo 42 (Sep 2029). No PIK capital invested.</t>
        </is>
      </c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  <c r="AJ166" s="22" t="n"/>
      <c r="AK166" s="22" t="n"/>
      <c r="AL166" s="22" t="n"/>
      <c r="AM166" s="22" t="n"/>
      <c r="AN166" s="22" t="n"/>
      <c r="AO166" s="22" t="n"/>
      <c r="AP166" s="22" t="n"/>
      <c r="AQ166" s="22" t="n"/>
      <c r="AR166" s="22" t="n"/>
      <c r="AS166" s="22" t="n"/>
      <c r="AT166" s="22" t="n"/>
      <c r="AU166" s="22" t="n"/>
      <c r="AV166" s="22" t="n"/>
      <c r="AW166" s="22" t="n"/>
      <c r="AX166" s="22" t="n"/>
      <c r="AY166" s="22" t="n"/>
      <c r="AZ166" s="22" t="n"/>
      <c r="BA166" s="22" t="n"/>
      <c r="BB166" s="22" t="n"/>
      <c r="BC166" s="22" t="n"/>
      <c r="BD166" s="22" t="n"/>
      <c r="BE166" s="22" t="n"/>
      <c r="BF166" s="22" t="n"/>
      <c r="BG166" s="22" t="n"/>
      <c r="BH166" s="22" t="n"/>
      <c r="BI166" s="22" t="n"/>
      <c r="BJ166" s="22" t="n"/>
      <c r="BK166" s="22" t="n"/>
      <c r="BL166" s="22" t="n"/>
      <c r="BM166" s="22" t="n"/>
      <c r="BN166" s="22" t="n"/>
      <c r="BO166" s="22" t="n"/>
      <c r="BP166" s="22" t="n"/>
      <c r="BQ166" s="22" t="n"/>
      <c r="BR166" s="22" t="n"/>
      <c r="BS166" s="22" t="n"/>
      <c r="BT166" s="22" t="n"/>
      <c r="BU166" s="22" t="n"/>
      <c r="BV166" s="22" t="n"/>
      <c r="BW166" s="22" t="n"/>
      <c r="BX166" s="22" t="n"/>
      <c r="BY166" s="22" t="n"/>
      <c r="BZ166" s="22" t="n"/>
      <c r="CA166" s="22" t="n"/>
      <c r="CB166" s="22" t="n"/>
      <c r="CC166" s="22" t="n"/>
      <c r="CD166" s="22" t="n"/>
      <c r="CE166" s="22" t="n"/>
      <c r="CF166" s="22" t="n"/>
      <c r="CG166" s="22" t="n"/>
      <c r="CH166" s="22" t="n"/>
      <c r="CI166" s="23" t="n"/>
      <c r="CJ166" s="54" t="n"/>
      <c r="CK166" s="54" t="n"/>
    </row>
    <row r="167" ht="15" customHeight="1" s="201">
      <c r="A167" s="62" t="inlineStr">
        <is>
          <t>Reseda: $602,668 paid quarterly from LIHTC revenue starting Mo 45 (Dec 2029). Deal distributes $1,450,000 at project start (Mo 13).</t>
        </is>
      </c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  <c r="AJ167" s="22" t="n"/>
      <c r="AK167" s="22" t="n"/>
      <c r="AL167" s="22" t="n"/>
      <c r="AM167" s="22" t="n"/>
      <c r="AN167" s="22" t="n"/>
      <c r="AO167" s="22" t="n"/>
      <c r="AP167" s="22" t="n"/>
      <c r="AQ167" s="22" t="n"/>
      <c r="AR167" s="22" t="n"/>
      <c r="AS167" s="22" t="n"/>
      <c r="AT167" s="22" t="n"/>
      <c r="AU167" s="22" t="n"/>
      <c r="AV167" s="22" t="n"/>
      <c r="AW167" s="22" t="n"/>
      <c r="AX167" s="22" t="n"/>
      <c r="AY167" s="22" t="n"/>
      <c r="AZ167" s="22" t="n"/>
      <c r="BA167" s="22" t="n"/>
      <c r="BB167" s="22" t="n"/>
      <c r="BC167" s="22" t="n"/>
      <c r="BD167" s="22" t="n"/>
      <c r="BE167" s="22" t="n"/>
      <c r="BF167" s="22" t="n"/>
      <c r="BG167" s="22" t="n"/>
      <c r="BH167" s="22" t="n"/>
      <c r="BI167" s="22" t="n"/>
      <c r="BJ167" s="22" t="n"/>
      <c r="BK167" s="22" t="n"/>
      <c r="BL167" s="22" t="n"/>
      <c r="BM167" s="22" t="n"/>
      <c r="BN167" s="22" t="n"/>
      <c r="BO167" s="22" t="n"/>
      <c r="BP167" s="22" t="n"/>
      <c r="BQ167" s="22" t="n"/>
      <c r="BR167" s="22" t="n"/>
      <c r="BS167" s="22" t="n"/>
      <c r="BT167" s="22" t="n"/>
      <c r="BU167" s="22" t="n"/>
      <c r="BV167" s="22" t="n"/>
      <c r="BW167" s="22" t="n"/>
      <c r="BX167" s="22" t="n"/>
      <c r="BY167" s="22" t="n"/>
      <c r="BZ167" s="22" t="n"/>
      <c r="CA167" s="22" t="n"/>
      <c r="CB167" s="22" t="n"/>
      <c r="CC167" s="22" t="n"/>
      <c r="CD167" s="22" t="n"/>
      <c r="CE167" s="22" t="n"/>
      <c r="CF167" s="22" t="n"/>
      <c r="CG167" s="22" t="n"/>
      <c r="CH167" s="22" t="n"/>
      <c r="CI167" s="23" t="n"/>
      <c r="CJ167" s="54" t="n"/>
      <c r="CK167" s="54" t="n"/>
    </row>
    <row r="168" ht="15" customHeight="1" s="201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4" t="n"/>
      <c r="K168" s="54" t="n"/>
      <c r="L168" s="54" t="n"/>
      <c r="M168" s="54" t="n"/>
      <c r="N168" s="54" t="n"/>
      <c r="O168" s="54" t="n"/>
      <c r="P168" s="54" t="n"/>
      <c r="Q168" s="54" t="n"/>
      <c r="R168" s="54" t="n"/>
      <c r="S168" s="54" t="n"/>
      <c r="T168" s="54" t="n"/>
      <c r="U168" s="54" t="n"/>
      <c r="V168" s="54" t="n"/>
      <c r="W168" s="54" t="n"/>
      <c r="X168" s="54" t="n"/>
      <c r="Y168" s="54" t="n"/>
      <c r="Z168" s="54" t="n"/>
      <c r="AA168" s="54" t="n"/>
      <c r="AB168" s="54" t="n"/>
      <c r="AC168" s="54" t="n"/>
      <c r="AD168" s="54" t="n"/>
      <c r="AE168" s="54" t="n"/>
      <c r="AF168" s="54" t="n"/>
      <c r="AG168" s="54" t="n"/>
      <c r="AH168" s="54" t="n"/>
      <c r="AI168" s="54" t="n"/>
      <c r="AJ168" s="54" t="n"/>
      <c r="AK168" s="54" t="n"/>
      <c r="AL168" s="54" t="n"/>
      <c r="AM168" s="54" t="n"/>
      <c r="AN168" s="54" t="n"/>
      <c r="AO168" s="54" t="n"/>
      <c r="AP168" s="54" t="n"/>
      <c r="AQ168" s="54" t="n"/>
      <c r="AR168" s="54" t="n"/>
      <c r="AS168" s="54" t="n"/>
      <c r="AT168" s="54" t="n"/>
      <c r="AU168" s="54" t="n"/>
      <c r="AV168" s="54" t="n"/>
      <c r="AW168" s="54" t="n"/>
      <c r="AX168" s="54" t="n"/>
      <c r="AY168" s="54" t="n"/>
      <c r="AZ168" s="54" t="n"/>
      <c r="BA168" s="54" t="n"/>
      <c r="BB168" s="54" t="n"/>
      <c r="BC168" s="54" t="n"/>
      <c r="BD168" s="54" t="n"/>
      <c r="BE168" s="54" t="n"/>
      <c r="BF168" s="54" t="n"/>
      <c r="BG168" s="54" t="n"/>
      <c r="BH168" s="54" t="n"/>
      <c r="BI168" s="54" t="n"/>
      <c r="BJ168" s="54" t="n"/>
      <c r="BK168" s="54" t="n"/>
      <c r="BL168" s="54" t="n"/>
      <c r="BM168" s="54" t="n"/>
      <c r="BN168" s="54" t="n"/>
      <c r="BO168" s="54" t="n"/>
      <c r="BP168" s="54" t="n"/>
      <c r="BQ168" s="54" t="n"/>
      <c r="BR168" s="54" t="n"/>
      <c r="BS168" s="54" t="n"/>
      <c r="BT168" s="54" t="n"/>
      <c r="BU168" s="54" t="n"/>
      <c r="BV168" s="54" t="n"/>
      <c r="BW168" s="54" t="n"/>
      <c r="BX168" s="54" t="n"/>
      <c r="BY168" s="54" t="n"/>
      <c r="BZ168" s="54" t="n"/>
      <c r="CA168" s="54" t="n"/>
      <c r="CB168" s="54" t="n"/>
      <c r="CC168" s="54" t="n"/>
      <c r="CD168" s="54" t="n"/>
      <c r="CE168" s="54" t="n"/>
      <c r="CF168" s="54" t="n"/>
      <c r="CG168" s="54" t="n"/>
      <c r="CH168" s="54" t="n"/>
      <c r="CI168" s="54" t="n"/>
      <c r="CJ168" s="54" t="n"/>
      <c r="CK168" s="54" t="n"/>
    </row>
    <row r="169" ht="15" customHeight="1" s="201">
      <c r="A169" s="6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  <c r="AJ169" s="22" t="n"/>
      <c r="AK169" s="22" t="n"/>
      <c r="AL169" s="22" t="n"/>
      <c r="AM169" s="22" t="n"/>
      <c r="AN169" s="22" t="n"/>
      <c r="AO169" s="22" t="n"/>
      <c r="AP169" s="22" t="n"/>
      <c r="AQ169" s="22" t="n"/>
      <c r="AR169" s="22" t="n"/>
      <c r="AS169" s="22" t="n"/>
      <c r="AT169" s="22" t="n"/>
      <c r="AU169" s="22" t="n"/>
      <c r="AV169" s="22" t="n"/>
      <c r="AW169" s="22" t="n"/>
      <c r="AX169" s="22" t="n"/>
      <c r="AY169" s="22" t="n"/>
      <c r="AZ169" s="22" t="n"/>
      <c r="BA169" s="22" t="n"/>
      <c r="BB169" s="22" t="n"/>
      <c r="BC169" s="22" t="n"/>
      <c r="BD169" s="22" t="n"/>
      <c r="BE169" s="22" t="n"/>
      <c r="BF169" s="22" t="n"/>
      <c r="BG169" s="22" t="n"/>
      <c r="BH169" s="22" t="n"/>
      <c r="BI169" s="22" t="n"/>
      <c r="BJ169" s="22" t="n"/>
      <c r="BK169" s="22" t="n"/>
      <c r="BL169" s="22" t="n"/>
      <c r="BM169" s="22" t="n"/>
      <c r="BN169" s="22" t="n"/>
      <c r="BO169" s="22" t="n"/>
      <c r="BP169" s="22" t="n"/>
      <c r="BQ169" s="22" t="n"/>
      <c r="BR169" s="22" t="n"/>
      <c r="BS169" s="22" t="n"/>
      <c r="BT169" s="22" t="n"/>
      <c r="BU169" s="22" t="n"/>
      <c r="BV169" s="22" t="n"/>
      <c r="BW169" s="22" t="n"/>
      <c r="BX169" s="22" t="n"/>
      <c r="BY169" s="22" t="n"/>
      <c r="BZ169" s="22" t="n"/>
      <c r="CA169" s="22" t="n"/>
      <c r="CB169" s="22" t="n"/>
      <c r="CC169" s="22" t="n"/>
      <c r="CD169" s="22" t="n"/>
      <c r="CE169" s="22" t="n"/>
      <c r="CF169" s="22" t="n"/>
      <c r="CG169" s="22" t="n"/>
      <c r="CH169" s="22" t="n"/>
      <c r="CI169" s="23" t="n"/>
      <c r="CJ169" s="54" t="n"/>
      <c r="CK169" s="54" t="n"/>
    </row>
    <row r="170" ht="15" customHeight="1" s="201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4" t="n"/>
      <c r="K170" s="54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54" t="n"/>
      <c r="W170" s="54" t="n"/>
      <c r="X170" s="54" t="n"/>
      <c r="Y170" s="54" t="n"/>
      <c r="Z170" s="54" t="n"/>
      <c r="AA170" s="54" t="n"/>
      <c r="AB170" s="54" t="n"/>
      <c r="AC170" s="54" t="n"/>
      <c r="AD170" s="54" t="n"/>
      <c r="AE170" s="54" t="n"/>
      <c r="AF170" s="54" t="n"/>
      <c r="AG170" s="54" t="n"/>
      <c r="AH170" s="54" t="n"/>
      <c r="AI170" s="54" t="n"/>
      <c r="AJ170" s="54" t="n"/>
      <c r="AK170" s="54" t="n"/>
      <c r="AL170" s="54" t="n"/>
      <c r="AM170" s="54" t="n"/>
      <c r="AN170" s="54" t="n"/>
      <c r="AO170" s="54" t="n"/>
      <c r="AP170" s="54" t="n"/>
      <c r="AQ170" s="54" t="n"/>
      <c r="AR170" s="54" t="n"/>
      <c r="AS170" s="54" t="n"/>
      <c r="AT170" s="54" t="n"/>
      <c r="AU170" s="54" t="n"/>
      <c r="AV170" s="54" t="n"/>
      <c r="AW170" s="54" t="n"/>
      <c r="AX170" s="54" t="n"/>
      <c r="AY170" s="54" t="n"/>
      <c r="AZ170" s="54" t="n"/>
      <c r="BA170" s="54" t="n"/>
      <c r="BB170" s="54" t="n"/>
      <c r="BC170" s="54" t="n"/>
      <c r="BD170" s="54" t="n"/>
      <c r="BE170" s="54" t="n"/>
      <c r="BF170" s="54" t="n"/>
      <c r="BG170" s="54" t="n"/>
      <c r="BH170" s="54" t="n"/>
      <c r="BI170" s="54" t="n"/>
      <c r="BJ170" s="54" t="n"/>
      <c r="BK170" s="54" t="n"/>
      <c r="BL170" s="54" t="n"/>
      <c r="BM170" s="54" t="n"/>
      <c r="BN170" s="54" t="n"/>
      <c r="BO170" s="54" t="n"/>
      <c r="BP170" s="54" t="n"/>
      <c r="BQ170" s="54" t="n"/>
      <c r="BR170" s="54" t="n"/>
      <c r="BS170" s="54" t="n"/>
      <c r="BT170" s="54" t="n"/>
      <c r="BU170" s="54" t="n"/>
      <c r="BV170" s="54" t="n"/>
      <c r="BW170" s="54" t="n"/>
      <c r="BX170" s="54" t="n"/>
      <c r="BY170" s="54" t="n"/>
      <c r="BZ170" s="54" t="n"/>
      <c r="CA170" s="54" t="n"/>
      <c r="CB170" s="54" t="n"/>
      <c r="CC170" s="54" t="n"/>
      <c r="CD170" s="54" t="n"/>
      <c r="CE170" s="54" t="n"/>
      <c r="CF170" s="54" t="n"/>
      <c r="CG170" s="54" t="n"/>
      <c r="CH170" s="54" t="n"/>
      <c r="CI170" s="54" t="n"/>
      <c r="CJ170" s="54" t="n"/>
      <c r="CK170" s="54" t="n"/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C4581A"/>
    <outlinePr summaryBelow="1" summaryRight="1"/>
    <pageSetUpPr/>
  </sheetPr>
  <dimension ref="A1:AC45"/>
  <sheetViews>
    <sheetView zoomScaleNormal="100" workbookViewId="0">
      <pane xSplit="1" ySplit="2" topLeftCell="B15" activePane="bottomRight" state="frozen"/>
      <selection pane="topRight" activeCell="B1" sqref="B1"/>
      <selection pane="bottomLeft" activeCell="A15" sqref="A15"/>
      <selection pane="bottomRight" activeCell="E20" sqref="E20"/>
    </sheetView>
  </sheetViews>
  <sheetFormatPr baseColWidth="8" defaultColWidth="8.7109375" defaultRowHeight="15" customHeight="1"/>
  <cols>
    <col width="30" customWidth="1" style="201" min="1" max="1"/>
    <col width="13" customWidth="1" style="201" min="2" max="4"/>
    <col width="16" customWidth="1" style="201" min="5" max="5"/>
    <col width="13" customWidth="1" style="201" min="6" max="9"/>
    <col width="16" customWidth="1" style="201" min="10" max="10"/>
    <col width="13" customWidth="1" style="201" min="11" max="14"/>
    <col width="16" customWidth="1" style="201" min="15" max="15"/>
    <col width="13" customWidth="1" style="201" min="16" max="19"/>
    <col width="16" customWidth="1" style="201" min="20" max="20"/>
    <col width="13" customWidth="1" style="201" min="21" max="24"/>
    <col width="16" customWidth="1" style="201" min="25" max="25"/>
    <col width="13" customWidth="1" style="201" min="26" max="29"/>
    <col width="16" customWidth="1" style="201" min="30" max="30"/>
    <col width="13" customWidth="1" style="201" min="31" max="34"/>
    <col width="16" customWidth="1" style="201" min="35" max="35"/>
    <col width="13" customWidth="1" style="201" min="36" max="36"/>
    <col width="16" customWidth="1" style="201" min="37" max="37"/>
  </cols>
  <sheetData>
    <row r="1" ht="17.25" customHeight="1" s="201">
      <c r="A1" s="200" t="inlineStr">
        <is>
          <t>Six Peak Capital - QTR Summary</t>
        </is>
      </c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15" customHeight="1" s="201">
      <c r="A2" s="2" t="n"/>
      <c r="B2" s="3" t="inlineStr">
        <is>
          <t>Q2 2026</t>
        </is>
      </c>
      <c r="C2" s="3" t="inlineStr">
        <is>
          <t>Q3 2026</t>
        </is>
      </c>
      <c r="D2" s="3" t="inlineStr">
        <is>
          <t>Q4 2026</t>
        </is>
      </c>
      <c r="E2" s="3" t="inlineStr">
        <is>
          <t>Q1 2027</t>
        </is>
      </c>
      <c r="F2" s="3" t="inlineStr">
        <is>
          <t>Q2 2027</t>
        </is>
      </c>
      <c r="G2" s="3" t="inlineStr">
        <is>
          <t>Q3 2027</t>
        </is>
      </c>
      <c r="H2" s="3" t="inlineStr">
        <is>
          <t>Q4 2027</t>
        </is>
      </c>
      <c r="I2" s="3" t="inlineStr">
        <is>
          <t>Q1 2028</t>
        </is>
      </c>
      <c r="J2" s="3" t="inlineStr">
        <is>
          <t>Q2 2028</t>
        </is>
      </c>
      <c r="K2" s="3" t="inlineStr">
        <is>
          <t>Q3 2028</t>
        </is>
      </c>
      <c r="L2" s="3" t="inlineStr">
        <is>
          <t>Q4 2028</t>
        </is>
      </c>
      <c r="M2" s="3" t="inlineStr">
        <is>
          <t>Q1 2029</t>
        </is>
      </c>
      <c r="N2" s="3" t="inlineStr">
        <is>
          <t>Q2 2029</t>
        </is>
      </c>
      <c r="O2" s="3" t="inlineStr">
        <is>
          <t>Q3 2029</t>
        </is>
      </c>
      <c r="P2" s="3" t="inlineStr">
        <is>
          <t>Q4 2029</t>
        </is>
      </c>
      <c r="Q2" s="3" t="inlineStr">
        <is>
          <t>Q1 2030</t>
        </is>
      </c>
      <c r="R2" s="3" t="inlineStr">
        <is>
          <t>Q2 2030</t>
        </is>
      </c>
      <c r="S2" s="3" t="inlineStr">
        <is>
          <t>Q3 2030</t>
        </is>
      </c>
      <c r="T2" s="3" t="inlineStr">
        <is>
          <t>Q4 2030</t>
        </is>
      </c>
      <c r="U2" s="3" t="inlineStr">
        <is>
          <t>Q1 2031</t>
        </is>
      </c>
      <c r="V2" s="3" t="inlineStr">
        <is>
          <t>Q2 2031</t>
        </is>
      </c>
      <c r="W2" s="3" t="inlineStr">
        <is>
          <t>Q3 2031</t>
        </is>
      </c>
      <c r="X2" s="3" t="inlineStr">
        <is>
          <t>Q4 2031</t>
        </is>
      </c>
      <c r="Y2" s="3" t="inlineStr">
        <is>
          <t>Q1 2032</t>
        </is>
      </c>
      <c r="Z2" s="3" t="inlineStr">
        <is>
          <t>Q2 2032</t>
        </is>
      </c>
      <c r="AA2" s="3" t="inlineStr">
        <is>
          <t>Q3 2032</t>
        </is>
      </c>
      <c r="AB2" s="3" t="inlineStr">
        <is>
          <t>Q4 2032</t>
        </is>
      </c>
      <c r="AC2" s="3" t="inlineStr">
        <is>
          <t>Q1 2033</t>
        </is>
      </c>
    </row>
    <row r="3" ht="15" customHeight="1" s="201">
      <c r="A3" s="4" t="inlineStr">
        <is>
          <t>Construction Billing</t>
        </is>
      </c>
      <c r="B3" s="63">
        <f>Model!C7+Model!D7+Model!E7</f>
        <v/>
      </c>
      <c r="C3" s="63">
        <f>Model!F7+Model!G7+Model!H7</f>
        <v/>
      </c>
      <c r="D3" s="63">
        <f>Model!I7+Model!J7+Model!K7</f>
        <v/>
      </c>
      <c r="E3" s="63">
        <f>Model!L7+Model!M7+Model!N7</f>
        <v/>
      </c>
      <c r="F3" s="63">
        <f>Model!O7+Model!P7+Model!Q7</f>
        <v/>
      </c>
      <c r="G3" s="63">
        <f>Model!R7+Model!S7+Model!T7</f>
        <v/>
      </c>
      <c r="H3" s="63">
        <f>Model!U7+Model!V7+Model!W7</f>
        <v/>
      </c>
      <c r="I3" s="63">
        <f>Model!X7+Model!Y7+Model!Z7</f>
        <v/>
      </c>
      <c r="J3" s="63">
        <f>Model!AA7+Model!AB7+Model!AC7</f>
        <v/>
      </c>
      <c r="K3" s="63">
        <f>Model!AD7+Model!AE7+Model!AF7</f>
        <v/>
      </c>
      <c r="L3" s="63">
        <f>Model!AG7+Model!AH7+Model!AI7</f>
        <v/>
      </c>
      <c r="M3" s="63">
        <f>Model!AJ7+Model!AK7+Model!AL7</f>
        <v/>
      </c>
      <c r="N3" s="63">
        <f>Model!AM7+Model!AN7+Model!AO7</f>
        <v/>
      </c>
      <c r="O3" s="63">
        <f>Model!AP7+Model!AQ7+Model!AR7</f>
        <v/>
      </c>
      <c r="P3" s="63">
        <f>Model!AS7+Model!AT7+Model!AU7</f>
        <v/>
      </c>
      <c r="Q3" s="63">
        <f>Model!AV7+Model!AW7+Model!AX7</f>
        <v/>
      </c>
      <c r="R3" s="63">
        <f>Model!AY7+Model!AZ7+Model!BA7</f>
        <v/>
      </c>
      <c r="S3" s="63">
        <f>Model!BB7+Model!BC7+Model!BD7</f>
        <v/>
      </c>
      <c r="T3" s="63">
        <f>Model!BE7+Model!BF7+Model!BG7</f>
        <v/>
      </c>
      <c r="U3" s="63">
        <f>Model!BH7+Model!BI7+Model!BJ7</f>
        <v/>
      </c>
      <c r="V3" s="63">
        <f>Model!BK7+Model!BL7+Model!BM7</f>
        <v/>
      </c>
      <c r="W3" s="63">
        <f>Model!BN7+Model!BO7+Model!BP7</f>
        <v/>
      </c>
      <c r="X3" s="63">
        <f>Model!BQ7+Model!BR7+Model!BS7</f>
        <v/>
      </c>
      <c r="Y3" s="63">
        <f>Model!BT7+Model!BU7+Model!BV7</f>
        <v/>
      </c>
      <c r="Z3" s="63">
        <f>Model!BW7+Model!BX7+Model!BY7</f>
        <v/>
      </c>
      <c r="AA3" s="63">
        <f>Model!BZ7+Model!CA7+Model!CB7</f>
        <v/>
      </c>
      <c r="AB3" s="63">
        <f>Model!CC7+Model!CD7+Model!CE7</f>
        <v/>
      </c>
      <c r="AC3" s="63">
        <f>Model!CF7+Model!CG7+Model!CH7</f>
        <v/>
      </c>
    </row>
    <row r="4" ht="15" customHeight="1" s="201">
      <c r="A4" s="6" t="inlineStr">
        <is>
          <t>GC Revenue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</row>
    <row r="5" ht="15" customHeight="1" s="201">
      <c r="A5" s="7" t="inlineStr">
        <is>
          <t xml:space="preserve">  Project Supervision</t>
        </is>
      </c>
      <c r="B5" s="8">
        <f>Model!C8+Model!D8+Model!E8</f>
        <v/>
      </c>
      <c r="C5" s="8">
        <f>Model!F8+Model!G8+Model!H8</f>
        <v/>
      </c>
      <c r="D5" s="8">
        <f>Model!I8+Model!J8+Model!K8</f>
        <v/>
      </c>
      <c r="E5" s="8">
        <f>Model!L8+Model!M8+Model!N8</f>
        <v/>
      </c>
      <c r="F5" s="8">
        <f>Model!O8+Model!P8+Model!Q8</f>
        <v/>
      </c>
      <c r="G5" s="8">
        <f>Model!R8+Model!S8+Model!T8</f>
        <v/>
      </c>
      <c r="H5" s="8">
        <f>Model!U8+Model!V8+Model!W8</f>
        <v/>
      </c>
      <c r="I5" s="8">
        <f>Model!X8+Model!Y8+Model!Z8</f>
        <v/>
      </c>
      <c r="J5" s="8">
        <f>Model!AA8+Model!AB8+Model!AC8</f>
        <v/>
      </c>
      <c r="K5" s="8">
        <f>Model!AD8+Model!AE8+Model!AF8</f>
        <v/>
      </c>
      <c r="L5" s="8">
        <f>Model!AG8+Model!AH8+Model!AI8</f>
        <v/>
      </c>
      <c r="M5" s="8">
        <f>Model!AJ8+Model!AK8+Model!AL8</f>
        <v/>
      </c>
      <c r="N5" s="8">
        <f>Model!AM8+Model!AN8+Model!AO8</f>
        <v/>
      </c>
      <c r="O5" s="8">
        <f>Model!AP8+Model!AQ8+Model!AR8</f>
        <v/>
      </c>
      <c r="P5" s="8">
        <f>Model!AS8+Model!AT8+Model!AU8</f>
        <v/>
      </c>
      <c r="Q5" s="8">
        <f>Model!AV8+Model!AW8+Model!AX8</f>
        <v/>
      </c>
      <c r="R5" s="8">
        <f>Model!AY8+Model!AZ8+Model!BA8</f>
        <v/>
      </c>
      <c r="S5" s="8">
        <f>Model!BB8+Model!BC8+Model!BD8</f>
        <v/>
      </c>
      <c r="T5" s="8">
        <f>Model!BE8+Model!BF8+Model!BG8</f>
        <v/>
      </c>
      <c r="U5" s="8">
        <f>Model!BH8+Model!BI8+Model!BJ8</f>
        <v/>
      </c>
      <c r="V5" s="8">
        <f>Model!BK8+Model!BL8+Model!BM8</f>
        <v/>
      </c>
      <c r="W5" s="8">
        <f>Model!BN8+Model!BO8+Model!BP8</f>
        <v/>
      </c>
      <c r="X5" s="8">
        <f>Model!BQ8+Model!BR8+Model!BS8</f>
        <v/>
      </c>
      <c r="Y5" s="8">
        <f>Model!BT8+Model!BU8+Model!BV8</f>
        <v/>
      </c>
      <c r="Z5" s="8">
        <f>Model!BW8+Model!BX8+Model!BY8</f>
        <v/>
      </c>
      <c r="AA5" s="8">
        <f>Model!BZ8+Model!CA8+Model!CB8</f>
        <v/>
      </c>
      <c r="AB5" s="8">
        <f>Model!CC8+Model!CD8+Model!CE8</f>
        <v/>
      </c>
      <c r="AC5" s="8">
        <f>Model!CF8+Model!CG8+Model!CH8</f>
        <v/>
      </c>
    </row>
    <row r="6" ht="15" customHeight="1" s="201">
      <c r="A6" s="7" t="inlineStr">
        <is>
          <t xml:space="preserve">  GC-CM Fee</t>
        </is>
      </c>
      <c r="B6" s="8">
        <f>Model!C9+Model!D9+Model!E9</f>
        <v/>
      </c>
      <c r="C6" s="8">
        <f>Model!F9+Model!G9+Model!H9</f>
        <v/>
      </c>
      <c r="D6" s="8">
        <f>Model!I9+Model!J9+Model!K9</f>
        <v/>
      </c>
      <c r="E6" s="8">
        <f>Model!L9+Model!M9+Model!N9</f>
        <v/>
      </c>
      <c r="F6" s="8">
        <f>Model!O9+Model!P9+Model!Q9</f>
        <v/>
      </c>
      <c r="G6" s="8">
        <f>Model!R9+Model!S9+Model!T9</f>
        <v/>
      </c>
      <c r="H6" s="8">
        <f>Model!U9+Model!V9+Model!W9</f>
        <v/>
      </c>
      <c r="I6" s="8">
        <f>Model!X9+Model!Y9+Model!Z9</f>
        <v/>
      </c>
      <c r="J6" s="8">
        <f>Model!AA9+Model!AB9+Model!AC9</f>
        <v/>
      </c>
      <c r="K6" s="8">
        <f>Model!AD9+Model!AE9+Model!AF9</f>
        <v/>
      </c>
      <c r="L6" s="8">
        <f>Model!AG9+Model!AH9+Model!AI9</f>
        <v/>
      </c>
      <c r="M6" s="8">
        <f>Model!AJ9+Model!AK9+Model!AL9</f>
        <v/>
      </c>
      <c r="N6" s="8">
        <f>Model!AM9+Model!AN9+Model!AO9</f>
        <v/>
      </c>
      <c r="O6" s="8">
        <f>Model!AP9+Model!AQ9+Model!AR9</f>
        <v/>
      </c>
      <c r="P6" s="8">
        <f>Model!AS9+Model!AT9+Model!AU9</f>
        <v/>
      </c>
      <c r="Q6" s="8">
        <f>Model!AV9+Model!AW9+Model!AX9</f>
        <v/>
      </c>
      <c r="R6" s="8">
        <f>Model!AY9+Model!AZ9+Model!BA9</f>
        <v/>
      </c>
      <c r="S6" s="8">
        <f>Model!BB9+Model!BC9+Model!BD9</f>
        <v/>
      </c>
      <c r="T6" s="8">
        <f>Model!BE9+Model!BF9+Model!BG9</f>
        <v/>
      </c>
      <c r="U6" s="8">
        <f>Model!BH9+Model!BI9+Model!BJ9</f>
        <v/>
      </c>
      <c r="V6" s="8">
        <f>Model!BK9+Model!BL9+Model!BM9</f>
        <v/>
      </c>
      <c r="W6" s="8">
        <f>Model!BN9+Model!BO9+Model!BP9</f>
        <v/>
      </c>
      <c r="X6" s="8">
        <f>Model!BQ9+Model!BR9+Model!BS9</f>
        <v/>
      </c>
      <c r="Y6" s="8">
        <f>Model!BT9+Model!BU9+Model!BV9</f>
        <v/>
      </c>
      <c r="Z6" s="8">
        <f>Model!BW9+Model!BX9+Model!BY9</f>
        <v/>
      </c>
      <c r="AA6" s="8">
        <f>Model!BZ9+Model!CA9+Model!CB9</f>
        <v/>
      </c>
      <c r="AB6" s="8">
        <f>Model!CC9+Model!CD9+Model!CE9</f>
        <v/>
      </c>
      <c r="AC6" s="8">
        <f>Model!CF9+Model!CG9+Model!CH9</f>
        <v/>
      </c>
    </row>
    <row r="7" ht="15" customHeight="1" s="201">
      <c r="A7" s="7" t="inlineStr">
        <is>
          <t xml:space="preserve">  Project Administration</t>
        </is>
      </c>
      <c r="B7" s="8">
        <f>Model!C10+Model!D10+Model!E10</f>
        <v/>
      </c>
      <c r="C7" s="8">
        <f>Model!F10+Model!G10+Model!H10</f>
        <v/>
      </c>
      <c r="D7" s="8">
        <f>Model!I10+Model!J10+Model!K10</f>
        <v/>
      </c>
      <c r="E7" s="8">
        <f>Model!L10+Model!M10+Model!N10</f>
        <v/>
      </c>
      <c r="F7" s="8">
        <f>Model!O10+Model!P10+Model!Q10</f>
        <v/>
      </c>
      <c r="G7" s="8">
        <f>Model!R10+Model!S10+Model!T10</f>
        <v/>
      </c>
      <c r="H7" s="8">
        <f>Model!U10+Model!V10+Model!W10</f>
        <v/>
      </c>
      <c r="I7" s="8">
        <f>Model!X10+Model!Y10+Model!Z10</f>
        <v/>
      </c>
      <c r="J7" s="8">
        <f>Model!AA10+Model!AB10+Model!AC10</f>
        <v/>
      </c>
      <c r="K7" s="8">
        <f>Model!AD10+Model!AE10+Model!AF10</f>
        <v/>
      </c>
      <c r="L7" s="8">
        <f>Model!AG10+Model!AH10+Model!AI10</f>
        <v/>
      </c>
      <c r="M7" s="8">
        <f>Model!AJ10+Model!AK10+Model!AL10</f>
        <v/>
      </c>
      <c r="N7" s="8">
        <f>Model!AM10+Model!AN10+Model!AO10</f>
        <v/>
      </c>
      <c r="O7" s="8">
        <f>Model!AP10+Model!AQ10+Model!AR10</f>
        <v/>
      </c>
      <c r="P7" s="8">
        <f>Model!AS10+Model!AT10+Model!AU10</f>
        <v/>
      </c>
      <c r="Q7" s="8">
        <f>Model!AV10+Model!AW10+Model!AX10</f>
        <v/>
      </c>
      <c r="R7" s="8">
        <f>Model!AY10+Model!AZ10+Model!BA10</f>
        <v/>
      </c>
      <c r="S7" s="8">
        <f>Model!BB10+Model!BC10+Model!BD10</f>
        <v/>
      </c>
      <c r="T7" s="8">
        <f>Model!BE10+Model!BF10+Model!BG10</f>
        <v/>
      </c>
      <c r="U7" s="8">
        <f>Model!BH10+Model!BI10+Model!BJ10</f>
        <v/>
      </c>
      <c r="V7" s="8">
        <f>Model!BK10+Model!BL10+Model!BM10</f>
        <v/>
      </c>
      <c r="W7" s="8">
        <f>Model!BN10+Model!BO10+Model!BP10</f>
        <v/>
      </c>
      <c r="X7" s="8">
        <f>Model!BQ10+Model!BR10+Model!BS10</f>
        <v/>
      </c>
      <c r="Y7" s="8">
        <f>Model!BT10+Model!BU10+Model!BV10</f>
        <v/>
      </c>
      <c r="Z7" s="8">
        <f>Model!BW10+Model!BX10+Model!BY10</f>
        <v/>
      </c>
      <c r="AA7" s="8">
        <f>Model!BZ10+Model!CA10+Model!CB10</f>
        <v/>
      </c>
      <c r="AB7" s="8">
        <f>Model!CC10+Model!CD10+Model!CE10</f>
        <v/>
      </c>
      <c r="AC7" s="8">
        <f>Model!CF10+Model!CG10+Model!CH10</f>
        <v/>
      </c>
    </row>
    <row r="8" ht="15" customHeight="1" s="201">
      <c r="A8" s="7" t="inlineStr">
        <is>
          <t xml:space="preserve">  Bonding Revenue</t>
        </is>
      </c>
      <c r="B8" s="8">
        <f>Model!C11+Model!D11+Model!E11</f>
        <v/>
      </c>
      <c r="C8" s="8">
        <f>Model!F11+Model!G11+Model!H11</f>
        <v/>
      </c>
      <c r="D8" s="8">
        <f>Model!I11+Model!J11+Model!K11</f>
        <v/>
      </c>
      <c r="E8" s="8">
        <f>Model!L11+Model!M11+Model!N11</f>
        <v/>
      </c>
      <c r="F8" s="8">
        <f>Model!O11+Model!P11+Model!Q11</f>
        <v/>
      </c>
      <c r="G8" s="8">
        <f>Model!R11+Model!S11+Model!T11</f>
        <v/>
      </c>
      <c r="H8" s="8">
        <f>Model!U11+Model!V11+Model!W11</f>
        <v/>
      </c>
      <c r="I8" s="8">
        <f>Model!X11+Model!Y11+Model!Z11</f>
        <v/>
      </c>
      <c r="J8" s="8">
        <f>Model!AA11+Model!AB11+Model!AC11</f>
        <v/>
      </c>
      <c r="K8" s="8">
        <f>Model!AD11+Model!AE11+Model!AF11</f>
        <v/>
      </c>
      <c r="L8" s="8">
        <f>Model!AG11+Model!AH11+Model!AI11</f>
        <v/>
      </c>
      <c r="M8" s="8">
        <f>Model!AJ11+Model!AK11+Model!AL11</f>
        <v/>
      </c>
      <c r="N8" s="8">
        <f>Model!AM11+Model!AN11+Model!AO11</f>
        <v/>
      </c>
      <c r="O8" s="8">
        <f>Model!AP11+Model!AQ11+Model!AR11</f>
        <v/>
      </c>
      <c r="P8" s="8">
        <f>Model!AS11+Model!AT11+Model!AU11</f>
        <v/>
      </c>
      <c r="Q8" s="8">
        <f>Model!AV11+Model!AW11+Model!AX11</f>
        <v/>
      </c>
      <c r="R8" s="8">
        <f>Model!AY11+Model!AZ11+Model!BA11</f>
        <v/>
      </c>
      <c r="S8" s="8">
        <f>Model!BB11+Model!BC11+Model!BD11</f>
        <v/>
      </c>
      <c r="T8" s="8">
        <f>Model!BE11+Model!BF11+Model!BG11</f>
        <v/>
      </c>
      <c r="U8" s="8">
        <f>Model!BH11+Model!BI11+Model!BJ11</f>
        <v/>
      </c>
      <c r="V8" s="8">
        <f>Model!BK11+Model!BL11+Model!BM11</f>
        <v/>
      </c>
      <c r="W8" s="8">
        <f>Model!BN11+Model!BO11+Model!BP11</f>
        <v/>
      </c>
      <c r="X8" s="8">
        <f>Model!BQ11+Model!BR11+Model!BS11</f>
        <v/>
      </c>
      <c r="Y8" s="8">
        <f>Model!BT11+Model!BU11+Model!BV11</f>
        <v/>
      </c>
      <c r="Z8" s="8">
        <f>Model!BW11+Model!BX11+Model!BY11</f>
        <v/>
      </c>
      <c r="AA8" s="8">
        <f>Model!BZ11+Model!CA11+Model!CB11</f>
        <v/>
      </c>
      <c r="AB8" s="8">
        <f>Model!CC11+Model!CD11+Model!CE11</f>
        <v/>
      </c>
      <c r="AC8" s="8">
        <f>Model!CF11+Model!CG11+Model!CH11</f>
        <v/>
      </c>
    </row>
    <row r="9" ht="15" customHeight="1" s="201">
      <c r="A9" s="9" t="inlineStr">
        <is>
          <t>Total GC Revenue</t>
        </is>
      </c>
      <c r="B9" s="10">
        <f>Model!C12+Model!D12+Model!E12</f>
        <v/>
      </c>
      <c r="C9" s="10">
        <f>Model!F12+Model!G12+Model!H12</f>
        <v/>
      </c>
      <c r="D9" s="10">
        <f>Model!I12+Model!J12+Model!K12</f>
        <v/>
      </c>
      <c r="E9" s="10">
        <f>Model!L12+Model!M12+Model!N12</f>
        <v/>
      </c>
      <c r="F9" s="10">
        <f>Model!O12+Model!P12+Model!Q12</f>
        <v/>
      </c>
      <c r="G9" s="10">
        <f>Model!R12+Model!S12+Model!T12</f>
        <v/>
      </c>
      <c r="H9" s="10">
        <f>Model!U12+Model!V12+Model!W12</f>
        <v/>
      </c>
      <c r="I9" s="10">
        <f>Model!X12+Model!Y12+Model!Z12</f>
        <v/>
      </c>
      <c r="J9" s="10">
        <f>Model!AA12+Model!AB12+Model!AC12</f>
        <v/>
      </c>
      <c r="K9" s="10">
        <f>Model!AD12+Model!AE12+Model!AF12</f>
        <v/>
      </c>
      <c r="L9" s="10">
        <f>Model!AG12+Model!AH12+Model!AI12</f>
        <v/>
      </c>
      <c r="M9" s="10">
        <f>Model!AJ12+Model!AK12+Model!AL12</f>
        <v/>
      </c>
      <c r="N9" s="10">
        <f>Model!AM12+Model!AN12+Model!AO12</f>
        <v/>
      </c>
      <c r="O9" s="10">
        <f>Model!AP12+Model!AQ12+Model!AR12</f>
        <v/>
      </c>
      <c r="P9" s="10">
        <f>Model!AS12+Model!AT12+Model!AU12</f>
        <v/>
      </c>
      <c r="Q9" s="10">
        <f>Model!AV12+Model!AW12+Model!AX12</f>
        <v/>
      </c>
      <c r="R9" s="10">
        <f>Model!AY12+Model!AZ12+Model!BA12</f>
        <v/>
      </c>
      <c r="S9" s="10">
        <f>Model!BB12+Model!BC12+Model!BD12</f>
        <v/>
      </c>
      <c r="T9" s="10">
        <f>Model!BE12+Model!BF12+Model!BG12</f>
        <v/>
      </c>
      <c r="U9" s="10">
        <f>Model!BH12+Model!BI12+Model!BJ12</f>
        <v/>
      </c>
      <c r="V9" s="10">
        <f>Model!BK12+Model!BL12+Model!BM12</f>
        <v/>
      </c>
      <c r="W9" s="10">
        <f>Model!BN12+Model!BO12+Model!BP12</f>
        <v/>
      </c>
      <c r="X9" s="10">
        <f>Model!BQ12+Model!BR12+Model!BS12</f>
        <v/>
      </c>
      <c r="Y9" s="10">
        <f>Model!BT12+Model!BU12+Model!BV12</f>
        <v/>
      </c>
      <c r="Z9" s="10">
        <f>Model!BW12+Model!BX12+Model!BY12</f>
        <v/>
      </c>
      <c r="AA9" s="10">
        <f>Model!BZ12+Model!CA12+Model!CB12</f>
        <v/>
      </c>
      <c r="AB9" s="10">
        <f>Model!CC12+Model!CD12+Model!CE12</f>
        <v/>
      </c>
      <c r="AC9" s="10">
        <f>Model!CF12+Model!CG12+Model!CH12</f>
        <v/>
      </c>
    </row>
    <row r="10" ht="15" customHeight="1" s="20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</row>
    <row r="11" ht="15" customHeight="1" s="201">
      <c r="A11" s="6" t="inlineStr">
        <is>
          <t>GC Costs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</row>
    <row r="12" ht="15" customHeight="1" s="201">
      <c r="A12" s="7" t="inlineStr">
        <is>
          <t xml:space="preserve">  Bonding Costs</t>
        </is>
      </c>
      <c r="B12" s="8">
        <f>Model!C15+Model!D15+Model!E15</f>
        <v/>
      </c>
      <c r="C12" s="8">
        <f>Model!F15+Model!G15+Model!H15</f>
        <v/>
      </c>
      <c r="D12" s="8">
        <f>Model!I15+Model!J15+Model!K15</f>
        <v/>
      </c>
      <c r="E12" s="8">
        <f>Model!L15+Model!M15+Model!N15</f>
        <v/>
      </c>
      <c r="F12" s="8">
        <f>Model!O15+Model!P15+Model!Q15</f>
        <v/>
      </c>
      <c r="G12" s="8">
        <f>Model!R15+Model!S15+Model!T15</f>
        <v/>
      </c>
      <c r="H12" s="8">
        <f>Model!U15+Model!V15+Model!W15</f>
        <v/>
      </c>
      <c r="I12" s="8">
        <f>Model!X15+Model!Y15+Model!Z15</f>
        <v/>
      </c>
      <c r="J12" s="8">
        <f>Model!AA15+Model!AB15+Model!AC15</f>
        <v/>
      </c>
      <c r="K12" s="8">
        <f>Model!AD15+Model!AE15+Model!AF15</f>
        <v/>
      </c>
      <c r="L12" s="8">
        <f>Model!AG15+Model!AH15+Model!AI15</f>
        <v/>
      </c>
      <c r="M12" s="8">
        <f>Model!AJ15+Model!AK15+Model!AL15</f>
        <v/>
      </c>
      <c r="N12" s="8">
        <f>Model!AM15+Model!AN15+Model!AO15</f>
        <v/>
      </c>
      <c r="O12" s="8">
        <f>Model!AP15+Model!AQ15+Model!AR15</f>
        <v/>
      </c>
      <c r="P12" s="8">
        <f>Model!AS15+Model!AT15+Model!AU15</f>
        <v/>
      </c>
      <c r="Q12" s="8">
        <f>Model!AV15+Model!AW15+Model!AX15</f>
        <v/>
      </c>
      <c r="R12" s="8">
        <f>Model!AY15+Model!AZ15+Model!BA15</f>
        <v/>
      </c>
      <c r="S12" s="8">
        <f>Model!BB15+Model!BC15+Model!BD15</f>
        <v/>
      </c>
      <c r="T12" s="8">
        <f>Model!BE15+Model!BF15+Model!BG15</f>
        <v/>
      </c>
      <c r="U12" s="8">
        <f>Model!BH15+Model!BI15+Model!BJ15</f>
        <v/>
      </c>
      <c r="V12" s="8">
        <f>Model!BK15+Model!BL15+Model!BM15</f>
        <v/>
      </c>
      <c r="W12" s="8">
        <f>Model!BN15+Model!BO15+Model!BP15</f>
        <v/>
      </c>
      <c r="X12" s="8">
        <f>Model!BQ15+Model!BR15+Model!BS15</f>
        <v/>
      </c>
      <c r="Y12" s="8">
        <f>Model!BT15+Model!BU15+Model!BV15</f>
        <v/>
      </c>
      <c r="Z12" s="8">
        <f>Model!BW15+Model!BX15+Model!BY15</f>
        <v/>
      </c>
      <c r="AA12" s="8">
        <f>Model!BZ15+Model!CA15+Model!CB15</f>
        <v/>
      </c>
      <c r="AB12" s="8">
        <f>Model!CC15+Model!CD15+Model!CE15</f>
        <v/>
      </c>
      <c r="AC12" s="8">
        <f>Model!CF15+Model!CG15+Model!CH15</f>
        <v/>
      </c>
    </row>
    <row r="13" ht="15" customHeight="1" s="201">
      <c r="A13" s="7" t="inlineStr">
        <is>
          <t xml:space="preserve">  GC Personnel</t>
        </is>
      </c>
      <c r="B13" s="8">
        <f>Model!C16+Model!D16+Model!E16+Model!C17+Model!D17+Model!E17</f>
        <v/>
      </c>
      <c r="C13" s="8">
        <f>Model!F16+Model!G16+Model!H16+Model!F17+Model!G17+Model!H17</f>
        <v/>
      </c>
      <c r="D13" s="8">
        <f>Model!I16+Model!J16+Model!K16+Model!I17+Model!J17+Model!K17</f>
        <v/>
      </c>
      <c r="E13" s="8">
        <f>Model!L16+Model!M16+Model!N16+Model!L17+Model!M17+Model!N17</f>
        <v/>
      </c>
      <c r="F13" s="8">
        <f>Model!O16+Model!P16+Model!Q16+Model!O17+Model!P17+Model!Q17</f>
        <v/>
      </c>
      <c r="G13" s="8">
        <f>Model!R16+Model!S16+Model!T16+Model!R17+Model!S17+Model!T17</f>
        <v/>
      </c>
      <c r="H13" s="8">
        <f>Model!U16+Model!V16+Model!W16+Model!U17+Model!V17+Model!W17</f>
        <v/>
      </c>
      <c r="I13" s="8">
        <f>Model!X16+Model!Y16+Model!Z16+Model!X17+Model!Y17+Model!Z17</f>
        <v/>
      </c>
      <c r="J13" s="8">
        <f>Model!AA16+Model!AB16+Model!AC16+Model!AA17+Model!AB17+Model!AC17</f>
        <v/>
      </c>
      <c r="K13" s="8">
        <f>Model!AD16+Model!AE16+Model!AF16+Model!AD17+Model!AE17+Model!AF17</f>
        <v/>
      </c>
      <c r="L13" s="8">
        <f>Model!AG16+Model!AH16+Model!AI16+Model!AG17+Model!AH17+Model!AI17</f>
        <v/>
      </c>
      <c r="M13" s="8">
        <f>Model!AJ16+Model!AK16+Model!AL16+Model!AJ17+Model!AK17+Model!AL17</f>
        <v/>
      </c>
      <c r="N13" s="8">
        <f>Model!AM16+Model!AN16+Model!AO16+Model!AM17+Model!AN17+Model!AO17</f>
        <v/>
      </c>
      <c r="O13" s="8">
        <f>Model!AP16+Model!AQ16+Model!AR16+Model!AP17+Model!AQ17+Model!AR17</f>
        <v/>
      </c>
      <c r="P13" s="8">
        <f>Model!AS16+Model!AT16+Model!AU16+Model!AS17+Model!AT17+Model!AU17</f>
        <v/>
      </c>
      <c r="Q13" s="8">
        <f>Model!AV16+Model!AW16+Model!AX16+Model!AV17+Model!AW17+Model!AX17</f>
        <v/>
      </c>
      <c r="R13" s="8">
        <f>Model!AY16+Model!AZ16+Model!BA16+Model!AY17+Model!AZ17+Model!BA17</f>
        <v/>
      </c>
      <c r="S13" s="8">
        <f>Model!BB16+Model!BC16+Model!BD16+Model!BB17+Model!BC17+Model!BD17</f>
        <v/>
      </c>
      <c r="T13" s="8">
        <f>Model!BE16+Model!BF16+Model!BG16+Model!BE17+Model!BF17+Model!BG17</f>
        <v/>
      </c>
      <c r="U13" s="8">
        <f>Model!BH16+Model!BI16+Model!BJ16+Model!BH17+Model!BI17+Model!BJ17</f>
        <v/>
      </c>
      <c r="V13" s="8">
        <f>Model!BK16+Model!BL16+Model!BM16+Model!BK17+Model!BL17+Model!BM17</f>
        <v/>
      </c>
      <c r="W13" s="8">
        <f>Model!BN16+Model!BO16+Model!BP16+Model!BN17+Model!BO17+Model!BP17</f>
        <v/>
      </c>
      <c r="X13" s="8">
        <f>Model!BQ16+Model!BR16+Model!BS16+Model!BQ17+Model!BR17+Model!BS17</f>
        <v/>
      </c>
      <c r="Y13" s="8">
        <f>Model!BT16+Model!BU16+Model!BV16+Model!BT17+Model!BU17+Model!BV17</f>
        <v/>
      </c>
      <c r="Z13" s="8">
        <f>Model!BW16+Model!BX16+Model!BY16+Model!BW17+Model!BX17+Model!BY17</f>
        <v/>
      </c>
      <c r="AA13" s="8">
        <f>Model!BZ16+Model!CA16+Model!CB16+Model!BZ17+Model!CA17+Model!CB17</f>
        <v/>
      </c>
      <c r="AB13" s="8">
        <f>Model!CC16+Model!CD16+Model!CE16+Model!CC17+Model!CD17+Model!CE17</f>
        <v/>
      </c>
      <c r="AC13" s="8">
        <f>Model!CF16+Model!CG16+Model!CH16+Model!CF17+Model!CG17+Model!CH17</f>
        <v/>
      </c>
    </row>
    <row r="14" ht="15" customHeight="1" s="201">
      <c r="A14" s="7" t="inlineStr">
        <is>
          <t xml:space="preserve">  SP Allocated to LV</t>
        </is>
      </c>
      <c r="B14" s="8">
        <f>Model!C18+Model!D18+Model!E18</f>
        <v/>
      </c>
      <c r="C14" s="8">
        <f>Model!F18+Model!G18+Model!H18</f>
        <v/>
      </c>
      <c r="D14" s="8">
        <f>Model!I18+Model!J18+Model!K18</f>
        <v/>
      </c>
      <c r="E14" s="8">
        <f>Model!L18+Model!M18+Model!N18</f>
        <v/>
      </c>
      <c r="F14" s="8">
        <f>Model!O18+Model!P18+Model!Q18</f>
        <v/>
      </c>
      <c r="G14" s="8">
        <f>Model!R18+Model!S18+Model!T18</f>
        <v/>
      </c>
      <c r="H14" s="8">
        <f>Model!U18+Model!V18+Model!W18</f>
        <v/>
      </c>
      <c r="I14" s="8">
        <f>Model!X18+Model!Y18+Model!Z18</f>
        <v/>
      </c>
      <c r="J14" s="8">
        <f>Model!AA18+Model!AB18+Model!AC18</f>
        <v/>
      </c>
      <c r="K14" s="8">
        <f>Model!AD18+Model!AE18+Model!AF18</f>
        <v/>
      </c>
      <c r="L14" s="8">
        <f>Model!AG18+Model!AH18+Model!AI18</f>
        <v/>
      </c>
      <c r="M14" s="8">
        <f>Model!AJ18+Model!AK18+Model!AL18</f>
        <v/>
      </c>
      <c r="N14" s="8">
        <f>Model!AM18+Model!AN18+Model!AO18</f>
        <v/>
      </c>
      <c r="O14" s="8">
        <f>Model!AP18+Model!AQ18+Model!AR18</f>
        <v/>
      </c>
      <c r="P14" s="8">
        <f>Model!AS18+Model!AT18+Model!AU18</f>
        <v/>
      </c>
      <c r="Q14" s="8">
        <f>Model!AV18+Model!AW18+Model!AX18</f>
        <v/>
      </c>
      <c r="R14" s="8">
        <f>Model!AY18+Model!AZ18+Model!BA18</f>
        <v/>
      </c>
      <c r="S14" s="8">
        <f>Model!BB18+Model!BC18+Model!BD18</f>
        <v/>
      </c>
      <c r="T14" s="8">
        <f>Model!BE18+Model!BF18+Model!BG18</f>
        <v/>
      </c>
      <c r="U14" s="8">
        <f>Model!BH18+Model!BI18+Model!BJ18</f>
        <v/>
      </c>
      <c r="V14" s="8">
        <f>Model!BK18+Model!BL18+Model!BM18</f>
        <v/>
      </c>
      <c r="W14" s="8">
        <f>Model!BN18+Model!BO18+Model!BP18</f>
        <v/>
      </c>
      <c r="X14" s="8">
        <f>Model!BQ18+Model!BR18+Model!BS18</f>
        <v/>
      </c>
      <c r="Y14" s="8">
        <f>Model!BT18+Model!BU18+Model!BV18</f>
        <v/>
      </c>
      <c r="Z14" s="8">
        <f>Model!BW18+Model!BX18+Model!BY18</f>
        <v/>
      </c>
      <c r="AA14" s="8">
        <f>Model!BZ18+Model!CA18+Model!CB18</f>
        <v/>
      </c>
      <c r="AB14" s="8">
        <f>Model!CC18+Model!CD18+Model!CE18</f>
        <v/>
      </c>
      <c r="AC14" s="8">
        <f>Model!CF18+Model!CG18+Model!CH18</f>
        <v/>
      </c>
    </row>
    <row r="15" ht="15" customHeight="1" s="201">
      <c r="A15" s="9" t="inlineStr">
        <is>
          <t>Total GC Costs</t>
        </is>
      </c>
      <c r="B15" s="10">
        <f>Model!C39+Model!D39+Model!E39</f>
        <v/>
      </c>
      <c r="C15" s="10">
        <f>Model!F39+Model!G39+Model!H39</f>
        <v/>
      </c>
      <c r="D15" s="10">
        <f>Model!I39+Model!J39+Model!K39</f>
        <v/>
      </c>
      <c r="E15" s="10">
        <f>Model!L39+Model!M39+Model!N39</f>
        <v/>
      </c>
      <c r="F15" s="10">
        <f>Model!O39+Model!P39+Model!Q39</f>
        <v/>
      </c>
      <c r="G15" s="10">
        <f>Model!R39+Model!S39+Model!T39</f>
        <v/>
      </c>
      <c r="H15" s="10">
        <f>Model!U39+Model!V39+Model!W39</f>
        <v/>
      </c>
      <c r="I15" s="10">
        <f>Model!X39+Model!Y39+Model!Z39</f>
        <v/>
      </c>
      <c r="J15" s="10">
        <f>Model!AA39+Model!AB39+Model!AC39</f>
        <v/>
      </c>
      <c r="K15" s="10">
        <f>Model!AD39+Model!AE39+Model!AF39</f>
        <v/>
      </c>
      <c r="L15" s="10">
        <f>Model!AG39+Model!AH39+Model!AI39</f>
        <v/>
      </c>
      <c r="M15" s="10">
        <f>Model!AJ39+Model!AK39+Model!AL39</f>
        <v/>
      </c>
      <c r="N15" s="10">
        <f>Model!AM39+Model!AN39+Model!AO39</f>
        <v/>
      </c>
      <c r="O15" s="10">
        <f>Model!AP39+Model!AQ39+Model!AR39</f>
        <v/>
      </c>
      <c r="P15" s="10">
        <f>Model!AS39+Model!AT39+Model!AU39</f>
        <v/>
      </c>
      <c r="Q15" s="10">
        <f>Model!AV39+Model!AW39+Model!AX39</f>
        <v/>
      </c>
      <c r="R15" s="10">
        <f>Model!AY39+Model!AZ39+Model!BA39</f>
        <v/>
      </c>
      <c r="S15" s="10">
        <f>Model!BB39+Model!BC39+Model!BD39</f>
        <v/>
      </c>
      <c r="T15" s="10">
        <f>Model!BE39+Model!BF39+Model!BG39</f>
        <v/>
      </c>
      <c r="U15" s="10">
        <f>Model!BH39+Model!BI39+Model!BJ39</f>
        <v/>
      </c>
      <c r="V15" s="10">
        <f>Model!BK39+Model!BL39+Model!BM39</f>
        <v/>
      </c>
      <c r="W15" s="10">
        <f>Model!BN39+Model!BO39+Model!BP39</f>
        <v/>
      </c>
      <c r="X15" s="10">
        <f>Model!BQ39+Model!BR39+Model!BS39</f>
        <v/>
      </c>
      <c r="Y15" s="10">
        <f>Model!BT39+Model!BU39+Model!BV39</f>
        <v/>
      </c>
      <c r="Z15" s="10">
        <f>Model!BW39+Model!BX39+Model!BY39</f>
        <v/>
      </c>
      <c r="AA15" s="10">
        <f>Model!BZ39+Model!CA39+Model!CB39</f>
        <v/>
      </c>
      <c r="AB15" s="10">
        <f>Model!CC39+Model!CD39+Model!CE39</f>
        <v/>
      </c>
      <c r="AC15" s="10">
        <f>Model!CF39+Model!CG39+Model!CH39</f>
        <v/>
      </c>
    </row>
    <row r="16" ht="15" customHeight="1" s="201">
      <c r="A16" s="13" t="inlineStr">
        <is>
          <t>GC Net Income</t>
        </is>
      </c>
      <c r="B16" s="14">
        <f>Model!C41+Model!D41+Model!E41</f>
        <v/>
      </c>
      <c r="C16" s="14">
        <f>Model!F41+Model!G41+Model!H41</f>
        <v/>
      </c>
      <c r="D16" s="14">
        <f>Model!I41+Model!J41+Model!K41</f>
        <v/>
      </c>
      <c r="E16" s="14">
        <f>Model!L41+Model!M41+Model!N41</f>
        <v/>
      </c>
      <c r="F16" s="14">
        <f>Model!O41+Model!P41+Model!Q41</f>
        <v/>
      </c>
      <c r="G16" s="14">
        <f>Model!R41+Model!S41+Model!T41</f>
        <v/>
      </c>
      <c r="H16" s="14">
        <f>Model!U41+Model!V41+Model!W41</f>
        <v/>
      </c>
      <c r="I16" s="14">
        <f>Model!X41+Model!Y41+Model!Z41</f>
        <v/>
      </c>
      <c r="J16" s="14">
        <f>Model!AA41+Model!AB41+Model!AC41</f>
        <v/>
      </c>
      <c r="K16" s="14">
        <f>Model!AD41+Model!AE41+Model!AF41</f>
        <v/>
      </c>
      <c r="L16" s="14">
        <f>Model!AG41+Model!AH41+Model!AI41</f>
        <v/>
      </c>
      <c r="M16" s="14">
        <f>Model!AJ41+Model!AK41+Model!AL41</f>
        <v/>
      </c>
      <c r="N16" s="14">
        <f>Model!AM41+Model!AN41+Model!AO41</f>
        <v/>
      </c>
      <c r="O16" s="14">
        <f>Model!AP41+Model!AQ41+Model!AR41</f>
        <v/>
      </c>
      <c r="P16" s="14">
        <f>Model!AS41+Model!AT41+Model!AU41</f>
        <v/>
      </c>
      <c r="Q16" s="14">
        <f>Model!AV41+Model!AW41+Model!AX41</f>
        <v/>
      </c>
      <c r="R16" s="14">
        <f>Model!AY41+Model!AZ41+Model!BA41</f>
        <v/>
      </c>
      <c r="S16" s="14">
        <f>Model!BB41+Model!BC41+Model!BD41</f>
        <v/>
      </c>
      <c r="T16" s="14">
        <f>Model!BE41+Model!BF41+Model!BG41</f>
        <v/>
      </c>
      <c r="U16" s="14">
        <f>Model!BH41+Model!BI41+Model!BJ41</f>
        <v/>
      </c>
      <c r="V16" s="14">
        <f>Model!BK41+Model!BL41+Model!BM41</f>
        <v/>
      </c>
      <c r="W16" s="14">
        <f>Model!BN41+Model!BO41+Model!BP41</f>
        <v/>
      </c>
      <c r="X16" s="14">
        <f>Model!BQ41+Model!BR41+Model!BS41</f>
        <v/>
      </c>
      <c r="Y16" s="14">
        <f>Model!BT41+Model!BU41+Model!BV41</f>
        <v/>
      </c>
      <c r="Z16" s="14">
        <f>Model!BW41+Model!BX41+Model!BY41</f>
        <v/>
      </c>
      <c r="AA16" s="14">
        <f>Model!BZ41+Model!CA41+Model!CB41</f>
        <v/>
      </c>
      <c r="AB16" s="14">
        <f>Model!CC41+Model!CD41+Model!CE41</f>
        <v/>
      </c>
      <c r="AC16" s="14">
        <f>Model!CF41+Model!CG41+Model!CH41</f>
        <v/>
      </c>
    </row>
    <row r="17" ht="15" customHeight="1" s="201">
      <c r="A17" s="7" t="inlineStr">
        <is>
          <t>GC Profit Margin %</t>
        </is>
      </c>
      <c r="B17" s="15">
        <f>IF((Model!C12+Model!D12+Model!E12)&lt;&gt;0,(Model!C41+Model!D41+Model!E41)/(Model!C12+Model!D12+Model!E12),0)</f>
        <v/>
      </c>
      <c r="C17" s="15">
        <f>IF((Model!F12+Model!G12+Model!H12)&lt;&gt;0,(Model!F41+Model!G41+Model!H41)/(Model!F12+Model!G12+Model!H12),0)</f>
        <v/>
      </c>
      <c r="D17" s="15">
        <f>IF((Model!I12+Model!J12+Model!K12)&lt;&gt;0,(Model!I41+Model!J41+Model!K41)/(Model!I12+Model!J12+Model!K12),0)</f>
        <v/>
      </c>
      <c r="E17" s="15">
        <f>IF((Model!L12+Model!M12+Model!N12)&lt;&gt;0,(Model!L41+Model!M41+Model!N41)/(Model!L12+Model!M12+Model!N12),0)</f>
        <v/>
      </c>
      <c r="F17" s="15">
        <f>IF((Model!O12+Model!P12+Model!Q12)&lt;&gt;0,(Model!O41+Model!P41+Model!Q41)/(Model!O12+Model!P12+Model!Q12),0)</f>
        <v/>
      </c>
      <c r="G17" s="15">
        <f>IF((Model!R12+Model!S12+Model!T12)&lt;&gt;0,(Model!R41+Model!S41+Model!T41)/(Model!R12+Model!S12+Model!T12),0)</f>
        <v/>
      </c>
      <c r="H17" s="15">
        <f>IF((Model!U12+Model!V12+Model!W12)&lt;&gt;0,(Model!U41+Model!V41+Model!W41)/(Model!U12+Model!V12+Model!W12),0)</f>
        <v/>
      </c>
      <c r="I17" s="15">
        <f>IF((Model!X12+Model!Y12+Model!Z12)&lt;&gt;0,(Model!X41+Model!Y41+Model!Z41)/(Model!X12+Model!Y12+Model!Z12),0)</f>
        <v/>
      </c>
      <c r="J17" s="15">
        <f>IF((Model!AA12+Model!AB12+Model!AC12)&lt;&gt;0,(Model!AA41+Model!AB41+Model!AC41)/(Model!AA12+Model!AB12+Model!AC12),0)</f>
        <v/>
      </c>
      <c r="K17" s="15">
        <f>IF((Model!AD12+Model!AE12+Model!AF12)&lt;&gt;0,(Model!AD41+Model!AE41+Model!AF41)/(Model!AD12+Model!AE12+Model!AF12),0)</f>
        <v/>
      </c>
      <c r="L17" s="15">
        <f>IF((Model!AG12+Model!AH12+Model!AI12)&lt;&gt;0,(Model!AG41+Model!AH41+Model!AI41)/(Model!AG12+Model!AH12+Model!AI12),0)</f>
        <v/>
      </c>
      <c r="M17" s="15">
        <f>IF((Model!AJ12+Model!AK12+Model!AL12)&lt;&gt;0,(Model!AJ41+Model!AK41+Model!AL41)/(Model!AJ12+Model!AK12+Model!AL12),0)</f>
        <v/>
      </c>
      <c r="N17" s="15">
        <f>IF((Model!AM12+Model!AN12+Model!AO12)&lt;&gt;0,(Model!AM41+Model!AN41+Model!AO41)/(Model!AM12+Model!AN12+Model!AO12),0)</f>
        <v/>
      </c>
      <c r="O17" s="15">
        <f>IF((Model!AP12+Model!AQ12+Model!AR12)&lt;&gt;0,(Model!AP41+Model!AQ41+Model!AR41)/(Model!AP12+Model!AQ12+Model!AR12),0)</f>
        <v/>
      </c>
      <c r="P17" s="15">
        <f>IF((Model!AS12+Model!AT12+Model!AU12)&lt;&gt;0,(Model!AS41+Model!AT41+Model!AU41)/(Model!AS12+Model!AT12+Model!AU12),0)</f>
        <v/>
      </c>
      <c r="Q17" s="15">
        <f>IF((Model!AV12+Model!AW12+Model!AX12)&lt;&gt;0,(Model!AV41+Model!AW41+Model!AX41)/(Model!AV12+Model!AW12+Model!AX12),0)</f>
        <v/>
      </c>
      <c r="R17" s="15">
        <f>IF((Model!AY12+Model!AZ12+Model!BA12)&lt;&gt;0,(Model!AY41+Model!AZ41+Model!BA41)/(Model!AY12+Model!AZ12+Model!BA12),0)</f>
        <v/>
      </c>
      <c r="S17" s="15">
        <f>IF((Model!BB12+Model!BC12+Model!BD12)&lt;&gt;0,(Model!BB41+Model!BC41+Model!BD41)/(Model!BB12+Model!BC12+Model!BD12),0)</f>
        <v/>
      </c>
      <c r="T17" s="15">
        <f>IF((Model!BE12+Model!BF12+Model!BG12)&lt;&gt;0,(Model!BE41+Model!BF41+Model!BG41)/(Model!BE12+Model!BF12+Model!BG12),0)</f>
        <v/>
      </c>
      <c r="U17" s="15">
        <f>IF((Model!BH12+Model!BI12+Model!BJ12)&lt;&gt;0,(Model!BH41+Model!BI41+Model!BJ41)/(Model!BH12+Model!BI12+Model!BJ12),0)</f>
        <v/>
      </c>
      <c r="V17" s="15">
        <f>IF((Model!BK12+Model!BL12+Model!BM12)&lt;&gt;0,(Model!BK41+Model!BL41+Model!BM41)/(Model!BK12+Model!BL12+Model!BM12),0)</f>
        <v/>
      </c>
      <c r="W17" s="15">
        <f>IF((Model!BN12+Model!BO12+Model!BP12)&lt;&gt;0,(Model!BN41+Model!BO41+Model!BP41)/(Model!BN12+Model!BO12+Model!BP12),0)</f>
        <v/>
      </c>
      <c r="X17" s="15">
        <f>IF((Model!BQ12+Model!BR12+Model!BS12)&lt;&gt;0,(Model!BQ41+Model!BR41+Model!BS41)/(Model!BQ12+Model!BR12+Model!BS12),0)</f>
        <v/>
      </c>
      <c r="Y17" s="15">
        <f>IF((Model!BT12+Model!BU12+Model!BV12)&lt;&gt;0,(Model!BT41+Model!BU41+Model!BV41)/(Model!BT12+Model!BU12+Model!BV12),0)</f>
        <v/>
      </c>
      <c r="Z17" s="15">
        <f>IF((Model!BW12+Model!BX12+Model!BY12)&lt;&gt;0,(Model!BW41+Model!BX41+Model!BY41)/(Model!BW12+Model!BX12+Model!BY12),0)</f>
        <v/>
      </c>
      <c r="AA17" s="15">
        <f>IF((Model!BZ12+Model!CA12+Model!CB12)&lt;&gt;0,(Model!BZ41+Model!CA41+Model!CB41)/(Model!BZ12+Model!CA12+Model!CB12),0)</f>
        <v/>
      </c>
      <c r="AB17" s="15">
        <f>IF((Model!CC12+Model!CD12+Model!CE12)&lt;&gt;0,(Model!CC41+Model!CD41+Model!CE41)/(Model!CC12+Model!CD12+Model!CE12),0)</f>
        <v/>
      </c>
      <c r="AC17" s="15">
        <f>IF((Model!CF12+Model!CG12+Model!CH12)&lt;&gt;0,(Model!CF41+Model!CG41+Model!CH41)/(Model!CF12+Model!CG12+Model!CH12),0)</f>
        <v/>
      </c>
    </row>
    <row r="18" ht="15" customFormat="1" customHeight="1" s="64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</row>
    <row r="19" ht="15" customHeight="1" s="201">
      <c r="A19" s="65" t="inlineStr">
        <is>
          <t>Six Peak Revenue</t>
        </is>
      </c>
      <c r="B19" s="17">
        <f>Model!C64+Model!D64+Model!E64</f>
        <v/>
      </c>
      <c r="C19" s="17">
        <f>Model!F64+Model!G64+Model!H64</f>
        <v/>
      </c>
      <c r="D19" s="17">
        <f>Model!I64+Model!J64+Model!K64</f>
        <v/>
      </c>
      <c r="E19" s="17">
        <f>Model!L64+Model!M64+Model!N64</f>
        <v/>
      </c>
      <c r="F19" s="17">
        <f>Model!O64+Model!P64+Model!Q64</f>
        <v/>
      </c>
      <c r="G19" s="17">
        <f>Model!R64+Model!S64+Model!T64</f>
        <v/>
      </c>
      <c r="H19" s="17">
        <f>Model!U64+Model!V64+Model!W64</f>
        <v/>
      </c>
      <c r="I19" s="17">
        <f>Model!X64+Model!Y64+Model!Z64</f>
        <v/>
      </c>
      <c r="J19" s="17">
        <f>Model!AA64+Model!AB64+Model!AC64</f>
        <v/>
      </c>
      <c r="K19" s="17">
        <f>Model!AD64+Model!AE64+Model!AF64</f>
        <v/>
      </c>
      <c r="L19" s="17">
        <f>Model!AG64+Model!AH64+Model!AI64</f>
        <v/>
      </c>
      <c r="M19" s="17">
        <f>Model!AJ64+Model!AK64+Model!AL64</f>
        <v/>
      </c>
      <c r="N19" s="17">
        <f>Model!AM64+Model!AN64+Model!AO64</f>
        <v/>
      </c>
      <c r="O19" s="17">
        <f>Model!AP64+Model!AQ64+Model!AR64</f>
        <v/>
      </c>
      <c r="P19" s="17">
        <f>Model!AS64+Model!AT64+Model!AU64</f>
        <v/>
      </c>
      <c r="Q19" s="17">
        <f>Model!AV64+Model!AW64+Model!AX64</f>
        <v/>
      </c>
      <c r="R19" s="17">
        <f>Model!AY64+Model!AZ64+Model!BA64</f>
        <v/>
      </c>
      <c r="S19" s="17">
        <f>Model!BB64+Model!BC64+Model!BD64</f>
        <v/>
      </c>
      <c r="T19" s="17">
        <f>Model!BE64+Model!BF64+Model!BG64</f>
        <v/>
      </c>
      <c r="U19" s="17">
        <f>Model!BH64+Model!BI64+Model!BJ64</f>
        <v/>
      </c>
      <c r="V19" s="17">
        <f>Model!BK64+Model!BL64+Model!BM64</f>
        <v/>
      </c>
      <c r="W19" s="17">
        <f>Model!BN64+Model!BO64+Model!BP64</f>
        <v/>
      </c>
      <c r="X19" s="17">
        <f>Model!BQ64+Model!BR64+Model!BS64</f>
        <v/>
      </c>
      <c r="Y19" s="17">
        <f>Model!BT64+Model!BU64+Model!BV64</f>
        <v/>
      </c>
      <c r="Z19" s="17">
        <f>Model!BW64+Model!BX64+Model!BY64</f>
        <v/>
      </c>
      <c r="AA19" s="17">
        <f>Model!BZ64+Model!CA64+Model!CB64</f>
        <v/>
      </c>
      <c r="AB19" s="17">
        <f>Model!CC64+Model!CD64+Model!CE64</f>
        <v/>
      </c>
      <c r="AC19" s="17">
        <f>Model!CF64+Model!CG64+Model!CH64</f>
        <v/>
      </c>
    </row>
    <row r="20" ht="15" customHeight="1" s="201">
      <c r="A20" s="7" t="inlineStr">
        <is>
          <t>Six Peak Expenses</t>
        </is>
      </c>
      <c r="B20" s="8">
        <f>Model!C85+Model!D85+Model!E85</f>
        <v/>
      </c>
      <c r="C20" s="8">
        <f>Model!F85+Model!G85+Model!H85</f>
        <v/>
      </c>
      <c r="D20" s="8">
        <f>Model!I85+Model!J85+Model!K85</f>
        <v/>
      </c>
      <c r="E20" s="8">
        <f>Model!L85+Model!M85+Model!N85</f>
        <v/>
      </c>
      <c r="F20" s="8">
        <f>Model!O85+Model!P85+Model!Q85</f>
        <v/>
      </c>
      <c r="G20" s="8">
        <f>Model!R85+Model!S85+Model!T85</f>
        <v/>
      </c>
      <c r="H20" s="8">
        <f>Model!U85+Model!V85+Model!W85</f>
        <v/>
      </c>
      <c r="I20" s="8">
        <f>Model!X85+Model!Y85+Model!Z85</f>
        <v/>
      </c>
      <c r="J20" s="8">
        <f>Model!AA85+Model!AB85+Model!AC85</f>
        <v/>
      </c>
      <c r="K20" s="8">
        <f>Model!AD85+Model!AE85+Model!AF85</f>
        <v/>
      </c>
      <c r="L20" s="8">
        <f>Model!AG85+Model!AH85+Model!AI85</f>
        <v/>
      </c>
      <c r="M20" s="8">
        <f>Model!AJ85+Model!AK85+Model!AL85</f>
        <v/>
      </c>
      <c r="N20" s="8">
        <f>Model!AM85+Model!AN85+Model!AO85</f>
        <v/>
      </c>
      <c r="O20" s="8">
        <f>Model!AP85+Model!AQ85+Model!AR85</f>
        <v/>
      </c>
      <c r="P20" s="8">
        <f>Model!AS85+Model!AT85+Model!AU85</f>
        <v/>
      </c>
      <c r="Q20" s="8">
        <f>Model!AV85+Model!AW85+Model!AX85</f>
        <v/>
      </c>
      <c r="R20" s="8">
        <f>Model!AY85+Model!AZ85+Model!BA85</f>
        <v/>
      </c>
      <c r="S20" s="8">
        <f>Model!BB85+Model!BC85+Model!BD85</f>
        <v/>
      </c>
      <c r="T20" s="8">
        <f>Model!BE85+Model!BF85+Model!BG85</f>
        <v/>
      </c>
      <c r="U20" s="8">
        <f>Model!BH85+Model!BI85+Model!BJ85</f>
        <v/>
      </c>
      <c r="V20" s="8">
        <f>Model!BK85+Model!BL85+Model!BM85</f>
        <v/>
      </c>
      <c r="W20" s="8">
        <f>Model!BN85+Model!BO85+Model!BP85</f>
        <v/>
      </c>
      <c r="X20" s="8">
        <f>Model!BQ85+Model!BR85+Model!BS85</f>
        <v/>
      </c>
      <c r="Y20" s="8">
        <f>Model!BT85+Model!BU85+Model!BV85</f>
        <v/>
      </c>
      <c r="Z20" s="8">
        <f>Model!BW85+Model!BX85+Model!BY85</f>
        <v/>
      </c>
      <c r="AA20" s="8">
        <f>Model!BZ85+Model!CA85+Model!CB85</f>
        <v/>
      </c>
      <c r="AB20" s="8">
        <f>Model!CC85+Model!CD85+Model!CE85</f>
        <v/>
      </c>
      <c r="AC20" s="8">
        <f>Model!CF85+Model!CG85+Model!CH85</f>
        <v/>
      </c>
    </row>
    <row r="21" ht="15" customHeight="1" s="201">
      <c r="A21" s="13" t="inlineStr">
        <is>
          <t>Six Peak Net Income</t>
        </is>
      </c>
      <c r="B21" s="14">
        <f>Model!C87+Model!D87+Model!E87</f>
        <v/>
      </c>
      <c r="C21" s="14">
        <f>Model!F87+Model!G87+Model!H87</f>
        <v/>
      </c>
      <c r="D21" s="14">
        <f>Model!I87+Model!J87+Model!K87</f>
        <v/>
      </c>
      <c r="E21" s="14">
        <f>Model!L87+Model!M87+Model!N87</f>
        <v/>
      </c>
      <c r="F21" s="14">
        <f>Model!O87+Model!P87+Model!Q87</f>
        <v/>
      </c>
      <c r="G21" s="14">
        <f>Model!R87+Model!S87+Model!T87</f>
        <v/>
      </c>
      <c r="H21" s="14">
        <f>Model!U87+Model!V87+Model!W87</f>
        <v/>
      </c>
      <c r="I21" s="14">
        <f>Model!X87+Model!Y87+Model!Z87</f>
        <v/>
      </c>
      <c r="J21" s="14">
        <f>Model!AA87+Model!AB87+Model!AC87</f>
        <v/>
      </c>
      <c r="K21" s="14">
        <f>Model!AD87+Model!AE87+Model!AF87</f>
        <v/>
      </c>
      <c r="L21" s="14">
        <f>Model!AG87+Model!AH87+Model!AI87</f>
        <v/>
      </c>
      <c r="M21" s="14">
        <f>Model!AJ87+Model!AK87+Model!AL87</f>
        <v/>
      </c>
      <c r="N21" s="14">
        <f>Model!AM87+Model!AN87+Model!AO87</f>
        <v/>
      </c>
      <c r="O21" s="14">
        <f>Model!AP87+Model!AQ87+Model!AR87</f>
        <v/>
      </c>
      <c r="P21" s="14">
        <f>Model!AS87+Model!AT87+Model!AU87</f>
        <v/>
      </c>
      <c r="Q21" s="14">
        <f>Model!AV87+Model!AW87+Model!AX87</f>
        <v/>
      </c>
      <c r="R21" s="14">
        <f>Model!AY87+Model!AZ87+Model!BA87</f>
        <v/>
      </c>
      <c r="S21" s="14">
        <f>Model!BB87+Model!BC87+Model!BD87</f>
        <v/>
      </c>
      <c r="T21" s="14">
        <f>Model!BE87+Model!BF87+Model!BG87</f>
        <v/>
      </c>
      <c r="U21" s="14">
        <f>Model!BH87+Model!BI87+Model!BJ87</f>
        <v/>
      </c>
      <c r="V21" s="14">
        <f>Model!BK87+Model!BL87+Model!BM87</f>
        <v/>
      </c>
      <c r="W21" s="14">
        <f>Model!BN87+Model!BO87+Model!BP87</f>
        <v/>
      </c>
      <c r="X21" s="14">
        <f>Model!BQ87+Model!BR87+Model!BS87</f>
        <v/>
      </c>
      <c r="Y21" s="14">
        <f>Model!BT87+Model!BU87+Model!BV87</f>
        <v/>
      </c>
      <c r="Z21" s="14">
        <f>Model!BW87+Model!BX87+Model!BY87</f>
        <v/>
      </c>
      <c r="AA21" s="14">
        <f>Model!BZ87+Model!CA87+Model!CB87</f>
        <v/>
      </c>
      <c r="AB21" s="14">
        <f>Model!CC87+Model!CD87+Model!CE87</f>
        <v/>
      </c>
      <c r="AC21" s="14">
        <f>Model!CF87+Model!CG87+Model!CH87</f>
        <v/>
      </c>
    </row>
    <row r="22" ht="15" customHeight="1" s="20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</row>
    <row r="23" ht="15" customHeight="1" s="201">
      <c r="A23" s="13" t="inlineStr">
        <is>
          <t>Consolidated Net Income</t>
        </is>
      </c>
      <c r="B23" s="14">
        <f>Model!C96+Model!D96+Model!E96</f>
        <v/>
      </c>
      <c r="C23" s="14">
        <f>Model!F96+Model!G96+Model!H96</f>
        <v/>
      </c>
      <c r="D23" s="14">
        <f>Model!I96+Model!J96+Model!K96</f>
        <v/>
      </c>
      <c r="E23" s="14">
        <f>Model!L96+Model!M96+Model!N96</f>
        <v/>
      </c>
      <c r="F23" s="14">
        <f>Model!O96+Model!P96+Model!Q96</f>
        <v/>
      </c>
      <c r="G23" s="14">
        <f>Model!R96+Model!S96+Model!T96</f>
        <v/>
      </c>
      <c r="H23" s="14">
        <f>Model!U96+Model!V96+Model!W96</f>
        <v/>
      </c>
      <c r="I23" s="14">
        <f>Model!X96+Model!Y96+Model!Z96</f>
        <v/>
      </c>
      <c r="J23" s="14">
        <f>Model!AA96+Model!AB96+Model!AC96</f>
        <v/>
      </c>
      <c r="K23" s="14">
        <f>Model!AD96+Model!AE96+Model!AF96</f>
        <v/>
      </c>
      <c r="L23" s="14">
        <f>Model!AG96+Model!AH96+Model!AI96</f>
        <v/>
      </c>
      <c r="M23" s="14">
        <f>Model!AJ96+Model!AK96+Model!AL96</f>
        <v/>
      </c>
      <c r="N23" s="14">
        <f>Model!AM96+Model!AN96+Model!AO96</f>
        <v/>
      </c>
      <c r="O23" s="14">
        <f>Model!AP96+Model!AQ96+Model!AR96</f>
        <v/>
      </c>
      <c r="P23" s="14">
        <f>Model!AS96+Model!AT96+Model!AU96</f>
        <v/>
      </c>
      <c r="Q23" s="14">
        <f>Model!AV96+Model!AW96+Model!AX96</f>
        <v/>
      </c>
      <c r="R23" s="14">
        <f>Model!AY96+Model!AZ96+Model!BA96</f>
        <v/>
      </c>
      <c r="S23" s="14">
        <f>Model!BB96+Model!BC96+Model!BD96</f>
        <v/>
      </c>
      <c r="T23" s="14">
        <f>Model!BE96+Model!BF96+Model!BG96</f>
        <v/>
      </c>
      <c r="U23" s="14">
        <f>Model!BH96+Model!BI96+Model!BJ96</f>
        <v/>
      </c>
      <c r="V23" s="14">
        <f>Model!BK96+Model!BL96+Model!BM96</f>
        <v/>
      </c>
      <c r="W23" s="14">
        <f>Model!BN96+Model!BO96+Model!BP96</f>
        <v/>
      </c>
      <c r="X23" s="14">
        <f>Model!BQ96+Model!BR96+Model!BS96</f>
        <v/>
      </c>
      <c r="Y23" s="14">
        <f>Model!BT96+Model!BU96+Model!BV96</f>
        <v/>
      </c>
      <c r="Z23" s="14">
        <f>Model!BW96+Model!BX96+Model!BY96</f>
        <v/>
      </c>
      <c r="AA23" s="14">
        <f>Model!BZ96+Model!CA96+Model!CB96</f>
        <v/>
      </c>
      <c r="AB23" s="14">
        <f>Model!CC96+Model!CD96+Model!CE96</f>
        <v/>
      </c>
      <c r="AC23" s="14">
        <f>Model!CF96+Model!CG96+Model!CH96</f>
        <v/>
      </c>
    </row>
    <row r="24" ht="15" customHeight="1" s="20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</row>
    <row r="25" ht="15" customHeight="1" s="201">
      <c r="A25" s="6" t="inlineStr">
        <is>
          <t>Steyn Group Fees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 ht="15" customHeight="1" s="201">
      <c r="A26" s="7" t="inlineStr">
        <is>
          <t xml:space="preserve">  Completion Guaranty Fee</t>
        </is>
      </c>
      <c r="B26" s="8">
        <f>Model!C80+Model!D80+Model!E80</f>
        <v/>
      </c>
      <c r="C26" s="8">
        <f>Model!F80+Model!G80+Model!H80</f>
        <v/>
      </c>
      <c r="D26" s="8">
        <f>Model!I80+Model!J80+Model!K80</f>
        <v/>
      </c>
      <c r="E26" s="8">
        <f>Model!L80+Model!M80+Model!N80</f>
        <v/>
      </c>
      <c r="F26" s="8">
        <f>Model!O80+Model!P80+Model!Q80</f>
        <v/>
      </c>
      <c r="G26" s="8">
        <f>Model!R80+Model!S80+Model!T80</f>
        <v/>
      </c>
      <c r="H26" s="8">
        <f>Model!U80+Model!V80+Model!W80</f>
        <v/>
      </c>
      <c r="I26" s="8">
        <f>Model!X80+Model!Y80+Model!Z80</f>
        <v/>
      </c>
      <c r="J26" s="8">
        <f>Model!AA80+Model!AB80+Model!AC80</f>
        <v/>
      </c>
      <c r="K26" s="8">
        <f>Model!AD80+Model!AE80+Model!AF80</f>
        <v/>
      </c>
      <c r="L26" s="8">
        <f>Model!AG80+Model!AH80+Model!AI80</f>
        <v/>
      </c>
      <c r="M26" s="8">
        <f>Model!AJ80+Model!AK80+Model!AL80</f>
        <v/>
      </c>
      <c r="N26" s="8">
        <f>Model!AM80+Model!AN80+Model!AO80</f>
        <v/>
      </c>
      <c r="O26" s="8">
        <f>Model!AP80+Model!AQ80+Model!AR80</f>
        <v/>
      </c>
      <c r="P26" s="8">
        <f>Model!AS80+Model!AT80+Model!AU80</f>
        <v/>
      </c>
      <c r="Q26" s="8">
        <f>Model!AV80+Model!AW80+Model!AX80</f>
        <v/>
      </c>
      <c r="R26" s="8">
        <f>Model!AY80+Model!AZ80+Model!BA80</f>
        <v/>
      </c>
      <c r="S26" s="8">
        <f>Model!BB80+Model!BC80+Model!BD80</f>
        <v/>
      </c>
      <c r="T26" s="8">
        <f>Model!BE80+Model!BF80+Model!BG80</f>
        <v/>
      </c>
      <c r="U26" s="8">
        <f>Model!BH80+Model!BI80+Model!BJ80</f>
        <v/>
      </c>
      <c r="V26" s="8">
        <f>Model!BK80+Model!BL80+Model!BM80</f>
        <v/>
      </c>
      <c r="W26" s="8">
        <f>Model!BN80+Model!BO80+Model!BP80</f>
        <v/>
      </c>
      <c r="X26" s="8">
        <f>Model!BQ80+Model!BR80+Model!BS80</f>
        <v/>
      </c>
      <c r="Y26" s="8">
        <f>Model!BT80+Model!BU80+Model!BV80</f>
        <v/>
      </c>
      <c r="Z26" s="8">
        <f>Model!BW80+Model!BX80+Model!BY80</f>
        <v/>
      </c>
      <c r="AA26" s="8">
        <f>Model!BZ80+Model!CA80+Model!CB80</f>
        <v/>
      </c>
      <c r="AB26" s="8">
        <f>Model!CC80+Model!CD80+Model!CE80</f>
        <v/>
      </c>
      <c r="AC26" s="8">
        <f>Model!CF80+Model!CG80+Model!CH80</f>
        <v/>
      </c>
    </row>
    <row r="27" ht="15" customHeight="1" s="201">
      <c r="A27" s="7" t="inlineStr">
        <is>
          <t xml:space="preserve">  Liquidity Guarantee Fee</t>
        </is>
      </c>
      <c r="B27" s="8">
        <f>Model!C81+Model!D81+Model!E81</f>
        <v/>
      </c>
      <c r="C27" s="8">
        <f>Model!F81+Model!G81+Model!H81</f>
        <v/>
      </c>
      <c r="D27" s="8">
        <f>Model!I81+Model!J81+Model!K81</f>
        <v/>
      </c>
      <c r="E27" s="8">
        <f>Model!L81+Model!M81+Model!N81</f>
        <v/>
      </c>
      <c r="F27" s="8">
        <f>Model!O81+Model!P81+Model!Q81</f>
        <v/>
      </c>
      <c r="G27" s="8">
        <f>Model!R81+Model!S81+Model!T81</f>
        <v/>
      </c>
      <c r="H27" s="8">
        <f>Model!U81+Model!V81+Model!W81</f>
        <v/>
      </c>
      <c r="I27" s="8">
        <f>Model!X81+Model!Y81+Model!Z81</f>
        <v/>
      </c>
      <c r="J27" s="8">
        <f>Model!AA81+Model!AB81+Model!AC81</f>
        <v/>
      </c>
      <c r="K27" s="8">
        <f>Model!AD81+Model!AE81+Model!AF81</f>
        <v/>
      </c>
      <c r="L27" s="8">
        <f>Model!AG81+Model!AH81+Model!AI81</f>
        <v/>
      </c>
      <c r="M27" s="8">
        <f>Model!AJ81+Model!AK81+Model!AL81</f>
        <v/>
      </c>
      <c r="N27" s="8">
        <f>Model!AM81+Model!AN81+Model!AO81</f>
        <v/>
      </c>
      <c r="O27" s="8">
        <f>Model!AP81+Model!AQ81+Model!AR81</f>
        <v/>
      </c>
      <c r="P27" s="8">
        <f>Model!AS81+Model!AT81+Model!AU81</f>
        <v/>
      </c>
      <c r="Q27" s="8">
        <f>Model!AV81+Model!AW81+Model!AX81</f>
        <v/>
      </c>
      <c r="R27" s="8">
        <f>Model!AY81+Model!AZ81+Model!BA81</f>
        <v/>
      </c>
      <c r="S27" s="8">
        <f>Model!BB81+Model!BC81+Model!BD81</f>
        <v/>
      </c>
      <c r="T27" s="8">
        <f>Model!BE81+Model!BF81+Model!BG81</f>
        <v/>
      </c>
      <c r="U27" s="8">
        <f>Model!BH81+Model!BI81+Model!BJ81</f>
        <v/>
      </c>
      <c r="V27" s="8">
        <f>Model!BK81+Model!BL81+Model!BM81</f>
        <v/>
      </c>
      <c r="W27" s="8">
        <f>Model!BN81+Model!BO81+Model!BP81</f>
        <v/>
      </c>
      <c r="X27" s="8">
        <f>Model!BQ81+Model!BR81+Model!BS81</f>
        <v/>
      </c>
      <c r="Y27" s="8">
        <f>Model!BT81+Model!BU81+Model!BV81</f>
        <v/>
      </c>
      <c r="Z27" s="8">
        <f>Model!BW81+Model!BX81+Model!BY81</f>
        <v/>
      </c>
      <c r="AA27" s="8">
        <f>Model!BZ81+Model!CA81+Model!CB81</f>
        <v/>
      </c>
      <c r="AB27" s="8">
        <f>Model!CC81+Model!CD81+Model!CE81</f>
        <v/>
      </c>
      <c r="AC27" s="8">
        <f>Model!CF81+Model!CG81+Model!CH81</f>
        <v/>
      </c>
    </row>
    <row r="28" ht="15" customHeight="1" s="201">
      <c r="A28" s="7" t="inlineStr">
        <is>
          <t xml:space="preserve">  Francis Steyn Fee + PIK (LIHTC)</t>
        </is>
      </c>
      <c r="B28" s="8">
        <f>Model!C82+Model!D82+Model!E82</f>
        <v/>
      </c>
      <c r="C28" s="8">
        <f>Model!F82+Model!G82+Model!H82</f>
        <v/>
      </c>
      <c r="D28" s="8">
        <f>Model!I82+Model!J82+Model!K82</f>
        <v/>
      </c>
      <c r="E28" s="8">
        <f>Model!L82+Model!M82+Model!N82</f>
        <v/>
      </c>
      <c r="F28" s="8">
        <f>Model!O82+Model!P82+Model!Q82</f>
        <v/>
      </c>
      <c r="G28" s="8">
        <f>Model!R82+Model!S82+Model!T82</f>
        <v/>
      </c>
      <c r="H28" s="8">
        <f>Model!U82+Model!V82+Model!W82</f>
        <v/>
      </c>
      <c r="I28" s="8">
        <f>Model!X82+Model!Y82+Model!Z82</f>
        <v/>
      </c>
      <c r="J28" s="8">
        <f>Model!AA82+Model!AB82+Model!AC82</f>
        <v/>
      </c>
      <c r="K28" s="8">
        <f>Model!AD82+Model!AE82+Model!AF82</f>
        <v/>
      </c>
      <c r="L28" s="8">
        <f>Model!AG82+Model!AH82+Model!AI82</f>
        <v/>
      </c>
      <c r="M28" s="8">
        <f>Model!AJ82+Model!AK82+Model!AL82</f>
        <v/>
      </c>
      <c r="N28" s="8">
        <f>Model!AM82+Model!AN82+Model!AO82</f>
        <v/>
      </c>
      <c r="O28" s="8">
        <f>Model!AP82+Model!AQ82+Model!AR82</f>
        <v/>
      </c>
      <c r="P28" s="8">
        <f>Model!AS82+Model!AT82+Model!AU82</f>
        <v/>
      </c>
      <c r="Q28" s="8">
        <f>Model!AV82+Model!AW82+Model!AX82</f>
        <v/>
      </c>
      <c r="R28" s="8">
        <f>Model!AY82+Model!AZ82+Model!BA82</f>
        <v/>
      </c>
      <c r="S28" s="8">
        <f>Model!BB82+Model!BC82+Model!BD82</f>
        <v/>
      </c>
      <c r="T28" s="8">
        <f>Model!BE82+Model!BF82+Model!BG82</f>
        <v/>
      </c>
      <c r="U28" s="8">
        <f>Model!BH82+Model!BI82+Model!BJ82</f>
        <v/>
      </c>
      <c r="V28" s="8">
        <f>Model!BK82+Model!BL82+Model!BM82</f>
        <v/>
      </c>
      <c r="W28" s="8">
        <f>Model!BN82+Model!BO82+Model!BP82</f>
        <v/>
      </c>
      <c r="X28" s="8">
        <f>Model!BQ82+Model!BR82+Model!BS82</f>
        <v/>
      </c>
      <c r="Y28" s="8">
        <f>Model!BT82+Model!BU82+Model!BV82</f>
        <v/>
      </c>
      <c r="Z28" s="8">
        <f>Model!BW82+Model!BX82+Model!BY82</f>
        <v/>
      </c>
      <c r="AA28" s="8">
        <f>Model!BZ82+Model!CA82+Model!CB82</f>
        <v/>
      </c>
      <c r="AB28" s="8">
        <f>Model!CC82+Model!CD82+Model!CE82</f>
        <v/>
      </c>
      <c r="AC28" s="8">
        <f>Model!CF82+Model!CG82+Model!CH82</f>
        <v/>
      </c>
    </row>
    <row r="29" ht="15" customHeight="1" s="201">
      <c r="A29" s="7" t="inlineStr">
        <is>
          <t xml:space="preserve">  Reseda Steyn Fee + PIK (LIHTC)</t>
        </is>
      </c>
      <c r="B29" s="8">
        <f>Model!C83+Model!D83+Model!E83</f>
        <v/>
      </c>
      <c r="C29" s="8">
        <f>Model!F83+Model!G83+Model!H83</f>
        <v/>
      </c>
      <c r="D29" s="8">
        <f>Model!I83+Model!J83+Model!K83</f>
        <v/>
      </c>
      <c r="E29" s="8">
        <f>Model!L83+Model!M83+Model!N83</f>
        <v/>
      </c>
      <c r="F29" s="8">
        <f>Model!O83+Model!P83+Model!Q83</f>
        <v/>
      </c>
      <c r="G29" s="8">
        <f>Model!R83+Model!S83+Model!T83</f>
        <v/>
      </c>
      <c r="H29" s="8">
        <f>Model!U83+Model!V83+Model!W83</f>
        <v/>
      </c>
      <c r="I29" s="8">
        <f>Model!X83+Model!Y83+Model!Z83</f>
        <v/>
      </c>
      <c r="J29" s="8">
        <f>Model!AA83+Model!AB83+Model!AC83</f>
        <v/>
      </c>
      <c r="K29" s="8">
        <f>Model!AD83+Model!AE83+Model!AF83</f>
        <v/>
      </c>
      <c r="L29" s="8">
        <f>Model!AG83+Model!AH83+Model!AI83</f>
        <v/>
      </c>
      <c r="M29" s="8">
        <f>Model!AJ83+Model!AK83+Model!AL83</f>
        <v/>
      </c>
      <c r="N29" s="8">
        <f>Model!AM83+Model!AN83+Model!AO83</f>
        <v/>
      </c>
      <c r="O29" s="8">
        <f>Model!AP83+Model!AQ83+Model!AR83</f>
        <v/>
      </c>
      <c r="P29" s="8">
        <f>Model!AS83+Model!AT83+Model!AU83</f>
        <v/>
      </c>
      <c r="Q29" s="8">
        <f>Model!AV83+Model!AW83+Model!AX83</f>
        <v/>
      </c>
      <c r="R29" s="8">
        <f>Model!AY83+Model!AZ83+Model!BA83</f>
        <v/>
      </c>
      <c r="S29" s="8">
        <f>Model!BB83+Model!BC83+Model!BD83</f>
        <v/>
      </c>
      <c r="T29" s="8">
        <f>Model!BE83+Model!BF83+Model!BG83</f>
        <v/>
      </c>
      <c r="U29" s="8">
        <f>Model!BH83+Model!BI83+Model!BJ83</f>
        <v/>
      </c>
      <c r="V29" s="8">
        <f>Model!BK83+Model!BL83+Model!BM83</f>
        <v/>
      </c>
      <c r="W29" s="8">
        <f>Model!BN83+Model!BO83+Model!BP83</f>
        <v/>
      </c>
      <c r="X29" s="8">
        <f>Model!BQ83+Model!BR83+Model!BS83</f>
        <v/>
      </c>
      <c r="Y29" s="8">
        <f>Model!BT83+Model!BU83+Model!BV83</f>
        <v/>
      </c>
      <c r="Z29" s="8">
        <f>Model!BW83+Model!BX83+Model!BY83</f>
        <v/>
      </c>
      <c r="AA29" s="8">
        <f>Model!BZ83+Model!CA83+Model!CB83</f>
        <v/>
      </c>
      <c r="AB29" s="8">
        <f>Model!CC83+Model!CD83+Model!CE83</f>
        <v/>
      </c>
      <c r="AC29" s="8">
        <f>Model!CF83+Model!CG83+Model!CH83</f>
        <v/>
      </c>
    </row>
    <row r="30" ht="15" customHeight="1" s="201">
      <c r="A30" s="7" t="inlineStr">
        <is>
          <t xml:space="preserve">  3rd St Steyn Fee + PIK (LIHTC)</t>
        </is>
      </c>
      <c r="B30" s="8">
        <f>Model!C84+Model!D84+Model!E84</f>
        <v/>
      </c>
      <c r="C30" s="8">
        <f>Model!F84+Model!G84+Model!H84</f>
        <v/>
      </c>
      <c r="D30" s="8">
        <f>Model!I84+Model!J84+Model!K84</f>
        <v/>
      </c>
      <c r="E30" s="8">
        <f>Model!L84+Model!M84+Model!N84</f>
        <v/>
      </c>
      <c r="F30" s="8">
        <f>Model!O84+Model!P84+Model!Q84</f>
        <v/>
      </c>
      <c r="G30" s="8">
        <f>Model!R84+Model!S84+Model!T84</f>
        <v/>
      </c>
      <c r="H30" s="8">
        <f>Model!U84+Model!V84+Model!W84</f>
        <v/>
      </c>
      <c r="I30" s="8">
        <f>Model!X84+Model!Y84+Model!Z84</f>
        <v/>
      </c>
      <c r="J30" s="8">
        <f>Model!AA84+Model!AB84+Model!AC84</f>
        <v/>
      </c>
      <c r="K30" s="8">
        <f>Model!AD84+Model!AE84+Model!AF84</f>
        <v/>
      </c>
      <c r="L30" s="8">
        <f>Model!AG84+Model!AH84+Model!AI84</f>
        <v/>
      </c>
      <c r="M30" s="8">
        <f>Model!AJ84+Model!AK84+Model!AL84</f>
        <v/>
      </c>
      <c r="N30" s="8">
        <f>Model!AM84+Model!AN84+Model!AO84</f>
        <v/>
      </c>
      <c r="O30" s="8">
        <f>Model!AP84+Model!AQ84+Model!AR84</f>
        <v/>
      </c>
      <c r="P30" s="8">
        <f>Model!AS84+Model!AT84+Model!AU84</f>
        <v/>
      </c>
      <c r="Q30" s="8">
        <f>Model!AV84+Model!AW84+Model!AX84</f>
        <v/>
      </c>
      <c r="R30" s="8">
        <f>Model!AY84+Model!AZ84+Model!BA84</f>
        <v/>
      </c>
      <c r="S30" s="8">
        <f>Model!BB84+Model!BC84+Model!BD84</f>
        <v/>
      </c>
      <c r="T30" s="8">
        <f>Model!BE84+Model!BF84+Model!BG84</f>
        <v/>
      </c>
      <c r="U30" s="8">
        <f>Model!BH84+Model!BI84+Model!BJ84</f>
        <v/>
      </c>
      <c r="V30" s="8">
        <f>Model!BK84+Model!BL84+Model!BM84</f>
        <v/>
      </c>
      <c r="W30" s="8">
        <f>Model!BN84+Model!BO84+Model!BP84</f>
        <v/>
      </c>
      <c r="X30" s="8">
        <f>Model!BQ84+Model!BR84+Model!BS84</f>
        <v/>
      </c>
      <c r="Y30" s="8">
        <f>Model!BT84+Model!BU84+Model!BV84</f>
        <v/>
      </c>
      <c r="Z30" s="8">
        <f>Model!BW84+Model!BX84+Model!BY84</f>
        <v/>
      </c>
      <c r="AA30" s="8">
        <f>Model!BZ84+Model!CA84+Model!CB84</f>
        <v/>
      </c>
      <c r="AB30" s="8">
        <f>Model!CC84+Model!CD84+Model!CE84</f>
        <v/>
      </c>
      <c r="AC30" s="8">
        <f>Model!CF84+Model!CG84+Model!CH84</f>
        <v/>
      </c>
    </row>
    <row r="31" ht="15" customHeight="1" s="20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</row>
    <row r="32" ht="15" customHeight="1" s="201">
      <c r="A32" s="6" t="inlineStr">
        <is>
          <t>Debt Facilities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 ht="15" customHeight="1" s="201">
      <c r="A33" s="7" t="inlineStr">
        <is>
          <t xml:space="preserve">  Debt Facility Payment</t>
        </is>
      </c>
      <c r="B33" s="8">
        <f>Model!C101+Model!D101+Model!E101</f>
        <v/>
      </c>
      <c r="C33" s="8">
        <f>Model!F101+Model!G101+Model!H101</f>
        <v/>
      </c>
      <c r="D33" s="8">
        <f>Model!I101+Model!J101+Model!K101</f>
        <v/>
      </c>
      <c r="E33" s="8">
        <f>Model!L101+Model!M101+Model!N101</f>
        <v/>
      </c>
      <c r="F33" s="8">
        <f>Model!O101+Model!P101+Model!Q101</f>
        <v/>
      </c>
      <c r="G33" s="8">
        <f>Model!R101+Model!S101+Model!T101</f>
        <v/>
      </c>
      <c r="H33" s="8">
        <f>Model!U101+Model!V101+Model!W101</f>
        <v/>
      </c>
      <c r="I33" s="8">
        <f>Model!X101+Model!Y101+Model!Z101</f>
        <v/>
      </c>
      <c r="J33" s="8">
        <f>Model!AA101+Model!AB101+Model!AC101</f>
        <v/>
      </c>
      <c r="K33" s="8">
        <f>Model!AD101+Model!AE101+Model!AF101</f>
        <v/>
      </c>
      <c r="L33" s="8">
        <f>Model!AG101+Model!AH101+Model!AI101</f>
        <v/>
      </c>
      <c r="M33" s="8">
        <f>Model!AJ101+Model!AK101+Model!AL101</f>
        <v/>
      </c>
      <c r="N33" s="8">
        <f>Model!AM101+Model!AN101+Model!AO101</f>
        <v/>
      </c>
      <c r="O33" s="8">
        <f>Model!AP101+Model!AQ101+Model!AR101</f>
        <v/>
      </c>
      <c r="P33" s="8">
        <f>Model!AS101+Model!AT101+Model!AU101</f>
        <v/>
      </c>
      <c r="Q33" s="8">
        <f>Model!AV101+Model!AW101+Model!AX101</f>
        <v/>
      </c>
      <c r="R33" s="8">
        <f>Model!AY101+Model!AZ101+Model!BA101</f>
        <v/>
      </c>
      <c r="S33" s="8">
        <f>Model!BB101+Model!BC101+Model!BD101</f>
        <v/>
      </c>
      <c r="T33" s="8">
        <f>Model!BE101+Model!BF101+Model!BG101</f>
        <v/>
      </c>
      <c r="U33" s="8">
        <f>Model!BH101+Model!BI101+Model!BJ101</f>
        <v/>
      </c>
      <c r="V33" s="8">
        <f>Model!BK101+Model!BL101+Model!BM101</f>
        <v/>
      </c>
      <c r="W33" s="8">
        <f>Model!BN101+Model!BO101+Model!BP101</f>
        <v/>
      </c>
      <c r="X33" s="8">
        <f>Model!BQ101+Model!BR101+Model!BS101</f>
        <v/>
      </c>
      <c r="Y33" s="8">
        <f>Model!BT101+Model!BU101+Model!BV101</f>
        <v/>
      </c>
      <c r="Z33" s="8">
        <f>Model!BW101+Model!BX101+Model!BY101</f>
        <v/>
      </c>
      <c r="AA33" s="8">
        <f>Model!BZ101+Model!CA101+Model!CB101</f>
        <v/>
      </c>
      <c r="AB33" s="8">
        <f>Model!CC101+Model!CD101+Model!CE101</f>
        <v/>
      </c>
      <c r="AC33" s="8">
        <f>Model!CF101+Model!CG101+Model!CH101</f>
        <v/>
      </c>
    </row>
    <row r="34" ht="15" customHeight="1" s="201">
      <c r="A34" s="7" t="inlineStr">
        <is>
          <t xml:space="preserve">  Debt Facility Balance</t>
        </is>
      </c>
      <c r="B34" s="8">
        <f>Model!E102</f>
        <v/>
      </c>
      <c r="C34" s="8">
        <f>Model!H102</f>
        <v/>
      </c>
      <c r="D34" s="8">
        <f>Model!K102</f>
        <v/>
      </c>
      <c r="E34" s="8">
        <f>Model!N102</f>
        <v/>
      </c>
      <c r="F34" s="8">
        <f>Model!Q102</f>
        <v/>
      </c>
      <c r="G34" s="8">
        <f>Model!T102</f>
        <v/>
      </c>
      <c r="H34" s="8">
        <f>Model!W102</f>
        <v/>
      </c>
      <c r="I34" s="8">
        <f>Model!Z102</f>
        <v/>
      </c>
      <c r="J34" s="8">
        <f>Model!AC102</f>
        <v/>
      </c>
      <c r="K34" s="8">
        <f>Model!AF102</f>
        <v/>
      </c>
      <c r="L34" s="8">
        <f>Model!AI102</f>
        <v/>
      </c>
      <c r="M34" s="8">
        <f>Model!AL102</f>
        <v/>
      </c>
      <c r="N34" s="8">
        <f>Model!AO102</f>
        <v/>
      </c>
      <c r="O34" s="8">
        <f>Model!AR102</f>
        <v/>
      </c>
      <c r="P34" s="8">
        <f>Model!AU102</f>
        <v/>
      </c>
      <c r="Q34" s="8">
        <f>Model!AX102</f>
        <v/>
      </c>
      <c r="R34" s="8">
        <f>Model!BA102</f>
        <v/>
      </c>
      <c r="S34" s="8">
        <f>Model!BD102</f>
        <v/>
      </c>
      <c r="T34" s="8">
        <f>Model!BG102</f>
        <v/>
      </c>
      <c r="U34" s="8">
        <f>Model!BJ102</f>
        <v/>
      </c>
      <c r="V34" s="8">
        <f>Model!BM102</f>
        <v/>
      </c>
      <c r="W34" s="8">
        <f>Model!BP102</f>
        <v/>
      </c>
      <c r="X34" s="8">
        <f>Model!BS102</f>
        <v/>
      </c>
      <c r="Y34" s="8">
        <f>Model!BV102</f>
        <v/>
      </c>
      <c r="Z34" s="8">
        <f>Model!BY102</f>
        <v/>
      </c>
      <c r="AA34" s="8">
        <f>Model!CB102</f>
        <v/>
      </c>
      <c r="AB34" s="8">
        <f>Model!CE102</f>
        <v/>
      </c>
      <c r="AC34" s="8">
        <f>Model!CH102</f>
        <v/>
      </c>
    </row>
    <row r="35" ht="15" customHeight="1" s="201">
      <c r="A35" s="7" t="inlineStr">
        <is>
          <t xml:space="preserve">  Row Run Capital Payment</t>
        </is>
      </c>
      <c r="B35" s="8">
        <f>Model!C107+Model!D107+Model!E107</f>
        <v/>
      </c>
      <c r="C35" s="8">
        <f>Model!F107+Model!G107+Model!H107</f>
        <v/>
      </c>
      <c r="D35" s="8">
        <f>Model!I107+Model!J107+Model!K107</f>
        <v/>
      </c>
      <c r="E35" s="8">
        <f>Model!L107+Model!M107+Model!N107</f>
        <v/>
      </c>
      <c r="F35" s="8">
        <f>Model!O107+Model!P107+Model!Q107</f>
        <v/>
      </c>
      <c r="G35" s="8">
        <f>Model!R107+Model!S107+Model!T107</f>
        <v/>
      </c>
      <c r="H35" s="8">
        <f>Model!U107+Model!V107+Model!W107</f>
        <v/>
      </c>
      <c r="I35" s="8">
        <f>Model!X107+Model!Y107+Model!Z107</f>
        <v/>
      </c>
      <c r="J35" s="8">
        <f>Model!AA107+Model!AB107+Model!AC107</f>
        <v/>
      </c>
      <c r="K35" s="8">
        <f>Model!AD107+Model!AE107+Model!AF107</f>
        <v/>
      </c>
      <c r="L35" s="8">
        <f>Model!AG107+Model!AH107+Model!AI107</f>
        <v/>
      </c>
      <c r="M35" s="8">
        <f>Model!AJ107+Model!AK107+Model!AL107</f>
        <v/>
      </c>
      <c r="N35" s="8">
        <f>Model!AM107+Model!AN107+Model!AO107</f>
        <v/>
      </c>
      <c r="O35" s="8">
        <f>Model!AP107+Model!AQ107+Model!AR107</f>
        <v/>
      </c>
      <c r="P35" s="8">
        <f>Model!AS107+Model!AT107+Model!AU107</f>
        <v/>
      </c>
      <c r="Q35" s="8">
        <f>Model!AV107+Model!AW107+Model!AX107</f>
        <v/>
      </c>
      <c r="R35" s="8">
        <f>Model!AY107+Model!AZ107+Model!BA107</f>
        <v/>
      </c>
      <c r="S35" s="8">
        <f>Model!BB107+Model!BC107+Model!BD107</f>
        <v/>
      </c>
      <c r="T35" s="8">
        <f>Model!BE107+Model!BF107+Model!BG107</f>
        <v/>
      </c>
      <c r="U35" s="8">
        <f>Model!BH107+Model!BI107+Model!BJ107</f>
        <v/>
      </c>
      <c r="V35" s="8">
        <f>Model!BK107+Model!BL107+Model!BM107</f>
        <v/>
      </c>
      <c r="W35" s="8">
        <f>Model!BN107+Model!BO107+Model!BP107</f>
        <v/>
      </c>
      <c r="X35" s="8">
        <f>Model!BQ107+Model!BR107+Model!BS107</f>
        <v/>
      </c>
      <c r="Y35" s="8">
        <f>Model!BT107+Model!BU107+Model!BV107</f>
        <v/>
      </c>
      <c r="Z35" s="8">
        <f>Model!BW107+Model!BX107+Model!BY107</f>
        <v/>
      </c>
      <c r="AA35" s="8">
        <f>Model!BZ107+Model!CA107+Model!CB107</f>
        <v/>
      </c>
      <c r="AB35" s="8">
        <f>Model!CC107+Model!CD107+Model!CE107</f>
        <v/>
      </c>
      <c r="AC35" s="8">
        <f>Model!CF107+Model!CG107+Model!CH107</f>
        <v/>
      </c>
    </row>
    <row r="36" ht="15" customHeight="1" s="201">
      <c r="A36" s="7" t="inlineStr">
        <is>
          <t xml:space="preserve">  Row Run Capital Balance</t>
        </is>
      </c>
      <c r="B36" s="8">
        <f>Model!E108</f>
        <v/>
      </c>
      <c r="C36" s="8">
        <f>Model!H108</f>
        <v/>
      </c>
      <c r="D36" s="8">
        <f>Model!K108</f>
        <v/>
      </c>
      <c r="E36" s="8">
        <f>Model!N108</f>
        <v/>
      </c>
      <c r="F36" s="8">
        <f>Model!Q108</f>
        <v/>
      </c>
      <c r="G36" s="8">
        <f>Model!T108</f>
        <v/>
      </c>
      <c r="H36" s="8">
        <f>Model!W108</f>
        <v/>
      </c>
      <c r="I36" s="8">
        <f>Model!Z108</f>
        <v/>
      </c>
      <c r="J36" s="8">
        <f>Model!AC108</f>
        <v/>
      </c>
      <c r="K36" s="8">
        <f>Model!AF108</f>
        <v/>
      </c>
      <c r="L36" s="8">
        <f>Model!AI108</f>
        <v/>
      </c>
      <c r="M36" s="8">
        <f>Model!AL108</f>
        <v/>
      </c>
      <c r="N36" s="8">
        <f>Model!AO108</f>
        <v/>
      </c>
      <c r="O36" s="8">
        <f>Model!AR108</f>
        <v/>
      </c>
      <c r="P36" s="8">
        <f>Model!AU108</f>
        <v/>
      </c>
      <c r="Q36" s="8">
        <f>Model!AX108</f>
        <v/>
      </c>
      <c r="R36" s="8">
        <f>Model!BA108</f>
        <v/>
      </c>
      <c r="S36" s="8">
        <f>Model!BD108</f>
        <v/>
      </c>
      <c r="T36" s="8">
        <f>Model!BG108</f>
        <v/>
      </c>
      <c r="U36" s="8">
        <f>Model!BJ108</f>
        <v/>
      </c>
      <c r="V36" s="8">
        <f>Model!BM108</f>
        <v/>
      </c>
      <c r="W36" s="8">
        <f>Model!BP108</f>
        <v/>
      </c>
      <c r="X36" s="8">
        <f>Model!BS108</f>
        <v/>
      </c>
      <c r="Y36" s="8">
        <f>Model!BV108</f>
        <v/>
      </c>
      <c r="Z36" s="8">
        <f>Model!BY108</f>
        <v/>
      </c>
      <c r="AA36" s="8">
        <f>Model!CB108</f>
        <v/>
      </c>
      <c r="AB36" s="8">
        <f>Model!CE108</f>
        <v/>
      </c>
      <c r="AC36" s="8">
        <f>Model!CH108</f>
        <v/>
      </c>
    </row>
    <row r="37" ht="15" customHeight="1" s="201">
      <c r="A37" s="7" t="inlineStr">
        <is>
          <t xml:space="preserve">  PIK Repayment (in Steyn + PIK above)</t>
        </is>
      </c>
      <c r="B37" s="8">
        <f>Model!C155+Model!D155+Model!E155</f>
        <v/>
      </c>
      <c r="C37" s="8">
        <f>Model!F155+Model!G155+Model!H155</f>
        <v/>
      </c>
      <c r="D37" s="8">
        <f>Model!I155+Model!J155+Model!K155</f>
        <v/>
      </c>
      <c r="E37" s="8">
        <f>Model!L155+Model!M155+Model!N155</f>
        <v/>
      </c>
      <c r="F37" s="8">
        <f>Model!O155+Model!P155+Model!Q155</f>
        <v/>
      </c>
      <c r="G37" s="8">
        <f>Model!R155+Model!S155+Model!T155</f>
        <v/>
      </c>
      <c r="H37" s="8">
        <f>Model!U155+Model!V155+Model!W155</f>
        <v/>
      </c>
      <c r="I37" s="8">
        <f>Model!X155+Model!Y155+Model!Z155</f>
        <v/>
      </c>
      <c r="J37" s="8">
        <f>Model!AA155+Model!AB155+Model!AC155</f>
        <v/>
      </c>
      <c r="K37" s="8">
        <f>Model!AD155+Model!AE155+Model!AF155</f>
        <v/>
      </c>
      <c r="L37" s="8">
        <f>Model!AG155+Model!AH155+Model!AI155</f>
        <v/>
      </c>
      <c r="M37" s="8">
        <f>Model!AJ155+Model!AK155+Model!AL155</f>
        <v/>
      </c>
      <c r="N37" s="8">
        <f>Model!AM155+Model!AN155+Model!AO155</f>
        <v/>
      </c>
      <c r="O37" s="8">
        <f>Model!AP155+Model!AQ155+Model!AR155</f>
        <v/>
      </c>
      <c r="P37" s="8">
        <f>Model!AS155+Model!AT155+Model!AU155</f>
        <v/>
      </c>
      <c r="Q37" s="8">
        <f>Model!AV155+Model!AW155+Model!AX155</f>
        <v/>
      </c>
      <c r="R37" s="8">
        <f>Model!AY155+Model!AZ155+Model!BA155</f>
        <v/>
      </c>
      <c r="S37" s="8">
        <f>Model!BB155+Model!BC155+Model!BD155</f>
        <v/>
      </c>
      <c r="T37" s="8">
        <f>Model!BE155+Model!BF155+Model!BG155</f>
        <v/>
      </c>
      <c r="U37" s="8">
        <f>Model!BH155+Model!BI155+Model!BJ155</f>
        <v/>
      </c>
      <c r="V37" s="8">
        <f>Model!BK155+Model!BL155+Model!BM155</f>
        <v/>
      </c>
      <c r="W37" s="8">
        <f>Model!BN155+Model!BO155+Model!BP155</f>
        <v/>
      </c>
      <c r="X37" s="8">
        <f>Model!BQ155+Model!BR155+Model!BS155</f>
        <v/>
      </c>
      <c r="Y37" s="8">
        <f>Model!BT155+Model!BU155+Model!BV155</f>
        <v/>
      </c>
      <c r="Z37" s="8">
        <f>Model!BW155+Model!BX155+Model!BY155</f>
        <v/>
      </c>
      <c r="AA37" s="8">
        <f>Model!BZ155+Model!CA155+Model!CB155</f>
        <v/>
      </c>
      <c r="AB37" s="8">
        <f>Model!CC155+Model!CD155+Model!CE155</f>
        <v/>
      </c>
      <c r="AC37" s="8">
        <f>Model!CF155+Model!CG155+Model!CH155</f>
        <v/>
      </c>
    </row>
    <row r="38" ht="15" customHeight="1" s="201">
      <c r="A38" s="7" t="inlineStr">
        <is>
          <t xml:space="preserve">  Investment Capital Outstanding</t>
        </is>
      </c>
      <c r="B38" s="8">
        <f>Model!E115+Model!E120+Model!E125+Model!E130</f>
        <v/>
      </c>
      <c r="C38" s="8">
        <f>Model!H115+Model!H120+Model!H125+Model!H130</f>
        <v/>
      </c>
      <c r="D38" s="8">
        <f>Model!K115+Model!K120+Model!K125+Model!K130</f>
        <v/>
      </c>
      <c r="E38" s="8">
        <f>Model!N127</f>
        <v/>
      </c>
      <c r="F38" s="8">
        <f>Model!Q127</f>
        <v/>
      </c>
      <c r="G38" s="8">
        <f>Model!T127</f>
        <v/>
      </c>
      <c r="H38" s="8">
        <f>Model!W127</f>
        <v/>
      </c>
      <c r="I38" s="8">
        <f>Model!Z127</f>
        <v/>
      </c>
      <c r="J38" s="8">
        <f>Model!AC127</f>
        <v/>
      </c>
      <c r="K38" s="8">
        <f>Model!AF127</f>
        <v/>
      </c>
      <c r="L38" s="8">
        <f>Model!AI127</f>
        <v/>
      </c>
      <c r="M38" s="8">
        <f>Model!AL127</f>
        <v/>
      </c>
      <c r="N38" s="8">
        <f>Model!AO127</f>
        <v/>
      </c>
      <c r="O38" s="8">
        <f>Model!AR127</f>
        <v/>
      </c>
      <c r="P38" s="8">
        <f>Model!AU127</f>
        <v/>
      </c>
      <c r="Q38" s="8">
        <f>Model!AX127</f>
        <v/>
      </c>
      <c r="R38" s="8">
        <f>Model!BA127</f>
        <v/>
      </c>
      <c r="S38" s="8">
        <f>Model!BD127</f>
        <v/>
      </c>
      <c r="T38" s="8">
        <f>Model!BG127</f>
        <v/>
      </c>
      <c r="U38" s="8">
        <f>Model!BJ127</f>
        <v/>
      </c>
      <c r="V38" s="8">
        <f>Model!BM127</f>
        <v/>
      </c>
      <c r="W38" s="8">
        <f>Model!BP127</f>
        <v/>
      </c>
      <c r="X38" s="8">
        <f>Model!BS127</f>
        <v/>
      </c>
      <c r="Y38" s="8">
        <f>Model!BV127</f>
        <v/>
      </c>
      <c r="Z38" s="8">
        <f>Model!BY127</f>
        <v/>
      </c>
      <c r="AA38" s="8">
        <f>Model!CB127</f>
        <v/>
      </c>
      <c r="AB38" s="8">
        <f>Model!CE127</f>
        <v/>
      </c>
      <c r="AC38" s="8">
        <f>Model!CH127</f>
        <v/>
      </c>
    </row>
    <row r="39" ht="15" customHeight="1" s="20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</row>
    <row r="40" ht="15" customHeight="1" s="201">
      <c r="A40" s="7" t="inlineStr">
        <is>
          <t>Bonding Outstanding</t>
        </is>
      </c>
      <c r="B40" s="8">
        <f>Model!E141</f>
        <v/>
      </c>
      <c r="C40" s="8">
        <f>Model!H141</f>
        <v/>
      </c>
      <c r="D40" s="8">
        <f>Model!K141</f>
        <v/>
      </c>
      <c r="E40" s="8">
        <f>Model!N141</f>
        <v/>
      </c>
      <c r="F40" s="8">
        <f>Model!Q141</f>
        <v/>
      </c>
      <c r="G40" s="8">
        <f>Model!T141</f>
        <v/>
      </c>
      <c r="H40" s="8">
        <f>Model!W141</f>
        <v/>
      </c>
      <c r="I40" s="8">
        <f>Model!Z141</f>
        <v/>
      </c>
      <c r="J40" s="8">
        <f>Model!AC141</f>
        <v/>
      </c>
      <c r="K40" s="8">
        <f>Model!AF141</f>
        <v/>
      </c>
      <c r="L40" s="8">
        <f>Model!AI141</f>
        <v/>
      </c>
      <c r="M40" s="8">
        <f>Model!AL141</f>
        <v/>
      </c>
      <c r="N40" s="8">
        <f>Model!AO141</f>
        <v/>
      </c>
      <c r="O40" s="8">
        <f>Model!AR141</f>
        <v/>
      </c>
      <c r="P40" s="8">
        <f>Model!AU141</f>
        <v/>
      </c>
      <c r="Q40" s="8">
        <f>Model!AX141</f>
        <v/>
      </c>
      <c r="R40" s="8">
        <f>Model!BA141</f>
        <v/>
      </c>
      <c r="S40" s="8">
        <f>Model!BD141</f>
        <v/>
      </c>
      <c r="T40" s="8">
        <f>Model!BG141</f>
        <v/>
      </c>
      <c r="U40" s="8">
        <f>Model!BJ141</f>
        <v/>
      </c>
      <c r="V40" s="8">
        <f>Model!BM141</f>
        <v/>
      </c>
      <c r="W40" s="8">
        <f>Model!BP141</f>
        <v/>
      </c>
      <c r="X40" s="8">
        <f>Model!BS141</f>
        <v/>
      </c>
      <c r="Y40" s="8">
        <f>Model!BV141</f>
        <v/>
      </c>
      <c r="Z40" s="8">
        <f>Model!BY141</f>
        <v/>
      </c>
      <c r="AA40" s="8">
        <f>Model!CB141</f>
        <v/>
      </c>
      <c r="AB40" s="8">
        <f>Model!CE141</f>
        <v/>
      </c>
      <c r="AC40" s="8">
        <f>Model!CH141</f>
        <v/>
      </c>
    </row>
    <row r="41" ht="15" customHeight="1" s="20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</row>
    <row r="42" ht="15" customHeight="1" s="201">
      <c r="A42" s="18" t="inlineStr">
        <is>
          <t>LV Ending Cash</t>
        </is>
      </c>
      <c r="B42" s="19">
        <f>Model!E148</f>
        <v/>
      </c>
      <c r="C42" s="19">
        <f>Model!H148</f>
        <v/>
      </c>
      <c r="D42" s="19">
        <f>Model!K148</f>
        <v/>
      </c>
      <c r="E42" s="19">
        <f>Model!N148</f>
        <v/>
      </c>
      <c r="F42" s="19">
        <f>Model!Q148</f>
        <v/>
      </c>
      <c r="G42" s="19">
        <f>Model!T148</f>
        <v/>
      </c>
      <c r="H42" s="19">
        <f>Model!W148</f>
        <v/>
      </c>
      <c r="I42" s="19">
        <f>Model!Z148</f>
        <v/>
      </c>
      <c r="J42" s="19">
        <f>Model!AC148</f>
        <v/>
      </c>
      <c r="K42" s="19">
        <f>Model!AF148</f>
        <v/>
      </c>
      <c r="L42" s="19">
        <f>Model!AI148</f>
        <v/>
      </c>
      <c r="M42" s="19">
        <f>Model!AL148</f>
        <v/>
      </c>
      <c r="N42" s="19">
        <f>Model!AO148</f>
        <v/>
      </c>
      <c r="O42" s="19">
        <f>Model!AR148</f>
        <v/>
      </c>
      <c r="P42" s="19">
        <f>Model!AU148</f>
        <v/>
      </c>
      <c r="Q42" s="19">
        <f>Model!AX148</f>
        <v/>
      </c>
      <c r="R42" s="19">
        <f>Model!BA148</f>
        <v/>
      </c>
      <c r="S42" s="19">
        <f>Model!BD148</f>
        <v/>
      </c>
      <c r="T42" s="19">
        <f>Model!BG148</f>
        <v/>
      </c>
      <c r="U42" s="19">
        <f>Model!BJ148</f>
        <v/>
      </c>
      <c r="V42" s="19">
        <f>Model!BM148</f>
        <v/>
      </c>
      <c r="W42" s="19">
        <f>Model!BP148</f>
        <v/>
      </c>
      <c r="X42" s="19">
        <f>Model!BS148</f>
        <v/>
      </c>
      <c r="Y42" s="19">
        <f>Model!BV148</f>
        <v/>
      </c>
      <c r="Z42" s="19">
        <f>Model!BY148</f>
        <v/>
      </c>
      <c r="AA42" s="19">
        <f>Model!CB148</f>
        <v/>
      </c>
      <c r="AB42" s="19">
        <f>Model!CE148</f>
        <v/>
      </c>
      <c r="AC42" s="19">
        <f>Model!CH148</f>
        <v/>
      </c>
    </row>
    <row r="43" ht="15" customHeight="1" s="201">
      <c r="A43" s="18" t="inlineStr">
        <is>
          <t>SP Ending Cash</t>
        </is>
      </c>
      <c r="B43" s="19">
        <f>Model!E156</f>
        <v/>
      </c>
      <c r="C43" s="19">
        <f>Model!H156</f>
        <v/>
      </c>
      <c r="D43" s="19">
        <f>Model!K156</f>
        <v/>
      </c>
      <c r="E43" s="19">
        <f>Model!N156</f>
        <v/>
      </c>
      <c r="F43" s="19">
        <f>Model!Q156</f>
        <v/>
      </c>
      <c r="G43" s="19">
        <f>Model!T156</f>
        <v/>
      </c>
      <c r="H43" s="19">
        <f>Model!W156</f>
        <v/>
      </c>
      <c r="I43" s="19">
        <f>Model!Z156</f>
        <v/>
      </c>
      <c r="J43" s="19">
        <f>Model!AC156</f>
        <v/>
      </c>
      <c r="K43" s="19">
        <f>Model!AF156</f>
        <v/>
      </c>
      <c r="L43" s="19">
        <f>Model!AI156</f>
        <v/>
      </c>
      <c r="M43" s="19">
        <f>Model!AL156</f>
        <v/>
      </c>
      <c r="N43" s="19">
        <f>Model!AO156</f>
        <v/>
      </c>
      <c r="O43" s="19">
        <f>Model!AR156</f>
        <v/>
      </c>
      <c r="P43" s="19">
        <f>Model!AU156</f>
        <v/>
      </c>
      <c r="Q43" s="19">
        <f>Model!AX156</f>
        <v/>
      </c>
      <c r="R43" s="19">
        <f>Model!BA156</f>
        <v/>
      </c>
      <c r="S43" s="19">
        <f>Model!BD156</f>
        <v/>
      </c>
      <c r="T43" s="19">
        <f>Model!BG156</f>
        <v/>
      </c>
      <c r="U43" s="19">
        <f>Model!BJ156</f>
        <v/>
      </c>
      <c r="V43" s="19">
        <f>Model!BM156</f>
        <v/>
      </c>
      <c r="W43" s="19">
        <f>Model!BP156</f>
        <v/>
      </c>
      <c r="X43" s="19">
        <f>Model!BS156</f>
        <v/>
      </c>
      <c r="Y43" s="19">
        <f>Model!BV156</f>
        <v/>
      </c>
      <c r="Z43" s="19">
        <f>Model!BY156</f>
        <v/>
      </c>
      <c r="AA43" s="19">
        <f>Model!CB156</f>
        <v/>
      </c>
      <c r="AB43" s="19">
        <f>Model!CE156</f>
        <v/>
      </c>
      <c r="AC43" s="19">
        <f>Model!CH156</f>
        <v/>
      </c>
    </row>
    <row r="44" ht="15" customHeight="1" s="201">
      <c r="A44" s="18" t="inlineStr">
        <is>
          <t>Tax Distribution (30% Consol NI)</t>
        </is>
      </c>
      <c r="B44" s="19">
        <f>Model!C160+Model!D160+Model!E160</f>
        <v/>
      </c>
      <c r="C44" s="19">
        <f>Model!F160+Model!G160+Model!H160</f>
        <v/>
      </c>
      <c r="D44" s="19">
        <f>Model!I160+Model!J160+Model!K160</f>
        <v/>
      </c>
      <c r="E44" s="19">
        <f>Model!L160+Model!M160+Model!N160</f>
        <v/>
      </c>
      <c r="F44" s="19">
        <f>Model!O160+Model!P160+Model!Q160</f>
        <v/>
      </c>
      <c r="G44" s="19">
        <f>Model!R160+Model!S160+Model!T160</f>
        <v/>
      </c>
      <c r="H44" s="19">
        <f>Model!U160+Model!V160+Model!W160</f>
        <v/>
      </c>
      <c r="I44" s="19">
        <f>Model!X160+Model!Y160+Model!Z160</f>
        <v/>
      </c>
      <c r="J44" s="19">
        <f>Model!AA160+Model!AB160+Model!AC160</f>
        <v/>
      </c>
      <c r="K44" s="19">
        <f>Model!AD160+Model!AE160+Model!AF160</f>
        <v/>
      </c>
      <c r="L44" s="19">
        <f>Model!AG160+Model!AH160+Model!AI160</f>
        <v/>
      </c>
      <c r="M44" s="19">
        <f>Model!AJ160+Model!AK160+Model!AL160</f>
        <v/>
      </c>
      <c r="N44" s="19">
        <f>Model!AM160+Model!AN160+Model!AO160</f>
        <v/>
      </c>
      <c r="O44" s="19">
        <f>Model!AP160+Model!AQ160+Model!AR160</f>
        <v/>
      </c>
      <c r="P44" s="19">
        <f>Model!AS160+Model!AT160+Model!AU160</f>
        <v/>
      </c>
      <c r="Q44" s="19">
        <f>Model!AV160+Model!AW160+Model!AX160</f>
        <v/>
      </c>
      <c r="R44" s="19">
        <f>Model!AY160+Model!AZ160+Model!BA160</f>
        <v/>
      </c>
      <c r="S44" s="19">
        <f>Model!BB160+Model!BC160+Model!BD160</f>
        <v/>
      </c>
      <c r="T44" s="19">
        <f>Model!BE160+Model!BF160+Model!BG160</f>
        <v/>
      </c>
      <c r="U44" s="19">
        <f>Model!BH160+Model!BI160+Model!BJ160</f>
        <v/>
      </c>
      <c r="V44" s="19">
        <f>Model!BK160+Model!BL160+Model!BM160</f>
        <v/>
      </c>
      <c r="W44" s="19">
        <f>Model!BN160+Model!BO160+Model!BP160</f>
        <v/>
      </c>
      <c r="X44" s="19">
        <f>Model!BQ160+Model!BR160+Model!BS160</f>
        <v/>
      </c>
      <c r="Y44" s="19">
        <f>Model!BT160+Model!BU160+Model!BV160</f>
        <v/>
      </c>
      <c r="Z44" s="19">
        <f>Model!BW160+Model!BX160+Model!BY160</f>
        <v/>
      </c>
      <c r="AA44" s="19">
        <f>Model!BZ160+Model!CA160+Model!CB160</f>
        <v/>
      </c>
      <c r="AB44" s="19">
        <f>Model!CC160+Model!CD160+Model!CE160</f>
        <v/>
      </c>
      <c r="AC44" s="19">
        <f>Model!CF160+Model!CG160+Model!CH160</f>
        <v/>
      </c>
    </row>
    <row r="45" ht="15" customHeight="1" s="201">
      <c r="A45" s="20" t="inlineStr">
        <is>
          <t>Total Ending Cash</t>
        </is>
      </c>
      <c r="B45" s="21">
        <f>Model!E161</f>
        <v/>
      </c>
      <c r="C45" s="21">
        <f>Model!H161</f>
        <v/>
      </c>
      <c r="D45" s="21">
        <f>Model!K161</f>
        <v/>
      </c>
      <c r="E45" s="21">
        <f>Model!N161</f>
        <v/>
      </c>
      <c r="F45" s="21">
        <f>Model!Q161</f>
        <v/>
      </c>
      <c r="G45" s="21">
        <f>Model!T161</f>
        <v/>
      </c>
      <c r="H45" s="21">
        <f>Model!W161</f>
        <v/>
      </c>
      <c r="I45" s="21">
        <f>Model!Z161</f>
        <v/>
      </c>
      <c r="J45" s="21">
        <f>Model!AC161</f>
        <v/>
      </c>
      <c r="K45" s="21">
        <f>Model!AF161</f>
        <v/>
      </c>
      <c r="L45" s="21">
        <f>Model!AI161</f>
        <v/>
      </c>
      <c r="M45" s="21">
        <f>Model!AL161</f>
        <v/>
      </c>
      <c r="N45" s="21">
        <f>Model!AO161</f>
        <v/>
      </c>
      <c r="O45" s="21">
        <f>Model!AR161</f>
        <v/>
      </c>
      <c r="P45" s="21">
        <f>Model!AU161</f>
        <v/>
      </c>
      <c r="Q45" s="21">
        <f>Model!AX161</f>
        <v/>
      </c>
      <c r="R45" s="21">
        <f>Model!BA161</f>
        <v/>
      </c>
      <c r="S45" s="21">
        <f>Model!BD161</f>
        <v/>
      </c>
      <c r="T45" s="21">
        <f>Model!BG161</f>
        <v/>
      </c>
      <c r="U45" s="21">
        <f>Model!BJ161</f>
        <v/>
      </c>
      <c r="V45" s="21">
        <f>Model!BM161</f>
        <v/>
      </c>
      <c r="W45" s="21">
        <f>Model!BP161</f>
        <v/>
      </c>
      <c r="X45" s="21">
        <f>Model!BS161</f>
        <v/>
      </c>
      <c r="Y45" s="21">
        <f>Model!BV161</f>
        <v/>
      </c>
      <c r="Z45" s="21">
        <f>Model!BY161</f>
        <v/>
      </c>
      <c r="AA45" s="21">
        <f>Model!CB161</f>
        <v/>
      </c>
      <c r="AB45" s="21">
        <f>Model!CE161</f>
        <v/>
      </c>
      <c r="AC45" s="21">
        <f>Model!CH161</f>
        <v/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C3A51"/>
    <outlinePr summaryBelow="1" summaryRight="1"/>
    <pageSetUpPr/>
  </sheetPr>
  <dimension ref="A1:CH5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" sqref="A1"/>
    </sheetView>
  </sheetViews>
  <sheetFormatPr baseColWidth="8" defaultColWidth="8.7109375" defaultRowHeight="15" customHeight="1"/>
  <cols>
    <col width="28" customWidth="1" style="201" min="1" max="1"/>
    <col width="14" customWidth="1" style="201" min="2" max="86"/>
  </cols>
  <sheetData>
    <row r="1" ht="17.25" customHeight="1" s="201">
      <c r="A1" s="200" t="inlineStr">
        <is>
          <t>Six Peak Capital - GC + Developer Deal Profitability (Net of Steyn Fees)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</row>
    <row r="2" ht="15" customHeight="1" s="201">
      <c r="A2" s="2" t="n"/>
      <c r="B2" s="2" t="n"/>
      <c r="C2" s="24" t="n">
        <v>46113</v>
      </c>
      <c r="D2" s="24" t="n">
        <v>46143</v>
      </c>
      <c r="E2" s="24" t="n">
        <v>46174</v>
      </c>
      <c r="F2" s="24" t="n">
        <v>46204</v>
      </c>
      <c r="G2" s="24" t="n">
        <v>46235</v>
      </c>
      <c r="H2" s="24" t="n">
        <v>46266</v>
      </c>
      <c r="I2" s="24" t="n">
        <v>46296</v>
      </c>
      <c r="J2" s="24" t="n">
        <v>46327</v>
      </c>
      <c r="K2" s="24" t="n">
        <v>46357</v>
      </c>
      <c r="L2" s="24" t="n">
        <v>46388</v>
      </c>
      <c r="M2" s="24" t="n">
        <v>46419</v>
      </c>
      <c r="N2" s="24" t="n">
        <v>46447</v>
      </c>
      <c r="O2" s="24" t="n">
        <v>46478</v>
      </c>
      <c r="P2" s="24" t="n">
        <v>46508</v>
      </c>
      <c r="Q2" s="24" t="n">
        <v>46539</v>
      </c>
      <c r="R2" s="24" t="n">
        <v>46569</v>
      </c>
      <c r="S2" s="24" t="n">
        <v>46600</v>
      </c>
      <c r="T2" s="24" t="n">
        <v>46631</v>
      </c>
      <c r="U2" s="24" t="n">
        <v>46661</v>
      </c>
      <c r="V2" s="24" t="n">
        <v>46692</v>
      </c>
      <c r="W2" s="24" t="n">
        <v>46722</v>
      </c>
      <c r="X2" s="24" t="n">
        <v>46753</v>
      </c>
      <c r="Y2" s="24" t="n">
        <v>46784</v>
      </c>
      <c r="Z2" s="24" t="n">
        <v>46813</v>
      </c>
      <c r="AA2" s="24" t="n">
        <v>46844</v>
      </c>
      <c r="AB2" s="24" t="n">
        <v>46874</v>
      </c>
      <c r="AC2" s="24" t="n">
        <v>46905</v>
      </c>
      <c r="AD2" s="24" t="n">
        <v>46935</v>
      </c>
      <c r="AE2" s="24" t="n">
        <v>46966</v>
      </c>
      <c r="AF2" s="24" t="n">
        <v>46997</v>
      </c>
      <c r="AG2" s="24" t="n">
        <v>47027</v>
      </c>
      <c r="AH2" s="24" t="n">
        <v>47058</v>
      </c>
      <c r="AI2" s="24" t="n">
        <v>47088</v>
      </c>
      <c r="AJ2" s="24" t="n">
        <v>47119</v>
      </c>
      <c r="AK2" s="24" t="n">
        <v>47150</v>
      </c>
      <c r="AL2" s="24" t="n">
        <v>47178</v>
      </c>
      <c r="AM2" s="24" t="n">
        <v>47209</v>
      </c>
      <c r="AN2" s="24" t="n">
        <v>47239</v>
      </c>
      <c r="AO2" s="24" t="n">
        <v>47270</v>
      </c>
      <c r="AP2" s="24" t="n">
        <v>47300</v>
      </c>
      <c r="AQ2" s="24" t="n">
        <v>47331</v>
      </c>
      <c r="AR2" s="24" t="n">
        <v>47362</v>
      </c>
      <c r="AS2" s="24" t="n">
        <v>47392</v>
      </c>
      <c r="AT2" s="24" t="n">
        <v>47423</v>
      </c>
      <c r="AU2" s="24" t="n">
        <v>47453</v>
      </c>
      <c r="AV2" s="24" t="n">
        <v>47484</v>
      </c>
      <c r="AW2" s="24" t="n">
        <v>47515</v>
      </c>
      <c r="AX2" s="24" t="n">
        <v>47543</v>
      </c>
      <c r="AY2" s="24" t="n">
        <v>47574</v>
      </c>
      <c r="AZ2" s="24" t="n">
        <v>47604</v>
      </c>
      <c r="BA2" s="24" t="n">
        <v>47635</v>
      </c>
      <c r="BB2" s="24" t="n">
        <v>47665</v>
      </c>
      <c r="BC2" s="24" t="n">
        <v>47696</v>
      </c>
      <c r="BD2" s="24" t="n">
        <v>47727</v>
      </c>
      <c r="BE2" s="24" t="n">
        <v>47757</v>
      </c>
      <c r="BF2" s="24" t="n">
        <v>47788</v>
      </c>
      <c r="BG2" s="24" t="n">
        <v>47818</v>
      </c>
      <c r="BH2" s="24" t="n">
        <v>47849</v>
      </c>
      <c r="BI2" s="24" t="n">
        <v>47880</v>
      </c>
      <c r="BJ2" s="24" t="n">
        <v>47908</v>
      </c>
      <c r="BK2" s="24" t="n">
        <v>47939</v>
      </c>
      <c r="BL2" s="24" t="n">
        <v>47969</v>
      </c>
      <c r="BM2" s="24" t="n">
        <v>48000</v>
      </c>
      <c r="BN2" s="24" t="n">
        <v>48030</v>
      </c>
      <c r="BO2" s="24" t="n">
        <v>48061</v>
      </c>
      <c r="BP2" s="24" t="n">
        <v>48092</v>
      </c>
      <c r="BQ2" s="24" t="n">
        <v>48122</v>
      </c>
      <c r="BR2" s="24" t="n">
        <v>48153</v>
      </c>
      <c r="BS2" s="24" t="n">
        <v>48183</v>
      </c>
      <c r="BT2" s="24" t="n">
        <v>48214</v>
      </c>
      <c r="BU2" s="24" t="n">
        <v>48245</v>
      </c>
      <c r="BV2" s="24" t="n">
        <v>48274</v>
      </c>
      <c r="BW2" s="24" t="n">
        <v>48305</v>
      </c>
      <c r="BX2" s="24" t="n">
        <v>48335</v>
      </c>
      <c r="BY2" s="24" t="n">
        <v>48366</v>
      </c>
      <c r="BZ2" s="24" t="n">
        <v>48396</v>
      </c>
      <c r="CA2" s="24" t="n">
        <v>48427</v>
      </c>
      <c r="CB2" s="24" t="n">
        <v>48458</v>
      </c>
      <c r="CC2" s="24" t="n">
        <v>48488</v>
      </c>
      <c r="CD2" s="24" t="n">
        <v>48519</v>
      </c>
      <c r="CE2" s="24" t="n">
        <v>48549</v>
      </c>
      <c r="CF2" s="24" t="n">
        <v>48580</v>
      </c>
      <c r="CG2" s="24" t="n">
        <v>48611</v>
      </c>
      <c r="CH2" s="24" t="n">
        <v>48639</v>
      </c>
    </row>
    <row r="3" ht="15" customHeight="1" s="201">
      <c r="A3" s="6" t="inlineStr">
        <is>
          <t>Crenshaw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</row>
    <row r="4" ht="15" customHeight="1" s="201">
      <c r="A4" s="16" t="inlineStr">
        <is>
          <t xml:space="preserve">  Revenue</t>
        </is>
      </c>
      <c r="B4" s="1" t="n"/>
      <c r="C4" s="66">
        <f>Model!C52</f>
        <v/>
      </c>
      <c r="D4" s="66">
        <f>Model!D52</f>
        <v/>
      </c>
      <c r="E4" s="66">
        <f>Model!E52</f>
        <v/>
      </c>
      <c r="F4" s="66">
        <f>Model!F52</f>
        <v/>
      </c>
      <c r="G4" s="66">
        <f>Model!G52</f>
        <v/>
      </c>
      <c r="H4" s="66">
        <f>Model!H52</f>
        <v/>
      </c>
      <c r="I4" s="66">
        <f>Model!I52</f>
        <v/>
      </c>
      <c r="J4" s="66">
        <f>Model!J52</f>
        <v/>
      </c>
      <c r="K4" s="66">
        <f>Model!K52</f>
        <v/>
      </c>
      <c r="L4" s="66">
        <f>Model!L52</f>
        <v/>
      </c>
      <c r="M4" s="66">
        <f>Model!M52</f>
        <v/>
      </c>
      <c r="N4" s="66">
        <f>Model!N52</f>
        <v/>
      </c>
      <c r="O4" s="66">
        <f>Model!O52</f>
        <v/>
      </c>
      <c r="P4" s="66">
        <f>Model!P52</f>
        <v/>
      </c>
      <c r="Q4" s="66">
        <f>Model!Q52</f>
        <v/>
      </c>
      <c r="R4" s="66">
        <f>Model!R52</f>
        <v/>
      </c>
      <c r="S4" s="66">
        <f>Model!S52</f>
        <v/>
      </c>
      <c r="T4" s="66">
        <f>Model!T52</f>
        <v/>
      </c>
      <c r="U4" s="66">
        <f>Model!U52</f>
        <v/>
      </c>
      <c r="V4" s="66">
        <f>Model!V52</f>
        <v/>
      </c>
      <c r="W4" s="66">
        <f>Model!W52</f>
        <v/>
      </c>
      <c r="X4" s="66">
        <f>Model!X52</f>
        <v/>
      </c>
      <c r="Y4" s="66">
        <f>Model!Y52</f>
        <v/>
      </c>
      <c r="Z4" s="66">
        <f>Model!Z52</f>
        <v/>
      </c>
      <c r="AA4" s="66">
        <f>Model!AA52</f>
        <v/>
      </c>
      <c r="AB4" s="66">
        <f>Model!AB52</f>
        <v/>
      </c>
      <c r="AC4" s="66">
        <f>Model!AC52</f>
        <v/>
      </c>
      <c r="AD4" s="66">
        <f>Model!AD52</f>
        <v/>
      </c>
      <c r="AE4" s="66">
        <f>Model!AE52</f>
        <v/>
      </c>
      <c r="AF4" s="66">
        <f>Model!AF52</f>
        <v/>
      </c>
      <c r="AG4" s="66">
        <f>Model!AG52</f>
        <v/>
      </c>
      <c r="AH4" s="66">
        <f>Model!AH52</f>
        <v/>
      </c>
      <c r="AI4" s="66">
        <f>Model!AI52</f>
        <v/>
      </c>
      <c r="AJ4" s="66">
        <f>Model!AJ52</f>
        <v/>
      </c>
      <c r="AK4" s="66">
        <f>Model!AK52</f>
        <v/>
      </c>
      <c r="AL4" s="66">
        <f>Model!AL52</f>
        <v/>
      </c>
      <c r="AM4" s="66">
        <f>Model!AM52</f>
        <v/>
      </c>
      <c r="AN4" s="66">
        <f>Model!AN52</f>
        <v/>
      </c>
      <c r="AO4" s="66">
        <f>Model!AO52</f>
        <v/>
      </c>
      <c r="AP4" s="66">
        <f>Model!AP52</f>
        <v/>
      </c>
      <c r="AQ4" s="66">
        <f>Model!AQ52</f>
        <v/>
      </c>
      <c r="AR4" s="66">
        <f>Model!AR52</f>
        <v/>
      </c>
      <c r="AS4" s="66">
        <f>Model!AS52</f>
        <v/>
      </c>
      <c r="AT4" s="66">
        <f>Model!AT52</f>
        <v/>
      </c>
      <c r="AU4" s="66">
        <f>Model!AU52</f>
        <v/>
      </c>
      <c r="AV4" s="66">
        <f>Model!AV52</f>
        <v/>
      </c>
      <c r="AW4" s="66">
        <f>Model!AW52</f>
        <v/>
      </c>
      <c r="AX4" s="66">
        <f>Model!AX52</f>
        <v/>
      </c>
      <c r="AY4" s="66">
        <f>Model!AY52</f>
        <v/>
      </c>
      <c r="AZ4" s="66">
        <f>Model!AZ52</f>
        <v/>
      </c>
      <c r="BA4" s="66">
        <f>Model!BA52</f>
        <v/>
      </c>
      <c r="BB4" s="66">
        <f>Model!BB52</f>
        <v/>
      </c>
      <c r="BC4" s="66">
        <f>Model!BC52</f>
        <v/>
      </c>
      <c r="BD4" s="66">
        <f>Model!BD52</f>
        <v/>
      </c>
      <c r="BE4" s="66">
        <f>Model!BE52</f>
        <v/>
      </c>
      <c r="BF4" s="66">
        <f>Model!BF52</f>
        <v/>
      </c>
      <c r="BG4" s="66">
        <f>Model!BG52</f>
        <v/>
      </c>
      <c r="BH4" s="66">
        <f>Model!BH52</f>
        <v/>
      </c>
      <c r="BI4" s="66">
        <f>Model!BI52</f>
        <v/>
      </c>
      <c r="BJ4" s="66">
        <f>Model!BJ52</f>
        <v/>
      </c>
      <c r="BK4" s="66">
        <f>Model!BK52</f>
        <v/>
      </c>
      <c r="BL4" s="66">
        <f>Model!BL52</f>
        <v/>
      </c>
      <c r="BM4" s="66">
        <f>Model!BM52</f>
        <v/>
      </c>
      <c r="BN4" s="66">
        <f>Model!BN52</f>
        <v/>
      </c>
      <c r="BO4" s="66">
        <f>Model!BO52</f>
        <v/>
      </c>
      <c r="BP4" s="66">
        <f>Model!BP52</f>
        <v/>
      </c>
      <c r="BQ4" s="66">
        <f>Model!BQ52</f>
        <v/>
      </c>
      <c r="BR4" s="66">
        <f>Model!BR52</f>
        <v/>
      </c>
      <c r="BS4" s="66">
        <f>Model!BS52</f>
        <v/>
      </c>
      <c r="BT4" s="66">
        <f>Model!BT52</f>
        <v/>
      </c>
      <c r="BU4" s="66">
        <f>Model!BU52</f>
        <v/>
      </c>
      <c r="BV4" s="66">
        <f>Model!BV52</f>
        <v/>
      </c>
      <c r="BW4" s="66">
        <f>Model!BW52</f>
        <v/>
      </c>
      <c r="BX4" s="66">
        <f>Model!BX52</f>
        <v/>
      </c>
      <c r="BY4" s="66">
        <f>Model!BY52</f>
        <v/>
      </c>
      <c r="BZ4" s="66">
        <f>Model!BZ52</f>
        <v/>
      </c>
      <c r="CA4" s="66">
        <f>Model!CA52</f>
        <v/>
      </c>
      <c r="CB4" s="66">
        <f>Model!CB52</f>
        <v/>
      </c>
      <c r="CC4" s="66">
        <f>Model!CC52</f>
        <v/>
      </c>
      <c r="CD4" s="66">
        <f>Model!CD52</f>
        <v/>
      </c>
      <c r="CE4" s="66">
        <f>Model!CE52</f>
        <v/>
      </c>
      <c r="CF4" s="66">
        <f>Model!CF52</f>
        <v/>
      </c>
      <c r="CG4" s="66">
        <f>Model!CG52</f>
        <v/>
      </c>
      <c r="CH4" s="66">
        <f>Model!CH52</f>
        <v/>
      </c>
    </row>
    <row r="5" ht="15" customHeight="1" s="201">
      <c r="A5" s="28" t="inlineStr">
        <is>
          <t xml:space="preserve">  Net to Six Peak</t>
        </is>
      </c>
      <c r="B5" s="28" t="n"/>
      <c r="C5" s="67">
        <f>C4</f>
        <v/>
      </c>
      <c r="D5" s="67">
        <f>D4</f>
        <v/>
      </c>
      <c r="E5" s="67">
        <f>E4</f>
        <v/>
      </c>
      <c r="F5" s="67">
        <f>F4</f>
        <v/>
      </c>
      <c r="G5" s="67">
        <f>G4</f>
        <v/>
      </c>
      <c r="H5" s="67">
        <f>H4</f>
        <v/>
      </c>
      <c r="I5" s="67">
        <f>I4</f>
        <v/>
      </c>
      <c r="J5" s="67">
        <f>J4</f>
        <v/>
      </c>
      <c r="K5" s="67">
        <f>K4</f>
        <v/>
      </c>
      <c r="L5" s="67">
        <f>L4</f>
        <v/>
      </c>
      <c r="M5" s="67">
        <f>M4</f>
        <v/>
      </c>
      <c r="N5" s="67">
        <f>N4</f>
        <v/>
      </c>
      <c r="O5" s="67">
        <f>O4</f>
        <v/>
      </c>
      <c r="P5" s="67">
        <f>P4</f>
        <v/>
      </c>
      <c r="Q5" s="67">
        <f>Q4</f>
        <v/>
      </c>
      <c r="R5" s="67">
        <f>R4</f>
        <v/>
      </c>
      <c r="S5" s="67">
        <f>S4</f>
        <v/>
      </c>
      <c r="T5" s="67">
        <f>T4</f>
        <v/>
      </c>
      <c r="U5" s="67">
        <f>U4</f>
        <v/>
      </c>
      <c r="V5" s="67">
        <f>V4</f>
        <v/>
      </c>
      <c r="W5" s="67">
        <f>W4</f>
        <v/>
      </c>
      <c r="X5" s="67">
        <f>X4</f>
        <v/>
      </c>
      <c r="Y5" s="67">
        <f>Y4</f>
        <v/>
      </c>
      <c r="Z5" s="67">
        <f>Z4</f>
        <v/>
      </c>
      <c r="AA5" s="67">
        <f>AA4</f>
        <v/>
      </c>
      <c r="AB5" s="67">
        <f>AB4</f>
        <v/>
      </c>
      <c r="AC5" s="67">
        <f>AC4</f>
        <v/>
      </c>
      <c r="AD5" s="67">
        <f>AD4</f>
        <v/>
      </c>
      <c r="AE5" s="67">
        <f>AE4</f>
        <v/>
      </c>
      <c r="AF5" s="67">
        <f>AF4</f>
        <v/>
      </c>
      <c r="AG5" s="67">
        <f>AG4</f>
        <v/>
      </c>
      <c r="AH5" s="67">
        <f>AH4</f>
        <v/>
      </c>
      <c r="AI5" s="67">
        <f>AI4</f>
        <v/>
      </c>
      <c r="AJ5" s="67">
        <f>AJ4</f>
        <v/>
      </c>
      <c r="AK5" s="67">
        <f>AK4</f>
        <v/>
      </c>
      <c r="AL5" s="67">
        <f>AL4</f>
        <v/>
      </c>
      <c r="AM5" s="67">
        <f>AM4</f>
        <v/>
      </c>
      <c r="AN5" s="67">
        <f>AN4</f>
        <v/>
      </c>
      <c r="AO5" s="67">
        <f>AO4</f>
        <v/>
      </c>
      <c r="AP5" s="67">
        <f>AP4</f>
        <v/>
      </c>
      <c r="AQ5" s="67">
        <f>AQ4</f>
        <v/>
      </c>
      <c r="AR5" s="67">
        <f>AR4</f>
        <v/>
      </c>
      <c r="AS5" s="67">
        <f>AS4</f>
        <v/>
      </c>
      <c r="AT5" s="67">
        <f>AT4</f>
        <v/>
      </c>
      <c r="AU5" s="67">
        <f>AU4</f>
        <v/>
      </c>
      <c r="AV5" s="67">
        <f>AV4</f>
        <v/>
      </c>
      <c r="AW5" s="67">
        <f>AW4</f>
        <v/>
      </c>
      <c r="AX5" s="67">
        <f>AX4</f>
        <v/>
      </c>
      <c r="AY5" s="67">
        <f>AY4</f>
        <v/>
      </c>
      <c r="AZ5" s="67">
        <f>AZ4</f>
        <v/>
      </c>
      <c r="BA5" s="67">
        <f>BA4</f>
        <v/>
      </c>
      <c r="BB5" s="67">
        <f>BB4</f>
        <v/>
      </c>
      <c r="BC5" s="67">
        <f>BC4</f>
        <v/>
      </c>
      <c r="BD5" s="67">
        <f>BD4</f>
        <v/>
      </c>
      <c r="BE5" s="67">
        <f>BE4</f>
        <v/>
      </c>
      <c r="BF5" s="67">
        <f>BF4</f>
        <v/>
      </c>
      <c r="BG5" s="67">
        <f>BG4</f>
        <v/>
      </c>
      <c r="BH5" s="67">
        <f>BH4</f>
        <v/>
      </c>
      <c r="BI5" s="67">
        <f>BI4</f>
        <v/>
      </c>
      <c r="BJ5" s="67">
        <f>BJ4</f>
        <v/>
      </c>
      <c r="BK5" s="67">
        <f>BK4</f>
        <v/>
      </c>
      <c r="BL5" s="67">
        <f>BL4</f>
        <v/>
      </c>
      <c r="BM5" s="67">
        <f>BM4</f>
        <v/>
      </c>
      <c r="BN5" s="67">
        <f>BN4</f>
        <v/>
      </c>
      <c r="BO5" s="67">
        <f>BO4</f>
        <v/>
      </c>
      <c r="BP5" s="67">
        <f>BP4</f>
        <v/>
      </c>
      <c r="BQ5" s="67">
        <f>BQ4</f>
        <v/>
      </c>
      <c r="BR5" s="67">
        <f>BR4</f>
        <v/>
      </c>
      <c r="BS5" s="67">
        <f>BS4</f>
        <v/>
      </c>
      <c r="BT5" s="67">
        <f>BT4</f>
        <v/>
      </c>
      <c r="BU5" s="67">
        <f>BU4</f>
        <v/>
      </c>
      <c r="BV5" s="67">
        <f>BV4</f>
        <v/>
      </c>
      <c r="BW5" s="67">
        <f>BW4</f>
        <v/>
      </c>
      <c r="BX5" s="67">
        <f>BX4</f>
        <v/>
      </c>
      <c r="BY5" s="67">
        <f>BY4</f>
        <v/>
      </c>
      <c r="BZ5" s="67">
        <f>BZ4</f>
        <v/>
      </c>
      <c r="CA5" s="67">
        <f>CA4</f>
        <v/>
      </c>
      <c r="CB5" s="67">
        <f>CB4</f>
        <v/>
      </c>
      <c r="CC5" s="67">
        <f>CC4</f>
        <v/>
      </c>
      <c r="CD5" s="67">
        <f>CD4</f>
        <v/>
      </c>
      <c r="CE5" s="67">
        <f>CE4</f>
        <v/>
      </c>
      <c r="CF5" s="67">
        <f>CF4</f>
        <v/>
      </c>
      <c r="CG5" s="67">
        <f>CG4</f>
        <v/>
      </c>
      <c r="CH5" s="67">
        <f>CH4</f>
        <v/>
      </c>
    </row>
    <row r="6" ht="15" customHeight="1" s="201">
      <c r="A6" s="60" t="inlineStr">
        <is>
          <t xml:space="preserve">  Cumulative Net</t>
        </is>
      </c>
      <c r="B6" s="1" t="n"/>
      <c r="C6" s="68">
        <f>C5</f>
        <v/>
      </c>
      <c r="D6" s="68">
        <f>C6+D5</f>
        <v/>
      </c>
      <c r="E6" s="68">
        <f>D6+E5</f>
        <v/>
      </c>
      <c r="F6" s="68">
        <f>E6+F5</f>
        <v/>
      </c>
      <c r="G6" s="68">
        <f>F6+G5</f>
        <v/>
      </c>
      <c r="H6" s="68">
        <f>G6+H5</f>
        <v/>
      </c>
      <c r="I6" s="68">
        <f>H6+I5</f>
        <v/>
      </c>
      <c r="J6" s="68">
        <f>I6+J5</f>
        <v/>
      </c>
      <c r="K6" s="68">
        <f>J6+K5</f>
        <v/>
      </c>
      <c r="L6" s="68">
        <f>K6+L5</f>
        <v/>
      </c>
      <c r="M6" s="68">
        <f>L6+M5</f>
        <v/>
      </c>
      <c r="N6" s="68">
        <f>M6+N5</f>
        <v/>
      </c>
      <c r="O6" s="68">
        <f>N6+O5</f>
        <v/>
      </c>
      <c r="P6" s="68">
        <f>O6+P5</f>
        <v/>
      </c>
      <c r="Q6" s="68">
        <f>P6+Q5</f>
        <v/>
      </c>
      <c r="R6" s="68">
        <f>Q6+R5</f>
        <v/>
      </c>
      <c r="S6" s="68">
        <f>R6+S5</f>
        <v/>
      </c>
      <c r="T6" s="68">
        <f>S6+T5</f>
        <v/>
      </c>
      <c r="U6" s="68">
        <f>T6+U5</f>
        <v/>
      </c>
      <c r="V6" s="68">
        <f>U6+V5</f>
        <v/>
      </c>
      <c r="W6" s="68">
        <f>V6+W5</f>
        <v/>
      </c>
      <c r="X6" s="68">
        <f>W6+X5</f>
        <v/>
      </c>
      <c r="Y6" s="68">
        <f>X6+Y5</f>
        <v/>
      </c>
      <c r="Z6" s="68">
        <f>Y6+Z5</f>
        <v/>
      </c>
      <c r="AA6" s="68">
        <f>Z6+AA5</f>
        <v/>
      </c>
      <c r="AB6" s="68">
        <f>AA6+AB5</f>
        <v/>
      </c>
      <c r="AC6" s="68">
        <f>AB6+AC5</f>
        <v/>
      </c>
      <c r="AD6" s="68">
        <f>AC6+AD5</f>
        <v/>
      </c>
      <c r="AE6" s="68">
        <f>AD6+AE5</f>
        <v/>
      </c>
      <c r="AF6" s="68">
        <f>AE6+AF5</f>
        <v/>
      </c>
      <c r="AG6" s="68">
        <f>AF6+AG5</f>
        <v/>
      </c>
      <c r="AH6" s="68">
        <f>AG6+AH5</f>
        <v/>
      </c>
      <c r="AI6" s="68">
        <f>AH6+AI5</f>
        <v/>
      </c>
      <c r="AJ6" s="68">
        <f>AI6+AJ5</f>
        <v/>
      </c>
      <c r="AK6" s="68">
        <f>AJ6+AK5</f>
        <v/>
      </c>
      <c r="AL6" s="68">
        <f>AK6+AL5</f>
        <v/>
      </c>
      <c r="AM6" s="68">
        <f>AL6+AM5</f>
        <v/>
      </c>
      <c r="AN6" s="68">
        <f>AM6+AN5</f>
        <v/>
      </c>
      <c r="AO6" s="68">
        <f>AN6+AO5</f>
        <v/>
      </c>
      <c r="AP6" s="68">
        <f>AO6+AP5</f>
        <v/>
      </c>
      <c r="AQ6" s="68">
        <f>AP6+AQ5</f>
        <v/>
      </c>
      <c r="AR6" s="68">
        <f>AQ6+AR5</f>
        <v/>
      </c>
      <c r="AS6" s="68">
        <f>AR6+AS5</f>
        <v/>
      </c>
      <c r="AT6" s="68">
        <f>AS6+AT5</f>
        <v/>
      </c>
      <c r="AU6" s="68">
        <f>AT6+AU5</f>
        <v/>
      </c>
      <c r="AV6" s="68">
        <f>AU6+AV5</f>
        <v/>
      </c>
      <c r="AW6" s="68">
        <f>AV6+AW5</f>
        <v/>
      </c>
      <c r="AX6" s="68">
        <f>AW6+AX5</f>
        <v/>
      </c>
      <c r="AY6" s="68">
        <f>AX6+AY5</f>
        <v/>
      </c>
      <c r="AZ6" s="68">
        <f>AY6+AZ5</f>
        <v/>
      </c>
      <c r="BA6" s="68">
        <f>AZ6+BA5</f>
        <v/>
      </c>
      <c r="BB6" s="68">
        <f>BA6+BB5</f>
        <v/>
      </c>
      <c r="BC6" s="68">
        <f>BB6+BC5</f>
        <v/>
      </c>
      <c r="BD6" s="68">
        <f>BC6+BD5</f>
        <v/>
      </c>
      <c r="BE6" s="68">
        <f>BD6+BE5</f>
        <v/>
      </c>
      <c r="BF6" s="68">
        <f>BE6+BF5</f>
        <v/>
      </c>
      <c r="BG6" s="68">
        <f>BF6+BG5</f>
        <v/>
      </c>
      <c r="BH6" s="68">
        <f>BG6+BH5</f>
        <v/>
      </c>
      <c r="BI6" s="68">
        <f>BH6+BI5</f>
        <v/>
      </c>
      <c r="BJ6" s="68">
        <f>BI6+BJ5</f>
        <v/>
      </c>
      <c r="BK6" s="68">
        <f>BJ6+BK5</f>
        <v/>
      </c>
      <c r="BL6" s="68">
        <f>BK6+BL5</f>
        <v/>
      </c>
      <c r="BM6" s="68">
        <f>BL6+BM5</f>
        <v/>
      </c>
      <c r="BN6" s="68">
        <f>BM6+BN5</f>
        <v/>
      </c>
      <c r="BO6" s="68">
        <f>BN6+BO5</f>
        <v/>
      </c>
      <c r="BP6" s="68">
        <f>BO6+BP5</f>
        <v/>
      </c>
      <c r="BQ6" s="68">
        <f>BP6+BQ5</f>
        <v/>
      </c>
      <c r="BR6" s="68">
        <f>BQ6+BR5</f>
        <v/>
      </c>
      <c r="BS6" s="68">
        <f>BR6+BS5</f>
        <v/>
      </c>
      <c r="BT6" s="68">
        <f>BS6+BT5</f>
        <v/>
      </c>
      <c r="BU6" s="68">
        <f>BT6+BU5</f>
        <v/>
      </c>
      <c r="BV6" s="68">
        <f>BU6+BV5</f>
        <v/>
      </c>
      <c r="BW6" s="68">
        <f>BV6+BW5</f>
        <v/>
      </c>
      <c r="BX6" s="68">
        <f>BW6+BX5</f>
        <v/>
      </c>
      <c r="BY6" s="68">
        <f>BX6+BY5</f>
        <v/>
      </c>
      <c r="BZ6" s="68">
        <f>BY6+BZ5</f>
        <v/>
      </c>
      <c r="CA6" s="68">
        <f>BZ6+CA5</f>
        <v/>
      </c>
      <c r="CB6" s="68">
        <f>CA6+CB5</f>
        <v/>
      </c>
      <c r="CC6" s="68">
        <f>CB6+CC5</f>
        <v/>
      </c>
      <c r="CD6" s="68">
        <f>CC6+CD5</f>
        <v/>
      </c>
      <c r="CE6" s="68">
        <f>CD6+CE5</f>
        <v/>
      </c>
      <c r="CF6" s="68">
        <f>CE6+CF5</f>
        <v/>
      </c>
      <c r="CG6" s="68">
        <f>CF6+CG5</f>
        <v/>
      </c>
      <c r="CH6" s="68">
        <f>CG6+CH5</f>
        <v/>
      </c>
    </row>
    <row r="7" ht="15" customHeight="1" s="20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  <c r="BA7" s="1" t="n"/>
      <c r="BB7" s="1" t="n"/>
      <c r="BC7" s="1" t="n"/>
      <c r="BD7" s="1" t="n"/>
      <c r="BE7" s="1" t="n"/>
      <c r="BF7" s="1" t="n"/>
      <c r="BG7" s="1" t="n"/>
      <c r="BH7" s="1" t="n"/>
      <c r="BI7" s="1" t="n"/>
      <c r="BJ7" s="1" t="n"/>
      <c r="BK7" s="1" t="n"/>
      <c r="BL7" s="1" t="n"/>
      <c r="BM7" s="1" t="n"/>
      <c r="BN7" s="1" t="n"/>
      <c r="BO7" s="1" t="n"/>
      <c r="BP7" s="1" t="n"/>
      <c r="BQ7" s="1" t="n"/>
      <c r="BR7" s="1" t="n"/>
      <c r="BS7" s="1" t="n"/>
      <c r="BT7" s="1" t="n"/>
      <c r="BU7" s="1" t="n"/>
      <c r="BV7" s="1" t="n"/>
      <c r="BW7" s="1" t="n"/>
      <c r="BX7" s="1" t="n"/>
      <c r="BY7" s="1" t="n"/>
      <c r="BZ7" s="1" t="n"/>
      <c r="CA7" s="1" t="n"/>
      <c r="CB7" s="1" t="n"/>
      <c r="CC7" s="1" t="n"/>
      <c r="CD7" s="1" t="n"/>
      <c r="CE7" s="1" t="n"/>
      <c r="CF7" s="1" t="n"/>
      <c r="CG7" s="1" t="n"/>
      <c r="CH7" s="1" t="n"/>
    </row>
    <row r="8" ht="15" customHeight="1" s="201">
      <c r="A8" s="6" t="inlineStr">
        <is>
          <t>Ramsgate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6" t="n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6" t="n"/>
      <c r="CE8" s="6" t="n"/>
      <c r="CF8" s="6" t="n"/>
      <c r="CG8" s="6" t="n"/>
      <c r="CH8" s="6" t="n"/>
    </row>
    <row r="9" ht="15" customHeight="1" s="201">
      <c r="A9" s="16" t="inlineStr">
        <is>
          <t xml:space="preserve">  Revenue</t>
        </is>
      </c>
      <c r="B9" s="1" t="n"/>
      <c r="C9" s="66">
        <f>Model!C48+Model!C49+Model!C50+Model!C51</f>
        <v/>
      </c>
      <c r="D9" s="66">
        <f>Model!D48+Model!D49+Model!D50+Model!D51</f>
        <v/>
      </c>
      <c r="E9" s="66">
        <f>Model!E48+Model!E49+Model!E50+Model!E51</f>
        <v/>
      </c>
      <c r="F9" s="66">
        <f>Model!F48+Model!F49+Model!F50+Model!F51</f>
        <v/>
      </c>
      <c r="G9" s="66">
        <f>Model!G48+Model!G49+Model!G50+Model!G51</f>
        <v/>
      </c>
      <c r="H9" s="66">
        <f>Model!H48+Model!H49+Model!H50+Model!H51</f>
        <v/>
      </c>
      <c r="I9" s="66">
        <f>Model!I48+Model!I49+Model!I50+Model!I51</f>
        <v/>
      </c>
      <c r="J9" s="66">
        <f>Model!J48+Model!J49+Model!J50+Model!J51</f>
        <v/>
      </c>
      <c r="K9" s="66">
        <f>Model!K48+Model!K49+Model!K50+Model!K51</f>
        <v/>
      </c>
      <c r="L9" s="66">
        <f>Model!L48+Model!L49+Model!L50+Model!L51</f>
        <v/>
      </c>
      <c r="M9" s="66">
        <f>Model!M48+Model!M49+Model!M50+Model!M51</f>
        <v/>
      </c>
      <c r="N9" s="66">
        <f>Model!N48+Model!N49+Model!N50+Model!N51</f>
        <v/>
      </c>
      <c r="O9" s="66">
        <f>Model!O48+Model!O49+Model!O50+Model!O51</f>
        <v/>
      </c>
      <c r="P9" s="66">
        <f>Model!P48+Model!P49+Model!P50+Model!P51</f>
        <v/>
      </c>
      <c r="Q9" s="66">
        <f>Model!Q48+Model!Q49+Model!Q50+Model!Q51</f>
        <v/>
      </c>
      <c r="R9" s="66">
        <f>Model!R48+Model!R49+Model!R50+Model!R51</f>
        <v/>
      </c>
      <c r="S9" s="66">
        <f>Model!S48+Model!S49+Model!S50+Model!S51</f>
        <v/>
      </c>
      <c r="T9" s="66">
        <f>Model!T48+Model!T49+Model!T50+Model!T51</f>
        <v/>
      </c>
      <c r="U9" s="66">
        <f>Model!U48+Model!U49+Model!U50+Model!U51</f>
        <v/>
      </c>
      <c r="V9" s="66">
        <f>Model!V48+Model!V49+Model!V50+Model!V51</f>
        <v/>
      </c>
      <c r="W9" s="66">
        <f>Model!W48+Model!W49+Model!W50+Model!W51</f>
        <v/>
      </c>
      <c r="X9" s="66">
        <f>Model!X48+Model!X49+Model!X50+Model!X51</f>
        <v/>
      </c>
      <c r="Y9" s="66">
        <f>Model!Y48+Model!Y49+Model!Y50+Model!Y51</f>
        <v/>
      </c>
      <c r="Z9" s="66">
        <f>Model!Z48+Model!Z49+Model!Z50+Model!Z51</f>
        <v/>
      </c>
      <c r="AA9" s="66">
        <f>Model!AA48+Model!AA49+Model!AA50+Model!AA51</f>
        <v/>
      </c>
      <c r="AB9" s="66">
        <f>Model!AB48+Model!AB49+Model!AB50+Model!AB51</f>
        <v/>
      </c>
      <c r="AC9" s="66">
        <f>Model!AC48+Model!AC49+Model!AC50+Model!AC51</f>
        <v/>
      </c>
      <c r="AD9" s="66">
        <f>Model!AD48+Model!AD49+Model!AD50+Model!AD51</f>
        <v/>
      </c>
      <c r="AE9" s="66">
        <f>Model!AE48+Model!AE49+Model!AE50+Model!AE51</f>
        <v/>
      </c>
      <c r="AF9" s="66">
        <f>Model!AF48+Model!AF49+Model!AF50+Model!AF51</f>
        <v/>
      </c>
      <c r="AG9" s="66">
        <f>Model!AG48+Model!AG49+Model!AG50+Model!AG51</f>
        <v/>
      </c>
      <c r="AH9" s="66">
        <f>Model!AH48+Model!AH49+Model!AH50+Model!AH51</f>
        <v/>
      </c>
      <c r="AI9" s="66">
        <f>Model!AI48+Model!AI49+Model!AI50+Model!AI51</f>
        <v/>
      </c>
      <c r="AJ9" s="66">
        <f>Model!AJ48+Model!AJ49+Model!AJ50+Model!AJ51</f>
        <v/>
      </c>
      <c r="AK9" s="66">
        <f>Model!AK48+Model!AK49+Model!AK50+Model!AK51</f>
        <v/>
      </c>
      <c r="AL9" s="66">
        <f>Model!AL48+Model!AL49+Model!AL50+Model!AL51</f>
        <v/>
      </c>
      <c r="AM9" s="66">
        <f>Model!AM48+Model!AM49+Model!AM50+Model!AM51</f>
        <v/>
      </c>
      <c r="AN9" s="66">
        <f>Model!AN48+Model!AN49+Model!AN50+Model!AN51</f>
        <v/>
      </c>
      <c r="AO9" s="66">
        <f>Model!AO48+Model!AO49+Model!AO50+Model!AO51</f>
        <v/>
      </c>
      <c r="AP9" s="66">
        <f>Model!AP48+Model!AP49+Model!AP50+Model!AP51</f>
        <v/>
      </c>
      <c r="AQ9" s="66">
        <f>Model!AQ48+Model!AQ49+Model!AQ50+Model!AQ51</f>
        <v/>
      </c>
      <c r="AR9" s="66">
        <f>Model!AR48+Model!AR49+Model!AR50+Model!AR51</f>
        <v/>
      </c>
      <c r="AS9" s="66">
        <f>Model!AS48+Model!AS49+Model!AS50+Model!AS51</f>
        <v/>
      </c>
      <c r="AT9" s="66">
        <f>Model!AT48+Model!AT49+Model!AT50+Model!AT51</f>
        <v/>
      </c>
      <c r="AU9" s="66">
        <f>Model!AU48+Model!AU49+Model!AU50+Model!AU51</f>
        <v/>
      </c>
      <c r="AV9" s="66">
        <f>Model!AV48+Model!AV49+Model!AV50+Model!AV51</f>
        <v/>
      </c>
      <c r="AW9" s="66">
        <f>Model!AW48+Model!AW49+Model!AW50+Model!AW51</f>
        <v/>
      </c>
      <c r="AX9" s="66">
        <f>Model!AX48+Model!AX49+Model!AX50+Model!AX51</f>
        <v/>
      </c>
      <c r="AY9" s="66">
        <f>Model!AY48+Model!AY49+Model!AY50+Model!AY51</f>
        <v/>
      </c>
      <c r="AZ9" s="66">
        <f>Model!AZ48+Model!AZ49+Model!AZ50+Model!AZ51</f>
        <v/>
      </c>
      <c r="BA9" s="66">
        <f>Model!BA48+Model!BA49+Model!BA50+Model!BA51</f>
        <v/>
      </c>
      <c r="BB9" s="66">
        <f>Model!BB48+Model!BB49+Model!BB50+Model!BB51</f>
        <v/>
      </c>
      <c r="BC9" s="66">
        <f>Model!BC48+Model!BC49+Model!BC50+Model!BC51</f>
        <v/>
      </c>
      <c r="BD9" s="66">
        <f>Model!BD48+Model!BD49+Model!BD50+Model!BD51</f>
        <v/>
      </c>
      <c r="BE9" s="66">
        <f>Model!BE48+Model!BE49+Model!BE50+Model!BE51</f>
        <v/>
      </c>
      <c r="BF9" s="66">
        <f>Model!BF48+Model!BF49+Model!BF50+Model!BF51</f>
        <v/>
      </c>
      <c r="BG9" s="66">
        <f>Model!BG48+Model!BG49+Model!BG50+Model!BG51</f>
        <v/>
      </c>
      <c r="BH9" s="66">
        <f>Model!BH48+Model!BH49+Model!BH50+Model!BH51</f>
        <v/>
      </c>
      <c r="BI9" s="66">
        <f>Model!BI48+Model!BI49+Model!BI50+Model!BI51</f>
        <v/>
      </c>
      <c r="BJ9" s="66">
        <f>Model!BJ48+Model!BJ49+Model!BJ50+Model!BJ51</f>
        <v/>
      </c>
      <c r="BK9" s="66">
        <f>Model!BK48+Model!BK49+Model!BK50+Model!BK51</f>
        <v/>
      </c>
      <c r="BL9" s="66">
        <f>Model!BL48+Model!BL49+Model!BL50+Model!BL51</f>
        <v/>
      </c>
      <c r="BM9" s="66">
        <f>Model!BM48+Model!BM49+Model!BM50+Model!BM51</f>
        <v/>
      </c>
      <c r="BN9" s="66">
        <f>Model!BN48+Model!BN49+Model!BN50+Model!BN51</f>
        <v/>
      </c>
      <c r="BO9" s="66">
        <f>Model!BO48+Model!BO49+Model!BO50+Model!BO51</f>
        <v/>
      </c>
      <c r="BP9" s="66">
        <f>Model!BP48+Model!BP49+Model!BP50+Model!BP51</f>
        <v/>
      </c>
      <c r="BQ9" s="66">
        <f>Model!BQ48+Model!BQ49+Model!BQ50+Model!BQ51</f>
        <v/>
      </c>
      <c r="BR9" s="66">
        <f>Model!BR48+Model!BR49+Model!BR50+Model!BR51</f>
        <v/>
      </c>
      <c r="BS9" s="66">
        <f>Model!BS48+Model!BS49+Model!BS50+Model!BS51</f>
        <v/>
      </c>
      <c r="BT9" s="66">
        <f>Model!BT48+Model!BT49+Model!BT50+Model!BT51</f>
        <v/>
      </c>
      <c r="BU9" s="66">
        <f>Model!BU48+Model!BU49+Model!BU50+Model!BU51</f>
        <v/>
      </c>
      <c r="BV9" s="66">
        <f>Model!BV48+Model!BV49+Model!BV50+Model!BV51</f>
        <v/>
      </c>
      <c r="BW9" s="66">
        <f>Model!BW48+Model!BW49+Model!BW50+Model!BW51</f>
        <v/>
      </c>
      <c r="BX9" s="66">
        <f>Model!BX48+Model!BX49+Model!BX50+Model!BX51</f>
        <v/>
      </c>
      <c r="BY9" s="66">
        <f>Model!BY48+Model!BY49+Model!BY50+Model!BY51</f>
        <v/>
      </c>
      <c r="BZ9" s="66">
        <f>Model!BZ48+Model!BZ49+Model!BZ50+Model!BZ51</f>
        <v/>
      </c>
      <c r="CA9" s="66">
        <f>Model!CA48+Model!CA49+Model!CA50+Model!CA51</f>
        <v/>
      </c>
      <c r="CB9" s="66">
        <f>Model!CB48+Model!CB49+Model!CB50+Model!CB51</f>
        <v/>
      </c>
      <c r="CC9" s="66">
        <f>Model!CC48+Model!CC49+Model!CC50+Model!CC51</f>
        <v/>
      </c>
      <c r="CD9" s="66">
        <f>Model!CD48+Model!CD49+Model!CD50+Model!CD51</f>
        <v/>
      </c>
      <c r="CE9" s="66">
        <f>Model!CE48+Model!CE49+Model!CE50+Model!CE51</f>
        <v/>
      </c>
      <c r="CF9" s="66">
        <f>Model!CF48+Model!CF49+Model!CF50+Model!CF51</f>
        <v/>
      </c>
      <c r="CG9" s="66">
        <f>Model!CG48+Model!CG49+Model!CG50+Model!CG51</f>
        <v/>
      </c>
      <c r="CH9" s="66">
        <f>Model!CH48+Model!CH49+Model!CH50+Model!CH51</f>
        <v/>
      </c>
    </row>
    <row r="10" ht="15" customHeight="1" s="201">
      <c r="A10" s="28" t="inlineStr">
        <is>
          <t xml:space="preserve">  Net to Six Peak</t>
        </is>
      </c>
      <c r="B10" s="28" t="n"/>
      <c r="C10" s="67">
        <f>C9</f>
        <v/>
      </c>
      <c r="D10" s="67">
        <f>D9</f>
        <v/>
      </c>
      <c r="E10" s="67">
        <f>E9</f>
        <v/>
      </c>
      <c r="F10" s="67">
        <f>F9</f>
        <v/>
      </c>
      <c r="G10" s="67">
        <f>G9</f>
        <v/>
      </c>
      <c r="H10" s="67">
        <f>H9</f>
        <v/>
      </c>
      <c r="I10" s="67">
        <f>I9</f>
        <v/>
      </c>
      <c r="J10" s="67">
        <f>J9</f>
        <v/>
      </c>
      <c r="K10" s="67">
        <f>K9</f>
        <v/>
      </c>
      <c r="L10" s="67">
        <f>L9</f>
        <v/>
      </c>
      <c r="M10" s="67">
        <f>M9</f>
        <v/>
      </c>
      <c r="N10" s="67">
        <f>N9</f>
        <v/>
      </c>
      <c r="O10" s="67">
        <f>O9</f>
        <v/>
      </c>
      <c r="P10" s="67">
        <f>P9</f>
        <v/>
      </c>
      <c r="Q10" s="67">
        <f>Q9</f>
        <v/>
      </c>
      <c r="R10" s="67">
        <f>R9</f>
        <v/>
      </c>
      <c r="S10" s="67">
        <f>S9</f>
        <v/>
      </c>
      <c r="T10" s="67">
        <f>T9</f>
        <v/>
      </c>
      <c r="U10" s="67">
        <f>U9</f>
        <v/>
      </c>
      <c r="V10" s="67">
        <f>V9</f>
        <v/>
      </c>
      <c r="W10" s="67">
        <f>W9</f>
        <v/>
      </c>
      <c r="X10" s="67">
        <f>X9</f>
        <v/>
      </c>
      <c r="Y10" s="67">
        <f>Y9</f>
        <v/>
      </c>
      <c r="Z10" s="67">
        <f>Z9</f>
        <v/>
      </c>
      <c r="AA10" s="67">
        <f>AA9</f>
        <v/>
      </c>
      <c r="AB10" s="67">
        <f>AB9</f>
        <v/>
      </c>
      <c r="AC10" s="67">
        <f>AC9</f>
        <v/>
      </c>
      <c r="AD10" s="67">
        <f>AD9</f>
        <v/>
      </c>
      <c r="AE10" s="67">
        <f>AE9</f>
        <v/>
      </c>
      <c r="AF10" s="67">
        <f>AF9</f>
        <v/>
      </c>
      <c r="AG10" s="67">
        <f>AG9</f>
        <v/>
      </c>
      <c r="AH10" s="67">
        <f>AH9</f>
        <v/>
      </c>
      <c r="AI10" s="67">
        <f>AI9</f>
        <v/>
      </c>
      <c r="AJ10" s="67">
        <f>AJ9</f>
        <v/>
      </c>
      <c r="AK10" s="67">
        <f>AK9</f>
        <v/>
      </c>
      <c r="AL10" s="67">
        <f>AL9</f>
        <v/>
      </c>
      <c r="AM10" s="67">
        <f>AM9</f>
        <v/>
      </c>
      <c r="AN10" s="67">
        <f>AN9</f>
        <v/>
      </c>
      <c r="AO10" s="67">
        <f>AO9</f>
        <v/>
      </c>
      <c r="AP10" s="67">
        <f>AP9</f>
        <v/>
      </c>
      <c r="AQ10" s="67">
        <f>AQ9</f>
        <v/>
      </c>
      <c r="AR10" s="67">
        <f>AR9</f>
        <v/>
      </c>
      <c r="AS10" s="67">
        <f>AS9</f>
        <v/>
      </c>
      <c r="AT10" s="67">
        <f>AT9</f>
        <v/>
      </c>
      <c r="AU10" s="67">
        <f>AU9</f>
        <v/>
      </c>
      <c r="AV10" s="67">
        <f>AV9</f>
        <v/>
      </c>
      <c r="AW10" s="67">
        <f>AW9</f>
        <v/>
      </c>
      <c r="AX10" s="67">
        <f>AX9</f>
        <v/>
      </c>
      <c r="AY10" s="67">
        <f>AY9</f>
        <v/>
      </c>
      <c r="AZ10" s="67">
        <f>AZ9</f>
        <v/>
      </c>
      <c r="BA10" s="67">
        <f>BA9</f>
        <v/>
      </c>
      <c r="BB10" s="67">
        <f>BB9</f>
        <v/>
      </c>
      <c r="BC10" s="67">
        <f>BC9</f>
        <v/>
      </c>
      <c r="BD10" s="67">
        <f>BD9</f>
        <v/>
      </c>
      <c r="BE10" s="67">
        <f>BE9</f>
        <v/>
      </c>
      <c r="BF10" s="67">
        <f>BF9</f>
        <v/>
      </c>
      <c r="BG10" s="67">
        <f>BG9</f>
        <v/>
      </c>
      <c r="BH10" s="67">
        <f>BH9</f>
        <v/>
      </c>
      <c r="BI10" s="67">
        <f>BI9</f>
        <v/>
      </c>
      <c r="BJ10" s="67">
        <f>BJ9</f>
        <v/>
      </c>
      <c r="BK10" s="67">
        <f>BK9</f>
        <v/>
      </c>
      <c r="BL10" s="67">
        <f>BL9</f>
        <v/>
      </c>
      <c r="BM10" s="67">
        <f>BM9</f>
        <v/>
      </c>
      <c r="BN10" s="67">
        <f>BN9</f>
        <v/>
      </c>
      <c r="BO10" s="67">
        <f>BO9</f>
        <v/>
      </c>
      <c r="BP10" s="67">
        <f>BP9</f>
        <v/>
      </c>
      <c r="BQ10" s="67">
        <f>BQ9</f>
        <v/>
      </c>
      <c r="BR10" s="67">
        <f>BR9</f>
        <v/>
      </c>
      <c r="BS10" s="67">
        <f>BS9</f>
        <v/>
      </c>
      <c r="BT10" s="67">
        <f>BT9</f>
        <v/>
      </c>
      <c r="BU10" s="67">
        <f>BU9</f>
        <v/>
      </c>
      <c r="BV10" s="67">
        <f>BV9</f>
        <v/>
      </c>
      <c r="BW10" s="67">
        <f>BW9</f>
        <v/>
      </c>
      <c r="BX10" s="67">
        <f>BX9</f>
        <v/>
      </c>
      <c r="BY10" s="67">
        <f>BY9</f>
        <v/>
      </c>
      <c r="BZ10" s="67">
        <f>BZ9</f>
        <v/>
      </c>
      <c r="CA10" s="67">
        <f>CA9</f>
        <v/>
      </c>
      <c r="CB10" s="67">
        <f>CB9</f>
        <v/>
      </c>
      <c r="CC10" s="67">
        <f>CC9</f>
        <v/>
      </c>
      <c r="CD10" s="67">
        <f>CD9</f>
        <v/>
      </c>
      <c r="CE10" s="67">
        <f>CE9</f>
        <v/>
      </c>
      <c r="CF10" s="67">
        <f>CF9</f>
        <v/>
      </c>
      <c r="CG10" s="67">
        <f>CG9</f>
        <v/>
      </c>
      <c r="CH10" s="67">
        <f>CH9</f>
        <v/>
      </c>
    </row>
    <row r="11" ht="15" customHeight="1" s="201">
      <c r="A11" s="60" t="inlineStr">
        <is>
          <t xml:space="preserve">  Cumulative Net</t>
        </is>
      </c>
      <c r="B11" s="1" t="n"/>
      <c r="C11" s="68">
        <f>C10</f>
        <v/>
      </c>
      <c r="D11" s="68">
        <f>C11+D10</f>
        <v/>
      </c>
      <c r="E11" s="68">
        <f>D11+E10</f>
        <v/>
      </c>
      <c r="F11" s="68">
        <f>E11+F10</f>
        <v/>
      </c>
      <c r="G11" s="68">
        <f>F11+G10</f>
        <v/>
      </c>
      <c r="H11" s="68">
        <f>G11+H10</f>
        <v/>
      </c>
      <c r="I11" s="68">
        <f>H11+I10</f>
        <v/>
      </c>
      <c r="J11" s="68">
        <f>I11+J10</f>
        <v/>
      </c>
      <c r="K11" s="68">
        <f>J11+K10</f>
        <v/>
      </c>
      <c r="L11" s="68">
        <f>K11+L10</f>
        <v/>
      </c>
      <c r="M11" s="68">
        <f>L11+M10</f>
        <v/>
      </c>
      <c r="N11" s="68">
        <f>M11+N10</f>
        <v/>
      </c>
      <c r="O11" s="68">
        <f>N11+O10</f>
        <v/>
      </c>
      <c r="P11" s="68">
        <f>O11+P10</f>
        <v/>
      </c>
      <c r="Q11" s="68">
        <f>P11+Q10</f>
        <v/>
      </c>
      <c r="R11" s="68">
        <f>Q11+R10</f>
        <v/>
      </c>
      <c r="S11" s="68">
        <f>R11+S10</f>
        <v/>
      </c>
      <c r="T11" s="68">
        <f>S11+T10</f>
        <v/>
      </c>
      <c r="U11" s="68">
        <f>T11+U10</f>
        <v/>
      </c>
      <c r="V11" s="68">
        <f>U11+V10</f>
        <v/>
      </c>
      <c r="W11" s="68">
        <f>V11+W10</f>
        <v/>
      </c>
      <c r="X11" s="68">
        <f>W11+X10</f>
        <v/>
      </c>
      <c r="Y11" s="68">
        <f>X11+Y10</f>
        <v/>
      </c>
      <c r="Z11" s="68">
        <f>Y11+Z10</f>
        <v/>
      </c>
      <c r="AA11" s="68">
        <f>Z11+AA10</f>
        <v/>
      </c>
      <c r="AB11" s="68">
        <f>AA11+AB10</f>
        <v/>
      </c>
      <c r="AC11" s="68">
        <f>AB11+AC10</f>
        <v/>
      </c>
      <c r="AD11" s="68">
        <f>AC11+AD10</f>
        <v/>
      </c>
      <c r="AE11" s="68">
        <f>AD11+AE10</f>
        <v/>
      </c>
      <c r="AF11" s="68">
        <f>AE11+AF10</f>
        <v/>
      </c>
      <c r="AG11" s="68">
        <f>AF11+AG10</f>
        <v/>
      </c>
      <c r="AH11" s="68">
        <f>AG11+AH10</f>
        <v/>
      </c>
      <c r="AI11" s="68">
        <f>AH11+AI10</f>
        <v/>
      </c>
      <c r="AJ11" s="68">
        <f>AI11+AJ10</f>
        <v/>
      </c>
      <c r="AK11" s="68">
        <f>AJ11+AK10</f>
        <v/>
      </c>
      <c r="AL11" s="68">
        <f>AK11+AL10</f>
        <v/>
      </c>
      <c r="AM11" s="68">
        <f>AL11+AM10</f>
        <v/>
      </c>
      <c r="AN11" s="68">
        <f>AM11+AN10</f>
        <v/>
      </c>
      <c r="AO11" s="68">
        <f>AN11+AO10</f>
        <v/>
      </c>
      <c r="AP11" s="68">
        <f>AO11+AP10</f>
        <v/>
      </c>
      <c r="AQ11" s="68">
        <f>AP11+AQ10</f>
        <v/>
      </c>
      <c r="AR11" s="68">
        <f>AQ11+AR10</f>
        <v/>
      </c>
      <c r="AS11" s="68">
        <f>AR11+AS10</f>
        <v/>
      </c>
      <c r="AT11" s="68">
        <f>AS11+AT10</f>
        <v/>
      </c>
      <c r="AU11" s="68">
        <f>AT11+AU10</f>
        <v/>
      </c>
      <c r="AV11" s="68">
        <f>AU11+AV10</f>
        <v/>
      </c>
      <c r="AW11" s="68">
        <f>AV11+AW10</f>
        <v/>
      </c>
      <c r="AX11" s="68">
        <f>AW11+AX10</f>
        <v/>
      </c>
      <c r="AY11" s="68">
        <f>AX11+AY10</f>
        <v/>
      </c>
      <c r="AZ11" s="68">
        <f>AY11+AZ10</f>
        <v/>
      </c>
      <c r="BA11" s="68">
        <f>AZ11+BA10</f>
        <v/>
      </c>
      <c r="BB11" s="68">
        <f>BA11+BB10</f>
        <v/>
      </c>
      <c r="BC11" s="68">
        <f>BB11+BC10</f>
        <v/>
      </c>
      <c r="BD11" s="68">
        <f>BC11+BD10</f>
        <v/>
      </c>
      <c r="BE11" s="68">
        <f>BD11+BE10</f>
        <v/>
      </c>
      <c r="BF11" s="68">
        <f>BE11+BF10</f>
        <v/>
      </c>
      <c r="BG11" s="68">
        <f>BF11+BG10</f>
        <v/>
      </c>
      <c r="BH11" s="68">
        <f>BG11+BH10</f>
        <v/>
      </c>
      <c r="BI11" s="68">
        <f>BH11+BI10</f>
        <v/>
      </c>
      <c r="BJ11" s="68">
        <f>BI11+BJ10</f>
        <v/>
      </c>
      <c r="BK11" s="68">
        <f>BJ11+BK10</f>
        <v/>
      </c>
      <c r="BL11" s="68">
        <f>BK11+BL10</f>
        <v/>
      </c>
      <c r="BM11" s="68">
        <f>BL11+BM10</f>
        <v/>
      </c>
      <c r="BN11" s="68">
        <f>BM11+BN10</f>
        <v/>
      </c>
      <c r="BO11" s="68">
        <f>BN11+BO10</f>
        <v/>
      </c>
      <c r="BP11" s="68">
        <f>BO11+BP10</f>
        <v/>
      </c>
      <c r="BQ11" s="68">
        <f>BP11+BQ10</f>
        <v/>
      </c>
      <c r="BR11" s="68">
        <f>BQ11+BR10</f>
        <v/>
      </c>
      <c r="BS11" s="68">
        <f>BR11+BS10</f>
        <v/>
      </c>
      <c r="BT11" s="68">
        <f>BS11+BT10</f>
        <v/>
      </c>
      <c r="BU11" s="68">
        <f>BT11+BU10</f>
        <v/>
      </c>
      <c r="BV11" s="68">
        <f>BU11+BV10</f>
        <v/>
      </c>
      <c r="BW11" s="68">
        <f>BV11+BW10</f>
        <v/>
      </c>
      <c r="BX11" s="68">
        <f>BW11+BX10</f>
        <v/>
      </c>
      <c r="BY11" s="68">
        <f>BX11+BY10</f>
        <v/>
      </c>
      <c r="BZ11" s="68">
        <f>BY11+BZ10</f>
        <v/>
      </c>
      <c r="CA11" s="68">
        <f>BZ11+CA10</f>
        <v/>
      </c>
      <c r="CB11" s="68">
        <f>CA11+CB10</f>
        <v/>
      </c>
      <c r="CC11" s="68">
        <f>CB11+CC10</f>
        <v/>
      </c>
      <c r="CD11" s="68">
        <f>CC11+CD10</f>
        <v/>
      </c>
      <c r="CE11" s="68">
        <f>CD11+CE10</f>
        <v/>
      </c>
      <c r="CF11" s="68">
        <f>CE11+CF10</f>
        <v/>
      </c>
      <c r="CG11" s="68">
        <f>CF11+CG10</f>
        <v/>
      </c>
      <c r="CH11" s="68">
        <f>CG11+CH10</f>
        <v/>
      </c>
    </row>
    <row r="12" ht="15" customHeight="1" s="20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" t="n"/>
      <c r="BX12" s="1" t="n"/>
      <c r="BY12" s="1" t="n"/>
      <c r="BZ12" s="1" t="n"/>
      <c r="CA12" s="1" t="n"/>
      <c r="CB12" s="1" t="n"/>
      <c r="CC12" s="1" t="n"/>
      <c r="CD12" s="1" t="n"/>
      <c r="CE12" s="1" t="n"/>
      <c r="CF12" s="1" t="n"/>
      <c r="CG12" s="1" t="n"/>
      <c r="CH12" s="1" t="n"/>
    </row>
    <row r="13" ht="15" customHeight="1" s="201">
      <c r="A13" s="6" t="inlineStr">
        <is>
          <t>Klump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  <c r="AS13" s="6" t="n"/>
      <c r="AT13" s="6" t="n"/>
      <c r="AU13" s="6" t="n"/>
      <c r="AV13" s="6" t="n"/>
      <c r="AW13" s="6" t="n"/>
      <c r="AX13" s="6" t="n"/>
      <c r="AY13" s="6" t="n"/>
      <c r="AZ13" s="6" t="n"/>
      <c r="BA13" s="6" t="n"/>
      <c r="BB13" s="6" t="n"/>
      <c r="BC13" s="6" t="n"/>
      <c r="BD13" s="6" t="n"/>
      <c r="BE13" s="6" t="n"/>
      <c r="BF13" s="6" t="n"/>
      <c r="BG13" s="6" t="n"/>
      <c r="BH13" s="6" t="n"/>
      <c r="BI13" s="6" t="n"/>
      <c r="BJ13" s="6" t="n"/>
      <c r="BK13" s="6" t="n"/>
      <c r="BL13" s="6" t="n"/>
      <c r="BM13" s="6" t="n"/>
      <c r="BN13" s="6" t="n"/>
      <c r="BO13" s="6" t="n"/>
      <c r="BP13" s="6" t="n"/>
      <c r="BQ13" s="6" t="n"/>
      <c r="BR13" s="6" t="n"/>
      <c r="BS13" s="6" t="n"/>
      <c r="BT13" s="6" t="n"/>
      <c r="BU13" s="6" t="n"/>
      <c r="BV13" s="6" t="n"/>
      <c r="BW13" s="6" t="n"/>
      <c r="BX13" s="6" t="n"/>
      <c r="BY13" s="6" t="n"/>
      <c r="BZ13" s="6" t="n"/>
      <c r="CA13" s="6" t="n"/>
      <c r="CB13" s="6" t="n"/>
      <c r="CC13" s="6" t="n"/>
      <c r="CD13" s="6" t="n"/>
      <c r="CE13" s="6" t="n"/>
      <c r="CF13" s="6" t="n"/>
      <c r="CG13" s="6" t="n"/>
      <c r="CH13" s="6" t="n"/>
    </row>
    <row r="14" ht="15" customHeight="1" s="201">
      <c r="A14" s="16" t="inlineStr">
        <is>
          <t xml:space="preserve">  Revenue</t>
        </is>
      </c>
      <c r="B14" s="1" t="n"/>
      <c r="C14" s="66">
        <f>Model!C54+Model!C55+Model!C56</f>
        <v/>
      </c>
      <c r="D14" s="66">
        <f>Model!D54+Model!D55+Model!D56</f>
        <v/>
      </c>
      <c r="E14" s="66">
        <f>Model!E54+Model!E55+Model!E56</f>
        <v/>
      </c>
      <c r="F14" s="66">
        <f>Model!F54+Model!F55+Model!F56</f>
        <v/>
      </c>
      <c r="G14" s="66">
        <f>Model!G54+Model!G55+Model!G56</f>
        <v/>
      </c>
      <c r="H14" s="66">
        <f>Model!H54+Model!H55+Model!H56</f>
        <v/>
      </c>
      <c r="I14" s="66">
        <f>Model!I54+Model!I55+Model!I56</f>
        <v/>
      </c>
      <c r="J14" s="66">
        <f>Model!J54+Model!J55+Model!J56</f>
        <v/>
      </c>
      <c r="K14" s="66">
        <f>Model!K54+Model!K55+Model!K56</f>
        <v/>
      </c>
      <c r="L14" s="66">
        <f>Model!L54+Model!L55+Model!L56</f>
        <v/>
      </c>
      <c r="M14" s="66">
        <f>Model!M54+Model!M55+Model!M56</f>
        <v/>
      </c>
      <c r="N14" s="66">
        <f>Model!N54+Model!N55+Model!N56</f>
        <v/>
      </c>
      <c r="O14" s="66">
        <f>Model!O54+Model!O55+Model!O56</f>
        <v/>
      </c>
      <c r="P14" s="66">
        <f>Model!P54+Model!P55+Model!P56</f>
        <v/>
      </c>
      <c r="Q14" s="66">
        <f>Model!Q54+Model!Q55+Model!Q56</f>
        <v/>
      </c>
      <c r="R14" s="66">
        <f>Model!R54+Model!R55+Model!R56</f>
        <v/>
      </c>
      <c r="S14" s="66">
        <f>Model!S54+Model!S55+Model!S56</f>
        <v/>
      </c>
      <c r="T14" s="66">
        <f>Model!T54+Model!T55+Model!T56</f>
        <v/>
      </c>
      <c r="U14" s="66">
        <f>Model!U54+Model!U55+Model!U56</f>
        <v/>
      </c>
      <c r="V14" s="66">
        <f>Model!V54+Model!V55+Model!V56</f>
        <v/>
      </c>
      <c r="W14" s="66">
        <f>Model!W54+Model!W55+Model!W56</f>
        <v/>
      </c>
      <c r="X14" s="66">
        <f>Model!X54+Model!X55+Model!X56</f>
        <v/>
      </c>
      <c r="Y14" s="66">
        <f>Model!Y54+Model!Y55+Model!Y56</f>
        <v/>
      </c>
      <c r="Z14" s="66">
        <f>Model!Z54+Model!Z55+Model!Z56</f>
        <v/>
      </c>
      <c r="AA14" s="66">
        <f>Model!AA54+Model!AA55+Model!AA56</f>
        <v/>
      </c>
      <c r="AB14" s="66">
        <f>Model!AB54+Model!AB55+Model!AB56</f>
        <v/>
      </c>
      <c r="AC14" s="66">
        <f>Model!AC54+Model!AC55+Model!AC56</f>
        <v/>
      </c>
      <c r="AD14" s="66">
        <f>Model!AD54+Model!AD55+Model!AD56</f>
        <v/>
      </c>
      <c r="AE14" s="66">
        <f>Model!AE54+Model!AE55+Model!AE56</f>
        <v/>
      </c>
      <c r="AF14" s="66">
        <f>Model!AF54+Model!AF55+Model!AF56</f>
        <v/>
      </c>
      <c r="AG14" s="66">
        <f>Model!AG54+Model!AG55+Model!AG56</f>
        <v/>
      </c>
      <c r="AH14" s="66">
        <f>Model!AH54+Model!AH55+Model!AH56</f>
        <v/>
      </c>
      <c r="AI14" s="66">
        <f>Model!AI54+Model!AI55+Model!AI56</f>
        <v/>
      </c>
      <c r="AJ14" s="66">
        <f>Model!AJ54+Model!AJ55+Model!AJ56</f>
        <v/>
      </c>
      <c r="AK14" s="66">
        <f>Model!AK54+Model!AK55+Model!AK56</f>
        <v/>
      </c>
      <c r="AL14" s="66">
        <f>Model!AL54+Model!AL55+Model!AL56</f>
        <v/>
      </c>
      <c r="AM14" s="66">
        <f>Model!AM54+Model!AM55+Model!AM56</f>
        <v/>
      </c>
      <c r="AN14" s="66">
        <f>Model!AN54+Model!AN55+Model!AN56</f>
        <v/>
      </c>
      <c r="AO14" s="66">
        <f>Model!AO54+Model!AO55+Model!AO56</f>
        <v/>
      </c>
      <c r="AP14" s="66">
        <f>Model!AP54+Model!AP55+Model!AP56</f>
        <v/>
      </c>
      <c r="AQ14" s="66">
        <f>Model!AQ54+Model!AQ55+Model!AQ56</f>
        <v/>
      </c>
      <c r="AR14" s="66">
        <f>Model!AR54+Model!AR55+Model!AR56</f>
        <v/>
      </c>
      <c r="AS14" s="66">
        <f>Model!AS54+Model!AS55+Model!AS56</f>
        <v/>
      </c>
      <c r="AT14" s="66">
        <f>Model!AT54+Model!AT55+Model!AT56</f>
        <v/>
      </c>
      <c r="AU14" s="66">
        <f>Model!AU54+Model!AU55+Model!AU56</f>
        <v/>
      </c>
      <c r="AV14" s="66">
        <f>Model!AV54+Model!AV55+Model!AV56</f>
        <v/>
      </c>
      <c r="AW14" s="66">
        <f>Model!AW54+Model!AW55+Model!AW56</f>
        <v/>
      </c>
      <c r="AX14" s="66">
        <f>Model!AX54+Model!AX55+Model!AX56</f>
        <v/>
      </c>
      <c r="AY14" s="66">
        <f>Model!AY54+Model!AY55+Model!AY56</f>
        <v/>
      </c>
      <c r="AZ14" s="66">
        <f>Model!AZ54+Model!AZ55+Model!AZ56</f>
        <v/>
      </c>
      <c r="BA14" s="66">
        <f>Model!BA54+Model!BA55+Model!BA56</f>
        <v/>
      </c>
      <c r="BB14" s="66">
        <f>Model!BB54+Model!BB55+Model!BB56</f>
        <v/>
      </c>
      <c r="BC14" s="66">
        <f>Model!BC54+Model!BC55+Model!BC56</f>
        <v/>
      </c>
      <c r="BD14" s="66">
        <f>Model!BD54+Model!BD55+Model!BD56</f>
        <v/>
      </c>
      <c r="BE14" s="66">
        <f>Model!BE54+Model!BE55+Model!BE56</f>
        <v/>
      </c>
      <c r="BF14" s="66">
        <f>Model!BF54+Model!BF55+Model!BF56</f>
        <v/>
      </c>
      <c r="BG14" s="66">
        <f>Model!BG54+Model!BG55+Model!BG56</f>
        <v/>
      </c>
      <c r="BH14" s="66">
        <f>Model!BH54+Model!BH55+Model!BH56</f>
        <v/>
      </c>
      <c r="BI14" s="66">
        <f>Model!BI54+Model!BI55+Model!BI56</f>
        <v/>
      </c>
      <c r="BJ14" s="66">
        <f>Model!BJ54+Model!BJ55+Model!BJ56</f>
        <v/>
      </c>
      <c r="BK14" s="66">
        <f>Model!BK54+Model!BK55+Model!BK56</f>
        <v/>
      </c>
      <c r="BL14" s="66">
        <f>Model!BL54+Model!BL55+Model!BL56</f>
        <v/>
      </c>
      <c r="BM14" s="66">
        <f>Model!BM54+Model!BM55+Model!BM56</f>
        <v/>
      </c>
      <c r="BN14" s="66">
        <f>Model!BN54+Model!BN55+Model!BN56</f>
        <v/>
      </c>
      <c r="BO14" s="66">
        <f>Model!BO54+Model!BO55+Model!BO56</f>
        <v/>
      </c>
      <c r="BP14" s="66">
        <f>Model!BP54+Model!BP55+Model!BP56</f>
        <v/>
      </c>
      <c r="BQ14" s="66">
        <f>Model!BQ54+Model!BQ55+Model!BQ56</f>
        <v/>
      </c>
      <c r="BR14" s="66">
        <f>Model!BR54+Model!BR55+Model!BR56</f>
        <v/>
      </c>
      <c r="BS14" s="66">
        <f>Model!BS54+Model!BS55+Model!BS56</f>
        <v/>
      </c>
      <c r="BT14" s="66">
        <f>Model!BT54+Model!BT55+Model!BT56</f>
        <v/>
      </c>
      <c r="BU14" s="66">
        <f>Model!BU54+Model!BU55+Model!BU56</f>
        <v/>
      </c>
      <c r="BV14" s="66">
        <f>Model!BV54+Model!BV55+Model!BV56</f>
        <v/>
      </c>
      <c r="BW14" s="66">
        <f>Model!BW54+Model!BW55+Model!BW56</f>
        <v/>
      </c>
      <c r="BX14" s="66">
        <f>Model!BX54+Model!BX55+Model!BX56</f>
        <v/>
      </c>
      <c r="BY14" s="66">
        <f>Model!BY54+Model!BY55+Model!BY56</f>
        <v/>
      </c>
      <c r="BZ14" s="66">
        <f>Model!BZ54+Model!BZ55+Model!BZ56</f>
        <v/>
      </c>
      <c r="CA14" s="66">
        <f>Model!CA54+Model!CA55+Model!CA56</f>
        <v/>
      </c>
      <c r="CB14" s="66">
        <f>Model!CB54+Model!CB55+Model!CB56</f>
        <v/>
      </c>
      <c r="CC14" s="66">
        <f>Model!CC54+Model!CC55+Model!CC56</f>
        <v/>
      </c>
      <c r="CD14" s="66">
        <f>Model!CD54+Model!CD55+Model!CD56</f>
        <v/>
      </c>
      <c r="CE14" s="66">
        <f>Model!CE54+Model!CE55+Model!CE56</f>
        <v/>
      </c>
      <c r="CF14" s="66">
        <f>Model!CF54+Model!CF55+Model!CF56</f>
        <v/>
      </c>
      <c r="CG14" s="66">
        <f>Model!CG54+Model!CG55+Model!CG56</f>
        <v/>
      </c>
      <c r="CH14" s="66">
        <f>Model!CH54+Model!CH55+Model!CH56</f>
        <v/>
      </c>
    </row>
    <row r="15" ht="15" customHeight="1" s="201">
      <c r="A15" s="69" t="inlineStr">
        <is>
          <t xml:space="preserve">  Steyn Fees</t>
        </is>
      </c>
      <c r="B15" s="1" t="n"/>
      <c r="C15" s="70" t="n">
        <v>0</v>
      </c>
      <c r="D15" s="70" t="n">
        <v>0</v>
      </c>
      <c r="E15" s="70" t="n">
        <v>0</v>
      </c>
      <c r="F15" s="70" t="n">
        <v>0</v>
      </c>
      <c r="G15" s="70">
        <f>IF(Projects!$G$11="Yes",-155771,0)</f>
        <v/>
      </c>
      <c r="H15" s="70" t="n">
        <v>0</v>
      </c>
      <c r="I15" s="70" t="n">
        <v>0</v>
      </c>
      <c r="J15" s="70" t="n">
        <v>0</v>
      </c>
      <c r="K15" s="70" t="n">
        <v>0</v>
      </c>
      <c r="L15" s="70" t="n">
        <v>0</v>
      </c>
      <c r="M15" s="70" t="n">
        <v>0</v>
      </c>
      <c r="N15" s="70" t="n">
        <v>0</v>
      </c>
      <c r="O15" s="70" t="n">
        <v>0</v>
      </c>
      <c r="P15" s="70" t="n">
        <v>0</v>
      </c>
      <c r="Q15" s="70" t="n">
        <v>0</v>
      </c>
      <c r="R15" s="70" t="n">
        <v>0</v>
      </c>
      <c r="S15" s="70" t="n">
        <v>0</v>
      </c>
      <c r="T15" s="70" t="n">
        <v>0</v>
      </c>
      <c r="U15" s="70" t="n">
        <v>0</v>
      </c>
      <c r="V15" s="70" t="n">
        <v>0</v>
      </c>
      <c r="W15" s="70" t="n">
        <v>0</v>
      </c>
      <c r="X15" s="70" t="n">
        <v>0</v>
      </c>
      <c r="Y15" s="70" t="n">
        <v>0</v>
      </c>
      <c r="Z15" s="70" t="n">
        <v>0</v>
      </c>
      <c r="AA15" s="70" t="n">
        <v>0</v>
      </c>
      <c r="AB15" s="70" t="n">
        <v>0</v>
      </c>
      <c r="AC15" s="70" t="n">
        <v>0</v>
      </c>
      <c r="AD15" s="70" t="n">
        <v>0</v>
      </c>
      <c r="AE15" s="70" t="n">
        <v>0</v>
      </c>
      <c r="AF15" s="70" t="n">
        <v>0</v>
      </c>
      <c r="AG15" s="70" t="n">
        <v>0</v>
      </c>
      <c r="AH15" s="70" t="n">
        <v>0</v>
      </c>
      <c r="AI15" s="70" t="n">
        <v>0</v>
      </c>
      <c r="AJ15" s="70" t="n">
        <v>0</v>
      </c>
      <c r="AK15" s="70" t="n">
        <v>0</v>
      </c>
      <c r="AL15" s="70" t="n">
        <v>0</v>
      </c>
      <c r="AM15" s="70" t="n">
        <v>0</v>
      </c>
      <c r="AN15" s="70" t="n">
        <v>0</v>
      </c>
      <c r="AO15" s="70" t="n">
        <v>0</v>
      </c>
      <c r="AP15" s="70" t="n">
        <v>0</v>
      </c>
      <c r="AQ15" s="70" t="n">
        <v>0</v>
      </c>
      <c r="AR15" s="70" t="n">
        <v>0</v>
      </c>
      <c r="AS15" s="70" t="n">
        <v>0</v>
      </c>
      <c r="AT15" s="70" t="n">
        <v>0</v>
      </c>
      <c r="AU15" s="70" t="n">
        <v>0</v>
      </c>
      <c r="AV15" s="70" t="n">
        <v>0</v>
      </c>
      <c r="AW15" s="70" t="n">
        <v>0</v>
      </c>
      <c r="AX15" s="70" t="n">
        <v>0</v>
      </c>
      <c r="AY15" s="70" t="n">
        <v>0</v>
      </c>
      <c r="AZ15" s="70" t="n">
        <v>0</v>
      </c>
      <c r="BA15" s="70" t="n">
        <v>0</v>
      </c>
      <c r="BB15" s="70" t="n">
        <v>0</v>
      </c>
      <c r="BC15" s="70" t="n">
        <v>0</v>
      </c>
      <c r="BD15" s="70" t="n">
        <v>0</v>
      </c>
      <c r="BE15" s="70" t="n">
        <v>0</v>
      </c>
      <c r="BF15" s="70" t="n">
        <v>0</v>
      </c>
      <c r="BG15" s="70" t="n">
        <v>0</v>
      </c>
      <c r="BH15" s="70" t="n">
        <v>0</v>
      </c>
      <c r="BI15" s="70" t="n">
        <v>0</v>
      </c>
      <c r="BJ15" s="70" t="n">
        <v>0</v>
      </c>
      <c r="BK15" s="70" t="n">
        <v>0</v>
      </c>
      <c r="BL15" s="70" t="n">
        <v>0</v>
      </c>
      <c r="BM15" s="70" t="n">
        <v>0</v>
      </c>
      <c r="BN15" s="70" t="n">
        <v>0</v>
      </c>
      <c r="BO15" s="70" t="n">
        <v>0</v>
      </c>
      <c r="BP15" s="70" t="n">
        <v>0</v>
      </c>
      <c r="BQ15" s="70" t="n">
        <v>0</v>
      </c>
      <c r="BR15" s="70" t="n">
        <v>0</v>
      </c>
      <c r="BS15" s="70" t="n">
        <v>0</v>
      </c>
      <c r="BT15" s="70" t="n">
        <v>0</v>
      </c>
      <c r="BU15" s="70" t="n">
        <v>0</v>
      </c>
      <c r="BV15" s="70" t="n">
        <v>0</v>
      </c>
      <c r="BW15" s="70" t="n">
        <v>0</v>
      </c>
      <c r="BX15" s="70" t="n">
        <v>0</v>
      </c>
      <c r="BY15" s="70" t="n">
        <v>0</v>
      </c>
      <c r="BZ15" s="70" t="n">
        <v>0</v>
      </c>
      <c r="CA15" s="70" t="n">
        <v>0</v>
      </c>
      <c r="CB15" s="70" t="n">
        <v>0</v>
      </c>
      <c r="CC15" s="70" t="n">
        <v>0</v>
      </c>
      <c r="CD15" s="70" t="n">
        <v>0</v>
      </c>
      <c r="CE15" s="70" t="n">
        <v>0</v>
      </c>
      <c r="CF15" s="70" t="n">
        <v>0</v>
      </c>
      <c r="CG15" s="70" t="n">
        <v>0</v>
      </c>
      <c r="CH15" s="70" t="n">
        <v>0</v>
      </c>
    </row>
    <row r="16" ht="15" customHeight="1" s="201">
      <c r="A16" s="28" t="inlineStr">
        <is>
          <t xml:space="preserve">  Net to Six Peak</t>
        </is>
      </c>
      <c r="B16" s="28" t="n"/>
      <c r="C16" s="67">
        <f>C14+C15</f>
        <v/>
      </c>
      <c r="D16" s="67">
        <f>D14+D15</f>
        <v/>
      </c>
      <c r="E16" s="67">
        <f>E14+E15</f>
        <v/>
      </c>
      <c r="F16" s="67">
        <f>F14+F15</f>
        <v/>
      </c>
      <c r="G16" s="67">
        <f>G14+G15</f>
        <v/>
      </c>
      <c r="H16" s="67">
        <f>H14+H15</f>
        <v/>
      </c>
      <c r="I16" s="67">
        <f>I14+I15</f>
        <v/>
      </c>
      <c r="J16" s="67">
        <f>J14+J15</f>
        <v/>
      </c>
      <c r="K16" s="67">
        <f>K14+K15</f>
        <v/>
      </c>
      <c r="L16" s="67">
        <f>L14+L15</f>
        <v/>
      </c>
      <c r="M16" s="67">
        <f>M14+M15</f>
        <v/>
      </c>
      <c r="N16" s="67">
        <f>N14+N15</f>
        <v/>
      </c>
      <c r="O16" s="67">
        <f>O14+O15</f>
        <v/>
      </c>
      <c r="P16" s="67">
        <f>P14+P15</f>
        <v/>
      </c>
      <c r="Q16" s="67">
        <f>Q14+Q15</f>
        <v/>
      </c>
      <c r="R16" s="67">
        <f>R14+R15</f>
        <v/>
      </c>
      <c r="S16" s="67">
        <f>S14+S15</f>
        <v/>
      </c>
      <c r="T16" s="67">
        <f>T14+T15</f>
        <v/>
      </c>
      <c r="U16" s="67">
        <f>U14+U15</f>
        <v/>
      </c>
      <c r="V16" s="67">
        <f>V14+V15</f>
        <v/>
      </c>
      <c r="W16" s="67">
        <f>W14+W15</f>
        <v/>
      </c>
      <c r="X16" s="67">
        <f>X14+X15</f>
        <v/>
      </c>
      <c r="Y16" s="67">
        <f>Y14+Y15</f>
        <v/>
      </c>
      <c r="Z16" s="67">
        <f>Z14+Z15</f>
        <v/>
      </c>
      <c r="AA16" s="67">
        <f>AA14+AA15</f>
        <v/>
      </c>
      <c r="AB16" s="67">
        <f>AB14+AB15</f>
        <v/>
      </c>
      <c r="AC16" s="67">
        <f>AC14+AC15</f>
        <v/>
      </c>
      <c r="AD16" s="67">
        <f>AD14+AD15</f>
        <v/>
      </c>
      <c r="AE16" s="67">
        <f>AE14+AE15</f>
        <v/>
      </c>
      <c r="AF16" s="67">
        <f>AF14+AF15</f>
        <v/>
      </c>
      <c r="AG16" s="67">
        <f>AG14+AG15</f>
        <v/>
      </c>
      <c r="AH16" s="67">
        <f>AH14+AH15</f>
        <v/>
      </c>
      <c r="AI16" s="67">
        <f>AI14+AI15</f>
        <v/>
      </c>
      <c r="AJ16" s="67">
        <f>AJ14+AJ15</f>
        <v/>
      </c>
      <c r="AK16" s="67">
        <f>AK14+AK15</f>
        <v/>
      </c>
      <c r="AL16" s="67">
        <f>AL14+AL15</f>
        <v/>
      </c>
      <c r="AM16" s="67">
        <f>AM14+AM15</f>
        <v/>
      </c>
      <c r="AN16" s="67">
        <f>AN14+AN15</f>
        <v/>
      </c>
      <c r="AO16" s="67">
        <f>AO14+AO15</f>
        <v/>
      </c>
      <c r="AP16" s="67">
        <f>AP14+AP15</f>
        <v/>
      </c>
      <c r="AQ16" s="67">
        <f>AQ14+AQ15</f>
        <v/>
      </c>
      <c r="AR16" s="67">
        <f>AR14+AR15</f>
        <v/>
      </c>
      <c r="AS16" s="67">
        <f>AS14+AS15</f>
        <v/>
      </c>
      <c r="AT16" s="67">
        <f>AT14+AT15</f>
        <v/>
      </c>
      <c r="AU16" s="67">
        <f>AU14+AU15</f>
        <v/>
      </c>
      <c r="AV16" s="67">
        <f>AV14+AV15</f>
        <v/>
      </c>
      <c r="AW16" s="67">
        <f>AW14+AW15</f>
        <v/>
      </c>
      <c r="AX16" s="67">
        <f>AX14+AX15</f>
        <v/>
      </c>
      <c r="AY16" s="67">
        <f>AY14+AY15</f>
        <v/>
      </c>
      <c r="AZ16" s="67">
        <f>AZ14+AZ15</f>
        <v/>
      </c>
      <c r="BA16" s="67">
        <f>BA14+BA15</f>
        <v/>
      </c>
      <c r="BB16" s="67">
        <f>BB14+BB15</f>
        <v/>
      </c>
      <c r="BC16" s="67">
        <f>BC14+BC15</f>
        <v/>
      </c>
      <c r="BD16" s="67">
        <f>BD14+BD15</f>
        <v/>
      </c>
      <c r="BE16" s="67">
        <f>BE14+BE15</f>
        <v/>
      </c>
      <c r="BF16" s="67">
        <f>BF14+BF15</f>
        <v/>
      </c>
      <c r="BG16" s="67">
        <f>BG14+BG15</f>
        <v/>
      </c>
      <c r="BH16" s="67">
        <f>BH14+BH15</f>
        <v/>
      </c>
      <c r="BI16" s="67">
        <f>BI14+BI15</f>
        <v/>
      </c>
      <c r="BJ16" s="67">
        <f>BJ14+BJ15</f>
        <v/>
      </c>
      <c r="BK16" s="67">
        <f>BK14+BK15</f>
        <v/>
      </c>
      <c r="BL16" s="67">
        <f>BL14+BL15</f>
        <v/>
      </c>
      <c r="BM16" s="67">
        <f>BM14+BM15</f>
        <v/>
      </c>
      <c r="BN16" s="67">
        <f>BN14+BN15</f>
        <v/>
      </c>
      <c r="BO16" s="67">
        <f>BO14+BO15</f>
        <v/>
      </c>
      <c r="BP16" s="67">
        <f>BP14+BP15</f>
        <v/>
      </c>
      <c r="BQ16" s="67">
        <f>BQ14+BQ15</f>
        <v/>
      </c>
      <c r="BR16" s="67">
        <f>BR14+BR15</f>
        <v/>
      </c>
      <c r="BS16" s="67">
        <f>BS14+BS15</f>
        <v/>
      </c>
      <c r="BT16" s="67">
        <f>BT14+BT15</f>
        <v/>
      </c>
      <c r="BU16" s="67">
        <f>BU14+BU15</f>
        <v/>
      </c>
      <c r="BV16" s="67">
        <f>BV14+BV15</f>
        <v/>
      </c>
      <c r="BW16" s="67">
        <f>BW14+BW15</f>
        <v/>
      </c>
      <c r="BX16" s="67">
        <f>BX14+BX15</f>
        <v/>
      </c>
      <c r="BY16" s="67">
        <f>BY14+BY15</f>
        <v/>
      </c>
      <c r="BZ16" s="67">
        <f>BZ14+BZ15</f>
        <v/>
      </c>
      <c r="CA16" s="67">
        <f>CA14+CA15</f>
        <v/>
      </c>
      <c r="CB16" s="67">
        <f>CB14+CB15</f>
        <v/>
      </c>
      <c r="CC16" s="67">
        <f>CC14+CC15</f>
        <v/>
      </c>
      <c r="CD16" s="67">
        <f>CD14+CD15</f>
        <v/>
      </c>
      <c r="CE16" s="67">
        <f>CE14+CE15</f>
        <v/>
      </c>
      <c r="CF16" s="67">
        <f>CF14+CF15</f>
        <v/>
      </c>
      <c r="CG16" s="67">
        <f>CG14+CG15</f>
        <v/>
      </c>
      <c r="CH16" s="67">
        <f>CH14+CH15</f>
        <v/>
      </c>
    </row>
    <row r="17" ht="15" customHeight="1" s="201">
      <c r="A17" s="60" t="inlineStr">
        <is>
          <t xml:space="preserve">  Cumulative Net</t>
        </is>
      </c>
      <c r="B17" s="1" t="n"/>
      <c r="C17" s="68">
        <f>C16</f>
        <v/>
      </c>
      <c r="D17" s="68">
        <f>C17+D16</f>
        <v/>
      </c>
      <c r="E17" s="68">
        <f>D17+E16</f>
        <v/>
      </c>
      <c r="F17" s="68">
        <f>E17+F16</f>
        <v/>
      </c>
      <c r="G17" s="68">
        <f>F17+G16</f>
        <v/>
      </c>
      <c r="H17" s="68">
        <f>G17+H16</f>
        <v/>
      </c>
      <c r="I17" s="68">
        <f>H17+I16</f>
        <v/>
      </c>
      <c r="J17" s="68">
        <f>I17+J16</f>
        <v/>
      </c>
      <c r="K17" s="68">
        <f>J17+K16</f>
        <v/>
      </c>
      <c r="L17" s="68">
        <f>K17+L16</f>
        <v/>
      </c>
      <c r="M17" s="68">
        <f>L17+M16</f>
        <v/>
      </c>
      <c r="N17" s="68">
        <f>M17+N16</f>
        <v/>
      </c>
      <c r="O17" s="68">
        <f>N17+O16</f>
        <v/>
      </c>
      <c r="P17" s="68">
        <f>O17+P16</f>
        <v/>
      </c>
      <c r="Q17" s="68">
        <f>P17+Q16</f>
        <v/>
      </c>
      <c r="R17" s="68">
        <f>Q17+R16</f>
        <v/>
      </c>
      <c r="S17" s="68">
        <f>R17+S16</f>
        <v/>
      </c>
      <c r="T17" s="68">
        <f>S17+T16</f>
        <v/>
      </c>
      <c r="U17" s="68">
        <f>T17+U16</f>
        <v/>
      </c>
      <c r="V17" s="68">
        <f>U17+V16</f>
        <v/>
      </c>
      <c r="W17" s="68">
        <f>V17+W16</f>
        <v/>
      </c>
      <c r="X17" s="68">
        <f>W17+X16</f>
        <v/>
      </c>
      <c r="Y17" s="68">
        <f>X17+Y16</f>
        <v/>
      </c>
      <c r="Z17" s="68">
        <f>Y17+Z16</f>
        <v/>
      </c>
      <c r="AA17" s="68">
        <f>Z17+AA16</f>
        <v/>
      </c>
      <c r="AB17" s="68">
        <f>AA17+AB16</f>
        <v/>
      </c>
      <c r="AC17" s="68">
        <f>AB17+AC16</f>
        <v/>
      </c>
      <c r="AD17" s="68">
        <f>AC17+AD16</f>
        <v/>
      </c>
      <c r="AE17" s="68">
        <f>AD17+AE16</f>
        <v/>
      </c>
      <c r="AF17" s="68">
        <f>AE17+AF16</f>
        <v/>
      </c>
      <c r="AG17" s="68">
        <f>AF17+AG16</f>
        <v/>
      </c>
      <c r="AH17" s="68">
        <f>AG17+AH16</f>
        <v/>
      </c>
      <c r="AI17" s="68">
        <f>AH17+AI16</f>
        <v/>
      </c>
      <c r="AJ17" s="68">
        <f>AI17+AJ16</f>
        <v/>
      </c>
      <c r="AK17" s="68">
        <f>AJ17+AK16</f>
        <v/>
      </c>
      <c r="AL17" s="68">
        <f>AK17+AL16</f>
        <v/>
      </c>
      <c r="AM17" s="68">
        <f>AL17+AM16</f>
        <v/>
      </c>
      <c r="AN17" s="68">
        <f>AM17+AN16</f>
        <v/>
      </c>
      <c r="AO17" s="68">
        <f>AN17+AO16</f>
        <v/>
      </c>
      <c r="AP17" s="68">
        <f>AO17+AP16</f>
        <v/>
      </c>
      <c r="AQ17" s="68">
        <f>AP17+AQ16</f>
        <v/>
      </c>
      <c r="AR17" s="68">
        <f>AQ17+AR16</f>
        <v/>
      </c>
      <c r="AS17" s="68">
        <f>AR17+AS16</f>
        <v/>
      </c>
      <c r="AT17" s="68">
        <f>AS17+AT16</f>
        <v/>
      </c>
      <c r="AU17" s="68">
        <f>AT17+AU16</f>
        <v/>
      </c>
      <c r="AV17" s="68">
        <f>AU17+AV16</f>
        <v/>
      </c>
      <c r="AW17" s="68">
        <f>AV17+AW16</f>
        <v/>
      </c>
      <c r="AX17" s="68">
        <f>AW17+AX16</f>
        <v/>
      </c>
      <c r="AY17" s="68">
        <f>AX17+AY16</f>
        <v/>
      </c>
      <c r="AZ17" s="68">
        <f>AY17+AZ16</f>
        <v/>
      </c>
      <c r="BA17" s="68">
        <f>AZ17+BA16</f>
        <v/>
      </c>
      <c r="BB17" s="68">
        <f>BA17+BB16</f>
        <v/>
      </c>
      <c r="BC17" s="68">
        <f>BB17+BC16</f>
        <v/>
      </c>
      <c r="BD17" s="68">
        <f>BC17+BD16</f>
        <v/>
      </c>
      <c r="BE17" s="68">
        <f>BD17+BE16</f>
        <v/>
      </c>
      <c r="BF17" s="68">
        <f>BE17+BF16</f>
        <v/>
      </c>
      <c r="BG17" s="68">
        <f>BF17+BG16</f>
        <v/>
      </c>
      <c r="BH17" s="68">
        <f>BG17+BH16</f>
        <v/>
      </c>
      <c r="BI17" s="68">
        <f>BH17+BI16</f>
        <v/>
      </c>
      <c r="BJ17" s="68">
        <f>BI17+BJ16</f>
        <v/>
      </c>
      <c r="BK17" s="68">
        <f>BJ17+BK16</f>
        <v/>
      </c>
      <c r="BL17" s="68">
        <f>BK17+BL16</f>
        <v/>
      </c>
      <c r="BM17" s="68">
        <f>BL17+BM16</f>
        <v/>
      </c>
      <c r="BN17" s="68">
        <f>BM17+BN16</f>
        <v/>
      </c>
      <c r="BO17" s="68">
        <f>BN17+BO16</f>
        <v/>
      </c>
      <c r="BP17" s="68">
        <f>BO17+BP16</f>
        <v/>
      </c>
      <c r="BQ17" s="68">
        <f>BP17+BQ16</f>
        <v/>
      </c>
      <c r="BR17" s="68">
        <f>BQ17+BR16</f>
        <v/>
      </c>
      <c r="BS17" s="68">
        <f>BR17+BS16</f>
        <v/>
      </c>
      <c r="BT17" s="68">
        <f>BS17+BT16</f>
        <v/>
      </c>
      <c r="BU17" s="68">
        <f>BT17+BU16</f>
        <v/>
      </c>
      <c r="BV17" s="68">
        <f>BU17+BV16</f>
        <v/>
      </c>
      <c r="BW17" s="68">
        <f>BV17+BW16</f>
        <v/>
      </c>
      <c r="BX17" s="68">
        <f>BW17+BX16</f>
        <v/>
      </c>
      <c r="BY17" s="68">
        <f>BX17+BY16</f>
        <v/>
      </c>
      <c r="BZ17" s="68">
        <f>BY17+BZ16</f>
        <v/>
      </c>
      <c r="CA17" s="68">
        <f>BZ17+CA16</f>
        <v/>
      </c>
      <c r="CB17" s="68">
        <f>CA17+CB16</f>
        <v/>
      </c>
      <c r="CC17" s="68">
        <f>CB17+CC16</f>
        <v/>
      </c>
      <c r="CD17" s="68">
        <f>CC17+CD16</f>
        <v/>
      </c>
      <c r="CE17" s="68">
        <f>CD17+CE16</f>
        <v/>
      </c>
      <c r="CF17" s="68">
        <f>CE17+CF16</f>
        <v/>
      </c>
      <c r="CG17" s="68">
        <f>CF17+CG16</f>
        <v/>
      </c>
      <c r="CH17" s="68">
        <f>CG17+CH16</f>
        <v/>
      </c>
    </row>
    <row r="18" ht="15" customHeight="1" s="20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  <c r="BA18" s="1" t="n"/>
      <c r="BB18" s="1" t="n"/>
      <c r="BC18" s="1" t="n"/>
      <c r="BD18" s="1" t="n"/>
      <c r="BE18" s="1" t="n"/>
      <c r="BF18" s="1" t="n"/>
      <c r="BG18" s="1" t="n"/>
      <c r="BH18" s="1" t="n"/>
      <c r="BI18" s="1" t="n"/>
      <c r="BJ18" s="1" t="n"/>
      <c r="BK18" s="1" t="n"/>
      <c r="BL18" s="1" t="n"/>
      <c r="BM18" s="1" t="n"/>
      <c r="BN18" s="1" t="n"/>
      <c r="BO18" s="1" t="n"/>
      <c r="BP18" s="1" t="n"/>
      <c r="BQ18" s="1" t="n"/>
      <c r="BR18" s="1" t="n"/>
      <c r="BS18" s="1" t="n"/>
      <c r="BT18" s="1" t="n"/>
      <c r="BU18" s="1" t="n"/>
      <c r="BV18" s="1" t="n"/>
      <c r="BW18" s="1" t="n"/>
      <c r="BX18" s="1" t="n"/>
      <c r="BY18" s="1" t="n"/>
      <c r="BZ18" s="1" t="n"/>
      <c r="CA18" s="1" t="n"/>
      <c r="CB18" s="1" t="n"/>
      <c r="CC18" s="1" t="n"/>
      <c r="CD18" s="1" t="n"/>
      <c r="CE18" s="1" t="n"/>
      <c r="CF18" s="1" t="n"/>
      <c r="CG18" s="1" t="n"/>
      <c r="CH18" s="1" t="n"/>
    </row>
    <row r="19" ht="15" customHeight="1" s="201">
      <c r="A19" s="6" t="inlineStr">
        <is>
          <t>Scott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6" t="n"/>
      <c r="BE19" s="6" t="n"/>
      <c r="BF19" s="6" t="n"/>
      <c r="BG19" s="6" t="n"/>
      <c r="BH19" s="6" t="n"/>
      <c r="BI19" s="6" t="n"/>
      <c r="BJ19" s="6" t="n"/>
      <c r="BK19" s="6" t="n"/>
      <c r="BL19" s="6" t="n"/>
      <c r="BM19" s="6" t="n"/>
      <c r="BN19" s="6" t="n"/>
      <c r="BO19" s="6" t="n"/>
      <c r="BP19" s="6" t="n"/>
      <c r="BQ19" s="6" t="n"/>
      <c r="BR19" s="6" t="n"/>
      <c r="BS19" s="6" t="n"/>
      <c r="BT19" s="6" t="n"/>
      <c r="BU19" s="6" t="n"/>
      <c r="BV19" s="6" t="n"/>
      <c r="BW19" s="6" t="n"/>
      <c r="BX19" s="6" t="n"/>
      <c r="BY19" s="6" t="n"/>
      <c r="BZ19" s="6" t="n"/>
      <c r="CA19" s="6" t="n"/>
      <c r="CB19" s="6" t="n"/>
      <c r="CC19" s="6" t="n"/>
      <c r="CD19" s="6" t="n"/>
      <c r="CE19" s="6" t="n"/>
      <c r="CF19" s="6" t="n"/>
      <c r="CG19" s="6" t="n"/>
      <c r="CH19" s="6" t="n"/>
    </row>
    <row r="20" ht="15" customHeight="1" s="201">
      <c r="A20" s="16" t="inlineStr">
        <is>
          <t xml:space="preserve">  Revenue</t>
        </is>
      </c>
      <c r="B20" s="1" t="n"/>
      <c r="C20" s="66">
        <f>Model!C57+Model!C58+Model!C59</f>
        <v/>
      </c>
      <c r="D20" s="66">
        <f>Model!D57+Model!D58+Model!D59</f>
        <v/>
      </c>
      <c r="E20" s="66">
        <f>Model!E57+Model!E58+Model!E59</f>
        <v/>
      </c>
      <c r="F20" s="66">
        <f>Model!F57+Model!F58+Model!F59</f>
        <v/>
      </c>
      <c r="G20" s="66">
        <f>Model!G57+Model!G58+Model!G59</f>
        <v/>
      </c>
      <c r="H20" s="66">
        <f>Model!H57+Model!H58+Model!H59</f>
        <v/>
      </c>
      <c r="I20" s="66">
        <f>Model!I57+Model!I58+Model!I59</f>
        <v/>
      </c>
      <c r="J20" s="66">
        <f>Model!J57+Model!J58+Model!J59</f>
        <v/>
      </c>
      <c r="K20" s="66">
        <f>Model!K57+Model!K58+Model!K59</f>
        <v/>
      </c>
      <c r="L20" s="66">
        <f>Model!L57+Model!L58+Model!L59</f>
        <v/>
      </c>
      <c r="M20" s="66">
        <f>Model!M57+Model!M58+Model!M59</f>
        <v/>
      </c>
      <c r="N20" s="66">
        <f>Model!N57+Model!N58+Model!N59</f>
        <v/>
      </c>
      <c r="O20" s="66">
        <f>Model!O57+Model!O58+Model!O59</f>
        <v/>
      </c>
      <c r="P20" s="66">
        <f>Model!P57+Model!P58+Model!P59</f>
        <v/>
      </c>
      <c r="Q20" s="66">
        <f>Model!Q57+Model!Q58+Model!Q59</f>
        <v/>
      </c>
      <c r="R20" s="66">
        <f>Model!R57+Model!R58+Model!R59</f>
        <v/>
      </c>
      <c r="S20" s="66">
        <f>Model!S57+Model!S58+Model!S59</f>
        <v/>
      </c>
      <c r="T20" s="66">
        <f>Model!T57+Model!T58+Model!T59</f>
        <v/>
      </c>
      <c r="U20" s="66">
        <f>Model!U57+Model!U58+Model!U59</f>
        <v/>
      </c>
      <c r="V20" s="66">
        <f>Model!V57+Model!V58+Model!V59</f>
        <v/>
      </c>
      <c r="W20" s="66">
        <f>Model!W57+Model!W58+Model!W59</f>
        <v/>
      </c>
      <c r="X20" s="66">
        <f>Model!X57+Model!X58+Model!X59</f>
        <v/>
      </c>
      <c r="Y20" s="66">
        <f>Model!Y57+Model!Y58+Model!Y59</f>
        <v/>
      </c>
      <c r="Z20" s="66">
        <f>Model!Z57+Model!Z58+Model!Z59</f>
        <v/>
      </c>
      <c r="AA20" s="66">
        <f>Model!AA57+Model!AA58+Model!AA59</f>
        <v/>
      </c>
      <c r="AB20" s="66">
        <f>Model!AB57+Model!AB58+Model!AB59</f>
        <v/>
      </c>
      <c r="AC20" s="66">
        <f>Model!AC57+Model!AC58+Model!AC59</f>
        <v/>
      </c>
      <c r="AD20" s="66">
        <f>Model!AD57+Model!AD58+Model!AD59</f>
        <v/>
      </c>
      <c r="AE20" s="66">
        <f>Model!AE57+Model!AE58+Model!AE59</f>
        <v/>
      </c>
      <c r="AF20" s="66">
        <f>Model!AF57+Model!AF58+Model!AF59</f>
        <v/>
      </c>
      <c r="AG20" s="66">
        <f>Model!AG57+Model!AG58+Model!AG59</f>
        <v/>
      </c>
      <c r="AH20" s="66">
        <f>Model!AH57+Model!AH58+Model!AH59</f>
        <v/>
      </c>
      <c r="AI20" s="66">
        <f>Model!AI57+Model!AI58+Model!AI59</f>
        <v/>
      </c>
      <c r="AJ20" s="66">
        <f>Model!AJ57+Model!AJ58+Model!AJ59</f>
        <v/>
      </c>
      <c r="AK20" s="66">
        <f>Model!AK57+Model!AK58+Model!AK59</f>
        <v/>
      </c>
      <c r="AL20" s="66">
        <f>Model!AL57+Model!AL58+Model!AL59</f>
        <v/>
      </c>
      <c r="AM20" s="66">
        <f>Model!AM57+Model!AM58+Model!AM59</f>
        <v/>
      </c>
      <c r="AN20" s="66">
        <f>Model!AN57+Model!AN58+Model!AN59</f>
        <v/>
      </c>
      <c r="AO20" s="66">
        <f>Model!AO57+Model!AO58+Model!AO59</f>
        <v/>
      </c>
      <c r="AP20" s="66">
        <f>Model!AP57+Model!AP58+Model!AP59</f>
        <v/>
      </c>
      <c r="AQ20" s="66">
        <f>Model!AQ57+Model!AQ58+Model!AQ59</f>
        <v/>
      </c>
      <c r="AR20" s="66">
        <f>Model!AR57+Model!AR58+Model!AR59</f>
        <v/>
      </c>
      <c r="AS20" s="66">
        <f>Model!AS57+Model!AS58+Model!AS59</f>
        <v/>
      </c>
      <c r="AT20" s="66">
        <f>Model!AT57+Model!AT58+Model!AT59</f>
        <v/>
      </c>
      <c r="AU20" s="66">
        <f>Model!AU57+Model!AU58+Model!AU59</f>
        <v/>
      </c>
      <c r="AV20" s="66">
        <f>Model!AV57+Model!AV58+Model!AV59</f>
        <v/>
      </c>
      <c r="AW20" s="66">
        <f>Model!AW57+Model!AW58+Model!AW59</f>
        <v/>
      </c>
      <c r="AX20" s="66">
        <f>Model!AX57+Model!AX58+Model!AX59</f>
        <v/>
      </c>
      <c r="AY20" s="66">
        <f>Model!AY57+Model!AY58+Model!AY59</f>
        <v/>
      </c>
      <c r="AZ20" s="66">
        <f>Model!AZ57+Model!AZ58+Model!AZ59</f>
        <v/>
      </c>
      <c r="BA20" s="66">
        <f>Model!BA57+Model!BA58+Model!BA59</f>
        <v/>
      </c>
      <c r="BB20" s="66">
        <f>Model!BB57+Model!BB58+Model!BB59</f>
        <v/>
      </c>
      <c r="BC20" s="66">
        <f>Model!BC57+Model!BC58+Model!BC59</f>
        <v/>
      </c>
      <c r="BD20" s="66">
        <f>Model!BD57+Model!BD58+Model!BD59</f>
        <v/>
      </c>
      <c r="BE20" s="66">
        <f>Model!BE57+Model!BE58+Model!BE59</f>
        <v/>
      </c>
      <c r="BF20" s="66">
        <f>Model!BF57+Model!BF58+Model!BF59</f>
        <v/>
      </c>
      <c r="BG20" s="66">
        <f>Model!BG57+Model!BG58+Model!BG59</f>
        <v/>
      </c>
      <c r="BH20" s="66">
        <f>Model!BH57+Model!BH58+Model!BH59</f>
        <v/>
      </c>
      <c r="BI20" s="66">
        <f>Model!BI57+Model!BI58+Model!BI59</f>
        <v/>
      </c>
      <c r="BJ20" s="66">
        <f>Model!BJ57+Model!BJ58+Model!BJ59</f>
        <v/>
      </c>
      <c r="BK20" s="66">
        <f>Model!BK57+Model!BK58+Model!BK59</f>
        <v/>
      </c>
      <c r="BL20" s="66">
        <f>Model!BL57+Model!BL58+Model!BL59</f>
        <v/>
      </c>
      <c r="BM20" s="66">
        <f>Model!BM57+Model!BM58+Model!BM59</f>
        <v/>
      </c>
      <c r="BN20" s="66">
        <f>Model!BN57+Model!BN58+Model!BN59</f>
        <v/>
      </c>
      <c r="BO20" s="66">
        <f>Model!BO57+Model!BO58+Model!BO59</f>
        <v/>
      </c>
      <c r="BP20" s="66">
        <f>Model!BP57+Model!BP58+Model!BP59</f>
        <v/>
      </c>
      <c r="BQ20" s="66">
        <f>Model!BQ57+Model!BQ58+Model!BQ59</f>
        <v/>
      </c>
      <c r="BR20" s="66">
        <f>Model!BR57+Model!BR58+Model!BR59</f>
        <v/>
      </c>
      <c r="BS20" s="66">
        <f>Model!BS57+Model!BS58+Model!BS59</f>
        <v/>
      </c>
      <c r="BT20" s="66">
        <f>Model!BT57+Model!BT58+Model!BT59</f>
        <v/>
      </c>
      <c r="BU20" s="66">
        <f>Model!BU57+Model!BU58+Model!BU59</f>
        <v/>
      </c>
      <c r="BV20" s="66">
        <f>Model!BV57+Model!BV58+Model!BV59</f>
        <v/>
      </c>
      <c r="BW20" s="66">
        <f>Model!BW57+Model!BW58+Model!BW59</f>
        <v/>
      </c>
      <c r="BX20" s="66">
        <f>Model!BX57+Model!BX58+Model!BX59</f>
        <v/>
      </c>
      <c r="BY20" s="66">
        <f>Model!BY57+Model!BY58+Model!BY59</f>
        <v/>
      </c>
      <c r="BZ20" s="66">
        <f>Model!BZ57+Model!BZ58+Model!BZ59</f>
        <v/>
      </c>
      <c r="CA20" s="66">
        <f>Model!CA57+Model!CA58+Model!CA59</f>
        <v/>
      </c>
      <c r="CB20" s="66">
        <f>Model!CB57+Model!CB58+Model!CB59</f>
        <v/>
      </c>
      <c r="CC20" s="66">
        <f>Model!CC57+Model!CC58+Model!CC59</f>
        <v/>
      </c>
      <c r="CD20" s="66">
        <f>Model!CD57+Model!CD58+Model!CD59</f>
        <v/>
      </c>
      <c r="CE20" s="66">
        <f>Model!CE57+Model!CE58+Model!CE59</f>
        <v/>
      </c>
      <c r="CF20" s="66">
        <f>Model!CF57+Model!CF58+Model!CF59</f>
        <v/>
      </c>
      <c r="CG20" s="66">
        <f>Model!CG57+Model!CG58+Model!CG59</f>
        <v/>
      </c>
      <c r="CH20" s="66">
        <f>Model!CH57+Model!CH58+Model!CH59</f>
        <v/>
      </c>
    </row>
    <row r="21" ht="15" customHeight="1" s="201">
      <c r="A21" s="69" t="inlineStr">
        <is>
          <t xml:space="preserve">  Steyn Fees</t>
        </is>
      </c>
      <c r="B21" s="1" t="n"/>
      <c r="C21" s="70" t="n">
        <v>0</v>
      </c>
      <c r="D21" s="70" t="n">
        <v>0</v>
      </c>
      <c r="E21" s="70" t="n">
        <v>0</v>
      </c>
      <c r="F21" s="70" t="n">
        <v>0</v>
      </c>
      <c r="G21" s="70" t="n">
        <v>0</v>
      </c>
      <c r="H21" s="70">
        <f>IF(Projects!$G$12="Yes",-135452,0)</f>
        <v/>
      </c>
      <c r="I21" s="70" t="n">
        <v>0</v>
      </c>
      <c r="J21" s="70" t="n">
        <v>0</v>
      </c>
      <c r="K21" s="70" t="n">
        <v>0</v>
      </c>
      <c r="L21" s="70" t="n">
        <v>0</v>
      </c>
      <c r="M21" s="70" t="n">
        <v>0</v>
      </c>
      <c r="N21" s="70" t="n">
        <v>0</v>
      </c>
      <c r="O21" s="70" t="n">
        <v>0</v>
      </c>
      <c r="P21" s="70" t="n">
        <v>0</v>
      </c>
      <c r="Q21" s="70" t="n">
        <v>0</v>
      </c>
      <c r="R21" s="70" t="n">
        <v>0</v>
      </c>
      <c r="S21" s="70" t="n">
        <v>0</v>
      </c>
      <c r="T21" s="70" t="n">
        <v>0</v>
      </c>
      <c r="U21" s="70" t="n">
        <v>0</v>
      </c>
      <c r="V21" s="70" t="n">
        <v>0</v>
      </c>
      <c r="W21" s="70" t="n">
        <v>0</v>
      </c>
      <c r="X21" s="70" t="n">
        <v>0</v>
      </c>
      <c r="Y21" s="70" t="n">
        <v>0</v>
      </c>
      <c r="Z21" s="70" t="n">
        <v>0</v>
      </c>
      <c r="AA21" s="70" t="n">
        <v>0</v>
      </c>
      <c r="AB21" s="70" t="n">
        <v>0</v>
      </c>
      <c r="AC21" s="70" t="n">
        <v>0</v>
      </c>
      <c r="AD21" s="70" t="n">
        <v>0</v>
      </c>
      <c r="AE21" s="70" t="n">
        <v>0</v>
      </c>
      <c r="AF21" s="70" t="n">
        <v>0</v>
      </c>
      <c r="AG21" s="70" t="n">
        <v>0</v>
      </c>
      <c r="AH21" s="70" t="n">
        <v>0</v>
      </c>
      <c r="AI21" s="70" t="n">
        <v>0</v>
      </c>
      <c r="AJ21" s="70" t="n">
        <v>0</v>
      </c>
      <c r="AK21" s="70" t="n">
        <v>0</v>
      </c>
      <c r="AL21" s="70" t="n">
        <v>0</v>
      </c>
      <c r="AM21" s="70" t="n">
        <v>0</v>
      </c>
      <c r="AN21" s="70" t="n">
        <v>0</v>
      </c>
      <c r="AO21" s="70" t="n">
        <v>0</v>
      </c>
      <c r="AP21" s="70" t="n">
        <v>0</v>
      </c>
      <c r="AQ21" s="70" t="n">
        <v>0</v>
      </c>
      <c r="AR21" s="70" t="n">
        <v>0</v>
      </c>
      <c r="AS21" s="70" t="n">
        <v>0</v>
      </c>
      <c r="AT21" s="70" t="n">
        <v>0</v>
      </c>
      <c r="AU21" s="70" t="n">
        <v>0</v>
      </c>
      <c r="AV21" s="70" t="n">
        <v>0</v>
      </c>
      <c r="AW21" s="70" t="n">
        <v>0</v>
      </c>
      <c r="AX21" s="70" t="n">
        <v>0</v>
      </c>
      <c r="AY21" s="70" t="n">
        <v>0</v>
      </c>
      <c r="AZ21" s="70" t="n">
        <v>0</v>
      </c>
      <c r="BA21" s="70" t="n">
        <v>0</v>
      </c>
      <c r="BB21" s="70" t="n">
        <v>0</v>
      </c>
      <c r="BC21" s="70" t="n">
        <v>0</v>
      </c>
      <c r="BD21" s="70" t="n">
        <v>0</v>
      </c>
      <c r="BE21" s="70" t="n">
        <v>0</v>
      </c>
      <c r="BF21" s="70" t="n">
        <v>0</v>
      </c>
      <c r="BG21" s="70" t="n">
        <v>0</v>
      </c>
      <c r="BH21" s="70" t="n">
        <v>0</v>
      </c>
      <c r="BI21" s="70" t="n">
        <v>0</v>
      </c>
      <c r="BJ21" s="70" t="n">
        <v>0</v>
      </c>
      <c r="BK21" s="70" t="n">
        <v>0</v>
      </c>
      <c r="BL21" s="70" t="n">
        <v>0</v>
      </c>
      <c r="BM21" s="70" t="n">
        <v>0</v>
      </c>
      <c r="BN21" s="70" t="n">
        <v>0</v>
      </c>
      <c r="BO21" s="70" t="n">
        <v>0</v>
      </c>
      <c r="BP21" s="70" t="n">
        <v>0</v>
      </c>
      <c r="BQ21" s="70" t="n">
        <v>0</v>
      </c>
      <c r="BR21" s="70" t="n">
        <v>0</v>
      </c>
      <c r="BS21" s="70" t="n">
        <v>0</v>
      </c>
      <c r="BT21" s="70" t="n">
        <v>0</v>
      </c>
      <c r="BU21" s="70" t="n">
        <v>0</v>
      </c>
      <c r="BV21" s="70" t="n">
        <v>0</v>
      </c>
      <c r="BW21" s="70" t="n">
        <v>0</v>
      </c>
      <c r="BX21" s="70" t="n">
        <v>0</v>
      </c>
      <c r="BY21" s="70" t="n">
        <v>0</v>
      </c>
      <c r="BZ21" s="70" t="n">
        <v>0</v>
      </c>
      <c r="CA21" s="70" t="n">
        <v>0</v>
      </c>
      <c r="CB21" s="70" t="n">
        <v>0</v>
      </c>
      <c r="CC21" s="70" t="n">
        <v>0</v>
      </c>
      <c r="CD21" s="70" t="n">
        <v>0</v>
      </c>
      <c r="CE21" s="70" t="n">
        <v>0</v>
      </c>
      <c r="CF21" s="70" t="n">
        <v>0</v>
      </c>
      <c r="CG21" s="70" t="n">
        <v>0</v>
      </c>
      <c r="CH21" s="70" t="n">
        <v>0</v>
      </c>
    </row>
    <row r="22" ht="15" customHeight="1" s="201">
      <c r="A22" s="28" t="inlineStr">
        <is>
          <t xml:space="preserve">  Net to Six Peak</t>
        </is>
      </c>
      <c r="B22" s="28" t="n"/>
      <c r="C22" s="67">
        <f>C20+C21</f>
        <v/>
      </c>
      <c r="D22" s="67">
        <f>D20+D21</f>
        <v/>
      </c>
      <c r="E22" s="67">
        <f>E20+E21</f>
        <v/>
      </c>
      <c r="F22" s="67">
        <f>F20+F21</f>
        <v/>
      </c>
      <c r="G22" s="67">
        <f>G20+G21</f>
        <v/>
      </c>
      <c r="H22" s="67">
        <f>H20+H21</f>
        <v/>
      </c>
      <c r="I22" s="67">
        <f>I20+I21</f>
        <v/>
      </c>
      <c r="J22" s="67">
        <f>J20+J21</f>
        <v/>
      </c>
      <c r="K22" s="67">
        <f>K20+K21</f>
        <v/>
      </c>
      <c r="L22" s="67">
        <f>L20+L21</f>
        <v/>
      </c>
      <c r="M22" s="67">
        <f>M20+M21</f>
        <v/>
      </c>
      <c r="N22" s="67">
        <f>N20+N21</f>
        <v/>
      </c>
      <c r="O22" s="67">
        <f>O20+O21</f>
        <v/>
      </c>
      <c r="P22" s="67">
        <f>P20+P21</f>
        <v/>
      </c>
      <c r="Q22" s="67">
        <f>Q20+Q21</f>
        <v/>
      </c>
      <c r="R22" s="67">
        <f>R20+R21</f>
        <v/>
      </c>
      <c r="S22" s="67">
        <f>S20+S21</f>
        <v/>
      </c>
      <c r="T22" s="67">
        <f>T20+T21</f>
        <v/>
      </c>
      <c r="U22" s="67">
        <f>U20+U21</f>
        <v/>
      </c>
      <c r="V22" s="67">
        <f>V20+V21</f>
        <v/>
      </c>
      <c r="W22" s="67">
        <f>W20+W21</f>
        <v/>
      </c>
      <c r="X22" s="67">
        <f>X20+X21</f>
        <v/>
      </c>
      <c r="Y22" s="67">
        <f>Y20+Y21</f>
        <v/>
      </c>
      <c r="Z22" s="67">
        <f>Z20+Z21</f>
        <v/>
      </c>
      <c r="AA22" s="67">
        <f>AA20+AA21</f>
        <v/>
      </c>
      <c r="AB22" s="67">
        <f>AB20+AB21</f>
        <v/>
      </c>
      <c r="AC22" s="67">
        <f>AC20+AC21</f>
        <v/>
      </c>
      <c r="AD22" s="67">
        <f>AD20+AD21</f>
        <v/>
      </c>
      <c r="AE22" s="67">
        <f>AE20+AE21</f>
        <v/>
      </c>
      <c r="AF22" s="67">
        <f>AF20+AF21</f>
        <v/>
      </c>
      <c r="AG22" s="67">
        <f>AG20+AG21</f>
        <v/>
      </c>
      <c r="AH22" s="67">
        <f>AH20+AH21</f>
        <v/>
      </c>
      <c r="AI22" s="67">
        <f>AI20+AI21</f>
        <v/>
      </c>
      <c r="AJ22" s="67">
        <f>AJ20+AJ21</f>
        <v/>
      </c>
      <c r="AK22" s="67">
        <f>AK20+AK21</f>
        <v/>
      </c>
      <c r="AL22" s="67">
        <f>AL20+AL21</f>
        <v/>
      </c>
      <c r="AM22" s="67">
        <f>AM20+AM21</f>
        <v/>
      </c>
      <c r="AN22" s="67">
        <f>AN20+AN21</f>
        <v/>
      </c>
      <c r="AO22" s="67">
        <f>AO20+AO21</f>
        <v/>
      </c>
      <c r="AP22" s="67">
        <f>AP20+AP21</f>
        <v/>
      </c>
      <c r="AQ22" s="67">
        <f>AQ20+AQ21</f>
        <v/>
      </c>
      <c r="AR22" s="67">
        <f>AR20+AR21</f>
        <v/>
      </c>
      <c r="AS22" s="67">
        <f>AS20+AS21</f>
        <v/>
      </c>
      <c r="AT22" s="67">
        <f>AT20+AT21</f>
        <v/>
      </c>
      <c r="AU22" s="67">
        <f>AU20+AU21</f>
        <v/>
      </c>
      <c r="AV22" s="67">
        <f>AV20+AV21</f>
        <v/>
      </c>
      <c r="AW22" s="67">
        <f>AW20+AW21</f>
        <v/>
      </c>
      <c r="AX22" s="67">
        <f>AX20+AX21</f>
        <v/>
      </c>
      <c r="AY22" s="67">
        <f>AY20+AY21</f>
        <v/>
      </c>
      <c r="AZ22" s="67">
        <f>AZ20+AZ21</f>
        <v/>
      </c>
      <c r="BA22" s="67">
        <f>BA20+BA21</f>
        <v/>
      </c>
      <c r="BB22" s="67">
        <f>BB20+BB21</f>
        <v/>
      </c>
      <c r="BC22" s="67">
        <f>BC20+BC21</f>
        <v/>
      </c>
      <c r="BD22" s="67">
        <f>BD20+BD21</f>
        <v/>
      </c>
      <c r="BE22" s="67">
        <f>BE20+BE21</f>
        <v/>
      </c>
      <c r="BF22" s="67">
        <f>BF20+BF21</f>
        <v/>
      </c>
      <c r="BG22" s="67">
        <f>BG20+BG21</f>
        <v/>
      </c>
      <c r="BH22" s="67">
        <f>BH20+BH21</f>
        <v/>
      </c>
      <c r="BI22" s="67">
        <f>BI20+BI21</f>
        <v/>
      </c>
      <c r="BJ22" s="67">
        <f>BJ20+BJ21</f>
        <v/>
      </c>
      <c r="BK22" s="67">
        <f>BK20+BK21</f>
        <v/>
      </c>
      <c r="BL22" s="67">
        <f>BL20+BL21</f>
        <v/>
      </c>
      <c r="BM22" s="67">
        <f>BM20+BM21</f>
        <v/>
      </c>
      <c r="BN22" s="67">
        <f>BN20+BN21</f>
        <v/>
      </c>
      <c r="BO22" s="67">
        <f>BO20+BO21</f>
        <v/>
      </c>
      <c r="BP22" s="67">
        <f>BP20+BP21</f>
        <v/>
      </c>
      <c r="BQ22" s="67">
        <f>BQ20+BQ21</f>
        <v/>
      </c>
      <c r="BR22" s="67">
        <f>BR20+BR21</f>
        <v/>
      </c>
      <c r="BS22" s="67">
        <f>BS20+BS21</f>
        <v/>
      </c>
      <c r="BT22" s="67">
        <f>BT20+BT21</f>
        <v/>
      </c>
      <c r="BU22" s="67">
        <f>BU20+BU21</f>
        <v/>
      </c>
      <c r="BV22" s="67">
        <f>BV20+BV21</f>
        <v/>
      </c>
      <c r="BW22" s="67">
        <f>BW20+BW21</f>
        <v/>
      </c>
      <c r="BX22" s="67">
        <f>BX20+BX21</f>
        <v/>
      </c>
      <c r="BY22" s="67">
        <f>BY20+BY21</f>
        <v/>
      </c>
      <c r="BZ22" s="67">
        <f>BZ20+BZ21</f>
        <v/>
      </c>
      <c r="CA22" s="67">
        <f>CA20+CA21</f>
        <v/>
      </c>
      <c r="CB22" s="67">
        <f>CB20+CB21</f>
        <v/>
      </c>
      <c r="CC22" s="67">
        <f>CC20+CC21</f>
        <v/>
      </c>
      <c r="CD22" s="67">
        <f>CD20+CD21</f>
        <v/>
      </c>
      <c r="CE22" s="67">
        <f>CE20+CE21</f>
        <v/>
      </c>
      <c r="CF22" s="67">
        <f>CF20+CF21</f>
        <v/>
      </c>
      <c r="CG22" s="67">
        <f>CG20+CG21</f>
        <v/>
      </c>
      <c r="CH22" s="67">
        <f>CH20+CH21</f>
        <v/>
      </c>
    </row>
    <row r="23" ht="15" customHeight="1" s="201">
      <c r="A23" s="60" t="inlineStr">
        <is>
          <t xml:space="preserve">  Cumulative Net</t>
        </is>
      </c>
      <c r="B23" s="1" t="n"/>
      <c r="C23" s="68">
        <f>C22</f>
        <v/>
      </c>
      <c r="D23" s="68">
        <f>C23+D22</f>
        <v/>
      </c>
      <c r="E23" s="68">
        <f>D23+E22</f>
        <v/>
      </c>
      <c r="F23" s="68">
        <f>E23+F22</f>
        <v/>
      </c>
      <c r="G23" s="68">
        <f>F23+G22</f>
        <v/>
      </c>
      <c r="H23" s="68">
        <f>G23+H22</f>
        <v/>
      </c>
      <c r="I23" s="68">
        <f>H23+I22</f>
        <v/>
      </c>
      <c r="J23" s="68">
        <f>I23+J22</f>
        <v/>
      </c>
      <c r="K23" s="68">
        <f>J23+K22</f>
        <v/>
      </c>
      <c r="L23" s="68">
        <f>K23+L22</f>
        <v/>
      </c>
      <c r="M23" s="68">
        <f>L23+M22</f>
        <v/>
      </c>
      <c r="N23" s="68">
        <f>M23+N22</f>
        <v/>
      </c>
      <c r="O23" s="68">
        <f>N23+O22</f>
        <v/>
      </c>
      <c r="P23" s="68">
        <f>O23+P22</f>
        <v/>
      </c>
      <c r="Q23" s="68">
        <f>P23+Q22</f>
        <v/>
      </c>
      <c r="R23" s="68">
        <f>Q23+R22</f>
        <v/>
      </c>
      <c r="S23" s="68">
        <f>R23+S22</f>
        <v/>
      </c>
      <c r="T23" s="68">
        <f>S23+T22</f>
        <v/>
      </c>
      <c r="U23" s="68">
        <f>T23+U22</f>
        <v/>
      </c>
      <c r="V23" s="68">
        <f>U23+V22</f>
        <v/>
      </c>
      <c r="W23" s="68">
        <f>V23+W22</f>
        <v/>
      </c>
      <c r="X23" s="68">
        <f>W23+X22</f>
        <v/>
      </c>
      <c r="Y23" s="68">
        <f>X23+Y22</f>
        <v/>
      </c>
      <c r="Z23" s="68">
        <f>Y23+Z22</f>
        <v/>
      </c>
      <c r="AA23" s="68">
        <f>Z23+AA22</f>
        <v/>
      </c>
      <c r="AB23" s="68">
        <f>AA23+AB22</f>
        <v/>
      </c>
      <c r="AC23" s="68">
        <f>AB23+AC22</f>
        <v/>
      </c>
      <c r="AD23" s="68">
        <f>AC23+AD22</f>
        <v/>
      </c>
      <c r="AE23" s="68">
        <f>AD23+AE22</f>
        <v/>
      </c>
      <c r="AF23" s="68">
        <f>AE23+AF22</f>
        <v/>
      </c>
      <c r="AG23" s="68">
        <f>AF23+AG22</f>
        <v/>
      </c>
      <c r="AH23" s="68">
        <f>AG23+AH22</f>
        <v/>
      </c>
      <c r="AI23" s="68">
        <f>AH23+AI22</f>
        <v/>
      </c>
      <c r="AJ23" s="68">
        <f>AI23+AJ22</f>
        <v/>
      </c>
      <c r="AK23" s="68">
        <f>AJ23+AK22</f>
        <v/>
      </c>
      <c r="AL23" s="68">
        <f>AK23+AL22</f>
        <v/>
      </c>
      <c r="AM23" s="68">
        <f>AL23+AM22</f>
        <v/>
      </c>
      <c r="AN23" s="68">
        <f>AM23+AN22</f>
        <v/>
      </c>
      <c r="AO23" s="68">
        <f>AN23+AO22</f>
        <v/>
      </c>
      <c r="AP23" s="68">
        <f>AO23+AP22</f>
        <v/>
      </c>
      <c r="AQ23" s="68">
        <f>AP23+AQ22</f>
        <v/>
      </c>
      <c r="AR23" s="68">
        <f>AQ23+AR22</f>
        <v/>
      </c>
      <c r="AS23" s="68">
        <f>AR23+AS22</f>
        <v/>
      </c>
      <c r="AT23" s="68">
        <f>AS23+AT22</f>
        <v/>
      </c>
      <c r="AU23" s="68">
        <f>AT23+AU22</f>
        <v/>
      </c>
      <c r="AV23" s="68">
        <f>AU23+AV22</f>
        <v/>
      </c>
      <c r="AW23" s="68">
        <f>AV23+AW22</f>
        <v/>
      </c>
      <c r="AX23" s="68">
        <f>AW23+AX22</f>
        <v/>
      </c>
      <c r="AY23" s="68">
        <f>AX23+AY22</f>
        <v/>
      </c>
      <c r="AZ23" s="68">
        <f>AY23+AZ22</f>
        <v/>
      </c>
      <c r="BA23" s="68">
        <f>AZ23+BA22</f>
        <v/>
      </c>
      <c r="BB23" s="68">
        <f>BA23+BB22</f>
        <v/>
      </c>
      <c r="BC23" s="68">
        <f>BB23+BC22</f>
        <v/>
      </c>
      <c r="BD23" s="68">
        <f>BC23+BD22</f>
        <v/>
      </c>
      <c r="BE23" s="68">
        <f>BD23+BE22</f>
        <v/>
      </c>
      <c r="BF23" s="68">
        <f>BE23+BF22</f>
        <v/>
      </c>
      <c r="BG23" s="68">
        <f>BF23+BG22</f>
        <v/>
      </c>
      <c r="BH23" s="68">
        <f>BG23+BH22</f>
        <v/>
      </c>
      <c r="BI23" s="68">
        <f>BH23+BI22</f>
        <v/>
      </c>
      <c r="BJ23" s="68">
        <f>BI23+BJ22</f>
        <v/>
      </c>
      <c r="BK23" s="68">
        <f>BJ23+BK22</f>
        <v/>
      </c>
      <c r="BL23" s="68">
        <f>BK23+BL22</f>
        <v/>
      </c>
      <c r="BM23" s="68">
        <f>BL23+BM22</f>
        <v/>
      </c>
      <c r="BN23" s="68">
        <f>BM23+BN22</f>
        <v/>
      </c>
      <c r="BO23" s="68">
        <f>BN23+BO22</f>
        <v/>
      </c>
      <c r="BP23" s="68">
        <f>BO23+BP22</f>
        <v/>
      </c>
      <c r="BQ23" s="68">
        <f>BP23+BQ22</f>
        <v/>
      </c>
      <c r="BR23" s="68">
        <f>BQ23+BR22</f>
        <v/>
      </c>
      <c r="BS23" s="68">
        <f>BR23+BS22</f>
        <v/>
      </c>
      <c r="BT23" s="68">
        <f>BS23+BT22</f>
        <v/>
      </c>
      <c r="BU23" s="68">
        <f>BT23+BU22</f>
        <v/>
      </c>
      <c r="BV23" s="68">
        <f>BU23+BV22</f>
        <v/>
      </c>
      <c r="BW23" s="68">
        <f>BV23+BW22</f>
        <v/>
      </c>
      <c r="BX23" s="68">
        <f>BW23+BX22</f>
        <v/>
      </c>
      <c r="BY23" s="68">
        <f>BX23+BY22</f>
        <v/>
      </c>
      <c r="BZ23" s="68">
        <f>BY23+BZ22</f>
        <v/>
      </c>
      <c r="CA23" s="68">
        <f>BZ23+CA22</f>
        <v/>
      </c>
      <c r="CB23" s="68">
        <f>CA23+CB22</f>
        <v/>
      </c>
      <c r="CC23" s="68">
        <f>CB23+CC22</f>
        <v/>
      </c>
      <c r="CD23" s="68">
        <f>CC23+CD22</f>
        <v/>
      </c>
      <c r="CE23" s="68">
        <f>CD23+CE22</f>
        <v/>
      </c>
      <c r="CF23" s="68">
        <f>CE23+CF22</f>
        <v/>
      </c>
      <c r="CG23" s="68">
        <f>CF23+CG22</f>
        <v/>
      </c>
      <c r="CH23" s="68">
        <f>CG23+CH22</f>
        <v/>
      </c>
    </row>
    <row r="24" ht="15" customHeight="1" s="20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  <c r="BA24" s="1" t="n"/>
      <c r="BB24" s="1" t="n"/>
      <c r="BC24" s="1" t="n"/>
      <c r="BD24" s="1" t="n"/>
      <c r="BE24" s="1" t="n"/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  <c r="CH24" s="1" t="n"/>
    </row>
    <row r="25" ht="15" customHeight="1" s="201">
      <c r="A25" s="6" t="inlineStr">
        <is>
          <t>Francis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</row>
    <row r="26" ht="15" customHeight="1" s="201">
      <c r="A26" s="16" t="inlineStr">
        <is>
          <t xml:space="preserve">  Revenue</t>
        </is>
      </c>
      <c r="B26" s="1" t="n"/>
      <c r="C26" s="66">
        <f>Model!C60</f>
        <v/>
      </c>
      <c r="D26" s="66">
        <f>Model!D60</f>
        <v/>
      </c>
      <c r="E26" s="66">
        <f>Model!E60</f>
        <v/>
      </c>
      <c r="F26" s="66">
        <f>Model!F60</f>
        <v/>
      </c>
      <c r="G26" s="66">
        <f>Model!G60</f>
        <v/>
      </c>
      <c r="H26" s="66">
        <f>Model!H60</f>
        <v/>
      </c>
      <c r="I26" s="66">
        <f>Model!I60</f>
        <v/>
      </c>
      <c r="J26" s="66">
        <f>Model!J60</f>
        <v/>
      </c>
      <c r="K26" s="66">
        <f>Model!K60</f>
        <v/>
      </c>
      <c r="L26" s="66">
        <f>Model!L60</f>
        <v/>
      </c>
      <c r="M26" s="66">
        <f>Model!M60</f>
        <v/>
      </c>
      <c r="N26" s="66">
        <f>Model!N60</f>
        <v/>
      </c>
      <c r="O26" s="66">
        <f>Model!O60</f>
        <v/>
      </c>
      <c r="P26" s="66">
        <f>Model!P60</f>
        <v/>
      </c>
      <c r="Q26" s="66">
        <f>Model!Q60</f>
        <v/>
      </c>
      <c r="R26" s="66">
        <f>Model!R60</f>
        <v/>
      </c>
      <c r="S26" s="66">
        <f>Model!S60</f>
        <v/>
      </c>
      <c r="T26" s="66">
        <f>Model!T60</f>
        <v/>
      </c>
      <c r="U26" s="66">
        <f>Model!U60</f>
        <v/>
      </c>
      <c r="V26" s="66">
        <f>Model!V60</f>
        <v/>
      </c>
      <c r="W26" s="66">
        <f>Model!W60</f>
        <v/>
      </c>
      <c r="X26" s="66">
        <f>Model!X60</f>
        <v/>
      </c>
      <c r="Y26" s="66">
        <f>Model!Y60</f>
        <v/>
      </c>
      <c r="Z26" s="66">
        <f>Model!Z60</f>
        <v/>
      </c>
      <c r="AA26" s="66">
        <f>Model!AA60</f>
        <v/>
      </c>
      <c r="AB26" s="66">
        <f>Model!AB60</f>
        <v/>
      </c>
      <c r="AC26" s="66">
        <f>Model!AC60</f>
        <v/>
      </c>
      <c r="AD26" s="66">
        <f>Model!AD60</f>
        <v/>
      </c>
      <c r="AE26" s="66">
        <f>Model!AE60</f>
        <v/>
      </c>
      <c r="AF26" s="66">
        <f>Model!AF60</f>
        <v/>
      </c>
      <c r="AG26" s="66">
        <f>Model!AG60</f>
        <v/>
      </c>
      <c r="AH26" s="66">
        <f>Model!AH60</f>
        <v/>
      </c>
      <c r="AI26" s="66">
        <f>Model!AI60</f>
        <v/>
      </c>
      <c r="AJ26" s="66">
        <f>Model!AJ60</f>
        <v/>
      </c>
      <c r="AK26" s="66">
        <f>Model!AK60</f>
        <v/>
      </c>
      <c r="AL26" s="66">
        <f>Model!AL60</f>
        <v/>
      </c>
      <c r="AM26" s="66">
        <f>Model!AM60</f>
        <v/>
      </c>
      <c r="AN26" s="66">
        <f>Model!AN60</f>
        <v/>
      </c>
      <c r="AO26" s="66">
        <f>Model!AO60</f>
        <v/>
      </c>
      <c r="AP26" s="66">
        <f>Model!AP60</f>
        <v/>
      </c>
      <c r="AQ26" s="66">
        <f>Model!AQ60</f>
        <v/>
      </c>
      <c r="AR26" s="66">
        <f>Model!AR60</f>
        <v/>
      </c>
      <c r="AS26" s="66">
        <f>Model!AS60</f>
        <v/>
      </c>
      <c r="AT26" s="66">
        <f>Model!AT60</f>
        <v/>
      </c>
      <c r="AU26" s="66">
        <f>Model!AU60</f>
        <v/>
      </c>
      <c r="AV26" s="66">
        <f>Model!AV60</f>
        <v/>
      </c>
      <c r="AW26" s="66">
        <f>Model!AW60</f>
        <v/>
      </c>
      <c r="AX26" s="66">
        <f>Model!AX60</f>
        <v/>
      </c>
      <c r="AY26" s="66">
        <f>Model!AY60</f>
        <v/>
      </c>
      <c r="AZ26" s="66">
        <f>Model!AZ60</f>
        <v/>
      </c>
      <c r="BA26" s="66">
        <f>Model!BA60</f>
        <v/>
      </c>
      <c r="BB26" s="66">
        <f>Model!BB60</f>
        <v/>
      </c>
      <c r="BC26" s="66">
        <f>Model!BC60</f>
        <v/>
      </c>
      <c r="BD26" s="66">
        <f>Model!BD60</f>
        <v/>
      </c>
      <c r="BE26" s="66">
        <f>Model!BE60</f>
        <v/>
      </c>
      <c r="BF26" s="66">
        <f>Model!BF60</f>
        <v/>
      </c>
      <c r="BG26" s="66">
        <f>Model!BG60</f>
        <v/>
      </c>
      <c r="BH26" s="66">
        <f>Model!BH60</f>
        <v/>
      </c>
      <c r="BI26" s="66">
        <f>Model!BI60</f>
        <v/>
      </c>
      <c r="BJ26" s="66">
        <f>Model!BJ60</f>
        <v/>
      </c>
      <c r="BK26" s="66">
        <f>Model!BK60</f>
        <v/>
      </c>
      <c r="BL26" s="66">
        <f>Model!BL60</f>
        <v/>
      </c>
      <c r="BM26" s="66">
        <f>Model!BM60</f>
        <v/>
      </c>
      <c r="BN26" s="66">
        <f>Model!BN60</f>
        <v/>
      </c>
      <c r="BO26" s="66">
        <f>Model!BO60</f>
        <v/>
      </c>
      <c r="BP26" s="66">
        <f>Model!BP60</f>
        <v/>
      </c>
      <c r="BQ26" s="66">
        <f>Model!BQ60</f>
        <v/>
      </c>
      <c r="BR26" s="66">
        <f>Model!BR60</f>
        <v/>
      </c>
      <c r="BS26" s="66">
        <f>Model!BS60</f>
        <v/>
      </c>
      <c r="BT26" s="66">
        <f>Model!BT60</f>
        <v/>
      </c>
      <c r="BU26" s="66">
        <f>Model!BU60</f>
        <v/>
      </c>
      <c r="BV26" s="66">
        <f>Model!BV60</f>
        <v/>
      </c>
      <c r="BW26" s="66">
        <f>Model!BW60</f>
        <v/>
      </c>
      <c r="BX26" s="66">
        <f>Model!BX60</f>
        <v/>
      </c>
      <c r="BY26" s="66">
        <f>Model!BY60</f>
        <v/>
      </c>
      <c r="BZ26" s="66">
        <f>Model!BZ60</f>
        <v/>
      </c>
      <c r="CA26" s="66">
        <f>Model!CA60</f>
        <v/>
      </c>
      <c r="CB26" s="66">
        <f>Model!CB60</f>
        <v/>
      </c>
      <c r="CC26" s="66">
        <f>Model!CC60</f>
        <v/>
      </c>
      <c r="CD26" s="66">
        <f>Model!CD60</f>
        <v/>
      </c>
      <c r="CE26" s="66">
        <f>Model!CE60</f>
        <v/>
      </c>
      <c r="CF26" s="66">
        <f>Model!CF60</f>
        <v/>
      </c>
      <c r="CG26" s="66">
        <f>Model!CG60</f>
        <v/>
      </c>
      <c r="CH26" s="66">
        <f>Model!CH60</f>
        <v/>
      </c>
    </row>
    <row r="27" ht="15" customHeight="1" s="201">
      <c r="A27" s="69" t="inlineStr">
        <is>
          <t xml:space="preserve">  Steyn Fees</t>
        </is>
      </c>
      <c r="B27" s="1" t="n"/>
      <c r="C27" s="70">
        <f>Model!C82</f>
        <v/>
      </c>
      <c r="D27" s="70">
        <f>Model!D82</f>
        <v/>
      </c>
      <c r="E27" s="70">
        <f>Model!E82</f>
        <v/>
      </c>
      <c r="F27" s="70">
        <f>Model!F82</f>
        <v/>
      </c>
      <c r="G27" s="70">
        <f>Model!G82</f>
        <v/>
      </c>
      <c r="H27" s="70">
        <f>Model!H82</f>
        <v/>
      </c>
      <c r="I27" s="70">
        <f>Model!I82</f>
        <v/>
      </c>
      <c r="J27" s="70">
        <f>Model!J82</f>
        <v/>
      </c>
      <c r="K27" s="70">
        <f>Model!K82</f>
        <v/>
      </c>
      <c r="L27" s="70">
        <f>Model!L82</f>
        <v/>
      </c>
      <c r="M27" s="70">
        <f>Model!M82</f>
        <v/>
      </c>
      <c r="N27" s="70">
        <f>Model!N82</f>
        <v/>
      </c>
      <c r="O27" s="70">
        <f>Model!O82</f>
        <v/>
      </c>
      <c r="P27" s="70">
        <f>Model!P82</f>
        <v/>
      </c>
      <c r="Q27" s="70">
        <f>Model!Q82</f>
        <v/>
      </c>
      <c r="R27" s="70">
        <f>Model!R82</f>
        <v/>
      </c>
      <c r="S27" s="70">
        <f>Model!S82</f>
        <v/>
      </c>
      <c r="T27" s="70">
        <f>Model!T82</f>
        <v/>
      </c>
      <c r="U27" s="70">
        <f>Model!U82</f>
        <v/>
      </c>
      <c r="V27" s="70">
        <f>Model!V82</f>
        <v/>
      </c>
      <c r="W27" s="70">
        <f>Model!W82</f>
        <v/>
      </c>
      <c r="X27" s="70">
        <f>Model!X82</f>
        <v/>
      </c>
      <c r="Y27" s="70">
        <f>Model!Y82</f>
        <v/>
      </c>
      <c r="Z27" s="70">
        <f>Model!Z82</f>
        <v/>
      </c>
      <c r="AA27" s="70">
        <f>Model!AA82</f>
        <v/>
      </c>
      <c r="AB27" s="70">
        <f>Model!AB82</f>
        <v/>
      </c>
      <c r="AC27" s="70">
        <f>Model!AC82</f>
        <v/>
      </c>
      <c r="AD27" s="70">
        <f>Model!AD82</f>
        <v/>
      </c>
      <c r="AE27" s="70">
        <f>Model!AE82</f>
        <v/>
      </c>
      <c r="AF27" s="70">
        <f>Model!AF82</f>
        <v/>
      </c>
      <c r="AG27" s="70">
        <f>Model!AG82</f>
        <v/>
      </c>
      <c r="AH27" s="70">
        <f>Model!AH82</f>
        <v/>
      </c>
      <c r="AI27" s="70">
        <f>Model!AI82</f>
        <v/>
      </c>
      <c r="AJ27" s="70">
        <f>Model!AJ82</f>
        <v/>
      </c>
      <c r="AK27" s="70">
        <f>Model!AK82</f>
        <v/>
      </c>
      <c r="AL27" s="70">
        <f>Model!AL82</f>
        <v/>
      </c>
      <c r="AM27" s="70">
        <f>Model!AM82</f>
        <v/>
      </c>
      <c r="AN27" s="70">
        <f>Model!AN82</f>
        <v/>
      </c>
      <c r="AO27" s="70">
        <f>Model!AO82</f>
        <v/>
      </c>
      <c r="AP27" s="70">
        <f>Model!AP82</f>
        <v/>
      </c>
      <c r="AQ27" s="70">
        <f>Model!AQ82</f>
        <v/>
      </c>
      <c r="AR27" s="70">
        <f>Model!AR82</f>
        <v/>
      </c>
      <c r="AS27" s="70">
        <f>Model!AS82</f>
        <v/>
      </c>
      <c r="AT27" s="70">
        <f>Model!AT82</f>
        <v/>
      </c>
      <c r="AU27" s="70">
        <f>Model!AU82</f>
        <v/>
      </c>
      <c r="AV27" s="70">
        <f>Model!AV82</f>
        <v/>
      </c>
      <c r="AW27" s="70">
        <f>Model!AW82</f>
        <v/>
      </c>
      <c r="AX27" s="70">
        <f>Model!AX82</f>
        <v/>
      </c>
      <c r="AY27" s="70">
        <f>Model!AY82</f>
        <v/>
      </c>
      <c r="AZ27" s="70">
        <f>Model!AZ82</f>
        <v/>
      </c>
      <c r="BA27" s="70">
        <f>Model!BA82</f>
        <v/>
      </c>
      <c r="BB27" s="70">
        <f>Model!BB82</f>
        <v/>
      </c>
      <c r="BC27" s="70">
        <f>Model!BC82</f>
        <v/>
      </c>
      <c r="BD27" s="70">
        <f>Model!BD82</f>
        <v/>
      </c>
      <c r="BE27" s="70">
        <f>Model!BE82</f>
        <v/>
      </c>
      <c r="BF27" s="70">
        <f>Model!BF82</f>
        <v/>
      </c>
      <c r="BG27" s="70">
        <f>Model!BG82</f>
        <v/>
      </c>
      <c r="BH27" s="70">
        <f>Model!BH82</f>
        <v/>
      </c>
      <c r="BI27" s="70">
        <f>Model!BI82</f>
        <v/>
      </c>
      <c r="BJ27" s="70">
        <f>Model!BJ82</f>
        <v/>
      </c>
      <c r="BK27" s="70">
        <f>Model!BK82</f>
        <v/>
      </c>
      <c r="BL27" s="70">
        <f>Model!BL82</f>
        <v/>
      </c>
      <c r="BM27" s="70">
        <f>Model!BM82</f>
        <v/>
      </c>
      <c r="BN27" s="70">
        <f>Model!BN82</f>
        <v/>
      </c>
      <c r="BO27" s="70">
        <f>Model!BO82</f>
        <v/>
      </c>
      <c r="BP27" s="70">
        <f>Model!BP82</f>
        <v/>
      </c>
      <c r="BQ27" s="70">
        <f>Model!BQ82</f>
        <v/>
      </c>
      <c r="BR27" s="70">
        <f>Model!BR82</f>
        <v/>
      </c>
      <c r="BS27" s="70">
        <f>Model!BS82</f>
        <v/>
      </c>
      <c r="BT27" s="70">
        <f>Model!BT82</f>
        <v/>
      </c>
      <c r="BU27" s="70">
        <f>Model!BU82</f>
        <v/>
      </c>
      <c r="BV27" s="70">
        <f>Model!BV82</f>
        <v/>
      </c>
      <c r="BW27" s="70">
        <f>Model!BW82</f>
        <v/>
      </c>
      <c r="BX27" s="70">
        <f>Model!BX82</f>
        <v/>
      </c>
      <c r="BY27" s="70">
        <f>Model!BY82</f>
        <v/>
      </c>
      <c r="BZ27" s="70">
        <f>Model!BZ82</f>
        <v/>
      </c>
      <c r="CA27" s="70">
        <f>Model!CA82</f>
        <v/>
      </c>
      <c r="CB27" s="70">
        <f>Model!CB82</f>
        <v/>
      </c>
      <c r="CC27" s="70">
        <f>Model!CC82</f>
        <v/>
      </c>
      <c r="CD27" s="70">
        <f>Model!CD82</f>
        <v/>
      </c>
      <c r="CE27" s="70">
        <f>Model!CE82</f>
        <v/>
      </c>
      <c r="CF27" s="70">
        <f>Model!CF82</f>
        <v/>
      </c>
      <c r="CG27" s="70">
        <f>Model!CG82</f>
        <v/>
      </c>
      <c r="CH27" s="70">
        <f>Model!CH82</f>
        <v/>
      </c>
    </row>
    <row r="28" ht="15" customHeight="1" s="201">
      <c r="A28" s="28" t="inlineStr">
        <is>
          <t xml:space="preserve">  Net to Six Peak</t>
        </is>
      </c>
      <c r="B28" s="28" t="n"/>
      <c r="C28" s="67">
        <f>C26+C27</f>
        <v/>
      </c>
      <c r="D28" s="67">
        <f>D26+D27</f>
        <v/>
      </c>
      <c r="E28" s="67">
        <f>E26+E27</f>
        <v/>
      </c>
      <c r="F28" s="67">
        <f>F26+F27</f>
        <v/>
      </c>
      <c r="G28" s="67">
        <f>G26+G27</f>
        <v/>
      </c>
      <c r="H28" s="67">
        <f>H26+H27</f>
        <v/>
      </c>
      <c r="I28" s="67">
        <f>I26+I27</f>
        <v/>
      </c>
      <c r="J28" s="67">
        <f>J26+J27</f>
        <v/>
      </c>
      <c r="K28" s="67">
        <f>K26+K27</f>
        <v/>
      </c>
      <c r="L28" s="67">
        <f>L26+L27</f>
        <v/>
      </c>
      <c r="M28" s="67">
        <f>M26+M27</f>
        <v/>
      </c>
      <c r="N28" s="67">
        <f>N26+N27</f>
        <v/>
      </c>
      <c r="O28" s="67">
        <f>O26+O27</f>
        <v/>
      </c>
      <c r="P28" s="67">
        <f>P26+P27</f>
        <v/>
      </c>
      <c r="Q28" s="67">
        <f>Q26+Q27</f>
        <v/>
      </c>
      <c r="R28" s="67">
        <f>R26+R27</f>
        <v/>
      </c>
      <c r="S28" s="67">
        <f>S26+S27</f>
        <v/>
      </c>
      <c r="T28" s="67">
        <f>T26+T27</f>
        <v/>
      </c>
      <c r="U28" s="67">
        <f>U26+U27</f>
        <v/>
      </c>
      <c r="V28" s="67">
        <f>V26+V27</f>
        <v/>
      </c>
      <c r="W28" s="67">
        <f>W26+W27</f>
        <v/>
      </c>
      <c r="X28" s="67">
        <f>X26+X27</f>
        <v/>
      </c>
      <c r="Y28" s="67">
        <f>Y26+Y27</f>
        <v/>
      </c>
      <c r="Z28" s="67">
        <f>Z26+Z27</f>
        <v/>
      </c>
      <c r="AA28" s="67">
        <f>AA26+AA27</f>
        <v/>
      </c>
      <c r="AB28" s="67">
        <f>AB26+AB27</f>
        <v/>
      </c>
      <c r="AC28" s="67">
        <f>AC26+AC27</f>
        <v/>
      </c>
      <c r="AD28" s="67">
        <f>AD26+AD27</f>
        <v/>
      </c>
      <c r="AE28" s="67">
        <f>AE26+AE27</f>
        <v/>
      </c>
      <c r="AF28" s="67">
        <f>AF26+AF27</f>
        <v/>
      </c>
      <c r="AG28" s="67">
        <f>AG26+AG27</f>
        <v/>
      </c>
      <c r="AH28" s="67">
        <f>AH26+AH27</f>
        <v/>
      </c>
      <c r="AI28" s="67">
        <f>AI26+AI27</f>
        <v/>
      </c>
      <c r="AJ28" s="67">
        <f>AJ26+AJ27</f>
        <v/>
      </c>
      <c r="AK28" s="67">
        <f>AK26+AK27</f>
        <v/>
      </c>
      <c r="AL28" s="67">
        <f>AL26+AL27</f>
        <v/>
      </c>
      <c r="AM28" s="67">
        <f>AM26+AM27</f>
        <v/>
      </c>
      <c r="AN28" s="67">
        <f>AN26+AN27</f>
        <v/>
      </c>
      <c r="AO28" s="67">
        <f>AO26+AO27</f>
        <v/>
      </c>
      <c r="AP28" s="67">
        <f>AP26+AP27</f>
        <v/>
      </c>
      <c r="AQ28" s="67">
        <f>AQ26+AQ27</f>
        <v/>
      </c>
      <c r="AR28" s="67">
        <f>AR26+AR27</f>
        <v/>
      </c>
      <c r="AS28" s="67">
        <f>AS26+AS27</f>
        <v/>
      </c>
      <c r="AT28" s="67">
        <f>AT26+AT27</f>
        <v/>
      </c>
      <c r="AU28" s="67">
        <f>AU26+AU27</f>
        <v/>
      </c>
      <c r="AV28" s="67">
        <f>AV26+AV27</f>
        <v/>
      </c>
      <c r="AW28" s="67">
        <f>AW26+AW27</f>
        <v/>
      </c>
      <c r="AX28" s="67">
        <f>AX26+AX27</f>
        <v/>
      </c>
      <c r="AY28" s="67">
        <f>AY26+AY27</f>
        <v/>
      </c>
      <c r="AZ28" s="67">
        <f>AZ26+AZ27</f>
        <v/>
      </c>
      <c r="BA28" s="67">
        <f>BA26+BA27</f>
        <v/>
      </c>
      <c r="BB28" s="67">
        <f>BB26+BB27</f>
        <v/>
      </c>
      <c r="BC28" s="67">
        <f>BC26+BC27</f>
        <v/>
      </c>
      <c r="BD28" s="67">
        <f>BD26+BD27</f>
        <v/>
      </c>
      <c r="BE28" s="67">
        <f>BE26+BE27</f>
        <v/>
      </c>
      <c r="BF28" s="67">
        <f>BF26+BF27</f>
        <v/>
      </c>
      <c r="BG28" s="67">
        <f>BG26+BG27</f>
        <v/>
      </c>
      <c r="BH28" s="67">
        <f>BH26+BH27</f>
        <v/>
      </c>
      <c r="BI28" s="67">
        <f>BI26+BI27</f>
        <v/>
      </c>
      <c r="BJ28" s="67">
        <f>BJ26+BJ27</f>
        <v/>
      </c>
      <c r="BK28" s="67">
        <f>BK26+BK27</f>
        <v/>
      </c>
      <c r="BL28" s="67">
        <f>BL26+BL27</f>
        <v/>
      </c>
      <c r="BM28" s="67">
        <f>BM26+BM27</f>
        <v/>
      </c>
      <c r="BN28" s="67">
        <f>BN26+BN27</f>
        <v/>
      </c>
      <c r="BO28" s="67">
        <f>BO26+BO27</f>
        <v/>
      </c>
      <c r="BP28" s="67">
        <f>BP26+BP27</f>
        <v/>
      </c>
      <c r="BQ28" s="67">
        <f>BQ26+BQ27</f>
        <v/>
      </c>
      <c r="BR28" s="67">
        <f>BR26+BR27</f>
        <v/>
      </c>
      <c r="BS28" s="67">
        <f>BS26+BS27</f>
        <v/>
      </c>
      <c r="BT28" s="67">
        <f>BT26+BT27</f>
        <v/>
      </c>
      <c r="BU28" s="67">
        <f>BU26+BU27</f>
        <v/>
      </c>
      <c r="BV28" s="67">
        <f>BV26+BV27</f>
        <v/>
      </c>
      <c r="BW28" s="67">
        <f>BW26+BW27</f>
        <v/>
      </c>
      <c r="BX28" s="67">
        <f>BX26+BX27</f>
        <v/>
      </c>
      <c r="BY28" s="67">
        <f>BY26+BY27</f>
        <v/>
      </c>
      <c r="BZ28" s="67">
        <f>BZ26+BZ27</f>
        <v/>
      </c>
      <c r="CA28" s="67">
        <f>CA26+CA27</f>
        <v/>
      </c>
      <c r="CB28" s="67">
        <f>CB26+CB27</f>
        <v/>
      </c>
      <c r="CC28" s="67">
        <f>CC26+CC27</f>
        <v/>
      </c>
      <c r="CD28" s="67">
        <f>CD26+CD27</f>
        <v/>
      </c>
      <c r="CE28" s="67">
        <f>CE26+CE27</f>
        <v/>
      </c>
      <c r="CF28" s="67">
        <f>CF26+CF27</f>
        <v/>
      </c>
      <c r="CG28" s="67">
        <f>CG26+CG27</f>
        <v/>
      </c>
      <c r="CH28" s="67">
        <f>CH26+CH27</f>
        <v/>
      </c>
    </row>
    <row r="29" ht="15" customHeight="1" s="201">
      <c r="A29" s="60" t="inlineStr">
        <is>
          <t xml:space="preserve">  Cumulative Net</t>
        </is>
      </c>
      <c r="B29" s="1" t="n"/>
      <c r="C29" s="68">
        <f>C28</f>
        <v/>
      </c>
      <c r="D29" s="68">
        <f>C29+D28</f>
        <v/>
      </c>
      <c r="E29" s="68">
        <f>D29+E28</f>
        <v/>
      </c>
      <c r="F29" s="68">
        <f>E29+F28</f>
        <v/>
      </c>
      <c r="G29" s="68">
        <f>F29+G28</f>
        <v/>
      </c>
      <c r="H29" s="68">
        <f>G29+H28</f>
        <v/>
      </c>
      <c r="I29" s="68">
        <f>H29+I28</f>
        <v/>
      </c>
      <c r="J29" s="68">
        <f>I29+J28</f>
        <v/>
      </c>
      <c r="K29" s="68">
        <f>J29+K28</f>
        <v/>
      </c>
      <c r="L29" s="68">
        <f>K29+L28</f>
        <v/>
      </c>
      <c r="M29" s="68">
        <f>L29+M28</f>
        <v/>
      </c>
      <c r="N29" s="68">
        <f>M29+N28</f>
        <v/>
      </c>
      <c r="O29" s="68">
        <f>N29+O28</f>
        <v/>
      </c>
      <c r="P29" s="68">
        <f>O29+P28</f>
        <v/>
      </c>
      <c r="Q29" s="68">
        <f>P29+Q28</f>
        <v/>
      </c>
      <c r="R29" s="68">
        <f>Q29+R28</f>
        <v/>
      </c>
      <c r="S29" s="68">
        <f>R29+S28</f>
        <v/>
      </c>
      <c r="T29" s="68">
        <f>S29+T28</f>
        <v/>
      </c>
      <c r="U29" s="68">
        <f>T29+U28</f>
        <v/>
      </c>
      <c r="V29" s="68">
        <f>U29+V28</f>
        <v/>
      </c>
      <c r="W29" s="68">
        <f>V29+W28</f>
        <v/>
      </c>
      <c r="X29" s="68">
        <f>W29+X28</f>
        <v/>
      </c>
      <c r="Y29" s="68">
        <f>X29+Y28</f>
        <v/>
      </c>
      <c r="Z29" s="68">
        <f>Y29+Z28</f>
        <v/>
      </c>
      <c r="AA29" s="68">
        <f>Z29+AA28</f>
        <v/>
      </c>
      <c r="AB29" s="68">
        <f>AA29+AB28</f>
        <v/>
      </c>
      <c r="AC29" s="68">
        <f>AB29+AC28</f>
        <v/>
      </c>
      <c r="AD29" s="68">
        <f>AC29+AD28</f>
        <v/>
      </c>
      <c r="AE29" s="68">
        <f>AD29+AE28</f>
        <v/>
      </c>
      <c r="AF29" s="68">
        <f>AE29+AF28</f>
        <v/>
      </c>
      <c r="AG29" s="68">
        <f>AF29+AG28</f>
        <v/>
      </c>
      <c r="AH29" s="68">
        <f>AG29+AH28</f>
        <v/>
      </c>
      <c r="AI29" s="68">
        <f>AH29+AI28</f>
        <v/>
      </c>
      <c r="AJ29" s="68">
        <f>AI29+AJ28</f>
        <v/>
      </c>
      <c r="AK29" s="68">
        <f>AJ29+AK28</f>
        <v/>
      </c>
      <c r="AL29" s="68">
        <f>AK29+AL28</f>
        <v/>
      </c>
      <c r="AM29" s="68">
        <f>AL29+AM28</f>
        <v/>
      </c>
      <c r="AN29" s="68">
        <f>AM29+AN28</f>
        <v/>
      </c>
      <c r="AO29" s="68">
        <f>AN29+AO28</f>
        <v/>
      </c>
      <c r="AP29" s="68">
        <f>AO29+AP28</f>
        <v/>
      </c>
      <c r="AQ29" s="68">
        <f>AP29+AQ28</f>
        <v/>
      </c>
      <c r="AR29" s="68">
        <f>AQ29+AR28</f>
        <v/>
      </c>
      <c r="AS29" s="68">
        <f>AR29+AS28</f>
        <v/>
      </c>
      <c r="AT29" s="68">
        <f>AS29+AT28</f>
        <v/>
      </c>
      <c r="AU29" s="68">
        <f>AT29+AU28</f>
        <v/>
      </c>
      <c r="AV29" s="68">
        <f>AU29+AV28</f>
        <v/>
      </c>
      <c r="AW29" s="68">
        <f>AV29+AW28</f>
        <v/>
      </c>
      <c r="AX29" s="68">
        <f>AW29+AX28</f>
        <v/>
      </c>
      <c r="AY29" s="68">
        <f>AX29+AY28</f>
        <v/>
      </c>
      <c r="AZ29" s="68">
        <f>AY29+AZ28</f>
        <v/>
      </c>
      <c r="BA29" s="68">
        <f>AZ29+BA28</f>
        <v/>
      </c>
      <c r="BB29" s="68">
        <f>BA29+BB28</f>
        <v/>
      </c>
      <c r="BC29" s="68">
        <f>BB29+BC28</f>
        <v/>
      </c>
      <c r="BD29" s="68">
        <f>BC29+BD28</f>
        <v/>
      </c>
      <c r="BE29" s="68">
        <f>BD29+BE28</f>
        <v/>
      </c>
      <c r="BF29" s="68">
        <f>BE29+BF28</f>
        <v/>
      </c>
      <c r="BG29" s="68">
        <f>BF29+BG28</f>
        <v/>
      </c>
      <c r="BH29" s="68">
        <f>BG29+BH28</f>
        <v/>
      </c>
      <c r="BI29" s="68">
        <f>BH29+BI28</f>
        <v/>
      </c>
      <c r="BJ29" s="68">
        <f>BI29+BJ28</f>
        <v/>
      </c>
      <c r="BK29" s="68">
        <f>BJ29+BK28</f>
        <v/>
      </c>
      <c r="BL29" s="68">
        <f>BK29+BL28</f>
        <v/>
      </c>
      <c r="BM29" s="68">
        <f>BL29+BM28</f>
        <v/>
      </c>
      <c r="BN29" s="68">
        <f>BM29+BN28</f>
        <v/>
      </c>
      <c r="BO29" s="68">
        <f>BN29+BO28</f>
        <v/>
      </c>
      <c r="BP29" s="68">
        <f>BO29+BP28</f>
        <v/>
      </c>
      <c r="BQ29" s="68">
        <f>BP29+BQ28</f>
        <v/>
      </c>
      <c r="BR29" s="68">
        <f>BQ29+BR28</f>
        <v/>
      </c>
      <c r="BS29" s="68">
        <f>BR29+BS28</f>
        <v/>
      </c>
      <c r="BT29" s="68">
        <f>BS29+BT28</f>
        <v/>
      </c>
      <c r="BU29" s="68">
        <f>BT29+BU28</f>
        <v/>
      </c>
      <c r="BV29" s="68">
        <f>BU29+BV28</f>
        <v/>
      </c>
      <c r="BW29" s="68">
        <f>BV29+BW28</f>
        <v/>
      </c>
      <c r="BX29" s="68">
        <f>BW29+BX28</f>
        <v/>
      </c>
      <c r="BY29" s="68">
        <f>BX29+BY28</f>
        <v/>
      </c>
      <c r="BZ29" s="68">
        <f>BY29+BZ28</f>
        <v/>
      </c>
      <c r="CA29" s="68">
        <f>BZ29+CA28</f>
        <v/>
      </c>
      <c r="CB29" s="68">
        <f>CA29+CB28</f>
        <v/>
      </c>
      <c r="CC29" s="68">
        <f>CB29+CC28</f>
        <v/>
      </c>
      <c r="CD29" s="68">
        <f>CC29+CD28</f>
        <v/>
      </c>
      <c r="CE29" s="68">
        <f>CD29+CE28</f>
        <v/>
      </c>
      <c r="CF29" s="68">
        <f>CE29+CF28</f>
        <v/>
      </c>
      <c r="CG29" s="68">
        <f>CF29+CG28</f>
        <v/>
      </c>
      <c r="CH29" s="68">
        <f>CG29+CH28</f>
        <v/>
      </c>
    </row>
    <row r="30" ht="15" customHeight="1" s="20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  <c r="BA30" s="1" t="n"/>
      <c r="BB30" s="1" t="n"/>
      <c r="BC30" s="1" t="n"/>
      <c r="BD30" s="1" t="n"/>
      <c r="BE30" s="1" t="n"/>
      <c r="BF30" s="1" t="n"/>
      <c r="BG30" s="1" t="n"/>
      <c r="BH30" s="1" t="n"/>
      <c r="BI30" s="1" t="n"/>
      <c r="BJ30" s="1" t="n"/>
      <c r="BK30" s="1" t="n"/>
      <c r="BL30" s="1" t="n"/>
      <c r="BM30" s="1" t="n"/>
      <c r="BN30" s="1" t="n"/>
      <c r="BO30" s="1" t="n"/>
      <c r="BP30" s="1" t="n"/>
      <c r="BQ30" s="1" t="n"/>
      <c r="BR30" s="1" t="n"/>
      <c r="BS30" s="1" t="n"/>
      <c r="BT30" s="1" t="n"/>
      <c r="BU30" s="1" t="n"/>
      <c r="BV30" s="1" t="n"/>
      <c r="BW30" s="1" t="n"/>
      <c r="BX30" s="1" t="n"/>
      <c r="BY30" s="1" t="n"/>
      <c r="BZ30" s="1" t="n"/>
      <c r="CA30" s="1" t="n"/>
      <c r="CB30" s="1" t="n"/>
      <c r="CC30" s="1" t="n"/>
      <c r="CD30" s="1" t="n"/>
      <c r="CE30" s="1" t="n"/>
      <c r="CF30" s="1" t="n"/>
      <c r="CG30" s="1" t="n"/>
      <c r="CH30" s="1" t="n"/>
    </row>
    <row r="31" ht="15" customHeight="1" s="201">
      <c r="A31" s="6" t="inlineStr">
        <is>
          <t>Reseda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  <c r="AZ31" s="6" t="n"/>
      <c r="BA31" s="6" t="n"/>
      <c r="BB31" s="6" t="n"/>
      <c r="BC31" s="6" t="n"/>
      <c r="BD31" s="6" t="n"/>
      <c r="BE31" s="6" t="n"/>
      <c r="BF31" s="6" t="n"/>
      <c r="BG31" s="6" t="n"/>
      <c r="BH31" s="6" t="n"/>
      <c r="BI31" s="6" t="n"/>
      <c r="BJ31" s="6" t="n"/>
      <c r="BK31" s="6" t="n"/>
      <c r="BL31" s="6" t="n"/>
      <c r="BM31" s="6" t="n"/>
      <c r="BN31" s="6" t="n"/>
      <c r="BO31" s="6" t="n"/>
      <c r="BP31" s="6" t="n"/>
      <c r="BQ31" s="6" t="n"/>
      <c r="BR31" s="6" t="n"/>
      <c r="BS31" s="6" t="n"/>
      <c r="BT31" s="6" t="n"/>
      <c r="BU31" s="6" t="n"/>
      <c r="BV31" s="6" t="n"/>
      <c r="BW31" s="6" t="n"/>
      <c r="BX31" s="6" t="n"/>
      <c r="BY31" s="6" t="n"/>
      <c r="BZ31" s="6" t="n"/>
      <c r="CA31" s="6" t="n"/>
      <c r="CB31" s="6" t="n"/>
      <c r="CC31" s="6" t="n"/>
      <c r="CD31" s="6" t="n"/>
      <c r="CE31" s="6" t="n"/>
      <c r="CF31" s="6" t="n"/>
      <c r="CG31" s="6" t="n"/>
      <c r="CH31" s="6" t="n"/>
    </row>
    <row r="32" ht="15" customHeight="1" s="201">
      <c r="A32" s="16" t="inlineStr">
        <is>
          <t xml:space="preserve">  Revenue</t>
        </is>
      </c>
      <c r="B32" s="1" t="n"/>
      <c r="C32" s="66">
        <f>Model!C61</f>
        <v/>
      </c>
      <c r="D32" s="66">
        <f>Model!D61</f>
        <v/>
      </c>
      <c r="E32" s="66">
        <f>Model!E61</f>
        <v/>
      </c>
      <c r="F32" s="66">
        <f>Model!F61</f>
        <v/>
      </c>
      <c r="G32" s="66">
        <f>Model!G61</f>
        <v/>
      </c>
      <c r="H32" s="66">
        <f>Model!H61</f>
        <v/>
      </c>
      <c r="I32" s="66">
        <f>Model!I61</f>
        <v/>
      </c>
      <c r="J32" s="66">
        <f>Model!J61</f>
        <v/>
      </c>
      <c r="K32" s="66">
        <f>Model!K61</f>
        <v/>
      </c>
      <c r="L32" s="66">
        <f>Model!L61</f>
        <v/>
      </c>
      <c r="M32" s="66">
        <f>Model!M61</f>
        <v/>
      </c>
      <c r="N32" s="66">
        <f>Model!N61</f>
        <v/>
      </c>
      <c r="O32" s="66">
        <f>Model!O61</f>
        <v/>
      </c>
      <c r="P32" s="66">
        <f>Model!P61</f>
        <v/>
      </c>
      <c r="Q32" s="66">
        <f>Model!Q61</f>
        <v/>
      </c>
      <c r="R32" s="66">
        <f>Model!R61</f>
        <v/>
      </c>
      <c r="S32" s="66">
        <f>Model!S61</f>
        <v/>
      </c>
      <c r="T32" s="66">
        <f>Model!T61</f>
        <v/>
      </c>
      <c r="U32" s="66">
        <f>Model!U61</f>
        <v/>
      </c>
      <c r="V32" s="66">
        <f>Model!V61</f>
        <v/>
      </c>
      <c r="W32" s="66">
        <f>Model!W61</f>
        <v/>
      </c>
      <c r="X32" s="66">
        <f>Model!X61</f>
        <v/>
      </c>
      <c r="Y32" s="66">
        <f>Model!Y61</f>
        <v/>
      </c>
      <c r="Z32" s="66">
        <f>Model!Z61</f>
        <v/>
      </c>
      <c r="AA32" s="66">
        <f>Model!AA61</f>
        <v/>
      </c>
      <c r="AB32" s="66">
        <f>Model!AB61</f>
        <v/>
      </c>
      <c r="AC32" s="66">
        <f>Model!AC61</f>
        <v/>
      </c>
      <c r="AD32" s="66">
        <f>Model!AD61</f>
        <v/>
      </c>
      <c r="AE32" s="66">
        <f>Model!AE61</f>
        <v/>
      </c>
      <c r="AF32" s="66">
        <f>Model!AF61</f>
        <v/>
      </c>
      <c r="AG32" s="66">
        <f>Model!AG61</f>
        <v/>
      </c>
      <c r="AH32" s="66">
        <f>Model!AH61</f>
        <v/>
      </c>
      <c r="AI32" s="66">
        <f>Model!AI61</f>
        <v/>
      </c>
      <c r="AJ32" s="66">
        <f>Model!AJ61</f>
        <v/>
      </c>
      <c r="AK32" s="66">
        <f>Model!AK61</f>
        <v/>
      </c>
      <c r="AL32" s="66">
        <f>Model!AL61</f>
        <v/>
      </c>
      <c r="AM32" s="66">
        <f>Model!AM61</f>
        <v/>
      </c>
      <c r="AN32" s="66">
        <f>Model!AN61</f>
        <v/>
      </c>
      <c r="AO32" s="66">
        <f>Model!AO61</f>
        <v/>
      </c>
      <c r="AP32" s="66">
        <f>Model!AP61</f>
        <v/>
      </c>
      <c r="AQ32" s="66">
        <f>Model!AQ61</f>
        <v/>
      </c>
      <c r="AR32" s="66">
        <f>Model!AR61</f>
        <v/>
      </c>
      <c r="AS32" s="66">
        <f>Model!AS61</f>
        <v/>
      </c>
      <c r="AT32" s="66">
        <f>Model!AT61</f>
        <v/>
      </c>
      <c r="AU32" s="66">
        <f>Model!AU61</f>
        <v/>
      </c>
      <c r="AV32" s="66">
        <f>Model!AV61</f>
        <v/>
      </c>
      <c r="AW32" s="66">
        <f>Model!AW61</f>
        <v/>
      </c>
      <c r="AX32" s="66">
        <f>Model!AX61</f>
        <v/>
      </c>
      <c r="AY32" s="66">
        <f>Model!AY61</f>
        <v/>
      </c>
      <c r="AZ32" s="66">
        <f>Model!AZ61</f>
        <v/>
      </c>
      <c r="BA32" s="66">
        <f>Model!BA61</f>
        <v/>
      </c>
      <c r="BB32" s="66">
        <f>Model!BB61</f>
        <v/>
      </c>
      <c r="BC32" s="66">
        <f>Model!BC61</f>
        <v/>
      </c>
      <c r="BD32" s="66">
        <f>Model!BD61</f>
        <v/>
      </c>
      <c r="BE32" s="66">
        <f>Model!BE61</f>
        <v/>
      </c>
      <c r="BF32" s="66">
        <f>Model!BF61</f>
        <v/>
      </c>
      <c r="BG32" s="66">
        <f>Model!BG61</f>
        <v/>
      </c>
      <c r="BH32" s="66">
        <f>Model!BH61</f>
        <v/>
      </c>
      <c r="BI32" s="66">
        <f>Model!BI61</f>
        <v/>
      </c>
      <c r="BJ32" s="66">
        <f>Model!BJ61</f>
        <v/>
      </c>
      <c r="BK32" s="66">
        <f>Model!BK61</f>
        <v/>
      </c>
      <c r="BL32" s="66">
        <f>Model!BL61</f>
        <v/>
      </c>
      <c r="BM32" s="66">
        <f>Model!BM61</f>
        <v/>
      </c>
      <c r="BN32" s="66">
        <f>Model!BN61</f>
        <v/>
      </c>
      <c r="BO32" s="66">
        <f>Model!BO61</f>
        <v/>
      </c>
      <c r="BP32" s="66">
        <f>Model!BP61</f>
        <v/>
      </c>
      <c r="BQ32" s="66">
        <f>Model!BQ61</f>
        <v/>
      </c>
      <c r="BR32" s="66">
        <f>Model!BR61</f>
        <v/>
      </c>
      <c r="BS32" s="66">
        <f>Model!BS61</f>
        <v/>
      </c>
      <c r="BT32" s="66">
        <f>Model!BT61</f>
        <v/>
      </c>
      <c r="BU32" s="66">
        <f>Model!BU61</f>
        <v/>
      </c>
      <c r="BV32" s="66">
        <f>Model!BV61</f>
        <v/>
      </c>
      <c r="BW32" s="66">
        <f>Model!BW61</f>
        <v/>
      </c>
      <c r="BX32" s="66">
        <f>Model!BX61</f>
        <v/>
      </c>
      <c r="BY32" s="66">
        <f>Model!BY61</f>
        <v/>
      </c>
      <c r="BZ32" s="66">
        <f>Model!BZ61</f>
        <v/>
      </c>
      <c r="CA32" s="66">
        <f>Model!CA61</f>
        <v/>
      </c>
      <c r="CB32" s="66">
        <f>Model!CB61</f>
        <v/>
      </c>
      <c r="CC32" s="66">
        <f>Model!CC61</f>
        <v/>
      </c>
      <c r="CD32" s="66">
        <f>Model!CD61</f>
        <v/>
      </c>
      <c r="CE32" s="66">
        <f>Model!CE61</f>
        <v/>
      </c>
      <c r="CF32" s="66">
        <f>Model!CF61</f>
        <v/>
      </c>
      <c r="CG32" s="66">
        <f>Model!CG61</f>
        <v/>
      </c>
      <c r="CH32" s="66">
        <f>Model!CH61</f>
        <v/>
      </c>
    </row>
    <row r="33" ht="15" customHeight="1" s="201">
      <c r="A33" s="69" t="inlineStr">
        <is>
          <t xml:space="preserve">  Steyn Fees</t>
        </is>
      </c>
      <c r="B33" s="1" t="n"/>
      <c r="C33" s="70">
        <f>Model!C83</f>
        <v/>
      </c>
      <c r="D33" s="70">
        <f>Model!D83</f>
        <v/>
      </c>
      <c r="E33" s="70">
        <f>Model!E83</f>
        <v/>
      </c>
      <c r="F33" s="70">
        <f>Model!F83</f>
        <v/>
      </c>
      <c r="G33" s="70">
        <f>Model!G83</f>
        <v/>
      </c>
      <c r="H33" s="70">
        <f>Model!H83</f>
        <v/>
      </c>
      <c r="I33" s="70">
        <f>Model!I83</f>
        <v/>
      </c>
      <c r="J33" s="70">
        <f>Model!J83</f>
        <v/>
      </c>
      <c r="K33" s="70">
        <f>Model!K83</f>
        <v/>
      </c>
      <c r="L33" s="70">
        <f>Model!L83</f>
        <v/>
      </c>
      <c r="M33" s="70">
        <f>Model!M83</f>
        <v/>
      </c>
      <c r="N33" s="70">
        <f>Model!N83</f>
        <v/>
      </c>
      <c r="O33" s="70">
        <f>Model!O83</f>
        <v/>
      </c>
      <c r="P33" s="70">
        <f>Model!P83</f>
        <v/>
      </c>
      <c r="Q33" s="70">
        <f>Model!Q83</f>
        <v/>
      </c>
      <c r="R33" s="70">
        <f>Model!R83</f>
        <v/>
      </c>
      <c r="S33" s="70">
        <f>Model!S83</f>
        <v/>
      </c>
      <c r="T33" s="70">
        <f>Model!T83</f>
        <v/>
      </c>
      <c r="U33" s="70">
        <f>Model!U83</f>
        <v/>
      </c>
      <c r="V33" s="70">
        <f>Model!V83</f>
        <v/>
      </c>
      <c r="W33" s="70">
        <f>Model!W83</f>
        <v/>
      </c>
      <c r="X33" s="70">
        <f>Model!X83</f>
        <v/>
      </c>
      <c r="Y33" s="70">
        <f>Model!Y83</f>
        <v/>
      </c>
      <c r="Z33" s="70">
        <f>Model!Z83</f>
        <v/>
      </c>
      <c r="AA33" s="70">
        <f>Model!AA83</f>
        <v/>
      </c>
      <c r="AB33" s="70">
        <f>Model!AB83</f>
        <v/>
      </c>
      <c r="AC33" s="70">
        <f>Model!AC83</f>
        <v/>
      </c>
      <c r="AD33" s="70">
        <f>Model!AD83</f>
        <v/>
      </c>
      <c r="AE33" s="70">
        <f>Model!AE83</f>
        <v/>
      </c>
      <c r="AF33" s="70">
        <f>Model!AF83</f>
        <v/>
      </c>
      <c r="AG33" s="70">
        <f>Model!AG83</f>
        <v/>
      </c>
      <c r="AH33" s="70">
        <f>Model!AH83</f>
        <v/>
      </c>
      <c r="AI33" s="70">
        <f>Model!AI83</f>
        <v/>
      </c>
      <c r="AJ33" s="70">
        <f>Model!AJ83</f>
        <v/>
      </c>
      <c r="AK33" s="70">
        <f>Model!AK83</f>
        <v/>
      </c>
      <c r="AL33" s="70">
        <f>Model!AL83</f>
        <v/>
      </c>
      <c r="AM33" s="70">
        <f>Model!AM83</f>
        <v/>
      </c>
      <c r="AN33" s="70">
        <f>Model!AN83</f>
        <v/>
      </c>
      <c r="AO33" s="70">
        <f>Model!AO83</f>
        <v/>
      </c>
      <c r="AP33" s="70">
        <f>Model!AP83</f>
        <v/>
      </c>
      <c r="AQ33" s="70">
        <f>Model!AQ83</f>
        <v/>
      </c>
      <c r="AR33" s="70">
        <f>Model!AR83</f>
        <v/>
      </c>
      <c r="AS33" s="70">
        <f>Model!AS83</f>
        <v/>
      </c>
      <c r="AT33" s="70">
        <f>Model!AT83</f>
        <v/>
      </c>
      <c r="AU33" s="70">
        <f>Model!AU83</f>
        <v/>
      </c>
      <c r="AV33" s="70">
        <f>Model!AV83</f>
        <v/>
      </c>
      <c r="AW33" s="70">
        <f>Model!AW83</f>
        <v/>
      </c>
      <c r="AX33" s="70">
        <f>Model!AX83</f>
        <v/>
      </c>
      <c r="AY33" s="70">
        <f>Model!AY83</f>
        <v/>
      </c>
      <c r="AZ33" s="70">
        <f>Model!AZ83</f>
        <v/>
      </c>
      <c r="BA33" s="70">
        <f>Model!BA83</f>
        <v/>
      </c>
      <c r="BB33" s="70">
        <f>Model!BB83</f>
        <v/>
      </c>
      <c r="BC33" s="70">
        <f>Model!BC83</f>
        <v/>
      </c>
      <c r="BD33" s="70">
        <f>Model!BD83</f>
        <v/>
      </c>
      <c r="BE33" s="70">
        <f>Model!BE83</f>
        <v/>
      </c>
      <c r="BF33" s="70">
        <f>Model!BF83</f>
        <v/>
      </c>
      <c r="BG33" s="70">
        <f>Model!BG83</f>
        <v/>
      </c>
      <c r="BH33" s="70">
        <f>Model!BH83</f>
        <v/>
      </c>
      <c r="BI33" s="70">
        <f>Model!BI83</f>
        <v/>
      </c>
      <c r="BJ33" s="70">
        <f>Model!BJ83</f>
        <v/>
      </c>
      <c r="BK33" s="70">
        <f>Model!BK83</f>
        <v/>
      </c>
      <c r="BL33" s="70">
        <f>Model!BL83</f>
        <v/>
      </c>
      <c r="BM33" s="70">
        <f>Model!BM83</f>
        <v/>
      </c>
      <c r="BN33" s="70">
        <f>Model!BN83</f>
        <v/>
      </c>
      <c r="BO33" s="70">
        <f>Model!BO83</f>
        <v/>
      </c>
      <c r="BP33" s="70">
        <f>Model!BP83</f>
        <v/>
      </c>
      <c r="BQ33" s="70">
        <f>Model!BQ83</f>
        <v/>
      </c>
      <c r="BR33" s="70">
        <f>Model!BR83</f>
        <v/>
      </c>
      <c r="BS33" s="70">
        <f>Model!BS83</f>
        <v/>
      </c>
      <c r="BT33" s="70">
        <f>Model!BT83</f>
        <v/>
      </c>
      <c r="BU33" s="70">
        <f>Model!BU83</f>
        <v/>
      </c>
      <c r="BV33" s="70">
        <f>Model!BV83</f>
        <v/>
      </c>
      <c r="BW33" s="70">
        <f>Model!BW83</f>
        <v/>
      </c>
      <c r="BX33" s="70">
        <f>Model!BX83</f>
        <v/>
      </c>
      <c r="BY33" s="70">
        <f>Model!BY83</f>
        <v/>
      </c>
      <c r="BZ33" s="70">
        <f>Model!BZ83</f>
        <v/>
      </c>
      <c r="CA33" s="70">
        <f>Model!CA83</f>
        <v/>
      </c>
      <c r="CB33" s="70">
        <f>Model!CB83</f>
        <v/>
      </c>
      <c r="CC33" s="70">
        <f>Model!CC83</f>
        <v/>
      </c>
      <c r="CD33" s="70">
        <f>Model!CD83</f>
        <v/>
      </c>
      <c r="CE33" s="70">
        <f>Model!CE83</f>
        <v/>
      </c>
      <c r="CF33" s="70">
        <f>Model!CF83</f>
        <v/>
      </c>
      <c r="CG33" s="70">
        <f>Model!CG83</f>
        <v/>
      </c>
      <c r="CH33" s="70">
        <f>Model!CH83</f>
        <v/>
      </c>
    </row>
    <row r="34" ht="15" customHeight="1" s="201">
      <c r="A34" s="69" t="inlineStr">
        <is>
          <t xml:space="preserve">  PIK Repayment (in Steyn + PIK above)</t>
        </is>
      </c>
      <c r="B34" s="1" t="n"/>
      <c r="C34" s="70">
        <f>Model!C157</f>
        <v/>
      </c>
      <c r="D34" s="70">
        <f>Model!D157</f>
        <v/>
      </c>
      <c r="E34" s="70">
        <f>Model!E157</f>
        <v/>
      </c>
      <c r="F34" s="70">
        <f>Model!F157</f>
        <v/>
      </c>
      <c r="G34" s="70">
        <f>Model!G157</f>
        <v/>
      </c>
      <c r="H34" s="70">
        <f>Model!H157</f>
        <v/>
      </c>
      <c r="I34" s="70">
        <f>Model!I157</f>
        <v/>
      </c>
      <c r="J34" s="70">
        <f>Model!J157</f>
        <v/>
      </c>
      <c r="K34" s="70">
        <f>Model!K157</f>
        <v/>
      </c>
      <c r="L34" s="70">
        <f>Model!L157</f>
        <v/>
      </c>
      <c r="M34" s="70">
        <f>Model!M157</f>
        <v/>
      </c>
      <c r="N34" s="70">
        <f>Model!N157</f>
        <v/>
      </c>
      <c r="O34" s="70">
        <f>Model!O157</f>
        <v/>
      </c>
      <c r="P34" s="70">
        <f>Model!P157</f>
        <v/>
      </c>
      <c r="Q34" s="70">
        <f>Model!Q157</f>
        <v/>
      </c>
      <c r="R34" s="70">
        <f>Model!R157</f>
        <v/>
      </c>
      <c r="S34" s="70">
        <f>Model!S157</f>
        <v/>
      </c>
      <c r="T34" s="70">
        <f>Model!T157</f>
        <v/>
      </c>
      <c r="U34" s="70">
        <f>Model!U157</f>
        <v/>
      </c>
      <c r="V34" s="70">
        <f>Model!V157</f>
        <v/>
      </c>
      <c r="W34" s="70">
        <f>Model!W157</f>
        <v/>
      </c>
      <c r="X34" s="70">
        <f>Model!X157</f>
        <v/>
      </c>
      <c r="Y34" s="70">
        <f>Model!Y157</f>
        <v/>
      </c>
      <c r="Z34" s="70">
        <f>Model!Z157</f>
        <v/>
      </c>
      <c r="AA34" s="70">
        <f>Model!AA157</f>
        <v/>
      </c>
      <c r="AB34" s="70">
        <f>Model!AB157</f>
        <v/>
      </c>
      <c r="AC34" s="70">
        <f>Model!AC157</f>
        <v/>
      </c>
      <c r="AD34" s="70">
        <f>Model!AD157</f>
        <v/>
      </c>
      <c r="AE34" s="70">
        <f>Model!AE157</f>
        <v/>
      </c>
      <c r="AF34" s="70">
        <f>Model!AF157</f>
        <v/>
      </c>
      <c r="AG34" s="70">
        <f>Model!AG157</f>
        <v/>
      </c>
      <c r="AH34" s="70">
        <f>Model!AH157</f>
        <v/>
      </c>
      <c r="AI34" s="70">
        <f>Model!AI157</f>
        <v/>
      </c>
      <c r="AJ34" s="70">
        <f>Model!AJ157</f>
        <v/>
      </c>
      <c r="AK34" s="70">
        <f>Model!AK157</f>
        <v/>
      </c>
      <c r="AL34" s="70">
        <f>Model!AL157</f>
        <v/>
      </c>
      <c r="AM34" s="70">
        <f>Model!AM157</f>
        <v/>
      </c>
      <c r="AN34" s="70">
        <f>Model!AN157</f>
        <v/>
      </c>
      <c r="AO34" s="70">
        <f>Model!AO157</f>
        <v/>
      </c>
      <c r="AP34" s="70">
        <f>Model!AP157</f>
        <v/>
      </c>
      <c r="AQ34" s="70">
        <f>Model!AQ157</f>
        <v/>
      </c>
      <c r="AR34" s="70">
        <f>Model!AR157</f>
        <v/>
      </c>
      <c r="AS34" s="70">
        <f>Model!AS157</f>
        <v/>
      </c>
      <c r="AT34" s="70">
        <f>Model!AT157</f>
        <v/>
      </c>
      <c r="AU34" s="70">
        <f>Model!AU157</f>
        <v/>
      </c>
      <c r="AV34" s="70">
        <f>Model!AV157</f>
        <v/>
      </c>
      <c r="AW34" s="70">
        <f>Model!AW157</f>
        <v/>
      </c>
      <c r="AX34" s="70">
        <f>Model!AX157</f>
        <v/>
      </c>
      <c r="AY34" s="70">
        <f>Model!AY157</f>
        <v/>
      </c>
      <c r="AZ34" s="70">
        <f>Model!AZ157</f>
        <v/>
      </c>
      <c r="BA34" s="70">
        <f>Model!BA157</f>
        <v/>
      </c>
      <c r="BB34" s="70">
        <f>Model!BB157</f>
        <v/>
      </c>
      <c r="BC34" s="70">
        <f>Model!BC157</f>
        <v/>
      </c>
      <c r="BD34" s="70">
        <f>Model!BD157</f>
        <v/>
      </c>
      <c r="BE34" s="70">
        <f>Model!BE157</f>
        <v/>
      </c>
      <c r="BF34" s="70">
        <f>Model!BF157</f>
        <v/>
      </c>
      <c r="BG34" s="70">
        <f>Model!BG157</f>
        <v/>
      </c>
      <c r="BH34" s="70">
        <f>Model!BH157</f>
        <v/>
      </c>
      <c r="BI34" s="70">
        <f>Model!BI157</f>
        <v/>
      </c>
      <c r="BJ34" s="70">
        <f>Model!BJ157</f>
        <v/>
      </c>
      <c r="BK34" s="70">
        <f>Model!BK157</f>
        <v/>
      </c>
      <c r="BL34" s="70">
        <f>Model!BL157</f>
        <v/>
      </c>
      <c r="BM34" s="70">
        <f>Model!BM157</f>
        <v/>
      </c>
      <c r="BN34" s="70">
        <f>Model!BN157</f>
        <v/>
      </c>
      <c r="BO34" s="70">
        <f>Model!BO157</f>
        <v/>
      </c>
      <c r="BP34" s="70">
        <f>Model!BP157</f>
        <v/>
      </c>
      <c r="BQ34" s="70">
        <f>Model!BQ157</f>
        <v/>
      </c>
      <c r="BR34" s="70">
        <f>Model!BR157</f>
        <v/>
      </c>
      <c r="BS34" s="70">
        <f>Model!BS157</f>
        <v/>
      </c>
      <c r="BT34" s="70">
        <f>Model!BT157</f>
        <v/>
      </c>
      <c r="BU34" s="70">
        <f>Model!BU157</f>
        <v/>
      </c>
      <c r="BV34" s="70">
        <f>Model!BV157</f>
        <v/>
      </c>
      <c r="BW34" s="70">
        <f>Model!BW157</f>
        <v/>
      </c>
      <c r="BX34" s="70">
        <f>Model!BX157</f>
        <v/>
      </c>
      <c r="BY34" s="70">
        <f>Model!BY157</f>
        <v/>
      </c>
      <c r="BZ34" s="70">
        <f>Model!BZ157</f>
        <v/>
      </c>
      <c r="CA34" s="70">
        <f>Model!CA157</f>
        <v/>
      </c>
      <c r="CB34" s="70">
        <f>Model!CB157</f>
        <v/>
      </c>
      <c r="CC34" s="70">
        <f>Model!CC157</f>
        <v/>
      </c>
      <c r="CD34" s="70">
        <f>Model!CD157</f>
        <v/>
      </c>
      <c r="CE34" s="70">
        <f>Model!CE157</f>
        <v/>
      </c>
      <c r="CF34" s="70">
        <f>Model!CF157</f>
        <v/>
      </c>
      <c r="CG34" s="70">
        <f>Model!CG157</f>
        <v/>
      </c>
      <c r="CH34" s="70">
        <f>Model!CH157</f>
        <v/>
      </c>
    </row>
    <row r="35" ht="15" customHeight="1" s="201">
      <c r="A35" s="28" t="inlineStr">
        <is>
          <t xml:space="preserve">  Net to Six Peak</t>
        </is>
      </c>
      <c r="B35" s="28" t="n"/>
      <c r="C35" s="67">
        <f>C32+C33+C34</f>
        <v/>
      </c>
      <c r="D35" s="67">
        <f>D32+D33+D34</f>
        <v/>
      </c>
      <c r="E35" s="67">
        <f>E32+E33+E34</f>
        <v/>
      </c>
      <c r="F35" s="67">
        <f>F32+F33+F34</f>
        <v/>
      </c>
      <c r="G35" s="67">
        <f>G32+G33+G34</f>
        <v/>
      </c>
      <c r="H35" s="67">
        <f>H32+H33+H34</f>
        <v/>
      </c>
      <c r="I35" s="67">
        <f>I32+I33+I34</f>
        <v/>
      </c>
      <c r="J35" s="67">
        <f>J32+J33+J34</f>
        <v/>
      </c>
      <c r="K35" s="67">
        <f>K32+K33+K34</f>
        <v/>
      </c>
      <c r="L35" s="67">
        <f>L32+L33+L34</f>
        <v/>
      </c>
      <c r="M35" s="67">
        <f>M32+M33+M34</f>
        <v/>
      </c>
      <c r="N35" s="67">
        <f>N32+N33+N34</f>
        <v/>
      </c>
      <c r="O35" s="67">
        <f>O32+O33+O34</f>
        <v/>
      </c>
      <c r="P35" s="67">
        <f>P32+P33+P34</f>
        <v/>
      </c>
      <c r="Q35" s="67">
        <f>Q32+Q33+Q34</f>
        <v/>
      </c>
      <c r="R35" s="67">
        <f>R32+R33+R34</f>
        <v/>
      </c>
      <c r="S35" s="67">
        <f>S32+S33+S34</f>
        <v/>
      </c>
      <c r="T35" s="67">
        <f>T32+T33+T34</f>
        <v/>
      </c>
      <c r="U35" s="67">
        <f>U32+U33+U34</f>
        <v/>
      </c>
      <c r="V35" s="67">
        <f>V32+V33+V34</f>
        <v/>
      </c>
      <c r="W35" s="67">
        <f>W32+W33+W34</f>
        <v/>
      </c>
      <c r="X35" s="67">
        <f>X32+X33+X34</f>
        <v/>
      </c>
      <c r="Y35" s="67">
        <f>Y32+Y33+Y34</f>
        <v/>
      </c>
      <c r="Z35" s="67">
        <f>Z32+Z33+Z34</f>
        <v/>
      </c>
      <c r="AA35" s="67">
        <f>AA32+AA33+AA34</f>
        <v/>
      </c>
      <c r="AB35" s="67">
        <f>AB32+AB33+AB34</f>
        <v/>
      </c>
      <c r="AC35" s="67">
        <f>AC32+AC33+AC34</f>
        <v/>
      </c>
      <c r="AD35" s="67">
        <f>AD32+AD33+AD34</f>
        <v/>
      </c>
      <c r="AE35" s="67">
        <f>AE32+AE33+AE34</f>
        <v/>
      </c>
      <c r="AF35" s="67">
        <f>AF32+AF33+AF34</f>
        <v/>
      </c>
      <c r="AG35" s="67">
        <f>AG32+AG33+AG34</f>
        <v/>
      </c>
      <c r="AH35" s="67">
        <f>AH32+AH33+AH34</f>
        <v/>
      </c>
      <c r="AI35" s="67">
        <f>AI32+AI33+AI34</f>
        <v/>
      </c>
      <c r="AJ35" s="67">
        <f>AJ32+AJ33+AJ34</f>
        <v/>
      </c>
      <c r="AK35" s="67">
        <f>AK32+AK33+AK34</f>
        <v/>
      </c>
      <c r="AL35" s="67">
        <f>AL32+AL33+AL34</f>
        <v/>
      </c>
      <c r="AM35" s="67">
        <f>AM32+AM33+AM34</f>
        <v/>
      </c>
      <c r="AN35" s="67">
        <f>AN32+AN33+AN34</f>
        <v/>
      </c>
      <c r="AO35" s="67">
        <f>AO32+AO33+AO34</f>
        <v/>
      </c>
      <c r="AP35" s="67">
        <f>AP32+AP33+AP34</f>
        <v/>
      </c>
      <c r="AQ35" s="67">
        <f>AQ32+AQ33+AQ34</f>
        <v/>
      </c>
      <c r="AR35" s="67">
        <f>AR32+AR33+AR34</f>
        <v/>
      </c>
      <c r="AS35" s="67">
        <f>AS32+AS33+AS34</f>
        <v/>
      </c>
      <c r="AT35" s="67">
        <f>AT32+AT33+AT34</f>
        <v/>
      </c>
      <c r="AU35" s="67">
        <f>AU32+AU33+AU34</f>
        <v/>
      </c>
      <c r="AV35" s="67">
        <f>AV32+AV33+AV34</f>
        <v/>
      </c>
      <c r="AW35" s="67">
        <f>AW32+AW33+AW34</f>
        <v/>
      </c>
      <c r="AX35" s="67">
        <f>AX32+AX33+AX34</f>
        <v/>
      </c>
      <c r="AY35" s="67">
        <f>AY32+AY33+AY34</f>
        <v/>
      </c>
      <c r="AZ35" s="67">
        <f>AZ32+AZ33+AZ34</f>
        <v/>
      </c>
      <c r="BA35" s="67">
        <f>BA32+BA33+BA34</f>
        <v/>
      </c>
      <c r="BB35" s="67">
        <f>BB32+BB33+BB34</f>
        <v/>
      </c>
      <c r="BC35" s="67">
        <f>BC32+BC33+BC34</f>
        <v/>
      </c>
      <c r="BD35" s="67">
        <f>BD32+BD33+BD34</f>
        <v/>
      </c>
      <c r="BE35" s="67">
        <f>BE32+BE33+BE34</f>
        <v/>
      </c>
      <c r="BF35" s="67">
        <f>BF32+BF33+BF34</f>
        <v/>
      </c>
      <c r="BG35" s="67">
        <f>BG32+BG33+BG34</f>
        <v/>
      </c>
      <c r="BH35" s="67">
        <f>BH32+BH33+BH34</f>
        <v/>
      </c>
      <c r="BI35" s="67">
        <f>BI32+BI33+BI34</f>
        <v/>
      </c>
      <c r="BJ35" s="67">
        <f>BJ32+BJ33+BJ34</f>
        <v/>
      </c>
      <c r="BK35" s="67">
        <f>BK32+BK33+BK34</f>
        <v/>
      </c>
      <c r="BL35" s="67">
        <f>BL32+BL33+BL34</f>
        <v/>
      </c>
      <c r="BM35" s="67">
        <f>BM32+BM33+BM34</f>
        <v/>
      </c>
      <c r="BN35" s="67">
        <f>BN32+BN33+BN34</f>
        <v/>
      </c>
      <c r="BO35" s="67">
        <f>BO32+BO33+BO34</f>
        <v/>
      </c>
      <c r="BP35" s="67">
        <f>BP32+BP33+BP34</f>
        <v/>
      </c>
      <c r="BQ35" s="67">
        <f>BQ32+BQ33+BQ34</f>
        <v/>
      </c>
      <c r="BR35" s="67">
        <f>BR32+BR33+BR34</f>
        <v/>
      </c>
      <c r="BS35" s="67">
        <f>BS32+BS33+BS34</f>
        <v/>
      </c>
      <c r="BT35" s="67">
        <f>BT32+BT33+BT34</f>
        <v/>
      </c>
      <c r="BU35" s="67">
        <f>BU32+BU33+BU34</f>
        <v/>
      </c>
      <c r="BV35" s="67">
        <f>BV32+BV33+BV34</f>
        <v/>
      </c>
      <c r="BW35" s="67">
        <f>BW32+BW33+BW34</f>
        <v/>
      </c>
      <c r="BX35" s="67">
        <f>BX32+BX33+BX34</f>
        <v/>
      </c>
      <c r="BY35" s="67">
        <f>BY32+BY33+BY34</f>
        <v/>
      </c>
      <c r="BZ35" s="67">
        <f>BZ32+BZ33+BZ34</f>
        <v/>
      </c>
      <c r="CA35" s="67">
        <f>CA32+CA33+CA34</f>
        <v/>
      </c>
      <c r="CB35" s="67">
        <f>CB32+CB33+CB34</f>
        <v/>
      </c>
      <c r="CC35" s="67">
        <f>CC32+CC33+CC34</f>
        <v/>
      </c>
      <c r="CD35" s="67">
        <f>CD32+CD33+CD34</f>
        <v/>
      </c>
      <c r="CE35" s="67">
        <f>CE32+CE33+CE34</f>
        <v/>
      </c>
      <c r="CF35" s="67">
        <f>CF32+CF33+CF34</f>
        <v/>
      </c>
      <c r="CG35" s="67">
        <f>CG32+CG33+CG34</f>
        <v/>
      </c>
      <c r="CH35" s="67">
        <f>CH32+CH33+CH34</f>
        <v/>
      </c>
    </row>
    <row r="36" ht="15" customHeight="1" s="201">
      <c r="A36" s="60" t="inlineStr">
        <is>
          <t xml:space="preserve">  Cumulative Net</t>
        </is>
      </c>
      <c r="B36" s="1" t="n"/>
      <c r="C36" s="68">
        <f>C35</f>
        <v/>
      </c>
      <c r="D36" s="68">
        <f>C36+D35</f>
        <v/>
      </c>
      <c r="E36" s="68">
        <f>D36+E35</f>
        <v/>
      </c>
      <c r="F36" s="68">
        <f>E36+F35</f>
        <v/>
      </c>
      <c r="G36" s="68">
        <f>F36+G35</f>
        <v/>
      </c>
      <c r="H36" s="68">
        <f>G36+H35</f>
        <v/>
      </c>
      <c r="I36" s="68">
        <f>H36+I35</f>
        <v/>
      </c>
      <c r="J36" s="68">
        <f>I36+J35</f>
        <v/>
      </c>
      <c r="K36" s="68">
        <f>J36+K35</f>
        <v/>
      </c>
      <c r="L36" s="68">
        <f>K36+L35</f>
        <v/>
      </c>
      <c r="M36" s="68">
        <f>L36+M35</f>
        <v/>
      </c>
      <c r="N36" s="68">
        <f>M36+N35</f>
        <v/>
      </c>
      <c r="O36" s="68">
        <f>N36+O35</f>
        <v/>
      </c>
      <c r="P36" s="68">
        <f>O36+P35</f>
        <v/>
      </c>
      <c r="Q36" s="68">
        <f>P36+Q35</f>
        <v/>
      </c>
      <c r="R36" s="68">
        <f>Q36+R35</f>
        <v/>
      </c>
      <c r="S36" s="68">
        <f>R36+S35</f>
        <v/>
      </c>
      <c r="T36" s="68">
        <f>S36+T35</f>
        <v/>
      </c>
      <c r="U36" s="68">
        <f>T36+U35</f>
        <v/>
      </c>
      <c r="V36" s="68">
        <f>U36+V35</f>
        <v/>
      </c>
      <c r="W36" s="68">
        <f>V36+W35</f>
        <v/>
      </c>
      <c r="X36" s="68">
        <f>W36+X35</f>
        <v/>
      </c>
      <c r="Y36" s="68">
        <f>X36+Y35</f>
        <v/>
      </c>
      <c r="Z36" s="68">
        <f>Y36+Z35</f>
        <v/>
      </c>
      <c r="AA36" s="68">
        <f>Z36+AA35</f>
        <v/>
      </c>
      <c r="AB36" s="68">
        <f>AA36+AB35</f>
        <v/>
      </c>
      <c r="AC36" s="68">
        <f>AB36+AC35</f>
        <v/>
      </c>
      <c r="AD36" s="68">
        <f>AC36+AD35</f>
        <v/>
      </c>
      <c r="AE36" s="68">
        <f>AD36+AE35</f>
        <v/>
      </c>
      <c r="AF36" s="68">
        <f>AE36+AF35</f>
        <v/>
      </c>
      <c r="AG36" s="68">
        <f>AF36+AG35</f>
        <v/>
      </c>
      <c r="AH36" s="68">
        <f>AG36+AH35</f>
        <v/>
      </c>
      <c r="AI36" s="68">
        <f>AH36+AI35</f>
        <v/>
      </c>
      <c r="AJ36" s="68">
        <f>AI36+AJ35</f>
        <v/>
      </c>
      <c r="AK36" s="68">
        <f>AJ36+AK35</f>
        <v/>
      </c>
      <c r="AL36" s="68">
        <f>AK36+AL35</f>
        <v/>
      </c>
      <c r="AM36" s="68">
        <f>AL36+AM35</f>
        <v/>
      </c>
      <c r="AN36" s="68">
        <f>AM36+AN35</f>
        <v/>
      </c>
      <c r="AO36" s="68">
        <f>AN36+AO35</f>
        <v/>
      </c>
      <c r="AP36" s="68">
        <f>AO36+AP35</f>
        <v/>
      </c>
      <c r="AQ36" s="68">
        <f>AP36+AQ35</f>
        <v/>
      </c>
      <c r="AR36" s="68">
        <f>AQ36+AR35</f>
        <v/>
      </c>
      <c r="AS36" s="68">
        <f>AR36+AS35</f>
        <v/>
      </c>
      <c r="AT36" s="68">
        <f>AS36+AT35</f>
        <v/>
      </c>
      <c r="AU36" s="68">
        <f>AT36+AU35</f>
        <v/>
      </c>
      <c r="AV36" s="68">
        <f>AU36+AV35</f>
        <v/>
      </c>
      <c r="AW36" s="68">
        <f>AV36+AW35</f>
        <v/>
      </c>
      <c r="AX36" s="68">
        <f>AW36+AX35</f>
        <v/>
      </c>
      <c r="AY36" s="68">
        <f>AX36+AY35</f>
        <v/>
      </c>
      <c r="AZ36" s="68">
        <f>AY36+AZ35</f>
        <v/>
      </c>
      <c r="BA36" s="68">
        <f>AZ36+BA35</f>
        <v/>
      </c>
      <c r="BB36" s="68">
        <f>BA36+BB35</f>
        <v/>
      </c>
      <c r="BC36" s="68">
        <f>BB36+BC35</f>
        <v/>
      </c>
      <c r="BD36" s="68">
        <f>BC36+BD35</f>
        <v/>
      </c>
      <c r="BE36" s="68">
        <f>BD36+BE35</f>
        <v/>
      </c>
      <c r="BF36" s="68">
        <f>BE36+BF35</f>
        <v/>
      </c>
      <c r="BG36" s="68">
        <f>BF36+BG35</f>
        <v/>
      </c>
      <c r="BH36" s="68">
        <f>BG36+BH35</f>
        <v/>
      </c>
      <c r="BI36" s="68">
        <f>BH36+BI35</f>
        <v/>
      </c>
      <c r="BJ36" s="68">
        <f>BI36+BJ35</f>
        <v/>
      </c>
      <c r="BK36" s="68">
        <f>BJ36+BK35</f>
        <v/>
      </c>
      <c r="BL36" s="68">
        <f>BK36+BL35</f>
        <v/>
      </c>
      <c r="BM36" s="68">
        <f>BL36+BM35</f>
        <v/>
      </c>
      <c r="BN36" s="68">
        <f>BM36+BN35</f>
        <v/>
      </c>
      <c r="BO36" s="68">
        <f>BN36+BO35</f>
        <v/>
      </c>
      <c r="BP36" s="68">
        <f>BO36+BP35</f>
        <v/>
      </c>
      <c r="BQ36" s="68">
        <f>BP36+BQ35</f>
        <v/>
      </c>
      <c r="BR36" s="68">
        <f>BQ36+BR35</f>
        <v/>
      </c>
      <c r="BS36" s="68">
        <f>BR36+BS35</f>
        <v/>
      </c>
      <c r="BT36" s="68">
        <f>BS36+BT35</f>
        <v/>
      </c>
      <c r="BU36" s="68">
        <f>BT36+BU35</f>
        <v/>
      </c>
      <c r="BV36" s="68">
        <f>BU36+BV35</f>
        <v/>
      </c>
      <c r="BW36" s="68">
        <f>BV36+BW35</f>
        <v/>
      </c>
      <c r="BX36" s="68">
        <f>BW36+BX35</f>
        <v/>
      </c>
      <c r="BY36" s="68">
        <f>BX36+BY35</f>
        <v/>
      </c>
      <c r="BZ36" s="68">
        <f>BY36+BZ35</f>
        <v/>
      </c>
      <c r="CA36" s="68">
        <f>BZ36+CA35</f>
        <v/>
      </c>
      <c r="CB36" s="68">
        <f>CA36+CB35</f>
        <v/>
      </c>
      <c r="CC36" s="68">
        <f>CB36+CC35</f>
        <v/>
      </c>
      <c r="CD36" s="68">
        <f>CC36+CD35</f>
        <v/>
      </c>
      <c r="CE36" s="68">
        <f>CD36+CE35</f>
        <v/>
      </c>
      <c r="CF36" s="68">
        <f>CE36+CF35</f>
        <v/>
      </c>
      <c r="CG36" s="68">
        <f>CF36+CG35</f>
        <v/>
      </c>
      <c r="CH36" s="68">
        <f>CG36+CH35</f>
        <v/>
      </c>
    </row>
    <row r="37" ht="15" customHeight="1" s="20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  <c r="BA37" s="1" t="n"/>
      <c r="BB37" s="1" t="n"/>
      <c r="BC37" s="1" t="n"/>
      <c r="BD37" s="1" t="n"/>
      <c r="BE37" s="1" t="n"/>
      <c r="BF37" s="1" t="n"/>
      <c r="BG37" s="1" t="n"/>
      <c r="BH37" s="1" t="n"/>
      <c r="BI37" s="1" t="n"/>
      <c r="BJ37" s="1" t="n"/>
      <c r="BK37" s="1" t="n"/>
      <c r="BL37" s="1" t="n"/>
      <c r="BM37" s="1" t="n"/>
      <c r="BN37" s="1" t="n"/>
      <c r="BO37" s="1" t="n"/>
      <c r="BP37" s="1" t="n"/>
      <c r="BQ37" s="1" t="n"/>
      <c r="BR37" s="1" t="n"/>
      <c r="BS37" s="1" t="n"/>
      <c r="BT37" s="1" t="n"/>
      <c r="BU37" s="1" t="n"/>
      <c r="BV37" s="1" t="n"/>
      <c r="BW37" s="1" t="n"/>
      <c r="BX37" s="1" t="n"/>
      <c r="BY37" s="1" t="n"/>
      <c r="BZ37" s="1" t="n"/>
      <c r="CA37" s="1" t="n"/>
      <c r="CB37" s="1" t="n"/>
      <c r="CC37" s="1" t="n"/>
      <c r="CD37" s="1" t="n"/>
      <c r="CE37" s="1" t="n"/>
      <c r="CF37" s="1" t="n"/>
      <c r="CG37" s="1" t="n"/>
      <c r="CH37" s="1" t="n"/>
    </row>
    <row r="38" ht="15" customHeight="1" s="201">
      <c r="A38" s="6" t="inlineStr">
        <is>
          <t>3rd St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  <c r="AP38" s="6" t="n"/>
      <c r="AQ38" s="6" t="n"/>
      <c r="AR38" s="6" t="n"/>
      <c r="AS38" s="6" t="n"/>
      <c r="AT38" s="6" t="n"/>
      <c r="AU38" s="6" t="n"/>
      <c r="AV38" s="6" t="n"/>
      <c r="AW38" s="6" t="n"/>
      <c r="AX38" s="6" t="n"/>
      <c r="AY38" s="6" t="n"/>
      <c r="AZ38" s="6" t="n"/>
      <c r="BA38" s="6" t="n"/>
      <c r="BB38" s="6" t="n"/>
      <c r="BC38" s="6" t="n"/>
      <c r="BD38" s="6" t="n"/>
      <c r="BE38" s="6" t="n"/>
      <c r="BF38" s="6" t="n"/>
      <c r="BG38" s="6" t="n"/>
      <c r="BH38" s="6" t="n"/>
      <c r="BI38" s="6" t="n"/>
      <c r="BJ38" s="6" t="n"/>
      <c r="BK38" s="6" t="n"/>
      <c r="BL38" s="6" t="n"/>
      <c r="BM38" s="6" t="n"/>
      <c r="BN38" s="6" t="n"/>
      <c r="BO38" s="6" t="n"/>
      <c r="BP38" s="6" t="n"/>
      <c r="BQ38" s="6" t="n"/>
      <c r="BR38" s="6" t="n"/>
      <c r="BS38" s="6" t="n"/>
      <c r="BT38" s="6" t="n"/>
      <c r="BU38" s="6" t="n"/>
      <c r="BV38" s="6" t="n"/>
      <c r="BW38" s="6" t="n"/>
      <c r="BX38" s="6" t="n"/>
      <c r="BY38" s="6" t="n"/>
      <c r="BZ38" s="6" t="n"/>
      <c r="CA38" s="6" t="n"/>
      <c r="CB38" s="6" t="n"/>
      <c r="CC38" s="6" t="n"/>
      <c r="CD38" s="6" t="n"/>
      <c r="CE38" s="6" t="n"/>
      <c r="CF38" s="6" t="n"/>
      <c r="CG38" s="6" t="n"/>
      <c r="CH38" s="6" t="n"/>
    </row>
    <row r="39" ht="15" customHeight="1" s="201">
      <c r="A39" s="16" t="inlineStr">
        <is>
          <t xml:space="preserve">  Revenue</t>
        </is>
      </c>
      <c r="B39" s="1" t="n"/>
      <c r="C39" s="66" t="n">
        <v>0</v>
      </c>
      <c r="D39" s="66" t="n">
        <v>0</v>
      </c>
      <c r="E39" s="66" t="n">
        <v>0</v>
      </c>
      <c r="F39" s="66" t="n">
        <v>0</v>
      </c>
      <c r="G39" s="66" t="n">
        <v>0</v>
      </c>
      <c r="H39" s="66" t="n">
        <v>0</v>
      </c>
      <c r="I39" s="66" t="n">
        <v>0</v>
      </c>
      <c r="J39" s="66" t="n">
        <v>0</v>
      </c>
      <c r="K39" s="66" t="n">
        <v>0</v>
      </c>
      <c r="L39" s="66" t="n">
        <v>0</v>
      </c>
      <c r="M39" s="66" t="n">
        <v>0</v>
      </c>
      <c r="N39" s="66" t="n">
        <v>0</v>
      </c>
      <c r="O39" s="66" t="n">
        <v>0</v>
      </c>
      <c r="P39" s="66" t="n">
        <v>0</v>
      </c>
      <c r="Q39" s="66" t="n">
        <v>0</v>
      </c>
      <c r="R39" s="66" t="n">
        <v>0</v>
      </c>
      <c r="S39" s="66" t="n">
        <v>0</v>
      </c>
      <c r="T39" s="66" t="n">
        <v>0</v>
      </c>
      <c r="U39" s="66" t="n">
        <v>0</v>
      </c>
      <c r="V39" s="66" t="n">
        <v>0</v>
      </c>
      <c r="W39" s="66" t="n">
        <v>0</v>
      </c>
      <c r="X39" s="66" t="n">
        <v>0</v>
      </c>
      <c r="Y39" s="66" t="n">
        <v>0</v>
      </c>
      <c r="Z39" s="66" t="n">
        <v>0</v>
      </c>
      <c r="AA39" s="66" t="n">
        <v>0</v>
      </c>
      <c r="AB39" s="66" t="n">
        <v>0</v>
      </c>
      <c r="AC39" s="66" t="n">
        <v>0</v>
      </c>
      <c r="AD39" s="66" t="n">
        <v>0</v>
      </c>
      <c r="AE39" s="66" t="n">
        <v>0</v>
      </c>
      <c r="AF39" s="66" t="n">
        <v>0</v>
      </c>
      <c r="AG39" s="66" t="n">
        <v>0</v>
      </c>
      <c r="AH39" s="66" t="n">
        <v>0</v>
      </c>
      <c r="AI39" s="66" t="n">
        <v>0</v>
      </c>
      <c r="AJ39" s="66" t="n">
        <v>0</v>
      </c>
      <c r="AK39" s="66" t="n">
        <v>0</v>
      </c>
      <c r="AL39" s="66" t="n">
        <v>0</v>
      </c>
      <c r="AM39" s="66" t="n">
        <v>0</v>
      </c>
      <c r="AN39" s="66" t="n">
        <v>0</v>
      </c>
      <c r="AO39" s="66" t="n">
        <v>0</v>
      </c>
      <c r="AP39" s="66" t="n">
        <v>0</v>
      </c>
      <c r="AQ39" s="66" t="n">
        <v>0</v>
      </c>
      <c r="AR39" s="66" t="n">
        <v>0</v>
      </c>
      <c r="AS39" s="66" t="n">
        <v>0</v>
      </c>
      <c r="AT39" s="66" t="n">
        <v>0</v>
      </c>
      <c r="AU39" s="66" t="n">
        <v>0</v>
      </c>
      <c r="AV39" s="66" t="n">
        <v>0</v>
      </c>
      <c r="AW39" s="66" t="n">
        <v>0</v>
      </c>
      <c r="AX39" s="66" t="n">
        <v>0</v>
      </c>
      <c r="AY39" s="66" t="n">
        <v>0</v>
      </c>
      <c r="AZ39" s="66" t="n">
        <v>0</v>
      </c>
      <c r="BA39" s="66" t="n">
        <v>0</v>
      </c>
      <c r="BB39" s="66" t="n">
        <v>0</v>
      </c>
      <c r="BC39" s="66" t="n">
        <v>0</v>
      </c>
      <c r="BD39" s="66" t="n">
        <v>0</v>
      </c>
      <c r="BE39" s="66" t="n">
        <v>0</v>
      </c>
      <c r="BF39" s="66" t="n">
        <v>0</v>
      </c>
      <c r="BG39" s="66" t="n">
        <v>0</v>
      </c>
      <c r="BH39" s="66" t="n">
        <v>0</v>
      </c>
      <c r="BI39" s="66" t="n">
        <v>0</v>
      </c>
      <c r="BJ39" s="66" t="n">
        <v>0</v>
      </c>
      <c r="BK39" s="66" t="n">
        <v>0</v>
      </c>
      <c r="BL39" s="66" t="n">
        <v>0</v>
      </c>
      <c r="BM39" s="66" t="n">
        <v>0</v>
      </c>
      <c r="BN39" s="66" t="n">
        <v>0</v>
      </c>
      <c r="BO39" s="66" t="n">
        <v>0</v>
      </c>
      <c r="BP39" s="66" t="n">
        <v>0</v>
      </c>
      <c r="BQ39" s="66" t="n">
        <v>0</v>
      </c>
      <c r="BR39" s="66" t="n">
        <v>0</v>
      </c>
      <c r="BS39" s="66" t="n">
        <v>0</v>
      </c>
      <c r="BT39" s="66" t="n">
        <v>0</v>
      </c>
      <c r="BU39" s="66" t="n">
        <v>0</v>
      </c>
      <c r="BV39" s="66" t="n">
        <v>0</v>
      </c>
      <c r="BW39" s="66" t="n">
        <v>0</v>
      </c>
      <c r="BX39" s="66" t="n">
        <v>0</v>
      </c>
      <c r="BY39" s="66" t="n">
        <v>0</v>
      </c>
      <c r="BZ39" s="66" t="n">
        <v>0</v>
      </c>
      <c r="CA39" s="66" t="n">
        <v>0</v>
      </c>
      <c r="CB39" s="66" t="n">
        <v>0</v>
      </c>
      <c r="CC39" s="66" t="n">
        <v>0</v>
      </c>
      <c r="CD39" s="66" t="n">
        <v>0</v>
      </c>
      <c r="CE39" s="66" t="n">
        <v>0</v>
      </c>
      <c r="CF39" s="66" t="n">
        <v>0</v>
      </c>
      <c r="CG39" s="66" t="n">
        <v>0</v>
      </c>
      <c r="CH39" s="66" t="n">
        <v>0</v>
      </c>
    </row>
    <row r="40" ht="15" customHeight="1" s="201">
      <c r="A40" s="69" t="inlineStr">
        <is>
          <t xml:space="preserve">  Steyn Fees</t>
        </is>
      </c>
      <c r="B40" s="1" t="n"/>
      <c r="C40" s="70">
        <f>Model!C84</f>
        <v/>
      </c>
      <c r="D40" s="70">
        <f>Model!D84</f>
        <v/>
      </c>
      <c r="E40" s="70">
        <f>Model!E84</f>
        <v/>
      </c>
      <c r="F40" s="70">
        <f>Model!F84</f>
        <v/>
      </c>
      <c r="G40" s="70">
        <f>Model!G84</f>
        <v/>
      </c>
      <c r="H40" s="70">
        <f>Model!H84</f>
        <v/>
      </c>
      <c r="I40" s="70">
        <f>Model!I84</f>
        <v/>
      </c>
      <c r="J40" s="70">
        <f>Model!J84</f>
        <v/>
      </c>
      <c r="K40" s="70">
        <f>Model!K84</f>
        <v/>
      </c>
      <c r="L40" s="70">
        <f>Model!L84</f>
        <v/>
      </c>
      <c r="M40" s="70">
        <f>Model!M84</f>
        <v/>
      </c>
      <c r="N40" s="70">
        <f>Model!N84</f>
        <v/>
      </c>
      <c r="O40" s="70">
        <f>Model!O84</f>
        <v/>
      </c>
      <c r="P40" s="70">
        <f>Model!P84</f>
        <v/>
      </c>
      <c r="Q40" s="70">
        <f>Model!Q84</f>
        <v/>
      </c>
      <c r="R40" s="70">
        <f>Model!R84</f>
        <v/>
      </c>
      <c r="S40" s="70">
        <f>Model!S84</f>
        <v/>
      </c>
      <c r="T40" s="70">
        <f>Model!T84</f>
        <v/>
      </c>
      <c r="U40" s="70">
        <f>Model!U84</f>
        <v/>
      </c>
      <c r="V40" s="70">
        <f>Model!V84</f>
        <v/>
      </c>
      <c r="W40" s="70">
        <f>Model!W84</f>
        <v/>
      </c>
      <c r="X40" s="70">
        <f>Model!X84</f>
        <v/>
      </c>
      <c r="Y40" s="70">
        <f>Model!Y84</f>
        <v/>
      </c>
      <c r="Z40" s="70">
        <f>Model!Z84</f>
        <v/>
      </c>
      <c r="AA40" s="70">
        <f>Model!AA84</f>
        <v/>
      </c>
      <c r="AB40" s="70">
        <f>Model!AB84</f>
        <v/>
      </c>
      <c r="AC40" s="70">
        <f>Model!AC84</f>
        <v/>
      </c>
      <c r="AD40" s="70">
        <f>Model!AD84</f>
        <v/>
      </c>
      <c r="AE40" s="70">
        <f>Model!AE84</f>
        <v/>
      </c>
      <c r="AF40" s="70">
        <f>Model!AF84</f>
        <v/>
      </c>
      <c r="AG40" s="70">
        <f>Model!AG84</f>
        <v/>
      </c>
      <c r="AH40" s="70">
        <f>Model!AH84</f>
        <v/>
      </c>
      <c r="AI40" s="70">
        <f>Model!AI84</f>
        <v/>
      </c>
      <c r="AJ40" s="70">
        <f>Model!AJ84</f>
        <v/>
      </c>
      <c r="AK40" s="70">
        <f>Model!AK84</f>
        <v/>
      </c>
      <c r="AL40" s="70">
        <f>Model!AL84</f>
        <v/>
      </c>
      <c r="AM40" s="70">
        <f>Model!AM84</f>
        <v/>
      </c>
      <c r="AN40" s="70">
        <f>Model!AN84</f>
        <v/>
      </c>
      <c r="AO40" s="70">
        <f>Model!AO84</f>
        <v/>
      </c>
      <c r="AP40" s="70">
        <f>Model!AP84</f>
        <v/>
      </c>
      <c r="AQ40" s="70">
        <f>Model!AQ84</f>
        <v/>
      </c>
      <c r="AR40" s="70">
        <f>Model!AR84</f>
        <v/>
      </c>
      <c r="AS40" s="70">
        <f>Model!AS84</f>
        <v/>
      </c>
      <c r="AT40" s="70">
        <f>Model!AT84</f>
        <v/>
      </c>
      <c r="AU40" s="70">
        <f>Model!AU84</f>
        <v/>
      </c>
      <c r="AV40" s="70">
        <f>Model!AV84</f>
        <v/>
      </c>
      <c r="AW40" s="70">
        <f>Model!AW84</f>
        <v/>
      </c>
      <c r="AX40" s="70">
        <f>Model!AX84</f>
        <v/>
      </c>
      <c r="AY40" s="70">
        <f>Model!AY84</f>
        <v/>
      </c>
      <c r="AZ40" s="70">
        <f>Model!AZ84</f>
        <v/>
      </c>
      <c r="BA40" s="70">
        <f>Model!BA84</f>
        <v/>
      </c>
      <c r="BB40" s="70">
        <f>Model!BB84</f>
        <v/>
      </c>
      <c r="BC40" s="70">
        <f>Model!BC84</f>
        <v/>
      </c>
      <c r="BD40" s="70">
        <f>Model!BD84</f>
        <v/>
      </c>
      <c r="BE40" s="70">
        <f>Model!BE84</f>
        <v/>
      </c>
      <c r="BF40" s="70">
        <f>Model!BF84</f>
        <v/>
      </c>
      <c r="BG40" s="70">
        <f>Model!BG84</f>
        <v/>
      </c>
      <c r="BH40" s="70">
        <f>Model!BH84</f>
        <v/>
      </c>
      <c r="BI40" s="70">
        <f>Model!BI84</f>
        <v/>
      </c>
      <c r="BJ40" s="70">
        <f>Model!BJ84</f>
        <v/>
      </c>
      <c r="BK40" s="70">
        <f>Model!BK84</f>
        <v/>
      </c>
      <c r="BL40" s="70">
        <f>Model!BL84</f>
        <v/>
      </c>
      <c r="BM40" s="70">
        <f>Model!BM84</f>
        <v/>
      </c>
      <c r="BN40" s="70">
        <f>Model!BN84</f>
        <v/>
      </c>
      <c r="BO40" s="70">
        <f>Model!BO84</f>
        <v/>
      </c>
      <c r="BP40" s="70">
        <f>Model!BP84</f>
        <v/>
      </c>
      <c r="BQ40" s="70">
        <f>Model!BQ84</f>
        <v/>
      </c>
      <c r="BR40" s="70">
        <f>Model!BR84</f>
        <v/>
      </c>
      <c r="BS40" s="70">
        <f>Model!BS84</f>
        <v/>
      </c>
      <c r="BT40" s="70">
        <f>Model!BT84</f>
        <v/>
      </c>
      <c r="BU40" s="70">
        <f>Model!BU84</f>
        <v/>
      </c>
      <c r="BV40" s="70">
        <f>Model!BV84</f>
        <v/>
      </c>
      <c r="BW40" s="70">
        <f>Model!BW84</f>
        <v/>
      </c>
      <c r="BX40" s="70">
        <f>Model!BX84</f>
        <v/>
      </c>
      <c r="BY40" s="70">
        <f>Model!BY84</f>
        <v/>
      </c>
      <c r="BZ40" s="70">
        <f>Model!BZ84</f>
        <v/>
      </c>
      <c r="CA40" s="70">
        <f>Model!CA84</f>
        <v/>
      </c>
      <c r="CB40" s="70">
        <f>Model!CB84</f>
        <v/>
      </c>
      <c r="CC40" s="70">
        <f>Model!CC84</f>
        <v/>
      </c>
      <c r="CD40" s="70">
        <f>Model!CD84</f>
        <v/>
      </c>
      <c r="CE40" s="70">
        <f>Model!CE84</f>
        <v/>
      </c>
      <c r="CF40" s="70">
        <f>Model!CF84</f>
        <v/>
      </c>
      <c r="CG40" s="70">
        <f>Model!CG84</f>
        <v/>
      </c>
      <c r="CH40" s="70">
        <f>Model!CH84</f>
        <v/>
      </c>
    </row>
    <row r="41" ht="15" customHeight="1" s="201">
      <c r="A41" s="28" t="inlineStr">
        <is>
          <t xml:space="preserve">  Net to Six Peak</t>
        </is>
      </c>
      <c r="B41" s="28" t="n"/>
      <c r="C41" s="67">
        <f>C39+C40</f>
        <v/>
      </c>
      <c r="D41" s="67">
        <f>D39+D40</f>
        <v/>
      </c>
      <c r="E41" s="67">
        <f>E39+E40</f>
        <v/>
      </c>
      <c r="F41" s="67">
        <f>F39+F40</f>
        <v/>
      </c>
      <c r="G41" s="67">
        <f>G39+G40</f>
        <v/>
      </c>
      <c r="H41" s="67">
        <f>H39+H40</f>
        <v/>
      </c>
      <c r="I41" s="67">
        <f>I39+I40</f>
        <v/>
      </c>
      <c r="J41" s="67">
        <f>J39+J40</f>
        <v/>
      </c>
      <c r="K41" s="67">
        <f>K39+K40</f>
        <v/>
      </c>
      <c r="L41" s="67">
        <f>L39+L40</f>
        <v/>
      </c>
      <c r="M41" s="67">
        <f>M39+M40</f>
        <v/>
      </c>
      <c r="N41" s="67">
        <f>N39+N40</f>
        <v/>
      </c>
      <c r="O41" s="67">
        <f>O39+O40</f>
        <v/>
      </c>
      <c r="P41" s="67">
        <f>P39+P40</f>
        <v/>
      </c>
      <c r="Q41" s="67">
        <f>Q39+Q40</f>
        <v/>
      </c>
      <c r="R41" s="67">
        <f>R39+R40</f>
        <v/>
      </c>
      <c r="S41" s="67">
        <f>S39+S40</f>
        <v/>
      </c>
      <c r="T41" s="67">
        <f>T39+T40</f>
        <v/>
      </c>
      <c r="U41" s="67">
        <f>U39+U40</f>
        <v/>
      </c>
      <c r="V41" s="67">
        <f>V39+V40</f>
        <v/>
      </c>
      <c r="W41" s="67">
        <f>W39+W40</f>
        <v/>
      </c>
      <c r="X41" s="67">
        <f>X39+X40</f>
        <v/>
      </c>
      <c r="Y41" s="67">
        <f>Y39+Y40</f>
        <v/>
      </c>
      <c r="Z41" s="67">
        <f>Z39+Z40</f>
        <v/>
      </c>
      <c r="AA41" s="67">
        <f>AA39+AA40</f>
        <v/>
      </c>
      <c r="AB41" s="67">
        <f>AB39+AB40</f>
        <v/>
      </c>
      <c r="AC41" s="67">
        <f>AC39+AC40</f>
        <v/>
      </c>
      <c r="AD41" s="67">
        <f>AD39+AD40</f>
        <v/>
      </c>
      <c r="AE41" s="67">
        <f>AE39+AE40</f>
        <v/>
      </c>
      <c r="AF41" s="67">
        <f>AF39+AF40</f>
        <v/>
      </c>
      <c r="AG41" s="67">
        <f>AG39+AG40</f>
        <v/>
      </c>
      <c r="AH41" s="67">
        <f>AH39+AH40</f>
        <v/>
      </c>
      <c r="AI41" s="67">
        <f>AI39+AI40</f>
        <v/>
      </c>
      <c r="AJ41" s="67">
        <f>AJ39+AJ40</f>
        <v/>
      </c>
      <c r="AK41" s="67">
        <f>AK39+AK40</f>
        <v/>
      </c>
      <c r="AL41" s="67">
        <f>AL39+AL40</f>
        <v/>
      </c>
      <c r="AM41" s="67">
        <f>AM39+AM40</f>
        <v/>
      </c>
      <c r="AN41" s="67">
        <f>AN39+AN40</f>
        <v/>
      </c>
      <c r="AO41" s="67">
        <f>AO39+AO40</f>
        <v/>
      </c>
      <c r="AP41" s="67">
        <f>AP39+AP40</f>
        <v/>
      </c>
      <c r="AQ41" s="67">
        <f>AQ39+AQ40</f>
        <v/>
      </c>
      <c r="AR41" s="67">
        <f>AR39+AR40</f>
        <v/>
      </c>
      <c r="AS41" s="67">
        <f>AS39+AS40</f>
        <v/>
      </c>
      <c r="AT41" s="67">
        <f>AT39+AT40</f>
        <v/>
      </c>
      <c r="AU41" s="67">
        <f>AU39+AU40</f>
        <v/>
      </c>
      <c r="AV41" s="67">
        <f>AV39+AV40</f>
        <v/>
      </c>
      <c r="AW41" s="67">
        <f>AW39+AW40</f>
        <v/>
      </c>
      <c r="AX41" s="67">
        <f>AX39+AX40</f>
        <v/>
      </c>
      <c r="AY41" s="67">
        <f>AY39+AY40</f>
        <v/>
      </c>
      <c r="AZ41" s="67">
        <f>AZ39+AZ40</f>
        <v/>
      </c>
      <c r="BA41" s="67">
        <f>BA39+BA40</f>
        <v/>
      </c>
      <c r="BB41" s="67">
        <f>BB39+BB40</f>
        <v/>
      </c>
      <c r="BC41" s="67">
        <f>BC39+BC40</f>
        <v/>
      </c>
      <c r="BD41" s="67">
        <f>BD39+BD40</f>
        <v/>
      </c>
      <c r="BE41" s="67">
        <f>BE39+BE40</f>
        <v/>
      </c>
      <c r="BF41" s="67">
        <f>BF39+BF40</f>
        <v/>
      </c>
      <c r="BG41" s="67">
        <f>BG39+BG40</f>
        <v/>
      </c>
      <c r="BH41" s="67">
        <f>BH39+BH40</f>
        <v/>
      </c>
      <c r="BI41" s="67">
        <f>BI39+BI40</f>
        <v/>
      </c>
      <c r="BJ41" s="67">
        <f>BJ39+BJ40</f>
        <v/>
      </c>
      <c r="BK41" s="67">
        <f>BK39+BK40</f>
        <v/>
      </c>
      <c r="BL41" s="67">
        <f>BL39+BL40</f>
        <v/>
      </c>
      <c r="BM41" s="67">
        <f>BM39+BM40</f>
        <v/>
      </c>
      <c r="BN41" s="67">
        <f>BN39+BN40</f>
        <v/>
      </c>
      <c r="BO41" s="67">
        <f>BO39+BO40</f>
        <v/>
      </c>
      <c r="BP41" s="67">
        <f>BP39+BP40</f>
        <v/>
      </c>
      <c r="BQ41" s="67">
        <f>BQ39+BQ40</f>
        <v/>
      </c>
      <c r="BR41" s="67">
        <f>BR39+BR40</f>
        <v/>
      </c>
      <c r="BS41" s="67">
        <f>BS39+BS40</f>
        <v/>
      </c>
      <c r="BT41" s="67">
        <f>BT39+BT40</f>
        <v/>
      </c>
      <c r="BU41" s="67">
        <f>BU39+BU40</f>
        <v/>
      </c>
      <c r="BV41" s="67">
        <f>BV39+BV40</f>
        <v/>
      </c>
      <c r="BW41" s="67">
        <f>BW39+BW40</f>
        <v/>
      </c>
      <c r="BX41" s="67">
        <f>BX39+BX40</f>
        <v/>
      </c>
      <c r="BY41" s="67">
        <f>BY39+BY40</f>
        <v/>
      </c>
      <c r="BZ41" s="67">
        <f>BZ39+BZ40</f>
        <v/>
      </c>
      <c r="CA41" s="67">
        <f>CA39+CA40</f>
        <v/>
      </c>
      <c r="CB41" s="67">
        <f>CB39+CB40</f>
        <v/>
      </c>
      <c r="CC41" s="67">
        <f>CC39+CC40</f>
        <v/>
      </c>
      <c r="CD41" s="67">
        <f>CD39+CD40</f>
        <v/>
      </c>
      <c r="CE41" s="67">
        <f>CE39+CE40</f>
        <v/>
      </c>
      <c r="CF41" s="67">
        <f>CF39+CF40</f>
        <v/>
      </c>
      <c r="CG41" s="67">
        <f>CG39+CG40</f>
        <v/>
      </c>
      <c r="CH41" s="67">
        <f>CH39+CH40</f>
        <v/>
      </c>
    </row>
    <row r="42" ht="15" customHeight="1" s="201">
      <c r="A42" s="60" t="inlineStr">
        <is>
          <t xml:space="preserve">  Cumulative Net</t>
        </is>
      </c>
      <c r="B42" s="1" t="n"/>
      <c r="C42" s="68">
        <f>C41</f>
        <v/>
      </c>
      <c r="D42" s="68">
        <f>C42+D41</f>
        <v/>
      </c>
      <c r="E42" s="68">
        <f>D42+E41</f>
        <v/>
      </c>
      <c r="F42" s="68">
        <f>E42+F41</f>
        <v/>
      </c>
      <c r="G42" s="68">
        <f>F42+G41</f>
        <v/>
      </c>
      <c r="H42" s="68">
        <f>G42+H41</f>
        <v/>
      </c>
      <c r="I42" s="68">
        <f>H42+I41</f>
        <v/>
      </c>
      <c r="J42" s="68">
        <f>I42+J41</f>
        <v/>
      </c>
      <c r="K42" s="68">
        <f>J42+K41</f>
        <v/>
      </c>
      <c r="L42" s="68">
        <f>K42+L41</f>
        <v/>
      </c>
      <c r="M42" s="68">
        <f>L42+M41</f>
        <v/>
      </c>
      <c r="N42" s="68">
        <f>M42+N41</f>
        <v/>
      </c>
      <c r="O42" s="68">
        <f>N42+O41</f>
        <v/>
      </c>
      <c r="P42" s="68">
        <f>O42+P41</f>
        <v/>
      </c>
      <c r="Q42" s="68">
        <f>P42+Q41</f>
        <v/>
      </c>
      <c r="R42" s="68">
        <f>Q42+R41</f>
        <v/>
      </c>
      <c r="S42" s="68">
        <f>R42+S41</f>
        <v/>
      </c>
      <c r="T42" s="68">
        <f>S42+T41</f>
        <v/>
      </c>
      <c r="U42" s="68">
        <f>T42+U41</f>
        <v/>
      </c>
      <c r="V42" s="68">
        <f>U42+V41</f>
        <v/>
      </c>
      <c r="W42" s="68">
        <f>V42+W41</f>
        <v/>
      </c>
      <c r="X42" s="68">
        <f>W42+X41</f>
        <v/>
      </c>
      <c r="Y42" s="68">
        <f>X42+Y41</f>
        <v/>
      </c>
      <c r="Z42" s="68">
        <f>Y42+Z41</f>
        <v/>
      </c>
      <c r="AA42" s="68">
        <f>Z42+AA41</f>
        <v/>
      </c>
      <c r="AB42" s="68">
        <f>AA42+AB41</f>
        <v/>
      </c>
      <c r="AC42" s="68">
        <f>AB42+AC41</f>
        <v/>
      </c>
      <c r="AD42" s="68">
        <f>AC42+AD41</f>
        <v/>
      </c>
      <c r="AE42" s="68">
        <f>AD42+AE41</f>
        <v/>
      </c>
      <c r="AF42" s="68">
        <f>AE42+AF41</f>
        <v/>
      </c>
      <c r="AG42" s="68">
        <f>AF42+AG41</f>
        <v/>
      </c>
      <c r="AH42" s="68">
        <f>AG42+AH41</f>
        <v/>
      </c>
      <c r="AI42" s="68">
        <f>AH42+AI41</f>
        <v/>
      </c>
      <c r="AJ42" s="68">
        <f>AI42+AJ41</f>
        <v/>
      </c>
      <c r="AK42" s="68">
        <f>AJ42+AK41</f>
        <v/>
      </c>
      <c r="AL42" s="68">
        <f>AK42+AL41</f>
        <v/>
      </c>
      <c r="AM42" s="68">
        <f>AL42+AM41</f>
        <v/>
      </c>
      <c r="AN42" s="68">
        <f>AM42+AN41</f>
        <v/>
      </c>
      <c r="AO42" s="68">
        <f>AN42+AO41</f>
        <v/>
      </c>
      <c r="AP42" s="68">
        <f>AO42+AP41</f>
        <v/>
      </c>
      <c r="AQ42" s="68">
        <f>AP42+AQ41</f>
        <v/>
      </c>
      <c r="AR42" s="68">
        <f>AQ42+AR41</f>
        <v/>
      </c>
      <c r="AS42" s="68">
        <f>AR42+AS41</f>
        <v/>
      </c>
      <c r="AT42" s="68">
        <f>AS42+AT41</f>
        <v/>
      </c>
      <c r="AU42" s="68">
        <f>AT42+AU41</f>
        <v/>
      </c>
      <c r="AV42" s="68">
        <f>AU42+AV41</f>
        <v/>
      </c>
      <c r="AW42" s="68">
        <f>AV42+AW41</f>
        <v/>
      </c>
      <c r="AX42" s="68">
        <f>AW42+AX41</f>
        <v/>
      </c>
      <c r="AY42" s="68">
        <f>AX42+AY41</f>
        <v/>
      </c>
      <c r="AZ42" s="68">
        <f>AY42+AZ41</f>
        <v/>
      </c>
      <c r="BA42" s="68">
        <f>AZ42+BA41</f>
        <v/>
      </c>
      <c r="BB42" s="68">
        <f>BA42+BB41</f>
        <v/>
      </c>
      <c r="BC42" s="68">
        <f>BB42+BC41</f>
        <v/>
      </c>
      <c r="BD42" s="68">
        <f>BC42+BD41</f>
        <v/>
      </c>
      <c r="BE42" s="68">
        <f>BD42+BE41</f>
        <v/>
      </c>
      <c r="BF42" s="68">
        <f>BE42+BF41</f>
        <v/>
      </c>
      <c r="BG42" s="68">
        <f>BF42+BG41</f>
        <v/>
      </c>
      <c r="BH42" s="68">
        <f>BG42+BH41</f>
        <v/>
      </c>
      <c r="BI42" s="68">
        <f>BH42+BI41</f>
        <v/>
      </c>
      <c r="BJ42" s="68">
        <f>BI42+BJ41</f>
        <v/>
      </c>
      <c r="BK42" s="68">
        <f>BJ42+BK41</f>
        <v/>
      </c>
      <c r="BL42" s="68">
        <f>BK42+BL41</f>
        <v/>
      </c>
      <c r="BM42" s="68">
        <f>BL42+BM41</f>
        <v/>
      </c>
      <c r="BN42" s="68">
        <f>BM42+BN41</f>
        <v/>
      </c>
      <c r="BO42" s="68">
        <f>BN42+BO41</f>
        <v/>
      </c>
      <c r="BP42" s="68">
        <f>BO42+BP41</f>
        <v/>
      </c>
      <c r="BQ42" s="68">
        <f>BP42+BQ41</f>
        <v/>
      </c>
      <c r="BR42" s="68">
        <f>BQ42+BR41</f>
        <v/>
      </c>
      <c r="BS42" s="68">
        <f>BR42+BS41</f>
        <v/>
      </c>
      <c r="BT42" s="68">
        <f>BS42+BT41</f>
        <v/>
      </c>
      <c r="BU42" s="68">
        <f>BT42+BU41</f>
        <v/>
      </c>
      <c r="BV42" s="68">
        <f>BU42+BV41</f>
        <v/>
      </c>
      <c r="BW42" s="68">
        <f>BV42+BW41</f>
        <v/>
      </c>
      <c r="BX42" s="68">
        <f>BW42+BX41</f>
        <v/>
      </c>
      <c r="BY42" s="68">
        <f>BX42+BY41</f>
        <v/>
      </c>
      <c r="BZ42" s="68">
        <f>BY42+BZ41</f>
        <v/>
      </c>
      <c r="CA42" s="68">
        <f>BZ42+CA41</f>
        <v/>
      </c>
      <c r="CB42" s="68">
        <f>CA42+CB41</f>
        <v/>
      </c>
      <c r="CC42" s="68">
        <f>CB42+CC41</f>
        <v/>
      </c>
      <c r="CD42" s="68">
        <f>CC42+CD41</f>
        <v/>
      </c>
      <c r="CE42" s="68">
        <f>CD42+CE41</f>
        <v/>
      </c>
      <c r="CF42" s="68">
        <f>CE42+CF41</f>
        <v/>
      </c>
      <c r="CG42" s="68">
        <f>CF42+CG41</f>
        <v/>
      </c>
      <c r="CH42" s="68">
        <f>CG42+CH41</f>
        <v/>
      </c>
    </row>
    <row r="43" ht="15" customHeight="1" s="20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  <c r="BA43" s="1" t="n"/>
      <c r="BB43" s="1" t="n"/>
      <c r="BC43" s="1" t="n"/>
      <c r="BD43" s="1" t="n"/>
      <c r="BE43" s="1" t="n"/>
      <c r="BF43" s="1" t="n"/>
      <c r="BG43" s="1" t="n"/>
      <c r="BH43" s="1" t="n"/>
      <c r="BI43" s="1" t="n"/>
      <c r="BJ43" s="1" t="n"/>
      <c r="BK43" s="1" t="n"/>
      <c r="BL43" s="1" t="n"/>
      <c r="BM43" s="1" t="n"/>
      <c r="BN43" s="1" t="n"/>
      <c r="BO43" s="1" t="n"/>
      <c r="BP43" s="1" t="n"/>
      <c r="BQ43" s="1" t="n"/>
      <c r="BR43" s="1" t="n"/>
      <c r="BS43" s="1" t="n"/>
      <c r="BT43" s="1" t="n"/>
      <c r="BU43" s="1" t="n"/>
      <c r="BV43" s="1" t="n"/>
      <c r="BW43" s="1" t="n"/>
      <c r="BX43" s="1" t="n"/>
      <c r="BY43" s="1" t="n"/>
      <c r="BZ43" s="1" t="n"/>
      <c r="CA43" s="1" t="n"/>
      <c r="CB43" s="1" t="n"/>
      <c r="CC43" s="1" t="n"/>
      <c r="CD43" s="1" t="n"/>
      <c r="CE43" s="1" t="n"/>
      <c r="CF43" s="1" t="n"/>
      <c r="CG43" s="1" t="n"/>
      <c r="CH43" s="1" t="n"/>
    </row>
    <row r="44" ht="27.75" customHeight="1" s="201">
      <c r="A44" s="26" t="inlineStr">
        <is>
          <t>ALL GC + DEVELOPER DEALS</t>
        </is>
      </c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  <c r="AB44" s="26" t="n"/>
      <c r="AC44" s="26" t="n"/>
      <c r="AD44" s="26" t="n"/>
      <c r="AE44" s="26" t="n"/>
      <c r="AF44" s="26" t="n"/>
      <c r="AG44" s="26" t="n"/>
      <c r="AH44" s="26" t="n"/>
      <c r="AI44" s="26" t="n"/>
      <c r="AJ44" s="26" t="n"/>
      <c r="AK44" s="26" t="n"/>
      <c r="AL44" s="26" t="n"/>
      <c r="AM44" s="26" t="n"/>
      <c r="AN44" s="26" t="n"/>
      <c r="AO44" s="26" t="n"/>
      <c r="AP44" s="26" t="n"/>
      <c r="AQ44" s="26" t="n"/>
      <c r="AR44" s="26" t="n"/>
      <c r="AS44" s="26" t="n"/>
      <c r="AT44" s="26" t="n"/>
      <c r="AU44" s="26" t="n"/>
      <c r="AV44" s="26" t="n"/>
      <c r="AW44" s="26" t="n"/>
      <c r="AX44" s="26" t="n"/>
      <c r="AY44" s="26" t="n"/>
      <c r="AZ44" s="26" t="n"/>
      <c r="BA44" s="26" t="n"/>
      <c r="BB44" s="26" t="n"/>
      <c r="BC44" s="26" t="n"/>
      <c r="BD44" s="26" t="n"/>
      <c r="BE44" s="26" t="n"/>
      <c r="BF44" s="26" t="n"/>
      <c r="BG44" s="26" t="n"/>
      <c r="BH44" s="26" t="n"/>
      <c r="BI44" s="26" t="n"/>
      <c r="BJ44" s="26" t="n"/>
      <c r="BK44" s="26" t="n"/>
      <c r="BL44" s="26" t="n"/>
      <c r="BM44" s="26" t="n"/>
      <c r="BN44" s="26" t="n"/>
      <c r="BO44" s="26" t="n"/>
      <c r="BP44" s="26" t="n"/>
      <c r="BQ44" s="26" t="n"/>
      <c r="BR44" s="26" t="n"/>
      <c r="BS44" s="26" t="n"/>
      <c r="BT44" s="26" t="n"/>
      <c r="BU44" s="26" t="n"/>
      <c r="BV44" s="26" t="n"/>
      <c r="BW44" s="26" t="n"/>
      <c r="BX44" s="26" t="n"/>
      <c r="BY44" s="26" t="n"/>
      <c r="BZ44" s="26" t="n"/>
      <c r="CA44" s="26" t="n"/>
      <c r="CB44" s="26" t="n"/>
      <c r="CC44" s="26" t="n"/>
      <c r="CD44" s="26" t="n"/>
      <c r="CE44" s="26" t="n"/>
      <c r="CF44" s="26" t="n"/>
      <c r="CG44" s="26" t="n"/>
      <c r="CH44" s="26" t="n"/>
    </row>
    <row r="45" ht="15" customHeight="1" s="201">
      <c r="A45" s="28" t="inlineStr">
        <is>
          <t>Total Net to Six Peak</t>
        </is>
      </c>
      <c r="B45" s="28" t="n"/>
      <c r="C45" s="67">
        <f>C5+C10+C16+C22+C28+C35+C41</f>
        <v/>
      </c>
      <c r="D45" s="67">
        <f>D5+D10+D16+D22+D28+D35+D41</f>
        <v/>
      </c>
      <c r="E45" s="67">
        <f>E5+E10+E16+E22+E28+E35+E41</f>
        <v/>
      </c>
      <c r="F45" s="67">
        <f>F5+F10+F16+F22+F28+F35+F41</f>
        <v/>
      </c>
      <c r="G45" s="67">
        <f>G5+G10+G16+G22+G28+G35+G41</f>
        <v/>
      </c>
      <c r="H45" s="67">
        <f>H5+H10+H16+H22+H28+H35+H41</f>
        <v/>
      </c>
      <c r="I45" s="67">
        <f>I5+I10+I16+I22+I28+I35+I41</f>
        <v/>
      </c>
      <c r="J45" s="67">
        <f>J5+J10+J16+J22+J28+J35+J41</f>
        <v/>
      </c>
      <c r="K45" s="67">
        <f>K5+K10+K16+K22+K28+K35+K41</f>
        <v/>
      </c>
      <c r="L45" s="67">
        <f>L5+L10+L16+L22+L28+L35+L41</f>
        <v/>
      </c>
      <c r="M45" s="67">
        <f>M5+M10+M16+M22+M28+M35+M41</f>
        <v/>
      </c>
      <c r="N45" s="67">
        <f>N5+N10+N16+N22+N28+N35+N41</f>
        <v/>
      </c>
      <c r="O45" s="67">
        <f>O5+O10+O16+O22+O28+O35+O41</f>
        <v/>
      </c>
      <c r="P45" s="67">
        <f>P5+P10+P16+P22+P28+P35+P41</f>
        <v/>
      </c>
      <c r="Q45" s="67">
        <f>Q5+Q10+Q16+Q22+Q28+Q35+Q41</f>
        <v/>
      </c>
      <c r="R45" s="67">
        <f>R5+R10+R16+R22+R28+R35+R41</f>
        <v/>
      </c>
      <c r="S45" s="67">
        <f>S5+S10+S16+S22+S28+S35+S41</f>
        <v/>
      </c>
      <c r="T45" s="67">
        <f>T5+T10+T16+T22+T28+T35+T41</f>
        <v/>
      </c>
      <c r="U45" s="67">
        <f>U5+U10+U16+U22+U28+U35+U41</f>
        <v/>
      </c>
      <c r="V45" s="67">
        <f>V5+V10+V16+V22+V28+V35+V41</f>
        <v/>
      </c>
      <c r="W45" s="67">
        <f>W5+W10+W16+W22+W28+W35+W41</f>
        <v/>
      </c>
      <c r="X45" s="67">
        <f>X5+X10+X16+X22+X28+X35+X41</f>
        <v/>
      </c>
      <c r="Y45" s="67">
        <f>Y5+Y10+Y16+Y22+Y28+Y35+Y41</f>
        <v/>
      </c>
      <c r="Z45" s="67">
        <f>Z5+Z10+Z16+Z22+Z28+Z35+Z41</f>
        <v/>
      </c>
      <c r="AA45" s="67">
        <f>AA5+AA10+AA16+AA22+AA28+AA35+AA41</f>
        <v/>
      </c>
      <c r="AB45" s="67">
        <f>AB5+AB10+AB16+AB22+AB28+AB35+AB41</f>
        <v/>
      </c>
      <c r="AC45" s="67">
        <f>AC5+AC10+AC16+AC22+AC28+AC35+AC41</f>
        <v/>
      </c>
      <c r="AD45" s="67">
        <f>AD5+AD10+AD16+AD22+AD28+AD35+AD41</f>
        <v/>
      </c>
      <c r="AE45" s="67">
        <f>AE5+AE10+AE16+AE22+AE28+AE35+AE41</f>
        <v/>
      </c>
      <c r="AF45" s="67">
        <f>AF5+AF10+AF16+AF22+AF28+AF35+AF41</f>
        <v/>
      </c>
      <c r="AG45" s="67">
        <f>AG5+AG10+AG16+AG22+AG28+AG35+AG41</f>
        <v/>
      </c>
      <c r="AH45" s="67">
        <f>AH5+AH10+AH16+AH22+AH28+AH35+AH41</f>
        <v/>
      </c>
      <c r="AI45" s="67">
        <f>AI5+AI10+AI16+AI22+AI28+AI35+AI41</f>
        <v/>
      </c>
      <c r="AJ45" s="67">
        <f>AJ5+AJ10+AJ16+AJ22+AJ28+AJ35+AJ41</f>
        <v/>
      </c>
      <c r="AK45" s="67">
        <f>AK5+AK10+AK16+AK22+AK28+AK35+AK41</f>
        <v/>
      </c>
      <c r="AL45" s="67">
        <f>AL5+AL10+AL16+AL22+AL28+AL35+AL41</f>
        <v/>
      </c>
      <c r="AM45" s="67">
        <f>AM5+AM10+AM16+AM22+AM28+AM35+AM41</f>
        <v/>
      </c>
      <c r="AN45" s="67">
        <f>AN5+AN10+AN16+AN22+AN28+AN35+AN41</f>
        <v/>
      </c>
      <c r="AO45" s="67">
        <f>AO5+AO10+AO16+AO22+AO28+AO35+AO41</f>
        <v/>
      </c>
      <c r="AP45" s="67">
        <f>AP5+AP10+AP16+AP22+AP28+AP35+AP41</f>
        <v/>
      </c>
      <c r="AQ45" s="67">
        <f>AQ5+AQ10+AQ16+AQ22+AQ28+AQ35+AQ41</f>
        <v/>
      </c>
      <c r="AR45" s="67">
        <f>AR5+AR10+AR16+AR22+AR28+AR35+AR41</f>
        <v/>
      </c>
      <c r="AS45" s="67">
        <f>AS5+AS10+AS16+AS22+AS28+AS35+AS41</f>
        <v/>
      </c>
      <c r="AT45" s="67">
        <f>AT5+AT10+AT16+AT22+AT28+AT35+AT41</f>
        <v/>
      </c>
      <c r="AU45" s="67">
        <f>AU5+AU10+AU16+AU22+AU28+AU35+AU41</f>
        <v/>
      </c>
      <c r="AV45" s="67">
        <f>AV5+AV10+AV16+AV22+AV28+AV35+AV41</f>
        <v/>
      </c>
      <c r="AW45" s="67">
        <f>AW5+AW10+AW16+AW22+AW28+AW35+AW41</f>
        <v/>
      </c>
      <c r="AX45" s="67">
        <f>AX5+AX10+AX16+AX22+AX28+AX35+AX41</f>
        <v/>
      </c>
      <c r="AY45" s="67">
        <f>AY5+AY10+AY16+AY22+AY28+AY35+AY41</f>
        <v/>
      </c>
      <c r="AZ45" s="67">
        <f>AZ5+AZ10+AZ16+AZ22+AZ28+AZ35+AZ41</f>
        <v/>
      </c>
      <c r="BA45" s="67">
        <f>BA5+BA10+BA16+BA22+BA28+BA35+BA41</f>
        <v/>
      </c>
      <c r="BB45" s="67">
        <f>BB5+BB10+BB16+BB22+BB28+BB35+BB41</f>
        <v/>
      </c>
      <c r="BC45" s="67">
        <f>BC5+BC10+BC16+BC22+BC28+BC35+BC41</f>
        <v/>
      </c>
      <c r="BD45" s="67">
        <f>BD5+BD10+BD16+BD22+BD28+BD35+BD41</f>
        <v/>
      </c>
      <c r="BE45" s="67">
        <f>BE5+BE10+BE16+BE22+BE28+BE35+BE41</f>
        <v/>
      </c>
      <c r="BF45" s="67">
        <f>BF5+BF10+BF16+BF22+BF28+BF35+BF41</f>
        <v/>
      </c>
      <c r="BG45" s="67">
        <f>BG5+BG10+BG16+BG22+BG28+BG35+BG41</f>
        <v/>
      </c>
      <c r="BH45" s="67">
        <f>BH5+BH10+BH16+BH22+BH28+BH35+BH41</f>
        <v/>
      </c>
      <c r="BI45" s="67">
        <f>BI5+BI10+BI16+BI22+BI28+BI35+BI41</f>
        <v/>
      </c>
      <c r="BJ45" s="67">
        <f>BJ5+BJ10+BJ16+BJ22+BJ28+BJ35+BJ41</f>
        <v/>
      </c>
      <c r="BK45" s="67">
        <f>BK5+BK10+BK16+BK22+BK28+BK35+BK41</f>
        <v/>
      </c>
      <c r="BL45" s="67">
        <f>BL5+BL10+BL16+BL22+BL28+BL35+BL41</f>
        <v/>
      </c>
      <c r="BM45" s="67">
        <f>BM5+BM10+BM16+BM22+BM28+BM35+BM41</f>
        <v/>
      </c>
      <c r="BN45" s="67">
        <f>BN5+BN10+BN16+BN22+BN28+BN35+BN41</f>
        <v/>
      </c>
      <c r="BO45" s="67">
        <f>BO5+BO10+BO16+BO22+BO28+BO35+BO41</f>
        <v/>
      </c>
      <c r="BP45" s="67">
        <f>BP5+BP10+BP16+BP22+BP28+BP35+BP41</f>
        <v/>
      </c>
      <c r="BQ45" s="67">
        <f>BQ5+BQ10+BQ16+BQ22+BQ28+BQ35+BQ41</f>
        <v/>
      </c>
      <c r="BR45" s="67">
        <f>BR5+BR10+BR16+BR22+BR28+BR35+BR41</f>
        <v/>
      </c>
      <c r="BS45" s="67">
        <f>BS5+BS10+BS16+BS22+BS28+BS35+BS41</f>
        <v/>
      </c>
      <c r="BT45" s="67">
        <f>BT5+BT10+BT16+BT22+BT28+BT35+BT41</f>
        <v/>
      </c>
      <c r="BU45" s="67">
        <f>BU5+BU10+BU16+BU22+BU28+BU35+BU41</f>
        <v/>
      </c>
      <c r="BV45" s="67">
        <f>BV5+BV10+BV16+BV22+BV28+BV35+BV41</f>
        <v/>
      </c>
      <c r="BW45" s="67">
        <f>BW5+BW10+BW16+BW22+BW28+BW35+BW41</f>
        <v/>
      </c>
      <c r="BX45" s="67">
        <f>BX5+BX10+BX16+BX22+BX28+BX35+BX41</f>
        <v/>
      </c>
      <c r="BY45" s="67">
        <f>BY5+BY10+BY16+BY22+BY28+BY35+BY41</f>
        <v/>
      </c>
      <c r="BZ45" s="67">
        <f>BZ5+BZ10+BZ16+BZ22+BZ28+BZ35+BZ41</f>
        <v/>
      </c>
      <c r="CA45" s="67">
        <f>CA5+CA10+CA16+CA22+CA28+CA35+CA41</f>
        <v/>
      </c>
      <c r="CB45" s="67">
        <f>CB5+CB10+CB16+CB22+CB28+CB35+CB41</f>
        <v/>
      </c>
      <c r="CC45" s="67">
        <f>CC5+CC10+CC16+CC22+CC28+CC35+CC41</f>
        <v/>
      </c>
      <c r="CD45" s="67">
        <f>CD5+CD10+CD16+CD22+CD28+CD35+CD41</f>
        <v/>
      </c>
      <c r="CE45" s="67">
        <f>CE5+CE10+CE16+CE22+CE28+CE35+CE41</f>
        <v/>
      </c>
      <c r="CF45" s="67">
        <f>CF5+CF10+CF16+CF22+CF28+CF35+CF41</f>
        <v/>
      </c>
      <c r="CG45" s="67">
        <f>CG5+CG10+CG16+CG22+CG28+CG35+CG41</f>
        <v/>
      </c>
      <c r="CH45" s="67">
        <f>CH5+CH10+CH16+CH22+CH28+CH35+CH41</f>
        <v/>
      </c>
    </row>
    <row r="46" ht="15" customHeight="1" s="201">
      <c r="A46" s="71" t="inlineStr">
        <is>
          <t>Total Cumulative Net</t>
        </is>
      </c>
      <c r="B46" s="1" t="n"/>
      <c r="C46" s="68">
        <f>C45</f>
        <v/>
      </c>
      <c r="D46" s="68">
        <f>C46+D45</f>
        <v/>
      </c>
      <c r="E46" s="68">
        <f>D46+E45</f>
        <v/>
      </c>
      <c r="F46" s="68">
        <f>E46+F45</f>
        <v/>
      </c>
      <c r="G46" s="68">
        <f>F46+G45</f>
        <v/>
      </c>
      <c r="H46" s="68">
        <f>G46+H45</f>
        <v/>
      </c>
      <c r="I46" s="68">
        <f>H46+I45</f>
        <v/>
      </c>
      <c r="J46" s="68">
        <f>I46+J45</f>
        <v/>
      </c>
      <c r="K46" s="68">
        <f>J46+K45</f>
        <v/>
      </c>
      <c r="L46" s="68">
        <f>K46+L45</f>
        <v/>
      </c>
      <c r="M46" s="68">
        <f>L46+M45</f>
        <v/>
      </c>
      <c r="N46" s="68">
        <f>M46+N45</f>
        <v/>
      </c>
      <c r="O46" s="68">
        <f>N46+O45</f>
        <v/>
      </c>
      <c r="P46" s="68">
        <f>O46+P45</f>
        <v/>
      </c>
      <c r="Q46" s="68">
        <f>P46+Q45</f>
        <v/>
      </c>
      <c r="R46" s="68">
        <f>Q46+R45</f>
        <v/>
      </c>
      <c r="S46" s="68">
        <f>R46+S45</f>
        <v/>
      </c>
      <c r="T46" s="68">
        <f>S46+T45</f>
        <v/>
      </c>
      <c r="U46" s="68">
        <f>T46+U45</f>
        <v/>
      </c>
      <c r="V46" s="68">
        <f>U46+V45</f>
        <v/>
      </c>
      <c r="W46" s="68">
        <f>V46+W45</f>
        <v/>
      </c>
      <c r="X46" s="68">
        <f>W46+X45</f>
        <v/>
      </c>
      <c r="Y46" s="68">
        <f>X46+Y45</f>
        <v/>
      </c>
      <c r="Z46" s="68">
        <f>Y46+Z45</f>
        <v/>
      </c>
      <c r="AA46" s="68">
        <f>Z46+AA45</f>
        <v/>
      </c>
      <c r="AB46" s="68">
        <f>AA46+AB45</f>
        <v/>
      </c>
      <c r="AC46" s="68">
        <f>AB46+AC45</f>
        <v/>
      </c>
      <c r="AD46" s="68">
        <f>AC46+AD45</f>
        <v/>
      </c>
      <c r="AE46" s="68">
        <f>AD46+AE45</f>
        <v/>
      </c>
      <c r="AF46" s="68">
        <f>AE46+AF45</f>
        <v/>
      </c>
      <c r="AG46" s="68">
        <f>AF46+AG45</f>
        <v/>
      </c>
      <c r="AH46" s="68">
        <f>AG46+AH45</f>
        <v/>
      </c>
      <c r="AI46" s="68">
        <f>AH46+AI45</f>
        <v/>
      </c>
      <c r="AJ46" s="68">
        <f>AI46+AJ45</f>
        <v/>
      </c>
      <c r="AK46" s="68">
        <f>AJ46+AK45</f>
        <v/>
      </c>
      <c r="AL46" s="68">
        <f>AK46+AL45</f>
        <v/>
      </c>
      <c r="AM46" s="68">
        <f>AL46+AM45</f>
        <v/>
      </c>
      <c r="AN46" s="68">
        <f>AM46+AN45</f>
        <v/>
      </c>
      <c r="AO46" s="68">
        <f>AN46+AO45</f>
        <v/>
      </c>
      <c r="AP46" s="68">
        <f>AO46+AP45</f>
        <v/>
      </c>
      <c r="AQ46" s="68">
        <f>AP46+AQ45</f>
        <v/>
      </c>
      <c r="AR46" s="68">
        <f>AQ46+AR45</f>
        <v/>
      </c>
      <c r="AS46" s="68">
        <f>AR46+AS45</f>
        <v/>
      </c>
      <c r="AT46" s="68">
        <f>AS46+AT45</f>
        <v/>
      </c>
      <c r="AU46" s="68">
        <f>AT46+AU45</f>
        <v/>
      </c>
      <c r="AV46" s="68">
        <f>AU46+AV45</f>
        <v/>
      </c>
      <c r="AW46" s="68">
        <f>AV46+AW45</f>
        <v/>
      </c>
      <c r="AX46" s="68">
        <f>AW46+AX45</f>
        <v/>
      </c>
      <c r="AY46" s="68">
        <f>AX46+AY45</f>
        <v/>
      </c>
      <c r="AZ46" s="68">
        <f>AY46+AZ45</f>
        <v/>
      </c>
      <c r="BA46" s="68">
        <f>AZ46+BA45</f>
        <v/>
      </c>
      <c r="BB46" s="68">
        <f>BA46+BB45</f>
        <v/>
      </c>
      <c r="BC46" s="68">
        <f>BB46+BC45</f>
        <v/>
      </c>
      <c r="BD46" s="68">
        <f>BC46+BD45</f>
        <v/>
      </c>
      <c r="BE46" s="68">
        <f>BD46+BE45</f>
        <v/>
      </c>
      <c r="BF46" s="68">
        <f>BE46+BF45</f>
        <v/>
      </c>
      <c r="BG46" s="68">
        <f>BF46+BG45</f>
        <v/>
      </c>
      <c r="BH46" s="68">
        <f>BG46+BH45</f>
        <v/>
      </c>
      <c r="BI46" s="68">
        <f>BH46+BI45</f>
        <v/>
      </c>
      <c r="BJ46" s="68">
        <f>BI46+BJ45</f>
        <v/>
      </c>
      <c r="BK46" s="68">
        <f>BJ46+BK45</f>
        <v/>
      </c>
      <c r="BL46" s="68">
        <f>BK46+BL45</f>
        <v/>
      </c>
      <c r="BM46" s="68">
        <f>BL46+BM45</f>
        <v/>
      </c>
      <c r="BN46" s="68">
        <f>BM46+BN45</f>
        <v/>
      </c>
      <c r="BO46" s="68">
        <f>BN46+BO45</f>
        <v/>
      </c>
      <c r="BP46" s="68">
        <f>BO46+BP45</f>
        <v/>
      </c>
      <c r="BQ46" s="68">
        <f>BP46+BQ45</f>
        <v/>
      </c>
      <c r="BR46" s="68">
        <f>BQ46+BR45</f>
        <v/>
      </c>
      <c r="BS46" s="68">
        <f>BR46+BS45</f>
        <v/>
      </c>
      <c r="BT46" s="68">
        <f>BS46+BT45</f>
        <v/>
      </c>
      <c r="BU46" s="68">
        <f>BT46+BU45</f>
        <v/>
      </c>
      <c r="BV46" s="68">
        <f>BU46+BV45</f>
        <v/>
      </c>
      <c r="BW46" s="68">
        <f>BV46+BW45</f>
        <v/>
      </c>
      <c r="BX46" s="68">
        <f>BW46+BX45</f>
        <v/>
      </c>
      <c r="BY46" s="68">
        <f>BX46+BY45</f>
        <v/>
      </c>
      <c r="BZ46" s="68">
        <f>BY46+BZ45</f>
        <v/>
      </c>
      <c r="CA46" s="68">
        <f>BZ46+CA45</f>
        <v/>
      </c>
      <c r="CB46" s="68">
        <f>CA46+CB45</f>
        <v/>
      </c>
      <c r="CC46" s="68">
        <f>CB46+CC45</f>
        <v/>
      </c>
      <c r="CD46" s="68">
        <f>CC46+CD45</f>
        <v/>
      </c>
      <c r="CE46" s="68">
        <f>CD46+CE45</f>
        <v/>
      </c>
      <c r="CF46" s="68">
        <f>CE46+CF45</f>
        <v/>
      </c>
      <c r="CG46" s="68">
        <f>CF46+CG45</f>
        <v/>
      </c>
      <c r="CH46" s="68">
        <f>CG46+CH45</f>
        <v/>
      </c>
    </row>
    <row r="47" ht="15" customHeight="1" s="20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  <c r="BA47" s="1" t="n"/>
      <c r="BB47" s="1" t="n"/>
      <c r="BC47" s="1" t="n"/>
      <c r="BD47" s="1" t="n"/>
      <c r="BE47" s="1" t="n"/>
      <c r="BF47" s="1" t="n"/>
      <c r="BG47" s="1" t="n"/>
      <c r="BH47" s="1" t="n"/>
      <c r="BI47" s="1" t="n"/>
      <c r="BJ47" s="1" t="n"/>
      <c r="BK47" s="1" t="n"/>
      <c r="BL47" s="1" t="n"/>
      <c r="BM47" s="1" t="n"/>
      <c r="BN47" s="1" t="n"/>
      <c r="BO47" s="1" t="n"/>
      <c r="BP47" s="1" t="n"/>
      <c r="BQ47" s="1" t="n"/>
      <c r="BR47" s="1" t="n"/>
      <c r="BS47" s="1" t="n"/>
      <c r="BT47" s="1" t="n"/>
      <c r="BU47" s="1" t="n"/>
      <c r="BV47" s="1" t="n"/>
      <c r="BW47" s="1" t="n"/>
      <c r="BX47" s="1" t="n"/>
      <c r="BY47" s="1" t="n"/>
      <c r="BZ47" s="1" t="n"/>
      <c r="CA47" s="1" t="n"/>
      <c r="CB47" s="1" t="n"/>
      <c r="CC47" s="1" t="n"/>
      <c r="CD47" s="1" t="n"/>
      <c r="CE47" s="1" t="n"/>
      <c r="CF47" s="1" t="n"/>
      <c r="CG47" s="1" t="n"/>
      <c r="CH47" s="1" t="n"/>
    </row>
    <row r="48" ht="15" customHeight="1" s="201">
      <c r="A48" s="60" t="inlineStr">
        <is>
          <t>First Month of Positive Net Income by Deal:</t>
        </is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  <c r="BF48" s="1" t="n"/>
      <c r="BG48" s="1" t="n"/>
      <c r="BH48" s="1" t="n"/>
      <c r="BI48" s="1" t="n"/>
      <c r="BJ48" s="1" t="n"/>
      <c r="BK48" s="1" t="n"/>
      <c r="BL48" s="1" t="n"/>
      <c r="BM48" s="1" t="n"/>
      <c r="BN48" s="1" t="n"/>
      <c r="BO48" s="1" t="n"/>
      <c r="BP48" s="1" t="n"/>
      <c r="BQ48" s="1" t="n"/>
      <c r="BR48" s="1" t="n"/>
      <c r="BS48" s="1" t="n"/>
      <c r="BT48" s="1" t="n"/>
      <c r="BU48" s="1" t="n"/>
      <c r="BV48" s="1" t="n"/>
      <c r="BW48" s="1" t="n"/>
      <c r="BX48" s="1" t="n"/>
      <c r="BY48" s="1" t="n"/>
      <c r="BZ48" s="1" t="n"/>
      <c r="CA48" s="1" t="n"/>
      <c r="CB48" s="1" t="n"/>
      <c r="CC48" s="1" t="n"/>
      <c r="CD48" s="1" t="n"/>
      <c r="CE48" s="1" t="n"/>
      <c r="CF48" s="1" t="n"/>
      <c r="CG48" s="1" t="n"/>
      <c r="CH48" s="1" t="n"/>
    </row>
    <row r="49" ht="15" customHeight="1" s="201">
      <c r="A49" s="16" t="inlineStr">
        <is>
          <t xml:space="preserve">  Crenshaw:</t>
        </is>
      </c>
      <c r="B49" s="72" t="n">
        <v>46113</v>
      </c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  <c r="BA49" s="1" t="n"/>
      <c r="BB49" s="1" t="n"/>
      <c r="BC49" s="1" t="n"/>
      <c r="BD49" s="1" t="n"/>
      <c r="BE49" s="1" t="n"/>
      <c r="BF49" s="1" t="n"/>
      <c r="BG49" s="1" t="n"/>
      <c r="BH49" s="1" t="n"/>
      <c r="BI49" s="1" t="n"/>
      <c r="BJ49" s="1" t="n"/>
      <c r="BK49" s="1" t="n"/>
      <c r="BL49" s="1" t="n"/>
      <c r="BM49" s="1" t="n"/>
      <c r="BN49" s="1" t="n"/>
      <c r="BO49" s="1" t="n"/>
      <c r="BP49" s="1" t="n"/>
      <c r="BQ49" s="1" t="n"/>
      <c r="BR49" s="1" t="n"/>
      <c r="BS49" s="1" t="n"/>
      <c r="BT49" s="1" t="n"/>
      <c r="BU49" s="1" t="n"/>
      <c r="BV49" s="1" t="n"/>
      <c r="BW49" s="1" t="n"/>
      <c r="BX49" s="1" t="n"/>
      <c r="BY49" s="1" t="n"/>
      <c r="BZ49" s="1" t="n"/>
      <c r="CA49" s="1" t="n"/>
      <c r="CB49" s="1" t="n"/>
      <c r="CC49" s="1" t="n"/>
      <c r="CD49" s="1" t="n"/>
      <c r="CE49" s="1" t="n"/>
      <c r="CF49" s="1" t="n"/>
      <c r="CG49" s="1" t="n"/>
      <c r="CH49" s="1" t="n"/>
    </row>
    <row r="50" ht="15" customHeight="1" s="201">
      <c r="A50" s="16" t="inlineStr">
        <is>
          <t xml:space="preserve">  Ramsgate:</t>
        </is>
      </c>
      <c r="B50" s="72" t="n">
        <v>46113</v>
      </c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  <c r="BA50" s="1" t="n"/>
      <c r="BB50" s="1" t="n"/>
      <c r="BC50" s="1" t="n"/>
      <c r="BD50" s="1" t="n"/>
      <c r="BE50" s="1" t="n"/>
      <c r="BF50" s="1" t="n"/>
      <c r="BG50" s="1" t="n"/>
      <c r="BH50" s="1" t="n"/>
      <c r="BI50" s="1" t="n"/>
      <c r="BJ50" s="1" t="n"/>
      <c r="BK50" s="1" t="n"/>
      <c r="BL50" s="1" t="n"/>
      <c r="BM50" s="1" t="n"/>
      <c r="BN50" s="1" t="n"/>
      <c r="BO50" s="1" t="n"/>
      <c r="BP50" s="1" t="n"/>
      <c r="BQ50" s="1" t="n"/>
      <c r="BR50" s="1" t="n"/>
      <c r="BS50" s="1" t="n"/>
      <c r="BT50" s="1" t="n"/>
      <c r="BU50" s="1" t="n"/>
      <c r="BV50" s="1" t="n"/>
      <c r="BW50" s="1" t="n"/>
      <c r="BX50" s="1" t="n"/>
      <c r="BY50" s="1" t="n"/>
      <c r="BZ50" s="1" t="n"/>
      <c r="CA50" s="1" t="n"/>
      <c r="CB50" s="1" t="n"/>
      <c r="CC50" s="1" t="n"/>
      <c r="CD50" s="1" t="n"/>
      <c r="CE50" s="1" t="n"/>
      <c r="CF50" s="1" t="n"/>
      <c r="CG50" s="1" t="n"/>
      <c r="CH50" s="1" t="n"/>
    </row>
    <row r="51" ht="15" customHeight="1" s="201">
      <c r="A51" s="16" t="inlineStr">
        <is>
          <t xml:space="preserve">  Klump:</t>
        </is>
      </c>
      <c r="B51" s="72" t="n">
        <v>46235</v>
      </c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  <c r="BF51" s="1" t="n"/>
      <c r="BG51" s="1" t="n"/>
      <c r="BH51" s="1" t="n"/>
      <c r="BI51" s="1" t="n"/>
      <c r="BJ51" s="1" t="n"/>
      <c r="BK51" s="1" t="n"/>
      <c r="BL51" s="1" t="n"/>
      <c r="BM51" s="1" t="n"/>
      <c r="BN51" s="1" t="n"/>
      <c r="BO51" s="1" t="n"/>
      <c r="BP51" s="1" t="n"/>
      <c r="BQ51" s="1" t="n"/>
      <c r="BR51" s="1" t="n"/>
      <c r="BS51" s="1" t="n"/>
      <c r="BT51" s="1" t="n"/>
      <c r="BU51" s="1" t="n"/>
      <c r="BV51" s="1" t="n"/>
      <c r="BW51" s="1" t="n"/>
      <c r="BX51" s="1" t="n"/>
      <c r="BY51" s="1" t="n"/>
      <c r="BZ51" s="1" t="n"/>
      <c r="CA51" s="1" t="n"/>
      <c r="CB51" s="1" t="n"/>
      <c r="CC51" s="1" t="n"/>
      <c r="CD51" s="1" t="n"/>
      <c r="CE51" s="1" t="n"/>
      <c r="CF51" s="1" t="n"/>
      <c r="CG51" s="1" t="n"/>
      <c r="CH51" s="1" t="n"/>
    </row>
    <row r="52" ht="15" customHeight="1" s="201">
      <c r="A52" s="16" t="inlineStr">
        <is>
          <t xml:space="preserve">  Scott:</t>
        </is>
      </c>
      <c r="B52" s="72" t="n">
        <v>46266</v>
      </c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  <c r="BA52" s="1" t="n"/>
      <c r="BB52" s="1" t="n"/>
      <c r="BC52" s="1" t="n"/>
      <c r="BD52" s="1" t="n"/>
      <c r="BE52" s="1" t="n"/>
      <c r="BF52" s="1" t="n"/>
      <c r="BG52" s="1" t="n"/>
      <c r="BH52" s="1" t="n"/>
      <c r="BI52" s="1" t="n"/>
      <c r="BJ52" s="1" t="n"/>
      <c r="BK52" s="1" t="n"/>
      <c r="BL52" s="1" t="n"/>
      <c r="BM52" s="1" t="n"/>
      <c r="BN52" s="1" t="n"/>
      <c r="BO52" s="1" t="n"/>
      <c r="BP52" s="1" t="n"/>
      <c r="BQ52" s="1" t="n"/>
      <c r="BR52" s="1" t="n"/>
      <c r="BS52" s="1" t="n"/>
      <c r="BT52" s="1" t="n"/>
      <c r="BU52" s="1" t="n"/>
      <c r="BV52" s="1" t="n"/>
      <c r="BW52" s="1" t="n"/>
      <c r="BX52" s="1" t="n"/>
      <c r="BY52" s="1" t="n"/>
      <c r="BZ52" s="1" t="n"/>
      <c r="CA52" s="1" t="n"/>
      <c r="CB52" s="1" t="n"/>
      <c r="CC52" s="1" t="n"/>
      <c r="CD52" s="1" t="n"/>
      <c r="CE52" s="1" t="n"/>
      <c r="CF52" s="1" t="n"/>
      <c r="CG52" s="1" t="n"/>
      <c r="CH52" s="1" t="n"/>
    </row>
    <row r="53" ht="15" customHeight="1" s="201">
      <c r="A53" s="16" t="inlineStr">
        <is>
          <t xml:space="preserve">  Francis:</t>
        </is>
      </c>
      <c r="B53" s="72" t="n">
        <v>48092</v>
      </c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  <c r="BA53" s="1" t="n"/>
      <c r="BB53" s="1" t="n"/>
      <c r="BC53" s="1" t="n"/>
      <c r="BD53" s="1" t="n"/>
      <c r="BE53" s="1" t="n"/>
      <c r="BF53" s="1" t="n"/>
      <c r="BG53" s="1" t="n"/>
      <c r="BH53" s="1" t="n"/>
      <c r="BI53" s="1" t="n"/>
      <c r="BJ53" s="1" t="n"/>
      <c r="BK53" s="1" t="n"/>
      <c r="BL53" s="1" t="n"/>
      <c r="BM53" s="1" t="n"/>
      <c r="BN53" s="1" t="n"/>
      <c r="BO53" s="1" t="n"/>
      <c r="BP53" s="1" t="n"/>
      <c r="BQ53" s="1" t="n"/>
      <c r="BR53" s="1" t="n"/>
      <c r="BS53" s="1" t="n"/>
      <c r="BT53" s="1" t="n"/>
      <c r="BU53" s="1" t="n"/>
      <c r="BV53" s="1" t="n"/>
      <c r="BW53" s="1" t="n"/>
      <c r="BX53" s="1" t="n"/>
      <c r="BY53" s="1" t="n"/>
      <c r="BZ53" s="1" t="n"/>
      <c r="CA53" s="1" t="n"/>
      <c r="CB53" s="1" t="n"/>
      <c r="CC53" s="1" t="n"/>
      <c r="CD53" s="1" t="n"/>
      <c r="CE53" s="1" t="n"/>
      <c r="CF53" s="1" t="n"/>
      <c r="CG53" s="1" t="n"/>
      <c r="CH53" s="1" t="n"/>
    </row>
    <row r="54" ht="15" customHeight="1" s="201">
      <c r="A54" s="16" t="inlineStr">
        <is>
          <t xml:space="preserve">  Reseda:</t>
        </is>
      </c>
      <c r="B54" s="72" t="n">
        <v>47635</v>
      </c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  <c r="BA54" s="1" t="n"/>
      <c r="BB54" s="1" t="n"/>
      <c r="BC54" s="1" t="n"/>
      <c r="BD54" s="1" t="n"/>
      <c r="BE54" s="1" t="n"/>
      <c r="BF54" s="1" t="n"/>
      <c r="BG54" s="1" t="n"/>
      <c r="BH54" s="1" t="n"/>
      <c r="BI54" s="1" t="n"/>
      <c r="BJ54" s="1" t="n"/>
      <c r="BK54" s="1" t="n"/>
      <c r="BL54" s="1" t="n"/>
      <c r="BM54" s="1" t="n"/>
      <c r="BN54" s="1" t="n"/>
      <c r="BO54" s="1" t="n"/>
      <c r="BP54" s="1" t="n"/>
      <c r="BQ54" s="1" t="n"/>
      <c r="BR54" s="1" t="n"/>
      <c r="BS54" s="1" t="n"/>
      <c r="BT54" s="1" t="n"/>
      <c r="BU54" s="1" t="n"/>
      <c r="BV54" s="1" t="n"/>
      <c r="BW54" s="1" t="n"/>
      <c r="BX54" s="1" t="n"/>
      <c r="BY54" s="1" t="n"/>
      <c r="BZ54" s="1" t="n"/>
      <c r="CA54" s="1" t="n"/>
      <c r="CB54" s="1" t="n"/>
      <c r="CC54" s="1" t="n"/>
      <c r="CD54" s="1" t="n"/>
      <c r="CE54" s="1" t="n"/>
      <c r="CF54" s="1" t="n"/>
      <c r="CG54" s="1" t="n"/>
      <c r="CH54" s="1" t="n"/>
    </row>
    <row r="55" ht="15" customHeight="1" s="201">
      <c r="A55" s="16" t="inlineStr">
        <is>
          <t xml:space="preserve">  3rd St:</t>
        </is>
      </c>
      <c r="B55" s="73" t="inlineStr">
        <is>
          <t>Beyond model period</t>
        </is>
      </c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  <c r="BA55" s="1" t="n"/>
      <c r="BB55" s="1" t="n"/>
      <c r="BC55" s="1" t="n"/>
      <c r="BD55" s="1" t="n"/>
      <c r="BE55" s="1" t="n"/>
      <c r="BF55" s="1" t="n"/>
      <c r="BG55" s="1" t="n"/>
      <c r="BH55" s="1" t="n"/>
      <c r="BI55" s="1" t="n"/>
      <c r="BJ55" s="1" t="n"/>
      <c r="BK55" s="1" t="n"/>
      <c r="BL55" s="1" t="n"/>
      <c r="BM55" s="1" t="n"/>
      <c r="BN55" s="1" t="n"/>
      <c r="BO55" s="1" t="n"/>
      <c r="BP55" s="1" t="n"/>
      <c r="BQ55" s="1" t="n"/>
      <c r="BR55" s="1" t="n"/>
      <c r="BS55" s="1" t="n"/>
      <c r="BT55" s="1" t="n"/>
      <c r="BU55" s="1" t="n"/>
      <c r="BV55" s="1" t="n"/>
      <c r="BW55" s="1" t="n"/>
      <c r="BX55" s="1" t="n"/>
      <c r="BY55" s="1" t="n"/>
      <c r="BZ55" s="1" t="n"/>
      <c r="CA55" s="1" t="n"/>
      <c r="CB55" s="1" t="n"/>
      <c r="CC55" s="1" t="n"/>
      <c r="CD55" s="1" t="n"/>
      <c r="CE55" s="1" t="n"/>
      <c r="CF55" s="1" t="n"/>
      <c r="CG55" s="1" t="n"/>
      <c r="CH55" s="1" t="n"/>
    </row>
    <row r="56" ht="15" customHeight="1" s="201">
      <c r="A56" s="60" t="inlineStr">
        <is>
          <t xml:space="preserve">  All Deals Combined:</t>
        </is>
      </c>
      <c r="B56" s="74" t="n">
        <v>46113</v>
      </c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  <c r="BA56" s="1" t="n"/>
      <c r="BB56" s="1" t="n"/>
      <c r="BC56" s="1" t="n"/>
      <c r="BD56" s="1" t="n"/>
      <c r="BE56" s="1" t="n"/>
      <c r="BF56" s="1" t="n"/>
      <c r="BG56" s="1" t="n"/>
      <c r="BH56" s="1" t="n"/>
      <c r="BI56" s="1" t="n"/>
      <c r="BJ56" s="1" t="n"/>
      <c r="BK56" s="1" t="n"/>
      <c r="BL56" s="1" t="n"/>
      <c r="BM56" s="1" t="n"/>
      <c r="BN56" s="1" t="n"/>
      <c r="BO56" s="1" t="n"/>
      <c r="BP56" s="1" t="n"/>
      <c r="BQ56" s="1" t="n"/>
      <c r="BR56" s="1" t="n"/>
      <c r="BS56" s="1" t="n"/>
      <c r="BT56" s="1" t="n"/>
      <c r="BU56" s="1" t="n"/>
      <c r="BV56" s="1" t="n"/>
      <c r="BW56" s="1" t="n"/>
      <c r="BX56" s="1" t="n"/>
      <c r="BY56" s="1" t="n"/>
      <c r="BZ56" s="1" t="n"/>
      <c r="CA56" s="1" t="n"/>
      <c r="CB56" s="1" t="n"/>
      <c r="CC56" s="1" t="n"/>
      <c r="CD56" s="1" t="n"/>
      <c r="CE56" s="1" t="n"/>
      <c r="CF56" s="1" t="n"/>
      <c r="CG56" s="1" t="n"/>
      <c r="CH56" s="1" t="n"/>
    </row>
    <row r="57" ht="15" customHeight="1" s="20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  <c r="BA57" s="1" t="n"/>
      <c r="BB57" s="1" t="n"/>
      <c r="BC57" s="1" t="n"/>
      <c r="BD57" s="1" t="n"/>
      <c r="BE57" s="1" t="n"/>
      <c r="BF57" s="1" t="n"/>
      <c r="BG57" s="1" t="n"/>
      <c r="BH57" s="1" t="n"/>
      <c r="BI57" s="1" t="n"/>
      <c r="BJ57" s="1" t="n"/>
      <c r="BK57" s="1" t="n"/>
      <c r="BL57" s="1" t="n"/>
      <c r="BM57" s="1" t="n"/>
      <c r="BN57" s="1" t="n"/>
      <c r="BO57" s="1" t="n"/>
      <c r="BP57" s="1" t="n"/>
      <c r="BQ57" s="1" t="n"/>
      <c r="BR57" s="1" t="n"/>
      <c r="BS57" s="1" t="n"/>
      <c r="BT57" s="1" t="n"/>
      <c r="BU57" s="1" t="n"/>
      <c r="BV57" s="1" t="n"/>
      <c r="BW57" s="1" t="n"/>
      <c r="BX57" s="1" t="n"/>
      <c r="BY57" s="1" t="n"/>
      <c r="BZ57" s="1" t="n"/>
      <c r="CA57" s="1" t="n"/>
      <c r="CB57" s="1" t="n"/>
      <c r="CC57" s="1" t="n"/>
      <c r="CD57" s="1" t="n"/>
      <c r="CE57" s="1" t="n"/>
      <c r="CF57" s="1" t="n"/>
      <c r="CG57" s="1" t="n"/>
      <c r="CH57" s="1" t="n"/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C4581A"/>
    <outlinePr summaryBelow="1" summaryRight="1"/>
    <pageSetUpPr/>
  </sheetPr>
  <dimension ref="A1:I1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8" defaultColWidth="8.7109375" defaultRowHeight="15" customHeight="1"/>
  <cols>
    <col width="42" customWidth="1" style="201" min="1" max="1"/>
    <col width="16" customWidth="1" style="201" min="2" max="7"/>
    <col width="14" customWidth="1" style="201" min="8" max="9"/>
  </cols>
  <sheetData>
    <row r="1" ht="17.25" customHeight="1" s="201">
      <c r="A1" s="200" t="inlineStr">
        <is>
          <t>Six Peak Capital - Sensitivity Analysis</t>
        </is>
      </c>
      <c r="H1" s="1" t="n"/>
      <c r="I1" s="1" t="n"/>
    </row>
    <row r="2" ht="15" customHeight="1" s="201">
      <c r="A2" s="1" t="n"/>
      <c r="B2" s="1" t="n"/>
      <c r="C2" s="1" t="n"/>
      <c r="D2" s="1" t="n"/>
      <c r="E2" s="1" t="n"/>
      <c r="F2" s="1" t="n"/>
      <c r="G2" s="1" t="n"/>
      <c r="H2" s="1" t="n"/>
      <c r="I2" s="1" t="n"/>
    </row>
    <row r="3" ht="15" customHeight="1" s="201">
      <c r="A3" s="2" t="inlineStr">
        <is>
          <t>KEY ASSUMPTIONS (Change Yellow Cells for Analysis)</t>
        </is>
      </c>
      <c r="B3" s="2" t="n"/>
      <c r="C3" s="2" t="n"/>
      <c r="D3" s="2" t="n"/>
      <c r="E3" s="2" t="n"/>
      <c r="F3" s="2" t="n"/>
      <c r="G3" s="2" t="n"/>
      <c r="H3" s="1" t="n"/>
      <c r="I3" s="1" t="n"/>
    </row>
    <row r="4" ht="15" customHeight="1" s="201">
      <c r="A4" s="6" t="inlineStr">
        <is>
          <t>Assumption</t>
        </is>
      </c>
      <c r="B4" s="6" t="inlineStr">
        <is>
          <t>Base Case</t>
        </is>
      </c>
      <c r="C4" s="6" t="inlineStr">
        <is>
          <t>Scenario</t>
        </is>
      </c>
      <c r="D4" s="6" t="inlineStr">
        <is>
          <t>Low</t>
        </is>
      </c>
      <c r="E4" s="6" t="inlineStr">
        <is>
          <t>High</t>
        </is>
      </c>
      <c r="F4" s="6" t="inlineStr">
        <is>
          <t>Unit</t>
        </is>
      </c>
      <c r="G4" s="6" t="inlineStr">
        <is>
          <t>Notes</t>
        </is>
      </c>
      <c r="H4" s="1" t="n"/>
      <c r="I4" s="1" t="n"/>
    </row>
    <row r="5" ht="15" customHeight="1" s="201">
      <c r="A5" s="16" t="inlineStr">
        <is>
          <t>GC Fee Rate (Supervision)</t>
        </is>
      </c>
      <c r="B5" s="75">
        <f>Assumptions!B4</f>
        <v/>
      </c>
      <c r="C5" s="76" t="n">
        <v>0.06</v>
      </c>
      <c r="D5" s="77" t="n">
        <v>0.04</v>
      </c>
      <c r="E5" s="77" t="n">
        <v>0.08</v>
      </c>
      <c r="F5" s="16" t="inlineStr">
        <is>
          <t>%</t>
        </is>
      </c>
      <c r="G5" s="61" t="inlineStr">
        <is>
          <t>Each 1% ≈ $1.2M cumulative revenue impact</t>
        </is>
      </c>
      <c r="H5" s="1" t="n"/>
      <c r="I5" s="1" t="n"/>
    </row>
    <row r="6" ht="15" customHeight="1" s="201">
      <c r="A6" s="16" t="inlineStr">
        <is>
          <t>GC-CM Fee Rate</t>
        </is>
      </c>
      <c r="B6" s="75">
        <f>Assumptions!B5</f>
        <v/>
      </c>
      <c r="C6" s="76" t="n">
        <v>0.06</v>
      </c>
      <c r="D6" s="77" t="n">
        <v>0.04</v>
      </c>
      <c r="E6" s="77" t="n">
        <v>0.08</v>
      </c>
      <c r="F6" s="16" t="inlineStr">
        <is>
          <t>%</t>
        </is>
      </c>
      <c r="G6" s="61" t="inlineStr">
        <is>
          <t>Each 1% ≈ $1.2M cumulative revenue impact</t>
        </is>
      </c>
      <c r="H6" s="1" t="n"/>
      <c r="I6" s="1" t="n"/>
    </row>
    <row r="7" ht="15" customHeight="1" s="201">
      <c r="A7" s="16" t="inlineStr">
        <is>
          <t>Admin Fee Rate</t>
        </is>
      </c>
      <c r="B7" s="75">
        <f>Assumptions!B6</f>
        <v/>
      </c>
      <c r="C7" s="76" t="n">
        <v>0.02</v>
      </c>
      <c r="D7" s="77" t="n">
        <v>0.01</v>
      </c>
      <c r="E7" s="77" t="n">
        <v>0.03</v>
      </c>
      <c r="F7" s="16" t="inlineStr">
        <is>
          <t>%</t>
        </is>
      </c>
      <c r="G7" s="61" t="inlineStr">
        <is>
          <t>Each 1% ≈ $400K cumulative revenue impact</t>
        </is>
      </c>
      <c r="H7" s="1" t="n"/>
      <c r="I7" s="1" t="n"/>
    </row>
    <row r="8" ht="15" customHeight="1" s="201">
      <c r="A8" s="16" t="inlineStr">
        <is>
          <t>Overhead Rate</t>
        </is>
      </c>
      <c r="B8" s="75">
        <f>Assumptions!B8</f>
        <v/>
      </c>
      <c r="C8" s="76" t="n">
        <v>0.092</v>
      </c>
      <c r="D8" s="77" t="n">
        <v>0.07000000000000001</v>
      </c>
      <c r="E8" s="77" t="n">
        <v>0.12</v>
      </c>
      <c r="F8" s="16" t="inlineStr">
        <is>
          <t>%</t>
        </is>
      </c>
      <c r="G8" s="61" t="inlineStr">
        <is>
          <t>Higher overhead reduces effective GMP revenue</t>
        </is>
      </c>
      <c r="H8" s="1" t="n"/>
      <c r="I8" s="1" t="n"/>
    </row>
    <row r="9" ht="15" customHeight="1" s="201">
      <c r="A9" s="16" t="inlineStr">
        <is>
          <t>Annual Escalation Rate</t>
        </is>
      </c>
      <c r="B9" s="75">
        <f>Assumptions!B26</f>
        <v/>
      </c>
      <c r="C9" s="76" t="n">
        <v>0.02</v>
      </c>
      <c r="D9" s="77" t="n">
        <v>0</v>
      </c>
      <c r="E9" s="77" t="n">
        <v>0.04</v>
      </c>
      <c r="F9" s="16" t="inlineStr">
        <is>
          <t>%</t>
        </is>
      </c>
      <c r="G9" s="61" t="inlineStr">
        <is>
          <t>Impacts personnel costs &amp; revenue over time</t>
        </is>
      </c>
      <c r="H9" s="1" t="n"/>
      <c r="I9" s="1" t="n"/>
    </row>
    <row r="10" ht="15" customHeight="1" s="201">
      <c r="A10" s="16" t="inlineStr">
        <is>
          <t>Bonding Revenue Rate</t>
        </is>
      </c>
      <c r="B10" s="75">
        <f>Assumptions!B15</f>
        <v/>
      </c>
      <c r="C10" s="76" t="n">
        <v>0.015</v>
      </c>
      <c r="D10" s="77" t="n">
        <v>0.01</v>
      </c>
      <c r="E10" s="77" t="n">
        <v>0.02</v>
      </c>
      <c r="F10" s="16" t="inlineStr">
        <is>
          <t>%</t>
        </is>
      </c>
      <c r="G10" s="61" t="inlineStr">
        <is>
          <t>One-time revenue at project start</t>
        </is>
      </c>
      <c r="H10" s="1" t="n"/>
      <c r="I10" s="1" t="n"/>
    </row>
    <row r="11" ht="15" customHeight="1" s="201">
      <c r="A11" s="16" t="inlineStr">
        <is>
          <t>Tier 1 Bond Cost Rate</t>
        </is>
      </c>
      <c r="B11" s="75">
        <f>Assumptions!B16</f>
        <v/>
      </c>
      <c r="C11" s="76" t="n">
        <v>0.0074</v>
      </c>
      <c r="D11" s="77" t="n">
        <v>0.005</v>
      </c>
      <c r="E11" s="77" t="n">
        <v>0.015</v>
      </c>
      <c r="F11" s="16" t="inlineStr">
        <is>
          <t>%</t>
        </is>
      </c>
      <c r="G11" s="61" t="inlineStr">
        <is>
          <t>Annual cost on bonded projects</t>
        </is>
      </c>
      <c r="H11" s="1" t="n"/>
      <c r="I11" s="1" t="n"/>
    </row>
    <row r="12" ht="15" customHeight="1" s="201">
      <c r="A12" s="16" t="inlineStr">
        <is>
          <t>Tier 2 Bond Cost Rate</t>
        </is>
      </c>
      <c r="B12" s="75">
        <f>Assumptions!B17</f>
        <v/>
      </c>
      <c r="C12" s="76" t="n">
        <v>0.0325</v>
      </c>
      <c r="D12" s="77" t="n">
        <v>0.02</v>
      </c>
      <c r="E12" s="77" t="n">
        <v>0.05</v>
      </c>
      <c r="F12" s="16" t="inlineStr">
        <is>
          <t>%</t>
        </is>
      </c>
      <c r="G12" s="61" t="inlineStr">
        <is>
          <t>Reseda/3rd St bonding costs</t>
        </is>
      </c>
      <c r="H12" s="1" t="n"/>
      <c r="I12" s="1" t="n"/>
    </row>
    <row r="13" ht="15" customHeight="1" s="201">
      <c r="A13" s="16" t="inlineStr">
        <is>
          <t>Debt Facility Interest Rate</t>
        </is>
      </c>
      <c r="B13" s="75">
        <f>Assumptions!B34</f>
        <v/>
      </c>
      <c r="C13" s="76" t="n">
        <v>0.15</v>
      </c>
      <c r="D13" s="77" t="n">
        <v>0.1</v>
      </c>
      <c r="E13" s="77" t="n">
        <v>0.2</v>
      </c>
      <c r="F13" s="16" t="inlineStr">
        <is>
          <t>%</t>
        </is>
      </c>
      <c r="G13" s="61" t="inlineStr">
        <is>
          <t>PE debt at $1.6M starting balance</t>
        </is>
      </c>
      <c r="H13" s="1" t="n"/>
      <c r="I13" s="1" t="n"/>
    </row>
    <row r="14" ht="15" customHeight="1" s="201">
      <c r="A14" s="16" t="inlineStr">
        <is>
          <t>Monthly Debt Payment</t>
        </is>
      </c>
      <c r="B14" s="66">
        <f>Assumptions!B36</f>
        <v/>
      </c>
      <c r="C14" s="78" t="n">
        <v>130000</v>
      </c>
      <c r="D14" s="79" t="n">
        <v>100000</v>
      </c>
      <c r="E14" s="79" t="n">
        <v>175000</v>
      </c>
      <c r="F14" s="16" t="inlineStr">
        <is>
          <t>$</t>
        </is>
      </c>
      <c r="G14" s="61" t="inlineStr">
        <is>
          <t>PE debt monthly payment</t>
        </is>
      </c>
      <c r="H14" s="1" t="n"/>
      <c r="I14" s="1" t="n"/>
    </row>
    <row r="15" ht="15" customHeight="1" s="201">
      <c r="A15" s="16" t="inlineStr">
        <is>
          <t>PIK Accrual Rate</t>
        </is>
      </c>
      <c r="B15" s="75">
        <f>Assumptions!B58</f>
        <v/>
      </c>
      <c r="C15" s="76" t="n">
        <v>0.15</v>
      </c>
      <c r="D15" s="77" t="n">
        <v>0.1</v>
      </c>
      <c r="E15" s="77" t="n">
        <v>0.2</v>
      </c>
      <c r="F15" s="16" t="inlineStr">
        <is>
          <t>%</t>
        </is>
      </c>
      <c r="G15" s="61" t="inlineStr">
        <is>
          <t>Steyn investment capital return</t>
        </is>
      </c>
      <c r="H15" s="1" t="n"/>
      <c r="I15" s="1" t="n"/>
    </row>
    <row r="16" ht="15" customHeight="1" s="201">
      <c r="A16" s="16" t="inlineStr">
        <is>
          <t>Steyn Completion Guaranty Rate</t>
        </is>
      </c>
      <c r="B16" s="75">
        <f>Assumptions!B47</f>
        <v/>
      </c>
      <c r="C16" s="76" t="n">
        <v>0.01</v>
      </c>
      <c r="D16" s="77" t="n">
        <v>0.005</v>
      </c>
      <c r="E16" s="77" t="n">
        <v>0.02</v>
      </c>
      <c r="F16" s="16" t="inlineStr">
        <is>
          <t>%</t>
        </is>
      </c>
      <c r="G16" s="61" t="inlineStr">
        <is>
          <t>1% of GMP for Steyn projects</t>
        </is>
      </c>
      <c r="H16" s="1" t="n"/>
      <c r="I16" s="1" t="n"/>
    </row>
    <row r="17" ht="15" customHeight="1" s="201">
      <c r="A17" s="16" t="inlineStr">
        <is>
          <t>Steyn Liquidity Fee Rate</t>
        </is>
      </c>
      <c r="B17" s="75">
        <f>Assumptions!B48</f>
        <v/>
      </c>
      <c r="C17" s="76" t="n">
        <v>0.03</v>
      </c>
      <c r="D17" s="77" t="n">
        <v>0.02</v>
      </c>
      <c r="E17" s="77" t="n">
        <v>0.05</v>
      </c>
      <c r="F17" s="16" t="inlineStr">
        <is>
          <t>%</t>
        </is>
      </c>
      <c r="G17" s="61" t="inlineStr">
        <is>
          <t>3% of liquidity requirement</t>
        </is>
      </c>
      <c r="H17" s="1" t="n"/>
      <c r="I17" s="1" t="n"/>
    </row>
    <row r="18" ht="15" customHeight="1" s="201">
      <c r="A18" s="16" t="inlineStr">
        <is>
          <t>GC Headcount Growth (New Hires)</t>
        </is>
      </c>
      <c r="B18" s="80" t="n">
        <v>10</v>
      </c>
      <c r="C18" s="81" t="n">
        <v>10</v>
      </c>
      <c r="D18" s="82" t="n">
        <v>5</v>
      </c>
      <c r="E18" s="82" t="n">
        <v>15</v>
      </c>
      <c r="F18" s="16" t="inlineStr">
        <is>
          <t>#</t>
        </is>
      </c>
      <c r="G18" s="61" t="inlineStr">
        <is>
          <t>Number of new hires over model period</t>
        </is>
      </c>
      <c r="H18" s="1" t="n"/>
      <c r="I18" s="1" t="n"/>
    </row>
    <row r="19" ht="15" customHeight="1" s="201">
      <c r="A19" s="16" t="inlineStr">
        <is>
          <t>SP Monthly Operating Expenses</t>
        </is>
      </c>
      <c r="B19" s="83" t="n">
        <v>18700</v>
      </c>
      <c r="C19" s="78" t="n">
        <v>18700</v>
      </c>
      <c r="D19" s="79" t="n">
        <v>15000</v>
      </c>
      <c r="E19" s="79" t="n">
        <v>25000</v>
      </c>
      <c r="F19" s="16" t="inlineStr">
        <is>
          <t>$</t>
        </is>
      </c>
      <c r="G19" s="61" t="inlineStr">
        <is>
          <t>Total SP monthly opex (rent+IT+etc.)</t>
        </is>
      </c>
      <c r="H19" s="1" t="n"/>
      <c r="I19" s="1" t="n"/>
    </row>
    <row r="20" ht="15" customHeight="1" s="20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</row>
    <row r="21" ht="15" customHeight="1" s="20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</row>
    <row r="22" ht="15" customHeight="1" s="201">
      <c r="A22" s="2" t="inlineStr">
        <is>
          <t>PROJECT TOGGLE (Change to Yes/No on Projects Tab)</t>
        </is>
      </c>
      <c r="B22" s="2" t="n"/>
      <c r="C22" s="2" t="n"/>
      <c r="D22" s="2" t="n"/>
      <c r="E22" s="2" t="n"/>
      <c r="F22" s="2" t="n"/>
      <c r="G22" s="2" t="n"/>
      <c r="H22" s="1" t="n"/>
      <c r="I22" s="1" t="n"/>
    </row>
    <row r="23" ht="15" customHeight="1" s="201">
      <c r="A23" s="6" t="inlineStr">
        <is>
          <t>Project</t>
        </is>
      </c>
      <c r="B23" s="6" t="inlineStr">
        <is>
          <t>Active</t>
        </is>
      </c>
      <c r="C23" s="6" t="inlineStr">
        <is>
          <t>GMP</t>
        </is>
      </c>
      <c r="D23" s="6" t="inlineStr">
        <is>
          <t>Type</t>
        </is>
      </c>
      <c r="E23" s="6" t="inlineStr">
        <is>
          <t>Duration</t>
        </is>
      </c>
      <c r="F23" s="6" t="inlineStr">
        <is>
          <t>Steyn</t>
        </is>
      </c>
      <c r="G23" s="6" t="inlineStr">
        <is>
          <t>LIHTC</t>
        </is>
      </c>
      <c r="H23" s="1" t="n"/>
      <c r="I23" s="1" t="n"/>
    </row>
    <row r="24" ht="15" customHeight="1" s="201">
      <c r="A24" s="16" t="inlineStr">
        <is>
          <t>Crenshaw</t>
        </is>
      </c>
      <c r="B24" s="84">
        <f>Projects!$G$2</f>
        <v/>
      </c>
      <c r="C24" s="83" t="n">
        <v>5321971</v>
      </c>
      <c r="D24" s="16" t="inlineStr">
        <is>
          <t>Dev</t>
        </is>
      </c>
      <c r="E24" s="16" t="inlineStr">
        <is>
          <t>8 mo</t>
        </is>
      </c>
      <c r="F24" s="16" t="inlineStr">
        <is>
          <t>No</t>
        </is>
      </c>
      <c r="G24" s="16" t="inlineStr">
        <is>
          <t>No</t>
        </is>
      </c>
      <c r="H24" s="1" t="n"/>
      <c r="I24" s="1" t="n"/>
    </row>
    <row r="25" ht="15" customHeight="1" s="201">
      <c r="A25" s="16" t="inlineStr">
        <is>
          <t>Ramsgate</t>
        </is>
      </c>
      <c r="B25" s="84">
        <f>Projects!$G$3</f>
        <v/>
      </c>
      <c r="C25" s="83" t="n">
        <v>19982132</v>
      </c>
      <c r="D25" s="16" t="inlineStr">
        <is>
          <t>Dev</t>
        </is>
      </c>
      <c r="E25" s="16" t="inlineStr">
        <is>
          <t>16 mo</t>
        </is>
      </c>
      <c r="F25" s="16" t="inlineStr">
        <is>
          <t>No</t>
        </is>
      </c>
      <c r="G25" s="16" t="inlineStr">
        <is>
          <t>No</t>
        </is>
      </c>
      <c r="H25" s="1" t="n"/>
      <c r="I25" s="1" t="n"/>
    </row>
    <row r="26" ht="15" customHeight="1" s="201">
      <c r="A26" s="16" t="inlineStr">
        <is>
          <t>Califa</t>
        </is>
      </c>
      <c r="B26" s="84">
        <f>Projects!$G$4</f>
        <v/>
      </c>
      <c r="C26" s="83" t="n">
        <v>11673185</v>
      </c>
      <c r="D26" s="16" t="inlineStr">
        <is>
          <t>3PGC</t>
        </is>
      </c>
      <c r="E26" s="16" t="inlineStr">
        <is>
          <t>15 mo</t>
        </is>
      </c>
      <c r="F26" s="16" t="inlineStr">
        <is>
          <t>No</t>
        </is>
      </c>
      <c r="G26" s="16" t="inlineStr">
        <is>
          <t>Yes</t>
        </is>
      </c>
      <c r="H26" s="1" t="n"/>
      <c r="I26" s="1" t="n"/>
    </row>
    <row r="27" ht="15" customHeight="1" s="201">
      <c r="A27" s="16" t="inlineStr">
        <is>
          <t>Whipple</t>
        </is>
      </c>
      <c r="B27" s="84">
        <f>Projects!$G$5</f>
        <v/>
      </c>
      <c r="C27" s="83" t="n">
        <v>13492534</v>
      </c>
      <c r="D27" s="16" t="inlineStr">
        <is>
          <t>3PGC</t>
        </is>
      </c>
      <c r="E27" s="16" t="inlineStr">
        <is>
          <t>15 mo</t>
        </is>
      </c>
      <c r="F27" s="16" t="inlineStr">
        <is>
          <t>No</t>
        </is>
      </c>
      <c r="G27" s="16" t="inlineStr">
        <is>
          <t>Yes</t>
        </is>
      </c>
      <c r="H27" s="1" t="n"/>
      <c r="I27" s="1" t="n"/>
    </row>
    <row r="28" ht="15" customHeight="1" s="201">
      <c r="A28" s="16" t="inlineStr">
        <is>
          <t>Nelrose</t>
        </is>
      </c>
      <c r="B28" s="84">
        <f>Projects!$G$6</f>
        <v/>
      </c>
      <c r="C28" s="83" t="n">
        <v>4052747</v>
      </c>
      <c r="D28" s="16" t="inlineStr">
        <is>
          <t>3PGC</t>
        </is>
      </c>
      <c r="E28" s="16" t="inlineStr">
        <is>
          <t>19 mo</t>
        </is>
      </c>
      <c r="F28" s="16" t="inlineStr">
        <is>
          <t>No</t>
        </is>
      </c>
      <c r="G28" s="16" t="inlineStr">
        <is>
          <t>Yes</t>
        </is>
      </c>
      <c r="H28" s="1" t="n"/>
      <c r="I28" s="1" t="n"/>
    </row>
    <row r="29" ht="15" customHeight="1" s="201">
      <c r="A29" s="16" t="inlineStr">
        <is>
          <t>Francis</t>
        </is>
      </c>
      <c r="B29" s="84">
        <f>Projects!$G$7</f>
        <v/>
      </c>
      <c r="C29" s="83" t="n">
        <v>42968448</v>
      </c>
      <c r="D29" s="16" t="inlineStr">
        <is>
          <t>Dev</t>
        </is>
      </c>
      <c r="E29" s="16" t="inlineStr">
        <is>
          <t>24 mo</t>
        </is>
      </c>
      <c r="F29" s="16" t="inlineStr">
        <is>
          <t>Yes</t>
        </is>
      </c>
      <c r="G29" s="16" t="inlineStr">
        <is>
          <t>Yes</t>
        </is>
      </c>
      <c r="H29" s="1" t="n"/>
      <c r="I29" s="1" t="n"/>
    </row>
    <row r="30" ht="15" customHeight="1" s="201">
      <c r="A30" s="16" t="inlineStr">
        <is>
          <t>Lexington</t>
        </is>
      </c>
      <c r="B30" s="84">
        <f>Projects!$G$8</f>
        <v/>
      </c>
      <c r="C30" s="83" t="n">
        <v>13625772</v>
      </c>
      <c r="D30" s="16" t="inlineStr">
        <is>
          <t>3PGC</t>
        </is>
      </c>
      <c r="E30" s="16" t="inlineStr">
        <is>
          <t>19 mo</t>
        </is>
      </c>
      <c r="F30" s="16" t="inlineStr">
        <is>
          <t>No</t>
        </is>
      </c>
      <c r="G30" s="16" t="inlineStr">
        <is>
          <t>Yes</t>
        </is>
      </c>
      <c r="H30" s="1" t="n"/>
      <c r="I30" s="1" t="n"/>
    </row>
    <row r="31" ht="15" customHeight="1" s="201">
      <c r="A31" s="16" t="inlineStr">
        <is>
          <t>Denny</t>
        </is>
      </c>
      <c r="B31" s="84">
        <f>Projects!$G$9</f>
        <v/>
      </c>
      <c r="C31" s="83" t="n">
        <v>15844883</v>
      </c>
      <c r="D31" s="16" t="inlineStr">
        <is>
          <t>3PGC</t>
        </is>
      </c>
      <c r="E31" s="16" t="inlineStr">
        <is>
          <t>30 mo</t>
        </is>
      </c>
      <c r="F31" s="16" t="inlineStr">
        <is>
          <t>No</t>
        </is>
      </c>
      <c r="G31" s="16" t="inlineStr">
        <is>
          <t>Yes</t>
        </is>
      </c>
      <c r="H31" s="1" t="n"/>
      <c r="I31" s="1" t="n"/>
    </row>
    <row r="32" ht="15" customHeight="1" s="201">
      <c r="A32" s="16" t="inlineStr">
        <is>
          <t>Acama</t>
        </is>
      </c>
      <c r="B32" s="84">
        <f>Projects!$G$10</f>
        <v/>
      </c>
      <c r="C32" s="83" t="n">
        <v>21263405</v>
      </c>
      <c r="D32" s="16" t="inlineStr">
        <is>
          <t>3PGC</t>
        </is>
      </c>
      <c r="E32" s="16" t="inlineStr">
        <is>
          <t>19 mo</t>
        </is>
      </c>
      <c r="F32" s="16" t="inlineStr">
        <is>
          <t>No</t>
        </is>
      </c>
      <c r="G32" s="16" t="inlineStr">
        <is>
          <t>Yes</t>
        </is>
      </c>
      <c r="H32" s="1" t="n"/>
      <c r="I32" s="1" t="n"/>
    </row>
    <row r="33" ht="15" customHeight="1" s="201">
      <c r="A33" s="16" t="inlineStr">
        <is>
          <t>Klump</t>
        </is>
      </c>
      <c r="B33" s="84">
        <f>Projects!$G$11</f>
        <v/>
      </c>
      <c r="C33" s="83" t="n">
        <v>9577109</v>
      </c>
      <c r="D33" s="16" t="inlineStr">
        <is>
          <t>Dev</t>
        </is>
      </c>
      <c r="E33" s="16" t="inlineStr">
        <is>
          <t>19 mo</t>
        </is>
      </c>
      <c r="F33" s="16" t="inlineStr">
        <is>
          <t>Yes</t>
        </is>
      </c>
      <c r="G33" s="16" t="inlineStr">
        <is>
          <t>No</t>
        </is>
      </c>
      <c r="H33" s="1" t="n"/>
      <c r="I33" s="1" t="n"/>
    </row>
    <row r="34" ht="15" customHeight="1" s="201">
      <c r="A34" s="16" t="inlineStr">
        <is>
          <t>Scott</t>
        </is>
      </c>
      <c r="B34" s="84">
        <f>Projects!$G$12</f>
        <v/>
      </c>
      <c r="C34" s="83" t="n">
        <v>7545203</v>
      </c>
      <c r="D34" s="16" t="inlineStr">
        <is>
          <t>Dev</t>
        </is>
      </c>
      <c r="E34" s="16" t="inlineStr">
        <is>
          <t>19 mo</t>
        </is>
      </c>
      <c r="F34" s="16" t="inlineStr">
        <is>
          <t>Yes</t>
        </is>
      </c>
      <c r="G34" s="16" t="inlineStr">
        <is>
          <t>No</t>
        </is>
      </c>
      <c r="H34" s="1" t="n"/>
      <c r="I34" s="1" t="n"/>
    </row>
    <row r="35" ht="15" customHeight="1" s="201">
      <c r="A35" s="16" t="inlineStr">
        <is>
          <t>Reseda</t>
        </is>
      </c>
      <c r="B35" s="84">
        <f>Projects!$G$13</f>
        <v/>
      </c>
      <c r="C35" s="83" t="n">
        <v>45266770</v>
      </c>
      <c r="D35" s="16" t="inlineStr">
        <is>
          <t>Dev</t>
        </is>
      </c>
      <c r="E35" s="16" t="inlineStr">
        <is>
          <t>30 mo</t>
        </is>
      </c>
      <c r="F35" s="16" t="inlineStr">
        <is>
          <t>Yes</t>
        </is>
      </c>
      <c r="G35" s="16" t="inlineStr">
        <is>
          <t>Yes</t>
        </is>
      </c>
      <c r="H35" s="1" t="n"/>
      <c r="I35" s="1" t="n"/>
    </row>
    <row r="36" ht="15" customHeight="1" s="201">
      <c r="A36" s="16" t="inlineStr">
        <is>
          <t>3rd St</t>
        </is>
      </c>
      <c r="B36" s="84">
        <f>Projects!$G$14</f>
        <v/>
      </c>
      <c r="C36" s="83" t="n">
        <v>41354632</v>
      </c>
      <c r="D36" s="16" t="inlineStr">
        <is>
          <t>Dev</t>
        </is>
      </c>
      <c r="E36" s="16" t="inlineStr">
        <is>
          <t>30 mo</t>
        </is>
      </c>
      <c r="F36" s="16" t="inlineStr">
        <is>
          <t>Yes</t>
        </is>
      </c>
      <c r="G36" s="16" t="inlineStr">
        <is>
          <t>Yes</t>
        </is>
      </c>
      <c r="H36" s="1" t="n"/>
      <c r="I36" s="1" t="n"/>
    </row>
    <row r="37" ht="15" customHeight="1" s="20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" customHeight="1" s="20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" customHeight="1" s="201">
      <c r="A39" s="2" t="inlineStr">
        <is>
          <t>ANNUAL RESULTS (Live from Model)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</row>
    <row r="40" ht="15" customHeight="1" s="201">
      <c r="A40" s="6" t="inlineStr">
        <is>
          <t>Metric</t>
        </is>
      </c>
      <c r="B40" s="85" t="inlineStr">
        <is>
          <t>FY 2026</t>
        </is>
      </c>
      <c r="C40" s="85" t="inlineStr">
        <is>
          <t>FY 2027</t>
        </is>
      </c>
      <c r="D40" s="85" t="inlineStr">
        <is>
          <t>FY 2028</t>
        </is>
      </c>
      <c r="E40" s="85" t="inlineStr">
        <is>
          <t>FY 2029</t>
        </is>
      </c>
      <c r="F40" s="85" t="inlineStr">
        <is>
          <t>FY 2030</t>
        </is>
      </c>
      <c r="G40" s="85" t="inlineStr">
        <is>
          <t>FY 2031</t>
        </is>
      </c>
      <c r="H40" s="85" t="inlineStr">
        <is>
          <t>FY 2032</t>
        </is>
      </c>
      <c r="I40" s="85" t="inlineStr">
        <is>
          <t>FY 2033</t>
        </is>
      </c>
    </row>
    <row r="41" ht="15" customHeight="1" s="201">
      <c r="A41" s="28" t="inlineStr">
        <is>
          <t>Total GC Revenue</t>
        </is>
      </c>
      <c r="B41" s="67">
        <f>'Annual Summary'!B8</f>
        <v/>
      </c>
      <c r="C41" s="67">
        <f>'Annual Summary'!C8</f>
        <v/>
      </c>
      <c r="D41" s="67">
        <f>'Annual Summary'!D8</f>
        <v/>
      </c>
      <c r="E41" s="67">
        <f>'Annual Summary'!E8</f>
        <v/>
      </c>
      <c r="F41" s="67">
        <f>'Annual Summary'!F8</f>
        <v/>
      </c>
      <c r="G41" s="67">
        <f>'Annual Summary'!G8</f>
        <v/>
      </c>
      <c r="H41" s="67">
        <f>'Annual Summary'!H8</f>
        <v/>
      </c>
      <c r="I41" s="67">
        <f>'Annual Summary'!I8</f>
        <v/>
      </c>
    </row>
    <row r="42" ht="15" customHeight="1" s="201">
      <c r="A42" s="86" t="inlineStr">
        <is>
          <t>GC Net Income</t>
        </is>
      </c>
      <c r="B42" s="87">
        <f>'Annual Summary'!B15</f>
        <v/>
      </c>
      <c r="C42" s="87">
        <f>'Annual Summary'!C15</f>
        <v/>
      </c>
      <c r="D42" s="87">
        <f>'Annual Summary'!D15</f>
        <v/>
      </c>
      <c r="E42" s="87">
        <f>'Annual Summary'!E15</f>
        <v/>
      </c>
      <c r="F42" s="87">
        <f>'Annual Summary'!F15</f>
        <v/>
      </c>
      <c r="G42" s="87">
        <f>'Annual Summary'!G15</f>
        <v/>
      </c>
      <c r="H42" s="87">
        <f>'Annual Summary'!H15</f>
        <v/>
      </c>
      <c r="I42" s="87">
        <f>'Annual Summary'!I15</f>
        <v/>
      </c>
    </row>
    <row r="43" ht="15" customHeight="1" s="201">
      <c r="A43" s="16" t="inlineStr">
        <is>
          <t>GC Profit Margin %</t>
        </is>
      </c>
      <c r="B43" s="75">
        <f>'Annual Summary'!B16</f>
        <v/>
      </c>
      <c r="C43" s="75">
        <f>'Annual Summary'!C16</f>
        <v/>
      </c>
      <c r="D43" s="75">
        <f>'Annual Summary'!D16</f>
        <v/>
      </c>
      <c r="E43" s="75">
        <f>'Annual Summary'!E16</f>
        <v/>
      </c>
      <c r="F43" s="75">
        <f>'Annual Summary'!F16</f>
        <v/>
      </c>
      <c r="G43" s="75">
        <f>'Annual Summary'!G16</f>
        <v/>
      </c>
      <c r="H43" s="75">
        <f>'Annual Summary'!H16</f>
        <v/>
      </c>
      <c r="I43" s="75">
        <f>'Annual Summary'!I16</f>
        <v/>
      </c>
    </row>
    <row r="44" ht="15" customHeight="1" s="20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" customHeight="1" s="201">
      <c r="A45" s="28" t="inlineStr">
        <is>
          <t>Six Peak Revenue</t>
        </is>
      </c>
      <c r="B45" s="67">
        <f>'Annual Summary'!B18</f>
        <v/>
      </c>
      <c r="C45" s="67">
        <f>'Annual Summary'!C18</f>
        <v/>
      </c>
      <c r="D45" s="67">
        <f>'Annual Summary'!D18</f>
        <v/>
      </c>
      <c r="E45" s="67">
        <f>'Annual Summary'!E18</f>
        <v/>
      </c>
      <c r="F45" s="67">
        <f>'Annual Summary'!F18</f>
        <v/>
      </c>
      <c r="G45" s="67">
        <f>'Annual Summary'!G18</f>
        <v/>
      </c>
      <c r="H45" s="67">
        <f>'Annual Summary'!H18</f>
        <v/>
      </c>
      <c r="I45" s="67">
        <f>'Annual Summary'!I18</f>
        <v/>
      </c>
    </row>
    <row r="46" ht="15" customHeight="1" s="201">
      <c r="A46" s="86" t="inlineStr">
        <is>
          <t>Six Peak Net Income</t>
        </is>
      </c>
      <c r="B46" s="87">
        <f>'Annual Summary'!B20</f>
        <v/>
      </c>
      <c r="C46" s="87">
        <f>'Annual Summary'!C20</f>
        <v/>
      </c>
      <c r="D46" s="87">
        <f>'Annual Summary'!D20</f>
        <v/>
      </c>
      <c r="E46" s="87">
        <f>'Annual Summary'!E20</f>
        <v/>
      </c>
      <c r="F46" s="87">
        <f>'Annual Summary'!F20</f>
        <v/>
      </c>
      <c r="G46" s="87">
        <f>'Annual Summary'!G20</f>
        <v/>
      </c>
      <c r="H46" s="87">
        <f>'Annual Summary'!H20</f>
        <v/>
      </c>
      <c r="I46" s="87">
        <f>'Annual Summary'!I20</f>
        <v/>
      </c>
    </row>
    <row r="47" ht="15" customHeight="1" s="20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" customHeight="1" s="201">
      <c r="A48" s="86" t="inlineStr">
        <is>
          <t>Consolidated Net Income</t>
        </is>
      </c>
      <c r="B48" s="87">
        <f>'Annual Summary'!B22</f>
        <v/>
      </c>
      <c r="C48" s="87">
        <f>'Annual Summary'!C22</f>
        <v/>
      </c>
      <c r="D48" s="87">
        <f>'Annual Summary'!D22</f>
        <v/>
      </c>
      <c r="E48" s="87">
        <f>'Annual Summary'!E22</f>
        <v/>
      </c>
      <c r="F48" s="87">
        <f>'Annual Summary'!F22</f>
        <v/>
      </c>
      <c r="G48" s="87">
        <f>'Annual Summary'!G22</f>
        <v/>
      </c>
      <c r="H48" s="87">
        <f>'Annual Summary'!H22</f>
        <v/>
      </c>
      <c r="I48" s="87">
        <f>'Annual Summary'!I22</f>
        <v/>
      </c>
    </row>
    <row r="49" ht="15" customHeight="1" s="20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" customHeight="1" s="201">
      <c r="A50" s="88" t="inlineStr">
        <is>
          <t>Total Ending Cash</t>
        </is>
      </c>
      <c r="B50" s="89">
        <f>'Annual Summary'!B43</f>
        <v/>
      </c>
      <c r="C50" s="89">
        <f>'Annual Summary'!C43</f>
        <v/>
      </c>
      <c r="D50" s="89">
        <f>'Annual Summary'!D43</f>
        <v/>
      </c>
      <c r="E50" s="89">
        <f>'Annual Summary'!E43</f>
        <v/>
      </c>
      <c r="F50" s="89">
        <f>'Annual Summary'!F43</f>
        <v/>
      </c>
      <c r="G50" s="89">
        <f>'Annual Summary'!G43</f>
        <v/>
      </c>
      <c r="H50" s="89">
        <f>'Annual Summary'!H43</f>
        <v/>
      </c>
      <c r="I50" s="89">
        <f>'Annual Summary'!I43</f>
        <v/>
      </c>
    </row>
    <row r="51" ht="15" customHeight="1" s="201">
      <c r="A51" s="88" t="inlineStr">
        <is>
          <t>LV Ending Cash</t>
        </is>
      </c>
      <c r="B51" s="89">
        <f>'Annual Summary'!B41</f>
        <v/>
      </c>
      <c r="C51" s="89">
        <f>'Annual Summary'!C41</f>
        <v/>
      </c>
      <c r="D51" s="89">
        <f>'Annual Summary'!D41</f>
        <v/>
      </c>
      <c r="E51" s="89">
        <f>'Annual Summary'!E41</f>
        <v/>
      </c>
      <c r="F51" s="89">
        <f>'Annual Summary'!F41</f>
        <v/>
      </c>
      <c r="G51" s="89">
        <f>'Annual Summary'!G41</f>
        <v/>
      </c>
      <c r="H51" s="89">
        <f>'Annual Summary'!H41</f>
        <v/>
      </c>
      <c r="I51" s="89">
        <f>'Annual Summary'!I41</f>
        <v/>
      </c>
    </row>
    <row r="52" ht="15" customHeight="1" s="201">
      <c r="A52" s="88" t="inlineStr">
        <is>
          <t>SP Ending Cash</t>
        </is>
      </c>
      <c r="B52" s="89">
        <f>'Annual Summary'!B42</f>
        <v/>
      </c>
      <c r="C52" s="89">
        <f>'Annual Summary'!C42</f>
        <v/>
      </c>
      <c r="D52" s="89">
        <f>'Annual Summary'!D42</f>
        <v/>
      </c>
      <c r="E52" s="89">
        <f>'Annual Summary'!E42</f>
        <v/>
      </c>
      <c r="F52" s="89">
        <f>'Annual Summary'!F42</f>
        <v/>
      </c>
      <c r="G52" s="89">
        <f>'Annual Summary'!G42</f>
        <v/>
      </c>
      <c r="H52" s="89">
        <f>'Annual Summary'!H42</f>
        <v/>
      </c>
      <c r="I52" s="89">
        <f>'Annual Summary'!I42</f>
        <v/>
      </c>
    </row>
    <row r="53" ht="15" customHeight="1" s="20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" customHeight="1" s="201">
      <c r="A54" s="16" t="inlineStr">
        <is>
          <t>Total Bonding Outstanding</t>
        </is>
      </c>
      <c r="B54" s="66">
        <f>'Annual Summary'!B39</f>
        <v/>
      </c>
      <c r="C54" s="66">
        <f>'Annual Summary'!C39</f>
        <v/>
      </c>
      <c r="D54" s="66">
        <f>'Annual Summary'!D39</f>
        <v/>
      </c>
      <c r="E54" s="66">
        <f>'Annual Summary'!E39</f>
        <v/>
      </c>
      <c r="F54" s="66">
        <f>'Annual Summary'!F39</f>
        <v/>
      </c>
      <c r="G54" s="66">
        <f>'Annual Summary'!G39</f>
        <v/>
      </c>
      <c r="H54" s="66">
        <f>'Annual Summary'!H39</f>
        <v/>
      </c>
      <c r="I54" s="66">
        <f>'Annual Summary'!I39</f>
        <v/>
      </c>
    </row>
    <row r="55" ht="15" customHeight="1" s="201">
      <c r="A55" s="16" t="inlineStr">
        <is>
          <t>PIK Outstanding</t>
        </is>
      </c>
      <c r="B55" s="66">
        <f>'Annual Summary'!B37</f>
        <v/>
      </c>
      <c r="C55" s="66">
        <f>'Annual Summary'!C37</f>
        <v/>
      </c>
      <c r="D55" s="66">
        <f>'Annual Summary'!D37</f>
        <v/>
      </c>
      <c r="E55" s="66">
        <f>'Annual Summary'!E37</f>
        <v/>
      </c>
      <c r="F55" s="66">
        <f>'Annual Summary'!F37</f>
        <v/>
      </c>
      <c r="G55" s="66">
        <f>'Annual Summary'!G37</f>
        <v/>
      </c>
      <c r="H55" s="66">
        <f>'Annual Summary'!H37</f>
        <v/>
      </c>
      <c r="I55" s="66">
        <f>'Annual Summary'!I37</f>
        <v/>
      </c>
    </row>
    <row r="56" ht="15" customHeight="1" s="20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" customHeight="1" s="20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" customHeight="1" s="201">
      <c r="A58" s="2" t="inlineStr">
        <is>
          <t>GC REVENUE SENSITIVITY — Total Fee Revenue by Rate Combination</t>
        </is>
      </c>
      <c r="B58" s="2" t="n"/>
      <c r="C58" s="2" t="n"/>
      <c r="D58" s="2" t="n"/>
      <c r="E58" s="2" t="n"/>
      <c r="F58" s="2" t="n"/>
      <c r="G58" s="2" t="n"/>
      <c r="H58" s="1" t="n"/>
      <c r="I58" s="1" t="n"/>
    </row>
    <row r="59" ht="15" customHeight="1" s="201">
      <c r="A59" s="61" t="inlineStr">
        <is>
          <t>Combined GMP: $251,968,791  |  Shows total fee revenue (Sup+GC+Admin) at different rate/overhead combos</t>
        </is>
      </c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" customHeight="1" s="201">
      <c r="A60" s="90" t="inlineStr">
        <is>
          <t>Total Fee Rate ↓  /  Overhead Rate →</t>
        </is>
      </c>
      <c r="B60" s="91" t="n">
        <v>0.07000000000000001</v>
      </c>
      <c r="C60" s="91" t="n">
        <v>0.08</v>
      </c>
      <c r="D60" s="91" t="n">
        <v>0.092</v>
      </c>
      <c r="E60" s="91" t="n">
        <v>0.1</v>
      </c>
      <c r="F60" s="91" t="n">
        <v>0.12</v>
      </c>
      <c r="G60" s="1" t="n"/>
      <c r="H60" s="1" t="n"/>
      <c r="I60" s="1" t="n"/>
    </row>
    <row r="61" ht="15" customHeight="1" s="201">
      <c r="A61" s="92" t="n">
        <v>0.1</v>
      </c>
      <c r="B61" s="79" t="n">
        <v>21535794</v>
      </c>
      <c r="C61" s="79" t="n">
        <v>21353287</v>
      </c>
      <c r="D61" s="79" t="n">
        <v>21138321</v>
      </c>
      <c r="E61" s="79" t="n">
        <v>20997399</v>
      </c>
      <c r="F61" s="79" t="n">
        <v>20653180</v>
      </c>
      <c r="G61" s="1" t="n"/>
      <c r="H61" s="1" t="n"/>
      <c r="I61" s="1" t="n"/>
    </row>
    <row r="62" ht="15" customHeight="1" s="201">
      <c r="A62" s="92" t="n">
        <v>0.12</v>
      </c>
      <c r="B62" s="79" t="n">
        <v>25408618</v>
      </c>
      <c r="C62" s="79" t="n">
        <v>25196879</v>
      </c>
      <c r="D62" s="79" t="n">
        <v>24947405</v>
      </c>
      <c r="E62" s="79" t="n">
        <v>24783816</v>
      </c>
      <c r="F62" s="79" t="n">
        <v>24384077</v>
      </c>
      <c r="G62" s="1" t="n"/>
      <c r="H62" s="1" t="n"/>
      <c r="I62" s="1" t="n"/>
    </row>
    <row r="63" ht="15" customHeight="1" s="201">
      <c r="A63" s="92" t="n">
        <v>0.14</v>
      </c>
      <c r="B63" s="79" t="n">
        <v>29153414</v>
      </c>
      <c r="C63" s="79" t="n">
        <v>28914451</v>
      </c>
      <c r="D63" s="93" t="n">
        <v>28632817</v>
      </c>
      <c r="E63" s="79" t="n">
        <v>28448089</v>
      </c>
      <c r="F63" s="79" t="n">
        <v>27996532</v>
      </c>
      <c r="G63" s="1" t="n"/>
      <c r="H63" s="1" t="n"/>
      <c r="I63" s="1" t="n"/>
    </row>
    <row r="64" ht="15" customHeight="1" s="201">
      <c r="A64" s="92" t="n">
        <v>0.16</v>
      </c>
      <c r="B64" s="79" t="n">
        <v>32776428</v>
      </c>
      <c r="C64" s="79" t="n">
        <v>32512102</v>
      </c>
      <c r="D64" s="79" t="n">
        <v>32200484</v>
      </c>
      <c r="E64" s="79" t="n">
        <v>31996037</v>
      </c>
      <c r="F64" s="79" t="n">
        <v>31496099</v>
      </c>
      <c r="G64" s="1" t="n"/>
      <c r="H64" s="1" t="n"/>
      <c r="I64" s="1" t="n"/>
    </row>
    <row r="65" ht="15" customHeight="1" s="201">
      <c r="A65" s="92" t="n">
        <v>0.18</v>
      </c>
      <c r="B65" s="79" t="n">
        <v>36283506</v>
      </c>
      <c r="C65" s="79" t="n">
        <v>35995542</v>
      </c>
      <c r="D65" s="79" t="n">
        <v>35655961</v>
      </c>
      <c r="E65" s="79" t="n">
        <v>35433111</v>
      </c>
      <c r="F65" s="79" t="n">
        <v>34887986</v>
      </c>
      <c r="G65" s="1" t="n"/>
      <c r="H65" s="1" t="n"/>
      <c r="I65" s="1" t="n"/>
    </row>
    <row r="66" ht="15" customHeight="1" s="20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" customHeight="1" s="20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" customHeight="1" s="201">
      <c r="A68" s="2" t="inlineStr">
        <is>
          <t>CASH POSITION ANALYSIS</t>
        </is>
      </c>
      <c r="B68" s="2" t="n"/>
      <c r="C68" s="2" t="n"/>
      <c r="D68" s="2" t="n"/>
      <c r="E68" s="2" t="n"/>
      <c r="F68" s="2" t="n"/>
      <c r="G68" s="1" t="n"/>
      <c r="H68" s="1" t="n"/>
      <c r="I68" s="1" t="n"/>
    </row>
    <row r="69" ht="15" customHeight="1" s="201">
      <c r="A69" s="6" t="inlineStr">
        <is>
          <t>Entity</t>
        </is>
      </c>
      <c r="B69" s="6" t="inlineStr">
        <is>
          <t>Starting Cash</t>
        </is>
      </c>
      <c r="C69" s="6" t="inlineStr">
        <is>
          <t>FY 2027 Cash</t>
        </is>
      </c>
      <c r="D69" s="6" t="inlineStr">
        <is>
          <t>FY 2029 Cash</t>
        </is>
      </c>
      <c r="E69" s="6" t="inlineStr">
        <is>
          <t>FY 2031 Cash</t>
        </is>
      </c>
      <c r="F69" s="6" t="inlineStr">
        <is>
          <t>FY 2033 Cash</t>
        </is>
      </c>
      <c r="G69" s="1" t="n"/>
      <c r="H69" s="1" t="n"/>
      <c r="I69" s="1" t="n"/>
    </row>
    <row r="70" ht="15" customHeight="1" s="201">
      <c r="A70" s="16" t="inlineStr">
        <is>
          <t>LV (GC)</t>
        </is>
      </c>
      <c r="B70" s="83">
        <f>'Annual Summary'!B41</f>
        <v/>
      </c>
      <c r="C70" s="79">
        <f>'Annual Summary'!C41</f>
        <v/>
      </c>
      <c r="D70" s="79">
        <f>'Annual Summary'!E41</f>
        <v/>
      </c>
      <c r="E70" s="79">
        <f>'Annual Summary'!G41</f>
        <v/>
      </c>
      <c r="F70" s="79">
        <f>'Annual Summary'!I41</f>
        <v/>
      </c>
      <c r="G70" s="1" t="n"/>
      <c r="H70" s="1" t="n"/>
      <c r="I70" s="1" t="n"/>
    </row>
    <row r="71" ht="15" customHeight="1" s="201">
      <c r="A71" s="16" t="inlineStr">
        <is>
          <t>Six Peak</t>
        </is>
      </c>
      <c r="B71" s="83">
        <f>'Annual Summary'!B42</f>
        <v/>
      </c>
      <c r="C71" s="79">
        <f>'Annual Summary'!C42</f>
        <v/>
      </c>
      <c r="D71" s="79">
        <f>'Annual Summary'!E42</f>
        <v/>
      </c>
      <c r="E71" s="79">
        <f>'Annual Summary'!G42</f>
        <v/>
      </c>
      <c r="F71" s="79">
        <f>'Annual Summary'!I42</f>
        <v/>
      </c>
      <c r="G71" s="1" t="n"/>
      <c r="H71" s="1" t="n"/>
      <c r="I71" s="1" t="n"/>
    </row>
    <row r="72" ht="15" customHeight="1" s="201">
      <c r="A72" s="88" t="inlineStr">
        <is>
          <t>Consolidated</t>
        </is>
      </c>
      <c r="B72" s="94">
        <f>'Annual Summary'!B43</f>
        <v/>
      </c>
      <c r="C72" s="95">
        <f>'Annual Summary'!C43</f>
        <v/>
      </c>
      <c r="D72" s="95">
        <f>'Annual Summary'!E43</f>
        <v/>
      </c>
      <c r="E72" s="95">
        <f>'Annual Summary'!G43</f>
        <v/>
      </c>
      <c r="F72" s="95">
        <f>'Annual Summary'!I43</f>
        <v/>
      </c>
      <c r="G72" s="1" t="n"/>
      <c r="H72" s="1" t="n"/>
      <c r="I72" s="1" t="n"/>
    </row>
    <row r="73" ht="15" customHeight="1" s="20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" customHeight="1" s="20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" customHeight="1" s="201">
      <c r="A75" s="2" t="inlineStr">
        <is>
          <t>STEYN GROUP — INVESTMENT &amp; FEE SUMMARY</t>
        </is>
      </c>
      <c r="B75" s="2" t="n"/>
      <c r="C75" s="2" t="n"/>
      <c r="D75" s="2" t="n"/>
      <c r="E75" s="2" t="n"/>
      <c r="F75" s="2" t="n"/>
      <c r="G75" s="1" t="n"/>
      <c r="H75" s="1" t="n"/>
      <c r="I75" s="1" t="n"/>
    </row>
    <row r="76" ht="15" customHeight="1" s="201">
      <c r="A76" s="6" t="inlineStr">
        <is>
          <t>Project</t>
        </is>
      </c>
      <c r="B76" s="6" t="inlineStr">
        <is>
          <t>Completion Guaranty</t>
        </is>
      </c>
      <c r="C76" s="6" t="inlineStr">
        <is>
          <t>Liquidity Fee</t>
        </is>
      </c>
      <c r="D76" s="6" t="inlineStr">
        <is>
          <t>PIK Invested</t>
        </is>
      </c>
      <c r="E76" s="6" t="inlineStr">
        <is>
          <t>Total Steyn Fees</t>
        </is>
      </c>
      <c r="F76" s="6" t="inlineStr">
        <is>
          <t>LIHTC Payback</t>
        </is>
      </c>
      <c r="G76" s="1" t="n"/>
      <c r="H76" s="1" t="n"/>
      <c r="I76" s="1" t="n"/>
    </row>
    <row r="77" ht="15" customHeight="1" s="201">
      <c r="A77" s="16" t="inlineStr">
        <is>
          <t>Klump</t>
        </is>
      </c>
      <c r="B77" s="70" t="n">
        <v>95771</v>
      </c>
      <c r="C77" s="70" t="n">
        <v>60000</v>
      </c>
      <c r="D77" s="70" t="n">
        <v>0</v>
      </c>
      <c r="E77" s="68" t="n">
        <v>155771</v>
      </c>
      <c r="F77" s="61" t="inlineStr">
        <is>
          <t>Non-LIHTC — paid at start</t>
        </is>
      </c>
      <c r="G77" s="1" t="n"/>
      <c r="H77" s="1" t="n"/>
      <c r="I77" s="1" t="n"/>
    </row>
    <row r="78" ht="15" customHeight="1" s="201">
      <c r="A78" s="16" t="inlineStr">
        <is>
          <t>Scott</t>
        </is>
      </c>
      <c r="B78" s="70" t="n">
        <v>75452</v>
      </c>
      <c r="C78" s="70" t="n">
        <v>60000</v>
      </c>
      <c r="D78" s="70" t="n">
        <v>0</v>
      </c>
      <c r="E78" s="68" t="n">
        <v>135452</v>
      </c>
      <c r="F78" s="61" t="inlineStr">
        <is>
          <t>Non-LIHTC — paid at start</t>
        </is>
      </c>
      <c r="G78" s="1" t="n"/>
      <c r="H78" s="1" t="n"/>
      <c r="I78" s="1" t="n"/>
    </row>
    <row r="79" ht="15" customHeight="1" s="201">
      <c r="A79" s="16" t="inlineStr">
        <is>
          <t>Francis</t>
        </is>
      </c>
      <c r="B79" s="70" t="n">
        <v>579684</v>
      </c>
      <c r="C79" s="70" t="n">
        <v>150000</v>
      </c>
      <c r="D79" s="70" t="n">
        <v>0</v>
      </c>
      <c r="E79" s="68" t="n">
        <v>729684</v>
      </c>
      <c r="F79" s="61" t="inlineStr">
        <is>
          <t>Quarterly from LIHTC rev</t>
        </is>
      </c>
      <c r="G79" s="1" t="n"/>
      <c r="H79" s="1" t="n"/>
      <c r="I79" s="1" t="n"/>
    </row>
    <row r="80" ht="15" customHeight="1" s="201">
      <c r="A80" s="16" t="inlineStr">
        <is>
          <t>Reseda</t>
        </is>
      </c>
      <c r="B80" s="70" t="n">
        <v>602668</v>
      </c>
      <c r="C80" s="70" t="n">
        <v>150000</v>
      </c>
      <c r="D80" s="70" t="n">
        <v>1450000</v>
      </c>
      <c r="E80" s="68" t="n">
        <v>752668</v>
      </c>
      <c r="F80" s="61" t="inlineStr">
        <is>
          <t>Quarterly from LIHTC rev</t>
        </is>
      </c>
      <c r="G80" s="1" t="n"/>
      <c r="H80" s="1" t="n"/>
      <c r="I80" s="1" t="n"/>
    </row>
    <row r="81" ht="15" customHeight="1" s="201">
      <c r="A81" s="16" t="inlineStr">
        <is>
          <t>3rd St</t>
        </is>
      </c>
      <c r="B81" s="70" t="n">
        <v>563546</v>
      </c>
      <c r="C81" s="70" t="n">
        <v>150000</v>
      </c>
      <c r="D81" s="70" t="n">
        <v>0</v>
      </c>
      <c r="E81" s="68" t="n">
        <v>713546</v>
      </c>
      <c r="F81" s="61" t="inlineStr">
        <is>
          <t>Pending — no revenue yet</t>
        </is>
      </c>
      <c r="G81" s="1" t="n"/>
      <c r="H81" s="1" t="n"/>
      <c r="I81" s="1" t="n"/>
    </row>
    <row r="82" ht="15" customHeight="1" s="201">
      <c r="A82" s="28" t="inlineStr">
        <is>
          <t>TOTAL</t>
        </is>
      </c>
      <c r="B82" s="67" t="n">
        <v>1917121</v>
      </c>
      <c r="C82" s="67" t="n">
        <v>570000</v>
      </c>
      <c r="D82" s="67" t="n">
        <v>1450000</v>
      </c>
      <c r="E82" s="67" t="n">
        <v>2487121</v>
      </c>
      <c r="F82" s="28" t="n"/>
      <c r="G82" s="1" t="n"/>
      <c r="H82" s="1" t="n"/>
      <c r="I82" s="1" t="n"/>
    </row>
    <row r="83" ht="15" customHeight="1" s="20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" customHeight="1" s="20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" customHeight="1" s="201">
      <c r="A85" s="2" t="inlineStr">
        <is>
          <t>TIER 2 BONDING SENSITIVITY — Reseda &amp; 3rd St</t>
        </is>
      </c>
      <c r="B85" s="2" t="n"/>
      <c r="C85" s="2" t="n"/>
      <c r="D85" s="2" t="n"/>
      <c r="E85" s="2" t="n"/>
      <c r="F85" s="2" t="n"/>
      <c r="G85" s="2" t="n"/>
      <c r="H85" s="1" t="n"/>
      <c r="I85" s="1" t="n"/>
    </row>
    <row r="86" ht="15" customHeight="1" s="201">
      <c r="A86" s="16" t="inlineStr">
        <is>
          <t>Tier 2 Bonded GMP (Reseda + 3rd St)</t>
        </is>
      </c>
      <c r="B86" s="83" t="n">
        <v>86621402</v>
      </c>
      <c r="C86" s="1" t="n"/>
      <c r="D86" s="1" t="n"/>
      <c r="E86" s="1" t="n"/>
      <c r="F86" s="1" t="n"/>
      <c r="G86" s="1" t="n"/>
      <c r="H86" s="1" t="n"/>
      <c r="I86" s="1" t="n"/>
    </row>
    <row r="87" ht="15" customHeight="1" s="201">
      <c r="A87" s="16" t="inlineStr">
        <is>
          <t>Current Tier 2 Rate</t>
        </is>
      </c>
      <c r="B87" s="96" t="n">
        <v>0.0325</v>
      </c>
      <c r="C87" s="1" t="n"/>
      <c r="D87" s="1" t="n"/>
      <c r="E87" s="1" t="n"/>
      <c r="F87" s="1" t="n"/>
      <c r="G87" s="1" t="n"/>
      <c r="H87" s="1" t="n"/>
      <c r="I87" s="1" t="n"/>
    </row>
    <row r="88" ht="15" customHeight="1" s="201">
      <c r="A88" s="16" t="inlineStr">
        <is>
          <t>Proposed Tier 2 Rate</t>
        </is>
      </c>
      <c r="B88" s="76" t="n">
        <v>0.015</v>
      </c>
      <c r="C88" s="1" t="n"/>
      <c r="D88" s="1" t="n"/>
      <c r="E88" s="1" t="n"/>
      <c r="F88" s="1" t="n"/>
      <c r="G88" s="1" t="n"/>
      <c r="H88" s="1" t="n"/>
      <c r="I88" s="1" t="n"/>
    </row>
    <row r="89" ht="15" customHeight="1" s="201">
      <c r="A89" s="6" t="n"/>
      <c r="B89" s="6" t="inlineStr">
        <is>
          <t>FY 2026</t>
        </is>
      </c>
      <c r="C89" s="6" t="inlineStr">
        <is>
          <t>FY 2027</t>
        </is>
      </c>
      <c r="D89" s="6" t="inlineStr">
        <is>
          <t>FY 2028</t>
        </is>
      </c>
      <c r="E89" s="6" t="inlineStr">
        <is>
          <t>FY 2029</t>
        </is>
      </c>
      <c r="F89" s="6" t="inlineStr">
        <is>
          <t>Total</t>
        </is>
      </c>
      <c r="G89" s="1" t="n"/>
      <c r="H89" s="1" t="n"/>
      <c r="I89" s="1" t="n"/>
    </row>
    <row r="90" ht="15" customHeight="1" s="201">
      <c r="A90" s="69" t="inlineStr">
        <is>
          <t>Current Cost (3.25%)</t>
        </is>
      </c>
      <c r="B90" s="70" t="n">
        <v>0</v>
      </c>
      <c r="C90" s="70" t="n">
        <v>-956261</v>
      </c>
      <c r="D90" s="70" t="n">
        <v>-1465718</v>
      </c>
      <c r="E90" s="70" t="n">
        <v>-967911</v>
      </c>
      <c r="F90" s="70" t="n">
        <v>-3389890</v>
      </c>
      <c r="G90" s="1" t="n"/>
      <c r="H90" s="1" t="n"/>
      <c r="I90" s="1" t="n"/>
    </row>
    <row r="91" ht="15" customHeight="1" s="201">
      <c r="A91" s="84" t="inlineStr">
        <is>
          <t>Reduced Cost (1.50%)</t>
        </is>
      </c>
      <c r="B91" s="66" t="n">
        <v>0</v>
      </c>
      <c r="C91" s="66" t="n">
        <v>-441351</v>
      </c>
      <c r="D91" s="66" t="n">
        <v>-676485</v>
      </c>
      <c r="E91" s="66" t="n">
        <v>-446728</v>
      </c>
      <c r="F91" s="66" t="n">
        <v>-1564564</v>
      </c>
      <c r="G91" s="1" t="n"/>
      <c r="H91" s="1" t="n"/>
      <c r="I91" s="1" t="n"/>
    </row>
    <row r="92" ht="15" customHeight="1" s="201">
      <c r="A92" s="28" t="inlineStr">
        <is>
          <t>Annual Savings</t>
        </is>
      </c>
      <c r="B92" s="67" t="n">
        <v>0</v>
      </c>
      <c r="C92" s="67" t="n">
        <v>514910</v>
      </c>
      <c r="D92" s="67" t="n">
        <v>789233</v>
      </c>
      <c r="E92" s="67" t="n">
        <v>521183</v>
      </c>
      <c r="F92" s="67" t="n">
        <v>1825325</v>
      </c>
      <c r="G92" s="1" t="n"/>
      <c r="H92" s="1" t="n"/>
      <c r="I92" s="1" t="n"/>
    </row>
    <row r="93" ht="15" customHeight="1" s="20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" customHeight="1" s="20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" customHeight="1" s="201">
      <c r="A95" s="2" t="inlineStr">
        <is>
          <t>BONDING LIQUIDITY — 2.5% of Outstanding</t>
        </is>
      </c>
      <c r="B95" s="2" t="n"/>
      <c r="C95" s="2" t="n"/>
      <c r="D95" s="2" t="n"/>
      <c r="E95" s="2" t="n"/>
      <c r="F95" s="2" t="n"/>
      <c r="G95" s="2" t="n"/>
      <c r="H95" s="1" t="n"/>
      <c r="I95" s="1" t="n"/>
    </row>
    <row r="96" ht="15" customHeight="1" s="201">
      <c r="A96" s="61" t="inlineStr">
        <is>
          <t>Assumes 2.5% liquidity required on total bonding outstanding. Tax distributions estimated at ~5% of GC NI.</t>
        </is>
      </c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" customHeight="1" s="201">
      <c r="A97" s="6" t="n"/>
      <c r="B97" s="6" t="inlineStr">
        <is>
          <t>FY 2026</t>
        </is>
      </c>
      <c r="C97" s="6" t="inlineStr">
        <is>
          <t>FY 2027</t>
        </is>
      </c>
      <c r="D97" s="6" t="inlineStr">
        <is>
          <t>FY 2028</t>
        </is>
      </c>
      <c r="E97" s="6" t="inlineStr">
        <is>
          <t>FY 2029</t>
        </is>
      </c>
      <c r="F97" s="1" t="n"/>
      <c r="G97" s="1" t="n"/>
      <c r="H97" s="1" t="n"/>
      <c r="I97" s="1" t="n"/>
    </row>
    <row r="98" ht="15" customHeight="1" s="201">
      <c r="A98" s="16" t="inlineStr">
        <is>
          <t>Bonding Outstanding (Year-End)</t>
        </is>
      </c>
      <c r="B98" s="79">
        <f>'Annual Summary'!B39</f>
        <v/>
      </c>
      <c r="C98" s="79">
        <f>'Annual Summary'!C39</f>
        <v/>
      </c>
      <c r="D98" s="79">
        <f>'Annual Summary'!D39</f>
        <v/>
      </c>
      <c r="E98" s="79">
        <f>'Annual Summary'!E39</f>
        <v/>
      </c>
      <c r="F98" s="1" t="n"/>
      <c r="G98" s="1" t="n"/>
      <c r="H98" s="1" t="n"/>
      <c r="I98" s="1" t="n"/>
    </row>
    <row r="99" ht="15" customHeight="1" s="201">
      <c r="A99" s="69" t="inlineStr">
        <is>
          <t>2.5% Liquidity Requirement</t>
        </is>
      </c>
      <c r="B99" s="70">
        <f>B98*0.025</f>
        <v/>
      </c>
      <c r="C99" s="70">
        <f>C98*0.025</f>
        <v/>
      </c>
      <c r="D99" s="70">
        <f>D98*0.025</f>
        <v/>
      </c>
      <c r="E99" s="70">
        <f>E98*0.025</f>
        <v/>
      </c>
      <c r="F99" s="1" t="n"/>
      <c r="G99" s="1" t="n"/>
      <c r="H99" s="1" t="n"/>
      <c r="I99" s="1" t="n"/>
    </row>
    <row r="100" ht="15" customHeight="1" s="201">
      <c r="A100" s="16" t="inlineStr">
        <is>
          <t>Total Ending Cash (Baseline)</t>
        </is>
      </c>
      <c r="B100" s="79">
        <f>'Annual Summary'!B43</f>
        <v/>
      </c>
      <c r="C100" s="79">
        <f>'Annual Summary'!C43</f>
        <v/>
      </c>
      <c r="D100" s="79">
        <f>'Annual Summary'!D43</f>
        <v/>
      </c>
      <c r="E100" s="79">
        <f>'Annual Summary'!E43</f>
        <v/>
      </c>
      <c r="F100" s="1" t="n"/>
      <c r="G100" s="1" t="n"/>
      <c r="H100" s="1" t="n"/>
      <c r="I100" s="1" t="n"/>
    </row>
    <row r="101" ht="15" customHeight="1" s="201">
      <c r="A101" s="16" t="inlineStr">
        <is>
          <t>Est. Tax Distributions (~5% of GC NI)</t>
        </is>
      </c>
      <c r="B101" s="79">
        <f>'Annual Summary'!B15*0.05</f>
        <v/>
      </c>
      <c r="C101" s="79">
        <f>'Annual Summary'!C15*0.05</f>
        <v/>
      </c>
      <c r="D101" s="79">
        <f>'Annual Summary'!D15*0.05</f>
        <v/>
      </c>
      <c r="E101" s="79">
        <f>'Annual Summary'!E15*0.05</f>
        <v/>
      </c>
      <c r="F101" s="1" t="n"/>
      <c r="G101" s="1" t="n"/>
      <c r="H101" s="1" t="n"/>
      <c r="I101" s="1" t="n"/>
    </row>
    <row r="102" ht="15" customHeight="1" s="201">
      <c r="A102" s="16" t="inlineStr">
        <is>
          <t>Cash After Tax Distributions</t>
        </is>
      </c>
      <c r="B102" s="79">
        <f>B100+B101</f>
        <v/>
      </c>
      <c r="C102" s="79">
        <f>C100+C101</f>
        <v/>
      </c>
      <c r="D102" s="79">
        <f>D100+D101</f>
        <v/>
      </c>
      <c r="E102" s="79">
        <f>E100+E101</f>
        <v/>
      </c>
      <c r="F102" s="1" t="n"/>
      <c r="G102" s="1" t="n"/>
      <c r="H102" s="1" t="n"/>
      <c r="I102" s="1" t="n"/>
    </row>
    <row r="103" ht="15" customHeight="1" s="201">
      <c r="A103" s="28" t="inlineStr">
        <is>
          <t>Surplus / (Shortfall) vs Requirement</t>
        </is>
      </c>
      <c r="B103" s="67">
        <f>B102-B99</f>
        <v/>
      </c>
      <c r="C103" s="67">
        <f>C102-C99</f>
        <v/>
      </c>
      <c r="D103" s="67">
        <f>D102-D99</f>
        <v/>
      </c>
      <c r="E103" s="67">
        <f>E102-E99</f>
        <v/>
      </c>
      <c r="F103" s="1" t="n"/>
      <c r="G103" s="1" t="n"/>
      <c r="H103" s="1" t="n"/>
      <c r="I103" s="1" t="n"/>
    </row>
    <row r="104" ht="15" customHeight="1" s="20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" customHeight="1" s="20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" customHeight="1" s="201">
      <c r="A106" s="2" t="inlineStr">
        <is>
          <t>HVN PIPELINE — ESTIMATED GC REVENUE (3 New Deals)</t>
        </is>
      </c>
      <c r="B106" s="2" t="n"/>
      <c r="C106" s="2" t="n"/>
      <c r="D106" s="2" t="n"/>
      <c r="E106" s="2" t="n"/>
      <c r="F106" s="2" t="n"/>
      <c r="G106" s="2" t="n"/>
      <c r="H106" s="1" t="n"/>
      <c r="I106" s="1" t="n"/>
    </row>
    <row r="107" ht="15" customHeight="1" s="201">
      <c r="A107" s="16" t="inlineStr">
        <is>
          <t>Avg GMP (Califa/Whipple/Denny/Lexington/Acama)</t>
        </is>
      </c>
      <c r="B107" s="83" t="n">
        <v>15179956</v>
      </c>
      <c r="C107" s="1" t="n"/>
      <c r="D107" s="1" t="n"/>
      <c r="E107" s="1" t="n"/>
      <c r="F107" s="1" t="n"/>
      <c r="G107" s="1" t="n"/>
      <c r="H107" s="1" t="n"/>
      <c r="I107" s="1" t="n"/>
    </row>
    <row r="108" ht="15" customHeight="1" s="201">
      <c r="A108" s="16" t="inlineStr">
        <is>
          <t>Effective GC Revenue Rate on GMP</t>
        </is>
      </c>
      <c r="B108" s="96" t="n">
        <v>0.1136</v>
      </c>
      <c r="C108" s="1" t="n"/>
      <c r="D108" s="1" t="n"/>
      <c r="E108" s="1" t="n"/>
      <c r="F108" s="1" t="n"/>
      <c r="G108" s="1" t="n"/>
      <c r="H108" s="1" t="n"/>
      <c r="I108" s="1" t="n"/>
    </row>
    <row r="109" ht="15" customHeight="1" s="201">
      <c r="A109" s="16" t="inlineStr">
        <is>
          <t>Revenue Per Deal (over project life)</t>
        </is>
      </c>
      <c r="B109" s="68" t="n">
        <v>1724443</v>
      </c>
      <c r="C109" s="1" t="n"/>
      <c r="D109" s="1" t="n"/>
      <c r="E109" s="1" t="n"/>
      <c r="F109" s="1" t="n"/>
      <c r="G109" s="1" t="n"/>
      <c r="H109" s="1" t="n"/>
      <c r="I109" s="1" t="n"/>
    </row>
    <row r="110" ht="15" customHeight="1" s="201">
      <c r="A110" s="16" t="inlineStr">
        <is>
          <t>Number of New Deals (2 R2 + 1 R3)</t>
        </is>
      </c>
      <c r="B110" s="97" t="n">
        <v>3</v>
      </c>
      <c r="C110" s="1" t="n"/>
      <c r="D110" s="1" t="n"/>
      <c r="E110" s="1" t="n"/>
      <c r="F110" s="1" t="n"/>
      <c r="G110" s="1" t="n"/>
      <c r="H110" s="1" t="n"/>
      <c r="I110" s="1" t="n"/>
    </row>
    <row r="111" ht="15" customHeight="1" s="201">
      <c r="A111" s="28" t="inlineStr">
        <is>
          <t>Total New Pipeline GMP (3 deals)</t>
        </is>
      </c>
      <c r="B111" s="67" t="n">
        <v>45539868</v>
      </c>
      <c r="C111" s="28" t="n"/>
      <c r="D111" s="28" t="n"/>
      <c r="E111" s="28" t="n"/>
      <c r="F111" s="28" t="n"/>
      <c r="G111" s="1" t="n"/>
      <c r="H111" s="1" t="n"/>
      <c r="I111" s="1" t="n"/>
    </row>
    <row r="112" ht="15" customHeight="1" s="20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" customHeight="1" s="201">
      <c r="A113" s="60" t="inlineStr">
        <is>
          <t>Estimated Revenue Timeline (3 deals):</t>
        </is>
      </c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" customHeight="1" s="201">
      <c r="A114" s="6" t="n"/>
      <c r="B114" s="6" t="inlineStr">
        <is>
          <t>FY 2027</t>
        </is>
      </c>
      <c r="C114" s="6" t="inlineStr">
        <is>
          <t>FY 2028</t>
        </is>
      </c>
      <c r="D114" s="6" t="inlineStr">
        <is>
          <t>FY 2029</t>
        </is>
      </c>
      <c r="E114" s="6" t="inlineStr">
        <is>
          <t>FY 2030</t>
        </is>
      </c>
      <c r="F114" s="6" t="inlineStr">
        <is>
          <t>Total</t>
        </is>
      </c>
      <c r="G114" s="1" t="n"/>
      <c r="H114" s="1" t="n"/>
      <c r="I114" s="1" t="n"/>
    </row>
    <row r="115" ht="15" customHeight="1" s="201">
      <c r="A115" s="16" t="inlineStr">
        <is>
          <t>2 Round 2 Deals (close ~Q3 FY27)</t>
        </is>
      </c>
      <c r="B115" s="79" t="n">
        <v>0</v>
      </c>
      <c r="C115" s="79" t="n">
        <v>1896887</v>
      </c>
      <c r="D115" s="79" t="n">
        <v>1379554</v>
      </c>
      <c r="E115" s="79" t="n">
        <v>172444</v>
      </c>
      <c r="F115" s="68" t="n">
        <v>3448885</v>
      </c>
      <c r="G115" s="1" t="n"/>
      <c r="H115" s="1" t="n"/>
      <c r="I115" s="1" t="n"/>
    </row>
    <row r="116" ht="15" customHeight="1" s="201">
      <c r="A116" s="16" t="inlineStr">
        <is>
          <t>1 Round 3 Deal (close ~Q1 FY28)</t>
        </is>
      </c>
      <c r="B116" s="79" t="n">
        <v>0</v>
      </c>
      <c r="C116" s="79" t="n">
        <v>603555</v>
      </c>
      <c r="D116" s="79" t="n">
        <v>948444</v>
      </c>
      <c r="E116" s="79" t="n">
        <v>172444</v>
      </c>
      <c r="F116" s="68" t="n">
        <v>1724443</v>
      </c>
      <c r="G116" s="1" t="n"/>
      <c r="H116" s="1" t="n"/>
      <c r="I116" s="1" t="n"/>
    </row>
    <row r="117" ht="15" customHeight="1" s="201">
      <c r="A117" s="28" t="inlineStr">
        <is>
          <t>Total New HVN Revenue</t>
        </is>
      </c>
      <c r="B117" s="67" t="n">
        <v>0</v>
      </c>
      <c r="C117" s="67" t="n">
        <v>2500442</v>
      </c>
      <c r="D117" s="67" t="n">
        <v>2327998</v>
      </c>
      <c r="E117" s="67" t="n">
        <v>344888</v>
      </c>
      <c r="F117" s="67" t="n">
        <v>5173328</v>
      </c>
      <c r="G117" s="1" t="n"/>
      <c r="H117" s="1" t="n"/>
      <c r="I117" s="1" t="n"/>
    </row>
    <row r="118" ht="15" customHeight="1" s="20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" customHeight="1" s="201">
      <c r="A119" s="61" t="inlineStr">
        <is>
          <t>FY28 revenue gap to breakeven: 1,225,136 → New pipeline covers 204%</t>
        </is>
      </c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" customHeight="1" s="20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" customHeight="1" s="20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" customHeight="1" s="201">
      <c r="A122" s="2" t="inlineStr">
        <is>
          <t>PREFERRED EQUITY (PIK) — PAYOFF &amp; STEYN RETURNS</t>
        </is>
      </c>
      <c r="B122" s="2" t="n"/>
      <c r="C122" s="2" t="n"/>
      <c r="D122" s="2" t="n"/>
      <c r="E122" s="2" t="n"/>
      <c r="F122" s="2" t="n"/>
      <c r="G122" s="2" t="n"/>
      <c r="H122" s="1" t="n"/>
      <c r="I122" s="1" t="n"/>
    </row>
    <row r="123" ht="15" customHeight="1" s="201">
      <c r="A123" s="61" t="inlineStr">
        <is>
          <t>Reseda is the only active PIK investment. Capital accrues at 15%/yr (3.75% quarterly). Repaid from LIHTC revenue after Steyn fees.</t>
        </is>
      </c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" customHeight="1" s="201">
      <c r="A124" s="6" t="n"/>
      <c r="B124" s="6" t="inlineStr">
        <is>
          <t>Amount</t>
        </is>
      </c>
      <c r="C124" s="6" t="inlineStr">
        <is>
          <t>Date / Month</t>
        </is>
      </c>
      <c r="D124" s="6" t="inlineStr">
        <is>
          <t>Notes</t>
        </is>
      </c>
      <c r="E124" s="1" t="n"/>
      <c r="F124" s="1" t="n"/>
      <c r="G124" s="1" t="n"/>
      <c r="H124" s="1" t="n"/>
      <c r="I124" s="1" t="n"/>
    </row>
    <row r="125" ht="15" customHeight="1" s="201">
      <c r="A125" s="16" t="inlineStr">
        <is>
          <t>Reseda — Capital Invested</t>
        </is>
      </c>
      <c r="B125" s="83" t="n">
        <v>1450000</v>
      </c>
      <c r="C125" s="25" t="inlineStr">
        <is>
          <t>Apr 2026 (Pre-model)</t>
        </is>
      </c>
      <c r="D125" s="61" t="inlineStr">
        <is>
          <t>Full amount deployed before model start</t>
        </is>
      </c>
      <c r="E125" s="1" t="n"/>
      <c r="F125" s="1" t="n"/>
      <c r="G125" s="1" t="n"/>
      <c r="H125" s="1" t="n"/>
      <c r="I125" s="1" t="n"/>
    </row>
    <row r="126" ht="15" customHeight="1" s="201">
      <c r="A126" s="16" t="inlineStr">
        <is>
          <t>Deal Distribution (Reseda)</t>
        </is>
      </c>
      <c r="B126" s="70" t="n">
        <v>-1450000</v>
      </c>
      <c r="C126" s="25" t="inlineStr">
        <is>
          <t>Apr 2027 (Mo 13)</t>
        </is>
      </c>
      <c r="D126" s="61" t="inlineStr">
        <is>
          <t>Returned at Reseda project start</t>
        </is>
      </c>
      <c r="E126" s="1" t="n"/>
      <c r="F126" s="1" t="n"/>
      <c r="G126" s="1" t="n"/>
      <c r="H126" s="1" t="n"/>
      <c r="I126" s="1" t="n"/>
    </row>
    <row r="127" ht="15" customHeight="1" s="201">
      <c r="A127" s="16" t="inlineStr">
        <is>
          <t>Remaining Balance (after dist)</t>
        </is>
      </c>
      <c r="B127" s="1" t="n"/>
      <c r="C127" s="25" t="inlineStr">
        <is>
          <t>Apr 2027</t>
        </is>
      </c>
      <c r="D127" s="61" t="inlineStr">
        <is>
          <t>Reduced balance accrues interest</t>
        </is>
      </c>
      <c r="E127" s="1" t="n"/>
      <c r="F127" s="1" t="n"/>
      <c r="G127" s="1" t="n"/>
      <c r="H127" s="1" t="n"/>
      <c r="I127" s="1" t="n"/>
    </row>
    <row r="128" ht="15" customHeight="1" s="201">
      <c r="A128" s="28" t="inlineStr">
        <is>
          <t>PIK Fully Paid Off</t>
        </is>
      </c>
      <c r="B128" s="67" t="n">
        <v>0</v>
      </c>
      <c r="C128" s="28" t="inlineStr">
        <is>
          <t>Apr 2030 (Mo 50)</t>
        </is>
      </c>
      <c r="D128" s="28" t="inlineStr">
        <is>
          <t>Repaid from LIHTC revenue after Steyn fees</t>
        </is>
      </c>
      <c r="E128" s="1" t="n"/>
      <c r="F128" s="1" t="n"/>
      <c r="G128" s="1" t="n"/>
      <c r="H128" s="1" t="n"/>
      <c r="I128" s="1" t="n"/>
    </row>
    <row r="129" ht="15" customHeight="1" s="20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" customHeight="1" s="201">
      <c r="A130" s="16" t="inlineStr">
        <is>
          <t>Total Interest Earned by Steyn</t>
        </is>
      </c>
      <c r="B130" s="98" t="n">
        <v>362885</v>
      </c>
      <c r="C130" s="25" t="inlineStr">
        <is>
          <t>Over 50 months</t>
        </is>
      </c>
      <c r="D130" s="61" t="inlineStr">
        <is>
          <t>15% annual accrual on outstanding balance</t>
        </is>
      </c>
      <c r="E130" s="1" t="n"/>
      <c r="F130" s="1" t="n"/>
      <c r="G130" s="1" t="n"/>
      <c r="H130" s="1" t="n"/>
      <c r="I130" s="1" t="n"/>
    </row>
    <row r="131" ht="15" customHeight="1" s="201">
      <c r="A131" s="28" t="inlineStr">
        <is>
          <t>Total Returned to Steyn</t>
        </is>
      </c>
      <c r="B131" s="67" t="n">
        <v>1812885</v>
      </c>
      <c r="C131" s="28" t="inlineStr">
        <is>
          <t>By Apr 2030</t>
        </is>
      </c>
      <c r="D131" s="28" t="inlineStr">
        <is>
          <t>Principal + interest = 1.25x return</t>
        </is>
      </c>
      <c r="E131" s="1" t="n"/>
      <c r="F131" s="1" t="n"/>
      <c r="G131" s="1" t="n"/>
      <c r="H131" s="1" t="n"/>
      <c r="I131" s="1" t="n"/>
    </row>
    <row r="132" ht="15" customHeight="1" s="20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</sheetData>
  <mergeCells count="1"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2C3A51"/>
    <outlinePr summaryBelow="1" summaryRight="1"/>
    <pageSetUpPr/>
  </sheetPr>
  <dimension ref="A1:AO9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20" customWidth="1" style="201" min="1" max="1"/>
  </cols>
  <sheetData>
    <row r="1" ht="15" customHeight="1" s="201">
      <c r="A1" s="2" t="inlineStr">
        <is>
          <t>Curve</t>
        </is>
      </c>
      <c r="B1" s="3" t="inlineStr">
        <is>
          <t>Mo 1</t>
        </is>
      </c>
      <c r="C1" s="3" t="inlineStr">
        <is>
          <t>Mo 2</t>
        </is>
      </c>
      <c r="D1" s="3" t="inlineStr">
        <is>
          <t>Mo 3</t>
        </is>
      </c>
      <c r="E1" s="3" t="inlineStr">
        <is>
          <t>Mo 4</t>
        </is>
      </c>
      <c r="F1" s="3" t="inlineStr">
        <is>
          <t>Mo 5</t>
        </is>
      </c>
      <c r="G1" s="3" t="inlineStr">
        <is>
          <t>Mo 6</t>
        </is>
      </c>
      <c r="H1" s="3" t="inlineStr">
        <is>
          <t>Mo 7</t>
        </is>
      </c>
      <c r="I1" s="3" t="inlineStr">
        <is>
          <t>Mo 8</t>
        </is>
      </c>
      <c r="J1" s="3" t="inlineStr">
        <is>
          <t>Mo 9</t>
        </is>
      </c>
      <c r="K1" s="3" t="inlineStr">
        <is>
          <t>Mo 10</t>
        </is>
      </c>
      <c r="L1" s="3" t="inlineStr">
        <is>
          <t>Mo 11</t>
        </is>
      </c>
      <c r="M1" s="3" t="inlineStr">
        <is>
          <t>Mo 12</t>
        </is>
      </c>
      <c r="N1" s="3" t="inlineStr">
        <is>
          <t>Mo 13</t>
        </is>
      </c>
      <c r="O1" s="3" t="inlineStr">
        <is>
          <t>Mo 14</t>
        </is>
      </c>
      <c r="P1" s="3" t="inlineStr">
        <is>
          <t>Mo 15</t>
        </is>
      </c>
      <c r="Q1" s="3" t="inlineStr">
        <is>
          <t>Mo 16</t>
        </is>
      </c>
      <c r="R1" s="3" t="inlineStr">
        <is>
          <t>Mo 17</t>
        </is>
      </c>
      <c r="S1" s="3" t="inlineStr">
        <is>
          <t>Mo 18</t>
        </is>
      </c>
      <c r="T1" s="3" t="inlineStr">
        <is>
          <t>Mo 19</t>
        </is>
      </c>
      <c r="U1" s="3" t="inlineStr">
        <is>
          <t>Mo 20</t>
        </is>
      </c>
      <c r="V1" s="3" t="inlineStr">
        <is>
          <t>Mo 21</t>
        </is>
      </c>
      <c r="W1" s="3" t="inlineStr">
        <is>
          <t>Mo 22</t>
        </is>
      </c>
      <c r="X1" s="3" t="inlineStr">
        <is>
          <t>Mo 23</t>
        </is>
      </c>
      <c r="Y1" s="3" t="inlineStr">
        <is>
          <t>Mo 24</t>
        </is>
      </c>
      <c r="Z1" s="3" t="inlineStr">
        <is>
          <t>Mo 25</t>
        </is>
      </c>
      <c r="AA1" s="3" t="inlineStr">
        <is>
          <t>Mo 26</t>
        </is>
      </c>
      <c r="AB1" s="3" t="inlineStr">
        <is>
          <t>Mo 27</t>
        </is>
      </c>
      <c r="AC1" s="3" t="inlineStr">
        <is>
          <t>Mo 28</t>
        </is>
      </c>
      <c r="AD1" s="3" t="inlineStr">
        <is>
          <t>Mo 29</t>
        </is>
      </c>
      <c r="AE1" s="3" t="inlineStr">
        <is>
          <t>Mo 30</t>
        </is>
      </c>
      <c r="AF1" s="3" t="inlineStr">
        <is>
          <t>Mo 31</t>
        </is>
      </c>
      <c r="AG1" s="3" t="inlineStr">
        <is>
          <t>Mo 32</t>
        </is>
      </c>
      <c r="AH1" s="3" t="inlineStr">
        <is>
          <t>Mo 33</t>
        </is>
      </c>
      <c r="AI1" s="3" t="inlineStr">
        <is>
          <t>Mo 34</t>
        </is>
      </c>
      <c r="AJ1" s="3" t="inlineStr">
        <is>
          <t>Mo 35</t>
        </is>
      </c>
      <c r="AK1" s="3" t="inlineStr">
        <is>
          <t>Mo 36</t>
        </is>
      </c>
      <c r="AL1" s="3" t="inlineStr">
        <is>
          <t>Mo 37</t>
        </is>
      </c>
      <c r="AM1" s="3" t="inlineStr">
        <is>
          <t>Mo 38</t>
        </is>
      </c>
      <c r="AN1" s="3" t="inlineStr">
        <is>
          <t>Mo 39</t>
        </is>
      </c>
      <c r="AO1" s="3" t="inlineStr">
        <is>
          <t>Mo 40</t>
        </is>
      </c>
    </row>
    <row r="2" ht="15" customHeight="1" s="201">
      <c r="A2" s="99" t="inlineStr">
        <is>
          <t>Curve 1</t>
        </is>
      </c>
      <c r="B2" s="100" t="n">
        <v>0.016101</v>
      </c>
      <c r="C2" s="100" t="n">
        <v>0.018518</v>
      </c>
      <c r="D2" s="100" t="n">
        <v>0.021087</v>
      </c>
      <c r="E2" s="100" t="n">
        <v>0.023773</v>
      </c>
      <c r="F2" s="100" t="n">
        <v>0.026535</v>
      </c>
      <c r="G2" s="100" t="n">
        <v>0.029323</v>
      </c>
      <c r="H2" s="100" t="n">
        <v>0.032082</v>
      </c>
      <c r="I2" s="100" t="n">
        <v>0.034752</v>
      </c>
      <c r="J2" s="100" t="n">
        <v>0.037269</v>
      </c>
      <c r="K2" s="100" t="n">
        <v>0.039572</v>
      </c>
      <c r="L2" s="100" t="n">
        <v>0.041599</v>
      </c>
      <c r="M2" s="100" t="n">
        <v>0.043295</v>
      </c>
      <c r="N2" s="100" t="n">
        <v>0.044613</v>
      </c>
      <c r="O2" s="100" t="n">
        <v>0.045513</v>
      </c>
      <c r="P2" s="100" t="n">
        <v>0.04597</v>
      </c>
      <c r="Q2" s="100" t="n">
        <v>0.04597</v>
      </c>
      <c r="R2" s="100" t="n">
        <v>0.045513</v>
      </c>
      <c r="S2" s="100" t="n">
        <v>0.044613</v>
      </c>
      <c r="T2" s="100" t="n">
        <v>0.043295</v>
      </c>
      <c r="U2" s="100" t="n">
        <v>0.041599</v>
      </c>
      <c r="V2" s="100" t="n">
        <v>0.039572</v>
      </c>
      <c r="W2" s="100" t="n">
        <v>0.037269</v>
      </c>
      <c r="X2" s="100" t="n">
        <v>0.034752</v>
      </c>
      <c r="Y2" s="100" t="n">
        <v>0.032082</v>
      </c>
      <c r="Z2" s="100" t="n">
        <v>0.029323</v>
      </c>
      <c r="AA2" s="100" t="n">
        <v>0.026535</v>
      </c>
      <c r="AB2" s="100" t="n">
        <v>0.023773</v>
      </c>
      <c r="AC2" s="100" t="n">
        <v>0.021087</v>
      </c>
      <c r="AD2" s="100" t="n">
        <v>0.018518</v>
      </c>
      <c r="AE2" s="100" t="n">
        <v>0.016101</v>
      </c>
    </row>
    <row r="3" ht="15" customHeight="1" s="201">
      <c r="A3" s="99" t="inlineStr">
        <is>
          <t>Curve 2</t>
        </is>
      </c>
      <c r="B3" s="100" t="n">
        <v>0.020497</v>
      </c>
      <c r="C3" s="100" t="n">
        <v>0.024336</v>
      </c>
      <c r="D3" s="100" t="n">
        <v>0.028445</v>
      </c>
      <c r="E3" s="100" t="n">
        <v>0.032735</v>
      </c>
      <c r="F3" s="100" t="n">
        <v>0.037087</v>
      </c>
      <c r="G3" s="100" t="n">
        <v>0.041368</v>
      </c>
      <c r="H3" s="100" t="n">
        <v>0.045428</v>
      </c>
      <c r="I3" s="100" t="n">
        <v>0.049114</v>
      </c>
      <c r="J3" s="100" t="n">
        <v>0.052278</v>
      </c>
      <c r="K3" s="100" t="n">
        <v>0.054783</v>
      </c>
      <c r="L3" s="100" t="n">
        <v>0.05652</v>
      </c>
      <c r="M3" s="100" t="n">
        <v>0.057409</v>
      </c>
      <c r="N3" s="100" t="n">
        <v>0.057409</v>
      </c>
      <c r="O3" s="100" t="n">
        <v>0.05652</v>
      </c>
      <c r="P3" s="100" t="n">
        <v>0.054783</v>
      </c>
      <c r="Q3" s="100" t="n">
        <v>0.052278</v>
      </c>
      <c r="R3" s="100" t="n">
        <v>0.049114</v>
      </c>
      <c r="S3" s="100" t="n">
        <v>0.045428</v>
      </c>
      <c r="T3" s="100" t="n">
        <v>0.041368</v>
      </c>
      <c r="U3" s="100" t="n">
        <v>0.037087</v>
      </c>
      <c r="V3" s="100" t="n">
        <v>0.032735</v>
      </c>
      <c r="W3" s="100" t="n">
        <v>0.028445</v>
      </c>
      <c r="X3" s="100" t="n">
        <v>0.024336</v>
      </c>
      <c r="Y3" s="100" t="n">
        <v>0.020497</v>
      </c>
    </row>
    <row r="4" ht="15" customHeight="1" s="201">
      <c r="A4" s="99" t="inlineStr">
        <is>
          <t>Curve 3</t>
        </is>
      </c>
      <c r="B4" s="100" t="n">
        <v>0.026517</v>
      </c>
      <c r="C4" s="100" t="n">
        <v>0.032761</v>
      </c>
      <c r="D4" s="100" t="n">
        <v>0.039482</v>
      </c>
      <c r="E4" s="100" t="n">
        <v>0.046412</v>
      </c>
      <c r="F4" s="100" t="n">
        <v>0.053218</v>
      </c>
      <c r="G4" s="100" t="n">
        <v>0.059522</v>
      </c>
      <c r="H4" s="100" t="n">
        <v>0.06493699999999999</v>
      </c>
      <c r="I4" s="100" t="n">
        <v>0.069104</v>
      </c>
      <c r="J4" s="100" t="n">
        <v>0.071732</v>
      </c>
      <c r="K4" s="100" t="n">
        <v>0.07263</v>
      </c>
      <c r="L4" s="100" t="n">
        <v>0.071732</v>
      </c>
      <c r="M4" s="100" t="n">
        <v>0.069104</v>
      </c>
      <c r="N4" s="100" t="n">
        <v>0.06493699999999999</v>
      </c>
      <c r="O4" s="100" t="n">
        <v>0.059522</v>
      </c>
      <c r="P4" s="100" t="n">
        <v>0.053218</v>
      </c>
      <c r="Q4" s="100" t="n">
        <v>0.046412</v>
      </c>
      <c r="R4" s="100" t="n">
        <v>0.039482</v>
      </c>
      <c r="S4" s="100" t="n">
        <v>0.032761</v>
      </c>
      <c r="T4" s="100" t="n">
        <v>0.026517</v>
      </c>
    </row>
    <row r="5" ht="15" customHeight="1" s="201">
      <c r="A5" s="101" t="inlineStr">
        <is>
          <t>Renormalized (In-Place)</t>
        </is>
      </c>
    </row>
    <row r="6" ht="15" customHeight="1" s="201">
      <c r="A6" s="99" t="inlineStr">
        <is>
          <t>Crenshaw</t>
        </is>
      </c>
      <c r="B6" s="100" t="n">
        <v>0.176029532991649</v>
      </c>
      <c r="C6" s="100" t="n">
        <v>0.162818536970001</v>
      </c>
      <c r="D6" s="100" t="n">
        <v>0.148267087201176</v>
      </c>
      <c r="E6" s="100" t="n">
        <v>0.1329235511272</v>
      </c>
      <c r="F6" s="100" t="n">
        <v>0.117325543887316</v>
      </c>
      <c r="G6" s="100" t="n">
        <v>0.101949750904986</v>
      </c>
      <c r="H6" s="100" t="n">
        <v>0.0872226801906742</v>
      </c>
      <c r="I6" s="100" t="n">
        <v>0.073463316726999</v>
      </c>
    </row>
    <row r="7" ht="15" customHeight="1" s="201">
      <c r="A7" s="99" t="inlineStr">
        <is>
          <t>Ramsgate</t>
        </is>
      </c>
      <c r="B7" s="100" t="n">
        <v>0.07250863396163609</v>
      </c>
      <c r="C7" s="100" t="n">
        <v>0.07598302334290349</v>
      </c>
      <c r="D7" s="100" t="n">
        <v>0.0783922107102734</v>
      </c>
      <c r="E7" s="100" t="n">
        <v>0.0796252375206314</v>
      </c>
      <c r="F7" s="100" t="n">
        <v>0.0796252375206314</v>
      </c>
      <c r="G7" s="100" t="n">
        <v>0.0783922107102734</v>
      </c>
      <c r="H7" s="100" t="n">
        <v>0.07598302334290349</v>
      </c>
      <c r="I7" s="100" t="n">
        <v>0.07250863396163609</v>
      </c>
      <c r="J7" s="100" t="n">
        <v>0.0681202235814644</v>
      </c>
      <c r="K7" s="100" t="n">
        <v>0.0630078087074717</v>
      </c>
      <c r="L7" s="100" t="n">
        <v>0.0573766626444195</v>
      </c>
      <c r="M7" s="100" t="n">
        <v>0.051438993606014</v>
      </c>
      <c r="N7" s="100" t="n">
        <v>0.0454028488605945</v>
      </c>
      <c r="O7" s="100" t="n">
        <v>0.0394526969860886</v>
      </c>
      <c r="P7" s="100" t="n">
        <v>0.0337535888153789</v>
      </c>
      <c r="Q7" s="100" t="n">
        <v>0.02842896572768</v>
      </c>
    </row>
    <row r="8" ht="15" customHeight="1" s="201">
      <c r="A8" s="99" t="inlineStr">
        <is>
          <t>Califa</t>
        </is>
      </c>
      <c r="B8" s="100" t="n">
        <v>0.0622557988273664</v>
      </c>
      <c r="C8" s="100" t="n">
        <v>0.0696303817844058</v>
      </c>
      <c r="D8" s="100" t="n">
        <v>0.07596498944816971</v>
      </c>
      <c r="E8" s="100" t="n">
        <v>0.0808396542930274</v>
      </c>
      <c r="F8" s="100" t="n">
        <v>0.0839139569597627</v>
      </c>
      <c r="G8" s="100" t="n">
        <v>0.0849644606868282</v>
      </c>
      <c r="H8" s="100" t="n">
        <v>0.0839139569597627</v>
      </c>
      <c r="I8" s="100" t="n">
        <v>0.0808396542930274</v>
      </c>
      <c r="J8" s="100" t="n">
        <v>0.07596498944816971</v>
      </c>
      <c r="K8" s="100" t="n">
        <v>0.0696303817844058</v>
      </c>
      <c r="L8" s="100" t="n">
        <v>0.0622557988273664</v>
      </c>
      <c r="M8" s="100" t="n">
        <v>0.0542939632300299</v>
      </c>
      <c r="N8" s="100" t="n">
        <v>0.0461870692115841</v>
      </c>
      <c r="O8" s="100" t="n">
        <v>0.038324668822266</v>
      </c>
      <c r="P8" s="100" t="n">
        <v>0.031020275423828</v>
      </c>
    </row>
    <row r="9" ht="15" customHeight="1" s="201">
      <c r="A9" s="99" t="inlineStr">
        <is>
          <t>Whipple</t>
        </is>
      </c>
      <c r="B9" s="100" t="n">
        <v>0.0622557988273664</v>
      </c>
      <c r="C9" s="100" t="n">
        <v>0.0696303817844058</v>
      </c>
      <c r="D9" s="100" t="n">
        <v>0.07596498944816971</v>
      </c>
      <c r="E9" s="100" t="n">
        <v>0.0808396542930274</v>
      </c>
      <c r="F9" s="100" t="n">
        <v>0.0839139569597627</v>
      </c>
      <c r="G9" s="100" t="n">
        <v>0.0849644606868282</v>
      </c>
      <c r="H9" s="100" t="n">
        <v>0.0839139569597627</v>
      </c>
      <c r="I9" s="100" t="n">
        <v>0.0808396542930274</v>
      </c>
      <c r="J9" s="100" t="n">
        <v>0.07596498944816971</v>
      </c>
      <c r="K9" s="100" t="n">
        <v>0.0696303817844058</v>
      </c>
      <c r="L9" s="100" t="n">
        <v>0.0622557988273664</v>
      </c>
      <c r="M9" s="100" t="n">
        <v>0.0542939632300299</v>
      </c>
      <c r="N9" s="100" t="n">
        <v>0.0461870692115841</v>
      </c>
      <c r="O9" s="100" t="n">
        <v>0.038324668822266</v>
      </c>
      <c r="P9" s="100" t="n">
        <v>0.031020275423828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2C3A51"/>
    <outlinePr summaryBelow="1" summaryRight="1"/>
    <pageSetUpPr/>
  </sheetPr>
  <dimension ref="A1:D77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40" customWidth="1" style="201" min="1" max="1"/>
    <col width="15" customWidth="1" style="201" min="2" max="2"/>
  </cols>
  <sheetData>
    <row r="1" ht="17.25" customHeight="1" s="201">
      <c r="A1" s="202" t="inlineStr">
        <is>
          <t>Six Peak Capital - Model Assumptions</t>
        </is>
      </c>
    </row>
    <row r="3" ht="15" customHeight="1" s="201">
      <c r="A3" s="6" t="inlineStr">
        <is>
          <t>GC Fee Structure</t>
        </is>
      </c>
      <c r="B3" s="6" t="n"/>
      <c r="C3" s="6" t="n"/>
      <c r="D3" s="6" t="n"/>
    </row>
    <row r="4" ht="15" customHeight="1" s="201">
      <c r="A4" s="99" t="inlineStr">
        <is>
          <t>Field Supervision Rate</t>
        </is>
      </c>
      <c r="B4" s="100" t="n">
        <v>0.06</v>
      </c>
    </row>
    <row r="5" ht="15" customHeight="1" s="201">
      <c r="A5" s="99" t="inlineStr">
        <is>
          <t>GC-CM Fee Rate</t>
        </is>
      </c>
      <c r="B5" s="100" t="n">
        <v>0.06</v>
      </c>
    </row>
    <row r="6" ht="15" customHeight="1" s="201">
      <c r="A6" s="99" t="inlineStr">
        <is>
          <t>Project Admin Rate</t>
        </is>
      </c>
      <c r="B6" s="100" t="n">
        <v>0.02</v>
      </c>
    </row>
    <row r="7" ht="15" customHeight="1" s="201">
      <c r="A7" s="99" t="inlineStr">
        <is>
          <t>Total Fee Rate</t>
        </is>
      </c>
      <c r="B7" s="102">
        <f>B4+B5+B6</f>
        <v/>
      </c>
    </row>
    <row r="8" ht="15" customHeight="1" s="201">
      <c r="A8" s="99" t="inlineStr">
        <is>
          <t>Overhead Rate</t>
        </is>
      </c>
      <c r="B8" s="100" t="n">
        <v>0.092</v>
      </c>
    </row>
    <row r="9" ht="15" customHeight="1" s="201">
      <c r="A9" s="99" t="inlineStr">
        <is>
          <t>Effective Revenue Rate on GMP</t>
        </is>
      </c>
      <c r="B9" s="102">
        <f>B7/(1+B7+B8)</f>
        <v/>
      </c>
    </row>
    <row r="10" ht="15" customHeight="1" s="201">
      <c r="A10" s="99" t="inlineStr">
        <is>
          <t>Supervision Rate on GMP</t>
        </is>
      </c>
      <c r="B10" s="102">
        <f>B4/(1+B7+B8)</f>
        <v/>
      </c>
    </row>
    <row r="11" ht="15" customHeight="1" s="201">
      <c r="A11" s="99" t="inlineStr">
        <is>
          <t>GC-CM Fee Rate on GMP</t>
        </is>
      </c>
      <c r="B11" s="102">
        <f>B5/(1+B7+B8)</f>
        <v/>
      </c>
    </row>
    <row r="12" ht="15" customHeight="1" s="201">
      <c r="A12" s="99" t="inlineStr">
        <is>
          <t>Admin Rate on GMP</t>
        </is>
      </c>
      <c r="B12" s="102">
        <f>B6/(1+B7+B8)</f>
        <v/>
      </c>
    </row>
    <row r="14" ht="15" customHeight="1" s="201">
      <c r="A14" s="6" t="inlineStr">
        <is>
          <t>Bonding</t>
        </is>
      </c>
      <c r="B14" s="6" t="n"/>
      <c r="C14" s="6" t="n"/>
      <c r="D14" s="6" t="n"/>
    </row>
    <row r="15" ht="15" customHeight="1" s="201">
      <c r="A15" s="99" t="inlineStr">
        <is>
          <t>Bonding Revenue Rate</t>
        </is>
      </c>
      <c r="B15" s="100" t="n">
        <v>0.015</v>
      </c>
    </row>
    <row r="16" ht="15" customHeight="1" s="201">
      <c r="A16" s="99" t="inlineStr">
        <is>
          <t>Tier 1 Bond Cost Rate</t>
        </is>
      </c>
      <c r="B16" s="100" t="n">
        <v>0.0074</v>
      </c>
    </row>
    <row r="17" ht="15" customHeight="1" s="201">
      <c r="A17" s="99" t="inlineStr">
        <is>
          <t>Tier 2 Bond Cost Rate</t>
        </is>
      </c>
      <c r="B17" s="100" t="n">
        <v>0.0325</v>
      </c>
    </row>
    <row r="19" ht="15" customHeight="1" s="201">
      <c r="A19" s="6" t="inlineStr">
        <is>
          <t>Payroll Burden Rates</t>
        </is>
      </c>
      <c r="B19" s="6" t="n"/>
      <c r="C19" s="6" t="n"/>
      <c r="D19" s="6" t="n"/>
    </row>
    <row r="20" ht="15" customHeight="1" s="201">
      <c r="A20" s="99" t="inlineStr">
        <is>
          <t>Payroll Tax Rate</t>
        </is>
      </c>
      <c r="B20" s="100" t="n">
        <v>0.07000000000000001</v>
      </c>
    </row>
    <row r="21" ht="15" customHeight="1" s="201">
      <c r="A21" s="99" t="inlineStr">
        <is>
          <t>Payroll Servicing Rate</t>
        </is>
      </c>
      <c r="B21" s="100" t="n">
        <v>0.005</v>
      </c>
    </row>
    <row r="22" ht="15" customHeight="1" s="201">
      <c r="A22" s="99" t="inlineStr">
        <is>
          <t>Employee Benefits Rate</t>
        </is>
      </c>
      <c r="B22" s="100" t="n">
        <v>0.07000000000000001</v>
      </c>
    </row>
    <row r="23" ht="15" customHeight="1" s="201">
      <c r="A23" s="99" t="inlineStr">
        <is>
          <t>Workers Comp Rate</t>
        </is>
      </c>
      <c r="B23" s="100" t="n">
        <v>0.02</v>
      </c>
    </row>
    <row r="25" ht="15" customHeight="1" s="201">
      <c r="A25" s="6" t="inlineStr">
        <is>
          <t>Expense Escalation</t>
        </is>
      </c>
      <c r="B25" s="6" t="n"/>
      <c r="C25" s="6" t="n"/>
      <c r="D25" s="6" t="n"/>
    </row>
    <row r="26" ht="15" customHeight="1" s="201">
      <c r="A26" s="99" t="inlineStr">
        <is>
          <t>Annual Expense Escalation Rate</t>
        </is>
      </c>
      <c r="B26" s="76" t="n">
        <v>0.02</v>
      </c>
    </row>
    <row r="28" ht="15" customHeight="1" s="201">
      <c r="A28" s="6" t="inlineStr">
        <is>
          <t>Beginning Cash Balances</t>
        </is>
      </c>
      <c r="B28" s="6" t="n"/>
      <c r="C28" s="6" t="n"/>
      <c r="D28" s="6" t="n"/>
    </row>
    <row r="29" ht="15" customHeight="1" s="201">
      <c r="A29" s="99" t="inlineStr">
        <is>
          <t>LV (GC) Beginning Cash</t>
        </is>
      </c>
      <c r="B29" s="78" t="n">
        <v>1651915.69</v>
      </c>
    </row>
    <row r="30" ht="15" customHeight="1" s="201">
      <c r="A30" s="99" t="inlineStr">
        <is>
          <t>Six Peak Beginning Cash</t>
        </is>
      </c>
      <c r="B30" s="78" t="n">
        <v>451631.16</v>
      </c>
    </row>
    <row r="32" ht="15" customHeight="1" s="201">
      <c r="A32" s="6" t="inlineStr">
        <is>
          <t>Debt Facility</t>
        </is>
      </c>
      <c r="B32" s="6" t="n"/>
      <c r="C32" s="6" t="n"/>
      <c r="D32" s="6" t="n"/>
    </row>
    <row r="33" ht="15" customHeight="1" s="201">
      <c r="A33" s="99" t="inlineStr">
        <is>
          <t>Debt Starting Balance (Apr 2026)</t>
        </is>
      </c>
      <c r="B33" s="78" t="n">
        <v>1615485</v>
      </c>
    </row>
    <row r="34" ht="15" customHeight="1" s="201">
      <c r="A34" s="99" t="inlineStr">
        <is>
          <t>Interest Rate (Annual)</t>
        </is>
      </c>
      <c r="B34" s="100" t="n">
        <v>0.15</v>
      </c>
    </row>
    <row r="35" ht="15" customHeight="1" s="201">
      <c r="A35" s="99" t="inlineStr">
        <is>
          <t>Quarterly Rate</t>
        </is>
      </c>
      <c r="B35" s="102">
        <f>B34/4</f>
        <v/>
      </c>
    </row>
    <row r="36" ht="15" customHeight="1" s="201">
      <c r="A36" s="99" t="inlineStr">
        <is>
          <t>Monthly Payment Amount</t>
        </is>
      </c>
      <c r="B36" s="78" t="n">
        <v>130000</v>
      </c>
    </row>
    <row r="37" ht="15" customHeight="1" s="201">
      <c r="A37" s="99" t="inlineStr">
        <is>
          <t>First Payment Month #</t>
        </is>
      </c>
      <c r="B37" s="103" t="n">
        <v>7</v>
      </c>
    </row>
    <row r="38" ht="15" customHeight="1" s="201">
      <c r="A38" s="104" t="inlineStr">
        <is>
          <t>(Month 7 = Oct 2026, paid off Dec 2027)</t>
        </is>
      </c>
    </row>
    <row r="40" ht="15" customHeight="1" s="201">
      <c r="A40" s="6" t="inlineStr">
        <is>
          <t>Row Run Capital LLC</t>
        </is>
      </c>
      <c r="B40" s="6" t="n"/>
      <c r="C40" s="6" t="n"/>
      <c r="D40" s="6" t="n"/>
    </row>
    <row r="41" ht="15" customHeight="1" s="201">
      <c r="A41" s="99" t="inlineStr">
        <is>
          <t>Loan Amount</t>
        </is>
      </c>
      <c r="B41" s="78" t="n">
        <v>1000000</v>
      </c>
    </row>
    <row r="42" ht="15" customHeight="1" s="201">
      <c r="A42" s="99" t="inlineStr">
        <is>
          <t>Tranche Size (25%)</t>
        </is>
      </c>
      <c r="B42" s="105">
        <f>B41*0.25</f>
        <v/>
      </c>
    </row>
    <row r="43" ht="15" customHeight="1" s="201">
      <c r="A43" s="99" t="inlineStr">
        <is>
          <t>Net Income Threshold</t>
        </is>
      </c>
      <c r="B43" s="78" t="n">
        <v>1000000</v>
      </c>
    </row>
    <row r="44" ht="15" customHeight="1" s="201">
      <c r="A44" s="104" t="inlineStr">
        <is>
          <t>(Payable only when annual consolidated NI &gt;= threshold)</t>
        </is>
      </c>
    </row>
    <row r="46" ht="15" customHeight="1" s="201">
      <c r="A46" s="6" t="inlineStr">
        <is>
          <t>Steyn Group Guaranty</t>
        </is>
      </c>
      <c r="B46" s="6" t="n"/>
      <c r="C46" s="6" t="n"/>
      <c r="D46" s="6" t="n"/>
    </row>
    <row r="47" ht="15" customHeight="1" s="201">
      <c r="A47" s="99" t="inlineStr">
        <is>
          <t>Completion Guaranty Fee Rate</t>
        </is>
      </c>
      <c r="B47" s="100" t="n">
        <v>0.01</v>
      </c>
    </row>
    <row r="48" ht="15" customHeight="1" s="201">
      <c r="A48" s="99" t="inlineStr">
        <is>
          <t>Liquidity Guarantee Fee Rate</t>
        </is>
      </c>
      <c r="B48" s="100" t="n">
        <v>0.03</v>
      </c>
    </row>
    <row r="50" ht="15" customHeight="1" s="201">
      <c r="A50" s="6" t="inlineStr">
        <is>
          <t>Steyn Liquidity Requirements</t>
        </is>
      </c>
      <c r="B50" s="6" t="n"/>
      <c r="C50" s="106" t="n"/>
      <c r="D50" s="6" t="n"/>
    </row>
    <row r="51" ht="15" customHeight="1" s="201">
      <c r="A51" s="99" t="inlineStr">
        <is>
          <t>Klump</t>
        </is>
      </c>
      <c r="B51" s="78" t="n">
        <v>2000000</v>
      </c>
    </row>
    <row r="52" ht="15" customHeight="1" s="201">
      <c r="A52" s="99" t="inlineStr">
        <is>
          <t>Scott</t>
        </is>
      </c>
      <c r="B52" s="78" t="n">
        <v>2000000</v>
      </c>
    </row>
    <row r="53" ht="15" customHeight="1" s="201">
      <c r="A53" s="99" t="inlineStr">
        <is>
          <t>Francis</t>
        </is>
      </c>
      <c r="B53" s="78" t="n">
        <v>5000000</v>
      </c>
      <c r="C53" s="107" t="n"/>
    </row>
    <row r="54" ht="15" customHeight="1" s="201">
      <c r="A54" s="99" t="inlineStr">
        <is>
          <t>Reseda</t>
        </is>
      </c>
      <c r="B54" s="78" t="n">
        <v>5000000</v>
      </c>
      <c r="C54" s="107" t="n"/>
    </row>
    <row r="55" ht="15" customHeight="1" s="201">
      <c r="A55" s="99" t="inlineStr">
        <is>
          <t>3rd St</t>
        </is>
      </c>
      <c r="B55" s="78" t="n">
        <v>5000000</v>
      </c>
      <c r="C55" s="107" t="n"/>
    </row>
    <row r="57" ht="15" customHeight="1" s="201">
      <c r="A57" s="6" t="inlineStr">
        <is>
          <t>Project Investment Capital</t>
        </is>
      </c>
      <c r="B57" s="6" t="n"/>
      <c r="C57" s="6" t="n"/>
      <c r="D57" s="6" t="n"/>
    </row>
    <row r="58" ht="15" customHeight="1" s="201">
      <c r="A58" s="99" t="inlineStr">
        <is>
          <t>Accrual Rate (Annual)</t>
        </is>
      </c>
      <c r="B58" s="100" t="n">
        <v>0.15</v>
      </c>
    </row>
    <row r="59" ht="15" customHeight="1" s="201">
      <c r="A59" s="99" t="inlineStr">
        <is>
          <t>Quarterly Accrual Rate</t>
        </is>
      </c>
      <c r="B59" s="102">
        <f>B58/4</f>
        <v/>
      </c>
    </row>
    <row r="60" ht="15" customHeight="1" s="201">
      <c r="A60" s="99" t="inlineStr">
        <is>
          <t>Klump - Capital Invested</t>
        </is>
      </c>
      <c r="B60" s="78" t="n">
        <v>0</v>
      </c>
    </row>
    <row r="61" ht="15" customHeight="1" s="201">
      <c r="A61" s="99" t="inlineStr">
        <is>
          <t>Scott - Capital Invested</t>
        </is>
      </c>
      <c r="B61" s="78" t="n">
        <v>0</v>
      </c>
    </row>
    <row r="62" ht="15" customHeight="1" s="201">
      <c r="A62" s="99" t="inlineStr">
        <is>
          <t>Reseda - Capital Invested</t>
        </is>
      </c>
      <c r="B62" s="78" t="n">
        <v>1784000</v>
      </c>
    </row>
    <row r="63" ht="15" customHeight="1" s="201">
      <c r="A63" s="99" t="inlineStr">
        <is>
          <t>3rd St - Capital Invested</t>
        </is>
      </c>
      <c r="B63" s="78" t="n">
        <v>1766181</v>
      </c>
    </row>
    <row r="64" ht="15" customHeight="1" s="201">
      <c r="A64" s="104" t="inlineStr">
        <is>
          <t>(Capital amounts TBD - enter when available)</t>
        </is>
      </c>
    </row>
    <row r="66" ht="15" customHeight="1" s="201">
      <c r="A66" s="4" t="inlineStr">
        <is>
          <t>Edgemont Management Fee</t>
        </is>
      </c>
    </row>
    <row r="67" ht="15" customHeight="1" s="201">
      <c r="A67" s="107" t="inlineStr">
        <is>
          <t>Monthly Fee Amount</t>
        </is>
      </c>
      <c r="B67" s="108" t="n">
        <v>833.33</v>
      </c>
    </row>
    <row r="68" ht="15" customHeight="1" s="201">
      <c r="A68" s="107" t="inlineStr">
        <is>
          <t>Last Active Month #</t>
        </is>
      </c>
      <c r="B68" s="107" t="n">
        <v>5</v>
      </c>
    </row>
    <row r="70" ht="15" customHeight="1" s="201">
      <c r="A70" s="109" t="inlineStr">
        <is>
          <t>PIK Detail Parameters</t>
        </is>
      </c>
      <c r="B70" s="109" t="n"/>
    </row>
    <row r="71" ht="15" customHeight="1" s="201">
      <c r="A71" s="110" t="inlineStr">
        <is>
          <t>Reseda - Initial PIK Balance</t>
        </is>
      </c>
      <c r="B71" s="111" t="n">
        <v>1134000</v>
      </c>
    </row>
    <row r="72" ht="15" customHeight="1" s="201">
      <c r="A72" s="112" t="inlineStr">
        <is>
          <t>Reseda - Monthly PIK Ramp</t>
        </is>
      </c>
      <c r="B72" s="113" t="n">
        <v>50000</v>
      </c>
    </row>
    <row r="73" ht="15" customHeight="1" s="201">
      <c r="A73" s="110" t="inlineStr">
        <is>
          <t>Reseda - PIK Ramp Until Month</t>
        </is>
      </c>
      <c r="B73" s="114" t="n">
        <v>14</v>
      </c>
    </row>
    <row r="74" ht="15" customHeight="1" s="201">
      <c r="A74" s="112" t="inlineStr">
        <is>
          <t>Reseda - Deal Distribution</t>
        </is>
      </c>
      <c r="B74" s="113" t="n">
        <v>-1450000</v>
      </c>
    </row>
    <row r="75" ht="15" customHeight="1" s="201">
      <c r="A75" s="110" t="inlineStr">
        <is>
          <t>3rd St - Initial PIK Balance</t>
        </is>
      </c>
      <c r="B75" s="111" t="n">
        <v>264927.15</v>
      </c>
    </row>
    <row r="76" ht="15" customHeight="1" s="201">
      <c r="A76" s="112" t="inlineStr">
        <is>
          <t>3rd St - Monthly PIK Ramp</t>
        </is>
      </c>
      <c r="B76" s="113" t="n">
        <v>883090.5</v>
      </c>
    </row>
    <row r="77" ht="15" customHeight="1" s="201">
      <c r="A77" s="110" t="inlineStr">
        <is>
          <t>3rd St - Deal Distribution</t>
        </is>
      </c>
      <c r="B77" s="111" t="n">
        <v>-1800000</v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2C3A51"/>
    <outlinePr summaryBelow="1" summaryRight="1"/>
    <pageSetUpPr/>
  </sheetPr>
  <dimension ref="A1:S46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18" customWidth="1" style="201" min="1" max="2"/>
    <col width="14" customWidth="1" style="201" min="3" max="12"/>
    <col width="17.28515625" customWidth="1" style="201" min="14" max="19"/>
  </cols>
  <sheetData>
    <row r="1" ht="27.75" customHeight="1" s="201">
      <c r="A1" s="26" t="inlineStr">
        <is>
          <t>Project</t>
        </is>
      </c>
      <c r="B1" s="26" t="inlineStr">
        <is>
          <t>Contract Value</t>
        </is>
      </c>
      <c r="C1" s="26" t="inlineStr">
        <is>
          <t>Start Month</t>
        </is>
      </c>
      <c r="D1" s="26" t="inlineStr">
        <is>
          <t>Duration</t>
        </is>
      </c>
      <c r="E1" s="26" t="inlineStr">
        <is>
          <t>Curve</t>
        </is>
      </c>
      <c r="F1" s="26" t="inlineStr">
        <is>
          <t>Bonded</t>
        </is>
      </c>
      <c r="G1" s="26" t="inlineStr">
        <is>
          <t>Active</t>
        </is>
      </c>
      <c r="H1" s="26" t="inlineStr">
        <is>
          <t>Bond Tier</t>
        </is>
      </c>
      <c r="I1" s="26" t="inlineStr">
        <is>
          <t>Bond Cost Rate</t>
        </is>
      </c>
      <c r="J1" s="26" t="inlineStr">
        <is>
          <t>Steyn Guaranty</t>
        </is>
      </c>
      <c r="K1" s="26" t="inlineStr">
        <is>
          <t>LIHTC</t>
        </is>
      </c>
      <c r="L1" s="26" t="inlineStr">
        <is>
          <t>Type</t>
        </is>
      </c>
      <c r="N1" s="26" t="inlineStr">
        <is>
          <t>Total Supervision</t>
        </is>
      </c>
      <c r="O1" s="26" t="inlineStr">
        <is>
          <t>Total GC-CM Fee</t>
        </is>
      </c>
      <c r="P1" s="26" t="inlineStr">
        <is>
          <t>Total Admin</t>
        </is>
      </c>
      <c r="Q1" s="26" t="inlineStr">
        <is>
          <t>Total Fee Revenue</t>
        </is>
      </c>
      <c r="R1" s="26" t="inlineStr">
        <is>
          <t>Last Pay App (5% Retention)</t>
        </is>
      </c>
      <c r="S1" s="26" t="inlineStr">
        <is>
          <t>Last Month Date</t>
        </is>
      </c>
    </row>
    <row r="2" ht="15" customHeight="1" s="201">
      <c r="A2" s="99" t="inlineStr">
        <is>
          <t>Crenshaw</t>
        </is>
      </c>
      <c r="B2" s="115" t="n">
        <v>7126075</v>
      </c>
      <c r="C2" s="116" t="n">
        <v>1</v>
      </c>
      <c r="D2" s="116" t="n">
        <v>8</v>
      </c>
      <c r="E2" s="116" t="n">
        <v>2</v>
      </c>
      <c r="F2" s="116" t="inlineStr">
        <is>
          <t>No</t>
        </is>
      </c>
      <c r="G2" s="116" t="inlineStr">
        <is>
          <t>Yes</t>
        </is>
      </c>
      <c r="H2" s="116" t="n">
        <v>0</v>
      </c>
      <c r="I2" s="102">
        <f>IF(H2=1,Assumptions!$B$16,IF(H2=2,Assumptions!$B$17,0))</f>
        <v/>
      </c>
      <c r="J2" s="116" t="inlineStr">
        <is>
          <t>No</t>
        </is>
      </c>
      <c r="K2" s="116" t="inlineStr">
        <is>
          <t>No</t>
        </is>
      </c>
      <c r="L2" s="116" t="inlineStr">
        <is>
          <t>GC + Developer</t>
        </is>
      </c>
      <c r="N2" s="115" t="n">
        <v>194932</v>
      </c>
      <c r="O2" s="115">
        <f>B2*Assumptions!$B$11</f>
        <v/>
      </c>
      <c r="P2" s="115" t="n">
        <v>46323</v>
      </c>
      <c r="Q2" s="115">
        <f>N2+O2+P2</f>
        <v/>
      </c>
      <c r="R2" s="115">
        <f>Q2*0.05</f>
        <v/>
      </c>
      <c r="S2" s="99">
        <f>C2+D2-1</f>
        <v/>
      </c>
    </row>
    <row r="3" ht="15" customHeight="1" s="201">
      <c r="A3" s="99" t="inlineStr">
        <is>
          <t>Ramsgate</t>
        </is>
      </c>
      <c r="B3" s="115" t="n">
        <v>20176449</v>
      </c>
      <c r="C3" s="116" t="n">
        <v>1</v>
      </c>
      <c r="D3" s="116" t="n">
        <v>16</v>
      </c>
      <c r="E3" s="116" t="n">
        <v>2</v>
      </c>
      <c r="F3" s="116" t="inlineStr">
        <is>
          <t>No</t>
        </is>
      </c>
      <c r="G3" s="116" t="inlineStr">
        <is>
          <t>Yes</t>
        </is>
      </c>
      <c r="H3" s="116" t="n">
        <v>0</v>
      </c>
      <c r="I3" s="102">
        <f>IF(H3=1,Assumptions!$B$16,IF(H3=2,Assumptions!$B$17,0))</f>
        <v/>
      </c>
      <c r="J3" s="116" t="inlineStr">
        <is>
          <t>No</t>
        </is>
      </c>
      <c r="K3" s="116" t="inlineStr">
        <is>
          <t>No</t>
        </is>
      </c>
      <c r="L3" s="116" t="inlineStr">
        <is>
          <t>GC + Developer</t>
        </is>
      </c>
      <c r="N3" s="115" t="n">
        <v>888067</v>
      </c>
      <c r="O3" s="115">
        <f>B3*Assumptions!$B$11</f>
        <v/>
      </c>
      <c r="P3" s="115" t="n">
        <v>176626</v>
      </c>
      <c r="Q3" s="115">
        <f>N3+O3+P3</f>
        <v/>
      </c>
      <c r="R3" s="115">
        <f>Q3*0.05</f>
        <v/>
      </c>
      <c r="S3" s="99">
        <f>C3+D3-1</f>
        <v/>
      </c>
    </row>
    <row r="4" ht="15" customHeight="1" s="201">
      <c r="A4" s="99" t="inlineStr">
        <is>
          <t>Califa</t>
        </is>
      </c>
      <c r="B4" s="115" t="n">
        <v>11929880</v>
      </c>
      <c r="C4" s="116" t="n">
        <v>1</v>
      </c>
      <c r="D4" s="116" t="n">
        <v>15</v>
      </c>
      <c r="E4" s="116" t="n">
        <v>3</v>
      </c>
      <c r="F4" s="116" t="inlineStr">
        <is>
          <t>Yes</t>
        </is>
      </c>
      <c r="G4" s="116" t="inlineStr">
        <is>
          <t>Yes</t>
        </is>
      </c>
      <c r="H4" s="116" t="n">
        <v>1</v>
      </c>
      <c r="I4" s="102">
        <f>IF(H4=1,Assumptions!$B$16,IF(H4=2,Assumptions!$B$17,0))</f>
        <v/>
      </c>
      <c r="J4" s="116" t="inlineStr">
        <is>
          <t>No</t>
        </is>
      </c>
      <c r="K4" s="116" t="inlineStr">
        <is>
          <t>Yes</t>
        </is>
      </c>
      <c r="L4" s="116" t="inlineStr">
        <is>
          <t>3rd Party GC</t>
        </is>
      </c>
      <c r="N4" s="115">
        <f>B4*Assumptions!$B$10</f>
        <v/>
      </c>
      <c r="O4" s="115">
        <f>B4*Assumptions!$B$11</f>
        <v/>
      </c>
      <c r="P4" s="115">
        <f>B4*Assumptions!$B$12</f>
        <v/>
      </c>
      <c r="Q4" s="115">
        <f>N4+O4+P4</f>
        <v/>
      </c>
      <c r="R4" s="115">
        <f>Q4*0.05</f>
        <v/>
      </c>
      <c r="S4" s="99">
        <f>C4+D4-1</f>
        <v/>
      </c>
    </row>
    <row r="5" ht="15" customHeight="1" s="201">
      <c r="A5" s="99" t="inlineStr">
        <is>
          <t>Whipple</t>
        </is>
      </c>
      <c r="B5" s="115" t="n">
        <v>14427884</v>
      </c>
      <c r="C5" s="116" t="n">
        <v>1</v>
      </c>
      <c r="D5" s="116" t="n">
        <v>15</v>
      </c>
      <c r="E5" s="116" t="n">
        <v>3</v>
      </c>
      <c r="F5" s="116" t="inlineStr">
        <is>
          <t>Yes</t>
        </is>
      </c>
      <c r="G5" s="116" t="inlineStr">
        <is>
          <t>Yes</t>
        </is>
      </c>
      <c r="H5" s="116" t="n">
        <v>1</v>
      </c>
      <c r="I5" s="102">
        <f>IF(H5=1,Assumptions!$B$16,IF(H5=2,Assumptions!$B$17,0))</f>
        <v/>
      </c>
      <c r="J5" s="116" t="inlineStr">
        <is>
          <t>No</t>
        </is>
      </c>
      <c r="K5" s="116" t="inlineStr">
        <is>
          <t>Yes</t>
        </is>
      </c>
      <c r="L5" s="116" t="inlineStr">
        <is>
          <t>3rd Party GC</t>
        </is>
      </c>
      <c r="N5" s="115">
        <f>B5*Assumptions!$B$10</f>
        <v/>
      </c>
      <c r="O5" s="115">
        <f>B5*Assumptions!$B$11</f>
        <v/>
      </c>
      <c r="P5" s="115">
        <f>B5*Assumptions!$B$12</f>
        <v/>
      </c>
      <c r="Q5" s="115">
        <f>N5+O5+P5</f>
        <v/>
      </c>
      <c r="R5" s="115">
        <f>Q5*0.05</f>
        <v/>
      </c>
      <c r="S5" s="99">
        <f>C5+D5-1</f>
        <v/>
      </c>
    </row>
    <row r="6" ht="15" customHeight="1" s="201">
      <c r="A6" s="99" t="inlineStr">
        <is>
          <t>Nelrose</t>
        </is>
      </c>
      <c r="B6" s="115" t="n">
        <v>3623245</v>
      </c>
      <c r="C6" s="116" t="n">
        <v>1</v>
      </c>
      <c r="D6" s="116" t="n">
        <v>19</v>
      </c>
      <c r="E6" s="116" t="n">
        <v>3</v>
      </c>
      <c r="F6" s="116" t="inlineStr">
        <is>
          <t>No</t>
        </is>
      </c>
      <c r="G6" s="116" t="inlineStr">
        <is>
          <t>Yes</t>
        </is>
      </c>
      <c r="H6" s="116" t="n">
        <v>0</v>
      </c>
      <c r="I6" s="102">
        <f>IF(H6=1,Assumptions!$B$16,IF(H6=2,Assumptions!$B$17,0))</f>
        <v/>
      </c>
      <c r="J6" s="116" t="inlineStr">
        <is>
          <t>No</t>
        </is>
      </c>
      <c r="K6" s="116" t="inlineStr">
        <is>
          <t>Yes</t>
        </is>
      </c>
      <c r="L6" s="116" t="inlineStr">
        <is>
          <t>3rd Party GC</t>
        </is>
      </c>
      <c r="N6" s="115" t="n">
        <v>245000</v>
      </c>
      <c r="O6" s="115">
        <f>B6*Assumptions!$B$11</f>
        <v/>
      </c>
      <c r="P6" s="115" t="n">
        <v>0</v>
      </c>
      <c r="Q6" s="115">
        <f>N6+O6+P6</f>
        <v/>
      </c>
      <c r="R6" s="115">
        <f>Q6*0.05</f>
        <v/>
      </c>
      <c r="S6" s="99">
        <f>C6+D6-1</f>
        <v/>
      </c>
    </row>
    <row r="7" ht="15" customHeight="1" s="201">
      <c r="A7" s="99" t="inlineStr">
        <is>
          <t>Francis</t>
        </is>
      </c>
      <c r="B7" s="115" t="n">
        <v>42968448</v>
      </c>
      <c r="C7" s="116" t="n">
        <v>4</v>
      </c>
      <c r="D7" s="116" t="n">
        <v>30</v>
      </c>
      <c r="E7" s="116" t="n">
        <v>1</v>
      </c>
      <c r="F7" s="116" t="inlineStr">
        <is>
          <t>Yes</t>
        </is>
      </c>
      <c r="G7" s="116" t="inlineStr">
        <is>
          <t>Yes</t>
        </is>
      </c>
      <c r="H7" s="116" t="n">
        <v>1</v>
      </c>
      <c r="I7" s="102">
        <f>IF(H7=1,Assumptions!$B$16,IF(H7=2,Assumptions!$B$17,0))</f>
        <v/>
      </c>
      <c r="J7" s="116" t="inlineStr">
        <is>
          <t>Yes</t>
        </is>
      </c>
      <c r="K7" s="116" t="inlineStr">
        <is>
          <t>Yes</t>
        </is>
      </c>
      <c r="L7" s="116" t="inlineStr">
        <is>
          <t>GC + Developer</t>
        </is>
      </c>
      <c r="N7" s="115">
        <f>B7*Assumptions!$B$10</f>
        <v/>
      </c>
      <c r="O7" s="115">
        <f>B7*Assumptions!$B$11</f>
        <v/>
      </c>
      <c r="P7" s="115">
        <f>B7*Assumptions!$B$12</f>
        <v/>
      </c>
      <c r="Q7" s="115">
        <f>N7+O7+P7</f>
        <v/>
      </c>
      <c r="R7" s="115">
        <f>Q7*0.05</f>
        <v/>
      </c>
      <c r="S7" s="99">
        <f>C7+D7-1</f>
        <v/>
      </c>
    </row>
    <row r="8" ht="15" customHeight="1" s="201">
      <c r="A8" s="99" t="inlineStr">
        <is>
          <t>Lexington</t>
        </is>
      </c>
      <c r="B8" s="115" t="n">
        <v>13625772</v>
      </c>
      <c r="C8" s="116" t="n">
        <v>7</v>
      </c>
      <c r="D8" s="116" t="n">
        <v>19</v>
      </c>
      <c r="E8" s="116" t="n">
        <v>3</v>
      </c>
      <c r="F8" s="116" t="inlineStr">
        <is>
          <t>Yes</t>
        </is>
      </c>
      <c r="G8" s="116" t="inlineStr">
        <is>
          <t>Yes</t>
        </is>
      </c>
      <c r="H8" s="116" t="n">
        <v>1</v>
      </c>
      <c r="I8" s="102">
        <f>IF(H8=1,Assumptions!$B$16,IF(H8=2,Assumptions!$B$17,0))</f>
        <v/>
      </c>
      <c r="J8" s="116" t="inlineStr">
        <is>
          <t>No</t>
        </is>
      </c>
      <c r="K8" s="116" t="inlineStr">
        <is>
          <t>Yes</t>
        </is>
      </c>
      <c r="L8" s="116" t="inlineStr">
        <is>
          <t>3rd Party GC</t>
        </is>
      </c>
      <c r="N8" s="115">
        <f>B8*Assumptions!$B$10</f>
        <v/>
      </c>
      <c r="O8" s="115">
        <f>B8*Assumptions!$B$11</f>
        <v/>
      </c>
      <c r="P8" s="115">
        <f>B8*Assumptions!$B$12</f>
        <v/>
      </c>
      <c r="Q8" s="115">
        <f>N8+O8+P8</f>
        <v/>
      </c>
      <c r="R8" s="115">
        <f>Q8*0.05</f>
        <v/>
      </c>
      <c r="S8" s="99">
        <f>C8+D8-1</f>
        <v/>
      </c>
    </row>
    <row r="9" ht="15" customHeight="1" s="201">
      <c r="A9" s="99" t="inlineStr">
        <is>
          <t>Denny</t>
        </is>
      </c>
      <c r="B9" s="115" t="n">
        <v>15844883</v>
      </c>
      <c r="C9" s="116" t="n">
        <v>7</v>
      </c>
      <c r="D9" s="116" t="n">
        <v>30</v>
      </c>
      <c r="E9" s="116" t="n">
        <v>1</v>
      </c>
      <c r="F9" s="116" t="inlineStr">
        <is>
          <t>Yes</t>
        </is>
      </c>
      <c r="G9" s="116" t="inlineStr">
        <is>
          <t>Yes</t>
        </is>
      </c>
      <c r="H9" s="116" t="n">
        <v>1</v>
      </c>
      <c r="I9" s="102">
        <f>IF(H9=1,Assumptions!$B$16,IF(H9=2,Assumptions!$B$17,0))</f>
        <v/>
      </c>
      <c r="J9" s="116" t="inlineStr">
        <is>
          <t>No</t>
        </is>
      </c>
      <c r="K9" s="116" t="inlineStr">
        <is>
          <t>Yes</t>
        </is>
      </c>
      <c r="L9" s="116" t="inlineStr">
        <is>
          <t>3rd Party GC</t>
        </is>
      </c>
      <c r="N9" s="115">
        <f>B9*Assumptions!$B$10</f>
        <v/>
      </c>
      <c r="O9" s="115">
        <f>B9*Assumptions!$B$11</f>
        <v/>
      </c>
      <c r="P9" s="115">
        <f>B9*Assumptions!$B$12</f>
        <v/>
      </c>
      <c r="Q9" s="115">
        <f>N9+O9+P9</f>
        <v/>
      </c>
      <c r="R9" s="115">
        <f>Q9*0.05</f>
        <v/>
      </c>
      <c r="S9" s="99">
        <f>C9+D9-1</f>
        <v/>
      </c>
    </row>
    <row r="10" ht="15" customHeight="1" s="201">
      <c r="A10" s="99" t="inlineStr">
        <is>
          <t>Acama</t>
        </is>
      </c>
      <c r="B10" s="115" t="n">
        <v>21263405</v>
      </c>
      <c r="C10" s="116" t="n">
        <v>8</v>
      </c>
      <c r="D10" s="116" t="n">
        <v>24</v>
      </c>
      <c r="E10" s="116" t="n">
        <v>2</v>
      </c>
      <c r="F10" s="116" t="inlineStr">
        <is>
          <t>Yes</t>
        </is>
      </c>
      <c r="G10" s="116" t="inlineStr">
        <is>
          <t>Yes</t>
        </is>
      </c>
      <c r="H10" s="116" t="n">
        <v>1</v>
      </c>
      <c r="I10" s="102">
        <f>IF(H10=1,Assumptions!$B$16,IF(H10=2,Assumptions!$B$17,0))</f>
        <v/>
      </c>
      <c r="J10" s="116" t="inlineStr">
        <is>
          <t>No</t>
        </is>
      </c>
      <c r="K10" s="116" t="inlineStr">
        <is>
          <t>Yes</t>
        </is>
      </c>
      <c r="L10" s="116" t="inlineStr">
        <is>
          <t>3rd Party GC</t>
        </is>
      </c>
      <c r="N10" s="115">
        <f>B10*Assumptions!$B$10</f>
        <v/>
      </c>
      <c r="O10" s="115">
        <f>B10*Assumptions!$B$11</f>
        <v/>
      </c>
      <c r="P10" s="115">
        <f>B10*Assumptions!$B$12</f>
        <v/>
      </c>
      <c r="Q10" s="115">
        <f>N10+O10+P10</f>
        <v/>
      </c>
      <c r="R10" s="115">
        <f>Q10*0.05</f>
        <v/>
      </c>
      <c r="S10" s="99">
        <f>C10+D10-1</f>
        <v/>
      </c>
    </row>
    <row r="11" ht="15" customHeight="1" s="201">
      <c r="A11" s="99" t="inlineStr">
        <is>
          <t>Klump</t>
        </is>
      </c>
      <c r="B11" s="115" t="n">
        <v>9577109</v>
      </c>
      <c r="C11" s="116" t="n">
        <v>5</v>
      </c>
      <c r="D11" s="116" t="n">
        <v>19</v>
      </c>
      <c r="E11" s="116" t="n">
        <v>3</v>
      </c>
      <c r="F11" s="116" t="inlineStr">
        <is>
          <t>No</t>
        </is>
      </c>
      <c r="G11" s="116" t="inlineStr">
        <is>
          <t>No</t>
        </is>
      </c>
      <c r="H11" s="116" t="n">
        <v>0</v>
      </c>
      <c r="I11" s="102">
        <f>IF(H11=1,Assumptions!$B$16,IF(H11=2,Assumptions!$B$17,0))</f>
        <v/>
      </c>
      <c r="J11" s="116" t="inlineStr">
        <is>
          <t>Yes</t>
        </is>
      </c>
      <c r="K11" s="116" t="inlineStr">
        <is>
          <t>No</t>
        </is>
      </c>
      <c r="L11" s="116" t="inlineStr">
        <is>
          <t>GC + Developer</t>
        </is>
      </c>
      <c r="N11" s="115">
        <f>B11*Assumptions!$B$10</f>
        <v/>
      </c>
      <c r="O11" s="115">
        <f>B11*Assumptions!$B$11</f>
        <v/>
      </c>
      <c r="P11" s="115">
        <f>B11*Assumptions!$B$12</f>
        <v/>
      </c>
      <c r="Q11" s="115">
        <f>N11+O11+P11</f>
        <v/>
      </c>
      <c r="R11" s="115">
        <f>Q11*0.05</f>
        <v/>
      </c>
      <c r="S11" s="99">
        <f>C11+D11-1</f>
        <v/>
      </c>
    </row>
    <row r="12" ht="15" customHeight="1" s="201">
      <c r="A12" s="99" t="inlineStr">
        <is>
          <t>Scott</t>
        </is>
      </c>
      <c r="B12" s="115" t="n">
        <v>7545203</v>
      </c>
      <c r="C12" s="116" t="n">
        <v>6</v>
      </c>
      <c r="D12" s="116" t="n">
        <v>19</v>
      </c>
      <c r="E12" s="116" t="n">
        <v>3</v>
      </c>
      <c r="F12" s="116" t="inlineStr">
        <is>
          <t>No</t>
        </is>
      </c>
      <c r="G12" s="116" t="inlineStr">
        <is>
          <t>No</t>
        </is>
      </c>
      <c r="H12" s="116" t="n">
        <v>0</v>
      </c>
      <c r="I12" s="102">
        <f>IF(H12=1,Assumptions!$B$16,IF(H12=2,Assumptions!$B$17,0))</f>
        <v/>
      </c>
      <c r="J12" s="116" t="inlineStr">
        <is>
          <t>Yes</t>
        </is>
      </c>
      <c r="K12" s="116" t="inlineStr">
        <is>
          <t>No</t>
        </is>
      </c>
      <c r="L12" s="116" t="inlineStr">
        <is>
          <t>GC + Developer</t>
        </is>
      </c>
      <c r="N12" s="115">
        <f>B12*Assumptions!$B$10</f>
        <v/>
      </c>
      <c r="O12" s="115">
        <f>B12*Assumptions!$B$11</f>
        <v/>
      </c>
      <c r="P12" s="115">
        <f>B12*Assumptions!$B$12</f>
        <v/>
      </c>
      <c r="Q12" s="115">
        <f>N12+O12+P12</f>
        <v/>
      </c>
      <c r="R12" s="115">
        <f>Q12*0.05</f>
        <v/>
      </c>
      <c r="S12" s="99">
        <f>C12+D12-1</f>
        <v/>
      </c>
    </row>
    <row r="13" ht="15" customHeight="1" s="201">
      <c r="A13" s="99" t="inlineStr">
        <is>
          <t>Reseda</t>
        </is>
      </c>
      <c r="B13" s="115" t="n">
        <v>45266770</v>
      </c>
      <c r="C13" s="116" t="n">
        <v>13</v>
      </c>
      <c r="D13" s="116" t="n">
        <v>30</v>
      </c>
      <c r="E13" s="116" t="n">
        <v>1</v>
      </c>
      <c r="F13" s="116" t="inlineStr">
        <is>
          <t>Yes</t>
        </is>
      </c>
      <c r="G13" s="116" t="inlineStr">
        <is>
          <t>Yes</t>
        </is>
      </c>
      <c r="H13" s="116" t="n">
        <v>2</v>
      </c>
      <c r="I13" s="102">
        <f>IF(H13=1,Assumptions!$B$16,IF(H13=2,Assumptions!$B$17,0))</f>
        <v/>
      </c>
      <c r="J13" s="116" t="inlineStr">
        <is>
          <t>Yes</t>
        </is>
      </c>
      <c r="K13" s="116" t="inlineStr">
        <is>
          <t>Yes</t>
        </is>
      </c>
      <c r="L13" s="116" t="inlineStr">
        <is>
          <t>GC + Developer</t>
        </is>
      </c>
      <c r="N13" s="115">
        <f>B13*Assumptions!$B$10</f>
        <v/>
      </c>
      <c r="O13" s="115">
        <f>B13*Assumptions!$B$11</f>
        <v/>
      </c>
      <c r="P13" s="115">
        <f>B13*Assumptions!$B$12</f>
        <v/>
      </c>
      <c r="Q13" s="115">
        <f>N13+O13+P13</f>
        <v/>
      </c>
      <c r="R13" s="115">
        <f>Q13*0.05</f>
        <v/>
      </c>
      <c r="S13" s="99">
        <f>C13+D13-1</f>
        <v/>
      </c>
    </row>
    <row r="14" ht="15" customHeight="1" s="201">
      <c r="A14" s="99" t="inlineStr">
        <is>
          <t>3rd St</t>
        </is>
      </c>
      <c r="B14" s="115" t="n">
        <v>41354632</v>
      </c>
      <c r="C14" s="116" t="n">
        <v>27</v>
      </c>
      <c r="D14" s="116" t="n">
        <v>30</v>
      </c>
      <c r="E14" s="116" t="n">
        <v>1</v>
      </c>
      <c r="F14" s="116" t="inlineStr">
        <is>
          <t>Yes</t>
        </is>
      </c>
      <c r="G14" s="116" t="inlineStr">
        <is>
          <t>Yes</t>
        </is>
      </c>
      <c r="H14" s="116" t="n">
        <v>2</v>
      </c>
      <c r="I14" s="102">
        <f>IF(H14=1,Assumptions!$B$16,IF(H14=2,Assumptions!$B$17,0))</f>
        <v/>
      </c>
      <c r="J14" s="116" t="inlineStr">
        <is>
          <t>Yes</t>
        </is>
      </c>
      <c r="K14" s="116" t="inlineStr">
        <is>
          <t>Yes</t>
        </is>
      </c>
      <c r="L14" s="116" t="inlineStr">
        <is>
          <t>GC + Developer</t>
        </is>
      </c>
      <c r="N14" s="115">
        <f>B14*Assumptions!$B$10</f>
        <v/>
      </c>
      <c r="O14" s="115">
        <f>B14*Assumptions!$B$11</f>
        <v/>
      </c>
      <c r="P14" s="115">
        <f>B14*Assumptions!$B$12</f>
        <v/>
      </c>
      <c r="Q14" s="115">
        <f>N14+O14+P14</f>
        <v/>
      </c>
      <c r="R14" s="115">
        <f>Q14*0.05</f>
        <v/>
      </c>
      <c r="S14" s="99">
        <f>C14+D14-1</f>
        <v/>
      </c>
    </row>
    <row r="15" ht="15" customHeight="1" s="201">
      <c r="A15" s="99" t="inlineStr">
        <is>
          <t>HVN Pipeline 1</t>
        </is>
      </c>
      <c r="B15" s="115" t="n">
        <v>15179956</v>
      </c>
      <c r="C15" s="116" t="n">
        <v>16</v>
      </c>
      <c r="D15" s="116" t="n">
        <v>19</v>
      </c>
      <c r="E15" s="116" t="n">
        <v>3</v>
      </c>
      <c r="F15" s="116" t="inlineStr">
        <is>
          <t>Yes</t>
        </is>
      </c>
      <c r="G15" s="116" t="inlineStr">
        <is>
          <t>No</t>
        </is>
      </c>
      <c r="H15" s="116" t="n">
        <v>2</v>
      </c>
      <c r="I15" s="102">
        <f>IF(H15=1,Assumptions!$B$16,IF(H15=2,Assumptions!$B$17,0))</f>
        <v/>
      </c>
      <c r="J15" s="116" t="inlineStr">
        <is>
          <t>No</t>
        </is>
      </c>
      <c r="K15" s="116" t="inlineStr">
        <is>
          <t>Yes</t>
        </is>
      </c>
      <c r="L15" s="116" t="inlineStr">
        <is>
          <t>3rd Party GC</t>
        </is>
      </c>
      <c r="N15" s="115">
        <f>B15*Assumptions!$B$10</f>
        <v/>
      </c>
      <c r="O15" s="115">
        <f>B15*Assumptions!$B$11</f>
        <v/>
      </c>
      <c r="P15" s="115">
        <f>B15*Assumptions!$B$12</f>
        <v/>
      </c>
      <c r="Q15" s="115">
        <f>N15+O15+P15</f>
        <v/>
      </c>
      <c r="R15" s="115">
        <f>Q15*0.05</f>
        <v/>
      </c>
      <c r="S15" s="99">
        <f>C15+D15-1</f>
        <v/>
      </c>
    </row>
    <row r="16" ht="15" customHeight="1" s="201">
      <c r="A16" s="99" t="inlineStr">
        <is>
          <t>HVN Pipeline 2</t>
        </is>
      </c>
      <c r="B16" s="115" t="n">
        <v>15179956</v>
      </c>
      <c r="C16" s="116" t="n">
        <v>19</v>
      </c>
      <c r="D16" s="116" t="n">
        <v>19</v>
      </c>
      <c r="E16" s="116" t="n">
        <v>3</v>
      </c>
      <c r="F16" s="116" t="inlineStr">
        <is>
          <t>Yes</t>
        </is>
      </c>
      <c r="G16" s="116" t="inlineStr">
        <is>
          <t>No</t>
        </is>
      </c>
      <c r="H16" s="116" t="n">
        <v>2</v>
      </c>
      <c r="I16" s="102">
        <f>IF(H16=1,Assumptions!$B$16,IF(H16=2,Assumptions!$B$17,0))</f>
        <v/>
      </c>
      <c r="J16" s="116" t="inlineStr">
        <is>
          <t>No</t>
        </is>
      </c>
      <c r="K16" s="116" t="inlineStr">
        <is>
          <t>Yes</t>
        </is>
      </c>
      <c r="L16" s="116" t="inlineStr">
        <is>
          <t>3rd Party GC</t>
        </is>
      </c>
      <c r="N16" s="115">
        <f>B16*Assumptions!$B$10</f>
        <v/>
      </c>
      <c r="O16" s="115">
        <f>B16*Assumptions!$B$11</f>
        <v/>
      </c>
      <c r="P16" s="115">
        <f>B16*Assumptions!$B$12</f>
        <v/>
      </c>
      <c r="Q16" s="115">
        <f>N16+O16+P16</f>
        <v/>
      </c>
      <c r="R16" s="115">
        <f>Q16*0.05</f>
        <v/>
      </c>
      <c r="S16" s="99">
        <f>C16+D16-1</f>
        <v/>
      </c>
    </row>
    <row r="17" ht="15" customHeight="1" s="201">
      <c r="A17" s="99" t="inlineStr">
        <is>
          <t>BE-01</t>
        </is>
      </c>
      <c r="B17" s="115" t="n">
        <v>18000000</v>
      </c>
      <c r="C17" s="116" t="n">
        <v>31</v>
      </c>
      <c r="D17" s="116" t="n">
        <v>19</v>
      </c>
      <c r="E17" s="116" t="n">
        <v>3</v>
      </c>
      <c r="F17" s="116" t="inlineStr">
        <is>
          <t>No</t>
        </is>
      </c>
      <c r="G17" s="116" t="inlineStr">
        <is>
          <t>Yes</t>
        </is>
      </c>
      <c r="H17" s="116" t="n">
        <v>0</v>
      </c>
      <c r="I17" s="102">
        <f>IF(H17=1,Assumptions!$B$16,IF(H17=2,Assumptions!$B$17,0))</f>
        <v/>
      </c>
      <c r="J17" s="116" t="inlineStr">
        <is>
          <t>No</t>
        </is>
      </c>
      <c r="K17" s="116" t="inlineStr">
        <is>
          <t>No</t>
        </is>
      </c>
      <c r="L17" s="116" t="inlineStr">
        <is>
          <t>3rd Party GC</t>
        </is>
      </c>
      <c r="N17" s="115">
        <f>B17*Assumptions!$B$10</f>
        <v/>
      </c>
      <c r="O17" s="115">
        <f>B17*Assumptions!$B$11</f>
        <v/>
      </c>
      <c r="P17" s="115">
        <f>B17*Assumptions!$B$12</f>
        <v/>
      </c>
      <c r="Q17" s="115">
        <f>N17+O17+P17</f>
        <v/>
      </c>
      <c r="R17" s="115">
        <f>Q17*0.05</f>
        <v/>
      </c>
      <c r="S17" s="99">
        <f>C17+D17-1</f>
        <v/>
      </c>
    </row>
    <row r="18" ht="15" customHeight="1" s="201">
      <c r="A18" s="99" t="inlineStr">
        <is>
          <t>BE-02</t>
        </is>
      </c>
      <c r="B18" s="115" t="n">
        <v>15000000</v>
      </c>
      <c r="C18" s="116" t="n">
        <v>35</v>
      </c>
      <c r="D18" s="116" t="n">
        <v>19</v>
      </c>
      <c r="E18" s="116" t="n">
        <v>3</v>
      </c>
      <c r="F18" s="116" t="inlineStr">
        <is>
          <t>No</t>
        </is>
      </c>
      <c r="G18" s="116" t="inlineStr">
        <is>
          <t>Yes</t>
        </is>
      </c>
      <c r="H18" s="116" t="n">
        <v>0</v>
      </c>
      <c r="I18" s="102">
        <f>IF(H18=1,Assumptions!$B$16,IF(H18=2,Assumptions!$B$17,0))</f>
        <v/>
      </c>
      <c r="J18" s="116" t="inlineStr">
        <is>
          <t>No</t>
        </is>
      </c>
      <c r="K18" s="116" t="inlineStr">
        <is>
          <t>No</t>
        </is>
      </c>
      <c r="L18" s="116" t="inlineStr">
        <is>
          <t>3rd Party GC</t>
        </is>
      </c>
      <c r="N18" s="115">
        <f>B18*Assumptions!$B$10</f>
        <v/>
      </c>
      <c r="O18" s="115">
        <f>B18*Assumptions!$B$11</f>
        <v/>
      </c>
      <c r="P18" s="115">
        <f>B18*Assumptions!$B$12</f>
        <v/>
      </c>
      <c r="Q18" s="115">
        <f>N18+O18+P18</f>
        <v/>
      </c>
      <c r="R18" s="115">
        <f>Q18*0.05</f>
        <v/>
      </c>
      <c r="S18" s="99">
        <f>C18+D18-1</f>
        <v/>
      </c>
    </row>
    <row r="19" ht="15" customHeight="1" s="201">
      <c r="A19" s="99" t="inlineStr">
        <is>
          <t>BE-03</t>
        </is>
      </c>
      <c r="B19" s="115" t="n">
        <v>15000000</v>
      </c>
      <c r="C19" s="116" t="n">
        <v>39</v>
      </c>
      <c r="D19" s="116" t="n">
        <v>19</v>
      </c>
      <c r="E19" s="116" t="n">
        <v>3</v>
      </c>
      <c r="F19" s="116" t="inlineStr">
        <is>
          <t>No</t>
        </is>
      </c>
      <c r="G19" s="116" t="inlineStr">
        <is>
          <t>Yes</t>
        </is>
      </c>
      <c r="H19" s="116" t="n">
        <v>0</v>
      </c>
      <c r="I19" s="102">
        <f>IF(H19=1,Assumptions!$B$16,IF(H19=2,Assumptions!$B$17,0))</f>
        <v/>
      </c>
      <c r="J19" s="116" t="inlineStr">
        <is>
          <t>No</t>
        </is>
      </c>
      <c r="K19" s="116" t="inlineStr">
        <is>
          <t>No</t>
        </is>
      </c>
      <c r="L19" s="116" t="inlineStr">
        <is>
          <t>3rd Party GC</t>
        </is>
      </c>
      <c r="N19" s="115">
        <f>B19*Assumptions!$B$10</f>
        <v/>
      </c>
      <c r="O19" s="115">
        <f>B19*Assumptions!$B$11</f>
        <v/>
      </c>
      <c r="P19" s="115">
        <f>B19*Assumptions!$B$12</f>
        <v/>
      </c>
      <c r="Q19" s="115">
        <f>N19+O19+P19</f>
        <v/>
      </c>
      <c r="R19" s="115">
        <f>Q19*0.05</f>
        <v/>
      </c>
      <c r="S19" s="99">
        <f>C19+D19-1</f>
        <v/>
      </c>
    </row>
    <row r="20" ht="15" customHeight="1" s="201">
      <c r="A20" s="99" t="inlineStr">
        <is>
          <t>BE-04</t>
        </is>
      </c>
      <c r="B20" s="115" t="n">
        <v>18000000</v>
      </c>
      <c r="C20" s="116" t="n">
        <v>43</v>
      </c>
      <c r="D20" s="116" t="n">
        <v>19</v>
      </c>
      <c r="E20" s="116" t="n">
        <v>3</v>
      </c>
      <c r="F20" s="116" t="inlineStr">
        <is>
          <t>No</t>
        </is>
      </c>
      <c r="G20" s="116" t="inlineStr">
        <is>
          <t>Yes</t>
        </is>
      </c>
      <c r="H20" s="116" t="n">
        <v>0</v>
      </c>
      <c r="I20" s="102">
        <f>IF(H20=1,Assumptions!$B$16,IF(H20=2,Assumptions!$B$17,0))</f>
        <v/>
      </c>
      <c r="J20" s="116" t="inlineStr">
        <is>
          <t>No</t>
        </is>
      </c>
      <c r="K20" s="116" t="inlineStr">
        <is>
          <t>No</t>
        </is>
      </c>
      <c r="L20" s="116" t="inlineStr">
        <is>
          <t>3rd Party GC</t>
        </is>
      </c>
      <c r="N20" s="115">
        <f>B20*Assumptions!$B$10</f>
        <v/>
      </c>
      <c r="O20" s="115">
        <f>B20*Assumptions!$B$11</f>
        <v/>
      </c>
      <c r="P20" s="115">
        <f>B20*Assumptions!$B$12</f>
        <v/>
      </c>
      <c r="Q20" s="115">
        <f>N20+O20+P20</f>
        <v/>
      </c>
      <c r="R20" s="115">
        <f>Q20*0.05</f>
        <v/>
      </c>
      <c r="S20" s="99">
        <f>C20+D20-1</f>
        <v/>
      </c>
    </row>
    <row r="21" ht="15" customHeight="1" s="201">
      <c r="A21" s="99" t="inlineStr">
        <is>
          <t>BE-05</t>
        </is>
      </c>
      <c r="B21" s="115" t="n">
        <v>15000000</v>
      </c>
      <c r="C21" s="116" t="n">
        <v>47</v>
      </c>
      <c r="D21" s="116" t="n">
        <v>19</v>
      </c>
      <c r="E21" s="116" t="n">
        <v>3</v>
      </c>
      <c r="F21" s="116" t="inlineStr">
        <is>
          <t>No</t>
        </is>
      </c>
      <c r="G21" s="116" t="inlineStr">
        <is>
          <t>Yes</t>
        </is>
      </c>
      <c r="H21" s="116" t="n">
        <v>0</v>
      </c>
      <c r="I21" s="102">
        <f>IF(H21=1,Assumptions!$B$16,IF(H21=2,Assumptions!$B$17,0))</f>
        <v/>
      </c>
      <c r="J21" s="116" t="inlineStr">
        <is>
          <t>No</t>
        </is>
      </c>
      <c r="K21" s="116" t="inlineStr">
        <is>
          <t>No</t>
        </is>
      </c>
      <c r="L21" s="116" t="inlineStr">
        <is>
          <t>3rd Party GC</t>
        </is>
      </c>
      <c r="N21" s="115">
        <f>B21*Assumptions!$B$10</f>
        <v/>
      </c>
      <c r="O21" s="115">
        <f>B21*Assumptions!$B$11</f>
        <v/>
      </c>
      <c r="P21" s="115">
        <f>B21*Assumptions!$B$12</f>
        <v/>
      </c>
      <c r="Q21" s="115">
        <f>N21+O21+P21</f>
        <v/>
      </c>
      <c r="R21" s="115">
        <f>Q21*0.05</f>
        <v/>
      </c>
      <c r="S21" s="99">
        <f>C21+D21-1</f>
        <v/>
      </c>
    </row>
    <row r="22" ht="15" customHeight="1" s="201">
      <c r="A22" s="99" t="inlineStr">
        <is>
          <t>BE-06</t>
        </is>
      </c>
      <c r="B22" s="115" t="n">
        <v>15000000</v>
      </c>
      <c r="C22" s="116" t="n">
        <v>51</v>
      </c>
      <c r="D22" s="116" t="n">
        <v>19</v>
      </c>
      <c r="E22" s="116" t="n">
        <v>3</v>
      </c>
      <c r="F22" s="116" t="inlineStr">
        <is>
          <t>No</t>
        </is>
      </c>
      <c r="G22" s="116" t="inlineStr">
        <is>
          <t>Yes</t>
        </is>
      </c>
      <c r="H22" s="116" t="n">
        <v>0</v>
      </c>
      <c r="I22" s="102">
        <f>IF(H22=1,Assumptions!$B$16,IF(H22=2,Assumptions!$B$17,0))</f>
        <v/>
      </c>
      <c r="J22" s="116" t="inlineStr">
        <is>
          <t>No</t>
        </is>
      </c>
      <c r="K22" s="116" t="inlineStr">
        <is>
          <t>No</t>
        </is>
      </c>
      <c r="L22" s="116" t="inlineStr">
        <is>
          <t>3rd Party GC</t>
        </is>
      </c>
      <c r="N22" s="115">
        <f>B22*Assumptions!$B$10</f>
        <v/>
      </c>
      <c r="O22" s="115">
        <f>B22*Assumptions!$B$11</f>
        <v/>
      </c>
      <c r="P22" s="115">
        <f>B22*Assumptions!$B$12</f>
        <v/>
      </c>
      <c r="Q22" s="115">
        <f>N22+O22+P22</f>
        <v/>
      </c>
      <c r="R22" s="115">
        <f>Q22*0.05</f>
        <v/>
      </c>
      <c r="S22" s="99">
        <f>C22+D22-1</f>
        <v/>
      </c>
    </row>
    <row r="23" ht="15" customHeight="1" s="201">
      <c r="A23" s="99" t="inlineStr">
        <is>
          <t>BE-07</t>
        </is>
      </c>
      <c r="B23" s="115" t="n">
        <v>18000000</v>
      </c>
      <c r="C23" s="116" t="n">
        <v>55</v>
      </c>
      <c r="D23" s="116" t="n">
        <v>19</v>
      </c>
      <c r="E23" s="116" t="n">
        <v>3</v>
      </c>
      <c r="F23" s="116" t="inlineStr">
        <is>
          <t>No</t>
        </is>
      </c>
      <c r="G23" s="116" t="inlineStr">
        <is>
          <t>Yes</t>
        </is>
      </c>
      <c r="H23" s="116" t="n">
        <v>0</v>
      </c>
      <c r="I23" s="102">
        <f>IF(H23=1,Assumptions!$B$16,IF(H23=2,Assumptions!$B$17,0))</f>
        <v/>
      </c>
      <c r="J23" s="116" t="inlineStr">
        <is>
          <t>No</t>
        </is>
      </c>
      <c r="K23" s="116" t="inlineStr">
        <is>
          <t>No</t>
        </is>
      </c>
      <c r="L23" s="116" t="inlineStr">
        <is>
          <t>3rd Party GC</t>
        </is>
      </c>
      <c r="N23" s="115">
        <f>B23*Assumptions!$B$10</f>
        <v/>
      </c>
      <c r="O23" s="115">
        <f>B23*Assumptions!$B$11</f>
        <v/>
      </c>
      <c r="P23" s="115">
        <f>B23*Assumptions!$B$12</f>
        <v/>
      </c>
      <c r="Q23" s="115">
        <f>N23+O23+P23</f>
        <v/>
      </c>
      <c r="R23" s="115">
        <f>Q23*0.05</f>
        <v/>
      </c>
      <c r="S23" s="99">
        <f>C23+D23-1</f>
        <v/>
      </c>
    </row>
    <row r="24" ht="15" customHeight="1" s="201">
      <c r="A24" s="99" t="inlineStr">
        <is>
          <t>BE-08</t>
        </is>
      </c>
      <c r="B24" s="115" t="n">
        <v>15000000</v>
      </c>
      <c r="C24" s="116" t="n">
        <v>59</v>
      </c>
      <c r="D24" s="116" t="n">
        <v>19</v>
      </c>
      <c r="E24" s="116" t="n">
        <v>3</v>
      </c>
      <c r="F24" s="116" t="inlineStr">
        <is>
          <t>No</t>
        </is>
      </c>
      <c r="G24" s="116" t="inlineStr">
        <is>
          <t>Yes</t>
        </is>
      </c>
      <c r="H24" s="116" t="n">
        <v>0</v>
      </c>
      <c r="I24" s="102">
        <f>IF(H24=1,Assumptions!$B$16,IF(H24=2,Assumptions!$B$17,0))</f>
        <v/>
      </c>
      <c r="J24" s="116" t="inlineStr">
        <is>
          <t>No</t>
        </is>
      </c>
      <c r="K24" s="116" t="inlineStr">
        <is>
          <t>No</t>
        </is>
      </c>
      <c r="L24" s="116" t="inlineStr">
        <is>
          <t>3rd Party GC</t>
        </is>
      </c>
      <c r="N24" s="115">
        <f>B24*Assumptions!$B$10</f>
        <v/>
      </c>
      <c r="O24" s="115">
        <f>B24*Assumptions!$B$11</f>
        <v/>
      </c>
      <c r="P24" s="115">
        <f>B24*Assumptions!$B$12</f>
        <v/>
      </c>
      <c r="Q24" s="115">
        <f>N24+O24+P24</f>
        <v/>
      </c>
      <c r="R24" s="115">
        <f>Q24*0.05</f>
        <v/>
      </c>
      <c r="S24" s="99">
        <f>C24+D24-1</f>
        <v/>
      </c>
    </row>
    <row r="25" ht="15" customHeight="1" s="201">
      <c r="A25" s="99" t="inlineStr">
        <is>
          <t>BE-09</t>
        </is>
      </c>
      <c r="B25" s="115" t="n">
        <v>15000000</v>
      </c>
      <c r="C25" s="116" t="n">
        <v>63</v>
      </c>
      <c r="D25" s="116" t="n">
        <v>19</v>
      </c>
      <c r="E25" s="116" t="n">
        <v>3</v>
      </c>
      <c r="F25" s="116" t="inlineStr">
        <is>
          <t>No</t>
        </is>
      </c>
      <c r="G25" s="116" t="inlineStr">
        <is>
          <t>Yes</t>
        </is>
      </c>
      <c r="H25" s="116" t="n">
        <v>0</v>
      </c>
      <c r="I25" s="102">
        <f>IF(H25=1,Assumptions!$B$16,IF(H25=2,Assumptions!$B$17,0))</f>
        <v/>
      </c>
      <c r="J25" s="116" t="inlineStr">
        <is>
          <t>No</t>
        </is>
      </c>
      <c r="K25" s="116" t="inlineStr">
        <is>
          <t>No</t>
        </is>
      </c>
      <c r="L25" s="116" t="inlineStr">
        <is>
          <t>3rd Party GC</t>
        </is>
      </c>
      <c r="N25" s="115">
        <f>B25*Assumptions!$B$10</f>
        <v/>
      </c>
      <c r="O25" s="115">
        <f>B25*Assumptions!$B$11</f>
        <v/>
      </c>
      <c r="P25" s="115">
        <f>B25*Assumptions!$B$12</f>
        <v/>
      </c>
      <c r="Q25" s="115">
        <f>N25+O25+P25</f>
        <v/>
      </c>
      <c r="R25" s="115">
        <f>Q25*0.05</f>
        <v/>
      </c>
      <c r="S25" s="99">
        <f>C25+D25-1</f>
        <v/>
      </c>
    </row>
    <row r="26" ht="15" customHeight="1" s="201">
      <c r="A26" s="99" t="inlineStr">
        <is>
          <t>BE-10</t>
        </is>
      </c>
      <c r="B26" s="115" t="n">
        <v>18000000</v>
      </c>
      <c r="C26" s="116" t="n">
        <v>67</v>
      </c>
      <c r="D26" s="116" t="n">
        <v>19</v>
      </c>
      <c r="E26" s="116" t="n">
        <v>3</v>
      </c>
      <c r="F26" s="116" t="inlineStr">
        <is>
          <t>No</t>
        </is>
      </c>
      <c r="G26" s="116" t="inlineStr">
        <is>
          <t>Yes</t>
        </is>
      </c>
      <c r="H26" s="116" t="n">
        <v>0</v>
      </c>
      <c r="I26" s="102">
        <f>IF(H26=1,Assumptions!$B$16,IF(H26=2,Assumptions!$B$17,0))</f>
        <v/>
      </c>
      <c r="J26" s="116" t="inlineStr">
        <is>
          <t>No</t>
        </is>
      </c>
      <c r="K26" s="116" t="inlineStr">
        <is>
          <t>No</t>
        </is>
      </c>
      <c r="L26" s="116" t="inlineStr">
        <is>
          <t>3rd Party GC</t>
        </is>
      </c>
      <c r="N26" s="115">
        <f>B26*Assumptions!$B$10</f>
        <v/>
      </c>
      <c r="O26" s="115">
        <f>B26*Assumptions!$B$11</f>
        <v/>
      </c>
      <c r="P26" s="115">
        <f>B26*Assumptions!$B$12</f>
        <v/>
      </c>
      <c r="Q26" s="115">
        <f>N26+O26+P26</f>
        <v/>
      </c>
      <c r="R26" s="115">
        <f>Q26*0.05</f>
        <v/>
      </c>
      <c r="S26" s="99">
        <f>C26+D26-1</f>
        <v/>
      </c>
    </row>
    <row r="27" ht="15" customHeight="1" s="201">
      <c r="A27" s="99" t="inlineStr">
        <is>
          <t>BE-11</t>
        </is>
      </c>
      <c r="B27" s="115" t="n">
        <v>15000000</v>
      </c>
      <c r="C27" s="116" t="n">
        <v>69</v>
      </c>
      <c r="D27" s="116" t="n">
        <v>19</v>
      </c>
      <c r="E27" s="116" t="n">
        <v>3</v>
      </c>
      <c r="F27" s="116" t="inlineStr">
        <is>
          <t>No</t>
        </is>
      </c>
      <c r="G27" s="116" t="inlineStr">
        <is>
          <t>Yes</t>
        </is>
      </c>
      <c r="H27" s="116" t="n">
        <v>0</v>
      </c>
      <c r="I27" s="102">
        <f>IF(H27=1,Assumptions!$B$16,IF(H27=2,Assumptions!$B$17,0))</f>
        <v/>
      </c>
      <c r="J27" s="116" t="inlineStr">
        <is>
          <t>No</t>
        </is>
      </c>
      <c r="K27" s="116" t="inlineStr">
        <is>
          <t>No</t>
        </is>
      </c>
      <c r="L27" s="116" t="inlineStr">
        <is>
          <t>3rd Party GC</t>
        </is>
      </c>
      <c r="N27" s="115">
        <f>B27*Assumptions!$B$10</f>
        <v/>
      </c>
      <c r="O27" s="115">
        <f>B27*Assumptions!$B$11</f>
        <v/>
      </c>
      <c r="P27" s="115">
        <f>B27*Assumptions!$B$12</f>
        <v/>
      </c>
      <c r="Q27" s="115">
        <f>N27+O27+P27</f>
        <v/>
      </c>
      <c r="R27" s="115">
        <f>Q27*0.05</f>
        <v/>
      </c>
      <c r="S27" s="99">
        <f>C27+D27-1</f>
        <v/>
      </c>
    </row>
    <row r="28" ht="15" customHeight="1" s="201">
      <c r="A28" s="99" t="inlineStr">
        <is>
          <t>BE-12</t>
        </is>
      </c>
      <c r="B28" s="115" t="n">
        <v>15000000</v>
      </c>
      <c r="C28" s="116" t="n">
        <v>71</v>
      </c>
      <c r="D28" s="116" t="n">
        <v>19</v>
      </c>
      <c r="E28" s="116" t="n">
        <v>3</v>
      </c>
      <c r="F28" s="116" t="inlineStr">
        <is>
          <t>No</t>
        </is>
      </c>
      <c r="G28" s="116" t="inlineStr">
        <is>
          <t>Yes</t>
        </is>
      </c>
      <c r="H28" s="116" t="n">
        <v>0</v>
      </c>
      <c r="I28" s="102">
        <f>IF(H28=1,Assumptions!$B$16,IF(H28=2,Assumptions!$B$17,0))</f>
        <v/>
      </c>
      <c r="J28" s="116" t="inlineStr">
        <is>
          <t>No</t>
        </is>
      </c>
      <c r="K28" s="116" t="inlineStr">
        <is>
          <t>No</t>
        </is>
      </c>
      <c r="L28" s="116" t="inlineStr">
        <is>
          <t>3rd Party GC</t>
        </is>
      </c>
      <c r="N28" s="115">
        <f>B28*Assumptions!$B$10</f>
        <v/>
      </c>
      <c r="O28" s="115">
        <f>B28*Assumptions!$B$11</f>
        <v/>
      </c>
      <c r="P28" s="115">
        <f>B28*Assumptions!$B$12</f>
        <v/>
      </c>
      <c r="Q28" s="115">
        <f>N28+O28+P28</f>
        <v/>
      </c>
      <c r="R28" s="115">
        <f>Q28*0.05</f>
        <v/>
      </c>
      <c r="S28" s="99">
        <f>C28+D28-1</f>
        <v/>
      </c>
    </row>
    <row r="29" ht="15" customHeight="1" s="201">
      <c r="A29" s="99" t="inlineStr">
        <is>
          <t>BE-13</t>
        </is>
      </c>
      <c r="B29" s="115" t="n">
        <v>15000000</v>
      </c>
      <c r="C29" s="116" t="n">
        <v>75</v>
      </c>
      <c r="D29" s="116" t="n">
        <v>19</v>
      </c>
      <c r="E29" s="116" t="n">
        <v>3</v>
      </c>
      <c r="F29" s="116" t="inlineStr">
        <is>
          <t>No</t>
        </is>
      </c>
      <c r="G29" s="116" t="inlineStr">
        <is>
          <t>Yes</t>
        </is>
      </c>
      <c r="H29" s="116" t="n">
        <v>0</v>
      </c>
      <c r="I29" s="102">
        <f>IF(H29=1,Assumptions!$B$16,IF(H29=2,Assumptions!$B$17,0))</f>
        <v/>
      </c>
      <c r="J29" s="116" t="inlineStr">
        <is>
          <t>No</t>
        </is>
      </c>
      <c r="K29" s="116" t="inlineStr">
        <is>
          <t>No</t>
        </is>
      </c>
      <c r="L29" s="116" t="inlineStr">
        <is>
          <t>3rd Party GC</t>
        </is>
      </c>
      <c r="N29" s="115">
        <f>B29*Assumptions!$B$10</f>
        <v/>
      </c>
      <c r="O29" s="115">
        <f>B29*Assumptions!$B$11</f>
        <v/>
      </c>
      <c r="P29" s="115">
        <f>B29*Assumptions!$B$12</f>
        <v/>
      </c>
      <c r="Q29" s="115">
        <f>N29+O29+P29</f>
        <v/>
      </c>
      <c r="R29" s="115">
        <f>Q29*0.05</f>
        <v/>
      </c>
      <c r="S29" s="99">
        <f>C29+D29-1</f>
        <v/>
      </c>
    </row>
    <row r="30" ht="15" customHeight="1" s="201">
      <c r="A30" s="99" t="inlineStr">
        <is>
          <t>(dropped) BD-14</t>
        </is>
      </c>
      <c r="B30" s="115" t="n">
        <v>15000000</v>
      </c>
      <c r="C30" s="116" t="n">
        <v>50</v>
      </c>
      <c r="D30" s="116" t="n">
        <v>19</v>
      </c>
      <c r="E30" s="116" t="n">
        <v>3</v>
      </c>
      <c r="F30" s="116" t="inlineStr">
        <is>
          <t>No</t>
        </is>
      </c>
      <c r="G30" s="116" t="inlineStr">
        <is>
          <t>No</t>
        </is>
      </c>
      <c r="H30" s="116" t="n">
        <v>0</v>
      </c>
      <c r="I30" s="102">
        <f>IF(H30=1,Assumptions!$B$16,IF(H30=2,Assumptions!$B$17,0))</f>
        <v/>
      </c>
      <c r="J30" s="116" t="inlineStr">
        <is>
          <t>No</t>
        </is>
      </c>
      <c r="K30" s="116" t="inlineStr">
        <is>
          <t>No</t>
        </is>
      </c>
      <c r="L30" s="116" t="inlineStr">
        <is>
          <t>3rd Party GC</t>
        </is>
      </c>
      <c r="N30" s="115">
        <f>B30*Assumptions!$B$10</f>
        <v/>
      </c>
      <c r="O30" s="115">
        <f>B30*Assumptions!$B$11</f>
        <v/>
      </c>
      <c r="P30" s="115">
        <f>B30*Assumptions!$B$12</f>
        <v/>
      </c>
      <c r="Q30" s="115">
        <f>N30+O30+P30</f>
        <v/>
      </c>
      <c r="R30" s="115">
        <f>Q30*0.05</f>
        <v/>
      </c>
      <c r="S30" s="99">
        <f>C30+D30-1</f>
        <v/>
      </c>
    </row>
    <row r="31" ht="15" customHeight="1" s="201">
      <c r="A31" s="99" t="inlineStr">
        <is>
          <t>(dropped) BD-15</t>
        </is>
      </c>
      <c r="B31" s="115" t="n">
        <v>18000000</v>
      </c>
      <c r="C31" s="116" t="n">
        <v>52</v>
      </c>
      <c r="D31" s="116" t="n">
        <v>19</v>
      </c>
      <c r="E31" s="116" t="n">
        <v>3</v>
      </c>
      <c r="F31" s="116" t="inlineStr">
        <is>
          <t>No</t>
        </is>
      </c>
      <c r="G31" s="116" t="inlineStr">
        <is>
          <t>No</t>
        </is>
      </c>
      <c r="H31" s="116" t="n">
        <v>0</v>
      </c>
      <c r="I31" s="102">
        <f>IF(H31=1,Assumptions!$B$16,IF(H31=2,Assumptions!$B$17,0))</f>
        <v/>
      </c>
      <c r="J31" s="116" t="inlineStr">
        <is>
          <t>No</t>
        </is>
      </c>
      <c r="K31" s="116" t="inlineStr">
        <is>
          <t>No</t>
        </is>
      </c>
      <c r="L31" s="116" t="inlineStr">
        <is>
          <t>3rd Party GC</t>
        </is>
      </c>
      <c r="N31" s="115">
        <f>B31*Assumptions!$B$10</f>
        <v/>
      </c>
      <c r="O31" s="115">
        <f>B31*Assumptions!$B$11</f>
        <v/>
      </c>
      <c r="P31" s="115">
        <f>B31*Assumptions!$B$12</f>
        <v/>
      </c>
      <c r="Q31" s="115">
        <f>N31+O31+P31</f>
        <v/>
      </c>
      <c r="R31" s="115">
        <f>Q31*0.05</f>
        <v/>
      </c>
      <c r="S31" s="99">
        <f>C31+D31-1</f>
        <v/>
      </c>
    </row>
    <row r="32" ht="15" customHeight="1" s="201">
      <c r="A32" s="99" t="inlineStr">
        <is>
          <t>(dropped) BD-16</t>
        </is>
      </c>
      <c r="B32" s="115" t="n">
        <v>15000000</v>
      </c>
      <c r="C32" s="116" t="n">
        <v>54</v>
      </c>
      <c r="D32" s="116" t="n">
        <v>19</v>
      </c>
      <c r="E32" s="116" t="n">
        <v>3</v>
      </c>
      <c r="F32" s="116" t="inlineStr">
        <is>
          <t>No</t>
        </is>
      </c>
      <c r="G32" s="116" t="inlineStr">
        <is>
          <t>No</t>
        </is>
      </c>
      <c r="H32" s="116" t="n">
        <v>0</v>
      </c>
      <c r="I32" s="102">
        <f>IF(H32=1,Assumptions!$B$16,IF(H32=2,Assumptions!$B$17,0))</f>
        <v/>
      </c>
      <c r="J32" s="116" t="inlineStr">
        <is>
          <t>No</t>
        </is>
      </c>
      <c r="K32" s="116" t="inlineStr">
        <is>
          <t>No</t>
        </is>
      </c>
      <c r="L32" s="116" t="inlineStr">
        <is>
          <t>3rd Party GC</t>
        </is>
      </c>
      <c r="N32" s="115">
        <f>B32*Assumptions!$B$10</f>
        <v/>
      </c>
      <c r="O32" s="115">
        <f>B32*Assumptions!$B$11</f>
        <v/>
      </c>
      <c r="P32" s="115">
        <f>B32*Assumptions!$B$12</f>
        <v/>
      </c>
      <c r="Q32" s="115">
        <f>N32+O32+P32</f>
        <v/>
      </c>
      <c r="R32" s="115">
        <f>Q32*0.05</f>
        <v/>
      </c>
      <c r="S32" s="99">
        <f>C32+D32-1</f>
        <v/>
      </c>
    </row>
    <row r="33" ht="15" customHeight="1" s="201">
      <c r="A33" s="99" t="inlineStr">
        <is>
          <t>(dropped) BD-17</t>
        </is>
      </c>
      <c r="B33" s="115" t="n">
        <v>15000000</v>
      </c>
      <c r="C33" s="116" t="n">
        <v>56</v>
      </c>
      <c r="D33" s="116" t="n">
        <v>19</v>
      </c>
      <c r="E33" s="116" t="n">
        <v>3</v>
      </c>
      <c r="F33" s="116" t="inlineStr">
        <is>
          <t>No</t>
        </is>
      </c>
      <c r="G33" s="116" t="inlineStr">
        <is>
          <t>No</t>
        </is>
      </c>
      <c r="H33" s="116" t="n">
        <v>0</v>
      </c>
      <c r="I33" s="102">
        <f>IF(H33=1,Assumptions!$B$16,IF(H33=2,Assumptions!$B$17,0))</f>
        <v/>
      </c>
      <c r="J33" s="116" t="inlineStr">
        <is>
          <t>No</t>
        </is>
      </c>
      <c r="K33" s="116" t="inlineStr">
        <is>
          <t>No</t>
        </is>
      </c>
      <c r="L33" s="116" t="inlineStr">
        <is>
          <t>3rd Party GC</t>
        </is>
      </c>
      <c r="N33" s="115">
        <f>B33*Assumptions!$B$10</f>
        <v/>
      </c>
      <c r="O33" s="115">
        <f>B33*Assumptions!$B$11</f>
        <v/>
      </c>
      <c r="P33" s="115">
        <f>B33*Assumptions!$B$12</f>
        <v/>
      </c>
      <c r="Q33" s="115">
        <f>N33+O33+P33</f>
        <v/>
      </c>
      <c r="R33" s="115">
        <f>Q33*0.05</f>
        <v/>
      </c>
      <c r="S33" s="99">
        <f>C33+D33-1</f>
        <v/>
      </c>
    </row>
    <row r="34" ht="15" customHeight="1" s="201">
      <c r="A34" s="99" t="inlineStr">
        <is>
          <t>(dropped) BD-18</t>
        </is>
      </c>
      <c r="B34" s="115" t="n">
        <v>18000000</v>
      </c>
      <c r="C34" s="116" t="n">
        <v>58</v>
      </c>
      <c r="D34" s="116" t="n">
        <v>19</v>
      </c>
      <c r="E34" s="116" t="n">
        <v>3</v>
      </c>
      <c r="F34" s="116" t="inlineStr">
        <is>
          <t>No</t>
        </is>
      </c>
      <c r="G34" s="116" t="inlineStr">
        <is>
          <t>No</t>
        </is>
      </c>
      <c r="H34" s="116" t="n">
        <v>0</v>
      </c>
      <c r="I34" s="102">
        <f>IF(H34=1,Assumptions!$B$16,IF(H34=2,Assumptions!$B$17,0))</f>
        <v/>
      </c>
      <c r="J34" s="116" t="inlineStr">
        <is>
          <t>No</t>
        </is>
      </c>
      <c r="K34" s="116" t="inlineStr">
        <is>
          <t>No</t>
        </is>
      </c>
      <c r="L34" s="116" t="inlineStr">
        <is>
          <t>3rd Party GC</t>
        </is>
      </c>
      <c r="N34" s="115">
        <f>B34*Assumptions!$B$10</f>
        <v/>
      </c>
      <c r="O34" s="115">
        <f>B34*Assumptions!$B$11</f>
        <v/>
      </c>
      <c r="P34" s="115">
        <f>B34*Assumptions!$B$12</f>
        <v/>
      </c>
      <c r="Q34" s="115">
        <f>N34+O34+P34</f>
        <v/>
      </c>
      <c r="R34" s="115">
        <f>Q34*0.05</f>
        <v/>
      </c>
      <c r="S34" s="99">
        <f>C34+D34-1</f>
        <v/>
      </c>
    </row>
    <row r="35" ht="15" customHeight="1" s="201">
      <c r="A35" s="99" t="inlineStr">
        <is>
          <t>(dropped) BD-19</t>
        </is>
      </c>
      <c r="B35" s="115" t="n">
        <v>15000000</v>
      </c>
      <c r="C35" s="116" t="n">
        <v>60</v>
      </c>
      <c r="D35" s="116" t="n">
        <v>19</v>
      </c>
      <c r="E35" s="116" t="n">
        <v>3</v>
      </c>
      <c r="F35" s="116" t="inlineStr">
        <is>
          <t>No</t>
        </is>
      </c>
      <c r="G35" s="116" t="inlineStr">
        <is>
          <t>No</t>
        </is>
      </c>
      <c r="H35" s="116" t="n">
        <v>0</v>
      </c>
      <c r="I35" s="102">
        <f>IF(H35=1,Assumptions!$B$16,IF(H35=2,Assumptions!$B$17,0))</f>
        <v/>
      </c>
      <c r="J35" s="116" t="inlineStr">
        <is>
          <t>No</t>
        </is>
      </c>
      <c r="K35" s="116" t="inlineStr">
        <is>
          <t>No</t>
        </is>
      </c>
      <c r="L35" s="116" t="inlineStr">
        <is>
          <t>3rd Party GC</t>
        </is>
      </c>
      <c r="N35" s="115">
        <f>B35*Assumptions!$B$10</f>
        <v/>
      </c>
      <c r="O35" s="115">
        <f>B35*Assumptions!$B$11</f>
        <v/>
      </c>
      <c r="P35" s="115">
        <f>B35*Assumptions!$B$12</f>
        <v/>
      </c>
      <c r="Q35" s="115">
        <f>N35+O35+P35</f>
        <v/>
      </c>
      <c r="R35" s="115">
        <f>Q35*0.05</f>
        <v/>
      </c>
      <c r="S35" s="99">
        <f>C35+D35-1</f>
        <v/>
      </c>
    </row>
    <row r="36" ht="15" customHeight="1" s="201">
      <c r="A36" s="99" t="inlineStr">
        <is>
          <t>(dropped) BD-20</t>
        </is>
      </c>
      <c r="B36" s="115" t="n">
        <v>18000000</v>
      </c>
      <c r="C36" s="116" t="n">
        <v>62</v>
      </c>
      <c r="D36" s="116" t="n">
        <v>19</v>
      </c>
      <c r="E36" s="116" t="n">
        <v>3</v>
      </c>
      <c r="F36" s="116" t="inlineStr">
        <is>
          <t>No</t>
        </is>
      </c>
      <c r="G36" s="116" t="inlineStr">
        <is>
          <t>No</t>
        </is>
      </c>
      <c r="H36" s="116" t="n">
        <v>0</v>
      </c>
      <c r="I36" s="102">
        <f>IF(H36=1,Assumptions!$B$16,IF(H36=2,Assumptions!$B$17,0))</f>
        <v/>
      </c>
      <c r="J36" s="116" t="inlineStr">
        <is>
          <t>No</t>
        </is>
      </c>
      <c r="K36" s="116" t="inlineStr">
        <is>
          <t>No</t>
        </is>
      </c>
      <c r="L36" s="116" t="inlineStr">
        <is>
          <t>3rd Party GC</t>
        </is>
      </c>
      <c r="N36" s="115">
        <f>B36*Assumptions!$B$10</f>
        <v/>
      </c>
      <c r="O36" s="115">
        <f>B36*Assumptions!$B$11</f>
        <v/>
      </c>
      <c r="P36" s="115">
        <f>B36*Assumptions!$B$12</f>
        <v/>
      </c>
      <c r="Q36" s="115">
        <f>N36+O36+P36</f>
        <v/>
      </c>
      <c r="R36" s="115">
        <f>Q36*0.05</f>
        <v/>
      </c>
      <c r="S36" s="99">
        <f>C36+D36-1</f>
        <v/>
      </c>
    </row>
    <row r="37" ht="15" customHeight="1" s="201">
      <c r="A37" s="99" t="inlineStr">
        <is>
          <t>(dropped) BD-21</t>
        </is>
      </c>
      <c r="B37" s="115" t="n">
        <v>15000000</v>
      </c>
      <c r="C37" s="116" t="n">
        <v>64</v>
      </c>
      <c r="D37" s="116" t="n">
        <v>19</v>
      </c>
      <c r="E37" s="116" t="n">
        <v>3</v>
      </c>
      <c r="F37" s="116" t="inlineStr">
        <is>
          <t>No</t>
        </is>
      </c>
      <c r="G37" s="116" t="inlineStr">
        <is>
          <t>No</t>
        </is>
      </c>
      <c r="H37" s="116" t="n">
        <v>0</v>
      </c>
      <c r="I37" s="102">
        <f>IF(H37=1,Assumptions!$B$16,IF(H37=2,Assumptions!$B$17,0))</f>
        <v/>
      </c>
      <c r="J37" s="116" t="inlineStr">
        <is>
          <t>No</t>
        </is>
      </c>
      <c r="K37" s="116" t="inlineStr">
        <is>
          <t>No</t>
        </is>
      </c>
      <c r="L37" s="116" t="inlineStr">
        <is>
          <t>3rd Party GC</t>
        </is>
      </c>
      <c r="N37" s="115">
        <f>B37*Assumptions!$B$10</f>
        <v/>
      </c>
      <c r="O37" s="115">
        <f>B37*Assumptions!$B$11</f>
        <v/>
      </c>
      <c r="P37" s="115">
        <f>B37*Assumptions!$B$12</f>
        <v/>
      </c>
      <c r="Q37" s="115">
        <f>N37+O37+P37</f>
        <v/>
      </c>
      <c r="R37" s="115">
        <f>Q37*0.05</f>
        <v/>
      </c>
      <c r="S37" s="99">
        <f>C37+D37-1</f>
        <v/>
      </c>
    </row>
    <row r="38" ht="15" customHeight="1" s="201">
      <c r="A38" s="99" t="inlineStr">
        <is>
          <t>(dropped) BD-22</t>
        </is>
      </c>
      <c r="B38" s="115" t="n">
        <v>15000000</v>
      </c>
      <c r="C38" s="116" t="n">
        <v>66</v>
      </c>
      <c r="D38" s="116" t="n">
        <v>19</v>
      </c>
      <c r="E38" s="116" t="n">
        <v>3</v>
      </c>
      <c r="F38" s="116" t="inlineStr">
        <is>
          <t>No</t>
        </is>
      </c>
      <c r="G38" s="116" t="inlineStr">
        <is>
          <t>No</t>
        </is>
      </c>
      <c r="H38" s="116" t="n">
        <v>0</v>
      </c>
      <c r="I38" s="102">
        <f>IF(H38=1,Assumptions!$B$16,IF(H38=2,Assumptions!$B$17,0))</f>
        <v/>
      </c>
      <c r="J38" s="116" t="inlineStr">
        <is>
          <t>No</t>
        </is>
      </c>
      <c r="K38" s="116" t="inlineStr">
        <is>
          <t>No</t>
        </is>
      </c>
      <c r="L38" s="116" t="inlineStr">
        <is>
          <t>3rd Party GC</t>
        </is>
      </c>
      <c r="N38" s="115">
        <f>B38*Assumptions!$B$10</f>
        <v/>
      </c>
      <c r="O38" s="115">
        <f>B38*Assumptions!$B$11</f>
        <v/>
      </c>
      <c r="P38" s="115">
        <f>B38*Assumptions!$B$12</f>
        <v/>
      </c>
      <c r="Q38" s="115">
        <f>N38+O38+P38</f>
        <v/>
      </c>
      <c r="R38" s="115">
        <f>Q38*0.05</f>
        <v/>
      </c>
      <c r="S38" s="99">
        <f>C38+D38-1</f>
        <v/>
      </c>
    </row>
    <row r="39" ht="15" customHeight="1" s="201">
      <c r="A39" s="99" t="inlineStr">
        <is>
          <t>(dropped) BD-23</t>
        </is>
      </c>
      <c r="B39" s="115" t="n">
        <v>18000000</v>
      </c>
      <c r="C39" s="116" t="n">
        <v>68</v>
      </c>
      <c r="D39" s="116" t="n">
        <v>19</v>
      </c>
      <c r="E39" s="116" t="n">
        <v>3</v>
      </c>
      <c r="F39" s="116" t="inlineStr">
        <is>
          <t>No</t>
        </is>
      </c>
      <c r="G39" s="116" t="inlineStr">
        <is>
          <t>No</t>
        </is>
      </c>
      <c r="H39" s="116" t="n">
        <v>0</v>
      </c>
      <c r="I39" s="102">
        <f>IF(H39=1,Assumptions!$B$16,IF(H39=2,Assumptions!$B$17,0))</f>
        <v/>
      </c>
      <c r="J39" s="116" t="inlineStr">
        <is>
          <t>No</t>
        </is>
      </c>
      <c r="K39" s="116" t="inlineStr">
        <is>
          <t>No</t>
        </is>
      </c>
      <c r="L39" s="116" t="inlineStr">
        <is>
          <t>3rd Party GC</t>
        </is>
      </c>
      <c r="N39" s="115">
        <f>B39*Assumptions!$B$10</f>
        <v/>
      </c>
      <c r="O39" s="115">
        <f>B39*Assumptions!$B$11</f>
        <v/>
      </c>
      <c r="P39" s="115">
        <f>B39*Assumptions!$B$12</f>
        <v/>
      </c>
      <c r="Q39" s="115">
        <f>N39+O39+P39</f>
        <v/>
      </c>
      <c r="R39" s="115">
        <f>Q39*0.05</f>
        <v/>
      </c>
      <c r="S39" s="99">
        <f>C39+D39-1</f>
        <v/>
      </c>
    </row>
    <row r="40" ht="15" customHeight="1" s="201">
      <c r="A40" s="99" t="inlineStr">
        <is>
          <t>(dropped) BD-24</t>
        </is>
      </c>
      <c r="B40" s="115" t="n">
        <v>15000000</v>
      </c>
      <c r="C40" s="116" t="n">
        <v>70</v>
      </c>
      <c r="D40" s="116" t="n">
        <v>19</v>
      </c>
      <c r="E40" s="116" t="n">
        <v>3</v>
      </c>
      <c r="F40" s="116" t="inlineStr">
        <is>
          <t>No</t>
        </is>
      </c>
      <c r="G40" s="116" t="inlineStr">
        <is>
          <t>No</t>
        </is>
      </c>
      <c r="H40" s="116" t="n">
        <v>0</v>
      </c>
      <c r="I40" s="102">
        <f>IF(H40=1,Assumptions!$B$16,IF(H40=2,Assumptions!$B$17,0))</f>
        <v/>
      </c>
      <c r="J40" s="116" t="inlineStr">
        <is>
          <t>No</t>
        </is>
      </c>
      <c r="K40" s="116" t="inlineStr">
        <is>
          <t>No</t>
        </is>
      </c>
      <c r="L40" s="116" t="inlineStr">
        <is>
          <t>3rd Party GC</t>
        </is>
      </c>
      <c r="N40" s="115">
        <f>B40*Assumptions!$B$10</f>
        <v/>
      </c>
      <c r="O40" s="115">
        <f>B40*Assumptions!$B$11</f>
        <v/>
      </c>
      <c r="P40" s="115">
        <f>B40*Assumptions!$B$12</f>
        <v/>
      </c>
      <c r="Q40" s="115">
        <f>N40+O40+P40</f>
        <v/>
      </c>
      <c r="R40" s="115">
        <f>Q40*0.05</f>
        <v/>
      </c>
      <c r="S40" s="99">
        <f>C40+D40-1</f>
        <v/>
      </c>
    </row>
    <row r="41" ht="15" customHeight="1" s="201">
      <c r="A41" s="99" t="inlineStr">
        <is>
          <t>(dropped) BD-25</t>
        </is>
      </c>
      <c r="B41" s="115" t="n">
        <v>15000000</v>
      </c>
      <c r="C41" s="116" t="n">
        <v>72</v>
      </c>
      <c r="D41" s="116" t="n">
        <v>19</v>
      </c>
      <c r="E41" s="116" t="n">
        <v>3</v>
      </c>
      <c r="F41" s="116" t="inlineStr">
        <is>
          <t>No</t>
        </is>
      </c>
      <c r="G41" s="116" t="inlineStr">
        <is>
          <t>No</t>
        </is>
      </c>
      <c r="H41" s="116" t="n">
        <v>0</v>
      </c>
      <c r="I41" s="102">
        <f>IF(H41=1,Assumptions!$B$16,IF(H41=2,Assumptions!$B$17,0))</f>
        <v/>
      </c>
      <c r="J41" s="116" t="inlineStr">
        <is>
          <t>No</t>
        </is>
      </c>
      <c r="K41" s="116" t="inlineStr">
        <is>
          <t>No</t>
        </is>
      </c>
      <c r="L41" s="116" t="inlineStr">
        <is>
          <t>3rd Party GC</t>
        </is>
      </c>
      <c r="N41" s="115">
        <f>B41*Assumptions!$B$10</f>
        <v/>
      </c>
      <c r="O41" s="115">
        <f>B41*Assumptions!$B$11</f>
        <v/>
      </c>
      <c r="P41" s="115">
        <f>B41*Assumptions!$B$12</f>
        <v/>
      </c>
      <c r="Q41" s="115">
        <f>N41+O41+P41</f>
        <v/>
      </c>
      <c r="R41" s="115">
        <f>Q41*0.05</f>
        <v/>
      </c>
      <c r="S41" s="99">
        <f>C41+D41-1</f>
        <v/>
      </c>
    </row>
    <row r="42" ht="15" customHeight="1" s="201">
      <c r="A42" s="99" t="inlineStr">
        <is>
          <t>(dropped) BD-26</t>
        </is>
      </c>
      <c r="B42" s="115" t="n">
        <v>18000000</v>
      </c>
      <c r="C42" s="116" t="n">
        <v>74</v>
      </c>
      <c r="D42" s="116" t="n">
        <v>19</v>
      </c>
      <c r="E42" s="116" t="n">
        <v>3</v>
      </c>
      <c r="F42" s="116" t="inlineStr">
        <is>
          <t>No</t>
        </is>
      </c>
      <c r="G42" s="116" t="inlineStr">
        <is>
          <t>No</t>
        </is>
      </c>
      <c r="H42" s="116" t="n">
        <v>0</v>
      </c>
      <c r="I42" s="102">
        <f>IF(H42=1,Assumptions!$B$16,IF(H42=2,Assumptions!$B$17,0))</f>
        <v/>
      </c>
      <c r="J42" s="116" t="inlineStr">
        <is>
          <t>No</t>
        </is>
      </c>
      <c r="K42" s="116" t="inlineStr">
        <is>
          <t>No</t>
        </is>
      </c>
      <c r="L42" s="116" t="inlineStr">
        <is>
          <t>3rd Party GC</t>
        </is>
      </c>
      <c r="N42" s="115">
        <f>B42*Assumptions!$B$10</f>
        <v/>
      </c>
      <c r="O42" s="115">
        <f>B42*Assumptions!$B$11</f>
        <v/>
      </c>
      <c r="P42" s="115">
        <f>B42*Assumptions!$B$12</f>
        <v/>
      </c>
      <c r="Q42" s="115">
        <f>N42+O42+P42</f>
        <v/>
      </c>
      <c r="R42" s="115">
        <f>Q42*0.05</f>
        <v/>
      </c>
      <c r="S42" s="99">
        <f>C42+D42-1</f>
        <v/>
      </c>
    </row>
    <row r="43" ht="15" customHeight="1" s="201">
      <c r="A43" s="99" t="inlineStr">
        <is>
          <t>(dropped) BD-27</t>
        </is>
      </c>
      <c r="B43" s="115" t="n">
        <v>15000000</v>
      </c>
      <c r="C43" s="116" t="n">
        <v>76</v>
      </c>
      <c r="D43" s="116" t="n">
        <v>19</v>
      </c>
      <c r="E43" s="116" t="n">
        <v>3</v>
      </c>
      <c r="F43" s="116" t="inlineStr">
        <is>
          <t>No</t>
        </is>
      </c>
      <c r="G43" s="116" t="inlineStr">
        <is>
          <t>No</t>
        </is>
      </c>
      <c r="H43" s="116" t="n">
        <v>0</v>
      </c>
      <c r="I43" s="102">
        <f>IF(H43=1,Assumptions!$B$16,IF(H43=2,Assumptions!$B$17,0))</f>
        <v/>
      </c>
      <c r="J43" s="116" t="inlineStr">
        <is>
          <t>No</t>
        </is>
      </c>
      <c r="K43" s="116" t="inlineStr">
        <is>
          <t>No</t>
        </is>
      </c>
      <c r="L43" s="116" t="inlineStr">
        <is>
          <t>3rd Party GC</t>
        </is>
      </c>
      <c r="N43" s="115">
        <f>B43*Assumptions!$B$10</f>
        <v/>
      </c>
      <c r="O43" s="115">
        <f>B43*Assumptions!$B$11</f>
        <v/>
      </c>
      <c r="P43" s="115">
        <f>B43*Assumptions!$B$12</f>
        <v/>
      </c>
      <c r="Q43" s="115">
        <f>N43+O43+P43</f>
        <v/>
      </c>
      <c r="R43" s="115">
        <f>Q43*0.05</f>
        <v/>
      </c>
      <c r="S43" s="99">
        <f>C43+D43-1</f>
        <v/>
      </c>
    </row>
    <row r="44" ht="15" customHeight="1" s="201">
      <c r="A44" s="99" t="inlineStr">
        <is>
          <t>(dropped) BD-28</t>
        </is>
      </c>
      <c r="B44" s="115" t="n">
        <v>15000000</v>
      </c>
      <c r="C44" s="116" t="n">
        <v>78</v>
      </c>
      <c r="D44" s="116" t="n">
        <v>19</v>
      </c>
      <c r="E44" s="116" t="n">
        <v>3</v>
      </c>
      <c r="F44" s="116" t="inlineStr">
        <is>
          <t>No</t>
        </is>
      </c>
      <c r="G44" s="116" t="inlineStr">
        <is>
          <t>No</t>
        </is>
      </c>
      <c r="H44" s="116" t="n">
        <v>0</v>
      </c>
      <c r="I44" s="102">
        <f>IF(H44=1,Assumptions!$B$16,IF(H44=2,Assumptions!$B$17,0))</f>
        <v/>
      </c>
      <c r="J44" s="116" t="inlineStr">
        <is>
          <t>No</t>
        </is>
      </c>
      <c r="K44" s="116" t="inlineStr">
        <is>
          <t>No</t>
        </is>
      </c>
      <c r="L44" s="116" t="inlineStr">
        <is>
          <t>3rd Party GC</t>
        </is>
      </c>
      <c r="N44" s="115">
        <f>B44*Assumptions!$B$10</f>
        <v/>
      </c>
      <c r="O44" s="115">
        <f>B44*Assumptions!$B$11</f>
        <v/>
      </c>
      <c r="P44" s="115">
        <f>B44*Assumptions!$B$12</f>
        <v/>
      </c>
      <c r="Q44" s="115">
        <f>N44+O44+P44</f>
        <v/>
      </c>
      <c r="R44" s="115">
        <f>Q44*0.05</f>
        <v/>
      </c>
      <c r="S44" s="99">
        <f>C44+D44-1</f>
        <v/>
      </c>
    </row>
    <row r="45" ht="15" customHeight="1" s="201">
      <c r="A45" s="99" t="inlineStr">
        <is>
          <t>(dropped) BD-29</t>
        </is>
      </c>
      <c r="B45" s="115" t="n">
        <v>18000000</v>
      </c>
      <c r="C45" s="116" t="n">
        <v>80</v>
      </c>
      <c r="D45" s="116" t="n">
        <v>19</v>
      </c>
      <c r="E45" s="116" t="n">
        <v>3</v>
      </c>
      <c r="F45" s="116" t="inlineStr">
        <is>
          <t>No</t>
        </is>
      </c>
      <c r="G45" s="116" t="inlineStr">
        <is>
          <t>No</t>
        </is>
      </c>
      <c r="H45" s="116" t="n">
        <v>0</v>
      </c>
      <c r="I45" s="102">
        <f>IF(H45=1,Assumptions!$B$16,IF(H45=2,Assumptions!$B$17,0))</f>
        <v/>
      </c>
      <c r="J45" s="116" t="inlineStr">
        <is>
          <t>No</t>
        </is>
      </c>
      <c r="K45" s="116" t="inlineStr">
        <is>
          <t>No</t>
        </is>
      </c>
      <c r="L45" s="116" t="inlineStr">
        <is>
          <t>3rd Party GC</t>
        </is>
      </c>
      <c r="N45" s="115">
        <f>B45*Assumptions!$B$10</f>
        <v/>
      </c>
      <c r="O45" s="115">
        <f>B45*Assumptions!$B$11</f>
        <v/>
      </c>
      <c r="P45" s="115">
        <f>B45*Assumptions!$B$12</f>
        <v/>
      </c>
      <c r="Q45" s="115">
        <f>N45+O45+P45</f>
        <v/>
      </c>
      <c r="R45" s="115">
        <f>Q45*0.05</f>
        <v/>
      </c>
      <c r="S45" s="99">
        <f>C45+D45-1</f>
        <v/>
      </c>
    </row>
    <row r="46" ht="15" customHeight="1" s="201">
      <c r="A46" s="99" t="inlineStr">
        <is>
          <t>(dropped) BD-30</t>
        </is>
      </c>
      <c r="B46" s="115" t="n">
        <v>15000000</v>
      </c>
      <c r="C46" s="116" t="n">
        <v>82</v>
      </c>
      <c r="D46" s="116" t="n">
        <v>19</v>
      </c>
      <c r="E46" s="116" t="n">
        <v>3</v>
      </c>
      <c r="F46" s="116" t="inlineStr">
        <is>
          <t>No</t>
        </is>
      </c>
      <c r="G46" s="116" t="inlineStr">
        <is>
          <t>No</t>
        </is>
      </c>
      <c r="H46" s="116" t="n">
        <v>0</v>
      </c>
      <c r="I46" s="102">
        <f>IF(H46=1,Assumptions!$B$16,IF(H46=2,Assumptions!$B$17,0))</f>
        <v/>
      </c>
      <c r="J46" s="116" t="inlineStr">
        <is>
          <t>No</t>
        </is>
      </c>
      <c r="K46" s="116" t="inlineStr">
        <is>
          <t>No</t>
        </is>
      </c>
      <c r="L46" s="116" t="inlineStr">
        <is>
          <t>3rd Party GC</t>
        </is>
      </c>
      <c r="N46" s="115">
        <f>B46*Assumptions!$B$10</f>
        <v/>
      </c>
      <c r="O46" s="115">
        <f>B46*Assumptions!$B$11</f>
        <v/>
      </c>
      <c r="P46" s="115">
        <f>B46*Assumptions!$B$12</f>
        <v/>
      </c>
      <c r="Q46" s="115">
        <f>N46+O46+P46</f>
        <v/>
      </c>
      <c r="R46" s="115">
        <f>Q46*0.05</f>
        <v/>
      </c>
      <c r="S46" s="99">
        <f>C46+D46-1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2C3A51"/>
    <outlinePr summaryBelow="1" summaryRight="1"/>
    <pageSetUpPr/>
  </sheetPr>
  <dimension ref="A1:J3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baseColWidth="8" defaultColWidth="8.7109375" defaultRowHeight="15" customHeight="1"/>
  <cols>
    <col width="28" customWidth="1" style="201" min="1" max="2"/>
    <col width="24" customWidth="1" style="201" min="2" max="2"/>
    <col width="14" customWidth="1" style="201" min="3" max="3"/>
    <col width="14" customWidth="1" style="201" min="4" max="5"/>
    <col width="12" customWidth="1" style="201" min="5" max="5"/>
    <col width="10" customWidth="1" style="201" min="6" max="6"/>
    <col width="10" customWidth="1" style="201" min="7" max="7"/>
    <col width="11" customWidth="1" style="201" min="8" max="9"/>
    <col width="12" customWidth="1" style="201" min="9" max="9"/>
    <col width="13" customWidth="1" style="201" min="10" max="10"/>
  </cols>
  <sheetData>
    <row r="1" ht="20" customHeight="1" s="201">
      <c r="A1" s="204" t="inlineStr">
        <is>
          <t>Name</t>
        </is>
      </c>
      <c r="B1" s="204" t="inlineStr">
        <is>
          <t>Role</t>
        </is>
      </c>
      <c r="C1" s="205" t="inlineStr">
        <is>
          <t>Annual Salary</t>
        </is>
      </c>
      <c r="D1" s="205" t="inlineStr">
        <is>
          <t>Monthly Cost</t>
        </is>
      </c>
      <c r="E1" s="205" t="inlineStr">
        <is>
          <t>Start Month</t>
        </is>
      </c>
      <c r="F1" s="205" t="inlineStr">
        <is>
          <t>Type</t>
        </is>
      </c>
      <c r="G1" s="205" t="inlineStr">
        <is>
          <t>Active</t>
        </is>
      </c>
      <c r="H1" s="205" t="inlineStr">
        <is>
          <t>Consult %</t>
        </is>
      </c>
      <c r="I1" s="205" t="inlineStr">
        <is>
          <t>LV Alloc %</t>
        </is>
      </c>
      <c r="J1" s="205" t="inlineStr">
        <is>
          <t>Category</t>
        </is>
      </c>
    </row>
    <row r="2" ht="15" customHeight="1" s="201">
      <c r="A2" s="206" t="inlineStr">
        <is>
          <t>Kim Moreno</t>
        </is>
      </c>
      <c r="B2" s="206" t="inlineStr">
        <is>
          <t>Project Coordinator/Admin</t>
        </is>
      </c>
      <c r="C2" s="207" t="n">
        <v>70000</v>
      </c>
      <c r="D2" s="207">
        <f>C2/12</f>
        <v/>
      </c>
      <c r="E2" s="208" t="n">
        <v>1</v>
      </c>
      <c r="F2" s="209" t="inlineStr">
        <is>
          <t>GC</t>
        </is>
      </c>
      <c r="G2" s="209" t="inlineStr">
        <is>
          <t>Yes</t>
        </is>
      </c>
      <c r="H2" s="210" t="n">
        <v>0</v>
      </c>
      <c r="I2" s="210" t="n">
        <v>0</v>
      </c>
      <c r="J2" s="206" t="inlineStr">
        <is>
          <t>Corporate</t>
        </is>
      </c>
    </row>
    <row r="3" ht="15" customHeight="1" s="201">
      <c r="A3" s="211" t="inlineStr">
        <is>
          <t>Grady LaKamp (Corporate)</t>
        </is>
      </c>
      <c r="B3" s="211" t="inlineStr">
        <is>
          <t>Executive</t>
        </is>
      </c>
      <c r="C3" s="212" t="n">
        <v>80000</v>
      </c>
      <c r="D3" s="212">
        <f>C3/12</f>
        <v/>
      </c>
      <c r="E3" s="213" t="n">
        <v>1</v>
      </c>
      <c r="F3" s="214" t="inlineStr">
        <is>
          <t>GC</t>
        </is>
      </c>
      <c r="G3" s="214" t="inlineStr">
        <is>
          <t>Yes</t>
        </is>
      </c>
      <c r="H3" s="215" t="n">
        <v>0.5</v>
      </c>
      <c r="I3" s="215" t="n">
        <v>0</v>
      </c>
      <c r="J3" s="211" t="inlineStr">
        <is>
          <t>Corporate</t>
        </is>
      </c>
    </row>
    <row r="4" ht="15" customHeight="1" s="201">
      <c r="A4" s="206" t="inlineStr">
        <is>
          <t>Joe LaKamp (Corporate)</t>
        </is>
      </c>
      <c r="B4" s="206" t="inlineStr">
        <is>
          <t>Executive</t>
        </is>
      </c>
      <c r="C4" s="207" t="n">
        <v>25000</v>
      </c>
      <c r="D4" s="207">
        <f>C4/12</f>
        <v/>
      </c>
      <c r="E4" s="208" t="n">
        <v>1</v>
      </c>
      <c r="F4" s="209" t="inlineStr">
        <is>
          <t>GC</t>
        </is>
      </c>
      <c r="G4" s="209" t="inlineStr">
        <is>
          <t>Yes</t>
        </is>
      </c>
      <c r="H4" s="210" t="n">
        <v>0.5</v>
      </c>
      <c r="I4" s="210" t="n">
        <v>0</v>
      </c>
      <c r="J4" s="206" t="inlineStr">
        <is>
          <t>Corporate</t>
        </is>
      </c>
    </row>
    <row r="5" ht="15" customHeight="1" s="201">
      <c r="A5" s="211" t="inlineStr">
        <is>
          <t>Pedro Rosalas (Corporate)</t>
        </is>
      </c>
      <c r="B5" s="211" t="inlineStr">
        <is>
          <t>Project Manager</t>
        </is>
      </c>
      <c r="C5" s="212" t="n">
        <v>19000</v>
      </c>
      <c r="D5" s="212">
        <f>C5/12</f>
        <v/>
      </c>
      <c r="E5" s="213" t="n">
        <v>1</v>
      </c>
      <c r="F5" s="214" t="inlineStr">
        <is>
          <t>GC</t>
        </is>
      </c>
      <c r="G5" s="214" t="inlineStr">
        <is>
          <t>Yes</t>
        </is>
      </c>
      <c r="H5" s="215" t="n">
        <v>0</v>
      </c>
      <c r="I5" s="215" t="n">
        <v>0</v>
      </c>
      <c r="J5" s="211" t="inlineStr">
        <is>
          <t>Corporate</t>
        </is>
      </c>
    </row>
    <row r="6" ht="15" customHeight="1" s="201">
      <c r="A6" s="206" t="inlineStr">
        <is>
          <t>Greg Smith (Corporate)</t>
        </is>
      </c>
      <c r="B6" s="206" t="inlineStr">
        <is>
          <t>Project Manager</t>
        </is>
      </c>
      <c r="C6" s="207" t="n">
        <v>20000</v>
      </c>
      <c r="D6" s="207">
        <f>C6/12</f>
        <v/>
      </c>
      <c r="E6" s="208" t="n">
        <v>1</v>
      </c>
      <c r="F6" s="209" t="inlineStr">
        <is>
          <t>GC</t>
        </is>
      </c>
      <c r="G6" s="209" t="inlineStr">
        <is>
          <t>Yes</t>
        </is>
      </c>
      <c r="H6" s="210" t="n">
        <v>0</v>
      </c>
      <c r="I6" s="210" t="n">
        <v>0</v>
      </c>
      <c r="J6" s="206" t="inlineStr">
        <is>
          <t>Corporate</t>
        </is>
      </c>
    </row>
    <row r="7" ht="15" customHeight="1" s="201">
      <c r="A7" s="211" t="inlineStr">
        <is>
          <t>Grady LaKamp (Field)</t>
        </is>
      </c>
      <c r="B7" s="211" t="inlineStr">
        <is>
          <t>Executive</t>
        </is>
      </c>
      <c r="C7" s="212" t="n">
        <v>320000</v>
      </c>
      <c r="D7" s="212">
        <f>C7/12</f>
        <v/>
      </c>
      <c r="E7" s="213" t="n">
        <v>1</v>
      </c>
      <c r="F7" s="214" t="inlineStr">
        <is>
          <t>GC</t>
        </is>
      </c>
      <c r="G7" s="214" t="inlineStr">
        <is>
          <t>Yes</t>
        </is>
      </c>
      <c r="H7" s="215" t="n">
        <v>0.5</v>
      </c>
      <c r="I7" s="215" t="n">
        <v>0</v>
      </c>
      <c r="J7" s="211" t="inlineStr">
        <is>
          <t>Field</t>
        </is>
      </c>
    </row>
    <row r="8" ht="15" customHeight="1" s="201">
      <c r="A8" s="206" t="inlineStr">
        <is>
          <t>Joe LaKamp (Field)</t>
        </is>
      </c>
      <c r="B8" s="206" t="inlineStr">
        <is>
          <t>Executive</t>
        </is>
      </c>
      <c r="C8" s="207" t="n">
        <v>225000</v>
      </c>
      <c r="D8" s="207">
        <f>C8/12</f>
        <v/>
      </c>
      <c r="E8" s="208" t="n">
        <v>1</v>
      </c>
      <c r="F8" s="209" t="inlineStr">
        <is>
          <t>GC</t>
        </is>
      </c>
      <c r="G8" s="209" t="inlineStr">
        <is>
          <t>Yes</t>
        </is>
      </c>
      <c r="H8" s="210" t="n">
        <v>0.5</v>
      </c>
      <c r="I8" s="210" t="n">
        <v>0</v>
      </c>
      <c r="J8" s="206" t="inlineStr">
        <is>
          <t>Field</t>
        </is>
      </c>
    </row>
    <row r="9" ht="15" customHeight="1" s="201">
      <c r="A9" s="211" t="inlineStr">
        <is>
          <t>Pedro Rosalas (Field)</t>
        </is>
      </c>
      <c r="B9" s="211" t="inlineStr">
        <is>
          <t>Project Manager</t>
        </is>
      </c>
      <c r="C9" s="212" t="n">
        <v>171000</v>
      </c>
      <c r="D9" s="212">
        <f>C9/12</f>
        <v/>
      </c>
      <c r="E9" s="213" t="n">
        <v>1</v>
      </c>
      <c r="F9" s="214" t="inlineStr">
        <is>
          <t>GC</t>
        </is>
      </c>
      <c r="G9" s="214" t="inlineStr">
        <is>
          <t>Yes</t>
        </is>
      </c>
      <c r="H9" s="215" t="n">
        <v>0</v>
      </c>
      <c r="I9" s="215" t="n">
        <v>0</v>
      </c>
      <c r="J9" s="211" t="inlineStr">
        <is>
          <t>Field</t>
        </is>
      </c>
    </row>
    <row r="10" ht="15" customHeight="1" s="201">
      <c r="A10" s="206" t="inlineStr">
        <is>
          <t>Greg Smith (Field)</t>
        </is>
      </c>
      <c r="B10" s="206" t="inlineStr">
        <is>
          <t>Project Manager</t>
        </is>
      </c>
      <c r="C10" s="207" t="n">
        <v>180000</v>
      </c>
      <c r="D10" s="207">
        <f>C10/12</f>
        <v/>
      </c>
      <c r="E10" s="208" t="n">
        <v>1</v>
      </c>
      <c r="F10" s="209" t="inlineStr">
        <is>
          <t>GC</t>
        </is>
      </c>
      <c r="G10" s="209" t="inlineStr">
        <is>
          <t>Yes</t>
        </is>
      </c>
      <c r="H10" s="210" t="n">
        <v>0</v>
      </c>
      <c r="I10" s="210" t="n">
        <v>0</v>
      </c>
      <c r="J10" s="206" t="inlineStr">
        <is>
          <t>Field</t>
        </is>
      </c>
    </row>
    <row r="11" ht="15" customHeight="1" s="201">
      <c r="A11" s="211" t="inlineStr">
        <is>
          <t>New Hire - PM</t>
        </is>
      </c>
      <c r="B11" s="211" t="inlineStr">
        <is>
          <t>Project Manager</t>
        </is>
      </c>
      <c r="C11" s="212" t="n">
        <v>175000</v>
      </c>
      <c r="D11" s="212">
        <f>C11/12</f>
        <v/>
      </c>
      <c r="E11" s="213" t="n">
        <v>2</v>
      </c>
      <c r="F11" s="214" t="inlineStr">
        <is>
          <t>GC</t>
        </is>
      </c>
      <c r="G11" s="214" t="inlineStr">
        <is>
          <t>Yes</t>
        </is>
      </c>
      <c r="H11" s="215" t="n">
        <v>0</v>
      </c>
      <c r="I11" s="215" t="n">
        <v>0</v>
      </c>
      <c r="J11" s="211" t="inlineStr">
        <is>
          <t>Field</t>
        </is>
      </c>
    </row>
    <row r="12" ht="15" customHeight="1" s="201">
      <c r="A12" s="206" t="inlineStr">
        <is>
          <t>Dorian Puentes</t>
        </is>
      </c>
      <c r="B12" s="206" t="inlineStr">
        <is>
          <t>Asst Project Manager</t>
        </is>
      </c>
      <c r="C12" s="207" t="n">
        <v>145000</v>
      </c>
      <c r="D12" s="207">
        <f>C12/12</f>
        <v/>
      </c>
      <c r="E12" s="208" t="n">
        <v>1</v>
      </c>
      <c r="F12" s="209" t="inlineStr">
        <is>
          <t>GC</t>
        </is>
      </c>
      <c r="G12" s="209" t="inlineStr">
        <is>
          <t>Yes</t>
        </is>
      </c>
      <c r="H12" s="210" t="n">
        <v>0</v>
      </c>
      <c r="I12" s="210" t="n">
        <v>0</v>
      </c>
      <c r="J12" s="206" t="inlineStr">
        <is>
          <t>Field</t>
        </is>
      </c>
    </row>
    <row r="13" ht="15" customHeight="1" s="201">
      <c r="A13" s="211" t="inlineStr">
        <is>
          <t>Roy Torries</t>
        </is>
      </c>
      <c r="B13" s="211" t="inlineStr">
        <is>
          <t>Asst Project Manager</t>
        </is>
      </c>
      <c r="C13" s="212" t="n">
        <v>185000</v>
      </c>
      <c r="D13" s="212">
        <f>C13/12</f>
        <v/>
      </c>
      <c r="E13" s="213" t="n">
        <v>1</v>
      </c>
      <c r="F13" s="214" t="inlineStr">
        <is>
          <t>GC</t>
        </is>
      </c>
      <c r="G13" s="214" t="inlineStr">
        <is>
          <t>Yes</t>
        </is>
      </c>
      <c r="H13" s="215" t="n">
        <v>0</v>
      </c>
      <c r="I13" s="215" t="n">
        <v>0</v>
      </c>
      <c r="J13" s="211" t="inlineStr">
        <is>
          <t>Field</t>
        </is>
      </c>
    </row>
    <row r="14" ht="15" customHeight="1" s="201">
      <c r="A14" s="206" t="inlineStr">
        <is>
          <t>Lucy Mohler</t>
        </is>
      </c>
      <c r="B14" s="206" t="inlineStr">
        <is>
          <t>Asst Project Manager</t>
        </is>
      </c>
      <c r="C14" s="207" t="n">
        <v>135000</v>
      </c>
      <c r="D14" s="207">
        <f>C14/12</f>
        <v/>
      </c>
      <c r="E14" s="208" t="n">
        <v>2</v>
      </c>
      <c r="F14" s="209" t="inlineStr">
        <is>
          <t>GC</t>
        </is>
      </c>
      <c r="G14" s="209" t="inlineStr">
        <is>
          <t>Yes</t>
        </is>
      </c>
      <c r="H14" s="210" t="n">
        <v>0</v>
      </c>
      <c r="I14" s="210" t="n">
        <v>0</v>
      </c>
      <c r="J14" s="206" t="inlineStr">
        <is>
          <t>Field</t>
        </is>
      </c>
    </row>
    <row r="15" ht="15" customHeight="1" s="201">
      <c r="A15" s="211" t="inlineStr">
        <is>
          <t>New Hire - APM 2</t>
        </is>
      </c>
      <c r="B15" s="211" t="inlineStr">
        <is>
          <t>Asst Project Manager</t>
        </is>
      </c>
      <c r="C15" s="212" t="n">
        <v>135000</v>
      </c>
      <c r="D15" s="212">
        <f>C15/12</f>
        <v/>
      </c>
      <c r="E15" s="213" t="n">
        <v>3</v>
      </c>
      <c r="F15" s="214" t="inlineStr">
        <is>
          <t>GC</t>
        </is>
      </c>
      <c r="G15" s="214" t="inlineStr">
        <is>
          <t>Yes</t>
        </is>
      </c>
      <c r="H15" s="215" t="n">
        <v>0</v>
      </c>
      <c r="I15" s="215" t="n">
        <v>0</v>
      </c>
      <c r="J15" s="211" t="inlineStr">
        <is>
          <t>Field</t>
        </is>
      </c>
    </row>
    <row r="16" ht="15" customHeight="1" s="201">
      <c r="A16" s="206" t="inlineStr">
        <is>
          <t>Alina Akopian</t>
        </is>
      </c>
      <c r="B16" s="206" t="inlineStr">
        <is>
          <t>Project Coordinator/Admin</t>
        </is>
      </c>
      <c r="C16" s="207" t="n">
        <v>97500</v>
      </c>
      <c r="D16" s="207">
        <f>C16/12</f>
        <v/>
      </c>
      <c r="E16" s="208" t="n">
        <v>1</v>
      </c>
      <c r="F16" s="209" t="inlineStr">
        <is>
          <t>GC</t>
        </is>
      </c>
      <c r="G16" s="209" t="inlineStr">
        <is>
          <t>Yes</t>
        </is>
      </c>
      <c r="H16" s="210" t="n">
        <v>0</v>
      </c>
      <c r="I16" s="210" t="n">
        <v>0</v>
      </c>
      <c r="J16" s="206" t="inlineStr">
        <is>
          <t>Field</t>
        </is>
      </c>
    </row>
    <row r="17" ht="15" customHeight="1" s="201">
      <c r="A17" s="211" t="inlineStr">
        <is>
          <t>New Hire - Admin</t>
        </is>
      </c>
      <c r="B17" s="211" t="inlineStr">
        <is>
          <t>Project Coordinator/Admin</t>
        </is>
      </c>
      <c r="C17" s="212" t="n">
        <v>100000</v>
      </c>
      <c r="D17" s="212">
        <f>C17/12</f>
        <v/>
      </c>
      <c r="E17" s="213" t="n">
        <v>3</v>
      </c>
      <c r="F17" s="214" t="inlineStr">
        <is>
          <t>GC</t>
        </is>
      </c>
      <c r="G17" s="214" t="inlineStr">
        <is>
          <t>Yes</t>
        </is>
      </c>
      <c r="H17" s="215" t="n">
        <v>0</v>
      </c>
      <c r="I17" s="215" t="n">
        <v>0</v>
      </c>
      <c r="J17" s="211" t="inlineStr">
        <is>
          <t>Field</t>
        </is>
      </c>
    </row>
    <row r="18" ht="15" customHeight="1" s="201">
      <c r="A18" s="206" t="inlineStr">
        <is>
          <t>Mike Savaiki</t>
        </is>
      </c>
      <c r="B18" s="206" t="inlineStr">
        <is>
          <t>Senior Superintendent</t>
        </is>
      </c>
      <c r="C18" s="207" t="n">
        <v>150000</v>
      </c>
      <c r="D18" s="207">
        <f>C18/12</f>
        <v/>
      </c>
      <c r="E18" s="208" t="n">
        <v>1</v>
      </c>
      <c r="F18" s="209" t="inlineStr">
        <is>
          <t>GC</t>
        </is>
      </c>
      <c r="G18" s="209" t="inlineStr">
        <is>
          <t>Yes</t>
        </is>
      </c>
      <c r="H18" s="210" t="n">
        <v>0</v>
      </c>
      <c r="I18" s="210" t="n">
        <v>0</v>
      </c>
      <c r="J18" s="206" t="inlineStr">
        <is>
          <t>Field</t>
        </is>
      </c>
    </row>
    <row r="19" ht="15" customHeight="1" s="201">
      <c r="A19" s="211" t="inlineStr">
        <is>
          <t>Daniel Carrillo</t>
        </is>
      </c>
      <c r="B19" s="211" t="inlineStr">
        <is>
          <t>Senior Superintendent</t>
        </is>
      </c>
      <c r="C19" s="212" t="n">
        <v>150000</v>
      </c>
      <c r="D19" s="212">
        <f>C19/12</f>
        <v/>
      </c>
      <c r="E19" s="213" t="n">
        <v>1</v>
      </c>
      <c r="F19" s="214" t="inlineStr">
        <is>
          <t>GC</t>
        </is>
      </c>
      <c r="G19" s="214" t="inlineStr">
        <is>
          <t>Yes</t>
        </is>
      </c>
      <c r="H19" s="215" t="n">
        <v>0</v>
      </c>
      <c r="I19" s="215" t="n">
        <v>0</v>
      </c>
      <c r="J19" s="211" t="inlineStr">
        <is>
          <t>Field</t>
        </is>
      </c>
    </row>
    <row r="20" ht="15" customHeight="1" s="201">
      <c r="A20" s="206" t="inlineStr">
        <is>
          <t>Alex Gottlieb</t>
        </is>
      </c>
      <c r="B20" s="206" t="inlineStr">
        <is>
          <t>Senior Superintendent</t>
        </is>
      </c>
      <c r="C20" s="207" t="n">
        <v>110000</v>
      </c>
      <c r="D20" s="207">
        <f>C20/12</f>
        <v/>
      </c>
      <c r="E20" s="208" t="n">
        <v>1</v>
      </c>
      <c r="F20" s="209" t="inlineStr">
        <is>
          <t>GC</t>
        </is>
      </c>
      <c r="G20" s="209" t="inlineStr">
        <is>
          <t>Yes</t>
        </is>
      </c>
      <c r="H20" s="210" t="n">
        <v>0</v>
      </c>
      <c r="I20" s="210" t="n">
        <v>0</v>
      </c>
      <c r="J20" s="206" t="inlineStr">
        <is>
          <t>Field</t>
        </is>
      </c>
    </row>
    <row r="21" ht="15" customHeight="1" s="201">
      <c r="A21" s="211" t="inlineStr">
        <is>
          <t>Nick Donald</t>
        </is>
      </c>
      <c r="B21" s="211" t="inlineStr">
        <is>
          <t>Site Superintendent</t>
        </is>
      </c>
      <c r="C21" s="212" t="n">
        <v>75000</v>
      </c>
      <c r="D21" s="212">
        <f>C21/12</f>
        <v/>
      </c>
      <c r="E21" s="213" t="n">
        <v>1</v>
      </c>
      <c r="F21" s="214" t="inlineStr">
        <is>
          <t>GC</t>
        </is>
      </c>
      <c r="G21" s="214" t="inlineStr">
        <is>
          <t>Yes</t>
        </is>
      </c>
      <c r="H21" s="215" t="n">
        <v>0</v>
      </c>
      <c r="I21" s="215" t="n">
        <v>0</v>
      </c>
      <c r="J21" s="211" t="inlineStr">
        <is>
          <t>Field</t>
        </is>
      </c>
    </row>
    <row r="22" ht="15" customHeight="1" s="201">
      <c r="A22" s="206" t="inlineStr">
        <is>
          <t>Steve Garcia</t>
        </is>
      </c>
      <c r="B22" s="206" t="inlineStr">
        <is>
          <t>Site Superintendent</t>
        </is>
      </c>
      <c r="C22" s="207" t="n">
        <v>125000</v>
      </c>
      <c r="D22" s="207">
        <f>C22/12</f>
        <v/>
      </c>
      <c r="E22" s="208" t="n">
        <v>2</v>
      </c>
      <c r="F22" s="209" t="inlineStr">
        <is>
          <t>GC</t>
        </is>
      </c>
      <c r="G22" s="209" t="inlineStr">
        <is>
          <t>Yes</t>
        </is>
      </c>
      <c r="H22" s="210" t="n">
        <v>0</v>
      </c>
      <c r="I22" s="210" t="n">
        <v>0</v>
      </c>
      <c r="J22" s="206" t="inlineStr">
        <is>
          <t>Field</t>
        </is>
      </c>
    </row>
    <row r="23" ht="15" customHeight="1" s="201">
      <c r="A23" s="211" t="inlineStr">
        <is>
          <t>Logan Terriquez</t>
        </is>
      </c>
      <c r="B23" s="211" t="inlineStr">
        <is>
          <t>Site Superintendent</t>
        </is>
      </c>
      <c r="C23" s="212" t="n">
        <v>125000</v>
      </c>
      <c r="D23" s="212">
        <f>C23/12</f>
        <v/>
      </c>
      <c r="E23" s="213" t="n">
        <v>3</v>
      </c>
      <c r="F23" s="214" t="inlineStr">
        <is>
          <t>GC</t>
        </is>
      </c>
      <c r="G23" s="214" t="inlineStr">
        <is>
          <t>Yes</t>
        </is>
      </c>
      <c r="H23" s="215" t="n">
        <v>0</v>
      </c>
      <c r="I23" s="215" t="n">
        <v>0</v>
      </c>
      <c r="J23" s="211" t="inlineStr">
        <is>
          <t>Field</t>
        </is>
      </c>
    </row>
    <row r="24" ht="15" customHeight="1" s="201">
      <c r="A24" s="206" t="inlineStr">
        <is>
          <t>New Hire - Site Supt 3</t>
        </is>
      </c>
      <c r="B24" s="206" t="inlineStr">
        <is>
          <t>Site Superintendent</t>
        </is>
      </c>
      <c r="C24" s="207" t="n">
        <v>125000</v>
      </c>
      <c r="D24" s="207">
        <f>C24/12</f>
        <v/>
      </c>
      <c r="E24" s="208" t="n">
        <v>999</v>
      </c>
      <c r="F24" s="209" t="inlineStr">
        <is>
          <t>GC</t>
        </is>
      </c>
      <c r="G24" s="209" t="inlineStr">
        <is>
          <t>Yes</t>
        </is>
      </c>
      <c r="H24" s="210" t="n">
        <v>0</v>
      </c>
      <c r="I24" s="210" t="n">
        <v>0</v>
      </c>
      <c r="J24" s="206" t="inlineStr">
        <is>
          <t>Field</t>
        </is>
      </c>
    </row>
    <row r="25" ht="15" customHeight="1" s="201">
      <c r="A25" s="211" t="inlineStr">
        <is>
          <t>New Hire - Site Supt 4</t>
        </is>
      </c>
      <c r="B25" s="211" t="inlineStr">
        <is>
          <t>Site Superintendent</t>
        </is>
      </c>
      <c r="C25" s="212" t="n">
        <v>125000</v>
      </c>
      <c r="D25" s="212">
        <f>C25/12</f>
        <v/>
      </c>
      <c r="E25" s="213" t="n">
        <v>999</v>
      </c>
      <c r="F25" s="214" t="inlineStr">
        <is>
          <t>GC</t>
        </is>
      </c>
      <c r="G25" s="214" t="inlineStr">
        <is>
          <t>Yes</t>
        </is>
      </c>
      <c r="H25" s="215" t="n">
        <v>0</v>
      </c>
      <c r="I25" s="215" t="n">
        <v>0</v>
      </c>
      <c r="J25" s="211" t="inlineStr">
        <is>
          <t>Field</t>
        </is>
      </c>
    </row>
    <row r="26">
      <c r="A26" s="206" t="inlineStr">
        <is>
          <t>Ivan Delgado</t>
        </is>
      </c>
      <c r="B26" s="206" t="inlineStr">
        <is>
          <t>Field Engineer</t>
        </is>
      </c>
      <c r="C26" s="207" t="n">
        <v>62400</v>
      </c>
      <c r="D26" s="207">
        <f>C26/12</f>
        <v/>
      </c>
      <c r="E26" s="208" t="n">
        <v>1</v>
      </c>
      <c r="F26" s="209" t="inlineStr">
        <is>
          <t>GC</t>
        </is>
      </c>
      <c r="G26" s="209" t="inlineStr">
        <is>
          <t>Yes</t>
        </is>
      </c>
      <c r="H26" s="210" t="n">
        <v>0</v>
      </c>
      <c r="I26" s="210" t="n">
        <v>0</v>
      </c>
      <c r="J26" s="206" t="inlineStr">
        <is>
          <t>Field</t>
        </is>
      </c>
    </row>
    <row r="27" ht="15" customHeight="1" s="201">
      <c r="A27" s="211" t="inlineStr">
        <is>
          <t>Jonas Dobkin</t>
        </is>
      </c>
      <c r="B27" s="211" t="inlineStr">
        <is>
          <t>Field Engineer</t>
        </is>
      </c>
      <c r="C27" s="212" t="n">
        <v>85000</v>
      </c>
      <c r="D27" s="212">
        <f>C27/12</f>
        <v/>
      </c>
      <c r="E27" s="213" t="n">
        <v>1</v>
      </c>
      <c r="F27" s="214" t="inlineStr">
        <is>
          <t>GC</t>
        </is>
      </c>
      <c r="G27" s="214" t="inlineStr">
        <is>
          <t>Yes</t>
        </is>
      </c>
      <c r="H27" s="215" t="n">
        <v>0</v>
      </c>
      <c r="I27" s="215" t="n">
        <v>0</v>
      </c>
      <c r="J27" s="211" t="inlineStr">
        <is>
          <t>Field</t>
        </is>
      </c>
    </row>
    <row r="28" ht="15" customHeight="1" s="201">
      <c r="A28" s="206" t="inlineStr">
        <is>
          <t>Carlos Rocha</t>
        </is>
      </c>
      <c r="B28" s="206" t="inlineStr">
        <is>
          <t>Laborer</t>
        </is>
      </c>
      <c r="C28" s="207" t="n">
        <v>69992</v>
      </c>
      <c r="D28" s="207">
        <f>C28/12</f>
        <v/>
      </c>
      <c r="E28" s="208" t="n">
        <v>1</v>
      </c>
      <c r="F28" s="209" t="inlineStr">
        <is>
          <t>GC</t>
        </is>
      </c>
      <c r="G28" s="209" t="inlineStr">
        <is>
          <t>Yes</t>
        </is>
      </c>
      <c r="H28" s="210" t="n">
        <v>0</v>
      </c>
      <c r="I28" s="210" t="n">
        <v>0</v>
      </c>
      <c r="J28" s="206" t="inlineStr">
        <is>
          <t>Field</t>
        </is>
      </c>
    </row>
    <row r="29" ht="15" customHeight="1" s="201">
      <c r="A29" s="211" t="inlineStr">
        <is>
          <t>Devis Tejada</t>
        </is>
      </c>
      <c r="B29" s="211" t="inlineStr">
        <is>
          <t>Laborer</t>
        </is>
      </c>
      <c r="C29" s="212" t="n">
        <v>52000</v>
      </c>
      <c r="D29" s="212">
        <f>C29/12</f>
        <v/>
      </c>
      <c r="E29" s="213" t="n">
        <v>1</v>
      </c>
      <c r="F29" s="214" t="inlineStr">
        <is>
          <t>GC</t>
        </is>
      </c>
      <c r="G29" s="214" t="inlineStr">
        <is>
          <t>Yes</t>
        </is>
      </c>
      <c r="H29" s="215" t="n">
        <v>0</v>
      </c>
      <c r="I29" s="215" t="n">
        <v>0</v>
      </c>
      <c r="J29" s="211" t="inlineStr">
        <is>
          <t>Field</t>
        </is>
      </c>
    </row>
    <row r="30" ht="15" customHeight="1" s="201">
      <c r="A30" s="216" t="n"/>
      <c r="B30" s="216" t="n"/>
      <c r="C30" s="217" t="n"/>
      <c r="D30" s="217" t="n"/>
      <c r="E30" s="216" t="n"/>
      <c r="F30" s="216" t="n"/>
      <c r="G30" s="216" t="n"/>
      <c r="H30" s="218" t="n"/>
      <c r="I30" s="218" t="n"/>
      <c r="J30" s="216" t="n"/>
    </row>
    <row r="31" ht="15" customHeight="1" s="201">
      <c r="A31" s="219" t="inlineStr">
        <is>
          <t>Six Peak Capital Personnel</t>
        </is>
      </c>
      <c r="B31" s="220" t="n"/>
      <c r="C31" s="221" t="n"/>
      <c r="D31" s="221" t="n"/>
      <c r="E31" s="220" t="n"/>
      <c r="F31" s="220" t="n"/>
      <c r="G31" s="220" t="n"/>
      <c r="H31" s="222" t="n"/>
      <c r="I31" s="222" t="n"/>
      <c r="J31" s="220" t="n"/>
    </row>
    <row r="32" ht="15" customHeight="1" s="201">
      <c r="A32" s="206" t="inlineStr">
        <is>
          <t>Chris Aiello</t>
        </is>
      </c>
      <c r="B32" s="206" t="inlineStr">
        <is>
          <t>Partner</t>
        </is>
      </c>
      <c r="C32" s="207" t="n">
        <v>400000</v>
      </c>
      <c r="D32" s="207">
        <f>C32/12</f>
        <v/>
      </c>
      <c r="E32" s="208" t="n">
        <v>1</v>
      </c>
      <c r="F32" s="209" t="inlineStr">
        <is>
          <t>SixPeak</t>
        </is>
      </c>
      <c r="G32" s="209" t="inlineStr">
        <is>
          <t>Yes</t>
        </is>
      </c>
      <c r="H32" s="210" t="n">
        <v>1</v>
      </c>
      <c r="I32" s="210" t="n">
        <v>0.5</v>
      </c>
      <c r="J32" s="206" t="inlineStr">
        <is>
          <t>SP</t>
        </is>
      </c>
    </row>
    <row r="33" ht="15" customHeight="1" s="201">
      <c r="A33" s="211" t="inlineStr">
        <is>
          <t>Bob Kennedy</t>
        </is>
      </c>
      <c r="B33" s="211" t="inlineStr">
        <is>
          <t>Partner</t>
        </is>
      </c>
      <c r="C33" s="212" t="n">
        <v>400000</v>
      </c>
      <c r="D33" s="212">
        <f>C33/12</f>
        <v/>
      </c>
      <c r="E33" s="213" t="n">
        <v>1</v>
      </c>
      <c r="F33" s="214" t="inlineStr">
        <is>
          <t>SixPeak</t>
        </is>
      </c>
      <c r="G33" s="214" t="inlineStr">
        <is>
          <t>Yes</t>
        </is>
      </c>
      <c r="H33" s="215" t="n">
        <v>1</v>
      </c>
      <c r="I33" s="215" t="n">
        <v>0.2</v>
      </c>
      <c r="J33" s="211" t="inlineStr">
        <is>
          <t>SP</t>
        </is>
      </c>
    </row>
    <row r="34" ht="15" customHeight="1" s="201">
      <c r="A34" s="206" t="inlineStr">
        <is>
          <t>Tom Taggart</t>
        </is>
      </c>
      <c r="B34" s="206" t="inlineStr">
        <is>
          <t>Asset Mgmt/Bus Dev</t>
        </is>
      </c>
      <c r="C34" s="207" t="n">
        <v>222000</v>
      </c>
      <c r="D34" s="207">
        <f>C34/12</f>
        <v/>
      </c>
      <c r="E34" s="208" t="n">
        <v>1</v>
      </c>
      <c r="F34" s="209" t="inlineStr">
        <is>
          <t>SixPeak</t>
        </is>
      </c>
      <c r="G34" s="209" t="inlineStr">
        <is>
          <t>Yes</t>
        </is>
      </c>
      <c r="H34" s="210" t="n">
        <v>1</v>
      </c>
      <c r="I34" s="210" t="n">
        <v>0.5</v>
      </c>
      <c r="J34" s="206" t="inlineStr">
        <is>
          <t>SP</t>
        </is>
      </c>
    </row>
    <row r="35">
      <c r="A35" s="211" t="inlineStr">
        <is>
          <t>Schuyler Dietz</t>
        </is>
      </c>
      <c r="B35" s="211" t="inlineStr">
        <is>
          <t>Associate</t>
        </is>
      </c>
      <c r="C35" s="212" t="n">
        <v>115000</v>
      </c>
      <c r="D35" s="212">
        <f>C35/12</f>
        <v/>
      </c>
      <c r="E35" s="213" t="n">
        <v>1</v>
      </c>
      <c r="F35" s="214" t="inlineStr">
        <is>
          <t>SixPeak</t>
        </is>
      </c>
      <c r="G35" s="214" t="inlineStr">
        <is>
          <t>Yes</t>
        </is>
      </c>
      <c r="H35" s="215" t="n">
        <v>1</v>
      </c>
      <c r="I35" s="215" t="n">
        <v>0</v>
      </c>
      <c r="J35" s="211" t="inlineStr">
        <is>
          <t>SP</t>
        </is>
      </c>
    </row>
    <row r="36">
      <c r="A36" s="206" t="inlineStr">
        <is>
          <t>Derek Sanders</t>
        </is>
      </c>
      <c r="B36" s="206" t="inlineStr">
        <is>
          <t>Director of Development</t>
        </is>
      </c>
      <c r="C36" s="207" t="n">
        <v>250000</v>
      </c>
      <c r="D36" s="207">
        <f>C36/12</f>
        <v/>
      </c>
      <c r="E36" s="208" t="n">
        <v>1</v>
      </c>
      <c r="F36" s="209" t="inlineStr">
        <is>
          <t>SixPeak</t>
        </is>
      </c>
      <c r="G36" s="209" t="inlineStr">
        <is>
          <t>Yes</t>
        </is>
      </c>
      <c r="H36" s="210" t="n">
        <v>0</v>
      </c>
      <c r="I36" s="210" t="n">
        <v>0.2</v>
      </c>
      <c r="J36" s="206" t="inlineStr">
        <is>
          <t>SP</t>
        </is>
      </c>
    </row>
    <row r="37">
      <c r="A37" s="211" t="inlineStr">
        <is>
          <t>Robert Carrega</t>
        </is>
      </c>
      <c r="B37" s="211" t="inlineStr">
        <is>
          <t>Controller</t>
        </is>
      </c>
      <c r="C37" s="212" t="n">
        <v>150000</v>
      </c>
      <c r="D37" s="212">
        <f>C37/12</f>
        <v/>
      </c>
      <c r="E37" s="213" t="n">
        <v>1</v>
      </c>
      <c r="F37" s="214" t="inlineStr">
        <is>
          <t>SixPeak</t>
        </is>
      </c>
      <c r="G37" s="214" t="inlineStr">
        <is>
          <t>Yes</t>
        </is>
      </c>
      <c r="H37" s="215" t="n">
        <v>0</v>
      </c>
      <c r="I37" s="215" t="n">
        <v>0.75</v>
      </c>
      <c r="J37" s="211" t="inlineStr">
        <is>
          <t>SP</t>
        </is>
      </c>
    </row>
    <row r="38">
      <c r="A38" s="206" t="inlineStr">
        <is>
          <t>Chris Andresen</t>
        </is>
      </c>
      <c r="B38" s="206" t="inlineStr">
        <is>
          <t>CFO</t>
        </is>
      </c>
      <c r="C38" s="207" t="n">
        <v>250000</v>
      </c>
      <c r="D38" s="207">
        <f>C38/12</f>
        <v/>
      </c>
      <c r="E38" s="208" t="n">
        <v>1</v>
      </c>
      <c r="F38" s="209" t="inlineStr">
        <is>
          <t>SixPeak</t>
        </is>
      </c>
      <c r="G38" s="209" t="inlineStr">
        <is>
          <t>Yes</t>
        </is>
      </c>
      <c r="H38" s="210" t="n">
        <v>0</v>
      </c>
      <c r="I38" s="210" t="n">
        <v>0.75</v>
      </c>
      <c r="J38" s="206" t="inlineStr">
        <is>
          <t>SP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BFC7DA"/>
    <outlinePr summaryBelow="1" summaryRight="1"/>
    <pageSetUpPr/>
  </sheetPr>
  <dimension ref="A1:B85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10" customWidth="1" style="201" min="1" max="1"/>
    <col width="12" customWidth="1" style="201" min="2" max="2"/>
  </cols>
  <sheetData>
    <row r="1" ht="15" customHeight="1" s="201">
      <c r="A1" s="2" t="inlineStr">
        <is>
          <t>Month</t>
        </is>
      </c>
      <c r="B1" s="2" t="inlineStr">
        <is>
          <t>Factor</t>
        </is>
      </c>
    </row>
    <row r="2" ht="15" customHeight="1" s="201">
      <c r="A2" s="118" t="n">
        <v>1</v>
      </c>
      <c r="B2" s="119">
        <f>(1+Assumptions!$B$26)^INT((A2-1)/12)</f>
        <v/>
      </c>
    </row>
    <row r="3" ht="15" customHeight="1" s="201">
      <c r="A3" s="118" t="n">
        <v>2</v>
      </c>
      <c r="B3" s="119">
        <f>(1+Assumptions!$B$26)^INT((A3-1)/12)</f>
        <v/>
      </c>
    </row>
    <row r="4" ht="15" customHeight="1" s="201">
      <c r="A4" s="118" t="n">
        <v>3</v>
      </c>
      <c r="B4" s="119">
        <f>(1+Assumptions!$B$26)^INT((A4-1)/12)</f>
        <v/>
      </c>
    </row>
    <row r="5" ht="15" customHeight="1" s="201">
      <c r="A5" s="118" t="n">
        <v>4</v>
      </c>
      <c r="B5" s="119">
        <f>(1+Assumptions!$B$26)^INT((A5-1)/12)</f>
        <v/>
      </c>
    </row>
    <row r="6" ht="15" customHeight="1" s="201">
      <c r="A6" s="118" t="n">
        <v>5</v>
      </c>
      <c r="B6" s="119">
        <f>(1+Assumptions!$B$26)^INT((A6-1)/12)</f>
        <v/>
      </c>
    </row>
    <row r="7" ht="15" customHeight="1" s="201">
      <c r="A7" s="118" t="n">
        <v>6</v>
      </c>
      <c r="B7" s="119">
        <f>(1+Assumptions!$B$26)^INT((A7-1)/12)</f>
        <v/>
      </c>
    </row>
    <row r="8" ht="15" customHeight="1" s="201">
      <c r="A8" s="118" t="n">
        <v>7</v>
      </c>
      <c r="B8" s="119">
        <f>(1+Assumptions!$B$26)^INT((A8-1)/12)</f>
        <v/>
      </c>
    </row>
    <row r="9" ht="15" customHeight="1" s="201">
      <c r="A9" s="118" t="n">
        <v>8</v>
      </c>
      <c r="B9" s="119">
        <f>(1+Assumptions!$B$26)^INT((A9-1)/12)</f>
        <v/>
      </c>
    </row>
    <row r="10" ht="15" customHeight="1" s="201">
      <c r="A10" s="118" t="n">
        <v>9</v>
      </c>
      <c r="B10" s="119">
        <f>(1+Assumptions!$B$26)^INT((A10-1)/12)</f>
        <v/>
      </c>
    </row>
    <row r="11" ht="15" customHeight="1" s="201">
      <c r="A11" s="118" t="n">
        <v>10</v>
      </c>
      <c r="B11" s="119">
        <f>(1+Assumptions!$B$26)^INT((A11-1)/12)</f>
        <v/>
      </c>
    </row>
    <row r="12" ht="15" customHeight="1" s="201">
      <c r="A12" s="118" t="n">
        <v>11</v>
      </c>
      <c r="B12" s="119">
        <f>(1+Assumptions!$B$26)^INT((A12-1)/12)</f>
        <v/>
      </c>
    </row>
    <row r="13" ht="15" customHeight="1" s="201">
      <c r="A13" s="118" t="n">
        <v>12</v>
      </c>
      <c r="B13" s="119">
        <f>(1+Assumptions!$B$26)^INT((A13-1)/12)</f>
        <v/>
      </c>
    </row>
    <row r="14" ht="15" customHeight="1" s="201">
      <c r="A14" s="118" t="n">
        <v>13</v>
      </c>
      <c r="B14" s="119">
        <f>(1+Assumptions!$B$26)^INT((A14-1)/12)</f>
        <v/>
      </c>
    </row>
    <row r="15" ht="15" customHeight="1" s="201">
      <c r="A15" s="118" t="n">
        <v>14</v>
      </c>
      <c r="B15" s="119">
        <f>(1+Assumptions!$B$26)^INT((A15-1)/12)</f>
        <v/>
      </c>
    </row>
    <row r="16" ht="15" customHeight="1" s="201">
      <c r="A16" s="118" t="n">
        <v>15</v>
      </c>
      <c r="B16" s="119">
        <f>(1+Assumptions!$B$26)^INT((A16-1)/12)</f>
        <v/>
      </c>
    </row>
    <row r="17" ht="15" customHeight="1" s="201">
      <c r="A17" s="118" t="n">
        <v>16</v>
      </c>
      <c r="B17" s="119">
        <f>(1+Assumptions!$B$26)^INT((A17-1)/12)</f>
        <v/>
      </c>
    </row>
    <row r="18" ht="15" customHeight="1" s="201">
      <c r="A18" s="118" t="n">
        <v>17</v>
      </c>
      <c r="B18" s="119">
        <f>(1+Assumptions!$B$26)^INT((A18-1)/12)</f>
        <v/>
      </c>
    </row>
    <row r="19" ht="15" customHeight="1" s="201">
      <c r="A19" s="118" t="n">
        <v>18</v>
      </c>
      <c r="B19" s="119">
        <f>(1+Assumptions!$B$26)^INT((A19-1)/12)</f>
        <v/>
      </c>
    </row>
    <row r="20" ht="15" customHeight="1" s="201">
      <c r="A20" s="118" t="n">
        <v>19</v>
      </c>
      <c r="B20" s="119">
        <f>(1+Assumptions!$B$26)^INT((A20-1)/12)</f>
        <v/>
      </c>
    </row>
    <row r="21" ht="15" customHeight="1" s="201">
      <c r="A21" s="118" t="n">
        <v>20</v>
      </c>
      <c r="B21" s="119">
        <f>(1+Assumptions!$B$26)^INT((A21-1)/12)</f>
        <v/>
      </c>
    </row>
    <row r="22" ht="15" customHeight="1" s="201">
      <c r="A22" s="118" t="n">
        <v>21</v>
      </c>
      <c r="B22" s="119">
        <f>(1+Assumptions!$B$26)^INT((A22-1)/12)</f>
        <v/>
      </c>
    </row>
    <row r="23" ht="15" customHeight="1" s="201">
      <c r="A23" s="118" t="n">
        <v>22</v>
      </c>
      <c r="B23" s="119">
        <f>(1+Assumptions!$B$26)^INT((A23-1)/12)</f>
        <v/>
      </c>
    </row>
    <row r="24" ht="15" customHeight="1" s="201">
      <c r="A24" s="118" t="n">
        <v>23</v>
      </c>
      <c r="B24" s="119">
        <f>(1+Assumptions!$B$26)^INT((A24-1)/12)</f>
        <v/>
      </c>
    </row>
    <row r="25" ht="15" customHeight="1" s="201">
      <c r="A25" s="118" t="n">
        <v>24</v>
      </c>
      <c r="B25" s="119">
        <f>(1+Assumptions!$B$26)^INT((A25-1)/12)</f>
        <v/>
      </c>
    </row>
    <row r="26" ht="15" customHeight="1" s="201">
      <c r="A26" s="118" t="n">
        <v>25</v>
      </c>
      <c r="B26" s="119">
        <f>(1+Assumptions!$B$26)^INT((A26-1)/12)</f>
        <v/>
      </c>
    </row>
    <row r="27" ht="15" customHeight="1" s="201">
      <c r="A27" s="118" t="n">
        <v>26</v>
      </c>
      <c r="B27" s="119">
        <f>(1+Assumptions!$B$26)^INT((A27-1)/12)</f>
        <v/>
      </c>
    </row>
    <row r="28" ht="15" customHeight="1" s="201">
      <c r="A28" s="118" t="n">
        <v>27</v>
      </c>
      <c r="B28" s="119">
        <f>(1+Assumptions!$B$26)^INT((A28-1)/12)</f>
        <v/>
      </c>
    </row>
    <row r="29" ht="15" customHeight="1" s="201">
      <c r="A29" s="118" t="n">
        <v>28</v>
      </c>
      <c r="B29" s="119">
        <f>(1+Assumptions!$B$26)^INT((A29-1)/12)</f>
        <v/>
      </c>
    </row>
    <row r="30" ht="15" customHeight="1" s="201">
      <c r="A30" s="118" t="n">
        <v>29</v>
      </c>
      <c r="B30" s="119">
        <f>(1+Assumptions!$B$26)^INT((A30-1)/12)</f>
        <v/>
      </c>
    </row>
    <row r="31" ht="15" customHeight="1" s="201">
      <c r="A31" s="118" t="n">
        <v>30</v>
      </c>
      <c r="B31" s="119">
        <f>(1+Assumptions!$B$26)^INT((A31-1)/12)</f>
        <v/>
      </c>
    </row>
    <row r="32" ht="15" customHeight="1" s="201">
      <c r="A32" s="118" t="n">
        <v>31</v>
      </c>
      <c r="B32" s="119">
        <f>(1+Assumptions!$B$26)^INT((A32-1)/12)</f>
        <v/>
      </c>
    </row>
    <row r="33" ht="15" customHeight="1" s="201">
      <c r="A33" s="118" t="n">
        <v>32</v>
      </c>
      <c r="B33" s="119">
        <f>(1+Assumptions!$B$26)^INT((A33-1)/12)</f>
        <v/>
      </c>
    </row>
    <row r="34" ht="15" customHeight="1" s="201">
      <c r="A34" s="118" t="n">
        <v>33</v>
      </c>
      <c r="B34" s="119">
        <f>(1+Assumptions!$B$26)^INT((A34-1)/12)</f>
        <v/>
      </c>
    </row>
    <row r="35" ht="15" customHeight="1" s="201">
      <c r="A35" s="118" t="n">
        <v>34</v>
      </c>
      <c r="B35" s="119">
        <f>(1+Assumptions!$B$26)^INT((A35-1)/12)</f>
        <v/>
      </c>
    </row>
    <row r="36" ht="15" customHeight="1" s="201">
      <c r="A36" s="118" t="n">
        <v>35</v>
      </c>
      <c r="B36" s="119">
        <f>(1+Assumptions!$B$26)^INT((A36-1)/12)</f>
        <v/>
      </c>
    </row>
    <row r="37" ht="15" customHeight="1" s="201">
      <c r="A37" s="118" t="n">
        <v>36</v>
      </c>
      <c r="B37" s="119">
        <f>(1+Assumptions!$B$26)^INT((A37-1)/12)</f>
        <v/>
      </c>
    </row>
    <row r="38" ht="15" customHeight="1" s="201">
      <c r="A38" s="118" t="n">
        <v>37</v>
      </c>
      <c r="B38" s="119">
        <f>(1+Assumptions!$B$26)^INT((A38-1)/12)</f>
        <v/>
      </c>
    </row>
    <row r="39" ht="15" customHeight="1" s="201">
      <c r="A39" s="118" t="n">
        <v>38</v>
      </c>
      <c r="B39" s="119">
        <f>(1+Assumptions!$B$26)^INT((A39-1)/12)</f>
        <v/>
      </c>
    </row>
    <row r="40" ht="15" customHeight="1" s="201">
      <c r="A40" s="118" t="n">
        <v>39</v>
      </c>
      <c r="B40" s="119">
        <f>(1+Assumptions!$B$26)^INT((A40-1)/12)</f>
        <v/>
      </c>
    </row>
    <row r="41" ht="15" customHeight="1" s="201">
      <c r="A41" s="118" t="n">
        <v>40</v>
      </c>
      <c r="B41" s="119">
        <f>(1+Assumptions!$B$26)^INT((A41-1)/12)</f>
        <v/>
      </c>
    </row>
    <row r="42" ht="15" customHeight="1" s="201">
      <c r="A42" s="118" t="n">
        <v>41</v>
      </c>
      <c r="B42" s="119">
        <f>(1+Assumptions!$B$26)^INT((A42-1)/12)</f>
        <v/>
      </c>
    </row>
    <row r="43" ht="15" customHeight="1" s="201">
      <c r="A43" s="118" t="n">
        <v>42</v>
      </c>
      <c r="B43" s="119">
        <f>(1+Assumptions!$B$26)^INT((A43-1)/12)</f>
        <v/>
      </c>
    </row>
    <row r="44" ht="15" customHeight="1" s="201">
      <c r="A44" s="118" t="n">
        <v>43</v>
      </c>
      <c r="B44" s="119">
        <f>(1+Assumptions!$B$26)^INT((A44-1)/12)</f>
        <v/>
      </c>
    </row>
    <row r="45" ht="15" customHeight="1" s="201">
      <c r="A45" s="118" t="n">
        <v>44</v>
      </c>
      <c r="B45" s="119">
        <f>(1+Assumptions!$B$26)^INT((A45-1)/12)</f>
        <v/>
      </c>
    </row>
    <row r="46" ht="15" customHeight="1" s="201">
      <c r="A46" s="118" t="n">
        <v>45</v>
      </c>
      <c r="B46" s="119">
        <f>(1+Assumptions!$B$26)^INT((A46-1)/12)</f>
        <v/>
      </c>
    </row>
    <row r="47" ht="15" customHeight="1" s="201">
      <c r="A47" s="118" t="n">
        <v>46</v>
      </c>
      <c r="B47" s="119">
        <f>(1+Assumptions!$B$26)^INT((A47-1)/12)</f>
        <v/>
      </c>
    </row>
    <row r="48" ht="15" customHeight="1" s="201">
      <c r="A48" s="118" t="n">
        <v>47</v>
      </c>
      <c r="B48" s="119">
        <f>(1+Assumptions!$B$26)^INT((A48-1)/12)</f>
        <v/>
      </c>
    </row>
    <row r="49" ht="15" customHeight="1" s="201">
      <c r="A49" s="118" t="n">
        <v>48</v>
      </c>
      <c r="B49" s="119">
        <f>(1+Assumptions!$B$26)^INT((A49-1)/12)</f>
        <v/>
      </c>
    </row>
    <row r="50" ht="15" customHeight="1" s="201">
      <c r="A50" s="118" t="n">
        <v>49</v>
      </c>
      <c r="B50" s="119">
        <f>(1+Assumptions!$B$26)^INT((A50-1)/12)</f>
        <v/>
      </c>
    </row>
    <row r="51" ht="15" customHeight="1" s="201">
      <c r="A51" s="118" t="n">
        <v>50</v>
      </c>
      <c r="B51" s="119">
        <f>(1+Assumptions!$B$26)^INT((A51-1)/12)</f>
        <v/>
      </c>
    </row>
    <row r="52" ht="15" customHeight="1" s="201">
      <c r="A52" s="118" t="n">
        <v>51</v>
      </c>
      <c r="B52" s="119">
        <f>(1+Assumptions!$B$26)^INT((A52-1)/12)</f>
        <v/>
      </c>
    </row>
    <row r="53" ht="15" customHeight="1" s="201">
      <c r="A53" s="118" t="n">
        <v>52</v>
      </c>
      <c r="B53" s="119">
        <f>(1+Assumptions!$B$26)^INT((A53-1)/12)</f>
        <v/>
      </c>
    </row>
    <row r="54" ht="15" customHeight="1" s="201">
      <c r="A54" s="118" t="n">
        <v>53</v>
      </c>
      <c r="B54" s="119">
        <f>(1+Assumptions!$B$26)^INT((A54-1)/12)</f>
        <v/>
      </c>
    </row>
    <row r="55" ht="15" customHeight="1" s="201">
      <c r="A55" s="118" t="n">
        <v>54</v>
      </c>
      <c r="B55" s="119">
        <f>(1+Assumptions!$B$26)^INT((A55-1)/12)</f>
        <v/>
      </c>
    </row>
    <row r="56" ht="15" customHeight="1" s="201">
      <c r="A56" s="118" t="n">
        <v>55</v>
      </c>
      <c r="B56" s="119">
        <f>(1+Assumptions!$B$26)^INT((A56-1)/12)</f>
        <v/>
      </c>
    </row>
    <row r="57" ht="15" customHeight="1" s="201">
      <c r="A57" s="118" t="n">
        <v>56</v>
      </c>
      <c r="B57" s="119">
        <f>(1+Assumptions!$B$26)^INT((A57-1)/12)</f>
        <v/>
      </c>
    </row>
    <row r="58" ht="15" customHeight="1" s="201">
      <c r="A58" s="118" t="n">
        <v>57</v>
      </c>
      <c r="B58" s="119">
        <f>(1+Assumptions!$B$26)^INT((A58-1)/12)</f>
        <v/>
      </c>
    </row>
    <row r="59" ht="15" customHeight="1" s="201">
      <c r="A59" s="118" t="n">
        <v>58</v>
      </c>
      <c r="B59" s="119">
        <f>(1+Assumptions!$B$26)^INT((A59-1)/12)</f>
        <v/>
      </c>
    </row>
    <row r="60" ht="15" customHeight="1" s="201">
      <c r="A60" s="118" t="n">
        <v>59</v>
      </c>
      <c r="B60" s="119">
        <f>(1+Assumptions!$B$26)^INT((A60-1)/12)</f>
        <v/>
      </c>
    </row>
    <row r="61" ht="15" customHeight="1" s="201">
      <c r="A61" s="118" t="n">
        <v>60</v>
      </c>
      <c r="B61" s="119">
        <f>(1+Assumptions!$B$26)^INT((A61-1)/12)</f>
        <v/>
      </c>
    </row>
    <row r="62" ht="15" customHeight="1" s="201">
      <c r="A62" s="118" t="n">
        <v>61</v>
      </c>
      <c r="B62" s="119">
        <f>(1+Assumptions!$B$26)^INT((A62-1)/12)</f>
        <v/>
      </c>
    </row>
    <row r="63" ht="15" customHeight="1" s="201">
      <c r="A63" s="118" t="n">
        <v>62</v>
      </c>
      <c r="B63" s="119">
        <f>(1+Assumptions!$B$26)^INT((A63-1)/12)</f>
        <v/>
      </c>
    </row>
    <row r="64" ht="15" customHeight="1" s="201">
      <c r="A64" s="118" t="n">
        <v>63</v>
      </c>
      <c r="B64" s="119">
        <f>(1+Assumptions!$B$26)^INT((A64-1)/12)</f>
        <v/>
      </c>
    </row>
    <row r="65" ht="15" customHeight="1" s="201">
      <c r="A65" s="118" t="n">
        <v>64</v>
      </c>
      <c r="B65" s="119">
        <f>(1+Assumptions!$B$26)^INT((A65-1)/12)</f>
        <v/>
      </c>
    </row>
    <row r="66" ht="15" customHeight="1" s="201">
      <c r="A66" s="118" t="n">
        <v>65</v>
      </c>
      <c r="B66" s="119">
        <f>(1+Assumptions!$B$26)^INT((A66-1)/12)</f>
        <v/>
      </c>
    </row>
    <row r="67" ht="15" customHeight="1" s="201">
      <c r="A67" s="118" t="n">
        <v>66</v>
      </c>
      <c r="B67" s="119">
        <f>(1+Assumptions!$B$26)^INT((A67-1)/12)</f>
        <v/>
      </c>
    </row>
    <row r="68" ht="15" customHeight="1" s="201">
      <c r="A68" s="118" t="n">
        <v>67</v>
      </c>
      <c r="B68" s="119">
        <f>(1+Assumptions!$B$26)^INT((A68-1)/12)</f>
        <v/>
      </c>
    </row>
    <row r="69" ht="15" customHeight="1" s="201">
      <c r="A69" s="118" t="n">
        <v>68</v>
      </c>
      <c r="B69" s="119">
        <f>(1+Assumptions!$B$26)^INT((A69-1)/12)</f>
        <v/>
      </c>
    </row>
    <row r="70" ht="15" customHeight="1" s="201">
      <c r="A70" s="118" t="n">
        <v>69</v>
      </c>
      <c r="B70" s="119">
        <f>(1+Assumptions!$B$26)^INT((A70-1)/12)</f>
        <v/>
      </c>
    </row>
    <row r="71" ht="15" customHeight="1" s="201">
      <c r="A71" s="118" t="n">
        <v>70</v>
      </c>
      <c r="B71" s="119">
        <f>(1+Assumptions!$B$26)^INT((A71-1)/12)</f>
        <v/>
      </c>
    </row>
    <row r="72" ht="15" customHeight="1" s="201">
      <c r="A72" s="118" t="n">
        <v>71</v>
      </c>
      <c r="B72" s="119">
        <f>(1+Assumptions!$B$26)^INT((A72-1)/12)</f>
        <v/>
      </c>
    </row>
    <row r="73" ht="15" customHeight="1" s="201">
      <c r="A73" s="118" t="n">
        <v>72</v>
      </c>
      <c r="B73" s="119">
        <f>(1+Assumptions!$B$26)^INT((A73-1)/12)</f>
        <v/>
      </c>
    </row>
    <row r="74" ht="15" customHeight="1" s="201">
      <c r="A74" s="118" t="n">
        <v>73</v>
      </c>
      <c r="B74" s="119">
        <f>(1+Assumptions!$B$26)^INT((A74-1)/12)</f>
        <v/>
      </c>
    </row>
    <row r="75" ht="15" customHeight="1" s="201">
      <c r="A75" s="118" t="n">
        <v>74</v>
      </c>
      <c r="B75" s="119">
        <f>(1+Assumptions!$B$26)^INT((A75-1)/12)</f>
        <v/>
      </c>
    </row>
    <row r="76" ht="15" customHeight="1" s="201">
      <c r="A76" s="118" t="n">
        <v>75</v>
      </c>
      <c r="B76" s="119">
        <f>(1+Assumptions!$B$26)^INT((A76-1)/12)</f>
        <v/>
      </c>
    </row>
    <row r="77" ht="15" customHeight="1" s="201">
      <c r="A77" s="118" t="n">
        <v>76</v>
      </c>
      <c r="B77" s="119">
        <f>(1+Assumptions!$B$26)^INT((A77-1)/12)</f>
        <v/>
      </c>
    </row>
    <row r="78" ht="15" customHeight="1" s="201">
      <c r="A78" s="118" t="n">
        <v>77</v>
      </c>
      <c r="B78" s="119">
        <f>(1+Assumptions!$B$26)^INT((A78-1)/12)</f>
        <v/>
      </c>
    </row>
    <row r="79" ht="15" customHeight="1" s="201">
      <c r="A79" s="118" t="n">
        <v>78</v>
      </c>
      <c r="B79" s="119">
        <f>(1+Assumptions!$B$26)^INT((A79-1)/12)</f>
        <v/>
      </c>
    </row>
    <row r="80" ht="15" customHeight="1" s="201">
      <c r="A80" s="118" t="n">
        <v>79</v>
      </c>
      <c r="B80" s="119">
        <f>(1+Assumptions!$B$26)^INT((A80-1)/12)</f>
        <v/>
      </c>
    </row>
    <row r="81" ht="15" customHeight="1" s="201">
      <c r="A81" s="118" t="n">
        <v>80</v>
      </c>
      <c r="B81" s="119">
        <f>(1+Assumptions!$B$26)^INT((A81-1)/12)</f>
        <v/>
      </c>
    </row>
    <row r="82" ht="15" customHeight="1" s="201">
      <c r="A82" s="118" t="n">
        <v>81</v>
      </c>
      <c r="B82" s="119">
        <f>(1+Assumptions!$B$26)^INT((A82-1)/12)</f>
        <v/>
      </c>
    </row>
    <row r="83" ht="15" customHeight="1" s="201">
      <c r="A83" s="118" t="n">
        <v>82</v>
      </c>
      <c r="B83" s="119">
        <f>(1+Assumptions!$B$26)^INT((A83-1)/12)</f>
        <v/>
      </c>
    </row>
    <row r="84" ht="15" customHeight="1" s="201">
      <c r="A84" s="118" t="n">
        <v>83</v>
      </c>
      <c r="B84" s="119">
        <f>(1+Assumptions!$B$26)^INT((A84-1)/12)</f>
        <v/>
      </c>
    </row>
    <row r="85" ht="15" customHeight="1" s="201">
      <c r="A85" s="118" t="n">
        <v>84</v>
      </c>
      <c r="B85" s="119">
        <f>(1+Assumptions!$B$26)^INT((A85-1)/12)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2C3A51"/>
    <outlinePr summaryBelow="1" summaryRight="1"/>
    <pageSetUpPr/>
  </sheetPr>
  <dimension ref="A1:CH110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28" customWidth="1" style="201" min="1" max="1"/>
    <col width="4" customWidth="1" style="201" min="2" max="2"/>
    <col width="14" customWidth="1" style="201" min="3" max="86"/>
  </cols>
  <sheetData>
    <row r="1" ht="17.25" customHeight="1" s="201">
      <c r="A1" s="202" t="inlineStr">
        <is>
          <t>W2 Payroll Basis &amp; Bonding Calculations</t>
        </is>
      </c>
    </row>
    <row r="2" ht="15" customHeight="1" s="201">
      <c r="A2" s="2" t="n"/>
      <c r="B2" s="2" t="n"/>
      <c r="C2" s="24" t="n">
        <v>46113</v>
      </c>
      <c r="D2" s="24" t="n">
        <v>46143</v>
      </c>
      <c r="E2" s="24" t="n">
        <v>46174</v>
      </c>
      <c r="F2" s="24" t="n">
        <v>46204</v>
      </c>
      <c r="G2" s="24" t="n">
        <v>46235</v>
      </c>
      <c r="H2" s="24" t="n">
        <v>46266</v>
      </c>
      <c r="I2" s="24" t="n">
        <v>46296</v>
      </c>
      <c r="J2" s="24" t="n">
        <v>46327</v>
      </c>
      <c r="K2" s="24" t="n">
        <v>46357</v>
      </c>
      <c r="L2" s="24" t="n">
        <v>46388</v>
      </c>
      <c r="M2" s="24" t="n">
        <v>46419</v>
      </c>
      <c r="N2" s="24" t="n">
        <v>46447</v>
      </c>
      <c r="O2" s="24" t="n">
        <v>46478</v>
      </c>
      <c r="P2" s="24" t="n">
        <v>46508</v>
      </c>
      <c r="Q2" s="24" t="n">
        <v>46539</v>
      </c>
      <c r="R2" s="24" t="n">
        <v>46569</v>
      </c>
      <c r="S2" s="24" t="n">
        <v>46600</v>
      </c>
      <c r="T2" s="24" t="n">
        <v>46631</v>
      </c>
      <c r="U2" s="24" t="n">
        <v>46661</v>
      </c>
      <c r="V2" s="24" t="n">
        <v>46692</v>
      </c>
      <c r="W2" s="24" t="n">
        <v>46722</v>
      </c>
      <c r="X2" s="24" t="n">
        <v>46753</v>
      </c>
      <c r="Y2" s="24" t="n">
        <v>46784</v>
      </c>
      <c r="Z2" s="24" t="n">
        <v>46813</v>
      </c>
      <c r="AA2" s="24" t="n">
        <v>46844</v>
      </c>
      <c r="AB2" s="24" t="n">
        <v>46874</v>
      </c>
      <c r="AC2" s="24" t="n">
        <v>46905</v>
      </c>
      <c r="AD2" s="24" t="n">
        <v>46935</v>
      </c>
      <c r="AE2" s="24" t="n">
        <v>46966</v>
      </c>
      <c r="AF2" s="24" t="n">
        <v>46997</v>
      </c>
      <c r="AG2" s="24" t="n">
        <v>47027</v>
      </c>
      <c r="AH2" s="24" t="n">
        <v>47058</v>
      </c>
      <c r="AI2" s="24" t="n">
        <v>47088</v>
      </c>
      <c r="AJ2" s="24" t="n">
        <v>47119</v>
      </c>
      <c r="AK2" s="24" t="n">
        <v>47150</v>
      </c>
      <c r="AL2" s="24" t="n">
        <v>47178</v>
      </c>
      <c r="AM2" s="24" t="n">
        <v>47209</v>
      </c>
      <c r="AN2" s="24" t="n">
        <v>47239</v>
      </c>
      <c r="AO2" s="24" t="n">
        <v>47270</v>
      </c>
      <c r="AP2" s="24" t="n">
        <v>47300</v>
      </c>
      <c r="AQ2" s="24" t="n">
        <v>47331</v>
      </c>
      <c r="AR2" s="24" t="n">
        <v>47362</v>
      </c>
      <c r="AS2" s="24" t="n">
        <v>47392</v>
      </c>
      <c r="AT2" s="24" t="n">
        <v>47423</v>
      </c>
      <c r="AU2" s="24" t="n">
        <v>47453</v>
      </c>
      <c r="AV2" s="24" t="n">
        <v>47484</v>
      </c>
      <c r="AW2" s="24" t="n">
        <v>47515</v>
      </c>
      <c r="AX2" s="24" t="n">
        <v>47543</v>
      </c>
      <c r="AY2" s="24" t="n">
        <v>47574</v>
      </c>
      <c r="AZ2" s="24" t="n">
        <v>47604</v>
      </c>
      <c r="BA2" s="24" t="n">
        <v>47635</v>
      </c>
      <c r="BB2" s="24" t="n">
        <v>47665</v>
      </c>
      <c r="BC2" s="24" t="n">
        <v>47696</v>
      </c>
      <c r="BD2" s="24" t="n">
        <v>47727</v>
      </c>
      <c r="BE2" s="24" t="n">
        <v>47757</v>
      </c>
      <c r="BF2" s="24" t="n">
        <v>47788</v>
      </c>
      <c r="BG2" s="24" t="n">
        <v>47818</v>
      </c>
      <c r="BH2" s="24" t="n">
        <v>47849</v>
      </c>
      <c r="BI2" s="24" t="n">
        <v>47880</v>
      </c>
      <c r="BJ2" s="24" t="n">
        <v>47908</v>
      </c>
      <c r="BK2" s="24" t="n">
        <v>47939</v>
      </c>
      <c r="BL2" s="24" t="n">
        <v>47969</v>
      </c>
      <c r="BM2" s="24" t="n">
        <v>48000</v>
      </c>
      <c r="BN2" s="24" t="n">
        <v>48030</v>
      </c>
      <c r="BO2" s="24" t="n">
        <v>48061</v>
      </c>
      <c r="BP2" s="24" t="n">
        <v>48092</v>
      </c>
      <c r="BQ2" s="24" t="n">
        <v>48122</v>
      </c>
      <c r="BR2" s="24" t="n">
        <v>48153</v>
      </c>
      <c r="BS2" s="24" t="n">
        <v>48183</v>
      </c>
      <c r="BT2" s="24" t="n">
        <v>48214</v>
      </c>
      <c r="BU2" s="24" t="n">
        <v>48245</v>
      </c>
      <c r="BV2" s="24" t="n">
        <v>48274</v>
      </c>
      <c r="BW2" s="24" t="n">
        <v>48305</v>
      </c>
      <c r="BX2" s="24" t="n">
        <v>48335</v>
      </c>
      <c r="BY2" s="24" t="n">
        <v>48366</v>
      </c>
      <c r="BZ2" s="24" t="n">
        <v>48396</v>
      </c>
      <c r="CA2" s="24" t="n">
        <v>48427</v>
      </c>
      <c r="CB2" s="24" t="n">
        <v>48458</v>
      </c>
      <c r="CC2" s="24" t="n">
        <v>48488</v>
      </c>
      <c r="CD2" s="24" t="n">
        <v>48519</v>
      </c>
      <c r="CE2" s="24" t="n">
        <v>48549</v>
      </c>
      <c r="CF2" s="24" t="n">
        <v>48580</v>
      </c>
      <c r="CG2" s="24" t="n">
        <v>48611</v>
      </c>
      <c r="CH2" s="24" t="n">
        <v>48639</v>
      </c>
    </row>
    <row r="3" hidden="1" ht="15" customHeight="1" s="201">
      <c r="A3" s="99" t="inlineStr">
        <is>
          <t>Month #</t>
        </is>
      </c>
      <c r="C3" s="118" t="n">
        <v>1</v>
      </c>
      <c r="D3" s="118" t="n">
        <v>2</v>
      </c>
      <c r="E3" s="118" t="n">
        <v>3</v>
      </c>
      <c r="F3" s="118" t="n">
        <v>4</v>
      </c>
      <c r="G3" s="118" t="n">
        <v>5</v>
      </c>
      <c r="H3" s="118" t="n">
        <v>6</v>
      </c>
      <c r="I3" s="118" t="n">
        <v>7</v>
      </c>
      <c r="J3" s="118" t="n">
        <v>8</v>
      </c>
      <c r="K3" s="118" t="n">
        <v>9</v>
      </c>
      <c r="L3" s="118" t="n">
        <v>10</v>
      </c>
      <c r="M3" s="118" t="n">
        <v>11</v>
      </c>
      <c r="N3" s="118" t="n">
        <v>12</v>
      </c>
      <c r="O3" s="118" t="n">
        <v>13</v>
      </c>
      <c r="P3" s="118" t="n">
        <v>14</v>
      </c>
      <c r="Q3" s="118" t="n">
        <v>15</v>
      </c>
      <c r="R3" s="118" t="n">
        <v>16</v>
      </c>
      <c r="S3" s="118" t="n">
        <v>17</v>
      </c>
      <c r="T3" s="118" t="n">
        <v>18</v>
      </c>
      <c r="U3" s="118" t="n">
        <v>19</v>
      </c>
      <c r="V3" s="118" t="n">
        <v>20</v>
      </c>
      <c r="W3" s="118" t="n">
        <v>21</v>
      </c>
      <c r="X3" s="118" t="n">
        <v>22</v>
      </c>
      <c r="Y3" s="118" t="n">
        <v>23</v>
      </c>
      <c r="Z3" s="118" t="n">
        <v>24</v>
      </c>
      <c r="AA3" s="118" t="n">
        <v>25</v>
      </c>
      <c r="AB3" s="118" t="n">
        <v>26</v>
      </c>
      <c r="AC3" s="118" t="n">
        <v>27</v>
      </c>
      <c r="AD3" s="118" t="n">
        <v>28</v>
      </c>
      <c r="AE3" s="118" t="n">
        <v>29</v>
      </c>
      <c r="AF3" s="118" t="n">
        <v>30</v>
      </c>
      <c r="AG3" s="118" t="n">
        <v>31</v>
      </c>
      <c r="AH3" s="118" t="n">
        <v>32</v>
      </c>
      <c r="AI3" s="118" t="n">
        <v>33</v>
      </c>
      <c r="AJ3" s="118" t="n">
        <v>34</v>
      </c>
      <c r="AK3" s="118" t="n">
        <v>35</v>
      </c>
      <c r="AL3" s="118" t="n">
        <v>36</v>
      </c>
      <c r="AM3" s="118" t="n">
        <v>37</v>
      </c>
      <c r="AN3" s="118" t="n">
        <v>38</v>
      </c>
      <c r="AO3" s="118" t="n">
        <v>39</v>
      </c>
      <c r="AP3" s="118" t="n">
        <v>40</v>
      </c>
      <c r="AQ3" s="118" t="n">
        <v>41</v>
      </c>
      <c r="AR3" s="118" t="n">
        <v>42</v>
      </c>
      <c r="AS3" s="118" t="n">
        <v>43</v>
      </c>
      <c r="AT3" s="118" t="n">
        <v>44</v>
      </c>
      <c r="AU3" s="118" t="n">
        <v>45</v>
      </c>
      <c r="AV3" s="118" t="n">
        <v>46</v>
      </c>
      <c r="AW3" s="118" t="n">
        <v>47</v>
      </c>
      <c r="AX3" s="118" t="n">
        <v>48</v>
      </c>
      <c r="AY3" s="118" t="n">
        <v>49</v>
      </c>
      <c r="AZ3" s="118" t="n">
        <v>50</v>
      </c>
      <c r="BA3" s="118" t="n">
        <v>51</v>
      </c>
      <c r="BB3" s="118" t="n">
        <v>52</v>
      </c>
      <c r="BC3" s="118" t="n">
        <v>53</v>
      </c>
      <c r="BD3" s="118" t="n">
        <v>54</v>
      </c>
      <c r="BE3" s="118" t="n">
        <v>55</v>
      </c>
      <c r="BF3" s="118" t="n">
        <v>56</v>
      </c>
      <c r="BG3" s="118" t="n">
        <v>57</v>
      </c>
      <c r="BH3" s="118" t="n">
        <v>58</v>
      </c>
      <c r="BI3" s="118" t="n">
        <v>59</v>
      </c>
      <c r="BJ3" s="118" t="n">
        <v>60</v>
      </c>
      <c r="BK3" s="118" t="n">
        <v>61</v>
      </c>
      <c r="BL3" s="118" t="n">
        <v>62</v>
      </c>
      <c r="BM3" s="118" t="n">
        <v>63</v>
      </c>
      <c r="BN3" s="118" t="n">
        <v>64</v>
      </c>
      <c r="BO3" s="118" t="n">
        <v>65</v>
      </c>
      <c r="BP3" s="118" t="n">
        <v>66</v>
      </c>
      <c r="BQ3" s="118" t="n">
        <v>67</v>
      </c>
      <c r="BR3" s="118" t="n">
        <v>68</v>
      </c>
      <c r="BS3" s="118" t="n">
        <v>69</v>
      </c>
      <c r="BT3" s="118" t="n">
        <v>70</v>
      </c>
      <c r="BU3" s="118" t="n">
        <v>71</v>
      </c>
      <c r="BV3" s="118" t="n">
        <v>72</v>
      </c>
      <c r="BW3" s="118" t="n">
        <v>73</v>
      </c>
      <c r="BX3" s="118" t="n">
        <v>74</v>
      </c>
      <c r="BY3" s="118" t="n">
        <v>75</v>
      </c>
      <c r="BZ3" s="118" t="n">
        <v>76</v>
      </c>
      <c r="CA3" s="118" t="n">
        <v>77</v>
      </c>
      <c r="CB3" s="118" t="n">
        <v>78</v>
      </c>
      <c r="CC3" s="118" t="n">
        <v>79</v>
      </c>
      <c r="CD3" s="118" t="n">
        <v>80</v>
      </c>
      <c r="CE3" s="118" t="n">
        <v>81</v>
      </c>
      <c r="CF3" s="118" t="n">
        <v>82</v>
      </c>
      <c r="CG3" s="118" t="n">
        <v>83</v>
      </c>
      <c r="CH3" s="118" t="n">
        <v>84</v>
      </c>
    </row>
    <row r="4" ht="15" customHeight="1" s="201">
      <c r="A4" s="99" t="inlineStr">
        <is>
          <t>GC W2 Payroll Basis</t>
        </is>
      </c>
      <c r="C4" s="105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$35,Personnel!$G$35="Yes"),Personnel!$D$35*(1-Personnel!$H$35),0)+IF(AND(1&gt;=Personnel!$E$36,Personnel!$G$36="Yes"),Personnel!$D$36*(1-Personnel!$H$36),0)+IF(AND(1&gt;=Personnel!$E$37,Personnel!$G$37="Yes"),Personnel!$D$37*(1-Personnel!$H$37),0)+IF(AND(1&gt;=Personnel!$E$38,Personnel!$G$38="Yes"),Personnel!$D$38*(1-Personnel!$H$38),0))</f>
        <v/>
      </c>
      <c r="D4" s="105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$35,Personnel!$G$35="Yes"),Personnel!$D$35*(1-Personnel!$H$35),0)+IF(AND(2&gt;=Personnel!$E$36,Personnel!$G$36="Yes"),Personnel!$D$36*(1-Personnel!$H$36),0)+IF(AND(2&gt;=Personnel!$E$37,Personnel!$G$37="Yes"),Personnel!$D$37*(1-Personnel!$H$37),0)+IF(AND(2&gt;=Personnel!$E$38,Personnel!$G$38="Yes"),Personnel!$D$38*(1-Personnel!$H$38),0))</f>
        <v/>
      </c>
      <c r="E4" s="105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$35,Personnel!$G$35="Yes"),Personnel!$D$35*(1-Personnel!$H$35),0)+IF(AND(3&gt;=Personnel!$E$36,Personnel!$G$36="Yes"),Personnel!$D$36*(1-Personnel!$H$36),0)+IF(AND(3&gt;=Personnel!$E$37,Personnel!$G$37="Yes"),Personnel!$D$37*(1-Personnel!$H$37),0)+IF(AND(3&gt;=Personnel!$E$38,Personnel!$G$38="Yes"),Personnel!$D$38*(1-Personnel!$H$38),0))</f>
        <v/>
      </c>
      <c r="F4" s="105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$35,Personnel!$G$35="Yes"),Personnel!$D$35*(1-Personnel!$H$35),0)+IF(AND(4&gt;=Personnel!$E$36,Personnel!$G$36="Yes"),Personnel!$D$36*(1-Personnel!$H$36),0)+IF(AND(4&gt;=Personnel!$E$37,Personnel!$G$37="Yes"),Personnel!$D$37*(1-Personnel!$H$37),0)+IF(AND(4&gt;=Personnel!$E$38,Personnel!$G$38="Yes"),Personnel!$D$38*(1-Personnel!$H$38),0))</f>
        <v/>
      </c>
      <c r="G4" s="105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$35,Personnel!$G$35="Yes"),Personnel!$D$35*(1-Personnel!$H$35),0)+IF(AND(5&gt;=Personnel!$E$36,Personnel!$G$36="Yes"),Personnel!$D$36*(1-Personnel!$H$36),0)+IF(AND(5&gt;=Personnel!$E$37,Personnel!$G$37="Yes"),Personnel!$D$37*(1-Personnel!$H$37),0)+IF(AND(5&gt;=Personnel!$E$38,Personnel!$G$38="Yes"),Personnel!$D$38*(1-Personnel!$H$38),0))</f>
        <v/>
      </c>
      <c r="H4" s="105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$35,Personnel!$G$35="Yes"),Personnel!$D$35*(1-Personnel!$H$35),0)+IF(AND(6&gt;=Personnel!$E$36,Personnel!$G$36="Yes"),Personnel!$D$36*(1-Personnel!$H$36),0)+IF(AND(6&gt;=Personnel!$E$37,Personnel!$G$37="Yes"),Personnel!$D$37*(1-Personnel!$H$37),0)+IF(AND(6&gt;=Personnel!$E$38,Personnel!$G$38="Yes"),Personnel!$D$38*(1-Personnel!$H$38),0))</f>
        <v/>
      </c>
      <c r="I4" s="105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$35,Personnel!$G$35="Yes"),Personnel!$D$35*(1-Personnel!$H$35),0)+IF(AND(7&gt;=Personnel!$E$36,Personnel!$G$36="Yes"),Personnel!$D$36*(1-Personnel!$H$36),0)+IF(AND(7&gt;=Personnel!$E$37,Personnel!$G$37="Yes"),Personnel!$D$37*(1-Personnel!$H$37),0)+IF(AND(7&gt;=Personnel!$E$38,Personnel!$G$38="Yes"),Personnel!$D$38*(1-Personnel!$H$38),0))</f>
        <v/>
      </c>
      <c r="J4" s="105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$35,Personnel!$G$35="Yes"),Personnel!$D$35*(1-Personnel!$H$35),0)+IF(AND(8&gt;=Personnel!$E$36,Personnel!$G$36="Yes"),Personnel!$D$36*(1-Personnel!$H$36),0)+IF(AND(8&gt;=Personnel!$E$37,Personnel!$G$37="Yes"),Personnel!$D$37*(1-Personnel!$H$37),0)+IF(AND(8&gt;=Personnel!$E$38,Personnel!$G$38="Yes"),Personnel!$D$38*(1-Personnel!$H$38),0))</f>
        <v/>
      </c>
      <c r="K4" s="105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$35,Personnel!$G$35="Yes"),Personnel!$D$35*(1-Personnel!$H$35),0)+IF(AND(9&gt;=Personnel!$E$36,Personnel!$G$36="Yes"),Personnel!$D$36*(1-Personnel!$H$36),0)+IF(AND(9&gt;=Personnel!$E$37,Personnel!$G$37="Yes"),Personnel!$D$37*(1-Personnel!$H$37),0)+IF(AND(9&gt;=Personnel!$E$38,Personnel!$G$38="Yes"),Personnel!$D$38*(1-Personnel!$H$38),0))</f>
        <v/>
      </c>
      <c r="L4" s="105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$35,Personnel!$G$35="Yes"),Personnel!$D$35*(1-Personnel!$H$35)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)</f>
        <v/>
      </c>
      <c r="M4" s="105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$35,Personnel!$G$35="Yes"),Personnel!$D$35*(1-Personnel!$H$35)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)</f>
        <v/>
      </c>
      <c r="N4" s="105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$35,Personnel!$G$35="Yes"),Personnel!$D$35*(1-Personnel!$H$35)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)</f>
        <v/>
      </c>
      <c r="O4" s="105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$35,Personnel!$G$35="Yes"),Personnel!$D$35*(1-Personnel!$H$35)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)</f>
        <v/>
      </c>
      <c r="P4" s="105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$35,Personnel!$G$35="Yes"),Personnel!$D$35*(1-Personnel!$H$35)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)</f>
        <v/>
      </c>
      <c r="Q4" s="105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$35,Personnel!$G$35="Yes"),Personnel!$D$35*(1-Personnel!$H$35)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)</f>
        <v/>
      </c>
      <c r="R4" s="105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$35,Personnel!$G$35="Yes"),Personnel!$D$35*(1-Personnel!$H$35)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)</f>
        <v/>
      </c>
      <c r="S4" s="105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$35,Personnel!$G$35="Yes"),Personnel!$D$35*(1-Personnel!$H$35)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)</f>
        <v/>
      </c>
      <c r="T4" s="105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$35,Personnel!$G$35="Yes"),Personnel!$D$35*(1-Personnel!$H$35)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)</f>
        <v/>
      </c>
      <c r="U4" s="105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$35,Personnel!$G$35="Yes"),Personnel!$D$35*(1-Personnel!$H$35)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)</f>
        <v/>
      </c>
      <c r="V4" s="105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$35,Personnel!$G$35="Yes"),Personnel!$D$35*(1-Personnel!$H$35)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)</f>
        <v/>
      </c>
      <c r="W4" s="105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$35,Personnel!$G$35="Yes"),Personnel!$D$35*(1-Personnel!$H$35)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)</f>
        <v/>
      </c>
      <c r="X4" s="105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$35,Personnel!$G$35="Yes"),Personnel!$D$35*(1-Personnel!$H$35)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)</f>
        <v/>
      </c>
      <c r="Y4" s="105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$35,Personnel!$G$35="Yes"),Personnel!$D$35*(1-Personnel!$H$35)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)</f>
        <v/>
      </c>
      <c r="Z4" s="105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$35,Personnel!$G$35="Yes"),Personnel!$D$35*(1-Personnel!$H$35)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)</f>
        <v/>
      </c>
      <c r="AA4" s="105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$35,Personnel!$G$35="Yes"),Personnel!$D$35*(1-Personnel!$H$35)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)</f>
        <v/>
      </c>
      <c r="AB4" s="105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$35,Personnel!$G$35="Yes"),Personnel!$D$35*(1-Personnel!$H$35)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)</f>
        <v/>
      </c>
      <c r="AC4" s="105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$35,Personnel!$G$35="Yes"),Personnel!$D$35*(1-Personnel!$H$35)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)</f>
        <v/>
      </c>
      <c r="AD4" s="105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$35,Personnel!$G$35="Yes"),Personnel!$D$35*(1-Personnel!$H$35)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)</f>
        <v/>
      </c>
      <c r="AE4" s="105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$35,Personnel!$G$35="Yes"),Personnel!$D$35*(1-Personnel!$H$35)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)</f>
        <v/>
      </c>
      <c r="AF4" s="105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$35,Personnel!$G$35="Yes"),Personnel!$D$35*(1-Personnel!$H$35)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)</f>
        <v/>
      </c>
      <c r="AG4" s="105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$35,Personnel!$G$35="Yes"),Personnel!$D$35*(1-Personnel!$H$35)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)</f>
        <v/>
      </c>
      <c r="AH4" s="105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$35,Personnel!$G$35="Yes"),Personnel!$D$35*(1-Personnel!$H$35)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)</f>
        <v/>
      </c>
      <c r="AI4" s="105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$35,Personnel!$G$35="Yes"),Personnel!$D$35*(1-Personnel!$H$35)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)</f>
        <v/>
      </c>
      <c r="AJ4" s="105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$35,Personnel!$G$35="Yes"),Personnel!$D$35*(1-Personnel!$H$35)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)</f>
        <v/>
      </c>
      <c r="AK4" s="105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$35,Personnel!$G$35="Yes"),Personnel!$D$35*(1-Personnel!$H$35)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)</f>
        <v/>
      </c>
      <c r="AL4" s="105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$35,Personnel!$G$35="Yes"),Personnel!$D$35*(1-Personnel!$H$35)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)</f>
        <v/>
      </c>
      <c r="AM4" s="105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$35,Personnel!$G$35="Yes"),Personnel!$D$35*(1-Personnel!$H$35)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)</f>
        <v/>
      </c>
      <c r="AN4" s="105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$35,Personnel!$G$35="Yes"),Personnel!$D$35*(1-Personnel!$H$35)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)</f>
        <v/>
      </c>
      <c r="AO4" s="105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$35,Personnel!$G$35="Yes"),Personnel!$D$35*(1-Personnel!$H$35)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)</f>
        <v/>
      </c>
      <c r="AP4" s="105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$35,Personnel!$G$35="Yes"),Personnel!$D$35*(1-Personnel!$H$35)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)</f>
        <v/>
      </c>
      <c r="AQ4" s="105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$35,Personnel!$G$35="Yes"),Personnel!$D$35*(1-Personnel!$H$35)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)</f>
        <v/>
      </c>
      <c r="AR4" s="105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$35,Personnel!$G$35="Yes"),Personnel!$D$35*(1-Personnel!$H$35)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)</f>
        <v/>
      </c>
      <c r="AS4" s="105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$35,Personnel!$G$35="Yes"),Personnel!$D$35*(1-Personnel!$H$35)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)</f>
        <v/>
      </c>
      <c r="AT4" s="105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$35,Personnel!$G$35="Yes"),Personnel!$D$35*(1-Personnel!$H$35)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)</f>
        <v/>
      </c>
      <c r="AU4" s="105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$35,Personnel!$G$35="Yes"),Personnel!$D$35*(1-Personnel!$H$35)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)</f>
        <v/>
      </c>
      <c r="AV4" s="105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$35,Personnel!$G$35="Yes"),Personnel!$D$35*(1-Personnel!$H$35)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)</f>
        <v/>
      </c>
      <c r="AW4" s="105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$35,Personnel!$G$35="Yes"),Personnel!$D$35*(1-Personnel!$H$35)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)</f>
        <v/>
      </c>
      <c r="AX4" s="105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$35,Personnel!$G$35="Yes"),Personnel!$D$35*(1-Personnel!$H$35)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)</f>
        <v/>
      </c>
      <c r="AY4" s="105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$35,Personnel!$G$35="Yes"),Personnel!$D$35*(1-Personnel!$H$35)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)</f>
        <v/>
      </c>
      <c r="AZ4" s="105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$35,Personnel!$G$35="Yes"),Personnel!$D$35*(1-Personnel!$H$35)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)</f>
        <v/>
      </c>
      <c r="BA4" s="105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$35,Personnel!$G$35="Yes"),Personnel!$D$35*(1-Personnel!$H$35)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)</f>
        <v/>
      </c>
      <c r="BB4" s="105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$35,Personnel!$G$35="Yes"),Personnel!$D$35*(1-Personnel!$H$35)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)</f>
        <v/>
      </c>
      <c r="BC4" s="105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$35,Personnel!$G$35="Yes"),Personnel!$D$35*(1-Personnel!$H$35)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)</f>
        <v/>
      </c>
      <c r="BD4" s="105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$35,Personnel!$G$35="Yes"),Personnel!$D$35*(1-Personnel!$H$35)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)</f>
        <v/>
      </c>
      <c r="BE4" s="105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$35,Personnel!$G$35="Yes"),Personnel!$D$35*(1-Personnel!$H$35)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)</f>
        <v/>
      </c>
      <c r="BF4" s="105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$35,Personnel!$G$35="Yes"),Personnel!$D$35*(1-Personnel!$H$35)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)</f>
        <v/>
      </c>
      <c r="BG4" s="105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$35,Personnel!$G$35="Yes"),Personnel!$D$35*(1-Personnel!$H$35)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)</f>
        <v/>
      </c>
      <c r="BH4" s="105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$35,Personnel!$G$35="Yes"),Personnel!$D$35*(1-Personnel!$H$35)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)</f>
        <v/>
      </c>
      <c r="BI4" s="105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$35,Personnel!$G$35="Yes"),Personnel!$D$35*(1-Personnel!$H$35)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)</f>
        <v/>
      </c>
      <c r="BJ4" s="105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$35,Personnel!$G$35="Yes"),Personnel!$D$35*(1-Personnel!$H$35)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)</f>
        <v/>
      </c>
      <c r="BK4" s="105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$35,Personnel!$G$35="Yes"),Personnel!$D$35*(1-Personnel!$H$35)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)</f>
        <v/>
      </c>
      <c r="BL4" s="105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$35,Personnel!$G$35="Yes"),Personnel!$D$35*(1-Personnel!$H$35)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)</f>
        <v/>
      </c>
      <c r="BM4" s="105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$35,Personnel!$G$35="Yes"),Personnel!$D$35*(1-Personnel!$H$35)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)</f>
        <v/>
      </c>
      <c r="BN4" s="105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$35,Personnel!$G$35="Yes"),Personnel!$D$35*(1-Personnel!$H$35)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)</f>
        <v/>
      </c>
      <c r="BO4" s="105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$35,Personnel!$G$35="Yes"),Personnel!$D$35*(1-Personnel!$H$35)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)</f>
        <v/>
      </c>
      <c r="BP4" s="105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$35,Personnel!$G$35="Yes"),Personnel!$D$35*(1-Personnel!$H$35)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)</f>
        <v/>
      </c>
      <c r="BQ4" s="105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$35,Personnel!$G$35="Yes"),Personnel!$D$35*(1-Personnel!$H$35)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)</f>
        <v/>
      </c>
      <c r="BR4" s="105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$35,Personnel!$G$35="Yes"),Personnel!$D$35*(1-Personnel!$H$35)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)</f>
        <v/>
      </c>
      <c r="BS4" s="105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$35,Personnel!$G$35="Yes"),Personnel!$D$35*(1-Personnel!$H$35)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)</f>
        <v/>
      </c>
      <c r="BT4" s="105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$35,Personnel!$G$35="Yes"),Personnel!$D$35*(1-Personnel!$H$35)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)</f>
        <v/>
      </c>
      <c r="BU4" s="105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$35,Personnel!$G$35="Yes"),Personnel!$D$35*(1-Personnel!$H$35)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)</f>
        <v/>
      </c>
      <c r="BV4" s="105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$35,Personnel!$G$35="Yes"),Personnel!$D$35*(1-Personnel!$H$35)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)</f>
        <v/>
      </c>
      <c r="BW4" s="105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$35,Personnel!$G$35="Yes"),Personnel!$D$35*(1-Personnel!$H$35)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)</f>
        <v/>
      </c>
      <c r="BX4" s="105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$35,Personnel!$G$35="Yes"),Personnel!$D$35*(1-Personnel!$H$35)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)</f>
        <v/>
      </c>
      <c r="BY4" s="105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$35,Personnel!$G$35="Yes"),Personnel!$D$35*(1-Personnel!$H$35)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)</f>
        <v/>
      </c>
      <c r="BZ4" s="105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$35,Personnel!$G$35="Yes"),Personnel!$D$35*(1-Personnel!$H$35)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)</f>
        <v/>
      </c>
      <c r="CA4" s="105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$35,Personnel!$G$35="Yes"),Personnel!$D$35*(1-Personnel!$H$35)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)</f>
        <v/>
      </c>
      <c r="CB4" s="105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$35,Personnel!$G$35="Yes"),Personnel!$D$35*(1-Personnel!$H$35)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)</f>
        <v/>
      </c>
      <c r="CC4" s="105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$35,Personnel!$G$35="Yes"),Personnel!$D$35*(1-Personnel!$H$35)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)</f>
        <v/>
      </c>
      <c r="CD4" s="105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$35,Personnel!$G$35="Yes"),Personnel!$D$35*(1-Personnel!$H$35)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)</f>
        <v/>
      </c>
      <c r="CE4" s="105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$35,Personnel!$G$35="Yes"),Personnel!$D$35*(1-Personnel!$H$35)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)</f>
        <v/>
      </c>
      <c r="CF4" s="105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$35,Personnel!$G$35="Yes"),Personnel!$D$35*(1-Personnel!$H$35)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)</f>
        <v/>
      </c>
      <c r="CG4" s="105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$35,Personnel!$G$35="Yes"),Personnel!$D$35*(1-Personnel!$H$35)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)</f>
        <v/>
      </c>
      <c r="CH4" s="105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$35,Personnel!$G$35="Yes"),Personnel!$D$35*(1-Personnel!$H$35)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)</f>
        <v/>
      </c>
    </row>
    <row r="5" ht="15" customHeight="1" s="201">
      <c r="A5" s="99" t="inlineStr">
        <is>
          <t>SP W2 Payroll Basis</t>
        </is>
      </c>
      <c r="C5" s="105">
        <f>(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+IF(AND(1&gt;=Personnel!$E$35,Personnel!$G$35="Yes"),Personnel!$D$35*(1-Personnel!$H$35)*(1-Personnel!$I$35),0)+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)</f>
        <v/>
      </c>
      <c r="D5" s="105">
        <f>(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+IF(AND(2&gt;=Personnel!$E$35,Personnel!$G$35="Yes"),Personnel!$D$35*(1-Personnel!$H$35)*(1-Personnel!$I$35),0)+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)</f>
        <v/>
      </c>
      <c r="E5" s="105">
        <f>(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+IF(AND(3&gt;=Personnel!$E$35,Personnel!$G$35="Yes"),Personnel!$D$35*(1-Personnel!$H$35)*(1-Personnel!$I$35),0)+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)</f>
        <v/>
      </c>
      <c r="F5" s="105">
        <f>(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+IF(AND(4&gt;=Personnel!$E$35,Personnel!$G$35="Yes"),Personnel!$D$35*(1-Personnel!$H$35)*(1-Personnel!$I$35),0)+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)</f>
        <v/>
      </c>
      <c r="G5" s="105">
        <f>(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+IF(AND(5&gt;=Personnel!$E$35,Personnel!$G$35="Yes"),Personnel!$D$35*(1-Personnel!$H$35)*(1-Personnel!$I$35),0)+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)</f>
        <v/>
      </c>
      <c r="H5" s="105">
        <f>(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+IF(AND(6&gt;=Personnel!$E$35,Personnel!$G$35="Yes"),Personnel!$D$35*(1-Personnel!$H$35)*(1-Personnel!$I$35),0)+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)</f>
        <v/>
      </c>
      <c r="I5" s="105">
        <f>(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+IF(AND(7&gt;=Personnel!$E$35,Personnel!$G$35="Yes"),Personnel!$D$35*(1-Personnel!$H$35)*(1-Personnel!$I$35),0)+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)</f>
        <v/>
      </c>
      <c r="J5" s="105">
        <f>(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+IF(AND(8&gt;=Personnel!$E$35,Personnel!$G$35="Yes"),Personnel!$D$35*(1-Personnel!$H$35)*(1-Personnel!$I$35),0)+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)</f>
        <v/>
      </c>
      <c r="K5" s="105">
        <f>(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+IF(AND(9&gt;=Personnel!$E$35,Personnel!$G$35="Yes"),Personnel!$D$35*(1-Personnel!$H$35)*(1-Personnel!$I$35),0)+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)</f>
        <v/>
      </c>
      <c r="L5" s="105">
        <f>(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+IF(AND(10&gt;=Personnel!$E$35,Personnel!$G$35="Yes"),Personnel!$D$35*(1-Personnel!$H$35)*(1-Personnel!$I$35),0)+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)</f>
        <v/>
      </c>
      <c r="M5" s="105">
        <f>(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+IF(AND(11&gt;=Personnel!$E$35,Personnel!$G$35="Yes"),Personnel!$D$35*(1-Personnel!$H$35)*(1-Personnel!$I$35),0)+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)</f>
        <v/>
      </c>
      <c r="N5" s="105">
        <f>(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+IF(AND(12&gt;=Personnel!$E$35,Personnel!$G$35="Yes"),Personnel!$D$35*(1-Personnel!$H$35)*(1-Personnel!$I$35),0)+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)</f>
        <v/>
      </c>
      <c r="O5" s="105">
        <f>(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+IF(AND(13&gt;=Personnel!$E$35,Personnel!$G$35="Yes"),Personnel!$D$35*(1-Personnel!$H$35)*(1-Personnel!$I$35),0)+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)</f>
        <v/>
      </c>
      <c r="P5" s="105">
        <f>(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+IF(AND(14&gt;=Personnel!$E$35,Personnel!$G$35="Yes"),Personnel!$D$35*(1-Personnel!$H$35)*(1-Personnel!$I$35),0)+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)</f>
        <v/>
      </c>
      <c r="Q5" s="105">
        <f>(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+IF(AND(15&gt;=Personnel!$E$35,Personnel!$G$35="Yes"),Personnel!$D$35*(1-Personnel!$H$35)*(1-Personnel!$I$35),0)+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)</f>
        <v/>
      </c>
      <c r="R5" s="105">
        <f>(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+IF(AND(16&gt;=Personnel!$E$35,Personnel!$G$35="Yes"),Personnel!$D$35*(1-Personnel!$H$35)*(1-Personnel!$I$35),0)+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)</f>
        <v/>
      </c>
      <c r="S5" s="105">
        <f>(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+IF(AND(17&gt;=Personnel!$E$35,Personnel!$G$35="Yes"),Personnel!$D$35*(1-Personnel!$H$35)*(1-Personnel!$I$35),0)+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)</f>
        <v/>
      </c>
      <c r="T5" s="105">
        <f>(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+IF(AND(18&gt;=Personnel!$E$35,Personnel!$G$35="Yes"),Personnel!$D$35*(1-Personnel!$H$35)*(1-Personnel!$I$35),0)+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)</f>
        <v/>
      </c>
      <c r="U5" s="105">
        <f>(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+IF(AND(19&gt;=Personnel!$E$35,Personnel!$G$35="Yes"),Personnel!$D$35*(1-Personnel!$H$35)*(1-Personnel!$I$35),0)+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)</f>
        <v/>
      </c>
      <c r="V5" s="105">
        <f>(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+IF(AND(20&gt;=Personnel!$E$35,Personnel!$G$35="Yes"),Personnel!$D$35*(1-Personnel!$H$35)*(1-Personnel!$I$35),0)+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)</f>
        <v/>
      </c>
      <c r="W5" s="105">
        <f>(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+IF(AND(21&gt;=Personnel!$E$35,Personnel!$G$35="Yes"),Personnel!$D$35*(1-Personnel!$H$35)*(1-Personnel!$I$35),0)+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)</f>
        <v/>
      </c>
      <c r="X5" s="105">
        <f>(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+IF(AND(22&gt;=Personnel!$E$35,Personnel!$G$35="Yes"),Personnel!$D$35*(1-Personnel!$H$35)*(1-Personnel!$I$35),0)+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)</f>
        <v/>
      </c>
      <c r="Y5" s="105">
        <f>(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+IF(AND(23&gt;=Personnel!$E$35,Personnel!$G$35="Yes"),Personnel!$D$35*(1-Personnel!$H$35)*(1-Personnel!$I$35),0)+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)</f>
        <v/>
      </c>
      <c r="Z5" s="105">
        <f>(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+IF(AND(24&gt;=Personnel!$E$35,Personnel!$G$35="Yes"),Personnel!$D$35*(1-Personnel!$H$35)*(1-Personnel!$I$35),0)+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)</f>
        <v/>
      </c>
      <c r="AA5" s="105">
        <f>(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+IF(AND(25&gt;=Personnel!$E$35,Personnel!$G$35="Yes"),Personnel!$D$35*(1-Personnel!$H$35)*(1-Personnel!$I$35),0)+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)</f>
        <v/>
      </c>
      <c r="AB5" s="105">
        <f>(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+IF(AND(26&gt;=Personnel!$E$35,Personnel!$G$35="Yes"),Personnel!$D$35*(1-Personnel!$H$35)*(1-Personnel!$I$35),0)+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)</f>
        <v/>
      </c>
      <c r="AC5" s="105">
        <f>(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+IF(AND(27&gt;=Personnel!$E$35,Personnel!$G$35="Yes"),Personnel!$D$35*(1-Personnel!$H$35)*(1-Personnel!$I$35),0)+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)</f>
        <v/>
      </c>
      <c r="AD5" s="105">
        <f>(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+IF(AND(28&gt;=Personnel!$E$35,Personnel!$G$35="Yes"),Personnel!$D$35*(1-Personnel!$H$35)*(1-Personnel!$I$35),0)+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)</f>
        <v/>
      </c>
      <c r="AE5" s="105">
        <f>(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+IF(AND(29&gt;=Personnel!$E$35,Personnel!$G$35="Yes"),Personnel!$D$35*(1-Personnel!$H$35)*(1-Personnel!$I$35),0)+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)</f>
        <v/>
      </c>
      <c r="AF5" s="105">
        <f>(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+IF(AND(30&gt;=Personnel!$E$35,Personnel!$G$35="Yes"),Personnel!$D$35*(1-Personnel!$H$35)*(1-Personnel!$I$35),0)+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)</f>
        <v/>
      </c>
      <c r="AG5" s="105">
        <f>(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+IF(AND(31&gt;=Personnel!$E$35,Personnel!$G$35="Yes"),Personnel!$D$35*(1-Personnel!$H$35)*(1-Personnel!$I$35),0)+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)</f>
        <v/>
      </c>
      <c r="AH5" s="105">
        <f>(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+IF(AND(32&gt;=Personnel!$E$35,Personnel!$G$35="Yes"),Personnel!$D$35*(1-Personnel!$H$35)*(1-Personnel!$I$35),0)+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)</f>
        <v/>
      </c>
      <c r="AI5" s="105">
        <f>(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+IF(AND(33&gt;=Personnel!$E$35,Personnel!$G$35="Yes"),Personnel!$D$35*(1-Personnel!$H$35)*(1-Personnel!$I$35),0)+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)</f>
        <v/>
      </c>
      <c r="AJ5" s="105">
        <f>(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+IF(AND(34&gt;=Personnel!$E$35,Personnel!$G$35="Yes"),Personnel!$D$35*(1-Personnel!$H$35)*(1-Personnel!$I$35),0)+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)</f>
        <v/>
      </c>
      <c r="AK5" s="105">
        <f>(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+IF(AND(35&gt;=Personnel!$E$35,Personnel!$G$35="Yes"),Personnel!$D$35*(1-Personnel!$H$35)*(1-Personnel!$I$35),0)+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)</f>
        <v/>
      </c>
      <c r="AL5" s="105">
        <f>(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+IF(AND(36&gt;=Personnel!$E$35,Personnel!$G$35="Yes"),Personnel!$D$35*(1-Personnel!$H$35)*(1-Personnel!$I$35),0)+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)</f>
        <v/>
      </c>
      <c r="AM5" s="105">
        <f>(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+IF(AND(37&gt;=Personnel!$E$35,Personnel!$G$35="Yes"),Personnel!$D$35*(1-Personnel!$H$35)*(1-Personnel!$I$35),0)+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)</f>
        <v/>
      </c>
      <c r="AN5" s="105">
        <f>(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+IF(AND(38&gt;=Personnel!$E$35,Personnel!$G$35="Yes"),Personnel!$D$35*(1-Personnel!$H$35)*(1-Personnel!$I$35),0)+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)</f>
        <v/>
      </c>
      <c r="AO5" s="105">
        <f>(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+IF(AND(39&gt;=Personnel!$E$35,Personnel!$G$35="Yes"),Personnel!$D$35*(1-Personnel!$H$35)*(1-Personnel!$I$35),0)+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)</f>
        <v/>
      </c>
      <c r="AP5" s="105">
        <f>(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+IF(AND(40&gt;=Personnel!$E$35,Personnel!$G$35="Yes"),Personnel!$D$35*(1-Personnel!$H$35)*(1-Personnel!$I$35),0)+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)</f>
        <v/>
      </c>
      <c r="AQ5" s="105">
        <f>(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+IF(AND(41&gt;=Personnel!$E$35,Personnel!$G$35="Yes"),Personnel!$D$35*(1-Personnel!$H$35)*(1-Personnel!$I$35),0)+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)</f>
        <v/>
      </c>
      <c r="AR5" s="105">
        <f>(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+IF(AND(42&gt;=Personnel!$E$35,Personnel!$G$35="Yes"),Personnel!$D$35*(1-Personnel!$H$35)*(1-Personnel!$I$35),0)+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)</f>
        <v/>
      </c>
      <c r="AS5" s="105">
        <f>(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+IF(AND(43&gt;=Personnel!$E$35,Personnel!$G$35="Yes"),Personnel!$D$35*(1-Personnel!$H$35)*(1-Personnel!$I$35),0)+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)</f>
        <v/>
      </c>
      <c r="AT5" s="105">
        <f>(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+IF(AND(44&gt;=Personnel!$E$35,Personnel!$G$35="Yes"),Personnel!$D$35*(1-Personnel!$H$35)*(1-Personnel!$I$35),0)+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)</f>
        <v/>
      </c>
      <c r="AU5" s="105">
        <f>(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+IF(AND(45&gt;=Personnel!$E$35,Personnel!$G$35="Yes"),Personnel!$D$35*(1-Personnel!$H$35)*(1-Personnel!$I$35),0)+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)</f>
        <v/>
      </c>
      <c r="AV5" s="105">
        <f>(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+IF(AND(46&gt;=Personnel!$E$35,Personnel!$G$35="Yes"),Personnel!$D$35*(1-Personnel!$H$35)*(1-Personnel!$I$35),0)+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)</f>
        <v/>
      </c>
      <c r="AW5" s="105">
        <f>(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+IF(AND(47&gt;=Personnel!$E$35,Personnel!$G$35="Yes"),Personnel!$D$35*(1-Personnel!$H$35)*(1-Personnel!$I$35),0)+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)</f>
        <v/>
      </c>
      <c r="AX5" s="105">
        <f>(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+IF(AND(48&gt;=Personnel!$E$35,Personnel!$G$35="Yes"),Personnel!$D$35*(1-Personnel!$H$35)*(1-Personnel!$I$35),0)+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)</f>
        <v/>
      </c>
      <c r="AY5" s="105">
        <f>(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+IF(AND(49&gt;=Personnel!$E$35,Personnel!$G$35="Yes"),Personnel!$D$35*(1-Personnel!$H$35)*(1-Personnel!$I$35),0)+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)</f>
        <v/>
      </c>
      <c r="AZ5" s="105">
        <f>(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+IF(AND(50&gt;=Personnel!$E$35,Personnel!$G$35="Yes"),Personnel!$D$35*(1-Personnel!$H$35)*(1-Personnel!$I$35),0)+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)</f>
        <v/>
      </c>
      <c r="BA5" s="105">
        <f>(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+IF(AND(51&gt;=Personnel!$E$35,Personnel!$G$35="Yes"),Personnel!$D$35*(1-Personnel!$H$35)*(1-Personnel!$I$35),0)+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)</f>
        <v/>
      </c>
      <c r="BB5" s="105">
        <f>(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+IF(AND(52&gt;=Personnel!$E$35,Personnel!$G$35="Yes"),Personnel!$D$35*(1-Personnel!$H$35)*(1-Personnel!$I$35),0)+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)</f>
        <v/>
      </c>
      <c r="BC5" s="105">
        <f>(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+IF(AND(53&gt;=Personnel!$E$35,Personnel!$G$35="Yes"),Personnel!$D$35*(1-Personnel!$H$35)*(1-Personnel!$I$35),0)+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)</f>
        <v/>
      </c>
      <c r="BD5" s="105">
        <f>(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+IF(AND(54&gt;=Personnel!$E$35,Personnel!$G$35="Yes"),Personnel!$D$35*(1-Personnel!$H$35)*(1-Personnel!$I$35),0)+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)</f>
        <v/>
      </c>
      <c r="BE5" s="105">
        <f>(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+IF(AND(55&gt;=Personnel!$E$35,Personnel!$G$35="Yes"),Personnel!$D$35*(1-Personnel!$H$35)*(1-Personnel!$I$35),0)+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)</f>
        <v/>
      </c>
      <c r="BF5" s="105">
        <f>(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+IF(AND(56&gt;=Personnel!$E$35,Personnel!$G$35="Yes"),Personnel!$D$35*(1-Personnel!$H$35)*(1-Personnel!$I$35),0)+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)</f>
        <v/>
      </c>
      <c r="BG5" s="105">
        <f>(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+IF(AND(57&gt;=Personnel!$E$35,Personnel!$G$35="Yes"),Personnel!$D$35*(1-Personnel!$H$35)*(1-Personnel!$I$35),0)+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)</f>
        <v/>
      </c>
      <c r="BH5" s="105">
        <f>(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+IF(AND(58&gt;=Personnel!$E$35,Personnel!$G$35="Yes"),Personnel!$D$35*(1-Personnel!$H$35)*(1-Personnel!$I$35),0)+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)</f>
        <v/>
      </c>
      <c r="BI5" s="105">
        <f>(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+IF(AND(59&gt;=Personnel!$E$35,Personnel!$G$35="Yes"),Personnel!$D$35*(1-Personnel!$H$35)*(1-Personnel!$I$35),0)+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)</f>
        <v/>
      </c>
      <c r="BJ5" s="105">
        <f>(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+IF(AND(60&gt;=Personnel!$E$35,Personnel!$G$35="Yes"),Personnel!$D$35*(1-Personnel!$H$35)*(1-Personnel!$I$35),0)+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)</f>
        <v/>
      </c>
      <c r="BK5" s="105">
        <f>(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+IF(AND(61&gt;=Personnel!$E$35,Personnel!$G$35="Yes"),Personnel!$D$35*(1-Personnel!$H$35)*(1-Personnel!$I$35),0)+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)</f>
        <v/>
      </c>
      <c r="BL5" s="105">
        <f>(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+IF(AND(62&gt;=Personnel!$E$35,Personnel!$G$35="Yes"),Personnel!$D$35*(1-Personnel!$H$35)*(1-Personnel!$I$35),0)+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)</f>
        <v/>
      </c>
      <c r="BM5" s="105">
        <f>(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+IF(AND(63&gt;=Personnel!$E$35,Personnel!$G$35="Yes"),Personnel!$D$35*(1-Personnel!$H$35)*(1-Personnel!$I$35),0)+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)</f>
        <v/>
      </c>
      <c r="BN5" s="105">
        <f>(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+IF(AND(64&gt;=Personnel!$E$35,Personnel!$G$35="Yes"),Personnel!$D$35*(1-Personnel!$H$35)*(1-Personnel!$I$35),0)+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)</f>
        <v/>
      </c>
      <c r="BO5" s="105">
        <f>(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+IF(AND(65&gt;=Personnel!$E$35,Personnel!$G$35="Yes"),Personnel!$D$35*(1-Personnel!$H$35)*(1-Personnel!$I$35),0)+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)</f>
        <v/>
      </c>
      <c r="BP5" s="105">
        <f>(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+IF(AND(66&gt;=Personnel!$E$35,Personnel!$G$35="Yes"),Personnel!$D$35*(1-Personnel!$H$35)*(1-Personnel!$I$35),0)+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)</f>
        <v/>
      </c>
      <c r="BQ5" s="105">
        <f>(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+IF(AND(67&gt;=Personnel!$E$35,Personnel!$G$35="Yes"),Personnel!$D$35*(1-Personnel!$H$35)*(1-Personnel!$I$35),0)+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)</f>
        <v/>
      </c>
      <c r="BR5" s="105">
        <f>(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+IF(AND(68&gt;=Personnel!$E$35,Personnel!$G$35="Yes"),Personnel!$D$35*(1-Personnel!$H$35)*(1-Personnel!$I$35),0)+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)</f>
        <v/>
      </c>
      <c r="BS5" s="105">
        <f>(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+IF(AND(69&gt;=Personnel!$E$35,Personnel!$G$35="Yes"),Personnel!$D$35*(1-Personnel!$H$35)*(1-Personnel!$I$35),0)+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)</f>
        <v/>
      </c>
      <c r="BT5" s="105">
        <f>(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+IF(AND(70&gt;=Personnel!$E$35,Personnel!$G$35="Yes"),Personnel!$D$35*(1-Personnel!$H$35)*(1-Personnel!$I$35),0)+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)</f>
        <v/>
      </c>
      <c r="BU5" s="105">
        <f>(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+IF(AND(71&gt;=Personnel!$E$35,Personnel!$G$35="Yes"),Personnel!$D$35*(1-Personnel!$H$35)*(1-Personnel!$I$35),0)+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)</f>
        <v/>
      </c>
      <c r="BV5" s="105">
        <f>(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+IF(AND(72&gt;=Personnel!$E$35,Personnel!$G$35="Yes"),Personnel!$D$35*(1-Personnel!$H$35)*(1-Personnel!$I$35),0)+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)</f>
        <v/>
      </c>
      <c r="BW5" s="105">
        <f>(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+IF(AND(73&gt;=Personnel!$E$35,Personnel!$G$35="Yes"),Personnel!$D$35*(1-Personnel!$H$35)*(1-Personnel!$I$35),0)+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)</f>
        <v/>
      </c>
      <c r="BX5" s="105">
        <f>(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+IF(AND(74&gt;=Personnel!$E$35,Personnel!$G$35="Yes"),Personnel!$D$35*(1-Personnel!$H$35)*(1-Personnel!$I$35),0)+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)</f>
        <v/>
      </c>
      <c r="BY5" s="105">
        <f>(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+IF(AND(75&gt;=Personnel!$E$35,Personnel!$G$35="Yes"),Personnel!$D$35*(1-Personnel!$H$35)*(1-Personnel!$I$35),0)+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)</f>
        <v/>
      </c>
      <c r="BZ5" s="105">
        <f>(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+IF(AND(76&gt;=Personnel!$E$35,Personnel!$G$35="Yes"),Personnel!$D$35*(1-Personnel!$H$35)*(1-Personnel!$I$35),0)+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)</f>
        <v/>
      </c>
      <c r="CA5" s="105">
        <f>(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+IF(AND(77&gt;=Personnel!$E$35,Personnel!$G$35="Yes"),Personnel!$D$35*(1-Personnel!$H$35)*(1-Personnel!$I$35),0)+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)</f>
        <v/>
      </c>
      <c r="CB5" s="105">
        <f>(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+IF(AND(78&gt;=Personnel!$E$35,Personnel!$G$35="Yes"),Personnel!$D$35*(1-Personnel!$H$35)*(1-Personnel!$I$35),0)+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)</f>
        <v/>
      </c>
      <c r="CC5" s="105">
        <f>(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+IF(AND(79&gt;=Personnel!$E$35,Personnel!$G$35="Yes"),Personnel!$D$35*(1-Personnel!$H$35)*(1-Personnel!$I$35),0)+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)</f>
        <v/>
      </c>
      <c r="CD5" s="105">
        <f>(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+IF(AND(80&gt;=Personnel!$E$35,Personnel!$G$35="Yes"),Personnel!$D$35*(1-Personnel!$H$35)*(1-Personnel!$I$35),0)+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)</f>
        <v/>
      </c>
      <c r="CE5" s="105">
        <f>(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+IF(AND(81&gt;=Personnel!$E$35,Personnel!$G$35="Yes"),Personnel!$D$35*(1-Personnel!$H$35)*(1-Personnel!$I$35),0)+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)</f>
        <v/>
      </c>
      <c r="CF5" s="105">
        <f>(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+IF(AND(82&gt;=Personnel!$E$35,Personnel!$G$35="Yes"),Personnel!$D$35*(1-Personnel!$H$35)*(1-Personnel!$I$35),0)+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)</f>
        <v/>
      </c>
      <c r="CG5" s="105">
        <f>(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+IF(AND(83&gt;=Personnel!$E$35,Personnel!$G$35="Yes"),Personnel!$D$35*(1-Personnel!$H$35)*(1-Personnel!$I$35),0)+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)</f>
        <v/>
      </c>
      <c r="CH5" s="105">
        <f>(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+IF(AND(84&gt;=Personnel!$E$35,Personnel!$G$35="Yes"),Personnel!$D$35*(1-Personnel!$H$35)*(1-Personnel!$I$35),0)+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)</f>
        <v/>
      </c>
    </row>
    <row r="7" ht="15" customHeight="1" s="201">
      <c r="A7" s="101" t="inlineStr">
        <is>
          <t>Bonding Outstanding by Project</t>
        </is>
      </c>
    </row>
    <row r="8" ht="15" customHeight="1" s="201">
      <c r="A8" s="99" t="inlineStr">
        <is>
          <t>Califa</t>
        </is>
      </c>
      <c r="C8" s="105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105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105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105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105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105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105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105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105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105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105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105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105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105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105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105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105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105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105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105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105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105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105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105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105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105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105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105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105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105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105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105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105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105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105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105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105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105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105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105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105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105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105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105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105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105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105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105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105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105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105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105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105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105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105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105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105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105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105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105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105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105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105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105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105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105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105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105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105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105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105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105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105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105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105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105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105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105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105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105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105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105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105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105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01">
      <c r="A9" s="99" t="inlineStr">
        <is>
          <t>Whipple</t>
        </is>
      </c>
      <c r="C9" s="105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105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105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105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105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105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105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105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105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105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105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105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105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105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105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105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105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105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105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105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105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105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105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105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105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105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105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105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105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105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105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105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105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105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105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105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105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105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105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105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105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105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105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105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105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105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105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105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105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105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105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105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105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105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105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105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105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105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105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105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105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105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105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105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105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105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105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105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105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105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105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105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105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105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105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105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105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105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105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105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105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105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105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105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01">
      <c r="A10" s="99" t="inlineStr">
        <is>
          <t>Francis</t>
        </is>
      </c>
      <c r="C10" s="105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105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105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105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105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105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105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105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105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105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105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105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105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105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105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105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105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105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105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105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105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105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105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105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105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105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105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105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105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105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105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105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105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105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105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105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105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105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105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105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105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105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105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105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105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105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105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105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105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105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105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105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105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105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105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105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105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105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105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105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105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105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105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105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105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105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105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105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105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105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105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105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105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105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105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105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105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105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105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105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105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105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105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105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01">
      <c r="A11" s="99" t="inlineStr">
        <is>
          <t>Lexington</t>
        </is>
      </c>
      <c r="C11" s="105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105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105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105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105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105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105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105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105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105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105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105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105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105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105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105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105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105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105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105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105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105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105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105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105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105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105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105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105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105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105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105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105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105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105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105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105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105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105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105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105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105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105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105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105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105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105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105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105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105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105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105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105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105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105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105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105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105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105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105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105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105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105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105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105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105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105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105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105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105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105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105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105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105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105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105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105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105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105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105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105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105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105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105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01">
      <c r="A12" s="99" t="inlineStr">
        <is>
          <t>Denny</t>
        </is>
      </c>
      <c r="C12" s="105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105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105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105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105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105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105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105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105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105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105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105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105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105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105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105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105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105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105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105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105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105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105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105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105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105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105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105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105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105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105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105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105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105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105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105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105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105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105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105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105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105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105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105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105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105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105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105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105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105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105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105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105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105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105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105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105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105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105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105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105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105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105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105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105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105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105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105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105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105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105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105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105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105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105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105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105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105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105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105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105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105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105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105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01">
      <c r="A13" s="99" t="inlineStr">
        <is>
          <t>Acama</t>
        </is>
      </c>
      <c r="C13" s="105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105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105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105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105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105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105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105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105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105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105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105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105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105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105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105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105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105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105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105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105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105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105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105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105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105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105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105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105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105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105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105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105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105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105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105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105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105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105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105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105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105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105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105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105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105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105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105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105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105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105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105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105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105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105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105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105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105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105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105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105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105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105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105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105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105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105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105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105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105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105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105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105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105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105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105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105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105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105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105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105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105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105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105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01">
      <c r="A14" s="99" t="inlineStr">
        <is>
          <t>Reseda</t>
        </is>
      </c>
      <c r="C14" s="105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105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105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105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105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105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105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105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105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105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105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105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105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105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105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105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105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105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105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105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105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105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105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105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105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105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105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105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105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105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105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105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105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105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105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105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105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105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105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105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105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105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105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105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105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105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105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105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105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105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105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105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105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105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105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105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105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105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105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105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105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105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105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105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105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105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105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105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105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105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105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105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105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105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105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105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105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105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105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105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105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105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105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105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01">
      <c r="A15" s="99" t="inlineStr">
        <is>
          <t>3rd St</t>
        </is>
      </c>
      <c r="C15" s="105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105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105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105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105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105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105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105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105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105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105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105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105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105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105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105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105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105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105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105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105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105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105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105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105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105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105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105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105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105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105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105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105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105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105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105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105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105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105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105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105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105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105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105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105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105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105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105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105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105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105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105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105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105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105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105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105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105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105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105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105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105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105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105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105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105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105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105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105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105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105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105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105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105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105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105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105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105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105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105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105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105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105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105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01">
      <c r="A16" s="120" t="inlineStr">
        <is>
          <t>Total Bonding Outstanding</t>
        </is>
      </c>
      <c r="C16" s="121">
        <f>SUM(C8:C15)</f>
        <v/>
      </c>
      <c r="D16" s="121">
        <f>SUM(D8:D15)</f>
        <v/>
      </c>
      <c r="E16" s="121">
        <f>SUM(E8:E15)</f>
        <v/>
      </c>
      <c r="F16" s="121">
        <f>SUM(F8:F15)</f>
        <v/>
      </c>
      <c r="G16" s="121">
        <f>SUM(G8:G15)</f>
        <v/>
      </c>
      <c r="H16" s="121">
        <f>SUM(H8:H15)</f>
        <v/>
      </c>
      <c r="I16" s="121">
        <f>SUM(I8:I15)</f>
        <v/>
      </c>
      <c r="J16" s="121">
        <f>SUM(J8:J15)</f>
        <v/>
      </c>
      <c r="K16" s="121">
        <f>SUM(K8:K15)</f>
        <v/>
      </c>
      <c r="L16" s="121">
        <f>SUM(L8:L15)</f>
        <v/>
      </c>
      <c r="M16" s="121">
        <f>SUM(M8:M15)</f>
        <v/>
      </c>
      <c r="N16" s="121">
        <f>SUM(N8:N15)</f>
        <v/>
      </c>
      <c r="O16" s="121">
        <f>SUM(O8:O15)</f>
        <v/>
      </c>
      <c r="P16" s="121">
        <f>SUM(P8:P15)</f>
        <v/>
      </c>
      <c r="Q16" s="121">
        <f>SUM(Q8:Q15)</f>
        <v/>
      </c>
      <c r="R16" s="121">
        <f>SUM(R8:R15)</f>
        <v/>
      </c>
      <c r="S16" s="121">
        <f>SUM(S8:S15)</f>
        <v/>
      </c>
      <c r="T16" s="121">
        <f>SUM(T8:T15)</f>
        <v/>
      </c>
      <c r="U16" s="121">
        <f>SUM(U8:U15)</f>
        <v/>
      </c>
      <c r="V16" s="121">
        <f>SUM(V8:V15)</f>
        <v/>
      </c>
      <c r="W16" s="121">
        <f>SUM(W8:W15)</f>
        <v/>
      </c>
      <c r="X16" s="121">
        <f>SUM(X8:X15)</f>
        <v/>
      </c>
      <c r="Y16" s="121">
        <f>SUM(Y8:Y15)</f>
        <v/>
      </c>
      <c r="Z16" s="121">
        <f>SUM(Z8:Z15)</f>
        <v/>
      </c>
      <c r="AA16" s="121">
        <f>SUM(AA8:AA15)</f>
        <v/>
      </c>
      <c r="AB16" s="121">
        <f>SUM(AB8:AB15)</f>
        <v/>
      </c>
      <c r="AC16" s="121">
        <f>SUM(AC8:AC15)</f>
        <v/>
      </c>
      <c r="AD16" s="121">
        <f>SUM(AD8:AD15)</f>
        <v/>
      </c>
      <c r="AE16" s="121">
        <f>SUM(AE8:AE15)</f>
        <v/>
      </c>
      <c r="AF16" s="121">
        <f>SUM(AF8:AF15)</f>
        <v/>
      </c>
      <c r="AG16" s="121">
        <f>SUM(AG8:AG15)</f>
        <v/>
      </c>
      <c r="AH16" s="121">
        <f>SUM(AH8:AH15)</f>
        <v/>
      </c>
      <c r="AI16" s="121">
        <f>SUM(AI8:AI15)</f>
        <v/>
      </c>
      <c r="AJ16" s="121">
        <f>SUM(AJ8:AJ15)</f>
        <v/>
      </c>
      <c r="AK16" s="121">
        <f>SUM(AK8:AK15)</f>
        <v/>
      </c>
      <c r="AL16" s="121">
        <f>SUM(AL8:AL15)</f>
        <v/>
      </c>
      <c r="AM16" s="121">
        <f>SUM(AM8:AM15)</f>
        <v/>
      </c>
      <c r="AN16" s="121">
        <f>SUM(AN8:AN15)</f>
        <v/>
      </c>
      <c r="AO16" s="121">
        <f>SUM(AO8:AO15)</f>
        <v/>
      </c>
      <c r="AP16" s="121">
        <f>SUM(AP8:AP15)</f>
        <v/>
      </c>
      <c r="AQ16" s="121">
        <f>SUM(AQ8:AQ15)</f>
        <v/>
      </c>
      <c r="AR16" s="121">
        <f>SUM(AR8:AR15)</f>
        <v/>
      </c>
      <c r="AS16" s="121">
        <f>SUM(AS8:AS15)</f>
        <v/>
      </c>
      <c r="AT16" s="121">
        <f>SUM(AT8:AT15)</f>
        <v/>
      </c>
      <c r="AU16" s="121">
        <f>SUM(AU8:AU15)</f>
        <v/>
      </c>
      <c r="AV16" s="121">
        <f>SUM(AV8:AV15)</f>
        <v/>
      </c>
      <c r="AW16" s="121">
        <f>SUM(AW8:AW15)</f>
        <v/>
      </c>
      <c r="AX16" s="121">
        <f>SUM(AX8:AX15)</f>
        <v/>
      </c>
      <c r="AY16" s="121">
        <f>SUM(AY8:AY15)</f>
        <v/>
      </c>
      <c r="AZ16" s="121">
        <f>SUM(AZ8:AZ15)</f>
        <v/>
      </c>
      <c r="BA16" s="121">
        <f>SUM(BA8:BA15)</f>
        <v/>
      </c>
      <c r="BB16" s="121">
        <f>SUM(BB8:BB15)</f>
        <v/>
      </c>
      <c r="BC16" s="121">
        <f>SUM(BC8:BC15)</f>
        <v/>
      </c>
      <c r="BD16" s="121">
        <f>SUM(BD8:BD15)</f>
        <v/>
      </c>
      <c r="BE16" s="121">
        <f>SUM(BE8:BE15)</f>
        <v/>
      </c>
      <c r="BF16" s="121">
        <f>SUM(BF8:BF15)</f>
        <v/>
      </c>
      <c r="BG16" s="121">
        <f>SUM(BG8:BG15)</f>
        <v/>
      </c>
      <c r="BH16" s="121">
        <f>SUM(BH8:BH15)</f>
        <v/>
      </c>
      <c r="BI16" s="121">
        <f>SUM(BI8:BI15)</f>
        <v/>
      </c>
      <c r="BJ16" s="121">
        <f>SUM(BJ8:BJ15)</f>
        <v/>
      </c>
      <c r="BK16" s="121">
        <f>SUM(BK8:BK15)</f>
        <v/>
      </c>
      <c r="BL16" s="121">
        <f>SUM(BL8:BL15)</f>
        <v/>
      </c>
      <c r="BM16" s="121">
        <f>SUM(BM8:BM15)</f>
        <v/>
      </c>
      <c r="BN16" s="121">
        <f>SUM(BN8:BN15)</f>
        <v/>
      </c>
      <c r="BO16" s="121">
        <f>SUM(BO8:BO15)</f>
        <v/>
      </c>
      <c r="BP16" s="121">
        <f>SUM(BP8:BP15)</f>
        <v/>
      </c>
      <c r="BQ16" s="121">
        <f>SUM(BQ8:BQ15)</f>
        <v/>
      </c>
      <c r="BR16" s="121">
        <f>SUM(BR8:BR15)</f>
        <v/>
      </c>
      <c r="BS16" s="121">
        <f>SUM(BS8:BS15)</f>
        <v/>
      </c>
      <c r="BT16" s="121">
        <f>SUM(BT8:BT15)</f>
        <v/>
      </c>
      <c r="BU16" s="121">
        <f>SUM(BU8:BU15)</f>
        <v/>
      </c>
      <c r="BV16" s="121">
        <f>SUM(BV8:BV15)</f>
        <v/>
      </c>
      <c r="BW16" s="121">
        <f>SUM(BW8:BW15)</f>
        <v/>
      </c>
      <c r="BX16" s="121">
        <f>SUM(BX8:BX15)</f>
        <v/>
      </c>
      <c r="BY16" s="121">
        <f>SUM(BY8:BY15)</f>
        <v/>
      </c>
      <c r="BZ16" s="121">
        <f>SUM(BZ8:BZ15)</f>
        <v/>
      </c>
      <c r="CA16" s="121">
        <f>SUM(CA8:CA15)</f>
        <v/>
      </c>
      <c r="CB16" s="121">
        <f>SUM(CB8:CB15)</f>
        <v/>
      </c>
      <c r="CC16" s="121">
        <f>SUM(CC8:CC15)</f>
        <v/>
      </c>
      <c r="CD16" s="121">
        <f>SUM(CD8:CD15)</f>
        <v/>
      </c>
      <c r="CE16" s="121">
        <f>SUM(CE8:CE15)</f>
        <v/>
      </c>
      <c r="CF16" s="121">
        <f>SUM(CF8:CF15)</f>
        <v/>
      </c>
      <c r="CG16" s="121">
        <f>SUM(CG8:CG15)</f>
        <v/>
      </c>
      <c r="CH16" s="121">
        <f>SUM(CH8:CH15)</f>
        <v/>
      </c>
    </row>
    <row r="18" ht="15" customHeight="1" s="201">
      <c r="A18" s="6" t="inlineStr">
        <is>
          <t>Steyn Fee Balance Tracking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6" t="n"/>
      <c r="BE18" s="6" t="n"/>
      <c r="BF18" s="6" t="n"/>
      <c r="BG18" s="6" t="n"/>
      <c r="BH18" s="6" t="n"/>
      <c r="BI18" s="6" t="n"/>
      <c r="BJ18" s="6" t="n"/>
      <c r="BK18" s="6" t="n"/>
      <c r="BL18" s="6" t="n"/>
      <c r="BM18" s="6" t="n"/>
      <c r="BN18" s="6" t="n"/>
      <c r="BO18" s="6" t="n"/>
      <c r="BP18" s="6" t="n"/>
      <c r="BQ18" s="6" t="n"/>
      <c r="BR18" s="6" t="n"/>
      <c r="BS18" s="6" t="n"/>
      <c r="BT18" s="6" t="n"/>
      <c r="BU18" s="6" t="n"/>
      <c r="BV18" s="6" t="n"/>
      <c r="BW18" s="6" t="n"/>
      <c r="BX18" s="6" t="n"/>
      <c r="BY18" s="6" t="n"/>
      <c r="BZ18" s="6" t="n"/>
      <c r="CA18" s="6" t="n"/>
      <c r="CB18" s="6" t="n"/>
      <c r="CC18" s="6" t="n"/>
      <c r="CD18" s="6" t="n"/>
      <c r="CE18" s="6" t="n"/>
      <c r="CF18" s="6" t="n"/>
      <c r="CG18" s="6" t="n"/>
      <c r="CH18" s="6" t="n"/>
    </row>
    <row r="19" ht="15" customHeight="1" s="201">
      <c r="A19" s="99" t="inlineStr">
        <is>
          <t>Francis Steyn - Beginning Balance</t>
        </is>
      </c>
      <c r="C19" s="105">
        <f>IF(Projects!$G$7="Yes",Projects!$B$7*Assumptions!$B$47+Assumptions!$B$53*Assumptions!$B$48,0)</f>
        <v/>
      </c>
      <c r="D19" s="105">
        <f>C21</f>
        <v/>
      </c>
      <c r="E19" s="105">
        <f>D21</f>
        <v/>
      </c>
      <c r="F19" s="105">
        <f>E21</f>
        <v/>
      </c>
      <c r="G19" s="105">
        <f>F21</f>
        <v/>
      </c>
      <c r="H19" s="105">
        <f>G21</f>
        <v/>
      </c>
      <c r="I19" s="105">
        <f>H21</f>
        <v/>
      </c>
      <c r="J19" s="105">
        <f>I21</f>
        <v/>
      </c>
      <c r="K19" s="105">
        <f>J21</f>
        <v/>
      </c>
      <c r="L19" s="105">
        <f>K21</f>
        <v/>
      </c>
      <c r="M19" s="105">
        <f>L21</f>
        <v/>
      </c>
      <c r="N19" s="105">
        <f>M21</f>
        <v/>
      </c>
      <c r="O19" s="105">
        <f>N21</f>
        <v/>
      </c>
      <c r="P19" s="105">
        <f>O21</f>
        <v/>
      </c>
      <c r="Q19" s="105">
        <f>P21</f>
        <v/>
      </c>
      <c r="R19" s="105">
        <f>Q21</f>
        <v/>
      </c>
      <c r="S19" s="105">
        <f>R21</f>
        <v/>
      </c>
      <c r="T19" s="105">
        <f>S21</f>
        <v/>
      </c>
      <c r="U19" s="105">
        <f>T21</f>
        <v/>
      </c>
      <c r="V19" s="105">
        <f>U21</f>
        <v/>
      </c>
      <c r="W19" s="105">
        <f>V21</f>
        <v/>
      </c>
      <c r="X19" s="105">
        <f>W21</f>
        <v/>
      </c>
      <c r="Y19" s="105">
        <f>X21</f>
        <v/>
      </c>
      <c r="Z19" s="105">
        <f>Y21</f>
        <v/>
      </c>
      <c r="AA19" s="105">
        <f>Z21</f>
        <v/>
      </c>
      <c r="AB19" s="105">
        <f>AA21</f>
        <v/>
      </c>
      <c r="AC19" s="105">
        <f>AB21</f>
        <v/>
      </c>
      <c r="AD19" s="105">
        <f>AC21</f>
        <v/>
      </c>
      <c r="AE19" s="105">
        <f>AD21</f>
        <v/>
      </c>
      <c r="AF19" s="105">
        <f>AE21</f>
        <v/>
      </c>
      <c r="AG19" s="105">
        <f>AF21</f>
        <v/>
      </c>
      <c r="AH19" s="105">
        <f>AG21</f>
        <v/>
      </c>
      <c r="AI19" s="105">
        <f>AH21</f>
        <v/>
      </c>
      <c r="AJ19" s="105">
        <f>AI21</f>
        <v/>
      </c>
      <c r="AK19" s="105">
        <f>AJ21</f>
        <v/>
      </c>
      <c r="AL19" s="105">
        <f>AK21</f>
        <v/>
      </c>
      <c r="AM19" s="105">
        <f>AL21</f>
        <v/>
      </c>
      <c r="AN19" s="105">
        <f>AM21</f>
        <v/>
      </c>
      <c r="AO19" s="105">
        <f>AN21</f>
        <v/>
      </c>
      <c r="AP19" s="105">
        <f>AO21</f>
        <v/>
      </c>
      <c r="AQ19" s="105">
        <f>AP21</f>
        <v/>
      </c>
      <c r="AR19" s="105">
        <f>AQ21</f>
        <v/>
      </c>
      <c r="AS19" s="105">
        <f>AR21</f>
        <v/>
      </c>
      <c r="AT19" s="105">
        <f>AS21</f>
        <v/>
      </c>
      <c r="AU19" s="105">
        <f>AT21</f>
        <v/>
      </c>
      <c r="AV19" s="105">
        <f>AU21</f>
        <v/>
      </c>
      <c r="AW19" s="105">
        <f>AV21</f>
        <v/>
      </c>
      <c r="AX19" s="105">
        <f>AW21</f>
        <v/>
      </c>
      <c r="AY19" s="105">
        <f>AX21</f>
        <v/>
      </c>
      <c r="AZ19" s="105">
        <f>AY21</f>
        <v/>
      </c>
      <c r="BA19" s="105">
        <f>AZ21</f>
        <v/>
      </c>
      <c r="BB19" s="105">
        <f>BA21</f>
        <v/>
      </c>
      <c r="BC19" s="105">
        <f>BB21</f>
        <v/>
      </c>
      <c r="BD19" s="105">
        <f>BC21</f>
        <v/>
      </c>
      <c r="BE19" s="105">
        <f>BD21</f>
        <v/>
      </c>
      <c r="BF19" s="105">
        <f>BE21</f>
        <v/>
      </c>
      <c r="BG19" s="105">
        <f>BF21</f>
        <v/>
      </c>
      <c r="BH19" s="105">
        <f>BG21</f>
        <v/>
      </c>
      <c r="BI19" s="105">
        <f>BH21</f>
        <v/>
      </c>
      <c r="BJ19" s="105">
        <f>BI21</f>
        <v/>
      </c>
      <c r="BK19" s="105">
        <f>BJ21</f>
        <v/>
      </c>
      <c r="BL19" s="105">
        <f>BK21</f>
        <v/>
      </c>
      <c r="BM19" s="105">
        <f>BL21</f>
        <v/>
      </c>
      <c r="BN19" s="105">
        <f>BM21</f>
        <v/>
      </c>
      <c r="BO19" s="105">
        <f>BN21</f>
        <v/>
      </c>
      <c r="BP19" s="105">
        <f>BO21</f>
        <v/>
      </c>
      <c r="BQ19" s="105">
        <f>BP21</f>
        <v/>
      </c>
      <c r="BR19" s="105">
        <f>BQ21</f>
        <v/>
      </c>
      <c r="BS19" s="105">
        <f>BR21</f>
        <v/>
      </c>
      <c r="BT19" s="105">
        <f>BS21</f>
        <v/>
      </c>
      <c r="BU19" s="105">
        <f>BT21</f>
        <v/>
      </c>
      <c r="BV19" s="105">
        <f>BU21</f>
        <v/>
      </c>
      <c r="BW19" s="105">
        <f>BV21</f>
        <v/>
      </c>
      <c r="BX19" s="105">
        <f>BW21</f>
        <v/>
      </c>
      <c r="BY19" s="105">
        <f>BX21</f>
        <v/>
      </c>
      <c r="BZ19" s="105">
        <f>BY21</f>
        <v/>
      </c>
      <c r="CA19" s="105">
        <f>BZ21</f>
        <v/>
      </c>
      <c r="CB19" s="105">
        <f>CA21</f>
        <v/>
      </c>
      <c r="CC19" s="105">
        <f>CB21</f>
        <v/>
      </c>
      <c r="CD19" s="105">
        <f>CC21</f>
        <v/>
      </c>
      <c r="CE19" s="105">
        <f>CD21</f>
        <v/>
      </c>
      <c r="CF19" s="105">
        <f>CE21</f>
        <v/>
      </c>
      <c r="CG19" s="105">
        <f>CF21</f>
        <v/>
      </c>
      <c r="CH19" s="105">
        <f>CG21</f>
        <v/>
      </c>
    </row>
    <row r="20" ht="15" customHeight="1" s="201">
      <c r="A20" s="122" t="inlineStr">
        <is>
          <t>Francis Steyn - Payment</t>
        </is>
      </c>
      <c r="C20" s="123">
        <f>MIN(C19,Model!C60)</f>
        <v/>
      </c>
      <c r="D20" s="123">
        <f>MIN(D19,Model!D60)</f>
        <v/>
      </c>
      <c r="E20" s="123">
        <f>MIN(E19,Model!E60)</f>
        <v/>
      </c>
      <c r="F20" s="123">
        <f>MIN(F19,Model!F60)</f>
        <v/>
      </c>
      <c r="G20" s="123">
        <f>MIN(G19,Model!G60)</f>
        <v/>
      </c>
      <c r="H20" s="123">
        <f>MIN(H19,Model!H60)</f>
        <v/>
      </c>
      <c r="I20" s="123">
        <f>MIN(I19,Model!I60)</f>
        <v/>
      </c>
      <c r="J20" s="123">
        <f>MIN(J19,Model!J60)</f>
        <v/>
      </c>
      <c r="K20" s="123">
        <f>MIN(K19,Model!K60)</f>
        <v/>
      </c>
      <c r="L20" s="123">
        <f>MIN(L19,Model!L60)</f>
        <v/>
      </c>
      <c r="M20" s="123">
        <f>MIN(M19,Model!M60)</f>
        <v/>
      </c>
      <c r="N20" s="123">
        <f>MIN(N19,Model!N60)</f>
        <v/>
      </c>
      <c r="O20" s="123">
        <f>MIN(O19,Model!O60)</f>
        <v/>
      </c>
      <c r="P20" s="123">
        <f>MIN(P19,Model!P60)</f>
        <v/>
      </c>
      <c r="Q20" s="123">
        <f>MIN(Q19,Model!Q60)</f>
        <v/>
      </c>
      <c r="R20" s="123">
        <f>MIN(R19,Model!R60)</f>
        <v/>
      </c>
      <c r="S20" s="123">
        <f>MIN(S19,Model!S60)</f>
        <v/>
      </c>
      <c r="T20" s="123">
        <f>MIN(T19,Model!T60)</f>
        <v/>
      </c>
      <c r="U20" s="123">
        <f>MIN(U19,Model!U60)</f>
        <v/>
      </c>
      <c r="V20" s="123">
        <f>MIN(V19,Model!V60)</f>
        <v/>
      </c>
      <c r="W20" s="123">
        <f>MIN(W19,Model!W60)</f>
        <v/>
      </c>
      <c r="X20" s="123">
        <f>MIN(X19,Model!X60)</f>
        <v/>
      </c>
      <c r="Y20" s="123">
        <f>MIN(Y19,Model!Y60)</f>
        <v/>
      </c>
      <c r="Z20" s="123">
        <f>MIN(Z19,Model!Z60)</f>
        <v/>
      </c>
      <c r="AA20" s="123">
        <f>MIN(AA19,Model!AA60)</f>
        <v/>
      </c>
      <c r="AB20" s="123">
        <f>MIN(AB19,Model!AB60)</f>
        <v/>
      </c>
      <c r="AC20" s="123">
        <f>MIN(AC19,Model!AC60)</f>
        <v/>
      </c>
      <c r="AD20" s="123">
        <f>MIN(AD19,Model!AD60)</f>
        <v/>
      </c>
      <c r="AE20" s="123">
        <f>MIN(AE19,Model!AE60)</f>
        <v/>
      </c>
      <c r="AF20" s="123">
        <f>MIN(AF19,Model!AF60)</f>
        <v/>
      </c>
      <c r="AG20" s="123">
        <f>MIN(AG19,Model!AG60)</f>
        <v/>
      </c>
      <c r="AH20" s="123">
        <f>MIN(AH19,Model!AH60)</f>
        <v/>
      </c>
      <c r="AI20" s="123">
        <f>MIN(AI19,Model!AI60)</f>
        <v/>
      </c>
      <c r="AJ20" s="123">
        <f>MIN(AJ19,Model!AJ60)</f>
        <v/>
      </c>
      <c r="AK20" s="123">
        <f>MIN(AK19,Model!AK60)</f>
        <v/>
      </c>
      <c r="AL20" s="123">
        <f>MIN(AL19,Model!AL60)</f>
        <v/>
      </c>
      <c r="AM20" s="123">
        <f>MIN(AM19,Model!AM60)</f>
        <v/>
      </c>
      <c r="AN20" s="123">
        <f>MIN(AN19,Model!AN60)</f>
        <v/>
      </c>
      <c r="AO20" s="123">
        <f>MIN(AO19,Model!AO60)</f>
        <v/>
      </c>
      <c r="AP20" s="123">
        <f>MIN(AP19,Model!AP60)</f>
        <v/>
      </c>
      <c r="AQ20" s="123">
        <f>MIN(AQ19,Model!AQ60)</f>
        <v/>
      </c>
      <c r="AR20" s="123">
        <f>MIN(AR19,Model!AR60)</f>
        <v/>
      </c>
      <c r="AS20" s="123">
        <f>MIN(AS19,Model!AS60)</f>
        <v/>
      </c>
      <c r="AT20" s="123">
        <f>MIN(AT19,Model!AT60)</f>
        <v/>
      </c>
      <c r="AU20" s="123">
        <f>MIN(AU19,Model!AU60)</f>
        <v/>
      </c>
      <c r="AV20" s="123">
        <f>MIN(AV19,Model!AV60)</f>
        <v/>
      </c>
      <c r="AW20" s="123">
        <f>MIN(AW19,Model!AW60)</f>
        <v/>
      </c>
      <c r="AX20" s="123">
        <f>MIN(AX19,Model!AX60)</f>
        <v/>
      </c>
      <c r="AY20" s="123">
        <f>MIN(AY19,Model!AY60)</f>
        <v/>
      </c>
      <c r="AZ20" s="123">
        <f>MIN(AZ19,Model!AZ60)</f>
        <v/>
      </c>
      <c r="BA20" s="123">
        <f>MIN(BA19,Model!BA60)</f>
        <v/>
      </c>
      <c r="BB20" s="123">
        <f>MIN(BB19,Model!BB60)</f>
        <v/>
      </c>
      <c r="BC20" s="123">
        <f>MIN(BC19,Model!BC60)</f>
        <v/>
      </c>
      <c r="BD20" s="123">
        <f>MIN(BD19,Model!BD60)</f>
        <v/>
      </c>
      <c r="BE20" s="123">
        <f>MIN(BE19,Model!BE60)</f>
        <v/>
      </c>
      <c r="BF20" s="123">
        <f>MIN(BF19,Model!BF60)</f>
        <v/>
      </c>
      <c r="BG20" s="123">
        <f>MIN(BG19,Model!BG60)</f>
        <v/>
      </c>
      <c r="BH20" s="123">
        <f>MIN(BH19,Model!BH60)</f>
        <v/>
      </c>
      <c r="BI20" s="123">
        <f>MIN(BI19,Model!BI60)</f>
        <v/>
      </c>
      <c r="BJ20" s="123">
        <f>MIN(BJ19,Model!BJ60)</f>
        <v/>
      </c>
      <c r="BK20" s="123">
        <f>MIN(BK19,Model!BK60)</f>
        <v/>
      </c>
      <c r="BL20" s="123">
        <f>MIN(BL19,Model!BL60)</f>
        <v/>
      </c>
      <c r="BM20" s="123">
        <f>MIN(BM19,Model!BM60)</f>
        <v/>
      </c>
      <c r="BN20" s="123">
        <f>MIN(BN19,Model!BN60)</f>
        <v/>
      </c>
      <c r="BO20" s="123">
        <f>MIN(BO19,Model!BO60)</f>
        <v/>
      </c>
      <c r="BP20" s="123">
        <f>MIN(BP19,Model!BP60)</f>
        <v/>
      </c>
      <c r="BQ20" s="123">
        <f>MIN(BQ19,Model!BQ60)</f>
        <v/>
      </c>
      <c r="BR20" s="123">
        <f>MIN(BR19,Model!BR60)</f>
        <v/>
      </c>
      <c r="BS20" s="123">
        <f>MIN(BS19,Model!BS60)</f>
        <v/>
      </c>
      <c r="BT20" s="123">
        <f>MIN(BT19,Model!BT60)</f>
        <v/>
      </c>
      <c r="BU20" s="123">
        <f>MIN(BU19,Model!BU60)</f>
        <v/>
      </c>
      <c r="BV20" s="123">
        <f>MIN(BV19,Model!BV60)</f>
        <v/>
      </c>
      <c r="BW20" s="123">
        <f>MIN(BW19,Model!BW60)</f>
        <v/>
      </c>
      <c r="BX20" s="123">
        <f>MIN(BX19,Model!BX60)</f>
        <v/>
      </c>
      <c r="BY20" s="123">
        <f>MIN(BY19,Model!BY60)</f>
        <v/>
      </c>
      <c r="BZ20" s="123">
        <f>MIN(BZ19,Model!BZ60)</f>
        <v/>
      </c>
      <c r="CA20" s="123">
        <f>MIN(CA19,Model!CA60)</f>
        <v/>
      </c>
      <c r="CB20" s="123">
        <f>MIN(CB19,Model!CB60)</f>
        <v/>
      </c>
      <c r="CC20" s="123">
        <f>MIN(CC19,Model!CC60)</f>
        <v/>
      </c>
      <c r="CD20" s="123">
        <f>MIN(CD19,Model!CD60)</f>
        <v/>
      </c>
      <c r="CE20" s="123">
        <f>MIN(CE19,Model!CE60)</f>
        <v/>
      </c>
      <c r="CF20" s="123">
        <f>MIN(CF19,Model!CF60)</f>
        <v/>
      </c>
      <c r="CG20" s="123">
        <f>MIN(CG19,Model!CG60)</f>
        <v/>
      </c>
      <c r="CH20" s="123">
        <f>MIN(CH19,Model!CH60)</f>
        <v/>
      </c>
    </row>
    <row r="21" ht="15" customHeight="1" s="201">
      <c r="A21" s="120" t="inlineStr">
        <is>
          <t>Francis Steyn - Ending Balance</t>
        </is>
      </c>
      <c r="C21" s="121">
        <f>MAX(0,C19-C20)</f>
        <v/>
      </c>
      <c r="D21" s="121">
        <f>MAX(0,D19-D20)</f>
        <v/>
      </c>
      <c r="E21" s="121">
        <f>MAX(0,E19-E20)</f>
        <v/>
      </c>
      <c r="F21" s="121">
        <f>MAX(0,F19-F20)</f>
        <v/>
      </c>
      <c r="G21" s="121">
        <f>MAX(0,G19-G20)</f>
        <v/>
      </c>
      <c r="H21" s="121">
        <f>MAX(0,H19-H20)</f>
        <v/>
      </c>
      <c r="I21" s="121">
        <f>MAX(0,I19-I20)</f>
        <v/>
      </c>
      <c r="J21" s="121">
        <f>MAX(0,J19-J20)</f>
        <v/>
      </c>
      <c r="K21" s="121">
        <f>MAX(0,K19-K20)</f>
        <v/>
      </c>
      <c r="L21" s="121">
        <f>MAX(0,L19-L20)</f>
        <v/>
      </c>
      <c r="M21" s="121">
        <f>MAX(0,M19-M20)</f>
        <v/>
      </c>
      <c r="N21" s="121">
        <f>MAX(0,N19-N20)</f>
        <v/>
      </c>
      <c r="O21" s="121">
        <f>MAX(0,O19-O20)</f>
        <v/>
      </c>
      <c r="P21" s="121">
        <f>MAX(0,P19-P20)</f>
        <v/>
      </c>
      <c r="Q21" s="121">
        <f>MAX(0,Q19-Q20)</f>
        <v/>
      </c>
      <c r="R21" s="121">
        <f>MAX(0,R19-R20)</f>
        <v/>
      </c>
      <c r="S21" s="121">
        <f>MAX(0,S19-S20)</f>
        <v/>
      </c>
      <c r="T21" s="121">
        <f>MAX(0,T19-T20)</f>
        <v/>
      </c>
      <c r="U21" s="121">
        <f>MAX(0,U19-U20)</f>
        <v/>
      </c>
      <c r="V21" s="121">
        <f>MAX(0,V19-V20)</f>
        <v/>
      </c>
      <c r="W21" s="121">
        <f>MAX(0,W19-W20)</f>
        <v/>
      </c>
      <c r="X21" s="121">
        <f>MAX(0,X19-X20)</f>
        <v/>
      </c>
      <c r="Y21" s="121">
        <f>MAX(0,Y19-Y20)</f>
        <v/>
      </c>
      <c r="Z21" s="121">
        <f>MAX(0,Z19-Z20)</f>
        <v/>
      </c>
      <c r="AA21" s="121">
        <f>MAX(0,AA19-AA20)</f>
        <v/>
      </c>
      <c r="AB21" s="121">
        <f>MAX(0,AB19-AB20)</f>
        <v/>
      </c>
      <c r="AC21" s="121">
        <f>MAX(0,AC19-AC20)</f>
        <v/>
      </c>
      <c r="AD21" s="121">
        <f>MAX(0,AD19-AD20)</f>
        <v/>
      </c>
      <c r="AE21" s="121">
        <f>MAX(0,AE19-AE20)</f>
        <v/>
      </c>
      <c r="AF21" s="121">
        <f>MAX(0,AF19-AF20)</f>
        <v/>
      </c>
      <c r="AG21" s="121">
        <f>MAX(0,AG19-AG20)</f>
        <v/>
      </c>
      <c r="AH21" s="121">
        <f>MAX(0,AH19-AH20)</f>
        <v/>
      </c>
      <c r="AI21" s="121">
        <f>MAX(0,AI19-AI20)</f>
        <v/>
      </c>
      <c r="AJ21" s="121">
        <f>MAX(0,AJ19-AJ20)</f>
        <v/>
      </c>
      <c r="AK21" s="121">
        <f>MAX(0,AK19-AK20)</f>
        <v/>
      </c>
      <c r="AL21" s="121">
        <f>MAX(0,AL19-AL20)</f>
        <v/>
      </c>
      <c r="AM21" s="121">
        <f>MAX(0,AM19-AM20)</f>
        <v/>
      </c>
      <c r="AN21" s="121">
        <f>MAX(0,AN19-AN20)</f>
        <v/>
      </c>
      <c r="AO21" s="121">
        <f>MAX(0,AO19-AO20)</f>
        <v/>
      </c>
      <c r="AP21" s="121">
        <f>MAX(0,AP19-AP20)</f>
        <v/>
      </c>
      <c r="AQ21" s="121">
        <f>MAX(0,AQ19-AQ20)</f>
        <v/>
      </c>
      <c r="AR21" s="121">
        <f>MAX(0,AR19-AR20)</f>
        <v/>
      </c>
      <c r="AS21" s="121">
        <f>MAX(0,AS19-AS20)</f>
        <v/>
      </c>
      <c r="AT21" s="121">
        <f>MAX(0,AT19-AT20)</f>
        <v/>
      </c>
      <c r="AU21" s="121">
        <f>MAX(0,AU19-AU20)</f>
        <v/>
      </c>
      <c r="AV21" s="121">
        <f>MAX(0,AV19-AV20)</f>
        <v/>
      </c>
      <c r="AW21" s="121">
        <f>MAX(0,AW19-AW20)</f>
        <v/>
      </c>
      <c r="AX21" s="121">
        <f>MAX(0,AX19-AX20)</f>
        <v/>
      </c>
      <c r="AY21" s="121">
        <f>MAX(0,AY19-AY20)</f>
        <v/>
      </c>
      <c r="AZ21" s="121">
        <f>MAX(0,AZ19-AZ20)</f>
        <v/>
      </c>
      <c r="BA21" s="121">
        <f>MAX(0,BA19-BA20)</f>
        <v/>
      </c>
      <c r="BB21" s="121">
        <f>MAX(0,BB19-BB20)</f>
        <v/>
      </c>
      <c r="BC21" s="121">
        <f>MAX(0,BC19-BC20)</f>
        <v/>
      </c>
      <c r="BD21" s="121">
        <f>MAX(0,BD19-BD20)</f>
        <v/>
      </c>
      <c r="BE21" s="121">
        <f>MAX(0,BE19-BE20)</f>
        <v/>
      </c>
      <c r="BF21" s="121">
        <f>MAX(0,BF19-BF20)</f>
        <v/>
      </c>
      <c r="BG21" s="121">
        <f>MAX(0,BG19-BG20)</f>
        <v/>
      </c>
      <c r="BH21" s="121">
        <f>MAX(0,BH19-BH20)</f>
        <v/>
      </c>
      <c r="BI21" s="121">
        <f>MAX(0,BI19-BI20)</f>
        <v/>
      </c>
      <c r="BJ21" s="121">
        <f>MAX(0,BJ19-BJ20)</f>
        <v/>
      </c>
      <c r="BK21" s="121">
        <f>MAX(0,BK19-BK20)</f>
        <v/>
      </c>
      <c r="BL21" s="121">
        <f>MAX(0,BL19-BL20)</f>
        <v/>
      </c>
      <c r="BM21" s="121">
        <f>MAX(0,BM19-BM20)</f>
        <v/>
      </c>
      <c r="BN21" s="121">
        <f>MAX(0,BN19-BN20)</f>
        <v/>
      </c>
      <c r="BO21" s="121">
        <f>MAX(0,BO19-BO20)</f>
        <v/>
      </c>
      <c r="BP21" s="121">
        <f>MAX(0,BP19-BP20)</f>
        <v/>
      </c>
      <c r="BQ21" s="121">
        <f>MAX(0,BQ19-BQ20)</f>
        <v/>
      </c>
      <c r="BR21" s="121">
        <f>MAX(0,BR19-BR20)</f>
        <v/>
      </c>
      <c r="BS21" s="121">
        <f>MAX(0,BS19-BS20)</f>
        <v/>
      </c>
      <c r="BT21" s="121">
        <f>MAX(0,BT19-BT20)</f>
        <v/>
      </c>
      <c r="BU21" s="121">
        <f>MAX(0,BU19-BU20)</f>
        <v/>
      </c>
      <c r="BV21" s="121">
        <f>MAX(0,BV19-BV20)</f>
        <v/>
      </c>
      <c r="BW21" s="121">
        <f>MAX(0,BW19-BW20)</f>
        <v/>
      </c>
      <c r="BX21" s="121">
        <f>MAX(0,BX19-BX20)</f>
        <v/>
      </c>
      <c r="BY21" s="121">
        <f>MAX(0,BY19-BY20)</f>
        <v/>
      </c>
      <c r="BZ21" s="121">
        <f>MAX(0,BZ19-BZ20)</f>
        <v/>
      </c>
      <c r="CA21" s="121">
        <f>MAX(0,CA19-CA20)</f>
        <v/>
      </c>
      <c r="CB21" s="121">
        <f>MAX(0,CB19-CB20)</f>
        <v/>
      </c>
      <c r="CC21" s="121">
        <f>MAX(0,CC19-CC20)</f>
        <v/>
      </c>
      <c r="CD21" s="121">
        <f>MAX(0,CD19-CD20)</f>
        <v/>
      </c>
      <c r="CE21" s="121">
        <f>MAX(0,CE19-CE20)</f>
        <v/>
      </c>
      <c r="CF21" s="121">
        <f>MAX(0,CF19-CF20)</f>
        <v/>
      </c>
      <c r="CG21" s="121">
        <f>MAX(0,CG19-CG20)</f>
        <v/>
      </c>
      <c r="CH21" s="121">
        <f>MAX(0,CH19-CH20)</f>
        <v/>
      </c>
    </row>
    <row r="22" ht="15" customHeight="1" s="201">
      <c r="A22" s="99" t="inlineStr">
        <is>
          <t>Reseda Steyn - Beginning Balance</t>
        </is>
      </c>
      <c r="C22" s="105">
        <f>IF(Projects!$G$13="Yes",Projects!$B$13*Assumptions!$B$47+Assumptions!$B$54*Assumptions!$B$48,0)</f>
        <v/>
      </c>
      <c r="D22" s="105">
        <f>C24</f>
        <v/>
      </c>
      <c r="E22" s="105">
        <f>D24</f>
        <v/>
      </c>
      <c r="F22" s="105">
        <f>E24</f>
        <v/>
      </c>
      <c r="G22" s="105">
        <f>F24</f>
        <v/>
      </c>
      <c r="H22" s="105">
        <f>G24</f>
        <v/>
      </c>
      <c r="I22" s="105">
        <f>H24</f>
        <v/>
      </c>
      <c r="J22" s="105">
        <f>I24</f>
        <v/>
      </c>
      <c r="K22" s="105">
        <f>J24</f>
        <v/>
      </c>
      <c r="L22" s="105">
        <f>K24</f>
        <v/>
      </c>
      <c r="M22" s="105">
        <f>L24</f>
        <v/>
      </c>
      <c r="N22" s="105">
        <f>M24</f>
        <v/>
      </c>
      <c r="O22" s="105">
        <f>N24</f>
        <v/>
      </c>
      <c r="P22" s="105">
        <f>O24</f>
        <v/>
      </c>
      <c r="Q22" s="105">
        <f>P24</f>
        <v/>
      </c>
      <c r="R22" s="105">
        <f>Q24</f>
        <v/>
      </c>
      <c r="S22" s="105">
        <f>R24</f>
        <v/>
      </c>
      <c r="T22" s="105">
        <f>S24</f>
        <v/>
      </c>
      <c r="U22" s="105">
        <f>T24</f>
        <v/>
      </c>
      <c r="V22" s="105">
        <f>U24</f>
        <v/>
      </c>
      <c r="W22" s="105">
        <f>V24</f>
        <v/>
      </c>
      <c r="X22" s="105">
        <f>W24</f>
        <v/>
      </c>
      <c r="Y22" s="105">
        <f>X24</f>
        <v/>
      </c>
      <c r="Z22" s="105">
        <f>Y24</f>
        <v/>
      </c>
      <c r="AA22" s="105">
        <f>Z24</f>
        <v/>
      </c>
      <c r="AB22" s="105">
        <f>AA24</f>
        <v/>
      </c>
      <c r="AC22" s="105">
        <f>AB24</f>
        <v/>
      </c>
      <c r="AD22" s="105">
        <f>AC24</f>
        <v/>
      </c>
      <c r="AE22" s="105">
        <f>AD24</f>
        <v/>
      </c>
      <c r="AF22" s="105">
        <f>AE24</f>
        <v/>
      </c>
      <c r="AG22" s="105">
        <f>AF24</f>
        <v/>
      </c>
      <c r="AH22" s="105">
        <f>AG24</f>
        <v/>
      </c>
      <c r="AI22" s="105">
        <f>AH24</f>
        <v/>
      </c>
      <c r="AJ22" s="105">
        <f>AI24</f>
        <v/>
      </c>
      <c r="AK22" s="105">
        <f>AJ24</f>
        <v/>
      </c>
      <c r="AL22" s="105">
        <f>AK24</f>
        <v/>
      </c>
      <c r="AM22" s="105">
        <f>AL24</f>
        <v/>
      </c>
      <c r="AN22" s="105">
        <f>AM24</f>
        <v/>
      </c>
      <c r="AO22" s="105">
        <f>AN24</f>
        <v/>
      </c>
      <c r="AP22" s="105">
        <f>AO24</f>
        <v/>
      </c>
      <c r="AQ22" s="105">
        <f>AP24</f>
        <v/>
      </c>
      <c r="AR22" s="105">
        <f>AQ24</f>
        <v/>
      </c>
      <c r="AS22" s="105">
        <f>AR24</f>
        <v/>
      </c>
      <c r="AT22" s="105">
        <f>AS24</f>
        <v/>
      </c>
      <c r="AU22" s="105">
        <f>AT24</f>
        <v/>
      </c>
      <c r="AV22" s="105">
        <f>AU24</f>
        <v/>
      </c>
      <c r="AW22" s="105">
        <f>AV24</f>
        <v/>
      </c>
      <c r="AX22" s="105">
        <f>AW24</f>
        <v/>
      </c>
      <c r="AY22" s="105">
        <f>AX24</f>
        <v/>
      </c>
      <c r="AZ22" s="105">
        <f>AY24</f>
        <v/>
      </c>
      <c r="BA22" s="105">
        <f>AZ24</f>
        <v/>
      </c>
      <c r="BB22" s="105">
        <f>BA24</f>
        <v/>
      </c>
      <c r="BC22" s="105">
        <f>BB24</f>
        <v/>
      </c>
      <c r="BD22" s="105">
        <f>BC24</f>
        <v/>
      </c>
      <c r="BE22" s="105">
        <f>BD24</f>
        <v/>
      </c>
      <c r="BF22" s="105">
        <f>BE24</f>
        <v/>
      </c>
      <c r="BG22" s="105">
        <f>BF24</f>
        <v/>
      </c>
      <c r="BH22" s="105">
        <f>BG24</f>
        <v/>
      </c>
      <c r="BI22" s="105">
        <f>BH24</f>
        <v/>
      </c>
      <c r="BJ22" s="105">
        <f>BI24</f>
        <v/>
      </c>
      <c r="BK22" s="105">
        <f>BJ24</f>
        <v/>
      </c>
      <c r="BL22" s="105">
        <f>BK24</f>
        <v/>
      </c>
      <c r="BM22" s="105">
        <f>BL24</f>
        <v/>
      </c>
      <c r="BN22" s="105">
        <f>BM24</f>
        <v/>
      </c>
      <c r="BO22" s="105">
        <f>BN24</f>
        <v/>
      </c>
      <c r="BP22" s="105">
        <f>BO24</f>
        <v/>
      </c>
      <c r="BQ22" s="105">
        <f>BP24</f>
        <v/>
      </c>
      <c r="BR22" s="105">
        <f>BQ24</f>
        <v/>
      </c>
      <c r="BS22" s="105">
        <f>BR24</f>
        <v/>
      </c>
      <c r="BT22" s="105">
        <f>BS24</f>
        <v/>
      </c>
      <c r="BU22" s="105">
        <f>BT24</f>
        <v/>
      </c>
      <c r="BV22" s="105">
        <f>BU24</f>
        <v/>
      </c>
      <c r="BW22" s="105">
        <f>BV24</f>
        <v/>
      </c>
      <c r="BX22" s="105">
        <f>BW24</f>
        <v/>
      </c>
      <c r="BY22" s="105">
        <f>BX24</f>
        <v/>
      </c>
      <c r="BZ22" s="105">
        <f>BY24</f>
        <v/>
      </c>
      <c r="CA22" s="105">
        <f>BZ24</f>
        <v/>
      </c>
      <c r="CB22" s="105">
        <f>CA24</f>
        <v/>
      </c>
      <c r="CC22" s="105">
        <f>CB24</f>
        <v/>
      </c>
      <c r="CD22" s="105">
        <f>CC24</f>
        <v/>
      </c>
      <c r="CE22" s="105">
        <f>CD24</f>
        <v/>
      </c>
      <c r="CF22" s="105">
        <f>CE24</f>
        <v/>
      </c>
      <c r="CG22" s="105">
        <f>CF24</f>
        <v/>
      </c>
      <c r="CH22" s="105">
        <f>CG24</f>
        <v/>
      </c>
    </row>
    <row r="23" ht="15" customHeight="1" s="201">
      <c r="A23" s="122" t="inlineStr">
        <is>
          <t>Reseda Steyn - Payment</t>
        </is>
      </c>
      <c r="C23" s="123">
        <f>MIN(C22,Model!C61)</f>
        <v/>
      </c>
      <c r="D23" s="123">
        <f>MIN(D22,Model!D61)</f>
        <v/>
      </c>
      <c r="E23" s="123">
        <f>MIN(E22,Model!E61)</f>
        <v/>
      </c>
      <c r="F23" s="123">
        <f>MIN(F22,Model!F61)</f>
        <v/>
      </c>
      <c r="G23" s="123">
        <f>MIN(G22,Model!G61)</f>
        <v/>
      </c>
      <c r="H23" s="123">
        <f>MIN(H22,Model!H61)</f>
        <v/>
      </c>
      <c r="I23" s="123">
        <f>MIN(I22,Model!I61)</f>
        <v/>
      </c>
      <c r="J23" s="123">
        <f>MIN(J22,Model!J61)</f>
        <v/>
      </c>
      <c r="K23" s="123">
        <f>MIN(K22,Model!K61)</f>
        <v/>
      </c>
      <c r="L23" s="123">
        <f>MIN(L22,Model!L61)</f>
        <v/>
      </c>
      <c r="M23" s="123">
        <f>MIN(M22,Model!M61)</f>
        <v/>
      </c>
      <c r="N23" s="123">
        <f>MIN(N22,Model!N61)</f>
        <v/>
      </c>
      <c r="O23" s="123">
        <f>MIN(O22,Model!O61)</f>
        <v/>
      </c>
      <c r="P23" s="123">
        <f>MIN(P22,Model!P61)</f>
        <v/>
      </c>
      <c r="Q23" s="123">
        <f>MIN(Q22,Model!Q61)</f>
        <v/>
      </c>
      <c r="R23" s="123">
        <f>MIN(R22,Model!R61)</f>
        <v/>
      </c>
      <c r="S23" s="123">
        <f>MIN(S22,Model!S61)</f>
        <v/>
      </c>
      <c r="T23" s="123">
        <f>MIN(T22,Model!T61)</f>
        <v/>
      </c>
      <c r="U23" s="123">
        <f>MIN(U22,Model!U61)</f>
        <v/>
      </c>
      <c r="V23" s="123">
        <f>MIN(V22,Model!V61)</f>
        <v/>
      </c>
      <c r="W23" s="123">
        <f>MIN(W22,Model!W61)</f>
        <v/>
      </c>
      <c r="X23" s="123">
        <f>MIN(X22,Model!X61)</f>
        <v/>
      </c>
      <c r="Y23" s="123">
        <f>MIN(Y22,Model!Y61)</f>
        <v/>
      </c>
      <c r="Z23" s="123">
        <f>MIN(Z22,Model!Z61)</f>
        <v/>
      </c>
      <c r="AA23" s="123">
        <f>MIN(AA22,Model!AA61)</f>
        <v/>
      </c>
      <c r="AB23" s="123">
        <f>MIN(AB22,Model!AB61)</f>
        <v/>
      </c>
      <c r="AC23" s="123">
        <f>MIN(AC22,Model!AC61)</f>
        <v/>
      </c>
      <c r="AD23" s="123">
        <f>MIN(AD22,Model!AD61)</f>
        <v/>
      </c>
      <c r="AE23" s="123">
        <f>MIN(AE22,Model!AE61)</f>
        <v/>
      </c>
      <c r="AF23" s="123">
        <f>MIN(AF22,Model!AF61)</f>
        <v/>
      </c>
      <c r="AG23" s="123">
        <f>MIN(AG22,Model!AG61)</f>
        <v/>
      </c>
      <c r="AH23" s="123">
        <f>MIN(AH22,Model!AH61)</f>
        <v/>
      </c>
      <c r="AI23" s="123">
        <f>MIN(AI22,Model!AI61)</f>
        <v/>
      </c>
      <c r="AJ23" s="123">
        <f>MIN(AJ22,Model!AJ61)</f>
        <v/>
      </c>
      <c r="AK23" s="123">
        <f>MIN(AK22,Model!AK61)</f>
        <v/>
      </c>
      <c r="AL23" s="123">
        <f>MIN(AL22,Model!AL61)</f>
        <v/>
      </c>
      <c r="AM23" s="123">
        <f>MIN(AM22,Model!AM61)</f>
        <v/>
      </c>
      <c r="AN23" s="123">
        <f>MIN(AN22,Model!AN61)</f>
        <v/>
      </c>
      <c r="AO23" s="123">
        <f>MIN(AO22,Model!AO61)</f>
        <v/>
      </c>
      <c r="AP23" s="123">
        <f>MIN(AP22,Model!AP61)</f>
        <v/>
      </c>
      <c r="AQ23" s="123">
        <f>MIN(AQ22,Model!AQ61)</f>
        <v/>
      </c>
      <c r="AR23" s="123">
        <f>MIN(AR22,Model!AR61)</f>
        <v/>
      </c>
      <c r="AS23" s="123">
        <f>MIN(AS22,Model!AS61)</f>
        <v/>
      </c>
      <c r="AT23" s="123">
        <f>MIN(AT22,Model!AT61)</f>
        <v/>
      </c>
      <c r="AU23" s="123">
        <f>MIN(AU22,Model!AU61)</f>
        <v/>
      </c>
      <c r="AV23" s="123">
        <f>MIN(AV22,Model!AV61)</f>
        <v/>
      </c>
      <c r="AW23" s="123">
        <f>MIN(AW22,Model!AW61)</f>
        <v/>
      </c>
      <c r="AX23" s="123">
        <f>MIN(AX22,Model!AX61)</f>
        <v/>
      </c>
      <c r="AY23" s="123">
        <f>MIN(AY22,Model!AY61)</f>
        <v/>
      </c>
      <c r="AZ23" s="123">
        <f>MIN(AZ22,Model!AZ61)</f>
        <v/>
      </c>
      <c r="BA23" s="123">
        <f>MIN(BA22,Model!BA61)</f>
        <v/>
      </c>
      <c r="BB23" s="123">
        <f>MIN(BB22,Model!BB61)</f>
        <v/>
      </c>
      <c r="BC23" s="123">
        <f>MIN(BC22,Model!BC61)</f>
        <v/>
      </c>
      <c r="BD23" s="123">
        <f>MIN(BD22,Model!BD61)</f>
        <v/>
      </c>
      <c r="BE23" s="123">
        <f>MIN(BE22,Model!BE61)</f>
        <v/>
      </c>
      <c r="BF23" s="123">
        <f>MIN(BF22,Model!BF61)</f>
        <v/>
      </c>
      <c r="BG23" s="123">
        <f>MIN(BG22,Model!BG61)</f>
        <v/>
      </c>
      <c r="BH23" s="123">
        <f>MIN(BH22,Model!BH61)</f>
        <v/>
      </c>
      <c r="BI23" s="123">
        <f>MIN(BI22,Model!BI61)</f>
        <v/>
      </c>
      <c r="BJ23" s="123">
        <f>MIN(BJ22,Model!BJ61)</f>
        <v/>
      </c>
      <c r="BK23" s="123">
        <f>MIN(BK22,Model!BK61)</f>
        <v/>
      </c>
      <c r="BL23" s="123">
        <f>MIN(BL22,Model!BL61)</f>
        <v/>
      </c>
      <c r="BM23" s="123">
        <f>MIN(BM22,Model!BM61)</f>
        <v/>
      </c>
      <c r="BN23" s="123">
        <f>MIN(BN22,Model!BN61)</f>
        <v/>
      </c>
      <c r="BO23" s="123">
        <f>MIN(BO22,Model!BO61)</f>
        <v/>
      </c>
      <c r="BP23" s="123">
        <f>MIN(BP22,Model!BP61)</f>
        <v/>
      </c>
      <c r="BQ23" s="123">
        <f>MIN(BQ22,Model!BQ61)</f>
        <v/>
      </c>
      <c r="BR23" s="123">
        <f>MIN(BR22,Model!BR61)</f>
        <v/>
      </c>
      <c r="BS23" s="123">
        <f>MIN(BS22,Model!BS61)</f>
        <v/>
      </c>
      <c r="BT23" s="123">
        <f>MIN(BT22,Model!BT61)</f>
        <v/>
      </c>
      <c r="BU23" s="123">
        <f>MIN(BU22,Model!BU61)</f>
        <v/>
      </c>
      <c r="BV23" s="123">
        <f>MIN(BV22,Model!BV61)</f>
        <v/>
      </c>
      <c r="BW23" s="123">
        <f>MIN(BW22,Model!BW61)</f>
        <v/>
      </c>
      <c r="BX23" s="123">
        <f>MIN(BX22,Model!BX61)</f>
        <v/>
      </c>
      <c r="BY23" s="123">
        <f>MIN(BY22,Model!BY61)</f>
        <v/>
      </c>
      <c r="BZ23" s="123">
        <f>MIN(BZ22,Model!BZ61)</f>
        <v/>
      </c>
      <c r="CA23" s="123">
        <f>MIN(CA22,Model!CA61)</f>
        <v/>
      </c>
      <c r="CB23" s="123">
        <f>MIN(CB22,Model!CB61)</f>
        <v/>
      </c>
      <c r="CC23" s="123">
        <f>MIN(CC22,Model!CC61)</f>
        <v/>
      </c>
      <c r="CD23" s="123">
        <f>MIN(CD22,Model!CD61)</f>
        <v/>
      </c>
      <c r="CE23" s="123">
        <f>MIN(CE22,Model!CE61)</f>
        <v/>
      </c>
      <c r="CF23" s="123">
        <f>MIN(CF22,Model!CF61)</f>
        <v/>
      </c>
      <c r="CG23" s="123">
        <f>MIN(CG22,Model!CG61)</f>
        <v/>
      </c>
      <c r="CH23" s="123">
        <f>MIN(CH22,Model!CH61)</f>
        <v/>
      </c>
    </row>
    <row r="24" ht="15" customHeight="1" s="201">
      <c r="A24" s="120" t="inlineStr">
        <is>
          <t>Reseda Steyn - Ending Balance</t>
        </is>
      </c>
      <c r="C24" s="121">
        <f>MAX(0,C22-C23)</f>
        <v/>
      </c>
      <c r="D24" s="121">
        <f>MAX(0,D22-D23)</f>
        <v/>
      </c>
      <c r="E24" s="121">
        <f>MAX(0,E22-E23)</f>
        <v/>
      </c>
      <c r="F24" s="121">
        <f>MAX(0,F22-F23)</f>
        <v/>
      </c>
      <c r="G24" s="121">
        <f>MAX(0,G22-G23)</f>
        <v/>
      </c>
      <c r="H24" s="121">
        <f>MAX(0,H22-H23)</f>
        <v/>
      </c>
      <c r="I24" s="121">
        <f>MAX(0,I22-I23)</f>
        <v/>
      </c>
      <c r="J24" s="121">
        <f>MAX(0,J22-J23)</f>
        <v/>
      </c>
      <c r="K24" s="121">
        <f>MAX(0,K22-K23)</f>
        <v/>
      </c>
      <c r="L24" s="121">
        <f>MAX(0,L22-L23)</f>
        <v/>
      </c>
      <c r="M24" s="121">
        <f>MAX(0,M22-M23)</f>
        <v/>
      </c>
      <c r="N24" s="121">
        <f>MAX(0,N22-N23)</f>
        <v/>
      </c>
      <c r="O24" s="121">
        <f>MAX(0,O22-O23)</f>
        <v/>
      </c>
      <c r="P24" s="121">
        <f>MAX(0,P22-P23)</f>
        <v/>
      </c>
      <c r="Q24" s="121">
        <f>MAX(0,Q22-Q23)</f>
        <v/>
      </c>
      <c r="R24" s="121">
        <f>MAX(0,R22-R23)</f>
        <v/>
      </c>
      <c r="S24" s="121">
        <f>MAX(0,S22-S23)</f>
        <v/>
      </c>
      <c r="T24" s="121">
        <f>MAX(0,T22-T23)</f>
        <v/>
      </c>
      <c r="U24" s="121">
        <f>MAX(0,U22-U23)</f>
        <v/>
      </c>
      <c r="V24" s="121">
        <f>MAX(0,V22-V23)</f>
        <v/>
      </c>
      <c r="W24" s="121">
        <f>MAX(0,W22-W23)</f>
        <v/>
      </c>
      <c r="X24" s="121">
        <f>MAX(0,X22-X23)</f>
        <v/>
      </c>
      <c r="Y24" s="121">
        <f>MAX(0,Y22-Y23)</f>
        <v/>
      </c>
      <c r="Z24" s="121">
        <f>MAX(0,Z22-Z23)</f>
        <v/>
      </c>
      <c r="AA24" s="121">
        <f>MAX(0,AA22-AA23)</f>
        <v/>
      </c>
      <c r="AB24" s="121">
        <f>MAX(0,AB22-AB23)</f>
        <v/>
      </c>
      <c r="AC24" s="121">
        <f>MAX(0,AC22-AC23)</f>
        <v/>
      </c>
      <c r="AD24" s="121">
        <f>MAX(0,AD22-AD23)</f>
        <v/>
      </c>
      <c r="AE24" s="121">
        <f>MAX(0,AE22-AE23)</f>
        <v/>
      </c>
      <c r="AF24" s="121">
        <f>MAX(0,AF22-AF23)</f>
        <v/>
      </c>
      <c r="AG24" s="121">
        <f>MAX(0,AG22-AG23)</f>
        <v/>
      </c>
      <c r="AH24" s="121">
        <f>MAX(0,AH22-AH23)</f>
        <v/>
      </c>
      <c r="AI24" s="121">
        <f>MAX(0,AI22-AI23)</f>
        <v/>
      </c>
      <c r="AJ24" s="121">
        <f>MAX(0,AJ22-AJ23)</f>
        <v/>
      </c>
      <c r="AK24" s="121">
        <f>MAX(0,AK22-AK23)</f>
        <v/>
      </c>
      <c r="AL24" s="121">
        <f>MAX(0,AL22-AL23)</f>
        <v/>
      </c>
      <c r="AM24" s="121">
        <f>MAX(0,AM22-AM23)</f>
        <v/>
      </c>
      <c r="AN24" s="121">
        <f>MAX(0,AN22-AN23)</f>
        <v/>
      </c>
      <c r="AO24" s="121">
        <f>MAX(0,AO22-AO23)</f>
        <v/>
      </c>
      <c r="AP24" s="121">
        <f>MAX(0,AP22-AP23)</f>
        <v/>
      </c>
      <c r="AQ24" s="121">
        <f>MAX(0,AQ22-AQ23)</f>
        <v/>
      </c>
      <c r="AR24" s="121">
        <f>MAX(0,AR22-AR23)</f>
        <v/>
      </c>
      <c r="AS24" s="121">
        <f>MAX(0,AS22-AS23)</f>
        <v/>
      </c>
      <c r="AT24" s="121">
        <f>MAX(0,AT22-AT23)</f>
        <v/>
      </c>
      <c r="AU24" s="121">
        <f>MAX(0,AU22-AU23)</f>
        <v/>
      </c>
      <c r="AV24" s="121">
        <f>MAX(0,AV22-AV23)</f>
        <v/>
      </c>
      <c r="AW24" s="121">
        <f>MAX(0,AW22-AW23)</f>
        <v/>
      </c>
      <c r="AX24" s="121">
        <f>MAX(0,AX22-AX23)</f>
        <v/>
      </c>
      <c r="AY24" s="121">
        <f>MAX(0,AY22-AY23)</f>
        <v/>
      </c>
      <c r="AZ24" s="121">
        <f>MAX(0,AZ22-AZ23)</f>
        <v/>
      </c>
      <c r="BA24" s="121">
        <f>MAX(0,BA22-BA23)</f>
        <v/>
      </c>
      <c r="BB24" s="121">
        <f>MAX(0,BB22-BB23)</f>
        <v/>
      </c>
      <c r="BC24" s="121">
        <f>MAX(0,BC22-BC23)</f>
        <v/>
      </c>
      <c r="BD24" s="121">
        <f>MAX(0,BD22-BD23)</f>
        <v/>
      </c>
      <c r="BE24" s="121">
        <f>MAX(0,BE22-BE23)</f>
        <v/>
      </c>
      <c r="BF24" s="121">
        <f>MAX(0,BF22-BF23)</f>
        <v/>
      </c>
      <c r="BG24" s="121">
        <f>MAX(0,BG22-BG23)</f>
        <v/>
      </c>
      <c r="BH24" s="121">
        <f>MAX(0,BH22-BH23)</f>
        <v/>
      </c>
      <c r="BI24" s="121">
        <f>MAX(0,BI22-BI23)</f>
        <v/>
      </c>
      <c r="BJ24" s="121">
        <f>MAX(0,BJ22-BJ23)</f>
        <v/>
      </c>
      <c r="BK24" s="121">
        <f>MAX(0,BK22-BK23)</f>
        <v/>
      </c>
      <c r="BL24" s="121">
        <f>MAX(0,BL22-BL23)</f>
        <v/>
      </c>
      <c r="BM24" s="121">
        <f>MAX(0,BM22-BM23)</f>
        <v/>
      </c>
      <c r="BN24" s="121">
        <f>MAX(0,BN22-BN23)</f>
        <v/>
      </c>
      <c r="BO24" s="121">
        <f>MAX(0,BO22-BO23)</f>
        <v/>
      </c>
      <c r="BP24" s="121">
        <f>MAX(0,BP22-BP23)</f>
        <v/>
      </c>
      <c r="BQ24" s="121">
        <f>MAX(0,BQ22-BQ23)</f>
        <v/>
      </c>
      <c r="BR24" s="121">
        <f>MAX(0,BR22-BR23)</f>
        <v/>
      </c>
      <c r="BS24" s="121">
        <f>MAX(0,BS22-BS23)</f>
        <v/>
      </c>
      <c r="BT24" s="121">
        <f>MAX(0,BT22-BT23)</f>
        <v/>
      </c>
      <c r="BU24" s="121">
        <f>MAX(0,BU22-BU23)</f>
        <v/>
      </c>
      <c r="BV24" s="121">
        <f>MAX(0,BV22-BV23)</f>
        <v/>
      </c>
      <c r="BW24" s="121">
        <f>MAX(0,BW22-BW23)</f>
        <v/>
      </c>
      <c r="BX24" s="121">
        <f>MAX(0,BX22-BX23)</f>
        <v/>
      </c>
      <c r="BY24" s="121">
        <f>MAX(0,BY22-BY23)</f>
        <v/>
      </c>
      <c r="BZ24" s="121">
        <f>MAX(0,BZ22-BZ23)</f>
        <v/>
      </c>
      <c r="CA24" s="121">
        <f>MAX(0,CA22-CA23)</f>
        <v/>
      </c>
      <c r="CB24" s="121">
        <f>MAX(0,CB22-CB23)</f>
        <v/>
      </c>
      <c r="CC24" s="121">
        <f>MAX(0,CC22-CC23)</f>
        <v/>
      </c>
      <c r="CD24" s="121">
        <f>MAX(0,CD22-CD23)</f>
        <v/>
      </c>
      <c r="CE24" s="121">
        <f>MAX(0,CE22-CE23)</f>
        <v/>
      </c>
      <c r="CF24" s="121">
        <f>MAX(0,CF22-CF23)</f>
        <v/>
      </c>
      <c r="CG24" s="121">
        <f>MAX(0,CG22-CG23)</f>
        <v/>
      </c>
      <c r="CH24" s="121">
        <f>MAX(0,CH22-CH23)</f>
        <v/>
      </c>
    </row>
    <row r="25" ht="15" customHeight="1" s="201">
      <c r="A25" t="inlineStr">
        <is>
          <t>3rd St Steyn</t>
        </is>
      </c>
      <c r="B25" t="inlineStr">
        <is>
          <t>Beg Balance</t>
        </is>
      </c>
      <c r="C25" s="124">
        <f>IF(Projects!$G$14="Yes",Projects!$B$14*Assumptions!$B$47+Assumptions!$B$55*Assumptions!$B$48,0)</f>
        <v/>
      </c>
      <c r="D25">
        <f>C27</f>
        <v/>
      </c>
      <c r="E25">
        <f>D27</f>
        <v/>
      </c>
      <c r="F25">
        <f>E27</f>
        <v/>
      </c>
      <c r="G25">
        <f>F27</f>
        <v/>
      </c>
      <c r="H25">
        <f>G27</f>
        <v/>
      </c>
      <c r="I25">
        <f>H27</f>
        <v/>
      </c>
      <c r="J25">
        <f>I27</f>
        <v/>
      </c>
      <c r="K25">
        <f>J27</f>
        <v/>
      </c>
      <c r="L25">
        <f>K27</f>
        <v/>
      </c>
      <c r="M25">
        <f>L27</f>
        <v/>
      </c>
      <c r="N25">
        <f>M27</f>
        <v/>
      </c>
      <c r="O25">
        <f>N27</f>
        <v/>
      </c>
      <c r="P25">
        <f>O27</f>
        <v/>
      </c>
      <c r="Q25">
        <f>P27</f>
        <v/>
      </c>
      <c r="R25">
        <f>Q27</f>
        <v/>
      </c>
      <c r="S25">
        <f>R27</f>
        <v/>
      </c>
      <c r="T25">
        <f>S27</f>
        <v/>
      </c>
      <c r="U25">
        <f>T27</f>
        <v/>
      </c>
      <c r="V25">
        <f>U27</f>
        <v/>
      </c>
      <c r="W25">
        <f>V27</f>
        <v/>
      </c>
      <c r="X25">
        <f>W27</f>
        <v/>
      </c>
      <c r="Y25">
        <f>X27</f>
        <v/>
      </c>
      <c r="Z25">
        <f>Y27</f>
        <v/>
      </c>
      <c r="AA25">
        <f>Z27</f>
        <v/>
      </c>
      <c r="AB25">
        <f>AA27</f>
        <v/>
      </c>
      <c r="AC25">
        <f>AB27</f>
        <v/>
      </c>
      <c r="AD25">
        <f>AC27</f>
        <v/>
      </c>
      <c r="AE25">
        <f>AD27</f>
        <v/>
      </c>
      <c r="AF25">
        <f>AE27</f>
        <v/>
      </c>
      <c r="AG25">
        <f>AF27</f>
        <v/>
      </c>
      <c r="AH25">
        <f>AG27</f>
        <v/>
      </c>
      <c r="AI25">
        <f>AH27</f>
        <v/>
      </c>
      <c r="AJ25">
        <f>AI27</f>
        <v/>
      </c>
      <c r="AK25">
        <f>AJ27</f>
        <v/>
      </c>
      <c r="AL25">
        <f>AK27</f>
        <v/>
      </c>
      <c r="AM25">
        <f>AL27</f>
        <v/>
      </c>
      <c r="AN25">
        <f>AM27</f>
        <v/>
      </c>
      <c r="AO25">
        <f>AN27</f>
        <v/>
      </c>
      <c r="AP25">
        <f>AO27</f>
        <v/>
      </c>
      <c r="AQ25">
        <f>AP27</f>
        <v/>
      </c>
      <c r="AR25">
        <f>AQ27</f>
        <v/>
      </c>
      <c r="AS25">
        <f>AR27</f>
        <v/>
      </c>
      <c r="AT25">
        <f>AS27</f>
        <v/>
      </c>
      <c r="AU25">
        <f>AT27</f>
        <v/>
      </c>
      <c r="AV25">
        <f>AU27</f>
        <v/>
      </c>
      <c r="AW25">
        <f>AV27</f>
        <v/>
      </c>
      <c r="AX25">
        <f>AW27</f>
        <v/>
      </c>
      <c r="AY25">
        <f>AX27</f>
        <v/>
      </c>
      <c r="AZ25">
        <f>AY27</f>
        <v/>
      </c>
      <c r="BA25">
        <f>AZ27</f>
        <v/>
      </c>
      <c r="BB25">
        <f>BA27</f>
        <v/>
      </c>
      <c r="BC25">
        <f>BB27</f>
        <v/>
      </c>
      <c r="BD25">
        <f>BC27</f>
        <v/>
      </c>
      <c r="BE25">
        <f>BD27</f>
        <v/>
      </c>
      <c r="BF25">
        <f>BE27</f>
        <v/>
      </c>
      <c r="BG25">
        <f>BF27</f>
        <v/>
      </c>
      <c r="BH25">
        <f>BG27</f>
        <v/>
      </c>
      <c r="BI25">
        <f>BH27</f>
        <v/>
      </c>
      <c r="BJ25">
        <f>BI27</f>
        <v/>
      </c>
      <c r="BK25">
        <f>BJ27</f>
        <v/>
      </c>
      <c r="BL25">
        <f>BK27</f>
        <v/>
      </c>
      <c r="BM25">
        <f>BL27</f>
        <v/>
      </c>
      <c r="BN25">
        <f>BM27</f>
        <v/>
      </c>
      <c r="BO25">
        <f>BN27</f>
        <v/>
      </c>
      <c r="BP25">
        <f>BO27</f>
        <v/>
      </c>
      <c r="BQ25">
        <f>BP27</f>
        <v/>
      </c>
      <c r="BR25">
        <f>BQ27</f>
        <v/>
      </c>
      <c r="BS25">
        <f>BR27</f>
        <v/>
      </c>
      <c r="BT25">
        <f>BS27</f>
        <v/>
      </c>
      <c r="BU25">
        <f>BT27</f>
        <v/>
      </c>
      <c r="BV25">
        <f>BU27</f>
        <v/>
      </c>
      <c r="BW25">
        <f>BV27</f>
        <v/>
      </c>
      <c r="BX25">
        <f>BW27</f>
        <v/>
      </c>
      <c r="BY25">
        <f>BX27</f>
        <v/>
      </c>
      <c r="BZ25">
        <f>BY27</f>
        <v/>
      </c>
      <c r="CA25">
        <f>BZ27</f>
        <v/>
      </c>
      <c r="CB25">
        <f>CA27</f>
        <v/>
      </c>
      <c r="CC25">
        <f>CB27</f>
        <v/>
      </c>
      <c r="CD25">
        <f>CC27</f>
        <v/>
      </c>
      <c r="CE25">
        <f>CD27</f>
        <v/>
      </c>
      <c r="CF25">
        <f>CE27</f>
        <v/>
      </c>
      <c r="CG25">
        <f>CF27</f>
        <v/>
      </c>
      <c r="CH25">
        <f>CG27</f>
        <v/>
      </c>
    </row>
    <row r="26" ht="15" customHeight="1" s="201">
      <c r="B26" t="inlineStr">
        <is>
          <t>Payment</t>
        </is>
      </c>
      <c r="C26" s="124">
        <f>MIN(C25,Model!C62)</f>
        <v/>
      </c>
      <c r="D26">
        <f>MIN(D25,Model!D62)</f>
        <v/>
      </c>
      <c r="E26">
        <f>MIN(E25,Model!E62)</f>
        <v/>
      </c>
      <c r="F26">
        <f>MIN(F25,Model!F62)</f>
        <v/>
      </c>
      <c r="G26">
        <f>MIN(G25,Model!G62)</f>
        <v/>
      </c>
      <c r="H26">
        <f>MIN(H25,Model!H62)</f>
        <v/>
      </c>
      <c r="I26">
        <f>MIN(I25,Model!I62)</f>
        <v/>
      </c>
      <c r="J26">
        <f>MIN(J25,Model!J62)</f>
        <v/>
      </c>
      <c r="K26">
        <f>MIN(K25,Model!K62)</f>
        <v/>
      </c>
      <c r="L26">
        <f>MIN(L25,Model!L62)</f>
        <v/>
      </c>
      <c r="M26">
        <f>MIN(M25,Model!M62)</f>
        <v/>
      </c>
      <c r="N26">
        <f>MIN(N25,Model!N62)</f>
        <v/>
      </c>
      <c r="O26">
        <f>MIN(O25,Model!O62)</f>
        <v/>
      </c>
      <c r="P26">
        <f>MIN(P25,Model!P62)</f>
        <v/>
      </c>
      <c r="Q26">
        <f>MIN(Q25,Model!Q62)</f>
        <v/>
      </c>
      <c r="R26">
        <f>MIN(R25,Model!R62)</f>
        <v/>
      </c>
      <c r="S26">
        <f>MIN(S25,Model!S62)</f>
        <v/>
      </c>
      <c r="T26">
        <f>MIN(T25,Model!T62)</f>
        <v/>
      </c>
      <c r="U26">
        <f>MIN(U25,Model!U62)</f>
        <v/>
      </c>
      <c r="V26">
        <f>MIN(V25,Model!V62)</f>
        <v/>
      </c>
      <c r="W26">
        <f>MIN(W25,Model!W62)</f>
        <v/>
      </c>
      <c r="X26">
        <f>MIN(X25,Model!X62)</f>
        <v/>
      </c>
      <c r="Y26">
        <f>MIN(Y25,Model!Y62)</f>
        <v/>
      </c>
      <c r="Z26">
        <f>MIN(Z25,Model!Z62)</f>
        <v/>
      </c>
      <c r="AA26">
        <f>MIN(AA25,Model!AA62)</f>
        <v/>
      </c>
      <c r="AB26">
        <f>MIN(AB25,Model!AB62)</f>
        <v/>
      </c>
      <c r="AC26">
        <f>MIN(AC25,Model!AC62)</f>
        <v/>
      </c>
      <c r="AD26">
        <f>MIN(AD25,Model!AD62)</f>
        <v/>
      </c>
      <c r="AE26">
        <f>MIN(AE25,Model!AE62)</f>
        <v/>
      </c>
      <c r="AF26">
        <f>MIN(AF25,Model!AF62)</f>
        <v/>
      </c>
      <c r="AG26">
        <f>MIN(AG25,Model!AG62)</f>
        <v/>
      </c>
      <c r="AH26">
        <f>MIN(AH25,Model!AH62)</f>
        <v/>
      </c>
      <c r="AI26">
        <f>MIN(AI25,Model!AI62)</f>
        <v/>
      </c>
      <c r="AJ26">
        <f>MIN(AJ25,Model!AJ62)</f>
        <v/>
      </c>
      <c r="AK26">
        <f>MIN(AK25,Model!AK62)</f>
        <v/>
      </c>
      <c r="AL26">
        <f>MIN(AL25,Model!AL62)</f>
        <v/>
      </c>
      <c r="AM26">
        <f>MIN(AM25,Model!AM62)</f>
        <v/>
      </c>
      <c r="AN26">
        <f>MIN(AN25,Model!AN62)</f>
        <v/>
      </c>
      <c r="AO26">
        <f>MIN(AO25,Model!AO62)</f>
        <v/>
      </c>
      <c r="AP26">
        <f>MIN(AP25,Model!AP62)</f>
        <v/>
      </c>
      <c r="AQ26">
        <f>MIN(AQ25,Model!AQ62)</f>
        <v/>
      </c>
      <c r="AR26">
        <f>MIN(AR25,Model!AR62)</f>
        <v/>
      </c>
      <c r="AS26">
        <f>MIN(AS25,Model!AS62)</f>
        <v/>
      </c>
      <c r="AT26">
        <f>MIN(AT25,Model!AT62)</f>
        <v/>
      </c>
      <c r="AU26">
        <f>MIN(AU25,Model!AU62)</f>
        <v/>
      </c>
      <c r="AV26">
        <f>MIN(AV25,Model!AV62)</f>
        <v/>
      </c>
      <c r="AW26">
        <f>MIN(AW25,Model!AW62)</f>
        <v/>
      </c>
      <c r="AX26">
        <f>MIN(AX25,Model!AX62)</f>
        <v/>
      </c>
      <c r="AY26">
        <f>MIN(AY25,Model!AY62)</f>
        <v/>
      </c>
      <c r="AZ26">
        <f>MIN(AZ25,Model!AZ62)</f>
        <v/>
      </c>
      <c r="BA26">
        <f>MIN(BA25,Model!BA62)</f>
        <v/>
      </c>
      <c r="BB26">
        <f>MIN(BB25,Model!BB62)</f>
        <v/>
      </c>
      <c r="BC26">
        <f>MIN(BC25,Model!BC62)</f>
        <v/>
      </c>
      <c r="BD26">
        <f>MIN(BD25,Model!BD62)</f>
        <v/>
      </c>
      <c r="BE26">
        <f>MIN(BE25,Model!BE62)</f>
        <v/>
      </c>
      <c r="BF26">
        <f>MIN(BF25,Model!BF62)</f>
        <v/>
      </c>
      <c r="BG26">
        <f>MIN(BG25,Model!BG62)</f>
        <v/>
      </c>
      <c r="BH26">
        <f>MIN(BH25,Model!BH62)</f>
        <v/>
      </c>
      <c r="BI26">
        <f>MIN(BI25,Model!BI62)</f>
        <v/>
      </c>
      <c r="BJ26">
        <f>MIN(BJ25,Model!BJ62)</f>
        <v/>
      </c>
      <c r="BK26">
        <f>MIN(BK25,Model!BK62)</f>
        <v/>
      </c>
      <c r="BL26">
        <f>MIN(BL25,Model!BL62)</f>
        <v/>
      </c>
      <c r="BM26">
        <f>MIN(BM25,Model!BM62)</f>
        <v/>
      </c>
      <c r="BN26">
        <f>MIN(BN25,Model!BN62)</f>
        <v/>
      </c>
      <c r="BO26">
        <f>MIN(BO25,Model!BO62)</f>
        <v/>
      </c>
      <c r="BP26">
        <f>MIN(BP25,Model!BP62)</f>
        <v/>
      </c>
      <c r="BQ26">
        <f>MIN(BQ25,Model!BQ62)</f>
        <v/>
      </c>
      <c r="BR26">
        <f>MIN(BR25,Model!BR62)</f>
        <v/>
      </c>
      <c r="BS26">
        <f>MIN(BS25,Model!BS62)</f>
        <v/>
      </c>
      <c r="BT26">
        <f>MIN(BT25,Model!BT62)</f>
        <v/>
      </c>
      <c r="BU26">
        <f>MIN(BU25,Model!BU62)</f>
        <v/>
      </c>
      <c r="BV26">
        <f>MIN(BV25,Model!BV62)</f>
        <v/>
      </c>
      <c r="BW26">
        <f>MIN(BW25,Model!BW62)</f>
        <v/>
      </c>
      <c r="BX26">
        <f>MIN(BX25,Model!BX62)</f>
        <v/>
      </c>
      <c r="BY26">
        <f>MIN(BY25,Model!BY62)</f>
        <v/>
      </c>
      <c r="BZ26">
        <f>MIN(BZ25,Model!BZ62)</f>
        <v/>
      </c>
      <c r="CA26">
        <f>MIN(CA25,Model!CA62)</f>
        <v/>
      </c>
      <c r="CB26">
        <f>MIN(CB25,Model!CB62)</f>
        <v/>
      </c>
      <c r="CC26">
        <f>MIN(CC25,Model!CC62)</f>
        <v/>
      </c>
      <c r="CD26">
        <f>MIN(CD25,Model!CD62)</f>
        <v/>
      </c>
      <c r="CE26">
        <f>MIN(CE25,Model!CE62)</f>
        <v/>
      </c>
      <c r="CF26">
        <f>MIN(CF25,Model!CF62)</f>
        <v/>
      </c>
      <c r="CG26">
        <f>MIN(CG25,Model!CG62)</f>
        <v/>
      </c>
      <c r="CH26">
        <f>MIN(CH25,Model!CH62)</f>
        <v/>
      </c>
    </row>
    <row r="27" ht="15" customHeight="1" s="201">
      <c r="B27" t="inlineStr">
        <is>
          <t>End Balance</t>
        </is>
      </c>
      <c r="C27">
        <f>MAX(0,C25-C26)</f>
        <v/>
      </c>
      <c r="D27">
        <f>MAX(0,D25-D26)</f>
        <v/>
      </c>
      <c r="E27">
        <f>MAX(0,E25-E26)</f>
        <v/>
      </c>
      <c r="F27">
        <f>MAX(0,F25-F26)</f>
        <v/>
      </c>
      <c r="G27">
        <f>MAX(0,G25-G26)</f>
        <v/>
      </c>
      <c r="H27">
        <f>MAX(0,H25-H26)</f>
        <v/>
      </c>
      <c r="I27">
        <f>MAX(0,I25-I26)</f>
        <v/>
      </c>
      <c r="J27">
        <f>MAX(0,J25-J26)</f>
        <v/>
      </c>
      <c r="K27">
        <f>MAX(0,K25-K26)</f>
        <v/>
      </c>
      <c r="L27">
        <f>MAX(0,L25-L26)</f>
        <v/>
      </c>
      <c r="M27">
        <f>MAX(0,M25-M26)</f>
        <v/>
      </c>
      <c r="N27">
        <f>MAX(0,N25-N26)</f>
        <v/>
      </c>
      <c r="O27">
        <f>MAX(0,O25-O26)</f>
        <v/>
      </c>
      <c r="P27">
        <f>MAX(0,P25-P26)</f>
        <v/>
      </c>
      <c r="Q27">
        <f>MAX(0,Q25-Q26)</f>
        <v/>
      </c>
      <c r="R27">
        <f>MAX(0,R25-R26)</f>
        <v/>
      </c>
      <c r="S27">
        <f>MAX(0,S25-S26)</f>
        <v/>
      </c>
      <c r="T27">
        <f>MAX(0,T25-T26)</f>
        <v/>
      </c>
      <c r="U27">
        <f>MAX(0,U25-U26)</f>
        <v/>
      </c>
      <c r="V27">
        <f>MAX(0,V25-V26)</f>
        <v/>
      </c>
      <c r="W27">
        <f>MAX(0,W25-W26)</f>
        <v/>
      </c>
      <c r="X27">
        <f>MAX(0,X25-X26)</f>
        <v/>
      </c>
      <c r="Y27">
        <f>MAX(0,Y25-Y26)</f>
        <v/>
      </c>
      <c r="Z27">
        <f>MAX(0,Z25-Z26)</f>
        <v/>
      </c>
      <c r="AA27">
        <f>MAX(0,AA25-AA26)</f>
        <v/>
      </c>
      <c r="AB27">
        <f>MAX(0,AB25-AB26)</f>
        <v/>
      </c>
      <c r="AC27">
        <f>MAX(0,AC25-AC26)</f>
        <v/>
      </c>
      <c r="AD27">
        <f>MAX(0,AD25-AD26)</f>
        <v/>
      </c>
      <c r="AE27">
        <f>MAX(0,AE25-AE26)</f>
        <v/>
      </c>
      <c r="AF27">
        <f>MAX(0,AF25-AF26)</f>
        <v/>
      </c>
      <c r="AG27">
        <f>MAX(0,AG25-AG26)</f>
        <v/>
      </c>
      <c r="AH27">
        <f>MAX(0,AH25-AH26)</f>
        <v/>
      </c>
      <c r="AI27">
        <f>MAX(0,AI25-AI26)</f>
        <v/>
      </c>
      <c r="AJ27">
        <f>MAX(0,AJ25-AJ26)</f>
        <v/>
      </c>
      <c r="AK27">
        <f>MAX(0,AK25-AK26)</f>
        <v/>
      </c>
      <c r="AL27">
        <f>MAX(0,AL25-AL26)</f>
        <v/>
      </c>
      <c r="AM27">
        <f>MAX(0,AM25-AM26)</f>
        <v/>
      </c>
      <c r="AN27">
        <f>MAX(0,AN25-AN26)</f>
        <v/>
      </c>
      <c r="AO27">
        <f>MAX(0,AO25-AO26)</f>
        <v/>
      </c>
      <c r="AP27">
        <f>MAX(0,AP25-AP26)</f>
        <v/>
      </c>
      <c r="AQ27">
        <f>MAX(0,AQ25-AQ26)</f>
        <v/>
      </c>
      <c r="AR27">
        <f>MAX(0,AR25-AR26)</f>
        <v/>
      </c>
      <c r="AS27">
        <f>MAX(0,AS25-AS26)</f>
        <v/>
      </c>
      <c r="AT27">
        <f>MAX(0,AT25-AT26)</f>
        <v/>
      </c>
      <c r="AU27">
        <f>MAX(0,AU25-AU26)</f>
        <v/>
      </c>
      <c r="AV27">
        <f>MAX(0,AV25-AV26)</f>
        <v/>
      </c>
      <c r="AW27">
        <f>MAX(0,AW25-AW26)</f>
        <v/>
      </c>
      <c r="AX27">
        <f>MAX(0,AX25-AX26)</f>
        <v/>
      </c>
      <c r="AY27">
        <f>MAX(0,AY25-AY26)</f>
        <v/>
      </c>
      <c r="AZ27">
        <f>MAX(0,AZ25-AZ26)</f>
        <v/>
      </c>
      <c r="BA27">
        <f>MAX(0,BA25-BA26)</f>
        <v/>
      </c>
      <c r="BB27">
        <f>MAX(0,BB25-BB26)</f>
        <v/>
      </c>
      <c r="BC27">
        <f>MAX(0,BC25-BC26)</f>
        <v/>
      </c>
      <c r="BD27">
        <f>MAX(0,BD25-BD26)</f>
        <v/>
      </c>
      <c r="BE27">
        <f>MAX(0,BE25-BE26)</f>
        <v/>
      </c>
      <c r="BF27">
        <f>MAX(0,BF25-BF26)</f>
        <v/>
      </c>
      <c r="BG27">
        <f>MAX(0,BG25-BG26)</f>
        <v/>
      </c>
      <c r="BH27">
        <f>MAX(0,BH25-BH26)</f>
        <v/>
      </c>
      <c r="BI27">
        <f>MAX(0,BI25-BI26)</f>
        <v/>
      </c>
      <c r="BJ27">
        <f>MAX(0,BJ25-BJ26)</f>
        <v/>
      </c>
      <c r="BK27">
        <f>MAX(0,BK25-BK26)</f>
        <v/>
      </c>
      <c r="BL27">
        <f>MAX(0,BL25-BL26)</f>
        <v/>
      </c>
      <c r="BM27">
        <f>MAX(0,BM25-BM26)</f>
        <v/>
      </c>
      <c r="BN27">
        <f>MAX(0,BN25-BN26)</f>
        <v/>
      </c>
      <c r="BO27">
        <f>MAX(0,BO25-BO26)</f>
        <v/>
      </c>
      <c r="BP27">
        <f>MAX(0,BP25-BP26)</f>
        <v/>
      </c>
      <c r="BQ27">
        <f>MAX(0,BQ25-BQ26)</f>
        <v/>
      </c>
      <c r="BR27">
        <f>MAX(0,BR25-BR26)</f>
        <v/>
      </c>
      <c r="BS27">
        <f>MAX(0,BS25-BS26)</f>
        <v/>
      </c>
      <c r="BT27">
        <f>MAX(0,BT25-BT26)</f>
        <v/>
      </c>
      <c r="BU27">
        <f>MAX(0,BU25-BU26)</f>
        <v/>
      </c>
      <c r="BV27">
        <f>MAX(0,BV25-BV26)</f>
        <v/>
      </c>
      <c r="BW27">
        <f>MAX(0,BW25-BW26)</f>
        <v/>
      </c>
      <c r="BX27">
        <f>MAX(0,BX25-BX26)</f>
        <v/>
      </c>
      <c r="BY27">
        <f>MAX(0,BY25-BY26)</f>
        <v/>
      </c>
      <c r="BZ27">
        <f>MAX(0,BZ25-BZ26)</f>
        <v/>
      </c>
      <c r="CA27">
        <f>MAX(0,CA25-CA26)</f>
        <v/>
      </c>
      <c r="CB27">
        <f>MAX(0,CB25-CB26)</f>
        <v/>
      </c>
      <c r="CC27">
        <f>MAX(0,CC25-CC26)</f>
        <v/>
      </c>
      <c r="CD27">
        <f>MAX(0,CD25-CD26)</f>
        <v/>
      </c>
      <c r="CE27">
        <f>MAX(0,CE25-CE26)</f>
        <v/>
      </c>
      <c r="CF27">
        <f>MAX(0,CF25-CF26)</f>
        <v/>
      </c>
      <c r="CG27">
        <f>MAX(0,CG25-CG26)</f>
        <v/>
      </c>
      <c r="CH27">
        <f>MAX(0,CH25-CH26)</f>
        <v/>
      </c>
    </row>
    <row r="30" ht="15" customHeight="1" s="201">
      <c r="A30" s="109" t="inlineStr">
        <is>
          <t>POST-MODEL LIHTC PROJECTIONS (10-Year Credit = 40 Quarters)</t>
        </is>
      </c>
      <c r="B30" s="109" t="n"/>
      <c r="C30" s="109" t="n"/>
      <c r="D30" s="109" t="n"/>
      <c r="E30" s="109" t="n"/>
      <c r="F30" s="109" t="n"/>
      <c r="G30" s="109" t="n"/>
      <c r="H30" s="109" t="n"/>
      <c r="I30" s="109" t="n"/>
    </row>
    <row r="31" ht="15" customHeight="1" s="201">
      <c r="A31" s="125" t="inlineStr">
        <is>
          <t>Last Quarterly LIHTC Rate</t>
        </is>
      </c>
    </row>
    <row r="32" ht="15" customHeight="1" s="201">
      <c r="A32" s="126" t="inlineStr">
        <is>
          <t>Francis</t>
        </is>
      </c>
      <c r="B32" s="63">
        <f>LOOKUP(2,1/(Model!C60:CH60&gt;0),Model!C60:CH60)</f>
        <v/>
      </c>
    </row>
    <row r="33" ht="15" customHeight="1" s="201">
      <c r="A33" s="126" t="inlineStr">
        <is>
          <t>3rd St</t>
        </is>
      </c>
      <c r="B33" s="63">
        <f>LOOKUP(2,1/(Model!C62:CH62&gt;0),Model!C62:CH62)</f>
        <v/>
      </c>
    </row>
    <row r="34" ht="15" customHeight="1" s="201">
      <c r="A34" s="126" t="inlineStr">
        <is>
          <t>Reseda</t>
        </is>
      </c>
      <c r="B34" s="63">
        <f>LOOKUP(2,1/(Model!C61:CH61&gt;0),Model!C61:CH61)</f>
        <v/>
      </c>
    </row>
    <row r="36" ht="15" customHeight="1" s="201">
      <c r="A36" s="125" t="inlineStr">
        <is>
          <t>In-Model Quarterly Payments</t>
        </is>
      </c>
    </row>
    <row r="37" ht="15" customHeight="1" s="201">
      <c r="A37" s="126" t="inlineStr">
        <is>
          <t>Francis</t>
        </is>
      </c>
      <c r="B37" s="107">
        <f>SUMPRODUCT((Model!C60:CH60&gt;0)*1)</f>
        <v/>
      </c>
    </row>
    <row r="38" ht="15" customHeight="1" s="201">
      <c r="A38" s="126" t="inlineStr">
        <is>
          <t>3rd St</t>
        </is>
      </c>
      <c r="B38" s="107">
        <f>SUMPRODUCT((Model!C62:CH62&gt;0)*1)</f>
        <v/>
      </c>
    </row>
    <row r="39" ht="15" customHeight="1" s="201">
      <c r="A39" s="126" t="inlineStr">
        <is>
          <t>Reseda</t>
        </is>
      </c>
      <c r="B39" s="107">
        <f>SUMPRODUCT((Model!C61:CH61&gt;0)*1)</f>
        <v/>
      </c>
    </row>
    <row r="41" ht="15" customHeight="1" s="201">
      <c r="A41" s="125" t="inlineStr">
        <is>
          <t>Remaining Quarters (Post-Model)</t>
        </is>
      </c>
    </row>
    <row r="42" ht="15" customHeight="1" s="201">
      <c r="A42" s="126" t="inlineStr">
        <is>
          <t>Francis</t>
        </is>
      </c>
      <c r="B42" s="107">
        <f>40-B37</f>
        <v/>
      </c>
    </row>
    <row r="43" ht="15" customHeight="1" s="201">
      <c r="A43" s="126" t="inlineStr">
        <is>
          <t>3rd St</t>
        </is>
      </c>
      <c r="B43" s="107">
        <f>40-B38</f>
        <v/>
      </c>
    </row>
    <row r="44" ht="15" customHeight="1" s="201">
      <c r="A44" s="126" t="inlineStr">
        <is>
          <t>Reseda</t>
        </is>
      </c>
      <c r="B44" s="107">
        <f>40-B39</f>
        <v/>
      </c>
    </row>
    <row r="46" ht="15" customHeight="1" s="201">
      <c r="A46" s="125" t="inlineStr">
        <is>
          <t>Post-Model Total LIHTC Revenue</t>
        </is>
      </c>
    </row>
    <row r="47" ht="15" customHeight="1" s="201">
      <c r="A47" s="126" t="inlineStr">
        <is>
          <t>Francis</t>
        </is>
      </c>
      <c r="B47" s="63">
        <f>B32*B42</f>
        <v/>
      </c>
    </row>
    <row r="48" ht="15" customHeight="1" s="201">
      <c r="A48" s="126" t="inlineStr">
        <is>
          <t>3rd St</t>
        </is>
      </c>
      <c r="B48" s="63">
        <f>B33*B43</f>
        <v/>
      </c>
    </row>
    <row r="49" ht="15" customHeight="1" s="201">
      <c r="A49" s="126" t="inlineStr">
        <is>
          <t>Reseda</t>
        </is>
      </c>
      <c r="B49" s="63">
        <f>B34*B44</f>
        <v/>
      </c>
    </row>
    <row r="51" ht="15" customHeight="1" s="201">
      <c r="A51" s="109" t="inlineStr">
        <is>
          <t>3RD ST POST-MODEL PIK AMORTIZATION</t>
        </is>
      </c>
      <c r="B51" s="109" t="n"/>
      <c r="C51" s="109" t="n"/>
      <c r="D51" s="109" t="n"/>
      <c r="E51" s="109" t="n"/>
      <c r="F51" s="109" t="n"/>
      <c r="G51" s="109" t="n"/>
    </row>
    <row r="52" ht="15" customHeight="1" s="201">
      <c r="A52" s="125" t="inlineStr">
        <is>
          <t>Quarter</t>
        </is>
      </c>
      <c r="B52" s="125" t="inlineStr">
        <is>
          <t>LIHTC Rev</t>
        </is>
      </c>
      <c r="C52" s="125" t="inlineStr">
        <is>
          <t>Steyn Bal</t>
        </is>
      </c>
      <c r="D52" s="125" t="inlineStr">
        <is>
          <t>Steyn Pmt</t>
        </is>
      </c>
      <c r="E52" s="125" t="inlineStr">
        <is>
          <t>PIK Bal</t>
        </is>
      </c>
      <c r="F52" s="125" t="inlineStr">
        <is>
          <t>PIK Interest</t>
        </is>
      </c>
      <c r="G52" s="125" t="inlineStr">
        <is>
          <t>PIK Pmt</t>
        </is>
      </c>
    </row>
    <row r="53" ht="15" customHeight="1" s="201">
      <c r="A53" s="107" t="n">
        <v>1</v>
      </c>
      <c r="B53" s="63">
        <f>$B$33</f>
        <v/>
      </c>
      <c r="C53" s="63">
        <f>CH27</f>
        <v/>
      </c>
      <c r="D53" s="63">
        <f>MIN(C53,B53)</f>
        <v/>
      </c>
      <c r="E53" s="63">
        <f>Model!CH125</f>
        <v/>
      </c>
      <c r="F53" s="63">
        <f>E53*Assumptions!$B$59</f>
        <v/>
      </c>
      <c r="G53" s="63">
        <f>MIN(E53+F53,MAX(0,B53-D53))</f>
        <v/>
      </c>
    </row>
    <row r="54" ht="15" customHeight="1" s="201">
      <c r="A54" s="107" t="n">
        <v>2</v>
      </c>
      <c r="B54" s="63">
        <f>$B$33</f>
        <v/>
      </c>
      <c r="C54" s="63">
        <f>MAX(0,C53-D53)</f>
        <v/>
      </c>
      <c r="D54" s="63">
        <f>MIN(C54,B54)</f>
        <v/>
      </c>
      <c r="E54" s="63">
        <f>MAX(0,E53+F53-G53)</f>
        <v/>
      </c>
      <c r="F54" s="63">
        <f>E54*Assumptions!$B$59</f>
        <v/>
      </c>
      <c r="G54" s="63">
        <f>MIN(E54+F54,MAX(0,B54-D54))</f>
        <v/>
      </c>
    </row>
    <row r="55" ht="15" customHeight="1" s="201">
      <c r="A55" s="107" t="n">
        <v>3</v>
      </c>
      <c r="B55" s="63">
        <f>$B$33</f>
        <v/>
      </c>
      <c r="C55" s="63">
        <f>MAX(0,C54-D54)</f>
        <v/>
      </c>
      <c r="D55" s="63">
        <f>MIN(C55,B55)</f>
        <v/>
      </c>
      <c r="E55" s="63">
        <f>MAX(0,E54+F54-G54)</f>
        <v/>
      </c>
      <c r="F55" s="63">
        <f>E55*Assumptions!$B$59</f>
        <v/>
      </c>
      <c r="G55" s="63">
        <f>MIN(E55+F55,MAX(0,B55-D55))</f>
        <v/>
      </c>
    </row>
    <row r="56" ht="15" customHeight="1" s="201">
      <c r="A56" s="107" t="n">
        <v>4</v>
      </c>
      <c r="B56" s="63">
        <f>$B$33</f>
        <v/>
      </c>
      <c r="C56" s="63">
        <f>MAX(0,C55-D55)</f>
        <v/>
      </c>
      <c r="D56" s="63">
        <f>MIN(C56,B56)</f>
        <v/>
      </c>
      <c r="E56" s="63">
        <f>MAX(0,E55+F55-G55)</f>
        <v/>
      </c>
      <c r="F56" s="63">
        <f>E56*Assumptions!$B$59</f>
        <v/>
      </c>
      <c r="G56" s="63">
        <f>MIN(E56+F56,MAX(0,B56-D56))</f>
        <v/>
      </c>
    </row>
    <row r="57" ht="15" customHeight="1" s="201">
      <c r="A57" s="107" t="n">
        <v>5</v>
      </c>
      <c r="B57" s="63">
        <f>$B$33</f>
        <v/>
      </c>
      <c r="C57" s="63">
        <f>MAX(0,C56-D56)</f>
        <v/>
      </c>
      <c r="D57" s="63">
        <f>MIN(C57,B57)</f>
        <v/>
      </c>
      <c r="E57" s="63">
        <f>MAX(0,E56+F56-G56)</f>
        <v/>
      </c>
      <c r="F57" s="63">
        <f>E57*Assumptions!$B$59</f>
        <v/>
      </c>
      <c r="G57" s="63">
        <f>MIN(E57+F57,MAX(0,B57-D57))</f>
        <v/>
      </c>
    </row>
    <row r="58" ht="15" customHeight="1" s="201">
      <c r="A58" s="107" t="n">
        <v>6</v>
      </c>
      <c r="B58" s="63">
        <f>$B$33</f>
        <v/>
      </c>
      <c r="C58" s="63">
        <f>MAX(0,C57-D57)</f>
        <v/>
      </c>
      <c r="D58" s="63">
        <f>MIN(C58,B58)</f>
        <v/>
      </c>
      <c r="E58" s="63">
        <f>MAX(0,E57+F57-G57)</f>
        <v/>
      </c>
      <c r="F58" s="63">
        <f>E58*Assumptions!$B$59</f>
        <v/>
      </c>
      <c r="G58" s="63">
        <f>MIN(E58+F58,MAX(0,B58-D58))</f>
        <v/>
      </c>
    </row>
    <row r="59" ht="15" customHeight="1" s="201">
      <c r="A59" s="107" t="n">
        <v>7</v>
      </c>
      <c r="B59" s="63">
        <f>$B$33</f>
        <v/>
      </c>
      <c r="C59" s="63">
        <f>MAX(0,C58-D58)</f>
        <v/>
      </c>
      <c r="D59" s="63">
        <f>MIN(C59,B59)</f>
        <v/>
      </c>
      <c r="E59" s="63">
        <f>MAX(0,E58+F58-G58)</f>
        <v/>
      </c>
      <c r="F59" s="63">
        <f>E59*Assumptions!$B$59</f>
        <v/>
      </c>
      <c r="G59" s="63">
        <f>MIN(E59+F59,MAX(0,B59-D59))</f>
        <v/>
      </c>
    </row>
    <row r="60" ht="15" customHeight="1" s="201">
      <c r="A60" s="107" t="n">
        <v>8</v>
      </c>
      <c r="B60" s="63">
        <f>$B$33</f>
        <v/>
      </c>
      <c r="C60" s="63">
        <f>MAX(0,C59-D59)</f>
        <v/>
      </c>
      <c r="D60" s="63">
        <f>MIN(C60,B60)</f>
        <v/>
      </c>
      <c r="E60" s="63">
        <f>MAX(0,E59+F59-G59)</f>
        <v/>
      </c>
      <c r="F60" s="63">
        <f>E60*Assumptions!$B$59</f>
        <v/>
      </c>
      <c r="G60" s="63">
        <f>MIN(E60+F60,MAX(0,B60-D60))</f>
        <v/>
      </c>
    </row>
    <row r="61" ht="15" customHeight="1" s="201">
      <c r="A61" s="107" t="n">
        <v>9</v>
      </c>
      <c r="B61" s="63">
        <f>$B$33</f>
        <v/>
      </c>
      <c r="C61" s="63">
        <f>MAX(0,C60-D60)</f>
        <v/>
      </c>
      <c r="D61" s="63">
        <f>MIN(C61,B61)</f>
        <v/>
      </c>
      <c r="E61" s="63">
        <f>MAX(0,E60+F60-G60)</f>
        <v/>
      </c>
      <c r="F61" s="63">
        <f>E61*Assumptions!$B$59</f>
        <v/>
      </c>
      <c r="G61" s="63">
        <f>MIN(E61+F61,MAX(0,B61-D61))</f>
        <v/>
      </c>
    </row>
    <row r="62" ht="15" customHeight="1" s="201">
      <c r="A62" s="107" t="n">
        <v>10</v>
      </c>
      <c r="B62" s="63">
        <f>$B$33</f>
        <v/>
      </c>
      <c r="C62" s="63">
        <f>MAX(0,C61-D61)</f>
        <v/>
      </c>
      <c r="D62" s="63">
        <f>MIN(C62,B62)</f>
        <v/>
      </c>
      <c r="E62" s="63">
        <f>MAX(0,E61+F61-G61)</f>
        <v/>
      </c>
      <c r="F62" s="63">
        <f>E62*Assumptions!$B$59</f>
        <v/>
      </c>
      <c r="G62" s="63">
        <f>MIN(E62+F62,MAX(0,B62-D62))</f>
        <v/>
      </c>
    </row>
    <row r="63" ht="15" customHeight="1" s="201">
      <c r="A63" s="107" t="n">
        <v>11</v>
      </c>
      <c r="B63" s="63">
        <f>$B$33</f>
        <v/>
      </c>
      <c r="C63" s="63">
        <f>MAX(0,C62-D62)</f>
        <v/>
      </c>
      <c r="D63" s="63">
        <f>MIN(C63,B63)</f>
        <v/>
      </c>
      <c r="E63" s="63">
        <f>MAX(0,E62+F62-G62)</f>
        <v/>
      </c>
      <c r="F63" s="63">
        <f>E63*Assumptions!$B$59</f>
        <v/>
      </c>
      <c r="G63" s="63">
        <f>MIN(E63+F63,MAX(0,B63-D63))</f>
        <v/>
      </c>
    </row>
    <row r="64" ht="15" customHeight="1" s="201">
      <c r="A64" s="107" t="n">
        <v>12</v>
      </c>
      <c r="B64" s="63">
        <f>$B$33</f>
        <v/>
      </c>
      <c r="C64" s="63">
        <f>MAX(0,C63-D63)</f>
        <v/>
      </c>
      <c r="D64" s="63">
        <f>MIN(C64,B64)</f>
        <v/>
      </c>
      <c r="E64" s="63">
        <f>MAX(0,E63+F63-G63)</f>
        <v/>
      </c>
      <c r="F64" s="63">
        <f>E64*Assumptions!$B$59</f>
        <v/>
      </c>
      <c r="G64" s="63">
        <f>MIN(E64+F64,MAX(0,B64-D64))</f>
        <v/>
      </c>
    </row>
    <row r="65" ht="15" customHeight="1" s="201">
      <c r="A65" s="107" t="n">
        <v>13</v>
      </c>
      <c r="B65" s="63">
        <f>$B$33</f>
        <v/>
      </c>
      <c r="C65" s="63">
        <f>MAX(0,C64-D64)</f>
        <v/>
      </c>
      <c r="D65" s="63">
        <f>MIN(C65,B65)</f>
        <v/>
      </c>
      <c r="E65" s="63">
        <f>MAX(0,E64+F64-G64)</f>
        <v/>
      </c>
      <c r="F65" s="63">
        <f>E65*Assumptions!$B$59</f>
        <v/>
      </c>
      <c r="G65" s="63">
        <f>MIN(E65+F65,MAX(0,B65-D65))</f>
        <v/>
      </c>
    </row>
    <row r="66" ht="15" customHeight="1" s="201">
      <c r="A66" s="107" t="n">
        <v>14</v>
      </c>
      <c r="B66" s="63">
        <f>$B$33</f>
        <v/>
      </c>
      <c r="C66" s="63">
        <f>MAX(0,C65-D65)</f>
        <v/>
      </c>
      <c r="D66" s="63">
        <f>MIN(C66,B66)</f>
        <v/>
      </c>
      <c r="E66" s="63">
        <f>MAX(0,E65+F65-G65)</f>
        <v/>
      </c>
      <c r="F66" s="63">
        <f>E66*Assumptions!$B$59</f>
        <v/>
      </c>
      <c r="G66" s="63">
        <f>MIN(E66+F66,MAX(0,B66-D66))</f>
        <v/>
      </c>
    </row>
    <row r="67" ht="15" customHeight="1" s="201">
      <c r="A67" s="107" t="n">
        <v>15</v>
      </c>
      <c r="B67" s="63">
        <f>$B$33</f>
        <v/>
      </c>
      <c r="C67" s="63">
        <f>MAX(0,C66-D66)</f>
        <v/>
      </c>
      <c r="D67" s="63">
        <f>MIN(C67,B67)</f>
        <v/>
      </c>
      <c r="E67" s="63">
        <f>MAX(0,E66+F66-G66)</f>
        <v/>
      </c>
      <c r="F67" s="63">
        <f>E67*Assumptions!$B$59</f>
        <v/>
      </c>
      <c r="G67" s="63">
        <f>MIN(E67+F67,MAX(0,B67-D67))</f>
        <v/>
      </c>
    </row>
    <row r="68" ht="15" customHeight="1" s="201">
      <c r="A68" s="107" t="n">
        <v>16</v>
      </c>
      <c r="B68" s="63">
        <f>$B$33</f>
        <v/>
      </c>
      <c r="C68" s="63">
        <f>MAX(0,C67-D67)</f>
        <v/>
      </c>
      <c r="D68" s="63">
        <f>MIN(C68,B68)</f>
        <v/>
      </c>
      <c r="E68" s="63">
        <f>MAX(0,E67+F67-G67)</f>
        <v/>
      </c>
      <c r="F68" s="63">
        <f>E68*Assumptions!$B$59</f>
        <v/>
      </c>
      <c r="G68" s="63">
        <f>MIN(E68+F68,MAX(0,B68-D68))</f>
        <v/>
      </c>
    </row>
    <row r="69" ht="15" customHeight="1" s="201">
      <c r="A69" s="107" t="n">
        <v>17</v>
      </c>
      <c r="B69" s="63">
        <f>$B$33</f>
        <v/>
      </c>
      <c r="C69" s="63">
        <f>MAX(0,C68-D68)</f>
        <v/>
      </c>
      <c r="D69" s="63">
        <f>MIN(C69,B69)</f>
        <v/>
      </c>
      <c r="E69" s="63">
        <f>MAX(0,E68+F68-G68)</f>
        <v/>
      </c>
      <c r="F69" s="63">
        <f>E69*Assumptions!$B$59</f>
        <v/>
      </c>
      <c r="G69" s="63">
        <f>MIN(E69+F69,MAX(0,B69-D69))</f>
        <v/>
      </c>
    </row>
    <row r="70" ht="15" customHeight="1" s="201">
      <c r="A70" s="107" t="n">
        <v>18</v>
      </c>
      <c r="B70" s="63">
        <f>$B$33</f>
        <v/>
      </c>
      <c r="C70" s="63">
        <f>MAX(0,C69-D69)</f>
        <v/>
      </c>
      <c r="D70" s="63">
        <f>MIN(C70,B70)</f>
        <v/>
      </c>
      <c r="E70" s="63">
        <f>MAX(0,E69+F69-G69)</f>
        <v/>
      </c>
      <c r="F70" s="63">
        <f>E70*Assumptions!$B$59</f>
        <v/>
      </c>
      <c r="G70" s="63">
        <f>MIN(E70+F70,MAX(0,B70-D70))</f>
        <v/>
      </c>
    </row>
    <row r="71" ht="15" customHeight="1" s="201">
      <c r="A71" s="107" t="n">
        <v>19</v>
      </c>
      <c r="B71" s="63">
        <f>$B$33</f>
        <v/>
      </c>
      <c r="C71" s="63">
        <f>MAX(0,C70-D70)</f>
        <v/>
      </c>
      <c r="D71" s="63">
        <f>MIN(C71,B71)</f>
        <v/>
      </c>
      <c r="E71" s="63">
        <f>MAX(0,E70+F70-G70)</f>
        <v/>
      </c>
      <c r="F71" s="63">
        <f>E71*Assumptions!$B$59</f>
        <v/>
      </c>
      <c r="G71" s="63">
        <f>MIN(E71+F71,MAX(0,B71-D71))</f>
        <v/>
      </c>
    </row>
    <row r="72" ht="15" customHeight="1" s="201">
      <c r="A72" s="107" t="n">
        <v>20</v>
      </c>
      <c r="B72" s="63">
        <f>$B$33</f>
        <v/>
      </c>
      <c r="C72" s="63">
        <f>MAX(0,C71-D71)</f>
        <v/>
      </c>
      <c r="D72" s="63">
        <f>MIN(C72,B72)</f>
        <v/>
      </c>
      <c r="E72" s="63">
        <f>MAX(0,E71+F71-G71)</f>
        <v/>
      </c>
      <c r="F72" s="63">
        <f>E72*Assumptions!$B$59</f>
        <v/>
      </c>
      <c r="G72" s="63">
        <f>MIN(E72+F72,MAX(0,B72-D72))</f>
        <v/>
      </c>
    </row>
    <row r="73" ht="15" customHeight="1" s="201">
      <c r="A73" s="107" t="n">
        <v>21</v>
      </c>
      <c r="B73" s="63">
        <f>$B$33</f>
        <v/>
      </c>
      <c r="C73" s="63">
        <f>MAX(0,C72-D72)</f>
        <v/>
      </c>
      <c r="D73" s="63">
        <f>MIN(C73,B73)</f>
        <v/>
      </c>
      <c r="E73" s="63">
        <f>MAX(0,E72+F72-G72)</f>
        <v/>
      </c>
      <c r="F73" s="63">
        <f>E73*Assumptions!$B$59</f>
        <v/>
      </c>
      <c r="G73" s="63">
        <f>MIN(E73+F73,MAX(0,B73-D73))</f>
        <v/>
      </c>
    </row>
    <row r="74" ht="15" customHeight="1" s="201">
      <c r="A74" s="107" t="n">
        <v>22</v>
      </c>
      <c r="B74" s="63">
        <f>$B$33</f>
        <v/>
      </c>
      <c r="C74" s="63">
        <f>MAX(0,C73-D73)</f>
        <v/>
      </c>
      <c r="D74" s="63">
        <f>MIN(C74,B74)</f>
        <v/>
      </c>
      <c r="E74" s="63">
        <f>MAX(0,E73+F73-G73)</f>
        <v/>
      </c>
      <c r="F74" s="63">
        <f>E74*Assumptions!$B$59</f>
        <v/>
      </c>
      <c r="G74" s="63">
        <f>MIN(E74+F74,MAX(0,B74-D74))</f>
        <v/>
      </c>
    </row>
    <row r="75" ht="15" customHeight="1" s="201">
      <c r="A75" s="107" t="n">
        <v>23</v>
      </c>
      <c r="B75" s="63">
        <f>$B$33</f>
        <v/>
      </c>
      <c r="C75" s="63">
        <f>MAX(0,C74-D74)</f>
        <v/>
      </c>
      <c r="D75" s="63">
        <f>MIN(C75,B75)</f>
        <v/>
      </c>
      <c r="E75" s="63">
        <f>MAX(0,E74+F74-G74)</f>
        <v/>
      </c>
      <c r="F75" s="63">
        <f>E75*Assumptions!$B$59</f>
        <v/>
      </c>
      <c r="G75" s="63">
        <f>MIN(E75+F75,MAX(0,B75-D75))</f>
        <v/>
      </c>
    </row>
    <row r="76" ht="15" customHeight="1" s="201">
      <c r="A76" s="107" t="n">
        <v>24</v>
      </c>
      <c r="B76" s="63">
        <f>$B$33</f>
        <v/>
      </c>
      <c r="C76" s="63">
        <f>MAX(0,C75-D75)</f>
        <v/>
      </c>
      <c r="D76" s="63">
        <f>MIN(C76,B76)</f>
        <v/>
      </c>
      <c r="E76" s="63">
        <f>MAX(0,E75+F75-G75)</f>
        <v/>
      </c>
      <c r="F76" s="63">
        <f>E76*Assumptions!$B$59</f>
        <v/>
      </c>
      <c r="G76" s="63">
        <f>MIN(E76+F76,MAX(0,B76-D76))</f>
        <v/>
      </c>
    </row>
    <row r="77" ht="15" customHeight="1" s="201">
      <c r="A77" s="107" t="n">
        <v>25</v>
      </c>
      <c r="B77" s="63">
        <f>$B$33</f>
        <v/>
      </c>
      <c r="C77" s="63">
        <f>MAX(0,C76-D76)</f>
        <v/>
      </c>
      <c r="D77" s="63">
        <f>MIN(C77,B77)</f>
        <v/>
      </c>
      <c r="E77" s="63">
        <f>MAX(0,E76+F76-G76)</f>
        <v/>
      </c>
      <c r="F77" s="63">
        <f>E77*Assumptions!$B$59</f>
        <v/>
      </c>
      <c r="G77" s="63">
        <f>MIN(E77+F77,MAX(0,B77-D77))</f>
        <v/>
      </c>
    </row>
    <row r="78" ht="15" customHeight="1" s="201">
      <c r="A78" s="107" t="n">
        <v>26</v>
      </c>
      <c r="B78" s="63">
        <f>$B$33</f>
        <v/>
      </c>
      <c r="C78" s="63">
        <f>MAX(0,C77-D77)</f>
        <v/>
      </c>
      <c r="D78" s="63">
        <f>MIN(C78,B78)</f>
        <v/>
      </c>
      <c r="E78" s="63">
        <f>MAX(0,E77+F77-G77)</f>
        <v/>
      </c>
      <c r="F78" s="63">
        <f>E78*Assumptions!$B$59</f>
        <v/>
      </c>
      <c r="G78" s="63">
        <f>MIN(E78+F78,MAX(0,B78-D78))</f>
        <v/>
      </c>
    </row>
    <row r="79" ht="15" customHeight="1" s="201">
      <c r="A79" s="107" t="n">
        <v>27</v>
      </c>
      <c r="B79" s="63">
        <f>$B$33</f>
        <v/>
      </c>
      <c r="C79" s="63">
        <f>MAX(0,C78-D78)</f>
        <v/>
      </c>
      <c r="D79" s="63">
        <f>MIN(C79,B79)</f>
        <v/>
      </c>
      <c r="E79" s="63">
        <f>MAX(0,E78+F78-G78)</f>
        <v/>
      </c>
      <c r="F79" s="63">
        <f>E79*Assumptions!$B$59</f>
        <v/>
      </c>
      <c r="G79" s="63">
        <f>MIN(E79+F79,MAX(0,B79-D79))</f>
        <v/>
      </c>
    </row>
    <row r="80" ht="15" customHeight="1" s="201">
      <c r="A80" s="107" t="n">
        <v>28</v>
      </c>
      <c r="B80" s="63">
        <f>$B$33</f>
        <v/>
      </c>
      <c r="C80" s="63">
        <f>MAX(0,C79-D79)</f>
        <v/>
      </c>
      <c r="D80" s="63">
        <f>MIN(C80,B80)</f>
        <v/>
      </c>
      <c r="E80" s="63">
        <f>MAX(0,E79+F79-G79)</f>
        <v/>
      </c>
      <c r="F80" s="63">
        <f>E80*Assumptions!$B$59</f>
        <v/>
      </c>
      <c r="G80" s="63">
        <f>MIN(E80+F80,MAX(0,B80-D80))</f>
        <v/>
      </c>
    </row>
    <row r="81" ht="15" customHeight="1" s="201">
      <c r="A81" s="107" t="n">
        <v>29</v>
      </c>
      <c r="B81" s="63">
        <f>$B$33</f>
        <v/>
      </c>
      <c r="C81" s="63">
        <f>MAX(0,C80-D80)</f>
        <v/>
      </c>
      <c r="D81" s="63">
        <f>MIN(C81,B81)</f>
        <v/>
      </c>
      <c r="E81" s="63">
        <f>MAX(0,E80+F80-G80)</f>
        <v/>
      </c>
      <c r="F81" s="63">
        <f>E81*Assumptions!$B$59</f>
        <v/>
      </c>
      <c r="G81" s="63">
        <f>MIN(E81+F81,MAX(0,B81-D81))</f>
        <v/>
      </c>
    </row>
    <row r="82" ht="15" customHeight="1" s="201">
      <c r="A82" s="107" t="n">
        <v>30</v>
      </c>
      <c r="B82" s="63">
        <f>$B$33</f>
        <v/>
      </c>
      <c r="C82" s="63">
        <f>MAX(0,C81-D81)</f>
        <v/>
      </c>
      <c r="D82" s="63">
        <f>MIN(C82,B82)</f>
        <v/>
      </c>
      <c r="E82" s="63">
        <f>MAX(0,E81+F81-G81)</f>
        <v/>
      </c>
      <c r="F82" s="63">
        <f>E82*Assumptions!$B$59</f>
        <v/>
      </c>
      <c r="G82" s="63">
        <f>MIN(E82+F82,MAX(0,B82-D82))</f>
        <v/>
      </c>
    </row>
    <row r="83" ht="15" customHeight="1" s="201">
      <c r="A83" s="107" t="n">
        <v>31</v>
      </c>
      <c r="B83" s="63">
        <f>$B$33</f>
        <v/>
      </c>
      <c r="C83" s="63">
        <f>MAX(0,C82-D82)</f>
        <v/>
      </c>
      <c r="D83" s="63">
        <f>MIN(C83,B83)</f>
        <v/>
      </c>
      <c r="E83" s="63">
        <f>MAX(0,E82+F82-G82)</f>
        <v/>
      </c>
      <c r="F83" s="63">
        <f>E83*Assumptions!$B$59</f>
        <v/>
      </c>
      <c r="G83" s="63">
        <f>MIN(E83+F83,MAX(0,B83-D83))</f>
        <v/>
      </c>
    </row>
    <row r="84" ht="15" customHeight="1" s="201">
      <c r="A84" s="107" t="n">
        <v>32</v>
      </c>
      <c r="B84" s="63">
        <f>$B$33</f>
        <v/>
      </c>
      <c r="C84" s="63">
        <f>MAX(0,C83-D83)</f>
        <v/>
      </c>
      <c r="D84" s="63">
        <f>MIN(C84,B84)</f>
        <v/>
      </c>
      <c r="E84" s="63">
        <f>MAX(0,E83+F83-G83)</f>
        <v/>
      </c>
      <c r="F84" s="63">
        <f>E84*Assumptions!$B$59</f>
        <v/>
      </c>
      <c r="G84" s="63">
        <f>MIN(E84+F84,MAX(0,B84-D84))</f>
        <v/>
      </c>
    </row>
    <row r="85" ht="15" customHeight="1" s="201">
      <c r="A85" s="107" t="n">
        <v>33</v>
      </c>
      <c r="B85" s="63">
        <f>$B$33</f>
        <v/>
      </c>
      <c r="C85" s="63">
        <f>MAX(0,C84-D84)</f>
        <v/>
      </c>
      <c r="D85" s="63">
        <f>MIN(C85,B85)</f>
        <v/>
      </c>
      <c r="E85" s="63">
        <f>MAX(0,E84+F84-G84)</f>
        <v/>
      </c>
      <c r="F85" s="63">
        <f>E85*Assumptions!$B$59</f>
        <v/>
      </c>
      <c r="G85" s="63">
        <f>MIN(E85+F85,MAX(0,B85-D85))</f>
        <v/>
      </c>
    </row>
    <row r="86" ht="15" customHeight="1" s="201">
      <c r="A86" s="107" t="n">
        <v>34</v>
      </c>
      <c r="B86" s="63">
        <f>$B$33</f>
        <v/>
      </c>
      <c r="C86" s="63">
        <f>MAX(0,C85-D85)</f>
        <v/>
      </c>
      <c r="D86" s="63">
        <f>MIN(C86,B86)</f>
        <v/>
      </c>
      <c r="E86" s="63">
        <f>MAX(0,E85+F85-G85)</f>
        <v/>
      </c>
      <c r="F86" s="63">
        <f>E86*Assumptions!$B$59</f>
        <v/>
      </c>
      <c r="G86" s="63">
        <f>MIN(E86+F86,MAX(0,B86-D86))</f>
        <v/>
      </c>
    </row>
    <row r="87" ht="15" customHeight="1" s="201">
      <c r="A87" s="107" t="n">
        <v>35</v>
      </c>
      <c r="B87" s="63">
        <f>$B$33</f>
        <v/>
      </c>
      <c r="C87" s="63">
        <f>MAX(0,C86-D86)</f>
        <v/>
      </c>
      <c r="D87" s="63">
        <f>MIN(C87,B87)</f>
        <v/>
      </c>
      <c r="E87" s="63">
        <f>MAX(0,E86+F86-G86)</f>
        <v/>
      </c>
      <c r="F87" s="63">
        <f>E87*Assumptions!$B$59</f>
        <v/>
      </c>
      <c r="G87" s="63">
        <f>MIN(E87+F87,MAX(0,B87-D87))</f>
        <v/>
      </c>
    </row>
    <row r="88" ht="15" customHeight="1" s="201">
      <c r="A88" s="107" t="n">
        <v>36</v>
      </c>
      <c r="B88" s="63">
        <f>$B$33</f>
        <v/>
      </c>
      <c r="C88" s="63">
        <f>MAX(0,C87-D87)</f>
        <v/>
      </c>
      <c r="D88" s="63">
        <f>MIN(C88,B88)</f>
        <v/>
      </c>
      <c r="E88" s="63">
        <f>MAX(0,E87+F87-G87)</f>
        <v/>
      </c>
      <c r="F88" s="63">
        <f>E88*Assumptions!$B$59</f>
        <v/>
      </c>
      <c r="G88" s="63">
        <f>MIN(E88+F88,MAX(0,B88-D88))</f>
        <v/>
      </c>
    </row>
    <row r="89" ht="15" customHeight="1" s="201">
      <c r="A89" s="107" t="n">
        <v>37</v>
      </c>
      <c r="B89" s="63">
        <f>$B$33</f>
        <v/>
      </c>
      <c r="C89" s="63">
        <f>MAX(0,C88-D88)</f>
        <v/>
      </c>
      <c r="D89" s="63">
        <f>MIN(C89,B89)</f>
        <v/>
      </c>
      <c r="E89" s="63">
        <f>MAX(0,E88+F88-G88)</f>
        <v/>
      </c>
      <c r="F89" s="63">
        <f>E89*Assumptions!$B$59</f>
        <v/>
      </c>
      <c r="G89" s="63">
        <f>MIN(E89+F89,MAX(0,B89-D89))</f>
        <v/>
      </c>
    </row>
    <row r="90" ht="15" customHeight="1" s="201">
      <c r="A90" s="107" t="n">
        <v>38</v>
      </c>
      <c r="B90" s="63">
        <f>$B$33</f>
        <v/>
      </c>
      <c r="C90" s="63">
        <f>MAX(0,C89-D89)</f>
        <v/>
      </c>
      <c r="D90" s="63">
        <f>MIN(C90,B90)</f>
        <v/>
      </c>
      <c r="E90" s="63">
        <f>MAX(0,E89+F89-G89)</f>
        <v/>
      </c>
      <c r="F90" s="63">
        <f>E90*Assumptions!$B$59</f>
        <v/>
      </c>
      <c r="G90" s="63">
        <f>MIN(E90+F90,MAX(0,B90-D90))</f>
        <v/>
      </c>
    </row>
    <row r="91" ht="15" customHeight="1" s="201">
      <c r="A91" s="107" t="n">
        <v>39</v>
      </c>
      <c r="B91" s="63">
        <f>$B$33</f>
        <v/>
      </c>
      <c r="C91" s="63">
        <f>MAX(0,C90-D90)</f>
        <v/>
      </c>
      <c r="D91" s="63">
        <f>MIN(C91,B91)</f>
        <v/>
      </c>
      <c r="E91" s="63">
        <f>MAX(0,E90+F90-G90)</f>
        <v/>
      </c>
      <c r="F91" s="63">
        <f>E91*Assumptions!$B$59</f>
        <v/>
      </c>
      <c r="G91" s="63">
        <f>MIN(E91+F91,MAX(0,B91-D91))</f>
        <v/>
      </c>
    </row>
    <row r="92" ht="15" customHeight="1" s="201">
      <c r="A92" s="107" t="n">
        <v>40</v>
      </c>
      <c r="B92" s="63">
        <f>$B$33</f>
        <v/>
      </c>
      <c r="C92" s="63">
        <f>MAX(0,C91-D91)</f>
        <v/>
      </c>
      <c r="D92" s="63">
        <f>MIN(C92,B92)</f>
        <v/>
      </c>
      <c r="E92" s="63">
        <f>MAX(0,E91+F91-G91)</f>
        <v/>
      </c>
      <c r="F92" s="63">
        <f>E92*Assumptions!$B$59</f>
        <v/>
      </c>
      <c r="G92" s="63">
        <f>MIN(E92+F92,MAX(0,B92-D92))</f>
        <v/>
      </c>
    </row>
    <row r="93" ht="15" customHeight="1" s="201">
      <c r="A93" s="125" t="inlineStr">
        <is>
          <t>TOTALS</t>
        </is>
      </c>
      <c r="D93" s="127">
        <f>SUM(D53:D92)</f>
        <v/>
      </c>
      <c r="F93" s="127">
        <f>SUM(F53:F92)</f>
        <v/>
      </c>
      <c r="G93" s="127">
        <f>SUM(G53:G92)</f>
        <v/>
      </c>
    </row>
    <row r="96" ht="15" customHeight="1" s="201">
      <c r="A96" s="128" t="inlineStr">
        <is>
          <t>BD PIPELINE (Scenario H)</t>
        </is>
      </c>
    </row>
    <row r="97" ht="15" customHeight="1" s="201">
      <c r="A97" t="inlineStr">
        <is>
          <t>BD Construction Billing</t>
        </is>
      </c>
      <c r="C97">
        <f>IF(AND(Projects!$G$17="Yes",1&gt;=Projects!$C$17,1&lt;Projects!$C$17+Projects!$D$17),Projects!$B$17*INDEX(Curves!$B$4:$AO$4,1,1-Projects!$C$17+1),0)+IF(AND(Projects!$G$18="Yes",1&gt;=Projects!$C$18,1&lt;Projects!$C$18+Projects!$D$18),Projects!$B$18*INDEX(Curves!$B$4:$AO$4,1,1-Projects!$C$18+1),0)+IF(AND(Projects!$G$19="Yes",1&gt;=Projects!$C$19,1&lt;Projects!$C$19+Projects!$D$19),Projects!$B$19*INDEX(Curves!$B$4:$AO$4,1,1-Projects!$C$19+1),0)+IF(AND(Projects!$G$20="Yes",1&gt;=Projects!$C$20,1&lt;Projects!$C$20+Projects!$D$20),Projects!$B$20*INDEX(Curves!$B$4:$AO$4,1,1-Projects!$C$20+1),0)+IF(AND(Projects!$G$21="Yes",1&gt;=Projects!$C$21,1&lt;Projects!$C$21+Projects!$D$21),Projects!$B$21*INDEX(Curves!$B$4:$AO$4,1,1-Projects!$C$21+1),0)+IF(AND(Projects!$G$22="Yes",1&gt;=Projects!$C$22,1&lt;Projects!$C$22+Projects!$D$22),Projects!$B$22*INDEX(Curves!$B$4:$AO$4,1,1-Projects!$C$22+1),0)+IF(AND(Projects!$G$23="Yes",1&gt;=Projects!$C$23,1&lt;Projects!$C$23+Projects!$D$23),Projects!$B$23*INDEX(Curves!$B$4:$AO$4,1,1-Projects!$C$23+1),0)+IF(AND(Projects!$G$24="Yes",1&gt;=Projects!$C$24,1&lt;Projects!$C$24+Projects!$D$24),Projects!$B$24*INDEX(Curves!$B$4:$AO$4,1,1-Projects!$C$24+1),0)+IF(AND(Projects!$G$25="Yes",1&gt;=Projects!$C$25,1&lt;Projects!$C$25+Projects!$D$25),Projects!$B$25*INDEX(Curves!$B$4:$AO$4,1,1-Projects!$C$25+1),0)+IF(AND(Projects!$G$26="Yes",1&gt;=Projects!$C$26,1&lt;Projects!$C$26+Projects!$D$26),Projects!$B$26*INDEX(Curves!$B$4:$AO$4,1,1-Projects!$C$26+1),0)+IF(AND(Projects!$G$27="Yes",1&gt;=Projects!$C$27,1&lt;Projects!$C$27+Projects!$D$27),Projects!$B$27*INDEX(Curves!$B$4:$AO$4,1,1-Projects!$C$27+1),0)+IF(AND(Projects!$G$28="Yes",1&gt;=Projects!$C$28,1&lt;Projects!$C$28+Projects!$D$28),Projects!$B$28*INDEX(Curves!$B$4:$AO$4,1,1-Projects!$C$28+1),0)+IF(AND(Projects!$G$29="Yes",1&gt;=Projects!$C$29,1&lt;Projects!$C$29+Projects!$D$29),Projects!$B$29*INDEX(Curves!$B$4:$AO$4,1,1-Projects!$C$29+1),0)</f>
        <v/>
      </c>
      <c r="D97">
        <f>IF(AND(Projects!$G$17="Yes",2&gt;=Projects!$C$17,2&lt;Projects!$C$17+Projects!$D$17),Projects!$B$17*INDEX(Curves!$B$4:$AO$4,1,2-Projects!$C$17+1),0)+IF(AND(Projects!$G$18="Yes",2&gt;=Projects!$C$18,2&lt;Projects!$C$18+Projects!$D$18),Projects!$B$18*INDEX(Curves!$B$4:$AO$4,1,2-Projects!$C$18+1),0)+IF(AND(Projects!$G$19="Yes",2&gt;=Projects!$C$19,2&lt;Projects!$C$19+Projects!$D$19),Projects!$B$19*INDEX(Curves!$B$4:$AO$4,1,2-Projects!$C$19+1),0)+IF(AND(Projects!$G$20="Yes",2&gt;=Projects!$C$20,2&lt;Projects!$C$20+Projects!$D$20),Projects!$B$20*INDEX(Curves!$B$4:$AO$4,1,2-Projects!$C$20+1),0)+IF(AND(Projects!$G$21="Yes",2&gt;=Projects!$C$21,2&lt;Projects!$C$21+Projects!$D$21),Projects!$B$21*INDEX(Curves!$B$4:$AO$4,1,2-Projects!$C$21+1),0)+IF(AND(Projects!$G$22="Yes",2&gt;=Projects!$C$22,2&lt;Projects!$C$22+Projects!$D$22),Projects!$B$22*INDEX(Curves!$B$4:$AO$4,1,2-Projects!$C$22+1),0)+IF(AND(Projects!$G$23="Yes",2&gt;=Projects!$C$23,2&lt;Projects!$C$23+Projects!$D$23),Projects!$B$23*INDEX(Curves!$B$4:$AO$4,1,2-Projects!$C$23+1),0)+IF(AND(Projects!$G$24="Yes",2&gt;=Projects!$C$24,2&lt;Projects!$C$24+Projects!$D$24),Projects!$B$24*INDEX(Curves!$B$4:$AO$4,1,2-Projects!$C$24+1),0)+IF(AND(Projects!$G$25="Yes",2&gt;=Projects!$C$25,2&lt;Projects!$C$25+Projects!$D$25),Projects!$B$25*INDEX(Curves!$B$4:$AO$4,1,2-Projects!$C$25+1),0)+IF(AND(Projects!$G$26="Yes",2&gt;=Projects!$C$26,2&lt;Projects!$C$26+Projects!$D$26),Projects!$B$26*INDEX(Curves!$B$4:$AO$4,1,2-Projects!$C$26+1),0)+IF(AND(Projects!$G$27="Yes",2&gt;=Projects!$C$27,2&lt;Projects!$C$27+Projects!$D$27),Projects!$B$27*INDEX(Curves!$B$4:$AO$4,1,2-Projects!$C$27+1),0)+IF(AND(Projects!$G$28="Yes",2&gt;=Projects!$C$28,2&lt;Projects!$C$28+Projects!$D$28),Projects!$B$28*INDEX(Curves!$B$4:$AO$4,1,2-Projects!$C$28+1),0)+IF(AND(Projects!$G$29="Yes",2&gt;=Projects!$C$29,2&lt;Projects!$C$29+Projects!$D$29),Projects!$B$29*INDEX(Curves!$B$4:$AO$4,1,2-Projects!$C$29+1),0)</f>
        <v/>
      </c>
      <c r="E97">
        <f>IF(AND(Projects!$G$17="Yes",3&gt;=Projects!$C$17,3&lt;Projects!$C$17+Projects!$D$17),Projects!$B$17*INDEX(Curves!$B$4:$AO$4,1,3-Projects!$C$17+1),0)+IF(AND(Projects!$G$18="Yes",3&gt;=Projects!$C$18,3&lt;Projects!$C$18+Projects!$D$18),Projects!$B$18*INDEX(Curves!$B$4:$AO$4,1,3-Projects!$C$18+1),0)+IF(AND(Projects!$G$19="Yes",3&gt;=Projects!$C$19,3&lt;Projects!$C$19+Projects!$D$19),Projects!$B$19*INDEX(Curves!$B$4:$AO$4,1,3-Projects!$C$19+1),0)+IF(AND(Projects!$G$20="Yes",3&gt;=Projects!$C$20,3&lt;Projects!$C$20+Projects!$D$20),Projects!$B$20*INDEX(Curves!$B$4:$AO$4,1,3-Projects!$C$20+1),0)+IF(AND(Projects!$G$21="Yes",3&gt;=Projects!$C$21,3&lt;Projects!$C$21+Projects!$D$21),Projects!$B$21*INDEX(Curves!$B$4:$AO$4,1,3-Projects!$C$21+1),0)+IF(AND(Projects!$G$22="Yes",3&gt;=Projects!$C$22,3&lt;Projects!$C$22+Projects!$D$22),Projects!$B$22*INDEX(Curves!$B$4:$AO$4,1,3-Projects!$C$22+1),0)+IF(AND(Projects!$G$23="Yes",3&gt;=Projects!$C$23,3&lt;Projects!$C$23+Projects!$D$23),Projects!$B$23*INDEX(Curves!$B$4:$AO$4,1,3-Projects!$C$23+1),0)+IF(AND(Projects!$G$24="Yes",3&gt;=Projects!$C$24,3&lt;Projects!$C$24+Projects!$D$24),Projects!$B$24*INDEX(Curves!$B$4:$AO$4,1,3-Projects!$C$24+1),0)+IF(AND(Projects!$G$25="Yes",3&gt;=Projects!$C$25,3&lt;Projects!$C$25+Projects!$D$25),Projects!$B$25*INDEX(Curves!$B$4:$AO$4,1,3-Projects!$C$25+1),0)+IF(AND(Projects!$G$26="Yes",3&gt;=Projects!$C$26,3&lt;Projects!$C$26+Projects!$D$26),Projects!$B$26*INDEX(Curves!$B$4:$AO$4,1,3-Projects!$C$26+1),0)+IF(AND(Projects!$G$27="Yes",3&gt;=Projects!$C$27,3&lt;Projects!$C$27+Projects!$D$27),Projects!$B$27*INDEX(Curves!$B$4:$AO$4,1,3-Projects!$C$27+1),0)+IF(AND(Projects!$G$28="Yes",3&gt;=Projects!$C$28,3&lt;Projects!$C$28+Projects!$D$28),Projects!$B$28*INDEX(Curves!$B$4:$AO$4,1,3-Projects!$C$28+1),0)+IF(AND(Projects!$G$29="Yes",3&gt;=Projects!$C$29,3&lt;Projects!$C$29+Projects!$D$29),Projects!$B$29*INDEX(Curves!$B$4:$AO$4,1,3-Projects!$C$29+1),0)</f>
        <v/>
      </c>
      <c r="F97">
        <f>IF(AND(Projects!$G$17="Yes",4&gt;=Projects!$C$17,4&lt;Projects!$C$17+Projects!$D$17),Projects!$B$17*INDEX(Curves!$B$4:$AO$4,1,4-Projects!$C$17+1),0)+IF(AND(Projects!$G$18="Yes",4&gt;=Projects!$C$18,4&lt;Projects!$C$18+Projects!$D$18),Projects!$B$18*INDEX(Curves!$B$4:$AO$4,1,4-Projects!$C$18+1),0)+IF(AND(Projects!$G$19="Yes",4&gt;=Projects!$C$19,4&lt;Projects!$C$19+Projects!$D$19),Projects!$B$19*INDEX(Curves!$B$4:$AO$4,1,4-Projects!$C$19+1),0)+IF(AND(Projects!$G$20="Yes",4&gt;=Projects!$C$20,4&lt;Projects!$C$20+Projects!$D$20),Projects!$B$20*INDEX(Curves!$B$4:$AO$4,1,4-Projects!$C$20+1),0)+IF(AND(Projects!$G$21="Yes",4&gt;=Projects!$C$21,4&lt;Projects!$C$21+Projects!$D$21),Projects!$B$21*INDEX(Curves!$B$4:$AO$4,1,4-Projects!$C$21+1),0)+IF(AND(Projects!$G$22="Yes",4&gt;=Projects!$C$22,4&lt;Projects!$C$22+Projects!$D$22),Projects!$B$22*INDEX(Curves!$B$4:$AO$4,1,4-Projects!$C$22+1),0)+IF(AND(Projects!$G$23="Yes",4&gt;=Projects!$C$23,4&lt;Projects!$C$23+Projects!$D$23),Projects!$B$23*INDEX(Curves!$B$4:$AO$4,1,4-Projects!$C$23+1),0)+IF(AND(Projects!$G$24="Yes",4&gt;=Projects!$C$24,4&lt;Projects!$C$24+Projects!$D$24),Projects!$B$24*INDEX(Curves!$B$4:$AO$4,1,4-Projects!$C$24+1),0)+IF(AND(Projects!$G$25="Yes",4&gt;=Projects!$C$25,4&lt;Projects!$C$25+Projects!$D$25),Projects!$B$25*INDEX(Curves!$B$4:$AO$4,1,4-Projects!$C$25+1),0)+IF(AND(Projects!$G$26="Yes",4&gt;=Projects!$C$26,4&lt;Projects!$C$26+Projects!$D$26),Projects!$B$26*INDEX(Curves!$B$4:$AO$4,1,4-Projects!$C$26+1),0)+IF(AND(Projects!$G$27="Yes",4&gt;=Projects!$C$27,4&lt;Projects!$C$27+Projects!$D$27),Projects!$B$27*INDEX(Curves!$B$4:$AO$4,1,4-Projects!$C$27+1),0)+IF(AND(Projects!$G$28="Yes",4&gt;=Projects!$C$28,4&lt;Projects!$C$28+Projects!$D$28),Projects!$B$28*INDEX(Curves!$B$4:$AO$4,1,4-Projects!$C$28+1),0)+IF(AND(Projects!$G$29="Yes",4&gt;=Projects!$C$29,4&lt;Projects!$C$29+Projects!$D$29),Projects!$B$29*INDEX(Curves!$B$4:$AO$4,1,4-Projects!$C$29+1),0)</f>
        <v/>
      </c>
      <c r="G97">
        <f>IF(AND(Projects!$G$17="Yes",5&gt;=Projects!$C$17,5&lt;Projects!$C$17+Projects!$D$17),Projects!$B$17*INDEX(Curves!$B$4:$AO$4,1,5-Projects!$C$17+1),0)+IF(AND(Projects!$G$18="Yes",5&gt;=Projects!$C$18,5&lt;Projects!$C$18+Projects!$D$18),Projects!$B$18*INDEX(Curves!$B$4:$AO$4,1,5-Projects!$C$18+1),0)+IF(AND(Projects!$G$19="Yes",5&gt;=Projects!$C$19,5&lt;Projects!$C$19+Projects!$D$19),Projects!$B$19*INDEX(Curves!$B$4:$AO$4,1,5-Projects!$C$19+1),0)+IF(AND(Projects!$G$20="Yes",5&gt;=Projects!$C$20,5&lt;Projects!$C$20+Projects!$D$20),Projects!$B$20*INDEX(Curves!$B$4:$AO$4,1,5-Projects!$C$20+1),0)+IF(AND(Projects!$G$21="Yes",5&gt;=Projects!$C$21,5&lt;Projects!$C$21+Projects!$D$21),Projects!$B$21*INDEX(Curves!$B$4:$AO$4,1,5-Projects!$C$21+1),0)+IF(AND(Projects!$G$22="Yes",5&gt;=Projects!$C$22,5&lt;Projects!$C$22+Projects!$D$22),Projects!$B$22*INDEX(Curves!$B$4:$AO$4,1,5-Projects!$C$22+1),0)+IF(AND(Projects!$G$23="Yes",5&gt;=Projects!$C$23,5&lt;Projects!$C$23+Projects!$D$23),Projects!$B$23*INDEX(Curves!$B$4:$AO$4,1,5-Projects!$C$23+1),0)+IF(AND(Projects!$G$24="Yes",5&gt;=Projects!$C$24,5&lt;Projects!$C$24+Projects!$D$24),Projects!$B$24*INDEX(Curves!$B$4:$AO$4,1,5-Projects!$C$24+1),0)+IF(AND(Projects!$G$25="Yes",5&gt;=Projects!$C$25,5&lt;Projects!$C$25+Projects!$D$25),Projects!$B$25*INDEX(Curves!$B$4:$AO$4,1,5-Projects!$C$25+1),0)+IF(AND(Projects!$G$26="Yes",5&gt;=Projects!$C$26,5&lt;Projects!$C$26+Projects!$D$26),Projects!$B$26*INDEX(Curves!$B$4:$AO$4,1,5-Projects!$C$26+1),0)+IF(AND(Projects!$G$27="Yes",5&gt;=Projects!$C$27,5&lt;Projects!$C$27+Projects!$D$27),Projects!$B$27*INDEX(Curves!$B$4:$AO$4,1,5-Projects!$C$27+1),0)+IF(AND(Projects!$G$28="Yes",5&gt;=Projects!$C$28,5&lt;Projects!$C$28+Projects!$D$28),Projects!$B$28*INDEX(Curves!$B$4:$AO$4,1,5-Projects!$C$28+1),0)+IF(AND(Projects!$G$29="Yes",5&gt;=Projects!$C$29,5&lt;Projects!$C$29+Projects!$D$29),Projects!$B$29*INDEX(Curves!$B$4:$AO$4,1,5-Projects!$C$29+1),0)</f>
        <v/>
      </c>
      <c r="H97">
        <f>IF(AND(Projects!$G$17="Yes",6&gt;=Projects!$C$17,6&lt;Projects!$C$17+Projects!$D$17),Projects!$B$17*INDEX(Curves!$B$4:$AO$4,1,6-Projects!$C$17+1),0)+IF(AND(Projects!$G$18="Yes",6&gt;=Projects!$C$18,6&lt;Projects!$C$18+Projects!$D$18),Projects!$B$18*INDEX(Curves!$B$4:$AO$4,1,6-Projects!$C$18+1),0)+IF(AND(Projects!$G$19="Yes",6&gt;=Projects!$C$19,6&lt;Projects!$C$19+Projects!$D$19),Projects!$B$19*INDEX(Curves!$B$4:$AO$4,1,6-Projects!$C$19+1),0)+IF(AND(Projects!$G$20="Yes",6&gt;=Projects!$C$20,6&lt;Projects!$C$20+Projects!$D$20),Projects!$B$20*INDEX(Curves!$B$4:$AO$4,1,6-Projects!$C$20+1),0)+IF(AND(Projects!$G$21="Yes",6&gt;=Projects!$C$21,6&lt;Projects!$C$21+Projects!$D$21),Projects!$B$21*INDEX(Curves!$B$4:$AO$4,1,6-Projects!$C$21+1),0)+IF(AND(Projects!$G$22="Yes",6&gt;=Projects!$C$22,6&lt;Projects!$C$22+Projects!$D$22),Projects!$B$22*INDEX(Curves!$B$4:$AO$4,1,6-Projects!$C$22+1),0)+IF(AND(Projects!$G$23="Yes",6&gt;=Projects!$C$23,6&lt;Projects!$C$23+Projects!$D$23),Projects!$B$23*INDEX(Curves!$B$4:$AO$4,1,6-Projects!$C$23+1),0)+IF(AND(Projects!$G$24="Yes",6&gt;=Projects!$C$24,6&lt;Projects!$C$24+Projects!$D$24),Projects!$B$24*INDEX(Curves!$B$4:$AO$4,1,6-Projects!$C$24+1),0)+IF(AND(Projects!$G$25="Yes",6&gt;=Projects!$C$25,6&lt;Projects!$C$25+Projects!$D$25),Projects!$B$25*INDEX(Curves!$B$4:$AO$4,1,6-Projects!$C$25+1),0)+IF(AND(Projects!$G$26="Yes",6&gt;=Projects!$C$26,6&lt;Projects!$C$26+Projects!$D$26),Projects!$B$26*INDEX(Curves!$B$4:$AO$4,1,6-Projects!$C$26+1),0)+IF(AND(Projects!$G$27="Yes",6&gt;=Projects!$C$27,6&lt;Projects!$C$27+Projects!$D$27),Projects!$B$27*INDEX(Curves!$B$4:$AO$4,1,6-Projects!$C$27+1),0)+IF(AND(Projects!$G$28="Yes",6&gt;=Projects!$C$28,6&lt;Projects!$C$28+Projects!$D$28),Projects!$B$28*INDEX(Curves!$B$4:$AO$4,1,6-Projects!$C$28+1),0)+IF(AND(Projects!$G$29="Yes",6&gt;=Projects!$C$29,6&lt;Projects!$C$29+Projects!$D$29),Projects!$B$29*INDEX(Curves!$B$4:$AO$4,1,6-Projects!$C$29+1),0)</f>
        <v/>
      </c>
      <c r="I97">
        <f>IF(AND(Projects!$G$17="Yes",7&gt;=Projects!$C$17,7&lt;Projects!$C$17+Projects!$D$17),Projects!$B$17*INDEX(Curves!$B$4:$AO$4,1,7-Projects!$C$17+1),0)+IF(AND(Projects!$G$18="Yes",7&gt;=Projects!$C$18,7&lt;Projects!$C$18+Projects!$D$18),Projects!$B$18*INDEX(Curves!$B$4:$AO$4,1,7-Projects!$C$18+1),0)+IF(AND(Projects!$G$19="Yes",7&gt;=Projects!$C$19,7&lt;Projects!$C$19+Projects!$D$19),Projects!$B$19*INDEX(Curves!$B$4:$AO$4,1,7-Projects!$C$19+1),0)+IF(AND(Projects!$G$20="Yes",7&gt;=Projects!$C$20,7&lt;Projects!$C$20+Projects!$D$20),Projects!$B$20*INDEX(Curves!$B$4:$AO$4,1,7-Projects!$C$20+1),0)+IF(AND(Projects!$G$21="Yes",7&gt;=Projects!$C$21,7&lt;Projects!$C$21+Projects!$D$21),Projects!$B$21*INDEX(Curves!$B$4:$AO$4,1,7-Projects!$C$21+1),0)+IF(AND(Projects!$G$22="Yes",7&gt;=Projects!$C$22,7&lt;Projects!$C$22+Projects!$D$22),Projects!$B$22*INDEX(Curves!$B$4:$AO$4,1,7-Projects!$C$22+1),0)+IF(AND(Projects!$G$23="Yes",7&gt;=Projects!$C$23,7&lt;Projects!$C$23+Projects!$D$23),Projects!$B$23*INDEX(Curves!$B$4:$AO$4,1,7-Projects!$C$23+1),0)+IF(AND(Projects!$G$24="Yes",7&gt;=Projects!$C$24,7&lt;Projects!$C$24+Projects!$D$24),Projects!$B$24*INDEX(Curves!$B$4:$AO$4,1,7-Projects!$C$24+1),0)+IF(AND(Projects!$G$25="Yes",7&gt;=Projects!$C$25,7&lt;Projects!$C$25+Projects!$D$25),Projects!$B$25*INDEX(Curves!$B$4:$AO$4,1,7-Projects!$C$25+1),0)+IF(AND(Projects!$G$26="Yes",7&gt;=Projects!$C$26,7&lt;Projects!$C$26+Projects!$D$26),Projects!$B$26*INDEX(Curves!$B$4:$AO$4,1,7-Projects!$C$26+1),0)+IF(AND(Projects!$G$27="Yes",7&gt;=Projects!$C$27,7&lt;Projects!$C$27+Projects!$D$27),Projects!$B$27*INDEX(Curves!$B$4:$AO$4,1,7-Projects!$C$27+1),0)+IF(AND(Projects!$G$28="Yes",7&gt;=Projects!$C$28,7&lt;Projects!$C$28+Projects!$D$28),Projects!$B$28*INDEX(Curves!$B$4:$AO$4,1,7-Projects!$C$28+1),0)+IF(AND(Projects!$G$29="Yes",7&gt;=Projects!$C$29,7&lt;Projects!$C$29+Projects!$D$29),Projects!$B$29*INDEX(Curves!$B$4:$AO$4,1,7-Projects!$C$29+1),0)</f>
        <v/>
      </c>
      <c r="J97">
        <f>IF(AND(Projects!$G$17="Yes",8&gt;=Projects!$C$17,8&lt;Projects!$C$17+Projects!$D$17),Projects!$B$17*INDEX(Curves!$B$4:$AO$4,1,8-Projects!$C$17+1),0)+IF(AND(Projects!$G$18="Yes",8&gt;=Projects!$C$18,8&lt;Projects!$C$18+Projects!$D$18),Projects!$B$18*INDEX(Curves!$B$4:$AO$4,1,8-Projects!$C$18+1),0)+IF(AND(Projects!$G$19="Yes",8&gt;=Projects!$C$19,8&lt;Projects!$C$19+Projects!$D$19),Projects!$B$19*INDEX(Curves!$B$4:$AO$4,1,8-Projects!$C$19+1),0)+IF(AND(Projects!$G$20="Yes",8&gt;=Projects!$C$20,8&lt;Projects!$C$20+Projects!$D$20),Projects!$B$20*INDEX(Curves!$B$4:$AO$4,1,8-Projects!$C$20+1),0)+IF(AND(Projects!$G$21="Yes",8&gt;=Projects!$C$21,8&lt;Projects!$C$21+Projects!$D$21),Projects!$B$21*INDEX(Curves!$B$4:$AO$4,1,8-Projects!$C$21+1),0)+IF(AND(Projects!$G$22="Yes",8&gt;=Projects!$C$22,8&lt;Projects!$C$22+Projects!$D$22),Projects!$B$22*INDEX(Curves!$B$4:$AO$4,1,8-Projects!$C$22+1),0)+IF(AND(Projects!$G$23="Yes",8&gt;=Projects!$C$23,8&lt;Projects!$C$23+Projects!$D$23),Projects!$B$23*INDEX(Curves!$B$4:$AO$4,1,8-Projects!$C$23+1),0)+IF(AND(Projects!$G$24="Yes",8&gt;=Projects!$C$24,8&lt;Projects!$C$24+Projects!$D$24),Projects!$B$24*INDEX(Curves!$B$4:$AO$4,1,8-Projects!$C$24+1),0)+IF(AND(Projects!$G$25="Yes",8&gt;=Projects!$C$25,8&lt;Projects!$C$25+Projects!$D$25),Projects!$B$25*INDEX(Curves!$B$4:$AO$4,1,8-Projects!$C$25+1),0)+IF(AND(Projects!$G$26="Yes",8&gt;=Projects!$C$26,8&lt;Projects!$C$26+Projects!$D$26),Projects!$B$26*INDEX(Curves!$B$4:$AO$4,1,8-Projects!$C$26+1),0)+IF(AND(Projects!$G$27="Yes",8&gt;=Projects!$C$27,8&lt;Projects!$C$27+Projects!$D$27),Projects!$B$27*INDEX(Curves!$B$4:$AO$4,1,8-Projects!$C$27+1),0)+IF(AND(Projects!$G$28="Yes",8&gt;=Projects!$C$28,8&lt;Projects!$C$28+Projects!$D$28),Projects!$B$28*INDEX(Curves!$B$4:$AO$4,1,8-Projects!$C$28+1),0)+IF(AND(Projects!$G$29="Yes",8&gt;=Projects!$C$29,8&lt;Projects!$C$29+Projects!$D$29),Projects!$B$29*INDEX(Curves!$B$4:$AO$4,1,8-Projects!$C$29+1),0)</f>
        <v/>
      </c>
      <c r="K97">
        <f>IF(AND(Projects!$G$17="Yes",9&gt;=Projects!$C$17,9&lt;Projects!$C$17+Projects!$D$17),Projects!$B$17*INDEX(Curves!$B$4:$AO$4,1,9-Projects!$C$17+1),0)+IF(AND(Projects!$G$18="Yes",9&gt;=Projects!$C$18,9&lt;Projects!$C$18+Projects!$D$18),Projects!$B$18*INDEX(Curves!$B$4:$AO$4,1,9-Projects!$C$18+1),0)+IF(AND(Projects!$G$19="Yes",9&gt;=Projects!$C$19,9&lt;Projects!$C$19+Projects!$D$19),Projects!$B$19*INDEX(Curves!$B$4:$AO$4,1,9-Projects!$C$19+1),0)+IF(AND(Projects!$G$20="Yes",9&gt;=Projects!$C$20,9&lt;Projects!$C$20+Projects!$D$20),Projects!$B$20*INDEX(Curves!$B$4:$AO$4,1,9-Projects!$C$20+1),0)+IF(AND(Projects!$G$21="Yes",9&gt;=Projects!$C$21,9&lt;Projects!$C$21+Projects!$D$21),Projects!$B$21*INDEX(Curves!$B$4:$AO$4,1,9-Projects!$C$21+1),0)+IF(AND(Projects!$G$22="Yes",9&gt;=Projects!$C$22,9&lt;Projects!$C$22+Projects!$D$22),Projects!$B$22*INDEX(Curves!$B$4:$AO$4,1,9-Projects!$C$22+1),0)+IF(AND(Projects!$G$23="Yes",9&gt;=Projects!$C$23,9&lt;Projects!$C$23+Projects!$D$23),Projects!$B$23*INDEX(Curves!$B$4:$AO$4,1,9-Projects!$C$23+1),0)+IF(AND(Projects!$G$24="Yes",9&gt;=Projects!$C$24,9&lt;Projects!$C$24+Projects!$D$24),Projects!$B$24*INDEX(Curves!$B$4:$AO$4,1,9-Projects!$C$24+1),0)+IF(AND(Projects!$G$25="Yes",9&gt;=Projects!$C$25,9&lt;Projects!$C$25+Projects!$D$25),Projects!$B$25*INDEX(Curves!$B$4:$AO$4,1,9-Projects!$C$25+1),0)+IF(AND(Projects!$G$26="Yes",9&gt;=Projects!$C$26,9&lt;Projects!$C$26+Projects!$D$26),Projects!$B$26*INDEX(Curves!$B$4:$AO$4,1,9-Projects!$C$26+1),0)+IF(AND(Projects!$G$27="Yes",9&gt;=Projects!$C$27,9&lt;Projects!$C$27+Projects!$D$27),Projects!$B$27*INDEX(Curves!$B$4:$AO$4,1,9-Projects!$C$27+1),0)+IF(AND(Projects!$G$28="Yes",9&gt;=Projects!$C$28,9&lt;Projects!$C$28+Projects!$D$28),Projects!$B$28*INDEX(Curves!$B$4:$AO$4,1,9-Projects!$C$28+1),0)+IF(AND(Projects!$G$29="Yes",9&gt;=Projects!$C$29,9&lt;Projects!$C$29+Projects!$D$29),Projects!$B$29*INDEX(Curves!$B$4:$AO$4,1,9-Projects!$C$29+1),0)</f>
        <v/>
      </c>
      <c r="L97">
        <f>IF(AND(Projects!$G$17="Yes",10&gt;=Projects!$C$17,10&lt;Projects!$C$17+Projects!$D$17),Projects!$B$17*INDEX(Curves!$B$4:$AO$4,1,10-Projects!$C$17+1),0)+IF(AND(Projects!$G$18="Yes",10&gt;=Projects!$C$18,10&lt;Projects!$C$18+Projects!$D$18),Projects!$B$18*INDEX(Curves!$B$4:$AO$4,1,10-Projects!$C$18+1),0)+IF(AND(Projects!$G$19="Yes",10&gt;=Projects!$C$19,10&lt;Projects!$C$19+Projects!$D$19),Projects!$B$19*INDEX(Curves!$B$4:$AO$4,1,10-Projects!$C$19+1),0)+IF(AND(Projects!$G$20="Yes",10&gt;=Projects!$C$20,10&lt;Projects!$C$20+Projects!$D$20),Projects!$B$20*INDEX(Curves!$B$4:$AO$4,1,10-Projects!$C$20+1),0)+IF(AND(Projects!$G$21="Yes",10&gt;=Projects!$C$21,10&lt;Projects!$C$21+Projects!$D$21),Projects!$B$21*INDEX(Curves!$B$4:$AO$4,1,10-Projects!$C$21+1),0)+IF(AND(Projects!$G$22="Yes",10&gt;=Projects!$C$22,10&lt;Projects!$C$22+Projects!$D$22),Projects!$B$22*INDEX(Curves!$B$4:$AO$4,1,10-Projects!$C$22+1),0)+IF(AND(Projects!$G$23="Yes",10&gt;=Projects!$C$23,10&lt;Projects!$C$23+Projects!$D$23),Projects!$B$23*INDEX(Curves!$B$4:$AO$4,1,10-Projects!$C$23+1),0)+IF(AND(Projects!$G$24="Yes",10&gt;=Projects!$C$24,10&lt;Projects!$C$24+Projects!$D$24),Projects!$B$24*INDEX(Curves!$B$4:$AO$4,1,10-Projects!$C$24+1),0)+IF(AND(Projects!$G$25="Yes",10&gt;=Projects!$C$25,10&lt;Projects!$C$25+Projects!$D$25),Projects!$B$25*INDEX(Curves!$B$4:$AO$4,1,10-Projects!$C$25+1),0)+IF(AND(Projects!$G$26="Yes",10&gt;=Projects!$C$26,10&lt;Projects!$C$26+Projects!$D$26),Projects!$B$26*INDEX(Curves!$B$4:$AO$4,1,10-Projects!$C$26+1),0)+IF(AND(Projects!$G$27="Yes",10&gt;=Projects!$C$27,10&lt;Projects!$C$27+Projects!$D$27),Projects!$B$27*INDEX(Curves!$B$4:$AO$4,1,10-Projects!$C$27+1),0)+IF(AND(Projects!$G$28="Yes",10&gt;=Projects!$C$28,10&lt;Projects!$C$28+Projects!$D$28),Projects!$B$28*INDEX(Curves!$B$4:$AO$4,1,10-Projects!$C$28+1),0)+IF(AND(Projects!$G$29="Yes",10&gt;=Projects!$C$29,10&lt;Projects!$C$29+Projects!$D$29),Projects!$B$29*INDEX(Curves!$B$4:$AO$4,1,10-Projects!$C$29+1),0)</f>
        <v/>
      </c>
      <c r="M97">
        <f>IF(AND(Projects!$G$17="Yes",11&gt;=Projects!$C$17,11&lt;Projects!$C$17+Projects!$D$17),Projects!$B$17*INDEX(Curves!$B$4:$AO$4,1,11-Projects!$C$17+1),0)+IF(AND(Projects!$G$18="Yes",11&gt;=Projects!$C$18,11&lt;Projects!$C$18+Projects!$D$18),Projects!$B$18*INDEX(Curves!$B$4:$AO$4,1,11-Projects!$C$18+1),0)+IF(AND(Projects!$G$19="Yes",11&gt;=Projects!$C$19,11&lt;Projects!$C$19+Projects!$D$19),Projects!$B$19*INDEX(Curves!$B$4:$AO$4,1,11-Projects!$C$19+1),0)+IF(AND(Projects!$G$20="Yes",11&gt;=Projects!$C$20,11&lt;Projects!$C$20+Projects!$D$20),Projects!$B$20*INDEX(Curves!$B$4:$AO$4,1,11-Projects!$C$20+1),0)+IF(AND(Projects!$G$21="Yes",11&gt;=Projects!$C$21,11&lt;Projects!$C$21+Projects!$D$21),Projects!$B$21*INDEX(Curves!$B$4:$AO$4,1,11-Projects!$C$21+1),0)+IF(AND(Projects!$G$22="Yes",11&gt;=Projects!$C$22,11&lt;Projects!$C$22+Projects!$D$22),Projects!$B$22*INDEX(Curves!$B$4:$AO$4,1,11-Projects!$C$22+1),0)+IF(AND(Projects!$G$23="Yes",11&gt;=Projects!$C$23,11&lt;Projects!$C$23+Projects!$D$23),Projects!$B$23*INDEX(Curves!$B$4:$AO$4,1,11-Projects!$C$23+1),0)+IF(AND(Projects!$G$24="Yes",11&gt;=Projects!$C$24,11&lt;Projects!$C$24+Projects!$D$24),Projects!$B$24*INDEX(Curves!$B$4:$AO$4,1,11-Projects!$C$24+1),0)+IF(AND(Projects!$G$25="Yes",11&gt;=Projects!$C$25,11&lt;Projects!$C$25+Projects!$D$25),Projects!$B$25*INDEX(Curves!$B$4:$AO$4,1,11-Projects!$C$25+1),0)+IF(AND(Projects!$G$26="Yes",11&gt;=Projects!$C$26,11&lt;Projects!$C$26+Projects!$D$26),Projects!$B$26*INDEX(Curves!$B$4:$AO$4,1,11-Projects!$C$26+1),0)+IF(AND(Projects!$G$27="Yes",11&gt;=Projects!$C$27,11&lt;Projects!$C$27+Projects!$D$27),Projects!$B$27*INDEX(Curves!$B$4:$AO$4,1,11-Projects!$C$27+1),0)+IF(AND(Projects!$G$28="Yes",11&gt;=Projects!$C$28,11&lt;Projects!$C$28+Projects!$D$28),Projects!$B$28*INDEX(Curves!$B$4:$AO$4,1,11-Projects!$C$28+1),0)+IF(AND(Projects!$G$29="Yes",11&gt;=Projects!$C$29,11&lt;Projects!$C$29+Projects!$D$29),Projects!$B$29*INDEX(Curves!$B$4:$AO$4,1,11-Projects!$C$29+1),0)</f>
        <v/>
      </c>
      <c r="N97">
        <f>IF(AND(Projects!$G$17="Yes",12&gt;=Projects!$C$17,12&lt;Projects!$C$17+Projects!$D$17),Projects!$B$17*INDEX(Curves!$B$4:$AO$4,1,12-Projects!$C$17+1),0)+IF(AND(Projects!$G$18="Yes",12&gt;=Projects!$C$18,12&lt;Projects!$C$18+Projects!$D$18),Projects!$B$18*INDEX(Curves!$B$4:$AO$4,1,12-Projects!$C$18+1),0)+IF(AND(Projects!$G$19="Yes",12&gt;=Projects!$C$19,12&lt;Projects!$C$19+Projects!$D$19),Projects!$B$19*INDEX(Curves!$B$4:$AO$4,1,12-Projects!$C$19+1),0)+IF(AND(Projects!$G$20="Yes",12&gt;=Projects!$C$20,12&lt;Projects!$C$20+Projects!$D$20),Projects!$B$20*INDEX(Curves!$B$4:$AO$4,1,12-Projects!$C$20+1),0)+IF(AND(Projects!$G$21="Yes",12&gt;=Projects!$C$21,12&lt;Projects!$C$21+Projects!$D$21),Projects!$B$21*INDEX(Curves!$B$4:$AO$4,1,12-Projects!$C$21+1),0)+IF(AND(Projects!$G$22="Yes",12&gt;=Projects!$C$22,12&lt;Projects!$C$22+Projects!$D$22),Projects!$B$22*INDEX(Curves!$B$4:$AO$4,1,12-Projects!$C$22+1),0)+IF(AND(Projects!$G$23="Yes",12&gt;=Projects!$C$23,12&lt;Projects!$C$23+Projects!$D$23),Projects!$B$23*INDEX(Curves!$B$4:$AO$4,1,12-Projects!$C$23+1),0)+IF(AND(Projects!$G$24="Yes",12&gt;=Projects!$C$24,12&lt;Projects!$C$24+Projects!$D$24),Projects!$B$24*INDEX(Curves!$B$4:$AO$4,1,12-Projects!$C$24+1),0)+IF(AND(Projects!$G$25="Yes",12&gt;=Projects!$C$25,12&lt;Projects!$C$25+Projects!$D$25),Projects!$B$25*INDEX(Curves!$B$4:$AO$4,1,12-Projects!$C$25+1),0)+IF(AND(Projects!$G$26="Yes",12&gt;=Projects!$C$26,12&lt;Projects!$C$26+Projects!$D$26),Projects!$B$26*INDEX(Curves!$B$4:$AO$4,1,12-Projects!$C$26+1),0)+IF(AND(Projects!$G$27="Yes",12&gt;=Projects!$C$27,12&lt;Projects!$C$27+Projects!$D$27),Projects!$B$27*INDEX(Curves!$B$4:$AO$4,1,12-Projects!$C$27+1),0)+IF(AND(Projects!$G$28="Yes",12&gt;=Projects!$C$28,12&lt;Projects!$C$28+Projects!$D$28),Projects!$B$28*INDEX(Curves!$B$4:$AO$4,1,12-Projects!$C$28+1),0)+IF(AND(Projects!$G$29="Yes",12&gt;=Projects!$C$29,12&lt;Projects!$C$29+Projects!$D$29),Projects!$B$29*INDEX(Curves!$B$4:$AO$4,1,12-Projects!$C$29+1),0)</f>
        <v/>
      </c>
      <c r="O97">
        <f>IF(AND(Projects!$G$17="Yes",13&gt;=Projects!$C$17,13&lt;Projects!$C$17+Projects!$D$17),Projects!$B$17*INDEX(Curves!$B$4:$AO$4,1,13-Projects!$C$17+1),0)+IF(AND(Projects!$G$18="Yes",13&gt;=Projects!$C$18,13&lt;Projects!$C$18+Projects!$D$18),Projects!$B$18*INDEX(Curves!$B$4:$AO$4,1,13-Projects!$C$18+1),0)+IF(AND(Projects!$G$19="Yes",13&gt;=Projects!$C$19,13&lt;Projects!$C$19+Projects!$D$19),Projects!$B$19*INDEX(Curves!$B$4:$AO$4,1,13-Projects!$C$19+1),0)+IF(AND(Projects!$G$20="Yes",13&gt;=Projects!$C$20,13&lt;Projects!$C$20+Projects!$D$20),Projects!$B$20*INDEX(Curves!$B$4:$AO$4,1,13-Projects!$C$20+1),0)+IF(AND(Projects!$G$21="Yes",13&gt;=Projects!$C$21,13&lt;Projects!$C$21+Projects!$D$21),Projects!$B$21*INDEX(Curves!$B$4:$AO$4,1,13-Projects!$C$21+1),0)+IF(AND(Projects!$G$22="Yes",13&gt;=Projects!$C$22,13&lt;Projects!$C$22+Projects!$D$22),Projects!$B$22*INDEX(Curves!$B$4:$AO$4,1,13-Projects!$C$22+1),0)+IF(AND(Projects!$G$23="Yes",13&gt;=Projects!$C$23,13&lt;Projects!$C$23+Projects!$D$23),Projects!$B$23*INDEX(Curves!$B$4:$AO$4,1,13-Projects!$C$23+1),0)+IF(AND(Projects!$G$24="Yes",13&gt;=Projects!$C$24,13&lt;Projects!$C$24+Projects!$D$24),Projects!$B$24*INDEX(Curves!$B$4:$AO$4,1,13-Projects!$C$24+1),0)+IF(AND(Projects!$G$25="Yes",13&gt;=Projects!$C$25,13&lt;Projects!$C$25+Projects!$D$25),Projects!$B$25*INDEX(Curves!$B$4:$AO$4,1,13-Projects!$C$25+1),0)+IF(AND(Projects!$G$26="Yes",13&gt;=Projects!$C$26,13&lt;Projects!$C$26+Projects!$D$26),Projects!$B$26*INDEX(Curves!$B$4:$AO$4,1,13-Projects!$C$26+1),0)+IF(AND(Projects!$G$27="Yes",13&gt;=Projects!$C$27,13&lt;Projects!$C$27+Projects!$D$27),Projects!$B$27*INDEX(Curves!$B$4:$AO$4,1,13-Projects!$C$27+1),0)+IF(AND(Projects!$G$28="Yes",13&gt;=Projects!$C$28,13&lt;Projects!$C$28+Projects!$D$28),Projects!$B$28*INDEX(Curves!$B$4:$AO$4,1,13-Projects!$C$28+1),0)+IF(AND(Projects!$G$29="Yes",13&gt;=Projects!$C$29,13&lt;Projects!$C$29+Projects!$D$29),Projects!$B$29*INDEX(Curves!$B$4:$AO$4,1,13-Projects!$C$29+1),0)</f>
        <v/>
      </c>
      <c r="P97">
        <f>IF(AND(Projects!$G$17="Yes",14&gt;=Projects!$C$17,14&lt;Projects!$C$17+Projects!$D$17),Projects!$B$17*INDEX(Curves!$B$4:$AO$4,1,14-Projects!$C$17+1),0)+IF(AND(Projects!$G$18="Yes",14&gt;=Projects!$C$18,14&lt;Projects!$C$18+Projects!$D$18),Projects!$B$18*INDEX(Curves!$B$4:$AO$4,1,14-Projects!$C$18+1),0)+IF(AND(Projects!$G$19="Yes",14&gt;=Projects!$C$19,14&lt;Projects!$C$19+Projects!$D$19),Projects!$B$19*INDEX(Curves!$B$4:$AO$4,1,14-Projects!$C$19+1),0)+IF(AND(Projects!$G$20="Yes",14&gt;=Projects!$C$20,14&lt;Projects!$C$20+Projects!$D$20),Projects!$B$20*INDEX(Curves!$B$4:$AO$4,1,14-Projects!$C$20+1),0)+IF(AND(Projects!$G$21="Yes",14&gt;=Projects!$C$21,14&lt;Projects!$C$21+Projects!$D$21),Projects!$B$21*INDEX(Curves!$B$4:$AO$4,1,14-Projects!$C$21+1),0)+IF(AND(Projects!$G$22="Yes",14&gt;=Projects!$C$22,14&lt;Projects!$C$22+Projects!$D$22),Projects!$B$22*INDEX(Curves!$B$4:$AO$4,1,14-Projects!$C$22+1),0)+IF(AND(Projects!$G$23="Yes",14&gt;=Projects!$C$23,14&lt;Projects!$C$23+Projects!$D$23),Projects!$B$23*INDEX(Curves!$B$4:$AO$4,1,14-Projects!$C$23+1),0)+IF(AND(Projects!$G$24="Yes",14&gt;=Projects!$C$24,14&lt;Projects!$C$24+Projects!$D$24),Projects!$B$24*INDEX(Curves!$B$4:$AO$4,1,14-Projects!$C$24+1),0)+IF(AND(Projects!$G$25="Yes",14&gt;=Projects!$C$25,14&lt;Projects!$C$25+Projects!$D$25),Projects!$B$25*INDEX(Curves!$B$4:$AO$4,1,14-Projects!$C$25+1),0)+IF(AND(Projects!$G$26="Yes",14&gt;=Projects!$C$26,14&lt;Projects!$C$26+Projects!$D$26),Projects!$B$26*INDEX(Curves!$B$4:$AO$4,1,14-Projects!$C$26+1),0)+IF(AND(Projects!$G$27="Yes",14&gt;=Projects!$C$27,14&lt;Projects!$C$27+Projects!$D$27),Projects!$B$27*INDEX(Curves!$B$4:$AO$4,1,14-Projects!$C$27+1),0)+IF(AND(Projects!$G$28="Yes",14&gt;=Projects!$C$28,14&lt;Projects!$C$28+Projects!$D$28),Projects!$B$28*INDEX(Curves!$B$4:$AO$4,1,14-Projects!$C$28+1),0)+IF(AND(Projects!$G$29="Yes",14&gt;=Projects!$C$29,14&lt;Projects!$C$29+Projects!$D$29),Projects!$B$29*INDEX(Curves!$B$4:$AO$4,1,14-Projects!$C$29+1),0)</f>
        <v/>
      </c>
      <c r="Q97">
        <f>IF(AND(Projects!$G$17="Yes",15&gt;=Projects!$C$17,15&lt;Projects!$C$17+Projects!$D$17),Projects!$B$17*INDEX(Curves!$B$4:$AO$4,1,15-Projects!$C$17+1),0)+IF(AND(Projects!$G$18="Yes",15&gt;=Projects!$C$18,15&lt;Projects!$C$18+Projects!$D$18),Projects!$B$18*INDEX(Curves!$B$4:$AO$4,1,15-Projects!$C$18+1),0)+IF(AND(Projects!$G$19="Yes",15&gt;=Projects!$C$19,15&lt;Projects!$C$19+Projects!$D$19),Projects!$B$19*INDEX(Curves!$B$4:$AO$4,1,15-Projects!$C$19+1),0)+IF(AND(Projects!$G$20="Yes",15&gt;=Projects!$C$20,15&lt;Projects!$C$20+Projects!$D$20),Projects!$B$20*INDEX(Curves!$B$4:$AO$4,1,15-Projects!$C$20+1),0)+IF(AND(Projects!$G$21="Yes",15&gt;=Projects!$C$21,15&lt;Projects!$C$21+Projects!$D$21),Projects!$B$21*INDEX(Curves!$B$4:$AO$4,1,15-Projects!$C$21+1),0)+IF(AND(Projects!$G$22="Yes",15&gt;=Projects!$C$22,15&lt;Projects!$C$22+Projects!$D$22),Projects!$B$22*INDEX(Curves!$B$4:$AO$4,1,15-Projects!$C$22+1),0)+IF(AND(Projects!$G$23="Yes",15&gt;=Projects!$C$23,15&lt;Projects!$C$23+Projects!$D$23),Projects!$B$23*INDEX(Curves!$B$4:$AO$4,1,15-Projects!$C$23+1),0)+IF(AND(Projects!$G$24="Yes",15&gt;=Projects!$C$24,15&lt;Projects!$C$24+Projects!$D$24),Projects!$B$24*INDEX(Curves!$B$4:$AO$4,1,15-Projects!$C$24+1),0)+IF(AND(Projects!$G$25="Yes",15&gt;=Projects!$C$25,15&lt;Projects!$C$25+Projects!$D$25),Projects!$B$25*INDEX(Curves!$B$4:$AO$4,1,15-Projects!$C$25+1),0)+IF(AND(Projects!$G$26="Yes",15&gt;=Projects!$C$26,15&lt;Projects!$C$26+Projects!$D$26),Projects!$B$26*INDEX(Curves!$B$4:$AO$4,1,15-Projects!$C$26+1),0)+IF(AND(Projects!$G$27="Yes",15&gt;=Projects!$C$27,15&lt;Projects!$C$27+Projects!$D$27),Projects!$B$27*INDEX(Curves!$B$4:$AO$4,1,15-Projects!$C$27+1),0)+IF(AND(Projects!$G$28="Yes",15&gt;=Projects!$C$28,15&lt;Projects!$C$28+Projects!$D$28),Projects!$B$28*INDEX(Curves!$B$4:$AO$4,1,15-Projects!$C$28+1),0)+IF(AND(Projects!$G$29="Yes",15&gt;=Projects!$C$29,15&lt;Projects!$C$29+Projects!$D$29),Projects!$B$29*INDEX(Curves!$B$4:$AO$4,1,15-Projects!$C$29+1),0)</f>
        <v/>
      </c>
      <c r="R97">
        <f>IF(AND(Projects!$G$17="Yes",16&gt;=Projects!$C$17,16&lt;Projects!$C$17+Projects!$D$17),Projects!$B$17*INDEX(Curves!$B$4:$AO$4,1,16-Projects!$C$17+1),0)+IF(AND(Projects!$G$18="Yes",16&gt;=Projects!$C$18,16&lt;Projects!$C$18+Projects!$D$18),Projects!$B$18*INDEX(Curves!$B$4:$AO$4,1,16-Projects!$C$18+1),0)+IF(AND(Projects!$G$19="Yes",16&gt;=Projects!$C$19,16&lt;Projects!$C$19+Projects!$D$19),Projects!$B$19*INDEX(Curves!$B$4:$AO$4,1,16-Projects!$C$19+1),0)+IF(AND(Projects!$G$20="Yes",16&gt;=Projects!$C$20,16&lt;Projects!$C$20+Projects!$D$20),Projects!$B$20*INDEX(Curves!$B$4:$AO$4,1,16-Projects!$C$20+1),0)+IF(AND(Projects!$G$21="Yes",16&gt;=Projects!$C$21,16&lt;Projects!$C$21+Projects!$D$21),Projects!$B$21*INDEX(Curves!$B$4:$AO$4,1,16-Projects!$C$21+1),0)+IF(AND(Projects!$G$22="Yes",16&gt;=Projects!$C$22,16&lt;Projects!$C$22+Projects!$D$22),Projects!$B$22*INDEX(Curves!$B$4:$AO$4,1,16-Projects!$C$22+1),0)+IF(AND(Projects!$G$23="Yes",16&gt;=Projects!$C$23,16&lt;Projects!$C$23+Projects!$D$23),Projects!$B$23*INDEX(Curves!$B$4:$AO$4,1,16-Projects!$C$23+1),0)+IF(AND(Projects!$G$24="Yes",16&gt;=Projects!$C$24,16&lt;Projects!$C$24+Projects!$D$24),Projects!$B$24*INDEX(Curves!$B$4:$AO$4,1,16-Projects!$C$24+1),0)+IF(AND(Projects!$G$25="Yes",16&gt;=Projects!$C$25,16&lt;Projects!$C$25+Projects!$D$25),Projects!$B$25*INDEX(Curves!$B$4:$AO$4,1,16-Projects!$C$25+1),0)+IF(AND(Projects!$G$26="Yes",16&gt;=Projects!$C$26,16&lt;Projects!$C$26+Projects!$D$26),Projects!$B$26*INDEX(Curves!$B$4:$AO$4,1,16-Projects!$C$26+1),0)+IF(AND(Projects!$G$27="Yes",16&gt;=Projects!$C$27,16&lt;Projects!$C$27+Projects!$D$27),Projects!$B$27*INDEX(Curves!$B$4:$AO$4,1,16-Projects!$C$27+1),0)+IF(AND(Projects!$G$28="Yes",16&gt;=Projects!$C$28,16&lt;Projects!$C$28+Projects!$D$28),Projects!$B$28*INDEX(Curves!$B$4:$AO$4,1,16-Projects!$C$28+1),0)+IF(AND(Projects!$G$29="Yes",16&gt;=Projects!$C$29,16&lt;Projects!$C$29+Projects!$D$29),Projects!$B$29*INDEX(Curves!$B$4:$AO$4,1,16-Projects!$C$29+1),0)</f>
        <v/>
      </c>
      <c r="S97">
        <f>IF(AND(Projects!$G$17="Yes",17&gt;=Projects!$C$17,17&lt;Projects!$C$17+Projects!$D$17),Projects!$B$17*INDEX(Curves!$B$4:$AO$4,1,17-Projects!$C$17+1),0)+IF(AND(Projects!$G$18="Yes",17&gt;=Projects!$C$18,17&lt;Projects!$C$18+Projects!$D$18),Projects!$B$18*INDEX(Curves!$B$4:$AO$4,1,17-Projects!$C$18+1),0)+IF(AND(Projects!$G$19="Yes",17&gt;=Projects!$C$19,17&lt;Projects!$C$19+Projects!$D$19),Projects!$B$19*INDEX(Curves!$B$4:$AO$4,1,17-Projects!$C$19+1),0)+IF(AND(Projects!$G$20="Yes",17&gt;=Projects!$C$20,17&lt;Projects!$C$20+Projects!$D$20),Projects!$B$20*INDEX(Curves!$B$4:$AO$4,1,17-Projects!$C$20+1),0)+IF(AND(Projects!$G$21="Yes",17&gt;=Projects!$C$21,17&lt;Projects!$C$21+Projects!$D$21),Projects!$B$21*INDEX(Curves!$B$4:$AO$4,1,17-Projects!$C$21+1),0)+IF(AND(Projects!$G$22="Yes",17&gt;=Projects!$C$22,17&lt;Projects!$C$22+Projects!$D$22),Projects!$B$22*INDEX(Curves!$B$4:$AO$4,1,17-Projects!$C$22+1),0)+IF(AND(Projects!$G$23="Yes",17&gt;=Projects!$C$23,17&lt;Projects!$C$23+Projects!$D$23),Projects!$B$23*INDEX(Curves!$B$4:$AO$4,1,17-Projects!$C$23+1),0)+IF(AND(Projects!$G$24="Yes",17&gt;=Projects!$C$24,17&lt;Projects!$C$24+Projects!$D$24),Projects!$B$24*INDEX(Curves!$B$4:$AO$4,1,17-Projects!$C$24+1),0)+IF(AND(Projects!$G$25="Yes",17&gt;=Projects!$C$25,17&lt;Projects!$C$25+Projects!$D$25),Projects!$B$25*INDEX(Curves!$B$4:$AO$4,1,17-Projects!$C$25+1),0)+IF(AND(Projects!$G$26="Yes",17&gt;=Projects!$C$26,17&lt;Projects!$C$26+Projects!$D$26),Projects!$B$26*INDEX(Curves!$B$4:$AO$4,1,17-Projects!$C$26+1),0)+IF(AND(Projects!$G$27="Yes",17&gt;=Projects!$C$27,17&lt;Projects!$C$27+Projects!$D$27),Projects!$B$27*INDEX(Curves!$B$4:$AO$4,1,17-Projects!$C$27+1),0)+IF(AND(Projects!$G$28="Yes",17&gt;=Projects!$C$28,17&lt;Projects!$C$28+Projects!$D$28),Projects!$B$28*INDEX(Curves!$B$4:$AO$4,1,17-Projects!$C$28+1),0)+IF(AND(Projects!$G$29="Yes",17&gt;=Projects!$C$29,17&lt;Projects!$C$29+Projects!$D$29),Projects!$B$29*INDEX(Curves!$B$4:$AO$4,1,17-Projects!$C$29+1),0)</f>
        <v/>
      </c>
      <c r="T97">
        <f>IF(AND(Projects!$G$17="Yes",18&gt;=Projects!$C$17,18&lt;Projects!$C$17+Projects!$D$17),Projects!$B$17*INDEX(Curves!$B$4:$AO$4,1,18-Projects!$C$17+1),0)+IF(AND(Projects!$G$18="Yes",18&gt;=Projects!$C$18,18&lt;Projects!$C$18+Projects!$D$18),Projects!$B$18*INDEX(Curves!$B$4:$AO$4,1,18-Projects!$C$18+1),0)+IF(AND(Projects!$G$19="Yes",18&gt;=Projects!$C$19,18&lt;Projects!$C$19+Projects!$D$19),Projects!$B$19*INDEX(Curves!$B$4:$AO$4,1,18-Projects!$C$19+1),0)+IF(AND(Projects!$G$20="Yes",18&gt;=Projects!$C$20,18&lt;Projects!$C$20+Projects!$D$20),Projects!$B$20*INDEX(Curves!$B$4:$AO$4,1,18-Projects!$C$20+1),0)+IF(AND(Projects!$G$21="Yes",18&gt;=Projects!$C$21,18&lt;Projects!$C$21+Projects!$D$21),Projects!$B$21*INDEX(Curves!$B$4:$AO$4,1,18-Projects!$C$21+1),0)+IF(AND(Projects!$G$22="Yes",18&gt;=Projects!$C$22,18&lt;Projects!$C$22+Projects!$D$22),Projects!$B$22*INDEX(Curves!$B$4:$AO$4,1,18-Projects!$C$22+1),0)+IF(AND(Projects!$G$23="Yes",18&gt;=Projects!$C$23,18&lt;Projects!$C$23+Projects!$D$23),Projects!$B$23*INDEX(Curves!$B$4:$AO$4,1,18-Projects!$C$23+1),0)+IF(AND(Projects!$G$24="Yes",18&gt;=Projects!$C$24,18&lt;Projects!$C$24+Projects!$D$24),Projects!$B$24*INDEX(Curves!$B$4:$AO$4,1,18-Projects!$C$24+1),0)+IF(AND(Projects!$G$25="Yes",18&gt;=Projects!$C$25,18&lt;Projects!$C$25+Projects!$D$25),Projects!$B$25*INDEX(Curves!$B$4:$AO$4,1,18-Projects!$C$25+1),0)+IF(AND(Projects!$G$26="Yes",18&gt;=Projects!$C$26,18&lt;Projects!$C$26+Projects!$D$26),Projects!$B$26*INDEX(Curves!$B$4:$AO$4,1,18-Projects!$C$26+1),0)+IF(AND(Projects!$G$27="Yes",18&gt;=Projects!$C$27,18&lt;Projects!$C$27+Projects!$D$27),Projects!$B$27*INDEX(Curves!$B$4:$AO$4,1,18-Projects!$C$27+1),0)+IF(AND(Projects!$G$28="Yes",18&gt;=Projects!$C$28,18&lt;Projects!$C$28+Projects!$D$28),Projects!$B$28*INDEX(Curves!$B$4:$AO$4,1,18-Projects!$C$28+1),0)+IF(AND(Projects!$G$29="Yes",18&gt;=Projects!$C$29,18&lt;Projects!$C$29+Projects!$D$29),Projects!$B$29*INDEX(Curves!$B$4:$AO$4,1,18-Projects!$C$29+1),0)</f>
        <v/>
      </c>
      <c r="U97">
        <f>IF(AND(Projects!$G$17="Yes",19&gt;=Projects!$C$17,19&lt;Projects!$C$17+Projects!$D$17),Projects!$B$17*INDEX(Curves!$B$4:$AO$4,1,19-Projects!$C$17+1),0)+IF(AND(Projects!$G$18="Yes",19&gt;=Projects!$C$18,19&lt;Projects!$C$18+Projects!$D$18),Projects!$B$18*INDEX(Curves!$B$4:$AO$4,1,19-Projects!$C$18+1),0)+IF(AND(Projects!$G$19="Yes",19&gt;=Projects!$C$19,19&lt;Projects!$C$19+Projects!$D$19),Projects!$B$19*INDEX(Curves!$B$4:$AO$4,1,19-Projects!$C$19+1),0)+IF(AND(Projects!$G$20="Yes",19&gt;=Projects!$C$20,19&lt;Projects!$C$20+Projects!$D$20),Projects!$B$20*INDEX(Curves!$B$4:$AO$4,1,19-Projects!$C$20+1),0)+IF(AND(Projects!$G$21="Yes",19&gt;=Projects!$C$21,19&lt;Projects!$C$21+Projects!$D$21),Projects!$B$21*INDEX(Curves!$B$4:$AO$4,1,19-Projects!$C$21+1),0)+IF(AND(Projects!$G$22="Yes",19&gt;=Projects!$C$22,19&lt;Projects!$C$22+Projects!$D$22),Projects!$B$22*INDEX(Curves!$B$4:$AO$4,1,19-Projects!$C$22+1),0)+IF(AND(Projects!$G$23="Yes",19&gt;=Projects!$C$23,19&lt;Projects!$C$23+Projects!$D$23),Projects!$B$23*INDEX(Curves!$B$4:$AO$4,1,19-Projects!$C$23+1),0)+IF(AND(Projects!$G$24="Yes",19&gt;=Projects!$C$24,19&lt;Projects!$C$24+Projects!$D$24),Projects!$B$24*INDEX(Curves!$B$4:$AO$4,1,19-Projects!$C$24+1),0)+IF(AND(Projects!$G$25="Yes",19&gt;=Projects!$C$25,19&lt;Projects!$C$25+Projects!$D$25),Projects!$B$25*INDEX(Curves!$B$4:$AO$4,1,19-Projects!$C$25+1),0)+IF(AND(Projects!$G$26="Yes",19&gt;=Projects!$C$26,19&lt;Projects!$C$26+Projects!$D$26),Projects!$B$26*INDEX(Curves!$B$4:$AO$4,1,19-Projects!$C$26+1),0)+IF(AND(Projects!$G$27="Yes",19&gt;=Projects!$C$27,19&lt;Projects!$C$27+Projects!$D$27),Projects!$B$27*INDEX(Curves!$B$4:$AO$4,1,19-Projects!$C$27+1),0)+IF(AND(Projects!$G$28="Yes",19&gt;=Projects!$C$28,19&lt;Projects!$C$28+Projects!$D$28),Projects!$B$28*INDEX(Curves!$B$4:$AO$4,1,19-Projects!$C$28+1),0)+IF(AND(Projects!$G$29="Yes",19&gt;=Projects!$C$29,19&lt;Projects!$C$29+Projects!$D$29),Projects!$B$29*INDEX(Curves!$B$4:$AO$4,1,19-Projects!$C$29+1),0)</f>
        <v/>
      </c>
      <c r="V97">
        <f>IF(AND(Projects!$G$17="Yes",20&gt;=Projects!$C$17,20&lt;Projects!$C$17+Projects!$D$17),Projects!$B$17*INDEX(Curves!$B$4:$AO$4,1,20-Projects!$C$17+1),0)+IF(AND(Projects!$G$18="Yes",20&gt;=Projects!$C$18,20&lt;Projects!$C$18+Projects!$D$18),Projects!$B$18*INDEX(Curves!$B$4:$AO$4,1,20-Projects!$C$18+1),0)+IF(AND(Projects!$G$19="Yes",20&gt;=Projects!$C$19,20&lt;Projects!$C$19+Projects!$D$19),Projects!$B$19*INDEX(Curves!$B$4:$AO$4,1,20-Projects!$C$19+1),0)+IF(AND(Projects!$G$20="Yes",20&gt;=Projects!$C$20,20&lt;Projects!$C$20+Projects!$D$20),Projects!$B$20*INDEX(Curves!$B$4:$AO$4,1,20-Projects!$C$20+1),0)+IF(AND(Projects!$G$21="Yes",20&gt;=Projects!$C$21,20&lt;Projects!$C$21+Projects!$D$21),Projects!$B$21*INDEX(Curves!$B$4:$AO$4,1,20-Projects!$C$21+1),0)+IF(AND(Projects!$G$22="Yes",20&gt;=Projects!$C$22,20&lt;Projects!$C$22+Projects!$D$22),Projects!$B$22*INDEX(Curves!$B$4:$AO$4,1,20-Projects!$C$22+1),0)+IF(AND(Projects!$G$23="Yes",20&gt;=Projects!$C$23,20&lt;Projects!$C$23+Projects!$D$23),Projects!$B$23*INDEX(Curves!$B$4:$AO$4,1,20-Projects!$C$23+1),0)+IF(AND(Projects!$G$24="Yes",20&gt;=Projects!$C$24,20&lt;Projects!$C$24+Projects!$D$24),Projects!$B$24*INDEX(Curves!$B$4:$AO$4,1,20-Projects!$C$24+1),0)+IF(AND(Projects!$G$25="Yes",20&gt;=Projects!$C$25,20&lt;Projects!$C$25+Projects!$D$25),Projects!$B$25*INDEX(Curves!$B$4:$AO$4,1,20-Projects!$C$25+1),0)+IF(AND(Projects!$G$26="Yes",20&gt;=Projects!$C$26,20&lt;Projects!$C$26+Projects!$D$26),Projects!$B$26*INDEX(Curves!$B$4:$AO$4,1,20-Projects!$C$26+1),0)+IF(AND(Projects!$G$27="Yes",20&gt;=Projects!$C$27,20&lt;Projects!$C$27+Projects!$D$27),Projects!$B$27*INDEX(Curves!$B$4:$AO$4,1,20-Projects!$C$27+1),0)+IF(AND(Projects!$G$28="Yes",20&gt;=Projects!$C$28,20&lt;Projects!$C$28+Projects!$D$28),Projects!$B$28*INDEX(Curves!$B$4:$AO$4,1,20-Projects!$C$28+1),0)+IF(AND(Projects!$G$29="Yes",20&gt;=Projects!$C$29,20&lt;Projects!$C$29+Projects!$D$29),Projects!$B$29*INDEX(Curves!$B$4:$AO$4,1,20-Projects!$C$29+1),0)</f>
        <v/>
      </c>
      <c r="W97">
        <f>IF(AND(Projects!$G$17="Yes",21&gt;=Projects!$C$17,21&lt;Projects!$C$17+Projects!$D$17),Projects!$B$17*INDEX(Curves!$B$4:$AO$4,1,21-Projects!$C$17+1),0)+IF(AND(Projects!$G$18="Yes",21&gt;=Projects!$C$18,21&lt;Projects!$C$18+Projects!$D$18),Projects!$B$18*INDEX(Curves!$B$4:$AO$4,1,21-Projects!$C$18+1),0)+IF(AND(Projects!$G$19="Yes",21&gt;=Projects!$C$19,21&lt;Projects!$C$19+Projects!$D$19),Projects!$B$19*INDEX(Curves!$B$4:$AO$4,1,21-Projects!$C$19+1),0)+IF(AND(Projects!$G$20="Yes",21&gt;=Projects!$C$20,21&lt;Projects!$C$20+Projects!$D$20),Projects!$B$20*INDEX(Curves!$B$4:$AO$4,1,21-Projects!$C$20+1),0)+IF(AND(Projects!$G$21="Yes",21&gt;=Projects!$C$21,21&lt;Projects!$C$21+Projects!$D$21),Projects!$B$21*INDEX(Curves!$B$4:$AO$4,1,21-Projects!$C$21+1),0)+IF(AND(Projects!$G$22="Yes",21&gt;=Projects!$C$22,21&lt;Projects!$C$22+Projects!$D$22),Projects!$B$22*INDEX(Curves!$B$4:$AO$4,1,21-Projects!$C$22+1),0)+IF(AND(Projects!$G$23="Yes",21&gt;=Projects!$C$23,21&lt;Projects!$C$23+Projects!$D$23),Projects!$B$23*INDEX(Curves!$B$4:$AO$4,1,21-Projects!$C$23+1),0)+IF(AND(Projects!$G$24="Yes",21&gt;=Projects!$C$24,21&lt;Projects!$C$24+Projects!$D$24),Projects!$B$24*INDEX(Curves!$B$4:$AO$4,1,21-Projects!$C$24+1),0)+IF(AND(Projects!$G$25="Yes",21&gt;=Projects!$C$25,21&lt;Projects!$C$25+Projects!$D$25),Projects!$B$25*INDEX(Curves!$B$4:$AO$4,1,21-Projects!$C$25+1),0)+IF(AND(Projects!$G$26="Yes",21&gt;=Projects!$C$26,21&lt;Projects!$C$26+Projects!$D$26),Projects!$B$26*INDEX(Curves!$B$4:$AO$4,1,21-Projects!$C$26+1),0)+IF(AND(Projects!$G$27="Yes",21&gt;=Projects!$C$27,21&lt;Projects!$C$27+Projects!$D$27),Projects!$B$27*INDEX(Curves!$B$4:$AO$4,1,21-Projects!$C$27+1),0)+IF(AND(Projects!$G$28="Yes",21&gt;=Projects!$C$28,21&lt;Projects!$C$28+Projects!$D$28),Projects!$B$28*INDEX(Curves!$B$4:$AO$4,1,21-Projects!$C$28+1),0)+IF(AND(Projects!$G$29="Yes",21&gt;=Projects!$C$29,21&lt;Projects!$C$29+Projects!$D$29),Projects!$B$29*INDEX(Curves!$B$4:$AO$4,1,21-Projects!$C$29+1),0)</f>
        <v/>
      </c>
      <c r="X97">
        <f>IF(AND(Projects!$G$17="Yes",22&gt;=Projects!$C$17,22&lt;Projects!$C$17+Projects!$D$17),Projects!$B$17*INDEX(Curves!$B$4:$AO$4,1,22-Projects!$C$17+1),0)+IF(AND(Projects!$G$18="Yes",22&gt;=Projects!$C$18,22&lt;Projects!$C$18+Projects!$D$18),Projects!$B$18*INDEX(Curves!$B$4:$AO$4,1,22-Projects!$C$18+1),0)+IF(AND(Projects!$G$19="Yes",22&gt;=Projects!$C$19,22&lt;Projects!$C$19+Projects!$D$19),Projects!$B$19*INDEX(Curves!$B$4:$AO$4,1,22-Projects!$C$19+1),0)+IF(AND(Projects!$G$20="Yes",22&gt;=Projects!$C$20,22&lt;Projects!$C$20+Projects!$D$20),Projects!$B$20*INDEX(Curves!$B$4:$AO$4,1,22-Projects!$C$20+1),0)+IF(AND(Projects!$G$21="Yes",22&gt;=Projects!$C$21,22&lt;Projects!$C$21+Projects!$D$21),Projects!$B$21*INDEX(Curves!$B$4:$AO$4,1,22-Projects!$C$21+1),0)+IF(AND(Projects!$G$22="Yes",22&gt;=Projects!$C$22,22&lt;Projects!$C$22+Projects!$D$22),Projects!$B$22*INDEX(Curves!$B$4:$AO$4,1,22-Projects!$C$22+1),0)+IF(AND(Projects!$G$23="Yes",22&gt;=Projects!$C$23,22&lt;Projects!$C$23+Projects!$D$23),Projects!$B$23*INDEX(Curves!$B$4:$AO$4,1,22-Projects!$C$23+1),0)+IF(AND(Projects!$G$24="Yes",22&gt;=Projects!$C$24,22&lt;Projects!$C$24+Projects!$D$24),Projects!$B$24*INDEX(Curves!$B$4:$AO$4,1,22-Projects!$C$24+1),0)+IF(AND(Projects!$G$25="Yes",22&gt;=Projects!$C$25,22&lt;Projects!$C$25+Projects!$D$25),Projects!$B$25*INDEX(Curves!$B$4:$AO$4,1,22-Projects!$C$25+1),0)+IF(AND(Projects!$G$26="Yes",22&gt;=Projects!$C$26,22&lt;Projects!$C$26+Projects!$D$26),Projects!$B$26*INDEX(Curves!$B$4:$AO$4,1,22-Projects!$C$26+1),0)+IF(AND(Projects!$G$27="Yes",22&gt;=Projects!$C$27,22&lt;Projects!$C$27+Projects!$D$27),Projects!$B$27*INDEX(Curves!$B$4:$AO$4,1,22-Projects!$C$27+1),0)+IF(AND(Projects!$G$28="Yes",22&gt;=Projects!$C$28,22&lt;Projects!$C$28+Projects!$D$28),Projects!$B$28*INDEX(Curves!$B$4:$AO$4,1,22-Projects!$C$28+1),0)+IF(AND(Projects!$G$29="Yes",22&gt;=Projects!$C$29,22&lt;Projects!$C$29+Projects!$D$29),Projects!$B$29*INDEX(Curves!$B$4:$AO$4,1,22-Projects!$C$29+1),0)</f>
        <v/>
      </c>
      <c r="Y97">
        <f>IF(AND(Projects!$G$17="Yes",23&gt;=Projects!$C$17,23&lt;Projects!$C$17+Projects!$D$17),Projects!$B$17*INDEX(Curves!$B$4:$AO$4,1,23-Projects!$C$17+1),0)+IF(AND(Projects!$G$18="Yes",23&gt;=Projects!$C$18,23&lt;Projects!$C$18+Projects!$D$18),Projects!$B$18*INDEX(Curves!$B$4:$AO$4,1,23-Projects!$C$18+1),0)+IF(AND(Projects!$G$19="Yes",23&gt;=Projects!$C$19,23&lt;Projects!$C$19+Projects!$D$19),Projects!$B$19*INDEX(Curves!$B$4:$AO$4,1,23-Projects!$C$19+1),0)+IF(AND(Projects!$G$20="Yes",23&gt;=Projects!$C$20,23&lt;Projects!$C$20+Projects!$D$20),Projects!$B$20*INDEX(Curves!$B$4:$AO$4,1,23-Projects!$C$20+1),0)+IF(AND(Projects!$G$21="Yes",23&gt;=Projects!$C$21,23&lt;Projects!$C$21+Projects!$D$21),Projects!$B$21*INDEX(Curves!$B$4:$AO$4,1,23-Projects!$C$21+1),0)+IF(AND(Projects!$G$22="Yes",23&gt;=Projects!$C$22,23&lt;Projects!$C$22+Projects!$D$22),Projects!$B$22*INDEX(Curves!$B$4:$AO$4,1,23-Projects!$C$22+1),0)+IF(AND(Projects!$G$23="Yes",23&gt;=Projects!$C$23,23&lt;Projects!$C$23+Projects!$D$23),Projects!$B$23*INDEX(Curves!$B$4:$AO$4,1,23-Projects!$C$23+1),0)+IF(AND(Projects!$G$24="Yes",23&gt;=Projects!$C$24,23&lt;Projects!$C$24+Projects!$D$24),Projects!$B$24*INDEX(Curves!$B$4:$AO$4,1,23-Projects!$C$24+1),0)+IF(AND(Projects!$G$25="Yes",23&gt;=Projects!$C$25,23&lt;Projects!$C$25+Projects!$D$25),Projects!$B$25*INDEX(Curves!$B$4:$AO$4,1,23-Projects!$C$25+1),0)+IF(AND(Projects!$G$26="Yes",23&gt;=Projects!$C$26,23&lt;Projects!$C$26+Projects!$D$26),Projects!$B$26*INDEX(Curves!$B$4:$AO$4,1,23-Projects!$C$26+1),0)+IF(AND(Projects!$G$27="Yes",23&gt;=Projects!$C$27,23&lt;Projects!$C$27+Projects!$D$27),Projects!$B$27*INDEX(Curves!$B$4:$AO$4,1,23-Projects!$C$27+1),0)+IF(AND(Projects!$G$28="Yes",23&gt;=Projects!$C$28,23&lt;Projects!$C$28+Projects!$D$28),Projects!$B$28*INDEX(Curves!$B$4:$AO$4,1,23-Projects!$C$28+1),0)+IF(AND(Projects!$G$29="Yes",23&gt;=Projects!$C$29,23&lt;Projects!$C$29+Projects!$D$29),Projects!$B$29*INDEX(Curves!$B$4:$AO$4,1,23-Projects!$C$29+1),0)</f>
        <v/>
      </c>
      <c r="Z97">
        <f>IF(AND(Projects!$G$17="Yes",24&gt;=Projects!$C$17,24&lt;Projects!$C$17+Projects!$D$17),Projects!$B$17*INDEX(Curves!$B$4:$AO$4,1,24-Projects!$C$17+1),0)+IF(AND(Projects!$G$18="Yes",24&gt;=Projects!$C$18,24&lt;Projects!$C$18+Projects!$D$18),Projects!$B$18*INDEX(Curves!$B$4:$AO$4,1,24-Projects!$C$18+1),0)+IF(AND(Projects!$G$19="Yes",24&gt;=Projects!$C$19,24&lt;Projects!$C$19+Projects!$D$19),Projects!$B$19*INDEX(Curves!$B$4:$AO$4,1,24-Projects!$C$19+1),0)+IF(AND(Projects!$G$20="Yes",24&gt;=Projects!$C$20,24&lt;Projects!$C$20+Projects!$D$20),Projects!$B$20*INDEX(Curves!$B$4:$AO$4,1,24-Projects!$C$20+1),0)+IF(AND(Projects!$G$21="Yes",24&gt;=Projects!$C$21,24&lt;Projects!$C$21+Projects!$D$21),Projects!$B$21*INDEX(Curves!$B$4:$AO$4,1,24-Projects!$C$21+1),0)+IF(AND(Projects!$G$22="Yes",24&gt;=Projects!$C$22,24&lt;Projects!$C$22+Projects!$D$22),Projects!$B$22*INDEX(Curves!$B$4:$AO$4,1,24-Projects!$C$22+1),0)+IF(AND(Projects!$G$23="Yes",24&gt;=Projects!$C$23,24&lt;Projects!$C$23+Projects!$D$23),Projects!$B$23*INDEX(Curves!$B$4:$AO$4,1,24-Projects!$C$23+1),0)+IF(AND(Projects!$G$24="Yes",24&gt;=Projects!$C$24,24&lt;Projects!$C$24+Projects!$D$24),Projects!$B$24*INDEX(Curves!$B$4:$AO$4,1,24-Projects!$C$24+1),0)+IF(AND(Projects!$G$25="Yes",24&gt;=Projects!$C$25,24&lt;Projects!$C$25+Projects!$D$25),Projects!$B$25*INDEX(Curves!$B$4:$AO$4,1,24-Projects!$C$25+1),0)+IF(AND(Projects!$G$26="Yes",24&gt;=Projects!$C$26,24&lt;Projects!$C$26+Projects!$D$26),Projects!$B$26*INDEX(Curves!$B$4:$AO$4,1,24-Projects!$C$26+1),0)+IF(AND(Projects!$G$27="Yes",24&gt;=Projects!$C$27,24&lt;Projects!$C$27+Projects!$D$27),Projects!$B$27*INDEX(Curves!$B$4:$AO$4,1,24-Projects!$C$27+1),0)+IF(AND(Projects!$G$28="Yes",24&gt;=Projects!$C$28,24&lt;Projects!$C$28+Projects!$D$28),Projects!$B$28*INDEX(Curves!$B$4:$AO$4,1,24-Projects!$C$28+1),0)+IF(AND(Projects!$G$29="Yes",24&gt;=Projects!$C$29,24&lt;Projects!$C$29+Projects!$D$29),Projects!$B$29*INDEX(Curves!$B$4:$AO$4,1,24-Projects!$C$29+1),0)</f>
        <v/>
      </c>
      <c r="AA97">
        <f>IF(AND(Projects!$G$17="Yes",25&gt;=Projects!$C$17,25&lt;Projects!$C$17+Projects!$D$17),Projects!$B$17*INDEX(Curves!$B$4:$AO$4,1,25-Projects!$C$17+1),0)+IF(AND(Projects!$G$18="Yes",25&gt;=Projects!$C$18,25&lt;Projects!$C$18+Projects!$D$18),Projects!$B$18*INDEX(Curves!$B$4:$AO$4,1,25-Projects!$C$18+1),0)+IF(AND(Projects!$G$19="Yes",25&gt;=Projects!$C$19,25&lt;Projects!$C$19+Projects!$D$19),Projects!$B$19*INDEX(Curves!$B$4:$AO$4,1,25-Projects!$C$19+1),0)+IF(AND(Projects!$G$20="Yes",25&gt;=Projects!$C$20,25&lt;Projects!$C$20+Projects!$D$20),Projects!$B$20*INDEX(Curves!$B$4:$AO$4,1,25-Projects!$C$20+1),0)+IF(AND(Projects!$G$21="Yes",25&gt;=Projects!$C$21,25&lt;Projects!$C$21+Projects!$D$21),Projects!$B$21*INDEX(Curves!$B$4:$AO$4,1,25-Projects!$C$21+1),0)+IF(AND(Projects!$G$22="Yes",25&gt;=Projects!$C$22,25&lt;Projects!$C$22+Projects!$D$22),Projects!$B$22*INDEX(Curves!$B$4:$AO$4,1,25-Projects!$C$22+1),0)+IF(AND(Projects!$G$23="Yes",25&gt;=Projects!$C$23,25&lt;Projects!$C$23+Projects!$D$23),Projects!$B$23*INDEX(Curves!$B$4:$AO$4,1,25-Projects!$C$23+1),0)+IF(AND(Projects!$G$24="Yes",25&gt;=Projects!$C$24,25&lt;Projects!$C$24+Projects!$D$24),Projects!$B$24*INDEX(Curves!$B$4:$AO$4,1,25-Projects!$C$24+1),0)+IF(AND(Projects!$G$25="Yes",25&gt;=Projects!$C$25,25&lt;Projects!$C$25+Projects!$D$25),Projects!$B$25*INDEX(Curves!$B$4:$AO$4,1,25-Projects!$C$25+1),0)+IF(AND(Projects!$G$26="Yes",25&gt;=Projects!$C$26,25&lt;Projects!$C$26+Projects!$D$26),Projects!$B$26*INDEX(Curves!$B$4:$AO$4,1,25-Projects!$C$26+1),0)+IF(AND(Projects!$G$27="Yes",25&gt;=Projects!$C$27,25&lt;Projects!$C$27+Projects!$D$27),Projects!$B$27*INDEX(Curves!$B$4:$AO$4,1,25-Projects!$C$27+1),0)+IF(AND(Projects!$G$28="Yes",25&gt;=Projects!$C$28,25&lt;Projects!$C$28+Projects!$D$28),Projects!$B$28*INDEX(Curves!$B$4:$AO$4,1,25-Projects!$C$28+1),0)+IF(AND(Projects!$G$29="Yes",25&gt;=Projects!$C$29,25&lt;Projects!$C$29+Projects!$D$29),Projects!$B$29*INDEX(Curves!$B$4:$AO$4,1,25-Projects!$C$29+1),0)</f>
        <v/>
      </c>
      <c r="AB97">
        <f>IF(AND(Projects!$G$17="Yes",26&gt;=Projects!$C$17,26&lt;Projects!$C$17+Projects!$D$17),Projects!$B$17*INDEX(Curves!$B$4:$AO$4,1,26-Projects!$C$17+1),0)+IF(AND(Projects!$G$18="Yes",26&gt;=Projects!$C$18,26&lt;Projects!$C$18+Projects!$D$18),Projects!$B$18*INDEX(Curves!$B$4:$AO$4,1,26-Projects!$C$18+1),0)+IF(AND(Projects!$G$19="Yes",26&gt;=Projects!$C$19,26&lt;Projects!$C$19+Projects!$D$19),Projects!$B$19*INDEX(Curves!$B$4:$AO$4,1,26-Projects!$C$19+1),0)+IF(AND(Projects!$G$20="Yes",26&gt;=Projects!$C$20,26&lt;Projects!$C$20+Projects!$D$20),Projects!$B$20*INDEX(Curves!$B$4:$AO$4,1,26-Projects!$C$20+1),0)+IF(AND(Projects!$G$21="Yes",26&gt;=Projects!$C$21,26&lt;Projects!$C$21+Projects!$D$21),Projects!$B$21*INDEX(Curves!$B$4:$AO$4,1,26-Projects!$C$21+1),0)+IF(AND(Projects!$G$22="Yes",26&gt;=Projects!$C$22,26&lt;Projects!$C$22+Projects!$D$22),Projects!$B$22*INDEX(Curves!$B$4:$AO$4,1,26-Projects!$C$22+1),0)+IF(AND(Projects!$G$23="Yes",26&gt;=Projects!$C$23,26&lt;Projects!$C$23+Projects!$D$23),Projects!$B$23*INDEX(Curves!$B$4:$AO$4,1,26-Projects!$C$23+1),0)+IF(AND(Projects!$G$24="Yes",26&gt;=Projects!$C$24,26&lt;Projects!$C$24+Projects!$D$24),Projects!$B$24*INDEX(Curves!$B$4:$AO$4,1,26-Projects!$C$24+1),0)+IF(AND(Projects!$G$25="Yes",26&gt;=Projects!$C$25,26&lt;Projects!$C$25+Projects!$D$25),Projects!$B$25*INDEX(Curves!$B$4:$AO$4,1,26-Projects!$C$25+1),0)+IF(AND(Projects!$G$26="Yes",26&gt;=Projects!$C$26,26&lt;Projects!$C$26+Projects!$D$26),Projects!$B$26*INDEX(Curves!$B$4:$AO$4,1,26-Projects!$C$26+1),0)+IF(AND(Projects!$G$27="Yes",26&gt;=Projects!$C$27,26&lt;Projects!$C$27+Projects!$D$27),Projects!$B$27*INDEX(Curves!$B$4:$AO$4,1,26-Projects!$C$27+1),0)+IF(AND(Projects!$G$28="Yes",26&gt;=Projects!$C$28,26&lt;Projects!$C$28+Projects!$D$28),Projects!$B$28*INDEX(Curves!$B$4:$AO$4,1,26-Projects!$C$28+1),0)+IF(AND(Projects!$G$29="Yes",26&gt;=Projects!$C$29,26&lt;Projects!$C$29+Projects!$D$29),Projects!$B$29*INDEX(Curves!$B$4:$AO$4,1,26-Projects!$C$29+1),0)</f>
        <v/>
      </c>
      <c r="AC97">
        <f>IF(AND(Projects!$G$17="Yes",27&gt;=Projects!$C$17,27&lt;Projects!$C$17+Projects!$D$17),Projects!$B$17*INDEX(Curves!$B$4:$AO$4,1,27-Projects!$C$17+1),0)+IF(AND(Projects!$G$18="Yes",27&gt;=Projects!$C$18,27&lt;Projects!$C$18+Projects!$D$18),Projects!$B$18*INDEX(Curves!$B$4:$AO$4,1,27-Projects!$C$18+1),0)+IF(AND(Projects!$G$19="Yes",27&gt;=Projects!$C$19,27&lt;Projects!$C$19+Projects!$D$19),Projects!$B$19*INDEX(Curves!$B$4:$AO$4,1,27-Projects!$C$19+1),0)+IF(AND(Projects!$G$20="Yes",27&gt;=Projects!$C$20,27&lt;Projects!$C$20+Projects!$D$20),Projects!$B$20*INDEX(Curves!$B$4:$AO$4,1,27-Projects!$C$20+1),0)+IF(AND(Projects!$G$21="Yes",27&gt;=Projects!$C$21,27&lt;Projects!$C$21+Projects!$D$21),Projects!$B$21*INDEX(Curves!$B$4:$AO$4,1,27-Projects!$C$21+1),0)+IF(AND(Projects!$G$22="Yes",27&gt;=Projects!$C$22,27&lt;Projects!$C$22+Projects!$D$22),Projects!$B$22*INDEX(Curves!$B$4:$AO$4,1,27-Projects!$C$22+1),0)+IF(AND(Projects!$G$23="Yes",27&gt;=Projects!$C$23,27&lt;Projects!$C$23+Projects!$D$23),Projects!$B$23*INDEX(Curves!$B$4:$AO$4,1,27-Projects!$C$23+1),0)+IF(AND(Projects!$G$24="Yes",27&gt;=Projects!$C$24,27&lt;Projects!$C$24+Projects!$D$24),Projects!$B$24*INDEX(Curves!$B$4:$AO$4,1,27-Projects!$C$24+1),0)+IF(AND(Projects!$G$25="Yes",27&gt;=Projects!$C$25,27&lt;Projects!$C$25+Projects!$D$25),Projects!$B$25*INDEX(Curves!$B$4:$AO$4,1,27-Projects!$C$25+1),0)+IF(AND(Projects!$G$26="Yes",27&gt;=Projects!$C$26,27&lt;Projects!$C$26+Projects!$D$26),Projects!$B$26*INDEX(Curves!$B$4:$AO$4,1,27-Projects!$C$26+1),0)+IF(AND(Projects!$G$27="Yes",27&gt;=Projects!$C$27,27&lt;Projects!$C$27+Projects!$D$27),Projects!$B$27*INDEX(Curves!$B$4:$AO$4,1,27-Projects!$C$27+1),0)+IF(AND(Projects!$G$28="Yes",27&gt;=Projects!$C$28,27&lt;Projects!$C$28+Projects!$D$28),Projects!$B$28*INDEX(Curves!$B$4:$AO$4,1,27-Projects!$C$28+1),0)+IF(AND(Projects!$G$29="Yes",27&gt;=Projects!$C$29,27&lt;Projects!$C$29+Projects!$D$29),Projects!$B$29*INDEX(Curves!$B$4:$AO$4,1,27-Projects!$C$29+1),0)</f>
        <v/>
      </c>
      <c r="AD97">
        <f>IF(AND(Projects!$G$17="Yes",28&gt;=Projects!$C$17,28&lt;Projects!$C$17+Projects!$D$17),Projects!$B$17*INDEX(Curves!$B$4:$AO$4,1,28-Projects!$C$17+1),0)+IF(AND(Projects!$G$18="Yes",28&gt;=Projects!$C$18,28&lt;Projects!$C$18+Projects!$D$18),Projects!$B$18*INDEX(Curves!$B$4:$AO$4,1,28-Projects!$C$18+1),0)+IF(AND(Projects!$G$19="Yes",28&gt;=Projects!$C$19,28&lt;Projects!$C$19+Projects!$D$19),Projects!$B$19*INDEX(Curves!$B$4:$AO$4,1,28-Projects!$C$19+1),0)+IF(AND(Projects!$G$20="Yes",28&gt;=Projects!$C$20,28&lt;Projects!$C$20+Projects!$D$20),Projects!$B$20*INDEX(Curves!$B$4:$AO$4,1,28-Projects!$C$20+1),0)+IF(AND(Projects!$G$21="Yes",28&gt;=Projects!$C$21,28&lt;Projects!$C$21+Projects!$D$21),Projects!$B$21*INDEX(Curves!$B$4:$AO$4,1,28-Projects!$C$21+1),0)+IF(AND(Projects!$G$22="Yes",28&gt;=Projects!$C$22,28&lt;Projects!$C$22+Projects!$D$22),Projects!$B$22*INDEX(Curves!$B$4:$AO$4,1,28-Projects!$C$22+1),0)+IF(AND(Projects!$G$23="Yes",28&gt;=Projects!$C$23,28&lt;Projects!$C$23+Projects!$D$23),Projects!$B$23*INDEX(Curves!$B$4:$AO$4,1,28-Projects!$C$23+1),0)+IF(AND(Projects!$G$24="Yes",28&gt;=Projects!$C$24,28&lt;Projects!$C$24+Projects!$D$24),Projects!$B$24*INDEX(Curves!$B$4:$AO$4,1,28-Projects!$C$24+1),0)+IF(AND(Projects!$G$25="Yes",28&gt;=Projects!$C$25,28&lt;Projects!$C$25+Projects!$D$25),Projects!$B$25*INDEX(Curves!$B$4:$AO$4,1,28-Projects!$C$25+1),0)+IF(AND(Projects!$G$26="Yes",28&gt;=Projects!$C$26,28&lt;Projects!$C$26+Projects!$D$26),Projects!$B$26*INDEX(Curves!$B$4:$AO$4,1,28-Projects!$C$26+1),0)+IF(AND(Projects!$G$27="Yes",28&gt;=Projects!$C$27,28&lt;Projects!$C$27+Projects!$D$27),Projects!$B$27*INDEX(Curves!$B$4:$AO$4,1,28-Projects!$C$27+1),0)+IF(AND(Projects!$G$28="Yes",28&gt;=Projects!$C$28,28&lt;Projects!$C$28+Projects!$D$28),Projects!$B$28*INDEX(Curves!$B$4:$AO$4,1,28-Projects!$C$28+1),0)+IF(AND(Projects!$G$29="Yes",28&gt;=Projects!$C$29,28&lt;Projects!$C$29+Projects!$D$29),Projects!$B$29*INDEX(Curves!$B$4:$AO$4,1,28-Projects!$C$29+1),0)</f>
        <v/>
      </c>
      <c r="AE97">
        <f>IF(AND(Projects!$G$17="Yes",29&gt;=Projects!$C$17,29&lt;Projects!$C$17+Projects!$D$17),Projects!$B$17*INDEX(Curves!$B$4:$AO$4,1,29-Projects!$C$17+1),0)+IF(AND(Projects!$G$18="Yes",29&gt;=Projects!$C$18,29&lt;Projects!$C$18+Projects!$D$18),Projects!$B$18*INDEX(Curves!$B$4:$AO$4,1,29-Projects!$C$18+1),0)+IF(AND(Projects!$G$19="Yes",29&gt;=Projects!$C$19,29&lt;Projects!$C$19+Projects!$D$19),Projects!$B$19*INDEX(Curves!$B$4:$AO$4,1,29-Projects!$C$19+1),0)+IF(AND(Projects!$G$20="Yes",29&gt;=Projects!$C$20,29&lt;Projects!$C$20+Projects!$D$20),Projects!$B$20*INDEX(Curves!$B$4:$AO$4,1,29-Projects!$C$20+1),0)+IF(AND(Projects!$G$21="Yes",29&gt;=Projects!$C$21,29&lt;Projects!$C$21+Projects!$D$21),Projects!$B$21*INDEX(Curves!$B$4:$AO$4,1,29-Projects!$C$21+1),0)+IF(AND(Projects!$G$22="Yes",29&gt;=Projects!$C$22,29&lt;Projects!$C$22+Projects!$D$22),Projects!$B$22*INDEX(Curves!$B$4:$AO$4,1,29-Projects!$C$22+1),0)+IF(AND(Projects!$G$23="Yes",29&gt;=Projects!$C$23,29&lt;Projects!$C$23+Projects!$D$23),Projects!$B$23*INDEX(Curves!$B$4:$AO$4,1,29-Projects!$C$23+1),0)+IF(AND(Projects!$G$24="Yes",29&gt;=Projects!$C$24,29&lt;Projects!$C$24+Projects!$D$24),Projects!$B$24*INDEX(Curves!$B$4:$AO$4,1,29-Projects!$C$24+1),0)+IF(AND(Projects!$G$25="Yes",29&gt;=Projects!$C$25,29&lt;Projects!$C$25+Projects!$D$25),Projects!$B$25*INDEX(Curves!$B$4:$AO$4,1,29-Projects!$C$25+1),0)+IF(AND(Projects!$G$26="Yes",29&gt;=Projects!$C$26,29&lt;Projects!$C$26+Projects!$D$26),Projects!$B$26*INDEX(Curves!$B$4:$AO$4,1,29-Projects!$C$26+1),0)+IF(AND(Projects!$G$27="Yes",29&gt;=Projects!$C$27,29&lt;Projects!$C$27+Projects!$D$27),Projects!$B$27*INDEX(Curves!$B$4:$AO$4,1,29-Projects!$C$27+1),0)+IF(AND(Projects!$G$28="Yes",29&gt;=Projects!$C$28,29&lt;Projects!$C$28+Projects!$D$28),Projects!$B$28*INDEX(Curves!$B$4:$AO$4,1,29-Projects!$C$28+1),0)+IF(AND(Projects!$G$29="Yes",29&gt;=Projects!$C$29,29&lt;Projects!$C$29+Projects!$D$29),Projects!$B$29*INDEX(Curves!$B$4:$AO$4,1,29-Projects!$C$29+1),0)</f>
        <v/>
      </c>
      <c r="AF97">
        <f>IF(AND(Projects!$G$17="Yes",30&gt;=Projects!$C$17,30&lt;Projects!$C$17+Projects!$D$17),Projects!$B$17*INDEX(Curves!$B$4:$AO$4,1,30-Projects!$C$17+1),0)+IF(AND(Projects!$G$18="Yes",30&gt;=Projects!$C$18,30&lt;Projects!$C$18+Projects!$D$18),Projects!$B$18*INDEX(Curves!$B$4:$AO$4,1,30-Projects!$C$18+1),0)+IF(AND(Projects!$G$19="Yes",30&gt;=Projects!$C$19,30&lt;Projects!$C$19+Projects!$D$19),Projects!$B$19*INDEX(Curves!$B$4:$AO$4,1,30-Projects!$C$19+1),0)+IF(AND(Projects!$G$20="Yes",30&gt;=Projects!$C$20,30&lt;Projects!$C$20+Projects!$D$20),Projects!$B$20*INDEX(Curves!$B$4:$AO$4,1,30-Projects!$C$20+1),0)+IF(AND(Projects!$G$21="Yes",30&gt;=Projects!$C$21,30&lt;Projects!$C$21+Projects!$D$21),Projects!$B$21*INDEX(Curves!$B$4:$AO$4,1,30-Projects!$C$21+1),0)+IF(AND(Projects!$G$22="Yes",30&gt;=Projects!$C$22,30&lt;Projects!$C$22+Projects!$D$22),Projects!$B$22*INDEX(Curves!$B$4:$AO$4,1,30-Projects!$C$22+1),0)+IF(AND(Projects!$G$23="Yes",30&gt;=Projects!$C$23,30&lt;Projects!$C$23+Projects!$D$23),Projects!$B$23*INDEX(Curves!$B$4:$AO$4,1,30-Projects!$C$23+1),0)+IF(AND(Projects!$G$24="Yes",30&gt;=Projects!$C$24,30&lt;Projects!$C$24+Projects!$D$24),Projects!$B$24*INDEX(Curves!$B$4:$AO$4,1,30-Projects!$C$24+1),0)+IF(AND(Projects!$G$25="Yes",30&gt;=Projects!$C$25,30&lt;Projects!$C$25+Projects!$D$25),Projects!$B$25*INDEX(Curves!$B$4:$AO$4,1,30-Projects!$C$25+1),0)+IF(AND(Projects!$G$26="Yes",30&gt;=Projects!$C$26,30&lt;Projects!$C$26+Projects!$D$26),Projects!$B$26*INDEX(Curves!$B$4:$AO$4,1,30-Projects!$C$26+1),0)+IF(AND(Projects!$G$27="Yes",30&gt;=Projects!$C$27,30&lt;Projects!$C$27+Projects!$D$27),Projects!$B$27*INDEX(Curves!$B$4:$AO$4,1,30-Projects!$C$27+1),0)+IF(AND(Projects!$G$28="Yes",30&gt;=Projects!$C$28,30&lt;Projects!$C$28+Projects!$D$28),Projects!$B$28*INDEX(Curves!$B$4:$AO$4,1,30-Projects!$C$28+1),0)+IF(AND(Projects!$G$29="Yes",30&gt;=Projects!$C$29,30&lt;Projects!$C$29+Projects!$D$29),Projects!$B$29*INDEX(Curves!$B$4:$AO$4,1,30-Projects!$C$29+1),0)</f>
        <v/>
      </c>
      <c r="AG97">
        <f>IF(AND(Projects!$G$17="Yes",31&gt;=Projects!$C$17,31&lt;Projects!$C$17+Projects!$D$17),Projects!$B$17*INDEX(Curves!$B$4:$AO$4,1,31-Projects!$C$17+1),0)+IF(AND(Projects!$G$18="Yes",31&gt;=Projects!$C$18,31&lt;Projects!$C$18+Projects!$D$18),Projects!$B$18*INDEX(Curves!$B$4:$AO$4,1,31-Projects!$C$18+1),0)+IF(AND(Projects!$G$19="Yes",31&gt;=Projects!$C$19,31&lt;Projects!$C$19+Projects!$D$19),Projects!$B$19*INDEX(Curves!$B$4:$AO$4,1,31-Projects!$C$19+1),0)+IF(AND(Projects!$G$20="Yes",31&gt;=Projects!$C$20,31&lt;Projects!$C$20+Projects!$D$20),Projects!$B$20*INDEX(Curves!$B$4:$AO$4,1,31-Projects!$C$20+1),0)+IF(AND(Projects!$G$21="Yes",31&gt;=Projects!$C$21,31&lt;Projects!$C$21+Projects!$D$21),Projects!$B$21*INDEX(Curves!$B$4:$AO$4,1,31-Projects!$C$21+1),0)+IF(AND(Projects!$G$22="Yes",31&gt;=Projects!$C$22,31&lt;Projects!$C$22+Projects!$D$22),Projects!$B$22*INDEX(Curves!$B$4:$AO$4,1,31-Projects!$C$22+1),0)+IF(AND(Projects!$G$23="Yes",31&gt;=Projects!$C$23,31&lt;Projects!$C$23+Projects!$D$23),Projects!$B$23*INDEX(Curves!$B$4:$AO$4,1,31-Projects!$C$23+1),0)+IF(AND(Projects!$G$24="Yes",31&gt;=Projects!$C$24,31&lt;Projects!$C$24+Projects!$D$24),Projects!$B$24*INDEX(Curves!$B$4:$AO$4,1,31-Projects!$C$24+1),0)+IF(AND(Projects!$G$25="Yes",31&gt;=Projects!$C$25,31&lt;Projects!$C$25+Projects!$D$25),Projects!$B$25*INDEX(Curves!$B$4:$AO$4,1,31-Projects!$C$25+1),0)+IF(AND(Projects!$G$26="Yes",31&gt;=Projects!$C$26,31&lt;Projects!$C$26+Projects!$D$26),Projects!$B$26*INDEX(Curves!$B$4:$AO$4,1,31-Projects!$C$26+1),0)+IF(AND(Projects!$G$27="Yes",31&gt;=Projects!$C$27,31&lt;Projects!$C$27+Projects!$D$27),Projects!$B$27*INDEX(Curves!$B$4:$AO$4,1,31-Projects!$C$27+1),0)+IF(AND(Projects!$G$28="Yes",31&gt;=Projects!$C$28,31&lt;Projects!$C$28+Projects!$D$28),Projects!$B$28*INDEX(Curves!$B$4:$AO$4,1,31-Projects!$C$28+1),0)+IF(AND(Projects!$G$29="Yes",31&gt;=Projects!$C$29,31&lt;Projects!$C$29+Projects!$D$29),Projects!$B$29*INDEX(Curves!$B$4:$AO$4,1,31-Projects!$C$29+1),0)</f>
        <v/>
      </c>
      <c r="AH97">
        <f>IF(AND(Projects!$G$17="Yes",32&gt;=Projects!$C$17,32&lt;Projects!$C$17+Projects!$D$17),Projects!$B$17*INDEX(Curves!$B$4:$AO$4,1,32-Projects!$C$17+1),0)+IF(AND(Projects!$G$18="Yes",32&gt;=Projects!$C$18,32&lt;Projects!$C$18+Projects!$D$18),Projects!$B$18*INDEX(Curves!$B$4:$AO$4,1,32-Projects!$C$18+1),0)+IF(AND(Projects!$G$19="Yes",32&gt;=Projects!$C$19,32&lt;Projects!$C$19+Projects!$D$19),Projects!$B$19*INDEX(Curves!$B$4:$AO$4,1,32-Projects!$C$19+1),0)+IF(AND(Projects!$G$20="Yes",32&gt;=Projects!$C$20,32&lt;Projects!$C$20+Projects!$D$20),Projects!$B$20*INDEX(Curves!$B$4:$AO$4,1,32-Projects!$C$20+1),0)+IF(AND(Projects!$G$21="Yes",32&gt;=Projects!$C$21,32&lt;Projects!$C$21+Projects!$D$21),Projects!$B$21*INDEX(Curves!$B$4:$AO$4,1,32-Projects!$C$21+1),0)+IF(AND(Projects!$G$22="Yes",32&gt;=Projects!$C$22,32&lt;Projects!$C$22+Projects!$D$22),Projects!$B$22*INDEX(Curves!$B$4:$AO$4,1,32-Projects!$C$22+1),0)+IF(AND(Projects!$G$23="Yes",32&gt;=Projects!$C$23,32&lt;Projects!$C$23+Projects!$D$23),Projects!$B$23*INDEX(Curves!$B$4:$AO$4,1,32-Projects!$C$23+1),0)+IF(AND(Projects!$G$24="Yes",32&gt;=Projects!$C$24,32&lt;Projects!$C$24+Projects!$D$24),Projects!$B$24*INDEX(Curves!$B$4:$AO$4,1,32-Projects!$C$24+1),0)+IF(AND(Projects!$G$25="Yes",32&gt;=Projects!$C$25,32&lt;Projects!$C$25+Projects!$D$25),Projects!$B$25*INDEX(Curves!$B$4:$AO$4,1,32-Projects!$C$25+1),0)+IF(AND(Projects!$G$26="Yes",32&gt;=Projects!$C$26,32&lt;Projects!$C$26+Projects!$D$26),Projects!$B$26*INDEX(Curves!$B$4:$AO$4,1,32-Projects!$C$26+1),0)+IF(AND(Projects!$G$27="Yes",32&gt;=Projects!$C$27,32&lt;Projects!$C$27+Projects!$D$27),Projects!$B$27*INDEX(Curves!$B$4:$AO$4,1,32-Projects!$C$27+1),0)+IF(AND(Projects!$G$28="Yes",32&gt;=Projects!$C$28,32&lt;Projects!$C$28+Projects!$D$28),Projects!$B$28*INDEX(Curves!$B$4:$AO$4,1,32-Projects!$C$28+1),0)+IF(AND(Projects!$G$29="Yes",32&gt;=Projects!$C$29,32&lt;Projects!$C$29+Projects!$D$29),Projects!$B$29*INDEX(Curves!$B$4:$AO$4,1,32-Projects!$C$29+1),0)</f>
        <v/>
      </c>
      <c r="AI97">
        <f>IF(AND(Projects!$G$17="Yes",33&gt;=Projects!$C$17,33&lt;Projects!$C$17+Projects!$D$17),Projects!$B$17*INDEX(Curves!$B$4:$AO$4,1,33-Projects!$C$17+1),0)+IF(AND(Projects!$G$18="Yes",33&gt;=Projects!$C$18,33&lt;Projects!$C$18+Projects!$D$18),Projects!$B$18*INDEX(Curves!$B$4:$AO$4,1,33-Projects!$C$18+1),0)+IF(AND(Projects!$G$19="Yes",33&gt;=Projects!$C$19,33&lt;Projects!$C$19+Projects!$D$19),Projects!$B$19*INDEX(Curves!$B$4:$AO$4,1,33-Projects!$C$19+1),0)+IF(AND(Projects!$G$20="Yes",33&gt;=Projects!$C$20,33&lt;Projects!$C$20+Projects!$D$20),Projects!$B$20*INDEX(Curves!$B$4:$AO$4,1,33-Projects!$C$20+1),0)+IF(AND(Projects!$G$21="Yes",33&gt;=Projects!$C$21,33&lt;Projects!$C$21+Projects!$D$21),Projects!$B$21*INDEX(Curves!$B$4:$AO$4,1,33-Projects!$C$21+1),0)+IF(AND(Projects!$G$22="Yes",33&gt;=Projects!$C$22,33&lt;Projects!$C$22+Projects!$D$22),Projects!$B$22*INDEX(Curves!$B$4:$AO$4,1,33-Projects!$C$22+1),0)+IF(AND(Projects!$G$23="Yes",33&gt;=Projects!$C$23,33&lt;Projects!$C$23+Projects!$D$23),Projects!$B$23*INDEX(Curves!$B$4:$AO$4,1,33-Projects!$C$23+1),0)+IF(AND(Projects!$G$24="Yes",33&gt;=Projects!$C$24,33&lt;Projects!$C$24+Projects!$D$24),Projects!$B$24*INDEX(Curves!$B$4:$AO$4,1,33-Projects!$C$24+1),0)+IF(AND(Projects!$G$25="Yes",33&gt;=Projects!$C$25,33&lt;Projects!$C$25+Projects!$D$25),Projects!$B$25*INDEX(Curves!$B$4:$AO$4,1,33-Projects!$C$25+1),0)+IF(AND(Projects!$G$26="Yes",33&gt;=Projects!$C$26,33&lt;Projects!$C$26+Projects!$D$26),Projects!$B$26*INDEX(Curves!$B$4:$AO$4,1,33-Projects!$C$26+1),0)+IF(AND(Projects!$G$27="Yes",33&gt;=Projects!$C$27,33&lt;Projects!$C$27+Projects!$D$27),Projects!$B$27*INDEX(Curves!$B$4:$AO$4,1,33-Projects!$C$27+1),0)+IF(AND(Projects!$G$28="Yes",33&gt;=Projects!$C$28,33&lt;Projects!$C$28+Projects!$D$28),Projects!$B$28*INDEX(Curves!$B$4:$AO$4,1,33-Projects!$C$28+1),0)+IF(AND(Projects!$G$29="Yes",33&gt;=Projects!$C$29,33&lt;Projects!$C$29+Projects!$D$29),Projects!$B$29*INDEX(Curves!$B$4:$AO$4,1,33-Projects!$C$29+1),0)</f>
        <v/>
      </c>
      <c r="AJ97">
        <f>IF(AND(Projects!$G$17="Yes",34&gt;=Projects!$C$17,34&lt;Projects!$C$17+Projects!$D$17),Projects!$B$17*INDEX(Curves!$B$4:$AO$4,1,34-Projects!$C$17+1),0)+IF(AND(Projects!$G$18="Yes",34&gt;=Projects!$C$18,34&lt;Projects!$C$18+Projects!$D$18),Projects!$B$18*INDEX(Curves!$B$4:$AO$4,1,34-Projects!$C$18+1),0)+IF(AND(Projects!$G$19="Yes",34&gt;=Projects!$C$19,34&lt;Projects!$C$19+Projects!$D$19),Projects!$B$19*INDEX(Curves!$B$4:$AO$4,1,34-Projects!$C$19+1),0)+IF(AND(Projects!$G$20="Yes",34&gt;=Projects!$C$20,34&lt;Projects!$C$20+Projects!$D$20),Projects!$B$20*INDEX(Curves!$B$4:$AO$4,1,34-Projects!$C$20+1),0)+IF(AND(Projects!$G$21="Yes",34&gt;=Projects!$C$21,34&lt;Projects!$C$21+Projects!$D$21),Projects!$B$21*INDEX(Curves!$B$4:$AO$4,1,34-Projects!$C$21+1),0)+IF(AND(Projects!$G$22="Yes",34&gt;=Projects!$C$22,34&lt;Projects!$C$22+Projects!$D$22),Projects!$B$22*INDEX(Curves!$B$4:$AO$4,1,34-Projects!$C$22+1),0)+IF(AND(Projects!$G$23="Yes",34&gt;=Projects!$C$23,34&lt;Projects!$C$23+Projects!$D$23),Projects!$B$23*INDEX(Curves!$B$4:$AO$4,1,34-Projects!$C$23+1),0)+IF(AND(Projects!$G$24="Yes",34&gt;=Projects!$C$24,34&lt;Projects!$C$24+Projects!$D$24),Projects!$B$24*INDEX(Curves!$B$4:$AO$4,1,34-Projects!$C$24+1),0)+IF(AND(Projects!$G$25="Yes",34&gt;=Projects!$C$25,34&lt;Projects!$C$25+Projects!$D$25),Projects!$B$25*INDEX(Curves!$B$4:$AO$4,1,34-Projects!$C$25+1),0)+IF(AND(Projects!$G$26="Yes",34&gt;=Projects!$C$26,34&lt;Projects!$C$26+Projects!$D$26),Projects!$B$26*INDEX(Curves!$B$4:$AO$4,1,34-Projects!$C$26+1),0)+IF(AND(Projects!$G$27="Yes",34&gt;=Projects!$C$27,34&lt;Projects!$C$27+Projects!$D$27),Projects!$B$27*INDEX(Curves!$B$4:$AO$4,1,34-Projects!$C$27+1),0)+IF(AND(Projects!$G$28="Yes",34&gt;=Projects!$C$28,34&lt;Projects!$C$28+Projects!$D$28),Projects!$B$28*INDEX(Curves!$B$4:$AO$4,1,34-Projects!$C$28+1),0)+IF(AND(Projects!$G$29="Yes",34&gt;=Projects!$C$29,34&lt;Projects!$C$29+Projects!$D$29),Projects!$B$29*INDEX(Curves!$B$4:$AO$4,1,34-Projects!$C$29+1),0)</f>
        <v/>
      </c>
      <c r="AK97">
        <f>IF(AND(Projects!$G$17="Yes",35&gt;=Projects!$C$17,35&lt;Projects!$C$17+Projects!$D$17),Projects!$B$17*INDEX(Curves!$B$4:$AO$4,1,35-Projects!$C$17+1),0)+IF(AND(Projects!$G$18="Yes",35&gt;=Projects!$C$18,35&lt;Projects!$C$18+Projects!$D$18),Projects!$B$18*INDEX(Curves!$B$4:$AO$4,1,35-Projects!$C$18+1),0)+IF(AND(Projects!$G$19="Yes",35&gt;=Projects!$C$19,35&lt;Projects!$C$19+Projects!$D$19),Projects!$B$19*INDEX(Curves!$B$4:$AO$4,1,35-Projects!$C$19+1),0)+IF(AND(Projects!$G$20="Yes",35&gt;=Projects!$C$20,35&lt;Projects!$C$20+Projects!$D$20),Projects!$B$20*INDEX(Curves!$B$4:$AO$4,1,35-Projects!$C$20+1),0)+IF(AND(Projects!$G$21="Yes",35&gt;=Projects!$C$21,35&lt;Projects!$C$21+Projects!$D$21),Projects!$B$21*INDEX(Curves!$B$4:$AO$4,1,35-Projects!$C$21+1),0)+IF(AND(Projects!$G$22="Yes",35&gt;=Projects!$C$22,35&lt;Projects!$C$22+Projects!$D$22),Projects!$B$22*INDEX(Curves!$B$4:$AO$4,1,35-Projects!$C$22+1),0)+IF(AND(Projects!$G$23="Yes",35&gt;=Projects!$C$23,35&lt;Projects!$C$23+Projects!$D$23),Projects!$B$23*INDEX(Curves!$B$4:$AO$4,1,35-Projects!$C$23+1),0)+IF(AND(Projects!$G$24="Yes",35&gt;=Projects!$C$24,35&lt;Projects!$C$24+Projects!$D$24),Projects!$B$24*INDEX(Curves!$B$4:$AO$4,1,35-Projects!$C$24+1),0)+IF(AND(Projects!$G$25="Yes",35&gt;=Projects!$C$25,35&lt;Projects!$C$25+Projects!$D$25),Projects!$B$25*INDEX(Curves!$B$4:$AO$4,1,35-Projects!$C$25+1),0)+IF(AND(Projects!$G$26="Yes",35&gt;=Projects!$C$26,35&lt;Projects!$C$26+Projects!$D$26),Projects!$B$26*INDEX(Curves!$B$4:$AO$4,1,35-Projects!$C$26+1),0)+IF(AND(Projects!$G$27="Yes",35&gt;=Projects!$C$27,35&lt;Projects!$C$27+Projects!$D$27),Projects!$B$27*INDEX(Curves!$B$4:$AO$4,1,35-Projects!$C$27+1),0)+IF(AND(Projects!$G$28="Yes",35&gt;=Projects!$C$28,35&lt;Projects!$C$28+Projects!$D$28),Projects!$B$28*INDEX(Curves!$B$4:$AO$4,1,35-Projects!$C$28+1),0)+IF(AND(Projects!$G$29="Yes",35&gt;=Projects!$C$29,35&lt;Projects!$C$29+Projects!$D$29),Projects!$B$29*INDEX(Curves!$B$4:$AO$4,1,35-Projects!$C$29+1),0)</f>
        <v/>
      </c>
      <c r="AL97">
        <f>IF(AND(Projects!$G$17="Yes",36&gt;=Projects!$C$17,36&lt;Projects!$C$17+Projects!$D$17),Projects!$B$17*INDEX(Curves!$B$4:$AO$4,1,36-Projects!$C$17+1),0)+IF(AND(Projects!$G$18="Yes",36&gt;=Projects!$C$18,36&lt;Projects!$C$18+Projects!$D$18),Projects!$B$18*INDEX(Curves!$B$4:$AO$4,1,36-Projects!$C$18+1),0)+IF(AND(Projects!$G$19="Yes",36&gt;=Projects!$C$19,36&lt;Projects!$C$19+Projects!$D$19),Projects!$B$19*INDEX(Curves!$B$4:$AO$4,1,36-Projects!$C$19+1),0)+IF(AND(Projects!$G$20="Yes",36&gt;=Projects!$C$20,36&lt;Projects!$C$20+Projects!$D$20),Projects!$B$20*INDEX(Curves!$B$4:$AO$4,1,36-Projects!$C$20+1),0)+IF(AND(Projects!$G$21="Yes",36&gt;=Projects!$C$21,36&lt;Projects!$C$21+Projects!$D$21),Projects!$B$21*INDEX(Curves!$B$4:$AO$4,1,36-Projects!$C$21+1),0)+IF(AND(Projects!$G$22="Yes",36&gt;=Projects!$C$22,36&lt;Projects!$C$22+Projects!$D$22),Projects!$B$22*INDEX(Curves!$B$4:$AO$4,1,36-Projects!$C$22+1),0)+IF(AND(Projects!$G$23="Yes",36&gt;=Projects!$C$23,36&lt;Projects!$C$23+Projects!$D$23),Projects!$B$23*INDEX(Curves!$B$4:$AO$4,1,36-Projects!$C$23+1),0)+IF(AND(Projects!$G$24="Yes",36&gt;=Projects!$C$24,36&lt;Projects!$C$24+Projects!$D$24),Projects!$B$24*INDEX(Curves!$B$4:$AO$4,1,36-Projects!$C$24+1),0)+IF(AND(Projects!$G$25="Yes",36&gt;=Projects!$C$25,36&lt;Projects!$C$25+Projects!$D$25),Projects!$B$25*INDEX(Curves!$B$4:$AO$4,1,36-Projects!$C$25+1),0)+IF(AND(Projects!$G$26="Yes",36&gt;=Projects!$C$26,36&lt;Projects!$C$26+Projects!$D$26),Projects!$B$26*INDEX(Curves!$B$4:$AO$4,1,36-Projects!$C$26+1),0)+IF(AND(Projects!$G$27="Yes",36&gt;=Projects!$C$27,36&lt;Projects!$C$27+Projects!$D$27),Projects!$B$27*INDEX(Curves!$B$4:$AO$4,1,36-Projects!$C$27+1),0)+IF(AND(Projects!$G$28="Yes",36&gt;=Projects!$C$28,36&lt;Projects!$C$28+Projects!$D$28),Projects!$B$28*INDEX(Curves!$B$4:$AO$4,1,36-Projects!$C$28+1),0)+IF(AND(Projects!$G$29="Yes",36&gt;=Projects!$C$29,36&lt;Projects!$C$29+Projects!$D$29),Projects!$B$29*INDEX(Curves!$B$4:$AO$4,1,36-Projects!$C$29+1),0)</f>
        <v/>
      </c>
      <c r="AM97">
        <f>IF(AND(Projects!$G$17="Yes",37&gt;=Projects!$C$17,37&lt;Projects!$C$17+Projects!$D$17),Projects!$B$17*INDEX(Curves!$B$4:$AO$4,1,37-Projects!$C$17+1),0)+IF(AND(Projects!$G$18="Yes",37&gt;=Projects!$C$18,37&lt;Projects!$C$18+Projects!$D$18),Projects!$B$18*INDEX(Curves!$B$4:$AO$4,1,37-Projects!$C$18+1),0)+IF(AND(Projects!$G$19="Yes",37&gt;=Projects!$C$19,37&lt;Projects!$C$19+Projects!$D$19),Projects!$B$19*INDEX(Curves!$B$4:$AO$4,1,37-Projects!$C$19+1),0)+IF(AND(Projects!$G$20="Yes",37&gt;=Projects!$C$20,37&lt;Projects!$C$20+Projects!$D$20),Projects!$B$20*INDEX(Curves!$B$4:$AO$4,1,37-Projects!$C$20+1),0)+IF(AND(Projects!$G$21="Yes",37&gt;=Projects!$C$21,37&lt;Projects!$C$21+Projects!$D$21),Projects!$B$21*INDEX(Curves!$B$4:$AO$4,1,37-Projects!$C$21+1),0)+IF(AND(Projects!$G$22="Yes",37&gt;=Projects!$C$22,37&lt;Projects!$C$22+Projects!$D$22),Projects!$B$22*INDEX(Curves!$B$4:$AO$4,1,37-Projects!$C$22+1),0)+IF(AND(Projects!$G$23="Yes",37&gt;=Projects!$C$23,37&lt;Projects!$C$23+Projects!$D$23),Projects!$B$23*INDEX(Curves!$B$4:$AO$4,1,37-Projects!$C$23+1),0)+IF(AND(Projects!$G$24="Yes",37&gt;=Projects!$C$24,37&lt;Projects!$C$24+Projects!$D$24),Projects!$B$24*INDEX(Curves!$B$4:$AO$4,1,37-Projects!$C$24+1),0)+IF(AND(Projects!$G$25="Yes",37&gt;=Projects!$C$25,37&lt;Projects!$C$25+Projects!$D$25),Projects!$B$25*INDEX(Curves!$B$4:$AO$4,1,37-Projects!$C$25+1),0)+IF(AND(Projects!$G$26="Yes",37&gt;=Projects!$C$26,37&lt;Projects!$C$26+Projects!$D$26),Projects!$B$26*INDEX(Curves!$B$4:$AO$4,1,37-Projects!$C$26+1),0)+IF(AND(Projects!$G$27="Yes",37&gt;=Projects!$C$27,37&lt;Projects!$C$27+Projects!$D$27),Projects!$B$27*INDEX(Curves!$B$4:$AO$4,1,37-Projects!$C$27+1),0)+IF(AND(Projects!$G$28="Yes",37&gt;=Projects!$C$28,37&lt;Projects!$C$28+Projects!$D$28),Projects!$B$28*INDEX(Curves!$B$4:$AO$4,1,37-Projects!$C$28+1),0)+IF(AND(Projects!$G$29="Yes",37&gt;=Projects!$C$29,37&lt;Projects!$C$29+Projects!$D$29),Projects!$B$29*INDEX(Curves!$B$4:$AO$4,1,37-Projects!$C$29+1),0)</f>
        <v/>
      </c>
      <c r="AN97">
        <f>IF(AND(Projects!$G$17="Yes",38&gt;=Projects!$C$17,38&lt;Projects!$C$17+Projects!$D$17),Projects!$B$17*INDEX(Curves!$B$4:$AO$4,1,38-Projects!$C$17+1),0)+IF(AND(Projects!$G$18="Yes",38&gt;=Projects!$C$18,38&lt;Projects!$C$18+Projects!$D$18),Projects!$B$18*INDEX(Curves!$B$4:$AO$4,1,38-Projects!$C$18+1),0)+IF(AND(Projects!$G$19="Yes",38&gt;=Projects!$C$19,38&lt;Projects!$C$19+Projects!$D$19),Projects!$B$19*INDEX(Curves!$B$4:$AO$4,1,38-Projects!$C$19+1),0)+IF(AND(Projects!$G$20="Yes",38&gt;=Projects!$C$20,38&lt;Projects!$C$20+Projects!$D$20),Projects!$B$20*INDEX(Curves!$B$4:$AO$4,1,38-Projects!$C$20+1),0)+IF(AND(Projects!$G$21="Yes",38&gt;=Projects!$C$21,38&lt;Projects!$C$21+Projects!$D$21),Projects!$B$21*INDEX(Curves!$B$4:$AO$4,1,38-Projects!$C$21+1),0)+IF(AND(Projects!$G$22="Yes",38&gt;=Projects!$C$22,38&lt;Projects!$C$22+Projects!$D$22),Projects!$B$22*INDEX(Curves!$B$4:$AO$4,1,38-Projects!$C$22+1),0)+IF(AND(Projects!$G$23="Yes",38&gt;=Projects!$C$23,38&lt;Projects!$C$23+Projects!$D$23),Projects!$B$23*INDEX(Curves!$B$4:$AO$4,1,38-Projects!$C$23+1),0)+IF(AND(Projects!$G$24="Yes",38&gt;=Projects!$C$24,38&lt;Projects!$C$24+Projects!$D$24),Projects!$B$24*INDEX(Curves!$B$4:$AO$4,1,38-Projects!$C$24+1),0)+IF(AND(Projects!$G$25="Yes",38&gt;=Projects!$C$25,38&lt;Projects!$C$25+Projects!$D$25),Projects!$B$25*INDEX(Curves!$B$4:$AO$4,1,38-Projects!$C$25+1),0)+IF(AND(Projects!$G$26="Yes",38&gt;=Projects!$C$26,38&lt;Projects!$C$26+Projects!$D$26),Projects!$B$26*INDEX(Curves!$B$4:$AO$4,1,38-Projects!$C$26+1),0)+IF(AND(Projects!$G$27="Yes",38&gt;=Projects!$C$27,38&lt;Projects!$C$27+Projects!$D$27),Projects!$B$27*INDEX(Curves!$B$4:$AO$4,1,38-Projects!$C$27+1),0)+IF(AND(Projects!$G$28="Yes",38&gt;=Projects!$C$28,38&lt;Projects!$C$28+Projects!$D$28),Projects!$B$28*INDEX(Curves!$B$4:$AO$4,1,38-Projects!$C$28+1),0)+IF(AND(Projects!$G$29="Yes",38&gt;=Projects!$C$29,38&lt;Projects!$C$29+Projects!$D$29),Projects!$B$29*INDEX(Curves!$B$4:$AO$4,1,38-Projects!$C$29+1),0)</f>
        <v/>
      </c>
      <c r="AO97">
        <f>IF(AND(Projects!$G$17="Yes",39&gt;=Projects!$C$17,39&lt;Projects!$C$17+Projects!$D$17),Projects!$B$17*INDEX(Curves!$B$4:$AO$4,1,39-Projects!$C$17+1),0)+IF(AND(Projects!$G$18="Yes",39&gt;=Projects!$C$18,39&lt;Projects!$C$18+Projects!$D$18),Projects!$B$18*INDEX(Curves!$B$4:$AO$4,1,39-Projects!$C$18+1),0)+IF(AND(Projects!$G$19="Yes",39&gt;=Projects!$C$19,39&lt;Projects!$C$19+Projects!$D$19),Projects!$B$19*INDEX(Curves!$B$4:$AO$4,1,39-Projects!$C$19+1),0)+IF(AND(Projects!$G$20="Yes",39&gt;=Projects!$C$20,39&lt;Projects!$C$20+Projects!$D$20),Projects!$B$20*INDEX(Curves!$B$4:$AO$4,1,39-Projects!$C$20+1),0)+IF(AND(Projects!$G$21="Yes",39&gt;=Projects!$C$21,39&lt;Projects!$C$21+Projects!$D$21),Projects!$B$21*INDEX(Curves!$B$4:$AO$4,1,39-Projects!$C$21+1),0)+IF(AND(Projects!$G$22="Yes",39&gt;=Projects!$C$22,39&lt;Projects!$C$22+Projects!$D$22),Projects!$B$22*INDEX(Curves!$B$4:$AO$4,1,39-Projects!$C$22+1),0)+IF(AND(Projects!$G$23="Yes",39&gt;=Projects!$C$23,39&lt;Projects!$C$23+Projects!$D$23),Projects!$B$23*INDEX(Curves!$B$4:$AO$4,1,39-Projects!$C$23+1),0)+IF(AND(Projects!$G$24="Yes",39&gt;=Projects!$C$24,39&lt;Projects!$C$24+Projects!$D$24),Projects!$B$24*INDEX(Curves!$B$4:$AO$4,1,39-Projects!$C$24+1),0)+IF(AND(Projects!$G$25="Yes",39&gt;=Projects!$C$25,39&lt;Projects!$C$25+Projects!$D$25),Projects!$B$25*INDEX(Curves!$B$4:$AO$4,1,39-Projects!$C$25+1),0)+IF(AND(Projects!$G$26="Yes",39&gt;=Projects!$C$26,39&lt;Projects!$C$26+Projects!$D$26),Projects!$B$26*INDEX(Curves!$B$4:$AO$4,1,39-Projects!$C$26+1),0)+IF(AND(Projects!$G$27="Yes",39&gt;=Projects!$C$27,39&lt;Projects!$C$27+Projects!$D$27),Projects!$B$27*INDEX(Curves!$B$4:$AO$4,1,39-Projects!$C$27+1),0)+IF(AND(Projects!$G$28="Yes",39&gt;=Projects!$C$28,39&lt;Projects!$C$28+Projects!$D$28),Projects!$B$28*INDEX(Curves!$B$4:$AO$4,1,39-Projects!$C$28+1),0)+IF(AND(Projects!$G$29="Yes",39&gt;=Projects!$C$29,39&lt;Projects!$C$29+Projects!$D$29),Projects!$B$29*INDEX(Curves!$B$4:$AO$4,1,39-Projects!$C$29+1),0)</f>
        <v/>
      </c>
      <c r="AP97">
        <f>IF(AND(Projects!$G$17="Yes",40&gt;=Projects!$C$17,40&lt;Projects!$C$17+Projects!$D$17),Projects!$B$17*INDEX(Curves!$B$4:$AO$4,1,40-Projects!$C$17+1),0)+IF(AND(Projects!$G$18="Yes",40&gt;=Projects!$C$18,40&lt;Projects!$C$18+Projects!$D$18),Projects!$B$18*INDEX(Curves!$B$4:$AO$4,1,40-Projects!$C$18+1),0)+IF(AND(Projects!$G$19="Yes",40&gt;=Projects!$C$19,40&lt;Projects!$C$19+Projects!$D$19),Projects!$B$19*INDEX(Curves!$B$4:$AO$4,1,40-Projects!$C$19+1),0)+IF(AND(Projects!$G$20="Yes",40&gt;=Projects!$C$20,40&lt;Projects!$C$20+Projects!$D$20),Projects!$B$20*INDEX(Curves!$B$4:$AO$4,1,40-Projects!$C$20+1),0)+IF(AND(Projects!$G$21="Yes",40&gt;=Projects!$C$21,40&lt;Projects!$C$21+Projects!$D$21),Projects!$B$21*INDEX(Curves!$B$4:$AO$4,1,40-Projects!$C$21+1),0)+IF(AND(Projects!$G$22="Yes",40&gt;=Projects!$C$22,40&lt;Projects!$C$22+Projects!$D$22),Projects!$B$22*INDEX(Curves!$B$4:$AO$4,1,40-Projects!$C$22+1),0)+IF(AND(Projects!$G$23="Yes",40&gt;=Projects!$C$23,40&lt;Projects!$C$23+Projects!$D$23),Projects!$B$23*INDEX(Curves!$B$4:$AO$4,1,40-Projects!$C$23+1),0)+IF(AND(Projects!$G$24="Yes",40&gt;=Projects!$C$24,40&lt;Projects!$C$24+Projects!$D$24),Projects!$B$24*INDEX(Curves!$B$4:$AO$4,1,40-Projects!$C$24+1),0)+IF(AND(Projects!$G$25="Yes",40&gt;=Projects!$C$25,40&lt;Projects!$C$25+Projects!$D$25),Projects!$B$25*INDEX(Curves!$B$4:$AO$4,1,40-Projects!$C$25+1),0)+IF(AND(Projects!$G$26="Yes",40&gt;=Projects!$C$26,40&lt;Projects!$C$26+Projects!$D$26),Projects!$B$26*INDEX(Curves!$B$4:$AO$4,1,40-Projects!$C$26+1),0)+IF(AND(Projects!$G$27="Yes",40&gt;=Projects!$C$27,40&lt;Projects!$C$27+Projects!$D$27),Projects!$B$27*INDEX(Curves!$B$4:$AO$4,1,40-Projects!$C$27+1),0)+IF(AND(Projects!$G$28="Yes",40&gt;=Projects!$C$28,40&lt;Projects!$C$28+Projects!$D$28),Projects!$B$28*INDEX(Curves!$B$4:$AO$4,1,40-Projects!$C$28+1),0)+IF(AND(Projects!$G$29="Yes",40&gt;=Projects!$C$29,40&lt;Projects!$C$29+Projects!$D$29),Projects!$B$29*INDEX(Curves!$B$4:$AO$4,1,40-Projects!$C$29+1),0)</f>
        <v/>
      </c>
      <c r="AQ97">
        <f>IF(AND(Projects!$G$17="Yes",41&gt;=Projects!$C$17,41&lt;Projects!$C$17+Projects!$D$17),Projects!$B$17*INDEX(Curves!$B$4:$AO$4,1,41-Projects!$C$17+1),0)+IF(AND(Projects!$G$18="Yes",41&gt;=Projects!$C$18,41&lt;Projects!$C$18+Projects!$D$18),Projects!$B$18*INDEX(Curves!$B$4:$AO$4,1,41-Projects!$C$18+1),0)+IF(AND(Projects!$G$19="Yes",41&gt;=Projects!$C$19,41&lt;Projects!$C$19+Projects!$D$19),Projects!$B$19*INDEX(Curves!$B$4:$AO$4,1,41-Projects!$C$19+1),0)+IF(AND(Projects!$G$20="Yes",41&gt;=Projects!$C$20,41&lt;Projects!$C$20+Projects!$D$20),Projects!$B$20*INDEX(Curves!$B$4:$AO$4,1,41-Projects!$C$20+1),0)+IF(AND(Projects!$G$21="Yes",41&gt;=Projects!$C$21,41&lt;Projects!$C$21+Projects!$D$21),Projects!$B$21*INDEX(Curves!$B$4:$AO$4,1,41-Projects!$C$21+1),0)+IF(AND(Projects!$G$22="Yes",41&gt;=Projects!$C$22,41&lt;Projects!$C$22+Projects!$D$22),Projects!$B$22*INDEX(Curves!$B$4:$AO$4,1,41-Projects!$C$22+1),0)+IF(AND(Projects!$G$23="Yes",41&gt;=Projects!$C$23,41&lt;Projects!$C$23+Projects!$D$23),Projects!$B$23*INDEX(Curves!$B$4:$AO$4,1,41-Projects!$C$23+1),0)+IF(AND(Projects!$G$24="Yes",41&gt;=Projects!$C$24,41&lt;Projects!$C$24+Projects!$D$24),Projects!$B$24*INDEX(Curves!$B$4:$AO$4,1,41-Projects!$C$24+1),0)+IF(AND(Projects!$G$25="Yes",41&gt;=Projects!$C$25,41&lt;Projects!$C$25+Projects!$D$25),Projects!$B$25*INDEX(Curves!$B$4:$AO$4,1,41-Projects!$C$25+1),0)+IF(AND(Projects!$G$26="Yes",41&gt;=Projects!$C$26,41&lt;Projects!$C$26+Projects!$D$26),Projects!$B$26*INDEX(Curves!$B$4:$AO$4,1,41-Projects!$C$26+1),0)+IF(AND(Projects!$G$27="Yes",41&gt;=Projects!$C$27,41&lt;Projects!$C$27+Projects!$D$27),Projects!$B$27*INDEX(Curves!$B$4:$AO$4,1,41-Projects!$C$27+1),0)+IF(AND(Projects!$G$28="Yes",41&gt;=Projects!$C$28,41&lt;Projects!$C$28+Projects!$D$28),Projects!$B$28*INDEX(Curves!$B$4:$AO$4,1,41-Projects!$C$28+1),0)+IF(AND(Projects!$G$29="Yes",41&gt;=Projects!$C$29,41&lt;Projects!$C$29+Projects!$D$29),Projects!$B$29*INDEX(Curves!$B$4:$AO$4,1,41-Projects!$C$29+1),0)</f>
        <v/>
      </c>
      <c r="AR97">
        <f>IF(AND(Projects!$G$17="Yes",42&gt;=Projects!$C$17,42&lt;Projects!$C$17+Projects!$D$17),Projects!$B$17*INDEX(Curves!$B$4:$AO$4,1,42-Projects!$C$17+1),0)+IF(AND(Projects!$G$18="Yes",42&gt;=Projects!$C$18,42&lt;Projects!$C$18+Projects!$D$18),Projects!$B$18*INDEX(Curves!$B$4:$AO$4,1,42-Projects!$C$18+1),0)+IF(AND(Projects!$G$19="Yes",42&gt;=Projects!$C$19,42&lt;Projects!$C$19+Projects!$D$19),Projects!$B$19*INDEX(Curves!$B$4:$AO$4,1,42-Projects!$C$19+1),0)+IF(AND(Projects!$G$20="Yes",42&gt;=Projects!$C$20,42&lt;Projects!$C$20+Projects!$D$20),Projects!$B$20*INDEX(Curves!$B$4:$AO$4,1,42-Projects!$C$20+1),0)+IF(AND(Projects!$G$21="Yes",42&gt;=Projects!$C$21,42&lt;Projects!$C$21+Projects!$D$21),Projects!$B$21*INDEX(Curves!$B$4:$AO$4,1,42-Projects!$C$21+1),0)+IF(AND(Projects!$G$22="Yes",42&gt;=Projects!$C$22,42&lt;Projects!$C$22+Projects!$D$22),Projects!$B$22*INDEX(Curves!$B$4:$AO$4,1,42-Projects!$C$22+1),0)+IF(AND(Projects!$G$23="Yes",42&gt;=Projects!$C$23,42&lt;Projects!$C$23+Projects!$D$23),Projects!$B$23*INDEX(Curves!$B$4:$AO$4,1,42-Projects!$C$23+1),0)+IF(AND(Projects!$G$24="Yes",42&gt;=Projects!$C$24,42&lt;Projects!$C$24+Projects!$D$24),Projects!$B$24*INDEX(Curves!$B$4:$AO$4,1,42-Projects!$C$24+1),0)+IF(AND(Projects!$G$25="Yes",42&gt;=Projects!$C$25,42&lt;Projects!$C$25+Projects!$D$25),Projects!$B$25*INDEX(Curves!$B$4:$AO$4,1,42-Projects!$C$25+1),0)+IF(AND(Projects!$G$26="Yes",42&gt;=Projects!$C$26,42&lt;Projects!$C$26+Projects!$D$26),Projects!$B$26*INDEX(Curves!$B$4:$AO$4,1,42-Projects!$C$26+1),0)+IF(AND(Projects!$G$27="Yes",42&gt;=Projects!$C$27,42&lt;Projects!$C$27+Projects!$D$27),Projects!$B$27*INDEX(Curves!$B$4:$AO$4,1,42-Projects!$C$27+1),0)+IF(AND(Projects!$G$28="Yes",42&gt;=Projects!$C$28,42&lt;Projects!$C$28+Projects!$D$28),Projects!$B$28*INDEX(Curves!$B$4:$AO$4,1,42-Projects!$C$28+1),0)+IF(AND(Projects!$G$29="Yes",42&gt;=Projects!$C$29,42&lt;Projects!$C$29+Projects!$D$29),Projects!$B$29*INDEX(Curves!$B$4:$AO$4,1,42-Projects!$C$29+1),0)</f>
        <v/>
      </c>
      <c r="AS97">
        <f>IF(AND(Projects!$G$17="Yes",43&gt;=Projects!$C$17,43&lt;Projects!$C$17+Projects!$D$17),Projects!$B$17*INDEX(Curves!$B$4:$AO$4,1,43-Projects!$C$17+1),0)+IF(AND(Projects!$G$18="Yes",43&gt;=Projects!$C$18,43&lt;Projects!$C$18+Projects!$D$18),Projects!$B$18*INDEX(Curves!$B$4:$AO$4,1,43-Projects!$C$18+1),0)+IF(AND(Projects!$G$19="Yes",43&gt;=Projects!$C$19,43&lt;Projects!$C$19+Projects!$D$19),Projects!$B$19*INDEX(Curves!$B$4:$AO$4,1,43-Projects!$C$19+1),0)+IF(AND(Projects!$G$20="Yes",43&gt;=Projects!$C$20,43&lt;Projects!$C$20+Projects!$D$20),Projects!$B$20*INDEX(Curves!$B$4:$AO$4,1,43-Projects!$C$20+1),0)+IF(AND(Projects!$G$21="Yes",43&gt;=Projects!$C$21,43&lt;Projects!$C$21+Projects!$D$21),Projects!$B$21*INDEX(Curves!$B$4:$AO$4,1,43-Projects!$C$21+1),0)+IF(AND(Projects!$G$22="Yes",43&gt;=Projects!$C$22,43&lt;Projects!$C$22+Projects!$D$22),Projects!$B$22*INDEX(Curves!$B$4:$AO$4,1,43-Projects!$C$22+1),0)+IF(AND(Projects!$G$23="Yes",43&gt;=Projects!$C$23,43&lt;Projects!$C$23+Projects!$D$23),Projects!$B$23*INDEX(Curves!$B$4:$AO$4,1,43-Projects!$C$23+1),0)+IF(AND(Projects!$G$24="Yes",43&gt;=Projects!$C$24,43&lt;Projects!$C$24+Projects!$D$24),Projects!$B$24*INDEX(Curves!$B$4:$AO$4,1,43-Projects!$C$24+1),0)+IF(AND(Projects!$G$25="Yes",43&gt;=Projects!$C$25,43&lt;Projects!$C$25+Projects!$D$25),Projects!$B$25*INDEX(Curves!$B$4:$AO$4,1,43-Projects!$C$25+1),0)+IF(AND(Projects!$G$26="Yes",43&gt;=Projects!$C$26,43&lt;Projects!$C$26+Projects!$D$26),Projects!$B$26*INDEX(Curves!$B$4:$AO$4,1,43-Projects!$C$26+1),0)+IF(AND(Projects!$G$27="Yes",43&gt;=Projects!$C$27,43&lt;Projects!$C$27+Projects!$D$27),Projects!$B$27*INDEX(Curves!$B$4:$AO$4,1,43-Projects!$C$27+1),0)+IF(AND(Projects!$G$28="Yes",43&gt;=Projects!$C$28,43&lt;Projects!$C$28+Projects!$D$28),Projects!$B$28*INDEX(Curves!$B$4:$AO$4,1,43-Projects!$C$28+1),0)+IF(AND(Projects!$G$29="Yes",43&gt;=Projects!$C$29,43&lt;Projects!$C$29+Projects!$D$29),Projects!$B$29*INDEX(Curves!$B$4:$AO$4,1,43-Projects!$C$29+1),0)</f>
        <v/>
      </c>
      <c r="AT97">
        <f>IF(AND(Projects!$G$17="Yes",44&gt;=Projects!$C$17,44&lt;Projects!$C$17+Projects!$D$17),Projects!$B$17*INDEX(Curves!$B$4:$AO$4,1,44-Projects!$C$17+1),0)+IF(AND(Projects!$G$18="Yes",44&gt;=Projects!$C$18,44&lt;Projects!$C$18+Projects!$D$18),Projects!$B$18*INDEX(Curves!$B$4:$AO$4,1,44-Projects!$C$18+1),0)+IF(AND(Projects!$G$19="Yes",44&gt;=Projects!$C$19,44&lt;Projects!$C$19+Projects!$D$19),Projects!$B$19*INDEX(Curves!$B$4:$AO$4,1,44-Projects!$C$19+1),0)+IF(AND(Projects!$G$20="Yes",44&gt;=Projects!$C$20,44&lt;Projects!$C$20+Projects!$D$20),Projects!$B$20*INDEX(Curves!$B$4:$AO$4,1,44-Projects!$C$20+1),0)+IF(AND(Projects!$G$21="Yes",44&gt;=Projects!$C$21,44&lt;Projects!$C$21+Projects!$D$21),Projects!$B$21*INDEX(Curves!$B$4:$AO$4,1,44-Projects!$C$21+1),0)+IF(AND(Projects!$G$22="Yes",44&gt;=Projects!$C$22,44&lt;Projects!$C$22+Projects!$D$22),Projects!$B$22*INDEX(Curves!$B$4:$AO$4,1,44-Projects!$C$22+1),0)+IF(AND(Projects!$G$23="Yes",44&gt;=Projects!$C$23,44&lt;Projects!$C$23+Projects!$D$23),Projects!$B$23*INDEX(Curves!$B$4:$AO$4,1,44-Projects!$C$23+1),0)+IF(AND(Projects!$G$24="Yes",44&gt;=Projects!$C$24,44&lt;Projects!$C$24+Projects!$D$24),Projects!$B$24*INDEX(Curves!$B$4:$AO$4,1,44-Projects!$C$24+1),0)+IF(AND(Projects!$G$25="Yes",44&gt;=Projects!$C$25,44&lt;Projects!$C$25+Projects!$D$25),Projects!$B$25*INDEX(Curves!$B$4:$AO$4,1,44-Projects!$C$25+1),0)+IF(AND(Projects!$G$26="Yes",44&gt;=Projects!$C$26,44&lt;Projects!$C$26+Projects!$D$26),Projects!$B$26*INDEX(Curves!$B$4:$AO$4,1,44-Projects!$C$26+1),0)+IF(AND(Projects!$G$27="Yes",44&gt;=Projects!$C$27,44&lt;Projects!$C$27+Projects!$D$27),Projects!$B$27*INDEX(Curves!$B$4:$AO$4,1,44-Projects!$C$27+1),0)+IF(AND(Projects!$G$28="Yes",44&gt;=Projects!$C$28,44&lt;Projects!$C$28+Projects!$D$28),Projects!$B$28*INDEX(Curves!$B$4:$AO$4,1,44-Projects!$C$28+1),0)+IF(AND(Projects!$G$29="Yes",44&gt;=Projects!$C$29,44&lt;Projects!$C$29+Projects!$D$29),Projects!$B$29*INDEX(Curves!$B$4:$AO$4,1,44-Projects!$C$29+1),0)</f>
        <v/>
      </c>
      <c r="AU97">
        <f>IF(AND(Projects!$G$17="Yes",45&gt;=Projects!$C$17,45&lt;Projects!$C$17+Projects!$D$17),Projects!$B$17*INDEX(Curves!$B$4:$AO$4,1,45-Projects!$C$17+1),0)+IF(AND(Projects!$G$18="Yes",45&gt;=Projects!$C$18,45&lt;Projects!$C$18+Projects!$D$18),Projects!$B$18*INDEX(Curves!$B$4:$AO$4,1,45-Projects!$C$18+1),0)+IF(AND(Projects!$G$19="Yes",45&gt;=Projects!$C$19,45&lt;Projects!$C$19+Projects!$D$19),Projects!$B$19*INDEX(Curves!$B$4:$AO$4,1,45-Projects!$C$19+1),0)+IF(AND(Projects!$G$20="Yes",45&gt;=Projects!$C$20,45&lt;Projects!$C$20+Projects!$D$20),Projects!$B$20*INDEX(Curves!$B$4:$AO$4,1,45-Projects!$C$20+1),0)+IF(AND(Projects!$G$21="Yes",45&gt;=Projects!$C$21,45&lt;Projects!$C$21+Projects!$D$21),Projects!$B$21*INDEX(Curves!$B$4:$AO$4,1,45-Projects!$C$21+1),0)+IF(AND(Projects!$G$22="Yes",45&gt;=Projects!$C$22,45&lt;Projects!$C$22+Projects!$D$22),Projects!$B$22*INDEX(Curves!$B$4:$AO$4,1,45-Projects!$C$22+1),0)+IF(AND(Projects!$G$23="Yes",45&gt;=Projects!$C$23,45&lt;Projects!$C$23+Projects!$D$23),Projects!$B$23*INDEX(Curves!$B$4:$AO$4,1,45-Projects!$C$23+1),0)+IF(AND(Projects!$G$24="Yes",45&gt;=Projects!$C$24,45&lt;Projects!$C$24+Projects!$D$24),Projects!$B$24*INDEX(Curves!$B$4:$AO$4,1,45-Projects!$C$24+1),0)+IF(AND(Projects!$G$25="Yes",45&gt;=Projects!$C$25,45&lt;Projects!$C$25+Projects!$D$25),Projects!$B$25*INDEX(Curves!$B$4:$AO$4,1,45-Projects!$C$25+1),0)+IF(AND(Projects!$G$26="Yes",45&gt;=Projects!$C$26,45&lt;Projects!$C$26+Projects!$D$26),Projects!$B$26*INDEX(Curves!$B$4:$AO$4,1,45-Projects!$C$26+1),0)+IF(AND(Projects!$G$27="Yes",45&gt;=Projects!$C$27,45&lt;Projects!$C$27+Projects!$D$27),Projects!$B$27*INDEX(Curves!$B$4:$AO$4,1,45-Projects!$C$27+1),0)+IF(AND(Projects!$G$28="Yes",45&gt;=Projects!$C$28,45&lt;Projects!$C$28+Projects!$D$28),Projects!$B$28*INDEX(Curves!$B$4:$AO$4,1,45-Projects!$C$28+1),0)+IF(AND(Projects!$G$29="Yes",45&gt;=Projects!$C$29,45&lt;Projects!$C$29+Projects!$D$29),Projects!$B$29*INDEX(Curves!$B$4:$AO$4,1,45-Projects!$C$29+1),0)</f>
        <v/>
      </c>
      <c r="AV97">
        <f>IF(AND(Projects!$G$17="Yes",46&gt;=Projects!$C$17,46&lt;Projects!$C$17+Projects!$D$17),Projects!$B$17*INDEX(Curves!$B$4:$AO$4,1,46-Projects!$C$17+1),0)+IF(AND(Projects!$G$18="Yes",46&gt;=Projects!$C$18,46&lt;Projects!$C$18+Projects!$D$18),Projects!$B$18*INDEX(Curves!$B$4:$AO$4,1,46-Projects!$C$18+1),0)+IF(AND(Projects!$G$19="Yes",46&gt;=Projects!$C$19,46&lt;Projects!$C$19+Projects!$D$19),Projects!$B$19*INDEX(Curves!$B$4:$AO$4,1,46-Projects!$C$19+1),0)+IF(AND(Projects!$G$20="Yes",46&gt;=Projects!$C$20,46&lt;Projects!$C$20+Projects!$D$20),Projects!$B$20*INDEX(Curves!$B$4:$AO$4,1,46-Projects!$C$20+1),0)+IF(AND(Projects!$G$21="Yes",46&gt;=Projects!$C$21,46&lt;Projects!$C$21+Projects!$D$21),Projects!$B$21*INDEX(Curves!$B$4:$AO$4,1,46-Projects!$C$21+1),0)+IF(AND(Projects!$G$22="Yes",46&gt;=Projects!$C$22,46&lt;Projects!$C$22+Projects!$D$22),Projects!$B$22*INDEX(Curves!$B$4:$AO$4,1,46-Projects!$C$22+1),0)+IF(AND(Projects!$G$23="Yes",46&gt;=Projects!$C$23,46&lt;Projects!$C$23+Projects!$D$23),Projects!$B$23*INDEX(Curves!$B$4:$AO$4,1,46-Projects!$C$23+1),0)+IF(AND(Projects!$G$24="Yes",46&gt;=Projects!$C$24,46&lt;Projects!$C$24+Projects!$D$24),Projects!$B$24*INDEX(Curves!$B$4:$AO$4,1,46-Projects!$C$24+1),0)+IF(AND(Projects!$G$25="Yes",46&gt;=Projects!$C$25,46&lt;Projects!$C$25+Projects!$D$25),Projects!$B$25*INDEX(Curves!$B$4:$AO$4,1,46-Projects!$C$25+1),0)+IF(AND(Projects!$G$26="Yes",46&gt;=Projects!$C$26,46&lt;Projects!$C$26+Projects!$D$26),Projects!$B$26*INDEX(Curves!$B$4:$AO$4,1,46-Projects!$C$26+1),0)+IF(AND(Projects!$G$27="Yes",46&gt;=Projects!$C$27,46&lt;Projects!$C$27+Projects!$D$27),Projects!$B$27*INDEX(Curves!$B$4:$AO$4,1,46-Projects!$C$27+1),0)+IF(AND(Projects!$G$28="Yes",46&gt;=Projects!$C$28,46&lt;Projects!$C$28+Projects!$D$28),Projects!$B$28*INDEX(Curves!$B$4:$AO$4,1,46-Projects!$C$28+1),0)+IF(AND(Projects!$G$29="Yes",46&gt;=Projects!$C$29,46&lt;Projects!$C$29+Projects!$D$29),Projects!$B$29*INDEX(Curves!$B$4:$AO$4,1,46-Projects!$C$29+1),0)</f>
        <v/>
      </c>
      <c r="AW97">
        <f>IF(AND(Projects!$G$17="Yes",47&gt;=Projects!$C$17,47&lt;Projects!$C$17+Projects!$D$17),Projects!$B$17*INDEX(Curves!$B$4:$AO$4,1,47-Projects!$C$17+1),0)+IF(AND(Projects!$G$18="Yes",47&gt;=Projects!$C$18,47&lt;Projects!$C$18+Projects!$D$18),Projects!$B$18*INDEX(Curves!$B$4:$AO$4,1,47-Projects!$C$18+1),0)+IF(AND(Projects!$G$19="Yes",47&gt;=Projects!$C$19,47&lt;Projects!$C$19+Projects!$D$19),Projects!$B$19*INDEX(Curves!$B$4:$AO$4,1,47-Projects!$C$19+1),0)+IF(AND(Projects!$G$20="Yes",47&gt;=Projects!$C$20,47&lt;Projects!$C$20+Projects!$D$20),Projects!$B$20*INDEX(Curves!$B$4:$AO$4,1,47-Projects!$C$20+1),0)+IF(AND(Projects!$G$21="Yes",47&gt;=Projects!$C$21,47&lt;Projects!$C$21+Projects!$D$21),Projects!$B$21*INDEX(Curves!$B$4:$AO$4,1,47-Projects!$C$21+1),0)+IF(AND(Projects!$G$22="Yes",47&gt;=Projects!$C$22,47&lt;Projects!$C$22+Projects!$D$22),Projects!$B$22*INDEX(Curves!$B$4:$AO$4,1,47-Projects!$C$22+1),0)+IF(AND(Projects!$G$23="Yes",47&gt;=Projects!$C$23,47&lt;Projects!$C$23+Projects!$D$23),Projects!$B$23*INDEX(Curves!$B$4:$AO$4,1,47-Projects!$C$23+1),0)+IF(AND(Projects!$G$24="Yes",47&gt;=Projects!$C$24,47&lt;Projects!$C$24+Projects!$D$24),Projects!$B$24*INDEX(Curves!$B$4:$AO$4,1,47-Projects!$C$24+1),0)+IF(AND(Projects!$G$25="Yes",47&gt;=Projects!$C$25,47&lt;Projects!$C$25+Projects!$D$25),Projects!$B$25*INDEX(Curves!$B$4:$AO$4,1,47-Projects!$C$25+1),0)+IF(AND(Projects!$G$26="Yes",47&gt;=Projects!$C$26,47&lt;Projects!$C$26+Projects!$D$26),Projects!$B$26*INDEX(Curves!$B$4:$AO$4,1,47-Projects!$C$26+1),0)+IF(AND(Projects!$G$27="Yes",47&gt;=Projects!$C$27,47&lt;Projects!$C$27+Projects!$D$27),Projects!$B$27*INDEX(Curves!$B$4:$AO$4,1,47-Projects!$C$27+1),0)+IF(AND(Projects!$G$28="Yes",47&gt;=Projects!$C$28,47&lt;Projects!$C$28+Projects!$D$28),Projects!$B$28*INDEX(Curves!$B$4:$AO$4,1,47-Projects!$C$28+1),0)+IF(AND(Projects!$G$29="Yes",47&gt;=Projects!$C$29,47&lt;Projects!$C$29+Projects!$D$29),Projects!$B$29*INDEX(Curves!$B$4:$AO$4,1,47-Projects!$C$29+1),0)</f>
        <v/>
      </c>
      <c r="AX97">
        <f>IF(AND(Projects!$G$17="Yes",48&gt;=Projects!$C$17,48&lt;Projects!$C$17+Projects!$D$17),Projects!$B$17*INDEX(Curves!$B$4:$AO$4,1,48-Projects!$C$17+1),0)+IF(AND(Projects!$G$18="Yes",48&gt;=Projects!$C$18,48&lt;Projects!$C$18+Projects!$D$18),Projects!$B$18*INDEX(Curves!$B$4:$AO$4,1,48-Projects!$C$18+1),0)+IF(AND(Projects!$G$19="Yes",48&gt;=Projects!$C$19,48&lt;Projects!$C$19+Projects!$D$19),Projects!$B$19*INDEX(Curves!$B$4:$AO$4,1,48-Projects!$C$19+1),0)+IF(AND(Projects!$G$20="Yes",48&gt;=Projects!$C$20,48&lt;Projects!$C$20+Projects!$D$20),Projects!$B$20*INDEX(Curves!$B$4:$AO$4,1,48-Projects!$C$20+1),0)+IF(AND(Projects!$G$21="Yes",48&gt;=Projects!$C$21,48&lt;Projects!$C$21+Projects!$D$21),Projects!$B$21*INDEX(Curves!$B$4:$AO$4,1,48-Projects!$C$21+1),0)+IF(AND(Projects!$G$22="Yes",48&gt;=Projects!$C$22,48&lt;Projects!$C$22+Projects!$D$22),Projects!$B$22*INDEX(Curves!$B$4:$AO$4,1,48-Projects!$C$22+1),0)+IF(AND(Projects!$G$23="Yes",48&gt;=Projects!$C$23,48&lt;Projects!$C$23+Projects!$D$23),Projects!$B$23*INDEX(Curves!$B$4:$AO$4,1,48-Projects!$C$23+1),0)+IF(AND(Projects!$G$24="Yes",48&gt;=Projects!$C$24,48&lt;Projects!$C$24+Projects!$D$24),Projects!$B$24*INDEX(Curves!$B$4:$AO$4,1,48-Projects!$C$24+1),0)+IF(AND(Projects!$G$25="Yes",48&gt;=Projects!$C$25,48&lt;Projects!$C$25+Projects!$D$25),Projects!$B$25*INDEX(Curves!$B$4:$AO$4,1,48-Projects!$C$25+1),0)+IF(AND(Projects!$G$26="Yes",48&gt;=Projects!$C$26,48&lt;Projects!$C$26+Projects!$D$26),Projects!$B$26*INDEX(Curves!$B$4:$AO$4,1,48-Projects!$C$26+1),0)+IF(AND(Projects!$G$27="Yes",48&gt;=Projects!$C$27,48&lt;Projects!$C$27+Projects!$D$27),Projects!$B$27*INDEX(Curves!$B$4:$AO$4,1,48-Projects!$C$27+1),0)+IF(AND(Projects!$G$28="Yes",48&gt;=Projects!$C$28,48&lt;Projects!$C$28+Projects!$D$28),Projects!$B$28*INDEX(Curves!$B$4:$AO$4,1,48-Projects!$C$28+1),0)+IF(AND(Projects!$G$29="Yes",48&gt;=Projects!$C$29,48&lt;Projects!$C$29+Projects!$D$29),Projects!$B$29*INDEX(Curves!$B$4:$AO$4,1,48-Projects!$C$29+1),0)</f>
        <v/>
      </c>
      <c r="AY97">
        <f>IF(AND(Projects!$G$17="Yes",49&gt;=Projects!$C$17,49&lt;Projects!$C$17+Projects!$D$17),Projects!$B$17*INDEX(Curves!$B$4:$AO$4,1,49-Projects!$C$17+1),0)+IF(AND(Projects!$G$18="Yes",49&gt;=Projects!$C$18,49&lt;Projects!$C$18+Projects!$D$18),Projects!$B$18*INDEX(Curves!$B$4:$AO$4,1,49-Projects!$C$18+1),0)+IF(AND(Projects!$G$19="Yes",49&gt;=Projects!$C$19,49&lt;Projects!$C$19+Projects!$D$19),Projects!$B$19*INDEX(Curves!$B$4:$AO$4,1,49-Projects!$C$19+1),0)+IF(AND(Projects!$G$20="Yes",49&gt;=Projects!$C$20,49&lt;Projects!$C$20+Projects!$D$20),Projects!$B$20*INDEX(Curves!$B$4:$AO$4,1,49-Projects!$C$20+1),0)+IF(AND(Projects!$G$21="Yes",49&gt;=Projects!$C$21,49&lt;Projects!$C$21+Projects!$D$21),Projects!$B$21*INDEX(Curves!$B$4:$AO$4,1,49-Projects!$C$21+1),0)+IF(AND(Projects!$G$22="Yes",49&gt;=Projects!$C$22,49&lt;Projects!$C$22+Projects!$D$22),Projects!$B$22*INDEX(Curves!$B$4:$AO$4,1,49-Projects!$C$22+1),0)+IF(AND(Projects!$G$23="Yes",49&gt;=Projects!$C$23,49&lt;Projects!$C$23+Projects!$D$23),Projects!$B$23*INDEX(Curves!$B$4:$AO$4,1,49-Projects!$C$23+1),0)+IF(AND(Projects!$G$24="Yes",49&gt;=Projects!$C$24,49&lt;Projects!$C$24+Projects!$D$24),Projects!$B$24*INDEX(Curves!$B$4:$AO$4,1,49-Projects!$C$24+1),0)+IF(AND(Projects!$G$25="Yes",49&gt;=Projects!$C$25,49&lt;Projects!$C$25+Projects!$D$25),Projects!$B$25*INDEX(Curves!$B$4:$AO$4,1,49-Projects!$C$25+1),0)+IF(AND(Projects!$G$26="Yes",49&gt;=Projects!$C$26,49&lt;Projects!$C$26+Projects!$D$26),Projects!$B$26*INDEX(Curves!$B$4:$AO$4,1,49-Projects!$C$26+1),0)+IF(AND(Projects!$G$27="Yes",49&gt;=Projects!$C$27,49&lt;Projects!$C$27+Projects!$D$27),Projects!$B$27*INDEX(Curves!$B$4:$AO$4,1,49-Projects!$C$27+1),0)+IF(AND(Projects!$G$28="Yes",49&gt;=Projects!$C$28,49&lt;Projects!$C$28+Projects!$D$28),Projects!$B$28*INDEX(Curves!$B$4:$AO$4,1,49-Projects!$C$28+1),0)+IF(AND(Projects!$G$29="Yes",49&gt;=Projects!$C$29,49&lt;Projects!$C$29+Projects!$D$29),Projects!$B$29*INDEX(Curves!$B$4:$AO$4,1,49-Projects!$C$29+1),0)</f>
        <v/>
      </c>
      <c r="AZ97">
        <f>IF(AND(Projects!$G$17="Yes",50&gt;=Projects!$C$17,50&lt;Projects!$C$17+Projects!$D$17),Projects!$B$17*INDEX(Curves!$B$4:$AO$4,1,50-Projects!$C$17+1),0)+IF(AND(Projects!$G$18="Yes",50&gt;=Projects!$C$18,50&lt;Projects!$C$18+Projects!$D$18),Projects!$B$18*INDEX(Curves!$B$4:$AO$4,1,50-Projects!$C$18+1),0)+IF(AND(Projects!$G$19="Yes",50&gt;=Projects!$C$19,50&lt;Projects!$C$19+Projects!$D$19),Projects!$B$19*INDEX(Curves!$B$4:$AO$4,1,50-Projects!$C$19+1),0)+IF(AND(Projects!$G$20="Yes",50&gt;=Projects!$C$20,50&lt;Projects!$C$20+Projects!$D$20),Projects!$B$20*INDEX(Curves!$B$4:$AO$4,1,50-Projects!$C$20+1),0)+IF(AND(Projects!$G$21="Yes",50&gt;=Projects!$C$21,50&lt;Projects!$C$21+Projects!$D$21),Projects!$B$21*INDEX(Curves!$B$4:$AO$4,1,50-Projects!$C$21+1),0)+IF(AND(Projects!$G$22="Yes",50&gt;=Projects!$C$22,50&lt;Projects!$C$22+Projects!$D$22),Projects!$B$22*INDEX(Curves!$B$4:$AO$4,1,50-Projects!$C$22+1),0)+IF(AND(Projects!$G$23="Yes",50&gt;=Projects!$C$23,50&lt;Projects!$C$23+Projects!$D$23),Projects!$B$23*INDEX(Curves!$B$4:$AO$4,1,50-Projects!$C$23+1),0)+IF(AND(Projects!$G$24="Yes",50&gt;=Projects!$C$24,50&lt;Projects!$C$24+Projects!$D$24),Projects!$B$24*INDEX(Curves!$B$4:$AO$4,1,50-Projects!$C$24+1),0)+IF(AND(Projects!$G$25="Yes",50&gt;=Projects!$C$25,50&lt;Projects!$C$25+Projects!$D$25),Projects!$B$25*INDEX(Curves!$B$4:$AO$4,1,50-Projects!$C$25+1),0)+IF(AND(Projects!$G$26="Yes",50&gt;=Projects!$C$26,50&lt;Projects!$C$26+Projects!$D$26),Projects!$B$26*INDEX(Curves!$B$4:$AO$4,1,50-Projects!$C$26+1),0)+IF(AND(Projects!$G$27="Yes",50&gt;=Projects!$C$27,50&lt;Projects!$C$27+Projects!$D$27),Projects!$B$27*INDEX(Curves!$B$4:$AO$4,1,50-Projects!$C$27+1),0)+IF(AND(Projects!$G$28="Yes",50&gt;=Projects!$C$28,50&lt;Projects!$C$28+Projects!$D$28),Projects!$B$28*INDEX(Curves!$B$4:$AO$4,1,50-Projects!$C$28+1),0)+IF(AND(Projects!$G$29="Yes",50&gt;=Projects!$C$29,50&lt;Projects!$C$29+Projects!$D$29),Projects!$B$29*INDEX(Curves!$B$4:$AO$4,1,50-Projects!$C$29+1),0)</f>
        <v/>
      </c>
      <c r="BA97">
        <f>IF(AND(Projects!$G$17="Yes",51&gt;=Projects!$C$17,51&lt;Projects!$C$17+Projects!$D$17),Projects!$B$17*INDEX(Curves!$B$4:$AO$4,1,51-Projects!$C$17+1),0)+IF(AND(Projects!$G$18="Yes",51&gt;=Projects!$C$18,51&lt;Projects!$C$18+Projects!$D$18),Projects!$B$18*INDEX(Curves!$B$4:$AO$4,1,51-Projects!$C$18+1),0)+IF(AND(Projects!$G$19="Yes",51&gt;=Projects!$C$19,51&lt;Projects!$C$19+Projects!$D$19),Projects!$B$19*INDEX(Curves!$B$4:$AO$4,1,51-Projects!$C$19+1),0)+IF(AND(Projects!$G$20="Yes",51&gt;=Projects!$C$20,51&lt;Projects!$C$20+Projects!$D$20),Projects!$B$20*INDEX(Curves!$B$4:$AO$4,1,51-Projects!$C$20+1),0)+IF(AND(Projects!$G$21="Yes",51&gt;=Projects!$C$21,51&lt;Projects!$C$21+Projects!$D$21),Projects!$B$21*INDEX(Curves!$B$4:$AO$4,1,51-Projects!$C$21+1),0)+IF(AND(Projects!$G$22="Yes",51&gt;=Projects!$C$22,51&lt;Projects!$C$22+Projects!$D$22),Projects!$B$22*INDEX(Curves!$B$4:$AO$4,1,51-Projects!$C$22+1),0)+IF(AND(Projects!$G$23="Yes",51&gt;=Projects!$C$23,51&lt;Projects!$C$23+Projects!$D$23),Projects!$B$23*INDEX(Curves!$B$4:$AO$4,1,51-Projects!$C$23+1),0)+IF(AND(Projects!$G$24="Yes",51&gt;=Projects!$C$24,51&lt;Projects!$C$24+Projects!$D$24),Projects!$B$24*INDEX(Curves!$B$4:$AO$4,1,51-Projects!$C$24+1),0)+IF(AND(Projects!$G$25="Yes",51&gt;=Projects!$C$25,51&lt;Projects!$C$25+Projects!$D$25),Projects!$B$25*INDEX(Curves!$B$4:$AO$4,1,51-Projects!$C$25+1),0)+IF(AND(Projects!$G$26="Yes",51&gt;=Projects!$C$26,51&lt;Projects!$C$26+Projects!$D$26),Projects!$B$26*INDEX(Curves!$B$4:$AO$4,1,51-Projects!$C$26+1),0)+IF(AND(Projects!$G$27="Yes",51&gt;=Projects!$C$27,51&lt;Projects!$C$27+Projects!$D$27),Projects!$B$27*INDEX(Curves!$B$4:$AO$4,1,51-Projects!$C$27+1),0)+IF(AND(Projects!$G$28="Yes",51&gt;=Projects!$C$28,51&lt;Projects!$C$28+Projects!$D$28),Projects!$B$28*INDEX(Curves!$B$4:$AO$4,1,51-Projects!$C$28+1),0)+IF(AND(Projects!$G$29="Yes",51&gt;=Projects!$C$29,51&lt;Projects!$C$29+Projects!$D$29),Projects!$B$29*INDEX(Curves!$B$4:$AO$4,1,51-Projects!$C$29+1),0)</f>
        <v/>
      </c>
      <c r="BB97">
        <f>IF(AND(Projects!$G$17="Yes",52&gt;=Projects!$C$17,52&lt;Projects!$C$17+Projects!$D$17),Projects!$B$17*INDEX(Curves!$B$4:$AO$4,1,52-Projects!$C$17+1),0)+IF(AND(Projects!$G$18="Yes",52&gt;=Projects!$C$18,52&lt;Projects!$C$18+Projects!$D$18),Projects!$B$18*INDEX(Curves!$B$4:$AO$4,1,52-Projects!$C$18+1),0)+IF(AND(Projects!$G$19="Yes",52&gt;=Projects!$C$19,52&lt;Projects!$C$19+Projects!$D$19),Projects!$B$19*INDEX(Curves!$B$4:$AO$4,1,52-Projects!$C$19+1),0)+IF(AND(Projects!$G$20="Yes",52&gt;=Projects!$C$20,52&lt;Projects!$C$20+Projects!$D$20),Projects!$B$20*INDEX(Curves!$B$4:$AO$4,1,52-Projects!$C$20+1),0)+IF(AND(Projects!$G$21="Yes",52&gt;=Projects!$C$21,52&lt;Projects!$C$21+Projects!$D$21),Projects!$B$21*INDEX(Curves!$B$4:$AO$4,1,52-Projects!$C$21+1),0)+IF(AND(Projects!$G$22="Yes",52&gt;=Projects!$C$22,52&lt;Projects!$C$22+Projects!$D$22),Projects!$B$22*INDEX(Curves!$B$4:$AO$4,1,52-Projects!$C$22+1),0)+IF(AND(Projects!$G$23="Yes",52&gt;=Projects!$C$23,52&lt;Projects!$C$23+Projects!$D$23),Projects!$B$23*INDEX(Curves!$B$4:$AO$4,1,52-Projects!$C$23+1),0)+IF(AND(Projects!$G$24="Yes",52&gt;=Projects!$C$24,52&lt;Projects!$C$24+Projects!$D$24),Projects!$B$24*INDEX(Curves!$B$4:$AO$4,1,52-Projects!$C$24+1),0)+IF(AND(Projects!$G$25="Yes",52&gt;=Projects!$C$25,52&lt;Projects!$C$25+Projects!$D$25),Projects!$B$25*INDEX(Curves!$B$4:$AO$4,1,52-Projects!$C$25+1),0)+IF(AND(Projects!$G$26="Yes",52&gt;=Projects!$C$26,52&lt;Projects!$C$26+Projects!$D$26),Projects!$B$26*INDEX(Curves!$B$4:$AO$4,1,52-Projects!$C$26+1),0)+IF(AND(Projects!$G$27="Yes",52&gt;=Projects!$C$27,52&lt;Projects!$C$27+Projects!$D$27),Projects!$B$27*INDEX(Curves!$B$4:$AO$4,1,52-Projects!$C$27+1),0)+IF(AND(Projects!$G$28="Yes",52&gt;=Projects!$C$28,52&lt;Projects!$C$28+Projects!$D$28),Projects!$B$28*INDEX(Curves!$B$4:$AO$4,1,52-Projects!$C$28+1),0)+IF(AND(Projects!$G$29="Yes",52&gt;=Projects!$C$29,52&lt;Projects!$C$29+Projects!$D$29),Projects!$B$29*INDEX(Curves!$B$4:$AO$4,1,52-Projects!$C$29+1),0)</f>
        <v/>
      </c>
      <c r="BC97">
        <f>IF(AND(Projects!$G$17="Yes",53&gt;=Projects!$C$17,53&lt;Projects!$C$17+Projects!$D$17),Projects!$B$17*INDEX(Curves!$B$4:$AO$4,1,53-Projects!$C$17+1),0)+IF(AND(Projects!$G$18="Yes",53&gt;=Projects!$C$18,53&lt;Projects!$C$18+Projects!$D$18),Projects!$B$18*INDEX(Curves!$B$4:$AO$4,1,53-Projects!$C$18+1),0)+IF(AND(Projects!$G$19="Yes",53&gt;=Projects!$C$19,53&lt;Projects!$C$19+Projects!$D$19),Projects!$B$19*INDEX(Curves!$B$4:$AO$4,1,53-Projects!$C$19+1),0)+IF(AND(Projects!$G$20="Yes",53&gt;=Projects!$C$20,53&lt;Projects!$C$20+Projects!$D$20),Projects!$B$20*INDEX(Curves!$B$4:$AO$4,1,53-Projects!$C$20+1),0)+IF(AND(Projects!$G$21="Yes",53&gt;=Projects!$C$21,53&lt;Projects!$C$21+Projects!$D$21),Projects!$B$21*INDEX(Curves!$B$4:$AO$4,1,53-Projects!$C$21+1),0)+IF(AND(Projects!$G$22="Yes",53&gt;=Projects!$C$22,53&lt;Projects!$C$22+Projects!$D$22),Projects!$B$22*INDEX(Curves!$B$4:$AO$4,1,53-Projects!$C$22+1),0)+IF(AND(Projects!$G$23="Yes",53&gt;=Projects!$C$23,53&lt;Projects!$C$23+Projects!$D$23),Projects!$B$23*INDEX(Curves!$B$4:$AO$4,1,53-Projects!$C$23+1),0)+IF(AND(Projects!$G$24="Yes",53&gt;=Projects!$C$24,53&lt;Projects!$C$24+Projects!$D$24),Projects!$B$24*INDEX(Curves!$B$4:$AO$4,1,53-Projects!$C$24+1),0)+IF(AND(Projects!$G$25="Yes",53&gt;=Projects!$C$25,53&lt;Projects!$C$25+Projects!$D$25),Projects!$B$25*INDEX(Curves!$B$4:$AO$4,1,53-Projects!$C$25+1),0)+IF(AND(Projects!$G$26="Yes",53&gt;=Projects!$C$26,53&lt;Projects!$C$26+Projects!$D$26),Projects!$B$26*INDEX(Curves!$B$4:$AO$4,1,53-Projects!$C$26+1),0)+IF(AND(Projects!$G$27="Yes",53&gt;=Projects!$C$27,53&lt;Projects!$C$27+Projects!$D$27),Projects!$B$27*INDEX(Curves!$B$4:$AO$4,1,53-Projects!$C$27+1),0)+IF(AND(Projects!$G$28="Yes",53&gt;=Projects!$C$28,53&lt;Projects!$C$28+Projects!$D$28),Projects!$B$28*INDEX(Curves!$B$4:$AO$4,1,53-Projects!$C$28+1),0)+IF(AND(Projects!$G$29="Yes",53&gt;=Projects!$C$29,53&lt;Projects!$C$29+Projects!$D$29),Projects!$B$29*INDEX(Curves!$B$4:$AO$4,1,53-Projects!$C$29+1),0)</f>
        <v/>
      </c>
      <c r="BD97">
        <f>IF(AND(Projects!$G$17="Yes",54&gt;=Projects!$C$17,54&lt;Projects!$C$17+Projects!$D$17),Projects!$B$17*INDEX(Curves!$B$4:$AO$4,1,54-Projects!$C$17+1),0)+IF(AND(Projects!$G$18="Yes",54&gt;=Projects!$C$18,54&lt;Projects!$C$18+Projects!$D$18),Projects!$B$18*INDEX(Curves!$B$4:$AO$4,1,54-Projects!$C$18+1),0)+IF(AND(Projects!$G$19="Yes",54&gt;=Projects!$C$19,54&lt;Projects!$C$19+Projects!$D$19),Projects!$B$19*INDEX(Curves!$B$4:$AO$4,1,54-Projects!$C$19+1),0)+IF(AND(Projects!$G$20="Yes",54&gt;=Projects!$C$20,54&lt;Projects!$C$20+Projects!$D$20),Projects!$B$20*INDEX(Curves!$B$4:$AO$4,1,54-Projects!$C$20+1),0)+IF(AND(Projects!$G$21="Yes",54&gt;=Projects!$C$21,54&lt;Projects!$C$21+Projects!$D$21),Projects!$B$21*INDEX(Curves!$B$4:$AO$4,1,54-Projects!$C$21+1),0)+IF(AND(Projects!$G$22="Yes",54&gt;=Projects!$C$22,54&lt;Projects!$C$22+Projects!$D$22),Projects!$B$22*INDEX(Curves!$B$4:$AO$4,1,54-Projects!$C$22+1),0)+IF(AND(Projects!$G$23="Yes",54&gt;=Projects!$C$23,54&lt;Projects!$C$23+Projects!$D$23),Projects!$B$23*INDEX(Curves!$B$4:$AO$4,1,54-Projects!$C$23+1),0)+IF(AND(Projects!$G$24="Yes",54&gt;=Projects!$C$24,54&lt;Projects!$C$24+Projects!$D$24),Projects!$B$24*INDEX(Curves!$B$4:$AO$4,1,54-Projects!$C$24+1),0)+IF(AND(Projects!$G$25="Yes",54&gt;=Projects!$C$25,54&lt;Projects!$C$25+Projects!$D$25),Projects!$B$25*INDEX(Curves!$B$4:$AO$4,1,54-Projects!$C$25+1),0)+IF(AND(Projects!$G$26="Yes",54&gt;=Projects!$C$26,54&lt;Projects!$C$26+Projects!$D$26),Projects!$B$26*INDEX(Curves!$B$4:$AO$4,1,54-Projects!$C$26+1),0)+IF(AND(Projects!$G$27="Yes",54&gt;=Projects!$C$27,54&lt;Projects!$C$27+Projects!$D$27),Projects!$B$27*INDEX(Curves!$B$4:$AO$4,1,54-Projects!$C$27+1),0)+IF(AND(Projects!$G$28="Yes",54&gt;=Projects!$C$28,54&lt;Projects!$C$28+Projects!$D$28),Projects!$B$28*INDEX(Curves!$B$4:$AO$4,1,54-Projects!$C$28+1),0)+IF(AND(Projects!$G$29="Yes",54&gt;=Projects!$C$29,54&lt;Projects!$C$29+Projects!$D$29),Projects!$B$29*INDEX(Curves!$B$4:$AO$4,1,54-Projects!$C$29+1),0)</f>
        <v/>
      </c>
      <c r="BE97">
        <f>IF(AND(Projects!$G$17="Yes",55&gt;=Projects!$C$17,55&lt;Projects!$C$17+Projects!$D$17),Projects!$B$17*INDEX(Curves!$B$4:$AO$4,1,55-Projects!$C$17+1),0)+IF(AND(Projects!$G$18="Yes",55&gt;=Projects!$C$18,55&lt;Projects!$C$18+Projects!$D$18),Projects!$B$18*INDEX(Curves!$B$4:$AO$4,1,55-Projects!$C$18+1),0)+IF(AND(Projects!$G$19="Yes",55&gt;=Projects!$C$19,55&lt;Projects!$C$19+Projects!$D$19),Projects!$B$19*INDEX(Curves!$B$4:$AO$4,1,55-Projects!$C$19+1),0)+IF(AND(Projects!$G$20="Yes",55&gt;=Projects!$C$20,55&lt;Projects!$C$20+Projects!$D$20),Projects!$B$20*INDEX(Curves!$B$4:$AO$4,1,55-Projects!$C$20+1),0)+IF(AND(Projects!$G$21="Yes",55&gt;=Projects!$C$21,55&lt;Projects!$C$21+Projects!$D$21),Projects!$B$21*INDEX(Curves!$B$4:$AO$4,1,55-Projects!$C$21+1),0)+IF(AND(Projects!$G$22="Yes",55&gt;=Projects!$C$22,55&lt;Projects!$C$22+Projects!$D$22),Projects!$B$22*INDEX(Curves!$B$4:$AO$4,1,55-Projects!$C$22+1),0)+IF(AND(Projects!$G$23="Yes",55&gt;=Projects!$C$23,55&lt;Projects!$C$23+Projects!$D$23),Projects!$B$23*INDEX(Curves!$B$4:$AO$4,1,55-Projects!$C$23+1),0)+IF(AND(Projects!$G$24="Yes",55&gt;=Projects!$C$24,55&lt;Projects!$C$24+Projects!$D$24),Projects!$B$24*INDEX(Curves!$B$4:$AO$4,1,55-Projects!$C$24+1),0)+IF(AND(Projects!$G$25="Yes",55&gt;=Projects!$C$25,55&lt;Projects!$C$25+Projects!$D$25),Projects!$B$25*INDEX(Curves!$B$4:$AO$4,1,55-Projects!$C$25+1),0)+IF(AND(Projects!$G$26="Yes",55&gt;=Projects!$C$26,55&lt;Projects!$C$26+Projects!$D$26),Projects!$B$26*INDEX(Curves!$B$4:$AO$4,1,55-Projects!$C$26+1),0)+IF(AND(Projects!$G$27="Yes",55&gt;=Projects!$C$27,55&lt;Projects!$C$27+Projects!$D$27),Projects!$B$27*INDEX(Curves!$B$4:$AO$4,1,55-Projects!$C$27+1),0)+IF(AND(Projects!$G$28="Yes",55&gt;=Projects!$C$28,55&lt;Projects!$C$28+Projects!$D$28),Projects!$B$28*INDEX(Curves!$B$4:$AO$4,1,55-Projects!$C$28+1),0)+IF(AND(Projects!$G$29="Yes",55&gt;=Projects!$C$29,55&lt;Projects!$C$29+Projects!$D$29),Projects!$B$29*INDEX(Curves!$B$4:$AO$4,1,55-Projects!$C$29+1),0)</f>
        <v/>
      </c>
      <c r="BF97">
        <f>IF(AND(Projects!$G$17="Yes",56&gt;=Projects!$C$17,56&lt;Projects!$C$17+Projects!$D$17),Projects!$B$17*INDEX(Curves!$B$4:$AO$4,1,56-Projects!$C$17+1),0)+IF(AND(Projects!$G$18="Yes",56&gt;=Projects!$C$18,56&lt;Projects!$C$18+Projects!$D$18),Projects!$B$18*INDEX(Curves!$B$4:$AO$4,1,56-Projects!$C$18+1),0)+IF(AND(Projects!$G$19="Yes",56&gt;=Projects!$C$19,56&lt;Projects!$C$19+Projects!$D$19),Projects!$B$19*INDEX(Curves!$B$4:$AO$4,1,56-Projects!$C$19+1),0)+IF(AND(Projects!$G$20="Yes",56&gt;=Projects!$C$20,56&lt;Projects!$C$20+Projects!$D$20),Projects!$B$20*INDEX(Curves!$B$4:$AO$4,1,56-Projects!$C$20+1),0)+IF(AND(Projects!$G$21="Yes",56&gt;=Projects!$C$21,56&lt;Projects!$C$21+Projects!$D$21),Projects!$B$21*INDEX(Curves!$B$4:$AO$4,1,56-Projects!$C$21+1),0)+IF(AND(Projects!$G$22="Yes",56&gt;=Projects!$C$22,56&lt;Projects!$C$22+Projects!$D$22),Projects!$B$22*INDEX(Curves!$B$4:$AO$4,1,56-Projects!$C$22+1),0)+IF(AND(Projects!$G$23="Yes",56&gt;=Projects!$C$23,56&lt;Projects!$C$23+Projects!$D$23),Projects!$B$23*INDEX(Curves!$B$4:$AO$4,1,56-Projects!$C$23+1),0)+IF(AND(Projects!$G$24="Yes",56&gt;=Projects!$C$24,56&lt;Projects!$C$24+Projects!$D$24),Projects!$B$24*INDEX(Curves!$B$4:$AO$4,1,56-Projects!$C$24+1),0)+IF(AND(Projects!$G$25="Yes",56&gt;=Projects!$C$25,56&lt;Projects!$C$25+Projects!$D$25),Projects!$B$25*INDEX(Curves!$B$4:$AO$4,1,56-Projects!$C$25+1),0)+IF(AND(Projects!$G$26="Yes",56&gt;=Projects!$C$26,56&lt;Projects!$C$26+Projects!$D$26),Projects!$B$26*INDEX(Curves!$B$4:$AO$4,1,56-Projects!$C$26+1),0)+IF(AND(Projects!$G$27="Yes",56&gt;=Projects!$C$27,56&lt;Projects!$C$27+Projects!$D$27),Projects!$B$27*INDEX(Curves!$B$4:$AO$4,1,56-Projects!$C$27+1),0)+IF(AND(Projects!$G$28="Yes",56&gt;=Projects!$C$28,56&lt;Projects!$C$28+Projects!$D$28),Projects!$B$28*INDEX(Curves!$B$4:$AO$4,1,56-Projects!$C$28+1),0)+IF(AND(Projects!$G$29="Yes",56&gt;=Projects!$C$29,56&lt;Projects!$C$29+Projects!$D$29),Projects!$B$29*INDEX(Curves!$B$4:$AO$4,1,56-Projects!$C$29+1),0)</f>
        <v/>
      </c>
      <c r="BG97">
        <f>IF(AND(Projects!$G$17="Yes",57&gt;=Projects!$C$17,57&lt;Projects!$C$17+Projects!$D$17),Projects!$B$17*INDEX(Curves!$B$4:$AO$4,1,57-Projects!$C$17+1),0)+IF(AND(Projects!$G$18="Yes",57&gt;=Projects!$C$18,57&lt;Projects!$C$18+Projects!$D$18),Projects!$B$18*INDEX(Curves!$B$4:$AO$4,1,57-Projects!$C$18+1),0)+IF(AND(Projects!$G$19="Yes",57&gt;=Projects!$C$19,57&lt;Projects!$C$19+Projects!$D$19),Projects!$B$19*INDEX(Curves!$B$4:$AO$4,1,57-Projects!$C$19+1),0)+IF(AND(Projects!$G$20="Yes",57&gt;=Projects!$C$20,57&lt;Projects!$C$20+Projects!$D$20),Projects!$B$20*INDEX(Curves!$B$4:$AO$4,1,57-Projects!$C$20+1),0)+IF(AND(Projects!$G$21="Yes",57&gt;=Projects!$C$21,57&lt;Projects!$C$21+Projects!$D$21),Projects!$B$21*INDEX(Curves!$B$4:$AO$4,1,57-Projects!$C$21+1),0)+IF(AND(Projects!$G$22="Yes",57&gt;=Projects!$C$22,57&lt;Projects!$C$22+Projects!$D$22),Projects!$B$22*INDEX(Curves!$B$4:$AO$4,1,57-Projects!$C$22+1),0)+IF(AND(Projects!$G$23="Yes",57&gt;=Projects!$C$23,57&lt;Projects!$C$23+Projects!$D$23),Projects!$B$23*INDEX(Curves!$B$4:$AO$4,1,57-Projects!$C$23+1),0)+IF(AND(Projects!$G$24="Yes",57&gt;=Projects!$C$24,57&lt;Projects!$C$24+Projects!$D$24),Projects!$B$24*INDEX(Curves!$B$4:$AO$4,1,57-Projects!$C$24+1),0)+IF(AND(Projects!$G$25="Yes",57&gt;=Projects!$C$25,57&lt;Projects!$C$25+Projects!$D$25),Projects!$B$25*INDEX(Curves!$B$4:$AO$4,1,57-Projects!$C$25+1),0)+IF(AND(Projects!$G$26="Yes",57&gt;=Projects!$C$26,57&lt;Projects!$C$26+Projects!$D$26),Projects!$B$26*INDEX(Curves!$B$4:$AO$4,1,57-Projects!$C$26+1),0)+IF(AND(Projects!$G$27="Yes",57&gt;=Projects!$C$27,57&lt;Projects!$C$27+Projects!$D$27),Projects!$B$27*INDEX(Curves!$B$4:$AO$4,1,57-Projects!$C$27+1),0)+IF(AND(Projects!$G$28="Yes",57&gt;=Projects!$C$28,57&lt;Projects!$C$28+Projects!$D$28),Projects!$B$28*INDEX(Curves!$B$4:$AO$4,1,57-Projects!$C$28+1),0)+IF(AND(Projects!$G$29="Yes",57&gt;=Projects!$C$29,57&lt;Projects!$C$29+Projects!$D$29),Projects!$B$29*INDEX(Curves!$B$4:$AO$4,1,57-Projects!$C$29+1),0)</f>
        <v/>
      </c>
      <c r="BH97">
        <f>IF(AND(Projects!$G$17="Yes",58&gt;=Projects!$C$17,58&lt;Projects!$C$17+Projects!$D$17),Projects!$B$17*INDEX(Curves!$B$4:$AO$4,1,58-Projects!$C$17+1),0)+IF(AND(Projects!$G$18="Yes",58&gt;=Projects!$C$18,58&lt;Projects!$C$18+Projects!$D$18),Projects!$B$18*INDEX(Curves!$B$4:$AO$4,1,58-Projects!$C$18+1),0)+IF(AND(Projects!$G$19="Yes",58&gt;=Projects!$C$19,58&lt;Projects!$C$19+Projects!$D$19),Projects!$B$19*INDEX(Curves!$B$4:$AO$4,1,58-Projects!$C$19+1),0)+IF(AND(Projects!$G$20="Yes",58&gt;=Projects!$C$20,58&lt;Projects!$C$20+Projects!$D$20),Projects!$B$20*INDEX(Curves!$B$4:$AO$4,1,58-Projects!$C$20+1),0)+IF(AND(Projects!$G$21="Yes",58&gt;=Projects!$C$21,58&lt;Projects!$C$21+Projects!$D$21),Projects!$B$21*INDEX(Curves!$B$4:$AO$4,1,58-Projects!$C$21+1),0)+IF(AND(Projects!$G$22="Yes",58&gt;=Projects!$C$22,58&lt;Projects!$C$22+Projects!$D$22),Projects!$B$22*INDEX(Curves!$B$4:$AO$4,1,58-Projects!$C$22+1),0)+IF(AND(Projects!$G$23="Yes",58&gt;=Projects!$C$23,58&lt;Projects!$C$23+Projects!$D$23),Projects!$B$23*INDEX(Curves!$B$4:$AO$4,1,58-Projects!$C$23+1),0)+IF(AND(Projects!$G$24="Yes",58&gt;=Projects!$C$24,58&lt;Projects!$C$24+Projects!$D$24),Projects!$B$24*INDEX(Curves!$B$4:$AO$4,1,58-Projects!$C$24+1),0)+IF(AND(Projects!$G$25="Yes",58&gt;=Projects!$C$25,58&lt;Projects!$C$25+Projects!$D$25),Projects!$B$25*INDEX(Curves!$B$4:$AO$4,1,58-Projects!$C$25+1),0)+IF(AND(Projects!$G$26="Yes",58&gt;=Projects!$C$26,58&lt;Projects!$C$26+Projects!$D$26),Projects!$B$26*INDEX(Curves!$B$4:$AO$4,1,58-Projects!$C$26+1),0)+IF(AND(Projects!$G$27="Yes",58&gt;=Projects!$C$27,58&lt;Projects!$C$27+Projects!$D$27),Projects!$B$27*INDEX(Curves!$B$4:$AO$4,1,58-Projects!$C$27+1),0)+IF(AND(Projects!$G$28="Yes",58&gt;=Projects!$C$28,58&lt;Projects!$C$28+Projects!$D$28),Projects!$B$28*INDEX(Curves!$B$4:$AO$4,1,58-Projects!$C$28+1),0)+IF(AND(Projects!$G$29="Yes",58&gt;=Projects!$C$29,58&lt;Projects!$C$29+Projects!$D$29),Projects!$B$29*INDEX(Curves!$B$4:$AO$4,1,58-Projects!$C$29+1),0)</f>
        <v/>
      </c>
      <c r="BI97">
        <f>IF(AND(Projects!$G$17="Yes",59&gt;=Projects!$C$17,59&lt;Projects!$C$17+Projects!$D$17),Projects!$B$17*INDEX(Curves!$B$4:$AO$4,1,59-Projects!$C$17+1),0)+IF(AND(Projects!$G$18="Yes",59&gt;=Projects!$C$18,59&lt;Projects!$C$18+Projects!$D$18),Projects!$B$18*INDEX(Curves!$B$4:$AO$4,1,59-Projects!$C$18+1),0)+IF(AND(Projects!$G$19="Yes",59&gt;=Projects!$C$19,59&lt;Projects!$C$19+Projects!$D$19),Projects!$B$19*INDEX(Curves!$B$4:$AO$4,1,59-Projects!$C$19+1),0)+IF(AND(Projects!$G$20="Yes",59&gt;=Projects!$C$20,59&lt;Projects!$C$20+Projects!$D$20),Projects!$B$20*INDEX(Curves!$B$4:$AO$4,1,59-Projects!$C$20+1),0)+IF(AND(Projects!$G$21="Yes",59&gt;=Projects!$C$21,59&lt;Projects!$C$21+Projects!$D$21),Projects!$B$21*INDEX(Curves!$B$4:$AO$4,1,59-Projects!$C$21+1),0)+IF(AND(Projects!$G$22="Yes",59&gt;=Projects!$C$22,59&lt;Projects!$C$22+Projects!$D$22),Projects!$B$22*INDEX(Curves!$B$4:$AO$4,1,59-Projects!$C$22+1),0)+IF(AND(Projects!$G$23="Yes",59&gt;=Projects!$C$23,59&lt;Projects!$C$23+Projects!$D$23),Projects!$B$23*INDEX(Curves!$B$4:$AO$4,1,59-Projects!$C$23+1),0)+IF(AND(Projects!$G$24="Yes",59&gt;=Projects!$C$24,59&lt;Projects!$C$24+Projects!$D$24),Projects!$B$24*INDEX(Curves!$B$4:$AO$4,1,59-Projects!$C$24+1),0)+IF(AND(Projects!$G$25="Yes",59&gt;=Projects!$C$25,59&lt;Projects!$C$25+Projects!$D$25),Projects!$B$25*INDEX(Curves!$B$4:$AO$4,1,59-Projects!$C$25+1),0)+IF(AND(Projects!$G$26="Yes",59&gt;=Projects!$C$26,59&lt;Projects!$C$26+Projects!$D$26),Projects!$B$26*INDEX(Curves!$B$4:$AO$4,1,59-Projects!$C$26+1),0)+IF(AND(Projects!$G$27="Yes",59&gt;=Projects!$C$27,59&lt;Projects!$C$27+Projects!$D$27),Projects!$B$27*INDEX(Curves!$B$4:$AO$4,1,59-Projects!$C$27+1),0)+IF(AND(Projects!$G$28="Yes",59&gt;=Projects!$C$28,59&lt;Projects!$C$28+Projects!$D$28),Projects!$B$28*INDEX(Curves!$B$4:$AO$4,1,59-Projects!$C$28+1),0)+IF(AND(Projects!$G$29="Yes",59&gt;=Projects!$C$29,59&lt;Projects!$C$29+Projects!$D$29),Projects!$B$29*INDEX(Curves!$B$4:$AO$4,1,59-Projects!$C$29+1),0)</f>
        <v/>
      </c>
      <c r="BJ97">
        <f>IF(AND(Projects!$G$17="Yes",60&gt;=Projects!$C$17,60&lt;Projects!$C$17+Projects!$D$17),Projects!$B$17*INDEX(Curves!$B$4:$AO$4,1,60-Projects!$C$17+1),0)+IF(AND(Projects!$G$18="Yes",60&gt;=Projects!$C$18,60&lt;Projects!$C$18+Projects!$D$18),Projects!$B$18*INDEX(Curves!$B$4:$AO$4,1,60-Projects!$C$18+1),0)+IF(AND(Projects!$G$19="Yes",60&gt;=Projects!$C$19,60&lt;Projects!$C$19+Projects!$D$19),Projects!$B$19*INDEX(Curves!$B$4:$AO$4,1,60-Projects!$C$19+1),0)+IF(AND(Projects!$G$20="Yes",60&gt;=Projects!$C$20,60&lt;Projects!$C$20+Projects!$D$20),Projects!$B$20*INDEX(Curves!$B$4:$AO$4,1,60-Projects!$C$20+1),0)+IF(AND(Projects!$G$21="Yes",60&gt;=Projects!$C$21,60&lt;Projects!$C$21+Projects!$D$21),Projects!$B$21*INDEX(Curves!$B$4:$AO$4,1,60-Projects!$C$21+1),0)+IF(AND(Projects!$G$22="Yes",60&gt;=Projects!$C$22,60&lt;Projects!$C$22+Projects!$D$22),Projects!$B$22*INDEX(Curves!$B$4:$AO$4,1,60-Projects!$C$22+1),0)+IF(AND(Projects!$G$23="Yes",60&gt;=Projects!$C$23,60&lt;Projects!$C$23+Projects!$D$23),Projects!$B$23*INDEX(Curves!$B$4:$AO$4,1,60-Projects!$C$23+1),0)+IF(AND(Projects!$G$24="Yes",60&gt;=Projects!$C$24,60&lt;Projects!$C$24+Projects!$D$24),Projects!$B$24*INDEX(Curves!$B$4:$AO$4,1,60-Projects!$C$24+1),0)+IF(AND(Projects!$G$25="Yes",60&gt;=Projects!$C$25,60&lt;Projects!$C$25+Projects!$D$25),Projects!$B$25*INDEX(Curves!$B$4:$AO$4,1,60-Projects!$C$25+1),0)+IF(AND(Projects!$G$26="Yes",60&gt;=Projects!$C$26,60&lt;Projects!$C$26+Projects!$D$26),Projects!$B$26*INDEX(Curves!$B$4:$AO$4,1,60-Projects!$C$26+1),0)+IF(AND(Projects!$G$27="Yes",60&gt;=Projects!$C$27,60&lt;Projects!$C$27+Projects!$D$27),Projects!$B$27*INDEX(Curves!$B$4:$AO$4,1,60-Projects!$C$27+1),0)+IF(AND(Projects!$G$28="Yes",60&gt;=Projects!$C$28,60&lt;Projects!$C$28+Projects!$D$28),Projects!$B$28*INDEX(Curves!$B$4:$AO$4,1,60-Projects!$C$28+1),0)+IF(AND(Projects!$G$29="Yes",60&gt;=Projects!$C$29,60&lt;Projects!$C$29+Projects!$D$29),Projects!$B$29*INDEX(Curves!$B$4:$AO$4,1,60-Projects!$C$29+1),0)</f>
        <v/>
      </c>
      <c r="BK97">
        <f>IF(AND(Projects!$G$17="Yes",61&gt;=Projects!$C$17,61&lt;Projects!$C$17+Projects!$D$17),Projects!$B$17*INDEX(Curves!$B$4:$AO$4,1,61-Projects!$C$17+1),0)+IF(AND(Projects!$G$18="Yes",61&gt;=Projects!$C$18,61&lt;Projects!$C$18+Projects!$D$18),Projects!$B$18*INDEX(Curves!$B$4:$AO$4,1,61-Projects!$C$18+1),0)+IF(AND(Projects!$G$19="Yes",61&gt;=Projects!$C$19,61&lt;Projects!$C$19+Projects!$D$19),Projects!$B$19*INDEX(Curves!$B$4:$AO$4,1,61-Projects!$C$19+1),0)+IF(AND(Projects!$G$20="Yes",61&gt;=Projects!$C$20,61&lt;Projects!$C$20+Projects!$D$20),Projects!$B$20*INDEX(Curves!$B$4:$AO$4,1,61-Projects!$C$20+1),0)+IF(AND(Projects!$G$21="Yes",61&gt;=Projects!$C$21,61&lt;Projects!$C$21+Projects!$D$21),Projects!$B$21*INDEX(Curves!$B$4:$AO$4,1,61-Projects!$C$21+1),0)+IF(AND(Projects!$G$22="Yes",61&gt;=Projects!$C$22,61&lt;Projects!$C$22+Projects!$D$22),Projects!$B$22*INDEX(Curves!$B$4:$AO$4,1,61-Projects!$C$22+1),0)+IF(AND(Projects!$G$23="Yes",61&gt;=Projects!$C$23,61&lt;Projects!$C$23+Projects!$D$23),Projects!$B$23*INDEX(Curves!$B$4:$AO$4,1,61-Projects!$C$23+1),0)+IF(AND(Projects!$G$24="Yes",61&gt;=Projects!$C$24,61&lt;Projects!$C$24+Projects!$D$24),Projects!$B$24*INDEX(Curves!$B$4:$AO$4,1,61-Projects!$C$24+1),0)+IF(AND(Projects!$G$25="Yes",61&gt;=Projects!$C$25,61&lt;Projects!$C$25+Projects!$D$25),Projects!$B$25*INDEX(Curves!$B$4:$AO$4,1,61-Projects!$C$25+1),0)+IF(AND(Projects!$G$26="Yes",61&gt;=Projects!$C$26,61&lt;Projects!$C$26+Projects!$D$26),Projects!$B$26*INDEX(Curves!$B$4:$AO$4,1,61-Projects!$C$26+1),0)+IF(AND(Projects!$G$27="Yes",61&gt;=Projects!$C$27,61&lt;Projects!$C$27+Projects!$D$27),Projects!$B$27*INDEX(Curves!$B$4:$AO$4,1,61-Projects!$C$27+1),0)+IF(AND(Projects!$G$28="Yes",61&gt;=Projects!$C$28,61&lt;Projects!$C$28+Projects!$D$28),Projects!$B$28*INDEX(Curves!$B$4:$AO$4,1,61-Projects!$C$28+1),0)+IF(AND(Projects!$G$29="Yes",61&gt;=Projects!$C$29,61&lt;Projects!$C$29+Projects!$D$29),Projects!$B$29*INDEX(Curves!$B$4:$AO$4,1,61-Projects!$C$29+1),0)</f>
        <v/>
      </c>
      <c r="BL97">
        <f>IF(AND(Projects!$G$17="Yes",62&gt;=Projects!$C$17,62&lt;Projects!$C$17+Projects!$D$17),Projects!$B$17*INDEX(Curves!$B$4:$AO$4,1,62-Projects!$C$17+1),0)+IF(AND(Projects!$G$18="Yes",62&gt;=Projects!$C$18,62&lt;Projects!$C$18+Projects!$D$18),Projects!$B$18*INDEX(Curves!$B$4:$AO$4,1,62-Projects!$C$18+1),0)+IF(AND(Projects!$G$19="Yes",62&gt;=Projects!$C$19,62&lt;Projects!$C$19+Projects!$D$19),Projects!$B$19*INDEX(Curves!$B$4:$AO$4,1,62-Projects!$C$19+1),0)+IF(AND(Projects!$G$20="Yes",62&gt;=Projects!$C$20,62&lt;Projects!$C$20+Projects!$D$20),Projects!$B$20*INDEX(Curves!$B$4:$AO$4,1,62-Projects!$C$20+1),0)+IF(AND(Projects!$G$21="Yes",62&gt;=Projects!$C$21,62&lt;Projects!$C$21+Projects!$D$21),Projects!$B$21*INDEX(Curves!$B$4:$AO$4,1,62-Projects!$C$21+1),0)+IF(AND(Projects!$G$22="Yes",62&gt;=Projects!$C$22,62&lt;Projects!$C$22+Projects!$D$22),Projects!$B$22*INDEX(Curves!$B$4:$AO$4,1,62-Projects!$C$22+1),0)+IF(AND(Projects!$G$23="Yes",62&gt;=Projects!$C$23,62&lt;Projects!$C$23+Projects!$D$23),Projects!$B$23*INDEX(Curves!$B$4:$AO$4,1,62-Projects!$C$23+1),0)+IF(AND(Projects!$G$24="Yes",62&gt;=Projects!$C$24,62&lt;Projects!$C$24+Projects!$D$24),Projects!$B$24*INDEX(Curves!$B$4:$AO$4,1,62-Projects!$C$24+1),0)+IF(AND(Projects!$G$25="Yes",62&gt;=Projects!$C$25,62&lt;Projects!$C$25+Projects!$D$25),Projects!$B$25*INDEX(Curves!$B$4:$AO$4,1,62-Projects!$C$25+1),0)+IF(AND(Projects!$G$26="Yes",62&gt;=Projects!$C$26,62&lt;Projects!$C$26+Projects!$D$26),Projects!$B$26*INDEX(Curves!$B$4:$AO$4,1,62-Projects!$C$26+1),0)+IF(AND(Projects!$G$27="Yes",62&gt;=Projects!$C$27,62&lt;Projects!$C$27+Projects!$D$27),Projects!$B$27*INDEX(Curves!$B$4:$AO$4,1,62-Projects!$C$27+1),0)+IF(AND(Projects!$G$28="Yes",62&gt;=Projects!$C$28,62&lt;Projects!$C$28+Projects!$D$28),Projects!$B$28*INDEX(Curves!$B$4:$AO$4,1,62-Projects!$C$28+1),0)+IF(AND(Projects!$G$29="Yes",62&gt;=Projects!$C$29,62&lt;Projects!$C$29+Projects!$D$29),Projects!$B$29*INDEX(Curves!$B$4:$AO$4,1,62-Projects!$C$29+1),0)</f>
        <v/>
      </c>
      <c r="BM97">
        <f>IF(AND(Projects!$G$17="Yes",63&gt;=Projects!$C$17,63&lt;Projects!$C$17+Projects!$D$17),Projects!$B$17*INDEX(Curves!$B$4:$AO$4,1,63-Projects!$C$17+1),0)+IF(AND(Projects!$G$18="Yes",63&gt;=Projects!$C$18,63&lt;Projects!$C$18+Projects!$D$18),Projects!$B$18*INDEX(Curves!$B$4:$AO$4,1,63-Projects!$C$18+1),0)+IF(AND(Projects!$G$19="Yes",63&gt;=Projects!$C$19,63&lt;Projects!$C$19+Projects!$D$19),Projects!$B$19*INDEX(Curves!$B$4:$AO$4,1,63-Projects!$C$19+1),0)+IF(AND(Projects!$G$20="Yes",63&gt;=Projects!$C$20,63&lt;Projects!$C$20+Projects!$D$20),Projects!$B$20*INDEX(Curves!$B$4:$AO$4,1,63-Projects!$C$20+1),0)+IF(AND(Projects!$G$21="Yes",63&gt;=Projects!$C$21,63&lt;Projects!$C$21+Projects!$D$21),Projects!$B$21*INDEX(Curves!$B$4:$AO$4,1,63-Projects!$C$21+1),0)+IF(AND(Projects!$G$22="Yes",63&gt;=Projects!$C$22,63&lt;Projects!$C$22+Projects!$D$22),Projects!$B$22*INDEX(Curves!$B$4:$AO$4,1,63-Projects!$C$22+1),0)+IF(AND(Projects!$G$23="Yes",63&gt;=Projects!$C$23,63&lt;Projects!$C$23+Projects!$D$23),Projects!$B$23*INDEX(Curves!$B$4:$AO$4,1,63-Projects!$C$23+1),0)+IF(AND(Projects!$G$24="Yes",63&gt;=Projects!$C$24,63&lt;Projects!$C$24+Projects!$D$24),Projects!$B$24*INDEX(Curves!$B$4:$AO$4,1,63-Projects!$C$24+1),0)+IF(AND(Projects!$G$25="Yes",63&gt;=Projects!$C$25,63&lt;Projects!$C$25+Projects!$D$25),Projects!$B$25*INDEX(Curves!$B$4:$AO$4,1,63-Projects!$C$25+1),0)+IF(AND(Projects!$G$26="Yes",63&gt;=Projects!$C$26,63&lt;Projects!$C$26+Projects!$D$26),Projects!$B$26*INDEX(Curves!$B$4:$AO$4,1,63-Projects!$C$26+1),0)+IF(AND(Projects!$G$27="Yes",63&gt;=Projects!$C$27,63&lt;Projects!$C$27+Projects!$D$27),Projects!$B$27*INDEX(Curves!$B$4:$AO$4,1,63-Projects!$C$27+1),0)+IF(AND(Projects!$G$28="Yes",63&gt;=Projects!$C$28,63&lt;Projects!$C$28+Projects!$D$28),Projects!$B$28*INDEX(Curves!$B$4:$AO$4,1,63-Projects!$C$28+1),0)+IF(AND(Projects!$G$29="Yes",63&gt;=Projects!$C$29,63&lt;Projects!$C$29+Projects!$D$29),Projects!$B$29*INDEX(Curves!$B$4:$AO$4,1,63-Projects!$C$29+1),0)</f>
        <v/>
      </c>
      <c r="BN97">
        <f>IF(AND(Projects!$G$17="Yes",64&gt;=Projects!$C$17,64&lt;Projects!$C$17+Projects!$D$17),Projects!$B$17*INDEX(Curves!$B$4:$AO$4,1,64-Projects!$C$17+1),0)+IF(AND(Projects!$G$18="Yes",64&gt;=Projects!$C$18,64&lt;Projects!$C$18+Projects!$D$18),Projects!$B$18*INDEX(Curves!$B$4:$AO$4,1,64-Projects!$C$18+1),0)+IF(AND(Projects!$G$19="Yes",64&gt;=Projects!$C$19,64&lt;Projects!$C$19+Projects!$D$19),Projects!$B$19*INDEX(Curves!$B$4:$AO$4,1,64-Projects!$C$19+1),0)+IF(AND(Projects!$G$20="Yes",64&gt;=Projects!$C$20,64&lt;Projects!$C$20+Projects!$D$20),Projects!$B$20*INDEX(Curves!$B$4:$AO$4,1,64-Projects!$C$20+1),0)+IF(AND(Projects!$G$21="Yes",64&gt;=Projects!$C$21,64&lt;Projects!$C$21+Projects!$D$21),Projects!$B$21*INDEX(Curves!$B$4:$AO$4,1,64-Projects!$C$21+1),0)+IF(AND(Projects!$G$22="Yes",64&gt;=Projects!$C$22,64&lt;Projects!$C$22+Projects!$D$22),Projects!$B$22*INDEX(Curves!$B$4:$AO$4,1,64-Projects!$C$22+1),0)+IF(AND(Projects!$G$23="Yes",64&gt;=Projects!$C$23,64&lt;Projects!$C$23+Projects!$D$23),Projects!$B$23*INDEX(Curves!$B$4:$AO$4,1,64-Projects!$C$23+1),0)+IF(AND(Projects!$G$24="Yes",64&gt;=Projects!$C$24,64&lt;Projects!$C$24+Projects!$D$24),Projects!$B$24*INDEX(Curves!$B$4:$AO$4,1,64-Projects!$C$24+1),0)+IF(AND(Projects!$G$25="Yes",64&gt;=Projects!$C$25,64&lt;Projects!$C$25+Projects!$D$25),Projects!$B$25*INDEX(Curves!$B$4:$AO$4,1,64-Projects!$C$25+1),0)+IF(AND(Projects!$G$26="Yes",64&gt;=Projects!$C$26,64&lt;Projects!$C$26+Projects!$D$26),Projects!$B$26*INDEX(Curves!$B$4:$AO$4,1,64-Projects!$C$26+1),0)+IF(AND(Projects!$G$27="Yes",64&gt;=Projects!$C$27,64&lt;Projects!$C$27+Projects!$D$27),Projects!$B$27*INDEX(Curves!$B$4:$AO$4,1,64-Projects!$C$27+1),0)+IF(AND(Projects!$G$28="Yes",64&gt;=Projects!$C$28,64&lt;Projects!$C$28+Projects!$D$28),Projects!$B$28*INDEX(Curves!$B$4:$AO$4,1,64-Projects!$C$28+1),0)+IF(AND(Projects!$G$29="Yes",64&gt;=Projects!$C$29,64&lt;Projects!$C$29+Projects!$D$29),Projects!$B$29*INDEX(Curves!$B$4:$AO$4,1,64-Projects!$C$29+1),0)</f>
        <v/>
      </c>
      <c r="BO97">
        <f>IF(AND(Projects!$G$17="Yes",65&gt;=Projects!$C$17,65&lt;Projects!$C$17+Projects!$D$17),Projects!$B$17*INDEX(Curves!$B$4:$AO$4,1,65-Projects!$C$17+1),0)+IF(AND(Projects!$G$18="Yes",65&gt;=Projects!$C$18,65&lt;Projects!$C$18+Projects!$D$18),Projects!$B$18*INDEX(Curves!$B$4:$AO$4,1,65-Projects!$C$18+1),0)+IF(AND(Projects!$G$19="Yes",65&gt;=Projects!$C$19,65&lt;Projects!$C$19+Projects!$D$19),Projects!$B$19*INDEX(Curves!$B$4:$AO$4,1,65-Projects!$C$19+1),0)+IF(AND(Projects!$G$20="Yes",65&gt;=Projects!$C$20,65&lt;Projects!$C$20+Projects!$D$20),Projects!$B$20*INDEX(Curves!$B$4:$AO$4,1,65-Projects!$C$20+1),0)+IF(AND(Projects!$G$21="Yes",65&gt;=Projects!$C$21,65&lt;Projects!$C$21+Projects!$D$21),Projects!$B$21*INDEX(Curves!$B$4:$AO$4,1,65-Projects!$C$21+1),0)+IF(AND(Projects!$G$22="Yes",65&gt;=Projects!$C$22,65&lt;Projects!$C$22+Projects!$D$22),Projects!$B$22*INDEX(Curves!$B$4:$AO$4,1,65-Projects!$C$22+1),0)+IF(AND(Projects!$G$23="Yes",65&gt;=Projects!$C$23,65&lt;Projects!$C$23+Projects!$D$23),Projects!$B$23*INDEX(Curves!$B$4:$AO$4,1,65-Projects!$C$23+1),0)+IF(AND(Projects!$G$24="Yes",65&gt;=Projects!$C$24,65&lt;Projects!$C$24+Projects!$D$24),Projects!$B$24*INDEX(Curves!$B$4:$AO$4,1,65-Projects!$C$24+1),0)+IF(AND(Projects!$G$25="Yes",65&gt;=Projects!$C$25,65&lt;Projects!$C$25+Projects!$D$25),Projects!$B$25*INDEX(Curves!$B$4:$AO$4,1,65-Projects!$C$25+1),0)+IF(AND(Projects!$G$26="Yes",65&gt;=Projects!$C$26,65&lt;Projects!$C$26+Projects!$D$26),Projects!$B$26*INDEX(Curves!$B$4:$AO$4,1,65-Projects!$C$26+1),0)+IF(AND(Projects!$G$27="Yes",65&gt;=Projects!$C$27,65&lt;Projects!$C$27+Projects!$D$27),Projects!$B$27*INDEX(Curves!$B$4:$AO$4,1,65-Projects!$C$27+1),0)+IF(AND(Projects!$G$28="Yes",65&gt;=Projects!$C$28,65&lt;Projects!$C$28+Projects!$D$28),Projects!$B$28*INDEX(Curves!$B$4:$AO$4,1,65-Projects!$C$28+1),0)+IF(AND(Projects!$G$29="Yes",65&gt;=Projects!$C$29,65&lt;Projects!$C$29+Projects!$D$29),Projects!$B$29*INDEX(Curves!$B$4:$AO$4,1,65-Projects!$C$29+1),0)</f>
        <v/>
      </c>
      <c r="BP97">
        <f>IF(AND(Projects!$G$17="Yes",66&gt;=Projects!$C$17,66&lt;Projects!$C$17+Projects!$D$17),Projects!$B$17*INDEX(Curves!$B$4:$AO$4,1,66-Projects!$C$17+1),0)+IF(AND(Projects!$G$18="Yes",66&gt;=Projects!$C$18,66&lt;Projects!$C$18+Projects!$D$18),Projects!$B$18*INDEX(Curves!$B$4:$AO$4,1,66-Projects!$C$18+1),0)+IF(AND(Projects!$G$19="Yes",66&gt;=Projects!$C$19,66&lt;Projects!$C$19+Projects!$D$19),Projects!$B$19*INDEX(Curves!$B$4:$AO$4,1,66-Projects!$C$19+1),0)+IF(AND(Projects!$G$20="Yes",66&gt;=Projects!$C$20,66&lt;Projects!$C$20+Projects!$D$20),Projects!$B$20*INDEX(Curves!$B$4:$AO$4,1,66-Projects!$C$20+1),0)+IF(AND(Projects!$G$21="Yes",66&gt;=Projects!$C$21,66&lt;Projects!$C$21+Projects!$D$21),Projects!$B$21*INDEX(Curves!$B$4:$AO$4,1,66-Projects!$C$21+1),0)+IF(AND(Projects!$G$22="Yes",66&gt;=Projects!$C$22,66&lt;Projects!$C$22+Projects!$D$22),Projects!$B$22*INDEX(Curves!$B$4:$AO$4,1,66-Projects!$C$22+1),0)+IF(AND(Projects!$G$23="Yes",66&gt;=Projects!$C$23,66&lt;Projects!$C$23+Projects!$D$23),Projects!$B$23*INDEX(Curves!$B$4:$AO$4,1,66-Projects!$C$23+1),0)+IF(AND(Projects!$G$24="Yes",66&gt;=Projects!$C$24,66&lt;Projects!$C$24+Projects!$D$24),Projects!$B$24*INDEX(Curves!$B$4:$AO$4,1,66-Projects!$C$24+1),0)+IF(AND(Projects!$G$25="Yes",66&gt;=Projects!$C$25,66&lt;Projects!$C$25+Projects!$D$25),Projects!$B$25*INDEX(Curves!$B$4:$AO$4,1,66-Projects!$C$25+1),0)+IF(AND(Projects!$G$26="Yes",66&gt;=Projects!$C$26,66&lt;Projects!$C$26+Projects!$D$26),Projects!$B$26*INDEX(Curves!$B$4:$AO$4,1,66-Projects!$C$26+1),0)+IF(AND(Projects!$G$27="Yes",66&gt;=Projects!$C$27,66&lt;Projects!$C$27+Projects!$D$27),Projects!$B$27*INDEX(Curves!$B$4:$AO$4,1,66-Projects!$C$27+1),0)+IF(AND(Projects!$G$28="Yes",66&gt;=Projects!$C$28,66&lt;Projects!$C$28+Projects!$D$28),Projects!$B$28*INDEX(Curves!$B$4:$AO$4,1,66-Projects!$C$28+1),0)+IF(AND(Projects!$G$29="Yes",66&gt;=Projects!$C$29,66&lt;Projects!$C$29+Projects!$D$29),Projects!$B$29*INDEX(Curves!$B$4:$AO$4,1,66-Projects!$C$29+1),0)</f>
        <v/>
      </c>
      <c r="BQ97">
        <f>IF(AND(Projects!$G$17="Yes",67&gt;=Projects!$C$17,67&lt;Projects!$C$17+Projects!$D$17),Projects!$B$17*INDEX(Curves!$B$4:$AO$4,1,67-Projects!$C$17+1),0)+IF(AND(Projects!$G$18="Yes",67&gt;=Projects!$C$18,67&lt;Projects!$C$18+Projects!$D$18),Projects!$B$18*INDEX(Curves!$B$4:$AO$4,1,67-Projects!$C$18+1),0)+IF(AND(Projects!$G$19="Yes",67&gt;=Projects!$C$19,67&lt;Projects!$C$19+Projects!$D$19),Projects!$B$19*INDEX(Curves!$B$4:$AO$4,1,67-Projects!$C$19+1),0)+IF(AND(Projects!$G$20="Yes",67&gt;=Projects!$C$20,67&lt;Projects!$C$20+Projects!$D$20),Projects!$B$20*INDEX(Curves!$B$4:$AO$4,1,67-Projects!$C$20+1),0)+IF(AND(Projects!$G$21="Yes",67&gt;=Projects!$C$21,67&lt;Projects!$C$21+Projects!$D$21),Projects!$B$21*INDEX(Curves!$B$4:$AO$4,1,67-Projects!$C$21+1),0)+IF(AND(Projects!$G$22="Yes",67&gt;=Projects!$C$22,67&lt;Projects!$C$22+Projects!$D$22),Projects!$B$22*INDEX(Curves!$B$4:$AO$4,1,67-Projects!$C$22+1),0)+IF(AND(Projects!$G$23="Yes",67&gt;=Projects!$C$23,67&lt;Projects!$C$23+Projects!$D$23),Projects!$B$23*INDEX(Curves!$B$4:$AO$4,1,67-Projects!$C$23+1),0)+IF(AND(Projects!$G$24="Yes",67&gt;=Projects!$C$24,67&lt;Projects!$C$24+Projects!$D$24),Projects!$B$24*INDEX(Curves!$B$4:$AO$4,1,67-Projects!$C$24+1),0)+IF(AND(Projects!$G$25="Yes",67&gt;=Projects!$C$25,67&lt;Projects!$C$25+Projects!$D$25),Projects!$B$25*INDEX(Curves!$B$4:$AO$4,1,67-Projects!$C$25+1),0)+IF(AND(Projects!$G$26="Yes",67&gt;=Projects!$C$26,67&lt;Projects!$C$26+Projects!$D$26),Projects!$B$26*INDEX(Curves!$B$4:$AO$4,1,67-Projects!$C$26+1),0)+IF(AND(Projects!$G$27="Yes",67&gt;=Projects!$C$27,67&lt;Projects!$C$27+Projects!$D$27),Projects!$B$27*INDEX(Curves!$B$4:$AO$4,1,67-Projects!$C$27+1),0)+IF(AND(Projects!$G$28="Yes",67&gt;=Projects!$C$28,67&lt;Projects!$C$28+Projects!$D$28),Projects!$B$28*INDEX(Curves!$B$4:$AO$4,1,67-Projects!$C$28+1),0)+IF(AND(Projects!$G$29="Yes",67&gt;=Projects!$C$29,67&lt;Projects!$C$29+Projects!$D$29),Projects!$B$29*INDEX(Curves!$B$4:$AO$4,1,67-Projects!$C$29+1),0)</f>
        <v/>
      </c>
      <c r="BR97">
        <f>IF(AND(Projects!$G$17="Yes",68&gt;=Projects!$C$17,68&lt;Projects!$C$17+Projects!$D$17),Projects!$B$17*INDEX(Curves!$B$4:$AO$4,1,68-Projects!$C$17+1),0)+IF(AND(Projects!$G$18="Yes",68&gt;=Projects!$C$18,68&lt;Projects!$C$18+Projects!$D$18),Projects!$B$18*INDEX(Curves!$B$4:$AO$4,1,68-Projects!$C$18+1),0)+IF(AND(Projects!$G$19="Yes",68&gt;=Projects!$C$19,68&lt;Projects!$C$19+Projects!$D$19),Projects!$B$19*INDEX(Curves!$B$4:$AO$4,1,68-Projects!$C$19+1),0)+IF(AND(Projects!$G$20="Yes",68&gt;=Projects!$C$20,68&lt;Projects!$C$20+Projects!$D$20),Projects!$B$20*INDEX(Curves!$B$4:$AO$4,1,68-Projects!$C$20+1),0)+IF(AND(Projects!$G$21="Yes",68&gt;=Projects!$C$21,68&lt;Projects!$C$21+Projects!$D$21),Projects!$B$21*INDEX(Curves!$B$4:$AO$4,1,68-Projects!$C$21+1),0)+IF(AND(Projects!$G$22="Yes",68&gt;=Projects!$C$22,68&lt;Projects!$C$22+Projects!$D$22),Projects!$B$22*INDEX(Curves!$B$4:$AO$4,1,68-Projects!$C$22+1),0)+IF(AND(Projects!$G$23="Yes",68&gt;=Projects!$C$23,68&lt;Projects!$C$23+Projects!$D$23),Projects!$B$23*INDEX(Curves!$B$4:$AO$4,1,68-Projects!$C$23+1),0)+IF(AND(Projects!$G$24="Yes",68&gt;=Projects!$C$24,68&lt;Projects!$C$24+Projects!$D$24),Projects!$B$24*INDEX(Curves!$B$4:$AO$4,1,68-Projects!$C$24+1),0)+IF(AND(Projects!$G$25="Yes",68&gt;=Projects!$C$25,68&lt;Projects!$C$25+Projects!$D$25),Projects!$B$25*INDEX(Curves!$B$4:$AO$4,1,68-Projects!$C$25+1),0)+IF(AND(Projects!$G$26="Yes",68&gt;=Projects!$C$26,68&lt;Projects!$C$26+Projects!$D$26),Projects!$B$26*INDEX(Curves!$B$4:$AO$4,1,68-Projects!$C$26+1),0)+IF(AND(Projects!$G$27="Yes",68&gt;=Projects!$C$27,68&lt;Projects!$C$27+Projects!$D$27),Projects!$B$27*INDEX(Curves!$B$4:$AO$4,1,68-Projects!$C$27+1),0)+IF(AND(Projects!$G$28="Yes",68&gt;=Projects!$C$28,68&lt;Projects!$C$28+Projects!$D$28),Projects!$B$28*INDEX(Curves!$B$4:$AO$4,1,68-Projects!$C$28+1),0)+IF(AND(Projects!$G$29="Yes",68&gt;=Projects!$C$29,68&lt;Projects!$C$29+Projects!$D$29),Projects!$B$29*INDEX(Curves!$B$4:$AO$4,1,68-Projects!$C$29+1),0)</f>
        <v/>
      </c>
      <c r="BS97">
        <f>IF(AND(Projects!$G$17="Yes",69&gt;=Projects!$C$17,69&lt;Projects!$C$17+Projects!$D$17),Projects!$B$17*INDEX(Curves!$B$4:$AO$4,1,69-Projects!$C$17+1),0)+IF(AND(Projects!$G$18="Yes",69&gt;=Projects!$C$18,69&lt;Projects!$C$18+Projects!$D$18),Projects!$B$18*INDEX(Curves!$B$4:$AO$4,1,69-Projects!$C$18+1),0)+IF(AND(Projects!$G$19="Yes",69&gt;=Projects!$C$19,69&lt;Projects!$C$19+Projects!$D$19),Projects!$B$19*INDEX(Curves!$B$4:$AO$4,1,69-Projects!$C$19+1),0)+IF(AND(Projects!$G$20="Yes",69&gt;=Projects!$C$20,69&lt;Projects!$C$20+Projects!$D$20),Projects!$B$20*INDEX(Curves!$B$4:$AO$4,1,69-Projects!$C$20+1),0)+IF(AND(Projects!$G$21="Yes",69&gt;=Projects!$C$21,69&lt;Projects!$C$21+Projects!$D$21),Projects!$B$21*INDEX(Curves!$B$4:$AO$4,1,69-Projects!$C$21+1),0)+IF(AND(Projects!$G$22="Yes",69&gt;=Projects!$C$22,69&lt;Projects!$C$22+Projects!$D$22),Projects!$B$22*INDEX(Curves!$B$4:$AO$4,1,69-Projects!$C$22+1),0)+IF(AND(Projects!$G$23="Yes",69&gt;=Projects!$C$23,69&lt;Projects!$C$23+Projects!$D$23),Projects!$B$23*INDEX(Curves!$B$4:$AO$4,1,69-Projects!$C$23+1),0)+IF(AND(Projects!$G$24="Yes",69&gt;=Projects!$C$24,69&lt;Projects!$C$24+Projects!$D$24),Projects!$B$24*INDEX(Curves!$B$4:$AO$4,1,69-Projects!$C$24+1),0)+IF(AND(Projects!$G$25="Yes",69&gt;=Projects!$C$25,69&lt;Projects!$C$25+Projects!$D$25),Projects!$B$25*INDEX(Curves!$B$4:$AO$4,1,69-Projects!$C$25+1),0)+IF(AND(Projects!$G$26="Yes",69&gt;=Projects!$C$26,69&lt;Projects!$C$26+Projects!$D$26),Projects!$B$26*INDEX(Curves!$B$4:$AO$4,1,69-Projects!$C$26+1),0)+IF(AND(Projects!$G$27="Yes",69&gt;=Projects!$C$27,69&lt;Projects!$C$27+Projects!$D$27),Projects!$B$27*INDEX(Curves!$B$4:$AO$4,1,69-Projects!$C$27+1),0)+IF(AND(Projects!$G$28="Yes",69&gt;=Projects!$C$28,69&lt;Projects!$C$28+Projects!$D$28),Projects!$B$28*INDEX(Curves!$B$4:$AO$4,1,69-Projects!$C$28+1),0)+IF(AND(Projects!$G$29="Yes",69&gt;=Projects!$C$29,69&lt;Projects!$C$29+Projects!$D$29),Projects!$B$29*INDEX(Curves!$B$4:$AO$4,1,69-Projects!$C$29+1),0)</f>
        <v/>
      </c>
      <c r="BT97">
        <f>IF(AND(Projects!$G$17="Yes",70&gt;=Projects!$C$17,70&lt;Projects!$C$17+Projects!$D$17),Projects!$B$17*INDEX(Curves!$B$4:$AO$4,1,70-Projects!$C$17+1),0)+IF(AND(Projects!$G$18="Yes",70&gt;=Projects!$C$18,70&lt;Projects!$C$18+Projects!$D$18),Projects!$B$18*INDEX(Curves!$B$4:$AO$4,1,70-Projects!$C$18+1),0)+IF(AND(Projects!$G$19="Yes",70&gt;=Projects!$C$19,70&lt;Projects!$C$19+Projects!$D$19),Projects!$B$19*INDEX(Curves!$B$4:$AO$4,1,70-Projects!$C$19+1),0)+IF(AND(Projects!$G$20="Yes",70&gt;=Projects!$C$20,70&lt;Projects!$C$20+Projects!$D$20),Projects!$B$20*INDEX(Curves!$B$4:$AO$4,1,70-Projects!$C$20+1),0)+IF(AND(Projects!$G$21="Yes",70&gt;=Projects!$C$21,70&lt;Projects!$C$21+Projects!$D$21),Projects!$B$21*INDEX(Curves!$B$4:$AO$4,1,70-Projects!$C$21+1),0)+IF(AND(Projects!$G$22="Yes",70&gt;=Projects!$C$22,70&lt;Projects!$C$22+Projects!$D$22),Projects!$B$22*INDEX(Curves!$B$4:$AO$4,1,70-Projects!$C$22+1),0)+IF(AND(Projects!$G$23="Yes",70&gt;=Projects!$C$23,70&lt;Projects!$C$23+Projects!$D$23),Projects!$B$23*INDEX(Curves!$B$4:$AO$4,1,70-Projects!$C$23+1),0)+IF(AND(Projects!$G$24="Yes",70&gt;=Projects!$C$24,70&lt;Projects!$C$24+Projects!$D$24),Projects!$B$24*INDEX(Curves!$B$4:$AO$4,1,70-Projects!$C$24+1),0)+IF(AND(Projects!$G$25="Yes",70&gt;=Projects!$C$25,70&lt;Projects!$C$25+Projects!$D$25),Projects!$B$25*INDEX(Curves!$B$4:$AO$4,1,70-Projects!$C$25+1),0)+IF(AND(Projects!$G$26="Yes",70&gt;=Projects!$C$26,70&lt;Projects!$C$26+Projects!$D$26),Projects!$B$26*INDEX(Curves!$B$4:$AO$4,1,70-Projects!$C$26+1),0)+IF(AND(Projects!$G$27="Yes",70&gt;=Projects!$C$27,70&lt;Projects!$C$27+Projects!$D$27),Projects!$B$27*INDEX(Curves!$B$4:$AO$4,1,70-Projects!$C$27+1),0)+IF(AND(Projects!$G$28="Yes",70&gt;=Projects!$C$28,70&lt;Projects!$C$28+Projects!$D$28),Projects!$B$28*INDEX(Curves!$B$4:$AO$4,1,70-Projects!$C$28+1),0)+IF(AND(Projects!$G$29="Yes",70&gt;=Projects!$C$29,70&lt;Projects!$C$29+Projects!$D$29),Projects!$B$29*INDEX(Curves!$B$4:$AO$4,1,70-Projects!$C$29+1),0)</f>
        <v/>
      </c>
      <c r="BU97">
        <f>IF(AND(Projects!$G$17="Yes",71&gt;=Projects!$C$17,71&lt;Projects!$C$17+Projects!$D$17),Projects!$B$17*INDEX(Curves!$B$4:$AO$4,1,71-Projects!$C$17+1),0)+IF(AND(Projects!$G$18="Yes",71&gt;=Projects!$C$18,71&lt;Projects!$C$18+Projects!$D$18),Projects!$B$18*INDEX(Curves!$B$4:$AO$4,1,71-Projects!$C$18+1),0)+IF(AND(Projects!$G$19="Yes",71&gt;=Projects!$C$19,71&lt;Projects!$C$19+Projects!$D$19),Projects!$B$19*INDEX(Curves!$B$4:$AO$4,1,71-Projects!$C$19+1),0)+IF(AND(Projects!$G$20="Yes",71&gt;=Projects!$C$20,71&lt;Projects!$C$20+Projects!$D$20),Projects!$B$20*INDEX(Curves!$B$4:$AO$4,1,71-Projects!$C$20+1),0)+IF(AND(Projects!$G$21="Yes",71&gt;=Projects!$C$21,71&lt;Projects!$C$21+Projects!$D$21),Projects!$B$21*INDEX(Curves!$B$4:$AO$4,1,71-Projects!$C$21+1),0)+IF(AND(Projects!$G$22="Yes",71&gt;=Projects!$C$22,71&lt;Projects!$C$22+Projects!$D$22),Projects!$B$22*INDEX(Curves!$B$4:$AO$4,1,71-Projects!$C$22+1),0)+IF(AND(Projects!$G$23="Yes",71&gt;=Projects!$C$23,71&lt;Projects!$C$23+Projects!$D$23),Projects!$B$23*INDEX(Curves!$B$4:$AO$4,1,71-Projects!$C$23+1),0)+IF(AND(Projects!$G$24="Yes",71&gt;=Projects!$C$24,71&lt;Projects!$C$24+Projects!$D$24),Projects!$B$24*INDEX(Curves!$B$4:$AO$4,1,71-Projects!$C$24+1),0)+IF(AND(Projects!$G$25="Yes",71&gt;=Projects!$C$25,71&lt;Projects!$C$25+Projects!$D$25),Projects!$B$25*INDEX(Curves!$B$4:$AO$4,1,71-Projects!$C$25+1),0)+IF(AND(Projects!$G$26="Yes",71&gt;=Projects!$C$26,71&lt;Projects!$C$26+Projects!$D$26),Projects!$B$26*INDEX(Curves!$B$4:$AO$4,1,71-Projects!$C$26+1),0)+IF(AND(Projects!$G$27="Yes",71&gt;=Projects!$C$27,71&lt;Projects!$C$27+Projects!$D$27),Projects!$B$27*INDEX(Curves!$B$4:$AO$4,1,71-Projects!$C$27+1),0)+IF(AND(Projects!$G$28="Yes",71&gt;=Projects!$C$28,71&lt;Projects!$C$28+Projects!$D$28),Projects!$B$28*INDEX(Curves!$B$4:$AO$4,1,71-Projects!$C$28+1),0)+IF(AND(Projects!$G$29="Yes",71&gt;=Projects!$C$29,71&lt;Projects!$C$29+Projects!$D$29),Projects!$B$29*INDEX(Curves!$B$4:$AO$4,1,71-Projects!$C$29+1),0)</f>
        <v/>
      </c>
      <c r="BV97">
        <f>IF(AND(Projects!$G$17="Yes",72&gt;=Projects!$C$17,72&lt;Projects!$C$17+Projects!$D$17),Projects!$B$17*INDEX(Curves!$B$4:$AO$4,1,72-Projects!$C$17+1),0)+IF(AND(Projects!$G$18="Yes",72&gt;=Projects!$C$18,72&lt;Projects!$C$18+Projects!$D$18),Projects!$B$18*INDEX(Curves!$B$4:$AO$4,1,72-Projects!$C$18+1),0)+IF(AND(Projects!$G$19="Yes",72&gt;=Projects!$C$19,72&lt;Projects!$C$19+Projects!$D$19),Projects!$B$19*INDEX(Curves!$B$4:$AO$4,1,72-Projects!$C$19+1),0)+IF(AND(Projects!$G$20="Yes",72&gt;=Projects!$C$20,72&lt;Projects!$C$20+Projects!$D$20),Projects!$B$20*INDEX(Curves!$B$4:$AO$4,1,72-Projects!$C$20+1),0)+IF(AND(Projects!$G$21="Yes",72&gt;=Projects!$C$21,72&lt;Projects!$C$21+Projects!$D$21),Projects!$B$21*INDEX(Curves!$B$4:$AO$4,1,72-Projects!$C$21+1),0)+IF(AND(Projects!$G$22="Yes",72&gt;=Projects!$C$22,72&lt;Projects!$C$22+Projects!$D$22),Projects!$B$22*INDEX(Curves!$B$4:$AO$4,1,72-Projects!$C$22+1),0)+IF(AND(Projects!$G$23="Yes",72&gt;=Projects!$C$23,72&lt;Projects!$C$23+Projects!$D$23),Projects!$B$23*INDEX(Curves!$B$4:$AO$4,1,72-Projects!$C$23+1),0)+IF(AND(Projects!$G$24="Yes",72&gt;=Projects!$C$24,72&lt;Projects!$C$24+Projects!$D$24),Projects!$B$24*INDEX(Curves!$B$4:$AO$4,1,72-Projects!$C$24+1),0)+IF(AND(Projects!$G$25="Yes",72&gt;=Projects!$C$25,72&lt;Projects!$C$25+Projects!$D$25),Projects!$B$25*INDEX(Curves!$B$4:$AO$4,1,72-Projects!$C$25+1),0)+IF(AND(Projects!$G$26="Yes",72&gt;=Projects!$C$26,72&lt;Projects!$C$26+Projects!$D$26),Projects!$B$26*INDEX(Curves!$B$4:$AO$4,1,72-Projects!$C$26+1),0)+IF(AND(Projects!$G$27="Yes",72&gt;=Projects!$C$27,72&lt;Projects!$C$27+Projects!$D$27),Projects!$B$27*INDEX(Curves!$B$4:$AO$4,1,72-Projects!$C$27+1),0)+IF(AND(Projects!$G$28="Yes",72&gt;=Projects!$C$28,72&lt;Projects!$C$28+Projects!$D$28),Projects!$B$28*INDEX(Curves!$B$4:$AO$4,1,72-Projects!$C$28+1),0)+IF(AND(Projects!$G$29="Yes",72&gt;=Projects!$C$29,72&lt;Projects!$C$29+Projects!$D$29),Projects!$B$29*INDEX(Curves!$B$4:$AO$4,1,72-Projects!$C$29+1),0)</f>
        <v/>
      </c>
      <c r="BW97">
        <f>IF(AND(Projects!$G$17="Yes",73&gt;=Projects!$C$17,73&lt;Projects!$C$17+Projects!$D$17),Projects!$B$17*INDEX(Curves!$B$4:$AO$4,1,73-Projects!$C$17+1),0)+IF(AND(Projects!$G$18="Yes",73&gt;=Projects!$C$18,73&lt;Projects!$C$18+Projects!$D$18),Projects!$B$18*INDEX(Curves!$B$4:$AO$4,1,73-Projects!$C$18+1),0)+IF(AND(Projects!$G$19="Yes",73&gt;=Projects!$C$19,73&lt;Projects!$C$19+Projects!$D$19),Projects!$B$19*INDEX(Curves!$B$4:$AO$4,1,73-Projects!$C$19+1),0)+IF(AND(Projects!$G$20="Yes",73&gt;=Projects!$C$20,73&lt;Projects!$C$20+Projects!$D$20),Projects!$B$20*INDEX(Curves!$B$4:$AO$4,1,73-Projects!$C$20+1),0)+IF(AND(Projects!$G$21="Yes",73&gt;=Projects!$C$21,73&lt;Projects!$C$21+Projects!$D$21),Projects!$B$21*INDEX(Curves!$B$4:$AO$4,1,73-Projects!$C$21+1),0)+IF(AND(Projects!$G$22="Yes",73&gt;=Projects!$C$22,73&lt;Projects!$C$22+Projects!$D$22),Projects!$B$22*INDEX(Curves!$B$4:$AO$4,1,73-Projects!$C$22+1),0)+IF(AND(Projects!$G$23="Yes",73&gt;=Projects!$C$23,73&lt;Projects!$C$23+Projects!$D$23),Projects!$B$23*INDEX(Curves!$B$4:$AO$4,1,73-Projects!$C$23+1),0)+IF(AND(Projects!$G$24="Yes",73&gt;=Projects!$C$24,73&lt;Projects!$C$24+Projects!$D$24),Projects!$B$24*INDEX(Curves!$B$4:$AO$4,1,73-Projects!$C$24+1),0)+IF(AND(Projects!$G$25="Yes",73&gt;=Projects!$C$25,73&lt;Projects!$C$25+Projects!$D$25),Projects!$B$25*INDEX(Curves!$B$4:$AO$4,1,73-Projects!$C$25+1),0)+IF(AND(Projects!$G$26="Yes",73&gt;=Projects!$C$26,73&lt;Projects!$C$26+Projects!$D$26),Projects!$B$26*INDEX(Curves!$B$4:$AO$4,1,73-Projects!$C$26+1),0)+IF(AND(Projects!$G$27="Yes",73&gt;=Projects!$C$27,73&lt;Projects!$C$27+Projects!$D$27),Projects!$B$27*INDEX(Curves!$B$4:$AO$4,1,73-Projects!$C$27+1),0)+IF(AND(Projects!$G$28="Yes",73&gt;=Projects!$C$28,73&lt;Projects!$C$28+Projects!$D$28),Projects!$B$28*INDEX(Curves!$B$4:$AO$4,1,73-Projects!$C$28+1),0)+IF(AND(Projects!$G$29="Yes",73&gt;=Projects!$C$29,73&lt;Projects!$C$29+Projects!$D$29),Projects!$B$29*INDEX(Curves!$B$4:$AO$4,1,73-Projects!$C$29+1),0)</f>
        <v/>
      </c>
      <c r="BX97">
        <f>IF(AND(Projects!$G$17="Yes",74&gt;=Projects!$C$17,74&lt;Projects!$C$17+Projects!$D$17),Projects!$B$17*INDEX(Curves!$B$4:$AO$4,1,74-Projects!$C$17+1),0)+IF(AND(Projects!$G$18="Yes",74&gt;=Projects!$C$18,74&lt;Projects!$C$18+Projects!$D$18),Projects!$B$18*INDEX(Curves!$B$4:$AO$4,1,74-Projects!$C$18+1),0)+IF(AND(Projects!$G$19="Yes",74&gt;=Projects!$C$19,74&lt;Projects!$C$19+Projects!$D$19),Projects!$B$19*INDEX(Curves!$B$4:$AO$4,1,74-Projects!$C$19+1),0)+IF(AND(Projects!$G$20="Yes",74&gt;=Projects!$C$20,74&lt;Projects!$C$20+Projects!$D$20),Projects!$B$20*INDEX(Curves!$B$4:$AO$4,1,74-Projects!$C$20+1),0)+IF(AND(Projects!$G$21="Yes",74&gt;=Projects!$C$21,74&lt;Projects!$C$21+Projects!$D$21),Projects!$B$21*INDEX(Curves!$B$4:$AO$4,1,74-Projects!$C$21+1),0)+IF(AND(Projects!$G$22="Yes",74&gt;=Projects!$C$22,74&lt;Projects!$C$22+Projects!$D$22),Projects!$B$22*INDEX(Curves!$B$4:$AO$4,1,74-Projects!$C$22+1),0)+IF(AND(Projects!$G$23="Yes",74&gt;=Projects!$C$23,74&lt;Projects!$C$23+Projects!$D$23),Projects!$B$23*INDEX(Curves!$B$4:$AO$4,1,74-Projects!$C$23+1),0)+IF(AND(Projects!$G$24="Yes",74&gt;=Projects!$C$24,74&lt;Projects!$C$24+Projects!$D$24),Projects!$B$24*INDEX(Curves!$B$4:$AO$4,1,74-Projects!$C$24+1),0)+IF(AND(Projects!$G$25="Yes",74&gt;=Projects!$C$25,74&lt;Projects!$C$25+Projects!$D$25),Projects!$B$25*INDEX(Curves!$B$4:$AO$4,1,74-Projects!$C$25+1),0)+IF(AND(Projects!$G$26="Yes",74&gt;=Projects!$C$26,74&lt;Projects!$C$26+Projects!$D$26),Projects!$B$26*INDEX(Curves!$B$4:$AO$4,1,74-Projects!$C$26+1),0)+IF(AND(Projects!$G$27="Yes",74&gt;=Projects!$C$27,74&lt;Projects!$C$27+Projects!$D$27),Projects!$B$27*INDEX(Curves!$B$4:$AO$4,1,74-Projects!$C$27+1),0)+IF(AND(Projects!$G$28="Yes",74&gt;=Projects!$C$28,74&lt;Projects!$C$28+Projects!$D$28),Projects!$B$28*INDEX(Curves!$B$4:$AO$4,1,74-Projects!$C$28+1),0)+IF(AND(Projects!$G$29="Yes",74&gt;=Projects!$C$29,74&lt;Projects!$C$29+Projects!$D$29),Projects!$B$29*INDEX(Curves!$B$4:$AO$4,1,74-Projects!$C$29+1),0)</f>
        <v/>
      </c>
      <c r="BY97">
        <f>IF(AND(Projects!$G$17="Yes",75&gt;=Projects!$C$17,75&lt;Projects!$C$17+Projects!$D$17),Projects!$B$17*INDEX(Curves!$B$4:$AO$4,1,75-Projects!$C$17+1),0)+IF(AND(Projects!$G$18="Yes",75&gt;=Projects!$C$18,75&lt;Projects!$C$18+Projects!$D$18),Projects!$B$18*INDEX(Curves!$B$4:$AO$4,1,75-Projects!$C$18+1),0)+IF(AND(Projects!$G$19="Yes",75&gt;=Projects!$C$19,75&lt;Projects!$C$19+Projects!$D$19),Projects!$B$19*INDEX(Curves!$B$4:$AO$4,1,75-Projects!$C$19+1),0)+IF(AND(Projects!$G$20="Yes",75&gt;=Projects!$C$20,75&lt;Projects!$C$20+Projects!$D$20),Projects!$B$20*INDEX(Curves!$B$4:$AO$4,1,75-Projects!$C$20+1),0)+IF(AND(Projects!$G$21="Yes",75&gt;=Projects!$C$21,75&lt;Projects!$C$21+Projects!$D$21),Projects!$B$21*INDEX(Curves!$B$4:$AO$4,1,75-Projects!$C$21+1),0)+IF(AND(Projects!$G$22="Yes",75&gt;=Projects!$C$22,75&lt;Projects!$C$22+Projects!$D$22),Projects!$B$22*INDEX(Curves!$B$4:$AO$4,1,75-Projects!$C$22+1),0)+IF(AND(Projects!$G$23="Yes",75&gt;=Projects!$C$23,75&lt;Projects!$C$23+Projects!$D$23),Projects!$B$23*INDEX(Curves!$B$4:$AO$4,1,75-Projects!$C$23+1),0)+IF(AND(Projects!$G$24="Yes",75&gt;=Projects!$C$24,75&lt;Projects!$C$24+Projects!$D$24),Projects!$B$24*INDEX(Curves!$B$4:$AO$4,1,75-Projects!$C$24+1),0)+IF(AND(Projects!$G$25="Yes",75&gt;=Projects!$C$25,75&lt;Projects!$C$25+Projects!$D$25),Projects!$B$25*INDEX(Curves!$B$4:$AO$4,1,75-Projects!$C$25+1),0)+IF(AND(Projects!$G$26="Yes",75&gt;=Projects!$C$26,75&lt;Projects!$C$26+Projects!$D$26),Projects!$B$26*INDEX(Curves!$B$4:$AO$4,1,75-Projects!$C$26+1),0)+IF(AND(Projects!$G$27="Yes",75&gt;=Projects!$C$27,75&lt;Projects!$C$27+Projects!$D$27),Projects!$B$27*INDEX(Curves!$B$4:$AO$4,1,75-Projects!$C$27+1),0)+IF(AND(Projects!$G$28="Yes",75&gt;=Projects!$C$28,75&lt;Projects!$C$28+Projects!$D$28),Projects!$B$28*INDEX(Curves!$B$4:$AO$4,1,75-Projects!$C$28+1),0)+IF(AND(Projects!$G$29="Yes",75&gt;=Projects!$C$29,75&lt;Projects!$C$29+Projects!$D$29),Projects!$B$29*INDEX(Curves!$B$4:$AO$4,1,75-Projects!$C$29+1),0)</f>
        <v/>
      </c>
      <c r="BZ97">
        <f>IF(AND(Projects!$G$17="Yes",76&gt;=Projects!$C$17,76&lt;Projects!$C$17+Projects!$D$17),Projects!$B$17*INDEX(Curves!$B$4:$AO$4,1,76-Projects!$C$17+1),0)+IF(AND(Projects!$G$18="Yes",76&gt;=Projects!$C$18,76&lt;Projects!$C$18+Projects!$D$18),Projects!$B$18*INDEX(Curves!$B$4:$AO$4,1,76-Projects!$C$18+1),0)+IF(AND(Projects!$G$19="Yes",76&gt;=Projects!$C$19,76&lt;Projects!$C$19+Projects!$D$19),Projects!$B$19*INDEX(Curves!$B$4:$AO$4,1,76-Projects!$C$19+1),0)+IF(AND(Projects!$G$20="Yes",76&gt;=Projects!$C$20,76&lt;Projects!$C$20+Projects!$D$20),Projects!$B$20*INDEX(Curves!$B$4:$AO$4,1,76-Projects!$C$20+1),0)+IF(AND(Projects!$G$21="Yes",76&gt;=Projects!$C$21,76&lt;Projects!$C$21+Projects!$D$21),Projects!$B$21*INDEX(Curves!$B$4:$AO$4,1,76-Projects!$C$21+1),0)+IF(AND(Projects!$G$22="Yes",76&gt;=Projects!$C$22,76&lt;Projects!$C$22+Projects!$D$22),Projects!$B$22*INDEX(Curves!$B$4:$AO$4,1,76-Projects!$C$22+1),0)+IF(AND(Projects!$G$23="Yes",76&gt;=Projects!$C$23,76&lt;Projects!$C$23+Projects!$D$23),Projects!$B$23*INDEX(Curves!$B$4:$AO$4,1,76-Projects!$C$23+1),0)+IF(AND(Projects!$G$24="Yes",76&gt;=Projects!$C$24,76&lt;Projects!$C$24+Projects!$D$24),Projects!$B$24*INDEX(Curves!$B$4:$AO$4,1,76-Projects!$C$24+1),0)+IF(AND(Projects!$G$25="Yes",76&gt;=Projects!$C$25,76&lt;Projects!$C$25+Projects!$D$25),Projects!$B$25*INDEX(Curves!$B$4:$AO$4,1,76-Projects!$C$25+1),0)+IF(AND(Projects!$G$26="Yes",76&gt;=Projects!$C$26,76&lt;Projects!$C$26+Projects!$D$26),Projects!$B$26*INDEX(Curves!$B$4:$AO$4,1,76-Projects!$C$26+1),0)+IF(AND(Projects!$G$27="Yes",76&gt;=Projects!$C$27,76&lt;Projects!$C$27+Projects!$D$27),Projects!$B$27*INDEX(Curves!$B$4:$AO$4,1,76-Projects!$C$27+1),0)+IF(AND(Projects!$G$28="Yes",76&gt;=Projects!$C$28,76&lt;Projects!$C$28+Projects!$D$28),Projects!$B$28*INDEX(Curves!$B$4:$AO$4,1,76-Projects!$C$28+1),0)+IF(AND(Projects!$G$29="Yes",76&gt;=Projects!$C$29,76&lt;Projects!$C$29+Projects!$D$29),Projects!$B$29*INDEX(Curves!$B$4:$AO$4,1,76-Projects!$C$29+1),0)</f>
        <v/>
      </c>
      <c r="CA97">
        <f>IF(AND(Projects!$G$17="Yes",77&gt;=Projects!$C$17,77&lt;Projects!$C$17+Projects!$D$17),Projects!$B$17*INDEX(Curves!$B$4:$AO$4,1,77-Projects!$C$17+1),0)+IF(AND(Projects!$G$18="Yes",77&gt;=Projects!$C$18,77&lt;Projects!$C$18+Projects!$D$18),Projects!$B$18*INDEX(Curves!$B$4:$AO$4,1,77-Projects!$C$18+1),0)+IF(AND(Projects!$G$19="Yes",77&gt;=Projects!$C$19,77&lt;Projects!$C$19+Projects!$D$19),Projects!$B$19*INDEX(Curves!$B$4:$AO$4,1,77-Projects!$C$19+1),0)+IF(AND(Projects!$G$20="Yes",77&gt;=Projects!$C$20,77&lt;Projects!$C$20+Projects!$D$20),Projects!$B$20*INDEX(Curves!$B$4:$AO$4,1,77-Projects!$C$20+1),0)+IF(AND(Projects!$G$21="Yes",77&gt;=Projects!$C$21,77&lt;Projects!$C$21+Projects!$D$21),Projects!$B$21*INDEX(Curves!$B$4:$AO$4,1,77-Projects!$C$21+1),0)+IF(AND(Projects!$G$22="Yes",77&gt;=Projects!$C$22,77&lt;Projects!$C$22+Projects!$D$22),Projects!$B$22*INDEX(Curves!$B$4:$AO$4,1,77-Projects!$C$22+1),0)+IF(AND(Projects!$G$23="Yes",77&gt;=Projects!$C$23,77&lt;Projects!$C$23+Projects!$D$23),Projects!$B$23*INDEX(Curves!$B$4:$AO$4,1,77-Projects!$C$23+1),0)+IF(AND(Projects!$G$24="Yes",77&gt;=Projects!$C$24,77&lt;Projects!$C$24+Projects!$D$24),Projects!$B$24*INDEX(Curves!$B$4:$AO$4,1,77-Projects!$C$24+1),0)+IF(AND(Projects!$G$25="Yes",77&gt;=Projects!$C$25,77&lt;Projects!$C$25+Projects!$D$25),Projects!$B$25*INDEX(Curves!$B$4:$AO$4,1,77-Projects!$C$25+1),0)+IF(AND(Projects!$G$26="Yes",77&gt;=Projects!$C$26,77&lt;Projects!$C$26+Projects!$D$26),Projects!$B$26*INDEX(Curves!$B$4:$AO$4,1,77-Projects!$C$26+1),0)+IF(AND(Projects!$G$27="Yes",77&gt;=Projects!$C$27,77&lt;Projects!$C$27+Projects!$D$27),Projects!$B$27*INDEX(Curves!$B$4:$AO$4,1,77-Projects!$C$27+1),0)+IF(AND(Projects!$G$28="Yes",77&gt;=Projects!$C$28,77&lt;Projects!$C$28+Projects!$D$28),Projects!$B$28*INDEX(Curves!$B$4:$AO$4,1,77-Projects!$C$28+1),0)+IF(AND(Projects!$G$29="Yes",77&gt;=Projects!$C$29,77&lt;Projects!$C$29+Projects!$D$29),Projects!$B$29*INDEX(Curves!$B$4:$AO$4,1,77-Projects!$C$29+1),0)</f>
        <v/>
      </c>
      <c r="CB97">
        <f>IF(AND(Projects!$G$17="Yes",78&gt;=Projects!$C$17,78&lt;Projects!$C$17+Projects!$D$17),Projects!$B$17*INDEX(Curves!$B$4:$AO$4,1,78-Projects!$C$17+1),0)+IF(AND(Projects!$G$18="Yes",78&gt;=Projects!$C$18,78&lt;Projects!$C$18+Projects!$D$18),Projects!$B$18*INDEX(Curves!$B$4:$AO$4,1,78-Projects!$C$18+1),0)+IF(AND(Projects!$G$19="Yes",78&gt;=Projects!$C$19,78&lt;Projects!$C$19+Projects!$D$19),Projects!$B$19*INDEX(Curves!$B$4:$AO$4,1,78-Projects!$C$19+1),0)+IF(AND(Projects!$G$20="Yes",78&gt;=Projects!$C$20,78&lt;Projects!$C$20+Projects!$D$20),Projects!$B$20*INDEX(Curves!$B$4:$AO$4,1,78-Projects!$C$20+1),0)+IF(AND(Projects!$G$21="Yes",78&gt;=Projects!$C$21,78&lt;Projects!$C$21+Projects!$D$21),Projects!$B$21*INDEX(Curves!$B$4:$AO$4,1,78-Projects!$C$21+1),0)+IF(AND(Projects!$G$22="Yes",78&gt;=Projects!$C$22,78&lt;Projects!$C$22+Projects!$D$22),Projects!$B$22*INDEX(Curves!$B$4:$AO$4,1,78-Projects!$C$22+1),0)+IF(AND(Projects!$G$23="Yes",78&gt;=Projects!$C$23,78&lt;Projects!$C$23+Projects!$D$23),Projects!$B$23*INDEX(Curves!$B$4:$AO$4,1,78-Projects!$C$23+1),0)+IF(AND(Projects!$G$24="Yes",78&gt;=Projects!$C$24,78&lt;Projects!$C$24+Projects!$D$24),Projects!$B$24*INDEX(Curves!$B$4:$AO$4,1,78-Projects!$C$24+1),0)+IF(AND(Projects!$G$25="Yes",78&gt;=Projects!$C$25,78&lt;Projects!$C$25+Projects!$D$25),Projects!$B$25*INDEX(Curves!$B$4:$AO$4,1,78-Projects!$C$25+1),0)+IF(AND(Projects!$G$26="Yes",78&gt;=Projects!$C$26,78&lt;Projects!$C$26+Projects!$D$26),Projects!$B$26*INDEX(Curves!$B$4:$AO$4,1,78-Projects!$C$26+1),0)+IF(AND(Projects!$G$27="Yes",78&gt;=Projects!$C$27,78&lt;Projects!$C$27+Projects!$D$27),Projects!$B$27*INDEX(Curves!$B$4:$AO$4,1,78-Projects!$C$27+1),0)+IF(AND(Projects!$G$28="Yes",78&gt;=Projects!$C$28,78&lt;Projects!$C$28+Projects!$D$28),Projects!$B$28*INDEX(Curves!$B$4:$AO$4,1,78-Projects!$C$28+1),0)+IF(AND(Projects!$G$29="Yes",78&gt;=Projects!$C$29,78&lt;Projects!$C$29+Projects!$D$29),Projects!$B$29*INDEX(Curves!$B$4:$AO$4,1,78-Projects!$C$29+1),0)</f>
        <v/>
      </c>
      <c r="CC97">
        <f>IF(AND(Projects!$G$17="Yes",79&gt;=Projects!$C$17,79&lt;Projects!$C$17+Projects!$D$17),Projects!$B$17*INDEX(Curves!$B$4:$AO$4,1,79-Projects!$C$17+1),0)+IF(AND(Projects!$G$18="Yes",79&gt;=Projects!$C$18,79&lt;Projects!$C$18+Projects!$D$18),Projects!$B$18*INDEX(Curves!$B$4:$AO$4,1,79-Projects!$C$18+1),0)+IF(AND(Projects!$G$19="Yes",79&gt;=Projects!$C$19,79&lt;Projects!$C$19+Projects!$D$19),Projects!$B$19*INDEX(Curves!$B$4:$AO$4,1,79-Projects!$C$19+1),0)+IF(AND(Projects!$G$20="Yes",79&gt;=Projects!$C$20,79&lt;Projects!$C$20+Projects!$D$20),Projects!$B$20*INDEX(Curves!$B$4:$AO$4,1,79-Projects!$C$20+1),0)+IF(AND(Projects!$G$21="Yes",79&gt;=Projects!$C$21,79&lt;Projects!$C$21+Projects!$D$21),Projects!$B$21*INDEX(Curves!$B$4:$AO$4,1,79-Projects!$C$21+1),0)+IF(AND(Projects!$G$22="Yes",79&gt;=Projects!$C$22,79&lt;Projects!$C$22+Projects!$D$22),Projects!$B$22*INDEX(Curves!$B$4:$AO$4,1,79-Projects!$C$22+1),0)+IF(AND(Projects!$G$23="Yes",79&gt;=Projects!$C$23,79&lt;Projects!$C$23+Projects!$D$23),Projects!$B$23*INDEX(Curves!$B$4:$AO$4,1,79-Projects!$C$23+1),0)+IF(AND(Projects!$G$24="Yes",79&gt;=Projects!$C$24,79&lt;Projects!$C$24+Projects!$D$24),Projects!$B$24*INDEX(Curves!$B$4:$AO$4,1,79-Projects!$C$24+1),0)+IF(AND(Projects!$G$25="Yes",79&gt;=Projects!$C$25,79&lt;Projects!$C$25+Projects!$D$25),Projects!$B$25*INDEX(Curves!$B$4:$AO$4,1,79-Projects!$C$25+1),0)+IF(AND(Projects!$G$26="Yes",79&gt;=Projects!$C$26,79&lt;Projects!$C$26+Projects!$D$26),Projects!$B$26*INDEX(Curves!$B$4:$AO$4,1,79-Projects!$C$26+1),0)+IF(AND(Projects!$G$27="Yes",79&gt;=Projects!$C$27,79&lt;Projects!$C$27+Projects!$D$27),Projects!$B$27*INDEX(Curves!$B$4:$AO$4,1,79-Projects!$C$27+1),0)+IF(AND(Projects!$G$28="Yes",79&gt;=Projects!$C$28,79&lt;Projects!$C$28+Projects!$D$28),Projects!$B$28*INDEX(Curves!$B$4:$AO$4,1,79-Projects!$C$28+1),0)+IF(AND(Projects!$G$29="Yes",79&gt;=Projects!$C$29,79&lt;Projects!$C$29+Projects!$D$29),Projects!$B$29*INDEX(Curves!$B$4:$AO$4,1,79-Projects!$C$29+1),0)</f>
        <v/>
      </c>
      <c r="CD97">
        <f>IF(AND(Projects!$G$17="Yes",80&gt;=Projects!$C$17,80&lt;Projects!$C$17+Projects!$D$17),Projects!$B$17*INDEX(Curves!$B$4:$AO$4,1,80-Projects!$C$17+1),0)+IF(AND(Projects!$G$18="Yes",80&gt;=Projects!$C$18,80&lt;Projects!$C$18+Projects!$D$18),Projects!$B$18*INDEX(Curves!$B$4:$AO$4,1,80-Projects!$C$18+1),0)+IF(AND(Projects!$G$19="Yes",80&gt;=Projects!$C$19,80&lt;Projects!$C$19+Projects!$D$19),Projects!$B$19*INDEX(Curves!$B$4:$AO$4,1,80-Projects!$C$19+1),0)+IF(AND(Projects!$G$20="Yes",80&gt;=Projects!$C$20,80&lt;Projects!$C$20+Projects!$D$20),Projects!$B$20*INDEX(Curves!$B$4:$AO$4,1,80-Projects!$C$20+1),0)+IF(AND(Projects!$G$21="Yes",80&gt;=Projects!$C$21,80&lt;Projects!$C$21+Projects!$D$21),Projects!$B$21*INDEX(Curves!$B$4:$AO$4,1,80-Projects!$C$21+1),0)+IF(AND(Projects!$G$22="Yes",80&gt;=Projects!$C$22,80&lt;Projects!$C$22+Projects!$D$22),Projects!$B$22*INDEX(Curves!$B$4:$AO$4,1,80-Projects!$C$22+1),0)+IF(AND(Projects!$G$23="Yes",80&gt;=Projects!$C$23,80&lt;Projects!$C$23+Projects!$D$23),Projects!$B$23*INDEX(Curves!$B$4:$AO$4,1,80-Projects!$C$23+1),0)+IF(AND(Projects!$G$24="Yes",80&gt;=Projects!$C$24,80&lt;Projects!$C$24+Projects!$D$24),Projects!$B$24*INDEX(Curves!$B$4:$AO$4,1,80-Projects!$C$24+1),0)+IF(AND(Projects!$G$25="Yes",80&gt;=Projects!$C$25,80&lt;Projects!$C$25+Projects!$D$25),Projects!$B$25*INDEX(Curves!$B$4:$AO$4,1,80-Projects!$C$25+1),0)+IF(AND(Projects!$G$26="Yes",80&gt;=Projects!$C$26,80&lt;Projects!$C$26+Projects!$D$26),Projects!$B$26*INDEX(Curves!$B$4:$AO$4,1,80-Projects!$C$26+1),0)+IF(AND(Projects!$G$27="Yes",80&gt;=Projects!$C$27,80&lt;Projects!$C$27+Projects!$D$27),Projects!$B$27*INDEX(Curves!$B$4:$AO$4,1,80-Projects!$C$27+1),0)+IF(AND(Projects!$G$28="Yes",80&gt;=Projects!$C$28,80&lt;Projects!$C$28+Projects!$D$28),Projects!$B$28*INDEX(Curves!$B$4:$AO$4,1,80-Projects!$C$28+1),0)+IF(AND(Projects!$G$29="Yes",80&gt;=Projects!$C$29,80&lt;Projects!$C$29+Projects!$D$29),Projects!$B$29*INDEX(Curves!$B$4:$AO$4,1,80-Projects!$C$29+1),0)</f>
        <v/>
      </c>
      <c r="CE97">
        <f>IF(AND(Projects!$G$17="Yes",81&gt;=Projects!$C$17,81&lt;Projects!$C$17+Projects!$D$17),Projects!$B$17*INDEX(Curves!$B$4:$AO$4,1,81-Projects!$C$17+1),0)+IF(AND(Projects!$G$18="Yes",81&gt;=Projects!$C$18,81&lt;Projects!$C$18+Projects!$D$18),Projects!$B$18*INDEX(Curves!$B$4:$AO$4,1,81-Projects!$C$18+1),0)+IF(AND(Projects!$G$19="Yes",81&gt;=Projects!$C$19,81&lt;Projects!$C$19+Projects!$D$19),Projects!$B$19*INDEX(Curves!$B$4:$AO$4,1,81-Projects!$C$19+1),0)+IF(AND(Projects!$G$20="Yes",81&gt;=Projects!$C$20,81&lt;Projects!$C$20+Projects!$D$20),Projects!$B$20*INDEX(Curves!$B$4:$AO$4,1,81-Projects!$C$20+1),0)+IF(AND(Projects!$G$21="Yes",81&gt;=Projects!$C$21,81&lt;Projects!$C$21+Projects!$D$21),Projects!$B$21*INDEX(Curves!$B$4:$AO$4,1,81-Projects!$C$21+1),0)+IF(AND(Projects!$G$22="Yes",81&gt;=Projects!$C$22,81&lt;Projects!$C$22+Projects!$D$22),Projects!$B$22*INDEX(Curves!$B$4:$AO$4,1,81-Projects!$C$22+1),0)+IF(AND(Projects!$G$23="Yes",81&gt;=Projects!$C$23,81&lt;Projects!$C$23+Projects!$D$23),Projects!$B$23*INDEX(Curves!$B$4:$AO$4,1,81-Projects!$C$23+1),0)+IF(AND(Projects!$G$24="Yes",81&gt;=Projects!$C$24,81&lt;Projects!$C$24+Projects!$D$24),Projects!$B$24*INDEX(Curves!$B$4:$AO$4,1,81-Projects!$C$24+1),0)+IF(AND(Projects!$G$25="Yes",81&gt;=Projects!$C$25,81&lt;Projects!$C$25+Projects!$D$25),Projects!$B$25*INDEX(Curves!$B$4:$AO$4,1,81-Projects!$C$25+1),0)+IF(AND(Projects!$G$26="Yes",81&gt;=Projects!$C$26,81&lt;Projects!$C$26+Projects!$D$26),Projects!$B$26*INDEX(Curves!$B$4:$AO$4,1,81-Projects!$C$26+1),0)+IF(AND(Projects!$G$27="Yes",81&gt;=Projects!$C$27,81&lt;Projects!$C$27+Projects!$D$27),Projects!$B$27*INDEX(Curves!$B$4:$AO$4,1,81-Projects!$C$27+1),0)+IF(AND(Projects!$G$28="Yes",81&gt;=Projects!$C$28,81&lt;Projects!$C$28+Projects!$D$28),Projects!$B$28*INDEX(Curves!$B$4:$AO$4,1,81-Projects!$C$28+1),0)+IF(AND(Projects!$G$29="Yes",81&gt;=Projects!$C$29,81&lt;Projects!$C$29+Projects!$D$29),Projects!$B$29*INDEX(Curves!$B$4:$AO$4,1,81-Projects!$C$29+1),0)</f>
        <v/>
      </c>
      <c r="CF97">
        <f>IF(AND(Projects!$G$17="Yes",82&gt;=Projects!$C$17,82&lt;Projects!$C$17+Projects!$D$17),Projects!$B$17*INDEX(Curves!$B$4:$AO$4,1,82-Projects!$C$17+1),0)+IF(AND(Projects!$G$18="Yes",82&gt;=Projects!$C$18,82&lt;Projects!$C$18+Projects!$D$18),Projects!$B$18*INDEX(Curves!$B$4:$AO$4,1,82-Projects!$C$18+1),0)+IF(AND(Projects!$G$19="Yes",82&gt;=Projects!$C$19,82&lt;Projects!$C$19+Projects!$D$19),Projects!$B$19*INDEX(Curves!$B$4:$AO$4,1,82-Projects!$C$19+1),0)+IF(AND(Projects!$G$20="Yes",82&gt;=Projects!$C$20,82&lt;Projects!$C$20+Projects!$D$20),Projects!$B$20*INDEX(Curves!$B$4:$AO$4,1,82-Projects!$C$20+1),0)+IF(AND(Projects!$G$21="Yes",82&gt;=Projects!$C$21,82&lt;Projects!$C$21+Projects!$D$21),Projects!$B$21*INDEX(Curves!$B$4:$AO$4,1,82-Projects!$C$21+1),0)+IF(AND(Projects!$G$22="Yes",82&gt;=Projects!$C$22,82&lt;Projects!$C$22+Projects!$D$22),Projects!$B$22*INDEX(Curves!$B$4:$AO$4,1,82-Projects!$C$22+1),0)+IF(AND(Projects!$G$23="Yes",82&gt;=Projects!$C$23,82&lt;Projects!$C$23+Projects!$D$23),Projects!$B$23*INDEX(Curves!$B$4:$AO$4,1,82-Projects!$C$23+1),0)+IF(AND(Projects!$G$24="Yes",82&gt;=Projects!$C$24,82&lt;Projects!$C$24+Projects!$D$24),Projects!$B$24*INDEX(Curves!$B$4:$AO$4,1,82-Projects!$C$24+1),0)+IF(AND(Projects!$G$25="Yes",82&gt;=Projects!$C$25,82&lt;Projects!$C$25+Projects!$D$25),Projects!$B$25*INDEX(Curves!$B$4:$AO$4,1,82-Projects!$C$25+1),0)+IF(AND(Projects!$G$26="Yes",82&gt;=Projects!$C$26,82&lt;Projects!$C$26+Projects!$D$26),Projects!$B$26*INDEX(Curves!$B$4:$AO$4,1,82-Projects!$C$26+1),0)+IF(AND(Projects!$G$27="Yes",82&gt;=Projects!$C$27,82&lt;Projects!$C$27+Projects!$D$27),Projects!$B$27*INDEX(Curves!$B$4:$AO$4,1,82-Projects!$C$27+1),0)+IF(AND(Projects!$G$28="Yes",82&gt;=Projects!$C$28,82&lt;Projects!$C$28+Projects!$D$28),Projects!$B$28*INDEX(Curves!$B$4:$AO$4,1,82-Projects!$C$28+1),0)+IF(AND(Projects!$G$29="Yes",82&gt;=Projects!$C$29,82&lt;Projects!$C$29+Projects!$D$29),Projects!$B$29*INDEX(Curves!$B$4:$AO$4,1,82-Projects!$C$29+1),0)</f>
        <v/>
      </c>
      <c r="CG97">
        <f>IF(AND(Projects!$G$17="Yes",83&gt;=Projects!$C$17,83&lt;Projects!$C$17+Projects!$D$17),Projects!$B$17*INDEX(Curves!$B$4:$AO$4,1,83-Projects!$C$17+1),0)+IF(AND(Projects!$G$18="Yes",83&gt;=Projects!$C$18,83&lt;Projects!$C$18+Projects!$D$18),Projects!$B$18*INDEX(Curves!$B$4:$AO$4,1,83-Projects!$C$18+1),0)+IF(AND(Projects!$G$19="Yes",83&gt;=Projects!$C$19,83&lt;Projects!$C$19+Projects!$D$19),Projects!$B$19*INDEX(Curves!$B$4:$AO$4,1,83-Projects!$C$19+1),0)+IF(AND(Projects!$G$20="Yes",83&gt;=Projects!$C$20,83&lt;Projects!$C$20+Projects!$D$20),Projects!$B$20*INDEX(Curves!$B$4:$AO$4,1,83-Projects!$C$20+1),0)+IF(AND(Projects!$G$21="Yes",83&gt;=Projects!$C$21,83&lt;Projects!$C$21+Projects!$D$21),Projects!$B$21*INDEX(Curves!$B$4:$AO$4,1,83-Projects!$C$21+1),0)+IF(AND(Projects!$G$22="Yes",83&gt;=Projects!$C$22,83&lt;Projects!$C$22+Projects!$D$22),Projects!$B$22*INDEX(Curves!$B$4:$AO$4,1,83-Projects!$C$22+1),0)+IF(AND(Projects!$G$23="Yes",83&gt;=Projects!$C$23,83&lt;Projects!$C$23+Projects!$D$23),Projects!$B$23*INDEX(Curves!$B$4:$AO$4,1,83-Projects!$C$23+1),0)+IF(AND(Projects!$G$24="Yes",83&gt;=Projects!$C$24,83&lt;Projects!$C$24+Projects!$D$24),Projects!$B$24*INDEX(Curves!$B$4:$AO$4,1,83-Projects!$C$24+1),0)+IF(AND(Projects!$G$25="Yes",83&gt;=Projects!$C$25,83&lt;Projects!$C$25+Projects!$D$25),Projects!$B$25*INDEX(Curves!$B$4:$AO$4,1,83-Projects!$C$25+1),0)+IF(AND(Projects!$G$26="Yes",83&gt;=Projects!$C$26,83&lt;Projects!$C$26+Projects!$D$26),Projects!$B$26*INDEX(Curves!$B$4:$AO$4,1,83-Projects!$C$26+1),0)+IF(AND(Projects!$G$27="Yes",83&gt;=Projects!$C$27,83&lt;Projects!$C$27+Projects!$D$27),Projects!$B$27*INDEX(Curves!$B$4:$AO$4,1,83-Projects!$C$27+1),0)+IF(AND(Projects!$G$28="Yes",83&gt;=Projects!$C$28,83&lt;Projects!$C$28+Projects!$D$28),Projects!$B$28*INDEX(Curves!$B$4:$AO$4,1,83-Projects!$C$28+1),0)+IF(AND(Projects!$G$29="Yes",83&gt;=Projects!$C$29,83&lt;Projects!$C$29+Projects!$D$29),Projects!$B$29*INDEX(Curves!$B$4:$AO$4,1,83-Projects!$C$29+1),0)</f>
        <v/>
      </c>
      <c r="CH97">
        <f>IF(AND(Projects!$G$17="Yes",84&gt;=Projects!$C$17,84&lt;Projects!$C$17+Projects!$D$17),Projects!$B$17*INDEX(Curves!$B$4:$AO$4,1,84-Projects!$C$17+1),0)+IF(AND(Projects!$G$18="Yes",84&gt;=Projects!$C$18,84&lt;Projects!$C$18+Projects!$D$18),Projects!$B$18*INDEX(Curves!$B$4:$AO$4,1,84-Projects!$C$18+1),0)+IF(AND(Projects!$G$19="Yes",84&gt;=Projects!$C$19,84&lt;Projects!$C$19+Projects!$D$19),Projects!$B$19*INDEX(Curves!$B$4:$AO$4,1,84-Projects!$C$19+1),0)+IF(AND(Projects!$G$20="Yes",84&gt;=Projects!$C$20,84&lt;Projects!$C$20+Projects!$D$20),Projects!$B$20*INDEX(Curves!$B$4:$AO$4,1,84-Projects!$C$20+1),0)+IF(AND(Projects!$G$21="Yes",84&gt;=Projects!$C$21,84&lt;Projects!$C$21+Projects!$D$21),Projects!$B$21*INDEX(Curves!$B$4:$AO$4,1,84-Projects!$C$21+1),0)+IF(AND(Projects!$G$22="Yes",84&gt;=Projects!$C$22,84&lt;Projects!$C$22+Projects!$D$22),Projects!$B$22*INDEX(Curves!$B$4:$AO$4,1,84-Projects!$C$22+1),0)+IF(AND(Projects!$G$23="Yes",84&gt;=Projects!$C$23,84&lt;Projects!$C$23+Projects!$D$23),Projects!$B$23*INDEX(Curves!$B$4:$AO$4,1,84-Projects!$C$23+1),0)+IF(AND(Projects!$G$24="Yes",84&gt;=Projects!$C$24,84&lt;Projects!$C$24+Projects!$D$24),Projects!$B$24*INDEX(Curves!$B$4:$AO$4,1,84-Projects!$C$24+1),0)+IF(AND(Projects!$G$25="Yes",84&gt;=Projects!$C$25,84&lt;Projects!$C$25+Projects!$D$25),Projects!$B$25*INDEX(Curves!$B$4:$AO$4,1,84-Projects!$C$25+1),0)+IF(AND(Projects!$G$26="Yes",84&gt;=Projects!$C$26,84&lt;Projects!$C$26+Projects!$D$26),Projects!$B$26*INDEX(Curves!$B$4:$AO$4,1,84-Projects!$C$26+1),0)+IF(AND(Projects!$G$27="Yes",84&gt;=Projects!$C$27,84&lt;Projects!$C$27+Projects!$D$27),Projects!$B$27*INDEX(Curves!$B$4:$AO$4,1,84-Projects!$C$27+1),0)+IF(AND(Projects!$G$28="Yes",84&gt;=Projects!$C$28,84&lt;Projects!$C$28+Projects!$D$28),Projects!$B$28*INDEX(Curves!$B$4:$AO$4,1,84-Projects!$C$28+1),0)+IF(AND(Projects!$G$29="Yes",84&gt;=Projects!$C$29,84&lt;Projects!$C$29+Projects!$D$29),Projects!$B$29*INDEX(Curves!$B$4:$AO$4,1,84-Projects!$C$29+1),0)</f>
        <v/>
      </c>
    </row>
    <row r="98" ht="15" customHeight="1" s="201">
      <c r="A98" t="inlineStr">
        <is>
          <t>BD Supervision Revenue</t>
        </is>
      </c>
      <c r="C98">
        <f>IF(AND(Projects!$G$17="Yes",1&gt;=Projects!$C$17,1&lt;Projects!$C$17+Projects!$D$17),IF(1=Projects!$C$17+Projects!$D$17-1,Projects!$B$17*Assumptions!$B$10/Projects!$D$17*0.95+0.05*Projects!$B$17*Assumptions!$B$10,Projects!$B$17*Assumptions!$B$10/Projects!$D$17*0.95),0)+IF(AND(Projects!$G$18="Yes",1&gt;=Projects!$C$18,1&lt;Projects!$C$18+Projects!$D$18),IF(1=Projects!$C$18+Projects!$D$18-1,Projects!$B$18*Assumptions!$B$10/Projects!$D$18*0.95+0.05*Projects!$B$18*Assumptions!$B$10,Projects!$B$18*Assumptions!$B$10/Projects!$D$18*0.95),0)+IF(AND(Projects!$G$19="Yes",1&gt;=Projects!$C$19,1&lt;Projects!$C$19+Projects!$D$19),IF(1=Projects!$C$19+Projects!$D$19-1,Projects!$B$19*Assumptions!$B$10/Projects!$D$19*0.95+0.05*Projects!$B$19*Assumptions!$B$10,Projects!$B$19*Assumptions!$B$10/Projects!$D$19*0.95),0)+IF(AND(Projects!$G$20="Yes",1&gt;=Projects!$C$20,1&lt;Projects!$C$20+Projects!$D$20),IF(1=Projects!$C$20+Projects!$D$20-1,Projects!$B$20*Assumptions!$B$10/Projects!$D$20*0.95+0.05*Projects!$B$20*Assumptions!$B$10,Projects!$B$20*Assumptions!$B$10/Projects!$D$20*0.95),0)+IF(AND(Projects!$G$21="Yes",1&gt;=Projects!$C$21,1&lt;Projects!$C$21+Projects!$D$21),IF(1=Projects!$C$21+Projects!$D$21-1,Projects!$B$21*Assumptions!$B$10/Projects!$D$21*0.95+0.05*Projects!$B$21*Assumptions!$B$10,Projects!$B$21*Assumptions!$B$10/Projects!$D$21*0.95),0)+IF(AND(Projects!$G$22="Yes",1&gt;=Projects!$C$22,1&lt;Projects!$C$22+Projects!$D$22),IF(1=Projects!$C$22+Projects!$D$22-1,Projects!$B$22*Assumptions!$B$10/Projects!$D$22*0.95+0.05*Projects!$B$22*Assumptions!$B$10,Projects!$B$22*Assumptions!$B$10/Projects!$D$22*0.95),0)+IF(AND(Projects!$G$23="Yes",1&gt;=Projects!$C$23,1&lt;Projects!$C$23+Projects!$D$23),IF(1=Projects!$C$23+Projects!$D$23-1,Projects!$B$23*Assumptions!$B$10/Projects!$D$23*0.95+0.05*Projects!$B$23*Assumptions!$B$10,Projects!$B$23*Assumptions!$B$10/Projects!$D$23*0.95),0)+IF(AND(Projects!$G$24="Yes",1&gt;=Projects!$C$24,1&lt;Projects!$C$24+Projects!$D$24),IF(1=Projects!$C$24+Projects!$D$24-1,Projects!$B$24*Assumptions!$B$10/Projects!$D$24*0.95+0.05*Projects!$B$24*Assumptions!$B$10,Projects!$B$24*Assumptions!$B$10/Projects!$D$24*0.95),0)+IF(AND(Projects!$G$25="Yes",1&gt;=Projects!$C$25,1&lt;Projects!$C$25+Projects!$D$25),IF(1=Projects!$C$25+Projects!$D$25-1,Projects!$B$25*Assumptions!$B$10/Projects!$D$25*0.95+0.05*Projects!$B$25*Assumptions!$B$10,Projects!$B$25*Assumptions!$B$10/Projects!$D$25*0.95),0)+IF(AND(Projects!$G$26="Yes",1&gt;=Projects!$C$26,1&lt;Projects!$C$26+Projects!$D$26),IF(1=Projects!$C$26+Projects!$D$26-1,Projects!$B$26*Assumptions!$B$10/Projects!$D$26*0.95+0.05*Projects!$B$26*Assumptions!$B$10,Projects!$B$26*Assumptions!$B$10/Projects!$D$26*0.95),0)+IF(AND(Projects!$G$27="Yes",1&gt;=Projects!$C$27,1&lt;Projects!$C$27+Projects!$D$27),IF(1=Projects!$C$27+Projects!$D$27-1,Projects!$B$27*Assumptions!$B$10/Projects!$D$27*0.95+0.05*Projects!$B$27*Assumptions!$B$10,Projects!$B$27*Assumptions!$B$10/Projects!$D$27*0.95),0)+IF(AND(Projects!$G$28="Yes",1&gt;=Projects!$C$28,1&lt;Projects!$C$28+Projects!$D$28),IF(1=Projects!$C$28+Projects!$D$28-1,Projects!$B$28*Assumptions!$B$10/Projects!$D$28*0.95+0.05*Projects!$B$28*Assumptions!$B$10,Projects!$B$28*Assumptions!$B$10/Projects!$D$28*0.95),0)+IF(AND(Projects!$G$29="Yes",1&gt;=Projects!$C$29,1&lt;Projects!$C$29+Projects!$D$29),IF(1=Projects!$C$29+Projects!$D$29-1,Projects!$B$29*Assumptions!$B$10/Projects!$D$29*0.95+0.05*Projects!$B$29*Assumptions!$B$10,Projects!$B$29*Assumptions!$B$10/Projects!$D$29*0.95),0)</f>
        <v/>
      </c>
      <c r="D98">
        <f>IF(AND(Projects!$G$17="Yes",2&gt;=Projects!$C$17,2&lt;Projects!$C$17+Projects!$D$17),IF(2=Projects!$C$17+Projects!$D$17-1,Projects!$B$17*Assumptions!$B$10/Projects!$D$17*0.95+0.05*Projects!$B$17*Assumptions!$B$10,Projects!$B$17*Assumptions!$B$10/Projects!$D$17*0.95),0)+IF(AND(Projects!$G$18="Yes",2&gt;=Projects!$C$18,2&lt;Projects!$C$18+Projects!$D$18),IF(2=Projects!$C$18+Projects!$D$18-1,Projects!$B$18*Assumptions!$B$10/Projects!$D$18*0.95+0.05*Projects!$B$18*Assumptions!$B$10,Projects!$B$18*Assumptions!$B$10/Projects!$D$18*0.95),0)+IF(AND(Projects!$G$19="Yes",2&gt;=Projects!$C$19,2&lt;Projects!$C$19+Projects!$D$19),IF(2=Projects!$C$19+Projects!$D$19-1,Projects!$B$19*Assumptions!$B$10/Projects!$D$19*0.95+0.05*Projects!$B$19*Assumptions!$B$10,Projects!$B$19*Assumptions!$B$10/Projects!$D$19*0.95),0)+IF(AND(Projects!$G$20="Yes",2&gt;=Projects!$C$20,2&lt;Projects!$C$20+Projects!$D$20),IF(2=Projects!$C$20+Projects!$D$20-1,Projects!$B$20*Assumptions!$B$10/Projects!$D$20*0.95+0.05*Projects!$B$20*Assumptions!$B$10,Projects!$B$20*Assumptions!$B$10/Projects!$D$20*0.95),0)+IF(AND(Projects!$G$21="Yes",2&gt;=Projects!$C$21,2&lt;Projects!$C$21+Projects!$D$21),IF(2=Projects!$C$21+Projects!$D$21-1,Projects!$B$21*Assumptions!$B$10/Projects!$D$21*0.95+0.05*Projects!$B$21*Assumptions!$B$10,Projects!$B$21*Assumptions!$B$10/Projects!$D$21*0.95),0)+IF(AND(Projects!$G$22="Yes",2&gt;=Projects!$C$22,2&lt;Projects!$C$22+Projects!$D$22),IF(2=Projects!$C$22+Projects!$D$22-1,Projects!$B$22*Assumptions!$B$10/Projects!$D$22*0.95+0.05*Projects!$B$22*Assumptions!$B$10,Projects!$B$22*Assumptions!$B$10/Projects!$D$22*0.95),0)+IF(AND(Projects!$G$23="Yes",2&gt;=Projects!$C$23,2&lt;Projects!$C$23+Projects!$D$23),IF(2=Projects!$C$23+Projects!$D$23-1,Projects!$B$23*Assumptions!$B$10/Projects!$D$23*0.95+0.05*Projects!$B$23*Assumptions!$B$10,Projects!$B$23*Assumptions!$B$10/Projects!$D$23*0.95),0)+IF(AND(Projects!$G$24="Yes",2&gt;=Projects!$C$24,2&lt;Projects!$C$24+Projects!$D$24),IF(2=Projects!$C$24+Projects!$D$24-1,Projects!$B$24*Assumptions!$B$10/Projects!$D$24*0.95+0.05*Projects!$B$24*Assumptions!$B$10,Projects!$B$24*Assumptions!$B$10/Projects!$D$24*0.95),0)+IF(AND(Projects!$G$25="Yes",2&gt;=Projects!$C$25,2&lt;Projects!$C$25+Projects!$D$25),IF(2=Projects!$C$25+Projects!$D$25-1,Projects!$B$25*Assumptions!$B$10/Projects!$D$25*0.95+0.05*Projects!$B$25*Assumptions!$B$10,Projects!$B$25*Assumptions!$B$10/Projects!$D$25*0.95),0)+IF(AND(Projects!$G$26="Yes",2&gt;=Projects!$C$26,2&lt;Projects!$C$26+Projects!$D$26),IF(2=Projects!$C$26+Projects!$D$26-1,Projects!$B$26*Assumptions!$B$10/Projects!$D$26*0.95+0.05*Projects!$B$26*Assumptions!$B$10,Projects!$B$26*Assumptions!$B$10/Projects!$D$26*0.95),0)+IF(AND(Projects!$G$27="Yes",2&gt;=Projects!$C$27,2&lt;Projects!$C$27+Projects!$D$27),IF(2=Projects!$C$27+Projects!$D$27-1,Projects!$B$27*Assumptions!$B$10/Projects!$D$27*0.95+0.05*Projects!$B$27*Assumptions!$B$10,Projects!$B$27*Assumptions!$B$10/Projects!$D$27*0.95),0)+IF(AND(Projects!$G$28="Yes",2&gt;=Projects!$C$28,2&lt;Projects!$C$28+Projects!$D$28),IF(2=Projects!$C$28+Projects!$D$28-1,Projects!$B$28*Assumptions!$B$10/Projects!$D$28*0.95+0.05*Projects!$B$28*Assumptions!$B$10,Projects!$B$28*Assumptions!$B$10/Projects!$D$28*0.95),0)+IF(AND(Projects!$G$29="Yes",2&gt;=Projects!$C$29,2&lt;Projects!$C$29+Projects!$D$29),IF(2=Projects!$C$29+Projects!$D$29-1,Projects!$B$29*Assumptions!$B$10/Projects!$D$29*0.95+0.05*Projects!$B$29*Assumptions!$B$10,Projects!$B$29*Assumptions!$B$10/Projects!$D$29*0.95),0)</f>
        <v/>
      </c>
      <c r="E98">
        <f>IF(AND(Projects!$G$17="Yes",3&gt;=Projects!$C$17,3&lt;Projects!$C$17+Projects!$D$17),IF(3=Projects!$C$17+Projects!$D$17-1,Projects!$B$17*Assumptions!$B$10/Projects!$D$17*0.95+0.05*Projects!$B$17*Assumptions!$B$10,Projects!$B$17*Assumptions!$B$10/Projects!$D$17*0.95),0)+IF(AND(Projects!$G$18="Yes",3&gt;=Projects!$C$18,3&lt;Projects!$C$18+Projects!$D$18),IF(3=Projects!$C$18+Projects!$D$18-1,Projects!$B$18*Assumptions!$B$10/Projects!$D$18*0.95+0.05*Projects!$B$18*Assumptions!$B$10,Projects!$B$18*Assumptions!$B$10/Projects!$D$18*0.95),0)+IF(AND(Projects!$G$19="Yes",3&gt;=Projects!$C$19,3&lt;Projects!$C$19+Projects!$D$19),IF(3=Projects!$C$19+Projects!$D$19-1,Projects!$B$19*Assumptions!$B$10/Projects!$D$19*0.95+0.05*Projects!$B$19*Assumptions!$B$10,Projects!$B$19*Assumptions!$B$10/Projects!$D$19*0.95),0)+IF(AND(Projects!$G$20="Yes",3&gt;=Projects!$C$20,3&lt;Projects!$C$20+Projects!$D$20),IF(3=Projects!$C$20+Projects!$D$20-1,Projects!$B$20*Assumptions!$B$10/Projects!$D$20*0.95+0.05*Projects!$B$20*Assumptions!$B$10,Projects!$B$20*Assumptions!$B$10/Projects!$D$20*0.95),0)+IF(AND(Projects!$G$21="Yes",3&gt;=Projects!$C$21,3&lt;Projects!$C$21+Projects!$D$21),IF(3=Projects!$C$21+Projects!$D$21-1,Projects!$B$21*Assumptions!$B$10/Projects!$D$21*0.95+0.05*Projects!$B$21*Assumptions!$B$10,Projects!$B$21*Assumptions!$B$10/Projects!$D$21*0.95),0)+IF(AND(Projects!$G$22="Yes",3&gt;=Projects!$C$22,3&lt;Projects!$C$22+Projects!$D$22),IF(3=Projects!$C$22+Projects!$D$22-1,Projects!$B$22*Assumptions!$B$10/Projects!$D$22*0.95+0.05*Projects!$B$22*Assumptions!$B$10,Projects!$B$22*Assumptions!$B$10/Projects!$D$22*0.95),0)+IF(AND(Projects!$G$23="Yes",3&gt;=Projects!$C$23,3&lt;Projects!$C$23+Projects!$D$23),IF(3=Projects!$C$23+Projects!$D$23-1,Projects!$B$23*Assumptions!$B$10/Projects!$D$23*0.95+0.05*Projects!$B$23*Assumptions!$B$10,Projects!$B$23*Assumptions!$B$10/Projects!$D$23*0.95),0)+IF(AND(Projects!$G$24="Yes",3&gt;=Projects!$C$24,3&lt;Projects!$C$24+Projects!$D$24),IF(3=Projects!$C$24+Projects!$D$24-1,Projects!$B$24*Assumptions!$B$10/Projects!$D$24*0.95+0.05*Projects!$B$24*Assumptions!$B$10,Projects!$B$24*Assumptions!$B$10/Projects!$D$24*0.95),0)+IF(AND(Projects!$G$25="Yes",3&gt;=Projects!$C$25,3&lt;Projects!$C$25+Projects!$D$25),IF(3=Projects!$C$25+Projects!$D$25-1,Projects!$B$25*Assumptions!$B$10/Projects!$D$25*0.95+0.05*Projects!$B$25*Assumptions!$B$10,Projects!$B$25*Assumptions!$B$10/Projects!$D$25*0.95),0)+IF(AND(Projects!$G$26="Yes",3&gt;=Projects!$C$26,3&lt;Projects!$C$26+Projects!$D$26),IF(3=Projects!$C$26+Projects!$D$26-1,Projects!$B$26*Assumptions!$B$10/Projects!$D$26*0.95+0.05*Projects!$B$26*Assumptions!$B$10,Projects!$B$26*Assumptions!$B$10/Projects!$D$26*0.95),0)+IF(AND(Projects!$G$27="Yes",3&gt;=Projects!$C$27,3&lt;Projects!$C$27+Projects!$D$27),IF(3=Projects!$C$27+Projects!$D$27-1,Projects!$B$27*Assumptions!$B$10/Projects!$D$27*0.95+0.05*Projects!$B$27*Assumptions!$B$10,Projects!$B$27*Assumptions!$B$10/Projects!$D$27*0.95),0)+IF(AND(Projects!$G$28="Yes",3&gt;=Projects!$C$28,3&lt;Projects!$C$28+Projects!$D$28),IF(3=Projects!$C$28+Projects!$D$28-1,Projects!$B$28*Assumptions!$B$10/Projects!$D$28*0.95+0.05*Projects!$B$28*Assumptions!$B$10,Projects!$B$28*Assumptions!$B$10/Projects!$D$28*0.95),0)+IF(AND(Projects!$G$29="Yes",3&gt;=Projects!$C$29,3&lt;Projects!$C$29+Projects!$D$29),IF(3=Projects!$C$29+Projects!$D$29-1,Projects!$B$29*Assumptions!$B$10/Projects!$D$29*0.95+0.05*Projects!$B$29*Assumptions!$B$10,Projects!$B$29*Assumptions!$B$10/Projects!$D$29*0.95),0)</f>
        <v/>
      </c>
      <c r="F98">
        <f>IF(AND(Projects!$G$17="Yes",4&gt;=Projects!$C$17,4&lt;Projects!$C$17+Projects!$D$17),IF(4=Projects!$C$17+Projects!$D$17-1,Projects!$B$17*Assumptions!$B$10/Projects!$D$17*0.95+0.05*Projects!$B$17*Assumptions!$B$10,Projects!$B$17*Assumptions!$B$10/Projects!$D$17*0.95),0)+IF(AND(Projects!$G$18="Yes",4&gt;=Projects!$C$18,4&lt;Projects!$C$18+Projects!$D$18),IF(4=Projects!$C$18+Projects!$D$18-1,Projects!$B$18*Assumptions!$B$10/Projects!$D$18*0.95+0.05*Projects!$B$18*Assumptions!$B$10,Projects!$B$18*Assumptions!$B$10/Projects!$D$18*0.95),0)+IF(AND(Projects!$G$19="Yes",4&gt;=Projects!$C$19,4&lt;Projects!$C$19+Projects!$D$19),IF(4=Projects!$C$19+Projects!$D$19-1,Projects!$B$19*Assumptions!$B$10/Projects!$D$19*0.95+0.05*Projects!$B$19*Assumptions!$B$10,Projects!$B$19*Assumptions!$B$10/Projects!$D$19*0.95),0)+IF(AND(Projects!$G$20="Yes",4&gt;=Projects!$C$20,4&lt;Projects!$C$20+Projects!$D$20),IF(4=Projects!$C$20+Projects!$D$20-1,Projects!$B$20*Assumptions!$B$10/Projects!$D$20*0.95+0.05*Projects!$B$20*Assumptions!$B$10,Projects!$B$20*Assumptions!$B$10/Projects!$D$20*0.95),0)+IF(AND(Projects!$G$21="Yes",4&gt;=Projects!$C$21,4&lt;Projects!$C$21+Projects!$D$21),IF(4=Projects!$C$21+Projects!$D$21-1,Projects!$B$21*Assumptions!$B$10/Projects!$D$21*0.95+0.05*Projects!$B$21*Assumptions!$B$10,Projects!$B$21*Assumptions!$B$10/Projects!$D$21*0.95),0)+IF(AND(Projects!$G$22="Yes",4&gt;=Projects!$C$22,4&lt;Projects!$C$22+Projects!$D$22),IF(4=Projects!$C$22+Projects!$D$22-1,Projects!$B$22*Assumptions!$B$10/Projects!$D$22*0.95+0.05*Projects!$B$22*Assumptions!$B$10,Projects!$B$22*Assumptions!$B$10/Projects!$D$22*0.95),0)+IF(AND(Projects!$G$23="Yes",4&gt;=Projects!$C$23,4&lt;Projects!$C$23+Projects!$D$23),IF(4=Projects!$C$23+Projects!$D$23-1,Projects!$B$23*Assumptions!$B$10/Projects!$D$23*0.95+0.05*Projects!$B$23*Assumptions!$B$10,Projects!$B$23*Assumptions!$B$10/Projects!$D$23*0.95),0)+IF(AND(Projects!$G$24="Yes",4&gt;=Projects!$C$24,4&lt;Projects!$C$24+Projects!$D$24),IF(4=Projects!$C$24+Projects!$D$24-1,Projects!$B$24*Assumptions!$B$10/Projects!$D$24*0.95+0.05*Projects!$B$24*Assumptions!$B$10,Projects!$B$24*Assumptions!$B$10/Projects!$D$24*0.95),0)+IF(AND(Projects!$G$25="Yes",4&gt;=Projects!$C$25,4&lt;Projects!$C$25+Projects!$D$25),IF(4=Projects!$C$25+Projects!$D$25-1,Projects!$B$25*Assumptions!$B$10/Projects!$D$25*0.95+0.05*Projects!$B$25*Assumptions!$B$10,Projects!$B$25*Assumptions!$B$10/Projects!$D$25*0.95),0)+IF(AND(Projects!$G$26="Yes",4&gt;=Projects!$C$26,4&lt;Projects!$C$26+Projects!$D$26),IF(4=Projects!$C$26+Projects!$D$26-1,Projects!$B$26*Assumptions!$B$10/Projects!$D$26*0.95+0.05*Projects!$B$26*Assumptions!$B$10,Projects!$B$26*Assumptions!$B$10/Projects!$D$26*0.95),0)+IF(AND(Projects!$G$27="Yes",4&gt;=Projects!$C$27,4&lt;Projects!$C$27+Projects!$D$27),IF(4=Projects!$C$27+Projects!$D$27-1,Projects!$B$27*Assumptions!$B$10/Projects!$D$27*0.95+0.05*Projects!$B$27*Assumptions!$B$10,Projects!$B$27*Assumptions!$B$10/Projects!$D$27*0.95),0)+IF(AND(Projects!$G$28="Yes",4&gt;=Projects!$C$28,4&lt;Projects!$C$28+Projects!$D$28),IF(4=Projects!$C$28+Projects!$D$28-1,Projects!$B$28*Assumptions!$B$10/Projects!$D$28*0.95+0.05*Projects!$B$28*Assumptions!$B$10,Projects!$B$28*Assumptions!$B$10/Projects!$D$28*0.95),0)+IF(AND(Projects!$G$29="Yes",4&gt;=Projects!$C$29,4&lt;Projects!$C$29+Projects!$D$29),IF(4=Projects!$C$29+Projects!$D$29-1,Projects!$B$29*Assumptions!$B$10/Projects!$D$29*0.95+0.05*Projects!$B$29*Assumptions!$B$10,Projects!$B$29*Assumptions!$B$10/Projects!$D$29*0.95),0)</f>
        <v/>
      </c>
      <c r="G98">
        <f>IF(AND(Projects!$G$17="Yes",5&gt;=Projects!$C$17,5&lt;Projects!$C$17+Projects!$D$17),IF(5=Projects!$C$17+Projects!$D$17-1,Projects!$B$17*Assumptions!$B$10/Projects!$D$17*0.95+0.05*Projects!$B$17*Assumptions!$B$10,Projects!$B$17*Assumptions!$B$10/Projects!$D$17*0.95),0)+IF(AND(Projects!$G$18="Yes",5&gt;=Projects!$C$18,5&lt;Projects!$C$18+Projects!$D$18),IF(5=Projects!$C$18+Projects!$D$18-1,Projects!$B$18*Assumptions!$B$10/Projects!$D$18*0.95+0.05*Projects!$B$18*Assumptions!$B$10,Projects!$B$18*Assumptions!$B$10/Projects!$D$18*0.95),0)+IF(AND(Projects!$G$19="Yes",5&gt;=Projects!$C$19,5&lt;Projects!$C$19+Projects!$D$19),IF(5=Projects!$C$19+Projects!$D$19-1,Projects!$B$19*Assumptions!$B$10/Projects!$D$19*0.95+0.05*Projects!$B$19*Assumptions!$B$10,Projects!$B$19*Assumptions!$B$10/Projects!$D$19*0.95),0)+IF(AND(Projects!$G$20="Yes",5&gt;=Projects!$C$20,5&lt;Projects!$C$20+Projects!$D$20),IF(5=Projects!$C$20+Projects!$D$20-1,Projects!$B$20*Assumptions!$B$10/Projects!$D$20*0.95+0.05*Projects!$B$20*Assumptions!$B$10,Projects!$B$20*Assumptions!$B$10/Projects!$D$20*0.95),0)+IF(AND(Projects!$G$21="Yes",5&gt;=Projects!$C$21,5&lt;Projects!$C$21+Projects!$D$21),IF(5=Projects!$C$21+Projects!$D$21-1,Projects!$B$21*Assumptions!$B$10/Projects!$D$21*0.95+0.05*Projects!$B$21*Assumptions!$B$10,Projects!$B$21*Assumptions!$B$10/Projects!$D$21*0.95),0)+IF(AND(Projects!$G$22="Yes",5&gt;=Projects!$C$22,5&lt;Projects!$C$22+Projects!$D$22),IF(5=Projects!$C$22+Projects!$D$22-1,Projects!$B$22*Assumptions!$B$10/Projects!$D$22*0.95+0.05*Projects!$B$22*Assumptions!$B$10,Projects!$B$22*Assumptions!$B$10/Projects!$D$22*0.95),0)+IF(AND(Projects!$G$23="Yes",5&gt;=Projects!$C$23,5&lt;Projects!$C$23+Projects!$D$23),IF(5=Projects!$C$23+Projects!$D$23-1,Projects!$B$23*Assumptions!$B$10/Projects!$D$23*0.95+0.05*Projects!$B$23*Assumptions!$B$10,Projects!$B$23*Assumptions!$B$10/Projects!$D$23*0.95),0)+IF(AND(Projects!$G$24="Yes",5&gt;=Projects!$C$24,5&lt;Projects!$C$24+Projects!$D$24),IF(5=Projects!$C$24+Projects!$D$24-1,Projects!$B$24*Assumptions!$B$10/Projects!$D$24*0.95+0.05*Projects!$B$24*Assumptions!$B$10,Projects!$B$24*Assumptions!$B$10/Projects!$D$24*0.95),0)+IF(AND(Projects!$G$25="Yes",5&gt;=Projects!$C$25,5&lt;Projects!$C$25+Projects!$D$25),IF(5=Projects!$C$25+Projects!$D$25-1,Projects!$B$25*Assumptions!$B$10/Projects!$D$25*0.95+0.05*Projects!$B$25*Assumptions!$B$10,Projects!$B$25*Assumptions!$B$10/Projects!$D$25*0.95),0)+IF(AND(Projects!$G$26="Yes",5&gt;=Projects!$C$26,5&lt;Projects!$C$26+Projects!$D$26),IF(5=Projects!$C$26+Projects!$D$26-1,Projects!$B$26*Assumptions!$B$10/Projects!$D$26*0.95+0.05*Projects!$B$26*Assumptions!$B$10,Projects!$B$26*Assumptions!$B$10/Projects!$D$26*0.95),0)+IF(AND(Projects!$G$27="Yes",5&gt;=Projects!$C$27,5&lt;Projects!$C$27+Projects!$D$27),IF(5=Projects!$C$27+Projects!$D$27-1,Projects!$B$27*Assumptions!$B$10/Projects!$D$27*0.95+0.05*Projects!$B$27*Assumptions!$B$10,Projects!$B$27*Assumptions!$B$10/Projects!$D$27*0.95),0)+IF(AND(Projects!$G$28="Yes",5&gt;=Projects!$C$28,5&lt;Projects!$C$28+Projects!$D$28),IF(5=Projects!$C$28+Projects!$D$28-1,Projects!$B$28*Assumptions!$B$10/Projects!$D$28*0.95+0.05*Projects!$B$28*Assumptions!$B$10,Projects!$B$28*Assumptions!$B$10/Projects!$D$28*0.95),0)+IF(AND(Projects!$G$29="Yes",5&gt;=Projects!$C$29,5&lt;Projects!$C$29+Projects!$D$29),IF(5=Projects!$C$29+Projects!$D$29-1,Projects!$B$29*Assumptions!$B$10/Projects!$D$29*0.95+0.05*Projects!$B$29*Assumptions!$B$10,Projects!$B$29*Assumptions!$B$10/Projects!$D$29*0.95),0)</f>
        <v/>
      </c>
      <c r="H98">
        <f>IF(AND(Projects!$G$17="Yes",6&gt;=Projects!$C$17,6&lt;Projects!$C$17+Projects!$D$17),IF(6=Projects!$C$17+Projects!$D$17-1,Projects!$B$17*Assumptions!$B$10/Projects!$D$17*0.95+0.05*Projects!$B$17*Assumptions!$B$10,Projects!$B$17*Assumptions!$B$10/Projects!$D$17*0.95),0)+IF(AND(Projects!$G$18="Yes",6&gt;=Projects!$C$18,6&lt;Projects!$C$18+Projects!$D$18),IF(6=Projects!$C$18+Projects!$D$18-1,Projects!$B$18*Assumptions!$B$10/Projects!$D$18*0.95+0.05*Projects!$B$18*Assumptions!$B$10,Projects!$B$18*Assumptions!$B$10/Projects!$D$18*0.95),0)+IF(AND(Projects!$G$19="Yes",6&gt;=Projects!$C$19,6&lt;Projects!$C$19+Projects!$D$19),IF(6=Projects!$C$19+Projects!$D$19-1,Projects!$B$19*Assumptions!$B$10/Projects!$D$19*0.95+0.05*Projects!$B$19*Assumptions!$B$10,Projects!$B$19*Assumptions!$B$10/Projects!$D$19*0.95),0)+IF(AND(Projects!$G$20="Yes",6&gt;=Projects!$C$20,6&lt;Projects!$C$20+Projects!$D$20),IF(6=Projects!$C$20+Projects!$D$20-1,Projects!$B$20*Assumptions!$B$10/Projects!$D$20*0.95+0.05*Projects!$B$20*Assumptions!$B$10,Projects!$B$20*Assumptions!$B$10/Projects!$D$20*0.95),0)+IF(AND(Projects!$G$21="Yes",6&gt;=Projects!$C$21,6&lt;Projects!$C$21+Projects!$D$21),IF(6=Projects!$C$21+Projects!$D$21-1,Projects!$B$21*Assumptions!$B$10/Projects!$D$21*0.95+0.05*Projects!$B$21*Assumptions!$B$10,Projects!$B$21*Assumptions!$B$10/Projects!$D$21*0.95),0)+IF(AND(Projects!$G$22="Yes",6&gt;=Projects!$C$22,6&lt;Projects!$C$22+Projects!$D$22),IF(6=Projects!$C$22+Projects!$D$22-1,Projects!$B$22*Assumptions!$B$10/Projects!$D$22*0.95+0.05*Projects!$B$22*Assumptions!$B$10,Projects!$B$22*Assumptions!$B$10/Projects!$D$22*0.95),0)+IF(AND(Projects!$G$23="Yes",6&gt;=Projects!$C$23,6&lt;Projects!$C$23+Projects!$D$23),IF(6=Projects!$C$23+Projects!$D$23-1,Projects!$B$23*Assumptions!$B$10/Projects!$D$23*0.95+0.05*Projects!$B$23*Assumptions!$B$10,Projects!$B$23*Assumptions!$B$10/Projects!$D$23*0.95),0)+IF(AND(Projects!$G$24="Yes",6&gt;=Projects!$C$24,6&lt;Projects!$C$24+Projects!$D$24),IF(6=Projects!$C$24+Projects!$D$24-1,Projects!$B$24*Assumptions!$B$10/Projects!$D$24*0.95+0.05*Projects!$B$24*Assumptions!$B$10,Projects!$B$24*Assumptions!$B$10/Projects!$D$24*0.95),0)+IF(AND(Projects!$G$25="Yes",6&gt;=Projects!$C$25,6&lt;Projects!$C$25+Projects!$D$25),IF(6=Projects!$C$25+Projects!$D$25-1,Projects!$B$25*Assumptions!$B$10/Projects!$D$25*0.95+0.05*Projects!$B$25*Assumptions!$B$10,Projects!$B$25*Assumptions!$B$10/Projects!$D$25*0.95),0)+IF(AND(Projects!$G$26="Yes",6&gt;=Projects!$C$26,6&lt;Projects!$C$26+Projects!$D$26),IF(6=Projects!$C$26+Projects!$D$26-1,Projects!$B$26*Assumptions!$B$10/Projects!$D$26*0.95+0.05*Projects!$B$26*Assumptions!$B$10,Projects!$B$26*Assumptions!$B$10/Projects!$D$26*0.95),0)+IF(AND(Projects!$G$27="Yes",6&gt;=Projects!$C$27,6&lt;Projects!$C$27+Projects!$D$27),IF(6=Projects!$C$27+Projects!$D$27-1,Projects!$B$27*Assumptions!$B$10/Projects!$D$27*0.95+0.05*Projects!$B$27*Assumptions!$B$10,Projects!$B$27*Assumptions!$B$10/Projects!$D$27*0.95),0)+IF(AND(Projects!$G$28="Yes",6&gt;=Projects!$C$28,6&lt;Projects!$C$28+Projects!$D$28),IF(6=Projects!$C$28+Projects!$D$28-1,Projects!$B$28*Assumptions!$B$10/Projects!$D$28*0.95+0.05*Projects!$B$28*Assumptions!$B$10,Projects!$B$28*Assumptions!$B$10/Projects!$D$28*0.95),0)+IF(AND(Projects!$G$29="Yes",6&gt;=Projects!$C$29,6&lt;Projects!$C$29+Projects!$D$29),IF(6=Projects!$C$29+Projects!$D$29-1,Projects!$B$29*Assumptions!$B$10/Projects!$D$29*0.95+0.05*Projects!$B$29*Assumptions!$B$10,Projects!$B$29*Assumptions!$B$10/Projects!$D$29*0.95),0)</f>
        <v/>
      </c>
      <c r="I98">
        <f>IF(AND(Projects!$G$17="Yes",7&gt;=Projects!$C$17,7&lt;Projects!$C$17+Projects!$D$17),IF(7=Projects!$C$17+Projects!$D$17-1,Projects!$B$17*Assumptions!$B$10/Projects!$D$17*0.95+0.05*Projects!$B$17*Assumptions!$B$10,Projects!$B$17*Assumptions!$B$10/Projects!$D$17*0.95),0)+IF(AND(Projects!$G$18="Yes",7&gt;=Projects!$C$18,7&lt;Projects!$C$18+Projects!$D$18),IF(7=Projects!$C$18+Projects!$D$18-1,Projects!$B$18*Assumptions!$B$10/Projects!$D$18*0.95+0.05*Projects!$B$18*Assumptions!$B$10,Projects!$B$18*Assumptions!$B$10/Projects!$D$18*0.95),0)+IF(AND(Projects!$G$19="Yes",7&gt;=Projects!$C$19,7&lt;Projects!$C$19+Projects!$D$19),IF(7=Projects!$C$19+Projects!$D$19-1,Projects!$B$19*Assumptions!$B$10/Projects!$D$19*0.95+0.05*Projects!$B$19*Assumptions!$B$10,Projects!$B$19*Assumptions!$B$10/Projects!$D$19*0.95),0)+IF(AND(Projects!$G$20="Yes",7&gt;=Projects!$C$20,7&lt;Projects!$C$20+Projects!$D$20),IF(7=Projects!$C$20+Projects!$D$20-1,Projects!$B$20*Assumptions!$B$10/Projects!$D$20*0.95+0.05*Projects!$B$20*Assumptions!$B$10,Projects!$B$20*Assumptions!$B$10/Projects!$D$20*0.95),0)+IF(AND(Projects!$G$21="Yes",7&gt;=Projects!$C$21,7&lt;Projects!$C$21+Projects!$D$21),IF(7=Projects!$C$21+Projects!$D$21-1,Projects!$B$21*Assumptions!$B$10/Projects!$D$21*0.95+0.05*Projects!$B$21*Assumptions!$B$10,Projects!$B$21*Assumptions!$B$10/Projects!$D$21*0.95),0)+IF(AND(Projects!$G$22="Yes",7&gt;=Projects!$C$22,7&lt;Projects!$C$22+Projects!$D$22),IF(7=Projects!$C$22+Projects!$D$22-1,Projects!$B$22*Assumptions!$B$10/Projects!$D$22*0.95+0.05*Projects!$B$22*Assumptions!$B$10,Projects!$B$22*Assumptions!$B$10/Projects!$D$22*0.95),0)+IF(AND(Projects!$G$23="Yes",7&gt;=Projects!$C$23,7&lt;Projects!$C$23+Projects!$D$23),IF(7=Projects!$C$23+Projects!$D$23-1,Projects!$B$23*Assumptions!$B$10/Projects!$D$23*0.95+0.05*Projects!$B$23*Assumptions!$B$10,Projects!$B$23*Assumptions!$B$10/Projects!$D$23*0.95),0)+IF(AND(Projects!$G$24="Yes",7&gt;=Projects!$C$24,7&lt;Projects!$C$24+Projects!$D$24),IF(7=Projects!$C$24+Projects!$D$24-1,Projects!$B$24*Assumptions!$B$10/Projects!$D$24*0.95+0.05*Projects!$B$24*Assumptions!$B$10,Projects!$B$24*Assumptions!$B$10/Projects!$D$24*0.95),0)+IF(AND(Projects!$G$25="Yes",7&gt;=Projects!$C$25,7&lt;Projects!$C$25+Projects!$D$25),IF(7=Projects!$C$25+Projects!$D$25-1,Projects!$B$25*Assumptions!$B$10/Projects!$D$25*0.95+0.05*Projects!$B$25*Assumptions!$B$10,Projects!$B$25*Assumptions!$B$10/Projects!$D$25*0.95),0)+IF(AND(Projects!$G$26="Yes",7&gt;=Projects!$C$26,7&lt;Projects!$C$26+Projects!$D$26),IF(7=Projects!$C$26+Projects!$D$26-1,Projects!$B$26*Assumptions!$B$10/Projects!$D$26*0.95+0.05*Projects!$B$26*Assumptions!$B$10,Projects!$B$26*Assumptions!$B$10/Projects!$D$26*0.95),0)+IF(AND(Projects!$G$27="Yes",7&gt;=Projects!$C$27,7&lt;Projects!$C$27+Projects!$D$27),IF(7=Projects!$C$27+Projects!$D$27-1,Projects!$B$27*Assumptions!$B$10/Projects!$D$27*0.95+0.05*Projects!$B$27*Assumptions!$B$10,Projects!$B$27*Assumptions!$B$10/Projects!$D$27*0.95),0)+IF(AND(Projects!$G$28="Yes",7&gt;=Projects!$C$28,7&lt;Projects!$C$28+Projects!$D$28),IF(7=Projects!$C$28+Projects!$D$28-1,Projects!$B$28*Assumptions!$B$10/Projects!$D$28*0.95+0.05*Projects!$B$28*Assumptions!$B$10,Projects!$B$28*Assumptions!$B$10/Projects!$D$28*0.95),0)+IF(AND(Projects!$G$29="Yes",7&gt;=Projects!$C$29,7&lt;Projects!$C$29+Projects!$D$29),IF(7=Projects!$C$29+Projects!$D$29-1,Projects!$B$29*Assumptions!$B$10/Projects!$D$29*0.95+0.05*Projects!$B$29*Assumptions!$B$10,Projects!$B$29*Assumptions!$B$10/Projects!$D$29*0.95),0)</f>
        <v/>
      </c>
      <c r="J98">
        <f>IF(AND(Projects!$G$17="Yes",8&gt;=Projects!$C$17,8&lt;Projects!$C$17+Projects!$D$17),IF(8=Projects!$C$17+Projects!$D$17-1,Projects!$B$17*Assumptions!$B$10/Projects!$D$17*0.95+0.05*Projects!$B$17*Assumptions!$B$10,Projects!$B$17*Assumptions!$B$10/Projects!$D$17*0.95),0)+IF(AND(Projects!$G$18="Yes",8&gt;=Projects!$C$18,8&lt;Projects!$C$18+Projects!$D$18),IF(8=Projects!$C$18+Projects!$D$18-1,Projects!$B$18*Assumptions!$B$10/Projects!$D$18*0.95+0.05*Projects!$B$18*Assumptions!$B$10,Projects!$B$18*Assumptions!$B$10/Projects!$D$18*0.95),0)+IF(AND(Projects!$G$19="Yes",8&gt;=Projects!$C$19,8&lt;Projects!$C$19+Projects!$D$19),IF(8=Projects!$C$19+Projects!$D$19-1,Projects!$B$19*Assumptions!$B$10/Projects!$D$19*0.95+0.05*Projects!$B$19*Assumptions!$B$10,Projects!$B$19*Assumptions!$B$10/Projects!$D$19*0.95),0)+IF(AND(Projects!$G$20="Yes",8&gt;=Projects!$C$20,8&lt;Projects!$C$20+Projects!$D$20),IF(8=Projects!$C$20+Projects!$D$20-1,Projects!$B$20*Assumptions!$B$10/Projects!$D$20*0.95+0.05*Projects!$B$20*Assumptions!$B$10,Projects!$B$20*Assumptions!$B$10/Projects!$D$20*0.95),0)+IF(AND(Projects!$G$21="Yes",8&gt;=Projects!$C$21,8&lt;Projects!$C$21+Projects!$D$21),IF(8=Projects!$C$21+Projects!$D$21-1,Projects!$B$21*Assumptions!$B$10/Projects!$D$21*0.95+0.05*Projects!$B$21*Assumptions!$B$10,Projects!$B$21*Assumptions!$B$10/Projects!$D$21*0.95),0)+IF(AND(Projects!$G$22="Yes",8&gt;=Projects!$C$22,8&lt;Projects!$C$22+Projects!$D$22),IF(8=Projects!$C$22+Projects!$D$22-1,Projects!$B$22*Assumptions!$B$10/Projects!$D$22*0.95+0.05*Projects!$B$22*Assumptions!$B$10,Projects!$B$22*Assumptions!$B$10/Projects!$D$22*0.95),0)+IF(AND(Projects!$G$23="Yes",8&gt;=Projects!$C$23,8&lt;Projects!$C$23+Projects!$D$23),IF(8=Projects!$C$23+Projects!$D$23-1,Projects!$B$23*Assumptions!$B$10/Projects!$D$23*0.95+0.05*Projects!$B$23*Assumptions!$B$10,Projects!$B$23*Assumptions!$B$10/Projects!$D$23*0.95),0)+IF(AND(Projects!$G$24="Yes",8&gt;=Projects!$C$24,8&lt;Projects!$C$24+Projects!$D$24),IF(8=Projects!$C$24+Projects!$D$24-1,Projects!$B$24*Assumptions!$B$10/Projects!$D$24*0.95+0.05*Projects!$B$24*Assumptions!$B$10,Projects!$B$24*Assumptions!$B$10/Projects!$D$24*0.95),0)+IF(AND(Projects!$G$25="Yes",8&gt;=Projects!$C$25,8&lt;Projects!$C$25+Projects!$D$25),IF(8=Projects!$C$25+Projects!$D$25-1,Projects!$B$25*Assumptions!$B$10/Projects!$D$25*0.95+0.05*Projects!$B$25*Assumptions!$B$10,Projects!$B$25*Assumptions!$B$10/Projects!$D$25*0.95),0)+IF(AND(Projects!$G$26="Yes",8&gt;=Projects!$C$26,8&lt;Projects!$C$26+Projects!$D$26),IF(8=Projects!$C$26+Projects!$D$26-1,Projects!$B$26*Assumptions!$B$10/Projects!$D$26*0.95+0.05*Projects!$B$26*Assumptions!$B$10,Projects!$B$26*Assumptions!$B$10/Projects!$D$26*0.95),0)+IF(AND(Projects!$G$27="Yes",8&gt;=Projects!$C$27,8&lt;Projects!$C$27+Projects!$D$27),IF(8=Projects!$C$27+Projects!$D$27-1,Projects!$B$27*Assumptions!$B$10/Projects!$D$27*0.95+0.05*Projects!$B$27*Assumptions!$B$10,Projects!$B$27*Assumptions!$B$10/Projects!$D$27*0.95),0)+IF(AND(Projects!$G$28="Yes",8&gt;=Projects!$C$28,8&lt;Projects!$C$28+Projects!$D$28),IF(8=Projects!$C$28+Projects!$D$28-1,Projects!$B$28*Assumptions!$B$10/Projects!$D$28*0.95+0.05*Projects!$B$28*Assumptions!$B$10,Projects!$B$28*Assumptions!$B$10/Projects!$D$28*0.95),0)+IF(AND(Projects!$G$29="Yes",8&gt;=Projects!$C$29,8&lt;Projects!$C$29+Projects!$D$29),IF(8=Projects!$C$29+Projects!$D$29-1,Projects!$B$29*Assumptions!$B$10/Projects!$D$29*0.95+0.05*Projects!$B$29*Assumptions!$B$10,Projects!$B$29*Assumptions!$B$10/Projects!$D$29*0.95),0)</f>
        <v/>
      </c>
      <c r="K98">
        <f>IF(AND(Projects!$G$17="Yes",9&gt;=Projects!$C$17,9&lt;Projects!$C$17+Projects!$D$17),IF(9=Projects!$C$17+Projects!$D$17-1,Projects!$B$17*Assumptions!$B$10/Projects!$D$17*0.95+0.05*Projects!$B$17*Assumptions!$B$10,Projects!$B$17*Assumptions!$B$10/Projects!$D$17*0.95),0)+IF(AND(Projects!$G$18="Yes",9&gt;=Projects!$C$18,9&lt;Projects!$C$18+Projects!$D$18),IF(9=Projects!$C$18+Projects!$D$18-1,Projects!$B$18*Assumptions!$B$10/Projects!$D$18*0.95+0.05*Projects!$B$18*Assumptions!$B$10,Projects!$B$18*Assumptions!$B$10/Projects!$D$18*0.95),0)+IF(AND(Projects!$G$19="Yes",9&gt;=Projects!$C$19,9&lt;Projects!$C$19+Projects!$D$19),IF(9=Projects!$C$19+Projects!$D$19-1,Projects!$B$19*Assumptions!$B$10/Projects!$D$19*0.95+0.05*Projects!$B$19*Assumptions!$B$10,Projects!$B$19*Assumptions!$B$10/Projects!$D$19*0.95),0)+IF(AND(Projects!$G$20="Yes",9&gt;=Projects!$C$20,9&lt;Projects!$C$20+Projects!$D$20),IF(9=Projects!$C$20+Projects!$D$20-1,Projects!$B$20*Assumptions!$B$10/Projects!$D$20*0.95+0.05*Projects!$B$20*Assumptions!$B$10,Projects!$B$20*Assumptions!$B$10/Projects!$D$20*0.95),0)+IF(AND(Projects!$G$21="Yes",9&gt;=Projects!$C$21,9&lt;Projects!$C$21+Projects!$D$21),IF(9=Projects!$C$21+Projects!$D$21-1,Projects!$B$21*Assumptions!$B$10/Projects!$D$21*0.95+0.05*Projects!$B$21*Assumptions!$B$10,Projects!$B$21*Assumptions!$B$10/Projects!$D$21*0.95),0)+IF(AND(Projects!$G$22="Yes",9&gt;=Projects!$C$22,9&lt;Projects!$C$22+Projects!$D$22),IF(9=Projects!$C$22+Projects!$D$22-1,Projects!$B$22*Assumptions!$B$10/Projects!$D$22*0.95+0.05*Projects!$B$22*Assumptions!$B$10,Projects!$B$22*Assumptions!$B$10/Projects!$D$22*0.95),0)+IF(AND(Projects!$G$23="Yes",9&gt;=Projects!$C$23,9&lt;Projects!$C$23+Projects!$D$23),IF(9=Projects!$C$23+Projects!$D$23-1,Projects!$B$23*Assumptions!$B$10/Projects!$D$23*0.95+0.05*Projects!$B$23*Assumptions!$B$10,Projects!$B$23*Assumptions!$B$10/Projects!$D$23*0.95),0)+IF(AND(Projects!$G$24="Yes",9&gt;=Projects!$C$24,9&lt;Projects!$C$24+Projects!$D$24),IF(9=Projects!$C$24+Projects!$D$24-1,Projects!$B$24*Assumptions!$B$10/Projects!$D$24*0.95+0.05*Projects!$B$24*Assumptions!$B$10,Projects!$B$24*Assumptions!$B$10/Projects!$D$24*0.95),0)+IF(AND(Projects!$G$25="Yes",9&gt;=Projects!$C$25,9&lt;Projects!$C$25+Projects!$D$25),IF(9=Projects!$C$25+Projects!$D$25-1,Projects!$B$25*Assumptions!$B$10/Projects!$D$25*0.95+0.05*Projects!$B$25*Assumptions!$B$10,Projects!$B$25*Assumptions!$B$10/Projects!$D$25*0.95),0)+IF(AND(Projects!$G$26="Yes",9&gt;=Projects!$C$26,9&lt;Projects!$C$26+Projects!$D$26),IF(9=Projects!$C$26+Projects!$D$26-1,Projects!$B$26*Assumptions!$B$10/Projects!$D$26*0.95+0.05*Projects!$B$26*Assumptions!$B$10,Projects!$B$26*Assumptions!$B$10/Projects!$D$26*0.95),0)+IF(AND(Projects!$G$27="Yes",9&gt;=Projects!$C$27,9&lt;Projects!$C$27+Projects!$D$27),IF(9=Projects!$C$27+Projects!$D$27-1,Projects!$B$27*Assumptions!$B$10/Projects!$D$27*0.95+0.05*Projects!$B$27*Assumptions!$B$10,Projects!$B$27*Assumptions!$B$10/Projects!$D$27*0.95),0)+IF(AND(Projects!$G$28="Yes",9&gt;=Projects!$C$28,9&lt;Projects!$C$28+Projects!$D$28),IF(9=Projects!$C$28+Projects!$D$28-1,Projects!$B$28*Assumptions!$B$10/Projects!$D$28*0.95+0.05*Projects!$B$28*Assumptions!$B$10,Projects!$B$28*Assumptions!$B$10/Projects!$D$28*0.95),0)+IF(AND(Projects!$G$29="Yes",9&gt;=Projects!$C$29,9&lt;Projects!$C$29+Projects!$D$29),IF(9=Projects!$C$29+Projects!$D$29-1,Projects!$B$29*Assumptions!$B$10/Projects!$D$29*0.95+0.05*Projects!$B$29*Assumptions!$B$10,Projects!$B$29*Assumptions!$B$10/Projects!$D$29*0.95),0)</f>
        <v/>
      </c>
      <c r="L98">
        <f>IF(AND(Projects!$G$17="Yes",10&gt;=Projects!$C$17,10&lt;Projects!$C$17+Projects!$D$17),IF(10=Projects!$C$17+Projects!$D$17-1,Projects!$B$17*Assumptions!$B$10/Projects!$D$17*0.95+0.05*Projects!$B$17*Assumptions!$B$10,Projects!$B$17*Assumptions!$B$10/Projects!$D$17*0.95),0)+IF(AND(Projects!$G$18="Yes",10&gt;=Projects!$C$18,10&lt;Projects!$C$18+Projects!$D$18),IF(10=Projects!$C$18+Projects!$D$18-1,Projects!$B$18*Assumptions!$B$10/Projects!$D$18*0.95+0.05*Projects!$B$18*Assumptions!$B$10,Projects!$B$18*Assumptions!$B$10/Projects!$D$18*0.95),0)+IF(AND(Projects!$G$19="Yes",10&gt;=Projects!$C$19,10&lt;Projects!$C$19+Projects!$D$19),IF(10=Projects!$C$19+Projects!$D$19-1,Projects!$B$19*Assumptions!$B$10/Projects!$D$19*0.95+0.05*Projects!$B$19*Assumptions!$B$10,Projects!$B$19*Assumptions!$B$10/Projects!$D$19*0.95),0)+IF(AND(Projects!$G$20="Yes",10&gt;=Projects!$C$20,10&lt;Projects!$C$20+Projects!$D$20),IF(10=Projects!$C$20+Projects!$D$20-1,Projects!$B$20*Assumptions!$B$10/Projects!$D$20*0.95+0.05*Projects!$B$20*Assumptions!$B$10,Projects!$B$20*Assumptions!$B$10/Projects!$D$20*0.95),0)+IF(AND(Projects!$G$21="Yes",10&gt;=Projects!$C$21,10&lt;Projects!$C$21+Projects!$D$21),IF(10=Projects!$C$21+Projects!$D$21-1,Projects!$B$21*Assumptions!$B$10/Projects!$D$21*0.95+0.05*Projects!$B$21*Assumptions!$B$10,Projects!$B$21*Assumptions!$B$10/Projects!$D$21*0.95),0)+IF(AND(Projects!$G$22="Yes",10&gt;=Projects!$C$22,10&lt;Projects!$C$22+Projects!$D$22),IF(10=Projects!$C$22+Projects!$D$22-1,Projects!$B$22*Assumptions!$B$10/Projects!$D$22*0.95+0.05*Projects!$B$22*Assumptions!$B$10,Projects!$B$22*Assumptions!$B$10/Projects!$D$22*0.95),0)+IF(AND(Projects!$G$23="Yes",10&gt;=Projects!$C$23,10&lt;Projects!$C$23+Projects!$D$23),IF(10=Projects!$C$23+Projects!$D$23-1,Projects!$B$23*Assumptions!$B$10/Projects!$D$23*0.95+0.05*Projects!$B$23*Assumptions!$B$10,Projects!$B$23*Assumptions!$B$10/Projects!$D$23*0.95),0)+IF(AND(Projects!$G$24="Yes",10&gt;=Projects!$C$24,10&lt;Projects!$C$24+Projects!$D$24),IF(10=Projects!$C$24+Projects!$D$24-1,Projects!$B$24*Assumptions!$B$10/Projects!$D$24*0.95+0.05*Projects!$B$24*Assumptions!$B$10,Projects!$B$24*Assumptions!$B$10/Projects!$D$24*0.95),0)+IF(AND(Projects!$G$25="Yes",10&gt;=Projects!$C$25,10&lt;Projects!$C$25+Projects!$D$25),IF(10=Projects!$C$25+Projects!$D$25-1,Projects!$B$25*Assumptions!$B$10/Projects!$D$25*0.95+0.05*Projects!$B$25*Assumptions!$B$10,Projects!$B$25*Assumptions!$B$10/Projects!$D$25*0.95),0)+IF(AND(Projects!$G$26="Yes",10&gt;=Projects!$C$26,10&lt;Projects!$C$26+Projects!$D$26),IF(10=Projects!$C$26+Projects!$D$26-1,Projects!$B$26*Assumptions!$B$10/Projects!$D$26*0.95+0.05*Projects!$B$26*Assumptions!$B$10,Projects!$B$26*Assumptions!$B$10/Projects!$D$26*0.95),0)+IF(AND(Projects!$G$27="Yes",10&gt;=Projects!$C$27,10&lt;Projects!$C$27+Projects!$D$27),IF(10=Projects!$C$27+Projects!$D$27-1,Projects!$B$27*Assumptions!$B$10/Projects!$D$27*0.95+0.05*Projects!$B$27*Assumptions!$B$10,Projects!$B$27*Assumptions!$B$10/Projects!$D$27*0.95),0)+IF(AND(Projects!$G$28="Yes",10&gt;=Projects!$C$28,10&lt;Projects!$C$28+Projects!$D$28),IF(10=Projects!$C$28+Projects!$D$28-1,Projects!$B$28*Assumptions!$B$10/Projects!$D$28*0.95+0.05*Projects!$B$28*Assumptions!$B$10,Projects!$B$28*Assumptions!$B$10/Projects!$D$28*0.95),0)+IF(AND(Projects!$G$29="Yes",10&gt;=Projects!$C$29,10&lt;Projects!$C$29+Projects!$D$29),IF(10=Projects!$C$29+Projects!$D$29-1,Projects!$B$29*Assumptions!$B$10/Projects!$D$29*0.95+0.05*Projects!$B$29*Assumptions!$B$10,Projects!$B$29*Assumptions!$B$10/Projects!$D$29*0.95),0)</f>
        <v/>
      </c>
      <c r="M98">
        <f>IF(AND(Projects!$G$17="Yes",11&gt;=Projects!$C$17,11&lt;Projects!$C$17+Projects!$D$17),IF(11=Projects!$C$17+Projects!$D$17-1,Projects!$B$17*Assumptions!$B$10/Projects!$D$17*0.95+0.05*Projects!$B$17*Assumptions!$B$10,Projects!$B$17*Assumptions!$B$10/Projects!$D$17*0.95),0)+IF(AND(Projects!$G$18="Yes",11&gt;=Projects!$C$18,11&lt;Projects!$C$18+Projects!$D$18),IF(11=Projects!$C$18+Projects!$D$18-1,Projects!$B$18*Assumptions!$B$10/Projects!$D$18*0.95+0.05*Projects!$B$18*Assumptions!$B$10,Projects!$B$18*Assumptions!$B$10/Projects!$D$18*0.95),0)+IF(AND(Projects!$G$19="Yes",11&gt;=Projects!$C$19,11&lt;Projects!$C$19+Projects!$D$19),IF(11=Projects!$C$19+Projects!$D$19-1,Projects!$B$19*Assumptions!$B$10/Projects!$D$19*0.95+0.05*Projects!$B$19*Assumptions!$B$10,Projects!$B$19*Assumptions!$B$10/Projects!$D$19*0.95),0)+IF(AND(Projects!$G$20="Yes",11&gt;=Projects!$C$20,11&lt;Projects!$C$20+Projects!$D$20),IF(11=Projects!$C$20+Projects!$D$20-1,Projects!$B$20*Assumptions!$B$10/Projects!$D$20*0.95+0.05*Projects!$B$20*Assumptions!$B$10,Projects!$B$20*Assumptions!$B$10/Projects!$D$20*0.95),0)+IF(AND(Projects!$G$21="Yes",11&gt;=Projects!$C$21,11&lt;Projects!$C$21+Projects!$D$21),IF(11=Projects!$C$21+Projects!$D$21-1,Projects!$B$21*Assumptions!$B$10/Projects!$D$21*0.95+0.05*Projects!$B$21*Assumptions!$B$10,Projects!$B$21*Assumptions!$B$10/Projects!$D$21*0.95),0)+IF(AND(Projects!$G$22="Yes",11&gt;=Projects!$C$22,11&lt;Projects!$C$22+Projects!$D$22),IF(11=Projects!$C$22+Projects!$D$22-1,Projects!$B$22*Assumptions!$B$10/Projects!$D$22*0.95+0.05*Projects!$B$22*Assumptions!$B$10,Projects!$B$22*Assumptions!$B$10/Projects!$D$22*0.95),0)+IF(AND(Projects!$G$23="Yes",11&gt;=Projects!$C$23,11&lt;Projects!$C$23+Projects!$D$23),IF(11=Projects!$C$23+Projects!$D$23-1,Projects!$B$23*Assumptions!$B$10/Projects!$D$23*0.95+0.05*Projects!$B$23*Assumptions!$B$10,Projects!$B$23*Assumptions!$B$10/Projects!$D$23*0.95),0)+IF(AND(Projects!$G$24="Yes",11&gt;=Projects!$C$24,11&lt;Projects!$C$24+Projects!$D$24),IF(11=Projects!$C$24+Projects!$D$24-1,Projects!$B$24*Assumptions!$B$10/Projects!$D$24*0.95+0.05*Projects!$B$24*Assumptions!$B$10,Projects!$B$24*Assumptions!$B$10/Projects!$D$24*0.95),0)+IF(AND(Projects!$G$25="Yes",11&gt;=Projects!$C$25,11&lt;Projects!$C$25+Projects!$D$25),IF(11=Projects!$C$25+Projects!$D$25-1,Projects!$B$25*Assumptions!$B$10/Projects!$D$25*0.95+0.05*Projects!$B$25*Assumptions!$B$10,Projects!$B$25*Assumptions!$B$10/Projects!$D$25*0.95),0)+IF(AND(Projects!$G$26="Yes",11&gt;=Projects!$C$26,11&lt;Projects!$C$26+Projects!$D$26),IF(11=Projects!$C$26+Projects!$D$26-1,Projects!$B$26*Assumptions!$B$10/Projects!$D$26*0.95+0.05*Projects!$B$26*Assumptions!$B$10,Projects!$B$26*Assumptions!$B$10/Projects!$D$26*0.95),0)+IF(AND(Projects!$G$27="Yes",11&gt;=Projects!$C$27,11&lt;Projects!$C$27+Projects!$D$27),IF(11=Projects!$C$27+Projects!$D$27-1,Projects!$B$27*Assumptions!$B$10/Projects!$D$27*0.95+0.05*Projects!$B$27*Assumptions!$B$10,Projects!$B$27*Assumptions!$B$10/Projects!$D$27*0.95),0)+IF(AND(Projects!$G$28="Yes",11&gt;=Projects!$C$28,11&lt;Projects!$C$28+Projects!$D$28),IF(11=Projects!$C$28+Projects!$D$28-1,Projects!$B$28*Assumptions!$B$10/Projects!$D$28*0.95+0.05*Projects!$B$28*Assumptions!$B$10,Projects!$B$28*Assumptions!$B$10/Projects!$D$28*0.95),0)+IF(AND(Projects!$G$29="Yes",11&gt;=Projects!$C$29,11&lt;Projects!$C$29+Projects!$D$29),IF(11=Projects!$C$29+Projects!$D$29-1,Projects!$B$29*Assumptions!$B$10/Projects!$D$29*0.95+0.05*Projects!$B$29*Assumptions!$B$10,Projects!$B$29*Assumptions!$B$10/Projects!$D$29*0.95),0)</f>
        <v/>
      </c>
      <c r="N98">
        <f>IF(AND(Projects!$G$17="Yes",12&gt;=Projects!$C$17,12&lt;Projects!$C$17+Projects!$D$17),IF(12=Projects!$C$17+Projects!$D$17-1,Projects!$B$17*Assumptions!$B$10/Projects!$D$17*0.95+0.05*Projects!$B$17*Assumptions!$B$10,Projects!$B$17*Assumptions!$B$10/Projects!$D$17*0.95),0)+IF(AND(Projects!$G$18="Yes",12&gt;=Projects!$C$18,12&lt;Projects!$C$18+Projects!$D$18),IF(12=Projects!$C$18+Projects!$D$18-1,Projects!$B$18*Assumptions!$B$10/Projects!$D$18*0.95+0.05*Projects!$B$18*Assumptions!$B$10,Projects!$B$18*Assumptions!$B$10/Projects!$D$18*0.95),0)+IF(AND(Projects!$G$19="Yes",12&gt;=Projects!$C$19,12&lt;Projects!$C$19+Projects!$D$19),IF(12=Projects!$C$19+Projects!$D$19-1,Projects!$B$19*Assumptions!$B$10/Projects!$D$19*0.95+0.05*Projects!$B$19*Assumptions!$B$10,Projects!$B$19*Assumptions!$B$10/Projects!$D$19*0.95),0)+IF(AND(Projects!$G$20="Yes",12&gt;=Projects!$C$20,12&lt;Projects!$C$20+Projects!$D$20),IF(12=Projects!$C$20+Projects!$D$20-1,Projects!$B$20*Assumptions!$B$10/Projects!$D$20*0.95+0.05*Projects!$B$20*Assumptions!$B$10,Projects!$B$20*Assumptions!$B$10/Projects!$D$20*0.95),0)+IF(AND(Projects!$G$21="Yes",12&gt;=Projects!$C$21,12&lt;Projects!$C$21+Projects!$D$21),IF(12=Projects!$C$21+Projects!$D$21-1,Projects!$B$21*Assumptions!$B$10/Projects!$D$21*0.95+0.05*Projects!$B$21*Assumptions!$B$10,Projects!$B$21*Assumptions!$B$10/Projects!$D$21*0.95),0)+IF(AND(Projects!$G$22="Yes",12&gt;=Projects!$C$22,12&lt;Projects!$C$22+Projects!$D$22),IF(12=Projects!$C$22+Projects!$D$22-1,Projects!$B$22*Assumptions!$B$10/Projects!$D$22*0.95+0.05*Projects!$B$22*Assumptions!$B$10,Projects!$B$22*Assumptions!$B$10/Projects!$D$22*0.95),0)+IF(AND(Projects!$G$23="Yes",12&gt;=Projects!$C$23,12&lt;Projects!$C$23+Projects!$D$23),IF(12=Projects!$C$23+Projects!$D$23-1,Projects!$B$23*Assumptions!$B$10/Projects!$D$23*0.95+0.05*Projects!$B$23*Assumptions!$B$10,Projects!$B$23*Assumptions!$B$10/Projects!$D$23*0.95),0)+IF(AND(Projects!$G$24="Yes",12&gt;=Projects!$C$24,12&lt;Projects!$C$24+Projects!$D$24),IF(12=Projects!$C$24+Projects!$D$24-1,Projects!$B$24*Assumptions!$B$10/Projects!$D$24*0.95+0.05*Projects!$B$24*Assumptions!$B$10,Projects!$B$24*Assumptions!$B$10/Projects!$D$24*0.95),0)+IF(AND(Projects!$G$25="Yes",12&gt;=Projects!$C$25,12&lt;Projects!$C$25+Projects!$D$25),IF(12=Projects!$C$25+Projects!$D$25-1,Projects!$B$25*Assumptions!$B$10/Projects!$D$25*0.95+0.05*Projects!$B$25*Assumptions!$B$10,Projects!$B$25*Assumptions!$B$10/Projects!$D$25*0.95),0)+IF(AND(Projects!$G$26="Yes",12&gt;=Projects!$C$26,12&lt;Projects!$C$26+Projects!$D$26),IF(12=Projects!$C$26+Projects!$D$26-1,Projects!$B$26*Assumptions!$B$10/Projects!$D$26*0.95+0.05*Projects!$B$26*Assumptions!$B$10,Projects!$B$26*Assumptions!$B$10/Projects!$D$26*0.95),0)+IF(AND(Projects!$G$27="Yes",12&gt;=Projects!$C$27,12&lt;Projects!$C$27+Projects!$D$27),IF(12=Projects!$C$27+Projects!$D$27-1,Projects!$B$27*Assumptions!$B$10/Projects!$D$27*0.95+0.05*Projects!$B$27*Assumptions!$B$10,Projects!$B$27*Assumptions!$B$10/Projects!$D$27*0.95),0)+IF(AND(Projects!$G$28="Yes",12&gt;=Projects!$C$28,12&lt;Projects!$C$28+Projects!$D$28),IF(12=Projects!$C$28+Projects!$D$28-1,Projects!$B$28*Assumptions!$B$10/Projects!$D$28*0.95+0.05*Projects!$B$28*Assumptions!$B$10,Projects!$B$28*Assumptions!$B$10/Projects!$D$28*0.95),0)+IF(AND(Projects!$G$29="Yes",12&gt;=Projects!$C$29,12&lt;Projects!$C$29+Projects!$D$29),IF(12=Projects!$C$29+Projects!$D$29-1,Projects!$B$29*Assumptions!$B$10/Projects!$D$29*0.95+0.05*Projects!$B$29*Assumptions!$B$10,Projects!$B$29*Assumptions!$B$10/Projects!$D$29*0.95),0)</f>
        <v/>
      </c>
      <c r="O98">
        <f>IF(AND(Projects!$G$17="Yes",13&gt;=Projects!$C$17,13&lt;Projects!$C$17+Projects!$D$17),IF(13=Projects!$C$17+Projects!$D$17-1,Projects!$B$17*Assumptions!$B$10/Projects!$D$17*0.95+0.05*Projects!$B$17*Assumptions!$B$10,Projects!$B$17*Assumptions!$B$10/Projects!$D$17*0.95),0)+IF(AND(Projects!$G$18="Yes",13&gt;=Projects!$C$18,13&lt;Projects!$C$18+Projects!$D$18),IF(13=Projects!$C$18+Projects!$D$18-1,Projects!$B$18*Assumptions!$B$10/Projects!$D$18*0.95+0.05*Projects!$B$18*Assumptions!$B$10,Projects!$B$18*Assumptions!$B$10/Projects!$D$18*0.95),0)+IF(AND(Projects!$G$19="Yes",13&gt;=Projects!$C$19,13&lt;Projects!$C$19+Projects!$D$19),IF(13=Projects!$C$19+Projects!$D$19-1,Projects!$B$19*Assumptions!$B$10/Projects!$D$19*0.95+0.05*Projects!$B$19*Assumptions!$B$10,Projects!$B$19*Assumptions!$B$10/Projects!$D$19*0.95),0)+IF(AND(Projects!$G$20="Yes",13&gt;=Projects!$C$20,13&lt;Projects!$C$20+Projects!$D$20),IF(13=Projects!$C$20+Projects!$D$20-1,Projects!$B$20*Assumptions!$B$10/Projects!$D$20*0.95+0.05*Projects!$B$20*Assumptions!$B$10,Projects!$B$20*Assumptions!$B$10/Projects!$D$20*0.95),0)+IF(AND(Projects!$G$21="Yes",13&gt;=Projects!$C$21,13&lt;Projects!$C$21+Projects!$D$21),IF(13=Projects!$C$21+Projects!$D$21-1,Projects!$B$21*Assumptions!$B$10/Projects!$D$21*0.95+0.05*Projects!$B$21*Assumptions!$B$10,Projects!$B$21*Assumptions!$B$10/Projects!$D$21*0.95),0)+IF(AND(Projects!$G$22="Yes",13&gt;=Projects!$C$22,13&lt;Projects!$C$22+Projects!$D$22),IF(13=Projects!$C$22+Projects!$D$22-1,Projects!$B$22*Assumptions!$B$10/Projects!$D$22*0.95+0.05*Projects!$B$22*Assumptions!$B$10,Projects!$B$22*Assumptions!$B$10/Projects!$D$22*0.95),0)+IF(AND(Projects!$G$23="Yes",13&gt;=Projects!$C$23,13&lt;Projects!$C$23+Projects!$D$23),IF(13=Projects!$C$23+Projects!$D$23-1,Projects!$B$23*Assumptions!$B$10/Projects!$D$23*0.95+0.05*Projects!$B$23*Assumptions!$B$10,Projects!$B$23*Assumptions!$B$10/Projects!$D$23*0.95),0)+IF(AND(Projects!$G$24="Yes",13&gt;=Projects!$C$24,13&lt;Projects!$C$24+Projects!$D$24),IF(13=Projects!$C$24+Projects!$D$24-1,Projects!$B$24*Assumptions!$B$10/Projects!$D$24*0.95+0.05*Projects!$B$24*Assumptions!$B$10,Projects!$B$24*Assumptions!$B$10/Projects!$D$24*0.95),0)+IF(AND(Projects!$G$25="Yes",13&gt;=Projects!$C$25,13&lt;Projects!$C$25+Projects!$D$25),IF(13=Projects!$C$25+Projects!$D$25-1,Projects!$B$25*Assumptions!$B$10/Projects!$D$25*0.95+0.05*Projects!$B$25*Assumptions!$B$10,Projects!$B$25*Assumptions!$B$10/Projects!$D$25*0.95),0)+IF(AND(Projects!$G$26="Yes",13&gt;=Projects!$C$26,13&lt;Projects!$C$26+Projects!$D$26),IF(13=Projects!$C$26+Projects!$D$26-1,Projects!$B$26*Assumptions!$B$10/Projects!$D$26*0.95+0.05*Projects!$B$26*Assumptions!$B$10,Projects!$B$26*Assumptions!$B$10/Projects!$D$26*0.95),0)+IF(AND(Projects!$G$27="Yes",13&gt;=Projects!$C$27,13&lt;Projects!$C$27+Projects!$D$27),IF(13=Projects!$C$27+Projects!$D$27-1,Projects!$B$27*Assumptions!$B$10/Projects!$D$27*0.95+0.05*Projects!$B$27*Assumptions!$B$10,Projects!$B$27*Assumptions!$B$10/Projects!$D$27*0.95),0)+IF(AND(Projects!$G$28="Yes",13&gt;=Projects!$C$28,13&lt;Projects!$C$28+Projects!$D$28),IF(13=Projects!$C$28+Projects!$D$28-1,Projects!$B$28*Assumptions!$B$10/Projects!$D$28*0.95+0.05*Projects!$B$28*Assumptions!$B$10,Projects!$B$28*Assumptions!$B$10/Projects!$D$28*0.95),0)+IF(AND(Projects!$G$29="Yes",13&gt;=Projects!$C$29,13&lt;Projects!$C$29+Projects!$D$29),IF(13=Projects!$C$29+Projects!$D$29-1,Projects!$B$29*Assumptions!$B$10/Projects!$D$29*0.95+0.05*Projects!$B$29*Assumptions!$B$10,Projects!$B$29*Assumptions!$B$10/Projects!$D$29*0.95),0)</f>
        <v/>
      </c>
      <c r="P98">
        <f>IF(AND(Projects!$G$17="Yes",14&gt;=Projects!$C$17,14&lt;Projects!$C$17+Projects!$D$17),IF(14=Projects!$C$17+Projects!$D$17-1,Projects!$B$17*Assumptions!$B$10/Projects!$D$17*0.95+0.05*Projects!$B$17*Assumptions!$B$10,Projects!$B$17*Assumptions!$B$10/Projects!$D$17*0.95),0)+IF(AND(Projects!$G$18="Yes",14&gt;=Projects!$C$18,14&lt;Projects!$C$18+Projects!$D$18),IF(14=Projects!$C$18+Projects!$D$18-1,Projects!$B$18*Assumptions!$B$10/Projects!$D$18*0.95+0.05*Projects!$B$18*Assumptions!$B$10,Projects!$B$18*Assumptions!$B$10/Projects!$D$18*0.95),0)+IF(AND(Projects!$G$19="Yes",14&gt;=Projects!$C$19,14&lt;Projects!$C$19+Projects!$D$19),IF(14=Projects!$C$19+Projects!$D$19-1,Projects!$B$19*Assumptions!$B$10/Projects!$D$19*0.95+0.05*Projects!$B$19*Assumptions!$B$10,Projects!$B$19*Assumptions!$B$10/Projects!$D$19*0.95),0)+IF(AND(Projects!$G$20="Yes",14&gt;=Projects!$C$20,14&lt;Projects!$C$20+Projects!$D$20),IF(14=Projects!$C$20+Projects!$D$20-1,Projects!$B$20*Assumptions!$B$10/Projects!$D$20*0.95+0.05*Projects!$B$20*Assumptions!$B$10,Projects!$B$20*Assumptions!$B$10/Projects!$D$20*0.95),0)+IF(AND(Projects!$G$21="Yes",14&gt;=Projects!$C$21,14&lt;Projects!$C$21+Projects!$D$21),IF(14=Projects!$C$21+Projects!$D$21-1,Projects!$B$21*Assumptions!$B$10/Projects!$D$21*0.95+0.05*Projects!$B$21*Assumptions!$B$10,Projects!$B$21*Assumptions!$B$10/Projects!$D$21*0.95),0)+IF(AND(Projects!$G$22="Yes",14&gt;=Projects!$C$22,14&lt;Projects!$C$22+Projects!$D$22),IF(14=Projects!$C$22+Projects!$D$22-1,Projects!$B$22*Assumptions!$B$10/Projects!$D$22*0.95+0.05*Projects!$B$22*Assumptions!$B$10,Projects!$B$22*Assumptions!$B$10/Projects!$D$22*0.95),0)+IF(AND(Projects!$G$23="Yes",14&gt;=Projects!$C$23,14&lt;Projects!$C$23+Projects!$D$23),IF(14=Projects!$C$23+Projects!$D$23-1,Projects!$B$23*Assumptions!$B$10/Projects!$D$23*0.95+0.05*Projects!$B$23*Assumptions!$B$10,Projects!$B$23*Assumptions!$B$10/Projects!$D$23*0.95),0)+IF(AND(Projects!$G$24="Yes",14&gt;=Projects!$C$24,14&lt;Projects!$C$24+Projects!$D$24),IF(14=Projects!$C$24+Projects!$D$24-1,Projects!$B$24*Assumptions!$B$10/Projects!$D$24*0.95+0.05*Projects!$B$24*Assumptions!$B$10,Projects!$B$24*Assumptions!$B$10/Projects!$D$24*0.95),0)+IF(AND(Projects!$G$25="Yes",14&gt;=Projects!$C$25,14&lt;Projects!$C$25+Projects!$D$25),IF(14=Projects!$C$25+Projects!$D$25-1,Projects!$B$25*Assumptions!$B$10/Projects!$D$25*0.95+0.05*Projects!$B$25*Assumptions!$B$10,Projects!$B$25*Assumptions!$B$10/Projects!$D$25*0.95),0)+IF(AND(Projects!$G$26="Yes",14&gt;=Projects!$C$26,14&lt;Projects!$C$26+Projects!$D$26),IF(14=Projects!$C$26+Projects!$D$26-1,Projects!$B$26*Assumptions!$B$10/Projects!$D$26*0.95+0.05*Projects!$B$26*Assumptions!$B$10,Projects!$B$26*Assumptions!$B$10/Projects!$D$26*0.95),0)+IF(AND(Projects!$G$27="Yes",14&gt;=Projects!$C$27,14&lt;Projects!$C$27+Projects!$D$27),IF(14=Projects!$C$27+Projects!$D$27-1,Projects!$B$27*Assumptions!$B$10/Projects!$D$27*0.95+0.05*Projects!$B$27*Assumptions!$B$10,Projects!$B$27*Assumptions!$B$10/Projects!$D$27*0.95),0)+IF(AND(Projects!$G$28="Yes",14&gt;=Projects!$C$28,14&lt;Projects!$C$28+Projects!$D$28),IF(14=Projects!$C$28+Projects!$D$28-1,Projects!$B$28*Assumptions!$B$10/Projects!$D$28*0.95+0.05*Projects!$B$28*Assumptions!$B$10,Projects!$B$28*Assumptions!$B$10/Projects!$D$28*0.95),0)+IF(AND(Projects!$G$29="Yes",14&gt;=Projects!$C$29,14&lt;Projects!$C$29+Projects!$D$29),IF(14=Projects!$C$29+Projects!$D$29-1,Projects!$B$29*Assumptions!$B$10/Projects!$D$29*0.95+0.05*Projects!$B$29*Assumptions!$B$10,Projects!$B$29*Assumptions!$B$10/Projects!$D$29*0.95),0)</f>
        <v/>
      </c>
      <c r="Q98">
        <f>IF(AND(Projects!$G$17="Yes",15&gt;=Projects!$C$17,15&lt;Projects!$C$17+Projects!$D$17),IF(15=Projects!$C$17+Projects!$D$17-1,Projects!$B$17*Assumptions!$B$10/Projects!$D$17*0.95+0.05*Projects!$B$17*Assumptions!$B$10,Projects!$B$17*Assumptions!$B$10/Projects!$D$17*0.95),0)+IF(AND(Projects!$G$18="Yes",15&gt;=Projects!$C$18,15&lt;Projects!$C$18+Projects!$D$18),IF(15=Projects!$C$18+Projects!$D$18-1,Projects!$B$18*Assumptions!$B$10/Projects!$D$18*0.95+0.05*Projects!$B$18*Assumptions!$B$10,Projects!$B$18*Assumptions!$B$10/Projects!$D$18*0.95),0)+IF(AND(Projects!$G$19="Yes",15&gt;=Projects!$C$19,15&lt;Projects!$C$19+Projects!$D$19),IF(15=Projects!$C$19+Projects!$D$19-1,Projects!$B$19*Assumptions!$B$10/Projects!$D$19*0.95+0.05*Projects!$B$19*Assumptions!$B$10,Projects!$B$19*Assumptions!$B$10/Projects!$D$19*0.95),0)+IF(AND(Projects!$G$20="Yes",15&gt;=Projects!$C$20,15&lt;Projects!$C$20+Projects!$D$20),IF(15=Projects!$C$20+Projects!$D$20-1,Projects!$B$20*Assumptions!$B$10/Projects!$D$20*0.95+0.05*Projects!$B$20*Assumptions!$B$10,Projects!$B$20*Assumptions!$B$10/Projects!$D$20*0.95),0)+IF(AND(Projects!$G$21="Yes",15&gt;=Projects!$C$21,15&lt;Projects!$C$21+Projects!$D$21),IF(15=Projects!$C$21+Projects!$D$21-1,Projects!$B$21*Assumptions!$B$10/Projects!$D$21*0.95+0.05*Projects!$B$21*Assumptions!$B$10,Projects!$B$21*Assumptions!$B$10/Projects!$D$21*0.95),0)+IF(AND(Projects!$G$22="Yes",15&gt;=Projects!$C$22,15&lt;Projects!$C$22+Projects!$D$22),IF(15=Projects!$C$22+Projects!$D$22-1,Projects!$B$22*Assumptions!$B$10/Projects!$D$22*0.95+0.05*Projects!$B$22*Assumptions!$B$10,Projects!$B$22*Assumptions!$B$10/Projects!$D$22*0.95),0)+IF(AND(Projects!$G$23="Yes",15&gt;=Projects!$C$23,15&lt;Projects!$C$23+Projects!$D$23),IF(15=Projects!$C$23+Projects!$D$23-1,Projects!$B$23*Assumptions!$B$10/Projects!$D$23*0.95+0.05*Projects!$B$23*Assumptions!$B$10,Projects!$B$23*Assumptions!$B$10/Projects!$D$23*0.95),0)+IF(AND(Projects!$G$24="Yes",15&gt;=Projects!$C$24,15&lt;Projects!$C$24+Projects!$D$24),IF(15=Projects!$C$24+Projects!$D$24-1,Projects!$B$24*Assumptions!$B$10/Projects!$D$24*0.95+0.05*Projects!$B$24*Assumptions!$B$10,Projects!$B$24*Assumptions!$B$10/Projects!$D$24*0.95),0)+IF(AND(Projects!$G$25="Yes",15&gt;=Projects!$C$25,15&lt;Projects!$C$25+Projects!$D$25),IF(15=Projects!$C$25+Projects!$D$25-1,Projects!$B$25*Assumptions!$B$10/Projects!$D$25*0.95+0.05*Projects!$B$25*Assumptions!$B$10,Projects!$B$25*Assumptions!$B$10/Projects!$D$25*0.95),0)+IF(AND(Projects!$G$26="Yes",15&gt;=Projects!$C$26,15&lt;Projects!$C$26+Projects!$D$26),IF(15=Projects!$C$26+Projects!$D$26-1,Projects!$B$26*Assumptions!$B$10/Projects!$D$26*0.95+0.05*Projects!$B$26*Assumptions!$B$10,Projects!$B$26*Assumptions!$B$10/Projects!$D$26*0.95),0)+IF(AND(Projects!$G$27="Yes",15&gt;=Projects!$C$27,15&lt;Projects!$C$27+Projects!$D$27),IF(15=Projects!$C$27+Projects!$D$27-1,Projects!$B$27*Assumptions!$B$10/Projects!$D$27*0.95+0.05*Projects!$B$27*Assumptions!$B$10,Projects!$B$27*Assumptions!$B$10/Projects!$D$27*0.95),0)+IF(AND(Projects!$G$28="Yes",15&gt;=Projects!$C$28,15&lt;Projects!$C$28+Projects!$D$28),IF(15=Projects!$C$28+Projects!$D$28-1,Projects!$B$28*Assumptions!$B$10/Projects!$D$28*0.95+0.05*Projects!$B$28*Assumptions!$B$10,Projects!$B$28*Assumptions!$B$10/Projects!$D$28*0.95),0)+IF(AND(Projects!$G$29="Yes",15&gt;=Projects!$C$29,15&lt;Projects!$C$29+Projects!$D$29),IF(15=Projects!$C$29+Projects!$D$29-1,Projects!$B$29*Assumptions!$B$10/Projects!$D$29*0.95+0.05*Projects!$B$29*Assumptions!$B$10,Projects!$B$29*Assumptions!$B$10/Projects!$D$29*0.95),0)</f>
        <v/>
      </c>
      <c r="R98">
        <f>IF(AND(Projects!$G$17="Yes",16&gt;=Projects!$C$17,16&lt;Projects!$C$17+Projects!$D$17),IF(16=Projects!$C$17+Projects!$D$17-1,Projects!$B$17*Assumptions!$B$10/Projects!$D$17*0.95+0.05*Projects!$B$17*Assumptions!$B$10,Projects!$B$17*Assumptions!$B$10/Projects!$D$17*0.95),0)+IF(AND(Projects!$G$18="Yes",16&gt;=Projects!$C$18,16&lt;Projects!$C$18+Projects!$D$18),IF(16=Projects!$C$18+Projects!$D$18-1,Projects!$B$18*Assumptions!$B$10/Projects!$D$18*0.95+0.05*Projects!$B$18*Assumptions!$B$10,Projects!$B$18*Assumptions!$B$10/Projects!$D$18*0.95),0)+IF(AND(Projects!$G$19="Yes",16&gt;=Projects!$C$19,16&lt;Projects!$C$19+Projects!$D$19),IF(16=Projects!$C$19+Projects!$D$19-1,Projects!$B$19*Assumptions!$B$10/Projects!$D$19*0.95+0.05*Projects!$B$19*Assumptions!$B$10,Projects!$B$19*Assumptions!$B$10/Projects!$D$19*0.95),0)+IF(AND(Projects!$G$20="Yes",16&gt;=Projects!$C$20,16&lt;Projects!$C$20+Projects!$D$20),IF(16=Projects!$C$20+Projects!$D$20-1,Projects!$B$20*Assumptions!$B$10/Projects!$D$20*0.95+0.05*Projects!$B$20*Assumptions!$B$10,Projects!$B$20*Assumptions!$B$10/Projects!$D$20*0.95),0)+IF(AND(Projects!$G$21="Yes",16&gt;=Projects!$C$21,16&lt;Projects!$C$21+Projects!$D$21),IF(16=Projects!$C$21+Projects!$D$21-1,Projects!$B$21*Assumptions!$B$10/Projects!$D$21*0.95+0.05*Projects!$B$21*Assumptions!$B$10,Projects!$B$21*Assumptions!$B$10/Projects!$D$21*0.95),0)+IF(AND(Projects!$G$22="Yes",16&gt;=Projects!$C$22,16&lt;Projects!$C$22+Projects!$D$22),IF(16=Projects!$C$22+Projects!$D$22-1,Projects!$B$22*Assumptions!$B$10/Projects!$D$22*0.95+0.05*Projects!$B$22*Assumptions!$B$10,Projects!$B$22*Assumptions!$B$10/Projects!$D$22*0.95),0)+IF(AND(Projects!$G$23="Yes",16&gt;=Projects!$C$23,16&lt;Projects!$C$23+Projects!$D$23),IF(16=Projects!$C$23+Projects!$D$23-1,Projects!$B$23*Assumptions!$B$10/Projects!$D$23*0.95+0.05*Projects!$B$23*Assumptions!$B$10,Projects!$B$23*Assumptions!$B$10/Projects!$D$23*0.95),0)+IF(AND(Projects!$G$24="Yes",16&gt;=Projects!$C$24,16&lt;Projects!$C$24+Projects!$D$24),IF(16=Projects!$C$24+Projects!$D$24-1,Projects!$B$24*Assumptions!$B$10/Projects!$D$24*0.95+0.05*Projects!$B$24*Assumptions!$B$10,Projects!$B$24*Assumptions!$B$10/Projects!$D$24*0.95),0)+IF(AND(Projects!$G$25="Yes",16&gt;=Projects!$C$25,16&lt;Projects!$C$25+Projects!$D$25),IF(16=Projects!$C$25+Projects!$D$25-1,Projects!$B$25*Assumptions!$B$10/Projects!$D$25*0.95+0.05*Projects!$B$25*Assumptions!$B$10,Projects!$B$25*Assumptions!$B$10/Projects!$D$25*0.95),0)+IF(AND(Projects!$G$26="Yes",16&gt;=Projects!$C$26,16&lt;Projects!$C$26+Projects!$D$26),IF(16=Projects!$C$26+Projects!$D$26-1,Projects!$B$26*Assumptions!$B$10/Projects!$D$26*0.95+0.05*Projects!$B$26*Assumptions!$B$10,Projects!$B$26*Assumptions!$B$10/Projects!$D$26*0.95),0)+IF(AND(Projects!$G$27="Yes",16&gt;=Projects!$C$27,16&lt;Projects!$C$27+Projects!$D$27),IF(16=Projects!$C$27+Projects!$D$27-1,Projects!$B$27*Assumptions!$B$10/Projects!$D$27*0.95+0.05*Projects!$B$27*Assumptions!$B$10,Projects!$B$27*Assumptions!$B$10/Projects!$D$27*0.95),0)+IF(AND(Projects!$G$28="Yes",16&gt;=Projects!$C$28,16&lt;Projects!$C$28+Projects!$D$28),IF(16=Projects!$C$28+Projects!$D$28-1,Projects!$B$28*Assumptions!$B$10/Projects!$D$28*0.95+0.05*Projects!$B$28*Assumptions!$B$10,Projects!$B$28*Assumptions!$B$10/Projects!$D$28*0.95),0)+IF(AND(Projects!$G$29="Yes",16&gt;=Projects!$C$29,16&lt;Projects!$C$29+Projects!$D$29),IF(16=Projects!$C$29+Projects!$D$29-1,Projects!$B$29*Assumptions!$B$10/Projects!$D$29*0.95+0.05*Projects!$B$29*Assumptions!$B$10,Projects!$B$29*Assumptions!$B$10/Projects!$D$29*0.95),0)</f>
        <v/>
      </c>
      <c r="S98">
        <f>IF(AND(Projects!$G$17="Yes",17&gt;=Projects!$C$17,17&lt;Projects!$C$17+Projects!$D$17),IF(17=Projects!$C$17+Projects!$D$17-1,Projects!$B$17*Assumptions!$B$10/Projects!$D$17*0.95+0.05*Projects!$B$17*Assumptions!$B$10,Projects!$B$17*Assumptions!$B$10/Projects!$D$17*0.95),0)+IF(AND(Projects!$G$18="Yes",17&gt;=Projects!$C$18,17&lt;Projects!$C$18+Projects!$D$18),IF(17=Projects!$C$18+Projects!$D$18-1,Projects!$B$18*Assumptions!$B$10/Projects!$D$18*0.95+0.05*Projects!$B$18*Assumptions!$B$10,Projects!$B$18*Assumptions!$B$10/Projects!$D$18*0.95),0)+IF(AND(Projects!$G$19="Yes",17&gt;=Projects!$C$19,17&lt;Projects!$C$19+Projects!$D$19),IF(17=Projects!$C$19+Projects!$D$19-1,Projects!$B$19*Assumptions!$B$10/Projects!$D$19*0.95+0.05*Projects!$B$19*Assumptions!$B$10,Projects!$B$19*Assumptions!$B$10/Projects!$D$19*0.95),0)+IF(AND(Projects!$G$20="Yes",17&gt;=Projects!$C$20,17&lt;Projects!$C$20+Projects!$D$20),IF(17=Projects!$C$20+Projects!$D$20-1,Projects!$B$20*Assumptions!$B$10/Projects!$D$20*0.95+0.05*Projects!$B$20*Assumptions!$B$10,Projects!$B$20*Assumptions!$B$10/Projects!$D$20*0.95),0)+IF(AND(Projects!$G$21="Yes",17&gt;=Projects!$C$21,17&lt;Projects!$C$21+Projects!$D$21),IF(17=Projects!$C$21+Projects!$D$21-1,Projects!$B$21*Assumptions!$B$10/Projects!$D$21*0.95+0.05*Projects!$B$21*Assumptions!$B$10,Projects!$B$21*Assumptions!$B$10/Projects!$D$21*0.95),0)+IF(AND(Projects!$G$22="Yes",17&gt;=Projects!$C$22,17&lt;Projects!$C$22+Projects!$D$22),IF(17=Projects!$C$22+Projects!$D$22-1,Projects!$B$22*Assumptions!$B$10/Projects!$D$22*0.95+0.05*Projects!$B$22*Assumptions!$B$10,Projects!$B$22*Assumptions!$B$10/Projects!$D$22*0.95),0)+IF(AND(Projects!$G$23="Yes",17&gt;=Projects!$C$23,17&lt;Projects!$C$23+Projects!$D$23),IF(17=Projects!$C$23+Projects!$D$23-1,Projects!$B$23*Assumptions!$B$10/Projects!$D$23*0.95+0.05*Projects!$B$23*Assumptions!$B$10,Projects!$B$23*Assumptions!$B$10/Projects!$D$23*0.95),0)+IF(AND(Projects!$G$24="Yes",17&gt;=Projects!$C$24,17&lt;Projects!$C$24+Projects!$D$24),IF(17=Projects!$C$24+Projects!$D$24-1,Projects!$B$24*Assumptions!$B$10/Projects!$D$24*0.95+0.05*Projects!$B$24*Assumptions!$B$10,Projects!$B$24*Assumptions!$B$10/Projects!$D$24*0.95),0)+IF(AND(Projects!$G$25="Yes",17&gt;=Projects!$C$25,17&lt;Projects!$C$25+Projects!$D$25),IF(17=Projects!$C$25+Projects!$D$25-1,Projects!$B$25*Assumptions!$B$10/Projects!$D$25*0.95+0.05*Projects!$B$25*Assumptions!$B$10,Projects!$B$25*Assumptions!$B$10/Projects!$D$25*0.95),0)+IF(AND(Projects!$G$26="Yes",17&gt;=Projects!$C$26,17&lt;Projects!$C$26+Projects!$D$26),IF(17=Projects!$C$26+Projects!$D$26-1,Projects!$B$26*Assumptions!$B$10/Projects!$D$26*0.95+0.05*Projects!$B$26*Assumptions!$B$10,Projects!$B$26*Assumptions!$B$10/Projects!$D$26*0.95),0)+IF(AND(Projects!$G$27="Yes",17&gt;=Projects!$C$27,17&lt;Projects!$C$27+Projects!$D$27),IF(17=Projects!$C$27+Projects!$D$27-1,Projects!$B$27*Assumptions!$B$10/Projects!$D$27*0.95+0.05*Projects!$B$27*Assumptions!$B$10,Projects!$B$27*Assumptions!$B$10/Projects!$D$27*0.95),0)+IF(AND(Projects!$G$28="Yes",17&gt;=Projects!$C$28,17&lt;Projects!$C$28+Projects!$D$28),IF(17=Projects!$C$28+Projects!$D$28-1,Projects!$B$28*Assumptions!$B$10/Projects!$D$28*0.95+0.05*Projects!$B$28*Assumptions!$B$10,Projects!$B$28*Assumptions!$B$10/Projects!$D$28*0.95),0)+IF(AND(Projects!$G$29="Yes",17&gt;=Projects!$C$29,17&lt;Projects!$C$29+Projects!$D$29),IF(17=Projects!$C$29+Projects!$D$29-1,Projects!$B$29*Assumptions!$B$10/Projects!$D$29*0.95+0.05*Projects!$B$29*Assumptions!$B$10,Projects!$B$29*Assumptions!$B$10/Projects!$D$29*0.95),0)</f>
        <v/>
      </c>
      <c r="T98">
        <f>IF(AND(Projects!$G$17="Yes",18&gt;=Projects!$C$17,18&lt;Projects!$C$17+Projects!$D$17),IF(18=Projects!$C$17+Projects!$D$17-1,Projects!$B$17*Assumptions!$B$10/Projects!$D$17*0.95+0.05*Projects!$B$17*Assumptions!$B$10,Projects!$B$17*Assumptions!$B$10/Projects!$D$17*0.95),0)+IF(AND(Projects!$G$18="Yes",18&gt;=Projects!$C$18,18&lt;Projects!$C$18+Projects!$D$18),IF(18=Projects!$C$18+Projects!$D$18-1,Projects!$B$18*Assumptions!$B$10/Projects!$D$18*0.95+0.05*Projects!$B$18*Assumptions!$B$10,Projects!$B$18*Assumptions!$B$10/Projects!$D$18*0.95),0)+IF(AND(Projects!$G$19="Yes",18&gt;=Projects!$C$19,18&lt;Projects!$C$19+Projects!$D$19),IF(18=Projects!$C$19+Projects!$D$19-1,Projects!$B$19*Assumptions!$B$10/Projects!$D$19*0.95+0.05*Projects!$B$19*Assumptions!$B$10,Projects!$B$19*Assumptions!$B$10/Projects!$D$19*0.95),0)+IF(AND(Projects!$G$20="Yes",18&gt;=Projects!$C$20,18&lt;Projects!$C$20+Projects!$D$20),IF(18=Projects!$C$20+Projects!$D$20-1,Projects!$B$20*Assumptions!$B$10/Projects!$D$20*0.95+0.05*Projects!$B$20*Assumptions!$B$10,Projects!$B$20*Assumptions!$B$10/Projects!$D$20*0.95),0)+IF(AND(Projects!$G$21="Yes",18&gt;=Projects!$C$21,18&lt;Projects!$C$21+Projects!$D$21),IF(18=Projects!$C$21+Projects!$D$21-1,Projects!$B$21*Assumptions!$B$10/Projects!$D$21*0.95+0.05*Projects!$B$21*Assumptions!$B$10,Projects!$B$21*Assumptions!$B$10/Projects!$D$21*0.95),0)+IF(AND(Projects!$G$22="Yes",18&gt;=Projects!$C$22,18&lt;Projects!$C$22+Projects!$D$22),IF(18=Projects!$C$22+Projects!$D$22-1,Projects!$B$22*Assumptions!$B$10/Projects!$D$22*0.95+0.05*Projects!$B$22*Assumptions!$B$10,Projects!$B$22*Assumptions!$B$10/Projects!$D$22*0.95),0)+IF(AND(Projects!$G$23="Yes",18&gt;=Projects!$C$23,18&lt;Projects!$C$23+Projects!$D$23),IF(18=Projects!$C$23+Projects!$D$23-1,Projects!$B$23*Assumptions!$B$10/Projects!$D$23*0.95+0.05*Projects!$B$23*Assumptions!$B$10,Projects!$B$23*Assumptions!$B$10/Projects!$D$23*0.95),0)+IF(AND(Projects!$G$24="Yes",18&gt;=Projects!$C$24,18&lt;Projects!$C$24+Projects!$D$24),IF(18=Projects!$C$24+Projects!$D$24-1,Projects!$B$24*Assumptions!$B$10/Projects!$D$24*0.95+0.05*Projects!$B$24*Assumptions!$B$10,Projects!$B$24*Assumptions!$B$10/Projects!$D$24*0.95),0)+IF(AND(Projects!$G$25="Yes",18&gt;=Projects!$C$25,18&lt;Projects!$C$25+Projects!$D$25),IF(18=Projects!$C$25+Projects!$D$25-1,Projects!$B$25*Assumptions!$B$10/Projects!$D$25*0.95+0.05*Projects!$B$25*Assumptions!$B$10,Projects!$B$25*Assumptions!$B$10/Projects!$D$25*0.95),0)+IF(AND(Projects!$G$26="Yes",18&gt;=Projects!$C$26,18&lt;Projects!$C$26+Projects!$D$26),IF(18=Projects!$C$26+Projects!$D$26-1,Projects!$B$26*Assumptions!$B$10/Projects!$D$26*0.95+0.05*Projects!$B$26*Assumptions!$B$10,Projects!$B$26*Assumptions!$B$10/Projects!$D$26*0.95),0)+IF(AND(Projects!$G$27="Yes",18&gt;=Projects!$C$27,18&lt;Projects!$C$27+Projects!$D$27),IF(18=Projects!$C$27+Projects!$D$27-1,Projects!$B$27*Assumptions!$B$10/Projects!$D$27*0.95+0.05*Projects!$B$27*Assumptions!$B$10,Projects!$B$27*Assumptions!$B$10/Projects!$D$27*0.95),0)+IF(AND(Projects!$G$28="Yes",18&gt;=Projects!$C$28,18&lt;Projects!$C$28+Projects!$D$28),IF(18=Projects!$C$28+Projects!$D$28-1,Projects!$B$28*Assumptions!$B$10/Projects!$D$28*0.95+0.05*Projects!$B$28*Assumptions!$B$10,Projects!$B$28*Assumptions!$B$10/Projects!$D$28*0.95),0)+IF(AND(Projects!$G$29="Yes",18&gt;=Projects!$C$29,18&lt;Projects!$C$29+Projects!$D$29),IF(18=Projects!$C$29+Projects!$D$29-1,Projects!$B$29*Assumptions!$B$10/Projects!$D$29*0.95+0.05*Projects!$B$29*Assumptions!$B$10,Projects!$B$29*Assumptions!$B$10/Projects!$D$29*0.95),0)</f>
        <v/>
      </c>
      <c r="U98">
        <f>IF(AND(Projects!$G$17="Yes",19&gt;=Projects!$C$17,19&lt;Projects!$C$17+Projects!$D$17),IF(19=Projects!$C$17+Projects!$D$17-1,Projects!$B$17*Assumptions!$B$10/Projects!$D$17*0.95+0.05*Projects!$B$17*Assumptions!$B$10,Projects!$B$17*Assumptions!$B$10/Projects!$D$17*0.95),0)+IF(AND(Projects!$G$18="Yes",19&gt;=Projects!$C$18,19&lt;Projects!$C$18+Projects!$D$18),IF(19=Projects!$C$18+Projects!$D$18-1,Projects!$B$18*Assumptions!$B$10/Projects!$D$18*0.95+0.05*Projects!$B$18*Assumptions!$B$10,Projects!$B$18*Assumptions!$B$10/Projects!$D$18*0.95),0)+IF(AND(Projects!$G$19="Yes",19&gt;=Projects!$C$19,19&lt;Projects!$C$19+Projects!$D$19),IF(19=Projects!$C$19+Projects!$D$19-1,Projects!$B$19*Assumptions!$B$10/Projects!$D$19*0.95+0.05*Projects!$B$19*Assumptions!$B$10,Projects!$B$19*Assumptions!$B$10/Projects!$D$19*0.95),0)+IF(AND(Projects!$G$20="Yes",19&gt;=Projects!$C$20,19&lt;Projects!$C$20+Projects!$D$20),IF(19=Projects!$C$20+Projects!$D$20-1,Projects!$B$20*Assumptions!$B$10/Projects!$D$20*0.95+0.05*Projects!$B$20*Assumptions!$B$10,Projects!$B$20*Assumptions!$B$10/Projects!$D$20*0.95),0)+IF(AND(Projects!$G$21="Yes",19&gt;=Projects!$C$21,19&lt;Projects!$C$21+Projects!$D$21),IF(19=Projects!$C$21+Projects!$D$21-1,Projects!$B$21*Assumptions!$B$10/Projects!$D$21*0.95+0.05*Projects!$B$21*Assumptions!$B$10,Projects!$B$21*Assumptions!$B$10/Projects!$D$21*0.95),0)+IF(AND(Projects!$G$22="Yes",19&gt;=Projects!$C$22,19&lt;Projects!$C$22+Projects!$D$22),IF(19=Projects!$C$22+Projects!$D$22-1,Projects!$B$22*Assumptions!$B$10/Projects!$D$22*0.95+0.05*Projects!$B$22*Assumptions!$B$10,Projects!$B$22*Assumptions!$B$10/Projects!$D$22*0.95),0)+IF(AND(Projects!$G$23="Yes",19&gt;=Projects!$C$23,19&lt;Projects!$C$23+Projects!$D$23),IF(19=Projects!$C$23+Projects!$D$23-1,Projects!$B$23*Assumptions!$B$10/Projects!$D$23*0.95+0.05*Projects!$B$23*Assumptions!$B$10,Projects!$B$23*Assumptions!$B$10/Projects!$D$23*0.95),0)+IF(AND(Projects!$G$24="Yes",19&gt;=Projects!$C$24,19&lt;Projects!$C$24+Projects!$D$24),IF(19=Projects!$C$24+Projects!$D$24-1,Projects!$B$24*Assumptions!$B$10/Projects!$D$24*0.95+0.05*Projects!$B$24*Assumptions!$B$10,Projects!$B$24*Assumptions!$B$10/Projects!$D$24*0.95),0)+IF(AND(Projects!$G$25="Yes",19&gt;=Projects!$C$25,19&lt;Projects!$C$25+Projects!$D$25),IF(19=Projects!$C$25+Projects!$D$25-1,Projects!$B$25*Assumptions!$B$10/Projects!$D$25*0.95+0.05*Projects!$B$25*Assumptions!$B$10,Projects!$B$25*Assumptions!$B$10/Projects!$D$25*0.95),0)+IF(AND(Projects!$G$26="Yes",19&gt;=Projects!$C$26,19&lt;Projects!$C$26+Projects!$D$26),IF(19=Projects!$C$26+Projects!$D$26-1,Projects!$B$26*Assumptions!$B$10/Projects!$D$26*0.95+0.05*Projects!$B$26*Assumptions!$B$10,Projects!$B$26*Assumptions!$B$10/Projects!$D$26*0.95),0)+IF(AND(Projects!$G$27="Yes",19&gt;=Projects!$C$27,19&lt;Projects!$C$27+Projects!$D$27),IF(19=Projects!$C$27+Projects!$D$27-1,Projects!$B$27*Assumptions!$B$10/Projects!$D$27*0.95+0.05*Projects!$B$27*Assumptions!$B$10,Projects!$B$27*Assumptions!$B$10/Projects!$D$27*0.95),0)+IF(AND(Projects!$G$28="Yes",19&gt;=Projects!$C$28,19&lt;Projects!$C$28+Projects!$D$28),IF(19=Projects!$C$28+Projects!$D$28-1,Projects!$B$28*Assumptions!$B$10/Projects!$D$28*0.95+0.05*Projects!$B$28*Assumptions!$B$10,Projects!$B$28*Assumptions!$B$10/Projects!$D$28*0.95),0)+IF(AND(Projects!$G$29="Yes",19&gt;=Projects!$C$29,19&lt;Projects!$C$29+Projects!$D$29),IF(19=Projects!$C$29+Projects!$D$29-1,Projects!$B$29*Assumptions!$B$10/Projects!$D$29*0.95+0.05*Projects!$B$29*Assumptions!$B$10,Projects!$B$29*Assumptions!$B$10/Projects!$D$29*0.95),0)</f>
        <v/>
      </c>
      <c r="V98">
        <f>IF(AND(Projects!$G$17="Yes",20&gt;=Projects!$C$17,20&lt;Projects!$C$17+Projects!$D$17),IF(20=Projects!$C$17+Projects!$D$17-1,Projects!$B$17*Assumptions!$B$10/Projects!$D$17*0.95+0.05*Projects!$B$17*Assumptions!$B$10,Projects!$B$17*Assumptions!$B$10/Projects!$D$17*0.95),0)+IF(AND(Projects!$G$18="Yes",20&gt;=Projects!$C$18,20&lt;Projects!$C$18+Projects!$D$18),IF(20=Projects!$C$18+Projects!$D$18-1,Projects!$B$18*Assumptions!$B$10/Projects!$D$18*0.95+0.05*Projects!$B$18*Assumptions!$B$10,Projects!$B$18*Assumptions!$B$10/Projects!$D$18*0.95),0)+IF(AND(Projects!$G$19="Yes",20&gt;=Projects!$C$19,20&lt;Projects!$C$19+Projects!$D$19),IF(20=Projects!$C$19+Projects!$D$19-1,Projects!$B$19*Assumptions!$B$10/Projects!$D$19*0.95+0.05*Projects!$B$19*Assumptions!$B$10,Projects!$B$19*Assumptions!$B$10/Projects!$D$19*0.95),0)+IF(AND(Projects!$G$20="Yes",20&gt;=Projects!$C$20,20&lt;Projects!$C$20+Projects!$D$20),IF(20=Projects!$C$20+Projects!$D$20-1,Projects!$B$20*Assumptions!$B$10/Projects!$D$20*0.95+0.05*Projects!$B$20*Assumptions!$B$10,Projects!$B$20*Assumptions!$B$10/Projects!$D$20*0.95),0)+IF(AND(Projects!$G$21="Yes",20&gt;=Projects!$C$21,20&lt;Projects!$C$21+Projects!$D$21),IF(20=Projects!$C$21+Projects!$D$21-1,Projects!$B$21*Assumptions!$B$10/Projects!$D$21*0.95+0.05*Projects!$B$21*Assumptions!$B$10,Projects!$B$21*Assumptions!$B$10/Projects!$D$21*0.95),0)+IF(AND(Projects!$G$22="Yes",20&gt;=Projects!$C$22,20&lt;Projects!$C$22+Projects!$D$22),IF(20=Projects!$C$22+Projects!$D$22-1,Projects!$B$22*Assumptions!$B$10/Projects!$D$22*0.95+0.05*Projects!$B$22*Assumptions!$B$10,Projects!$B$22*Assumptions!$B$10/Projects!$D$22*0.95),0)+IF(AND(Projects!$G$23="Yes",20&gt;=Projects!$C$23,20&lt;Projects!$C$23+Projects!$D$23),IF(20=Projects!$C$23+Projects!$D$23-1,Projects!$B$23*Assumptions!$B$10/Projects!$D$23*0.95+0.05*Projects!$B$23*Assumptions!$B$10,Projects!$B$23*Assumptions!$B$10/Projects!$D$23*0.95),0)+IF(AND(Projects!$G$24="Yes",20&gt;=Projects!$C$24,20&lt;Projects!$C$24+Projects!$D$24),IF(20=Projects!$C$24+Projects!$D$24-1,Projects!$B$24*Assumptions!$B$10/Projects!$D$24*0.95+0.05*Projects!$B$24*Assumptions!$B$10,Projects!$B$24*Assumptions!$B$10/Projects!$D$24*0.95),0)+IF(AND(Projects!$G$25="Yes",20&gt;=Projects!$C$25,20&lt;Projects!$C$25+Projects!$D$25),IF(20=Projects!$C$25+Projects!$D$25-1,Projects!$B$25*Assumptions!$B$10/Projects!$D$25*0.95+0.05*Projects!$B$25*Assumptions!$B$10,Projects!$B$25*Assumptions!$B$10/Projects!$D$25*0.95),0)+IF(AND(Projects!$G$26="Yes",20&gt;=Projects!$C$26,20&lt;Projects!$C$26+Projects!$D$26),IF(20=Projects!$C$26+Projects!$D$26-1,Projects!$B$26*Assumptions!$B$10/Projects!$D$26*0.95+0.05*Projects!$B$26*Assumptions!$B$10,Projects!$B$26*Assumptions!$B$10/Projects!$D$26*0.95),0)+IF(AND(Projects!$G$27="Yes",20&gt;=Projects!$C$27,20&lt;Projects!$C$27+Projects!$D$27),IF(20=Projects!$C$27+Projects!$D$27-1,Projects!$B$27*Assumptions!$B$10/Projects!$D$27*0.95+0.05*Projects!$B$27*Assumptions!$B$10,Projects!$B$27*Assumptions!$B$10/Projects!$D$27*0.95),0)+IF(AND(Projects!$G$28="Yes",20&gt;=Projects!$C$28,20&lt;Projects!$C$28+Projects!$D$28),IF(20=Projects!$C$28+Projects!$D$28-1,Projects!$B$28*Assumptions!$B$10/Projects!$D$28*0.95+0.05*Projects!$B$28*Assumptions!$B$10,Projects!$B$28*Assumptions!$B$10/Projects!$D$28*0.95),0)+IF(AND(Projects!$G$29="Yes",20&gt;=Projects!$C$29,20&lt;Projects!$C$29+Projects!$D$29),IF(20=Projects!$C$29+Projects!$D$29-1,Projects!$B$29*Assumptions!$B$10/Projects!$D$29*0.95+0.05*Projects!$B$29*Assumptions!$B$10,Projects!$B$29*Assumptions!$B$10/Projects!$D$29*0.95),0)</f>
        <v/>
      </c>
      <c r="W98">
        <f>IF(AND(Projects!$G$17="Yes",21&gt;=Projects!$C$17,21&lt;Projects!$C$17+Projects!$D$17),IF(21=Projects!$C$17+Projects!$D$17-1,Projects!$B$17*Assumptions!$B$10/Projects!$D$17*0.95+0.05*Projects!$B$17*Assumptions!$B$10,Projects!$B$17*Assumptions!$B$10/Projects!$D$17*0.95),0)+IF(AND(Projects!$G$18="Yes",21&gt;=Projects!$C$18,21&lt;Projects!$C$18+Projects!$D$18),IF(21=Projects!$C$18+Projects!$D$18-1,Projects!$B$18*Assumptions!$B$10/Projects!$D$18*0.95+0.05*Projects!$B$18*Assumptions!$B$10,Projects!$B$18*Assumptions!$B$10/Projects!$D$18*0.95),0)+IF(AND(Projects!$G$19="Yes",21&gt;=Projects!$C$19,21&lt;Projects!$C$19+Projects!$D$19),IF(21=Projects!$C$19+Projects!$D$19-1,Projects!$B$19*Assumptions!$B$10/Projects!$D$19*0.95+0.05*Projects!$B$19*Assumptions!$B$10,Projects!$B$19*Assumptions!$B$10/Projects!$D$19*0.95),0)+IF(AND(Projects!$G$20="Yes",21&gt;=Projects!$C$20,21&lt;Projects!$C$20+Projects!$D$20),IF(21=Projects!$C$20+Projects!$D$20-1,Projects!$B$20*Assumptions!$B$10/Projects!$D$20*0.95+0.05*Projects!$B$20*Assumptions!$B$10,Projects!$B$20*Assumptions!$B$10/Projects!$D$20*0.95),0)+IF(AND(Projects!$G$21="Yes",21&gt;=Projects!$C$21,21&lt;Projects!$C$21+Projects!$D$21),IF(21=Projects!$C$21+Projects!$D$21-1,Projects!$B$21*Assumptions!$B$10/Projects!$D$21*0.95+0.05*Projects!$B$21*Assumptions!$B$10,Projects!$B$21*Assumptions!$B$10/Projects!$D$21*0.95),0)+IF(AND(Projects!$G$22="Yes",21&gt;=Projects!$C$22,21&lt;Projects!$C$22+Projects!$D$22),IF(21=Projects!$C$22+Projects!$D$22-1,Projects!$B$22*Assumptions!$B$10/Projects!$D$22*0.95+0.05*Projects!$B$22*Assumptions!$B$10,Projects!$B$22*Assumptions!$B$10/Projects!$D$22*0.95),0)+IF(AND(Projects!$G$23="Yes",21&gt;=Projects!$C$23,21&lt;Projects!$C$23+Projects!$D$23),IF(21=Projects!$C$23+Projects!$D$23-1,Projects!$B$23*Assumptions!$B$10/Projects!$D$23*0.95+0.05*Projects!$B$23*Assumptions!$B$10,Projects!$B$23*Assumptions!$B$10/Projects!$D$23*0.95),0)+IF(AND(Projects!$G$24="Yes",21&gt;=Projects!$C$24,21&lt;Projects!$C$24+Projects!$D$24),IF(21=Projects!$C$24+Projects!$D$24-1,Projects!$B$24*Assumptions!$B$10/Projects!$D$24*0.95+0.05*Projects!$B$24*Assumptions!$B$10,Projects!$B$24*Assumptions!$B$10/Projects!$D$24*0.95),0)+IF(AND(Projects!$G$25="Yes",21&gt;=Projects!$C$25,21&lt;Projects!$C$25+Projects!$D$25),IF(21=Projects!$C$25+Projects!$D$25-1,Projects!$B$25*Assumptions!$B$10/Projects!$D$25*0.95+0.05*Projects!$B$25*Assumptions!$B$10,Projects!$B$25*Assumptions!$B$10/Projects!$D$25*0.95),0)+IF(AND(Projects!$G$26="Yes",21&gt;=Projects!$C$26,21&lt;Projects!$C$26+Projects!$D$26),IF(21=Projects!$C$26+Projects!$D$26-1,Projects!$B$26*Assumptions!$B$10/Projects!$D$26*0.95+0.05*Projects!$B$26*Assumptions!$B$10,Projects!$B$26*Assumptions!$B$10/Projects!$D$26*0.95),0)+IF(AND(Projects!$G$27="Yes",21&gt;=Projects!$C$27,21&lt;Projects!$C$27+Projects!$D$27),IF(21=Projects!$C$27+Projects!$D$27-1,Projects!$B$27*Assumptions!$B$10/Projects!$D$27*0.95+0.05*Projects!$B$27*Assumptions!$B$10,Projects!$B$27*Assumptions!$B$10/Projects!$D$27*0.95),0)+IF(AND(Projects!$G$28="Yes",21&gt;=Projects!$C$28,21&lt;Projects!$C$28+Projects!$D$28),IF(21=Projects!$C$28+Projects!$D$28-1,Projects!$B$28*Assumptions!$B$10/Projects!$D$28*0.95+0.05*Projects!$B$28*Assumptions!$B$10,Projects!$B$28*Assumptions!$B$10/Projects!$D$28*0.95),0)+IF(AND(Projects!$G$29="Yes",21&gt;=Projects!$C$29,21&lt;Projects!$C$29+Projects!$D$29),IF(21=Projects!$C$29+Projects!$D$29-1,Projects!$B$29*Assumptions!$B$10/Projects!$D$29*0.95+0.05*Projects!$B$29*Assumptions!$B$10,Projects!$B$29*Assumptions!$B$10/Projects!$D$29*0.95),0)</f>
        <v/>
      </c>
      <c r="X98">
        <f>IF(AND(Projects!$G$17="Yes",22&gt;=Projects!$C$17,22&lt;Projects!$C$17+Projects!$D$17),IF(22=Projects!$C$17+Projects!$D$17-1,Projects!$B$17*Assumptions!$B$10/Projects!$D$17*0.95+0.05*Projects!$B$17*Assumptions!$B$10,Projects!$B$17*Assumptions!$B$10/Projects!$D$17*0.95),0)+IF(AND(Projects!$G$18="Yes",22&gt;=Projects!$C$18,22&lt;Projects!$C$18+Projects!$D$18),IF(22=Projects!$C$18+Projects!$D$18-1,Projects!$B$18*Assumptions!$B$10/Projects!$D$18*0.95+0.05*Projects!$B$18*Assumptions!$B$10,Projects!$B$18*Assumptions!$B$10/Projects!$D$18*0.95),0)+IF(AND(Projects!$G$19="Yes",22&gt;=Projects!$C$19,22&lt;Projects!$C$19+Projects!$D$19),IF(22=Projects!$C$19+Projects!$D$19-1,Projects!$B$19*Assumptions!$B$10/Projects!$D$19*0.95+0.05*Projects!$B$19*Assumptions!$B$10,Projects!$B$19*Assumptions!$B$10/Projects!$D$19*0.95),0)+IF(AND(Projects!$G$20="Yes",22&gt;=Projects!$C$20,22&lt;Projects!$C$20+Projects!$D$20),IF(22=Projects!$C$20+Projects!$D$20-1,Projects!$B$20*Assumptions!$B$10/Projects!$D$20*0.95+0.05*Projects!$B$20*Assumptions!$B$10,Projects!$B$20*Assumptions!$B$10/Projects!$D$20*0.95),0)+IF(AND(Projects!$G$21="Yes",22&gt;=Projects!$C$21,22&lt;Projects!$C$21+Projects!$D$21),IF(22=Projects!$C$21+Projects!$D$21-1,Projects!$B$21*Assumptions!$B$10/Projects!$D$21*0.95+0.05*Projects!$B$21*Assumptions!$B$10,Projects!$B$21*Assumptions!$B$10/Projects!$D$21*0.95),0)+IF(AND(Projects!$G$22="Yes",22&gt;=Projects!$C$22,22&lt;Projects!$C$22+Projects!$D$22),IF(22=Projects!$C$22+Projects!$D$22-1,Projects!$B$22*Assumptions!$B$10/Projects!$D$22*0.95+0.05*Projects!$B$22*Assumptions!$B$10,Projects!$B$22*Assumptions!$B$10/Projects!$D$22*0.95),0)+IF(AND(Projects!$G$23="Yes",22&gt;=Projects!$C$23,22&lt;Projects!$C$23+Projects!$D$23),IF(22=Projects!$C$23+Projects!$D$23-1,Projects!$B$23*Assumptions!$B$10/Projects!$D$23*0.95+0.05*Projects!$B$23*Assumptions!$B$10,Projects!$B$23*Assumptions!$B$10/Projects!$D$23*0.95),0)+IF(AND(Projects!$G$24="Yes",22&gt;=Projects!$C$24,22&lt;Projects!$C$24+Projects!$D$24),IF(22=Projects!$C$24+Projects!$D$24-1,Projects!$B$24*Assumptions!$B$10/Projects!$D$24*0.95+0.05*Projects!$B$24*Assumptions!$B$10,Projects!$B$24*Assumptions!$B$10/Projects!$D$24*0.95),0)+IF(AND(Projects!$G$25="Yes",22&gt;=Projects!$C$25,22&lt;Projects!$C$25+Projects!$D$25),IF(22=Projects!$C$25+Projects!$D$25-1,Projects!$B$25*Assumptions!$B$10/Projects!$D$25*0.95+0.05*Projects!$B$25*Assumptions!$B$10,Projects!$B$25*Assumptions!$B$10/Projects!$D$25*0.95),0)+IF(AND(Projects!$G$26="Yes",22&gt;=Projects!$C$26,22&lt;Projects!$C$26+Projects!$D$26),IF(22=Projects!$C$26+Projects!$D$26-1,Projects!$B$26*Assumptions!$B$10/Projects!$D$26*0.95+0.05*Projects!$B$26*Assumptions!$B$10,Projects!$B$26*Assumptions!$B$10/Projects!$D$26*0.95),0)+IF(AND(Projects!$G$27="Yes",22&gt;=Projects!$C$27,22&lt;Projects!$C$27+Projects!$D$27),IF(22=Projects!$C$27+Projects!$D$27-1,Projects!$B$27*Assumptions!$B$10/Projects!$D$27*0.95+0.05*Projects!$B$27*Assumptions!$B$10,Projects!$B$27*Assumptions!$B$10/Projects!$D$27*0.95),0)+IF(AND(Projects!$G$28="Yes",22&gt;=Projects!$C$28,22&lt;Projects!$C$28+Projects!$D$28),IF(22=Projects!$C$28+Projects!$D$28-1,Projects!$B$28*Assumptions!$B$10/Projects!$D$28*0.95+0.05*Projects!$B$28*Assumptions!$B$10,Projects!$B$28*Assumptions!$B$10/Projects!$D$28*0.95),0)+IF(AND(Projects!$G$29="Yes",22&gt;=Projects!$C$29,22&lt;Projects!$C$29+Projects!$D$29),IF(22=Projects!$C$29+Projects!$D$29-1,Projects!$B$29*Assumptions!$B$10/Projects!$D$29*0.95+0.05*Projects!$B$29*Assumptions!$B$10,Projects!$B$29*Assumptions!$B$10/Projects!$D$29*0.95),0)</f>
        <v/>
      </c>
      <c r="Y98">
        <f>IF(AND(Projects!$G$17="Yes",23&gt;=Projects!$C$17,23&lt;Projects!$C$17+Projects!$D$17),IF(23=Projects!$C$17+Projects!$D$17-1,Projects!$B$17*Assumptions!$B$10/Projects!$D$17*0.95+0.05*Projects!$B$17*Assumptions!$B$10,Projects!$B$17*Assumptions!$B$10/Projects!$D$17*0.95),0)+IF(AND(Projects!$G$18="Yes",23&gt;=Projects!$C$18,23&lt;Projects!$C$18+Projects!$D$18),IF(23=Projects!$C$18+Projects!$D$18-1,Projects!$B$18*Assumptions!$B$10/Projects!$D$18*0.95+0.05*Projects!$B$18*Assumptions!$B$10,Projects!$B$18*Assumptions!$B$10/Projects!$D$18*0.95),0)+IF(AND(Projects!$G$19="Yes",23&gt;=Projects!$C$19,23&lt;Projects!$C$19+Projects!$D$19),IF(23=Projects!$C$19+Projects!$D$19-1,Projects!$B$19*Assumptions!$B$10/Projects!$D$19*0.95+0.05*Projects!$B$19*Assumptions!$B$10,Projects!$B$19*Assumptions!$B$10/Projects!$D$19*0.95),0)+IF(AND(Projects!$G$20="Yes",23&gt;=Projects!$C$20,23&lt;Projects!$C$20+Projects!$D$20),IF(23=Projects!$C$20+Projects!$D$20-1,Projects!$B$20*Assumptions!$B$10/Projects!$D$20*0.95+0.05*Projects!$B$20*Assumptions!$B$10,Projects!$B$20*Assumptions!$B$10/Projects!$D$20*0.95),0)+IF(AND(Projects!$G$21="Yes",23&gt;=Projects!$C$21,23&lt;Projects!$C$21+Projects!$D$21),IF(23=Projects!$C$21+Projects!$D$21-1,Projects!$B$21*Assumptions!$B$10/Projects!$D$21*0.95+0.05*Projects!$B$21*Assumptions!$B$10,Projects!$B$21*Assumptions!$B$10/Projects!$D$21*0.95),0)+IF(AND(Projects!$G$22="Yes",23&gt;=Projects!$C$22,23&lt;Projects!$C$22+Projects!$D$22),IF(23=Projects!$C$22+Projects!$D$22-1,Projects!$B$22*Assumptions!$B$10/Projects!$D$22*0.95+0.05*Projects!$B$22*Assumptions!$B$10,Projects!$B$22*Assumptions!$B$10/Projects!$D$22*0.95),0)+IF(AND(Projects!$G$23="Yes",23&gt;=Projects!$C$23,23&lt;Projects!$C$23+Projects!$D$23),IF(23=Projects!$C$23+Projects!$D$23-1,Projects!$B$23*Assumptions!$B$10/Projects!$D$23*0.95+0.05*Projects!$B$23*Assumptions!$B$10,Projects!$B$23*Assumptions!$B$10/Projects!$D$23*0.95),0)+IF(AND(Projects!$G$24="Yes",23&gt;=Projects!$C$24,23&lt;Projects!$C$24+Projects!$D$24),IF(23=Projects!$C$24+Projects!$D$24-1,Projects!$B$24*Assumptions!$B$10/Projects!$D$24*0.95+0.05*Projects!$B$24*Assumptions!$B$10,Projects!$B$24*Assumptions!$B$10/Projects!$D$24*0.95),0)+IF(AND(Projects!$G$25="Yes",23&gt;=Projects!$C$25,23&lt;Projects!$C$25+Projects!$D$25),IF(23=Projects!$C$25+Projects!$D$25-1,Projects!$B$25*Assumptions!$B$10/Projects!$D$25*0.95+0.05*Projects!$B$25*Assumptions!$B$10,Projects!$B$25*Assumptions!$B$10/Projects!$D$25*0.95),0)+IF(AND(Projects!$G$26="Yes",23&gt;=Projects!$C$26,23&lt;Projects!$C$26+Projects!$D$26),IF(23=Projects!$C$26+Projects!$D$26-1,Projects!$B$26*Assumptions!$B$10/Projects!$D$26*0.95+0.05*Projects!$B$26*Assumptions!$B$10,Projects!$B$26*Assumptions!$B$10/Projects!$D$26*0.95),0)+IF(AND(Projects!$G$27="Yes",23&gt;=Projects!$C$27,23&lt;Projects!$C$27+Projects!$D$27),IF(23=Projects!$C$27+Projects!$D$27-1,Projects!$B$27*Assumptions!$B$10/Projects!$D$27*0.95+0.05*Projects!$B$27*Assumptions!$B$10,Projects!$B$27*Assumptions!$B$10/Projects!$D$27*0.95),0)+IF(AND(Projects!$G$28="Yes",23&gt;=Projects!$C$28,23&lt;Projects!$C$28+Projects!$D$28),IF(23=Projects!$C$28+Projects!$D$28-1,Projects!$B$28*Assumptions!$B$10/Projects!$D$28*0.95+0.05*Projects!$B$28*Assumptions!$B$10,Projects!$B$28*Assumptions!$B$10/Projects!$D$28*0.95),0)+IF(AND(Projects!$G$29="Yes",23&gt;=Projects!$C$29,23&lt;Projects!$C$29+Projects!$D$29),IF(23=Projects!$C$29+Projects!$D$29-1,Projects!$B$29*Assumptions!$B$10/Projects!$D$29*0.95+0.05*Projects!$B$29*Assumptions!$B$10,Projects!$B$29*Assumptions!$B$10/Projects!$D$29*0.95),0)</f>
        <v/>
      </c>
      <c r="Z98">
        <f>IF(AND(Projects!$G$17="Yes",24&gt;=Projects!$C$17,24&lt;Projects!$C$17+Projects!$D$17),IF(24=Projects!$C$17+Projects!$D$17-1,Projects!$B$17*Assumptions!$B$10/Projects!$D$17*0.95+0.05*Projects!$B$17*Assumptions!$B$10,Projects!$B$17*Assumptions!$B$10/Projects!$D$17*0.95),0)+IF(AND(Projects!$G$18="Yes",24&gt;=Projects!$C$18,24&lt;Projects!$C$18+Projects!$D$18),IF(24=Projects!$C$18+Projects!$D$18-1,Projects!$B$18*Assumptions!$B$10/Projects!$D$18*0.95+0.05*Projects!$B$18*Assumptions!$B$10,Projects!$B$18*Assumptions!$B$10/Projects!$D$18*0.95),0)+IF(AND(Projects!$G$19="Yes",24&gt;=Projects!$C$19,24&lt;Projects!$C$19+Projects!$D$19),IF(24=Projects!$C$19+Projects!$D$19-1,Projects!$B$19*Assumptions!$B$10/Projects!$D$19*0.95+0.05*Projects!$B$19*Assumptions!$B$10,Projects!$B$19*Assumptions!$B$10/Projects!$D$19*0.95),0)+IF(AND(Projects!$G$20="Yes",24&gt;=Projects!$C$20,24&lt;Projects!$C$20+Projects!$D$20),IF(24=Projects!$C$20+Projects!$D$20-1,Projects!$B$20*Assumptions!$B$10/Projects!$D$20*0.95+0.05*Projects!$B$20*Assumptions!$B$10,Projects!$B$20*Assumptions!$B$10/Projects!$D$20*0.95),0)+IF(AND(Projects!$G$21="Yes",24&gt;=Projects!$C$21,24&lt;Projects!$C$21+Projects!$D$21),IF(24=Projects!$C$21+Projects!$D$21-1,Projects!$B$21*Assumptions!$B$10/Projects!$D$21*0.95+0.05*Projects!$B$21*Assumptions!$B$10,Projects!$B$21*Assumptions!$B$10/Projects!$D$21*0.95),0)+IF(AND(Projects!$G$22="Yes",24&gt;=Projects!$C$22,24&lt;Projects!$C$22+Projects!$D$22),IF(24=Projects!$C$22+Projects!$D$22-1,Projects!$B$22*Assumptions!$B$10/Projects!$D$22*0.95+0.05*Projects!$B$22*Assumptions!$B$10,Projects!$B$22*Assumptions!$B$10/Projects!$D$22*0.95),0)+IF(AND(Projects!$G$23="Yes",24&gt;=Projects!$C$23,24&lt;Projects!$C$23+Projects!$D$23),IF(24=Projects!$C$23+Projects!$D$23-1,Projects!$B$23*Assumptions!$B$10/Projects!$D$23*0.95+0.05*Projects!$B$23*Assumptions!$B$10,Projects!$B$23*Assumptions!$B$10/Projects!$D$23*0.95),0)+IF(AND(Projects!$G$24="Yes",24&gt;=Projects!$C$24,24&lt;Projects!$C$24+Projects!$D$24),IF(24=Projects!$C$24+Projects!$D$24-1,Projects!$B$24*Assumptions!$B$10/Projects!$D$24*0.95+0.05*Projects!$B$24*Assumptions!$B$10,Projects!$B$24*Assumptions!$B$10/Projects!$D$24*0.95),0)+IF(AND(Projects!$G$25="Yes",24&gt;=Projects!$C$25,24&lt;Projects!$C$25+Projects!$D$25),IF(24=Projects!$C$25+Projects!$D$25-1,Projects!$B$25*Assumptions!$B$10/Projects!$D$25*0.95+0.05*Projects!$B$25*Assumptions!$B$10,Projects!$B$25*Assumptions!$B$10/Projects!$D$25*0.95),0)+IF(AND(Projects!$G$26="Yes",24&gt;=Projects!$C$26,24&lt;Projects!$C$26+Projects!$D$26),IF(24=Projects!$C$26+Projects!$D$26-1,Projects!$B$26*Assumptions!$B$10/Projects!$D$26*0.95+0.05*Projects!$B$26*Assumptions!$B$10,Projects!$B$26*Assumptions!$B$10/Projects!$D$26*0.95),0)+IF(AND(Projects!$G$27="Yes",24&gt;=Projects!$C$27,24&lt;Projects!$C$27+Projects!$D$27),IF(24=Projects!$C$27+Projects!$D$27-1,Projects!$B$27*Assumptions!$B$10/Projects!$D$27*0.95+0.05*Projects!$B$27*Assumptions!$B$10,Projects!$B$27*Assumptions!$B$10/Projects!$D$27*0.95),0)+IF(AND(Projects!$G$28="Yes",24&gt;=Projects!$C$28,24&lt;Projects!$C$28+Projects!$D$28),IF(24=Projects!$C$28+Projects!$D$28-1,Projects!$B$28*Assumptions!$B$10/Projects!$D$28*0.95+0.05*Projects!$B$28*Assumptions!$B$10,Projects!$B$28*Assumptions!$B$10/Projects!$D$28*0.95),0)+IF(AND(Projects!$G$29="Yes",24&gt;=Projects!$C$29,24&lt;Projects!$C$29+Projects!$D$29),IF(24=Projects!$C$29+Projects!$D$29-1,Projects!$B$29*Assumptions!$B$10/Projects!$D$29*0.95+0.05*Projects!$B$29*Assumptions!$B$10,Projects!$B$29*Assumptions!$B$10/Projects!$D$29*0.95),0)</f>
        <v/>
      </c>
      <c r="AA98">
        <f>IF(AND(Projects!$G$17="Yes",25&gt;=Projects!$C$17,25&lt;Projects!$C$17+Projects!$D$17),IF(25=Projects!$C$17+Projects!$D$17-1,Projects!$B$17*Assumptions!$B$10/Projects!$D$17*0.95+0.05*Projects!$B$17*Assumptions!$B$10,Projects!$B$17*Assumptions!$B$10/Projects!$D$17*0.95),0)+IF(AND(Projects!$G$18="Yes",25&gt;=Projects!$C$18,25&lt;Projects!$C$18+Projects!$D$18),IF(25=Projects!$C$18+Projects!$D$18-1,Projects!$B$18*Assumptions!$B$10/Projects!$D$18*0.95+0.05*Projects!$B$18*Assumptions!$B$10,Projects!$B$18*Assumptions!$B$10/Projects!$D$18*0.95),0)+IF(AND(Projects!$G$19="Yes",25&gt;=Projects!$C$19,25&lt;Projects!$C$19+Projects!$D$19),IF(25=Projects!$C$19+Projects!$D$19-1,Projects!$B$19*Assumptions!$B$10/Projects!$D$19*0.95+0.05*Projects!$B$19*Assumptions!$B$10,Projects!$B$19*Assumptions!$B$10/Projects!$D$19*0.95),0)+IF(AND(Projects!$G$20="Yes",25&gt;=Projects!$C$20,25&lt;Projects!$C$20+Projects!$D$20),IF(25=Projects!$C$20+Projects!$D$20-1,Projects!$B$20*Assumptions!$B$10/Projects!$D$20*0.95+0.05*Projects!$B$20*Assumptions!$B$10,Projects!$B$20*Assumptions!$B$10/Projects!$D$20*0.95),0)+IF(AND(Projects!$G$21="Yes",25&gt;=Projects!$C$21,25&lt;Projects!$C$21+Projects!$D$21),IF(25=Projects!$C$21+Projects!$D$21-1,Projects!$B$21*Assumptions!$B$10/Projects!$D$21*0.95+0.05*Projects!$B$21*Assumptions!$B$10,Projects!$B$21*Assumptions!$B$10/Projects!$D$21*0.95),0)+IF(AND(Projects!$G$22="Yes",25&gt;=Projects!$C$22,25&lt;Projects!$C$22+Projects!$D$22),IF(25=Projects!$C$22+Projects!$D$22-1,Projects!$B$22*Assumptions!$B$10/Projects!$D$22*0.95+0.05*Projects!$B$22*Assumptions!$B$10,Projects!$B$22*Assumptions!$B$10/Projects!$D$22*0.95),0)+IF(AND(Projects!$G$23="Yes",25&gt;=Projects!$C$23,25&lt;Projects!$C$23+Projects!$D$23),IF(25=Projects!$C$23+Projects!$D$23-1,Projects!$B$23*Assumptions!$B$10/Projects!$D$23*0.95+0.05*Projects!$B$23*Assumptions!$B$10,Projects!$B$23*Assumptions!$B$10/Projects!$D$23*0.95),0)+IF(AND(Projects!$G$24="Yes",25&gt;=Projects!$C$24,25&lt;Projects!$C$24+Projects!$D$24),IF(25=Projects!$C$24+Projects!$D$24-1,Projects!$B$24*Assumptions!$B$10/Projects!$D$24*0.95+0.05*Projects!$B$24*Assumptions!$B$10,Projects!$B$24*Assumptions!$B$10/Projects!$D$24*0.95),0)+IF(AND(Projects!$G$25="Yes",25&gt;=Projects!$C$25,25&lt;Projects!$C$25+Projects!$D$25),IF(25=Projects!$C$25+Projects!$D$25-1,Projects!$B$25*Assumptions!$B$10/Projects!$D$25*0.95+0.05*Projects!$B$25*Assumptions!$B$10,Projects!$B$25*Assumptions!$B$10/Projects!$D$25*0.95),0)+IF(AND(Projects!$G$26="Yes",25&gt;=Projects!$C$26,25&lt;Projects!$C$26+Projects!$D$26),IF(25=Projects!$C$26+Projects!$D$26-1,Projects!$B$26*Assumptions!$B$10/Projects!$D$26*0.95+0.05*Projects!$B$26*Assumptions!$B$10,Projects!$B$26*Assumptions!$B$10/Projects!$D$26*0.95),0)+IF(AND(Projects!$G$27="Yes",25&gt;=Projects!$C$27,25&lt;Projects!$C$27+Projects!$D$27),IF(25=Projects!$C$27+Projects!$D$27-1,Projects!$B$27*Assumptions!$B$10/Projects!$D$27*0.95+0.05*Projects!$B$27*Assumptions!$B$10,Projects!$B$27*Assumptions!$B$10/Projects!$D$27*0.95),0)+IF(AND(Projects!$G$28="Yes",25&gt;=Projects!$C$28,25&lt;Projects!$C$28+Projects!$D$28),IF(25=Projects!$C$28+Projects!$D$28-1,Projects!$B$28*Assumptions!$B$10/Projects!$D$28*0.95+0.05*Projects!$B$28*Assumptions!$B$10,Projects!$B$28*Assumptions!$B$10/Projects!$D$28*0.95),0)+IF(AND(Projects!$G$29="Yes",25&gt;=Projects!$C$29,25&lt;Projects!$C$29+Projects!$D$29),IF(25=Projects!$C$29+Projects!$D$29-1,Projects!$B$29*Assumptions!$B$10/Projects!$D$29*0.95+0.05*Projects!$B$29*Assumptions!$B$10,Projects!$B$29*Assumptions!$B$10/Projects!$D$29*0.95),0)</f>
        <v/>
      </c>
      <c r="AB98">
        <f>IF(AND(Projects!$G$17="Yes",26&gt;=Projects!$C$17,26&lt;Projects!$C$17+Projects!$D$17),IF(26=Projects!$C$17+Projects!$D$17-1,Projects!$B$17*Assumptions!$B$10/Projects!$D$17*0.95+0.05*Projects!$B$17*Assumptions!$B$10,Projects!$B$17*Assumptions!$B$10/Projects!$D$17*0.95),0)+IF(AND(Projects!$G$18="Yes",26&gt;=Projects!$C$18,26&lt;Projects!$C$18+Projects!$D$18),IF(26=Projects!$C$18+Projects!$D$18-1,Projects!$B$18*Assumptions!$B$10/Projects!$D$18*0.95+0.05*Projects!$B$18*Assumptions!$B$10,Projects!$B$18*Assumptions!$B$10/Projects!$D$18*0.95),0)+IF(AND(Projects!$G$19="Yes",26&gt;=Projects!$C$19,26&lt;Projects!$C$19+Projects!$D$19),IF(26=Projects!$C$19+Projects!$D$19-1,Projects!$B$19*Assumptions!$B$10/Projects!$D$19*0.95+0.05*Projects!$B$19*Assumptions!$B$10,Projects!$B$19*Assumptions!$B$10/Projects!$D$19*0.95),0)+IF(AND(Projects!$G$20="Yes",26&gt;=Projects!$C$20,26&lt;Projects!$C$20+Projects!$D$20),IF(26=Projects!$C$20+Projects!$D$20-1,Projects!$B$20*Assumptions!$B$10/Projects!$D$20*0.95+0.05*Projects!$B$20*Assumptions!$B$10,Projects!$B$20*Assumptions!$B$10/Projects!$D$20*0.95),0)+IF(AND(Projects!$G$21="Yes",26&gt;=Projects!$C$21,26&lt;Projects!$C$21+Projects!$D$21),IF(26=Projects!$C$21+Projects!$D$21-1,Projects!$B$21*Assumptions!$B$10/Projects!$D$21*0.95+0.05*Projects!$B$21*Assumptions!$B$10,Projects!$B$21*Assumptions!$B$10/Projects!$D$21*0.95),0)+IF(AND(Projects!$G$22="Yes",26&gt;=Projects!$C$22,26&lt;Projects!$C$22+Projects!$D$22),IF(26=Projects!$C$22+Projects!$D$22-1,Projects!$B$22*Assumptions!$B$10/Projects!$D$22*0.95+0.05*Projects!$B$22*Assumptions!$B$10,Projects!$B$22*Assumptions!$B$10/Projects!$D$22*0.95),0)+IF(AND(Projects!$G$23="Yes",26&gt;=Projects!$C$23,26&lt;Projects!$C$23+Projects!$D$23),IF(26=Projects!$C$23+Projects!$D$23-1,Projects!$B$23*Assumptions!$B$10/Projects!$D$23*0.95+0.05*Projects!$B$23*Assumptions!$B$10,Projects!$B$23*Assumptions!$B$10/Projects!$D$23*0.95),0)+IF(AND(Projects!$G$24="Yes",26&gt;=Projects!$C$24,26&lt;Projects!$C$24+Projects!$D$24),IF(26=Projects!$C$24+Projects!$D$24-1,Projects!$B$24*Assumptions!$B$10/Projects!$D$24*0.95+0.05*Projects!$B$24*Assumptions!$B$10,Projects!$B$24*Assumptions!$B$10/Projects!$D$24*0.95),0)+IF(AND(Projects!$G$25="Yes",26&gt;=Projects!$C$25,26&lt;Projects!$C$25+Projects!$D$25),IF(26=Projects!$C$25+Projects!$D$25-1,Projects!$B$25*Assumptions!$B$10/Projects!$D$25*0.95+0.05*Projects!$B$25*Assumptions!$B$10,Projects!$B$25*Assumptions!$B$10/Projects!$D$25*0.95),0)+IF(AND(Projects!$G$26="Yes",26&gt;=Projects!$C$26,26&lt;Projects!$C$26+Projects!$D$26),IF(26=Projects!$C$26+Projects!$D$26-1,Projects!$B$26*Assumptions!$B$10/Projects!$D$26*0.95+0.05*Projects!$B$26*Assumptions!$B$10,Projects!$B$26*Assumptions!$B$10/Projects!$D$26*0.95),0)+IF(AND(Projects!$G$27="Yes",26&gt;=Projects!$C$27,26&lt;Projects!$C$27+Projects!$D$27),IF(26=Projects!$C$27+Projects!$D$27-1,Projects!$B$27*Assumptions!$B$10/Projects!$D$27*0.95+0.05*Projects!$B$27*Assumptions!$B$10,Projects!$B$27*Assumptions!$B$10/Projects!$D$27*0.95),0)+IF(AND(Projects!$G$28="Yes",26&gt;=Projects!$C$28,26&lt;Projects!$C$28+Projects!$D$28),IF(26=Projects!$C$28+Projects!$D$28-1,Projects!$B$28*Assumptions!$B$10/Projects!$D$28*0.95+0.05*Projects!$B$28*Assumptions!$B$10,Projects!$B$28*Assumptions!$B$10/Projects!$D$28*0.95),0)+IF(AND(Projects!$G$29="Yes",26&gt;=Projects!$C$29,26&lt;Projects!$C$29+Projects!$D$29),IF(26=Projects!$C$29+Projects!$D$29-1,Projects!$B$29*Assumptions!$B$10/Projects!$D$29*0.95+0.05*Projects!$B$29*Assumptions!$B$10,Projects!$B$29*Assumptions!$B$10/Projects!$D$29*0.95),0)</f>
        <v/>
      </c>
      <c r="AC98">
        <f>IF(AND(Projects!$G$17="Yes",27&gt;=Projects!$C$17,27&lt;Projects!$C$17+Projects!$D$17),IF(27=Projects!$C$17+Projects!$D$17-1,Projects!$B$17*Assumptions!$B$10/Projects!$D$17*0.95+0.05*Projects!$B$17*Assumptions!$B$10,Projects!$B$17*Assumptions!$B$10/Projects!$D$17*0.95),0)+IF(AND(Projects!$G$18="Yes",27&gt;=Projects!$C$18,27&lt;Projects!$C$18+Projects!$D$18),IF(27=Projects!$C$18+Projects!$D$18-1,Projects!$B$18*Assumptions!$B$10/Projects!$D$18*0.95+0.05*Projects!$B$18*Assumptions!$B$10,Projects!$B$18*Assumptions!$B$10/Projects!$D$18*0.95),0)+IF(AND(Projects!$G$19="Yes",27&gt;=Projects!$C$19,27&lt;Projects!$C$19+Projects!$D$19),IF(27=Projects!$C$19+Projects!$D$19-1,Projects!$B$19*Assumptions!$B$10/Projects!$D$19*0.95+0.05*Projects!$B$19*Assumptions!$B$10,Projects!$B$19*Assumptions!$B$10/Projects!$D$19*0.95),0)+IF(AND(Projects!$G$20="Yes",27&gt;=Projects!$C$20,27&lt;Projects!$C$20+Projects!$D$20),IF(27=Projects!$C$20+Projects!$D$20-1,Projects!$B$20*Assumptions!$B$10/Projects!$D$20*0.95+0.05*Projects!$B$20*Assumptions!$B$10,Projects!$B$20*Assumptions!$B$10/Projects!$D$20*0.95),0)+IF(AND(Projects!$G$21="Yes",27&gt;=Projects!$C$21,27&lt;Projects!$C$21+Projects!$D$21),IF(27=Projects!$C$21+Projects!$D$21-1,Projects!$B$21*Assumptions!$B$10/Projects!$D$21*0.95+0.05*Projects!$B$21*Assumptions!$B$10,Projects!$B$21*Assumptions!$B$10/Projects!$D$21*0.95),0)+IF(AND(Projects!$G$22="Yes",27&gt;=Projects!$C$22,27&lt;Projects!$C$22+Projects!$D$22),IF(27=Projects!$C$22+Projects!$D$22-1,Projects!$B$22*Assumptions!$B$10/Projects!$D$22*0.95+0.05*Projects!$B$22*Assumptions!$B$10,Projects!$B$22*Assumptions!$B$10/Projects!$D$22*0.95),0)+IF(AND(Projects!$G$23="Yes",27&gt;=Projects!$C$23,27&lt;Projects!$C$23+Projects!$D$23),IF(27=Projects!$C$23+Projects!$D$23-1,Projects!$B$23*Assumptions!$B$10/Projects!$D$23*0.95+0.05*Projects!$B$23*Assumptions!$B$10,Projects!$B$23*Assumptions!$B$10/Projects!$D$23*0.95),0)+IF(AND(Projects!$G$24="Yes",27&gt;=Projects!$C$24,27&lt;Projects!$C$24+Projects!$D$24),IF(27=Projects!$C$24+Projects!$D$24-1,Projects!$B$24*Assumptions!$B$10/Projects!$D$24*0.95+0.05*Projects!$B$24*Assumptions!$B$10,Projects!$B$24*Assumptions!$B$10/Projects!$D$24*0.95),0)+IF(AND(Projects!$G$25="Yes",27&gt;=Projects!$C$25,27&lt;Projects!$C$25+Projects!$D$25),IF(27=Projects!$C$25+Projects!$D$25-1,Projects!$B$25*Assumptions!$B$10/Projects!$D$25*0.95+0.05*Projects!$B$25*Assumptions!$B$10,Projects!$B$25*Assumptions!$B$10/Projects!$D$25*0.95),0)+IF(AND(Projects!$G$26="Yes",27&gt;=Projects!$C$26,27&lt;Projects!$C$26+Projects!$D$26),IF(27=Projects!$C$26+Projects!$D$26-1,Projects!$B$26*Assumptions!$B$10/Projects!$D$26*0.95+0.05*Projects!$B$26*Assumptions!$B$10,Projects!$B$26*Assumptions!$B$10/Projects!$D$26*0.95),0)+IF(AND(Projects!$G$27="Yes",27&gt;=Projects!$C$27,27&lt;Projects!$C$27+Projects!$D$27),IF(27=Projects!$C$27+Projects!$D$27-1,Projects!$B$27*Assumptions!$B$10/Projects!$D$27*0.95+0.05*Projects!$B$27*Assumptions!$B$10,Projects!$B$27*Assumptions!$B$10/Projects!$D$27*0.95),0)+IF(AND(Projects!$G$28="Yes",27&gt;=Projects!$C$28,27&lt;Projects!$C$28+Projects!$D$28),IF(27=Projects!$C$28+Projects!$D$28-1,Projects!$B$28*Assumptions!$B$10/Projects!$D$28*0.95+0.05*Projects!$B$28*Assumptions!$B$10,Projects!$B$28*Assumptions!$B$10/Projects!$D$28*0.95),0)+IF(AND(Projects!$G$29="Yes",27&gt;=Projects!$C$29,27&lt;Projects!$C$29+Projects!$D$29),IF(27=Projects!$C$29+Projects!$D$29-1,Projects!$B$29*Assumptions!$B$10/Projects!$D$29*0.95+0.05*Projects!$B$29*Assumptions!$B$10,Projects!$B$29*Assumptions!$B$10/Projects!$D$29*0.95),0)</f>
        <v/>
      </c>
      <c r="AD98">
        <f>IF(AND(Projects!$G$17="Yes",28&gt;=Projects!$C$17,28&lt;Projects!$C$17+Projects!$D$17),IF(28=Projects!$C$17+Projects!$D$17-1,Projects!$B$17*Assumptions!$B$10/Projects!$D$17*0.95+0.05*Projects!$B$17*Assumptions!$B$10,Projects!$B$17*Assumptions!$B$10/Projects!$D$17*0.95),0)+IF(AND(Projects!$G$18="Yes",28&gt;=Projects!$C$18,28&lt;Projects!$C$18+Projects!$D$18),IF(28=Projects!$C$18+Projects!$D$18-1,Projects!$B$18*Assumptions!$B$10/Projects!$D$18*0.95+0.05*Projects!$B$18*Assumptions!$B$10,Projects!$B$18*Assumptions!$B$10/Projects!$D$18*0.95),0)+IF(AND(Projects!$G$19="Yes",28&gt;=Projects!$C$19,28&lt;Projects!$C$19+Projects!$D$19),IF(28=Projects!$C$19+Projects!$D$19-1,Projects!$B$19*Assumptions!$B$10/Projects!$D$19*0.95+0.05*Projects!$B$19*Assumptions!$B$10,Projects!$B$19*Assumptions!$B$10/Projects!$D$19*0.95),0)+IF(AND(Projects!$G$20="Yes",28&gt;=Projects!$C$20,28&lt;Projects!$C$20+Projects!$D$20),IF(28=Projects!$C$20+Projects!$D$20-1,Projects!$B$20*Assumptions!$B$10/Projects!$D$20*0.95+0.05*Projects!$B$20*Assumptions!$B$10,Projects!$B$20*Assumptions!$B$10/Projects!$D$20*0.95),0)+IF(AND(Projects!$G$21="Yes",28&gt;=Projects!$C$21,28&lt;Projects!$C$21+Projects!$D$21),IF(28=Projects!$C$21+Projects!$D$21-1,Projects!$B$21*Assumptions!$B$10/Projects!$D$21*0.95+0.05*Projects!$B$21*Assumptions!$B$10,Projects!$B$21*Assumptions!$B$10/Projects!$D$21*0.95),0)+IF(AND(Projects!$G$22="Yes",28&gt;=Projects!$C$22,28&lt;Projects!$C$22+Projects!$D$22),IF(28=Projects!$C$22+Projects!$D$22-1,Projects!$B$22*Assumptions!$B$10/Projects!$D$22*0.95+0.05*Projects!$B$22*Assumptions!$B$10,Projects!$B$22*Assumptions!$B$10/Projects!$D$22*0.95),0)+IF(AND(Projects!$G$23="Yes",28&gt;=Projects!$C$23,28&lt;Projects!$C$23+Projects!$D$23),IF(28=Projects!$C$23+Projects!$D$23-1,Projects!$B$23*Assumptions!$B$10/Projects!$D$23*0.95+0.05*Projects!$B$23*Assumptions!$B$10,Projects!$B$23*Assumptions!$B$10/Projects!$D$23*0.95),0)+IF(AND(Projects!$G$24="Yes",28&gt;=Projects!$C$24,28&lt;Projects!$C$24+Projects!$D$24),IF(28=Projects!$C$24+Projects!$D$24-1,Projects!$B$24*Assumptions!$B$10/Projects!$D$24*0.95+0.05*Projects!$B$24*Assumptions!$B$10,Projects!$B$24*Assumptions!$B$10/Projects!$D$24*0.95),0)+IF(AND(Projects!$G$25="Yes",28&gt;=Projects!$C$25,28&lt;Projects!$C$25+Projects!$D$25),IF(28=Projects!$C$25+Projects!$D$25-1,Projects!$B$25*Assumptions!$B$10/Projects!$D$25*0.95+0.05*Projects!$B$25*Assumptions!$B$10,Projects!$B$25*Assumptions!$B$10/Projects!$D$25*0.95),0)+IF(AND(Projects!$G$26="Yes",28&gt;=Projects!$C$26,28&lt;Projects!$C$26+Projects!$D$26),IF(28=Projects!$C$26+Projects!$D$26-1,Projects!$B$26*Assumptions!$B$10/Projects!$D$26*0.95+0.05*Projects!$B$26*Assumptions!$B$10,Projects!$B$26*Assumptions!$B$10/Projects!$D$26*0.95),0)+IF(AND(Projects!$G$27="Yes",28&gt;=Projects!$C$27,28&lt;Projects!$C$27+Projects!$D$27),IF(28=Projects!$C$27+Projects!$D$27-1,Projects!$B$27*Assumptions!$B$10/Projects!$D$27*0.95+0.05*Projects!$B$27*Assumptions!$B$10,Projects!$B$27*Assumptions!$B$10/Projects!$D$27*0.95),0)+IF(AND(Projects!$G$28="Yes",28&gt;=Projects!$C$28,28&lt;Projects!$C$28+Projects!$D$28),IF(28=Projects!$C$28+Projects!$D$28-1,Projects!$B$28*Assumptions!$B$10/Projects!$D$28*0.95+0.05*Projects!$B$28*Assumptions!$B$10,Projects!$B$28*Assumptions!$B$10/Projects!$D$28*0.95),0)+IF(AND(Projects!$G$29="Yes",28&gt;=Projects!$C$29,28&lt;Projects!$C$29+Projects!$D$29),IF(28=Projects!$C$29+Projects!$D$29-1,Projects!$B$29*Assumptions!$B$10/Projects!$D$29*0.95+0.05*Projects!$B$29*Assumptions!$B$10,Projects!$B$29*Assumptions!$B$10/Projects!$D$29*0.95),0)</f>
        <v/>
      </c>
      <c r="AE98">
        <f>IF(AND(Projects!$G$17="Yes",29&gt;=Projects!$C$17,29&lt;Projects!$C$17+Projects!$D$17),IF(29=Projects!$C$17+Projects!$D$17-1,Projects!$B$17*Assumptions!$B$10/Projects!$D$17*0.95+0.05*Projects!$B$17*Assumptions!$B$10,Projects!$B$17*Assumptions!$B$10/Projects!$D$17*0.95),0)+IF(AND(Projects!$G$18="Yes",29&gt;=Projects!$C$18,29&lt;Projects!$C$18+Projects!$D$18),IF(29=Projects!$C$18+Projects!$D$18-1,Projects!$B$18*Assumptions!$B$10/Projects!$D$18*0.95+0.05*Projects!$B$18*Assumptions!$B$10,Projects!$B$18*Assumptions!$B$10/Projects!$D$18*0.95),0)+IF(AND(Projects!$G$19="Yes",29&gt;=Projects!$C$19,29&lt;Projects!$C$19+Projects!$D$19),IF(29=Projects!$C$19+Projects!$D$19-1,Projects!$B$19*Assumptions!$B$10/Projects!$D$19*0.95+0.05*Projects!$B$19*Assumptions!$B$10,Projects!$B$19*Assumptions!$B$10/Projects!$D$19*0.95),0)+IF(AND(Projects!$G$20="Yes",29&gt;=Projects!$C$20,29&lt;Projects!$C$20+Projects!$D$20),IF(29=Projects!$C$20+Projects!$D$20-1,Projects!$B$20*Assumptions!$B$10/Projects!$D$20*0.95+0.05*Projects!$B$20*Assumptions!$B$10,Projects!$B$20*Assumptions!$B$10/Projects!$D$20*0.95),0)+IF(AND(Projects!$G$21="Yes",29&gt;=Projects!$C$21,29&lt;Projects!$C$21+Projects!$D$21),IF(29=Projects!$C$21+Projects!$D$21-1,Projects!$B$21*Assumptions!$B$10/Projects!$D$21*0.95+0.05*Projects!$B$21*Assumptions!$B$10,Projects!$B$21*Assumptions!$B$10/Projects!$D$21*0.95),0)+IF(AND(Projects!$G$22="Yes",29&gt;=Projects!$C$22,29&lt;Projects!$C$22+Projects!$D$22),IF(29=Projects!$C$22+Projects!$D$22-1,Projects!$B$22*Assumptions!$B$10/Projects!$D$22*0.95+0.05*Projects!$B$22*Assumptions!$B$10,Projects!$B$22*Assumptions!$B$10/Projects!$D$22*0.95),0)+IF(AND(Projects!$G$23="Yes",29&gt;=Projects!$C$23,29&lt;Projects!$C$23+Projects!$D$23),IF(29=Projects!$C$23+Projects!$D$23-1,Projects!$B$23*Assumptions!$B$10/Projects!$D$23*0.95+0.05*Projects!$B$23*Assumptions!$B$10,Projects!$B$23*Assumptions!$B$10/Projects!$D$23*0.95),0)+IF(AND(Projects!$G$24="Yes",29&gt;=Projects!$C$24,29&lt;Projects!$C$24+Projects!$D$24),IF(29=Projects!$C$24+Projects!$D$24-1,Projects!$B$24*Assumptions!$B$10/Projects!$D$24*0.95+0.05*Projects!$B$24*Assumptions!$B$10,Projects!$B$24*Assumptions!$B$10/Projects!$D$24*0.95),0)+IF(AND(Projects!$G$25="Yes",29&gt;=Projects!$C$25,29&lt;Projects!$C$25+Projects!$D$25),IF(29=Projects!$C$25+Projects!$D$25-1,Projects!$B$25*Assumptions!$B$10/Projects!$D$25*0.95+0.05*Projects!$B$25*Assumptions!$B$10,Projects!$B$25*Assumptions!$B$10/Projects!$D$25*0.95),0)+IF(AND(Projects!$G$26="Yes",29&gt;=Projects!$C$26,29&lt;Projects!$C$26+Projects!$D$26),IF(29=Projects!$C$26+Projects!$D$26-1,Projects!$B$26*Assumptions!$B$10/Projects!$D$26*0.95+0.05*Projects!$B$26*Assumptions!$B$10,Projects!$B$26*Assumptions!$B$10/Projects!$D$26*0.95),0)+IF(AND(Projects!$G$27="Yes",29&gt;=Projects!$C$27,29&lt;Projects!$C$27+Projects!$D$27),IF(29=Projects!$C$27+Projects!$D$27-1,Projects!$B$27*Assumptions!$B$10/Projects!$D$27*0.95+0.05*Projects!$B$27*Assumptions!$B$10,Projects!$B$27*Assumptions!$B$10/Projects!$D$27*0.95),0)+IF(AND(Projects!$G$28="Yes",29&gt;=Projects!$C$28,29&lt;Projects!$C$28+Projects!$D$28),IF(29=Projects!$C$28+Projects!$D$28-1,Projects!$B$28*Assumptions!$B$10/Projects!$D$28*0.95+0.05*Projects!$B$28*Assumptions!$B$10,Projects!$B$28*Assumptions!$B$10/Projects!$D$28*0.95),0)+IF(AND(Projects!$G$29="Yes",29&gt;=Projects!$C$29,29&lt;Projects!$C$29+Projects!$D$29),IF(29=Projects!$C$29+Projects!$D$29-1,Projects!$B$29*Assumptions!$B$10/Projects!$D$29*0.95+0.05*Projects!$B$29*Assumptions!$B$10,Projects!$B$29*Assumptions!$B$10/Projects!$D$29*0.95),0)</f>
        <v/>
      </c>
      <c r="AF98">
        <f>IF(AND(Projects!$G$17="Yes",30&gt;=Projects!$C$17,30&lt;Projects!$C$17+Projects!$D$17),IF(30=Projects!$C$17+Projects!$D$17-1,Projects!$B$17*Assumptions!$B$10/Projects!$D$17*0.95+0.05*Projects!$B$17*Assumptions!$B$10,Projects!$B$17*Assumptions!$B$10/Projects!$D$17*0.95),0)+IF(AND(Projects!$G$18="Yes",30&gt;=Projects!$C$18,30&lt;Projects!$C$18+Projects!$D$18),IF(30=Projects!$C$18+Projects!$D$18-1,Projects!$B$18*Assumptions!$B$10/Projects!$D$18*0.95+0.05*Projects!$B$18*Assumptions!$B$10,Projects!$B$18*Assumptions!$B$10/Projects!$D$18*0.95),0)+IF(AND(Projects!$G$19="Yes",30&gt;=Projects!$C$19,30&lt;Projects!$C$19+Projects!$D$19),IF(30=Projects!$C$19+Projects!$D$19-1,Projects!$B$19*Assumptions!$B$10/Projects!$D$19*0.95+0.05*Projects!$B$19*Assumptions!$B$10,Projects!$B$19*Assumptions!$B$10/Projects!$D$19*0.95),0)+IF(AND(Projects!$G$20="Yes",30&gt;=Projects!$C$20,30&lt;Projects!$C$20+Projects!$D$20),IF(30=Projects!$C$20+Projects!$D$20-1,Projects!$B$20*Assumptions!$B$10/Projects!$D$20*0.95+0.05*Projects!$B$20*Assumptions!$B$10,Projects!$B$20*Assumptions!$B$10/Projects!$D$20*0.95),0)+IF(AND(Projects!$G$21="Yes",30&gt;=Projects!$C$21,30&lt;Projects!$C$21+Projects!$D$21),IF(30=Projects!$C$21+Projects!$D$21-1,Projects!$B$21*Assumptions!$B$10/Projects!$D$21*0.95+0.05*Projects!$B$21*Assumptions!$B$10,Projects!$B$21*Assumptions!$B$10/Projects!$D$21*0.95),0)+IF(AND(Projects!$G$22="Yes",30&gt;=Projects!$C$22,30&lt;Projects!$C$22+Projects!$D$22),IF(30=Projects!$C$22+Projects!$D$22-1,Projects!$B$22*Assumptions!$B$10/Projects!$D$22*0.95+0.05*Projects!$B$22*Assumptions!$B$10,Projects!$B$22*Assumptions!$B$10/Projects!$D$22*0.95),0)+IF(AND(Projects!$G$23="Yes",30&gt;=Projects!$C$23,30&lt;Projects!$C$23+Projects!$D$23),IF(30=Projects!$C$23+Projects!$D$23-1,Projects!$B$23*Assumptions!$B$10/Projects!$D$23*0.95+0.05*Projects!$B$23*Assumptions!$B$10,Projects!$B$23*Assumptions!$B$10/Projects!$D$23*0.95),0)+IF(AND(Projects!$G$24="Yes",30&gt;=Projects!$C$24,30&lt;Projects!$C$24+Projects!$D$24),IF(30=Projects!$C$24+Projects!$D$24-1,Projects!$B$24*Assumptions!$B$10/Projects!$D$24*0.95+0.05*Projects!$B$24*Assumptions!$B$10,Projects!$B$24*Assumptions!$B$10/Projects!$D$24*0.95),0)+IF(AND(Projects!$G$25="Yes",30&gt;=Projects!$C$25,30&lt;Projects!$C$25+Projects!$D$25),IF(30=Projects!$C$25+Projects!$D$25-1,Projects!$B$25*Assumptions!$B$10/Projects!$D$25*0.95+0.05*Projects!$B$25*Assumptions!$B$10,Projects!$B$25*Assumptions!$B$10/Projects!$D$25*0.95),0)+IF(AND(Projects!$G$26="Yes",30&gt;=Projects!$C$26,30&lt;Projects!$C$26+Projects!$D$26),IF(30=Projects!$C$26+Projects!$D$26-1,Projects!$B$26*Assumptions!$B$10/Projects!$D$26*0.95+0.05*Projects!$B$26*Assumptions!$B$10,Projects!$B$26*Assumptions!$B$10/Projects!$D$26*0.95),0)+IF(AND(Projects!$G$27="Yes",30&gt;=Projects!$C$27,30&lt;Projects!$C$27+Projects!$D$27),IF(30=Projects!$C$27+Projects!$D$27-1,Projects!$B$27*Assumptions!$B$10/Projects!$D$27*0.95+0.05*Projects!$B$27*Assumptions!$B$10,Projects!$B$27*Assumptions!$B$10/Projects!$D$27*0.95),0)+IF(AND(Projects!$G$28="Yes",30&gt;=Projects!$C$28,30&lt;Projects!$C$28+Projects!$D$28),IF(30=Projects!$C$28+Projects!$D$28-1,Projects!$B$28*Assumptions!$B$10/Projects!$D$28*0.95+0.05*Projects!$B$28*Assumptions!$B$10,Projects!$B$28*Assumptions!$B$10/Projects!$D$28*0.95),0)+IF(AND(Projects!$G$29="Yes",30&gt;=Projects!$C$29,30&lt;Projects!$C$29+Projects!$D$29),IF(30=Projects!$C$29+Projects!$D$29-1,Projects!$B$29*Assumptions!$B$10/Projects!$D$29*0.95+0.05*Projects!$B$29*Assumptions!$B$10,Projects!$B$29*Assumptions!$B$10/Projects!$D$29*0.95),0)</f>
        <v/>
      </c>
      <c r="AG98">
        <f>IF(AND(Projects!$G$17="Yes",31&gt;=Projects!$C$17,31&lt;Projects!$C$17+Projects!$D$17),IF(31=Projects!$C$17+Projects!$D$17-1,Projects!$B$17*Assumptions!$B$10/Projects!$D$17*0.95+0.05*Projects!$B$17*Assumptions!$B$10,Projects!$B$17*Assumptions!$B$10/Projects!$D$17*0.95),0)+IF(AND(Projects!$G$18="Yes",31&gt;=Projects!$C$18,31&lt;Projects!$C$18+Projects!$D$18),IF(31=Projects!$C$18+Projects!$D$18-1,Projects!$B$18*Assumptions!$B$10/Projects!$D$18*0.95+0.05*Projects!$B$18*Assumptions!$B$10,Projects!$B$18*Assumptions!$B$10/Projects!$D$18*0.95),0)+IF(AND(Projects!$G$19="Yes",31&gt;=Projects!$C$19,31&lt;Projects!$C$19+Projects!$D$19),IF(31=Projects!$C$19+Projects!$D$19-1,Projects!$B$19*Assumptions!$B$10/Projects!$D$19*0.95+0.05*Projects!$B$19*Assumptions!$B$10,Projects!$B$19*Assumptions!$B$10/Projects!$D$19*0.95),0)+IF(AND(Projects!$G$20="Yes",31&gt;=Projects!$C$20,31&lt;Projects!$C$20+Projects!$D$20),IF(31=Projects!$C$20+Projects!$D$20-1,Projects!$B$20*Assumptions!$B$10/Projects!$D$20*0.95+0.05*Projects!$B$20*Assumptions!$B$10,Projects!$B$20*Assumptions!$B$10/Projects!$D$20*0.95),0)+IF(AND(Projects!$G$21="Yes",31&gt;=Projects!$C$21,31&lt;Projects!$C$21+Projects!$D$21),IF(31=Projects!$C$21+Projects!$D$21-1,Projects!$B$21*Assumptions!$B$10/Projects!$D$21*0.95+0.05*Projects!$B$21*Assumptions!$B$10,Projects!$B$21*Assumptions!$B$10/Projects!$D$21*0.95),0)+IF(AND(Projects!$G$22="Yes",31&gt;=Projects!$C$22,31&lt;Projects!$C$22+Projects!$D$22),IF(31=Projects!$C$22+Projects!$D$22-1,Projects!$B$22*Assumptions!$B$10/Projects!$D$22*0.95+0.05*Projects!$B$22*Assumptions!$B$10,Projects!$B$22*Assumptions!$B$10/Projects!$D$22*0.95),0)+IF(AND(Projects!$G$23="Yes",31&gt;=Projects!$C$23,31&lt;Projects!$C$23+Projects!$D$23),IF(31=Projects!$C$23+Projects!$D$23-1,Projects!$B$23*Assumptions!$B$10/Projects!$D$23*0.95+0.05*Projects!$B$23*Assumptions!$B$10,Projects!$B$23*Assumptions!$B$10/Projects!$D$23*0.95),0)+IF(AND(Projects!$G$24="Yes",31&gt;=Projects!$C$24,31&lt;Projects!$C$24+Projects!$D$24),IF(31=Projects!$C$24+Projects!$D$24-1,Projects!$B$24*Assumptions!$B$10/Projects!$D$24*0.95+0.05*Projects!$B$24*Assumptions!$B$10,Projects!$B$24*Assumptions!$B$10/Projects!$D$24*0.95),0)+IF(AND(Projects!$G$25="Yes",31&gt;=Projects!$C$25,31&lt;Projects!$C$25+Projects!$D$25),IF(31=Projects!$C$25+Projects!$D$25-1,Projects!$B$25*Assumptions!$B$10/Projects!$D$25*0.95+0.05*Projects!$B$25*Assumptions!$B$10,Projects!$B$25*Assumptions!$B$10/Projects!$D$25*0.95),0)+IF(AND(Projects!$G$26="Yes",31&gt;=Projects!$C$26,31&lt;Projects!$C$26+Projects!$D$26),IF(31=Projects!$C$26+Projects!$D$26-1,Projects!$B$26*Assumptions!$B$10/Projects!$D$26*0.95+0.05*Projects!$B$26*Assumptions!$B$10,Projects!$B$26*Assumptions!$B$10/Projects!$D$26*0.95),0)+IF(AND(Projects!$G$27="Yes",31&gt;=Projects!$C$27,31&lt;Projects!$C$27+Projects!$D$27),IF(31=Projects!$C$27+Projects!$D$27-1,Projects!$B$27*Assumptions!$B$10/Projects!$D$27*0.95+0.05*Projects!$B$27*Assumptions!$B$10,Projects!$B$27*Assumptions!$B$10/Projects!$D$27*0.95),0)+IF(AND(Projects!$G$28="Yes",31&gt;=Projects!$C$28,31&lt;Projects!$C$28+Projects!$D$28),IF(31=Projects!$C$28+Projects!$D$28-1,Projects!$B$28*Assumptions!$B$10/Projects!$D$28*0.95+0.05*Projects!$B$28*Assumptions!$B$10,Projects!$B$28*Assumptions!$B$10/Projects!$D$28*0.95),0)+IF(AND(Projects!$G$29="Yes",31&gt;=Projects!$C$29,31&lt;Projects!$C$29+Projects!$D$29),IF(31=Projects!$C$29+Projects!$D$29-1,Projects!$B$29*Assumptions!$B$10/Projects!$D$29*0.95+0.05*Projects!$B$29*Assumptions!$B$10,Projects!$B$29*Assumptions!$B$10/Projects!$D$29*0.95),0)</f>
        <v/>
      </c>
      <c r="AH98">
        <f>IF(AND(Projects!$G$17="Yes",32&gt;=Projects!$C$17,32&lt;Projects!$C$17+Projects!$D$17),IF(32=Projects!$C$17+Projects!$D$17-1,Projects!$B$17*Assumptions!$B$10/Projects!$D$17*0.95+0.05*Projects!$B$17*Assumptions!$B$10,Projects!$B$17*Assumptions!$B$10/Projects!$D$17*0.95),0)+IF(AND(Projects!$G$18="Yes",32&gt;=Projects!$C$18,32&lt;Projects!$C$18+Projects!$D$18),IF(32=Projects!$C$18+Projects!$D$18-1,Projects!$B$18*Assumptions!$B$10/Projects!$D$18*0.95+0.05*Projects!$B$18*Assumptions!$B$10,Projects!$B$18*Assumptions!$B$10/Projects!$D$18*0.95),0)+IF(AND(Projects!$G$19="Yes",32&gt;=Projects!$C$19,32&lt;Projects!$C$19+Projects!$D$19),IF(32=Projects!$C$19+Projects!$D$19-1,Projects!$B$19*Assumptions!$B$10/Projects!$D$19*0.95+0.05*Projects!$B$19*Assumptions!$B$10,Projects!$B$19*Assumptions!$B$10/Projects!$D$19*0.95),0)+IF(AND(Projects!$G$20="Yes",32&gt;=Projects!$C$20,32&lt;Projects!$C$20+Projects!$D$20),IF(32=Projects!$C$20+Projects!$D$20-1,Projects!$B$20*Assumptions!$B$10/Projects!$D$20*0.95+0.05*Projects!$B$20*Assumptions!$B$10,Projects!$B$20*Assumptions!$B$10/Projects!$D$20*0.95),0)+IF(AND(Projects!$G$21="Yes",32&gt;=Projects!$C$21,32&lt;Projects!$C$21+Projects!$D$21),IF(32=Projects!$C$21+Projects!$D$21-1,Projects!$B$21*Assumptions!$B$10/Projects!$D$21*0.95+0.05*Projects!$B$21*Assumptions!$B$10,Projects!$B$21*Assumptions!$B$10/Projects!$D$21*0.95),0)+IF(AND(Projects!$G$22="Yes",32&gt;=Projects!$C$22,32&lt;Projects!$C$22+Projects!$D$22),IF(32=Projects!$C$22+Projects!$D$22-1,Projects!$B$22*Assumptions!$B$10/Projects!$D$22*0.95+0.05*Projects!$B$22*Assumptions!$B$10,Projects!$B$22*Assumptions!$B$10/Projects!$D$22*0.95),0)+IF(AND(Projects!$G$23="Yes",32&gt;=Projects!$C$23,32&lt;Projects!$C$23+Projects!$D$23),IF(32=Projects!$C$23+Projects!$D$23-1,Projects!$B$23*Assumptions!$B$10/Projects!$D$23*0.95+0.05*Projects!$B$23*Assumptions!$B$10,Projects!$B$23*Assumptions!$B$10/Projects!$D$23*0.95),0)+IF(AND(Projects!$G$24="Yes",32&gt;=Projects!$C$24,32&lt;Projects!$C$24+Projects!$D$24),IF(32=Projects!$C$24+Projects!$D$24-1,Projects!$B$24*Assumptions!$B$10/Projects!$D$24*0.95+0.05*Projects!$B$24*Assumptions!$B$10,Projects!$B$24*Assumptions!$B$10/Projects!$D$24*0.95),0)+IF(AND(Projects!$G$25="Yes",32&gt;=Projects!$C$25,32&lt;Projects!$C$25+Projects!$D$25),IF(32=Projects!$C$25+Projects!$D$25-1,Projects!$B$25*Assumptions!$B$10/Projects!$D$25*0.95+0.05*Projects!$B$25*Assumptions!$B$10,Projects!$B$25*Assumptions!$B$10/Projects!$D$25*0.95),0)+IF(AND(Projects!$G$26="Yes",32&gt;=Projects!$C$26,32&lt;Projects!$C$26+Projects!$D$26),IF(32=Projects!$C$26+Projects!$D$26-1,Projects!$B$26*Assumptions!$B$10/Projects!$D$26*0.95+0.05*Projects!$B$26*Assumptions!$B$10,Projects!$B$26*Assumptions!$B$10/Projects!$D$26*0.95),0)+IF(AND(Projects!$G$27="Yes",32&gt;=Projects!$C$27,32&lt;Projects!$C$27+Projects!$D$27),IF(32=Projects!$C$27+Projects!$D$27-1,Projects!$B$27*Assumptions!$B$10/Projects!$D$27*0.95+0.05*Projects!$B$27*Assumptions!$B$10,Projects!$B$27*Assumptions!$B$10/Projects!$D$27*0.95),0)+IF(AND(Projects!$G$28="Yes",32&gt;=Projects!$C$28,32&lt;Projects!$C$28+Projects!$D$28),IF(32=Projects!$C$28+Projects!$D$28-1,Projects!$B$28*Assumptions!$B$10/Projects!$D$28*0.95+0.05*Projects!$B$28*Assumptions!$B$10,Projects!$B$28*Assumptions!$B$10/Projects!$D$28*0.95),0)+IF(AND(Projects!$G$29="Yes",32&gt;=Projects!$C$29,32&lt;Projects!$C$29+Projects!$D$29),IF(32=Projects!$C$29+Projects!$D$29-1,Projects!$B$29*Assumptions!$B$10/Projects!$D$29*0.95+0.05*Projects!$B$29*Assumptions!$B$10,Projects!$B$29*Assumptions!$B$10/Projects!$D$29*0.95),0)</f>
        <v/>
      </c>
      <c r="AI98">
        <f>IF(AND(Projects!$G$17="Yes",33&gt;=Projects!$C$17,33&lt;Projects!$C$17+Projects!$D$17),IF(33=Projects!$C$17+Projects!$D$17-1,Projects!$B$17*Assumptions!$B$10/Projects!$D$17*0.95+0.05*Projects!$B$17*Assumptions!$B$10,Projects!$B$17*Assumptions!$B$10/Projects!$D$17*0.95),0)+IF(AND(Projects!$G$18="Yes",33&gt;=Projects!$C$18,33&lt;Projects!$C$18+Projects!$D$18),IF(33=Projects!$C$18+Projects!$D$18-1,Projects!$B$18*Assumptions!$B$10/Projects!$D$18*0.95+0.05*Projects!$B$18*Assumptions!$B$10,Projects!$B$18*Assumptions!$B$10/Projects!$D$18*0.95),0)+IF(AND(Projects!$G$19="Yes",33&gt;=Projects!$C$19,33&lt;Projects!$C$19+Projects!$D$19),IF(33=Projects!$C$19+Projects!$D$19-1,Projects!$B$19*Assumptions!$B$10/Projects!$D$19*0.95+0.05*Projects!$B$19*Assumptions!$B$10,Projects!$B$19*Assumptions!$B$10/Projects!$D$19*0.95),0)+IF(AND(Projects!$G$20="Yes",33&gt;=Projects!$C$20,33&lt;Projects!$C$20+Projects!$D$20),IF(33=Projects!$C$20+Projects!$D$20-1,Projects!$B$20*Assumptions!$B$10/Projects!$D$20*0.95+0.05*Projects!$B$20*Assumptions!$B$10,Projects!$B$20*Assumptions!$B$10/Projects!$D$20*0.95),0)+IF(AND(Projects!$G$21="Yes",33&gt;=Projects!$C$21,33&lt;Projects!$C$21+Projects!$D$21),IF(33=Projects!$C$21+Projects!$D$21-1,Projects!$B$21*Assumptions!$B$10/Projects!$D$21*0.95+0.05*Projects!$B$21*Assumptions!$B$10,Projects!$B$21*Assumptions!$B$10/Projects!$D$21*0.95),0)+IF(AND(Projects!$G$22="Yes",33&gt;=Projects!$C$22,33&lt;Projects!$C$22+Projects!$D$22),IF(33=Projects!$C$22+Projects!$D$22-1,Projects!$B$22*Assumptions!$B$10/Projects!$D$22*0.95+0.05*Projects!$B$22*Assumptions!$B$10,Projects!$B$22*Assumptions!$B$10/Projects!$D$22*0.95),0)+IF(AND(Projects!$G$23="Yes",33&gt;=Projects!$C$23,33&lt;Projects!$C$23+Projects!$D$23),IF(33=Projects!$C$23+Projects!$D$23-1,Projects!$B$23*Assumptions!$B$10/Projects!$D$23*0.95+0.05*Projects!$B$23*Assumptions!$B$10,Projects!$B$23*Assumptions!$B$10/Projects!$D$23*0.95),0)+IF(AND(Projects!$G$24="Yes",33&gt;=Projects!$C$24,33&lt;Projects!$C$24+Projects!$D$24),IF(33=Projects!$C$24+Projects!$D$24-1,Projects!$B$24*Assumptions!$B$10/Projects!$D$24*0.95+0.05*Projects!$B$24*Assumptions!$B$10,Projects!$B$24*Assumptions!$B$10/Projects!$D$24*0.95),0)+IF(AND(Projects!$G$25="Yes",33&gt;=Projects!$C$25,33&lt;Projects!$C$25+Projects!$D$25),IF(33=Projects!$C$25+Projects!$D$25-1,Projects!$B$25*Assumptions!$B$10/Projects!$D$25*0.95+0.05*Projects!$B$25*Assumptions!$B$10,Projects!$B$25*Assumptions!$B$10/Projects!$D$25*0.95),0)+IF(AND(Projects!$G$26="Yes",33&gt;=Projects!$C$26,33&lt;Projects!$C$26+Projects!$D$26),IF(33=Projects!$C$26+Projects!$D$26-1,Projects!$B$26*Assumptions!$B$10/Projects!$D$26*0.95+0.05*Projects!$B$26*Assumptions!$B$10,Projects!$B$26*Assumptions!$B$10/Projects!$D$26*0.95),0)+IF(AND(Projects!$G$27="Yes",33&gt;=Projects!$C$27,33&lt;Projects!$C$27+Projects!$D$27),IF(33=Projects!$C$27+Projects!$D$27-1,Projects!$B$27*Assumptions!$B$10/Projects!$D$27*0.95+0.05*Projects!$B$27*Assumptions!$B$10,Projects!$B$27*Assumptions!$B$10/Projects!$D$27*0.95),0)+IF(AND(Projects!$G$28="Yes",33&gt;=Projects!$C$28,33&lt;Projects!$C$28+Projects!$D$28),IF(33=Projects!$C$28+Projects!$D$28-1,Projects!$B$28*Assumptions!$B$10/Projects!$D$28*0.95+0.05*Projects!$B$28*Assumptions!$B$10,Projects!$B$28*Assumptions!$B$10/Projects!$D$28*0.95),0)+IF(AND(Projects!$G$29="Yes",33&gt;=Projects!$C$29,33&lt;Projects!$C$29+Projects!$D$29),IF(33=Projects!$C$29+Projects!$D$29-1,Projects!$B$29*Assumptions!$B$10/Projects!$D$29*0.95+0.05*Projects!$B$29*Assumptions!$B$10,Projects!$B$29*Assumptions!$B$10/Projects!$D$29*0.95),0)</f>
        <v/>
      </c>
      <c r="AJ98">
        <f>IF(AND(Projects!$G$17="Yes",34&gt;=Projects!$C$17,34&lt;Projects!$C$17+Projects!$D$17),IF(34=Projects!$C$17+Projects!$D$17-1,Projects!$B$17*Assumptions!$B$10/Projects!$D$17*0.95+0.05*Projects!$B$17*Assumptions!$B$10,Projects!$B$17*Assumptions!$B$10/Projects!$D$17*0.95),0)+IF(AND(Projects!$G$18="Yes",34&gt;=Projects!$C$18,34&lt;Projects!$C$18+Projects!$D$18),IF(34=Projects!$C$18+Projects!$D$18-1,Projects!$B$18*Assumptions!$B$10/Projects!$D$18*0.95+0.05*Projects!$B$18*Assumptions!$B$10,Projects!$B$18*Assumptions!$B$10/Projects!$D$18*0.95),0)+IF(AND(Projects!$G$19="Yes",34&gt;=Projects!$C$19,34&lt;Projects!$C$19+Projects!$D$19),IF(34=Projects!$C$19+Projects!$D$19-1,Projects!$B$19*Assumptions!$B$10/Projects!$D$19*0.95+0.05*Projects!$B$19*Assumptions!$B$10,Projects!$B$19*Assumptions!$B$10/Projects!$D$19*0.95),0)+IF(AND(Projects!$G$20="Yes",34&gt;=Projects!$C$20,34&lt;Projects!$C$20+Projects!$D$20),IF(34=Projects!$C$20+Projects!$D$20-1,Projects!$B$20*Assumptions!$B$10/Projects!$D$20*0.95+0.05*Projects!$B$20*Assumptions!$B$10,Projects!$B$20*Assumptions!$B$10/Projects!$D$20*0.95),0)+IF(AND(Projects!$G$21="Yes",34&gt;=Projects!$C$21,34&lt;Projects!$C$21+Projects!$D$21),IF(34=Projects!$C$21+Projects!$D$21-1,Projects!$B$21*Assumptions!$B$10/Projects!$D$21*0.95+0.05*Projects!$B$21*Assumptions!$B$10,Projects!$B$21*Assumptions!$B$10/Projects!$D$21*0.95),0)+IF(AND(Projects!$G$22="Yes",34&gt;=Projects!$C$22,34&lt;Projects!$C$22+Projects!$D$22),IF(34=Projects!$C$22+Projects!$D$22-1,Projects!$B$22*Assumptions!$B$10/Projects!$D$22*0.95+0.05*Projects!$B$22*Assumptions!$B$10,Projects!$B$22*Assumptions!$B$10/Projects!$D$22*0.95),0)+IF(AND(Projects!$G$23="Yes",34&gt;=Projects!$C$23,34&lt;Projects!$C$23+Projects!$D$23),IF(34=Projects!$C$23+Projects!$D$23-1,Projects!$B$23*Assumptions!$B$10/Projects!$D$23*0.95+0.05*Projects!$B$23*Assumptions!$B$10,Projects!$B$23*Assumptions!$B$10/Projects!$D$23*0.95),0)+IF(AND(Projects!$G$24="Yes",34&gt;=Projects!$C$24,34&lt;Projects!$C$24+Projects!$D$24),IF(34=Projects!$C$24+Projects!$D$24-1,Projects!$B$24*Assumptions!$B$10/Projects!$D$24*0.95+0.05*Projects!$B$24*Assumptions!$B$10,Projects!$B$24*Assumptions!$B$10/Projects!$D$24*0.95),0)+IF(AND(Projects!$G$25="Yes",34&gt;=Projects!$C$25,34&lt;Projects!$C$25+Projects!$D$25),IF(34=Projects!$C$25+Projects!$D$25-1,Projects!$B$25*Assumptions!$B$10/Projects!$D$25*0.95+0.05*Projects!$B$25*Assumptions!$B$10,Projects!$B$25*Assumptions!$B$10/Projects!$D$25*0.95),0)+IF(AND(Projects!$G$26="Yes",34&gt;=Projects!$C$26,34&lt;Projects!$C$26+Projects!$D$26),IF(34=Projects!$C$26+Projects!$D$26-1,Projects!$B$26*Assumptions!$B$10/Projects!$D$26*0.95+0.05*Projects!$B$26*Assumptions!$B$10,Projects!$B$26*Assumptions!$B$10/Projects!$D$26*0.95),0)+IF(AND(Projects!$G$27="Yes",34&gt;=Projects!$C$27,34&lt;Projects!$C$27+Projects!$D$27),IF(34=Projects!$C$27+Projects!$D$27-1,Projects!$B$27*Assumptions!$B$10/Projects!$D$27*0.95+0.05*Projects!$B$27*Assumptions!$B$10,Projects!$B$27*Assumptions!$B$10/Projects!$D$27*0.95),0)+IF(AND(Projects!$G$28="Yes",34&gt;=Projects!$C$28,34&lt;Projects!$C$28+Projects!$D$28),IF(34=Projects!$C$28+Projects!$D$28-1,Projects!$B$28*Assumptions!$B$10/Projects!$D$28*0.95+0.05*Projects!$B$28*Assumptions!$B$10,Projects!$B$28*Assumptions!$B$10/Projects!$D$28*0.95),0)+IF(AND(Projects!$G$29="Yes",34&gt;=Projects!$C$29,34&lt;Projects!$C$29+Projects!$D$29),IF(34=Projects!$C$29+Projects!$D$29-1,Projects!$B$29*Assumptions!$B$10/Projects!$D$29*0.95+0.05*Projects!$B$29*Assumptions!$B$10,Projects!$B$29*Assumptions!$B$10/Projects!$D$29*0.95),0)</f>
        <v/>
      </c>
      <c r="AK98">
        <f>IF(AND(Projects!$G$17="Yes",35&gt;=Projects!$C$17,35&lt;Projects!$C$17+Projects!$D$17),IF(35=Projects!$C$17+Projects!$D$17-1,Projects!$B$17*Assumptions!$B$10/Projects!$D$17*0.95+0.05*Projects!$B$17*Assumptions!$B$10,Projects!$B$17*Assumptions!$B$10/Projects!$D$17*0.95),0)+IF(AND(Projects!$G$18="Yes",35&gt;=Projects!$C$18,35&lt;Projects!$C$18+Projects!$D$18),IF(35=Projects!$C$18+Projects!$D$18-1,Projects!$B$18*Assumptions!$B$10/Projects!$D$18*0.95+0.05*Projects!$B$18*Assumptions!$B$10,Projects!$B$18*Assumptions!$B$10/Projects!$D$18*0.95),0)+IF(AND(Projects!$G$19="Yes",35&gt;=Projects!$C$19,35&lt;Projects!$C$19+Projects!$D$19),IF(35=Projects!$C$19+Projects!$D$19-1,Projects!$B$19*Assumptions!$B$10/Projects!$D$19*0.95+0.05*Projects!$B$19*Assumptions!$B$10,Projects!$B$19*Assumptions!$B$10/Projects!$D$19*0.95),0)+IF(AND(Projects!$G$20="Yes",35&gt;=Projects!$C$20,35&lt;Projects!$C$20+Projects!$D$20),IF(35=Projects!$C$20+Projects!$D$20-1,Projects!$B$20*Assumptions!$B$10/Projects!$D$20*0.95+0.05*Projects!$B$20*Assumptions!$B$10,Projects!$B$20*Assumptions!$B$10/Projects!$D$20*0.95),0)+IF(AND(Projects!$G$21="Yes",35&gt;=Projects!$C$21,35&lt;Projects!$C$21+Projects!$D$21),IF(35=Projects!$C$21+Projects!$D$21-1,Projects!$B$21*Assumptions!$B$10/Projects!$D$21*0.95+0.05*Projects!$B$21*Assumptions!$B$10,Projects!$B$21*Assumptions!$B$10/Projects!$D$21*0.95),0)+IF(AND(Projects!$G$22="Yes",35&gt;=Projects!$C$22,35&lt;Projects!$C$22+Projects!$D$22),IF(35=Projects!$C$22+Projects!$D$22-1,Projects!$B$22*Assumptions!$B$10/Projects!$D$22*0.95+0.05*Projects!$B$22*Assumptions!$B$10,Projects!$B$22*Assumptions!$B$10/Projects!$D$22*0.95),0)+IF(AND(Projects!$G$23="Yes",35&gt;=Projects!$C$23,35&lt;Projects!$C$23+Projects!$D$23),IF(35=Projects!$C$23+Projects!$D$23-1,Projects!$B$23*Assumptions!$B$10/Projects!$D$23*0.95+0.05*Projects!$B$23*Assumptions!$B$10,Projects!$B$23*Assumptions!$B$10/Projects!$D$23*0.95),0)+IF(AND(Projects!$G$24="Yes",35&gt;=Projects!$C$24,35&lt;Projects!$C$24+Projects!$D$24),IF(35=Projects!$C$24+Projects!$D$24-1,Projects!$B$24*Assumptions!$B$10/Projects!$D$24*0.95+0.05*Projects!$B$24*Assumptions!$B$10,Projects!$B$24*Assumptions!$B$10/Projects!$D$24*0.95),0)+IF(AND(Projects!$G$25="Yes",35&gt;=Projects!$C$25,35&lt;Projects!$C$25+Projects!$D$25),IF(35=Projects!$C$25+Projects!$D$25-1,Projects!$B$25*Assumptions!$B$10/Projects!$D$25*0.95+0.05*Projects!$B$25*Assumptions!$B$10,Projects!$B$25*Assumptions!$B$10/Projects!$D$25*0.95),0)+IF(AND(Projects!$G$26="Yes",35&gt;=Projects!$C$26,35&lt;Projects!$C$26+Projects!$D$26),IF(35=Projects!$C$26+Projects!$D$26-1,Projects!$B$26*Assumptions!$B$10/Projects!$D$26*0.95+0.05*Projects!$B$26*Assumptions!$B$10,Projects!$B$26*Assumptions!$B$10/Projects!$D$26*0.95),0)+IF(AND(Projects!$G$27="Yes",35&gt;=Projects!$C$27,35&lt;Projects!$C$27+Projects!$D$27),IF(35=Projects!$C$27+Projects!$D$27-1,Projects!$B$27*Assumptions!$B$10/Projects!$D$27*0.95+0.05*Projects!$B$27*Assumptions!$B$10,Projects!$B$27*Assumptions!$B$10/Projects!$D$27*0.95),0)+IF(AND(Projects!$G$28="Yes",35&gt;=Projects!$C$28,35&lt;Projects!$C$28+Projects!$D$28),IF(35=Projects!$C$28+Projects!$D$28-1,Projects!$B$28*Assumptions!$B$10/Projects!$D$28*0.95+0.05*Projects!$B$28*Assumptions!$B$10,Projects!$B$28*Assumptions!$B$10/Projects!$D$28*0.95),0)+IF(AND(Projects!$G$29="Yes",35&gt;=Projects!$C$29,35&lt;Projects!$C$29+Projects!$D$29),IF(35=Projects!$C$29+Projects!$D$29-1,Projects!$B$29*Assumptions!$B$10/Projects!$D$29*0.95+0.05*Projects!$B$29*Assumptions!$B$10,Projects!$B$29*Assumptions!$B$10/Projects!$D$29*0.95),0)</f>
        <v/>
      </c>
      <c r="AL98">
        <f>IF(AND(Projects!$G$17="Yes",36&gt;=Projects!$C$17,36&lt;Projects!$C$17+Projects!$D$17),IF(36=Projects!$C$17+Projects!$D$17-1,Projects!$B$17*Assumptions!$B$10/Projects!$D$17*0.95+0.05*Projects!$B$17*Assumptions!$B$10,Projects!$B$17*Assumptions!$B$10/Projects!$D$17*0.95),0)+IF(AND(Projects!$G$18="Yes",36&gt;=Projects!$C$18,36&lt;Projects!$C$18+Projects!$D$18),IF(36=Projects!$C$18+Projects!$D$18-1,Projects!$B$18*Assumptions!$B$10/Projects!$D$18*0.95+0.05*Projects!$B$18*Assumptions!$B$10,Projects!$B$18*Assumptions!$B$10/Projects!$D$18*0.95),0)+IF(AND(Projects!$G$19="Yes",36&gt;=Projects!$C$19,36&lt;Projects!$C$19+Projects!$D$19),IF(36=Projects!$C$19+Projects!$D$19-1,Projects!$B$19*Assumptions!$B$10/Projects!$D$19*0.95+0.05*Projects!$B$19*Assumptions!$B$10,Projects!$B$19*Assumptions!$B$10/Projects!$D$19*0.95),0)+IF(AND(Projects!$G$20="Yes",36&gt;=Projects!$C$20,36&lt;Projects!$C$20+Projects!$D$20),IF(36=Projects!$C$20+Projects!$D$20-1,Projects!$B$20*Assumptions!$B$10/Projects!$D$20*0.95+0.05*Projects!$B$20*Assumptions!$B$10,Projects!$B$20*Assumptions!$B$10/Projects!$D$20*0.95),0)+IF(AND(Projects!$G$21="Yes",36&gt;=Projects!$C$21,36&lt;Projects!$C$21+Projects!$D$21),IF(36=Projects!$C$21+Projects!$D$21-1,Projects!$B$21*Assumptions!$B$10/Projects!$D$21*0.95+0.05*Projects!$B$21*Assumptions!$B$10,Projects!$B$21*Assumptions!$B$10/Projects!$D$21*0.95),0)+IF(AND(Projects!$G$22="Yes",36&gt;=Projects!$C$22,36&lt;Projects!$C$22+Projects!$D$22),IF(36=Projects!$C$22+Projects!$D$22-1,Projects!$B$22*Assumptions!$B$10/Projects!$D$22*0.95+0.05*Projects!$B$22*Assumptions!$B$10,Projects!$B$22*Assumptions!$B$10/Projects!$D$22*0.95),0)+IF(AND(Projects!$G$23="Yes",36&gt;=Projects!$C$23,36&lt;Projects!$C$23+Projects!$D$23),IF(36=Projects!$C$23+Projects!$D$23-1,Projects!$B$23*Assumptions!$B$10/Projects!$D$23*0.95+0.05*Projects!$B$23*Assumptions!$B$10,Projects!$B$23*Assumptions!$B$10/Projects!$D$23*0.95),0)+IF(AND(Projects!$G$24="Yes",36&gt;=Projects!$C$24,36&lt;Projects!$C$24+Projects!$D$24),IF(36=Projects!$C$24+Projects!$D$24-1,Projects!$B$24*Assumptions!$B$10/Projects!$D$24*0.95+0.05*Projects!$B$24*Assumptions!$B$10,Projects!$B$24*Assumptions!$B$10/Projects!$D$24*0.95),0)+IF(AND(Projects!$G$25="Yes",36&gt;=Projects!$C$25,36&lt;Projects!$C$25+Projects!$D$25),IF(36=Projects!$C$25+Projects!$D$25-1,Projects!$B$25*Assumptions!$B$10/Projects!$D$25*0.95+0.05*Projects!$B$25*Assumptions!$B$10,Projects!$B$25*Assumptions!$B$10/Projects!$D$25*0.95),0)+IF(AND(Projects!$G$26="Yes",36&gt;=Projects!$C$26,36&lt;Projects!$C$26+Projects!$D$26),IF(36=Projects!$C$26+Projects!$D$26-1,Projects!$B$26*Assumptions!$B$10/Projects!$D$26*0.95+0.05*Projects!$B$26*Assumptions!$B$10,Projects!$B$26*Assumptions!$B$10/Projects!$D$26*0.95),0)+IF(AND(Projects!$G$27="Yes",36&gt;=Projects!$C$27,36&lt;Projects!$C$27+Projects!$D$27),IF(36=Projects!$C$27+Projects!$D$27-1,Projects!$B$27*Assumptions!$B$10/Projects!$D$27*0.95+0.05*Projects!$B$27*Assumptions!$B$10,Projects!$B$27*Assumptions!$B$10/Projects!$D$27*0.95),0)+IF(AND(Projects!$G$28="Yes",36&gt;=Projects!$C$28,36&lt;Projects!$C$28+Projects!$D$28),IF(36=Projects!$C$28+Projects!$D$28-1,Projects!$B$28*Assumptions!$B$10/Projects!$D$28*0.95+0.05*Projects!$B$28*Assumptions!$B$10,Projects!$B$28*Assumptions!$B$10/Projects!$D$28*0.95),0)+IF(AND(Projects!$G$29="Yes",36&gt;=Projects!$C$29,36&lt;Projects!$C$29+Projects!$D$29),IF(36=Projects!$C$29+Projects!$D$29-1,Projects!$B$29*Assumptions!$B$10/Projects!$D$29*0.95+0.05*Projects!$B$29*Assumptions!$B$10,Projects!$B$29*Assumptions!$B$10/Projects!$D$29*0.95),0)</f>
        <v/>
      </c>
      <c r="AM98">
        <f>IF(AND(Projects!$G$17="Yes",37&gt;=Projects!$C$17,37&lt;Projects!$C$17+Projects!$D$17),IF(37=Projects!$C$17+Projects!$D$17-1,Projects!$B$17*Assumptions!$B$10/Projects!$D$17*0.95+0.05*Projects!$B$17*Assumptions!$B$10,Projects!$B$17*Assumptions!$B$10/Projects!$D$17*0.95),0)+IF(AND(Projects!$G$18="Yes",37&gt;=Projects!$C$18,37&lt;Projects!$C$18+Projects!$D$18),IF(37=Projects!$C$18+Projects!$D$18-1,Projects!$B$18*Assumptions!$B$10/Projects!$D$18*0.95+0.05*Projects!$B$18*Assumptions!$B$10,Projects!$B$18*Assumptions!$B$10/Projects!$D$18*0.95),0)+IF(AND(Projects!$G$19="Yes",37&gt;=Projects!$C$19,37&lt;Projects!$C$19+Projects!$D$19),IF(37=Projects!$C$19+Projects!$D$19-1,Projects!$B$19*Assumptions!$B$10/Projects!$D$19*0.95+0.05*Projects!$B$19*Assumptions!$B$10,Projects!$B$19*Assumptions!$B$10/Projects!$D$19*0.95),0)+IF(AND(Projects!$G$20="Yes",37&gt;=Projects!$C$20,37&lt;Projects!$C$20+Projects!$D$20),IF(37=Projects!$C$20+Projects!$D$20-1,Projects!$B$20*Assumptions!$B$10/Projects!$D$20*0.95+0.05*Projects!$B$20*Assumptions!$B$10,Projects!$B$20*Assumptions!$B$10/Projects!$D$20*0.95),0)+IF(AND(Projects!$G$21="Yes",37&gt;=Projects!$C$21,37&lt;Projects!$C$21+Projects!$D$21),IF(37=Projects!$C$21+Projects!$D$21-1,Projects!$B$21*Assumptions!$B$10/Projects!$D$21*0.95+0.05*Projects!$B$21*Assumptions!$B$10,Projects!$B$21*Assumptions!$B$10/Projects!$D$21*0.95),0)+IF(AND(Projects!$G$22="Yes",37&gt;=Projects!$C$22,37&lt;Projects!$C$22+Projects!$D$22),IF(37=Projects!$C$22+Projects!$D$22-1,Projects!$B$22*Assumptions!$B$10/Projects!$D$22*0.95+0.05*Projects!$B$22*Assumptions!$B$10,Projects!$B$22*Assumptions!$B$10/Projects!$D$22*0.95),0)+IF(AND(Projects!$G$23="Yes",37&gt;=Projects!$C$23,37&lt;Projects!$C$23+Projects!$D$23),IF(37=Projects!$C$23+Projects!$D$23-1,Projects!$B$23*Assumptions!$B$10/Projects!$D$23*0.95+0.05*Projects!$B$23*Assumptions!$B$10,Projects!$B$23*Assumptions!$B$10/Projects!$D$23*0.95),0)+IF(AND(Projects!$G$24="Yes",37&gt;=Projects!$C$24,37&lt;Projects!$C$24+Projects!$D$24),IF(37=Projects!$C$24+Projects!$D$24-1,Projects!$B$24*Assumptions!$B$10/Projects!$D$24*0.95+0.05*Projects!$B$24*Assumptions!$B$10,Projects!$B$24*Assumptions!$B$10/Projects!$D$24*0.95),0)+IF(AND(Projects!$G$25="Yes",37&gt;=Projects!$C$25,37&lt;Projects!$C$25+Projects!$D$25),IF(37=Projects!$C$25+Projects!$D$25-1,Projects!$B$25*Assumptions!$B$10/Projects!$D$25*0.95+0.05*Projects!$B$25*Assumptions!$B$10,Projects!$B$25*Assumptions!$B$10/Projects!$D$25*0.95),0)+IF(AND(Projects!$G$26="Yes",37&gt;=Projects!$C$26,37&lt;Projects!$C$26+Projects!$D$26),IF(37=Projects!$C$26+Projects!$D$26-1,Projects!$B$26*Assumptions!$B$10/Projects!$D$26*0.95+0.05*Projects!$B$26*Assumptions!$B$10,Projects!$B$26*Assumptions!$B$10/Projects!$D$26*0.95),0)+IF(AND(Projects!$G$27="Yes",37&gt;=Projects!$C$27,37&lt;Projects!$C$27+Projects!$D$27),IF(37=Projects!$C$27+Projects!$D$27-1,Projects!$B$27*Assumptions!$B$10/Projects!$D$27*0.95+0.05*Projects!$B$27*Assumptions!$B$10,Projects!$B$27*Assumptions!$B$10/Projects!$D$27*0.95),0)+IF(AND(Projects!$G$28="Yes",37&gt;=Projects!$C$28,37&lt;Projects!$C$28+Projects!$D$28),IF(37=Projects!$C$28+Projects!$D$28-1,Projects!$B$28*Assumptions!$B$10/Projects!$D$28*0.95+0.05*Projects!$B$28*Assumptions!$B$10,Projects!$B$28*Assumptions!$B$10/Projects!$D$28*0.95),0)+IF(AND(Projects!$G$29="Yes",37&gt;=Projects!$C$29,37&lt;Projects!$C$29+Projects!$D$29),IF(37=Projects!$C$29+Projects!$D$29-1,Projects!$B$29*Assumptions!$B$10/Projects!$D$29*0.95+0.05*Projects!$B$29*Assumptions!$B$10,Projects!$B$29*Assumptions!$B$10/Projects!$D$29*0.95),0)</f>
        <v/>
      </c>
      <c r="AN98">
        <f>IF(AND(Projects!$G$17="Yes",38&gt;=Projects!$C$17,38&lt;Projects!$C$17+Projects!$D$17),IF(38=Projects!$C$17+Projects!$D$17-1,Projects!$B$17*Assumptions!$B$10/Projects!$D$17*0.95+0.05*Projects!$B$17*Assumptions!$B$10,Projects!$B$17*Assumptions!$B$10/Projects!$D$17*0.95),0)+IF(AND(Projects!$G$18="Yes",38&gt;=Projects!$C$18,38&lt;Projects!$C$18+Projects!$D$18),IF(38=Projects!$C$18+Projects!$D$18-1,Projects!$B$18*Assumptions!$B$10/Projects!$D$18*0.95+0.05*Projects!$B$18*Assumptions!$B$10,Projects!$B$18*Assumptions!$B$10/Projects!$D$18*0.95),0)+IF(AND(Projects!$G$19="Yes",38&gt;=Projects!$C$19,38&lt;Projects!$C$19+Projects!$D$19),IF(38=Projects!$C$19+Projects!$D$19-1,Projects!$B$19*Assumptions!$B$10/Projects!$D$19*0.95+0.05*Projects!$B$19*Assumptions!$B$10,Projects!$B$19*Assumptions!$B$10/Projects!$D$19*0.95),0)+IF(AND(Projects!$G$20="Yes",38&gt;=Projects!$C$20,38&lt;Projects!$C$20+Projects!$D$20),IF(38=Projects!$C$20+Projects!$D$20-1,Projects!$B$20*Assumptions!$B$10/Projects!$D$20*0.95+0.05*Projects!$B$20*Assumptions!$B$10,Projects!$B$20*Assumptions!$B$10/Projects!$D$20*0.95),0)+IF(AND(Projects!$G$21="Yes",38&gt;=Projects!$C$21,38&lt;Projects!$C$21+Projects!$D$21),IF(38=Projects!$C$21+Projects!$D$21-1,Projects!$B$21*Assumptions!$B$10/Projects!$D$21*0.95+0.05*Projects!$B$21*Assumptions!$B$10,Projects!$B$21*Assumptions!$B$10/Projects!$D$21*0.95),0)+IF(AND(Projects!$G$22="Yes",38&gt;=Projects!$C$22,38&lt;Projects!$C$22+Projects!$D$22),IF(38=Projects!$C$22+Projects!$D$22-1,Projects!$B$22*Assumptions!$B$10/Projects!$D$22*0.95+0.05*Projects!$B$22*Assumptions!$B$10,Projects!$B$22*Assumptions!$B$10/Projects!$D$22*0.95),0)+IF(AND(Projects!$G$23="Yes",38&gt;=Projects!$C$23,38&lt;Projects!$C$23+Projects!$D$23),IF(38=Projects!$C$23+Projects!$D$23-1,Projects!$B$23*Assumptions!$B$10/Projects!$D$23*0.95+0.05*Projects!$B$23*Assumptions!$B$10,Projects!$B$23*Assumptions!$B$10/Projects!$D$23*0.95),0)+IF(AND(Projects!$G$24="Yes",38&gt;=Projects!$C$24,38&lt;Projects!$C$24+Projects!$D$24),IF(38=Projects!$C$24+Projects!$D$24-1,Projects!$B$24*Assumptions!$B$10/Projects!$D$24*0.95+0.05*Projects!$B$24*Assumptions!$B$10,Projects!$B$24*Assumptions!$B$10/Projects!$D$24*0.95),0)+IF(AND(Projects!$G$25="Yes",38&gt;=Projects!$C$25,38&lt;Projects!$C$25+Projects!$D$25),IF(38=Projects!$C$25+Projects!$D$25-1,Projects!$B$25*Assumptions!$B$10/Projects!$D$25*0.95+0.05*Projects!$B$25*Assumptions!$B$10,Projects!$B$25*Assumptions!$B$10/Projects!$D$25*0.95),0)+IF(AND(Projects!$G$26="Yes",38&gt;=Projects!$C$26,38&lt;Projects!$C$26+Projects!$D$26),IF(38=Projects!$C$26+Projects!$D$26-1,Projects!$B$26*Assumptions!$B$10/Projects!$D$26*0.95+0.05*Projects!$B$26*Assumptions!$B$10,Projects!$B$26*Assumptions!$B$10/Projects!$D$26*0.95),0)+IF(AND(Projects!$G$27="Yes",38&gt;=Projects!$C$27,38&lt;Projects!$C$27+Projects!$D$27),IF(38=Projects!$C$27+Projects!$D$27-1,Projects!$B$27*Assumptions!$B$10/Projects!$D$27*0.95+0.05*Projects!$B$27*Assumptions!$B$10,Projects!$B$27*Assumptions!$B$10/Projects!$D$27*0.95),0)+IF(AND(Projects!$G$28="Yes",38&gt;=Projects!$C$28,38&lt;Projects!$C$28+Projects!$D$28),IF(38=Projects!$C$28+Projects!$D$28-1,Projects!$B$28*Assumptions!$B$10/Projects!$D$28*0.95+0.05*Projects!$B$28*Assumptions!$B$10,Projects!$B$28*Assumptions!$B$10/Projects!$D$28*0.95),0)+IF(AND(Projects!$G$29="Yes",38&gt;=Projects!$C$29,38&lt;Projects!$C$29+Projects!$D$29),IF(38=Projects!$C$29+Projects!$D$29-1,Projects!$B$29*Assumptions!$B$10/Projects!$D$29*0.95+0.05*Projects!$B$29*Assumptions!$B$10,Projects!$B$29*Assumptions!$B$10/Projects!$D$29*0.95),0)</f>
        <v/>
      </c>
      <c r="AO98">
        <f>IF(AND(Projects!$G$17="Yes",39&gt;=Projects!$C$17,39&lt;Projects!$C$17+Projects!$D$17),IF(39=Projects!$C$17+Projects!$D$17-1,Projects!$B$17*Assumptions!$B$10/Projects!$D$17*0.95+0.05*Projects!$B$17*Assumptions!$B$10,Projects!$B$17*Assumptions!$B$10/Projects!$D$17*0.95),0)+IF(AND(Projects!$G$18="Yes",39&gt;=Projects!$C$18,39&lt;Projects!$C$18+Projects!$D$18),IF(39=Projects!$C$18+Projects!$D$18-1,Projects!$B$18*Assumptions!$B$10/Projects!$D$18*0.95+0.05*Projects!$B$18*Assumptions!$B$10,Projects!$B$18*Assumptions!$B$10/Projects!$D$18*0.95),0)+IF(AND(Projects!$G$19="Yes",39&gt;=Projects!$C$19,39&lt;Projects!$C$19+Projects!$D$19),IF(39=Projects!$C$19+Projects!$D$19-1,Projects!$B$19*Assumptions!$B$10/Projects!$D$19*0.95+0.05*Projects!$B$19*Assumptions!$B$10,Projects!$B$19*Assumptions!$B$10/Projects!$D$19*0.95),0)+IF(AND(Projects!$G$20="Yes",39&gt;=Projects!$C$20,39&lt;Projects!$C$20+Projects!$D$20),IF(39=Projects!$C$20+Projects!$D$20-1,Projects!$B$20*Assumptions!$B$10/Projects!$D$20*0.95+0.05*Projects!$B$20*Assumptions!$B$10,Projects!$B$20*Assumptions!$B$10/Projects!$D$20*0.95),0)+IF(AND(Projects!$G$21="Yes",39&gt;=Projects!$C$21,39&lt;Projects!$C$21+Projects!$D$21),IF(39=Projects!$C$21+Projects!$D$21-1,Projects!$B$21*Assumptions!$B$10/Projects!$D$21*0.95+0.05*Projects!$B$21*Assumptions!$B$10,Projects!$B$21*Assumptions!$B$10/Projects!$D$21*0.95),0)+IF(AND(Projects!$G$22="Yes",39&gt;=Projects!$C$22,39&lt;Projects!$C$22+Projects!$D$22),IF(39=Projects!$C$22+Projects!$D$22-1,Projects!$B$22*Assumptions!$B$10/Projects!$D$22*0.95+0.05*Projects!$B$22*Assumptions!$B$10,Projects!$B$22*Assumptions!$B$10/Projects!$D$22*0.95),0)+IF(AND(Projects!$G$23="Yes",39&gt;=Projects!$C$23,39&lt;Projects!$C$23+Projects!$D$23),IF(39=Projects!$C$23+Projects!$D$23-1,Projects!$B$23*Assumptions!$B$10/Projects!$D$23*0.95+0.05*Projects!$B$23*Assumptions!$B$10,Projects!$B$23*Assumptions!$B$10/Projects!$D$23*0.95),0)+IF(AND(Projects!$G$24="Yes",39&gt;=Projects!$C$24,39&lt;Projects!$C$24+Projects!$D$24),IF(39=Projects!$C$24+Projects!$D$24-1,Projects!$B$24*Assumptions!$B$10/Projects!$D$24*0.95+0.05*Projects!$B$24*Assumptions!$B$10,Projects!$B$24*Assumptions!$B$10/Projects!$D$24*0.95),0)+IF(AND(Projects!$G$25="Yes",39&gt;=Projects!$C$25,39&lt;Projects!$C$25+Projects!$D$25),IF(39=Projects!$C$25+Projects!$D$25-1,Projects!$B$25*Assumptions!$B$10/Projects!$D$25*0.95+0.05*Projects!$B$25*Assumptions!$B$10,Projects!$B$25*Assumptions!$B$10/Projects!$D$25*0.95),0)+IF(AND(Projects!$G$26="Yes",39&gt;=Projects!$C$26,39&lt;Projects!$C$26+Projects!$D$26),IF(39=Projects!$C$26+Projects!$D$26-1,Projects!$B$26*Assumptions!$B$10/Projects!$D$26*0.95+0.05*Projects!$B$26*Assumptions!$B$10,Projects!$B$26*Assumptions!$B$10/Projects!$D$26*0.95),0)+IF(AND(Projects!$G$27="Yes",39&gt;=Projects!$C$27,39&lt;Projects!$C$27+Projects!$D$27),IF(39=Projects!$C$27+Projects!$D$27-1,Projects!$B$27*Assumptions!$B$10/Projects!$D$27*0.95+0.05*Projects!$B$27*Assumptions!$B$10,Projects!$B$27*Assumptions!$B$10/Projects!$D$27*0.95),0)+IF(AND(Projects!$G$28="Yes",39&gt;=Projects!$C$28,39&lt;Projects!$C$28+Projects!$D$28),IF(39=Projects!$C$28+Projects!$D$28-1,Projects!$B$28*Assumptions!$B$10/Projects!$D$28*0.95+0.05*Projects!$B$28*Assumptions!$B$10,Projects!$B$28*Assumptions!$B$10/Projects!$D$28*0.95),0)+IF(AND(Projects!$G$29="Yes",39&gt;=Projects!$C$29,39&lt;Projects!$C$29+Projects!$D$29),IF(39=Projects!$C$29+Projects!$D$29-1,Projects!$B$29*Assumptions!$B$10/Projects!$D$29*0.95+0.05*Projects!$B$29*Assumptions!$B$10,Projects!$B$29*Assumptions!$B$10/Projects!$D$29*0.95),0)</f>
        <v/>
      </c>
      <c r="AP98">
        <f>IF(AND(Projects!$G$17="Yes",40&gt;=Projects!$C$17,40&lt;Projects!$C$17+Projects!$D$17),IF(40=Projects!$C$17+Projects!$D$17-1,Projects!$B$17*Assumptions!$B$10/Projects!$D$17*0.95+0.05*Projects!$B$17*Assumptions!$B$10,Projects!$B$17*Assumptions!$B$10/Projects!$D$17*0.95),0)+IF(AND(Projects!$G$18="Yes",40&gt;=Projects!$C$18,40&lt;Projects!$C$18+Projects!$D$18),IF(40=Projects!$C$18+Projects!$D$18-1,Projects!$B$18*Assumptions!$B$10/Projects!$D$18*0.95+0.05*Projects!$B$18*Assumptions!$B$10,Projects!$B$18*Assumptions!$B$10/Projects!$D$18*0.95),0)+IF(AND(Projects!$G$19="Yes",40&gt;=Projects!$C$19,40&lt;Projects!$C$19+Projects!$D$19),IF(40=Projects!$C$19+Projects!$D$19-1,Projects!$B$19*Assumptions!$B$10/Projects!$D$19*0.95+0.05*Projects!$B$19*Assumptions!$B$10,Projects!$B$19*Assumptions!$B$10/Projects!$D$19*0.95),0)+IF(AND(Projects!$G$20="Yes",40&gt;=Projects!$C$20,40&lt;Projects!$C$20+Projects!$D$20),IF(40=Projects!$C$20+Projects!$D$20-1,Projects!$B$20*Assumptions!$B$10/Projects!$D$20*0.95+0.05*Projects!$B$20*Assumptions!$B$10,Projects!$B$20*Assumptions!$B$10/Projects!$D$20*0.95),0)+IF(AND(Projects!$G$21="Yes",40&gt;=Projects!$C$21,40&lt;Projects!$C$21+Projects!$D$21),IF(40=Projects!$C$21+Projects!$D$21-1,Projects!$B$21*Assumptions!$B$10/Projects!$D$21*0.95+0.05*Projects!$B$21*Assumptions!$B$10,Projects!$B$21*Assumptions!$B$10/Projects!$D$21*0.95),0)+IF(AND(Projects!$G$22="Yes",40&gt;=Projects!$C$22,40&lt;Projects!$C$22+Projects!$D$22),IF(40=Projects!$C$22+Projects!$D$22-1,Projects!$B$22*Assumptions!$B$10/Projects!$D$22*0.95+0.05*Projects!$B$22*Assumptions!$B$10,Projects!$B$22*Assumptions!$B$10/Projects!$D$22*0.95),0)+IF(AND(Projects!$G$23="Yes",40&gt;=Projects!$C$23,40&lt;Projects!$C$23+Projects!$D$23),IF(40=Projects!$C$23+Projects!$D$23-1,Projects!$B$23*Assumptions!$B$10/Projects!$D$23*0.95+0.05*Projects!$B$23*Assumptions!$B$10,Projects!$B$23*Assumptions!$B$10/Projects!$D$23*0.95),0)+IF(AND(Projects!$G$24="Yes",40&gt;=Projects!$C$24,40&lt;Projects!$C$24+Projects!$D$24),IF(40=Projects!$C$24+Projects!$D$24-1,Projects!$B$24*Assumptions!$B$10/Projects!$D$24*0.95+0.05*Projects!$B$24*Assumptions!$B$10,Projects!$B$24*Assumptions!$B$10/Projects!$D$24*0.95),0)+IF(AND(Projects!$G$25="Yes",40&gt;=Projects!$C$25,40&lt;Projects!$C$25+Projects!$D$25),IF(40=Projects!$C$25+Projects!$D$25-1,Projects!$B$25*Assumptions!$B$10/Projects!$D$25*0.95+0.05*Projects!$B$25*Assumptions!$B$10,Projects!$B$25*Assumptions!$B$10/Projects!$D$25*0.95),0)+IF(AND(Projects!$G$26="Yes",40&gt;=Projects!$C$26,40&lt;Projects!$C$26+Projects!$D$26),IF(40=Projects!$C$26+Projects!$D$26-1,Projects!$B$26*Assumptions!$B$10/Projects!$D$26*0.95+0.05*Projects!$B$26*Assumptions!$B$10,Projects!$B$26*Assumptions!$B$10/Projects!$D$26*0.95),0)+IF(AND(Projects!$G$27="Yes",40&gt;=Projects!$C$27,40&lt;Projects!$C$27+Projects!$D$27),IF(40=Projects!$C$27+Projects!$D$27-1,Projects!$B$27*Assumptions!$B$10/Projects!$D$27*0.95+0.05*Projects!$B$27*Assumptions!$B$10,Projects!$B$27*Assumptions!$B$10/Projects!$D$27*0.95),0)+IF(AND(Projects!$G$28="Yes",40&gt;=Projects!$C$28,40&lt;Projects!$C$28+Projects!$D$28),IF(40=Projects!$C$28+Projects!$D$28-1,Projects!$B$28*Assumptions!$B$10/Projects!$D$28*0.95+0.05*Projects!$B$28*Assumptions!$B$10,Projects!$B$28*Assumptions!$B$10/Projects!$D$28*0.95),0)+IF(AND(Projects!$G$29="Yes",40&gt;=Projects!$C$29,40&lt;Projects!$C$29+Projects!$D$29),IF(40=Projects!$C$29+Projects!$D$29-1,Projects!$B$29*Assumptions!$B$10/Projects!$D$29*0.95+0.05*Projects!$B$29*Assumptions!$B$10,Projects!$B$29*Assumptions!$B$10/Projects!$D$29*0.95),0)</f>
        <v/>
      </c>
      <c r="AQ98">
        <f>IF(AND(Projects!$G$17="Yes",41&gt;=Projects!$C$17,41&lt;Projects!$C$17+Projects!$D$17),IF(41=Projects!$C$17+Projects!$D$17-1,Projects!$B$17*Assumptions!$B$10/Projects!$D$17*0.95+0.05*Projects!$B$17*Assumptions!$B$10,Projects!$B$17*Assumptions!$B$10/Projects!$D$17*0.95),0)+IF(AND(Projects!$G$18="Yes",41&gt;=Projects!$C$18,41&lt;Projects!$C$18+Projects!$D$18),IF(41=Projects!$C$18+Projects!$D$18-1,Projects!$B$18*Assumptions!$B$10/Projects!$D$18*0.95+0.05*Projects!$B$18*Assumptions!$B$10,Projects!$B$18*Assumptions!$B$10/Projects!$D$18*0.95),0)+IF(AND(Projects!$G$19="Yes",41&gt;=Projects!$C$19,41&lt;Projects!$C$19+Projects!$D$19),IF(41=Projects!$C$19+Projects!$D$19-1,Projects!$B$19*Assumptions!$B$10/Projects!$D$19*0.95+0.05*Projects!$B$19*Assumptions!$B$10,Projects!$B$19*Assumptions!$B$10/Projects!$D$19*0.95),0)+IF(AND(Projects!$G$20="Yes",41&gt;=Projects!$C$20,41&lt;Projects!$C$20+Projects!$D$20),IF(41=Projects!$C$20+Projects!$D$20-1,Projects!$B$20*Assumptions!$B$10/Projects!$D$20*0.95+0.05*Projects!$B$20*Assumptions!$B$10,Projects!$B$20*Assumptions!$B$10/Projects!$D$20*0.95),0)+IF(AND(Projects!$G$21="Yes",41&gt;=Projects!$C$21,41&lt;Projects!$C$21+Projects!$D$21),IF(41=Projects!$C$21+Projects!$D$21-1,Projects!$B$21*Assumptions!$B$10/Projects!$D$21*0.95+0.05*Projects!$B$21*Assumptions!$B$10,Projects!$B$21*Assumptions!$B$10/Projects!$D$21*0.95),0)+IF(AND(Projects!$G$22="Yes",41&gt;=Projects!$C$22,41&lt;Projects!$C$22+Projects!$D$22),IF(41=Projects!$C$22+Projects!$D$22-1,Projects!$B$22*Assumptions!$B$10/Projects!$D$22*0.95+0.05*Projects!$B$22*Assumptions!$B$10,Projects!$B$22*Assumptions!$B$10/Projects!$D$22*0.95),0)+IF(AND(Projects!$G$23="Yes",41&gt;=Projects!$C$23,41&lt;Projects!$C$23+Projects!$D$23),IF(41=Projects!$C$23+Projects!$D$23-1,Projects!$B$23*Assumptions!$B$10/Projects!$D$23*0.95+0.05*Projects!$B$23*Assumptions!$B$10,Projects!$B$23*Assumptions!$B$10/Projects!$D$23*0.95),0)+IF(AND(Projects!$G$24="Yes",41&gt;=Projects!$C$24,41&lt;Projects!$C$24+Projects!$D$24),IF(41=Projects!$C$24+Projects!$D$24-1,Projects!$B$24*Assumptions!$B$10/Projects!$D$24*0.95+0.05*Projects!$B$24*Assumptions!$B$10,Projects!$B$24*Assumptions!$B$10/Projects!$D$24*0.95),0)+IF(AND(Projects!$G$25="Yes",41&gt;=Projects!$C$25,41&lt;Projects!$C$25+Projects!$D$25),IF(41=Projects!$C$25+Projects!$D$25-1,Projects!$B$25*Assumptions!$B$10/Projects!$D$25*0.95+0.05*Projects!$B$25*Assumptions!$B$10,Projects!$B$25*Assumptions!$B$10/Projects!$D$25*0.95),0)+IF(AND(Projects!$G$26="Yes",41&gt;=Projects!$C$26,41&lt;Projects!$C$26+Projects!$D$26),IF(41=Projects!$C$26+Projects!$D$26-1,Projects!$B$26*Assumptions!$B$10/Projects!$D$26*0.95+0.05*Projects!$B$26*Assumptions!$B$10,Projects!$B$26*Assumptions!$B$10/Projects!$D$26*0.95),0)+IF(AND(Projects!$G$27="Yes",41&gt;=Projects!$C$27,41&lt;Projects!$C$27+Projects!$D$27),IF(41=Projects!$C$27+Projects!$D$27-1,Projects!$B$27*Assumptions!$B$10/Projects!$D$27*0.95+0.05*Projects!$B$27*Assumptions!$B$10,Projects!$B$27*Assumptions!$B$10/Projects!$D$27*0.95),0)+IF(AND(Projects!$G$28="Yes",41&gt;=Projects!$C$28,41&lt;Projects!$C$28+Projects!$D$28),IF(41=Projects!$C$28+Projects!$D$28-1,Projects!$B$28*Assumptions!$B$10/Projects!$D$28*0.95+0.05*Projects!$B$28*Assumptions!$B$10,Projects!$B$28*Assumptions!$B$10/Projects!$D$28*0.95),0)+IF(AND(Projects!$G$29="Yes",41&gt;=Projects!$C$29,41&lt;Projects!$C$29+Projects!$D$29),IF(41=Projects!$C$29+Projects!$D$29-1,Projects!$B$29*Assumptions!$B$10/Projects!$D$29*0.95+0.05*Projects!$B$29*Assumptions!$B$10,Projects!$B$29*Assumptions!$B$10/Projects!$D$29*0.95),0)</f>
        <v/>
      </c>
      <c r="AR98">
        <f>IF(AND(Projects!$G$17="Yes",42&gt;=Projects!$C$17,42&lt;Projects!$C$17+Projects!$D$17),IF(42=Projects!$C$17+Projects!$D$17-1,Projects!$B$17*Assumptions!$B$10/Projects!$D$17*0.95+0.05*Projects!$B$17*Assumptions!$B$10,Projects!$B$17*Assumptions!$B$10/Projects!$D$17*0.95),0)+IF(AND(Projects!$G$18="Yes",42&gt;=Projects!$C$18,42&lt;Projects!$C$18+Projects!$D$18),IF(42=Projects!$C$18+Projects!$D$18-1,Projects!$B$18*Assumptions!$B$10/Projects!$D$18*0.95+0.05*Projects!$B$18*Assumptions!$B$10,Projects!$B$18*Assumptions!$B$10/Projects!$D$18*0.95),0)+IF(AND(Projects!$G$19="Yes",42&gt;=Projects!$C$19,42&lt;Projects!$C$19+Projects!$D$19),IF(42=Projects!$C$19+Projects!$D$19-1,Projects!$B$19*Assumptions!$B$10/Projects!$D$19*0.95+0.05*Projects!$B$19*Assumptions!$B$10,Projects!$B$19*Assumptions!$B$10/Projects!$D$19*0.95),0)+IF(AND(Projects!$G$20="Yes",42&gt;=Projects!$C$20,42&lt;Projects!$C$20+Projects!$D$20),IF(42=Projects!$C$20+Projects!$D$20-1,Projects!$B$20*Assumptions!$B$10/Projects!$D$20*0.95+0.05*Projects!$B$20*Assumptions!$B$10,Projects!$B$20*Assumptions!$B$10/Projects!$D$20*0.95),0)+IF(AND(Projects!$G$21="Yes",42&gt;=Projects!$C$21,42&lt;Projects!$C$21+Projects!$D$21),IF(42=Projects!$C$21+Projects!$D$21-1,Projects!$B$21*Assumptions!$B$10/Projects!$D$21*0.95+0.05*Projects!$B$21*Assumptions!$B$10,Projects!$B$21*Assumptions!$B$10/Projects!$D$21*0.95),0)+IF(AND(Projects!$G$22="Yes",42&gt;=Projects!$C$22,42&lt;Projects!$C$22+Projects!$D$22),IF(42=Projects!$C$22+Projects!$D$22-1,Projects!$B$22*Assumptions!$B$10/Projects!$D$22*0.95+0.05*Projects!$B$22*Assumptions!$B$10,Projects!$B$22*Assumptions!$B$10/Projects!$D$22*0.95),0)+IF(AND(Projects!$G$23="Yes",42&gt;=Projects!$C$23,42&lt;Projects!$C$23+Projects!$D$23),IF(42=Projects!$C$23+Projects!$D$23-1,Projects!$B$23*Assumptions!$B$10/Projects!$D$23*0.95+0.05*Projects!$B$23*Assumptions!$B$10,Projects!$B$23*Assumptions!$B$10/Projects!$D$23*0.95),0)+IF(AND(Projects!$G$24="Yes",42&gt;=Projects!$C$24,42&lt;Projects!$C$24+Projects!$D$24),IF(42=Projects!$C$24+Projects!$D$24-1,Projects!$B$24*Assumptions!$B$10/Projects!$D$24*0.95+0.05*Projects!$B$24*Assumptions!$B$10,Projects!$B$24*Assumptions!$B$10/Projects!$D$24*0.95),0)+IF(AND(Projects!$G$25="Yes",42&gt;=Projects!$C$25,42&lt;Projects!$C$25+Projects!$D$25),IF(42=Projects!$C$25+Projects!$D$25-1,Projects!$B$25*Assumptions!$B$10/Projects!$D$25*0.95+0.05*Projects!$B$25*Assumptions!$B$10,Projects!$B$25*Assumptions!$B$10/Projects!$D$25*0.95),0)+IF(AND(Projects!$G$26="Yes",42&gt;=Projects!$C$26,42&lt;Projects!$C$26+Projects!$D$26),IF(42=Projects!$C$26+Projects!$D$26-1,Projects!$B$26*Assumptions!$B$10/Projects!$D$26*0.95+0.05*Projects!$B$26*Assumptions!$B$10,Projects!$B$26*Assumptions!$B$10/Projects!$D$26*0.95),0)+IF(AND(Projects!$G$27="Yes",42&gt;=Projects!$C$27,42&lt;Projects!$C$27+Projects!$D$27),IF(42=Projects!$C$27+Projects!$D$27-1,Projects!$B$27*Assumptions!$B$10/Projects!$D$27*0.95+0.05*Projects!$B$27*Assumptions!$B$10,Projects!$B$27*Assumptions!$B$10/Projects!$D$27*0.95),0)+IF(AND(Projects!$G$28="Yes",42&gt;=Projects!$C$28,42&lt;Projects!$C$28+Projects!$D$28),IF(42=Projects!$C$28+Projects!$D$28-1,Projects!$B$28*Assumptions!$B$10/Projects!$D$28*0.95+0.05*Projects!$B$28*Assumptions!$B$10,Projects!$B$28*Assumptions!$B$10/Projects!$D$28*0.95),0)+IF(AND(Projects!$G$29="Yes",42&gt;=Projects!$C$29,42&lt;Projects!$C$29+Projects!$D$29),IF(42=Projects!$C$29+Projects!$D$29-1,Projects!$B$29*Assumptions!$B$10/Projects!$D$29*0.95+0.05*Projects!$B$29*Assumptions!$B$10,Projects!$B$29*Assumptions!$B$10/Projects!$D$29*0.95),0)</f>
        <v/>
      </c>
      <c r="AS98">
        <f>IF(AND(Projects!$G$17="Yes",43&gt;=Projects!$C$17,43&lt;Projects!$C$17+Projects!$D$17),IF(43=Projects!$C$17+Projects!$D$17-1,Projects!$B$17*Assumptions!$B$10/Projects!$D$17*0.95+0.05*Projects!$B$17*Assumptions!$B$10,Projects!$B$17*Assumptions!$B$10/Projects!$D$17*0.95),0)+IF(AND(Projects!$G$18="Yes",43&gt;=Projects!$C$18,43&lt;Projects!$C$18+Projects!$D$18),IF(43=Projects!$C$18+Projects!$D$18-1,Projects!$B$18*Assumptions!$B$10/Projects!$D$18*0.95+0.05*Projects!$B$18*Assumptions!$B$10,Projects!$B$18*Assumptions!$B$10/Projects!$D$18*0.95),0)+IF(AND(Projects!$G$19="Yes",43&gt;=Projects!$C$19,43&lt;Projects!$C$19+Projects!$D$19),IF(43=Projects!$C$19+Projects!$D$19-1,Projects!$B$19*Assumptions!$B$10/Projects!$D$19*0.95+0.05*Projects!$B$19*Assumptions!$B$10,Projects!$B$19*Assumptions!$B$10/Projects!$D$19*0.95),0)+IF(AND(Projects!$G$20="Yes",43&gt;=Projects!$C$20,43&lt;Projects!$C$20+Projects!$D$20),IF(43=Projects!$C$20+Projects!$D$20-1,Projects!$B$20*Assumptions!$B$10/Projects!$D$20*0.95+0.05*Projects!$B$20*Assumptions!$B$10,Projects!$B$20*Assumptions!$B$10/Projects!$D$20*0.95),0)+IF(AND(Projects!$G$21="Yes",43&gt;=Projects!$C$21,43&lt;Projects!$C$21+Projects!$D$21),IF(43=Projects!$C$21+Projects!$D$21-1,Projects!$B$21*Assumptions!$B$10/Projects!$D$21*0.95+0.05*Projects!$B$21*Assumptions!$B$10,Projects!$B$21*Assumptions!$B$10/Projects!$D$21*0.95),0)+IF(AND(Projects!$G$22="Yes",43&gt;=Projects!$C$22,43&lt;Projects!$C$22+Projects!$D$22),IF(43=Projects!$C$22+Projects!$D$22-1,Projects!$B$22*Assumptions!$B$10/Projects!$D$22*0.95+0.05*Projects!$B$22*Assumptions!$B$10,Projects!$B$22*Assumptions!$B$10/Projects!$D$22*0.95),0)+IF(AND(Projects!$G$23="Yes",43&gt;=Projects!$C$23,43&lt;Projects!$C$23+Projects!$D$23),IF(43=Projects!$C$23+Projects!$D$23-1,Projects!$B$23*Assumptions!$B$10/Projects!$D$23*0.95+0.05*Projects!$B$23*Assumptions!$B$10,Projects!$B$23*Assumptions!$B$10/Projects!$D$23*0.95),0)+IF(AND(Projects!$G$24="Yes",43&gt;=Projects!$C$24,43&lt;Projects!$C$24+Projects!$D$24),IF(43=Projects!$C$24+Projects!$D$24-1,Projects!$B$24*Assumptions!$B$10/Projects!$D$24*0.95+0.05*Projects!$B$24*Assumptions!$B$10,Projects!$B$24*Assumptions!$B$10/Projects!$D$24*0.95),0)+IF(AND(Projects!$G$25="Yes",43&gt;=Projects!$C$25,43&lt;Projects!$C$25+Projects!$D$25),IF(43=Projects!$C$25+Projects!$D$25-1,Projects!$B$25*Assumptions!$B$10/Projects!$D$25*0.95+0.05*Projects!$B$25*Assumptions!$B$10,Projects!$B$25*Assumptions!$B$10/Projects!$D$25*0.95),0)+IF(AND(Projects!$G$26="Yes",43&gt;=Projects!$C$26,43&lt;Projects!$C$26+Projects!$D$26),IF(43=Projects!$C$26+Projects!$D$26-1,Projects!$B$26*Assumptions!$B$10/Projects!$D$26*0.95+0.05*Projects!$B$26*Assumptions!$B$10,Projects!$B$26*Assumptions!$B$10/Projects!$D$26*0.95),0)+IF(AND(Projects!$G$27="Yes",43&gt;=Projects!$C$27,43&lt;Projects!$C$27+Projects!$D$27),IF(43=Projects!$C$27+Projects!$D$27-1,Projects!$B$27*Assumptions!$B$10/Projects!$D$27*0.95+0.05*Projects!$B$27*Assumptions!$B$10,Projects!$B$27*Assumptions!$B$10/Projects!$D$27*0.95),0)+IF(AND(Projects!$G$28="Yes",43&gt;=Projects!$C$28,43&lt;Projects!$C$28+Projects!$D$28),IF(43=Projects!$C$28+Projects!$D$28-1,Projects!$B$28*Assumptions!$B$10/Projects!$D$28*0.95+0.05*Projects!$B$28*Assumptions!$B$10,Projects!$B$28*Assumptions!$B$10/Projects!$D$28*0.95),0)+IF(AND(Projects!$G$29="Yes",43&gt;=Projects!$C$29,43&lt;Projects!$C$29+Projects!$D$29),IF(43=Projects!$C$29+Projects!$D$29-1,Projects!$B$29*Assumptions!$B$10/Projects!$D$29*0.95+0.05*Projects!$B$29*Assumptions!$B$10,Projects!$B$29*Assumptions!$B$10/Projects!$D$29*0.95),0)</f>
        <v/>
      </c>
      <c r="AT98">
        <f>IF(AND(Projects!$G$17="Yes",44&gt;=Projects!$C$17,44&lt;Projects!$C$17+Projects!$D$17),IF(44=Projects!$C$17+Projects!$D$17-1,Projects!$B$17*Assumptions!$B$10/Projects!$D$17*0.95+0.05*Projects!$B$17*Assumptions!$B$10,Projects!$B$17*Assumptions!$B$10/Projects!$D$17*0.95),0)+IF(AND(Projects!$G$18="Yes",44&gt;=Projects!$C$18,44&lt;Projects!$C$18+Projects!$D$18),IF(44=Projects!$C$18+Projects!$D$18-1,Projects!$B$18*Assumptions!$B$10/Projects!$D$18*0.95+0.05*Projects!$B$18*Assumptions!$B$10,Projects!$B$18*Assumptions!$B$10/Projects!$D$18*0.95),0)+IF(AND(Projects!$G$19="Yes",44&gt;=Projects!$C$19,44&lt;Projects!$C$19+Projects!$D$19),IF(44=Projects!$C$19+Projects!$D$19-1,Projects!$B$19*Assumptions!$B$10/Projects!$D$19*0.95+0.05*Projects!$B$19*Assumptions!$B$10,Projects!$B$19*Assumptions!$B$10/Projects!$D$19*0.95),0)+IF(AND(Projects!$G$20="Yes",44&gt;=Projects!$C$20,44&lt;Projects!$C$20+Projects!$D$20),IF(44=Projects!$C$20+Projects!$D$20-1,Projects!$B$20*Assumptions!$B$10/Projects!$D$20*0.95+0.05*Projects!$B$20*Assumptions!$B$10,Projects!$B$20*Assumptions!$B$10/Projects!$D$20*0.95),0)+IF(AND(Projects!$G$21="Yes",44&gt;=Projects!$C$21,44&lt;Projects!$C$21+Projects!$D$21),IF(44=Projects!$C$21+Projects!$D$21-1,Projects!$B$21*Assumptions!$B$10/Projects!$D$21*0.95+0.05*Projects!$B$21*Assumptions!$B$10,Projects!$B$21*Assumptions!$B$10/Projects!$D$21*0.95),0)+IF(AND(Projects!$G$22="Yes",44&gt;=Projects!$C$22,44&lt;Projects!$C$22+Projects!$D$22),IF(44=Projects!$C$22+Projects!$D$22-1,Projects!$B$22*Assumptions!$B$10/Projects!$D$22*0.95+0.05*Projects!$B$22*Assumptions!$B$10,Projects!$B$22*Assumptions!$B$10/Projects!$D$22*0.95),0)+IF(AND(Projects!$G$23="Yes",44&gt;=Projects!$C$23,44&lt;Projects!$C$23+Projects!$D$23),IF(44=Projects!$C$23+Projects!$D$23-1,Projects!$B$23*Assumptions!$B$10/Projects!$D$23*0.95+0.05*Projects!$B$23*Assumptions!$B$10,Projects!$B$23*Assumptions!$B$10/Projects!$D$23*0.95),0)+IF(AND(Projects!$G$24="Yes",44&gt;=Projects!$C$24,44&lt;Projects!$C$24+Projects!$D$24),IF(44=Projects!$C$24+Projects!$D$24-1,Projects!$B$24*Assumptions!$B$10/Projects!$D$24*0.95+0.05*Projects!$B$24*Assumptions!$B$10,Projects!$B$24*Assumptions!$B$10/Projects!$D$24*0.95),0)+IF(AND(Projects!$G$25="Yes",44&gt;=Projects!$C$25,44&lt;Projects!$C$25+Projects!$D$25),IF(44=Projects!$C$25+Projects!$D$25-1,Projects!$B$25*Assumptions!$B$10/Projects!$D$25*0.95+0.05*Projects!$B$25*Assumptions!$B$10,Projects!$B$25*Assumptions!$B$10/Projects!$D$25*0.95),0)+IF(AND(Projects!$G$26="Yes",44&gt;=Projects!$C$26,44&lt;Projects!$C$26+Projects!$D$26),IF(44=Projects!$C$26+Projects!$D$26-1,Projects!$B$26*Assumptions!$B$10/Projects!$D$26*0.95+0.05*Projects!$B$26*Assumptions!$B$10,Projects!$B$26*Assumptions!$B$10/Projects!$D$26*0.95),0)+IF(AND(Projects!$G$27="Yes",44&gt;=Projects!$C$27,44&lt;Projects!$C$27+Projects!$D$27),IF(44=Projects!$C$27+Projects!$D$27-1,Projects!$B$27*Assumptions!$B$10/Projects!$D$27*0.95+0.05*Projects!$B$27*Assumptions!$B$10,Projects!$B$27*Assumptions!$B$10/Projects!$D$27*0.95),0)+IF(AND(Projects!$G$28="Yes",44&gt;=Projects!$C$28,44&lt;Projects!$C$28+Projects!$D$28),IF(44=Projects!$C$28+Projects!$D$28-1,Projects!$B$28*Assumptions!$B$10/Projects!$D$28*0.95+0.05*Projects!$B$28*Assumptions!$B$10,Projects!$B$28*Assumptions!$B$10/Projects!$D$28*0.95),0)+IF(AND(Projects!$G$29="Yes",44&gt;=Projects!$C$29,44&lt;Projects!$C$29+Projects!$D$29),IF(44=Projects!$C$29+Projects!$D$29-1,Projects!$B$29*Assumptions!$B$10/Projects!$D$29*0.95+0.05*Projects!$B$29*Assumptions!$B$10,Projects!$B$29*Assumptions!$B$10/Projects!$D$29*0.95),0)</f>
        <v/>
      </c>
      <c r="AU98">
        <f>IF(AND(Projects!$G$17="Yes",45&gt;=Projects!$C$17,45&lt;Projects!$C$17+Projects!$D$17),IF(45=Projects!$C$17+Projects!$D$17-1,Projects!$B$17*Assumptions!$B$10/Projects!$D$17*0.95+0.05*Projects!$B$17*Assumptions!$B$10,Projects!$B$17*Assumptions!$B$10/Projects!$D$17*0.95),0)+IF(AND(Projects!$G$18="Yes",45&gt;=Projects!$C$18,45&lt;Projects!$C$18+Projects!$D$18),IF(45=Projects!$C$18+Projects!$D$18-1,Projects!$B$18*Assumptions!$B$10/Projects!$D$18*0.95+0.05*Projects!$B$18*Assumptions!$B$10,Projects!$B$18*Assumptions!$B$10/Projects!$D$18*0.95),0)+IF(AND(Projects!$G$19="Yes",45&gt;=Projects!$C$19,45&lt;Projects!$C$19+Projects!$D$19),IF(45=Projects!$C$19+Projects!$D$19-1,Projects!$B$19*Assumptions!$B$10/Projects!$D$19*0.95+0.05*Projects!$B$19*Assumptions!$B$10,Projects!$B$19*Assumptions!$B$10/Projects!$D$19*0.95),0)+IF(AND(Projects!$G$20="Yes",45&gt;=Projects!$C$20,45&lt;Projects!$C$20+Projects!$D$20),IF(45=Projects!$C$20+Projects!$D$20-1,Projects!$B$20*Assumptions!$B$10/Projects!$D$20*0.95+0.05*Projects!$B$20*Assumptions!$B$10,Projects!$B$20*Assumptions!$B$10/Projects!$D$20*0.95),0)+IF(AND(Projects!$G$21="Yes",45&gt;=Projects!$C$21,45&lt;Projects!$C$21+Projects!$D$21),IF(45=Projects!$C$21+Projects!$D$21-1,Projects!$B$21*Assumptions!$B$10/Projects!$D$21*0.95+0.05*Projects!$B$21*Assumptions!$B$10,Projects!$B$21*Assumptions!$B$10/Projects!$D$21*0.95),0)+IF(AND(Projects!$G$22="Yes",45&gt;=Projects!$C$22,45&lt;Projects!$C$22+Projects!$D$22),IF(45=Projects!$C$22+Projects!$D$22-1,Projects!$B$22*Assumptions!$B$10/Projects!$D$22*0.95+0.05*Projects!$B$22*Assumptions!$B$10,Projects!$B$22*Assumptions!$B$10/Projects!$D$22*0.95),0)+IF(AND(Projects!$G$23="Yes",45&gt;=Projects!$C$23,45&lt;Projects!$C$23+Projects!$D$23),IF(45=Projects!$C$23+Projects!$D$23-1,Projects!$B$23*Assumptions!$B$10/Projects!$D$23*0.95+0.05*Projects!$B$23*Assumptions!$B$10,Projects!$B$23*Assumptions!$B$10/Projects!$D$23*0.95),0)+IF(AND(Projects!$G$24="Yes",45&gt;=Projects!$C$24,45&lt;Projects!$C$24+Projects!$D$24),IF(45=Projects!$C$24+Projects!$D$24-1,Projects!$B$24*Assumptions!$B$10/Projects!$D$24*0.95+0.05*Projects!$B$24*Assumptions!$B$10,Projects!$B$24*Assumptions!$B$10/Projects!$D$24*0.95),0)+IF(AND(Projects!$G$25="Yes",45&gt;=Projects!$C$25,45&lt;Projects!$C$25+Projects!$D$25),IF(45=Projects!$C$25+Projects!$D$25-1,Projects!$B$25*Assumptions!$B$10/Projects!$D$25*0.95+0.05*Projects!$B$25*Assumptions!$B$10,Projects!$B$25*Assumptions!$B$10/Projects!$D$25*0.95),0)+IF(AND(Projects!$G$26="Yes",45&gt;=Projects!$C$26,45&lt;Projects!$C$26+Projects!$D$26),IF(45=Projects!$C$26+Projects!$D$26-1,Projects!$B$26*Assumptions!$B$10/Projects!$D$26*0.95+0.05*Projects!$B$26*Assumptions!$B$10,Projects!$B$26*Assumptions!$B$10/Projects!$D$26*0.95),0)+IF(AND(Projects!$G$27="Yes",45&gt;=Projects!$C$27,45&lt;Projects!$C$27+Projects!$D$27),IF(45=Projects!$C$27+Projects!$D$27-1,Projects!$B$27*Assumptions!$B$10/Projects!$D$27*0.95+0.05*Projects!$B$27*Assumptions!$B$10,Projects!$B$27*Assumptions!$B$10/Projects!$D$27*0.95),0)+IF(AND(Projects!$G$28="Yes",45&gt;=Projects!$C$28,45&lt;Projects!$C$28+Projects!$D$28),IF(45=Projects!$C$28+Projects!$D$28-1,Projects!$B$28*Assumptions!$B$10/Projects!$D$28*0.95+0.05*Projects!$B$28*Assumptions!$B$10,Projects!$B$28*Assumptions!$B$10/Projects!$D$28*0.95),0)+IF(AND(Projects!$G$29="Yes",45&gt;=Projects!$C$29,45&lt;Projects!$C$29+Projects!$D$29),IF(45=Projects!$C$29+Projects!$D$29-1,Projects!$B$29*Assumptions!$B$10/Projects!$D$29*0.95+0.05*Projects!$B$29*Assumptions!$B$10,Projects!$B$29*Assumptions!$B$10/Projects!$D$29*0.95),0)</f>
        <v/>
      </c>
      <c r="AV98">
        <f>IF(AND(Projects!$G$17="Yes",46&gt;=Projects!$C$17,46&lt;Projects!$C$17+Projects!$D$17),IF(46=Projects!$C$17+Projects!$D$17-1,Projects!$B$17*Assumptions!$B$10/Projects!$D$17*0.95+0.05*Projects!$B$17*Assumptions!$B$10,Projects!$B$17*Assumptions!$B$10/Projects!$D$17*0.95),0)+IF(AND(Projects!$G$18="Yes",46&gt;=Projects!$C$18,46&lt;Projects!$C$18+Projects!$D$18),IF(46=Projects!$C$18+Projects!$D$18-1,Projects!$B$18*Assumptions!$B$10/Projects!$D$18*0.95+0.05*Projects!$B$18*Assumptions!$B$10,Projects!$B$18*Assumptions!$B$10/Projects!$D$18*0.95),0)+IF(AND(Projects!$G$19="Yes",46&gt;=Projects!$C$19,46&lt;Projects!$C$19+Projects!$D$19),IF(46=Projects!$C$19+Projects!$D$19-1,Projects!$B$19*Assumptions!$B$10/Projects!$D$19*0.95+0.05*Projects!$B$19*Assumptions!$B$10,Projects!$B$19*Assumptions!$B$10/Projects!$D$19*0.95),0)+IF(AND(Projects!$G$20="Yes",46&gt;=Projects!$C$20,46&lt;Projects!$C$20+Projects!$D$20),IF(46=Projects!$C$20+Projects!$D$20-1,Projects!$B$20*Assumptions!$B$10/Projects!$D$20*0.95+0.05*Projects!$B$20*Assumptions!$B$10,Projects!$B$20*Assumptions!$B$10/Projects!$D$20*0.95),0)+IF(AND(Projects!$G$21="Yes",46&gt;=Projects!$C$21,46&lt;Projects!$C$21+Projects!$D$21),IF(46=Projects!$C$21+Projects!$D$21-1,Projects!$B$21*Assumptions!$B$10/Projects!$D$21*0.95+0.05*Projects!$B$21*Assumptions!$B$10,Projects!$B$21*Assumptions!$B$10/Projects!$D$21*0.95),0)+IF(AND(Projects!$G$22="Yes",46&gt;=Projects!$C$22,46&lt;Projects!$C$22+Projects!$D$22),IF(46=Projects!$C$22+Projects!$D$22-1,Projects!$B$22*Assumptions!$B$10/Projects!$D$22*0.95+0.05*Projects!$B$22*Assumptions!$B$10,Projects!$B$22*Assumptions!$B$10/Projects!$D$22*0.95),0)+IF(AND(Projects!$G$23="Yes",46&gt;=Projects!$C$23,46&lt;Projects!$C$23+Projects!$D$23),IF(46=Projects!$C$23+Projects!$D$23-1,Projects!$B$23*Assumptions!$B$10/Projects!$D$23*0.95+0.05*Projects!$B$23*Assumptions!$B$10,Projects!$B$23*Assumptions!$B$10/Projects!$D$23*0.95),0)+IF(AND(Projects!$G$24="Yes",46&gt;=Projects!$C$24,46&lt;Projects!$C$24+Projects!$D$24),IF(46=Projects!$C$24+Projects!$D$24-1,Projects!$B$24*Assumptions!$B$10/Projects!$D$24*0.95+0.05*Projects!$B$24*Assumptions!$B$10,Projects!$B$24*Assumptions!$B$10/Projects!$D$24*0.95),0)+IF(AND(Projects!$G$25="Yes",46&gt;=Projects!$C$25,46&lt;Projects!$C$25+Projects!$D$25),IF(46=Projects!$C$25+Projects!$D$25-1,Projects!$B$25*Assumptions!$B$10/Projects!$D$25*0.95+0.05*Projects!$B$25*Assumptions!$B$10,Projects!$B$25*Assumptions!$B$10/Projects!$D$25*0.95),0)+IF(AND(Projects!$G$26="Yes",46&gt;=Projects!$C$26,46&lt;Projects!$C$26+Projects!$D$26),IF(46=Projects!$C$26+Projects!$D$26-1,Projects!$B$26*Assumptions!$B$10/Projects!$D$26*0.95+0.05*Projects!$B$26*Assumptions!$B$10,Projects!$B$26*Assumptions!$B$10/Projects!$D$26*0.95),0)+IF(AND(Projects!$G$27="Yes",46&gt;=Projects!$C$27,46&lt;Projects!$C$27+Projects!$D$27),IF(46=Projects!$C$27+Projects!$D$27-1,Projects!$B$27*Assumptions!$B$10/Projects!$D$27*0.95+0.05*Projects!$B$27*Assumptions!$B$10,Projects!$B$27*Assumptions!$B$10/Projects!$D$27*0.95),0)+IF(AND(Projects!$G$28="Yes",46&gt;=Projects!$C$28,46&lt;Projects!$C$28+Projects!$D$28),IF(46=Projects!$C$28+Projects!$D$28-1,Projects!$B$28*Assumptions!$B$10/Projects!$D$28*0.95+0.05*Projects!$B$28*Assumptions!$B$10,Projects!$B$28*Assumptions!$B$10/Projects!$D$28*0.95),0)+IF(AND(Projects!$G$29="Yes",46&gt;=Projects!$C$29,46&lt;Projects!$C$29+Projects!$D$29),IF(46=Projects!$C$29+Projects!$D$29-1,Projects!$B$29*Assumptions!$B$10/Projects!$D$29*0.95+0.05*Projects!$B$29*Assumptions!$B$10,Projects!$B$29*Assumptions!$B$10/Projects!$D$29*0.95),0)</f>
        <v/>
      </c>
      <c r="AW98">
        <f>IF(AND(Projects!$G$17="Yes",47&gt;=Projects!$C$17,47&lt;Projects!$C$17+Projects!$D$17),IF(47=Projects!$C$17+Projects!$D$17-1,Projects!$B$17*Assumptions!$B$10/Projects!$D$17*0.95+0.05*Projects!$B$17*Assumptions!$B$10,Projects!$B$17*Assumptions!$B$10/Projects!$D$17*0.95),0)+IF(AND(Projects!$G$18="Yes",47&gt;=Projects!$C$18,47&lt;Projects!$C$18+Projects!$D$18),IF(47=Projects!$C$18+Projects!$D$18-1,Projects!$B$18*Assumptions!$B$10/Projects!$D$18*0.95+0.05*Projects!$B$18*Assumptions!$B$10,Projects!$B$18*Assumptions!$B$10/Projects!$D$18*0.95),0)+IF(AND(Projects!$G$19="Yes",47&gt;=Projects!$C$19,47&lt;Projects!$C$19+Projects!$D$19),IF(47=Projects!$C$19+Projects!$D$19-1,Projects!$B$19*Assumptions!$B$10/Projects!$D$19*0.95+0.05*Projects!$B$19*Assumptions!$B$10,Projects!$B$19*Assumptions!$B$10/Projects!$D$19*0.95),0)+IF(AND(Projects!$G$20="Yes",47&gt;=Projects!$C$20,47&lt;Projects!$C$20+Projects!$D$20),IF(47=Projects!$C$20+Projects!$D$20-1,Projects!$B$20*Assumptions!$B$10/Projects!$D$20*0.95+0.05*Projects!$B$20*Assumptions!$B$10,Projects!$B$20*Assumptions!$B$10/Projects!$D$20*0.95),0)+IF(AND(Projects!$G$21="Yes",47&gt;=Projects!$C$21,47&lt;Projects!$C$21+Projects!$D$21),IF(47=Projects!$C$21+Projects!$D$21-1,Projects!$B$21*Assumptions!$B$10/Projects!$D$21*0.95+0.05*Projects!$B$21*Assumptions!$B$10,Projects!$B$21*Assumptions!$B$10/Projects!$D$21*0.95),0)+IF(AND(Projects!$G$22="Yes",47&gt;=Projects!$C$22,47&lt;Projects!$C$22+Projects!$D$22),IF(47=Projects!$C$22+Projects!$D$22-1,Projects!$B$22*Assumptions!$B$10/Projects!$D$22*0.95+0.05*Projects!$B$22*Assumptions!$B$10,Projects!$B$22*Assumptions!$B$10/Projects!$D$22*0.95),0)+IF(AND(Projects!$G$23="Yes",47&gt;=Projects!$C$23,47&lt;Projects!$C$23+Projects!$D$23),IF(47=Projects!$C$23+Projects!$D$23-1,Projects!$B$23*Assumptions!$B$10/Projects!$D$23*0.95+0.05*Projects!$B$23*Assumptions!$B$10,Projects!$B$23*Assumptions!$B$10/Projects!$D$23*0.95),0)+IF(AND(Projects!$G$24="Yes",47&gt;=Projects!$C$24,47&lt;Projects!$C$24+Projects!$D$24),IF(47=Projects!$C$24+Projects!$D$24-1,Projects!$B$24*Assumptions!$B$10/Projects!$D$24*0.95+0.05*Projects!$B$24*Assumptions!$B$10,Projects!$B$24*Assumptions!$B$10/Projects!$D$24*0.95),0)+IF(AND(Projects!$G$25="Yes",47&gt;=Projects!$C$25,47&lt;Projects!$C$25+Projects!$D$25),IF(47=Projects!$C$25+Projects!$D$25-1,Projects!$B$25*Assumptions!$B$10/Projects!$D$25*0.95+0.05*Projects!$B$25*Assumptions!$B$10,Projects!$B$25*Assumptions!$B$10/Projects!$D$25*0.95),0)+IF(AND(Projects!$G$26="Yes",47&gt;=Projects!$C$26,47&lt;Projects!$C$26+Projects!$D$26),IF(47=Projects!$C$26+Projects!$D$26-1,Projects!$B$26*Assumptions!$B$10/Projects!$D$26*0.95+0.05*Projects!$B$26*Assumptions!$B$10,Projects!$B$26*Assumptions!$B$10/Projects!$D$26*0.95),0)+IF(AND(Projects!$G$27="Yes",47&gt;=Projects!$C$27,47&lt;Projects!$C$27+Projects!$D$27),IF(47=Projects!$C$27+Projects!$D$27-1,Projects!$B$27*Assumptions!$B$10/Projects!$D$27*0.95+0.05*Projects!$B$27*Assumptions!$B$10,Projects!$B$27*Assumptions!$B$10/Projects!$D$27*0.95),0)+IF(AND(Projects!$G$28="Yes",47&gt;=Projects!$C$28,47&lt;Projects!$C$28+Projects!$D$28),IF(47=Projects!$C$28+Projects!$D$28-1,Projects!$B$28*Assumptions!$B$10/Projects!$D$28*0.95+0.05*Projects!$B$28*Assumptions!$B$10,Projects!$B$28*Assumptions!$B$10/Projects!$D$28*0.95),0)+IF(AND(Projects!$G$29="Yes",47&gt;=Projects!$C$29,47&lt;Projects!$C$29+Projects!$D$29),IF(47=Projects!$C$29+Projects!$D$29-1,Projects!$B$29*Assumptions!$B$10/Projects!$D$29*0.95+0.05*Projects!$B$29*Assumptions!$B$10,Projects!$B$29*Assumptions!$B$10/Projects!$D$29*0.95),0)</f>
        <v/>
      </c>
      <c r="AX98">
        <f>IF(AND(Projects!$G$17="Yes",48&gt;=Projects!$C$17,48&lt;Projects!$C$17+Projects!$D$17),IF(48=Projects!$C$17+Projects!$D$17-1,Projects!$B$17*Assumptions!$B$10/Projects!$D$17*0.95+0.05*Projects!$B$17*Assumptions!$B$10,Projects!$B$17*Assumptions!$B$10/Projects!$D$17*0.95),0)+IF(AND(Projects!$G$18="Yes",48&gt;=Projects!$C$18,48&lt;Projects!$C$18+Projects!$D$18),IF(48=Projects!$C$18+Projects!$D$18-1,Projects!$B$18*Assumptions!$B$10/Projects!$D$18*0.95+0.05*Projects!$B$18*Assumptions!$B$10,Projects!$B$18*Assumptions!$B$10/Projects!$D$18*0.95),0)+IF(AND(Projects!$G$19="Yes",48&gt;=Projects!$C$19,48&lt;Projects!$C$19+Projects!$D$19),IF(48=Projects!$C$19+Projects!$D$19-1,Projects!$B$19*Assumptions!$B$10/Projects!$D$19*0.95+0.05*Projects!$B$19*Assumptions!$B$10,Projects!$B$19*Assumptions!$B$10/Projects!$D$19*0.95),0)+IF(AND(Projects!$G$20="Yes",48&gt;=Projects!$C$20,48&lt;Projects!$C$20+Projects!$D$20),IF(48=Projects!$C$20+Projects!$D$20-1,Projects!$B$20*Assumptions!$B$10/Projects!$D$20*0.95+0.05*Projects!$B$20*Assumptions!$B$10,Projects!$B$20*Assumptions!$B$10/Projects!$D$20*0.95),0)+IF(AND(Projects!$G$21="Yes",48&gt;=Projects!$C$21,48&lt;Projects!$C$21+Projects!$D$21),IF(48=Projects!$C$21+Projects!$D$21-1,Projects!$B$21*Assumptions!$B$10/Projects!$D$21*0.95+0.05*Projects!$B$21*Assumptions!$B$10,Projects!$B$21*Assumptions!$B$10/Projects!$D$21*0.95),0)+IF(AND(Projects!$G$22="Yes",48&gt;=Projects!$C$22,48&lt;Projects!$C$22+Projects!$D$22),IF(48=Projects!$C$22+Projects!$D$22-1,Projects!$B$22*Assumptions!$B$10/Projects!$D$22*0.95+0.05*Projects!$B$22*Assumptions!$B$10,Projects!$B$22*Assumptions!$B$10/Projects!$D$22*0.95),0)+IF(AND(Projects!$G$23="Yes",48&gt;=Projects!$C$23,48&lt;Projects!$C$23+Projects!$D$23),IF(48=Projects!$C$23+Projects!$D$23-1,Projects!$B$23*Assumptions!$B$10/Projects!$D$23*0.95+0.05*Projects!$B$23*Assumptions!$B$10,Projects!$B$23*Assumptions!$B$10/Projects!$D$23*0.95),0)+IF(AND(Projects!$G$24="Yes",48&gt;=Projects!$C$24,48&lt;Projects!$C$24+Projects!$D$24),IF(48=Projects!$C$24+Projects!$D$24-1,Projects!$B$24*Assumptions!$B$10/Projects!$D$24*0.95+0.05*Projects!$B$24*Assumptions!$B$10,Projects!$B$24*Assumptions!$B$10/Projects!$D$24*0.95),0)+IF(AND(Projects!$G$25="Yes",48&gt;=Projects!$C$25,48&lt;Projects!$C$25+Projects!$D$25),IF(48=Projects!$C$25+Projects!$D$25-1,Projects!$B$25*Assumptions!$B$10/Projects!$D$25*0.95+0.05*Projects!$B$25*Assumptions!$B$10,Projects!$B$25*Assumptions!$B$10/Projects!$D$25*0.95),0)+IF(AND(Projects!$G$26="Yes",48&gt;=Projects!$C$26,48&lt;Projects!$C$26+Projects!$D$26),IF(48=Projects!$C$26+Projects!$D$26-1,Projects!$B$26*Assumptions!$B$10/Projects!$D$26*0.95+0.05*Projects!$B$26*Assumptions!$B$10,Projects!$B$26*Assumptions!$B$10/Projects!$D$26*0.95),0)+IF(AND(Projects!$G$27="Yes",48&gt;=Projects!$C$27,48&lt;Projects!$C$27+Projects!$D$27),IF(48=Projects!$C$27+Projects!$D$27-1,Projects!$B$27*Assumptions!$B$10/Projects!$D$27*0.95+0.05*Projects!$B$27*Assumptions!$B$10,Projects!$B$27*Assumptions!$B$10/Projects!$D$27*0.95),0)+IF(AND(Projects!$G$28="Yes",48&gt;=Projects!$C$28,48&lt;Projects!$C$28+Projects!$D$28),IF(48=Projects!$C$28+Projects!$D$28-1,Projects!$B$28*Assumptions!$B$10/Projects!$D$28*0.95+0.05*Projects!$B$28*Assumptions!$B$10,Projects!$B$28*Assumptions!$B$10/Projects!$D$28*0.95),0)+IF(AND(Projects!$G$29="Yes",48&gt;=Projects!$C$29,48&lt;Projects!$C$29+Projects!$D$29),IF(48=Projects!$C$29+Projects!$D$29-1,Projects!$B$29*Assumptions!$B$10/Projects!$D$29*0.95+0.05*Projects!$B$29*Assumptions!$B$10,Projects!$B$29*Assumptions!$B$10/Projects!$D$29*0.95),0)</f>
        <v/>
      </c>
      <c r="AY98">
        <f>IF(AND(Projects!$G$17="Yes",49&gt;=Projects!$C$17,49&lt;Projects!$C$17+Projects!$D$17),IF(49=Projects!$C$17+Projects!$D$17-1,Projects!$B$17*Assumptions!$B$10/Projects!$D$17*0.95+0.05*Projects!$B$17*Assumptions!$B$10,Projects!$B$17*Assumptions!$B$10/Projects!$D$17*0.95),0)+IF(AND(Projects!$G$18="Yes",49&gt;=Projects!$C$18,49&lt;Projects!$C$18+Projects!$D$18),IF(49=Projects!$C$18+Projects!$D$18-1,Projects!$B$18*Assumptions!$B$10/Projects!$D$18*0.95+0.05*Projects!$B$18*Assumptions!$B$10,Projects!$B$18*Assumptions!$B$10/Projects!$D$18*0.95),0)+IF(AND(Projects!$G$19="Yes",49&gt;=Projects!$C$19,49&lt;Projects!$C$19+Projects!$D$19),IF(49=Projects!$C$19+Projects!$D$19-1,Projects!$B$19*Assumptions!$B$10/Projects!$D$19*0.95+0.05*Projects!$B$19*Assumptions!$B$10,Projects!$B$19*Assumptions!$B$10/Projects!$D$19*0.95),0)+IF(AND(Projects!$G$20="Yes",49&gt;=Projects!$C$20,49&lt;Projects!$C$20+Projects!$D$20),IF(49=Projects!$C$20+Projects!$D$20-1,Projects!$B$20*Assumptions!$B$10/Projects!$D$20*0.95+0.05*Projects!$B$20*Assumptions!$B$10,Projects!$B$20*Assumptions!$B$10/Projects!$D$20*0.95),0)+IF(AND(Projects!$G$21="Yes",49&gt;=Projects!$C$21,49&lt;Projects!$C$21+Projects!$D$21),IF(49=Projects!$C$21+Projects!$D$21-1,Projects!$B$21*Assumptions!$B$10/Projects!$D$21*0.95+0.05*Projects!$B$21*Assumptions!$B$10,Projects!$B$21*Assumptions!$B$10/Projects!$D$21*0.95),0)+IF(AND(Projects!$G$22="Yes",49&gt;=Projects!$C$22,49&lt;Projects!$C$22+Projects!$D$22),IF(49=Projects!$C$22+Projects!$D$22-1,Projects!$B$22*Assumptions!$B$10/Projects!$D$22*0.95+0.05*Projects!$B$22*Assumptions!$B$10,Projects!$B$22*Assumptions!$B$10/Projects!$D$22*0.95),0)+IF(AND(Projects!$G$23="Yes",49&gt;=Projects!$C$23,49&lt;Projects!$C$23+Projects!$D$23),IF(49=Projects!$C$23+Projects!$D$23-1,Projects!$B$23*Assumptions!$B$10/Projects!$D$23*0.95+0.05*Projects!$B$23*Assumptions!$B$10,Projects!$B$23*Assumptions!$B$10/Projects!$D$23*0.95),0)+IF(AND(Projects!$G$24="Yes",49&gt;=Projects!$C$24,49&lt;Projects!$C$24+Projects!$D$24),IF(49=Projects!$C$24+Projects!$D$24-1,Projects!$B$24*Assumptions!$B$10/Projects!$D$24*0.95+0.05*Projects!$B$24*Assumptions!$B$10,Projects!$B$24*Assumptions!$B$10/Projects!$D$24*0.95),0)+IF(AND(Projects!$G$25="Yes",49&gt;=Projects!$C$25,49&lt;Projects!$C$25+Projects!$D$25),IF(49=Projects!$C$25+Projects!$D$25-1,Projects!$B$25*Assumptions!$B$10/Projects!$D$25*0.95+0.05*Projects!$B$25*Assumptions!$B$10,Projects!$B$25*Assumptions!$B$10/Projects!$D$25*0.95),0)+IF(AND(Projects!$G$26="Yes",49&gt;=Projects!$C$26,49&lt;Projects!$C$26+Projects!$D$26),IF(49=Projects!$C$26+Projects!$D$26-1,Projects!$B$26*Assumptions!$B$10/Projects!$D$26*0.95+0.05*Projects!$B$26*Assumptions!$B$10,Projects!$B$26*Assumptions!$B$10/Projects!$D$26*0.95),0)+IF(AND(Projects!$G$27="Yes",49&gt;=Projects!$C$27,49&lt;Projects!$C$27+Projects!$D$27),IF(49=Projects!$C$27+Projects!$D$27-1,Projects!$B$27*Assumptions!$B$10/Projects!$D$27*0.95+0.05*Projects!$B$27*Assumptions!$B$10,Projects!$B$27*Assumptions!$B$10/Projects!$D$27*0.95),0)+IF(AND(Projects!$G$28="Yes",49&gt;=Projects!$C$28,49&lt;Projects!$C$28+Projects!$D$28),IF(49=Projects!$C$28+Projects!$D$28-1,Projects!$B$28*Assumptions!$B$10/Projects!$D$28*0.95+0.05*Projects!$B$28*Assumptions!$B$10,Projects!$B$28*Assumptions!$B$10/Projects!$D$28*0.95),0)+IF(AND(Projects!$G$29="Yes",49&gt;=Projects!$C$29,49&lt;Projects!$C$29+Projects!$D$29),IF(49=Projects!$C$29+Projects!$D$29-1,Projects!$B$29*Assumptions!$B$10/Projects!$D$29*0.95+0.05*Projects!$B$29*Assumptions!$B$10,Projects!$B$29*Assumptions!$B$10/Projects!$D$29*0.95),0)</f>
        <v/>
      </c>
      <c r="AZ98">
        <f>IF(AND(Projects!$G$17="Yes",50&gt;=Projects!$C$17,50&lt;Projects!$C$17+Projects!$D$17),IF(50=Projects!$C$17+Projects!$D$17-1,Projects!$B$17*Assumptions!$B$10/Projects!$D$17*0.95+0.05*Projects!$B$17*Assumptions!$B$10,Projects!$B$17*Assumptions!$B$10/Projects!$D$17*0.95),0)+IF(AND(Projects!$G$18="Yes",50&gt;=Projects!$C$18,50&lt;Projects!$C$18+Projects!$D$18),IF(50=Projects!$C$18+Projects!$D$18-1,Projects!$B$18*Assumptions!$B$10/Projects!$D$18*0.95+0.05*Projects!$B$18*Assumptions!$B$10,Projects!$B$18*Assumptions!$B$10/Projects!$D$18*0.95),0)+IF(AND(Projects!$G$19="Yes",50&gt;=Projects!$C$19,50&lt;Projects!$C$19+Projects!$D$19),IF(50=Projects!$C$19+Projects!$D$19-1,Projects!$B$19*Assumptions!$B$10/Projects!$D$19*0.95+0.05*Projects!$B$19*Assumptions!$B$10,Projects!$B$19*Assumptions!$B$10/Projects!$D$19*0.95),0)+IF(AND(Projects!$G$20="Yes",50&gt;=Projects!$C$20,50&lt;Projects!$C$20+Projects!$D$20),IF(50=Projects!$C$20+Projects!$D$20-1,Projects!$B$20*Assumptions!$B$10/Projects!$D$20*0.95+0.05*Projects!$B$20*Assumptions!$B$10,Projects!$B$20*Assumptions!$B$10/Projects!$D$20*0.95),0)+IF(AND(Projects!$G$21="Yes",50&gt;=Projects!$C$21,50&lt;Projects!$C$21+Projects!$D$21),IF(50=Projects!$C$21+Projects!$D$21-1,Projects!$B$21*Assumptions!$B$10/Projects!$D$21*0.95+0.05*Projects!$B$21*Assumptions!$B$10,Projects!$B$21*Assumptions!$B$10/Projects!$D$21*0.95),0)+IF(AND(Projects!$G$22="Yes",50&gt;=Projects!$C$22,50&lt;Projects!$C$22+Projects!$D$22),IF(50=Projects!$C$22+Projects!$D$22-1,Projects!$B$22*Assumptions!$B$10/Projects!$D$22*0.95+0.05*Projects!$B$22*Assumptions!$B$10,Projects!$B$22*Assumptions!$B$10/Projects!$D$22*0.95),0)+IF(AND(Projects!$G$23="Yes",50&gt;=Projects!$C$23,50&lt;Projects!$C$23+Projects!$D$23),IF(50=Projects!$C$23+Projects!$D$23-1,Projects!$B$23*Assumptions!$B$10/Projects!$D$23*0.95+0.05*Projects!$B$23*Assumptions!$B$10,Projects!$B$23*Assumptions!$B$10/Projects!$D$23*0.95),0)+IF(AND(Projects!$G$24="Yes",50&gt;=Projects!$C$24,50&lt;Projects!$C$24+Projects!$D$24),IF(50=Projects!$C$24+Projects!$D$24-1,Projects!$B$24*Assumptions!$B$10/Projects!$D$24*0.95+0.05*Projects!$B$24*Assumptions!$B$10,Projects!$B$24*Assumptions!$B$10/Projects!$D$24*0.95),0)+IF(AND(Projects!$G$25="Yes",50&gt;=Projects!$C$25,50&lt;Projects!$C$25+Projects!$D$25),IF(50=Projects!$C$25+Projects!$D$25-1,Projects!$B$25*Assumptions!$B$10/Projects!$D$25*0.95+0.05*Projects!$B$25*Assumptions!$B$10,Projects!$B$25*Assumptions!$B$10/Projects!$D$25*0.95),0)+IF(AND(Projects!$G$26="Yes",50&gt;=Projects!$C$26,50&lt;Projects!$C$26+Projects!$D$26),IF(50=Projects!$C$26+Projects!$D$26-1,Projects!$B$26*Assumptions!$B$10/Projects!$D$26*0.95+0.05*Projects!$B$26*Assumptions!$B$10,Projects!$B$26*Assumptions!$B$10/Projects!$D$26*0.95),0)+IF(AND(Projects!$G$27="Yes",50&gt;=Projects!$C$27,50&lt;Projects!$C$27+Projects!$D$27),IF(50=Projects!$C$27+Projects!$D$27-1,Projects!$B$27*Assumptions!$B$10/Projects!$D$27*0.95+0.05*Projects!$B$27*Assumptions!$B$10,Projects!$B$27*Assumptions!$B$10/Projects!$D$27*0.95),0)+IF(AND(Projects!$G$28="Yes",50&gt;=Projects!$C$28,50&lt;Projects!$C$28+Projects!$D$28),IF(50=Projects!$C$28+Projects!$D$28-1,Projects!$B$28*Assumptions!$B$10/Projects!$D$28*0.95+0.05*Projects!$B$28*Assumptions!$B$10,Projects!$B$28*Assumptions!$B$10/Projects!$D$28*0.95),0)+IF(AND(Projects!$G$29="Yes",50&gt;=Projects!$C$29,50&lt;Projects!$C$29+Projects!$D$29),IF(50=Projects!$C$29+Projects!$D$29-1,Projects!$B$29*Assumptions!$B$10/Projects!$D$29*0.95+0.05*Projects!$B$29*Assumptions!$B$10,Projects!$B$29*Assumptions!$B$10/Projects!$D$29*0.95),0)</f>
        <v/>
      </c>
      <c r="BA98">
        <f>IF(AND(Projects!$G$17="Yes",51&gt;=Projects!$C$17,51&lt;Projects!$C$17+Projects!$D$17),IF(51=Projects!$C$17+Projects!$D$17-1,Projects!$B$17*Assumptions!$B$10/Projects!$D$17*0.95+0.05*Projects!$B$17*Assumptions!$B$10,Projects!$B$17*Assumptions!$B$10/Projects!$D$17*0.95),0)+IF(AND(Projects!$G$18="Yes",51&gt;=Projects!$C$18,51&lt;Projects!$C$18+Projects!$D$18),IF(51=Projects!$C$18+Projects!$D$18-1,Projects!$B$18*Assumptions!$B$10/Projects!$D$18*0.95+0.05*Projects!$B$18*Assumptions!$B$10,Projects!$B$18*Assumptions!$B$10/Projects!$D$18*0.95),0)+IF(AND(Projects!$G$19="Yes",51&gt;=Projects!$C$19,51&lt;Projects!$C$19+Projects!$D$19),IF(51=Projects!$C$19+Projects!$D$19-1,Projects!$B$19*Assumptions!$B$10/Projects!$D$19*0.95+0.05*Projects!$B$19*Assumptions!$B$10,Projects!$B$19*Assumptions!$B$10/Projects!$D$19*0.95),0)+IF(AND(Projects!$G$20="Yes",51&gt;=Projects!$C$20,51&lt;Projects!$C$20+Projects!$D$20),IF(51=Projects!$C$20+Projects!$D$20-1,Projects!$B$20*Assumptions!$B$10/Projects!$D$20*0.95+0.05*Projects!$B$20*Assumptions!$B$10,Projects!$B$20*Assumptions!$B$10/Projects!$D$20*0.95),0)+IF(AND(Projects!$G$21="Yes",51&gt;=Projects!$C$21,51&lt;Projects!$C$21+Projects!$D$21),IF(51=Projects!$C$21+Projects!$D$21-1,Projects!$B$21*Assumptions!$B$10/Projects!$D$21*0.95+0.05*Projects!$B$21*Assumptions!$B$10,Projects!$B$21*Assumptions!$B$10/Projects!$D$21*0.95),0)+IF(AND(Projects!$G$22="Yes",51&gt;=Projects!$C$22,51&lt;Projects!$C$22+Projects!$D$22),IF(51=Projects!$C$22+Projects!$D$22-1,Projects!$B$22*Assumptions!$B$10/Projects!$D$22*0.95+0.05*Projects!$B$22*Assumptions!$B$10,Projects!$B$22*Assumptions!$B$10/Projects!$D$22*0.95),0)+IF(AND(Projects!$G$23="Yes",51&gt;=Projects!$C$23,51&lt;Projects!$C$23+Projects!$D$23),IF(51=Projects!$C$23+Projects!$D$23-1,Projects!$B$23*Assumptions!$B$10/Projects!$D$23*0.95+0.05*Projects!$B$23*Assumptions!$B$10,Projects!$B$23*Assumptions!$B$10/Projects!$D$23*0.95),0)+IF(AND(Projects!$G$24="Yes",51&gt;=Projects!$C$24,51&lt;Projects!$C$24+Projects!$D$24),IF(51=Projects!$C$24+Projects!$D$24-1,Projects!$B$24*Assumptions!$B$10/Projects!$D$24*0.95+0.05*Projects!$B$24*Assumptions!$B$10,Projects!$B$24*Assumptions!$B$10/Projects!$D$24*0.95),0)+IF(AND(Projects!$G$25="Yes",51&gt;=Projects!$C$25,51&lt;Projects!$C$25+Projects!$D$25),IF(51=Projects!$C$25+Projects!$D$25-1,Projects!$B$25*Assumptions!$B$10/Projects!$D$25*0.95+0.05*Projects!$B$25*Assumptions!$B$10,Projects!$B$25*Assumptions!$B$10/Projects!$D$25*0.95),0)+IF(AND(Projects!$G$26="Yes",51&gt;=Projects!$C$26,51&lt;Projects!$C$26+Projects!$D$26),IF(51=Projects!$C$26+Projects!$D$26-1,Projects!$B$26*Assumptions!$B$10/Projects!$D$26*0.95+0.05*Projects!$B$26*Assumptions!$B$10,Projects!$B$26*Assumptions!$B$10/Projects!$D$26*0.95),0)+IF(AND(Projects!$G$27="Yes",51&gt;=Projects!$C$27,51&lt;Projects!$C$27+Projects!$D$27),IF(51=Projects!$C$27+Projects!$D$27-1,Projects!$B$27*Assumptions!$B$10/Projects!$D$27*0.95+0.05*Projects!$B$27*Assumptions!$B$10,Projects!$B$27*Assumptions!$B$10/Projects!$D$27*0.95),0)+IF(AND(Projects!$G$28="Yes",51&gt;=Projects!$C$28,51&lt;Projects!$C$28+Projects!$D$28),IF(51=Projects!$C$28+Projects!$D$28-1,Projects!$B$28*Assumptions!$B$10/Projects!$D$28*0.95+0.05*Projects!$B$28*Assumptions!$B$10,Projects!$B$28*Assumptions!$B$10/Projects!$D$28*0.95),0)+IF(AND(Projects!$G$29="Yes",51&gt;=Projects!$C$29,51&lt;Projects!$C$29+Projects!$D$29),IF(51=Projects!$C$29+Projects!$D$29-1,Projects!$B$29*Assumptions!$B$10/Projects!$D$29*0.95+0.05*Projects!$B$29*Assumptions!$B$10,Projects!$B$29*Assumptions!$B$10/Projects!$D$29*0.95),0)</f>
        <v/>
      </c>
      <c r="BB98">
        <f>IF(AND(Projects!$G$17="Yes",52&gt;=Projects!$C$17,52&lt;Projects!$C$17+Projects!$D$17),IF(52=Projects!$C$17+Projects!$D$17-1,Projects!$B$17*Assumptions!$B$10/Projects!$D$17*0.95+0.05*Projects!$B$17*Assumptions!$B$10,Projects!$B$17*Assumptions!$B$10/Projects!$D$17*0.95),0)+IF(AND(Projects!$G$18="Yes",52&gt;=Projects!$C$18,52&lt;Projects!$C$18+Projects!$D$18),IF(52=Projects!$C$18+Projects!$D$18-1,Projects!$B$18*Assumptions!$B$10/Projects!$D$18*0.95+0.05*Projects!$B$18*Assumptions!$B$10,Projects!$B$18*Assumptions!$B$10/Projects!$D$18*0.95),0)+IF(AND(Projects!$G$19="Yes",52&gt;=Projects!$C$19,52&lt;Projects!$C$19+Projects!$D$19),IF(52=Projects!$C$19+Projects!$D$19-1,Projects!$B$19*Assumptions!$B$10/Projects!$D$19*0.95+0.05*Projects!$B$19*Assumptions!$B$10,Projects!$B$19*Assumptions!$B$10/Projects!$D$19*0.95),0)+IF(AND(Projects!$G$20="Yes",52&gt;=Projects!$C$20,52&lt;Projects!$C$20+Projects!$D$20),IF(52=Projects!$C$20+Projects!$D$20-1,Projects!$B$20*Assumptions!$B$10/Projects!$D$20*0.95+0.05*Projects!$B$20*Assumptions!$B$10,Projects!$B$20*Assumptions!$B$10/Projects!$D$20*0.95),0)+IF(AND(Projects!$G$21="Yes",52&gt;=Projects!$C$21,52&lt;Projects!$C$21+Projects!$D$21),IF(52=Projects!$C$21+Projects!$D$21-1,Projects!$B$21*Assumptions!$B$10/Projects!$D$21*0.95+0.05*Projects!$B$21*Assumptions!$B$10,Projects!$B$21*Assumptions!$B$10/Projects!$D$21*0.95),0)+IF(AND(Projects!$G$22="Yes",52&gt;=Projects!$C$22,52&lt;Projects!$C$22+Projects!$D$22),IF(52=Projects!$C$22+Projects!$D$22-1,Projects!$B$22*Assumptions!$B$10/Projects!$D$22*0.95+0.05*Projects!$B$22*Assumptions!$B$10,Projects!$B$22*Assumptions!$B$10/Projects!$D$22*0.95),0)+IF(AND(Projects!$G$23="Yes",52&gt;=Projects!$C$23,52&lt;Projects!$C$23+Projects!$D$23),IF(52=Projects!$C$23+Projects!$D$23-1,Projects!$B$23*Assumptions!$B$10/Projects!$D$23*0.95+0.05*Projects!$B$23*Assumptions!$B$10,Projects!$B$23*Assumptions!$B$10/Projects!$D$23*0.95),0)+IF(AND(Projects!$G$24="Yes",52&gt;=Projects!$C$24,52&lt;Projects!$C$24+Projects!$D$24),IF(52=Projects!$C$24+Projects!$D$24-1,Projects!$B$24*Assumptions!$B$10/Projects!$D$24*0.95+0.05*Projects!$B$24*Assumptions!$B$10,Projects!$B$24*Assumptions!$B$10/Projects!$D$24*0.95),0)+IF(AND(Projects!$G$25="Yes",52&gt;=Projects!$C$25,52&lt;Projects!$C$25+Projects!$D$25),IF(52=Projects!$C$25+Projects!$D$25-1,Projects!$B$25*Assumptions!$B$10/Projects!$D$25*0.95+0.05*Projects!$B$25*Assumptions!$B$10,Projects!$B$25*Assumptions!$B$10/Projects!$D$25*0.95),0)+IF(AND(Projects!$G$26="Yes",52&gt;=Projects!$C$26,52&lt;Projects!$C$26+Projects!$D$26),IF(52=Projects!$C$26+Projects!$D$26-1,Projects!$B$26*Assumptions!$B$10/Projects!$D$26*0.95+0.05*Projects!$B$26*Assumptions!$B$10,Projects!$B$26*Assumptions!$B$10/Projects!$D$26*0.95),0)+IF(AND(Projects!$G$27="Yes",52&gt;=Projects!$C$27,52&lt;Projects!$C$27+Projects!$D$27),IF(52=Projects!$C$27+Projects!$D$27-1,Projects!$B$27*Assumptions!$B$10/Projects!$D$27*0.95+0.05*Projects!$B$27*Assumptions!$B$10,Projects!$B$27*Assumptions!$B$10/Projects!$D$27*0.95),0)+IF(AND(Projects!$G$28="Yes",52&gt;=Projects!$C$28,52&lt;Projects!$C$28+Projects!$D$28),IF(52=Projects!$C$28+Projects!$D$28-1,Projects!$B$28*Assumptions!$B$10/Projects!$D$28*0.95+0.05*Projects!$B$28*Assumptions!$B$10,Projects!$B$28*Assumptions!$B$10/Projects!$D$28*0.95),0)+IF(AND(Projects!$G$29="Yes",52&gt;=Projects!$C$29,52&lt;Projects!$C$29+Projects!$D$29),IF(52=Projects!$C$29+Projects!$D$29-1,Projects!$B$29*Assumptions!$B$10/Projects!$D$29*0.95+0.05*Projects!$B$29*Assumptions!$B$10,Projects!$B$29*Assumptions!$B$10/Projects!$D$29*0.95),0)</f>
        <v/>
      </c>
      <c r="BC98">
        <f>IF(AND(Projects!$G$17="Yes",53&gt;=Projects!$C$17,53&lt;Projects!$C$17+Projects!$D$17),IF(53=Projects!$C$17+Projects!$D$17-1,Projects!$B$17*Assumptions!$B$10/Projects!$D$17*0.95+0.05*Projects!$B$17*Assumptions!$B$10,Projects!$B$17*Assumptions!$B$10/Projects!$D$17*0.95),0)+IF(AND(Projects!$G$18="Yes",53&gt;=Projects!$C$18,53&lt;Projects!$C$18+Projects!$D$18),IF(53=Projects!$C$18+Projects!$D$18-1,Projects!$B$18*Assumptions!$B$10/Projects!$D$18*0.95+0.05*Projects!$B$18*Assumptions!$B$10,Projects!$B$18*Assumptions!$B$10/Projects!$D$18*0.95),0)+IF(AND(Projects!$G$19="Yes",53&gt;=Projects!$C$19,53&lt;Projects!$C$19+Projects!$D$19),IF(53=Projects!$C$19+Projects!$D$19-1,Projects!$B$19*Assumptions!$B$10/Projects!$D$19*0.95+0.05*Projects!$B$19*Assumptions!$B$10,Projects!$B$19*Assumptions!$B$10/Projects!$D$19*0.95),0)+IF(AND(Projects!$G$20="Yes",53&gt;=Projects!$C$20,53&lt;Projects!$C$20+Projects!$D$20),IF(53=Projects!$C$20+Projects!$D$20-1,Projects!$B$20*Assumptions!$B$10/Projects!$D$20*0.95+0.05*Projects!$B$20*Assumptions!$B$10,Projects!$B$20*Assumptions!$B$10/Projects!$D$20*0.95),0)+IF(AND(Projects!$G$21="Yes",53&gt;=Projects!$C$21,53&lt;Projects!$C$21+Projects!$D$21),IF(53=Projects!$C$21+Projects!$D$21-1,Projects!$B$21*Assumptions!$B$10/Projects!$D$21*0.95+0.05*Projects!$B$21*Assumptions!$B$10,Projects!$B$21*Assumptions!$B$10/Projects!$D$21*0.95),0)+IF(AND(Projects!$G$22="Yes",53&gt;=Projects!$C$22,53&lt;Projects!$C$22+Projects!$D$22),IF(53=Projects!$C$22+Projects!$D$22-1,Projects!$B$22*Assumptions!$B$10/Projects!$D$22*0.95+0.05*Projects!$B$22*Assumptions!$B$10,Projects!$B$22*Assumptions!$B$10/Projects!$D$22*0.95),0)+IF(AND(Projects!$G$23="Yes",53&gt;=Projects!$C$23,53&lt;Projects!$C$23+Projects!$D$23),IF(53=Projects!$C$23+Projects!$D$23-1,Projects!$B$23*Assumptions!$B$10/Projects!$D$23*0.95+0.05*Projects!$B$23*Assumptions!$B$10,Projects!$B$23*Assumptions!$B$10/Projects!$D$23*0.95),0)+IF(AND(Projects!$G$24="Yes",53&gt;=Projects!$C$24,53&lt;Projects!$C$24+Projects!$D$24),IF(53=Projects!$C$24+Projects!$D$24-1,Projects!$B$24*Assumptions!$B$10/Projects!$D$24*0.95+0.05*Projects!$B$24*Assumptions!$B$10,Projects!$B$24*Assumptions!$B$10/Projects!$D$24*0.95),0)+IF(AND(Projects!$G$25="Yes",53&gt;=Projects!$C$25,53&lt;Projects!$C$25+Projects!$D$25),IF(53=Projects!$C$25+Projects!$D$25-1,Projects!$B$25*Assumptions!$B$10/Projects!$D$25*0.95+0.05*Projects!$B$25*Assumptions!$B$10,Projects!$B$25*Assumptions!$B$10/Projects!$D$25*0.95),0)+IF(AND(Projects!$G$26="Yes",53&gt;=Projects!$C$26,53&lt;Projects!$C$26+Projects!$D$26),IF(53=Projects!$C$26+Projects!$D$26-1,Projects!$B$26*Assumptions!$B$10/Projects!$D$26*0.95+0.05*Projects!$B$26*Assumptions!$B$10,Projects!$B$26*Assumptions!$B$10/Projects!$D$26*0.95),0)+IF(AND(Projects!$G$27="Yes",53&gt;=Projects!$C$27,53&lt;Projects!$C$27+Projects!$D$27),IF(53=Projects!$C$27+Projects!$D$27-1,Projects!$B$27*Assumptions!$B$10/Projects!$D$27*0.95+0.05*Projects!$B$27*Assumptions!$B$10,Projects!$B$27*Assumptions!$B$10/Projects!$D$27*0.95),0)+IF(AND(Projects!$G$28="Yes",53&gt;=Projects!$C$28,53&lt;Projects!$C$28+Projects!$D$28),IF(53=Projects!$C$28+Projects!$D$28-1,Projects!$B$28*Assumptions!$B$10/Projects!$D$28*0.95+0.05*Projects!$B$28*Assumptions!$B$10,Projects!$B$28*Assumptions!$B$10/Projects!$D$28*0.95),0)+IF(AND(Projects!$G$29="Yes",53&gt;=Projects!$C$29,53&lt;Projects!$C$29+Projects!$D$29),IF(53=Projects!$C$29+Projects!$D$29-1,Projects!$B$29*Assumptions!$B$10/Projects!$D$29*0.95+0.05*Projects!$B$29*Assumptions!$B$10,Projects!$B$29*Assumptions!$B$10/Projects!$D$29*0.95),0)</f>
        <v/>
      </c>
      <c r="BD98">
        <f>IF(AND(Projects!$G$17="Yes",54&gt;=Projects!$C$17,54&lt;Projects!$C$17+Projects!$D$17),IF(54=Projects!$C$17+Projects!$D$17-1,Projects!$B$17*Assumptions!$B$10/Projects!$D$17*0.95+0.05*Projects!$B$17*Assumptions!$B$10,Projects!$B$17*Assumptions!$B$10/Projects!$D$17*0.95),0)+IF(AND(Projects!$G$18="Yes",54&gt;=Projects!$C$18,54&lt;Projects!$C$18+Projects!$D$18),IF(54=Projects!$C$18+Projects!$D$18-1,Projects!$B$18*Assumptions!$B$10/Projects!$D$18*0.95+0.05*Projects!$B$18*Assumptions!$B$10,Projects!$B$18*Assumptions!$B$10/Projects!$D$18*0.95),0)+IF(AND(Projects!$G$19="Yes",54&gt;=Projects!$C$19,54&lt;Projects!$C$19+Projects!$D$19),IF(54=Projects!$C$19+Projects!$D$19-1,Projects!$B$19*Assumptions!$B$10/Projects!$D$19*0.95+0.05*Projects!$B$19*Assumptions!$B$10,Projects!$B$19*Assumptions!$B$10/Projects!$D$19*0.95),0)+IF(AND(Projects!$G$20="Yes",54&gt;=Projects!$C$20,54&lt;Projects!$C$20+Projects!$D$20),IF(54=Projects!$C$20+Projects!$D$20-1,Projects!$B$20*Assumptions!$B$10/Projects!$D$20*0.95+0.05*Projects!$B$20*Assumptions!$B$10,Projects!$B$20*Assumptions!$B$10/Projects!$D$20*0.95),0)+IF(AND(Projects!$G$21="Yes",54&gt;=Projects!$C$21,54&lt;Projects!$C$21+Projects!$D$21),IF(54=Projects!$C$21+Projects!$D$21-1,Projects!$B$21*Assumptions!$B$10/Projects!$D$21*0.95+0.05*Projects!$B$21*Assumptions!$B$10,Projects!$B$21*Assumptions!$B$10/Projects!$D$21*0.95),0)+IF(AND(Projects!$G$22="Yes",54&gt;=Projects!$C$22,54&lt;Projects!$C$22+Projects!$D$22),IF(54=Projects!$C$22+Projects!$D$22-1,Projects!$B$22*Assumptions!$B$10/Projects!$D$22*0.95+0.05*Projects!$B$22*Assumptions!$B$10,Projects!$B$22*Assumptions!$B$10/Projects!$D$22*0.95),0)+IF(AND(Projects!$G$23="Yes",54&gt;=Projects!$C$23,54&lt;Projects!$C$23+Projects!$D$23),IF(54=Projects!$C$23+Projects!$D$23-1,Projects!$B$23*Assumptions!$B$10/Projects!$D$23*0.95+0.05*Projects!$B$23*Assumptions!$B$10,Projects!$B$23*Assumptions!$B$10/Projects!$D$23*0.95),0)+IF(AND(Projects!$G$24="Yes",54&gt;=Projects!$C$24,54&lt;Projects!$C$24+Projects!$D$24),IF(54=Projects!$C$24+Projects!$D$24-1,Projects!$B$24*Assumptions!$B$10/Projects!$D$24*0.95+0.05*Projects!$B$24*Assumptions!$B$10,Projects!$B$24*Assumptions!$B$10/Projects!$D$24*0.95),0)+IF(AND(Projects!$G$25="Yes",54&gt;=Projects!$C$25,54&lt;Projects!$C$25+Projects!$D$25),IF(54=Projects!$C$25+Projects!$D$25-1,Projects!$B$25*Assumptions!$B$10/Projects!$D$25*0.95+0.05*Projects!$B$25*Assumptions!$B$10,Projects!$B$25*Assumptions!$B$10/Projects!$D$25*0.95),0)+IF(AND(Projects!$G$26="Yes",54&gt;=Projects!$C$26,54&lt;Projects!$C$26+Projects!$D$26),IF(54=Projects!$C$26+Projects!$D$26-1,Projects!$B$26*Assumptions!$B$10/Projects!$D$26*0.95+0.05*Projects!$B$26*Assumptions!$B$10,Projects!$B$26*Assumptions!$B$10/Projects!$D$26*0.95),0)+IF(AND(Projects!$G$27="Yes",54&gt;=Projects!$C$27,54&lt;Projects!$C$27+Projects!$D$27),IF(54=Projects!$C$27+Projects!$D$27-1,Projects!$B$27*Assumptions!$B$10/Projects!$D$27*0.95+0.05*Projects!$B$27*Assumptions!$B$10,Projects!$B$27*Assumptions!$B$10/Projects!$D$27*0.95),0)+IF(AND(Projects!$G$28="Yes",54&gt;=Projects!$C$28,54&lt;Projects!$C$28+Projects!$D$28),IF(54=Projects!$C$28+Projects!$D$28-1,Projects!$B$28*Assumptions!$B$10/Projects!$D$28*0.95+0.05*Projects!$B$28*Assumptions!$B$10,Projects!$B$28*Assumptions!$B$10/Projects!$D$28*0.95),0)+IF(AND(Projects!$G$29="Yes",54&gt;=Projects!$C$29,54&lt;Projects!$C$29+Projects!$D$29),IF(54=Projects!$C$29+Projects!$D$29-1,Projects!$B$29*Assumptions!$B$10/Projects!$D$29*0.95+0.05*Projects!$B$29*Assumptions!$B$10,Projects!$B$29*Assumptions!$B$10/Projects!$D$29*0.95),0)</f>
        <v/>
      </c>
      <c r="BE98">
        <f>IF(AND(Projects!$G$17="Yes",55&gt;=Projects!$C$17,55&lt;Projects!$C$17+Projects!$D$17),IF(55=Projects!$C$17+Projects!$D$17-1,Projects!$B$17*Assumptions!$B$10/Projects!$D$17*0.95+0.05*Projects!$B$17*Assumptions!$B$10,Projects!$B$17*Assumptions!$B$10/Projects!$D$17*0.95),0)+IF(AND(Projects!$G$18="Yes",55&gt;=Projects!$C$18,55&lt;Projects!$C$18+Projects!$D$18),IF(55=Projects!$C$18+Projects!$D$18-1,Projects!$B$18*Assumptions!$B$10/Projects!$D$18*0.95+0.05*Projects!$B$18*Assumptions!$B$10,Projects!$B$18*Assumptions!$B$10/Projects!$D$18*0.95),0)+IF(AND(Projects!$G$19="Yes",55&gt;=Projects!$C$19,55&lt;Projects!$C$19+Projects!$D$19),IF(55=Projects!$C$19+Projects!$D$19-1,Projects!$B$19*Assumptions!$B$10/Projects!$D$19*0.95+0.05*Projects!$B$19*Assumptions!$B$10,Projects!$B$19*Assumptions!$B$10/Projects!$D$19*0.95),0)+IF(AND(Projects!$G$20="Yes",55&gt;=Projects!$C$20,55&lt;Projects!$C$20+Projects!$D$20),IF(55=Projects!$C$20+Projects!$D$20-1,Projects!$B$20*Assumptions!$B$10/Projects!$D$20*0.95+0.05*Projects!$B$20*Assumptions!$B$10,Projects!$B$20*Assumptions!$B$10/Projects!$D$20*0.95),0)+IF(AND(Projects!$G$21="Yes",55&gt;=Projects!$C$21,55&lt;Projects!$C$21+Projects!$D$21),IF(55=Projects!$C$21+Projects!$D$21-1,Projects!$B$21*Assumptions!$B$10/Projects!$D$21*0.95+0.05*Projects!$B$21*Assumptions!$B$10,Projects!$B$21*Assumptions!$B$10/Projects!$D$21*0.95),0)+IF(AND(Projects!$G$22="Yes",55&gt;=Projects!$C$22,55&lt;Projects!$C$22+Projects!$D$22),IF(55=Projects!$C$22+Projects!$D$22-1,Projects!$B$22*Assumptions!$B$10/Projects!$D$22*0.95+0.05*Projects!$B$22*Assumptions!$B$10,Projects!$B$22*Assumptions!$B$10/Projects!$D$22*0.95),0)+IF(AND(Projects!$G$23="Yes",55&gt;=Projects!$C$23,55&lt;Projects!$C$23+Projects!$D$23),IF(55=Projects!$C$23+Projects!$D$23-1,Projects!$B$23*Assumptions!$B$10/Projects!$D$23*0.95+0.05*Projects!$B$23*Assumptions!$B$10,Projects!$B$23*Assumptions!$B$10/Projects!$D$23*0.95),0)+IF(AND(Projects!$G$24="Yes",55&gt;=Projects!$C$24,55&lt;Projects!$C$24+Projects!$D$24),IF(55=Projects!$C$24+Projects!$D$24-1,Projects!$B$24*Assumptions!$B$10/Projects!$D$24*0.95+0.05*Projects!$B$24*Assumptions!$B$10,Projects!$B$24*Assumptions!$B$10/Projects!$D$24*0.95),0)+IF(AND(Projects!$G$25="Yes",55&gt;=Projects!$C$25,55&lt;Projects!$C$25+Projects!$D$25),IF(55=Projects!$C$25+Projects!$D$25-1,Projects!$B$25*Assumptions!$B$10/Projects!$D$25*0.95+0.05*Projects!$B$25*Assumptions!$B$10,Projects!$B$25*Assumptions!$B$10/Projects!$D$25*0.95),0)+IF(AND(Projects!$G$26="Yes",55&gt;=Projects!$C$26,55&lt;Projects!$C$26+Projects!$D$26),IF(55=Projects!$C$26+Projects!$D$26-1,Projects!$B$26*Assumptions!$B$10/Projects!$D$26*0.95+0.05*Projects!$B$26*Assumptions!$B$10,Projects!$B$26*Assumptions!$B$10/Projects!$D$26*0.95),0)+IF(AND(Projects!$G$27="Yes",55&gt;=Projects!$C$27,55&lt;Projects!$C$27+Projects!$D$27),IF(55=Projects!$C$27+Projects!$D$27-1,Projects!$B$27*Assumptions!$B$10/Projects!$D$27*0.95+0.05*Projects!$B$27*Assumptions!$B$10,Projects!$B$27*Assumptions!$B$10/Projects!$D$27*0.95),0)+IF(AND(Projects!$G$28="Yes",55&gt;=Projects!$C$28,55&lt;Projects!$C$28+Projects!$D$28),IF(55=Projects!$C$28+Projects!$D$28-1,Projects!$B$28*Assumptions!$B$10/Projects!$D$28*0.95+0.05*Projects!$B$28*Assumptions!$B$10,Projects!$B$28*Assumptions!$B$10/Projects!$D$28*0.95),0)+IF(AND(Projects!$G$29="Yes",55&gt;=Projects!$C$29,55&lt;Projects!$C$29+Projects!$D$29),IF(55=Projects!$C$29+Projects!$D$29-1,Projects!$B$29*Assumptions!$B$10/Projects!$D$29*0.95+0.05*Projects!$B$29*Assumptions!$B$10,Projects!$B$29*Assumptions!$B$10/Projects!$D$29*0.95),0)</f>
        <v/>
      </c>
      <c r="BF98">
        <f>IF(AND(Projects!$G$17="Yes",56&gt;=Projects!$C$17,56&lt;Projects!$C$17+Projects!$D$17),IF(56=Projects!$C$17+Projects!$D$17-1,Projects!$B$17*Assumptions!$B$10/Projects!$D$17*0.95+0.05*Projects!$B$17*Assumptions!$B$10,Projects!$B$17*Assumptions!$B$10/Projects!$D$17*0.95),0)+IF(AND(Projects!$G$18="Yes",56&gt;=Projects!$C$18,56&lt;Projects!$C$18+Projects!$D$18),IF(56=Projects!$C$18+Projects!$D$18-1,Projects!$B$18*Assumptions!$B$10/Projects!$D$18*0.95+0.05*Projects!$B$18*Assumptions!$B$10,Projects!$B$18*Assumptions!$B$10/Projects!$D$18*0.95),0)+IF(AND(Projects!$G$19="Yes",56&gt;=Projects!$C$19,56&lt;Projects!$C$19+Projects!$D$19),IF(56=Projects!$C$19+Projects!$D$19-1,Projects!$B$19*Assumptions!$B$10/Projects!$D$19*0.95+0.05*Projects!$B$19*Assumptions!$B$10,Projects!$B$19*Assumptions!$B$10/Projects!$D$19*0.95),0)+IF(AND(Projects!$G$20="Yes",56&gt;=Projects!$C$20,56&lt;Projects!$C$20+Projects!$D$20),IF(56=Projects!$C$20+Projects!$D$20-1,Projects!$B$20*Assumptions!$B$10/Projects!$D$20*0.95+0.05*Projects!$B$20*Assumptions!$B$10,Projects!$B$20*Assumptions!$B$10/Projects!$D$20*0.95),0)+IF(AND(Projects!$G$21="Yes",56&gt;=Projects!$C$21,56&lt;Projects!$C$21+Projects!$D$21),IF(56=Projects!$C$21+Projects!$D$21-1,Projects!$B$21*Assumptions!$B$10/Projects!$D$21*0.95+0.05*Projects!$B$21*Assumptions!$B$10,Projects!$B$21*Assumptions!$B$10/Projects!$D$21*0.95),0)+IF(AND(Projects!$G$22="Yes",56&gt;=Projects!$C$22,56&lt;Projects!$C$22+Projects!$D$22),IF(56=Projects!$C$22+Projects!$D$22-1,Projects!$B$22*Assumptions!$B$10/Projects!$D$22*0.95+0.05*Projects!$B$22*Assumptions!$B$10,Projects!$B$22*Assumptions!$B$10/Projects!$D$22*0.95),0)+IF(AND(Projects!$G$23="Yes",56&gt;=Projects!$C$23,56&lt;Projects!$C$23+Projects!$D$23),IF(56=Projects!$C$23+Projects!$D$23-1,Projects!$B$23*Assumptions!$B$10/Projects!$D$23*0.95+0.05*Projects!$B$23*Assumptions!$B$10,Projects!$B$23*Assumptions!$B$10/Projects!$D$23*0.95),0)+IF(AND(Projects!$G$24="Yes",56&gt;=Projects!$C$24,56&lt;Projects!$C$24+Projects!$D$24),IF(56=Projects!$C$24+Projects!$D$24-1,Projects!$B$24*Assumptions!$B$10/Projects!$D$24*0.95+0.05*Projects!$B$24*Assumptions!$B$10,Projects!$B$24*Assumptions!$B$10/Projects!$D$24*0.95),0)+IF(AND(Projects!$G$25="Yes",56&gt;=Projects!$C$25,56&lt;Projects!$C$25+Projects!$D$25),IF(56=Projects!$C$25+Projects!$D$25-1,Projects!$B$25*Assumptions!$B$10/Projects!$D$25*0.95+0.05*Projects!$B$25*Assumptions!$B$10,Projects!$B$25*Assumptions!$B$10/Projects!$D$25*0.95),0)+IF(AND(Projects!$G$26="Yes",56&gt;=Projects!$C$26,56&lt;Projects!$C$26+Projects!$D$26),IF(56=Projects!$C$26+Projects!$D$26-1,Projects!$B$26*Assumptions!$B$10/Projects!$D$26*0.95+0.05*Projects!$B$26*Assumptions!$B$10,Projects!$B$26*Assumptions!$B$10/Projects!$D$26*0.95),0)+IF(AND(Projects!$G$27="Yes",56&gt;=Projects!$C$27,56&lt;Projects!$C$27+Projects!$D$27),IF(56=Projects!$C$27+Projects!$D$27-1,Projects!$B$27*Assumptions!$B$10/Projects!$D$27*0.95+0.05*Projects!$B$27*Assumptions!$B$10,Projects!$B$27*Assumptions!$B$10/Projects!$D$27*0.95),0)+IF(AND(Projects!$G$28="Yes",56&gt;=Projects!$C$28,56&lt;Projects!$C$28+Projects!$D$28),IF(56=Projects!$C$28+Projects!$D$28-1,Projects!$B$28*Assumptions!$B$10/Projects!$D$28*0.95+0.05*Projects!$B$28*Assumptions!$B$10,Projects!$B$28*Assumptions!$B$10/Projects!$D$28*0.95),0)+IF(AND(Projects!$G$29="Yes",56&gt;=Projects!$C$29,56&lt;Projects!$C$29+Projects!$D$29),IF(56=Projects!$C$29+Projects!$D$29-1,Projects!$B$29*Assumptions!$B$10/Projects!$D$29*0.95+0.05*Projects!$B$29*Assumptions!$B$10,Projects!$B$29*Assumptions!$B$10/Projects!$D$29*0.95),0)</f>
        <v/>
      </c>
      <c r="BG98">
        <f>IF(AND(Projects!$G$17="Yes",57&gt;=Projects!$C$17,57&lt;Projects!$C$17+Projects!$D$17),IF(57=Projects!$C$17+Projects!$D$17-1,Projects!$B$17*Assumptions!$B$10/Projects!$D$17*0.95+0.05*Projects!$B$17*Assumptions!$B$10,Projects!$B$17*Assumptions!$B$10/Projects!$D$17*0.95),0)+IF(AND(Projects!$G$18="Yes",57&gt;=Projects!$C$18,57&lt;Projects!$C$18+Projects!$D$18),IF(57=Projects!$C$18+Projects!$D$18-1,Projects!$B$18*Assumptions!$B$10/Projects!$D$18*0.95+0.05*Projects!$B$18*Assumptions!$B$10,Projects!$B$18*Assumptions!$B$10/Projects!$D$18*0.95),0)+IF(AND(Projects!$G$19="Yes",57&gt;=Projects!$C$19,57&lt;Projects!$C$19+Projects!$D$19),IF(57=Projects!$C$19+Projects!$D$19-1,Projects!$B$19*Assumptions!$B$10/Projects!$D$19*0.95+0.05*Projects!$B$19*Assumptions!$B$10,Projects!$B$19*Assumptions!$B$10/Projects!$D$19*0.95),0)+IF(AND(Projects!$G$20="Yes",57&gt;=Projects!$C$20,57&lt;Projects!$C$20+Projects!$D$20),IF(57=Projects!$C$20+Projects!$D$20-1,Projects!$B$20*Assumptions!$B$10/Projects!$D$20*0.95+0.05*Projects!$B$20*Assumptions!$B$10,Projects!$B$20*Assumptions!$B$10/Projects!$D$20*0.95),0)+IF(AND(Projects!$G$21="Yes",57&gt;=Projects!$C$21,57&lt;Projects!$C$21+Projects!$D$21),IF(57=Projects!$C$21+Projects!$D$21-1,Projects!$B$21*Assumptions!$B$10/Projects!$D$21*0.95+0.05*Projects!$B$21*Assumptions!$B$10,Projects!$B$21*Assumptions!$B$10/Projects!$D$21*0.95),0)+IF(AND(Projects!$G$22="Yes",57&gt;=Projects!$C$22,57&lt;Projects!$C$22+Projects!$D$22),IF(57=Projects!$C$22+Projects!$D$22-1,Projects!$B$22*Assumptions!$B$10/Projects!$D$22*0.95+0.05*Projects!$B$22*Assumptions!$B$10,Projects!$B$22*Assumptions!$B$10/Projects!$D$22*0.95),0)+IF(AND(Projects!$G$23="Yes",57&gt;=Projects!$C$23,57&lt;Projects!$C$23+Projects!$D$23),IF(57=Projects!$C$23+Projects!$D$23-1,Projects!$B$23*Assumptions!$B$10/Projects!$D$23*0.95+0.05*Projects!$B$23*Assumptions!$B$10,Projects!$B$23*Assumptions!$B$10/Projects!$D$23*0.95),0)+IF(AND(Projects!$G$24="Yes",57&gt;=Projects!$C$24,57&lt;Projects!$C$24+Projects!$D$24),IF(57=Projects!$C$24+Projects!$D$24-1,Projects!$B$24*Assumptions!$B$10/Projects!$D$24*0.95+0.05*Projects!$B$24*Assumptions!$B$10,Projects!$B$24*Assumptions!$B$10/Projects!$D$24*0.95),0)+IF(AND(Projects!$G$25="Yes",57&gt;=Projects!$C$25,57&lt;Projects!$C$25+Projects!$D$25),IF(57=Projects!$C$25+Projects!$D$25-1,Projects!$B$25*Assumptions!$B$10/Projects!$D$25*0.95+0.05*Projects!$B$25*Assumptions!$B$10,Projects!$B$25*Assumptions!$B$10/Projects!$D$25*0.95),0)+IF(AND(Projects!$G$26="Yes",57&gt;=Projects!$C$26,57&lt;Projects!$C$26+Projects!$D$26),IF(57=Projects!$C$26+Projects!$D$26-1,Projects!$B$26*Assumptions!$B$10/Projects!$D$26*0.95+0.05*Projects!$B$26*Assumptions!$B$10,Projects!$B$26*Assumptions!$B$10/Projects!$D$26*0.95),0)+IF(AND(Projects!$G$27="Yes",57&gt;=Projects!$C$27,57&lt;Projects!$C$27+Projects!$D$27),IF(57=Projects!$C$27+Projects!$D$27-1,Projects!$B$27*Assumptions!$B$10/Projects!$D$27*0.95+0.05*Projects!$B$27*Assumptions!$B$10,Projects!$B$27*Assumptions!$B$10/Projects!$D$27*0.95),0)+IF(AND(Projects!$G$28="Yes",57&gt;=Projects!$C$28,57&lt;Projects!$C$28+Projects!$D$28),IF(57=Projects!$C$28+Projects!$D$28-1,Projects!$B$28*Assumptions!$B$10/Projects!$D$28*0.95+0.05*Projects!$B$28*Assumptions!$B$10,Projects!$B$28*Assumptions!$B$10/Projects!$D$28*0.95),0)+IF(AND(Projects!$G$29="Yes",57&gt;=Projects!$C$29,57&lt;Projects!$C$29+Projects!$D$29),IF(57=Projects!$C$29+Projects!$D$29-1,Projects!$B$29*Assumptions!$B$10/Projects!$D$29*0.95+0.05*Projects!$B$29*Assumptions!$B$10,Projects!$B$29*Assumptions!$B$10/Projects!$D$29*0.95),0)</f>
        <v/>
      </c>
      <c r="BH98">
        <f>IF(AND(Projects!$G$17="Yes",58&gt;=Projects!$C$17,58&lt;Projects!$C$17+Projects!$D$17),IF(58=Projects!$C$17+Projects!$D$17-1,Projects!$B$17*Assumptions!$B$10/Projects!$D$17*0.95+0.05*Projects!$B$17*Assumptions!$B$10,Projects!$B$17*Assumptions!$B$10/Projects!$D$17*0.95),0)+IF(AND(Projects!$G$18="Yes",58&gt;=Projects!$C$18,58&lt;Projects!$C$18+Projects!$D$18),IF(58=Projects!$C$18+Projects!$D$18-1,Projects!$B$18*Assumptions!$B$10/Projects!$D$18*0.95+0.05*Projects!$B$18*Assumptions!$B$10,Projects!$B$18*Assumptions!$B$10/Projects!$D$18*0.95),0)+IF(AND(Projects!$G$19="Yes",58&gt;=Projects!$C$19,58&lt;Projects!$C$19+Projects!$D$19),IF(58=Projects!$C$19+Projects!$D$19-1,Projects!$B$19*Assumptions!$B$10/Projects!$D$19*0.95+0.05*Projects!$B$19*Assumptions!$B$10,Projects!$B$19*Assumptions!$B$10/Projects!$D$19*0.95),0)+IF(AND(Projects!$G$20="Yes",58&gt;=Projects!$C$20,58&lt;Projects!$C$20+Projects!$D$20),IF(58=Projects!$C$20+Projects!$D$20-1,Projects!$B$20*Assumptions!$B$10/Projects!$D$20*0.95+0.05*Projects!$B$20*Assumptions!$B$10,Projects!$B$20*Assumptions!$B$10/Projects!$D$20*0.95),0)+IF(AND(Projects!$G$21="Yes",58&gt;=Projects!$C$21,58&lt;Projects!$C$21+Projects!$D$21),IF(58=Projects!$C$21+Projects!$D$21-1,Projects!$B$21*Assumptions!$B$10/Projects!$D$21*0.95+0.05*Projects!$B$21*Assumptions!$B$10,Projects!$B$21*Assumptions!$B$10/Projects!$D$21*0.95),0)+IF(AND(Projects!$G$22="Yes",58&gt;=Projects!$C$22,58&lt;Projects!$C$22+Projects!$D$22),IF(58=Projects!$C$22+Projects!$D$22-1,Projects!$B$22*Assumptions!$B$10/Projects!$D$22*0.95+0.05*Projects!$B$22*Assumptions!$B$10,Projects!$B$22*Assumptions!$B$10/Projects!$D$22*0.95),0)+IF(AND(Projects!$G$23="Yes",58&gt;=Projects!$C$23,58&lt;Projects!$C$23+Projects!$D$23),IF(58=Projects!$C$23+Projects!$D$23-1,Projects!$B$23*Assumptions!$B$10/Projects!$D$23*0.95+0.05*Projects!$B$23*Assumptions!$B$10,Projects!$B$23*Assumptions!$B$10/Projects!$D$23*0.95),0)+IF(AND(Projects!$G$24="Yes",58&gt;=Projects!$C$24,58&lt;Projects!$C$24+Projects!$D$24),IF(58=Projects!$C$24+Projects!$D$24-1,Projects!$B$24*Assumptions!$B$10/Projects!$D$24*0.95+0.05*Projects!$B$24*Assumptions!$B$10,Projects!$B$24*Assumptions!$B$10/Projects!$D$24*0.95),0)+IF(AND(Projects!$G$25="Yes",58&gt;=Projects!$C$25,58&lt;Projects!$C$25+Projects!$D$25),IF(58=Projects!$C$25+Projects!$D$25-1,Projects!$B$25*Assumptions!$B$10/Projects!$D$25*0.95+0.05*Projects!$B$25*Assumptions!$B$10,Projects!$B$25*Assumptions!$B$10/Projects!$D$25*0.95),0)+IF(AND(Projects!$G$26="Yes",58&gt;=Projects!$C$26,58&lt;Projects!$C$26+Projects!$D$26),IF(58=Projects!$C$26+Projects!$D$26-1,Projects!$B$26*Assumptions!$B$10/Projects!$D$26*0.95+0.05*Projects!$B$26*Assumptions!$B$10,Projects!$B$26*Assumptions!$B$10/Projects!$D$26*0.95),0)+IF(AND(Projects!$G$27="Yes",58&gt;=Projects!$C$27,58&lt;Projects!$C$27+Projects!$D$27),IF(58=Projects!$C$27+Projects!$D$27-1,Projects!$B$27*Assumptions!$B$10/Projects!$D$27*0.95+0.05*Projects!$B$27*Assumptions!$B$10,Projects!$B$27*Assumptions!$B$10/Projects!$D$27*0.95),0)+IF(AND(Projects!$G$28="Yes",58&gt;=Projects!$C$28,58&lt;Projects!$C$28+Projects!$D$28),IF(58=Projects!$C$28+Projects!$D$28-1,Projects!$B$28*Assumptions!$B$10/Projects!$D$28*0.95+0.05*Projects!$B$28*Assumptions!$B$10,Projects!$B$28*Assumptions!$B$10/Projects!$D$28*0.95),0)+IF(AND(Projects!$G$29="Yes",58&gt;=Projects!$C$29,58&lt;Projects!$C$29+Projects!$D$29),IF(58=Projects!$C$29+Projects!$D$29-1,Projects!$B$29*Assumptions!$B$10/Projects!$D$29*0.95+0.05*Projects!$B$29*Assumptions!$B$10,Projects!$B$29*Assumptions!$B$10/Projects!$D$29*0.95),0)</f>
        <v/>
      </c>
      <c r="BI98">
        <f>IF(AND(Projects!$G$17="Yes",59&gt;=Projects!$C$17,59&lt;Projects!$C$17+Projects!$D$17),IF(59=Projects!$C$17+Projects!$D$17-1,Projects!$B$17*Assumptions!$B$10/Projects!$D$17*0.95+0.05*Projects!$B$17*Assumptions!$B$10,Projects!$B$17*Assumptions!$B$10/Projects!$D$17*0.95),0)+IF(AND(Projects!$G$18="Yes",59&gt;=Projects!$C$18,59&lt;Projects!$C$18+Projects!$D$18),IF(59=Projects!$C$18+Projects!$D$18-1,Projects!$B$18*Assumptions!$B$10/Projects!$D$18*0.95+0.05*Projects!$B$18*Assumptions!$B$10,Projects!$B$18*Assumptions!$B$10/Projects!$D$18*0.95),0)+IF(AND(Projects!$G$19="Yes",59&gt;=Projects!$C$19,59&lt;Projects!$C$19+Projects!$D$19),IF(59=Projects!$C$19+Projects!$D$19-1,Projects!$B$19*Assumptions!$B$10/Projects!$D$19*0.95+0.05*Projects!$B$19*Assumptions!$B$10,Projects!$B$19*Assumptions!$B$10/Projects!$D$19*0.95),0)+IF(AND(Projects!$G$20="Yes",59&gt;=Projects!$C$20,59&lt;Projects!$C$20+Projects!$D$20),IF(59=Projects!$C$20+Projects!$D$20-1,Projects!$B$20*Assumptions!$B$10/Projects!$D$20*0.95+0.05*Projects!$B$20*Assumptions!$B$10,Projects!$B$20*Assumptions!$B$10/Projects!$D$20*0.95),0)+IF(AND(Projects!$G$21="Yes",59&gt;=Projects!$C$21,59&lt;Projects!$C$21+Projects!$D$21),IF(59=Projects!$C$21+Projects!$D$21-1,Projects!$B$21*Assumptions!$B$10/Projects!$D$21*0.95+0.05*Projects!$B$21*Assumptions!$B$10,Projects!$B$21*Assumptions!$B$10/Projects!$D$21*0.95),0)+IF(AND(Projects!$G$22="Yes",59&gt;=Projects!$C$22,59&lt;Projects!$C$22+Projects!$D$22),IF(59=Projects!$C$22+Projects!$D$22-1,Projects!$B$22*Assumptions!$B$10/Projects!$D$22*0.95+0.05*Projects!$B$22*Assumptions!$B$10,Projects!$B$22*Assumptions!$B$10/Projects!$D$22*0.95),0)+IF(AND(Projects!$G$23="Yes",59&gt;=Projects!$C$23,59&lt;Projects!$C$23+Projects!$D$23),IF(59=Projects!$C$23+Projects!$D$23-1,Projects!$B$23*Assumptions!$B$10/Projects!$D$23*0.95+0.05*Projects!$B$23*Assumptions!$B$10,Projects!$B$23*Assumptions!$B$10/Projects!$D$23*0.95),0)+IF(AND(Projects!$G$24="Yes",59&gt;=Projects!$C$24,59&lt;Projects!$C$24+Projects!$D$24),IF(59=Projects!$C$24+Projects!$D$24-1,Projects!$B$24*Assumptions!$B$10/Projects!$D$24*0.95+0.05*Projects!$B$24*Assumptions!$B$10,Projects!$B$24*Assumptions!$B$10/Projects!$D$24*0.95),0)+IF(AND(Projects!$G$25="Yes",59&gt;=Projects!$C$25,59&lt;Projects!$C$25+Projects!$D$25),IF(59=Projects!$C$25+Projects!$D$25-1,Projects!$B$25*Assumptions!$B$10/Projects!$D$25*0.95+0.05*Projects!$B$25*Assumptions!$B$10,Projects!$B$25*Assumptions!$B$10/Projects!$D$25*0.95),0)+IF(AND(Projects!$G$26="Yes",59&gt;=Projects!$C$26,59&lt;Projects!$C$26+Projects!$D$26),IF(59=Projects!$C$26+Projects!$D$26-1,Projects!$B$26*Assumptions!$B$10/Projects!$D$26*0.95+0.05*Projects!$B$26*Assumptions!$B$10,Projects!$B$26*Assumptions!$B$10/Projects!$D$26*0.95),0)+IF(AND(Projects!$G$27="Yes",59&gt;=Projects!$C$27,59&lt;Projects!$C$27+Projects!$D$27),IF(59=Projects!$C$27+Projects!$D$27-1,Projects!$B$27*Assumptions!$B$10/Projects!$D$27*0.95+0.05*Projects!$B$27*Assumptions!$B$10,Projects!$B$27*Assumptions!$B$10/Projects!$D$27*0.95),0)+IF(AND(Projects!$G$28="Yes",59&gt;=Projects!$C$28,59&lt;Projects!$C$28+Projects!$D$28),IF(59=Projects!$C$28+Projects!$D$28-1,Projects!$B$28*Assumptions!$B$10/Projects!$D$28*0.95+0.05*Projects!$B$28*Assumptions!$B$10,Projects!$B$28*Assumptions!$B$10/Projects!$D$28*0.95),0)+IF(AND(Projects!$G$29="Yes",59&gt;=Projects!$C$29,59&lt;Projects!$C$29+Projects!$D$29),IF(59=Projects!$C$29+Projects!$D$29-1,Projects!$B$29*Assumptions!$B$10/Projects!$D$29*0.95+0.05*Projects!$B$29*Assumptions!$B$10,Projects!$B$29*Assumptions!$B$10/Projects!$D$29*0.95),0)</f>
        <v/>
      </c>
      <c r="BJ98">
        <f>IF(AND(Projects!$G$17="Yes",60&gt;=Projects!$C$17,60&lt;Projects!$C$17+Projects!$D$17),IF(60=Projects!$C$17+Projects!$D$17-1,Projects!$B$17*Assumptions!$B$10/Projects!$D$17*0.95+0.05*Projects!$B$17*Assumptions!$B$10,Projects!$B$17*Assumptions!$B$10/Projects!$D$17*0.95),0)+IF(AND(Projects!$G$18="Yes",60&gt;=Projects!$C$18,60&lt;Projects!$C$18+Projects!$D$18),IF(60=Projects!$C$18+Projects!$D$18-1,Projects!$B$18*Assumptions!$B$10/Projects!$D$18*0.95+0.05*Projects!$B$18*Assumptions!$B$10,Projects!$B$18*Assumptions!$B$10/Projects!$D$18*0.95),0)+IF(AND(Projects!$G$19="Yes",60&gt;=Projects!$C$19,60&lt;Projects!$C$19+Projects!$D$19),IF(60=Projects!$C$19+Projects!$D$19-1,Projects!$B$19*Assumptions!$B$10/Projects!$D$19*0.95+0.05*Projects!$B$19*Assumptions!$B$10,Projects!$B$19*Assumptions!$B$10/Projects!$D$19*0.95),0)+IF(AND(Projects!$G$20="Yes",60&gt;=Projects!$C$20,60&lt;Projects!$C$20+Projects!$D$20),IF(60=Projects!$C$20+Projects!$D$20-1,Projects!$B$20*Assumptions!$B$10/Projects!$D$20*0.95+0.05*Projects!$B$20*Assumptions!$B$10,Projects!$B$20*Assumptions!$B$10/Projects!$D$20*0.95),0)+IF(AND(Projects!$G$21="Yes",60&gt;=Projects!$C$21,60&lt;Projects!$C$21+Projects!$D$21),IF(60=Projects!$C$21+Projects!$D$21-1,Projects!$B$21*Assumptions!$B$10/Projects!$D$21*0.95+0.05*Projects!$B$21*Assumptions!$B$10,Projects!$B$21*Assumptions!$B$10/Projects!$D$21*0.95),0)+IF(AND(Projects!$G$22="Yes",60&gt;=Projects!$C$22,60&lt;Projects!$C$22+Projects!$D$22),IF(60=Projects!$C$22+Projects!$D$22-1,Projects!$B$22*Assumptions!$B$10/Projects!$D$22*0.95+0.05*Projects!$B$22*Assumptions!$B$10,Projects!$B$22*Assumptions!$B$10/Projects!$D$22*0.95),0)+IF(AND(Projects!$G$23="Yes",60&gt;=Projects!$C$23,60&lt;Projects!$C$23+Projects!$D$23),IF(60=Projects!$C$23+Projects!$D$23-1,Projects!$B$23*Assumptions!$B$10/Projects!$D$23*0.95+0.05*Projects!$B$23*Assumptions!$B$10,Projects!$B$23*Assumptions!$B$10/Projects!$D$23*0.95),0)+IF(AND(Projects!$G$24="Yes",60&gt;=Projects!$C$24,60&lt;Projects!$C$24+Projects!$D$24),IF(60=Projects!$C$24+Projects!$D$24-1,Projects!$B$24*Assumptions!$B$10/Projects!$D$24*0.95+0.05*Projects!$B$24*Assumptions!$B$10,Projects!$B$24*Assumptions!$B$10/Projects!$D$24*0.95),0)+IF(AND(Projects!$G$25="Yes",60&gt;=Projects!$C$25,60&lt;Projects!$C$25+Projects!$D$25),IF(60=Projects!$C$25+Projects!$D$25-1,Projects!$B$25*Assumptions!$B$10/Projects!$D$25*0.95+0.05*Projects!$B$25*Assumptions!$B$10,Projects!$B$25*Assumptions!$B$10/Projects!$D$25*0.95),0)+IF(AND(Projects!$G$26="Yes",60&gt;=Projects!$C$26,60&lt;Projects!$C$26+Projects!$D$26),IF(60=Projects!$C$26+Projects!$D$26-1,Projects!$B$26*Assumptions!$B$10/Projects!$D$26*0.95+0.05*Projects!$B$26*Assumptions!$B$10,Projects!$B$26*Assumptions!$B$10/Projects!$D$26*0.95),0)+IF(AND(Projects!$G$27="Yes",60&gt;=Projects!$C$27,60&lt;Projects!$C$27+Projects!$D$27),IF(60=Projects!$C$27+Projects!$D$27-1,Projects!$B$27*Assumptions!$B$10/Projects!$D$27*0.95+0.05*Projects!$B$27*Assumptions!$B$10,Projects!$B$27*Assumptions!$B$10/Projects!$D$27*0.95),0)+IF(AND(Projects!$G$28="Yes",60&gt;=Projects!$C$28,60&lt;Projects!$C$28+Projects!$D$28),IF(60=Projects!$C$28+Projects!$D$28-1,Projects!$B$28*Assumptions!$B$10/Projects!$D$28*0.95+0.05*Projects!$B$28*Assumptions!$B$10,Projects!$B$28*Assumptions!$B$10/Projects!$D$28*0.95),0)+IF(AND(Projects!$G$29="Yes",60&gt;=Projects!$C$29,60&lt;Projects!$C$29+Projects!$D$29),IF(60=Projects!$C$29+Projects!$D$29-1,Projects!$B$29*Assumptions!$B$10/Projects!$D$29*0.95+0.05*Projects!$B$29*Assumptions!$B$10,Projects!$B$29*Assumptions!$B$10/Projects!$D$29*0.95),0)</f>
        <v/>
      </c>
      <c r="BK98">
        <f>IF(AND(Projects!$G$17="Yes",61&gt;=Projects!$C$17,61&lt;Projects!$C$17+Projects!$D$17),IF(61=Projects!$C$17+Projects!$D$17-1,Projects!$B$17*Assumptions!$B$10/Projects!$D$17*0.95+0.05*Projects!$B$17*Assumptions!$B$10,Projects!$B$17*Assumptions!$B$10/Projects!$D$17*0.95),0)+IF(AND(Projects!$G$18="Yes",61&gt;=Projects!$C$18,61&lt;Projects!$C$18+Projects!$D$18),IF(61=Projects!$C$18+Projects!$D$18-1,Projects!$B$18*Assumptions!$B$10/Projects!$D$18*0.95+0.05*Projects!$B$18*Assumptions!$B$10,Projects!$B$18*Assumptions!$B$10/Projects!$D$18*0.95),0)+IF(AND(Projects!$G$19="Yes",61&gt;=Projects!$C$19,61&lt;Projects!$C$19+Projects!$D$19),IF(61=Projects!$C$19+Projects!$D$19-1,Projects!$B$19*Assumptions!$B$10/Projects!$D$19*0.95+0.05*Projects!$B$19*Assumptions!$B$10,Projects!$B$19*Assumptions!$B$10/Projects!$D$19*0.95),0)+IF(AND(Projects!$G$20="Yes",61&gt;=Projects!$C$20,61&lt;Projects!$C$20+Projects!$D$20),IF(61=Projects!$C$20+Projects!$D$20-1,Projects!$B$20*Assumptions!$B$10/Projects!$D$20*0.95+0.05*Projects!$B$20*Assumptions!$B$10,Projects!$B$20*Assumptions!$B$10/Projects!$D$20*0.95),0)+IF(AND(Projects!$G$21="Yes",61&gt;=Projects!$C$21,61&lt;Projects!$C$21+Projects!$D$21),IF(61=Projects!$C$21+Projects!$D$21-1,Projects!$B$21*Assumptions!$B$10/Projects!$D$21*0.95+0.05*Projects!$B$21*Assumptions!$B$10,Projects!$B$21*Assumptions!$B$10/Projects!$D$21*0.95),0)+IF(AND(Projects!$G$22="Yes",61&gt;=Projects!$C$22,61&lt;Projects!$C$22+Projects!$D$22),IF(61=Projects!$C$22+Projects!$D$22-1,Projects!$B$22*Assumptions!$B$10/Projects!$D$22*0.95+0.05*Projects!$B$22*Assumptions!$B$10,Projects!$B$22*Assumptions!$B$10/Projects!$D$22*0.95),0)+IF(AND(Projects!$G$23="Yes",61&gt;=Projects!$C$23,61&lt;Projects!$C$23+Projects!$D$23),IF(61=Projects!$C$23+Projects!$D$23-1,Projects!$B$23*Assumptions!$B$10/Projects!$D$23*0.95+0.05*Projects!$B$23*Assumptions!$B$10,Projects!$B$23*Assumptions!$B$10/Projects!$D$23*0.95),0)+IF(AND(Projects!$G$24="Yes",61&gt;=Projects!$C$24,61&lt;Projects!$C$24+Projects!$D$24),IF(61=Projects!$C$24+Projects!$D$24-1,Projects!$B$24*Assumptions!$B$10/Projects!$D$24*0.95+0.05*Projects!$B$24*Assumptions!$B$10,Projects!$B$24*Assumptions!$B$10/Projects!$D$24*0.95),0)+IF(AND(Projects!$G$25="Yes",61&gt;=Projects!$C$25,61&lt;Projects!$C$25+Projects!$D$25),IF(61=Projects!$C$25+Projects!$D$25-1,Projects!$B$25*Assumptions!$B$10/Projects!$D$25*0.95+0.05*Projects!$B$25*Assumptions!$B$10,Projects!$B$25*Assumptions!$B$10/Projects!$D$25*0.95),0)+IF(AND(Projects!$G$26="Yes",61&gt;=Projects!$C$26,61&lt;Projects!$C$26+Projects!$D$26),IF(61=Projects!$C$26+Projects!$D$26-1,Projects!$B$26*Assumptions!$B$10/Projects!$D$26*0.95+0.05*Projects!$B$26*Assumptions!$B$10,Projects!$B$26*Assumptions!$B$10/Projects!$D$26*0.95),0)+IF(AND(Projects!$G$27="Yes",61&gt;=Projects!$C$27,61&lt;Projects!$C$27+Projects!$D$27),IF(61=Projects!$C$27+Projects!$D$27-1,Projects!$B$27*Assumptions!$B$10/Projects!$D$27*0.95+0.05*Projects!$B$27*Assumptions!$B$10,Projects!$B$27*Assumptions!$B$10/Projects!$D$27*0.95),0)+IF(AND(Projects!$G$28="Yes",61&gt;=Projects!$C$28,61&lt;Projects!$C$28+Projects!$D$28),IF(61=Projects!$C$28+Projects!$D$28-1,Projects!$B$28*Assumptions!$B$10/Projects!$D$28*0.95+0.05*Projects!$B$28*Assumptions!$B$10,Projects!$B$28*Assumptions!$B$10/Projects!$D$28*0.95),0)+IF(AND(Projects!$G$29="Yes",61&gt;=Projects!$C$29,61&lt;Projects!$C$29+Projects!$D$29),IF(61=Projects!$C$29+Projects!$D$29-1,Projects!$B$29*Assumptions!$B$10/Projects!$D$29*0.95+0.05*Projects!$B$29*Assumptions!$B$10,Projects!$B$29*Assumptions!$B$10/Projects!$D$29*0.95),0)</f>
        <v/>
      </c>
      <c r="BL98">
        <f>IF(AND(Projects!$G$17="Yes",62&gt;=Projects!$C$17,62&lt;Projects!$C$17+Projects!$D$17),IF(62=Projects!$C$17+Projects!$D$17-1,Projects!$B$17*Assumptions!$B$10/Projects!$D$17*0.95+0.05*Projects!$B$17*Assumptions!$B$10,Projects!$B$17*Assumptions!$B$10/Projects!$D$17*0.95),0)+IF(AND(Projects!$G$18="Yes",62&gt;=Projects!$C$18,62&lt;Projects!$C$18+Projects!$D$18),IF(62=Projects!$C$18+Projects!$D$18-1,Projects!$B$18*Assumptions!$B$10/Projects!$D$18*0.95+0.05*Projects!$B$18*Assumptions!$B$10,Projects!$B$18*Assumptions!$B$10/Projects!$D$18*0.95),0)+IF(AND(Projects!$G$19="Yes",62&gt;=Projects!$C$19,62&lt;Projects!$C$19+Projects!$D$19),IF(62=Projects!$C$19+Projects!$D$19-1,Projects!$B$19*Assumptions!$B$10/Projects!$D$19*0.95+0.05*Projects!$B$19*Assumptions!$B$10,Projects!$B$19*Assumptions!$B$10/Projects!$D$19*0.95),0)+IF(AND(Projects!$G$20="Yes",62&gt;=Projects!$C$20,62&lt;Projects!$C$20+Projects!$D$20),IF(62=Projects!$C$20+Projects!$D$20-1,Projects!$B$20*Assumptions!$B$10/Projects!$D$20*0.95+0.05*Projects!$B$20*Assumptions!$B$10,Projects!$B$20*Assumptions!$B$10/Projects!$D$20*0.95),0)+IF(AND(Projects!$G$21="Yes",62&gt;=Projects!$C$21,62&lt;Projects!$C$21+Projects!$D$21),IF(62=Projects!$C$21+Projects!$D$21-1,Projects!$B$21*Assumptions!$B$10/Projects!$D$21*0.95+0.05*Projects!$B$21*Assumptions!$B$10,Projects!$B$21*Assumptions!$B$10/Projects!$D$21*0.95),0)+IF(AND(Projects!$G$22="Yes",62&gt;=Projects!$C$22,62&lt;Projects!$C$22+Projects!$D$22),IF(62=Projects!$C$22+Projects!$D$22-1,Projects!$B$22*Assumptions!$B$10/Projects!$D$22*0.95+0.05*Projects!$B$22*Assumptions!$B$10,Projects!$B$22*Assumptions!$B$10/Projects!$D$22*0.95),0)+IF(AND(Projects!$G$23="Yes",62&gt;=Projects!$C$23,62&lt;Projects!$C$23+Projects!$D$23),IF(62=Projects!$C$23+Projects!$D$23-1,Projects!$B$23*Assumptions!$B$10/Projects!$D$23*0.95+0.05*Projects!$B$23*Assumptions!$B$10,Projects!$B$23*Assumptions!$B$10/Projects!$D$23*0.95),0)+IF(AND(Projects!$G$24="Yes",62&gt;=Projects!$C$24,62&lt;Projects!$C$24+Projects!$D$24),IF(62=Projects!$C$24+Projects!$D$24-1,Projects!$B$24*Assumptions!$B$10/Projects!$D$24*0.95+0.05*Projects!$B$24*Assumptions!$B$10,Projects!$B$24*Assumptions!$B$10/Projects!$D$24*0.95),0)+IF(AND(Projects!$G$25="Yes",62&gt;=Projects!$C$25,62&lt;Projects!$C$25+Projects!$D$25),IF(62=Projects!$C$25+Projects!$D$25-1,Projects!$B$25*Assumptions!$B$10/Projects!$D$25*0.95+0.05*Projects!$B$25*Assumptions!$B$10,Projects!$B$25*Assumptions!$B$10/Projects!$D$25*0.95),0)+IF(AND(Projects!$G$26="Yes",62&gt;=Projects!$C$26,62&lt;Projects!$C$26+Projects!$D$26),IF(62=Projects!$C$26+Projects!$D$26-1,Projects!$B$26*Assumptions!$B$10/Projects!$D$26*0.95+0.05*Projects!$B$26*Assumptions!$B$10,Projects!$B$26*Assumptions!$B$10/Projects!$D$26*0.95),0)+IF(AND(Projects!$G$27="Yes",62&gt;=Projects!$C$27,62&lt;Projects!$C$27+Projects!$D$27),IF(62=Projects!$C$27+Projects!$D$27-1,Projects!$B$27*Assumptions!$B$10/Projects!$D$27*0.95+0.05*Projects!$B$27*Assumptions!$B$10,Projects!$B$27*Assumptions!$B$10/Projects!$D$27*0.95),0)+IF(AND(Projects!$G$28="Yes",62&gt;=Projects!$C$28,62&lt;Projects!$C$28+Projects!$D$28),IF(62=Projects!$C$28+Projects!$D$28-1,Projects!$B$28*Assumptions!$B$10/Projects!$D$28*0.95+0.05*Projects!$B$28*Assumptions!$B$10,Projects!$B$28*Assumptions!$B$10/Projects!$D$28*0.95),0)+IF(AND(Projects!$G$29="Yes",62&gt;=Projects!$C$29,62&lt;Projects!$C$29+Projects!$D$29),IF(62=Projects!$C$29+Projects!$D$29-1,Projects!$B$29*Assumptions!$B$10/Projects!$D$29*0.95+0.05*Projects!$B$29*Assumptions!$B$10,Projects!$B$29*Assumptions!$B$10/Projects!$D$29*0.95),0)</f>
        <v/>
      </c>
      <c r="BM98">
        <f>IF(AND(Projects!$G$17="Yes",63&gt;=Projects!$C$17,63&lt;Projects!$C$17+Projects!$D$17),IF(63=Projects!$C$17+Projects!$D$17-1,Projects!$B$17*Assumptions!$B$10/Projects!$D$17*0.95+0.05*Projects!$B$17*Assumptions!$B$10,Projects!$B$17*Assumptions!$B$10/Projects!$D$17*0.95),0)+IF(AND(Projects!$G$18="Yes",63&gt;=Projects!$C$18,63&lt;Projects!$C$18+Projects!$D$18),IF(63=Projects!$C$18+Projects!$D$18-1,Projects!$B$18*Assumptions!$B$10/Projects!$D$18*0.95+0.05*Projects!$B$18*Assumptions!$B$10,Projects!$B$18*Assumptions!$B$10/Projects!$D$18*0.95),0)+IF(AND(Projects!$G$19="Yes",63&gt;=Projects!$C$19,63&lt;Projects!$C$19+Projects!$D$19),IF(63=Projects!$C$19+Projects!$D$19-1,Projects!$B$19*Assumptions!$B$10/Projects!$D$19*0.95+0.05*Projects!$B$19*Assumptions!$B$10,Projects!$B$19*Assumptions!$B$10/Projects!$D$19*0.95),0)+IF(AND(Projects!$G$20="Yes",63&gt;=Projects!$C$20,63&lt;Projects!$C$20+Projects!$D$20),IF(63=Projects!$C$20+Projects!$D$20-1,Projects!$B$20*Assumptions!$B$10/Projects!$D$20*0.95+0.05*Projects!$B$20*Assumptions!$B$10,Projects!$B$20*Assumptions!$B$10/Projects!$D$20*0.95),0)+IF(AND(Projects!$G$21="Yes",63&gt;=Projects!$C$21,63&lt;Projects!$C$21+Projects!$D$21),IF(63=Projects!$C$21+Projects!$D$21-1,Projects!$B$21*Assumptions!$B$10/Projects!$D$21*0.95+0.05*Projects!$B$21*Assumptions!$B$10,Projects!$B$21*Assumptions!$B$10/Projects!$D$21*0.95),0)+IF(AND(Projects!$G$22="Yes",63&gt;=Projects!$C$22,63&lt;Projects!$C$22+Projects!$D$22),IF(63=Projects!$C$22+Projects!$D$22-1,Projects!$B$22*Assumptions!$B$10/Projects!$D$22*0.95+0.05*Projects!$B$22*Assumptions!$B$10,Projects!$B$22*Assumptions!$B$10/Projects!$D$22*0.95),0)+IF(AND(Projects!$G$23="Yes",63&gt;=Projects!$C$23,63&lt;Projects!$C$23+Projects!$D$23),IF(63=Projects!$C$23+Projects!$D$23-1,Projects!$B$23*Assumptions!$B$10/Projects!$D$23*0.95+0.05*Projects!$B$23*Assumptions!$B$10,Projects!$B$23*Assumptions!$B$10/Projects!$D$23*0.95),0)+IF(AND(Projects!$G$24="Yes",63&gt;=Projects!$C$24,63&lt;Projects!$C$24+Projects!$D$24),IF(63=Projects!$C$24+Projects!$D$24-1,Projects!$B$24*Assumptions!$B$10/Projects!$D$24*0.95+0.05*Projects!$B$24*Assumptions!$B$10,Projects!$B$24*Assumptions!$B$10/Projects!$D$24*0.95),0)+IF(AND(Projects!$G$25="Yes",63&gt;=Projects!$C$25,63&lt;Projects!$C$25+Projects!$D$25),IF(63=Projects!$C$25+Projects!$D$25-1,Projects!$B$25*Assumptions!$B$10/Projects!$D$25*0.95+0.05*Projects!$B$25*Assumptions!$B$10,Projects!$B$25*Assumptions!$B$10/Projects!$D$25*0.95),0)+IF(AND(Projects!$G$26="Yes",63&gt;=Projects!$C$26,63&lt;Projects!$C$26+Projects!$D$26),IF(63=Projects!$C$26+Projects!$D$26-1,Projects!$B$26*Assumptions!$B$10/Projects!$D$26*0.95+0.05*Projects!$B$26*Assumptions!$B$10,Projects!$B$26*Assumptions!$B$10/Projects!$D$26*0.95),0)+IF(AND(Projects!$G$27="Yes",63&gt;=Projects!$C$27,63&lt;Projects!$C$27+Projects!$D$27),IF(63=Projects!$C$27+Projects!$D$27-1,Projects!$B$27*Assumptions!$B$10/Projects!$D$27*0.95+0.05*Projects!$B$27*Assumptions!$B$10,Projects!$B$27*Assumptions!$B$10/Projects!$D$27*0.95),0)+IF(AND(Projects!$G$28="Yes",63&gt;=Projects!$C$28,63&lt;Projects!$C$28+Projects!$D$28),IF(63=Projects!$C$28+Projects!$D$28-1,Projects!$B$28*Assumptions!$B$10/Projects!$D$28*0.95+0.05*Projects!$B$28*Assumptions!$B$10,Projects!$B$28*Assumptions!$B$10/Projects!$D$28*0.95),0)+IF(AND(Projects!$G$29="Yes",63&gt;=Projects!$C$29,63&lt;Projects!$C$29+Projects!$D$29),IF(63=Projects!$C$29+Projects!$D$29-1,Projects!$B$29*Assumptions!$B$10/Projects!$D$29*0.95+0.05*Projects!$B$29*Assumptions!$B$10,Projects!$B$29*Assumptions!$B$10/Projects!$D$29*0.95),0)</f>
        <v/>
      </c>
      <c r="BN98">
        <f>IF(AND(Projects!$G$17="Yes",64&gt;=Projects!$C$17,64&lt;Projects!$C$17+Projects!$D$17),IF(64=Projects!$C$17+Projects!$D$17-1,Projects!$B$17*Assumptions!$B$10/Projects!$D$17*0.95+0.05*Projects!$B$17*Assumptions!$B$10,Projects!$B$17*Assumptions!$B$10/Projects!$D$17*0.95),0)+IF(AND(Projects!$G$18="Yes",64&gt;=Projects!$C$18,64&lt;Projects!$C$18+Projects!$D$18),IF(64=Projects!$C$18+Projects!$D$18-1,Projects!$B$18*Assumptions!$B$10/Projects!$D$18*0.95+0.05*Projects!$B$18*Assumptions!$B$10,Projects!$B$18*Assumptions!$B$10/Projects!$D$18*0.95),0)+IF(AND(Projects!$G$19="Yes",64&gt;=Projects!$C$19,64&lt;Projects!$C$19+Projects!$D$19),IF(64=Projects!$C$19+Projects!$D$19-1,Projects!$B$19*Assumptions!$B$10/Projects!$D$19*0.95+0.05*Projects!$B$19*Assumptions!$B$10,Projects!$B$19*Assumptions!$B$10/Projects!$D$19*0.95),0)+IF(AND(Projects!$G$20="Yes",64&gt;=Projects!$C$20,64&lt;Projects!$C$20+Projects!$D$20),IF(64=Projects!$C$20+Projects!$D$20-1,Projects!$B$20*Assumptions!$B$10/Projects!$D$20*0.95+0.05*Projects!$B$20*Assumptions!$B$10,Projects!$B$20*Assumptions!$B$10/Projects!$D$20*0.95),0)+IF(AND(Projects!$G$21="Yes",64&gt;=Projects!$C$21,64&lt;Projects!$C$21+Projects!$D$21),IF(64=Projects!$C$21+Projects!$D$21-1,Projects!$B$21*Assumptions!$B$10/Projects!$D$21*0.95+0.05*Projects!$B$21*Assumptions!$B$10,Projects!$B$21*Assumptions!$B$10/Projects!$D$21*0.95),0)+IF(AND(Projects!$G$22="Yes",64&gt;=Projects!$C$22,64&lt;Projects!$C$22+Projects!$D$22),IF(64=Projects!$C$22+Projects!$D$22-1,Projects!$B$22*Assumptions!$B$10/Projects!$D$22*0.95+0.05*Projects!$B$22*Assumptions!$B$10,Projects!$B$22*Assumptions!$B$10/Projects!$D$22*0.95),0)+IF(AND(Projects!$G$23="Yes",64&gt;=Projects!$C$23,64&lt;Projects!$C$23+Projects!$D$23),IF(64=Projects!$C$23+Projects!$D$23-1,Projects!$B$23*Assumptions!$B$10/Projects!$D$23*0.95+0.05*Projects!$B$23*Assumptions!$B$10,Projects!$B$23*Assumptions!$B$10/Projects!$D$23*0.95),0)+IF(AND(Projects!$G$24="Yes",64&gt;=Projects!$C$24,64&lt;Projects!$C$24+Projects!$D$24),IF(64=Projects!$C$24+Projects!$D$24-1,Projects!$B$24*Assumptions!$B$10/Projects!$D$24*0.95+0.05*Projects!$B$24*Assumptions!$B$10,Projects!$B$24*Assumptions!$B$10/Projects!$D$24*0.95),0)+IF(AND(Projects!$G$25="Yes",64&gt;=Projects!$C$25,64&lt;Projects!$C$25+Projects!$D$25),IF(64=Projects!$C$25+Projects!$D$25-1,Projects!$B$25*Assumptions!$B$10/Projects!$D$25*0.95+0.05*Projects!$B$25*Assumptions!$B$10,Projects!$B$25*Assumptions!$B$10/Projects!$D$25*0.95),0)+IF(AND(Projects!$G$26="Yes",64&gt;=Projects!$C$26,64&lt;Projects!$C$26+Projects!$D$26),IF(64=Projects!$C$26+Projects!$D$26-1,Projects!$B$26*Assumptions!$B$10/Projects!$D$26*0.95+0.05*Projects!$B$26*Assumptions!$B$10,Projects!$B$26*Assumptions!$B$10/Projects!$D$26*0.95),0)+IF(AND(Projects!$G$27="Yes",64&gt;=Projects!$C$27,64&lt;Projects!$C$27+Projects!$D$27),IF(64=Projects!$C$27+Projects!$D$27-1,Projects!$B$27*Assumptions!$B$10/Projects!$D$27*0.95+0.05*Projects!$B$27*Assumptions!$B$10,Projects!$B$27*Assumptions!$B$10/Projects!$D$27*0.95),0)+IF(AND(Projects!$G$28="Yes",64&gt;=Projects!$C$28,64&lt;Projects!$C$28+Projects!$D$28),IF(64=Projects!$C$28+Projects!$D$28-1,Projects!$B$28*Assumptions!$B$10/Projects!$D$28*0.95+0.05*Projects!$B$28*Assumptions!$B$10,Projects!$B$28*Assumptions!$B$10/Projects!$D$28*0.95),0)+IF(AND(Projects!$G$29="Yes",64&gt;=Projects!$C$29,64&lt;Projects!$C$29+Projects!$D$29),IF(64=Projects!$C$29+Projects!$D$29-1,Projects!$B$29*Assumptions!$B$10/Projects!$D$29*0.95+0.05*Projects!$B$29*Assumptions!$B$10,Projects!$B$29*Assumptions!$B$10/Projects!$D$29*0.95),0)</f>
        <v/>
      </c>
      <c r="BO98">
        <f>IF(AND(Projects!$G$17="Yes",65&gt;=Projects!$C$17,65&lt;Projects!$C$17+Projects!$D$17),IF(65=Projects!$C$17+Projects!$D$17-1,Projects!$B$17*Assumptions!$B$10/Projects!$D$17*0.95+0.05*Projects!$B$17*Assumptions!$B$10,Projects!$B$17*Assumptions!$B$10/Projects!$D$17*0.95),0)+IF(AND(Projects!$G$18="Yes",65&gt;=Projects!$C$18,65&lt;Projects!$C$18+Projects!$D$18),IF(65=Projects!$C$18+Projects!$D$18-1,Projects!$B$18*Assumptions!$B$10/Projects!$D$18*0.95+0.05*Projects!$B$18*Assumptions!$B$10,Projects!$B$18*Assumptions!$B$10/Projects!$D$18*0.95),0)+IF(AND(Projects!$G$19="Yes",65&gt;=Projects!$C$19,65&lt;Projects!$C$19+Projects!$D$19),IF(65=Projects!$C$19+Projects!$D$19-1,Projects!$B$19*Assumptions!$B$10/Projects!$D$19*0.95+0.05*Projects!$B$19*Assumptions!$B$10,Projects!$B$19*Assumptions!$B$10/Projects!$D$19*0.95),0)+IF(AND(Projects!$G$20="Yes",65&gt;=Projects!$C$20,65&lt;Projects!$C$20+Projects!$D$20),IF(65=Projects!$C$20+Projects!$D$20-1,Projects!$B$20*Assumptions!$B$10/Projects!$D$20*0.95+0.05*Projects!$B$20*Assumptions!$B$10,Projects!$B$20*Assumptions!$B$10/Projects!$D$20*0.95),0)+IF(AND(Projects!$G$21="Yes",65&gt;=Projects!$C$21,65&lt;Projects!$C$21+Projects!$D$21),IF(65=Projects!$C$21+Projects!$D$21-1,Projects!$B$21*Assumptions!$B$10/Projects!$D$21*0.95+0.05*Projects!$B$21*Assumptions!$B$10,Projects!$B$21*Assumptions!$B$10/Projects!$D$21*0.95),0)+IF(AND(Projects!$G$22="Yes",65&gt;=Projects!$C$22,65&lt;Projects!$C$22+Projects!$D$22),IF(65=Projects!$C$22+Projects!$D$22-1,Projects!$B$22*Assumptions!$B$10/Projects!$D$22*0.95+0.05*Projects!$B$22*Assumptions!$B$10,Projects!$B$22*Assumptions!$B$10/Projects!$D$22*0.95),0)+IF(AND(Projects!$G$23="Yes",65&gt;=Projects!$C$23,65&lt;Projects!$C$23+Projects!$D$23),IF(65=Projects!$C$23+Projects!$D$23-1,Projects!$B$23*Assumptions!$B$10/Projects!$D$23*0.95+0.05*Projects!$B$23*Assumptions!$B$10,Projects!$B$23*Assumptions!$B$10/Projects!$D$23*0.95),0)+IF(AND(Projects!$G$24="Yes",65&gt;=Projects!$C$24,65&lt;Projects!$C$24+Projects!$D$24),IF(65=Projects!$C$24+Projects!$D$24-1,Projects!$B$24*Assumptions!$B$10/Projects!$D$24*0.95+0.05*Projects!$B$24*Assumptions!$B$10,Projects!$B$24*Assumptions!$B$10/Projects!$D$24*0.95),0)+IF(AND(Projects!$G$25="Yes",65&gt;=Projects!$C$25,65&lt;Projects!$C$25+Projects!$D$25),IF(65=Projects!$C$25+Projects!$D$25-1,Projects!$B$25*Assumptions!$B$10/Projects!$D$25*0.95+0.05*Projects!$B$25*Assumptions!$B$10,Projects!$B$25*Assumptions!$B$10/Projects!$D$25*0.95),0)+IF(AND(Projects!$G$26="Yes",65&gt;=Projects!$C$26,65&lt;Projects!$C$26+Projects!$D$26),IF(65=Projects!$C$26+Projects!$D$26-1,Projects!$B$26*Assumptions!$B$10/Projects!$D$26*0.95+0.05*Projects!$B$26*Assumptions!$B$10,Projects!$B$26*Assumptions!$B$10/Projects!$D$26*0.95),0)+IF(AND(Projects!$G$27="Yes",65&gt;=Projects!$C$27,65&lt;Projects!$C$27+Projects!$D$27),IF(65=Projects!$C$27+Projects!$D$27-1,Projects!$B$27*Assumptions!$B$10/Projects!$D$27*0.95+0.05*Projects!$B$27*Assumptions!$B$10,Projects!$B$27*Assumptions!$B$10/Projects!$D$27*0.95),0)+IF(AND(Projects!$G$28="Yes",65&gt;=Projects!$C$28,65&lt;Projects!$C$28+Projects!$D$28),IF(65=Projects!$C$28+Projects!$D$28-1,Projects!$B$28*Assumptions!$B$10/Projects!$D$28*0.95+0.05*Projects!$B$28*Assumptions!$B$10,Projects!$B$28*Assumptions!$B$10/Projects!$D$28*0.95),0)+IF(AND(Projects!$G$29="Yes",65&gt;=Projects!$C$29,65&lt;Projects!$C$29+Projects!$D$29),IF(65=Projects!$C$29+Projects!$D$29-1,Projects!$B$29*Assumptions!$B$10/Projects!$D$29*0.95+0.05*Projects!$B$29*Assumptions!$B$10,Projects!$B$29*Assumptions!$B$10/Projects!$D$29*0.95),0)</f>
        <v/>
      </c>
      <c r="BP98">
        <f>IF(AND(Projects!$G$17="Yes",66&gt;=Projects!$C$17,66&lt;Projects!$C$17+Projects!$D$17),IF(66=Projects!$C$17+Projects!$D$17-1,Projects!$B$17*Assumptions!$B$10/Projects!$D$17*0.95+0.05*Projects!$B$17*Assumptions!$B$10,Projects!$B$17*Assumptions!$B$10/Projects!$D$17*0.95),0)+IF(AND(Projects!$G$18="Yes",66&gt;=Projects!$C$18,66&lt;Projects!$C$18+Projects!$D$18),IF(66=Projects!$C$18+Projects!$D$18-1,Projects!$B$18*Assumptions!$B$10/Projects!$D$18*0.95+0.05*Projects!$B$18*Assumptions!$B$10,Projects!$B$18*Assumptions!$B$10/Projects!$D$18*0.95),0)+IF(AND(Projects!$G$19="Yes",66&gt;=Projects!$C$19,66&lt;Projects!$C$19+Projects!$D$19),IF(66=Projects!$C$19+Projects!$D$19-1,Projects!$B$19*Assumptions!$B$10/Projects!$D$19*0.95+0.05*Projects!$B$19*Assumptions!$B$10,Projects!$B$19*Assumptions!$B$10/Projects!$D$19*0.95),0)+IF(AND(Projects!$G$20="Yes",66&gt;=Projects!$C$20,66&lt;Projects!$C$20+Projects!$D$20),IF(66=Projects!$C$20+Projects!$D$20-1,Projects!$B$20*Assumptions!$B$10/Projects!$D$20*0.95+0.05*Projects!$B$20*Assumptions!$B$10,Projects!$B$20*Assumptions!$B$10/Projects!$D$20*0.95),0)+IF(AND(Projects!$G$21="Yes",66&gt;=Projects!$C$21,66&lt;Projects!$C$21+Projects!$D$21),IF(66=Projects!$C$21+Projects!$D$21-1,Projects!$B$21*Assumptions!$B$10/Projects!$D$21*0.95+0.05*Projects!$B$21*Assumptions!$B$10,Projects!$B$21*Assumptions!$B$10/Projects!$D$21*0.95),0)+IF(AND(Projects!$G$22="Yes",66&gt;=Projects!$C$22,66&lt;Projects!$C$22+Projects!$D$22),IF(66=Projects!$C$22+Projects!$D$22-1,Projects!$B$22*Assumptions!$B$10/Projects!$D$22*0.95+0.05*Projects!$B$22*Assumptions!$B$10,Projects!$B$22*Assumptions!$B$10/Projects!$D$22*0.95),0)+IF(AND(Projects!$G$23="Yes",66&gt;=Projects!$C$23,66&lt;Projects!$C$23+Projects!$D$23),IF(66=Projects!$C$23+Projects!$D$23-1,Projects!$B$23*Assumptions!$B$10/Projects!$D$23*0.95+0.05*Projects!$B$23*Assumptions!$B$10,Projects!$B$23*Assumptions!$B$10/Projects!$D$23*0.95),0)+IF(AND(Projects!$G$24="Yes",66&gt;=Projects!$C$24,66&lt;Projects!$C$24+Projects!$D$24),IF(66=Projects!$C$24+Projects!$D$24-1,Projects!$B$24*Assumptions!$B$10/Projects!$D$24*0.95+0.05*Projects!$B$24*Assumptions!$B$10,Projects!$B$24*Assumptions!$B$10/Projects!$D$24*0.95),0)+IF(AND(Projects!$G$25="Yes",66&gt;=Projects!$C$25,66&lt;Projects!$C$25+Projects!$D$25),IF(66=Projects!$C$25+Projects!$D$25-1,Projects!$B$25*Assumptions!$B$10/Projects!$D$25*0.95+0.05*Projects!$B$25*Assumptions!$B$10,Projects!$B$25*Assumptions!$B$10/Projects!$D$25*0.95),0)+IF(AND(Projects!$G$26="Yes",66&gt;=Projects!$C$26,66&lt;Projects!$C$26+Projects!$D$26),IF(66=Projects!$C$26+Projects!$D$26-1,Projects!$B$26*Assumptions!$B$10/Projects!$D$26*0.95+0.05*Projects!$B$26*Assumptions!$B$10,Projects!$B$26*Assumptions!$B$10/Projects!$D$26*0.95),0)+IF(AND(Projects!$G$27="Yes",66&gt;=Projects!$C$27,66&lt;Projects!$C$27+Projects!$D$27),IF(66=Projects!$C$27+Projects!$D$27-1,Projects!$B$27*Assumptions!$B$10/Projects!$D$27*0.95+0.05*Projects!$B$27*Assumptions!$B$10,Projects!$B$27*Assumptions!$B$10/Projects!$D$27*0.95),0)+IF(AND(Projects!$G$28="Yes",66&gt;=Projects!$C$28,66&lt;Projects!$C$28+Projects!$D$28),IF(66=Projects!$C$28+Projects!$D$28-1,Projects!$B$28*Assumptions!$B$10/Projects!$D$28*0.95+0.05*Projects!$B$28*Assumptions!$B$10,Projects!$B$28*Assumptions!$B$10/Projects!$D$28*0.95),0)+IF(AND(Projects!$G$29="Yes",66&gt;=Projects!$C$29,66&lt;Projects!$C$29+Projects!$D$29),IF(66=Projects!$C$29+Projects!$D$29-1,Projects!$B$29*Assumptions!$B$10/Projects!$D$29*0.95+0.05*Projects!$B$29*Assumptions!$B$10,Projects!$B$29*Assumptions!$B$10/Projects!$D$29*0.95),0)</f>
        <v/>
      </c>
      <c r="BQ98">
        <f>IF(AND(Projects!$G$17="Yes",67&gt;=Projects!$C$17,67&lt;Projects!$C$17+Projects!$D$17),IF(67=Projects!$C$17+Projects!$D$17-1,Projects!$B$17*Assumptions!$B$10/Projects!$D$17*0.95+0.05*Projects!$B$17*Assumptions!$B$10,Projects!$B$17*Assumptions!$B$10/Projects!$D$17*0.95),0)+IF(AND(Projects!$G$18="Yes",67&gt;=Projects!$C$18,67&lt;Projects!$C$18+Projects!$D$18),IF(67=Projects!$C$18+Projects!$D$18-1,Projects!$B$18*Assumptions!$B$10/Projects!$D$18*0.95+0.05*Projects!$B$18*Assumptions!$B$10,Projects!$B$18*Assumptions!$B$10/Projects!$D$18*0.95),0)+IF(AND(Projects!$G$19="Yes",67&gt;=Projects!$C$19,67&lt;Projects!$C$19+Projects!$D$19),IF(67=Projects!$C$19+Projects!$D$19-1,Projects!$B$19*Assumptions!$B$10/Projects!$D$19*0.95+0.05*Projects!$B$19*Assumptions!$B$10,Projects!$B$19*Assumptions!$B$10/Projects!$D$19*0.95),0)+IF(AND(Projects!$G$20="Yes",67&gt;=Projects!$C$20,67&lt;Projects!$C$20+Projects!$D$20),IF(67=Projects!$C$20+Projects!$D$20-1,Projects!$B$20*Assumptions!$B$10/Projects!$D$20*0.95+0.05*Projects!$B$20*Assumptions!$B$10,Projects!$B$20*Assumptions!$B$10/Projects!$D$20*0.95),0)+IF(AND(Projects!$G$21="Yes",67&gt;=Projects!$C$21,67&lt;Projects!$C$21+Projects!$D$21),IF(67=Projects!$C$21+Projects!$D$21-1,Projects!$B$21*Assumptions!$B$10/Projects!$D$21*0.95+0.05*Projects!$B$21*Assumptions!$B$10,Projects!$B$21*Assumptions!$B$10/Projects!$D$21*0.95),0)+IF(AND(Projects!$G$22="Yes",67&gt;=Projects!$C$22,67&lt;Projects!$C$22+Projects!$D$22),IF(67=Projects!$C$22+Projects!$D$22-1,Projects!$B$22*Assumptions!$B$10/Projects!$D$22*0.95+0.05*Projects!$B$22*Assumptions!$B$10,Projects!$B$22*Assumptions!$B$10/Projects!$D$22*0.95),0)+IF(AND(Projects!$G$23="Yes",67&gt;=Projects!$C$23,67&lt;Projects!$C$23+Projects!$D$23),IF(67=Projects!$C$23+Projects!$D$23-1,Projects!$B$23*Assumptions!$B$10/Projects!$D$23*0.95+0.05*Projects!$B$23*Assumptions!$B$10,Projects!$B$23*Assumptions!$B$10/Projects!$D$23*0.95),0)+IF(AND(Projects!$G$24="Yes",67&gt;=Projects!$C$24,67&lt;Projects!$C$24+Projects!$D$24),IF(67=Projects!$C$24+Projects!$D$24-1,Projects!$B$24*Assumptions!$B$10/Projects!$D$24*0.95+0.05*Projects!$B$24*Assumptions!$B$10,Projects!$B$24*Assumptions!$B$10/Projects!$D$24*0.95),0)+IF(AND(Projects!$G$25="Yes",67&gt;=Projects!$C$25,67&lt;Projects!$C$25+Projects!$D$25),IF(67=Projects!$C$25+Projects!$D$25-1,Projects!$B$25*Assumptions!$B$10/Projects!$D$25*0.95+0.05*Projects!$B$25*Assumptions!$B$10,Projects!$B$25*Assumptions!$B$10/Projects!$D$25*0.95),0)+IF(AND(Projects!$G$26="Yes",67&gt;=Projects!$C$26,67&lt;Projects!$C$26+Projects!$D$26),IF(67=Projects!$C$26+Projects!$D$26-1,Projects!$B$26*Assumptions!$B$10/Projects!$D$26*0.95+0.05*Projects!$B$26*Assumptions!$B$10,Projects!$B$26*Assumptions!$B$10/Projects!$D$26*0.95),0)+IF(AND(Projects!$G$27="Yes",67&gt;=Projects!$C$27,67&lt;Projects!$C$27+Projects!$D$27),IF(67=Projects!$C$27+Projects!$D$27-1,Projects!$B$27*Assumptions!$B$10/Projects!$D$27*0.95+0.05*Projects!$B$27*Assumptions!$B$10,Projects!$B$27*Assumptions!$B$10/Projects!$D$27*0.95),0)+IF(AND(Projects!$G$28="Yes",67&gt;=Projects!$C$28,67&lt;Projects!$C$28+Projects!$D$28),IF(67=Projects!$C$28+Projects!$D$28-1,Projects!$B$28*Assumptions!$B$10/Projects!$D$28*0.95+0.05*Projects!$B$28*Assumptions!$B$10,Projects!$B$28*Assumptions!$B$10/Projects!$D$28*0.95),0)+IF(AND(Projects!$G$29="Yes",67&gt;=Projects!$C$29,67&lt;Projects!$C$29+Projects!$D$29),IF(67=Projects!$C$29+Projects!$D$29-1,Projects!$B$29*Assumptions!$B$10/Projects!$D$29*0.95+0.05*Projects!$B$29*Assumptions!$B$10,Projects!$B$29*Assumptions!$B$10/Projects!$D$29*0.95),0)</f>
        <v/>
      </c>
      <c r="BR98">
        <f>IF(AND(Projects!$G$17="Yes",68&gt;=Projects!$C$17,68&lt;Projects!$C$17+Projects!$D$17),IF(68=Projects!$C$17+Projects!$D$17-1,Projects!$B$17*Assumptions!$B$10/Projects!$D$17*0.95+0.05*Projects!$B$17*Assumptions!$B$10,Projects!$B$17*Assumptions!$B$10/Projects!$D$17*0.95),0)+IF(AND(Projects!$G$18="Yes",68&gt;=Projects!$C$18,68&lt;Projects!$C$18+Projects!$D$18),IF(68=Projects!$C$18+Projects!$D$18-1,Projects!$B$18*Assumptions!$B$10/Projects!$D$18*0.95+0.05*Projects!$B$18*Assumptions!$B$10,Projects!$B$18*Assumptions!$B$10/Projects!$D$18*0.95),0)+IF(AND(Projects!$G$19="Yes",68&gt;=Projects!$C$19,68&lt;Projects!$C$19+Projects!$D$19),IF(68=Projects!$C$19+Projects!$D$19-1,Projects!$B$19*Assumptions!$B$10/Projects!$D$19*0.95+0.05*Projects!$B$19*Assumptions!$B$10,Projects!$B$19*Assumptions!$B$10/Projects!$D$19*0.95),0)+IF(AND(Projects!$G$20="Yes",68&gt;=Projects!$C$20,68&lt;Projects!$C$20+Projects!$D$20),IF(68=Projects!$C$20+Projects!$D$20-1,Projects!$B$20*Assumptions!$B$10/Projects!$D$20*0.95+0.05*Projects!$B$20*Assumptions!$B$10,Projects!$B$20*Assumptions!$B$10/Projects!$D$20*0.95),0)+IF(AND(Projects!$G$21="Yes",68&gt;=Projects!$C$21,68&lt;Projects!$C$21+Projects!$D$21),IF(68=Projects!$C$21+Projects!$D$21-1,Projects!$B$21*Assumptions!$B$10/Projects!$D$21*0.95+0.05*Projects!$B$21*Assumptions!$B$10,Projects!$B$21*Assumptions!$B$10/Projects!$D$21*0.95),0)+IF(AND(Projects!$G$22="Yes",68&gt;=Projects!$C$22,68&lt;Projects!$C$22+Projects!$D$22),IF(68=Projects!$C$22+Projects!$D$22-1,Projects!$B$22*Assumptions!$B$10/Projects!$D$22*0.95+0.05*Projects!$B$22*Assumptions!$B$10,Projects!$B$22*Assumptions!$B$10/Projects!$D$22*0.95),0)+IF(AND(Projects!$G$23="Yes",68&gt;=Projects!$C$23,68&lt;Projects!$C$23+Projects!$D$23),IF(68=Projects!$C$23+Projects!$D$23-1,Projects!$B$23*Assumptions!$B$10/Projects!$D$23*0.95+0.05*Projects!$B$23*Assumptions!$B$10,Projects!$B$23*Assumptions!$B$10/Projects!$D$23*0.95),0)+IF(AND(Projects!$G$24="Yes",68&gt;=Projects!$C$24,68&lt;Projects!$C$24+Projects!$D$24),IF(68=Projects!$C$24+Projects!$D$24-1,Projects!$B$24*Assumptions!$B$10/Projects!$D$24*0.95+0.05*Projects!$B$24*Assumptions!$B$10,Projects!$B$24*Assumptions!$B$10/Projects!$D$24*0.95),0)+IF(AND(Projects!$G$25="Yes",68&gt;=Projects!$C$25,68&lt;Projects!$C$25+Projects!$D$25),IF(68=Projects!$C$25+Projects!$D$25-1,Projects!$B$25*Assumptions!$B$10/Projects!$D$25*0.95+0.05*Projects!$B$25*Assumptions!$B$10,Projects!$B$25*Assumptions!$B$10/Projects!$D$25*0.95),0)+IF(AND(Projects!$G$26="Yes",68&gt;=Projects!$C$26,68&lt;Projects!$C$26+Projects!$D$26),IF(68=Projects!$C$26+Projects!$D$26-1,Projects!$B$26*Assumptions!$B$10/Projects!$D$26*0.95+0.05*Projects!$B$26*Assumptions!$B$10,Projects!$B$26*Assumptions!$B$10/Projects!$D$26*0.95),0)+IF(AND(Projects!$G$27="Yes",68&gt;=Projects!$C$27,68&lt;Projects!$C$27+Projects!$D$27),IF(68=Projects!$C$27+Projects!$D$27-1,Projects!$B$27*Assumptions!$B$10/Projects!$D$27*0.95+0.05*Projects!$B$27*Assumptions!$B$10,Projects!$B$27*Assumptions!$B$10/Projects!$D$27*0.95),0)+IF(AND(Projects!$G$28="Yes",68&gt;=Projects!$C$28,68&lt;Projects!$C$28+Projects!$D$28),IF(68=Projects!$C$28+Projects!$D$28-1,Projects!$B$28*Assumptions!$B$10/Projects!$D$28*0.95+0.05*Projects!$B$28*Assumptions!$B$10,Projects!$B$28*Assumptions!$B$10/Projects!$D$28*0.95),0)+IF(AND(Projects!$G$29="Yes",68&gt;=Projects!$C$29,68&lt;Projects!$C$29+Projects!$D$29),IF(68=Projects!$C$29+Projects!$D$29-1,Projects!$B$29*Assumptions!$B$10/Projects!$D$29*0.95+0.05*Projects!$B$29*Assumptions!$B$10,Projects!$B$29*Assumptions!$B$10/Projects!$D$29*0.95),0)</f>
        <v/>
      </c>
      <c r="BS98">
        <f>IF(AND(Projects!$G$17="Yes",69&gt;=Projects!$C$17,69&lt;Projects!$C$17+Projects!$D$17),IF(69=Projects!$C$17+Projects!$D$17-1,Projects!$B$17*Assumptions!$B$10/Projects!$D$17*0.95+0.05*Projects!$B$17*Assumptions!$B$10,Projects!$B$17*Assumptions!$B$10/Projects!$D$17*0.95),0)+IF(AND(Projects!$G$18="Yes",69&gt;=Projects!$C$18,69&lt;Projects!$C$18+Projects!$D$18),IF(69=Projects!$C$18+Projects!$D$18-1,Projects!$B$18*Assumptions!$B$10/Projects!$D$18*0.95+0.05*Projects!$B$18*Assumptions!$B$10,Projects!$B$18*Assumptions!$B$10/Projects!$D$18*0.95),0)+IF(AND(Projects!$G$19="Yes",69&gt;=Projects!$C$19,69&lt;Projects!$C$19+Projects!$D$19),IF(69=Projects!$C$19+Projects!$D$19-1,Projects!$B$19*Assumptions!$B$10/Projects!$D$19*0.95+0.05*Projects!$B$19*Assumptions!$B$10,Projects!$B$19*Assumptions!$B$10/Projects!$D$19*0.95),0)+IF(AND(Projects!$G$20="Yes",69&gt;=Projects!$C$20,69&lt;Projects!$C$20+Projects!$D$20),IF(69=Projects!$C$20+Projects!$D$20-1,Projects!$B$20*Assumptions!$B$10/Projects!$D$20*0.95+0.05*Projects!$B$20*Assumptions!$B$10,Projects!$B$20*Assumptions!$B$10/Projects!$D$20*0.95),0)+IF(AND(Projects!$G$21="Yes",69&gt;=Projects!$C$21,69&lt;Projects!$C$21+Projects!$D$21),IF(69=Projects!$C$21+Projects!$D$21-1,Projects!$B$21*Assumptions!$B$10/Projects!$D$21*0.95+0.05*Projects!$B$21*Assumptions!$B$10,Projects!$B$21*Assumptions!$B$10/Projects!$D$21*0.95),0)+IF(AND(Projects!$G$22="Yes",69&gt;=Projects!$C$22,69&lt;Projects!$C$22+Projects!$D$22),IF(69=Projects!$C$22+Projects!$D$22-1,Projects!$B$22*Assumptions!$B$10/Projects!$D$22*0.95+0.05*Projects!$B$22*Assumptions!$B$10,Projects!$B$22*Assumptions!$B$10/Projects!$D$22*0.95),0)+IF(AND(Projects!$G$23="Yes",69&gt;=Projects!$C$23,69&lt;Projects!$C$23+Projects!$D$23),IF(69=Projects!$C$23+Projects!$D$23-1,Projects!$B$23*Assumptions!$B$10/Projects!$D$23*0.95+0.05*Projects!$B$23*Assumptions!$B$10,Projects!$B$23*Assumptions!$B$10/Projects!$D$23*0.95),0)+IF(AND(Projects!$G$24="Yes",69&gt;=Projects!$C$24,69&lt;Projects!$C$24+Projects!$D$24),IF(69=Projects!$C$24+Projects!$D$24-1,Projects!$B$24*Assumptions!$B$10/Projects!$D$24*0.95+0.05*Projects!$B$24*Assumptions!$B$10,Projects!$B$24*Assumptions!$B$10/Projects!$D$24*0.95),0)+IF(AND(Projects!$G$25="Yes",69&gt;=Projects!$C$25,69&lt;Projects!$C$25+Projects!$D$25),IF(69=Projects!$C$25+Projects!$D$25-1,Projects!$B$25*Assumptions!$B$10/Projects!$D$25*0.95+0.05*Projects!$B$25*Assumptions!$B$10,Projects!$B$25*Assumptions!$B$10/Projects!$D$25*0.95),0)+IF(AND(Projects!$G$26="Yes",69&gt;=Projects!$C$26,69&lt;Projects!$C$26+Projects!$D$26),IF(69=Projects!$C$26+Projects!$D$26-1,Projects!$B$26*Assumptions!$B$10/Projects!$D$26*0.95+0.05*Projects!$B$26*Assumptions!$B$10,Projects!$B$26*Assumptions!$B$10/Projects!$D$26*0.95),0)+IF(AND(Projects!$G$27="Yes",69&gt;=Projects!$C$27,69&lt;Projects!$C$27+Projects!$D$27),IF(69=Projects!$C$27+Projects!$D$27-1,Projects!$B$27*Assumptions!$B$10/Projects!$D$27*0.95+0.05*Projects!$B$27*Assumptions!$B$10,Projects!$B$27*Assumptions!$B$10/Projects!$D$27*0.95),0)+IF(AND(Projects!$G$28="Yes",69&gt;=Projects!$C$28,69&lt;Projects!$C$28+Projects!$D$28),IF(69=Projects!$C$28+Projects!$D$28-1,Projects!$B$28*Assumptions!$B$10/Projects!$D$28*0.95+0.05*Projects!$B$28*Assumptions!$B$10,Projects!$B$28*Assumptions!$B$10/Projects!$D$28*0.95),0)+IF(AND(Projects!$G$29="Yes",69&gt;=Projects!$C$29,69&lt;Projects!$C$29+Projects!$D$29),IF(69=Projects!$C$29+Projects!$D$29-1,Projects!$B$29*Assumptions!$B$10/Projects!$D$29*0.95+0.05*Projects!$B$29*Assumptions!$B$10,Projects!$B$29*Assumptions!$B$10/Projects!$D$29*0.95),0)</f>
        <v/>
      </c>
      <c r="BT98">
        <f>IF(AND(Projects!$G$17="Yes",70&gt;=Projects!$C$17,70&lt;Projects!$C$17+Projects!$D$17),IF(70=Projects!$C$17+Projects!$D$17-1,Projects!$B$17*Assumptions!$B$10/Projects!$D$17*0.95+0.05*Projects!$B$17*Assumptions!$B$10,Projects!$B$17*Assumptions!$B$10/Projects!$D$17*0.95),0)+IF(AND(Projects!$G$18="Yes",70&gt;=Projects!$C$18,70&lt;Projects!$C$18+Projects!$D$18),IF(70=Projects!$C$18+Projects!$D$18-1,Projects!$B$18*Assumptions!$B$10/Projects!$D$18*0.95+0.05*Projects!$B$18*Assumptions!$B$10,Projects!$B$18*Assumptions!$B$10/Projects!$D$18*0.95),0)+IF(AND(Projects!$G$19="Yes",70&gt;=Projects!$C$19,70&lt;Projects!$C$19+Projects!$D$19),IF(70=Projects!$C$19+Projects!$D$19-1,Projects!$B$19*Assumptions!$B$10/Projects!$D$19*0.95+0.05*Projects!$B$19*Assumptions!$B$10,Projects!$B$19*Assumptions!$B$10/Projects!$D$19*0.95),0)+IF(AND(Projects!$G$20="Yes",70&gt;=Projects!$C$20,70&lt;Projects!$C$20+Projects!$D$20),IF(70=Projects!$C$20+Projects!$D$20-1,Projects!$B$20*Assumptions!$B$10/Projects!$D$20*0.95+0.05*Projects!$B$20*Assumptions!$B$10,Projects!$B$20*Assumptions!$B$10/Projects!$D$20*0.95),0)+IF(AND(Projects!$G$21="Yes",70&gt;=Projects!$C$21,70&lt;Projects!$C$21+Projects!$D$21),IF(70=Projects!$C$21+Projects!$D$21-1,Projects!$B$21*Assumptions!$B$10/Projects!$D$21*0.95+0.05*Projects!$B$21*Assumptions!$B$10,Projects!$B$21*Assumptions!$B$10/Projects!$D$21*0.95),0)+IF(AND(Projects!$G$22="Yes",70&gt;=Projects!$C$22,70&lt;Projects!$C$22+Projects!$D$22),IF(70=Projects!$C$22+Projects!$D$22-1,Projects!$B$22*Assumptions!$B$10/Projects!$D$22*0.95+0.05*Projects!$B$22*Assumptions!$B$10,Projects!$B$22*Assumptions!$B$10/Projects!$D$22*0.95),0)+IF(AND(Projects!$G$23="Yes",70&gt;=Projects!$C$23,70&lt;Projects!$C$23+Projects!$D$23),IF(70=Projects!$C$23+Projects!$D$23-1,Projects!$B$23*Assumptions!$B$10/Projects!$D$23*0.95+0.05*Projects!$B$23*Assumptions!$B$10,Projects!$B$23*Assumptions!$B$10/Projects!$D$23*0.95),0)+IF(AND(Projects!$G$24="Yes",70&gt;=Projects!$C$24,70&lt;Projects!$C$24+Projects!$D$24),IF(70=Projects!$C$24+Projects!$D$24-1,Projects!$B$24*Assumptions!$B$10/Projects!$D$24*0.95+0.05*Projects!$B$24*Assumptions!$B$10,Projects!$B$24*Assumptions!$B$10/Projects!$D$24*0.95),0)+IF(AND(Projects!$G$25="Yes",70&gt;=Projects!$C$25,70&lt;Projects!$C$25+Projects!$D$25),IF(70=Projects!$C$25+Projects!$D$25-1,Projects!$B$25*Assumptions!$B$10/Projects!$D$25*0.95+0.05*Projects!$B$25*Assumptions!$B$10,Projects!$B$25*Assumptions!$B$10/Projects!$D$25*0.95),0)+IF(AND(Projects!$G$26="Yes",70&gt;=Projects!$C$26,70&lt;Projects!$C$26+Projects!$D$26),IF(70=Projects!$C$26+Projects!$D$26-1,Projects!$B$26*Assumptions!$B$10/Projects!$D$26*0.95+0.05*Projects!$B$26*Assumptions!$B$10,Projects!$B$26*Assumptions!$B$10/Projects!$D$26*0.95),0)+IF(AND(Projects!$G$27="Yes",70&gt;=Projects!$C$27,70&lt;Projects!$C$27+Projects!$D$27),IF(70=Projects!$C$27+Projects!$D$27-1,Projects!$B$27*Assumptions!$B$10/Projects!$D$27*0.95+0.05*Projects!$B$27*Assumptions!$B$10,Projects!$B$27*Assumptions!$B$10/Projects!$D$27*0.95),0)+IF(AND(Projects!$G$28="Yes",70&gt;=Projects!$C$28,70&lt;Projects!$C$28+Projects!$D$28),IF(70=Projects!$C$28+Projects!$D$28-1,Projects!$B$28*Assumptions!$B$10/Projects!$D$28*0.95+0.05*Projects!$B$28*Assumptions!$B$10,Projects!$B$28*Assumptions!$B$10/Projects!$D$28*0.95),0)+IF(AND(Projects!$G$29="Yes",70&gt;=Projects!$C$29,70&lt;Projects!$C$29+Projects!$D$29),IF(70=Projects!$C$29+Projects!$D$29-1,Projects!$B$29*Assumptions!$B$10/Projects!$D$29*0.95+0.05*Projects!$B$29*Assumptions!$B$10,Projects!$B$29*Assumptions!$B$10/Projects!$D$29*0.95),0)</f>
        <v/>
      </c>
      <c r="BU98">
        <f>IF(AND(Projects!$G$17="Yes",71&gt;=Projects!$C$17,71&lt;Projects!$C$17+Projects!$D$17),IF(71=Projects!$C$17+Projects!$D$17-1,Projects!$B$17*Assumptions!$B$10/Projects!$D$17*0.95+0.05*Projects!$B$17*Assumptions!$B$10,Projects!$B$17*Assumptions!$B$10/Projects!$D$17*0.95),0)+IF(AND(Projects!$G$18="Yes",71&gt;=Projects!$C$18,71&lt;Projects!$C$18+Projects!$D$18),IF(71=Projects!$C$18+Projects!$D$18-1,Projects!$B$18*Assumptions!$B$10/Projects!$D$18*0.95+0.05*Projects!$B$18*Assumptions!$B$10,Projects!$B$18*Assumptions!$B$10/Projects!$D$18*0.95),0)+IF(AND(Projects!$G$19="Yes",71&gt;=Projects!$C$19,71&lt;Projects!$C$19+Projects!$D$19),IF(71=Projects!$C$19+Projects!$D$19-1,Projects!$B$19*Assumptions!$B$10/Projects!$D$19*0.95+0.05*Projects!$B$19*Assumptions!$B$10,Projects!$B$19*Assumptions!$B$10/Projects!$D$19*0.95),0)+IF(AND(Projects!$G$20="Yes",71&gt;=Projects!$C$20,71&lt;Projects!$C$20+Projects!$D$20),IF(71=Projects!$C$20+Projects!$D$20-1,Projects!$B$20*Assumptions!$B$10/Projects!$D$20*0.95+0.05*Projects!$B$20*Assumptions!$B$10,Projects!$B$20*Assumptions!$B$10/Projects!$D$20*0.95),0)+IF(AND(Projects!$G$21="Yes",71&gt;=Projects!$C$21,71&lt;Projects!$C$21+Projects!$D$21),IF(71=Projects!$C$21+Projects!$D$21-1,Projects!$B$21*Assumptions!$B$10/Projects!$D$21*0.95+0.05*Projects!$B$21*Assumptions!$B$10,Projects!$B$21*Assumptions!$B$10/Projects!$D$21*0.95),0)+IF(AND(Projects!$G$22="Yes",71&gt;=Projects!$C$22,71&lt;Projects!$C$22+Projects!$D$22),IF(71=Projects!$C$22+Projects!$D$22-1,Projects!$B$22*Assumptions!$B$10/Projects!$D$22*0.95+0.05*Projects!$B$22*Assumptions!$B$10,Projects!$B$22*Assumptions!$B$10/Projects!$D$22*0.95),0)+IF(AND(Projects!$G$23="Yes",71&gt;=Projects!$C$23,71&lt;Projects!$C$23+Projects!$D$23),IF(71=Projects!$C$23+Projects!$D$23-1,Projects!$B$23*Assumptions!$B$10/Projects!$D$23*0.95+0.05*Projects!$B$23*Assumptions!$B$10,Projects!$B$23*Assumptions!$B$10/Projects!$D$23*0.95),0)+IF(AND(Projects!$G$24="Yes",71&gt;=Projects!$C$24,71&lt;Projects!$C$24+Projects!$D$24),IF(71=Projects!$C$24+Projects!$D$24-1,Projects!$B$24*Assumptions!$B$10/Projects!$D$24*0.95+0.05*Projects!$B$24*Assumptions!$B$10,Projects!$B$24*Assumptions!$B$10/Projects!$D$24*0.95),0)+IF(AND(Projects!$G$25="Yes",71&gt;=Projects!$C$25,71&lt;Projects!$C$25+Projects!$D$25),IF(71=Projects!$C$25+Projects!$D$25-1,Projects!$B$25*Assumptions!$B$10/Projects!$D$25*0.95+0.05*Projects!$B$25*Assumptions!$B$10,Projects!$B$25*Assumptions!$B$10/Projects!$D$25*0.95),0)+IF(AND(Projects!$G$26="Yes",71&gt;=Projects!$C$26,71&lt;Projects!$C$26+Projects!$D$26),IF(71=Projects!$C$26+Projects!$D$26-1,Projects!$B$26*Assumptions!$B$10/Projects!$D$26*0.95+0.05*Projects!$B$26*Assumptions!$B$10,Projects!$B$26*Assumptions!$B$10/Projects!$D$26*0.95),0)+IF(AND(Projects!$G$27="Yes",71&gt;=Projects!$C$27,71&lt;Projects!$C$27+Projects!$D$27),IF(71=Projects!$C$27+Projects!$D$27-1,Projects!$B$27*Assumptions!$B$10/Projects!$D$27*0.95+0.05*Projects!$B$27*Assumptions!$B$10,Projects!$B$27*Assumptions!$B$10/Projects!$D$27*0.95),0)+IF(AND(Projects!$G$28="Yes",71&gt;=Projects!$C$28,71&lt;Projects!$C$28+Projects!$D$28),IF(71=Projects!$C$28+Projects!$D$28-1,Projects!$B$28*Assumptions!$B$10/Projects!$D$28*0.95+0.05*Projects!$B$28*Assumptions!$B$10,Projects!$B$28*Assumptions!$B$10/Projects!$D$28*0.95),0)+IF(AND(Projects!$G$29="Yes",71&gt;=Projects!$C$29,71&lt;Projects!$C$29+Projects!$D$29),IF(71=Projects!$C$29+Projects!$D$29-1,Projects!$B$29*Assumptions!$B$10/Projects!$D$29*0.95+0.05*Projects!$B$29*Assumptions!$B$10,Projects!$B$29*Assumptions!$B$10/Projects!$D$29*0.95),0)</f>
        <v/>
      </c>
      <c r="BV98">
        <f>IF(AND(Projects!$G$17="Yes",72&gt;=Projects!$C$17,72&lt;Projects!$C$17+Projects!$D$17),IF(72=Projects!$C$17+Projects!$D$17-1,Projects!$B$17*Assumptions!$B$10/Projects!$D$17*0.95+0.05*Projects!$B$17*Assumptions!$B$10,Projects!$B$17*Assumptions!$B$10/Projects!$D$17*0.95),0)+IF(AND(Projects!$G$18="Yes",72&gt;=Projects!$C$18,72&lt;Projects!$C$18+Projects!$D$18),IF(72=Projects!$C$18+Projects!$D$18-1,Projects!$B$18*Assumptions!$B$10/Projects!$D$18*0.95+0.05*Projects!$B$18*Assumptions!$B$10,Projects!$B$18*Assumptions!$B$10/Projects!$D$18*0.95),0)+IF(AND(Projects!$G$19="Yes",72&gt;=Projects!$C$19,72&lt;Projects!$C$19+Projects!$D$19),IF(72=Projects!$C$19+Projects!$D$19-1,Projects!$B$19*Assumptions!$B$10/Projects!$D$19*0.95+0.05*Projects!$B$19*Assumptions!$B$10,Projects!$B$19*Assumptions!$B$10/Projects!$D$19*0.95),0)+IF(AND(Projects!$G$20="Yes",72&gt;=Projects!$C$20,72&lt;Projects!$C$20+Projects!$D$20),IF(72=Projects!$C$20+Projects!$D$20-1,Projects!$B$20*Assumptions!$B$10/Projects!$D$20*0.95+0.05*Projects!$B$20*Assumptions!$B$10,Projects!$B$20*Assumptions!$B$10/Projects!$D$20*0.95),0)+IF(AND(Projects!$G$21="Yes",72&gt;=Projects!$C$21,72&lt;Projects!$C$21+Projects!$D$21),IF(72=Projects!$C$21+Projects!$D$21-1,Projects!$B$21*Assumptions!$B$10/Projects!$D$21*0.95+0.05*Projects!$B$21*Assumptions!$B$10,Projects!$B$21*Assumptions!$B$10/Projects!$D$21*0.95),0)+IF(AND(Projects!$G$22="Yes",72&gt;=Projects!$C$22,72&lt;Projects!$C$22+Projects!$D$22),IF(72=Projects!$C$22+Projects!$D$22-1,Projects!$B$22*Assumptions!$B$10/Projects!$D$22*0.95+0.05*Projects!$B$22*Assumptions!$B$10,Projects!$B$22*Assumptions!$B$10/Projects!$D$22*0.95),0)+IF(AND(Projects!$G$23="Yes",72&gt;=Projects!$C$23,72&lt;Projects!$C$23+Projects!$D$23),IF(72=Projects!$C$23+Projects!$D$23-1,Projects!$B$23*Assumptions!$B$10/Projects!$D$23*0.95+0.05*Projects!$B$23*Assumptions!$B$10,Projects!$B$23*Assumptions!$B$10/Projects!$D$23*0.95),0)+IF(AND(Projects!$G$24="Yes",72&gt;=Projects!$C$24,72&lt;Projects!$C$24+Projects!$D$24),IF(72=Projects!$C$24+Projects!$D$24-1,Projects!$B$24*Assumptions!$B$10/Projects!$D$24*0.95+0.05*Projects!$B$24*Assumptions!$B$10,Projects!$B$24*Assumptions!$B$10/Projects!$D$24*0.95),0)+IF(AND(Projects!$G$25="Yes",72&gt;=Projects!$C$25,72&lt;Projects!$C$25+Projects!$D$25),IF(72=Projects!$C$25+Projects!$D$25-1,Projects!$B$25*Assumptions!$B$10/Projects!$D$25*0.95+0.05*Projects!$B$25*Assumptions!$B$10,Projects!$B$25*Assumptions!$B$10/Projects!$D$25*0.95),0)+IF(AND(Projects!$G$26="Yes",72&gt;=Projects!$C$26,72&lt;Projects!$C$26+Projects!$D$26),IF(72=Projects!$C$26+Projects!$D$26-1,Projects!$B$26*Assumptions!$B$10/Projects!$D$26*0.95+0.05*Projects!$B$26*Assumptions!$B$10,Projects!$B$26*Assumptions!$B$10/Projects!$D$26*0.95),0)+IF(AND(Projects!$G$27="Yes",72&gt;=Projects!$C$27,72&lt;Projects!$C$27+Projects!$D$27),IF(72=Projects!$C$27+Projects!$D$27-1,Projects!$B$27*Assumptions!$B$10/Projects!$D$27*0.95+0.05*Projects!$B$27*Assumptions!$B$10,Projects!$B$27*Assumptions!$B$10/Projects!$D$27*0.95),0)+IF(AND(Projects!$G$28="Yes",72&gt;=Projects!$C$28,72&lt;Projects!$C$28+Projects!$D$28),IF(72=Projects!$C$28+Projects!$D$28-1,Projects!$B$28*Assumptions!$B$10/Projects!$D$28*0.95+0.05*Projects!$B$28*Assumptions!$B$10,Projects!$B$28*Assumptions!$B$10/Projects!$D$28*0.95),0)+IF(AND(Projects!$G$29="Yes",72&gt;=Projects!$C$29,72&lt;Projects!$C$29+Projects!$D$29),IF(72=Projects!$C$29+Projects!$D$29-1,Projects!$B$29*Assumptions!$B$10/Projects!$D$29*0.95+0.05*Projects!$B$29*Assumptions!$B$10,Projects!$B$29*Assumptions!$B$10/Projects!$D$29*0.95),0)</f>
        <v/>
      </c>
      <c r="BW98">
        <f>IF(AND(Projects!$G$17="Yes",73&gt;=Projects!$C$17,73&lt;Projects!$C$17+Projects!$D$17),IF(73=Projects!$C$17+Projects!$D$17-1,Projects!$B$17*Assumptions!$B$10/Projects!$D$17*0.95+0.05*Projects!$B$17*Assumptions!$B$10,Projects!$B$17*Assumptions!$B$10/Projects!$D$17*0.95),0)+IF(AND(Projects!$G$18="Yes",73&gt;=Projects!$C$18,73&lt;Projects!$C$18+Projects!$D$18),IF(73=Projects!$C$18+Projects!$D$18-1,Projects!$B$18*Assumptions!$B$10/Projects!$D$18*0.95+0.05*Projects!$B$18*Assumptions!$B$10,Projects!$B$18*Assumptions!$B$10/Projects!$D$18*0.95),0)+IF(AND(Projects!$G$19="Yes",73&gt;=Projects!$C$19,73&lt;Projects!$C$19+Projects!$D$19),IF(73=Projects!$C$19+Projects!$D$19-1,Projects!$B$19*Assumptions!$B$10/Projects!$D$19*0.95+0.05*Projects!$B$19*Assumptions!$B$10,Projects!$B$19*Assumptions!$B$10/Projects!$D$19*0.95),0)+IF(AND(Projects!$G$20="Yes",73&gt;=Projects!$C$20,73&lt;Projects!$C$20+Projects!$D$20),IF(73=Projects!$C$20+Projects!$D$20-1,Projects!$B$20*Assumptions!$B$10/Projects!$D$20*0.95+0.05*Projects!$B$20*Assumptions!$B$10,Projects!$B$20*Assumptions!$B$10/Projects!$D$20*0.95),0)+IF(AND(Projects!$G$21="Yes",73&gt;=Projects!$C$21,73&lt;Projects!$C$21+Projects!$D$21),IF(73=Projects!$C$21+Projects!$D$21-1,Projects!$B$21*Assumptions!$B$10/Projects!$D$21*0.95+0.05*Projects!$B$21*Assumptions!$B$10,Projects!$B$21*Assumptions!$B$10/Projects!$D$21*0.95),0)+IF(AND(Projects!$G$22="Yes",73&gt;=Projects!$C$22,73&lt;Projects!$C$22+Projects!$D$22),IF(73=Projects!$C$22+Projects!$D$22-1,Projects!$B$22*Assumptions!$B$10/Projects!$D$22*0.95+0.05*Projects!$B$22*Assumptions!$B$10,Projects!$B$22*Assumptions!$B$10/Projects!$D$22*0.95),0)+IF(AND(Projects!$G$23="Yes",73&gt;=Projects!$C$23,73&lt;Projects!$C$23+Projects!$D$23),IF(73=Projects!$C$23+Projects!$D$23-1,Projects!$B$23*Assumptions!$B$10/Projects!$D$23*0.95+0.05*Projects!$B$23*Assumptions!$B$10,Projects!$B$23*Assumptions!$B$10/Projects!$D$23*0.95),0)+IF(AND(Projects!$G$24="Yes",73&gt;=Projects!$C$24,73&lt;Projects!$C$24+Projects!$D$24),IF(73=Projects!$C$24+Projects!$D$24-1,Projects!$B$24*Assumptions!$B$10/Projects!$D$24*0.95+0.05*Projects!$B$24*Assumptions!$B$10,Projects!$B$24*Assumptions!$B$10/Projects!$D$24*0.95),0)+IF(AND(Projects!$G$25="Yes",73&gt;=Projects!$C$25,73&lt;Projects!$C$25+Projects!$D$25),IF(73=Projects!$C$25+Projects!$D$25-1,Projects!$B$25*Assumptions!$B$10/Projects!$D$25*0.95+0.05*Projects!$B$25*Assumptions!$B$10,Projects!$B$25*Assumptions!$B$10/Projects!$D$25*0.95),0)+IF(AND(Projects!$G$26="Yes",73&gt;=Projects!$C$26,73&lt;Projects!$C$26+Projects!$D$26),IF(73=Projects!$C$26+Projects!$D$26-1,Projects!$B$26*Assumptions!$B$10/Projects!$D$26*0.95+0.05*Projects!$B$26*Assumptions!$B$10,Projects!$B$26*Assumptions!$B$10/Projects!$D$26*0.95),0)+IF(AND(Projects!$G$27="Yes",73&gt;=Projects!$C$27,73&lt;Projects!$C$27+Projects!$D$27),IF(73=Projects!$C$27+Projects!$D$27-1,Projects!$B$27*Assumptions!$B$10/Projects!$D$27*0.95+0.05*Projects!$B$27*Assumptions!$B$10,Projects!$B$27*Assumptions!$B$10/Projects!$D$27*0.95),0)+IF(AND(Projects!$G$28="Yes",73&gt;=Projects!$C$28,73&lt;Projects!$C$28+Projects!$D$28),IF(73=Projects!$C$28+Projects!$D$28-1,Projects!$B$28*Assumptions!$B$10/Projects!$D$28*0.95+0.05*Projects!$B$28*Assumptions!$B$10,Projects!$B$28*Assumptions!$B$10/Projects!$D$28*0.95),0)+IF(AND(Projects!$G$29="Yes",73&gt;=Projects!$C$29,73&lt;Projects!$C$29+Projects!$D$29),IF(73=Projects!$C$29+Projects!$D$29-1,Projects!$B$29*Assumptions!$B$10/Projects!$D$29*0.95+0.05*Projects!$B$29*Assumptions!$B$10,Projects!$B$29*Assumptions!$B$10/Projects!$D$29*0.95),0)</f>
        <v/>
      </c>
      <c r="BX98">
        <f>IF(AND(Projects!$G$17="Yes",74&gt;=Projects!$C$17,74&lt;Projects!$C$17+Projects!$D$17),IF(74=Projects!$C$17+Projects!$D$17-1,Projects!$B$17*Assumptions!$B$10/Projects!$D$17*0.95+0.05*Projects!$B$17*Assumptions!$B$10,Projects!$B$17*Assumptions!$B$10/Projects!$D$17*0.95),0)+IF(AND(Projects!$G$18="Yes",74&gt;=Projects!$C$18,74&lt;Projects!$C$18+Projects!$D$18),IF(74=Projects!$C$18+Projects!$D$18-1,Projects!$B$18*Assumptions!$B$10/Projects!$D$18*0.95+0.05*Projects!$B$18*Assumptions!$B$10,Projects!$B$18*Assumptions!$B$10/Projects!$D$18*0.95),0)+IF(AND(Projects!$G$19="Yes",74&gt;=Projects!$C$19,74&lt;Projects!$C$19+Projects!$D$19),IF(74=Projects!$C$19+Projects!$D$19-1,Projects!$B$19*Assumptions!$B$10/Projects!$D$19*0.95+0.05*Projects!$B$19*Assumptions!$B$10,Projects!$B$19*Assumptions!$B$10/Projects!$D$19*0.95),0)+IF(AND(Projects!$G$20="Yes",74&gt;=Projects!$C$20,74&lt;Projects!$C$20+Projects!$D$20),IF(74=Projects!$C$20+Projects!$D$20-1,Projects!$B$20*Assumptions!$B$10/Projects!$D$20*0.95+0.05*Projects!$B$20*Assumptions!$B$10,Projects!$B$20*Assumptions!$B$10/Projects!$D$20*0.95),0)+IF(AND(Projects!$G$21="Yes",74&gt;=Projects!$C$21,74&lt;Projects!$C$21+Projects!$D$21),IF(74=Projects!$C$21+Projects!$D$21-1,Projects!$B$21*Assumptions!$B$10/Projects!$D$21*0.95+0.05*Projects!$B$21*Assumptions!$B$10,Projects!$B$21*Assumptions!$B$10/Projects!$D$21*0.95),0)+IF(AND(Projects!$G$22="Yes",74&gt;=Projects!$C$22,74&lt;Projects!$C$22+Projects!$D$22),IF(74=Projects!$C$22+Projects!$D$22-1,Projects!$B$22*Assumptions!$B$10/Projects!$D$22*0.95+0.05*Projects!$B$22*Assumptions!$B$10,Projects!$B$22*Assumptions!$B$10/Projects!$D$22*0.95),0)+IF(AND(Projects!$G$23="Yes",74&gt;=Projects!$C$23,74&lt;Projects!$C$23+Projects!$D$23),IF(74=Projects!$C$23+Projects!$D$23-1,Projects!$B$23*Assumptions!$B$10/Projects!$D$23*0.95+0.05*Projects!$B$23*Assumptions!$B$10,Projects!$B$23*Assumptions!$B$10/Projects!$D$23*0.95),0)+IF(AND(Projects!$G$24="Yes",74&gt;=Projects!$C$24,74&lt;Projects!$C$24+Projects!$D$24),IF(74=Projects!$C$24+Projects!$D$24-1,Projects!$B$24*Assumptions!$B$10/Projects!$D$24*0.95+0.05*Projects!$B$24*Assumptions!$B$10,Projects!$B$24*Assumptions!$B$10/Projects!$D$24*0.95),0)+IF(AND(Projects!$G$25="Yes",74&gt;=Projects!$C$25,74&lt;Projects!$C$25+Projects!$D$25),IF(74=Projects!$C$25+Projects!$D$25-1,Projects!$B$25*Assumptions!$B$10/Projects!$D$25*0.95+0.05*Projects!$B$25*Assumptions!$B$10,Projects!$B$25*Assumptions!$B$10/Projects!$D$25*0.95),0)+IF(AND(Projects!$G$26="Yes",74&gt;=Projects!$C$26,74&lt;Projects!$C$26+Projects!$D$26),IF(74=Projects!$C$26+Projects!$D$26-1,Projects!$B$26*Assumptions!$B$10/Projects!$D$26*0.95+0.05*Projects!$B$26*Assumptions!$B$10,Projects!$B$26*Assumptions!$B$10/Projects!$D$26*0.95),0)+IF(AND(Projects!$G$27="Yes",74&gt;=Projects!$C$27,74&lt;Projects!$C$27+Projects!$D$27),IF(74=Projects!$C$27+Projects!$D$27-1,Projects!$B$27*Assumptions!$B$10/Projects!$D$27*0.95+0.05*Projects!$B$27*Assumptions!$B$10,Projects!$B$27*Assumptions!$B$10/Projects!$D$27*0.95),0)+IF(AND(Projects!$G$28="Yes",74&gt;=Projects!$C$28,74&lt;Projects!$C$28+Projects!$D$28),IF(74=Projects!$C$28+Projects!$D$28-1,Projects!$B$28*Assumptions!$B$10/Projects!$D$28*0.95+0.05*Projects!$B$28*Assumptions!$B$10,Projects!$B$28*Assumptions!$B$10/Projects!$D$28*0.95),0)+IF(AND(Projects!$G$29="Yes",74&gt;=Projects!$C$29,74&lt;Projects!$C$29+Projects!$D$29),IF(74=Projects!$C$29+Projects!$D$29-1,Projects!$B$29*Assumptions!$B$10/Projects!$D$29*0.95+0.05*Projects!$B$29*Assumptions!$B$10,Projects!$B$29*Assumptions!$B$10/Projects!$D$29*0.95),0)</f>
        <v/>
      </c>
      <c r="BY98">
        <f>IF(AND(Projects!$G$17="Yes",75&gt;=Projects!$C$17,75&lt;Projects!$C$17+Projects!$D$17),IF(75=Projects!$C$17+Projects!$D$17-1,Projects!$B$17*Assumptions!$B$10/Projects!$D$17*0.95+0.05*Projects!$B$17*Assumptions!$B$10,Projects!$B$17*Assumptions!$B$10/Projects!$D$17*0.95),0)+IF(AND(Projects!$G$18="Yes",75&gt;=Projects!$C$18,75&lt;Projects!$C$18+Projects!$D$18),IF(75=Projects!$C$18+Projects!$D$18-1,Projects!$B$18*Assumptions!$B$10/Projects!$D$18*0.95+0.05*Projects!$B$18*Assumptions!$B$10,Projects!$B$18*Assumptions!$B$10/Projects!$D$18*0.95),0)+IF(AND(Projects!$G$19="Yes",75&gt;=Projects!$C$19,75&lt;Projects!$C$19+Projects!$D$19),IF(75=Projects!$C$19+Projects!$D$19-1,Projects!$B$19*Assumptions!$B$10/Projects!$D$19*0.95+0.05*Projects!$B$19*Assumptions!$B$10,Projects!$B$19*Assumptions!$B$10/Projects!$D$19*0.95),0)+IF(AND(Projects!$G$20="Yes",75&gt;=Projects!$C$20,75&lt;Projects!$C$20+Projects!$D$20),IF(75=Projects!$C$20+Projects!$D$20-1,Projects!$B$20*Assumptions!$B$10/Projects!$D$20*0.95+0.05*Projects!$B$20*Assumptions!$B$10,Projects!$B$20*Assumptions!$B$10/Projects!$D$20*0.95),0)+IF(AND(Projects!$G$21="Yes",75&gt;=Projects!$C$21,75&lt;Projects!$C$21+Projects!$D$21),IF(75=Projects!$C$21+Projects!$D$21-1,Projects!$B$21*Assumptions!$B$10/Projects!$D$21*0.95+0.05*Projects!$B$21*Assumptions!$B$10,Projects!$B$21*Assumptions!$B$10/Projects!$D$21*0.95),0)+IF(AND(Projects!$G$22="Yes",75&gt;=Projects!$C$22,75&lt;Projects!$C$22+Projects!$D$22),IF(75=Projects!$C$22+Projects!$D$22-1,Projects!$B$22*Assumptions!$B$10/Projects!$D$22*0.95+0.05*Projects!$B$22*Assumptions!$B$10,Projects!$B$22*Assumptions!$B$10/Projects!$D$22*0.95),0)+IF(AND(Projects!$G$23="Yes",75&gt;=Projects!$C$23,75&lt;Projects!$C$23+Projects!$D$23),IF(75=Projects!$C$23+Projects!$D$23-1,Projects!$B$23*Assumptions!$B$10/Projects!$D$23*0.95+0.05*Projects!$B$23*Assumptions!$B$10,Projects!$B$23*Assumptions!$B$10/Projects!$D$23*0.95),0)+IF(AND(Projects!$G$24="Yes",75&gt;=Projects!$C$24,75&lt;Projects!$C$24+Projects!$D$24),IF(75=Projects!$C$24+Projects!$D$24-1,Projects!$B$24*Assumptions!$B$10/Projects!$D$24*0.95+0.05*Projects!$B$24*Assumptions!$B$10,Projects!$B$24*Assumptions!$B$10/Projects!$D$24*0.95),0)+IF(AND(Projects!$G$25="Yes",75&gt;=Projects!$C$25,75&lt;Projects!$C$25+Projects!$D$25),IF(75=Projects!$C$25+Projects!$D$25-1,Projects!$B$25*Assumptions!$B$10/Projects!$D$25*0.95+0.05*Projects!$B$25*Assumptions!$B$10,Projects!$B$25*Assumptions!$B$10/Projects!$D$25*0.95),0)+IF(AND(Projects!$G$26="Yes",75&gt;=Projects!$C$26,75&lt;Projects!$C$26+Projects!$D$26),IF(75=Projects!$C$26+Projects!$D$26-1,Projects!$B$26*Assumptions!$B$10/Projects!$D$26*0.95+0.05*Projects!$B$26*Assumptions!$B$10,Projects!$B$26*Assumptions!$B$10/Projects!$D$26*0.95),0)+IF(AND(Projects!$G$27="Yes",75&gt;=Projects!$C$27,75&lt;Projects!$C$27+Projects!$D$27),IF(75=Projects!$C$27+Projects!$D$27-1,Projects!$B$27*Assumptions!$B$10/Projects!$D$27*0.95+0.05*Projects!$B$27*Assumptions!$B$10,Projects!$B$27*Assumptions!$B$10/Projects!$D$27*0.95),0)+IF(AND(Projects!$G$28="Yes",75&gt;=Projects!$C$28,75&lt;Projects!$C$28+Projects!$D$28),IF(75=Projects!$C$28+Projects!$D$28-1,Projects!$B$28*Assumptions!$B$10/Projects!$D$28*0.95+0.05*Projects!$B$28*Assumptions!$B$10,Projects!$B$28*Assumptions!$B$10/Projects!$D$28*0.95),0)+IF(AND(Projects!$G$29="Yes",75&gt;=Projects!$C$29,75&lt;Projects!$C$29+Projects!$D$29),IF(75=Projects!$C$29+Projects!$D$29-1,Projects!$B$29*Assumptions!$B$10/Projects!$D$29*0.95+0.05*Projects!$B$29*Assumptions!$B$10,Projects!$B$29*Assumptions!$B$10/Projects!$D$29*0.95),0)</f>
        <v/>
      </c>
      <c r="BZ98">
        <f>IF(AND(Projects!$G$17="Yes",76&gt;=Projects!$C$17,76&lt;Projects!$C$17+Projects!$D$17),IF(76=Projects!$C$17+Projects!$D$17-1,Projects!$B$17*Assumptions!$B$10/Projects!$D$17*0.95+0.05*Projects!$B$17*Assumptions!$B$10,Projects!$B$17*Assumptions!$B$10/Projects!$D$17*0.95),0)+IF(AND(Projects!$G$18="Yes",76&gt;=Projects!$C$18,76&lt;Projects!$C$18+Projects!$D$18),IF(76=Projects!$C$18+Projects!$D$18-1,Projects!$B$18*Assumptions!$B$10/Projects!$D$18*0.95+0.05*Projects!$B$18*Assumptions!$B$10,Projects!$B$18*Assumptions!$B$10/Projects!$D$18*0.95),0)+IF(AND(Projects!$G$19="Yes",76&gt;=Projects!$C$19,76&lt;Projects!$C$19+Projects!$D$19),IF(76=Projects!$C$19+Projects!$D$19-1,Projects!$B$19*Assumptions!$B$10/Projects!$D$19*0.95+0.05*Projects!$B$19*Assumptions!$B$10,Projects!$B$19*Assumptions!$B$10/Projects!$D$19*0.95),0)+IF(AND(Projects!$G$20="Yes",76&gt;=Projects!$C$20,76&lt;Projects!$C$20+Projects!$D$20),IF(76=Projects!$C$20+Projects!$D$20-1,Projects!$B$20*Assumptions!$B$10/Projects!$D$20*0.95+0.05*Projects!$B$20*Assumptions!$B$10,Projects!$B$20*Assumptions!$B$10/Projects!$D$20*0.95),0)+IF(AND(Projects!$G$21="Yes",76&gt;=Projects!$C$21,76&lt;Projects!$C$21+Projects!$D$21),IF(76=Projects!$C$21+Projects!$D$21-1,Projects!$B$21*Assumptions!$B$10/Projects!$D$21*0.95+0.05*Projects!$B$21*Assumptions!$B$10,Projects!$B$21*Assumptions!$B$10/Projects!$D$21*0.95),0)+IF(AND(Projects!$G$22="Yes",76&gt;=Projects!$C$22,76&lt;Projects!$C$22+Projects!$D$22),IF(76=Projects!$C$22+Projects!$D$22-1,Projects!$B$22*Assumptions!$B$10/Projects!$D$22*0.95+0.05*Projects!$B$22*Assumptions!$B$10,Projects!$B$22*Assumptions!$B$10/Projects!$D$22*0.95),0)+IF(AND(Projects!$G$23="Yes",76&gt;=Projects!$C$23,76&lt;Projects!$C$23+Projects!$D$23),IF(76=Projects!$C$23+Projects!$D$23-1,Projects!$B$23*Assumptions!$B$10/Projects!$D$23*0.95+0.05*Projects!$B$23*Assumptions!$B$10,Projects!$B$23*Assumptions!$B$10/Projects!$D$23*0.95),0)+IF(AND(Projects!$G$24="Yes",76&gt;=Projects!$C$24,76&lt;Projects!$C$24+Projects!$D$24),IF(76=Projects!$C$24+Projects!$D$24-1,Projects!$B$24*Assumptions!$B$10/Projects!$D$24*0.95+0.05*Projects!$B$24*Assumptions!$B$10,Projects!$B$24*Assumptions!$B$10/Projects!$D$24*0.95),0)+IF(AND(Projects!$G$25="Yes",76&gt;=Projects!$C$25,76&lt;Projects!$C$25+Projects!$D$25),IF(76=Projects!$C$25+Projects!$D$25-1,Projects!$B$25*Assumptions!$B$10/Projects!$D$25*0.95+0.05*Projects!$B$25*Assumptions!$B$10,Projects!$B$25*Assumptions!$B$10/Projects!$D$25*0.95),0)+IF(AND(Projects!$G$26="Yes",76&gt;=Projects!$C$26,76&lt;Projects!$C$26+Projects!$D$26),IF(76=Projects!$C$26+Projects!$D$26-1,Projects!$B$26*Assumptions!$B$10/Projects!$D$26*0.95+0.05*Projects!$B$26*Assumptions!$B$10,Projects!$B$26*Assumptions!$B$10/Projects!$D$26*0.95),0)+IF(AND(Projects!$G$27="Yes",76&gt;=Projects!$C$27,76&lt;Projects!$C$27+Projects!$D$27),IF(76=Projects!$C$27+Projects!$D$27-1,Projects!$B$27*Assumptions!$B$10/Projects!$D$27*0.95+0.05*Projects!$B$27*Assumptions!$B$10,Projects!$B$27*Assumptions!$B$10/Projects!$D$27*0.95),0)+IF(AND(Projects!$G$28="Yes",76&gt;=Projects!$C$28,76&lt;Projects!$C$28+Projects!$D$28),IF(76=Projects!$C$28+Projects!$D$28-1,Projects!$B$28*Assumptions!$B$10/Projects!$D$28*0.95+0.05*Projects!$B$28*Assumptions!$B$10,Projects!$B$28*Assumptions!$B$10/Projects!$D$28*0.95),0)+IF(AND(Projects!$G$29="Yes",76&gt;=Projects!$C$29,76&lt;Projects!$C$29+Projects!$D$29),IF(76=Projects!$C$29+Projects!$D$29-1,Projects!$B$29*Assumptions!$B$10/Projects!$D$29*0.95+0.05*Projects!$B$29*Assumptions!$B$10,Projects!$B$29*Assumptions!$B$10/Projects!$D$29*0.95),0)</f>
        <v/>
      </c>
      <c r="CA98">
        <f>IF(AND(Projects!$G$17="Yes",77&gt;=Projects!$C$17,77&lt;Projects!$C$17+Projects!$D$17),IF(77=Projects!$C$17+Projects!$D$17-1,Projects!$B$17*Assumptions!$B$10/Projects!$D$17*0.95+0.05*Projects!$B$17*Assumptions!$B$10,Projects!$B$17*Assumptions!$B$10/Projects!$D$17*0.95),0)+IF(AND(Projects!$G$18="Yes",77&gt;=Projects!$C$18,77&lt;Projects!$C$18+Projects!$D$18),IF(77=Projects!$C$18+Projects!$D$18-1,Projects!$B$18*Assumptions!$B$10/Projects!$D$18*0.95+0.05*Projects!$B$18*Assumptions!$B$10,Projects!$B$18*Assumptions!$B$10/Projects!$D$18*0.95),0)+IF(AND(Projects!$G$19="Yes",77&gt;=Projects!$C$19,77&lt;Projects!$C$19+Projects!$D$19),IF(77=Projects!$C$19+Projects!$D$19-1,Projects!$B$19*Assumptions!$B$10/Projects!$D$19*0.95+0.05*Projects!$B$19*Assumptions!$B$10,Projects!$B$19*Assumptions!$B$10/Projects!$D$19*0.95),0)+IF(AND(Projects!$G$20="Yes",77&gt;=Projects!$C$20,77&lt;Projects!$C$20+Projects!$D$20),IF(77=Projects!$C$20+Projects!$D$20-1,Projects!$B$20*Assumptions!$B$10/Projects!$D$20*0.95+0.05*Projects!$B$20*Assumptions!$B$10,Projects!$B$20*Assumptions!$B$10/Projects!$D$20*0.95),0)+IF(AND(Projects!$G$21="Yes",77&gt;=Projects!$C$21,77&lt;Projects!$C$21+Projects!$D$21),IF(77=Projects!$C$21+Projects!$D$21-1,Projects!$B$21*Assumptions!$B$10/Projects!$D$21*0.95+0.05*Projects!$B$21*Assumptions!$B$10,Projects!$B$21*Assumptions!$B$10/Projects!$D$21*0.95),0)+IF(AND(Projects!$G$22="Yes",77&gt;=Projects!$C$22,77&lt;Projects!$C$22+Projects!$D$22),IF(77=Projects!$C$22+Projects!$D$22-1,Projects!$B$22*Assumptions!$B$10/Projects!$D$22*0.95+0.05*Projects!$B$22*Assumptions!$B$10,Projects!$B$22*Assumptions!$B$10/Projects!$D$22*0.95),0)+IF(AND(Projects!$G$23="Yes",77&gt;=Projects!$C$23,77&lt;Projects!$C$23+Projects!$D$23),IF(77=Projects!$C$23+Projects!$D$23-1,Projects!$B$23*Assumptions!$B$10/Projects!$D$23*0.95+0.05*Projects!$B$23*Assumptions!$B$10,Projects!$B$23*Assumptions!$B$10/Projects!$D$23*0.95),0)+IF(AND(Projects!$G$24="Yes",77&gt;=Projects!$C$24,77&lt;Projects!$C$24+Projects!$D$24),IF(77=Projects!$C$24+Projects!$D$24-1,Projects!$B$24*Assumptions!$B$10/Projects!$D$24*0.95+0.05*Projects!$B$24*Assumptions!$B$10,Projects!$B$24*Assumptions!$B$10/Projects!$D$24*0.95),0)+IF(AND(Projects!$G$25="Yes",77&gt;=Projects!$C$25,77&lt;Projects!$C$25+Projects!$D$25),IF(77=Projects!$C$25+Projects!$D$25-1,Projects!$B$25*Assumptions!$B$10/Projects!$D$25*0.95+0.05*Projects!$B$25*Assumptions!$B$10,Projects!$B$25*Assumptions!$B$10/Projects!$D$25*0.95),0)+IF(AND(Projects!$G$26="Yes",77&gt;=Projects!$C$26,77&lt;Projects!$C$26+Projects!$D$26),IF(77=Projects!$C$26+Projects!$D$26-1,Projects!$B$26*Assumptions!$B$10/Projects!$D$26*0.95+0.05*Projects!$B$26*Assumptions!$B$10,Projects!$B$26*Assumptions!$B$10/Projects!$D$26*0.95),0)+IF(AND(Projects!$G$27="Yes",77&gt;=Projects!$C$27,77&lt;Projects!$C$27+Projects!$D$27),IF(77=Projects!$C$27+Projects!$D$27-1,Projects!$B$27*Assumptions!$B$10/Projects!$D$27*0.95+0.05*Projects!$B$27*Assumptions!$B$10,Projects!$B$27*Assumptions!$B$10/Projects!$D$27*0.95),0)+IF(AND(Projects!$G$28="Yes",77&gt;=Projects!$C$28,77&lt;Projects!$C$28+Projects!$D$28),IF(77=Projects!$C$28+Projects!$D$28-1,Projects!$B$28*Assumptions!$B$10/Projects!$D$28*0.95+0.05*Projects!$B$28*Assumptions!$B$10,Projects!$B$28*Assumptions!$B$10/Projects!$D$28*0.95),0)+IF(AND(Projects!$G$29="Yes",77&gt;=Projects!$C$29,77&lt;Projects!$C$29+Projects!$D$29),IF(77=Projects!$C$29+Projects!$D$29-1,Projects!$B$29*Assumptions!$B$10/Projects!$D$29*0.95+0.05*Projects!$B$29*Assumptions!$B$10,Projects!$B$29*Assumptions!$B$10/Projects!$D$29*0.95),0)</f>
        <v/>
      </c>
      <c r="CB98">
        <f>IF(AND(Projects!$G$17="Yes",78&gt;=Projects!$C$17,78&lt;Projects!$C$17+Projects!$D$17),IF(78=Projects!$C$17+Projects!$D$17-1,Projects!$B$17*Assumptions!$B$10/Projects!$D$17*0.95+0.05*Projects!$B$17*Assumptions!$B$10,Projects!$B$17*Assumptions!$B$10/Projects!$D$17*0.95),0)+IF(AND(Projects!$G$18="Yes",78&gt;=Projects!$C$18,78&lt;Projects!$C$18+Projects!$D$18),IF(78=Projects!$C$18+Projects!$D$18-1,Projects!$B$18*Assumptions!$B$10/Projects!$D$18*0.95+0.05*Projects!$B$18*Assumptions!$B$10,Projects!$B$18*Assumptions!$B$10/Projects!$D$18*0.95),0)+IF(AND(Projects!$G$19="Yes",78&gt;=Projects!$C$19,78&lt;Projects!$C$19+Projects!$D$19),IF(78=Projects!$C$19+Projects!$D$19-1,Projects!$B$19*Assumptions!$B$10/Projects!$D$19*0.95+0.05*Projects!$B$19*Assumptions!$B$10,Projects!$B$19*Assumptions!$B$10/Projects!$D$19*0.95),0)+IF(AND(Projects!$G$20="Yes",78&gt;=Projects!$C$20,78&lt;Projects!$C$20+Projects!$D$20),IF(78=Projects!$C$20+Projects!$D$20-1,Projects!$B$20*Assumptions!$B$10/Projects!$D$20*0.95+0.05*Projects!$B$20*Assumptions!$B$10,Projects!$B$20*Assumptions!$B$10/Projects!$D$20*0.95),0)+IF(AND(Projects!$G$21="Yes",78&gt;=Projects!$C$21,78&lt;Projects!$C$21+Projects!$D$21),IF(78=Projects!$C$21+Projects!$D$21-1,Projects!$B$21*Assumptions!$B$10/Projects!$D$21*0.95+0.05*Projects!$B$21*Assumptions!$B$10,Projects!$B$21*Assumptions!$B$10/Projects!$D$21*0.95),0)+IF(AND(Projects!$G$22="Yes",78&gt;=Projects!$C$22,78&lt;Projects!$C$22+Projects!$D$22),IF(78=Projects!$C$22+Projects!$D$22-1,Projects!$B$22*Assumptions!$B$10/Projects!$D$22*0.95+0.05*Projects!$B$22*Assumptions!$B$10,Projects!$B$22*Assumptions!$B$10/Projects!$D$22*0.95),0)+IF(AND(Projects!$G$23="Yes",78&gt;=Projects!$C$23,78&lt;Projects!$C$23+Projects!$D$23),IF(78=Projects!$C$23+Projects!$D$23-1,Projects!$B$23*Assumptions!$B$10/Projects!$D$23*0.95+0.05*Projects!$B$23*Assumptions!$B$10,Projects!$B$23*Assumptions!$B$10/Projects!$D$23*0.95),0)+IF(AND(Projects!$G$24="Yes",78&gt;=Projects!$C$24,78&lt;Projects!$C$24+Projects!$D$24),IF(78=Projects!$C$24+Projects!$D$24-1,Projects!$B$24*Assumptions!$B$10/Projects!$D$24*0.95+0.05*Projects!$B$24*Assumptions!$B$10,Projects!$B$24*Assumptions!$B$10/Projects!$D$24*0.95),0)+IF(AND(Projects!$G$25="Yes",78&gt;=Projects!$C$25,78&lt;Projects!$C$25+Projects!$D$25),IF(78=Projects!$C$25+Projects!$D$25-1,Projects!$B$25*Assumptions!$B$10/Projects!$D$25*0.95+0.05*Projects!$B$25*Assumptions!$B$10,Projects!$B$25*Assumptions!$B$10/Projects!$D$25*0.95),0)+IF(AND(Projects!$G$26="Yes",78&gt;=Projects!$C$26,78&lt;Projects!$C$26+Projects!$D$26),IF(78=Projects!$C$26+Projects!$D$26-1,Projects!$B$26*Assumptions!$B$10/Projects!$D$26*0.95+0.05*Projects!$B$26*Assumptions!$B$10,Projects!$B$26*Assumptions!$B$10/Projects!$D$26*0.95),0)+IF(AND(Projects!$G$27="Yes",78&gt;=Projects!$C$27,78&lt;Projects!$C$27+Projects!$D$27),IF(78=Projects!$C$27+Projects!$D$27-1,Projects!$B$27*Assumptions!$B$10/Projects!$D$27*0.95+0.05*Projects!$B$27*Assumptions!$B$10,Projects!$B$27*Assumptions!$B$10/Projects!$D$27*0.95),0)+IF(AND(Projects!$G$28="Yes",78&gt;=Projects!$C$28,78&lt;Projects!$C$28+Projects!$D$28),IF(78=Projects!$C$28+Projects!$D$28-1,Projects!$B$28*Assumptions!$B$10/Projects!$D$28*0.95+0.05*Projects!$B$28*Assumptions!$B$10,Projects!$B$28*Assumptions!$B$10/Projects!$D$28*0.95),0)+IF(AND(Projects!$G$29="Yes",78&gt;=Projects!$C$29,78&lt;Projects!$C$29+Projects!$D$29),IF(78=Projects!$C$29+Projects!$D$29-1,Projects!$B$29*Assumptions!$B$10/Projects!$D$29*0.95+0.05*Projects!$B$29*Assumptions!$B$10,Projects!$B$29*Assumptions!$B$10/Projects!$D$29*0.95),0)</f>
        <v/>
      </c>
      <c r="CC98">
        <f>IF(AND(Projects!$G$17="Yes",79&gt;=Projects!$C$17,79&lt;Projects!$C$17+Projects!$D$17),IF(79=Projects!$C$17+Projects!$D$17-1,Projects!$B$17*Assumptions!$B$10/Projects!$D$17*0.95+0.05*Projects!$B$17*Assumptions!$B$10,Projects!$B$17*Assumptions!$B$10/Projects!$D$17*0.95),0)+IF(AND(Projects!$G$18="Yes",79&gt;=Projects!$C$18,79&lt;Projects!$C$18+Projects!$D$18),IF(79=Projects!$C$18+Projects!$D$18-1,Projects!$B$18*Assumptions!$B$10/Projects!$D$18*0.95+0.05*Projects!$B$18*Assumptions!$B$10,Projects!$B$18*Assumptions!$B$10/Projects!$D$18*0.95),0)+IF(AND(Projects!$G$19="Yes",79&gt;=Projects!$C$19,79&lt;Projects!$C$19+Projects!$D$19),IF(79=Projects!$C$19+Projects!$D$19-1,Projects!$B$19*Assumptions!$B$10/Projects!$D$19*0.95+0.05*Projects!$B$19*Assumptions!$B$10,Projects!$B$19*Assumptions!$B$10/Projects!$D$19*0.95),0)+IF(AND(Projects!$G$20="Yes",79&gt;=Projects!$C$20,79&lt;Projects!$C$20+Projects!$D$20),IF(79=Projects!$C$20+Projects!$D$20-1,Projects!$B$20*Assumptions!$B$10/Projects!$D$20*0.95+0.05*Projects!$B$20*Assumptions!$B$10,Projects!$B$20*Assumptions!$B$10/Projects!$D$20*0.95),0)+IF(AND(Projects!$G$21="Yes",79&gt;=Projects!$C$21,79&lt;Projects!$C$21+Projects!$D$21),IF(79=Projects!$C$21+Projects!$D$21-1,Projects!$B$21*Assumptions!$B$10/Projects!$D$21*0.95+0.05*Projects!$B$21*Assumptions!$B$10,Projects!$B$21*Assumptions!$B$10/Projects!$D$21*0.95),0)+IF(AND(Projects!$G$22="Yes",79&gt;=Projects!$C$22,79&lt;Projects!$C$22+Projects!$D$22),IF(79=Projects!$C$22+Projects!$D$22-1,Projects!$B$22*Assumptions!$B$10/Projects!$D$22*0.95+0.05*Projects!$B$22*Assumptions!$B$10,Projects!$B$22*Assumptions!$B$10/Projects!$D$22*0.95),0)+IF(AND(Projects!$G$23="Yes",79&gt;=Projects!$C$23,79&lt;Projects!$C$23+Projects!$D$23),IF(79=Projects!$C$23+Projects!$D$23-1,Projects!$B$23*Assumptions!$B$10/Projects!$D$23*0.95+0.05*Projects!$B$23*Assumptions!$B$10,Projects!$B$23*Assumptions!$B$10/Projects!$D$23*0.95),0)+IF(AND(Projects!$G$24="Yes",79&gt;=Projects!$C$24,79&lt;Projects!$C$24+Projects!$D$24),IF(79=Projects!$C$24+Projects!$D$24-1,Projects!$B$24*Assumptions!$B$10/Projects!$D$24*0.95+0.05*Projects!$B$24*Assumptions!$B$10,Projects!$B$24*Assumptions!$B$10/Projects!$D$24*0.95),0)+IF(AND(Projects!$G$25="Yes",79&gt;=Projects!$C$25,79&lt;Projects!$C$25+Projects!$D$25),IF(79=Projects!$C$25+Projects!$D$25-1,Projects!$B$25*Assumptions!$B$10/Projects!$D$25*0.95+0.05*Projects!$B$25*Assumptions!$B$10,Projects!$B$25*Assumptions!$B$10/Projects!$D$25*0.95),0)+IF(AND(Projects!$G$26="Yes",79&gt;=Projects!$C$26,79&lt;Projects!$C$26+Projects!$D$26),IF(79=Projects!$C$26+Projects!$D$26-1,Projects!$B$26*Assumptions!$B$10/Projects!$D$26*0.95+0.05*Projects!$B$26*Assumptions!$B$10,Projects!$B$26*Assumptions!$B$10/Projects!$D$26*0.95),0)+IF(AND(Projects!$G$27="Yes",79&gt;=Projects!$C$27,79&lt;Projects!$C$27+Projects!$D$27),IF(79=Projects!$C$27+Projects!$D$27-1,Projects!$B$27*Assumptions!$B$10/Projects!$D$27*0.95+0.05*Projects!$B$27*Assumptions!$B$10,Projects!$B$27*Assumptions!$B$10/Projects!$D$27*0.95),0)+IF(AND(Projects!$G$28="Yes",79&gt;=Projects!$C$28,79&lt;Projects!$C$28+Projects!$D$28),IF(79=Projects!$C$28+Projects!$D$28-1,Projects!$B$28*Assumptions!$B$10/Projects!$D$28*0.95+0.05*Projects!$B$28*Assumptions!$B$10,Projects!$B$28*Assumptions!$B$10/Projects!$D$28*0.95),0)+IF(AND(Projects!$G$29="Yes",79&gt;=Projects!$C$29,79&lt;Projects!$C$29+Projects!$D$29),IF(79=Projects!$C$29+Projects!$D$29-1,Projects!$B$29*Assumptions!$B$10/Projects!$D$29*0.95+0.05*Projects!$B$29*Assumptions!$B$10,Projects!$B$29*Assumptions!$B$10/Projects!$D$29*0.95),0)</f>
        <v/>
      </c>
      <c r="CD98">
        <f>IF(AND(Projects!$G$17="Yes",80&gt;=Projects!$C$17,80&lt;Projects!$C$17+Projects!$D$17),IF(80=Projects!$C$17+Projects!$D$17-1,Projects!$B$17*Assumptions!$B$10/Projects!$D$17*0.95+0.05*Projects!$B$17*Assumptions!$B$10,Projects!$B$17*Assumptions!$B$10/Projects!$D$17*0.95),0)+IF(AND(Projects!$G$18="Yes",80&gt;=Projects!$C$18,80&lt;Projects!$C$18+Projects!$D$18),IF(80=Projects!$C$18+Projects!$D$18-1,Projects!$B$18*Assumptions!$B$10/Projects!$D$18*0.95+0.05*Projects!$B$18*Assumptions!$B$10,Projects!$B$18*Assumptions!$B$10/Projects!$D$18*0.95),0)+IF(AND(Projects!$G$19="Yes",80&gt;=Projects!$C$19,80&lt;Projects!$C$19+Projects!$D$19),IF(80=Projects!$C$19+Projects!$D$19-1,Projects!$B$19*Assumptions!$B$10/Projects!$D$19*0.95+0.05*Projects!$B$19*Assumptions!$B$10,Projects!$B$19*Assumptions!$B$10/Projects!$D$19*0.95),0)+IF(AND(Projects!$G$20="Yes",80&gt;=Projects!$C$20,80&lt;Projects!$C$20+Projects!$D$20),IF(80=Projects!$C$20+Projects!$D$20-1,Projects!$B$20*Assumptions!$B$10/Projects!$D$20*0.95+0.05*Projects!$B$20*Assumptions!$B$10,Projects!$B$20*Assumptions!$B$10/Projects!$D$20*0.95),0)+IF(AND(Projects!$G$21="Yes",80&gt;=Projects!$C$21,80&lt;Projects!$C$21+Projects!$D$21),IF(80=Projects!$C$21+Projects!$D$21-1,Projects!$B$21*Assumptions!$B$10/Projects!$D$21*0.95+0.05*Projects!$B$21*Assumptions!$B$10,Projects!$B$21*Assumptions!$B$10/Projects!$D$21*0.95),0)+IF(AND(Projects!$G$22="Yes",80&gt;=Projects!$C$22,80&lt;Projects!$C$22+Projects!$D$22),IF(80=Projects!$C$22+Projects!$D$22-1,Projects!$B$22*Assumptions!$B$10/Projects!$D$22*0.95+0.05*Projects!$B$22*Assumptions!$B$10,Projects!$B$22*Assumptions!$B$10/Projects!$D$22*0.95),0)+IF(AND(Projects!$G$23="Yes",80&gt;=Projects!$C$23,80&lt;Projects!$C$23+Projects!$D$23),IF(80=Projects!$C$23+Projects!$D$23-1,Projects!$B$23*Assumptions!$B$10/Projects!$D$23*0.95+0.05*Projects!$B$23*Assumptions!$B$10,Projects!$B$23*Assumptions!$B$10/Projects!$D$23*0.95),0)+IF(AND(Projects!$G$24="Yes",80&gt;=Projects!$C$24,80&lt;Projects!$C$24+Projects!$D$24),IF(80=Projects!$C$24+Projects!$D$24-1,Projects!$B$24*Assumptions!$B$10/Projects!$D$24*0.95+0.05*Projects!$B$24*Assumptions!$B$10,Projects!$B$24*Assumptions!$B$10/Projects!$D$24*0.95),0)+IF(AND(Projects!$G$25="Yes",80&gt;=Projects!$C$25,80&lt;Projects!$C$25+Projects!$D$25),IF(80=Projects!$C$25+Projects!$D$25-1,Projects!$B$25*Assumptions!$B$10/Projects!$D$25*0.95+0.05*Projects!$B$25*Assumptions!$B$10,Projects!$B$25*Assumptions!$B$10/Projects!$D$25*0.95),0)+IF(AND(Projects!$G$26="Yes",80&gt;=Projects!$C$26,80&lt;Projects!$C$26+Projects!$D$26),IF(80=Projects!$C$26+Projects!$D$26-1,Projects!$B$26*Assumptions!$B$10/Projects!$D$26*0.95+0.05*Projects!$B$26*Assumptions!$B$10,Projects!$B$26*Assumptions!$B$10/Projects!$D$26*0.95),0)+IF(AND(Projects!$G$27="Yes",80&gt;=Projects!$C$27,80&lt;Projects!$C$27+Projects!$D$27),IF(80=Projects!$C$27+Projects!$D$27-1,Projects!$B$27*Assumptions!$B$10/Projects!$D$27*0.95+0.05*Projects!$B$27*Assumptions!$B$10,Projects!$B$27*Assumptions!$B$10/Projects!$D$27*0.95),0)+IF(AND(Projects!$G$28="Yes",80&gt;=Projects!$C$28,80&lt;Projects!$C$28+Projects!$D$28),IF(80=Projects!$C$28+Projects!$D$28-1,Projects!$B$28*Assumptions!$B$10/Projects!$D$28*0.95+0.05*Projects!$B$28*Assumptions!$B$10,Projects!$B$28*Assumptions!$B$10/Projects!$D$28*0.95),0)+IF(AND(Projects!$G$29="Yes",80&gt;=Projects!$C$29,80&lt;Projects!$C$29+Projects!$D$29),IF(80=Projects!$C$29+Projects!$D$29-1,Projects!$B$29*Assumptions!$B$10/Projects!$D$29*0.95+0.05*Projects!$B$29*Assumptions!$B$10,Projects!$B$29*Assumptions!$B$10/Projects!$D$29*0.95),0)</f>
        <v/>
      </c>
      <c r="CE98">
        <f>IF(AND(Projects!$G$17="Yes",81&gt;=Projects!$C$17,81&lt;Projects!$C$17+Projects!$D$17),IF(81=Projects!$C$17+Projects!$D$17-1,Projects!$B$17*Assumptions!$B$10/Projects!$D$17*0.95+0.05*Projects!$B$17*Assumptions!$B$10,Projects!$B$17*Assumptions!$B$10/Projects!$D$17*0.95),0)+IF(AND(Projects!$G$18="Yes",81&gt;=Projects!$C$18,81&lt;Projects!$C$18+Projects!$D$18),IF(81=Projects!$C$18+Projects!$D$18-1,Projects!$B$18*Assumptions!$B$10/Projects!$D$18*0.95+0.05*Projects!$B$18*Assumptions!$B$10,Projects!$B$18*Assumptions!$B$10/Projects!$D$18*0.95),0)+IF(AND(Projects!$G$19="Yes",81&gt;=Projects!$C$19,81&lt;Projects!$C$19+Projects!$D$19),IF(81=Projects!$C$19+Projects!$D$19-1,Projects!$B$19*Assumptions!$B$10/Projects!$D$19*0.95+0.05*Projects!$B$19*Assumptions!$B$10,Projects!$B$19*Assumptions!$B$10/Projects!$D$19*0.95),0)+IF(AND(Projects!$G$20="Yes",81&gt;=Projects!$C$20,81&lt;Projects!$C$20+Projects!$D$20),IF(81=Projects!$C$20+Projects!$D$20-1,Projects!$B$20*Assumptions!$B$10/Projects!$D$20*0.95+0.05*Projects!$B$20*Assumptions!$B$10,Projects!$B$20*Assumptions!$B$10/Projects!$D$20*0.95),0)+IF(AND(Projects!$G$21="Yes",81&gt;=Projects!$C$21,81&lt;Projects!$C$21+Projects!$D$21),IF(81=Projects!$C$21+Projects!$D$21-1,Projects!$B$21*Assumptions!$B$10/Projects!$D$21*0.95+0.05*Projects!$B$21*Assumptions!$B$10,Projects!$B$21*Assumptions!$B$10/Projects!$D$21*0.95),0)+IF(AND(Projects!$G$22="Yes",81&gt;=Projects!$C$22,81&lt;Projects!$C$22+Projects!$D$22),IF(81=Projects!$C$22+Projects!$D$22-1,Projects!$B$22*Assumptions!$B$10/Projects!$D$22*0.95+0.05*Projects!$B$22*Assumptions!$B$10,Projects!$B$22*Assumptions!$B$10/Projects!$D$22*0.95),0)+IF(AND(Projects!$G$23="Yes",81&gt;=Projects!$C$23,81&lt;Projects!$C$23+Projects!$D$23),IF(81=Projects!$C$23+Projects!$D$23-1,Projects!$B$23*Assumptions!$B$10/Projects!$D$23*0.95+0.05*Projects!$B$23*Assumptions!$B$10,Projects!$B$23*Assumptions!$B$10/Projects!$D$23*0.95),0)+IF(AND(Projects!$G$24="Yes",81&gt;=Projects!$C$24,81&lt;Projects!$C$24+Projects!$D$24),IF(81=Projects!$C$24+Projects!$D$24-1,Projects!$B$24*Assumptions!$B$10/Projects!$D$24*0.95+0.05*Projects!$B$24*Assumptions!$B$10,Projects!$B$24*Assumptions!$B$10/Projects!$D$24*0.95),0)+IF(AND(Projects!$G$25="Yes",81&gt;=Projects!$C$25,81&lt;Projects!$C$25+Projects!$D$25),IF(81=Projects!$C$25+Projects!$D$25-1,Projects!$B$25*Assumptions!$B$10/Projects!$D$25*0.95+0.05*Projects!$B$25*Assumptions!$B$10,Projects!$B$25*Assumptions!$B$10/Projects!$D$25*0.95),0)+IF(AND(Projects!$G$26="Yes",81&gt;=Projects!$C$26,81&lt;Projects!$C$26+Projects!$D$26),IF(81=Projects!$C$26+Projects!$D$26-1,Projects!$B$26*Assumptions!$B$10/Projects!$D$26*0.95+0.05*Projects!$B$26*Assumptions!$B$10,Projects!$B$26*Assumptions!$B$10/Projects!$D$26*0.95),0)+IF(AND(Projects!$G$27="Yes",81&gt;=Projects!$C$27,81&lt;Projects!$C$27+Projects!$D$27),IF(81=Projects!$C$27+Projects!$D$27-1,Projects!$B$27*Assumptions!$B$10/Projects!$D$27*0.95+0.05*Projects!$B$27*Assumptions!$B$10,Projects!$B$27*Assumptions!$B$10/Projects!$D$27*0.95),0)+IF(AND(Projects!$G$28="Yes",81&gt;=Projects!$C$28,81&lt;Projects!$C$28+Projects!$D$28),IF(81=Projects!$C$28+Projects!$D$28-1,Projects!$B$28*Assumptions!$B$10/Projects!$D$28*0.95+0.05*Projects!$B$28*Assumptions!$B$10,Projects!$B$28*Assumptions!$B$10/Projects!$D$28*0.95),0)+IF(AND(Projects!$G$29="Yes",81&gt;=Projects!$C$29,81&lt;Projects!$C$29+Projects!$D$29),IF(81=Projects!$C$29+Projects!$D$29-1,Projects!$B$29*Assumptions!$B$10/Projects!$D$29*0.95+0.05*Projects!$B$29*Assumptions!$B$10,Projects!$B$29*Assumptions!$B$10/Projects!$D$29*0.95),0)</f>
        <v/>
      </c>
      <c r="CF98">
        <f>IF(AND(Projects!$G$17="Yes",82&gt;=Projects!$C$17,82&lt;Projects!$C$17+Projects!$D$17),IF(82=Projects!$C$17+Projects!$D$17-1,Projects!$B$17*Assumptions!$B$10/Projects!$D$17*0.95+0.05*Projects!$B$17*Assumptions!$B$10,Projects!$B$17*Assumptions!$B$10/Projects!$D$17*0.95),0)+IF(AND(Projects!$G$18="Yes",82&gt;=Projects!$C$18,82&lt;Projects!$C$18+Projects!$D$18),IF(82=Projects!$C$18+Projects!$D$18-1,Projects!$B$18*Assumptions!$B$10/Projects!$D$18*0.95+0.05*Projects!$B$18*Assumptions!$B$10,Projects!$B$18*Assumptions!$B$10/Projects!$D$18*0.95),0)+IF(AND(Projects!$G$19="Yes",82&gt;=Projects!$C$19,82&lt;Projects!$C$19+Projects!$D$19),IF(82=Projects!$C$19+Projects!$D$19-1,Projects!$B$19*Assumptions!$B$10/Projects!$D$19*0.95+0.05*Projects!$B$19*Assumptions!$B$10,Projects!$B$19*Assumptions!$B$10/Projects!$D$19*0.95),0)+IF(AND(Projects!$G$20="Yes",82&gt;=Projects!$C$20,82&lt;Projects!$C$20+Projects!$D$20),IF(82=Projects!$C$20+Projects!$D$20-1,Projects!$B$20*Assumptions!$B$10/Projects!$D$20*0.95+0.05*Projects!$B$20*Assumptions!$B$10,Projects!$B$20*Assumptions!$B$10/Projects!$D$20*0.95),0)+IF(AND(Projects!$G$21="Yes",82&gt;=Projects!$C$21,82&lt;Projects!$C$21+Projects!$D$21),IF(82=Projects!$C$21+Projects!$D$21-1,Projects!$B$21*Assumptions!$B$10/Projects!$D$21*0.95+0.05*Projects!$B$21*Assumptions!$B$10,Projects!$B$21*Assumptions!$B$10/Projects!$D$21*0.95),0)+IF(AND(Projects!$G$22="Yes",82&gt;=Projects!$C$22,82&lt;Projects!$C$22+Projects!$D$22),IF(82=Projects!$C$22+Projects!$D$22-1,Projects!$B$22*Assumptions!$B$10/Projects!$D$22*0.95+0.05*Projects!$B$22*Assumptions!$B$10,Projects!$B$22*Assumptions!$B$10/Projects!$D$22*0.95),0)+IF(AND(Projects!$G$23="Yes",82&gt;=Projects!$C$23,82&lt;Projects!$C$23+Projects!$D$23),IF(82=Projects!$C$23+Projects!$D$23-1,Projects!$B$23*Assumptions!$B$10/Projects!$D$23*0.95+0.05*Projects!$B$23*Assumptions!$B$10,Projects!$B$23*Assumptions!$B$10/Projects!$D$23*0.95),0)+IF(AND(Projects!$G$24="Yes",82&gt;=Projects!$C$24,82&lt;Projects!$C$24+Projects!$D$24),IF(82=Projects!$C$24+Projects!$D$24-1,Projects!$B$24*Assumptions!$B$10/Projects!$D$24*0.95+0.05*Projects!$B$24*Assumptions!$B$10,Projects!$B$24*Assumptions!$B$10/Projects!$D$24*0.95),0)+IF(AND(Projects!$G$25="Yes",82&gt;=Projects!$C$25,82&lt;Projects!$C$25+Projects!$D$25),IF(82=Projects!$C$25+Projects!$D$25-1,Projects!$B$25*Assumptions!$B$10/Projects!$D$25*0.95+0.05*Projects!$B$25*Assumptions!$B$10,Projects!$B$25*Assumptions!$B$10/Projects!$D$25*0.95),0)+IF(AND(Projects!$G$26="Yes",82&gt;=Projects!$C$26,82&lt;Projects!$C$26+Projects!$D$26),IF(82=Projects!$C$26+Projects!$D$26-1,Projects!$B$26*Assumptions!$B$10/Projects!$D$26*0.95+0.05*Projects!$B$26*Assumptions!$B$10,Projects!$B$26*Assumptions!$B$10/Projects!$D$26*0.95),0)+IF(AND(Projects!$G$27="Yes",82&gt;=Projects!$C$27,82&lt;Projects!$C$27+Projects!$D$27),IF(82=Projects!$C$27+Projects!$D$27-1,Projects!$B$27*Assumptions!$B$10/Projects!$D$27*0.95+0.05*Projects!$B$27*Assumptions!$B$10,Projects!$B$27*Assumptions!$B$10/Projects!$D$27*0.95),0)+IF(AND(Projects!$G$28="Yes",82&gt;=Projects!$C$28,82&lt;Projects!$C$28+Projects!$D$28),IF(82=Projects!$C$28+Projects!$D$28-1,Projects!$B$28*Assumptions!$B$10/Projects!$D$28*0.95+0.05*Projects!$B$28*Assumptions!$B$10,Projects!$B$28*Assumptions!$B$10/Projects!$D$28*0.95),0)+IF(AND(Projects!$G$29="Yes",82&gt;=Projects!$C$29,82&lt;Projects!$C$29+Projects!$D$29),IF(82=Projects!$C$29+Projects!$D$29-1,Projects!$B$29*Assumptions!$B$10/Projects!$D$29*0.95+0.05*Projects!$B$29*Assumptions!$B$10,Projects!$B$29*Assumptions!$B$10/Projects!$D$29*0.95),0)</f>
        <v/>
      </c>
      <c r="CG98">
        <f>IF(AND(Projects!$G$17="Yes",83&gt;=Projects!$C$17,83&lt;Projects!$C$17+Projects!$D$17),IF(83=Projects!$C$17+Projects!$D$17-1,Projects!$B$17*Assumptions!$B$10/Projects!$D$17*0.95+0.05*Projects!$B$17*Assumptions!$B$10,Projects!$B$17*Assumptions!$B$10/Projects!$D$17*0.95),0)+IF(AND(Projects!$G$18="Yes",83&gt;=Projects!$C$18,83&lt;Projects!$C$18+Projects!$D$18),IF(83=Projects!$C$18+Projects!$D$18-1,Projects!$B$18*Assumptions!$B$10/Projects!$D$18*0.95+0.05*Projects!$B$18*Assumptions!$B$10,Projects!$B$18*Assumptions!$B$10/Projects!$D$18*0.95),0)+IF(AND(Projects!$G$19="Yes",83&gt;=Projects!$C$19,83&lt;Projects!$C$19+Projects!$D$19),IF(83=Projects!$C$19+Projects!$D$19-1,Projects!$B$19*Assumptions!$B$10/Projects!$D$19*0.95+0.05*Projects!$B$19*Assumptions!$B$10,Projects!$B$19*Assumptions!$B$10/Projects!$D$19*0.95),0)+IF(AND(Projects!$G$20="Yes",83&gt;=Projects!$C$20,83&lt;Projects!$C$20+Projects!$D$20),IF(83=Projects!$C$20+Projects!$D$20-1,Projects!$B$20*Assumptions!$B$10/Projects!$D$20*0.95+0.05*Projects!$B$20*Assumptions!$B$10,Projects!$B$20*Assumptions!$B$10/Projects!$D$20*0.95),0)+IF(AND(Projects!$G$21="Yes",83&gt;=Projects!$C$21,83&lt;Projects!$C$21+Projects!$D$21),IF(83=Projects!$C$21+Projects!$D$21-1,Projects!$B$21*Assumptions!$B$10/Projects!$D$21*0.95+0.05*Projects!$B$21*Assumptions!$B$10,Projects!$B$21*Assumptions!$B$10/Projects!$D$21*0.95),0)+IF(AND(Projects!$G$22="Yes",83&gt;=Projects!$C$22,83&lt;Projects!$C$22+Projects!$D$22),IF(83=Projects!$C$22+Projects!$D$22-1,Projects!$B$22*Assumptions!$B$10/Projects!$D$22*0.95+0.05*Projects!$B$22*Assumptions!$B$10,Projects!$B$22*Assumptions!$B$10/Projects!$D$22*0.95),0)+IF(AND(Projects!$G$23="Yes",83&gt;=Projects!$C$23,83&lt;Projects!$C$23+Projects!$D$23),IF(83=Projects!$C$23+Projects!$D$23-1,Projects!$B$23*Assumptions!$B$10/Projects!$D$23*0.95+0.05*Projects!$B$23*Assumptions!$B$10,Projects!$B$23*Assumptions!$B$10/Projects!$D$23*0.95),0)+IF(AND(Projects!$G$24="Yes",83&gt;=Projects!$C$24,83&lt;Projects!$C$24+Projects!$D$24),IF(83=Projects!$C$24+Projects!$D$24-1,Projects!$B$24*Assumptions!$B$10/Projects!$D$24*0.95+0.05*Projects!$B$24*Assumptions!$B$10,Projects!$B$24*Assumptions!$B$10/Projects!$D$24*0.95),0)+IF(AND(Projects!$G$25="Yes",83&gt;=Projects!$C$25,83&lt;Projects!$C$25+Projects!$D$25),IF(83=Projects!$C$25+Projects!$D$25-1,Projects!$B$25*Assumptions!$B$10/Projects!$D$25*0.95+0.05*Projects!$B$25*Assumptions!$B$10,Projects!$B$25*Assumptions!$B$10/Projects!$D$25*0.95),0)+IF(AND(Projects!$G$26="Yes",83&gt;=Projects!$C$26,83&lt;Projects!$C$26+Projects!$D$26),IF(83=Projects!$C$26+Projects!$D$26-1,Projects!$B$26*Assumptions!$B$10/Projects!$D$26*0.95+0.05*Projects!$B$26*Assumptions!$B$10,Projects!$B$26*Assumptions!$B$10/Projects!$D$26*0.95),0)+IF(AND(Projects!$G$27="Yes",83&gt;=Projects!$C$27,83&lt;Projects!$C$27+Projects!$D$27),IF(83=Projects!$C$27+Projects!$D$27-1,Projects!$B$27*Assumptions!$B$10/Projects!$D$27*0.95+0.05*Projects!$B$27*Assumptions!$B$10,Projects!$B$27*Assumptions!$B$10/Projects!$D$27*0.95),0)+IF(AND(Projects!$G$28="Yes",83&gt;=Projects!$C$28,83&lt;Projects!$C$28+Projects!$D$28),IF(83=Projects!$C$28+Projects!$D$28-1,Projects!$B$28*Assumptions!$B$10/Projects!$D$28*0.95+0.05*Projects!$B$28*Assumptions!$B$10,Projects!$B$28*Assumptions!$B$10/Projects!$D$28*0.95),0)+IF(AND(Projects!$G$29="Yes",83&gt;=Projects!$C$29,83&lt;Projects!$C$29+Projects!$D$29),IF(83=Projects!$C$29+Projects!$D$29-1,Projects!$B$29*Assumptions!$B$10/Projects!$D$29*0.95+0.05*Projects!$B$29*Assumptions!$B$10,Projects!$B$29*Assumptions!$B$10/Projects!$D$29*0.95),0)</f>
        <v/>
      </c>
      <c r="CH98">
        <f>IF(AND(Projects!$G$17="Yes",84&gt;=Projects!$C$17,84&lt;Projects!$C$17+Projects!$D$17),IF(84=Projects!$C$17+Projects!$D$17-1,Projects!$B$17*Assumptions!$B$10/Projects!$D$17*0.95+0.05*Projects!$B$17*Assumptions!$B$10,Projects!$B$17*Assumptions!$B$10/Projects!$D$17*0.95),0)+IF(AND(Projects!$G$18="Yes",84&gt;=Projects!$C$18,84&lt;Projects!$C$18+Projects!$D$18),IF(84=Projects!$C$18+Projects!$D$18-1,Projects!$B$18*Assumptions!$B$10/Projects!$D$18*0.95+0.05*Projects!$B$18*Assumptions!$B$10,Projects!$B$18*Assumptions!$B$10/Projects!$D$18*0.95),0)+IF(AND(Projects!$G$19="Yes",84&gt;=Projects!$C$19,84&lt;Projects!$C$19+Projects!$D$19),IF(84=Projects!$C$19+Projects!$D$19-1,Projects!$B$19*Assumptions!$B$10/Projects!$D$19*0.95+0.05*Projects!$B$19*Assumptions!$B$10,Projects!$B$19*Assumptions!$B$10/Projects!$D$19*0.95),0)+IF(AND(Projects!$G$20="Yes",84&gt;=Projects!$C$20,84&lt;Projects!$C$20+Projects!$D$20),IF(84=Projects!$C$20+Projects!$D$20-1,Projects!$B$20*Assumptions!$B$10/Projects!$D$20*0.95+0.05*Projects!$B$20*Assumptions!$B$10,Projects!$B$20*Assumptions!$B$10/Projects!$D$20*0.95),0)+IF(AND(Projects!$G$21="Yes",84&gt;=Projects!$C$21,84&lt;Projects!$C$21+Projects!$D$21),IF(84=Projects!$C$21+Projects!$D$21-1,Projects!$B$21*Assumptions!$B$10/Projects!$D$21*0.95+0.05*Projects!$B$21*Assumptions!$B$10,Projects!$B$21*Assumptions!$B$10/Projects!$D$21*0.95),0)+IF(AND(Projects!$G$22="Yes",84&gt;=Projects!$C$22,84&lt;Projects!$C$22+Projects!$D$22),IF(84=Projects!$C$22+Projects!$D$22-1,Projects!$B$22*Assumptions!$B$10/Projects!$D$22*0.95+0.05*Projects!$B$22*Assumptions!$B$10,Projects!$B$22*Assumptions!$B$10/Projects!$D$22*0.95),0)+IF(AND(Projects!$G$23="Yes",84&gt;=Projects!$C$23,84&lt;Projects!$C$23+Projects!$D$23),IF(84=Projects!$C$23+Projects!$D$23-1,Projects!$B$23*Assumptions!$B$10/Projects!$D$23*0.95+0.05*Projects!$B$23*Assumptions!$B$10,Projects!$B$23*Assumptions!$B$10/Projects!$D$23*0.95),0)+IF(AND(Projects!$G$24="Yes",84&gt;=Projects!$C$24,84&lt;Projects!$C$24+Projects!$D$24),IF(84=Projects!$C$24+Projects!$D$24-1,Projects!$B$24*Assumptions!$B$10/Projects!$D$24*0.95+0.05*Projects!$B$24*Assumptions!$B$10,Projects!$B$24*Assumptions!$B$10/Projects!$D$24*0.95),0)+IF(AND(Projects!$G$25="Yes",84&gt;=Projects!$C$25,84&lt;Projects!$C$25+Projects!$D$25),IF(84=Projects!$C$25+Projects!$D$25-1,Projects!$B$25*Assumptions!$B$10/Projects!$D$25*0.95+0.05*Projects!$B$25*Assumptions!$B$10,Projects!$B$25*Assumptions!$B$10/Projects!$D$25*0.95),0)+IF(AND(Projects!$G$26="Yes",84&gt;=Projects!$C$26,84&lt;Projects!$C$26+Projects!$D$26),IF(84=Projects!$C$26+Projects!$D$26-1,Projects!$B$26*Assumptions!$B$10/Projects!$D$26*0.95+0.05*Projects!$B$26*Assumptions!$B$10,Projects!$B$26*Assumptions!$B$10/Projects!$D$26*0.95),0)+IF(AND(Projects!$G$27="Yes",84&gt;=Projects!$C$27,84&lt;Projects!$C$27+Projects!$D$27),IF(84=Projects!$C$27+Projects!$D$27-1,Projects!$B$27*Assumptions!$B$10/Projects!$D$27*0.95+0.05*Projects!$B$27*Assumptions!$B$10,Projects!$B$27*Assumptions!$B$10/Projects!$D$27*0.95),0)+IF(AND(Projects!$G$28="Yes",84&gt;=Projects!$C$28,84&lt;Projects!$C$28+Projects!$D$28),IF(84=Projects!$C$28+Projects!$D$28-1,Projects!$B$28*Assumptions!$B$10/Projects!$D$28*0.95+0.05*Projects!$B$28*Assumptions!$B$10,Projects!$B$28*Assumptions!$B$10/Projects!$D$28*0.95),0)+IF(AND(Projects!$G$29="Yes",84&gt;=Projects!$C$29,84&lt;Projects!$C$29+Projects!$D$29),IF(84=Projects!$C$29+Projects!$D$29-1,Projects!$B$29*Assumptions!$B$10/Projects!$D$29*0.95+0.05*Projects!$B$29*Assumptions!$B$10,Projects!$B$29*Assumptions!$B$10/Projects!$D$29*0.95),0)</f>
        <v/>
      </c>
    </row>
    <row r="99" ht="15" customHeight="1" s="201">
      <c r="A99" t="inlineStr">
        <is>
          <t>BD GC-CM Fee Revenue</t>
        </is>
      </c>
      <c r="C99">
        <f>IF(AND(Projects!$G$17="Yes",1&gt;=Projects!$C$17,1&lt;Projects!$C$17+Projects!$D$17),IF(1=Projects!$C$17+Projects!$D$17-1,Projects!$B$17*INDEX(Curves!$B$4:$AO$4,1,1-Projects!$C$17+1)*Assumptions!$B$11*0.95+0.05*Projects!$B$17*Assumptions!$B$11,Projects!$B$17*INDEX(Curves!$B$4:$AO$4,1,1-Projects!$C$17+1)*Assumptions!$B$11*0.95),0)+IF(AND(Projects!$G$18="Yes",1&gt;=Projects!$C$18,1&lt;Projects!$C$18+Projects!$D$18),IF(1=Projects!$C$18+Projects!$D$18-1,Projects!$B$18*INDEX(Curves!$B$4:$AO$4,1,1-Projects!$C$18+1)*Assumptions!$B$11*0.95+0.05*Projects!$B$18*Assumptions!$B$11,Projects!$B$18*INDEX(Curves!$B$4:$AO$4,1,1-Projects!$C$18+1)*Assumptions!$B$11*0.95),0)+IF(AND(Projects!$G$19="Yes",1&gt;=Projects!$C$19,1&lt;Projects!$C$19+Projects!$D$19),IF(1=Projects!$C$19+Projects!$D$19-1,Projects!$B$19*INDEX(Curves!$B$4:$AO$4,1,1-Projects!$C$19+1)*Assumptions!$B$11*0.95+0.05*Projects!$B$19*Assumptions!$B$11,Projects!$B$19*INDEX(Curves!$B$4:$AO$4,1,1-Projects!$C$19+1)*Assumptions!$B$11*0.95),0)+IF(AND(Projects!$G$20="Yes",1&gt;=Projects!$C$20,1&lt;Projects!$C$20+Projects!$D$20),IF(1=Projects!$C$20+Projects!$D$20-1,Projects!$B$20*INDEX(Curves!$B$4:$AO$4,1,1-Projects!$C$20+1)*Assumptions!$B$11*0.95+0.05*Projects!$B$20*Assumptions!$B$11,Projects!$B$20*INDEX(Curves!$B$4:$AO$4,1,1-Projects!$C$20+1)*Assumptions!$B$11*0.95),0)+IF(AND(Projects!$G$21="Yes",1&gt;=Projects!$C$21,1&lt;Projects!$C$21+Projects!$D$21),IF(1=Projects!$C$21+Projects!$D$21-1,Projects!$B$21*INDEX(Curves!$B$4:$AO$4,1,1-Projects!$C$21+1)*Assumptions!$B$11*0.95+0.05*Projects!$B$21*Assumptions!$B$11,Projects!$B$21*INDEX(Curves!$B$4:$AO$4,1,1-Projects!$C$21+1)*Assumptions!$B$11*0.95),0)+IF(AND(Projects!$G$22="Yes",1&gt;=Projects!$C$22,1&lt;Projects!$C$22+Projects!$D$22),IF(1=Projects!$C$22+Projects!$D$22-1,Projects!$B$22*INDEX(Curves!$B$4:$AO$4,1,1-Projects!$C$22+1)*Assumptions!$B$11*0.95+0.05*Projects!$B$22*Assumptions!$B$11,Projects!$B$22*INDEX(Curves!$B$4:$AO$4,1,1-Projects!$C$22+1)*Assumptions!$B$11*0.95),0)+IF(AND(Projects!$G$23="Yes",1&gt;=Projects!$C$23,1&lt;Projects!$C$23+Projects!$D$23),IF(1=Projects!$C$23+Projects!$D$23-1,Projects!$B$23*INDEX(Curves!$B$4:$AO$4,1,1-Projects!$C$23+1)*Assumptions!$B$11*0.95+0.05*Projects!$B$23*Assumptions!$B$11,Projects!$B$23*INDEX(Curves!$B$4:$AO$4,1,1-Projects!$C$23+1)*Assumptions!$B$11*0.95),0)+IF(AND(Projects!$G$24="Yes",1&gt;=Projects!$C$24,1&lt;Projects!$C$24+Projects!$D$24),IF(1=Projects!$C$24+Projects!$D$24-1,Projects!$B$24*INDEX(Curves!$B$4:$AO$4,1,1-Projects!$C$24+1)*Assumptions!$B$11*0.95+0.05*Projects!$B$24*Assumptions!$B$11,Projects!$B$24*INDEX(Curves!$B$4:$AO$4,1,1-Projects!$C$24+1)*Assumptions!$B$11*0.95),0)+IF(AND(Projects!$G$25="Yes",1&gt;=Projects!$C$25,1&lt;Projects!$C$25+Projects!$D$25),IF(1=Projects!$C$25+Projects!$D$25-1,Projects!$B$25*INDEX(Curves!$B$4:$AO$4,1,1-Projects!$C$25+1)*Assumptions!$B$11*0.95+0.05*Projects!$B$25*Assumptions!$B$11,Projects!$B$25*INDEX(Curves!$B$4:$AO$4,1,1-Projects!$C$25+1)*Assumptions!$B$11*0.95),0)+IF(AND(Projects!$G$26="Yes",1&gt;=Projects!$C$26,1&lt;Projects!$C$26+Projects!$D$26),IF(1=Projects!$C$26+Projects!$D$26-1,Projects!$B$26*INDEX(Curves!$B$4:$AO$4,1,1-Projects!$C$26+1)*Assumptions!$B$11*0.95+0.05*Projects!$B$26*Assumptions!$B$11,Projects!$B$26*INDEX(Curves!$B$4:$AO$4,1,1-Projects!$C$26+1)*Assumptions!$B$11*0.95),0)+IF(AND(Projects!$G$27="Yes",1&gt;=Projects!$C$27,1&lt;Projects!$C$27+Projects!$D$27),IF(1=Projects!$C$27+Projects!$D$27-1,Projects!$B$27*INDEX(Curves!$B$4:$AO$4,1,1-Projects!$C$27+1)*Assumptions!$B$11*0.95+0.05*Projects!$B$27*Assumptions!$B$11,Projects!$B$27*INDEX(Curves!$B$4:$AO$4,1,1-Projects!$C$27+1)*Assumptions!$B$11*0.95),0)+IF(AND(Projects!$G$28="Yes",1&gt;=Projects!$C$28,1&lt;Projects!$C$28+Projects!$D$28),IF(1=Projects!$C$28+Projects!$D$28-1,Projects!$B$28*INDEX(Curves!$B$4:$AO$4,1,1-Projects!$C$28+1)*Assumptions!$B$11*0.95+0.05*Projects!$B$28*Assumptions!$B$11,Projects!$B$28*INDEX(Curves!$B$4:$AO$4,1,1-Projects!$C$28+1)*Assumptions!$B$11*0.95),0)+IF(AND(Projects!$G$29="Yes",1&gt;=Projects!$C$29,1&lt;Projects!$C$29+Projects!$D$29),IF(1=Projects!$C$29+Projects!$D$29-1,Projects!$B$29*INDEX(Curves!$B$4:$AO$4,1,1-Projects!$C$29+1)*Assumptions!$B$11*0.95+0.05*Projects!$B$29*Assumptions!$B$11,Projects!$B$29*INDEX(Curves!$B$4:$AO$4,1,1-Projects!$C$29+1)*Assumptions!$B$11*0.95),0)</f>
        <v/>
      </c>
      <c r="D99">
        <f>IF(AND(Projects!$G$17="Yes",2&gt;=Projects!$C$17,2&lt;Projects!$C$17+Projects!$D$17),IF(2=Projects!$C$17+Projects!$D$17-1,Projects!$B$17*INDEX(Curves!$B$4:$AO$4,1,2-Projects!$C$17+1)*Assumptions!$B$11*0.95+0.05*Projects!$B$17*Assumptions!$B$11,Projects!$B$17*INDEX(Curves!$B$4:$AO$4,1,2-Projects!$C$17+1)*Assumptions!$B$11*0.95),0)+IF(AND(Projects!$G$18="Yes",2&gt;=Projects!$C$18,2&lt;Projects!$C$18+Projects!$D$18),IF(2=Projects!$C$18+Projects!$D$18-1,Projects!$B$18*INDEX(Curves!$B$4:$AO$4,1,2-Projects!$C$18+1)*Assumptions!$B$11*0.95+0.05*Projects!$B$18*Assumptions!$B$11,Projects!$B$18*INDEX(Curves!$B$4:$AO$4,1,2-Projects!$C$18+1)*Assumptions!$B$11*0.95),0)+IF(AND(Projects!$G$19="Yes",2&gt;=Projects!$C$19,2&lt;Projects!$C$19+Projects!$D$19),IF(2=Projects!$C$19+Projects!$D$19-1,Projects!$B$19*INDEX(Curves!$B$4:$AO$4,1,2-Projects!$C$19+1)*Assumptions!$B$11*0.95+0.05*Projects!$B$19*Assumptions!$B$11,Projects!$B$19*INDEX(Curves!$B$4:$AO$4,1,2-Projects!$C$19+1)*Assumptions!$B$11*0.95),0)+IF(AND(Projects!$G$20="Yes",2&gt;=Projects!$C$20,2&lt;Projects!$C$20+Projects!$D$20),IF(2=Projects!$C$20+Projects!$D$20-1,Projects!$B$20*INDEX(Curves!$B$4:$AO$4,1,2-Projects!$C$20+1)*Assumptions!$B$11*0.95+0.05*Projects!$B$20*Assumptions!$B$11,Projects!$B$20*INDEX(Curves!$B$4:$AO$4,1,2-Projects!$C$20+1)*Assumptions!$B$11*0.95),0)+IF(AND(Projects!$G$21="Yes",2&gt;=Projects!$C$21,2&lt;Projects!$C$21+Projects!$D$21),IF(2=Projects!$C$21+Projects!$D$21-1,Projects!$B$21*INDEX(Curves!$B$4:$AO$4,1,2-Projects!$C$21+1)*Assumptions!$B$11*0.95+0.05*Projects!$B$21*Assumptions!$B$11,Projects!$B$21*INDEX(Curves!$B$4:$AO$4,1,2-Projects!$C$21+1)*Assumptions!$B$11*0.95),0)+IF(AND(Projects!$G$22="Yes",2&gt;=Projects!$C$22,2&lt;Projects!$C$22+Projects!$D$22),IF(2=Projects!$C$22+Projects!$D$22-1,Projects!$B$22*INDEX(Curves!$B$4:$AO$4,1,2-Projects!$C$22+1)*Assumptions!$B$11*0.95+0.05*Projects!$B$22*Assumptions!$B$11,Projects!$B$22*INDEX(Curves!$B$4:$AO$4,1,2-Projects!$C$22+1)*Assumptions!$B$11*0.95),0)+IF(AND(Projects!$G$23="Yes",2&gt;=Projects!$C$23,2&lt;Projects!$C$23+Projects!$D$23),IF(2=Projects!$C$23+Projects!$D$23-1,Projects!$B$23*INDEX(Curves!$B$4:$AO$4,1,2-Projects!$C$23+1)*Assumptions!$B$11*0.95+0.05*Projects!$B$23*Assumptions!$B$11,Projects!$B$23*INDEX(Curves!$B$4:$AO$4,1,2-Projects!$C$23+1)*Assumptions!$B$11*0.95),0)+IF(AND(Projects!$G$24="Yes",2&gt;=Projects!$C$24,2&lt;Projects!$C$24+Projects!$D$24),IF(2=Projects!$C$24+Projects!$D$24-1,Projects!$B$24*INDEX(Curves!$B$4:$AO$4,1,2-Projects!$C$24+1)*Assumptions!$B$11*0.95+0.05*Projects!$B$24*Assumptions!$B$11,Projects!$B$24*INDEX(Curves!$B$4:$AO$4,1,2-Projects!$C$24+1)*Assumptions!$B$11*0.95),0)+IF(AND(Projects!$G$25="Yes",2&gt;=Projects!$C$25,2&lt;Projects!$C$25+Projects!$D$25),IF(2=Projects!$C$25+Projects!$D$25-1,Projects!$B$25*INDEX(Curves!$B$4:$AO$4,1,2-Projects!$C$25+1)*Assumptions!$B$11*0.95+0.05*Projects!$B$25*Assumptions!$B$11,Projects!$B$25*INDEX(Curves!$B$4:$AO$4,1,2-Projects!$C$25+1)*Assumptions!$B$11*0.95),0)+IF(AND(Projects!$G$26="Yes",2&gt;=Projects!$C$26,2&lt;Projects!$C$26+Projects!$D$26),IF(2=Projects!$C$26+Projects!$D$26-1,Projects!$B$26*INDEX(Curves!$B$4:$AO$4,1,2-Projects!$C$26+1)*Assumptions!$B$11*0.95+0.05*Projects!$B$26*Assumptions!$B$11,Projects!$B$26*INDEX(Curves!$B$4:$AO$4,1,2-Projects!$C$26+1)*Assumptions!$B$11*0.95),0)+IF(AND(Projects!$G$27="Yes",2&gt;=Projects!$C$27,2&lt;Projects!$C$27+Projects!$D$27),IF(2=Projects!$C$27+Projects!$D$27-1,Projects!$B$27*INDEX(Curves!$B$4:$AO$4,1,2-Projects!$C$27+1)*Assumptions!$B$11*0.95+0.05*Projects!$B$27*Assumptions!$B$11,Projects!$B$27*INDEX(Curves!$B$4:$AO$4,1,2-Projects!$C$27+1)*Assumptions!$B$11*0.95),0)+IF(AND(Projects!$G$28="Yes",2&gt;=Projects!$C$28,2&lt;Projects!$C$28+Projects!$D$28),IF(2=Projects!$C$28+Projects!$D$28-1,Projects!$B$28*INDEX(Curves!$B$4:$AO$4,1,2-Projects!$C$28+1)*Assumptions!$B$11*0.95+0.05*Projects!$B$28*Assumptions!$B$11,Projects!$B$28*INDEX(Curves!$B$4:$AO$4,1,2-Projects!$C$28+1)*Assumptions!$B$11*0.95),0)+IF(AND(Projects!$G$29="Yes",2&gt;=Projects!$C$29,2&lt;Projects!$C$29+Projects!$D$29),IF(2=Projects!$C$29+Projects!$D$29-1,Projects!$B$29*INDEX(Curves!$B$4:$AO$4,1,2-Projects!$C$29+1)*Assumptions!$B$11*0.95+0.05*Projects!$B$29*Assumptions!$B$11,Projects!$B$29*INDEX(Curves!$B$4:$AO$4,1,2-Projects!$C$29+1)*Assumptions!$B$11*0.95),0)</f>
        <v/>
      </c>
      <c r="E99">
        <f>IF(AND(Projects!$G$17="Yes",3&gt;=Projects!$C$17,3&lt;Projects!$C$17+Projects!$D$17),IF(3=Projects!$C$17+Projects!$D$17-1,Projects!$B$17*INDEX(Curves!$B$4:$AO$4,1,3-Projects!$C$17+1)*Assumptions!$B$11*0.95+0.05*Projects!$B$17*Assumptions!$B$11,Projects!$B$17*INDEX(Curves!$B$4:$AO$4,1,3-Projects!$C$17+1)*Assumptions!$B$11*0.95),0)+IF(AND(Projects!$G$18="Yes",3&gt;=Projects!$C$18,3&lt;Projects!$C$18+Projects!$D$18),IF(3=Projects!$C$18+Projects!$D$18-1,Projects!$B$18*INDEX(Curves!$B$4:$AO$4,1,3-Projects!$C$18+1)*Assumptions!$B$11*0.95+0.05*Projects!$B$18*Assumptions!$B$11,Projects!$B$18*INDEX(Curves!$B$4:$AO$4,1,3-Projects!$C$18+1)*Assumptions!$B$11*0.95),0)+IF(AND(Projects!$G$19="Yes",3&gt;=Projects!$C$19,3&lt;Projects!$C$19+Projects!$D$19),IF(3=Projects!$C$19+Projects!$D$19-1,Projects!$B$19*INDEX(Curves!$B$4:$AO$4,1,3-Projects!$C$19+1)*Assumptions!$B$11*0.95+0.05*Projects!$B$19*Assumptions!$B$11,Projects!$B$19*INDEX(Curves!$B$4:$AO$4,1,3-Projects!$C$19+1)*Assumptions!$B$11*0.95),0)+IF(AND(Projects!$G$20="Yes",3&gt;=Projects!$C$20,3&lt;Projects!$C$20+Projects!$D$20),IF(3=Projects!$C$20+Projects!$D$20-1,Projects!$B$20*INDEX(Curves!$B$4:$AO$4,1,3-Projects!$C$20+1)*Assumptions!$B$11*0.95+0.05*Projects!$B$20*Assumptions!$B$11,Projects!$B$20*INDEX(Curves!$B$4:$AO$4,1,3-Projects!$C$20+1)*Assumptions!$B$11*0.95),0)+IF(AND(Projects!$G$21="Yes",3&gt;=Projects!$C$21,3&lt;Projects!$C$21+Projects!$D$21),IF(3=Projects!$C$21+Projects!$D$21-1,Projects!$B$21*INDEX(Curves!$B$4:$AO$4,1,3-Projects!$C$21+1)*Assumptions!$B$11*0.95+0.05*Projects!$B$21*Assumptions!$B$11,Projects!$B$21*INDEX(Curves!$B$4:$AO$4,1,3-Projects!$C$21+1)*Assumptions!$B$11*0.95),0)+IF(AND(Projects!$G$22="Yes",3&gt;=Projects!$C$22,3&lt;Projects!$C$22+Projects!$D$22),IF(3=Projects!$C$22+Projects!$D$22-1,Projects!$B$22*INDEX(Curves!$B$4:$AO$4,1,3-Projects!$C$22+1)*Assumptions!$B$11*0.95+0.05*Projects!$B$22*Assumptions!$B$11,Projects!$B$22*INDEX(Curves!$B$4:$AO$4,1,3-Projects!$C$22+1)*Assumptions!$B$11*0.95),0)+IF(AND(Projects!$G$23="Yes",3&gt;=Projects!$C$23,3&lt;Projects!$C$23+Projects!$D$23),IF(3=Projects!$C$23+Projects!$D$23-1,Projects!$B$23*INDEX(Curves!$B$4:$AO$4,1,3-Projects!$C$23+1)*Assumptions!$B$11*0.95+0.05*Projects!$B$23*Assumptions!$B$11,Projects!$B$23*INDEX(Curves!$B$4:$AO$4,1,3-Projects!$C$23+1)*Assumptions!$B$11*0.95),0)+IF(AND(Projects!$G$24="Yes",3&gt;=Projects!$C$24,3&lt;Projects!$C$24+Projects!$D$24),IF(3=Projects!$C$24+Projects!$D$24-1,Projects!$B$24*INDEX(Curves!$B$4:$AO$4,1,3-Projects!$C$24+1)*Assumptions!$B$11*0.95+0.05*Projects!$B$24*Assumptions!$B$11,Projects!$B$24*INDEX(Curves!$B$4:$AO$4,1,3-Projects!$C$24+1)*Assumptions!$B$11*0.95),0)+IF(AND(Projects!$G$25="Yes",3&gt;=Projects!$C$25,3&lt;Projects!$C$25+Projects!$D$25),IF(3=Projects!$C$25+Projects!$D$25-1,Projects!$B$25*INDEX(Curves!$B$4:$AO$4,1,3-Projects!$C$25+1)*Assumptions!$B$11*0.95+0.05*Projects!$B$25*Assumptions!$B$11,Projects!$B$25*INDEX(Curves!$B$4:$AO$4,1,3-Projects!$C$25+1)*Assumptions!$B$11*0.95),0)+IF(AND(Projects!$G$26="Yes",3&gt;=Projects!$C$26,3&lt;Projects!$C$26+Projects!$D$26),IF(3=Projects!$C$26+Projects!$D$26-1,Projects!$B$26*INDEX(Curves!$B$4:$AO$4,1,3-Projects!$C$26+1)*Assumptions!$B$11*0.95+0.05*Projects!$B$26*Assumptions!$B$11,Projects!$B$26*INDEX(Curves!$B$4:$AO$4,1,3-Projects!$C$26+1)*Assumptions!$B$11*0.95),0)+IF(AND(Projects!$G$27="Yes",3&gt;=Projects!$C$27,3&lt;Projects!$C$27+Projects!$D$27),IF(3=Projects!$C$27+Projects!$D$27-1,Projects!$B$27*INDEX(Curves!$B$4:$AO$4,1,3-Projects!$C$27+1)*Assumptions!$B$11*0.95+0.05*Projects!$B$27*Assumptions!$B$11,Projects!$B$27*INDEX(Curves!$B$4:$AO$4,1,3-Projects!$C$27+1)*Assumptions!$B$11*0.95),0)+IF(AND(Projects!$G$28="Yes",3&gt;=Projects!$C$28,3&lt;Projects!$C$28+Projects!$D$28),IF(3=Projects!$C$28+Projects!$D$28-1,Projects!$B$28*INDEX(Curves!$B$4:$AO$4,1,3-Projects!$C$28+1)*Assumptions!$B$11*0.95+0.05*Projects!$B$28*Assumptions!$B$11,Projects!$B$28*INDEX(Curves!$B$4:$AO$4,1,3-Projects!$C$28+1)*Assumptions!$B$11*0.95),0)+IF(AND(Projects!$G$29="Yes",3&gt;=Projects!$C$29,3&lt;Projects!$C$29+Projects!$D$29),IF(3=Projects!$C$29+Projects!$D$29-1,Projects!$B$29*INDEX(Curves!$B$4:$AO$4,1,3-Projects!$C$29+1)*Assumptions!$B$11*0.95+0.05*Projects!$B$29*Assumptions!$B$11,Projects!$B$29*INDEX(Curves!$B$4:$AO$4,1,3-Projects!$C$29+1)*Assumptions!$B$11*0.95),0)</f>
        <v/>
      </c>
      <c r="F99">
        <f>IF(AND(Projects!$G$17="Yes",4&gt;=Projects!$C$17,4&lt;Projects!$C$17+Projects!$D$17),IF(4=Projects!$C$17+Projects!$D$17-1,Projects!$B$17*INDEX(Curves!$B$4:$AO$4,1,4-Projects!$C$17+1)*Assumptions!$B$11*0.95+0.05*Projects!$B$17*Assumptions!$B$11,Projects!$B$17*INDEX(Curves!$B$4:$AO$4,1,4-Projects!$C$17+1)*Assumptions!$B$11*0.95),0)+IF(AND(Projects!$G$18="Yes",4&gt;=Projects!$C$18,4&lt;Projects!$C$18+Projects!$D$18),IF(4=Projects!$C$18+Projects!$D$18-1,Projects!$B$18*INDEX(Curves!$B$4:$AO$4,1,4-Projects!$C$18+1)*Assumptions!$B$11*0.95+0.05*Projects!$B$18*Assumptions!$B$11,Projects!$B$18*INDEX(Curves!$B$4:$AO$4,1,4-Projects!$C$18+1)*Assumptions!$B$11*0.95),0)+IF(AND(Projects!$G$19="Yes",4&gt;=Projects!$C$19,4&lt;Projects!$C$19+Projects!$D$19),IF(4=Projects!$C$19+Projects!$D$19-1,Projects!$B$19*INDEX(Curves!$B$4:$AO$4,1,4-Projects!$C$19+1)*Assumptions!$B$11*0.95+0.05*Projects!$B$19*Assumptions!$B$11,Projects!$B$19*INDEX(Curves!$B$4:$AO$4,1,4-Projects!$C$19+1)*Assumptions!$B$11*0.95),0)+IF(AND(Projects!$G$20="Yes",4&gt;=Projects!$C$20,4&lt;Projects!$C$20+Projects!$D$20),IF(4=Projects!$C$20+Projects!$D$20-1,Projects!$B$20*INDEX(Curves!$B$4:$AO$4,1,4-Projects!$C$20+1)*Assumptions!$B$11*0.95+0.05*Projects!$B$20*Assumptions!$B$11,Projects!$B$20*INDEX(Curves!$B$4:$AO$4,1,4-Projects!$C$20+1)*Assumptions!$B$11*0.95),0)+IF(AND(Projects!$G$21="Yes",4&gt;=Projects!$C$21,4&lt;Projects!$C$21+Projects!$D$21),IF(4=Projects!$C$21+Projects!$D$21-1,Projects!$B$21*INDEX(Curves!$B$4:$AO$4,1,4-Projects!$C$21+1)*Assumptions!$B$11*0.95+0.05*Projects!$B$21*Assumptions!$B$11,Projects!$B$21*INDEX(Curves!$B$4:$AO$4,1,4-Projects!$C$21+1)*Assumptions!$B$11*0.95),0)+IF(AND(Projects!$G$22="Yes",4&gt;=Projects!$C$22,4&lt;Projects!$C$22+Projects!$D$22),IF(4=Projects!$C$22+Projects!$D$22-1,Projects!$B$22*INDEX(Curves!$B$4:$AO$4,1,4-Projects!$C$22+1)*Assumptions!$B$11*0.95+0.05*Projects!$B$22*Assumptions!$B$11,Projects!$B$22*INDEX(Curves!$B$4:$AO$4,1,4-Projects!$C$22+1)*Assumptions!$B$11*0.95),0)+IF(AND(Projects!$G$23="Yes",4&gt;=Projects!$C$23,4&lt;Projects!$C$23+Projects!$D$23),IF(4=Projects!$C$23+Projects!$D$23-1,Projects!$B$23*INDEX(Curves!$B$4:$AO$4,1,4-Projects!$C$23+1)*Assumptions!$B$11*0.95+0.05*Projects!$B$23*Assumptions!$B$11,Projects!$B$23*INDEX(Curves!$B$4:$AO$4,1,4-Projects!$C$23+1)*Assumptions!$B$11*0.95),0)+IF(AND(Projects!$G$24="Yes",4&gt;=Projects!$C$24,4&lt;Projects!$C$24+Projects!$D$24),IF(4=Projects!$C$24+Projects!$D$24-1,Projects!$B$24*INDEX(Curves!$B$4:$AO$4,1,4-Projects!$C$24+1)*Assumptions!$B$11*0.95+0.05*Projects!$B$24*Assumptions!$B$11,Projects!$B$24*INDEX(Curves!$B$4:$AO$4,1,4-Projects!$C$24+1)*Assumptions!$B$11*0.95),0)+IF(AND(Projects!$G$25="Yes",4&gt;=Projects!$C$25,4&lt;Projects!$C$25+Projects!$D$25),IF(4=Projects!$C$25+Projects!$D$25-1,Projects!$B$25*INDEX(Curves!$B$4:$AO$4,1,4-Projects!$C$25+1)*Assumptions!$B$11*0.95+0.05*Projects!$B$25*Assumptions!$B$11,Projects!$B$25*INDEX(Curves!$B$4:$AO$4,1,4-Projects!$C$25+1)*Assumptions!$B$11*0.95),0)+IF(AND(Projects!$G$26="Yes",4&gt;=Projects!$C$26,4&lt;Projects!$C$26+Projects!$D$26),IF(4=Projects!$C$26+Projects!$D$26-1,Projects!$B$26*INDEX(Curves!$B$4:$AO$4,1,4-Projects!$C$26+1)*Assumptions!$B$11*0.95+0.05*Projects!$B$26*Assumptions!$B$11,Projects!$B$26*INDEX(Curves!$B$4:$AO$4,1,4-Projects!$C$26+1)*Assumptions!$B$11*0.95),0)+IF(AND(Projects!$G$27="Yes",4&gt;=Projects!$C$27,4&lt;Projects!$C$27+Projects!$D$27),IF(4=Projects!$C$27+Projects!$D$27-1,Projects!$B$27*INDEX(Curves!$B$4:$AO$4,1,4-Projects!$C$27+1)*Assumptions!$B$11*0.95+0.05*Projects!$B$27*Assumptions!$B$11,Projects!$B$27*INDEX(Curves!$B$4:$AO$4,1,4-Projects!$C$27+1)*Assumptions!$B$11*0.95),0)+IF(AND(Projects!$G$28="Yes",4&gt;=Projects!$C$28,4&lt;Projects!$C$28+Projects!$D$28),IF(4=Projects!$C$28+Projects!$D$28-1,Projects!$B$28*INDEX(Curves!$B$4:$AO$4,1,4-Projects!$C$28+1)*Assumptions!$B$11*0.95+0.05*Projects!$B$28*Assumptions!$B$11,Projects!$B$28*INDEX(Curves!$B$4:$AO$4,1,4-Projects!$C$28+1)*Assumptions!$B$11*0.95),0)+IF(AND(Projects!$G$29="Yes",4&gt;=Projects!$C$29,4&lt;Projects!$C$29+Projects!$D$29),IF(4=Projects!$C$29+Projects!$D$29-1,Projects!$B$29*INDEX(Curves!$B$4:$AO$4,1,4-Projects!$C$29+1)*Assumptions!$B$11*0.95+0.05*Projects!$B$29*Assumptions!$B$11,Projects!$B$29*INDEX(Curves!$B$4:$AO$4,1,4-Projects!$C$29+1)*Assumptions!$B$11*0.95),0)</f>
        <v/>
      </c>
      <c r="G99">
        <f>IF(AND(Projects!$G$17="Yes",5&gt;=Projects!$C$17,5&lt;Projects!$C$17+Projects!$D$17),IF(5=Projects!$C$17+Projects!$D$17-1,Projects!$B$17*INDEX(Curves!$B$4:$AO$4,1,5-Projects!$C$17+1)*Assumptions!$B$11*0.95+0.05*Projects!$B$17*Assumptions!$B$11,Projects!$B$17*INDEX(Curves!$B$4:$AO$4,1,5-Projects!$C$17+1)*Assumptions!$B$11*0.95),0)+IF(AND(Projects!$G$18="Yes",5&gt;=Projects!$C$18,5&lt;Projects!$C$18+Projects!$D$18),IF(5=Projects!$C$18+Projects!$D$18-1,Projects!$B$18*INDEX(Curves!$B$4:$AO$4,1,5-Projects!$C$18+1)*Assumptions!$B$11*0.95+0.05*Projects!$B$18*Assumptions!$B$11,Projects!$B$18*INDEX(Curves!$B$4:$AO$4,1,5-Projects!$C$18+1)*Assumptions!$B$11*0.95),0)+IF(AND(Projects!$G$19="Yes",5&gt;=Projects!$C$19,5&lt;Projects!$C$19+Projects!$D$19),IF(5=Projects!$C$19+Projects!$D$19-1,Projects!$B$19*INDEX(Curves!$B$4:$AO$4,1,5-Projects!$C$19+1)*Assumptions!$B$11*0.95+0.05*Projects!$B$19*Assumptions!$B$11,Projects!$B$19*INDEX(Curves!$B$4:$AO$4,1,5-Projects!$C$19+1)*Assumptions!$B$11*0.95),0)+IF(AND(Projects!$G$20="Yes",5&gt;=Projects!$C$20,5&lt;Projects!$C$20+Projects!$D$20),IF(5=Projects!$C$20+Projects!$D$20-1,Projects!$B$20*INDEX(Curves!$B$4:$AO$4,1,5-Projects!$C$20+1)*Assumptions!$B$11*0.95+0.05*Projects!$B$20*Assumptions!$B$11,Projects!$B$20*INDEX(Curves!$B$4:$AO$4,1,5-Projects!$C$20+1)*Assumptions!$B$11*0.95),0)+IF(AND(Projects!$G$21="Yes",5&gt;=Projects!$C$21,5&lt;Projects!$C$21+Projects!$D$21),IF(5=Projects!$C$21+Projects!$D$21-1,Projects!$B$21*INDEX(Curves!$B$4:$AO$4,1,5-Projects!$C$21+1)*Assumptions!$B$11*0.95+0.05*Projects!$B$21*Assumptions!$B$11,Projects!$B$21*INDEX(Curves!$B$4:$AO$4,1,5-Projects!$C$21+1)*Assumptions!$B$11*0.95),0)+IF(AND(Projects!$G$22="Yes",5&gt;=Projects!$C$22,5&lt;Projects!$C$22+Projects!$D$22),IF(5=Projects!$C$22+Projects!$D$22-1,Projects!$B$22*INDEX(Curves!$B$4:$AO$4,1,5-Projects!$C$22+1)*Assumptions!$B$11*0.95+0.05*Projects!$B$22*Assumptions!$B$11,Projects!$B$22*INDEX(Curves!$B$4:$AO$4,1,5-Projects!$C$22+1)*Assumptions!$B$11*0.95),0)+IF(AND(Projects!$G$23="Yes",5&gt;=Projects!$C$23,5&lt;Projects!$C$23+Projects!$D$23),IF(5=Projects!$C$23+Projects!$D$23-1,Projects!$B$23*INDEX(Curves!$B$4:$AO$4,1,5-Projects!$C$23+1)*Assumptions!$B$11*0.95+0.05*Projects!$B$23*Assumptions!$B$11,Projects!$B$23*INDEX(Curves!$B$4:$AO$4,1,5-Projects!$C$23+1)*Assumptions!$B$11*0.95),0)+IF(AND(Projects!$G$24="Yes",5&gt;=Projects!$C$24,5&lt;Projects!$C$24+Projects!$D$24),IF(5=Projects!$C$24+Projects!$D$24-1,Projects!$B$24*INDEX(Curves!$B$4:$AO$4,1,5-Projects!$C$24+1)*Assumptions!$B$11*0.95+0.05*Projects!$B$24*Assumptions!$B$11,Projects!$B$24*INDEX(Curves!$B$4:$AO$4,1,5-Projects!$C$24+1)*Assumptions!$B$11*0.95),0)+IF(AND(Projects!$G$25="Yes",5&gt;=Projects!$C$25,5&lt;Projects!$C$25+Projects!$D$25),IF(5=Projects!$C$25+Projects!$D$25-1,Projects!$B$25*INDEX(Curves!$B$4:$AO$4,1,5-Projects!$C$25+1)*Assumptions!$B$11*0.95+0.05*Projects!$B$25*Assumptions!$B$11,Projects!$B$25*INDEX(Curves!$B$4:$AO$4,1,5-Projects!$C$25+1)*Assumptions!$B$11*0.95),0)+IF(AND(Projects!$G$26="Yes",5&gt;=Projects!$C$26,5&lt;Projects!$C$26+Projects!$D$26),IF(5=Projects!$C$26+Projects!$D$26-1,Projects!$B$26*INDEX(Curves!$B$4:$AO$4,1,5-Projects!$C$26+1)*Assumptions!$B$11*0.95+0.05*Projects!$B$26*Assumptions!$B$11,Projects!$B$26*INDEX(Curves!$B$4:$AO$4,1,5-Projects!$C$26+1)*Assumptions!$B$11*0.95),0)+IF(AND(Projects!$G$27="Yes",5&gt;=Projects!$C$27,5&lt;Projects!$C$27+Projects!$D$27),IF(5=Projects!$C$27+Projects!$D$27-1,Projects!$B$27*INDEX(Curves!$B$4:$AO$4,1,5-Projects!$C$27+1)*Assumptions!$B$11*0.95+0.05*Projects!$B$27*Assumptions!$B$11,Projects!$B$27*INDEX(Curves!$B$4:$AO$4,1,5-Projects!$C$27+1)*Assumptions!$B$11*0.95),0)+IF(AND(Projects!$G$28="Yes",5&gt;=Projects!$C$28,5&lt;Projects!$C$28+Projects!$D$28),IF(5=Projects!$C$28+Projects!$D$28-1,Projects!$B$28*INDEX(Curves!$B$4:$AO$4,1,5-Projects!$C$28+1)*Assumptions!$B$11*0.95+0.05*Projects!$B$28*Assumptions!$B$11,Projects!$B$28*INDEX(Curves!$B$4:$AO$4,1,5-Projects!$C$28+1)*Assumptions!$B$11*0.95),0)+IF(AND(Projects!$G$29="Yes",5&gt;=Projects!$C$29,5&lt;Projects!$C$29+Projects!$D$29),IF(5=Projects!$C$29+Projects!$D$29-1,Projects!$B$29*INDEX(Curves!$B$4:$AO$4,1,5-Projects!$C$29+1)*Assumptions!$B$11*0.95+0.05*Projects!$B$29*Assumptions!$B$11,Projects!$B$29*INDEX(Curves!$B$4:$AO$4,1,5-Projects!$C$29+1)*Assumptions!$B$11*0.95),0)</f>
        <v/>
      </c>
      <c r="H99">
        <f>IF(AND(Projects!$G$17="Yes",6&gt;=Projects!$C$17,6&lt;Projects!$C$17+Projects!$D$17),IF(6=Projects!$C$17+Projects!$D$17-1,Projects!$B$17*INDEX(Curves!$B$4:$AO$4,1,6-Projects!$C$17+1)*Assumptions!$B$11*0.95+0.05*Projects!$B$17*Assumptions!$B$11,Projects!$B$17*INDEX(Curves!$B$4:$AO$4,1,6-Projects!$C$17+1)*Assumptions!$B$11*0.95),0)+IF(AND(Projects!$G$18="Yes",6&gt;=Projects!$C$18,6&lt;Projects!$C$18+Projects!$D$18),IF(6=Projects!$C$18+Projects!$D$18-1,Projects!$B$18*INDEX(Curves!$B$4:$AO$4,1,6-Projects!$C$18+1)*Assumptions!$B$11*0.95+0.05*Projects!$B$18*Assumptions!$B$11,Projects!$B$18*INDEX(Curves!$B$4:$AO$4,1,6-Projects!$C$18+1)*Assumptions!$B$11*0.95),0)+IF(AND(Projects!$G$19="Yes",6&gt;=Projects!$C$19,6&lt;Projects!$C$19+Projects!$D$19),IF(6=Projects!$C$19+Projects!$D$19-1,Projects!$B$19*INDEX(Curves!$B$4:$AO$4,1,6-Projects!$C$19+1)*Assumptions!$B$11*0.95+0.05*Projects!$B$19*Assumptions!$B$11,Projects!$B$19*INDEX(Curves!$B$4:$AO$4,1,6-Projects!$C$19+1)*Assumptions!$B$11*0.95),0)+IF(AND(Projects!$G$20="Yes",6&gt;=Projects!$C$20,6&lt;Projects!$C$20+Projects!$D$20),IF(6=Projects!$C$20+Projects!$D$20-1,Projects!$B$20*INDEX(Curves!$B$4:$AO$4,1,6-Projects!$C$20+1)*Assumptions!$B$11*0.95+0.05*Projects!$B$20*Assumptions!$B$11,Projects!$B$20*INDEX(Curves!$B$4:$AO$4,1,6-Projects!$C$20+1)*Assumptions!$B$11*0.95),0)+IF(AND(Projects!$G$21="Yes",6&gt;=Projects!$C$21,6&lt;Projects!$C$21+Projects!$D$21),IF(6=Projects!$C$21+Projects!$D$21-1,Projects!$B$21*INDEX(Curves!$B$4:$AO$4,1,6-Projects!$C$21+1)*Assumptions!$B$11*0.95+0.05*Projects!$B$21*Assumptions!$B$11,Projects!$B$21*INDEX(Curves!$B$4:$AO$4,1,6-Projects!$C$21+1)*Assumptions!$B$11*0.95),0)+IF(AND(Projects!$G$22="Yes",6&gt;=Projects!$C$22,6&lt;Projects!$C$22+Projects!$D$22),IF(6=Projects!$C$22+Projects!$D$22-1,Projects!$B$22*INDEX(Curves!$B$4:$AO$4,1,6-Projects!$C$22+1)*Assumptions!$B$11*0.95+0.05*Projects!$B$22*Assumptions!$B$11,Projects!$B$22*INDEX(Curves!$B$4:$AO$4,1,6-Projects!$C$22+1)*Assumptions!$B$11*0.95),0)+IF(AND(Projects!$G$23="Yes",6&gt;=Projects!$C$23,6&lt;Projects!$C$23+Projects!$D$23),IF(6=Projects!$C$23+Projects!$D$23-1,Projects!$B$23*INDEX(Curves!$B$4:$AO$4,1,6-Projects!$C$23+1)*Assumptions!$B$11*0.95+0.05*Projects!$B$23*Assumptions!$B$11,Projects!$B$23*INDEX(Curves!$B$4:$AO$4,1,6-Projects!$C$23+1)*Assumptions!$B$11*0.95),0)+IF(AND(Projects!$G$24="Yes",6&gt;=Projects!$C$24,6&lt;Projects!$C$24+Projects!$D$24),IF(6=Projects!$C$24+Projects!$D$24-1,Projects!$B$24*INDEX(Curves!$B$4:$AO$4,1,6-Projects!$C$24+1)*Assumptions!$B$11*0.95+0.05*Projects!$B$24*Assumptions!$B$11,Projects!$B$24*INDEX(Curves!$B$4:$AO$4,1,6-Projects!$C$24+1)*Assumptions!$B$11*0.95),0)+IF(AND(Projects!$G$25="Yes",6&gt;=Projects!$C$25,6&lt;Projects!$C$25+Projects!$D$25),IF(6=Projects!$C$25+Projects!$D$25-1,Projects!$B$25*INDEX(Curves!$B$4:$AO$4,1,6-Projects!$C$25+1)*Assumptions!$B$11*0.95+0.05*Projects!$B$25*Assumptions!$B$11,Projects!$B$25*INDEX(Curves!$B$4:$AO$4,1,6-Projects!$C$25+1)*Assumptions!$B$11*0.95),0)+IF(AND(Projects!$G$26="Yes",6&gt;=Projects!$C$26,6&lt;Projects!$C$26+Projects!$D$26),IF(6=Projects!$C$26+Projects!$D$26-1,Projects!$B$26*INDEX(Curves!$B$4:$AO$4,1,6-Projects!$C$26+1)*Assumptions!$B$11*0.95+0.05*Projects!$B$26*Assumptions!$B$11,Projects!$B$26*INDEX(Curves!$B$4:$AO$4,1,6-Projects!$C$26+1)*Assumptions!$B$11*0.95),0)+IF(AND(Projects!$G$27="Yes",6&gt;=Projects!$C$27,6&lt;Projects!$C$27+Projects!$D$27),IF(6=Projects!$C$27+Projects!$D$27-1,Projects!$B$27*INDEX(Curves!$B$4:$AO$4,1,6-Projects!$C$27+1)*Assumptions!$B$11*0.95+0.05*Projects!$B$27*Assumptions!$B$11,Projects!$B$27*INDEX(Curves!$B$4:$AO$4,1,6-Projects!$C$27+1)*Assumptions!$B$11*0.95),0)+IF(AND(Projects!$G$28="Yes",6&gt;=Projects!$C$28,6&lt;Projects!$C$28+Projects!$D$28),IF(6=Projects!$C$28+Projects!$D$28-1,Projects!$B$28*INDEX(Curves!$B$4:$AO$4,1,6-Projects!$C$28+1)*Assumptions!$B$11*0.95+0.05*Projects!$B$28*Assumptions!$B$11,Projects!$B$28*INDEX(Curves!$B$4:$AO$4,1,6-Projects!$C$28+1)*Assumptions!$B$11*0.95),0)+IF(AND(Projects!$G$29="Yes",6&gt;=Projects!$C$29,6&lt;Projects!$C$29+Projects!$D$29),IF(6=Projects!$C$29+Projects!$D$29-1,Projects!$B$29*INDEX(Curves!$B$4:$AO$4,1,6-Projects!$C$29+1)*Assumptions!$B$11*0.95+0.05*Projects!$B$29*Assumptions!$B$11,Projects!$B$29*INDEX(Curves!$B$4:$AO$4,1,6-Projects!$C$29+1)*Assumptions!$B$11*0.95),0)</f>
        <v/>
      </c>
      <c r="I99">
        <f>IF(AND(Projects!$G$17="Yes",7&gt;=Projects!$C$17,7&lt;Projects!$C$17+Projects!$D$17),IF(7=Projects!$C$17+Projects!$D$17-1,Projects!$B$17*INDEX(Curves!$B$4:$AO$4,1,7-Projects!$C$17+1)*Assumptions!$B$11*0.95+0.05*Projects!$B$17*Assumptions!$B$11,Projects!$B$17*INDEX(Curves!$B$4:$AO$4,1,7-Projects!$C$17+1)*Assumptions!$B$11*0.95),0)+IF(AND(Projects!$G$18="Yes",7&gt;=Projects!$C$18,7&lt;Projects!$C$18+Projects!$D$18),IF(7=Projects!$C$18+Projects!$D$18-1,Projects!$B$18*INDEX(Curves!$B$4:$AO$4,1,7-Projects!$C$18+1)*Assumptions!$B$11*0.95+0.05*Projects!$B$18*Assumptions!$B$11,Projects!$B$18*INDEX(Curves!$B$4:$AO$4,1,7-Projects!$C$18+1)*Assumptions!$B$11*0.95),0)+IF(AND(Projects!$G$19="Yes",7&gt;=Projects!$C$19,7&lt;Projects!$C$19+Projects!$D$19),IF(7=Projects!$C$19+Projects!$D$19-1,Projects!$B$19*INDEX(Curves!$B$4:$AO$4,1,7-Projects!$C$19+1)*Assumptions!$B$11*0.95+0.05*Projects!$B$19*Assumptions!$B$11,Projects!$B$19*INDEX(Curves!$B$4:$AO$4,1,7-Projects!$C$19+1)*Assumptions!$B$11*0.95),0)+IF(AND(Projects!$G$20="Yes",7&gt;=Projects!$C$20,7&lt;Projects!$C$20+Projects!$D$20),IF(7=Projects!$C$20+Projects!$D$20-1,Projects!$B$20*INDEX(Curves!$B$4:$AO$4,1,7-Projects!$C$20+1)*Assumptions!$B$11*0.95+0.05*Projects!$B$20*Assumptions!$B$11,Projects!$B$20*INDEX(Curves!$B$4:$AO$4,1,7-Projects!$C$20+1)*Assumptions!$B$11*0.95),0)+IF(AND(Projects!$G$21="Yes",7&gt;=Projects!$C$21,7&lt;Projects!$C$21+Projects!$D$21),IF(7=Projects!$C$21+Projects!$D$21-1,Projects!$B$21*INDEX(Curves!$B$4:$AO$4,1,7-Projects!$C$21+1)*Assumptions!$B$11*0.95+0.05*Projects!$B$21*Assumptions!$B$11,Projects!$B$21*INDEX(Curves!$B$4:$AO$4,1,7-Projects!$C$21+1)*Assumptions!$B$11*0.95),0)+IF(AND(Projects!$G$22="Yes",7&gt;=Projects!$C$22,7&lt;Projects!$C$22+Projects!$D$22),IF(7=Projects!$C$22+Projects!$D$22-1,Projects!$B$22*INDEX(Curves!$B$4:$AO$4,1,7-Projects!$C$22+1)*Assumptions!$B$11*0.95+0.05*Projects!$B$22*Assumptions!$B$11,Projects!$B$22*INDEX(Curves!$B$4:$AO$4,1,7-Projects!$C$22+1)*Assumptions!$B$11*0.95),0)+IF(AND(Projects!$G$23="Yes",7&gt;=Projects!$C$23,7&lt;Projects!$C$23+Projects!$D$23),IF(7=Projects!$C$23+Projects!$D$23-1,Projects!$B$23*INDEX(Curves!$B$4:$AO$4,1,7-Projects!$C$23+1)*Assumptions!$B$11*0.95+0.05*Projects!$B$23*Assumptions!$B$11,Projects!$B$23*INDEX(Curves!$B$4:$AO$4,1,7-Projects!$C$23+1)*Assumptions!$B$11*0.95),0)+IF(AND(Projects!$G$24="Yes",7&gt;=Projects!$C$24,7&lt;Projects!$C$24+Projects!$D$24),IF(7=Projects!$C$24+Projects!$D$24-1,Projects!$B$24*INDEX(Curves!$B$4:$AO$4,1,7-Projects!$C$24+1)*Assumptions!$B$11*0.95+0.05*Projects!$B$24*Assumptions!$B$11,Projects!$B$24*INDEX(Curves!$B$4:$AO$4,1,7-Projects!$C$24+1)*Assumptions!$B$11*0.95),0)+IF(AND(Projects!$G$25="Yes",7&gt;=Projects!$C$25,7&lt;Projects!$C$25+Projects!$D$25),IF(7=Projects!$C$25+Projects!$D$25-1,Projects!$B$25*INDEX(Curves!$B$4:$AO$4,1,7-Projects!$C$25+1)*Assumptions!$B$11*0.95+0.05*Projects!$B$25*Assumptions!$B$11,Projects!$B$25*INDEX(Curves!$B$4:$AO$4,1,7-Projects!$C$25+1)*Assumptions!$B$11*0.95),0)+IF(AND(Projects!$G$26="Yes",7&gt;=Projects!$C$26,7&lt;Projects!$C$26+Projects!$D$26),IF(7=Projects!$C$26+Projects!$D$26-1,Projects!$B$26*INDEX(Curves!$B$4:$AO$4,1,7-Projects!$C$26+1)*Assumptions!$B$11*0.95+0.05*Projects!$B$26*Assumptions!$B$11,Projects!$B$26*INDEX(Curves!$B$4:$AO$4,1,7-Projects!$C$26+1)*Assumptions!$B$11*0.95),0)+IF(AND(Projects!$G$27="Yes",7&gt;=Projects!$C$27,7&lt;Projects!$C$27+Projects!$D$27),IF(7=Projects!$C$27+Projects!$D$27-1,Projects!$B$27*INDEX(Curves!$B$4:$AO$4,1,7-Projects!$C$27+1)*Assumptions!$B$11*0.95+0.05*Projects!$B$27*Assumptions!$B$11,Projects!$B$27*INDEX(Curves!$B$4:$AO$4,1,7-Projects!$C$27+1)*Assumptions!$B$11*0.95),0)+IF(AND(Projects!$G$28="Yes",7&gt;=Projects!$C$28,7&lt;Projects!$C$28+Projects!$D$28),IF(7=Projects!$C$28+Projects!$D$28-1,Projects!$B$28*INDEX(Curves!$B$4:$AO$4,1,7-Projects!$C$28+1)*Assumptions!$B$11*0.95+0.05*Projects!$B$28*Assumptions!$B$11,Projects!$B$28*INDEX(Curves!$B$4:$AO$4,1,7-Projects!$C$28+1)*Assumptions!$B$11*0.95),0)+IF(AND(Projects!$G$29="Yes",7&gt;=Projects!$C$29,7&lt;Projects!$C$29+Projects!$D$29),IF(7=Projects!$C$29+Projects!$D$29-1,Projects!$B$29*INDEX(Curves!$B$4:$AO$4,1,7-Projects!$C$29+1)*Assumptions!$B$11*0.95+0.05*Projects!$B$29*Assumptions!$B$11,Projects!$B$29*INDEX(Curves!$B$4:$AO$4,1,7-Projects!$C$29+1)*Assumptions!$B$11*0.95),0)</f>
        <v/>
      </c>
      <c r="J99">
        <f>IF(AND(Projects!$G$17="Yes",8&gt;=Projects!$C$17,8&lt;Projects!$C$17+Projects!$D$17),IF(8=Projects!$C$17+Projects!$D$17-1,Projects!$B$17*INDEX(Curves!$B$4:$AO$4,1,8-Projects!$C$17+1)*Assumptions!$B$11*0.95+0.05*Projects!$B$17*Assumptions!$B$11,Projects!$B$17*INDEX(Curves!$B$4:$AO$4,1,8-Projects!$C$17+1)*Assumptions!$B$11*0.95),0)+IF(AND(Projects!$G$18="Yes",8&gt;=Projects!$C$18,8&lt;Projects!$C$18+Projects!$D$18),IF(8=Projects!$C$18+Projects!$D$18-1,Projects!$B$18*INDEX(Curves!$B$4:$AO$4,1,8-Projects!$C$18+1)*Assumptions!$B$11*0.95+0.05*Projects!$B$18*Assumptions!$B$11,Projects!$B$18*INDEX(Curves!$B$4:$AO$4,1,8-Projects!$C$18+1)*Assumptions!$B$11*0.95),0)+IF(AND(Projects!$G$19="Yes",8&gt;=Projects!$C$19,8&lt;Projects!$C$19+Projects!$D$19),IF(8=Projects!$C$19+Projects!$D$19-1,Projects!$B$19*INDEX(Curves!$B$4:$AO$4,1,8-Projects!$C$19+1)*Assumptions!$B$11*0.95+0.05*Projects!$B$19*Assumptions!$B$11,Projects!$B$19*INDEX(Curves!$B$4:$AO$4,1,8-Projects!$C$19+1)*Assumptions!$B$11*0.95),0)+IF(AND(Projects!$G$20="Yes",8&gt;=Projects!$C$20,8&lt;Projects!$C$20+Projects!$D$20),IF(8=Projects!$C$20+Projects!$D$20-1,Projects!$B$20*INDEX(Curves!$B$4:$AO$4,1,8-Projects!$C$20+1)*Assumptions!$B$11*0.95+0.05*Projects!$B$20*Assumptions!$B$11,Projects!$B$20*INDEX(Curves!$B$4:$AO$4,1,8-Projects!$C$20+1)*Assumptions!$B$11*0.95),0)+IF(AND(Projects!$G$21="Yes",8&gt;=Projects!$C$21,8&lt;Projects!$C$21+Projects!$D$21),IF(8=Projects!$C$21+Projects!$D$21-1,Projects!$B$21*INDEX(Curves!$B$4:$AO$4,1,8-Projects!$C$21+1)*Assumptions!$B$11*0.95+0.05*Projects!$B$21*Assumptions!$B$11,Projects!$B$21*INDEX(Curves!$B$4:$AO$4,1,8-Projects!$C$21+1)*Assumptions!$B$11*0.95),0)+IF(AND(Projects!$G$22="Yes",8&gt;=Projects!$C$22,8&lt;Projects!$C$22+Projects!$D$22),IF(8=Projects!$C$22+Projects!$D$22-1,Projects!$B$22*INDEX(Curves!$B$4:$AO$4,1,8-Projects!$C$22+1)*Assumptions!$B$11*0.95+0.05*Projects!$B$22*Assumptions!$B$11,Projects!$B$22*INDEX(Curves!$B$4:$AO$4,1,8-Projects!$C$22+1)*Assumptions!$B$11*0.95),0)+IF(AND(Projects!$G$23="Yes",8&gt;=Projects!$C$23,8&lt;Projects!$C$23+Projects!$D$23),IF(8=Projects!$C$23+Projects!$D$23-1,Projects!$B$23*INDEX(Curves!$B$4:$AO$4,1,8-Projects!$C$23+1)*Assumptions!$B$11*0.95+0.05*Projects!$B$23*Assumptions!$B$11,Projects!$B$23*INDEX(Curves!$B$4:$AO$4,1,8-Projects!$C$23+1)*Assumptions!$B$11*0.95),0)+IF(AND(Projects!$G$24="Yes",8&gt;=Projects!$C$24,8&lt;Projects!$C$24+Projects!$D$24),IF(8=Projects!$C$24+Projects!$D$24-1,Projects!$B$24*INDEX(Curves!$B$4:$AO$4,1,8-Projects!$C$24+1)*Assumptions!$B$11*0.95+0.05*Projects!$B$24*Assumptions!$B$11,Projects!$B$24*INDEX(Curves!$B$4:$AO$4,1,8-Projects!$C$24+1)*Assumptions!$B$11*0.95),0)+IF(AND(Projects!$G$25="Yes",8&gt;=Projects!$C$25,8&lt;Projects!$C$25+Projects!$D$25),IF(8=Projects!$C$25+Projects!$D$25-1,Projects!$B$25*INDEX(Curves!$B$4:$AO$4,1,8-Projects!$C$25+1)*Assumptions!$B$11*0.95+0.05*Projects!$B$25*Assumptions!$B$11,Projects!$B$25*INDEX(Curves!$B$4:$AO$4,1,8-Projects!$C$25+1)*Assumptions!$B$11*0.95),0)+IF(AND(Projects!$G$26="Yes",8&gt;=Projects!$C$26,8&lt;Projects!$C$26+Projects!$D$26),IF(8=Projects!$C$26+Projects!$D$26-1,Projects!$B$26*INDEX(Curves!$B$4:$AO$4,1,8-Projects!$C$26+1)*Assumptions!$B$11*0.95+0.05*Projects!$B$26*Assumptions!$B$11,Projects!$B$26*INDEX(Curves!$B$4:$AO$4,1,8-Projects!$C$26+1)*Assumptions!$B$11*0.95),0)+IF(AND(Projects!$G$27="Yes",8&gt;=Projects!$C$27,8&lt;Projects!$C$27+Projects!$D$27),IF(8=Projects!$C$27+Projects!$D$27-1,Projects!$B$27*INDEX(Curves!$B$4:$AO$4,1,8-Projects!$C$27+1)*Assumptions!$B$11*0.95+0.05*Projects!$B$27*Assumptions!$B$11,Projects!$B$27*INDEX(Curves!$B$4:$AO$4,1,8-Projects!$C$27+1)*Assumptions!$B$11*0.95),0)+IF(AND(Projects!$G$28="Yes",8&gt;=Projects!$C$28,8&lt;Projects!$C$28+Projects!$D$28),IF(8=Projects!$C$28+Projects!$D$28-1,Projects!$B$28*INDEX(Curves!$B$4:$AO$4,1,8-Projects!$C$28+1)*Assumptions!$B$11*0.95+0.05*Projects!$B$28*Assumptions!$B$11,Projects!$B$28*INDEX(Curves!$B$4:$AO$4,1,8-Projects!$C$28+1)*Assumptions!$B$11*0.95),0)+IF(AND(Projects!$G$29="Yes",8&gt;=Projects!$C$29,8&lt;Projects!$C$29+Projects!$D$29),IF(8=Projects!$C$29+Projects!$D$29-1,Projects!$B$29*INDEX(Curves!$B$4:$AO$4,1,8-Projects!$C$29+1)*Assumptions!$B$11*0.95+0.05*Projects!$B$29*Assumptions!$B$11,Projects!$B$29*INDEX(Curves!$B$4:$AO$4,1,8-Projects!$C$29+1)*Assumptions!$B$11*0.95),0)</f>
        <v/>
      </c>
      <c r="K99">
        <f>IF(AND(Projects!$G$17="Yes",9&gt;=Projects!$C$17,9&lt;Projects!$C$17+Projects!$D$17),IF(9=Projects!$C$17+Projects!$D$17-1,Projects!$B$17*INDEX(Curves!$B$4:$AO$4,1,9-Projects!$C$17+1)*Assumptions!$B$11*0.95+0.05*Projects!$B$17*Assumptions!$B$11,Projects!$B$17*INDEX(Curves!$B$4:$AO$4,1,9-Projects!$C$17+1)*Assumptions!$B$11*0.95),0)+IF(AND(Projects!$G$18="Yes",9&gt;=Projects!$C$18,9&lt;Projects!$C$18+Projects!$D$18),IF(9=Projects!$C$18+Projects!$D$18-1,Projects!$B$18*INDEX(Curves!$B$4:$AO$4,1,9-Projects!$C$18+1)*Assumptions!$B$11*0.95+0.05*Projects!$B$18*Assumptions!$B$11,Projects!$B$18*INDEX(Curves!$B$4:$AO$4,1,9-Projects!$C$18+1)*Assumptions!$B$11*0.95),0)+IF(AND(Projects!$G$19="Yes",9&gt;=Projects!$C$19,9&lt;Projects!$C$19+Projects!$D$19),IF(9=Projects!$C$19+Projects!$D$19-1,Projects!$B$19*INDEX(Curves!$B$4:$AO$4,1,9-Projects!$C$19+1)*Assumptions!$B$11*0.95+0.05*Projects!$B$19*Assumptions!$B$11,Projects!$B$19*INDEX(Curves!$B$4:$AO$4,1,9-Projects!$C$19+1)*Assumptions!$B$11*0.95),0)+IF(AND(Projects!$G$20="Yes",9&gt;=Projects!$C$20,9&lt;Projects!$C$20+Projects!$D$20),IF(9=Projects!$C$20+Projects!$D$20-1,Projects!$B$20*INDEX(Curves!$B$4:$AO$4,1,9-Projects!$C$20+1)*Assumptions!$B$11*0.95+0.05*Projects!$B$20*Assumptions!$B$11,Projects!$B$20*INDEX(Curves!$B$4:$AO$4,1,9-Projects!$C$20+1)*Assumptions!$B$11*0.95),0)+IF(AND(Projects!$G$21="Yes",9&gt;=Projects!$C$21,9&lt;Projects!$C$21+Projects!$D$21),IF(9=Projects!$C$21+Projects!$D$21-1,Projects!$B$21*INDEX(Curves!$B$4:$AO$4,1,9-Projects!$C$21+1)*Assumptions!$B$11*0.95+0.05*Projects!$B$21*Assumptions!$B$11,Projects!$B$21*INDEX(Curves!$B$4:$AO$4,1,9-Projects!$C$21+1)*Assumptions!$B$11*0.95),0)+IF(AND(Projects!$G$22="Yes",9&gt;=Projects!$C$22,9&lt;Projects!$C$22+Projects!$D$22),IF(9=Projects!$C$22+Projects!$D$22-1,Projects!$B$22*INDEX(Curves!$B$4:$AO$4,1,9-Projects!$C$22+1)*Assumptions!$B$11*0.95+0.05*Projects!$B$22*Assumptions!$B$11,Projects!$B$22*INDEX(Curves!$B$4:$AO$4,1,9-Projects!$C$22+1)*Assumptions!$B$11*0.95),0)+IF(AND(Projects!$G$23="Yes",9&gt;=Projects!$C$23,9&lt;Projects!$C$23+Projects!$D$23),IF(9=Projects!$C$23+Projects!$D$23-1,Projects!$B$23*INDEX(Curves!$B$4:$AO$4,1,9-Projects!$C$23+1)*Assumptions!$B$11*0.95+0.05*Projects!$B$23*Assumptions!$B$11,Projects!$B$23*INDEX(Curves!$B$4:$AO$4,1,9-Projects!$C$23+1)*Assumptions!$B$11*0.95),0)+IF(AND(Projects!$G$24="Yes",9&gt;=Projects!$C$24,9&lt;Projects!$C$24+Projects!$D$24),IF(9=Projects!$C$24+Projects!$D$24-1,Projects!$B$24*INDEX(Curves!$B$4:$AO$4,1,9-Projects!$C$24+1)*Assumptions!$B$11*0.95+0.05*Projects!$B$24*Assumptions!$B$11,Projects!$B$24*INDEX(Curves!$B$4:$AO$4,1,9-Projects!$C$24+1)*Assumptions!$B$11*0.95),0)+IF(AND(Projects!$G$25="Yes",9&gt;=Projects!$C$25,9&lt;Projects!$C$25+Projects!$D$25),IF(9=Projects!$C$25+Projects!$D$25-1,Projects!$B$25*INDEX(Curves!$B$4:$AO$4,1,9-Projects!$C$25+1)*Assumptions!$B$11*0.95+0.05*Projects!$B$25*Assumptions!$B$11,Projects!$B$25*INDEX(Curves!$B$4:$AO$4,1,9-Projects!$C$25+1)*Assumptions!$B$11*0.95),0)+IF(AND(Projects!$G$26="Yes",9&gt;=Projects!$C$26,9&lt;Projects!$C$26+Projects!$D$26),IF(9=Projects!$C$26+Projects!$D$26-1,Projects!$B$26*INDEX(Curves!$B$4:$AO$4,1,9-Projects!$C$26+1)*Assumptions!$B$11*0.95+0.05*Projects!$B$26*Assumptions!$B$11,Projects!$B$26*INDEX(Curves!$B$4:$AO$4,1,9-Projects!$C$26+1)*Assumptions!$B$11*0.95),0)+IF(AND(Projects!$G$27="Yes",9&gt;=Projects!$C$27,9&lt;Projects!$C$27+Projects!$D$27),IF(9=Projects!$C$27+Projects!$D$27-1,Projects!$B$27*INDEX(Curves!$B$4:$AO$4,1,9-Projects!$C$27+1)*Assumptions!$B$11*0.95+0.05*Projects!$B$27*Assumptions!$B$11,Projects!$B$27*INDEX(Curves!$B$4:$AO$4,1,9-Projects!$C$27+1)*Assumptions!$B$11*0.95),0)+IF(AND(Projects!$G$28="Yes",9&gt;=Projects!$C$28,9&lt;Projects!$C$28+Projects!$D$28),IF(9=Projects!$C$28+Projects!$D$28-1,Projects!$B$28*INDEX(Curves!$B$4:$AO$4,1,9-Projects!$C$28+1)*Assumptions!$B$11*0.95+0.05*Projects!$B$28*Assumptions!$B$11,Projects!$B$28*INDEX(Curves!$B$4:$AO$4,1,9-Projects!$C$28+1)*Assumptions!$B$11*0.95),0)+IF(AND(Projects!$G$29="Yes",9&gt;=Projects!$C$29,9&lt;Projects!$C$29+Projects!$D$29),IF(9=Projects!$C$29+Projects!$D$29-1,Projects!$B$29*INDEX(Curves!$B$4:$AO$4,1,9-Projects!$C$29+1)*Assumptions!$B$11*0.95+0.05*Projects!$B$29*Assumptions!$B$11,Projects!$B$29*INDEX(Curves!$B$4:$AO$4,1,9-Projects!$C$29+1)*Assumptions!$B$11*0.95),0)</f>
        <v/>
      </c>
      <c r="L99">
        <f>IF(AND(Projects!$G$17="Yes",10&gt;=Projects!$C$17,10&lt;Projects!$C$17+Projects!$D$17),IF(10=Projects!$C$17+Projects!$D$17-1,Projects!$B$17*INDEX(Curves!$B$4:$AO$4,1,10-Projects!$C$17+1)*Assumptions!$B$11*0.95+0.05*Projects!$B$17*Assumptions!$B$11,Projects!$B$17*INDEX(Curves!$B$4:$AO$4,1,10-Projects!$C$17+1)*Assumptions!$B$11*0.95),0)+IF(AND(Projects!$G$18="Yes",10&gt;=Projects!$C$18,10&lt;Projects!$C$18+Projects!$D$18),IF(10=Projects!$C$18+Projects!$D$18-1,Projects!$B$18*INDEX(Curves!$B$4:$AO$4,1,10-Projects!$C$18+1)*Assumptions!$B$11*0.95+0.05*Projects!$B$18*Assumptions!$B$11,Projects!$B$18*INDEX(Curves!$B$4:$AO$4,1,10-Projects!$C$18+1)*Assumptions!$B$11*0.95),0)+IF(AND(Projects!$G$19="Yes",10&gt;=Projects!$C$19,10&lt;Projects!$C$19+Projects!$D$19),IF(10=Projects!$C$19+Projects!$D$19-1,Projects!$B$19*INDEX(Curves!$B$4:$AO$4,1,10-Projects!$C$19+1)*Assumptions!$B$11*0.95+0.05*Projects!$B$19*Assumptions!$B$11,Projects!$B$19*INDEX(Curves!$B$4:$AO$4,1,10-Projects!$C$19+1)*Assumptions!$B$11*0.95),0)+IF(AND(Projects!$G$20="Yes",10&gt;=Projects!$C$20,10&lt;Projects!$C$20+Projects!$D$20),IF(10=Projects!$C$20+Projects!$D$20-1,Projects!$B$20*INDEX(Curves!$B$4:$AO$4,1,10-Projects!$C$20+1)*Assumptions!$B$11*0.95+0.05*Projects!$B$20*Assumptions!$B$11,Projects!$B$20*INDEX(Curves!$B$4:$AO$4,1,10-Projects!$C$20+1)*Assumptions!$B$11*0.95),0)+IF(AND(Projects!$G$21="Yes",10&gt;=Projects!$C$21,10&lt;Projects!$C$21+Projects!$D$21),IF(10=Projects!$C$21+Projects!$D$21-1,Projects!$B$21*INDEX(Curves!$B$4:$AO$4,1,10-Projects!$C$21+1)*Assumptions!$B$11*0.95+0.05*Projects!$B$21*Assumptions!$B$11,Projects!$B$21*INDEX(Curves!$B$4:$AO$4,1,10-Projects!$C$21+1)*Assumptions!$B$11*0.95),0)+IF(AND(Projects!$G$22="Yes",10&gt;=Projects!$C$22,10&lt;Projects!$C$22+Projects!$D$22),IF(10=Projects!$C$22+Projects!$D$22-1,Projects!$B$22*INDEX(Curves!$B$4:$AO$4,1,10-Projects!$C$22+1)*Assumptions!$B$11*0.95+0.05*Projects!$B$22*Assumptions!$B$11,Projects!$B$22*INDEX(Curves!$B$4:$AO$4,1,10-Projects!$C$22+1)*Assumptions!$B$11*0.95),0)+IF(AND(Projects!$G$23="Yes",10&gt;=Projects!$C$23,10&lt;Projects!$C$23+Projects!$D$23),IF(10=Projects!$C$23+Projects!$D$23-1,Projects!$B$23*INDEX(Curves!$B$4:$AO$4,1,10-Projects!$C$23+1)*Assumptions!$B$11*0.95+0.05*Projects!$B$23*Assumptions!$B$11,Projects!$B$23*INDEX(Curves!$B$4:$AO$4,1,10-Projects!$C$23+1)*Assumptions!$B$11*0.95),0)+IF(AND(Projects!$G$24="Yes",10&gt;=Projects!$C$24,10&lt;Projects!$C$24+Projects!$D$24),IF(10=Projects!$C$24+Projects!$D$24-1,Projects!$B$24*INDEX(Curves!$B$4:$AO$4,1,10-Projects!$C$24+1)*Assumptions!$B$11*0.95+0.05*Projects!$B$24*Assumptions!$B$11,Projects!$B$24*INDEX(Curves!$B$4:$AO$4,1,10-Projects!$C$24+1)*Assumptions!$B$11*0.95),0)+IF(AND(Projects!$G$25="Yes",10&gt;=Projects!$C$25,10&lt;Projects!$C$25+Projects!$D$25),IF(10=Projects!$C$25+Projects!$D$25-1,Projects!$B$25*INDEX(Curves!$B$4:$AO$4,1,10-Projects!$C$25+1)*Assumptions!$B$11*0.95+0.05*Projects!$B$25*Assumptions!$B$11,Projects!$B$25*INDEX(Curves!$B$4:$AO$4,1,10-Projects!$C$25+1)*Assumptions!$B$11*0.95),0)+IF(AND(Projects!$G$26="Yes",10&gt;=Projects!$C$26,10&lt;Projects!$C$26+Projects!$D$26),IF(10=Projects!$C$26+Projects!$D$26-1,Projects!$B$26*INDEX(Curves!$B$4:$AO$4,1,10-Projects!$C$26+1)*Assumptions!$B$11*0.95+0.05*Projects!$B$26*Assumptions!$B$11,Projects!$B$26*INDEX(Curves!$B$4:$AO$4,1,10-Projects!$C$26+1)*Assumptions!$B$11*0.95),0)+IF(AND(Projects!$G$27="Yes",10&gt;=Projects!$C$27,10&lt;Projects!$C$27+Projects!$D$27),IF(10=Projects!$C$27+Projects!$D$27-1,Projects!$B$27*INDEX(Curves!$B$4:$AO$4,1,10-Projects!$C$27+1)*Assumptions!$B$11*0.95+0.05*Projects!$B$27*Assumptions!$B$11,Projects!$B$27*INDEX(Curves!$B$4:$AO$4,1,10-Projects!$C$27+1)*Assumptions!$B$11*0.95),0)+IF(AND(Projects!$G$28="Yes",10&gt;=Projects!$C$28,10&lt;Projects!$C$28+Projects!$D$28),IF(10=Projects!$C$28+Projects!$D$28-1,Projects!$B$28*INDEX(Curves!$B$4:$AO$4,1,10-Projects!$C$28+1)*Assumptions!$B$11*0.95+0.05*Projects!$B$28*Assumptions!$B$11,Projects!$B$28*INDEX(Curves!$B$4:$AO$4,1,10-Projects!$C$28+1)*Assumptions!$B$11*0.95),0)+IF(AND(Projects!$G$29="Yes",10&gt;=Projects!$C$29,10&lt;Projects!$C$29+Projects!$D$29),IF(10=Projects!$C$29+Projects!$D$29-1,Projects!$B$29*INDEX(Curves!$B$4:$AO$4,1,10-Projects!$C$29+1)*Assumptions!$B$11*0.95+0.05*Projects!$B$29*Assumptions!$B$11,Projects!$B$29*INDEX(Curves!$B$4:$AO$4,1,10-Projects!$C$29+1)*Assumptions!$B$11*0.95),0)</f>
        <v/>
      </c>
      <c r="M99">
        <f>IF(AND(Projects!$G$17="Yes",11&gt;=Projects!$C$17,11&lt;Projects!$C$17+Projects!$D$17),IF(11=Projects!$C$17+Projects!$D$17-1,Projects!$B$17*INDEX(Curves!$B$4:$AO$4,1,11-Projects!$C$17+1)*Assumptions!$B$11*0.95+0.05*Projects!$B$17*Assumptions!$B$11,Projects!$B$17*INDEX(Curves!$B$4:$AO$4,1,11-Projects!$C$17+1)*Assumptions!$B$11*0.95),0)+IF(AND(Projects!$G$18="Yes",11&gt;=Projects!$C$18,11&lt;Projects!$C$18+Projects!$D$18),IF(11=Projects!$C$18+Projects!$D$18-1,Projects!$B$18*INDEX(Curves!$B$4:$AO$4,1,11-Projects!$C$18+1)*Assumptions!$B$11*0.95+0.05*Projects!$B$18*Assumptions!$B$11,Projects!$B$18*INDEX(Curves!$B$4:$AO$4,1,11-Projects!$C$18+1)*Assumptions!$B$11*0.95),0)+IF(AND(Projects!$G$19="Yes",11&gt;=Projects!$C$19,11&lt;Projects!$C$19+Projects!$D$19),IF(11=Projects!$C$19+Projects!$D$19-1,Projects!$B$19*INDEX(Curves!$B$4:$AO$4,1,11-Projects!$C$19+1)*Assumptions!$B$11*0.95+0.05*Projects!$B$19*Assumptions!$B$11,Projects!$B$19*INDEX(Curves!$B$4:$AO$4,1,11-Projects!$C$19+1)*Assumptions!$B$11*0.95),0)+IF(AND(Projects!$G$20="Yes",11&gt;=Projects!$C$20,11&lt;Projects!$C$20+Projects!$D$20),IF(11=Projects!$C$20+Projects!$D$20-1,Projects!$B$20*INDEX(Curves!$B$4:$AO$4,1,11-Projects!$C$20+1)*Assumptions!$B$11*0.95+0.05*Projects!$B$20*Assumptions!$B$11,Projects!$B$20*INDEX(Curves!$B$4:$AO$4,1,11-Projects!$C$20+1)*Assumptions!$B$11*0.95),0)+IF(AND(Projects!$G$21="Yes",11&gt;=Projects!$C$21,11&lt;Projects!$C$21+Projects!$D$21),IF(11=Projects!$C$21+Projects!$D$21-1,Projects!$B$21*INDEX(Curves!$B$4:$AO$4,1,11-Projects!$C$21+1)*Assumptions!$B$11*0.95+0.05*Projects!$B$21*Assumptions!$B$11,Projects!$B$21*INDEX(Curves!$B$4:$AO$4,1,11-Projects!$C$21+1)*Assumptions!$B$11*0.95),0)+IF(AND(Projects!$G$22="Yes",11&gt;=Projects!$C$22,11&lt;Projects!$C$22+Projects!$D$22),IF(11=Projects!$C$22+Projects!$D$22-1,Projects!$B$22*INDEX(Curves!$B$4:$AO$4,1,11-Projects!$C$22+1)*Assumptions!$B$11*0.95+0.05*Projects!$B$22*Assumptions!$B$11,Projects!$B$22*INDEX(Curves!$B$4:$AO$4,1,11-Projects!$C$22+1)*Assumptions!$B$11*0.95),0)+IF(AND(Projects!$G$23="Yes",11&gt;=Projects!$C$23,11&lt;Projects!$C$23+Projects!$D$23),IF(11=Projects!$C$23+Projects!$D$23-1,Projects!$B$23*INDEX(Curves!$B$4:$AO$4,1,11-Projects!$C$23+1)*Assumptions!$B$11*0.95+0.05*Projects!$B$23*Assumptions!$B$11,Projects!$B$23*INDEX(Curves!$B$4:$AO$4,1,11-Projects!$C$23+1)*Assumptions!$B$11*0.95),0)+IF(AND(Projects!$G$24="Yes",11&gt;=Projects!$C$24,11&lt;Projects!$C$24+Projects!$D$24),IF(11=Projects!$C$24+Projects!$D$24-1,Projects!$B$24*INDEX(Curves!$B$4:$AO$4,1,11-Projects!$C$24+1)*Assumptions!$B$11*0.95+0.05*Projects!$B$24*Assumptions!$B$11,Projects!$B$24*INDEX(Curves!$B$4:$AO$4,1,11-Projects!$C$24+1)*Assumptions!$B$11*0.95),0)+IF(AND(Projects!$G$25="Yes",11&gt;=Projects!$C$25,11&lt;Projects!$C$25+Projects!$D$25),IF(11=Projects!$C$25+Projects!$D$25-1,Projects!$B$25*INDEX(Curves!$B$4:$AO$4,1,11-Projects!$C$25+1)*Assumptions!$B$11*0.95+0.05*Projects!$B$25*Assumptions!$B$11,Projects!$B$25*INDEX(Curves!$B$4:$AO$4,1,11-Projects!$C$25+1)*Assumptions!$B$11*0.95),0)+IF(AND(Projects!$G$26="Yes",11&gt;=Projects!$C$26,11&lt;Projects!$C$26+Projects!$D$26),IF(11=Projects!$C$26+Projects!$D$26-1,Projects!$B$26*INDEX(Curves!$B$4:$AO$4,1,11-Projects!$C$26+1)*Assumptions!$B$11*0.95+0.05*Projects!$B$26*Assumptions!$B$11,Projects!$B$26*INDEX(Curves!$B$4:$AO$4,1,11-Projects!$C$26+1)*Assumptions!$B$11*0.95),0)+IF(AND(Projects!$G$27="Yes",11&gt;=Projects!$C$27,11&lt;Projects!$C$27+Projects!$D$27),IF(11=Projects!$C$27+Projects!$D$27-1,Projects!$B$27*INDEX(Curves!$B$4:$AO$4,1,11-Projects!$C$27+1)*Assumptions!$B$11*0.95+0.05*Projects!$B$27*Assumptions!$B$11,Projects!$B$27*INDEX(Curves!$B$4:$AO$4,1,11-Projects!$C$27+1)*Assumptions!$B$11*0.95),0)+IF(AND(Projects!$G$28="Yes",11&gt;=Projects!$C$28,11&lt;Projects!$C$28+Projects!$D$28),IF(11=Projects!$C$28+Projects!$D$28-1,Projects!$B$28*INDEX(Curves!$B$4:$AO$4,1,11-Projects!$C$28+1)*Assumptions!$B$11*0.95+0.05*Projects!$B$28*Assumptions!$B$11,Projects!$B$28*INDEX(Curves!$B$4:$AO$4,1,11-Projects!$C$28+1)*Assumptions!$B$11*0.95),0)+IF(AND(Projects!$G$29="Yes",11&gt;=Projects!$C$29,11&lt;Projects!$C$29+Projects!$D$29),IF(11=Projects!$C$29+Projects!$D$29-1,Projects!$B$29*INDEX(Curves!$B$4:$AO$4,1,11-Projects!$C$29+1)*Assumptions!$B$11*0.95+0.05*Projects!$B$29*Assumptions!$B$11,Projects!$B$29*INDEX(Curves!$B$4:$AO$4,1,11-Projects!$C$29+1)*Assumptions!$B$11*0.95),0)</f>
        <v/>
      </c>
      <c r="N99">
        <f>IF(AND(Projects!$G$17="Yes",12&gt;=Projects!$C$17,12&lt;Projects!$C$17+Projects!$D$17),IF(12=Projects!$C$17+Projects!$D$17-1,Projects!$B$17*INDEX(Curves!$B$4:$AO$4,1,12-Projects!$C$17+1)*Assumptions!$B$11*0.95+0.05*Projects!$B$17*Assumptions!$B$11,Projects!$B$17*INDEX(Curves!$B$4:$AO$4,1,12-Projects!$C$17+1)*Assumptions!$B$11*0.95),0)+IF(AND(Projects!$G$18="Yes",12&gt;=Projects!$C$18,12&lt;Projects!$C$18+Projects!$D$18),IF(12=Projects!$C$18+Projects!$D$18-1,Projects!$B$18*INDEX(Curves!$B$4:$AO$4,1,12-Projects!$C$18+1)*Assumptions!$B$11*0.95+0.05*Projects!$B$18*Assumptions!$B$11,Projects!$B$18*INDEX(Curves!$B$4:$AO$4,1,12-Projects!$C$18+1)*Assumptions!$B$11*0.95),0)+IF(AND(Projects!$G$19="Yes",12&gt;=Projects!$C$19,12&lt;Projects!$C$19+Projects!$D$19),IF(12=Projects!$C$19+Projects!$D$19-1,Projects!$B$19*INDEX(Curves!$B$4:$AO$4,1,12-Projects!$C$19+1)*Assumptions!$B$11*0.95+0.05*Projects!$B$19*Assumptions!$B$11,Projects!$B$19*INDEX(Curves!$B$4:$AO$4,1,12-Projects!$C$19+1)*Assumptions!$B$11*0.95),0)+IF(AND(Projects!$G$20="Yes",12&gt;=Projects!$C$20,12&lt;Projects!$C$20+Projects!$D$20),IF(12=Projects!$C$20+Projects!$D$20-1,Projects!$B$20*INDEX(Curves!$B$4:$AO$4,1,12-Projects!$C$20+1)*Assumptions!$B$11*0.95+0.05*Projects!$B$20*Assumptions!$B$11,Projects!$B$20*INDEX(Curves!$B$4:$AO$4,1,12-Projects!$C$20+1)*Assumptions!$B$11*0.95),0)+IF(AND(Projects!$G$21="Yes",12&gt;=Projects!$C$21,12&lt;Projects!$C$21+Projects!$D$21),IF(12=Projects!$C$21+Projects!$D$21-1,Projects!$B$21*INDEX(Curves!$B$4:$AO$4,1,12-Projects!$C$21+1)*Assumptions!$B$11*0.95+0.05*Projects!$B$21*Assumptions!$B$11,Projects!$B$21*INDEX(Curves!$B$4:$AO$4,1,12-Projects!$C$21+1)*Assumptions!$B$11*0.95),0)+IF(AND(Projects!$G$22="Yes",12&gt;=Projects!$C$22,12&lt;Projects!$C$22+Projects!$D$22),IF(12=Projects!$C$22+Projects!$D$22-1,Projects!$B$22*INDEX(Curves!$B$4:$AO$4,1,12-Projects!$C$22+1)*Assumptions!$B$11*0.95+0.05*Projects!$B$22*Assumptions!$B$11,Projects!$B$22*INDEX(Curves!$B$4:$AO$4,1,12-Projects!$C$22+1)*Assumptions!$B$11*0.95),0)+IF(AND(Projects!$G$23="Yes",12&gt;=Projects!$C$23,12&lt;Projects!$C$23+Projects!$D$23),IF(12=Projects!$C$23+Projects!$D$23-1,Projects!$B$23*INDEX(Curves!$B$4:$AO$4,1,12-Projects!$C$23+1)*Assumptions!$B$11*0.95+0.05*Projects!$B$23*Assumptions!$B$11,Projects!$B$23*INDEX(Curves!$B$4:$AO$4,1,12-Projects!$C$23+1)*Assumptions!$B$11*0.95),0)+IF(AND(Projects!$G$24="Yes",12&gt;=Projects!$C$24,12&lt;Projects!$C$24+Projects!$D$24),IF(12=Projects!$C$24+Projects!$D$24-1,Projects!$B$24*INDEX(Curves!$B$4:$AO$4,1,12-Projects!$C$24+1)*Assumptions!$B$11*0.95+0.05*Projects!$B$24*Assumptions!$B$11,Projects!$B$24*INDEX(Curves!$B$4:$AO$4,1,12-Projects!$C$24+1)*Assumptions!$B$11*0.95),0)+IF(AND(Projects!$G$25="Yes",12&gt;=Projects!$C$25,12&lt;Projects!$C$25+Projects!$D$25),IF(12=Projects!$C$25+Projects!$D$25-1,Projects!$B$25*INDEX(Curves!$B$4:$AO$4,1,12-Projects!$C$25+1)*Assumptions!$B$11*0.95+0.05*Projects!$B$25*Assumptions!$B$11,Projects!$B$25*INDEX(Curves!$B$4:$AO$4,1,12-Projects!$C$25+1)*Assumptions!$B$11*0.95),0)+IF(AND(Projects!$G$26="Yes",12&gt;=Projects!$C$26,12&lt;Projects!$C$26+Projects!$D$26),IF(12=Projects!$C$26+Projects!$D$26-1,Projects!$B$26*INDEX(Curves!$B$4:$AO$4,1,12-Projects!$C$26+1)*Assumptions!$B$11*0.95+0.05*Projects!$B$26*Assumptions!$B$11,Projects!$B$26*INDEX(Curves!$B$4:$AO$4,1,12-Projects!$C$26+1)*Assumptions!$B$11*0.95),0)+IF(AND(Projects!$G$27="Yes",12&gt;=Projects!$C$27,12&lt;Projects!$C$27+Projects!$D$27),IF(12=Projects!$C$27+Projects!$D$27-1,Projects!$B$27*INDEX(Curves!$B$4:$AO$4,1,12-Projects!$C$27+1)*Assumptions!$B$11*0.95+0.05*Projects!$B$27*Assumptions!$B$11,Projects!$B$27*INDEX(Curves!$B$4:$AO$4,1,12-Projects!$C$27+1)*Assumptions!$B$11*0.95),0)+IF(AND(Projects!$G$28="Yes",12&gt;=Projects!$C$28,12&lt;Projects!$C$28+Projects!$D$28),IF(12=Projects!$C$28+Projects!$D$28-1,Projects!$B$28*INDEX(Curves!$B$4:$AO$4,1,12-Projects!$C$28+1)*Assumptions!$B$11*0.95+0.05*Projects!$B$28*Assumptions!$B$11,Projects!$B$28*INDEX(Curves!$B$4:$AO$4,1,12-Projects!$C$28+1)*Assumptions!$B$11*0.95),0)+IF(AND(Projects!$G$29="Yes",12&gt;=Projects!$C$29,12&lt;Projects!$C$29+Projects!$D$29),IF(12=Projects!$C$29+Projects!$D$29-1,Projects!$B$29*INDEX(Curves!$B$4:$AO$4,1,12-Projects!$C$29+1)*Assumptions!$B$11*0.95+0.05*Projects!$B$29*Assumptions!$B$11,Projects!$B$29*INDEX(Curves!$B$4:$AO$4,1,12-Projects!$C$29+1)*Assumptions!$B$11*0.95),0)</f>
        <v/>
      </c>
      <c r="O99">
        <f>IF(AND(Projects!$G$17="Yes",13&gt;=Projects!$C$17,13&lt;Projects!$C$17+Projects!$D$17),IF(13=Projects!$C$17+Projects!$D$17-1,Projects!$B$17*INDEX(Curves!$B$4:$AO$4,1,13-Projects!$C$17+1)*Assumptions!$B$11*0.95+0.05*Projects!$B$17*Assumptions!$B$11,Projects!$B$17*INDEX(Curves!$B$4:$AO$4,1,13-Projects!$C$17+1)*Assumptions!$B$11*0.95),0)+IF(AND(Projects!$G$18="Yes",13&gt;=Projects!$C$18,13&lt;Projects!$C$18+Projects!$D$18),IF(13=Projects!$C$18+Projects!$D$18-1,Projects!$B$18*INDEX(Curves!$B$4:$AO$4,1,13-Projects!$C$18+1)*Assumptions!$B$11*0.95+0.05*Projects!$B$18*Assumptions!$B$11,Projects!$B$18*INDEX(Curves!$B$4:$AO$4,1,13-Projects!$C$18+1)*Assumptions!$B$11*0.95),0)+IF(AND(Projects!$G$19="Yes",13&gt;=Projects!$C$19,13&lt;Projects!$C$19+Projects!$D$19),IF(13=Projects!$C$19+Projects!$D$19-1,Projects!$B$19*INDEX(Curves!$B$4:$AO$4,1,13-Projects!$C$19+1)*Assumptions!$B$11*0.95+0.05*Projects!$B$19*Assumptions!$B$11,Projects!$B$19*INDEX(Curves!$B$4:$AO$4,1,13-Projects!$C$19+1)*Assumptions!$B$11*0.95),0)+IF(AND(Projects!$G$20="Yes",13&gt;=Projects!$C$20,13&lt;Projects!$C$20+Projects!$D$20),IF(13=Projects!$C$20+Projects!$D$20-1,Projects!$B$20*INDEX(Curves!$B$4:$AO$4,1,13-Projects!$C$20+1)*Assumptions!$B$11*0.95+0.05*Projects!$B$20*Assumptions!$B$11,Projects!$B$20*INDEX(Curves!$B$4:$AO$4,1,13-Projects!$C$20+1)*Assumptions!$B$11*0.95),0)+IF(AND(Projects!$G$21="Yes",13&gt;=Projects!$C$21,13&lt;Projects!$C$21+Projects!$D$21),IF(13=Projects!$C$21+Projects!$D$21-1,Projects!$B$21*INDEX(Curves!$B$4:$AO$4,1,13-Projects!$C$21+1)*Assumptions!$B$11*0.95+0.05*Projects!$B$21*Assumptions!$B$11,Projects!$B$21*INDEX(Curves!$B$4:$AO$4,1,13-Projects!$C$21+1)*Assumptions!$B$11*0.95),0)+IF(AND(Projects!$G$22="Yes",13&gt;=Projects!$C$22,13&lt;Projects!$C$22+Projects!$D$22),IF(13=Projects!$C$22+Projects!$D$22-1,Projects!$B$22*INDEX(Curves!$B$4:$AO$4,1,13-Projects!$C$22+1)*Assumptions!$B$11*0.95+0.05*Projects!$B$22*Assumptions!$B$11,Projects!$B$22*INDEX(Curves!$B$4:$AO$4,1,13-Projects!$C$22+1)*Assumptions!$B$11*0.95),0)+IF(AND(Projects!$G$23="Yes",13&gt;=Projects!$C$23,13&lt;Projects!$C$23+Projects!$D$23),IF(13=Projects!$C$23+Projects!$D$23-1,Projects!$B$23*INDEX(Curves!$B$4:$AO$4,1,13-Projects!$C$23+1)*Assumptions!$B$11*0.95+0.05*Projects!$B$23*Assumptions!$B$11,Projects!$B$23*INDEX(Curves!$B$4:$AO$4,1,13-Projects!$C$23+1)*Assumptions!$B$11*0.95),0)+IF(AND(Projects!$G$24="Yes",13&gt;=Projects!$C$24,13&lt;Projects!$C$24+Projects!$D$24),IF(13=Projects!$C$24+Projects!$D$24-1,Projects!$B$24*INDEX(Curves!$B$4:$AO$4,1,13-Projects!$C$24+1)*Assumptions!$B$11*0.95+0.05*Projects!$B$24*Assumptions!$B$11,Projects!$B$24*INDEX(Curves!$B$4:$AO$4,1,13-Projects!$C$24+1)*Assumptions!$B$11*0.95),0)+IF(AND(Projects!$G$25="Yes",13&gt;=Projects!$C$25,13&lt;Projects!$C$25+Projects!$D$25),IF(13=Projects!$C$25+Projects!$D$25-1,Projects!$B$25*INDEX(Curves!$B$4:$AO$4,1,13-Projects!$C$25+1)*Assumptions!$B$11*0.95+0.05*Projects!$B$25*Assumptions!$B$11,Projects!$B$25*INDEX(Curves!$B$4:$AO$4,1,13-Projects!$C$25+1)*Assumptions!$B$11*0.95),0)+IF(AND(Projects!$G$26="Yes",13&gt;=Projects!$C$26,13&lt;Projects!$C$26+Projects!$D$26),IF(13=Projects!$C$26+Projects!$D$26-1,Projects!$B$26*INDEX(Curves!$B$4:$AO$4,1,13-Projects!$C$26+1)*Assumptions!$B$11*0.95+0.05*Projects!$B$26*Assumptions!$B$11,Projects!$B$26*INDEX(Curves!$B$4:$AO$4,1,13-Projects!$C$26+1)*Assumptions!$B$11*0.95),0)+IF(AND(Projects!$G$27="Yes",13&gt;=Projects!$C$27,13&lt;Projects!$C$27+Projects!$D$27),IF(13=Projects!$C$27+Projects!$D$27-1,Projects!$B$27*INDEX(Curves!$B$4:$AO$4,1,13-Projects!$C$27+1)*Assumptions!$B$11*0.95+0.05*Projects!$B$27*Assumptions!$B$11,Projects!$B$27*INDEX(Curves!$B$4:$AO$4,1,13-Projects!$C$27+1)*Assumptions!$B$11*0.95),0)+IF(AND(Projects!$G$28="Yes",13&gt;=Projects!$C$28,13&lt;Projects!$C$28+Projects!$D$28),IF(13=Projects!$C$28+Projects!$D$28-1,Projects!$B$28*INDEX(Curves!$B$4:$AO$4,1,13-Projects!$C$28+1)*Assumptions!$B$11*0.95+0.05*Projects!$B$28*Assumptions!$B$11,Projects!$B$28*INDEX(Curves!$B$4:$AO$4,1,13-Projects!$C$28+1)*Assumptions!$B$11*0.95),0)+IF(AND(Projects!$G$29="Yes",13&gt;=Projects!$C$29,13&lt;Projects!$C$29+Projects!$D$29),IF(13=Projects!$C$29+Projects!$D$29-1,Projects!$B$29*INDEX(Curves!$B$4:$AO$4,1,13-Projects!$C$29+1)*Assumptions!$B$11*0.95+0.05*Projects!$B$29*Assumptions!$B$11,Projects!$B$29*INDEX(Curves!$B$4:$AO$4,1,13-Projects!$C$29+1)*Assumptions!$B$11*0.95),0)</f>
        <v/>
      </c>
      <c r="P99">
        <f>IF(AND(Projects!$G$17="Yes",14&gt;=Projects!$C$17,14&lt;Projects!$C$17+Projects!$D$17),IF(14=Projects!$C$17+Projects!$D$17-1,Projects!$B$17*INDEX(Curves!$B$4:$AO$4,1,14-Projects!$C$17+1)*Assumptions!$B$11*0.95+0.05*Projects!$B$17*Assumptions!$B$11,Projects!$B$17*INDEX(Curves!$B$4:$AO$4,1,14-Projects!$C$17+1)*Assumptions!$B$11*0.95),0)+IF(AND(Projects!$G$18="Yes",14&gt;=Projects!$C$18,14&lt;Projects!$C$18+Projects!$D$18),IF(14=Projects!$C$18+Projects!$D$18-1,Projects!$B$18*INDEX(Curves!$B$4:$AO$4,1,14-Projects!$C$18+1)*Assumptions!$B$11*0.95+0.05*Projects!$B$18*Assumptions!$B$11,Projects!$B$18*INDEX(Curves!$B$4:$AO$4,1,14-Projects!$C$18+1)*Assumptions!$B$11*0.95),0)+IF(AND(Projects!$G$19="Yes",14&gt;=Projects!$C$19,14&lt;Projects!$C$19+Projects!$D$19),IF(14=Projects!$C$19+Projects!$D$19-1,Projects!$B$19*INDEX(Curves!$B$4:$AO$4,1,14-Projects!$C$19+1)*Assumptions!$B$11*0.95+0.05*Projects!$B$19*Assumptions!$B$11,Projects!$B$19*INDEX(Curves!$B$4:$AO$4,1,14-Projects!$C$19+1)*Assumptions!$B$11*0.95),0)+IF(AND(Projects!$G$20="Yes",14&gt;=Projects!$C$20,14&lt;Projects!$C$20+Projects!$D$20),IF(14=Projects!$C$20+Projects!$D$20-1,Projects!$B$20*INDEX(Curves!$B$4:$AO$4,1,14-Projects!$C$20+1)*Assumptions!$B$11*0.95+0.05*Projects!$B$20*Assumptions!$B$11,Projects!$B$20*INDEX(Curves!$B$4:$AO$4,1,14-Projects!$C$20+1)*Assumptions!$B$11*0.95),0)+IF(AND(Projects!$G$21="Yes",14&gt;=Projects!$C$21,14&lt;Projects!$C$21+Projects!$D$21),IF(14=Projects!$C$21+Projects!$D$21-1,Projects!$B$21*INDEX(Curves!$B$4:$AO$4,1,14-Projects!$C$21+1)*Assumptions!$B$11*0.95+0.05*Projects!$B$21*Assumptions!$B$11,Projects!$B$21*INDEX(Curves!$B$4:$AO$4,1,14-Projects!$C$21+1)*Assumptions!$B$11*0.95),0)+IF(AND(Projects!$G$22="Yes",14&gt;=Projects!$C$22,14&lt;Projects!$C$22+Projects!$D$22),IF(14=Projects!$C$22+Projects!$D$22-1,Projects!$B$22*INDEX(Curves!$B$4:$AO$4,1,14-Projects!$C$22+1)*Assumptions!$B$11*0.95+0.05*Projects!$B$22*Assumptions!$B$11,Projects!$B$22*INDEX(Curves!$B$4:$AO$4,1,14-Projects!$C$22+1)*Assumptions!$B$11*0.95),0)+IF(AND(Projects!$G$23="Yes",14&gt;=Projects!$C$23,14&lt;Projects!$C$23+Projects!$D$23),IF(14=Projects!$C$23+Projects!$D$23-1,Projects!$B$23*INDEX(Curves!$B$4:$AO$4,1,14-Projects!$C$23+1)*Assumptions!$B$11*0.95+0.05*Projects!$B$23*Assumptions!$B$11,Projects!$B$23*INDEX(Curves!$B$4:$AO$4,1,14-Projects!$C$23+1)*Assumptions!$B$11*0.95),0)+IF(AND(Projects!$G$24="Yes",14&gt;=Projects!$C$24,14&lt;Projects!$C$24+Projects!$D$24),IF(14=Projects!$C$24+Projects!$D$24-1,Projects!$B$24*INDEX(Curves!$B$4:$AO$4,1,14-Projects!$C$24+1)*Assumptions!$B$11*0.95+0.05*Projects!$B$24*Assumptions!$B$11,Projects!$B$24*INDEX(Curves!$B$4:$AO$4,1,14-Projects!$C$24+1)*Assumptions!$B$11*0.95),0)+IF(AND(Projects!$G$25="Yes",14&gt;=Projects!$C$25,14&lt;Projects!$C$25+Projects!$D$25),IF(14=Projects!$C$25+Projects!$D$25-1,Projects!$B$25*INDEX(Curves!$B$4:$AO$4,1,14-Projects!$C$25+1)*Assumptions!$B$11*0.95+0.05*Projects!$B$25*Assumptions!$B$11,Projects!$B$25*INDEX(Curves!$B$4:$AO$4,1,14-Projects!$C$25+1)*Assumptions!$B$11*0.95),0)+IF(AND(Projects!$G$26="Yes",14&gt;=Projects!$C$26,14&lt;Projects!$C$26+Projects!$D$26),IF(14=Projects!$C$26+Projects!$D$26-1,Projects!$B$26*INDEX(Curves!$B$4:$AO$4,1,14-Projects!$C$26+1)*Assumptions!$B$11*0.95+0.05*Projects!$B$26*Assumptions!$B$11,Projects!$B$26*INDEX(Curves!$B$4:$AO$4,1,14-Projects!$C$26+1)*Assumptions!$B$11*0.95),0)+IF(AND(Projects!$G$27="Yes",14&gt;=Projects!$C$27,14&lt;Projects!$C$27+Projects!$D$27),IF(14=Projects!$C$27+Projects!$D$27-1,Projects!$B$27*INDEX(Curves!$B$4:$AO$4,1,14-Projects!$C$27+1)*Assumptions!$B$11*0.95+0.05*Projects!$B$27*Assumptions!$B$11,Projects!$B$27*INDEX(Curves!$B$4:$AO$4,1,14-Projects!$C$27+1)*Assumptions!$B$11*0.95),0)+IF(AND(Projects!$G$28="Yes",14&gt;=Projects!$C$28,14&lt;Projects!$C$28+Projects!$D$28),IF(14=Projects!$C$28+Projects!$D$28-1,Projects!$B$28*INDEX(Curves!$B$4:$AO$4,1,14-Projects!$C$28+1)*Assumptions!$B$11*0.95+0.05*Projects!$B$28*Assumptions!$B$11,Projects!$B$28*INDEX(Curves!$B$4:$AO$4,1,14-Projects!$C$28+1)*Assumptions!$B$11*0.95),0)+IF(AND(Projects!$G$29="Yes",14&gt;=Projects!$C$29,14&lt;Projects!$C$29+Projects!$D$29),IF(14=Projects!$C$29+Projects!$D$29-1,Projects!$B$29*INDEX(Curves!$B$4:$AO$4,1,14-Projects!$C$29+1)*Assumptions!$B$11*0.95+0.05*Projects!$B$29*Assumptions!$B$11,Projects!$B$29*INDEX(Curves!$B$4:$AO$4,1,14-Projects!$C$29+1)*Assumptions!$B$11*0.95),0)</f>
        <v/>
      </c>
      <c r="Q99">
        <f>IF(AND(Projects!$G$17="Yes",15&gt;=Projects!$C$17,15&lt;Projects!$C$17+Projects!$D$17),IF(15=Projects!$C$17+Projects!$D$17-1,Projects!$B$17*INDEX(Curves!$B$4:$AO$4,1,15-Projects!$C$17+1)*Assumptions!$B$11*0.95+0.05*Projects!$B$17*Assumptions!$B$11,Projects!$B$17*INDEX(Curves!$B$4:$AO$4,1,15-Projects!$C$17+1)*Assumptions!$B$11*0.95),0)+IF(AND(Projects!$G$18="Yes",15&gt;=Projects!$C$18,15&lt;Projects!$C$18+Projects!$D$18),IF(15=Projects!$C$18+Projects!$D$18-1,Projects!$B$18*INDEX(Curves!$B$4:$AO$4,1,15-Projects!$C$18+1)*Assumptions!$B$11*0.95+0.05*Projects!$B$18*Assumptions!$B$11,Projects!$B$18*INDEX(Curves!$B$4:$AO$4,1,15-Projects!$C$18+1)*Assumptions!$B$11*0.95),0)+IF(AND(Projects!$G$19="Yes",15&gt;=Projects!$C$19,15&lt;Projects!$C$19+Projects!$D$19),IF(15=Projects!$C$19+Projects!$D$19-1,Projects!$B$19*INDEX(Curves!$B$4:$AO$4,1,15-Projects!$C$19+1)*Assumptions!$B$11*0.95+0.05*Projects!$B$19*Assumptions!$B$11,Projects!$B$19*INDEX(Curves!$B$4:$AO$4,1,15-Projects!$C$19+1)*Assumptions!$B$11*0.95),0)+IF(AND(Projects!$G$20="Yes",15&gt;=Projects!$C$20,15&lt;Projects!$C$20+Projects!$D$20),IF(15=Projects!$C$20+Projects!$D$20-1,Projects!$B$20*INDEX(Curves!$B$4:$AO$4,1,15-Projects!$C$20+1)*Assumptions!$B$11*0.95+0.05*Projects!$B$20*Assumptions!$B$11,Projects!$B$20*INDEX(Curves!$B$4:$AO$4,1,15-Projects!$C$20+1)*Assumptions!$B$11*0.95),0)+IF(AND(Projects!$G$21="Yes",15&gt;=Projects!$C$21,15&lt;Projects!$C$21+Projects!$D$21),IF(15=Projects!$C$21+Projects!$D$21-1,Projects!$B$21*INDEX(Curves!$B$4:$AO$4,1,15-Projects!$C$21+1)*Assumptions!$B$11*0.95+0.05*Projects!$B$21*Assumptions!$B$11,Projects!$B$21*INDEX(Curves!$B$4:$AO$4,1,15-Projects!$C$21+1)*Assumptions!$B$11*0.95),0)+IF(AND(Projects!$G$22="Yes",15&gt;=Projects!$C$22,15&lt;Projects!$C$22+Projects!$D$22),IF(15=Projects!$C$22+Projects!$D$22-1,Projects!$B$22*INDEX(Curves!$B$4:$AO$4,1,15-Projects!$C$22+1)*Assumptions!$B$11*0.95+0.05*Projects!$B$22*Assumptions!$B$11,Projects!$B$22*INDEX(Curves!$B$4:$AO$4,1,15-Projects!$C$22+1)*Assumptions!$B$11*0.95),0)+IF(AND(Projects!$G$23="Yes",15&gt;=Projects!$C$23,15&lt;Projects!$C$23+Projects!$D$23),IF(15=Projects!$C$23+Projects!$D$23-1,Projects!$B$23*INDEX(Curves!$B$4:$AO$4,1,15-Projects!$C$23+1)*Assumptions!$B$11*0.95+0.05*Projects!$B$23*Assumptions!$B$11,Projects!$B$23*INDEX(Curves!$B$4:$AO$4,1,15-Projects!$C$23+1)*Assumptions!$B$11*0.95),0)+IF(AND(Projects!$G$24="Yes",15&gt;=Projects!$C$24,15&lt;Projects!$C$24+Projects!$D$24),IF(15=Projects!$C$24+Projects!$D$24-1,Projects!$B$24*INDEX(Curves!$B$4:$AO$4,1,15-Projects!$C$24+1)*Assumptions!$B$11*0.95+0.05*Projects!$B$24*Assumptions!$B$11,Projects!$B$24*INDEX(Curves!$B$4:$AO$4,1,15-Projects!$C$24+1)*Assumptions!$B$11*0.95),0)+IF(AND(Projects!$G$25="Yes",15&gt;=Projects!$C$25,15&lt;Projects!$C$25+Projects!$D$25),IF(15=Projects!$C$25+Projects!$D$25-1,Projects!$B$25*INDEX(Curves!$B$4:$AO$4,1,15-Projects!$C$25+1)*Assumptions!$B$11*0.95+0.05*Projects!$B$25*Assumptions!$B$11,Projects!$B$25*INDEX(Curves!$B$4:$AO$4,1,15-Projects!$C$25+1)*Assumptions!$B$11*0.95),0)+IF(AND(Projects!$G$26="Yes",15&gt;=Projects!$C$26,15&lt;Projects!$C$26+Projects!$D$26),IF(15=Projects!$C$26+Projects!$D$26-1,Projects!$B$26*INDEX(Curves!$B$4:$AO$4,1,15-Projects!$C$26+1)*Assumptions!$B$11*0.95+0.05*Projects!$B$26*Assumptions!$B$11,Projects!$B$26*INDEX(Curves!$B$4:$AO$4,1,15-Projects!$C$26+1)*Assumptions!$B$11*0.95),0)+IF(AND(Projects!$G$27="Yes",15&gt;=Projects!$C$27,15&lt;Projects!$C$27+Projects!$D$27),IF(15=Projects!$C$27+Projects!$D$27-1,Projects!$B$27*INDEX(Curves!$B$4:$AO$4,1,15-Projects!$C$27+1)*Assumptions!$B$11*0.95+0.05*Projects!$B$27*Assumptions!$B$11,Projects!$B$27*INDEX(Curves!$B$4:$AO$4,1,15-Projects!$C$27+1)*Assumptions!$B$11*0.95),0)+IF(AND(Projects!$G$28="Yes",15&gt;=Projects!$C$28,15&lt;Projects!$C$28+Projects!$D$28),IF(15=Projects!$C$28+Projects!$D$28-1,Projects!$B$28*INDEX(Curves!$B$4:$AO$4,1,15-Projects!$C$28+1)*Assumptions!$B$11*0.95+0.05*Projects!$B$28*Assumptions!$B$11,Projects!$B$28*INDEX(Curves!$B$4:$AO$4,1,15-Projects!$C$28+1)*Assumptions!$B$11*0.95),0)+IF(AND(Projects!$G$29="Yes",15&gt;=Projects!$C$29,15&lt;Projects!$C$29+Projects!$D$29),IF(15=Projects!$C$29+Projects!$D$29-1,Projects!$B$29*INDEX(Curves!$B$4:$AO$4,1,15-Projects!$C$29+1)*Assumptions!$B$11*0.95+0.05*Projects!$B$29*Assumptions!$B$11,Projects!$B$29*INDEX(Curves!$B$4:$AO$4,1,15-Projects!$C$29+1)*Assumptions!$B$11*0.95),0)</f>
        <v/>
      </c>
      <c r="R99">
        <f>IF(AND(Projects!$G$17="Yes",16&gt;=Projects!$C$17,16&lt;Projects!$C$17+Projects!$D$17),IF(16=Projects!$C$17+Projects!$D$17-1,Projects!$B$17*INDEX(Curves!$B$4:$AO$4,1,16-Projects!$C$17+1)*Assumptions!$B$11*0.95+0.05*Projects!$B$17*Assumptions!$B$11,Projects!$B$17*INDEX(Curves!$B$4:$AO$4,1,16-Projects!$C$17+1)*Assumptions!$B$11*0.95),0)+IF(AND(Projects!$G$18="Yes",16&gt;=Projects!$C$18,16&lt;Projects!$C$18+Projects!$D$18),IF(16=Projects!$C$18+Projects!$D$18-1,Projects!$B$18*INDEX(Curves!$B$4:$AO$4,1,16-Projects!$C$18+1)*Assumptions!$B$11*0.95+0.05*Projects!$B$18*Assumptions!$B$11,Projects!$B$18*INDEX(Curves!$B$4:$AO$4,1,16-Projects!$C$18+1)*Assumptions!$B$11*0.95),0)+IF(AND(Projects!$G$19="Yes",16&gt;=Projects!$C$19,16&lt;Projects!$C$19+Projects!$D$19),IF(16=Projects!$C$19+Projects!$D$19-1,Projects!$B$19*INDEX(Curves!$B$4:$AO$4,1,16-Projects!$C$19+1)*Assumptions!$B$11*0.95+0.05*Projects!$B$19*Assumptions!$B$11,Projects!$B$19*INDEX(Curves!$B$4:$AO$4,1,16-Projects!$C$19+1)*Assumptions!$B$11*0.95),0)+IF(AND(Projects!$G$20="Yes",16&gt;=Projects!$C$20,16&lt;Projects!$C$20+Projects!$D$20),IF(16=Projects!$C$20+Projects!$D$20-1,Projects!$B$20*INDEX(Curves!$B$4:$AO$4,1,16-Projects!$C$20+1)*Assumptions!$B$11*0.95+0.05*Projects!$B$20*Assumptions!$B$11,Projects!$B$20*INDEX(Curves!$B$4:$AO$4,1,16-Projects!$C$20+1)*Assumptions!$B$11*0.95),0)+IF(AND(Projects!$G$21="Yes",16&gt;=Projects!$C$21,16&lt;Projects!$C$21+Projects!$D$21),IF(16=Projects!$C$21+Projects!$D$21-1,Projects!$B$21*INDEX(Curves!$B$4:$AO$4,1,16-Projects!$C$21+1)*Assumptions!$B$11*0.95+0.05*Projects!$B$21*Assumptions!$B$11,Projects!$B$21*INDEX(Curves!$B$4:$AO$4,1,16-Projects!$C$21+1)*Assumptions!$B$11*0.95),0)+IF(AND(Projects!$G$22="Yes",16&gt;=Projects!$C$22,16&lt;Projects!$C$22+Projects!$D$22),IF(16=Projects!$C$22+Projects!$D$22-1,Projects!$B$22*INDEX(Curves!$B$4:$AO$4,1,16-Projects!$C$22+1)*Assumptions!$B$11*0.95+0.05*Projects!$B$22*Assumptions!$B$11,Projects!$B$22*INDEX(Curves!$B$4:$AO$4,1,16-Projects!$C$22+1)*Assumptions!$B$11*0.95),0)+IF(AND(Projects!$G$23="Yes",16&gt;=Projects!$C$23,16&lt;Projects!$C$23+Projects!$D$23),IF(16=Projects!$C$23+Projects!$D$23-1,Projects!$B$23*INDEX(Curves!$B$4:$AO$4,1,16-Projects!$C$23+1)*Assumptions!$B$11*0.95+0.05*Projects!$B$23*Assumptions!$B$11,Projects!$B$23*INDEX(Curves!$B$4:$AO$4,1,16-Projects!$C$23+1)*Assumptions!$B$11*0.95),0)+IF(AND(Projects!$G$24="Yes",16&gt;=Projects!$C$24,16&lt;Projects!$C$24+Projects!$D$24),IF(16=Projects!$C$24+Projects!$D$24-1,Projects!$B$24*INDEX(Curves!$B$4:$AO$4,1,16-Projects!$C$24+1)*Assumptions!$B$11*0.95+0.05*Projects!$B$24*Assumptions!$B$11,Projects!$B$24*INDEX(Curves!$B$4:$AO$4,1,16-Projects!$C$24+1)*Assumptions!$B$11*0.95),0)+IF(AND(Projects!$G$25="Yes",16&gt;=Projects!$C$25,16&lt;Projects!$C$25+Projects!$D$25),IF(16=Projects!$C$25+Projects!$D$25-1,Projects!$B$25*INDEX(Curves!$B$4:$AO$4,1,16-Projects!$C$25+1)*Assumptions!$B$11*0.95+0.05*Projects!$B$25*Assumptions!$B$11,Projects!$B$25*INDEX(Curves!$B$4:$AO$4,1,16-Projects!$C$25+1)*Assumptions!$B$11*0.95),0)+IF(AND(Projects!$G$26="Yes",16&gt;=Projects!$C$26,16&lt;Projects!$C$26+Projects!$D$26),IF(16=Projects!$C$26+Projects!$D$26-1,Projects!$B$26*INDEX(Curves!$B$4:$AO$4,1,16-Projects!$C$26+1)*Assumptions!$B$11*0.95+0.05*Projects!$B$26*Assumptions!$B$11,Projects!$B$26*INDEX(Curves!$B$4:$AO$4,1,16-Projects!$C$26+1)*Assumptions!$B$11*0.95),0)+IF(AND(Projects!$G$27="Yes",16&gt;=Projects!$C$27,16&lt;Projects!$C$27+Projects!$D$27),IF(16=Projects!$C$27+Projects!$D$27-1,Projects!$B$27*INDEX(Curves!$B$4:$AO$4,1,16-Projects!$C$27+1)*Assumptions!$B$11*0.95+0.05*Projects!$B$27*Assumptions!$B$11,Projects!$B$27*INDEX(Curves!$B$4:$AO$4,1,16-Projects!$C$27+1)*Assumptions!$B$11*0.95),0)+IF(AND(Projects!$G$28="Yes",16&gt;=Projects!$C$28,16&lt;Projects!$C$28+Projects!$D$28),IF(16=Projects!$C$28+Projects!$D$28-1,Projects!$B$28*INDEX(Curves!$B$4:$AO$4,1,16-Projects!$C$28+1)*Assumptions!$B$11*0.95+0.05*Projects!$B$28*Assumptions!$B$11,Projects!$B$28*INDEX(Curves!$B$4:$AO$4,1,16-Projects!$C$28+1)*Assumptions!$B$11*0.95),0)+IF(AND(Projects!$G$29="Yes",16&gt;=Projects!$C$29,16&lt;Projects!$C$29+Projects!$D$29),IF(16=Projects!$C$29+Projects!$D$29-1,Projects!$B$29*INDEX(Curves!$B$4:$AO$4,1,16-Projects!$C$29+1)*Assumptions!$B$11*0.95+0.05*Projects!$B$29*Assumptions!$B$11,Projects!$B$29*INDEX(Curves!$B$4:$AO$4,1,16-Projects!$C$29+1)*Assumptions!$B$11*0.95),0)</f>
        <v/>
      </c>
      <c r="S99">
        <f>IF(AND(Projects!$G$17="Yes",17&gt;=Projects!$C$17,17&lt;Projects!$C$17+Projects!$D$17),IF(17=Projects!$C$17+Projects!$D$17-1,Projects!$B$17*INDEX(Curves!$B$4:$AO$4,1,17-Projects!$C$17+1)*Assumptions!$B$11*0.95+0.05*Projects!$B$17*Assumptions!$B$11,Projects!$B$17*INDEX(Curves!$B$4:$AO$4,1,17-Projects!$C$17+1)*Assumptions!$B$11*0.95),0)+IF(AND(Projects!$G$18="Yes",17&gt;=Projects!$C$18,17&lt;Projects!$C$18+Projects!$D$18),IF(17=Projects!$C$18+Projects!$D$18-1,Projects!$B$18*INDEX(Curves!$B$4:$AO$4,1,17-Projects!$C$18+1)*Assumptions!$B$11*0.95+0.05*Projects!$B$18*Assumptions!$B$11,Projects!$B$18*INDEX(Curves!$B$4:$AO$4,1,17-Projects!$C$18+1)*Assumptions!$B$11*0.95),0)+IF(AND(Projects!$G$19="Yes",17&gt;=Projects!$C$19,17&lt;Projects!$C$19+Projects!$D$19),IF(17=Projects!$C$19+Projects!$D$19-1,Projects!$B$19*INDEX(Curves!$B$4:$AO$4,1,17-Projects!$C$19+1)*Assumptions!$B$11*0.95+0.05*Projects!$B$19*Assumptions!$B$11,Projects!$B$19*INDEX(Curves!$B$4:$AO$4,1,17-Projects!$C$19+1)*Assumptions!$B$11*0.95),0)+IF(AND(Projects!$G$20="Yes",17&gt;=Projects!$C$20,17&lt;Projects!$C$20+Projects!$D$20),IF(17=Projects!$C$20+Projects!$D$20-1,Projects!$B$20*INDEX(Curves!$B$4:$AO$4,1,17-Projects!$C$20+1)*Assumptions!$B$11*0.95+0.05*Projects!$B$20*Assumptions!$B$11,Projects!$B$20*INDEX(Curves!$B$4:$AO$4,1,17-Projects!$C$20+1)*Assumptions!$B$11*0.95),0)+IF(AND(Projects!$G$21="Yes",17&gt;=Projects!$C$21,17&lt;Projects!$C$21+Projects!$D$21),IF(17=Projects!$C$21+Projects!$D$21-1,Projects!$B$21*INDEX(Curves!$B$4:$AO$4,1,17-Projects!$C$21+1)*Assumptions!$B$11*0.95+0.05*Projects!$B$21*Assumptions!$B$11,Projects!$B$21*INDEX(Curves!$B$4:$AO$4,1,17-Projects!$C$21+1)*Assumptions!$B$11*0.95),0)+IF(AND(Projects!$G$22="Yes",17&gt;=Projects!$C$22,17&lt;Projects!$C$22+Projects!$D$22),IF(17=Projects!$C$22+Projects!$D$22-1,Projects!$B$22*INDEX(Curves!$B$4:$AO$4,1,17-Projects!$C$22+1)*Assumptions!$B$11*0.95+0.05*Projects!$B$22*Assumptions!$B$11,Projects!$B$22*INDEX(Curves!$B$4:$AO$4,1,17-Projects!$C$22+1)*Assumptions!$B$11*0.95),0)+IF(AND(Projects!$G$23="Yes",17&gt;=Projects!$C$23,17&lt;Projects!$C$23+Projects!$D$23),IF(17=Projects!$C$23+Projects!$D$23-1,Projects!$B$23*INDEX(Curves!$B$4:$AO$4,1,17-Projects!$C$23+1)*Assumptions!$B$11*0.95+0.05*Projects!$B$23*Assumptions!$B$11,Projects!$B$23*INDEX(Curves!$B$4:$AO$4,1,17-Projects!$C$23+1)*Assumptions!$B$11*0.95),0)+IF(AND(Projects!$G$24="Yes",17&gt;=Projects!$C$24,17&lt;Projects!$C$24+Projects!$D$24),IF(17=Projects!$C$24+Projects!$D$24-1,Projects!$B$24*INDEX(Curves!$B$4:$AO$4,1,17-Projects!$C$24+1)*Assumptions!$B$11*0.95+0.05*Projects!$B$24*Assumptions!$B$11,Projects!$B$24*INDEX(Curves!$B$4:$AO$4,1,17-Projects!$C$24+1)*Assumptions!$B$11*0.95),0)+IF(AND(Projects!$G$25="Yes",17&gt;=Projects!$C$25,17&lt;Projects!$C$25+Projects!$D$25),IF(17=Projects!$C$25+Projects!$D$25-1,Projects!$B$25*INDEX(Curves!$B$4:$AO$4,1,17-Projects!$C$25+1)*Assumptions!$B$11*0.95+0.05*Projects!$B$25*Assumptions!$B$11,Projects!$B$25*INDEX(Curves!$B$4:$AO$4,1,17-Projects!$C$25+1)*Assumptions!$B$11*0.95),0)+IF(AND(Projects!$G$26="Yes",17&gt;=Projects!$C$26,17&lt;Projects!$C$26+Projects!$D$26),IF(17=Projects!$C$26+Projects!$D$26-1,Projects!$B$26*INDEX(Curves!$B$4:$AO$4,1,17-Projects!$C$26+1)*Assumptions!$B$11*0.95+0.05*Projects!$B$26*Assumptions!$B$11,Projects!$B$26*INDEX(Curves!$B$4:$AO$4,1,17-Projects!$C$26+1)*Assumptions!$B$11*0.95),0)+IF(AND(Projects!$G$27="Yes",17&gt;=Projects!$C$27,17&lt;Projects!$C$27+Projects!$D$27),IF(17=Projects!$C$27+Projects!$D$27-1,Projects!$B$27*INDEX(Curves!$B$4:$AO$4,1,17-Projects!$C$27+1)*Assumptions!$B$11*0.95+0.05*Projects!$B$27*Assumptions!$B$11,Projects!$B$27*INDEX(Curves!$B$4:$AO$4,1,17-Projects!$C$27+1)*Assumptions!$B$11*0.95),0)+IF(AND(Projects!$G$28="Yes",17&gt;=Projects!$C$28,17&lt;Projects!$C$28+Projects!$D$28),IF(17=Projects!$C$28+Projects!$D$28-1,Projects!$B$28*INDEX(Curves!$B$4:$AO$4,1,17-Projects!$C$28+1)*Assumptions!$B$11*0.95+0.05*Projects!$B$28*Assumptions!$B$11,Projects!$B$28*INDEX(Curves!$B$4:$AO$4,1,17-Projects!$C$28+1)*Assumptions!$B$11*0.95),0)+IF(AND(Projects!$G$29="Yes",17&gt;=Projects!$C$29,17&lt;Projects!$C$29+Projects!$D$29),IF(17=Projects!$C$29+Projects!$D$29-1,Projects!$B$29*INDEX(Curves!$B$4:$AO$4,1,17-Projects!$C$29+1)*Assumptions!$B$11*0.95+0.05*Projects!$B$29*Assumptions!$B$11,Projects!$B$29*INDEX(Curves!$B$4:$AO$4,1,17-Projects!$C$29+1)*Assumptions!$B$11*0.95),0)</f>
        <v/>
      </c>
      <c r="T99">
        <f>IF(AND(Projects!$G$17="Yes",18&gt;=Projects!$C$17,18&lt;Projects!$C$17+Projects!$D$17),IF(18=Projects!$C$17+Projects!$D$17-1,Projects!$B$17*INDEX(Curves!$B$4:$AO$4,1,18-Projects!$C$17+1)*Assumptions!$B$11*0.95+0.05*Projects!$B$17*Assumptions!$B$11,Projects!$B$17*INDEX(Curves!$B$4:$AO$4,1,18-Projects!$C$17+1)*Assumptions!$B$11*0.95),0)+IF(AND(Projects!$G$18="Yes",18&gt;=Projects!$C$18,18&lt;Projects!$C$18+Projects!$D$18),IF(18=Projects!$C$18+Projects!$D$18-1,Projects!$B$18*INDEX(Curves!$B$4:$AO$4,1,18-Projects!$C$18+1)*Assumptions!$B$11*0.95+0.05*Projects!$B$18*Assumptions!$B$11,Projects!$B$18*INDEX(Curves!$B$4:$AO$4,1,18-Projects!$C$18+1)*Assumptions!$B$11*0.95),0)+IF(AND(Projects!$G$19="Yes",18&gt;=Projects!$C$19,18&lt;Projects!$C$19+Projects!$D$19),IF(18=Projects!$C$19+Projects!$D$19-1,Projects!$B$19*INDEX(Curves!$B$4:$AO$4,1,18-Projects!$C$19+1)*Assumptions!$B$11*0.95+0.05*Projects!$B$19*Assumptions!$B$11,Projects!$B$19*INDEX(Curves!$B$4:$AO$4,1,18-Projects!$C$19+1)*Assumptions!$B$11*0.95),0)+IF(AND(Projects!$G$20="Yes",18&gt;=Projects!$C$20,18&lt;Projects!$C$20+Projects!$D$20),IF(18=Projects!$C$20+Projects!$D$20-1,Projects!$B$20*INDEX(Curves!$B$4:$AO$4,1,18-Projects!$C$20+1)*Assumptions!$B$11*0.95+0.05*Projects!$B$20*Assumptions!$B$11,Projects!$B$20*INDEX(Curves!$B$4:$AO$4,1,18-Projects!$C$20+1)*Assumptions!$B$11*0.95),0)+IF(AND(Projects!$G$21="Yes",18&gt;=Projects!$C$21,18&lt;Projects!$C$21+Projects!$D$21),IF(18=Projects!$C$21+Projects!$D$21-1,Projects!$B$21*INDEX(Curves!$B$4:$AO$4,1,18-Projects!$C$21+1)*Assumptions!$B$11*0.95+0.05*Projects!$B$21*Assumptions!$B$11,Projects!$B$21*INDEX(Curves!$B$4:$AO$4,1,18-Projects!$C$21+1)*Assumptions!$B$11*0.95),0)+IF(AND(Projects!$G$22="Yes",18&gt;=Projects!$C$22,18&lt;Projects!$C$22+Projects!$D$22),IF(18=Projects!$C$22+Projects!$D$22-1,Projects!$B$22*INDEX(Curves!$B$4:$AO$4,1,18-Projects!$C$22+1)*Assumptions!$B$11*0.95+0.05*Projects!$B$22*Assumptions!$B$11,Projects!$B$22*INDEX(Curves!$B$4:$AO$4,1,18-Projects!$C$22+1)*Assumptions!$B$11*0.95),0)+IF(AND(Projects!$G$23="Yes",18&gt;=Projects!$C$23,18&lt;Projects!$C$23+Projects!$D$23),IF(18=Projects!$C$23+Projects!$D$23-1,Projects!$B$23*INDEX(Curves!$B$4:$AO$4,1,18-Projects!$C$23+1)*Assumptions!$B$11*0.95+0.05*Projects!$B$23*Assumptions!$B$11,Projects!$B$23*INDEX(Curves!$B$4:$AO$4,1,18-Projects!$C$23+1)*Assumptions!$B$11*0.95),0)+IF(AND(Projects!$G$24="Yes",18&gt;=Projects!$C$24,18&lt;Projects!$C$24+Projects!$D$24),IF(18=Projects!$C$24+Projects!$D$24-1,Projects!$B$24*INDEX(Curves!$B$4:$AO$4,1,18-Projects!$C$24+1)*Assumptions!$B$11*0.95+0.05*Projects!$B$24*Assumptions!$B$11,Projects!$B$24*INDEX(Curves!$B$4:$AO$4,1,18-Projects!$C$24+1)*Assumptions!$B$11*0.95),0)+IF(AND(Projects!$G$25="Yes",18&gt;=Projects!$C$25,18&lt;Projects!$C$25+Projects!$D$25),IF(18=Projects!$C$25+Projects!$D$25-1,Projects!$B$25*INDEX(Curves!$B$4:$AO$4,1,18-Projects!$C$25+1)*Assumptions!$B$11*0.95+0.05*Projects!$B$25*Assumptions!$B$11,Projects!$B$25*INDEX(Curves!$B$4:$AO$4,1,18-Projects!$C$25+1)*Assumptions!$B$11*0.95),0)+IF(AND(Projects!$G$26="Yes",18&gt;=Projects!$C$26,18&lt;Projects!$C$26+Projects!$D$26),IF(18=Projects!$C$26+Projects!$D$26-1,Projects!$B$26*INDEX(Curves!$B$4:$AO$4,1,18-Projects!$C$26+1)*Assumptions!$B$11*0.95+0.05*Projects!$B$26*Assumptions!$B$11,Projects!$B$26*INDEX(Curves!$B$4:$AO$4,1,18-Projects!$C$26+1)*Assumptions!$B$11*0.95),0)+IF(AND(Projects!$G$27="Yes",18&gt;=Projects!$C$27,18&lt;Projects!$C$27+Projects!$D$27),IF(18=Projects!$C$27+Projects!$D$27-1,Projects!$B$27*INDEX(Curves!$B$4:$AO$4,1,18-Projects!$C$27+1)*Assumptions!$B$11*0.95+0.05*Projects!$B$27*Assumptions!$B$11,Projects!$B$27*INDEX(Curves!$B$4:$AO$4,1,18-Projects!$C$27+1)*Assumptions!$B$11*0.95),0)+IF(AND(Projects!$G$28="Yes",18&gt;=Projects!$C$28,18&lt;Projects!$C$28+Projects!$D$28),IF(18=Projects!$C$28+Projects!$D$28-1,Projects!$B$28*INDEX(Curves!$B$4:$AO$4,1,18-Projects!$C$28+1)*Assumptions!$B$11*0.95+0.05*Projects!$B$28*Assumptions!$B$11,Projects!$B$28*INDEX(Curves!$B$4:$AO$4,1,18-Projects!$C$28+1)*Assumptions!$B$11*0.95),0)+IF(AND(Projects!$G$29="Yes",18&gt;=Projects!$C$29,18&lt;Projects!$C$29+Projects!$D$29),IF(18=Projects!$C$29+Projects!$D$29-1,Projects!$B$29*INDEX(Curves!$B$4:$AO$4,1,18-Projects!$C$29+1)*Assumptions!$B$11*0.95+0.05*Projects!$B$29*Assumptions!$B$11,Projects!$B$29*INDEX(Curves!$B$4:$AO$4,1,18-Projects!$C$29+1)*Assumptions!$B$11*0.95),0)</f>
        <v/>
      </c>
      <c r="U99">
        <f>IF(AND(Projects!$G$17="Yes",19&gt;=Projects!$C$17,19&lt;Projects!$C$17+Projects!$D$17),IF(19=Projects!$C$17+Projects!$D$17-1,Projects!$B$17*INDEX(Curves!$B$4:$AO$4,1,19-Projects!$C$17+1)*Assumptions!$B$11*0.95+0.05*Projects!$B$17*Assumptions!$B$11,Projects!$B$17*INDEX(Curves!$B$4:$AO$4,1,19-Projects!$C$17+1)*Assumptions!$B$11*0.95),0)+IF(AND(Projects!$G$18="Yes",19&gt;=Projects!$C$18,19&lt;Projects!$C$18+Projects!$D$18),IF(19=Projects!$C$18+Projects!$D$18-1,Projects!$B$18*INDEX(Curves!$B$4:$AO$4,1,19-Projects!$C$18+1)*Assumptions!$B$11*0.95+0.05*Projects!$B$18*Assumptions!$B$11,Projects!$B$18*INDEX(Curves!$B$4:$AO$4,1,19-Projects!$C$18+1)*Assumptions!$B$11*0.95),0)+IF(AND(Projects!$G$19="Yes",19&gt;=Projects!$C$19,19&lt;Projects!$C$19+Projects!$D$19),IF(19=Projects!$C$19+Projects!$D$19-1,Projects!$B$19*INDEX(Curves!$B$4:$AO$4,1,19-Projects!$C$19+1)*Assumptions!$B$11*0.95+0.05*Projects!$B$19*Assumptions!$B$11,Projects!$B$19*INDEX(Curves!$B$4:$AO$4,1,19-Projects!$C$19+1)*Assumptions!$B$11*0.95),0)+IF(AND(Projects!$G$20="Yes",19&gt;=Projects!$C$20,19&lt;Projects!$C$20+Projects!$D$20),IF(19=Projects!$C$20+Projects!$D$20-1,Projects!$B$20*INDEX(Curves!$B$4:$AO$4,1,19-Projects!$C$20+1)*Assumptions!$B$11*0.95+0.05*Projects!$B$20*Assumptions!$B$11,Projects!$B$20*INDEX(Curves!$B$4:$AO$4,1,19-Projects!$C$20+1)*Assumptions!$B$11*0.95),0)+IF(AND(Projects!$G$21="Yes",19&gt;=Projects!$C$21,19&lt;Projects!$C$21+Projects!$D$21),IF(19=Projects!$C$21+Projects!$D$21-1,Projects!$B$21*INDEX(Curves!$B$4:$AO$4,1,19-Projects!$C$21+1)*Assumptions!$B$11*0.95+0.05*Projects!$B$21*Assumptions!$B$11,Projects!$B$21*INDEX(Curves!$B$4:$AO$4,1,19-Projects!$C$21+1)*Assumptions!$B$11*0.95),0)+IF(AND(Projects!$G$22="Yes",19&gt;=Projects!$C$22,19&lt;Projects!$C$22+Projects!$D$22),IF(19=Projects!$C$22+Projects!$D$22-1,Projects!$B$22*INDEX(Curves!$B$4:$AO$4,1,19-Projects!$C$22+1)*Assumptions!$B$11*0.95+0.05*Projects!$B$22*Assumptions!$B$11,Projects!$B$22*INDEX(Curves!$B$4:$AO$4,1,19-Projects!$C$22+1)*Assumptions!$B$11*0.95),0)+IF(AND(Projects!$G$23="Yes",19&gt;=Projects!$C$23,19&lt;Projects!$C$23+Projects!$D$23),IF(19=Projects!$C$23+Projects!$D$23-1,Projects!$B$23*INDEX(Curves!$B$4:$AO$4,1,19-Projects!$C$23+1)*Assumptions!$B$11*0.95+0.05*Projects!$B$23*Assumptions!$B$11,Projects!$B$23*INDEX(Curves!$B$4:$AO$4,1,19-Projects!$C$23+1)*Assumptions!$B$11*0.95),0)+IF(AND(Projects!$G$24="Yes",19&gt;=Projects!$C$24,19&lt;Projects!$C$24+Projects!$D$24),IF(19=Projects!$C$24+Projects!$D$24-1,Projects!$B$24*INDEX(Curves!$B$4:$AO$4,1,19-Projects!$C$24+1)*Assumptions!$B$11*0.95+0.05*Projects!$B$24*Assumptions!$B$11,Projects!$B$24*INDEX(Curves!$B$4:$AO$4,1,19-Projects!$C$24+1)*Assumptions!$B$11*0.95),0)+IF(AND(Projects!$G$25="Yes",19&gt;=Projects!$C$25,19&lt;Projects!$C$25+Projects!$D$25),IF(19=Projects!$C$25+Projects!$D$25-1,Projects!$B$25*INDEX(Curves!$B$4:$AO$4,1,19-Projects!$C$25+1)*Assumptions!$B$11*0.95+0.05*Projects!$B$25*Assumptions!$B$11,Projects!$B$25*INDEX(Curves!$B$4:$AO$4,1,19-Projects!$C$25+1)*Assumptions!$B$11*0.95),0)+IF(AND(Projects!$G$26="Yes",19&gt;=Projects!$C$26,19&lt;Projects!$C$26+Projects!$D$26),IF(19=Projects!$C$26+Projects!$D$26-1,Projects!$B$26*INDEX(Curves!$B$4:$AO$4,1,19-Projects!$C$26+1)*Assumptions!$B$11*0.95+0.05*Projects!$B$26*Assumptions!$B$11,Projects!$B$26*INDEX(Curves!$B$4:$AO$4,1,19-Projects!$C$26+1)*Assumptions!$B$11*0.95),0)+IF(AND(Projects!$G$27="Yes",19&gt;=Projects!$C$27,19&lt;Projects!$C$27+Projects!$D$27),IF(19=Projects!$C$27+Projects!$D$27-1,Projects!$B$27*INDEX(Curves!$B$4:$AO$4,1,19-Projects!$C$27+1)*Assumptions!$B$11*0.95+0.05*Projects!$B$27*Assumptions!$B$11,Projects!$B$27*INDEX(Curves!$B$4:$AO$4,1,19-Projects!$C$27+1)*Assumptions!$B$11*0.95),0)+IF(AND(Projects!$G$28="Yes",19&gt;=Projects!$C$28,19&lt;Projects!$C$28+Projects!$D$28),IF(19=Projects!$C$28+Projects!$D$28-1,Projects!$B$28*INDEX(Curves!$B$4:$AO$4,1,19-Projects!$C$28+1)*Assumptions!$B$11*0.95+0.05*Projects!$B$28*Assumptions!$B$11,Projects!$B$28*INDEX(Curves!$B$4:$AO$4,1,19-Projects!$C$28+1)*Assumptions!$B$11*0.95),0)+IF(AND(Projects!$G$29="Yes",19&gt;=Projects!$C$29,19&lt;Projects!$C$29+Projects!$D$29),IF(19=Projects!$C$29+Projects!$D$29-1,Projects!$B$29*INDEX(Curves!$B$4:$AO$4,1,19-Projects!$C$29+1)*Assumptions!$B$11*0.95+0.05*Projects!$B$29*Assumptions!$B$11,Projects!$B$29*INDEX(Curves!$B$4:$AO$4,1,19-Projects!$C$29+1)*Assumptions!$B$11*0.95),0)</f>
        <v/>
      </c>
      <c r="V99">
        <f>IF(AND(Projects!$G$17="Yes",20&gt;=Projects!$C$17,20&lt;Projects!$C$17+Projects!$D$17),IF(20=Projects!$C$17+Projects!$D$17-1,Projects!$B$17*INDEX(Curves!$B$4:$AO$4,1,20-Projects!$C$17+1)*Assumptions!$B$11*0.95+0.05*Projects!$B$17*Assumptions!$B$11,Projects!$B$17*INDEX(Curves!$B$4:$AO$4,1,20-Projects!$C$17+1)*Assumptions!$B$11*0.95),0)+IF(AND(Projects!$G$18="Yes",20&gt;=Projects!$C$18,20&lt;Projects!$C$18+Projects!$D$18),IF(20=Projects!$C$18+Projects!$D$18-1,Projects!$B$18*INDEX(Curves!$B$4:$AO$4,1,20-Projects!$C$18+1)*Assumptions!$B$11*0.95+0.05*Projects!$B$18*Assumptions!$B$11,Projects!$B$18*INDEX(Curves!$B$4:$AO$4,1,20-Projects!$C$18+1)*Assumptions!$B$11*0.95),0)+IF(AND(Projects!$G$19="Yes",20&gt;=Projects!$C$19,20&lt;Projects!$C$19+Projects!$D$19),IF(20=Projects!$C$19+Projects!$D$19-1,Projects!$B$19*INDEX(Curves!$B$4:$AO$4,1,20-Projects!$C$19+1)*Assumptions!$B$11*0.95+0.05*Projects!$B$19*Assumptions!$B$11,Projects!$B$19*INDEX(Curves!$B$4:$AO$4,1,20-Projects!$C$19+1)*Assumptions!$B$11*0.95),0)+IF(AND(Projects!$G$20="Yes",20&gt;=Projects!$C$20,20&lt;Projects!$C$20+Projects!$D$20),IF(20=Projects!$C$20+Projects!$D$20-1,Projects!$B$20*INDEX(Curves!$B$4:$AO$4,1,20-Projects!$C$20+1)*Assumptions!$B$11*0.95+0.05*Projects!$B$20*Assumptions!$B$11,Projects!$B$20*INDEX(Curves!$B$4:$AO$4,1,20-Projects!$C$20+1)*Assumptions!$B$11*0.95),0)+IF(AND(Projects!$G$21="Yes",20&gt;=Projects!$C$21,20&lt;Projects!$C$21+Projects!$D$21),IF(20=Projects!$C$21+Projects!$D$21-1,Projects!$B$21*INDEX(Curves!$B$4:$AO$4,1,20-Projects!$C$21+1)*Assumptions!$B$11*0.95+0.05*Projects!$B$21*Assumptions!$B$11,Projects!$B$21*INDEX(Curves!$B$4:$AO$4,1,20-Projects!$C$21+1)*Assumptions!$B$11*0.95),0)+IF(AND(Projects!$G$22="Yes",20&gt;=Projects!$C$22,20&lt;Projects!$C$22+Projects!$D$22),IF(20=Projects!$C$22+Projects!$D$22-1,Projects!$B$22*INDEX(Curves!$B$4:$AO$4,1,20-Projects!$C$22+1)*Assumptions!$B$11*0.95+0.05*Projects!$B$22*Assumptions!$B$11,Projects!$B$22*INDEX(Curves!$B$4:$AO$4,1,20-Projects!$C$22+1)*Assumptions!$B$11*0.95),0)+IF(AND(Projects!$G$23="Yes",20&gt;=Projects!$C$23,20&lt;Projects!$C$23+Projects!$D$23),IF(20=Projects!$C$23+Projects!$D$23-1,Projects!$B$23*INDEX(Curves!$B$4:$AO$4,1,20-Projects!$C$23+1)*Assumptions!$B$11*0.95+0.05*Projects!$B$23*Assumptions!$B$11,Projects!$B$23*INDEX(Curves!$B$4:$AO$4,1,20-Projects!$C$23+1)*Assumptions!$B$11*0.95),0)+IF(AND(Projects!$G$24="Yes",20&gt;=Projects!$C$24,20&lt;Projects!$C$24+Projects!$D$24),IF(20=Projects!$C$24+Projects!$D$24-1,Projects!$B$24*INDEX(Curves!$B$4:$AO$4,1,20-Projects!$C$24+1)*Assumptions!$B$11*0.95+0.05*Projects!$B$24*Assumptions!$B$11,Projects!$B$24*INDEX(Curves!$B$4:$AO$4,1,20-Projects!$C$24+1)*Assumptions!$B$11*0.95),0)+IF(AND(Projects!$G$25="Yes",20&gt;=Projects!$C$25,20&lt;Projects!$C$25+Projects!$D$25),IF(20=Projects!$C$25+Projects!$D$25-1,Projects!$B$25*INDEX(Curves!$B$4:$AO$4,1,20-Projects!$C$25+1)*Assumptions!$B$11*0.95+0.05*Projects!$B$25*Assumptions!$B$11,Projects!$B$25*INDEX(Curves!$B$4:$AO$4,1,20-Projects!$C$25+1)*Assumptions!$B$11*0.95),0)+IF(AND(Projects!$G$26="Yes",20&gt;=Projects!$C$26,20&lt;Projects!$C$26+Projects!$D$26),IF(20=Projects!$C$26+Projects!$D$26-1,Projects!$B$26*INDEX(Curves!$B$4:$AO$4,1,20-Projects!$C$26+1)*Assumptions!$B$11*0.95+0.05*Projects!$B$26*Assumptions!$B$11,Projects!$B$26*INDEX(Curves!$B$4:$AO$4,1,20-Projects!$C$26+1)*Assumptions!$B$11*0.95),0)+IF(AND(Projects!$G$27="Yes",20&gt;=Projects!$C$27,20&lt;Projects!$C$27+Projects!$D$27),IF(20=Projects!$C$27+Projects!$D$27-1,Projects!$B$27*INDEX(Curves!$B$4:$AO$4,1,20-Projects!$C$27+1)*Assumptions!$B$11*0.95+0.05*Projects!$B$27*Assumptions!$B$11,Projects!$B$27*INDEX(Curves!$B$4:$AO$4,1,20-Projects!$C$27+1)*Assumptions!$B$11*0.95),0)+IF(AND(Projects!$G$28="Yes",20&gt;=Projects!$C$28,20&lt;Projects!$C$28+Projects!$D$28),IF(20=Projects!$C$28+Projects!$D$28-1,Projects!$B$28*INDEX(Curves!$B$4:$AO$4,1,20-Projects!$C$28+1)*Assumptions!$B$11*0.95+0.05*Projects!$B$28*Assumptions!$B$11,Projects!$B$28*INDEX(Curves!$B$4:$AO$4,1,20-Projects!$C$28+1)*Assumptions!$B$11*0.95),0)+IF(AND(Projects!$G$29="Yes",20&gt;=Projects!$C$29,20&lt;Projects!$C$29+Projects!$D$29),IF(20=Projects!$C$29+Projects!$D$29-1,Projects!$B$29*INDEX(Curves!$B$4:$AO$4,1,20-Projects!$C$29+1)*Assumptions!$B$11*0.95+0.05*Projects!$B$29*Assumptions!$B$11,Projects!$B$29*INDEX(Curves!$B$4:$AO$4,1,20-Projects!$C$29+1)*Assumptions!$B$11*0.95),0)</f>
        <v/>
      </c>
      <c r="W99">
        <f>IF(AND(Projects!$G$17="Yes",21&gt;=Projects!$C$17,21&lt;Projects!$C$17+Projects!$D$17),IF(21=Projects!$C$17+Projects!$D$17-1,Projects!$B$17*INDEX(Curves!$B$4:$AO$4,1,21-Projects!$C$17+1)*Assumptions!$B$11*0.95+0.05*Projects!$B$17*Assumptions!$B$11,Projects!$B$17*INDEX(Curves!$B$4:$AO$4,1,21-Projects!$C$17+1)*Assumptions!$B$11*0.95),0)+IF(AND(Projects!$G$18="Yes",21&gt;=Projects!$C$18,21&lt;Projects!$C$18+Projects!$D$18),IF(21=Projects!$C$18+Projects!$D$18-1,Projects!$B$18*INDEX(Curves!$B$4:$AO$4,1,21-Projects!$C$18+1)*Assumptions!$B$11*0.95+0.05*Projects!$B$18*Assumptions!$B$11,Projects!$B$18*INDEX(Curves!$B$4:$AO$4,1,21-Projects!$C$18+1)*Assumptions!$B$11*0.95),0)+IF(AND(Projects!$G$19="Yes",21&gt;=Projects!$C$19,21&lt;Projects!$C$19+Projects!$D$19),IF(21=Projects!$C$19+Projects!$D$19-1,Projects!$B$19*INDEX(Curves!$B$4:$AO$4,1,21-Projects!$C$19+1)*Assumptions!$B$11*0.95+0.05*Projects!$B$19*Assumptions!$B$11,Projects!$B$19*INDEX(Curves!$B$4:$AO$4,1,21-Projects!$C$19+1)*Assumptions!$B$11*0.95),0)+IF(AND(Projects!$G$20="Yes",21&gt;=Projects!$C$20,21&lt;Projects!$C$20+Projects!$D$20),IF(21=Projects!$C$20+Projects!$D$20-1,Projects!$B$20*INDEX(Curves!$B$4:$AO$4,1,21-Projects!$C$20+1)*Assumptions!$B$11*0.95+0.05*Projects!$B$20*Assumptions!$B$11,Projects!$B$20*INDEX(Curves!$B$4:$AO$4,1,21-Projects!$C$20+1)*Assumptions!$B$11*0.95),0)+IF(AND(Projects!$G$21="Yes",21&gt;=Projects!$C$21,21&lt;Projects!$C$21+Projects!$D$21),IF(21=Projects!$C$21+Projects!$D$21-1,Projects!$B$21*INDEX(Curves!$B$4:$AO$4,1,21-Projects!$C$21+1)*Assumptions!$B$11*0.95+0.05*Projects!$B$21*Assumptions!$B$11,Projects!$B$21*INDEX(Curves!$B$4:$AO$4,1,21-Projects!$C$21+1)*Assumptions!$B$11*0.95),0)+IF(AND(Projects!$G$22="Yes",21&gt;=Projects!$C$22,21&lt;Projects!$C$22+Projects!$D$22),IF(21=Projects!$C$22+Projects!$D$22-1,Projects!$B$22*INDEX(Curves!$B$4:$AO$4,1,21-Projects!$C$22+1)*Assumptions!$B$11*0.95+0.05*Projects!$B$22*Assumptions!$B$11,Projects!$B$22*INDEX(Curves!$B$4:$AO$4,1,21-Projects!$C$22+1)*Assumptions!$B$11*0.95),0)+IF(AND(Projects!$G$23="Yes",21&gt;=Projects!$C$23,21&lt;Projects!$C$23+Projects!$D$23),IF(21=Projects!$C$23+Projects!$D$23-1,Projects!$B$23*INDEX(Curves!$B$4:$AO$4,1,21-Projects!$C$23+1)*Assumptions!$B$11*0.95+0.05*Projects!$B$23*Assumptions!$B$11,Projects!$B$23*INDEX(Curves!$B$4:$AO$4,1,21-Projects!$C$23+1)*Assumptions!$B$11*0.95),0)+IF(AND(Projects!$G$24="Yes",21&gt;=Projects!$C$24,21&lt;Projects!$C$24+Projects!$D$24),IF(21=Projects!$C$24+Projects!$D$24-1,Projects!$B$24*INDEX(Curves!$B$4:$AO$4,1,21-Projects!$C$24+1)*Assumptions!$B$11*0.95+0.05*Projects!$B$24*Assumptions!$B$11,Projects!$B$24*INDEX(Curves!$B$4:$AO$4,1,21-Projects!$C$24+1)*Assumptions!$B$11*0.95),0)+IF(AND(Projects!$G$25="Yes",21&gt;=Projects!$C$25,21&lt;Projects!$C$25+Projects!$D$25),IF(21=Projects!$C$25+Projects!$D$25-1,Projects!$B$25*INDEX(Curves!$B$4:$AO$4,1,21-Projects!$C$25+1)*Assumptions!$B$11*0.95+0.05*Projects!$B$25*Assumptions!$B$11,Projects!$B$25*INDEX(Curves!$B$4:$AO$4,1,21-Projects!$C$25+1)*Assumptions!$B$11*0.95),0)+IF(AND(Projects!$G$26="Yes",21&gt;=Projects!$C$26,21&lt;Projects!$C$26+Projects!$D$26),IF(21=Projects!$C$26+Projects!$D$26-1,Projects!$B$26*INDEX(Curves!$B$4:$AO$4,1,21-Projects!$C$26+1)*Assumptions!$B$11*0.95+0.05*Projects!$B$26*Assumptions!$B$11,Projects!$B$26*INDEX(Curves!$B$4:$AO$4,1,21-Projects!$C$26+1)*Assumptions!$B$11*0.95),0)+IF(AND(Projects!$G$27="Yes",21&gt;=Projects!$C$27,21&lt;Projects!$C$27+Projects!$D$27),IF(21=Projects!$C$27+Projects!$D$27-1,Projects!$B$27*INDEX(Curves!$B$4:$AO$4,1,21-Projects!$C$27+1)*Assumptions!$B$11*0.95+0.05*Projects!$B$27*Assumptions!$B$11,Projects!$B$27*INDEX(Curves!$B$4:$AO$4,1,21-Projects!$C$27+1)*Assumptions!$B$11*0.95),0)+IF(AND(Projects!$G$28="Yes",21&gt;=Projects!$C$28,21&lt;Projects!$C$28+Projects!$D$28),IF(21=Projects!$C$28+Projects!$D$28-1,Projects!$B$28*INDEX(Curves!$B$4:$AO$4,1,21-Projects!$C$28+1)*Assumptions!$B$11*0.95+0.05*Projects!$B$28*Assumptions!$B$11,Projects!$B$28*INDEX(Curves!$B$4:$AO$4,1,21-Projects!$C$28+1)*Assumptions!$B$11*0.95),0)+IF(AND(Projects!$G$29="Yes",21&gt;=Projects!$C$29,21&lt;Projects!$C$29+Projects!$D$29),IF(21=Projects!$C$29+Projects!$D$29-1,Projects!$B$29*INDEX(Curves!$B$4:$AO$4,1,21-Projects!$C$29+1)*Assumptions!$B$11*0.95+0.05*Projects!$B$29*Assumptions!$B$11,Projects!$B$29*INDEX(Curves!$B$4:$AO$4,1,21-Projects!$C$29+1)*Assumptions!$B$11*0.95),0)</f>
        <v/>
      </c>
      <c r="X99">
        <f>IF(AND(Projects!$G$17="Yes",22&gt;=Projects!$C$17,22&lt;Projects!$C$17+Projects!$D$17),IF(22=Projects!$C$17+Projects!$D$17-1,Projects!$B$17*INDEX(Curves!$B$4:$AO$4,1,22-Projects!$C$17+1)*Assumptions!$B$11*0.95+0.05*Projects!$B$17*Assumptions!$B$11,Projects!$B$17*INDEX(Curves!$B$4:$AO$4,1,22-Projects!$C$17+1)*Assumptions!$B$11*0.95),0)+IF(AND(Projects!$G$18="Yes",22&gt;=Projects!$C$18,22&lt;Projects!$C$18+Projects!$D$18),IF(22=Projects!$C$18+Projects!$D$18-1,Projects!$B$18*INDEX(Curves!$B$4:$AO$4,1,22-Projects!$C$18+1)*Assumptions!$B$11*0.95+0.05*Projects!$B$18*Assumptions!$B$11,Projects!$B$18*INDEX(Curves!$B$4:$AO$4,1,22-Projects!$C$18+1)*Assumptions!$B$11*0.95),0)+IF(AND(Projects!$G$19="Yes",22&gt;=Projects!$C$19,22&lt;Projects!$C$19+Projects!$D$19),IF(22=Projects!$C$19+Projects!$D$19-1,Projects!$B$19*INDEX(Curves!$B$4:$AO$4,1,22-Projects!$C$19+1)*Assumptions!$B$11*0.95+0.05*Projects!$B$19*Assumptions!$B$11,Projects!$B$19*INDEX(Curves!$B$4:$AO$4,1,22-Projects!$C$19+1)*Assumptions!$B$11*0.95),0)+IF(AND(Projects!$G$20="Yes",22&gt;=Projects!$C$20,22&lt;Projects!$C$20+Projects!$D$20),IF(22=Projects!$C$20+Projects!$D$20-1,Projects!$B$20*INDEX(Curves!$B$4:$AO$4,1,22-Projects!$C$20+1)*Assumptions!$B$11*0.95+0.05*Projects!$B$20*Assumptions!$B$11,Projects!$B$20*INDEX(Curves!$B$4:$AO$4,1,22-Projects!$C$20+1)*Assumptions!$B$11*0.95),0)+IF(AND(Projects!$G$21="Yes",22&gt;=Projects!$C$21,22&lt;Projects!$C$21+Projects!$D$21),IF(22=Projects!$C$21+Projects!$D$21-1,Projects!$B$21*INDEX(Curves!$B$4:$AO$4,1,22-Projects!$C$21+1)*Assumptions!$B$11*0.95+0.05*Projects!$B$21*Assumptions!$B$11,Projects!$B$21*INDEX(Curves!$B$4:$AO$4,1,22-Projects!$C$21+1)*Assumptions!$B$11*0.95),0)+IF(AND(Projects!$G$22="Yes",22&gt;=Projects!$C$22,22&lt;Projects!$C$22+Projects!$D$22),IF(22=Projects!$C$22+Projects!$D$22-1,Projects!$B$22*INDEX(Curves!$B$4:$AO$4,1,22-Projects!$C$22+1)*Assumptions!$B$11*0.95+0.05*Projects!$B$22*Assumptions!$B$11,Projects!$B$22*INDEX(Curves!$B$4:$AO$4,1,22-Projects!$C$22+1)*Assumptions!$B$11*0.95),0)+IF(AND(Projects!$G$23="Yes",22&gt;=Projects!$C$23,22&lt;Projects!$C$23+Projects!$D$23),IF(22=Projects!$C$23+Projects!$D$23-1,Projects!$B$23*INDEX(Curves!$B$4:$AO$4,1,22-Projects!$C$23+1)*Assumptions!$B$11*0.95+0.05*Projects!$B$23*Assumptions!$B$11,Projects!$B$23*INDEX(Curves!$B$4:$AO$4,1,22-Projects!$C$23+1)*Assumptions!$B$11*0.95),0)+IF(AND(Projects!$G$24="Yes",22&gt;=Projects!$C$24,22&lt;Projects!$C$24+Projects!$D$24),IF(22=Projects!$C$24+Projects!$D$24-1,Projects!$B$24*INDEX(Curves!$B$4:$AO$4,1,22-Projects!$C$24+1)*Assumptions!$B$11*0.95+0.05*Projects!$B$24*Assumptions!$B$11,Projects!$B$24*INDEX(Curves!$B$4:$AO$4,1,22-Projects!$C$24+1)*Assumptions!$B$11*0.95),0)+IF(AND(Projects!$G$25="Yes",22&gt;=Projects!$C$25,22&lt;Projects!$C$25+Projects!$D$25),IF(22=Projects!$C$25+Projects!$D$25-1,Projects!$B$25*INDEX(Curves!$B$4:$AO$4,1,22-Projects!$C$25+1)*Assumptions!$B$11*0.95+0.05*Projects!$B$25*Assumptions!$B$11,Projects!$B$25*INDEX(Curves!$B$4:$AO$4,1,22-Projects!$C$25+1)*Assumptions!$B$11*0.95),0)+IF(AND(Projects!$G$26="Yes",22&gt;=Projects!$C$26,22&lt;Projects!$C$26+Projects!$D$26),IF(22=Projects!$C$26+Projects!$D$26-1,Projects!$B$26*INDEX(Curves!$B$4:$AO$4,1,22-Projects!$C$26+1)*Assumptions!$B$11*0.95+0.05*Projects!$B$26*Assumptions!$B$11,Projects!$B$26*INDEX(Curves!$B$4:$AO$4,1,22-Projects!$C$26+1)*Assumptions!$B$11*0.95),0)+IF(AND(Projects!$G$27="Yes",22&gt;=Projects!$C$27,22&lt;Projects!$C$27+Projects!$D$27),IF(22=Projects!$C$27+Projects!$D$27-1,Projects!$B$27*INDEX(Curves!$B$4:$AO$4,1,22-Projects!$C$27+1)*Assumptions!$B$11*0.95+0.05*Projects!$B$27*Assumptions!$B$11,Projects!$B$27*INDEX(Curves!$B$4:$AO$4,1,22-Projects!$C$27+1)*Assumptions!$B$11*0.95),0)+IF(AND(Projects!$G$28="Yes",22&gt;=Projects!$C$28,22&lt;Projects!$C$28+Projects!$D$28),IF(22=Projects!$C$28+Projects!$D$28-1,Projects!$B$28*INDEX(Curves!$B$4:$AO$4,1,22-Projects!$C$28+1)*Assumptions!$B$11*0.95+0.05*Projects!$B$28*Assumptions!$B$11,Projects!$B$28*INDEX(Curves!$B$4:$AO$4,1,22-Projects!$C$28+1)*Assumptions!$B$11*0.95),0)+IF(AND(Projects!$G$29="Yes",22&gt;=Projects!$C$29,22&lt;Projects!$C$29+Projects!$D$29),IF(22=Projects!$C$29+Projects!$D$29-1,Projects!$B$29*INDEX(Curves!$B$4:$AO$4,1,22-Projects!$C$29+1)*Assumptions!$B$11*0.95+0.05*Projects!$B$29*Assumptions!$B$11,Projects!$B$29*INDEX(Curves!$B$4:$AO$4,1,22-Projects!$C$29+1)*Assumptions!$B$11*0.95),0)</f>
        <v/>
      </c>
      <c r="Y99">
        <f>IF(AND(Projects!$G$17="Yes",23&gt;=Projects!$C$17,23&lt;Projects!$C$17+Projects!$D$17),IF(23=Projects!$C$17+Projects!$D$17-1,Projects!$B$17*INDEX(Curves!$B$4:$AO$4,1,23-Projects!$C$17+1)*Assumptions!$B$11*0.95+0.05*Projects!$B$17*Assumptions!$B$11,Projects!$B$17*INDEX(Curves!$B$4:$AO$4,1,23-Projects!$C$17+1)*Assumptions!$B$11*0.95),0)+IF(AND(Projects!$G$18="Yes",23&gt;=Projects!$C$18,23&lt;Projects!$C$18+Projects!$D$18),IF(23=Projects!$C$18+Projects!$D$18-1,Projects!$B$18*INDEX(Curves!$B$4:$AO$4,1,23-Projects!$C$18+1)*Assumptions!$B$11*0.95+0.05*Projects!$B$18*Assumptions!$B$11,Projects!$B$18*INDEX(Curves!$B$4:$AO$4,1,23-Projects!$C$18+1)*Assumptions!$B$11*0.95),0)+IF(AND(Projects!$G$19="Yes",23&gt;=Projects!$C$19,23&lt;Projects!$C$19+Projects!$D$19),IF(23=Projects!$C$19+Projects!$D$19-1,Projects!$B$19*INDEX(Curves!$B$4:$AO$4,1,23-Projects!$C$19+1)*Assumptions!$B$11*0.95+0.05*Projects!$B$19*Assumptions!$B$11,Projects!$B$19*INDEX(Curves!$B$4:$AO$4,1,23-Projects!$C$19+1)*Assumptions!$B$11*0.95),0)+IF(AND(Projects!$G$20="Yes",23&gt;=Projects!$C$20,23&lt;Projects!$C$20+Projects!$D$20),IF(23=Projects!$C$20+Projects!$D$20-1,Projects!$B$20*INDEX(Curves!$B$4:$AO$4,1,23-Projects!$C$20+1)*Assumptions!$B$11*0.95+0.05*Projects!$B$20*Assumptions!$B$11,Projects!$B$20*INDEX(Curves!$B$4:$AO$4,1,23-Projects!$C$20+1)*Assumptions!$B$11*0.95),0)+IF(AND(Projects!$G$21="Yes",23&gt;=Projects!$C$21,23&lt;Projects!$C$21+Projects!$D$21),IF(23=Projects!$C$21+Projects!$D$21-1,Projects!$B$21*INDEX(Curves!$B$4:$AO$4,1,23-Projects!$C$21+1)*Assumptions!$B$11*0.95+0.05*Projects!$B$21*Assumptions!$B$11,Projects!$B$21*INDEX(Curves!$B$4:$AO$4,1,23-Projects!$C$21+1)*Assumptions!$B$11*0.95),0)+IF(AND(Projects!$G$22="Yes",23&gt;=Projects!$C$22,23&lt;Projects!$C$22+Projects!$D$22),IF(23=Projects!$C$22+Projects!$D$22-1,Projects!$B$22*INDEX(Curves!$B$4:$AO$4,1,23-Projects!$C$22+1)*Assumptions!$B$11*0.95+0.05*Projects!$B$22*Assumptions!$B$11,Projects!$B$22*INDEX(Curves!$B$4:$AO$4,1,23-Projects!$C$22+1)*Assumptions!$B$11*0.95),0)+IF(AND(Projects!$G$23="Yes",23&gt;=Projects!$C$23,23&lt;Projects!$C$23+Projects!$D$23),IF(23=Projects!$C$23+Projects!$D$23-1,Projects!$B$23*INDEX(Curves!$B$4:$AO$4,1,23-Projects!$C$23+1)*Assumptions!$B$11*0.95+0.05*Projects!$B$23*Assumptions!$B$11,Projects!$B$23*INDEX(Curves!$B$4:$AO$4,1,23-Projects!$C$23+1)*Assumptions!$B$11*0.95),0)+IF(AND(Projects!$G$24="Yes",23&gt;=Projects!$C$24,23&lt;Projects!$C$24+Projects!$D$24),IF(23=Projects!$C$24+Projects!$D$24-1,Projects!$B$24*INDEX(Curves!$B$4:$AO$4,1,23-Projects!$C$24+1)*Assumptions!$B$11*0.95+0.05*Projects!$B$24*Assumptions!$B$11,Projects!$B$24*INDEX(Curves!$B$4:$AO$4,1,23-Projects!$C$24+1)*Assumptions!$B$11*0.95),0)+IF(AND(Projects!$G$25="Yes",23&gt;=Projects!$C$25,23&lt;Projects!$C$25+Projects!$D$25),IF(23=Projects!$C$25+Projects!$D$25-1,Projects!$B$25*INDEX(Curves!$B$4:$AO$4,1,23-Projects!$C$25+1)*Assumptions!$B$11*0.95+0.05*Projects!$B$25*Assumptions!$B$11,Projects!$B$25*INDEX(Curves!$B$4:$AO$4,1,23-Projects!$C$25+1)*Assumptions!$B$11*0.95),0)+IF(AND(Projects!$G$26="Yes",23&gt;=Projects!$C$26,23&lt;Projects!$C$26+Projects!$D$26),IF(23=Projects!$C$26+Projects!$D$26-1,Projects!$B$26*INDEX(Curves!$B$4:$AO$4,1,23-Projects!$C$26+1)*Assumptions!$B$11*0.95+0.05*Projects!$B$26*Assumptions!$B$11,Projects!$B$26*INDEX(Curves!$B$4:$AO$4,1,23-Projects!$C$26+1)*Assumptions!$B$11*0.95),0)+IF(AND(Projects!$G$27="Yes",23&gt;=Projects!$C$27,23&lt;Projects!$C$27+Projects!$D$27),IF(23=Projects!$C$27+Projects!$D$27-1,Projects!$B$27*INDEX(Curves!$B$4:$AO$4,1,23-Projects!$C$27+1)*Assumptions!$B$11*0.95+0.05*Projects!$B$27*Assumptions!$B$11,Projects!$B$27*INDEX(Curves!$B$4:$AO$4,1,23-Projects!$C$27+1)*Assumptions!$B$11*0.95),0)+IF(AND(Projects!$G$28="Yes",23&gt;=Projects!$C$28,23&lt;Projects!$C$28+Projects!$D$28),IF(23=Projects!$C$28+Projects!$D$28-1,Projects!$B$28*INDEX(Curves!$B$4:$AO$4,1,23-Projects!$C$28+1)*Assumptions!$B$11*0.95+0.05*Projects!$B$28*Assumptions!$B$11,Projects!$B$28*INDEX(Curves!$B$4:$AO$4,1,23-Projects!$C$28+1)*Assumptions!$B$11*0.95),0)+IF(AND(Projects!$G$29="Yes",23&gt;=Projects!$C$29,23&lt;Projects!$C$29+Projects!$D$29),IF(23=Projects!$C$29+Projects!$D$29-1,Projects!$B$29*INDEX(Curves!$B$4:$AO$4,1,23-Projects!$C$29+1)*Assumptions!$B$11*0.95+0.05*Projects!$B$29*Assumptions!$B$11,Projects!$B$29*INDEX(Curves!$B$4:$AO$4,1,23-Projects!$C$29+1)*Assumptions!$B$11*0.95),0)</f>
        <v/>
      </c>
      <c r="Z99">
        <f>IF(AND(Projects!$G$17="Yes",24&gt;=Projects!$C$17,24&lt;Projects!$C$17+Projects!$D$17),IF(24=Projects!$C$17+Projects!$D$17-1,Projects!$B$17*INDEX(Curves!$B$4:$AO$4,1,24-Projects!$C$17+1)*Assumptions!$B$11*0.95+0.05*Projects!$B$17*Assumptions!$B$11,Projects!$B$17*INDEX(Curves!$B$4:$AO$4,1,24-Projects!$C$17+1)*Assumptions!$B$11*0.95),0)+IF(AND(Projects!$G$18="Yes",24&gt;=Projects!$C$18,24&lt;Projects!$C$18+Projects!$D$18),IF(24=Projects!$C$18+Projects!$D$18-1,Projects!$B$18*INDEX(Curves!$B$4:$AO$4,1,24-Projects!$C$18+1)*Assumptions!$B$11*0.95+0.05*Projects!$B$18*Assumptions!$B$11,Projects!$B$18*INDEX(Curves!$B$4:$AO$4,1,24-Projects!$C$18+1)*Assumptions!$B$11*0.95),0)+IF(AND(Projects!$G$19="Yes",24&gt;=Projects!$C$19,24&lt;Projects!$C$19+Projects!$D$19),IF(24=Projects!$C$19+Projects!$D$19-1,Projects!$B$19*INDEX(Curves!$B$4:$AO$4,1,24-Projects!$C$19+1)*Assumptions!$B$11*0.95+0.05*Projects!$B$19*Assumptions!$B$11,Projects!$B$19*INDEX(Curves!$B$4:$AO$4,1,24-Projects!$C$19+1)*Assumptions!$B$11*0.95),0)+IF(AND(Projects!$G$20="Yes",24&gt;=Projects!$C$20,24&lt;Projects!$C$20+Projects!$D$20),IF(24=Projects!$C$20+Projects!$D$20-1,Projects!$B$20*INDEX(Curves!$B$4:$AO$4,1,24-Projects!$C$20+1)*Assumptions!$B$11*0.95+0.05*Projects!$B$20*Assumptions!$B$11,Projects!$B$20*INDEX(Curves!$B$4:$AO$4,1,24-Projects!$C$20+1)*Assumptions!$B$11*0.95),0)+IF(AND(Projects!$G$21="Yes",24&gt;=Projects!$C$21,24&lt;Projects!$C$21+Projects!$D$21),IF(24=Projects!$C$21+Projects!$D$21-1,Projects!$B$21*INDEX(Curves!$B$4:$AO$4,1,24-Projects!$C$21+1)*Assumptions!$B$11*0.95+0.05*Projects!$B$21*Assumptions!$B$11,Projects!$B$21*INDEX(Curves!$B$4:$AO$4,1,24-Projects!$C$21+1)*Assumptions!$B$11*0.95),0)+IF(AND(Projects!$G$22="Yes",24&gt;=Projects!$C$22,24&lt;Projects!$C$22+Projects!$D$22),IF(24=Projects!$C$22+Projects!$D$22-1,Projects!$B$22*INDEX(Curves!$B$4:$AO$4,1,24-Projects!$C$22+1)*Assumptions!$B$11*0.95+0.05*Projects!$B$22*Assumptions!$B$11,Projects!$B$22*INDEX(Curves!$B$4:$AO$4,1,24-Projects!$C$22+1)*Assumptions!$B$11*0.95),0)+IF(AND(Projects!$G$23="Yes",24&gt;=Projects!$C$23,24&lt;Projects!$C$23+Projects!$D$23),IF(24=Projects!$C$23+Projects!$D$23-1,Projects!$B$23*INDEX(Curves!$B$4:$AO$4,1,24-Projects!$C$23+1)*Assumptions!$B$11*0.95+0.05*Projects!$B$23*Assumptions!$B$11,Projects!$B$23*INDEX(Curves!$B$4:$AO$4,1,24-Projects!$C$23+1)*Assumptions!$B$11*0.95),0)+IF(AND(Projects!$G$24="Yes",24&gt;=Projects!$C$24,24&lt;Projects!$C$24+Projects!$D$24),IF(24=Projects!$C$24+Projects!$D$24-1,Projects!$B$24*INDEX(Curves!$B$4:$AO$4,1,24-Projects!$C$24+1)*Assumptions!$B$11*0.95+0.05*Projects!$B$24*Assumptions!$B$11,Projects!$B$24*INDEX(Curves!$B$4:$AO$4,1,24-Projects!$C$24+1)*Assumptions!$B$11*0.95),0)+IF(AND(Projects!$G$25="Yes",24&gt;=Projects!$C$25,24&lt;Projects!$C$25+Projects!$D$25),IF(24=Projects!$C$25+Projects!$D$25-1,Projects!$B$25*INDEX(Curves!$B$4:$AO$4,1,24-Projects!$C$25+1)*Assumptions!$B$11*0.95+0.05*Projects!$B$25*Assumptions!$B$11,Projects!$B$25*INDEX(Curves!$B$4:$AO$4,1,24-Projects!$C$25+1)*Assumptions!$B$11*0.95),0)+IF(AND(Projects!$G$26="Yes",24&gt;=Projects!$C$26,24&lt;Projects!$C$26+Projects!$D$26),IF(24=Projects!$C$26+Projects!$D$26-1,Projects!$B$26*INDEX(Curves!$B$4:$AO$4,1,24-Projects!$C$26+1)*Assumptions!$B$11*0.95+0.05*Projects!$B$26*Assumptions!$B$11,Projects!$B$26*INDEX(Curves!$B$4:$AO$4,1,24-Projects!$C$26+1)*Assumptions!$B$11*0.95),0)+IF(AND(Projects!$G$27="Yes",24&gt;=Projects!$C$27,24&lt;Projects!$C$27+Projects!$D$27),IF(24=Projects!$C$27+Projects!$D$27-1,Projects!$B$27*INDEX(Curves!$B$4:$AO$4,1,24-Projects!$C$27+1)*Assumptions!$B$11*0.95+0.05*Projects!$B$27*Assumptions!$B$11,Projects!$B$27*INDEX(Curves!$B$4:$AO$4,1,24-Projects!$C$27+1)*Assumptions!$B$11*0.95),0)+IF(AND(Projects!$G$28="Yes",24&gt;=Projects!$C$28,24&lt;Projects!$C$28+Projects!$D$28),IF(24=Projects!$C$28+Projects!$D$28-1,Projects!$B$28*INDEX(Curves!$B$4:$AO$4,1,24-Projects!$C$28+1)*Assumptions!$B$11*0.95+0.05*Projects!$B$28*Assumptions!$B$11,Projects!$B$28*INDEX(Curves!$B$4:$AO$4,1,24-Projects!$C$28+1)*Assumptions!$B$11*0.95),0)+IF(AND(Projects!$G$29="Yes",24&gt;=Projects!$C$29,24&lt;Projects!$C$29+Projects!$D$29),IF(24=Projects!$C$29+Projects!$D$29-1,Projects!$B$29*INDEX(Curves!$B$4:$AO$4,1,24-Projects!$C$29+1)*Assumptions!$B$11*0.95+0.05*Projects!$B$29*Assumptions!$B$11,Projects!$B$29*INDEX(Curves!$B$4:$AO$4,1,24-Projects!$C$29+1)*Assumptions!$B$11*0.95),0)</f>
        <v/>
      </c>
      <c r="AA99">
        <f>IF(AND(Projects!$G$17="Yes",25&gt;=Projects!$C$17,25&lt;Projects!$C$17+Projects!$D$17),IF(25=Projects!$C$17+Projects!$D$17-1,Projects!$B$17*INDEX(Curves!$B$4:$AO$4,1,25-Projects!$C$17+1)*Assumptions!$B$11*0.95+0.05*Projects!$B$17*Assumptions!$B$11,Projects!$B$17*INDEX(Curves!$B$4:$AO$4,1,25-Projects!$C$17+1)*Assumptions!$B$11*0.95),0)+IF(AND(Projects!$G$18="Yes",25&gt;=Projects!$C$18,25&lt;Projects!$C$18+Projects!$D$18),IF(25=Projects!$C$18+Projects!$D$18-1,Projects!$B$18*INDEX(Curves!$B$4:$AO$4,1,25-Projects!$C$18+1)*Assumptions!$B$11*0.95+0.05*Projects!$B$18*Assumptions!$B$11,Projects!$B$18*INDEX(Curves!$B$4:$AO$4,1,25-Projects!$C$18+1)*Assumptions!$B$11*0.95),0)+IF(AND(Projects!$G$19="Yes",25&gt;=Projects!$C$19,25&lt;Projects!$C$19+Projects!$D$19),IF(25=Projects!$C$19+Projects!$D$19-1,Projects!$B$19*INDEX(Curves!$B$4:$AO$4,1,25-Projects!$C$19+1)*Assumptions!$B$11*0.95+0.05*Projects!$B$19*Assumptions!$B$11,Projects!$B$19*INDEX(Curves!$B$4:$AO$4,1,25-Projects!$C$19+1)*Assumptions!$B$11*0.95),0)+IF(AND(Projects!$G$20="Yes",25&gt;=Projects!$C$20,25&lt;Projects!$C$20+Projects!$D$20),IF(25=Projects!$C$20+Projects!$D$20-1,Projects!$B$20*INDEX(Curves!$B$4:$AO$4,1,25-Projects!$C$20+1)*Assumptions!$B$11*0.95+0.05*Projects!$B$20*Assumptions!$B$11,Projects!$B$20*INDEX(Curves!$B$4:$AO$4,1,25-Projects!$C$20+1)*Assumptions!$B$11*0.95),0)+IF(AND(Projects!$G$21="Yes",25&gt;=Projects!$C$21,25&lt;Projects!$C$21+Projects!$D$21),IF(25=Projects!$C$21+Projects!$D$21-1,Projects!$B$21*INDEX(Curves!$B$4:$AO$4,1,25-Projects!$C$21+1)*Assumptions!$B$11*0.95+0.05*Projects!$B$21*Assumptions!$B$11,Projects!$B$21*INDEX(Curves!$B$4:$AO$4,1,25-Projects!$C$21+1)*Assumptions!$B$11*0.95),0)+IF(AND(Projects!$G$22="Yes",25&gt;=Projects!$C$22,25&lt;Projects!$C$22+Projects!$D$22),IF(25=Projects!$C$22+Projects!$D$22-1,Projects!$B$22*INDEX(Curves!$B$4:$AO$4,1,25-Projects!$C$22+1)*Assumptions!$B$11*0.95+0.05*Projects!$B$22*Assumptions!$B$11,Projects!$B$22*INDEX(Curves!$B$4:$AO$4,1,25-Projects!$C$22+1)*Assumptions!$B$11*0.95),0)+IF(AND(Projects!$G$23="Yes",25&gt;=Projects!$C$23,25&lt;Projects!$C$23+Projects!$D$23),IF(25=Projects!$C$23+Projects!$D$23-1,Projects!$B$23*INDEX(Curves!$B$4:$AO$4,1,25-Projects!$C$23+1)*Assumptions!$B$11*0.95+0.05*Projects!$B$23*Assumptions!$B$11,Projects!$B$23*INDEX(Curves!$B$4:$AO$4,1,25-Projects!$C$23+1)*Assumptions!$B$11*0.95),0)+IF(AND(Projects!$G$24="Yes",25&gt;=Projects!$C$24,25&lt;Projects!$C$24+Projects!$D$24),IF(25=Projects!$C$24+Projects!$D$24-1,Projects!$B$24*INDEX(Curves!$B$4:$AO$4,1,25-Projects!$C$24+1)*Assumptions!$B$11*0.95+0.05*Projects!$B$24*Assumptions!$B$11,Projects!$B$24*INDEX(Curves!$B$4:$AO$4,1,25-Projects!$C$24+1)*Assumptions!$B$11*0.95),0)+IF(AND(Projects!$G$25="Yes",25&gt;=Projects!$C$25,25&lt;Projects!$C$25+Projects!$D$25),IF(25=Projects!$C$25+Projects!$D$25-1,Projects!$B$25*INDEX(Curves!$B$4:$AO$4,1,25-Projects!$C$25+1)*Assumptions!$B$11*0.95+0.05*Projects!$B$25*Assumptions!$B$11,Projects!$B$25*INDEX(Curves!$B$4:$AO$4,1,25-Projects!$C$25+1)*Assumptions!$B$11*0.95),0)+IF(AND(Projects!$G$26="Yes",25&gt;=Projects!$C$26,25&lt;Projects!$C$26+Projects!$D$26),IF(25=Projects!$C$26+Projects!$D$26-1,Projects!$B$26*INDEX(Curves!$B$4:$AO$4,1,25-Projects!$C$26+1)*Assumptions!$B$11*0.95+0.05*Projects!$B$26*Assumptions!$B$11,Projects!$B$26*INDEX(Curves!$B$4:$AO$4,1,25-Projects!$C$26+1)*Assumptions!$B$11*0.95),0)+IF(AND(Projects!$G$27="Yes",25&gt;=Projects!$C$27,25&lt;Projects!$C$27+Projects!$D$27),IF(25=Projects!$C$27+Projects!$D$27-1,Projects!$B$27*INDEX(Curves!$B$4:$AO$4,1,25-Projects!$C$27+1)*Assumptions!$B$11*0.95+0.05*Projects!$B$27*Assumptions!$B$11,Projects!$B$27*INDEX(Curves!$B$4:$AO$4,1,25-Projects!$C$27+1)*Assumptions!$B$11*0.95),0)+IF(AND(Projects!$G$28="Yes",25&gt;=Projects!$C$28,25&lt;Projects!$C$28+Projects!$D$28),IF(25=Projects!$C$28+Projects!$D$28-1,Projects!$B$28*INDEX(Curves!$B$4:$AO$4,1,25-Projects!$C$28+1)*Assumptions!$B$11*0.95+0.05*Projects!$B$28*Assumptions!$B$11,Projects!$B$28*INDEX(Curves!$B$4:$AO$4,1,25-Projects!$C$28+1)*Assumptions!$B$11*0.95),0)+IF(AND(Projects!$G$29="Yes",25&gt;=Projects!$C$29,25&lt;Projects!$C$29+Projects!$D$29),IF(25=Projects!$C$29+Projects!$D$29-1,Projects!$B$29*INDEX(Curves!$B$4:$AO$4,1,25-Projects!$C$29+1)*Assumptions!$B$11*0.95+0.05*Projects!$B$29*Assumptions!$B$11,Projects!$B$29*INDEX(Curves!$B$4:$AO$4,1,25-Projects!$C$29+1)*Assumptions!$B$11*0.95),0)</f>
        <v/>
      </c>
      <c r="AB99">
        <f>IF(AND(Projects!$G$17="Yes",26&gt;=Projects!$C$17,26&lt;Projects!$C$17+Projects!$D$17),IF(26=Projects!$C$17+Projects!$D$17-1,Projects!$B$17*INDEX(Curves!$B$4:$AO$4,1,26-Projects!$C$17+1)*Assumptions!$B$11*0.95+0.05*Projects!$B$17*Assumptions!$B$11,Projects!$B$17*INDEX(Curves!$B$4:$AO$4,1,26-Projects!$C$17+1)*Assumptions!$B$11*0.95),0)+IF(AND(Projects!$G$18="Yes",26&gt;=Projects!$C$18,26&lt;Projects!$C$18+Projects!$D$18),IF(26=Projects!$C$18+Projects!$D$18-1,Projects!$B$18*INDEX(Curves!$B$4:$AO$4,1,26-Projects!$C$18+1)*Assumptions!$B$11*0.95+0.05*Projects!$B$18*Assumptions!$B$11,Projects!$B$18*INDEX(Curves!$B$4:$AO$4,1,26-Projects!$C$18+1)*Assumptions!$B$11*0.95),0)+IF(AND(Projects!$G$19="Yes",26&gt;=Projects!$C$19,26&lt;Projects!$C$19+Projects!$D$19),IF(26=Projects!$C$19+Projects!$D$19-1,Projects!$B$19*INDEX(Curves!$B$4:$AO$4,1,26-Projects!$C$19+1)*Assumptions!$B$11*0.95+0.05*Projects!$B$19*Assumptions!$B$11,Projects!$B$19*INDEX(Curves!$B$4:$AO$4,1,26-Projects!$C$19+1)*Assumptions!$B$11*0.95),0)+IF(AND(Projects!$G$20="Yes",26&gt;=Projects!$C$20,26&lt;Projects!$C$20+Projects!$D$20),IF(26=Projects!$C$20+Projects!$D$20-1,Projects!$B$20*INDEX(Curves!$B$4:$AO$4,1,26-Projects!$C$20+1)*Assumptions!$B$11*0.95+0.05*Projects!$B$20*Assumptions!$B$11,Projects!$B$20*INDEX(Curves!$B$4:$AO$4,1,26-Projects!$C$20+1)*Assumptions!$B$11*0.95),0)+IF(AND(Projects!$G$21="Yes",26&gt;=Projects!$C$21,26&lt;Projects!$C$21+Projects!$D$21),IF(26=Projects!$C$21+Projects!$D$21-1,Projects!$B$21*INDEX(Curves!$B$4:$AO$4,1,26-Projects!$C$21+1)*Assumptions!$B$11*0.95+0.05*Projects!$B$21*Assumptions!$B$11,Projects!$B$21*INDEX(Curves!$B$4:$AO$4,1,26-Projects!$C$21+1)*Assumptions!$B$11*0.95),0)+IF(AND(Projects!$G$22="Yes",26&gt;=Projects!$C$22,26&lt;Projects!$C$22+Projects!$D$22),IF(26=Projects!$C$22+Projects!$D$22-1,Projects!$B$22*INDEX(Curves!$B$4:$AO$4,1,26-Projects!$C$22+1)*Assumptions!$B$11*0.95+0.05*Projects!$B$22*Assumptions!$B$11,Projects!$B$22*INDEX(Curves!$B$4:$AO$4,1,26-Projects!$C$22+1)*Assumptions!$B$11*0.95),0)+IF(AND(Projects!$G$23="Yes",26&gt;=Projects!$C$23,26&lt;Projects!$C$23+Projects!$D$23),IF(26=Projects!$C$23+Projects!$D$23-1,Projects!$B$23*INDEX(Curves!$B$4:$AO$4,1,26-Projects!$C$23+1)*Assumptions!$B$11*0.95+0.05*Projects!$B$23*Assumptions!$B$11,Projects!$B$23*INDEX(Curves!$B$4:$AO$4,1,26-Projects!$C$23+1)*Assumptions!$B$11*0.95),0)+IF(AND(Projects!$G$24="Yes",26&gt;=Projects!$C$24,26&lt;Projects!$C$24+Projects!$D$24),IF(26=Projects!$C$24+Projects!$D$24-1,Projects!$B$24*INDEX(Curves!$B$4:$AO$4,1,26-Projects!$C$24+1)*Assumptions!$B$11*0.95+0.05*Projects!$B$24*Assumptions!$B$11,Projects!$B$24*INDEX(Curves!$B$4:$AO$4,1,26-Projects!$C$24+1)*Assumptions!$B$11*0.95),0)+IF(AND(Projects!$G$25="Yes",26&gt;=Projects!$C$25,26&lt;Projects!$C$25+Projects!$D$25),IF(26=Projects!$C$25+Projects!$D$25-1,Projects!$B$25*INDEX(Curves!$B$4:$AO$4,1,26-Projects!$C$25+1)*Assumptions!$B$11*0.95+0.05*Projects!$B$25*Assumptions!$B$11,Projects!$B$25*INDEX(Curves!$B$4:$AO$4,1,26-Projects!$C$25+1)*Assumptions!$B$11*0.95),0)+IF(AND(Projects!$G$26="Yes",26&gt;=Projects!$C$26,26&lt;Projects!$C$26+Projects!$D$26),IF(26=Projects!$C$26+Projects!$D$26-1,Projects!$B$26*INDEX(Curves!$B$4:$AO$4,1,26-Projects!$C$26+1)*Assumptions!$B$11*0.95+0.05*Projects!$B$26*Assumptions!$B$11,Projects!$B$26*INDEX(Curves!$B$4:$AO$4,1,26-Projects!$C$26+1)*Assumptions!$B$11*0.95),0)+IF(AND(Projects!$G$27="Yes",26&gt;=Projects!$C$27,26&lt;Projects!$C$27+Projects!$D$27),IF(26=Projects!$C$27+Projects!$D$27-1,Projects!$B$27*INDEX(Curves!$B$4:$AO$4,1,26-Projects!$C$27+1)*Assumptions!$B$11*0.95+0.05*Projects!$B$27*Assumptions!$B$11,Projects!$B$27*INDEX(Curves!$B$4:$AO$4,1,26-Projects!$C$27+1)*Assumptions!$B$11*0.95),0)+IF(AND(Projects!$G$28="Yes",26&gt;=Projects!$C$28,26&lt;Projects!$C$28+Projects!$D$28),IF(26=Projects!$C$28+Projects!$D$28-1,Projects!$B$28*INDEX(Curves!$B$4:$AO$4,1,26-Projects!$C$28+1)*Assumptions!$B$11*0.95+0.05*Projects!$B$28*Assumptions!$B$11,Projects!$B$28*INDEX(Curves!$B$4:$AO$4,1,26-Projects!$C$28+1)*Assumptions!$B$11*0.95),0)+IF(AND(Projects!$G$29="Yes",26&gt;=Projects!$C$29,26&lt;Projects!$C$29+Projects!$D$29),IF(26=Projects!$C$29+Projects!$D$29-1,Projects!$B$29*INDEX(Curves!$B$4:$AO$4,1,26-Projects!$C$29+1)*Assumptions!$B$11*0.95+0.05*Projects!$B$29*Assumptions!$B$11,Projects!$B$29*INDEX(Curves!$B$4:$AO$4,1,26-Projects!$C$29+1)*Assumptions!$B$11*0.95),0)</f>
        <v/>
      </c>
      <c r="AC99">
        <f>IF(AND(Projects!$G$17="Yes",27&gt;=Projects!$C$17,27&lt;Projects!$C$17+Projects!$D$17),IF(27=Projects!$C$17+Projects!$D$17-1,Projects!$B$17*INDEX(Curves!$B$4:$AO$4,1,27-Projects!$C$17+1)*Assumptions!$B$11*0.95+0.05*Projects!$B$17*Assumptions!$B$11,Projects!$B$17*INDEX(Curves!$B$4:$AO$4,1,27-Projects!$C$17+1)*Assumptions!$B$11*0.95),0)+IF(AND(Projects!$G$18="Yes",27&gt;=Projects!$C$18,27&lt;Projects!$C$18+Projects!$D$18),IF(27=Projects!$C$18+Projects!$D$18-1,Projects!$B$18*INDEX(Curves!$B$4:$AO$4,1,27-Projects!$C$18+1)*Assumptions!$B$11*0.95+0.05*Projects!$B$18*Assumptions!$B$11,Projects!$B$18*INDEX(Curves!$B$4:$AO$4,1,27-Projects!$C$18+1)*Assumptions!$B$11*0.95),0)+IF(AND(Projects!$G$19="Yes",27&gt;=Projects!$C$19,27&lt;Projects!$C$19+Projects!$D$19),IF(27=Projects!$C$19+Projects!$D$19-1,Projects!$B$19*INDEX(Curves!$B$4:$AO$4,1,27-Projects!$C$19+1)*Assumptions!$B$11*0.95+0.05*Projects!$B$19*Assumptions!$B$11,Projects!$B$19*INDEX(Curves!$B$4:$AO$4,1,27-Projects!$C$19+1)*Assumptions!$B$11*0.95),0)+IF(AND(Projects!$G$20="Yes",27&gt;=Projects!$C$20,27&lt;Projects!$C$20+Projects!$D$20),IF(27=Projects!$C$20+Projects!$D$20-1,Projects!$B$20*INDEX(Curves!$B$4:$AO$4,1,27-Projects!$C$20+1)*Assumptions!$B$11*0.95+0.05*Projects!$B$20*Assumptions!$B$11,Projects!$B$20*INDEX(Curves!$B$4:$AO$4,1,27-Projects!$C$20+1)*Assumptions!$B$11*0.95),0)+IF(AND(Projects!$G$21="Yes",27&gt;=Projects!$C$21,27&lt;Projects!$C$21+Projects!$D$21),IF(27=Projects!$C$21+Projects!$D$21-1,Projects!$B$21*INDEX(Curves!$B$4:$AO$4,1,27-Projects!$C$21+1)*Assumptions!$B$11*0.95+0.05*Projects!$B$21*Assumptions!$B$11,Projects!$B$21*INDEX(Curves!$B$4:$AO$4,1,27-Projects!$C$21+1)*Assumptions!$B$11*0.95),0)+IF(AND(Projects!$G$22="Yes",27&gt;=Projects!$C$22,27&lt;Projects!$C$22+Projects!$D$22),IF(27=Projects!$C$22+Projects!$D$22-1,Projects!$B$22*INDEX(Curves!$B$4:$AO$4,1,27-Projects!$C$22+1)*Assumptions!$B$11*0.95+0.05*Projects!$B$22*Assumptions!$B$11,Projects!$B$22*INDEX(Curves!$B$4:$AO$4,1,27-Projects!$C$22+1)*Assumptions!$B$11*0.95),0)+IF(AND(Projects!$G$23="Yes",27&gt;=Projects!$C$23,27&lt;Projects!$C$23+Projects!$D$23),IF(27=Projects!$C$23+Projects!$D$23-1,Projects!$B$23*INDEX(Curves!$B$4:$AO$4,1,27-Projects!$C$23+1)*Assumptions!$B$11*0.95+0.05*Projects!$B$23*Assumptions!$B$11,Projects!$B$23*INDEX(Curves!$B$4:$AO$4,1,27-Projects!$C$23+1)*Assumptions!$B$11*0.95),0)+IF(AND(Projects!$G$24="Yes",27&gt;=Projects!$C$24,27&lt;Projects!$C$24+Projects!$D$24),IF(27=Projects!$C$24+Projects!$D$24-1,Projects!$B$24*INDEX(Curves!$B$4:$AO$4,1,27-Projects!$C$24+1)*Assumptions!$B$11*0.95+0.05*Projects!$B$24*Assumptions!$B$11,Projects!$B$24*INDEX(Curves!$B$4:$AO$4,1,27-Projects!$C$24+1)*Assumptions!$B$11*0.95),0)+IF(AND(Projects!$G$25="Yes",27&gt;=Projects!$C$25,27&lt;Projects!$C$25+Projects!$D$25),IF(27=Projects!$C$25+Projects!$D$25-1,Projects!$B$25*INDEX(Curves!$B$4:$AO$4,1,27-Projects!$C$25+1)*Assumptions!$B$11*0.95+0.05*Projects!$B$25*Assumptions!$B$11,Projects!$B$25*INDEX(Curves!$B$4:$AO$4,1,27-Projects!$C$25+1)*Assumptions!$B$11*0.95),0)+IF(AND(Projects!$G$26="Yes",27&gt;=Projects!$C$26,27&lt;Projects!$C$26+Projects!$D$26),IF(27=Projects!$C$26+Projects!$D$26-1,Projects!$B$26*INDEX(Curves!$B$4:$AO$4,1,27-Projects!$C$26+1)*Assumptions!$B$11*0.95+0.05*Projects!$B$26*Assumptions!$B$11,Projects!$B$26*INDEX(Curves!$B$4:$AO$4,1,27-Projects!$C$26+1)*Assumptions!$B$11*0.95),0)+IF(AND(Projects!$G$27="Yes",27&gt;=Projects!$C$27,27&lt;Projects!$C$27+Projects!$D$27),IF(27=Projects!$C$27+Projects!$D$27-1,Projects!$B$27*INDEX(Curves!$B$4:$AO$4,1,27-Projects!$C$27+1)*Assumptions!$B$11*0.95+0.05*Projects!$B$27*Assumptions!$B$11,Projects!$B$27*INDEX(Curves!$B$4:$AO$4,1,27-Projects!$C$27+1)*Assumptions!$B$11*0.95),0)+IF(AND(Projects!$G$28="Yes",27&gt;=Projects!$C$28,27&lt;Projects!$C$28+Projects!$D$28),IF(27=Projects!$C$28+Projects!$D$28-1,Projects!$B$28*INDEX(Curves!$B$4:$AO$4,1,27-Projects!$C$28+1)*Assumptions!$B$11*0.95+0.05*Projects!$B$28*Assumptions!$B$11,Projects!$B$28*INDEX(Curves!$B$4:$AO$4,1,27-Projects!$C$28+1)*Assumptions!$B$11*0.95),0)+IF(AND(Projects!$G$29="Yes",27&gt;=Projects!$C$29,27&lt;Projects!$C$29+Projects!$D$29),IF(27=Projects!$C$29+Projects!$D$29-1,Projects!$B$29*INDEX(Curves!$B$4:$AO$4,1,27-Projects!$C$29+1)*Assumptions!$B$11*0.95+0.05*Projects!$B$29*Assumptions!$B$11,Projects!$B$29*INDEX(Curves!$B$4:$AO$4,1,27-Projects!$C$29+1)*Assumptions!$B$11*0.95),0)</f>
        <v/>
      </c>
      <c r="AD99">
        <f>IF(AND(Projects!$G$17="Yes",28&gt;=Projects!$C$17,28&lt;Projects!$C$17+Projects!$D$17),IF(28=Projects!$C$17+Projects!$D$17-1,Projects!$B$17*INDEX(Curves!$B$4:$AO$4,1,28-Projects!$C$17+1)*Assumptions!$B$11*0.95+0.05*Projects!$B$17*Assumptions!$B$11,Projects!$B$17*INDEX(Curves!$B$4:$AO$4,1,28-Projects!$C$17+1)*Assumptions!$B$11*0.95),0)+IF(AND(Projects!$G$18="Yes",28&gt;=Projects!$C$18,28&lt;Projects!$C$18+Projects!$D$18),IF(28=Projects!$C$18+Projects!$D$18-1,Projects!$B$18*INDEX(Curves!$B$4:$AO$4,1,28-Projects!$C$18+1)*Assumptions!$B$11*0.95+0.05*Projects!$B$18*Assumptions!$B$11,Projects!$B$18*INDEX(Curves!$B$4:$AO$4,1,28-Projects!$C$18+1)*Assumptions!$B$11*0.95),0)+IF(AND(Projects!$G$19="Yes",28&gt;=Projects!$C$19,28&lt;Projects!$C$19+Projects!$D$19),IF(28=Projects!$C$19+Projects!$D$19-1,Projects!$B$19*INDEX(Curves!$B$4:$AO$4,1,28-Projects!$C$19+1)*Assumptions!$B$11*0.95+0.05*Projects!$B$19*Assumptions!$B$11,Projects!$B$19*INDEX(Curves!$B$4:$AO$4,1,28-Projects!$C$19+1)*Assumptions!$B$11*0.95),0)+IF(AND(Projects!$G$20="Yes",28&gt;=Projects!$C$20,28&lt;Projects!$C$20+Projects!$D$20),IF(28=Projects!$C$20+Projects!$D$20-1,Projects!$B$20*INDEX(Curves!$B$4:$AO$4,1,28-Projects!$C$20+1)*Assumptions!$B$11*0.95+0.05*Projects!$B$20*Assumptions!$B$11,Projects!$B$20*INDEX(Curves!$B$4:$AO$4,1,28-Projects!$C$20+1)*Assumptions!$B$11*0.95),0)+IF(AND(Projects!$G$21="Yes",28&gt;=Projects!$C$21,28&lt;Projects!$C$21+Projects!$D$21),IF(28=Projects!$C$21+Projects!$D$21-1,Projects!$B$21*INDEX(Curves!$B$4:$AO$4,1,28-Projects!$C$21+1)*Assumptions!$B$11*0.95+0.05*Projects!$B$21*Assumptions!$B$11,Projects!$B$21*INDEX(Curves!$B$4:$AO$4,1,28-Projects!$C$21+1)*Assumptions!$B$11*0.95),0)+IF(AND(Projects!$G$22="Yes",28&gt;=Projects!$C$22,28&lt;Projects!$C$22+Projects!$D$22),IF(28=Projects!$C$22+Projects!$D$22-1,Projects!$B$22*INDEX(Curves!$B$4:$AO$4,1,28-Projects!$C$22+1)*Assumptions!$B$11*0.95+0.05*Projects!$B$22*Assumptions!$B$11,Projects!$B$22*INDEX(Curves!$B$4:$AO$4,1,28-Projects!$C$22+1)*Assumptions!$B$11*0.95),0)+IF(AND(Projects!$G$23="Yes",28&gt;=Projects!$C$23,28&lt;Projects!$C$23+Projects!$D$23),IF(28=Projects!$C$23+Projects!$D$23-1,Projects!$B$23*INDEX(Curves!$B$4:$AO$4,1,28-Projects!$C$23+1)*Assumptions!$B$11*0.95+0.05*Projects!$B$23*Assumptions!$B$11,Projects!$B$23*INDEX(Curves!$B$4:$AO$4,1,28-Projects!$C$23+1)*Assumptions!$B$11*0.95),0)+IF(AND(Projects!$G$24="Yes",28&gt;=Projects!$C$24,28&lt;Projects!$C$24+Projects!$D$24),IF(28=Projects!$C$24+Projects!$D$24-1,Projects!$B$24*INDEX(Curves!$B$4:$AO$4,1,28-Projects!$C$24+1)*Assumptions!$B$11*0.95+0.05*Projects!$B$24*Assumptions!$B$11,Projects!$B$24*INDEX(Curves!$B$4:$AO$4,1,28-Projects!$C$24+1)*Assumptions!$B$11*0.95),0)+IF(AND(Projects!$G$25="Yes",28&gt;=Projects!$C$25,28&lt;Projects!$C$25+Projects!$D$25),IF(28=Projects!$C$25+Projects!$D$25-1,Projects!$B$25*INDEX(Curves!$B$4:$AO$4,1,28-Projects!$C$25+1)*Assumptions!$B$11*0.95+0.05*Projects!$B$25*Assumptions!$B$11,Projects!$B$25*INDEX(Curves!$B$4:$AO$4,1,28-Projects!$C$25+1)*Assumptions!$B$11*0.95),0)+IF(AND(Projects!$G$26="Yes",28&gt;=Projects!$C$26,28&lt;Projects!$C$26+Projects!$D$26),IF(28=Projects!$C$26+Projects!$D$26-1,Projects!$B$26*INDEX(Curves!$B$4:$AO$4,1,28-Projects!$C$26+1)*Assumptions!$B$11*0.95+0.05*Projects!$B$26*Assumptions!$B$11,Projects!$B$26*INDEX(Curves!$B$4:$AO$4,1,28-Projects!$C$26+1)*Assumptions!$B$11*0.95),0)+IF(AND(Projects!$G$27="Yes",28&gt;=Projects!$C$27,28&lt;Projects!$C$27+Projects!$D$27),IF(28=Projects!$C$27+Projects!$D$27-1,Projects!$B$27*INDEX(Curves!$B$4:$AO$4,1,28-Projects!$C$27+1)*Assumptions!$B$11*0.95+0.05*Projects!$B$27*Assumptions!$B$11,Projects!$B$27*INDEX(Curves!$B$4:$AO$4,1,28-Projects!$C$27+1)*Assumptions!$B$11*0.95),0)+IF(AND(Projects!$G$28="Yes",28&gt;=Projects!$C$28,28&lt;Projects!$C$28+Projects!$D$28),IF(28=Projects!$C$28+Projects!$D$28-1,Projects!$B$28*INDEX(Curves!$B$4:$AO$4,1,28-Projects!$C$28+1)*Assumptions!$B$11*0.95+0.05*Projects!$B$28*Assumptions!$B$11,Projects!$B$28*INDEX(Curves!$B$4:$AO$4,1,28-Projects!$C$28+1)*Assumptions!$B$11*0.95),0)+IF(AND(Projects!$G$29="Yes",28&gt;=Projects!$C$29,28&lt;Projects!$C$29+Projects!$D$29),IF(28=Projects!$C$29+Projects!$D$29-1,Projects!$B$29*INDEX(Curves!$B$4:$AO$4,1,28-Projects!$C$29+1)*Assumptions!$B$11*0.95+0.05*Projects!$B$29*Assumptions!$B$11,Projects!$B$29*INDEX(Curves!$B$4:$AO$4,1,28-Projects!$C$29+1)*Assumptions!$B$11*0.95),0)</f>
        <v/>
      </c>
      <c r="AE99">
        <f>IF(AND(Projects!$G$17="Yes",29&gt;=Projects!$C$17,29&lt;Projects!$C$17+Projects!$D$17),IF(29=Projects!$C$17+Projects!$D$17-1,Projects!$B$17*INDEX(Curves!$B$4:$AO$4,1,29-Projects!$C$17+1)*Assumptions!$B$11*0.95+0.05*Projects!$B$17*Assumptions!$B$11,Projects!$B$17*INDEX(Curves!$B$4:$AO$4,1,29-Projects!$C$17+1)*Assumptions!$B$11*0.95),0)+IF(AND(Projects!$G$18="Yes",29&gt;=Projects!$C$18,29&lt;Projects!$C$18+Projects!$D$18),IF(29=Projects!$C$18+Projects!$D$18-1,Projects!$B$18*INDEX(Curves!$B$4:$AO$4,1,29-Projects!$C$18+1)*Assumptions!$B$11*0.95+0.05*Projects!$B$18*Assumptions!$B$11,Projects!$B$18*INDEX(Curves!$B$4:$AO$4,1,29-Projects!$C$18+1)*Assumptions!$B$11*0.95),0)+IF(AND(Projects!$G$19="Yes",29&gt;=Projects!$C$19,29&lt;Projects!$C$19+Projects!$D$19),IF(29=Projects!$C$19+Projects!$D$19-1,Projects!$B$19*INDEX(Curves!$B$4:$AO$4,1,29-Projects!$C$19+1)*Assumptions!$B$11*0.95+0.05*Projects!$B$19*Assumptions!$B$11,Projects!$B$19*INDEX(Curves!$B$4:$AO$4,1,29-Projects!$C$19+1)*Assumptions!$B$11*0.95),0)+IF(AND(Projects!$G$20="Yes",29&gt;=Projects!$C$20,29&lt;Projects!$C$20+Projects!$D$20),IF(29=Projects!$C$20+Projects!$D$20-1,Projects!$B$20*INDEX(Curves!$B$4:$AO$4,1,29-Projects!$C$20+1)*Assumptions!$B$11*0.95+0.05*Projects!$B$20*Assumptions!$B$11,Projects!$B$20*INDEX(Curves!$B$4:$AO$4,1,29-Projects!$C$20+1)*Assumptions!$B$11*0.95),0)+IF(AND(Projects!$G$21="Yes",29&gt;=Projects!$C$21,29&lt;Projects!$C$21+Projects!$D$21),IF(29=Projects!$C$21+Projects!$D$21-1,Projects!$B$21*INDEX(Curves!$B$4:$AO$4,1,29-Projects!$C$21+1)*Assumptions!$B$11*0.95+0.05*Projects!$B$21*Assumptions!$B$11,Projects!$B$21*INDEX(Curves!$B$4:$AO$4,1,29-Projects!$C$21+1)*Assumptions!$B$11*0.95),0)+IF(AND(Projects!$G$22="Yes",29&gt;=Projects!$C$22,29&lt;Projects!$C$22+Projects!$D$22),IF(29=Projects!$C$22+Projects!$D$22-1,Projects!$B$22*INDEX(Curves!$B$4:$AO$4,1,29-Projects!$C$22+1)*Assumptions!$B$11*0.95+0.05*Projects!$B$22*Assumptions!$B$11,Projects!$B$22*INDEX(Curves!$B$4:$AO$4,1,29-Projects!$C$22+1)*Assumptions!$B$11*0.95),0)+IF(AND(Projects!$G$23="Yes",29&gt;=Projects!$C$23,29&lt;Projects!$C$23+Projects!$D$23),IF(29=Projects!$C$23+Projects!$D$23-1,Projects!$B$23*INDEX(Curves!$B$4:$AO$4,1,29-Projects!$C$23+1)*Assumptions!$B$11*0.95+0.05*Projects!$B$23*Assumptions!$B$11,Projects!$B$23*INDEX(Curves!$B$4:$AO$4,1,29-Projects!$C$23+1)*Assumptions!$B$11*0.95),0)+IF(AND(Projects!$G$24="Yes",29&gt;=Projects!$C$24,29&lt;Projects!$C$24+Projects!$D$24),IF(29=Projects!$C$24+Projects!$D$24-1,Projects!$B$24*INDEX(Curves!$B$4:$AO$4,1,29-Projects!$C$24+1)*Assumptions!$B$11*0.95+0.05*Projects!$B$24*Assumptions!$B$11,Projects!$B$24*INDEX(Curves!$B$4:$AO$4,1,29-Projects!$C$24+1)*Assumptions!$B$11*0.95),0)+IF(AND(Projects!$G$25="Yes",29&gt;=Projects!$C$25,29&lt;Projects!$C$25+Projects!$D$25),IF(29=Projects!$C$25+Projects!$D$25-1,Projects!$B$25*INDEX(Curves!$B$4:$AO$4,1,29-Projects!$C$25+1)*Assumptions!$B$11*0.95+0.05*Projects!$B$25*Assumptions!$B$11,Projects!$B$25*INDEX(Curves!$B$4:$AO$4,1,29-Projects!$C$25+1)*Assumptions!$B$11*0.95),0)+IF(AND(Projects!$G$26="Yes",29&gt;=Projects!$C$26,29&lt;Projects!$C$26+Projects!$D$26),IF(29=Projects!$C$26+Projects!$D$26-1,Projects!$B$26*INDEX(Curves!$B$4:$AO$4,1,29-Projects!$C$26+1)*Assumptions!$B$11*0.95+0.05*Projects!$B$26*Assumptions!$B$11,Projects!$B$26*INDEX(Curves!$B$4:$AO$4,1,29-Projects!$C$26+1)*Assumptions!$B$11*0.95),0)+IF(AND(Projects!$G$27="Yes",29&gt;=Projects!$C$27,29&lt;Projects!$C$27+Projects!$D$27),IF(29=Projects!$C$27+Projects!$D$27-1,Projects!$B$27*INDEX(Curves!$B$4:$AO$4,1,29-Projects!$C$27+1)*Assumptions!$B$11*0.95+0.05*Projects!$B$27*Assumptions!$B$11,Projects!$B$27*INDEX(Curves!$B$4:$AO$4,1,29-Projects!$C$27+1)*Assumptions!$B$11*0.95),0)+IF(AND(Projects!$G$28="Yes",29&gt;=Projects!$C$28,29&lt;Projects!$C$28+Projects!$D$28),IF(29=Projects!$C$28+Projects!$D$28-1,Projects!$B$28*INDEX(Curves!$B$4:$AO$4,1,29-Projects!$C$28+1)*Assumptions!$B$11*0.95+0.05*Projects!$B$28*Assumptions!$B$11,Projects!$B$28*INDEX(Curves!$B$4:$AO$4,1,29-Projects!$C$28+1)*Assumptions!$B$11*0.95),0)+IF(AND(Projects!$G$29="Yes",29&gt;=Projects!$C$29,29&lt;Projects!$C$29+Projects!$D$29),IF(29=Projects!$C$29+Projects!$D$29-1,Projects!$B$29*INDEX(Curves!$B$4:$AO$4,1,29-Projects!$C$29+1)*Assumptions!$B$11*0.95+0.05*Projects!$B$29*Assumptions!$B$11,Projects!$B$29*INDEX(Curves!$B$4:$AO$4,1,29-Projects!$C$29+1)*Assumptions!$B$11*0.95),0)</f>
        <v/>
      </c>
      <c r="AF99">
        <f>IF(AND(Projects!$G$17="Yes",30&gt;=Projects!$C$17,30&lt;Projects!$C$17+Projects!$D$17),IF(30=Projects!$C$17+Projects!$D$17-1,Projects!$B$17*INDEX(Curves!$B$4:$AO$4,1,30-Projects!$C$17+1)*Assumptions!$B$11*0.95+0.05*Projects!$B$17*Assumptions!$B$11,Projects!$B$17*INDEX(Curves!$B$4:$AO$4,1,30-Projects!$C$17+1)*Assumptions!$B$11*0.95),0)+IF(AND(Projects!$G$18="Yes",30&gt;=Projects!$C$18,30&lt;Projects!$C$18+Projects!$D$18),IF(30=Projects!$C$18+Projects!$D$18-1,Projects!$B$18*INDEX(Curves!$B$4:$AO$4,1,30-Projects!$C$18+1)*Assumptions!$B$11*0.95+0.05*Projects!$B$18*Assumptions!$B$11,Projects!$B$18*INDEX(Curves!$B$4:$AO$4,1,30-Projects!$C$18+1)*Assumptions!$B$11*0.95),0)+IF(AND(Projects!$G$19="Yes",30&gt;=Projects!$C$19,30&lt;Projects!$C$19+Projects!$D$19),IF(30=Projects!$C$19+Projects!$D$19-1,Projects!$B$19*INDEX(Curves!$B$4:$AO$4,1,30-Projects!$C$19+1)*Assumptions!$B$11*0.95+0.05*Projects!$B$19*Assumptions!$B$11,Projects!$B$19*INDEX(Curves!$B$4:$AO$4,1,30-Projects!$C$19+1)*Assumptions!$B$11*0.95),0)+IF(AND(Projects!$G$20="Yes",30&gt;=Projects!$C$20,30&lt;Projects!$C$20+Projects!$D$20),IF(30=Projects!$C$20+Projects!$D$20-1,Projects!$B$20*INDEX(Curves!$B$4:$AO$4,1,30-Projects!$C$20+1)*Assumptions!$B$11*0.95+0.05*Projects!$B$20*Assumptions!$B$11,Projects!$B$20*INDEX(Curves!$B$4:$AO$4,1,30-Projects!$C$20+1)*Assumptions!$B$11*0.95),0)+IF(AND(Projects!$G$21="Yes",30&gt;=Projects!$C$21,30&lt;Projects!$C$21+Projects!$D$21),IF(30=Projects!$C$21+Projects!$D$21-1,Projects!$B$21*INDEX(Curves!$B$4:$AO$4,1,30-Projects!$C$21+1)*Assumptions!$B$11*0.95+0.05*Projects!$B$21*Assumptions!$B$11,Projects!$B$21*INDEX(Curves!$B$4:$AO$4,1,30-Projects!$C$21+1)*Assumptions!$B$11*0.95),0)+IF(AND(Projects!$G$22="Yes",30&gt;=Projects!$C$22,30&lt;Projects!$C$22+Projects!$D$22),IF(30=Projects!$C$22+Projects!$D$22-1,Projects!$B$22*INDEX(Curves!$B$4:$AO$4,1,30-Projects!$C$22+1)*Assumptions!$B$11*0.95+0.05*Projects!$B$22*Assumptions!$B$11,Projects!$B$22*INDEX(Curves!$B$4:$AO$4,1,30-Projects!$C$22+1)*Assumptions!$B$11*0.95),0)+IF(AND(Projects!$G$23="Yes",30&gt;=Projects!$C$23,30&lt;Projects!$C$23+Projects!$D$23),IF(30=Projects!$C$23+Projects!$D$23-1,Projects!$B$23*INDEX(Curves!$B$4:$AO$4,1,30-Projects!$C$23+1)*Assumptions!$B$11*0.95+0.05*Projects!$B$23*Assumptions!$B$11,Projects!$B$23*INDEX(Curves!$B$4:$AO$4,1,30-Projects!$C$23+1)*Assumptions!$B$11*0.95),0)+IF(AND(Projects!$G$24="Yes",30&gt;=Projects!$C$24,30&lt;Projects!$C$24+Projects!$D$24),IF(30=Projects!$C$24+Projects!$D$24-1,Projects!$B$24*INDEX(Curves!$B$4:$AO$4,1,30-Projects!$C$24+1)*Assumptions!$B$11*0.95+0.05*Projects!$B$24*Assumptions!$B$11,Projects!$B$24*INDEX(Curves!$B$4:$AO$4,1,30-Projects!$C$24+1)*Assumptions!$B$11*0.95),0)+IF(AND(Projects!$G$25="Yes",30&gt;=Projects!$C$25,30&lt;Projects!$C$25+Projects!$D$25),IF(30=Projects!$C$25+Projects!$D$25-1,Projects!$B$25*INDEX(Curves!$B$4:$AO$4,1,30-Projects!$C$25+1)*Assumptions!$B$11*0.95+0.05*Projects!$B$25*Assumptions!$B$11,Projects!$B$25*INDEX(Curves!$B$4:$AO$4,1,30-Projects!$C$25+1)*Assumptions!$B$11*0.95),0)+IF(AND(Projects!$G$26="Yes",30&gt;=Projects!$C$26,30&lt;Projects!$C$26+Projects!$D$26),IF(30=Projects!$C$26+Projects!$D$26-1,Projects!$B$26*INDEX(Curves!$B$4:$AO$4,1,30-Projects!$C$26+1)*Assumptions!$B$11*0.95+0.05*Projects!$B$26*Assumptions!$B$11,Projects!$B$26*INDEX(Curves!$B$4:$AO$4,1,30-Projects!$C$26+1)*Assumptions!$B$11*0.95),0)+IF(AND(Projects!$G$27="Yes",30&gt;=Projects!$C$27,30&lt;Projects!$C$27+Projects!$D$27),IF(30=Projects!$C$27+Projects!$D$27-1,Projects!$B$27*INDEX(Curves!$B$4:$AO$4,1,30-Projects!$C$27+1)*Assumptions!$B$11*0.95+0.05*Projects!$B$27*Assumptions!$B$11,Projects!$B$27*INDEX(Curves!$B$4:$AO$4,1,30-Projects!$C$27+1)*Assumptions!$B$11*0.95),0)+IF(AND(Projects!$G$28="Yes",30&gt;=Projects!$C$28,30&lt;Projects!$C$28+Projects!$D$28),IF(30=Projects!$C$28+Projects!$D$28-1,Projects!$B$28*INDEX(Curves!$B$4:$AO$4,1,30-Projects!$C$28+1)*Assumptions!$B$11*0.95+0.05*Projects!$B$28*Assumptions!$B$11,Projects!$B$28*INDEX(Curves!$B$4:$AO$4,1,30-Projects!$C$28+1)*Assumptions!$B$11*0.95),0)+IF(AND(Projects!$G$29="Yes",30&gt;=Projects!$C$29,30&lt;Projects!$C$29+Projects!$D$29),IF(30=Projects!$C$29+Projects!$D$29-1,Projects!$B$29*INDEX(Curves!$B$4:$AO$4,1,30-Projects!$C$29+1)*Assumptions!$B$11*0.95+0.05*Projects!$B$29*Assumptions!$B$11,Projects!$B$29*INDEX(Curves!$B$4:$AO$4,1,30-Projects!$C$29+1)*Assumptions!$B$11*0.95),0)</f>
        <v/>
      </c>
      <c r="AG99">
        <f>IF(AND(Projects!$G$17="Yes",31&gt;=Projects!$C$17,31&lt;Projects!$C$17+Projects!$D$17),IF(31=Projects!$C$17+Projects!$D$17-1,Projects!$B$17*INDEX(Curves!$B$4:$AO$4,1,31-Projects!$C$17+1)*Assumptions!$B$11*0.95+0.05*Projects!$B$17*Assumptions!$B$11,Projects!$B$17*INDEX(Curves!$B$4:$AO$4,1,31-Projects!$C$17+1)*Assumptions!$B$11*0.95),0)+IF(AND(Projects!$G$18="Yes",31&gt;=Projects!$C$18,31&lt;Projects!$C$18+Projects!$D$18),IF(31=Projects!$C$18+Projects!$D$18-1,Projects!$B$18*INDEX(Curves!$B$4:$AO$4,1,31-Projects!$C$18+1)*Assumptions!$B$11*0.95+0.05*Projects!$B$18*Assumptions!$B$11,Projects!$B$18*INDEX(Curves!$B$4:$AO$4,1,31-Projects!$C$18+1)*Assumptions!$B$11*0.95),0)+IF(AND(Projects!$G$19="Yes",31&gt;=Projects!$C$19,31&lt;Projects!$C$19+Projects!$D$19),IF(31=Projects!$C$19+Projects!$D$19-1,Projects!$B$19*INDEX(Curves!$B$4:$AO$4,1,31-Projects!$C$19+1)*Assumptions!$B$11*0.95+0.05*Projects!$B$19*Assumptions!$B$11,Projects!$B$19*INDEX(Curves!$B$4:$AO$4,1,31-Projects!$C$19+1)*Assumptions!$B$11*0.95),0)+IF(AND(Projects!$G$20="Yes",31&gt;=Projects!$C$20,31&lt;Projects!$C$20+Projects!$D$20),IF(31=Projects!$C$20+Projects!$D$20-1,Projects!$B$20*INDEX(Curves!$B$4:$AO$4,1,31-Projects!$C$20+1)*Assumptions!$B$11*0.95+0.05*Projects!$B$20*Assumptions!$B$11,Projects!$B$20*INDEX(Curves!$B$4:$AO$4,1,31-Projects!$C$20+1)*Assumptions!$B$11*0.95),0)+IF(AND(Projects!$G$21="Yes",31&gt;=Projects!$C$21,31&lt;Projects!$C$21+Projects!$D$21),IF(31=Projects!$C$21+Projects!$D$21-1,Projects!$B$21*INDEX(Curves!$B$4:$AO$4,1,31-Projects!$C$21+1)*Assumptions!$B$11*0.95+0.05*Projects!$B$21*Assumptions!$B$11,Projects!$B$21*INDEX(Curves!$B$4:$AO$4,1,31-Projects!$C$21+1)*Assumptions!$B$11*0.95),0)+IF(AND(Projects!$G$22="Yes",31&gt;=Projects!$C$22,31&lt;Projects!$C$22+Projects!$D$22),IF(31=Projects!$C$22+Projects!$D$22-1,Projects!$B$22*INDEX(Curves!$B$4:$AO$4,1,31-Projects!$C$22+1)*Assumptions!$B$11*0.95+0.05*Projects!$B$22*Assumptions!$B$11,Projects!$B$22*INDEX(Curves!$B$4:$AO$4,1,31-Projects!$C$22+1)*Assumptions!$B$11*0.95),0)+IF(AND(Projects!$G$23="Yes",31&gt;=Projects!$C$23,31&lt;Projects!$C$23+Projects!$D$23),IF(31=Projects!$C$23+Projects!$D$23-1,Projects!$B$23*INDEX(Curves!$B$4:$AO$4,1,31-Projects!$C$23+1)*Assumptions!$B$11*0.95+0.05*Projects!$B$23*Assumptions!$B$11,Projects!$B$23*INDEX(Curves!$B$4:$AO$4,1,31-Projects!$C$23+1)*Assumptions!$B$11*0.95),0)+IF(AND(Projects!$G$24="Yes",31&gt;=Projects!$C$24,31&lt;Projects!$C$24+Projects!$D$24),IF(31=Projects!$C$24+Projects!$D$24-1,Projects!$B$24*INDEX(Curves!$B$4:$AO$4,1,31-Projects!$C$24+1)*Assumptions!$B$11*0.95+0.05*Projects!$B$24*Assumptions!$B$11,Projects!$B$24*INDEX(Curves!$B$4:$AO$4,1,31-Projects!$C$24+1)*Assumptions!$B$11*0.95),0)+IF(AND(Projects!$G$25="Yes",31&gt;=Projects!$C$25,31&lt;Projects!$C$25+Projects!$D$25),IF(31=Projects!$C$25+Projects!$D$25-1,Projects!$B$25*INDEX(Curves!$B$4:$AO$4,1,31-Projects!$C$25+1)*Assumptions!$B$11*0.95+0.05*Projects!$B$25*Assumptions!$B$11,Projects!$B$25*INDEX(Curves!$B$4:$AO$4,1,31-Projects!$C$25+1)*Assumptions!$B$11*0.95),0)+IF(AND(Projects!$G$26="Yes",31&gt;=Projects!$C$26,31&lt;Projects!$C$26+Projects!$D$26),IF(31=Projects!$C$26+Projects!$D$26-1,Projects!$B$26*INDEX(Curves!$B$4:$AO$4,1,31-Projects!$C$26+1)*Assumptions!$B$11*0.95+0.05*Projects!$B$26*Assumptions!$B$11,Projects!$B$26*INDEX(Curves!$B$4:$AO$4,1,31-Projects!$C$26+1)*Assumptions!$B$11*0.95),0)+IF(AND(Projects!$G$27="Yes",31&gt;=Projects!$C$27,31&lt;Projects!$C$27+Projects!$D$27),IF(31=Projects!$C$27+Projects!$D$27-1,Projects!$B$27*INDEX(Curves!$B$4:$AO$4,1,31-Projects!$C$27+1)*Assumptions!$B$11*0.95+0.05*Projects!$B$27*Assumptions!$B$11,Projects!$B$27*INDEX(Curves!$B$4:$AO$4,1,31-Projects!$C$27+1)*Assumptions!$B$11*0.95),0)+IF(AND(Projects!$G$28="Yes",31&gt;=Projects!$C$28,31&lt;Projects!$C$28+Projects!$D$28),IF(31=Projects!$C$28+Projects!$D$28-1,Projects!$B$28*INDEX(Curves!$B$4:$AO$4,1,31-Projects!$C$28+1)*Assumptions!$B$11*0.95+0.05*Projects!$B$28*Assumptions!$B$11,Projects!$B$28*INDEX(Curves!$B$4:$AO$4,1,31-Projects!$C$28+1)*Assumptions!$B$11*0.95),0)+IF(AND(Projects!$G$29="Yes",31&gt;=Projects!$C$29,31&lt;Projects!$C$29+Projects!$D$29),IF(31=Projects!$C$29+Projects!$D$29-1,Projects!$B$29*INDEX(Curves!$B$4:$AO$4,1,31-Projects!$C$29+1)*Assumptions!$B$11*0.95+0.05*Projects!$B$29*Assumptions!$B$11,Projects!$B$29*INDEX(Curves!$B$4:$AO$4,1,31-Projects!$C$29+1)*Assumptions!$B$11*0.95),0)</f>
        <v/>
      </c>
      <c r="AH99">
        <f>IF(AND(Projects!$G$17="Yes",32&gt;=Projects!$C$17,32&lt;Projects!$C$17+Projects!$D$17),IF(32=Projects!$C$17+Projects!$D$17-1,Projects!$B$17*INDEX(Curves!$B$4:$AO$4,1,32-Projects!$C$17+1)*Assumptions!$B$11*0.95+0.05*Projects!$B$17*Assumptions!$B$11,Projects!$B$17*INDEX(Curves!$B$4:$AO$4,1,32-Projects!$C$17+1)*Assumptions!$B$11*0.95),0)+IF(AND(Projects!$G$18="Yes",32&gt;=Projects!$C$18,32&lt;Projects!$C$18+Projects!$D$18),IF(32=Projects!$C$18+Projects!$D$18-1,Projects!$B$18*INDEX(Curves!$B$4:$AO$4,1,32-Projects!$C$18+1)*Assumptions!$B$11*0.95+0.05*Projects!$B$18*Assumptions!$B$11,Projects!$B$18*INDEX(Curves!$B$4:$AO$4,1,32-Projects!$C$18+1)*Assumptions!$B$11*0.95),0)+IF(AND(Projects!$G$19="Yes",32&gt;=Projects!$C$19,32&lt;Projects!$C$19+Projects!$D$19),IF(32=Projects!$C$19+Projects!$D$19-1,Projects!$B$19*INDEX(Curves!$B$4:$AO$4,1,32-Projects!$C$19+1)*Assumptions!$B$11*0.95+0.05*Projects!$B$19*Assumptions!$B$11,Projects!$B$19*INDEX(Curves!$B$4:$AO$4,1,32-Projects!$C$19+1)*Assumptions!$B$11*0.95),0)+IF(AND(Projects!$G$20="Yes",32&gt;=Projects!$C$20,32&lt;Projects!$C$20+Projects!$D$20),IF(32=Projects!$C$20+Projects!$D$20-1,Projects!$B$20*INDEX(Curves!$B$4:$AO$4,1,32-Projects!$C$20+1)*Assumptions!$B$11*0.95+0.05*Projects!$B$20*Assumptions!$B$11,Projects!$B$20*INDEX(Curves!$B$4:$AO$4,1,32-Projects!$C$20+1)*Assumptions!$B$11*0.95),0)+IF(AND(Projects!$G$21="Yes",32&gt;=Projects!$C$21,32&lt;Projects!$C$21+Projects!$D$21),IF(32=Projects!$C$21+Projects!$D$21-1,Projects!$B$21*INDEX(Curves!$B$4:$AO$4,1,32-Projects!$C$21+1)*Assumptions!$B$11*0.95+0.05*Projects!$B$21*Assumptions!$B$11,Projects!$B$21*INDEX(Curves!$B$4:$AO$4,1,32-Projects!$C$21+1)*Assumptions!$B$11*0.95),0)+IF(AND(Projects!$G$22="Yes",32&gt;=Projects!$C$22,32&lt;Projects!$C$22+Projects!$D$22),IF(32=Projects!$C$22+Projects!$D$22-1,Projects!$B$22*INDEX(Curves!$B$4:$AO$4,1,32-Projects!$C$22+1)*Assumptions!$B$11*0.95+0.05*Projects!$B$22*Assumptions!$B$11,Projects!$B$22*INDEX(Curves!$B$4:$AO$4,1,32-Projects!$C$22+1)*Assumptions!$B$11*0.95),0)+IF(AND(Projects!$G$23="Yes",32&gt;=Projects!$C$23,32&lt;Projects!$C$23+Projects!$D$23),IF(32=Projects!$C$23+Projects!$D$23-1,Projects!$B$23*INDEX(Curves!$B$4:$AO$4,1,32-Projects!$C$23+1)*Assumptions!$B$11*0.95+0.05*Projects!$B$23*Assumptions!$B$11,Projects!$B$23*INDEX(Curves!$B$4:$AO$4,1,32-Projects!$C$23+1)*Assumptions!$B$11*0.95),0)+IF(AND(Projects!$G$24="Yes",32&gt;=Projects!$C$24,32&lt;Projects!$C$24+Projects!$D$24),IF(32=Projects!$C$24+Projects!$D$24-1,Projects!$B$24*INDEX(Curves!$B$4:$AO$4,1,32-Projects!$C$24+1)*Assumptions!$B$11*0.95+0.05*Projects!$B$24*Assumptions!$B$11,Projects!$B$24*INDEX(Curves!$B$4:$AO$4,1,32-Projects!$C$24+1)*Assumptions!$B$11*0.95),0)+IF(AND(Projects!$G$25="Yes",32&gt;=Projects!$C$25,32&lt;Projects!$C$25+Projects!$D$25),IF(32=Projects!$C$25+Projects!$D$25-1,Projects!$B$25*INDEX(Curves!$B$4:$AO$4,1,32-Projects!$C$25+1)*Assumptions!$B$11*0.95+0.05*Projects!$B$25*Assumptions!$B$11,Projects!$B$25*INDEX(Curves!$B$4:$AO$4,1,32-Projects!$C$25+1)*Assumptions!$B$11*0.95),0)+IF(AND(Projects!$G$26="Yes",32&gt;=Projects!$C$26,32&lt;Projects!$C$26+Projects!$D$26),IF(32=Projects!$C$26+Projects!$D$26-1,Projects!$B$26*INDEX(Curves!$B$4:$AO$4,1,32-Projects!$C$26+1)*Assumptions!$B$11*0.95+0.05*Projects!$B$26*Assumptions!$B$11,Projects!$B$26*INDEX(Curves!$B$4:$AO$4,1,32-Projects!$C$26+1)*Assumptions!$B$11*0.95),0)+IF(AND(Projects!$G$27="Yes",32&gt;=Projects!$C$27,32&lt;Projects!$C$27+Projects!$D$27),IF(32=Projects!$C$27+Projects!$D$27-1,Projects!$B$27*INDEX(Curves!$B$4:$AO$4,1,32-Projects!$C$27+1)*Assumptions!$B$11*0.95+0.05*Projects!$B$27*Assumptions!$B$11,Projects!$B$27*INDEX(Curves!$B$4:$AO$4,1,32-Projects!$C$27+1)*Assumptions!$B$11*0.95),0)+IF(AND(Projects!$G$28="Yes",32&gt;=Projects!$C$28,32&lt;Projects!$C$28+Projects!$D$28),IF(32=Projects!$C$28+Projects!$D$28-1,Projects!$B$28*INDEX(Curves!$B$4:$AO$4,1,32-Projects!$C$28+1)*Assumptions!$B$11*0.95+0.05*Projects!$B$28*Assumptions!$B$11,Projects!$B$28*INDEX(Curves!$B$4:$AO$4,1,32-Projects!$C$28+1)*Assumptions!$B$11*0.95),0)+IF(AND(Projects!$G$29="Yes",32&gt;=Projects!$C$29,32&lt;Projects!$C$29+Projects!$D$29),IF(32=Projects!$C$29+Projects!$D$29-1,Projects!$B$29*INDEX(Curves!$B$4:$AO$4,1,32-Projects!$C$29+1)*Assumptions!$B$11*0.95+0.05*Projects!$B$29*Assumptions!$B$11,Projects!$B$29*INDEX(Curves!$B$4:$AO$4,1,32-Projects!$C$29+1)*Assumptions!$B$11*0.95),0)</f>
        <v/>
      </c>
      <c r="AI99">
        <f>IF(AND(Projects!$G$17="Yes",33&gt;=Projects!$C$17,33&lt;Projects!$C$17+Projects!$D$17),IF(33=Projects!$C$17+Projects!$D$17-1,Projects!$B$17*INDEX(Curves!$B$4:$AO$4,1,33-Projects!$C$17+1)*Assumptions!$B$11*0.95+0.05*Projects!$B$17*Assumptions!$B$11,Projects!$B$17*INDEX(Curves!$B$4:$AO$4,1,33-Projects!$C$17+1)*Assumptions!$B$11*0.95),0)+IF(AND(Projects!$G$18="Yes",33&gt;=Projects!$C$18,33&lt;Projects!$C$18+Projects!$D$18),IF(33=Projects!$C$18+Projects!$D$18-1,Projects!$B$18*INDEX(Curves!$B$4:$AO$4,1,33-Projects!$C$18+1)*Assumptions!$B$11*0.95+0.05*Projects!$B$18*Assumptions!$B$11,Projects!$B$18*INDEX(Curves!$B$4:$AO$4,1,33-Projects!$C$18+1)*Assumptions!$B$11*0.95),0)+IF(AND(Projects!$G$19="Yes",33&gt;=Projects!$C$19,33&lt;Projects!$C$19+Projects!$D$19),IF(33=Projects!$C$19+Projects!$D$19-1,Projects!$B$19*INDEX(Curves!$B$4:$AO$4,1,33-Projects!$C$19+1)*Assumptions!$B$11*0.95+0.05*Projects!$B$19*Assumptions!$B$11,Projects!$B$19*INDEX(Curves!$B$4:$AO$4,1,33-Projects!$C$19+1)*Assumptions!$B$11*0.95),0)+IF(AND(Projects!$G$20="Yes",33&gt;=Projects!$C$20,33&lt;Projects!$C$20+Projects!$D$20),IF(33=Projects!$C$20+Projects!$D$20-1,Projects!$B$20*INDEX(Curves!$B$4:$AO$4,1,33-Projects!$C$20+1)*Assumptions!$B$11*0.95+0.05*Projects!$B$20*Assumptions!$B$11,Projects!$B$20*INDEX(Curves!$B$4:$AO$4,1,33-Projects!$C$20+1)*Assumptions!$B$11*0.95),0)+IF(AND(Projects!$G$21="Yes",33&gt;=Projects!$C$21,33&lt;Projects!$C$21+Projects!$D$21),IF(33=Projects!$C$21+Projects!$D$21-1,Projects!$B$21*INDEX(Curves!$B$4:$AO$4,1,33-Projects!$C$21+1)*Assumptions!$B$11*0.95+0.05*Projects!$B$21*Assumptions!$B$11,Projects!$B$21*INDEX(Curves!$B$4:$AO$4,1,33-Projects!$C$21+1)*Assumptions!$B$11*0.95),0)+IF(AND(Projects!$G$22="Yes",33&gt;=Projects!$C$22,33&lt;Projects!$C$22+Projects!$D$22),IF(33=Projects!$C$22+Projects!$D$22-1,Projects!$B$22*INDEX(Curves!$B$4:$AO$4,1,33-Projects!$C$22+1)*Assumptions!$B$11*0.95+0.05*Projects!$B$22*Assumptions!$B$11,Projects!$B$22*INDEX(Curves!$B$4:$AO$4,1,33-Projects!$C$22+1)*Assumptions!$B$11*0.95),0)+IF(AND(Projects!$G$23="Yes",33&gt;=Projects!$C$23,33&lt;Projects!$C$23+Projects!$D$23),IF(33=Projects!$C$23+Projects!$D$23-1,Projects!$B$23*INDEX(Curves!$B$4:$AO$4,1,33-Projects!$C$23+1)*Assumptions!$B$11*0.95+0.05*Projects!$B$23*Assumptions!$B$11,Projects!$B$23*INDEX(Curves!$B$4:$AO$4,1,33-Projects!$C$23+1)*Assumptions!$B$11*0.95),0)+IF(AND(Projects!$G$24="Yes",33&gt;=Projects!$C$24,33&lt;Projects!$C$24+Projects!$D$24),IF(33=Projects!$C$24+Projects!$D$24-1,Projects!$B$24*INDEX(Curves!$B$4:$AO$4,1,33-Projects!$C$24+1)*Assumptions!$B$11*0.95+0.05*Projects!$B$24*Assumptions!$B$11,Projects!$B$24*INDEX(Curves!$B$4:$AO$4,1,33-Projects!$C$24+1)*Assumptions!$B$11*0.95),0)+IF(AND(Projects!$G$25="Yes",33&gt;=Projects!$C$25,33&lt;Projects!$C$25+Projects!$D$25),IF(33=Projects!$C$25+Projects!$D$25-1,Projects!$B$25*INDEX(Curves!$B$4:$AO$4,1,33-Projects!$C$25+1)*Assumptions!$B$11*0.95+0.05*Projects!$B$25*Assumptions!$B$11,Projects!$B$25*INDEX(Curves!$B$4:$AO$4,1,33-Projects!$C$25+1)*Assumptions!$B$11*0.95),0)+IF(AND(Projects!$G$26="Yes",33&gt;=Projects!$C$26,33&lt;Projects!$C$26+Projects!$D$26),IF(33=Projects!$C$26+Projects!$D$26-1,Projects!$B$26*INDEX(Curves!$B$4:$AO$4,1,33-Projects!$C$26+1)*Assumptions!$B$11*0.95+0.05*Projects!$B$26*Assumptions!$B$11,Projects!$B$26*INDEX(Curves!$B$4:$AO$4,1,33-Projects!$C$26+1)*Assumptions!$B$11*0.95),0)+IF(AND(Projects!$G$27="Yes",33&gt;=Projects!$C$27,33&lt;Projects!$C$27+Projects!$D$27),IF(33=Projects!$C$27+Projects!$D$27-1,Projects!$B$27*INDEX(Curves!$B$4:$AO$4,1,33-Projects!$C$27+1)*Assumptions!$B$11*0.95+0.05*Projects!$B$27*Assumptions!$B$11,Projects!$B$27*INDEX(Curves!$B$4:$AO$4,1,33-Projects!$C$27+1)*Assumptions!$B$11*0.95),0)+IF(AND(Projects!$G$28="Yes",33&gt;=Projects!$C$28,33&lt;Projects!$C$28+Projects!$D$28),IF(33=Projects!$C$28+Projects!$D$28-1,Projects!$B$28*INDEX(Curves!$B$4:$AO$4,1,33-Projects!$C$28+1)*Assumptions!$B$11*0.95+0.05*Projects!$B$28*Assumptions!$B$11,Projects!$B$28*INDEX(Curves!$B$4:$AO$4,1,33-Projects!$C$28+1)*Assumptions!$B$11*0.95),0)+IF(AND(Projects!$G$29="Yes",33&gt;=Projects!$C$29,33&lt;Projects!$C$29+Projects!$D$29),IF(33=Projects!$C$29+Projects!$D$29-1,Projects!$B$29*INDEX(Curves!$B$4:$AO$4,1,33-Projects!$C$29+1)*Assumptions!$B$11*0.95+0.05*Projects!$B$29*Assumptions!$B$11,Projects!$B$29*INDEX(Curves!$B$4:$AO$4,1,33-Projects!$C$29+1)*Assumptions!$B$11*0.95),0)</f>
        <v/>
      </c>
      <c r="AJ99">
        <f>IF(AND(Projects!$G$17="Yes",34&gt;=Projects!$C$17,34&lt;Projects!$C$17+Projects!$D$17),IF(34=Projects!$C$17+Projects!$D$17-1,Projects!$B$17*INDEX(Curves!$B$4:$AO$4,1,34-Projects!$C$17+1)*Assumptions!$B$11*0.95+0.05*Projects!$B$17*Assumptions!$B$11,Projects!$B$17*INDEX(Curves!$B$4:$AO$4,1,34-Projects!$C$17+1)*Assumptions!$B$11*0.95),0)+IF(AND(Projects!$G$18="Yes",34&gt;=Projects!$C$18,34&lt;Projects!$C$18+Projects!$D$18),IF(34=Projects!$C$18+Projects!$D$18-1,Projects!$B$18*INDEX(Curves!$B$4:$AO$4,1,34-Projects!$C$18+1)*Assumptions!$B$11*0.95+0.05*Projects!$B$18*Assumptions!$B$11,Projects!$B$18*INDEX(Curves!$B$4:$AO$4,1,34-Projects!$C$18+1)*Assumptions!$B$11*0.95),0)+IF(AND(Projects!$G$19="Yes",34&gt;=Projects!$C$19,34&lt;Projects!$C$19+Projects!$D$19),IF(34=Projects!$C$19+Projects!$D$19-1,Projects!$B$19*INDEX(Curves!$B$4:$AO$4,1,34-Projects!$C$19+1)*Assumptions!$B$11*0.95+0.05*Projects!$B$19*Assumptions!$B$11,Projects!$B$19*INDEX(Curves!$B$4:$AO$4,1,34-Projects!$C$19+1)*Assumptions!$B$11*0.95),0)+IF(AND(Projects!$G$20="Yes",34&gt;=Projects!$C$20,34&lt;Projects!$C$20+Projects!$D$20),IF(34=Projects!$C$20+Projects!$D$20-1,Projects!$B$20*INDEX(Curves!$B$4:$AO$4,1,34-Projects!$C$20+1)*Assumptions!$B$11*0.95+0.05*Projects!$B$20*Assumptions!$B$11,Projects!$B$20*INDEX(Curves!$B$4:$AO$4,1,34-Projects!$C$20+1)*Assumptions!$B$11*0.95),0)+IF(AND(Projects!$G$21="Yes",34&gt;=Projects!$C$21,34&lt;Projects!$C$21+Projects!$D$21),IF(34=Projects!$C$21+Projects!$D$21-1,Projects!$B$21*INDEX(Curves!$B$4:$AO$4,1,34-Projects!$C$21+1)*Assumptions!$B$11*0.95+0.05*Projects!$B$21*Assumptions!$B$11,Projects!$B$21*INDEX(Curves!$B$4:$AO$4,1,34-Projects!$C$21+1)*Assumptions!$B$11*0.95),0)+IF(AND(Projects!$G$22="Yes",34&gt;=Projects!$C$22,34&lt;Projects!$C$22+Projects!$D$22),IF(34=Projects!$C$22+Projects!$D$22-1,Projects!$B$22*INDEX(Curves!$B$4:$AO$4,1,34-Projects!$C$22+1)*Assumptions!$B$11*0.95+0.05*Projects!$B$22*Assumptions!$B$11,Projects!$B$22*INDEX(Curves!$B$4:$AO$4,1,34-Projects!$C$22+1)*Assumptions!$B$11*0.95),0)+IF(AND(Projects!$G$23="Yes",34&gt;=Projects!$C$23,34&lt;Projects!$C$23+Projects!$D$23),IF(34=Projects!$C$23+Projects!$D$23-1,Projects!$B$23*INDEX(Curves!$B$4:$AO$4,1,34-Projects!$C$23+1)*Assumptions!$B$11*0.95+0.05*Projects!$B$23*Assumptions!$B$11,Projects!$B$23*INDEX(Curves!$B$4:$AO$4,1,34-Projects!$C$23+1)*Assumptions!$B$11*0.95),0)+IF(AND(Projects!$G$24="Yes",34&gt;=Projects!$C$24,34&lt;Projects!$C$24+Projects!$D$24),IF(34=Projects!$C$24+Projects!$D$24-1,Projects!$B$24*INDEX(Curves!$B$4:$AO$4,1,34-Projects!$C$24+1)*Assumptions!$B$11*0.95+0.05*Projects!$B$24*Assumptions!$B$11,Projects!$B$24*INDEX(Curves!$B$4:$AO$4,1,34-Projects!$C$24+1)*Assumptions!$B$11*0.95),0)+IF(AND(Projects!$G$25="Yes",34&gt;=Projects!$C$25,34&lt;Projects!$C$25+Projects!$D$25),IF(34=Projects!$C$25+Projects!$D$25-1,Projects!$B$25*INDEX(Curves!$B$4:$AO$4,1,34-Projects!$C$25+1)*Assumptions!$B$11*0.95+0.05*Projects!$B$25*Assumptions!$B$11,Projects!$B$25*INDEX(Curves!$B$4:$AO$4,1,34-Projects!$C$25+1)*Assumptions!$B$11*0.95),0)+IF(AND(Projects!$G$26="Yes",34&gt;=Projects!$C$26,34&lt;Projects!$C$26+Projects!$D$26),IF(34=Projects!$C$26+Projects!$D$26-1,Projects!$B$26*INDEX(Curves!$B$4:$AO$4,1,34-Projects!$C$26+1)*Assumptions!$B$11*0.95+0.05*Projects!$B$26*Assumptions!$B$11,Projects!$B$26*INDEX(Curves!$B$4:$AO$4,1,34-Projects!$C$26+1)*Assumptions!$B$11*0.95),0)+IF(AND(Projects!$G$27="Yes",34&gt;=Projects!$C$27,34&lt;Projects!$C$27+Projects!$D$27),IF(34=Projects!$C$27+Projects!$D$27-1,Projects!$B$27*INDEX(Curves!$B$4:$AO$4,1,34-Projects!$C$27+1)*Assumptions!$B$11*0.95+0.05*Projects!$B$27*Assumptions!$B$11,Projects!$B$27*INDEX(Curves!$B$4:$AO$4,1,34-Projects!$C$27+1)*Assumptions!$B$11*0.95),0)+IF(AND(Projects!$G$28="Yes",34&gt;=Projects!$C$28,34&lt;Projects!$C$28+Projects!$D$28),IF(34=Projects!$C$28+Projects!$D$28-1,Projects!$B$28*INDEX(Curves!$B$4:$AO$4,1,34-Projects!$C$28+1)*Assumptions!$B$11*0.95+0.05*Projects!$B$28*Assumptions!$B$11,Projects!$B$28*INDEX(Curves!$B$4:$AO$4,1,34-Projects!$C$28+1)*Assumptions!$B$11*0.95),0)+IF(AND(Projects!$G$29="Yes",34&gt;=Projects!$C$29,34&lt;Projects!$C$29+Projects!$D$29),IF(34=Projects!$C$29+Projects!$D$29-1,Projects!$B$29*INDEX(Curves!$B$4:$AO$4,1,34-Projects!$C$29+1)*Assumptions!$B$11*0.95+0.05*Projects!$B$29*Assumptions!$B$11,Projects!$B$29*INDEX(Curves!$B$4:$AO$4,1,34-Projects!$C$29+1)*Assumptions!$B$11*0.95),0)</f>
        <v/>
      </c>
      <c r="AK99">
        <f>IF(AND(Projects!$G$17="Yes",35&gt;=Projects!$C$17,35&lt;Projects!$C$17+Projects!$D$17),IF(35=Projects!$C$17+Projects!$D$17-1,Projects!$B$17*INDEX(Curves!$B$4:$AO$4,1,35-Projects!$C$17+1)*Assumptions!$B$11*0.95+0.05*Projects!$B$17*Assumptions!$B$11,Projects!$B$17*INDEX(Curves!$B$4:$AO$4,1,35-Projects!$C$17+1)*Assumptions!$B$11*0.95),0)+IF(AND(Projects!$G$18="Yes",35&gt;=Projects!$C$18,35&lt;Projects!$C$18+Projects!$D$18),IF(35=Projects!$C$18+Projects!$D$18-1,Projects!$B$18*INDEX(Curves!$B$4:$AO$4,1,35-Projects!$C$18+1)*Assumptions!$B$11*0.95+0.05*Projects!$B$18*Assumptions!$B$11,Projects!$B$18*INDEX(Curves!$B$4:$AO$4,1,35-Projects!$C$18+1)*Assumptions!$B$11*0.95),0)+IF(AND(Projects!$G$19="Yes",35&gt;=Projects!$C$19,35&lt;Projects!$C$19+Projects!$D$19),IF(35=Projects!$C$19+Projects!$D$19-1,Projects!$B$19*INDEX(Curves!$B$4:$AO$4,1,35-Projects!$C$19+1)*Assumptions!$B$11*0.95+0.05*Projects!$B$19*Assumptions!$B$11,Projects!$B$19*INDEX(Curves!$B$4:$AO$4,1,35-Projects!$C$19+1)*Assumptions!$B$11*0.95),0)+IF(AND(Projects!$G$20="Yes",35&gt;=Projects!$C$20,35&lt;Projects!$C$20+Projects!$D$20),IF(35=Projects!$C$20+Projects!$D$20-1,Projects!$B$20*INDEX(Curves!$B$4:$AO$4,1,35-Projects!$C$20+1)*Assumptions!$B$11*0.95+0.05*Projects!$B$20*Assumptions!$B$11,Projects!$B$20*INDEX(Curves!$B$4:$AO$4,1,35-Projects!$C$20+1)*Assumptions!$B$11*0.95),0)+IF(AND(Projects!$G$21="Yes",35&gt;=Projects!$C$21,35&lt;Projects!$C$21+Projects!$D$21),IF(35=Projects!$C$21+Projects!$D$21-1,Projects!$B$21*INDEX(Curves!$B$4:$AO$4,1,35-Projects!$C$21+1)*Assumptions!$B$11*0.95+0.05*Projects!$B$21*Assumptions!$B$11,Projects!$B$21*INDEX(Curves!$B$4:$AO$4,1,35-Projects!$C$21+1)*Assumptions!$B$11*0.95),0)+IF(AND(Projects!$G$22="Yes",35&gt;=Projects!$C$22,35&lt;Projects!$C$22+Projects!$D$22),IF(35=Projects!$C$22+Projects!$D$22-1,Projects!$B$22*INDEX(Curves!$B$4:$AO$4,1,35-Projects!$C$22+1)*Assumptions!$B$11*0.95+0.05*Projects!$B$22*Assumptions!$B$11,Projects!$B$22*INDEX(Curves!$B$4:$AO$4,1,35-Projects!$C$22+1)*Assumptions!$B$11*0.95),0)+IF(AND(Projects!$G$23="Yes",35&gt;=Projects!$C$23,35&lt;Projects!$C$23+Projects!$D$23),IF(35=Projects!$C$23+Projects!$D$23-1,Projects!$B$23*INDEX(Curves!$B$4:$AO$4,1,35-Projects!$C$23+1)*Assumptions!$B$11*0.95+0.05*Projects!$B$23*Assumptions!$B$11,Projects!$B$23*INDEX(Curves!$B$4:$AO$4,1,35-Projects!$C$23+1)*Assumptions!$B$11*0.95),0)+IF(AND(Projects!$G$24="Yes",35&gt;=Projects!$C$24,35&lt;Projects!$C$24+Projects!$D$24),IF(35=Projects!$C$24+Projects!$D$24-1,Projects!$B$24*INDEX(Curves!$B$4:$AO$4,1,35-Projects!$C$24+1)*Assumptions!$B$11*0.95+0.05*Projects!$B$24*Assumptions!$B$11,Projects!$B$24*INDEX(Curves!$B$4:$AO$4,1,35-Projects!$C$24+1)*Assumptions!$B$11*0.95),0)+IF(AND(Projects!$G$25="Yes",35&gt;=Projects!$C$25,35&lt;Projects!$C$25+Projects!$D$25),IF(35=Projects!$C$25+Projects!$D$25-1,Projects!$B$25*INDEX(Curves!$B$4:$AO$4,1,35-Projects!$C$25+1)*Assumptions!$B$11*0.95+0.05*Projects!$B$25*Assumptions!$B$11,Projects!$B$25*INDEX(Curves!$B$4:$AO$4,1,35-Projects!$C$25+1)*Assumptions!$B$11*0.95),0)+IF(AND(Projects!$G$26="Yes",35&gt;=Projects!$C$26,35&lt;Projects!$C$26+Projects!$D$26),IF(35=Projects!$C$26+Projects!$D$26-1,Projects!$B$26*INDEX(Curves!$B$4:$AO$4,1,35-Projects!$C$26+1)*Assumptions!$B$11*0.95+0.05*Projects!$B$26*Assumptions!$B$11,Projects!$B$26*INDEX(Curves!$B$4:$AO$4,1,35-Projects!$C$26+1)*Assumptions!$B$11*0.95),0)+IF(AND(Projects!$G$27="Yes",35&gt;=Projects!$C$27,35&lt;Projects!$C$27+Projects!$D$27),IF(35=Projects!$C$27+Projects!$D$27-1,Projects!$B$27*INDEX(Curves!$B$4:$AO$4,1,35-Projects!$C$27+1)*Assumptions!$B$11*0.95+0.05*Projects!$B$27*Assumptions!$B$11,Projects!$B$27*INDEX(Curves!$B$4:$AO$4,1,35-Projects!$C$27+1)*Assumptions!$B$11*0.95),0)+IF(AND(Projects!$G$28="Yes",35&gt;=Projects!$C$28,35&lt;Projects!$C$28+Projects!$D$28),IF(35=Projects!$C$28+Projects!$D$28-1,Projects!$B$28*INDEX(Curves!$B$4:$AO$4,1,35-Projects!$C$28+1)*Assumptions!$B$11*0.95+0.05*Projects!$B$28*Assumptions!$B$11,Projects!$B$28*INDEX(Curves!$B$4:$AO$4,1,35-Projects!$C$28+1)*Assumptions!$B$11*0.95),0)+IF(AND(Projects!$G$29="Yes",35&gt;=Projects!$C$29,35&lt;Projects!$C$29+Projects!$D$29),IF(35=Projects!$C$29+Projects!$D$29-1,Projects!$B$29*INDEX(Curves!$B$4:$AO$4,1,35-Projects!$C$29+1)*Assumptions!$B$11*0.95+0.05*Projects!$B$29*Assumptions!$B$11,Projects!$B$29*INDEX(Curves!$B$4:$AO$4,1,35-Projects!$C$29+1)*Assumptions!$B$11*0.95),0)</f>
        <v/>
      </c>
      <c r="AL99">
        <f>IF(AND(Projects!$G$17="Yes",36&gt;=Projects!$C$17,36&lt;Projects!$C$17+Projects!$D$17),IF(36=Projects!$C$17+Projects!$D$17-1,Projects!$B$17*INDEX(Curves!$B$4:$AO$4,1,36-Projects!$C$17+1)*Assumptions!$B$11*0.95+0.05*Projects!$B$17*Assumptions!$B$11,Projects!$B$17*INDEX(Curves!$B$4:$AO$4,1,36-Projects!$C$17+1)*Assumptions!$B$11*0.95),0)+IF(AND(Projects!$G$18="Yes",36&gt;=Projects!$C$18,36&lt;Projects!$C$18+Projects!$D$18),IF(36=Projects!$C$18+Projects!$D$18-1,Projects!$B$18*INDEX(Curves!$B$4:$AO$4,1,36-Projects!$C$18+1)*Assumptions!$B$11*0.95+0.05*Projects!$B$18*Assumptions!$B$11,Projects!$B$18*INDEX(Curves!$B$4:$AO$4,1,36-Projects!$C$18+1)*Assumptions!$B$11*0.95),0)+IF(AND(Projects!$G$19="Yes",36&gt;=Projects!$C$19,36&lt;Projects!$C$19+Projects!$D$19),IF(36=Projects!$C$19+Projects!$D$19-1,Projects!$B$19*INDEX(Curves!$B$4:$AO$4,1,36-Projects!$C$19+1)*Assumptions!$B$11*0.95+0.05*Projects!$B$19*Assumptions!$B$11,Projects!$B$19*INDEX(Curves!$B$4:$AO$4,1,36-Projects!$C$19+1)*Assumptions!$B$11*0.95),0)+IF(AND(Projects!$G$20="Yes",36&gt;=Projects!$C$20,36&lt;Projects!$C$20+Projects!$D$20),IF(36=Projects!$C$20+Projects!$D$20-1,Projects!$B$20*INDEX(Curves!$B$4:$AO$4,1,36-Projects!$C$20+1)*Assumptions!$B$11*0.95+0.05*Projects!$B$20*Assumptions!$B$11,Projects!$B$20*INDEX(Curves!$B$4:$AO$4,1,36-Projects!$C$20+1)*Assumptions!$B$11*0.95),0)+IF(AND(Projects!$G$21="Yes",36&gt;=Projects!$C$21,36&lt;Projects!$C$21+Projects!$D$21),IF(36=Projects!$C$21+Projects!$D$21-1,Projects!$B$21*INDEX(Curves!$B$4:$AO$4,1,36-Projects!$C$21+1)*Assumptions!$B$11*0.95+0.05*Projects!$B$21*Assumptions!$B$11,Projects!$B$21*INDEX(Curves!$B$4:$AO$4,1,36-Projects!$C$21+1)*Assumptions!$B$11*0.95),0)+IF(AND(Projects!$G$22="Yes",36&gt;=Projects!$C$22,36&lt;Projects!$C$22+Projects!$D$22),IF(36=Projects!$C$22+Projects!$D$22-1,Projects!$B$22*INDEX(Curves!$B$4:$AO$4,1,36-Projects!$C$22+1)*Assumptions!$B$11*0.95+0.05*Projects!$B$22*Assumptions!$B$11,Projects!$B$22*INDEX(Curves!$B$4:$AO$4,1,36-Projects!$C$22+1)*Assumptions!$B$11*0.95),0)+IF(AND(Projects!$G$23="Yes",36&gt;=Projects!$C$23,36&lt;Projects!$C$23+Projects!$D$23),IF(36=Projects!$C$23+Projects!$D$23-1,Projects!$B$23*INDEX(Curves!$B$4:$AO$4,1,36-Projects!$C$23+1)*Assumptions!$B$11*0.95+0.05*Projects!$B$23*Assumptions!$B$11,Projects!$B$23*INDEX(Curves!$B$4:$AO$4,1,36-Projects!$C$23+1)*Assumptions!$B$11*0.95),0)+IF(AND(Projects!$G$24="Yes",36&gt;=Projects!$C$24,36&lt;Projects!$C$24+Projects!$D$24),IF(36=Projects!$C$24+Projects!$D$24-1,Projects!$B$24*INDEX(Curves!$B$4:$AO$4,1,36-Projects!$C$24+1)*Assumptions!$B$11*0.95+0.05*Projects!$B$24*Assumptions!$B$11,Projects!$B$24*INDEX(Curves!$B$4:$AO$4,1,36-Projects!$C$24+1)*Assumptions!$B$11*0.95),0)+IF(AND(Projects!$G$25="Yes",36&gt;=Projects!$C$25,36&lt;Projects!$C$25+Projects!$D$25),IF(36=Projects!$C$25+Projects!$D$25-1,Projects!$B$25*INDEX(Curves!$B$4:$AO$4,1,36-Projects!$C$25+1)*Assumptions!$B$11*0.95+0.05*Projects!$B$25*Assumptions!$B$11,Projects!$B$25*INDEX(Curves!$B$4:$AO$4,1,36-Projects!$C$25+1)*Assumptions!$B$11*0.95),0)+IF(AND(Projects!$G$26="Yes",36&gt;=Projects!$C$26,36&lt;Projects!$C$26+Projects!$D$26),IF(36=Projects!$C$26+Projects!$D$26-1,Projects!$B$26*INDEX(Curves!$B$4:$AO$4,1,36-Projects!$C$26+1)*Assumptions!$B$11*0.95+0.05*Projects!$B$26*Assumptions!$B$11,Projects!$B$26*INDEX(Curves!$B$4:$AO$4,1,36-Projects!$C$26+1)*Assumptions!$B$11*0.95),0)+IF(AND(Projects!$G$27="Yes",36&gt;=Projects!$C$27,36&lt;Projects!$C$27+Projects!$D$27),IF(36=Projects!$C$27+Projects!$D$27-1,Projects!$B$27*INDEX(Curves!$B$4:$AO$4,1,36-Projects!$C$27+1)*Assumptions!$B$11*0.95+0.05*Projects!$B$27*Assumptions!$B$11,Projects!$B$27*INDEX(Curves!$B$4:$AO$4,1,36-Projects!$C$27+1)*Assumptions!$B$11*0.95),0)+IF(AND(Projects!$G$28="Yes",36&gt;=Projects!$C$28,36&lt;Projects!$C$28+Projects!$D$28),IF(36=Projects!$C$28+Projects!$D$28-1,Projects!$B$28*INDEX(Curves!$B$4:$AO$4,1,36-Projects!$C$28+1)*Assumptions!$B$11*0.95+0.05*Projects!$B$28*Assumptions!$B$11,Projects!$B$28*INDEX(Curves!$B$4:$AO$4,1,36-Projects!$C$28+1)*Assumptions!$B$11*0.95),0)+IF(AND(Projects!$G$29="Yes",36&gt;=Projects!$C$29,36&lt;Projects!$C$29+Projects!$D$29),IF(36=Projects!$C$29+Projects!$D$29-1,Projects!$B$29*INDEX(Curves!$B$4:$AO$4,1,36-Projects!$C$29+1)*Assumptions!$B$11*0.95+0.05*Projects!$B$29*Assumptions!$B$11,Projects!$B$29*INDEX(Curves!$B$4:$AO$4,1,36-Projects!$C$29+1)*Assumptions!$B$11*0.95),0)</f>
        <v/>
      </c>
      <c r="AM99">
        <f>IF(AND(Projects!$G$17="Yes",37&gt;=Projects!$C$17,37&lt;Projects!$C$17+Projects!$D$17),IF(37=Projects!$C$17+Projects!$D$17-1,Projects!$B$17*INDEX(Curves!$B$4:$AO$4,1,37-Projects!$C$17+1)*Assumptions!$B$11*0.95+0.05*Projects!$B$17*Assumptions!$B$11,Projects!$B$17*INDEX(Curves!$B$4:$AO$4,1,37-Projects!$C$17+1)*Assumptions!$B$11*0.95),0)+IF(AND(Projects!$G$18="Yes",37&gt;=Projects!$C$18,37&lt;Projects!$C$18+Projects!$D$18),IF(37=Projects!$C$18+Projects!$D$18-1,Projects!$B$18*INDEX(Curves!$B$4:$AO$4,1,37-Projects!$C$18+1)*Assumptions!$B$11*0.95+0.05*Projects!$B$18*Assumptions!$B$11,Projects!$B$18*INDEX(Curves!$B$4:$AO$4,1,37-Projects!$C$18+1)*Assumptions!$B$11*0.95),0)+IF(AND(Projects!$G$19="Yes",37&gt;=Projects!$C$19,37&lt;Projects!$C$19+Projects!$D$19),IF(37=Projects!$C$19+Projects!$D$19-1,Projects!$B$19*INDEX(Curves!$B$4:$AO$4,1,37-Projects!$C$19+1)*Assumptions!$B$11*0.95+0.05*Projects!$B$19*Assumptions!$B$11,Projects!$B$19*INDEX(Curves!$B$4:$AO$4,1,37-Projects!$C$19+1)*Assumptions!$B$11*0.95),0)+IF(AND(Projects!$G$20="Yes",37&gt;=Projects!$C$20,37&lt;Projects!$C$20+Projects!$D$20),IF(37=Projects!$C$20+Projects!$D$20-1,Projects!$B$20*INDEX(Curves!$B$4:$AO$4,1,37-Projects!$C$20+1)*Assumptions!$B$11*0.95+0.05*Projects!$B$20*Assumptions!$B$11,Projects!$B$20*INDEX(Curves!$B$4:$AO$4,1,37-Projects!$C$20+1)*Assumptions!$B$11*0.95),0)+IF(AND(Projects!$G$21="Yes",37&gt;=Projects!$C$21,37&lt;Projects!$C$21+Projects!$D$21),IF(37=Projects!$C$21+Projects!$D$21-1,Projects!$B$21*INDEX(Curves!$B$4:$AO$4,1,37-Projects!$C$21+1)*Assumptions!$B$11*0.95+0.05*Projects!$B$21*Assumptions!$B$11,Projects!$B$21*INDEX(Curves!$B$4:$AO$4,1,37-Projects!$C$21+1)*Assumptions!$B$11*0.95),0)+IF(AND(Projects!$G$22="Yes",37&gt;=Projects!$C$22,37&lt;Projects!$C$22+Projects!$D$22),IF(37=Projects!$C$22+Projects!$D$22-1,Projects!$B$22*INDEX(Curves!$B$4:$AO$4,1,37-Projects!$C$22+1)*Assumptions!$B$11*0.95+0.05*Projects!$B$22*Assumptions!$B$11,Projects!$B$22*INDEX(Curves!$B$4:$AO$4,1,37-Projects!$C$22+1)*Assumptions!$B$11*0.95),0)+IF(AND(Projects!$G$23="Yes",37&gt;=Projects!$C$23,37&lt;Projects!$C$23+Projects!$D$23),IF(37=Projects!$C$23+Projects!$D$23-1,Projects!$B$23*INDEX(Curves!$B$4:$AO$4,1,37-Projects!$C$23+1)*Assumptions!$B$11*0.95+0.05*Projects!$B$23*Assumptions!$B$11,Projects!$B$23*INDEX(Curves!$B$4:$AO$4,1,37-Projects!$C$23+1)*Assumptions!$B$11*0.95),0)+IF(AND(Projects!$G$24="Yes",37&gt;=Projects!$C$24,37&lt;Projects!$C$24+Projects!$D$24),IF(37=Projects!$C$24+Projects!$D$24-1,Projects!$B$24*INDEX(Curves!$B$4:$AO$4,1,37-Projects!$C$24+1)*Assumptions!$B$11*0.95+0.05*Projects!$B$24*Assumptions!$B$11,Projects!$B$24*INDEX(Curves!$B$4:$AO$4,1,37-Projects!$C$24+1)*Assumptions!$B$11*0.95),0)+IF(AND(Projects!$G$25="Yes",37&gt;=Projects!$C$25,37&lt;Projects!$C$25+Projects!$D$25),IF(37=Projects!$C$25+Projects!$D$25-1,Projects!$B$25*INDEX(Curves!$B$4:$AO$4,1,37-Projects!$C$25+1)*Assumptions!$B$11*0.95+0.05*Projects!$B$25*Assumptions!$B$11,Projects!$B$25*INDEX(Curves!$B$4:$AO$4,1,37-Projects!$C$25+1)*Assumptions!$B$11*0.95),0)+IF(AND(Projects!$G$26="Yes",37&gt;=Projects!$C$26,37&lt;Projects!$C$26+Projects!$D$26),IF(37=Projects!$C$26+Projects!$D$26-1,Projects!$B$26*INDEX(Curves!$B$4:$AO$4,1,37-Projects!$C$26+1)*Assumptions!$B$11*0.95+0.05*Projects!$B$26*Assumptions!$B$11,Projects!$B$26*INDEX(Curves!$B$4:$AO$4,1,37-Projects!$C$26+1)*Assumptions!$B$11*0.95),0)+IF(AND(Projects!$G$27="Yes",37&gt;=Projects!$C$27,37&lt;Projects!$C$27+Projects!$D$27),IF(37=Projects!$C$27+Projects!$D$27-1,Projects!$B$27*INDEX(Curves!$B$4:$AO$4,1,37-Projects!$C$27+1)*Assumptions!$B$11*0.95+0.05*Projects!$B$27*Assumptions!$B$11,Projects!$B$27*INDEX(Curves!$B$4:$AO$4,1,37-Projects!$C$27+1)*Assumptions!$B$11*0.95),0)+IF(AND(Projects!$G$28="Yes",37&gt;=Projects!$C$28,37&lt;Projects!$C$28+Projects!$D$28),IF(37=Projects!$C$28+Projects!$D$28-1,Projects!$B$28*INDEX(Curves!$B$4:$AO$4,1,37-Projects!$C$28+1)*Assumptions!$B$11*0.95+0.05*Projects!$B$28*Assumptions!$B$11,Projects!$B$28*INDEX(Curves!$B$4:$AO$4,1,37-Projects!$C$28+1)*Assumptions!$B$11*0.95),0)+IF(AND(Projects!$G$29="Yes",37&gt;=Projects!$C$29,37&lt;Projects!$C$29+Projects!$D$29),IF(37=Projects!$C$29+Projects!$D$29-1,Projects!$B$29*INDEX(Curves!$B$4:$AO$4,1,37-Projects!$C$29+1)*Assumptions!$B$11*0.95+0.05*Projects!$B$29*Assumptions!$B$11,Projects!$B$29*INDEX(Curves!$B$4:$AO$4,1,37-Projects!$C$29+1)*Assumptions!$B$11*0.95),0)</f>
        <v/>
      </c>
      <c r="AN99">
        <f>IF(AND(Projects!$G$17="Yes",38&gt;=Projects!$C$17,38&lt;Projects!$C$17+Projects!$D$17),IF(38=Projects!$C$17+Projects!$D$17-1,Projects!$B$17*INDEX(Curves!$B$4:$AO$4,1,38-Projects!$C$17+1)*Assumptions!$B$11*0.95+0.05*Projects!$B$17*Assumptions!$B$11,Projects!$B$17*INDEX(Curves!$B$4:$AO$4,1,38-Projects!$C$17+1)*Assumptions!$B$11*0.95),0)+IF(AND(Projects!$G$18="Yes",38&gt;=Projects!$C$18,38&lt;Projects!$C$18+Projects!$D$18),IF(38=Projects!$C$18+Projects!$D$18-1,Projects!$B$18*INDEX(Curves!$B$4:$AO$4,1,38-Projects!$C$18+1)*Assumptions!$B$11*0.95+0.05*Projects!$B$18*Assumptions!$B$11,Projects!$B$18*INDEX(Curves!$B$4:$AO$4,1,38-Projects!$C$18+1)*Assumptions!$B$11*0.95),0)+IF(AND(Projects!$G$19="Yes",38&gt;=Projects!$C$19,38&lt;Projects!$C$19+Projects!$D$19),IF(38=Projects!$C$19+Projects!$D$19-1,Projects!$B$19*INDEX(Curves!$B$4:$AO$4,1,38-Projects!$C$19+1)*Assumptions!$B$11*0.95+0.05*Projects!$B$19*Assumptions!$B$11,Projects!$B$19*INDEX(Curves!$B$4:$AO$4,1,38-Projects!$C$19+1)*Assumptions!$B$11*0.95),0)+IF(AND(Projects!$G$20="Yes",38&gt;=Projects!$C$20,38&lt;Projects!$C$20+Projects!$D$20),IF(38=Projects!$C$20+Projects!$D$20-1,Projects!$B$20*INDEX(Curves!$B$4:$AO$4,1,38-Projects!$C$20+1)*Assumptions!$B$11*0.95+0.05*Projects!$B$20*Assumptions!$B$11,Projects!$B$20*INDEX(Curves!$B$4:$AO$4,1,38-Projects!$C$20+1)*Assumptions!$B$11*0.95),0)+IF(AND(Projects!$G$21="Yes",38&gt;=Projects!$C$21,38&lt;Projects!$C$21+Projects!$D$21),IF(38=Projects!$C$21+Projects!$D$21-1,Projects!$B$21*INDEX(Curves!$B$4:$AO$4,1,38-Projects!$C$21+1)*Assumptions!$B$11*0.95+0.05*Projects!$B$21*Assumptions!$B$11,Projects!$B$21*INDEX(Curves!$B$4:$AO$4,1,38-Projects!$C$21+1)*Assumptions!$B$11*0.95),0)+IF(AND(Projects!$G$22="Yes",38&gt;=Projects!$C$22,38&lt;Projects!$C$22+Projects!$D$22),IF(38=Projects!$C$22+Projects!$D$22-1,Projects!$B$22*INDEX(Curves!$B$4:$AO$4,1,38-Projects!$C$22+1)*Assumptions!$B$11*0.95+0.05*Projects!$B$22*Assumptions!$B$11,Projects!$B$22*INDEX(Curves!$B$4:$AO$4,1,38-Projects!$C$22+1)*Assumptions!$B$11*0.95),0)+IF(AND(Projects!$G$23="Yes",38&gt;=Projects!$C$23,38&lt;Projects!$C$23+Projects!$D$23),IF(38=Projects!$C$23+Projects!$D$23-1,Projects!$B$23*INDEX(Curves!$B$4:$AO$4,1,38-Projects!$C$23+1)*Assumptions!$B$11*0.95+0.05*Projects!$B$23*Assumptions!$B$11,Projects!$B$23*INDEX(Curves!$B$4:$AO$4,1,38-Projects!$C$23+1)*Assumptions!$B$11*0.95),0)+IF(AND(Projects!$G$24="Yes",38&gt;=Projects!$C$24,38&lt;Projects!$C$24+Projects!$D$24),IF(38=Projects!$C$24+Projects!$D$24-1,Projects!$B$24*INDEX(Curves!$B$4:$AO$4,1,38-Projects!$C$24+1)*Assumptions!$B$11*0.95+0.05*Projects!$B$24*Assumptions!$B$11,Projects!$B$24*INDEX(Curves!$B$4:$AO$4,1,38-Projects!$C$24+1)*Assumptions!$B$11*0.95),0)+IF(AND(Projects!$G$25="Yes",38&gt;=Projects!$C$25,38&lt;Projects!$C$25+Projects!$D$25),IF(38=Projects!$C$25+Projects!$D$25-1,Projects!$B$25*INDEX(Curves!$B$4:$AO$4,1,38-Projects!$C$25+1)*Assumptions!$B$11*0.95+0.05*Projects!$B$25*Assumptions!$B$11,Projects!$B$25*INDEX(Curves!$B$4:$AO$4,1,38-Projects!$C$25+1)*Assumptions!$B$11*0.95),0)+IF(AND(Projects!$G$26="Yes",38&gt;=Projects!$C$26,38&lt;Projects!$C$26+Projects!$D$26),IF(38=Projects!$C$26+Projects!$D$26-1,Projects!$B$26*INDEX(Curves!$B$4:$AO$4,1,38-Projects!$C$26+1)*Assumptions!$B$11*0.95+0.05*Projects!$B$26*Assumptions!$B$11,Projects!$B$26*INDEX(Curves!$B$4:$AO$4,1,38-Projects!$C$26+1)*Assumptions!$B$11*0.95),0)+IF(AND(Projects!$G$27="Yes",38&gt;=Projects!$C$27,38&lt;Projects!$C$27+Projects!$D$27),IF(38=Projects!$C$27+Projects!$D$27-1,Projects!$B$27*INDEX(Curves!$B$4:$AO$4,1,38-Projects!$C$27+1)*Assumptions!$B$11*0.95+0.05*Projects!$B$27*Assumptions!$B$11,Projects!$B$27*INDEX(Curves!$B$4:$AO$4,1,38-Projects!$C$27+1)*Assumptions!$B$11*0.95),0)+IF(AND(Projects!$G$28="Yes",38&gt;=Projects!$C$28,38&lt;Projects!$C$28+Projects!$D$28),IF(38=Projects!$C$28+Projects!$D$28-1,Projects!$B$28*INDEX(Curves!$B$4:$AO$4,1,38-Projects!$C$28+1)*Assumptions!$B$11*0.95+0.05*Projects!$B$28*Assumptions!$B$11,Projects!$B$28*INDEX(Curves!$B$4:$AO$4,1,38-Projects!$C$28+1)*Assumptions!$B$11*0.95),0)+IF(AND(Projects!$G$29="Yes",38&gt;=Projects!$C$29,38&lt;Projects!$C$29+Projects!$D$29),IF(38=Projects!$C$29+Projects!$D$29-1,Projects!$B$29*INDEX(Curves!$B$4:$AO$4,1,38-Projects!$C$29+1)*Assumptions!$B$11*0.95+0.05*Projects!$B$29*Assumptions!$B$11,Projects!$B$29*INDEX(Curves!$B$4:$AO$4,1,38-Projects!$C$29+1)*Assumptions!$B$11*0.95),0)</f>
        <v/>
      </c>
      <c r="AO99">
        <f>IF(AND(Projects!$G$17="Yes",39&gt;=Projects!$C$17,39&lt;Projects!$C$17+Projects!$D$17),IF(39=Projects!$C$17+Projects!$D$17-1,Projects!$B$17*INDEX(Curves!$B$4:$AO$4,1,39-Projects!$C$17+1)*Assumptions!$B$11*0.95+0.05*Projects!$B$17*Assumptions!$B$11,Projects!$B$17*INDEX(Curves!$B$4:$AO$4,1,39-Projects!$C$17+1)*Assumptions!$B$11*0.95),0)+IF(AND(Projects!$G$18="Yes",39&gt;=Projects!$C$18,39&lt;Projects!$C$18+Projects!$D$18),IF(39=Projects!$C$18+Projects!$D$18-1,Projects!$B$18*INDEX(Curves!$B$4:$AO$4,1,39-Projects!$C$18+1)*Assumptions!$B$11*0.95+0.05*Projects!$B$18*Assumptions!$B$11,Projects!$B$18*INDEX(Curves!$B$4:$AO$4,1,39-Projects!$C$18+1)*Assumptions!$B$11*0.95),0)+IF(AND(Projects!$G$19="Yes",39&gt;=Projects!$C$19,39&lt;Projects!$C$19+Projects!$D$19),IF(39=Projects!$C$19+Projects!$D$19-1,Projects!$B$19*INDEX(Curves!$B$4:$AO$4,1,39-Projects!$C$19+1)*Assumptions!$B$11*0.95+0.05*Projects!$B$19*Assumptions!$B$11,Projects!$B$19*INDEX(Curves!$B$4:$AO$4,1,39-Projects!$C$19+1)*Assumptions!$B$11*0.95),0)+IF(AND(Projects!$G$20="Yes",39&gt;=Projects!$C$20,39&lt;Projects!$C$20+Projects!$D$20),IF(39=Projects!$C$20+Projects!$D$20-1,Projects!$B$20*INDEX(Curves!$B$4:$AO$4,1,39-Projects!$C$20+1)*Assumptions!$B$11*0.95+0.05*Projects!$B$20*Assumptions!$B$11,Projects!$B$20*INDEX(Curves!$B$4:$AO$4,1,39-Projects!$C$20+1)*Assumptions!$B$11*0.95),0)+IF(AND(Projects!$G$21="Yes",39&gt;=Projects!$C$21,39&lt;Projects!$C$21+Projects!$D$21),IF(39=Projects!$C$21+Projects!$D$21-1,Projects!$B$21*INDEX(Curves!$B$4:$AO$4,1,39-Projects!$C$21+1)*Assumptions!$B$11*0.95+0.05*Projects!$B$21*Assumptions!$B$11,Projects!$B$21*INDEX(Curves!$B$4:$AO$4,1,39-Projects!$C$21+1)*Assumptions!$B$11*0.95),0)+IF(AND(Projects!$G$22="Yes",39&gt;=Projects!$C$22,39&lt;Projects!$C$22+Projects!$D$22),IF(39=Projects!$C$22+Projects!$D$22-1,Projects!$B$22*INDEX(Curves!$B$4:$AO$4,1,39-Projects!$C$22+1)*Assumptions!$B$11*0.95+0.05*Projects!$B$22*Assumptions!$B$11,Projects!$B$22*INDEX(Curves!$B$4:$AO$4,1,39-Projects!$C$22+1)*Assumptions!$B$11*0.95),0)+IF(AND(Projects!$G$23="Yes",39&gt;=Projects!$C$23,39&lt;Projects!$C$23+Projects!$D$23),IF(39=Projects!$C$23+Projects!$D$23-1,Projects!$B$23*INDEX(Curves!$B$4:$AO$4,1,39-Projects!$C$23+1)*Assumptions!$B$11*0.95+0.05*Projects!$B$23*Assumptions!$B$11,Projects!$B$23*INDEX(Curves!$B$4:$AO$4,1,39-Projects!$C$23+1)*Assumptions!$B$11*0.95),0)+IF(AND(Projects!$G$24="Yes",39&gt;=Projects!$C$24,39&lt;Projects!$C$24+Projects!$D$24),IF(39=Projects!$C$24+Projects!$D$24-1,Projects!$B$24*INDEX(Curves!$B$4:$AO$4,1,39-Projects!$C$24+1)*Assumptions!$B$11*0.95+0.05*Projects!$B$24*Assumptions!$B$11,Projects!$B$24*INDEX(Curves!$B$4:$AO$4,1,39-Projects!$C$24+1)*Assumptions!$B$11*0.95),0)+IF(AND(Projects!$G$25="Yes",39&gt;=Projects!$C$25,39&lt;Projects!$C$25+Projects!$D$25),IF(39=Projects!$C$25+Projects!$D$25-1,Projects!$B$25*INDEX(Curves!$B$4:$AO$4,1,39-Projects!$C$25+1)*Assumptions!$B$11*0.95+0.05*Projects!$B$25*Assumptions!$B$11,Projects!$B$25*INDEX(Curves!$B$4:$AO$4,1,39-Projects!$C$25+1)*Assumptions!$B$11*0.95),0)+IF(AND(Projects!$G$26="Yes",39&gt;=Projects!$C$26,39&lt;Projects!$C$26+Projects!$D$26),IF(39=Projects!$C$26+Projects!$D$26-1,Projects!$B$26*INDEX(Curves!$B$4:$AO$4,1,39-Projects!$C$26+1)*Assumptions!$B$11*0.95+0.05*Projects!$B$26*Assumptions!$B$11,Projects!$B$26*INDEX(Curves!$B$4:$AO$4,1,39-Projects!$C$26+1)*Assumptions!$B$11*0.95),0)+IF(AND(Projects!$G$27="Yes",39&gt;=Projects!$C$27,39&lt;Projects!$C$27+Projects!$D$27),IF(39=Projects!$C$27+Projects!$D$27-1,Projects!$B$27*INDEX(Curves!$B$4:$AO$4,1,39-Projects!$C$27+1)*Assumptions!$B$11*0.95+0.05*Projects!$B$27*Assumptions!$B$11,Projects!$B$27*INDEX(Curves!$B$4:$AO$4,1,39-Projects!$C$27+1)*Assumptions!$B$11*0.95),0)+IF(AND(Projects!$G$28="Yes",39&gt;=Projects!$C$28,39&lt;Projects!$C$28+Projects!$D$28),IF(39=Projects!$C$28+Projects!$D$28-1,Projects!$B$28*INDEX(Curves!$B$4:$AO$4,1,39-Projects!$C$28+1)*Assumptions!$B$11*0.95+0.05*Projects!$B$28*Assumptions!$B$11,Projects!$B$28*INDEX(Curves!$B$4:$AO$4,1,39-Projects!$C$28+1)*Assumptions!$B$11*0.95),0)+IF(AND(Projects!$G$29="Yes",39&gt;=Projects!$C$29,39&lt;Projects!$C$29+Projects!$D$29),IF(39=Projects!$C$29+Projects!$D$29-1,Projects!$B$29*INDEX(Curves!$B$4:$AO$4,1,39-Projects!$C$29+1)*Assumptions!$B$11*0.95+0.05*Projects!$B$29*Assumptions!$B$11,Projects!$B$29*INDEX(Curves!$B$4:$AO$4,1,39-Projects!$C$29+1)*Assumptions!$B$11*0.95),0)</f>
        <v/>
      </c>
      <c r="AP99">
        <f>IF(AND(Projects!$G$17="Yes",40&gt;=Projects!$C$17,40&lt;Projects!$C$17+Projects!$D$17),IF(40=Projects!$C$17+Projects!$D$17-1,Projects!$B$17*INDEX(Curves!$B$4:$AO$4,1,40-Projects!$C$17+1)*Assumptions!$B$11*0.95+0.05*Projects!$B$17*Assumptions!$B$11,Projects!$B$17*INDEX(Curves!$B$4:$AO$4,1,40-Projects!$C$17+1)*Assumptions!$B$11*0.95),0)+IF(AND(Projects!$G$18="Yes",40&gt;=Projects!$C$18,40&lt;Projects!$C$18+Projects!$D$18),IF(40=Projects!$C$18+Projects!$D$18-1,Projects!$B$18*INDEX(Curves!$B$4:$AO$4,1,40-Projects!$C$18+1)*Assumptions!$B$11*0.95+0.05*Projects!$B$18*Assumptions!$B$11,Projects!$B$18*INDEX(Curves!$B$4:$AO$4,1,40-Projects!$C$18+1)*Assumptions!$B$11*0.95),0)+IF(AND(Projects!$G$19="Yes",40&gt;=Projects!$C$19,40&lt;Projects!$C$19+Projects!$D$19),IF(40=Projects!$C$19+Projects!$D$19-1,Projects!$B$19*INDEX(Curves!$B$4:$AO$4,1,40-Projects!$C$19+1)*Assumptions!$B$11*0.95+0.05*Projects!$B$19*Assumptions!$B$11,Projects!$B$19*INDEX(Curves!$B$4:$AO$4,1,40-Projects!$C$19+1)*Assumptions!$B$11*0.95),0)+IF(AND(Projects!$G$20="Yes",40&gt;=Projects!$C$20,40&lt;Projects!$C$20+Projects!$D$20),IF(40=Projects!$C$20+Projects!$D$20-1,Projects!$B$20*INDEX(Curves!$B$4:$AO$4,1,40-Projects!$C$20+1)*Assumptions!$B$11*0.95+0.05*Projects!$B$20*Assumptions!$B$11,Projects!$B$20*INDEX(Curves!$B$4:$AO$4,1,40-Projects!$C$20+1)*Assumptions!$B$11*0.95),0)+IF(AND(Projects!$G$21="Yes",40&gt;=Projects!$C$21,40&lt;Projects!$C$21+Projects!$D$21),IF(40=Projects!$C$21+Projects!$D$21-1,Projects!$B$21*INDEX(Curves!$B$4:$AO$4,1,40-Projects!$C$21+1)*Assumptions!$B$11*0.95+0.05*Projects!$B$21*Assumptions!$B$11,Projects!$B$21*INDEX(Curves!$B$4:$AO$4,1,40-Projects!$C$21+1)*Assumptions!$B$11*0.95),0)+IF(AND(Projects!$G$22="Yes",40&gt;=Projects!$C$22,40&lt;Projects!$C$22+Projects!$D$22),IF(40=Projects!$C$22+Projects!$D$22-1,Projects!$B$22*INDEX(Curves!$B$4:$AO$4,1,40-Projects!$C$22+1)*Assumptions!$B$11*0.95+0.05*Projects!$B$22*Assumptions!$B$11,Projects!$B$22*INDEX(Curves!$B$4:$AO$4,1,40-Projects!$C$22+1)*Assumptions!$B$11*0.95),0)+IF(AND(Projects!$G$23="Yes",40&gt;=Projects!$C$23,40&lt;Projects!$C$23+Projects!$D$23),IF(40=Projects!$C$23+Projects!$D$23-1,Projects!$B$23*INDEX(Curves!$B$4:$AO$4,1,40-Projects!$C$23+1)*Assumptions!$B$11*0.95+0.05*Projects!$B$23*Assumptions!$B$11,Projects!$B$23*INDEX(Curves!$B$4:$AO$4,1,40-Projects!$C$23+1)*Assumptions!$B$11*0.95),0)+IF(AND(Projects!$G$24="Yes",40&gt;=Projects!$C$24,40&lt;Projects!$C$24+Projects!$D$24),IF(40=Projects!$C$24+Projects!$D$24-1,Projects!$B$24*INDEX(Curves!$B$4:$AO$4,1,40-Projects!$C$24+1)*Assumptions!$B$11*0.95+0.05*Projects!$B$24*Assumptions!$B$11,Projects!$B$24*INDEX(Curves!$B$4:$AO$4,1,40-Projects!$C$24+1)*Assumptions!$B$11*0.95),0)+IF(AND(Projects!$G$25="Yes",40&gt;=Projects!$C$25,40&lt;Projects!$C$25+Projects!$D$25),IF(40=Projects!$C$25+Projects!$D$25-1,Projects!$B$25*INDEX(Curves!$B$4:$AO$4,1,40-Projects!$C$25+1)*Assumptions!$B$11*0.95+0.05*Projects!$B$25*Assumptions!$B$11,Projects!$B$25*INDEX(Curves!$B$4:$AO$4,1,40-Projects!$C$25+1)*Assumptions!$B$11*0.95),0)+IF(AND(Projects!$G$26="Yes",40&gt;=Projects!$C$26,40&lt;Projects!$C$26+Projects!$D$26),IF(40=Projects!$C$26+Projects!$D$26-1,Projects!$B$26*INDEX(Curves!$B$4:$AO$4,1,40-Projects!$C$26+1)*Assumptions!$B$11*0.95+0.05*Projects!$B$26*Assumptions!$B$11,Projects!$B$26*INDEX(Curves!$B$4:$AO$4,1,40-Projects!$C$26+1)*Assumptions!$B$11*0.95),0)+IF(AND(Projects!$G$27="Yes",40&gt;=Projects!$C$27,40&lt;Projects!$C$27+Projects!$D$27),IF(40=Projects!$C$27+Projects!$D$27-1,Projects!$B$27*INDEX(Curves!$B$4:$AO$4,1,40-Projects!$C$27+1)*Assumptions!$B$11*0.95+0.05*Projects!$B$27*Assumptions!$B$11,Projects!$B$27*INDEX(Curves!$B$4:$AO$4,1,40-Projects!$C$27+1)*Assumptions!$B$11*0.95),0)+IF(AND(Projects!$G$28="Yes",40&gt;=Projects!$C$28,40&lt;Projects!$C$28+Projects!$D$28),IF(40=Projects!$C$28+Projects!$D$28-1,Projects!$B$28*INDEX(Curves!$B$4:$AO$4,1,40-Projects!$C$28+1)*Assumptions!$B$11*0.95+0.05*Projects!$B$28*Assumptions!$B$11,Projects!$B$28*INDEX(Curves!$B$4:$AO$4,1,40-Projects!$C$28+1)*Assumptions!$B$11*0.95),0)+IF(AND(Projects!$G$29="Yes",40&gt;=Projects!$C$29,40&lt;Projects!$C$29+Projects!$D$29),IF(40=Projects!$C$29+Projects!$D$29-1,Projects!$B$29*INDEX(Curves!$B$4:$AO$4,1,40-Projects!$C$29+1)*Assumptions!$B$11*0.95+0.05*Projects!$B$29*Assumptions!$B$11,Projects!$B$29*INDEX(Curves!$B$4:$AO$4,1,40-Projects!$C$29+1)*Assumptions!$B$11*0.95),0)</f>
        <v/>
      </c>
      <c r="AQ99">
        <f>IF(AND(Projects!$G$17="Yes",41&gt;=Projects!$C$17,41&lt;Projects!$C$17+Projects!$D$17),IF(41=Projects!$C$17+Projects!$D$17-1,Projects!$B$17*INDEX(Curves!$B$4:$AO$4,1,41-Projects!$C$17+1)*Assumptions!$B$11*0.95+0.05*Projects!$B$17*Assumptions!$B$11,Projects!$B$17*INDEX(Curves!$B$4:$AO$4,1,41-Projects!$C$17+1)*Assumptions!$B$11*0.95),0)+IF(AND(Projects!$G$18="Yes",41&gt;=Projects!$C$18,41&lt;Projects!$C$18+Projects!$D$18),IF(41=Projects!$C$18+Projects!$D$18-1,Projects!$B$18*INDEX(Curves!$B$4:$AO$4,1,41-Projects!$C$18+1)*Assumptions!$B$11*0.95+0.05*Projects!$B$18*Assumptions!$B$11,Projects!$B$18*INDEX(Curves!$B$4:$AO$4,1,41-Projects!$C$18+1)*Assumptions!$B$11*0.95),0)+IF(AND(Projects!$G$19="Yes",41&gt;=Projects!$C$19,41&lt;Projects!$C$19+Projects!$D$19),IF(41=Projects!$C$19+Projects!$D$19-1,Projects!$B$19*INDEX(Curves!$B$4:$AO$4,1,41-Projects!$C$19+1)*Assumptions!$B$11*0.95+0.05*Projects!$B$19*Assumptions!$B$11,Projects!$B$19*INDEX(Curves!$B$4:$AO$4,1,41-Projects!$C$19+1)*Assumptions!$B$11*0.95),0)+IF(AND(Projects!$G$20="Yes",41&gt;=Projects!$C$20,41&lt;Projects!$C$20+Projects!$D$20),IF(41=Projects!$C$20+Projects!$D$20-1,Projects!$B$20*INDEX(Curves!$B$4:$AO$4,1,41-Projects!$C$20+1)*Assumptions!$B$11*0.95+0.05*Projects!$B$20*Assumptions!$B$11,Projects!$B$20*INDEX(Curves!$B$4:$AO$4,1,41-Projects!$C$20+1)*Assumptions!$B$11*0.95),0)+IF(AND(Projects!$G$21="Yes",41&gt;=Projects!$C$21,41&lt;Projects!$C$21+Projects!$D$21),IF(41=Projects!$C$21+Projects!$D$21-1,Projects!$B$21*INDEX(Curves!$B$4:$AO$4,1,41-Projects!$C$21+1)*Assumptions!$B$11*0.95+0.05*Projects!$B$21*Assumptions!$B$11,Projects!$B$21*INDEX(Curves!$B$4:$AO$4,1,41-Projects!$C$21+1)*Assumptions!$B$11*0.95),0)+IF(AND(Projects!$G$22="Yes",41&gt;=Projects!$C$22,41&lt;Projects!$C$22+Projects!$D$22),IF(41=Projects!$C$22+Projects!$D$22-1,Projects!$B$22*INDEX(Curves!$B$4:$AO$4,1,41-Projects!$C$22+1)*Assumptions!$B$11*0.95+0.05*Projects!$B$22*Assumptions!$B$11,Projects!$B$22*INDEX(Curves!$B$4:$AO$4,1,41-Projects!$C$22+1)*Assumptions!$B$11*0.95),0)+IF(AND(Projects!$G$23="Yes",41&gt;=Projects!$C$23,41&lt;Projects!$C$23+Projects!$D$23),IF(41=Projects!$C$23+Projects!$D$23-1,Projects!$B$23*INDEX(Curves!$B$4:$AO$4,1,41-Projects!$C$23+1)*Assumptions!$B$11*0.95+0.05*Projects!$B$23*Assumptions!$B$11,Projects!$B$23*INDEX(Curves!$B$4:$AO$4,1,41-Projects!$C$23+1)*Assumptions!$B$11*0.95),0)+IF(AND(Projects!$G$24="Yes",41&gt;=Projects!$C$24,41&lt;Projects!$C$24+Projects!$D$24),IF(41=Projects!$C$24+Projects!$D$24-1,Projects!$B$24*INDEX(Curves!$B$4:$AO$4,1,41-Projects!$C$24+1)*Assumptions!$B$11*0.95+0.05*Projects!$B$24*Assumptions!$B$11,Projects!$B$24*INDEX(Curves!$B$4:$AO$4,1,41-Projects!$C$24+1)*Assumptions!$B$11*0.95),0)+IF(AND(Projects!$G$25="Yes",41&gt;=Projects!$C$25,41&lt;Projects!$C$25+Projects!$D$25),IF(41=Projects!$C$25+Projects!$D$25-1,Projects!$B$25*INDEX(Curves!$B$4:$AO$4,1,41-Projects!$C$25+1)*Assumptions!$B$11*0.95+0.05*Projects!$B$25*Assumptions!$B$11,Projects!$B$25*INDEX(Curves!$B$4:$AO$4,1,41-Projects!$C$25+1)*Assumptions!$B$11*0.95),0)+IF(AND(Projects!$G$26="Yes",41&gt;=Projects!$C$26,41&lt;Projects!$C$26+Projects!$D$26),IF(41=Projects!$C$26+Projects!$D$26-1,Projects!$B$26*INDEX(Curves!$B$4:$AO$4,1,41-Projects!$C$26+1)*Assumptions!$B$11*0.95+0.05*Projects!$B$26*Assumptions!$B$11,Projects!$B$26*INDEX(Curves!$B$4:$AO$4,1,41-Projects!$C$26+1)*Assumptions!$B$11*0.95),0)+IF(AND(Projects!$G$27="Yes",41&gt;=Projects!$C$27,41&lt;Projects!$C$27+Projects!$D$27),IF(41=Projects!$C$27+Projects!$D$27-1,Projects!$B$27*INDEX(Curves!$B$4:$AO$4,1,41-Projects!$C$27+1)*Assumptions!$B$11*0.95+0.05*Projects!$B$27*Assumptions!$B$11,Projects!$B$27*INDEX(Curves!$B$4:$AO$4,1,41-Projects!$C$27+1)*Assumptions!$B$11*0.95),0)+IF(AND(Projects!$G$28="Yes",41&gt;=Projects!$C$28,41&lt;Projects!$C$28+Projects!$D$28),IF(41=Projects!$C$28+Projects!$D$28-1,Projects!$B$28*INDEX(Curves!$B$4:$AO$4,1,41-Projects!$C$28+1)*Assumptions!$B$11*0.95+0.05*Projects!$B$28*Assumptions!$B$11,Projects!$B$28*INDEX(Curves!$B$4:$AO$4,1,41-Projects!$C$28+1)*Assumptions!$B$11*0.95),0)+IF(AND(Projects!$G$29="Yes",41&gt;=Projects!$C$29,41&lt;Projects!$C$29+Projects!$D$29),IF(41=Projects!$C$29+Projects!$D$29-1,Projects!$B$29*INDEX(Curves!$B$4:$AO$4,1,41-Projects!$C$29+1)*Assumptions!$B$11*0.95+0.05*Projects!$B$29*Assumptions!$B$11,Projects!$B$29*INDEX(Curves!$B$4:$AO$4,1,41-Projects!$C$29+1)*Assumptions!$B$11*0.95),0)</f>
        <v/>
      </c>
      <c r="AR99">
        <f>IF(AND(Projects!$G$17="Yes",42&gt;=Projects!$C$17,42&lt;Projects!$C$17+Projects!$D$17),IF(42=Projects!$C$17+Projects!$D$17-1,Projects!$B$17*INDEX(Curves!$B$4:$AO$4,1,42-Projects!$C$17+1)*Assumptions!$B$11*0.95+0.05*Projects!$B$17*Assumptions!$B$11,Projects!$B$17*INDEX(Curves!$B$4:$AO$4,1,42-Projects!$C$17+1)*Assumptions!$B$11*0.95),0)+IF(AND(Projects!$G$18="Yes",42&gt;=Projects!$C$18,42&lt;Projects!$C$18+Projects!$D$18),IF(42=Projects!$C$18+Projects!$D$18-1,Projects!$B$18*INDEX(Curves!$B$4:$AO$4,1,42-Projects!$C$18+1)*Assumptions!$B$11*0.95+0.05*Projects!$B$18*Assumptions!$B$11,Projects!$B$18*INDEX(Curves!$B$4:$AO$4,1,42-Projects!$C$18+1)*Assumptions!$B$11*0.95),0)+IF(AND(Projects!$G$19="Yes",42&gt;=Projects!$C$19,42&lt;Projects!$C$19+Projects!$D$19),IF(42=Projects!$C$19+Projects!$D$19-1,Projects!$B$19*INDEX(Curves!$B$4:$AO$4,1,42-Projects!$C$19+1)*Assumptions!$B$11*0.95+0.05*Projects!$B$19*Assumptions!$B$11,Projects!$B$19*INDEX(Curves!$B$4:$AO$4,1,42-Projects!$C$19+1)*Assumptions!$B$11*0.95),0)+IF(AND(Projects!$G$20="Yes",42&gt;=Projects!$C$20,42&lt;Projects!$C$20+Projects!$D$20),IF(42=Projects!$C$20+Projects!$D$20-1,Projects!$B$20*INDEX(Curves!$B$4:$AO$4,1,42-Projects!$C$20+1)*Assumptions!$B$11*0.95+0.05*Projects!$B$20*Assumptions!$B$11,Projects!$B$20*INDEX(Curves!$B$4:$AO$4,1,42-Projects!$C$20+1)*Assumptions!$B$11*0.95),0)+IF(AND(Projects!$G$21="Yes",42&gt;=Projects!$C$21,42&lt;Projects!$C$21+Projects!$D$21),IF(42=Projects!$C$21+Projects!$D$21-1,Projects!$B$21*INDEX(Curves!$B$4:$AO$4,1,42-Projects!$C$21+1)*Assumptions!$B$11*0.95+0.05*Projects!$B$21*Assumptions!$B$11,Projects!$B$21*INDEX(Curves!$B$4:$AO$4,1,42-Projects!$C$21+1)*Assumptions!$B$11*0.95),0)+IF(AND(Projects!$G$22="Yes",42&gt;=Projects!$C$22,42&lt;Projects!$C$22+Projects!$D$22),IF(42=Projects!$C$22+Projects!$D$22-1,Projects!$B$22*INDEX(Curves!$B$4:$AO$4,1,42-Projects!$C$22+1)*Assumptions!$B$11*0.95+0.05*Projects!$B$22*Assumptions!$B$11,Projects!$B$22*INDEX(Curves!$B$4:$AO$4,1,42-Projects!$C$22+1)*Assumptions!$B$11*0.95),0)+IF(AND(Projects!$G$23="Yes",42&gt;=Projects!$C$23,42&lt;Projects!$C$23+Projects!$D$23),IF(42=Projects!$C$23+Projects!$D$23-1,Projects!$B$23*INDEX(Curves!$B$4:$AO$4,1,42-Projects!$C$23+1)*Assumptions!$B$11*0.95+0.05*Projects!$B$23*Assumptions!$B$11,Projects!$B$23*INDEX(Curves!$B$4:$AO$4,1,42-Projects!$C$23+1)*Assumptions!$B$11*0.95),0)+IF(AND(Projects!$G$24="Yes",42&gt;=Projects!$C$24,42&lt;Projects!$C$24+Projects!$D$24),IF(42=Projects!$C$24+Projects!$D$24-1,Projects!$B$24*INDEX(Curves!$B$4:$AO$4,1,42-Projects!$C$24+1)*Assumptions!$B$11*0.95+0.05*Projects!$B$24*Assumptions!$B$11,Projects!$B$24*INDEX(Curves!$B$4:$AO$4,1,42-Projects!$C$24+1)*Assumptions!$B$11*0.95),0)+IF(AND(Projects!$G$25="Yes",42&gt;=Projects!$C$25,42&lt;Projects!$C$25+Projects!$D$25),IF(42=Projects!$C$25+Projects!$D$25-1,Projects!$B$25*INDEX(Curves!$B$4:$AO$4,1,42-Projects!$C$25+1)*Assumptions!$B$11*0.95+0.05*Projects!$B$25*Assumptions!$B$11,Projects!$B$25*INDEX(Curves!$B$4:$AO$4,1,42-Projects!$C$25+1)*Assumptions!$B$11*0.95),0)+IF(AND(Projects!$G$26="Yes",42&gt;=Projects!$C$26,42&lt;Projects!$C$26+Projects!$D$26),IF(42=Projects!$C$26+Projects!$D$26-1,Projects!$B$26*INDEX(Curves!$B$4:$AO$4,1,42-Projects!$C$26+1)*Assumptions!$B$11*0.95+0.05*Projects!$B$26*Assumptions!$B$11,Projects!$B$26*INDEX(Curves!$B$4:$AO$4,1,42-Projects!$C$26+1)*Assumptions!$B$11*0.95),0)+IF(AND(Projects!$G$27="Yes",42&gt;=Projects!$C$27,42&lt;Projects!$C$27+Projects!$D$27),IF(42=Projects!$C$27+Projects!$D$27-1,Projects!$B$27*INDEX(Curves!$B$4:$AO$4,1,42-Projects!$C$27+1)*Assumptions!$B$11*0.95+0.05*Projects!$B$27*Assumptions!$B$11,Projects!$B$27*INDEX(Curves!$B$4:$AO$4,1,42-Projects!$C$27+1)*Assumptions!$B$11*0.95),0)+IF(AND(Projects!$G$28="Yes",42&gt;=Projects!$C$28,42&lt;Projects!$C$28+Projects!$D$28),IF(42=Projects!$C$28+Projects!$D$28-1,Projects!$B$28*INDEX(Curves!$B$4:$AO$4,1,42-Projects!$C$28+1)*Assumptions!$B$11*0.95+0.05*Projects!$B$28*Assumptions!$B$11,Projects!$B$28*INDEX(Curves!$B$4:$AO$4,1,42-Projects!$C$28+1)*Assumptions!$B$11*0.95),0)+IF(AND(Projects!$G$29="Yes",42&gt;=Projects!$C$29,42&lt;Projects!$C$29+Projects!$D$29),IF(42=Projects!$C$29+Projects!$D$29-1,Projects!$B$29*INDEX(Curves!$B$4:$AO$4,1,42-Projects!$C$29+1)*Assumptions!$B$11*0.95+0.05*Projects!$B$29*Assumptions!$B$11,Projects!$B$29*INDEX(Curves!$B$4:$AO$4,1,42-Projects!$C$29+1)*Assumptions!$B$11*0.95),0)</f>
        <v/>
      </c>
      <c r="AS99">
        <f>IF(AND(Projects!$G$17="Yes",43&gt;=Projects!$C$17,43&lt;Projects!$C$17+Projects!$D$17),IF(43=Projects!$C$17+Projects!$D$17-1,Projects!$B$17*INDEX(Curves!$B$4:$AO$4,1,43-Projects!$C$17+1)*Assumptions!$B$11*0.95+0.05*Projects!$B$17*Assumptions!$B$11,Projects!$B$17*INDEX(Curves!$B$4:$AO$4,1,43-Projects!$C$17+1)*Assumptions!$B$11*0.95),0)+IF(AND(Projects!$G$18="Yes",43&gt;=Projects!$C$18,43&lt;Projects!$C$18+Projects!$D$18),IF(43=Projects!$C$18+Projects!$D$18-1,Projects!$B$18*INDEX(Curves!$B$4:$AO$4,1,43-Projects!$C$18+1)*Assumptions!$B$11*0.95+0.05*Projects!$B$18*Assumptions!$B$11,Projects!$B$18*INDEX(Curves!$B$4:$AO$4,1,43-Projects!$C$18+1)*Assumptions!$B$11*0.95),0)+IF(AND(Projects!$G$19="Yes",43&gt;=Projects!$C$19,43&lt;Projects!$C$19+Projects!$D$19),IF(43=Projects!$C$19+Projects!$D$19-1,Projects!$B$19*INDEX(Curves!$B$4:$AO$4,1,43-Projects!$C$19+1)*Assumptions!$B$11*0.95+0.05*Projects!$B$19*Assumptions!$B$11,Projects!$B$19*INDEX(Curves!$B$4:$AO$4,1,43-Projects!$C$19+1)*Assumptions!$B$11*0.95),0)+IF(AND(Projects!$G$20="Yes",43&gt;=Projects!$C$20,43&lt;Projects!$C$20+Projects!$D$20),IF(43=Projects!$C$20+Projects!$D$20-1,Projects!$B$20*INDEX(Curves!$B$4:$AO$4,1,43-Projects!$C$20+1)*Assumptions!$B$11*0.95+0.05*Projects!$B$20*Assumptions!$B$11,Projects!$B$20*INDEX(Curves!$B$4:$AO$4,1,43-Projects!$C$20+1)*Assumptions!$B$11*0.95),0)+IF(AND(Projects!$G$21="Yes",43&gt;=Projects!$C$21,43&lt;Projects!$C$21+Projects!$D$21),IF(43=Projects!$C$21+Projects!$D$21-1,Projects!$B$21*INDEX(Curves!$B$4:$AO$4,1,43-Projects!$C$21+1)*Assumptions!$B$11*0.95+0.05*Projects!$B$21*Assumptions!$B$11,Projects!$B$21*INDEX(Curves!$B$4:$AO$4,1,43-Projects!$C$21+1)*Assumptions!$B$11*0.95),0)+IF(AND(Projects!$G$22="Yes",43&gt;=Projects!$C$22,43&lt;Projects!$C$22+Projects!$D$22),IF(43=Projects!$C$22+Projects!$D$22-1,Projects!$B$22*INDEX(Curves!$B$4:$AO$4,1,43-Projects!$C$22+1)*Assumptions!$B$11*0.95+0.05*Projects!$B$22*Assumptions!$B$11,Projects!$B$22*INDEX(Curves!$B$4:$AO$4,1,43-Projects!$C$22+1)*Assumptions!$B$11*0.95),0)+IF(AND(Projects!$G$23="Yes",43&gt;=Projects!$C$23,43&lt;Projects!$C$23+Projects!$D$23),IF(43=Projects!$C$23+Projects!$D$23-1,Projects!$B$23*INDEX(Curves!$B$4:$AO$4,1,43-Projects!$C$23+1)*Assumptions!$B$11*0.95+0.05*Projects!$B$23*Assumptions!$B$11,Projects!$B$23*INDEX(Curves!$B$4:$AO$4,1,43-Projects!$C$23+1)*Assumptions!$B$11*0.95),0)+IF(AND(Projects!$G$24="Yes",43&gt;=Projects!$C$24,43&lt;Projects!$C$24+Projects!$D$24),IF(43=Projects!$C$24+Projects!$D$24-1,Projects!$B$24*INDEX(Curves!$B$4:$AO$4,1,43-Projects!$C$24+1)*Assumptions!$B$11*0.95+0.05*Projects!$B$24*Assumptions!$B$11,Projects!$B$24*INDEX(Curves!$B$4:$AO$4,1,43-Projects!$C$24+1)*Assumptions!$B$11*0.95),0)+IF(AND(Projects!$G$25="Yes",43&gt;=Projects!$C$25,43&lt;Projects!$C$25+Projects!$D$25),IF(43=Projects!$C$25+Projects!$D$25-1,Projects!$B$25*INDEX(Curves!$B$4:$AO$4,1,43-Projects!$C$25+1)*Assumptions!$B$11*0.95+0.05*Projects!$B$25*Assumptions!$B$11,Projects!$B$25*INDEX(Curves!$B$4:$AO$4,1,43-Projects!$C$25+1)*Assumptions!$B$11*0.95),0)+IF(AND(Projects!$G$26="Yes",43&gt;=Projects!$C$26,43&lt;Projects!$C$26+Projects!$D$26),IF(43=Projects!$C$26+Projects!$D$26-1,Projects!$B$26*INDEX(Curves!$B$4:$AO$4,1,43-Projects!$C$26+1)*Assumptions!$B$11*0.95+0.05*Projects!$B$26*Assumptions!$B$11,Projects!$B$26*INDEX(Curves!$B$4:$AO$4,1,43-Projects!$C$26+1)*Assumptions!$B$11*0.95),0)+IF(AND(Projects!$G$27="Yes",43&gt;=Projects!$C$27,43&lt;Projects!$C$27+Projects!$D$27),IF(43=Projects!$C$27+Projects!$D$27-1,Projects!$B$27*INDEX(Curves!$B$4:$AO$4,1,43-Projects!$C$27+1)*Assumptions!$B$11*0.95+0.05*Projects!$B$27*Assumptions!$B$11,Projects!$B$27*INDEX(Curves!$B$4:$AO$4,1,43-Projects!$C$27+1)*Assumptions!$B$11*0.95),0)+IF(AND(Projects!$G$28="Yes",43&gt;=Projects!$C$28,43&lt;Projects!$C$28+Projects!$D$28),IF(43=Projects!$C$28+Projects!$D$28-1,Projects!$B$28*INDEX(Curves!$B$4:$AO$4,1,43-Projects!$C$28+1)*Assumptions!$B$11*0.95+0.05*Projects!$B$28*Assumptions!$B$11,Projects!$B$28*INDEX(Curves!$B$4:$AO$4,1,43-Projects!$C$28+1)*Assumptions!$B$11*0.95),0)+IF(AND(Projects!$G$29="Yes",43&gt;=Projects!$C$29,43&lt;Projects!$C$29+Projects!$D$29),IF(43=Projects!$C$29+Projects!$D$29-1,Projects!$B$29*INDEX(Curves!$B$4:$AO$4,1,43-Projects!$C$29+1)*Assumptions!$B$11*0.95+0.05*Projects!$B$29*Assumptions!$B$11,Projects!$B$29*INDEX(Curves!$B$4:$AO$4,1,43-Projects!$C$29+1)*Assumptions!$B$11*0.95),0)</f>
        <v/>
      </c>
      <c r="AT99">
        <f>IF(AND(Projects!$G$17="Yes",44&gt;=Projects!$C$17,44&lt;Projects!$C$17+Projects!$D$17),IF(44=Projects!$C$17+Projects!$D$17-1,Projects!$B$17*INDEX(Curves!$B$4:$AO$4,1,44-Projects!$C$17+1)*Assumptions!$B$11*0.95+0.05*Projects!$B$17*Assumptions!$B$11,Projects!$B$17*INDEX(Curves!$B$4:$AO$4,1,44-Projects!$C$17+1)*Assumptions!$B$11*0.95),0)+IF(AND(Projects!$G$18="Yes",44&gt;=Projects!$C$18,44&lt;Projects!$C$18+Projects!$D$18),IF(44=Projects!$C$18+Projects!$D$18-1,Projects!$B$18*INDEX(Curves!$B$4:$AO$4,1,44-Projects!$C$18+1)*Assumptions!$B$11*0.95+0.05*Projects!$B$18*Assumptions!$B$11,Projects!$B$18*INDEX(Curves!$B$4:$AO$4,1,44-Projects!$C$18+1)*Assumptions!$B$11*0.95),0)+IF(AND(Projects!$G$19="Yes",44&gt;=Projects!$C$19,44&lt;Projects!$C$19+Projects!$D$19),IF(44=Projects!$C$19+Projects!$D$19-1,Projects!$B$19*INDEX(Curves!$B$4:$AO$4,1,44-Projects!$C$19+1)*Assumptions!$B$11*0.95+0.05*Projects!$B$19*Assumptions!$B$11,Projects!$B$19*INDEX(Curves!$B$4:$AO$4,1,44-Projects!$C$19+1)*Assumptions!$B$11*0.95),0)+IF(AND(Projects!$G$20="Yes",44&gt;=Projects!$C$20,44&lt;Projects!$C$20+Projects!$D$20),IF(44=Projects!$C$20+Projects!$D$20-1,Projects!$B$20*INDEX(Curves!$B$4:$AO$4,1,44-Projects!$C$20+1)*Assumptions!$B$11*0.95+0.05*Projects!$B$20*Assumptions!$B$11,Projects!$B$20*INDEX(Curves!$B$4:$AO$4,1,44-Projects!$C$20+1)*Assumptions!$B$11*0.95),0)+IF(AND(Projects!$G$21="Yes",44&gt;=Projects!$C$21,44&lt;Projects!$C$21+Projects!$D$21),IF(44=Projects!$C$21+Projects!$D$21-1,Projects!$B$21*INDEX(Curves!$B$4:$AO$4,1,44-Projects!$C$21+1)*Assumptions!$B$11*0.95+0.05*Projects!$B$21*Assumptions!$B$11,Projects!$B$21*INDEX(Curves!$B$4:$AO$4,1,44-Projects!$C$21+1)*Assumptions!$B$11*0.95),0)+IF(AND(Projects!$G$22="Yes",44&gt;=Projects!$C$22,44&lt;Projects!$C$22+Projects!$D$22),IF(44=Projects!$C$22+Projects!$D$22-1,Projects!$B$22*INDEX(Curves!$B$4:$AO$4,1,44-Projects!$C$22+1)*Assumptions!$B$11*0.95+0.05*Projects!$B$22*Assumptions!$B$11,Projects!$B$22*INDEX(Curves!$B$4:$AO$4,1,44-Projects!$C$22+1)*Assumptions!$B$11*0.95),0)+IF(AND(Projects!$G$23="Yes",44&gt;=Projects!$C$23,44&lt;Projects!$C$23+Projects!$D$23),IF(44=Projects!$C$23+Projects!$D$23-1,Projects!$B$23*INDEX(Curves!$B$4:$AO$4,1,44-Projects!$C$23+1)*Assumptions!$B$11*0.95+0.05*Projects!$B$23*Assumptions!$B$11,Projects!$B$23*INDEX(Curves!$B$4:$AO$4,1,44-Projects!$C$23+1)*Assumptions!$B$11*0.95),0)+IF(AND(Projects!$G$24="Yes",44&gt;=Projects!$C$24,44&lt;Projects!$C$24+Projects!$D$24),IF(44=Projects!$C$24+Projects!$D$24-1,Projects!$B$24*INDEX(Curves!$B$4:$AO$4,1,44-Projects!$C$24+1)*Assumptions!$B$11*0.95+0.05*Projects!$B$24*Assumptions!$B$11,Projects!$B$24*INDEX(Curves!$B$4:$AO$4,1,44-Projects!$C$24+1)*Assumptions!$B$11*0.95),0)+IF(AND(Projects!$G$25="Yes",44&gt;=Projects!$C$25,44&lt;Projects!$C$25+Projects!$D$25),IF(44=Projects!$C$25+Projects!$D$25-1,Projects!$B$25*INDEX(Curves!$B$4:$AO$4,1,44-Projects!$C$25+1)*Assumptions!$B$11*0.95+0.05*Projects!$B$25*Assumptions!$B$11,Projects!$B$25*INDEX(Curves!$B$4:$AO$4,1,44-Projects!$C$25+1)*Assumptions!$B$11*0.95),0)+IF(AND(Projects!$G$26="Yes",44&gt;=Projects!$C$26,44&lt;Projects!$C$26+Projects!$D$26),IF(44=Projects!$C$26+Projects!$D$26-1,Projects!$B$26*INDEX(Curves!$B$4:$AO$4,1,44-Projects!$C$26+1)*Assumptions!$B$11*0.95+0.05*Projects!$B$26*Assumptions!$B$11,Projects!$B$26*INDEX(Curves!$B$4:$AO$4,1,44-Projects!$C$26+1)*Assumptions!$B$11*0.95),0)+IF(AND(Projects!$G$27="Yes",44&gt;=Projects!$C$27,44&lt;Projects!$C$27+Projects!$D$27),IF(44=Projects!$C$27+Projects!$D$27-1,Projects!$B$27*INDEX(Curves!$B$4:$AO$4,1,44-Projects!$C$27+1)*Assumptions!$B$11*0.95+0.05*Projects!$B$27*Assumptions!$B$11,Projects!$B$27*INDEX(Curves!$B$4:$AO$4,1,44-Projects!$C$27+1)*Assumptions!$B$11*0.95),0)+IF(AND(Projects!$G$28="Yes",44&gt;=Projects!$C$28,44&lt;Projects!$C$28+Projects!$D$28),IF(44=Projects!$C$28+Projects!$D$28-1,Projects!$B$28*INDEX(Curves!$B$4:$AO$4,1,44-Projects!$C$28+1)*Assumptions!$B$11*0.95+0.05*Projects!$B$28*Assumptions!$B$11,Projects!$B$28*INDEX(Curves!$B$4:$AO$4,1,44-Projects!$C$28+1)*Assumptions!$B$11*0.95),0)+IF(AND(Projects!$G$29="Yes",44&gt;=Projects!$C$29,44&lt;Projects!$C$29+Projects!$D$29),IF(44=Projects!$C$29+Projects!$D$29-1,Projects!$B$29*INDEX(Curves!$B$4:$AO$4,1,44-Projects!$C$29+1)*Assumptions!$B$11*0.95+0.05*Projects!$B$29*Assumptions!$B$11,Projects!$B$29*INDEX(Curves!$B$4:$AO$4,1,44-Projects!$C$29+1)*Assumptions!$B$11*0.95),0)</f>
        <v/>
      </c>
      <c r="AU99">
        <f>IF(AND(Projects!$G$17="Yes",45&gt;=Projects!$C$17,45&lt;Projects!$C$17+Projects!$D$17),IF(45=Projects!$C$17+Projects!$D$17-1,Projects!$B$17*INDEX(Curves!$B$4:$AO$4,1,45-Projects!$C$17+1)*Assumptions!$B$11*0.95+0.05*Projects!$B$17*Assumptions!$B$11,Projects!$B$17*INDEX(Curves!$B$4:$AO$4,1,45-Projects!$C$17+1)*Assumptions!$B$11*0.95),0)+IF(AND(Projects!$G$18="Yes",45&gt;=Projects!$C$18,45&lt;Projects!$C$18+Projects!$D$18),IF(45=Projects!$C$18+Projects!$D$18-1,Projects!$B$18*INDEX(Curves!$B$4:$AO$4,1,45-Projects!$C$18+1)*Assumptions!$B$11*0.95+0.05*Projects!$B$18*Assumptions!$B$11,Projects!$B$18*INDEX(Curves!$B$4:$AO$4,1,45-Projects!$C$18+1)*Assumptions!$B$11*0.95),0)+IF(AND(Projects!$G$19="Yes",45&gt;=Projects!$C$19,45&lt;Projects!$C$19+Projects!$D$19),IF(45=Projects!$C$19+Projects!$D$19-1,Projects!$B$19*INDEX(Curves!$B$4:$AO$4,1,45-Projects!$C$19+1)*Assumptions!$B$11*0.95+0.05*Projects!$B$19*Assumptions!$B$11,Projects!$B$19*INDEX(Curves!$B$4:$AO$4,1,45-Projects!$C$19+1)*Assumptions!$B$11*0.95),0)+IF(AND(Projects!$G$20="Yes",45&gt;=Projects!$C$20,45&lt;Projects!$C$20+Projects!$D$20),IF(45=Projects!$C$20+Projects!$D$20-1,Projects!$B$20*INDEX(Curves!$B$4:$AO$4,1,45-Projects!$C$20+1)*Assumptions!$B$11*0.95+0.05*Projects!$B$20*Assumptions!$B$11,Projects!$B$20*INDEX(Curves!$B$4:$AO$4,1,45-Projects!$C$20+1)*Assumptions!$B$11*0.95),0)+IF(AND(Projects!$G$21="Yes",45&gt;=Projects!$C$21,45&lt;Projects!$C$21+Projects!$D$21),IF(45=Projects!$C$21+Projects!$D$21-1,Projects!$B$21*INDEX(Curves!$B$4:$AO$4,1,45-Projects!$C$21+1)*Assumptions!$B$11*0.95+0.05*Projects!$B$21*Assumptions!$B$11,Projects!$B$21*INDEX(Curves!$B$4:$AO$4,1,45-Projects!$C$21+1)*Assumptions!$B$11*0.95),0)+IF(AND(Projects!$G$22="Yes",45&gt;=Projects!$C$22,45&lt;Projects!$C$22+Projects!$D$22),IF(45=Projects!$C$22+Projects!$D$22-1,Projects!$B$22*INDEX(Curves!$B$4:$AO$4,1,45-Projects!$C$22+1)*Assumptions!$B$11*0.95+0.05*Projects!$B$22*Assumptions!$B$11,Projects!$B$22*INDEX(Curves!$B$4:$AO$4,1,45-Projects!$C$22+1)*Assumptions!$B$11*0.95),0)+IF(AND(Projects!$G$23="Yes",45&gt;=Projects!$C$23,45&lt;Projects!$C$23+Projects!$D$23),IF(45=Projects!$C$23+Projects!$D$23-1,Projects!$B$23*INDEX(Curves!$B$4:$AO$4,1,45-Projects!$C$23+1)*Assumptions!$B$11*0.95+0.05*Projects!$B$23*Assumptions!$B$11,Projects!$B$23*INDEX(Curves!$B$4:$AO$4,1,45-Projects!$C$23+1)*Assumptions!$B$11*0.95),0)+IF(AND(Projects!$G$24="Yes",45&gt;=Projects!$C$24,45&lt;Projects!$C$24+Projects!$D$24),IF(45=Projects!$C$24+Projects!$D$24-1,Projects!$B$24*INDEX(Curves!$B$4:$AO$4,1,45-Projects!$C$24+1)*Assumptions!$B$11*0.95+0.05*Projects!$B$24*Assumptions!$B$11,Projects!$B$24*INDEX(Curves!$B$4:$AO$4,1,45-Projects!$C$24+1)*Assumptions!$B$11*0.95),0)+IF(AND(Projects!$G$25="Yes",45&gt;=Projects!$C$25,45&lt;Projects!$C$25+Projects!$D$25),IF(45=Projects!$C$25+Projects!$D$25-1,Projects!$B$25*INDEX(Curves!$B$4:$AO$4,1,45-Projects!$C$25+1)*Assumptions!$B$11*0.95+0.05*Projects!$B$25*Assumptions!$B$11,Projects!$B$25*INDEX(Curves!$B$4:$AO$4,1,45-Projects!$C$25+1)*Assumptions!$B$11*0.95),0)+IF(AND(Projects!$G$26="Yes",45&gt;=Projects!$C$26,45&lt;Projects!$C$26+Projects!$D$26),IF(45=Projects!$C$26+Projects!$D$26-1,Projects!$B$26*INDEX(Curves!$B$4:$AO$4,1,45-Projects!$C$26+1)*Assumptions!$B$11*0.95+0.05*Projects!$B$26*Assumptions!$B$11,Projects!$B$26*INDEX(Curves!$B$4:$AO$4,1,45-Projects!$C$26+1)*Assumptions!$B$11*0.95),0)+IF(AND(Projects!$G$27="Yes",45&gt;=Projects!$C$27,45&lt;Projects!$C$27+Projects!$D$27),IF(45=Projects!$C$27+Projects!$D$27-1,Projects!$B$27*INDEX(Curves!$B$4:$AO$4,1,45-Projects!$C$27+1)*Assumptions!$B$11*0.95+0.05*Projects!$B$27*Assumptions!$B$11,Projects!$B$27*INDEX(Curves!$B$4:$AO$4,1,45-Projects!$C$27+1)*Assumptions!$B$11*0.95),0)+IF(AND(Projects!$G$28="Yes",45&gt;=Projects!$C$28,45&lt;Projects!$C$28+Projects!$D$28),IF(45=Projects!$C$28+Projects!$D$28-1,Projects!$B$28*INDEX(Curves!$B$4:$AO$4,1,45-Projects!$C$28+1)*Assumptions!$B$11*0.95+0.05*Projects!$B$28*Assumptions!$B$11,Projects!$B$28*INDEX(Curves!$B$4:$AO$4,1,45-Projects!$C$28+1)*Assumptions!$B$11*0.95),0)+IF(AND(Projects!$G$29="Yes",45&gt;=Projects!$C$29,45&lt;Projects!$C$29+Projects!$D$29),IF(45=Projects!$C$29+Projects!$D$29-1,Projects!$B$29*INDEX(Curves!$B$4:$AO$4,1,45-Projects!$C$29+1)*Assumptions!$B$11*0.95+0.05*Projects!$B$29*Assumptions!$B$11,Projects!$B$29*INDEX(Curves!$B$4:$AO$4,1,45-Projects!$C$29+1)*Assumptions!$B$11*0.95),0)</f>
        <v/>
      </c>
      <c r="AV99">
        <f>IF(AND(Projects!$G$17="Yes",46&gt;=Projects!$C$17,46&lt;Projects!$C$17+Projects!$D$17),IF(46=Projects!$C$17+Projects!$D$17-1,Projects!$B$17*INDEX(Curves!$B$4:$AO$4,1,46-Projects!$C$17+1)*Assumptions!$B$11*0.95+0.05*Projects!$B$17*Assumptions!$B$11,Projects!$B$17*INDEX(Curves!$B$4:$AO$4,1,46-Projects!$C$17+1)*Assumptions!$B$11*0.95),0)+IF(AND(Projects!$G$18="Yes",46&gt;=Projects!$C$18,46&lt;Projects!$C$18+Projects!$D$18),IF(46=Projects!$C$18+Projects!$D$18-1,Projects!$B$18*INDEX(Curves!$B$4:$AO$4,1,46-Projects!$C$18+1)*Assumptions!$B$11*0.95+0.05*Projects!$B$18*Assumptions!$B$11,Projects!$B$18*INDEX(Curves!$B$4:$AO$4,1,46-Projects!$C$18+1)*Assumptions!$B$11*0.95),0)+IF(AND(Projects!$G$19="Yes",46&gt;=Projects!$C$19,46&lt;Projects!$C$19+Projects!$D$19),IF(46=Projects!$C$19+Projects!$D$19-1,Projects!$B$19*INDEX(Curves!$B$4:$AO$4,1,46-Projects!$C$19+1)*Assumptions!$B$11*0.95+0.05*Projects!$B$19*Assumptions!$B$11,Projects!$B$19*INDEX(Curves!$B$4:$AO$4,1,46-Projects!$C$19+1)*Assumptions!$B$11*0.95),0)+IF(AND(Projects!$G$20="Yes",46&gt;=Projects!$C$20,46&lt;Projects!$C$20+Projects!$D$20),IF(46=Projects!$C$20+Projects!$D$20-1,Projects!$B$20*INDEX(Curves!$B$4:$AO$4,1,46-Projects!$C$20+1)*Assumptions!$B$11*0.95+0.05*Projects!$B$20*Assumptions!$B$11,Projects!$B$20*INDEX(Curves!$B$4:$AO$4,1,46-Projects!$C$20+1)*Assumptions!$B$11*0.95),0)+IF(AND(Projects!$G$21="Yes",46&gt;=Projects!$C$21,46&lt;Projects!$C$21+Projects!$D$21),IF(46=Projects!$C$21+Projects!$D$21-1,Projects!$B$21*INDEX(Curves!$B$4:$AO$4,1,46-Projects!$C$21+1)*Assumptions!$B$11*0.95+0.05*Projects!$B$21*Assumptions!$B$11,Projects!$B$21*INDEX(Curves!$B$4:$AO$4,1,46-Projects!$C$21+1)*Assumptions!$B$11*0.95),0)+IF(AND(Projects!$G$22="Yes",46&gt;=Projects!$C$22,46&lt;Projects!$C$22+Projects!$D$22),IF(46=Projects!$C$22+Projects!$D$22-1,Projects!$B$22*INDEX(Curves!$B$4:$AO$4,1,46-Projects!$C$22+1)*Assumptions!$B$11*0.95+0.05*Projects!$B$22*Assumptions!$B$11,Projects!$B$22*INDEX(Curves!$B$4:$AO$4,1,46-Projects!$C$22+1)*Assumptions!$B$11*0.95),0)+IF(AND(Projects!$G$23="Yes",46&gt;=Projects!$C$23,46&lt;Projects!$C$23+Projects!$D$23),IF(46=Projects!$C$23+Projects!$D$23-1,Projects!$B$23*INDEX(Curves!$B$4:$AO$4,1,46-Projects!$C$23+1)*Assumptions!$B$11*0.95+0.05*Projects!$B$23*Assumptions!$B$11,Projects!$B$23*INDEX(Curves!$B$4:$AO$4,1,46-Projects!$C$23+1)*Assumptions!$B$11*0.95),0)+IF(AND(Projects!$G$24="Yes",46&gt;=Projects!$C$24,46&lt;Projects!$C$24+Projects!$D$24),IF(46=Projects!$C$24+Projects!$D$24-1,Projects!$B$24*INDEX(Curves!$B$4:$AO$4,1,46-Projects!$C$24+1)*Assumptions!$B$11*0.95+0.05*Projects!$B$24*Assumptions!$B$11,Projects!$B$24*INDEX(Curves!$B$4:$AO$4,1,46-Projects!$C$24+1)*Assumptions!$B$11*0.95),0)+IF(AND(Projects!$G$25="Yes",46&gt;=Projects!$C$25,46&lt;Projects!$C$25+Projects!$D$25),IF(46=Projects!$C$25+Projects!$D$25-1,Projects!$B$25*INDEX(Curves!$B$4:$AO$4,1,46-Projects!$C$25+1)*Assumptions!$B$11*0.95+0.05*Projects!$B$25*Assumptions!$B$11,Projects!$B$25*INDEX(Curves!$B$4:$AO$4,1,46-Projects!$C$25+1)*Assumptions!$B$11*0.95),0)+IF(AND(Projects!$G$26="Yes",46&gt;=Projects!$C$26,46&lt;Projects!$C$26+Projects!$D$26),IF(46=Projects!$C$26+Projects!$D$26-1,Projects!$B$26*INDEX(Curves!$B$4:$AO$4,1,46-Projects!$C$26+1)*Assumptions!$B$11*0.95+0.05*Projects!$B$26*Assumptions!$B$11,Projects!$B$26*INDEX(Curves!$B$4:$AO$4,1,46-Projects!$C$26+1)*Assumptions!$B$11*0.95),0)+IF(AND(Projects!$G$27="Yes",46&gt;=Projects!$C$27,46&lt;Projects!$C$27+Projects!$D$27),IF(46=Projects!$C$27+Projects!$D$27-1,Projects!$B$27*INDEX(Curves!$B$4:$AO$4,1,46-Projects!$C$27+1)*Assumptions!$B$11*0.95+0.05*Projects!$B$27*Assumptions!$B$11,Projects!$B$27*INDEX(Curves!$B$4:$AO$4,1,46-Projects!$C$27+1)*Assumptions!$B$11*0.95),0)+IF(AND(Projects!$G$28="Yes",46&gt;=Projects!$C$28,46&lt;Projects!$C$28+Projects!$D$28),IF(46=Projects!$C$28+Projects!$D$28-1,Projects!$B$28*INDEX(Curves!$B$4:$AO$4,1,46-Projects!$C$28+1)*Assumptions!$B$11*0.95+0.05*Projects!$B$28*Assumptions!$B$11,Projects!$B$28*INDEX(Curves!$B$4:$AO$4,1,46-Projects!$C$28+1)*Assumptions!$B$11*0.95),0)+IF(AND(Projects!$G$29="Yes",46&gt;=Projects!$C$29,46&lt;Projects!$C$29+Projects!$D$29),IF(46=Projects!$C$29+Projects!$D$29-1,Projects!$B$29*INDEX(Curves!$B$4:$AO$4,1,46-Projects!$C$29+1)*Assumptions!$B$11*0.95+0.05*Projects!$B$29*Assumptions!$B$11,Projects!$B$29*INDEX(Curves!$B$4:$AO$4,1,46-Projects!$C$29+1)*Assumptions!$B$11*0.95),0)</f>
        <v/>
      </c>
      <c r="AW99">
        <f>IF(AND(Projects!$G$17="Yes",47&gt;=Projects!$C$17,47&lt;Projects!$C$17+Projects!$D$17),IF(47=Projects!$C$17+Projects!$D$17-1,Projects!$B$17*INDEX(Curves!$B$4:$AO$4,1,47-Projects!$C$17+1)*Assumptions!$B$11*0.95+0.05*Projects!$B$17*Assumptions!$B$11,Projects!$B$17*INDEX(Curves!$B$4:$AO$4,1,47-Projects!$C$17+1)*Assumptions!$B$11*0.95),0)+IF(AND(Projects!$G$18="Yes",47&gt;=Projects!$C$18,47&lt;Projects!$C$18+Projects!$D$18),IF(47=Projects!$C$18+Projects!$D$18-1,Projects!$B$18*INDEX(Curves!$B$4:$AO$4,1,47-Projects!$C$18+1)*Assumptions!$B$11*0.95+0.05*Projects!$B$18*Assumptions!$B$11,Projects!$B$18*INDEX(Curves!$B$4:$AO$4,1,47-Projects!$C$18+1)*Assumptions!$B$11*0.95),0)+IF(AND(Projects!$G$19="Yes",47&gt;=Projects!$C$19,47&lt;Projects!$C$19+Projects!$D$19),IF(47=Projects!$C$19+Projects!$D$19-1,Projects!$B$19*INDEX(Curves!$B$4:$AO$4,1,47-Projects!$C$19+1)*Assumptions!$B$11*0.95+0.05*Projects!$B$19*Assumptions!$B$11,Projects!$B$19*INDEX(Curves!$B$4:$AO$4,1,47-Projects!$C$19+1)*Assumptions!$B$11*0.95),0)+IF(AND(Projects!$G$20="Yes",47&gt;=Projects!$C$20,47&lt;Projects!$C$20+Projects!$D$20),IF(47=Projects!$C$20+Projects!$D$20-1,Projects!$B$20*INDEX(Curves!$B$4:$AO$4,1,47-Projects!$C$20+1)*Assumptions!$B$11*0.95+0.05*Projects!$B$20*Assumptions!$B$11,Projects!$B$20*INDEX(Curves!$B$4:$AO$4,1,47-Projects!$C$20+1)*Assumptions!$B$11*0.95),0)+IF(AND(Projects!$G$21="Yes",47&gt;=Projects!$C$21,47&lt;Projects!$C$21+Projects!$D$21),IF(47=Projects!$C$21+Projects!$D$21-1,Projects!$B$21*INDEX(Curves!$B$4:$AO$4,1,47-Projects!$C$21+1)*Assumptions!$B$11*0.95+0.05*Projects!$B$21*Assumptions!$B$11,Projects!$B$21*INDEX(Curves!$B$4:$AO$4,1,47-Projects!$C$21+1)*Assumptions!$B$11*0.95),0)+IF(AND(Projects!$G$22="Yes",47&gt;=Projects!$C$22,47&lt;Projects!$C$22+Projects!$D$22),IF(47=Projects!$C$22+Projects!$D$22-1,Projects!$B$22*INDEX(Curves!$B$4:$AO$4,1,47-Projects!$C$22+1)*Assumptions!$B$11*0.95+0.05*Projects!$B$22*Assumptions!$B$11,Projects!$B$22*INDEX(Curves!$B$4:$AO$4,1,47-Projects!$C$22+1)*Assumptions!$B$11*0.95),0)+IF(AND(Projects!$G$23="Yes",47&gt;=Projects!$C$23,47&lt;Projects!$C$23+Projects!$D$23),IF(47=Projects!$C$23+Projects!$D$23-1,Projects!$B$23*INDEX(Curves!$B$4:$AO$4,1,47-Projects!$C$23+1)*Assumptions!$B$11*0.95+0.05*Projects!$B$23*Assumptions!$B$11,Projects!$B$23*INDEX(Curves!$B$4:$AO$4,1,47-Projects!$C$23+1)*Assumptions!$B$11*0.95),0)+IF(AND(Projects!$G$24="Yes",47&gt;=Projects!$C$24,47&lt;Projects!$C$24+Projects!$D$24),IF(47=Projects!$C$24+Projects!$D$24-1,Projects!$B$24*INDEX(Curves!$B$4:$AO$4,1,47-Projects!$C$24+1)*Assumptions!$B$11*0.95+0.05*Projects!$B$24*Assumptions!$B$11,Projects!$B$24*INDEX(Curves!$B$4:$AO$4,1,47-Projects!$C$24+1)*Assumptions!$B$11*0.95),0)+IF(AND(Projects!$G$25="Yes",47&gt;=Projects!$C$25,47&lt;Projects!$C$25+Projects!$D$25),IF(47=Projects!$C$25+Projects!$D$25-1,Projects!$B$25*INDEX(Curves!$B$4:$AO$4,1,47-Projects!$C$25+1)*Assumptions!$B$11*0.95+0.05*Projects!$B$25*Assumptions!$B$11,Projects!$B$25*INDEX(Curves!$B$4:$AO$4,1,47-Projects!$C$25+1)*Assumptions!$B$11*0.95),0)+IF(AND(Projects!$G$26="Yes",47&gt;=Projects!$C$26,47&lt;Projects!$C$26+Projects!$D$26),IF(47=Projects!$C$26+Projects!$D$26-1,Projects!$B$26*INDEX(Curves!$B$4:$AO$4,1,47-Projects!$C$26+1)*Assumptions!$B$11*0.95+0.05*Projects!$B$26*Assumptions!$B$11,Projects!$B$26*INDEX(Curves!$B$4:$AO$4,1,47-Projects!$C$26+1)*Assumptions!$B$11*0.95),0)+IF(AND(Projects!$G$27="Yes",47&gt;=Projects!$C$27,47&lt;Projects!$C$27+Projects!$D$27),IF(47=Projects!$C$27+Projects!$D$27-1,Projects!$B$27*INDEX(Curves!$B$4:$AO$4,1,47-Projects!$C$27+1)*Assumptions!$B$11*0.95+0.05*Projects!$B$27*Assumptions!$B$11,Projects!$B$27*INDEX(Curves!$B$4:$AO$4,1,47-Projects!$C$27+1)*Assumptions!$B$11*0.95),0)+IF(AND(Projects!$G$28="Yes",47&gt;=Projects!$C$28,47&lt;Projects!$C$28+Projects!$D$28),IF(47=Projects!$C$28+Projects!$D$28-1,Projects!$B$28*INDEX(Curves!$B$4:$AO$4,1,47-Projects!$C$28+1)*Assumptions!$B$11*0.95+0.05*Projects!$B$28*Assumptions!$B$11,Projects!$B$28*INDEX(Curves!$B$4:$AO$4,1,47-Projects!$C$28+1)*Assumptions!$B$11*0.95),0)+IF(AND(Projects!$G$29="Yes",47&gt;=Projects!$C$29,47&lt;Projects!$C$29+Projects!$D$29),IF(47=Projects!$C$29+Projects!$D$29-1,Projects!$B$29*INDEX(Curves!$B$4:$AO$4,1,47-Projects!$C$29+1)*Assumptions!$B$11*0.95+0.05*Projects!$B$29*Assumptions!$B$11,Projects!$B$29*INDEX(Curves!$B$4:$AO$4,1,47-Projects!$C$29+1)*Assumptions!$B$11*0.95),0)</f>
        <v/>
      </c>
      <c r="AX99">
        <f>IF(AND(Projects!$G$17="Yes",48&gt;=Projects!$C$17,48&lt;Projects!$C$17+Projects!$D$17),IF(48=Projects!$C$17+Projects!$D$17-1,Projects!$B$17*INDEX(Curves!$B$4:$AO$4,1,48-Projects!$C$17+1)*Assumptions!$B$11*0.95+0.05*Projects!$B$17*Assumptions!$B$11,Projects!$B$17*INDEX(Curves!$B$4:$AO$4,1,48-Projects!$C$17+1)*Assumptions!$B$11*0.95),0)+IF(AND(Projects!$G$18="Yes",48&gt;=Projects!$C$18,48&lt;Projects!$C$18+Projects!$D$18),IF(48=Projects!$C$18+Projects!$D$18-1,Projects!$B$18*INDEX(Curves!$B$4:$AO$4,1,48-Projects!$C$18+1)*Assumptions!$B$11*0.95+0.05*Projects!$B$18*Assumptions!$B$11,Projects!$B$18*INDEX(Curves!$B$4:$AO$4,1,48-Projects!$C$18+1)*Assumptions!$B$11*0.95),0)+IF(AND(Projects!$G$19="Yes",48&gt;=Projects!$C$19,48&lt;Projects!$C$19+Projects!$D$19),IF(48=Projects!$C$19+Projects!$D$19-1,Projects!$B$19*INDEX(Curves!$B$4:$AO$4,1,48-Projects!$C$19+1)*Assumptions!$B$11*0.95+0.05*Projects!$B$19*Assumptions!$B$11,Projects!$B$19*INDEX(Curves!$B$4:$AO$4,1,48-Projects!$C$19+1)*Assumptions!$B$11*0.95),0)+IF(AND(Projects!$G$20="Yes",48&gt;=Projects!$C$20,48&lt;Projects!$C$20+Projects!$D$20),IF(48=Projects!$C$20+Projects!$D$20-1,Projects!$B$20*INDEX(Curves!$B$4:$AO$4,1,48-Projects!$C$20+1)*Assumptions!$B$11*0.95+0.05*Projects!$B$20*Assumptions!$B$11,Projects!$B$20*INDEX(Curves!$B$4:$AO$4,1,48-Projects!$C$20+1)*Assumptions!$B$11*0.95),0)+IF(AND(Projects!$G$21="Yes",48&gt;=Projects!$C$21,48&lt;Projects!$C$21+Projects!$D$21),IF(48=Projects!$C$21+Projects!$D$21-1,Projects!$B$21*INDEX(Curves!$B$4:$AO$4,1,48-Projects!$C$21+1)*Assumptions!$B$11*0.95+0.05*Projects!$B$21*Assumptions!$B$11,Projects!$B$21*INDEX(Curves!$B$4:$AO$4,1,48-Projects!$C$21+1)*Assumptions!$B$11*0.95),0)+IF(AND(Projects!$G$22="Yes",48&gt;=Projects!$C$22,48&lt;Projects!$C$22+Projects!$D$22),IF(48=Projects!$C$22+Projects!$D$22-1,Projects!$B$22*INDEX(Curves!$B$4:$AO$4,1,48-Projects!$C$22+1)*Assumptions!$B$11*0.95+0.05*Projects!$B$22*Assumptions!$B$11,Projects!$B$22*INDEX(Curves!$B$4:$AO$4,1,48-Projects!$C$22+1)*Assumptions!$B$11*0.95),0)+IF(AND(Projects!$G$23="Yes",48&gt;=Projects!$C$23,48&lt;Projects!$C$23+Projects!$D$23),IF(48=Projects!$C$23+Projects!$D$23-1,Projects!$B$23*INDEX(Curves!$B$4:$AO$4,1,48-Projects!$C$23+1)*Assumptions!$B$11*0.95+0.05*Projects!$B$23*Assumptions!$B$11,Projects!$B$23*INDEX(Curves!$B$4:$AO$4,1,48-Projects!$C$23+1)*Assumptions!$B$11*0.95),0)+IF(AND(Projects!$G$24="Yes",48&gt;=Projects!$C$24,48&lt;Projects!$C$24+Projects!$D$24),IF(48=Projects!$C$24+Projects!$D$24-1,Projects!$B$24*INDEX(Curves!$B$4:$AO$4,1,48-Projects!$C$24+1)*Assumptions!$B$11*0.95+0.05*Projects!$B$24*Assumptions!$B$11,Projects!$B$24*INDEX(Curves!$B$4:$AO$4,1,48-Projects!$C$24+1)*Assumptions!$B$11*0.95),0)+IF(AND(Projects!$G$25="Yes",48&gt;=Projects!$C$25,48&lt;Projects!$C$25+Projects!$D$25),IF(48=Projects!$C$25+Projects!$D$25-1,Projects!$B$25*INDEX(Curves!$B$4:$AO$4,1,48-Projects!$C$25+1)*Assumptions!$B$11*0.95+0.05*Projects!$B$25*Assumptions!$B$11,Projects!$B$25*INDEX(Curves!$B$4:$AO$4,1,48-Projects!$C$25+1)*Assumptions!$B$11*0.95),0)+IF(AND(Projects!$G$26="Yes",48&gt;=Projects!$C$26,48&lt;Projects!$C$26+Projects!$D$26),IF(48=Projects!$C$26+Projects!$D$26-1,Projects!$B$26*INDEX(Curves!$B$4:$AO$4,1,48-Projects!$C$26+1)*Assumptions!$B$11*0.95+0.05*Projects!$B$26*Assumptions!$B$11,Projects!$B$26*INDEX(Curves!$B$4:$AO$4,1,48-Projects!$C$26+1)*Assumptions!$B$11*0.95),0)+IF(AND(Projects!$G$27="Yes",48&gt;=Projects!$C$27,48&lt;Projects!$C$27+Projects!$D$27),IF(48=Projects!$C$27+Projects!$D$27-1,Projects!$B$27*INDEX(Curves!$B$4:$AO$4,1,48-Projects!$C$27+1)*Assumptions!$B$11*0.95+0.05*Projects!$B$27*Assumptions!$B$11,Projects!$B$27*INDEX(Curves!$B$4:$AO$4,1,48-Projects!$C$27+1)*Assumptions!$B$11*0.95),0)+IF(AND(Projects!$G$28="Yes",48&gt;=Projects!$C$28,48&lt;Projects!$C$28+Projects!$D$28),IF(48=Projects!$C$28+Projects!$D$28-1,Projects!$B$28*INDEX(Curves!$B$4:$AO$4,1,48-Projects!$C$28+1)*Assumptions!$B$11*0.95+0.05*Projects!$B$28*Assumptions!$B$11,Projects!$B$28*INDEX(Curves!$B$4:$AO$4,1,48-Projects!$C$28+1)*Assumptions!$B$11*0.95),0)+IF(AND(Projects!$G$29="Yes",48&gt;=Projects!$C$29,48&lt;Projects!$C$29+Projects!$D$29),IF(48=Projects!$C$29+Projects!$D$29-1,Projects!$B$29*INDEX(Curves!$B$4:$AO$4,1,48-Projects!$C$29+1)*Assumptions!$B$11*0.95+0.05*Projects!$B$29*Assumptions!$B$11,Projects!$B$29*INDEX(Curves!$B$4:$AO$4,1,48-Projects!$C$29+1)*Assumptions!$B$11*0.95),0)</f>
        <v/>
      </c>
      <c r="AY99">
        <f>IF(AND(Projects!$G$17="Yes",49&gt;=Projects!$C$17,49&lt;Projects!$C$17+Projects!$D$17),IF(49=Projects!$C$17+Projects!$D$17-1,Projects!$B$17*INDEX(Curves!$B$4:$AO$4,1,49-Projects!$C$17+1)*Assumptions!$B$11*0.95+0.05*Projects!$B$17*Assumptions!$B$11,Projects!$B$17*INDEX(Curves!$B$4:$AO$4,1,49-Projects!$C$17+1)*Assumptions!$B$11*0.95),0)+IF(AND(Projects!$G$18="Yes",49&gt;=Projects!$C$18,49&lt;Projects!$C$18+Projects!$D$18),IF(49=Projects!$C$18+Projects!$D$18-1,Projects!$B$18*INDEX(Curves!$B$4:$AO$4,1,49-Projects!$C$18+1)*Assumptions!$B$11*0.95+0.05*Projects!$B$18*Assumptions!$B$11,Projects!$B$18*INDEX(Curves!$B$4:$AO$4,1,49-Projects!$C$18+1)*Assumptions!$B$11*0.95),0)+IF(AND(Projects!$G$19="Yes",49&gt;=Projects!$C$19,49&lt;Projects!$C$19+Projects!$D$19),IF(49=Projects!$C$19+Projects!$D$19-1,Projects!$B$19*INDEX(Curves!$B$4:$AO$4,1,49-Projects!$C$19+1)*Assumptions!$B$11*0.95+0.05*Projects!$B$19*Assumptions!$B$11,Projects!$B$19*INDEX(Curves!$B$4:$AO$4,1,49-Projects!$C$19+1)*Assumptions!$B$11*0.95),0)+IF(AND(Projects!$G$20="Yes",49&gt;=Projects!$C$20,49&lt;Projects!$C$20+Projects!$D$20),IF(49=Projects!$C$20+Projects!$D$20-1,Projects!$B$20*INDEX(Curves!$B$4:$AO$4,1,49-Projects!$C$20+1)*Assumptions!$B$11*0.95+0.05*Projects!$B$20*Assumptions!$B$11,Projects!$B$20*INDEX(Curves!$B$4:$AO$4,1,49-Projects!$C$20+1)*Assumptions!$B$11*0.95),0)+IF(AND(Projects!$G$21="Yes",49&gt;=Projects!$C$21,49&lt;Projects!$C$21+Projects!$D$21),IF(49=Projects!$C$21+Projects!$D$21-1,Projects!$B$21*INDEX(Curves!$B$4:$AO$4,1,49-Projects!$C$21+1)*Assumptions!$B$11*0.95+0.05*Projects!$B$21*Assumptions!$B$11,Projects!$B$21*INDEX(Curves!$B$4:$AO$4,1,49-Projects!$C$21+1)*Assumptions!$B$11*0.95),0)+IF(AND(Projects!$G$22="Yes",49&gt;=Projects!$C$22,49&lt;Projects!$C$22+Projects!$D$22),IF(49=Projects!$C$22+Projects!$D$22-1,Projects!$B$22*INDEX(Curves!$B$4:$AO$4,1,49-Projects!$C$22+1)*Assumptions!$B$11*0.95+0.05*Projects!$B$22*Assumptions!$B$11,Projects!$B$22*INDEX(Curves!$B$4:$AO$4,1,49-Projects!$C$22+1)*Assumptions!$B$11*0.95),0)+IF(AND(Projects!$G$23="Yes",49&gt;=Projects!$C$23,49&lt;Projects!$C$23+Projects!$D$23),IF(49=Projects!$C$23+Projects!$D$23-1,Projects!$B$23*INDEX(Curves!$B$4:$AO$4,1,49-Projects!$C$23+1)*Assumptions!$B$11*0.95+0.05*Projects!$B$23*Assumptions!$B$11,Projects!$B$23*INDEX(Curves!$B$4:$AO$4,1,49-Projects!$C$23+1)*Assumptions!$B$11*0.95),0)+IF(AND(Projects!$G$24="Yes",49&gt;=Projects!$C$24,49&lt;Projects!$C$24+Projects!$D$24),IF(49=Projects!$C$24+Projects!$D$24-1,Projects!$B$24*INDEX(Curves!$B$4:$AO$4,1,49-Projects!$C$24+1)*Assumptions!$B$11*0.95+0.05*Projects!$B$24*Assumptions!$B$11,Projects!$B$24*INDEX(Curves!$B$4:$AO$4,1,49-Projects!$C$24+1)*Assumptions!$B$11*0.95),0)+IF(AND(Projects!$G$25="Yes",49&gt;=Projects!$C$25,49&lt;Projects!$C$25+Projects!$D$25),IF(49=Projects!$C$25+Projects!$D$25-1,Projects!$B$25*INDEX(Curves!$B$4:$AO$4,1,49-Projects!$C$25+1)*Assumptions!$B$11*0.95+0.05*Projects!$B$25*Assumptions!$B$11,Projects!$B$25*INDEX(Curves!$B$4:$AO$4,1,49-Projects!$C$25+1)*Assumptions!$B$11*0.95),0)+IF(AND(Projects!$G$26="Yes",49&gt;=Projects!$C$26,49&lt;Projects!$C$26+Projects!$D$26),IF(49=Projects!$C$26+Projects!$D$26-1,Projects!$B$26*INDEX(Curves!$B$4:$AO$4,1,49-Projects!$C$26+1)*Assumptions!$B$11*0.95+0.05*Projects!$B$26*Assumptions!$B$11,Projects!$B$26*INDEX(Curves!$B$4:$AO$4,1,49-Projects!$C$26+1)*Assumptions!$B$11*0.95),0)+IF(AND(Projects!$G$27="Yes",49&gt;=Projects!$C$27,49&lt;Projects!$C$27+Projects!$D$27),IF(49=Projects!$C$27+Projects!$D$27-1,Projects!$B$27*INDEX(Curves!$B$4:$AO$4,1,49-Projects!$C$27+1)*Assumptions!$B$11*0.95+0.05*Projects!$B$27*Assumptions!$B$11,Projects!$B$27*INDEX(Curves!$B$4:$AO$4,1,49-Projects!$C$27+1)*Assumptions!$B$11*0.95),0)+IF(AND(Projects!$G$28="Yes",49&gt;=Projects!$C$28,49&lt;Projects!$C$28+Projects!$D$28),IF(49=Projects!$C$28+Projects!$D$28-1,Projects!$B$28*INDEX(Curves!$B$4:$AO$4,1,49-Projects!$C$28+1)*Assumptions!$B$11*0.95+0.05*Projects!$B$28*Assumptions!$B$11,Projects!$B$28*INDEX(Curves!$B$4:$AO$4,1,49-Projects!$C$28+1)*Assumptions!$B$11*0.95),0)+IF(AND(Projects!$G$29="Yes",49&gt;=Projects!$C$29,49&lt;Projects!$C$29+Projects!$D$29),IF(49=Projects!$C$29+Projects!$D$29-1,Projects!$B$29*INDEX(Curves!$B$4:$AO$4,1,49-Projects!$C$29+1)*Assumptions!$B$11*0.95+0.05*Projects!$B$29*Assumptions!$B$11,Projects!$B$29*INDEX(Curves!$B$4:$AO$4,1,49-Projects!$C$29+1)*Assumptions!$B$11*0.95),0)</f>
        <v/>
      </c>
      <c r="AZ99">
        <f>IF(AND(Projects!$G$17="Yes",50&gt;=Projects!$C$17,50&lt;Projects!$C$17+Projects!$D$17),IF(50=Projects!$C$17+Projects!$D$17-1,Projects!$B$17*INDEX(Curves!$B$4:$AO$4,1,50-Projects!$C$17+1)*Assumptions!$B$11*0.95+0.05*Projects!$B$17*Assumptions!$B$11,Projects!$B$17*INDEX(Curves!$B$4:$AO$4,1,50-Projects!$C$17+1)*Assumptions!$B$11*0.95),0)+IF(AND(Projects!$G$18="Yes",50&gt;=Projects!$C$18,50&lt;Projects!$C$18+Projects!$D$18),IF(50=Projects!$C$18+Projects!$D$18-1,Projects!$B$18*INDEX(Curves!$B$4:$AO$4,1,50-Projects!$C$18+1)*Assumptions!$B$11*0.95+0.05*Projects!$B$18*Assumptions!$B$11,Projects!$B$18*INDEX(Curves!$B$4:$AO$4,1,50-Projects!$C$18+1)*Assumptions!$B$11*0.95),0)+IF(AND(Projects!$G$19="Yes",50&gt;=Projects!$C$19,50&lt;Projects!$C$19+Projects!$D$19),IF(50=Projects!$C$19+Projects!$D$19-1,Projects!$B$19*INDEX(Curves!$B$4:$AO$4,1,50-Projects!$C$19+1)*Assumptions!$B$11*0.95+0.05*Projects!$B$19*Assumptions!$B$11,Projects!$B$19*INDEX(Curves!$B$4:$AO$4,1,50-Projects!$C$19+1)*Assumptions!$B$11*0.95),0)+IF(AND(Projects!$G$20="Yes",50&gt;=Projects!$C$20,50&lt;Projects!$C$20+Projects!$D$20),IF(50=Projects!$C$20+Projects!$D$20-1,Projects!$B$20*INDEX(Curves!$B$4:$AO$4,1,50-Projects!$C$20+1)*Assumptions!$B$11*0.95+0.05*Projects!$B$20*Assumptions!$B$11,Projects!$B$20*INDEX(Curves!$B$4:$AO$4,1,50-Projects!$C$20+1)*Assumptions!$B$11*0.95),0)+IF(AND(Projects!$G$21="Yes",50&gt;=Projects!$C$21,50&lt;Projects!$C$21+Projects!$D$21),IF(50=Projects!$C$21+Projects!$D$21-1,Projects!$B$21*INDEX(Curves!$B$4:$AO$4,1,50-Projects!$C$21+1)*Assumptions!$B$11*0.95+0.05*Projects!$B$21*Assumptions!$B$11,Projects!$B$21*INDEX(Curves!$B$4:$AO$4,1,50-Projects!$C$21+1)*Assumptions!$B$11*0.95),0)+IF(AND(Projects!$G$22="Yes",50&gt;=Projects!$C$22,50&lt;Projects!$C$22+Projects!$D$22),IF(50=Projects!$C$22+Projects!$D$22-1,Projects!$B$22*INDEX(Curves!$B$4:$AO$4,1,50-Projects!$C$22+1)*Assumptions!$B$11*0.95+0.05*Projects!$B$22*Assumptions!$B$11,Projects!$B$22*INDEX(Curves!$B$4:$AO$4,1,50-Projects!$C$22+1)*Assumptions!$B$11*0.95),0)+IF(AND(Projects!$G$23="Yes",50&gt;=Projects!$C$23,50&lt;Projects!$C$23+Projects!$D$23),IF(50=Projects!$C$23+Projects!$D$23-1,Projects!$B$23*INDEX(Curves!$B$4:$AO$4,1,50-Projects!$C$23+1)*Assumptions!$B$11*0.95+0.05*Projects!$B$23*Assumptions!$B$11,Projects!$B$23*INDEX(Curves!$B$4:$AO$4,1,50-Projects!$C$23+1)*Assumptions!$B$11*0.95),0)+IF(AND(Projects!$G$24="Yes",50&gt;=Projects!$C$24,50&lt;Projects!$C$24+Projects!$D$24),IF(50=Projects!$C$24+Projects!$D$24-1,Projects!$B$24*INDEX(Curves!$B$4:$AO$4,1,50-Projects!$C$24+1)*Assumptions!$B$11*0.95+0.05*Projects!$B$24*Assumptions!$B$11,Projects!$B$24*INDEX(Curves!$B$4:$AO$4,1,50-Projects!$C$24+1)*Assumptions!$B$11*0.95),0)+IF(AND(Projects!$G$25="Yes",50&gt;=Projects!$C$25,50&lt;Projects!$C$25+Projects!$D$25),IF(50=Projects!$C$25+Projects!$D$25-1,Projects!$B$25*INDEX(Curves!$B$4:$AO$4,1,50-Projects!$C$25+1)*Assumptions!$B$11*0.95+0.05*Projects!$B$25*Assumptions!$B$11,Projects!$B$25*INDEX(Curves!$B$4:$AO$4,1,50-Projects!$C$25+1)*Assumptions!$B$11*0.95),0)+IF(AND(Projects!$G$26="Yes",50&gt;=Projects!$C$26,50&lt;Projects!$C$26+Projects!$D$26),IF(50=Projects!$C$26+Projects!$D$26-1,Projects!$B$26*INDEX(Curves!$B$4:$AO$4,1,50-Projects!$C$26+1)*Assumptions!$B$11*0.95+0.05*Projects!$B$26*Assumptions!$B$11,Projects!$B$26*INDEX(Curves!$B$4:$AO$4,1,50-Projects!$C$26+1)*Assumptions!$B$11*0.95),0)+IF(AND(Projects!$G$27="Yes",50&gt;=Projects!$C$27,50&lt;Projects!$C$27+Projects!$D$27),IF(50=Projects!$C$27+Projects!$D$27-1,Projects!$B$27*INDEX(Curves!$B$4:$AO$4,1,50-Projects!$C$27+1)*Assumptions!$B$11*0.95+0.05*Projects!$B$27*Assumptions!$B$11,Projects!$B$27*INDEX(Curves!$B$4:$AO$4,1,50-Projects!$C$27+1)*Assumptions!$B$11*0.95),0)+IF(AND(Projects!$G$28="Yes",50&gt;=Projects!$C$28,50&lt;Projects!$C$28+Projects!$D$28),IF(50=Projects!$C$28+Projects!$D$28-1,Projects!$B$28*INDEX(Curves!$B$4:$AO$4,1,50-Projects!$C$28+1)*Assumptions!$B$11*0.95+0.05*Projects!$B$28*Assumptions!$B$11,Projects!$B$28*INDEX(Curves!$B$4:$AO$4,1,50-Projects!$C$28+1)*Assumptions!$B$11*0.95),0)+IF(AND(Projects!$G$29="Yes",50&gt;=Projects!$C$29,50&lt;Projects!$C$29+Projects!$D$29),IF(50=Projects!$C$29+Projects!$D$29-1,Projects!$B$29*INDEX(Curves!$B$4:$AO$4,1,50-Projects!$C$29+1)*Assumptions!$B$11*0.95+0.05*Projects!$B$29*Assumptions!$B$11,Projects!$B$29*INDEX(Curves!$B$4:$AO$4,1,50-Projects!$C$29+1)*Assumptions!$B$11*0.95),0)</f>
        <v/>
      </c>
      <c r="BA99">
        <f>IF(AND(Projects!$G$17="Yes",51&gt;=Projects!$C$17,51&lt;Projects!$C$17+Projects!$D$17),IF(51=Projects!$C$17+Projects!$D$17-1,Projects!$B$17*INDEX(Curves!$B$4:$AO$4,1,51-Projects!$C$17+1)*Assumptions!$B$11*0.95+0.05*Projects!$B$17*Assumptions!$B$11,Projects!$B$17*INDEX(Curves!$B$4:$AO$4,1,51-Projects!$C$17+1)*Assumptions!$B$11*0.95),0)+IF(AND(Projects!$G$18="Yes",51&gt;=Projects!$C$18,51&lt;Projects!$C$18+Projects!$D$18),IF(51=Projects!$C$18+Projects!$D$18-1,Projects!$B$18*INDEX(Curves!$B$4:$AO$4,1,51-Projects!$C$18+1)*Assumptions!$B$11*0.95+0.05*Projects!$B$18*Assumptions!$B$11,Projects!$B$18*INDEX(Curves!$B$4:$AO$4,1,51-Projects!$C$18+1)*Assumptions!$B$11*0.95),0)+IF(AND(Projects!$G$19="Yes",51&gt;=Projects!$C$19,51&lt;Projects!$C$19+Projects!$D$19),IF(51=Projects!$C$19+Projects!$D$19-1,Projects!$B$19*INDEX(Curves!$B$4:$AO$4,1,51-Projects!$C$19+1)*Assumptions!$B$11*0.95+0.05*Projects!$B$19*Assumptions!$B$11,Projects!$B$19*INDEX(Curves!$B$4:$AO$4,1,51-Projects!$C$19+1)*Assumptions!$B$11*0.95),0)+IF(AND(Projects!$G$20="Yes",51&gt;=Projects!$C$20,51&lt;Projects!$C$20+Projects!$D$20),IF(51=Projects!$C$20+Projects!$D$20-1,Projects!$B$20*INDEX(Curves!$B$4:$AO$4,1,51-Projects!$C$20+1)*Assumptions!$B$11*0.95+0.05*Projects!$B$20*Assumptions!$B$11,Projects!$B$20*INDEX(Curves!$B$4:$AO$4,1,51-Projects!$C$20+1)*Assumptions!$B$11*0.95),0)+IF(AND(Projects!$G$21="Yes",51&gt;=Projects!$C$21,51&lt;Projects!$C$21+Projects!$D$21),IF(51=Projects!$C$21+Projects!$D$21-1,Projects!$B$21*INDEX(Curves!$B$4:$AO$4,1,51-Projects!$C$21+1)*Assumptions!$B$11*0.95+0.05*Projects!$B$21*Assumptions!$B$11,Projects!$B$21*INDEX(Curves!$B$4:$AO$4,1,51-Projects!$C$21+1)*Assumptions!$B$11*0.95),0)+IF(AND(Projects!$G$22="Yes",51&gt;=Projects!$C$22,51&lt;Projects!$C$22+Projects!$D$22),IF(51=Projects!$C$22+Projects!$D$22-1,Projects!$B$22*INDEX(Curves!$B$4:$AO$4,1,51-Projects!$C$22+1)*Assumptions!$B$11*0.95+0.05*Projects!$B$22*Assumptions!$B$11,Projects!$B$22*INDEX(Curves!$B$4:$AO$4,1,51-Projects!$C$22+1)*Assumptions!$B$11*0.95),0)+IF(AND(Projects!$G$23="Yes",51&gt;=Projects!$C$23,51&lt;Projects!$C$23+Projects!$D$23),IF(51=Projects!$C$23+Projects!$D$23-1,Projects!$B$23*INDEX(Curves!$B$4:$AO$4,1,51-Projects!$C$23+1)*Assumptions!$B$11*0.95+0.05*Projects!$B$23*Assumptions!$B$11,Projects!$B$23*INDEX(Curves!$B$4:$AO$4,1,51-Projects!$C$23+1)*Assumptions!$B$11*0.95),0)+IF(AND(Projects!$G$24="Yes",51&gt;=Projects!$C$24,51&lt;Projects!$C$24+Projects!$D$24),IF(51=Projects!$C$24+Projects!$D$24-1,Projects!$B$24*INDEX(Curves!$B$4:$AO$4,1,51-Projects!$C$24+1)*Assumptions!$B$11*0.95+0.05*Projects!$B$24*Assumptions!$B$11,Projects!$B$24*INDEX(Curves!$B$4:$AO$4,1,51-Projects!$C$24+1)*Assumptions!$B$11*0.95),0)+IF(AND(Projects!$G$25="Yes",51&gt;=Projects!$C$25,51&lt;Projects!$C$25+Projects!$D$25),IF(51=Projects!$C$25+Projects!$D$25-1,Projects!$B$25*INDEX(Curves!$B$4:$AO$4,1,51-Projects!$C$25+1)*Assumptions!$B$11*0.95+0.05*Projects!$B$25*Assumptions!$B$11,Projects!$B$25*INDEX(Curves!$B$4:$AO$4,1,51-Projects!$C$25+1)*Assumptions!$B$11*0.95),0)+IF(AND(Projects!$G$26="Yes",51&gt;=Projects!$C$26,51&lt;Projects!$C$26+Projects!$D$26),IF(51=Projects!$C$26+Projects!$D$26-1,Projects!$B$26*INDEX(Curves!$B$4:$AO$4,1,51-Projects!$C$26+1)*Assumptions!$B$11*0.95+0.05*Projects!$B$26*Assumptions!$B$11,Projects!$B$26*INDEX(Curves!$B$4:$AO$4,1,51-Projects!$C$26+1)*Assumptions!$B$11*0.95),0)+IF(AND(Projects!$G$27="Yes",51&gt;=Projects!$C$27,51&lt;Projects!$C$27+Projects!$D$27),IF(51=Projects!$C$27+Projects!$D$27-1,Projects!$B$27*INDEX(Curves!$B$4:$AO$4,1,51-Projects!$C$27+1)*Assumptions!$B$11*0.95+0.05*Projects!$B$27*Assumptions!$B$11,Projects!$B$27*INDEX(Curves!$B$4:$AO$4,1,51-Projects!$C$27+1)*Assumptions!$B$11*0.95),0)+IF(AND(Projects!$G$28="Yes",51&gt;=Projects!$C$28,51&lt;Projects!$C$28+Projects!$D$28),IF(51=Projects!$C$28+Projects!$D$28-1,Projects!$B$28*INDEX(Curves!$B$4:$AO$4,1,51-Projects!$C$28+1)*Assumptions!$B$11*0.95+0.05*Projects!$B$28*Assumptions!$B$11,Projects!$B$28*INDEX(Curves!$B$4:$AO$4,1,51-Projects!$C$28+1)*Assumptions!$B$11*0.95),0)+IF(AND(Projects!$G$29="Yes",51&gt;=Projects!$C$29,51&lt;Projects!$C$29+Projects!$D$29),IF(51=Projects!$C$29+Projects!$D$29-1,Projects!$B$29*INDEX(Curves!$B$4:$AO$4,1,51-Projects!$C$29+1)*Assumptions!$B$11*0.95+0.05*Projects!$B$29*Assumptions!$B$11,Projects!$B$29*INDEX(Curves!$B$4:$AO$4,1,51-Projects!$C$29+1)*Assumptions!$B$11*0.95),0)</f>
        <v/>
      </c>
      <c r="BB99">
        <f>IF(AND(Projects!$G$17="Yes",52&gt;=Projects!$C$17,52&lt;Projects!$C$17+Projects!$D$17),IF(52=Projects!$C$17+Projects!$D$17-1,Projects!$B$17*INDEX(Curves!$B$4:$AO$4,1,52-Projects!$C$17+1)*Assumptions!$B$11*0.95+0.05*Projects!$B$17*Assumptions!$B$11,Projects!$B$17*INDEX(Curves!$B$4:$AO$4,1,52-Projects!$C$17+1)*Assumptions!$B$11*0.95),0)+IF(AND(Projects!$G$18="Yes",52&gt;=Projects!$C$18,52&lt;Projects!$C$18+Projects!$D$18),IF(52=Projects!$C$18+Projects!$D$18-1,Projects!$B$18*INDEX(Curves!$B$4:$AO$4,1,52-Projects!$C$18+1)*Assumptions!$B$11*0.95+0.05*Projects!$B$18*Assumptions!$B$11,Projects!$B$18*INDEX(Curves!$B$4:$AO$4,1,52-Projects!$C$18+1)*Assumptions!$B$11*0.95),0)+IF(AND(Projects!$G$19="Yes",52&gt;=Projects!$C$19,52&lt;Projects!$C$19+Projects!$D$19),IF(52=Projects!$C$19+Projects!$D$19-1,Projects!$B$19*INDEX(Curves!$B$4:$AO$4,1,52-Projects!$C$19+1)*Assumptions!$B$11*0.95+0.05*Projects!$B$19*Assumptions!$B$11,Projects!$B$19*INDEX(Curves!$B$4:$AO$4,1,52-Projects!$C$19+1)*Assumptions!$B$11*0.95),0)+IF(AND(Projects!$G$20="Yes",52&gt;=Projects!$C$20,52&lt;Projects!$C$20+Projects!$D$20),IF(52=Projects!$C$20+Projects!$D$20-1,Projects!$B$20*INDEX(Curves!$B$4:$AO$4,1,52-Projects!$C$20+1)*Assumptions!$B$11*0.95+0.05*Projects!$B$20*Assumptions!$B$11,Projects!$B$20*INDEX(Curves!$B$4:$AO$4,1,52-Projects!$C$20+1)*Assumptions!$B$11*0.95),0)+IF(AND(Projects!$G$21="Yes",52&gt;=Projects!$C$21,52&lt;Projects!$C$21+Projects!$D$21),IF(52=Projects!$C$21+Projects!$D$21-1,Projects!$B$21*INDEX(Curves!$B$4:$AO$4,1,52-Projects!$C$21+1)*Assumptions!$B$11*0.95+0.05*Projects!$B$21*Assumptions!$B$11,Projects!$B$21*INDEX(Curves!$B$4:$AO$4,1,52-Projects!$C$21+1)*Assumptions!$B$11*0.95),0)+IF(AND(Projects!$G$22="Yes",52&gt;=Projects!$C$22,52&lt;Projects!$C$22+Projects!$D$22),IF(52=Projects!$C$22+Projects!$D$22-1,Projects!$B$22*INDEX(Curves!$B$4:$AO$4,1,52-Projects!$C$22+1)*Assumptions!$B$11*0.95+0.05*Projects!$B$22*Assumptions!$B$11,Projects!$B$22*INDEX(Curves!$B$4:$AO$4,1,52-Projects!$C$22+1)*Assumptions!$B$11*0.95),0)+IF(AND(Projects!$G$23="Yes",52&gt;=Projects!$C$23,52&lt;Projects!$C$23+Projects!$D$23),IF(52=Projects!$C$23+Projects!$D$23-1,Projects!$B$23*INDEX(Curves!$B$4:$AO$4,1,52-Projects!$C$23+1)*Assumptions!$B$11*0.95+0.05*Projects!$B$23*Assumptions!$B$11,Projects!$B$23*INDEX(Curves!$B$4:$AO$4,1,52-Projects!$C$23+1)*Assumptions!$B$11*0.95),0)+IF(AND(Projects!$G$24="Yes",52&gt;=Projects!$C$24,52&lt;Projects!$C$24+Projects!$D$24),IF(52=Projects!$C$24+Projects!$D$24-1,Projects!$B$24*INDEX(Curves!$B$4:$AO$4,1,52-Projects!$C$24+1)*Assumptions!$B$11*0.95+0.05*Projects!$B$24*Assumptions!$B$11,Projects!$B$24*INDEX(Curves!$B$4:$AO$4,1,52-Projects!$C$24+1)*Assumptions!$B$11*0.95),0)+IF(AND(Projects!$G$25="Yes",52&gt;=Projects!$C$25,52&lt;Projects!$C$25+Projects!$D$25),IF(52=Projects!$C$25+Projects!$D$25-1,Projects!$B$25*INDEX(Curves!$B$4:$AO$4,1,52-Projects!$C$25+1)*Assumptions!$B$11*0.95+0.05*Projects!$B$25*Assumptions!$B$11,Projects!$B$25*INDEX(Curves!$B$4:$AO$4,1,52-Projects!$C$25+1)*Assumptions!$B$11*0.95),0)+IF(AND(Projects!$G$26="Yes",52&gt;=Projects!$C$26,52&lt;Projects!$C$26+Projects!$D$26),IF(52=Projects!$C$26+Projects!$D$26-1,Projects!$B$26*INDEX(Curves!$B$4:$AO$4,1,52-Projects!$C$26+1)*Assumptions!$B$11*0.95+0.05*Projects!$B$26*Assumptions!$B$11,Projects!$B$26*INDEX(Curves!$B$4:$AO$4,1,52-Projects!$C$26+1)*Assumptions!$B$11*0.95),0)+IF(AND(Projects!$G$27="Yes",52&gt;=Projects!$C$27,52&lt;Projects!$C$27+Projects!$D$27),IF(52=Projects!$C$27+Projects!$D$27-1,Projects!$B$27*INDEX(Curves!$B$4:$AO$4,1,52-Projects!$C$27+1)*Assumptions!$B$11*0.95+0.05*Projects!$B$27*Assumptions!$B$11,Projects!$B$27*INDEX(Curves!$B$4:$AO$4,1,52-Projects!$C$27+1)*Assumptions!$B$11*0.95),0)+IF(AND(Projects!$G$28="Yes",52&gt;=Projects!$C$28,52&lt;Projects!$C$28+Projects!$D$28),IF(52=Projects!$C$28+Projects!$D$28-1,Projects!$B$28*INDEX(Curves!$B$4:$AO$4,1,52-Projects!$C$28+1)*Assumptions!$B$11*0.95+0.05*Projects!$B$28*Assumptions!$B$11,Projects!$B$28*INDEX(Curves!$B$4:$AO$4,1,52-Projects!$C$28+1)*Assumptions!$B$11*0.95),0)+IF(AND(Projects!$G$29="Yes",52&gt;=Projects!$C$29,52&lt;Projects!$C$29+Projects!$D$29),IF(52=Projects!$C$29+Projects!$D$29-1,Projects!$B$29*INDEX(Curves!$B$4:$AO$4,1,52-Projects!$C$29+1)*Assumptions!$B$11*0.95+0.05*Projects!$B$29*Assumptions!$B$11,Projects!$B$29*INDEX(Curves!$B$4:$AO$4,1,52-Projects!$C$29+1)*Assumptions!$B$11*0.95),0)</f>
        <v/>
      </c>
      <c r="BC99">
        <f>IF(AND(Projects!$G$17="Yes",53&gt;=Projects!$C$17,53&lt;Projects!$C$17+Projects!$D$17),IF(53=Projects!$C$17+Projects!$D$17-1,Projects!$B$17*INDEX(Curves!$B$4:$AO$4,1,53-Projects!$C$17+1)*Assumptions!$B$11*0.95+0.05*Projects!$B$17*Assumptions!$B$11,Projects!$B$17*INDEX(Curves!$B$4:$AO$4,1,53-Projects!$C$17+1)*Assumptions!$B$11*0.95),0)+IF(AND(Projects!$G$18="Yes",53&gt;=Projects!$C$18,53&lt;Projects!$C$18+Projects!$D$18),IF(53=Projects!$C$18+Projects!$D$18-1,Projects!$B$18*INDEX(Curves!$B$4:$AO$4,1,53-Projects!$C$18+1)*Assumptions!$B$11*0.95+0.05*Projects!$B$18*Assumptions!$B$11,Projects!$B$18*INDEX(Curves!$B$4:$AO$4,1,53-Projects!$C$18+1)*Assumptions!$B$11*0.95),0)+IF(AND(Projects!$G$19="Yes",53&gt;=Projects!$C$19,53&lt;Projects!$C$19+Projects!$D$19),IF(53=Projects!$C$19+Projects!$D$19-1,Projects!$B$19*INDEX(Curves!$B$4:$AO$4,1,53-Projects!$C$19+1)*Assumptions!$B$11*0.95+0.05*Projects!$B$19*Assumptions!$B$11,Projects!$B$19*INDEX(Curves!$B$4:$AO$4,1,53-Projects!$C$19+1)*Assumptions!$B$11*0.95),0)+IF(AND(Projects!$G$20="Yes",53&gt;=Projects!$C$20,53&lt;Projects!$C$20+Projects!$D$20),IF(53=Projects!$C$20+Projects!$D$20-1,Projects!$B$20*INDEX(Curves!$B$4:$AO$4,1,53-Projects!$C$20+1)*Assumptions!$B$11*0.95+0.05*Projects!$B$20*Assumptions!$B$11,Projects!$B$20*INDEX(Curves!$B$4:$AO$4,1,53-Projects!$C$20+1)*Assumptions!$B$11*0.95),0)+IF(AND(Projects!$G$21="Yes",53&gt;=Projects!$C$21,53&lt;Projects!$C$21+Projects!$D$21),IF(53=Projects!$C$21+Projects!$D$21-1,Projects!$B$21*INDEX(Curves!$B$4:$AO$4,1,53-Projects!$C$21+1)*Assumptions!$B$11*0.95+0.05*Projects!$B$21*Assumptions!$B$11,Projects!$B$21*INDEX(Curves!$B$4:$AO$4,1,53-Projects!$C$21+1)*Assumptions!$B$11*0.95),0)+IF(AND(Projects!$G$22="Yes",53&gt;=Projects!$C$22,53&lt;Projects!$C$22+Projects!$D$22),IF(53=Projects!$C$22+Projects!$D$22-1,Projects!$B$22*INDEX(Curves!$B$4:$AO$4,1,53-Projects!$C$22+1)*Assumptions!$B$11*0.95+0.05*Projects!$B$22*Assumptions!$B$11,Projects!$B$22*INDEX(Curves!$B$4:$AO$4,1,53-Projects!$C$22+1)*Assumptions!$B$11*0.95),0)+IF(AND(Projects!$G$23="Yes",53&gt;=Projects!$C$23,53&lt;Projects!$C$23+Projects!$D$23),IF(53=Projects!$C$23+Projects!$D$23-1,Projects!$B$23*INDEX(Curves!$B$4:$AO$4,1,53-Projects!$C$23+1)*Assumptions!$B$11*0.95+0.05*Projects!$B$23*Assumptions!$B$11,Projects!$B$23*INDEX(Curves!$B$4:$AO$4,1,53-Projects!$C$23+1)*Assumptions!$B$11*0.95),0)+IF(AND(Projects!$G$24="Yes",53&gt;=Projects!$C$24,53&lt;Projects!$C$24+Projects!$D$24),IF(53=Projects!$C$24+Projects!$D$24-1,Projects!$B$24*INDEX(Curves!$B$4:$AO$4,1,53-Projects!$C$24+1)*Assumptions!$B$11*0.95+0.05*Projects!$B$24*Assumptions!$B$11,Projects!$B$24*INDEX(Curves!$B$4:$AO$4,1,53-Projects!$C$24+1)*Assumptions!$B$11*0.95),0)+IF(AND(Projects!$G$25="Yes",53&gt;=Projects!$C$25,53&lt;Projects!$C$25+Projects!$D$25),IF(53=Projects!$C$25+Projects!$D$25-1,Projects!$B$25*INDEX(Curves!$B$4:$AO$4,1,53-Projects!$C$25+1)*Assumptions!$B$11*0.95+0.05*Projects!$B$25*Assumptions!$B$11,Projects!$B$25*INDEX(Curves!$B$4:$AO$4,1,53-Projects!$C$25+1)*Assumptions!$B$11*0.95),0)+IF(AND(Projects!$G$26="Yes",53&gt;=Projects!$C$26,53&lt;Projects!$C$26+Projects!$D$26),IF(53=Projects!$C$26+Projects!$D$26-1,Projects!$B$26*INDEX(Curves!$B$4:$AO$4,1,53-Projects!$C$26+1)*Assumptions!$B$11*0.95+0.05*Projects!$B$26*Assumptions!$B$11,Projects!$B$26*INDEX(Curves!$B$4:$AO$4,1,53-Projects!$C$26+1)*Assumptions!$B$11*0.95),0)+IF(AND(Projects!$G$27="Yes",53&gt;=Projects!$C$27,53&lt;Projects!$C$27+Projects!$D$27),IF(53=Projects!$C$27+Projects!$D$27-1,Projects!$B$27*INDEX(Curves!$B$4:$AO$4,1,53-Projects!$C$27+1)*Assumptions!$B$11*0.95+0.05*Projects!$B$27*Assumptions!$B$11,Projects!$B$27*INDEX(Curves!$B$4:$AO$4,1,53-Projects!$C$27+1)*Assumptions!$B$11*0.95),0)+IF(AND(Projects!$G$28="Yes",53&gt;=Projects!$C$28,53&lt;Projects!$C$28+Projects!$D$28),IF(53=Projects!$C$28+Projects!$D$28-1,Projects!$B$28*INDEX(Curves!$B$4:$AO$4,1,53-Projects!$C$28+1)*Assumptions!$B$11*0.95+0.05*Projects!$B$28*Assumptions!$B$11,Projects!$B$28*INDEX(Curves!$B$4:$AO$4,1,53-Projects!$C$28+1)*Assumptions!$B$11*0.95),0)+IF(AND(Projects!$G$29="Yes",53&gt;=Projects!$C$29,53&lt;Projects!$C$29+Projects!$D$29),IF(53=Projects!$C$29+Projects!$D$29-1,Projects!$B$29*INDEX(Curves!$B$4:$AO$4,1,53-Projects!$C$29+1)*Assumptions!$B$11*0.95+0.05*Projects!$B$29*Assumptions!$B$11,Projects!$B$29*INDEX(Curves!$B$4:$AO$4,1,53-Projects!$C$29+1)*Assumptions!$B$11*0.95),0)</f>
        <v/>
      </c>
      <c r="BD99">
        <f>IF(AND(Projects!$G$17="Yes",54&gt;=Projects!$C$17,54&lt;Projects!$C$17+Projects!$D$17),IF(54=Projects!$C$17+Projects!$D$17-1,Projects!$B$17*INDEX(Curves!$B$4:$AO$4,1,54-Projects!$C$17+1)*Assumptions!$B$11*0.95+0.05*Projects!$B$17*Assumptions!$B$11,Projects!$B$17*INDEX(Curves!$B$4:$AO$4,1,54-Projects!$C$17+1)*Assumptions!$B$11*0.95),0)+IF(AND(Projects!$G$18="Yes",54&gt;=Projects!$C$18,54&lt;Projects!$C$18+Projects!$D$18),IF(54=Projects!$C$18+Projects!$D$18-1,Projects!$B$18*INDEX(Curves!$B$4:$AO$4,1,54-Projects!$C$18+1)*Assumptions!$B$11*0.95+0.05*Projects!$B$18*Assumptions!$B$11,Projects!$B$18*INDEX(Curves!$B$4:$AO$4,1,54-Projects!$C$18+1)*Assumptions!$B$11*0.95),0)+IF(AND(Projects!$G$19="Yes",54&gt;=Projects!$C$19,54&lt;Projects!$C$19+Projects!$D$19),IF(54=Projects!$C$19+Projects!$D$19-1,Projects!$B$19*INDEX(Curves!$B$4:$AO$4,1,54-Projects!$C$19+1)*Assumptions!$B$11*0.95+0.05*Projects!$B$19*Assumptions!$B$11,Projects!$B$19*INDEX(Curves!$B$4:$AO$4,1,54-Projects!$C$19+1)*Assumptions!$B$11*0.95),0)+IF(AND(Projects!$G$20="Yes",54&gt;=Projects!$C$20,54&lt;Projects!$C$20+Projects!$D$20),IF(54=Projects!$C$20+Projects!$D$20-1,Projects!$B$20*INDEX(Curves!$B$4:$AO$4,1,54-Projects!$C$20+1)*Assumptions!$B$11*0.95+0.05*Projects!$B$20*Assumptions!$B$11,Projects!$B$20*INDEX(Curves!$B$4:$AO$4,1,54-Projects!$C$20+1)*Assumptions!$B$11*0.95),0)+IF(AND(Projects!$G$21="Yes",54&gt;=Projects!$C$21,54&lt;Projects!$C$21+Projects!$D$21),IF(54=Projects!$C$21+Projects!$D$21-1,Projects!$B$21*INDEX(Curves!$B$4:$AO$4,1,54-Projects!$C$21+1)*Assumptions!$B$11*0.95+0.05*Projects!$B$21*Assumptions!$B$11,Projects!$B$21*INDEX(Curves!$B$4:$AO$4,1,54-Projects!$C$21+1)*Assumptions!$B$11*0.95),0)+IF(AND(Projects!$G$22="Yes",54&gt;=Projects!$C$22,54&lt;Projects!$C$22+Projects!$D$22),IF(54=Projects!$C$22+Projects!$D$22-1,Projects!$B$22*INDEX(Curves!$B$4:$AO$4,1,54-Projects!$C$22+1)*Assumptions!$B$11*0.95+0.05*Projects!$B$22*Assumptions!$B$11,Projects!$B$22*INDEX(Curves!$B$4:$AO$4,1,54-Projects!$C$22+1)*Assumptions!$B$11*0.95),0)+IF(AND(Projects!$G$23="Yes",54&gt;=Projects!$C$23,54&lt;Projects!$C$23+Projects!$D$23),IF(54=Projects!$C$23+Projects!$D$23-1,Projects!$B$23*INDEX(Curves!$B$4:$AO$4,1,54-Projects!$C$23+1)*Assumptions!$B$11*0.95+0.05*Projects!$B$23*Assumptions!$B$11,Projects!$B$23*INDEX(Curves!$B$4:$AO$4,1,54-Projects!$C$23+1)*Assumptions!$B$11*0.95),0)+IF(AND(Projects!$G$24="Yes",54&gt;=Projects!$C$24,54&lt;Projects!$C$24+Projects!$D$24),IF(54=Projects!$C$24+Projects!$D$24-1,Projects!$B$24*INDEX(Curves!$B$4:$AO$4,1,54-Projects!$C$24+1)*Assumptions!$B$11*0.95+0.05*Projects!$B$24*Assumptions!$B$11,Projects!$B$24*INDEX(Curves!$B$4:$AO$4,1,54-Projects!$C$24+1)*Assumptions!$B$11*0.95),0)+IF(AND(Projects!$G$25="Yes",54&gt;=Projects!$C$25,54&lt;Projects!$C$25+Projects!$D$25),IF(54=Projects!$C$25+Projects!$D$25-1,Projects!$B$25*INDEX(Curves!$B$4:$AO$4,1,54-Projects!$C$25+1)*Assumptions!$B$11*0.95+0.05*Projects!$B$25*Assumptions!$B$11,Projects!$B$25*INDEX(Curves!$B$4:$AO$4,1,54-Projects!$C$25+1)*Assumptions!$B$11*0.95),0)+IF(AND(Projects!$G$26="Yes",54&gt;=Projects!$C$26,54&lt;Projects!$C$26+Projects!$D$26),IF(54=Projects!$C$26+Projects!$D$26-1,Projects!$B$26*INDEX(Curves!$B$4:$AO$4,1,54-Projects!$C$26+1)*Assumptions!$B$11*0.95+0.05*Projects!$B$26*Assumptions!$B$11,Projects!$B$26*INDEX(Curves!$B$4:$AO$4,1,54-Projects!$C$26+1)*Assumptions!$B$11*0.95),0)+IF(AND(Projects!$G$27="Yes",54&gt;=Projects!$C$27,54&lt;Projects!$C$27+Projects!$D$27),IF(54=Projects!$C$27+Projects!$D$27-1,Projects!$B$27*INDEX(Curves!$B$4:$AO$4,1,54-Projects!$C$27+1)*Assumptions!$B$11*0.95+0.05*Projects!$B$27*Assumptions!$B$11,Projects!$B$27*INDEX(Curves!$B$4:$AO$4,1,54-Projects!$C$27+1)*Assumptions!$B$11*0.95),0)+IF(AND(Projects!$G$28="Yes",54&gt;=Projects!$C$28,54&lt;Projects!$C$28+Projects!$D$28),IF(54=Projects!$C$28+Projects!$D$28-1,Projects!$B$28*INDEX(Curves!$B$4:$AO$4,1,54-Projects!$C$28+1)*Assumptions!$B$11*0.95+0.05*Projects!$B$28*Assumptions!$B$11,Projects!$B$28*INDEX(Curves!$B$4:$AO$4,1,54-Projects!$C$28+1)*Assumptions!$B$11*0.95),0)+IF(AND(Projects!$G$29="Yes",54&gt;=Projects!$C$29,54&lt;Projects!$C$29+Projects!$D$29),IF(54=Projects!$C$29+Projects!$D$29-1,Projects!$B$29*INDEX(Curves!$B$4:$AO$4,1,54-Projects!$C$29+1)*Assumptions!$B$11*0.95+0.05*Projects!$B$29*Assumptions!$B$11,Projects!$B$29*INDEX(Curves!$B$4:$AO$4,1,54-Projects!$C$29+1)*Assumptions!$B$11*0.95),0)</f>
        <v/>
      </c>
      <c r="BE99">
        <f>IF(AND(Projects!$G$17="Yes",55&gt;=Projects!$C$17,55&lt;Projects!$C$17+Projects!$D$17),IF(55=Projects!$C$17+Projects!$D$17-1,Projects!$B$17*INDEX(Curves!$B$4:$AO$4,1,55-Projects!$C$17+1)*Assumptions!$B$11*0.95+0.05*Projects!$B$17*Assumptions!$B$11,Projects!$B$17*INDEX(Curves!$B$4:$AO$4,1,55-Projects!$C$17+1)*Assumptions!$B$11*0.95),0)+IF(AND(Projects!$G$18="Yes",55&gt;=Projects!$C$18,55&lt;Projects!$C$18+Projects!$D$18),IF(55=Projects!$C$18+Projects!$D$18-1,Projects!$B$18*INDEX(Curves!$B$4:$AO$4,1,55-Projects!$C$18+1)*Assumptions!$B$11*0.95+0.05*Projects!$B$18*Assumptions!$B$11,Projects!$B$18*INDEX(Curves!$B$4:$AO$4,1,55-Projects!$C$18+1)*Assumptions!$B$11*0.95),0)+IF(AND(Projects!$G$19="Yes",55&gt;=Projects!$C$19,55&lt;Projects!$C$19+Projects!$D$19),IF(55=Projects!$C$19+Projects!$D$19-1,Projects!$B$19*INDEX(Curves!$B$4:$AO$4,1,55-Projects!$C$19+1)*Assumptions!$B$11*0.95+0.05*Projects!$B$19*Assumptions!$B$11,Projects!$B$19*INDEX(Curves!$B$4:$AO$4,1,55-Projects!$C$19+1)*Assumptions!$B$11*0.95),0)+IF(AND(Projects!$G$20="Yes",55&gt;=Projects!$C$20,55&lt;Projects!$C$20+Projects!$D$20),IF(55=Projects!$C$20+Projects!$D$20-1,Projects!$B$20*INDEX(Curves!$B$4:$AO$4,1,55-Projects!$C$20+1)*Assumptions!$B$11*0.95+0.05*Projects!$B$20*Assumptions!$B$11,Projects!$B$20*INDEX(Curves!$B$4:$AO$4,1,55-Projects!$C$20+1)*Assumptions!$B$11*0.95),0)+IF(AND(Projects!$G$21="Yes",55&gt;=Projects!$C$21,55&lt;Projects!$C$21+Projects!$D$21),IF(55=Projects!$C$21+Projects!$D$21-1,Projects!$B$21*INDEX(Curves!$B$4:$AO$4,1,55-Projects!$C$21+1)*Assumptions!$B$11*0.95+0.05*Projects!$B$21*Assumptions!$B$11,Projects!$B$21*INDEX(Curves!$B$4:$AO$4,1,55-Projects!$C$21+1)*Assumptions!$B$11*0.95),0)+IF(AND(Projects!$G$22="Yes",55&gt;=Projects!$C$22,55&lt;Projects!$C$22+Projects!$D$22),IF(55=Projects!$C$22+Projects!$D$22-1,Projects!$B$22*INDEX(Curves!$B$4:$AO$4,1,55-Projects!$C$22+1)*Assumptions!$B$11*0.95+0.05*Projects!$B$22*Assumptions!$B$11,Projects!$B$22*INDEX(Curves!$B$4:$AO$4,1,55-Projects!$C$22+1)*Assumptions!$B$11*0.95),0)+IF(AND(Projects!$G$23="Yes",55&gt;=Projects!$C$23,55&lt;Projects!$C$23+Projects!$D$23),IF(55=Projects!$C$23+Projects!$D$23-1,Projects!$B$23*INDEX(Curves!$B$4:$AO$4,1,55-Projects!$C$23+1)*Assumptions!$B$11*0.95+0.05*Projects!$B$23*Assumptions!$B$11,Projects!$B$23*INDEX(Curves!$B$4:$AO$4,1,55-Projects!$C$23+1)*Assumptions!$B$11*0.95),0)+IF(AND(Projects!$G$24="Yes",55&gt;=Projects!$C$24,55&lt;Projects!$C$24+Projects!$D$24),IF(55=Projects!$C$24+Projects!$D$24-1,Projects!$B$24*INDEX(Curves!$B$4:$AO$4,1,55-Projects!$C$24+1)*Assumptions!$B$11*0.95+0.05*Projects!$B$24*Assumptions!$B$11,Projects!$B$24*INDEX(Curves!$B$4:$AO$4,1,55-Projects!$C$24+1)*Assumptions!$B$11*0.95),0)+IF(AND(Projects!$G$25="Yes",55&gt;=Projects!$C$25,55&lt;Projects!$C$25+Projects!$D$25),IF(55=Projects!$C$25+Projects!$D$25-1,Projects!$B$25*INDEX(Curves!$B$4:$AO$4,1,55-Projects!$C$25+1)*Assumptions!$B$11*0.95+0.05*Projects!$B$25*Assumptions!$B$11,Projects!$B$25*INDEX(Curves!$B$4:$AO$4,1,55-Projects!$C$25+1)*Assumptions!$B$11*0.95),0)+IF(AND(Projects!$G$26="Yes",55&gt;=Projects!$C$26,55&lt;Projects!$C$26+Projects!$D$26),IF(55=Projects!$C$26+Projects!$D$26-1,Projects!$B$26*INDEX(Curves!$B$4:$AO$4,1,55-Projects!$C$26+1)*Assumptions!$B$11*0.95+0.05*Projects!$B$26*Assumptions!$B$11,Projects!$B$26*INDEX(Curves!$B$4:$AO$4,1,55-Projects!$C$26+1)*Assumptions!$B$11*0.95),0)+IF(AND(Projects!$G$27="Yes",55&gt;=Projects!$C$27,55&lt;Projects!$C$27+Projects!$D$27),IF(55=Projects!$C$27+Projects!$D$27-1,Projects!$B$27*INDEX(Curves!$B$4:$AO$4,1,55-Projects!$C$27+1)*Assumptions!$B$11*0.95+0.05*Projects!$B$27*Assumptions!$B$11,Projects!$B$27*INDEX(Curves!$B$4:$AO$4,1,55-Projects!$C$27+1)*Assumptions!$B$11*0.95),0)+IF(AND(Projects!$G$28="Yes",55&gt;=Projects!$C$28,55&lt;Projects!$C$28+Projects!$D$28),IF(55=Projects!$C$28+Projects!$D$28-1,Projects!$B$28*INDEX(Curves!$B$4:$AO$4,1,55-Projects!$C$28+1)*Assumptions!$B$11*0.95+0.05*Projects!$B$28*Assumptions!$B$11,Projects!$B$28*INDEX(Curves!$B$4:$AO$4,1,55-Projects!$C$28+1)*Assumptions!$B$11*0.95),0)+IF(AND(Projects!$G$29="Yes",55&gt;=Projects!$C$29,55&lt;Projects!$C$29+Projects!$D$29),IF(55=Projects!$C$29+Projects!$D$29-1,Projects!$B$29*INDEX(Curves!$B$4:$AO$4,1,55-Projects!$C$29+1)*Assumptions!$B$11*0.95+0.05*Projects!$B$29*Assumptions!$B$11,Projects!$B$29*INDEX(Curves!$B$4:$AO$4,1,55-Projects!$C$29+1)*Assumptions!$B$11*0.95),0)</f>
        <v/>
      </c>
      <c r="BF99">
        <f>IF(AND(Projects!$G$17="Yes",56&gt;=Projects!$C$17,56&lt;Projects!$C$17+Projects!$D$17),IF(56=Projects!$C$17+Projects!$D$17-1,Projects!$B$17*INDEX(Curves!$B$4:$AO$4,1,56-Projects!$C$17+1)*Assumptions!$B$11*0.95+0.05*Projects!$B$17*Assumptions!$B$11,Projects!$B$17*INDEX(Curves!$B$4:$AO$4,1,56-Projects!$C$17+1)*Assumptions!$B$11*0.95),0)+IF(AND(Projects!$G$18="Yes",56&gt;=Projects!$C$18,56&lt;Projects!$C$18+Projects!$D$18),IF(56=Projects!$C$18+Projects!$D$18-1,Projects!$B$18*INDEX(Curves!$B$4:$AO$4,1,56-Projects!$C$18+1)*Assumptions!$B$11*0.95+0.05*Projects!$B$18*Assumptions!$B$11,Projects!$B$18*INDEX(Curves!$B$4:$AO$4,1,56-Projects!$C$18+1)*Assumptions!$B$11*0.95),0)+IF(AND(Projects!$G$19="Yes",56&gt;=Projects!$C$19,56&lt;Projects!$C$19+Projects!$D$19),IF(56=Projects!$C$19+Projects!$D$19-1,Projects!$B$19*INDEX(Curves!$B$4:$AO$4,1,56-Projects!$C$19+1)*Assumptions!$B$11*0.95+0.05*Projects!$B$19*Assumptions!$B$11,Projects!$B$19*INDEX(Curves!$B$4:$AO$4,1,56-Projects!$C$19+1)*Assumptions!$B$11*0.95),0)+IF(AND(Projects!$G$20="Yes",56&gt;=Projects!$C$20,56&lt;Projects!$C$20+Projects!$D$20),IF(56=Projects!$C$20+Projects!$D$20-1,Projects!$B$20*INDEX(Curves!$B$4:$AO$4,1,56-Projects!$C$20+1)*Assumptions!$B$11*0.95+0.05*Projects!$B$20*Assumptions!$B$11,Projects!$B$20*INDEX(Curves!$B$4:$AO$4,1,56-Projects!$C$20+1)*Assumptions!$B$11*0.95),0)+IF(AND(Projects!$G$21="Yes",56&gt;=Projects!$C$21,56&lt;Projects!$C$21+Projects!$D$21),IF(56=Projects!$C$21+Projects!$D$21-1,Projects!$B$21*INDEX(Curves!$B$4:$AO$4,1,56-Projects!$C$21+1)*Assumptions!$B$11*0.95+0.05*Projects!$B$21*Assumptions!$B$11,Projects!$B$21*INDEX(Curves!$B$4:$AO$4,1,56-Projects!$C$21+1)*Assumptions!$B$11*0.95),0)+IF(AND(Projects!$G$22="Yes",56&gt;=Projects!$C$22,56&lt;Projects!$C$22+Projects!$D$22),IF(56=Projects!$C$22+Projects!$D$22-1,Projects!$B$22*INDEX(Curves!$B$4:$AO$4,1,56-Projects!$C$22+1)*Assumptions!$B$11*0.95+0.05*Projects!$B$22*Assumptions!$B$11,Projects!$B$22*INDEX(Curves!$B$4:$AO$4,1,56-Projects!$C$22+1)*Assumptions!$B$11*0.95),0)+IF(AND(Projects!$G$23="Yes",56&gt;=Projects!$C$23,56&lt;Projects!$C$23+Projects!$D$23),IF(56=Projects!$C$23+Projects!$D$23-1,Projects!$B$23*INDEX(Curves!$B$4:$AO$4,1,56-Projects!$C$23+1)*Assumptions!$B$11*0.95+0.05*Projects!$B$23*Assumptions!$B$11,Projects!$B$23*INDEX(Curves!$B$4:$AO$4,1,56-Projects!$C$23+1)*Assumptions!$B$11*0.95),0)+IF(AND(Projects!$G$24="Yes",56&gt;=Projects!$C$24,56&lt;Projects!$C$24+Projects!$D$24),IF(56=Projects!$C$24+Projects!$D$24-1,Projects!$B$24*INDEX(Curves!$B$4:$AO$4,1,56-Projects!$C$24+1)*Assumptions!$B$11*0.95+0.05*Projects!$B$24*Assumptions!$B$11,Projects!$B$24*INDEX(Curves!$B$4:$AO$4,1,56-Projects!$C$24+1)*Assumptions!$B$11*0.95),0)+IF(AND(Projects!$G$25="Yes",56&gt;=Projects!$C$25,56&lt;Projects!$C$25+Projects!$D$25),IF(56=Projects!$C$25+Projects!$D$25-1,Projects!$B$25*INDEX(Curves!$B$4:$AO$4,1,56-Projects!$C$25+1)*Assumptions!$B$11*0.95+0.05*Projects!$B$25*Assumptions!$B$11,Projects!$B$25*INDEX(Curves!$B$4:$AO$4,1,56-Projects!$C$25+1)*Assumptions!$B$11*0.95),0)+IF(AND(Projects!$G$26="Yes",56&gt;=Projects!$C$26,56&lt;Projects!$C$26+Projects!$D$26),IF(56=Projects!$C$26+Projects!$D$26-1,Projects!$B$26*INDEX(Curves!$B$4:$AO$4,1,56-Projects!$C$26+1)*Assumptions!$B$11*0.95+0.05*Projects!$B$26*Assumptions!$B$11,Projects!$B$26*INDEX(Curves!$B$4:$AO$4,1,56-Projects!$C$26+1)*Assumptions!$B$11*0.95),0)+IF(AND(Projects!$G$27="Yes",56&gt;=Projects!$C$27,56&lt;Projects!$C$27+Projects!$D$27),IF(56=Projects!$C$27+Projects!$D$27-1,Projects!$B$27*INDEX(Curves!$B$4:$AO$4,1,56-Projects!$C$27+1)*Assumptions!$B$11*0.95+0.05*Projects!$B$27*Assumptions!$B$11,Projects!$B$27*INDEX(Curves!$B$4:$AO$4,1,56-Projects!$C$27+1)*Assumptions!$B$11*0.95),0)+IF(AND(Projects!$G$28="Yes",56&gt;=Projects!$C$28,56&lt;Projects!$C$28+Projects!$D$28),IF(56=Projects!$C$28+Projects!$D$28-1,Projects!$B$28*INDEX(Curves!$B$4:$AO$4,1,56-Projects!$C$28+1)*Assumptions!$B$11*0.95+0.05*Projects!$B$28*Assumptions!$B$11,Projects!$B$28*INDEX(Curves!$B$4:$AO$4,1,56-Projects!$C$28+1)*Assumptions!$B$11*0.95),0)+IF(AND(Projects!$G$29="Yes",56&gt;=Projects!$C$29,56&lt;Projects!$C$29+Projects!$D$29),IF(56=Projects!$C$29+Projects!$D$29-1,Projects!$B$29*INDEX(Curves!$B$4:$AO$4,1,56-Projects!$C$29+1)*Assumptions!$B$11*0.95+0.05*Projects!$B$29*Assumptions!$B$11,Projects!$B$29*INDEX(Curves!$B$4:$AO$4,1,56-Projects!$C$29+1)*Assumptions!$B$11*0.95),0)</f>
        <v/>
      </c>
      <c r="BG99">
        <f>IF(AND(Projects!$G$17="Yes",57&gt;=Projects!$C$17,57&lt;Projects!$C$17+Projects!$D$17),IF(57=Projects!$C$17+Projects!$D$17-1,Projects!$B$17*INDEX(Curves!$B$4:$AO$4,1,57-Projects!$C$17+1)*Assumptions!$B$11*0.95+0.05*Projects!$B$17*Assumptions!$B$11,Projects!$B$17*INDEX(Curves!$B$4:$AO$4,1,57-Projects!$C$17+1)*Assumptions!$B$11*0.95),0)+IF(AND(Projects!$G$18="Yes",57&gt;=Projects!$C$18,57&lt;Projects!$C$18+Projects!$D$18),IF(57=Projects!$C$18+Projects!$D$18-1,Projects!$B$18*INDEX(Curves!$B$4:$AO$4,1,57-Projects!$C$18+1)*Assumptions!$B$11*0.95+0.05*Projects!$B$18*Assumptions!$B$11,Projects!$B$18*INDEX(Curves!$B$4:$AO$4,1,57-Projects!$C$18+1)*Assumptions!$B$11*0.95),0)+IF(AND(Projects!$G$19="Yes",57&gt;=Projects!$C$19,57&lt;Projects!$C$19+Projects!$D$19),IF(57=Projects!$C$19+Projects!$D$19-1,Projects!$B$19*INDEX(Curves!$B$4:$AO$4,1,57-Projects!$C$19+1)*Assumptions!$B$11*0.95+0.05*Projects!$B$19*Assumptions!$B$11,Projects!$B$19*INDEX(Curves!$B$4:$AO$4,1,57-Projects!$C$19+1)*Assumptions!$B$11*0.95),0)+IF(AND(Projects!$G$20="Yes",57&gt;=Projects!$C$20,57&lt;Projects!$C$20+Projects!$D$20),IF(57=Projects!$C$20+Projects!$D$20-1,Projects!$B$20*INDEX(Curves!$B$4:$AO$4,1,57-Projects!$C$20+1)*Assumptions!$B$11*0.95+0.05*Projects!$B$20*Assumptions!$B$11,Projects!$B$20*INDEX(Curves!$B$4:$AO$4,1,57-Projects!$C$20+1)*Assumptions!$B$11*0.95),0)+IF(AND(Projects!$G$21="Yes",57&gt;=Projects!$C$21,57&lt;Projects!$C$21+Projects!$D$21),IF(57=Projects!$C$21+Projects!$D$21-1,Projects!$B$21*INDEX(Curves!$B$4:$AO$4,1,57-Projects!$C$21+1)*Assumptions!$B$11*0.95+0.05*Projects!$B$21*Assumptions!$B$11,Projects!$B$21*INDEX(Curves!$B$4:$AO$4,1,57-Projects!$C$21+1)*Assumptions!$B$11*0.95),0)+IF(AND(Projects!$G$22="Yes",57&gt;=Projects!$C$22,57&lt;Projects!$C$22+Projects!$D$22),IF(57=Projects!$C$22+Projects!$D$22-1,Projects!$B$22*INDEX(Curves!$B$4:$AO$4,1,57-Projects!$C$22+1)*Assumptions!$B$11*0.95+0.05*Projects!$B$22*Assumptions!$B$11,Projects!$B$22*INDEX(Curves!$B$4:$AO$4,1,57-Projects!$C$22+1)*Assumptions!$B$11*0.95),0)+IF(AND(Projects!$G$23="Yes",57&gt;=Projects!$C$23,57&lt;Projects!$C$23+Projects!$D$23),IF(57=Projects!$C$23+Projects!$D$23-1,Projects!$B$23*INDEX(Curves!$B$4:$AO$4,1,57-Projects!$C$23+1)*Assumptions!$B$11*0.95+0.05*Projects!$B$23*Assumptions!$B$11,Projects!$B$23*INDEX(Curves!$B$4:$AO$4,1,57-Projects!$C$23+1)*Assumptions!$B$11*0.95),0)+IF(AND(Projects!$G$24="Yes",57&gt;=Projects!$C$24,57&lt;Projects!$C$24+Projects!$D$24),IF(57=Projects!$C$24+Projects!$D$24-1,Projects!$B$24*INDEX(Curves!$B$4:$AO$4,1,57-Projects!$C$24+1)*Assumptions!$B$11*0.95+0.05*Projects!$B$24*Assumptions!$B$11,Projects!$B$24*INDEX(Curves!$B$4:$AO$4,1,57-Projects!$C$24+1)*Assumptions!$B$11*0.95),0)+IF(AND(Projects!$G$25="Yes",57&gt;=Projects!$C$25,57&lt;Projects!$C$25+Projects!$D$25),IF(57=Projects!$C$25+Projects!$D$25-1,Projects!$B$25*INDEX(Curves!$B$4:$AO$4,1,57-Projects!$C$25+1)*Assumptions!$B$11*0.95+0.05*Projects!$B$25*Assumptions!$B$11,Projects!$B$25*INDEX(Curves!$B$4:$AO$4,1,57-Projects!$C$25+1)*Assumptions!$B$11*0.95),0)+IF(AND(Projects!$G$26="Yes",57&gt;=Projects!$C$26,57&lt;Projects!$C$26+Projects!$D$26),IF(57=Projects!$C$26+Projects!$D$26-1,Projects!$B$26*INDEX(Curves!$B$4:$AO$4,1,57-Projects!$C$26+1)*Assumptions!$B$11*0.95+0.05*Projects!$B$26*Assumptions!$B$11,Projects!$B$26*INDEX(Curves!$B$4:$AO$4,1,57-Projects!$C$26+1)*Assumptions!$B$11*0.95),0)+IF(AND(Projects!$G$27="Yes",57&gt;=Projects!$C$27,57&lt;Projects!$C$27+Projects!$D$27),IF(57=Projects!$C$27+Projects!$D$27-1,Projects!$B$27*INDEX(Curves!$B$4:$AO$4,1,57-Projects!$C$27+1)*Assumptions!$B$11*0.95+0.05*Projects!$B$27*Assumptions!$B$11,Projects!$B$27*INDEX(Curves!$B$4:$AO$4,1,57-Projects!$C$27+1)*Assumptions!$B$11*0.95),0)+IF(AND(Projects!$G$28="Yes",57&gt;=Projects!$C$28,57&lt;Projects!$C$28+Projects!$D$28),IF(57=Projects!$C$28+Projects!$D$28-1,Projects!$B$28*INDEX(Curves!$B$4:$AO$4,1,57-Projects!$C$28+1)*Assumptions!$B$11*0.95+0.05*Projects!$B$28*Assumptions!$B$11,Projects!$B$28*INDEX(Curves!$B$4:$AO$4,1,57-Projects!$C$28+1)*Assumptions!$B$11*0.95),0)+IF(AND(Projects!$G$29="Yes",57&gt;=Projects!$C$29,57&lt;Projects!$C$29+Projects!$D$29),IF(57=Projects!$C$29+Projects!$D$29-1,Projects!$B$29*INDEX(Curves!$B$4:$AO$4,1,57-Projects!$C$29+1)*Assumptions!$B$11*0.95+0.05*Projects!$B$29*Assumptions!$B$11,Projects!$B$29*INDEX(Curves!$B$4:$AO$4,1,57-Projects!$C$29+1)*Assumptions!$B$11*0.95),0)</f>
        <v/>
      </c>
      <c r="BH99">
        <f>IF(AND(Projects!$G$17="Yes",58&gt;=Projects!$C$17,58&lt;Projects!$C$17+Projects!$D$17),IF(58=Projects!$C$17+Projects!$D$17-1,Projects!$B$17*INDEX(Curves!$B$4:$AO$4,1,58-Projects!$C$17+1)*Assumptions!$B$11*0.95+0.05*Projects!$B$17*Assumptions!$B$11,Projects!$B$17*INDEX(Curves!$B$4:$AO$4,1,58-Projects!$C$17+1)*Assumptions!$B$11*0.95),0)+IF(AND(Projects!$G$18="Yes",58&gt;=Projects!$C$18,58&lt;Projects!$C$18+Projects!$D$18),IF(58=Projects!$C$18+Projects!$D$18-1,Projects!$B$18*INDEX(Curves!$B$4:$AO$4,1,58-Projects!$C$18+1)*Assumptions!$B$11*0.95+0.05*Projects!$B$18*Assumptions!$B$11,Projects!$B$18*INDEX(Curves!$B$4:$AO$4,1,58-Projects!$C$18+1)*Assumptions!$B$11*0.95),0)+IF(AND(Projects!$G$19="Yes",58&gt;=Projects!$C$19,58&lt;Projects!$C$19+Projects!$D$19),IF(58=Projects!$C$19+Projects!$D$19-1,Projects!$B$19*INDEX(Curves!$B$4:$AO$4,1,58-Projects!$C$19+1)*Assumptions!$B$11*0.95+0.05*Projects!$B$19*Assumptions!$B$11,Projects!$B$19*INDEX(Curves!$B$4:$AO$4,1,58-Projects!$C$19+1)*Assumptions!$B$11*0.95),0)+IF(AND(Projects!$G$20="Yes",58&gt;=Projects!$C$20,58&lt;Projects!$C$20+Projects!$D$20),IF(58=Projects!$C$20+Projects!$D$20-1,Projects!$B$20*INDEX(Curves!$B$4:$AO$4,1,58-Projects!$C$20+1)*Assumptions!$B$11*0.95+0.05*Projects!$B$20*Assumptions!$B$11,Projects!$B$20*INDEX(Curves!$B$4:$AO$4,1,58-Projects!$C$20+1)*Assumptions!$B$11*0.95),0)+IF(AND(Projects!$G$21="Yes",58&gt;=Projects!$C$21,58&lt;Projects!$C$21+Projects!$D$21),IF(58=Projects!$C$21+Projects!$D$21-1,Projects!$B$21*INDEX(Curves!$B$4:$AO$4,1,58-Projects!$C$21+1)*Assumptions!$B$11*0.95+0.05*Projects!$B$21*Assumptions!$B$11,Projects!$B$21*INDEX(Curves!$B$4:$AO$4,1,58-Projects!$C$21+1)*Assumptions!$B$11*0.95),0)+IF(AND(Projects!$G$22="Yes",58&gt;=Projects!$C$22,58&lt;Projects!$C$22+Projects!$D$22),IF(58=Projects!$C$22+Projects!$D$22-1,Projects!$B$22*INDEX(Curves!$B$4:$AO$4,1,58-Projects!$C$22+1)*Assumptions!$B$11*0.95+0.05*Projects!$B$22*Assumptions!$B$11,Projects!$B$22*INDEX(Curves!$B$4:$AO$4,1,58-Projects!$C$22+1)*Assumptions!$B$11*0.95),0)+IF(AND(Projects!$G$23="Yes",58&gt;=Projects!$C$23,58&lt;Projects!$C$23+Projects!$D$23),IF(58=Projects!$C$23+Projects!$D$23-1,Projects!$B$23*INDEX(Curves!$B$4:$AO$4,1,58-Projects!$C$23+1)*Assumptions!$B$11*0.95+0.05*Projects!$B$23*Assumptions!$B$11,Projects!$B$23*INDEX(Curves!$B$4:$AO$4,1,58-Projects!$C$23+1)*Assumptions!$B$11*0.95),0)+IF(AND(Projects!$G$24="Yes",58&gt;=Projects!$C$24,58&lt;Projects!$C$24+Projects!$D$24),IF(58=Projects!$C$24+Projects!$D$24-1,Projects!$B$24*INDEX(Curves!$B$4:$AO$4,1,58-Projects!$C$24+1)*Assumptions!$B$11*0.95+0.05*Projects!$B$24*Assumptions!$B$11,Projects!$B$24*INDEX(Curves!$B$4:$AO$4,1,58-Projects!$C$24+1)*Assumptions!$B$11*0.95),0)+IF(AND(Projects!$G$25="Yes",58&gt;=Projects!$C$25,58&lt;Projects!$C$25+Projects!$D$25),IF(58=Projects!$C$25+Projects!$D$25-1,Projects!$B$25*INDEX(Curves!$B$4:$AO$4,1,58-Projects!$C$25+1)*Assumptions!$B$11*0.95+0.05*Projects!$B$25*Assumptions!$B$11,Projects!$B$25*INDEX(Curves!$B$4:$AO$4,1,58-Projects!$C$25+1)*Assumptions!$B$11*0.95),0)+IF(AND(Projects!$G$26="Yes",58&gt;=Projects!$C$26,58&lt;Projects!$C$26+Projects!$D$26),IF(58=Projects!$C$26+Projects!$D$26-1,Projects!$B$26*INDEX(Curves!$B$4:$AO$4,1,58-Projects!$C$26+1)*Assumptions!$B$11*0.95+0.05*Projects!$B$26*Assumptions!$B$11,Projects!$B$26*INDEX(Curves!$B$4:$AO$4,1,58-Projects!$C$26+1)*Assumptions!$B$11*0.95),0)+IF(AND(Projects!$G$27="Yes",58&gt;=Projects!$C$27,58&lt;Projects!$C$27+Projects!$D$27),IF(58=Projects!$C$27+Projects!$D$27-1,Projects!$B$27*INDEX(Curves!$B$4:$AO$4,1,58-Projects!$C$27+1)*Assumptions!$B$11*0.95+0.05*Projects!$B$27*Assumptions!$B$11,Projects!$B$27*INDEX(Curves!$B$4:$AO$4,1,58-Projects!$C$27+1)*Assumptions!$B$11*0.95),0)+IF(AND(Projects!$G$28="Yes",58&gt;=Projects!$C$28,58&lt;Projects!$C$28+Projects!$D$28),IF(58=Projects!$C$28+Projects!$D$28-1,Projects!$B$28*INDEX(Curves!$B$4:$AO$4,1,58-Projects!$C$28+1)*Assumptions!$B$11*0.95+0.05*Projects!$B$28*Assumptions!$B$11,Projects!$B$28*INDEX(Curves!$B$4:$AO$4,1,58-Projects!$C$28+1)*Assumptions!$B$11*0.95),0)+IF(AND(Projects!$G$29="Yes",58&gt;=Projects!$C$29,58&lt;Projects!$C$29+Projects!$D$29),IF(58=Projects!$C$29+Projects!$D$29-1,Projects!$B$29*INDEX(Curves!$B$4:$AO$4,1,58-Projects!$C$29+1)*Assumptions!$B$11*0.95+0.05*Projects!$B$29*Assumptions!$B$11,Projects!$B$29*INDEX(Curves!$B$4:$AO$4,1,58-Projects!$C$29+1)*Assumptions!$B$11*0.95),0)</f>
        <v/>
      </c>
      <c r="BI99">
        <f>IF(AND(Projects!$G$17="Yes",59&gt;=Projects!$C$17,59&lt;Projects!$C$17+Projects!$D$17),IF(59=Projects!$C$17+Projects!$D$17-1,Projects!$B$17*INDEX(Curves!$B$4:$AO$4,1,59-Projects!$C$17+1)*Assumptions!$B$11*0.95+0.05*Projects!$B$17*Assumptions!$B$11,Projects!$B$17*INDEX(Curves!$B$4:$AO$4,1,59-Projects!$C$17+1)*Assumptions!$B$11*0.95),0)+IF(AND(Projects!$G$18="Yes",59&gt;=Projects!$C$18,59&lt;Projects!$C$18+Projects!$D$18),IF(59=Projects!$C$18+Projects!$D$18-1,Projects!$B$18*INDEX(Curves!$B$4:$AO$4,1,59-Projects!$C$18+1)*Assumptions!$B$11*0.95+0.05*Projects!$B$18*Assumptions!$B$11,Projects!$B$18*INDEX(Curves!$B$4:$AO$4,1,59-Projects!$C$18+1)*Assumptions!$B$11*0.95),0)+IF(AND(Projects!$G$19="Yes",59&gt;=Projects!$C$19,59&lt;Projects!$C$19+Projects!$D$19),IF(59=Projects!$C$19+Projects!$D$19-1,Projects!$B$19*INDEX(Curves!$B$4:$AO$4,1,59-Projects!$C$19+1)*Assumptions!$B$11*0.95+0.05*Projects!$B$19*Assumptions!$B$11,Projects!$B$19*INDEX(Curves!$B$4:$AO$4,1,59-Projects!$C$19+1)*Assumptions!$B$11*0.95),0)+IF(AND(Projects!$G$20="Yes",59&gt;=Projects!$C$20,59&lt;Projects!$C$20+Projects!$D$20),IF(59=Projects!$C$20+Projects!$D$20-1,Projects!$B$20*INDEX(Curves!$B$4:$AO$4,1,59-Projects!$C$20+1)*Assumptions!$B$11*0.95+0.05*Projects!$B$20*Assumptions!$B$11,Projects!$B$20*INDEX(Curves!$B$4:$AO$4,1,59-Projects!$C$20+1)*Assumptions!$B$11*0.95),0)+IF(AND(Projects!$G$21="Yes",59&gt;=Projects!$C$21,59&lt;Projects!$C$21+Projects!$D$21),IF(59=Projects!$C$21+Projects!$D$21-1,Projects!$B$21*INDEX(Curves!$B$4:$AO$4,1,59-Projects!$C$21+1)*Assumptions!$B$11*0.95+0.05*Projects!$B$21*Assumptions!$B$11,Projects!$B$21*INDEX(Curves!$B$4:$AO$4,1,59-Projects!$C$21+1)*Assumptions!$B$11*0.95),0)+IF(AND(Projects!$G$22="Yes",59&gt;=Projects!$C$22,59&lt;Projects!$C$22+Projects!$D$22),IF(59=Projects!$C$22+Projects!$D$22-1,Projects!$B$22*INDEX(Curves!$B$4:$AO$4,1,59-Projects!$C$22+1)*Assumptions!$B$11*0.95+0.05*Projects!$B$22*Assumptions!$B$11,Projects!$B$22*INDEX(Curves!$B$4:$AO$4,1,59-Projects!$C$22+1)*Assumptions!$B$11*0.95),0)+IF(AND(Projects!$G$23="Yes",59&gt;=Projects!$C$23,59&lt;Projects!$C$23+Projects!$D$23),IF(59=Projects!$C$23+Projects!$D$23-1,Projects!$B$23*INDEX(Curves!$B$4:$AO$4,1,59-Projects!$C$23+1)*Assumptions!$B$11*0.95+0.05*Projects!$B$23*Assumptions!$B$11,Projects!$B$23*INDEX(Curves!$B$4:$AO$4,1,59-Projects!$C$23+1)*Assumptions!$B$11*0.95),0)+IF(AND(Projects!$G$24="Yes",59&gt;=Projects!$C$24,59&lt;Projects!$C$24+Projects!$D$24),IF(59=Projects!$C$24+Projects!$D$24-1,Projects!$B$24*INDEX(Curves!$B$4:$AO$4,1,59-Projects!$C$24+1)*Assumptions!$B$11*0.95+0.05*Projects!$B$24*Assumptions!$B$11,Projects!$B$24*INDEX(Curves!$B$4:$AO$4,1,59-Projects!$C$24+1)*Assumptions!$B$11*0.95),0)+IF(AND(Projects!$G$25="Yes",59&gt;=Projects!$C$25,59&lt;Projects!$C$25+Projects!$D$25),IF(59=Projects!$C$25+Projects!$D$25-1,Projects!$B$25*INDEX(Curves!$B$4:$AO$4,1,59-Projects!$C$25+1)*Assumptions!$B$11*0.95+0.05*Projects!$B$25*Assumptions!$B$11,Projects!$B$25*INDEX(Curves!$B$4:$AO$4,1,59-Projects!$C$25+1)*Assumptions!$B$11*0.95),0)+IF(AND(Projects!$G$26="Yes",59&gt;=Projects!$C$26,59&lt;Projects!$C$26+Projects!$D$26),IF(59=Projects!$C$26+Projects!$D$26-1,Projects!$B$26*INDEX(Curves!$B$4:$AO$4,1,59-Projects!$C$26+1)*Assumptions!$B$11*0.95+0.05*Projects!$B$26*Assumptions!$B$11,Projects!$B$26*INDEX(Curves!$B$4:$AO$4,1,59-Projects!$C$26+1)*Assumptions!$B$11*0.95),0)+IF(AND(Projects!$G$27="Yes",59&gt;=Projects!$C$27,59&lt;Projects!$C$27+Projects!$D$27),IF(59=Projects!$C$27+Projects!$D$27-1,Projects!$B$27*INDEX(Curves!$B$4:$AO$4,1,59-Projects!$C$27+1)*Assumptions!$B$11*0.95+0.05*Projects!$B$27*Assumptions!$B$11,Projects!$B$27*INDEX(Curves!$B$4:$AO$4,1,59-Projects!$C$27+1)*Assumptions!$B$11*0.95),0)+IF(AND(Projects!$G$28="Yes",59&gt;=Projects!$C$28,59&lt;Projects!$C$28+Projects!$D$28),IF(59=Projects!$C$28+Projects!$D$28-1,Projects!$B$28*INDEX(Curves!$B$4:$AO$4,1,59-Projects!$C$28+1)*Assumptions!$B$11*0.95+0.05*Projects!$B$28*Assumptions!$B$11,Projects!$B$28*INDEX(Curves!$B$4:$AO$4,1,59-Projects!$C$28+1)*Assumptions!$B$11*0.95),0)+IF(AND(Projects!$G$29="Yes",59&gt;=Projects!$C$29,59&lt;Projects!$C$29+Projects!$D$29),IF(59=Projects!$C$29+Projects!$D$29-1,Projects!$B$29*INDEX(Curves!$B$4:$AO$4,1,59-Projects!$C$29+1)*Assumptions!$B$11*0.95+0.05*Projects!$B$29*Assumptions!$B$11,Projects!$B$29*INDEX(Curves!$B$4:$AO$4,1,59-Projects!$C$29+1)*Assumptions!$B$11*0.95),0)</f>
        <v/>
      </c>
      <c r="BJ99">
        <f>IF(AND(Projects!$G$17="Yes",60&gt;=Projects!$C$17,60&lt;Projects!$C$17+Projects!$D$17),IF(60=Projects!$C$17+Projects!$D$17-1,Projects!$B$17*INDEX(Curves!$B$4:$AO$4,1,60-Projects!$C$17+1)*Assumptions!$B$11*0.95+0.05*Projects!$B$17*Assumptions!$B$11,Projects!$B$17*INDEX(Curves!$B$4:$AO$4,1,60-Projects!$C$17+1)*Assumptions!$B$11*0.95),0)+IF(AND(Projects!$G$18="Yes",60&gt;=Projects!$C$18,60&lt;Projects!$C$18+Projects!$D$18),IF(60=Projects!$C$18+Projects!$D$18-1,Projects!$B$18*INDEX(Curves!$B$4:$AO$4,1,60-Projects!$C$18+1)*Assumptions!$B$11*0.95+0.05*Projects!$B$18*Assumptions!$B$11,Projects!$B$18*INDEX(Curves!$B$4:$AO$4,1,60-Projects!$C$18+1)*Assumptions!$B$11*0.95),0)+IF(AND(Projects!$G$19="Yes",60&gt;=Projects!$C$19,60&lt;Projects!$C$19+Projects!$D$19),IF(60=Projects!$C$19+Projects!$D$19-1,Projects!$B$19*INDEX(Curves!$B$4:$AO$4,1,60-Projects!$C$19+1)*Assumptions!$B$11*0.95+0.05*Projects!$B$19*Assumptions!$B$11,Projects!$B$19*INDEX(Curves!$B$4:$AO$4,1,60-Projects!$C$19+1)*Assumptions!$B$11*0.95),0)+IF(AND(Projects!$G$20="Yes",60&gt;=Projects!$C$20,60&lt;Projects!$C$20+Projects!$D$20),IF(60=Projects!$C$20+Projects!$D$20-1,Projects!$B$20*INDEX(Curves!$B$4:$AO$4,1,60-Projects!$C$20+1)*Assumptions!$B$11*0.95+0.05*Projects!$B$20*Assumptions!$B$11,Projects!$B$20*INDEX(Curves!$B$4:$AO$4,1,60-Projects!$C$20+1)*Assumptions!$B$11*0.95),0)+IF(AND(Projects!$G$21="Yes",60&gt;=Projects!$C$21,60&lt;Projects!$C$21+Projects!$D$21),IF(60=Projects!$C$21+Projects!$D$21-1,Projects!$B$21*INDEX(Curves!$B$4:$AO$4,1,60-Projects!$C$21+1)*Assumptions!$B$11*0.95+0.05*Projects!$B$21*Assumptions!$B$11,Projects!$B$21*INDEX(Curves!$B$4:$AO$4,1,60-Projects!$C$21+1)*Assumptions!$B$11*0.95),0)+IF(AND(Projects!$G$22="Yes",60&gt;=Projects!$C$22,60&lt;Projects!$C$22+Projects!$D$22),IF(60=Projects!$C$22+Projects!$D$22-1,Projects!$B$22*INDEX(Curves!$B$4:$AO$4,1,60-Projects!$C$22+1)*Assumptions!$B$11*0.95+0.05*Projects!$B$22*Assumptions!$B$11,Projects!$B$22*INDEX(Curves!$B$4:$AO$4,1,60-Projects!$C$22+1)*Assumptions!$B$11*0.95),0)+IF(AND(Projects!$G$23="Yes",60&gt;=Projects!$C$23,60&lt;Projects!$C$23+Projects!$D$23),IF(60=Projects!$C$23+Projects!$D$23-1,Projects!$B$23*INDEX(Curves!$B$4:$AO$4,1,60-Projects!$C$23+1)*Assumptions!$B$11*0.95+0.05*Projects!$B$23*Assumptions!$B$11,Projects!$B$23*INDEX(Curves!$B$4:$AO$4,1,60-Projects!$C$23+1)*Assumptions!$B$11*0.95),0)+IF(AND(Projects!$G$24="Yes",60&gt;=Projects!$C$24,60&lt;Projects!$C$24+Projects!$D$24),IF(60=Projects!$C$24+Projects!$D$24-1,Projects!$B$24*INDEX(Curves!$B$4:$AO$4,1,60-Projects!$C$24+1)*Assumptions!$B$11*0.95+0.05*Projects!$B$24*Assumptions!$B$11,Projects!$B$24*INDEX(Curves!$B$4:$AO$4,1,60-Projects!$C$24+1)*Assumptions!$B$11*0.95),0)+IF(AND(Projects!$G$25="Yes",60&gt;=Projects!$C$25,60&lt;Projects!$C$25+Projects!$D$25),IF(60=Projects!$C$25+Projects!$D$25-1,Projects!$B$25*INDEX(Curves!$B$4:$AO$4,1,60-Projects!$C$25+1)*Assumptions!$B$11*0.95+0.05*Projects!$B$25*Assumptions!$B$11,Projects!$B$25*INDEX(Curves!$B$4:$AO$4,1,60-Projects!$C$25+1)*Assumptions!$B$11*0.95),0)+IF(AND(Projects!$G$26="Yes",60&gt;=Projects!$C$26,60&lt;Projects!$C$26+Projects!$D$26),IF(60=Projects!$C$26+Projects!$D$26-1,Projects!$B$26*INDEX(Curves!$B$4:$AO$4,1,60-Projects!$C$26+1)*Assumptions!$B$11*0.95+0.05*Projects!$B$26*Assumptions!$B$11,Projects!$B$26*INDEX(Curves!$B$4:$AO$4,1,60-Projects!$C$26+1)*Assumptions!$B$11*0.95),0)+IF(AND(Projects!$G$27="Yes",60&gt;=Projects!$C$27,60&lt;Projects!$C$27+Projects!$D$27),IF(60=Projects!$C$27+Projects!$D$27-1,Projects!$B$27*INDEX(Curves!$B$4:$AO$4,1,60-Projects!$C$27+1)*Assumptions!$B$11*0.95+0.05*Projects!$B$27*Assumptions!$B$11,Projects!$B$27*INDEX(Curves!$B$4:$AO$4,1,60-Projects!$C$27+1)*Assumptions!$B$11*0.95),0)+IF(AND(Projects!$G$28="Yes",60&gt;=Projects!$C$28,60&lt;Projects!$C$28+Projects!$D$28),IF(60=Projects!$C$28+Projects!$D$28-1,Projects!$B$28*INDEX(Curves!$B$4:$AO$4,1,60-Projects!$C$28+1)*Assumptions!$B$11*0.95+0.05*Projects!$B$28*Assumptions!$B$11,Projects!$B$28*INDEX(Curves!$B$4:$AO$4,1,60-Projects!$C$28+1)*Assumptions!$B$11*0.95),0)+IF(AND(Projects!$G$29="Yes",60&gt;=Projects!$C$29,60&lt;Projects!$C$29+Projects!$D$29),IF(60=Projects!$C$29+Projects!$D$29-1,Projects!$B$29*INDEX(Curves!$B$4:$AO$4,1,60-Projects!$C$29+1)*Assumptions!$B$11*0.95+0.05*Projects!$B$29*Assumptions!$B$11,Projects!$B$29*INDEX(Curves!$B$4:$AO$4,1,60-Projects!$C$29+1)*Assumptions!$B$11*0.95),0)</f>
        <v/>
      </c>
      <c r="BK99">
        <f>IF(AND(Projects!$G$17="Yes",61&gt;=Projects!$C$17,61&lt;Projects!$C$17+Projects!$D$17),IF(61=Projects!$C$17+Projects!$D$17-1,Projects!$B$17*INDEX(Curves!$B$4:$AO$4,1,61-Projects!$C$17+1)*Assumptions!$B$11*0.95+0.05*Projects!$B$17*Assumptions!$B$11,Projects!$B$17*INDEX(Curves!$B$4:$AO$4,1,61-Projects!$C$17+1)*Assumptions!$B$11*0.95),0)+IF(AND(Projects!$G$18="Yes",61&gt;=Projects!$C$18,61&lt;Projects!$C$18+Projects!$D$18),IF(61=Projects!$C$18+Projects!$D$18-1,Projects!$B$18*INDEX(Curves!$B$4:$AO$4,1,61-Projects!$C$18+1)*Assumptions!$B$11*0.95+0.05*Projects!$B$18*Assumptions!$B$11,Projects!$B$18*INDEX(Curves!$B$4:$AO$4,1,61-Projects!$C$18+1)*Assumptions!$B$11*0.95),0)+IF(AND(Projects!$G$19="Yes",61&gt;=Projects!$C$19,61&lt;Projects!$C$19+Projects!$D$19),IF(61=Projects!$C$19+Projects!$D$19-1,Projects!$B$19*INDEX(Curves!$B$4:$AO$4,1,61-Projects!$C$19+1)*Assumptions!$B$11*0.95+0.05*Projects!$B$19*Assumptions!$B$11,Projects!$B$19*INDEX(Curves!$B$4:$AO$4,1,61-Projects!$C$19+1)*Assumptions!$B$11*0.95),0)+IF(AND(Projects!$G$20="Yes",61&gt;=Projects!$C$20,61&lt;Projects!$C$20+Projects!$D$20),IF(61=Projects!$C$20+Projects!$D$20-1,Projects!$B$20*INDEX(Curves!$B$4:$AO$4,1,61-Projects!$C$20+1)*Assumptions!$B$11*0.95+0.05*Projects!$B$20*Assumptions!$B$11,Projects!$B$20*INDEX(Curves!$B$4:$AO$4,1,61-Projects!$C$20+1)*Assumptions!$B$11*0.95),0)+IF(AND(Projects!$G$21="Yes",61&gt;=Projects!$C$21,61&lt;Projects!$C$21+Projects!$D$21),IF(61=Projects!$C$21+Projects!$D$21-1,Projects!$B$21*INDEX(Curves!$B$4:$AO$4,1,61-Projects!$C$21+1)*Assumptions!$B$11*0.95+0.05*Projects!$B$21*Assumptions!$B$11,Projects!$B$21*INDEX(Curves!$B$4:$AO$4,1,61-Projects!$C$21+1)*Assumptions!$B$11*0.95),0)+IF(AND(Projects!$G$22="Yes",61&gt;=Projects!$C$22,61&lt;Projects!$C$22+Projects!$D$22),IF(61=Projects!$C$22+Projects!$D$22-1,Projects!$B$22*INDEX(Curves!$B$4:$AO$4,1,61-Projects!$C$22+1)*Assumptions!$B$11*0.95+0.05*Projects!$B$22*Assumptions!$B$11,Projects!$B$22*INDEX(Curves!$B$4:$AO$4,1,61-Projects!$C$22+1)*Assumptions!$B$11*0.95),0)+IF(AND(Projects!$G$23="Yes",61&gt;=Projects!$C$23,61&lt;Projects!$C$23+Projects!$D$23),IF(61=Projects!$C$23+Projects!$D$23-1,Projects!$B$23*INDEX(Curves!$B$4:$AO$4,1,61-Projects!$C$23+1)*Assumptions!$B$11*0.95+0.05*Projects!$B$23*Assumptions!$B$11,Projects!$B$23*INDEX(Curves!$B$4:$AO$4,1,61-Projects!$C$23+1)*Assumptions!$B$11*0.95),0)+IF(AND(Projects!$G$24="Yes",61&gt;=Projects!$C$24,61&lt;Projects!$C$24+Projects!$D$24),IF(61=Projects!$C$24+Projects!$D$24-1,Projects!$B$24*INDEX(Curves!$B$4:$AO$4,1,61-Projects!$C$24+1)*Assumptions!$B$11*0.95+0.05*Projects!$B$24*Assumptions!$B$11,Projects!$B$24*INDEX(Curves!$B$4:$AO$4,1,61-Projects!$C$24+1)*Assumptions!$B$11*0.95),0)+IF(AND(Projects!$G$25="Yes",61&gt;=Projects!$C$25,61&lt;Projects!$C$25+Projects!$D$25),IF(61=Projects!$C$25+Projects!$D$25-1,Projects!$B$25*INDEX(Curves!$B$4:$AO$4,1,61-Projects!$C$25+1)*Assumptions!$B$11*0.95+0.05*Projects!$B$25*Assumptions!$B$11,Projects!$B$25*INDEX(Curves!$B$4:$AO$4,1,61-Projects!$C$25+1)*Assumptions!$B$11*0.95),0)+IF(AND(Projects!$G$26="Yes",61&gt;=Projects!$C$26,61&lt;Projects!$C$26+Projects!$D$26),IF(61=Projects!$C$26+Projects!$D$26-1,Projects!$B$26*INDEX(Curves!$B$4:$AO$4,1,61-Projects!$C$26+1)*Assumptions!$B$11*0.95+0.05*Projects!$B$26*Assumptions!$B$11,Projects!$B$26*INDEX(Curves!$B$4:$AO$4,1,61-Projects!$C$26+1)*Assumptions!$B$11*0.95),0)+IF(AND(Projects!$G$27="Yes",61&gt;=Projects!$C$27,61&lt;Projects!$C$27+Projects!$D$27),IF(61=Projects!$C$27+Projects!$D$27-1,Projects!$B$27*INDEX(Curves!$B$4:$AO$4,1,61-Projects!$C$27+1)*Assumptions!$B$11*0.95+0.05*Projects!$B$27*Assumptions!$B$11,Projects!$B$27*INDEX(Curves!$B$4:$AO$4,1,61-Projects!$C$27+1)*Assumptions!$B$11*0.95),0)+IF(AND(Projects!$G$28="Yes",61&gt;=Projects!$C$28,61&lt;Projects!$C$28+Projects!$D$28),IF(61=Projects!$C$28+Projects!$D$28-1,Projects!$B$28*INDEX(Curves!$B$4:$AO$4,1,61-Projects!$C$28+1)*Assumptions!$B$11*0.95+0.05*Projects!$B$28*Assumptions!$B$11,Projects!$B$28*INDEX(Curves!$B$4:$AO$4,1,61-Projects!$C$28+1)*Assumptions!$B$11*0.95),0)+IF(AND(Projects!$G$29="Yes",61&gt;=Projects!$C$29,61&lt;Projects!$C$29+Projects!$D$29),IF(61=Projects!$C$29+Projects!$D$29-1,Projects!$B$29*INDEX(Curves!$B$4:$AO$4,1,61-Projects!$C$29+1)*Assumptions!$B$11*0.95+0.05*Projects!$B$29*Assumptions!$B$11,Projects!$B$29*INDEX(Curves!$B$4:$AO$4,1,61-Projects!$C$29+1)*Assumptions!$B$11*0.95),0)</f>
        <v/>
      </c>
      <c r="BL99">
        <f>IF(AND(Projects!$G$17="Yes",62&gt;=Projects!$C$17,62&lt;Projects!$C$17+Projects!$D$17),IF(62=Projects!$C$17+Projects!$D$17-1,Projects!$B$17*INDEX(Curves!$B$4:$AO$4,1,62-Projects!$C$17+1)*Assumptions!$B$11*0.95+0.05*Projects!$B$17*Assumptions!$B$11,Projects!$B$17*INDEX(Curves!$B$4:$AO$4,1,62-Projects!$C$17+1)*Assumptions!$B$11*0.95),0)+IF(AND(Projects!$G$18="Yes",62&gt;=Projects!$C$18,62&lt;Projects!$C$18+Projects!$D$18),IF(62=Projects!$C$18+Projects!$D$18-1,Projects!$B$18*INDEX(Curves!$B$4:$AO$4,1,62-Projects!$C$18+1)*Assumptions!$B$11*0.95+0.05*Projects!$B$18*Assumptions!$B$11,Projects!$B$18*INDEX(Curves!$B$4:$AO$4,1,62-Projects!$C$18+1)*Assumptions!$B$11*0.95),0)+IF(AND(Projects!$G$19="Yes",62&gt;=Projects!$C$19,62&lt;Projects!$C$19+Projects!$D$19),IF(62=Projects!$C$19+Projects!$D$19-1,Projects!$B$19*INDEX(Curves!$B$4:$AO$4,1,62-Projects!$C$19+1)*Assumptions!$B$11*0.95+0.05*Projects!$B$19*Assumptions!$B$11,Projects!$B$19*INDEX(Curves!$B$4:$AO$4,1,62-Projects!$C$19+1)*Assumptions!$B$11*0.95),0)+IF(AND(Projects!$G$20="Yes",62&gt;=Projects!$C$20,62&lt;Projects!$C$20+Projects!$D$20),IF(62=Projects!$C$20+Projects!$D$20-1,Projects!$B$20*INDEX(Curves!$B$4:$AO$4,1,62-Projects!$C$20+1)*Assumptions!$B$11*0.95+0.05*Projects!$B$20*Assumptions!$B$11,Projects!$B$20*INDEX(Curves!$B$4:$AO$4,1,62-Projects!$C$20+1)*Assumptions!$B$11*0.95),0)+IF(AND(Projects!$G$21="Yes",62&gt;=Projects!$C$21,62&lt;Projects!$C$21+Projects!$D$21),IF(62=Projects!$C$21+Projects!$D$21-1,Projects!$B$21*INDEX(Curves!$B$4:$AO$4,1,62-Projects!$C$21+1)*Assumptions!$B$11*0.95+0.05*Projects!$B$21*Assumptions!$B$11,Projects!$B$21*INDEX(Curves!$B$4:$AO$4,1,62-Projects!$C$21+1)*Assumptions!$B$11*0.95),0)+IF(AND(Projects!$G$22="Yes",62&gt;=Projects!$C$22,62&lt;Projects!$C$22+Projects!$D$22),IF(62=Projects!$C$22+Projects!$D$22-1,Projects!$B$22*INDEX(Curves!$B$4:$AO$4,1,62-Projects!$C$22+1)*Assumptions!$B$11*0.95+0.05*Projects!$B$22*Assumptions!$B$11,Projects!$B$22*INDEX(Curves!$B$4:$AO$4,1,62-Projects!$C$22+1)*Assumptions!$B$11*0.95),0)+IF(AND(Projects!$G$23="Yes",62&gt;=Projects!$C$23,62&lt;Projects!$C$23+Projects!$D$23),IF(62=Projects!$C$23+Projects!$D$23-1,Projects!$B$23*INDEX(Curves!$B$4:$AO$4,1,62-Projects!$C$23+1)*Assumptions!$B$11*0.95+0.05*Projects!$B$23*Assumptions!$B$11,Projects!$B$23*INDEX(Curves!$B$4:$AO$4,1,62-Projects!$C$23+1)*Assumptions!$B$11*0.95),0)+IF(AND(Projects!$G$24="Yes",62&gt;=Projects!$C$24,62&lt;Projects!$C$24+Projects!$D$24),IF(62=Projects!$C$24+Projects!$D$24-1,Projects!$B$24*INDEX(Curves!$B$4:$AO$4,1,62-Projects!$C$24+1)*Assumptions!$B$11*0.95+0.05*Projects!$B$24*Assumptions!$B$11,Projects!$B$24*INDEX(Curves!$B$4:$AO$4,1,62-Projects!$C$24+1)*Assumptions!$B$11*0.95),0)+IF(AND(Projects!$G$25="Yes",62&gt;=Projects!$C$25,62&lt;Projects!$C$25+Projects!$D$25),IF(62=Projects!$C$25+Projects!$D$25-1,Projects!$B$25*INDEX(Curves!$B$4:$AO$4,1,62-Projects!$C$25+1)*Assumptions!$B$11*0.95+0.05*Projects!$B$25*Assumptions!$B$11,Projects!$B$25*INDEX(Curves!$B$4:$AO$4,1,62-Projects!$C$25+1)*Assumptions!$B$11*0.95),0)+IF(AND(Projects!$G$26="Yes",62&gt;=Projects!$C$26,62&lt;Projects!$C$26+Projects!$D$26),IF(62=Projects!$C$26+Projects!$D$26-1,Projects!$B$26*INDEX(Curves!$B$4:$AO$4,1,62-Projects!$C$26+1)*Assumptions!$B$11*0.95+0.05*Projects!$B$26*Assumptions!$B$11,Projects!$B$26*INDEX(Curves!$B$4:$AO$4,1,62-Projects!$C$26+1)*Assumptions!$B$11*0.95),0)+IF(AND(Projects!$G$27="Yes",62&gt;=Projects!$C$27,62&lt;Projects!$C$27+Projects!$D$27),IF(62=Projects!$C$27+Projects!$D$27-1,Projects!$B$27*INDEX(Curves!$B$4:$AO$4,1,62-Projects!$C$27+1)*Assumptions!$B$11*0.95+0.05*Projects!$B$27*Assumptions!$B$11,Projects!$B$27*INDEX(Curves!$B$4:$AO$4,1,62-Projects!$C$27+1)*Assumptions!$B$11*0.95),0)+IF(AND(Projects!$G$28="Yes",62&gt;=Projects!$C$28,62&lt;Projects!$C$28+Projects!$D$28),IF(62=Projects!$C$28+Projects!$D$28-1,Projects!$B$28*INDEX(Curves!$B$4:$AO$4,1,62-Projects!$C$28+1)*Assumptions!$B$11*0.95+0.05*Projects!$B$28*Assumptions!$B$11,Projects!$B$28*INDEX(Curves!$B$4:$AO$4,1,62-Projects!$C$28+1)*Assumptions!$B$11*0.95),0)+IF(AND(Projects!$G$29="Yes",62&gt;=Projects!$C$29,62&lt;Projects!$C$29+Projects!$D$29),IF(62=Projects!$C$29+Projects!$D$29-1,Projects!$B$29*INDEX(Curves!$B$4:$AO$4,1,62-Projects!$C$29+1)*Assumptions!$B$11*0.95+0.05*Projects!$B$29*Assumptions!$B$11,Projects!$B$29*INDEX(Curves!$B$4:$AO$4,1,62-Projects!$C$29+1)*Assumptions!$B$11*0.95),0)</f>
        <v/>
      </c>
      <c r="BM99">
        <f>IF(AND(Projects!$G$17="Yes",63&gt;=Projects!$C$17,63&lt;Projects!$C$17+Projects!$D$17),IF(63=Projects!$C$17+Projects!$D$17-1,Projects!$B$17*INDEX(Curves!$B$4:$AO$4,1,63-Projects!$C$17+1)*Assumptions!$B$11*0.95+0.05*Projects!$B$17*Assumptions!$B$11,Projects!$B$17*INDEX(Curves!$B$4:$AO$4,1,63-Projects!$C$17+1)*Assumptions!$B$11*0.95),0)+IF(AND(Projects!$G$18="Yes",63&gt;=Projects!$C$18,63&lt;Projects!$C$18+Projects!$D$18),IF(63=Projects!$C$18+Projects!$D$18-1,Projects!$B$18*INDEX(Curves!$B$4:$AO$4,1,63-Projects!$C$18+1)*Assumptions!$B$11*0.95+0.05*Projects!$B$18*Assumptions!$B$11,Projects!$B$18*INDEX(Curves!$B$4:$AO$4,1,63-Projects!$C$18+1)*Assumptions!$B$11*0.95),0)+IF(AND(Projects!$G$19="Yes",63&gt;=Projects!$C$19,63&lt;Projects!$C$19+Projects!$D$19),IF(63=Projects!$C$19+Projects!$D$19-1,Projects!$B$19*INDEX(Curves!$B$4:$AO$4,1,63-Projects!$C$19+1)*Assumptions!$B$11*0.95+0.05*Projects!$B$19*Assumptions!$B$11,Projects!$B$19*INDEX(Curves!$B$4:$AO$4,1,63-Projects!$C$19+1)*Assumptions!$B$11*0.95),0)+IF(AND(Projects!$G$20="Yes",63&gt;=Projects!$C$20,63&lt;Projects!$C$20+Projects!$D$20),IF(63=Projects!$C$20+Projects!$D$20-1,Projects!$B$20*INDEX(Curves!$B$4:$AO$4,1,63-Projects!$C$20+1)*Assumptions!$B$11*0.95+0.05*Projects!$B$20*Assumptions!$B$11,Projects!$B$20*INDEX(Curves!$B$4:$AO$4,1,63-Projects!$C$20+1)*Assumptions!$B$11*0.95),0)+IF(AND(Projects!$G$21="Yes",63&gt;=Projects!$C$21,63&lt;Projects!$C$21+Projects!$D$21),IF(63=Projects!$C$21+Projects!$D$21-1,Projects!$B$21*INDEX(Curves!$B$4:$AO$4,1,63-Projects!$C$21+1)*Assumptions!$B$11*0.95+0.05*Projects!$B$21*Assumptions!$B$11,Projects!$B$21*INDEX(Curves!$B$4:$AO$4,1,63-Projects!$C$21+1)*Assumptions!$B$11*0.95),0)+IF(AND(Projects!$G$22="Yes",63&gt;=Projects!$C$22,63&lt;Projects!$C$22+Projects!$D$22),IF(63=Projects!$C$22+Projects!$D$22-1,Projects!$B$22*INDEX(Curves!$B$4:$AO$4,1,63-Projects!$C$22+1)*Assumptions!$B$11*0.95+0.05*Projects!$B$22*Assumptions!$B$11,Projects!$B$22*INDEX(Curves!$B$4:$AO$4,1,63-Projects!$C$22+1)*Assumptions!$B$11*0.95),0)+IF(AND(Projects!$G$23="Yes",63&gt;=Projects!$C$23,63&lt;Projects!$C$23+Projects!$D$23),IF(63=Projects!$C$23+Projects!$D$23-1,Projects!$B$23*INDEX(Curves!$B$4:$AO$4,1,63-Projects!$C$23+1)*Assumptions!$B$11*0.95+0.05*Projects!$B$23*Assumptions!$B$11,Projects!$B$23*INDEX(Curves!$B$4:$AO$4,1,63-Projects!$C$23+1)*Assumptions!$B$11*0.95),0)+IF(AND(Projects!$G$24="Yes",63&gt;=Projects!$C$24,63&lt;Projects!$C$24+Projects!$D$24),IF(63=Projects!$C$24+Projects!$D$24-1,Projects!$B$24*INDEX(Curves!$B$4:$AO$4,1,63-Projects!$C$24+1)*Assumptions!$B$11*0.95+0.05*Projects!$B$24*Assumptions!$B$11,Projects!$B$24*INDEX(Curves!$B$4:$AO$4,1,63-Projects!$C$24+1)*Assumptions!$B$11*0.95),0)+IF(AND(Projects!$G$25="Yes",63&gt;=Projects!$C$25,63&lt;Projects!$C$25+Projects!$D$25),IF(63=Projects!$C$25+Projects!$D$25-1,Projects!$B$25*INDEX(Curves!$B$4:$AO$4,1,63-Projects!$C$25+1)*Assumptions!$B$11*0.95+0.05*Projects!$B$25*Assumptions!$B$11,Projects!$B$25*INDEX(Curves!$B$4:$AO$4,1,63-Projects!$C$25+1)*Assumptions!$B$11*0.95),0)+IF(AND(Projects!$G$26="Yes",63&gt;=Projects!$C$26,63&lt;Projects!$C$26+Projects!$D$26),IF(63=Projects!$C$26+Projects!$D$26-1,Projects!$B$26*INDEX(Curves!$B$4:$AO$4,1,63-Projects!$C$26+1)*Assumptions!$B$11*0.95+0.05*Projects!$B$26*Assumptions!$B$11,Projects!$B$26*INDEX(Curves!$B$4:$AO$4,1,63-Projects!$C$26+1)*Assumptions!$B$11*0.95),0)+IF(AND(Projects!$G$27="Yes",63&gt;=Projects!$C$27,63&lt;Projects!$C$27+Projects!$D$27),IF(63=Projects!$C$27+Projects!$D$27-1,Projects!$B$27*INDEX(Curves!$B$4:$AO$4,1,63-Projects!$C$27+1)*Assumptions!$B$11*0.95+0.05*Projects!$B$27*Assumptions!$B$11,Projects!$B$27*INDEX(Curves!$B$4:$AO$4,1,63-Projects!$C$27+1)*Assumptions!$B$11*0.95),0)+IF(AND(Projects!$G$28="Yes",63&gt;=Projects!$C$28,63&lt;Projects!$C$28+Projects!$D$28),IF(63=Projects!$C$28+Projects!$D$28-1,Projects!$B$28*INDEX(Curves!$B$4:$AO$4,1,63-Projects!$C$28+1)*Assumptions!$B$11*0.95+0.05*Projects!$B$28*Assumptions!$B$11,Projects!$B$28*INDEX(Curves!$B$4:$AO$4,1,63-Projects!$C$28+1)*Assumptions!$B$11*0.95),0)+IF(AND(Projects!$G$29="Yes",63&gt;=Projects!$C$29,63&lt;Projects!$C$29+Projects!$D$29),IF(63=Projects!$C$29+Projects!$D$29-1,Projects!$B$29*INDEX(Curves!$B$4:$AO$4,1,63-Projects!$C$29+1)*Assumptions!$B$11*0.95+0.05*Projects!$B$29*Assumptions!$B$11,Projects!$B$29*INDEX(Curves!$B$4:$AO$4,1,63-Projects!$C$29+1)*Assumptions!$B$11*0.95),0)</f>
        <v/>
      </c>
      <c r="BN99">
        <f>IF(AND(Projects!$G$17="Yes",64&gt;=Projects!$C$17,64&lt;Projects!$C$17+Projects!$D$17),IF(64=Projects!$C$17+Projects!$D$17-1,Projects!$B$17*INDEX(Curves!$B$4:$AO$4,1,64-Projects!$C$17+1)*Assumptions!$B$11*0.95+0.05*Projects!$B$17*Assumptions!$B$11,Projects!$B$17*INDEX(Curves!$B$4:$AO$4,1,64-Projects!$C$17+1)*Assumptions!$B$11*0.95),0)+IF(AND(Projects!$G$18="Yes",64&gt;=Projects!$C$18,64&lt;Projects!$C$18+Projects!$D$18),IF(64=Projects!$C$18+Projects!$D$18-1,Projects!$B$18*INDEX(Curves!$B$4:$AO$4,1,64-Projects!$C$18+1)*Assumptions!$B$11*0.95+0.05*Projects!$B$18*Assumptions!$B$11,Projects!$B$18*INDEX(Curves!$B$4:$AO$4,1,64-Projects!$C$18+1)*Assumptions!$B$11*0.95),0)+IF(AND(Projects!$G$19="Yes",64&gt;=Projects!$C$19,64&lt;Projects!$C$19+Projects!$D$19),IF(64=Projects!$C$19+Projects!$D$19-1,Projects!$B$19*INDEX(Curves!$B$4:$AO$4,1,64-Projects!$C$19+1)*Assumptions!$B$11*0.95+0.05*Projects!$B$19*Assumptions!$B$11,Projects!$B$19*INDEX(Curves!$B$4:$AO$4,1,64-Projects!$C$19+1)*Assumptions!$B$11*0.95),0)+IF(AND(Projects!$G$20="Yes",64&gt;=Projects!$C$20,64&lt;Projects!$C$20+Projects!$D$20),IF(64=Projects!$C$20+Projects!$D$20-1,Projects!$B$20*INDEX(Curves!$B$4:$AO$4,1,64-Projects!$C$20+1)*Assumptions!$B$11*0.95+0.05*Projects!$B$20*Assumptions!$B$11,Projects!$B$20*INDEX(Curves!$B$4:$AO$4,1,64-Projects!$C$20+1)*Assumptions!$B$11*0.95),0)+IF(AND(Projects!$G$21="Yes",64&gt;=Projects!$C$21,64&lt;Projects!$C$21+Projects!$D$21),IF(64=Projects!$C$21+Projects!$D$21-1,Projects!$B$21*INDEX(Curves!$B$4:$AO$4,1,64-Projects!$C$21+1)*Assumptions!$B$11*0.95+0.05*Projects!$B$21*Assumptions!$B$11,Projects!$B$21*INDEX(Curves!$B$4:$AO$4,1,64-Projects!$C$21+1)*Assumptions!$B$11*0.95),0)+IF(AND(Projects!$G$22="Yes",64&gt;=Projects!$C$22,64&lt;Projects!$C$22+Projects!$D$22),IF(64=Projects!$C$22+Projects!$D$22-1,Projects!$B$22*INDEX(Curves!$B$4:$AO$4,1,64-Projects!$C$22+1)*Assumptions!$B$11*0.95+0.05*Projects!$B$22*Assumptions!$B$11,Projects!$B$22*INDEX(Curves!$B$4:$AO$4,1,64-Projects!$C$22+1)*Assumptions!$B$11*0.95),0)+IF(AND(Projects!$G$23="Yes",64&gt;=Projects!$C$23,64&lt;Projects!$C$23+Projects!$D$23),IF(64=Projects!$C$23+Projects!$D$23-1,Projects!$B$23*INDEX(Curves!$B$4:$AO$4,1,64-Projects!$C$23+1)*Assumptions!$B$11*0.95+0.05*Projects!$B$23*Assumptions!$B$11,Projects!$B$23*INDEX(Curves!$B$4:$AO$4,1,64-Projects!$C$23+1)*Assumptions!$B$11*0.95),0)+IF(AND(Projects!$G$24="Yes",64&gt;=Projects!$C$24,64&lt;Projects!$C$24+Projects!$D$24),IF(64=Projects!$C$24+Projects!$D$24-1,Projects!$B$24*INDEX(Curves!$B$4:$AO$4,1,64-Projects!$C$24+1)*Assumptions!$B$11*0.95+0.05*Projects!$B$24*Assumptions!$B$11,Projects!$B$24*INDEX(Curves!$B$4:$AO$4,1,64-Projects!$C$24+1)*Assumptions!$B$11*0.95),0)+IF(AND(Projects!$G$25="Yes",64&gt;=Projects!$C$25,64&lt;Projects!$C$25+Projects!$D$25),IF(64=Projects!$C$25+Projects!$D$25-1,Projects!$B$25*INDEX(Curves!$B$4:$AO$4,1,64-Projects!$C$25+1)*Assumptions!$B$11*0.95+0.05*Projects!$B$25*Assumptions!$B$11,Projects!$B$25*INDEX(Curves!$B$4:$AO$4,1,64-Projects!$C$25+1)*Assumptions!$B$11*0.95),0)+IF(AND(Projects!$G$26="Yes",64&gt;=Projects!$C$26,64&lt;Projects!$C$26+Projects!$D$26),IF(64=Projects!$C$26+Projects!$D$26-1,Projects!$B$26*INDEX(Curves!$B$4:$AO$4,1,64-Projects!$C$26+1)*Assumptions!$B$11*0.95+0.05*Projects!$B$26*Assumptions!$B$11,Projects!$B$26*INDEX(Curves!$B$4:$AO$4,1,64-Projects!$C$26+1)*Assumptions!$B$11*0.95),0)+IF(AND(Projects!$G$27="Yes",64&gt;=Projects!$C$27,64&lt;Projects!$C$27+Projects!$D$27),IF(64=Projects!$C$27+Projects!$D$27-1,Projects!$B$27*INDEX(Curves!$B$4:$AO$4,1,64-Projects!$C$27+1)*Assumptions!$B$11*0.95+0.05*Projects!$B$27*Assumptions!$B$11,Projects!$B$27*INDEX(Curves!$B$4:$AO$4,1,64-Projects!$C$27+1)*Assumptions!$B$11*0.95),0)+IF(AND(Projects!$G$28="Yes",64&gt;=Projects!$C$28,64&lt;Projects!$C$28+Projects!$D$28),IF(64=Projects!$C$28+Projects!$D$28-1,Projects!$B$28*INDEX(Curves!$B$4:$AO$4,1,64-Projects!$C$28+1)*Assumptions!$B$11*0.95+0.05*Projects!$B$28*Assumptions!$B$11,Projects!$B$28*INDEX(Curves!$B$4:$AO$4,1,64-Projects!$C$28+1)*Assumptions!$B$11*0.95),0)+IF(AND(Projects!$G$29="Yes",64&gt;=Projects!$C$29,64&lt;Projects!$C$29+Projects!$D$29),IF(64=Projects!$C$29+Projects!$D$29-1,Projects!$B$29*INDEX(Curves!$B$4:$AO$4,1,64-Projects!$C$29+1)*Assumptions!$B$11*0.95+0.05*Projects!$B$29*Assumptions!$B$11,Projects!$B$29*INDEX(Curves!$B$4:$AO$4,1,64-Projects!$C$29+1)*Assumptions!$B$11*0.95),0)</f>
        <v/>
      </c>
      <c r="BO99">
        <f>IF(AND(Projects!$G$17="Yes",65&gt;=Projects!$C$17,65&lt;Projects!$C$17+Projects!$D$17),IF(65=Projects!$C$17+Projects!$D$17-1,Projects!$B$17*INDEX(Curves!$B$4:$AO$4,1,65-Projects!$C$17+1)*Assumptions!$B$11*0.95+0.05*Projects!$B$17*Assumptions!$B$11,Projects!$B$17*INDEX(Curves!$B$4:$AO$4,1,65-Projects!$C$17+1)*Assumptions!$B$11*0.95),0)+IF(AND(Projects!$G$18="Yes",65&gt;=Projects!$C$18,65&lt;Projects!$C$18+Projects!$D$18),IF(65=Projects!$C$18+Projects!$D$18-1,Projects!$B$18*INDEX(Curves!$B$4:$AO$4,1,65-Projects!$C$18+1)*Assumptions!$B$11*0.95+0.05*Projects!$B$18*Assumptions!$B$11,Projects!$B$18*INDEX(Curves!$B$4:$AO$4,1,65-Projects!$C$18+1)*Assumptions!$B$11*0.95),0)+IF(AND(Projects!$G$19="Yes",65&gt;=Projects!$C$19,65&lt;Projects!$C$19+Projects!$D$19),IF(65=Projects!$C$19+Projects!$D$19-1,Projects!$B$19*INDEX(Curves!$B$4:$AO$4,1,65-Projects!$C$19+1)*Assumptions!$B$11*0.95+0.05*Projects!$B$19*Assumptions!$B$11,Projects!$B$19*INDEX(Curves!$B$4:$AO$4,1,65-Projects!$C$19+1)*Assumptions!$B$11*0.95),0)+IF(AND(Projects!$G$20="Yes",65&gt;=Projects!$C$20,65&lt;Projects!$C$20+Projects!$D$20),IF(65=Projects!$C$20+Projects!$D$20-1,Projects!$B$20*INDEX(Curves!$B$4:$AO$4,1,65-Projects!$C$20+1)*Assumptions!$B$11*0.95+0.05*Projects!$B$20*Assumptions!$B$11,Projects!$B$20*INDEX(Curves!$B$4:$AO$4,1,65-Projects!$C$20+1)*Assumptions!$B$11*0.95),0)+IF(AND(Projects!$G$21="Yes",65&gt;=Projects!$C$21,65&lt;Projects!$C$21+Projects!$D$21),IF(65=Projects!$C$21+Projects!$D$21-1,Projects!$B$21*INDEX(Curves!$B$4:$AO$4,1,65-Projects!$C$21+1)*Assumptions!$B$11*0.95+0.05*Projects!$B$21*Assumptions!$B$11,Projects!$B$21*INDEX(Curves!$B$4:$AO$4,1,65-Projects!$C$21+1)*Assumptions!$B$11*0.95),0)+IF(AND(Projects!$G$22="Yes",65&gt;=Projects!$C$22,65&lt;Projects!$C$22+Projects!$D$22),IF(65=Projects!$C$22+Projects!$D$22-1,Projects!$B$22*INDEX(Curves!$B$4:$AO$4,1,65-Projects!$C$22+1)*Assumptions!$B$11*0.95+0.05*Projects!$B$22*Assumptions!$B$11,Projects!$B$22*INDEX(Curves!$B$4:$AO$4,1,65-Projects!$C$22+1)*Assumptions!$B$11*0.95),0)+IF(AND(Projects!$G$23="Yes",65&gt;=Projects!$C$23,65&lt;Projects!$C$23+Projects!$D$23),IF(65=Projects!$C$23+Projects!$D$23-1,Projects!$B$23*INDEX(Curves!$B$4:$AO$4,1,65-Projects!$C$23+1)*Assumptions!$B$11*0.95+0.05*Projects!$B$23*Assumptions!$B$11,Projects!$B$23*INDEX(Curves!$B$4:$AO$4,1,65-Projects!$C$23+1)*Assumptions!$B$11*0.95),0)+IF(AND(Projects!$G$24="Yes",65&gt;=Projects!$C$24,65&lt;Projects!$C$24+Projects!$D$24),IF(65=Projects!$C$24+Projects!$D$24-1,Projects!$B$24*INDEX(Curves!$B$4:$AO$4,1,65-Projects!$C$24+1)*Assumptions!$B$11*0.95+0.05*Projects!$B$24*Assumptions!$B$11,Projects!$B$24*INDEX(Curves!$B$4:$AO$4,1,65-Projects!$C$24+1)*Assumptions!$B$11*0.95),0)+IF(AND(Projects!$G$25="Yes",65&gt;=Projects!$C$25,65&lt;Projects!$C$25+Projects!$D$25),IF(65=Projects!$C$25+Projects!$D$25-1,Projects!$B$25*INDEX(Curves!$B$4:$AO$4,1,65-Projects!$C$25+1)*Assumptions!$B$11*0.95+0.05*Projects!$B$25*Assumptions!$B$11,Projects!$B$25*INDEX(Curves!$B$4:$AO$4,1,65-Projects!$C$25+1)*Assumptions!$B$11*0.95),0)+IF(AND(Projects!$G$26="Yes",65&gt;=Projects!$C$26,65&lt;Projects!$C$26+Projects!$D$26),IF(65=Projects!$C$26+Projects!$D$26-1,Projects!$B$26*INDEX(Curves!$B$4:$AO$4,1,65-Projects!$C$26+1)*Assumptions!$B$11*0.95+0.05*Projects!$B$26*Assumptions!$B$11,Projects!$B$26*INDEX(Curves!$B$4:$AO$4,1,65-Projects!$C$26+1)*Assumptions!$B$11*0.95),0)+IF(AND(Projects!$G$27="Yes",65&gt;=Projects!$C$27,65&lt;Projects!$C$27+Projects!$D$27),IF(65=Projects!$C$27+Projects!$D$27-1,Projects!$B$27*INDEX(Curves!$B$4:$AO$4,1,65-Projects!$C$27+1)*Assumptions!$B$11*0.95+0.05*Projects!$B$27*Assumptions!$B$11,Projects!$B$27*INDEX(Curves!$B$4:$AO$4,1,65-Projects!$C$27+1)*Assumptions!$B$11*0.95),0)+IF(AND(Projects!$G$28="Yes",65&gt;=Projects!$C$28,65&lt;Projects!$C$28+Projects!$D$28),IF(65=Projects!$C$28+Projects!$D$28-1,Projects!$B$28*INDEX(Curves!$B$4:$AO$4,1,65-Projects!$C$28+1)*Assumptions!$B$11*0.95+0.05*Projects!$B$28*Assumptions!$B$11,Projects!$B$28*INDEX(Curves!$B$4:$AO$4,1,65-Projects!$C$28+1)*Assumptions!$B$11*0.95),0)+IF(AND(Projects!$G$29="Yes",65&gt;=Projects!$C$29,65&lt;Projects!$C$29+Projects!$D$29),IF(65=Projects!$C$29+Projects!$D$29-1,Projects!$B$29*INDEX(Curves!$B$4:$AO$4,1,65-Projects!$C$29+1)*Assumptions!$B$11*0.95+0.05*Projects!$B$29*Assumptions!$B$11,Projects!$B$29*INDEX(Curves!$B$4:$AO$4,1,65-Projects!$C$29+1)*Assumptions!$B$11*0.95),0)</f>
        <v/>
      </c>
      <c r="BP99">
        <f>IF(AND(Projects!$G$17="Yes",66&gt;=Projects!$C$17,66&lt;Projects!$C$17+Projects!$D$17),IF(66=Projects!$C$17+Projects!$D$17-1,Projects!$B$17*INDEX(Curves!$B$4:$AO$4,1,66-Projects!$C$17+1)*Assumptions!$B$11*0.95+0.05*Projects!$B$17*Assumptions!$B$11,Projects!$B$17*INDEX(Curves!$B$4:$AO$4,1,66-Projects!$C$17+1)*Assumptions!$B$11*0.95),0)+IF(AND(Projects!$G$18="Yes",66&gt;=Projects!$C$18,66&lt;Projects!$C$18+Projects!$D$18),IF(66=Projects!$C$18+Projects!$D$18-1,Projects!$B$18*INDEX(Curves!$B$4:$AO$4,1,66-Projects!$C$18+1)*Assumptions!$B$11*0.95+0.05*Projects!$B$18*Assumptions!$B$11,Projects!$B$18*INDEX(Curves!$B$4:$AO$4,1,66-Projects!$C$18+1)*Assumptions!$B$11*0.95),0)+IF(AND(Projects!$G$19="Yes",66&gt;=Projects!$C$19,66&lt;Projects!$C$19+Projects!$D$19),IF(66=Projects!$C$19+Projects!$D$19-1,Projects!$B$19*INDEX(Curves!$B$4:$AO$4,1,66-Projects!$C$19+1)*Assumptions!$B$11*0.95+0.05*Projects!$B$19*Assumptions!$B$11,Projects!$B$19*INDEX(Curves!$B$4:$AO$4,1,66-Projects!$C$19+1)*Assumptions!$B$11*0.95),0)+IF(AND(Projects!$G$20="Yes",66&gt;=Projects!$C$20,66&lt;Projects!$C$20+Projects!$D$20),IF(66=Projects!$C$20+Projects!$D$20-1,Projects!$B$20*INDEX(Curves!$B$4:$AO$4,1,66-Projects!$C$20+1)*Assumptions!$B$11*0.95+0.05*Projects!$B$20*Assumptions!$B$11,Projects!$B$20*INDEX(Curves!$B$4:$AO$4,1,66-Projects!$C$20+1)*Assumptions!$B$11*0.95),0)+IF(AND(Projects!$G$21="Yes",66&gt;=Projects!$C$21,66&lt;Projects!$C$21+Projects!$D$21),IF(66=Projects!$C$21+Projects!$D$21-1,Projects!$B$21*INDEX(Curves!$B$4:$AO$4,1,66-Projects!$C$21+1)*Assumptions!$B$11*0.95+0.05*Projects!$B$21*Assumptions!$B$11,Projects!$B$21*INDEX(Curves!$B$4:$AO$4,1,66-Projects!$C$21+1)*Assumptions!$B$11*0.95),0)+IF(AND(Projects!$G$22="Yes",66&gt;=Projects!$C$22,66&lt;Projects!$C$22+Projects!$D$22),IF(66=Projects!$C$22+Projects!$D$22-1,Projects!$B$22*INDEX(Curves!$B$4:$AO$4,1,66-Projects!$C$22+1)*Assumptions!$B$11*0.95+0.05*Projects!$B$22*Assumptions!$B$11,Projects!$B$22*INDEX(Curves!$B$4:$AO$4,1,66-Projects!$C$22+1)*Assumptions!$B$11*0.95),0)+IF(AND(Projects!$G$23="Yes",66&gt;=Projects!$C$23,66&lt;Projects!$C$23+Projects!$D$23),IF(66=Projects!$C$23+Projects!$D$23-1,Projects!$B$23*INDEX(Curves!$B$4:$AO$4,1,66-Projects!$C$23+1)*Assumptions!$B$11*0.95+0.05*Projects!$B$23*Assumptions!$B$11,Projects!$B$23*INDEX(Curves!$B$4:$AO$4,1,66-Projects!$C$23+1)*Assumptions!$B$11*0.95),0)+IF(AND(Projects!$G$24="Yes",66&gt;=Projects!$C$24,66&lt;Projects!$C$24+Projects!$D$24),IF(66=Projects!$C$24+Projects!$D$24-1,Projects!$B$24*INDEX(Curves!$B$4:$AO$4,1,66-Projects!$C$24+1)*Assumptions!$B$11*0.95+0.05*Projects!$B$24*Assumptions!$B$11,Projects!$B$24*INDEX(Curves!$B$4:$AO$4,1,66-Projects!$C$24+1)*Assumptions!$B$11*0.95),0)+IF(AND(Projects!$G$25="Yes",66&gt;=Projects!$C$25,66&lt;Projects!$C$25+Projects!$D$25),IF(66=Projects!$C$25+Projects!$D$25-1,Projects!$B$25*INDEX(Curves!$B$4:$AO$4,1,66-Projects!$C$25+1)*Assumptions!$B$11*0.95+0.05*Projects!$B$25*Assumptions!$B$11,Projects!$B$25*INDEX(Curves!$B$4:$AO$4,1,66-Projects!$C$25+1)*Assumptions!$B$11*0.95),0)+IF(AND(Projects!$G$26="Yes",66&gt;=Projects!$C$26,66&lt;Projects!$C$26+Projects!$D$26),IF(66=Projects!$C$26+Projects!$D$26-1,Projects!$B$26*INDEX(Curves!$B$4:$AO$4,1,66-Projects!$C$26+1)*Assumptions!$B$11*0.95+0.05*Projects!$B$26*Assumptions!$B$11,Projects!$B$26*INDEX(Curves!$B$4:$AO$4,1,66-Projects!$C$26+1)*Assumptions!$B$11*0.95),0)+IF(AND(Projects!$G$27="Yes",66&gt;=Projects!$C$27,66&lt;Projects!$C$27+Projects!$D$27),IF(66=Projects!$C$27+Projects!$D$27-1,Projects!$B$27*INDEX(Curves!$B$4:$AO$4,1,66-Projects!$C$27+1)*Assumptions!$B$11*0.95+0.05*Projects!$B$27*Assumptions!$B$11,Projects!$B$27*INDEX(Curves!$B$4:$AO$4,1,66-Projects!$C$27+1)*Assumptions!$B$11*0.95),0)+IF(AND(Projects!$G$28="Yes",66&gt;=Projects!$C$28,66&lt;Projects!$C$28+Projects!$D$28),IF(66=Projects!$C$28+Projects!$D$28-1,Projects!$B$28*INDEX(Curves!$B$4:$AO$4,1,66-Projects!$C$28+1)*Assumptions!$B$11*0.95+0.05*Projects!$B$28*Assumptions!$B$11,Projects!$B$28*INDEX(Curves!$B$4:$AO$4,1,66-Projects!$C$28+1)*Assumptions!$B$11*0.95),0)+IF(AND(Projects!$G$29="Yes",66&gt;=Projects!$C$29,66&lt;Projects!$C$29+Projects!$D$29),IF(66=Projects!$C$29+Projects!$D$29-1,Projects!$B$29*INDEX(Curves!$B$4:$AO$4,1,66-Projects!$C$29+1)*Assumptions!$B$11*0.95+0.05*Projects!$B$29*Assumptions!$B$11,Projects!$B$29*INDEX(Curves!$B$4:$AO$4,1,66-Projects!$C$29+1)*Assumptions!$B$11*0.95),0)</f>
        <v/>
      </c>
      <c r="BQ99">
        <f>IF(AND(Projects!$G$17="Yes",67&gt;=Projects!$C$17,67&lt;Projects!$C$17+Projects!$D$17),IF(67=Projects!$C$17+Projects!$D$17-1,Projects!$B$17*INDEX(Curves!$B$4:$AO$4,1,67-Projects!$C$17+1)*Assumptions!$B$11*0.95+0.05*Projects!$B$17*Assumptions!$B$11,Projects!$B$17*INDEX(Curves!$B$4:$AO$4,1,67-Projects!$C$17+1)*Assumptions!$B$11*0.95),0)+IF(AND(Projects!$G$18="Yes",67&gt;=Projects!$C$18,67&lt;Projects!$C$18+Projects!$D$18),IF(67=Projects!$C$18+Projects!$D$18-1,Projects!$B$18*INDEX(Curves!$B$4:$AO$4,1,67-Projects!$C$18+1)*Assumptions!$B$11*0.95+0.05*Projects!$B$18*Assumptions!$B$11,Projects!$B$18*INDEX(Curves!$B$4:$AO$4,1,67-Projects!$C$18+1)*Assumptions!$B$11*0.95),0)+IF(AND(Projects!$G$19="Yes",67&gt;=Projects!$C$19,67&lt;Projects!$C$19+Projects!$D$19),IF(67=Projects!$C$19+Projects!$D$19-1,Projects!$B$19*INDEX(Curves!$B$4:$AO$4,1,67-Projects!$C$19+1)*Assumptions!$B$11*0.95+0.05*Projects!$B$19*Assumptions!$B$11,Projects!$B$19*INDEX(Curves!$B$4:$AO$4,1,67-Projects!$C$19+1)*Assumptions!$B$11*0.95),0)+IF(AND(Projects!$G$20="Yes",67&gt;=Projects!$C$20,67&lt;Projects!$C$20+Projects!$D$20),IF(67=Projects!$C$20+Projects!$D$20-1,Projects!$B$20*INDEX(Curves!$B$4:$AO$4,1,67-Projects!$C$20+1)*Assumptions!$B$11*0.95+0.05*Projects!$B$20*Assumptions!$B$11,Projects!$B$20*INDEX(Curves!$B$4:$AO$4,1,67-Projects!$C$20+1)*Assumptions!$B$11*0.95),0)+IF(AND(Projects!$G$21="Yes",67&gt;=Projects!$C$21,67&lt;Projects!$C$21+Projects!$D$21),IF(67=Projects!$C$21+Projects!$D$21-1,Projects!$B$21*INDEX(Curves!$B$4:$AO$4,1,67-Projects!$C$21+1)*Assumptions!$B$11*0.95+0.05*Projects!$B$21*Assumptions!$B$11,Projects!$B$21*INDEX(Curves!$B$4:$AO$4,1,67-Projects!$C$21+1)*Assumptions!$B$11*0.95),0)+IF(AND(Projects!$G$22="Yes",67&gt;=Projects!$C$22,67&lt;Projects!$C$22+Projects!$D$22),IF(67=Projects!$C$22+Projects!$D$22-1,Projects!$B$22*INDEX(Curves!$B$4:$AO$4,1,67-Projects!$C$22+1)*Assumptions!$B$11*0.95+0.05*Projects!$B$22*Assumptions!$B$11,Projects!$B$22*INDEX(Curves!$B$4:$AO$4,1,67-Projects!$C$22+1)*Assumptions!$B$11*0.95),0)+IF(AND(Projects!$G$23="Yes",67&gt;=Projects!$C$23,67&lt;Projects!$C$23+Projects!$D$23),IF(67=Projects!$C$23+Projects!$D$23-1,Projects!$B$23*INDEX(Curves!$B$4:$AO$4,1,67-Projects!$C$23+1)*Assumptions!$B$11*0.95+0.05*Projects!$B$23*Assumptions!$B$11,Projects!$B$23*INDEX(Curves!$B$4:$AO$4,1,67-Projects!$C$23+1)*Assumptions!$B$11*0.95),0)+IF(AND(Projects!$G$24="Yes",67&gt;=Projects!$C$24,67&lt;Projects!$C$24+Projects!$D$24),IF(67=Projects!$C$24+Projects!$D$24-1,Projects!$B$24*INDEX(Curves!$B$4:$AO$4,1,67-Projects!$C$24+1)*Assumptions!$B$11*0.95+0.05*Projects!$B$24*Assumptions!$B$11,Projects!$B$24*INDEX(Curves!$B$4:$AO$4,1,67-Projects!$C$24+1)*Assumptions!$B$11*0.95),0)+IF(AND(Projects!$G$25="Yes",67&gt;=Projects!$C$25,67&lt;Projects!$C$25+Projects!$D$25),IF(67=Projects!$C$25+Projects!$D$25-1,Projects!$B$25*INDEX(Curves!$B$4:$AO$4,1,67-Projects!$C$25+1)*Assumptions!$B$11*0.95+0.05*Projects!$B$25*Assumptions!$B$11,Projects!$B$25*INDEX(Curves!$B$4:$AO$4,1,67-Projects!$C$25+1)*Assumptions!$B$11*0.95),0)+IF(AND(Projects!$G$26="Yes",67&gt;=Projects!$C$26,67&lt;Projects!$C$26+Projects!$D$26),IF(67=Projects!$C$26+Projects!$D$26-1,Projects!$B$26*INDEX(Curves!$B$4:$AO$4,1,67-Projects!$C$26+1)*Assumptions!$B$11*0.95+0.05*Projects!$B$26*Assumptions!$B$11,Projects!$B$26*INDEX(Curves!$B$4:$AO$4,1,67-Projects!$C$26+1)*Assumptions!$B$11*0.95),0)+IF(AND(Projects!$G$27="Yes",67&gt;=Projects!$C$27,67&lt;Projects!$C$27+Projects!$D$27),IF(67=Projects!$C$27+Projects!$D$27-1,Projects!$B$27*INDEX(Curves!$B$4:$AO$4,1,67-Projects!$C$27+1)*Assumptions!$B$11*0.95+0.05*Projects!$B$27*Assumptions!$B$11,Projects!$B$27*INDEX(Curves!$B$4:$AO$4,1,67-Projects!$C$27+1)*Assumptions!$B$11*0.95),0)+IF(AND(Projects!$G$28="Yes",67&gt;=Projects!$C$28,67&lt;Projects!$C$28+Projects!$D$28),IF(67=Projects!$C$28+Projects!$D$28-1,Projects!$B$28*INDEX(Curves!$B$4:$AO$4,1,67-Projects!$C$28+1)*Assumptions!$B$11*0.95+0.05*Projects!$B$28*Assumptions!$B$11,Projects!$B$28*INDEX(Curves!$B$4:$AO$4,1,67-Projects!$C$28+1)*Assumptions!$B$11*0.95),0)+IF(AND(Projects!$G$29="Yes",67&gt;=Projects!$C$29,67&lt;Projects!$C$29+Projects!$D$29),IF(67=Projects!$C$29+Projects!$D$29-1,Projects!$B$29*INDEX(Curves!$B$4:$AO$4,1,67-Projects!$C$29+1)*Assumptions!$B$11*0.95+0.05*Projects!$B$29*Assumptions!$B$11,Projects!$B$29*INDEX(Curves!$B$4:$AO$4,1,67-Projects!$C$29+1)*Assumptions!$B$11*0.95),0)</f>
        <v/>
      </c>
      <c r="BR99">
        <f>IF(AND(Projects!$G$17="Yes",68&gt;=Projects!$C$17,68&lt;Projects!$C$17+Projects!$D$17),IF(68=Projects!$C$17+Projects!$D$17-1,Projects!$B$17*INDEX(Curves!$B$4:$AO$4,1,68-Projects!$C$17+1)*Assumptions!$B$11*0.95+0.05*Projects!$B$17*Assumptions!$B$11,Projects!$B$17*INDEX(Curves!$B$4:$AO$4,1,68-Projects!$C$17+1)*Assumptions!$B$11*0.95),0)+IF(AND(Projects!$G$18="Yes",68&gt;=Projects!$C$18,68&lt;Projects!$C$18+Projects!$D$18),IF(68=Projects!$C$18+Projects!$D$18-1,Projects!$B$18*INDEX(Curves!$B$4:$AO$4,1,68-Projects!$C$18+1)*Assumptions!$B$11*0.95+0.05*Projects!$B$18*Assumptions!$B$11,Projects!$B$18*INDEX(Curves!$B$4:$AO$4,1,68-Projects!$C$18+1)*Assumptions!$B$11*0.95),0)+IF(AND(Projects!$G$19="Yes",68&gt;=Projects!$C$19,68&lt;Projects!$C$19+Projects!$D$19),IF(68=Projects!$C$19+Projects!$D$19-1,Projects!$B$19*INDEX(Curves!$B$4:$AO$4,1,68-Projects!$C$19+1)*Assumptions!$B$11*0.95+0.05*Projects!$B$19*Assumptions!$B$11,Projects!$B$19*INDEX(Curves!$B$4:$AO$4,1,68-Projects!$C$19+1)*Assumptions!$B$11*0.95),0)+IF(AND(Projects!$G$20="Yes",68&gt;=Projects!$C$20,68&lt;Projects!$C$20+Projects!$D$20),IF(68=Projects!$C$20+Projects!$D$20-1,Projects!$B$20*INDEX(Curves!$B$4:$AO$4,1,68-Projects!$C$20+1)*Assumptions!$B$11*0.95+0.05*Projects!$B$20*Assumptions!$B$11,Projects!$B$20*INDEX(Curves!$B$4:$AO$4,1,68-Projects!$C$20+1)*Assumptions!$B$11*0.95),0)+IF(AND(Projects!$G$21="Yes",68&gt;=Projects!$C$21,68&lt;Projects!$C$21+Projects!$D$21),IF(68=Projects!$C$21+Projects!$D$21-1,Projects!$B$21*INDEX(Curves!$B$4:$AO$4,1,68-Projects!$C$21+1)*Assumptions!$B$11*0.95+0.05*Projects!$B$21*Assumptions!$B$11,Projects!$B$21*INDEX(Curves!$B$4:$AO$4,1,68-Projects!$C$21+1)*Assumptions!$B$11*0.95),0)+IF(AND(Projects!$G$22="Yes",68&gt;=Projects!$C$22,68&lt;Projects!$C$22+Projects!$D$22),IF(68=Projects!$C$22+Projects!$D$22-1,Projects!$B$22*INDEX(Curves!$B$4:$AO$4,1,68-Projects!$C$22+1)*Assumptions!$B$11*0.95+0.05*Projects!$B$22*Assumptions!$B$11,Projects!$B$22*INDEX(Curves!$B$4:$AO$4,1,68-Projects!$C$22+1)*Assumptions!$B$11*0.95),0)+IF(AND(Projects!$G$23="Yes",68&gt;=Projects!$C$23,68&lt;Projects!$C$23+Projects!$D$23),IF(68=Projects!$C$23+Projects!$D$23-1,Projects!$B$23*INDEX(Curves!$B$4:$AO$4,1,68-Projects!$C$23+1)*Assumptions!$B$11*0.95+0.05*Projects!$B$23*Assumptions!$B$11,Projects!$B$23*INDEX(Curves!$B$4:$AO$4,1,68-Projects!$C$23+1)*Assumptions!$B$11*0.95),0)+IF(AND(Projects!$G$24="Yes",68&gt;=Projects!$C$24,68&lt;Projects!$C$24+Projects!$D$24),IF(68=Projects!$C$24+Projects!$D$24-1,Projects!$B$24*INDEX(Curves!$B$4:$AO$4,1,68-Projects!$C$24+1)*Assumptions!$B$11*0.95+0.05*Projects!$B$24*Assumptions!$B$11,Projects!$B$24*INDEX(Curves!$B$4:$AO$4,1,68-Projects!$C$24+1)*Assumptions!$B$11*0.95),0)+IF(AND(Projects!$G$25="Yes",68&gt;=Projects!$C$25,68&lt;Projects!$C$25+Projects!$D$25),IF(68=Projects!$C$25+Projects!$D$25-1,Projects!$B$25*INDEX(Curves!$B$4:$AO$4,1,68-Projects!$C$25+1)*Assumptions!$B$11*0.95+0.05*Projects!$B$25*Assumptions!$B$11,Projects!$B$25*INDEX(Curves!$B$4:$AO$4,1,68-Projects!$C$25+1)*Assumptions!$B$11*0.95),0)+IF(AND(Projects!$G$26="Yes",68&gt;=Projects!$C$26,68&lt;Projects!$C$26+Projects!$D$26),IF(68=Projects!$C$26+Projects!$D$26-1,Projects!$B$26*INDEX(Curves!$B$4:$AO$4,1,68-Projects!$C$26+1)*Assumptions!$B$11*0.95+0.05*Projects!$B$26*Assumptions!$B$11,Projects!$B$26*INDEX(Curves!$B$4:$AO$4,1,68-Projects!$C$26+1)*Assumptions!$B$11*0.95),0)+IF(AND(Projects!$G$27="Yes",68&gt;=Projects!$C$27,68&lt;Projects!$C$27+Projects!$D$27),IF(68=Projects!$C$27+Projects!$D$27-1,Projects!$B$27*INDEX(Curves!$B$4:$AO$4,1,68-Projects!$C$27+1)*Assumptions!$B$11*0.95+0.05*Projects!$B$27*Assumptions!$B$11,Projects!$B$27*INDEX(Curves!$B$4:$AO$4,1,68-Projects!$C$27+1)*Assumptions!$B$11*0.95),0)+IF(AND(Projects!$G$28="Yes",68&gt;=Projects!$C$28,68&lt;Projects!$C$28+Projects!$D$28),IF(68=Projects!$C$28+Projects!$D$28-1,Projects!$B$28*INDEX(Curves!$B$4:$AO$4,1,68-Projects!$C$28+1)*Assumptions!$B$11*0.95+0.05*Projects!$B$28*Assumptions!$B$11,Projects!$B$28*INDEX(Curves!$B$4:$AO$4,1,68-Projects!$C$28+1)*Assumptions!$B$11*0.95),0)+IF(AND(Projects!$G$29="Yes",68&gt;=Projects!$C$29,68&lt;Projects!$C$29+Projects!$D$29),IF(68=Projects!$C$29+Projects!$D$29-1,Projects!$B$29*INDEX(Curves!$B$4:$AO$4,1,68-Projects!$C$29+1)*Assumptions!$B$11*0.95+0.05*Projects!$B$29*Assumptions!$B$11,Projects!$B$29*INDEX(Curves!$B$4:$AO$4,1,68-Projects!$C$29+1)*Assumptions!$B$11*0.95),0)</f>
        <v/>
      </c>
      <c r="BS99">
        <f>IF(AND(Projects!$G$17="Yes",69&gt;=Projects!$C$17,69&lt;Projects!$C$17+Projects!$D$17),IF(69=Projects!$C$17+Projects!$D$17-1,Projects!$B$17*INDEX(Curves!$B$4:$AO$4,1,69-Projects!$C$17+1)*Assumptions!$B$11*0.95+0.05*Projects!$B$17*Assumptions!$B$11,Projects!$B$17*INDEX(Curves!$B$4:$AO$4,1,69-Projects!$C$17+1)*Assumptions!$B$11*0.95),0)+IF(AND(Projects!$G$18="Yes",69&gt;=Projects!$C$18,69&lt;Projects!$C$18+Projects!$D$18),IF(69=Projects!$C$18+Projects!$D$18-1,Projects!$B$18*INDEX(Curves!$B$4:$AO$4,1,69-Projects!$C$18+1)*Assumptions!$B$11*0.95+0.05*Projects!$B$18*Assumptions!$B$11,Projects!$B$18*INDEX(Curves!$B$4:$AO$4,1,69-Projects!$C$18+1)*Assumptions!$B$11*0.95),0)+IF(AND(Projects!$G$19="Yes",69&gt;=Projects!$C$19,69&lt;Projects!$C$19+Projects!$D$19),IF(69=Projects!$C$19+Projects!$D$19-1,Projects!$B$19*INDEX(Curves!$B$4:$AO$4,1,69-Projects!$C$19+1)*Assumptions!$B$11*0.95+0.05*Projects!$B$19*Assumptions!$B$11,Projects!$B$19*INDEX(Curves!$B$4:$AO$4,1,69-Projects!$C$19+1)*Assumptions!$B$11*0.95),0)+IF(AND(Projects!$G$20="Yes",69&gt;=Projects!$C$20,69&lt;Projects!$C$20+Projects!$D$20),IF(69=Projects!$C$20+Projects!$D$20-1,Projects!$B$20*INDEX(Curves!$B$4:$AO$4,1,69-Projects!$C$20+1)*Assumptions!$B$11*0.95+0.05*Projects!$B$20*Assumptions!$B$11,Projects!$B$20*INDEX(Curves!$B$4:$AO$4,1,69-Projects!$C$20+1)*Assumptions!$B$11*0.95),0)+IF(AND(Projects!$G$21="Yes",69&gt;=Projects!$C$21,69&lt;Projects!$C$21+Projects!$D$21),IF(69=Projects!$C$21+Projects!$D$21-1,Projects!$B$21*INDEX(Curves!$B$4:$AO$4,1,69-Projects!$C$21+1)*Assumptions!$B$11*0.95+0.05*Projects!$B$21*Assumptions!$B$11,Projects!$B$21*INDEX(Curves!$B$4:$AO$4,1,69-Projects!$C$21+1)*Assumptions!$B$11*0.95),0)+IF(AND(Projects!$G$22="Yes",69&gt;=Projects!$C$22,69&lt;Projects!$C$22+Projects!$D$22),IF(69=Projects!$C$22+Projects!$D$22-1,Projects!$B$22*INDEX(Curves!$B$4:$AO$4,1,69-Projects!$C$22+1)*Assumptions!$B$11*0.95+0.05*Projects!$B$22*Assumptions!$B$11,Projects!$B$22*INDEX(Curves!$B$4:$AO$4,1,69-Projects!$C$22+1)*Assumptions!$B$11*0.95),0)+IF(AND(Projects!$G$23="Yes",69&gt;=Projects!$C$23,69&lt;Projects!$C$23+Projects!$D$23),IF(69=Projects!$C$23+Projects!$D$23-1,Projects!$B$23*INDEX(Curves!$B$4:$AO$4,1,69-Projects!$C$23+1)*Assumptions!$B$11*0.95+0.05*Projects!$B$23*Assumptions!$B$11,Projects!$B$23*INDEX(Curves!$B$4:$AO$4,1,69-Projects!$C$23+1)*Assumptions!$B$11*0.95),0)+IF(AND(Projects!$G$24="Yes",69&gt;=Projects!$C$24,69&lt;Projects!$C$24+Projects!$D$24),IF(69=Projects!$C$24+Projects!$D$24-1,Projects!$B$24*INDEX(Curves!$B$4:$AO$4,1,69-Projects!$C$24+1)*Assumptions!$B$11*0.95+0.05*Projects!$B$24*Assumptions!$B$11,Projects!$B$24*INDEX(Curves!$B$4:$AO$4,1,69-Projects!$C$24+1)*Assumptions!$B$11*0.95),0)+IF(AND(Projects!$G$25="Yes",69&gt;=Projects!$C$25,69&lt;Projects!$C$25+Projects!$D$25),IF(69=Projects!$C$25+Projects!$D$25-1,Projects!$B$25*INDEX(Curves!$B$4:$AO$4,1,69-Projects!$C$25+1)*Assumptions!$B$11*0.95+0.05*Projects!$B$25*Assumptions!$B$11,Projects!$B$25*INDEX(Curves!$B$4:$AO$4,1,69-Projects!$C$25+1)*Assumptions!$B$11*0.95),0)+IF(AND(Projects!$G$26="Yes",69&gt;=Projects!$C$26,69&lt;Projects!$C$26+Projects!$D$26),IF(69=Projects!$C$26+Projects!$D$26-1,Projects!$B$26*INDEX(Curves!$B$4:$AO$4,1,69-Projects!$C$26+1)*Assumptions!$B$11*0.95+0.05*Projects!$B$26*Assumptions!$B$11,Projects!$B$26*INDEX(Curves!$B$4:$AO$4,1,69-Projects!$C$26+1)*Assumptions!$B$11*0.95),0)+IF(AND(Projects!$G$27="Yes",69&gt;=Projects!$C$27,69&lt;Projects!$C$27+Projects!$D$27),IF(69=Projects!$C$27+Projects!$D$27-1,Projects!$B$27*INDEX(Curves!$B$4:$AO$4,1,69-Projects!$C$27+1)*Assumptions!$B$11*0.95+0.05*Projects!$B$27*Assumptions!$B$11,Projects!$B$27*INDEX(Curves!$B$4:$AO$4,1,69-Projects!$C$27+1)*Assumptions!$B$11*0.95),0)+IF(AND(Projects!$G$28="Yes",69&gt;=Projects!$C$28,69&lt;Projects!$C$28+Projects!$D$28),IF(69=Projects!$C$28+Projects!$D$28-1,Projects!$B$28*INDEX(Curves!$B$4:$AO$4,1,69-Projects!$C$28+1)*Assumptions!$B$11*0.95+0.05*Projects!$B$28*Assumptions!$B$11,Projects!$B$28*INDEX(Curves!$B$4:$AO$4,1,69-Projects!$C$28+1)*Assumptions!$B$11*0.95),0)+IF(AND(Projects!$G$29="Yes",69&gt;=Projects!$C$29,69&lt;Projects!$C$29+Projects!$D$29),IF(69=Projects!$C$29+Projects!$D$29-1,Projects!$B$29*INDEX(Curves!$B$4:$AO$4,1,69-Projects!$C$29+1)*Assumptions!$B$11*0.95+0.05*Projects!$B$29*Assumptions!$B$11,Projects!$B$29*INDEX(Curves!$B$4:$AO$4,1,69-Projects!$C$29+1)*Assumptions!$B$11*0.95),0)</f>
        <v/>
      </c>
      <c r="BT99">
        <f>IF(AND(Projects!$G$17="Yes",70&gt;=Projects!$C$17,70&lt;Projects!$C$17+Projects!$D$17),IF(70=Projects!$C$17+Projects!$D$17-1,Projects!$B$17*INDEX(Curves!$B$4:$AO$4,1,70-Projects!$C$17+1)*Assumptions!$B$11*0.95+0.05*Projects!$B$17*Assumptions!$B$11,Projects!$B$17*INDEX(Curves!$B$4:$AO$4,1,70-Projects!$C$17+1)*Assumptions!$B$11*0.95),0)+IF(AND(Projects!$G$18="Yes",70&gt;=Projects!$C$18,70&lt;Projects!$C$18+Projects!$D$18),IF(70=Projects!$C$18+Projects!$D$18-1,Projects!$B$18*INDEX(Curves!$B$4:$AO$4,1,70-Projects!$C$18+1)*Assumptions!$B$11*0.95+0.05*Projects!$B$18*Assumptions!$B$11,Projects!$B$18*INDEX(Curves!$B$4:$AO$4,1,70-Projects!$C$18+1)*Assumptions!$B$11*0.95),0)+IF(AND(Projects!$G$19="Yes",70&gt;=Projects!$C$19,70&lt;Projects!$C$19+Projects!$D$19),IF(70=Projects!$C$19+Projects!$D$19-1,Projects!$B$19*INDEX(Curves!$B$4:$AO$4,1,70-Projects!$C$19+1)*Assumptions!$B$11*0.95+0.05*Projects!$B$19*Assumptions!$B$11,Projects!$B$19*INDEX(Curves!$B$4:$AO$4,1,70-Projects!$C$19+1)*Assumptions!$B$11*0.95),0)+IF(AND(Projects!$G$20="Yes",70&gt;=Projects!$C$20,70&lt;Projects!$C$20+Projects!$D$20),IF(70=Projects!$C$20+Projects!$D$20-1,Projects!$B$20*INDEX(Curves!$B$4:$AO$4,1,70-Projects!$C$20+1)*Assumptions!$B$11*0.95+0.05*Projects!$B$20*Assumptions!$B$11,Projects!$B$20*INDEX(Curves!$B$4:$AO$4,1,70-Projects!$C$20+1)*Assumptions!$B$11*0.95),0)+IF(AND(Projects!$G$21="Yes",70&gt;=Projects!$C$21,70&lt;Projects!$C$21+Projects!$D$21),IF(70=Projects!$C$21+Projects!$D$21-1,Projects!$B$21*INDEX(Curves!$B$4:$AO$4,1,70-Projects!$C$21+1)*Assumptions!$B$11*0.95+0.05*Projects!$B$21*Assumptions!$B$11,Projects!$B$21*INDEX(Curves!$B$4:$AO$4,1,70-Projects!$C$21+1)*Assumptions!$B$11*0.95),0)+IF(AND(Projects!$G$22="Yes",70&gt;=Projects!$C$22,70&lt;Projects!$C$22+Projects!$D$22),IF(70=Projects!$C$22+Projects!$D$22-1,Projects!$B$22*INDEX(Curves!$B$4:$AO$4,1,70-Projects!$C$22+1)*Assumptions!$B$11*0.95+0.05*Projects!$B$22*Assumptions!$B$11,Projects!$B$22*INDEX(Curves!$B$4:$AO$4,1,70-Projects!$C$22+1)*Assumptions!$B$11*0.95),0)+IF(AND(Projects!$G$23="Yes",70&gt;=Projects!$C$23,70&lt;Projects!$C$23+Projects!$D$23),IF(70=Projects!$C$23+Projects!$D$23-1,Projects!$B$23*INDEX(Curves!$B$4:$AO$4,1,70-Projects!$C$23+1)*Assumptions!$B$11*0.95+0.05*Projects!$B$23*Assumptions!$B$11,Projects!$B$23*INDEX(Curves!$B$4:$AO$4,1,70-Projects!$C$23+1)*Assumptions!$B$11*0.95),0)+IF(AND(Projects!$G$24="Yes",70&gt;=Projects!$C$24,70&lt;Projects!$C$24+Projects!$D$24),IF(70=Projects!$C$24+Projects!$D$24-1,Projects!$B$24*INDEX(Curves!$B$4:$AO$4,1,70-Projects!$C$24+1)*Assumptions!$B$11*0.95+0.05*Projects!$B$24*Assumptions!$B$11,Projects!$B$24*INDEX(Curves!$B$4:$AO$4,1,70-Projects!$C$24+1)*Assumptions!$B$11*0.95),0)+IF(AND(Projects!$G$25="Yes",70&gt;=Projects!$C$25,70&lt;Projects!$C$25+Projects!$D$25),IF(70=Projects!$C$25+Projects!$D$25-1,Projects!$B$25*INDEX(Curves!$B$4:$AO$4,1,70-Projects!$C$25+1)*Assumptions!$B$11*0.95+0.05*Projects!$B$25*Assumptions!$B$11,Projects!$B$25*INDEX(Curves!$B$4:$AO$4,1,70-Projects!$C$25+1)*Assumptions!$B$11*0.95),0)+IF(AND(Projects!$G$26="Yes",70&gt;=Projects!$C$26,70&lt;Projects!$C$26+Projects!$D$26),IF(70=Projects!$C$26+Projects!$D$26-1,Projects!$B$26*INDEX(Curves!$B$4:$AO$4,1,70-Projects!$C$26+1)*Assumptions!$B$11*0.95+0.05*Projects!$B$26*Assumptions!$B$11,Projects!$B$26*INDEX(Curves!$B$4:$AO$4,1,70-Projects!$C$26+1)*Assumptions!$B$11*0.95),0)+IF(AND(Projects!$G$27="Yes",70&gt;=Projects!$C$27,70&lt;Projects!$C$27+Projects!$D$27),IF(70=Projects!$C$27+Projects!$D$27-1,Projects!$B$27*INDEX(Curves!$B$4:$AO$4,1,70-Projects!$C$27+1)*Assumptions!$B$11*0.95+0.05*Projects!$B$27*Assumptions!$B$11,Projects!$B$27*INDEX(Curves!$B$4:$AO$4,1,70-Projects!$C$27+1)*Assumptions!$B$11*0.95),0)+IF(AND(Projects!$G$28="Yes",70&gt;=Projects!$C$28,70&lt;Projects!$C$28+Projects!$D$28),IF(70=Projects!$C$28+Projects!$D$28-1,Projects!$B$28*INDEX(Curves!$B$4:$AO$4,1,70-Projects!$C$28+1)*Assumptions!$B$11*0.95+0.05*Projects!$B$28*Assumptions!$B$11,Projects!$B$28*INDEX(Curves!$B$4:$AO$4,1,70-Projects!$C$28+1)*Assumptions!$B$11*0.95),0)+IF(AND(Projects!$G$29="Yes",70&gt;=Projects!$C$29,70&lt;Projects!$C$29+Projects!$D$29),IF(70=Projects!$C$29+Projects!$D$29-1,Projects!$B$29*INDEX(Curves!$B$4:$AO$4,1,70-Projects!$C$29+1)*Assumptions!$B$11*0.95+0.05*Projects!$B$29*Assumptions!$B$11,Projects!$B$29*INDEX(Curves!$B$4:$AO$4,1,70-Projects!$C$29+1)*Assumptions!$B$11*0.95),0)</f>
        <v/>
      </c>
      <c r="BU99">
        <f>IF(AND(Projects!$G$17="Yes",71&gt;=Projects!$C$17,71&lt;Projects!$C$17+Projects!$D$17),IF(71=Projects!$C$17+Projects!$D$17-1,Projects!$B$17*INDEX(Curves!$B$4:$AO$4,1,71-Projects!$C$17+1)*Assumptions!$B$11*0.95+0.05*Projects!$B$17*Assumptions!$B$11,Projects!$B$17*INDEX(Curves!$B$4:$AO$4,1,71-Projects!$C$17+1)*Assumptions!$B$11*0.95),0)+IF(AND(Projects!$G$18="Yes",71&gt;=Projects!$C$18,71&lt;Projects!$C$18+Projects!$D$18),IF(71=Projects!$C$18+Projects!$D$18-1,Projects!$B$18*INDEX(Curves!$B$4:$AO$4,1,71-Projects!$C$18+1)*Assumptions!$B$11*0.95+0.05*Projects!$B$18*Assumptions!$B$11,Projects!$B$18*INDEX(Curves!$B$4:$AO$4,1,71-Projects!$C$18+1)*Assumptions!$B$11*0.95),0)+IF(AND(Projects!$G$19="Yes",71&gt;=Projects!$C$19,71&lt;Projects!$C$19+Projects!$D$19),IF(71=Projects!$C$19+Projects!$D$19-1,Projects!$B$19*INDEX(Curves!$B$4:$AO$4,1,71-Projects!$C$19+1)*Assumptions!$B$11*0.95+0.05*Projects!$B$19*Assumptions!$B$11,Projects!$B$19*INDEX(Curves!$B$4:$AO$4,1,71-Projects!$C$19+1)*Assumptions!$B$11*0.95),0)+IF(AND(Projects!$G$20="Yes",71&gt;=Projects!$C$20,71&lt;Projects!$C$20+Projects!$D$20),IF(71=Projects!$C$20+Projects!$D$20-1,Projects!$B$20*INDEX(Curves!$B$4:$AO$4,1,71-Projects!$C$20+1)*Assumptions!$B$11*0.95+0.05*Projects!$B$20*Assumptions!$B$11,Projects!$B$20*INDEX(Curves!$B$4:$AO$4,1,71-Projects!$C$20+1)*Assumptions!$B$11*0.95),0)+IF(AND(Projects!$G$21="Yes",71&gt;=Projects!$C$21,71&lt;Projects!$C$21+Projects!$D$21),IF(71=Projects!$C$21+Projects!$D$21-1,Projects!$B$21*INDEX(Curves!$B$4:$AO$4,1,71-Projects!$C$21+1)*Assumptions!$B$11*0.95+0.05*Projects!$B$21*Assumptions!$B$11,Projects!$B$21*INDEX(Curves!$B$4:$AO$4,1,71-Projects!$C$21+1)*Assumptions!$B$11*0.95),0)+IF(AND(Projects!$G$22="Yes",71&gt;=Projects!$C$22,71&lt;Projects!$C$22+Projects!$D$22),IF(71=Projects!$C$22+Projects!$D$22-1,Projects!$B$22*INDEX(Curves!$B$4:$AO$4,1,71-Projects!$C$22+1)*Assumptions!$B$11*0.95+0.05*Projects!$B$22*Assumptions!$B$11,Projects!$B$22*INDEX(Curves!$B$4:$AO$4,1,71-Projects!$C$22+1)*Assumptions!$B$11*0.95),0)+IF(AND(Projects!$G$23="Yes",71&gt;=Projects!$C$23,71&lt;Projects!$C$23+Projects!$D$23),IF(71=Projects!$C$23+Projects!$D$23-1,Projects!$B$23*INDEX(Curves!$B$4:$AO$4,1,71-Projects!$C$23+1)*Assumptions!$B$11*0.95+0.05*Projects!$B$23*Assumptions!$B$11,Projects!$B$23*INDEX(Curves!$B$4:$AO$4,1,71-Projects!$C$23+1)*Assumptions!$B$11*0.95),0)+IF(AND(Projects!$G$24="Yes",71&gt;=Projects!$C$24,71&lt;Projects!$C$24+Projects!$D$24),IF(71=Projects!$C$24+Projects!$D$24-1,Projects!$B$24*INDEX(Curves!$B$4:$AO$4,1,71-Projects!$C$24+1)*Assumptions!$B$11*0.95+0.05*Projects!$B$24*Assumptions!$B$11,Projects!$B$24*INDEX(Curves!$B$4:$AO$4,1,71-Projects!$C$24+1)*Assumptions!$B$11*0.95),0)+IF(AND(Projects!$G$25="Yes",71&gt;=Projects!$C$25,71&lt;Projects!$C$25+Projects!$D$25),IF(71=Projects!$C$25+Projects!$D$25-1,Projects!$B$25*INDEX(Curves!$B$4:$AO$4,1,71-Projects!$C$25+1)*Assumptions!$B$11*0.95+0.05*Projects!$B$25*Assumptions!$B$11,Projects!$B$25*INDEX(Curves!$B$4:$AO$4,1,71-Projects!$C$25+1)*Assumptions!$B$11*0.95),0)+IF(AND(Projects!$G$26="Yes",71&gt;=Projects!$C$26,71&lt;Projects!$C$26+Projects!$D$26),IF(71=Projects!$C$26+Projects!$D$26-1,Projects!$B$26*INDEX(Curves!$B$4:$AO$4,1,71-Projects!$C$26+1)*Assumptions!$B$11*0.95+0.05*Projects!$B$26*Assumptions!$B$11,Projects!$B$26*INDEX(Curves!$B$4:$AO$4,1,71-Projects!$C$26+1)*Assumptions!$B$11*0.95),0)+IF(AND(Projects!$G$27="Yes",71&gt;=Projects!$C$27,71&lt;Projects!$C$27+Projects!$D$27),IF(71=Projects!$C$27+Projects!$D$27-1,Projects!$B$27*INDEX(Curves!$B$4:$AO$4,1,71-Projects!$C$27+1)*Assumptions!$B$11*0.95+0.05*Projects!$B$27*Assumptions!$B$11,Projects!$B$27*INDEX(Curves!$B$4:$AO$4,1,71-Projects!$C$27+1)*Assumptions!$B$11*0.95),0)+IF(AND(Projects!$G$28="Yes",71&gt;=Projects!$C$28,71&lt;Projects!$C$28+Projects!$D$28),IF(71=Projects!$C$28+Projects!$D$28-1,Projects!$B$28*INDEX(Curves!$B$4:$AO$4,1,71-Projects!$C$28+1)*Assumptions!$B$11*0.95+0.05*Projects!$B$28*Assumptions!$B$11,Projects!$B$28*INDEX(Curves!$B$4:$AO$4,1,71-Projects!$C$28+1)*Assumptions!$B$11*0.95),0)+IF(AND(Projects!$G$29="Yes",71&gt;=Projects!$C$29,71&lt;Projects!$C$29+Projects!$D$29),IF(71=Projects!$C$29+Projects!$D$29-1,Projects!$B$29*INDEX(Curves!$B$4:$AO$4,1,71-Projects!$C$29+1)*Assumptions!$B$11*0.95+0.05*Projects!$B$29*Assumptions!$B$11,Projects!$B$29*INDEX(Curves!$B$4:$AO$4,1,71-Projects!$C$29+1)*Assumptions!$B$11*0.95),0)</f>
        <v/>
      </c>
      <c r="BV99">
        <f>IF(AND(Projects!$G$17="Yes",72&gt;=Projects!$C$17,72&lt;Projects!$C$17+Projects!$D$17),IF(72=Projects!$C$17+Projects!$D$17-1,Projects!$B$17*INDEX(Curves!$B$4:$AO$4,1,72-Projects!$C$17+1)*Assumptions!$B$11*0.95+0.05*Projects!$B$17*Assumptions!$B$11,Projects!$B$17*INDEX(Curves!$B$4:$AO$4,1,72-Projects!$C$17+1)*Assumptions!$B$11*0.95),0)+IF(AND(Projects!$G$18="Yes",72&gt;=Projects!$C$18,72&lt;Projects!$C$18+Projects!$D$18),IF(72=Projects!$C$18+Projects!$D$18-1,Projects!$B$18*INDEX(Curves!$B$4:$AO$4,1,72-Projects!$C$18+1)*Assumptions!$B$11*0.95+0.05*Projects!$B$18*Assumptions!$B$11,Projects!$B$18*INDEX(Curves!$B$4:$AO$4,1,72-Projects!$C$18+1)*Assumptions!$B$11*0.95),0)+IF(AND(Projects!$G$19="Yes",72&gt;=Projects!$C$19,72&lt;Projects!$C$19+Projects!$D$19),IF(72=Projects!$C$19+Projects!$D$19-1,Projects!$B$19*INDEX(Curves!$B$4:$AO$4,1,72-Projects!$C$19+1)*Assumptions!$B$11*0.95+0.05*Projects!$B$19*Assumptions!$B$11,Projects!$B$19*INDEX(Curves!$B$4:$AO$4,1,72-Projects!$C$19+1)*Assumptions!$B$11*0.95),0)+IF(AND(Projects!$G$20="Yes",72&gt;=Projects!$C$20,72&lt;Projects!$C$20+Projects!$D$20),IF(72=Projects!$C$20+Projects!$D$20-1,Projects!$B$20*INDEX(Curves!$B$4:$AO$4,1,72-Projects!$C$20+1)*Assumptions!$B$11*0.95+0.05*Projects!$B$20*Assumptions!$B$11,Projects!$B$20*INDEX(Curves!$B$4:$AO$4,1,72-Projects!$C$20+1)*Assumptions!$B$11*0.95),0)+IF(AND(Projects!$G$21="Yes",72&gt;=Projects!$C$21,72&lt;Projects!$C$21+Projects!$D$21),IF(72=Projects!$C$21+Projects!$D$21-1,Projects!$B$21*INDEX(Curves!$B$4:$AO$4,1,72-Projects!$C$21+1)*Assumptions!$B$11*0.95+0.05*Projects!$B$21*Assumptions!$B$11,Projects!$B$21*INDEX(Curves!$B$4:$AO$4,1,72-Projects!$C$21+1)*Assumptions!$B$11*0.95),0)+IF(AND(Projects!$G$22="Yes",72&gt;=Projects!$C$22,72&lt;Projects!$C$22+Projects!$D$22),IF(72=Projects!$C$22+Projects!$D$22-1,Projects!$B$22*INDEX(Curves!$B$4:$AO$4,1,72-Projects!$C$22+1)*Assumptions!$B$11*0.95+0.05*Projects!$B$22*Assumptions!$B$11,Projects!$B$22*INDEX(Curves!$B$4:$AO$4,1,72-Projects!$C$22+1)*Assumptions!$B$11*0.95),0)+IF(AND(Projects!$G$23="Yes",72&gt;=Projects!$C$23,72&lt;Projects!$C$23+Projects!$D$23),IF(72=Projects!$C$23+Projects!$D$23-1,Projects!$B$23*INDEX(Curves!$B$4:$AO$4,1,72-Projects!$C$23+1)*Assumptions!$B$11*0.95+0.05*Projects!$B$23*Assumptions!$B$11,Projects!$B$23*INDEX(Curves!$B$4:$AO$4,1,72-Projects!$C$23+1)*Assumptions!$B$11*0.95),0)+IF(AND(Projects!$G$24="Yes",72&gt;=Projects!$C$24,72&lt;Projects!$C$24+Projects!$D$24),IF(72=Projects!$C$24+Projects!$D$24-1,Projects!$B$24*INDEX(Curves!$B$4:$AO$4,1,72-Projects!$C$24+1)*Assumptions!$B$11*0.95+0.05*Projects!$B$24*Assumptions!$B$11,Projects!$B$24*INDEX(Curves!$B$4:$AO$4,1,72-Projects!$C$24+1)*Assumptions!$B$11*0.95),0)+IF(AND(Projects!$G$25="Yes",72&gt;=Projects!$C$25,72&lt;Projects!$C$25+Projects!$D$25),IF(72=Projects!$C$25+Projects!$D$25-1,Projects!$B$25*INDEX(Curves!$B$4:$AO$4,1,72-Projects!$C$25+1)*Assumptions!$B$11*0.95+0.05*Projects!$B$25*Assumptions!$B$11,Projects!$B$25*INDEX(Curves!$B$4:$AO$4,1,72-Projects!$C$25+1)*Assumptions!$B$11*0.95),0)+IF(AND(Projects!$G$26="Yes",72&gt;=Projects!$C$26,72&lt;Projects!$C$26+Projects!$D$26),IF(72=Projects!$C$26+Projects!$D$26-1,Projects!$B$26*INDEX(Curves!$B$4:$AO$4,1,72-Projects!$C$26+1)*Assumptions!$B$11*0.95+0.05*Projects!$B$26*Assumptions!$B$11,Projects!$B$26*INDEX(Curves!$B$4:$AO$4,1,72-Projects!$C$26+1)*Assumptions!$B$11*0.95),0)+IF(AND(Projects!$G$27="Yes",72&gt;=Projects!$C$27,72&lt;Projects!$C$27+Projects!$D$27),IF(72=Projects!$C$27+Projects!$D$27-1,Projects!$B$27*INDEX(Curves!$B$4:$AO$4,1,72-Projects!$C$27+1)*Assumptions!$B$11*0.95+0.05*Projects!$B$27*Assumptions!$B$11,Projects!$B$27*INDEX(Curves!$B$4:$AO$4,1,72-Projects!$C$27+1)*Assumptions!$B$11*0.95),0)+IF(AND(Projects!$G$28="Yes",72&gt;=Projects!$C$28,72&lt;Projects!$C$28+Projects!$D$28),IF(72=Projects!$C$28+Projects!$D$28-1,Projects!$B$28*INDEX(Curves!$B$4:$AO$4,1,72-Projects!$C$28+1)*Assumptions!$B$11*0.95+0.05*Projects!$B$28*Assumptions!$B$11,Projects!$B$28*INDEX(Curves!$B$4:$AO$4,1,72-Projects!$C$28+1)*Assumptions!$B$11*0.95),0)+IF(AND(Projects!$G$29="Yes",72&gt;=Projects!$C$29,72&lt;Projects!$C$29+Projects!$D$29),IF(72=Projects!$C$29+Projects!$D$29-1,Projects!$B$29*INDEX(Curves!$B$4:$AO$4,1,72-Projects!$C$29+1)*Assumptions!$B$11*0.95+0.05*Projects!$B$29*Assumptions!$B$11,Projects!$B$29*INDEX(Curves!$B$4:$AO$4,1,72-Projects!$C$29+1)*Assumptions!$B$11*0.95),0)</f>
        <v/>
      </c>
      <c r="BW99">
        <f>IF(AND(Projects!$G$17="Yes",73&gt;=Projects!$C$17,73&lt;Projects!$C$17+Projects!$D$17),IF(73=Projects!$C$17+Projects!$D$17-1,Projects!$B$17*INDEX(Curves!$B$4:$AO$4,1,73-Projects!$C$17+1)*Assumptions!$B$11*0.95+0.05*Projects!$B$17*Assumptions!$B$11,Projects!$B$17*INDEX(Curves!$B$4:$AO$4,1,73-Projects!$C$17+1)*Assumptions!$B$11*0.95),0)+IF(AND(Projects!$G$18="Yes",73&gt;=Projects!$C$18,73&lt;Projects!$C$18+Projects!$D$18),IF(73=Projects!$C$18+Projects!$D$18-1,Projects!$B$18*INDEX(Curves!$B$4:$AO$4,1,73-Projects!$C$18+1)*Assumptions!$B$11*0.95+0.05*Projects!$B$18*Assumptions!$B$11,Projects!$B$18*INDEX(Curves!$B$4:$AO$4,1,73-Projects!$C$18+1)*Assumptions!$B$11*0.95),0)+IF(AND(Projects!$G$19="Yes",73&gt;=Projects!$C$19,73&lt;Projects!$C$19+Projects!$D$19),IF(73=Projects!$C$19+Projects!$D$19-1,Projects!$B$19*INDEX(Curves!$B$4:$AO$4,1,73-Projects!$C$19+1)*Assumptions!$B$11*0.95+0.05*Projects!$B$19*Assumptions!$B$11,Projects!$B$19*INDEX(Curves!$B$4:$AO$4,1,73-Projects!$C$19+1)*Assumptions!$B$11*0.95),0)+IF(AND(Projects!$G$20="Yes",73&gt;=Projects!$C$20,73&lt;Projects!$C$20+Projects!$D$20),IF(73=Projects!$C$20+Projects!$D$20-1,Projects!$B$20*INDEX(Curves!$B$4:$AO$4,1,73-Projects!$C$20+1)*Assumptions!$B$11*0.95+0.05*Projects!$B$20*Assumptions!$B$11,Projects!$B$20*INDEX(Curves!$B$4:$AO$4,1,73-Projects!$C$20+1)*Assumptions!$B$11*0.95),0)+IF(AND(Projects!$G$21="Yes",73&gt;=Projects!$C$21,73&lt;Projects!$C$21+Projects!$D$21),IF(73=Projects!$C$21+Projects!$D$21-1,Projects!$B$21*INDEX(Curves!$B$4:$AO$4,1,73-Projects!$C$21+1)*Assumptions!$B$11*0.95+0.05*Projects!$B$21*Assumptions!$B$11,Projects!$B$21*INDEX(Curves!$B$4:$AO$4,1,73-Projects!$C$21+1)*Assumptions!$B$11*0.95),0)+IF(AND(Projects!$G$22="Yes",73&gt;=Projects!$C$22,73&lt;Projects!$C$22+Projects!$D$22),IF(73=Projects!$C$22+Projects!$D$22-1,Projects!$B$22*INDEX(Curves!$B$4:$AO$4,1,73-Projects!$C$22+1)*Assumptions!$B$11*0.95+0.05*Projects!$B$22*Assumptions!$B$11,Projects!$B$22*INDEX(Curves!$B$4:$AO$4,1,73-Projects!$C$22+1)*Assumptions!$B$11*0.95),0)+IF(AND(Projects!$G$23="Yes",73&gt;=Projects!$C$23,73&lt;Projects!$C$23+Projects!$D$23),IF(73=Projects!$C$23+Projects!$D$23-1,Projects!$B$23*INDEX(Curves!$B$4:$AO$4,1,73-Projects!$C$23+1)*Assumptions!$B$11*0.95+0.05*Projects!$B$23*Assumptions!$B$11,Projects!$B$23*INDEX(Curves!$B$4:$AO$4,1,73-Projects!$C$23+1)*Assumptions!$B$11*0.95),0)+IF(AND(Projects!$G$24="Yes",73&gt;=Projects!$C$24,73&lt;Projects!$C$24+Projects!$D$24),IF(73=Projects!$C$24+Projects!$D$24-1,Projects!$B$24*INDEX(Curves!$B$4:$AO$4,1,73-Projects!$C$24+1)*Assumptions!$B$11*0.95+0.05*Projects!$B$24*Assumptions!$B$11,Projects!$B$24*INDEX(Curves!$B$4:$AO$4,1,73-Projects!$C$24+1)*Assumptions!$B$11*0.95),0)+IF(AND(Projects!$G$25="Yes",73&gt;=Projects!$C$25,73&lt;Projects!$C$25+Projects!$D$25),IF(73=Projects!$C$25+Projects!$D$25-1,Projects!$B$25*INDEX(Curves!$B$4:$AO$4,1,73-Projects!$C$25+1)*Assumptions!$B$11*0.95+0.05*Projects!$B$25*Assumptions!$B$11,Projects!$B$25*INDEX(Curves!$B$4:$AO$4,1,73-Projects!$C$25+1)*Assumptions!$B$11*0.95),0)+IF(AND(Projects!$G$26="Yes",73&gt;=Projects!$C$26,73&lt;Projects!$C$26+Projects!$D$26),IF(73=Projects!$C$26+Projects!$D$26-1,Projects!$B$26*INDEX(Curves!$B$4:$AO$4,1,73-Projects!$C$26+1)*Assumptions!$B$11*0.95+0.05*Projects!$B$26*Assumptions!$B$11,Projects!$B$26*INDEX(Curves!$B$4:$AO$4,1,73-Projects!$C$26+1)*Assumptions!$B$11*0.95),0)+IF(AND(Projects!$G$27="Yes",73&gt;=Projects!$C$27,73&lt;Projects!$C$27+Projects!$D$27),IF(73=Projects!$C$27+Projects!$D$27-1,Projects!$B$27*INDEX(Curves!$B$4:$AO$4,1,73-Projects!$C$27+1)*Assumptions!$B$11*0.95+0.05*Projects!$B$27*Assumptions!$B$11,Projects!$B$27*INDEX(Curves!$B$4:$AO$4,1,73-Projects!$C$27+1)*Assumptions!$B$11*0.95),0)+IF(AND(Projects!$G$28="Yes",73&gt;=Projects!$C$28,73&lt;Projects!$C$28+Projects!$D$28),IF(73=Projects!$C$28+Projects!$D$28-1,Projects!$B$28*INDEX(Curves!$B$4:$AO$4,1,73-Projects!$C$28+1)*Assumptions!$B$11*0.95+0.05*Projects!$B$28*Assumptions!$B$11,Projects!$B$28*INDEX(Curves!$B$4:$AO$4,1,73-Projects!$C$28+1)*Assumptions!$B$11*0.95),0)+IF(AND(Projects!$G$29="Yes",73&gt;=Projects!$C$29,73&lt;Projects!$C$29+Projects!$D$29),IF(73=Projects!$C$29+Projects!$D$29-1,Projects!$B$29*INDEX(Curves!$B$4:$AO$4,1,73-Projects!$C$29+1)*Assumptions!$B$11*0.95+0.05*Projects!$B$29*Assumptions!$B$11,Projects!$B$29*INDEX(Curves!$B$4:$AO$4,1,73-Projects!$C$29+1)*Assumptions!$B$11*0.95),0)</f>
        <v/>
      </c>
      <c r="BX99">
        <f>IF(AND(Projects!$G$17="Yes",74&gt;=Projects!$C$17,74&lt;Projects!$C$17+Projects!$D$17),IF(74=Projects!$C$17+Projects!$D$17-1,Projects!$B$17*INDEX(Curves!$B$4:$AO$4,1,74-Projects!$C$17+1)*Assumptions!$B$11*0.95+0.05*Projects!$B$17*Assumptions!$B$11,Projects!$B$17*INDEX(Curves!$B$4:$AO$4,1,74-Projects!$C$17+1)*Assumptions!$B$11*0.95),0)+IF(AND(Projects!$G$18="Yes",74&gt;=Projects!$C$18,74&lt;Projects!$C$18+Projects!$D$18),IF(74=Projects!$C$18+Projects!$D$18-1,Projects!$B$18*INDEX(Curves!$B$4:$AO$4,1,74-Projects!$C$18+1)*Assumptions!$B$11*0.95+0.05*Projects!$B$18*Assumptions!$B$11,Projects!$B$18*INDEX(Curves!$B$4:$AO$4,1,74-Projects!$C$18+1)*Assumptions!$B$11*0.95),0)+IF(AND(Projects!$G$19="Yes",74&gt;=Projects!$C$19,74&lt;Projects!$C$19+Projects!$D$19),IF(74=Projects!$C$19+Projects!$D$19-1,Projects!$B$19*INDEX(Curves!$B$4:$AO$4,1,74-Projects!$C$19+1)*Assumptions!$B$11*0.95+0.05*Projects!$B$19*Assumptions!$B$11,Projects!$B$19*INDEX(Curves!$B$4:$AO$4,1,74-Projects!$C$19+1)*Assumptions!$B$11*0.95),0)+IF(AND(Projects!$G$20="Yes",74&gt;=Projects!$C$20,74&lt;Projects!$C$20+Projects!$D$20),IF(74=Projects!$C$20+Projects!$D$20-1,Projects!$B$20*INDEX(Curves!$B$4:$AO$4,1,74-Projects!$C$20+1)*Assumptions!$B$11*0.95+0.05*Projects!$B$20*Assumptions!$B$11,Projects!$B$20*INDEX(Curves!$B$4:$AO$4,1,74-Projects!$C$20+1)*Assumptions!$B$11*0.95),0)+IF(AND(Projects!$G$21="Yes",74&gt;=Projects!$C$21,74&lt;Projects!$C$21+Projects!$D$21),IF(74=Projects!$C$21+Projects!$D$21-1,Projects!$B$21*INDEX(Curves!$B$4:$AO$4,1,74-Projects!$C$21+1)*Assumptions!$B$11*0.95+0.05*Projects!$B$21*Assumptions!$B$11,Projects!$B$21*INDEX(Curves!$B$4:$AO$4,1,74-Projects!$C$21+1)*Assumptions!$B$11*0.95),0)+IF(AND(Projects!$G$22="Yes",74&gt;=Projects!$C$22,74&lt;Projects!$C$22+Projects!$D$22),IF(74=Projects!$C$22+Projects!$D$22-1,Projects!$B$22*INDEX(Curves!$B$4:$AO$4,1,74-Projects!$C$22+1)*Assumptions!$B$11*0.95+0.05*Projects!$B$22*Assumptions!$B$11,Projects!$B$22*INDEX(Curves!$B$4:$AO$4,1,74-Projects!$C$22+1)*Assumptions!$B$11*0.95),0)+IF(AND(Projects!$G$23="Yes",74&gt;=Projects!$C$23,74&lt;Projects!$C$23+Projects!$D$23),IF(74=Projects!$C$23+Projects!$D$23-1,Projects!$B$23*INDEX(Curves!$B$4:$AO$4,1,74-Projects!$C$23+1)*Assumptions!$B$11*0.95+0.05*Projects!$B$23*Assumptions!$B$11,Projects!$B$23*INDEX(Curves!$B$4:$AO$4,1,74-Projects!$C$23+1)*Assumptions!$B$11*0.95),0)+IF(AND(Projects!$G$24="Yes",74&gt;=Projects!$C$24,74&lt;Projects!$C$24+Projects!$D$24),IF(74=Projects!$C$24+Projects!$D$24-1,Projects!$B$24*INDEX(Curves!$B$4:$AO$4,1,74-Projects!$C$24+1)*Assumptions!$B$11*0.95+0.05*Projects!$B$24*Assumptions!$B$11,Projects!$B$24*INDEX(Curves!$B$4:$AO$4,1,74-Projects!$C$24+1)*Assumptions!$B$11*0.95),0)+IF(AND(Projects!$G$25="Yes",74&gt;=Projects!$C$25,74&lt;Projects!$C$25+Projects!$D$25),IF(74=Projects!$C$25+Projects!$D$25-1,Projects!$B$25*INDEX(Curves!$B$4:$AO$4,1,74-Projects!$C$25+1)*Assumptions!$B$11*0.95+0.05*Projects!$B$25*Assumptions!$B$11,Projects!$B$25*INDEX(Curves!$B$4:$AO$4,1,74-Projects!$C$25+1)*Assumptions!$B$11*0.95),0)+IF(AND(Projects!$G$26="Yes",74&gt;=Projects!$C$26,74&lt;Projects!$C$26+Projects!$D$26),IF(74=Projects!$C$26+Projects!$D$26-1,Projects!$B$26*INDEX(Curves!$B$4:$AO$4,1,74-Projects!$C$26+1)*Assumptions!$B$11*0.95+0.05*Projects!$B$26*Assumptions!$B$11,Projects!$B$26*INDEX(Curves!$B$4:$AO$4,1,74-Projects!$C$26+1)*Assumptions!$B$11*0.95),0)+IF(AND(Projects!$G$27="Yes",74&gt;=Projects!$C$27,74&lt;Projects!$C$27+Projects!$D$27),IF(74=Projects!$C$27+Projects!$D$27-1,Projects!$B$27*INDEX(Curves!$B$4:$AO$4,1,74-Projects!$C$27+1)*Assumptions!$B$11*0.95+0.05*Projects!$B$27*Assumptions!$B$11,Projects!$B$27*INDEX(Curves!$B$4:$AO$4,1,74-Projects!$C$27+1)*Assumptions!$B$11*0.95),0)+IF(AND(Projects!$G$28="Yes",74&gt;=Projects!$C$28,74&lt;Projects!$C$28+Projects!$D$28),IF(74=Projects!$C$28+Projects!$D$28-1,Projects!$B$28*INDEX(Curves!$B$4:$AO$4,1,74-Projects!$C$28+1)*Assumptions!$B$11*0.95+0.05*Projects!$B$28*Assumptions!$B$11,Projects!$B$28*INDEX(Curves!$B$4:$AO$4,1,74-Projects!$C$28+1)*Assumptions!$B$11*0.95),0)+IF(AND(Projects!$G$29="Yes",74&gt;=Projects!$C$29,74&lt;Projects!$C$29+Projects!$D$29),IF(74=Projects!$C$29+Projects!$D$29-1,Projects!$B$29*INDEX(Curves!$B$4:$AO$4,1,74-Projects!$C$29+1)*Assumptions!$B$11*0.95+0.05*Projects!$B$29*Assumptions!$B$11,Projects!$B$29*INDEX(Curves!$B$4:$AO$4,1,74-Projects!$C$29+1)*Assumptions!$B$11*0.95),0)</f>
        <v/>
      </c>
      <c r="BY99">
        <f>IF(AND(Projects!$G$17="Yes",75&gt;=Projects!$C$17,75&lt;Projects!$C$17+Projects!$D$17),IF(75=Projects!$C$17+Projects!$D$17-1,Projects!$B$17*INDEX(Curves!$B$4:$AO$4,1,75-Projects!$C$17+1)*Assumptions!$B$11*0.95+0.05*Projects!$B$17*Assumptions!$B$11,Projects!$B$17*INDEX(Curves!$B$4:$AO$4,1,75-Projects!$C$17+1)*Assumptions!$B$11*0.95),0)+IF(AND(Projects!$G$18="Yes",75&gt;=Projects!$C$18,75&lt;Projects!$C$18+Projects!$D$18),IF(75=Projects!$C$18+Projects!$D$18-1,Projects!$B$18*INDEX(Curves!$B$4:$AO$4,1,75-Projects!$C$18+1)*Assumptions!$B$11*0.95+0.05*Projects!$B$18*Assumptions!$B$11,Projects!$B$18*INDEX(Curves!$B$4:$AO$4,1,75-Projects!$C$18+1)*Assumptions!$B$11*0.95),0)+IF(AND(Projects!$G$19="Yes",75&gt;=Projects!$C$19,75&lt;Projects!$C$19+Projects!$D$19),IF(75=Projects!$C$19+Projects!$D$19-1,Projects!$B$19*INDEX(Curves!$B$4:$AO$4,1,75-Projects!$C$19+1)*Assumptions!$B$11*0.95+0.05*Projects!$B$19*Assumptions!$B$11,Projects!$B$19*INDEX(Curves!$B$4:$AO$4,1,75-Projects!$C$19+1)*Assumptions!$B$11*0.95),0)+IF(AND(Projects!$G$20="Yes",75&gt;=Projects!$C$20,75&lt;Projects!$C$20+Projects!$D$20),IF(75=Projects!$C$20+Projects!$D$20-1,Projects!$B$20*INDEX(Curves!$B$4:$AO$4,1,75-Projects!$C$20+1)*Assumptions!$B$11*0.95+0.05*Projects!$B$20*Assumptions!$B$11,Projects!$B$20*INDEX(Curves!$B$4:$AO$4,1,75-Projects!$C$20+1)*Assumptions!$B$11*0.95),0)+IF(AND(Projects!$G$21="Yes",75&gt;=Projects!$C$21,75&lt;Projects!$C$21+Projects!$D$21),IF(75=Projects!$C$21+Projects!$D$21-1,Projects!$B$21*INDEX(Curves!$B$4:$AO$4,1,75-Projects!$C$21+1)*Assumptions!$B$11*0.95+0.05*Projects!$B$21*Assumptions!$B$11,Projects!$B$21*INDEX(Curves!$B$4:$AO$4,1,75-Projects!$C$21+1)*Assumptions!$B$11*0.95),0)+IF(AND(Projects!$G$22="Yes",75&gt;=Projects!$C$22,75&lt;Projects!$C$22+Projects!$D$22),IF(75=Projects!$C$22+Projects!$D$22-1,Projects!$B$22*INDEX(Curves!$B$4:$AO$4,1,75-Projects!$C$22+1)*Assumptions!$B$11*0.95+0.05*Projects!$B$22*Assumptions!$B$11,Projects!$B$22*INDEX(Curves!$B$4:$AO$4,1,75-Projects!$C$22+1)*Assumptions!$B$11*0.95),0)+IF(AND(Projects!$G$23="Yes",75&gt;=Projects!$C$23,75&lt;Projects!$C$23+Projects!$D$23),IF(75=Projects!$C$23+Projects!$D$23-1,Projects!$B$23*INDEX(Curves!$B$4:$AO$4,1,75-Projects!$C$23+1)*Assumptions!$B$11*0.95+0.05*Projects!$B$23*Assumptions!$B$11,Projects!$B$23*INDEX(Curves!$B$4:$AO$4,1,75-Projects!$C$23+1)*Assumptions!$B$11*0.95),0)+IF(AND(Projects!$G$24="Yes",75&gt;=Projects!$C$24,75&lt;Projects!$C$24+Projects!$D$24),IF(75=Projects!$C$24+Projects!$D$24-1,Projects!$B$24*INDEX(Curves!$B$4:$AO$4,1,75-Projects!$C$24+1)*Assumptions!$B$11*0.95+0.05*Projects!$B$24*Assumptions!$B$11,Projects!$B$24*INDEX(Curves!$B$4:$AO$4,1,75-Projects!$C$24+1)*Assumptions!$B$11*0.95),0)+IF(AND(Projects!$G$25="Yes",75&gt;=Projects!$C$25,75&lt;Projects!$C$25+Projects!$D$25),IF(75=Projects!$C$25+Projects!$D$25-1,Projects!$B$25*INDEX(Curves!$B$4:$AO$4,1,75-Projects!$C$25+1)*Assumptions!$B$11*0.95+0.05*Projects!$B$25*Assumptions!$B$11,Projects!$B$25*INDEX(Curves!$B$4:$AO$4,1,75-Projects!$C$25+1)*Assumptions!$B$11*0.95),0)+IF(AND(Projects!$G$26="Yes",75&gt;=Projects!$C$26,75&lt;Projects!$C$26+Projects!$D$26),IF(75=Projects!$C$26+Projects!$D$26-1,Projects!$B$26*INDEX(Curves!$B$4:$AO$4,1,75-Projects!$C$26+1)*Assumptions!$B$11*0.95+0.05*Projects!$B$26*Assumptions!$B$11,Projects!$B$26*INDEX(Curves!$B$4:$AO$4,1,75-Projects!$C$26+1)*Assumptions!$B$11*0.95),0)+IF(AND(Projects!$G$27="Yes",75&gt;=Projects!$C$27,75&lt;Projects!$C$27+Projects!$D$27),IF(75=Projects!$C$27+Projects!$D$27-1,Projects!$B$27*INDEX(Curves!$B$4:$AO$4,1,75-Projects!$C$27+1)*Assumptions!$B$11*0.95+0.05*Projects!$B$27*Assumptions!$B$11,Projects!$B$27*INDEX(Curves!$B$4:$AO$4,1,75-Projects!$C$27+1)*Assumptions!$B$11*0.95),0)+IF(AND(Projects!$G$28="Yes",75&gt;=Projects!$C$28,75&lt;Projects!$C$28+Projects!$D$28),IF(75=Projects!$C$28+Projects!$D$28-1,Projects!$B$28*INDEX(Curves!$B$4:$AO$4,1,75-Projects!$C$28+1)*Assumptions!$B$11*0.95+0.05*Projects!$B$28*Assumptions!$B$11,Projects!$B$28*INDEX(Curves!$B$4:$AO$4,1,75-Projects!$C$28+1)*Assumptions!$B$11*0.95),0)+IF(AND(Projects!$G$29="Yes",75&gt;=Projects!$C$29,75&lt;Projects!$C$29+Projects!$D$29),IF(75=Projects!$C$29+Projects!$D$29-1,Projects!$B$29*INDEX(Curves!$B$4:$AO$4,1,75-Projects!$C$29+1)*Assumptions!$B$11*0.95+0.05*Projects!$B$29*Assumptions!$B$11,Projects!$B$29*INDEX(Curves!$B$4:$AO$4,1,75-Projects!$C$29+1)*Assumptions!$B$11*0.95),0)</f>
        <v/>
      </c>
      <c r="BZ99">
        <f>IF(AND(Projects!$G$17="Yes",76&gt;=Projects!$C$17,76&lt;Projects!$C$17+Projects!$D$17),IF(76=Projects!$C$17+Projects!$D$17-1,Projects!$B$17*INDEX(Curves!$B$4:$AO$4,1,76-Projects!$C$17+1)*Assumptions!$B$11*0.95+0.05*Projects!$B$17*Assumptions!$B$11,Projects!$B$17*INDEX(Curves!$B$4:$AO$4,1,76-Projects!$C$17+1)*Assumptions!$B$11*0.95),0)+IF(AND(Projects!$G$18="Yes",76&gt;=Projects!$C$18,76&lt;Projects!$C$18+Projects!$D$18),IF(76=Projects!$C$18+Projects!$D$18-1,Projects!$B$18*INDEX(Curves!$B$4:$AO$4,1,76-Projects!$C$18+1)*Assumptions!$B$11*0.95+0.05*Projects!$B$18*Assumptions!$B$11,Projects!$B$18*INDEX(Curves!$B$4:$AO$4,1,76-Projects!$C$18+1)*Assumptions!$B$11*0.95),0)+IF(AND(Projects!$G$19="Yes",76&gt;=Projects!$C$19,76&lt;Projects!$C$19+Projects!$D$19),IF(76=Projects!$C$19+Projects!$D$19-1,Projects!$B$19*INDEX(Curves!$B$4:$AO$4,1,76-Projects!$C$19+1)*Assumptions!$B$11*0.95+0.05*Projects!$B$19*Assumptions!$B$11,Projects!$B$19*INDEX(Curves!$B$4:$AO$4,1,76-Projects!$C$19+1)*Assumptions!$B$11*0.95),0)+IF(AND(Projects!$G$20="Yes",76&gt;=Projects!$C$20,76&lt;Projects!$C$20+Projects!$D$20),IF(76=Projects!$C$20+Projects!$D$20-1,Projects!$B$20*INDEX(Curves!$B$4:$AO$4,1,76-Projects!$C$20+1)*Assumptions!$B$11*0.95+0.05*Projects!$B$20*Assumptions!$B$11,Projects!$B$20*INDEX(Curves!$B$4:$AO$4,1,76-Projects!$C$20+1)*Assumptions!$B$11*0.95),0)+IF(AND(Projects!$G$21="Yes",76&gt;=Projects!$C$21,76&lt;Projects!$C$21+Projects!$D$21),IF(76=Projects!$C$21+Projects!$D$21-1,Projects!$B$21*INDEX(Curves!$B$4:$AO$4,1,76-Projects!$C$21+1)*Assumptions!$B$11*0.95+0.05*Projects!$B$21*Assumptions!$B$11,Projects!$B$21*INDEX(Curves!$B$4:$AO$4,1,76-Projects!$C$21+1)*Assumptions!$B$11*0.95),0)+IF(AND(Projects!$G$22="Yes",76&gt;=Projects!$C$22,76&lt;Projects!$C$22+Projects!$D$22),IF(76=Projects!$C$22+Projects!$D$22-1,Projects!$B$22*INDEX(Curves!$B$4:$AO$4,1,76-Projects!$C$22+1)*Assumptions!$B$11*0.95+0.05*Projects!$B$22*Assumptions!$B$11,Projects!$B$22*INDEX(Curves!$B$4:$AO$4,1,76-Projects!$C$22+1)*Assumptions!$B$11*0.95),0)+IF(AND(Projects!$G$23="Yes",76&gt;=Projects!$C$23,76&lt;Projects!$C$23+Projects!$D$23),IF(76=Projects!$C$23+Projects!$D$23-1,Projects!$B$23*INDEX(Curves!$B$4:$AO$4,1,76-Projects!$C$23+1)*Assumptions!$B$11*0.95+0.05*Projects!$B$23*Assumptions!$B$11,Projects!$B$23*INDEX(Curves!$B$4:$AO$4,1,76-Projects!$C$23+1)*Assumptions!$B$11*0.95),0)+IF(AND(Projects!$G$24="Yes",76&gt;=Projects!$C$24,76&lt;Projects!$C$24+Projects!$D$24),IF(76=Projects!$C$24+Projects!$D$24-1,Projects!$B$24*INDEX(Curves!$B$4:$AO$4,1,76-Projects!$C$24+1)*Assumptions!$B$11*0.95+0.05*Projects!$B$24*Assumptions!$B$11,Projects!$B$24*INDEX(Curves!$B$4:$AO$4,1,76-Projects!$C$24+1)*Assumptions!$B$11*0.95),0)+IF(AND(Projects!$G$25="Yes",76&gt;=Projects!$C$25,76&lt;Projects!$C$25+Projects!$D$25),IF(76=Projects!$C$25+Projects!$D$25-1,Projects!$B$25*INDEX(Curves!$B$4:$AO$4,1,76-Projects!$C$25+1)*Assumptions!$B$11*0.95+0.05*Projects!$B$25*Assumptions!$B$11,Projects!$B$25*INDEX(Curves!$B$4:$AO$4,1,76-Projects!$C$25+1)*Assumptions!$B$11*0.95),0)+IF(AND(Projects!$G$26="Yes",76&gt;=Projects!$C$26,76&lt;Projects!$C$26+Projects!$D$26),IF(76=Projects!$C$26+Projects!$D$26-1,Projects!$B$26*INDEX(Curves!$B$4:$AO$4,1,76-Projects!$C$26+1)*Assumptions!$B$11*0.95+0.05*Projects!$B$26*Assumptions!$B$11,Projects!$B$26*INDEX(Curves!$B$4:$AO$4,1,76-Projects!$C$26+1)*Assumptions!$B$11*0.95),0)+IF(AND(Projects!$G$27="Yes",76&gt;=Projects!$C$27,76&lt;Projects!$C$27+Projects!$D$27),IF(76=Projects!$C$27+Projects!$D$27-1,Projects!$B$27*INDEX(Curves!$B$4:$AO$4,1,76-Projects!$C$27+1)*Assumptions!$B$11*0.95+0.05*Projects!$B$27*Assumptions!$B$11,Projects!$B$27*INDEX(Curves!$B$4:$AO$4,1,76-Projects!$C$27+1)*Assumptions!$B$11*0.95),0)+IF(AND(Projects!$G$28="Yes",76&gt;=Projects!$C$28,76&lt;Projects!$C$28+Projects!$D$28),IF(76=Projects!$C$28+Projects!$D$28-1,Projects!$B$28*INDEX(Curves!$B$4:$AO$4,1,76-Projects!$C$28+1)*Assumptions!$B$11*0.95+0.05*Projects!$B$28*Assumptions!$B$11,Projects!$B$28*INDEX(Curves!$B$4:$AO$4,1,76-Projects!$C$28+1)*Assumptions!$B$11*0.95),0)+IF(AND(Projects!$G$29="Yes",76&gt;=Projects!$C$29,76&lt;Projects!$C$29+Projects!$D$29),IF(76=Projects!$C$29+Projects!$D$29-1,Projects!$B$29*INDEX(Curves!$B$4:$AO$4,1,76-Projects!$C$29+1)*Assumptions!$B$11*0.95+0.05*Projects!$B$29*Assumptions!$B$11,Projects!$B$29*INDEX(Curves!$B$4:$AO$4,1,76-Projects!$C$29+1)*Assumptions!$B$11*0.95),0)</f>
        <v/>
      </c>
      <c r="CA99">
        <f>IF(AND(Projects!$G$17="Yes",77&gt;=Projects!$C$17,77&lt;Projects!$C$17+Projects!$D$17),IF(77=Projects!$C$17+Projects!$D$17-1,Projects!$B$17*INDEX(Curves!$B$4:$AO$4,1,77-Projects!$C$17+1)*Assumptions!$B$11*0.95+0.05*Projects!$B$17*Assumptions!$B$11,Projects!$B$17*INDEX(Curves!$B$4:$AO$4,1,77-Projects!$C$17+1)*Assumptions!$B$11*0.95),0)+IF(AND(Projects!$G$18="Yes",77&gt;=Projects!$C$18,77&lt;Projects!$C$18+Projects!$D$18),IF(77=Projects!$C$18+Projects!$D$18-1,Projects!$B$18*INDEX(Curves!$B$4:$AO$4,1,77-Projects!$C$18+1)*Assumptions!$B$11*0.95+0.05*Projects!$B$18*Assumptions!$B$11,Projects!$B$18*INDEX(Curves!$B$4:$AO$4,1,77-Projects!$C$18+1)*Assumptions!$B$11*0.95),0)+IF(AND(Projects!$G$19="Yes",77&gt;=Projects!$C$19,77&lt;Projects!$C$19+Projects!$D$19),IF(77=Projects!$C$19+Projects!$D$19-1,Projects!$B$19*INDEX(Curves!$B$4:$AO$4,1,77-Projects!$C$19+1)*Assumptions!$B$11*0.95+0.05*Projects!$B$19*Assumptions!$B$11,Projects!$B$19*INDEX(Curves!$B$4:$AO$4,1,77-Projects!$C$19+1)*Assumptions!$B$11*0.95),0)+IF(AND(Projects!$G$20="Yes",77&gt;=Projects!$C$20,77&lt;Projects!$C$20+Projects!$D$20),IF(77=Projects!$C$20+Projects!$D$20-1,Projects!$B$20*INDEX(Curves!$B$4:$AO$4,1,77-Projects!$C$20+1)*Assumptions!$B$11*0.95+0.05*Projects!$B$20*Assumptions!$B$11,Projects!$B$20*INDEX(Curves!$B$4:$AO$4,1,77-Projects!$C$20+1)*Assumptions!$B$11*0.95),0)+IF(AND(Projects!$G$21="Yes",77&gt;=Projects!$C$21,77&lt;Projects!$C$21+Projects!$D$21),IF(77=Projects!$C$21+Projects!$D$21-1,Projects!$B$21*INDEX(Curves!$B$4:$AO$4,1,77-Projects!$C$21+1)*Assumptions!$B$11*0.95+0.05*Projects!$B$21*Assumptions!$B$11,Projects!$B$21*INDEX(Curves!$B$4:$AO$4,1,77-Projects!$C$21+1)*Assumptions!$B$11*0.95),0)+IF(AND(Projects!$G$22="Yes",77&gt;=Projects!$C$22,77&lt;Projects!$C$22+Projects!$D$22),IF(77=Projects!$C$22+Projects!$D$22-1,Projects!$B$22*INDEX(Curves!$B$4:$AO$4,1,77-Projects!$C$22+1)*Assumptions!$B$11*0.95+0.05*Projects!$B$22*Assumptions!$B$11,Projects!$B$22*INDEX(Curves!$B$4:$AO$4,1,77-Projects!$C$22+1)*Assumptions!$B$11*0.95),0)+IF(AND(Projects!$G$23="Yes",77&gt;=Projects!$C$23,77&lt;Projects!$C$23+Projects!$D$23),IF(77=Projects!$C$23+Projects!$D$23-1,Projects!$B$23*INDEX(Curves!$B$4:$AO$4,1,77-Projects!$C$23+1)*Assumptions!$B$11*0.95+0.05*Projects!$B$23*Assumptions!$B$11,Projects!$B$23*INDEX(Curves!$B$4:$AO$4,1,77-Projects!$C$23+1)*Assumptions!$B$11*0.95),0)+IF(AND(Projects!$G$24="Yes",77&gt;=Projects!$C$24,77&lt;Projects!$C$24+Projects!$D$24),IF(77=Projects!$C$24+Projects!$D$24-1,Projects!$B$24*INDEX(Curves!$B$4:$AO$4,1,77-Projects!$C$24+1)*Assumptions!$B$11*0.95+0.05*Projects!$B$24*Assumptions!$B$11,Projects!$B$24*INDEX(Curves!$B$4:$AO$4,1,77-Projects!$C$24+1)*Assumptions!$B$11*0.95),0)+IF(AND(Projects!$G$25="Yes",77&gt;=Projects!$C$25,77&lt;Projects!$C$25+Projects!$D$25),IF(77=Projects!$C$25+Projects!$D$25-1,Projects!$B$25*INDEX(Curves!$B$4:$AO$4,1,77-Projects!$C$25+1)*Assumptions!$B$11*0.95+0.05*Projects!$B$25*Assumptions!$B$11,Projects!$B$25*INDEX(Curves!$B$4:$AO$4,1,77-Projects!$C$25+1)*Assumptions!$B$11*0.95),0)+IF(AND(Projects!$G$26="Yes",77&gt;=Projects!$C$26,77&lt;Projects!$C$26+Projects!$D$26),IF(77=Projects!$C$26+Projects!$D$26-1,Projects!$B$26*INDEX(Curves!$B$4:$AO$4,1,77-Projects!$C$26+1)*Assumptions!$B$11*0.95+0.05*Projects!$B$26*Assumptions!$B$11,Projects!$B$26*INDEX(Curves!$B$4:$AO$4,1,77-Projects!$C$26+1)*Assumptions!$B$11*0.95),0)+IF(AND(Projects!$G$27="Yes",77&gt;=Projects!$C$27,77&lt;Projects!$C$27+Projects!$D$27),IF(77=Projects!$C$27+Projects!$D$27-1,Projects!$B$27*INDEX(Curves!$B$4:$AO$4,1,77-Projects!$C$27+1)*Assumptions!$B$11*0.95+0.05*Projects!$B$27*Assumptions!$B$11,Projects!$B$27*INDEX(Curves!$B$4:$AO$4,1,77-Projects!$C$27+1)*Assumptions!$B$11*0.95),0)+IF(AND(Projects!$G$28="Yes",77&gt;=Projects!$C$28,77&lt;Projects!$C$28+Projects!$D$28),IF(77=Projects!$C$28+Projects!$D$28-1,Projects!$B$28*INDEX(Curves!$B$4:$AO$4,1,77-Projects!$C$28+1)*Assumptions!$B$11*0.95+0.05*Projects!$B$28*Assumptions!$B$11,Projects!$B$28*INDEX(Curves!$B$4:$AO$4,1,77-Projects!$C$28+1)*Assumptions!$B$11*0.95),0)+IF(AND(Projects!$G$29="Yes",77&gt;=Projects!$C$29,77&lt;Projects!$C$29+Projects!$D$29),IF(77=Projects!$C$29+Projects!$D$29-1,Projects!$B$29*INDEX(Curves!$B$4:$AO$4,1,77-Projects!$C$29+1)*Assumptions!$B$11*0.95+0.05*Projects!$B$29*Assumptions!$B$11,Projects!$B$29*INDEX(Curves!$B$4:$AO$4,1,77-Projects!$C$29+1)*Assumptions!$B$11*0.95),0)</f>
        <v/>
      </c>
      <c r="CB99">
        <f>IF(AND(Projects!$G$17="Yes",78&gt;=Projects!$C$17,78&lt;Projects!$C$17+Projects!$D$17),IF(78=Projects!$C$17+Projects!$D$17-1,Projects!$B$17*INDEX(Curves!$B$4:$AO$4,1,78-Projects!$C$17+1)*Assumptions!$B$11*0.95+0.05*Projects!$B$17*Assumptions!$B$11,Projects!$B$17*INDEX(Curves!$B$4:$AO$4,1,78-Projects!$C$17+1)*Assumptions!$B$11*0.95),0)+IF(AND(Projects!$G$18="Yes",78&gt;=Projects!$C$18,78&lt;Projects!$C$18+Projects!$D$18),IF(78=Projects!$C$18+Projects!$D$18-1,Projects!$B$18*INDEX(Curves!$B$4:$AO$4,1,78-Projects!$C$18+1)*Assumptions!$B$11*0.95+0.05*Projects!$B$18*Assumptions!$B$11,Projects!$B$18*INDEX(Curves!$B$4:$AO$4,1,78-Projects!$C$18+1)*Assumptions!$B$11*0.95),0)+IF(AND(Projects!$G$19="Yes",78&gt;=Projects!$C$19,78&lt;Projects!$C$19+Projects!$D$19),IF(78=Projects!$C$19+Projects!$D$19-1,Projects!$B$19*INDEX(Curves!$B$4:$AO$4,1,78-Projects!$C$19+1)*Assumptions!$B$11*0.95+0.05*Projects!$B$19*Assumptions!$B$11,Projects!$B$19*INDEX(Curves!$B$4:$AO$4,1,78-Projects!$C$19+1)*Assumptions!$B$11*0.95),0)+IF(AND(Projects!$G$20="Yes",78&gt;=Projects!$C$20,78&lt;Projects!$C$20+Projects!$D$20),IF(78=Projects!$C$20+Projects!$D$20-1,Projects!$B$20*INDEX(Curves!$B$4:$AO$4,1,78-Projects!$C$20+1)*Assumptions!$B$11*0.95+0.05*Projects!$B$20*Assumptions!$B$11,Projects!$B$20*INDEX(Curves!$B$4:$AO$4,1,78-Projects!$C$20+1)*Assumptions!$B$11*0.95),0)+IF(AND(Projects!$G$21="Yes",78&gt;=Projects!$C$21,78&lt;Projects!$C$21+Projects!$D$21),IF(78=Projects!$C$21+Projects!$D$21-1,Projects!$B$21*INDEX(Curves!$B$4:$AO$4,1,78-Projects!$C$21+1)*Assumptions!$B$11*0.95+0.05*Projects!$B$21*Assumptions!$B$11,Projects!$B$21*INDEX(Curves!$B$4:$AO$4,1,78-Projects!$C$21+1)*Assumptions!$B$11*0.95),0)+IF(AND(Projects!$G$22="Yes",78&gt;=Projects!$C$22,78&lt;Projects!$C$22+Projects!$D$22),IF(78=Projects!$C$22+Projects!$D$22-1,Projects!$B$22*INDEX(Curves!$B$4:$AO$4,1,78-Projects!$C$22+1)*Assumptions!$B$11*0.95+0.05*Projects!$B$22*Assumptions!$B$11,Projects!$B$22*INDEX(Curves!$B$4:$AO$4,1,78-Projects!$C$22+1)*Assumptions!$B$11*0.95),0)+IF(AND(Projects!$G$23="Yes",78&gt;=Projects!$C$23,78&lt;Projects!$C$23+Projects!$D$23),IF(78=Projects!$C$23+Projects!$D$23-1,Projects!$B$23*INDEX(Curves!$B$4:$AO$4,1,78-Projects!$C$23+1)*Assumptions!$B$11*0.95+0.05*Projects!$B$23*Assumptions!$B$11,Projects!$B$23*INDEX(Curves!$B$4:$AO$4,1,78-Projects!$C$23+1)*Assumptions!$B$11*0.95),0)+IF(AND(Projects!$G$24="Yes",78&gt;=Projects!$C$24,78&lt;Projects!$C$24+Projects!$D$24),IF(78=Projects!$C$24+Projects!$D$24-1,Projects!$B$24*INDEX(Curves!$B$4:$AO$4,1,78-Projects!$C$24+1)*Assumptions!$B$11*0.95+0.05*Projects!$B$24*Assumptions!$B$11,Projects!$B$24*INDEX(Curves!$B$4:$AO$4,1,78-Projects!$C$24+1)*Assumptions!$B$11*0.95),0)+IF(AND(Projects!$G$25="Yes",78&gt;=Projects!$C$25,78&lt;Projects!$C$25+Projects!$D$25),IF(78=Projects!$C$25+Projects!$D$25-1,Projects!$B$25*INDEX(Curves!$B$4:$AO$4,1,78-Projects!$C$25+1)*Assumptions!$B$11*0.95+0.05*Projects!$B$25*Assumptions!$B$11,Projects!$B$25*INDEX(Curves!$B$4:$AO$4,1,78-Projects!$C$25+1)*Assumptions!$B$11*0.95),0)+IF(AND(Projects!$G$26="Yes",78&gt;=Projects!$C$26,78&lt;Projects!$C$26+Projects!$D$26),IF(78=Projects!$C$26+Projects!$D$26-1,Projects!$B$26*INDEX(Curves!$B$4:$AO$4,1,78-Projects!$C$26+1)*Assumptions!$B$11*0.95+0.05*Projects!$B$26*Assumptions!$B$11,Projects!$B$26*INDEX(Curves!$B$4:$AO$4,1,78-Projects!$C$26+1)*Assumptions!$B$11*0.95),0)+IF(AND(Projects!$G$27="Yes",78&gt;=Projects!$C$27,78&lt;Projects!$C$27+Projects!$D$27),IF(78=Projects!$C$27+Projects!$D$27-1,Projects!$B$27*INDEX(Curves!$B$4:$AO$4,1,78-Projects!$C$27+1)*Assumptions!$B$11*0.95+0.05*Projects!$B$27*Assumptions!$B$11,Projects!$B$27*INDEX(Curves!$B$4:$AO$4,1,78-Projects!$C$27+1)*Assumptions!$B$11*0.95),0)+IF(AND(Projects!$G$28="Yes",78&gt;=Projects!$C$28,78&lt;Projects!$C$28+Projects!$D$28),IF(78=Projects!$C$28+Projects!$D$28-1,Projects!$B$28*INDEX(Curves!$B$4:$AO$4,1,78-Projects!$C$28+1)*Assumptions!$B$11*0.95+0.05*Projects!$B$28*Assumptions!$B$11,Projects!$B$28*INDEX(Curves!$B$4:$AO$4,1,78-Projects!$C$28+1)*Assumptions!$B$11*0.95),0)+IF(AND(Projects!$G$29="Yes",78&gt;=Projects!$C$29,78&lt;Projects!$C$29+Projects!$D$29),IF(78=Projects!$C$29+Projects!$D$29-1,Projects!$B$29*INDEX(Curves!$B$4:$AO$4,1,78-Projects!$C$29+1)*Assumptions!$B$11*0.95+0.05*Projects!$B$29*Assumptions!$B$11,Projects!$B$29*INDEX(Curves!$B$4:$AO$4,1,78-Projects!$C$29+1)*Assumptions!$B$11*0.95),0)</f>
        <v/>
      </c>
      <c r="CC99">
        <f>IF(AND(Projects!$G$17="Yes",79&gt;=Projects!$C$17,79&lt;Projects!$C$17+Projects!$D$17),IF(79=Projects!$C$17+Projects!$D$17-1,Projects!$B$17*INDEX(Curves!$B$4:$AO$4,1,79-Projects!$C$17+1)*Assumptions!$B$11*0.95+0.05*Projects!$B$17*Assumptions!$B$11,Projects!$B$17*INDEX(Curves!$B$4:$AO$4,1,79-Projects!$C$17+1)*Assumptions!$B$11*0.95),0)+IF(AND(Projects!$G$18="Yes",79&gt;=Projects!$C$18,79&lt;Projects!$C$18+Projects!$D$18),IF(79=Projects!$C$18+Projects!$D$18-1,Projects!$B$18*INDEX(Curves!$B$4:$AO$4,1,79-Projects!$C$18+1)*Assumptions!$B$11*0.95+0.05*Projects!$B$18*Assumptions!$B$11,Projects!$B$18*INDEX(Curves!$B$4:$AO$4,1,79-Projects!$C$18+1)*Assumptions!$B$11*0.95),0)+IF(AND(Projects!$G$19="Yes",79&gt;=Projects!$C$19,79&lt;Projects!$C$19+Projects!$D$19),IF(79=Projects!$C$19+Projects!$D$19-1,Projects!$B$19*INDEX(Curves!$B$4:$AO$4,1,79-Projects!$C$19+1)*Assumptions!$B$11*0.95+0.05*Projects!$B$19*Assumptions!$B$11,Projects!$B$19*INDEX(Curves!$B$4:$AO$4,1,79-Projects!$C$19+1)*Assumptions!$B$11*0.95),0)+IF(AND(Projects!$G$20="Yes",79&gt;=Projects!$C$20,79&lt;Projects!$C$20+Projects!$D$20),IF(79=Projects!$C$20+Projects!$D$20-1,Projects!$B$20*INDEX(Curves!$B$4:$AO$4,1,79-Projects!$C$20+1)*Assumptions!$B$11*0.95+0.05*Projects!$B$20*Assumptions!$B$11,Projects!$B$20*INDEX(Curves!$B$4:$AO$4,1,79-Projects!$C$20+1)*Assumptions!$B$11*0.95),0)+IF(AND(Projects!$G$21="Yes",79&gt;=Projects!$C$21,79&lt;Projects!$C$21+Projects!$D$21),IF(79=Projects!$C$21+Projects!$D$21-1,Projects!$B$21*INDEX(Curves!$B$4:$AO$4,1,79-Projects!$C$21+1)*Assumptions!$B$11*0.95+0.05*Projects!$B$21*Assumptions!$B$11,Projects!$B$21*INDEX(Curves!$B$4:$AO$4,1,79-Projects!$C$21+1)*Assumptions!$B$11*0.95),0)+IF(AND(Projects!$G$22="Yes",79&gt;=Projects!$C$22,79&lt;Projects!$C$22+Projects!$D$22),IF(79=Projects!$C$22+Projects!$D$22-1,Projects!$B$22*INDEX(Curves!$B$4:$AO$4,1,79-Projects!$C$22+1)*Assumptions!$B$11*0.95+0.05*Projects!$B$22*Assumptions!$B$11,Projects!$B$22*INDEX(Curves!$B$4:$AO$4,1,79-Projects!$C$22+1)*Assumptions!$B$11*0.95),0)+IF(AND(Projects!$G$23="Yes",79&gt;=Projects!$C$23,79&lt;Projects!$C$23+Projects!$D$23),IF(79=Projects!$C$23+Projects!$D$23-1,Projects!$B$23*INDEX(Curves!$B$4:$AO$4,1,79-Projects!$C$23+1)*Assumptions!$B$11*0.95+0.05*Projects!$B$23*Assumptions!$B$11,Projects!$B$23*INDEX(Curves!$B$4:$AO$4,1,79-Projects!$C$23+1)*Assumptions!$B$11*0.95),0)+IF(AND(Projects!$G$24="Yes",79&gt;=Projects!$C$24,79&lt;Projects!$C$24+Projects!$D$24),IF(79=Projects!$C$24+Projects!$D$24-1,Projects!$B$24*INDEX(Curves!$B$4:$AO$4,1,79-Projects!$C$24+1)*Assumptions!$B$11*0.95+0.05*Projects!$B$24*Assumptions!$B$11,Projects!$B$24*INDEX(Curves!$B$4:$AO$4,1,79-Projects!$C$24+1)*Assumptions!$B$11*0.95),0)+IF(AND(Projects!$G$25="Yes",79&gt;=Projects!$C$25,79&lt;Projects!$C$25+Projects!$D$25),IF(79=Projects!$C$25+Projects!$D$25-1,Projects!$B$25*INDEX(Curves!$B$4:$AO$4,1,79-Projects!$C$25+1)*Assumptions!$B$11*0.95+0.05*Projects!$B$25*Assumptions!$B$11,Projects!$B$25*INDEX(Curves!$B$4:$AO$4,1,79-Projects!$C$25+1)*Assumptions!$B$11*0.95),0)+IF(AND(Projects!$G$26="Yes",79&gt;=Projects!$C$26,79&lt;Projects!$C$26+Projects!$D$26),IF(79=Projects!$C$26+Projects!$D$26-1,Projects!$B$26*INDEX(Curves!$B$4:$AO$4,1,79-Projects!$C$26+1)*Assumptions!$B$11*0.95+0.05*Projects!$B$26*Assumptions!$B$11,Projects!$B$26*INDEX(Curves!$B$4:$AO$4,1,79-Projects!$C$26+1)*Assumptions!$B$11*0.95),0)+IF(AND(Projects!$G$27="Yes",79&gt;=Projects!$C$27,79&lt;Projects!$C$27+Projects!$D$27),IF(79=Projects!$C$27+Projects!$D$27-1,Projects!$B$27*INDEX(Curves!$B$4:$AO$4,1,79-Projects!$C$27+1)*Assumptions!$B$11*0.95+0.05*Projects!$B$27*Assumptions!$B$11,Projects!$B$27*INDEX(Curves!$B$4:$AO$4,1,79-Projects!$C$27+1)*Assumptions!$B$11*0.95),0)+IF(AND(Projects!$G$28="Yes",79&gt;=Projects!$C$28,79&lt;Projects!$C$28+Projects!$D$28),IF(79=Projects!$C$28+Projects!$D$28-1,Projects!$B$28*INDEX(Curves!$B$4:$AO$4,1,79-Projects!$C$28+1)*Assumptions!$B$11*0.95+0.05*Projects!$B$28*Assumptions!$B$11,Projects!$B$28*INDEX(Curves!$B$4:$AO$4,1,79-Projects!$C$28+1)*Assumptions!$B$11*0.95),0)+IF(AND(Projects!$G$29="Yes",79&gt;=Projects!$C$29,79&lt;Projects!$C$29+Projects!$D$29),IF(79=Projects!$C$29+Projects!$D$29-1,Projects!$B$29*INDEX(Curves!$B$4:$AO$4,1,79-Projects!$C$29+1)*Assumptions!$B$11*0.95+0.05*Projects!$B$29*Assumptions!$B$11,Projects!$B$29*INDEX(Curves!$B$4:$AO$4,1,79-Projects!$C$29+1)*Assumptions!$B$11*0.95),0)</f>
        <v/>
      </c>
      <c r="CD99">
        <f>IF(AND(Projects!$G$17="Yes",80&gt;=Projects!$C$17,80&lt;Projects!$C$17+Projects!$D$17),IF(80=Projects!$C$17+Projects!$D$17-1,Projects!$B$17*INDEX(Curves!$B$4:$AO$4,1,80-Projects!$C$17+1)*Assumptions!$B$11*0.95+0.05*Projects!$B$17*Assumptions!$B$11,Projects!$B$17*INDEX(Curves!$B$4:$AO$4,1,80-Projects!$C$17+1)*Assumptions!$B$11*0.95),0)+IF(AND(Projects!$G$18="Yes",80&gt;=Projects!$C$18,80&lt;Projects!$C$18+Projects!$D$18),IF(80=Projects!$C$18+Projects!$D$18-1,Projects!$B$18*INDEX(Curves!$B$4:$AO$4,1,80-Projects!$C$18+1)*Assumptions!$B$11*0.95+0.05*Projects!$B$18*Assumptions!$B$11,Projects!$B$18*INDEX(Curves!$B$4:$AO$4,1,80-Projects!$C$18+1)*Assumptions!$B$11*0.95),0)+IF(AND(Projects!$G$19="Yes",80&gt;=Projects!$C$19,80&lt;Projects!$C$19+Projects!$D$19),IF(80=Projects!$C$19+Projects!$D$19-1,Projects!$B$19*INDEX(Curves!$B$4:$AO$4,1,80-Projects!$C$19+1)*Assumptions!$B$11*0.95+0.05*Projects!$B$19*Assumptions!$B$11,Projects!$B$19*INDEX(Curves!$B$4:$AO$4,1,80-Projects!$C$19+1)*Assumptions!$B$11*0.95),0)+IF(AND(Projects!$G$20="Yes",80&gt;=Projects!$C$20,80&lt;Projects!$C$20+Projects!$D$20),IF(80=Projects!$C$20+Projects!$D$20-1,Projects!$B$20*INDEX(Curves!$B$4:$AO$4,1,80-Projects!$C$20+1)*Assumptions!$B$11*0.95+0.05*Projects!$B$20*Assumptions!$B$11,Projects!$B$20*INDEX(Curves!$B$4:$AO$4,1,80-Projects!$C$20+1)*Assumptions!$B$11*0.95),0)+IF(AND(Projects!$G$21="Yes",80&gt;=Projects!$C$21,80&lt;Projects!$C$21+Projects!$D$21),IF(80=Projects!$C$21+Projects!$D$21-1,Projects!$B$21*INDEX(Curves!$B$4:$AO$4,1,80-Projects!$C$21+1)*Assumptions!$B$11*0.95+0.05*Projects!$B$21*Assumptions!$B$11,Projects!$B$21*INDEX(Curves!$B$4:$AO$4,1,80-Projects!$C$21+1)*Assumptions!$B$11*0.95),0)+IF(AND(Projects!$G$22="Yes",80&gt;=Projects!$C$22,80&lt;Projects!$C$22+Projects!$D$22),IF(80=Projects!$C$22+Projects!$D$22-1,Projects!$B$22*INDEX(Curves!$B$4:$AO$4,1,80-Projects!$C$22+1)*Assumptions!$B$11*0.95+0.05*Projects!$B$22*Assumptions!$B$11,Projects!$B$22*INDEX(Curves!$B$4:$AO$4,1,80-Projects!$C$22+1)*Assumptions!$B$11*0.95),0)+IF(AND(Projects!$G$23="Yes",80&gt;=Projects!$C$23,80&lt;Projects!$C$23+Projects!$D$23),IF(80=Projects!$C$23+Projects!$D$23-1,Projects!$B$23*INDEX(Curves!$B$4:$AO$4,1,80-Projects!$C$23+1)*Assumptions!$B$11*0.95+0.05*Projects!$B$23*Assumptions!$B$11,Projects!$B$23*INDEX(Curves!$B$4:$AO$4,1,80-Projects!$C$23+1)*Assumptions!$B$11*0.95),0)+IF(AND(Projects!$G$24="Yes",80&gt;=Projects!$C$24,80&lt;Projects!$C$24+Projects!$D$24),IF(80=Projects!$C$24+Projects!$D$24-1,Projects!$B$24*INDEX(Curves!$B$4:$AO$4,1,80-Projects!$C$24+1)*Assumptions!$B$11*0.95+0.05*Projects!$B$24*Assumptions!$B$11,Projects!$B$24*INDEX(Curves!$B$4:$AO$4,1,80-Projects!$C$24+1)*Assumptions!$B$11*0.95),0)+IF(AND(Projects!$G$25="Yes",80&gt;=Projects!$C$25,80&lt;Projects!$C$25+Projects!$D$25),IF(80=Projects!$C$25+Projects!$D$25-1,Projects!$B$25*INDEX(Curves!$B$4:$AO$4,1,80-Projects!$C$25+1)*Assumptions!$B$11*0.95+0.05*Projects!$B$25*Assumptions!$B$11,Projects!$B$25*INDEX(Curves!$B$4:$AO$4,1,80-Projects!$C$25+1)*Assumptions!$B$11*0.95),0)+IF(AND(Projects!$G$26="Yes",80&gt;=Projects!$C$26,80&lt;Projects!$C$26+Projects!$D$26),IF(80=Projects!$C$26+Projects!$D$26-1,Projects!$B$26*INDEX(Curves!$B$4:$AO$4,1,80-Projects!$C$26+1)*Assumptions!$B$11*0.95+0.05*Projects!$B$26*Assumptions!$B$11,Projects!$B$26*INDEX(Curves!$B$4:$AO$4,1,80-Projects!$C$26+1)*Assumptions!$B$11*0.95),0)+IF(AND(Projects!$G$27="Yes",80&gt;=Projects!$C$27,80&lt;Projects!$C$27+Projects!$D$27),IF(80=Projects!$C$27+Projects!$D$27-1,Projects!$B$27*INDEX(Curves!$B$4:$AO$4,1,80-Projects!$C$27+1)*Assumptions!$B$11*0.95+0.05*Projects!$B$27*Assumptions!$B$11,Projects!$B$27*INDEX(Curves!$B$4:$AO$4,1,80-Projects!$C$27+1)*Assumptions!$B$11*0.95),0)+IF(AND(Projects!$G$28="Yes",80&gt;=Projects!$C$28,80&lt;Projects!$C$28+Projects!$D$28),IF(80=Projects!$C$28+Projects!$D$28-1,Projects!$B$28*INDEX(Curves!$B$4:$AO$4,1,80-Projects!$C$28+1)*Assumptions!$B$11*0.95+0.05*Projects!$B$28*Assumptions!$B$11,Projects!$B$28*INDEX(Curves!$B$4:$AO$4,1,80-Projects!$C$28+1)*Assumptions!$B$11*0.95),0)+IF(AND(Projects!$G$29="Yes",80&gt;=Projects!$C$29,80&lt;Projects!$C$29+Projects!$D$29),IF(80=Projects!$C$29+Projects!$D$29-1,Projects!$B$29*INDEX(Curves!$B$4:$AO$4,1,80-Projects!$C$29+1)*Assumptions!$B$11*0.95+0.05*Projects!$B$29*Assumptions!$B$11,Projects!$B$29*INDEX(Curves!$B$4:$AO$4,1,80-Projects!$C$29+1)*Assumptions!$B$11*0.95),0)</f>
        <v/>
      </c>
      <c r="CE99">
        <f>IF(AND(Projects!$G$17="Yes",81&gt;=Projects!$C$17,81&lt;Projects!$C$17+Projects!$D$17),IF(81=Projects!$C$17+Projects!$D$17-1,Projects!$B$17*INDEX(Curves!$B$4:$AO$4,1,81-Projects!$C$17+1)*Assumptions!$B$11*0.95+0.05*Projects!$B$17*Assumptions!$B$11,Projects!$B$17*INDEX(Curves!$B$4:$AO$4,1,81-Projects!$C$17+1)*Assumptions!$B$11*0.95),0)+IF(AND(Projects!$G$18="Yes",81&gt;=Projects!$C$18,81&lt;Projects!$C$18+Projects!$D$18),IF(81=Projects!$C$18+Projects!$D$18-1,Projects!$B$18*INDEX(Curves!$B$4:$AO$4,1,81-Projects!$C$18+1)*Assumptions!$B$11*0.95+0.05*Projects!$B$18*Assumptions!$B$11,Projects!$B$18*INDEX(Curves!$B$4:$AO$4,1,81-Projects!$C$18+1)*Assumptions!$B$11*0.95),0)+IF(AND(Projects!$G$19="Yes",81&gt;=Projects!$C$19,81&lt;Projects!$C$19+Projects!$D$19),IF(81=Projects!$C$19+Projects!$D$19-1,Projects!$B$19*INDEX(Curves!$B$4:$AO$4,1,81-Projects!$C$19+1)*Assumptions!$B$11*0.95+0.05*Projects!$B$19*Assumptions!$B$11,Projects!$B$19*INDEX(Curves!$B$4:$AO$4,1,81-Projects!$C$19+1)*Assumptions!$B$11*0.95),0)+IF(AND(Projects!$G$20="Yes",81&gt;=Projects!$C$20,81&lt;Projects!$C$20+Projects!$D$20),IF(81=Projects!$C$20+Projects!$D$20-1,Projects!$B$20*INDEX(Curves!$B$4:$AO$4,1,81-Projects!$C$20+1)*Assumptions!$B$11*0.95+0.05*Projects!$B$20*Assumptions!$B$11,Projects!$B$20*INDEX(Curves!$B$4:$AO$4,1,81-Projects!$C$20+1)*Assumptions!$B$11*0.95),0)+IF(AND(Projects!$G$21="Yes",81&gt;=Projects!$C$21,81&lt;Projects!$C$21+Projects!$D$21),IF(81=Projects!$C$21+Projects!$D$21-1,Projects!$B$21*INDEX(Curves!$B$4:$AO$4,1,81-Projects!$C$21+1)*Assumptions!$B$11*0.95+0.05*Projects!$B$21*Assumptions!$B$11,Projects!$B$21*INDEX(Curves!$B$4:$AO$4,1,81-Projects!$C$21+1)*Assumptions!$B$11*0.95),0)+IF(AND(Projects!$G$22="Yes",81&gt;=Projects!$C$22,81&lt;Projects!$C$22+Projects!$D$22),IF(81=Projects!$C$22+Projects!$D$22-1,Projects!$B$22*INDEX(Curves!$B$4:$AO$4,1,81-Projects!$C$22+1)*Assumptions!$B$11*0.95+0.05*Projects!$B$22*Assumptions!$B$11,Projects!$B$22*INDEX(Curves!$B$4:$AO$4,1,81-Projects!$C$22+1)*Assumptions!$B$11*0.95),0)+IF(AND(Projects!$G$23="Yes",81&gt;=Projects!$C$23,81&lt;Projects!$C$23+Projects!$D$23),IF(81=Projects!$C$23+Projects!$D$23-1,Projects!$B$23*INDEX(Curves!$B$4:$AO$4,1,81-Projects!$C$23+1)*Assumptions!$B$11*0.95+0.05*Projects!$B$23*Assumptions!$B$11,Projects!$B$23*INDEX(Curves!$B$4:$AO$4,1,81-Projects!$C$23+1)*Assumptions!$B$11*0.95),0)+IF(AND(Projects!$G$24="Yes",81&gt;=Projects!$C$24,81&lt;Projects!$C$24+Projects!$D$24),IF(81=Projects!$C$24+Projects!$D$24-1,Projects!$B$24*INDEX(Curves!$B$4:$AO$4,1,81-Projects!$C$24+1)*Assumptions!$B$11*0.95+0.05*Projects!$B$24*Assumptions!$B$11,Projects!$B$24*INDEX(Curves!$B$4:$AO$4,1,81-Projects!$C$24+1)*Assumptions!$B$11*0.95),0)+IF(AND(Projects!$G$25="Yes",81&gt;=Projects!$C$25,81&lt;Projects!$C$25+Projects!$D$25),IF(81=Projects!$C$25+Projects!$D$25-1,Projects!$B$25*INDEX(Curves!$B$4:$AO$4,1,81-Projects!$C$25+1)*Assumptions!$B$11*0.95+0.05*Projects!$B$25*Assumptions!$B$11,Projects!$B$25*INDEX(Curves!$B$4:$AO$4,1,81-Projects!$C$25+1)*Assumptions!$B$11*0.95),0)+IF(AND(Projects!$G$26="Yes",81&gt;=Projects!$C$26,81&lt;Projects!$C$26+Projects!$D$26),IF(81=Projects!$C$26+Projects!$D$26-1,Projects!$B$26*INDEX(Curves!$B$4:$AO$4,1,81-Projects!$C$26+1)*Assumptions!$B$11*0.95+0.05*Projects!$B$26*Assumptions!$B$11,Projects!$B$26*INDEX(Curves!$B$4:$AO$4,1,81-Projects!$C$26+1)*Assumptions!$B$11*0.95),0)+IF(AND(Projects!$G$27="Yes",81&gt;=Projects!$C$27,81&lt;Projects!$C$27+Projects!$D$27),IF(81=Projects!$C$27+Projects!$D$27-1,Projects!$B$27*INDEX(Curves!$B$4:$AO$4,1,81-Projects!$C$27+1)*Assumptions!$B$11*0.95+0.05*Projects!$B$27*Assumptions!$B$11,Projects!$B$27*INDEX(Curves!$B$4:$AO$4,1,81-Projects!$C$27+1)*Assumptions!$B$11*0.95),0)+IF(AND(Projects!$G$28="Yes",81&gt;=Projects!$C$28,81&lt;Projects!$C$28+Projects!$D$28),IF(81=Projects!$C$28+Projects!$D$28-1,Projects!$B$28*INDEX(Curves!$B$4:$AO$4,1,81-Projects!$C$28+1)*Assumptions!$B$11*0.95+0.05*Projects!$B$28*Assumptions!$B$11,Projects!$B$28*INDEX(Curves!$B$4:$AO$4,1,81-Projects!$C$28+1)*Assumptions!$B$11*0.95),0)+IF(AND(Projects!$G$29="Yes",81&gt;=Projects!$C$29,81&lt;Projects!$C$29+Projects!$D$29),IF(81=Projects!$C$29+Projects!$D$29-1,Projects!$B$29*INDEX(Curves!$B$4:$AO$4,1,81-Projects!$C$29+1)*Assumptions!$B$11*0.95+0.05*Projects!$B$29*Assumptions!$B$11,Projects!$B$29*INDEX(Curves!$B$4:$AO$4,1,81-Projects!$C$29+1)*Assumptions!$B$11*0.95),0)</f>
        <v/>
      </c>
      <c r="CF99">
        <f>IF(AND(Projects!$G$17="Yes",82&gt;=Projects!$C$17,82&lt;Projects!$C$17+Projects!$D$17),IF(82=Projects!$C$17+Projects!$D$17-1,Projects!$B$17*INDEX(Curves!$B$4:$AO$4,1,82-Projects!$C$17+1)*Assumptions!$B$11*0.95+0.05*Projects!$B$17*Assumptions!$B$11,Projects!$B$17*INDEX(Curves!$B$4:$AO$4,1,82-Projects!$C$17+1)*Assumptions!$B$11*0.95),0)+IF(AND(Projects!$G$18="Yes",82&gt;=Projects!$C$18,82&lt;Projects!$C$18+Projects!$D$18),IF(82=Projects!$C$18+Projects!$D$18-1,Projects!$B$18*INDEX(Curves!$B$4:$AO$4,1,82-Projects!$C$18+1)*Assumptions!$B$11*0.95+0.05*Projects!$B$18*Assumptions!$B$11,Projects!$B$18*INDEX(Curves!$B$4:$AO$4,1,82-Projects!$C$18+1)*Assumptions!$B$11*0.95),0)+IF(AND(Projects!$G$19="Yes",82&gt;=Projects!$C$19,82&lt;Projects!$C$19+Projects!$D$19),IF(82=Projects!$C$19+Projects!$D$19-1,Projects!$B$19*INDEX(Curves!$B$4:$AO$4,1,82-Projects!$C$19+1)*Assumptions!$B$11*0.95+0.05*Projects!$B$19*Assumptions!$B$11,Projects!$B$19*INDEX(Curves!$B$4:$AO$4,1,82-Projects!$C$19+1)*Assumptions!$B$11*0.95),0)+IF(AND(Projects!$G$20="Yes",82&gt;=Projects!$C$20,82&lt;Projects!$C$20+Projects!$D$20),IF(82=Projects!$C$20+Projects!$D$20-1,Projects!$B$20*INDEX(Curves!$B$4:$AO$4,1,82-Projects!$C$20+1)*Assumptions!$B$11*0.95+0.05*Projects!$B$20*Assumptions!$B$11,Projects!$B$20*INDEX(Curves!$B$4:$AO$4,1,82-Projects!$C$20+1)*Assumptions!$B$11*0.95),0)+IF(AND(Projects!$G$21="Yes",82&gt;=Projects!$C$21,82&lt;Projects!$C$21+Projects!$D$21),IF(82=Projects!$C$21+Projects!$D$21-1,Projects!$B$21*INDEX(Curves!$B$4:$AO$4,1,82-Projects!$C$21+1)*Assumptions!$B$11*0.95+0.05*Projects!$B$21*Assumptions!$B$11,Projects!$B$21*INDEX(Curves!$B$4:$AO$4,1,82-Projects!$C$21+1)*Assumptions!$B$11*0.95),0)+IF(AND(Projects!$G$22="Yes",82&gt;=Projects!$C$22,82&lt;Projects!$C$22+Projects!$D$22),IF(82=Projects!$C$22+Projects!$D$22-1,Projects!$B$22*INDEX(Curves!$B$4:$AO$4,1,82-Projects!$C$22+1)*Assumptions!$B$11*0.95+0.05*Projects!$B$22*Assumptions!$B$11,Projects!$B$22*INDEX(Curves!$B$4:$AO$4,1,82-Projects!$C$22+1)*Assumptions!$B$11*0.95),0)+IF(AND(Projects!$G$23="Yes",82&gt;=Projects!$C$23,82&lt;Projects!$C$23+Projects!$D$23),IF(82=Projects!$C$23+Projects!$D$23-1,Projects!$B$23*INDEX(Curves!$B$4:$AO$4,1,82-Projects!$C$23+1)*Assumptions!$B$11*0.95+0.05*Projects!$B$23*Assumptions!$B$11,Projects!$B$23*INDEX(Curves!$B$4:$AO$4,1,82-Projects!$C$23+1)*Assumptions!$B$11*0.95),0)+IF(AND(Projects!$G$24="Yes",82&gt;=Projects!$C$24,82&lt;Projects!$C$24+Projects!$D$24),IF(82=Projects!$C$24+Projects!$D$24-1,Projects!$B$24*INDEX(Curves!$B$4:$AO$4,1,82-Projects!$C$24+1)*Assumptions!$B$11*0.95+0.05*Projects!$B$24*Assumptions!$B$11,Projects!$B$24*INDEX(Curves!$B$4:$AO$4,1,82-Projects!$C$24+1)*Assumptions!$B$11*0.95),0)+IF(AND(Projects!$G$25="Yes",82&gt;=Projects!$C$25,82&lt;Projects!$C$25+Projects!$D$25),IF(82=Projects!$C$25+Projects!$D$25-1,Projects!$B$25*INDEX(Curves!$B$4:$AO$4,1,82-Projects!$C$25+1)*Assumptions!$B$11*0.95+0.05*Projects!$B$25*Assumptions!$B$11,Projects!$B$25*INDEX(Curves!$B$4:$AO$4,1,82-Projects!$C$25+1)*Assumptions!$B$11*0.95),0)+IF(AND(Projects!$G$26="Yes",82&gt;=Projects!$C$26,82&lt;Projects!$C$26+Projects!$D$26),IF(82=Projects!$C$26+Projects!$D$26-1,Projects!$B$26*INDEX(Curves!$B$4:$AO$4,1,82-Projects!$C$26+1)*Assumptions!$B$11*0.95+0.05*Projects!$B$26*Assumptions!$B$11,Projects!$B$26*INDEX(Curves!$B$4:$AO$4,1,82-Projects!$C$26+1)*Assumptions!$B$11*0.95),0)+IF(AND(Projects!$G$27="Yes",82&gt;=Projects!$C$27,82&lt;Projects!$C$27+Projects!$D$27),IF(82=Projects!$C$27+Projects!$D$27-1,Projects!$B$27*INDEX(Curves!$B$4:$AO$4,1,82-Projects!$C$27+1)*Assumptions!$B$11*0.95+0.05*Projects!$B$27*Assumptions!$B$11,Projects!$B$27*INDEX(Curves!$B$4:$AO$4,1,82-Projects!$C$27+1)*Assumptions!$B$11*0.95),0)+IF(AND(Projects!$G$28="Yes",82&gt;=Projects!$C$28,82&lt;Projects!$C$28+Projects!$D$28),IF(82=Projects!$C$28+Projects!$D$28-1,Projects!$B$28*INDEX(Curves!$B$4:$AO$4,1,82-Projects!$C$28+1)*Assumptions!$B$11*0.95+0.05*Projects!$B$28*Assumptions!$B$11,Projects!$B$28*INDEX(Curves!$B$4:$AO$4,1,82-Projects!$C$28+1)*Assumptions!$B$11*0.95),0)+IF(AND(Projects!$G$29="Yes",82&gt;=Projects!$C$29,82&lt;Projects!$C$29+Projects!$D$29),IF(82=Projects!$C$29+Projects!$D$29-1,Projects!$B$29*INDEX(Curves!$B$4:$AO$4,1,82-Projects!$C$29+1)*Assumptions!$B$11*0.95+0.05*Projects!$B$29*Assumptions!$B$11,Projects!$B$29*INDEX(Curves!$B$4:$AO$4,1,82-Projects!$C$29+1)*Assumptions!$B$11*0.95),0)</f>
        <v/>
      </c>
      <c r="CG99">
        <f>IF(AND(Projects!$G$17="Yes",83&gt;=Projects!$C$17,83&lt;Projects!$C$17+Projects!$D$17),IF(83=Projects!$C$17+Projects!$D$17-1,Projects!$B$17*INDEX(Curves!$B$4:$AO$4,1,83-Projects!$C$17+1)*Assumptions!$B$11*0.95+0.05*Projects!$B$17*Assumptions!$B$11,Projects!$B$17*INDEX(Curves!$B$4:$AO$4,1,83-Projects!$C$17+1)*Assumptions!$B$11*0.95),0)+IF(AND(Projects!$G$18="Yes",83&gt;=Projects!$C$18,83&lt;Projects!$C$18+Projects!$D$18),IF(83=Projects!$C$18+Projects!$D$18-1,Projects!$B$18*INDEX(Curves!$B$4:$AO$4,1,83-Projects!$C$18+1)*Assumptions!$B$11*0.95+0.05*Projects!$B$18*Assumptions!$B$11,Projects!$B$18*INDEX(Curves!$B$4:$AO$4,1,83-Projects!$C$18+1)*Assumptions!$B$11*0.95),0)+IF(AND(Projects!$G$19="Yes",83&gt;=Projects!$C$19,83&lt;Projects!$C$19+Projects!$D$19),IF(83=Projects!$C$19+Projects!$D$19-1,Projects!$B$19*INDEX(Curves!$B$4:$AO$4,1,83-Projects!$C$19+1)*Assumptions!$B$11*0.95+0.05*Projects!$B$19*Assumptions!$B$11,Projects!$B$19*INDEX(Curves!$B$4:$AO$4,1,83-Projects!$C$19+1)*Assumptions!$B$11*0.95),0)+IF(AND(Projects!$G$20="Yes",83&gt;=Projects!$C$20,83&lt;Projects!$C$20+Projects!$D$20),IF(83=Projects!$C$20+Projects!$D$20-1,Projects!$B$20*INDEX(Curves!$B$4:$AO$4,1,83-Projects!$C$20+1)*Assumptions!$B$11*0.95+0.05*Projects!$B$20*Assumptions!$B$11,Projects!$B$20*INDEX(Curves!$B$4:$AO$4,1,83-Projects!$C$20+1)*Assumptions!$B$11*0.95),0)+IF(AND(Projects!$G$21="Yes",83&gt;=Projects!$C$21,83&lt;Projects!$C$21+Projects!$D$21),IF(83=Projects!$C$21+Projects!$D$21-1,Projects!$B$21*INDEX(Curves!$B$4:$AO$4,1,83-Projects!$C$21+1)*Assumptions!$B$11*0.95+0.05*Projects!$B$21*Assumptions!$B$11,Projects!$B$21*INDEX(Curves!$B$4:$AO$4,1,83-Projects!$C$21+1)*Assumptions!$B$11*0.95),0)+IF(AND(Projects!$G$22="Yes",83&gt;=Projects!$C$22,83&lt;Projects!$C$22+Projects!$D$22),IF(83=Projects!$C$22+Projects!$D$22-1,Projects!$B$22*INDEX(Curves!$B$4:$AO$4,1,83-Projects!$C$22+1)*Assumptions!$B$11*0.95+0.05*Projects!$B$22*Assumptions!$B$11,Projects!$B$22*INDEX(Curves!$B$4:$AO$4,1,83-Projects!$C$22+1)*Assumptions!$B$11*0.95),0)+IF(AND(Projects!$G$23="Yes",83&gt;=Projects!$C$23,83&lt;Projects!$C$23+Projects!$D$23),IF(83=Projects!$C$23+Projects!$D$23-1,Projects!$B$23*INDEX(Curves!$B$4:$AO$4,1,83-Projects!$C$23+1)*Assumptions!$B$11*0.95+0.05*Projects!$B$23*Assumptions!$B$11,Projects!$B$23*INDEX(Curves!$B$4:$AO$4,1,83-Projects!$C$23+1)*Assumptions!$B$11*0.95),0)+IF(AND(Projects!$G$24="Yes",83&gt;=Projects!$C$24,83&lt;Projects!$C$24+Projects!$D$24),IF(83=Projects!$C$24+Projects!$D$24-1,Projects!$B$24*INDEX(Curves!$B$4:$AO$4,1,83-Projects!$C$24+1)*Assumptions!$B$11*0.95+0.05*Projects!$B$24*Assumptions!$B$11,Projects!$B$24*INDEX(Curves!$B$4:$AO$4,1,83-Projects!$C$24+1)*Assumptions!$B$11*0.95),0)+IF(AND(Projects!$G$25="Yes",83&gt;=Projects!$C$25,83&lt;Projects!$C$25+Projects!$D$25),IF(83=Projects!$C$25+Projects!$D$25-1,Projects!$B$25*INDEX(Curves!$B$4:$AO$4,1,83-Projects!$C$25+1)*Assumptions!$B$11*0.95+0.05*Projects!$B$25*Assumptions!$B$11,Projects!$B$25*INDEX(Curves!$B$4:$AO$4,1,83-Projects!$C$25+1)*Assumptions!$B$11*0.95),0)+IF(AND(Projects!$G$26="Yes",83&gt;=Projects!$C$26,83&lt;Projects!$C$26+Projects!$D$26),IF(83=Projects!$C$26+Projects!$D$26-1,Projects!$B$26*INDEX(Curves!$B$4:$AO$4,1,83-Projects!$C$26+1)*Assumptions!$B$11*0.95+0.05*Projects!$B$26*Assumptions!$B$11,Projects!$B$26*INDEX(Curves!$B$4:$AO$4,1,83-Projects!$C$26+1)*Assumptions!$B$11*0.95),0)+IF(AND(Projects!$G$27="Yes",83&gt;=Projects!$C$27,83&lt;Projects!$C$27+Projects!$D$27),IF(83=Projects!$C$27+Projects!$D$27-1,Projects!$B$27*INDEX(Curves!$B$4:$AO$4,1,83-Projects!$C$27+1)*Assumptions!$B$11*0.95+0.05*Projects!$B$27*Assumptions!$B$11,Projects!$B$27*INDEX(Curves!$B$4:$AO$4,1,83-Projects!$C$27+1)*Assumptions!$B$11*0.95),0)+IF(AND(Projects!$G$28="Yes",83&gt;=Projects!$C$28,83&lt;Projects!$C$28+Projects!$D$28),IF(83=Projects!$C$28+Projects!$D$28-1,Projects!$B$28*INDEX(Curves!$B$4:$AO$4,1,83-Projects!$C$28+1)*Assumptions!$B$11*0.95+0.05*Projects!$B$28*Assumptions!$B$11,Projects!$B$28*INDEX(Curves!$B$4:$AO$4,1,83-Projects!$C$28+1)*Assumptions!$B$11*0.95),0)+IF(AND(Projects!$G$29="Yes",83&gt;=Projects!$C$29,83&lt;Projects!$C$29+Projects!$D$29),IF(83=Projects!$C$29+Projects!$D$29-1,Projects!$B$29*INDEX(Curves!$B$4:$AO$4,1,83-Projects!$C$29+1)*Assumptions!$B$11*0.95+0.05*Projects!$B$29*Assumptions!$B$11,Projects!$B$29*INDEX(Curves!$B$4:$AO$4,1,83-Projects!$C$29+1)*Assumptions!$B$11*0.95),0)</f>
        <v/>
      </c>
      <c r="CH99">
        <f>IF(AND(Projects!$G$17="Yes",84&gt;=Projects!$C$17,84&lt;Projects!$C$17+Projects!$D$17),IF(84=Projects!$C$17+Projects!$D$17-1,Projects!$B$17*INDEX(Curves!$B$4:$AO$4,1,84-Projects!$C$17+1)*Assumptions!$B$11*0.95+0.05*Projects!$B$17*Assumptions!$B$11,Projects!$B$17*INDEX(Curves!$B$4:$AO$4,1,84-Projects!$C$17+1)*Assumptions!$B$11*0.95),0)+IF(AND(Projects!$G$18="Yes",84&gt;=Projects!$C$18,84&lt;Projects!$C$18+Projects!$D$18),IF(84=Projects!$C$18+Projects!$D$18-1,Projects!$B$18*INDEX(Curves!$B$4:$AO$4,1,84-Projects!$C$18+1)*Assumptions!$B$11*0.95+0.05*Projects!$B$18*Assumptions!$B$11,Projects!$B$18*INDEX(Curves!$B$4:$AO$4,1,84-Projects!$C$18+1)*Assumptions!$B$11*0.95),0)+IF(AND(Projects!$G$19="Yes",84&gt;=Projects!$C$19,84&lt;Projects!$C$19+Projects!$D$19),IF(84=Projects!$C$19+Projects!$D$19-1,Projects!$B$19*INDEX(Curves!$B$4:$AO$4,1,84-Projects!$C$19+1)*Assumptions!$B$11*0.95+0.05*Projects!$B$19*Assumptions!$B$11,Projects!$B$19*INDEX(Curves!$B$4:$AO$4,1,84-Projects!$C$19+1)*Assumptions!$B$11*0.95),0)+IF(AND(Projects!$G$20="Yes",84&gt;=Projects!$C$20,84&lt;Projects!$C$20+Projects!$D$20),IF(84=Projects!$C$20+Projects!$D$20-1,Projects!$B$20*INDEX(Curves!$B$4:$AO$4,1,84-Projects!$C$20+1)*Assumptions!$B$11*0.95+0.05*Projects!$B$20*Assumptions!$B$11,Projects!$B$20*INDEX(Curves!$B$4:$AO$4,1,84-Projects!$C$20+1)*Assumptions!$B$11*0.95),0)+IF(AND(Projects!$G$21="Yes",84&gt;=Projects!$C$21,84&lt;Projects!$C$21+Projects!$D$21),IF(84=Projects!$C$21+Projects!$D$21-1,Projects!$B$21*INDEX(Curves!$B$4:$AO$4,1,84-Projects!$C$21+1)*Assumptions!$B$11*0.95+0.05*Projects!$B$21*Assumptions!$B$11,Projects!$B$21*INDEX(Curves!$B$4:$AO$4,1,84-Projects!$C$21+1)*Assumptions!$B$11*0.95),0)+IF(AND(Projects!$G$22="Yes",84&gt;=Projects!$C$22,84&lt;Projects!$C$22+Projects!$D$22),IF(84=Projects!$C$22+Projects!$D$22-1,Projects!$B$22*INDEX(Curves!$B$4:$AO$4,1,84-Projects!$C$22+1)*Assumptions!$B$11*0.95+0.05*Projects!$B$22*Assumptions!$B$11,Projects!$B$22*INDEX(Curves!$B$4:$AO$4,1,84-Projects!$C$22+1)*Assumptions!$B$11*0.95),0)+IF(AND(Projects!$G$23="Yes",84&gt;=Projects!$C$23,84&lt;Projects!$C$23+Projects!$D$23),IF(84=Projects!$C$23+Projects!$D$23-1,Projects!$B$23*INDEX(Curves!$B$4:$AO$4,1,84-Projects!$C$23+1)*Assumptions!$B$11*0.95+0.05*Projects!$B$23*Assumptions!$B$11,Projects!$B$23*INDEX(Curves!$B$4:$AO$4,1,84-Projects!$C$23+1)*Assumptions!$B$11*0.95),0)+IF(AND(Projects!$G$24="Yes",84&gt;=Projects!$C$24,84&lt;Projects!$C$24+Projects!$D$24),IF(84=Projects!$C$24+Projects!$D$24-1,Projects!$B$24*INDEX(Curves!$B$4:$AO$4,1,84-Projects!$C$24+1)*Assumptions!$B$11*0.95+0.05*Projects!$B$24*Assumptions!$B$11,Projects!$B$24*INDEX(Curves!$B$4:$AO$4,1,84-Projects!$C$24+1)*Assumptions!$B$11*0.95),0)+IF(AND(Projects!$G$25="Yes",84&gt;=Projects!$C$25,84&lt;Projects!$C$25+Projects!$D$25),IF(84=Projects!$C$25+Projects!$D$25-1,Projects!$B$25*INDEX(Curves!$B$4:$AO$4,1,84-Projects!$C$25+1)*Assumptions!$B$11*0.95+0.05*Projects!$B$25*Assumptions!$B$11,Projects!$B$25*INDEX(Curves!$B$4:$AO$4,1,84-Projects!$C$25+1)*Assumptions!$B$11*0.95),0)+IF(AND(Projects!$G$26="Yes",84&gt;=Projects!$C$26,84&lt;Projects!$C$26+Projects!$D$26),IF(84=Projects!$C$26+Projects!$D$26-1,Projects!$B$26*INDEX(Curves!$B$4:$AO$4,1,84-Projects!$C$26+1)*Assumptions!$B$11*0.95+0.05*Projects!$B$26*Assumptions!$B$11,Projects!$B$26*INDEX(Curves!$B$4:$AO$4,1,84-Projects!$C$26+1)*Assumptions!$B$11*0.95),0)+IF(AND(Projects!$G$27="Yes",84&gt;=Projects!$C$27,84&lt;Projects!$C$27+Projects!$D$27),IF(84=Projects!$C$27+Projects!$D$27-1,Projects!$B$27*INDEX(Curves!$B$4:$AO$4,1,84-Projects!$C$27+1)*Assumptions!$B$11*0.95+0.05*Projects!$B$27*Assumptions!$B$11,Projects!$B$27*INDEX(Curves!$B$4:$AO$4,1,84-Projects!$C$27+1)*Assumptions!$B$11*0.95),0)+IF(AND(Projects!$G$28="Yes",84&gt;=Projects!$C$28,84&lt;Projects!$C$28+Projects!$D$28),IF(84=Projects!$C$28+Projects!$D$28-1,Projects!$B$28*INDEX(Curves!$B$4:$AO$4,1,84-Projects!$C$28+1)*Assumptions!$B$11*0.95+0.05*Projects!$B$28*Assumptions!$B$11,Projects!$B$28*INDEX(Curves!$B$4:$AO$4,1,84-Projects!$C$28+1)*Assumptions!$B$11*0.95),0)+IF(AND(Projects!$G$29="Yes",84&gt;=Projects!$C$29,84&lt;Projects!$C$29+Projects!$D$29),IF(84=Projects!$C$29+Projects!$D$29-1,Projects!$B$29*INDEX(Curves!$B$4:$AO$4,1,84-Projects!$C$29+1)*Assumptions!$B$11*0.95+0.05*Projects!$B$29*Assumptions!$B$11,Projects!$B$29*INDEX(Curves!$B$4:$AO$4,1,84-Projects!$C$29+1)*Assumptions!$B$11*0.95),0)</f>
        <v/>
      </c>
    </row>
    <row r="100" ht="15" customHeight="1" s="201">
      <c r="A100" t="inlineStr">
        <is>
          <t>BD Admin Revenue</t>
        </is>
      </c>
      <c r="C100">
        <f>IF(AND(Projects!$G$17="Yes",1&gt;=Projects!$C$17,1&lt;Projects!$C$17+Projects!$D$17),IF(1=Projects!$C$17+Projects!$D$17-1,Projects!$B$17*Assumptions!$B$12/Projects!$D$17*0.95+0.05*Projects!$B$17*Assumptions!$B$12,Projects!$B$17*Assumptions!$B$12/Projects!$D$17*0.95),0)+IF(AND(Projects!$G$18="Yes",1&gt;=Projects!$C$18,1&lt;Projects!$C$18+Projects!$D$18),IF(1=Projects!$C$18+Projects!$D$18-1,Projects!$B$18*Assumptions!$B$12/Projects!$D$18*0.95+0.05*Projects!$B$18*Assumptions!$B$12,Projects!$B$18*Assumptions!$B$12/Projects!$D$18*0.95),0)+IF(AND(Projects!$G$19="Yes",1&gt;=Projects!$C$19,1&lt;Projects!$C$19+Projects!$D$19),IF(1=Projects!$C$19+Projects!$D$19-1,Projects!$B$19*Assumptions!$B$12/Projects!$D$19*0.95+0.05*Projects!$B$19*Assumptions!$B$12,Projects!$B$19*Assumptions!$B$12/Projects!$D$19*0.95),0)+IF(AND(Projects!$G$20="Yes",1&gt;=Projects!$C$20,1&lt;Projects!$C$20+Projects!$D$20),IF(1=Projects!$C$20+Projects!$D$20-1,Projects!$B$20*Assumptions!$B$12/Projects!$D$20*0.95+0.05*Projects!$B$20*Assumptions!$B$12,Projects!$B$20*Assumptions!$B$12/Projects!$D$20*0.95),0)+IF(AND(Projects!$G$21="Yes",1&gt;=Projects!$C$21,1&lt;Projects!$C$21+Projects!$D$21),IF(1=Projects!$C$21+Projects!$D$21-1,Projects!$B$21*Assumptions!$B$12/Projects!$D$21*0.95+0.05*Projects!$B$21*Assumptions!$B$12,Projects!$B$21*Assumptions!$B$12/Projects!$D$21*0.95),0)+IF(AND(Projects!$G$22="Yes",1&gt;=Projects!$C$22,1&lt;Projects!$C$22+Projects!$D$22),IF(1=Projects!$C$22+Projects!$D$22-1,Projects!$B$22*Assumptions!$B$12/Projects!$D$22*0.95+0.05*Projects!$B$22*Assumptions!$B$12,Projects!$B$22*Assumptions!$B$12/Projects!$D$22*0.95),0)+IF(AND(Projects!$G$23="Yes",1&gt;=Projects!$C$23,1&lt;Projects!$C$23+Projects!$D$23),IF(1=Projects!$C$23+Projects!$D$23-1,Projects!$B$23*Assumptions!$B$12/Projects!$D$23*0.95+0.05*Projects!$B$23*Assumptions!$B$12,Projects!$B$23*Assumptions!$B$12/Projects!$D$23*0.95),0)+IF(AND(Projects!$G$24="Yes",1&gt;=Projects!$C$24,1&lt;Projects!$C$24+Projects!$D$24),IF(1=Projects!$C$24+Projects!$D$24-1,Projects!$B$24*Assumptions!$B$12/Projects!$D$24*0.95+0.05*Projects!$B$24*Assumptions!$B$12,Projects!$B$24*Assumptions!$B$12/Projects!$D$24*0.95),0)+IF(AND(Projects!$G$25="Yes",1&gt;=Projects!$C$25,1&lt;Projects!$C$25+Projects!$D$25),IF(1=Projects!$C$25+Projects!$D$25-1,Projects!$B$25*Assumptions!$B$12/Projects!$D$25*0.95+0.05*Projects!$B$25*Assumptions!$B$12,Projects!$B$25*Assumptions!$B$12/Projects!$D$25*0.95),0)+IF(AND(Projects!$G$26="Yes",1&gt;=Projects!$C$26,1&lt;Projects!$C$26+Projects!$D$26),IF(1=Projects!$C$26+Projects!$D$26-1,Projects!$B$26*Assumptions!$B$12/Projects!$D$26*0.95+0.05*Projects!$B$26*Assumptions!$B$12,Projects!$B$26*Assumptions!$B$12/Projects!$D$26*0.95),0)+IF(AND(Projects!$G$27="Yes",1&gt;=Projects!$C$27,1&lt;Projects!$C$27+Projects!$D$27),IF(1=Projects!$C$27+Projects!$D$27-1,Projects!$B$27*Assumptions!$B$12/Projects!$D$27*0.95+0.05*Projects!$B$27*Assumptions!$B$12,Projects!$B$27*Assumptions!$B$12/Projects!$D$27*0.95),0)+IF(AND(Projects!$G$28="Yes",1&gt;=Projects!$C$28,1&lt;Projects!$C$28+Projects!$D$28),IF(1=Projects!$C$28+Projects!$D$28-1,Projects!$B$28*Assumptions!$B$12/Projects!$D$28*0.95+0.05*Projects!$B$28*Assumptions!$B$12,Projects!$B$28*Assumptions!$B$12/Projects!$D$28*0.95),0)+IF(AND(Projects!$G$29="Yes",1&gt;=Projects!$C$29,1&lt;Projects!$C$29+Projects!$D$29),IF(1=Projects!$C$29+Projects!$D$29-1,Projects!$B$29*Assumptions!$B$12/Projects!$D$29*0.95+0.05*Projects!$B$29*Assumptions!$B$12,Projects!$B$29*Assumptions!$B$12/Projects!$D$29*0.95),0)</f>
        <v/>
      </c>
      <c r="D100">
        <f>IF(AND(Projects!$G$17="Yes",2&gt;=Projects!$C$17,2&lt;Projects!$C$17+Projects!$D$17),IF(2=Projects!$C$17+Projects!$D$17-1,Projects!$B$17*Assumptions!$B$12/Projects!$D$17*0.95+0.05*Projects!$B$17*Assumptions!$B$12,Projects!$B$17*Assumptions!$B$12/Projects!$D$17*0.95),0)+IF(AND(Projects!$G$18="Yes",2&gt;=Projects!$C$18,2&lt;Projects!$C$18+Projects!$D$18),IF(2=Projects!$C$18+Projects!$D$18-1,Projects!$B$18*Assumptions!$B$12/Projects!$D$18*0.95+0.05*Projects!$B$18*Assumptions!$B$12,Projects!$B$18*Assumptions!$B$12/Projects!$D$18*0.95),0)+IF(AND(Projects!$G$19="Yes",2&gt;=Projects!$C$19,2&lt;Projects!$C$19+Projects!$D$19),IF(2=Projects!$C$19+Projects!$D$19-1,Projects!$B$19*Assumptions!$B$12/Projects!$D$19*0.95+0.05*Projects!$B$19*Assumptions!$B$12,Projects!$B$19*Assumptions!$B$12/Projects!$D$19*0.95),0)+IF(AND(Projects!$G$20="Yes",2&gt;=Projects!$C$20,2&lt;Projects!$C$20+Projects!$D$20),IF(2=Projects!$C$20+Projects!$D$20-1,Projects!$B$20*Assumptions!$B$12/Projects!$D$20*0.95+0.05*Projects!$B$20*Assumptions!$B$12,Projects!$B$20*Assumptions!$B$12/Projects!$D$20*0.95),0)+IF(AND(Projects!$G$21="Yes",2&gt;=Projects!$C$21,2&lt;Projects!$C$21+Projects!$D$21),IF(2=Projects!$C$21+Projects!$D$21-1,Projects!$B$21*Assumptions!$B$12/Projects!$D$21*0.95+0.05*Projects!$B$21*Assumptions!$B$12,Projects!$B$21*Assumptions!$B$12/Projects!$D$21*0.95),0)+IF(AND(Projects!$G$22="Yes",2&gt;=Projects!$C$22,2&lt;Projects!$C$22+Projects!$D$22),IF(2=Projects!$C$22+Projects!$D$22-1,Projects!$B$22*Assumptions!$B$12/Projects!$D$22*0.95+0.05*Projects!$B$22*Assumptions!$B$12,Projects!$B$22*Assumptions!$B$12/Projects!$D$22*0.95),0)+IF(AND(Projects!$G$23="Yes",2&gt;=Projects!$C$23,2&lt;Projects!$C$23+Projects!$D$23),IF(2=Projects!$C$23+Projects!$D$23-1,Projects!$B$23*Assumptions!$B$12/Projects!$D$23*0.95+0.05*Projects!$B$23*Assumptions!$B$12,Projects!$B$23*Assumptions!$B$12/Projects!$D$23*0.95),0)+IF(AND(Projects!$G$24="Yes",2&gt;=Projects!$C$24,2&lt;Projects!$C$24+Projects!$D$24),IF(2=Projects!$C$24+Projects!$D$24-1,Projects!$B$24*Assumptions!$B$12/Projects!$D$24*0.95+0.05*Projects!$B$24*Assumptions!$B$12,Projects!$B$24*Assumptions!$B$12/Projects!$D$24*0.95),0)+IF(AND(Projects!$G$25="Yes",2&gt;=Projects!$C$25,2&lt;Projects!$C$25+Projects!$D$25),IF(2=Projects!$C$25+Projects!$D$25-1,Projects!$B$25*Assumptions!$B$12/Projects!$D$25*0.95+0.05*Projects!$B$25*Assumptions!$B$12,Projects!$B$25*Assumptions!$B$12/Projects!$D$25*0.95),0)+IF(AND(Projects!$G$26="Yes",2&gt;=Projects!$C$26,2&lt;Projects!$C$26+Projects!$D$26),IF(2=Projects!$C$26+Projects!$D$26-1,Projects!$B$26*Assumptions!$B$12/Projects!$D$26*0.95+0.05*Projects!$B$26*Assumptions!$B$12,Projects!$B$26*Assumptions!$B$12/Projects!$D$26*0.95),0)+IF(AND(Projects!$G$27="Yes",2&gt;=Projects!$C$27,2&lt;Projects!$C$27+Projects!$D$27),IF(2=Projects!$C$27+Projects!$D$27-1,Projects!$B$27*Assumptions!$B$12/Projects!$D$27*0.95+0.05*Projects!$B$27*Assumptions!$B$12,Projects!$B$27*Assumptions!$B$12/Projects!$D$27*0.95),0)+IF(AND(Projects!$G$28="Yes",2&gt;=Projects!$C$28,2&lt;Projects!$C$28+Projects!$D$28),IF(2=Projects!$C$28+Projects!$D$28-1,Projects!$B$28*Assumptions!$B$12/Projects!$D$28*0.95+0.05*Projects!$B$28*Assumptions!$B$12,Projects!$B$28*Assumptions!$B$12/Projects!$D$28*0.95),0)+IF(AND(Projects!$G$29="Yes",2&gt;=Projects!$C$29,2&lt;Projects!$C$29+Projects!$D$29),IF(2=Projects!$C$29+Projects!$D$29-1,Projects!$B$29*Assumptions!$B$12/Projects!$D$29*0.95+0.05*Projects!$B$29*Assumptions!$B$12,Projects!$B$29*Assumptions!$B$12/Projects!$D$29*0.95),0)</f>
        <v/>
      </c>
      <c r="E100">
        <f>IF(AND(Projects!$G$17="Yes",3&gt;=Projects!$C$17,3&lt;Projects!$C$17+Projects!$D$17),IF(3=Projects!$C$17+Projects!$D$17-1,Projects!$B$17*Assumptions!$B$12/Projects!$D$17*0.95+0.05*Projects!$B$17*Assumptions!$B$12,Projects!$B$17*Assumptions!$B$12/Projects!$D$17*0.95),0)+IF(AND(Projects!$G$18="Yes",3&gt;=Projects!$C$18,3&lt;Projects!$C$18+Projects!$D$18),IF(3=Projects!$C$18+Projects!$D$18-1,Projects!$B$18*Assumptions!$B$12/Projects!$D$18*0.95+0.05*Projects!$B$18*Assumptions!$B$12,Projects!$B$18*Assumptions!$B$12/Projects!$D$18*0.95),0)+IF(AND(Projects!$G$19="Yes",3&gt;=Projects!$C$19,3&lt;Projects!$C$19+Projects!$D$19),IF(3=Projects!$C$19+Projects!$D$19-1,Projects!$B$19*Assumptions!$B$12/Projects!$D$19*0.95+0.05*Projects!$B$19*Assumptions!$B$12,Projects!$B$19*Assumptions!$B$12/Projects!$D$19*0.95),0)+IF(AND(Projects!$G$20="Yes",3&gt;=Projects!$C$20,3&lt;Projects!$C$20+Projects!$D$20),IF(3=Projects!$C$20+Projects!$D$20-1,Projects!$B$20*Assumptions!$B$12/Projects!$D$20*0.95+0.05*Projects!$B$20*Assumptions!$B$12,Projects!$B$20*Assumptions!$B$12/Projects!$D$20*0.95),0)+IF(AND(Projects!$G$21="Yes",3&gt;=Projects!$C$21,3&lt;Projects!$C$21+Projects!$D$21),IF(3=Projects!$C$21+Projects!$D$21-1,Projects!$B$21*Assumptions!$B$12/Projects!$D$21*0.95+0.05*Projects!$B$21*Assumptions!$B$12,Projects!$B$21*Assumptions!$B$12/Projects!$D$21*0.95),0)+IF(AND(Projects!$G$22="Yes",3&gt;=Projects!$C$22,3&lt;Projects!$C$22+Projects!$D$22),IF(3=Projects!$C$22+Projects!$D$22-1,Projects!$B$22*Assumptions!$B$12/Projects!$D$22*0.95+0.05*Projects!$B$22*Assumptions!$B$12,Projects!$B$22*Assumptions!$B$12/Projects!$D$22*0.95),0)+IF(AND(Projects!$G$23="Yes",3&gt;=Projects!$C$23,3&lt;Projects!$C$23+Projects!$D$23),IF(3=Projects!$C$23+Projects!$D$23-1,Projects!$B$23*Assumptions!$B$12/Projects!$D$23*0.95+0.05*Projects!$B$23*Assumptions!$B$12,Projects!$B$23*Assumptions!$B$12/Projects!$D$23*0.95),0)+IF(AND(Projects!$G$24="Yes",3&gt;=Projects!$C$24,3&lt;Projects!$C$24+Projects!$D$24),IF(3=Projects!$C$24+Projects!$D$24-1,Projects!$B$24*Assumptions!$B$12/Projects!$D$24*0.95+0.05*Projects!$B$24*Assumptions!$B$12,Projects!$B$24*Assumptions!$B$12/Projects!$D$24*0.95),0)+IF(AND(Projects!$G$25="Yes",3&gt;=Projects!$C$25,3&lt;Projects!$C$25+Projects!$D$25),IF(3=Projects!$C$25+Projects!$D$25-1,Projects!$B$25*Assumptions!$B$12/Projects!$D$25*0.95+0.05*Projects!$B$25*Assumptions!$B$12,Projects!$B$25*Assumptions!$B$12/Projects!$D$25*0.95),0)+IF(AND(Projects!$G$26="Yes",3&gt;=Projects!$C$26,3&lt;Projects!$C$26+Projects!$D$26),IF(3=Projects!$C$26+Projects!$D$26-1,Projects!$B$26*Assumptions!$B$12/Projects!$D$26*0.95+0.05*Projects!$B$26*Assumptions!$B$12,Projects!$B$26*Assumptions!$B$12/Projects!$D$26*0.95),0)+IF(AND(Projects!$G$27="Yes",3&gt;=Projects!$C$27,3&lt;Projects!$C$27+Projects!$D$27),IF(3=Projects!$C$27+Projects!$D$27-1,Projects!$B$27*Assumptions!$B$12/Projects!$D$27*0.95+0.05*Projects!$B$27*Assumptions!$B$12,Projects!$B$27*Assumptions!$B$12/Projects!$D$27*0.95),0)+IF(AND(Projects!$G$28="Yes",3&gt;=Projects!$C$28,3&lt;Projects!$C$28+Projects!$D$28),IF(3=Projects!$C$28+Projects!$D$28-1,Projects!$B$28*Assumptions!$B$12/Projects!$D$28*0.95+0.05*Projects!$B$28*Assumptions!$B$12,Projects!$B$28*Assumptions!$B$12/Projects!$D$28*0.95),0)+IF(AND(Projects!$G$29="Yes",3&gt;=Projects!$C$29,3&lt;Projects!$C$29+Projects!$D$29),IF(3=Projects!$C$29+Projects!$D$29-1,Projects!$B$29*Assumptions!$B$12/Projects!$D$29*0.95+0.05*Projects!$B$29*Assumptions!$B$12,Projects!$B$29*Assumptions!$B$12/Projects!$D$29*0.95),0)</f>
        <v/>
      </c>
      <c r="F100">
        <f>IF(AND(Projects!$G$17="Yes",4&gt;=Projects!$C$17,4&lt;Projects!$C$17+Projects!$D$17),IF(4=Projects!$C$17+Projects!$D$17-1,Projects!$B$17*Assumptions!$B$12/Projects!$D$17*0.95+0.05*Projects!$B$17*Assumptions!$B$12,Projects!$B$17*Assumptions!$B$12/Projects!$D$17*0.95),0)+IF(AND(Projects!$G$18="Yes",4&gt;=Projects!$C$18,4&lt;Projects!$C$18+Projects!$D$18),IF(4=Projects!$C$18+Projects!$D$18-1,Projects!$B$18*Assumptions!$B$12/Projects!$D$18*0.95+0.05*Projects!$B$18*Assumptions!$B$12,Projects!$B$18*Assumptions!$B$12/Projects!$D$18*0.95),0)+IF(AND(Projects!$G$19="Yes",4&gt;=Projects!$C$19,4&lt;Projects!$C$19+Projects!$D$19),IF(4=Projects!$C$19+Projects!$D$19-1,Projects!$B$19*Assumptions!$B$12/Projects!$D$19*0.95+0.05*Projects!$B$19*Assumptions!$B$12,Projects!$B$19*Assumptions!$B$12/Projects!$D$19*0.95),0)+IF(AND(Projects!$G$20="Yes",4&gt;=Projects!$C$20,4&lt;Projects!$C$20+Projects!$D$20),IF(4=Projects!$C$20+Projects!$D$20-1,Projects!$B$20*Assumptions!$B$12/Projects!$D$20*0.95+0.05*Projects!$B$20*Assumptions!$B$12,Projects!$B$20*Assumptions!$B$12/Projects!$D$20*0.95),0)+IF(AND(Projects!$G$21="Yes",4&gt;=Projects!$C$21,4&lt;Projects!$C$21+Projects!$D$21),IF(4=Projects!$C$21+Projects!$D$21-1,Projects!$B$21*Assumptions!$B$12/Projects!$D$21*0.95+0.05*Projects!$B$21*Assumptions!$B$12,Projects!$B$21*Assumptions!$B$12/Projects!$D$21*0.95),0)+IF(AND(Projects!$G$22="Yes",4&gt;=Projects!$C$22,4&lt;Projects!$C$22+Projects!$D$22),IF(4=Projects!$C$22+Projects!$D$22-1,Projects!$B$22*Assumptions!$B$12/Projects!$D$22*0.95+0.05*Projects!$B$22*Assumptions!$B$12,Projects!$B$22*Assumptions!$B$12/Projects!$D$22*0.95),0)+IF(AND(Projects!$G$23="Yes",4&gt;=Projects!$C$23,4&lt;Projects!$C$23+Projects!$D$23),IF(4=Projects!$C$23+Projects!$D$23-1,Projects!$B$23*Assumptions!$B$12/Projects!$D$23*0.95+0.05*Projects!$B$23*Assumptions!$B$12,Projects!$B$23*Assumptions!$B$12/Projects!$D$23*0.95),0)+IF(AND(Projects!$G$24="Yes",4&gt;=Projects!$C$24,4&lt;Projects!$C$24+Projects!$D$24),IF(4=Projects!$C$24+Projects!$D$24-1,Projects!$B$24*Assumptions!$B$12/Projects!$D$24*0.95+0.05*Projects!$B$24*Assumptions!$B$12,Projects!$B$24*Assumptions!$B$12/Projects!$D$24*0.95),0)+IF(AND(Projects!$G$25="Yes",4&gt;=Projects!$C$25,4&lt;Projects!$C$25+Projects!$D$25),IF(4=Projects!$C$25+Projects!$D$25-1,Projects!$B$25*Assumptions!$B$12/Projects!$D$25*0.95+0.05*Projects!$B$25*Assumptions!$B$12,Projects!$B$25*Assumptions!$B$12/Projects!$D$25*0.95),0)+IF(AND(Projects!$G$26="Yes",4&gt;=Projects!$C$26,4&lt;Projects!$C$26+Projects!$D$26),IF(4=Projects!$C$26+Projects!$D$26-1,Projects!$B$26*Assumptions!$B$12/Projects!$D$26*0.95+0.05*Projects!$B$26*Assumptions!$B$12,Projects!$B$26*Assumptions!$B$12/Projects!$D$26*0.95),0)+IF(AND(Projects!$G$27="Yes",4&gt;=Projects!$C$27,4&lt;Projects!$C$27+Projects!$D$27),IF(4=Projects!$C$27+Projects!$D$27-1,Projects!$B$27*Assumptions!$B$12/Projects!$D$27*0.95+0.05*Projects!$B$27*Assumptions!$B$12,Projects!$B$27*Assumptions!$B$12/Projects!$D$27*0.95),0)+IF(AND(Projects!$G$28="Yes",4&gt;=Projects!$C$28,4&lt;Projects!$C$28+Projects!$D$28),IF(4=Projects!$C$28+Projects!$D$28-1,Projects!$B$28*Assumptions!$B$12/Projects!$D$28*0.95+0.05*Projects!$B$28*Assumptions!$B$12,Projects!$B$28*Assumptions!$B$12/Projects!$D$28*0.95),0)+IF(AND(Projects!$G$29="Yes",4&gt;=Projects!$C$29,4&lt;Projects!$C$29+Projects!$D$29),IF(4=Projects!$C$29+Projects!$D$29-1,Projects!$B$29*Assumptions!$B$12/Projects!$D$29*0.95+0.05*Projects!$B$29*Assumptions!$B$12,Projects!$B$29*Assumptions!$B$12/Projects!$D$29*0.95),0)</f>
        <v/>
      </c>
      <c r="G100">
        <f>IF(AND(Projects!$G$17="Yes",5&gt;=Projects!$C$17,5&lt;Projects!$C$17+Projects!$D$17),IF(5=Projects!$C$17+Projects!$D$17-1,Projects!$B$17*Assumptions!$B$12/Projects!$D$17*0.95+0.05*Projects!$B$17*Assumptions!$B$12,Projects!$B$17*Assumptions!$B$12/Projects!$D$17*0.95),0)+IF(AND(Projects!$G$18="Yes",5&gt;=Projects!$C$18,5&lt;Projects!$C$18+Projects!$D$18),IF(5=Projects!$C$18+Projects!$D$18-1,Projects!$B$18*Assumptions!$B$12/Projects!$D$18*0.95+0.05*Projects!$B$18*Assumptions!$B$12,Projects!$B$18*Assumptions!$B$12/Projects!$D$18*0.95),0)+IF(AND(Projects!$G$19="Yes",5&gt;=Projects!$C$19,5&lt;Projects!$C$19+Projects!$D$19),IF(5=Projects!$C$19+Projects!$D$19-1,Projects!$B$19*Assumptions!$B$12/Projects!$D$19*0.95+0.05*Projects!$B$19*Assumptions!$B$12,Projects!$B$19*Assumptions!$B$12/Projects!$D$19*0.95),0)+IF(AND(Projects!$G$20="Yes",5&gt;=Projects!$C$20,5&lt;Projects!$C$20+Projects!$D$20),IF(5=Projects!$C$20+Projects!$D$20-1,Projects!$B$20*Assumptions!$B$12/Projects!$D$20*0.95+0.05*Projects!$B$20*Assumptions!$B$12,Projects!$B$20*Assumptions!$B$12/Projects!$D$20*0.95),0)+IF(AND(Projects!$G$21="Yes",5&gt;=Projects!$C$21,5&lt;Projects!$C$21+Projects!$D$21),IF(5=Projects!$C$21+Projects!$D$21-1,Projects!$B$21*Assumptions!$B$12/Projects!$D$21*0.95+0.05*Projects!$B$21*Assumptions!$B$12,Projects!$B$21*Assumptions!$B$12/Projects!$D$21*0.95),0)+IF(AND(Projects!$G$22="Yes",5&gt;=Projects!$C$22,5&lt;Projects!$C$22+Projects!$D$22),IF(5=Projects!$C$22+Projects!$D$22-1,Projects!$B$22*Assumptions!$B$12/Projects!$D$22*0.95+0.05*Projects!$B$22*Assumptions!$B$12,Projects!$B$22*Assumptions!$B$12/Projects!$D$22*0.95),0)+IF(AND(Projects!$G$23="Yes",5&gt;=Projects!$C$23,5&lt;Projects!$C$23+Projects!$D$23),IF(5=Projects!$C$23+Projects!$D$23-1,Projects!$B$23*Assumptions!$B$12/Projects!$D$23*0.95+0.05*Projects!$B$23*Assumptions!$B$12,Projects!$B$23*Assumptions!$B$12/Projects!$D$23*0.95),0)+IF(AND(Projects!$G$24="Yes",5&gt;=Projects!$C$24,5&lt;Projects!$C$24+Projects!$D$24),IF(5=Projects!$C$24+Projects!$D$24-1,Projects!$B$24*Assumptions!$B$12/Projects!$D$24*0.95+0.05*Projects!$B$24*Assumptions!$B$12,Projects!$B$24*Assumptions!$B$12/Projects!$D$24*0.95),0)+IF(AND(Projects!$G$25="Yes",5&gt;=Projects!$C$25,5&lt;Projects!$C$25+Projects!$D$25),IF(5=Projects!$C$25+Projects!$D$25-1,Projects!$B$25*Assumptions!$B$12/Projects!$D$25*0.95+0.05*Projects!$B$25*Assumptions!$B$12,Projects!$B$25*Assumptions!$B$12/Projects!$D$25*0.95),0)+IF(AND(Projects!$G$26="Yes",5&gt;=Projects!$C$26,5&lt;Projects!$C$26+Projects!$D$26),IF(5=Projects!$C$26+Projects!$D$26-1,Projects!$B$26*Assumptions!$B$12/Projects!$D$26*0.95+0.05*Projects!$B$26*Assumptions!$B$12,Projects!$B$26*Assumptions!$B$12/Projects!$D$26*0.95),0)+IF(AND(Projects!$G$27="Yes",5&gt;=Projects!$C$27,5&lt;Projects!$C$27+Projects!$D$27),IF(5=Projects!$C$27+Projects!$D$27-1,Projects!$B$27*Assumptions!$B$12/Projects!$D$27*0.95+0.05*Projects!$B$27*Assumptions!$B$12,Projects!$B$27*Assumptions!$B$12/Projects!$D$27*0.95),0)+IF(AND(Projects!$G$28="Yes",5&gt;=Projects!$C$28,5&lt;Projects!$C$28+Projects!$D$28),IF(5=Projects!$C$28+Projects!$D$28-1,Projects!$B$28*Assumptions!$B$12/Projects!$D$28*0.95+0.05*Projects!$B$28*Assumptions!$B$12,Projects!$B$28*Assumptions!$B$12/Projects!$D$28*0.95),0)+IF(AND(Projects!$G$29="Yes",5&gt;=Projects!$C$29,5&lt;Projects!$C$29+Projects!$D$29),IF(5=Projects!$C$29+Projects!$D$29-1,Projects!$B$29*Assumptions!$B$12/Projects!$D$29*0.95+0.05*Projects!$B$29*Assumptions!$B$12,Projects!$B$29*Assumptions!$B$12/Projects!$D$29*0.95),0)</f>
        <v/>
      </c>
      <c r="H100">
        <f>IF(AND(Projects!$G$17="Yes",6&gt;=Projects!$C$17,6&lt;Projects!$C$17+Projects!$D$17),IF(6=Projects!$C$17+Projects!$D$17-1,Projects!$B$17*Assumptions!$B$12/Projects!$D$17*0.95+0.05*Projects!$B$17*Assumptions!$B$12,Projects!$B$17*Assumptions!$B$12/Projects!$D$17*0.95),0)+IF(AND(Projects!$G$18="Yes",6&gt;=Projects!$C$18,6&lt;Projects!$C$18+Projects!$D$18),IF(6=Projects!$C$18+Projects!$D$18-1,Projects!$B$18*Assumptions!$B$12/Projects!$D$18*0.95+0.05*Projects!$B$18*Assumptions!$B$12,Projects!$B$18*Assumptions!$B$12/Projects!$D$18*0.95),0)+IF(AND(Projects!$G$19="Yes",6&gt;=Projects!$C$19,6&lt;Projects!$C$19+Projects!$D$19),IF(6=Projects!$C$19+Projects!$D$19-1,Projects!$B$19*Assumptions!$B$12/Projects!$D$19*0.95+0.05*Projects!$B$19*Assumptions!$B$12,Projects!$B$19*Assumptions!$B$12/Projects!$D$19*0.95),0)+IF(AND(Projects!$G$20="Yes",6&gt;=Projects!$C$20,6&lt;Projects!$C$20+Projects!$D$20),IF(6=Projects!$C$20+Projects!$D$20-1,Projects!$B$20*Assumptions!$B$12/Projects!$D$20*0.95+0.05*Projects!$B$20*Assumptions!$B$12,Projects!$B$20*Assumptions!$B$12/Projects!$D$20*0.95),0)+IF(AND(Projects!$G$21="Yes",6&gt;=Projects!$C$21,6&lt;Projects!$C$21+Projects!$D$21),IF(6=Projects!$C$21+Projects!$D$21-1,Projects!$B$21*Assumptions!$B$12/Projects!$D$21*0.95+0.05*Projects!$B$21*Assumptions!$B$12,Projects!$B$21*Assumptions!$B$12/Projects!$D$21*0.95),0)+IF(AND(Projects!$G$22="Yes",6&gt;=Projects!$C$22,6&lt;Projects!$C$22+Projects!$D$22),IF(6=Projects!$C$22+Projects!$D$22-1,Projects!$B$22*Assumptions!$B$12/Projects!$D$22*0.95+0.05*Projects!$B$22*Assumptions!$B$12,Projects!$B$22*Assumptions!$B$12/Projects!$D$22*0.95),0)+IF(AND(Projects!$G$23="Yes",6&gt;=Projects!$C$23,6&lt;Projects!$C$23+Projects!$D$23),IF(6=Projects!$C$23+Projects!$D$23-1,Projects!$B$23*Assumptions!$B$12/Projects!$D$23*0.95+0.05*Projects!$B$23*Assumptions!$B$12,Projects!$B$23*Assumptions!$B$12/Projects!$D$23*0.95),0)+IF(AND(Projects!$G$24="Yes",6&gt;=Projects!$C$24,6&lt;Projects!$C$24+Projects!$D$24),IF(6=Projects!$C$24+Projects!$D$24-1,Projects!$B$24*Assumptions!$B$12/Projects!$D$24*0.95+0.05*Projects!$B$24*Assumptions!$B$12,Projects!$B$24*Assumptions!$B$12/Projects!$D$24*0.95),0)+IF(AND(Projects!$G$25="Yes",6&gt;=Projects!$C$25,6&lt;Projects!$C$25+Projects!$D$25),IF(6=Projects!$C$25+Projects!$D$25-1,Projects!$B$25*Assumptions!$B$12/Projects!$D$25*0.95+0.05*Projects!$B$25*Assumptions!$B$12,Projects!$B$25*Assumptions!$B$12/Projects!$D$25*0.95),0)+IF(AND(Projects!$G$26="Yes",6&gt;=Projects!$C$26,6&lt;Projects!$C$26+Projects!$D$26),IF(6=Projects!$C$26+Projects!$D$26-1,Projects!$B$26*Assumptions!$B$12/Projects!$D$26*0.95+0.05*Projects!$B$26*Assumptions!$B$12,Projects!$B$26*Assumptions!$B$12/Projects!$D$26*0.95),0)+IF(AND(Projects!$G$27="Yes",6&gt;=Projects!$C$27,6&lt;Projects!$C$27+Projects!$D$27),IF(6=Projects!$C$27+Projects!$D$27-1,Projects!$B$27*Assumptions!$B$12/Projects!$D$27*0.95+0.05*Projects!$B$27*Assumptions!$B$12,Projects!$B$27*Assumptions!$B$12/Projects!$D$27*0.95),0)+IF(AND(Projects!$G$28="Yes",6&gt;=Projects!$C$28,6&lt;Projects!$C$28+Projects!$D$28),IF(6=Projects!$C$28+Projects!$D$28-1,Projects!$B$28*Assumptions!$B$12/Projects!$D$28*0.95+0.05*Projects!$B$28*Assumptions!$B$12,Projects!$B$28*Assumptions!$B$12/Projects!$D$28*0.95),0)+IF(AND(Projects!$G$29="Yes",6&gt;=Projects!$C$29,6&lt;Projects!$C$29+Projects!$D$29),IF(6=Projects!$C$29+Projects!$D$29-1,Projects!$B$29*Assumptions!$B$12/Projects!$D$29*0.95+0.05*Projects!$B$29*Assumptions!$B$12,Projects!$B$29*Assumptions!$B$12/Projects!$D$29*0.95),0)</f>
        <v/>
      </c>
      <c r="I100">
        <f>IF(AND(Projects!$G$17="Yes",7&gt;=Projects!$C$17,7&lt;Projects!$C$17+Projects!$D$17),IF(7=Projects!$C$17+Projects!$D$17-1,Projects!$B$17*Assumptions!$B$12/Projects!$D$17*0.95+0.05*Projects!$B$17*Assumptions!$B$12,Projects!$B$17*Assumptions!$B$12/Projects!$D$17*0.95),0)+IF(AND(Projects!$G$18="Yes",7&gt;=Projects!$C$18,7&lt;Projects!$C$18+Projects!$D$18),IF(7=Projects!$C$18+Projects!$D$18-1,Projects!$B$18*Assumptions!$B$12/Projects!$D$18*0.95+0.05*Projects!$B$18*Assumptions!$B$12,Projects!$B$18*Assumptions!$B$12/Projects!$D$18*0.95),0)+IF(AND(Projects!$G$19="Yes",7&gt;=Projects!$C$19,7&lt;Projects!$C$19+Projects!$D$19),IF(7=Projects!$C$19+Projects!$D$19-1,Projects!$B$19*Assumptions!$B$12/Projects!$D$19*0.95+0.05*Projects!$B$19*Assumptions!$B$12,Projects!$B$19*Assumptions!$B$12/Projects!$D$19*0.95),0)+IF(AND(Projects!$G$20="Yes",7&gt;=Projects!$C$20,7&lt;Projects!$C$20+Projects!$D$20),IF(7=Projects!$C$20+Projects!$D$20-1,Projects!$B$20*Assumptions!$B$12/Projects!$D$20*0.95+0.05*Projects!$B$20*Assumptions!$B$12,Projects!$B$20*Assumptions!$B$12/Projects!$D$20*0.95),0)+IF(AND(Projects!$G$21="Yes",7&gt;=Projects!$C$21,7&lt;Projects!$C$21+Projects!$D$21),IF(7=Projects!$C$21+Projects!$D$21-1,Projects!$B$21*Assumptions!$B$12/Projects!$D$21*0.95+0.05*Projects!$B$21*Assumptions!$B$12,Projects!$B$21*Assumptions!$B$12/Projects!$D$21*0.95),0)+IF(AND(Projects!$G$22="Yes",7&gt;=Projects!$C$22,7&lt;Projects!$C$22+Projects!$D$22),IF(7=Projects!$C$22+Projects!$D$22-1,Projects!$B$22*Assumptions!$B$12/Projects!$D$22*0.95+0.05*Projects!$B$22*Assumptions!$B$12,Projects!$B$22*Assumptions!$B$12/Projects!$D$22*0.95),0)+IF(AND(Projects!$G$23="Yes",7&gt;=Projects!$C$23,7&lt;Projects!$C$23+Projects!$D$23),IF(7=Projects!$C$23+Projects!$D$23-1,Projects!$B$23*Assumptions!$B$12/Projects!$D$23*0.95+0.05*Projects!$B$23*Assumptions!$B$12,Projects!$B$23*Assumptions!$B$12/Projects!$D$23*0.95),0)+IF(AND(Projects!$G$24="Yes",7&gt;=Projects!$C$24,7&lt;Projects!$C$24+Projects!$D$24),IF(7=Projects!$C$24+Projects!$D$24-1,Projects!$B$24*Assumptions!$B$12/Projects!$D$24*0.95+0.05*Projects!$B$24*Assumptions!$B$12,Projects!$B$24*Assumptions!$B$12/Projects!$D$24*0.95),0)+IF(AND(Projects!$G$25="Yes",7&gt;=Projects!$C$25,7&lt;Projects!$C$25+Projects!$D$25),IF(7=Projects!$C$25+Projects!$D$25-1,Projects!$B$25*Assumptions!$B$12/Projects!$D$25*0.95+0.05*Projects!$B$25*Assumptions!$B$12,Projects!$B$25*Assumptions!$B$12/Projects!$D$25*0.95),0)+IF(AND(Projects!$G$26="Yes",7&gt;=Projects!$C$26,7&lt;Projects!$C$26+Projects!$D$26),IF(7=Projects!$C$26+Projects!$D$26-1,Projects!$B$26*Assumptions!$B$12/Projects!$D$26*0.95+0.05*Projects!$B$26*Assumptions!$B$12,Projects!$B$26*Assumptions!$B$12/Projects!$D$26*0.95),0)+IF(AND(Projects!$G$27="Yes",7&gt;=Projects!$C$27,7&lt;Projects!$C$27+Projects!$D$27),IF(7=Projects!$C$27+Projects!$D$27-1,Projects!$B$27*Assumptions!$B$12/Projects!$D$27*0.95+0.05*Projects!$B$27*Assumptions!$B$12,Projects!$B$27*Assumptions!$B$12/Projects!$D$27*0.95),0)+IF(AND(Projects!$G$28="Yes",7&gt;=Projects!$C$28,7&lt;Projects!$C$28+Projects!$D$28),IF(7=Projects!$C$28+Projects!$D$28-1,Projects!$B$28*Assumptions!$B$12/Projects!$D$28*0.95+0.05*Projects!$B$28*Assumptions!$B$12,Projects!$B$28*Assumptions!$B$12/Projects!$D$28*0.95),0)+IF(AND(Projects!$G$29="Yes",7&gt;=Projects!$C$29,7&lt;Projects!$C$29+Projects!$D$29),IF(7=Projects!$C$29+Projects!$D$29-1,Projects!$B$29*Assumptions!$B$12/Projects!$D$29*0.95+0.05*Projects!$B$29*Assumptions!$B$12,Projects!$B$29*Assumptions!$B$12/Projects!$D$29*0.95),0)</f>
        <v/>
      </c>
      <c r="J100">
        <f>IF(AND(Projects!$G$17="Yes",8&gt;=Projects!$C$17,8&lt;Projects!$C$17+Projects!$D$17),IF(8=Projects!$C$17+Projects!$D$17-1,Projects!$B$17*Assumptions!$B$12/Projects!$D$17*0.95+0.05*Projects!$B$17*Assumptions!$B$12,Projects!$B$17*Assumptions!$B$12/Projects!$D$17*0.95),0)+IF(AND(Projects!$G$18="Yes",8&gt;=Projects!$C$18,8&lt;Projects!$C$18+Projects!$D$18),IF(8=Projects!$C$18+Projects!$D$18-1,Projects!$B$18*Assumptions!$B$12/Projects!$D$18*0.95+0.05*Projects!$B$18*Assumptions!$B$12,Projects!$B$18*Assumptions!$B$12/Projects!$D$18*0.95),0)+IF(AND(Projects!$G$19="Yes",8&gt;=Projects!$C$19,8&lt;Projects!$C$19+Projects!$D$19),IF(8=Projects!$C$19+Projects!$D$19-1,Projects!$B$19*Assumptions!$B$12/Projects!$D$19*0.95+0.05*Projects!$B$19*Assumptions!$B$12,Projects!$B$19*Assumptions!$B$12/Projects!$D$19*0.95),0)+IF(AND(Projects!$G$20="Yes",8&gt;=Projects!$C$20,8&lt;Projects!$C$20+Projects!$D$20),IF(8=Projects!$C$20+Projects!$D$20-1,Projects!$B$20*Assumptions!$B$12/Projects!$D$20*0.95+0.05*Projects!$B$20*Assumptions!$B$12,Projects!$B$20*Assumptions!$B$12/Projects!$D$20*0.95),0)+IF(AND(Projects!$G$21="Yes",8&gt;=Projects!$C$21,8&lt;Projects!$C$21+Projects!$D$21),IF(8=Projects!$C$21+Projects!$D$21-1,Projects!$B$21*Assumptions!$B$12/Projects!$D$21*0.95+0.05*Projects!$B$21*Assumptions!$B$12,Projects!$B$21*Assumptions!$B$12/Projects!$D$21*0.95),0)+IF(AND(Projects!$G$22="Yes",8&gt;=Projects!$C$22,8&lt;Projects!$C$22+Projects!$D$22),IF(8=Projects!$C$22+Projects!$D$22-1,Projects!$B$22*Assumptions!$B$12/Projects!$D$22*0.95+0.05*Projects!$B$22*Assumptions!$B$12,Projects!$B$22*Assumptions!$B$12/Projects!$D$22*0.95),0)+IF(AND(Projects!$G$23="Yes",8&gt;=Projects!$C$23,8&lt;Projects!$C$23+Projects!$D$23),IF(8=Projects!$C$23+Projects!$D$23-1,Projects!$B$23*Assumptions!$B$12/Projects!$D$23*0.95+0.05*Projects!$B$23*Assumptions!$B$12,Projects!$B$23*Assumptions!$B$12/Projects!$D$23*0.95),0)+IF(AND(Projects!$G$24="Yes",8&gt;=Projects!$C$24,8&lt;Projects!$C$24+Projects!$D$24),IF(8=Projects!$C$24+Projects!$D$24-1,Projects!$B$24*Assumptions!$B$12/Projects!$D$24*0.95+0.05*Projects!$B$24*Assumptions!$B$12,Projects!$B$24*Assumptions!$B$12/Projects!$D$24*0.95),0)+IF(AND(Projects!$G$25="Yes",8&gt;=Projects!$C$25,8&lt;Projects!$C$25+Projects!$D$25),IF(8=Projects!$C$25+Projects!$D$25-1,Projects!$B$25*Assumptions!$B$12/Projects!$D$25*0.95+0.05*Projects!$B$25*Assumptions!$B$12,Projects!$B$25*Assumptions!$B$12/Projects!$D$25*0.95),0)+IF(AND(Projects!$G$26="Yes",8&gt;=Projects!$C$26,8&lt;Projects!$C$26+Projects!$D$26),IF(8=Projects!$C$26+Projects!$D$26-1,Projects!$B$26*Assumptions!$B$12/Projects!$D$26*0.95+0.05*Projects!$B$26*Assumptions!$B$12,Projects!$B$26*Assumptions!$B$12/Projects!$D$26*0.95),0)+IF(AND(Projects!$G$27="Yes",8&gt;=Projects!$C$27,8&lt;Projects!$C$27+Projects!$D$27),IF(8=Projects!$C$27+Projects!$D$27-1,Projects!$B$27*Assumptions!$B$12/Projects!$D$27*0.95+0.05*Projects!$B$27*Assumptions!$B$12,Projects!$B$27*Assumptions!$B$12/Projects!$D$27*0.95),0)+IF(AND(Projects!$G$28="Yes",8&gt;=Projects!$C$28,8&lt;Projects!$C$28+Projects!$D$28),IF(8=Projects!$C$28+Projects!$D$28-1,Projects!$B$28*Assumptions!$B$12/Projects!$D$28*0.95+0.05*Projects!$B$28*Assumptions!$B$12,Projects!$B$28*Assumptions!$B$12/Projects!$D$28*0.95),0)+IF(AND(Projects!$G$29="Yes",8&gt;=Projects!$C$29,8&lt;Projects!$C$29+Projects!$D$29),IF(8=Projects!$C$29+Projects!$D$29-1,Projects!$B$29*Assumptions!$B$12/Projects!$D$29*0.95+0.05*Projects!$B$29*Assumptions!$B$12,Projects!$B$29*Assumptions!$B$12/Projects!$D$29*0.95),0)</f>
        <v/>
      </c>
      <c r="K100">
        <f>IF(AND(Projects!$G$17="Yes",9&gt;=Projects!$C$17,9&lt;Projects!$C$17+Projects!$D$17),IF(9=Projects!$C$17+Projects!$D$17-1,Projects!$B$17*Assumptions!$B$12/Projects!$D$17*0.95+0.05*Projects!$B$17*Assumptions!$B$12,Projects!$B$17*Assumptions!$B$12/Projects!$D$17*0.95),0)+IF(AND(Projects!$G$18="Yes",9&gt;=Projects!$C$18,9&lt;Projects!$C$18+Projects!$D$18),IF(9=Projects!$C$18+Projects!$D$18-1,Projects!$B$18*Assumptions!$B$12/Projects!$D$18*0.95+0.05*Projects!$B$18*Assumptions!$B$12,Projects!$B$18*Assumptions!$B$12/Projects!$D$18*0.95),0)+IF(AND(Projects!$G$19="Yes",9&gt;=Projects!$C$19,9&lt;Projects!$C$19+Projects!$D$19),IF(9=Projects!$C$19+Projects!$D$19-1,Projects!$B$19*Assumptions!$B$12/Projects!$D$19*0.95+0.05*Projects!$B$19*Assumptions!$B$12,Projects!$B$19*Assumptions!$B$12/Projects!$D$19*0.95),0)+IF(AND(Projects!$G$20="Yes",9&gt;=Projects!$C$20,9&lt;Projects!$C$20+Projects!$D$20),IF(9=Projects!$C$20+Projects!$D$20-1,Projects!$B$20*Assumptions!$B$12/Projects!$D$20*0.95+0.05*Projects!$B$20*Assumptions!$B$12,Projects!$B$20*Assumptions!$B$12/Projects!$D$20*0.95),0)+IF(AND(Projects!$G$21="Yes",9&gt;=Projects!$C$21,9&lt;Projects!$C$21+Projects!$D$21),IF(9=Projects!$C$21+Projects!$D$21-1,Projects!$B$21*Assumptions!$B$12/Projects!$D$21*0.95+0.05*Projects!$B$21*Assumptions!$B$12,Projects!$B$21*Assumptions!$B$12/Projects!$D$21*0.95),0)+IF(AND(Projects!$G$22="Yes",9&gt;=Projects!$C$22,9&lt;Projects!$C$22+Projects!$D$22),IF(9=Projects!$C$22+Projects!$D$22-1,Projects!$B$22*Assumptions!$B$12/Projects!$D$22*0.95+0.05*Projects!$B$22*Assumptions!$B$12,Projects!$B$22*Assumptions!$B$12/Projects!$D$22*0.95),0)+IF(AND(Projects!$G$23="Yes",9&gt;=Projects!$C$23,9&lt;Projects!$C$23+Projects!$D$23),IF(9=Projects!$C$23+Projects!$D$23-1,Projects!$B$23*Assumptions!$B$12/Projects!$D$23*0.95+0.05*Projects!$B$23*Assumptions!$B$12,Projects!$B$23*Assumptions!$B$12/Projects!$D$23*0.95),0)+IF(AND(Projects!$G$24="Yes",9&gt;=Projects!$C$24,9&lt;Projects!$C$24+Projects!$D$24),IF(9=Projects!$C$24+Projects!$D$24-1,Projects!$B$24*Assumptions!$B$12/Projects!$D$24*0.95+0.05*Projects!$B$24*Assumptions!$B$12,Projects!$B$24*Assumptions!$B$12/Projects!$D$24*0.95),0)+IF(AND(Projects!$G$25="Yes",9&gt;=Projects!$C$25,9&lt;Projects!$C$25+Projects!$D$25),IF(9=Projects!$C$25+Projects!$D$25-1,Projects!$B$25*Assumptions!$B$12/Projects!$D$25*0.95+0.05*Projects!$B$25*Assumptions!$B$12,Projects!$B$25*Assumptions!$B$12/Projects!$D$25*0.95),0)+IF(AND(Projects!$G$26="Yes",9&gt;=Projects!$C$26,9&lt;Projects!$C$26+Projects!$D$26),IF(9=Projects!$C$26+Projects!$D$26-1,Projects!$B$26*Assumptions!$B$12/Projects!$D$26*0.95+0.05*Projects!$B$26*Assumptions!$B$12,Projects!$B$26*Assumptions!$B$12/Projects!$D$26*0.95),0)+IF(AND(Projects!$G$27="Yes",9&gt;=Projects!$C$27,9&lt;Projects!$C$27+Projects!$D$27),IF(9=Projects!$C$27+Projects!$D$27-1,Projects!$B$27*Assumptions!$B$12/Projects!$D$27*0.95+0.05*Projects!$B$27*Assumptions!$B$12,Projects!$B$27*Assumptions!$B$12/Projects!$D$27*0.95),0)+IF(AND(Projects!$G$28="Yes",9&gt;=Projects!$C$28,9&lt;Projects!$C$28+Projects!$D$28),IF(9=Projects!$C$28+Projects!$D$28-1,Projects!$B$28*Assumptions!$B$12/Projects!$D$28*0.95+0.05*Projects!$B$28*Assumptions!$B$12,Projects!$B$28*Assumptions!$B$12/Projects!$D$28*0.95),0)+IF(AND(Projects!$G$29="Yes",9&gt;=Projects!$C$29,9&lt;Projects!$C$29+Projects!$D$29),IF(9=Projects!$C$29+Projects!$D$29-1,Projects!$B$29*Assumptions!$B$12/Projects!$D$29*0.95+0.05*Projects!$B$29*Assumptions!$B$12,Projects!$B$29*Assumptions!$B$12/Projects!$D$29*0.95),0)</f>
        <v/>
      </c>
      <c r="L100">
        <f>IF(AND(Projects!$G$17="Yes",10&gt;=Projects!$C$17,10&lt;Projects!$C$17+Projects!$D$17),IF(10=Projects!$C$17+Projects!$D$17-1,Projects!$B$17*Assumptions!$B$12/Projects!$D$17*0.95+0.05*Projects!$B$17*Assumptions!$B$12,Projects!$B$17*Assumptions!$B$12/Projects!$D$17*0.95),0)+IF(AND(Projects!$G$18="Yes",10&gt;=Projects!$C$18,10&lt;Projects!$C$18+Projects!$D$18),IF(10=Projects!$C$18+Projects!$D$18-1,Projects!$B$18*Assumptions!$B$12/Projects!$D$18*0.95+0.05*Projects!$B$18*Assumptions!$B$12,Projects!$B$18*Assumptions!$B$12/Projects!$D$18*0.95),0)+IF(AND(Projects!$G$19="Yes",10&gt;=Projects!$C$19,10&lt;Projects!$C$19+Projects!$D$19),IF(10=Projects!$C$19+Projects!$D$19-1,Projects!$B$19*Assumptions!$B$12/Projects!$D$19*0.95+0.05*Projects!$B$19*Assumptions!$B$12,Projects!$B$19*Assumptions!$B$12/Projects!$D$19*0.95),0)+IF(AND(Projects!$G$20="Yes",10&gt;=Projects!$C$20,10&lt;Projects!$C$20+Projects!$D$20),IF(10=Projects!$C$20+Projects!$D$20-1,Projects!$B$20*Assumptions!$B$12/Projects!$D$20*0.95+0.05*Projects!$B$20*Assumptions!$B$12,Projects!$B$20*Assumptions!$B$12/Projects!$D$20*0.95),0)+IF(AND(Projects!$G$21="Yes",10&gt;=Projects!$C$21,10&lt;Projects!$C$21+Projects!$D$21),IF(10=Projects!$C$21+Projects!$D$21-1,Projects!$B$21*Assumptions!$B$12/Projects!$D$21*0.95+0.05*Projects!$B$21*Assumptions!$B$12,Projects!$B$21*Assumptions!$B$12/Projects!$D$21*0.95),0)+IF(AND(Projects!$G$22="Yes",10&gt;=Projects!$C$22,10&lt;Projects!$C$22+Projects!$D$22),IF(10=Projects!$C$22+Projects!$D$22-1,Projects!$B$22*Assumptions!$B$12/Projects!$D$22*0.95+0.05*Projects!$B$22*Assumptions!$B$12,Projects!$B$22*Assumptions!$B$12/Projects!$D$22*0.95),0)+IF(AND(Projects!$G$23="Yes",10&gt;=Projects!$C$23,10&lt;Projects!$C$23+Projects!$D$23),IF(10=Projects!$C$23+Projects!$D$23-1,Projects!$B$23*Assumptions!$B$12/Projects!$D$23*0.95+0.05*Projects!$B$23*Assumptions!$B$12,Projects!$B$23*Assumptions!$B$12/Projects!$D$23*0.95),0)+IF(AND(Projects!$G$24="Yes",10&gt;=Projects!$C$24,10&lt;Projects!$C$24+Projects!$D$24),IF(10=Projects!$C$24+Projects!$D$24-1,Projects!$B$24*Assumptions!$B$12/Projects!$D$24*0.95+0.05*Projects!$B$24*Assumptions!$B$12,Projects!$B$24*Assumptions!$B$12/Projects!$D$24*0.95),0)+IF(AND(Projects!$G$25="Yes",10&gt;=Projects!$C$25,10&lt;Projects!$C$25+Projects!$D$25),IF(10=Projects!$C$25+Projects!$D$25-1,Projects!$B$25*Assumptions!$B$12/Projects!$D$25*0.95+0.05*Projects!$B$25*Assumptions!$B$12,Projects!$B$25*Assumptions!$B$12/Projects!$D$25*0.95),0)+IF(AND(Projects!$G$26="Yes",10&gt;=Projects!$C$26,10&lt;Projects!$C$26+Projects!$D$26),IF(10=Projects!$C$26+Projects!$D$26-1,Projects!$B$26*Assumptions!$B$12/Projects!$D$26*0.95+0.05*Projects!$B$26*Assumptions!$B$12,Projects!$B$26*Assumptions!$B$12/Projects!$D$26*0.95),0)+IF(AND(Projects!$G$27="Yes",10&gt;=Projects!$C$27,10&lt;Projects!$C$27+Projects!$D$27),IF(10=Projects!$C$27+Projects!$D$27-1,Projects!$B$27*Assumptions!$B$12/Projects!$D$27*0.95+0.05*Projects!$B$27*Assumptions!$B$12,Projects!$B$27*Assumptions!$B$12/Projects!$D$27*0.95),0)+IF(AND(Projects!$G$28="Yes",10&gt;=Projects!$C$28,10&lt;Projects!$C$28+Projects!$D$28),IF(10=Projects!$C$28+Projects!$D$28-1,Projects!$B$28*Assumptions!$B$12/Projects!$D$28*0.95+0.05*Projects!$B$28*Assumptions!$B$12,Projects!$B$28*Assumptions!$B$12/Projects!$D$28*0.95),0)+IF(AND(Projects!$G$29="Yes",10&gt;=Projects!$C$29,10&lt;Projects!$C$29+Projects!$D$29),IF(10=Projects!$C$29+Projects!$D$29-1,Projects!$B$29*Assumptions!$B$12/Projects!$D$29*0.95+0.05*Projects!$B$29*Assumptions!$B$12,Projects!$B$29*Assumptions!$B$12/Projects!$D$29*0.95),0)</f>
        <v/>
      </c>
      <c r="M100">
        <f>IF(AND(Projects!$G$17="Yes",11&gt;=Projects!$C$17,11&lt;Projects!$C$17+Projects!$D$17),IF(11=Projects!$C$17+Projects!$D$17-1,Projects!$B$17*Assumptions!$B$12/Projects!$D$17*0.95+0.05*Projects!$B$17*Assumptions!$B$12,Projects!$B$17*Assumptions!$B$12/Projects!$D$17*0.95),0)+IF(AND(Projects!$G$18="Yes",11&gt;=Projects!$C$18,11&lt;Projects!$C$18+Projects!$D$18),IF(11=Projects!$C$18+Projects!$D$18-1,Projects!$B$18*Assumptions!$B$12/Projects!$D$18*0.95+0.05*Projects!$B$18*Assumptions!$B$12,Projects!$B$18*Assumptions!$B$12/Projects!$D$18*0.95),0)+IF(AND(Projects!$G$19="Yes",11&gt;=Projects!$C$19,11&lt;Projects!$C$19+Projects!$D$19),IF(11=Projects!$C$19+Projects!$D$19-1,Projects!$B$19*Assumptions!$B$12/Projects!$D$19*0.95+0.05*Projects!$B$19*Assumptions!$B$12,Projects!$B$19*Assumptions!$B$12/Projects!$D$19*0.95),0)+IF(AND(Projects!$G$20="Yes",11&gt;=Projects!$C$20,11&lt;Projects!$C$20+Projects!$D$20),IF(11=Projects!$C$20+Projects!$D$20-1,Projects!$B$20*Assumptions!$B$12/Projects!$D$20*0.95+0.05*Projects!$B$20*Assumptions!$B$12,Projects!$B$20*Assumptions!$B$12/Projects!$D$20*0.95),0)+IF(AND(Projects!$G$21="Yes",11&gt;=Projects!$C$21,11&lt;Projects!$C$21+Projects!$D$21),IF(11=Projects!$C$21+Projects!$D$21-1,Projects!$B$21*Assumptions!$B$12/Projects!$D$21*0.95+0.05*Projects!$B$21*Assumptions!$B$12,Projects!$B$21*Assumptions!$B$12/Projects!$D$21*0.95),0)+IF(AND(Projects!$G$22="Yes",11&gt;=Projects!$C$22,11&lt;Projects!$C$22+Projects!$D$22),IF(11=Projects!$C$22+Projects!$D$22-1,Projects!$B$22*Assumptions!$B$12/Projects!$D$22*0.95+0.05*Projects!$B$22*Assumptions!$B$12,Projects!$B$22*Assumptions!$B$12/Projects!$D$22*0.95),0)+IF(AND(Projects!$G$23="Yes",11&gt;=Projects!$C$23,11&lt;Projects!$C$23+Projects!$D$23),IF(11=Projects!$C$23+Projects!$D$23-1,Projects!$B$23*Assumptions!$B$12/Projects!$D$23*0.95+0.05*Projects!$B$23*Assumptions!$B$12,Projects!$B$23*Assumptions!$B$12/Projects!$D$23*0.95),0)+IF(AND(Projects!$G$24="Yes",11&gt;=Projects!$C$24,11&lt;Projects!$C$24+Projects!$D$24),IF(11=Projects!$C$24+Projects!$D$24-1,Projects!$B$24*Assumptions!$B$12/Projects!$D$24*0.95+0.05*Projects!$B$24*Assumptions!$B$12,Projects!$B$24*Assumptions!$B$12/Projects!$D$24*0.95),0)+IF(AND(Projects!$G$25="Yes",11&gt;=Projects!$C$25,11&lt;Projects!$C$25+Projects!$D$25),IF(11=Projects!$C$25+Projects!$D$25-1,Projects!$B$25*Assumptions!$B$12/Projects!$D$25*0.95+0.05*Projects!$B$25*Assumptions!$B$12,Projects!$B$25*Assumptions!$B$12/Projects!$D$25*0.95),0)+IF(AND(Projects!$G$26="Yes",11&gt;=Projects!$C$26,11&lt;Projects!$C$26+Projects!$D$26),IF(11=Projects!$C$26+Projects!$D$26-1,Projects!$B$26*Assumptions!$B$12/Projects!$D$26*0.95+0.05*Projects!$B$26*Assumptions!$B$12,Projects!$B$26*Assumptions!$B$12/Projects!$D$26*0.95),0)+IF(AND(Projects!$G$27="Yes",11&gt;=Projects!$C$27,11&lt;Projects!$C$27+Projects!$D$27),IF(11=Projects!$C$27+Projects!$D$27-1,Projects!$B$27*Assumptions!$B$12/Projects!$D$27*0.95+0.05*Projects!$B$27*Assumptions!$B$12,Projects!$B$27*Assumptions!$B$12/Projects!$D$27*0.95),0)+IF(AND(Projects!$G$28="Yes",11&gt;=Projects!$C$28,11&lt;Projects!$C$28+Projects!$D$28),IF(11=Projects!$C$28+Projects!$D$28-1,Projects!$B$28*Assumptions!$B$12/Projects!$D$28*0.95+0.05*Projects!$B$28*Assumptions!$B$12,Projects!$B$28*Assumptions!$B$12/Projects!$D$28*0.95),0)+IF(AND(Projects!$G$29="Yes",11&gt;=Projects!$C$29,11&lt;Projects!$C$29+Projects!$D$29),IF(11=Projects!$C$29+Projects!$D$29-1,Projects!$B$29*Assumptions!$B$12/Projects!$D$29*0.95+0.05*Projects!$B$29*Assumptions!$B$12,Projects!$B$29*Assumptions!$B$12/Projects!$D$29*0.95),0)</f>
        <v/>
      </c>
      <c r="N100">
        <f>IF(AND(Projects!$G$17="Yes",12&gt;=Projects!$C$17,12&lt;Projects!$C$17+Projects!$D$17),IF(12=Projects!$C$17+Projects!$D$17-1,Projects!$B$17*Assumptions!$B$12/Projects!$D$17*0.95+0.05*Projects!$B$17*Assumptions!$B$12,Projects!$B$17*Assumptions!$B$12/Projects!$D$17*0.95),0)+IF(AND(Projects!$G$18="Yes",12&gt;=Projects!$C$18,12&lt;Projects!$C$18+Projects!$D$18),IF(12=Projects!$C$18+Projects!$D$18-1,Projects!$B$18*Assumptions!$B$12/Projects!$D$18*0.95+0.05*Projects!$B$18*Assumptions!$B$12,Projects!$B$18*Assumptions!$B$12/Projects!$D$18*0.95),0)+IF(AND(Projects!$G$19="Yes",12&gt;=Projects!$C$19,12&lt;Projects!$C$19+Projects!$D$19),IF(12=Projects!$C$19+Projects!$D$19-1,Projects!$B$19*Assumptions!$B$12/Projects!$D$19*0.95+0.05*Projects!$B$19*Assumptions!$B$12,Projects!$B$19*Assumptions!$B$12/Projects!$D$19*0.95),0)+IF(AND(Projects!$G$20="Yes",12&gt;=Projects!$C$20,12&lt;Projects!$C$20+Projects!$D$20),IF(12=Projects!$C$20+Projects!$D$20-1,Projects!$B$20*Assumptions!$B$12/Projects!$D$20*0.95+0.05*Projects!$B$20*Assumptions!$B$12,Projects!$B$20*Assumptions!$B$12/Projects!$D$20*0.95),0)+IF(AND(Projects!$G$21="Yes",12&gt;=Projects!$C$21,12&lt;Projects!$C$21+Projects!$D$21),IF(12=Projects!$C$21+Projects!$D$21-1,Projects!$B$21*Assumptions!$B$12/Projects!$D$21*0.95+0.05*Projects!$B$21*Assumptions!$B$12,Projects!$B$21*Assumptions!$B$12/Projects!$D$21*0.95),0)+IF(AND(Projects!$G$22="Yes",12&gt;=Projects!$C$22,12&lt;Projects!$C$22+Projects!$D$22),IF(12=Projects!$C$22+Projects!$D$22-1,Projects!$B$22*Assumptions!$B$12/Projects!$D$22*0.95+0.05*Projects!$B$22*Assumptions!$B$12,Projects!$B$22*Assumptions!$B$12/Projects!$D$22*0.95),0)+IF(AND(Projects!$G$23="Yes",12&gt;=Projects!$C$23,12&lt;Projects!$C$23+Projects!$D$23),IF(12=Projects!$C$23+Projects!$D$23-1,Projects!$B$23*Assumptions!$B$12/Projects!$D$23*0.95+0.05*Projects!$B$23*Assumptions!$B$12,Projects!$B$23*Assumptions!$B$12/Projects!$D$23*0.95),0)+IF(AND(Projects!$G$24="Yes",12&gt;=Projects!$C$24,12&lt;Projects!$C$24+Projects!$D$24),IF(12=Projects!$C$24+Projects!$D$24-1,Projects!$B$24*Assumptions!$B$12/Projects!$D$24*0.95+0.05*Projects!$B$24*Assumptions!$B$12,Projects!$B$24*Assumptions!$B$12/Projects!$D$24*0.95),0)+IF(AND(Projects!$G$25="Yes",12&gt;=Projects!$C$25,12&lt;Projects!$C$25+Projects!$D$25),IF(12=Projects!$C$25+Projects!$D$25-1,Projects!$B$25*Assumptions!$B$12/Projects!$D$25*0.95+0.05*Projects!$B$25*Assumptions!$B$12,Projects!$B$25*Assumptions!$B$12/Projects!$D$25*0.95),0)+IF(AND(Projects!$G$26="Yes",12&gt;=Projects!$C$26,12&lt;Projects!$C$26+Projects!$D$26),IF(12=Projects!$C$26+Projects!$D$26-1,Projects!$B$26*Assumptions!$B$12/Projects!$D$26*0.95+0.05*Projects!$B$26*Assumptions!$B$12,Projects!$B$26*Assumptions!$B$12/Projects!$D$26*0.95),0)+IF(AND(Projects!$G$27="Yes",12&gt;=Projects!$C$27,12&lt;Projects!$C$27+Projects!$D$27),IF(12=Projects!$C$27+Projects!$D$27-1,Projects!$B$27*Assumptions!$B$12/Projects!$D$27*0.95+0.05*Projects!$B$27*Assumptions!$B$12,Projects!$B$27*Assumptions!$B$12/Projects!$D$27*0.95),0)+IF(AND(Projects!$G$28="Yes",12&gt;=Projects!$C$28,12&lt;Projects!$C$28+Projects!$D$28),IF(12=Projects!$C$28+Projects!$D$28-1,Projects!$B$28*Assumptions!$B$12/Projects!$D$28*0.95+0.05*Projects!$B$28*Assumptions!$B$12,Projects!$B$28*Assumptions!$B$12/Projects!$D$28*0.95),0)+IF(AND(Projects!$G$29="Yes",12&gt;=Projects!$C$29,12&lt;Projects!$C$29+Projects!$D$29),IF(12=Projects!$C$29+Projects!$D$29-1,Projects!$B$29*Assumptions!$B$12/Projects!$D$29*0.95+0.05*Projects!$B$29*Assumptions!$B$12,Projects!$B$29*Assumptions!$B$12/Projects!$D$29*0.95),0)</f>
        <v/>
      </c>
      <c r="O100">
        <f>IF(AND(Projects!$G$17="Yes",13&gt;=Projects!$C$17,13&lt;Projects!$C$17+Projects!$D$17),IF(13=Projects!$C$17+Projects!$D$17-1,Projects!$B$17*Assumptions!$B$12/Projects!$D$17*0.95+0.05*Projects!$B$17*Assumptions!$B$12,Projects!$B$17*Assumptions!$B$12/Projects!$D$17*0.95),0)+IF(AND(Projects!$G$18="Yes",13&gt;=Projects!$C$18,13&lt;Projects!$C$18+Projects!$D$18),IF(13=Projects!$C$18+Projects!$D$18-1,Projects!$B$18*Assumptions!$B$12/Projects!$D$18*0.95+0.05*Projects!$B$18*Assumptions!$B$12,Projects!$B$18*Assumptions!$B$12/Projects!$D$18*0.95),0)+IF(AND(Projects!$G$19="Yes",13&gt;=Projects!$C$19,13&lt;Projects!$C$19+Projects!$D$19),IF(13=Projects!$C$19+Projects!$D$19-1,Projects!$B$19*Assumptions!$B$12/Projects!$D$19*0.95+0.05*Projects!$B$19*Assumptions!$B$12,Projects!$B$19*Assumptions!$B$12/Projects!$D$19*0.95),0)+IF(AND(Projects!$G$20="Yes",13&gt;=Projects!$C$20,13&lt;Projects!$C$20+Projects!$D$20),IF(13=Projects!$C$20+Projects!$D$20-1,Projects!$B$20*Assumptions!$B$12/Projects!$D$20*0.95+0.05*Projects!$B$20*Assumptions!$B$12,Projects!$B$20*Assumptions!$B$12/Projects!$D$20*0.95),0)+IF(AND(Projects!$G$21="Yes",13&gt;=Projects!$C$21,13&lt;Projects!$C$21+Projects!$D$21),IF(13=Projects!$C$21+Projects!$D$21-1,Projects!$B$21*Assumptions!$B$12/Projects!$D$21*0.95+0.05*Projects!$B$21*Assumptions!$B$12,Projects!$B$21*Assumptions!$B$12/Projects!$D$21*0.95),0)+IF(AND(Projects!$G$22="Yes",13&gt;=Projects!$C$22,13&lt;Projects!$C$22+Projects!$D$22),IF(13=Projects!$C$22+Projects!$D$22-1,Projects!$B$22*Assumptions!$B$12/Projects!$D$22*0.95+0.05*Projects!$B$22*Assumptions!$B$12,Projects!$B$22*Assumptions!$B$12/Projects!$D$22*0.95),0)+IF(AND(Projects!$G$23="Yes",13&gt;=Projects!$C$23,13&lt;Projects!$C$23+Projects!$D$23),IF(13=Projects!$C$23+Projects!$D$23-1,Projects!$B$23*Assumptions!$B$12/Projects!$D$23*0.95+0.05*Projects!$B$23*Assumptions!$B$12,Projects!$B$23*Assumptions!$B$12/Projects!$D$23*0.95),0)+IF(AND(Projects!$G$24="Yes",13&gt;=Projects!$C$24,13&lt;Projects!$C$24+Projects!$D$24),IF(13=Projects!$C$24+Projects!$D$24-1,Projects!$B$24*Assumptions!$B$12/Projects!$D$24*0.95+0.05*Projects!$B$24*Assumptions!$B$12,Projects!$B$24*Assumptions!$B$12/Projects!$D$24*0.95),0)+IF(AND(Projects!$G$25="Yes",13&gt;=Projects!$C$25,13&lt;Projects!$C$25+Projects!$D$25),IF(13=Projects!$C$25+Projects!$D$25-1,Projects!$B$25*Assumptions!$B$12/Projects!$D$25*0.95+0.05*Projects!$B$25*Assumptions!$B$12,Projects!$B$25*Assumptions!$B$12/Projects!$D$25*0.95),0)+IF(AND(Projects!$G$26="Yes",13&gt;=Projects!$C$26,13&lt;Projects!$C$26+Projects!$D$26),IF(13=Projects!$C$26+Projects!$D$26-1,Projects!$B$26*Assumptions!$B$12/Projects!$D$26*0.95+0.05*Projects!$B$26*Assumptions!$B$12,Projects!$B$26*Assumptions!$B$12/Projects!$D$26*0.95),0)+IF(AND(Projects!$G$27="Yes",13&gt;=Projects!$C$27,13&lt;Projects!$C$27+Projects!$D$27),IF(13=Projects!$C$27+Projects!$D$27-1,Projects!$B$27*Assumptions!$B$12/Projects!$D$27*0.95+0.05*Projects!$B$27*Assumptions!$B$12,Projects!$B$27*Assumptions!$B$12/Projects!$D$27*0.95),0)+IF(AND(Projects!$G$28="Yes",13&gt;=Projects!$C$28,13&lt;Projects!$C$28+Projects!$D$28),IF(13=Projects!$C$28+Projects!$D$28-1,Projects!$B$28*Assumptions!$B$12/Projects!$D$28*0.95+0.05*Projects!$B$28*Assumptions!$B$12,Projects!$B$28*Assumptions!$B$12/Projects!$D$28*0.95),0)+IF(AND(Projects!$G$29="Yes",13&gt;=Projects!$C$29,13&lt;Projects!$C$29+Projects!$D$29),IF(13=Projects!$C$29+Projects!$D$29-1,Projects!$B$29*Assumptions!$B$12/Projects!$D$29*0.95+0.05*Projects!$B$29*Assumptions!$B$12,Projects!$B$29*Assumptions!$B$12/Projects!$D$29*0.95),0)</f>
        <v/>
      </c>
      <c r="P100">
        <f>IF(AND(Projects!$G$17="Yes",14&gt;=Projects!$C$17,14&lt;Projects!$C$17+Projects!$D$17),IF(14=Projects!$C$17+Projects!$D$17-1,Projects!$B$17*Assumptions!$B$12/Projects!$D$17*0.95+0.05*Projects!$B$17*Assumptions!$B$12,Projects!$B$17*Assumptions!$B$12/Projects!$D$17*0.95),0)+IF(AND(Projects!$G$18="Yes",14&gt;=Projects!$C$18,14&lt;Projects!$C$18+Projects!$D$18),IF(14=Projects!$C$18+Projects!$D$18-1,Projects!$B$18*Assumptions!$B$12/Projects!$D$18*0.95+0.05*Projects!$B$18*Assumptions!$B$12,Projects!$B$18*Assumptions!$B$12/Projects!$D$18*0.95),0)+IF(AND(Projects!$G$19="Yes",14&gt;=Projects!$C$19,14&lt;Projects!$C$19+Projects!$D$19),IF(14=Projects!$C$19+Projects!$D$19-1,Projects!$B$19*Assumptions!$B$12/Projects!$D$19*0.95+0.05*Projects!$B$19*Assumptions!$B$12,Projects!$B$19*Assumptions!$B$12/Projects!$D$19*0.95),0)+IF(AND(Projects!$G$20="Yes",14&gt;=Projects!$C$20,14&lt;Projects!$C$20+Projects!$D$20),IF(14=Projects!$C$20+Projects!$D$20-1,Projects!$B$20*Assumptions!$B$12/Projects!$D$20*0.95+0.05*Projects!$B$20*Assumptions!$B$12,Projects!$B$20*Assumptions!$B$12/Projects!$D$20*0.95),0)+IF(AND(Projects!$G$21="Yes",14&gt;=Projects!$C$21,14&lt;Projects!$C$21+Projects!$D$21),IF(14=Projects!$C$21+Projects!$D$21-1,Projects!$B$21*Assumptions!$B$12/Projects!$D$21*0.95+0.05*Projects!$B$21*Assumptions!$B$12,Projects!$B$21*Assumptions!$B$12/Projects!$D$21*0.95),0)+IF(AND(Projects!$G$22="Yes",14&gt;=Projects!$C$22,14&lt;Projects!$C$22+Projects!$D$22),IF(14=Projects!$C$22+Projects!$D$22-1,Projects!$B$22*Assumptions!$B$12/Projects!$D$22*0.95+0.05*Projects!$B$22*Assumptions!$B$12,Projects!$B$22*Assumptions!$B$12/Projects!$D$22*0.95),0)+IF(AND(Projects!$G$23="Yes",14&gt;=Projects!$C$23,14&lt;Projects!$C$23+Projects!$D$23),IF(14=Projects!$C$23+Projects!$D$23-1,Projects!$B$23*Assumptions!$B$12/Projects!$D$23*0.95+0.05*Projects!$B$23*Assumptions!$B$12,Projects!$B$23*Assumptions!$B$12/Projects!$D$23*0.95),0)+IF(AND(Projects!$G$24="Yes",14&gt;=Projects!$C$24,14&lt;Projects!$C$24+Projects!$D$24),IF(14=Projects!$C$24+Projects!$D$24-1,Projects!$B$24*Assumptions!$B$12/Projects!$D$24*0.95+0.05*Projects!$B$24*Assumptions!$B$12,Projects!$B$24*Assumptions!$B$12/Projects!$D$24*0.95),0)+IF(AND(Projects!$G$25="Yes",14&gt;=Projects!$C$25,14&lt;Projects!$C$25+Projects!$D$25),IF(14=Projects!$C$25+Projects!$D$25-1,Projects!$B$25*Assumptions!$B$12/Projects!$D$25*0.95+0.05*Projects!$B$25*Assumptions!$B$12,Projects!$B$25*Assumptions!$B$12/Projects!$D$25*0.95),0)+IF(AND(Projects!$G$26="Yes",14&gt;=Projects!$C$26,14&lt;Projects!$C$26+Projects!$D$26),IF(14=Projects!$C$26+Projects!$D$26-1,Projects!$B$26*Assumptions!$B$12/Projects!$D$26*0.95+0.05*Projects!$B$26*Assumptions!$B$12,Projects!$B$26*Assumptions!$B$12/Projects!$D$26*0.95),0)+IF(AND(Projects!$G$27="Yes",14&gt;=Projects!$C$27,14&lt;Projects!$C$27+Projects!$D$27),IF(14=Projects!$C$27+Projects!$D$27-1,Projects!$B$27*Assumptions!$B$12/Projects!$D$27*0.95+0.05*Projects!$B$27*Assumptions!$B$12,Projects!$B$27*Assumptions!$B$12/Projects!$D$27*0.95),0)+IF(AND(Projects!$G$28="Yes",14&gt;=Projects!$C$28,14&lt;Projects!$C$28+Projects!$D$28),IF(14=Projects!$C$28+Projects!$D$28-1,Projects!$B$28*Assumptions!$B$12/Projects!$D$28*0.95+0.05*Projects!$B$28*Assumptions!$B$12,Projects!$B$28*Assumptions!$B$12/Projects!$D$28*0.95),0)+IF(AND(Projects!$G$29="Yes",14&gt;=Projects!$C$29,14&lt;Projects!$C$29+Projects!$D$29),IF(14=Projects!$C$29+Projects!$D$29-1,Projects!$B$29*Assumptions!$B$12/Projects!$D$29*0.95+0.05*Projects!$B$29*Assumptions!$B$12,Projects!$B$29*Assumptions!$B$12/Projects!$D$29*0.95),0)</f>
        <v/>
      </c>
      <c r="Q100">
        <f>IF(AND(Projects!$G$17="Yes",15&gt;=Projects!$C$17,15&lt;Projects!$C$17+Projects!$D$17),IF(15=Projects!$C$17+Projects!$D$17-1,Projects!$B$17*Assumptions!$B$12/Projects!$D$17*0.95+0.05*Projects!$B$17*Assumptions!$B$12,Projects!$B$17*Assumptions!$B$12/Projects!$D$17*0.95),0)+IF(AND(Projects!$G$18="Yes",15&gt;=Projects!$C$18,15&lt;Projects!$C$18+Projects!$D$18),IF(15=Projects!$C$18+Projects!$D$18-1,Projects!$B$18*Assumptions!$B$12/Projects!$D$18*0.95+0.05*Projects!$B$18*Assumptions!$B$12,Projects!$B$18*Assumptions!$B$12/Projects!$D$18*0.95),0)+IF(AND(Projects!$G$19="Yes",15&gt;=Projects!$C$19,15&lt;Projects!$C$19+Projects!$D$19),IF(15=Projects!$C$19+Projects!$D$19-1,Projects!$B$19*Assumptions!$B$12/Projects!$D$19*0.95+0.05*Projects!$B$19*Assumptions!$B$12,Projects!$B$19*Assumptions!$B$12/Projects!$D$19*0.95),0)+IF(AND(Projects!$G$20="Yes",15&gt;=Projects!$C$20,15&lt;Projects!$C$20+Projects!$D$20),IF(15=Projects!$C$20+Projects!$D$20-1,Projects!$B$20*Assumptions!$B$12/Projects!$D$20*0.95+0.05*Projects!$B$20*Assumptions!$B$12,Projects!$B$20*Assumptions!$B$12/Projects!$D$20*0.95),0)+IF(AND(Projects!$G$21="Yes",15&gt;=Projects!$C$21,15&lt;Projects!$C$21+Projects!$D$21),IF(15=Projects!$C$21+Projects!$D$21-1,Projects!$B$21*Assumptions!$B$12/Projects!$D$21*0.95+0.05*Projects!$B$21*Assumptions!$B$12,Projects!$B$21*Assumptions!$B$12/Projects!$D$21*0.95),0)+IF(AND(Projects!$G$22="Yes",15&gt;=Projects!$C$22,15&lt;Projects!$C$22+Projects!$D$22),IF(15=Projects!$C$22+Projects!$D$22-1,Projects!$B$22*Assumptions!$B$12/Projects!$D$22*0.95+0.05*Projects!$B$22*Assumptions!$B$12,Projects!$B$22*Assumptions!$B$12/Projects!$D$22*0.95),0)+IF(AND(Projects!$G$23="Yes",15&gt;=Projects!$C$23,15&lt;Projects!$C$23+Projects!$D$23),IF(15=Projects!$C$23+Projects!$D$23-1,Projects!$B$23*Assumptions!$B$12/Projects!$D$23*0.95+0.05*Projects!$B$23*Assumptions!$B$12,Projects!$B$23*Assumptions!$B$12/Projects!$D$23*0.95),0)+IF(AND(Projects!$G$24="Yes",15&gt;=Projects!$C$24,15&lt;Projects!$C$24+Projects!$D$24),IF(15=Projects!$C$24+Projects!$D$24-1,Projects!$B$24*Assumptions!$B$12/Projects!$D$24*0.95+0.05*Projects!$B$24*Assumptions!$B$12,Projects!$B$24*Assumptions!$B$12/Projects!$D$24*0.95),0)+IF(AND(Projects!$G$25="Yes",15&gt;=Projects!$C$25,15&lt;Projects!$C$25+Projects!$D$25),IF(15=Projects!$C$25+Projects!$D$25-1,Projects!$B$25*Assumptions!$B$12/Projects!$D$25*0.95+0.05*Projects!$B$25*Assumptions!$B$12,Projects!$B$25*Assumptions!$B$12/Projects!$D$25*0.95),0)+IF(AND(Projects!$G$26="Yes",15&gt;=Projects!$C$26,15&lt;Projects!$C$26+Projects!$D$26),IF(15=Projects!$C$26+Projects!$D$26-1,Projects!$B$26*Assumptions!$B$12/Projects!$D$26*0.95+0.05*Projects!$B$26*Assumptions!$B$12,Projects!$B$26*Assumptions!$B$12/Projects!$D$26*0.95),0)+IF(AND(Projects!$G$27="Yes",15&gt;=Projects!$C$27,15&lt;Projects!$C$27+Projects!$D$27),IF(15=Projects!$C$27+Projects!$D$27-1,Projects!$B$27*Assumptions!$B$12/Projects!$D$27*0.95+0.05*Projects!$B$27*Assumptions!$B$12,Projects!$B$27*Assumptions!$B$12/Projects!$D$27*0.95),0)+IF(AND(Projects!$G$28="Yes",15&gt;=Projects!$C$28,15&lt;Projects!$C$28+Projects!$D$28),IF(15=Projects!$C$28+Projects!$D$28-1,Projects!$B$28*Assumptions!$B$12/Projects!$D$28*0.95+0.05*Projects!$B$28*Assumptions!$B$12,Projects!$B$28*Assumptions!$B$12/Projects!$D$28*0.95),0)+IF(AND(Projects!$G$29="Yes",15&gt;=Projects!$C$29,15&lt;Projects!$C$29+Projects!$D$29),IF(15=Projects!$C$29+Projects!$D$29-1,Projects!$B$29*Assumptions!$B$12/Projects!$D$29*0.95+0.05*Projects!$B$29*Assumptions!$B$12,Projects!$B$29*Assumptions!$B$12/Projects!$D$29*0.95),0)</f>
        <v/>
      </c>
      <c r="R100">
        <f>IF(AND(Projects!$G$17="Yes",16&gt;=Projects!$C$17,16&lt;Projects!$C$17+Projects!$D$17),IF(16=Projects!$C$17+Projects!$D$17-1,Projects!$B$17*Assumptions!$B$12/Projects!$D$17*0.95+0.05*Projects!$B$17*Assumptions!$B$12,Projects!$B$17*Assumptions!$B$12/Projects!$D$17*0.95),0)+IF(AND(Projects!$G$18="Yes",16&gt;=Projects!$C$18,16&lt;Projects!$C$18+Projects!$D$18),IF(16=Projects!$C$18+Projects!$D$18-1,Projects!$B$18*Assumptions!$B$12/Projects!$D$18*0.95+0.05*Projects!$B$18*Assumptions!$B$12,Projects!$B$18*Assumptions!$B$12/Projects!$D$18*0.95),0)+IF(AND(Projects!$G$19="Yes",16&gt;=Projects!$C$19,16&lt;Projects!$C$19+Projects!$D$19),IF(16=Projects!$C$19+Projects!$D$19-1,Projects!$B$19*Assumptions!$B$12/Projects!$D$19*0.95+0.05*Projects!$B$19*Assumptions!$B$12,Projects!$B$19*Assumptions!$B$12/Projects!$D$19*0.95),0)+IF(AND(Projects!$G$20="Yes",16&gt;=Projects!$C$20,16&lt;Projects!$C$20+Projects!$D$20),IF(16=Projects!$C$20+Projects!$D$20-1,Projects!$B$20*Assumptions!$B$12/Projects!$D$20*0.95+0.05*Projects!$B$20*Assumptions!$B$12,Projects!$B$20*Assumptions!$B$12/Projects!$D$20*0.95),0)+IF(AND(Projects!$G$21="Yes",16&gt;=Projects!$C$21,16&lt;Projects!$C$21+Projects!$D$21),IF(16=Projects!$C$21+Projects!$D$21-1,Projects!$B$21*Assumptions!$B$12/Projects!$D$21*0.95+0.05*Projects!$B$21*Assumptions!$B$12,Projects!$B$21*Assumptions!$B$12/Projects!$D$21*0.95),0)+IF(AND(Projects!$G$22="Yes",16&gt;=Projects!$C$22,16&lt;Projects!$C$22+Projects!$D$22),IF(16=Projects!$C$22+Projects!$D$22-1,Projects!$B$22*Assumptions!$B$12/Projects!$D$22*0.95+0.05*Projects!$B$22*Assumptions!$B$12,Projects!$B$22*Assumptions!$B$12/Projects!$D$22*0.95),0)+IF(AND(Projects!$G$23="Yes",16&gt;=Projects!$C$23,16&lt;Projects!$C$23+Projects!$D$23),IF(16=Projects!$C$23+Projects!$D$23-1,Projects!$B$23*Assumptions!$B$12/Projects!$D$23*0.95+0.05*Projects!$B$23*Assumptions!$B$12,Projects!$B$23*Assumptions!$B$12/Projects!$D$23*0.95),0)+IF(AND(Projects!$G$24="Yes",16&gt;=Projects!$C$24,16&lt;Projects!$C$24+Projects!$D$24),IF(16=Projects!$C$24+Projects!$D$24-1,Projects!$B$24*Assumptions!$B$12/Projects!$D$24*0.95+0.05*Projects!$B$24*Assumptions!$B$12,Projects!$B$24*Assumptions!$B$12/Projects!$D$24*0.95),0)+IF(AND(Projects!$G$25="Yes",16&gt;=Projects!$C$25,16&lt;Projects!$C$25+Projects!$D$25),IF(16=Projects!$C$25+Projects!$D$25-1,Projects!$B$25*Assumptions!$B$12/Projects!$D$25*0.95+0.05*Projects!$B$25*Assumptions!$B$12,Projects!$B$25*Assumptions!$B$12/Projects!$D$25*0.95),0)+IF(AND(Projects!$G$26="Yes",16&gt;=Projects!$C$26,16&lt;Projects!$C$26+Projects!$D$26),IF(16=Projects!$C$26+Projects!$D$26-1,Projects!$B$26*Assumptions!$B$12/Projects!$D$26*0.95+0.05*Projects!$B$26*Assumptions!$B$12,Projects!$B$26*Assumptions!$B$12/Projects!$D$26*0.95),0)+IF(AND(Projects!$G$27="Yes",16&gt;=Projects!$C$27,16&lt;Projects!$C$27+Projects!$D$27),IF(16=Projects!$C$27+Projects!$D$27-1,Projects!$B$27*Assumptions!$B$12/Projects!$D$27*0.95+0.05*Projects!$B$27*Assumptions!$B$12,Projects!$B$27*Assumptions!$B$12/Projects!$D$27*0.95),0)+IF(AND(Projects!$G$28="Yes",16&gt;=Projects!$C$28,16&lt;Projects!$C$28+Projects!$D$28),IF(16=Projects!$C$28+Projects!$D$28-1,Projects!$B$28*Assumptions!$B$12/Projects!$D$28*0.95+0.05*Projects!$B$28*Assumptions!$B$12,Projects!$B$28*Assumptions!$B$12/Projects!$D$28*0.95),0)+IF(AND(Projects!$G$29="Yes",16&gt;=Projects!$C$29,16&lt;Projects!$C$29+Projects!$D$29),IF(16=Projects!$C$29+Projects!$D$29-1,Projects!$B$29*Assumptions!$B$12/Projects!$D$29*0.95+0.05*Projects!$B$29*Assumptions!$B$12,Projects!$B$29*Assumptions!$B$12/Projects!$D$29*0.95),0)</f>
        <v/>
      </c>
      <c r="S100">
        <f>IF(AND(Projects!$G$17="Yes",17&gt;=Projects!$C$17,17&lt;Projects!$C$17+Projects!$D$17),IF(17=Projects!$C$17+Projects!$D$17-1,Projects!$B$17*Assumptions!$B$12/Projects!$D$17*0.95+0.05*Projects!$B$17*Assumptions!$B$12,Projects!$B$17*Assumptions!$B$12/Projects!$D$17*0.95),0)+IF(AND(Projects!$G$18="Yes",17&gt;=Projects!$C$18,17&lt;Projects!$C$18+Projects!$D$18),IF(17=Projects!$C$18+Projects!$D$18-1,Projects!$B$18*Assumptions!$B$12/Projects!$D$18*0.95+0.05*Projects!$B$18*Assumptions!$B$12,Projects!$B$18*Assumptions!$B$12/Projects!$D$18*0.95),0)+IF(AND(Projects!$G$19="Yes",17&gt;=Projects!$C$19,17&lt;Projects!$C$19+Projects!$D$19),IF(17=Projects!$C$19+Projects!$D$19-1,Projects!$B$19*Assumptions!$B$12/Projects!$D$19*0.95+0.05*Projects!$B$19*Assumptions!$B$12,Projects!$B$19*Assumptions!$B$12/Projects!$D$19*0.95),0)+IF(AND(Projects!$G$20="Yes",17&gt;=Projects!$C$20,17&lt;Projects!$C$20+Projects!$D$20),IF(17=Projects!$C$20+Projects!$D$20-1,Projects!$B$20*Assumptions!$B$12/Projects!$D$20*0.95+0.05*Projects!$B$20*Assumptions!$B$12,Projects!$B$20*Assumptions!$B$12/Projects!$D$20*0.95),0)+IF(AND(Projects!$G$21="Yes",17&gt;=Projects!$C$21,17&lt;Projects!$C$21+Projects!$D$21),IF(17=Projects!$C$21+Projects!$D$21-1,Projects!$B$21*Assumptions!$B$12/Projects!$D$21*0.95+0.05*Projects!$B$21*Assumptions!$B$12,Projects!$B$21*Assumptions!$B$12/Projects!$D$21*0.95),0)+IF(AND(Projects!$G$22="Yes",17&gt;=Projects!$C$22,17&lt;Projects!$C$22+Projects!$D$22),IF(17=Projects!$C$22+Projects!$D$22-1,Projects!$B$22*Assumptions!$B$12/Projects!$D$22*0.95+0.05*Projects!$B$22*Assumptions!$B$12,Projects!$B$22*Assumptions!$B$12/Projects!$D$22*0.95),0)+IF(AND(Projects!$G$23="Yes",17&gt;=Projects!$C$23,17&lt;Projects!$C$23+Projects!$D$23),IF(17=Projects!$C$23+Projects!$D$23-1,Projects!$B$23*Assumptions!$B$12/Projects!$D$23*0.95+0.05*Projects!$B$23*Assumptions!$B$12,Projects!$B$23*Assumptions!$B$12/Projects!$D$23*0.95),0)+IF(AND(Projects!$G$24="Yes",17&gt;=Projects!$C$24,17&lt;Projects!$C$24+Projects!$D$24),IF(17=Projects!$C$24+Projects!$D$24-1,Projects!$B$24*Assumptions!$B$12/Projects!$D$24*0.95+0.05*Projects!$B$24*Assumptions!$B$12,Projects!$B$24*Assumptions!$B$12/Projects!$D$24*0.95),0)+IF(AND(Projects!$G$25="Yes",17&gt;=Projects!$C$25,17&lt;Projects!$C$25+Projects!$D$25),IF(17=Projects!$C$25+Projects!$D$25-1,Projects!$B$25*Assumptions!$B$12/Projects!$D$25*0.95+0.05*Projects!$B$25*Assumptions!$B$12,Projects!$B$25*Assumptions!$B$12/Projects!$D$25*0.95),0)+IF(AND(Projects!$G$26="Yes",17&gt;=Projects!$C$26,17&lt;Projects!$C$26+Projects!$D$26),IF(17=Projects!$C$26+Projects!$D$26-1,Projects!$B$26*Assumptions!$B$12/Projects!$D$26*0.95+0.05*Projects!$B$26*Assumptions!$B$12,Projects!$B$26*Assumptions!$B$12/Projects!$D$26*0.95),0)+IF(AND(Projects!$G$27="Yes",17&gt;=Projects!$C$27,17&lt;Projects!$C$27+Projects!$D$27),IF(17=Projects!$C$27+Projects!$D$27-1,Projects!$B$27*Assumptions!$B$12/Projects!$D$27*0.95+0.05*Projects!$B$27*Assumptions!$B$12,Projects!$B$27*Assumptions!$B$12/Projects!$D$27*0.95),0)+IF(AND(Projects!$G$28="Yes",17&gt;=Projects!$C$28,17&lt;Projects!$C$28+Projects!$D$28),IF(17=Projects!$C$28+Projects!$D$28-1,Projects!$B$28*Assumptions!$B$12/Projects!$D$28*0.95+0.05*Projects!$B$28*Assumptions!$B$12,Projects!$B$28*Assumptions!$B$12/Projects!$D$28*0.95),0)+IF(AND(Projects!$G$29="Yes",17&gt;=Projects!$C$29,17&lt;Projects!$C$29+Projects!$D$29),IF(17=Projects!$C$29+Projects!$D$29-1,Projects!$B$29*Assumptions!$B$12/Projects!$D$29*0.95+0.05*Projects!$B$29*Assumptions!$B$12,Projects!$B$29*Assumptions!$B$12/Projects!$D$29*0.95),0)</f>
        <v/>
      </c>
      <c r="T100">
        <f>IF(AND(Projects!$G$17="Yes",18&gt;=Projects!$C$17,18&lt;Projects!$C$17+Projects!$D$17),IF(18=Projects!$C$17+Projects!$D$17-1,Projects!$B$17*Assumptions!$B$12/Projects!$D$17*0.95+0.05*Projects!$B$17*Assumptions!$B$12,Projects!$B$17*Assumptions!$B$12/Projects!$D$17*0.95),0)+IF(AND(Projects!$G$18="Yes",18&gt;=Projects!$C$18,18&lt;Projects!$C$18+Projects!$D$18),IF(18=Projects!$C$18+Projects!$D$18-1,Projects!$B$18*Assumptions!$B$12/Projects!$D$18*0.95+0.05*Projects!$B$18*Assumptions!$B$12,Projects!$B$18*Assumptions!$B$12/Projects!$D$18*0.95),0)+IF(AND(Projects!$G$19="Yes",18&gt;=Projects!$C$19,18&lt;Projects!$C$19+Projects!$D$19),IF(18=Projects!$C$19+Projects!$D$19-1,Projects!$B$19*Assumptions!$B$12/Projects!$D$19*0.95+0.05*Projects!$B$19*Assumptions!$B$12,Projects!$B$19*Assumptions!$B$12/Projects!$D$19*0.95),0)+IF(AND(Projects!$G$20="Yes",18&gt;=Projects!$C$20,18&lt;Projects!$C$20+Projects!$D$20),IF(18=Projects!$C$20+Projects!$D$20-1,Projects!$B$20*Assumptions!$B$12/Projects!$D$20*0.95+0.05*Projects!$B$20*Assumptions!$B$12,Projects!$B$20*Assumptions!$B$12/Projects!$D$20*0.95),0)+IF(AND(Projects!$G$21="Yes",18&gt;=Projects!$C$21,18&lt;Projects!$C$21+Projects!$D$21),IF(18=Projects!$C$21+Projects!$D$21-1,Projects!$B$21*Assumptions!$B$12/Projects!$D$21*0.95+0.05*Projects!$B$21*Assumptions!$B$12,Projects!$B$21*Assumptions!$B$12/Projects!$D$21*0.95),0)+IF(AND(Projects!$G$22="Yes",18&gt;=Projects!$C$22,18&lt;Projects!$C$22+Projects!$D$22),IF(18=Projects!$C$22+Projects!$D$22-1,Projects!$B$22*Assumptions!$B$12/Projects!$D$22*0.95+0.05*Projects!$B$22*Assumptions!$B$12,Projects!$B$22*Assumptions!$B$12/Projects!$D$22*0.95),0)+IF(AND(Projects!$G$23="Yes",18&gt;=Projects!$C$23,18&lt;Projects!$C$23+Projects!$D$23),IF(18=Projects!$C$23+Projects!$D$23-1,Projects!$B$23*Assumptions!$B$12/Projects!$D$23*0.95+0.05*Projects!$B$23*Assumptions!$B$12,Projects!$B$23*Assumptions!$B$12/Projects!$D$23*0.95),0)+IF(AND(Projects!$G$24="Yes",18&gt;=Projects!$C$24,18&lt;Projects!$C$24+Projects!$D$24),IF(18=Projects!$C$24+Projects!$D$24-1,Projects!$B$24*Assumptions!$B$12/Projects!$D$24*0.95+0.05*Projects!$B$24*Assumptions!$B$12,Projects!$B$24*Assumptions!$B$12/Projects!$D$24*0.95),0)+IF(AND(Projects!$G$25="Yes",18&gt;=Projects!$C$25,18&lt;Projects!$C$25+Projects!$D$25),IF(18=Projects!$C$25+Projects!$D$25-1,Projects!$B$25*Assumptions!$B$12/Projects!$D$25*0.95+0.05*Projects!$B$25*Assumptions!$B$12,Projects!$B$25*Assumptions!$B$12/Projects!$D$25*0.95),0)+IF(AND(Projects!$G$26="Yes",18&gt;=Projects!$C$26,18&lt;Projects!$C$26+Projects!$D$26),IF(18=Projects!$C$26+Projects!$D$26-1,Projects!$B$26*Assumptions!$B$12/Projects!$D$26*0.95+0.05*Projects!$B$26*Assumptions!$B$12,Projects!$B$26*Assumptions!$B$12/Projects!$D$26*0.95),0)+IF(AND(Projects!$G$27="Yes",18&gt;=Projects!$C$27,18&lt;Projects!$C$27+Projects!$D$27),IF(18=Projects!$C$27+Projects!$D$27-1,Projects!$B$27*Assumptions!$B$12/Projects!$D$27*0.95+0.05*Projects!$B$27*Assumptions!$B$12,Projects!$B$27*Assumptions!$B$12/Projects!$D$27*0.95),0)+IF(AND(Projects!$G$28="Yes",18&gt;=Projects!$C$28,18&lt;Projects!$C$28+Projects!$D$28),IF(18=Projects!$C$28+Projects!$D$28-1,Projects!$B$28*Assumptions!$B$12/Projects!$D$28*0.95+0.05*Projects!$B$28*Assumptions!$B$12,Projects!$B$28*Assumptions!$B$12/Projects!$D$28*0.95),0)+IF(AND(Projects!$G$29="Yes",18&gt;=Projects!$C$29,18&lt;Projects!$C$29+Projects!$D$29),IF(18=Projects!$C$29+Projects!$D$29-1,Projects!$B$29*Assumptions!$B$12/Projects!$D$29*0.95+0.05*Projects!$B$29*Assumptions!$B$12,Projects!$B$29*Assumptions!$B$12/Projects!$D$29*0.95),0)</f>
        <v/>
      </c>
      <c r="U100">
        <f>IF(AND(Projects!$G$17="Yes",19&gt;=Projects!$C$17,19&lt;Projects!$C$17+Projects!$D$17),IF(19=Projects!$C$17+Projects!$D$17-1,Projects!$B$17*Assumptions!$B$12/Projects!$D$17*0.95+0.05*Projects!$B$17*Assumptions!$B$12,Projects!$B$17*Assumptions!$B$12/Projects!$D$17*0.95),0)+IF(AND(Projects!$G$18="Yes",19&gt;=Projects!$C$18,19&lt;Projects!$C$18+Projects!$D$18),IF(19=Projects!$C$18+Projects!$D$18-1,Projects!$B$18*Assumptions!$B$12/Projects!$D$18*0.95+0.05*Projects!$B$18*Assumptions!$B$12,Projects!$B$18*Assumptions!$B$12/Projects!$D$18*0.95),0)+IF(AND(Projects!$G$19="Yes",19&gt;=Projects!$C$19,19&lt;Projects!$C$19+Projects!$D$19),IF(19=Projects!$C$19+Projects!$D$19-1,Projects!$B$19*Assumptions!$B$12/Projects!$D$19*0.95+0.05*Projects!$B$19*Assumptions!$B$12,Projects!$B$19*Assumptions!$B$12/Projects!$D$19*0.95),0)+IF(AND(Projects!$G$20="Yes",19&gt;=Projects!$C$20,19&lt;Projects!$C$20+Projects!$D$20),IF(19=Projects!$C$20+Projects!$D$20-1,Projects!$B$20*Assumptions!$B$12/Projects!$D$20*0.95+0.05*Projects!$B$20*Assumptions!$B$12,Projects!$B$20*Assumptions!$B$12/Projects!$D$20*0.95),0)+IF(AND(Projects!$G$21="Yes",19&gt;=Projects!$C$21,19&lt;Projects!$C$21+Projects!$D$21),IF(19=Projects!$C$21+Projects!$D$21-1,Projects!$B$21*Assumptions!$B$12/Projects!$D$21*0.95+0.05*Projects!$B$21*Assumptions!$B$12,Projects!$B$21*Assumptions!$B$12/Projects!$D$21*0.95),0)+IF(AND(Projects!$G$22="Yes",19&gt;=Projects!$C$22,19&lt;Projects!$C$22+Projects!$D$22),IF(19=Projects!$C$22+Projects!$D$22-1,Projects!$B$22*Assumptions!$B$12/Projects!$D$22*0.95+0.05*Projects!$B$22*Assumptions!$B$12,Projects!$B$22*Assumptions!$B$12/Projects!$D$22*0.95),0)+IF(AND(Projects!$G$23="Yes",19&gt;=Projects!$C$23,19&lt;Projects!$C$23+Projects!$D$23),IF(19=Projects!$C$23+Projects!$D$23-1,Projects!$B$23*Assumptions!$B$12/Projects!$D$23*0.95+0.05*Projects!$B$23*Assumptions!$B$12,Projects!$B$23*Assumptions!$B$12/Projects!$D$23*0.95),0)+IF(AND(Projects!$G$24="Yes",19&gt;=Projects!$C$24,19&lt;Projects!$C$24+Projects!$D$24),IF(19=Projects!$C$24+Projects!$D$24-1,Projects!$B$24*Assumptions!$B$12/Projects!$D$24*0.95+0.05*Projects!$B$24*Assumptions!$B$12,Projects!$B$24*Assumptions!$B$12/Projects!$D$24*0.95),0)+IF(AND(Projects!$G$25="Yes",19&gt;=Projects!$C$25,19&lt;Projects!$C$25+Projects!$D$25),IF(19=Projects!$C$25+Projects!$D$25-1,Projects!$B$25*Assumptions!$B$12/Projects!$D$25*0.95+0.05*Projects!$B$25*Assumptions!$B$12,Projects!$B$25*Assumptions!$B$12/Projects!$D$25*0.95),0)+IF(AND(Projects!$G$26="Yes",19&gt;=Projects!$C$26,19&lt;Projects!$C$26+Projects!$D$26),IF(19=Projects!$C$26+Projects!$D$26-1,Projects!$B$26*Assumptions!$B$12/Projects!$D$26*0.95+0.05*Projects!$B$26*Assumptions!$B$12,Projects!$B$26*Assumptions!$B$12/Projects!$D$26*0.95),0)+IF(AND(Projects!$G$27="Yes",19&gt;=Projects!$C$27,19&lt;Projects!$C$27+Projects!$D$27),IF(19=Projects!$C$27+Projects!$D$27-1,Projects!$B$27*Assumptions!$B$12/Projects!$D$27*0.95+0.05*Projects!$B$27*Assumptions!$B$12,Projects!$B$27*Assumptions!$B$12/Projects!$D$27*0.95),0)+IF(AND(Projects!$G$28="Yes",19&gt;=Projects!$C$28,19&lt;Projects!$C$28+Projects!$D$28),IF(19=Projects!$C$28+Projects!$D$28-1,Projects!$B$28*Assumptions!$B$12/Projects!$D$28*0.95+0.05*Projects!$B$28*Assumptions!$B$12,Projects!$B$28*Assumptions!$B$12/Projects!$D$28*0.95),0)+IF(AND(Projects!$G$29="Yes",19&gt;=Projects!$C$29,19&lt;Projects!$C$29+Projects!$D$29),IF(19=Projects!$C$29+Projects!$D$29-1,Projects!$B$29*Assumptions!$B$12/Projects!$D$29*0.95+0.05*Projects!$B$29*Assumptions!$B$12,Projects!$B$29*Assumptions!$B$12/Projects!$D$29*0.95),0)</f>
        <v/>
      </c>
      <c r="V100">
        <f>IF(AND(Projects!$G$17="Yes",20&gt;=Projects!$C$17,20&lt;Projects!$C$17+Projects!$D$17),IF(20=Projects!$C$17+Projects!$D$17-1,Projects!$B$17*Assumptions!$B$12/Projects!$D$17*0.95+0.05*Projects!$B$17*Assumptions!$B$12,Projects!$B$17*Assumptions!$B$12/Projects!$D$17*0.95),0)+IF(AND(Projects!$G$18="Yes",20&gt;=Projects!$C$18,20&lt;Projects!$C$18+Projects!$D$18),IF(20=Projects!$C$18+Projects!$D$18-1,Projects!$B$18*Assumptions!$B$12/Projects!$D$18*0.95+0.05*Projects!$B$18*Assumptions!$B$12,Projects!$B$18*Assumptions!$B$12/Projects!$D$18*0.95),0)+IF(AND(Projects!$G$19="Yes",20&gt;=Projects!$C$19,20&lt;Projects!$C$19+Projects!$D$19),IF(20=Projects!$C$19+Projects!$D$19-1,Projects!$B$19*Assumptions!$B$12/Projects!$D$19*0.95+0.05*Projects!$B$19*Assumptions!$B$12,Projects!$B$19*Assumptions!$B$12/Projects!$D$19*0.95),0)+IF(AND(Projects!$G$20="Yes",20&gt;=Projects!$C$20,20&lt;Projects!$C$20+Projects!$D$20),IF(20=Projects!$C$20+Projects!$D$20-1,Projects!$B$20*Assumptions!$B$12/Projects!$D$20*0.95+0.05*Projects!$B$20*Assumptions!$B$12,Projects!$B$20*Assumptions!$B$12/Projects!$D$20*0.95),0)+IF(AND(Projects!$G$21="Yes",20&gt;=Projects!$C$21,20&lt;Projects!$C$21+Projects!$D$21),IF(20=Projects!$C$21+Projects!$D$21-1,Projects!$B$21*Assumptions!$B$12/Projects!$D$21*0.95+0.05*Projects!$B$21*Assumptions!$B$12,Projects!$B$21*Assumptions!$B$12/Projects!$D$21*0.95),0)+IF(AND(Projects!$G$22="Yes",20&gt;=Projects!$C$22,20&lt;Projects!$C$22+Projects!$D$22),IF(20=Projects!$C$22+Projects!$D$22-1,Projects!$B$22*Assumptions!$B$12/Projects!$D$22*0.95+0.05*Projects!$B$22*Assumptions!$B$12,Projects!$B$22*Assumptions!$B$12/Projects!$D$22*0.95),0)+IF(AND(Projects!$G$23="Yes",20&gt;=Projects!$C$23,20&lt;Projects!$C$23+Projects!$D$23),IF(20=Projects!$C$23+Projects!$D$23-1,Projects!$B$23*Assumptions!$B$12/Projects!$D$23*0.95+0.05*Projects!$B$23*Assumptions!$B$12,Projects!$B$23*Assumptions!$B$12/Projects!$D$23*0.95),0)+IF(AND(Projects!$G$24="Yes",20&gt;=Projects!$C$24,20&lt;Projects!$C$24+Projects!$D$24),IF(20=Projects!$C$24+Projects!$D$24-1,Projects!$B$24*Assumptions!$B$12/Projects!$D$24*0.95+0.05*Projects!$B$24*Assumptions!$B$12,Projects!$B$24*Assumptions!$B$12/Projects!$D$24*0.95),0)+IF(AND(Projects!$G$25="Yes",20&gt;=Projects!$C$25,20&lt;Projects!$C$25+Projects!$D$25),IF(20=Projects!$C$25+Projects!$D$25-1,Projects!$B$25*Assumptions!$B$12/Projects!$D$25*0.95+0.05*Projects!$B$25*Assumptions!$B$12,Projects!$B$25*Assumptions!$B$12/Projects!$D$25*0.95),0)+IF(AND(Projects!$G$26="Yes",20&gt;=Projects!$C$26,20&lt;Projects!$C$26+Projects!$D$26),IF(20=Projects!$C$26+Projects!$D$26-1,Projects!$B$26*Assumptions!$B$12/Projects!$D$26*0.95+0.05*Projects!$B$26*Assumptions!$B$12,Projects!$B$26*Assumptions!$B$12/Projects!$D$26*0.95),0)+IF(AND(Projects!$G$27="Yes",20&gt;=Projects!$C$27,20&lt;Projects!$C$27+Projects!$D$27),IF(20=Projects!$C$27+Projects!$D$27-1,Projects!$B$27*Assumptions!$B$12/Projects!$D$27*0.95+0.05*Projects!$B$27*Assumptions!$B$12,Projects!$B$27*Assumptions!$B$12/Projects!$D$27*0.95),0)+IF(AND(Projects!$G$28="Yes",20&gt;=Projects!$C$28,20&lt;Projects!$C$28+Projects!$D$28),IF(20=Projects!$C$28+Projects!$D$28-1,Projects!$B$28*Assumptions!$B$12/Projects!$D$28*0.95+0.05*Projects!$B$28*Assumptions!$B$12,Projects!$B$28*Assumptions!$B$12/Projects!$D$28*0.95),0)+IF(AND(Projects!$G$29="Yes",20&gt;=Projects!$C$29,20&lt;Projects!$C$29+Projects!$D$29),IF(20=Projects!$C$29+Projects!$D$29-1,Projects!$B$29*Assumptions!$B$12/Projects!$D$29*0.95+0.05*Projects!$B$29*Assumptions!$B$12,Projects!$B$29*Assumptions!$B$12/Projects!$D$29*0.95),0)</f>
        <v/>
      </c>
      <c r="W100">
        <f>IF(AND(Projects!$G$17="Yes",21&gt;=Projects!$C$17,21&lt;Projects!$C$17+Projects!$D$17),IF(21=Projects!$C$17+Projects!$D$17-1,Projects!$B$17*Assumptions!$B$12/Projects!$D$17*0.95+0.05*Projects!$B$17*Assumptions!$B$12,Projects!$B$17*Assumptions!$B$12/Projects!$D$17*0.95),0)+IF(AND(Projects!$G$18="Yes",21&gt;=Projects!$C$18,21&lt;Projects!$C$18+Projects!$D$18),IF(21=Projects!$C$18+Projects!$D$18-1,Projects!$B$18*Assumptions!$B$12/Projects!$D$18*0.95+0.05*Projects!$B$18*Assumptions!$B$12,Projects!$B$18*Assumptions!$B$12/Projects!$D$18*0.95),0)+IF(AND(Projects!$G$19="Yes",21&gt;=Projects!$C$19,21&lt;Projects!$C$19+Projects!$D$19),IF(21=Projects!$C$19+Projects!$D$19-1,Projects!$B$19*Assumptions!$B$12/Projects!$D$19*0.95+0.05*Projects!$B$19*Assumptions!$B$12,Projects!$B$19*Assumptions!$B$12/Projects!$D$19*0.95),0)+IF(AND(Projects!$G$20="Yes",21&gt;=Projects!$C$20,21&lt;Projects!$C$20+Projects!$D$20),IF(21=Projects!$C$20+Projects!$D$20-1,Projects!$B$20*Assumptions!$B$12/Projects!$D$20*0.95+0.05*Projects!$B$20*Assumptions!$B$12,Projects!$B$20*Assumptions!$B$12/Projects!$D$20*0.95),0)+IF(AND(Projects!$G$21="Yes",21&gt;=Projects!$C$21,21&lt;Projects!$C$21+Projects!$D$21),IF(21=Projects!$C$21+Projects!$D$21-1,Projects!$B$21*Assumptions!$B$12/Projects!$D$21*0.95+0.05*Projects!$B$21*Assumptions!$B$12,Projects!$B$21*Assumptions!$B$12/Projects!$D$21*0.95),0)+IF(AND(Projects!$G$22="Yes",21&gt;=Projects!$C$22,21&lt;Projects!$C$22+Projects!$D$22),IF(21=Projects!$C$22+Projects!$D$22-1,Projects!$B$22*Assumptions!$B$12/Projects!$D$22*0.95+0.05*Projects!$B$22*Assumptions!$B$12,Projects!$B$22*Assumptions!$B$12/Projects!$D$22*0.95),0)+IF(AND(Projects!$G$23="Yes",21&gt;=Projects!$C$23,21&lt;Projects!$C$23+Projects!$D$23),IF(21=Projects!$C$23+Projects!$D$23-1,Projects!$B$23*Assumptions!$B$12/Projects!$D$23*0.95+0.05*Projects!$B$23*Assumptions!$B$12,Projects!$B$23*Assumptions!$B$12/Projects!$D$23*0.95),0)+IF(AND(Projects!$G$24="Yes",21&gt;=Projects!$C$24,21&lt;Projects!$C$24+Projects!$D$24),IF(21=Projects!$C$24+Projects!$D$24-1,Projects!$B$24*Assumptions!$B$12/Projects!$D$24*0.95+0.05*Projects!$B$24*Assumptions!$B$12,Projects!$B$24*Assumptions!$B$12/Projects!$D$24*0.95),0)+IF(AND(Projects!$G$25="Yes",21&gt;=Projects!$C$25,21&lt;Projects!$C$25+Projects!$D$25),IF(21=Projects!$C$25+Projects!$D$25-1,Projects!$B$25*Assumptions!$B$12/Projects!$D$25*0.95+0.05*Projects!$B$25*Assumptions!$B$12,Projects!$B$25*Assumptions!$B$12/Projects!$D$25*0.95),0)+IF(AND(Projects!$G$26="Yes",21&gt;=Projects!$C$26,21&lt;Projects!$C$26+Projects!$D$26),IF(21=Projects!$C$26+Projects!$D$26-1,Projects!$B$26*Assumptions!$B$12/Projects!$D$26*0.95+0.05*Projects!$B$26*Assumptions!$B$12,Projects!$B$26*Assumptions!$B$12/Projects!$D$26*0.95),0)+IF(AND(Projects!$G$27="Yes",21&gt;=Projects!$C$27,21&lt;Projects!$C$27+Projects!$D$27),IF(21=Projects!$C$27+Projects!$D$27-1,Projects!$B$27*Assumptions!$B$12/Projects!$D$27*0.95+0.05*Projects!$B$27*Assumptions!$B$12,Projects!$B$27*Assumptions!$B$12/Projects!$D$27*0.95),0)+IF(AND(Projects!$G$28="Yes",21&gt;=Projects!$C$28,21&lt;Projects!$C$28+Projects!$D$28),IF(21=Projects!$C$28+Projects!$D$28-1,Projects!$B$28*Assumptions!$B$12/Projects!$D$28*0.95+0.05*Projects!$B$28*Assumptions!$B$12,Projects!$B$28*Assumptions!$B$12/Projects!$D$28*0.95),0)+IF(AND(Projects!$G$29="Yes",21&gt;=Projects!$C$29,21&lt;Projects!$C$29+Projects!$D$29),IF(21=Projects!$C$29+Projects!$D$29-1,Projects!$B$29*Assumptions!$B$12/Projects!$D$29*0.95+0.05*Projects!$B$29*Assumptions!$B$12,Projects!$B$29*Assumptions!$B$12/Projects!$D$29*0.95),0)</f>
        <v/>
      </c>
      <c r="X100">
        <f>IF(AND(Projects!$G$17="Yes",22&gt;=Projects!$C$17,22&lt;Projects!$C$17+Projects!$D$17),IF(22=Projects!$C$17+Projects!$D$17-1,Projects!$B$17*Assumptions!$B$12/Projects!$D$17*0.95+0.05*Projects!$B$17*Assumptions!$B$12,Projects!$B$17*Assumptions!$B$12/Projects!$D$17*0.95),0)+IF(AND(Projects!$G$18="Yes",22&gt;=Projects!$C$18,22&lt;Projects!$C$18+Projects!$D$18),IF(22=Projects!$C$18+Projects!$D$18-1,Projects!$B$18*Assumptions!$B$12/Projects!$D$18*0.95+0.05*Projects!$B$18*Assumptions!$B$12,Projects!$B$18*Assumptions!$B$12/Projects!$D$18*0.95),0)+IF(AND(Projects!$G$19="Yes",22&gt;=Projects!$C$19,22&lt;Projects!$C$19+Projects!$D$19),IF(22=Projects!$C$19+Projects!$D$19-1,Projects!$B$19*Assumptions!$B$12/Projects!$D$19*0.95+0.05*Projects!$B$19*Assumptions!$B$12,Projects!$B$19*Assumptions!$B$12/Projects!$D$19*0.95),0)+IF(AND(Projects!$G$20="Yes",22&gt;=Projects!$C$20,22&lt;Projects!$C$20+Projects!$D$20),IF(22=Projects!$C$20+Projects!$D$20-1,Projects!$B$20*Assumptions!$B$12/Projects!$D$20*0.95+0.05*Projects!$B$20*Assumptions!$B$12,Projects!$B$20*Assumptions!$B$12/Projects!$D$20*0.95),0)+IF(AND(Projects!$G$21="Yes",22&gt;=Projects!$C$21,22&lt;Projects!$C$21+Projects!$D$21),IF(22=Projects!$C$21+Projects!$D$21-1,Projects!$B$21*Assumptions!$B$12/Projects!$D$21*0.95+0.05*Projects!$B$21*Assumptions!$B$12,Projects!$B$21*Assumptions!$B$12/Projects!$D$21*0.95),0)+IF(AND(Projects!$G$22="Yes",22&gt;=Projects!$C$22,22&lt;Projects!$C$22+Projects!$D$22),IF(22=Projects!$C$22+Projects!$D$22-1,Projects!$B$22*Assumptions!$B$12/Projects!$D$22*0.95+0.05*Projects!$B$22*Assumptions!$B$12,Projects!$B$22*Assumptions!$B$12/Projects!$D$22*0.95),0)+IF(AND(Projects!$G$23="Yes",22&gt;=Projects!$C$23,22&lt;Projects!$C$23+Projects!$D$23),IF(22=Projects!$C$23+Projects!$D$23-1,Projects!$B$23*Assumptions!$B$12/Projects!$D$23*0.95+0.05*Projects!$B$23*Assumptions!$B$12,Projects!$B$23*Assumptions!$B$12/Projects!$D$23*0.95),0)+IF(AND(Projects!$G$24="Yes",22&gt;=Projects!$C$24,22&lt;Projects!$C$24+Projects!$D$24),IF(22=Projects!$C$24+Projects!$D$24-1,Projects!$B$24*Assumptions!$B$12/Projects!$D$24*0.95+0.05*Projects!$B$24*Assumptions!$B$12,Projects!$B$24*Assumptions!$B$12/Projects!$D$24*0.95),0)+IF(AND(Projects!$G$25="Yes",22&gt;=Projects!$C$25,22&lt;Projects!$C$25+Projects!$D$25),IF(22=Projects!$C$25+Projects!$D$25-1,Projects!$B$25*Assumptions!$B$12/Projects!$D$25*0.95+0.05*Projects!$B$25*Assumptions!$B$12,Projects!$B$25*Assumptions!$B$12/Projects!$D$25*0.95),0)+IF(AND(Projects!$G$26="Yes",22&gt;=Projects!$C$26,22&lt;Projects!$C$26+Projects!$D$26),IF(22=Projects!$C$26+Projects!$D$26-1,Projects!$B$26*Assumptions!$B$12/Projects!$D$26*0.95+0.05*Projects!$B$26*Assumptions!$B$12,Projects!$B$26*Assumptions!$B$12/Projects!$D$26*0.95),0)+IF(AND(Projects!$G$27="Yes",22&gt;=Projects!$C$27,22&lt;Projects!$C$27+Projects!$D$27),IF(22=Projects!$C$27+Projects!$D$27-1,Projects!$B$27*Assumptions!$B$12/Projects!$D$27*0.95+0.05*Projects!$B$27*Assumptions!$B$12,Projects!$B$27*Assumptions!$B$12/Projects!$D$27*0.95),0)+IF(AND(Projects!$G$28="Yes",22&gt;=Projects!$C$28,22&lt;Projects!$C$28+Projects!$D$28),IF(22=Projects!$C$28+Projects!$D$28-1,Projects!$B$28*Assumptions!$B$12/Projects!$D$28*0.95+0.05*Projects!$B$28*Assumptions!$B$12,Projects!$B$28*Assumptions!$B$12/Projects!$D$28*0.95),0)+IF(AND(Projects!$G$29="Yes",22&gt;=Projects!$C$29,22&lt;Projects!$C$29+Projects!$D$29),IF(22=Projects!$C$29+Projects!$D$29-1,Projects!$B$29*Assumptions!$B$12/Projects!$D$29*0.95+0.05*Projects!$B$29*Assumptions!$B$12,Projects!$B$29*Assumptions!$B$12/Projects!$D$29*0.95),0)</f>
        <v/>
      </c>
      <c r="Y100">
        <f>IF(AND(Projects!$G$17="Yes",23&gt;=Projects!$C$17,23&lt;Projects!$C$17+Projects!$D$17),IF(23=Projects!$C$17+Projects!$D$17-1,Projects!$B$17*Assumptions!$B$12/Projects!$D$17*0.95+0.05*Projects!$B$17*Assumptions!$B$12,Projects!$B$17*Assumptions!$B$12/Projects!$D$17*0.95),0)+IF(AND(Projects!$G$18="Yes",23&gt;=Projects!$C$18,23&lt;Projects!$C$18+Projects!$D$18),IF(23=Projects!$C$18+Projects!$D$18-1,Projects!$B$18*Assumptions!$B$12/Projects!$D$18*0.95+0.05*Projects!$B$18*Assumptions!$B$12,Projects!$B$18*Assumptions!$B$12/Projects!$D$18*0.95),0)+IF(AND(Projects!$G$19="Yes",23&gt;=Projects!$C$19,23&lt;Projects!$C$19+Projects!$D$19),IF(23=Projects!$C$19+Projects!$D$19-1,Projects!$B$19*Assumptions!$B$12/Projects!$D$19*0.95+0.05*Projects!$B$19*Assumptions!$B$12,Projects!$B$19*Assumptions!$B$12/Projects!$D$19*0.95),0)+IF(AND(Projects!$G$20="Yes",23&gt;=Projects!$C$20,23&lt;Projects!$C$20+Projects!$D$20),IF(23=Projects!$C$20+Projects!$D$20-1,Projects!$B$20*Assumptions!$B$12/Projects!$D$20*0.95+0.05*Projects!$B$20*Assumptions!$B$12,Projects!$B$20*Assumptions!$B$12/Projects!$D$20*0.95),0)+IF(AND(Projects!$G$21="Yes",23&gt;=Projects!$C$21,23&lt;Projects!$C$21+Projects!$D$21),IF(23=Projects!$C$21+Projects!$D$21-1,Projects!$B$21*Assumptions!$B$12/Projects!$D$21*0.95+0.05*Projects!$B$21*Assumptions!$B$12,Projects!$B$21*Assumptions!$B$12/Projects!$D$21*0.95),0)+IF(AND(Projects!$G$22="Yes",23&gt;=Projects!$C$22,23&lt;Projects!$C$22+Projects!$D$22),IF(23=Projects!$C$22+Projects!$D$22-1,Projects!$B$22*Assumptions!$B$12/Projects!$D$22*0.95+0.05*Projects!$B$22*Assumptions!$B$12,Projects!$B$22*Assumptions!$B$12/Projects!$D$22*0.95),0)+IF(AND(Projects!$G$23="Yes",23&gt;=Projects!$C$23,23&lt;Projects!$C$23+Projects!$D$23),IF(23=Projects!$C$23+Projects!$D$23-1,Projects!$B$23*Assumptions!$B$12/Projects!$D$23*0.95+0.05*Projects!$B$23*Assumptions!$B$12,Projects!$B$23*Assumptions!$B$12/Projects!$D$23*0.95),0)+IF(AND(Projects!$G$24="Yes",23&gt;=Projects!$C$24,23&lt;Projects!$C$24+Projects!$D$24),IF(23=Projects!$C$24+Projects!$D$24-1,Projects!$B$24*Assumptions!$B$12/Projects!$D$24*0.95+0.05*Projects!$B$24*Assumptions!$B$12,Projects!$B$24*Assumptions!$B$12/Projects!$D$24*0.95),0)+IF(AND(Projects!$G$25="Yes",23&gt;=Projects!$C$25,23&lt;Projects!$C$25+Projects!$D$25),IF(23=Projects!$C$25+Projects!$D$25-1,Projects!$B$25*Assumptions!$B$12/Projects!$D$25*0.95+0.05*Projects!$B$25*Assumptions!$B$12,Projects!$B$25*Assumptions!$B$12/Projects!$D$25*0.95),0)+IF(AND(Projects!$G$26="Yes",23&gt;=Projects!$C$26,23&lt;Projects!$C$26+Projects!$D$26),IF(23=Projects!$C$26+Projects!$D$26-1,Projects!$B$26*Assumptions!$B$12/Projects!$D$26*0.95+0.05*Projects!$B$26*Assumptions!$B$12,Projects!$B$26*Assumptions!$B$12/Projects!$D$26*0.95),0)+IF(AND(Projects!$G$27="Yes",23&gt;=Projects!$C$27,23&lt;Projects!$C$27+Projects!$D$27),IF(23=Projects!$C$27+Projects!$D$27-1,Projects!$B$27*Assumptions!$B$12/Projects!$D$27*0.95+0.05*Projects!$B$27*Assumptions!$B$12,Projects!$B$27*Assumptions!$B$12/Projects!$D$27*0.95),0)+IF(AND(Projects!$G$28="Yes",23&gt;=Projects!$C$28,23&lt;Projects!$C$28+Projects!$D$28),IF(23=Projects!$C$28+Projects!$D$28-1,Projects!$B$28*Assumptions!$B$12/Projects!$D$28*0.95+0.05*Projects!$B$28*Assumptions!$B$12,Projects!$B$28*Assumptions!$B$12/Projects!$D$28*0.95),0)+IF(AND(Projects!$G$29="Yes",23&gt;=Projects!$C$29,23&lt;Projects!$C$29+Projects!$D$29),IF(23=Projects!$C$29+Projects!$D$29-1,Projects!$B$29*Assumptions!$B$12/Projects!$D$29*0.95+0.05*Projects!$B$29*Assumptions!$B$12,Projects!$B$29*Assumptions!$B$12/Projects!$D$29*0.95),0)</f>
        <v/>
      </c>
      <c r="Z100">
        <f>IF(AND(Projects!$G$17="Yes",24&gt;=Projects!$C$17,24&lt;Projects!$C$17+Projects!$D$17),IF(24=Projects!$C$17+Projects!$D$17-1,Projects!$B$17*Assumptions!$B$12/Projects!$D$17*0.95+0.05*Projects!$B$17*Assumptions!$B$12,Projects!$B$17*Assumptions!$B$12/Projects!$D$17*0.95),0)+IF(AND(Projects!$G$18="Yes",24&gt;=Projects!$C$18,24&lt;Projects!$C$18+Projects!$D$18),IF(24=Projects!$C$18+Projects!$D$18-1,Projects!$B$18*Assumptions!$B$12/Projects!$D$18*0.95+0.05*Projects!$B$18*Assumptions!$B$12,Projects!$B$18*Assumptions!$B$12/Projects!$D$18*0.95),0)+IF(AND(Projects!$G$19="Yes",24&gt;=Projects!$C$19,24&lt;Projects!$C$19+Projects!$D$19),IF(24=Projects!$C$19+Projects!$D$19-1,Projects!$B$19*Assumptions!$B$12/Projects!$D$19*0.95+0.05*Projects!$B$19*Assumptions!$B$12,Projects!$B$19*Assumptions!$B$12/Projects!$D$19*0.95),0)+IF(AND(Projects!$G$20="Yes",24&gt;=Projects!$C$20,24&lt;Projects!$C$20+Projects!$D$20),IF(24=Projects!$C$20+Projects!$D$20-1,Projects!$B$20*Assumptions!$B$12/Projects!$D$20*0.95+0.05*Projects!$B$20*Assumptions!$B$12,Projects!$B$20*Assumptions!$B$12/Projects!$D$20*0.95),0)+IF(AND(Projects!$G$21="Yes",24&gt;=Projects!$C$21,24&lt;Projects!$C$21+Projects!$D$21),IF(24=Projects!$C$21+Projects!$D$21-1,Projects!$B$21*Assumptions!$B$12/Projects!$D$21*0.95+0.05*Projects!$B$21*Assumptions!$B$12,Projects!$B$21*Assumptions!$B$12/Projects!$D$21*0.95),0)+IF(AND(Projects!$G$22="Yes",24&gt;=Projects!$C$22,24&lt;Projects!$C$22+Projects!$D$22),IF(24=Projects!$C$22+Projects!$D$22-1,Projects!$B$22*Assumptions!$B$12/Projects!$D$22*0.95+0.05*Projects!$B$22*Assumptions!$B$12,Projects!$B$22*Assumptions!$B$12/Projects!$D$22*0.95),0)+IF(AND(Projects!$G$23="Yes",24&gt;=Projects!$C$23,24&lt;Projects!$C$23+Projects!$D$23),IF(24=Projects!$C$23+Projects!$D$23-1,Projects!$B$23*Assumptions!$B$12/Projects!$D$23*0.95+0.05*Projects!$B$23*Assumptions!$B$12,Projects!$B$23*Assumptions!$B$12/Projects!$D$23*0.95),0)+IF(AND(Projects!$G$24="Yes",24&gt;=Projects!$C$24,24&lt;Projects!$C$24+Projects!$D$24),IF(24=Projects!$C$24+Projects!$D$24-1,Projects!$B$24*Assumptions!$B$12/Projects!$D$24*0.95+0.05*Projects!$B$24*Assumptions!$B$12,Projects!$B$24*Assumptions!$B$12/Projects!$D$24*0.95),0)+IF(AND(Projects!$G$25="Yes",24&gt;=Projects!$C$25,24&lt;Projects!$C$25+Projects!$D$25),IF(24=Projects!$C$25+Projects!$D$25-1,Projects!$B$25*Assumptions!$B$12/Projects!$D$25*0.95+0.05*Projects!$B$25*Assumptions!$B$12,Projects!$B$25*Assumptions!$B$12/Projects!$D$25*0.95),0)+IF(AND(Projects!$G$26="Yes",24&gt;=Projects!$C$26,24&lt;Projects!$C$26+Projects!$D$26),IF(24=Projects!$C$26+Projects!$D$26-1,Projects!$B$26*Assumptions!$B$12/Projects!$D$26*0.95+0.05*Projects!$B$26*Assumptions!$B$12,Projects!$B$26*Assumptions!$B$12/Projects!$D$26*0.95),0)+IF(AND(Projects!$G$27="Yes",24&gt;=Projects!$C$27,24&lt;Projects!$C$27+Projects!$D$27),IF(24=Projects!$C$27+Projects!$D$27-1,Projects!$B$27*Assumptions!$B$12/Projects!$D$27*0.95+0.05*Projects!$B$27*Assumptions!$B$12,Projects!$B$27*Assumptions!$B$12/Projects!$D$27*0.95),0)+IF(AND(Projects!$G$28="Yes",24&gt;=Projects!$C$28,24&lt;Projects!$C$28+Projects!$D$28),IF(24=Projects!$C$28+Projects!$D$28-1,Projects!$B$28*Assumptions!$B$12/Projects!$D$28*0.95+0.05*Projects!$B$28*Assumptions!$B$12,Projects!$B$28*Assumptions!$B$12/Projects!$D$28*0.95),0)+IF(AND(Projects!$G$29="Yes",24&gt;=Projects!$C$29,24&lt;Projects!$C$29+Projects!$D$29),IF(24=Projects!$C$29+Projects!$D$29-1,Projects!$B$29*Assumptions!$B$12/Projects!$D$29*0.95+0.05*Projects!$B$29*Assumptions!$B$12,Projects!$B$29*Assumptions!$B$12/Projects!$D$29*0.95),0)</f>
        <v/>
      </c>
      <c r="AA100">
        <f>IF(AND(Projects!$G$17="Yes",25&gt;=Projects!$C$17,25&lt;Projects!$C$17+Projects!$D$17),IF(25=Projects!$C$17+Projects!$D$17-1,Projects!$B$17*Assumptions!$B$12/Projects!$D$17*0.95+0.05*Projects!$B$17*Assumptions!$B$12,Projects!$B$17*Assumptions!$B$12/Projects!$D$17*0.95),0)+IF(AND(Projects!$G$18="Yes",25&gt;=Projects!$C$18,25&lt;Projects!$C$18+Projects!$D$18),IF(25=Projects!$C$18+Projects!$D$18-1,Projects!$B$18*Assumptions!$B$12/Projects!$D$18*0.95+0.05*Projects!$B$18*Assumptions!$B$12,Projects!$B$18*Assumptions!$B$12/Projects!$D$18*0.95),0)+IF(AND(Projects!$G$19="Yes",25&gt;=Projects!$C$19,25&lt;Projects!$C$19+Projects!$D$19),IF(25=Projects!$C$19+Projects!$D$19-1,Projects!$B$19*Assumptions!$B$12/Projects!$D$19*0.95+0.05*Projects!$B$19*Assumptions!$B$12,Projects!$B$19*Assumptions!$B$12/Projects!$D$19*0.95),0)+IF(AND(Projects!$G$20="Yes",25&gt;=Projects!$C$20,25&lt;Projects!$C$20+Projects!$D$20),IF(25=Projects!$C$20+Projects!$D$20-1,Projects!$B$20*Assumptions!$B$12/Projects!$D$20*0.95+0.05*Projects!$B$20*Assumptions!$B$12,Projects!$B$20*Assumptions!$B$12/Projects!$D$20*0.95),0)+IF(AND(Projects!$G$21="Yes",25&gt;=Projects!$C$21,25&lt;Projects!$C$21+Projects!$D$21),IF(25=Projects!$C$21+Projects!$D$21-1,Projects!$B$21*Assumptions!$B$12/Projects!$D$21*0.95+0.05*Projects!$B$21*Assumptions!$B$12,Projects!$B$21*Assumptions!$B$12/Projects!$D$21*0.95),0)+IF(AND(Projects!$G$22="Yes",25&gt;=Projects!$C$22,25&lt;Projects!$C$22+Projects!$D$22),IF(25=Projects!$C$22+Projects!$D$22-1,Projects!$B$22*Assumptions!$B$12/Projects!$D$22*0.95+0.05*Projects!$B$22*Assumptions!$B$12,Projects!$B$22*Assumptions!$B$12/Projects!$D$22*0.95),0)+IF(AND(Projects!$G$23="Yes",25&gt;=Projects!$C$23,25&lt;Projects!$C$23+Projects!$D$23),IF(25=Projects!$C$23+Projects!$D$23-1,Projects!$B$23*Assumptions!$B$12/Projects!$D$23*0.95+0.05*Projects!$B$23*Assumptions!$B$12,Projects!$B$23*Assumptions!$B$12/Projects!$D$23*0.95),0)+IF(AND(Projects!$G$24="Yes",25&gt;=Projects!$C$24,25&lt;Projects!$C$24+Projects!$D$24),IF(25=Projects!$C$24+Projects!$D$24-1,Projects!$B$24*Assumptions!$B$12/Projects!$D$24*0.95+0.05*Projects!$B$24*Assumptions!$B$12,Projects!$B$24*Assumptions!$B$12/Projects!$D$24*0.95),0)+IF(AND(Projects!$G$25="Yes",25&gt;=Projects!$C$25,25&lt;Projects!$C$25+Projects!$D$25),IF(25=Projects!$C$25+Projects!$D$25-1,Projects!$B$25*Assumptions!$B$12/Projects!$D$25*0.95+0.05*Projects!$B$25*Assumptions!$B$12,Projects!$B$25*Assumptions!$B$12/Projects!$D$25*0.95),0)+IF(AND(Projects!$G$26="Yes",25&gt;=Projects!$C$26,25&lt;Projects!$C$26+Projects!$D$26),IF(25=Projects!$C$26+Projects!$D$26-1,Projects!$B$26*Assumptions!$B$12/Projects!$D$26*0.95+0.05*Projects!$B$26*Assumptions!$B$12,Projects!$B$26*Assumptions!$B$12/Projects!$D$26*0.95),0)+IF(AND(Projects!$G$27="Yes",25&gt;=Projects!$C$27,25&lt;Projects!$C$27+Projects!$D$27),IF(25=Projects!$C$27+Projects!$D$27-1,Projects!$B$27*Assumptions!$B$12/Projects!$D$27*0.95+0.05*Projects!$B$27*Assumptions!$B$12,Projects!$B$27*Assumptions!$B$12/Projects!$D$27*0.95),0)+IF(AND(Projects!$G$28="Yes",25&gt;=Projects!$C$28,25&lt;Projects!$C$28+Projects!$D$28),IF(25=Projects!$C$28+Projects!$D$28-1,Projects!$B$28*Assumptions!$B$12/Projects!$D$28*0.95+0.05*Projects!$B$28*Assumptions!$B$12,Projects!$B$28*Assumptions!$B$12/Projects!$D$28*0.95),0)+IF(AND(Projects!$G$29="Yes",25&gt;=Projects!$C$29,25&lt;Projects!$C$29+Projects!$D$29),IF(25=Projects!$C$29+Projects!$D$29-1,Projects!$B$29*Assumptions!$B$12/Projects!$D$29*0.95+0.05*Projects!$B$29*Assumptions!$B$12,Projects!$B$29*Assumptions!$B$12/Projects!$D$29*0.95),0)</f>
        <v/>
      </c>
      <c r="AB100">
        <f>IF(AND(Projects!$G$17="Yes",26&gt;=Projects!$C$17,26&lt;Projects!$C$17+Projects!$D$17),IF(26=Projects!$C$17+Projects!$D$17-1,Projects!$B$17*Assumptions!$B$12/Projects!$D$17*0.95+0.05*Projects!$B$17*Assumptions!$B$12,Projects!$B$17*Assumptions!$B$12/Projects!$D$17*0.95),0)+IF(AND(Projects!$G$18="Yes",26&gt;=Projects!$C$18,26&lt;Projects!$C$18+Projects!$D$18),IF(26=Projects!$C$18+Projects!$D$18-1,Projects!$B$18*Assumptions!$B$12/Projects!$D$18*0.95+0.05*Projects!$B$18*Assumptions!$B$12,Projects!$B$18*Assumptions!$B$12/Projects!$D$18*0.95),0)+IF(AND(Projects!$G$19="Yes",26&gt;=Projects!$C$19,26&lt;Projects!$C$19+Projects!$D$19),IF(26=Projects!$C$19+Projects!$D$19-1,Projects!$B$19*Assumptions!$B$12/Projects!$D$19*0.95+0.05*Projects!$B$19*Assumptions!$B$12,Projects!$B$19*Assumptions!$B$12/Projects!$D$19*0.95),0)+IF(AND(Projects!$G$20="Yes",26&gt;=Projects!$C$20,26&lt;Projects!$C$20+Projects!$D$20),IF(26=Projects!$C$20+Projects!$D$20-1,Projects!$B$20*Assumptions!$B$12/Projects!$D$20*0.95+0.05*Projects!$B$20*Assumptions!$B$12,Projects!$B$20*Assumptions!$B$12/Projects!$D$20*0.95),0)+IF(AND(Projects!$G$21="Yes",26&gt;=Projects!$C$21,26&lt;Projects!$C$21+Projects!$D$21),IF(26=Projects!$C$21+Projects!$D$21-1,Projects!$B$21*Assumptions!$B$12/Projects!$D$21*0.95+0.05*Projects!$B$21*Assumptions!$B$12,Projects!$B$21*Assumptions!$B$12/Projects!$D$21*0.95),0)+IF(AND(Projects!$G$22="Yes",26&gt;=Projects!$C$22,26&lt;Projects!$C$22+Projects!$D$22),IF(26=Projects!$C$22+Projects!$D$22-1,Projects!$B$22*Assumptions!$B$12/Projects!$D$22*0.95+0.05*Projects!$B$22*Assumptions!$B$12,Projects!$B$22*Assumptions!$B$12/Projects!$D$22*0.95),0)+IF(AND(Projects!$G$23="Yes",26&gt;=Projects!$C$23,26&lt;Projects!$C$23+Projects!$D$23),IF(26=Projects!$C$23+Projects!$D$23-1,Projects!$B$23*Assumptions!$B$12/Projects!$D$23*0.95+0.05*Projects!$B$23*Assumptions!$B$12,Projects!$B$23*Assumptions!$B$12/Projects!$D$23*0.95),0)+IF(AND(Projects!$G$24="Yes",26&gt;=Projects!$C$24,26&lt;Projects!$C$24+Projects!$D$24),IF(26=Projects!$C$24+Projects!$D$24-1,Projects!$B$24*Assumptions!$B$12/Projects!$D$24*0.95+0.05*Projects!$B$24*Assumptions!$B$12,Projects!$B$24*Assumptions!$B$12/Projects!$D$24*0.95),0)+IF(AND(Projects!$G$25="Yes",26&gt;=Projects!$C$25,26&lt;Projects!$C$25+Projects!$D$25),IF(26=Projects!$C$25+Projects!$D$25-1,Projects!$B$25*Assumptions!$B$12/Projects!$D$25*0.95+0.05*Projects!$B$25*Assumptions!$B$12,Projects!$B$25*Assumptions!$B$12/Projects!$D$25*0.95),0)+IF(AND(Projects!$G$26="Yes",26&gt;=Projects!$C$26,26&lt;Projects!$C$26+Projects!$D$26),IF(26=Projects!$C$26+Projects!$D$26-1,Projects!$B$26*Assumptions!$B$12/Projects!$D$26*0.95+0.05*Projects!$B$26*Assumptions!$B$12,Projects!$B$26*Assumptions!$B$12/Projects!$D$26*0.95),0)+IF(AND(Projects!$G$27="Yes",26&gt;=Projects!$C$27,26&lt;Projects!$C$27+Projects!$D$27),IF(26=Projects!$C$27+Projects!$D$27-1,Projects!$B$27*Assumptions!$B$12/Projects!$D$27*0.95+0.05*Projects!$B$27*Assumptions!$B$12,Projects!$B$27*Assumptions!$B$12/Projects!$D$27*0.95),0)+IF(AND(Projects!$G$28="Yes",26&gt;=Projects!$C$28,26&lt;Projects!$C$28+Projects!$D$28),IF(26=Projects!$C$28+Projects!$D$28-1,Projects!$B$28*Assumptions!$B$12/Projects!$D$28*0.95+0.05*Projects!$B$28*Assumptions!$B$12,Projects!$B$28*Assumptions!$B$12/Projects!$D$28*0.95),0)+IF(AND(Projects!$G$29="Yes",26&gt;=Projects!$C$29,26&lt;Projects!$C$29+Projects!$D$29),IF(26=Projects!$C$29+Projects!$D$29-1,Projects!$B$29*Assumptions!$B$12/Projects!$D$29*0.95+0.05*Projects!$B$29*Assumptions!$B$12,Projects!$B$29*Assumptions!$B$12/Projects!$D$29*0.95),0)</f>
        <v/>
      </c>
      <c r="AC100">
        <f>IF(AND(Projects!$G$17="Yes",27&gt;=Projects!$C$17,27&lt;Projects!$C$17+Projects!$D$17),IF(27=Projects!$C$17+Projects!$D$17-1,Projects!$B$17*Assumptions!$B$12/Projects!$D$17*0.95+0.05*Projects!$B$17*Assumptions!$B$12,Projects!$B$17*Assumptions!$B$12/Projects!$D$17*0.95),0)+IF(AND(Projects!$G$18="Yes",27&gt;=Projects!$C$18,27&lt;Projects!$C$18+Projects!$D$18),IF(27=Projects!$C$18+Projects!$D$18-1,Projects!$B$18*Assumptions!$B$12/Projects!$D$18*0.95+0.05*Projects!$B$18*Assumptions!$B$12,Projects!$B$18*Assumptions!$B$12/Projects!$D$18*0.95),0)+IF(AND(Projects!$G$19="Yes",27&gt;=Projects!$C$19,27&lt;Projects!$C$19+Projects!$D$19),IF(27=Projects!$C$19+Projects!$D$19-1,Projects!$B$19*Assumptions!$B$12/Projects!$D$19*0.95+0.05*Projects!$B$19*Assumptions!$B$12,Projects!$B$19*Assumptions!$B$12/Projects!$D$19*0.95),0)+IF(AND(Projects!$G$20="Yes",27&gt;=Projects!$C$20,27&lt;Projects!$C$20+Projects!$D$20),IF(27=Projects!$C$20+Projects!$D$20-1,Projects!$B$20*Assumptions!$B$12/Projects!$D$20*0.95+0.05*Projects!$B$20*Assumptions!$B$12,Projects!$B$20*Assumptions!$B$12/Projects!$D$20*0.95),0)+IF(AND(Projects!$G$21="Yes",27&gt;=Projects!$C$21,27&lt;Projects!$C$21+Projects!$D$21),IF(27=Projects!$C$21+Projects!$D$21-1,Projects!$B$21*Assumptions!$B$12/Projects!$D$21*0.95+0.05*Projects!$B$21*Assumptions!$B$12,Projects!$B$21*Assumptions!$B$12/Projects!$D$21*0.95),0)+IF(AND(Projects!$G$22="Yes",27&gt;=Projects!$C$22,27&lt;Projects!$C$22+Projects!$D$22),IF(27=Projects!$C$22+Projects!$D$22-1,Projects!$B$22*Assumptions!$B$12/Projects!$D$22*0.95+0.05*Projects!$B$22*Assumptions!$B$12,Projects!$B$22*Assumptions!$B$12/Projects!$D$22*0.95),0)+IF(AND(Projects!$G$23="Yes",27&gt;=Projects!$C$23,27&lt;Projects!$C$23+Projects!$D$23),IF(27=Projects!$C$23+Projects!$D$23-1,Projects!$B$23*Assumptions!$B$12/Projects!$D$23*0.95+0.05*Projects!$B$23*Assumptions!$B$12,Projects!$B$23*Assumptions!$B$12/Projects!$D$23*0.95),0)+IF(AND(Projects!$G$24="Yes",27&gt;=Projects!$C$24,27&lt;Projects!$C$24+Projects!$D$24),IF(27=Projects!$C$24+Projects!$D$24-1,Projects!$B$24*Assumptions!$B$12/Projects!$D$24*0.95+0.05*Projects!$B$24*Assumptions!$B$12,Projects!$B$24*Assumptions!$B$12/Projects!$D$24*0.95),0)+IF(AND(Projects!$G$25="Yes",27&gt;=Projects!$C$25,27&lt;Projects!$C$25+Projects!$D$25),IF(27=Projects!$C$25+Projects!$D$25-1,Projects!$B$25*Assumptions!$B$12/Projects!$D$25*0.95+0.05*Projects!$B$25*Assumptions!$B$12,Projects!$B$25*Assumptions!$B$12/Projects!$D$25*0.95),0)+IF(AND(Projects!$G$26="Yes",27&gt;=Projects!$C$26,27&lt;Projects!$C$26+Projects!$D$26),IF(27=Projects!$C$26+Projects!$D$26-1,Projects!$B$26*Assumptions!$B$12/Projects!$D$26*0.95+0.05*Projects!$B$26*Assumptions!$B$12,Projects!$B$26*Assumptions!$B$12/Projects!$D$26*0.95),0)+IF(AND(Projects!$G$27="Yes",27&gt;=Projects!$C$27,27&lt;Projects!$C$27+Projects!$D$27),IF(27=Projects!$C$27+Projects!$D$27-1,Projects!$B$27*Assumptions!$B$12/Projects!$D$27*0.95+0.05*Projects!$B$27*Assumptions!$B$12,Projects!$B$27*Assumptions!$B$12/Projects!$D$27*0.95),0)+IF(AND(Projects!$G$28="Yes",27&gt;=Projects!$C$28,27&lt;Projects!$C$28+Projects!$D$28),IF(27=Projects!$C$28+Projects!$D$28-1,Projects!$B$28*Assumptions!$B$12/Projects!$D$28*0.95+0.05*Projects!$B$28*Assumptions!$B$12,Projects!$B$28*Assumptions!$B$12/Projects!$D$28*0.95),0)+IF(AND(Projects!$G$29="Yes",27&gt;=Projects!$C$29,27&lt;Projects!$C$29+Projects!$D$29),IF(27=Projects!$C$29+Projects!$D$29-1,Projects!$B$29*Assumptions!$B$12/Projects!$D$29*0.95+0.05*Projects!$B$29*Assumptions!$B$12,Projects!$B$29*Assumptions!$B$12/Projects!$D$29*0.95),0)</f>
        <v/>
      </c>
      <c r="AD100">
        <f>IF(AND(Projects!$G$17="Yes",28&gt;=Projects!$C$17,28&lt;Projects!$C$17+Projects!$D$17),IF(28=Projects!$C$17+Projects!$D$17-1,Projects!$B$17*Assumptions!$B$12/Projects!$D$17*0.95+0.05*Projects!$B$17*Assumptions!$B$12,Projects!$B$17*Assumptions!$B$12/Projects!$D$17*0.95),0)+IF(AND(Projects!$G$18="Yes",28&gt;=Projects!$C$18,28&lt;Projects!$C$18+Projects!$D$18),IF(28=Projects!$C$18+Projects!$D$18-1,Projects!$B$18*Assumptions!$B$12/Projects!$D$18*0.95+0.05*Projects!$B$18*Assumptions!$B$12,Projects!$B$18*Assumptions!$B$12/Projects!$D$18*0.95),0)+IF(AND(Projects!$G$19="Yes",28&gt;=Projects!$C$19,28&lt;Projects!$C$19+Projects!$D$19),IF(28=Projects!$C$19+Projects!$D$19-1,Projects!$B$19*Assumptions!$B$12/Projects!$D$19*0.95+0.05*Projects!$B$19*Assumptions!$B$12,Projects!$B$19*Assumptions!$B$12/Projects!$D$19*0.95),0)+IF(AND(Projects!$G$20="Yes",28&gt;=Projects!$C$20,28&lt;Projects!$C$20+Projects!$D$20),IF(28=Projects!$C$20+Projects!$D$20-1,Projects!$B$20*Assumptions!$B$12/Projects!$D$20*0.95+0.05*Projects!$B$20*Assumptions!$B$12,Projects!$B$20*Assumptions!$B$12/Projects!$D$20*0.95),0)+IF(AND(Projects!$G$21="Yes",28&gt;=Projects!$C$21,28&lt;Projects!$C$21+Projects!$D$21),IF(28=Projects!$C$21+Projects!$D$21-1,Projects!$B$21*Assumptions!$B$12/Projects!$D$21*0.95+0.05*Projects!$B$21*Assumptions!$B$12,Projects!$B$21*Assumptions!$B$12/Projects!$D$21*0.95),0)+IF(AND(Projects!$G$22="Yes",28&gt;=Projects!$C$22,28&lt;Projects!$C$22+Projects!$D$22),IF(28=Projects!$C$22+Projects!$D$22-1,Projects!$B$22*Assumptions!$B$12/Projects!$D$22*0.95+0.05*Projects!$B$22*Assumptions!$B$12,Projects!$B$22*Assumptions!$B$12/Projects!$D$22*0.95),0)+IF(AND(Projects!$G$23="Yes",28&gt;=Projects!$C$23,28&lt;Projects!$C$23+Projects!$D$23),IF(28=Projects!$C$23+Projects!$D$23-1,Projects!$B$23*Assumptions!$B$12/Projects!$D$23*0.95+0.05*Projects!$B$23*Assumptions!$B$12,Projects!$B$23*Assumptions!$B$12/Projects!$D$23*0.95),0)+IF(AND(Projects!$G$24="Yes",28&gt;=Projects!$C$24,28&lt;Projects!$C$24+Projects!$D$24),IF(28=Projects!$C$24+Projects!$D$24-1,Projects!$B$24*Assumptions!$B$12/Projects!$D$24*0.95+0.05*Projects!$B$24*Assumptions!$B$12,Projects!$B$24*Assumptions!$B$12/Projects!$D$24*0.95),0)+IF(AND(Projects!$G$25="Yes",28&gt;=Projects!$C$25,28&lt;Projects!$C$25+Projects!$D$25),IF(28=Projects!$C$25+Projects!$D$25-1,Projects!$B$25*Assumptions!$B$12/Projects!$D$25*0.95+0.05*Projects!$B$25*Assumptions!$B$12,Projects!$B$25*Assumptions!$B$12/Projects!$D$25*0.95),0)+IF(AND(Projects!$G$26="Yes",28&gt;=Projects!$C$26,28&lt;Projects!$C$26+Projects!$D$26),IF(28=Projects!$C$26+Projects!$D$26-1,Projects!$B$26*Assumptions!$B$12/Projects!$D$26*0.95+0.05*Projects!$B$26*Assumptions!$B$12,Projects!$B$26*Assumptions!$B$12/Projects!$D$26*0.95),0)+IF(AND(Projects!$G$27="Yes",28&gt;=Projects!$C$27,28&lt;Projects!$C$27+Projects!$D$27),IF(28=Projects!$C$27+Projects!$D$27-1,Projects!$B$27*Assumptions!$B$12/Projects!$D$27*0.95+0.05*Projects!$B$27*Assumptions!$B$12,Projects!$B$27*Assumptions!$B$12/Projects!$D$27*0.95),0)+IF(AND(Projects!$G$28="Yes",28&gt;=Projects!$C$28,28&lt;Projects!$C$28+Projects!$D$28),IF(28=Projects!$C$28+Projects!$D$28-1,Projects!$B$28*Assumptions!$B$12/Projects!$D$28*0.95+0.05*Projects!$B$28*Assumptions!$B$12,Projects!$B$28*Assumptions!$B$12/Projects!$D$28*0.95),0)+IF(AND(Projects!$G$29="Yes",28&gt;=Projects!$C$29,28&lt;Projects!$C$29+Projects!$D$29),IF(28=Projects!$C$29+Projects!$D$29-1,Projects!$B$29*Assumptions!$B$12/Projects!$D$29*0.95+0.05*Projects!$B$29*Assumptions!$B$12,Projects!$B$29*Assumptions!$B$12/Projects!$D$29*0.95),0)</f>
        <v/>
      </c>
      <c r="AE100">
        <f>IF(AND(Projects!$G$17="Yes",29&gt;=Projects!$C$17,29&lt;Projects!$C$17+Projects!$D$17),IF(29=Projects!$C$17+Projects!$D$17-1,Projects!$B$17*Assumptions!$B$12/Projects!$D$17*0.95+0.05*Projects!$B$17*Assumptions!$B$12,Projects!$B$17*Assumptions!$B$12/Projects!$D$17*0.95),0)+IF(AND(Projects!$G$18="Yes",29&gt;=Projects!$C$18,29&lt;Projects!$C$18+Projects!$D$18),IF(29=Projects!$C$18+Projects!$D$18-1,Projects!$B$18*Assumptions!$B$12/Projects!$D$18*0.95+0.05*Projects!$B$18*Assumptions!$B$12,Projects!$B$18*Assumptions!$B$12/Projects!$D$18*0.95),0)+IF(AND(Projects!$G$19="Yes",29&gt;=Projects!$C$19,29&lt;Projects!$C$19+Projects!$D$19),IF(29=Projects!$C$19+Projects!$D$19-1,Projects!$B$19*Assumptions!$B$12/Projects!$D$19*0.95+0.05*Projects!$B$19*Assumptions!$B$12,Projects!$B$19*Assumptions!$B$12/Projects!$D$19*0.95),0)+IF(AND(Projects!$G$20="Yes",29&gt;=Projects!$C$20,29&lt;Projects!$C$20+Projects!$D$20),IF(29=Projects!$C$20+Projects!$D$20-1,Projects!$B$20*Assumptions!$B$12/Projects!$D$20*0.95+0.05*Projects!$B$20*Assumptions!$B$12,Projects!$B$20*Assumptions!$B$12/Projects!$D$20*0.95),0)+IF(AND(Projects!$G$21="Yes",29&gt;=Projects!$C$21,29&lt;Projects!$C$21+Projects!$D$21),IF(29=Projects!$C$21+Projects!$D$21-1,Projects!$B$21*Assumptions!$B$12/Projects!$D$21*0.95+0.05*Projects!$B$21*Assumptions!$B$12,Projects!$B$21*Assumptions!$B$12/Projects!$D$21*0.95),0)+IF(AND(Projects!$G$22="Yes",29&gt;=Projects!$C$22,29&lt;Projects!$C$22+Projects!$D$22),IF(29=Projects!$C$22+Projects!$D$22-1,Projects!$B$22*Assumptions!$B$12/Projects!$D$22*0.95+0.05*Projects!$B$22*Assumptions!$B$12,Projects!$B$22*Assumptions!$B$12/Projects!$D$22*0.95),0)+IF(AND(Projects!$G$23="Yes",29&gt;=Projects!$C$23,29&lt;Projects!$C$23+Projects!$D$23),IF(29=Projects!$C$23+Projects!$D$23-1,Projects!$B$23*Assumptions!$B$12/Projects!$D$23*0.95+0.05*Projects!$B$23*Assumptions!$B$12,Projects!$B$23*Assumptions!$B$12/Projects!$D$23*0.95),0)+IF(AND(Projects!$G$24="Yes",29&gt;=Projects!$C$24,29&lt;Projects!$C$24+Projects!$D$24),IF(29=Projects!$C$24+Projects!$D$24-1,Projects!$B$24*Assumptions!$B$12/Projects!$D$24*0.95+0.05*Projects!$B$24*Assumptions!$B$12,Projects!$B$24*Assumptions!$B$12/Projects!$D$24*0.95),0)+IF(AND(Projects!$G$25="Yes",29&gt;=Projects!$C$25,29&lt;Projects!$C$25+Projects!$D$25),IF(29=Projects!$C$25+Projects!$D$25-1,Projects!$B$25*Assumptions!$B$12/Projects!$D$25*0.95+0.05*Projects!$B$25*Assumptions!$B$12,Projects!$B$25*Assumptions!$B$12/Projects!$D$25*0.95),0)+IF(AND(Projects!$G$26="Yes",29&gt;=Projects!$C$26,29&lt;Projects!$C$26+Projects!$D$26),IF(29=Projects!$C$26+Projects!$D$26-1,Projects!$B$26*Assumptions!$B$12/Projects!$D$26*0.95+0.05*Projects!$B$26*Assumptions!$B$12,Projects!$B$26*Assumptions!$B$12/Projects!$D$26*0.95),0)+IF(AND(Projects!$G$27="Yes",29&gt;=Projects!$C$27,29&lt;Projects!$C$27+Projects!$D$27),IF(29=Projects!$C$27+Projects!$D$27-1,Projects!$B$27*Assumptions!$B$12/Projects!$D$27*0.95+0.05*Projects!$B$27*Assumptions!$B$12,Projects!$B$27*Assumptions!$B$12/Projects!$D$27*0.95),0)+IF(AND(Projects!$G$28="Yes",29&gt;=Projects!$C$28,29&lt;Projects!$C$28+Projects!$D$28),IF(29=Projects!$C$28+Projects!$D$28-1,Projects!$B$28*Assumptions!$B$12/Projects!$D$28*0.95+0.05*Projects!$B$28*Assumptions!$B$12,Projects!$B$28*Assumptions!$B$12/Projects!$D$28*0.95),0)+IF(AND(Projects!$G$29="Yes",29&gt;=Projects!$C$29,29&lt;Projects!$C$29+Projects!$D$29),IF(29=Projects!$C$29+Projects!$D$29-1,Projects!$B$29*Assumptions!$B$12/Projects!$D$29*0.95+0.05*Projects!$B$29*Assumptions!$B$12,Projects!$B$29*Assumptions!$B$12/Projects!$D$29*0.95),0)</f>
        <v/>
      </c>
      <c r="AF100">
        <f>IF(AND(Projects!$G$17="Yes",30&gt;=Projects!$C$17,30&lt;Projects!$C$17+Projects!$D$17),IF(30=Projects!$C$17+Projects!$D$17-1,Projects!$B$17*Assumptions!$B$12/Projects!$D$17*0.95+0.05*Projects!$B$17*Assumptions!$B$12,Projects!$B$17*Assumptions!$B$12/Projects!$D$17*0.95),0)+IF(AND(Projects!$G$18="Yes",30&gt;=Projects!$C$18,30&lt;Projects!$C$18+Projects!$D$18),IF(30=Projects!$C$18+Projects!$D$18-1,Projects!$B$18*Assumptions!$B$12/Projects!$D$18*0.95+0.05*Projects!$B$18*Assumptions!$B$12,Projects!$B$18*Assumptions!$B$12/Projects!$D$18*0.95),0)+IF(AND(Projects!$G$19="Yes",30&gt;=Projects!$C$19,30&lt;Projects!$C$19+Projects!$D$19),IF(30=Projects!$C$19+Projects!$D$19-1,Projects!$B$19*Assumptions!$B$12/Projects!$D$19*0.95+0.05*Projects!$B$19*Assumptions!$B$12,Projects!$B$19*Assumptions!$B$12/Projects!$D$19*0.95),0)+IF(AND(Projects!$G$20="Yes",30&gt;=Projects!$C$20,30&lt;Projects!$C$20+Projects!$D$20),IF(30=Projects!$C$20+Projects!$D$20-1,Projects!$B$20*Assumptions!$B$12/Projects!$D$20*0.95+0.05*Projects!$B$20*Assumptions!$B$12,Projects!$B$20*Assumptions!$B$12/Projects!$D$20*0.95),0)+IF(AND(Projects!$G$21="Yes",30&gt;=Projects!$C$21,30&lt;Projects!$C$21+Projects!$D$21),IF(30=Projects!$C$21+Projects!$D$21-1,Projects!$B$21*Assumptions!$B$12/Projects!$D$21*0.95+0.05*Projects!$B$21*Assumptions!$B$12,Projects!$B$21*Assumptions!$B$12/Projects!$D$21*0.95),0)+IF(AND(Projects!$G$22="Yes",30&gt;=Projects!$C$22,30&lt;Projects!$C$22+Projects!$D$22),IF(30=Projects!$C$22+Projects!$D$22-1,Projects!$B$22*Assumptions!$B$12/Projects!$D$22*0.95+0.05*Projects!$B$22*Assumptions!$B$12,Projects!$B$22*Assumptions!$B$12/Projects!$D$22*0.95),0)+IF(AND(Projects!$G$23="Yes",30&gt;=Projects!$C$23,30&lt;Projects!$C$23+Projects!$D$23),IF(30=Projects!$C$23+Projects!$D$23-1,Projects!$B$23*Assumptions!$B$12/Projects!$D$23*0.95+0.05*Projects!$B$23*Assumptions!$B$12,Projects!$B$23*Assumptions!$B$12/Projects!$D$23*0.95),0)+IF(AND(Projects!$G$24="Yes",30&gt;=Projects!$C$24,30&lt;Projects!$C$24+Projects!$D$24),IF(30=Projects!$C$24+Projects!$D$24-1,Projects!$B$24*Assumptions!$B$12/Projects!$D$24*0.95+0.05*Projects!$B$24*Assumptions!$B$12,Projects!$B$24*Assumptions!$B$12/Projects!$D$24*0.95),0)+IF(AND(Projects!$G$25="Yes",30&gt;=Projects!$C$25,30&lt;Projects!$C$25+Projects!$D$25),IF(30=Projects!$C$25+Projects!$D$25-1,Projects!$B$25*Assumptions!$B$12/Projects!$D$25*0.95+0.05*Projects!$B$25*Assumptions!$B$12,Projects!$B$25*Assumptions!$B$12/Projects!$D$25*0.95),0)+IF(AND(Projects!$G$26="Yes",30&gt;=Projects!$C$26,30&lt;Projects!$C$26+Projects!$D$26),IF(30=Projects!$C$26+Projects!$D$26-1,Projects!$B$26*Assumptions!$B$12/Projects!$D$26*0.95+0.05*Projects!$B$26*Assumptions!$B$12,Projects!$B$26*Assumptions!$B$12/Projects!$D$26*0.95),0)+IF(AND(Projects!$G$27="Yes",30&gt;=Projects!$C$27,30&lt;Projects!$C$27+Projects!$D$27),IF(30=Projects!$C$27+Projects!$D$27-1,Projects!$B$27*Assumptions!$B$12/Projects!$D$27*0.95+0.05*Projects!$B$27*Assumptions!$B$12,Projects!$B$27*Assumptions!$B$12/Projects!$D$27*0.95),0)+IF(AND(Projects!$G$28="Yes",30&gt;=Projects!$C$28,30&lt;Projects!$C$28+Projects!$D$28),IF(30=Projects!$C$28+Projects!$D$28-1,Projects!$B$28*Assumptions!$B$12/Projects!$D$28*0.95+0.05*Projects!$B$28*Assumptions!$B$12,Projects!$B$28*Assumptions!$B$12/Projects!$D$28*0.95),0)+IF(AND(Projects!$G$29="Yes",30&gt;=Projects!$C$29,30&lt;Projects!$C$29+Projects!$D$29),IF(30=Projects!$C$29+Projects!$D$29-1,Projects!$B$29*Assumptions!$B$12/Projects!$D$29*0.95+0.05*Projects!$B$29*Assumptions!$B$12,Projects!$B$29*Assumptions!$B$12/Projects!$D$29*0.95),0)</f>
        <v/>
      </c>
      <c r="AG100">
        <f>IF(AND(Projects!$G$17="Yes",31&gt;=Projects!$C$17,31&lt;Projects!$C$17+Projects!$D$17),IF(31=Projects!$C$17+Projects!$D$17-1,Projects!$B$17*Assumptions!$B$12/Projects!$D$17*0.95+0.05*Projects!$B$17*Assumptions!$B$12,Projects!$B$17*Assumptions!$B$12/Projects!$D$17*0.95),0)+IF(AND(Projects!$G$18="Yes",31&gt;=Projects!$C$18,31&lt;Projects!$C$18+Projects!$D$18),IF(31=Projects!$C$18+Projects!$D$18-1,Projects!$B$18*Assumptions!$B$12/Projects!$D$18*0.95+0.05*Projects!$B$18*Assumptions!$B$12,Projects!$B$18*Assumptions!$B$12/Projects!$D$18*0.95),0)+IF(AND(Projects!$G$19="Yes",31&gt;=Projects!$C$19,31&lt;Projects!$C$19+Projects!$D$19),IF(31=Projects!$C$19+Projects!$D$19-1,Projects!$B$19*Assumptions!$B$12/Projects!$D$19*0.95+0.05*Projects!$B$19*Assumptions!$B$12,Projects!$B$19*Assumptions!$B$12/Projects!$D$19*0.95),0)+IF(AND(Projects!$G$20="Yes",31&gt;=Projects!$C$20,31&lt;Projects!$C$20+Projects!$D$20),IF(31=Projects!$C$20+Projects!$D$20-1,Projects!$B$20*Assumptions!$B$12/Projects!$D$20*0.95+0.05*Projects!$B$20*Assumptions!$B$12,Projects!$B$20*Assumptions!$B$12/Projects!$D$20*0.95),0)+IF(AND(Projects!$G$21="Yes",31&gt;=Projects!$C$21,31&lt;Projects!$C$21+Projects!$D$21),IF(31=Projects!$C$21+Projects!$D$21-1,Projects!$B$21*Assumptions!$B$12/Projects!$D$21*0.95+0.05*Projects!$B$21*Assumptions!$B$12,Projects!$B$21*Assumptions!$B$12/Projects!$D$21*0.95),0)+IF(AND(Projects!$G$22="Yes",31&gt;=Projects!$C$22,31&lt;Projects!$C$22+Projects!$D$22),IF(31=Projects!$C$22+Projects!$D$22-1,Projects!$B$22*Assumptions!$B$12/Projects!$D$22*0.95+0.05*Projects!$B$22*Assumptions!$B$12,Projects!$B$22*Assumptions!$B$12/Projects!$D$22*0.95),0)+IF(AND(Projects!$G$23="Yes",31&gt;=Projects!$C$23,31&lt;Projects!$C$23+Projects!$D$23),IF(31=Projects!$C$23+Projects!$D$23-1,Projects!$B$23*Assumptions!$B$12/Projects!$D$23*0.95+0.05*Projects!$B$23*Assumptions!$B$12,Projects!$B$23*Assumptions!$B$12/Projects!$D$23*0.95),0)+IF(AND(Projects!$G$24="Yes",31&gt;=Projects!$C$24,31&lt;Projects!$C$24+Projects!$D$24),IF(31=Projects!$C$24+Projects!$D$24-1,Projects!$B$24*Assumptions!$B$12/Projects!$D$24*0.95+0.05*Projects!$B$24*Assumptions!$B$12,Projects!$B$24*Assumptions!$B$12/Projects!$D$24*0.95),0)+IF(AND(Projects!$G$25="Yes",31&gt;=Projects!$C$25,31&lt;Projects!$C$25+Projects!$D$25),IF(31=Projects!$C$25+Projects!$D$25-1,Projects!$B$25*Assumptions!$B$12/Projects!$D$25*0.95+0.05*Projects!$B$25*Assumptions!$B$12,Projects!$B$25*Assumptions!$B$12/Projects!$D$25*0.95),0)+IF(AND(Projects!$G$26="Yes",31&gt;=Projects!$C$26,31&lt;Projects!$C$26+Projects!$D$26),IF(31=Projects!$C$26+Projects!$D$26-1,Projects!$B$26*Assumptions!$B$12/Projects!$D$26*0.95+0.05*Projects!$B$26*Assumptions!$B$12,Projects!$B$26*Assumptions!$B$12/Projects!$D$26*0.95),0)+IF(AND(Projects!$G$27="Yes",31&gt;=Projects!$C$27,31&lt;Projects!$C$27+Projects!$D$27),IF(31=Projects!$C$27+Projects!$D$27-1,Projects!$B$27*Assumptions!$B$12/Projects!$D$27*0.95+0.05*Projects!$B$27*Assumptions!$B$12,Projects!$B$27*Assumptions!$B$12/Projects!$D$27*0.95),0)+IF(AND(Projects!$G$28="Yes",31&gt;=Projects!$C$28,31&lt;Projects!$C$28+Projects!$D$28),IF(31=Projects!$C$28+Projects!$D$28-1,Projects!$B$28*Assumptions!$B$12/Projects!$D$28*0.95+0.05*Projects!$B$28*Assumptions!$B$12,Projects!$B$28*Assumptions!$B$12/Projects!$D$28*0.95),0)+IF(AND(Projects!$G$29="Yes",31&gt;=Projects!$C$29,31&lt;Projects!$C$29+Projects!$D$29),IF(31=Projects!$C$29+Projects!$D$29-1,Projects!$B$29*Assumptions!$B$12/Projects!$D$29*0.95+0.05*Projects!$B$29*Assumptions!$B$12,Projects!$B$29*Assumptions!$B$12/Projects!$D$29*0.95),0)</f>
        <v/>
      </c>
      <c r="AH100">
        <f>IF(AND(Projects!$G$17="Yes",32&gt;=Projects!$C$17,32&lt;Projects!$C$17+Projects!$D$17),IF(32=Projects!$C$17+Projects!$D$17-1,Projects!$B$17*Assumptions!$B$12/Projects!$D$17*0.95+0.05*Projects!$B$17*Assumptions!$B$12,Projects!$B$17*Assumptions!$B$12/Projects!$D$17*0.95),0)+IF(AND(Projects!$G$18="Yes",32&gt;=Projects!$C$18,32&lt;Projects!$C$18+Projects!$D$18),IF(32=Projects!$C$18+Projects!$D$18-1,Projects!$B$18*Assumptions!$B$12/Projects!$D$18*0.95+0.05*Projects!$B$18*Assumptions!$B$12,Projects!$B$18*Assumptions!$B$12/Projects!$D$18*0.95),0)+IF(AND(Projects!$G$19="Yes",32&gt;=Projects!$C$19,32&lt;Projects!$C$19+Projects!$D$19),IF(32=Projects!$C$19+Projects!$D$19-1,Projects!$B$19*Assumptions!$B$12/Projects!$D$19*0.95+0.05*Projects!$B$19*Assumptions!$B$12,Projects!$B$19*Assumptions!$B$12/Projects!$D$19*0.95),0)+IF(AND(Projects!$G$20="Yes",32&gt;=Projects!$C$20,32&lt;Projects!$C$20+Projects!$D$20),IF(32=Projects!$C$20+Projects!$D$20-1,Projects!$B$20*Assumptions!$B$12/Projects!$D$20*0.95+0.05*Projects!$B$20*Assumptions!$B$12,Projects!$B$20*Assumptions!$B$12/Projects!$D$20*0.95),0)+IF(AND(Projects!$G$21="Yes",32&gt;=Projects!$C$21,32&lt;Projects!$C$21+Projects!$D$21),IF(32=Projects!$C$21+Projects!$D$21-1,Projects!$B$21*Assumptions!$B$12/Projects!$D$21*0.95+0.05*Projects!$B$21*Assumptions!$B$12,Projects!$B$21*Assumptions!$B$12/Projects!$D$21*0.95),0)+IF(AND(Projects!$G$22="Yes",32&gt;=Projects!$C$22,32&lt;Projects!$C$22+Projects!$D$22),IF(32=Projects!$C$22+Projects!$D$22-1,Projects!$B$22*Assumptions!$B$12/Projects!$D$22*0.95+0.05*Projects!$B$22*Assumptions!$B$12,Projects!$B$22*Assumptions!$B$12/Projects!$D$22*0.95),0)+IF(AND(Projects!$G$23="Yes",32&gt;=Projects!$C$23,32&lt;Projects!$C$23+Projects!$D$23),IF(32=Projects!$C$23+Projects!$D$23-1,Projects!$B$23*Assumptions!$B$12/Projects!$D$23*0.95+0.05*Projects!$B$23*Assumptions!$B$12,Projects!$B$23*Assumptions!$B$12/Projects!$D$23*0.95),0)+IF(AND(Projects!$G$24="Yes",32&gt;=Projects!$C$24,32&lt;Projects!$C$24+Projects!$D$24),IF(32=Projects!$C$24+Projects!$D$24-1,Projects!$B$24*Assumptions!$B$12/Projects!$D$24*0.95+0.05*Projects!$B$24*Assumptions!$B$12,Projects!$B$24*Assumptions!$B$12/Projects!$D$24*0.95),0)+IF(AND(Projects!$G$25="Yes",32&gt;=Projects!$C$25,32&lt;Projects!$C$25+Projects!$D$25),IF(32=Projects!$C$25+Projects!$D$25-1,Projects!$B$25*Assumptions!$B$12/Projects!$D$25*0.95+0.05*Projects!$B$25*Assumptions!$B$12,Projects!$B$25*Assumptions!$B$12/Projects!$D$25*0.95),0)+IF(AND(Projects!$G$26="Yes",32&gt;=Projects!$C$26,32&lt;Projects!$C$26+Projects!$D$26),IF(32=Projects!$C$26+Projects!$D$26-1,Projects!$B$26*Assumptions!$B$12/Projects!$D$26*0.95+0.05*Projects!$B$26*Assumptions!$B$12,Projects!$B$26*Assumptions!$B$12/Projects!$D$26*0.95),0)+IF(AND(Projects!$G$27="Yes",32&gt;=Projects!$C$27,32&lt;Projects!$C$27+Projects!$D$27),IF(32=Projects!$C$27+Projects!$D$27-1,Projects!$B$27*Assumptions!$B$12/Projects!$D$27*0.95+0.05*Projects!$B$27*Assumptions!$B$12,Projects!$B$27*Assumptions!$B$12/Projects!$D$27*0.95),0)+IF(AND(Projects!$G$28="Yes",32&gt;=Projects!$C$28,32&lt;Projects!$C$28+Projects!$D$28),IF(32=Projects!$C$28+Projects!$D$28-1,Projects!$B$28*Assumptions!$B$12/Projects!$D$28*0.95+0.05*Projects!$B$28*Assumptions!$B$12,Projects!$B$28*Assumptions!$B$12/Projects!$D$28*0.95),0)+IF(AND(Projects!$G$29="Yes",32&gt;=Projects!$C$29,32&lt;Projects!$C$29+Projects!$D$29),IF(32=Projects!$C$29+Projects!$D$29-1,Projects!$B$29*Assumptions!$B$12/Projects!$D$29*0.95+0.05*Projects!$B$29*Assumptions!$B$12,Projects!$B$29*Assumptions!$B$12/Projects!$D$29*0.95),0)</f>
        <v/>
      </c>
      <c r="AI100">
        <f>IF(AND(Projects!$G$17="Yes",33&gt;=Projects!$C$17,33&lt;Projects!$C$17+Projects!$D$17),IF(33=Projects!$C$17+Projects!$D$17-1,Projects!$B$17*Assumptions!$B$12/Projects!$D$17*0.95+0.05*Projects!$B$17*Assumptions!$B$12,Projects!$B$17*Assumptions!$B$12/Projects!$D$17*0.95),0)+IF(AND(Projects!$G$18="Yes",33&gt;=Projects!$C$18,33&lt;Projects!$C$18+Projects!$D$18),IF(33=Projects!$C$18+Projects!$D$18-1,Projects!$B$18*Assumptions!$B$12/Projects!$D$18*0.95+0.05*Projects!$B$18*Assumptions!$B$12,Projects!$B$18*Assumptions!$B$12/Projects!$D$18*0.95),0)+IF(AND(Projects!$G$19="Yes",33&gt;=Projects!$C$19,33&lt;Projects!$C$19+Projects!$D$19),IF(33=Projects!$C$19+Projects!$D$19-1,Projects!$B$19*Assumptions!$B$12/Projects!$D$19*0.95+0.05*Projects!$B$19*Assumptions!$B$12,Projects!$B$19*Assumptions!$B$12/Projects!$D$19*0.95),0)+IF(AND(Projects!$G$20="Yes",33&gt;=Projects!$C$20,33&lt;Projects!$C$20+Projects!$D$20),IF(33=Projects!$C$20+Projects!$D$20-1,Projects!$B$20*Assumptions!$B$12/Projects!$D$20*0.95+0.05*Projects!$B$20*Assumptions!$B$12,Projects!$B$20*Assumptions!$B$12/Projects!$D$20*0.95),0)+IF(AND(Projects!$G$21="Yes",33&gt;=Projects!$C$21,33&lt;Projects!$C$21+Projects!$D$21),IF(33=Projects!$C$21+Projects!$D$21-1,Projects!$B$21*Assumptions!$B$12/Projects!$D$21*0.95+0.05*Projects!$B$21*Assumptions!$B$12,Projects!$B$21*Assumptions!$B$12/Projects!$D$21*0.95),0)+IF(AND(Projects!$G$22="Yes",33&gt;=Projects!$C$22,33&lt;Projects!$C$22+Projects!$D$22),IF(33=Projects!$C$22+Projects!$D$22-1,Projects!$B$22*Assumptions!$B$12/Projects!$D$22*0.95+0.05*Projects!$B$22*Assumptions!$B$12,Projects!$B$22*Assumptions!$B$12/Projects!$D$22*0.95),0)+IF(AND(Projects!$G$23="Yes",33&gt;=Projects!$C$23,33&lt;Projects!$C$23+Projects!$D$23),IF(33=Projects!$C$23+Projects!$D$23-1,Projects!$B$23*Assumptions!$B$12/Projects!$D$23*0.95+0.05*Projects!$B$23*Assumptions!$B$12,Projects!$B$23*Assumptions!$B$12/Projects!$D$23*0.95),0)+IF(AND(Projects!$G$24="Yes",33&gt;=Projects!$C$24,33&lt;Projects!$C$24+Projects!$D$24),IF(33=Projects!$C$24+Projects!$D$24-1,Projects!$B$24*Assumptions!$B$12/Projects!$D$24*0.95+0.05*Projects!$B$24*Assumptions!$B$12,Projects!$B$24*Assumptions!$B$12/Projects!$D$24*0.95),0)+IF(AND(Projects!$G$25="Yes",33&gt;=Projects!$C$25,33&lt;Projects!$C$25+Projects!$D$25),IF(33=Projects!$C$25+Projects!$D$25-1,Projects!$B$25*Assumptions!$B$12/Projects!$D$25*0.95+0.05*Projects!$B$25*Assumptions!$B$12,Projects!$B$25*Assumptions!$B$12/Projects!$D$25*0.95),0)+IF(AND(Projects!$G$26="Yes",33&gt;=Projects!$C$26,33&lt;Projects!$C$26+Projects!$D$26),IF(33=Projects!$C$26+Projects!$D$26-1,Projects!$B$26*Assumptions!$B$12/Projects!$D$26*0.95+0.05*Projects!$B$26*Assumptions!$B$12,Projects!$B$26*Assumptions!$B$12/Projects!$D$26*0.95),0)+IF(AND(Projects!$G$27="Yes",33&gt;=Projects!$C$27,33&lt;Projects!$C$27+Projects!$D$27),IF(33=Projects!$C$27+Projects!$D$27-1,Projects!$B$27*Assumptions!$B$12/Projects!$D$27*0.95+0.05*Projects!$B$27*Assumptions!$B$12,Projects!$B$27*Assumptions!$B$12/Projects!$D$27*0.95),0)+IF(AND(Projects!$G$28="Yes",33&gt;=Projects!$C$28,33&lt;Projects!$C$28+Projects!$D$28),IF(33=Projects!$C$28+Projects!$D$28-1,Projects!$B$28*Assumptions!$B$12/Projects!$D$28*0.95+0.05*Projects!$B$28*Assumptions!$B$12,Projects!$B$28*Assumptions!$B$12/Projects!$D$28*0.95),0)+IF(AND(Projects!$G$29="Yes",33&gt;=Projects!$C$29,33&lt;Projects!$C$29+Projects!$D$29),IF(33=Projects!$C$29+Projects!$D$29-1,Projects!$B$29*Assumptions!$B$12/Projects!$D$29*0.95+0.05*Projects!$B$29*Assumptions!$B$12,Projects!$B$29*Assumptions!$B$12/Projects!$D$29*0.95),0)</f>
        <v/>
      </c>
      <c r="AJ100">
        <f>IF(AND(Projects!$G$17="Yes",34&gt;=Projects!$C$17,34&lt;Projects!$C$17+Projects!$D$17),IF(34=Projects!$C$17+Projects!$D$17-1,Projects!$B$17*Assumptions!$B$12/Projects!$D$17*0.95+0.05*Projects!$B$17*Assumptions!$B$12,Projects!$B$17*Assumptions!$B$12/Projects!$D$17*0.95),0)+IF(AND(Projects!$G$18="Yes",34&gt;=Projects!$C$18,34&lt;Projects!$C$18+Projects!$D$18),IF(34=Projects!$C$18+Projects!$D$18-1,Projects!$B$18*Assumptions!$B$12/Projects!$D$18*0.95+0.05*Projects!$B$18*Assumptions!$B$12,Projects!$B$18*Assumptions!$B$12/Projects!$D$18*0.95),0)+IF(AND(Projects!$G$19="Yes",34&gt;=Projects!$C$19,34&lt;Projects!$C$19+Projects!$D$19),IF(34=Projects!$C$19+Projects!$D$19-1,Projects!$B$19*Assumptions!$B$12/Projects!$D$19*0.95+0.05*Projects!$B$19*Assumptions!$B$12,Projects!$B$19*Assumptions!$B$12/Projects!$D$19*0.95),0)+IF(AND(Projects!$G$20="Yes",34&gt;=Projects!$C$20,34&lt;Projects!$C$20+Projects!$D$20),IF(34=Projects!$C$20+Projects!$D$20-1,Projects!$B$20*Assumptions!$B$12/Projects!$D$20*0.95+0.05*Projects!$B$20*Assumptions!$B$12,Projects!$B$20*Assumptions!$B$12/Projects!$D$20*0.95),0)+IF(AND(Projects!$G$21="Yes",34&gt;=Projects!$C$21,34&lt;Projects!$C$21+Projects!$D$21),IF(34=Projects!$C$21+Projects!$D$21-1,Projects!$B$21*Assumptions!$B$12/Projects!$D$21*0.95+0.05*Projects!$B$21*Assumptions!$B$12,Projects!$B$21*Assumptions!$B$12/Projects!$D$21*0.95),0)+IF(AND(Projects!$G$22="Yes",34&gt;=Projects!$C$22,34&lt;Projects!$C$22+Projects!$D$22),IF(34=Projects!$C$22+Projects!$D$22-1,Projects!$B$22*Assumptions!$B$12/Projects!$D$22*0.95+0.05*Projects!$B$22*Assumptions!$B$12,Projects!$B$22*Assumptions!$B$12/Projects!$D$22*0.95),0)+IF(AND(Projects!$G$23="Yes",34&gt;=Projects!$C$23,34&lt;Projects!$C$23+Projects!$D$23),IF(34=Projects!$C$23+Projects!$D$23-1,Projects!$B$23*Assumptions!$B$12/Projects!$D$23*0.95+0.05*Projects!$B$23*Assumptions!$B$12,Projects!$B$23*Assumptions!$B$12/Projects!$D$23*0.95),0)+IF(AND(Projects!$G$24="Yes",34&gt;=Projects!$C$24,34&lt;Projects!$C$24+Projects!$D$24),IF(34=Projects!$C$24+Projects!$D$24-1,Projects!$B$24*Assumptions!$B$12/Projects!$D$24*0.95+0.05*Projects!$B$24*Assumptions!$B$12,Projects!$B$24*Assumptions!$B$12/Projects!$D$24*0.95),0)+IF(AND(Projects!$G$25="Yes",34&gt;=Projects!$C$25,34&lt;Projects!$C$25+Projects!$D$25),IF(34=Projects!$C$25+Projects!$D$25-1,Projects!$B$25*Assumptions!$B$12/Projects!$D$25*0.95+0.05*Projects!$B$25*Assumptions!$B$12,Projects!$B$25*Assumptions!$B$12/Projects!$D$25*0.95),0)+IF(AND(Projects!$G$26="Yes",34&gt;=Projects!$C$26,34&lt;Projects!$C$26+Projects!$D$26),IF(34=Projects!$C$26+Projects!$D$26-1,Projects!$B$26*Assumptions!$B$12/Projects!$D$26*0.95+0.05*Projects!$B$26*Assumptions!$B$12,Projects!$B$26*Assumptions!$B$12/Projects!$D$26*0.95),0)+IF(AND(Projects!$G$27="Yes",34&gt;=Projects!$C$27,34&lt;Projects!$C$27+Projects!$D$27),IF(34=Projects!$C$27+Projects!$D$27-1,Projects!$B$27*Assumptions!$B$12/Projects!$D$27*0.95+0.05*Projects!$B$27*Assumptions!$B$12,Projects!$B$27*Assumptions!$B$12/Projects!$D$27*0.95),0)+IF(AND(Projects!$G$28="Yes",34&gt;=Projects!$C$28,34&lt;Projects!$C$28+Projects!$D$28),IF(34=Projects!$C$28+Projects!$D$28-1,Projects!$B$28*Assumptions!$B$12/Projects!$D$28*0.95+0.05*Projects!$B$28*Assumptions!$B$12,Projects!$B$28*Assumptions!$B$12/Projects!$D$28*0.95),0)+IF(AND(Projects!$G$29="Yes",34&gt;=Projects!$C$29,34&lt;Projects!$C$29+Projects!$D$29),IF(34=Projects!$C$29+Projects!$D$29-1,Projects!$B$29*Assumptions!$B$12/Projects!$D$29*0.95+0.05*Projects!$B$29*Assumptions!$B$12,Projects!$B$29*Assumptions!$B$12/Projects!$D$29*0.95),0)</f>
        <v/>
      </c>
      <c r="AK100">
        <f>IF(AND(Projects!$G$17="Yes",35&gt;=Projects!$C$17,35&lt;Projects!$C$17+Projects!$D$17),IF(35=Projects!$C$17+Projects!$D$17-1,Projects!$B$17*Assumptions!$B$12/Projects!$D$17*0.95+0.05*Projects!$B$17*Assumptions!$B$12,Projects!$B$17*Assumptions!$B$12/Projects!$D$17*0.95),0)+IF(AND(Projects!$G$18="Yes",35&gt;=Projects!$C$18,35&lt;Projects!$C$18+Projects!$D$18),IF(35=Projects!$C$18+Projects!$D$18-1,Projects!$B$18*Assumptions!$B$12/Projects!$D$18*0.95+0.05*Projects!$B$18*Assumptions!$B$12,Projects!$B$18*Assumptions!$B$12/Projects!$D$18*0.95),0)+IF(AND(Projects!$G$19="Yes",35&gt;=Projects!$C$19,35&lt;Projects!$C$19+Projects!$D$19),IF(35=Projects!$C$19+Projects!$D$19-1,Projects!$B$19*Assumptions!$B$12/Projects!$D$19*0.95+0.05*Projects!$B$19*Assumptions!$B$12,Projects!$B$19*Assumptions!$B$12/Projects!$D$19*0.95),0)+IF(AND(Projects!$G$20="Yes",35&gt;=Projects!$C$20,35&lt;Projects!$C$20+Projects!$D$20),IF(35=Projects!$C$20+Projects!$D$20-1,Projects!$B$20*Assumptions!$B$12/Projects!$D$20*0.95+0.05*Projects!$B$20*Assumptions!$B$12,Projects!$B$20*Assumptions!$B$12/Projects!$D$20*0.95),0)+IF(AND(Projects!$G$21="Yes",35&gt;=Projects!$C$21,35&lt;Projects!$C$21+Projects!$D$21),IF(35=Projects!$C$21+Projects!$D$21-1,Projects!$B$21*Assumptions!$B$12/Projects!$D$21*0.95+0.05*Projects!$B$21*Assumptions!$B$12,Projects!$B$21*Assumptions!$B$12/Projects!$D$21*0.95),0)+IF(AND(Projects!$G$22="Yes",35&gt;=Projects!$C$22,35&lt;Projects!$C$22+Projects!$D$22),IF(35=Projects!$C$22+Projects!$D$22-1,Projects!$B$22*Assumptions!$B$12/Projects!$D$22*0.95+0.05*Projects!$B$22*Assumptions!$B$12,Projects!$B$22*Assumptions!$B$12/Projects!$D$22*0.95),0)+IF(AND(Projects!$G$23="Yes",35&gt;=Projects!$C$23,35&lt;Projects!$C$23+Projects!$D$23),IF(35=Projects!$C$23+Projects!$D$23-1,Projects!$B$23*Assumptions!$B$12/Projects!$D$23*0.95+0.05*Projects!$B$23*Assumptions!$B$12,Projects!$B$23*Assumptions!$B$12/Projects!$D$23*0.95),0)+IF(AND(Projects!$G$24="Yes",35&gt;=Projects!$C$24,35&lt;Projects!$C$24+Projects!$D$24),IF(35=Projects!$C$24+Projects!$D$24-1,Projects!$B$24*Assumptions!$B$12/Projects!$D$24*0.95+0.05*Projects!$B$24*Assumptions!$B$12,Projects!$B$24*Assumptions!$B$12/Projects!$D$24*0.95),0)+IF(AND(Projects!$G$25="Yes",35&gt;=Projects!$C$25,35&lt;Projects!$C$25+Projects!$D$25),IF(35=Projects!$C$25+Projects!$D$25-1,Projects!$B$25*Assumptions!$B$12/Projects!$D$25*0.95+0.05*Projects!$B$25*Assumptions!$B$12,Projects!$B$25*Assumptions!$B$12/Projects!$D$25*0.95),0)+IF(AND(Projects!$G$26="Yes",35&gt;=Projects!$C$26,35&lt;Projects!$C$26+Projects!$D$26),IF(35=Projects!$C$26+Projects!$D$26-1,Projects!$B$26*Assumptions!$B$12/Projects!$D$26*0.95+0.05*Projects!$B$26*Assumptions!$B$12,Projects!$B$26*Assumptions!$B$12/Projects!$D$26*0.95),0)+IF(AND(Projects!$G$27="Yes",35&gt;=Projects!$C$27,35&lt;Projects!$C$27+Projects!$D$27),IF(35=Projects!$C$27+Projects!$D$27-1,Projects!$B$27*Assumptions!$B$12/Projects!$D$27*0.95+0.05*Projects!$B$27*Assumptions!$B$12,Projects!$B$27*Assumptions!$B$12/Projects!$D$27*0.95),0)+IF(AND(Projects!$G$28="Yes",35&gt;=Projects!$C$28,35&lt;Projects!$C$28+Projects!$D$28),IF(35=Projects!$C$28+Projects!$D$28-1,Projects!$B$28*Assumptions!$B$12/Projects!$D$28*0.95+0.05*Projects!$B$28*Assumptions!$B$12,Projects!$B$28*Assumptions!$B$12/Projects!$D$28*0.95),0)+IF(AND(Projects!$G$29="Yes",35&gt;=Projects!$C$29,35&lt;Projects!$C$29+Projects!$D$29),IF(35=Projects!$C$29+Projects!$D$29-1,Projects!$B$29*Assumptions!$B$12/Projects!$D$29*0.95+0.05*Projects!$B$29*Assumptions!$B$12,Projects!$B$29*Assumptions!$B$12/Projects!$D$29*0.95),0)</f>
        <v/>
      </c>
      <c r="AL100">
        <f>IF(AND(Projects!$G$17="Yes",36&gt;=Projects!$C$17,36&lt;Projects!$C$17+Projects!$D$17),IF(36=Projects!$C$17+Projects!$D$17-1,Projects!$B$17*Assumptions!$B$12/Projects!$D$17*0.95+0.05*Projects!$B$17*Assumptions!$B$12,Projects!$B$17*Assumptions!$B$12/Projects!$D$17*0.95),0)+IF(AND(Projects!$G$18="Yes",36&gt;=Projects!$C$18,36&lt;Projects!$C$18+Projects!$D$18),IF(36=Projects!$C$18+Projects!$D$18-1,Projects!$B$18*Assumptions!$B$12/Projects!$D$18*0.95+0.05*Projects!$B$18*Assumptions!$B$12,Projects!$B$18*Assumptions!$B$12/Projects!$D$18*0.95),0)+IF(AND(Projects!$G$19="Yes",36&gt;=Projects!$C$19,36&lt;Projects!$C$19+Projects!$D$19),IF(36=Projects!$C$19+Projects!$D$19-1,Projects!$B$19*Assumptions!$B$12/Projects!$D$19*0.95+0.05*Projects!$B$19*Assumptions!$B$12,Projects!$B$19*Assumptions!$B$12/Projects!$D$19*0.95),0)+IF(AND(Projects!$G$20="Yes",36&gt;=Projects!$C$20,36&lt;Projects!$C$20+Projects!$D$20),IF(36=Projects!$C$20+Projects!$D$20-1,Projects!$B$20*Assumptions!$B$12/Projects!$D$20*0.95+0.05*Projects!$B$20*Assumptions!$B$12,Projects!$B$20*Assumptions!$B$12/Projects!$D$20*0.95),0)+IF(AND(Projects!$G$21="Yes",36&gt;=Projects!$C$21,36&lt;Projects!$C$21+Projects!$D$21),IF(36=Projects!$C$21+Projects!$D$21-1,Projects!$B$21*Assumptions!$B$12/Projects!$D$21*0.95+0.05*Projects!$B$21*Assumptions!$B$12,Projects!$B$21*Assumptions!$B$12/Projects!$D$21*0.95),0)+IF(AND(Projects!$G$22="Yes",36&gt;=Projects!$C$22,36&lt;Projects!$C$22+Projects!$D$22),IF(36=Projects!$C$22+Projects!$D$22-1,Projects!$B$22*Assumptions!$B$12/Projects!$D$22*0.95+0.05*Projects!$B$22*Assumptions!$B$12,Projects!$B$22*Assumptions!$B$12/Projects!$D$22*0.95),0)+IF(AND(Projects!$G$23="Yes",36&gt;=Projects!$C$23,36&lt;Projects!$C$23+Projects!$D$23),IF(36=Projects!$C$23+Projects!$D$23-1,Projects!$B$23*Assumptions!$B$12/Projects!$D$23*0.95+0.05*Projects!$B$23*Assumptions!$B$12,Projects!$B$23*Assumptions!$B$12/Projects!$D$23*0.95),0)+IF(AND(Projects!$G$24="Yes",36&gt;=Projects!$C$24,36&lt;Projects!$C$24+Projects!$D$24),IF(36=Projects!$C$24+Projects!$D$24-1,Projects!$B$24*Assumptions!$B$12/Projects!$D$24*0.95+0.05*Projects!$B$24*Assumptions!$B$12,Projects!$B$24*Assumptions!$B$12/Projects!$D$24*0.95),0)+IF(AND(Projects!$G$25="Yes",36&gt;=Projects!$C$25,36&lt;Projects!$C$25+Projects!$D$25),IF(36=Projects!$C$25+Projects!$D$25-1,Projects!$B$25*Assumptions!$B$12/Projects!$D$25*0.95+0.05*Projects!$B$25*Assumptions!$B$12,Projects!$B$25*Assumptions!$B$12/Projects!$D$25*0.95),0)+IF(AND(Projects!$G$26="Yes",36&gt;=Projects!$C$26,36&lt;Projects!$C$26+Projects!$D$26),IF(36=Projects!$C$26+Projects!$D$26-1,Projects!$B$26*Assumptions!$B$12/Projects!$D$26*0.95+0.05*Projects!$B$26*Assumptions!$B$12,Projects!$B$26*Assumptions!$B$12/Projects!$D$26*0.95),0)+IF(AND(Projects!$G$27="Yes",36&gt;=Projects!$C$27,36&lt;Projects!$C$27+Projects!$D$27),IF(36=Projects!$C$27+Projects!$D$27-1,Projects!$B$27*Assumptions!$B$12/Projects!$D$27*0.95+0.05*Projects!$B$27*Assumptions!$B$12,Projects!$B$27*Assumptions!$B$12/Projects!$D$27*0.95),0)+IF(AND(Projects!$G$28="Yes",36&gt;=Projects!$C$28,36&lt;Projects!$C$28+Projects!$D$28),IF(36=Projects!$C$28+Projects!$D$28-1,Projects!$B$28*Assumptions!$B$12/Projects!$D$28*0.95+0.05*Projects!$B$28*Assumptions!$B$12,Projects!$B$28*Assumptions!$B$12/Projects!$D$28*0.95),0)+IF(AND(Projects!$G$29="Yes",36&gt;=Projects!$C$29,36&lt;Projects!$C$29+Projects!$D$29),IF(36=Projects!$C$29+Projects!$D$29-1,Projects!$B$29*Assumptions!$B$12/Projects!$D$29*0.95+0.05*Projects!$B$29*Assumptions!$B$12,Projects!$B$29*Assumptions!$B$12/Projects!$D$29*0.95),0)</f>
        <v/>
      </c>
      <c r="AM100">
        <f>IF(AND(Projects!$G$17="Yes",37&gt;=Projects!$C$17,37&lt;Projects!$C$17+Projects!$D$17),IF(37=Projects!$C$17+Projects!$D$17-1,Projects!$B$17*Assumptions!$B$12/Projects!$D$17*0.95+0.05*Projects!$B$17*Assumptions!$B$12,Projects!$B$17*Assumptions!$B$12/Projects!$D$17*0.95),0)+IF(AND(Projects!$G$18="Yes",37&gt;=Projects!$C$18,37&lt;Projects!$C$18+Projects!$D$18),IF(37=Projects!$C$18+Projects!$D$18-1,Projects!$B$18*Assumptions!$B$12/Projects!$D$18*0.95+0.05*Projects!$B$18*Assumptions!$B$12,Projects!$B$18*Assumptions!$B$12/Projects!$D$18*0.95),0)+IF(AND(Projects!$G$19="Yes",37&gt;=Projects!$C$19,37&lt;Projects!$C$19+Projects!$D$19),IF(37=Projects!$C$19+Projects!$D$19-1,Projects!$B$19*Assumptions!$B$12/Projects!$D$19*0.95+0.05*Projects!$B$19*Assumptions!$B$12,Projects!$B$19*Assumptions!$B$12/Projects!$D$19*0.95),0)+IF(AND(Projects!$G$20="Yes",37&gt;=Projects!$C$20,37&lt;Projects!$C$20+Projects!$D$20),IF(37=Projects!$C$20+Projects!$D$20-1,Projects!$B$20*Assumptions!$B$12/Projects!$D$20*0.95+0.05*Projects!$B$20*Assumptions!$B$12,Projects!$B$20*Assumptions!$B$12/Projects!$D$20*0.95),0)+IF(AND(Projects!$G$21="Yes",37&gt;=Projects!$C$21,37&lt;Projects!$C$21+Projects!$D$21),IF(37=Projects!$C$21+Projects!$D$21-1,Projects!$B$21*Assumptions!$B$12/Projects!$D$21*0.95+0.05*Projects!$B$21*Assumptions!$B$12,Projects!$B$21*Assumptions!$B$12/Projects!$D$21*0.95),0)+IF(AND(Projects!$G$22="Yes",37&gt;=Projects!$C$22,37&lt;Projects!$C$22+Projects!$D$22),IF(37=Projects!$C$22+Projects!$D$22-1,Projects!$B$22*Assumptions!$B$12/Projects!$D$22*0.95+0.05*Projects!$B$22*Assumptions!$B$12,Projects!$B$22*Assumptions!$B$12/Projects!$D$22*0.95),0)+IF(AND(Projects!$G$23="Yes",37&gt;=Projects!$C$23,37&lt;Projects!$C$23+Projects!$D$23),IF(37=Projects!$C$23+Projects!$D$23-1,Projects!$B$23*Assumptions!$B$12/Projects!$D$23*0.95+0.05*Projects!$B$23*Assumptions!$B$12,Projects!$B$23*Assumptions!$B$12/Projects!$D$23*0.95),0)+IF(AND(Projects!$G$24="Yes",37&gt;=Projects!$C$24,37&lt;Projects!$C$24+Projects!$D$24),IF(37=Projects!$C$24+Projects!$D$24-1,Projects!$B$24*Assumptions!$B$12/Projects!$D$24*0.95+0.05*Projects!$B$24*Assumptions!$B$12,Projects!$B$24*Assumptions!$B$12/Projects!$D$24*0.95),0)+IF(AND(Projects!$G$25="Yes",37&gt;=Projects!$C$25,37&lt;Projects!$C$25+Projects!$D$25),IF(37=Projects!$C$25+Projects!$D$25-1,Projects!$B$25*Assumptions!$B$12/Projects!$D$25*0.95+0.05*Projects!$B$25*Assumptions!$B$12,Projects!$B$25*Assumptions!$B$12/Projects!$D$25*0.95),0)+IF(AND(Projects!$G$26="Yes",37&gt;=Projects!$C$26,37&lt;Projects!$C$26+Projects!$D$26),IF(37=Projects!$C$26+Projects!$D$26-1,Projects!$B$26*Assumptions!$B$12/Projects!$D$26*0.95+0.05*Projects!$B$26*Assumptions!$B$12,Projects!$B$26*Assumptions!$B$12/Projects!$D$26*0.95),0)+IF(AND(Projects!$G$27="Yes",37&gt;=Projects!$C$27,37&lt;Projects!$C$27+Projects!$D$27),IF(37=Projects!$C$27+Projects!$D$27-1,Projects!$B$27*Assumptions!$B$12/Projects!$D$27*0.95+0.05*Projects!$B$27*Assumptions!$B$12,Projects!$B$27*Assumptions!$B$12/Projects!$D$27*0.95),0)+IF(AND(Projects!$G$28="Yes",37&gt;=Projects!$C$28,37&lt;Projects!$C$28+Projects!$D$28),IF(37=Projects!$C$28+Projects!$D$28-1,Projects!$B$28*Assumptions!$B$12/Projects!$D$28*0.95+0.05*Projects!$B$28*Assumptions!$B$12,Projects!$B$28*Assumptions!$B$12/Projects!$D$28*0.95),0)+IF(AND(Projects!$G$29="Yes",37&gt;=Projects!$C$29,37&lt;Projects!$C$29+Projects!$D$29),IF(37=Projects!$C$29+Projects!$D$29-1,Projects!$B$29*Assumptions!$B$12/Projects!$D$29*0.95+0.05*Projects!$B$29*Assumptions!$B$12,Projects!$B$29*Assumptions!$B$12/Projects!$D$29*0.95),0)</f>
        <v/>
      </c>
      <c r="AN100">
        <f>IF(AND(Projects!$G$17="Yes",38&gt;=Projects!$C$17,38&lt;Projects!$C$17+Projects!$D$17),IF(38=Projects!$C$17+Projects!$D$17-1,Projects!$B$17*Assumptions!$B$12/Projects!$D$17*0.95+0.05*Projects!$B$17*Assumptions!$B$12,Projects!$B$17*Assumptions!$B$12/Projects!$D$17*0.95),0)+IF(AND(Projects!$G$18="Yes",38&gt;=Projects!$C$18,38&lt;Projects!$C$18+Projects!$D$18),IF(38=Projects!$C$18+Projects!$D$18-1,Projects!$B$18*Assumptions!$B$12/Projects!$D$18*0.95+0.05*Projects!$B$18*Assumptions!$B$12,Projects!$B$18*Assumptions!$B$12/Projects!$D$18*0.95),0)+IF(AND(Projects!$G$19="Yes",38&gt;=Projects!$C$19,38&lt;Projects!$C$19+Projects!$D$19),IF(38=Projects!$C$19+Projects!$D$19-1,Projects!$B$19*Assumptions!$B$12/Projects!$D$19*0.95+0.05*Projects!$B$19*Assumptions!$B$12,Projects!$B$19*Assumptions!$B$12/Projects!$D$19*0.95),0)+IF(AND(Projects!$G$20="Yes",38&gt;=Projects!$C$20,38&lt;Projects!$C$20+Projects!$D$20),IF(38=Projects!$C$20+Projects!$D$20-1,Projects!$B$20*Assumptions!$B$12/Projects!$D$20*0.95+0.05*Projects!$B$20*Assumptions!$B$12,Projects!$B$20*Assumptions!$B$12/Projects!$D$20*0.95),0)+IF(AND(Projects!$G$21="Yes",38&gt;=Projects!$C$21,38&lt;Projects!$C$21+Projects!$D$21),IF(38=Projects!$C$21+Projects!$D$21-1,Projects!$B$21*Assumptions!$B$12/Projects!$D$21*0.95+0.05*Projects!$B$21*Assumptions!$B$12,Projects!$B$21*Assumptions!$B$12/Projects!$D$21*0.95),0)+IF(AND(Projects!$G$22="Yes",38&gt;=Projects!$C$22,38&lt;Projects!$C$22+Projects!$D$22),IF(38=Projects!$C$22+Projects!$D$22-1,Projects!$B$22*Assumptions!$B$12/Projects!$D$22*0.95+0.05*Projects!$B$22*Assumptions!$B$12,Projects!$B$22*Assumptions!$B$12/Projects!$D$22*0.95),0)+IF(AND(Projects!$G$23="Yes",38&gt;=Projects!$C$23,38&lt;Projects!$C$23+Projects!$D$23),IF(38=Projects!$C$23+Projects!$D$23-1,Projects!$B$23*Assumptions!$B$12/Projects!$D$23*0.95+0.05*Projects!$B$23*Assumptions!$B$12,Projects!$B$23*Assumptions!$B$12/Projects!$D$23*0.95),0)+IF(AND(Projects!$G$24="Yes",38&gt;=Projects!$C$24,38&lt;Projects!$C$24+Projects!$D$24),IF(38=Projects!$C$24+Projects!$D$24-1,Projects!$B$24*Assumptions!$B$12/Projects!$D$24*0.95+0.05*Projects!$B$24*Assumptions!$B$12,Projects!$B$24*Assumptions!$B$12/Projects!$D$24*0.95),0)+IF(AND(Projects!$G$25="Yes",38&gt;=Projects!$C$25,38&lt;Projects!$C$25+Projects!$D$25),IF(38=Projects!$C$25+Projects!$D$25-1,Projects!$B$25*Assumptions!$B$12/Projects!$D$25*0.95+0.05*Projects!$B$25*Assumptions!$B$12,Projects!$B$25*Assumptions!$B$12/Projects!$D$25*0.95),0)+IF(AND(Projects!$G$26="Yes",38&gt;=Projects!$C$26,38&lt;Projects!$C$26+Projects!$D$26),IF(38=Projects!$C$26+Projects!$D$26-1,Projects!$B$26*Assumptions!$B$12/Projects!$D$26*0.95+0.05*Projects!$B$26*Assumptions!$B$12,Projects!$B$26*Assumptions!$B$12/Projects!$D$26*0.95),0)+IF(AND(Projects!$G$27="Yes",38&gt;=Projects!$C$27,38&lt;Projects!$C$27+Projects!$D$27),IF(38=Projects!$C$27+Projects!$D$27-1,Projects!$B$27*Assumptions!$B$12/Projects!$D$27*0.95+0.05*Projects!$B$27*Assumptions!$B$12,Projects!$B$27*Assumptions!$B$12/Projects!$D$27*0.95),0)+IF(AND(Projects!$G$28="Yes",38&gt;=Projects!$C$28,38&lt;Projects!$C$28+Projects!$D$28),IF(38=Projects!$C$28+Projects!$D$28-1,Projects!$B$28*Assumptions!$B$12/Projects!$D$28*0.95+0.05*Projects!$B$28*Assumptions!$B$12,Projects!$B$28*Assumptions!$B$12/Projects!$D$28*0.95),0)+IF(AND(Projects!$G$29="Yes",38&gt;=Projects!$C$29,38&lt;Projects!$C$29+Projects!$D$29),IF(38=Projects!$C$29+Projects!$D$29-1,Projects!$B$29*Assumptions!$B$12/Projects!$D$29*0.95+0.05*Projects!$B$29*Assumptions!$B$12,Projects!$B$29*Assumptions!$B$12/Projects!$D$29*0.95),0)</f>
        <v/>
      </c>
      <c r="AO100">
        <f>IF(AND(Projects!$G$17="Yes",39&gt;=Projects!$C$17,39&lt;Projects!$C$17+Projects!$D$17),IF(39=Projects!$C$17+Projects!$D$17-1,Projects!$B$17*Assumptions!$B$12/Projects!$D$17*0.95+0.05*Projects!$B$17*Assumptions!$B$12,Projects!$B$17*Assumptions!$B$12/Projects!$D$17*0.95),0)+IF(AND(Projects!$G$18="Yes",39&gt;=Projects!$C$18,39&lt;Projects!$C$18+Projects!$D$18),IF(39=Projects!$C$18+Projects!$D$18-1,Projects!$B$18*Assumptions!$B$12/Projects!$D$18*0.95+0.05*Projects!$B$18*Assumptions!$B$12,Projects!$B$18*Assumptions!$B$12/Projects!$D$18*0.95),0)+IF(AND(Projects!$G$19="Yes",39&gt;=Projects!$C$19,39&lt;Projects!$C$19+Projects!$D$19),IF(39=Projects!$C$19+Projects!$D$19-1,Projects!$B$19*Assumptions!$B$12/Projects!$D$19*0.95+0.05*Projects!$B$19*Assumptions!$B$12,Projects!$B$19*Assumptions!$B$12/Projects!$D$19*0.95),0)+IF(AND(Projects!$G$20="Yes",39&gt;=Projects!$C$20,39&lt;Projects!$C$20+Projects!$D$20),IF(39=Projects!$C$20+Projects!$D$20-1,Projects!$B$20*Assumptions!$B$12/Projects!$D$20*0.95+0.05*Projects!$B$20*Assumptions!$B$12,Projects!$B$20*Assumptions!$B$12/Projects!$D$20*0.95),0)+IF(AND(Projects!$G$21="Yes",39&gt;=Projects!$C$21,39&lt;Projects!$C$21+Projects!$D$21),IF(39=Projects!$C$21+Projects!$D$21-1,Projects!$B$21*Assumptions!$B$12/Projects!$D$21*0.95+0.05*Projects!$B$21*Assumptions!$B$12,Projects!$B$21*Assumptions!$B$12/Projects!$D$21*0.95),0)+IF(AND(Projects!$G$22="Yes",39&gt;=Projects!$C$22,39&lt;Projects!$C$22+Projects!$D$22),IF(39=Projects!$C$22+Projects!$D$22-1,Projects!$B$22*Assumptions!$B$12/Projects!$D$22*0.95+0.05*Projects!$B$22*Assumptions!$B$12,Projects!$B$22*Assumptions!$B$12/Projects!$D$22*0.95),0)+IF(AND(Projects!$G$23="Yes",39&gt;=Projects!$C$23,39&lt;Projects!$C$23+Projects!$D$23),IF(39=Projects!$C$23+Projects!$D$23-1,Projects!$B$23*Assumptions!$B$12/Projects!$D$23*0.95+0.05*Projects!$B$23*Assumptions!$B$12,Projects!$B$23*Assumptions!$B$12/Projects!$D$23*0.95),0)+IF(AND(Projects!$G$24="Yes",39&gt;=Projects!$C$24,39&lt;Projects!$C$24+Projects!$D$24),IF(39=Projects!$C$24+Projects!$D$24-1,Projects!$B$24*Assumptions!$B$12/Projects!$D$24*0.95+0.05*Projects!$B$24*Assumptions!$B$12,Projects!$B$24*Assumptions!$B$12/Projects!$D$24*0.95),0)+IF(AND(Projects!$G$25="Yes",39&gt;=Projects!$C$25,39&lt;Projects!$C$25+Projects!$D$25),IF(39=Projects!$C$25+Projects!$D$25-1,Projects!$B$25*Assumptions!$B$12/Projects!$D$25*0.95+0.05*Projects!$B$25*Assumptions!$B$12,Projects!$B$25*Assumptions!$B$12/Projects!$D$25*0.95),0)+IF(AND(Projects!$G$26="Yes",39&gt;=Projects!$C$26,39&lt;Projects!$C$26+Projects!$D$26),IF(39=Projects!$C$26+Projects!$D$26-1,Projects!$B$26*Assumptions!$B$12/Projects!$D$26*0.95+0.05*Projects!$B$26*Assumptions!$B$12,Projects!$B$26*Assumptions!$B$12/Projects!$D$26*0.95),0)+IF(AND(Projects!$G$27="Yes",39&gt;=Projects!$C$27,39&lt;Projects!$C$27+Projects!$D$27),IF(39=Projects!$C$27+Projects!$D$27-1,Projects!$B$27*Assumptions!$B$12/Projects!$D$27*0.95+0.05*Projects!$B$27*Assumptions!$B$12,Projects!$B$27*Assumptions!$B$12/Projects!$D$27*0.95),0)+IF(AND(Projects!$G$28="Yes",39&gt;=Projects!$C$28,39&lt;Projects!$C$28+Projects!$D$28),IF(39=Projects!$C$28+Projects!$D$28-1,Projects!$B$28*Assumptions!$B$12/Projects!$D$28*0.95+0.05*Projects!$B$28*Assumptions!$B$12,Projects!$B$28*Assumptions!$B$12/Projects!$D$28*0.95),0)+IF(AND(Projects!$G$29="Yes",39&gt;=Projects!$C$29,39&lt;Projects!$C$29+Projects!$D$29),IF(39=Projects!$C$29+Projects!$D$29-1,Projects!$B$29*Assumptions!$B$12/Projects!$D$29*0.95+0.05*Projects!$B$29*Assumptions!$B$12,Projects!$B$29*Assumptions!$B$12/Projects!$D$29*0.95),0)</f>
        <v/>
      </c>
      <c r="AP100">
        <f>IF(AND(Projects!$G$17="Yes",40&gt;=Projects!$C$17,40&lt;Projects!$C$17+Projects!$D$17),IF(40=Projects!$C$17+Projects!$D$17-1,Projects!$B$17*Assumptions!$B$12/Projects!$D$17*0.95+0.05*Projects!$B$17*Assumptions!$B$12,Projects!$B$17*Assumptions!$B$12/Projects!$D$17*0.95),0)+IF(AND(Projects!$G$18="Yes",40&gt;=Projects!$C$18,40&lt;Projects!$C$18+Projects!$D$18),IF(40=Projects!$C$18+Projects!$D$18-1,Projects!$B$18*Assumptions!$B$12/Projects!$D$18*0.95+0.05*Projects!$B$18*Assumptions!$B$12,Projects!$B$18*Assumptions!$B$12/Projects!$D$18*0.95),0)+IF(AND(Projects!$G$19="Yes",40&gt;=Projects!$C$19,40&lt;Projects!$C$19+Projects!$D$19),IF(40=Projects!$C$19+Projects!$D$19-1,Projects!$B$19*Assumptions!$B$12/Projects!$D$19*0.95+0.05*Projects!$B$19*Assumptions!$B$12,Projects!$B$19*Assumptions!$B$12/Projects!$D$19*0.95),0)+IF(AND(Projects!$G$20="Yes",40&gt;=Projects!$C$20,40&lt;Projects!$C$20+Projects!$D$20),IF(40=Projects!$C$20+Projects!$D$20-1,Projects!$B$20*Assumptions!$B$12/Projects!$D$20*0.95+0.05*Projects!$B$20*Assumptions!$B$12,Projects!$B$20*Assumptions!$B$12/Projects!$D$20*0.95),0)+IF(AND(Projects!$G$21="Yes",40&gt;=Projects!$C$21,40&lt;Projects!$C$21+Projects!$D$21),IF(40=Projects!$C$21+Projects!$D$21-1,Projects!$B$21*Assumptions!$B$12/Projects!$D$21*0.95+0.05*Projects!$B$21*Assumptions!$B$12,Projects!$B$21*Assumptions!$B$12/Projects!$D$21*0.95),0)+IF(AND(Projects!$G$22="Yes",40&gt;=Projects!$C$22,40&lt;Projects!$C$22+Projects!$D$22),IF(40=Projects!$C$22+Projects!$D$22-1,Projects!$B$22*Assumptions!$B$12/Projects!$D$22*0.95+0.05*Projects!$B$22*Assumptions!$B$12,Projects!$B$22*Assumptions!$B$12/Projects!$D$22*0.95),0)+IF(AND(Projects!$G$23="Yes",40&gt;=Projects!$C$23,40&lt;Projects!$C$23+Projects!$D$23),IF(40=Projects!$C$23+Projects!$D$23-1,Projects!$B$23*Assumptions!$B$12/Projects!$D$23*0.95+0.05*Projects!$B$23*Assumptions!$B$12,Projects!$B$23*Assumptions!$B$12/Projects!$D$23*0.95),0)+IF(AND(Projects!$G$24="Yes",40&gt;=Projects!$C$24,40&lt;Projects!$C$24+Projects!$D$24),IF(40=Projects!$C$24+Projects!$D$24-1,Projects!$B$24*Assumptions!$B$12/Projects!$D$24*0.95+0.05*Projects!$B$24*Assumptions!$B$12,Projects!$B$24*Assumptions!$B$12/Projects!$D$24*0.95),0)+IF(AND(Projects!$G$25="Yes",40&gt;=Projects!$C$25,40&lt;Projects!$C$25+Projects!$D$25),IF(40=Projects!$C$25+Projects!$D$25-1,Projects!$B$25*Assumptions!$B$12/Projects!$D$25*0.95+0.05*Projects!$B$25*Assumptions!$B$12,Projects!$B$25*Assumptions!$B$12/Projects!$D$25*0.95),0)+IF(AND(Projects!$G$26="Yes",40&gt;=Projects!$C$26,40&lt;Projects!$C$26+Projects!$D$26),IF(40=Projects!$C$26+Projects!$D$26-1,Projects!$B$26*Assumptions!$B$12/Projects!$D$26*0.95+0.05*Projects!$B$26*Assumptions!$B$12,Projects!$B$26*Assumptions!$B$12/Projects!$D$26*0.95),0)+IF(AND(Projects!$G$27="Yes",40&gt;=Projects!$C$27,40&lt;Projects!$C$27+Projects!$D$27),IF(40=Projects!$C$27+Projects!$D$27-1,Projects!$B$27*Assumptions!$B$12/Projects!$D$27*0.95+0.05*Projects!$B$27*Assumptions!$B$12,Projects!$B$27*Assumptions!$B$12/Projects!$D$27*0.95),0)+IF(AND(Projects!$G$28="Yes",40&gt;=Projects!$C$28,40&lt;Projects!$C$28+Projects!$D$28),IF(40=Projects!$C$28+Projects!$D$28-1,Projects!$B$28*Assumptions!$B$12/Projects!$D$28*0.95+0.05*Projects!$B$28*Assumptions!$B$12,Projects!$B$28*Assumptions!$B$12/Projects!$D$28*0.95),0)+IF(AND(Projects!$G$29="Yes",40&gt;=Projects!$C$29,40&lt;Projects!$C$29+Projects!$D$29),IF(40=Projects!$C$29+Projects!$D$29-1,Projects!$B$29*Assumptions!$B$12/Projects!$D$29*0.95+0.05*Projects!$B$29*Assumptions!$B$12,Projects!$B$29*Assumptions!$B$12/Projects!$D$29*0.95),0)</f>
        <v/>
      </c>
      <c r="AQ100">
        <f>IF(AND(Projects!$G$17="Yes",41&gt;=Projects!$C$17,41&lt;Projects!$C$17+Projects!$D$17),IF(41=Projects!$C$17+Projects!$D$17-1,Projects!$B$17*Assumptions!$B$12/Projects!$D$17*0.95+0.05*Projects!$B$17*Assumptions!$B$12,Projects!$B$17*Assumptions!$B$12/Projects!$D$17*0.95),0)+IF(AND(Projects!$G$18="Yes",41&gt;=Projects!$C$18,41&lt;Projects!$C$18+Projects!$D$18),IF(41=Projects!$C$18+Projects!$D$18-1,Projects!$B$18*Assumptions!$B$12/Projects!$D$18*0.95+0.05*Projects!$B$18*Assumptions!$B$12,Projects!$B$18*Assumptions!$B$12/Projects!$D$18*0.95),0)+IF(AND(Projects!$G$19="Yes",41&gt;=Projects!$C$19,41&lt;Projects!$C$19+Projects!$D$19),IF(41=Projects!$C$19+Projects!$D$19-1,Projects!$B$19*Assumptions!$B$12/Projects!$D$19*0.95+0.05*Projects!$B$19*Assumptions!$B$12,Projects!$B$19*Assumptions!$B$12/Projects!$D$19*0.95),0)+IF(AND(Projects!$G$20="Yes",41&gt;=Projects!$C$20,41&lt;Projects!$C$20+Projects!$D$20),IF(41=Projects!$C$20+Projects!$D$20-1,Projects!$B$20*Assumptions!$B$12/Projects!$D$20*0.95+0.05*Projects!$B$20*Assumptions!$B$12,Projects!$B$20*Assumptions!$B$12/Projects!$D$20*0.95),0)+IF(AND(Projects!$G$21="Yes",41&gt;=Projects!$C$21,41&lt;Projects!$C$21+Projects!$D$21),IF(41=Projects!$C$21+Projects!$D$21-1,Projects!$B$21*Assumptions!$B$12/Projects!$D$21*0.95+0.05*Projects!$B$21*Assumptions!$B$12,Projects!$B$21*Assumptions!$B$12/Projects!$D$21*0.95),0)+IF(AND(Projects!$G$22="Yes",41&gt;=Projects!$C$22,41&lt;Projects!$C$22+Projects!$D$22),IF(41=Projects!$C$22+Projects!$D$22-1,Projects!$B$22*Assumptions!$B$12/Projects!$D$22*0.95+0.05*Projects!$B$22*Assumptions!$B$12,Projects!$B$22*Assumptions!$B$12/Projects!$D$22*0.95),0)+IF(AND(Projects!$G$23="Yes",41&gt;=Projects!$C$23,41&lt;Projects!$C$23+Projects!$D$23),IF(41=Projects!$C$23+Projects!$D$23-1,Projects!$B$23*Assumptions!$B$12/Projects!$D$23*0.95+0.05*Projects!$B$23*Assumptions!$B$12,Projects!$B$23*Assumptions!$B$12/Projects!$D$23*0.95),0)+IF(AND(Projects!$G$24="Yes",41&gt;=Projects!$C$24,41&lt;Projects!$C$24+Projects!$D$24),IF(41=Projects!$C$24+Projects!$D$24-1,Projects!$B$24*Assumptions!$B$12/Projects!$D$24*0.95+0.05*Projects!$B$24*Assumptions!$B$12,Projects!$B$24*Assumptions!$B$12/Projects!$D$24*0.95),0)+IF(AND(Projects!$G$25="Yes",41&gt;=Projects!$C$25,41&lt;Projects!$C$25+Projects!$D$25),IF(41=Projects!$C$25+Projects!$D$25-1,Projects!$B$25*Assumptions!$B$12/Projects!$D$25*0.95+0.05*Projects!$B$25*Assumptions!$B$12,Projects!$B$25*Assumptions!$B$12/Projects!$D$25*0.95),0)+IF(AND(Projects!$G$26="Yes",41&gt;=Projects!$C$26,41&lt;Projects!$C$26+Projects!$D$26),IF(41=Projects!$C$26+Projects!$D$26-1,Projects!$B$26*Assumptions!$B$12/Projects!$D$26*0.95+0.05*Projects!$B$26*Assumptions!$B$12,Projects!$B$26*Assumptions!$B$12/Projects!$D$26*0.95),0)+IF(AND(Projects!$G$27="Yes",41&gt;=Projects!$C$27,41&lt;Projects!$C$27+Projects!$D$27),IF(41=Projects!$C$27+Projects!$D$27-1,Projects!$B$27*Assumptions!$B$12/Projects!$D$27*0.95+0.05*Projects!$B$27*Assumptions!$B$12,Projects!$B$27*Assumptions!$B$12/Projects!$D$27*0.95),0)+IF(AND(Projects!$G$28="Yes",41&gt;=Projects!$C$28,41&lt;Projects!$C$28+Projects!$D$28),IF(41=Projects!$C$28+Projects!$D$28-1,Projects!$B$28*Assumptions!$B$12/Projects!$D$28*0.95+0.05*Projects!$B$28*Assumptions!$B$12,Projects!$B$28*Assumptions!$B$12/Projects!$D$28*0.95),0)+IF(AND(Projects!$G$29="Yes",41&gt;=Projects!$C$29,41&lt;Projects!$C$29+Projects!$D$29),IF(41=Projects!$C$29+Projects!$D$29-1,Projects!$B$29*Assumptions!$B$12/Projects!$D$29*0.95+0.05*Projects!$B$29*Assumptions!$B$12,Projects!$B$29*Assumptions!$B$12/Projects!$D$29*0.95),0)</f>
        <v/>
      </c>
      <c r="AR100">
        <f>IF(AND(Projects!$G$17="Yes",42&gt;=Projects!$C$17,42&lt;Projects!$C$17+Projects!$D$17),IF(42=Projects!$C$17+Projects!$D$17-1,Projects!$B$17*Assumptions!$B$12/Projects!$D$17*0.95+0.05*Projects!$B$17*Assumptions!$B$12,Projects!$B$17*Assumptions!$B$12/Projects!$D$17*0.95),0)+IF(AND(Projects!$G$18="Yes",42&gt;=Projects!$C$18,42&lt;Projects!$C$18+Projects!$D$18),IF(42=Projects!$C$18+Projects!$D$18-1,Projects!$B$18*Assumptions!$B$12/Projects!$D$18*0.95+0.05*Projects!$B$18*Assumptions!$B$12,Projects!$B$18*Assumptions!$B$12/Projects!$D$18*0.95),0)+IF(AND(Projects!$G$19="Yes",42&gt;=Projects!$C$19,42&lt;Projects!$C$19+Projects!$D$19),IF(42=Projects!$C$19+Projects!$D$19-1,Projects!$B$19*Assumptions!$B$12/Projects!$D$19*0.95+0.05*Projects!$B$19*Assumptions!$B$12,Projects!$B$19*Assumptions!$B$12/Projects!$D$19*0.95),0)+IF(AND(Projects!$G$20="Yes",42&gt;=Projects!$C$20,42&lt;Projects!$C$20+Projects!$D$20),IF(42=Projects!$C$20+Projects!$D$20-1,Projects!$B$20*Assumptions!$B$12/Projects!$D$20*0.95+0.05*Projects!$B$20*Assumptions!$B$12,Projects!$B$20*Assumptions!$B$12/Projects!$D$20*0.95),0)+IF(AND(Projects!$G$21="Yes",42&gt;=Projects!$C$21,42&lt;Projects!$C$21+Projects!$D$21),IF(42=Projects!$C$21+Projects!$D$21-1,Projects!$B$21*Assumptions!$B$12/Projects!$D$21*0.95+0.05*Projects!$B$21*Assumptions!$B$12,Projects!$B$21*Assumptions!$B$12/Projects!$D$21*0.95),0)+IF(AND(Projects!$G$22="Yes",42&gt;=Projects!$C$22,42&lt;Projects!$C$22+Projects!$D$22),IF(42=Projects!$C$22+Projects!$D$22-1,Projects!$B$22*Assumptions!$B$12/Projects!$D$22*0.95+0.05*Projects!$B$22*Assumptions!$B$12,Projects!$B$22*Assumptions!$B$12/Projects!$D$22*0.95),0)+IF(AND(Projects!$G$23="Yes",42&gt;=Projects!$C$23,42&lt;Projects!$C$23+Projects!$D$23),IF(42=Projects!$C$23+Projects!$D$23-1,Projects!$B$23*Assumptions!$B$12/Projects!$D$23*0.95+0.05*Projects!$B$23*Assumptions!$B$12,Projects!$B$23*Assumptions!$B$12/Projects!$D$23*0.95),0)+IF(AND(Projects!$G$24="Yes",42&gt;=Projects!$C$24,42&lt;Projects!$C$24+Projects!$D$24),IF(42=Projects!$C$24+Projects!$D$24-1,Projects!$B$24*Assumptions!$B$12/Projects!$D$24*0.95+0.05*Projects!$B$24*Assumptions!$B$12,Projects!$B$24*Assumptions!$B$12/Projects!$D$24*0.95),0)+IF(AND(Projects!$G$25="Yes",42&gt;=Projects!$C$25,42&lt;Projects!$C$25+Projects!$D$25),IF(42=Projects!$C$25+Projects!$D$25-1,Projects!$B$25*Assumptions!$B$12/Projects!$D$25*0.95+0.05*Projects!$B$25*Assumptions!$B$12,Projects!$B$25*Assumptions!$B$12/Projects!$D$25*0.95),0)+IF(AND(Projects!$G$26="Yes",42&gt;=Projects!$C$26,42&lt;Projects!$C$26+Projects!$D$26),IF(42=Projects!$C$26+Projects!$D$26-1,Projects!$B$26*Assumptions!$B$12/Projects!$D$26*0.95+0.05*Projects!$B$26*Assumptions!$B$12,Projects!$B$26*Assumptions!$B$12/Projects!$D$26*0.95),0)+IF(AND(Projects!$G$27="Yes",42&gt;=Projects!$C$27,42&lt;Projects!$C$27+Projects!$D$27),IF(42=Projects!$C$27+Projects!$D$27-1,Projects!$B$27*Assumptions!$B$12/Projects!$D$27*0.95+0.05*Projects!$B$27*Assumptions!$B$12,Projects!$B$27*Assumptions!$B$12/Projects!$D$27*0.95),0)+IF(AND(Projects!$G$28="Yes",42&gt;=Projects!$C$28,42&lt;Projects!$C$28+Projects!$D$28),IF(42=Projects!$C$28+Projects!$D$28-1,Projects!$B$28*Assumptions!$B$12/Projects!$D$28*0.95+0.05*Projects!$B$28*Assumptions!$B$12,Projects!$B$28*Assumptions!$B$12/Projects!$D$28*0.95),0)+IF(AND(Projects!$G$29="Yes",42&gt;=Projects!$C$29,42&lt;Projects!$C$29+Projects!$D$29),IF(42=Projects!$C$29+Projects!$D$29-1,Projects!$B$29*Assumptions!$B$12/Projects!$D$29*0.95+0.05*Projects!$B$29*Assumptions!$B$12,Projects!$B$29*Assumptions!$B$12/Projects!$D$29*0.95),0)</f>
        <v/>
      </c>
      <c r="AS100">
        <f>IF(AND(Projects!$G$17="Yes",43&gt;=Projects!$C$17,43&lt;Projects!$C$17+Projects!$D$17),IF(43=Projects!$C$17+Projects!$D$17-1,Projects!$B$17*Assumptions!$B$12/Projects!$D$17*0.95+0.05*Projects!$B$17*Assumptions!$B$12,Projects!$B$17*Assumptions!$B$12/Projects!$D$17*0.95),0)+IF(AND(Projects!$G$18="Yes",43&gt;=Projects!$C$18,43&lt;Projects!$C$18+Projects!$D$18),IF(43=Projects!$C$18+Projects!$D$18-1,Projects!$B$18*Assumptions!$B$12/Projects!$D$18*0.95+0.05*Projects!$B$18*Assumptions!$B$12,Projects!$B$18*Assumptions!$B$12/Projects!$D$18*0.95),0)+IF(AND(Projects!$G$19="Yes",43&gt;=Projects!$C$19,43&lt;Projects!$C$19+Projects!$D$19),IF(43=Projects!$C$19+Projects!$D$19-1,Projects!$B$19*Assumptions!$B$12/Projects!$D$19*0.95+0.05*Projects!$B$19*Assumptions!$B$12,Projects!$B$19*Assumptions!$B$12/Projects!$D$19*0.95),0)+IF(AND(Projects!$G$20="Yes",43&gt;=Projects!$C$20,43&lt;Projects!$C$20+Projects!$D$20),IF(43=Projects!$C$20+Projects!$D$20-1,Projects!$B$20*Assumptions!$B$12/Projects!$D$20*0.95+0.05*Projects!$B$20*Assumptions!$B$12,Projects!$B$20*Assumptions!$B$12/Projects!$D$20*0.95),0)+IF(AND(Projects!$G$21="Yes",43&gt;=Projects!$C$21,43&lt;Projects!$C$21+Projects!$D$21),IF(43=Projects!$C$21+Projects!$D$21-1,Projects!$B$21*Assumptions!$B$12/Projects!$D$21*0.95+0.05*Projects!$B$21*Assumptions!$B$12,Projects!$B$21*Assumptions!$B$12/Projects!$D$21*0.95),0)+IF(AND(Projects!$G$22="Yes",43&gt;=Projects!$C$22,43&lt;Projects!$C$22+Projects!$D$22),IF(43=Projects!$C$22+Projects!$D$22-1,Projects!$B$22*Assumptions!$B$12/Projects!$D$22*0.95+0.05*Projects!$B$22*Assumptions!$B$12,Projects!$B$22*Assumptions!$B$12/Projects!$D$22*0.95),0)+IF(AND(Projects!$G$23="Yes",43&gt;=Projects!$C$23,43&lt;Projects!$C$23+Projects!$D$23),IF(43=Projects!$C$23+Projects!$D$23-1,Projects!$B$23*Assumptions!$B$12/Projects!$D$23*0.95+0.05*Projects!$B$23*Assumptions!$B$12,Projects!$B$23*Assumptions!$B$12/Projects!$D$23*0.95),0)+IF(AND(Projects!$G$24="Yes",43&gt;=Projects!$C$24,43&lt;Projects!$C$24+Projects!$D$24),IF(43=Projects!$C$24+Projects!$D$24-1,Projects!$B$24*Assumptions!$B$12/Projects!$D$24*0.95+0.05*Projects!$B$24*Assumptions!$B$12,Projects!$B$24*Assumptions!$B$12/Projects!$D$24*0.95),0)+IF(AND(Projects!$G$25="Yes",43&gt;=Projects!$C$25,43&lt;Projects!$C$25+Projects!$D$25),IF(43=Projects!$C$25+Projects!$D$25-1,Projects!$B$25*Assumptions!$B$12/Projects!$D$25*0.95+0.05*Projects!$B$25*Assumptions!$B$12,Projects!$B$25*Assumptions!$B$12/Projects!$D$25*0.95),0)+IF(AND(Projects!$G$26="Yes",43&gt;=Projects!$C$26,43&lt;Projects!$C$26+Projects!$D$26),IF(43=Projects!$C$26+Projects!$D$26-1,Projects!$B$26*Assumptions!$B$12/Projects!$D$26*0.95+0.05*Projects!$B$26*Assumptions!$B$12,Projects!$B$26*Assumptions!$B$12/Projects!$D$26*0.95),0)+IF(AND(Projects!$G$27="Yes",43&gt;=Projects!$C$27,43&lt;Projects!$C$27+Projects!$D$27),IF(43=Projects!$C$27+Projects!$D$27-1,Projects!$B$27*Assumptions!$B$12/Projects!$D$27*0.95+0.05*Projects!$B$27*Assumptions!$B$12,Projects!$B$27*Assumptions!$B$12/Projects!$D$27*0.95),0)+IF(AND(Projects!$G$28="Yes",43&gt;=Projects!$C$28,43&lt;Projects!$C$28+Projects!$D$28),IF(43=Projects!$C$28+Projects!$D$28-1,Projects!$B$28*Assumptions!$B$12/Projects!$D$28*0.95+0.05*Projects!$B$28*Assumptions!$B$12,Projects!$B$28*Assumptions!$B$12/Projects!$D$28*0.95),0)+IF(AND(Projects!$G$29="Yes",43&gt;=Projects!$C$29,43&lt;Projects!$C$29+Projects!$D$29),IF(43=Projects!$C$29+Projects!$D$29-1,Projects!$B$29*Assumptions!$B$12/Projects!$D$29*0.95+0.05*Projects!$B$29*Assumptions!$B$12,Projects!$B$29*Assumptions!$B$12/Projects!$D$29*0.95),0)</f>
        <v/>
      </c>
      <c r="AT100">
        <f>IF(AND(Projects!$G$17="Yes",44&gt;=Projects!$C$17,44&lt;Projects!$C$17+Projects!$D$17),IF(44=Projects!$C$17+Projects!$D$17-1,Projects!$B$17*Assumptions!$B$12/Projects!$D$17*0.95+0.05*Projects!$B$17*Assumptions!$B$12,Projects!$B$17*Assumptions!$B$12/Projects!$D$17*0.95),0)+IF(AND(Projects!$G$18="Yes",44&gt;=Projects!$C$18,44&lt;Projects!$C$18+Projects!$D$18),IF(44=Projects!$C$18+Projects!$D$18-1,Projects!$B$18*Assumptions!$B$12/Projects!$D$18*0.95+0.05*Projects!$B$18*Assumptions!$B$12,Projects!$B$18*Assumptions!$B$12/Projects!$D$18*0.95),0)+IF(AND(Projects!$G$19="Yes",44&gt;=Projects!$C$19,44&lt;Projects!$C$19+Projects!$D$19),IF(44=Projects!$C$19+Projects!$D$19-1,Projects!$B$19*Assumptions!$B$12/Projects!$D$19*0.95+0.05*Projects!$B$19*Assumptions!$B$12,Projects!$B$19*Assumptions!$B$12/Projects!$D$19*0.95),0)+IF(AND(Projects!$G$20="Yes",44&gt;=Projects!$C$20,44&lt;Projects!$C$20+Projects!$D$20),IF(44=Projects!$C$20+Projects!$D$20-1,Projects!$B$20*Assumptions!$B$12/Projects!$D$20*0.95+0.05*Projects!$B$20*Assumptions!$B$12,Projects!$B$20*Assumptions!$B$12/Projects!$D$20*0.95),0)+IF(AND(Projects!$G$21="Yes",44&gt;=Projects!$C$21,44&lt;Projects!$C$21+Projects!$D$21),IF(44=Projects!$C$21+Projects!$D$21-1,Projects!$B$21*Assumptions!$B$12/Projects!$D$21*0.95+0.05*Projects!$B$21*Assumptions!$B$12,Projects!$B$21*Assumptions!$B$12/Projects!$D$21*0.95),0)+IF(AND(Projects!$G$22="Yes",44&gt;=Projects!$C$22,44&lt;Projects!$C$22+Projects!$D$22),IF(44=Projects!$C$22+Projects!$D$22-1,Projects!$B$22*Assumptions!$B$12/Projects!$D$22*0.95+0.05*Projects!$B$22*Assumptions!$B$12,Projects!$B$22*Assumptions!$B$12/Projects!$D$22*0.95),0)+IF(AND(Projects!$G$23="Yes",44&gt;=Projects!$C$23,44&lt;Projects!$C$23+Projects!$D$23),IF(44=Projects!$C$23+Projects!$D$23-1,Projects!$B$23*Assumptions!$B$12/Projects!$D$23*0.95+0.05*Projects!$B$23*Assumptions!$B$12,Projects!$B$23*Assumptions!$B$12/Projects!$D$23*0.95),0)+IF(AND(Projects!$G$24="Yes",44&gt;=Projects!$C$24,44&lt;Projects!$C$24+Projects!$D$24),IF(44=Projects!$C$24+Projects!$D$24-1,Projects!$B$24*Assumptions!$B$12/Projects!$D$24*0.95+0.05*Projects!$B$24*Assumptions!$B$12,Projects!$B$24*Assumptions!$B$12/Projects!$D$24*0.95),0)+IF(AND(Projects!$G$25="Yes",44&gt;=Projects!$C$25,44&lt;Projects!$C$25+Projects!$D$25),IF(44=Projects!$C$25+Projects!$D$25-1,Projects!$B$25*Assumptions!$B$12/Projects!$D$25*0.95+0.05*Projects!$B$25*Assumptions!$B$12,Projects!$B$25*Assumptions!$B$12/Projects!$D$25*0.95),0)+IF(AND(Projects!$G$26="Yes",44&gt;=Projects!$C$26,44&lt;Projects!$C$26+Projects!$D$26),IF(44=Projects!$C$26+Projects!$D$26-1,Projects!$B$26*Assumptions!$B$12/Projects!$D$26*0.95+0.05*Projects!$B$26*Assumptions!$B$12,Projects!$B$26*Assumptions!$B$12/Projects!$D$26*0.95),0)+IF(AND(Projects!$G$27="Yes",44&gt;=Projects!$C$27,44&lt;Projects!$C$27+Projects!$D$27),IF(44=Projects!$C$27+Projects!$D$27-1,Projects!$B$27*Assumptions!$B$12/Projects!$D$27*0.95+0.05*Projects!$B$27*Assumptions!$B$12,Projects!$B$27*Assumptions!$B$12/Projects!$D$27*0.95),0)+IF(AND(Projects!$G$28="Yes",44&gt;=Projects!$C$28,44&lt;Projects!$C$28+Projects!$D$28),IF(44=Projects!$C$28+Projects!$D$28-1,Projects!$B$28*Assumptions!$B$12/Projects!$D$28*0.95+0.05*Projects!$B$28*Assumptions!$B$12,Projects!$B$28*Assumptions!$B$12/Projects!$D$28*0.95),0)+IF(AND(Projects!$G$29="Yes",44&gt;=Projects!$C$29,44&lt;Projects!$C$29+Projects!$D$29),IF(44=Projects!$C$29+Projects!$D$29-1,Projects!$B$29*Assumptions!$B$12/Projects!$D$29*0.95+0.05*Projects!$B$29*Assumptions!$B$12,Projects!$B$29*Assumptions!$B$12/Projects!$D$29*0.95),0)</f>
        <v/>
      </c>
      <c r="AU100">
        <f>IF(AND(Projects!$G$17="Yes",45&gt;=Projects!$C$17,45&lt;Projects!$C$17+Projects!$D$17),IF(45=Projects!$C$17+Projects!$D$17-1,Projects!$B$17*Assumptions!$B$12/Projects!$D$17*0.95+0.05*Projects!$B$17*Assumptions!$B$12,Projects!$B$17*Assumptions!$B$12/Projects!$D$17*0.95),0)+IF(AND(Projects!$G$18="Yes",45&gt;=Projects!$C$18,45&lt;Projects!$C$18+Projects!$D$18),IF(45=Projects!$C$18+Projects!$D$18-1,Projects!$B$18*Assumptions!$B$12/Projects!$D$18*0.95+0.05*Projects!$B$18*Assumptions!$B$12,Projects!$B$18*Assumptions!$B$12/Projects!$D$18*0.95),0)+IF(AND(Projects!$G$19="Yes",45&gt;=Projects!$C$19,45&lt;Projects!$C$19+Projects!$D$19),IF(45=Projects!$C$19+Projects!$D$19-1,Projects!$B$19*Assumptions!$B$12/Projects!$D$19*0.95+0.05*Projects!$B$19*Assumptions!$B$12,Projects!$B$19*Assumptions!$B$12/Projects!$D$19*0.95),0)+IF(AND(Projects!$G$20="Yes",45&gt;=Projects!$C$20,45&lt;Projects!$C$20+Projects!$D$20),IF(45=Projects!$C$20+Projects!$D$20-1,Projects!$B$20*Assumptions!$B$12/Projects!$D$20*0.95+0.05*Projects!$B$20*Assumptions!$B$12,Projects!$B$20*Assumptions!$B$12/Projects!$D$20*0.95),0)+IF(AND(Projects!$G$21="Yes",45&gt;=Projects!$C$21,45&lt;Projects!$C$21+Projects!$D$21),IF(45=Projects!$C$21+Projects!$D$21-1,Projects!$B$21*Assumptions!$B$12/Projects!$D$21*0.95+0.05*Projects!$B$21*Assumptions!$B$12,Projects!$B$21*Assumptions!$B$12/Projects!$D$21*0.95),0)+IF(AND(Projects!$G$22="Yes",45&gt;=Projects!$C$22,45&lt;Projects!$C$22+Projects!$D$22),IF(45=Projects!$C$22+Projects!$D$22-1,Projects!$B$22*Assumptions!$B$12/Projects!$D$22*0.95+0.05*Projects!$B$22*Assumptions!$B$12,Projects!$B$22*Assumptions!$B$12/Projects!$D$22*0.95),0)+IF(AND(Projects!$G$23="Yes",45&gt;=Projects!$C$23,45&lt;Projects!$C$23+Projects!$D$23),IF(45=Projects!$C$23+Projects!$D$23-1,Projects!$B$23*Assumptions!$B$12/Projects!$D$23*0.95+0.05*Projects!$B$23*Assumptions!$B$12,Projects!$B$23*Assumptions!$B$12/Projects!$D$23*0.95),0)+IF(AND(Projects!$G$24="Yes",45&gt;=Projects!$C$24,45&lt;Projects!$C$24+Projects!$D$24),IF(45=Projects!$C$24+Projects!$D$24-1,Projects!$B$24*Assumptions!$B$12/Projects!$D$24*0.95+0.05*Projects!$B$24*Assumptions!$B$12,Projects!$B$24*Assumptions!$B$12/Projects!$D$24*0.95),0)+IF(AND(Projects!$G$25="Yes",45&gt;=Projects!$C$25,45&lt;Projects!$C$25+Projects!$D$25),IF(45=Projects!$C$25+Projects!$D$25-1,Projects!$B$25*Assumptions!$B$12/Projects!$D$25*0.95+0.05*Projects!$B$25*Assumptions!$B$12,Projects!$B$25*Assumptions!$B$12/Projects!$D$25*0.95),0)+IF(AND(Projects!$G$26="Yes",45&gt;=Projects!$C$26,45&lt;Projects!$C$26+Projects!$D$26),IF(45=Projects!$C$26+Projects!$D$26-1,Projects!$B$26*Assumptions!$B$12/Projects!$D$26*0.95+0.05*Projects!$B$26*Assumptions!$B$12,Projects!$B$26*Assumptions!$B$12/Projects!$D$26*0.95),0)+IF(AND(Projects!$G$27="Yes",45&gt;=Projects!$C$27,45&lt;Projects!$C$27+Projects!$D$27),IF(45=Projects!$C$27+Projects!$D$27-1,Projects!$B$27*Assumptions!$B$12/Projects!$D$27*0.95+0.05*Projects!$B$27*Assumptions!$B$12,Projects!$B$27*Assumptions!$B$12/Projects!$D$27*0.95),0)+IF(AND(Projects!$G$28="Yes",45&gt;=Projects!$C$28,45&lt;Projects!$C$28+Projects!$D$28),IF(45=Projects!$C$28+Projects!$D$28-1,Projects!$B$28*Assumptions!$B$12/Projects!$D$28*0.95+0.05*Projects!$B$28*Assumptions!$B$12,Projects!$B$28*Assumptions!$B$12/Projects!$D$28*0.95),0)+IF(AND(Projects!$G$29="Yes",45&gt;=Projects!$C$29,45&lt;Projects!$C$29+Projects!$D$29),IF(45=Projects!$C$29+Projects!$D$29-1,Projects!$B$29*Assumptions!$B$12/Projects!$D$29*0.95+0.05*Projects!$B$29*Assumptions!$B$12,Projects!$B$29*Assumptions!$B$12/Projects!$D$29*0.95),0)</f>
        <v/>
      </c>
      <c r="AV100">
        <f>IF(AND(Projects!$G$17="Yes",46&gt;=Projects!$C$17,46&lt;Projects!$C$17+Projects!$D$17),IF(46=Projects!$C$17+Projects!$D$17-1,Projects!$B$17*Assumptions!$B$12/Projects!$D$17*0.95+0.05*Projects!$B$17*Assumptions!$B$12,Projects!$B$17*Assumptions!$B$12/Projects!$D$17*0.95),0)+IF(AND(Projects!$G$18="Yes",46&gt;=Projects!$C$18,46&lt;Projects!$C$18+Projects!$D$18),IF(46=Projects!$C$18+Projects!$D$18-1,Projects!$B$18*Assumptions!$B$12/Projects!$D$18*0.95+0.05*Projects!$B$18*Assumptions!$B$12,Projects!$B$18*Assumptions!$B$12/Projects!$D$18*0.95),0)+IF(AND(Projects!$G$19="Yes",46&gt;=Projects!$C$19,46&lt;Projects!$C$19+Projects!$D$19),IF(46=Projects!$C$19+Projects!$D$19-1,Projects!$B$19*Assumptions!$B$12/Projects!$D$19*0.95+0.05*Projects!$B$19*Assumptions!$B$12,Projects!$B$19*Assumptions!$B$12/Projects!$D$19*0.95),0)+IF(AND(Projects!$G$20="Yes",46&gt;=Projects!$C$20,46&lt;Projects!$C$20+Projects!$D$20),IF(46=Projects!$C$20+Projects!$D$20-1,Projects!$B$20*Assumptions!$B$12/Projects!$D$20*0.95+0.05*Projects!$B$20*Assumptions!$B$12,Projects!$B$20*Assumptions!$B$12/Projects!$D$20*0.95),0)+IF(AND(Projects!$G$21="Yes",46&gt;=Projects!$C$21,46&lt;Projects!$C$21+Projects!$D$21),IF(46=Projects!$C$21+Projects!$D$21-1,Projects!$B$21*Assumptions!$B$12/Projects!$D$21*0.95+0.05*Projects!$B$21*Assumptions!$B$12,Projects!$B$21*Assumptions!$B$12/Projects!$D$21*0.95),0)+IF(AND(Projects!$G$22="Yes",46&gt;=Projects!$C$22,46&lt;Projects!$C$22+Projects!$D$22),IF(46=Projects!$C$22+Projects!$D$22-1,Projects!$B$22*Assumptions!$B$12/Projects!$D$22*0.95+0.05*Projects!$B$22*Assumptions!$B$12,Projects!$B$22*Assumptions!$B$12/Projects!$D$22*0.95),0)+IF(AND(Projects!$G$23="Yes",46&gt;=Projects!$C$23,46&lt;Projects!$C$23+Projects!$D$23),IF(46=Projects!$C$23+Projects!$D$23-1,Projects!$B$23*Assumptions!$B$12/Projects!$D$23*0.95+0.05*Projects!$B$23*Assumptions!$B$12,Projects!$B$23*Assumptions!$B$12/Projects!$D$23*0.95),0)+IF(AND(Projects!$G$24="Yes",46&gt;=Projects!$C$24,46&lt;Projects!$C$24+Projects!$D$24),IF(46=Projects!$C$24+Projects!$D$24-1,Projects!$B$24*Assumptions!$B$12/Projects!$D$24*0.95+0.05*Projects!$B$24*Assumptions!$B$12,Projects!$B$24*Assumptions!$B$12/Projects!$D$24*0.95),0)+IF(AND(Projects!$G$25="Yes",46&gt;=Projects!$C$25,46&lt;Projects!$C$25+Projects!$D$25),IF(46=Projects!$C$25+Projects!$D$25-1,Projects!$B$25*Assumptions!$B$12/Projects!$D$25*0.95+0.05*Projects!$B$25*Assumptions!$B$12,Projects!$B$25*Assumptions!$B$12/Projects!$D$25*0.95),0)+IF(AND(Projects!$G$26="Yes",46&gt;=Projects!$C$26,46&lt;Projects!$C$26+Projects!$D$26),IF(46=Projects!$C$26+Projects!$D$26-1,Projects!$B$26*Assumptions!$B$12/Projects!$D$26*0.95+0.05*Projects!$B$26*Assumptions!$B$12,Projects!$B$26*Assumptions!$B$12/Projects!$D$26*0.95),0)+IF(AND(Projects!$G$27="Yes",46&gt;=Projects!$C$27,46&lt;Projects!$C$27+Projects!$D$27),IF(46=Projects!$C$27+Projects!$D$27-1,Projects!$B$27*Assumptions!$B$12/Projects!$D$27*0.95+0.05*Projects!$B$27*Assumptions!$B$12,Projects!$B$27*Assumptions!$B$12/Projects!$D$27*0.95),0)+IF(AND(Projects!$G$28="Yes",46&gt;=Projects!$C$28,46&lt;Projects!$C$28+Projects!$D$28),IF(46=Projects!$C$28+Projects!$D$28-1,Projects!$B$28*Assumptions!$B$12/Projects!$D$28*0.95+0.05*Projects!$B$28*Assumptions!$B$12,Projects!$B$28*Assumptions!$B$12/Projects!$D$28*0.95),0)+IF(AND(Projects!$G$29="Yes",46&gt;=Projects!$C$29,46&lt;Projects!$C$29+Projects!$D$29),IF(46=Projects!$C$29+Projects!$D$29-1,Projects!$B$29*Assumptions!$B$12/Projects!$D$29*0.95+0.05*Projects!$B$29*Assumptions!$B$12,Projects!$B$29*Assumptions!$B$12/Projects!$D$29*0.95),0)</f>
        <v/>
      </c>
      <c r="AW100">
        <f>IF(AND(Projects!$G$17="Yes",47&gt;=Projects!$C$17,47&lt;Projects!$C$17+Projects!$D$17),IF(47=Projects!$C$17+Projects!$D$17-1,Projects!$B$17*Assumptions!$B$12/Projects!$D$17*0.95+0.05*Projects!$B$17*Assumptions!$B$12,Projects!$B$17*Assumptions!$B$12/Projects!$D$17*0.95),0)+IF(AND(Projects!$G$18="Yes",47&gt;=Projects!$C$18,47&lt;Projects!$C$18+Projects!$D$18),IF(47=Projects!$C$18+Projects!$D$18-1,Projects!$B$18*Assumptions!$B$12/Projects!$D$18*0.95+0.05*Projects!$B$18*Assumptions!$B$12,Projects!$B$18*Assumptions!$B$12/Projects!$D$18*0.95),0)+IF(AND(Projects!$G$19="Yes",47&gt;=Projects!$C$19,47&lt;Projects!$C$19+Projects!$D$19),IF(47=Projects!$C$19+Projects!$D$19-1,Projects!$B$19*Assumptions!$B$12/Projects!$D$19*0.95+0.05*Projects!$B$19*Assumptions!$B$12,Projects!$B$19*Assumptions!$B$12/Projects!$D$19*0.95),0)+IF(AND(Projects!$G$20="Yes",47&gt;=Projects!$C$20,47&lt;Projects!$C$20+Projects!$D$20),IF(47=Projects!$C$20+Projects!$D$20-1,Projects!$B$20*Assumptions!$B$12/Projects!$D$20*0.95+0.05*Projects!$B$20*Assumptions!$B$12,Projects!$B$20*Assumptions!$B$12/Projects!$D$20*0.95),0)+IF(AND(Projects!$G$21="Yes",47&gt;=Projects!$C$21,47&lt;Projects!$C$21+Projects!$D$21),IF(47=Projects!$C$21+Projects!$D$21-1,Projects!$B$21*Assumptions!$B$12/Projects!$D$21*0.95+0.05*Projects!$B$21*Assumptions!$B$12,Projects!$B$21*Assumptions!$B$12/Projects!$D$21*0.95),0)+IF(AND(Projects!$G$22="Yes",47&gt;=Projects!$C$22,47&lt;Projects!$C$22+Projects!$D$22),IF(47=Projects!$C$22+Projects!$D$22-1,Projects!$B$22*Assumptions!$B$12/Projects!$D$22*0.95+0.05*Projects!$B$22*Assumptions!$B$12,Projects!$B$22*Assumptions!$B$12/Projects!$D$22*0.95),0)+IF(AND(Projects!$G$23="Yes",47&gt;=Projects!$C$23,47&lt;Projects!$C$23+Projects!$D$23),IF(47=Projects!$C$23+Projects!$D$23-1,Projects!$B$23*Assumptions!$B$12/Projects!$D$23*0.95+0.05*Projects!$B$23*Assumptions!$B$12,Projects!$B$23*Assumptions!$B$12/Projects!$D$23*0.95),0)+IF(AND(Projects!$G$24="Yes",47&gt;=Projects!$C$24,47&lt;Projects!$C$24+Projects!$D$24),IF(47=Projects!$C$24+Projects!$D$24-1,Projects!$B$24*Assumptions!$B$12/Projects!$D$24*0.95+0.05*Projects!$B$24*Assumptions!$B$12,Projects!$B$24*Assumptions!$B$12/Projects!$D$24*0.95),0)+IF(AND(Projects!$G$25="Yes",47&gt;=Projects!$C$25,47&lt;Projects!$C$25+Projects!$D$25),IF(47=Projects!$C$25+Projects!$D$25-1,Projects!$B$25*Assumptions!$B$12/Projects!$D$25*0.95+0.05*Projects!$B$25*Assumptions!$B$12,Projects!$B$25*Assumptions!$B$12/Projects!$D$25*0.95),0)+IF(AND(Projects!$G$26="Yes",47&gt;=Projects!$C$26,47&lt;Projects!$C$26+Projects!$D$26),IF(47=Projects!$C$26+Projects!$D$26-1,Projects!$B$26*Assumptions!$B$12/Projects!$D$26*0.95+0.05*Projects!$B$26*Assumptions!$B$12,Projects!$B$26*Assumptions!$B$12/Projects!$D$26*0.95),0)+IF(AND(Projects!$G$27="Yes",47&gt;=Projects!$C$27,47&lt;Projects!$C$27+Projects!$D$27),IF(47=Projects!$C$27+Projects!$D$27-1,Projects!$B$27*Assumptions!$B$12/Projects!$D$27*0.95+0.05*Projects!$B$27*Assumptions!$B$12,Projects!$B$27*Assumptions!$B$12/Projects!$D$27*0.95),0)+IF(AND(Projects!$G$28="Yes",47&gt;=Projects!$C$28,47&lt;Projects!$C$28+Projects!$D$28),IF(47=Projects!$C$28+Projects!$D$28-1,Projects!$B$28*Assumptions!$B$12/Projects!$D$28*0.95+0.05*Projects!$B$28*Assumptions!$B$12,Projects!$B$28*Assumptions!$B$12/Projects!$D$28*0.95),0)+IF(AND(Projects!$G$29="Yes",47&gt;=Projects!$C$29,47&lt;Projects!$C$29+Projects!$D$29),IF(47=Projects!$C$29+Projects!$D$29-1,Projects!$B$29*Assumptions!$B$12/Projects!$D$29*0.95+0.05*Projects!$B$29*Assumptions!$B$12,Projects!$B$29*Assumptions!$B$12/Projects!$D$29*0.95),0)</f>
        <v/>
      </c>
      <c r="AX100">
        <f>IF(AND(Projects!$G$17="Yes",48&gt;=Projects!$C$17,48&lt;Projects!$C$17+Projects!$D$17),IF(48=Projects!$C$17+Projects!$D$17-1,Projects!$B$17*Assumptions!$B$12/Projects!$D$17*0.95+0.05*Projects!$B$17*Assumptions!$B$12,Projects!$B$17*Assumptions!$B$12/Projects!$D$17*0.95),0)+IF(AND(Projects!$G$18="Yes",48&gt;=Projects!$C$18,48&lt;Projects!$C$18+Projects!$D$18),IF(48=Projects!$C$18+Projects!$D$18-1,Projects!$B$18*Assumptions!$B$12/Projects!$D$18*0.95+0.05*Projects!$B$18*Assumptions!$B$12,Projects!$B$18*Assumptions!$B$12/Projects!$D$18*0.95),0)+IF(AND(Projects!$G$19="Yes",48&gt;=Projects!$C$19,48&lt;Projects!$C$19+Projects!$D$19),IF(48=Projects!$C$19+Projects!$D$19-1,Projects!$B$19*Assumptions!$B$12/Projects!$D$19*0.95+0.05*Projects!$B$19*Assumptions!$B$12,Projects!$B$19*Assumptions!$B$12/Projects!$D$19*0.95),0)+IF(AND(Projects!$G$20="Yes",48&gt;=Projects!$C$20,48&lt;Projects!$C$20+Projects!$D$20),IF(48=Projects!$C$20+Projects!$D$20-1,Projects!$B$20*Assumptions!$B$12/Projects!$D$20*0.95+0.05*Projects!$B$20*Assumptions!$B$12,Projects!$B$20*Assumptions!$B$12/Projects!$D$20*0.95),0)+IF(AND(Projects!$G$21="Yes",48&gt;=Projects!$C$21,48&lt;Projects!$C$21+Projects!$D$21),IF(48=Projects!$C$21+Projects!$D$21-1,Projects!$B$21*Assumptions!$B$12/Projects!$D$21*0.95+0.05*Projects!$B$21*Assumptions!$B$12,Projects!$B$21*Assumptions!$B$12/Projects!$D$21*0.95),0)+IF(AND(Projects!$G$22="Yes",48&gt;=Projects!$C$22,48&lt;Projects!$C$22+Projects!$D$22),IF(48=Projects!$C$22+Projects!$D$22-1,Projects!$B$22*Assumptions!$B$12/Projects!$D$22*0.95+0.05*Projects!$B$22*Assumptions!$B$12,Projects!$B$22*Assumptions!$B$12/Projects!$D$22*0.95),0)+IF(AND(Projects!$G$23="Yes",48&gt;=Projects!$C$23,48&lt;Projects!$C$23+Projects!$D$23),IF(48=Projects!$C$23+Projects!$D$23-1,Projects!$B$23*Assumptions!$B$12/Projects!$D$23*0.95+0.05*Projects!$B$23*Assumptions!$B$12,Projects!$B$23*Assumptions!$B$12/Projects!$D$23*0.95),0)+IF(AND(Projects!$G$24="Yes",48&gt;=Projects!$C$24,48&lt;Projects!$C$24+Projects!$D$24),IF(48=Projects!$C$24+Projects!$D$24-1,Projects!$B$24*Assumptions!$B$12/Projects!$D$24*0.95+0.05*Projects!$B$24*Assumptions!$B$12,Projects!$B$24*Assumptions!$B$12/Projects!$D$24*0.95),0)+IF(AND(Projects!$G$25="Yes",48&gt;=Projects!$C$25,48&lt;Projects!$C$25+Projects!$D$25),IF(48=Projects!$C$25+Projects!$D$25-1,Projects!$B$25*Assumptions!$B$12/Projects!$D$25*0.95+0.05*Projects!$B$25*Assumptions!$B$12,Projects!$B$25*Assumptions!$B$12/Projects!$D$25*0.95),0)+IF(AND(Projects!$G$26="Yes",48&gt;=Projects!$C$26,48&lt;Projects!$C$26+Projects!$D$26),IF(48=Projects!$C$26+Projects!$D$26-1,Projects!$B$26*Assumptions!$B$12/Projects!$D$26*0.95+0.05*Projects!$B$26*Assumptions!$B$12,Projects!$B$26*Assumptions!$B$12/Projects!$D$26*0.95),0)+IF(AND(Projects!$G$27="Yes",48&gt;=Projects!$C$27,48&lt;Projects!$C$27+Projects!$D$27),IF(48=Projects!$C$27+Projects!$D$27-1,Projects!$B$27*Assumptions!$B$12/Projects!$D$27*0.95+0.05*Projects!$B$27*Assumptions!$B$12,Projects!$B$27*Assumptions!$B$12/Projects!$D$27*0.95),0)+IF(AND(Projects!$G$28="Yes",48&gt;=Projects!$C$28,48&lt;Projects!$C$28+Projects!$D$28),IF(48=Projects!$C$28+Projects!$D$28-1,Projects!$B$28*Assumptions!$B$12/Projects!$D$28*0.95+0.05*Projects!$B$28*Assumptions!$B$12,Projects!$B$28*Assumptions!$B$12/Projects!$D$28*0.95),0)+IF(AND(Projects!$G$29="Yes",48&gt;=Projects!$C$29,48&lt;Projects!$C$29+Projects!$D$29),IF(48=Projects!$C$29+Projects!$D$29-1,Projects!$B$29*Assumptions!$B$12/Projects!$D$29*0.95+0.05*Projects!$B$29*Assumptions!$B$12,Projects!$B$29*Assumptions!$B$12/Projects!$D$29*0.95),0)</f>
        <v/>
      </c>
      <c r="AY100">
        <f>IF(AND(Projects!$G$17="Yes",49&gt;=Projects!$C$17,49&lt;Projects!$C$17+Projects!$D$17),IF(49=Projects!$C$17+Projects!$D$17-1,Projects!$B$17*Assumptions!$B$12/Projects!$D$17*0.95+0.05*Projects!$B$17*Assumptions!$B$12,Projects!$B$17*Assumptions!$B$12/Projects!$D$17*0.95),0)+IF(AND(Projects!$G$18="Yes",49&gt;=Projects!$C$18,49&lt;Projects!$C$18+Projects!$D$18),IF(49=Projects!$C$18+Projects!$D$18-1,Projects!$B$18*Assumptions!$B$12/Projects!$D$18*0.95+0.05*Projects!$B$18*Assumptions!$B$12,Projects!$B$18*Assumptions!$B$12/Projects!$D$18*0.95),0)+IF(AND(Projects!$G$19="Yes",49&gt;=Projects!$C$19,49&lt;Projects!$C$19+Projects!$D$19),IF(49=Projects!$C$19+Projects!$D$19-1,Projects!$B$19*Assumptions!$B$12/Projects!$D$19*0.95+0.05*Projects!$B$19*Assumptions!$B$12,Projects!$B$19*Assumptions!$B$12/Projects!$D$19*0.95),0)+IF(AND(Projects!$G$20="Yes",49&gt;=Projects!$C$20,49&lt;Projects!$C$20+Projects!$D$20),IF(49=Projects!$C$20+Projects!$D$20-1,Projects!$B$20*Assumptions!$B$12/Projects!$D$20*0.95+0.05*Projects!$B$20*Assumptions!$B$12,Projects!$B$20*Assumptions!$B$12/Projects!$D$20*0.95),0)+IF(AND(Projects!$G$21="Yes",49&gt;=Projects!$C$21,49&lt;Projects!$C$21+Projects!$D$21),IF(49=Projects!$C$21+Projects!$D$21-1,Projects!$B$21*Assumptions!$B$12/Projects!$D$21*0.95+0.05*Projects!$B$21*Assumptions!$B$12,Projects!$B$21*Assumptions!$B$12/Projects!$D$21*0.95),0)+IF(AND(Projects!$G$22="Yes",49&gt;=Projects!$C$22,49&lt;Projects!$C$22+Projects!$D$22),IF(49=Projects!$C$22+Projects!$D$22-1,Projects!$B$22*Assumptions!$B$12/Projects!$D$22*0.95+0.05*Projects!$B$22*Assumptions!$B$12,Projects!$B$22*Assumptions!$B$12/Projects!$D$22*0.95),0)+IF(AND(Projects!$G$23="Yes",49&gt;=Projects!$C$23,49&lt;Projects!$C$23+Projects!$D$23),IF(49=Projects!$C$23+Projects!$D$23-1,Projects!$B$23*Assumptions!$B$12/Projects!$D$23*0.95+0.05*Projects!$B$23*Assumptions!$B$12,Projects!$B$23*Assumptions!$B$12/Projects!$D$23*0.95),0)+IF(AND(Projects!$G$24="Yes",49&gt;=Projects!$C$24,49&lt;Projects!$C$24+Projects!$D$24),IF(49=Projects!$C$24+Projects!$D$24-1,Projects!$B$24*Assumptions!$B$12/Projects!$D$24*0.95+0.05*Projects!$B$24*Assumptions!$B$12,Projects!$B$24*Assumptions!$B$12/Projects!$D$24*0.95),0)+IF(AND(Projects!$G$25="Yes",49&gt;=Projects!$C$25,49&lt;Projects!$C$25+Projects!$D$25),IF(49=Projects!$C$25+Projects!$D$25-1,Projects!$B$25*Assumptions!$B$12/Projects!$D$25*0.95+0.05*Projects!$B$25*Assumptions!$B$12,Projects!$B$25*Assumptions!$B$12/Projects!$D$25*0.95),0)+IF(AND(Projects!$G$26="Yes",49&gt;=Projects!$C$26,49&lt;Projects!$C$26+Projects!$D$26),IF(49=Projects!$C$26+Projects!$D$26-1,Projects!$B$26*Assumptions!$B$12/Projects!$D$26*0.95+0.05*Projects!$B$26*Assumptions!$B$12,Projects!$B$26*Assumptions!$B$12/Projects!$D$26*0.95),0)+IF(AND(Projects!$G$27="Yes",49&gt;=Projects!$C$27,49&lt;Projects!$C$27+Projects!$D$27),IF(49=Projects!$C$27+Projects!$D$27-1,Projects!$B$27*Assumptions!$B$12/Projects!$D$27*0.95+0.05*Projects!$B$27*Assumptions!$B$12,Projects!$B$27*Assumptions!$B$12/Projects!$D$27*0.95),0)+IF(AND(Projects!$G$28="Yes",49&gt;=Projects!$C$28,49&lt;Projects!$C$28+Projects!$D$28),IF(49=Projects!$C$28+Projects!$D$28-1,Projects!$B$28*Assumptions!$B$12/Projects!$D$28*0.95+0.05*Projects!$B$28*Assumptions!$B$12,Projects!$B$28*Assumptions!$B$12/Projects!$D$28*0.95),0)+IF(AND(Projects!$G$29="Yes",49&gt;=Projects!$C$29,49&lt;Projects!$C$29+Projects!$D$29),IF(49=Projects!$C$29+Projects!$D$29-1,Projects!$B$29*Assumptions!$B$12/Projects!$D$29*0.95+0.05*Projects!$B$29*Assumptions!$B$12,Projects!$B$29*Assumptions!$B$12/Projects!$D$29*0.95),0)</f>
        <v/>
      </c>
      <c r="AZ100">
        <f>IF(AND(Projects!$G$17="Yes",50&gt;=Projects!$C$17,50&lt;Projects!$C$17+Projects!$D$17),IF(50=Projects!$C$17+Projects!$D$17-1,Projects!$B$17*Assumptions!$B$12/Projects!$D$17*0.95+0.05*Projects!$B$17*Assumptions!$B$12,Projects!$B$17*Assumptions!$B$12/Projects!$D$17*0.95),0)+IF(AND(Projects!$G$18="Yes",50&gt;=Projects!$C$18,50&lt;Projects!$C$18+Projects!$D$18),IF(50=Projects!$C$18+Projects!$D$18-1,Projects!$B$18*Assumptions!$B$12/Projects!$D$18*0.95+0.05*Projects!$B$18*Assumptions!$B$12,Projects!$B$18*Assumptions!$B$12/Projects!$D$18*0.95),0)+IF(AND(Projects!$G$19="Yes",50&gt;=Projects!$C$19,50&lt;Projects!$C$19+Projects!$D$19),IF(50=Projects!$C$19+Projects!$D$19-1,Projects!$B$19*Assumptions!$B$12/Projects!$D$19*0.95+0.05*Projects!$B$19*Assumptions!$B$12,Projects!$B$19*Assumptions!$B$12/Projects!$D$19*0.95),0)+IF(AND(Projects!$G$20="Yes",50&gt;=Projects!$C$20,50&lt;Projects!$C$20+Projects!$D$20),IF(50=Projects!$C$20+Projects!$D$20-1,Projects!$B$20*Assumptions!$B$12/Projects!$D$20*0.95+0.05*Projects!$B$20*Assumptions!$B$12,Projects!$B$20*Assumptions!$B$12/Projects!$D$20*0.95),0)+IF(AND(Projects!$G$21="Yes",50&gt;=Projects!$C$21,50&lt;Projects!$C$21+Projects!$D$21),IF(50=Projects!$C$21+Projects!$D$21-1,Projects!$B$21*Assumptions!$B$12/Projects!$D$21*0.95+0.05*Projects!$B$21*Assumptions!$B$12,Projects!$B$21*Assumptions!$B$12/Projects!$D$21*0.95),0)+IF(AND(Projects!$G$22="Yes",50&gt;=Projects!$C$22,50&lt;Projects!$C$22+Projects!$D$22),IF(50=Projects!$C$22+Projects!$D$22-1,Projects!$B$22*Assumptions!$B$12/Projects!$D$22*0.95+0.05*Projects!$B$22*Assumptions!$B$12,Projects!$B$22*Assumptions!$B$12/Projects!$D$22*0.95),0)+IF(AND(Projects!$G$23="Yes",50&gt;=Projects!$C$23,50&lt;Projects!$C$23+Projects!$D$23),IF(50=Projects!$C$23+Projects!$D$23-1,Projects!$B$23*Assumptions!$B$12/Projects!$D$23*0.95+0.05*Projects!$B$23*Assumptions!$B$12,Projects!$B$23*Assumptions!$B$12/Projects!$D$23*0.95),0)+IF(AND(Projects!$G$24="Yes",50&gt;=Projects!$C$24,50&lt;Projects!$C$24+Projects!$D$24),IF(50=Projects!$C$24+Projects!$D$24-1,Projects!$B$24*Assumptions!$B$12/Projects!$D$24*0.95+0.05*Projects!$B$24*Assumptions!$B$12,Projects!$B$24*Assumptions!$B$12/Projects!$D$24*0.95),0)+IF(AND(Projects!$G$25="Yes",50&gt;=Projects!$C$25,50&lt;Projects!$C$25+Projects!$D$25),IF(50=Projects!$C$25+Projects!$D$25-1,Projects!$B$25*Assumptions!$B$12/Projects!$D$25*0.95+0.05*Projects!$B$25*Assumptions!$B$12,Projects!$B$25*Assumptions!$B$12/Projects!$D$25*0.95),0)+IF(AND(Projects!$G$26="Yes",50&gt;=Projects!$C$26,50&lt;Projects!$C$26+Projects!$D$26),IF(50=Projects!$C$26+Projects!$D$26-1,Projects!$B$26*Assumptions!$B$12/Projects!$D$26*0.95+0.05*Projects!$B$26*Assumptions!$B$12,Projects!$B$26*Assumptions!$B$12/Projects!$D$26*0.95),0)+IF(AND(Projects!$G$27="Yes",50&gt;=Projects!$C$27,50&lt;Projects!$C$27+Projects!$D$27),IF(50=Projects!$C$27+Projects!$D$27-1,Projects!$B$27*Assumptions!$B$12/Projects!$D$27*0.95+0.05*Projects!$B$27*Assumptions!$B$12,Projects!$B$27*Assumptions!$B$12/Projects!$D$27*0.95),0)+IF(AND(Projects!$G$28="Yes",50&gt;=Projects!$C$28,50&lt;Projects!$C$28+Projects!$D$28),IF(50=Projects!$C$28+Projects!$D$28-1,Projects!$B$28*Assumptions!$B$12/Projects!$D$28*0.95+0.05*Projects!$B$28*Assumptions!$B$12,Projects!$B$28*Assumptions!$B$12/Projects!$D$28*0.95),0)+IF(AND(Projects!$G$29="Yes",50&gt;=Projects!$C$29,50&lt;Projects!$C$29+Projects!$D$29),IF(50=Projects!$C$29+Projects!$D$29-1,Projects!$B$29*Assumptions!$B$12/Projects!$D$29*0.95+0.05*Projects!$B$29*Assumptions!$B$12,Projects!$B$29*Assumptions!$B$12/Projects!$D$29*0.95),0)</f>
        <v/>
      </c>
      <c r="BA100">
        <f>IF(AND(Projects!$G$17="Yes",51&gt;=Projects!$C$17,51&lt;Projects!$C$17+Projects!$D$17),IF(51=Projects!$C$17+Projects!$D$17-1,Projects!$B$17*Assumptions!$B$12/Projects!$D$17*0.95+0.05*Projects!$B$17*Assumptions!$B$12,Projects!$B$17*Assumptions!$B$12/Projects!$D$17*0.95),0)+IF(AND(Projects!$G$18="Yes",51&gt;=Projects!$C$18,51&lt;Projects!$C$18+Projects!$D$18),IF(51=Projects!$C$18+Projects!$D$18-1,Projects!$B$18*Assumptions!$B$12/Projects!$D$18*0.95+0.05*Projects!$B$18*Assumptions!$B$12,Projects!$B$18*Assumptions!$B$12/Projects!$D$18*0.95),0)+IF(AND(Projects!$G$19="Yes",51&gt;=Projects!$C$19,51&lt;Projects!$C$19+Projects!$D$19),IF(51=Projects!$C$19+Projects!$D$19-1,Projects!$B$19*Assumptions!$B$12/Projects!$D$19*0.95+0.05*Projects!$B$19*Assumptions!$B$12,Projects!$B$19*Assumptions!$B$12/Projects!$D$19*0.95),0)+IF(AND(Projects!$G$20="Yes",51&gt;=Projects!$C$20,51&lt;Projects!$C$20+Projects!$D$20),IF(51=Projects!$C$20+Projects!$D$20-1,Projects!$B$20*Assumptions!$B$12/Projects!$D$20*0.95+0.05*Projects!$B$20*Assumptions!$B$12,Projects!$B$20*Assumptions!$B$12/Projects!$D$20*0.95),0)+IF(AND(Projects!$G$21="Yes",51&gt;=Projects!$C$21,51&lt;Projects!$C$21+Projects!$D$21),IF(51=Projects!$C$21+Projects!$D$21-1,Projects!$B$21*Assumptions!$B$12/Projects!$D$21*0.95+0.05*Projects!$B$21*Assumptions!$B$12,Projects!$B$21*Assumptions!$B$12/Projects!$D$21*0.95),0)+IF(AND(Projects!$G$22="Yes",51&gt;=Projects!$C$22,51&lt;Projects!$C$22+Projects!$D$22),IF(51=Projects!$C$22+Projects!$D$22-1,Projects!$B$22*Assumptions!$B$12/Projects!$D$22*0.95+0.05*Projects!$B$22*Assumptions!$B$12,Projects!$B$22*Assumptions!$B$12/Projects!$D$22*0.95),0)+IF(AND(Projects!$G$23="Yes",51&gt;=Projects!$C$23,51&lt;Projects!$C$23+Projects!$D$23),IF(51=Projects!$C$23+Projects!$D$23-1,Projects!$B$23*Assumptions!$B$12/Projects!$D$23*0.95+0.05*Projects!$B$23*Assumptions!$B$12,Projects!$B$23*Assumptions!$B$12/Projects!$D$23*0.95),0)+IF(AND(Projects!$G$24="Yes",51&gt;=Projects!$C$24,51&lt;Projects!$C$24+Projects!$D$24),IF(51=Projects!$C$24+Projects!$D$24-1,Projects!$B$24*Assumptions!$B$12/Projects!$D$24*0.95+0.05*Projects!$B$24*Assumptions!$B$12,Projects!$B$24*Assumptions!$B$12/Projects!$D$24*0.95),0)+IF(AND(Projects!$G$25="Yes",51&gt;=Projects!$C$25,51&lt;Projects!$C$25+Projects!$D$25),IF(51=Projects!$C$25+Projects!$D$25-1,Projects!$B$25*Assumptions!$B$12/Projects!$D$25*0.95+0.05*Projects!$B$25*Assumptions!$B$12,Projects!$B$25*Assumptions!$B$12/Projects!$D$25*0.95),0)+IF(AND(Projects!$G$26="Yes",51&gt;=Projects!$C$26,51&lt;Projects!$C$26+Projects!$D$26),IF(51=Projects!$C$26+Projects!$D$26-1,Projects!$B$26*Assumptions!$B$12/Projects!$D$26*0.95+0.05*Projects!$B$26*Assumptions!$B$12,Projects!$B$26*Assumptions!$B$12/Projects!$D$26*0.95),0)+IF(AND(Projects!$G$27="Yes",51&gt;=Projects!$C$27,51&lt;Projects!$C$27+Projects!$D$27),IF(51=Projects!$C$27+Projects!$D$27-1,Projects!$B$27*Assumptions!$B$12/Projects!$D$27*0.95+0.05*Projects!$B$27*Assumptions!$B$12,Projects!$B$27*Assumptions!$B$12/Projects!$D$27*0.95),0)+IF(AND(Projects!$G$28="Yes",51&gt;=Projects!$C$28,51&lt;Projects!$C$28+Projects!$D$28),IF(51=Projects!$C$28+Projects!$D$28-1,Projects!$B$28*Assumptions!$B$12/Projects!$D$28*0.95+0.05*Projects!$B$28*Assumptions!$B$12,Projects!$B$28*Assumptions!$B$12/Projects!$D$28*0.95),0)+IF(AND(Projects!$G$29="Yes",51&gt;=Projects!$C$29,51&lt;Projects!$C$29+Projects!$D$29),IF(51=Projects!$C$29+Projects!$D$29-1,Projects!$B$29*Assumptions!$B$12/Projects!$D$29*0.95+0.05*Projects!$B$29*Assumptions!$B$12,Projects!$B$29*Assumptions!$B$12/Projects!$D$29*0.95),0)</f>
        <v/>
      </c>
      <c r="BB100">
        <f>IF(AND(Projects!$G$17="Yes",52&gt;=Projects!$C$17,52&lt;Projects!$C$17+Projects!$D$17),IF(52=Projects!$C$17+Projects!$D$17-1,Projects!$B$17*Assumptions!$B$12/Projects!$D$17*0.95+0.05*Projects!$B$17*Assumptions!$B$12,Projects!$B$17*Assumptions!$B$12/Projects!$D$17*0.95),0)+IF(AND(Projects!$G$18="Yes",52&gt;=Projects!$C$18,52&lt;Projects!$C$18+Projects!$D$18),IF(52=Projects!$C$18+Projects!$D$18-1,Projects!$B$18*Assumptions!$B$12/Projects!$D$18*0.95+0.05*Projects!$B$18*Assumptions!$B$12,Projects!$B$18*Assumptions!$B$12/Projects!$D$18*0.95),0)+IF(AND(Projects!$G$19="Yes",52&gt;=Projects!$C$19,52&lt;Projects!$C$19+Projects!$D$19),IF(52=Projects!$C$19+Projects!$D$19-1,Projects!$B$19*Assumptions!$B$12/Projects!$D$19*0.95+0.05*Projects!$B$19*Assumptions!$B$12,Projects!$B$19*Assumptions!$B$12/Projects!$D$19*0.95),0)+IF(AND(Projects!$G$20="Yes",52&gt;=Projects!$C$20,52&lt;Projects!$C$20+Projects!$D$20),IF(52=Projects!$C$20+Projects!$D$20-1,Projects!$B$20*Assumptions!$B$12/Projects!$D$20*0.95+0.05*Projects!$B$20*Assumptions!$B$12,Projects!$B$20*Assumptions!$B$12/Projects!$D$20*0.95),0)+IF(AND(Projects!$G$21="Yes",52&gt;=Projects!$C$21,52&lt;Projects!$C$21+Projects!$D$21),IF(52=Projects!$C$21+Projects!$D$21-1,Projects!$B$21*Assumptions!$B$12/Projects!$D$21*0.95+0.05*Projects!$B$21*Assumptions!$B$12,Projects!$B$21*Assumptions!$B$12/Projects!$D$21*0.95),0)+IF(AND(Projects!$G$22="Yes",52&gt;=Projects!$C$22,52&lt;Projects!$C$22+Projects!$D$22),IF(52=Projects!$C$22+Projects!$D$22-1,Projects!$B$22*Assumptions!$B$12/Projects!$D$22*0.95+0.05*Projects!$B$22*Assumptions!$B$12,Projects!$B$22*Assumptions!$B$12/Projects!$D$22*0.95),0)+IF(AND(Projects!$G$23="Yes",52&gt;=Projects!$C$23,52&lt;Projects!$C$23+Projects!$D$23),IF(52=Projects!$C$23+Projects!$D$23-1,Projects!$B$23*Assumptions!$B$12/Projects!$D$23*0.95+0.05*Projects!$B$23*Assumptions!$B$12,Projects!$B$23*Assumptions!$B$12/Projects!$D$23*0.95),0)+IF(AND(Projects!$G$24="Yes",52&gt;=Projects!$C$24,52&lt;Projects!$C$24+Projects!$D$24),IF(52=Projects!$C$24+Projects!$D$24-1,Projects!$B$24*Assumptions!$B$12/Projects!$D$24*0.95+0.05*Projects!$B$24*Assumptions!$B$12,Projects!$B$24*Assumptions!$B$12/Projects!$D$24*0.95),0)+IF(AND(Projects!$G$25="Yes",52&gt;=Projects!$C$25,52&lt;Projects!$C$25+Projects!$D$25),IF(52=Projects!$C$25+Projects!$D$25-1,Projects!$B$25*Assumptions!$B$12/Projects!$D$25*0.95+0.05*Projects!$B$25*Assumptions!$B$12,Projects!$B$25*Assumptions!$B$12/Projects!$D$25*0.95),0)+IF(AND(Projects!$G$26="Yes",52&gt;=Projects!$C$26,52&lt;Projects!$C$26+Projects!$D$26),IF(52=Projects!$C$26+Projects!$D$26-1,Projects!$B$26*Assumptions!$B$12/Projects!$D$26*0.95+0.05*Projects!$B$26*Assumptions!$B$12,Projects!$B$26*Assumptions!$B$12/Projects!$D$26*0.95),0)+IF(AND(Projects!$G$27="Yes",52&gt;=Projects!$C$27,52&lt;Projects!$C$27+Projects!$D$27),IF(52=Projects!$C$27+Projects!$D$27-1,Projects!$B$27*Assumptions!$B$12/Projects!$D$27*0.95+0.05*Projects!$B$27*Assumptions!$B$12,Projects!$B$27*Assumptions!$B$12/Projects!$D$27*0.95),0)+IF(AND(Projects!$G$28="Yes",52&gt;=Projects!$C$28,52&lt;Projects!$C$28+Projects!$D$28),IF(52=Projects!$C$28+Projects!$D$28-1,Projects!$B$28*Assumptions!$B$12/Projects!$D$28*0.95+0.05*Projects!$B$28*Assumptions!$B$12,Projects!$B$28*Assumptions!$B$12/Projects!$D$28*0.95),0)+IF(AND(Projects!$G$29="Yes",52&gt;=Projects!$C$29,52&lt;Projects!$C$29+Projects!$D$29),IF(52=Projects!$C$29+Projects!$D$29-1,Projects!$B$29*Assumptions!$B$12/Projects!$D$29*0.95+0.05*Projects!$B$29*Assumptions!$B$12,Projects!$B$29*Assumptions!$B$12/Projects!$D$29*0.95),0)</f>
        <v/>
      </c>
      <c r="BC100">
        <f>IF(AND(Projects!$G$17="Yes",53&gt;=Projects!$C$17,53&lt;Projects!$C$17+Projects!$D$17),IF(53=Projects!$C$17+Projects!$D$17-1,Projects!$B$17*Assumptions!$B$12/Projects!$D$17*0.95+0.05*Projects!$B$17*Assumptions!$B$12,Projects!$B$17*Assumptions!$B$12/Projects!$D$17*0.95),0)+IF(AND(Projects!$G$18="Yes",53&gt;=Projects!$C$18,53&lt;Projects!$C$18+Projects!$D$18),IF(53=Projects!$C$18+Projects!$D$18-1,Projects!$B$18*Assumptions!$B$12/Projects!$D$18*0.95+0.05*Projects!$B$18*Assumptions!$B$12,Projects!$B$18*Assumptions!$B$12/Projects!$D$18*0.95),0)+IF(AND(Projects!$G$19="Yes",53&gt;=Projects!$C$19,53&lt;Projects!$C$19+Projects!$D$19),IF(53=Projects!$C$19+Projects!$D$19-1,Projects!$B$19*Assumptions!$B$12/Projects!$D$19*0.95+0.05*Projects!$B$19*Assumptions!$B$12,Projects!$B$19*Assumptions!$B$12/Projects!$D$19*0.95),0)+IF(AND(Projects!$G$20="Yes",53&gt;=Projects!$C$20,53&lt;Projects!$C$20+Projects!$D$20),IF(53=Projects!$C$20+Projects!$D$20-1,Projects!$B$20*Assumptions!$B$12/Projects!$D$20*0.95+0.05*Projects!$B$20*Assumptions!$B$12,Projects!$B$20*Assumptions!$B$12/Projects!$D$20*0.95),0)+IF(AND(Projects!$G$21="Yes",53&gt;=Projects!$C$21,53&lt;Projects!$C$21+Projects!$D$21),IF(53=Projects!$C$21+Projects!$D$21-1,Projects!$B$21*Assumptions!$B$12/Projects!$D$21*0.95+0.05*Projects!$B$21*Assumptions!$B$12,Projects!$B$21*Assumptions!$B$12/Projects!$D$21*0.95),0)+IF(AND(Projects!$G$22="Yes",53&gt;=Projects!$C$22,53&lt;Projects!$C$22+Projects!$D$22),IF(53=Projects!$C$22+Projects!$D$22-1,Projects!$B$22*Assumptions!$B$12/Projects!$D$22*0.95+0.05*Projects!$B$22*Assumptions!$B$12,Projects!$B$22*Assumptions!$B$12/Projects!$D$22*0.95),0)+IF(AND(Projects!$G$23="Yes",53&gt;=Projects!$C$23,53&lt;Projects!$C$23+Projects!$D$23),IF(53=Projects!$C$23+Projects!$D$23-1,Projects!$B$23*Assumptions!$B$12/Projects!$D$23*0.95+0.05*Projects!$B$23*Assumptions!$B$12,Projects!$B$23*Assumptions!$B$12/Projects!$D$23*0.95),0)+IF(AND(Projects!$G$24="Yes",53&gt;=Projects!$C$24,53&lt;Projects!$C$24+Projects!$D$24),IF(53=Projects!$C$24+Projects!$D$24-1,Projects!$B$24*Assumptions!$B$12/Projects!$D$24*0.95+0.05*Projects!$B$24*Assumptions!$B$12,Projects!$B$24*Assumptions!$B$12/Projects!$D$24*0.95),0)+IF(AND(Projects!$G$25="Yes",53&gt;=Projects!$C$25,53&lt;Projects!$C$25+Projects!$D$25),IF(53=Projects!$C$25+Projects!$D$25-1,Projects!$B$25*Assumptions!$B$12/Projects!$D$25*0.95+0.05*Projects!$B$25*Assumptions!$B$12,Projects!$B$25*Assumptions!$B$12/Projects!$D$25*0.95),0)+IF(AND(Projects!$G$26="Yes",53&gt;=Projects!$C$26,53&lt;Projects!$C$26+Projects!$D$26),IF(53=Projects!$C$26+Projects!$D$26-1,Projects!$B$26*Assumptions!$B$12/Projects!$D$26*0.95+0.05*Projects!$B$26*Assumptions!$B$12,Projects!$B$26*Assumptions!$B$12/Projects!$D$26*0.95),0)+IF(AND(Projects!$G$27="Yes",53&gt;=Projects!$C$27,53&lt;Projects!$C$27+Projects!$D$27),IF(53=Projects!$C$27+Projects!$D$27-1,Projects!$B$27*Assumptions!$B$12/Projects!$D$27*0.95+0.05*Projects!$B$27*Assumptions!$B$12,Projects!$B$27*Assumptions!$B$12/Projects!$D$27*0.95),0)+IF(AND(Projects!$G$28="Yes",53&gt;=Projects!$C$28,53&lt;Projects!$C$28+Projects!$D$28),IF(53=Projects!$C$28+Projects!$D$28-1,Projects!$B$28*Assumptions!$B$12/Projects!$D$28*0.95+0.05*Projects!$B$28*Assumptions!$B$12,Projects!$B$28*Assumptions!$B$12/Projects!$D$28*0.95),0)+IF(AND(Projects!$G$29="Yes",53&gt;=Projects!$C$29,53&lt;Projects!$C$29+Projects!$D$29),IF(53=Projects!$C$29+Projects!$D$29-1,Projects!$B$29*Assumptions!$B$12/Projects!$D$29*0.95+0.05*Projects!$B$29*Assumptions!$B$12,Projects!$B$29*Assumptions!$B$12/Projects!$D$29*0.95),0)</f>
        <v/>
      </c>
      <c r="BD100">
        <f>IF(AND(Projects!$G$17="Yes",54&gt;=Projects!$C$17,54&lt;Projects!$C$17+Projects!$D$17),IF(54=Projects!$C$17+Projects!$D$17-1,Projects!$B$17*Assumptions!$B$12/Projects!$D$17*0.95+0.05*Projects!$B$17*Assumptions!$B$12,Projects!$B$17*Assumptions!$B$12/Projects!$D$17*0.95),0)+IF(AND(Projects!$G$18="Yes",54&gt;=Projects!$C$18,54&lt;Projects!$C$18+Projects!$D$18),IF(54=Projects!$C$18+Projects!$D$18-1,Projects!$B$18*Assumptions!$B$12/Projects!$D$18*0.95+0.05*Projects!$B$18*Assumptions!$B$12,Projects!$B$18*Assumptions!$B$12/Projects!$D$18*0.95),0)+IF(AND(Projects!$G$19="Yes",54&gt;=Projects!$C$19,54&lt;Projects!$C$19+Projects!$D$19),IF(54=Projects!$C$19+Projects!$D$19-1,Projects!$B$19*Assumptions!$B$12/Projects!$D$19*0.95+0.05*Projects!$B$19*Assumptions!$B$12,Projects!$B$19*Assumptions!$B$12/Projects!$D$19*0.95),0)+IF(AND(Projects!$G$20="Yes",54&gt;=Projects!$C$20,54&lt;Projects!$C$20+Projects!$D$20),IF(54=Projects!$C$20+Projects!$D$20-1,Projects!$B$20*Assumptions!$B$12/Projects!$D$20*0.95+0.05*Projects!$B$20*Assumptions!$B$12,Projects!$B$20*Assumptions!$B$12/Projects!$D$20*0.95),0)+IF(AND(Projects!$G$21="Yes",54&gt;=Projects!$C$21,54&lt;Projects!$C$21+Projects!$D$21),IF(54=Projects!$C$21+Projects!$D$21-1,Projects!$B$21*Assumptions!$B$12/Projects!$D$21*0.95+0.05*Projects!$B$21*Assumptions!$B$12,Projects!$B$21*Assumptions!$B$12/Projects!$D$21*0.95),0)+IF(AND(Projects!$G$22="Yes",54&gt;=Projects!$C$22,54&lt;Projects!$C$22+Projects!$D$22),IF(54=Projects!$C$22+Projects!$D$22-1,Projects!$B$22*Assumptions!$B$12/Projects!$D$22*0.95+0.05*Projects!$B$22*Assumptions!$B$12,Projects!$B$22*Assumptions!$B$12/Projects!$D$22*0.95),0)+IF(AND(Projects!$G$23="Yes",54&gt;=Projects!$C$23,54&lt;Projects!$C$23+Projects!$D$23),IF(54=Projects!$C$23+Projects!$D$23-1,Projects!$B$23*Assumptions!$B$12/Projects!$D$23*0.95+0.05*Projects!$B$23*Assumptions!$B$12,Projects!$B$23*Assumptions!$B$12/Projects!$D$23*0.95),0)+IF(AND(Projects!$G$24="Yes",54&gt;=Projects!$C$24,54&lt;Projects!$C$24+Projects!$D$24),IF(54=Projects!$C$24+Projects!$D$24-1,Projects!$B$24*Assumptions!$B$12/Projects!$D$24*0.95+0.05*Projects!$B$24*Assumptions!$B$12,Projects!$B$24*Assumptions!$B$12/Projects!$D$24*0.95),0)+IF(AND(Projects!$G$25="Yes",54&gt;=Projects!$C$25,54&lt;Projects!$C$25+Projects!$D$25),IF(54=Projects!$C$25+Projects!$D$25-1,Projects!$B$25*Assumptions!$B$12/Projects!$D$25*0.95+0.05*Projects!$B$25*Assumptions!$B$12,Projects!$B$25*Assumptions!$B$12/Projects!$D$25*0.95),0)+IF(AND(Projects!$G$26="Yes",54&gt;=Projects!$C$26,54&lt;Projects!$C$26+Projects!$D$26),IF(54=Projects!$C$26+Projects!$D$26-1,Projects!$B$26*Assumptions!$B$12/Projects!$D$26*0.95+0.05*Projects!$B$26*Assumptions!$B$12,Projects!$B$26*Assumptions!$B$12/Projects!$D$26*0.95),0)+IF(AND(Projects!$G$27="Yes",54&gt;=Projects!$C$27,54&lt;Projects!$C$27+Projects!$D$27),IF(54=Projects!$C$27+Projects!$D$27-1,Projects!$B$27*Assumptions!$B$12/Projects!$D$27*0.95+0.05*Projects!$B$27*Assumptions!$B$12,Projects!$B$27*Assumptions!$B$12/Projects!$D$27*0.95),0)+IF(AND(Projects!$G$28="Yes",54&gt;=Projects!$C$28,54&lt;Projects!$C$28+Projects!$D$28),IF(54=Projects!$C$28+Projects!$D$28-1,Projects!$B$28*Assumptions!$B$12/Projects!$D$28*0.95+0.05*Projects!$B$28*Assumptions!$B$12,Projects!$B$28*Assumptions!$B$12/Projects!$D$28*0.95),0)+IF(AND(Projects!$G$29="Yes",54&gt;=Projects!$C$29,54&lt;Projects!$C$29+Projects!$D$29),IF(54=Projects!$C$29+Projects!$D$29-1,Projects!$B$29*Assumptions!$B$12/Projects!$D$29*0.95+0.05*Projects!$B$29*Assumptions!$B$12,Projects!$B$29*Assumptions!$B$12/Projects!$D$29*0.95),0)</f>
        <v/>
      </c>
      <c r="BE100">
        <f>IF(AND(Projects!$G$17="Yes",55&gt;=Projects!$C$17,55&lt;Projects!$C$17+Projects!$D$17),IF(55=Projects!$C$17+Projects!$D$17-1,Projects!$B$17*Assumptions!$B$12/Projects!$D$17*0.95+0.05*Projects!$B$17*Assumptions!$B$12,Projects!$B$17*Assumptions!$B$12/Projects!$D$17*0.95),0)+IF(AND(Projects!$G$18="Yes",55&gt;=Projects!$C$18,55&lt;Projects!$C$18+Projects!$D$18),IF(55=Projects!$C$18+Projects!$D$18-1,Projects!$B$18*Assumptions!$B$12/Projects!$D$18*0.95+0.05*Projects!$B$18*Assumptions!$B$12,Projects!$B$18*Assumptions!$B$12/Projects!$D$18*0.95),0)+IF(AND(Projects!$G$19="Yes",55&gt;=Projects!$C$19,55&lt;Projects!$C$19+Projects!$D$19),IF(55=Projects!$C$19+Projects!$D$19-1,Projects!$B$19*Assumptions!$B$12/Projects!$D$19*0.95+0.05*Projects!$B$19*Assumptions!$B$12,Projects!$B$19*Assumptions!$B$12/Projects!$D$19*0.95),0)+IF(AND(Projects!$G$20="Yes",55&gt;=Projects!$C$20,55&lt;Projects!$C$20+Projects!$D$20),IF(55=Projects!$C$20+Projects!$D$20-1,Projects!$B$20*Assumptions!$B$12/Projects!$D$20*0.95+0.05*Projects!$B$20*Assumptions!$B$12,Projects!$B$20*Assumptions!$B$12/Projects!$D$20*0.95),0)+IF(AND(Projects!$G$21="Yes",55&gt;=Projects!$C$21,55&lt;Projects!$C$21+Projects!$D$21),IF(55=Projects!$C$21+Projects!$D$21-1,Projects!$B$21*Assumptions!$B$12/Projects!$D$21*0.95+0.05*Projects!$B$21*Assumptions!$B$12,Projects!$B$21*Assumptions!$B$12/Projects!$D$21*0.95),0)+IF(AND(Projects!$G$22="Yes",55&gt;=Projects!$C$22,55&lt;Projects!$C$22+Projects!$D$22),IF(55=Projects!$C$22+Projects!$D$22-1,Projects!$B$22*Assumptions!$B$12/Projects!$D$22*0.95+0.05*Projects!$B$22*Assumptions!$B$12,Projects!$B$22*Assumptions!$B$12/Projects!$D$22*0.95),0)+IF(AND(Projects!$G$23="Yes",55&gt;=Projects!$C$23,55&lt;Projects!$C$23+Projects!$D$23),IF(55=Projects!$C$23+Projects!$D$23-1,Projects!$B$23*Assumptions!$B$12/Projects!$D$23*0.95+0.05*Projects!$B$23*Assumptions!$B$12,Projects!$B$23*Assumptions!$B$12/Projects!$D$23*0.95),0)+IF(AND(Projects!$G$24="Yes",55&gt;=Projects!$C$24,55&lt;Projects!$C$24+Projects!$D$24),IF(55=Projects!$C$24+Projects!$D$24-1,Projects!$B$24*Assumptions!$B$12/Projects!$D$24*0.95+0.05*Projects!$B$24*Assumptions!$B$12,Projects!$B$24*Assumptions!$B$12/Projects!$D$24*0.95),0)+IF(AND(Projects!$G$25="Yes",55&gt;=Projects!$C$25,55&lt;Projects!$C$25+Projects!$D$25),IF(55=Projects!$C$25+Projects!$D$25-1,Projects!$B$25*Assumptions!$B$12/Projects!$D$25*0.95+0.05*Projects!$B$25*Assumptions!$B$12,Projects!$B$25*Assumptions!$B$12/Projects!$D$25*0.95),0)+IF(AND(Projects!$G$26="Yes",55&gt;=Projects!$C$26,55&lt;Projects!$C$26+Projects!$D$26),IF(55=Projects!$C$26+Projects!$D$26-1,Projects!$B$26*Assumptions!$B$12/Projects!$D$26*0.95+0.05*Projects!$B$26*Assumptions!$B$12,Projects!$B$26*Assumptions!$B$12/Projects!$D$26*0.95),0)+IF(AND(Projects!$G$27="Yes",55&gt;=Projects!$C$27,55&lt;Projects!$C$27+Projects!$D$27),IF(55=Projects!$C$27+Projects!$D$27-1,Projects!$B$27*Assumptions!$B$12/Projects!$D$27*0.95+0.05*Projects!$B$27*Assumptions!$B$12,Projects!$B$27*Assumptions!$B$12/Projects!$D$27*0.95),0)+IF(AND(Projects!$G$28="Yes",55&gt;=Projects!$C$28,55&lt;Projects!$C$28+Projects!$D$28),IF(55=Projects!$C$28+Projects!$D$28-1,Projects!$B$28*Assumptions!$B$12/Projects!$D$28*0.95+0.05*Projects!$B$28*Assumptions!$B$12,Projects!$B$28*Assumptions!$B$12/Projects!$D$28*0.95),0)+IF(AND(Projects!$G$29="Yes",55&gt;=Projects!$C$29,55&lt;Projects!$C$29+Projects!$D$29),IF(55=Projects!$C$29+Projects!$D$29-1,Projects!$B$29*Assumptions!$B$12/Projects!$D$29*0.95+0.05*Projects!$B$29*Assumptions!$B$12,Projects!$B$29*Assumptions!$B$12/Projects!$D$29*0.95),0)</f>
        <v/>
      </c>
      <c r="BF100">
        <f>IF(AND(Projects!$G$17="Yes",56&gt;=Projects!$C$17,56&lt;Projects!$C$17+Projects!$D$17),IF(56=Projects!$C$17+Projects!$D$17-1,Projects!$B$17*Assumptions!$B$12/Projects!$D$17*0.95+0.05*Projects!$B$17*Assumptions!$B$12,Projects!$B$17*Assumptions!$B$12/Projects!$D$17*0.95),0)+IF(AND(Projects!$G$18="Yes",56&gt;=Projects!$C$18,56&lt;Projects!$C$18+Projects!$D$18),IF(56=Projects!$C$18+Projects!$D$18-1,Projects!$B$18*Assumptions!$B$12/Projects!$D$18*0.95+0.05*Projects!$B$18*Assumptions!$B$12,Projects!$B$18*Assumptions!$B$12/Projects!$D$18*0.95),0)+IF(AND(Projects!$G$19="Yes",56&gt;=Projects!$C$19,56&lt;Projects!$C$19+Projects!$D$19),IF(56=Projects!$C$19+Projects!$D$19-1,Projects!$B$19*Assumptions!$B$12/Projects!$D$19*0.95+0.05*Projects!$B$19*Assumptions!$B$12,Projects!$B$19*Assumptions!$B$12/Projects!$D$19*0.95),0)+IF(AND(Projects!$G$20="Yes",56&gt;=Projects!$C$20,56&lt;Projects!$C$20+Projects!$D$20),IF(56=Projects!$C$20+Projects!$D$20-1,Projects!$B$20*Assumptions!$B$12/Projects!$D$20*0.95+0.05*Projects!$B$20*Assumptions!$B$12,Projects!$B$20*Assumptions!$B$12/Projects!$D$20*0.95),0)+IF(AND(Projects!$G$21="Yes",56&gt;=Projects!$C$21,56&lt;Projects!$C$21+Projects!$D$21),IF(56=Projects!$C$21+Projects!$D$21-1,Projects!$B$21*Assumptions!$B$12/Projects!$D$21*0.95+0.05*Projects!$B$21*Assumptions!$B$12,Projects!$B$21*Assumptions!$B$12/Projects!$D$21*0.95),0)+IF(AND(Projects!$G$22="Yes",56&gt;=Projects!$C$22,56&lt;Projects!$C$22+Projects!$D$22),IF(56=Projects!$C$22+Projects!$D$22-1,Projects!$B$22*Assumptions!$B$12/Projects!$D$22*0.95+0.05*Projects!$B$22*Assumptions!$B$12,Projects!$B$22*Assumptions!$B$12/Projects!$D$22*0.95),0)+IF(AND(Projects!$G$23="Yes",56&gt;=Projects!$C$23,56&lt;Projects!$C$23+Projects!$D$23),IF(56=Projects!$C$23+Projects!$D$23-1,Projects!$B$23*Assumptions!$B$12/Projects!$D$23*0.95+0.05*Projects!$B$23*Assumptions!$B$12,Projects!$B$23*Assumptions!$B$12/Projects!$D$23*0.95),0)+IF(AND(Projects!$G$24="Yes",56&gt;=Projects!$C$24,56&lt;Projects!$C$24+Projects!$D$24),IF(56=Projects!$C$24+Projects!$D$24-1,Projects!$B$24*Assumptions!$B$12/Projects!$D$24*0.95+0.05*Projects!$B$24*Assumptions!$B$12,Projects!$B$24*Assumptions!$B$12/Projects!$D$24*0.95),0)+IF(AND(Projects!$G$25="Yes",56&gt;=Projects!$C$25,56&lt;Projects!$C$25+Projects!$D$25),IF(56=Projects!$C$25+Projects!$D$25-1,Projects!$B$25*Assumptions!$B$12/Projects!$D$25*0.95+0.05*Projects!$B$25*Assumptions!$B$12,Projects!$B$25*Assumptions!$B$12/Projects!$D$25*0.95),0)+IF(AND(Projects!$G$26="Yes",56&gt;=Projects!$C$26,56&lt;Projects!$C$26+Projects!$D$26),IF(56=Projects!$C$26+Projects!$D$26-1,Projects!$B$26*Assumptions!$B$12/Projects!$D$26*0.95+0.05*Projects!$B$26*Assumptions!$B$12,Projects!$B$26*Assumptions!$B$12/Projects!$D$26*0.95),0)+IF(AND(Projects!$G$27="Yes",56&gt;=Projects!$C$27,56&lt;Projects!$C$27+Projects!$D$27),IF(56=Projects!$C$27+Projects!$D$27-1,Projects!$B$27*Assumptions!$B$12/Projects!$D$27*0.95+0.05*Projects!$B$27*Assumptions!$B$12,Projects!$B$27*Assumptions!$B$12/Projects!$D$27*0.95),0)+IF(AND(Projects!$G$28="Yes",56&gt;=Projects!$C$28,56&lt;Projects!$C$28+Projects!$D$28),IF(56=Projects!$C$28+Projects!$D$28-1,Projects!$B$28*Assumptions!$B$12/Projects!$D$28*0.95+0.05*Projects!$B$28*Assumptions!$B$12,Projects!$B$28*Assumptions!$B$12/Projects!$D$28*0.95),0)+IF(AND(Projects!$G$29="Yes",56&gt;=Projects!$C$29,56&lt;Projects!$C$29+Projects!$D$29),IF(56=Projects!$C$29+Projects!$D$29-1,Projects!$B$29*Assumptions!$B$12/Projects!$D$29*0.95+0.05*Projects!$B$29*Assumptions!$B$12,Projects!$B$29*Assumptions!$B$12/Projects!$D$29*0.95),0)</f>
        <v/>
      </c>
      <c r="BG100">
        <f>IF(AND(Projects!$G$17="Yes",57&gt;=Projects!$C$17,57&lt;Projects!$C$17+Projects!$D$17),IF(57=Projects!$C$17+Projects!$D$17-1,Projects!$B$17*Assumptions!$B$12/Projects!$D$17*0.95+0.05*Projects!$B$17*Assumptions!$B$12,Projects!$B$17*Assumptions!$B$12/Projects!$D$17*0.95),0)+IF(AND(Projects!$G$18="Yes",57&gt;=Projects!$C$18,57&lt;Projects!$C$18+Projects!$D$18),IF(57=Projects!$C$18+Projects!$D$18-1,Projects!$B$18*Assumptions!$B$12/Projects!$D$18*0.95+0.05*Projects!$B$18*Assumptions!$B$12,Projects!$B$18*Assumptions!$B$12/Projects!$D$18*0.95),0)+IF(AND(Projects!$G$19="Yes",57&gt;=Projects!$C$19,57&lt;Projects!$C$19+Projects!$D$19),IF(57=Projects!$C$19+Projects!$D$19-1,Projects!$B$19*Assumptions!$B$12/Projects!$D$19*0.95+0.05*Projects!$B$19*Assumptions!$B$12,Projects!$B$19*Assumptions!$B$12/Projects!$D$19*0.95),0)+IF(AND(Projects!$G$20="Yes",57&gt;=Projects!$C$20,57&lt;Projects!$C$20+Projects!$D$20),IF(57=Projects!$C$20+Projects!$D$20-1,Projects!$B$20*Assumptions!$B$12/Projects!$D$20*0.95+0.05*Projects!$B$20*Assumptions!$B$12,Projects!$B$20*Assumptions!$B$12/Projects!$D$20*0.95),0)+IF(AND(Projects!$G$21="Yes",57&gt;=Projects!$C$21,57&lt;Projects!$C$21+Projects!$D$21),IF(57=Projects!$C$21+Projects!$D$21-1,Projects!$B$21*Assumptions!$B$12/Projects!$D$21*0.95+0.05*Projects!$B$21*Assumptions!$B$12,Projects!$B$21*Assumptions!$B$12/Projects!$D$21*0.95),0)+IF(AND(Projects!$G$22="Yes",57&gt;=Projects!$C$22,57&lt;Projects!$C$22+Projects!$D$22),IF(57=Projects!$C$22+Projects!$D$22-1,Projects!$B$22*Assumptions!$B$12/Projects!$D$22*0.95+0.05*Projects!$B$22*Assumptions!$B$12,Projects!$B$22*Assumptions!$B$12/Projects!$D$22*0.95),0)+IF(AND(Projects!$G$23="Yes",57&gt;=Projects!$C$23,57&lt;Projects!$C$23+Projects!$D$23),IF(57=Projects!$C$23+Projects!$D$23-1,Projects!$B$23*Assumptions!$B$12/Projects!$D$23*0.95+0.05*Projects!$B$23*Assumptions!$B$12,Projects!$B$23*Assumptions!$B$12/Projects!$D$23*0.95),0)+IF(AND(Projects!$G$24="Yes",57&gt;=Projects!$C$24,57&lt;Projects!$C$24+Projects!$D$24),IF(57=Projects!$C$24+Projects!$D$24-1,Projects!$B$24*Assumptions!$B$12/Projects!$D$24*0.95+0.05*Projects!$B$24*Assumptions!$B$12,Projects!$B$24*Assumptions!$B$12/Projects!$D$24*0.95),0)+IF(AND(Projects!$G$25="Yes",57&gt;=Projects!$C$25,57&lt;Projects!$C$25+Projects!$D$25),IF(57=Projects!$C$25+Projects!$D$25-1,Projects!$B$25*Assumptions!$B$12/Projects!$D$25*0.95+0.05*Projects!$B$25*Assumptions!$B$12,Projects!$B$25*Assumptions!$B$12/Projects!$D$25*0.95),0)+IF(AND(Projects!$G$26="Yes",57&gt;=Projects!$C$26,57&lt;Projects!$C$26+Projects!$D$26),IF(57=Projects!$C$26+Projects!$D$26-1,Projects!$B$26*Assumptions!$B$12/Projects!$D$26*0.95+0.05*Projects!$B$26*Assumptions!$B$12,Projects!$B$26*Assumptions!$B$12/Projects!$D$26*0.95),0)+IF(AND(Projects!$G$27="Yes",57&gt;=Projects!$C$27,57&lt;Projects!$C$27+Projects!$D$27),IF(57=Projects!$C$27+Projects!$D$27-1,Projects!$B$27*Assumptions!$B$12/Projects!$D$27*0.95+0.05*Projects!$B$27*Assumptions!$B$12,Projects!$B$27*Assumptions!$B$12/Projects!$D$27*0.95),0)+IF(AND(Projects!$G$28="Yes",57&gt;=Projects!$C$28,57&lt;Projects!$C$28+Projects!$D$28),IF(57=Projects!$C$28+Projects!$D$28-1,Projects!$B$28*Assumptions!$B$12/Projects!$D$28*0.95+0.05*Projects!$B$28*Assumptions!$B$12,Projects!$B$28*Assumptions!$B$12/Projects!$D$28*0.95),0)+IF(AND(Projects!$G$29="Yes",57&gt;=Projects!$C$29,57&lt;Projects!$C$29+Projects!$D$29),IF(57=Projects!$C$29+Projects!$D$29-1,Projects!$B$29*Assumptions!$B$12/Projects!$D$29*0.95+0.05*Projects!$B$29*Assumptions!$B$12,Projects!$B$29*Assumptions!$B$12/Projects!$D$29*0.95),0)</f>
        <v/>
      </c>
      <c r="BH100">
        <f>IF(AND(Projects!$G$17="Yes",58&gt;=Projects!$C$17,58&lt;Projects!$C$17+Projects!$D$17),IF(58=Projects!$C$17+Projects!$D$17-1,Projects!$B$17*Assumptions!$B$12/Projects!$D$17*0.95+0.05*Projects!$B$17*Assumptions!$B$12,Projects!$B$17*Assumptions!$B$12/Projects!$D$17*0.95),0)+IF(AND(Projects!$G$18="Yes",58&gt;=Projects!$C$18,58&lt;Projects!$C$18+Projects!$D$18),IF(58=Projects!$C$18+Projects!$D$18-1,Projects!$B$18*Assumptions!$B$12/Projects!$D$18*0.95+0.05*Projects!$B$18*Assumptions!$B$12,Projects!$B$18*Assumptions!$B$12/Projects!$D$18*0.95),0)+IF(AND(Projects!$G$19="Yes",58&gt;=Projects!$C$19,58&lt;Projects!$C$19+Projects!$D$19),IF(58=Projects!$C$19+Projects!$D$19-1,Projects!$B$19*Assumptions!$B$12/Projects!$D$19*0.95+0.05*Projects!$B$19*Assumptions!$B$12,Projects!$B$19*Assumptions!$B$12/Projects!$D$19*0.95),0)+IF(AND(Projects!$G$20="Yes",58&gt;=Projects!$C$20,58&lt;Projects!$C$20+Projects!$D$20),IF(58=Projects!$C$20+Projects!$D$20-1,Projects!$B$20*Assumptions!$B$12/Projects!$D$20*0.95+0.05*Projects!$B$20*Assumptions!$B$12,Projects!$B$20*Assumptions!$B$12/Projects!$D$20*0.95),0)+IF(AND(Projects!$G$21="Yes",58&gt;=Projects!$C$21,58&lt;Projects!$C$21+Projects!$D$21),IF(58=Projects!$C$21+Projects!$D$21-1,Projects!$B$21*Assumptions!$B$12/Projects!$D$21*0.95+0.05*Projects!$B$21*Assumptions!$B$12,Projects!$B$21*Assumptions!$B$12/Projects!$D$21*0.95),0)+IF(AND(Projects!$G$22="Yes",58&gt;=Projects!$C$22,58&lt;Projects!$C$22+Projects!$D$22),IF(58=Projects!$C$22+Projects!$D$22-1,Projects!$B$22*Assumptions!$B$12/Projects!$D$22*0.95+0.05*Projects!$B$22*Assumptions!$B$12,Projects!$B$22*Assumptions!$B$12/Projects!$D$22*0.95),0)+IF(AND(Projects!$G$23="Yes",58&gt;=Projects!$C$23,58&lt;Projects!$C$23+Projects!$D$23),IF(58=Projects!$C$23+Projects!$D$23-1,Projects!$B$23*Assumptions!$B$12/Projects!$D$23*0.95+0.05*Projects!$B$23*Assumptions!$B$12,Projects!$B$23*Assumptions!$B$12/Projects!$D$23*0.95),0)+IF(AND(Projects!$G$24="Yes",58&gt;=Projects!$C$24,58&lt;Projects!$C$24+Projects!$D$24),IF(58=Projects!$C$24+Projects!$D$24-1,Projects!$B$24*Assumptions!$B$12/Projects!$D$24*0.95+0.05*Projects!$B$24*Assumptions!$B$12,Projects!$B$24*Assumptions!$B$12/Projects!$D$24*0.95),0)+IF(AND(Projects!$G$25="Yes",58&gt;=Projects!$C$25,58&lt;Projects!$C$25+Projects!$D$25),IF(58=Projects!$C$25+Projects!$D$25-1,Projects!$B$25*Assumptions!$B$12/Projects!$D$25*0.95+0.05*Projects!$B$25*Assumptions!$B$12,Projects!$B$25*Assumptions!$B$12/Projects!$D$25*0.95),0)+IF(AND(Projects!$G$26="Yes",58&gt;=Projects!$C$26,58&lt;Projects!$C$26+Projects!$D$26),IF(58=Projects!$C$26+Projects!$D$26-1,Projects!$B$26*Assumptions!$B$12/Projects!$D$26*0.95+0.05*Projects!$B$26*Assumptions!$B$12,Projects!$B$26*Assumptions!$B$12/Projects!$D$26*0.95),0)+IF(AND(Projects!$G$27="Yes",58&gt;=Projects!$C$27,58&lt;Projects!$C$27+Projects!$D$27),IF(58=Projects!$C$27+Projects!$D$27-1,Projects!$B$27*Assumptions!$B$12/Projects!$D$27*0.95+0.05*Projects!$B$27*Assumptions!$B$12,Projects!$B$27*Assumptions!$B$12/Projects!$D$27*0.95),0)+IF(AND(Projects!$G$28="Yes",58&gt;=Projects!$C$28,58&lt;Projects!$C$28+Projects!$D$28),IF(58=Projects!$C$28+Projects!$D$28-1,Projects!$B$28*Assumptions!$B$12/Projects!$D$28*0.95+0.05*Projects!$B$28*Assumptions!$B$12,Projects!$B$28*Assumptions!$B$12/Projects!$D$28*0.95),0)+IF(AND(Projects!$G$29="Yes",58&gt;=Projects!$C$29,58&lt;Projects!$C$29+Projects!$D$29),IF(58=Projects!$C$29+Projects!$D$29-1,Projects!$B$29*Assumptions!$B$12/Projects!$D$29*0.95+0.05*Projects!$B$29*Assumptions!$B$12,Projects!$B$29*Assumptions!$B$12/Projects!$D$29*0.95),0)</f>
        <v/>
      </c>
      <c r="BI100">
        <f>IF(AND(Projects!$G$17="Yes",59&gt;=Projects!$C$17,59&lt;Projects!$C$17+Projects!$D$17),IF(59=Projects!$C$17+Projects!$D$17-1,Projects!$B$17*Assumptions!$B$12/Projects!$D$17*0.95+0.05*Projects!$B$17*Assumptions!$B$12,Projects!$B$17*Assumptions!$B$12/Projects!$D$17*0.95),0)+IF(AND(Projects!$G$18="Yes",59&gt;=Projects!$C$18,59&lt;Projects!$C$18+Projects!$D$18),IF(59=Projects!$C$18+Projects!$D$18-1,Projects!$B$18*Assumptions!$B$12/Projects!$D$18*0.95+0.05*Projects!$B$18*Assumptions!$B$12,Projects!$B$18*Assumptions!$B$12/Projects!$D$18*0.95),0)+IF(AND(Projects!$G$19="Yes",59&gt;=Projects!$C$19,59&lt;Projects!$C$19+Projects!$D$19),IF(59=Projects!$C$19+Projects!$D$19-1,Projects!$B$19*Assumptions!$B$12/Projects!$D$19*0.95+0.05*Projects!$B$19*Assumptions!$B$12,Projects!$B$19*Assumptions!$B$12/Projects!$D$19*0.95),0)+IF(AND(Projects!$G$20="Yes",59&gt;=Projects!$C$20,59&lt;Projects!$C$20+Projects!$D$20),IF(59=Projects!$C$20+Projects!$D$20-1,Projects!$B$20*Assumptions!$B$12/Projects!$D$20*0.95+0.05*Projects!$B$20*Assumptions!$B$12,Projects!$B$20*Assumptions!$B$12/Projects!$D$20*0.95),0)+IF(AND(Projects!$G$21="Yes",59&gt;=Projects!$C$21,59&lt;Projects!$C$21+Projects!$D$21),IF(59=Projects!$C$21+Projects!$D$21-1,Projects!$B$21*Assumptions!$B$12/Projects!$D$21*0.95+0.05*Projects!$B$21*Assumptions!$B$12,Projects!$B$21*Assumptions!$B$12/Projects!$D$21*0.95),0)+IF(AND(Projects!$G$22="Yes",59&gt;=Projects!$C$22,59&lt;Projects!$C$22+Projects!$D$22),IF(59=Projects!$C$22+Projects!$D$22-1,Projects!$B$22*Assumptions!$B$12/Projects!$D$22*0.95+0.05*Projects!$B$22*Assumptions!$B$12,Projects!$B$22*Assumptions!$B$12/Projects!$D$22*0.95),0)+IF(AND(Projects!$G$23="Yes",59&gt;=Projects!$C$23,59&lt;Projects!$C$23+Projects!$D$23),IF(59=Projects!$C$23+Projects!$D$23-1,Projects!$B$23*Assumptions!$B$12/Projects!$D$23*0.95+0.05*Projects!$B$23*Assumptions!$B$12,Projects!$B$23*Assumptions!$B$12/Projects!$D$23*0.95),0)+IF(AND(Projects!$G$24="Yes",59&gt;=Projects!$C$24,59&lt;Projects!$C$24+Projects!$D$24),IF(59=Projects!$C$24+Projects!$D$24-1,Projects!$B$24*Assumptions!$B$12/Projects!$D$24*0.95+0.05*Projects!$B$24*Assumptions!$B$12,Projects!$B$24*Assumptions!$B$12/Projects!$D$24*0.95),0)+IF(AND(Projects!$G$25="Yes",59&gt;=Projects!$C$25,59&lt;Projects!$C$25+Projects!$D$25),IF(59=Projects!$C$25+Projects!$D$25-1,Projects!$B$25*Assumptions!$B$12/Projects!$D$25*0.95+0.05*Projects!$B$25*Assumptions!$B$12,Projects!$B$25*Assumptions!$B$12/Projects!$D$25*0.95),0)+IF(AND(Projects!$G$26="Yes",59&gt;=Projects!$C$26,59&lt;Projects!$C$26+Projects!$D$26),IF(59=Projects!$C$26+Projects!$D$26-1,Projects!$B$26*Assumptions!$B$12/Projects!$D$26*0.95+0.05*Projects!$B$26*Assumptions!$B$12,Projects!$B$26*Assumptions!$B$12/Projects!$D$26*0.95),0)+IF(AND(Projects!$G$27="Yes",59&gt;=Projects!$C$27,59&lt;Projects!$C$27+Projects!$D$27),IF(59=Projects!$C$27+Projects!$D$27-1,Projects!$B$27*Assumptions!$B$12/Projects!$D$27*0.95+0.05*Projects!$B$27*Assumptions!$B$12,Projects!$B$27*Assumptions!$B$12/Projects!$D$27*0.95),0)+IF(AND(Projects!$G$28="Yes",59&gt;=Projects!$C$28,59&lt;Projects!$C$28+Projects!$D$28),IF(59=Projects!$C$28+Projects!$D$28-1,Projects!$B$28*Assumptions!$B$12/Projects!$D$28*0.95+0.05*Projects!$B$28*Assumptions!$B$12,Projects!$B$28*Assumptions!$B$12/Projects!$D$28*0.95),0)+IF(AND(Projects!$G$29="Yes",59&gt;=Projects!$C$29,59&lt;Projects!$C$29+Projects!$D$29),IF(59=Projects!$C$29+Projects!$D$29-1,Projects!$B$29*Assumptions!$B$12/Projects!$D$29*0.95+0.05*Projects!$B$29*Assumptions!$B$12,Projects!$B$29*Assumptions!$B$12/Projects!$D$29*0.95),0)</f>
        <v/>
      </c>
      <c r="BJ100">
        <f>IF(AND(Projects!$G$17="Yes",60&gt;=Projects!$C$17,60&lt;Projects!$C$17+Projects!$D$17),IF(60=Projects!$C$17+Projects!$D$17-1,Projects!$B$17*Assumptions!$B$12/Projects!$D$17*0.95+0.05*Projects!$B$17*Assumptions!$B$12,Projects!$B$17*Assumptions!$B$12/Projects!$D$17*0.95),0)+IF(AND(Projects!$G$18="Yes",60&gt;=Projects!$C$18,60&lt;Projects!$C$18+Projects!$D$18),IF(60=Projects!$C$18+Projects!$D$18-1,Projects!$B$18*Assumptions!$B$12/Projects!$D$18*0.95+0.05*Projects!$B$18*Assumptions!$B$12,Projects!$B$18*Assumptions!$B$12/Projects!$D$18*0.95),0)+IF(AND(Projects!$G$19="Yes",60&gt;=Projects!$C$19,60&lt;Projects!$C$19+Projects!$D$19),IF(60=Projects!$C$19+Projects!$D$19-1,Projects!$B$19*Assumptions!$B$12/Projects!$D$19*0.95+0.05*Projects!$B$19*Assumptions!$B$12,Projects!$B$19*Assumptions!$B$12/Projects!$D$19*0.95),0)+IF(AND(Projects!$G$20="Yes",60&gt;=Projects!$C$20,60&lt;Projects!$C$20+Projects!$D$20),IF(60=Projects!$C$20+Projects!$D$20-1,Projects!$B$20*Assumptions!$B$12/Projects!$D$20*0.95+0.05*Projects!$B$20*Assumptions!$B$12,Projects!$B$20*Assumptions!$B$12/Projects!$D$20*0.95),0)+IF(AND(Projects!$G$21="Yes",60&gt;=Projects!$C$21,60&lt;Projects!$C$21+Projects!$D$21),IF(60=Projects!$C$21+Projects!$D$21-1,Projects!$B$21*Assumptions!$B$12/Projects!$D$21*0.95+0.05*Projects!$B$21*Assumptions!$B$12,Projects!$B$21*Assumptions!$B$12/Projects!$D$21*0.95),0)+IF(AND(Projects!$G$22="Yes",60&gt;=Projects!$C$22,60&lt;Projects!$C$22+Projects!$D$22),IF(60=Projects!$C$22+Projects!$D$22-1,Projects!$B$22*Assumptions!$B$12/Projects!$D$22*0.95+0.05*Projects!$B$22*Assumptions!$B$12,Projects!$B$22*Assumptions!$B$12/Projects!$D$22*0.95),0)+IF(AND(Projects!$G$23="Yes",60&gt;=Projects!$C$23,60&lt;Projects!$C$23+Projects!$D$23),IF(60=Projects!$C$23+Projects!$D$23-1,Projects!$B$23*Assumptions!$B$12/Projects!$D$23*0.95+0.05*Projects!$B$23*Assumptions!$B$12,Projects!$B$23*Assumptions!$B$12/Projects!$D$23*0.95),0)+IF(AND(Projects!$G$24="Yes",60&gt;=Projects!$C$24,60&lt;Projects!$C$24+Projects!$D$24),IF(60=Projects!$C$24+Projects!$D$24-1,Projects!$B$24*Assumptions!$B$12/Projects!$D$24*0.95+0.05*Projects!$B$24*Assumptions!$B$12,Projects!$B$24*Assumptions!$B$12/Projects!$D$24*0.95),0)+IF(AND(Projects!$G$25="Yes",60&gt;=Projects!$C$25,60&lt;Projects!$C$25+Projects!$D$25),IF(60=Projects!$C$25+Projects!$D$25-1,Projects!$B$25*Assumptions!$B$12/Projects!$D$25*0.95+0.05*Projects!$B$25*Assumptions!$B$12,Projects!$B$25*Assumptions!$B$12/Projects!$D$25*0.95),0)+IF(AND(Projects!$G$26="Yes",60&gt;=Projects!$C$26,60&lt;Projects!$C$26+Projects!$D$26),IF(60=Projects!$C$26+Projects!$D$26-1,Projects!$B$26*Assumptions!$B$12/Projects!$D$26*0.95+0.05*Projects!$B$26*Assumptions!$B$12,Projects!$B$26*Assumptions!$B$12/Projects!$D$26*0.95),0)+IF(AND(Projects!$G$27="Yes",60&gt;=Projects!$C$27,60&lt;Projects!$C$27+Projects!$D$27),IF(60=Projects!$C$27+Projects!$D$27-1,Projects!$B$27*Assumptions!$B$12/Projects!$D$27*0.95+0.05*Projects!$B$27*Assumptions!$B$12,Projects!$B$27*Assumptions!$B$12/Projects!$D$27*0.95),0)+IF(AND(Projects!$G$28="Yes",60&gt;=Projects!$C$28,60&lt;Projects!$C$28+Projects!$D$28),IF(60=Projects!$C$28+Projects!$D$28-1,Projects!$B$28*Assumptions!$B$12/Projects!$D$28*0.95+0.05*Projects!$B$28*Assumptions!$B$12,Projects!$B$28*Assumptions!$B$12/Projects!$D$28*0.95),0)+IF(AND(Projects!$G$29="Yes",60&gt;=Projects!$C$29,60&lt;Projects!$C$29+Projects!$D$29),IF(60=Projects!$C$29+Projects!$D$29-1,Projects!$B$29*Assumptions!$B$12/Projects!$D$29*0.95+0.05*Projects!$B$29*Assumptions!$B$12,Projects!$B$29*Assumptions!$B$12/Projects!$D$29*0.95),0)</f>
        <v/>
      </c>
      <c r="BK100">
        <f>IF(AND(Projects!$G$17="Yes",61&gt;=Projects!$C$17,61&lt;Projects!$C$17+Projects!$D$17),IF(61=Projects!$C$17+Projects!$D$17-1,Projects!$B$17*Assumptions!$B$12/Projects!$D$17*0.95+0.05*Projects!$B$17*Assumptions!$B$12,Projects!$B$17*Assumptions!$B$12/Projects!$D$17*0.95),0)+IF(AND(Projects!$G$18="Yes",61&gt;=Projects!$C$18,61&lt;Projects!$C$18+Projects!$D$18),IF(61=Projects!$C$18+Projects!$D$18-1,Projects!$B$18*Assumptions!$B$12/Projects!$D$18*0.95+0.05*Projects!$B$18*Assumptions!$B$12,Projects!$B$18*Assumptions!$B$12/Projects!$D$18*0.95),0)+IF(AND(Projects!$G$19="Yes",61&gt;=Projects!$C$19,61&lt;Projects!$C$19+Projects!$D$19),IF(61=Projects!$C$19+Projects!$D$19-1,Projects!$B$19*Assumptions!$B$12/Projects!$D$19*0.95+0.05*Projects!$B$19*Assumptions!$B$12,Projects!$B$19*Assumptions!$B$12/Projects!$D$19*0.95),0)+IF(AND(Projects!$G$20="Yes",61&gt;=Projects!$C$20,61&lt;Projects!$C$20+Projects!$D$20),IF(61=Projects!$C$20+Projects!$D$20-1,Projects!$B$20*Assumptions!$B$12/Projects!$D$20*0.95+0.05*Projects!$B$20*Assumptions!$B$12,Projects!$B$20*Assumptions!$B$12/Projects!$D$20*0.95),0)+IF(AND(Projects!$G$21="Yes",61&gt;=Projects!$C$21,61&lt;Projects!$C$21+Projects!$D$21),IF(61=Projects!$C$21+Projects!$D$21-1,Projects!$B$21*Assumptions!$B$12/Projects!$D$21*0.95+0.05*Projects!$B$21*Assumptions!$B$12,Projects!$B$21*Assumptions!$B$12/Projects!$D$21*0.95),0)+IF(AND(Projects!$G$22="Yes",61&gt;=Projects!$C$22,61&lt;Projects!$C$22+Projects!$D$22),IF(61=Projects!$C$22+Projects!$D$22-1,Projects!$B$22*Assumptions!$B$12/Projects!$D$22*0.95+0.05*Projects!$B$22*Assumptions!$B$12,Projects!$B$22*Assumptions!$B$12/Projects!$D$22*0.95),0)+IF(AND(Projects!$G$23="Yes",61&gt;=Projects!$C$23,61&lt;Projects!$C$23+Projects!$D$23),IF(61=Projects!$C$23+Projects!$D$23-1,Projects!$B$23*Assumptions!$B$12/Projects!$D$23*0.95+0.05*Projects!$B$23*Assumptions!$B$12,Projects!$B$23*Assumptions!$B$12/Projects!$D$23*0.95),0)+IF(AND(Projects!$G$24="Yes",61&gt;=Projects!$C$24,61&lt;Projects!$C$24+Projects!$D$24),IF(61=Projects!$C$24+Projects!$D$24-1,Projects!$B$24*Assumptions!$B$12/Projects!$D$24*0.95+0.05*Projects!$B$24*Assumptions!$B$12,Projects!$B$24*Assumptions!$B$12/Projects!$D$24*0.95),0)+IF(AND(Projects!$G$25="Yes",61&gt;=Projects!$C$25,61&lt;Projects!$C$25+Projects!$D$25),IF(61=Projects!$C$25+Projects!$D$25-1,Projects!$B$25*Assumptions!$B$12/Projects!$D$25*0.95+0.05*Projects!$B$25*Assumptions!$B$12,Projects!$B$25*Assumptions!$B$12/Projects!$D$25*0.95),0)+IF(AND(Projects!$G$26="Yes",61&gt;=Projects!$C$26,61&lt;Projects!$C$26+Projects!$D$26),IF(61=Projects!$C$26+Projects!$D$26-1,Projects!$B$26*Assumptions!$B$12/Projects!$D$26*0.95+0.05*Projects!$B$26*Assumptions!$B$12,Projects!$B$26*Assumptions!$B$12/Projects!$D$26*0.95),0)+IF(AND(Projects!$G$27="Yes",61&gt;=Projects!$C$27,61&lt;Projects!$C$27+Projects!$D$27),IF(61=Projects!$C$27+Projects!$D$27-1,Projects!$B$27*Assumptions!$B$12/Projects!$D$27*0.95+0.05*Projects!$B$27*Assumptions!$B$12,Projects!$B$27*Assumptions!$B$12/Projects!$D$27*0.95),0)+IF(AND(Projects!$G$28="Yes",61&gt;=Projects!$C$28,61&lt;Projects!$C$28+Projects!$D$28),IF(61=Projects!$C$28+Projects!$D$28-1,Projects!$B$28*Assumptions!$B$12/Projects!$D$28*0.95+0.05*Projects!$B$28*Assumptions!$B$12,Projects!$B$28*Assumptions!$B$12/Projects!$D$28*0.95),0)+IF(AND(Projects!$G$29="Yes",61&gt;=Projects!$C$29,61&lt;Projects!$C$29+Projects!$D$29),IF(61=Projects!$C$29+Projects!$D$29-1,Projects!$B$29*Assumptions!$B$12/Projects!$D$29*0.95+0.05*Projects!$B$29*Assumptions!$B$12,Projects!$B$29*Assumptions!$B$12/Projects!$D$29*0.95),0)</f>
        <v/>
      </c>
      <c r="BL100">
        <f>IF(AND(Projects!$G$17="Yes",62&gt;=Projects!$C$17,62&lt;Projects!$C$17+Projects!$D$17),IF(62=Projects!$C$17+Projects!$D$17-1,Projects!$B$17*Assumptions!$B$12/Projects!$D$17*0.95+0.05*Projects!$B$17*Assumptions!$B$12,Projects!$B$17*Assumptions!$B$12/Projects!$D$17*0.95),0)+IF(AND(Projects!$G$18="Yes",62&gt;=Projects!$C$18,62&lt;Projects!$C$18+Projects!$D$18),IF(62=Projects!$C$18+Projects!$D$18-1,Projects!$B$18*Assumptions!$B$12/Projects!$D$18*0.95+0.05*Projects!$B$18*Assumptions!$B$12,Projects!$B$18*Assumptions!$B$12/Projects!$D$18*0.95),0)+IF(AND(Projects!$G$19="Yes",62&gt;=Projects!$C$19,62&lt;Projects!$C$19+Projects!$D$19),IF(62=Projects!$C$19+Projects!$D$19-1,Projects!$B$19*Assumptions!$B$12/Projects!$D$19*0.95+0.05*Projects!$B$19*Assumptions!$B$12,Projects!$B$19*Assumptions!$B$12/Projects!$D$19*0.95),0)+IF(AND(Projects!$G$20="Yes",62&gt;=Projects!$C$20,62&lt;Projects!$C$20+Projects!$D$20),IF(62=Projects!$C$20+Projects!$D$20-1,Projects!$B$20*Assumptions!$B$12/Projects!$D$20*0.95+0.05*Projects!$B$20*Assumptions!$B$12,Projects!$B$20*Assumptions!$B$12/Projects!$D$20*0.95),0)+IF(AND(Projects!$G$21="Yes",62&gt;=Projects!$C$21,62&lt;Projects!$C$21+Projects!$D$21),IF(62=Projects!$C$21+Projects!$D$21-1,Projects!$B$21*Assumptions!$B$12/Projects!$D$21*0.95+0.05*Projects!$B$21*Assumptions!$B$12,Projects!$B$21*Assumptions!$B$12/Projects!$D$21*0.95),0)+IF(AND(Projects!$G$22="Yes",62&gt;=Projects!$C$22,62&lt;Projects!$C$22+Projects!$D$22),IF(62=Projects!$C$22+Projects!$D$22-1,Projects!$B$22*Assumptions!$B$12/Projects!$D$22*0.95+0.05*Projects!$B$22*Assumptions!$B$12,Projects!$B$22*Assumptions!$B$12/Projects!$D$22*0.95),0)+IF(AND(Projects!$G$23="Yes",62&gt;=Projects!$C$23,62&lt;Projects!$C$23+Projects!$D$23),IF(62=Projects!$C$23+Projects!$D$23-1,Projects!$B$23*Assumptions!$B$12/Projects!$D$23*0.95+0.05*Projects!$B$23*Assumptions!$B$12,Projects!$B$23*Assumptions!$B$12/Projects!$D$23*0.95),0)+IF(AND(Projects!$G$24="Yes",62&gt;=Projects!$C$24,62&lt;Projects!$C$24+Projects!$D$24),IF(62=Projects!$C$24+Projects!$D$24-1,Projects!$B$24*Assumptions!$B$12/Projects!$D$24*0.95+0.05*Projects!$B$24*Assumptions!$B$12,Projects!$B$24*Assumptions!$B$12/Projects!$D$24*0.95),0)+IF(AND(Projects!$G$25="Yes",62&gt;=Projects!$C$25,62&lt;Projects!$C$25+Projects!$D$25),IF(62=Projects!$C$25+Projects!$D$25-1,Projects!$B$25*Assumptions!$B$12/Projects!$D$25*0.95+0.05*Projects!$B$25*Assumptions!$B$12,Projects!$B$25*Assumptions!$B$12/Projects!$D$25*0.95),0)+IF(AND(Projects!$G$26="Yes",62&gt;=Projects!$C$26,62&lt;Projects!$C$26+Projects!$D$26),IF(62=Projects!$C$26+Projects!$D$26-1,Projects!$B$26*Assumptions!$B$12/Projects!$D$26*0.95+0.05*Projects!$B$26*Assumptions!$B$12,Projects!$B$26*Assumptions!$B$12/Projects!$D$26*0.95),0)+IF(AND(Projects!$G$27="Yes",62&gt;=Projects!$C$27,62&lt;Projects!$C$27+Projects!$D$27),IF(62=Projects!$C$27+Projects!$D$27-1,Projects!$B$27*Assumptions!$B$12/Projects!$D$27*0.95+0.05*Projects!$B$27*Assumptions!$B$12,Projects!$B$27*Assumptions!$B$12/Projects!$D$27*0.95),0)+IF(AND(Projects!$G$28="Yes",62&gt;=Projects!$C$28,62&lt;Projects!$C$28+Projects!$D$28),IF(62=Projects!$C$28+Projects!$D$28-1,Projects!$B$28*Assumptions!$B$12/Projects!$D$28*0.95+0.05*Projects!$B$28*Assumptions!$B$12,Projects!$B$28*Assumptions!$B$12/Projects!$D$28*0.95),0)+IF(AND(Projects!$G$29="Yes",62&gt;=Projects!$C$29,62&lt;Projects!$C$29+Projects!$D$29),IF(62=Projects!$C$29+Projects!$D$29-1,Projects!$B$29*Assumptions!$B$12/Projects!$D$29*0.95+0.05*Projects!$B$29*Assumptions!$B$12,Projects!$B$29*Assumptions!$B$12/Projects!$D$29*0.95),0)</f>
        <v/>
      </c>
      <c r="BM100">
        <f>IF(AND(Projects!$G$17="Yes",63&gt;=Projects!$C$17,63&lt;Projects!$C$17+Projects!$D$17),IF(63=Projects!$C$17+Projects!$D$17-1,Projects!$B$17*Assumptions!$B$12/Projects!$D$17*0.95+0.05*Projects!$B$17*Assumptions!$B$12,Projects!$B$17*Assumptions!$B$12/Projects!$D$17*0.95),0)+IF(AND(Projects!$G$18="Yes",63&gt;=Projects!$C$18,63&lt;Projects!$C$18+Projects!$D$18),IF(63=Projects!$C$18+Projects!$D$18-1,Projects!$B$18*Assumptions!$B$12/Projects!$D$18*0.95+0.05*Projects!$B$18*Assumptions!$B$12,Projects!$B$18*Assumptions!$B$12/Projects!$D$18*0.95),0)+IF(AND(Projects!$G$19="Yes",63&gt;=Projects!$C$19,63&lt;Projects!$C$19+Projects!$D$19),IF(63=Projects!$C$19+Projects!$D$19-1,Projects!$B$19*Assumptions!$B$12/Projects!$D$19*0.95+0.05*Projects!$B$19*Assumptions!$B$12,Projects!$B$19*Assumptions!$B$12/Projects!$D$19*0.95),0)+IF(AND(Projects!$G$20="Yes",63&gt;=Projects!$C$20,63&lt;Projects!$C$20+Projects!$D$20),IF(63=Projects!$C$20+Projects!$D$20-1,Projects!$B$20*Assumptions!$B$12/Projects!$D$20*0.95+0.05*Projects!$B$20*Assumptions!$B$12,Projects!$B$20*Assumptions!$B$12/Projects!$D$20*0.95),0)+IF(AND(Projects!$G$21="Yes",63&gt;=Projects!$C$21,63&lt;Projects!$C$21+Projects!$D$21),IF(63=Projects!$C$21+Projects!$D$21-1,Projects!$B$21*Assumptions!$B$12/Projects!$D$21*0.95+0.05*Projects!$B$21*Assumptions!$B$12,Projects!$B$21*Assumptions!$B$12/Projects!$D$21*0.95),0)+IF(AND(Projects!$G$22="Yes",63&gt;=Projects!$C$22,63&lt;Projects!$C$22+Projects!$D$22),IF(63=Projects!$C$22+Projects!$D$22-1,Projects!$B$22*Assumptions!$B$12/Projects!$D$22*0.95+0.05*Projects!$B$22*Assumptions!$B$12,Projects!$B$22*Assumptions!$B$12/Projects!$D$22*0.95),0)+IF(AND(Projects!$G$23="Yes",63&gt;=Projects!$C$23,63&lt;Projects!$C$23+Projects!$D$23),IF(63=Projects!$C$23+Projects!$D$23-1,Projects!$B$23*Assumptions!$B$12/Projects!$D$23*0.95+0.05*Projects!$B$23*Assumptions!$B$12,Projects!$B$23*Assumptions!$B$12/Projects!$D$23*0.95),0)+IF(AND(Projects!$G$24="Yes",63&gt;=Projects!$C$24,63&lt;Projects!$C$24+Projects!$D$24),IF(63=Projects!$C$24+Projects!$D$24-1,Projects!$B$24*Assumptions!$B$12/Projects!$D$24*0.95+0.05*Projects!$B$24*Assumptions!$B$12,Projects!$B$24*Assumptions!$B$12/Projects!$D$24*0.95),0)+IF(AND(Projects!$G$25="Yes",63&gt;=Projects!$C$25,63&lt;Projects!$C$25+Projects!$D$25),IF(63=Projects!$C$25+Projects!$D$25-1,Projects!$B$25*Assumptions!$B$12/Projects!$D$25*0.95+0.05*Projects!$B$25*Assumptions!$B$12,Projects!$B$25*Assumptions!$B$12/Projects!$D$25*0.95),0)+IF(AND(Projects!$G$26="Yes",63&gt;=Projects!$C$26,63&lt;Projects!$C$26+Projects!$D$26),IF(63=Projects!$C$26+Projects!$D$26-1,Projects!$B$26*Assumptions!$B$12/Projects!$D$26*0.95+0.05*Projects!$B$26*Assumptions!$B$12,Projects!$B$26*Assumptions!$B$12/Projects!$D$26*0.95),0)+IF(AND(Projects!$G$27="Yes",63&gt;=Projects!$C$27,63&lt;Projects!$C$27+Projects!$D$27),IF(63=Projects!$C$27+Projects!$D$27-1,Projects!$B$27*Assumptions!$B$12/Projects!$D$27*0.95+0.05*Projects!$B$27*Assumptions!$B$12,Projects!$B$27*Assumptions!$B$12/Projects!$D$27*0.95),0)+IF(AND(Projects!$G$28="Yes",63&gt;=Projects!$C$28,63&lt;Projects!$C$28+Projects!$D$28),IF(63=Projects!$C$28+Projects!$D$28-1,Projects!$B$28*Assumptions!$B$12/Projects!$D$28*0.95+0.05*Projects!$B$28*Assumptions!$B$12,Projects!$B$28*Assumptions!$B$12/Projects!$D$28*0.95),0)+IF(AND(Projects!$G$29="Yes",63&gt;=Projects!$C$29,63&lt;Projects!$C$29+Projects!$D$29),IF(63=Projects!$C$29+Projects!$D$29-1,Projects!$B$29*Assumptions!$B$12/Projects!$D$29*0.95+0.05*Projects!$B$29*Assumptions!$B$12,Projects!$B$29*Assumptions!$B$12/Projects!$D$29*0.95),0)</f>
        <v/>
      </c>
      <c r="BN100">
        <f>IF(AND(Projects!$G$17="Yes",64&gt;=Projects!$C$17,64&lt;Projects!$C$17+Projects!$D$17),IF(64=Projects!$C$17+Projects!$D$17-1,Projects!$B$17*Assumptions!$B$12/Projects!$D$17*0.95+0.05*Projects!$B$17*Assumptions!$B$12,Projects!$B$17*Assumptions!$B$12/Projects!$D$17*0.95),0)+IF(AND(Projects!$G$18="Yes",64&gt;=Projects!$C$18,64&lt;Projects!$C$18+Projects!$D$18),IF(64=Projects!$C$18+Projects!$D$18-1,Projects!$B$18*Assumptions!$B$12/Projects!$D$18*0.95+0.05*Projects!$B$18*Assumptions!$B$12,Projects!$B$18*Assumptions!$B$12/Projects!$D$18*0.95),0)+IF(AND(Projects!$G$19="Yes",64&gt;=Projects!$C$19,64&lt;Projects!$C$19+Projects!$D$19),IF(64=Projects!$C$19+Projects!$D$19-1,Projects!$B$19*Assumptions!$B$12/Projects!$D$19*0.95+0.05*Projects!$B$19*Assumptions!$B$12,Projects!$B$19*Assumptions!$B$12/Projects!$D$19*0.95),0)+IF(AND(Projects!$G$20="Yes",64&gt;=Projects!$C$20,64&lt;Projects!$C$20+Projects!$D$20),IF(64=Projects!$C$20+Projects!$D$20-1,Projects!$B$20*Assumptions!$B$12/Projects!$D$20*0.95+0.05*Projects!$B$20*Assumptions!$B$12,Projects!$B$20*Assumptions!$B$12/Projects!$D$20*0.95),0)+IF(AND(Projects!$G$21="Yes",64&gt;=Projects!$C$21,64&lt;Projects!$C$21+Projects!$D$21),IF(64=Projects!$C$21+Projects!$D$21-1,Projects!$B$21*Assumptions!$B$12/Projects!$D$21*0.95+0.05*Projects!$B$21*Assumptions!$B$12,Projects!$B$21*Assumptions!$B$12/Projects!$D$21*0.95),0)+IF(AND(Projects!$G$22="Yes",64&gt;=Projects!$C$22,64&lt;Projects!$C$22+Projects!$D$22),IF(64=Projects!$C$22+Projects!$D$22-1,Projects!$B$22*Assumptions!$B$12/Projects!$D$22*0.95+0.05*Projects!$B$22*Assumptions!$B$12,Projects!$B$22*Assumptions!$B$12/Projects!$D$22*0.95),0)+IF(AND(Projects!$G$23="Yes",64&gt;=Projects!$C$23,64&lt;Projects!$C$23+Projects!$D$23),IF(64=Projects!$C$23+Projects!$D$23-1,Projects!$B$23*Assumptions!$B$12/Projects!$D$23*0.95+0.05*Projects!$B$23*Assumptions!$B$12,Projects!$B$23*Assumptions!$B$12/Projects!$D$23*0.95),0)+IF(AND(Projects!$G$24="Yes",64&gt;=Projects!$C$24,64&lt;Projects!$C$24+Projects!$D$24),IF(64=Projects!$C$24+Projects!$D$24-1,Projects!$B$24*Assumptions!$B$12/Projects!$D$24*0.95+0.05*Projects!$B$24*Assumptions!$B$12,Projects!$B$24*Assumptions!$B$12/Projects!$D$24*0.95),0)+IF(AND(Projects!$G$25="Yes",64&gt;=Projects!$C$25,64&lt;Projects!$C$25+Projects!$D$25),IF(64=Projects!$C$25+Projects!$D$25-1,Projects!$B$25*Assumptions!$B$12/Projects!$D$25*0.95+0.05*Projects!$B$25*Assumptions!$B$12,Projects!$B$25*Assumptions!$B$12/Projects!$D$25*0.95),0)+IF(AND(Projects!$G$26="Yes",64&gt;=Projects!$C$26,64&lt;Projects!$C$26+Projects!$D$26),IF(64=Projects!$C$26+Projects!$D$26-1,Projects!$B$26*Assumptions!$B$12/Projects!$D$26*0.95+0.05*Projects!$B$26*Assumptions!$B$12,Projects!$B$26*Assumptions!$B$12/Projects!$D$26*0.95),0)+IF(AND(Projects!$G$27="Yes",64&gt;=Projects!$C$27,64&lt;Projects!$C$27+Projects!$D$27),IF(64=Projects!$C$27+Projects!$D$27-1,Projects!$B$27*Assumptions!$B$12/Projects!$D$27*0.95+0.05*Projects!$B$27*Assumptions!$B$12,Projects!$B$27*Assumptions!$B$12/Projects!$D$27*0.95),0)+IF(AND(Projects!$G$28="Yes",64&gt;=Projects!$C$28,64&lt;Projects!$C$28+Projects!$D$28),IF(64=Projects!$C$28+Projects!$D$28-1,Projects!$B$28*Assumptions!$B$12/Projects!$D$28*0.95+0.05*Projects!$B$28*Assumptions!$B$12,Projects!$B$28*Assumptions!$B$12/Projects!$D$28*0.95),0)+IF(AND(Projects!$G$29="Yes",64&gt;=Projects!$C$29,64&lt;Projects!$C$29+Projects!$D$29),IF(64=Projects!$C$29+Projects!$D$29-1,Projects!$B$29*Assumptions!$B$12/Projects!$D$29*0.95+0.05*Projects!$B$29*Assumptions!$B$12,Projects!$B$29*Assumptions!$B$12/Projects!$D$29*0.95),0)</f>
        <v/>
      </c>
      <c r="BO100">
        <f>IF(AND(Projects!$G$17="Yes",65&gt;=Projects!$C$17,65&lt;Projects!$C$17+Projects!$D$17),IF(65=Projects!$C$17+Projects!$D$17-1,Projects!$B$17*Assumptions!$B$12/Projects!$D$17*0.95+0.05*Projects!$B$17*Assumptions!$B$12,Projects!$B$17*Assumptions!$B$12/Projects!$D$17*0.95),0)+IF(AND(Projects!$G$18="Yes",65&gt;=Projects!$C$18,65&lt;Projects!$C$18+Projects!$D$18),IF(65=Projects!$C$18+Projects!$D$18-1,Projects!$B$18*Assumptions!$B$12/Projects!$D$18*0.95+0.05*Projects!$B$18*Assumptions!$B$12,Projects!$B$18*Assumptions!$B$12/Projects!$D$18*0.95),0)+IF(AND(Projects!$G$19="Yes",65&gt;=Projects!$C$19,65&lt;Projects!$C$19+Projects!$D$19),IF(65=Projects!$C$19+Projects!$D$19-1,Projects!$B$19*Assumptions!$B$12/Projects!$D$19*0.95+0.05*Projects!$B$19*Assumptions!$B$12,Projects!$B$19*Assumptions!$B$12/Projects!$D$19*0.95),0)+IF(AND(Projects!$G$20="Yes",65&gt;=Projects!$C$20,65&lt;Projects!$C$20+Projects!$D$20),IF(65=Projects!$C$20+Projects!$D$20-1,Projects!$B$20*Assumptions!$B$12/Projects!$D$20*0.95+0.05*Projects!$B$20*Assumptions!$B$12,Projects!$B$20*Assumptions!$B$12/Projects!$D$20*0.95),0)+IF(AND(Projects!$G$21="Yes",65&gt;=Projects!$C$21,65&lt;Projects!$C$21+Projects!$D$21),IF(65=Projects!$C$21+Projects!$D$21-1,Projects!$B$21*Assumptions!$B$12/Projects!$D$21*0.95+0.05*Projects!$B$21*Assumptions!$B$12,Projects!$B$21*Assumptions!$B$12/Projects!$D$21*0.95),0)+IF(AND(Projects!$G$22="Yes",65&gt;=Projects!$C$22,65&lt;Projects!$C$22+Projects!$D$22),IF(65=Projects!$C$22+Projects!$D$22-1,Projects!$B$22*Assumptions!$B$12/Projects!$D$22*0.95+0.05*Projects!$B$22*Assumptions!$B$12,Projects!$B$22*Assumptions!$B$12/Projects!$D$22*0.95),0)+IF(AND(Projects!$G$23="Yes",65&gt;=Projects!$C$23,65&lt;Projects!$C$23+Projects!$D$23),IF(65=Projects!$C$23+Projects!$D$23-1,Projects!$B$23*Assumptions!$B$12/Projects!$D$23*0.95+0.05*Projects!$B$23*Assumptions!$B$12,Projects!$B$23*Assumptions!$B$12/Projects!$D$23*0.95),0)+IF(AND(Projects!$G$24="Yes",65&gt;=Projects!$C$24,65&lt;Projects!$C$24+Projects!$D$24),IF(65=Projects!$C$24+Projects!$D$24-1,Projects!$B$24*Assumptions!$B$12/Projects!$D$24*0.95+0.05*Projects!$B$24*Assumptions!$B$12,Projects!$B$24*Assumptions!$B$12/Projects!$D$24*0.95),0)+IF(AND(Projects!$G$25="Yes",65&gt;=Projects!$C$25,65&lt;Projects!$C$25+Projects!$D$25),IF(65=Projects!$C$25+Projects!$D$25-1,Projects!$B$25*Assumptions!$B$12/Projects!$D$25*0.95+0.05*Projects!$B$25*Assumptions!$B$12,Projects!$B$25*Assumptions!$B$12/Projects!$D$25*0.95),0)+IF(AND(Projects!$G$26="Yes",65&gt;=Projects!$C$26,65&lt;Projects!$C$26+Projects!$D$26),IF(65=Projects!$C$26+Projects!$D$26-1,Projects!$B$26*Assumptions!$B$12/Projects!$D$26*0.95+0.05*Projects!$B$26*Assumptions!$B$12,Projects!$B$26*Assumptions!$B$12/Projects!$D$26*0.95),0)+IF(AND(Projects!$G$27="Yes",65&gt;=Projects!$C$27,65&lt;Projects!$C$27+Projects!$D$27),IF(65=Projects!$C$27+Projects!$D$27-1,Projects!$B$27*Assumptions!$B$12/Projects!$D$27*0.95+0.05*Projects!$B$27*Assumptions!$B$12,Projects!$B$27*Assumptions!$B$12/Projects!$D$27*0.95),0)+IF(AND(Projects!$G$28="Yes",65&gt;=Projects!$C$28,65&lt;Projects!$C$28+Projects!$D$28),IF(65=Projects!$C$28+Projects!$D$28-1,Projects!$B$28*Assumptions!$B$12/Projects!$D$28*0.95+0.05*Projects!$B$28*Assumptions!$B$12,Projects!$B$28*Assumptions!$B$12/Projects!$D$28*0.95),0)+IF(AND(Projects!$G$29="Yes",65&gt;=Projects!$C$29,65&lt;Projects!$C$29+Projects!$D$29),IF(65=Projects!$C$29+Projects!$D$29-1,Projects!$B$29*Assumptions!$B$12/Projects!$D$29*0.95+0.05*Projects!$B$29*Assumptions!$B$12,Projects!$B$29*Assumptions!$B$12/Projects!$D$29*0.95),0)</f>
        <v/>
      </c>
      <c r="BP100">
        <f>IF(AND(Projects!$G$17="Yes",66&gt;=Projects!$C$17,66&lt;Projects!$C$17+Projects!$D$17),IF(66=Projects!$C$17+Projects!$D$17-1,Projects!$B$17*Assumptions!$B$12/Projects!$D$17*0.95+0.05*Projects!$B$17*Assumptions!$B$12,Projects!$B$17*Assumptions!$B$12/Projects!$D$17*0.95),0)+IF(AND(Projects!$G$18="Yes",66&gt;=Projects!$C$18,66&lt;Projects!$C$18+Projects!$D$18),IF(66=Projects!$C$18+Projects!$D$18-1,Projects!$B$18*Assumptions!$B$12/Projects!$D$18*0.95+0.05*Projects!$B$18*Assumptions!$B$12,Projects!$B$18*Assumptions!$B$12/Projects!$D$18*0.95),0)+IF(AND(Projects!$G$19="Yes",66&gt;=Projects!$C$19,66&lt;Projects!$C$19+Projects!$D$19),IF(66=Projects!$C$19+Projects!$D$19-1,Projects!$B$19*Assumptions!$B$12/Projects!$D$19*0.95+0.05*Projects!$B$19*Assumptions!$B$12,Projects!$B$19*Assumptions!$B$12/Projects!$D$19*0.95),0)+IF(AND(Projects!$G$20="Yes",66&gt;=Projects!$C$20,66&lt;Projects!$C$20+Projects!$D$20),IF(66=Projects!$C$20+Projects!$D$20-1,Projects!$B$20*Assumptions!$B$12/Projects!$D$20*0.95+0.05*Projects!$B$20*Assumptions!$B$12,Projects!$B$20*Assumptions!$B$12/Projects!$D$20*0.95),0)+IF(AND(Projects!$G$21="Yes",66&gt;=Projects!$C$21,66&lt;Projects!$C$21+Projects!$D$21),IF(66=Projects!$C$21+Projects!$D$21-1,Projects!$B$21*Assumptions!$B$12/Projects!$D$21*0.95+0.05*Projects!$B$21*Assumptions!$B$12,Projects!$B$21*Assumptions!$B$12/Projects!$D$21*0.95),0)+IF(AND(Projects!$G$22="Yes",66&gt;=Projects!$C$22,66&lt;Projects!$C$22+Projects!$D$22),IF(66=Projects!$C$22+Projects!$D$22-1,Projects!$B$22*Assumptions!$B$12/Projects!$D$22*0.95+0.05*Projects!$B$22*Assumptions!$B$12,Projects!$B$22*Assumptions!$B$12/Projects!$D$22*0.95),0)+IF(AND(Projects!$G$23="Yes",66&gt;=Projects!$C$23,66&lt;Projects!$C$23+Projects!$D$23),IF(66=Projects!$C$23+Projects!$D$23-1,Projects!$B$23*Assumptions!$B$12/Projects!$D$23*0.95+0.05*Projects!$B$23*Assumptions!$B$12,Projects!$B$23*Assumptions!$B$12/Projects!$D$23*0.95),0)+IF(AND(Projects!$G$24="Yes",66&gt;=Projects!$C$24,66&lt;Projects!$C$24+Projects!$D$24),IF(66=Projects!$C$24+Projects!$D$24-1,Projects!$B$24*Assumptions!$B$12/Projects!$D$24*0.95+0.05*Projects!$B$24*Assumptions!$B$12,Projects!$B$24*Assumptions!$B$12/Projects!$D$24*0.95),0)+IF(AND(Projects!$G$25="Yes",66&gt;=Projects!$C$25,66&lt;Projects!$C$25+Projects!$D$25),IF(66=Projects!$C$25+Projects!$D$25-1,Projects!$B$25*Assumptions!$B$12/Projects!$D$25*0.95+0.05*Projects!$B$25*Assumptions!$B$12,Projects!$B$25*Assumptions!$B$12/Projects!$D$25*0.95),0)+IF(AND(Projects!$G$26="Yes",66&gt;=Projects!$C$26,66&lt;Projects!$C$26+Projects!$D$26),IF(66=Projects!$C$26+Projects!$D$26-1,Projects!$B$26*Assumptions!$B$12/Projects!$D$26*0.95+0.05*Projects!$B$26*Assumptions!$B$12,Projects!$B$26*Assumptions!$B$12/Projects!$D$26*0.95),0)+IF(AND(Projects!$G$27="Yes",66&gt;=Projects!$C$27,66&lt;Projects!$C$27+Projects!$D$27),IF(66=Projects!$C$27+Projects!$D$27-1,Projects!$B$27*Assumptions!$B$12/Projects!$D$27*0.95+0.05*Projects!$B$27*Assumptions!$B$12,Projects!$B$27*Assumptions!$B$12/Projects!$D$27*0.95),0)+IF(AND(Projects!$G$28="Yes",66&gt;=Projects!$C$28,66&lt;Projects!$C$28+Projects!$D$28),IF(66=Projects!$C$28+Projects!$D$28-1,Projects!$B$28*Assumptions!$B$12/Projects!$D$28*0.95+0.05*Projects!$B$28*Assumptions!$B$12,Projects!$B$28*Assumptions!$B$12/Projects!$D$28*0.95),0)+IF(AND(Projects!$G$29="Yes",66&gt;=Projects!$C$29,66&lt;Projects!$C$29+Projects!$D$29),IF(66=Projects!$C$29+Projects!$D$29-1,Projects!$B$29*Assumptions!$B$12/Projects!$D$29*0.95+0.05*Projects!$B$29*Assumptions!$B$12,Projects!$B$29*Assumptions!$B$12/Projects!$D$29*0.95),0)</f>
        <v/>
      </c>
      <c r="BQ100">
        <f>IF(AND(Projects!$G$17="Yes",67&gt;=Projects!$C$17,67&lt;Projects!$C$17+Projects!$D$17),IF(67=Projects!$C$17+Projects!$D$17-1,Projects!$B$17*Assumptions!$B$12/Projects!$D$17*0.95+0.05*Projects!$B$17*Assumptions!$B$12,Projects!$B$17*Assumptions!$B$12/Projects!$D$17*0.95),0)+IF(AND(Projects!$G$18="Yes",67&gt;=Projects!$C$18,67&lt;Projects!$C$18+Projects!$D$18),IF(67=Projects!$C$18+Projects!$D$18-1,Projects!$B$18*Assumptions!$B$12/Projects!$D$18*0.95+0.05*Projects!$B$18*Assumptions!$B$12,Projects!$B$18*Assumptions!$B$12/Projects!$D$18*0.95),0)+IF(AND(Projects!$G$19="Yes",67&gt;=Projects!$C$19,67&lt;Projects!$C$19+Projects!$D$19),IF(67=Projects!$C$19+Projects!$D$19-1,Projects!$B$19*Assumptions!$B$12/Projects!$D$19*0.95+0.05*Projects!$B$19*Assumptions!$B$12,Projects!$B$19*Assumptions!$B$12/Projects!$D$19*0.95),0)+IF(AND(Projects!$G$20="Yes",67&gt;=Projects!$C$20,67&lt;Projects!$C$20+Projects!$D$20),IF(67=Projects!$C$20+Projects!$D$20-1,Projects!$B$20*Assumptions!$B$12/Projects!$D$20*0.95+0.05*Projects!$B$20*Assumptions!$B$12,Projects!$B$20*Assumptions!$B$12/Projects!$D$20*0.95),0)+IF(AND(Projects!$G$21="Yes",67&gt;=Projects!$C$21,67&lt;Projects!$C$21+Projects!$D$21),IF(67=Projects!$C$21+Projects!$D$21-1,Projects!$B$21*Assumptions!$B$12/Projects!$D$21*0.95+0.05*Projects!$B$21*Assumptions!$B$12,Projects!$B$21*Assumptions!$B$12/Projects!$D$21*0.95),0)+IF(AND(Projects!$G$22="Yes",67&gt;=Projects!$C$22,67&lt;Projects!$C$22+Projects!$D$22),IF(67=Projects!$C$22+Projects!$D$22-1,Projects!$B$22*Assumptions!$B$12/Projects!$D$22*0.95+0.05*Projects!$B$22*Assumptions!$B$12,Projects!$B$22*Assumptions!$B$12/Projects!$D$22*0.95),0)+IF(AND(Projects!$G$23="Yes",67&gt;=Projects!$C$23,67&lt;Projects!$C$23+Projects!$D$23),IF(67=Projects!$C$23+Projects!$D$23-1,Projects!$B$23*Assumptions!$B$12/Projects!$D$23*0.95+0.05*Projects!$B$23*Assumptions!$B$12,Projects!$B$23*Assumptions!$B$12/Projects!$D$23*0.95),0)+IF(AND(Projects!$G$24="Yes",67&gt;=Projects!$C$24,67&lt;Projects!$C$24+Projects!$D$24),IF(67=Projects!$C$24+Projects!$D$24-1,Projects!$B$24*Assumptions!$B$12/Projects!$D$24*0.95+0.05*Projects!$B$24*Assumptions!$B$12,Projects!$B$24*Assumptions!$B$12/Projects!$D$24*0.95),0)+IF(AND(Projects!$G$25="Yes",67&gt;=Projects!$C$25,67&lt;Projects!$C$25+Projects!$D$25),IF(67=Projects!$C$25+Projects!$D$25-1,Projects!$B$25*Assumptions!$B$12/Projects!$D$25*0.95+0.05*Projects!$B$25*Assumptions!$B$12,Projects!$B$25*Assumptions!$B$12/Projects!$D$25*0.95),0)+IF(AND(Projects!$G$26="Yes",67&gt;=Projects!$C$26,67&lt;Projects!$C$26+Projects!$D$26),IF(67=Projects!$C$26+Projects!$D$26-1,Projects!$B$26*Assumptions!$B$12/Projects!$D$26*0.95+0.05*Projects!$B$26*Assumptions!$B$12,Projects!$B$26*Assumptions!$B$12/Projects!$D$26*0.95),0)+IF(AND(Projects!$G$27="Yes",67&gt;=Projects!$C$27,67&lt;Projects!$C$27+Projects!$D$27),IF(67=Projects!$C$27+Projects!$D$27-1,Projects!$B$27*Assumptions!$B$12/Projects!$D$27*0.95+0.05*Projects!$B$27*Assumptions!$B$12,Projects!$B$27*Assumptions!$B$12/Projects!$D$27*0.95),0)+IF(AND(Projects!$G$28="Yes",67&gt;=Projects!$C$28,67&lt;Projects!$C$28+Projects!$D$28),IF(67=Projects!$C$28+Projects!$D$28-1,Projects!$B$28*Assumptions!$B$12/Projects!$D$28*0.95+0.05*Projects!$B$28*Assumptions!$B$12,Projects!$B$28*Assumptions!$B$12/Projects!$D$28*0.95),0)+IF(AND(Projects!$G$29="Yes",67&gt;=Projects!$C$29,67&lt;Projects!$C$29+Projects!$D$29),IF(67=Projects!$C$29+Projects!$D$29-1,Projects!$B$29*Assumptions!$B$12/Projects!$D$29*0.95+0.05*Projects!$B$29*Assumptions!$B$12,Projects!$B$29*Assumptions!$B$12/Projects!$D$29*0.95),0)</f>
        <v/>
      </c>
      <c r="BR100">
        <f>IF(AND(Projects!$G$17="Yes",68&gt;=Projects!$C$17,68&lt;Projects!$C$17+Projects!$D$17),IF(68=Projects!$C$17+Projects!$D$17-1,Projects!$B$17*Assumptions!$B$12/Projects!$D$17*0.95+0.05*Projects!$B$17*Assumptions!$B$12,Projects!$B$17*Assumptions!$B$12/Projects!$D$17*0.95),0)+IF(AND(Projects!$G$18="Yes",68&gt;=Projects!$C$18,68&lt;Projects!$C$18+Projects!$D$18),IF(68=Projects!$C$18+Projects!$D$18-1,Projects!$B$18*Assumptions!$B$12/Projects!$D$18*0.95+0.05*Projects!$B$18*Assumptions!$B$12,Projects!$B$18*Assumptions!$B$12/Projects!$D$18*0.95),0)+IF(AND(Projects!$G$19="Yes",68&gt;=Projects!$C$19,68&lt;Projects!$C$19+Projects!$D$19),IF(68=Projects!$C$19+Projects!$D$19-1,Projects!$B$19*Assumptions!$B$12/Projects!$D$19*0.95+0.05*Projects!$B$19*Assumptions!$B$12,Projects!$B$19*Assumptions!$B$12/Projects!$D$19*0.95),0)+IF(AND(Projects!$G$20="Yes",68&gt;=Projects!$C$20,68&lt;Projects!$C$20+Projects!$D$20),IF(68=Projects!$C$20+Projects!$D$20-1,Projects!$B$20*Assumptions!$B$12/Projects!$D$20*0.95+0.05*Projects!$B$20*Assumptions!$B$12,Projects!$B$20*Assumptions!$B$12/Projects!$D$20*0.95),0)+IF(AND(Projects!$G$21="Yes",68&gt;=Projects!$C$21,68&lt;Projects!$C$21+Projects!$D$21),IF(68=Projects!$C$21+Projects!$D$21-1,Projects!$B$21*Assumptions!$B$12/Projects!$D$21*0.95+0.05*Projects!$B$21*Assumptions!$B$12,Projects!$B$21*Assumptions!$B$12/Projects!$D$21*0.95),0)+IF(AND(Projects!$G$22="Yes",68&gt;=Projects!$C$22,68&lt;Projects!$C$22+Projects!$D$22),IF(68=Projects!$C$22+Projects!$D$22-1,Projects!$B$22*Assumptions!$B$12/Projects!$D$22*0.95+0.05*Projects!$B$22*Assumptions!$B$12,Projects!$B$22*Assumptions!$B$12/Projects!$D$22*0.95),0)+IF(AND(Projects!$G$23="Yes",68&gt;=Projects!$C$23,68&lt;Projects!$C$23+Projects!$D$23),IF(68=Projects!$C$23+Projects!$D$23-1,Projects!$B$23*Assumptions!$B$12/Projects!$D$23*0.95+0.05*Projects!$B$23*Assumptions!$B$12,Projects!$B$23*Assumptions!$B$12/Projects!$D$23*0.95),0)+IF(AND(Projects!$G$24="Yes",68&gt;=Projects!$C$24,68&lt;Projects!$C$24+Projects!$D$24),IF(68=Projects!$C$24+Projects!$D$24-1,Projects!$B$24*Assumptions!$B$12/Projects!$D$24*0.95+0.05*Projects!$B$24*Assumptions!$B$12,Projects!$B$24*Assumptions!$B$12/Projects!$D$24*0.95),0)+IF(AND(Projects!$G$25="Yes",68&gt;=Projects!$C$25,68&lt;Projects!$C$25+Projects!$D$25),IF(68=Projects!$C$25+Projects!$D$25-1,Projects!$B$25*Assumptions!$B$12/Projects!$D$25*0.95+0.05*Projects!$B$25*Assumptions!$B$12,Projects!$B$25*Assumptions!$B$12/Projects!$D$25*0.95),0)+IF(AND(Projects!$G$26="Yes",68&gt;=Projects!$C$26,68&lt;Projects!$C$26+Projects!$D$26),IF(68=Projects!$C$26+Projects!$D$26-1,Projects!$B$26*Assumptions!$B$12/Projects!$D$26*0.95+0.05*Projects!$B$26*Assumptions!$B$12,Projects!$B$26*Assumptions!$B$12/Projects!$D$26*0.95),0)+IF(AND(Projects!$G$27="Yes",68&gt;=Projects!$C$27,68&lt;Projects!$C$27+Projects!$D$27),IF(68=Projects!$C$27+Projects!$D$27-1,Projects!$B$27*Assumptions!$B$12/Projects!$D$27*0.95+0.05*Projects!$B$27*Assumptions!$B$12,Projects!$B$27*Assumptions!$B$12/Projects!$D$27*0.95),0)+IF(AND(Projects!$G$28="Yes",68&gt;=Projects!$C$28,68&lt;Projects!$C$28+Projects!$D$28),IF(68=Projects!$C$28+Projects!$D$28-1,Projects!$B$28*Assumptions!$B$12/Projects!$D$28*0.95+0.05*Projects!$B$28*Assumptions!$B$12,Projects!$B$28*Assumptions!$B$12/Projects!$D$28*0.95),0)+IF(AND(Projects!$G$29="Yes",68&gt;=Projects!$C$29,68&lt;Projects!$C$29+Projects!$D$29),IF(68=Projects!$C$29+Projects!$D$29-1,Projects!$B$29*Assumptions!$B$12/Projects!$D$29*0.95+0.05*Projects!$B$29*Assumptions!$B$12,Projects!$B$29*Assumptions!$B$12/Projects!$D$29*0.95),0)</f>
        <v/>
      </c>
      <c r="BS100">
        <f>IF(AND(Projects!$G$17="Yes",69&gt;=Projects!$C$17,69&lt;Projects!$C$17+Projects!$D$17),IF(69=Projects!$C$17+Projects!$D$17-1,Projects!$B$17*Assumptions!$B$12/Projects!$D$17*0.95+0.05*Projects!$B$17*Assumptions!$B$12,Projects!$B$17*Assumptions!$B$12/Projects!$D$17*0.95),0)+IF(AND(Projects!$G$18="Yes",69&gt;=Projects!$C$18,69&lt;Projects!$C$18+Projects!$D$18),IF(69=Projects!$C$18+Projects!$D$18-1,Projects!$B$18*Assumptions!$B$12/Projects!$D$18*0.95+0.05*Projects!$B$18*Assumptions!$B$12,Projects!$B$18*Assumptions!$B$12/Projects!$D$18*0.95),0)+IF(AND(Projects!$G$19="Yes",69&gt;=Projects!$C$19,69&lt;Projects!$C$19+Projects!$D$19),IF(69=Projects!$C$19+Projects!$D$19-1,Projects!$B$19*Assumptions!$B$12/Projects!$D$19*0.95+0.05*Projects!$B$19*Assumptions!$B$12,Projects!$B$19*Assumptions!$B$12/Projects!$D$19*0.95),0)+IF(AND(Projects!$G$20="Yes",69&gt;=Projects!$C$20,69&lt;Projects!$C$20+Projects!$D$20),IF(69=Projects!$C$20+Projects!$D$20-1,Projects!$B$20*Assumptions!$B$12/Projects!$D$20*0.95+0.05*Projects!$B$20*Assumptions!$B$12,Projects!$B$20*Assumptions!$B$12/Projects!$D$20*0.95),0)+IF(AND(Projects!$G$21="Yes",69&gt;=Projects!$C$21,69&lt;Projects!$C$21+Projects!$D$21),IF(69=Projects!$C$21+Projects!$D$21-1,Projects!$B$21*Assumptions!$B$12/Projects!$D$21*0.95+0.05*Projects!$B$21*Assumptions!$B$12,Projects!$B$21*Assumptions!$B$12/Projects!$D$21*0.95),0)+IF(AND(Projects!$G$22="Yes",69&gt;=Projects!$C$22,69&lt;Projects!$C$22+Projects!$D$22),IF(69=Projects!$C$22+Projects!$D$22-1,Projects!$B$22*Assumptions!$B$12/Projects!$D$22*0.95+0.05*Projects!$B$22*Assumptions!$B$12,Projects!$B$22*Assumptions!$B$12/Projects!$D$22*0.95),0)+IF(AND(Projects!$G$23="Yes",69&gt;=Projects!$C$23,69&lt;Projects!$C$23+Projects!$D$23),IF(69=Projects!$C$23+Projects!$D$23-1,Projects!$B$23*Assumptions!$B$12/Projects!$D$23*0.95+0.05*Projects!$B$23*Assumptions!$B$12,Projects!$B$23*Assumptions!$B$12/Projects!$D$23*0.95),0)+IF(AND(Projects!$G$24="Yes",69&gt;=Projects!$C$24,69&lt;Projects!$C$24+Projects!$D$24),IF(69=Projects!$C$24+Projects!$D$24-1,Projects!$B$24*Assumptions!$B$12/Projects!$D$24*0.95+0.05*Projects!$B$24*Assumptions!$B$12,Projects!$B$24*Assumptions!$B$12/Projects!$D$24*0.95),0)+IF(AND(Projects!$G$25="Yes",69&gt;=Projects!$C$25,69&lt;Projects!$C$25+Projects!$D$25),IF(69=Projects!$C$25+Projects!$D$25-1,Projects!$B$25*Assumptions!$B$12/Projects!$D$25*0.95+0.05*Projects!$B$25*Assumptions!$B$12,Projects!$B$25*Assumptions!$B$12/Projects!$D$25*0.95),0)+IF(AND(Projects!$G$26="Yes",69&gt;=Projects!$C$26,69&lt;Projects!$C$26+Projects!$D$26),IF(69=Projects!$C$26+Projects!$D$26-1,Projects!$B$26*Assumptions!$B$12/Projects!$D$26*0.95+0.05*Projects!$B$26*Assumptions!$B$12,Projects!$B$26*Assumptions!$B$12/Projects!$D$26*0.95),0)+IF(AND(Projects!$G$27="Yes",69&gt;=Projects!$C$27,69&lt;Projects!$C$27+Projects!$D$27),IF(69=Projects!$C$27+Projects!$D$27-1,Projects!$B$27*Assumptions!$B$12/Projects!$D$27*0.95+0.05*Projects!$B$27*Assumptions!$B$12,Projects!$B$27*Assumptions!$B$12/Projects!$D$27*0.95),0)+IF(AND(Projects!$G$28="Yes",69&gt;=Projects!$C$28,69&lt;Projects!$C$28+Projects!$D$28),IF(69=Projects!$C$28+Projects!$D$28-1,Projects!$B$28*Assumptions!$B$12/Projects!$D$28*0.95+0.05*Projects!$B$28*Assumptions!$B$12,Projects!$B$28*Assumptions!$B$12/Projects!$D$28*0.95),0)+IF(AND(Projects!$G$29="Yes",69&gt;=Projects!$C$29,69&lt;Projects!$C$29+Projects!$D$29),IF(69=Projects!$C$29+Projects!$D$29-1,Projects!$B$29*Assumptions!$B$12/Projects!$D$29*0.95+0.05*Projects!$B$29*Assumptions!$B$12,Projects!$B$29*Assumptions!$B$12/Projects!$D$29*0.95),0)</f>
        <v/>
      </c>
      <c r="BT100">
        <f>IF(AND(Projects!$G$17="Yes",70&gt;=Projects!$C$17,70&lt;Projects!$C$17+Projects!$D$17),IF(70=Projects!$C$17+Projects!$D$17-1,Projects!$B$17*Assumptions!$B$12/Projects!$D$17*0.95+0.05*Projects!$B$17*Assumptions!$B$12,Projects!$B$17*Assumptions!$B$12/Projects!$D$17*0.95),0)+IF(AND(Projects!$G$18="Yes",70&gt;=Projects!$C$18,70&lt;Projects!$C$18+Projects!$D$18),IF(70=Projects!$C$18+Projects!$D$18-1,Projects!$B$18*Assumptions!$B$12/Projects!$D$18*0.95+0.05*Projects!$B$18*Assumptions!$B$12,Projects!$B$18*Assumptions!$B$12/Projects!$D$18*0.95),0)+IF(AND(Projects!$G$19="Yes",70&gt;=Projects!$C$19,70&lt;Projects!$C$19+Projects!$D$19),IF(70=Projects!$C$19+Projects!$D$19-1,Projects!$B$19*Assumptions!$B$12/Projects!$D$19*0.95+0.05*Projects!$B$19*Assumptions!$B$12,Projects!$B$19*Assumptions!$B$12/Projects!$D$19*0.95),0)+IF(AND(Projects!$G$20="Yes",70&gt;=Projects!$C$20,70&lt;Projects!$C$20+Projects!$D$20),IF(70=Projects!$C$20+Projects!$D$20-1,Projects!$B$20*Assumptions!$B$12/Projects!$D$20*0.95+0.05*Projects!$B$20*Assumptions!$B$12,Projects!$B$20*Assumptions!$B$12/Projects!$D$20*0.95),0)+IF(AND(Projects!$G$21="Yes",70&gt;=Projects!$C$21,70&lt;Projects!$C$21+Projects!$D$21),IF(70=Projects!$C$21+Projects!$D$21-1,Projects!$B$21*Assumptions!$B$12/Projects!$D$21*0.95+0.05*Projects!$B$21*Assumptions!$B$12,Projects!$B$21*Assumptions!$B$12/Projects!$D$21*0.95),0)+IF(AND(Projects!$G$22="Yes",70&gt;=Projects!$C$22,70&lt;Projects!$C$22+Projects!$D$22),IF(70=Projects!$C$22+Projects!$D$22-1,Projects!$B$22*Assumptions!$B$12/Projects!$D$22*0.95+0.05*Projects!$B$22*Assumptions!$B$12,Projects!$B$22*Assumptions!$B$12/Projects!$D$22*0.95),0)+IF(AND(Projects!$G$23="Yes",70&gt;=Projects!$C$23,70&lt;Projects!$C$23+Projects!$D$23),IF(70=Projects!$C$23+Projects!$D$23-1,Projects!$B$23*Assumptions!$B$12/Projects!$D$23*0.95+0.05*Projects!$B$23*Assumptions!$B$12,Projects!$B$23*Assumptions!$B$12/Projects!$D$23*0.95),0)+IF(AND(Projects!$G$24="Yes",70&gt;=Projects!$C$24,70&lt;Projects!$C$24+Projects!$D$24),IF(70=Projects!$C$24+Projects!$D$24-1,Projects!$B$24*Assumptions!$B$12/Projects!$D$24*0.95+0.05*Projects!$B$24*Assumptions!$B$12,Projects!$B$24*Assumptions!$B$12/Projects!$D$24*0.95),0)+IF(AND(Projects!$G$25="Yes",70&gt;=Projects!$C$25,70&lt;Projects!$C$25+Projects!$D$25),IF(70=Projects!$C$25+Projects!$D$25-1,Projects!$B$25*Assumptions!$B$12/Projects!$D$25*0.95+0.05*Projects!$B$25*Assumptions!$B$12,Projects!$B$25*Assumptions!$B$12/Projects!$D$25*0.95),0)+IF(AND(Projects!$G$26="Yes",70&gt;=Projects!$C$26,70&lt;Projects!$C$26+Projects!$D$26),IF(70=Projects!$C$26+Projects!$D$26-1,Projects!$B$26*Assumptions!$B$12/Projects!$D$26*0.95+0.05*Projects!$B$26*Assumptions!$B$12,Projects!$B$26*Assumptions!$B$12/Projects!$D$26*0.95),0)+IF(AND(Projects!$G$27="Yes",70&gt;=Projects!$C$27,70&lt;Projects!$C$27+Projects!$D$27),IF(70=Projects!$C$27+Projects!$D$27-1,Projects!$B$27*Assumptions!$B$12/Projects!$D$27*0.95+0.05*Projects!$B$27*Assumptions!$B$12,Projects!$B$27*Assumptions!$B$12/Projects!$D$27*0.95),0)+IF(AND(Projects!$G$28="Yes",70&gt;=Projects!$C$28,70&lt;Projects!$C$28+Projects!$D$28),IF(70=Projects!$C$28+Projects!$D$28-1,Projects!$B$28*Assumptions!$B$12/Projects!$D$28*0.95+0.05*Projects!$B$28*Assumptions!$B$12,Projects!$B$28*Assumptions!$B$12/Projects!$D$28*0.95),0)+IF(AND(Projects!$G$29="Yes",70&gt;=Projects!$C$29,70&lt;Projects!$C$29+Projects!$D$29),IF(70=Projects!$C$29+Projects!$D$29-1,Projects!$B$29*Assumptions!$B$12/Projects!$D$29*0.95+0.05*Projects!$B$29*Assumptions!$B$12,Projects!$B$29*Assumptions!$B$12/Projects!$D$29*0.95),0)</f>
        <v/>
      </c>
      <c r="BU100">
        <f>IF(AND(Projects!$G$17="Yes",71&gt;=Projects!$C$17,71&lt;Projects!$C$17+Projects!$D$17),IF(71=Projects!$C$17+Projects!$D$17-1,Projects!$B$17*Assumptions!$B$12/Projects!$D$17*0.95+0.05*Projects!$B$17*Assumptions!$B$12,Projects!$B$17*Assumptions!$B$12/Projects!$D$17*0.95),0)+IF(AND(Projects!$G$18="Yes",71&gt;=Projects!$C$18,71&lt;Projects!$C$18+Projects!$D$18),IF(71=Projects!$C$18+Projects!$D$18-1,Projects!$B$18*Assumptions!$B$12/Projects!$D$18*0.95+0.05*Projects!$B$18*Assumptions!$B$12,Projects!$B$18*Assumptions!$B$12/Projects!$D$18*0.95),0)+IF(AND(Projects!$G$19="Yes",71&gt;=Projects!$C$19,71&lt;Projects!$C$19+Projects!$D$19),IF(71=Projects!$C$19+Projects!$D$19-1,Projects!$B$19*Assumptions!$B$12/Projects!$D$19*0.95+0.05*Projects!$B$19*Assumptions!$B$12,Projects!$B$19*Assumptions!$B$12/Projects!$D$19*0.95),0)+IF(AND(Projects!$G$20="Yes",71&gt;=Projects!$C$20,71&lt;Projects!$C$20+Projects!$D$20),IF(71=Projects!$C$20+Projects!$D$20-1,Projects!$B$20*Assumptions!$B$12/Projects!$D$20*0.95+0.05*Projects!$B$20*Assumptions!$B$12,Projects!$B$20*Assumptions!$B$12/Projects!$D$20*0.95),0)+IF(AND(Projects!$G$21="Yes",71&gt;=Projects!$C$21,71&lt;Projects!$C$21+Projects!$D$21),IF(71=Projects!$C$21+Projects!$D$21-1,Projects!$B$21*Assumptions!$B$12/Projects!$D$21*0.95+0.05*Projects!$B$21*Assumptions!$B$12,Projects!$B$21*Assumptions!$B$12/Projects!$D$21*0.95),0)+IF(AND(Projects!$G$22="Yes",71&gt;=Projects!$C$22,71&lt;Projects!$C$22+Projects!$D$22),IF(71=Projects!$C$22+Projects!$D$22-1,Projects!$B$22*Assumptions!$B$12/Projects!$D$22*0.95+0.05*Projects!$B$22*Assumptions!$B$12,Projects!$B$22*Assumptions!$B$12/Projects!$D$22*0.95),0)+IF(AND(Projects!$G$23="Yes",71&gt;=Projects!$C$23,71&lt;Projects!$C$23+Projects!$D$23),IF(71=Projects!$C$23+Projects!$D$23-1,Projects!$B$23*Assumptions!$B$12/Projects!$D$23*0.95+0.05*Projects!$B$23*Assumptions!$B$12,Projects!$B$23*Assumptions!$B$12/Projects!$D$23*0.95),0)+IF(AND(Projects!$G$24="Yes",71&gt;=Projects!$C$24,71&lt;Projects!$C$24+Projects!$D$24),IF(71=Projects!$C$24+Projects!$D$24-1,Projects!$B$24*Assumptions!$B$12/Projects!$D$24*0.95+0.05*Projects!$B$24*Assumptions!$B$12,Projects!$B$24*Assumptions!$B$12/Projects!$D$24*0.95),0)+IF(AND(Projects!$G$25="Yes",71&gt;=Projects!$C$25,71&lt;Projects!$C$25+Projects!$D$25),IF(71=Projects!$C$25+Projects!$D$25-1,Projects!$B$25*Assumptions!$B$12/Projects!$D$25*0.95+0.05*Projects!$B$25*Assumptions!$B$12,Projects!$B$25*Assumptions!$B$12/Projects!$D$25*0.95),0)+IF(AND(Projects!$G$26="Yes",71&gt;=Projects!$C$26,71&lt;Projects!$C$26+Projects!$D$26),IF(71=Projects!$C$26+Projects!$D$26-1,Projects!$B$26*Assumptions!$B$12/Projects!$D$26*0.95+0.05*Projects!$B$26*Assumptions!$B$12,Projects!$B$26*Assumptions!$B$12/Projects!$D$26*0.95),0)+IF(AND(Projects!$G$27="Yes",71&gt;=Projects!$C$27,71&lt;Projects!$C$27+Projects!$D$27),IF(71=Projects!$C$27+Projects!$D$27-1,Projects!$B$27*Assumptions!$B$12/Projects!$D$27*0.95+0.05*Projects!$B$27*Assumptions!$B$12,Projects!$B$27*Assumptions!$B$12/Projects!$D$27*0.95),0)+IF(AND(Projects!$G$28="Yes",71&gt;=Projects!$C$28,71&lt;Projects!$C$28+Projects!$D$28),IF(71=Projects!$C$28+Projects!$D$28-1,Projects!$B$28*Assumptions!$B$12/Projects!$D$28*0.95+0.05*Projects!$B$28*Assumptions!$B$12,Projects!$B$28*Assumptions!$B$12/Projects!$D$28*0.95),0)+IF(AND(Projects!$G$29="Yes",71&gt;=Projects!$C$29,71&lt;Projects!$C$29+Projects!$D$29),IF(71=Projects!$C$29+Projects!$D$29-1,Projects!$B$29*Assumptions!$B$12/Projects!$D$29*0.95+0.05*Projects!$B$29*Assumptions!$B$12,Projects!$B$29*Assumptions!$B$12/Projects!$D$29*0.95),0)</f>
        <v/>
      </c>
      <c r="BV100">
        <f>IF(AND(Projects!$G$17="Yes",72&gt;=Projects!$C$17,72&lt;Projects!$C$17+Projects!$D$17),IF(72=Projects!$C$17+Projects!$D$17-1,Projects!$B$17*Assumptions!$B$12/Projects!$D$17*0.95+0.05*Projects!$B$17*Assumptions!$B$12,Projects!$B$17*Assumptions!$B$12/Projects!$D$17*0.95),0)+IF(AND(Projects!$G$18="Yes",72&gt;=Projects!$C$18,72&lt;Projects!$C$18+Projects!$D$18),IF(72=Projects!$C$18+Projects!$D$18-1,Projects!$B$18*Assumptions!$B$12/Projects!$D$18*0.95+0.05*Projects!$B$18*Assumptions!$B$12,Projects!$B$18*Assumptions!$B$12/Projects!$D$18*0.95),0)+IF(AND(Projects!$G$19="Yes",72&gt;=Projects!$C$19,72&lt;Projects!$C$19+Projects!$D$19),IF(72=Projects!$C$19+Projects!$D$19-1,Projects!$B$19*Assumptions!$B$12/Projects!$D$19*0.95+0.05*Projects!$B$19*Assumptions!$B$12,Projects!$B$19*Assumptions!$B$12/Projects!$D$19*0.95),0)+IF(AND(Projects!$G$20="Yes",72&gt;=Projects!$C$20,72&lt;Projects!$C$20+Projects!$D$20),IF(72=Projects!$C$20+Projects!$D$20-1,Projects!$B$20*Assumptions!$B$12/Projects!$D$20*0.95+0.05*Projects!$B$20*Assumptions!$B$12,Projects!$B$20*Assumptions!$B$12/Projects!$D$20*0.95),0)+IF(AND(Projects!$G$21="Yes",72&gt;=Projects!$C$21,72&lt;Projects!$C$21+Projects!$D$21),IF(72=Projects!$C$21+Projects!$D$21-1,Projects!$B$21*Assumptions!$B$12/Projects!$D$21*0.95+0.05*Projects!$B$21*Assumptions!$B$12,Projects!$B$21*Assumptions!$B$12/Projects!$D$21*0.95),0)+IF(AND(Projects!$G$22="Yes",72&gt;=Projects!$C$22,72&lt;Projects!$C$22+Projects!$D$22),IF(72=Projects!$C$22+Projects!$D$22-1,Projects!$B$22*Assumptions!$B$12/Projects!$D$22*0.95+0.05*Projects!$B$22*Assumptions!$B$12,Projects!$B$22*Assumptions!$B$12/Projects!$D$22*0.95),0)+IF(AND(Projects!$G$23="Yes",72&gt;=Projects!$C$23,72&lt;Projects!$C$23+Projects!$D$23),IF(72=Projects!$C$23+Projects!$D$23-1,Projects!$B$23*Assumptions!$B$12/Projects!$D$23*0.95+0.05*Projects!$B$23*Assumptions!$B$12,Projects!$B$23*Assumptions!$B$12/Projects!$D$23*0.95),0)+IF(AND(Projects!$G$24="Yes",72&gt;=Projects!$C$24,72&lt;Projects!$C$24+Projects!$D$24),IF(72=Projects!$C$24+Projects!$D$24-1,Projects!$B$24*Assumptions!$B$12/Projects!$D$24*0.95+0.05*Projects!$B$24*Assumptions!$B$12,Projects!$B$24*Assumptions!$B$12/Projects!$D$24*0.95),0)+IF(AND(Projects!$G$25="Yes",72&gt;=Projects!$C$25,72&lt;Projects!$C$25+Projects!$D$25),IF(72=Projects!$C$25+Projects!$D$25-1,Projects!$B$25*Assumptions!$B$12/Projects!$D$25*0.95+0.05*Projects!$B$25*Assumptions!$B$12,Projects!$B$25*Assumptions!$B$12/Projects!$D$25*0.95),0)+IF(AND(Projects!$G$26="Yes",72&gt;=Projects!$C$26,72&lt;Projects!$C$26+Projects!$D$26),IF(72=Projects!$C$26+Projects!$D$26-1,Projects!$B$26*Assumptions!$B$12/Projects!$D$26*0.95+0.05*Projects!$B$26*Assumptions!$B$12,Projects!$B$26*Assumptions!$B$12/Projects!$D$26*0.95),0)+IF(AND(Projects!$G$27="Yes",72&gt;=Projects!$C$27,72&lt;Projects!$C$27+Projects!$D$27),IF(72=Projects!$C$27+Projects!$D$27-1,Projects!$B$27*Assumptions!$B$12/Projects!$D$27*0.95+0.05*Projects!$B$27*Assumptions!$B$12,Projects!$B$27*Assumptions!$B$12/Projects!$D$27*0.95),0)+IF(AND(Projects!$G$28="Yes",72&gt;=Projects!$C$28,72&lt;Projects!$C$28+Projects!$D$28),IF(72=Projects!$C$28+Projects!$D$28-1,Projects!$B$28*Assumptions!$B$12/Projects!$D$28*0.95+0.05*Projects!$B$28*Assumptions!$B$12,Projects!$B$28*Assumptions!$B$12/Projects!$D$28*0.95),0)+IF(AND(Projects!$G$29="Yes",72&gt;=Projects!$C$29,72&lt;Projects!$C$29+Projects!$D$29),IF(72=Projects!$C$29+Projects!$D$29-1,Projects!$B$29*Assumptions!$B$12/Projects!$D$29*0.95+0.05*Projects!$B$29*Assumptions!$B$12,Projects!$B$29*Assumptions!$B$12/Projects!$D$29*0.95),0)</f>
        <v/>
      </c>
      <c r="BW100">
        <f>IF(AND(Projects!$G$17="Yes",73&gt;=Projects!$C$17,73&lt;Projects!$C$17+Projects!$D$17),IF(73=Projects!$C$17+Projects!$D$17-1,Projects!$B$17*Assumptions!$B$12/Projects!$D$17*0.95+0.05*Projects!$B$17*Assumptions!$B$12,Projects!$B$17*Assumptions!$B$12/Projects!$D$17*0.95),0)+IF(AND(Projects!$G$18="Yes",73&gt;=Projects!$C$18,73&lt;Projects!$C$18+Projects!$D$18),IF(73=Projects!$C$18+Projects!$D$18-1,Projects!$B$18*Assumptions!$B$12/Projects!$D$18*0.95+0.05*Projects!$B$18*Assumptions!$B$12,Projects!$B$18*Assumptions!$B$12/Projects!$D$18*0.95),0)+IF(AND(Projects!$G$19="Yes",73&gt;=Projects!$C$19,73&lt;Projects!$C$19+Projects!$D$19),IF(73=Projects!$C$19+Projects!$D$19-1,Projects!$B$19*Assumptions!$B$12/Projects!$D$19*0.95+0.05*Projects!$B$19*Assumptions!$B$12,Projects!$B$19*Assumptions!$B$12/Projects!$D$19*0.95),0)+IF(AND(Projects!$G$20="Yes",73&gt;=Projects!$C$20,73&lt;Projects!$C$20+Projects!$D$20),IF(73=Projects!$C$20+Projects!$D$20-1,Projects!$B$20*Assumptions!$B$12/Projects!$D$20*0.95+0.05*Projects!$B$20*Assumptions!$B$12,Projects!$B$20*Assumptions!$B$12/Projects!$D$20*0.95),0)+IF(AND(Projects!$G$21="Yes",73&gt;=Projects!$C$21,73&lt;Projects!$C$21+Projects!$D$21),IF(73=Projects!$C$21+Projects!$D$21-1,Projects!$B$21*Assumptions!$B$12/Projects!$D$21*0.95+0.05*Projects!$B$21*Assumptions!$B$12,Projects!$B$21*Assumptions!$B$12/Projects!$D$21*0.95),0)+IF(AND(Projects!$G$22="Yes",73&gt;=Projects!$C$22,73&lt;Projects!$C$22+Projects!$D$22),IF(73=Projects!$C$22+Projects!$D$22-1,Projects!$B$22*Assumptions!$B$12/Projects!$D$22*0.95+0.05*Projects!$B$22*Assumptions!$B$12,Projects!$B$22*Assumptions!$B$12/Projects!$D$22*0.95),0)+IF(AND(Projects!$G$23="Yes",73&gt;=Projects!$C$23,73&lt;Projects!$C$23+Projects!$D$23),IF(73=Projects!$C$23+Projects!$D$23-1,Projects!$B$23*Assumptions!$B$12/Projects!$D$23*0.95+0.05*Projects!$B$23*Assumptions!$B$12,Projects!$B$23*Assumptions!$B$12/Projects!$D$23*0.95),0)+IF(AND(Projects!$G$24="Yes",73&gt;=Projects!$C$24,73&lt;Projects!$C$24+Projects!$D$24),IF(73=Projects!$C$24+Projects!$D$24-1,Projects!$B$24*Assumptions!$B$12/Projects!$D$24*0.95+0.05*Projects!$B$24*Assumptions!$B$12,Projects!$B$24*Assumptions!$B$12/Projects!$D$24*0.95),0)+IF(AND(Projects!$G$25="Yes",73&gt;=Projects!$C$25,73&lt;Projects!$C$25+Projects!$D$25),IF(73=Projects!$C$25+Projects!$D$25-1,Projects!$B$25*Assumptions!$B$12/Projects!$D$25*0.95+0.05*Projects!$B$25*Assumptions!$B$12,Projects!$B$25*Assumptions!$B$12/Projects!$D$25*0.95),0)+IF(AND(Projects!$G$26="Yes",73&gt;=Projects!$C$26,73&lt;Projects!$C$26+Projects!$D$26),IF(73=Projects!$C$26+Projects!$D$26-1,Projects!$B$26*Assumptions!$B$12/Projects!$D$26*0.95+0.05*Projects!$B$26*Assumptions!$B$12,Projects!$B$26*Assumptions!$B$12/Projects!$D$26*0.95),0)+IF(AND(Projects!$G$27="Yes",73&gt;=Projects!$C$27,73&lt;Projects!$C$27+Projects!$D$27),IF(73=Projects!$C$27+Projects!$D$27-1,Projects!$B$27*Assumptions!$B$12/Projects!$D$27*0.95+0.05*Projects!$B$27*Assumptions!$B$12,Projects!$B$27*Assumptions!$B$12/Projects!$D$27*0.95),0)+IF(AND(Projects!$G$28="Yes",73&gt;=Projects!$C$28,73&lt;Projects!$C$28+Projects!$D$28),IF(73=Projects!$C$28+Projects!$D$28-1,Projects!$B$28*Assumptions!$B$12/Projects!$D$28*0.95+0.05*Projects!$B$28*Assumptions!$B$12,Projects!$B$28*Assumptions!$B$12/Projects!$D$28*0.95),0)+IF(AND(Projects!$G$29="Yes",73&gt;=Projects!$C$29,73&lt;Projects!$C$29+Projects!$D$29),IF(73=Projects!$C$29+Projects!$D$29-1,Projects!$B$29*Assumptions!$B$12/Projects!$D$29*0.95+0.05*Projects!$B$29*Assumptions!$B$12,Projects!$B$29*Assumptions!$B$12/Projects!$D$29*0.95),0)</f>
        <v/>
      </c>
      <c r="BX100">
        <f>IF(AND(Projects!$G$17="Yes",74&gt;=Projects!$C$17,74&lt;Projects!$C$17+Projects!$D$17),IF(74=Projects!$C$17+Projects!$D$17-1,Projects!$B$17*Assumptions!$B$12/Projects!$D$17*0.95+0.05*Projects!$B$17*Assumptions!$B$12,Projects!$B$17*Assumptions!$B$12/Projects!$D$17*0.95),0)+IF(AND(Projects!$G$18="Yes",74&gt;=Projects!$C$18,74&lt;Projects!$C$18+Projects!$D$18),IF(74=Projects!$C$18+Projects!$D$18-1,Projects!$B$18*Assumptions!$B$12/Projects!$D$18*0.95+0.05*Projects!$B$18*Assumptions!$B$12,Projects!$B$18*Assumptions!$B$12/Projects!$D$18*0.95),0)+IF(AND(Projects!$G$19="Yes",74&gt;=Projects!$C$19,74&lt;Projects!$C$19+Projects!$D$19),IF(74=Projects!$C$19+Projects!$D$19-1,Projects!$B$19*Assumptions!$B$12/Projects!$D$19*0.95+0.05*Projects!$B$19*Assumptions!$B$12,Projects!$B$19*Assumptions!$B$12/Projects!$D$19*0.95),0)+IF(AND(Projects!$G$20="Yes",74&gt;=Projects!$C$20,74&lt;Projects!$C$20+Projects!$D$20),IF(74=Projects!$C$20+Projects!$D$20-1,Projects!$B$20*Assumptions!$B$12/Projects!$D$20*0.95+0.05*Projects!$B$20*Assumptions!$B$12,Projects!$B$20*Assumptions!$B$12/Projects!$D$20*0.95),0)+IF(AND(Projects!$G$21="Yes",74&gt;=Projects!$C$21,74&lt;Projects!$C$21+Projects!$D$21),IF(74=Projects!$C$21+Projects!$D$21-1,Projects!$B$21*Assumptions!$B$12/Projects!$D$21*0.95+0.05*Projects!$B$21*Assumptions!$B$12,Projects!$B$21*Assumptions!$B$12/Projects!$D$21*0.95),0)+IF(AND(Projects!$G$22="Yes",74&gt;=Projects!$C$22,74&lt;Projects!$C$22+Projects!$D$22),IF(74=Projects!$C$22+Projects!$D$22-1,Projects!$B$22*Assumptions!$B$12/Projects!$D$22*0.95+0.05*Projects!$B$22*Assumptions!$B$12,Projects!$B$22*Assumptions!$B$12/Projects!$D$22*0.95),0)+IF(AND(Projects!$G$23="Yes",74&gt;=Projects!$C$23,74&lt;Projects!$C$23+Projects!$D$23),IF(74=Projects!$C$23+Projects!$D$23-1,Projects!$B$23*Assumptions!$B$12/Projects!$D$23*0.95+0.05*Projects!$B$23*Assumptions!$B$12,Projects!$B$23*Assumptions!$B$12/Projects!$D$23*0.95),0)+IF(AND(Projects!$G$24="Yes",74&gt;=Projects!$C$24,74&lt;Projects!$C$24+Projects!$D$24),IF(74=Projects!$C$24+Projects!$D$24-1,Projects!$B$24*Assumptions!$B$12/Projects!$D$24*0.95+0.05*Projects!$B$24*Assumptions!$B$12,Projects!$B$24*Assumptions!$B$12/Projects!$D$24*0.95),0)+IF(AND(Projects!$G$25="Yes",74&gt;=Projects!$C$25,74&lt;Projects!$C$25+Projects!$D$25),IF(74=Projects!$C$25+Projects!$D$25-1,Projects!$B$25*Assumptions!$B$12/Projects!$D$25*0.95+0.05*Projects!$B$25*Assumptions!$B$12,Projects!$B$25*Assumptions!$B$12/Projects!$D$25*0.95),0)+IF(AND(Projects!$G$26="Yes",74&gt;=Projects!$C$26,74&lt;Projects!$C$26+Projects!$D$26),IF(74=Projects!$C$26+Projects!$D$26-1,Projects!$B$26*Assumptions!$B$12/Projects!$D$26*0.95+0.05*Projects!$B$26*Assumptions!$B$12,Projects!$B$26*Assumptions!$B$12/Projects!$D$26*0.95),0)+IF(AND(Projects!$G$27="Yes",74&gt;=Projects!$C$27,74&lt;Projects!$C$27+Projects!$D$27),IF(74=Projects!$C$27+Projects!$D$27-1,Projects!$B$27*Assumptions!$B$12/Projects!$D$27*0.95+0.05*Projects!$B$27*Assumptions!$B$12,Projects!$B$27*Assumptions!$B$12/Projects!$D$27*0.95),0)+IF(AND(Projects!$G$28="Yes",74&gt;=Projects!$C$28,74&lt;Projects!$C$28+Projects!$D$28),IF(74=Projects!$C$28+Projects!$D$28-1,Projects!$B$28*Assumptions!$B$12/Projects!$D$28*0.95+0.05*Projects!$B$28*Assumptions!$B$12,Projects!$B$28*Assumptions!$B$12/Projects!$D$28*0.95),0)+IF(AND(Projects!$G$29="Yes",74&gt;=Projects!$C$29,74&lt;Projects!$C$29+Projects!$D$29),IF(74=Projects!$C$29+Projects!$D$29-1,Projects!$B$29*Assumptions!$B$12/Projects!$D$29*0.95+0.05*Projects!$B$29*Assumptions!$B$12,Projects!$B$29*Assumptions!$B$12/Projects!$D$29*0.95),0)</f>
        <v/>
      </c>
      <c r="BY100">
        <f>IF(AND(Projects!$G$17="Yes",75&gt;=Projects!$C$17,75&lt;Projects!$C$17+Projects!$D$17),IF(75=Projects!$C$17+Projects!$D$17-1,Projects!$B$17*Assumptions!$B$12/Projects!$D$17*0.95+0.05*Projects!$B$17*Assumptions!$B$12,Projects!$B$17*Assumptions!$B$12/Projects!$D$17*0.95),0)+IF(AND(Projects!$G$18="Yes",75&gt;=Projects!$C$18,75&lt;Projects!$C$18+Projects!$D$18),IF(75=Projects!$C$18+Projects!$D$18-1,Projects!$B$18*Assumptions!$B$12/Projects!$D$18*0.95+0.05*Projects!$B$18*Assumptions!$B$12,Projects!$B$18*Assumptions!$B$12/Projects!$D$18*0.95),0)+IF(AND(Projects!$G$19="Yes",75&gt;=Projects!$C$19,75&lt;Projects!$C$19+Projects!$D$19),IF(75=Projects!$C$19+Projects!$D$19-1,Projects!$B$19*Assumptions!$B$12/Projects!$D$19*0.95+0.05*Projects!$B$19*Assumptions!$B$12,Projects!$B$19*Assumptions!$B$12/Projects!$D$19*0.95),0)+IF(AND(Projects!$G$20="Yes",75&gt;=Projects!$C$20,75&lt;Projects!$C$20+Projects!$D$20),IF(75=Projects!$C$20+Projects!$D$20-1,Projects!$B$20*Assumptions!$B$12/Projects!$D$20*0.95+0.05*Projects!$B$20*Assumptions!$B$12,Projects!$B$20*Assumptions!$B$12/Projects!$D$20*0.95),0)+IF(AND(Projects!$G$21="Yes",75&gt;=Projects!$C$21,75&lt;Projects!$C$21+Projects!$D$21),IF(75=Projects!$C$21+Projects!$D$21-1,Projects!$B$21*Assumptions!$B$12/Projects!$D$21*0.95+0.05*Projects!$B$21*Assumptions!$B$12,Projects!$B$21*Assumptions!$B$12/Projects!$D$21*0.95),0)+IF(AND(Projects!$G$22="Yes",75&gt;=Projects!$C$22,75&lt;Projects!$C$22+Projects!$D$22),IF(75=Projects!$C$22+Projects!$D$22-1,Projects!$B$22*Assumptions!$B$12/Projects!$D$22*0.95+0.05*Projects!$B$22*Assumptions!$B$12,Projects!$B$22*Assumptions!$B$12/Projects!$D$22*0.95),0)+IF(AND(Projects!$G$23="Yes",75&gt;=Projects!$C$23,75&lt;Projects!$C$23+Projects!$D$23),IF(75=Projects!$C$23+Projects!$D$23-1,Projects!$B$23*Assumptions!$B$12/Projects!$D$23*0.95+0.05*Projects!$B$23*Assumptions!$B$12,Projects!$B$23*Assumptions!$B$12/Projects!$D$23*0.95),0)+IF(AND(Projects!$G$24="Yes",75&gt;=Projects!$C$24,75&lt;Projects!$C$24+Projects!$D$24),IF(75=Projects!$C$24+Projects!$D$24-1,Projects!$B$24*Assumptions!$B$12/Projects!$D$24*0.95+0.05*Projects!$B$24*Assumptions!$B$12,Projects!$B$24*Assumptions!$B$12/Projects!$D$24*0.95),0)+IF(AND(Projects!$G$25="Yes",75&gt;=Projects!$C$25,75&lt;Projects!$C$25+Projects!$D$25),IF(75=Projects!$C$25+Projects!$D$25-1,Projects!$B$25*Assumptions!$B$12/Projects!$D$25*0.95+0.05*Projects!$B$25*Assumptions!$B$12,Projects!$B$25*Assumptions!$B$12/Projects!$D$25*0.95),0)+IF(AND(Projects!$G$26="Yes",75&gt;=Projects!$C$26,75&lt;Projects!$C$26+Projects!$D$26),IF(75=Projects!$C$26+Projects!$D$26-1,Projects!$B$26*Assumptions!$B$12/Projects!$D$26*0.95+0.05*Projects!$B$26*Assumptions!$B$12,Projects!$B$26*Assumptions!$B$12/Projects!$D$26*0.95),0)+IF(AND(Projects!$G$27="Yes",75&gt;=Projects!$C$27,75&lt;Projects!$C$27+Projects!$D$27),IF(75=Projects!$C$27+Projects!$D$27-1,Projects!$B$27*Assumptions!$B$12/Projects!$D$27*0.95+0.05*Projects!$B$27*Assumptions!$B$12,Projects!$B$27*Assumptions!$B$12/Projects!$D$27*0.95),0)+IF(AND(Projects!$G$28="Yes",75&gt;=Projects!$C$28,75&lt;Projects!$C$28+Projects!$D$28),IF(75=Projects!$C$28+Projects!$D$28-1,Projects!$B$28*Assumptions!$B$12/Projects!$D$28*0.95+0.05*Projects!$B$28*Assumptions!$B$12,Projects!$B$28*Assumptions!$B$12/Projects!$D$28*0.95),0)+IF(AND(Projects!$G$29="Yes",75&gt;=Projects!$C$29,75&lt;Projects!$C$29+Projects!$D$29),IF(75=Projects!$C$29+Projects!$D$29-1,Projects!$B$29*Assumptions!$B$12/Projects!$D$29*0.95+0.05*Projects!$B$29*Assumptions!$B$12,Projects!$B$29*Assumptions!$B$12/Projects!$D$29*0.95),0)</f>
        <v/>
      </c>
      <c r="BZ100">
        <f>IF(AND(Projects!$G$17="Yes",76&gt;=Projects!$C$17,76&lt;Projects!$C$17+Projects!$D$17),IF(76=Projects!$C$17+Projects!$D$17-1,Projects!$B$17*Assumptions!$B$12/Projects!$D$17*0.95+0.05*Projects!$B$17*Assumptions!$B$12,Projects!$B$17*Assumptions!$B$12/Projects!$D$17*0.95),0)+IF(AND(Projects!$G$18="Yes",76&gt;=Projects!$C$18,76&lt;Projects!$C$18+Projects!$D$18),IF(76=Projects!$C$18+Projects!$D$18-1,Projects!$B$18*Assumptions!$B$12/Projects!$D$18*0.95+0.05*Projects!$B$18*Assumptions!$B$12,Projects!$B$18*Assumptions!$B$12/Projects!$D$18*0.95),0)+IF(AND(Projects!$G$19="Yes",76&gt;=Projects!$C$19,76&lt;Projects!$C$19+Projects!$D$19),IF(76=Projects!$C$19+Projects!$D$19-1,Projects!$B$19*Assumptions!$B$12/Projects!$D$19*0.95+0.05*Projects!$B$19*Assumptions!$B$12,Projects!$B$19*Assumptions!$B$12/Projects!$D$19*0.95),0)+IF(AND(Projects!$G$20="Yes",76&gt;=Projects!$C$20,76&lt;Projects!$C$20+Projects!$D$20),IF(76=Projects!$C$20+Projects!$D$20-1,Projects!$B$20*Assumptions!$B$12/Projects!$D$20*0.95+0.05*Projects!$B$20*Assumptions!$B$12,Projects!$B$20*Assumptions!$B$12/Projects!$D$20*0.95),0)+IF(AND(Projects!$G$21="Yes",76&gt;=Projects!$C$21,76&lt;Projects!$C$21+Projects!$D$21),IF(76=Projects!$C$21+Projects!$D$21-1,Projects!$B$21*Assumptions!$B$12/Projects!$D$21*0.95+0.05*Projects!$B$21*Assumptions!$B$12,Projects!$B$21*Assumptions!$B$12/Projects!$D$21*0.95),0)+IF(AND(Projects!$G$22="Yes",76&gt;=Projects!$C$22,76&lt;Projects!$C$22+Projects!$D$22),IF(76=Projects!$C$22+Projects!$D$22-1,Projects!$B$22*Assumptions!$B$12/Projects!$D$22*0.95+0.05*Projects!$B$22*Assumptions!$B$12,Projects!$B$22*Assumptions!$B$12/Projects!$D$22*0.95),0)+IF(AND(Projects!$G$23="Yes",76&gt;=Projects!$C$23,76&lt;Projects!$C$23+Projects!$D$23),IF(76=Projects!$C$23+Projects!$D$23-1,Projects!$B$23*Assumptions!$B$12/Projects!$D$23*0.95+0.05*Projects!$B$23*Assumptions!$B$12,Projects!$B$23*Assumptions!$B$12/Projects!$D$23*0.95),0)+IF(AND(Projects!$G$24="Yes",76&gt;=Projects!$C$24,76&lt;Projects!$C$24+Projects!$D$24),IF(76=Projects!$C$24+Projects!$D$24-1,Projects!$B$24*Assumptions!$B$12/Projects!$D$24*0.95+0.05*Projects!$B$24*Assumptions!$B$12,Projects!$B$24*Assumptions!$B$12/Projects!$D$24*0.95),0)+IF(AND(Projects!$G$25="Yes",76&gt;=Projects!$C$25,76&lt;Projects!$C$25+Projects!$D$25),IF(76=Projects!$C$25+Projects!$D$25-1,Projects!$B$25*Assumptions!$B$12/Projects!$D$25*0.95+0.05*Projects!$B$25*Assumptions!$B$12,Projects!$B$25*Assumptions!$B$12/Projects!$D$25*0.95),0)+IF(AND(Projects!$G$26="Yes",76&gt;=Projects!$C$26,76&lt;Projects!$C$26+Projects!$D$26),IF(76=Projects!$C$26+Projects!$D$26-1,Projects!$B$26*Assumptions!$B$12/Projects!$D$26*0.95+0.05*Projects!$B$26*Assumptions!$B$12,Projects!$B$26*Assumptions!$B$12/Projects!$D$26*0.95),0)+IF(AND(Projects!$G$27="Yes",76&gt;=Projects!$C$27,76&lt;Projects!$C$27+Projects!$D$27),IF(76=Projects!$C$27+Projects!$D$27-1,Projects!$B$27*Assumptions!$B$12/Projects!$D$27*0.95+0.05*Projects!$B$27*Assumptions!$B$12,Projects!$B$27*Assumptions!$B$12/Projects!$D$27*0.95),0)+IF(AND(Projects!$G$28="Yes",76&gt;=Projects!$C$28,76&lt;Projects!$C$28+Projects!$D$28),IF(76=Projects!$C$28+Projects!$D$28-1,Projects!$B$28*Assumptions!$B$12/Projects!$D$28*0.95+0.05*Projects!$B$28*Assumptions!$B$12,Projects!$B$28*Assumptions!$B$12/Projects!$D$28*0.95),0)+IF(AND(Projects!$G$29="Yes",76&gt;=Projects!$C$29,76&lt;Projects!$C$29+Projects!$D$29),IF(76=Projects!$C$29+Projects!$D$29-1,Projects!$B$29*Assumptions!$B$12/Projects!$D$29*0.95+0.05*Projects!$B$29*Assumptions!$B$12,Projects!$B$29*Assumptions!$B$12/Projects!$D$29*0.95),0)</f>
        <v/>
      </c>
      <c r="CA100">
        <f>IF(AND(Projects!$G$17="Yes",77&gt;=Projects!$C$17,77&lt;Projects!$C$17+Projects!$D$17),IF(77=Projects!$C$17+Projects!$D$17-1,Projects!$B$17*Assumptions!$B$12/Projects!$D$17*0.95+0.05*Projects!$B$17*Assumptions!$B$12,Projects!$B$17*Assumptions!$B$12/Projects!$D$17*0.95),0)+IF(AND(Projects!$G$18="Yes",77&gt;=Projects!$C$18,77&lt;Projects!$C$18+Projects!$D$18),IF(77=Projects!$C$18+Projects!$D$18-1,Projects!$B$18*Assumptions!$B$12/Projects!$D$18*0.95+0.05*Projects!$B$18*Assumptions!$B$12,Projects!$B$18*Assumptions!$B$12/Projects!$D$18*0.95),0)+IF(AND(Projects!$G$19="Yes",77&gt;=Projects!$C$19,77&lt;Projects!$C$19+Projects!$D$19),IF(77=Projects!$C$19+Projects!$D$19-1,Projects!$B$19*Assumptions!$B$12/Projects!$D$19*0.95+0.05*Projects!$B$19*Assumptions!$B$12,Projects!$B$19*Assumptions!$B$12/Projects!$D$19*0.95),0)+IF(AND(Projects!$G$20="Yes",77&gt;=Projects!$C$20,77&lt;Projects!$C$20+Projects!$D$20),IF(77=Projects!$C$20+Projects!$D$20-1,Projects!$B$20*Assumptions!$B$12/Projects!$D$20*0.95+0.05*Projects!$B$20*Assumptions!$B$12,Projects!$B$20*Assumptions!$B$12/Projects!$D$20*0.95),0)+IF(AND(Projects!$G$21="Yes",77&gt;=Projects!$C$21,77&lt;Projects!$C$21+Projects!$D$21),IF(77=Projects!$C$21+Projects!$D$21-1,Projects!$B$21*Assumptions!$B$12/Projects!$D$21*0.95+0.05*Projects!$B$21*Assumptions!$B$12,Projects!$B$21*Assumptions!$B$12/Projects!$D$21*0.95),0)+IF(AND(Projects!$G$22="Yes",77&gt;=Projects!$C$22,77&lt;Projects!$C$22+Projects!$D$22),IF(77=Projects!$C$22+Projects!$D$22-1,Projects!$B$22*Assumptions!$B$12/Projects!$D$22*0.95+0.05*Projects!$B$22*Assumptions!$B$12,Projects!$B$22*Assumptions!$B$12/Projects!$D$22*0.95),0)+IF(AND(Projects!$G$23="Yes",77&gt;=Projects!$C$23,77&lt;Projects!$C$23+Projects!$D$23),IF(77=Projects!$C$23+Projects!$D$23-1,Projects!$B$23*Assumptions!$B$12/Projects!$D$23*0.95+0.05*Projects!$B$23*Assumptions!$B$12,Projects!$B$23*Assumptions!$B$12/Projects!$D$23*0.95),0)+IF(AND(Projects!$G$24="Yes",77&gt;=Projects!$C$24,77&lt;Projects!$C$24+Projects!$D$24),IF(77=Projects!$C$24+Projects!$D$24-1,Projects!$B$24*Assumptions!$B$12/Projects!$D$24*0.95+0.05*Projects!$B$24*Assumptions!$B$12,Projects!$B$24*Assumptions!$B$12/Projects!$D$24*0.95),0)+IF(AND(Projects!$G$25="Yes",77&gt;=Projects!$C$25,77&lt;Projects!$C$25+Projects!$D$25),IF(77=Projects!$C$25+Projects!$D$25-1,Projects!$B$25*Assumptions!$B$12/Projects!$D$25*0.95+0.05*Projects!$B$25*Assumptions!$B$12,Projects!$B$25*Assumptions!$B$12/Projects!$D$25*0.95),0)+IF(AND(Projects!$G$26="Yes",77&gt;=Projects!$C$26,77&lt;Projects!$C$26+Projects!$D$26),IF(77=Projects!$C$26+Projects!$D$26-1,Projects!$B$26*Assumptions!$B$12/Projects!$D$26*0.95+0.05*Projects!$B$26*Assumptions!$B$12,Projects!$B$26*Assumptions!$B$12/Projects!$D$26*0.95),0)+IF(AND(Projects!$G$27="Yes",77&gt;=Projects!$C$27,77&lt;Projects!$C$27+Projects!$D$27),IF(77=Projects!$C$27+Projects!$D$27-1,Projects!$B$27*Assumptions!$B$12/Projects!$D$27*0.95+0.05*Projects!$B$27*Assumptions!$B$12,Projects!$B$27*Assumptions!$B$12/Projects!$D$27*0.95),0)+IF(AND(Projects!$G$28="Yes",77&gt;=Projects!$C$28,77&lt;Projects!$C$28+Projects!$D$28),IF(77=Projects!$C$28+Projects!$D$28-1,Projects!$B$28*Assumptions!$B$12/Projects!$D$28*0.95+0.05*Projects!$B$28*Assumptions!$B$12,Projects!$B$28*Assumptions!$B$12/Projects!$D$28*0.95),0)+IF(AND(Projects!$G$29="Yes",77&gt;=Projects!$C$29,77&lt;Projects!$C$29+Projects!$D$29),IF(77=Projects!$C$29+Projects!$D$29-1,Projects!$B$29*Assumptions!$B$12/Projects!$D$29*0.95+0.05*Projects!$B$29*Assumptions!$B$12,Projects!$B$29*Assumptions!$B$12/Projects!$D$29*0.95),0)</f>
        <v/>
      </c>
      <c r="CB100">
        <f>IF(AND(Projects!$G$17="Yes",78&gt;=Projects!$C$17,78&lt;Projects!$C$17+Projects!$D$17),IF(78=Projects!$C$17+Projects!$D$17-1,Projects!$B$17*Assumptions!$B$12/Projects!$D$17*0.95+0.05*Projects!$B$17*Assumptions!$B$12,Projects!$B$17*Assumptions!$B$12/Projects!$D$17*0.95),0)+IF(AND(Projects!$G$18="Yes",78&gt;=Projects!$C$18,78&lt;Projects!$C$18+Projects!$D$18),IF(78=Projects!$C$18+Projects!$D$18-1,Projects!$B$18*Assumptions!$B$12/Projects!$D$18*0.95+0.05*Projects!$B$18*Assumptions!$B$12,Projects!$B$18*Assumptions!$B$12/Projects!$D$18*0.95),0)+IF(AND(Projects!$G$19="Yes",78&gt;=Projects!$C$19,78&lt;Projects!$C$19+Projects!$D$19),IF(78=Projects!$C$19+Projects!$D$19-1,Projects!$B$19*Assumptions!$B$12/Projects!$D$19*0.95+0.05*Projects!$B$19*Assumptions!$B$12,Projects!$B$19*Assumptions!$B$12/Projects!$D$19*0.95),0)+IF(AND(Projects!$G$20="Yes",78&gt;=Projects!$C$20,78&lt;Projects!$C$20+Projects!$D$20),IF(78=Projects!$C$20+Projects!$D$20-1,Projects!$B$20*Assumptions!$B$12/Projects!$D$20*0.95+0.05*Projects!$B$20*Assumptions!$B$12,Projects!$B$20*Assumptions!$B$12/Projects!$D$20*0.95),0)+IF(AND(Projects!$G$21="Yes",78&gt;=Projects!$C$21,78&lt;Projects!$C$21+Projects!$D$21),IF(78=Projects!$C$21+Projects!$D$21-1,Projects!$B$21*Assumptions!$B$12/Projects!$D$21*0.95+0.05*Projects!$B$21*Assumptions!$B$12,Projects!$B$21*Assumptions!$B$12/Projects!$D$21*0.95),0)+IF(AND(Projects!$G$22="Yes",78&gt;=Projects!$C$22,78&lt;Projects!$C$22+Projects!$D$22),IF(78=Projects!$C$22+Projects!$D$22-1,Projects!$B$22*Assumptions!$B$12/Projects!$D$22*0.95+0.05*Projects!$B$22*Assumptions!$B$12,Projects!$B$22*Assumptions!$B$12/Projects!$D$22*0.95),0)+IF(AND(Projects!$G$23="Yes",78&gt;=Projects!$C$23,78&lt;Projects!$C$23+Projects!$D$23),IF(78=Projects!$C$23+Projects!$D$23-1,Projects!$B$23*Assumptions!$B$12/Projects!$D$23*0.95+0.05*Projects!$B$23*Assumptions!$B$12,Projects!$B$23*Assumptions!$B$12/Projects!$D$23*0.95),0)+IF(AND(Projects!$G$24="Yes",78&gt;=Projects!$C$24,78&lt;Projects!$C$24+Projects!$D$24),IF(78=Projects!$C$24+Projects!$D$24-1,Projects!$B$24*Assumptions!$B$12/Projects!$D$24*0.95+0.05*Projects!$B$24*Assumptions!$B$12,Projects!$B$24*Assumptions!$B$12/Projects!$D$24*0.95),0)+IF(AND(Projects!$G$25="Yes",78&gt;=Projects!$C$25,78&lt;Projects!$C$25+Projects!$D$25),IF(78=Projects!$C$25+Projects!$D$25-1,Projects!$B$25*Assumptions!$B$12/Projects!$D$25*0.95+0.05*Projects!$B$25*Assumptions!$B$12,Projects!$B$25*Assumptions!$B$12/Projects!$D$25*0.95),0)+IF(AND(Projects!$G$26="Yes",78&gt;=Projects!$C$26,78&lt;Projects!$C$26+Projects!$D$26),IF(78=Projects!$C$26+Projects!$D$26-1,Projects!$B$26*Assumptions!$B$12/Projects!$D$26*0.95+0.05*Projects!$B$26*Assumptions!$B$12,Projects!$B$26*Assumptions!$B$12/Projects!$D$26*0.95),0)+IF(AND(Projects!$G$27="Yes",78&gt;=Projects!$C$27,78&lt;Projects!$C$27+Projects!$D$27),IF(78=Projects!$C$27+Projects!$D$27-1,Projects!$B$27*Assumptions!$B$12/Projects!$D$27*0.95+0.05*Projects!$B$27*Assumptions!$B$12,Projects!$B$27*Assumptions!$B$12/Projects!$D$27*0.95),0)+IF(AND(Projects!$G$28="Yes",78&gt;=Projects!$C$28,78&lt;Projects!$C$28+Projects!$D$28),IF(78=Projects!$C$28+Projects!$D$28-1,Projects!$B$28*Assumptions!$B$12/Projects!$D$28*0.95+0.05*Projects!$B$28*Assumptions!$B$12,Projects!$B$28*Assumptions!$B$12/Projects!$D$28*0.95),0)+IF(AND(Projects!$G$29="Yes",78&gt;=Projects!$C$29,78&lt;Projects!$C$29+Projects!$D$29),IF(78=Projects!$C$29+Projects!$D$29-1,Projects!$B$29*Assumptions!$B$12/Projects!$D$29*0.95+0.05*Projects!$B$29*Assumptions!$B$12,Projects!$B$29*Assumptions!$B$12/Projects!$D$29*0.95),0)</f>
        <v/>
      </c>
      <c r="CC100">
        <f>IF(AND(Projects!$G$17="Yes",79&gt;=Projects!$C$17,79&lt;Projects!$C$17+Projects!$D$17),IF(79=Projects!$C$17+Projects!$D$17-1,Projects!$B$17*Assumptions!$B$12/Projects!$D$17*0.95+0.05*Projects!$B$17*Assumptions!$B$12,Projects!$B$17*Assumptions!$B$12/Projects!$D$17*0.95),0)+IF(AND(Projects!$G$18="Yes",79&gt;=Projects!$C$18,79&lt;Projects!$C$18+Projects!$D$18),IF(79=Projects!$C$18+Projects!$D$18-1,Projects!$B$18*Assumptions!$B$12/Projects!$D$18*0.95+0.05*Projects!$B$18*Assumptions!$B$12,Projects!$B$18*Assumptions!$B$12/Projects!$D$18*0.95),0)+IF(AND(Projects!$G$19="Yes",79&gt;=Projects!$C$19,79&lt;Projects!$C$19+Projects!$D$19),IF(79=Projects!$C$19+Projects!$D$19-1,Projects!$B$19*Assumptions!$B$12/Projects!$D$19*0.95+0.05*Projects!$B$19*Assumptions!$B$12,Projects!$B$19*Assumptions!$B$12/Projects!$D$19*0.95),0)+IF(AND(Projects!$G$20="Yes",79&gt;=Projects!$C$20,79&lt;Projects!$C$20+Projects!$D$20),IF(79=Projects!$C$20+Projects!$D$20-1,Projects!$B$20*Assumptions!$B$12/Projects!$D$20*0.95+0.05*Projects!$B$20*Assumptions!$B$12,Projects!$B$20*Assumptions!$B$12/Projects!$D$20*0.95),0)+IF(AND(Projects!$G$21="Yes",79&gt;=Projects!$C$21,79&lt;Projects!$C$21+Projects!$D$21),IF(79=Projects!$C$21+Projects!$D$21-1,Projects!$B$21*Assumptions!$B$12/Projects!$D$21*0.95+0.05*Projects!$B$21*Assumptions!$B$12,Projects!$B$21*Assumptions!$B$12/Projects!$D$21*0.95),0)+IF(AND(Projects!$G$22="Yes",79&gt;=Projects!$C$22,79&lt;Projects!$C$22+Projects!$D$22),IF(79=Projects!$C$22+Projects!$D$22-1,Projects!$B$22*Assumptions!$B$12/Projects!$D$22*0.95+0.05*Projects!$B$22*Assumptions!$B$12,Projects!$B$22*Assumptions!$B$12/Projects!$D$22*0.95),0)+IF(AND(Projects!$G$23="Yes",79&gt;=Projects!$C$23,79&lt;Projects!$C$23+Projects!$D$23),IF(79=Projects!$C$23+Projects!$D$23-1,Projects!$B$23*Assumptions!$B$12/Projects!$D$23*0.95+0.05*Projects!$B$23*Assumptions!$B$12,Projects!$B$23*Assumptions!$B$12/Projects!$D$23*0.95),0)+IF(AND(Projects!$G$24="Yes",79&gt;=Projects!$C$24,79&lt;Projects!$C$24+Projects!$D$24),IF(79=Projects!$C$24+Projects!$D$24-1,Projects!$B$24*Assumptions!$B$12/Projects!$D$24*0.95+0.05*Projects!$B$24*Assumptions!$B$12,Projects!$B$24*Assumptions!$B$12/Projects!$D$24*0.95),0)+IF(AND(Projects!$G$25="Yes",79&gt;=Projects!$C$25,79&lt;Projects!$C$25+Projects!$D$25),IF(79=Projects!$C$25+Projects!$D$25-1,Projects!$B$25*Assumptions!$B$12/Projects!$D$25*0.95+0.05*Projects!$B$25*Assumptions!$B$12,Projects!$B$25*Assumptions!$B$12/Projects!$D$25*0.95),0)+IF(AND(Projects!$G$26="Yes",79&gt;=Projects!$C$26,79&lt;Projects!$C$26+Projects!$D$26),IF(79=Projects!$C$26+Projects!$D$26-1,Projects!$B$26*Assumptions!$B$12/Projects!$D$26*0.95+0.05*Projects!$B$26*Assumptions!$B$12,Projects!$B$26*Assumptions!$B$12/Projects!$D$26*0.95),0)+IF(AND(Projects!$G$27="Yes",79&gt;=Projects!$C$27,79&lt;Projects!$C$27+Projects!$D$27),IF(79=Projects!$C$27+Projects!$D$27-1,Projects!$B$27*Assumptions!$B$12/Projects!$D$27*0.95+0.05*Projects!$B$27*Assumptions!$B$12,Projects!$B$27*Assumptions!$B$12/Projects!$D$27*0.95),0)+IF(AND(Projects!$G$28="Yes",79&gt;=Projects!$C$28,79&lt;Projects!$C$28+Projects!$D$28),IF(79=Projects!$C$28+Projects!$D$28-1,Projects!$B$28*Assumptions!$B$12/Projects!$D$28*0.95+0.05*Projects!$B$28*Assumptions!$B$12,Projects!$B$28*Assumptions!$B$12/Projects!$D$28*0.95),0)+IF(AND(Projects!$G$29="Yes",79&gt;=Projects!$C$29,79&lt;Projects!$C$29+Projects!$D$29),IF(79=Projects!$C$29+Projects!$D$29-1,Projects!$B$29*Assumptions!$B$12/Projects!$D$29*0.95+0.05*Projects!$B$29*Assumptions!$B$12,Projects!$B$29*Assumptions!$B$12/Projects!$D$29*0.95),0)</f>
        <v/>
      </c>
      <c r="CD100">
        <f>IF(AND(Projects!$G$17="Yes",80&gt;=Projects!$C$17,80&lt;Projects!$C$17+Projects!$D$17),IF(80=Projects!$C$17+Projects!$D$17-1,Projects!$B$17*Assumptions!$B$12/Projects!$D$17*0.95+0.05*Projects!$B$17*Assumptions!$B$12,Projects!$B$17*Assumptions!$B$12/Projects!$D$17*0.95),0)+IF(AND(Projects!$G$18="Yes",80&gt;=Projects!$C$18,80&lt;Projects!$C$18+Projects!$D$18),IF(80=Projects!$C$18+Projects!$D$18-1,Projects!$B$18*Assumptions!$B$12/Projects!$D$18*0.95+0.05*Projects!$B$18*Assumptions!$B$12,Projects!$B$18*Assumptions!$B$12/Projects!$D$18*0.95),0)+IF(AND(Projects!$G$19="Yes",80&gt;=Projects!$C$19,80&lt;Projects!$C$19+Projects!$D$19),IF(80=Projects!$C$19+Projects!$D$19-1,Projects!$B$19*Assumptions!$B$12/Projects!$D$19*0.95+0.05*Projects!$B$19*Assumptions!$B$12,Projects!$B$19*Assumptions!$B$12/Projects!$D$19*0.95),0)+IF(AND(Projects!$G$20="Yes",80&gt;=Projects!$C$20,80&lt;Projects!$C$20+Projects!$D$20),IF(80=Projects!$C$20+Projects!$D$20-1,Projects!$B$20*Assumptions!$B$12/Projects!$D$20*0.95+0.05*Projects!$B$20*Assumptions!$B$12,Projects!$B$20*Assumptions!$B$12/Projects!$D$20*0.95),0)+IF(AND(Projects!$G$21="Yes",80&gt;=Projects!$C$21,80&lt;Projects!$C$21+Projects!$D$21),IF(80=Projects!$C$21+Projects!$D$21-1,Projects!$B$21*Assumptions!$B$12/Projects!$D$21*0.95+0.05*Projects!$B$21*Assumptions!$B$12,Projects!$B$21*Assumptions!$B$12/Projects!$D$21*0.95),0)+IF(AND(Projects!$G$22="Yes",80&gt;=Projects!$C$22,80&lt;Projects!$C$22+Projects!$D$22),IF(80=Projects!$C$22+Projects!$D$22-1,Projects!$B$22*Assumptions!$B$12/Projects!$D$22*0.95+0.05*Projects!$B$22*Assumptions!$B$12,Projects!$B$22*Assumptions!$B$12/Projects!$D$22*0.95),0)+IF(AND(Projects!$G$23="Yes",80&gt;=Projects!$C$23,80&lt;Projects!$C$23+Projects!$D$23),IF(80=Projects!$C$23+Projects!$D$23-1,Projects!$B$23*Assumptions!$B$12/Projects!$D$23*0.95+0.05*Projects!$B$23*Assumptions!$B$12,Projects!$B$23*Assumptions!$B$12/Projects!$D$23*0.95),0)+IF(AND(Projects!$G$24="Yes",80&gt;=Projects!$C$24,80&lt;Projects!$C$24+Projects!$D$24),IF(80=Projects!$C$24+Projects!$D$24-1,Projects!$B$24*Assumptions!$B$12/Projects!$D$24*0.95+0.05*Projects!$B$24*Assumptions!$B$12,Projects!$B$24*Assumptions!$B$12/Projects!$D$24*0.95),0)+IF(AND(Projects!$G$25="Yes",80&gt;=Projects!$C$25,80&lt;Projects!$C$25+Projects!$D$25),IF(80=Projects!$C$25+Projects!$D$25-1,Projects!$B$25*Assumptions!$B$12/Projects!$D$25*0.95+0.05*Projects!$B$25*Assumptions!$B$12,Projects!$B$25*Assumptions!$B$12/Projects!$D$25*0.95),0)+IF(AND(Projects!$G$26="Yes",80&gt;=Projects!$C$26,80&lt;Projects!$C$26+Projects!$D$26),IF(80=Projects!$C$26+Projects!$D$26-1,Projects!$B$26*Assumptions!$B$12/Projects!$D$26*0.95+0.05*Projects!$B$26*Assumptions!$B$12,Projects!$B$26*Assumptions!$B$12/Projects!$D$26*0.95),0)+IF(AND(Projects!$G$27="Yes",80&gt;=Projects!$C$27,80&lt;Projects!$C$27+Projects!$D$27),IF(80=Projects!$C$27+Projects!$D$27-1,Projects!$B$27*Assumptions!$B$12/Projects!$D$27*0.95+0.05*Projects!$B$27*Assumptions!$B$12,Projects!$B$27*Assumptions!$B$12/Projects!$D$27*0.95),0)+IF(AND(Projects!$G$28="Yes",80&gt;=Projects!$C$28,80&lt;Projects!$C$28+Projects!$D$28),IF(80=Projects!$C$28+Projects!$D$28-1,Projects!$B$28*Assumptions!$B$12/Projects!$D$28*0.95+0.05*Projects!$B$28*Assumptions!$B$12,Projects!$B$28*Assumptions!$B$12/Projects!$D$28*0.95),0)+IF(AND(Projects!$G$29="Yes",80&gt;=Projects!$C$29,80&lt;Projects!$C$29+Projects!$D$29),IF(80=Projects!$C$29+Projects!$D$29-1,Projects!$B$29*Assumptions!$B$12/Projects!$D$29*0.95+0.05*Projects!$B$29*Assumptions!$B$12,Projects!$B$29*Assumptions!$B$12/Projects!$D$29*0.95),0)</f>
        <v/>
      </c>
      <c r="CE100">
        <f>IF(AND(Projects!$G$17="Yes",81&gt;=Projects!$C$17,81&lt;Projects!$C$17+Projects!$D$17),IF(81=Projects!$C$17+Projects!$D$17-1,Projects!$B$17*Assumptions!$B$12/Projects!$D$17*0.95+0.05*Projects!$B$17*Assumptions!$B$12,Projects!$B$17*Assumptions!$B$12/Projects!$D$17*0.95),0)+IF(AND(Projects!$G$18="Yes",81&gt;=Projects!$C$18,81&lt;Projects!$C$18+Projects!$D$18),IF(81=Projects!$C$18+Projects!$D$18-1,Projects!$B$18*Assumptions!$B$12/Projects!$D$18*0.95+0.05*Projects!$B$18*Assumptions!$B$12,Projects!$B$18*Assumptions!$B$12/Projects!$D$18*0.95),0)+IF(AND(Projects!$G$19="Yes",81&gt;=Projects!$C$19,81&lt;Projects!$C$19+Projects!$D$19),IF(81=Projects!$C$19+Projects!$D$19-1,Projects!$B$19*Assumptions!$B$12/Projects!$D$19*0.95+0.05*Projects!$B$19*Assumptions!$B$12,Projects!$B$19*Assumptions!$B$12/Projects!$D$19*0.95),0)+IF(AND(Projects!$G$20="Yes",81&gt;=Projects!$C$20,81&lt;Projects!$C$20+Projects!$D$20),IF(81=Projects!$C$20+Projects!$D$20-1,Projects!$B$20*Assumptions!$B$12/Projects!$D$20*0.95+0.05*Projects!$B$20*Assumptions!$B$12,Projects!$B$20*Assumptions!$B$12/Projects!$D$20*0.95),0)+IF(AND(Projects!$G$21="Yes",81&gt;=Projects!$C$21,81&lt;Projects!$C$21+Projects!$D$21),IF(81=Projects!$C$21+Projects!$D$21-1,Projects!$B$21*Assumptions!$B$12/Projects!$D$21*0.95+0.05*Projects!$B$21*Assumptions!$B$12,Projects!$B$21*Assumptions!$B$12/Projects!$D$21*0.95),0)+IF(AND(Projects!$G$22="Yes",81&gt;=Projects!$C$22,81&lt;Projects!$C$22+Projects!$D$22),IF(81=Projects!$C$22+Projects!$D$22-1,Projects!$B$22*Assumptions!$B$12/Projects!$D$22*0.95+0.05*Projects!$B$22*Assumptions!$B$12,Projects!$B$22*Assumptions!$B$12/Projects!$D$22*0.95),0)+IF(AND(Projects!$G$23="Yes",81&gt;=Projects!$C$23,81&lt;Projects!$C$23+Projects!$D$23),IF(81=Projects!$C$23+Projects!$D$23-1,Projects!$B$23*Assumptions!$B$12/Projects!$D$23*0.95+0.05*Projects!$B$23*Assumptions!$B$12,Projects!$B$23*Assumptions!$B$12/Projects!$D$23*0.95),0)+IF(AND(Projects!$G$24="Yes",81&gt;=Projects!$C$24,81&lt;Projects!$C$24+Projects!$D$24),IF(81=Projects!$C$24+Projects!$D$24-1,Projects!$B$24*Assumptions!$B$12/Projects!$D$24*0.95+0.05*Projects!$B$24*Assumptions!$B$12,Projects!$B$24*Assumptions!$B$12/Projects!$D$24*0.95),0)+IF(AND(Projects!$G$25="Yes",81&gt;=Projects!$C$25,81&lt;Projects!$C$25+Projects!$D$25),IF(81=Projects!$C$25+Projects!$D$25-1,Projects!$B$25*Assumptions!$B$12/Projects!$D$25*0.95+0.05*Projects!$B$25*Assumptions!$B$12,Projects!$B$25*Assumptions!$B$12/Projects!$D$25*0.95),0)+IF(AND(Projects!$G$26="Yes",81&gt;=Projects!$C$26,81&lt;Projects!$C$26+Projects!$D$26),IF(81=Projects!$C$26+Projects!$D$26-1,Projects!$B$26*Assumptions!$B$12/Projects!$D$26*0.95+0.05*Projects!$B$26*Assumptions!$B$12,Projects!$B$26*Assumptions!$B$12/Projects!$D$26*0.95),0)+IF(AND(Projects!$G$27="Yes",81&gt;=Projects!$C$27,81&lt;Projects!$C$27+Projects!$D$27),IF(81=Projects!$C$27+Projects!$D$27-1,Projects!$B$27*Assumptions!$B$12/Projects!$D$27*0.95+0.05*Projects!$B$27*Assumptions!$B$12,Projects!$B$27*Assumptions!$B$12/Projects!$D$27*0.95),0)+IF(AND(Projects!$G$28="Yes",81&gt;=Projects!$C$28,81&lt;Projects!$C$28+Projects!$D$28),IF(81=Projects!$C$28+Projects!$D$28-1,Projects!$B$28*Assumptions!$B$12/Projects!$D$28*0.95+0.05*Projects!$B$28*Assumptions!$B$12,Projects!$B$28*Assumptions!$B$12/Projects!$D$28*0.95),0)+IF(AND(Projects!$G$29="Yes",81&gt;=Projects!$C$29,81&lt;Projects!$C$29+Projects!$D$29),IF(81=Projects!$C$29+Projects!$D$29-1,Projects!$B$29*Assumptions!$B$12/Projects!$D$29*0.95+0.05*Projects!$B$29*Assumptions!$B$12,Projects!$B$29*Assumptions!$B$12/Projects!$D$29*0.95),0)</f>
        <v/>
      </c>
      <c r="CF100">
        <f>IF(AND(Projects!$G$17="Yes",82&gt;=Projects!$C$17,82&lt;Projects!$C$17+Projects!$D$17),IF(82=Projects!$C$17+Projects!$D$17-1,Projects!$B$17*Assumptions!$B$12/Projects!$D$17*0.95+0.05*Projects!$B$17*Assumptions!$B$12,Projects!$B$17*Assumptions!$B$12/Projects!$D$17*0.95),0)+IF(AND(Projects!$G$18="Yes",82&gt;=Projects!$C$18,82&lt;Projects!$C$18+Projects!$D$18),IF(82=Projects!$C$18+Projects!$D$18-1,Projects!$B$18*Assumptions!$B$12/Projects!$D$18*0.95+0.05*Projects!$B$18*Assumptions!$B$12,Projects!$B$18*Assumptions!$B$12/Projects!$D$18*0.95),0)+IF(AND(Projects!$G$19="Yes",82&gt;=Projects!$C$19,82&lt;Projects!$C$19+Projects!$D$19),IF(82=Projects!$C$19+Projects!$D$19-1,Projects!$B$19*Assumptions!$B$12/Projects!$D$19*0.95+0.05*Projects!$B$19*Assumptions!$B$12,Projects!$B$19*Assumptions!$B$12/Projects!$D$19*0.95),0)+IF(AND(Projects!$G$20="Yes",82&gt;=Projects!$C$20,82&lt;Projects!$C$20+Projects!$D$20),IF(82=Projects!$C$20+Projects!$D$20-1,Projects!$B$20*Assumptions!$B$12/Projects!$D$20*0.95+0.05*Projects!$B$20*Assumptions!$B$12,Projects!$B$20*Assumptions!$B$12/Projects!$D$20*0.95),0)+IF(AND(Projects!$G$21="Yes",82&gt;=Projects!$C$21,82&lt;Projects!$C$21+Projects!$D$21),IF(82=Projects!$C$21+Projects!$D$21-1,Projects!$B$21*Assumptions!$B$12/Projects!$D$21*0.95+0.05*Projects!$B$21*Assumptions!$B$12,Projects!$B$21*Assumptions!$B$12/Projects!$D$21*0.95),0)+IF(AND(Projects!$G$22="Yes",82&gt;=Projects!$C$22,82&lt;Projects!$C$22+Projects!$D$22),IF(82=Projects!$C$22+Projects!$D$22-1,Projects!$B$22*Assumptions!$B$12/Projects!$D$22*0.95+0.05*Projects!$B$22*Assumptions!$B$12,Projects!$B$22*Assumptions!$B$12/Projects!$D$22*0.95),0)+IF(AND(Projects!$G$23="Yes",82&gt;=Projects!$C$23,82&lt;Projects!$C$23+Projects!$D$23),IF(82=Projects!$C$23+Projects!$D$23-1,Projects!$B$23*Assumptions!$B$12/Projects!$D$23*0.95+0.05*Projects!$B$23*Assumptions!$B$12,Projects!$B$23*Assumptions!$B$12/Projects!$D$23*0.95),0)+IF(AND(Projects!$G$24="Yes",82&gt;=Projects!$C$24,82&lt;Projects!$C$24+Projects!$D$24),IF(82=Projects!$C$24+Projects!$D$24-1,Projects!$B$24*Assumptions!$B$12/Projects!$D$24*0.95+0.05*Projects!$B$24*Assumptions!$B$12,Projects!$B$24*Assumptions!$B$12/Projects!$D$24*0.95),0)+IF(AND(Projects!$G$25="Yes",82&gt;=Projects!$C$25,82&lt;Projects!$C$25+Projects!$D$25),IF(82=Projects!$C$25+Projects!$D$25-1,Projects!$B$25*Assumptions!$B$12/Projects!$D$25*0.95+0.05*Projects!$B$25*Assumptions!$B$12,Projects!$B$25*Assumptions!$B$12/Projects!$D$25*0.95),0)+IF(AND(Projects!$G$26="Yes",82&gt;=Projects!$C$26,82&lt;Projects!$C$26+Projects!$D$26),IF(82=Projects!$C$26+Projects!$D$26-1,Projects!$B$26*Assumptions!$B$12/Projects!$D$26*0.95+0.05*Projects!$B$26*Assumptions!$B$12,Projects!$B$26*Assumptions!$B$12/Projects!$D$26*0.95),0)+IF(AND(Projects!$G$27="Yes",82&gt;=Projects!$C$27,82&lt;Projects!$C$27+Projects!$D$27),IF(82=Projects!$C$27+Projects!$D$27-1,Projects!$B$27*Assumptions!$B$12/Projects!$D$27*0.95+0.05*Projects!$B$27*Assumptions!$B$12,Projects!$B$27*Assumptions!$B$12/Projects!$D$27*0.95),0)+IF(AND(Projects!$G$28="Yes",82&gt;=Projects!$C$28,82&lt;Projects!$C$28+Projects!$D$28),IF(82=Projects!$C$28+Projects!$D$28-1,Projects!$B$28*Assumptions!$B$12/Projects!$D$28*0.95+0.05*Projects!$B$28*Assumptions!$B$12,Projects!$B$28*Assumptions!$B$12/Projects!$D$28*0.95),0)+IF(AND(Projects!$G$29="Yes",82&gt;=Projects!$C$29,82&lt;Projects!$C$29+Projects!$D$29),IF(82=Projects!$C$29+Projects!$D$29-1,Projects!$B$29*Assumptions!$B$12/Projects!$D$29*0.95+0.05*Projects!$B$29*Assumptions!$B$12,Projects!$B$29*Assumptions!$B$12/Projects!$D$29*0.95),0)</f>
        <v/>
      </c>
      <c r="CG100">
        <f>IF(AND(Projects!$G$17="Yes",83&gt;=Projects!$C$17,83&lt;Projects!$C$17+Projects!$D$17),IF(83=Projects!$C$17+Projects!$D$17-1,Projects!$B$17*Assumptions!$B$12/Projects!$D$17*0.95+0.05*Projects!$B$17*Assumptions!$B$12,Projects!$B$17*Assumptions!$B$12/Projects!$D$17*0.95),0)+IF(AND(Projects!$G$18="Yes",83&gt;=Projects!$C$18,83&lt;Projects!$C$18+Projects!$D$18),IF(83=Projects!$C$18+Projects!$D$18-1,Projects!$B$18*Assumptions!$B$12/Projects!$D$18*0.95+0.05*Projects!$B$18*Assumptions!$B$12,Projects!$B$18*Assumptions!$B$12/Projects!$D$18*0.95),0)+IF(AND(Projects!$G$19="Yes",83&gt;=Projects!$C$19,83&lt;Projects!$C$19+Projects!$D$19),IF(83=Projects!$C$19+Projects!$D$19-1,Projects!$B$19*Assumptions!$B$12/Projects!$D$19*0.95+0.05*Projects!$B$19*Assumptions!$B$12,Projects!$B$19*Assumptions!$B$12/Projects!$D$19*0.95),0)+IF(AND(Projects!$G$20="Yes",83&gt;=Projects!$C$20,83&lt;Projects!$C$20+Projects!$D$20),IF(83=Projects!$C$20+Projects!$D$20-1,Projects!$B$20*Assumptions!$B$12/Projects!$D$20*0.95+0.05*Projects!$B$20*Assumptions!$B$12,Projects!$B$20*Assumptions!$B$12/Projects!$D$20*0.95),0)+IF(AND(Projects!$G$21="Yes",83&gt;=Projects!$C$21,83&lt;Projects!$C$21+Projects!$D$21),IF(83=Projects!$C$21+Projects!$D$21-1,Projects!$B$21*Assumptions!$B$12/Projects!$D$21*0.95+0.05*Projects!$B$21*Assumptions!$B$12,Projects!$B$21*Assumptions!$B$12/Projects!$D$21*0.95),0)+IF(AND(Projects!$G$22="Yes",83&gt;=Projects!$C$22,83&lt;Projects!$C$22+Projects!$D$22),IF(83=Projects!$C$22+Projects!$D$22-1,Projects!$B$22*Assumptions!$B$12/Projects!$D$22*0.95+0.05*Projects!$B$22*Assumptions!$B$12,Projects!$B$22*Assumptions!$B$12/Projects!$D$22*0.95),0)+IF(AND(Projects!$G$23="Yes",83&gt;=Projects!$C$23,83&lt;Projects!$C$23+Projects!$D$23),IF(83=Projects!$C$23+Projects!$D$23-1,Projects!$B$23*Assumptions!$B$12/Projects!$D$23*0.95+0.05*Projects!$B$23*Assumptions!$B$12,Projects!$B$23*Assumptions!$B$12/Projects!$D$23*0.95),0)+IF(AND(Projects!$G$24="Yes",83&gt;=Projects!$C$24,83&lt;Projects!$C$24+Projects!$D$24),IF(83=Projects!$C$24+Projects!$D$24-1,Projects!$B$24*Assumptions!$B$12/Projects!$D$24*0.95+0.05*Projects!$B$24*Assumptions!$B$12,Projects!$B$24*Assumptions!$B$12/Projects!$D$24*0.95),0)+IF(AND(Projects!$G$25="Yes",83&gt;=Projects!$C$25,83&lt;Projects!$C$25+Projects!$D$25),IF(83=Projects!$C$25+Projects!$D$25-1,Projects!$B$25*Assumptions!$B$12/Projects!$D$25*0.95+0.05*Projects!$B$25*Assumptions!$B$12,Projects!$B$25*Assumptions!$B$12/Projects!$D$25*0.95),0)+IF(AND(Projects!$G$26="Yes",83&gt;=Projects!$C$26,83&lt;Projects!$C$26+Projects!$D$26),IF(83=Projects!$C$26+Projects!$D$26-1,Projects!$B$26*Assumptions!$B$12/Projects!$D$26*0.95+0.05*Projects!$B$26*Assumptions!$B$12,Projects!$B$26*Assumptions!$B$12/Projects!$D$26*0.95),0)+IF(AND(Projects!$G$27="Yes",83&gt;=Projects!$C$27,83&lt;Projects!$C$27+Projects!$D$27),IF(83=Projects!$C$27+Projects!$D$27-1,Projects!$B$27*Assumptions!$B$12/Projects!$D$27*0.95+0.05*Projects!$B$27*Assumptions!$B$12,Projects!$B$27*Assumptions!$B$12/Projects!$D$27*0.95),0)+IF(AND(Projects!$G$28="Yes",83&gt;=Projects!$C$28,83&lt;Projects!$C$28+Projects!$D$28),IF(83=Projects!$C$28+Projects!$D$28-1,Projects!$B$28*Assumptions!$B$12/Projects!$D$28*0.95+0.05*Projects!$B$28*Assumptions!$B$12,Projects!$B$28*Assumptions!$B$12/Projects!$D$28*0.95),0)+IF(AND(Projects!$G$29="Yes",83&gt;=Projects!$C$29,83&lt;Projects!$C$29+Projects!$D$29),IF(83=Projects!$C$29+Projects!$D$29-1,Projects!$B$29*Assumptions!$B$12/Projects!$D$29*0.95+0.05*Projects!$B$29*Assumptions!$B$12,Projects!$B$29*Assumptions!$B$12/Projects!$D$29*0.95),0)</f>
        <v/>
      </c>
      <c r="CH100">
        <f>IF(AND(Projects!$G$17="Yes",84&gt;=Projects!$C$17,84&lt;Projects!$C$17+Projects!$D$17),IF(84=Projects!$C$17+Projects!$D$17-1,Projects!$B$17*Assumptions!$B$12/Projects!$D$17*0.95+0.05*Projects!$B$17*Assumptions!$B$12,Projects!$B$17*Assumptions!$B$12/Projects!$D$17*0.95),0)+IF(AND(Projects!$G$18="Yes",84&gt;=Projects!$C$18,84&lt;Projects!$C$18+Projects!$D$18),IF(84=Projects!$C$18+Projects!$D$18-1,Projects!$B$18*Assumptions!$B$12/Projects!$D$18*0.95+0.05*Projects!$B$18*Assumptions!$B$12,Projects!$B$18*Assumptions!$B$12/Projects!$D$18*0.95),0)+IF(AND(Projects!$G$19="Yes",84&gt;=Projects!$C$19,84&lt;Projects!$C$19+Projects!$D$19),IF(84=Projects!$C$19+Projects!$D$19-1,Projects!$B$19*Assumptions!$B$12/Projects!$D$19*0.95+0.05*Projects!$B$19*Assumptions!$B$12,Projects!$B$19*Assumptions!$B$12/Projects!$D$19*0.95),0)+IF(AND(Projects!$G$20="Yes",84&gt;=Projects!$C$20,84&lt;Projects!$C$20+Projects!$D$20),IF(84=Projects!$C$20+Projects!$D$20-1,Projects!$B$20*Assumptions!$B$12/Projects!$D$20*0.95+0.05*Projects!$B$20*Assumptions!$B$12,Projects!$B$20*Assumptions!$B$12/Projects!$D$20*0.95),0)+IF(AND(Projects!$G$21="Yes",84&gt;=Projects!$C$21,84&lt;Projects!$C$21+Projects!$D$21),IF(84=Projects!$C$21+Projects!$D$21-1,Projects!$B$21*Assumptions!$B$12/Projects!$D$21*0.95+0.05*Projects!$B$21*Assumptions!$B$12,Projects!$B$21*Assumptions!$B$12/Projects!$D$21*0.95),0)+IF(AND(Projects!$G$22="Yes",84&gt;=Projects!$C$22,84&lt;Projects!$C$22+Projects!$D$22),IF(84=Projects!$C$22+Projects!$D$22-1,Projects!$B$22*Assumptions!$B$12/Projects!$D$22*0.95+0.05*Projects!$B$22*Assumptions!$B$12,Projects!$B$22*Assumptions!$B$12/Projects!$D$22*0.95),0)+IF(AND(Projects!$G$23="Yes",84&gt;=Projects!$C$23,84&lt;Projects!$C$23+Projects!$D$23),IF(84=Projects!$C$23+Projects!$D$23-1,Projects!$B$23*Assumptions!$B$12/Projects!$D$23*0.95+0.05*Projects!$B$23*Assumptions!$B$12,Projects!$B$23*Assumptions!$B$12/Projects!$D$23*0.95),0)+IF(AND(Projects!$G$24="Yes",84&gt;=Projects!$C$24,84&lt;Projects!$C$24+Projects!$D$24),IF(84=Projects!$C$24+Projects!$D$24-1,Projects!$B$24*Assumptions!$B$12/Projects!$D$24*0.95+0.05*Projects!$B$24*Assumptions!$B$12,Projects!$B$24*Assumptions!$B$12/Projects!$D$24*0.95),0)+IF(AND(Projects!$G$25="Yes",84&gt;=Projects!$C$25,84&lt;Projects!$C$25+Projects!$D$25),IF(84=Projects!$C$25+Projects!$D$25-1,Projects!$B$25*Assumptions!$B$12/Projects!$D$25*0.95+0.05*Projects!$B$25*Assumptions!$B$12,Projects!$B$25*Assumptions!$B$12/Projects!$D$25*0.95),0)+IF(AND(Projects!$G$26="Yes",84&gt;=Projects!$C$26,84&lt;Projects!$C$26+Projects!$D$26),IF(84=Projects!$C$26+Projects!$D$26-1,Projects!$B$26*Assumptions!$B$12/Projects!$D$26*0.95+0.05*Projects!$B$26*Assumptions!$B$12,Projects!$B$26*Assumptions!$B$12/Projects!$D$26*0.95),0)+IF(AND(Projects!$G$27="Yes",84&gt;=Projects!$C$27,84&lt;Projects!$C$27+Projects!$D$27),IF(84=Projects!$C$27+Projects!$D$27-1,Projects!$B$27*Assumptions!$B$12/Projects!$D$27*0.95+0.05*Projects!$B$27*Assumptions!$B$12,Projects!$B$27*Assumptions!$B$12/Projects!$D$27*0.95),0)+IF(AND(Projects!$G$28="Yes",84&gt;=Projects!$C$28,84&lt;Projects!$C$28+Projects!$D$28),IF(84=Projects!$C$28+Projects!$D$28-1,Projects!$B$28*Assumptions!$B$12/Projects!$D$28*0.95+0.05*Projects!$B$28*Assumptions!$B$12,Projects!$B$28*Assumptions!$B$12/Projects!$D$28*0.95),0)+IF(AND(Projects!$G$29="Yes",84&gt;=Projects!$C$29,84&lt;Projects!$C$29+Projects!$D$29),IF(84=Projects!$C$29+Projects!$D$29-1,Projects!$B$29*Assumptions!$B$12/Projects!$D$29*0.95+0.05*Projects!$B$29*Assumptions!$B$12,Projects!$B$29*Assumptions!$B$12/Projects!$D$29*0.95),0)</f>
        <v/>
      </c>
    </row>
    <row r="102" ht="15" customHeight="1" s="201">
      <c r="A102" s="128" t="inlineStr">
        <is>
          <t>Taggart BD Bonus (allocated to LV)</t>
        </is>
      </c>
    </row>
    <row r="103" ht="15" customHeight="1" s="201">
      <c r="A103" s="129" t="inlineStr">
        <is>
          <t>Monthly Bonus Cost</t>
        </is>
      </c>
      <c r="C103" s="130" t="n">
        <v>0</v>
      </c>
      <c r="D103" s="130" t="n">
        <v>0</v>
      </c>
      <c r="E103" s="130" t="n">
        <v>0</v>
      </c>
      <c r="F103" s="130" t="n">
        <v>0</v>
      </c>
      <c r="G103" s="130" t="n">
        <v>0</v>
      </c>
      <c r="H103" s="130" t="n">
        <v>0</v>
      </c>
      <c r="I103" s="130" t="n">
        <v>0</v>
      </c>
      <c r="J103" s="130" t="n">
        <v>0</v>
      </c>
      <c r="K103" s="130" t="n">
        <v>0</v>
      </c>
      <c r="L103" s="130" t="n">
        <v>0</v>
      </c>
      <c r="M103" s="130" t="n">
        <v>0</v>
      </c>
      <c r="N103" s="130" t="n">
        <v>-30000</v>
      </c>
      <c r="O103" s="130" t="n">
        <v>0</v>
      </c>
      <c r="P103" s="130" t="n">
        <v>0</v>
      </c>
      <c r="Q103" s="130" t="n">
        <v>-30000</v>
      </c>
      <c r="R103" s="130" t="n">
        <v>0</v>
      </c>
      <c r="S103" s="130" t="n">
        <v>0</v>
      </c>
      <c r="T103" s="130" t="n">
        <v>-30000</v>
      </c>
      <c r="U103" s="130" t="n">
        <v>0</v>
      </c>
      <c r="V103" s="130" t="n">
        <v>0</v>
      </c>
      <c r="W103" s="130" t="n">
        <v>0</v>
      </c>
      <c r="X103" s="130" t="n">
        <v>-30000</v>
      </c>
      <c r="Y103" s="130" t="n">
        <v>0</v>
      </c>
      <c r="Z103" s="130" t="n">
        <v>0</v>
      </c>
      <c r="AA103" s="130" t="n">
        <v>-30000</v>
      </c>
      <c r="AB103" s="130" t="n">
        <v>0</v>
      </c>
      <c r="AC103" s="130" t="n">
        <v>0</v>
      </c>
      <c r="AD103" s="130" t="n">
        <v>-36000</v>
      </c>
      <c r="AE103" s="130" t="n">
        <v>0</v>
      </c>
      <c r="AF103" s="130" t="n">
        <v>0</v>
      </c>
      <c r="AG103" s="130" t="n">
        <v>-36000</v>
      </c>
      <c r="AH103" s="130" t="n">
        <v>0</v>
      </c>
      <c r="AI103" s="130" t="n">
        <v>-36000</v>
      </c>
      <c r="AJ103" s="130" t="n">
        <v>0</v>
      </c>
      <c r="AK103" s="130" t="n">
        <v>-30000</v>
      </c>
      <c r="AL103" s="130" t="n">
        <v>0</v>
      </c>
      <c r="AM103" s="130" t="n">
        <v>-12000</v>
      </c>
      <c r="AN103" s="130" t="n">
        <v>0</v>
      </c>
      <c r="AO103" s="130" t="n">
        <v>0</v>
      </c>
      <c r="AP103" s="130" t="n">
        <v>0</v>
      </c>
      <c r="AQ103" s="130" t="n">
        <v>-30000</v>
      </c>
      <c r="AR103" s="130" t="n">
        <v>0</v>
      </c>
      <c r="AS103" s="130" t="n">
        <v>-36000</v>
      </c>
      <c r="AT103" s="130" t="n">
        <v>0</v>
      </c>
      <c r="AU103" s="130" t="n">
        <v>-30000</v>
      </c>
      <c r="AV103" s="130" t="n">
        <v>0</v>
      </c>
      <c r="AW103" s="130" t="n">
        <v>-30000</v>
      </c>
      <c r="AX103" s="130" t="n">
        <v>0</v>
      </c>
      <c r="AY103" s="130" t="n">
        <v>-24000</v>
      </c>
      <c r="AZ103" s="130" t="n">
        <v>0</v>
      </c>
      <c r="BA103" s="130" t="n">
        <v>0</v>
      </c>
      <c r="BB103" s="130" t="n">
        <v>0</v>
      </c>
      <c r="BC103" s="130" t="n">
        <v>-36000</v>
      </c>
      <c r="BD103" s="130" t="n">
        <v>0</v>
      </c>
      <c r="BE103" s="130" t="n">
        <v>-30000</v>
      </c>
      <c r="BF103" s="130" t="n">
        <v>0</v>
      </c>
      <c r="BG103" s="130" t="n">
        <v>-30000</v>
      </c>
      <c r="BH103" s="130" t="n">
        <v>0</v>
      </c>
      <c r="BI103" s="130" t="n">
        <v>-36000</v>
      </c>
      <c r="BJ103" s="130" t="n">
        <v>0</v>
      </c>
      <c r="BK103" s="130" t="n">
        <v>-18000</v>
      </c>
      <c r="BL103" s="130" t="n">
        <v>0</v>
      </c>
      <c r="BM103" s="130" t="n">
        <v>0</v>
      </c>
      <c r="BN103" s="130" t="n">
        <v>0</v>
      </c>
      <c r="BO103" s="130" t="n">
        <v>-36000</v>
      </c>
      <c r="BP103" s="130" t="n">
        <v>0</v>
      </c>
      <c r="BQ103" s="130" t="n">
        <v>-30000</v>
      </c>
      <c r="BR103" s="130" t="n">
        <v>0</v>
      </c>
      <c r="BS103" s="130" t="n">
        <v>-30000</v>
      </c>
      <c r="BT103" s="130" t="n">
        <v>0</v>
      </c>
      <c r="BU103" s="130" t="n">
        <v>-36000</v>
      </c>
      <c r="BV103" s="130" t="n">
        <v>0</v>
      </c>
      <c r="BW103" s="130" t="n">
        <v>-18000</v>
      </c>
      <c r="BX103" s="130" t="n">
        <v>0</v>
      </c>
      <c r="BY103" s="130" t="n">
        <v>0</v>
      </c>
      <c r="BZ103" s="130" t="n">
        <v>0</v>
      </c>
      <c r="CA103" s="130" t="n">
        <v>0</v>
      </c>
      <c r="CB103" s="130" t="n">
        <v>0</v>
      </c>
      <c r="CC103" s="130" t="n">
        <v>0</v>
      </c>
      <c r="CD103" s="130" t="n">
        <v>0</v>
      </c>
      <c r="CE103" s="130" t="n">
        <v>0</v>
      </c>
      <c r="CF103" s="130" t="n">
        <v>0</v>
      </c>
      <c r="CG103" s="130" t="n">
        <v>0</v>
      </c>
      <c r="CH103" s="130" t="n">
        <v>0</v>
      </c>
    </row>
    <row r="104" ht="15" customHeight="1" s="201">
      <c r="A104" s="131" t="inlineStr">
        <is>
          <t>FY2027: $60K | FY2028: $90K | FY2029: $150K | FY2030: $150K | FY2031: $150K | FY2032: $150K | Total: $750K</t>
        </is>
      </c>
    </row>
    <row r="106" ht="15" customHeight="1" s="201">
      <c r="A106" s="128" t="inlineStr">
        <is>
          <t>BD PIPELINE PHASE 2 (Scenario I Extension)</t>
        </is>
      </c>
    </row>
    <row r="107" ht="15" customHeight="1" s="201">
      <c r="A107" t="inlineStr">
        <is>
          <t>BD Phase 2 Billing</t>
        </is>
      </c>
      <c r="C107">
        <f>IF(AND(Projects!$G$30="Yes",1&gt;=Projects!$C$30,1&lt;Projects!$C$30+Projects!$D$30),Projects!$B$30*INDEX(Curves!$B$4:$AO$4,1,1-Projects!$C$30+1),0)+IF(AND(Projects!$G$31="Yes",1&gt;=Projects!$C$31,1&lt;Projects!$C$31+Projects!$D$31),Projects!$B$31*INDEX(Curves!$B$4:$AO$4,1,1-Projects!$C$31+1),0)+IF(AND(Projects!$G$32="Yes",1&gt;=Projects!$C$32,1&lt;Projects!$C$32+Projects!$D$32),Projects!$B$32*INDEX(Curves!$B$4:$AO$4,1,1-Projects!$C$32+1),0)+IF(AND(Projects!$G$33="Yes",1&gt;=Projects!$C$33,1&lt;Projects!$C$33+Projects!$D$33),Projects!$B$33*INDEX(Curves!$B$4:$AO$4,1,1-Projects!$C$33+1),0)+IF(AND(Projects!$G$34="Yes",1&gt;=Projects!$C$34,1&lt;Projects!$C$34+Projects!$D$34),Projects!$B$34*INDEX(Curves!$B$4:$AO$4,1,1-Projects!$C$34+1),0)+IF(AND(Projects!$G$35="Yes",1&gt;=Projects!$C$35,1&lt;Projects!$C$35+Projects!$D$35),Projects!$B$35*INDEX(Curves!$B$4:$AO$4,1,1-Projects!$C$35+1),0)+IF(AND(Projects!$G$36="Yes",1&gt;=Projects!$C$36,1&lt;Projects!$C$36+Projects!$D$36),Projects!$B$36*INDEX(Curves!$B$4:$AO$4,1,1-Projects!$C$36+1),0)+IF(AND(Projects!$G$37="Yes",1&gt;=Projects!$C$37,1&lt;Projects!$C$37+Projects!$D$37),Projects!$B$37*INDEX(Curves!$B$4:$AO$4,1,1-Projects!$C$37+1),0)+IF(AND(Projects!$G$38="Yes",1&gt;=Projects!$C$38,1&lt;Projects!$C$38+Projects!$D$38),Projects!$B$38*INDEX(Curves!$B$4:$AO$4,1,1-Projects!$C$38+1),0)+IF(AND(Projects!$G$39="Yes",1&gt;=Projects!$C$39,1&lt;Projects!$C$39+Projects!$D$39),Projects!$B$39*INDEX(Curves!$B$4:$AO$4,1,1-Projects!$C$39+1),0)+IF(AND(Projects!$G$40="Yes",1&gt;=Projects!$C$40,1&lt;Projects!$C$40+Projects!$D$40),Projects!$B$40*INDEX(Curves!$B$4:$AO$4,1,1-Projects!$C$40+1),0)+IF(AND(Projects!$G$41="Yes",1&gt;=Projects!$C$41,1&lt;Projects!$C$41+Projects!$D$41),Projects!$B$41*INDEX(Curves!$B$4:$AO$4,1,1-Projects!$C$41+1),0)+IF(AND(Projects!$G$42="Yes",1&gt;=Projects!$C$42,1&lt;Projects!$C$42+Projects!$D$42),Projects!$B$42*INDEX(Curves!$B$4:$AO$4,1,1-Projects!$C$42+1),0)+IF(AND(Projects!$G$43="Yes",1&gt;=Projects!$C$43,1&lt;Projects!$C$43+Projects!$D$43),Projects!$B$43*INDEX(Curves!$B$4:$AO$4,1,1-Projects!$C$43+1),0)+IF(AND(Projects!$G$44="Yes",1&gt;=Projects!$C$44,1&lt;Projects!$C$44+Projects!$D$44),Projects!$B$44*INDEX(Curves!$B$4:$AO$4,1,1-Projects!$C$44+1),0)+IF(AND(Projects!$G$45="Yes",1&gt;=Projects!$C$45,1&lt;Projects!$C$45+Projects!$D$45),Projects!$B$45*INDEX(Curves!$B$4:$AO$4,1,1-Projects!$C$45+1),0)+IF(AND(Projects!$G$46="Yes",1&gt;=Projects!$C$46,1&lt;Projects!$C$46+Projects!$D$46),Projects!$B$46*INDEX(Curves!$B$4:$AO$4,1,1-Projects!$C$46+1),0)</f>
        <v/>
      </c>
      <c r="D107">
        <f>IF(AND(Projects!$G$30="Yes",2&gt;=Projects!$C$30,2&lt;Projects!$C$30+Projects!$D$30),Projects!$B$30*INDEX(Curves!$B$4:$AO$4,1,2-Projects!$C$30+1),0)+IF(AND(Projects!$G$31="Yes",2&gt;=Projects!$C$31,2&lt;Projects!$C$31+Projects!$D$31),Projects!$B$31*INDEX(Curves!$B$4:$AO$4,1,2-Projects!$C$31+1),0)+IF(AND(Projects!$G$32="Yes",2&gt;=Projects!$C$32,2&lt;Projects!$C$32+Projects!$D$32),Projects!$B$32*INDEX(Curves!$B$4:$AO$4,1,2-Projects!$C$32+1),0)+IF(AND(Projects!$G$33="Yes",2&gt;=Projects!$C$33,2&lt;Projects!$C$33+Projects!$D$33),Projects!$B$33*INDEX(Curves!$B$4:$AO$4,1,2-Projects!$C$33+1),0)+IF(AND(Projects!$G$34="Yes",2&gt;=Projects!$C$34,2&lt;Projects!$C$34+Projects!$D$34),Projects!$B$34*INDEX(Curves!$B$4:$AO$4,1,2-Projects!$C$34+1),0)+IF(AND(Projects!$G$35="Yes",2&gt;=Projects!$C$35,2&lt;Projects!$C$35+Projects!$D$35),Projects!$B$35*INDEX(Curves!$B$4:$AO$4,1,2-Projects!$C$35+1),0)+IF(AND(Projects!$G$36="Yes",2&gt;=Projects!$C$36,2&lt;Projects!$C$36+Projects!$D$36),Projects!$B$36*INDEX(Curves!$B$4:$AO$4,1,2-Projects!$C$36+1),0)+IF(AND(Projects!$G$37="Yes",2&gt;=Projects!$C$37,2&lt;Projects!$C$37+Projects!$D$37),Projects!$B$37*INDEX(Curves!$B$4:$AO$4,1,2-Projects!$C$37+1),0)+IF(AND(Projects!$G$38="Yes",2&gt;=Projects!$C$38,2&lt;Projects!$C$38+Projects!$D$38),Projects!$B$38*INDEX(Curves!$B$4:$AO$4,1,2-Projects!$C$38+1),0)+IF(AND(Projects!$G$39="Yes",2&gt;=Projects!$C$39,2&lt;Projects!$C$39+Projects!$D$39),Projects!$B$39*INDEX(Curves!$B$4:$AO$4,1,2-Projects!$C$39+1),0)+IF(AND(Projects!$G$40="Yes",2&gt;=Projects!$C$40,2&lt;Projects!$C$40+Projects!$D$40),Projects!$B$40*INDEX(Curves!$B$4:$AO$4,1,2-Projects!$C$40+1),0)+IF(AND(Projects!$G$41="Yes",2&gt;=Projects!$C$41,2&lt;Projects!$C$41+Projects!$D$41),Projects!$B$41*INDEX(Curves!$B$4:$AO$4,1,2-Projects!$C$41+1),0)+IF(AND(Projects!$G$42="Yes",2&gt;=Projects!$C$42,2&lt;Projects!$C$42+Projects!$D$42),Projects!$B$42*INDEX(Curves!$B$4:$AO$4,1,2-Projects!$C$42+1),0)+IF(AND(Projects!$G$43="Yes",2&gt;=Projects!$C$43,2&lt;Projects!$C$43+Projects!$D$43),Projects!$B$43*INDEX(Curves!$B$4:$AO$4,1,2-Projects!$C$43+1),0)+IF(AND(Projects!$G$44="Yes",2&gt;=Projects!$C$44,2&lt;Projects!$C$44+Projects!$D$44),Projects!$B$44*INDEX(Curves!$B$4:$AO$4,1,2-Projects!$C$44+1),0)+IF(AND(Projects!$G$45="Yes",2&gt;=Projects!$C$45,2&lt;Projects!$C$45+Projects!$D$45),Projects!$B$45*INDEX(Curves!$B$4:$AO$4,1,2-Projects!$C$45+1),0)+IF(AND(Projects!$G$46="Yes",2&gt;=Projects!$C$46,2&lt;Projects!$C$46+Projects!$D$46),Projects!$B$46*INDEX(Curves!$B$4:$AO$4,1,2-Projects!$C$46+1),0)</f>
        <v/>
      </c>
      <c r="E107">
        <f>IF(AND(Projects!$G$30="Yes",3&gt;=Projects!$C$30,3&lt;Projects!$C$30+Projects!$D$30),Projects!$B$30*INDEX(Curves!$B$4:$AO$4,1,3-Projects!$C$30+1),0)+IF(AND(Projects!$G$31="Yes",3&gt;=Projects!$C$31,3&lt;Projects!$C$31+Projects!$D$31),Projects!$B$31*INDEX(Curves!$B$4:$AO$4,1,3-Projects!$C$31+1),0)+IF(AND(Projects!$G$32="Yes",3&gt;=Projects!$C$32,3&lt;Projects!$C$32+Projects!$D$32),Projects!$B$32*INDEX(Curves!$B$4:$AO$4,1,3-Projects!$C$32+1),0)+IF(AND(Projects!$G$33="Yes",3&gt;=Projects!$C$33,3&lt;Projects!$C$33+Projects!$D$33),Projects!$B$33*INDEX(Curves!$B$4:$AO$4,1,3-Projects!$C$33+1),0)+IF(AND(Projects!$G$34="Yes",3&gt;=Projects!$C$34,3&lt;Projects!$C$34+Projects!$D$34),Projects!$B$34*INDEX(Curves!$B$4:$AO$4,1,3-Projects!$C$34+1),0)+IF(AND(Projects!$G$35="Yes",3&gt;=Projects!$C$35,3&lt;Projects!$C$35+Projects!$D$35),Projects!$B$35*INDEX(Curves!$B$4:$AO$4,1,3-Projects!$C$35+1),0)+IF(AND(Projects!$G$36="Yes",3&gt;=Projects!$C$36,3&lt;Projects!$C$36+Projects!$D$36),Projects!$B$36*INDEX(Curves!$B$4:$AO$4,1,3-Projects!$C$36+1),0)+IF(AND(Projects!$G$37="Yes",3&gt;=Projects!$C$37,3&lt;Projects!$C$37+Projects!$D$37),Projects!$B$37*INDEX(Curves!$B$4:$AO$4,1,3-Projects!$C$37+1),0)+IF(AND(Projects!$G$38="Yes",3&gt;=Projects!$C$38,3&lt;Projects!$C$38+Projects!$D$38),Projects!$B$38*INDEX(Curves!$B$4:$AO$4,1,3-Projects!$C$38+1),0)+IF(AND(Projects!$G$39="Yes",3&gt;=Projects!$C$39,3&lt;Projects!$C$39+Projects!$D$39),Projects!$B$39*INDEX(Curves!$B$4:$AO$4,1,3-Projects!$C$39+1),0)+IF(AND(Projects!$G$40="Yes",3&gt;=Projects!$C$40,3&lt;Projects!$C$40+Projects!$D$40),Projects!$B$40*INDEX(Curves!$B$4:$AO$4,1,3-Projects!$C$40+1),0)+IF(AND(Projects!$G$41="Yes",3&gt;=Projects!$C$41,3&lt;Projects!$C$41+Projects!$D$41),Projects!$B$41*INDEX(Curves!$B$4:$AO$4,1,3-Projects!$C$41+1),0)+IF(AND(Projects!$G$42="Yes",3&gt;=Projects!$C$42,3&lt;Projects!$C$42+Projects!$D$42),Projects!$B$42*INDEX(Curves!$B$4:$AO$4,1,3-Projects!$C$42+1),0)+IF(AND(Projects!$G$43="Yes",3&gt;=Projects!$C$43,3&lt;Projects!$C$43+Projects!$D$43),Projects!$B$43*INDEX(Curves!$B$4:$AO$4,1,3-Projects!$C$43+1),0)+IF(AND(Projects!$G$44="Yes",3&gt;=Projects!$C$44,3&lt;Projects!$C$44+Projects!$D$44),Projects!$B$44*INDEX(Curves!$B$4:$AO$4,1,3-Projects!$C$44+1),0)+IF(AND(Projects!$G$45="Yes",3&gt;=Projects!$C$45,3&lt;Projects!$C$45+Projects!$D$45),Projects!$B$45*INDEX(Curves!$B$4:$AO$4,1,3-Projects!$C$45+1),0)+IF(AND(Projects!$G$46="Yes",3&gt;=Projects!$C$46,3&lt;Projects!$C$46+Projects!$D$46),Projects!$B$46*INDEX(Curves!$B$4:$AO$4,1,3-Projects!$C$46+1),0)</f>
        <v/>
      </c>
      <c r="F107">
        <f>IF(AND(Projects!$G$30="Yes",4&gt;=Projects!$C$30,4&lt;Projects!$C$30+Projects!$D$30),Projects!$B$30*INDEX(Curves!$B$4:$AO$4,1,4-Projects!$C$30+1),0)+IF(AND(Projects!$G$31="Yes",4&gt;=Projects!$C$31,4&lt;Projects!$C$31+Projects!$D$31),Projects!$B$31*INDEX(Curves!$B$4:$AO$4,1,4-Projects!$C$31+1),0)+IF(AND(Projects!$G$32="Yes",4&gt;=Projects!$C$32,4&lt;Projects!$C$32+Projects!$D$32),Projects!$B$32*INDEX(Curves!$B$4:$AO$4,1,4-Projects!$C$32+1),0)+IF(AND(Projects!$G$33="Yes",4&gt;=Projects!$C$33,4&lt;Projects!$C$33+Projects!$D$33),Projects!$B$33*INDEX(Curves!$B$4:$AO$4,1,4-Projects!$C$33+1),0)+IF(AND(Projects!$G$34="Yes",4&gt;=Projects!$C$34,4&lt;Projects!$C$34+Projects!$D$34),Projects!$B$34*INDEX(Curves!$B$4:$AO$4,1,4-Projects!$C$34+1),0)+IF(AND(Projects!$G$35="Yes",4&gt;=Projects!$C$35,4&lt;Projects!$C$35+Projects!$D$35),Projects!$B$35*INDEX(Curves!$B$4:$AO$4,1,4-Projects!$C$35+1),0)+IF(AND(Projects!$G$36="Yes",4&gt;=Projects!$C$36,4&lt;Projects!$C$36+Projects!$D$36),Projects!$B$36*INDEX(Curves!$B$4:$AO$4,1,4-Projects!$C$36+1),0)+IF(AND(Projects!$G$37="Yes",4&gt;=Projects!$C$37,4&lt;Projects!$C$37+Projects!$D$37),Projects!$B$37*INDEX(Curves!$B$4:$AO$4,1,4-Projects!$C$37+1),0)+IF(AND(Projects!$G$38="Yes",4&gt;=Projects!$C$38,4&lt;Projects!$C$38+Projects!$D$38),Projects!$B$38*INDEX(Curves!$B$4:$AO$4,1,4-Projects!$C$38+1),0)+IF(AND(Projects!$G$39="Yes",4&gt;=Projects!$C$39,4&lt;Projects!$C$39+Projects!$D$39),Projects!$B$39*INDEX(Curves!$B$4:$AO$4,1,4-Projects!$C$39+1),0)+IF(AND(Projects!$G$40="Yes",4&gt;=Projects!$C$40,4&lt;Projects!$C$40+Projects!$D$40),Projects!$B$40*INDEX(Curves!$B$4:$AO$4,1,4-Projects!$C$40+1),0)+IF(AND(Projects!$G$41="Yes",4&gt;=Projects!$C$41,4&lt;Projects!$C$41+Projects!$D$41),Projects!$B$41*INDEX(Curves!$B$4:$AO$4,1,4-Projects!$C$41+1),0)+IF(AND(Projects!$G$42="Yes",4&gt;=Projects!$C$42,4&lt;Projects!$C$42+Projects!$D$42),Projects!$B$42*INDEX(Curves!$B$4:$AO$4,1,4-Projects!$C$42+1),0)+IF(AND(Projects!$G$43="Yes",4&gt;=Projects!$C$43,4&lt;Projects!$C$43+Projects!$D$43),Projects!$B$43*INDEX(Curves!$B$4:$AO$4,1,4-Projects!$C$43+1),0)+IF(AND(Projects!$G$44="Yes",4&gt;=Projects!$C$44,4&lt;Projects!$C$44+Projects!$D$44),Projects!$B$44*INDEX(Curves!$B$4:$AO$4,1,4-Projects!$C$44+1),0)+IF(AND(Projects!$G$45="Yes",4&gt;=Projects!$C$45,4&lt;Projects!$C$45+Projects!$D$45),Projects!$B$45*INDEX(Curves!$B$4:$AO$4,1,4-Projects!$C$45+1),0)+IF(AND(Projects!$G$46="Yes",4&gt;=Projects!$C$46,4&lt;Projects!$C$46+Projects!$D$46),Projects!$B$46*INDEX(Curves!$B$4:$AO$4,1,4-Projects!$C$46+1),0)</f>
        <v/>
      </c>
      <c r="G107">
        <f>IF(AND(Projects!$G$30="Yes",5&gt;=Projects!$C$30,5&lt;Projects!$C$30+Projects!$D$30),Projects!$B$30*INDEX(Curves!$B$4:$AO$4,1,5-Projects!$C$30+1),0)+IF(AND(Projects!$G$31="Yes",5&gt;=Projects!$C$31,5&lt;Projects!$C$31+Projects!$D$31),Projects!$B$31*INDEX(Curves!$B$4:$AO$4,1,5-Projects!$C$31+1),0)+IF(AND(Projects!$G$32="Yes",5&gt;=Projects!$C$32,5&lt;Projects!$C$32+Projects!$D$32),Projects!$B$32*INDEX(Curves!$B$4:$AO$4,1,5-Projects!$C$32+1),0)+IF(AND(Projects!$G$33="Yes",5&gt;=Projects!$C$33,5&lt;Projects!$C$33+Projects!$D$33),Projects!$B$33*INDEX(Curves!$B$4:$AO$4,1,5-Projects!$C$33+1),0)+IF(AND(Projects!$G$34="Yes",5&gt;=Projects!$C$34,5&lt;Projects!$C$34+Projects!$D$34),Projects!$B$34*INDEX(Curves!$B$4:$AO$4,1,5-Projects!$C$34+1),0)+IF(AND(Projects!$G$35="Yes",5&gt;=Projects!$C$35,5&lt;Projects!$C$35+Projects!$D$35),Projects!$B$35*INDEX(Curves!$B$4:$AO$4,1,5-Projects!$C$35+1),0)+IF(AND(Projects!$G$36="Yes",5&gt;=Projects!$C$36,5&lt;Projects!$C$36+Projects!$D$36),Projects!$B$36*INDEX(Curves!$B$4:$AO$4,1,5-Projects!$C$36+1),0)+IF(AND(Projects!$G$37="Yes",5&gt;=Projects!$C$37,5&lt;Projects!$C$37+Projects!$D$37),Projects!$B$37*INDEX(Curves!$B$4:$AO$4,1,5-Projects!$C$37+1),0)+IF(AND(Projects!$G$38="Yes",5&gt;=Projects!$C$38,5&lt;Projects!$C$38+Projects!$D$38),Projects!$B$38*INDEX(Curves!$B$4:$AO$4,1,5-Projects!$C$38+1),0)+IF(AND(Projects!$G$39="Yes",5&gt;=Projects!$C$39,5&lt;Projects!$C$39+Projects!$D$39),Projects!$B$39*INDEX(Curves!$B$4:$AO$4,1,5-Projects!$C$39+1),0)+IF(AND(Projects!$G$40="Yes",5&gt;=Projects!$C$40,5&lt;Projects!$C$40+Projects!$D$40),Projects!$B$40*INDEX(Curves!$B$4:$AO$4,1,5-Projects!$C$40+1),0)+IF(AND(Projects!$G$41="Yes",5&gt;=Projects!$C$41,5&lt;Projects!$C$41+Projects!$D$41),Projects!$B$41*INDEX(Curves!$B$4:$AO$4,1,5-Projects!$C$41+1),0)+IF(AND(Projects!$G$42="Yes",5&gt;=Projects!$C$42,5&lt;Projects!$C$42+Projects!$D$42),Projects!$B$42*INDEX(Curves!$B$4:$AO$4,1,5-Projects!$C$42+1),0)+IF(AND(Projects!$G$43="Yes",5&gt;=Projects!$C$43,5&lt;Projects!$C$43+Projects!$D$43),Projects!$B$43*INDEX(Curves!$B$4:$AO$4,1,5-Projects!$C$43+1),0)+IF(AND(Projects!$G$44="Yes",5&gt;=Projects!$C$44,5&lt;Projects!$C$44+Projects!$D$44),Projects!$B$44*INDEX(Curves!$B$4:$AO$4,1,5-Projects!$C$44+1),0)+IF(AND(Projects!$G$45="Yes",5&gt;=Projects!$C$45,5&lt;Projects!$C$45+Projects!$D$45),Projects!$B$45*INDEX(Curves!$B$4:$AO$4,1,5-Projects!$C$45+1),0)+IF(AND(Projects!$G$46="Yes",5&gt;=Projects!$C$46,5&lt;Projects!$C$46+Projects!$D$46),Projects!$B$46*INDEX(Curves!$B$4:$AO$4,1,5-Projects!$C$46+1),0)</f>
        <v/>
      </c>
      <c r="H107">
        <f>IF(AND(Projects!$G$30="Yes",6&gt;=Projects!$C$30,6&lt;Projects!$C$30+Projects!$D$30),Projects!$B$30*INDEX(Curves!$B$4:$AO$4,1,6-Projects!$C$30+1),0)+IF(AND(Projects!$G$31="Yes",6&gt;=Projects!$C$31,6&lt;Projects!$C$31+Projects!$D$31),Projects!$B$31*INDEX(Curves!$B$4:$AO$4,1,6-Projects!$C$31+1),0)+IF(AND(Projects!$G$32="Yes",6&gt;=Projects!$C$32,6&lt;Projects!$C$32+Projects!$D$32),Projects!$B$32*INDEX(Curves!$B$4:$AO$4,1,6-Projects!$C$32+1),0)+IF(AND(Projects!$G$33="Yes",6&gt;=Projects!$C$33,6&lt;Projects!$C$33+Projects!$D$33),Projects!$B$33*INDEX(Curves!$B$4:$AO$4,1,6-Projects!$C$33+1),0)+IF(AND(Projects!$G$34="Yes",6&gt;=Projects!$C$34,6&lt;Projects!$C$34+Projects!$D$34),Projects!$B$34*INDEX(Curves!$B$4:$AO$4,1,6-Projects!$C$34+1),0)+IF(AND(Projects!$G$35="Yes",6&gt;=Projects!$C$35,6&lt;Projects!$C$35+Projects!$D$35),Projects!$B$35*INDEX(Curves!$B$4:$AO$4,1,6-Projects!$C$35+1),0)+IF(AND(Projects!$G$36="Yes",6&gt;=Projects!$C$36,6&lt;Projects!$C$36+Projects!$D$36),Projects!$B$36*INDEX(Curves!$B$4:$AO$4,1,6-Projects!$C$36+1),0)+IF(AND(Projects!$G$37="Yes",6&gt;=Projects!$C$37,6&lt;Projects!$C$37+Projects!$D$37),Projects!$B$37*INDEX(Curves!$B$4:$AO$4,1,6-Projects!$C$37+1),0)+IF(AND(Projects!$G$38="Yes",6&gt;=Projects!$C$38,6&lt;Projects!$C$38+Projects!$D$38),Projects!$B$38*INDEX(Curves!$B$4:$AO$4,1,6-Projects!$C$38+1),0)+IF(AND(Projects!$G$39="Yes",6&gt;=Projects!$C$39,6&lt;Projects!$C$39+Projects!$D$39),Projects!$B$39*INDEX(Curves!$B$4:$AO$4,1,6-Projects!$C$39+1),0)+IF(AND(Projects!$G$40="Yes",6&gt;=Projects!$C$40,6&lt;Projects!$C$40+Projects!$D$40),Projects!$B$40*INDEX(Curves!$B$4:$AO$4,1,6-Projects!$C$40+1),0)+IF(AND(Projects!$G$41="Yes",6&gt;=Projects!$C$41,6&lt;Projects!$C$41+Projects!$D$41),Projects!$B$41*INDEX(Curves!$B$4:$AO$4,1,6-Projects!$C$41+1),0)+IF(AND(Projects!$G$42="Yes",6&gt;=Projects!$C$42,6&lt;Projects!$C$42+Projects!$D$42),Projects!$B$42*INDEX(Curves!$B$4:$AO$4,1,6-Projects!$C$42+1),0)+IF(AND(Projects!$G$43="Yes",6&gt;=Projects!$C$43,6&lt;Projects!$C$43+Projects!$D$43),Projects!$B$43*INDEX(Curves!$B$4:$AO$4,1,6-Projects!$C$43+1),0)+IF(AND(Projects!$G$44="Yes",6&gt;=Projects!$C$44,6&lt;Projects!$C$44+Projects!$D$44),Projects!$B$44*INDEX(Curves!$B$4:$AO$4,1,6-Projects!$C$44+1),0)+IF(AND(Projects!$G$45="Yes",6&gt;=Projects!$C$45,6&lt;Projects!$C$45+Projects!$D$45),Projects!$B$45*INDEX(Curves!$B$4:$AO$4,1,6-Projects!$C$45+1),0)+IF(AND(Projects!$G$46="Yes",6&gt;=Projects!$C$46,6&lt;Projects!$C$46+Projects!$D$46),Projects!$B$46*INDEX(Curves!$B$4:$AO$4,1,6-Projects!$C$46+1),0)</f>
        <v/>
      </c>
      <c r="I107">
        <f>IF(AND(Projects!$G$30="Yes",7&gt;=Projects!$C$30,7&lt;Projects!$C$30+Projects!$D$30),Projects!$B$30*INDEX(Curves!$B$4:$AO$4,1,7-Projects!$C$30+1),0)+IF(AND(Projects!$G$31="Yes",7&gt;=Projects!$C$31,7&lt;Projects!$C$31+Projects!$D$31),Projects!$B$31*INDEX(Curves!$B$4:$AO$4,1,7-Projects!$C$31+1),0)+IF(AND(Projects!$G$32="Yes",7&gt;=Projects!$C$32,7&lt;Projects!$C$32+Projects!$D$32),Projects!$B$32*INDEX(Curves!$B$4:$AO$4,1,7-Projects!$C$32+1),0)+IF(AND(Projects!$G$33="Yes",7&gt;=Projects!$C$33,7&lt;Projects!$C$33+Projects!$D$33),Projects!$B$33*INDEX(Curves!$B$4:$AO$4,1,7-Projects!$C$33+1),0)+IF(AND(Projects!$G$34="Yes",7&gt;=Projects!$C$34,7&lt;Projects!$C$34+Projects!$D$34),Projects!$B$34*INDEX(Curves!$B$4:$AO$4,1,7-Projects!$C$34+1),0)+IF(AND(Projects!$G$35="Yes",7&gt;=Projects!$C$35,7&lt;Projects!$C$35+Projects!$D$35),Projects!$B$35*INDEX(Curves!$B$4:$AO$4,1,7-Projects!$C$35+1),0)+IF(AND(Projects!$G$36="Yes",7&gt;=Projects!$C$36,7&lt;Projects!$C$36+Projects!$D$36),Projects!$B$36*INDEX(Curves!$B$4:$AO$4,1,7-Projects!$C$36+1),0)+IF(AND(Projects!$G$37="Yes",7&gt;=Projects!$C$37,7&lt;Projects!$C$37+Projects!$D$37),Projects!$B$37*INDEX(Curves!$B$4:$AO$4,1,7-Projects!$C$37+1),0)+IF(AND(Projects!$G$38="Yes",7&gt;=Projects!$C$38,7&lt;Projects!$C$38+Projects!$D$38),Projects!$B$38*INDEX(Curves!$B$4:$AO$4,1,7-Projects!$C$38+1),0)+IF(AND(Projects!$G$39="Yes",7&gt;=Projects!$C$39,7&lt;Projects!$C$39+Projects!$D$39),Projects!$B$39*INDEX(Curves!$B$4:$AO$4,1,7-Projects!$C$39+1),0)+IF(AND(Projects!$G$40="Yes",7&gt;=Projects!$C$40,7&lt;Projects!$C$40+Projects!$D$40),Projects!$B$40*INDEX(Curves!$B$4:$AO$4,1,7-Projects!$C$40+1),0)+IF(AND(Projects!$G$41="Yes",7&gt;=Projects!$C$41,7&lt;Projects!$C$41+Projects!$D$41),Projects!$B$41*INDEX(Curves!$B$4:$AO$4,1,7-Projects!$C$41+1),0)+IF(AND(Projects!$G$42="Yes",7&gt;=Projects!$C$42,7&lt;Projects!$C$42+Projects!$D$42),Projects!$B$42*INDEX(Curves!$B$4:$AO$4,1,7-Projects!$C$42+1),0)+IF(AND(Projects!$G$43="Yes",7&gt;=Projects!$C$43,7&lt;Projects!$C$43+Projects!$D$43),Projects!$B$43*INDEX(Curves!$B$4:$AO$4,1,7-Projects!$C$43+1),0)+IF(AND(Projects!$G$44="Yes",7&gt;=Projects!$C$44,7&lt;Projects!$C$44+Projects!$D$44),Projects!$B$44*INDEX(Curves!$B$4:$AO$4,1,7-Projects!$C$44+1),0)+IF(AND(Projects!$G$45="Yes",7&gt;=Projects!$C$45,7&lt;Projects!$C$45+Projects!$D$45),Projects!$B$45*INDEX(Curves!$B$4:$AO$4,1,7-Projects!$C$45+1),0)+IF(AND(Projects!$G$46="Yes",7&gt;=Projects!$C$46,7&lt;Projects!$C$46+Projects!$D$46),Projects!$B$46*INDEX(Curves!$B$4:$AO$4,1,7-Projects!$C$46+1),0)</f>
        <v/>
      </c>
      <c r="J107">
        <f>IF(AND(Projects!$G$30="Yes",8&gt;=Projects!$C$30,8&lt;Projects!$C$30+Projects!$D$30),Projects!$B$30*INDEX(Curves!$B$4:$AO$4,1,8-Projects!$C$30+1),0)+IF(AND(Projects!$G$31="Yes",8&gt;=Projects!$C$31,8&lt;Projects!$C$31+Projects!$D$31),Projects!$B$31*INDEX(Curves!$B$4:$AO$4,1,8-Projects!$C$31+1),0)+IF(AND(Projects!$G$32="Yes",8&gt;=Projects!$C$32,8&lt;Projects!$C$32+Projects!$D$32),Projects!$B$32*INDEX(Curves!$B$4:$AO$4,1,8-Projects!$C$32+1),0)+IF(AND(Projects!$G$33="Yes",8&gt;=Projects!$C$33,8&lt;Projects!$C$33+Projects!$D$33),Projects!$B$33*INDEX(Curves!$B$4:$AO$4,1,8-Projects!$C$33+1),0)+IF(AND(Projects!$G$34="Yes",8&gt;=Projects!$C$34,8&lt;Projects!$C$34+Projects!$D$34),Projects!$B$34*INDEX(Curves!$B$4:$AO$4,1,8-Projects!$C$34+1),0)+IF(AND(Projects!$G$35="Yes",8&gt;=Projects!$C$35,8&lt;Projects!$C$35+Projects!$D$35),Projects!$B$35*INDEX(Curves!$B$4:$AO$4,1,8-Projects!$C$35+1),0)+IF(AND(Projects!$G$36="Yes",8&gt;=Projects!$C$36,8&lt;Projects!$C$36+Projects!$D$36),Projects!$B$36*INDEX(Curves!$B$4:$AO$4,1,8-Projects!$C$36+1),0)+IF(AND(Projects!$G$37="Yes",8&gt;=Projects!$C$37,8&lt;Projects!$C$37+Projects!$D$37),Projects!$B$37*INDEX(Curves!$B$4:$AO$4,1,8-Projects!$C$37+1),0)+IF(AND(Projects!$G$38="Yes",8&gt;=Projects!$C$38,8&lt;Projects!$C$38+Projects!$D$38),Projects!$B$38*INDEX(Curves!$B$4:$AO$4,1,8-Projects!$C$38+1),0)+IF(AND(Projects!$G$39="Yes",8&gt;=Projects!$C$39,8&lt;Projects!$C$39+Projects!$D$39),Projects!$B$39*INDEX(Curves!$B$4:$AO$4,1,8-Projects!$C$39+1),0)+IF(AND(Projects!$G$40="Yes",8&gt;=Projects!$C$40,8&lt;Projects!$C$40+Projects!$D$40),Projects!$B$40*INDEX(Curves!$B$4:$AO$4,1,8-Projects!$C$40+1),0)+IF(AND(Projects!$G$41="Yes",8&gt;=Projects!$C$41,8&lt;Projects!$C$41+Projects!$D$41),Projects!$B$41*INDEX(Curves!$B$4:$AO$4,1,8-Projects!$C$41+1),0)+IF(AND(Projects!$G$42="Yes",8&gt;=Projects!$C$42,8&lt;Projects!$C$42+Projects!$D$42),Projects!$B$42*INDEX(Curves!$B$4:$AO$4,1,8-Projects!$C$42+1),0)+IF(AND(Projects!$G$43="Yes",8&gt;=Projects!$C$43,8&lt;Projects!$C$43+Projects!$D$43),Projects!$B$43*INDEX(Curves!$B$4:$AO$4,1,8-Projects!$C$43+1),0)+IF(AND(Projects!$G$44="Yes",8&gt;=Projects!$C$44,8&lt;Projects!$C$44+Projects!$D$44),Projects!$B$44*INDEX(Curves!$B$4:$AO$4,1,8-Projects!$C$44+1),0)+IF(AND(Projects!$G$45="Yes",8&gt;=Projects!$C$45,8&lt;Projects!$C$45+Projects!$D$45),Projects!$B$45*INDEX(Curves!$B$4:$AO$4,1,8-Projects!$C$45+1),0)+IF(AND(Projects!$G$46="Yes",8&gt;=Projects!$C$46,8&lt;Projects!$C$46+Projects!$D$46),Projects!$B$46*INDEX(Curves!$B$4:$AO$4,1,8-Projects!$C$46+1),0)</f>
        <v/>
      </c>
      <c r="K107">
        <f>IF(AND(Projects!$G$30="Yes",9&gt;=Projects!$C$30,9&lt;Projects!$C$30+Projects!$D$30),Projects!$B$30*INDEX(Curves!$B$4:$AO$4,1,9-Projects!$C$30+1),0)+IF(AND(Projects!$G$31="Yes",9&gt;=Projects!$C$31,9&lt;Projects!$C$31+Projects!$D$31),Projects!$B$31*INDEX(Curves!$B$4:$AO$4,1,9-Projects!$C$31+1),0)+IF(AND(Projects!$G$32="Yes",9&gt;=Projects!$C$32,9&lt;Projects!$C$32+Projects!$D$32),Projects!$B$32*INDEX(Curves!$B$4:$AO$4,1,9-Projects!$C$32+1),0)+IF(AND(Projects!$G$33="Yes",9&gt;=Projects!$C$33,9&lt;Projects!$C$33+Projects!$D$33),Projects!$B$33*INDEX(Curves!$B$4:$AO$4,1,9-Projects!$C$33+1),0)+IF(AND(Projects!$G$34="Yes",9&gt;=Projects!$C$34,9&lt;Projects!$C$34+Projects!$D$34),Projects!$B$34*INDEX(Curves!$B$4:$AO$4,1,9-Projects!$C$34+1),0)+IF(AND(Projects!$G$35="Yes",9&gt;=Projects!$C$35,9&lt;Projects!$C$35+Projects!$D$35),Projects!$B$35*INDEX(Curves!$B$4:$AO$4,1,9-Projects!$C$35+1),0)+IF(AND(Projects!$G$36="Yes",9&gt;=Projects!$C$36,9&lt;Projects!$C$36+Projects!$D$36),Projects!$B$36*INDEX(Curves!$B$4:$AO$4,1,9-Projects!$C$36+1),0)+IF(AND(Projects!$G$37="Yes",9&gt;=Projects!$C$37,9&lt;Projects!$C$37+Projects!$D$37),Projects!$B$37*INDEX(Curves!$B$4:$AO$4,1,9-Projects!$C$37+1),0)+IF(AND(Projects!$G$38="Yes",9&gt;=Projects!$C$38,9&lt;Projects!$C$38+Projects!$D$38),Projects!$B$38*INDEX(Curves!$B$4:$AO$4,1,9-Projects!$C$38+1),0)+IF(AND(Projects!$G$39="Yes",9&gt;=Projects!$C$39,9&lt;Projects!$C$39+Projects!$D$39),Projects!$B$39*INDEX(Curves!$B$4:$AO$4,1,9-Projects!$C$39+1),0)+IF(AND(Projects!$G$40="Yes",9&gt;=Projects!$C$40,9&lt;Projects!$C$40+Projects!$D$40),Projects!$B$40*INDEX(Curves!$B$4:$AO$4,1,9-Projects!$C$40+1),0)+IF(AND(Projects!$G$41="Yes",9&gt;=Projects!$C$41,9&lt;Projects!$C$41+Projects!$D$41),Projects!$B$41*INDEX(Curves!$B$4:$AO$4,1,9-Projects!$C$41+1),0)+IF(AND(Projects!$G$42="Yes",9&gt;=Projects!$C$42,9&lt;Projects!$C$42+Projects!$D$42),Projects!$B$42*INDEX(Curves!$B$4:$AO$4,1,9-Projects!$C$42+1),0)+IF(AND(Projects!$G$43="Yes",9&gt;=Projects!$C$43,9&lt;Projects!$C$43+Projects!$D$43),Projects!$B$43*INDEX(Curves!$B$4:$AO$4,1,9-Projects!$C$43+1),0)+IF(AND(Projects!$G$44="Yes",9&gt;=Projects!$C$44,9&lt;Projects!$C$44+Projects!$D$44),Projects!$B$44*INDEX(Curves!$B$4:$AO$4,1,9-Projects!$C$44+1),0)+IF(AND(Projects!$G$45="Yes",9&gt;=Projects!$C$45,9&lt;Projects!$C$45+Projects!$D$45),Projects!$B$45*INDEX(Curves!$B$4:$AO$4,1,9-Projects!$C$45+1),0)+IF(AND(Projects!$G$46="Yes",9&gt;=Projects!$C$46,9&lt;Projects!$C$46+Projects!$D$46),Projects!$B$46*INDEX(Curves!$B$4:$AO$4,1,9-Projects!$C$46+1),0)</f>
        <v/>
      </c>
      <c r="L107">
        <f>IF(AND(Projects!$G$30="Yes",10&gt;=Projects!$C$30,10&lt;Projects!$C$30+Projects!$D$30),Projects!$B$30*INDEX(Curves!$B$4:$AO$4,1,10-Projects!$C$30+1),0)+IF(AND(Projects!$G$31="Yes",10&gt;=Projects!$C$31,10&lt;Projects!$C$31+Projects!$D$31),Projects!$B$31*INDEX(Curves!$B$4:$AO$4,1,10-Projects!$C$31+1),0)+IF(AND(Projects!$G$32="Yes",10&gt;=Projects!$C$32,10&lt;Projects!$C$32+Projects!$D$32),Projects!$B$32*INDEX(Curves!$B$4:$AO$4,1,10-Projects!$C$32+1),0)+IF(AND(Projects!$G$33="Yes",10&gt;=Projects!$C$33,10&lt;Projects!$C$33+Projects!$D$33),Projects!$B$33*INDEX(Curves!$B$4:$AO$4,1,10-Projects!$C$33+1),0)+IF(AND(Projects!$G$34="Yes",10&gt;=Projects!$C$34,10&lt;Projects!$C$34+Projects!$D$34),Projects!$B$34*INDEX(Curves!$B$4:$AO$4,1,10-Projects!$C$34+1),0)+IF(AND(Projects!$G$35="Yes",10&gt;=Projects!$C$35,10&lt;Projects!$C$35+Projects!$D$35),Projects!$B$35*INDEX(Curves!$B$4:$AO$4,1,10-Projects!$C$35+1),0)+IF(AND(Projects!$G$36="Yes",10&gt;=Projects!$C$36,10&lt;Projects!$C$36+Projects!$D$36),Projects!$B$36*INDEX(Curves!$B$4:$AO$4,1,10-Projects!$C$36+1),0)+IF(AND(Projects!$G$37="Yes",10&gt;=Projects!$C$37,10&lt;Projects!$C$37+Projects!$D$37),Projects!$B$37*INDEX(Curves!$B$4:$AO$4,1,10-Projects!$C$37+1),0)+IF(AND(Projects!$G$38="Yes",10&gt;=Projects!$C$38,10&lt;Projects!$C$38+Projects!$D$38),Projects!$B$38*INDEX(Curves!$B$4:$AO$4,1,10-Projects!$C$38+1),0)+IF(AND(Projects!$G$39="Yes",10&gt;=Projects!$C$39,10&lt;Projects!$C$39+Projects!$D$39),Projects!$B$39*INDEX(Curves!$B$4:$AO$4,1,10-Projects!$C$39+1),0)+IF(AND(Projects!$G$40="Yes",10&gt;=Projects!$C$40,10&lt;Projects!$C$40+Projects!$D$40),Projects!$B$40*INDEX(Curves!$B$4:$AO$4,1,10-Projects!$C$40+1),0)+IF(AND(Projects!$G$41="Yes",10&gt;=Projects!$C$41,10&lt;Projects!$C$41+Projects!$D$41),Projects!$B$41*INDEX(Curves!$B$4:$AO$4,1,10-Projects!$C$41+1),0)+IF(AND(Projects!$G$42="Yes",10&gt;=Projects!$C$42,10&lt;Projects!$C$42+Projects!$D$42),Projects!$B$42*INDEX(Curves!$B$4:$AO$4,1,10-Projects!$C$42+1),0)+IF(AND(Projects!$G$43="Yes",10&gt;=Projects!$C$43,10&lt;Projects!$C$43+Projects!$D$43),Projects!$B$43*INDEX(Curves!$B$4:$AO$4,1,10-Projects!$C$43+1),0)+IF(AND(Projects!$G$44="Yes",10&gt;=Projects!$C$44,10&lt;Projects!$C$44+Projects!$D$44),Projects!$B$44*INDEX(Curves!$B$4:$AO$4,1,10-Projects!$C$44+1),0)+IF(AND(Projects!$G$45="Yes",10&gt;=Projects!$C$45,10&lt;Projects!$C$45+Projects!$D$45),Projects!$B$45*INDEX(Curves!$B$4:$AO$4,1,10-Projects!$C$45+1),0)+IF(AND(Projects!$G$46="Yes",10&gt;=Projects!$C$46,10&lt;Projects!$C$46+Projects!$D$46),Projects!$B$46*INDEX(Curves!$B$4:$AO$4,1,10-Projects!$C$46+1),0)</f>
        <v/>
      </c>
      <c r="M107">
        <f>IF(AND(Projects!$G$30="Yes",11&gt;=Projects!$C$30,11&lt;Projects!$C$30+Projects!$D$30),Projects!$B$30*INDEX(Curves!$B$4:$AO$4,1,11-Projects!$C$30+1),0)+IF(AND(Projects!$G$31="Yes",11&gt;=Projects!$C$31,11&lt;Projects!$C$31+Projects!$D$31),Projects!$B$31*INDEX(Curves!$B$4:$AO$4,1,11-Projects!$C$31+1),0)+IF(AND(Projects!$G$32="Yes",11&gt;=Projects!$C$32,11&lt;Projects!$C$32+Projects!$D$32),Projects!$B$32*INDEX(Curves!$B$4:$AO$4,1,11-Projects!$C$32+1),0)+IF(AND(Projects!$G$33="Yes",11&gt;=Projects!$C$33,11&lt;Projects!$C$33+Projects!$D$33),Projects!$B$33*INDEX(Curves!$B$4:$AO$4,1,11-Projects!$C$33+1),0)+IF(AND(Projects!$G$34="Yes",11&gt;=Projects!$C$34,11&lt;Projects!$C$34+Projects!$D$34),Projects!$B$34*INDEX(Curves!$B$4:$AO$4,1,11-Projects!$C$34+1),0)+IF(AND(Projects!$G$35="Yes",11&gt;=Projects!$C$35,11&lt;Projects!$C$35+Projects!$D$35),Projects!$B$35*INDEX(Curves!$B$4:$AO$4,1,11-Projects!$C$35+1),0)+IF(AND(Projects!$G$36="Yes",11&gt;=Projects!$C$36,11&lt;Projects!$C$36+Projects!$D$36),Projects!$B$36*INDEX(Curves!$B$4:$AO$4,1,11-Projects!$C$36+1),0)+IF(AND(Projects!$G$37="Yes",11&gt;=Projects!$C$37,11&lt;Projects!$C$37+Projects!$D$37),Projects!$B$37*INDEX(Curves!$B$4:$AO$4,1,11-Projects!$C$37+1),0)+IF(AND(Projects!$G$38="Yes",11&gt;=Projects!$C$38,11&lt;Projects!$C$38+Projects!$D$38),Projects!$B$38*INDEX(Curves!$B$4:$AO$4,1,11-Projects!$C$38+1),0)+IF(AND(Projects!$G$39="Yes",11&gt;=Projects!$C$39,11&lt;Projects!$C$39+Projects!$D$39),Projects!$B$39*INDEX(Curves!$B$4:$AO$4,1,11-Projects!$C$39+1),0)+IF(AND(Projects!$G$40="Yes",11&gt;=Projects!$C$40,11&lt;Projects!$C$40+Projects!$D$40),Projects!$B$40*INDEX(Curves!$B$4:$AO$4,1,11-Projects!$C$40+1),0)+IF(AND(Projects!$G$41="Yes",11&gt;=Projects!$C$41,11&lt;Projects!$C$41+Projects!$D$41),Projects!$B$41*INDEX(Curves!$B$4:$AO$4,1,11-Projects!$C$41+1),0)+IF(AND(Projects!$G$42="Yes",11&gt;=Projects!$C$42,11&lt;Projects!$C$42+Projects!$D$42),Projects!$B$42*INDEX(Curves!$B$4:$AO$4,1,11-Projects!$C$42+1),0)+IF(AND(Projects!$G$43="Yes",11&gt;=Projects!$C$43,11&lt;Projects!$C$43+Projects!$D$43),Projects!$B$43*INDEX(Curves!$B$4:$AO$4,1,11-Projects!$C$43+1),0)+IF(AND(Projects!$G$44="Yes",11&gt;=Projects!$C$44,11&lt;Projects!$C$44+Projects!$D$44),Projects!$B$44*INDEX(Curves!$B$4:$AO$4,1,11-Projects!$C$44+1),0)+IF(AND(Projects!$G$45="Yes",11&gt;=Projects!$C$45,11&lt;Projects!$C$45+Projects!$D$45),Projects!$B$45*INDEX(Curves!$B$4:$AO$4,1,11-Projects!$C$45+1),0)+IF(AND(Projects!$G$46="Yes",11&gt;=Projects!$C$46,11&lt;Projects!$C$46+Projects!$D$46),Projects!$B$46*INDEX(Curves!$B$4:$AO$4,1,11-Projects!$C$46+1),0)</f>
        <v/>
      </c>
      <c r="N107">
        <f>IF(AND(Projects!$G$30="Yes",12&gt;=Projects!$C$30,12&lt;Projects!$C$30+Projects!$D$30),Projects!$B$30*INDEX(Curves!$B$4:$AO$4,1,12-Projects!$C$30+1),0)+IF(AND(Projects!$G$31="Yes",12&gt;=Projects!$C$31,12&lt;Projects!$C$31+Projects!$D$31),Projects!$B$31*INDEX(Curves!$B$4:$AO$4,1,12-Projects!$C$31+1),0)+IF(AND(Projects!$G$32="Yes",12&gt;=Projects!$C$32,12&lt;Projects!$C$32+Projects!$D$32),Projects!$B$32*INDEX(Curves!$B$4:$AO$4,1,12-Projects!$C$32+1),0)+IF(AND(Projects!$G$33="Yes",12&gt;=Projects!$C$33,12&lt;Projects!$C$33+Projects!$D$33),Projects!$B$33*INDEX(Curves!$B$4:$AO$4,1,12-Projects!$C$33+1),0)+IF(AND(Projects!$G$34="Yes",12&gt;=Projects!$C$34,12&lt;Projects!$C$34+Projects!$D$34),Projects!$B$34*INDEX(Curves!$B$4:$AO$4,1,12-Projects!$C$34+1),0)+IF(AND(Projects!$G$35="Yes",12&gt;=Projects!$C$35,12&lt;Projects!$C$35+Projects!$D$35),Projects!$B$35*INDEX(Curves!$B$4:$AO$4,1,12-Projects!$C$35+1),0)+IF(AND(Projects!$G$36="Yes",12&gt;=Projects!$C$36,12&lt;Projects!$C$36+Projects!$D$36),Projects!$B$36*INDEX(Curves!$B$4:$AO$4,1,12-Projects!$C$36+1),0)+IF(AND(Projects!$G$37="Yes",12&gt;=Projects!$C$37,12&lt;Projects!$C$37+Projects!$D$37),Projects!$B$37*INDEX(Curves!$B$4:$AO$4,1,12-Projects!$C$37+1),0)+IF(AND(Projects!$G$38="Yes",12&gt;=Projects!$C$38,12&lt;Projects!$C$38+Projects!$D$38),Projects!$B$38*INDEX(Curves!$B$4:$AO$4,1,12-Projects!$C$38+1),0)+IF(AND(Projects!$G$39="Yes",12&gt;=Projects!$C$39,12&lt;Projects!$C$39+Projects!$D$39),Projects!$B$39*INDEX(Curves!$B$4:$AO$4,1,12-Projects!$C$39+1),0)+IF(AND(Projects!$G$40="Yes",12&gt;=Projects!$C$40,12&lt;Projects!$C$40+Projects!$D$40),Projects!$B$40*INDEX(Curves!$B$4:$AO$4,1,12-Projects!$C$40+1),0)+IF(AND(Projects!$G$41="Yes",12&gt;=Projects!$C$41,12&lt;Projects!$C$41+Projects!$D$41),Projects!$B$41*INDEX(Curves!$B$4:$AO$4,1,12-Projects!$C$41+1),0)+IF(AND(Projects!$G$42="Yes",12&gt;=Projects!$C$42,12&lt;Projects!$C$42+Projects!$D$42),Projects!$B$42*INDEX(Curves!$B$4:$AO$4,1,12-Projects!$C$42+1),0)+IF(AND(Projects!$G$43="Yes",12&gt;=Projects!$C$43,12&lt;Projects!$C$43+Projects!$D$43),Projects!$B$43*INDEX(Curves!$B$4:$AO$4,1,12-Projects!$C$43+1),0)+IF(AND(Projects!$G$44="Yes",12&gt;=Projects!$C$44,12&lt;Projects!$C$44+Projects!$D$44),Projects!$B$44*INDEX(Curves!$B$4:$AO$4,1,12-Projects!$C$44+1),0)+IF(AND(Projects!$G$45="Yes",12&gt;=Projects!$C$45,12&lt;Projects!$C$45+Projects!$D$45),Projects!$B$45*INDEX(Curves!$B$4:$AO$4,1,12-Projects!$C$45+1),0)+IF(AND(Projects!$G$46="Yes",12&gt;=Projects!$C$46,12&lt;Projects!$C$46+Projects!$D$46),Projects!$B$46*INDEX(Curves!$B$4:$AO$4,1,12-Projects!$C$46+1),0)</f>
        <v/>
      </c>
      <c r="O107">
        <f>IF(AND(Projects!$G$30="Yes",13&gt;=Projects!$C$30,13&lt;Projects!$C$30+Projects!$D$30),Projects!$B$30*INDEX(Curves!$B$4:$AO$4,1,13-Projects!$C$30+1),0)+IF(AND(Projects!$G$31="Yes",13&gt;=Projects!$C$31,13&lt;Projects!$C$31+Projects!$D$31),Projects!$B$31*INDEX(Curves!$B$4:$AO$4,1,13-Projects!$C$31+1),0)+IF(AND(Projects!$G$32="Yes",13&gt;=Projects!$C$32,13&lt;Projects!$C$32+Projects!$D$32),Projects!$B$32*INDEX(Curves!$B$4:$AO$4,1,13-Projects!$C$32+1),0)+IF(AND(Projects!$G$33="Yes",13&gt;=Projects!$C$33,13&lt;Projects!$C$33+Projects!$D$33),Projects!$B$33*INDEX(Curves!$B$4:$AO$4,1,13-Projects!$C$33+1),0)+IF(AND(Projects!$G$34="Yes",13&gt;=Projects!$C$34,13&lt;Projects!$C$34+Projects!$D$34),Projects!$B$34*INDEX(Curves!$B$4:$AO$4,1,13-Projects!$C$34+1),0)+IF(AND(Projects!$G$35="Yes",13&gt;=Projects!$C$35,13&lt;Projects!$C$35+Projects!$D$35),Projects!$B$35*INDEX(Curves!$B$4:$AO$4,1,13-Projects!$C$35+1),0)+IF(AND(Projects!$G$36="Yes",13&gt;=Projects!$C$36,13&lt;Projects!$C$36+Projects!$D$36),Projects!$B$36*INDEX(Curves!$B$4:$AO$4,1,13-Projects!$C$36+1),0)+IF(AND(Projects!$G$37="Yes",13&gt;=Projects!$C$37,13&lt;Projects!$C$37+Projects!$D$37),Projects!$B$37*INDEX(Curves!$B$4:$AO$4,1,13-Projects!$C$37+1),0)+IF(AND(Projects!$G$38="Yes",13&gt;=Projects!$C$38,13&lt;Projects!$C$38+Projects!$D$38),Projects!$B$38*INDEX(Curves!$B$4:$AO$4,1,13-Projects!$C$38+1),0)+IF(AND(Projects!$G$39="Yes",13&gt;=Projects!$C$39,13&lt;Projects!$C$39+Projects!$D$39),Projects!$B$39*INDEX(Curves!$B$4:$AO$4,1,13-Projects!$C$39+1),0)+IF(AND(Projects!$G$40="Yes",13&gt;=Projects!$C$40,13&lt;Projects!$C$40+Projects!$D$40),Projects!$B$40*INDEX(Curves!$B$4:$AO$4,1,13-Projects!$C$40+1),0)+IF(AND(Projects!$G$41="Yes",13&gt;=Projects!$C$41,13&lt;Projects!$C$41+Projects!$D$41),Projects!$B$41*INDEX(Curves!$B$4:$AO$4,1,13-Projects!$C$41+1),0)+IF(AND(Projects!$G$42="Yes",13&gt;=Projects!$C$42,13&lt;Projects!$C$42+Projects!$D$42),Projects!$B$42*INDEX(Curves!$B$4:$AO$4,1,13-Projects!$C$42+1),0)+IF(AND(Projects!$G$43="Yes",13&gt;=Projects!$C$43,13&lt;Projects!$C$43+Projects!$D$43),Projects!$B$43*INDEX(Curves!$B$4:$AO$4,1,13-Projects!$C$43+1),0)+IF(AND(Projects!$G$44="Yes",13&gt;=Projects!$C$44,13&lt;Projects!$C$44+Projects!$D$44),Projects!$B$44*INDEX(Curves!$B$4:$AO$4,1,13-Projects!$C$44+1),0)+IF(AND(Projects!$G$45="Yes",13&gt;=Projects!$C$45,13&lt;Projects!$C$45+Projects!$D$45),Projects!$B$45*INDEX(Curves!$B$4:$AO$4,1,13-Projects!$C$45+1),0)+IF(AND(Projects!$G$46="Yes",13&gt;=Projects!$C$46,13&lt;Projects!$C$46+Projects!$D$46),Projects!$B$46*INDEX(Curves!$B$4:$AO$4,1,13-Projects!$C$46+1),0)</f>
        <v/>
      </c>
      <c r="P107">
        <f>IF(AND(Projects!$G$30="Yes",14&gt;=Projects!$C$30,14&lt;Projects!$C$30+Projects!$D$30),Projects!$B$30*INDEX(Curves!$B$4:$AO$4,1,14-Projects!$C$30+1),0)+IF(AND(Projects!$G$31="Yes",14&gt;=Projects!$C$31,14&lt;Projects!$C$31+Projects!$D$31),Projects!$B$31*INDEX(Curves!$B$4:$AO$4,1,14-Projects!$C$31+1),0)+IF(AND(Projects!$G$32="Yes",14&gt;=Projects!$C$32,14&lt;Projects!$C$32+Projects!$D$32),Projects!$B$32*INDEX(Curves!$B$4:$AO$4,1,14-Projects!$C$32+1),0)+IF(AND(Projects!$G$33="Yes",14&gt;=Projects!$C$33,14&lt;Projects!$C$33+Projects!$D$33),Projects!$B$33*INDEX(Curves!$B$4:$AO$4,1,14-Projects!$C$33+1),0)+IF(AND(Projects!$G$34="Yes",14&gt;=Projects!$C$34,14&lt;Projects!$C$34+Projects!$D$34),Projects!$B$34*INDEX(Curves!$B$4:$AO$4,1,14-Projects!$C$34+1),0)+IF(AND(Projects!$G$35="Yes",14&gt;=Projects!$C$35,14&lt;Projects!$C$35+Projects!$D$35),Projects!$B$35*INDEX(Curves!$B$4:$AO$4,1,14-Projects!$C$35+1),0)+IF(AND(Projects!$G$36="Yes",14&gt;=Projects!$C$36,14&lt;Projects!$C$36+Projects!$D$36),Projects!$B$36*INDEX(Curves!$B$4:$AO$4,1,14-Projects!$C$36+1),0)+IF(AND(Projects!$G$37="Yes",14&gt;=Projects!$C$37,14&lt;Projects!$C$37+Projects!$D$37),Projects!$B$37*INDEX(Curves!$B$4:$AO$4,1,14-Projects!$C$37+1),0)+IF(AND(Projects!$G$38="Yes",14&gt;=Projects!$C$38,14&lt;Projects!$C$38+Projects!$D$38),Projects!$B$38*INDEX(Curves!$B$4:$AO$4,1,14-Projects!$C$38+1),0)+IF(AND(Projects!$G$39="Yes",14&gt;=Projects!$C$39,14&lt;Projects!$C$39+Projects!$D$39),Projects!$B$39*INDEX(Curves!$B$4:$AO$4,1,14-Projects!$C$39+1),0)+IF(AND(Projects!$G$40="Yes",14&gt;=Projects!$C$40,14&lt;Projects!$C$40+Projects!$D$40),Projects!$B$40*INDEX(Curves!$B$4:$AO$4,1,14-Projects!$C$40+1),0)+IF(AND(Projects!$G$41="Yes",14&gt;=Projects!$C$41,14&lt;Projects!$C$41+Projects!$D$41),Projects!$B$41*INDEX(Curves!$B$4:$AO$4,1,14-Projects!$C$41+1),0)+IF(AND(Projects!$G$42="Yes",14&gt;=Projects!$C$42,14&lt;Projects!$C$42+Projects!$D$42),Projects!$B$42*INDEX(Curves!$B$4:$AO$4,1,14-Projects!$C$42+1),0)+IF(AND(Projects!$G$43="Yes",14&gt;=Projects!$C$43,14&lt;Projects!$C$43+Projects!$D$43),Projects!$B$43*INDEX(Curves!$B$4:$AO$4,1,14-Projects!$C$43+1),0)+IF(AND(Projects!$G$44="Yes",14&gt;=Projects!$C$44,14&lt;Projects!$C$44+Projects!$D$44),Projects!$B$44*INDEX(Curves!$B$4:$AO$4,1,14-Projects!$C$44+1),0)+IF(AND(Projects!$G$45="Yes",14&gt;=Projects!$C$45,14&lt;Projects!$C$45+Projects!$D$45),Projects!$B$45*INDEX(Curves!$B$4:$AO$4,1,14-Projects!$C$45+1),0)+IF(AND(Projects!$G$46="Yes",14&gt;=Projects!$C$46,14&lt;Projects!$C$46+Projects!$D$46),Projects!$B$46*INDEX(Curves!$B$4:$AO$4,1,14-Projects!$C$46+1),0)</f>
        <v/>
      </c>
      <c r="Q107">
        <f>IF(AND(Projects!$G$30="Yes",15&gt;=Projects!$C$30,15&lt;Projects!$C$30+Projects!$D$30),Projects!$B$30*INDEX(Curves!$B$4:$AO$4,1,15-Projects!$C$30+1),0)+IF(AND(Projects!$G$31="Yes",15&gt;=Projects!$C$31,15&lt;Projects!$C$31+Projects!$D$31),Projects!$B$31*INDEX(Curves!$B$4:$AO$4,1,15-Projects!$C$31+1),0)+IF(AND(Projects!$G$32="Yes",15&gt;=Projects!$C$32,15&lt;Projects!$C$32+Projects!$D$32),Projects!$B$32*INDEX(Curves!$B$4:$AO$4,1,15-Projects!$C$32+1),0)+IF(AND(Projects!$G$33="Yes",15&gt;=Projects!$C$33,15&lt;Projects!$C$33+Projects!$D$33),Projects!$B$33*INDEX(Curves!$B$4:$AO$4,1,15-Projects!$C$33+1),0)+IF(AND(Projects!$G$34="Yes",15&gt;=Projects!$C$34,15&lt;Projects!$C$34+Projects!$D$34),Projects!$B$34*INDEX(Curves!$B$4:$AO$4,1,15-Projects!$C$34+1),0)+IF(AND(Projects!$G$35="Yes",15&gt;=Projects!$C$35,15&lt;Projects!$C$35+Projects!$D$35),Projects!$B$35*INDEX(Curves!$B$4:$AO$4,1,15-Projects!$C$35+1),0)+IF(AND(Projects!$G$36="Yes",15&gt;=Projects!$C$36,15&lt;Projects!$C$36+Projects!$D$36),Projects!$B$36*INDEX(Curves!$B$4:$AO$4,1,15-Projects!$C$36+1),0)+IF(AND(Projects!$G$37="Yes",15&gt;=Projects!$C$37,15&lt;Projects!$C$37+Projects!$D$37),Projects!$B$37*INDEX(Curves!$B$4:$AO$4,1,15-Projects!$C$37+1),0)+IF(AND(Projects!$G$38="Yes",15&gt;=Projects!$C$38,15&lt;Projects!$C$38+Projects!$D$38),Projects!$B$38*INDEX(Curves!$B$4:$AO$4,1,15-Projects!$C$38+1),0)+IF(AND(Projects!$G$39="Yes",15&gt;=Projects!$C$39,15&lt;Projects!$C$39+Projects!$D$39),Projects!$B$39*INDEX(Curves!$B$4:$AO$4,1,15-Projects!$C$39+1),0)+IF(AND(Projects!$G$40="Yes",15&gt;=Projects!$C$40,15&lt;Projects!$C$40+Projects!$D$40),Projects!$B$40*INDEX(Curves!$B$4:$AO$4,1,15-Projects!$C$40+1),0)+IF(AND(Projects!$G$41="Yes",15&gt;=Projects!$C$41,15&lt;Projects!$C$41+Projects!$D$41),Projects!$B$41*INDEX(Curves!$B$4:$AO$4,1,15-Projects!$C$41+1),0)+IF(AND(Projects!$G$42="Yes",15&gt;=Projects!$C$42,15&lt;Projects!$C$42+Projects!$D$42),Projects!$B$42*INDEX(Curves!$B$4:$AO$4,1,15-Projects!$C$42+1),0)+IF(AND(Projects!$G$43="Yes",15&gt;=Projects!$C$43,15&lt;Projects!$C$43+Projects!$D$43),Projects!$B$43*INDEX(Curves!$B$4:$AO$4,1,15-Projects!$C$43+1),0)+IF(AND(Projects!$G$44="Yes",15&gt;=Projects!$C$44,15&lt;Projects!$C$44+Projects!$D$44),Projects!$B$44*INDEX(Curves!$B$4:$AO$4,1,15-Projects!$C$44+1),0)+IF(AND(Projects!$G$45="Yes",15&gt;=Projects!$C$45,15&lt;Projects!$C$45+Projects!$D$45),Projects!$B$45*INDEX(Curves!$B$4:$AO$4,1,15-Projects!$C$45+1),0)+IF(AND(Projects!$G$46="Yes",15&gt;=Projects!$C$46,15&lt;Projects!$C$46+Projects!$D$46),Projects!$B$46*INDEX(Curves!$B$4:$AO$4,1,15-Projects!$C$46+1),0)</f>
        <v/>
      </c>
      <c r="R107">
        <f>IF(AND(Projects!$G$30="Yes",16&gt;=Projects!$C$30,16&lt;Projects!$C$30+Projects!$D$30),Projects!$B$30*INDEX(Curves!$B$4:$AO$4,1,16-Projects!$C$30+1),0)+IF(AND(Projects!$G$31="Yes",16&gt;=Projects!$C$31,16&lt;Projects!$C$31+Projects!$D$31),Projects!$B$31*INDEX(Curves!$B$4:$AO$4,1,16-Projects!$C$31+1),0)+IF(AND(Projects!$G$32="Yes",16&gt;=Projects!$C$32,16&lt;Projects!$C$32+Projects!$D$32),Projects!$B$32*INDEX(Curves!$B$4:$AO$4,1,16-Projects!$C$32+1),0)+IF(AND(Projects!$G$33="Yes",16&gt;=Projects!$C$33,16&lt;Projects!$C$33+Projects!$D$33),Projects!$B$33*INDEX(Curves!$B$4:$AO$4,1,16-Projects!$C$33+1),0)+IF(AND(Projects!$G$34="Yes",16&gt;=Projects!$C$34,16&lt;Projects!$C$34+Projects!$D$34),Projects!$B$34*INDEX(Curves!$B$4:$AO$4,1,16-Projects!$C$34+1),0)+IF(AND(Projects!$G$35="Yes",16&gt;=Projects!$C$35,16&lt;Projects!$C$35+Projects!$D$35),Projects!$B$35*INDEX(Curves!$B$4:$AO$4,1,16-Projects!$C$35+1),0)+IF(AND(Projects!$G$36="Yes",16&gt;=Projects!$C$36,16&lt;Projects!$C$36+Projects!$D$36),Projects!$B$36*INDEX(Curves!$B$4:$AO$4,1,16-Projects!$C$36+1),0)+IF(AND(Projects!$G$37="Yes",16&gt;=Projects!$C$37,16&lt;Projects!$C$37+Projects!$D$37),Projects!$B$37*INDEX(Curves!$B$4:$AO$4,1,16-Projects!$C$37+1),0)+IF(AND(Projects!$G$38="Yes",16&gt;=Projects!$C$38,16&lt;Projects!$C$38+Projects!$D$38),Projects!$B$38*INDEX(Curves!$B$4:$AO$4,1,16-Projects!$C$38+1),0)+IF(AND(Projects!$G$39="Yes",16&gt;=Projects!$C$39,16&lt;Projects!$C$39+Projects!$D$39),Projects!$B$39*INDEX(Curves!$B$4:$AO$4,1,16-Projects!$C$39+1),0)+IF(AND(Projects!$G$40="Yes",16&gt;=Projects!$C$40,16&lt;Projects!$C$40+Projects!$D$40),Projects!$B$40*INDEX(Curves!$B$4:$AO$4,1,16-Projects!$C$40+1),0)+IF(AND(Projects!$G$41="Yes",16&gt;=Projects!$C$41,16&lt;Projects!$C$41+Projects!$D$41),Projects!$B$41*INDEX(Curves!$B$4:$AO$4,1,16-Projects!$C$41+1),0)+IF(AND(Projects!$G$42="Yes",16&gt;=Projects!$C$42,16&lt;Projects!$C$42+Projects!$D$42),Projects!$B$42*INDEX(Curves!$B$4:$AO$4,1,16-Projects!$C$42+1),0)+IF(AND(Projects!$G$43="Yes",16&gt;=Projects!$C$43,16&lt;Projects!$C$43+Projects!$D$43),Projects!$B$43*INDEX(Curves!$B$4:$AO$4,1,16-Projects!$C$43+1),0)+IF(AND(Projects!$G$44="Yes",16&gt;=Projects!$C$44,16&lt;Projects!$C$44+Projects!$D$44),Projects!$B$44*INDEX(Curves!$B$4:$AO$4,1,16-Projects!$C$44+1),0)+IF(AND(Projects!$G$45="Yes",16&gt;=Projects!$C$45,16&lt;Projects!$C$45+Projects!$D$45),Projects!$B$45*INDEX(Curves!$B$4:$AO$4,1,16-Projects!$C$45+1),0)+IF(AND(Projects!$G$46="Yes",16&gt;=Projects!$C$46,16&lt;Projects!$C$46+Projects!$D$46),Projects!$B$46*INDEX(Curves!$B$4:$AO$4,1,16-Projects!$C$46+1),0)</f>
        <v/>
      </c>
      <c r="S107">
        <f>IF(AND(Projects!$G$30="Yes",17&gt;=Projects!$C$30,17&lt;Projects!$C$30+Projects!$D$30),Projects!$B$30*INDEX(Curves!$B$4:$AO$4,1,17-Projects!$C$30+1),0)+IF(AND(Projects!$G$31="Yes",17&gt;=Projects!$C$31,17&lt;Projects!$C$31+Projects!$D$31),Projects!$B$31*INDEX(Curves!$B$4:$AO$4,1,17-Projects!$C$31+1),0)+IF(AND(Projects!$G$32="Yes",17&gt;=Projects!$C$32,17&lt;Projects!$C$32+Projects!$D$32),Projects!$B$32*INDEX(Curves!$B$4:$AO$4,1,17-Projects!$C$32+1),0)+IF(AND(Projects!$G$33="Yes",17&gt;=Projects!$C$33,17&lt;Projects!$C$33+Projects!$D$33),Projects!$B$33*INDEX(Curves!$B$4:$AO$4,1,17-Projects!$C$33+1),0)+IF(AND(Projects!$G$34="Yes",17&gt;=Projects!$C$34,17&lt;Projects!$C$34+Projects!$D$34),Projects!$B$34*INDEX(Curves!$B$4:$AO$4,1,17-Projects!$C$34+1),0)+IF(AND(Projects!$G$35="Yes",17&gt;=Projects!$C$35,17&lt;Projects!$C$35+Projects!$D$35),Projects!$B$35*INDEX(Curves!$B$4:$AO$4,1,17-Projects!$C$35+1),0)+IF(AND(Projects!$G$36="Yes",17&gt;=Projects!$C$36,17&lt;Projects!$C$36+Projects!$D$36),Projects!$B$36*INDEX(Curves!$B$4:$AO$4,1,17-Projects!$C$36+1),0)+IF(AND(Projects!$G$37="Yes",17&gt;=Projects!$C$37,17&lt;Projects!$C$37+Projects!$D$37),Projects!$B$37*INDEX(Curves!$B$4:$AO$4,1,17-Projects!$C$37+1),0)+IF(AND(Projects!$G$38="Yes",17&gt;=Projects!$C$38,17&lt;Projects!$C$38+Projects!$D$38),Projects!$B$38*INDEX(Curves!$B$4:$AO$4,1,17-Projects!$C$38+1),0)+IF(AND(Projects!$G$39="Yes",17&gt;=Projects!$C$39,17&lt;Projects!$C$39+Projects!$D$39),Projects!$B$39*INDEX(Curves!$B$4:$AO$4,1,17-Projects!$C$39+1),0)+IF(AND(Projects!$G$40="Yes",17&gt;=Projects!$C$40,17&lt;Projects!$C$40+Projects!$D$40),Projects!$B$40*INDEX(Curves!$B$4:$AO$4,1,17-Projects!$C$40+1),0)+IF(AND(Projects!$G$41="Yes",17&gt;=Projects!$C$41,17&lt;Projects!$C$41+Projects!$D$41),Projects!$B$41*INDEX(Curves!$B$4:$AO$4,1,17-Projects!$C$41+1),0)+IF(AND(Projects!$G$42="Yes",17&gt;=Projects!$C$42,17&lt;Projects!$C$42+Projects!$D$42),Projects!$B$42*INDEX(Curves!$B$4:$AO$4,1,17-Projects!$C$42+1),0)+IF(AND(Projects!$G$43="Yes",17&gt;=Projects!$C$43,17&lt;Projects!$C$43+Projects!$D$43),Projects!$B$43*INDEX(Curves!$B$4:$AO$4,1,17-Projects!$C$43+1),0)+IF(AND(Projects!$G$44="Yes",17&gt;=Projects!$C$44,17&lt;Projects!$C$44+Projects!$D$44),Projects!$B$44*INDEX(Curves!$B$4:$AO$4,1,17-Projects!$C$44+1),0)+IF(AND(Projects!$G$45="Yes",17&gt;=Projects!$C$45,17&lt;Projects!$C$45+Projects!$D$45),Projects!$B$45*INDEX(Curves!$B$4:$AO$4,1,17-Projects!$C$45+1),0)+IF(AND(Projects!$G$46="Yes",17&gt;=Projects!$C$46,17&lt;Projects!$C$46+Projects!$D$46),Projects!$B$46*INDEX(Curves!$B$4:$AO$4,1,17-Projects!$C$46+1),0)</f>
        <v/>
      </c>
      <c r="T107">
        <f>IF(AND(Projects!$G$30="Yes",18&gt;=Projects!$C$30,18&lt;Projects!$C$30+Projects!$D$30),Projects!$B$30*INDEX(Curves!$B$4:$AO$4,1,18-Projects!$C$30+1),0)+IF(AND(Projects!$G$31="Yes",18&gt;=Projects!$C$31,18&lt;Projects!$C$31+Projects!$D$31),Projects!$B$31*INDEX(Curves!$B$4:$AO$4,1,18-Projects!$C$31+1),0)+IF(AND(Projects!$G$32="Yes",18&gt;=Projects!$C$32,18&lt;Projects!$C$32+Projects!$D$32),Projects!$B$32*INDEX(Curves!$B$4:$AO$4,1,18-Projects!$C$32+1),0)+IF(AND(Projects!$G$33="Yes",18&gt;=Projects!$C$33,18&lt;Projects!$C$33+Projects!$D$33),Projects!$B$33*INDEX(Curves!$B$4:$AO$4,1,18-Projects!$C$33+1),0)+IF(AND(Projects!$G$34="Yes",18&gt;=Projects!$C$34,18&lt;Projects!$C$34+Projects!$D$34),Projects!$B$34*INDEX(Curves!$B$4:$AO$4,1,18-Projects!$C$34+1),0)+IF(AND(Projects!$G$35="Yes",18&gt;=Projects!$C$35,18&lt;Projects!$C$35+Projects!$D$35),Projects!$B$35*INDEX(Curves!$B$4:$AO$4,1,18-Projects!$C$35+1),0)+IF(AND(Projects!$G$36="Yes",18&gt;=Projects!$C$36,18&lt;Projects!$C$36+Projects!$D$36),Projects!$B$36*INDEX(Curves!$B$4:$AO$4,1,18-Projects!$C$36+1),0)+IF(AND(Projects!$G$37="Yes",18&gt;=Projects!$C$37,18&lt;Projects!$C$37+Projects!$D$37),Projects!$B$37*INDEX(Curves!$B$4:$AO$4,1,18-Projects!$C$37+1),0)+IF(AND(Projects!$G$38="Yes",18&gt;=Projects!$C$38,18&lt;Projects!$C$38+Projects!$D$38),Projects!$B$38*INDEX(Curves!$B$4:$AO$4,1,18-Projects!$C$38+1),0)+IF(AND(Projects!$G$39="Yes",18&gt;=Projects!$C$39,18&lt;Projects!$C$39+Projects!$D$39),Projects!$B$39*INDEX(Curves!$B$4:$AO$4,1,18-Projects!$C$39+1),0)+IF(AND(Projects!$G$40="Yes",18&gt;=Projects!$C$40,18&lt;Projects!$C$40+Projects!$D$40),Projects!$B$40*INDEX(Curves!$B$4:$AO$4,1,18-Projects!$C$40+1),0)+IF(AND(Projects!$G$41="Yes",18&gt;=Projects!$C$41,18&lt;Projects!$C$41+Projects!$D$41),Projects!$B$41*INDEX(Curves!$B$4:$AO$4,1,18-Projects!$C$41+1),0)+IF(AND(Projects!$G$42="Yes",18&gt;=Projects!$C$42,18&lt;Projects!$C$42+Projects!$D$42),Projects!$B$42*INDEX(Curves!$B$4:$AO$4,1,18-Projects!$C$42+1),0)+IF(AND(Projects!$G$43="Yes",18&gt;=Projects!$C$43,18&lt;Projects!$C$43+Projects!$D$43),Projects!$B$43*INDEX(Curves!$B$4:$AO$4,1,18-Projects!$C$43+1),0)+IF(AND(Projects!$G$44="Yes",18&gt;=Projects!$C$44,18&lt;Projects!$C$44+Projects!$D$44),Projects!$B$44*INDEX(Curves!$B$4:$AO$4,1,18-Projects!$C$44+1),0)+IF(AND(Projects!$G$45="Yes",18&gt;=Projects!$C$45,18&lt;Projects!$C$45+Projects!$D$45),Projects!$B$45*INDEX(Curves!$B$4:$AO$4,1,18-Projects!$C$45+1),0)+IF(AND(Projects!$G$46="Yes",18&gt;=Projects!$C$46,18&lt;Projects!$C$46+Projects!$D$46),Projects!$B$46*INDEX(Curves!$B$4:$AO$4,1,18-Projects!$C$46+1),0)</f>
        <v/>
      </c>
      <c r="U107">
        <f>IF(AND(Projects!$G$30="Yes",19&gt;=Projects!$C$30,19&lt;Projects!$C$30+Projects!$D$30),Projects!$B$30*INDEX(Curves!$B$4:$AO$4,1,19-Projects!$C$30+1),0)+IF(AND(Projects!$G$31="Yes",19&gt;=Projects!$C$31,19&lt;Projects!$C$31+Projects!$D$31),Projects!$B$31*INDEX(Curves!$B$4:$AO$4,1,19-Projects!$C$31+1),0)+IF(AND(Projects!$G$32="Yes",19&gt;=Projects!$C$32,19&lt;Projects!$C$32+Projects!$D$32),Projects!$B$32*INDEX(Curves!$B$4:$AO$4,1,19-Projects!$C$32+1),0)+IF(AND(Projects!$G$33="Yes",19&gt;=Projects!$C$33,19&lt;Projects!$C$33+Projects!$D$33),Projects!$B$33*INDEX(Curves!$B$4:$AO$4,1,19-Projects!$C$33+1),0)+IF(AND(Projects!$G$34="Yes",19&gt;=Projects!$C$34,19&lt;Projects!$C$34+Projects!$D$34),Projects!$B$34*INDEX(Curves!$B$4:$AO$4,1,19-Projects!$C$34+1),0)+IF(AND(Projects!$G$35="Yes",19&gt;=Projects!$C$35,19&lt;Projects!$C$35+Projects!$D$35),Projects!$B$35*INDEX(Curves!$B$4:$AO$4,1,19-Projects!$C$35+1),0)+IF(AND(Projects!$G$36="Yes",19&gt;=Projects!$C$36,19&lt;Projects!$C$36+Projects!$D$36),Projects!$B$36*INDEX(Curves!$B$4:$AO$4,1,19-Projects!$C$36+1),0)+IF(AND(Projects!$G$37="Yes",19&gt;=Projects!$C$37,19&lt;Projects!$C$37+Projects!$D$37),Projects!$B$37*INDEX(Curves!$B$4:$AO$4,1,19-Projects!$C$37+1),0)+IF(AND(Projects!$G$38="Yes",19&gt;=Projects!$C$38,19&lt;Projects!$C$38+Projects!$D$38),Projects!$B$38*INDEX(Curves!$B$4:$AO$4,1,19-Projects!$C$38+1),0)+IF(AND(Projects!$G$39="Yes",19&gt;=Projects!$C$39,19&lt;Projects!$C$39+Projects!$D$39),Projects!$B$39*INDEX(Curves!$B$4:$AO$4,1,19-Projects!$C$39+1),0)+IF(AND(Projects!$G$40="Yes",19&gt;=Projects!$C$40,19&lt;Projects!$C$40+Projects!$D$40),Projects!$B$40*INDEX(Curves!$B$4:$AO$4,1,19-Projects!$C$40+1),0)+IF(AND(Projects!$G$41="Yes",19&gt;=Projects!$C$41,19&lt;Projects!$C$41+Projects!$D$41),Projects!$B$41*INDEX(Curves!$B$4:$AO$4,1,19-Projects!$C$41+1),0)+IF(AND(Projects!$G$42="Yes",19&gt;=Projects!$C$42,19&lt;Projects!$C$42+Projects!$D$42),Projects!$B$42*INDEX(Curves!$B$4:$AO$4,1,19-Projects!$C$42+1),0)+IF(AND(Projects!$G$43="Yes",19&gt;=Projects!$C$43,19&lt;Projects!$C$43+Projects!$D$43),Projects!$B$43*INDEX(Curves!$B$4:$AO$4,1,19-Projects!$C$43+1),0)+IF(AND(Projects!$G$44="Yes",19&gt;=Projects!$C$44,19&lt;Projects!$C$44+Projects!$D$44),Projects!$B$44*INDEX(Curves!$B$4:$AO$4,1,19-Projects!$C$44+1),0)+IF(AND(Projects!$G$45="Yes",19&gt;=Projects!$C$45,19&lt;Projects!$C$45+Projects!$D$45),Projects!$B$45*INDEX(Curves!$B$4:$AO$4,1,19-Projects!$C$45+1),0)+IF(AND(Projects!$G$46="Yes",19&gt;=Projects!$C$46,19&lt;Projects!$C$46+Projects!$D$46),Projects!$B$46*INDEX(Curves!$B$4:$AO$4,1,19-Projects!$C$46+1),0)</f>
        <v/>
      </c>
      <c r="V107">
        <f>IF(AND(Projects!$G$30="Yes",20&gt;=Projects!$C$30,20&lt;Projects!$C$30+Projects!$D$30),Projects!$B$30*INDEX(Curves!$B$4:$AO$4,1,20-Projects!$C$30+1),0)+IF(AND(Projects!$G$31="Yes",20&gt;=Projects!$C$31,20&lt;Projects!$C$31+Projects!$D$31),Projects!$B$31*INDEX(Curves!$B$4:$AO$4,1,20-Projects!$C$31+1),0)+IF(AND(Projects!$G$32="Yes",20&gt;=Projects!$C$32,20&lt;Projects!$C$32+Projects!$D$32),Projects!$B$32*INDEX(Curves!$B$4:$AO$4,1,20-Projects!$C$32+1),0)+IF(AND(Projects!$G$33="Yes",20&gt;=Projects!$C$33,20&lt;Projects!$C$33+Projects!$D$33),Projects!$B$33*INDEX(Curves!$B$4:$AO$4,1,20-Projects!$C$33+1),0)+IF(AND(Projects!$G$34="Yes",20&gt;=Projects!$C$34,20&lt;Projects!$C$34+Projects!$D$34),Projects!$B$34*INDEX(Curves!$B$4:$AO$4,1,20-Projects!$C$34+1),0)+IF(AND(Projects!$G$35="Yes",20&gt;=Projects!$C$35,20&lt;Projects!$C$35+Projects!$D$35),Projects!$B$35*INDEX(Curves!$B$4:$AO$4,1,20-Projects!$C$35+1),0)+IF(AND(Projects!$G$36="Yes",20&gt;=Projects!$C$36,20&lt;Projects!$C$36+Projects!$D$36),Projects!$B$36*INDEX(Curves!$B$4:$AO$4,1,20-Projects!$C$36+1),0)+IF(AND(Projects!$G$37="Yes",20&gt;=Projects!$C$37,20&lt;Projects!$C$37+Projects!$D$37),Projects!$B$37*INDEX(Curves!$B$4:$AO$4,1,20-Projects!$C$37+1),0)+IF(AND(Projects!$G$38="Yes",20&gt;=Projects!$C$38,20&lt;Projects!$C$38+Projects!$D$38),Projects!$B$38*INDEX(Curves!$B$4:$AO$4,1,20-Projects!$C$38+1),0)+IF(AND(Projects!$G$39="Yes",20&gt;=Projects!$C$39,20&lt;Projects!$C$39+Projects!$D$39),Projects!$B$39*INDEX(Curves!$B$4:$AO$4,1,20-Projects!$C$39+1),0)+IF(AND(Projects!$G$40="Yes",20&gt;=Projects!$C$40,20&lt;Projects!$C$40+Projects!$D$40),Projects!$B$40*INDEX(Curves!$B$4:$AO$4,1,20-Projects!$C$40+1),0)+IF(AND(Projects!$G$41="Yes",20&gt;=Projects!$C$41,20&lt;Projects!$C$41+Projects!$D$41),Projects!$B$41*INDEX(Curves!$B$4:$AO$4,1,20-Projects!$C$41+1),0)+IF(AND(Projects!$G$42="Yes",20&gt;=Projects!$C$42,20&lt;Projects!$C$42+Projects!$D$42),Projects!$B$42*INDEX(Curves!$B$4:$AO$4,1,20-Projects!$C$42+1),0)+IF(AND(Projects!$G$43="Yes",20&gt;=Projects!$C$43,20&lt;Projects!$C$43+Projects!$D$43),Projects!$B$43*INDEX(Curves!$B$4:$AO$4,1,20-Projects!$C$43+1),0)+IF(AND(Projects!$G$44="Yes",20&gt;=Projects!$C$44,20&lt;Projects!$C$44+Projects!$D$44),Projects!$B$44*INDEX(Curves!$B$4:$AO$4,1,20-Projects!$C$44+1),0)+IF(AND(Projects!$G$45="Yes",20&gt;=Projects!$C$45,20&lt;Projects!$C$45+Projects!$D$45),Projects!$B$45*INDEX(Curves!$B$4:$AO$4,1,20-Projects!$C$45+1),0)+IF(AND(Projects!$G$46="Yes",20&gt;=Projects!$C$46,20&lt;Projects!$C$46+Projects!$D$46),Projects!$B$46*INDEX(Curves!$B$4:$AO$4,1,20-Projects!$C$46+1),0)</f>
        <v/>
      </c>
      <c r="W107">
        <f>IF(AND(Projects!$G$30="Yes",21&gt;=Projects!$C$30,21&lt;Projects!$C$30+Projects!$D$30),Projects!$B$30*INDEX(Curves!$B$4:$AO$4,1,21-Projects!$C$30+1),0)+IF(AND(Projects!$G$31="Yes",21&gt;=Projects!$C$31,21&lt;Projects!$C$31+Projects!$D$31),Projects!$B$31*INDEX(Curves!$B$4:$AO$4,1,21-Projects!$C$31+1),0)+IF(AND(Projects!$G$32="Yes",21&gt;=Projects!$C$32,21&lt;Projects!$C$32+Projects!$D$32),Projects!$B$32*INDEX(Curves!$B$4:$AO$4,1,21-Projects!$C$32+1),0)+IF(AND(Projects!$G$33="Yes",21&gt;=Projects!$C$33,21&lt;Projects!$C$33+Projects!$D$33),Projects!$B$33*INDEX(Curves!$B$4:$AO$4,1,21-Projects!$C$33+1),0)+IF(AND(Projects!$G$34="Yes",21&gt;=Projects!$C$34,21&lt;Projects!$C$34+Projects!$D$34),Projects!$B$34*INDEX(Curves!$B$4:$AO$4,1,21-Projects!$C$34+1),0)+IF(AND(Projects!$G$35="Yes",21&gt;=Projects!$C$35,21&lt;Projects!$C$35+Projects!$D$35),Projects!$B$35*INDEX(Curves!$B$4:$AO$4,1,21-Projects!$C$35+1),0)+IF(AND(Projects!$G$36="Yes",21&gt;=Projects!$C$36,21&lt;Projects!$C$36+Projects!$D$36),Projects!$B$36*INDEX(Curves!$B$4:$AO$4,1,21-Projects!$C$36+1),0)+IF(AND(Projects!$G$37="Yes",21&gt;=Projects!$C$37,21&lt;Projects!$C$37+Projects!$D$37),Projects!$B$37*INDEX(Curves!$B$4:$AO$4,1,21-Projects!$C$37+1),0)+IF(AND(Projects!$G$38="Yes",21&gt;=Projects!$C$38,21&lt;Projects!$C$38+Projects!$D$38),Projects!$B$38*INDEX(Curves!$B$4:$AO$4,1,21-Projects!$C$38+1),0)+IF(AND(Projects!$G$39="Yes",21&gt;=Projects!$C$39,21&lt;Projects!$C$39+Projects!$D$39),Projects!$B$39*INDEX(Curves!$B$4:$AO$4,1,21-Projects!$C$39+1),0)+IF(AND(Projects!$G$40="Yes",21&gt;=Projects!$C$40,21&lt;Projects!$C$40+Projects!$D$40),Projects!$B$40*INDEX(Curves!$B$4:$AO$4,1,21-Projects!$C$40+1),0)+IF(AND(Projects!$G$41="Yes",21&gt;=Projects!$C$41,21&lt;Projects!$C$41+Projects!$D$41),Projects!$B$41*INDEX(Curves!$B$4:$AO$4,1,21-Projects!$C$41+1),0)+IF(AND(Projects!$G$42="Yes",21&gt;=Projects!$C$42,21&lt;Projects!$C$42+Projects!$D$42),Projects!$B$42*INDEX(Curves!$B$4:$AO$4,1,21-Projects!$C$42+1),0)+IF(AND(Projects!$G$43="Yes",21&gt;=Projects!$C$43,21&lt;Projects!$C$43+Projects!$D$43),Projects!$B$43*INDEX(Curves!$B$4:$AO$4,1,21-Projects!$C$43+1),0)+IF(AND(Projects!$G$44="Yes",21&gt;=Projects!$C$44,21&lt;Projects!$C$44+Projects!$D$44),Projects!$B$44*INDEX(Curves!$B$4:$AO$4,1,21-Projects!$C$44+1),0)+IF(AND(Projects!$G$45="Yes",21&gt;=Projects!$C$45,21&lt;Projects!$C$45+Projects!$D$45),Projects!$B$45*INDEX(Curves!$B$4:$AO$4,1,21-Projects!$C$45+1),0)+IF(AND(Projects!$G$46="Yes",21&gt;=Projects!$C$46,21&lt;Projects!$C$46+Projects!$D$46),Projects!$B$46*INDEX(Curves!$B$4:$AO$4,1,21-Projects!$C$46+1),0)</f>
        <v/>
      </c>
      <c r="X107">
        <f>IF(AND(Projects!$G$30="Yes",22&gt;=Projects!$C$30,22&lt;Projects!$C$30+Projects!$D$30),Projects!$B$30*INDEX(Curves!$B$4:$AO$4,1,22-Projects!$C$30+1),0)+IF(AND(Projects!$G$31="Yes",22&gt;=Projects!$C$31,22&lt;Projects!$C$31+Projects!$D$31),Projects!$B$31*INDEX(Curves!$B$4:$AO$4,1,22-Projects!$C$31+1),0)+IF(AND(Projects!$G$32="Yes",22&gt;=Projects!$C$32,22&lt;Projects!$C$32+Projects!$D$32),Projects!$B$32*INDEX(Curves!$B$4:$AO$4,1,22-Projects!$C$32+1),0)+IF(AND(Projects!$G$33="Yes",22&gt;=Projects!$C$33,22&lt;Projects!$C$33+Projects!$D$33),Projects!$B$33*INDEX(Curves!$B$4:$AO$4,1,22-Projects!$C$33+1),0)+IF(AND(Projects!$G$34="Yes",22&gt;=Projects!$C$34,22&lt;Projects!$C$34+Projects!$D$34),Projects!$B$34*INDEX(Curves!$B$4:$AO$4,1,22-Projects!$C$34+1),0)+IF(AND(Projects!$G$35="Yes",22&gt;=Projects!$C$35,22&lt;Projects!$C$35+Projects!$D$35),Projects!$B$35*INDEX(Curves!$B$4:$AO$4,1,22-Projects!$C$35+1),0)+IF(AND(Projects!$G$36="Yes",22&gt;=Projects!$C$36,22&lt;Projects!$C$36+Projects!$D$36),Projects!$B$36*INDEX(Curves!$B$4:$AO$4,1,22-Projects!$C$36+1),0)+IF(AND(Projects!$G$37="Yes",22&gt;=Projects!$C$37,22&lt;Projects!$C$37+Projects!$D$37),Projects!$B$37*INDEX(Curves!$B$4:$AO$4,1,22-Projects!$C$37+1),0)+IF(AND(Projects!$G$38="Yes",22&gt;=Projects!$C$38,22&lt;Projects!$C$38+Projects!$D$38),Projects!$B$38*INDEX(Curves!$B$4:$AO$4,1,22-Projects!$C$38+1),0)+IF(AND(Projects!$G$39="Yes",22&gt;=Projects!$C$39,22&lt;Projects!$C$39+Projects!$D$39),Projects!$B$39*INDEX(Curves!$B$4:$AO$4,1,22-Projects!$C$39+1),0)+IF(AND(Projects!$G$40="Yes",22&gt;=Projects!$C$40,22&lt;Projects!$C$40+Projects!$D$40),Projects!$B$40*INDEX(Curves!$B$4:$AO$4,1,22-Projects!$C$40+1),0)+IF(AND(Projects!$G$41="Yes",22&gt;=Projects!$C$41,22&lt;Projects!$C$41+Projects!$D$41),Projects!$B$41*INDEX(Curves!$B$4:$AO$4,1,22-Projects!$C$41+1),0)+IF(AND(Projects!$G$42="Yes",22&gt;=Projects!$C$42,22&lt;Projects!$C$42+Projects!$D$42),Projects!$B$42*INDEX(Curves!$B$4:$AO$4,1,22-Projects!$C$42+1),0)+IF(AND(Projects!$G$43="Yes",22&gt;=Projects!$C$43,22&lt;Projects!$C$43+Projects!$D$43),Projects!$B$43*INDEX(Curves!$B$4:$AO$4,1,22-Projects!$C$43+1),0)+IF(AND(Projects!$G$44="Yes",22&gt;=Projects!$C$44,22&lt;Projects!$C$44+Projects!$D$44),Projects!$B$44*INDEX(Curves!$B$4:$AO$4,1,22-Projects!$C$44+1),0)+IF(AND(Projects!$G$45="Yes",22&gt;=Projects!$C$45,22&lt;Projects!$C$45+Projects!$D$45),Projects!$B$45*INDEX(Curves!$B$4:$AO$4,1,22-Projects!$C$45+1),0)+IF(AND(Projects!$G$46="Yes",22&gt;=Projects!$C$46,22&lt;Projects!$C$46+Projects!$D$46),Projects!$B$46*INDEX(Curves!$B$4:$AO$4,1,22-Projects!$C$46+1),0)</f>
        <v/>
      </c>
      <c r="Y107">
        <f>IF(AND(Projects!$G$30="Yes",23&gt;=Projects!$C$30,23&lt;Projects!$C$30+Projects!$D$30),Projects!$B$30*INDEX(Curves!$B$4:$AO$4,1,23-Projects!$C$30+1),0)+IF(AND(Projects!$G$31="Yes",23&gt;=Projects!$C$31,23&lt;Projects!$C$31+Projects!$D$31),Projects!$B$31*INDEX(Curves!$B$4:$AO$4,1,23-Projects!$C$31+1),0)+IF(AND(Projects!$G$32="Yes",23&gt;=Projects!$C$32,23&lt;Projects!$C$32+Projects!$D$32),Projects!$B$32*INDEX(Curves!$B$4:$AO$4,1,23-Projects!$C$32+1),0)+IF(AND(Projects!$G$33="Yes",23&gt;=Projects!$C$33,23&lt;Projects!$C$33+Projects!$D$33),Projects!$B$33*INDEX(Curves!$B$4:$AO$4,1,23-Projects!$C$33+1),0)+IF(AND(Projects!$G$34="Yes",23&gt;=Projects!$C$34,23&lt;Projects!$C$34+Projects!$D$34),Projects!$B$34*INDEX(Curves!$B$4:$AO$4,1,23-Projects!$C$34+1),0)+IF(AND(Projects!$G$35="Yes",23&gt;=Projects!$C$35,23&lt;Projects!$C$35+Projects!$D$35),Projects!$B$35*INDEX(Curves!$B$4:$AO$4,1,23-Projects!$C$35+1),0)+IF(AND(Projects!$G$36="Yes",23&gt;=Projects!$C$36,23&lt;Projects!$C$36+Projects!$D$36),Projects!$B$36*INDEX(Curves!$B$4:$AO$4,1,23-Projects!$C$36+1),0)+IF(AND(Projects!$G$37="Yes",23&gt;=Projects!$C$37,23&lt;Projects!$C$37+Projects!$D$37),Projects!$B$37*INDEX(Curves!$B$4:$AO$4,1,23-Projects!$C$37+1),0)+IF(AND(Projects!$G$38="Yes",23&gt;=Projects!$C$38,23&lt;Projects!$C$38+Projects!$D$38),Projects!$B$38*INDEX(Curves!$B$4:$AO$4,1,23-Projects!$C$38+1),0)+IF(AND(Projects!$G$39="Yes",23&gt;=Projects!$C$39,23&lt;Projects!$C$39+Projects!$D$39),Projects!$B$39*INDEX(Curves!$B$4:$AO$4,1,23-Projects!$C$39+1),0)+IF(AND(Projects!$G$40="Yes",23&gt;=Projects!$C$40,23&lt;Projects!$C$40+Projects!$D$40),Projects!$B$40*INDEX(Curves!$B$4:$AO$4,1,23-Projects!$C$40+1),0)+IF(AND(Projects!$G$41="Yes",23&gt;=Projects!$C$41,23&lt;Projects!$C$41+Projects!$D$41),Projects!$B$41*INDEX(Curves!$B$4:$AO$4,1,23-Projects!$C$41+1),0)+IF(AND(Projects!$G$42="Yes",23&gt;=Projects!$C$42,23&lt;Projects!$C$42+Projects!$D$42),Projects!$B$42*INDEX(Curves!$B$4:$AO$4,1,23-Projects!$C$42+1),0)+IF(AND(Projects!$G$43="Yes",23&gt;=Projects!$C$43,23&lt;Projects!$C$43+Projects!$D$43),Projects!$B$43*INDEX(Curves!$B$4:$AO$4,1,23-Projects!$C$43+1),0)+IF(AND(Projects!$G$44="Yes",23&gt;=Projects!$C$44,23&lt;Projects!$C$44+Projects!$D$44),Projects!$B$44*INDEX(Curves!$B$4:$AO$4,1,23-Projects!$C$44+1),0)+IF(AND(Projects!$G$45="Yes",23&gt;=Projects!$C$45,23&lt;Projects!$C$45+Projects!$D$45),Projects!$B$45*INDEX(Curves!$B$4:$AO$4,1,23-Projects!$C$45+1),0)+IF(AND(Projects!$G$46="Yes",23&gt;=Projects!$C$46,23&lt;Projects!$C$46+Projects!$D$46),Projects!$B$46*INDEX(Curves!$B$4:$AO$4,1,23-Projects!$C$46+1),0)</f>
        <v/>
      </c>
      <c r="Z107">
        <f>IF(AND(Projects!$G$30="Yes",24&gt;=Projects!$C$30,24&lt;Projects!$C$30+Projects!$D$30),Projects!$B$30*INDEX(Curves!$B$4:$AO$4,1,24-Projects!$C$30+1),0)+IF(AND(Projects!$G$31="Yes",24&gt;=Projects!$C$31,24&lt;Projects!$C$31+Projects!$D$31),Projects!$B$31*INDEX(Curves!$B$4:$AO$4,1,24-Projects!$C$31+1),0)+IF(AND(Projects!$G$32="Yes",24&gt;=Projects!$C$32,24&lt;Projects!$C$32+Projects!$D$32),Projects!$B$32*INDEX(Curves!$B$4:$AO$4,1,24-Projects!$C$32+1),0)+IF(AND(Projects!$G$33="Yes",24&gt;=Projects!$C$33,24&lt;Projects!$C$33+Projects!$D$33),Projects!$B$33*INDEX(Curves!$B$4:$AO$4,1,24-Projects!$C$33+1),0)+IF(AND(Projects!$G$34="Yes",24&gt;=Projects!$C$34,24&lt;Projects!$C$34+Projects!$D$34),Projects!$B$34*INDEX(Curves!$B$4:$AO$4,1,24-Projects!$C$34+1),0)+IF(AND(Projects!$G$35="Yes",24&gt;=Projects!$C$35,24&lt;Projects!$C$35+Projects!$D$35),Projects!$B$35*INDEX(Curves!$B$4:$AO$4,1,24-Projects!$C$35+1),0)+IF(AND(Projects!$G$36="Yes",24&gt;=Projects!$C$36,24&lt;Projects!$C$36+Projects!$D$36),Projects!$B$36*INDEX(Curves!$B$4:$AO$4,1,24-Projects!$C$36+1),0)+IF(AND(Projects!$G$37="Yes",24&gt;=Projects!$C$37,24&lt;Projects!$C$37+Projects!$D$37),Projects!$B$37*INDEX(Curves!$B$4:$AO$4,1,24-Projects!$C$37+1),0)+IF(AND(Projects!$G$38="Yes",24&gt;=Projects!$C$38,24&lt;Projects!$C$38+Projects!$D$38),Projects!$B$38*INDEX(Curves!$B$4:$AO$4,1,24-Projects!$C$38+1),0)+IF(AND(Projects!$G$39="Yes",24&gt;=Projects!$C$39,24&lt;Projects!$C$39+Projects!$D$39),Projects!$B$39*INDEX(Curves!$B$4:$AO$4,1,24-Projects!$C$39+1),0)+IF(AND(Projects!$G$40="Yes",24&gt;=Projects!$C$40,24&lt;Projects!$C$40+Projects!$D$40),Projects!$B$40*INDEX(Curves!$B$4:$AO$4,1,24-Projects!$C$40+1),0)+IF(AND(Projects!$G$41="Yes",24&gt;=Projects!$C$41,24&lt;Projects!$C$41+Projects!$D$41),Projects!$B$41*INDEX(Curves!$B$4:$AO$4,1,24-Projects!$C$41+1),0)+IF(AND(Projects!$G$42="Yes",24&gt;=Projects!$C$42,24&lt;Projects!$C$42+Projects!$D$42),Projects!$B$42*INDEX(Curves!$B$4:$AO$4,1,24-Projects!$C$42+1),0)+IF(AND(Projects!$G$43="Yes",24&gt;=Projects!$C$43,24&lt;Projects!$C$43+Projects!$D$43),Projects!$B$43*INDEX(Curves!$B$4:$AO$4,1,24-Projects!$C$43+1),0)+IF(AND(Projects!$G$44="Yes",24&gt;=Projects!$C$44,24&lt;Projects!$C$44+Projects!$D$44),Projects!$B$44*INDEX(Curves!$B$4:$AO$4,1,24-Projects!$C$44+1),0)+IF(AND(Projects!$G$45="Yes",24&gt;=Projects!$C$45,24&lt;Projects!$C$45+Projects!$D$45),Projects!$B$45*INDEX(Curves!$B$4:$AO$4,1,24-Projects!$C$45+1),0)+IF(AND(Projects!$G$46="Yes",24&gt;=Projects!$C$46,24&lt;Projects!$C$46+Projects!$D$46),Projects!$B$46*INDEX(Curves!$B$4:$AO$4,1,24-Projects!$C$46+1),0)</f>
        <v/>
      </c>
      <c r="AA107">
        <f>IF(AND(Projects!$G$30="Yes",25&gt;=Projects!$C$30,25&lt;Projects!$C$30+Projects!$D$30),Projects!$B$30*INDEX(Curves!$B$4:$AO$4,1,25-Projects!$C$30+1),0)+IF(AND(Projects!$G$31="Yes",25&gt;=Projects!$C$31,25&lt;Projects!$C$31+Projects!$D$31),Projects!$B$31*INDEX(Curves!$B$4:$AO$4,1,25-Projects!$C$31+1),0)+IF(AND(Projects!$G$32="Yes",25&gt;=Projects!$C$32,25&lt;Projects!$C$32+Projects!$D$32),Projects!$B$32*INDEX(Curves!$B$4:$AO$4,1,25-Projects!$C$32+1),0)+IF(AND(Projects!$G$33="Yes",25&gt;=Projects!$C$33,25&lt;Projects!$C$33+Projects!$D$33),Projects!$B$33*INDEX(Curves!$B$4:$AO$4,1,25-Projects!$C$33+1),0)+IF(AND(Projects!$G$34="Yes",25&gt;=Projects!$C$34,25&lt;Projects!$C$34+Projects!$D$34),Projects!$B$34*INDEX(Curves!$B$4:$AO$4,1,25-Projects!$C$34+1),0)+IF(AND(Projects!$G$35="Yes",25&gt;=Projects!$C$35,25&lt;Projects!$C$35+Projects!$D$35),Projects!$B$35*INDEX(Curves!$B$4:$AO$4,1,25-Projects!$C$35+1),0)+IF(AND(Projects!$G$36="Yes",25&gt;=Projects!$C$36,25&lt;Projects!$C$36+Projects!$D$36),Projects!$B$36*INDEX(Curves!$B$4:$AO$4,1,25-Projects!$C$36+1),0)+IF(AND(Projects!$G$37="Yes",25&gt;=Projects!$C$37,25&lt;Projects!$C$37+Projects!$D$37),Projects!$B$37*INDEX(Curves!$B$4:$AO$4,1,25-Projects!$C$37+1),0)+IF(AND(Projects!$G$38="Yes",25&gt;=Projects!$C$38,25&lt;Projects!$C$38+Projects!$D$38),Projects!$B$38*INDEX(Curves!$B$4:$AO$4,1,25-Projects!$C$38+1),0)+IF(AND(Projects!$G$39="Yes",25&gt;=Projects!$C$39,25&lt;Projects!$C$39+Projects!$D$39),Projects!$B$39*INDEX(Curves!$B$4:$AO$4,1,25-Projects!$C$39+1),0)+IF(AND(Projects!$G$40="Yes",25&gt;=Projects!$C$40,25&lt;Projects!$C$40+Projects!$D$40),Projects!$B$40*INDEX(Curves!$B$4:$AO$4,1,25-Projects!$C$40+1),0)+IF(AND(Projects!$G$41="Yes",25&gt;=Projects!$C$41,25&lt;Projects!$C$41+Projects!$D$41),Projects!$B$41*INDEX(Curves!$B$4:$AO$4,1,25-Projects!$C$41+1),0)+IF(AND(Projects!$G$42="Yes",25&gt;=Projects!$C$42,25&lt;Projects!$C$42+Projects!$D$42),Projects!$B$42*INDEX(Curves!$B$4:$AO$4,1,25-Projects!$C$42+1),0)+IF(AND(Projects!$G$43="Yes",25&gt;=Projects!$C$43,25&lt;Projects!$C$43+Projects!$D$43),Projects!$B$43*INDEX(Curves!$B$4:$AO$4,1,25-Projects!$C$43+1),0)+IF(AND(Projects!$G$44="Yes",25&gt;=Projects!$C$44,25&lt;Projects!$C$44+Projects!$D$44),Projects!$B$44*INDEX(Curves!$B$4:$AO$4,1,25-Projects!$C$44+1),0)+IF(AND(Projects!$G$45="Yes",25&gt;=Projects!$C$45,25&lt;Projects!$C$45+Projects!$D$45),Projects!$B$45*INDEX(Curves!$B$4:$AO$4,1,25-Projects!$C$45+1),0)+IF(AND(Projects!$G$46="Yes",25&gt;=Projects!$C$46,25&lt;Projects!$C$46+Projects!$D$46),Projects!$B$46*INDEX(Curves!$B$4:$AO$4,1,25-Projects!$C$46+1),0)</f>
        <v/>
      </c>
      <c r="AB107">
        <f>IF(AND(Projects!$G$30="Yes",26&gt;=Projects!$C$30,26&lt;Projects!$C$30+Projects!$D$30),Projects!$B$30*INDEX(Curves!$B$4:$AO$4,1,26-Projects!$C$30+1),0)+IF(AND(Projects!$G$31="Yes",26&gt;=Projects!$C$31,26&lt;Projects!$C$31+Projects!$D$31),Projects!$B$31*INDEX(Curves!$B$4:$AO$4,1,26-Projects!$C$31+1),0)+IF(AND(Projects!$G$32="Yes",26&gt;=Projects!$C$32,26&lt;Projects!$C$32+Projects!$D$32),Projects!$B$32*INDEX(Curves!$B$4:$AO$4,1,26-Projects!$C$32+1),0)+IF(AND(Projects!$G$33="Yes",26&gt;=Projects!$C$33,26&lt;Projects!$C$33+Projects!$D$33),Projects!$B$33*INDEX(Curves!$B$4:$AO$4,1,26-Projects!$C$33+1),0)+IF(AND(Projects!$G$34="Yes",26&gt;=Projects!$C$34,26&lt;Projects!$C$34+Projects!$D$34),Projects!$B$34*INDEX(Curves!$B$4:$AO$4,1,26-Projects!$C$34+1),0)+IF(AND(Projects!$G$35="Yes",26&gt;=Projects!$C$35,26&lt;Projects!$C$35+Projects!$D$35),Projects!$B$35*INDEX(Curves!$B$4:$AO$4,1,26-Projects!$C$35+1),0)+IF(AND(Projects!$G$36="Yes",26&gt;=Projects!$C$36,26&lt;Projects!$C$36+Projects!$D$36),Projects!$B$36*INDEX(Curves!$B$4:$AO$4,1,26-Projects!$C$36+1),0)+IF(AND(Projects!$G$37="Yes",26&gt;=Projects!$C$37,26&lt;Projects!$C$37+Projects!$D$37),Projects!$B$37*INDEX(Curves!$B$4:$AO$4,1,26-Projects!$C$37+1),0)+IF(AND(Projects!$G$38="Yes",26&gt;=Projects!$C$38,26&lt;Projects!$C$38+Projects!$D$38),Projects!$B$38*INDEX(Curves!$B$4:$AO$4,1,26-Projects!$C$38+1),0)+IF(AND(Projects!$G$39="Yes",26&gt;=Projects!$C$39,26&lt;Projects!$C$39+Projects!$D$39),Projects!$B$39*INDEX(Curves!$B$4:$AO$4,1,26-Projects!$C$39+1),0)+IF(AND(Projects!$G$40="Yes",26&gt;=Projects!$C$40,26&lt;Projects!$C$40+Projects!$D$40),Projects!$B$40*INDEX(Curves!$B$4:$AO$4,1,26-Projects!$C$40+1),0)+IF(AND(Projects!$G$41="Yes",26&gt;=Projects!$C$41,26&lt;Projects!$C$41+Projects!$D$41),Projects!$B$41*INDEX(Curves!$B$4:$AO$4,1,26-Projects!$C$41+1),0)+IF(AND(Projects!$G$42="Yes",26&gt;=Projects!$C$42,26&lt;Projects!$C$42+Projects!$D$42),Projects!$B$42*INDEX(Curves!$B$4:$AO$4,1,26-Projects!$C$42+1),0)+IF(AND(Projects!$G$43="Yes",26&gt;=Projects!$C$43,26&lt;Projects!$C$43+Projects!$D$43),Projects!$B$43*INDEX(Curves!$B$4:$AO$4,1,26-Projects!$C$43+1),0)+IF(AND(Projects!$G$44="Yes",26&gt;=Projects!$C$44,26&lt;Projects!$C$44+Projects!$D$44),Projects!$B$44*INDEX(Curves!$B$4:$AO$4,1,26-Projects!$C$44+1),0)+IF(AND(Projects!$G$45="Yes",26&gt;=Projects!$C$45,26&lt;Projects!$C$45+Projects!$D$45),Projects!$B$45*INDEX(Curves!$B$4:$AO$4,1,26-Projects!$C$45+1),0)+IF(AND(Projects!$G$46="Yes",26&gt;=Projects!$C$46,26&lt;Projects!$C$46+Projects!$D$46),Projects!$B$46*INDEX(Curves!$B$4:$AO$4,1,26-Projects!$C$46+1),0)</f>
        <v/>
      </c>
      <c r="AC107">
        <f>IF(AND(Projects!$G$30="Yes",27&gt;=Projects!$C$30,27&lt;Projects!$C$30+Projects!$D$30),Projects!$B$30*INDEX(Curves!$B$4:$AO$4,1,27-Projects!$C$30+1),0)+IF(AND(Projects!$G$31="Yes",27&gt;=Projects!$C$31,27&lt;Projects!$C$31+Projects!$D$31),Projects!$B$31*INDEX(Curves!$B$4:$AO$4,1,27-Projects!$C$31+1),0)+IF(AND(Projects!$G$32="Yes",27&gt;=Projects!$C$32,27&lt;Projects!$C$32+Projects!$D$32),Projects!$B$32*INDEX(Curves!$B$4:$AO$4,1,27-Projects!$C$32+1),0)+IF(AND(Projects!$G$33="Yes",27&gt;=Projects!$C$33,27&lt;Projects!$C$33+Projects!$D$33),Projects!$B$33*INDEX(Curves!$B$4:$AO$4,1,27-Projects!$C$33+1),0)+IF(AND(Projects!$G$34="Yes",27&gt;=Projects!$C$34,27&lt;Projects!$C$34+Projects!$D$34),Projects!$B$34*INDEX(Curves!$B$4:$AO$4,1,27-Projects!$C$34+1),0)+IF(AND(Projects!$G$35="Yes",27&gt;=Projects!$C$35,27&lt;Projects!$C$35+Projects!$D$35),Projects!$B$35*INDEX(Curves!$B$4:$AO$4,1,27-Projects!$C$35+1),0)+IF(AND(Projects!$G$36="Yes",27&gt;=Projects!$C$36,27&lt;Projects!$C$36+Projects!$D$36),Projects!$B$36*INDEX(Curves!$B$4:$AO$4,1,27-Projects!$C$36+1),0)+IF(AND(Projects!$G$37="Yes",27&gt;=Projects!$C$37,27&lt;Projects!$C$37+Projects!$D$37),Projects!$B$37*INDEX(Curves!$B$4:$AO$4,1,27-Projects!$C$37+1),0)+IF(AND(Projects!$G$38="Yes",27&gt;=Projects!$C$38,27&lt;Projects!$C$38+Projects!$D$38),Projects!$B$38*INDEX(Curves!$B$4:$AO$4,1,27-Projects!$C$38+1),0)+IF(AND(Projects!$G$39="Yes",27&gt;=Projects!$C$39,27&lt;Projects!$C$39+Projects!$D$39),Projects!$B$39*INDEX(Curves!$B$4:$AO$4,1,27-Projects!$C$39+1),0)+IF(AND(Projects!$G$40="Yes",27&gt;=Projects!$C$40,27&lt;Projects!$C$40+Projects!$D$40),Projects!$B$40*INDEX(Curves!$B$4:$AO$4,1,27-Projects!$C$40+1),0)+IF(AND(Projects!$G$41="Yes",27&gt;=Projects!$C$41,27&lt;Projects!$C$41+Projects!$D$41),Projects!$B$41*INDEX(Curves!$B$4:$AO$4,1,27-Projects!$C$41+1),0)+IF(AND(Projects!$G$42="Yes",27&gt;=Projects!$C$42,27&lt;Projects!$C$42+Projects!$D$42),Projects!$B$42*INDEX(Curves!$B$4:$AO$4,1,27-Projects!$C$42+1),0)+IF(AND(Projects!$G$43="Yes",27&gt;=Projects!$C$43,27&lt;Projects!$C$43+Projects!$D$43),Projects!$B$43*INDEX(Curves!$B$4:$AO$4,1,27-Projects!$C$43+1),0)+IF(AND(Projects!$G$44="Yes",27&gt;=Projects!$C$44,27&lt;Projects!$C$44+Projects!$D$44),Projects!$B$44*INDEX(Curves!$B$4:$AO$4,1,27-Projects!$C$44+1),0)+IF(AND(Projects!$G$45="Yes",27&gt;=Projects!$C$45,27&lt;Projects!$C$45+Projects!$D$45),Projects!$B$45*INDEX(Curves!$B$4:$AO$4,1,27-Projects!$C$45+1),0)+IF(AND(Projects!$G$46="Yes",27&gt;=Projects!$C$46,27&lt;Projects!$C$46+Projects!$D$46),Projects!$B$46*INDEX(Curves!$B$4:$AO$4,1,27-Projects!$C$46+1),0)</f>
        <v/>
      </c>
      <c r="AD107">
        <f>IF(AND(Projects!$G$30="Yes",28&gt;=Projects!$C$30,28&lt;Projects!$C$30+Projects!$D$30),Projects!$B$30*INDEX(Curves!$B$4:$AO$4,1,28-Projects!$C$30+1),0)+IF(AND(Projects!$G$31="Yes",28&gt;=Projects!$C$31,28&lt;Projects!$C$31+Projects!$D$31),Projects!$B$31*INDEX(Curves!$B$4:$AO$4,1,28-Projects!$C$31+1),0)+IF(AND(Projects!$G$32="Yes",28&gt;=Projects!$C$32,28&lt;Projects!$C$32+Projects!$D$32),Projects!$B$32*INDEX(Curves!$B$4:$AO$4,1,28-Projects!$C$32+1),0)+IF(AND(Projects!$G$33="Yes",28&gt;=Projects!$C$33,28&lt;Projects!$C$33+Projects!$D$33),Projects!$B$33*INDEX(Curves!$B$4:$AO$4,1,28-Projects!$C$33+1),0)+IF(AND(Projects!$G$34="Yes",28&gt;=Projects!$C$34,28&lt;Projects!$C$34+Projects!$D$34),Projects!$B$34*INDEX(Curves!$B$4:$AO$4,1,28-Projects!$C$34+1),0)+IF(AND(Projects!$G$35="Yes",28&gt;=Projects!$C$35,28&lt;Projects!$C$35+Projects!$D$35),Projects!$B$35*INDEX(Curves!$B$4:$AO$4,1,28-Projects!$C$35+1),0)+IF(AND(Projects!$G$36="Yes",28&gt;=Projects!$C$36,28&lt;Projects!$C$36+Projects!$D$36),Projects!$B$36*INDEX(Curves!$B$4:$AO$4,1,28-Projects!$C$36+1),0)+IF(AND(Projects!$G$37="Yes",28&gt;=Projects!$C$37,28&lt;Projects!$C$37+Projects!$D$37),Projects!$B$37*INDEX(Curves!$B$4:$AO$4,1,28-Projects!$C$37+1),0)+IF(AND(Projects!$G$38="Yes",28&gt;=Projects!$C$38,28&lt;Projects!$C$38+Projects!$D$38),Projects!$B$38*INDEX(Curves!$B$4:$AO$4,1,28-Projects!$C$38+1),0)+IF(AND(Projects!$G$39="Yes",28&gt;=Projects!$C$39,28&lt;Projects!$C$39+Projects!$D$39),Projects!$B$39*INDEX(Curves!$B$4:$AO$4,1,28-Projects!$C$39+1),0)+IF(AND(Projects!$G$40="Yes",28&gt;=Projects!$C$40,28&lt;Projects!$C$40+Projects!$D$40),Projects!$B$40*INDEX(Curves!$B$4:$AO$4,1,28-Projects!$C$40+1),0)+IF(AND(Projects!$G$41="Yes",28&gt;=Projects!$C$41,28&lt;Projects!$C$41+Projects!$D$41),Projects!$B$41*INDEX(Curves!$B$4:$AO$4,1,28-Projects!$C$41+1),0)+IF(AND(Projects!$G$42="Yes",28&gt;=Projects!$C$42,28&lt;Projects!$C$42+Projects!$D$42),Projects!$B$42*INDEX(Curves!$B$4:$AO$4,1,28-Projects!$C$42+1),0)+IF(AND(Projects!$G$43="Yes",28&gt;=Projects!$C$43,28&lt;Projects!$C$43+Projects!$D$43),Projects!$B$43*INDEX(Curves!$B$4:$AO$4,1,28-Projects!$C$43+1),0)+IF(AND(Projects!$G$44="Yes",28&gt;=Projects!$C$44,28&lt;Projects!$C$44+Projects!$D$44),Projects!$B$44*INDEX(Curves!$B$4:$AO$4,1,28-Projects!$C$44+1),0)+IF(AND(Projects!$G$45="Yes",28&gt;=Projects!$C$45,28&lt;Projects!$C$45+Projects!$D$45),Projects!$B$45*INDEX(Curves!$B$4:$AO$4,1,28-Projects!$C$45+1),0)+IF(AND(Projects!$G$46="Yes",28&gt;=Projects!$C$46,28&lt;Projects!$C$46+Projects!$D$46),Projects!$B$46*INDEX(Curves!$B$4:$AO$4,1,28-Projects!$C$46+1),0)</f>
        <v/>
      </c>
      <c r="AE107">
        <f>IF(AND(Projects!$G$30="Yes",29&gt;=Projects!$C$30,29&lt;Projects!$C$30+Projects!$D$30),Projects!$B$30*INDEX(Curves!$B$4:$AO$4,1,29-Projects!$C$30+1),0)+IF(AND(Projects!$G$31="Yes",29&gt;=Projects!$C$31,29&lt;Projects!$C$31+Projects!$D$31),Projects!$B$31*INDEX(Curves!$B$4:$AO$4,1,29-Projects!$C$31+1),0)+IF(AND(Projects!$G$32="Yes",29&gt;=Projects!$C$32,29&lt;Projects!$C$32+Projects!$D$32),Projects!$B$32*INDEX(Curves!$B$4:$AO$4,1,29-Projects!$C$32+1),0)+IF(AND(Projects!$G$33="Yes",29&gt;=Projects!$C$33,29&lt;Projects!$C$33+Projects!$D$33),Projects!$B$33*INDEX(Curves!$B$4:$AO$4,1,29-Projects!$C$33+1),0)+IF(AND(Projects!$G$34="Yes",29&gt;=Projects!$C$34,29&lt;Projects!$C$34+Projects!$D$34),Projects!$B$34*INDEX(Curves!$B$4:$AO$4,1,29-Projects!$C$34+1),0)+IF(AND(Projects!$G$35="Yes",29&gt;=Projects!$C$35,29&lt;Projects!$C$35+Projects!$D$35),Projects!$B$35*INDEX(Curves!$B$4:$AO$4,1,29-Projects!$C$35+1),0)+IF(AND(Projects!$G$36="Yes",29&gt;=Projects!$C$36,29&lt;Projects!$C$36+Projects!$D$36),Projects!$B$36*INDEX(Curves!$B$4:$AO$4,1,29-Projects!$C$36+1),0)+IF(AND(Projects!$G$37="Yes",29&gt;=Projects!$C$37,29&lt;Projects!$C$37+Projects!$D$37),Projects!$B$37*INDEX(Curves!$B$4:$AO$4,1,29-Projects!$C$37+1),0)+IF(AND(Projects!$G$38="Yes",29&gt;=Projects!$C$38,29&lt;Projects!$C$38+Projects!$D$38),Projects!$B$38*INDEX(Curves!$B$4:$AO$4,1,29-Projects!$C$38+1),0)+IF(AND(Projects!$G$39="Yes",29&gt;=Projects!$C$39,29&lt;Projects!$C$39+Projects!$D$39),Projects!$B$39*INDEX(Curves!$B$4:$AO$4,1,29-Projects!$C$39+1),0)+IF(AND(Projects!$G$40="Yes",29&gt;=Projects!$C$40,29&lt;Projects!$C$40+Projects!$D$40),Projects!$B$40*INDEX(Curves!$B$4:$AO$4,1,29-Projects!$C$40+1),0)+IF(AND(Projects!$G$41="Yes",29&gt;=Projects!$C$41,29&lt;Projects!$C$41+Projects!$D$41),Projects!$B$41*INDEX(Curves!$B$4:$AO$4,1,29-Projects!$C$41+1),0)+IF(AND(Projects!$G$42="Yes",29&gt;=Projects!$C$42,29&lt;Projects!$C$42+Projects!$D$42),Projects!$B$42*INDEX(Curves!$B$4:$AO$4,1,29-Projects!$C$42+1),0)+IF(AND(Projects!$G$43="Yes",29&gt;=Projects!$C$43,29&lt;Projects!$C$43+Projects!$D$43),Projects!$B$43*INDEX(Curves!$B$4:$AO$4,1,29-Projects!$C$43+1),0)+IF(AND(Projects!$G$44="Yes",29&gt;=Projects!$C$44,29&lt;Projects!$C$44+Projects!$D$44),Projects!$B$44*INDEX(Curves!$B$4:$AO$4,1,29-Projects!$C$44+1),0)+IF(AND(Projects!$G$45="Yes",29&gt;=Projects!$C$45,29&lt;Projects!$C$45+Projects!$D$45),Projects!$B$45*INDEX(Curves!$B$4:$AO$4,1,29-Projects!$C$45+1),0)+IF(AND(Projects!$G$46="Yes",29&gt;=Projects!$C$46,29&lt;Projects!$C$46+Projects!$D$46),Projects!$B$46*INDEX(Curves!$B$4:$AO$4,1,29-Projects!$C$46+1),0)</f>
        <v/>
      </c>
      <c r="AF107">
        <f>IF(AND(Projects!$G$30="Yes",30&gt;=Projects!$C$30,30&lt;Projects!$C$30+Projects!$D$30),Projects!$B$30*INDEX(Curves!$B$4:$AO$4,1,30-Projects!$C$30+1),0)+IF(AND(Projects!$G$31="Yes",30&gt;=Projects!$C$31,30&lt;Projects!$C$31+Projects!$D$31),Projects!$B$31*INDEX(Curves!$B$4:$AO$4,1,30-Projects!$C$31+1),0)+IF(AND(Projects!$G$32="Yes",30&gt;=Projects!$C$32,30&lt;Projects!$C$32+Projects!$D$32),Projects!$B$32*INDEX(Curves!$B$4:$AO$4,1,30-Projects!$C$32+1),0)+IF(AND(Projects!$G$33="Yes",30&gt;=Projects!$C$33,30&lt;Projects!$C$33+Projects!$D$33),Projects!$B$33*INDEX(Curves!$B$4:$AO$4,1,30-Projects!$C$33+1),0)+IF(AND(Projects!$G$34="Yes",30&gt;=Projects!$C$34,30&lt;Projects!$C$34+Projects!$D$34),Projects!$B$34*INDEX(Curves!$B$4:$AO$4,1,30-Projects!$C$34+1),0)+IF(AND(Projects!$G$35="Yes",30&gt;=Projects!$C$35,30&lt;Projects!$C$35+Projects!$D$35),Projects!$B$35*INDEX(Curves!$B$4:$AO$4,1,30-Projects!$C$35+1),0)+IF(AND(Projects!$G$36="Yes",30&gt;=Projects!$C$36,30&lt;Projects!$C$36+Projects!$D$36),Projects!$B$36*INDEX(Curves!$B$4:$AO$4,1,30-Projects!$C$36+1),0)+IF(AND(Projects!$G$37="Yes",30&gt;=Projects!$C$37,30&lt;Projects!$C$37+Projects!$D$37),Projects!$B$37*INDEX(Curves!$B$4:$AO$4,1,30-Projects!$C$37+1),0)+IF(AND(Projects!$G$38="Yes",30&gt;=Projects!$C$38,30&lt;Projects!$C$38+Projects!$D$38),Projects!$B$38*INDEX(Curves!$B$4:$AO$4,1,30-Projects!$C$38+1),0)+IF(AND(Projects!$G$39="Yes",30&gt;=Projects!$C$39,30&lt;Projects!$C$39+Projects!$D$39),Projects!$B$39*INDEX(Curves!$B$4:$AO$4,1,30-Projects!$C$39+1),0)+IF(AND(Projects!$G$40="Yes",30&gt;=Projects!$C$40,30&lt;Projects!$C$40+Projects!$D$40),Projects!$B$40*INDEX(Curves!$B$4:$AO$4,1,30-Projects!$C$40+1),0)+IF(AND(Projects!$G$41="Yes",30&gt;=Projects!$C$41,30&lt;Projects!$C$41+Projects!$D$41),Projects!$B$41*INDEX(Curves!$B$4:$AO$4,1,30-Projects!$C$41+1),0)+IF(AND(Projects!$G$42="Yes",30&gt;=Projects!$C$42,30&lt;Projects!$C$42+Projects!$D$42),Projects!$B$42*INDEX(Curves!$B$4:$AO$4,1,30-Projects!$C$42+1),0)+IF(AND(Projects!$G$43="Yes",30&gt;=Projects!$C$43,30&lt;Projects!$C$43+Projects!$D$43),Projects!$B$43*INDEX(Curves!$B$4:$AO$4,1,30-Projects!$C$43+1),0)+IF(AND(Projects!$G$44="Yes",30&gt;=Projects!$C$44,30&lt;Projects!$C$44+Projects!$D$44),Projects!$B$44*INDEX(Curves!$B$4:$AO$4,1,30-Projects!$C$44+1),0)+IF(AND(Projects!$G$45="Yes",30&gt;=Projects!$C$45,30&lt;Projects!$C$45+Projects!$D$45),Projects!$B$45*INDEX(Curves!$B$4:$AO$4,1,30-Projects!$C$45+1),0)+IF(AND(Projects!$G$46="Yes",30&gt;=Projects!$C$46,30&lt;Projects!$C$46+Projects!$D$46),Projects!$B$46*INDEX(Curves!$B$4:$AO$4,1,30-Projects!$C$46+1),0)</f>
        <v/>
      </c>
      <c r="AG107">
        <f>IF(AND(Projects!$G$30="Yes",31&gt;=Projects!$C$30,31&lt;Projects!$C$30+Projects!$D$30),Projects!$B$30*INDEX(Curves!$B$4:$AO$4,1,31-Projects!$C$30+1),0)+IF(AND(Projects!$G$31="Yes",31&gt;=Projects!$C$31,31&lt;Projects!$C$31+Projects!$D$31),Projects!$B$31*INDEX(Curves!$B$4:$AO$4,1,31-Projects!$C$31+1),0)+IF(AND(Projects!$G$32="Yes",31&gt;=Projects!$C$32,31&lt;Projects!$C$32+Projects!$D$32),Projects!$B$32*INDEX(Curves!$B$4:$AO$4,1,31-Projects!$C$32+1),0)+IF(AND(Projects!$G$33="Yes",31&gt;=Projects!$C$33,31&lt;Projects!$C$33+Projects!$D$33),Projects!$B$33*INDEX(Curves!$B$4:$AO$4,1,31-Projects!$C$33+1),0)+IF(AND(Projects!$G$34="Yes",31&gt;=Projects!$C$34,31&lt;Projects!$C$34+Projects!$D$34),Projects!$B$34*INDEX(Curves!$B$4:$AO$4,1,31-Projects!$C$34+1),0)+IF(AND(Projects!$G$35="Yes",31&gt;=Projects!$C$35,31&lt;Projects!$C$35+Projects!$D$35),Projects!$B$35*INDEX(Curves!$B$4:$AO$4,1,31-Projects!$C$35+1),0)+IF(AND(Projects!$G$36="Yes",31&gt;=Projects!$C$36,31&lt;Projects!$C$36+Projects!$D$36),Projects!$B$36*INDEX(Curves!$B$4:$AO$4,1,31-Projects!$C$36+1),0)+IF(AND(Projects!$G$37="Yes",31&gt;=Projects!$C$37,31&lt;Projects!$C$37+Projects!$D$37),Projects!$B$37*INDEX(Curves!$B$4:$AO$4,1,31-Projects!$C$37+1),0)+IF(AND(Projects!$G$38="Yes",31&gt;=Projects!$C$38,31&lt;Projects!$C$38+Projects!$D$38),Projects!$B$38*INDEX(Curves!$B$4:$AO$4,1,31-Projects!$C$38+1),0)+IF(AND(Projects!$G$39="Yes",31&gt;=Projects!$C$39,31&lt;Projects!$C$39+Projects!$D$39),Projects!$B$39*INDEX(Curves!$B$4:$AO$4,1,31-Projects!$C$39+1),0)+IF(AND(Projects!$G$40="Yes",31&gt;=Projects!$C$40,31&lt;Projects!$C$40+Projects!$D$40),Projects!$B$40*INDEX(Curves!$B$4:$AO$4,1,31-Projects!$C$40+1),0)+IF(AND(Projects!$G$41="Yes",31&gt;=Projects!$C$41,31&lt;Projects!$C$41+Projects!$D$41),Projects!$B$41*INDEX(Curves!$B$4:$AO$4,1,31-Projects!$C$41+1),0)+IF(AND(Projects!$G$42="Yes",31&gt;=Projects!$C$42,31&lt;Projects!$C$42+Projects!$D$42),Projects!$B$42*INDEX(Curves!$B$4:$AO$4,1,31-Projects!$C$42+1),0)+IF(AND(Projects!$G$43="Yes",31&gt;=Projects!$C$43,31&lt;Projects!$C$43+Projects!$D$43),Projects!$B$43*INDEX(Curves!$B$4:$AO$4,1,31-Projects!$C$43+1),0)+IF(AND(Projects!$G$44="Yes",31&gt;=Projects!$C$44,31&lt;Projects!$C$44+Projects!$D$44),Projects!$B$44*INDEX(Curves!$B$4:$AO$4,1,31-Projects!$C$44+1),0)+IF(AND(Projects!$G$45="Yes",31&gt;=Projects!$C$45,31&lt;Projects!$C$45+Projects!$D$45),Projects!$B$45*INDEX(Curves!$B$4:$AO$4,1,31-Projects!$C$45+1),0)+IF(AND(Projects!$G$46="Yes",31&gt;=Projects!$C$46,31&lt;Projects!$C$46+Projects!$D$46),Projects!$B$46*INDEX(Curves!$B$4:$AO$4,1,31-Projects!$C$46+1),0)</f>
        <v/>
      </c>
      <c r="AH107">
        <f>IF(AND(Projects!$G$30="Yes",32&gt;=Projects!$C$30,32&lt;Projects!$C$30+Projects!$D$30),Projects!$B$30*INDEX(Curves!$B$4:$AO$4,1,32-Projects!$C$30+1),0)+IF(AND(Projects!$G$31="Yes",32&gt;=Projects!$C$31,32&lt;Projects!$C$31+Projects!$D$31),Projects!$B$31*INDEX(Curves!$B$4:$AO$4,1,32-Projects!$C$31+1),0)+IF(AND(Projects!$G$32="Yes",32&gt;=Projects!$C$32,32&lt;Projects!$C$32+Projects!$D$32),Projects!$B$32*INDEX(Curves!$B$4:$AO$4,1,32-Projects!$C$32+1),0)+IF(AND(Projects!$G$33="Yes",32&gt;=Projects!$C$33,32&lt;Projects!$C$33+Projects!$D$33),Projects!$B$33*INDEX(Curves!$B$4:$AO$4,1,32-Projects!$C$33+1),0)+IF(AND(Projects!$G$34="Yes",32&gt;=Projects!$C$34,32&lt;Projects!$C$34+Projects!$D$34),Projects!$B$34*INDEX(Curves!$B$4:$AO$4,1,32-Projects!$C$34+1),0)+IF(AND(Projects!$G$35="Yes",32&gt;=Projects!$C$35,32&lt;Projects!$C$35+Projects!$D$35),Projects!$B$35*INDEX(Curves!$B$4:$AO$4,1,32-Projects!$C$35+1),0)+IF(AND(Projects!$G$36="Yes",32&gt;=Projects!$C$36,32&lt;Projects!$C$36+Projects!$D$36),Projects!$B$36*INDEX(Curves!$B$4:$AO$4,1,32-Projects!$C$36+1),0)+IF(AND(Projects!$G$37="Yes",32&gt;=Projects!$C$37,32&lt;Projects!$C$37+Projects!$D$37),Projects!$B$37*INDEX(Curves!$B$4:$AO$4,1,32-Projects!$C$37+1),0)+IF(AND(Projects!$G$38="Yes",32&gt;=Projects!$C$38,32&lt;Projects!$C$38+Projects!$D$38),Projects!$B$38*INDEX(Curves!$B$4:$AO$4,1,32-Projects!$C$38+1),0)+IF(AND(Projects!$G$39="Yes",32&gt;=Projects!$C$39,32&lt;Projects!$C$39+Projects!$D$39),Projects!$B$39*INDEX(Curves!$B$4:$AO$4,1,32-Projects!$C$39+1),0)+IF(AND(Projects!$G$40="Yes",32&gt;=Projects!$C$40,32&lt;Projects!$C$40+Projects!$D$40),Projects!$B$40*INDEX(Curves!$B$4:$AO$4,1,32-Projects!$C$40+1),0)+IF(AND(Projects!$G$41="Yes",32&gt;=Projects!$C$41,32&lt;Projects!$C$41+Projects!$D$41),Projects!$B$41*INDEX(Curves!$B$4:$AO$4,1,32-Projects!$C$41+1),0)+IF(AND(Projects!$G$42="Yes",32&gt;=Projects!$C$42,32&lt;Projects!$C$42+Projects!$D$42),Projects!$B$42*INDEX(Curves!$B$4:$AO$4,1,32-Projects!$C$42+1),0)+IF(AND(Projects!$G$43="Yes",32&gt;=Projects!$C$43,32&lt;Projects!$C$43+Projects!$D$43),Projects!$B$43*INDEX(Curves!$B$4:$AO$4,1,32-Projects!$C$43+1),0)+IF(AND(Projects!$G$44="Yes",32&gt;=Projects!$C$44,32&lt;Projects!$C$44+Projects!$D$44),Projects!$B$44*INDEX(Curves!$B$4:$AO$4,1,32-Projects!$C$44+1),0)+IF(AND(Projects!$G$45="Yes",32&gt;=Projects!$C$45,32&lt;Projects!$C$45+Projects!$D$45),Projects!$B$45*INDEX(Curves!$B$4:$AO$4,1,32-Projects!$C$45+1),0)+IF(AND(Projects!$G$46="Yes",32&gt;=Projects!$C$46,32&lt;Projects!$C$46+Projects!$D$46),Projects!$B$46*INDEX(Curves!$B$4:$AO$4,1,32-Projects!$C$46+1),0)</f>
        <v/>
      </c>
      <c r="AI107">
        <f>IF(AND(Projects!$G$30="Yes",33&gt;=Projects!$C$30,33&lt;Projects!$C$30+Projects!$D$30),Projects!$B$30*INDEX(Curves!$B$4:$AO$4,1,33-Projects!$C$30+1),0)+IF(AND(Projects!$G$31="Yes",33&gt;=Projects!$C$31,33&lt;Projects!$C$31+Projects!$D$31),Projects!$B$31*INDEX(Curves!$B$4:$AO$4,1,33-Projects!$C$31+1),0)+IF(AND(Projects!$G$32="Yes",33&gt;=Projects!$C$32,33&lt;Projects!$C$32+Projects!$D$32),Projects!$B$32*INDEX(Curves!$B$4:$AO$4,1,33-Projects!$C$32+1),0)+IF(AND(Projects!$G$33="Yes",33&gt;=Projects!$C$33,33&lt;Projects!$C$33+Projects!$D$33),Projects!$B$33*INDEX(Curves!$B$4:$AO$4,1,33-Projects!$C$33+1),0)+IF(AND(Projects!$G$34="Yes",33&gt;=Projects!$C$34,33&lt;Projects!$C$34+Projects!$D$34),Projects!$B$34*INDEX(Curves!$B$4:$AO$4,1,33-Projects!$C$34+1),0)+IF(AND(Projects!$G$35="Yes",33&gt;=Projects!$C$35,33&lt;Projects!$C$35+Projects!$D$35),Projects!$B$35*INDEX(Curves!$B$4:$AO$4,1,33-Projects!$C$35+1),0)+IF(AND(Projects!$G$36="Yes",33&gt;=Projects!$C$36,33&lt;Projects!$C$36+Projects!$D$36),Projects!$B$36*INDEX(Curves!$B$4:$AO$4,1,33-Projects!$C$36+1),0)+IF(AND(Projects!$G$37="Yes",33&gt;=Projects!$C$37,33&lt;Projects!$C$37+Projects!$D$37),Projects!$B$37*INDEX(Curves!$B$4:$AO$4,1,33-Projects!$C$37+1),0)+IF(AND(Projects!$G$38="Yes",33&gt;=Projects!$C$38,33&lt;Projects!$C$38+Projects!$D$38),Projects!$B$38*INDEX(Curves!$B$4:$AO$4,1,33-Projects!$C$38+1),0)+IF(AND(Projects!$G$39="Yes",33&gt;=Projects!$C$39,33&lt;Projects!$C$39+Projects!$D$39),Projects!$B$39*INDEX(Curves!$B$4:$AO$4,1,33-Projects!$C$39+1),0)+IF(AND(Projects!$G$40="Yes",33&gt;=Projects!$C$40,33&lt;Projects!$C$40+Projects!$D$40),Projects!$B$40*INDEX(Curves!$B$4:$AO$4,1,33-Projects!$C$40+1),0)+IF(AND(Projects!$G$41="Yes",33&gt;=Projects!$C$41,33&lt;Projects!$C$41+Projects!$D$41),Projects!$B$41*INDEX(Curves!$B$4:$AO$4,1,33-Projects!$C$41+1),0)+IF(AND(Projects!$G$42="Yes",33&gt;=Projects!$C$42,33&lt;Projects!$C$42+Projects!$D$42),Projects!$B$42*INDEX(Curves!$B$4:$AO$4,1,33-Projects!$C$42+1),0)+IF(AND(Projects!$G$43="Yes",33&gt;=Projects!$C$43,33&lt;Projects!$C$43+Projects!$D$43),Projects!$B$43*INDEX(Curves!$B$4:$AO$4,1,33-Projects!$C$43+1),0)+IF(AND(Projects!$G$44="Yes",33&gt;=Projects!$C$44,33&lt;Projects!$C$44+Projects!$D$44),Projects!$B$44*INDEX(Curves!$B$4:$AO$4,1,33-Projects!$C$44+1),0)+IF(AND(Projects!$G$45="Yes",33&gt;=Projects!$C$45,33&lt;Projects!$C$45+Projects!$D$45),Projects!$B$45*INDEX(Curves!$B$4:$AO$4,1,33-Projects!$C$45+1),0)+IF(AND(Projects!$G$46="Yes",33&gt;=Projects!$C$46,33&lt;Projects!$C$46+Projects!$D$46),Projects!$B$46*INDEX(Curves!$B$4:$AO$4,1,33-Projects!$C$46+1),0)</f>
        <v/>
      </c>
      <c r="AJ107">
        <f>IF(AND(Projects!$G$30="Yes",34&gt;=Projects!$C$30,34&lt;Projects!$C$30+Projects!$D$30),Projects!$B$30*INDEX(Curves!$B$4:$AO$4,1,34-Projects!$C$30+1),0)+IF(AND(Projects!$G$31="Yes",34&gt;=Projects!$C$31,34&lt;Projects!$C$31+Projects!$D$31),Projects!$B$31*INDEX(Curves!$B$4:$AO$4,1,34-Projects!$C$31+1),0)+IF(AND(Projects!$G$32="Yes",34&gt;=Projects!$C$32,34&lt;Projects!$C$32+Projects!$D$32),Projects!$B$32*INDEX(Curves!$B$4:$AO$4,1,34-Projects!$C$32+1),0)+IF(AND(Projects!$G$33="Yes",34&gt;=Projects!$C$33,34&lt;Projects!$C$33+Projects!$D$33),Projects!$B$33*INDEX(Curves!$B$4:$AO$4,1,34-Projects!$C$33+1),0)+IF(AND(Projects!$G$34="Yes",34&gt;=Projects!$C$34,34&lt;Projects!$C$34+Projects!$D$34),Projects!$B$34*INDEX(Curves!$B$4:$AO$4,1,34-Projects!$C$34+1),0)+IF(AND(Projects!$G$35="Yes",34&gt;=Projects!$C$35,34&lt;Projects!$C$35+Projects!$D$35),Projects!$B$35*INDEX(Curves!$B$4:$AO$4,1,34-Projects!$C$35+1),0)+IF(AND(Projects!$G$36="Yes",34&gt;=Projects!$C$36,34&lt;Projects!$C$36+Projects!$D$36),Projects!$B$36*INDEX(Curves!$B$4:$AO$4,1,34-Projects!$C$36+1),0)+IF(AND(Projects!$G$37="Yes",34&gt;=Projects!$C$37,34&lt;Projects!$C$37+Projects!$D$37),Projects!$B$37*INDEX(Curves!$B$4:$AO$4,1,34-Projects!$C$37+1),0)+IF(AND(Projects!$G$38="Yes",34&gt;=Projects!$C$38,34&lt;Projects!$C$38+Projects!$D$38),Projects!$B$38*INDEX(Curves!$B$4:$AO$4,1,34-Projects!$C$38+1),0)+IF(AND(Projects!$G$39="Yes",34&gt;=Projects!$C$39,34&lt;Projects!$C$39+Projects!$D$39),Projects!$B$39*INDEX(Curves!$B$4:$AO$4,1,34-Projects!$C$39+1),0)+IF(AND(Projects!$G$40="Yes",34&gt;=Projects!$C$40,34&lt;Projects!$C$40+Projects!$D$40),Projects!$B$40*INDEX(Curves!$B$4:$AO$4,1,34-Projects!$C$40+1),0)+IF(AND(Projects!$G$41="Yes",34&gt;=Projects!$C$41,34&lt;Projects!$C$41+Projects!$D$41),Projects!$B$41*INDEX(Curves!$B$4:$AO$4,1,34-Projects!$C$41+1),0)+IF(AND(Projects!$G$42="Yes",34&gt;=Projects!$C$42,34&lt;Projects!$C$42+Projects!$D$42),Projects!$B$42*INDEX(Curves!$B$4:$AO$4,1,34-Projects!$C$42+1),0)+IF(AND(Projects!$G$43="Yes",34&gt;=Projects!$C$43,34&lt;Projects!$C$43+Projects!$D$43),Projects!$B$43*INDEX(Curves!$B$4:$AO$4,1,34-Projects!$C$43+1),0)+IF(AND(Projects!$G$44="Yes",34&gt;=Projects!$C$44,34&lt;Projects!$C$44+Projects!$D$44),Projects!$B$44*INDEX(Curves!$B$4:$AO$4,1,34-Projects!$C$44+1),0)+IF(AND(Projects!$G$45="Yes",34&gt;=Projects!$C$45,34&lt;Projects!$C$45+Projects!$D$45),Projects!$B$45*INDEX(Curves!$B$4:$AO$4,1,34-Projects!$C$45+1),0)+IF(AND(Projects!$G$46="Yes",34&gt;=Projects!$C$46,34&lt;Projects!$C$46+Projects!$D$46),Projects!$B$46*INDEX(Curves!$B$4:$AO$4,1,34-Projects!$C$46+1),0)</f>
        <v/>
      </c>
      <c r="AK107">
        <f>IF(AND(Projects!$G$30="Yes",35&gt;=Projects!$C$30,35&lt;Projects!$C$30+Projects!$D$30),Projects!$B$30*INDEX(Curves!$B$4:$AO$4,1,35-Projects!$C$30+1),0)+IF(AND(Projects!$G$31="Yes",35&gt;=Projects!$C$31,35&lt;Projects!$C$31+Projects!$D$31),Projects!$B$31*INDEX(Curves!$B$4:$AO$4,1,35-Projects!$C$31+1),0)+IF(AND(Projects!$G$32="Yes",35&gt;=Projects!$C$32,35&lt;Projects!$C$32+Projects!$D$32),Projects!$B$32*INDEX(Curves!$B$4:$AO$4,1,35-Projects!$C$32+1),0)+IF(AND(Projects!$G$33="Yes",35&gt;=Projects!$C$33,35&lt;Projects!$C$33+Projects!$D$33),Projects!$B$33*INDEX(Curves!$B$4:$AO$4,1,35-Projects!$C$33+1),0)+IF(AND(Projects!$G$34="Yes",35&gt;=Projects!$C$34,35&lt;Projects!$C$34+Projects!$D$34),Projects!$B$34*INDEX(Curves!$B$4:$AO$4,1,35-Projects!$C$34+1),0)+IF(AND(Projects!$G$35="Yes",35&gt;=Projects!$C$35,35&lt;Projects!$C$35+Projects!$D$35),Projects!$B$35*INDEX(Curves!$B$4:$AO$4,1,35-Projects!$C$35+1),0)+IF(AND(Projects!$G$36="Yes",35&gt;=Projects!$C$36,35&lt;Projects!$C$36+Projects!$D$36),Projects!$B$36*INDEX(Curves!$B$4:$AO$4,1,35-Projects!$C$36+1),0)+IF(AND(Projects!$G$37="Yes",35&gt;=Projects!$C$37,35&lt;Projects!$C$37+Projects!$D$37),Projects!$B$37*INDEX(Curves!$B$4:$AO$4,1,35-Projects!$C$37+1),0)+IF(AND(Projects!$G$38="Yes",35&gt;=Projects!$C$38,35&lt;Projects!$C$38+Projects!$D$38),Projects!$B$38*INDEX(Curves!$B$4:$AO$4,1,35-Projects!$C$38+1),0)+IF(AND(Projects!$G$39="Yes",35&gt;=Projects!$C$39,35&lt;Projects!$C$39+Projects!$D$39),Projects!$B$39*INDEX(Curves!$B$4:$AO$4,1,35-Projects!$C$39+1),0)+IF(AND(Projects!$G$40="Yes",35&gt;=Projects!$C$40,35&lt;Projects!$C$40+Projects!$D$40),Projects!$B$40*INDEX(Curves!$B$4:$AO$4,1,35-Projects!$C$40+1),0)+IF(AND(Projects!$G$41="Yes",35&gt;=Projects!$C$41,35&lt;Projects!$C$41+Projects!$D$41),Projects!$B$41*INDEX(Curves!$B$4:$AO$4,1,35-Projects!$C$41+1),0)+IF(AND(Projects!$G$42="Yes",35&gt;=Projects!$C$42,35&lt;Projects!$C$42+Projects!$D$42),Projects!$B$42*INDEX(Curves!$B$4:$AO$4,1,35-Projects!$C$42+1),0)+IF(AND(Projects!$G$43="Yes",35&gt;=Projects!$C$43,35&lt;Projects!$C$43+Projects!$D$43),Projects!$B$43*INDEX(Curves!$B$4:$AO$4,1,35-Projects!$C$43+1),0)+IF(AND(Projects!$G$44="Yes",35&gt;=Projects!$C$44,35&lt;Projects!$C$44+Projects!$D$44),Projects!$B$44*INDEX(Curves!$B$4:$AO$4,1,35-Projects!$C$44+1),0)+IF(AND(Projects!$G$45="Yes",35&gt;=Projects!$C$45,35&lt;Projects!$C$45+Projects!$D$45),Projects!$B$45*INDEX(Curves!$B$4:$AO$4,1,35-Projects!$C$45+1),0)+IF(AND(Projects!$G$46="Yes",35&gt;=Projects!$C$46,35&lt;Projects!$C$46+Projects!$D$46),Projects!$B$46*INDEX(Curves!$B$4:$AO$4,1,35-Projects!$C$46+1),0)</f>
        <v/>
      </c>
      <c r="AL107">
        <f>IF(AND(Projects!$G$30="Yes",36&gt;=Projects!$C$30,36&lt;Projects!$C$30+Projects!$D$30),Projects!$B$30*INDEX(Curves!$B$4:$AO$4,1,36-Projects!$C$30+1),0)+IF(AND(Projects!$G$31="Yes",36&gt;=Projects!$C$31,36&lt;Projects!$C$31+Projects!$D$31),Projects!$B$31*INDEX(Curves!$B$4:$AO$4,1,36-Projects!$C$31+1),0)+IF(AND(Projects!$G$32="Yes",36&gt;=Projects!$C$32,36&lt;Projects!$C$32+Projects!$D$32),Projects!$B$32*INDEX(Curves!$B$4:$AO$4,1,36-Projects!$C$32+1),0)+IF(AND(Projects!$G$33="Yes",36&gt;=Projects!$C$33,36&lt;Projects!$C$33+Projects!$D$33),Projects!$B$33*INDEX(Curves!$B$4:$AO$4,1,36-Projects!$C$33+1),0)+IF(AND(Projects!$G$34="Yes",36&gt;=Projects!$C$34,36&lt;Projects!$C$34+Projects!$D$34),Projects!$B$34*INDEX(Curves!$B$4:$AO$4,1,36-Projects!$C$34+1),0)+IF(AND(Projects!$G$35="Yes",36&gt;=Projects!$C$35,36&lt;Projects!$C$35+Projects!$D$35),Projects!$B$35*INDEX(Curves!$B$4:$AO$4,1,36-Projects!$C$35+1),0)+IF(AND(Projects!$G$36="Yes",36&gt;=Projects!$C$36,36&lt;Projects!$C$36+Projects!$D$36),Projects!$B$36*INDEX(Curves!$B$4:$AO$4,1,36-Projects!$C$36+1),0)+IF(AND(Projects!$G$37="Yes",36&gt;=Projects!$C$37,36&lt;Projects!$C$37+Projects!$D$37),Projects!$B$37*INDEX(Curves!$B$4:$AO$4,1,36-Projects!$C$37+1),0)+IF(AND(Projects!$G$38="Yes",36&gt;=Projects!$C$38,36&lt;Projects!$C$38+Projects!$D$38),Projects!$B$38*INDEX(Curves!$B$4:$AO$4,1,36-Projects!$C$38+1),0)+IF(AND(Projects!$G$39="Yes",36&gt;=Projects!$C$39,36&lt;Projects!$C$39+Projects!$D$39),Projects!$B$39*INDEX(Curves!$B$4:$AO$4,1,36-Projects!$C$39+1),0)+IF(AND(Projects!$G$40="Yes",36&gt;=Projects!$C$40,36&lt;Projects!$C$40+Projects!$D$40),Projects!$B$40*INDEX(Curves!$B$4:$AO$4,1,36-Projects!$C$40+1),0)+IF(AND(Projects!$G$41="Yes",36&gt;=Projects!$C$41,36&lt;Projects!$C$41+Projects!$D$41),Projects!$B$41*INDEX(Curves!$B$4:$AO$4,1,36-Projects!$C$41+1),0)+IF(AND(Projects!$G$42="Yes",36&gt;=Projects!$C$42,36&lt;Projects!$C$42+Projects!$D$42),Projects!$B$42*INDEX(Curves!$B$4:$AO$4,1,36-Projects!$C$42+1),0)+IF(AND(Projects!$G$43="Yes",36&gt;=Projects!$C$43,36&lt;Projects!$C$43+Projects!$D$43),Projects!$B$43*INDEX(Curves!$B$4:$AO$4,1,36-Projects!$C$43+1),0)+IF(AND(Projects!$G$44="Yes",36&gt;=Projects!$C$44,36&lt;Projects!$C$44+Projects!$D$44),Projects!$B$44*INDEX(Curves!$B$4:$AO$4,1,36-Projects!$C$44+1),0)+IF(AND(Projects!$G$45="Yes",36&gt;=Projects!$C$45,36&lt;Projects!$C$45+Projects!$D$45),Projects!$B$45*INDEX(Curves!$B$4:$AO$4,1,36-Projects!$C$45+1),0)+IF(AND(Projects!$G$46="Yes",36&gt;=Projects!$C$46,36&lt;Projects!$C$46+Projects!$D$46),Projects!$B$46*INDEX(Curves!$B$4:$AO$4,1,36-Projects!$C$46+1),0)</f>
        <v/>
      </c>
      <c r="AM107">
        <f>IF(AND(Projects!$G$30="Yes",37&gt;=Projects!$C$30,37&lt;Projects!$C$30+Projects!$D$30),Projects!$B$30*INDEX(Curves!$B$4:$AO$4,1,37-Projects!$C$30+1),0)+IF(AND(Projects!$G$31="Yes",37&gt;=Projects!$C$31,37&lt;Projects!$C$31+Projects!$D$31),Projects!$B$31*INDEX(Curves!$B$4:$AO$4,1,37-Projects!$C$31+1),0)+IF(AND(Projects!$G$32="Yes",37&gt;=Projects!$C$32,37&lt;Projects!$C$32+Projects!$D$32),Projects!$B$32*INDEX(Curves!$B$4:$AO$4,1,37-Projects!$C$32+1),0)+IF(AND(Projects!$G$33="Yes",37&gt;=Projects!$C$33,37&lt;Projects!$C$33+Projects!$D$33),Projects!$B$33*INDEX(Curves!$B$4:$AO$4,1,37-Projects!$C$33+1),0)+IF(AND(Projects!$G$34="Yes",37&gt;=Projects!$C$34,37&lt;Projects!$C$34+Projects!$D$34),Projects!$B$34*INDEX(Curves!$B$4:$AO$4,1,37-Projects!$C$34+1),0)+IF(AND(Projects!$G$35="Yes",37&gt;=Projects!$C$35,37&lt;Projects!$C$35+Projects!$D$35),Projects!$B$35*INDEX(Curves!$B$4:$AO$4,1,37-Projects!$C$35+1),0)+IF(AND(Projects!$G$36="Yes",37&gt;=Projects!$C$36,37&lt;Projects!$C$36+Projects!$D$36),Projects!$B$36*INDEX(Curves!$B$4:$AO$4,1,37-Projects!$C$36+1),0)+IF(AND(Projects!$G$37="Yes",37&gt;=Projects!$C$37,37&lt;Projects!$C$37+Projects!$D$37),Projects!$B$37*INDEX(Curves!$B$4:$AO$4,1,37-Projects!$C$37+1),0)+IF(AND(Projects!$G$38="Yes",37&gt;=Projects!$C$38,37&lt;Projects!$C$38+Projects!$D$38),Projects!$B$38*INDEX(Curves!$B$4:$AO$4,1,37-Projects!$C$38+1),0)+IF(AND(Projects!$G$39="Yes",37&gt;=Projects!$C$39,37&lt;Projects!$C$39+Projects!$D$39),Projects!$B$39*INDEX(Curves!$B$4:$AO$4,1,37-Projects!$C$39+1),0)+IF(AND(Projects!$G$40="Yes",37&gt;=Projects!$C$40,37&lt;Projects!$C$40+Projects!$D$40),Projects!$B$40*INDEX(Curves!$B$4:$AO$4,1,37-Projects!$C$40+1),0)+IF(AND(Projects!$G$41="Yes",37&gt;=Projects!$C$41,37&lt;Projects!$C$41+Projects!$D$41),Projects!$B$41*INDEX(Curves!$B$4:$AO$4,1,37-Projects!$C$41+1),0)+IF(AND(Projects!$G$42="Yes",37&gt;=Projects!$C$42,37&lt;Projects!$C$42+Projects!$D$42),Projects!$B$42*INDEX(Curves!$B$4:$AO$4,1,37-Projects!$C$42+1),0)+IF(AND(Projects!$G$43="Yes",37&gt;=Projects!$C$43,37&lt;Projects!$C$43+Projects!$D$43),Projects!$B$43*INDEX(Curves!$B$4:$AO$4,1,37-Projects!$C$43+1),0)+IF(AND(Projects!$G$44="Yes",37&gt;=Projects!$C$44,37&lt;Projects!$C$44+Projects!$D$44),Projects!$B$44*INDEX(Curves!$B$4:$AO$4,1,37-Projects!$C$44+1),0)+IF(AND(Projects!$G$45="Yes",37&gt;=Projects!$C$45,37&lt;Projects!$C$45+Projects!$D$45),Projects!$B$45*INDEX(Curves!$B$4:$AO$4,1,37-Projects!$C$45+1),0)+IF(AND(Projects!$G$46="Yes",37&gt;=Projects!$C$46,37&lt;Projects!$C$46+Projects!$D$46),Projects!$B$46*INDEX(Curves!$B$4:$AO$4,1,37-Projects!$C$46+1),0)</f>
        <v/>
      </c>
      <c r="AN107">
        <f>IF(AND(Projects!$G$30="Yes",38&gt;=Projects!$C$30,38&lt;Projects!$C$30+Projects!$D$30),Projects!$B$30*INDEX(Curves!$B$4:$AO$4,1,38-Projects!$C$30+1),0)+IF(AND(Projects!$G$31="Yes",38&gt;=Projects!$C$31,38&lt;Projects!$C$31+Projects!$D$31),Projects!$B$31*INDEX(Curves!$B$4:$AO$4,1,38-Projects!$C$31+1),0)+IF(AND(Projects!$G$32="Yes",38&gt;=Projects!$C$32,38&lt;Projects!$C$32+Projects!$D$32),Projects!$B$32*INDEX(Curves!$B$4:$AO$4,1,38-Projects!$C$32+1),0)+IF(AND(Projects!$G$33="Yes",38&gt;=Projects!$C$33,38&lt;Projects!$C$33+Projects!$D$33),Projects!$B$33*INDEX(Curves!$B$4:$AO$4,1,38-Projects!$C$33+1),0)+IF(AND(Projects!$G$34="Yes",38&gt;=Projects!$C$34,38&lt;Projects!$C$34+Projects!$D$34),Projects!$B$34*INDEX(Curves!$B$4:$AO$4,1,38-Projects!$C$34+1),0)+IF(AND(Projects!$G$35="Yes",38&gt;=Projects!$C$35,38&lt;Projects!$C$35+Projects!$D$35),Projects!$B$35*INDEX(Curves!$B$4:$AO$4,1,38-Projects!$C$35+1),0)+IF(AND(Projects!$G$36="Yes",38&gt;=Projects!$C$36,38&lt;Projects!$C$36+Projects!$D$36),Projects!$B$36*INDEX(Curves!$B$4:$AO$4,1,38-Projects!$C$36+1),0)+IF(AND(Projects!$G$37="Yes",38&gt;=Projects!$C$37,38&lt;Projects!$C$37+Projects!$D$37),Projects!$B$37*INDEX(Curves!$B$4:$AO$4,1,38-Projects!$C$37+1),0)+IF(AND(Projects!$G$38="Yes",38&gt;=Projects!$C$38,38&lt;Projects!$C$38+Projects!$D$38),Projects!$B$38*INDEX(Curves!$B$4:$AO$4,1,38-Projects!$C$38+1),0)+IF(AND(Projects!$G$39="Yes",38&gt;=Projects!$C$39,38&lt;Projects!$C$39+Projects!$D$39),Projects!$B$39*INDEX(Curves!$B$4:$AO$4,1,38-Projects!$C$39+1),0)+IF(AND(Projects!$G$40="Yes",38&gt;=Projects!$C$40,38&lt;Projects!$C$40+Projects!$D$40),Projects!$B$40*INDEX(Curves!$B$4:$AO$4,1,38-Projects!$C$40+1),0)+IF(AND(Projects!$G$41="Yes",38&gt;=Projects!$C$41,38&lt;Projects!$C$41+Projects!$D$41),Projects!$B$41*INDEX(Curves!$B$4:$AO$4,1,38-Projects!$C$41+1),0)+IF(AND(Projects!$G$42="Yes",38&gt;=Projects!$C$42,38&lt;Projects!$C$42+Projects!$D$42),Projects!$B$42*INDEX(Curves!$B$4:$AO$4,1,38-Projects!$C$42+1),0)+IF(AND(Projects!$G$43="Yes",38&gt;=Projects!$C$43,38&lt;Projects!$C$43+Projects!$D$43),Projects!$B$43*INDEX(Curves!$B$4:$AO$4,1,38-Projects!$C$43+1),0)+IF(AND(Projects!$G$44="Yes",38&gt;=Projects!$C$44,38&lt;Projects!$C$44+Projects!$D$44),Projects!$B$44*INDEX(Curves!$B$4:$AO$4,1,38-Projects!$C$44+1),0)+IF(AND(Projects!$G$45="Yes",38&gt;=Projects!$C$45,38&lt;Projects!$C$45+Projects!$D$45),Projects!$B$45*INDEX(Curves!$B$4:$AO$4,1,38-Projects!$C$45+1),0)+IF(AND(Projects!$G$46="Yes",38&gt;=Projects!$C$46,38&lt;Projects!$C$46+Projects!$D$46),Projects!$B$46*INDEX(Curves!$B$4:$AO$4,1,38-Projects!$C$46+1),0)</f>
        <v/>
      </c>
      <c r="AO107">
        <f>IF(AND(Projects!$G$30="Yes",39&gt;=Projects!$C$30,39&lt;Projects!$C$30+Projects!$D$30),Projects!$B$30*INDEX(Curves!$B$4:$AO$4,1,39-Projects!$C$30+1),0)+IF(AND(Projects!$G$31="Yes",39&gt;=Projects!$C$31,39&lt;Projects!$C$31+Projects!$D$31),Projects!$B$31*INDEX(Curves!$B$4:$AO$4,1,39-Projects!$C$31+1),0)+IF(AND(Projects!$G$32="Yes",39&gt;=Projects!$C$32,39&lt;Projects!$C$32+Projects!$D$32),Projects!$B$32*INDEX(Curves!$B$4:$AO$4,1,39-Projects!$C$32+1),0)+IF(AND(Projects!$G$33="Yes",39&gt;=Projects!$C$33,39&lt;Projects!$C$33+Projects!$D$33),Projects!$B$33*INDEX(Curves!$B$4:$AO$4,1,39-Projects!$C$33+1),0)+IF(AND(Projects!$G$34="Yes",39&gt;=Projects!$C$34,39&lt;Projects!$C$34+Projects!$D$34),Projects!$B$34*INDEX(Curves!$B$4:$AO$4,1,39-Projects!$C$34+1),0)+IF(AND(Projects!$G$35="Yes",39&gt;=Projects!$C$35,39&lt;Projects!$C$35+Projects!$D$35),Projects!$B$35*INDEX(Curves!$B$4:$AO$4,1,39-Projects!$C$35+1),0)+IF(AND(Projects!$G$36="Yes",39&gt;=Projects!$C$36,39&lt;Projects!$C$36+Projects!$D$36),Projects!$B$36*INDEX(Curves!$B$4:$AO$4,1,39-Projects!$C$36+1),0)+IF(AND(Projects!$G$37="Yes",39&gt;=Projects!$C$37,39&lt;Projects!$C$37+Projects!$D$37),Projects!$B$37*INDEX(Curves!$B$4:$AO$4,1,39-Projects!$C$37+1),0)+IF(AND(Projects!$G$38="Yes",39&gt;=Projects!$C$38,39&lt;Projects!$C$38+Projects!$D$38),Projects!$B$38*INDEX(Curves!$B$4:$AO$4,1,39-Projects!$C$38+1),0)+IF(AND(Projects!$G$39="Yes",39&gt;=Projects!$C$39,39&lt;Projects!$C$39+Projects!$D$39),Projects!$B$39*INDEX(Curves!$B$4:$AO$4,1,39-Projects!$C$39+1),0)+IF(AND(Projects!$G$40="Yes",39&gt;=Projects!$C$40,39&lt;Projects!$C$40+Projects!$D$40),Projects!$B$40*INDEX(Curves!$B$4:$AO$4,1,39-Projects!$C$40+1),0)+IF(AND(Projects!$G$41="Yes",39&gt;=Projects!$C$41,39&lt;Projects!$C$41+Projects!$D$41),Projects!$B$41*INDEX(Curves!$B$4:$AO$4,1,39-Projects!$C$41+1),0)+IF(AND(Projects!$G$42="Yes",39&gt;=Projects!$C$42,39&lt;Projects!$C$42+Projects!$D$42),Projects!$B$42*INDEX(Curves!$B$4:$AO$4,1,39-Projects!$C$42+1),0)+IF(AND(Projects!$G$43="Yes",39&gt;=Projects!$C$43,39&lt;Projects!$C$43+Projects!$D$43),Projects!$B$43*INDEX(Curves!$B$4:$AO$4,1,39-Projects!$C$43+1),0)+IF(AND(Projects!$G$44="Yes",39&gt;=Projects!$C$44,39&lt;Projects!$C$44+Projects!$D$44),Projects!$B$44*INDEX(Curves!$B$4:$AO$4,1,39-Projects!$C$44+1),0)+IF(AND(Projects!$G$45="Yes",39&gt;=Projects!$C$45,39&lt;Projects!$C$45+Projects!$D$45),Projects!$B$45*INDEX(Curves!$B$4:$AO$4,1,39-Projects!$C$45+1),0)+IF(AND(Projects!$G$46="Yes",39&gt;=Projects!$C$46,39&lt;Projects!$C$46+Projects!$D$46),Projects!$B$46*INDEX(Curves!$B$4:$AO$4,1,39-Projects!$C$46+1),0)</f>
        <v/>
      </c>
      <c r="AP107">
        <f>IF(AND(Projects!$G$30="Yes",40&gt;=Projects!$C$30,40&lt;Projects!$C$30+Projects!$D$30),Projects!$B$30*INDEX(Curves!$B$4:$AO$4,1,40-Projects!$C$30+1),0)+IF(AND(Projects!$G$31="Yes",40&gt;=Projects!$C$31,40&lt;Projects!$C$31+Projects!$D$31),Projects!$B$31*INDEX(Curves!$B$4:$AO$4,1,40-Projects!$C$31+1),0)+IF(AND(Projects!$G$32="Yes",40&gt;=Projects!$C$32,40&lt;Projects!$C$32+Projects!$D$32),Projects!$B$32*INDEX(Curves!$B$4:$AO$4,1,40-Projects!$C$32+1),0)+IF(AND(Projects!$G$33="Yes",40&gt;=Projects!$C$33,40&lt;Projects!$C$33+Projects!$D$33),Projects!$B$33*INDEX(Curves!$B$4:$AO$4,1,40-Projects!$C$33+1),0)+IF(AND(Projects!$G$34="Yes",40&gt;=Projects!$C$34,40&lt;Projects!$C$34+Projects!$D$34),Projects!$B$34*INDEX(Curves!$B$4:$AO$4,1,40-Projects!$C$34+1),0)+IF(AND(Projects!$G$35="Yes",40&gt;=Projects!$C$35,40&lt;Projects!$C$35+Projects!$D$35),Projects!$B$35*INDEX(Curves!$B$4:$AO$4,1,40-Projects!$C$35+1),0)+IF(AND(Projects!$G$36="Yes",40&gt;=Projects!$C$36,40&lt;Projects!$C$36+Projects!$D$36),Projects!$B$36*INDEX(Curves!$B$4:$AO$4,1,40-Projects!$C$36+1),0)+IF(AND(Projects!$G$37="Yes",40&gt;=Projects!$C$37,40&lt;Projects!$C$37+Projects!$D$37),Projects!$B$37*INDEX(Curves!$B$4:$AO$4,1,40-Projects!$C$37+1),0)+IF(AND(Projects!$G$38="Yes",40&gt;=Projects!$C$38,40&lt;Projects!$C$38+Projects!$D$38),Projects!$B$38*INDEX(Curves!$B$4:$AO$4,1,40-Projects!$C$38+1),0)+IF(AND(Projects!$G$39="Yes",40&gt;=Projects!$C$39,40&lt;Projects!$C$39+Projects!$D$39),Projects!$B$39*INDEX(Curves!$B$4:$AO$4,1,40-Projects!$C$39+1),0)+IF(AND(Projects!$G$40="Yes",40&gt;=Projects!$C$40,40&lt;Projects!$C$40+Projects!$D$40),Projects!$B$40*INDEX(Curves!$B$4:$AO$4,1,40-Projects!$C$40+1),0)+IF(AND(Projects!$G$41="Yes",40&gt;=Projects!$C$41,40&lt;Projects!$C$41+Projects!$D$41),Projects!$B$41*INDEX(Curves!$B$4:$AO$4,1,40-Projects!$C$41+1),0)+IF(AND(Projects!$G$42="Yes",40&gt;=Projects!$C$42,40&lt;Projects!$C$42+Projects!$D$42),Projects!$B$42*INDEX(Curves!$B$4:$AO$4,1,40-Projects!$C$42+1),0)+IF(AND(Projects!$G$43="Yes",40&gt;=Projects!$C$43,40&lt;Projects!$C$43+Projects!$D$43),Projects!$B$43*INDEX(Curves!$B$4:$AO$4,1,40-Projects!$C$43+1),0)+IF(AND(Projects!$G$44="Yes",40&gt;=Projects!$C$44,40&lt;Projects!$C$44+Projects!$D$44),Projects!$B$44*INDEX(Curves!$B$4:$AO$4,1,40-Projects!$C$44+1),0)+IF(AND(Projects!$G$45="Yes",40&gt;=Projects!$C$45,40&lt;Projects!$C$45+Projects!$D$45),Projects!$B$45*INDEX(Curves!$B$4:$AO$4,1,40-Projects!$C$45+1),0)+IF(AND(Projects!$G$46="Yes",40&gt;=Projects!$C$46,40&lt;Projects!$C$46+Projects!$D$46),Projects!$B$46*INDEX(Curves!$B$4:$AO$4,1,40-Projects!$C$46+1),0)</f>
        <v/>
      </c>
      <c r="AQ107">
        <f>IF(AND(Projects!$G$30="Yes",41&gt;=Projects!$C$30,41&lt;Projects!$C$30+Projects!$D$30),Projects!$B$30*INDEX(Curves!$B$4:$AO$4,1,41-Projects!$C$30+1),0)+IF(AND(Projects!$G$31="Yes",41&gt;=Projects!$C$31,41&lt;Projects!$C$31+Projects!$D$31),Projects!$B$31*INDEX(Curves!$B$4:$AO$4,1,41-Projects!$C$31+1),0)+IF(AND(Projects!$G$32="Yes",41&gt;=Projects!$C$32,41&lt;Projects!$C$32+Projects!$D$32),Projects!$B$32*INDEX(Curves!$B$4:$AO$4,1,41-Projects!$C$32+1),0)+IF(AND(Projects!$G$33="Yes",41&gt;=Projects!$C$33,41&lt;Projects!$C$33+Projects!$D$33),Projects!$B$33*INDEX(Curves!$B$4:$AO$4,1,41-Projects!$C$33+1),0)+IF(AND(Projects!$G$34="Yes",41&gt;=Projects!$C$34,41&lt;Projects!$C$34+Projects!$D$34),Projects!$B$34*INDEX(Curves!$B$4:$AO$4,1,41-Projects!$C$34+1),0)+IF(AND(Projects!$G$35="Yes",41&gt;=Projects!$C$35,41&lt;Projects!$C$35+Projects!$D$35),Projects!$B$35*INDEX(Curves!$B$4:$AO$4,1,41-Projects!$C$35+1),0)+IF(AND(Projects!$G$36="Yes",41&gt;=Projects!$C$36,41&lt;Projects!$C$36+Projects!$D$36),Projects!$B$36*INDEX(Curves!$B$4:$AO$4,1,41-Projects!$C$36+1),0)+IF(AND(Projects!$G$37="Yes",41&gt;=Projects!$C$37,41&lt;Projects!$C$37+Projects!$D$37),Projects!$B$37*INDEX(Curves!$B$4:$AO$4,1,41-Projects!$C$37+1),0)+IF(AND(Projects!$G$38="Yes",41&gt;=Projects!$C$38,41&lt;Projects!$C$38+Projects!$D$38),Projects!$B$38*INDEX(Curves!$B$4:$AO$4,1,41-Projects!$C$38+1),0)+IF(AND(Projects!$G$39="Yes",41&gt;=Projects!$C$39,41&lt;Projects!$C$39+Projects!$D$39),Projects!$B$39*INDEX(Curves!$B$4:$AO$4,1,41-Projects!$C$39+1),0)+IF(AND(Projects!$G$40="Yes",41&gt;=Projects!$C$40,41&lt;Projects!$C$40+Projects!$D$40),Projects!$B$40*INDEX(Curves!$B$4:$AO$4,1,41-Projects!$C$40+1),0)+IF(AND(Projects!$G$41="Yes",41&gt;=Projects!$C$41,41&lt;Projects!$C$41+Projects!$D$41),Projects!$B$41*INDEX(Curves!$B$4:$AO$4,1,41-Projects!$C$41+1),0)+IF(AND(Projects!$G$42="Yes",41&gt;=Projects!$C$42,41&lt;Projects!$C$42+Projects!$D$42),Projects!$B$42*INDEX(Curves!$B$4:$AO$4,1,41-Projects!$C$42+1),0)+IF(AND(Projects!$G$43="Yes",41&gt;=Projects!$C$43,41&lt;Projects!$C$43+Projects!$D$43),Projects!$B$43*INDEX(Curves!$B$4:$AO$4,1,41-Projects!$C$43+1),0)+IF(AND(Projects!$G$44="Yes",41&gt;=Projects!$C$44,41&lt;Projects!$C$44+Projects!$D$44),Projects!$B$44*INDEX(Curves!$B$4:$AO$4,1,41-Projects!$C$44+1),0)+IF(AND(Projects!$G$45="Yes",41&gt;=Projects!$C$45,41&lt;Projects!$C$45+Projects!$D$45),Projects!$B$45*INDEX(Curves!$B$4:$AO$4,1,41-Projects!$C$45+1),0)+IF(AND(Projects!$G$46="Yes",41&gt;=Projects!$C$46,41&lt;Projects!$C$46+Projects!$D$46),Projects!$B$46*INDEX(Curves!$B$4:$AO$4,1,41-Projects!$C$46+1),0)</f>
        <v/>
      </c>
      <c r="AR107">
        <f>IF(AND(Projects!$G$30="Yes",42&gt;=Projects!$C$30,42&lt;Projects!$C$30+Projects!$D$30),Projects!$B$30*INDEX(Curves!$B$4:$AO$4,1,42-Projects!$C$30+1),0)+IF(AND(Projects!$G$31="Yes",42&gt;=Projects!$C$31,42&lt;Projects!$C$31+Projects!$D$31),Projects!$B$31*INDEX(Curves!$B$4:$AO$4,1,42-Projects!$C$31+1),0)+IF(AND(Projects!$G$32="Yes",42&gt;=Projects!$C$32,42&lt;Projects!$C$32+Projects!$D$32),Projects!$B$32*INDEX(Curves!$B$4:$AO$4,1,42-Projects!$C$32+1),0)+IF(AND(Projects!$G$33="Yes",42&gt;=Projects!$C$33,42&lt;Projects!$C$33+Projects!$D$33),Projects!$B$33*INDEX(Curves!$B$4:$AO$4,1,42-Projects!$C$33+1),0)+IF(AND(Projects!$G$34="Yes",42&gt;=Projects!$C$34,42&lt;Projects!$C$34+Projects!$D$34),Projects!$B$34*INDEX(Curves!$B$4:$AO$4,1,42-Projects!$C$34+1),0)+IF(AND(Projects!$G$35="Yes",42&gt;=Projects!$C$35,42&lt;Projects!$C$35+Projects!$D$35),Projects!$B$35*INDEX(Curves!$B$4:$AO$4,1,42-Projects!$C$35+1),0)+IF(AND(Projects!$G$36="Yes",42&gt;=Projects!$C$36,42&lt;Projects!$C$36+Projects!$D$36),Projects!$B$36*INDEX(Curves!$B$4:$AO$4,1,42-Projects!$C$36+1),0)+IF(AND(Projects!$G$37="Yes",42&gt;=Projects!$C$37,42&lt;Projects!$C$37+Projects!$D$37),Projects!$B$37*INDEX(Curves!$B$4:$AO$4,1,42-Projects!$C$37+1),0)+IF(AND(Projects!$G$38="Yes",42&gt;=Projects!$C$38,42&lt;Projects!$C$38+Projects!$D$38),Projects!$B$38*INDEX(Curves!$B$4:$AO$4,1,42-Projects!$C$38+1),0)+IF(AND(Projects!$G$39="Yes",42&gt;=Projects!$C$39,42&lt;Projects!$C$39+Projects!$D$39),Projects!$B$39*INDEX(Curves!$B$4:$AO$4,1,42-Projects!$C$39+1),0)+IF(AND(Projects!$G$40="Yes",42&gt;=Projects!$C$40,42&lt;Projects!$C$40+Projects!$D$40),Projects!$B$40*INDEX(Curves!$B$4:$AO$4,1,42-Projects!$C$40+1),0)+IF(AND(Projects!$G$41="Yes",42&gt;=Projects!$C$41,42&lt;Projects!$C$41+Projects!$D$41),Projects!$B$41*INDEX(Curves!$B$4:$AO$4,1,42-Projects!$C$41+1),0)+IF(AND(Projects!$G$42="Yes",42&gt;=Projects!$C$42,42&lt;Projects!$C$42+Projects!$D$42),Projects!$B$42*INDEX(Curves!$B$4:$AO$4,1,42-Projects!$C$42+1),0)+IF(AND(Projects!$G$43="Yes",42&gt;=Projects!$C$43,42&lt;Projects!$C$43+Projects!$D$43),Projects!$B$43*INDEX(Curves!$B$4:$AO$4,1,42-Projects!$C$43+1),0)+IF(AND(Projects!$G$44="Yes",42&gt;=Projects!$C$44,42&lt;Projects!$C$44+Projects!$D$44),Projects!$B$44*INDEX(Curves!$B$4:$AO$4,1,42-Projects!$C$44+1),0)+IF(AND(Projects!$G$45="Yes",42&gt;=Projects!$C$45,42&lt;Projects!$C$45+Projects!$D$45),Projects!$B$45*INDEX(Curves!$B$4:$AO$4,1,42-Projects!$C$45+1),0)+IF(AND(Projects!$G$46="Yes",42&gt;=Projects!$C$46,42&lt;Projects!$C$46+Projects!$D$46),Projects!$B$46*INDEX(Curves!$B$4:$AO$4,1,42-Projects!$C$46+1),0)</f>
        <v/>
      </c>
      <c r="AS107">
        <f>IF(AND(Projects!$G$30="Yes",43&gt;=Projects!$C$30,43&lt;Projects!$C$30+Projects!$D$30),Projects!$B$30*INDEX(Curves!$B$4:$AO$4,1,43-Projects!$C$30+1),0)+IF(AND(Projects!$G$31="Yes",43&gt;=Projects!$C$31,43&lt;Projects!$C$31+Projects!$D$31),Projects!$B$31*INDEX(Curves!$B$4:$AO$4,1,43-Projects!$C$31+1),0)+IF(AND(Projects!$G$32="Yes",43&gt;=Projects!$C$32,43&lt;Projects!$C$32+Projects!$D$32),Projects!$B$32*INDEX(Curves!$B$4:$AO$4,1,43-Projects!$C$32+1),0)+IF(AND(Projects!$G$33="Yes",43&gt;=Projects!$C$33,43&lt;Projects!$C$33+Projects!$D$33),Projects!$B$33*INDEX(Curves!$B$4:$AO$4,1,43-Projects!$C$33+1),0)+IF(AND(Projects!$G$34="Yes",43&gt;=Projects!$C$34,43&lt;Projects!$C$34+Projects!$D$34),Projects!$B$34*INDEX(Curves!$B$4:$AO$4,1,43-Projects!$C$34+1),0)+IF(AND(Projects!$G$35="Yes",43&gt;=Projects!$C$35,43&lt;Projects!$C$35+Projects!$D$35),Projects!$B$35*INDEX(Curves!$B$4:$AO$4,1,43-Projects!$C$35+1),0)+IF(AND(Projects!$G$36="Yes",43&gt;=Projects!$C$36,43&lt;Projects!$C$36+Projects!$D$36),Projects!$B$36*INDEX(Curves!$B$4:$AO$4,1,43-Projects!$C$36+1),0)+IF(AND(Projects!$G$37="Yes",43&gt;=Projects!$C$37,43&lt;Projects!$C$37+Projects!$D$37),Projects!$B$37*INDEX(Curves!$B$4:$AO$4,1,43-Projects!$C$37+1),0)+IF(AND(Projects!$G$38="Yes",43&gt;=Projects!$C$38,43&lt;Projects!$C$38+Projects!$D$38),Projects!$B$38*INDEX(Curves!$B$4:$AO$4,1,43-Projects!$C$38+1),0)+IF(AND(Projects!$G$39="Yes",43&gt;=Projects!$C$39,43&lt;Projects!$C$39+Projects!$D$39),Projects!$B$39*INDEX(Curves!$B$4:$AO$4,1,43-Projects!$C$39+1),0)+IF(AND(Projects!$G$40="Yes",43&gt;=Projects!$C$40,43&lt;Projects!$C$40+Projects!$D$40),Projects!$B$40*INDEX(Curves!$B$4:$AO$4,1,43-Projects!$C$40+1),0)+IF(AND(Projects!$G$41="Yes",43&gt;=Projects!$C$41,43&lt;Projects!$C$41+Projects!$D$41),Projects!$B$41*INDEX(Curves!$B$4:$AO$4,1,43-Projects!$C$41+1),0)+IF(AND(Projects!$G$42="Yes",43&gt;=Projects!$C$42,43&lt;Projects!$C$42+Projects!$D$42),Projects!$B$42*INDEX(Curves!$B$4:$AO$4,1,43-Projects!$C$42+1),0)+IF(AND(Projects!$G$43="Yes",43&gt;=Projects!$C$43,43&lt;Projects!$C$43+Projects!$D$43),Projects!$B$43*INDEX(Curves!$B$4:$AO$4,1,43-Projects!$C$43+1),0)+IF(AND(Projects!$G$44="Yes",43&gt;=Projects!$C$44,43&lt;Projects!$C$44+Projects!$D$44),Projects!$B$44*INDEX(Curves!$B$4:$AO$4,1,43-Projects!$C$44+1),0)+IF(AND(Projects!$G$45="Yes",43&gt;=Projects!$C$45,43&lt;Projects!$C$45+Projects!$D$45),Projects!$B$45*INDEX(Curves!$B$4:$AO$4,1,43-Projects!$C$45+1),0)+IF(AND(Projects!$G$46="Yes",43&gt;=Projects!$C$46,43&lt;Projects!$C$46+Projects!$D$46),Projects!$B$46*INDEX(Curves!$B$4:$AO$4,1,43-Projects!$C$46+1),0)</f>
        <v/>
      </c>
      <c r="AT107">
        <f>IF(AND(Projects!$G$30="Yes",44&gt;=Projects!$C$30,44&lt;Projects!$C$30+Projects!$D$30),Projects!$B$30*INDEX(Curves!$B$4:$AO$4,1,44-Projects!$C$30+1),0)+IF(AND(Projects!$G$31="Yes",44&gt;=Projects!$C$31,44&lt;Projects!$C$31+Projects!$D$31),Projects!$B$31*INDEX(Curves!$B$4:$AO$4,1,44-Projects!$C$31+1),0)+IF(AND(Projects!$G$32="Yes",44&gt;=Projects!$C$32,44&lt;Projects!$C$32+Projects!$D$32),Projects!$B$32*INDEX(Curves!$B$4:$AO$4,1,44-Projects!$C$32+1),0)+IF(AND(Projects!$G$33="Yes",44&gt;=Projects!$C$33,44&lt;Projects!$C$33+Projects!$D$33),Projects!$B$33*INDEX(Curves!$B$4:$AO$4,1,44-Projects!$C$33+1),0)+IF(AND(Projects!$G$34="Yes",44&gt;=Projects!$C$34,44&lt;Projects!$C$34+Projects!$D$34),Projects!$B$34*INDEX(Curves!$B$4:$AO$4,1,44-Projects!$C$34+1),0)+IF(AND(Projects!$G$35="Yes",44&gt;=Projects!$C$35,44&lt;Projects!$C$35+Projects!$D$35),Projects!$B$35*INDEX(Curves!$B$4:$AO$4,1,44-Projects!$C$35+1),0)+IF(AND(Projects!$G$36="Yes",44&gt;=Projects!$C$36,44&lt;Projects!$C$36+Projects!$D$36),Projects!$B$36*INDEX(Curves!$B$4:$AO$4,1,44-Projects!$C$36+1),0)+IF(AND(Projects!$G$37="Yes",44&gt;=Projects!$C$37,44&lt;Projects!$C$37+Projects!$D$37),Projects!$B$37*INDEX(Curves!$B$4:$AO$4,1,44-Projects!$C$37+1),0)+IF(AND(Projects!$G$38="Yes",44&gt;=Projects!$C$38,44&lt;Projects!$C$38+Projects!$D$38),Projects!$B$38*INDEX(Curves!$B$4:$AO$4,1,44-Projects!$C$38+1),0)+IF(AND(Projects!$G$39="Yes",44&gt;=Projects!$C$39,44&lt;Projects!$C$39+Projects!$D$39),Projects!$B$39*INDEX(Curves!$B$4:$AO$4,1,44-Projects!$C$39+1),0)+IF(AND(Projects!$G$40="Yes",44&gt;=Projects!$C$40,44&lt;Projects!$C$40+Projects!$D$40),Projects!$B$40*INDEX(Curves!$B$4:$AO$4,1,44-Projects!$C$40+1),0)+IF(AND(Projects!$G$41="Yes",44&gt;=Projects!$C$41,44&lt;Projects!$C$41+Projects!$D$41),Projects!$B$41*INDEX(Curves!$B$4:$AO$4,1,44-Projects!$C$41+1),0)+IF(AND(Projects!$G$42="Yes",44&gt;=Projects!$C$42,44&lt;Projects!$C$42+Projects!$D$42),Projects!$B$42*INDEX(Curves!$B$4:$AO$4,1,44-Projects!$C$42+1),0)+IF(AND(Projects!$G$43="Yes",44&gt;=Projects!$C$43,44&lt;Projects!$C$43+Projects!$D$43),Projects!$B$43*INDEX(Curves!$B$4:$AO$4,1,44-Projects!$C$43+1),0)+IF(AND(Projects!$G$44="Yes",44&gt;=Projects!$C$44,44&lt;Projects!$C$44+Projects!$D$44),Projects!$B$44*INDEX(Curves!$B$4:$AO$4,1,44-Projects!$C$44+1),0)+IF(AND(Projects!$G$45="Yes",44&gt;=Projects!$C$45,44&lt;Projects!$C$45+Projects!$D$45),Projects!$B$45*INDEX(Curves!$B$4:$AO$4,1,44-Projects!$C$45+1),0)+IF(AND(Projects!$G$46="Yes",44&gt;=Projects!$C$46,44&lt;Projects!$C$46+Projects!$D$46),Projects!$B$46*INDEX(Curves!$B$4:$AO$4,1,44-Projects!$C$46+1),0)</f>
        <v/>
      </c>
      <c r="AU107">
        <f>IF(AND(Projects!$G$30="Yes",45&gt;=Projects!$C$30,45&lt;Projects!$C$30+Projects!$D$30),Projects!$B$30*INDEX(Curves!$B$4:$AO$4,1,45-Projects!$C$30+1),0)+IF(AND(Projects!$G$31="Yes",45&gt;=Projects!$C$31,45&lt;Projects!$C$31+Projects!$D$31),Projects!$B$31*INDEX(Curves!$B$4:$AO$4,1,45-Projects!$C$31+1),0)+IF(AND(Projects!$G$32="Yes",45&gt;=Projects!$C$32,45&lt;Projects!$C$32+Projects!$D$32),Projects!$B$32*INDEX(Curves!$B$4:$AO$4,1,45-Projects!$C$32+1),0)+IF(AND(Projects!$G$33="Yes",45&gt;=Projects!$C$33,45&lt;Projects!$C$33+Projects!$D$33),Projects!$B$33*INDEX(Curves!$B$4:$AO$4,1,45-Projects!$C$33+1),0)+IF(AND(Projects!$G$34="Yes",45&gt;=Projects!$C$34,45&lt;Projects!$C$34+Projects!$D$34),Projects!$B$34*INDEX(Curves!$B$4:$AO$4,1,45-Projects!$C$34+1),0)+IF(AND(Projects!$G$35="Yes",45&gt;=Projects!$C$35,45&lt;Projects!$C$35+Projects!$D$35),Projects!$B$35*INDEX(Curves!$B$4:$AO$4,1,45-Projects!$C$35+1),0)+IF(AND(Projects!$G$36="Yes",45&gt;=Projects!$C$36,45&lt;Projects!$C$36+Projects!$D$36),Projects!$B$36*INDEX(Curves!$B$4:$AO$4,1,45-Projects!$C$36+1),0)+IF(AND(Projects!$G$37="Yes",45&gt;=Projects!$C$37,45&lt;Projects!$C$37+Projects!$D$37),Projects!$B$37*INDEX(Curves!$B$4:$AO$4,1,45-Projects!$C$37+1),0)+IF(AND(Projects!$G$38="Yes",45&gt;=Projects!$C$38,45&lt;Projects!$C$38+Projects!$D$38),Projects!$B$38*INDEX(Curves!$B$4:$AO$4,1,45-Projects!$C$38+1),0)+IF(AND(Projects!$G$39="Yes",45&gt;=Projects!$C$39,45&lt;Projects!$C$39+Projects!$D$39),Projects!$B$39*INDEX(Curves!$B$4:$AO$4,1,45-Projects!$C$39+1),0)+IF(AND(Projects!$G$40="Yes",45&gt;=Projects!$C$40,45&lt;Projects!$C$40+Projects!$D$40),Projects!$B$40*INDEX(Curves!$B$4:$AO$4,1,45-Projects!$C$40+1),0)+IF(AND(Projects!$G$41="Yes",45&gt;=Projects!$C$41,45&lt;Projects!$C$41+Projects!$D$41),Projects!$B$41*INDEX(Curves!$B$4:$AO$4,1,45-Projects!$C$41+1),0)+IF(AND(Projects!$G$42="Yes",45&gt;=Projects!$C$42,45&lt;Projects!$C$42+Projects!$D$42),Projects!$B$42*INDEX(Curves!$B$4:$AO$4,1,45-Projects!$C$42+1),0)+IF(AND(Projects!$G$43="Yes",45&gt;=Projects!$C$43,45&lt;Projects!$C$43+Projects!$D$43),Projects!$B$43*INDEX(Curves!$B$4:$AO$4,1,45-Projects!$C$43+1),0)+IF(AND(Projects!$G$44="Yes",45&gt;=Projects!$C$44,45&lt;Projects!$C$44+Projects!$D$44),Projects!$B$44*INDEX(Curves!$B$4:$AO$4,1,45-Projects!$C$44+1),0)+IF(AND(Projects!$G$45="Yes",45&gt;=Projects!$C$45,45&lt;Projects!$C$45+Projects!$D$45),Projects!$B$45*INDEX(Curves!$B$4:$AO$4,1,45-Projects!$C$45+1),0)+IF(AND(Projects!$G$46="Yes",45&gt;=Projects!$C$46,45&lt;Projects!$C$46+Projects!$D$46),Projects!$B$46*INDEX(Curves!$B$4:$AO$4,1,45-Projects!$C$46+1),0)</f>
        <v/>
      </c>
      <c r="AV107">
        <f>IF(AND(Projects!$G$30="Yes",46&gt;=Projects!$C$30,46&lt;Projects!$C$30+Projects!$D$30),Projects!$B$30*INDEX(Curves!$B$4:$AO$4,1,46-Projects!$C$30+1),0)+IF(AND(Projects!$G$31="Yes",46&gt;=Projects!$C$31,46&lt;Projects!$C$31+Projects!$D$31),Projects!$B$31*INDEX(Curves!$B$4:$AO$4,1,46-Projects!$C$31+1),0)+IF(AND(Projects!$G$32="Yes",46&gt;=Projects!$C$32,46&lt;Projects!$C$32+Projects!$D$32),Projects!$B$32*INDEX(Curves!$B$4:$AO$4,1,46-Projects!$C$32+1),0)+IF(AND(Projects!$G$33="Yes",46&gt;=Projects!$C$33,46&lt;Projects!$C$33+Projects!$D$33),Projects!$B$33*INDEX(Curves!$B$4:$AO$4,1,46-Projects!$C$33+1),0)+IF(AND(Projects!$G$34="Yes",46&gt;=Projects!$C$34,46&lt;Projects!$C$34+Projects!$D$34),Projects!$B$34*INDEX(Curves!$B$4:$AO$4,1,46-Projects!$C$34+1),0)+IF(AND(Projects!$G$35="Yes",46&gt;=Projects!$C$35,46&lt;Projects!$C$35+Projects!$D$35),Projects!$B$35*INDEX(Curves!$B$4:$AO$4,1,46-Projects!$C$35+1),0)+IF(AND(Projects!$G$36="Yes",46&gt;=Projects!$C$36,46&lt;Projects!$C$36+Projects!$D$36),Projects!$B$36*INDEX(Curves!$B$4:$AO$4,1,46-Projects!$C$36+1),0)+IF(AND(Projects!$G$37="Yes",46&gt;=Projects!$C$37,46&lt;Projects!$C$37+Projects!$D$37),Projects!$B$37*INDEX(Curves!$B$4:$AO$4,1,46-Projects!$C$37+1),0)+IF(AND(Projects!$G$38="Yes",46&gt;=Projects!$C$38,46&lt;Projects!$C$38+Projects!$D$38),Projects!$B$38*INDEX(Curves!$B$4:$AO$4,1,46-Projects!$C$38+1),0)+IF(AND(Projects!$G$39="Yes",46&gt;=Projects!$C$39,46&lt;Projects!$C$39+Projects!$D$39),Projects!$B$39*INDEX(Curves!$B$4:$AO$4,1,46-Projects!$C$39+1),0)+IF(AND(Projects!$G$40="Yes",46&gt;=Projects!$C$40,46&lt;Projects!$C$40+Projects!$D$40),Projects!$B$40*INDEX(Curves!$B$4:$AO$4,1,46-Projects!$C$40+1),0)+IF(AND(Projects!$G$41="Yes",46&gt;=Projects!$C$41,46&lt;Projects!$C$41+Projects!$D$41),Projects!$B$41*INDEX(Curves!$B$4:$AO$4,1,46-Projects!$C$41+1),0)+IF(AND(Projects!$G$42="Yes",46&gt;=Projects!$C$42,46&lt;Projects!$C$42+Projects!$D$42),Projects!$B$42*INDEX(Curves!$B$4:$AO$4,1,46-Projects!$C$42+1),0)+IF(AND(Projects!$G$43="Yes",46&gt;=Projects!$C$43,46&lt;Projects!$C$43+Projects!$D$43),Projects!$B$43*INDEX(Curves!$B$4:$AO$4,1,46-Projects!$C$43+1),0)+IF(AND(Projects!$G$44="Yes",46&gt;=Projects!$C$44,46&lt;Projects!$C$44+Projects!$D$44),Projects!$B$44*INDEX(Curves!$B$4:$AO$4,1,46-Projects!$C$44+1),0)+IF(AND(Projects!$G$45="Yes",46&gt;=Projects!$C$45,46&lt;Projects!$C$45+Projects!$D$45),Projects!$B$45*INDEX(Curves!$B$4:$AO$4,1,46-Projects!$C$45+1),0)+IF(AND(Projects!$G$46="Yes",46&gt;=Projects!$C$46,46&lt;Projects!$C$46+Projects!$D$46),Projects!$B$46*INDEX(Curves!$B$4:$AO$4,1,46-Projects!$C$46+1),0)</f>
        <v/>
      </c>
      <c r="AW107">
        <f>IF(AND(Projects!$G$30="Yes",47&gt;=Projects!$C$30,47&lt;Projects!$C$30+Projects!$D$30),Projects!$B$30*INDEX(Curves!$B$4:$AO$4,1,47-Projects!$C$30+1),0)+IF(AND(Projects!$G$31="Yes",47&gt;=Projects!$C$31,47&lt;Projects!$C$31+Projects!$D$31),Projects!$B$31*INDEX(Curves!$B$4:$AO$4,1,47-Projects!$C$31+1),0)+IF(AND(Projects!$G$32="Yes",47&gt;=Projects!$C$32,47&lt;Projects!$C$32+Projects!$D$32),Projects!$B$32*INDEX(Curves!$B$4:$AO$4,1,47-Projects!$C$32+1),0)+IF(AND(Projects!$G$33="Yes",47&gt;=Projects!$C$33,47&lt;Projects!$C$33+Projects!$D$33),Projects!$B$33*INDEX(Curves!$B$4:$AO$4,1,47-Projects!$C$33+1),0)+IF(AND(Projects!$G$34="Yes",47&gt;=Projects!$C$34,47&lt;Projects!$C$34+Projects!$D$34),Projects!$B$34*INDEX(Curves!$B$4:$AO$4,1,47-Projects!$C$34+1),0)+IF(AND(Projects!$G$35="Yes",47&gt;=Projects!$C$35,47&lt;Projects!$C$35+Projects!$D$35),Projects!$B$35*INDEX(Curves!$B$4:$AO$4,1,47-Projects!$C$35+1),0)+IF(AND(Projects!$G$36="Yes",47&gt;=Projects!$C$36,47&lt;Projects!$C$36+Projects!$D$36),Projects!$B$36*INDEX(Curves!$B$4:$AO$4,1,47-Projects!$C$36+1),0)+IF(AND(Projects!$G$37="Yes",47&gt;=Projects!$C$37,47&lt;Projects!$C$37+Projects!$D$37),Projects!$B$37*INDEX(Curves!$B$4:$AO$4,1,47-Projects!$C$37+1),0)+IF(AND(Projects!$G$38="Yes",47&gt;=Projects!$C$38,47&lt;Projects!$C$38+Projects!$D$38),Projects!$B$38*INDEX(Curves!$B$4:$AO$4,1,47-Projects!$C$38+1),0)+IF(AND(Projects!$G$39="Yes",47&gt;=Projects!$C$39,47&lt;Projects!$C$39+Projects!$D$39),Projects!$B$39*INDEX(Curves!$B$4:$AO$4,1,47-Projects!$C$39+1),0)+IF(AND(Projects!$G$40="Yes",47&gt;=Projects!$C$40,47&lt;Projects!$C$40+Projects!$D$40),Projects!$B$40*INDEX(Curves!$B$4:$AO$4,1,47-Projects!$C$40+1),0)+IF(AND(Projects!$G$41="Yes",47&gt;=Projects!$C$41,47&lt;Projects!$C$41+Projects!$D$41),Projects!$B$41*INDEX(Curves!$B$4:$AO$4,1,47-Projects!$C$41+1),0)+IF(AND(Projects!$G$42="Yes",47&gt;=Projects!$C$42,47&lt;Projects!$C$42+Projects!$D$42),Projects!$B$42*INDEX(Curves!$B$4:$AO$4,1,47-Projects!$C$42+1),0)+IF(AND(Projects!$G$43="Yes",47&gt;=Projects!$C$43,47&lt;Projects!$C$43+Projects!$D$43),Projects!$B$43*INDEX(Curves!$B$4:$AO$4,1,47-Projects!$C$43+1),0)+IF(AND(Projects!$G$44="Yes",47&gt;=Projects!$C$44,47&lt;Projects!$C$44+Projects!$D$44),Projects!$B$44*INDEX(Curves!$B$4:$AO$4,1,47-Projects!$C$44+1),0)+IF(AND(Projects!$G$45="Yes",47&gt;=Projects!$C$45,47&lt;Projects!$C$45+Projects!$D$45),Projects!$B$45*INDEX(Curves!$B$4:$AO$4,1,47-Projects!$C$45+1),0)+IF(AND(Projects!$G$46="Yes",47&gt;=Projects!$C$46,47&lt;Projects!$C$46+Projects!$D$46),Projects!$B$46*INDEX(Curves!$B$4:$AO$4,1,47-Projects!$C$46+1),0)</f>
        <v/>
      </c>
      <c r="AX107">
        <f>IF(AND(Projects!$G$30="Yes",48&gt;=Projects!$C$30,48&lt;Projects!$C$30+Projects!$D$30),Projects!$B$30*INDEX(Curves!$B$4:$AO$4,1,48-Projects!$C$30+1),0)+IF(AND(Projects!$G$31="Yes",48&gt;=Projects!$C$31,48&lt;Projects!$C$31+Projects!$D$31),Projects!$B$31*INDEX(Curves!$B$4:$AO$4,1,48-Projects!$C$31+1),0)+IF(AND(Projects!$G$32="Yes",48&gt;=Projects!$C$32,48&lt;Projects!$C$32+Projects!$D$32),Projects!$B$32*INDEX(Curves!$B$4:$AO$4,1,48-Projects!$C$32+1),0)+IF(AND(Projects!$G$33="Yes",48&gt;=Projects!$C$33,48&lt;Projects!$C$33+Projects!$D$33),Projects!$B$33*INDEX(Curves!$B$4:$AO$4,1,48-Projects!$C$33+1),0)+IF(AND(Projects!$G$34="Yes",48&gt;=Projects!$C$34,48&lt;Projects!$C$34+Projects!$D$34),Projects!$B$34*INDEX(Curves!$B$4:$AO$4,1,48-Projects!$C$34+1),0)+IF(AND(Projects!$G$35="Yes",48&gt;=Projects!$C$35,48&lt;Projects!$C$35+Projects!$D$35),Projects!$B$35*INDEX(Curves!$B$4:$AO$4,1,48-Projects!$C$35+1),0)+IF(AND(Projects!$G$36="Yes",48&gt;=Projects!$C$36,48&lt;Projects!$C$36+Projects!$D$36),Projects!$B$36*INDEX(Curves!$B$4:$AO$4,1,48-Projects!$C$36+1),0)+IF(AND(Projects!$G$37="Yes",48&gt;=Projects!$C$37,48&lt;Projects!$C$37+Projects!$D$37),Projects!$B$37*INDEX(Curves!$B$4:$AO$4,1,48-Projects!$C$37+1),0)+IF(AND(Projects!$G$38="Yes",48&gt;=Projects!$C$38,48&lt;Projects!$C$38+Projects!$D$38),Projects!$B$38*INDEX(Curves!$B$4:$AO$4,1,48-Projects!$C$38+1),0)+IF(AND(Projects!$G$39="Yes",48&gt;=Projects!$C$39,48&lt;Projects!$C$39+Projects!$D$39),Projects!$B$39*INDEX(Curves!$B$4:$AO$4,1,48-Projects!$C$39+1),0)+IF(AND(Projects!$G$40="Yes",48&gt;=Projects!$C$40,48&lt;Projects!$C$40+Projects!$D$40),Projects!$B$40*INDEX(Curves!$B$4:$AO$4,1,48-Projects!$C$40+1),0)+IF(AND(Projects!$G$41="Yes",48&gt;=Projects!$C$41,48&lt;Projects!$C$41+Projects!$D$41),Projects!$B$41*INDEX(Curves!$B$4:$AO$4,1,48-Projects!$C$41+1),0)+IF(AND(Projects!$G$42="Yes",48&gt;=Projects!$C$42,48&lt;Projects!$C$42+Projects!$D$42),Projects!$B$42*INDEX(Curves!$B$4:$AO$4,1,48-Projects!$C$42+1),0)+IF(AND(Projects!$G$43="Yes",48&gt;=Projects!$C$43,48&lt;Projects!$C$43+Projects!$D$43),Projects!$B$43*INDEX(Curves!$B$4:$AO$4,1,48-Projects!$C$43+1),0)+IF(AND(Projects!$G$44="Yes",48&gt;=Projects!$C$44,48&lt;Projects!$C$44+Projects!$D$44),Projects!$B$44*INDEX(Curves!$B$4:$AO$4,1,48-Projects!$C$44+1),0)+IF(AND(Projects!$G$45="Yes",48&gt;=Projects!$C$45,48&lt;Projects!$C$45+Projects!$D$45),Projects!$B$45*INDEX(Curves!$B$4:$AO$4,1,48-Projects!$C$45+1),0)+IF(AND(Projects!$G$46="Yes",48&gt;=Projects!$C$46,48&lt;Projects!$C$46+Projects!$D$46),Projects!$B$46*INDEX(Curves!$B$4:$AO$4,1,48-Projects!$C$46+1),0)</f>
        <v/>
      </c>
      <c r="AY107">
        <f>IF(AND(Projects!$G$30="Yes",49&gt;=Projects!$C$30,49&lt;Projects!$C$30+Projects!$D$30),Projects!$B$30*INDEX(Curves!$B$4:$AO$4,1,49-Projects!$C$30+1),0)+IF(AND(Projects!$G$31="Yes",49&gt;=Projects!$C$31,49&lt;Projects!$C$31+Projects!$D$31),Projects!$B$31*INDEX(Curves!$B$4:$AO$4,1,49-Projects!$C$31+1),0)+IF(AND(Projects!$G$32="Yes",49&gt;=Projects!$C$32,49&lt;Projects!$C$32+Projects!$D$32),Projects!$B$32*INDEX(Curves!$B$4:$AO$4,1,49-Projects!$C$32+1),0)+IF(AND(Projects!$G$33="Yes",49&gt;=Projects!$C$33,49&lt;Projects!$C$33+Projects!$D$33),Projects!$B$33*INDEX(Curves!$B$4:$AO$4,1,49-Projects!$C$33+1),0)+IF(AND(Projects!$G$34="Yes",49&gt;=Projects!$C$34,49&lt;Projects!$C$34+Projects!$D$34),Projects!$B$34*INDEX(Curves!$B$4:$AO$4,1,49-Projects!$C$34+1),0)+IF(AND(Projects!$G$35="Yes",49&gt;=Projects!$C$35,49&lt;Projects!$C$35+Projects!$D$35),Projects!$B$35*INDEX(Curves!$B$4:$AO$4,1,49-Projects!$C$35+1),0)+IF(AND(Projects!$G$36="Yes",49&gt;=Projects!$C$36,49&lt;Projects!$C$36+Projects!$D$36),Projects!$B$36*INDEX(Curves!$B$4:$AO$4,1,49-Projects!$C$36+1),0)+IF(AND(Projects!$G$37="Yes",49&gt;=Projects!$C$37,49&lt;Projects!$C$37+Projects!$D$37),Projects!$B$37*INDEX(Curves!$B$4:$AO$4,1,49-Projects!$C$37+1),0)+IF(AND(Projects!$G$38="Yes",49&gt;=Projects!$C$38,49&lt;Projects!$C$38+Projects!$D$38),Projects!$B$38*INDEX(Curves!$B$4:$AO$4,1,49-Projects!$C$38+1),0)+IF(AND(Projects!$G$39="Yes",49&gt;=Projects!$C$39,49&lt;Projects!$C$39+Projects!$D$39),Projects!$B$39*INDEX(Curves!$B$4:$AO$4,1,49-Projects!$C$39+1),0)+IF(AND(Projects!$G$40="Yes",49&gt;=Projects!$C$40,49&lt;Projects!$C$40+Projects!$D$40),Projects!$B$40*INDEX(Curves!$B$4:$AO$4,1,49-Projects!$C$40+1),0)+IF(AND(Projects!$G$41="Yes",49&gt;=Projects!$C$41,49&lt;Projects!$C$41+Projects!$D$41),Projects!$B$41*INDEX(Curves!$B$4:$AO$4,1,49-Projects!$C$41+1),0)+IF(AND(Projects!$G$42="Yes",49&gt;=Projects!$C$42,49&lt;Projects!$C$42+Projects!$D$42),Projects!$B$42*INDEX(Curves!$B$4:$AO$4,1,49-Projects!$C$42+1),0)+IF(AND(Projects!$G$43="Yes",49&gt;=Projects!$C$43,49&lt;Projects!$C$43+Projects!$D$43),Projects!$B$43*INDEX(Curves!$B$4:$AO$4,1,49-Projects!$C$43+1),0)+IF(AND(Projects!$G$44="Yes",49&gt;=Projects!$C$44,49&lt;Projects!$C$44+Projects!$D$44),Projects!$B$44*INDEX(Curves!$B$4:$AO$4,1,49-Projects!$C$44+1),0)+IF(AND(Projects!$G$45="Yes",49&gt;=Projects!$C$45,49&lt;Projects!$C$45+Projects!$D$45),Projects!$B$45*INDEX(Curves!$B$4:$AO$4,1,49-Projects!$C$45+1),0)+IF(AND(Projects!$G$46="Yes",49&gt;=Projects!$C$46,49&lt;Projects!$C$46+Projects!$D$46),Projects!$B$46*INDEX(Curves!$B$4:$AO$4,1,49-Projects!$C$46+1),0)</f>
        <v/>
      </c>
      <c r="AZ107">
        <f>IF(AND(Projects!$G$30="Yes",50&gt;=Projects!$C$30,50&lt;Projects!$C$30+Projects!$D$30),Projects!$B$30*INDEX(Curves!$B$4:$AO$4,1,50-Projects!$C$30+1),0)+IF(AND(Projects!$G$31="Yes",50&gt;=Projects!$C$31,50&lt;Projects!$C$31+Projects!$D$31),Projects!$B$31*INDEX(Curves!$B$4:$AO$4,1,50-Projects!$C$31+1),0)+IF(AND(Projects!$G$32="Yes",50&gt;=Projects!$C$32,50&lt;Projects!$C$32+Projects!$D$32),Projects!$B$32*INDEX(Curves!$B$4:$AO$4,1,50-Projects!$C$32+1),0)+IF(AND(Projects!$G$33="Yes",50&gt;=Projects!$C$33,50&lt;Projects!$C$33+Projects!$D$33),Projects!$B$33*INDEX(Curves!$B$4:$AO$4,1,50-Projects!$C$33+1),0)+IF(AND(Projects!$G$34="Yes",50&gt;=Projects!$C$34,50&lt;Projects!$C$34+Projects!$D$34),Projects!$B$34*INDEX(Curves!$B$4:$AO$4,1,50-Projects!$C$34+1),0)+IF(AND(Projects!$G$35="Yes",50&gt;=Projects!$C$35,50&lt;Projects!$C$35+Projects!$D$35),Projects!$B$35*INDEX(Curves!$B$4:$AO$4,1,50-Projects!$C$35+1),0)+IF(AND(Projects!$G$36="Yes",50&gt;=Projects!$C$36,50&lt;Projects!$C$36+Projects!$D$36),Projects!$B$36*INDEX(Curves!$B$4:$AO$4,1,50-Projects!$C$36+1),0)+IF(AND(Projects!$G$37="Yes",50&gt;=Projects!$C$37,50&lt;Projects!$C$37+Projects!$D$37),Projects!$B$37*INDEX(Curves!$B$4:$AO$4,1,50-Projects!$C$37+1),0)+IF(AND(Projects!$G$38="Yes",50&gt;=Projects!$C$38,50&lt;Projects!$C$38+Projects!$D$38),Projects!$B$38*INDEX(Curves!$B$4:$AO$4,1,50-Projects!$C$38+1),0)+IF(AND(Projects!$G$39="Yes",50&gt;=Projects!$C$39,50&lt;Projects!$C$39+Projects!$D$39),Projects!$B$39*INDEX(Curves!$B$4:$AO$4,1,50-Projects!$C$39+1),0)+IF(AND(Projects!$G$40="Yes",50&gt;=Projects!$C$40,50&lt;Projects!$C$40+Projects!$D$40),Projects!$B$40*INDEX(Curves!$B$4:$AO$4,1,50-Projects!$C$40+1),0)+IF(AND(Projects!$G$41="Yes",50&gt;=Projects!$C$41,50&lt;Projects!$C$41+Projects!$D$41),Projects!$B$41*INDEX(Curves!$B$4:$AO$4,1,50-Projects!$C$41+1),0)+IF(AND(Projects!$G$42="Yes",50&gt;=Projects!$C$42,50&lt;Projects!$C$42+Projects!$D$42),Projects!$B$42*INDEX(Curves!$B$4:$AO$4,1,50-Projects!$C$42+1),0)+IF(AND(Projects!$G$43="Yes",50&gt;=Projects!$C$43,50&lt;Projects!$C$43+Projects!$D$43),Projects!$B$43*INDEX(Curves!$B$4:$AO$4,1,50-Projects!$C$43+1),0)+IF(AND(Projects!$G$44="Yes",50&gt;=Projects!$C$44,50&lt;Projects!$C$44+Projects!$D$44),Projects!$B$44*INDEX(Curves!$B$4:$AO$4,1,50-Projects!$C$44+1),0)+IF(AND(Projects!$G$45="Yes",50&gt;=Projects!$C$45,50&lt;Projects!$C$45+Projects!$D$45),Projects!$B$45*INDEX(Curves!$B$4:$AO$4,1,50-Projects!$C$45+1),0)+IF(AND(Projects!$G$46="Yes",50&gt;=Projects!$C$46,50&lt;Projects!$C$46+Projects!$D$46),Projects!$B$46*INDEX(Curves!$B$4:$AO$4,1,50-Projects!$C$46+1),0)</f>
        <v/>
      </c>
      <c r="BA107">
        <f>IF(AND(Projects!$G$30="Yes",51&gt;=Projects!$C$30,51&lt;Projects!$C$30+Projects!$D$30),Projects!$B$30*INDEX(Curves!$B$4:$AO$4,1,51-Projects!$C$30+1),0)+IF(AND(Projects!$G$31="Yes",51&gt;=Projects!$C$31,51&lt;Projects!$C$31+Projects!$D$31),Projects!$B$31*INDEX(Curves!$B$4:$AO$4,1,51-Projects!$C$31+1),0)+IF(AND(Projects!$G$32="Yes",51&gt;=Projects!$C$32,51&lt;Projects!$C$32+Projects!$D$32),Projects!$B$32*INDEX(Curves!$B$4:$AO$4,1,51-Projects!$C$32+1),0)+IF(AND(Projects!$G$33="Yes",51&gt;=Projects!$C$33,51&lt;Projects!$C$33+Projects!$D$33),Projects!$B$33*INDEX(Curves!$B$4:$AO$4,1,51-Projects!$C$33+1),0)+IF(AND(Projects!$G$34="Yes",51&gt;=Projects!$C$34,51&lt;Projects!$C$34+Projects!$D$34),Projects!$B$34*INDEX(Curves!$B$4:$AO$4,1,51-Projects!$C$34+1),0)+IF(AND(Projects!$G$35="Yes",51&gt;=Projects!$C$35,51&lt;Projects!$C$35+Projects!$D$35),Projects!$B$35*INDEX(Curves!$B$4:$AO$4,1,51-Projects!$C$35+1),0)+IF(AND(Projects!$G$36="Yes",51&gt;=Projects!$C$36,51&lt;Projects!$C$36+Projects!$D$36),Projects!$B$36*INDEX(Curves!$B$4:$AO$4,1,51-Projects!$C$36+1),0)+IF(AND(Projects!$G$37="Yes",51&gt;=Projects!$C$37,51&lt;Projects!$C$37+Projects!$D$37),Projects!$B$37*INDEX(Curves!$B$4:$AO$4,1,51-Projects!$C$37+1),0)+IF(AND(Projects!$G$38="Yes",51&gt;=Projects!$C$38,51&lt;Projects!$C$38+Projects!$D$38),Projects!$B$38*INDEX(Curves!$B$4:$AO$4,1,51-Projects!$C$38+1),0)+IF(AND(Projects!$G$39="Yes",51&gt;=Projects!$C$39,51&lt;Projects!$C$39+Projects!$D$39),Projects!$B$39*INDEX(Curves!$B$4:$AO$4,1,51-Projects!$C$39+1),0)+IF(AND(Projects!$G$40="Yes",51&gt;=Projects!$C$40,51&lt;Projects!$C$40+Projects!$D$40),Projects!$B$40*INDEX(Curves!$B$4:$AO$4,1,51-Projects!$C$40+1),0)+IF(AND(Projects!$G$41="Yes",51&gt;=Projects!$C$41,51&lt;Projects!$C$41+Projects!$D$41),Projects!$B$41*INDEX(Curves!$B$4:$AO$4,1,51-Projects!$C$41+1),0)+IF(AND(Projects!$G$42="Yes",51&gt;=Projects!$C$42,51&lt;Projects!$C$42+Projects!$D$42),Projects!$B$42*INDEX(Curves!$B$4:$AO$4,1,51-Projects!$C$42+1),0)+IF(AND(Projects!$G$43="Yes",51&gt;=Projects!$C$43,51&lt;Projects!$C$43+Projects!$D$43),Projects!$B$43*INDEX(Curves!$B$4:$AO$4,1,51-Projects!$C$43+1),0)+IF(AND(Projects!$G$44="Yes",51&gt;=Projects!$C$44,51&lt;Projects!$C$44+Projects!$D$44),Projects!$B$44*INDEX(Curves!$B$4:$AO$4,1,51-Projects!$C$44+1),0)+IF(AND(Projects!$G$45="Yes",51&gt;=Projects!$C$45,51&lt;Projects!$C$45+Projects!$D$45),Projects!$B$45*INDEX(Curves!$B$4:$AO$4,1,51-Projects!$C$45+1),0)+IF(AND(Projects!$G$46="Yes",51&gt;=Projects!$C$46,51&lt;Projects!$C$46+Projects!$D$46),Projects!$B$46*INDEX(Curves!$B$4:$AO$4,1,51-Projects!$C$46+1),0)</f>
        <v/>
      </c>
      <c r="BB107">
        <f>IF(AND(Projects!$G$30="Yes",52&gt;=Projects!$C$30,52&lt;Projects!$C$30+Projects!$D$30),Projects!$B$30*INDEX(Curves!$B$4:$AO$4,1,52-Projects!$C$30+1),0)+IF(AND(Projects!$G$31="Yes",52&gt;=Projects!$C$31,52&lt;Projects!$C$31+Projects!$D$31),Projects!$B$31*INDEX(Curves!$B$4:$AO$4,1,52-Projects!$C$31+1),0)+IF(AND(Projects!$G$32="Yes",52&gt;=Projects!$C$32,52&lt;Projects!$C$32+Projects!$D$32),Projects!$B$32*INDEX(Curves!$B$4:$AO$4,1,52-Projects!$C$32+1),0)+IF(AND(Projects!$G$33="Yes",52&gt;=Projects!$C$33,52&lt;Projects!$C$33+Projects!$D$33),Projects!$B$33*INDEX(Curves!$B$4:$AO$4,1,52-Projects!$C$33+1),0)+IF(AND(Projects!$G$34="Yes",52&gt;=Projects!$C$34,52&lt;Projects!$C$34+Projects!$D$34),Projects!$B$34*INDEX(Curves!$B$4:$AO$4,1,52-Projects!$C$34+1),0)+IF(AND(Projects!$G$35="Yes",52&gt;=Projects!$C$35,52&lt;Projects!$C$35+Projects!$D$35),Projects!$B$35*INDEX(Curves!$B$4:$AO$4,1,52-Projects!$C$35+1),0)+IF(AND(Projects!$G$36="Yes",52&gt;=Projects!$C$36,52&lt;Projects!$C$36+Projects!$D$36),Projects!$B$36*INDEX(Curves!$B$4:$AO$4,1,52-Projects!$C$36+1),0)+IF(AND(Projects!$G$37="Yes",52&gt;=Projects!$C$37,52&lt;Projects!$C$37+Projects!$D$37),Projects!$B$37*INDEX(Curves!$B$4:$AO$4,1,52-Projects!$C$37+1),0)+IF(AND(Projects!$G$38="Yes",52&gt;=Projects!$C$38,52&lt;Projects!$C$38+Projects!$D$38),Projects!$B$38*INDEX(Curves!$B$4:$AO$4,1,52-Projects!$C$38+1),0)+IF(AND(Projects!$G$39="Yes",52&gt;=Projects!$C$39,52&lt;Projects!$C$39+Projects!$D$39),Projects!$B$39*INDEX(Curves!$B$4:$AO$4,1,52-Projects!$C$39+1),0)+IF(AND(Projects!$G$40="Yes",52&gt;=Projects!$C$40,52&lt;Projects!$C$40+Projects!$D$40),Projects!$B$40*INDEX(Curves!$B$4:$AO$4,1,52-Projects!$C$40+1),0)+IF(AND(Projects!$G$41="Yes",52&gt;=Projects!$C$41,52&lt;Projects!$C$41+Projects!$D$41),Projects!$B$41*INDEX(Curves!$B$4:$AO$4,1,52-Projects!$C$41+1),0)+IF(AND(Projects!$G$42="Yes",52&gt;=Projects!$C$42,52&lt;Projects!$C$42+Projects!$D$42),Projects!$B$42*INDEX(Curves!$B$4:$AO$4,1,52-Projects!$C$42+1),0)+IF(AND(Projects!$G$43="Yes",52&gt;=Projects!$C$43,52&lt;Projects!$C$43+Projects!$D$43),Projects!$B$43*INDEX(Curves!$B$4:$AO$4,1,52-Projects!$C$43+1),0)+IF(AND(Projects!$G$44="Yes",52&gt;=Projects!$C$44,52&lt;Projects!$C$44+Projects!$D$44),Projects!$B$44*INDEX(Curves!$B$4:$AO$4,1,52-Projects!$C$44+1),0)+IF(AND(Projects!$G$45="Yes",52&gt;=Projects!$C$45,52&lt;Projects!$C$45+Projects!$D$45),Projects!$B$45*INDEX(Curves!$B$4:$AO$4,1,52-Projects!$C$45+1),0)+IF(AND(Projects!$G$46="Yes",52&gt;=Projects!$C$46,52&lt;Projects!$C$46+Projects!$D$46),Projects!$B$46*INDEX(Curves!$B$4:$AO$4,1,52-Projects!$C$46+1),0)</f>
        <v/>
      </c>
      <c r="BC107">
        <f>IF(AND(Projects!$G$30="Yes",53&gt;=Projects!$C$30,53&lt;Projects!$C$30+Projects!$D$30),Projects!$B$30*INDEX(Curves!$B$4:$AO$4,1,53-Projects!$C$30+1),0)+IF(AND(Projects!$G$31="Yes",53&gt;=Projects!$C$31,53&lt;Projects!$C$31+Projects!$D$31),Projects!$B$31*INDEX(Curves!$B$4:$AO$4,1,53-Projects!$C$31+1),0)+IF(AND(Projects!$G$32="Yes",53&gt;=Projects!$C$32,53&lt;Projects!$C$32+Projects!$D$32),Projects!$B$32*INDEX(Curves!$B$4:$AO$4,1,53-Projects!$C$32+1),0)+IF(AND(Projects!$G$33="Yes",53&gt;=Projects!$C$33,53&lt;Projects!$C$33+Projects!$D$33),Projects!$B$33*INDEX(Curves!$B$4:$AO$4,1,53-Projects!$C$33+1),0)+IF(AND(Projects!$G$34="Yes",53&gt;=Projects!$C$34,53&lt;Projects!$C$34+Projects!$D$34),Projects!$B$34*INDEX(Curves!$B$4:$AO$4,1,53-Projects!$C$34+1),0)+IF(AND(Projects!$G$35="Yes",53&gt;=Projects!$C$35,53&lt;Projects!$C$35+Projects!$D$35),Projects!$B$35*INDEX(Curves!$B$4:$AO$4,1,53-Projects!$C$35+1),0)+IF(AND(Projects!$G$36="Yes",53&gt;=Projects!$C$36,53&lt;Projects!$C$36+Projects!$D$36),Projects!$B$36*INDEX(Curves!$B$4:$AO$4,1,53-Projects!$C$36+1),0)+IF(AND(Projects!$G$37="Yes",53&gt;=Projects!$C$37,53&lt;Projects!$C$37+Projects!$D$37),Projects!$B$37*INDEX(Curves!$B$4:$AO$4,1,53-Projects!$C$37+1),0)+IF(AND(Projects!$G$38="Yes",53&gt;=Projects!$C$38,53&lt;Projects!$C$38+Projects!$D$38),Projects!$B$38*INDEX(Curves!$B$4:$AO$4,1,53-Projects!$C$38+1),0)+IF(AND(Projects!$G$39="Yes",53&gt;=Projects!$C$39,53&lt;Projects!$C$39+Projects!$D$39),Projects!$B$39*INDEX(Curves!$B$4:$AO$4,1,53-Projects!$C$39+1),0)+IF(AND(Projects!$G$40="Yes",53&gt;=Projects!$C$40,53&lt;Projects!$C$40+Projects!$D$40),Projects!$B$40*INDEX(Curves!$B$4:$AO$4,1,53-Projects!$C$40+1),0)+IF(AND(Projects!$G$41="Yes",53&gt;=Projects!$C$41,53&lt;Projects!$C$41+Projects!$D$41),Projects!$B$41*INDEX(Curves!$B$4:$AO$4,1,53-Projects!$C$41+1),0)+IF(AND(Projects!$G$42="Yes",53&gt;=Projects!$C$42,53&lt;Projects!$C$42+Projects!$D$42),Projects!$B$42*INDEX(Curves!$B$4:$AO$4,1,53-Projects!$C$42+1),0)+IF(AND(Projects!$G$43="Yes",53&gt;=Projects!$C$43,53&lt;Projects!$C$43+Projects!$D$43),Projects!$B$43*INDEX(Curves!$B$4:$AO$4,1,53-Projects!$C$43+1),0)+IF(AND(Projects!$G$44="Yes",53&gt;=Projects!$C$44,53&lt;Projects!$C$44+Projects!$D$44),Projects!$B$44*INDEX(Curves!$B$4:$AO$4,1,53-Projects!$C$44+1),0)+IF(AND(Projects!$G$45="Yes",53&gt;=Projects!$C$45,53&lt;Projects!$C$45+Projects!$D$45),Projects!$B$45*INDEX(Curves!$B$4:$AO$4,1,53-Projects!$C$45+1),0)+IF(AND(Projects!$G$46="Yes",53&gt;=Projects!$C$46,53&lt;Projects!$C$46+Projects!$D$46),Projects!$B$46*INDEX(Curves!$B$4:$AO$4,1,53-Projects!$C$46+1),0)</f>
        <v/>
      </c>
      <c r="BD107">
        <f>IF(AND(Projects!$G$30="Yes",54&gt;=Projects!$C$30,54&lt;Projects!$C$30+Projects!$D$30),Projects!$B$30*INDEX(Curves!$B$4:$AO$4,1,54-Projects!$C$30+1),0)+IF(AND(Projects!$G$31="Yes",54&gt;=Projects!$C$31,54&lt;Projects!$C$31+Projects!$D$31),Projects!$B$31*INDEX(Curves!$B$4:$AO$4,1,54-Projects!$C$31+1),0)+IF(AND(Projects!$G$32="Yes",54&gt;=Projects!$C$32,54&lt;Projects!$C$32+Projects!$D$32),Projects!$B$32*INDEX(Curves!$B$4:$AO$4,1,54-Projects!$C$32+1),0)+IF(AND(Projects!$G$33="Yes",54&gt;=Projects!$C$33,54&lt;Projects!$C$33+Projects!$D$33),Projects!$B$33*INDEX(Curves!$B$4:$AO$4,1,54-Projects!$C$33+1),0)+IF(AND(Projects!$G$34="Yes",54&gt;=Projects!$C$34,54&lt;Projects!$C$34+Projects!$D$34),Projects!$B$34*INDEX(Curves!$B$4:$AO$4,1,54-Projects!$C$34+1),0)+IF(AND(Projects!$G$35="Yes",54&gt;=Projects!$C$35,54&lt;Projects!$C$35+Projects!$D$35),Projects!$B$35*INDEX(Curves!$B$4:$AO$4,1,54-Projects!$C$35+1),0)+IF(AND(Projects!$G$36="Yes",54&gt;=Projects!$C$36,54&lt;Projects!$C$36+Projects!$D$36),Projects!$B$36*INDEX(Curves!$B$4:$AO$4,1,54-Projects!$C$36+1),0)+IF(AND(Projects!$G$37="Yes",54&gt;=Projects!$C$37,54&lt;Projects!$C$37+Projects!$D$37),Projects!$B$37*INDEX(Curves!$B$4:$AO$4,1,54-Projects!$C$37+1),0)+IF(AND(Projects!$G$38="Yes",54&gt;=Projects!$C$38,54&lt;Projects!$C$38+Projects!$D$38),Projects!$B$38*INDEX(Curves!$B$4:$AO$4,1,54-Projects!$C$38+1),0)+IF(AND(Projects!$G$39="Yes",54&gt;=Projects!$C$39,54&lt;Projects!$C$39+Projects!$D$39),Projects!$B$39*INDEX(Curves!$B$4:$AO$4,1,54-Projects!$C$39+1),0)+IF(AND(Projects!$G$40="Yes",54&gt;=Projects!$C$40,54&lt;Projects!$C$40+Projects!$D$40),Projects!$B$40*INDEX(Curves!$B$4:$AO$4,1,54-Projects!$C$40+1),0)+IF(AND(Projects!$G$41="Yes",54&gt;=Projects!$C$41,54&lt;Projects!$C$41+Projects!$D$41),Projects!$B$41*INDEX(Curves!$B$4:$AO$4,1,54-Projects!$C$41+1),0)+IF(AND(Projects!$G$42="Yes",54&gt;=Projects!$C$42,54&lt;Projects!$C$42+Projects!$D$42),Projects!$B$42*INDEX(Curves!$B$4:$AO$4,1,54-Projects!$C$42+1),0)+IF(AND(Projects!$G$43="Yes",54&gt;=Projects!$C$43,54&lt;Projects!$C$43+Projects!$D$43),Projects!$B$43*INDEX(Curves!$B$4:$AO$4,1,54-Projects!$C$43+1),0)+IF(AND(Projects!$G$44="Yes",54&gt;=Projects!$C$44,54&lt;Projects!$C$44+Projects!$D$44),Projects!$B$44*INDEX(Curves!$B$4:$AO$4,1,54-Projects!$C$44+1),0)+IF(AND(Projects!$G$45="Yes",54&gt;=Projects!$C$45,54&lt;Projects!$C$45+Projects!$D$45),Projects!$B$45*INDEX(Curves!$B$4:$AO$4,1,54-Projects!$C$45+1),0)+IF(AND(Projects!$G$46="Yes",54&gt;=Projects!$C$46,54&lt;Projects!$C$46+Projects!$D$46),Projects!$B$46*INDEX(Curves!$B$4:$AO$4,1,54-Projects!$C$46+1),0)</f>
        <v/>
      </c>
      <c r="BE107">
        <f>IF(AND(Projects!$G$30="Yes",55&gt;=Projects!$C$30,55&lt;Projects!$C$30+Projects!$D$30),Projects!$B$30*INDEX(Curves!$B$4:$AO$4,1,55-Projects!$C$30+1),0)+IF(AND(Projects!$G$31="Yes",55&gt;=Projects!$C$31,55&lt;Projects!$C$31+Projects!$D$31),Projects!$B$31*INDEX(Curves!$B$4:$AO$4,1,55-Projects!$C$31+1),0)+IF(AND(Projects!$G$32="Yes",55&gt;=Projects!$C$32,55&lt;Projects!$C$32+Projects!$D$32),Projects!$B$32*INDEX(Curves!$B$4:$AO$4,1,55-Projects!$C$32+1),0)+IF(AND(Projects!$G$33="Yes",55&gt;=Projects!$C$33,55&lt;Projects!$C$33+Projects!$D$33),Projects!$B$33*INDEX(Curves!$B$4:$AO$4,1,55-Projects!$C$33+1),0)+IF(AND(Projects!$G$34="Yes",55&gt;=Projects!$C$34,55&lt;Projects!$C$34+Projects!$D$34),Projects!$B$34*INDEX(Curves!$B$4:$AO$4,1,55-Projects!$C$34+1),0)+IF(AND(Projects!$G$35="Yes",55&gt;=Projects!$C$35,55&lt;Projects!$C$35+Projects!$D$35),Projects!$B$35*INDEX(Curves!$B$4:$AO$4,1,55-Projects!$C$35+1),0)+IF(AND(Projects!$G$36="Yes",55&gt;=Projects!$C$36,55&lt;Projects!$C$36+Projects!$D$36),Projects!$B$36*INDEX(Curves!$B$4:$AO$4,1,55-Projects!$C$36+1),0)+IF(AND(Projects!$G$37="Yes",55&gt;=Projects!$C$37,55&lt;Projects!$C$37+Projects!$D$37),Projects!$B$37*INDEX(Curves!$B$4:$AO$4,1,55-Projects!$C$37+1),0)+IF(AND(Projects!$G$38="Yes",55&gt;=Projects!$C$38,55&lt;Projects!$C$38+Projects!$D$38),Projects!$B$38*INDEX(Curves!$B$4:$AO$4,1,55-Projects!$C$38+1),0)+IF(AND(Projects!$G$39="Yes",55&gt;=Projects!$C$39,55&lt;Projects!$C$39+Projects!$D$39),Projects!$B$39*INDEX(Curves!$B$4:$AO$4,1,55-Projects!$C$39+1),0)+IF(AND(Projects!$G$40="Yes",55&gt;=Projects!$C$40,55&lt;Projects!$C$40+Projects!$D$40),Projects!$B$40*INDEX(Curves!$B$4:$AO$4,1,55-Projects!$C$40+1),0)+IF(AND(Projects!$G$41="Yes",55&gt;=Projects!$C$41,55&lt;Projects!$C$41+Projects!$D$41),Projects!$B$41*INDEX(Curves!$B$4:$AO$4,1,55-Projects!$C$41+1),0)+IF(AND(Projects!$G$42="Yes",55&gt;=Projects!$C$42,55&lt;Projects!$C$42+Projects!$D$42),Projects!$B$42*INDEX(Curves!$B$4:$AO$4,1,55-Projects!$C$42+1),0)+IF(AND(Projects!$G$43="Yes",55&gt;=Projects!$C$43,55&lt;Projects!$C$43+Projects!$D$43),Projects!$B$43*INDEX(Curves!$B$4:$AO$4,1,55-Projects!$C$43+1),0)+IF(AND(Projects!$G$44="Yes",55&gt;=Projects!$C$44,55&lt;Projects!$C$44+Projects!$D$44),Projects!$B$44*INDEX(Curves!$B$4:$AO$4,1,55-Projects!$C$44+1),0)+IF(AND(Projects!$G$45="Yes",55&gt;=Projects!$C$45,55&lt;Projects!$C$45+Projects!$D$45),Projects!$B$45*INDEX(Curves!$B$4:$AO$4,1,55-Projects!$C$45+1),0)+IF(AND(Projects!$G$46="Yes",55&gt;=Projects!$C$46,55&lt;Projects!$C$46+Projects!$D$46),Projects!$B$46*INDEX(Curves!$B$4:$AO$4,1,55-Projects!$C$46+1),0)</f>
        <v/>
      </c>
      <c r="BF107">
        <f>IF(AND(Projects!$G$30="Yes",56&gt;=Projects!$C$30,56&lt;Projects!$C$30+Projects!$D$30),Projects!$B$30*INDEX(Curves!$B$4:$AO$4,1,56-Projects!$C$30+1),0)+IF(AND(Projects!$G$31="Yes",56&gt;=Projects!$C$31,56&lt;Projects!$C$31+Projects!$D$31),Projects!$B$31*INDEX(Curves!$B$4:$AO$4,1,56-Projects!$C$31+1),0)+IF(AND(Projects!$G$32="Yes",56&gt;=Projects!$C$32,56&lt;Projects!$C$32+Projects!$D$32),Projects!$B$32*INDEX(Curves!$B$4:$AO$4,1,56-Projects!$C$32+1),0)+IF(AND(Projects!$G$33="Yes",56&gt;=Projects!$C$33,56&lt;Projects!$C$33+Projects!$D$33),Projects!$B$33*INDEX(Curves!$B$4:$AO$4,1,56-Projects!$C$33+1),0)+IF(AND(Projects!$G$34="Yes",56&gt;=Projects!$C$34,56&lt;Projects!$C$34+Projects!$D$34),Projects!$B$34*INDEX(Curves!$B$4:$AO$4,1,56-Projects!$C$34+1),0)+IF(AND(Projects!$G$35="Yes",56&gt;=Projects!$C$35,56&lt;Projects!$C$35+Projects!$D$35),Projects!$B$35*INDEX(Curves!$B$4:$AO$4,1,56-Projects!$C$35+1),0)+IF(AND(Projects!$G$36="Yes",56&gt;=Projects!$C$36,56&lt;Projects!$C$36+Projects!$D$36),Projects!$B$36*INDEX(Curves!$B$4:$AO$4,1,56-Projects!$C$36+1),0)+IF(AND(Projects!$G$37="Yes",56&gt;=Projects!$C$37,56&lt;Projects!$C$37+Projects!$D$37),Projects!$B$37*INDEX(Curves!$B$4:$AO$4,1,56-Projects!$C$37+1),0)+IF(AND(Projects!$G$38="Yes",56&gt;=Projects!$C$38,56&lt;Projects!$C$38+Projects!$D$38),Projects!$B$38*INDEX(Curves!$B$4:$AO$4,1,56-Projects!$C$38+1),0)+IF(AND(Projects!$G$39="Yes",56&gt;=Projects!$C$39,56&lt;Projects!$C$39+Projects!$D$39),Projects!$B$39*INDEX(Curves!$B$4:$AO$4,1,56-Projects!$C$39+1),0)+IF(AND(Projects!$G$40="Yes",56&gt;=Projects!$C$40,56&lt;Projects!$C$40+Projects!$D$40),Projects!$B$40*INDEX(Curves!$B$4:$AO$4,1,56-Projects!$C$40+1),0)+IF(AND(Projects!$G$41="Yes",56&gt;=Projects!$C$41,56&lt;Projects!$C$41+Projects!$D$41),Projects!$B$41*INDEX(Curves!$B$4:$AO$4,1,56-Projects!$C$41+1),0)+IF(AND(Projects!$G$42="Yes",56&gt;=Projects!$C$42,56&lt;Projects!$C$42+Projects!$D$42),Projects!$B$42*INDEX(Curves!$B$4:$AO$4,1,56-Projects!$C$42+1),0)+IF(AND(Projects!$G$43="Yes",56&gt;=Projects!$C$43,56&lt;Projects!$C$43+Projects!$D$43),Projects!$B$43*INDEX(Curves!$B$4:$AO$4,1,56-Projects!$C$43+1),0)+IF(AND(Projects!$G$44="Yes",56&gt;=Projects!$C$44,56&lt;Projects!$C$44+Projects!$D$44),Projects!$B$44*INDEX(Curves!$B$4:$AO$4,1,56-Projects!$C$44+1),0)+IF(AND(Projects!$G$45="Yes",56&gt;=Projects!$C$45,56&lt;Projects!$C$45+Projects!$D$45),Projects!$B$45*INDEX(Curves!$B$4:$AO$4,1,56-Projects!$C$45+1),0)+IF(AND(Projects!$G$46="Yes",56&gt;=Projects!$C$46,56&lt;Projects!$C$46+Projects!$D$46),Projects!$B$46*INDEX(Curves!$B$4:$AO$4,1,56-Projects!$C$46+1),0)</f>
        <v/>
      </c>
      <c r="BG107">
        <f>IF(AND(Projects!$G$30="Yes",57&gt;=Projects!$C$30,57&lt;Projects!$C$30+Projects!$D$30),Projects!$B$30*INDEX(Curves!$B$4:$AO$4,1,57-Projects!$C$30+1),0)+IF(AND(Projects!$G$31="Yes",57&gt;=Projects!$C$31,57&lt;Projects!$C$31+Projects!$D$31),Projects!$B$31*INDEX(Curves!$B$4:$AO$4,1,57-Projects!$C$31+1),0)+IF(AND(Projects!$G$32="Yes",57&gt;=Projects!$C$32,57&lt;Projects!$C$32+Projects!$D$32),Projects!$B$32*INDEX(Curves!$B$4:$AO$4,1,57-Projects!$C$32+1),0)+IF(AND(Projects!$G$33="Yes",57&gt;=Projects!$C$33,57&lt;Projects!$C$33+Projects!$D$33),Projects!$B$33*INDEX(Curves!$B$4:$AO$4,1,57-Projects!$C$33+1),0)+IF(AND(Projects!$G$34="Yes",57&gt;=Projects!$C$34,57&lt;Projects!$C$34+Projects!$D$34),Projects!$B$34*INDEX(Curves!$B$4:$AO$4,1,57-Projects!$C$34+1),0)+IF(AND(Projects!$G$35="Yes",57&gt;=Projects!$C$35,57&lt;Projects!$C$35+Projects!$D$35),Projects!$B$35*INDEX(Curves!$B$4:$AO$4,1,57-Projects!$C$35+1),0)+IF(AND(Projects!$G$36="Yes",57&gt;=Projects!$C$36,57&lt;Projects!$C$36+Projects!$D$36),Projects!$B$36*INDEX(Curves!$B$4:$AO$4,1,57-Projects!$C$36+1),0)+IF(AND(Projects!$G$37="Yes",57&gt;=Projects!$C$37,57&lt;Projects!$C$37+Projects!$D$37),Projects!$B$37*INDEX(Curves!$B$4:$AO$4,1,57-Projects!$C$37+1),0)+IF(AND(Projects!$G$38="Yes",57&gt;=Projects!$C$38,57&lt;Projects!$C$38+Projects!$D$38),Projects!$B$38*INDEX(Curves!$B$4:$AO$4,1,57-Projects!$C$38+1),0)+IF(AND(Projects!$G$39="Yes",57&gt;=Projects!$C$39,57&lt;Projects!$C$39+Projects!$D$39),Projects!$B$39*INDEX(Curves!$B$4:$AO$4,1,57-Projects!$C$39+1),0)+IF(AND(Projects!$G$40="Yes",57&gt;=Projects!$C$40,57&lt;Projects!$C$40+Projects!$D$40),Projects!$B$40*INDEX(Curves!$B$4:$AO$4,1,57-Projects!$C$40+1),0)+IF(AND(Projects!$G$41="Yes",57&gt;=Projects!$C$41,57&lt;Projects!$C$41+Projects!$D$41),Projects!$B$41*INDEX(Curves!$B$4:$AO$4,1,57-Projects!$C$41+1),0)+IF(AND(Projects!$G$42="Yes",57&gt;=Projects!$C$42,57&lt;Projects!$C$42+Projects!$D$42),Projects!$B$42*INDEX(Curves!$B$4:$AO$4,1,57-Projects!$C$42+1),0)+IF(AND(Projects!$G$43="Yes",57&gt;=Projects!$C$43,57&lt;Projects!$C$43+Projects!$D$43),Projects!$B$43*INDEX(Curves!$B$4:$AO$4,1,57-Projects!$C$43+1),0)+IF(AND(Projects!$G$44="Yes",57&gt;=Projects!$C$44,57&lt;Projects!$C$44+Projects!$D$44),Projects!$B$44*INDEX(Curves!$B$4:$AO$4,1,57-Projects!$C$44+1),0)+IF(AND(Projects!$G$45="Yes",57&gt;=Projects!$C$45,57&lt;Projects!$C$45+Projects!$D$45),Projects!$B$45*INDEX(Curves!$B$4:$AO$4,1,57-Projects!$C$45+1),0)+IF(AND(Projects!$G$46="Yes",57&gt;=Projects!$C$46,57&lt;Projects!$C$46+Projects!$D$46),Projects!$B$46*INDEX(Curves!$B$4:$AO$4,1,57-Projects!$C$46+1),0)</f>
        <v/>
      </c>
      <c r="BH107">
        <f>IF(AND(Projects!$G$30="Yes",58&gt;=Projects!$C$30,58&lt;Projects!$C$30+Projects!$D$30),Projects!$B$30*INDEX(Curves!$B$4:$AO$4,1,58-Projects!$C$30+1),0)+IF(AND(Projects!$G$31="Yes",58&gt;=Projects!$C$31,58&lt;Projects!$C$31+Projects!$D$31),Projects!$B$31*INDEX(Curves!$B$4:$AO$4,1,58-Projects!$C$31+1),0)+IF(AND(Projects!$G$32="Yes",58&gt;=Projects!$C$32,58&lt;Projects!$C$32+Projects!$D$32),Projects!$B$32*INDEX(Curves!$B$4:$AO$4,1,58-Projects!$C$32+1),0)+IF(AND(Projects!$G$33="Yes",58&gt;=Projects!$C$33,58&lt;Projects!$C$33+Projects!$D$33),Projects!$B$33*INDEX(Curves!$B$4:$AO$4,1,58-Projects!$C$33+1),0)+IF(AND(Projects!$G$34="Yes",58&gt;=Projects!$C$34,58&lt;Projects!$C$34+Projects!$D$34),Projects!$B$34*INDEX(Curves!$B$4:$AO$4,1,58-Projects!$C$34+1),0)+IF(AND(Projects!$G$35="Yes",58&gt;=Projects!$C$35,58&lt;Projects!$C$35+Projects!$D$35),Projects!$B$35*INDEX(Curves!$B$4:$AO$4,1,58-Projects!$C$35+1),0)+IF(AND(Projects!$G$36="Yes",58&gt;=Projects!$C$36,58&lt;Projects!$C$36+Projects!$D$36),Projects!$B$36*INDEX(Curves!$B$4:$AO$4,1,58-Projects!$C$36+1),0)+IF(AND(Projects!$G$37="Yes",58&gt;=Projects!$C$37,58&lt;Projects!$C$37+Projects!$D$37),Projects!$B$37*INDEX(Curves!$B$4:$AO$4,1,58-Projects!$C$37+1),0)+IF(AND(Projects!$G$38="Yes",58&gt;=Projects!$C$38,58&lt;Projects!$C$38+Projects!$D$38),Projects!$B$38*INDEX(Curves!$B$4:$AO$4,1,58-Projects!$C$38+1),0)+IF(AND(Projects!$G$39="Yes",58&gt;=Projects!$C$39,58&lt;Projects!$C$39+Projects!$D$39),Projects!$B$39*INDEX(Curves!$B$4:$AO$4,1,58-Projects!$C$39+1),0)+IF(AND(Projects!$G$40="Yes",58&gt;=Projects!$C$40,58&lt;Projects!$C$40+Projects!$D$40),Projects!$B$40*INDEX(Curves!$B$4:$AO$4,1,58-Projects!$C$40+1),0)+IF(AND(Projects!$G$41="Yes",58&gt;=Projects!$C$41,58&lt;Projects!$C$41+Projects!$D$41),Projects!$B$41*INDEX(Curves!$B$4:$AO$4,1,58-Projects!$C$41+1),0)+IF(AND(Projects!$G$42="Yes",58&gt;=Projects!$C$42,58&lt;Projects!$C$42+Projects!$D$42),Projects!$B$42*INDEX(Curves!$B$4:$AO$4,1,58-Projects!$C$42+1),0)+IF(AND(Projects!$G$43="Yes",58&gt;=Projects!$C$43,58&lt;Projects!$C$43+Projects!$D$43),Projects!$B$43*INDEX(Curves!$B$4:$AO$4,1,58-Projects!$C$43+1),0)+IF(AND(Projects!$G$44="Yes",58&gt;=Projects!$C$44,58&lt;Projects!$C$44+Projects!$D$44),Projects!$B$44*INDEX(Curves!$B$4:$AO$4,1,58-Projects!$C$44+1),0)+IF(AND(Projects!$G$45="Yes",58&gt;=Projects!$C$45,58&lt;Projects!$C$45+Projects!$D$45),Projects!$B$45*INDEX(Curves!$B$4:$AO$4,1,58-Projects!$C$45+1),0)+IF(AND(Projects!$G$46="Yes",58&gt;=Projects!$C$46,58&lt;Projects!$C$46+Projects!$D$46),Projects!$B$46*INDEX(Curves!$B$4:$AO$4,1,58-Projects!$C$46+1),0)</f>
        <v/>
      </c>
      <c r="BI107">
        <f>IF(AND(Projects!$G$30="Yes",59&gt;=Projects!$C$30,59&lt;Projects!$C$30+Projects!$D$30),Projects!$B$30*INDEX(Curves!$B$4:$AO$4,1,59-Projects!$C$30+1),0)+IF(AND(Projects!$G$31="Yes",59&gt;=Projects!$C$31,59&lt;Projects!$C$31+Projects!$D$31),Projects!$B$31*INDEX(Curves!$B$4:$AO$4,1,59-Projects!$C$31+1),0)+IF(AND(Projects!$G$32="Yes",59&gt;=Projects!$C$32,59&lt;Projects!$C$32+Projects!$D$32),Projects!$B$32*INDEX(Curves!$B$4:$AO$4,1,59-Projects!$C$32+1),0)+IF(AND(Projects!$G$33="Yes",59&gt;=Projects!$C$33,59&lt;Projects!$C$33+Projects!$D$33),Projects!$B$33*INDEX(Curves!$B$4:$AO$4,1,59-Projects!$C$33+1),0)+IF(AND(Projects!$G$34="Yes",59&gt;=Projects!$C$34,59&lt;Projects!$C$34+Projects!$D$34),Projects!$B$34*INDEX(Curves!$B$4:$AO$4,1,59-Projects!$C$34+1),0)+IF(AND(Projects!$G$35="Yes",59&gt;=Projects!$C$35,59&lt;Projects!$C$35+Projects!$D$35),Projects!$B$35*INDEX(Curves!$B$4:$AO$4,1,59-Projects!$C$35+1),0)+IF(AND(Projects!$G$36="Yes",59&gt;=Projects!$C$36,59&lt;Projects!$C$36+Projects!$D$36),Projects!$B$36*INDEX(Curves!$B$4:$AO$4,1,59-Projects!$C$36+1),0)+IF(AND(Projects!$G$37="Yes",59&gt;=Projects!$C$37,59&lt;Projects!$C$37+Projects!$D$37),Projects!$B$37*INDEX(Curves!$B$4:$AO$4,1,59-Projects!$C$37+1),0)+IF(AND(Projects!$G$38="Yes",59&gt;=Projects!$C$38,59&lt;Projects!$C$38+Projects!$D$38),Projects!$B$38*INDEX(Curves!$B$4:$AO$4,1,59-Projects!$C$38+1),0)+IF(AND(Projects!$G$39="Yes",59&gt;=Projects!$C$39,59&lt;Projects!$C$39+Projects!$D$39),Projects!$B$39*INDEX(Curves!$B$4:$AO$4,1,59-Projects!$C$39+1),0)+IF(AND(Projects!$G$40="Yes",59&gt;=Projects!$C$40,59&lt;Projects!$C$40+Projects!$D$40),Projects!$B$40*INDEX(Curves!$B$4:$AO$4,1,59-Projects!$C$40+1),0)+IF(AND(Projects!$G$41="Yes",59&gt;=Projects!$C$41,59&lt;Projects!$C$41+Projects!$D$41),Projects!$B$41*INDEX(Curves!$B$4:$AO$4,1,59-Projects!$C$41+1),0)+IF(AND(Projects!$G$42="Yes",59&gt;=Projects!$C$42,59&lt;Projects!$C$42+Projects!$D$42),Projects!$B$42*INDEX(Curves!$B$4:$AO$4,1,59-Projects!$C$42+1),0)+IF(AND(Projects!$G$43="Yes",59&gt;=Projects!$C$43,59&lt;Projects!$C$43+Projects!$D$43),Projects!$B$43*INDEX(Curves!$B$4:$AO$4,1,59-Projects!$C$43+1),0)+IF(AND(Projects!$G$44="Yes",59&gt;=Projects!$C$44,59&lt;Projects!$C$44+Projects!$D$44),Projects!$B$44*INDEX(Curves!$B$4:$AO$4,1,59-Projects!$C$44+1),0)+IF(AND(Projects!$G$45="Yes",59&gt;=Projects!$C$45,59&lt;Projects!$C$45+Projects!$D$45),Projects!$B$45*INDEX(Curves!$B$4:$AO$4,1,59-Projects!$C$45+1),0)+IF(AND(Projects!$G$46="Yes",59&gt;=Projects!$C$46,59&lt;Projects!$C$46+Projects!$D$46),Projects!$B$46*INDEX(Curves!$B$4:$AO$4,1,59-Projects!$C$46+1),0)</f>
        <v/>
      </c>
      <c r="BJ107">
        <f>IF(AND(Projects!$G$30="Yes",60&gt;=Projects!$C$30,60&lt;Projects!$C$30+Projects!$D$30),Projects!$B$30*INDEX(Curves!$B$4:$AO$4,1,60-Projects!$C$30+1),0)+IF(AND(Projects!$G$31="Yes",60&gt;=Projects!$C$31,60&lt;Projects!$C$31+Projects!$D$31),Projects!$B$31*INDEX(Curves!$B$4:$AO$4,1,60-Projects!$C$31+1),0)+IF(AND(Projects!$G$32="Yes",60&gt;=Projects!$C$32,60&lt;Projects!$C$32+Projects!$D$32),Projects!$B$32*INDEX(Curves!$B$4:$AO$4,1,60-Projects!$C$32+1),0)+IF(AND(Projects!$G$33="Yes",60&gt;=Projects!$C$33,60&lt;Projects!$C$33+Projects!$D$33),Projects!$B$33*INDEX(Curves!$B$4:$AO$4,1,60-Projects!$C$33+1),0)+IF(AND(Projects!$G$34="Yes",60&gt;=Projects!$C$34,60&lt;Projects!$C$34+Projects!$D$34),Projects!$B$34*INDEX(Curves!$B$4:$AO$4,1,60-Projects!$C$34+1),0)+IF(AND(Projects!$G$35="Yes",60&gt;=Projects!$C$35,60&lt;Projects!$C$35+Projects!$D$35),Projects!$B$35*INDEX(Curves!$B$4:$AO$4,1,60-Projects!$C$35+1),0)+IF(AND(Projects!$G$36="Yes",60&gt;=Projects!$C$36,60&lt;Projects!$C$36+Projects!$D$36),Projects!$B$36*INDEX(Curves!$B$4:$AO$4,1,60-Projects!$C$36+1),0)+IF(AND(Projects!$G$37="Yes",60&gt;=Projects!$C$37,60&lt;Projects!$C$37+Projects!$D$37),Projects!$B$37*INDEX(Curves!$B$4:$AO$4,1,60-Projects!$C$37+1),0)+IF(AND(Projects!$G$38="Yes",60&gt;=Projects!$C$38,60&lt;Projects!$C$38+Projects!$D$38),Projects!$B$38*INDEX(Curves!$B$4:$AO$4,1,60-Projects!$C$38+1),0)+IF(AND(Projects!$G$39="Yes",60&gt;=Projects!$C$39,60&lt;Projects!$C$39+Projects!$D$39),Projects!$B$39*INDEX(Curves!$B$4:$AO$4,1,60-Projects!$C$39+1),0)+IF(AND(Projects!$G$40="Yes",60&gt;=Projects!$C$40,60&lt;Projects!$C$40+Projects!$D$40),Projects!$B$40*INDEX(Curves!$B$4:$AO$4,1,60-Projects!$C$40+1),0)+IF(AND(Projects!$G$41="Yes",60&gt;=Projects!$C$41,60&lt;Projects!$C$41+Projects!$D$41),Projects!$B$41*INDEX(Curves!$B$4:$AO$4,1,60-Projects!$C$41+1),0)+IF(AND(Projects!$G$42="Yes",60&gt;=Projects!$C$42,60&lt;Projects!$C$42+Projects!$D$42),Projects!$B$42*INDEX(Curves!$B$4:$AO$4,1,60-Projects!$C$42+1),0)+IF(AND(Projects!$G$43="Yes",60&gt;=Projects!$C$43,60&lt;Projects!$C$43+Projects!$D$43),Projects!$B$43*INDEX(Curves!$B$4:$AO$4,1,60-Projects!$C$43+1),0)+IF(AND(Projects!$G$44="Yes",60&gt;=Projects!$C$44,60&lt;Projects!$C$44+Projects!$D$44),Projects!$B$44*INDEX(Curves!$B$4:$AO$4,1,60-Projects!$C$44+1),0)+IF(AND(Projects!$G$45="Yes",60&gt;=Projects!$C$45,60&lt;Projects!$C$45+Projects!$D$45),Projects!$B$45*INDEX(Curves!$B$4:$AO$4,1,60-Projects!$C$45+1),0)+IF(AND(Projects!$G$46="Yes",60&gt;=Projects!$C$46,60&lt;Projects!$C$46+Projects!$D$46),Projects!$B$46*INDEX(Curves!$B$4:$AO$4,1,60-Projects!$C$46+1),0)</f>
        <v/>
      </c>
      <c r="BK107">
        <f>IF(AND(Projects!$G$30="Yes",61&gt;=Projects!$C$30,61&lt;Projects!$C$30+Projects!$D$30),Projects!$B$30*INDEX(Curves!$B$4:$AO$4,1,61-Projects!$C$30+1),0)+IF(AND(Projects!$G$31="Yes",61&gt;=Projects!$C$31,61&lt;Projects!$C$31+Projects!$D$31),Projects!$B$31*INDEX(Curves!$B$4:$AO$4,1,61-Projects!$C$31+1),0)+IF(AND(Projects!$G$32="Yes",61&gt;=Projects!$C$32,61&lt;Projects!$C$32+Projects!$D$32),Projects!$B$32*INDEX(Curves!$B$4:$AO$4,1,61-Projects!$C$32+1),0)+IF(AND(Projects!$G$33="Yes",61&gt;=Projects!$C$33,61&lt;Projects!$C$33+Projects!$D$33),Projects!$B$33*INDEX(Curves!$B$4:$AO$4,1,61-Projects!$C$33+1),0)+IF(AND(Projects!$G$34="Yes",61&gt;=Projects!$C$34,61&lt;Projects!$C$34+Projects!$D$34),Projects!$B$34*INDEX(Curves!$B$4:$AO$4,1,61-Projects!$C$34+1),0)+IF(AND(Projects!$G$35="Yes",61&gt;=Projects!$C$35,61&lt;Projects!$C$35+Projects!$D$35),Projects!$B$35*INDEX(Curves!$B$4:$AO$4,1,61-Projects!$C$35+1),0)+IF(AND(Projects!$G$36="Yes",61&gt;=Projects!$C$36,61&lt;Projects!$C$36+Projects!$D$36),Projects!$B$36*INDEX(Curves!$B$4:$AO$4,1,61-Projects!$C$36+1),0)+IF(AND(Projects!$G$37="Yes",61&gt;=Projects!$C$37,61&lt;Projects!$C$37+Projects!$D$37),Projects!$B$37*INDEX(Curves!$B$4:$AO$4,1,61-Projects!$C$37+1),0)+IF(AND(Projects!$G$38="Yes",61&gt;=Projects!$C$38,61&lt;Projects!$C$38+Projects!$D$38),Projects!$B$38*INDEX(Curves!$B$4:$AO$4,1,61-Projects!$C$38+1),0)+IF(AND(Projects!$G$39="Yes",61&gt;=Projects!$C$39,61&lt;Projects!$C$39+Projects!$D$39),Projects!$B$39*INDEX(Curves!$B$4:$AO$4,1,61-Projects!$C$39+1),0)+IF(AND(Projects!$G$40="Yes",61&gt;=Projects!$C$40,61&lt;Projects!$C$40+Projects!$D$40),Projects!$B$40*INDEX(Curves!$B$4:$AO$4,1,61-Projects!$C$40+1),0)+IF(AND(Projects!$G$41="Yes",61&gt;=Projects!$C$41,61&lt;Projects!$C$41+Projects!$D$41),Projects!$B$41*INDEX(Curves!$B$4:$AO$4,1,61-Projects!$C$41+1),0)+IF(AND(Projects!$G$42="Yes",61&gt;=Projects!$C$42,61&lt;Projects!$C$42+Projects!$D$42),Projects!$B$42*INDEX(Curves!$B$4:$AO$4,1,61-Projects!$C$42+1),0)+IF(AND(Projects!$G$43="Yes",61&gt;=Projects!$C$43,61&lt;Projects!$C$43+Projects!$D$43),Projects!$B$43*INDEX(Curves!$B$4:$AO$4,1,61-Projects!$C$43+1),0)+IF(AND(Projects!$G$44="Yes",61&gt;=Projects!$C$44,61&lt;Projects!$C$44+Projects!$D$44),Projects!$B$44*INDEX(Curves!$B$4:$AO$4,1,61-Projects!$C$44+1),0)+IF(AND(Projects!$G$45="Yes",61&gt;=Projects!$C$45,61&lt;Projects!$C$45+Projects!$D$45),Projects!$B$45*INDEX(Curves!$B$4:$AO$4,1,61-Projects!$C$45+1),0)+IF(AND(Projects!$G$46="Yes",61&gt;=Projects!$C$46,61&lt;Projects!$C$46+Projects!$D$46),Projects!$B$46*INDEX(Curves!$B$4:$AO$4,1,61-Projects!$C$46+1),0)</f>
        <v/>
      </c>
      <c r="BL107">
        <f>IF(AND(Projects!$G$30="Yes",62&gt;=Projects!$C$30,62&lt;Projects!$C$30+Projects!$D$30),Projects!$B$30*INDEX(Curves!$B$4:$AO$4,1,62-Projects!$C$30+1),0)+IF(AND(Projects!$G$31="Yes",62&gt;=Projects!$C$31,62&lt;Projects!$C$31+Projects!$D$31),Projects!$B$31*INDEX(Curves!$B$4:$AO$4,1,62-Projects!$C$31+1),0)+IF(AND(Projects!$G$32="Yes",62&gt;=Projects!$C$32,62&lt;Projects!$C$32+Projects!$D$32),Projects!$B$32*INDEX(Curves!$B$4:$AO$4,1,62-Projects!$C$32+1),0)+IF(AND(Projects!$G$33="Yes",62&gt;=Projects!$C$33,62&lt;Projects!$C$33+Projects!$D$33),Projects!$B$33*INDEX(Curves!$B$4:$AO$4,1,62-Projects!$C$33+1),0)+IF(AND(Projects!$G$34="Yes",62&gt;=Projects!$C$34,62&lt;Projects!$C$34+Projects!$D$34),Projects!$B$34*INDEX(Curves!$B$4:$AO$4,1,62-Projects!$C$34+1),0)+IF(AND(Projects!$G$35="Yes",62&gt;=Projects!$C$35,62&lt;Projects!$C$35+Projects!$D$35),Projects!$B$35*INDEX(Curves!$B$4:$AO$4,1,62-Projects!$C$35+1),0)+IF(AND(Projects!$G$36="Yes",62&gt;=Projects!$C$36,62&lt;Projects!$C$36+Projects!$D$36),Projects!$B$36*INDEX(Curves!$B$4:$AO$4,1,62-Projects!$C$36+1),0)+IF(AND(Projects!$G$37="Yes",62&gt;=Projects!$C$37,62&lt;Projects!$C$37+Projects!$D$37),Projects!$B$37*INDEX(Curves!$B$4:$AO$4,1,62-Projects!$C$37+1),0)+IF(AND(Projects!$G$38="Yes",62&gt;=Projects!$C$38,62&lt;Projects!$C$38+Projects!$D$38),Projects!$B$38*INDEX(Curves!$B$4:$AO$4,1,62-Projects!$C$38+1),0)+IF(AND(Projects!$G$39="Yes",62&gt;=Projects!$C$39,62&lt;Projects!$C$39+Projects!$D$39),Projects!$B$39*INDEX(Curves!$B$4:$AO$4,1,62-Projects!$C$39+1),0)+IF(AND(Projects!$G$40="Yes",62&gt;=Projects!$C$40,62&lt;Projects!$C$40+Projects!$D$40),Projects!$B$40*INDEX(Curves!$B$4:$AO$4,1,62-Projects!$C$40+1),0)+IF(AND(Projects!$G$41="Yes",62&gt;=Projects!$C$41,62&lt;Projects!$C$41+Projects!$D$41),Projects!$B$41*INDEX(Curves!$B$4:$AO$4,1,62-Projects!$C$41+1),0)+IF(AND(Projects!$G$42="Yes",62&gt;=Projects!$C$42,62&lt;Projects!$C$42+Projects!$D$42),Projects!$B$42*INDEX(Curves!$B$4:$AO$4,1,62-Projects!$C$42+1),0)+IF(AND(Projects!$G$43="Yes",62&gt;=Projects!$C$43,62&lt;Projects!$C$43+Projects!$D$43),Projects!$B$43*INDEX(Curves!$B$4:$AO$4,1,62-Projects!$C$43+1),0)+IF(AND(Projects!$G$44="Yes",62&gt;=Projects!$C$44,62&lt;Projects!$C$44+Projects!$D$44),Projects!$B$44*INDEX(Curves!$B$4:$AO$4,1,62-Projects!$C$44+1),0)+IF(AND(Projects!$G$45="Yes",62&gt;=Projects!$C$45,62&lt;Projects!$C$45+Projects!$D$45),Projects!$B$45*INDEX(Curves!$B$4:$AO$4,1,62-Projects!$C$45+1),0)+IF(AND(Projects!$G$46="Yes",62&gt;=Projects!$C$46,62&lt;Projects!$C$46+Projects!$D$46),Projects!$B$46*INDEX(Curves!$B$4:$AO$4,1,62-Projects!$C$46+1),0)</f>
        <v/>
      </c>
      <c r="BM107">
        <f>IF(AND(Projects!$G$30="Yes",63&gt;=Projects!$C$30,63&lt;Projects!$C$30+Projects!$D$30),Projects!$B$30*INDEX(Curves!$B$4:$AO$4,1,63-Projects!$C$30+1),0)+IF(AND(Projects!$G$31="Yes",63&gt;=Projects!$C$31,63&lt;Projects!$C$31+Projects!$D$31),Projects!$B$31*INDEX(Curves!$B$4:$AO$4,1,63-Projects!$C$31+1),0)+IF(AND(Projects!$G$32="Yes",63&gt;=Projects!$C$32,63&lt;Projects!$C$32+Projects!$D$32),Projects!$B$32*INDEX(Curves!$B$4:$AO$4,1,63-Projects!$C$32+1),0)+IF(AND(Projects!$G$33="Yes",63&gt;=Projects!$C$33,63&lt;Projects!$C$33+Projects!$D$33),Projects!$B$33*INDEX(Curves!$B$4:$AO$4,1,63-Projects!$C$33+1),0)+IF(AND(Projects!$G$34="Yes",63&gt;=Projects!$C$34,63&lt;Projects!$C$34+Projects!$D$34),Projects!$B$34*INDEX(Curves!$B$4:$AO$4,1,63-Projects!$C$34+1),0)+IF(AND(Projects!$G$35="Yes",63&gt;=Projects!$C$35,63&lt;Projects!$C$35+Projects!$D$35),Projects!$B$35*INDEX(Curves!$B$4:$AO$4,1,63-Projects!$C$35+1),0)+IF(AND(Projects!$G$36="Yes",63&gt;=Projects!$C$36,63&lt;Projects!$C$36+Projects!$D$36),Projects!$B$36*INDEX(Curves!$B$4:$AO$4,1,63-Projects!$C$36+1),0)+IF(AND(Projects!$G$37="Yes",63&gt;=Projects!$C$37,63&lt;Projects!$C$37+Projects!$D$37),Projects!$B$37*INDEX(Curves!$B$4:$AO$4,1,63-Projects!$C$37+1),0)+IF(AND(Projects!$G$38="Yes",63&gt;=Projects!$C$38,63&lt;Projects!$C$38+Projects!$D$38),Projects!$B$38*INDEX(Curves!$B$4:$AO$4,1,63-Projects!$C$38+1),0)+IF(AND(Projects!$G$39="Yes",63&gt;=Projects!$C$39,63&lt;Projects!$C$39+Projects!$D$39),Projects!$B$39*INDEX(Curves!$B$4:$AO$4,1,63-Projects!$C$39+1),0)+IF(AND(Projects!$G$40="Yes",63&gt;=Projects!$C$40,63&lt;Projects!$C$40+Projects!$D$40),Projects!$B$40*INDEX(Curves!$B$4:$AO$4,1,63-Projects!$C$40+1),0)+IF(AND(Projects!$G$41="Yes",63&gt;=Projects!$C$41,63&lt;Projects!$C$41+Projects!$D$41),Projects!$B$41*INDEX(Curves!$B$4:$AO$4,1,63-Projects!$C$41+1),0)+IF(AND(Projects!$G$42="Yes",63&gt;=Projects!$C$42,63&lt;Projects!$C$42+Projects!$D$42),Projects!$B$42*INDEX(Curves!$B$4:$AO$4,1,63-Projects!$C$42+1),0)+IF(AND(Projects!$G$43="Yes",63&gt;=Projects!$C$43,63&lt;Projects!$C$43+Projects!$D$43),Projects!$B$43*INDEX(Curves!$B$4:$AO$4,1,63-Projects!$C$43+1),0)+IF(AND(Projects!$G$44="Yes",63&gt;=Projects!$C$44,63&lt;Projects!$C$44+Projects!$D$44),Projects!$B$44*INDEX(Curves!$B$4:$AO$4,1,63-Projects!$C$44+1),0)+IF(AND(Projects!$G$45="Yes",63&gt;=Projects!$C$45,63&lt;Projects!$C$45+Projects!$D$45),Projects!$B$45*INDEX(Curves!$B$4:$AO$4,1,63-Projects!$C$45+1),0)+IF(AND(Projects!$G$46="Yes",63&gt;=Projects!$C$46,63&lt;Projects!$C$46+Projects!$D$46),Projects!$B$46*INDEX(Curves!$B$4:$AO$4,1,63-Projects!$C$46+1),0)</f>
        <v/>
      </c>
      <c r="BN107">
        <f>IF(AND(Projects!$G$30="Yes",64&gt;=Projects!$C$30,64&lt;Projects!$C$30+Projects!$D$30),Projects!$B$30*INDEX(Curves!$B$4:$AO$4,1,64-Projects!$C$30+1),0)+IF(AND(Projects!$G$31="Yes",64&gt;=Projects!$C$31,64&lt;Projects!$C$31+Projects!$D$31),Projects!$B$31*INDEX(Curves!$B$4:$AO$4,1,64-Projects!$C$31+1),0)+IF(AND(Projects!$G$32="Yes",64&gt;=Projects!$C$32,64&lt;Projects!$C$32+Projects!$D$32),Projects!$B$32*INDEX(Curves!$B$4:$AO$4,1,64-Projects!$C$32+1),0)+IF(AND(Projects!$G$33="Yes",64&gt;=Projects!$C$33,64&lt;Projects!$C$33+Projects!$D$33),Projects!$B$33*INDEX(Curves!$B$4:$AO$4,1,64-Projects!$C$33+1),0)+IF(AND(Projects!$G$34="Yes",64&gt;=Projects!$C$34,64&lt;Projects!$C$34+Projects!$D$34),Projects!$B$34*INDEX(Curves!$B$4:$AO$4,1,64-Projects!$C$34+1),0)+IF(AND(Projects!$G$35="Yes",64&gt;=Projects!$C$35,64&lt;Projects!$C$35+Projects!$D$35),Projects!$B$35*INDEX(Curves!$B$4:$AO$4,1,64-Projects!$C$35+1),0)+IF(AND(Projects!$G$36="Yes",64&gt;=Projects!$C$36,64&lt;Projects!$C$36+Projects!$D$36),Projects!$B$36*INDEX(Curves!$B$4:$AO$4,1,64-Projects!$C$36+1),0)+IF(AND(Projects!$G$37="Yes",64&gt;=Projects!$C$37,64&lt;Projects!$C$37+Projects!$D$37),Projects!$B$37*INDEX(Curves!$B$4:$AO$4,1,64-Projects!$C$37+1),0)+IF(AND(Projects!$G$38="Yes",64&gt;=Projects!$C$38,64&lt;Projects!$C$38+Projects!$D$38),Projects!$B$38*INDEX(Curves!$B$4:$AO$4,1,64-Projects!$C$38+1),0)+IF(AND(Projects!$G$39="Yes",64&gt;=Projects!$C$39,64&lt;Projects!$C$39+Projects!$D$39),Projects!$B$39*INDEX(Curves!$B$4:$AO$4,1,64-Projects!$C$39+1),0)+IF(AND(Projects!$G$40="Yes",64&gt;=Projects!$C$40,64&lt;Projects!$C$40+Projects!$D$40),Projects!$B$40*INDEX(Curves!$B$4:$AO$4,1,64-Projects!$C$40+1),0)+IF(AND(Projects!$G$41="Yes",64&gt;=Projects!$C$41,64&lt;Projects!$C$41+Projects!$D$41),Projects!$B$41*INDEX(Curves!$B$4:$AO$4,1,64-Projects!$C$41+1),0)+IF(AND(Projects!$G$42="Yes",64&gt;=Projects!$C$42,64&lt;Projects!$C$42+Projects!$D$42),Projects!$B$42*INDEX(Curves!$B$4:$AO$4,1,64-Projects!$C$42+1),0)+IF(AND(Projects!$G$43="Yes",64&gt;=Projects!$C$43,64&lt;Projects!$C$43+Projects!$D$43),Projects!$B$43*INDEX(Curves!$B$4:$AO$4,1,64-Projects!$C$43+1),0)+IF(AND(Projects!$G$44="Yes",64&gt;=Projects!$C$44,64&lt;Projects!$C$44+Projects!$D$44),Projects!$B$44*INDEX(Curves!$B$4:$AO$4,1,64-Projects!$C$44+1),0)+IF(AND(Projects!$G$45="Yes",64&gt;=Projects!$C$45,64&lt;Projects!$C$45+Projects!$D$45),Projects!$B$45*INDEX(Curves!$B$4:$AO$4,1,64-Projects!$C$45+1),0)+IF(AND(Projects!$G$46="Yes",64&gt;=Projects!$C$46,64&lt;Projects!$C$46+Projects!$D$46),Projects!$B$46*INDEX(Curves!$B$4:$AO$4,1,64-Projects!$C$46+1),0)</f>
        <v/>
      </c>
      <c r="BO107">
        <f>IF(AND(Projects!$G$30="Yes",65&gt;=Projects!$C$30,65&lt;Projects!$C$30+Projects!$D$30),Projects!$B$30*INDEX(Curves!$B$4:$AO$4,1,65-Projects!$C$30+1),0)+IF(AND(Projects!$G$31="Yes",65&gt;=Projects!$C$31,65&lt;Projects!$C$31+Projects!$D$31),Projects!$B$31*INDEX(Curves!$B$4:$AO$4,1,65-Projects!$C$31+1),0)+IF(AND(Projects!$G$32="Yes",65&gt;=Projects!$C$32,65&lt;Projects!$C$32+Projects!$D$32),Projects!$B$32*INDEX(Curves!$B$4:$AO$4,1,65-Projects!$C$32+1),0)+IF(AND(Projects!$G$33="Yes",65&gt;=Projects!$C$33,65&lt;Projects!$C$33+Projects!$D$33),Projects!$B$33*INDEX(Curves!$B$4:$AO$4,1,65-Projects!$C$33+1),0)+IF(AND(Projects!$G$34="Yes",65&gt;=Projects!$C$34,65&lt;Projects!$C$34+Projects!$D$34),Projects!$B$34*INDEX(Curves!$B$4:$AO$4,1,65-Projects!$C$34+1),0)+IF(AND(Projects!$G$35="Yes",65&gt;=Projects!$C$35,65&lt;Projects!$C$35+Projects!$D$35),Projects!$B$35*INDEX(Curves!$B$4:$AO$4,1,65-Projects!$C$35+1),0)+IF(AND(Projects!$G$36="Yes",65&gt;=Projects!$C$36,65&lt;Projects!$C$36+Projects!$D$36),Projects!$B$36*INDEX(Curves!$B$4:$AO$4,1,65-Projects!$C$36+1),0)+IF(AND(Projects!$G$37="Yes",65&gt;=Projects!$C$37,65&lt;Projects!$C$37+Projects!$D$37),Projects!$B$37*INDEX(Curves!$B$4:$AO$4,1,65-Projects!$C$37+1),0)+IF(AND(Projects!$G$38="Yes",65&gt;=Projects!$C$38,65&lt;Projects!$C$38+Projects!$D$38),Projects!$B$38*INDEX(Curves!$B$4:$AO$4,1,65-Projects!$C$38+1),0)+IF(AND(Projects!$G$39="Yes",65&gt;=Projects!$C$39,65&lt;Projects!$C$39+Projects!$D$39),Projects!$B$39*INDEX(Curves!$B$4:$AO$4,1,65-Projects!$C$39+1),0)+IF(AND(Projects!$G$40="Yes",65&gt;=Projects!$C$40,65&lt;Projects!$C$40+Projects!$D$40),Projects!$B$40*INDEX(Curves!$B$4:$AO$4,1,65-Projects!$C$40+1),0)+IF(AND(Projects!$G$41="Yes",65&gt;=Projects!$C$41,65&lt;Projects!$C$41+Projects!$D$41),Projects!$B$41*INDEX(Curves!$B$4:$AO$4,1,65-Projects!$C$41+1),0)+IF(AND(Projects!$G$42="Yes",65&gt;=Projects!$C$42,65&lt;Projects!$C$42+Projects!$D$42),Projects!$B$42*INDEX(Curves!$B$4:$AO$4,1,65-Projects!$C$42+1),0)+IF(AND(Projects!$G$43="Yes",65&gt;=Projects!$C$43,65&lt;Projects!$C$43+Projects!$D$43),Projects!$B$43*INDEX(Curves!$B$4:$AO$4,1,65-Projects!$C$43+1),0)+IF(AND(Projects!$G$44="Yes",65&gt;=Projects!$C$44,65&lt;Projects!$C$44+Projects!$D$44),Projects!$B$44*INDEX(Curves!$B$4:$AO$4,1,65-Projects!$C$44+1),0)+IF(AND(Projects!$G$45="Yes",65&gt;=Projects!$C$45,65&lt;Projects!$C$45+Projects!$D$45),Projects!$B$45*INDEX(Curves!$B$4:$AO$4,1,65-Projects!$C$45+1),0)+IF(AND(Projects!$G$46="Yes",65&gt;=Projects!$C$46,65&lt;Projects!$C$46+Projects!$D$46),Projects!$B$46*INDEX(Curves!$B$4:$AO$4,1,65-Projects!$C$46+1),0)</f>
        <v/>
      </c>
      <c r="BP107">
        <f>IF(AND(Projects!$G$30="Yes",66&gt;=Projects!$C$30,66&lt;Projects!$C$30+Projects!$D$30),Projects!$B$30*INDEX(Curves!$B$4:$AO$4,1,66-Projects!$C$30+1),0)+IF(AND(Projects!$G$31="Yes",66&gt;=Projects!$C$31,66&lt;Projects!$C$31+Projects!$D$31),Projects!$B$31*INDEX(Curves!$B$4:$AO$4,1,66-Projects!$C$31+1),0)+IF(AND(Projects!$G$32="Yes",66&gt;=Projects!$C$32,66&lt;Projects!$C$32+Projects!$D$32),Projects!$B$32*INDEX(Curves!$B$4:$AO$4,1,66-Projects!$C$32+1),0)+IF(AND(Projects!$G$33="Yes",66&gt;=Projects!$C$33,66&lt;Projects!$C$33+Projects!$D$33),Projects!$B$33*INDEX(Curves!$B$4:$AO$4,1,66-Projects!$C$33+1),0)+IF(AND(Projects!$G$34="Yes",66&gt;=Projects!$C$34,66&lt;Projects!$C$34+Projects!$D$34),Projects!$B$34*INDEX(Curves!$B$4:$AO$4,1,66-Projects!$C$34+1),0)+IF(AND(Projects!$G$35="Yes",66&gt;=Projects!$C$35,66&lt;Projects!$C$35+Projects!$D$35),Projects!$B$35*INDEX(Curves!$B$4:$AO$4,1,66-Projects!$C$35+1),0)+IF(AND(Projects!$G$36="Yes",66&gt;=Projects!$C$36,66&lt;Projects!$C$36+Projects!$D$36),Projects!$B$36*INDEX(Curves!$B$4:$AO$4,1,66-Projects!$C$36+1),0)+IF(AND(Projects!$G$37="Yes",66&gt;=Projects!$C$37,66&lt;Projects!$C$37+Projects!$D$37),Projects!$B$37*INDEX(Curves!$B$4:$AO$4,1,66-Projects!$C$37+1),0)+IF(AND(Projects!$G$38="Yes",66&gt;=Projects!$C$38,66&lt;Projects!$C$38+Projects!$D$38),Projects!$B$38*INDEX(Curves!$B$4:$AO$4,1,66-Projects!$C$38+1),0)+IF(AND(Projects!$G$39="Yes",66&gt;=Projects!$C$39,66&lt;Projects!$C$39+Projects!$D$39),Projects!$B$39*INDEX(Curves!$B$4:$AO$4,1,66-Projects!$C$39+1),0)+IF(AND(Projects!$G$40="Yes",66&gt;=Projects!$C$40,66&lt;Projects!$C$40+Projects!$D$40),Projects!$B$40*INDEX(Curves!$B$4:$AO$4,1,66-Projects!$C$40+1),0)+IF(AND(Projects!$G$41="Yes",66&gt;=Projects!$C$41,66&lt;Projects!$C$41+Projects!$D$41),Projects!$B$41*INDEX(Curves!$B$4:$AO$4,1,66-Projects!$C$41+1),0)+IF(AND(Projects!$G$42="Yes",66&gt;=Projects!$C$42,66&lt;Projects!$C$42+Projects!$D$42),Projects!$B$42*INDEX(Curves!$B$4:$AO$4,1,66-Projects!$C$42+1),0)+IF(AND(Projects!$G$43="Yes",66&gt;=Projects!$C$43,66&lt;Projects!$C$43+Projects!$D$43),Projects!$B$43*INDEX(Curves!$B$4:$AO$4,1,66-Projects!$C$43+1),0)+IF(AND(Projects!$G$44="Yes",66&gt;=Projects!$C$44,66&lt;Projects!$C$44+Projects!$D$44),Projects!$B$44*INDEX(Curves!$B$4:$AO$4,1,66-Projects!$C$44+1),0)+IF(AND(Projects!$G$45="Yes",66&gt;=Projects!$C$45,66&lt;Projects!$C$45+Projects!$D$45),Projects!$B$45*INDEX(Curves!$B$4:$AO$4,1,66-Projects!$C$45+1),0)+IF(AND(Projects!$G$46="Yes",66&gt;=Projects!$C$46,66&lt;Projects!$C$46+Projects!$D$46),Projects!$B$46*INDEX(Curves!$B$4:$AO$4,1,66-Projects!$C$46+1),0)</f>
        <v/>
      </c>
      <c r="BQ107">
        <f>IF(AND(Projects!$G$30="Yes",67&gt;=Projects!$C$30,67&lt;Projects!$C$30+Projects!$D$30),Projects!$B$30*INDEX(Curves!$B$4:$AO$4,1,67-Projects!$C$30+1),0)+IF(AND(Projects!$G$31="Yes",67&gt;=Projects!$C$31,67&lt;Projects!$C$31+Projects!$D$31),Projects!$B$31*INDEX(Curves!$B$4:$AO$4,1,67-Projects!$C$31+1),0)+IF(AND(Projects!$G$32="Yes",67&gt;=Projects!$C$32,67&lt;Projects!$C$32+Projects!$D$32),Projects!$B$32*INDEX(Curves!$B$4:$AO$4,1,67-Projects!$C$32+1),0)+IF(AND(Projects!$G$33="Yes",67&gt;=Projects!$C$33,67&lt;Projects!$C$33+Projects!$D$33),Projects!$B$33*INDEX(Curves!$B$4:$AO$4,1,67-Projects!$C$33+1),0)+IF(AND(Projects!$G$34="Yes",67&gt;=Projects!$C$34,67&lt;Projects!$C$34+Projects!$D$34),Projects!$B$34*INDEX(Curves!$B$4:$AO$4,1,67-Projects!$C$34+1),0)+IF(AND(Projects!$G$35="Yes",67&gt;=Projects!$C$35,67&lt;Projects!$C$35+Projects!$D$35),Projects!$B$35*INDEX(Curves!$B$4:$AO$4,1,67-Projects!$C$35+1),0)+IF(AND(Projects!$G$36="Yes",67&gt;=Projects!$C$36,67&lt;Projects!$C$36+Projects!$D$36),Projects!$B$36*INDEX(Curves!$B$4:$AO$4,1,67-Projects!$C$36+1),0)+IF(AND(Projects!$G$37="Yes",67&gt;=Projects!$C$37,67&lt;Projects!$C$37+Projects!$D$37),Projects!$B$37*INDEX(Curves!$B$4:$AO$4,1,67-Projects!$C$37+1),0)+IF(AND(Projects!$G$38="Yes",67&gt;=Projects!$C$38,67&lt;Projects!$C$38+Projects!$D$38),Projects!$B$38*INDEX(Curves!$B$4:$AO$4,1,67-Projects!$C$38+1),0)+IF(AND(Projects!$G$39="Yes",67&gt;=Projects!$C$39,67&lt;Projects!$C$39+Projects!$D$39),Projects!$B$39*INDEX(Curves!$B$4:$AO$4,1,67-Projects!$C$39+1),0)+IF(AND(Projects!$G$40="Yes",67&gt;=Projects!$C$40,67&lt;Projects!$C$40+Projects!$D$40),Projects!$B$40*INDEX(Curves!$B$4:$AO$4,1,67-Projects!$C$40+1),0)+IF(AND(Projects!$G$41="Yes",67&gt;=Projects!$C$41,67&lt;Projects!$C$41+Projects!$D$41),Projects!$B$41*INDEX(Curves!$B$4:$AO$4,1,67-Projects!$C$41+1),0)+IF(AND(Projects!$G$42="Yes",67&gt;=Projects!$C$42,67&lt;Projects!$C$42+Projects!$D$42),Projects!$B$42*INDEX(Curves!$B$4:$AO$4,1,67-Projects!$C$42+1),0)+IF(AND(Projects!$G$43="Yes",67&gt;=Projects!$C$43,67&lt;Projects!$C$43+Projects!$D$43),Projects!$B$43*INDEX(Curves!$B$4:$AO$4,1,67-Projects!$C$43+1),0)+IF(AND(Projects!$G$44="Yes",67&gt;=Projects!$C$44,67&lt;Projects!$C$44+Projects!$D$44),Projects!$B$44*INDEX(Curves!$B$4:$AO$4,1,67-Projects!$C$44+1),0)+IF(AND(Projects!$G$45="Yes",67&gt;=Projects!$C$45,67&lt;Projects!$C$45+Projects!$D$45),Projects!$B$45*INDEX(Curves!$B$4:$AO$4,1,67-Projects!$C$45+1),0)+IF(AND(Projects!$G$46="Yes",67&gt;=Projects!$C$46,67&lt;Projects!$C$46+Projects!$D$46),Projects!$B$46*INDEX(Curves!$B$4:$AO$4,1,67-Projects!$C$46+1),0)</f>
        <v/>
      </c>
      <c r="BR107">
        <f>IF(AND(Projects!$G$30="Yes",68&gt;=Projects!$C$30,68&lt;Projects!$C$30+Projects!$D$30),Projects!$B$30*INDEX(Curves!$B$4:$AO$4,1,68-Projects!$C$30+1),0)+IF(AND(Projects!$G$31="Yes",68&gt;=Projects!$C$31,68&lt;Projects!$C$31+Projects!$D$31),Projects!$B$31*INDEX(Curves!$B$4:$AO$4,1,68-Projects!$C$31+1),0)+IF(AND(Projects!$G$32="Yes",68&gt;=Projects!$C$32,68&lt;Projects!$C$32+Projects!$D$32),Projects!$B$32*INDEX(Curves!$B$4:$AO$4,1,68-Projects!$C$32+1),0)+IF(AND(Projects!$G$33="Yes",68&gt;=Projects!$C$33,68&lt;Projects!$C$33+Projects!$D$33),Projects!$B$33*INDEX(Curves!$B$4:$AO$4,1,68-Projects!$C$33+1),0)+IF(AND(Projects!$G$34="Yes",68&gt;=Projects!$C$34,68&lt;Projects!$C$34+Projects!$D$34),Projects!$B$34*INDEX(Curves!$B$4:$AO$4,1,68-Projects!$C$34+1),0)+IF(AND(Projects!$G$35="Yes",68&gt;=Projects!$C$35,68&lt;Projects!$C$35+Projects!$D$35),Projects!$B$35*INDEX(Curves!$B$4:$AO$4,1,68-Projects!$C$35+1),0)+IF(AND(Projects!$G$36="Yes",68&gt;=Projects!$C$36,68&lt;Projects!$C$36+Projects!$D$36),Projects!$B$36*INDEX(Curves!$B$4:$AO$4,1,68-Projects!$C$36+1),0)+IF(AND(Projects!$G$37="Yes",68&gt;=Projects!$C$37,68&lt;Projects!$C$37+Projects!$D$37),Projects!$B$37*INDEX(Curves!$B$4:$AO$4,1,68-Projects!$C$37+1),0)+IF(AND(Projects!$G$38="Yes",68&gt;=Projects!$C$38,68&lt;Projects!$C$38+Projects!$D$38),Projects!$B$38*INDEX(Curves!$B$4:$AO$4,1,68-Projects!$C$38+1),0)+IF(AND(Projects!$G$39="Yes",68&gt;=Projects!$C$39,68&lt;Projects!$C$39+Projects!$D$39),Projects!$B$39*INDEX(Curves!$B$4:$AO$4,1,68-Projects!$C$39+1),0)+IF(AND(Projects!$G$40="Yes",68&gt;=Projects!$C$40,68&lt;Projects!$C$40+Projects!$D$40),Projects!$B$40*INDEX(Curves!$B$4:$AO$4,1,68-Projects!$C$40+1),0)+IF(AND(Projects!$G$41="Yes",68&gt;=Projects!$C$41,68&lt;Projects!$C$41+Projects!$D$41),Projects!$B$41*INDEX(Curves!$B$4:$AO$4,1,68-Projects!$C$41+1),0)+IF(AND(Projects!$G$42="Yes",68&gt;=Projects!$C$42,68&lt;Projects!$C$42+Projects!$D$42),Projects!$B$42*INDEX(Curves!$B$4:$AO$4,1,68-Projects!$C$42+1),0)+IF(AND(Projects!$G$43="Yes",68&gt;=Projects!$C$43,68&lt;Projects!$C$43+Projects!$D$43),Projects!$B$43*INDEX(Curves!$B$4:$AO$4,1,68-Projects!$C$43+1),0)+IF(AND(Projects!$G$44="Yes",68&gt;=Projects!$C$44,68&lt;Projects!$C$44+Projects!$D$44),Projects!$B$44*INDEX(Curves!$B$4:$AO$4,1,68-Projects!$C$44+1),0)+IF(AND(Projects!$G$45="Yes",68&gt;=Projects!$C$45,68&lt;Projects!$C$45+Projects!$D$45),Projects!$B$45*INDEX(Curves!$B$4:$AO$4,1,68-Projects!$C$45+1),0)+IF(AND(Projects!$G$46="Yes",68&gt;=Projects!$C$46,68&lt;Projects!$C$46+Projects!$D$46),Projects!$B$46*INDEX(Curves!$B$4:$AO$4,1,68-Projects!$C$46+1),0)</f>
        <v/>
      </c>
      <c r="BS107">
        <f>IF(AND(Projects!$G$30="Yes",69&gt;=Projects!$C$30,69&lt;Projects!$C$30+Projects!$D$30),Projects!$B$30*INDEX(Curves!$B$4:$AO$4,1,69-Projects!$C$30+1),0)+IF(AND(Projects!$G$31="Yes",69&gt;=Projects!$C$31,69&lt;Projects!$C$31+Projects!$D$31),Projects!$B$31*INDEX(Curves!$B$4:$AO$4,1,69-Projects!$C$31+1),0)+IF(AND(Projects!$G$32="Yes",69&gt;=Projects!$C$32,69&lt;Projects!$C$32+Projects!$D$32),Projects!$B$32*INDEX(Curves!$B$4:$AO$4,1,69-Projects!$C$32+1),0)+IF(AND(Projects!$G$33="Yes",69&gt;=Projects!$C$33,69&lt;Projects!$C$33+Projects!$D$33),Projects!$B$33*INDEX(Curves!$B$4:$AO$4,1,69-Projects!$C$33+1),0)+IF(AND(Projects!$G$34="Yes",69&gt;=Projects!$C$34,69&lt;Projects!$C$34+Projects!$D$34),Projects!$B$34*INDEX(Curves!$B$4:$AO$4,1,69-Projects!$C$34+1),0)+IF(AND(Projects!$G$35="Yes",69&gt;=Projects!$C$35,69&lt;Projects!$C$35+Projects!$D$35),Projects!$B$35*INDEX(Curves!$B$4:$AO$4,1,69-Projects!$C$35+1),0)+IF(AND(Projects!$G$36="Yes",69&gt;=Projects!$C$36,69&lt;Projects!$C$36+Projects!$D$36),Projects!$B$36*INDEX(Curves!$B$4:$AO$4,1,69-Projects!$C$36+1),0)+IF(AND(Projects!$G$37="Yes",69&gt;=Projects!$C$37,69&lt;Projects!$C$37+Projects!$D$37),Projects!$B$37*INDEX(Curves!$B$4:$AO$4,1,69-Projects!$C$37+1),0)+IF(AND(Projects!$G$38="Yes",69&gt;=Projects!$C$38,69&lt;Projects!$C$38+Projects!$D$38),Projects!$B$38*INDEX(Curves!$B$4:$AO$4,1,69-Projects!$C$38+1),0)+IF(AND(Projects!$G$39="Yes",69&gt;=Projects!$C$39,69&lt;Projects!$C$39+Projects!$D$39),Projects!$B$39*INDEX(Curves!$B$4:$AO$4,1,69-Projects!$C$39+1),0)+IF(AND(Projects!$G$40="Yes",69&gt;=Projects!$C$40,69&lt;Projects!$C$40+Projects!$D$40),Projects!$B$40*INDEX(Curves!$B$4:$AO$4,1,69-Projects!$C$40+1),0)+IF(AND(Projects!$G$41="Yes",69&gt;=Projects!$C$41,69&lt;Projects!$C$41+Projects!$D$41),Projects!$B$41*INDEX(Curves!$B$4:$AO$4,1,69-Projects!$C$41+1),0)+IF(AND(Projects!$G$42="Yes",69&gt;=Projects!$C$42,69&lt;Projects!$C$42+Projects!$D$42),Projects!$B$42*INDEX(Curves!$B$4:$AO$4,1,69-Projects!$C$42+1),0)+IF(AND(Projects!$G$43="Yes",69&gt;=Projects!$C$43,69&lt;Projects!$C$43+Projects!$D$43),Projects!$B$43*INDEX(Curves!$B$4:$AO$4,1,69-Projects!$C$43+1),0)+IF(AND(Projects!$G$44="Yes",69&gt;=Projects!$C$44,69&lt;Projects!$C$44+Projects!$D$44),Projects!$B$44*INDEX(Curves!$B$4:$AO$4,1,69-Projects!$C$44+1),0)+IF(AND(Projects!$G$45="Yes",69&gt;=Projects!$C$45,69&lt;Projects!$C$45+Projects!$D$45),Projects!$B$45*INDEX(Curves!$B$4:$AO$4,1,69-Projects!$C$45+1),0)+IF(AND(Projects!$G$46="Yes",69&gt;=Projects!$C$46,69&lt;Projects!$C$46+Projects!$D$46),Projects!$B$46*INDEX(Curves!$B$4:$AO$4,1,69-Projects!$C$46+1),0)</f>
        <v/>
      </c>
      <c r="BT107">
        <f>IF(AND(Projects!$G$30="Yes",70&gt;=Projects!$C$30,70&lt;Projects!$C$30+Projects!$D$30),Projects!$B$30*INDEX(Curves!$B$4:$AO$4,1,70-Projects!$C$30+1),0)+IF(AND(Projects!$G$31="Yes",70&gt;=Projects!$C$31,70&lt;Projects!$C$31+Projects!$D$31),Projects!$B$31*INDEX(Curves!$B$4:$AO$4,1,70-Projects!$C$31+1),0)+IF(AND(Projects!$G$32="Yes",70&gt;=Projects!$C$32,70&lt;Projects!$C$32+Projects!$D$32),Projects!$B$32*INDEX(Curves!$B$4:$AO$4,1,70-Projects!$C$32+1),0)+IF(AND(Projects!$G$33="Yes",70&gt;=Projects!$C$33,70&lt;Projects!$C$33+Projects!$D$33),Projects!$B$33*INDEX(Curves!$B$4:$AO$4,1,70-Projects!$C$33+1),0)+IF(AND(Projects!$G$34="Yes",70&gt;=Projects!$C$34,70&lt;Projects!$C$34+Projects!$D$34),Projects!$B$34*INDEX(Curves!$B$4:$AO$4,1,70-Projects!$C$34+1),0)+IF(AND(Projects!$G$35="Yes",70&gt;=Projects!$C$35,70&lt;Projects!$C$35+Projects!$D$35),Projects!$B$35*INDEX(Curves!$B$4:$AO$4,1,70-Projects!$C$35+1),0)+IF(AND(Projects!$G$36="Yes",70&gt;=Projects!$C$36,70&lt;Projects!$C$36+Projects!$D$36),Projects!$B$36*INDEX(Curves!$B$4:$AO$4,1,70-Projects!$C$36+1),0)+IF(AND(Projects!$G$37="Yes",70&gt;=Projects!$C$37,70&lt;Projects!$C$37+Projects!$D$37),Projects!$B$37*INDEX(Curves!$B$4:$AO$4,1,70-Projects!$C$37+1),0)+IF(AND(Projects!$G$38="Yes",70&gt;=Projects!$C$38,70&lt;Projects!$C$38+Projects!$D$38),Projects!$B$38*INDEX(Curves!$B$4:$AO$4,1,70-Projects!$C$38+1),0)+IF(AND(Projects!$G$39="Yes",70&gt;=Projects!$C$39,70&lt;Projects!$C$39+Projects!$D$39),Projects!$B$39*INDEX(Curves!$B$4:$AO$4,1,70-Projects!$C$39+1),0)+IF(AND(Projects!$G$40="Yes",70&gt;=Projects!$C$40,70&lt;Projects!$C$40+Projects!$D$40),Projects!$B$40*INDEX(Curves!$B$4:$AO$4,1,70-Projects!$C$40+1),0)+IF(AND(Projects!$G$41="Yes",70&gt;=Projects!$C$41,70&lt;Projects!$C$41+Projects!$D$41),Projects!$B$41*INDEX(Curves!$B$4:$AO$4,1,70-Projects!$C$41+1),0)+IF(AND(Projects!$G$42="Yes",70&gt;=Projects!$C$42,70&lt;Projects!$C$42+Projects!$D$42),Projects!$B$42*INDEX(Curves!$B$4:$AO$4,1,70-Projects!$C$42+1),0)+IF(AND(Projects!$G$43="Yes",70&gt;=Projects!$C$43,70&lt;Projects!$C$43+Projects!$D$43),Projects!$B$43*INDEX(Curves!$B$4:$AO$4,1,70-Projects!$C$43+1),0)+IF(AND(Projects!$G$44="Yes",70&gt;=Projects!$C$44,70&lt;Projects!$C$44+Projects!$D$44),Projects!$B$44*INDEX(Curves!$B$4:$AO$4,1,70-Projects!$C$44+1),0)+IF(AND(Projects!$G$45="Yes",70&gt;=Projects!$C$45,70&lt;Projects!$C$45+Projects!$D$45),Projects!$B$45*INDEX(Curves!$B$4:$AO$4,1,70-Projects!$C$45+1),0)+IF(AND(Projects!$G$46="Yes",70&gt;=Projects!$C$46,70&lt;Projects!$C$46+Projects!$D$46),Projects!$B$46*INDEX(Curves!$B$4:$AO$4,1,70-Projects!$C$46+1),0)</f>
        <v/>
      </c>
      <c r="BU107">
        <f>IF(AND(Projects!$G$30="Yes",71&gt;=Projects!$C$30,71&lt;Projects!$C$30+Projects!$D$30),Projects!$B$30*INDEX(Curves!$B$4:$AO$4,1,71-Projects!$C$30+1),0)+IF(AND(Projects!$G$31="Yes",71&gt;=Projects!$C$31,71&lt;Projects!$C$31+Projects!$D$31),Projects!$B$31*INDEX(Curves!$B$4:$AO$4,1,71-Projects!$C$31+1),0)+IF(AND(Projects!$G$32="Yes",71&gt;=Projects!$C$32,71&lt;Projects!$C$32+Projects!$D$32),Projects!$B$32*INDEX(Curves!$B$4:$AO$4,1,71-Projects!$C$32+1),0)+IF(AND(Projects!$G$33="Yes",71&gt;=Projects!$C$33,71&lt;Projects!$C$33+Projects!$D$33),Projects!$B$33*INDEX(Curves!$B$4:$AO$4,1,71-Projects!$C$33+1),0)+IF(AND(Projects!$G$34="Yes",71&gt;=Projects!$C$34,71&lt;Projects!$C$34+Projects!$D$34),Projects!$B$34*INDEX(Curves!$B$4:$AO$4,1,71-Projects!$C$34+1),0)+IF(AND(Projects!$G$35="Yes",71&gt;=Projects!$C$35,71&lt;Projects!$C$35+Projects!$D$35),Projects!$B$35*INDEX(Curves!$B$4:$AO$4,1,71-Projects!$C$35+1),0)+IF(AND(Projects!$G$36="Yes",71&gt;=Projects!$C$36,71&lt;Projects!$C$36+Projects!$D$36),Projects!$B$36*INDEX(Curves!$B$4:$AO$4,1,71-Projects!$C$36+1),0)+IF(AND(Projects!$G$37="Yes",71&gt;=Projects!$C$37,71&lt;Projects!$C$37+Projects!$D$37),Projects!$B$37*INDEX(Curves!$B$4:$AO$4,1,71-Projects!$C$37+1),0)+IF(AND(Projects!$G$38="Yes",71&gt;=Projects!$C$38,71&lt;Projects!$C$38+Projects!$D$38),Projects!$B$38*INDEX(Curves!$B$4:$AO$4,1,71-Projects!$C$38+1),0)+IF(AND(Projects!$G$39="Yes",71&gt;=Projects!$C$39,71&lt;Projects!$C$39+Projects!$D$39),Projects!$B$39*INDEX(Curves!$B$4:$AO$4,1,71-Projects!$C$39+1),0)+IF(AND(Projects!$G$40="Yes",71&gt;=Projects!$C$40,71&lt;Projects!$C$40+Projects!$D$40),Projects!$B$40*INDEX(Curves!$B$4:$AO$4,1,71-Projects!$C$40+1),0)+IF(AND(Projects!$G$41="Yes",71&gt;=Projects!$C$41,71&lt;Projects!$C$41+Projects!$D$41),Projects!$B$41*INDEX(Curves!$B$4:$AO$4,1,71-Projects!$C$41+1),0)+IF(AND(Projects!$G$42="Yes",71&gt;=Projects!$C$42,71&lt;Projects!$C$42+Projects!$D$42),Projects!$B$42*INDEX(Curves!$B$4:$AO$4,1,71-Projects!$C$42+1),0)+IF(AND(Projects!$G$43="Yes",71&gt;=Projects!$C$43,71&lt;Projects!$C$43+Projects!$D$43),Projects!$B$43*INDEX(Curves!$B$4:$AO$4,1,71-Projects!$C$43+1),0)+IF(AND(Projects!$G$44="Yes",71&gt;=Projects!$C$44,71&lt;Projects!$C$44+Projects!$D$44),Projects!$B$44*INDEX(Curves!$B$4:$AO$4,1,71-Projects!$C$44+1),0)+IF(AND(Projects!$G$45="Yes",71&gt;=Projects!$C$45,71&lt;Projects!$C$45+Projects!$D$45),Projects!$B$45*INDEX(Curves!$B$4:$AO$4,1,71-Projects!$C$45+1),0)+IF(AND(Projects!$G$46="Yes",71&gt;=Projects!$C$46,71&lt;Projects!$C$46+Projects!$D$46),Projects!$B$46*INDEX(Curves!$B$4:$AO$4,1,71-Projects!$C$46+1),0)</f>
        <v/>
      </c>
      <c r="BV107">
        <f>IF(AND(Projects!$G$30="Yes",72&gt;=Projects!$C$30,72&lt;Projects!$C$30+Projects!$D$30),Projects!$B$30*INDEX(Curves!$B$4:$AO$4,1,72-Projects!$C$30+1),0)+IF(AND(Projects!$G$31="Yes",72&gt;=Projects!$C$31,72&lt;Projects!$C$31+Projects!$D$31),Projects!$B$31*INDEX(Curves!$B$4:$AO$4,1,72-Projects!$C$31+1),0)+IF(AND(Projects!$G$32="Yes",72&gt;=Projects!$C$32,72&lt;Projects!$C$32+Projects!$D$32),Projects!$B$32*INDEX(Curves!$B$4:$AO$4,1,72-Projects!$C$32+1),0)+IF(AND(Projects!$G$33="Yes",72&gt;=Projects!$C$33,72&lt;Projects!$C$33+Projects!$D$33),Projects!$B$33*INDEX(Curves!$B$4:$AO$4,1,72-Projects!$C$33+1),0)+IF(AND(Projects!$G$34="Yes",72&gt;=Projects!$C$34,72&lt;Projects!$C$34+Projects!$D$34),Projects!$B$34*INDEX(Curves!$B$4:$AO$4,1,72-Projects!$C$34+1),0)+IF(AND(Projects!$G$35="Yes",72&gt;=Projects!$C$35,72&lt;Projects!$C$35+Projects!$D$35),Projects!$B$35*INDEX(Curves!$B$4:$AO$4,1,72-Projects!$C$35+1),0)+IF(AND(Projects!$G$36="Yes",72&gt;=Projects!$C$36,72&lt;Projects!$C$36+Projects!$D$36),Projects!$B$36*INDEX(Curves!$B$4:$AO$4,1,72-Projects!$C$36+1),0)+IF(AND(Projects!$G$37="Yes",72&gt;=Projects!$C$37,72&lt;Projects!$C$37+Projects!$D$37),Projects!$B$37*INDEX(Curves!$B$4:$AO$4,1,72-Projects!$C$37+1),0)+IF(AND(Projects!$G$38="Yes",72&gt;=Projects!$C$38,72&lt;Projects!$C$38+Projects!$D$38),Projects!$B$38*INDEX(Curves!$B$4:$AO$4,1,72-Projects!$C$38+1),0)+IF(AND(Projects!$G$39="Yes",72&gt;=Projects!$C$39,72&lt;Projects!$C$39+Projects!$D$39),Projects!$B$39*INDEX(Curves!$B$4:$AO$4,1,72-Projects!$C$39+1),0)+IF(AND(Projects!$G$40="Yes",72&gt;=Projects!$C$40,72&lt;Projects!$C$40+Projects!$D$40),Projects!$B$40*INDEX(Curves!$B$4:$AO$4,1,72-Projects!$C$40+1),0)+IF(AND(Projects!$G$41="Yes",72&gt;=Projects!$C$41,72&lt;Projects!$C$41+Projects!$D$41),Projects!$B$41*INDEX(Curves!$B$4:$AO$4,1,72-Projects!$C$41+1),0)+IF(AND(Projects!$G$42="Yes",72&gt;=Projects!$C$42,72&lt;Projects!$C$42+Projects!$D$42),Projects!$B$42*INDEX(Curves!$B$4:$AO$4,1,72-Projects!$C$42+1),0)+IF(AND(Projects!$G$43="Yes",72&gt;=Projects!$C$43,72&lt;Projects!$C$43+Projects!$D$43),Projects!$B$43*INDEX(Curves!$B$4:$AO$4,1,72-Projects!$C$43+1),0)+IF(AND(Projects!$G$44="Yes",72&gt;=Projects!$C$44,72&lt;Projects!$C$44+Projects!$D$44),Projects!$B$44*INDEX(Curves!$B$4:$AO$4,1,72-Projects!$C$44+1),0)+IF(AND(Projects!$G$45="Yes",72&gt;=Projects!$C$45,72&lt;Projects!$C$45+Projects!$D$45),Projects!$B$45*INDEX(Curves!$B$4:$AO$4,1,72-Projects!$C$45+1),0)+IF(AND(Projects!$G$46="Yes",72&gt;=Projects!$C$46,72&lt;Projects!$C$46+Projects!$D$46),Projects!$B$46*INDEX(Curves!$B$4:$AO$4,1,72-Projects!$C$46+1),0)</f>
        <v/>
      </c>
      <c r="BW107">
        <f>IF(AND(Projects!$G$30="Yes",73&gt;=Projects!$C$30,73&lt;Projects!$C$30+Projects!$D$30),Projects!$B$30*INDEX(Curves!$B$4:$AO$4,1,73-Projects!$C$30+1),0)+IF(AND(Projects!$G$31="Yes",73&gt;=Projects!$C$31,73&lt;Projects!$C$31+Projects!$D$31),Projects!$B$31*INDEX(Curves!$B$4:$AO$4,1,73-Projects!$C$31+1),0)+IF(AND(Projects!$G$32="Yes",73&gt;=Projects!$C$32,73&lt;Projects!$C$32+Projects!$D$32),Projects!$B$32*INDEX(Curves!$B$4:$AO$4,1,73-Projects!$C$32+1),0)+IF(AND(Projects!$G$33="Yes",73&gt;=Projects!$C$33,73&lt;Projects!$C$33+Projects!$D$33),Projects!$B$33*INDEX(Curves!$B$4:$AO$4,1,73-Projects!$C$33+1),0)+IF(AND(Projects!$G$34="Yes",73&gt;=Projects!$C$34,73&lt;Projects!$C$34+Projects!$D$34),Projects!$B$34*INDEX(Curves!$B$4:$AO$4,1,73-Projects!$C$34+1),0)+IF(AND(Projects!$G$35="Yes",73&gt;=Projects!$C$35,73&lt;Projects!$C$35+Projects!$D$35),Projects!$B$35*INDEX(Curves!$B$4:$AO$4,1,73-Projects!$C$35+1),0)+IF(AND(Projects!$G$36="Yes",73&gt;=Projects!$C$36,73&lt;Projects!$C$36+Projects!$D$36),Projects!$B$36*INDEX(Curves!$B$4:$AO$4,1,73-Projects!$C$36+1),0)+IF(AND(Projects!$G$37="Yes",73&gt;=Projects!$C$37,73&lt;Projects!$C$37+Projects!$D$37),Projects!$B$37*INDEX(Curves!$B$4:$AO$4,1,73-Projects!$C$37+1),0)+IF(AND(Projects!$G$38="Yes",73&gt;=Projects!$C$38,73&lt;Projects!$C$38+Projects!$D$38),Projects!$B$38*INDEX(Curves!$B$4:$AO$4,1,73-Projects!$C$38+1),0)+IF(AND(Projects!$G$39="Yes",73&gt;=Projects!$C$39,73&lt;Projects!$C$39+Projects!$D$39),Projects!$B$39*INDEX(Curves!$B$4:$AO$4,1,73-Projects!$C$39+1),0)+IF(AND(Projects!$G$40="Yes",73&gt;=Projects!$C$40,73&lt;Projects!$C$40+Projects!$D$40),Projects!$B$40*INDEX(Curves!$B$4:$AO$4,1,73-Projects!$C$40+1),0)+IF(AND(Projects!$G$41="Yes",73&gt;=Projects!$C$41,73&lt;Projects!$C$41+Projects!$D$41),Projects!$B$41*INDEX(Curves!$B$4:$AO$4,1,73-Projects!$C$41+1),0)+IF(AND(Projects!$G$42="Yes",73&gt;=Projects!$C$42,73&lt;Projects!$C$42+Projects!$D$42),Projects!$B$42*INDEX(Curves!$B$4:$AO$4,1,73-Projects!$C$42+1),0)+IF(AND(Projects!$G$43="Yes",73&gt;=Projects!$C$43,73&lt;Projects!$C$43+Projects!$D$43),Projects!$B$43*INDEX(Curves!$B$4:$AO$4,1,73-Projects!$C$43+1),0)+IF(AND(Projects!$G$44="Yes",73&gt;=Projects!$C$44,73&lt;Projects!$C$44+Projects!$D$44),Projects!$B$44*INDEX(Curves!$B$4:$AO$4,1,73-Projects!$C$44+1),0)+IF(AND(Projects!$G$45="Yes",73&gt;=Projects!$C$45,73&lt;Projects!$C$45+Projects!$D$45),Projects!$B$45*INDEX(Curves!$B$4:$AO$4,1,73-Projects!$C$45+1),0)+IF(AND(Projects!$G$46="Yes",73&gt;=Projects!$C$46,73&lt;Projects!$C$46+Projects!$D$46),Projects!$B$46*INDEX(Curves!$B$4:$AO$4,1,73-Projects!$C$46+1),0)</f>
        <v/>
      </c>
      <c r="BX107">
        <f>IF(AND(Projects!$G$30="Yes",74&gt;=Projects!$C$30,74&lt;Projects!$C$30+Projects!$D$30),Projects!$B$30*INDEX(Curves!$B$4:$AO$4,1,74-Projects!$C$30+1),0)+IF(AND(Projects!$G$31="Yes",74&gt;=Projects!$C$31,74&lt;Projects!$C$31+Projects!$D$31),Projects!$B$31*INDEX(Curves!$B$4:$AO$4,1,74-Projects!$C$31+1),0)+IF(AND(Projects!$G$32="Yes",74&gt;=Projects!$C$32,74&lt;Projects!$C$32+Projects!$D$32),Projects!$B$32*INDEX(Curves!$B$4:$AO$4,1,74-Projects!$C$32+1),0)+IF(AND(Projects!$G$33="Yes",74&gt;=Projects!$C$33,74&lt;Projects!$C$33+Projects!$D$33),Projects!$B$33*INDEX(Curves!$B$4:$AO$4,1,74-Projects!$C$33+1),0)+IF(AND(Projects!$G$34="Yes",74&gt;=Projects!$C$34,74&lt;Projects!$C$34+Projects!$D$34),Projects!$B$34*INDEX(Curves!$B$4:$AO$4,1,74-Projects!$C$34+1),0)+IF(AND(Projects!$G$35="Yes",74&gt;=Projects!$C$35,74&lt;Projects!$C$35+Projects!$D$35),Projects!$B$35*INDEX(Curves!$B$4:$AO$4,1,74-Projects!$C$35+1),0)+IF(AND(Projects!$G$36="Yes",74&gt;=Projects!$C$36,74&lt;Projects!$C$36+Projects!$D$36),Projects!$B$36*INDEX(Curves!$B$4:$AO$4,1,74-Projects!$C$36+1),0)+IF(AND(Projects!$G$37="Yes",74&gt;=Projects!$C$37,74&lt;Projects!$C$37+Projects!$D$37),Projects!$B$37*INDEX(Curves!$B$4:$AO$4,1,74-Projects!$C$37+1),0)+IF(AND(Projects!$G$38="Yes",74&gt;=Projects!$C$38,74&lt;Projects!$C$38+Projects!$D$38),Projects!$B$38*INDEX(Curves!$B$4:$AO$4,1,74-Projects!$C$38+1),0)+IF(AND(Projects!$G$39="Yes",74&gt;=Projects!$C$39,74&lt;Projects!$C$39+Projects!$D$39),Projects!$B$39*INDEX(Curves!$B$4:$AO$4,1,74-Projects!$C$39+1),0)+IF(AND(Projects!$G$40="Yes",74&gt;=Projects!$C$40,74&lt;Projects!$C$40+Projects!$D$40),Projects!$B$40*INDEX(Curves!$B$4:$AO$4,1,74-Projects!$C$40+1),0)+IF(AND(Projects!$G$41="Yes",74&gt;=Projects!$C$41,74&lt;Projects!$C$41+Projects!$D$41),Projects!$B$41*INDEX(Curves!$B$4:$AO$4,1,74-Projects!$C$41+1),0)+IF(AND(Projects!$G$42="Yes",74&gt;=Projects!$C$42,74&lt;Projects!$C$42+Projects!$D$42),Projects!$B$42*INDEX(Curves!$B$4:$AO$4,1,74-Projects!$C$42+1),0)+IF(AND(Projects!$G$43="Yes",74&gt;=Projects!$C$43,74&lt;Projects!$C$43+Projects!$D$43),Projects!$B$43*INDEX(Curves!$B$4:$AO$4,1,74-Projects!$C$43+1),0)+IF(AND(Projects!$G$44="Yes",74&gt;=Projects!$C$44,74&lt;Projects!$C$44+Projects!$D$44),Projects!$B$44*INDEX(Curves!$B$4:$AO$4,1,74-Projects!$C$44+1),0)+IF(AND(Projects!$G$45="Yes",74&gt;=Projects!$C$45,74&lt;Projects!$C$45+Projects!$D$45),Projects!$B$45*INDEX(Curves!$B$4:$AO$4,1,74-Projects!$C$45+1),0)+IF(AND(Projects!$G$46="Yes",74&gt;=Projects!$C$46,74&lt;Projects!$C$46+Projects!$D$46),Projects!$B$46*INDEX(Curves!$B$4:$AO$4,1,74-Projects!$C$46+1),0)</f>
        <v/>
      </c>
      <c r="BY107">
        <f>IF(AND(Projects!$G$30="Yes",75&gt;=Projects!$C$30,75&lt;Projects!$C$30+Projects!$D$30),Projects!$B$30*INDEX(Curves!$B$4:$AO$4,1,75-Projects!$C$30+1),0)+IF(AND(Projects!$G$31="Yes",75&gt;=Projects!$C$31,75&lt;Projects!$C$31+Projects!$D$31),Projects!$B$31*INDEX(Curves!$B$4:$AO$4,1,75-Projects!$C$31+1),0)+IF(AND(Projects!$G$32="Yes",75&gt;=Projects!$C$32,75&lt;Projects!$C$32+Projects!$D$32),Projects!$B$32*INDEX(Curves!$B$4:$AO$4,1,75-Projects!$C$32+1),0)+IF(AND(Projects!$G$33="Yes",75&gt;=Projects!$C$33,75&lt;Projects!$C$33+Projects!$D$33),Projects!$B$33*INDEX(Curves!$B$4:$AO$4,1,75-Projects!$C$33+1),0)+IF(AND(Projects!$G$34="Yes",75&gt;=Projects!$C$34,75&lt;Projects!$C$34+Projects!$D$34),Projects!$B$34*INDEX(Curves!$B$4:$AO$4,1,75-Projects!$C$34+1),0)+IF(AND(Projects!$G$35="Yes",75&gt;=Projects!$C$35,75&lt;Projects!$C$35+Projects!$D$35),Projects!$B$35*INDEX(Curves!$B$4:$AO$4,1,75-Projects!$C$35+1),0)+IF(AND(Projects!$G$36="Yes",75&gt;=Projects!$C$36,75&lt;Projects!$C$36+Projects!$D$36),Projects!$B$36*INDEX(Curves!$B$4:$AO$4,1,75-Projects!$C$36+1),0)+IF(AND(Projects!$G$37="Yes",75&gt;=Projects!$C$37,75&lt;Projects!$C$37+Projects!$D$37),Projects!$B$37*INDEX(Curves!$B$4:$AO$4,1,75-Projects!$C$37+1),0)+IF(AND(Projects!$G$38="Yes",75&gt;=Projects!$C$38,75&lt;Projects!$C$38+Projects!$D$38),Projects!$B$38*INDEX(Curves!$B$4:$AO$4,1,75-Projects!$C$38+1),0)+IF(AND(Projects!$G$39="Yes",75&gt;=Projects!$C$39,75&lt;Projects!$C$39+Projects!$D$39),Projects!$B$39*INDEX(Curves!$B$4:$AO$4,1,75-Projects!$C$39+1),0)+IF(AND(Projects!$G$40="Yes",75&gt;=Projects!$C$40,75&lt;Projects!$C$40+Projects!$D$40),Projects!$B$40*INDEX(Curves!$B$4:$AO$4,1,75-Projects!$C$40+1),0)+IF(AND(Projects!$G$41="Yes",75&gt;=Projects!$C$41,75&lt;Projects!$C$41+Projects!$D$41),Projects!$B$41*INDEX(Curves!$B$4:$AO$4,1,75-Projects!$C$41+1),0)+IF(AND(Projects!$G$42="Yes",75&gt;=Projects!$C$42,75&lt;Projects!$C$42+Projects!$D$42),Projects!$B$42*INDEX(Curves!$B$4:$AO$4,1,75-Projects!$C$42+1),0)+IF(AND(Projects!$G$43="Yes",75&gt;=Projects!$C$43,75&lt;Projects!$C$43+Projects!$D$43),Projects!$B$43*INDEX(Curves!$B$4:$AO$4,1,75-Projects!$C$43+1),0)+IF(AND(Projects!$G$44="Yes",75&gt;=Projects!$C$44,75&lt;Projects!$C$44+Projects!$D$44),Projects!$B$44*INDEX(Curves!$B$4:$AO$4,1,75-Projects!$C$44+1),0)+IF(AND(Projects!$G$45="Yes",75&gt;=Projects!$C$45,75&lt;Projects!$C$45+Projects!$D$45),Projects!$B$45*INDEX(Curves!$B$4:$AO$4,1,75-Projects!$C$45+1),0)+IF(AND(Projects!$G$46="Yes",75&gt;=Projects!$C$46,75&lt;Projects!$C$46+Projects!$D$46),Projects!$B$46*INDEX(Curves!$B$4:$AO$4,1,75-Projects!$C$46+1),0)</f>
        <v/>
      </c>
      <c r="BZ107">
        <f>IF(AND(Projects!$G$30="Yes",76&gt;=Projects!$C$30,76&lt;Projects!$C$30+Projects!$D$30),Projects!$B$30*INDEX(Curves!$B$4:$AO$4,1,76-Projects!$C$30+1),0)+IF(AND(Projects!$G$31="Yes",76&gt;=Projects!$C$31,76&lt;Projects!$C$31+Projects!$D$31),Projects!$B$31*INDEX(Curves!$B$4:$AO$4,1,76-Projects!$C$31+1),0)+IF(AND(Projects!$G$32="Yes",76&gt;=Projects!$C$32,76&lt;Projects!$C$32+Projects!$D$32),Projects!$B$32*INDEX(Curves!$B$4:$AO$4,1,76-Projects!$C$32+1),0)+IF(AND(Projects!$G$33="Yes",76&gt;=Projects!$C$33,76&lt;Projects!$C$33+Projects!$D$33),Projects!$B$33*INDEX(Curves!$B$4:$AO$4,1,76-Projects!$C$33+1),0)+IF(AND(Projects!$G$34="Yes",76&gt;=Projects!$C$34,76&lt;Projects!$C$34+Projects!$D$34),Projects!$B$34*INDEX(Curves!$B$4:$AO$4,1,76-Projects!$C$34+1),0)+IF(AND(Projects!$G$35="Yes",76&gt;=Projects!$C$35,76&lt;Projects!$C$35+Projects!$D$35),Projects!$B$35*INDEX(Curves!$B$4:$AO$4,1,76-Projects!$C$35+1),0)+IF(AND(Projects!$G$36="Yes",76&gt;=Projects!$C$36,76&lt;Projects!$C$36+Projects!$D$36),Projects!$B$36*INDEX(Curves!$B$4:$AO$4,1,76-Projects!$C$36+1),0)+IF(AND(Projects!$G$37="Yes",76&gt;=Projects!$C$37,76&lt;Projects!$C$37+Projects!$D$37),Projects!$B$37*INDEX(Curves!$B$4:$AO$4,1,76-Projects!$C$37+1),0)+IF(AND(Projects!$G$38="Yes",76&gt;=Projects!$C$38,76&lt;Projects!$C$38+Projects!$D$38),Projects!$B$38*INDEX(Curves!$B$4:$AO$4,1,76-Projects!$C$38+1),0)+IF(AND(Projects!$G$39="Yes",76&gt;=Projects!$C$39,76&lt;Projects!$C$39+Projects!$D$39),Projects!$B$39*INDEX(Curves!$B$4:$AO$4,1,76-Projects!$C$39+1),0)+IF(AND(Projects!$G$40="Yes",76&gt;=Projects!$C$40,76&lt;Projects!$C$40+Projects!$D$40),Projects!$B$40*INDEX(Curves!$B$4:$AO$4,1,76-Projects!$C$40+1),0)+IF(AND(Projects!$G$41="Yes",76&gt;=Projects!$C$41,76&lt;Projects!$C$41+Projects!$D$41),Projects!$B$41*INDEX(Curves!$B$4:$AO$4,1,76-Projects!$C$41+1),0)+IF(AND(Projects!$G$42="Yes",76&gt;=Projects!$C$42,76&lt;Projects!$C$42+Projects!$D$42),Projects!$B$42*INDEX(Curves!$B$4:$AO$4,1,76-Projects!$C$42+1),0)+IF(AND(Projects!$G$43="Yes",76&gt;=Projects!$C$43,76&lt;Projects!$C$43+Projects!$D$43),Projects!$B$43*INDEX(Curves!$B$4:$AO$4,1,76-Projects!$C$43+1),0)+IF(AND(Projects!$G$44="Yes",76&gt;=Projects!$C$44,76&lt;Projects!$C$44+Projects!$D$44),Projects!$B$44*INDEX(Curves!$B$4:$AO$4,1,76-Projects!$C$44+1),0)+IF(AND(Projects!$G$45="Yes",76&gt;=Projects!$C$45,76&lt;Projects!$C$45+Projects!$D$45),Projects!$B$45*INDEX(Curves!$B$4:$AO$4,1,76-Projects!$C$45+1),0)+IF(AND(Projects!$G$46="Yes",76&gt;=Projects!$C$46,76&lt;Projects!$C$46+Projects!$D$46),Projects!$B$46*INDEX(Curves!$B$4:$AO$4,1,76-Projects!$C$46+1),0)</f>
        <v/>
      </c>
      <c r="CA107">
        <f>IF(AND(Projects!$G$30="Yes",77&gt;=Projects!$C$30,77&lt;Projects!$C$30+Projects!$D$30),Projects!$B$30*INDEX(Curves!$B$4:$AO$4,1,77-Projects!$C$30+1),0)+IF(AND(Projects!$G$31="Yes",77&gt;=Projects!$C$31,77&lt;Projects!$C$31+Projects!$D$31),Projects!$B$31*INDEX(Curves!$B$4:$AO$4,1,77-Projects!$C$31+1),0)+IF(AND(Projects!$G$32="Yes",77&gt;=Projects!$C$32,77&lt;Projects!$C$32+Projects!$D$32),Projects!$B$32*INDEX(Curves!$B$4:$AO$4,1,77-Projects!$C$32+1),0)+IF(AND(Projects!$G$33="Yes",77&gt;=Projects!$C$33,77&lt;Projects!$C$33+Projects!$D$33),Projects!$B$33*INDEX(Curves!$B$4:$AO$4,1,77-Projects!$C$33+1),0)+IF(AND(Projects!$G$34="Yes",77&gt;=Projects!$C$34,77&lt;Projects!$C$34+Projects!$D$34),Projects!$B$34*INDEX(Curves!$B$4:$AO$4,1,77-Projects!$C$34+1),0)+IF(AND(Projects!$G$35="Yes",77&gt;=Projects!$C$35,77&lt;Projects!$C$35+Projects!$D$35),Projects!$B$35*INDEX(Curves!$B$4:$AO$4,1,77-Projects!$C$35+1),0)+IF(AND(Projects!$G$36="Yes",77&gt;=Projects!$C$36,77&lt;Projects!$C$36+Projects!$D$36),Projects!$B$36*INDEX(Curves!$B$4:$AO$4,1,77-Projects!$C$36+1),0)+IF(AND(Projects!$G$37="Yes",77&gt;=Projects!$C$37,77&lt;Projects!$C$37+Projects!$D$37),Projects!$B$37*INDEX(Curves!$B$4:$AO$4,1,77-Projects!$C$37+1),0)+IF(AND(Projects!$G$38="Yes",77&gt;=Projects!$C$38,77&lt;Projects!$C$38+Projects!$D$38),Projects!$B$38*INDEX(Curves!$B$4:$AO$4,1,77-Projects!$C$38+1),0)+IF(AND(Projects!$G$39="Yes",77&gt;=Projects!$C$39,77&lt;Projects!$C$39+Projects!$D$39),Projects!$B$39*INDEX(Curves!$B$4:$AO$4,1,77-Projects!$C$39+1),0)+IF(AND(Projects!$G$40="Yes",77&gt;=Projects!$C$40,77&lt;Projects!$C$40+Projects!$D$40),Projects!$B$40*INDEX(Curves!$B$4:$AO$4,1,77-Projects!$C$40+1),0)+IF(AND(Projects!$G$41="Yes",77&gt;=Projects!$C$41,77&lt;Projects!$C$41+Projects!$D$41),Projects!$B$41*INDEX(Curves!$B$4:$AO$4,1,77-Projects!$C$41+1),0)+IF(AND(Projects!$G$42="Yes",77&gt;=Projects!$C$42,77&lt;Projects!$C$42+Projects!$D$42),Projects!$B$42*INDEX(Curves!$B$4:$AO$4,1,77-Projects!$C$42+1),0)+IF(AND(Projects!$G$43="Yes",77&gt;=Projects!$C$43,77&lt;Projects!$C$43+Projects!$D$43),Projects!$B$43*INDEX(Curves!$B$4:$AO$4,1,77-Projects!$C$43+1),0)+IF(AND(Projects!$G$44="Yes",77&gt;=Projects!$C$44,77&lt;Projects!$C$44+Projects!$D$44),Projects!$B$44*INDEX(Curves!$B$4:$AO$4,1,77-Projects!$C$44+1),0)+IF(AND(Projects!$G$45="Yes",77&gt;=Projects!$C$45,77&lt;Projects!$C$45+Projects!$D$45),Projects!$B$45*INDEX(Curves!$B$4:$AO$4,1,77-Projects!$C$45+1),0)+IF(AND(Projects!$G$46="Yes",77&gt;=Projects!$C$46,77&lt;Projects!$C$46+Projects!$D$46),Projects!$B$46*INDEX(Curves!$B$4:$AO$4,1,77-Projects!$C$46+1),0)</f>
        <v/>
      </c>
      <c r="CB107">
        <f>IF(AND(Projects!$G$30="Yes",78&gt;=Projects!$C$30,78&lt;Projects!$C$30+Projects!$D$30),Projects!$B$30*INDEX(Curves!$B$4:$AO$4,1,78-Projects!$C$30+1),0)+IF(AND(Projects!$G$31="Yes",78&gt;=Projects!$C$31,78&lt;Projects!$C$31+Projects!$D$31),Projects!$B$31*INDEX(Curves!$B$4:$AO$4,1,78-Projects!$C$31+1),0)+IF(AND(Projects!$G$32="Yes",78&gt;=Projects!$C$32,78&lt;Projects!$C$32+Projects!$D$32),Projects!$B$32*INDEX(Curves!$B$4:$AO$4,1,78-Projects!$C$32+1),0)+IF(AND(Projects!$G$33="Yes",78&gt;=Projects!$C$33,78&lt;Projects!$C$33+Projects!$D$33),Projects!$B$33*INDEX(Curves!$B$4:$AO$4,1,78-Projects!$C$33+1),0)+IF(AND(Projects!$G$34="Yes",78&gt;=Projects!$C$34,78&lt;Projects!$C$34+Projects!$D$34),Projects!$B$34*INDEX(Curves!$B$4:$AO$4,1,78-Projects!$C$34+1),0)+IF(AND(Projects!$G$35="Yes",78&gt;=Projects!$C$35,78&lt;Projects!$C$35+Projects!$D$35),Projects!$B$35*INDEX(Curves!$B$4:$AO$4,1,78-Projects!$C$35+1),0)+IF(AND(Projects!$G$36="Yes",78&gt;=Projects!$C$36,78&lt;Projects!$C$36+Projects!$D$36),Projects!$B$36*INDEX(Curves!$B$4:$AO$4,1,78-Projects!$C$36+1),0)+IF(AND(Projects!$G$37="Yes",78&gt;=Projects!$C$37,78&lt;Projects!$C$37+Projects!$D$37),Projects!$B$37*INDEX(Curves!$B$4:$AO$4,1,78-Projects!$C$37+1),0)+IF(AND(Projects!$G$38="Yes",78&gt;=Projects!$C$38,78&lt;Projects!$C$38+Projects!$D$38),Projects!$B$38*INDEX(Curves!$B$4:$AO$4,1,78-Projects!$C$38+1),0)+IF(AND(Projects!$G$39="Yes",78&gt;=Projects!$C$39,78&lt;Projects!$C$39+Projects!$D$39),Projects!$B$39*INDEX(Curves!$B$4:$AO$4,1,78-Projects!$C$39+1),0)+IF(AND(Projects!$G$40="Yes",78&gt;=Projects!$C$40,78&lt;Projects!$C$40+Projects!$D$40),Projects!$B$40*INDEX(Curves!$B$4:$AO$4,1,78-Projects!$C$40+1),0)+IF(AND(Projects!$G$41="Yes",78&gt;=Projects!$C$41,78&lt;Projects!$C$41+Projects!$D$41),Projects!$B$41*INDEX(Curves!$B$4:$AO$4,1,78-Projects!$C$41+1),0)+IF(AND(Projects!$G$42="Yes",78&gt;=Projects!$C$42,78&lt;Projects!$C$42+Projects!$D$42),Projects!$B$42*INDEX(Curves!$B$4:$AO$4,1,78-Projects!$C$42+1),0)+IF(AND(Projects!$G$43="Yes",78&gt;=Projects!$C$43,78&lt;Projects!$C$43+Projects!$D$43),Projects!$B$43*INDEX(Curves!$B$4:$AO$4,1,78-Projects!$C$43+1),0)+IF(AND(Projects!$G$44="Yes",78&gt;=Projects!$C$44,78&lt;Projects!$C$44+Projects!$D$44),Projects!$B$44*INDEX(Curves!$B$4:$AO$4,1,78-Projects!$C$44+1),0)+IF(AND(Projects!$G$45="Yes",78&gt;=Projects!$C$45,78&lt;Projects!$C$45+Projects!$D$45),Projects!$B$45*INDEX(Curves!$B$4:$AO$4,1,78-Projects!$C$45+1),0)+IF(AND(Projects!$G$46="Yes",78&gt;=Projects!$C$46,78&lt;Projects!$C$46+Projects!$D$46),Projects!$B$46*INDEX(Curves!$B$4:$AO$4,1,78-Projects!$C$46+1),0)</f>
        <v/>
      </c>
      <c r="CC107">
        <f>IF(AND(Projects!$G$30="Yes",79&gt;=Projects!$C$30,79&lt;Projects!$C$30+Projects!$D$30),Projects!$B$30*INDEX(Curves!$B$4:$AO$4,1,79-Projects!$C$30+1),0)+IF(AND(Projects!$G$31="Yes",79&gt;=Projects!$C$31,79&lt;Projects!$C$31+Projects!$D$31),Projects!$B$31*INDEX(Curves!$B$4:$AO$4,1,79-Projects!$C$31+1),0)+IF(AND(Projects!$G$32="Yes",79&gt;=Projects!$C$32,79&lt;Projects!$C$32+Projects!$D$32),Projects!$B$32*INDEX(Curves!$B$4:$AO$4,1,79-Projects!$C$32+1),0)+IF(AND(Projects!$G$33="Yes",79&gt;=Projects!$C$33,79&lt;Projects!$C$33+Projects!$D$33),Projects!$B$33*INDEX(Curves!$B$4:$AO$4,1,79-Projects!$C$33+1),0)+IF(AND(Projects!$G$34="Yes",79&gt;=Projects!$C$34,79&lt;Projects!$C$34+Projects!$D$34),Projects!$B$34*INDEX(Curves!$B$4:$AO$4,1,79-Projects!$C$34+1),0)+IF(AND(Projects!$G$35="Yes",79&gt;=Projects!$C$35,79&lt;Projects!$C$35+Projects!$D$35),Projects!$B$35*INDEX(Curves!$B$4:$AO$4,1,79-Projects!$C$35+1),0)+IF(AND(Projects!$G$36="Yes",79&gt;=Projects!$C$36,79&lt;Projects!$C$36+Projects!$D$36),Projects!$B$36*INDEX(Curves!$B$4:$AO$4,1,79-Projects!$C$36+1),0)+IF(AND(Projects!$G$37="Yes",79&gt;=Projects!$C$37,79&lt;Projects!$C$37+Projects!$D$37),Projects!$B$37*INDEX(Curves!$B$4:$AO$4,1,79-Projects!$C$37+1),0)+IF(AND(Projects!$G$38="Yes",79&gt;=Projects!$C$38,79&lt;Projects!$C$38+Projects!$D$38),Projects!$B$38*INDEX(Curves!$B$4:$AO$4,1,79-Projects!$C$38+1),0)+IF(AND(Projects!$G$39="Yes",79&gt;=Projects!$C$39,79&lt;Projects!$C$39+Projects!$D$39),Projects!$B$39*INDEX(Curves!$B$4:$AO$4,1,79-Projects!$C$39+1),0)+IF(AND(Projects!$G$40="Yes",79&gt;=Projects!$C$40,79&lt;Projects!$C$40+Projects!$D$40),Projects!$B$40*INDEX(Curves!$B$4:$AO$4,1,79-Projects!$C$40+1),0)+IF(AND(Projects!$G$41="Yes",79&gt;=Projects!$C$41,79&lt;Projects!$C$41+Projects!$D$41),Projects!$B$41*INDEX(Curves!$B$4:$AO$4,1,79-Projects!$C$41+1),0)+IF(AND(Projects!$G$42="Yes",79&gt;=Projects!$C$42,79&lt;Projects!$C$42+Projects!$D$42),Projects!$B$42*INDEX(Curves!$B$4:$AO$4,1,79-Projects!$C$42+1),0)+IF(AND(Projects!$G$43="Yes",79&gt;=Projects!$C$43,79&lt;Projects!$C$43+Projects!$D$43),Projects!$B$43*INDEX(Curves!$B$4:$AO$4,1,79-Projects!$C$43+1),0)+IF(AND(Projects!$G$44="Yes",79&gt;=Projects!$C$44,79&lt;Projects!$C$44+Projects!$D$44),Projects!$B$44*INDEX(Curves!$B$4:$AO$4,1,79-Projects!$C$44+1),0)+IF(AND(Projects!$G$45="Yes",79&gt;=Projects!$C$45,79&lt;Projects!$C$45+Projects!$D$45),Projects!$B$45*INDEX(Curves!$B$4:$AO$4,1,79-Projects!$C$45+1),0)+IF(AND(Projects!$G$46="Yes",79&gt;=Projects!$C$46,79&lt;Projects!$C$46+Projects!$D$46),Projects!$B$46*INDEX(Curves!$B$4:$AO$4,1,79-Projects!$C$46+1),0)</f>
        <v/>
      </c>
      <c r="CD107">
        <f>IF(AND(Projects!$G$30="Yes",80&gt;=Projects!$C$30,80&lt;Projects!$C$30+Projects!$D$30),Projects!$B$30*INDEX(Curves!$B$4:$AO$4,1,80-Projects!$C$30+1),0)+IF(AND(Projects!$G$31="Yes",80&gt;=Projects!$C$31,80&lt;Projects!$C$31+Projects!$D$31),Projects!$B$31*INDEX(Curves!$B$4:$AO$4,1,80-Projects!$C$31+1),0)+IF(AND(Projects!$G$32="Yes",80&gt;=Projects!$C$32,80&lt;Projects!$C$32+Projects!$D$32),Projects!$B$32*INDEX(Curves!$B$4:$AO$4,1,80-Projects!$C$32+1),0)+IF(AND(Projects!$G$33="Yes",80&gt;=Projects!$C$33,80&lt;Projects!$C$33+Projects!$D$33),Projects!$B$33*INDEX(Curves!$B$4:$AO$4,1,80-Projects!$C$33+1),0)+IF(AND(Projects!$G$34="Yes",80&gt;=Projects!$C$34,80&lt;Projects!$C$34+Projects!$D$34),Projects!$B$34*INDEX(Curves!$B$4:$AO$4,1,80-Projects!$C$34+1),0)+IF(AND(Projects!$G$35="Yes",80&gt;=Projects!$C$35,80&lt;Projects!$C$35+Projects!$D$35),Projects!$B$35*INDEX(Curves!$B$4:$AO$4,1,80-Projects!$C$35+1),0)+IF(AND(Projects!$G$36="Yes",80&gt;=Projects!$C$36,80&lt;Projects!$C$36+Projects!$D$36),Projects!$B$36*INDEX(Curves!$B$4:$AO$4,1,80-Projects!$C$36+1),0)+IF(AND(Projects!$G$37="Yes",80&gt;=Projects!$C$37,80&lt;Projects!$C$37+Projects!$D$37),Projects!$B$37*INDEX(Curves!$B$4:$AO$4,1,80-Projects!$C$37+1),0)+IF(AND(Projects!$G$38="Yes",80&gt;=Projects!$C$38,80&lt;Projects!$C$38+Projects!$D$38),Projects!$B$38*INDEX(Curves!$B$4:$AO$4,1,80-Projects!$C$38+1),0)+IF(AND(Projects!$G$39="Yes",80&gt;=Projects!$C$39,80&lt;Projects!$C$39+Projects!$D$39),Projects!$B$39*INDEX(Curves!$B$4:$AO$4,1,80-Projects!$C$39+1),0)+IF(AND(Projects!$G$40="Yes",80&gt;=Projects!$C$40,80&lt;Projects!$C$40+Projects!$D$40),Projects!$B$40*INDEX(Curves!$B$4:$AO$4,1,80-Projects!$C$40+1),0)+IF(AND(Projects!$G$41="Yes",80&gt;=Projects!$C$41,80&lt;Projects!$C$41+Projects!$D$41),Projects!$B$41*INDEX(Curves!$B$4:$AO$4,1,80-Projects!$C$41+1),0)+IF(AND(Projects!$G$42="Yes",80&gt;=Projects!$C$42,80&lt;Projects!$C$42+Projects!$D$42),Projects!$B$42*INDEX(Curves!$B$4:$AO$4,1,80-Projects!$C$42+1),0)+IF(AND(Projects!$G$43="Yes",80&gt;=Projects!$C$43,80&lt;Projects!$C$43+Projects!$D$43),Projects!$B$43*INDEX(Curves!$B$4:$AO$4,1,80-Projects!$C$43+1),0)+IF(AND(Projects!$G$44="Yes",80&gt;=Projects!$C$44,80&lt;Projects!$C$44+Projects!$D$44),Projects!$B$44*INDEX(Curves!$B$4:$AO$4,1,80-Projects!$C$44+1),0)+IF(AND(Projects!$G$45="Yes",80&gt;=Projects!$C$45,80&lt;Projects!$C$45+Projects!$D$45),Projects!$B$45*INDEX(Curves!$B$4:$AO$4,1,80-Projects!$C$45+1),0)+IF(AND(Projects!$G$46="Yes",80&gt;=Projects!$C$46,80&lt;Projects!$C$46+Projects!$D$46),Projects!$B$46*INDEX(Curves!$B$4:$AO$4,1,80-Projects!$C$46+1),0)</f>
        <v/>
      </c>
      <c r="CE107">
        <f>IF(AND(Projects!$G$30="Yes",81&gt;=Projects!$C$30,81&lt;Projects!$C$30+Projects!$D$30),Projects!$B$30*INDEX(Curves!$B$4:$AO$4,1,81-Projects!$C$30+1),0)+IF(AND(Projects!$G$31="Yes",81&gt;=Projects!$C$31,81&lt;Projects!$C$31+Projects!$D$31),Projects!$B$31*INDEX(Curves!$B$4:$AO$4,1,81-Projects!$C$31+1),0)+IF(AND(Projects!$G$32="Yes",81&gt;=Projects!$C$32,81&lt;Projects!$C$32+Projects!$D$32),Projects!$B$32*INDEX(Curves!$B$4:$AO$4,1,81-Projects!$C$32+1),0)+IF(AND(Projects!$G$33="Yes",81&gt;=Projects!$C$33,81&lt;Projects!$C$33+Projects!$D$33),Projects!$B$33*INDEX(Curves!$B$4:$AO$4,1,81-Projects!$C$33+1),0)+IF(AND(Projects!$G$34="Yes",81&gt;=Projects!$C$34,81&lt;Projects!$C$34+Projects!$D$34),Projects!$B$34*INDEX(Curves!$B$4:$AO$4,1,81-Projects!$C$34+1),0)+IF(AND(Projects!$G$35="Yes",81&gt;=Projects!$C$35,81&lt;Projects!$C$35+Projects!$D$35),Projects!$B$35*INDEX(Curves!$B$4:$AO$4,1,81-Projects!$C$35+1),0)+IF(AND(Projects!$G$36="Yes",81&gt;=Projects!$C$36,81&lt;Projects!$C$36+Projects!$D$36),Projects!$B$36*INDEX(Curves!$B$4:$AO$4,1,81-Projects!$C$36+1),0)+IF(AND(Projects!$G$37="Yes",81&gt;=Projects!$C$37,81&lt;Projects!$C$37+Projects!$D$37),Projects!$B$37*INDEX(Curves!$B$4:$AO$4,1,81-Projects!$C$37+1),0)+IF(AND(Projects!$G$38="Yes",81&gt;=Projects!$C$38,81&lt;Projects!$C$38+Projects!$D$38),Projects!$B$38*INDEX(Curves!$B$4:$AO$4,1,81-Projects!$C$38+1),0)+IF(AND(Projects!$G$39="Yes",81&gt;=Projects!$C$39,81&lt;Projects!$C$39+Projects!$D$39),Projects!$B$39*INDEX(Curves!$B$4:$AO$4,1,81-Projects!$C$39+1),0)+IF(AND(Projects!$G$40="Yes",81&gt;=Projects!$C$40,81&lt;Projects!$C$40+Projects!$D$40),Projects!$B$40*INDEX(Curves!$B$4:$AO$4,1,81-Projects!$C$40+1),0)+IF(AND(Projects!$G$41="Yes",81&gt;=Projects!$C$41,81&lt;Projects!$C$41+Projects!$D$41),Projects!$B$41*INDEX(Curves!$B$4:$AO$4,1,81-Projects!$C$41+1),0)+IF(AND(Projects!$G$42="Yes",81&gt;=Projects!$C$42,81&lt;Projects!$C$42+Projects!$D$42),Projects!$B$42*INDEX(Curves!$B$4:$AO$4,1,81-Projects!$C$42+1),0)+IF(AND(Projects!$G$43="Yes",81&gt;=Projects!$C$43,81&lt;Projects!$C$43+Projects!$D$43),Projects!$B$43*INDEX(Curves!$B$4:$AO$4,1,81-Projects!$C$43+1),0)+IF(AND(Projects!$G$44="Yes",81&gt;=Projects!$C$44,81&lt;Projects!$C$44+Projects!$D$44),Projects!$B$44*INDEX(Curves!$B$4:$AO$4,1,81-Projects!$C$44+1),0)+IF(AND(Projects!$G$45="Yes",81&gt;=Projects!$C$45,81&lt;Projects!$C$45+Projects!$D$45),Projects!$B$45*INDEX(Curves!$B$4:$AO$4,1,81-Projects!$C$45+1),0)+IF(AND(Projects!$G$46="Yes",81&gt;=Projects!$C$46,81&lt;Projects!$C$46+Projects!$D$46),Projects!$B$46*INDEX(Curves!$B$4:$AO$4,1,81-Projects!$C$46+1),0)</f>
        <v/>
      </c>
      <c r="CF107">
        <f>IF(AND(Projects!$G$30="Yes",82&gt;=Projects!$C$30,82&lt;Projects!$C$30+Projects!$D$30),Projects!$B$30*INDEX(Curves!$B$4:$AO$4,1,82-Projects!$C$30+1),0)+IF(AND(Projects!$G$31="Yes",82&gt;=Projects!$C$31,82&lt;Projects!$C$31+Projects!$D$31),Projects!$B$31*INDEX(Curves!$B$4:$AO$4,1,82-Projects!$C$31+1),0)+IF(AND(Projects!$G$32="Yes",82&gt;=Projects!$C$32,82&lt;Projects!$C$32+Projects!$D$32),Projects!$B$32*INDEX(Curves!$B$4:$AO$4,1,82-Projects!$C$32+1),0)+IF(AND(Projects!$G$33="Yes",82&gt;=Projects!$C$33,82&lt;Projects!$C$33+Projects!$D$33),Projects!$B$33*INDEX(Curves!$B$4:$AO$4,1,82-Projects!$C$33+1),0)+IF(AND(Projects!$G$34="Yes",82&gt;=Projects!$C$34,82&lt;Projects!$C$34+Projects!$D$34),Projects!$B$34*INDEX(Curves!$B$4:$AO$4,1,82-Projects!$C$34+1),0)+IF(AND(Projects!$G$35="Yes",82&gt;=Projects!$C$35,82&lt;Projects!$C$35+Projects!$D$35),Projects!$B$35*INDEX(Curves!$B$4:$AO$4,1,82-Projects!$C$35+1),0)+IF(AND(Projects!$G$36="Yes",82&gt;=Projects!$C$36,82&lt;Projects!$C$36+Projects!$D$36),Projects!$B$36*INDEX(Curves!$B$4:$AO$4,1,82-Projects!$C$36+1),0)+IF(AND(Projects!$G$37="Yes",82&gt;=Projects!$C$37,82&lt;Projects!$C$37+Projects!$D$37),Projects!$B$37*INDEX(Curves!$B$4:$AO$4,1,82-Projects!$C$37+1),0)+IF(AND(Projects!$G$38="Yes",82&gt;=Projects!$C$38,82&lt;Projects!$C$38+Projects!$D$38),Projects!$B$38*INDEX(Curves!$B$4:$AO$4,1,82-Projects!$C$38+1),0)+IF(AND(Projects!$G$39="Yes",82&gt;=Projects!$C$39,82&lt;Projects!$C$39+Projects!$D$39),Projects!$B$39*INDEX(Curves!$B$4:$AO$4,1,82-Projects!$C$39+1),0)+IF(AND(Projects!$G$40="Yes",82&gt;=Projects!$C$40,82&lt;Projects!$C$40+Projects!$D$40),Projects!$B$40*INDEX(Curves!$B$4:$AO$4,1,82-Projects!$C$40+1),0)+IF(AND(Projects!$G$41="Yes",82&gt;=Projects!$C$41,82&lt;Projects!$C$41+Projects!$D$41),Projects!$B$41*INDEX(Curves!$B$4:$AO$4,1,82-Projects!$C$41+1),0)+IF(AND(Projects!$G$42="Yes",82&gt;=Projects!$C$42,82&lt;Projects!$C$42+Projects!$D$42),Projects!$B$42*INDEX(Curves!$B$4:$AO$4,1,82-Projects!$C$42+1),0)+IF(AND(Projects!$G$43="Yes",82&gt;=Projects!$C$43,82&lt;Projects!$C$43+Projects!$D$43),Projects!$B$43*INDEX(Curves!$B$4:$AO$4,1,82-Projects!$C$43+1),0)+IF(AND(Projects!$G$44="Yes",82&gt;=Projects!$C$44,82&lt;Projects!$C$44+Projects!$D$44),Projects!$B$44*INDEX(Curves!$B$4:$AO$4,1,82-Projects!$C$44+1),0)+IF(AND(Projects!$G$45="Yes",82&gt;=Projects!$C$45,82&lt;Projects!$C$45+Projects!$D$45),Projects!$B$45*INDEX(Curves!$B$4:$AO$4,1,82-Projects!$C$45+1),0)+IF(AND(Projects!$G$46="Yes",82&gt;=Projects!$C$46,82&lt;Projects!$C$46+Projects!$D$46),Projects!$B$46*INDEX(Curves!$B$4:$AO$4,1,82-Projects!$C$46+1),0)</f>
        <v/>
      </c>
      <c r="CG107">
        <f>IF(AND(Projects!$G$30="Yes",83&gt;=Projects!$C$30,83&lt;Projects!$C$30+Projects!$D$30),Projects!$B$30*INDEX(Curves!$B$4:$AO$4,1,83-Projects!$C$30+1),0)+IF(AND(Projects!$G$31="Yes",83&gt;=Projects!$C$31,83&lt;Projects!$C$31+Projects!$D$31),Projects!$B$31*INDEX(Curves!$B$4:$AO$4,1,83-Projects!$C$31+1),0)+IF(AND(Projects!$G$32="Yes",83&gt;=Projects!$C$32,83&lt;Projects!$C$32+Projects!$D$32),Projects!$B$32*INDEX(Curves!$B$4:$AO$4,1,83-Projects!$C$32+1),0)+IF(AND(Projects!$G$33="Yes",83&gt;=Projects!$C$33,83&lt;Projects!$C$33+Projects!$D$33),Projects!$B$33*INDEX(Curves!$B$4:$AO$4,1,83-Projects!$C$33+1),0)+IF(AND(Projects!$G$34="Yes",83&gt;=Projects!$C$34,83&lt;Projects!$C$34+Projects!$D$34),Projects!$B$34*INDEX(Curves!$B$4:$AO$4,1,83-Projects!$C$34+1),0)+IF(AND(Projects!$G$35="Yes",83&gt;=Projects!$C$35,83&lt;Projects!$C$35+Projects!$D$35),Projects!$B$35*INDEX(Curves!$B$4:$AO$4,1,83-Projects!$C$35+1),0)+IF(AND(Projects!$G$36="Yes",83&gt;=Projects!$C$36,83&lt;Projects!$C$36+Projects!$D$36),Projects!$B$36*INDEX(Curves!$B$4:$AO$4,1,83-Projects!$C$36+1),0)+IF(AND(Projects!$G$37="Yes",83&gt;=Projects!$C$37,83&lt;Projects!$C$37+Projects!$D$37),Projects!$B$37*INDEX(Curves!$B$4:$AO$4,1,83-Projects!$C$37+1),0)+IF(AND(Projects!$G$38="Yes",83&gt;=Projects!$C$38,83&lt;Projects!$C$38+Projects!$D$38),Projects!$B$38*INDEX(Curves!$B$4:$AO$4,1,83-Projects!$C$38+1),0)+IF(AND(Projects!$G$39="Yes",83&gt;=Projects!$C$39,83&lt;Projects!$C$39+Projects!$D$39),Projects!$B$39*INDEX(Curves!$B$4:$AO$4,1,83-Projects!$C$39+1),0)+IF(AND(Projects!$G$40="Yes",83&gt;=Projects!$C$40,83&lt;Projects!$C$40+Projects!$D$40),Projects!$B$40*INDEX(Curves!$B$4:$AO$4,1,83-Projects!$C$40+1),0)+IF(AND(Projects!$G$41="Yes",83&gt;=Projects!$C$41,83&lt;Projects!$C$41+Projects!$D$41),Projects!$B$41*INDEX(Curves!$B$4:$AO$4,1,83-Projects!$C$41+1),0)+IF(AND(Projects!$G$42="Yes",83&gt;=Projects!$C$42,83&lt;Projects!$C$42+Projects!$D$42),Projects!$B$42*INDEX(Curves!$B$4:$AO$4,1,83-Projects!$C$42+1),0)+IF(AND(Projects!$G$43="Yes",83&gt;=Projects!$C$43,83&lt;Projects!$C$43+Projects!$D$43),Projects!$B$43*INDEX(Curves!$B$4:$AO$4,1,83-Projects!$C$43+1),0)+IF(AND(Projects!$G$44="Yes",83&gt;=Projects!$C$44,83&lt;Projects!$C$44+Projects!$D$44),Projects!$B$44*INDEX(Curves!$B$4:$AO$4,1,83-Projects!$C$44+1),0)+IF(AND(Projects!$G$45="Yes",83&gt;=Projects!$C$45,83&lt;Projects!$C$45+Projects!$D$45),Projects!$B$45*INDEX(Curves!$B$4:$AO$4,1,83-Projects!$C$45+1),0)+IF(AND(Projects!$G$46="Yes",83&gt;=Projects!$C$46,83&lt;Projects!$C$46+Projects!$D$46),Projects!$B$46*INDEX(Curves!$B$4:$AO$4,1,83-Projects!$C$46+1),0)</f>
        <v/>
      </c>
      <c r="CH107">
        <f>IF(AND(Projects!$G$30="Yes",84&gt;=Projects!$C$30,84&lt;Projects!$C$30+Projects!$D$30),Projects!$B$30*INDEX(Curves!$B$4:$AO$4,1,84-Projects!$C$30+1),0)+IF(AND(Projects!$G$31="Yes",84&gt;=Projects!$C$31,84&lt;Projects!$C$31+Projects!$D$31),Projects!$B$31*INDEX(Curves!$B$4:$AO$4,1,84-Projects!$C$31+1),0)+IF(AND(Projects!$G$32="Yes",84&gt;=Projects!$C$32,84&lt;Projects!$C$32+Projects!$D$32),Projects!$B$32*INDEX(Curves!$B$4:$AO$4,1,84-Projects!$C$32+1),0)+IF(AND(Projects!$G$33="Yes",84&gt;=Projects!$C$33,84&lt;Projects!$C$33+Projects!$D$33),Projects!$B$33*INDEX(Curves!$B$4:$AO$4,1,84-Projects!$C$33+1),0)+IF(AND(Projects!$G$34="Yes",84&gt;=Projects!$C$34,84&lt;Projects!$C$34+Projects!$D$34),Projects!$B$34*INDEX(Curves!$B$4:$AO$4,1,84-Projects!$C$34+1),0)+IF(AND(Projects!$G$35="Yes",84&gt;=Projects!$C$35,84&lt;Projects!$C$35+Projects!$D$35),Projects!$B$35*INDEX(Curves!$B$4:$AO$4,1,84-Projects!$C$35+1),0)+IF(AND(Projects!$G$36="Yes",84&gt;=Projects!$C$36,84&lt;Projects!$C$36+Projects!$D$36),Projects!$B$36*INDEX(Curves!$B$4:$AO$4,1,84-Projects!$C$36+1),0)+IF(AND(Projects!$G$37="Yes",84&gt;=Projects!$C$37,84&lt;Projects!$C$37+Projects!$D$37),Projects!$B$37*INDEX(Curves!$B$4:$AO$4,1,84-Projects!$C$37+1),0)+IF(AND(Projects!$G$38="Yes",84&gt;=Projects!$C$38,84&lt;Projects!$C$38+Projects!$D$38),Projects!$B$38*INDEX(Curves!$B$4:$AO$4,1,84-Projects!$C$38+1),0)+IF(AND(Projects!$G$39="Yes",84&gt;=Projects!$C$39,84&lt;Projects!$C$39+Projects!$D$39),Projects!$B$39*INDEX(Curves!$B$4:$AO$4,1,84-Projects!$C$39+1),0)+IF(AND(Projects!$G$40="Yes",84&gt;=Projects!$C$40,84&lt;Projects!$C$40+Projects!$D$40),Projects!$B$40*INDEX(Curves!$B$4:$AO$4,1,84-Projects!$C$40+1),0)+IF(AND(Projects!$G$41="Yes",84&gt;=Projects!$C$41,84&lt;Projects!$C$41+Projects!$D$41),Projects!$B$41*INDEX(Curves!$B$4:$AO$4,1,84-Projects!$C$41+1),0)+IF(AND(Projects!$G$42="Yes",84&gt;=Projects!$C$42,84&lt;Projects!$C$42+Projects!$D$42),Projects!$B$42*INDEX(Curves!$B$4:$AO$4,1,84-Projects!$C$42+1),0)+IF(AND(Projects!$G$43="Yes",84&gt;=Projects!$C$43,84&lt;Projects!$C$43+Projects!$D$43),Projects!$B$43*INDEX(Curves!$B$4:$AO$4,1,84-Projects!$C$43+1),0)+IF(AND(Projects!$G$44="Yes",84&gt;=Projects!$C$44,84&lt;Projects!$C$44+Projects!$D$44),Projects!$B$44*INDEX(Curves!$B$4:$AO$4,1,84-Projects!$C$44+1),0)+IF(AND(Projects!$G$45="Yes",84&gt;=Projects!$C$45,84&lt;Projects!$C$45+Projects!$D$45),Projects!$B$45*INDEX(Curves!$B$4:$AO$4,1,84-Projects!$C$45+1),0)+IF(AND(Projects!$G$46="Yes",84&gt;=Projects!$C$46,84&lt;Projects!$C$46+Projects!$D$46),Projects!$B$46*INDEX(Curves!$B$4:$AO$4,1,84-Projects!$C$46+1),0)</f>
        <v/>
      </c>
    </row>
    <row r="108" ht="15" customHeight="1" s="201">
      <c r="A108" t="inlineStr">
        <is>
          <t>BD Phase 2 Supervision</t>
        </is>
      </c>
      <c r="C108">
        <f>IF(AND(Projects!$G$30="Yes",1&gt;=Projects!$C$30,1&lt;Projects!$C$30+Projects!$D$30),IF(1=Projects!$C$30+Projects!$D$30-1,Projects!$B$30*Assumptions!$B$10/Projects!$D$30*0.95+0.05*Projects!$B$30*Assumptions!$B$10,Projects!$B$30*Assumptions!$B$10/Projects!$D$30*0.95),0)+IF(AND(Projects!$G$31="Yes",1&gt;=Projects!$C$31,1&lt;Projects!$C$31+Projects!$D$31),IF(1=Projects!$C$31+Projects!$D$31-1,Projects!$B$31*Assumptions!$B$10/Projects!$D$31*0.95+0.05*Projects!$B$31*Assumptions!$B$10,Projects!$B$31*Assumptions!$B$10/Projects!$D$31*0.95),0)+IF(AND(Projects!$G$32="Yes",1&gt;=Projects!$C$32,1&lt;Projects!$C$32+Projects!$D$32),IF(1=Projects!$C$32+Projects!$D$32-1,Projects!$B$32*Assumptions!$B$10/Projects!$D$32*0.95+0.05*Projects!$B$32*Assumptions!$B$10,Projects!$B$32*Assumptions!$B$10/Projects!$D$32*0.95),0)+IF(AND(Projects!$G$33="Yes",1&gt;=Projects!$C$33,1&lt;Projects!$C$33+Projects!$D$33),IF(1=Projects!$C$33+Projects!$D$33-1,Projects!$B$33*Assumptions!$B$10/Projects!$D$33*0.95+0.05*Projects!$B$33*Assumptions!$B$10,Projects!$B$33*Assumptions!$B$10/Projects!$D$33*0.95),0)+IF(AND(Projects!$G$34="Yes",1&gt;=Projects!$C$34,1&lt;Projects!$C$34+Projects!$D$34),IF(1=Projects!$C$34+Projects!$D$34-1,Projects!$B$34*Assumptions!$B$10/Projects!$D$34*0.95+0.05*Projects!$B$34*Assumptions!$B$10,Projects!$B$34*Assumptions!$B$10/Projects!$D$34*0.95),0)+IF(AND(Projects!$G$35="Yes",1&gt;=Projects!$C$35,1&lt;Projects!$C$35+Projects!$D$35),IF(1=Projects!$C$35+Projects!$D$35-1,Projects!$B$35*Assumptions!$B$10/Projects!$D$35*0.95+0.05*Projects!$B$35*Assumptions!$B$10,Projects!$B$35*Assumptions!$B$10/Projects!$D$35*0.95),0)+IF(AND(Projects!$G$36="Yes",1&gt;=Projects!$C$36,1&lt;Projects!$C$36+Projects!$D$36),IF(1=Projects!$C$36+Projects!$D$36-1,Projects!$B$36*Assumptions!$B$10/Projects!$D$36*0.95+0.05*Projects!$B$36*Assumptions!$B$10,Projects!$B$36*Assumptions!$B$10/Projects!$D$36*0.95),0)+IF(AND(Projects!$G$37="Yes",1&gt;=Projects!$C$37,1&lt;Projects!$C$37+Projects!$D$37),IF(1=Projects!$C$37+Projects!$D$37-1,Projects!$B$37*Assumptions!$B$10/Projects!$D$37*0.95+0.05*Projects!$B$37*Assumptions!$B$10,Projects!$B$37*Assumptions!$B$10/Projects!$D$37*0.95),0)+IF(AND(Projects!$G$38="Yes",1&gt;=Projects!$C$38,1&lt;Projects!$C$38+Projects!$D$38),IF(1=Projects!$C$38+Projects!$D$38-1,Projects!$B$38*Assumptions!$B$10/Projects!$D$38*0.95+0.05*Projects!$B$38*Assumptions!$B$10,Projects!$B$38*Assumptions!$B$10/Projects!$D$38*0.95),0)+IF(AND(Projects!$G$39="Yes",1&gt;=Projects!$C$39,1&lt;Projects!$C$39+Projects!$D$39),IF(1=Projects!$C$39+Projects!$D$39-1,Projects!$B$39*Assumptions!$B$10/Projects!$D$39*0.95+0.05*Projects!$B$39*Assumptions!$B$10,Projects!$B$39*Assumptions!$B$10/Projects!$D$39*0.95),0)+IF(AND(Projects!$G$40="Yes",1&gt;=Projects!$C$40,1&lt;Projects!$C$40+Projects!$D$40),IF(1=Projects!$C$40+Projects!$D$40-1,Projects!$B$40*Assumptions!$B$10/Projects!$D$40*0.95+0.05*Projects!$B$40*Assumptions!$B$10,Projects!$B$40*Assumptions!$B$10/Projects!$D$40*0.95),0)+IF(AND(Projects!$G$41="Yes",1&gt;=Projects!$C$41,1&lt;Projects!$C$41+Projects!$D$41),IF(1=Projects!$C$41+Projects!$D$41-1,Projects!$B$41*Assumptions!$B$10/Projects!$D$41*0.95+0.05*Projects!$B$41*Assumptions!$B$10,Projects!$B$41*Assumptions!$B$10/Projects!$D$41*0.95),0)+IF(AND(Projects!$G$42="Yes",1&gt;=Projects!$C$42,1&lt;Projects!$C$42+Projects!$D$42),IF(1=Projects!$C$42+Projects!$D$42-1,Projects!$B$42*Assumptions!$B$10/Projects!$D$42*0.95+0.05*Projects!$B$42*Assumptions!$B$10,Projects!$B$42*Assumptions!$B$10/Projects!$D$42*0.95),0)+IF(AND(Projects!$G$43="Yes",1&gt;=Projects!$C$43,1&lt;Projects!$C$43+Projects!$D$43),IF(1=Projects!$C$43+Projects!$D$43-1,Projects!$B$43*Assumptions!$B$10/Projects!$D$43*0.95+0.05*Projects!$B$43*Assumptions!$B$10,Projects!$B$43*Assumptions!$B$10/Projects!$D$43*0.95),0)+IF(AND(Projects!$G$44="Yes",1&gt;=Projects!$C$44,1&lt;Projects!$C$44+Projects!$D$44),IF(1=Projects!$C$44+Projects!$D$44-1,Projects!$B$44*Assumptions!$B$10/Projects!$D$44*0.95+0.05*Projects!$B$44*Assumptions!$B$10,Projects!$B$44*Assumptions!$B$10/Projects!$D$44*0.95),0)+IF(AND(Projects!$G$45="Yes",1&gt;=Projects!$C$45,1&lt;Projects!$C$45+Projects!$D$45),IF(1=Projects!$C$45+Projects!$D$45-1,Projects!$B$45*Assumptions!$B$10/Projects!$D$45*0.95+0.05*Projects!$B$45*Assumptions!$B$10,Projects!$B$45*Assumptions!$B$10/Projects!$D$45*0.95),0)+IF(AND(Projects!$G$46="Yes",1&gt;=Projects!$C$46,1&lt;Projects!$C$46+Projects!$D$46),IF(1=Projects!$C$46+Projects!$D$46-1,Projects!$B$46*Assumptions!$B$10/Projects!$D$46*0.95+0.05*Projects!$B$46*Assumptions!$B$10,Projects!$B$46*Assumptions!$B$10/Projects!$D$46*0.95),0)</f>
        <v/>
      </c>
      <c r="D108">
        <f>IF(AND(Projects!$G$30="Yes",2&gt;=Projects!$C$30,2&lt;Projects!$C$30+Projects!$D$30),IF(2=Projects!$C$30+Projects!$D$30-1,Projects!$B$30*Assumptions!$B$10/Projects!$D$30*0.95+0.05*Projects!$B$30*Assumptions!$B$10,Projects!$B$30*Assumptions!$B$10/Projects!$D$30*0.95),0)+IF(AND(Projects!$G$31="Yes",2&gt;=Projects!$C$31,2&lt;Projects!$C$31+Projects!$D$31),IF(2=Projects!$C$31+Projects!$D$31-1,Projects!$B$31*Assumptions!$B$10/Projects!$D$31*0.95+0.05*Projects!$B$31*Assumptions!$B$10,Projects!$B$31*Assumptions!$B$10/Projects!$D$31*0.95),0)+IF(AND(Projects!$G$32="Yes",2&gt;=Projects!$C$32,2&lt;Projects!$C$32+Projects!$D$32),IF(2=Projects!$C$32+Projects!$D$32-1,Projects!$B$32*Assumptions!$B$10/Projects!$D$32*0.95+0.05*Projects!$B$32*Assumptions!$B$10,Projects!$B$32*Assumptions!$B$10/Projects!$D$32*0.95),0)+IF(AND(Projects!$G$33="Yes",2&gt;=Projects!$C$33,2&lt;Projects!$C$33+Projects!$D$33),IF(2=Projects!$C$33+Projects!$D$33-1,Projects!$B$33*Assumptions!$B$10/Projects!$D$33*0.95+0.05*Projects!$B$33*Assumptions!$B$10,Projects!$B$33*Assumptions!$B$10/Projects!$D$33*0.95),0)+IF(AND(Projects!$G$34="Yes",2&gt;=Projects!$C$34,2&lt;Projects!$C$34+Projects!$D$34),IF(2=Projects!$C$34+Projects!$D$34-1,Projects!$B$34*Assumptions!$B$10/Projects!$D$34*0.95+0.05*Projects!$B$34*Assumptions!$B$10,Projects!$B$34*Assumptions!$B$10/Projects!$D$34*0.95),0)+IF(AND(Projects!$G$35="Yes",2&gt;=Projects!$C$35,2&lt;Projects!$C$35+Projects!$D$35),IF(2=Projects!$C$35+Projects!$D$35-1,Projects!$B$35*Assumptions!$B$10/Projects!$D$35*0.95+0.05*Projects!$B$35*Assumptions!$B$10,Projects!$B$35*Assumptions!$B$10/Projects!$D$35*0.95),0)+IF(AND(Projects!$G$36="Yes",2&gt;=Projects!$C$36,2&lt;Projects!$C$36+Projects!$D$36),IF(2=Projects!$C$36+Projects!$D$36-1,Projects!$B$36*Assumptions!$B$10/Projects!$D$36*0.95+0.05*Projects!$B$36*Assumptions!$B$10,Projects!$B$36*Assumptions!$B$10/Projects!$D$36*0.95),0)+IF(AND(Projects!$G$37="Yes",2&gt;=Projects!$C$37,2&lt;Projects!$C$37+Projects!$D$37),IF(2=Projects!$C$37+Projects!$D$37-1,Projects!$B$37*Assumptions!$B$10/Projects!$D$37*0.95+0.05*Projects!$B$37*Assumptions!$B$10,Projects!$B$37*Assumptions!$B$10/Projects!$D$37*0.95),0)+IF(AND(Projects!$G$38="Yes",2&gt;=Projects!$C$38,2&lt;Projects!$C$38+Projects!$D$38),IF(2=Projects!$C$38+Projects!$D$38-1,Projects!$B$38*Assumptions!$B$10/Projects!$D$38*0.95+0.05*Projects!$B$38*Assumptions!$B$10,Projects!$B$38*Assumptions!$B$10/Projects!$D$38*0.95),0)+IF(AND(Projects!$G$39="Yes",2&gt;=Projects!$C$39,2&lt;Projects!$C$39+Projects!$D$39),IF(2=Projects!$C$39+Projects!$D$39-1,Projects!$B$39*Assumptions!$B$10/Projects!$D$39*0.95+0.05*Projects!$B$39*Assumptions!$B$10,Projects!$B$39*Assumptions!$B$10/Projects!$D$39*0.95),0)+IF(AND(Projects!$G$40="Yes",2&gt;=Projects!$C$40,2&lt;Projects!$C$40+Projects!$D$40),IF(2=Projects!$C$40+Projects!$D$40-1,Projects!$B$40*Assumptions!$B$10/Projects!$D$40*0.95+0.05*Projects!$B$40*Assumptions!$B$10,Projects!$B$40*Assumptions!$B$10/Projects!$D$40*0.95),0)+IF(AND(Projects!$G$41="Yes",2&gt;=Projects!$C$41,2&lt;Projects!$C$41+Projects!$D$41),IF(2=Projects!$C$41+Projects!$D$41-1,Projects!$B$41*Assumptions!$B$10/Projects!$D$41*0.95+0.05*Projects!$B$41*Assumptions!$B$10,Projects!$B$41*Assumptions!$B$10/Projects!$D$41*0.95),0)+IF(AND(Projects!$G$42="Yes",2&gt;=Projects!$C$42,2&lt;Projects!$C$42+Projects!$D$42),IF(2=Projects!$C$42+Projects!$D$42-1,Projects!$B$42*Assumptions!$B$10/Projects!$D$42*0.95+0.05*Projects!$B$42*Assumptions!$B$10,Projects!$B$42*Assumptions!$B$10/Projects!$D$42*0.95),0)+IF(AND(Projects!$G$43="Yes",2&gt;=Projects!$C$43,2&lt;Projects!$C$43+Projects!$D$43),IF(2=Projects!$C$43+Projects!$D$43-1,Projects!$B$43*Assumptions!$B$10/Projects!$D$43*0.95+0.05*Projects!$B$43*Assumptions!$B$10,Projects!$B$43*Assumptions!$B$10/Projects!$D$43*0.95),0)+IF(AND(Projects!$G$44="Yes",2&gt;=Projects!$C$44,2&lt;Projects!$C$44+Projects!$D$44),IF(2=Projects!$C$44+Projects!$D$44-1,Projects!$B$44*Assumptions!$B$10/Projects!$D$44*0.95+0.05*Projects!$B$44*Assumptions!$B$10,Projects!$B$44*Assumptions!$B$10/Projects!$D$44*0.95),0)+IF(AND(Projects!$G$45="Yes",2&gt;=Projects!$C$45,2&lt;Projects!$C$45+Projects!$D$45),IF(2=Projects!$C$45+Projects!$D$45-1,Projects!$B$45*Assumptions!$B$10/Projects!$D$45*0.95+0.05*Projects!$B$45*Assumptions!$B$10,Projects!$B$45*Assumptions!$B$10/Projects!$D$45*0.95),0)+IF(AND(Projects!$G$46="Yes",2&gt;=Projects!$C$46,2&lt;Projects!$C$46+Projects!$D$46),IF(2=Projects!$C$46+Projects!$D$46-1,Projects!$B$46*Assumptions!$B$10/Projects!$D$46*0.95+0.05*Projects!$B$46*Assumptions!$B$10,Projects!$B$46*Assumptions!$B$10/Projects!$D$46*0.95),0)</f>
        <v/>
      </c>
      <c r="E108">
        <f>IF(AND(Projects!$G$30="Yes",3&gt;=Projects!$C$30,3&lt;Projects!$C$30+Projects!$D$30),IF(3=Projects!$C$30+Projects!$D$30-1,Projects!$B$30*Assumptions!$B$10/Projects!$D$30*0.95+0.05*Projects!$B$30*Assumptions!$B$10,Projects!$B$30*Assumptions!$B$10/Projects!$D$30*0.95),0)+IF(AND(Projects!$G$31="Yes",3&gt;=Projects!$C$31,3&lt;Projects!$C$31+Projects!$D$31),IF(3=Projects!$C$31+Projects!$D$31-1,Projects!$B$31*Assumptions!$B$10/Projects!$D$31*0.95+0.05*Projects!$B$31*Assumptions!$B$10,Projects!$B$31*Assumptions!$B$10/Projects!$D$31*0.95),0)+IF(AND(Projects!$G$32="Yes",3&gt;=Projects!$C$32,3&lt;Projects!$C$32+Projects!$D$32),IF(3=Projects!$C$32+Projects!$D$32-1,Projects!$B$32*Assumptions!$B$10/Projects!$D$32*0.95+0.05*Projects!$B$32*Assumptions!$B$10,Projects!$B$32*Assumptions!$B$10/Projects!$D$32*0.95),0)+IF(AND(Projects!$G$33="Yes",3&gt;=Projects!$C$33,3&lt;Projects!$C$33+Projects!$D$33),IF(3=Projects!$C$33+Projects!$D$33-1,Projects!$B$33*Assumptions!$B$10/Projects!$D$33*0.95+0.05*Projects!$B$33*Assumptions!$B$10,Projects!$B$33*Assumptions!$B$10/Projects!$D$33*0.95),0)+IF(AND(Projects!$G$34="Yes",3&gt;=Projects!$C$34,3&lt;Projects!$C$34+Projects!$D$34),IF(3=Projects!$C$34+Projects!$D$34-1,Projects!$B$34*Assumptions!$B$10/Projects!$D$34*0.95+0.05*Projects!$B$34*Assumptions!$B$10,Projects!$B$34*Assumptions!$B$10/Projects!$D$34*0.95),0)+IF(AND(Projects!$G$35="Yes",3&gt;=Projects!$C$35,3&lt;Projects!$C$35+Projects!$D$35),IF(3=Projects!$C$35+Projects!$D$35-1,Projects!$B$35*Assumptions!$B$10/Projects!$D$35*0.95+0.05*Projects!$B$35*Assumptions!$B$10,Projects!$B$35*Assumptions!$B$10/Projects!$D$35*0.95),0)+IF(AND(Projects!$G$36="Yes",3&gt;=Projects!$C$36,3&lt;Projects!$C$36+Projects!$D$36),IF(3=Projects!$C$36+Projects!$D$36-1,Projects!$B$36*Assumptions!$B$10/Projects!$D$36*0.95+0.05*Projects!$B$36*Assumptions!$B$10,Projects!$B$36*Assumptions!$B$10/Projects!$D$36*0.95),0)+IF(AND(Projects!$G$37="Yes",3&gt;=Projects!$C$37,3&lt;Projects!$C$37+Projects!$D$37),IF(3=Projects!$C$37+Projects!$D$37-1,Projects!$B$37*Assumptions!$B$10/Projects!$D$37*0.95+0.05*Projects!$B$37*Assumptions!$B$10,Projects!$B$37*Assumptions!$B$10/Projects!$D$37*0.95),0)+IF(AND(Projects!$G$38="Yes",3&gt;=Projects!$C$38,3&lt;Projects!$C$38+Projects!$D$38),IF(3=Projects!$C$38+Projects!$D$38-1,Projects!$B$38*Assumptions!$B$10/Projects!$D$38*0.95+0.05*Projects!$B$38*Assumptions!$B$10,Projects!$B$38*Assumptions!$B$10/Projects!$D$38*0.95),0)+IF(AND(Projects!$G$39="Yes",3&gt;=Projects!$C$39,3&lt;Projects!$C$39+Projects!$D$39),IF(3=Projects!$C$39+Projects!$D$39-1,Projects!$B$39*Assumptions!$B$10/Projects!$D$39*0.95+0.05*Projects!$B$39*Assumptions!$B$10,Projects!$B$39*Assumptions!$B$10/Projects!$D$39*0.95),0)+IF(AND(Projects!$G$40="Yes",3&gt;=Projects!$C$40,3&lt;Projects!$C$40+Projects!$D$40),IF(3=Projects!$C$40+Projects!$D$40-1,Projects!$B$40*Assumptions!$B$10/Projects!$D$40*0.95+0.05*Projects!$B$40*Assumptions!$B$10,Projects!$B$40*Assumptions!$B$10/Projects!$D$40*0.95),0)+IF(AND(Projects!$G$41="Yes",3&gt;=Projects!$C$41,3&lt;Projects!$C$41+Projects!$D$41),IF(3=Projects!$C$41+Projects!$D$41-1,Projects!$B$41*Assumptions!$B$10/Projects!$D$41*0.95+0.05*Projects!$B$41*Assumptions!$B$10,Projects!$B$41*Assumptions!$B$10/Projects!$D$41*0.95),0)+IF(AND(Projects!$G$42="Yes",3&gt;=Projects!$C$42,3&lt;Projects!$C$42+Projects!$D$42),IF(3=Projects!$C$42+Projects!$D$42-1,Projects!$B$42*Assumptions!$B$10/Projects!$D$42*0.95+0.05*Projects!$B$42*Assumptions!$B$10,Projects!$B$42*Assumptions!$B$10/Projects!$D$42*0.95),0)+IF(AND(Projects!$G$43="Yes",3&gt;=Projects!$C$43,3&lt;Projects!$C$43+Projects!$D$43),IF(3=Projects!$C$43+Projects!$D$43-1,Projects!$B$43*Assumptions!$B$10/Projects!$D$43*0.95+0.05*Projects!$B$43*Assumptions!$B$10,Projects!$B$43*Assumptions!$B$10/Projects!$D$43*0.95),0)+IF(AND(Projects!$G$44="Yes",3&gt;=Projects!$C$44,3&lt;Projects!$C$44+Projects!$D$44),IF(3=Projects!$C$44+Projects!$D$44-1,Projects!$B$44*Assumptions!$B$10/Projects!$D$44*0.95+0.05*Projects!$B$44*Assumptions!$B$10,Projects!$B$44*Assumptions!$B$10/Projects!$D$44*0.95),0)+IF(AND(Projects!$G$45="Yes",3&gt;=Projects!$C$45,3&lt;Projects!$C$45+Projects!$D$45),IF(3=Projects!$C$45+Projects!$D$45-1,Projects!$B$45*Assumptions!$B$10/Projects!$D$45*0.95+0.05*Projects!$B$45*Assumptions!$B$10,Projects!$B$45*Assumptions!$B$10/Projects!$D$45*0.95),0)+IF(AND(Projects!$G$46="Yes",3&gt;=Projects!$C$46,3&lt;Projects!$C$46+Projects!$D$46),IF(3=Projects!$C$46+Projects!$D$46-1,Projects!$B$46*Assumptions!$B$10/Projects!$D$46*0.95+0.05*Projects!$B$46*Assumptions!$B$10,Projects!$B$46*Assumptions!$B$10/Projects!$D$46*0.95),0)</f>
        <v/>
      </c>
      <c r="F108">
        <f>IF(AND(Projects!$G$30="Yes",4&gt;=Projects!$C$30,4&lt;Projects!$C$30+Projects!$D$30),IF(4=Projects!$C$30+Projects!$D$30-1,Projects!$B$30*Assumptions!$B$10/Projects!$D$30*0.95+0.05*Projects!$B$30*Assumptions!$B$10,Projects!$B$30*Assumptions!$B$10/Projects!$D$30*0.95),0)+IF(AND(Projects!$G$31="Yes",4&gt;=Projects!$C$31,4&lt;Projects!$C$31+Projects!$D$31),IF(4=Projects!$C$31+Projects!$D$31-1,Projects!$B$31*Assumptions!$B$10/Projects!$D$31*0.95+0.05*Projects!$B$31*Assumptions!$B$10,Projects!$B$31*Assumptions!$B$10/Projects!$D$31*0.95),0)+IF(AND(Projects!$G$32="Yes",4&gt;=Projects!$C$32,4&lt;Projects!$C$32+Projects!$D$32),IF(4=Projects!$C$32+Projects!$D$32-1,Projects!$B$32*Assumptions!$B$10/Projects!$D$32*0.95+0.05*Projects!$B$32*Assumptions!$B$10,Projects!$B$32*Assumptions!$B$10/Projects!$D$32*0.95),0)+IF(AND(Projects!$G$33="Yes",4&gt;=Projects!$C$33,4&lt;Projects!$C$33+Projects!$D$33),IF(4=Projects!$C$33+Projects!$D$33-1,Projects!$B$33*Assumptions!$B$10/Projects!$D$33*0.95+0.05*Projects!$B$33*Assumptions!$B$10,Projects!$B$33*Assumptions!$B$10/Projects!$D$33*0.95),0)+IF(AND(Projects!$G$34="Yes",4&gt;=Projects!$C$34,4&lt;Projects!$C$34+Projects!$D$34),IF(4=Projects!$C$34+Projects!$D$34-1,Projects!$B$34*Assumptions!$B$10/Projects!$D$34*0.95+0.05*Projects!$B$34*Assumptions!$B$10,Projects!$B$34*Assumptions!$B$10/Projects!$D$34*0.95),0)+IF(AND(Projects!$G$35="Yes",4&gt;=Projects!$C$35,4&lt;Projects!$C$35+Projects!$D$35),IF(4=Projects!$C$35+Projects!$D$35-1,Projects!$B$35*Assumptions!$B$10/Projects!$D$35*0.95+0.05*Projects!$B$35*Assumptions!$B$10,Projects!$B$35*Assumptions!$B$10/Projects!$D$35*0.95),0)+IF(AND(Projects!$G$36="Yes",4&gt;=Projects!$C$36,4&lt;Projects!$C$36+Projects!$D$36),IF(4=Projects!$C$36+Projects!$D$36-1,Projects!$B$36*Assumptions!$B$10/Projects!$D$36*0.95+0.05*Projects!$B$36*Assumptions!$B$10,Projects!$B$36*Assumptions!$B$10/Projects!$D$36*0.95),0)+IF(AND(Projects!$G$37="Yes",4&gt;=Projects!$C$37,4&lt;Projects!$C$37+Projects!$D$37),IF(4=Projects!$C$37+Projects!$D$37-1,Projects!$B$37*Assumptions!$B$10/Projects!$D$37*0.95+0.05*Projects!$B$37*Assumptions!$B$10,Projects!$B$37*Assumptions!$B$10/Projects!$D$37*0.95),0)+IF(AND(Projects!$G$38="Yes",4&gt;=Projects!$C$38,4&lt;Projects!$C$38+Projects!$D$38),IF(4=Projects!$C$38+Projects!$D$38-1,Projects!$B$38*Assumptions!$B$10/Projects!$D$38*0.95+0.05*Projects!$B$38*Assumptions!$B$10,Projects!$B$38*Assumptions!$B$10/Projects!$D$38*0.95),0)+IF(AND(Projects!$G$39="Yes",4&gt;=Projects!$C$39,4&lt;Projects!$C$39+Projects!$D$39),IF(4=Projects!$C$39+Projects!$D$39-1,Projects!$B$39*Assumptions!$B$10/Projects!$D$39*0.95+0.05*Projects!$B$39*Assumptions!$B$10,Projects!$B$39*Assumptions!$B$10/Projects!$D$39*0.95),0)+IF(AND(Projects!$G$40="Yes",4&gt;=Projects!$C$40,4&lt;Projects!$C$40+Projects!$D$40),IF(4=Projects!$C$40+Projects!$D$40-1,Projects!$B$40*Assumptions!$B$10/Projects!$D$40*0.95+0.05*Projects!$B$40*Assumptions!$B$10,Projects!$B$40*Assumptions!$B$10/Projects!$D$40*0.95),0)+IF(AND(Projects!$G$41="Yes",4&gt;=Projects!$C$41,4&lt;Projects!$C$41+Projects!$D$41),IF(4=Projects!$C$41+Projects!$D$41-1,Projects!$B$41*Assumptions!$B$10/Projects!$D$41*0.95+0.05*Projects!$B$41*Assumptions!$B$10,Projects!$B$41*Assumptions!$B$10/Projects!$D$41*0.95),0)+IF(AND(Projects!$G$42="Yes",4&gt;=Projects!$C$42,4&lt;Projects!$C$42+Projects!$D$42),IF(4=Projects!$C$42+Projects!$D$42-1,Projects!$B$42*Assumptions!$B$10/Projects!$D$42*0.95+0.05*Projects!$B$42*Assumptions!$B$10,Projects!$B$42*Assumptions!$B$10/Projects!$D$42*0.95),0)+IF(AND(Projects!$G$43="Yes",4&gt;=Projects!$C$43,4&lt;Projects!$C$43+Projects!$D$43),IF(4=Projects!$C$43+Projects!$D$43-1,Projects!$B$43*Assumptions!$B$10/Projects!$D$43*0.95+0.05*Projects!$B$43*Assumptions!$B$10,Projects!$B$43*Assumptions!$B$10/Projects!$D$43*0.95),0)+IF(AND(Projects!$G$44="Yes",4&gt;=Projects!$C$44,4&lt;Projects!$C$44+Projects!$D$44),IF(4=Projects!$C$44+Projects!$D$44-1,Projects!$B$44*Assumptions!$B$10/Projects!$D$44*0.95+0.05*Projects!$B$44*Assumptions!$B$10,Projects!$B$44*Assumptions!$B$10/Projects!$D$44*0.95),0)+IF(AND(Projects!$G$45="Yes",4&gt;=Projects!$C$45,4&lt;Projects!$C$45+Projects!$D$45),IF(4=Projects!$C$45+Projects!$D$45-1,Projects!$B$45*Assumptions!$B$10/Projects!$D$45*0.95+0.05*Projects!$B$45*Assumptions!$B$10,Projects!$B$45*Assumptions!$B$10/Projects!$D$45*0.95),0)+IF(AND(Projects!$G$46="Yes",4&gt;=Projects!$C$46,4&lt;Projects!$C$46+Projects!$D$46),IF(4=Projects!$C$46+Projects!$D$46-1,Projects!$B$46*Assumptions!$B$10/Projects!$D$46*0.95+0.05*Projects!$B$46*Assumptions!$B$10,Projects!$B$46*Assumptions!$B$10/Projects!$D$46*0.95),0)</f>
        <v/>
      </c>
      <c r="G108">
        <f>IF(AND(Projects!$G$30="Yes",5&gt;=Projects!$C$30,5&lt;Projects!$C$30+Projects!$D$30),IF(5=Projects!$C$30+Projects!$D$30-1,Projects!$B$30*Assumptions!$B$10/Projects!$D$30*0.95+0.05*Projects!$B$30*Assumptions!$B$10,Projects!$B$30*Assumptions!$B$10/Projects!$D$30*0.95),0)+IF(AND(Projects!$G$31="Yes",5&gt;=Projects!$C$31,5&lt;Projects!$C$31+Projects!$D$31),IF(5=Projects!$C$31+Projects!$D$31-1,Projects!$B$31*Assumptions!$B$10/Projects!$D$31*0.95+0.05*Projects!$B$31*Assumptions!$B$10,Projects!$B$31*Assumptions!$B$10/Projects!$D$31*0.95),0)+IF(AND(Projects!$G$32="Yes",5&gt;=Projects!$C$32,5&lt;Projects!$C$32+Projects!$D$32),IF(5=Projects!$C$32+Projects!$D$32-1,Projects!$B$32*Assumptions!$B$10/Projects!$D$32*0.95+0.05*Projects!$B$32*Assumptions!$B$10,Projects!$B$32*Assumptions!$B$10/Projects!$D$32*0.95),0)+IF(AND(Projects!$G$33="Yes",5&gt;=Projects!$C$33,5&lt;Projects!$C$33+Projects!$D$33),IF(5=Projects!$C$33+Projects!$D$33-1,Projects!$B$33*Assumptions!$B$10/Projects!$D$33*0.95+0.05*Projects!$B$33*Assumptions!$B$10,Projects!$B$33*Assumptions!$B$10/Projects!$D$33*0.95),0)+IF(AND(Projects!$G$34="Yes",5&gt;=Projects!$C$34,5&lt;Projects!$C$34+Projects!$D$34),IF(5=Projects!$C$34+Projects!$D$34-1,Projects!$B$34*Assumptions!$B$10/Projects!$D$34*0.95+0.05*Projects!$B$34*Assumptions!$B$10,Projects!$B$34*Assumptions!$B$10/Projects!$D$34*0.95),0)+IF(AND(Projects!$G$35="Yes",5&gt;=Projects!$C$35,5&lt;Projects!$C$35+Projects!$D$35),IF(5=Projects!$C$35+Projects!$D$35-1,Projects!$B$35*Assumptions!$B$10/Projects!$D$35*0.95+0.05*Projects!$B$35*Assumptions!$B$10,Projects!$B$35*Assumptions!$B$10/Projects!$D$35*0.95),0)+IF(AND(Projects!$G$36="Yes",5&gt;=Projects!$C$36,5&lt;Projects!$C$36+Projects!$D$36),IF(5=Projects!$C$36+Projects!$D$36-1,Projects!$B$36*Assumptions!$B$10/Projects!$D$36*0.95+0.05*Projects!$B$36*Assumptions!$B$10,Projects!$B$36*Assumptions!$B$10/Projects!$D$36*0.95),0)+IF(AND(Projects!$G$37="Yes",5&gt;=Projects!$C$37,5&lt;Projects!$C$37+Projects!$D$37),IF(5=Projects!$C$37+Projects!$D$37-1,Projects!$B$37*Assumptions!$B$10/Projects!$D$37*0.95+0.05*Projects!$B$37*Assumptions!$B$10,Projects!$B$37*Assumptions!$B$10/Projects!$D$37*0.95),0)+IF(AND(Projects!$G$38="Yes",5&gt;=Projects!$C$38,5&lt;Projects!$C$38+Projects!$D$38),IF(5=Projects!$C$38+Projects!$D$38-1,Projects!$B$38*Assumptions!$B$10/Projects!$D$38*0.95+0.05*Projects!$B$38*Assumptions!$B$10,Projects!$B$38*Assumptions!$B$10/Projects!$D$38*0.95),0)+IF(AND(Projects!$G$39="Yes",5&gt;=Projects!$C$39,5&lt;Projects!$C$39+Projects!$D$39),IF(5=Projects!$C$39+Projects!$D$39-1,Projects!$B$39*Assumptions!$B$10/Projects!$D$39*0.95+0.05*Projects!$B$39*Assumptions!$B$10,Projects!$B$39*Assumptions!$B$10/Projects!$D$39*0.95),0)+IF(AND(Projects!$G$40="Yes",5&gt;=Projects!$C$40,5&lt;Projects!$C$40+Projects!$D$40),IF(5=Projects!$C$40+Projects!$D$40-1,Projects!$B$40*Assumptions!$B$10/Projects!$D$40*0.95+0.05*Projects!$B$40*Assumptions!$B$10,Projects!$B$40*Assumptions!$B$10/Projects!$D$40*0.95),0)+IF(AND(Projects!$G$41="Yes",5&gt;=Projects!$C$41,5&lt;Projects!$C$41+Projects!$D$41),IF(5=Projects!$C$41+Projects!$D$41-1,Projects!$B$41*Assumptions!$B$10/Projects!$D$41*0.95+0.05*Projects!$B$41*Assumptions!$B$10,Projects!$B$41*Assumptions!$B$10/Projects!$D$41*0.95),0)+IF(AND(Projects!$G$42="Yes",5&gt;=Projects!$C$42,5&lt;Projects!$C$42+Projects!$D$42),IF(5=Projects!$C$42+Projects!$D$42-1,Projects!$B$42*Assumptions!$B$10/Projects!$D$42*0.95+0.05*Projects!$B$42*Assumptions!$B$10,Projects!$B$42*Assumptions!$B$10/Projects!$D$42*0.95),0)+IF(AND(Projects!$G$43="Yes",5&gt;=Projects!$C$43,5&lt;Projects!$C$43+Projects!$D$43),IF(5=Projects!$C$43+Projects!$D$43-1,Projects!$B$43*Assumptions!$B$10/Projects!$D$43*0.95+0.05*Projects!$B$43*Assumptions!$B$10,Projects!$B$43*Assumptions!$B$10/Projects!$D$43*0.95),0)+IF(AND(Projects!$G$44="Yes",5&gt;=Projects!$C$44,5&lt;Projects!$C$44+Projects!$D$44),IF(5=Projects!$C$44+Projects!$D$44-1,Projects!$B$44*Assumptions!$B$10/Projects!$D$44*0.95+0.05*Projects!$B$44*Assumptions!$B$10,Projects!$B$44*Assumptions!$B$10/Projects!$D$44*0.95),0)+IF(AND(Projects!$G$45="Yes",5&gt;=Projects!$C$45,5&lt;Projects!$C$45+Projects!$D$45),IF(5=Projects!$C$45+Projects!$D$45-1,Projects!$B$45*Assumptions!$B$10/Projects!$D$45*0.95+0.05*Projects!$B$45*Assumptions!$B$10,Projects!$B$45*Assumptions!$B$10/Projects!$D$45*0.95),0)+IF(AND(Projects!$G$46="Yes",5&gt;=Projects!$C$46,5&lt;Projects!$C$46+Projects!$D$46),IF(5=Projects!$C$46+Projects!$D$46-1,Projects!$B$46*Assumptions!$B$10/Projects!$D$46*0.95+0.05*Projects!$B$46*Assumptions!$B$10,Projects!$B$46*Assumptions!$B$10/Projects!$D$46*0.95),0)</f>
        <v/>
      </c>
      <c r="H108">
        <f>IF(AND(Projects!$G$30="Yes",6&gt;=Projects!$C$30,6&lt;Projects!$C$30+Projects!$D$30),IF(6=Projects!$C$30+Projects!$D$30-1,Projects!$B$30*Assumptions!$B$10/Projects!$D$30*0.95+0.05*Projects!$B$30*Assumptions!$B$10,Projects!$B$30*Assumptions!$B$10/Projects!$D$30*0.95),0)+IF(AND(Projects!$G$31="Yes",6&gt;=Projects!$C$31,6&lt;Projects!$C$31+Projects!$D$31),IF(6=Projects!$C$31+Projects!$D$31-1,Projects!$B$31*Assumptions!$B$10/Projects!$D$31*0.95+0.05*Projects!$B$31*Assumptions!$B$10,Projects!$B$31*Assumptions!$B$10/Projects!$D$31*0.95),0)+IF(AND(Projects!$G$32="Yes",6&gt;=Projects!$C$32,6&lt;Projects!$C$32+Projects!$D$32),IF(6=Projects!$C$32+Projects!$D$32-1,Projects!$B$32*Assumptions!$B$10/Projects!$D$32*0.95+0.05*Projects!$B$32*Assumptions!$B$10,Projects!$B$32*Assumptions!$B$10/Projects!$D$32*0.95),0)+IF(AND(Projects!$G$33="Yes",6&gt;=Projects!$C$33,6&lt;Projects!$C$33+Projects!$D$33),IF(6=Projects!$C$33+Projects!$D$33-1,Projects!$B$33*Assumptions!$B$10/Projects!$D$33*0.95+0.05*Projects!$B$33*Assumptions!$B$10,Projects!$B$33*Assumptions!$B$10/Projects!$D$33*0.95),0)+IF(AND(Projects!$G$34="Yes",6&gt;=Projects!$C$34,6&lt;Projects!$C$34+Projects!$D$34),IF(6=Projects!$C$34+Projects!$D$34-1,Projects!$B$34*Assumptions!$B$10/Projects!$D$34*0.95+0.05*Projects!$B$34*Assumptions!$B$10,Projects!$B$34*Assumptions!$B$10/Projects!$D$34*0.95),0)+IF(AND(Projects!$G$35="Yes",6&gt;=Projects!$C$35,6&lt;Projects!$C$35+Projects!$D$35),IF(6=Projects!$C$35+Projects!$D$35-1,Projects!$B$35*Assumptions!$B$10/Projects!$D$35*0.95+0.05*Projects!$B$35*Assumptions!$B$10,Projects!$B$35*Assumptions!$B$10/Projects!$D$35*0.95),0)+IF(AND(Projects!$G$36="Yes",6&gt;=Projects!$C$36,6&lt;Projects!$C$36+Projects!$D$36),IF(6=Projects!$C$36+Projects!$D$36-1,Projects!$B$36*Assumptions!$B$10/Projects!$D$36*0.95+0.05*Projects!$B$36*Assumptions!$B$10,Projects!$B$36*Assumptions!$B$10/Projects!$D$36*0.95),0)+IF(AND(Projects!$G$37="Yes",6&gt;=Projects!$C$37,6&lt;Projects!$C$37+Projects!$D$37),IF(6=Projects!$C$37+Projects!$D$37-1,Projects!$B$37*Assumptions!$B$10/Projects!$D$37*0.95+0.05*Projects!$B$37*Assumptions!$B$10,Projects!$B$37*Assumptions!$B$10/Projects!$D$37*0.95),0)+IF(AND(Projects!$G$38="Yes",6&gt;=Projects!$C$38,6&lt;Projects!$C$38+Projects!$D$38),IF(6=Projects!$C$38+Projects!$D$38-1,Projects!$B$38*Assumptions!$B$10/Projects!$D$38*0.95+0.05*Projects!$B$38*Assumptions!$B$10,Projects!$B$38*Assumptions!$B$10/Projects!$D$38*0.95),0)+IF(AND(Projects!$G$39="Yes",6&gt;=Projects!$C$39,6&lt;Projects!$C$39+Projects!$D$39),IF(6=Projects!$C$39+Projects!$D$39-1,Projects!$B$39*Assumptions!$B$10/Projects!$D$39*0.95+0.05*Projects!$B$39*Assumptions!$B$10,Projects!$B$39*Assumptions!$B$10/Projects!$D$39*0.95),0)+IF(AND(Projects!$G$40="Yes",6&gt;=Projects!$C$40,6&lt;Projects!$C$40+Projects!$D$40),IF(6=Projects!$C$40+Projects!$D$40-1,Projects!$B$40*Assumptions!$B$10/Projects!$D$40*0.95+0.05*Projects!$B$40*Assumptions!$B$10,Projects!$B$40*Assumptions!$B$10/Projects!$D$40*0.95),0)+IF(AND(Projects!$G$41="Yes",6&gt;=Projects!$C$41,6&lt;Projects!$C$41+Projects!$D$41),IF(6=Projects!$C$41+Projects!$D$41-1,Projects!$B$41*Assumptions!$B$10/Projects!$D$41*0.95+0.05*Projects!$B$41*Assumptions!$B$10,Projects!$B$41*Assumptions!$B$10/Projects!$D$41*0.95),0)+IF(AND(Projects!$G$42="Yes",6&gt;=Projects!$C$42,6&lt;Projects!$C$42+Projects!$D$42),IF(6=Projects!$C$42+Projects!$D$42-1,Projects!$B$42*Assumptions!$B$10/Projects!$D$42*0.95+0.05*Projects!$B$42*Assumptions!$B$10,Projects!$B$42*Assumptions!$B$10/Projects!$D$42*0.95),0)+IF(AND(Projects!$G$43="Yes",6&gt;=Projects!$C$43,6&lt;Projects!$C$43+Projects!$D$43),IF(6=Projects!$C$43+Projects!$D$43-1,Projects!$B$43*Assumptions!$B$10/Projects!$D$43*0.95+0.05*Projects!$B$43*Assumptions!$B$10,Projects!$B$43*Assumptions!$B$10/Projects!$D$43*0.95),0)+IF(AND(Projects!$G$44="Yes",6&gt;=Projects!$C$44,6&lt;Projects!$C$44+Projects!$D$44),IF(6=Projects!$C$44+Projects!$D$44-1,Projects!$B$44*Assumptions!$B$10/Projects!$D$44*0.95+0.05*Projects!$B$44*Assumptions!$B$10,Projects!$B$44*Assumptions!$B$10/Projects!$D$44*0.95),0)+IF(AND(Projects!$G$45="Yes",6&gt;=Projects!$C$45,6&lt;Projects!$C$45+Projects!$D$45),IF(6=Projects!$C$45+Projects!$D$45-1,Projects!$B$45*Assumptions!$B$10/Projects!$D$45*0.95+0.05*Projects!$B$45*Assumptions!$B$10,Projects!$B$45*Assumptions!$B$10/Projects!$D$45*0.95),0)+IF(AND(Projects!$G$46="Yes",6&gt;=Projects!$C$46,6&lt;Projects!$C$46+Projects!$D$46),IF(6=Projects!$C$46+Projects!$D$46-1,Projects!$B$46*Assumptions!$B$10/Projects!$D$46*0.95+0.05*Projects!$B$46*Assumptions!$B$10,Projects!$B$46*Assumptions!$B$10/Projects!$D$46*0.95),0)</f>
        <v/>
      </c>
      <c r="I108">
        <f>IF(AND(Projects!$G$30="Yes",7&gt;=Projects!$C$30,7&lt;Projects!$C$30+Projects!$D$30),IF(7=Projects!$C$30+Projects!$D$30-1,Projects!$B$30*Assumptions!$B$10/Projects!$D$30*0.95+0.05*Projects!$B$30*Assumptions!$B$10,Projects!$B$30*Assumptions!$B$10/Projects!$D$30*0.95),0)+IF(AND(Projects!$G$31="Yes",7&gt;=Projects!$C$31,7&lt;Projects!$C$31+Projects!$D$31),IF(7=Projects!$C$31+Projects!$D$31-1,Projects!$B$31*Assumptions!$B$10/Projects!$D$31*0.95+0.05*Projects!$B$31*Assumptions!$B$10,Projects!$B$31*Assumptions!$B$10/Projects!$D$31*0.95),0)+IF(AND(Projects!$G$32="Yes",7&gt;=Projects!$C$32,7&lt;Projects!$C$32+Projects!$D$32),IF(7=Projects!$C$32+Projects!$D$32-1,Projects!$B$32*Assumptions!$B$10/Projects!$D$32*0.95+0.05*Projects!$B$32*Assumptions!$B$10,Projects!$B$32*Assumptions!$B$10/Projects!$D$32*0.95),0)+IF(AND(Projects!$G$33="Yes",7&gt;=Projects!$C$33,7&lt;Projects!$C$33+Projects!$D$33),IF(7=Projects!$C$33+Projects!$D$33-1,Projects!$B$33*Assumptions!$B$10/Projects!$D$33*0.95+0.05*Projects!$B$33*Assumptions!$B$10,Projects!$B$33*Assumptions!$B$10/Projects!$D$33*0.95),0)+IF(AND(Projects!$G$34="Yes",7&gt;=Projects!$C$34,7&lt;Projects!$C$34+Projects!$D$34),IF(7=Projects!$C$34+Projects!$D$34-1,Projects!$B$34*Assumptions!$B$10/Projects!$D$34*0.95+0.05*Projects!$B$34*Assumptions!$B$10,Projects!$B$34*Assumptions!$B$10/Projects!$D$34*0.95),0)+IF(AND(Projects!$G$35="Yes",7&gt;=Projects!$C$35,7&lt;Projects!$C$35+Projects!$D$35),IF(7=Projects!$C$35+Projects!$D$35-1,Projects!$B$35*Assumptions!$B$10/Projects!$D$35*0.95+0.05*Projects!$B$35*Assumptions!$B$10,Projects!$B$35*Assumptions!$B$10/Projects!$D$35*0.95),0)+IF(AND(Projects!$G$36="Yes",7&gt;=Projects!$C$36,7&lt;Projects!$C$36+Projects!$D$36),IF(7=Projects!$C$36+Projects!$D$36-1,Projects!$B$36*Assumptions!$B$10/Projects!$D$36*0.95+0.05*Projects!$B$36*Assumptions!$B$10,Projects!$B$36*Assumptions!$B$10/Projects!$D$36*0.95),0)+IF(AND(Projects!$G$37="Yes",7&gt;=Projects!$C$37,7&lt;Projects!$C$37+Projects!$D$37),IF(7=Projects!$C$37+Projects!$D$37-1,Projects!$B$37*Assumptions!$B$10/Projects!$D$37*0.95+0.05*Projects!$B$37*Assumptions!$B$10,Projects!$B$37*Assumptions!$B$10/Projects!$D$37*0.95),0)+IF(AND(Projects!$G$38="Yes",7&gt;=Projects!$C$38,7&lt;Projects!$C$38+Projects!$D$38),IF(7=Projects!$C$38+Projects!$D$38-1,Projects!$B$38*Assumptions!$B$10/Projects!$D$38*0.95+0.05*Projects!$B$38*Assumptions!$B$10,Projects!$B$38*Assumptions!$B$10/Projects!$D$38*0.95),0)+IF(AND(Projects!$G$39="Yes",7&gt;=Projects!$C$39,7&lt;Projects!$C$39+Projects!$D$39),IF(7=Projects!$C$39+Projects!$D$39-1,Projects!$B$39*Assumptions!$B$10/Projects!$D$39*0.95+0.05*Projects!$B$39*Assumptions!$B$10,Projects!$B$39*Assumptions!$B$10/Projects!$D$39*0.95),0)+IF(AND(Projects!$G$40="Yes",7&gt;=Projects!$C$40,7&lt;Projects!$C$40+Projects!$D$40),IF(7=Projects!$C$40+Projects!$D$40-1,Projects!$B$40*Assumptions!$B$10/Projects!$D$40*0.95+0.05*Projects!$B$40*Assumptions!$B$10,Projects!$B$40*Assumptions!$B$10/Projects!$D$40*0.95),0)+IF(AND(Projects!$G$41="Yes",7&gt;=Projects!$C$41,7&lt;Projects!$C$41+Projects!$D$41),IF(7=Projects!$C$41+Projects!$D$41-1,Projects!$B$41*Assumptions!$B$10/Projects!$D$41*0.95+0.05*Projects!$B$41*Assumptions!$B$10,Projects!$B$41*Assumptions!$B$10/Projects!$D$41*0.95),0)+IF(AND(Projects!$G$42="Yes",7&gt;=Projects!$C$42,7&lt;Projects!$C$42+Projects!$D$42),IF(7=Projects!$C$42+Projects!$D$42-1,Projects!$B$42*Assumptions!$B$10/Projects!$D$42*0.95+0.05*Projects!$B$42*Assumptions!$B$10,Projects!$B$42*Assumptions!$B$10/Projects!$D$42*0.95),0)+IF(AND(Projects!$G$43="Yes",7&gt;=Projects!$C$43,7&lt;Projects!$C$43+Projects!$D$43),IF(7=Projects!$C$43+Projects!$D$43-1,Projects!$B$43*Assumptions!$B$10/Projects!$D$43*0.95+0.05*Projects!$B$43*Assumptions!$B$10,Projects!$B$43*Assumptions!$B$10/Projects!$D$43*0.95),0)+IF(AND(Projects!$G$44="Yes",7&gt;=Projects!$C$44,7&lt;Projects!$C$44+Projects!$D$44),IF(7=Projects!$C$44+Projects!$D$44-1,Projects!$B$44*Assumptions!$B$10/Projects!$D$44*0.95+0.05*Projects!$B$44*Assumptions!$B$10,Projects!$B$44*Assumptions!$B$10/Projects!$D$44*0.95),0)+IF(AND(Projects!$G$45="Yes",7&gt;=Projects!$C$45,7&lt;Projects!$C$45+Projects!$D$45),IF(7=Projects!$C$45+Projects!$D$45-1,Projects!$B$45*Assumptions!$B$10/Projects!$D$45*0.95+0.05*Projects!$B$45*Assumptions!$B$10,Projects!$B$45*Assumptions!$B$10/Projects!$D$45*0.95),0)+IF(AND(Projects!$G$46="Yes",7&gt;=Projects!$C$46,7&lt;Projects!$C$46+Projects!$D$46),IF(7=Projects!$C$46+Projects!$D$46-1,Projects!$B$46*Assumptions!$B$10/Projects!$D$46*0.95+0.05*Projects!$B$46*Assumptions!$B$10,Projects!$B$46*Assumptions!$B$10/Projects!$D$46*0.95),0)</f>
        <v/>
      </c>
      <c r="J108">
        <f>IF(AND(Projects!$G$30="Yes",8&gt;=Projects!$C$30,8&lt;Projects!$C$30+Projects!$D$30),IF(8=Projects!$C$30+Projects!$D$30-1,Projects!$B$30*Assumptions!$B$10/Projects!$D$30*0.95+0.05*Projects!$B$30*Assumptions!$B$10,Projects!$B$30*Assumptions!$B$10/Projects!$D$30*0.95),0)+IF(AND(Projects!$G$31="Yes",8&gt;=Projects!$C$31,8&lt;Projects!$C$31+Projects!$D$31),IF(8=Projects!$C$31+Projects!$D$31-1,Projects!$B$31*Assumptions!$B$10/Projects!$D$31*0.95+0.05*Projects!$B$31*Assumptions!$B$10,Projects!$B$31*Assumptions!$B$10/Projects!$D$31*0.95),0)+IF(AND(Projects!$G$32="Yes",8&gt;=Projects!$C$32,8&lt;Projects!$C$32+Projects!$D$32),IF(8=Projects!$C$32+Projects!$D$32-1,Projects!$B$32*Assumptions!$B$10/Projects!$D$32*0.95+0.05*Projects!$B$32*Assumptions!$B$10,Projects!$B$32*Assumptions!$B$10/Projects!$D$32*0.95),0)+IF(AND(Projects!$G$33="Yes",8&gt;=Projects!$C$33,8&lt;Projects!$C$33+Projects!$D$33),IF(8=Projects!$C$33+Projects!$D$33-1,Projects!$B$33*Assumptions!$B$10/Projects!$D$33*0.95+0.05*Projects!$B$33*Assumptions!$B$10,Projects!$B$33*Assumptions!$B$10/Projects!$D$33*0.95),0)+IF(AND(Projects!$G$34="Yes",8&gt;=Projects!$C$34,8&lt;Projects!$C$34+Projects!$D$34),IF(8=Projects!$C$34+Projects!$D$34-1,Projects!$B$34*Assumptions!$B$10/Projects!$D$34*0.95+0.05*Projects!$B$34*Assumptions!$B$10,Projects!$B$34*Assumptions!$B$10/Projects!$D$34*0.95),0)+IF(AND(Projects!$G$35="Yes",8&gt;=Projects!$C$35,8&lt;Projects!$C$35+Projects!$D$35),IF(8=Projects!$C$35+Projects!$D$35-1,Projects!$B$35*Assumptions!$B$10/Projects!$D$35*0.95+0.05*Projects!$B$35*Assumptions!$B$10,Projects!$B$35*Assumptions!$B$10/Projects!$D$35*0.95),0)+IF(AND(Projects!$G$36="Yes",8&gt;=Projects!$C$36,8&lt;Projects!$C$36+Projects!$D$36),IF(8=Projects!$C$36+Projects!$D$36-1,Projects!$B$36*Assumptions!$B$10/Projects!$D$36*0.95+0.05*Projects!$B$36*Assumptions!$B$10,Projects!$B$36*Assumptions!$B$10/Projects!$D$36*0.95),0)+IF(AND(Projects!$G$37="Yes",8&gt;=Projects!$C$37,8&lt;Projects!$C$37+Projects!$D$37),IF(8=Projects!$C$37+Projects!$D$37-1,Projects!$B$37*Assumptions!$B$10/Projects!$D$37*0.95+0.05*Projects!$B$37*Assumptions!$B$10,Projects!$B$37*Assumptions!$B$10/Projects!$D$37*0.95),0)+IF(AND(Projects!$G$38="Yes",8&gt;=Projects!$C$38,8&lt;Projects!$C$38+Projects!$D$38),IF(8=Projects!$C$38+Projects!$D$38-1,Projects!$B$38*Assumptions!$B$10/Projects!$D$38*0.95+0.05*Projects!$B$38*Assumptions!$B$10,Projects!$B$38*Assumptions!$B$10/Projects!$D$38*0.95),0)+IF(AND(Projects!$G$39="Yes",8&gt;=Projects!$C$39,8&lt;Projects!$C$39+Projects!$D$39),IF(8=Projects!$C$39+Projects!$D$39-1,Projects!$B$39*Assumptions!$B$10/Projects!$D$39*0.95+0.05*Projects!$B$39*Assumptions!$B$10,Projects!$B$39*Assumptions!$B$10/Projects!$D$39*0.95),0)+IF(AND(Projects!$G$40="Yes",8&gt;=Projects!$C$40,8&lt;Projects!$C$40+Projects!$D$40),IF(8=Projects!$C$40+Projects!$D$40-1,Projects!$B$40*Assumptions!$B$10/Projects!$D$40*0.95+0.05*Projects!$B$40*Assumptions!$B$10,Projects!$B$40*Assumptions!$B$10/Projects!$D$40*0.95),0)+IF(AND(Projects!$G$41="Yes",8&gt;=Projects!$C$41,8&lt;Projects!$C$41+Projects!$D$41),IF(8=Projects!$C$41+Projects!$D$41-1,Projects!$B$41*Assumptions!$B$10/Projects!$D$41*0.95+0.05*Projects!$B$41*Assumptions!$B$10,Projects!$B$41*Assumptions!$B$10/Projects!$D$41*0.95),0)+IF(AND(Projects!$G$42="Yes",8&gt;=Projects!$C$42,8&lt;Projects!$C$42+Projects!$D$42),IF(8=Projects!$C$42+Projects!$D$42-1,Projects!$B$42*Assumptions!$B$10/Projects!$D$42*0.95+0.05*Projects!$B$42*Assumptions!$B$10,Projects!$B$42*Assumptions!$B$10/Projects!$D$42*0.95),0)+IF(AND(Projects!$G$43="Yes",8&gt;=Projects!$C$43,8&lt;Projects!$C$43+Projects!$D$43),IF(8=Projects!$C$43+Projects!$D$43-1,Projects!$B$43*Assumptions!$B$10/Projects!$D$43*0.95+0.05*Projects!$B$43*Assumptions!$B$10,Projects!$B$43*Assumptions!$B$10/Projects!$D$43*0.95),0)+IF(AND(Projects!$G$44="Yes",8&gt;=Projects!$C$44,8&lt;Projects!$C$44+Projects!$D$44),IF(8=Projects!$C$44+Projects!$D$44-1,Projects!$B$44*Assumptions!$B$10/Projects!$D$44*0.95+0.05*Projects!$B$44*Assumptions!$B$10,Projects!$B$44*Assumptions!$B$10/Projects!$D$44*0.95),0)+IF(AND(Projects!$G$45="Yes",8&gt;=Projects!$C$45,8&lt;Projects!$C$45+Projects!$D$45),IF(8=Projects!$C$45+Projects!$D$45-1,Projects!$B$45*Assumptions!$B$10/Projects!$D$45*0.95+0.05*Projects!$B$45*Assumptions!$B$10,Projects!$B$45*Assumptions!$B$10/Projects!$D$45*0.95),0)+IF(AND(Projects!$G$46="Yes",8&gt;=Projects!$C$46,8&lt;Projects!$C$46+Projects!$D$46),IF(8=Projects!$C$46+Projects!$D$46-1,Projects!$B$46*Assumptions!$B$10/Projects!$D$46*0.95+0.05*Projects!$B$46*Assumptions!$B$10,Projects!$B$46*Assumptions!$B$10/Projects!$D$46*0.95),0)</f>
        <v/>
      </c>
      <c r="K108">
        <f>IF(AND(Projects!$G$30="Yes",9&gt;=Projects!$C$30,9&lt;Projects!$C$30+Projects!$D$30),IF(9=Projects!$C$30+Projects!$D$30-1,Projects!$B$30*Assumptions!$B$10/Projects!$D$30*0.95+0.05*Projects!$B$30*Assumptions!$B$10,Projects!$B$30*Assumptions!$B$10/Projects!$D$30*0.95),0)+IF(AND(Projects!$G$31="Yes",9&gt;=Projects!$C$31,9&lt;Projects!$C$31+Projects!$D$31),IF(9=Projects!$C$31+Projects!$D$31-1,Projects!$B$31*Assumptions!$B$10/Projects!$D$31*0.95+0.05*Projects!$B$31*Assumptions!$B$10,Projects!$B$31*Assumptions!$B$10/Projects!$D$31*0.95),0)+IF(AND(Projects!$G$32="Yes",9&gt;=Projects!$C$32,9&lt;Projects!$C$32+Projects!$D$32),IF(9=Projects!$C$32+Projects!$D$32-1,Projects!$B$32*Assumptions!$B$10/Projects!$D$32*0.95+0.05*Projects!$B$32*Assumptions!$B$10,Projects!$B$32*Assumptions!$B$10/Projects!$D$32*0.95),0)+IF(AND(Projects!$G$33="Yes",9&gt;=Projects!$C$33,9&lt;Projects!$C$33+Projects!$D$33),IF(9=Projects!$C$33+Projects!$D$33-1,Projects!$B$33*Assumptions!$B$10/Projects!$D$33*0.95+0.05*Projects!$B$33*Assumptions!$B$10,Projects!$B$33*Assumptions!$B$10/Projects!$D$33*0.95),0)+IF(AND(Projects!$G$34="Yes",9&gt;=Projects!$C$34,9&lt;Projects!$C$34+Projects!$D$34),IF(9=Projects!$C$34+Projects!$D$34-1,Projects!$B$34*Assumptions!$B$10/Projects!$D$34*0.95+0.05*Projects!$B$34*Assumptions!$B$10,Projects!$B$34*Assumptions!$B$10/Projects!$D$34*0.95),0)+IF(AND(Projects!$G$35="Yes",9&gt;=Projects!$C$35,9&lt;Projects!$C$35+Projects!$D$35),IF(9=Projects!$C$35+Projects!$D$35-1,Projects!$B$35*Assumptions!$B$10/Projects!$D$35*0.95+0.05*Projects!$B$35*Assumptions!$B$10,Projects!$B$35*Assumptions!$B$10/Projects!$D$35*0.95),0)+IF(AND(Projects!$G$36="Yes",9&gt;=Projects!$C$36,9&lt;Projects!$C$36+Projects!$D$36),IF(9=Projects!$C$36+Projects!$D$36-1,Projects!$B$36*Assumptions!$B$10/Projects!$D$36*0.95+0.05*Projects!$B$36*Assumptions!$B$10,Projects!$B$36*Assumptions!$B$10/Projects!$D$36*0.95),0)+IF(AND(Projects!$G$37="Yes",9&gt;=Projects!$C$37,9&lt;Projects!$C$37+Projects!$D$37),IF(9=Projects!$C$37+Projects!$D$37-1,Projects!$B$37*Assumptions!$B$10/Projects!$D$37*0.95+0.05*Projects!$B$37*Assumptions!$B$10,Projects!$B$37*Assumptions!$B$10/Projects!$D$37*0.95),0)+IF(AND(Projects!$G$38="Yes",9&gt;=Projects!$C$38,9&lt;Projects!$C$38+Projects!$D$38),IF(9=Projects!$C$38+Projects!$D$38-1,Projects!$B$38*Assumptions!$B$10/Projects!$D$38*0.95+0.05*Projects!$B$38*Assumptions!$B$10,Projects!$B$38*Assumptions!$B$10/Projects!$D$38*0.95),0)+IF(AND(Projects!$G$39="Yes",9&gt;=Projects!$C$39,9&lt;Projects!$C$39+Projects!$D$39),IF(9=Projects!$C$39+Projects!$D$39-1,Projects!$B$39*Assumptions!$B$10/Projects!$D$39*0.95+0.05*Projects!$B$39*Assumptions!$B$10,Projects!$B$39*Assumptions!$B$10/Projects!$D$39*0.95),0)+IF(AND(Projects!$G$40="Yes",9&gt;=Projects!$C$40,9&lt;Projects!$C$40+Projects!$D$40),IF(9=Projects!$C$40+Projects!$D$40-1,Projects!$B$40*Assumptions!$B$10/Projects!$D$40*0.95+0.05*Projects!$B$40*Assumptions!$B$10,Projects!$B$40*Assumptions!$B$10/Projects!$D$40*0.95),0)+IF(AND(Projects!$G$41="Yes",9&gt;=Projects!$C$41,9&lt;Projects!$C$41+Projects!$D$41),IF(9=Projects!$C$41+Projects!$D$41-1,Projects!$B$41*Assumptions!$B$10/Projects!$D$41*0.95+0.05*Projects!$B$41*Assumptions!$B$10,Projects!$B$41*Assumptions!$B$10/Projects!$D$41*0.95),0)+IF(AND(Projects!$G$42="Yes",9&gt;=Projects!$C$42,9&lt;Projects!$C$42+Projects!$D$42),IF(9=Projects!$C$42+Projects!$D$42-1,Projects!$B$42*Assumptions!$B$10/Projects!$D$42*0.95+0.05*Projects!$B$42*Assumptions!$B$10,Projects!$B$42*Assumptions!$B$10/Projects!$D$42*0.95),0)+IF(AND(Projects!$G$43="Yes",9&gt;=Projects!$C$43,9&lt;Projects!$C$43+Projects!$D$43),IF(9=Projects!$C$43+Projects!$D$43-1,Projects!$B$43*Assumptions!$B$10/Projects!$D$43*0.95+0.05*Projects!$B$43*Assumptions!$B$10,Projects!$B$43*Assumptions!$B$10/Projects!$D$43*0.95),0)+IF(AND(Projects!$G$44="Yes",9&gt;=Projects!$C$44,9&lt;Projects!$C$44+Projects!$D$44),IF(9=Projects!$C$44+Projects!$D$44-1,Projects!$B$44*Assumptions!$B$10/Projects!$D$44*0.95+0.05*Projects!$B$44*Assumptions!$B$10,Projects!$B$44*Assumptions!$B$10/Projects!$D$44*0.95),0)+IF(AND(Projects!$G$45="Yes",9&gt;=Projects!$C$45,9&lt;Projects!$C$45+Projects!$D$45),IF(9=Projects!$C$45+Projects!$D$45-1,Projects!$B$45*Assumptions!$B$10/Projects!$D$45*0.95+0.05*Projects!$B$45*Assumptions!$B$10,Projects!$B$45*Assumptions!$B$10/Projects!$D$45*0.95),0)+IF(AND(Projects!$G$46="Yes",9&gt;=Projects!$C$46,9&lt;Projects!$C$46+Projects!$D$46),IF(9=Projects!$C$46+Projects!$D$46-1,Projects!$B$46*Assumptions!$B$10/Projects!$D$46*0.95+0.05*Projects!$B$46*Assumptions!$B$10,Projects!$B$46*Assumptions!$B$10/Projects!$D$46*0.95),0)</f>
        <v/>
      </c>
      <c r="L108">
        <f>IF(AND(Projects!$G$30="Yes",10&gt;=Projects!$C$30,10&lt;Projects!$C$30+Projects!$D$30),IF(10=Projects!$C$30+Projects!$D$30-1,Projects!$B$30*Assumptions!$B$10/Projects!$D$30*0.95+0.05*Projects!$B$30*Assumptions!$B$10,Projects!$B$30*Assumptions!$B$10/Projects!$D$30*0.95),0)+IF(AND(Projects!$G$31="Yes",10&gt;=Projects!$C$31,10&lt;Projects!$C$31+Projects!$D$31),IF(10=Projects!$C$31+Projects!$D$31-1,Projects!$B$31*Assumptions!$B$10/Projects!$D$31*0.95+0.05*Projects!$B$31*Assumptions!$B$10,Projects!$B$31*Assumptions!$B$10/Projects!$D$31*0.95),0)+IF(AND(Projects!$G$32="Yes",10&gt;=Projects!$C$32,10&lt;Projects!$C$32+Projects!$D$32),IF(10=Projects!$C$32+Projects!$D$32-1,Projects!$B$32*Assumptions!$B$10/Projects!$D$32*0.95+0.05*Projects!$B$32*Assumptions!$B$10,Projects!$B$32*Assumptions!$B$10/Projects!$D$32*0.95),0)+IF(AND(Projects!$G$33="Yes",10&gt;=Projects!$C$33,10&lt;Projects!$C$33+Projects!$D$33),IF(10=Projects!$C$33+Projects!$D$33-1,Projects!$B$33*Assumptions!$B$10/Projects!$D$33*0.95+0.05*Projects!$B$33*Assumptions!$B$10,Projects!$B$33*Assumptions!$B$10/Projects!$D$33*0.95),0)+IF(AND(Projects!$G$34="Yes",10&gt;=Projects!$C$34,10&lt;Projects!$C$34+Projects!$D$34),IF(10=Projects!$C$34+Projects!$D$34-1,Projects!$B$34*Assumptions!$B$10/Projects!$D$34*0.95+0.05*Projects!$B$34*Assumptions!$B$10,Projects!$B$34*Assumptions!$B$10/Projects!$D$34*0.95),0)+IF(AND(Projects!$G$35="Yes",10&gt;=Projects!$C$35,10&lt;Projects!$C$35+Projects!$D$35),IF(10=Projects!$C$35+Projects!$D$35-1,Projects!$B$35*Assumptions!$B$10/Projects!$D$35*0.95+0.05*Projects!$B$35*Assumptions!$B$10,Projects!$B$35*Assumptions!$B$10/Projects!$D$35*0.95),0)+IF(AND(Projects!$G$36="Yes",10&gt;=Projects!$C$36,10&lt;Projects!$C$36+Projects!$D$36),IF(10=Projects!$C$36+Projects!$D$36-1,Projects!$B$36*Assumptions!$B$10/Projects!$D$36*0.95+0.05*Projects!$B$36*Assumptions!$B$10,Projects!$B$36*Assumptions!$B$10/Projects!$D$36*0.95),0)+IF(AND(Projects!$G$37="Yes",10&gt;=Projects!$C$37,10&lt;Projects!$C$37+Projects!$D$37),IF(10=Projects!$C$37+Projects!$D$37-1,Projects!$B$37*Assumptions!$B$10/Projects!$D$37*0.95+0.05*Projects!$B$37*Assumptions!$B$10,Projects!$B$37*Assumptions!$B$10/Projects!$D$37*0.95),0)+IF(AND(Projects!$G$38="Yes",10&gt;=Projects!$C$38,10&lt;Projects!$C$38+Projects!$D$38),IF(10=Projects!$C$38+Projects!$D$38-1,Projects!$B$38*Assumptions!$B$10/Projects!$D$38*0.95+0.05*Projects!$B$38*Assumptions!$B$10,Projects!$B$38*Assumptions!$B$10/Projects!$D$38*0.95),0)+IF(AND(Projects!$G$39="Yes",10&gt;=Projects!$C$39,10&lt;Projects!$C$39+Projects!$D$39),IF(10=Projects!$C$39+Projects!$D$39-1,Projects!$B$39*Assumptions!$B$10/Projects!$D$39*0.95+0.05*Projects!$B$39*Assumptions!$B$10,Projects!$B$39*Assumptions!$B$10/Projects!$D$39*0.95),0)+IF(AND(Projects!$G$40="Yes",10&gt;=Projects!$C$40,10&lt;Projects!$C$40+Projects!$D$40),IF(10=Projects!$C$40+Projects!$D$40-1,Projects!$B$40*Assumptions!$B$10/Projects!$D$40*0.95+0.05*Projects!$B$40*Assumptions!$B$10,Projects!$B$40*Assumptions!$B$10/Projects!$D$40*0.95),0)+IF(AND(Projects!$G$41="Yes",10&gt;=Projects!$C$41,10&lt;Projects!$C$41+Projects!$D$41),IF(10=Projects!$C$41+Projects!$D$41-1,Projects!$B$41*Assumptions!$B$10/Projects!$D$41*0.95+0.05*Projects!$B$41*Assumptions!$B$10,Projects!$B$41*Assumptions!$B$10/Projects!$D$41*0.95),0)+IF(AND(Projects!$G$42="Yes",10&gt;=Projects!$C$42,10&lt;Projects!$C$42+Projects!$D$42),IF(10=Projects!$C$42+Projects!$D$42-1,Projects!$B$42*Assumptions!$B$10/Projects!$D$42*0.95+0.05*Projects!$B$42*Assumptions!$B$10,Projects!$B$42*Assumptions!$B$10/Projects!$D$42*0.95),0)+IF(AND(Projects!$G$43="Yes",10&gt;=Projects!$C$43,10&lt;Projects!$C$43+Projects!$D$43),IF(10=Projects!$C$43+Projects!$D$43-1,Projects!$B$43*Assumptions!$B$10/Projects!$D$43*0.95+0.05*Projects!$B$43*Assumptions!$B$10,Projects!$B$43*Assumptions!$B$10/Projects!$D$43*0.95),0)+IF(AND(Projects!$G$44="Yes",10&gt;=Projects!$C$44,10&lt;Projects!$C$44+Projects!$D$44),IF(10=Projects!$C$44+Projects!$D$44-1,Projects!$B$44*Assumptions!$B$10/Projects!$D$44*0.95+0.05*Projects!$B$44*Assumptions!$B$10,Projects!$B$44*Assumptions!$B$10/Projects!$D$44*0.95),0)+IF(AND(Projects!$G$45="Yes",10&gt;=Projects!$C$45,10&lt;Projects!$C$45+Projects!$D$45),IF(10=Projects!$C$45+Projects!$D$45-1,Projects!$B$45*Assumptions!$B$10/Projects!$D$45*0.95+0.05*Projects!$B$45*Assumptions!$B$10,Projects!$B$45*Assumptions!$B$10/Projects!$D$45*0.95),0)+IF(AND(Projects!$G$46="Yes",10&gt;=Projects!$C$46,10&lt;Projects!$C$46+Projects!$D$46),IF(10=Projects!$C$46+Projects!$D$46-1,Projects!$B$46*Assumptions!$B$10/Projects!$D$46*0.95+0.05*Projects!$B$46*Assumptions!$B$10,Projects!$B$46*Assumptions!$B$10/Projects!$D$46*0.95),0)</f>
        <v/>
      </c>
      <c r="M108">
        <f>IF(AND(Projects!$G$30="Yes",11&gt;=Projects!$C$30,11&lt;Projects!$C$30+Projects!$D$30),IF(11=Projects!$C$30+Projects!$D$30-1,Projects!$B$30*Assumptions!$B$10/Projects!$D$30*0.95+0.05*Projects!$B$30*Assumptions!$B$10,Projects!$B$30*Assumptions!$B$10/Projects!$D$30*0.95),0)+IF(AND(Projects!$G$31="Yes",11&gt;=Projects!$C$31,11&lt;Projects!$C$31+Projects!$D$31),IF(11=Projects!$C$31+Projects!$D$31-1,Projects!$B$31*Assumptions!$B$10/Projects!$D$31*0.95+0.05*Projects!$B$31*Assumptions!$B$10,Projects!$B$31*Assumptions!$B$10/Projects!$D$31*0.95),0)+IF(AND(Projects!$G$32="Yes",11&gt;=Projects!$C$32,11&lt;Projects!$C$32+Projects!$D$32),IF(11=Projects!$C$32+Projects!$D$32-1,Projects!$B$32*Assumptions!$B$10/Projects!$D$32*0.95+0.05*Projects!$B$32*Assumptions!$B$10,Projects!$B$32*Assumptions!$B$10/Projects!$D$32*0.95),0)+IF(AND(Projects!$G$33="Yes",11&gt;=Projects!$C$33,11&lt;Projects!$C$33+Projects!$D$33),IF(11=Projects!$C$33+Projects!$D$33-1,Projects!$B$33*Assumptions!$B$10/Projects!$D$33*0.95+0.05*Projects!$B$33*Assumptions!$B$10,Projects!$B$33*Assumptions!$B$10/Projects!$D$33*0.95),0)+IF(AND(Projects!$G$34="Yes",11&gt;=Projects!$C$34,11&lt;Projects!$C$34+Projects!$D$34),IF(11=Projects!$C$34+Projects!$D$34-1,Projects!$B$34*Assumptions!$B$10/Projects!$D$34*0.95+0.05*Projects!$B$34*Assumptions!$B$10,Projects!$B$34*Assumptions!$B$10/Projects!$D$34*0.95),0)+IF(AND(Projects!$G$35="Yes",11&gt;=Projects!$C$35,11&lt;Projects!$C$35+Projects!$D$35),IF(11=Projects!$C$35+Projects!$D$35-1,Projects!$B$35*Assumptions!$B$10/Projects!$D$35*0.95+0.05*Projects!$B$35*Assumptions!$B$10,Projects!$B$35*Assumptions!$B$10/Projects!$D$35*0.95),0)+IF(AND(Projects!$G$36="Yes",11&gt;=Projects!$C$36,11&lt;Projects!$C$36+Projects!$D$36),IF(11=Projects!$C$36+Projects!$D$36-1,Projects!$B$36*Assumptions!$B$10/Projects!$D$36*0.95+0.05*Projects!$B$36*Assumptions!$B$10,Projects!$B$36*Assumptions!$B$10/Projects!$D$36*0.95),0)+IF(AND(Projects!$G$37="Yes",11&gt;=Projects!$C$37,11&lt;Projects!$C$37+Projects!$D$37),IF(11=Projects!$C$37+Projects!$D$37-1,Projects!$B$37*Assumptions!$B$10/Projects!$D$37*0.95+0.05*Projects!$B$37*Assumptions!$B$10,Projects!$B$37*Assumptions!$B$10/Projects!$D$37*0.95),0)+IF(AND(Projects!$G$38="Yes",11&gt;=Projects!$C$38,11&lt;Projects!$C$38+Projects!$D$38),IF(11=Projects!$C$38+Projects!$D$38-1,Projects!$B$38*Assumptions!$B$10/Projects!$D$38*0.95+0.05*Projects!$B$38*Assumptions!$B$10,Projects!$B$38*Assumptions!$B$10/Projects!$D$38*0.95),0)+IF(AND(Projects!$G$39="Yes",11&gt;=Projects!$C$39,11&lt;Projects!$C$39+Projects!$D$39),IF(11=Projects!$C$39+Projects!$D$39-1,Projects!$B$39*Assumptions!$B$10/Projects!$D$39*0.95+0.05*Projects!$B$39*Assumptions!$B$10,Projects!$B$39*Assumptions!$B$10/Projects!$D$39*0.95),0)+IF(AND(Projects!$G$40="Yes",11&gt;=Projects!$C$40,11&lt;Projects!$C$40+Projects!$D$40),IF(11=Projects!$C$40+Projects!$D$40-1,Projects!$B$40*Assumptions!$B$10/Projects!$D$40*0.95+0.05*Projects!$B$40*Assumptions!$B$10,Projects!$B$40*Assumptions!$B$10/Projects!$D$40*0.95),0)+IF(AND(Projects!$G$41="Yes",11&gt;=Projects!$C$41,11&lt;Projects!$C$41+Projects!$D$41),IF(11=Projects!$C$41+Projects!$D$41-1,Projects!$B$41*Assumptions!$B$10/Projects!$D$41*0.95+0.05*Projects!$B$41*Assumptions!$B$10,Projects!$B$41*Assumptions!$B$10/Projects!$D$41*0.95),0)+IF(AND(Projects!$G$42="Yes",11&gt;=Projects!$C$42,11&lt;Projects!$C$42+Projects!$D$42),IF(11=Projects!$C$42+Projects!$D$42-1,Projects!$B$42*Assumptions!$B$10/Projects!$D$42*0.95+0.05*Projects!$B$42*Assumptions!$B$10,Projects!$B$42*Assumptions!$B$10/Projects!$D$42*0.95),0)+IF(AND(Projects!$G$43="Yes",11&gt;=Projects!$C$43,11&lt;Projects!$C$43+Projects!$D$43),IF(11=Projects!$C$43+Projects!$D$43-1,Projects!$B$43*Assumptions!$B$10/Projects!$D$43*0.95+0.05*Projects!$B$43*Assumptions!$B$10,Projects!$B$43*Assumptions!$B$10/Projects!$D$43*0.95),0)+IF(AND(Projects!$G$44="Yes",11&gt;=Projects!$C$44,11&lt;Projects!$C$44+Projects!$D$44),IF(11=Projects!$C$44+Projects!$D$44-1,Projects!$B$44*Assumptions!$B$10/Projects!$D$44*0.95+0.05*Projects!$B$44*Assumptions!$B$10,Projects!$B$44*Assumptions!$B$10/Projects!$D$44*0.95),0)+IF(AND(Projects!$G$45="Yes",11&gt;=Projects!$C$45,11&lt;Projects!$C$45+Projects!$D$45),IF(11=Projects!$C$45+Projects!$D$45-1,Projects!$B$45*Assumptions!$B$10/Projects!$D$45*0.95+0.05*Projects!$B$45*Assumptions!$B$10,Projects!$B$45*Assumptions!$B$10/Projects!$D$45*0.95),0)+IF(AND(Projects!$G$46="Yes",11&gt;=Projects!$C$46,11&lt;Projects!$C$46+Projects!$D$46),IF(11=Projects!$C$46+Projects!$D$46-1,Projects!$B$46*Assumptions!$B$10/Projects!$D$46*0.95+0.05*Projects!$B$46*Assumptions!$B$10,Projects!$B$46*Assumptions!$B$10/Projects!$D$46*0.95),0)</f>
        <v/>
      </c>
      <c r="N108">
        <f>IF(AND(Projects!$G$30="Yes",12&gt;=Projects!$C$30,12&lt;Projects!$C$30+Projects!$D$30),IF(12=Projects!$C$30+Projects!$D$30-1,Projects!$B$30*Assumptions!$B$10/Projects!$D$30*0.95+0.05*Projects!$B$30*Assumptions!$B$10,Projects!$B$30*Assumptions!$B$10/Projects!$D$30*0.95),0)+IF(AND(Projects!$G$31="Yes",12&gt;=Projects!$C$31,12&lt;Projects!$C$31+Projects!$D$31),IF(12=Projects!$C$31+Projects!$D$31-1,Projects!$B$31*Assumptions!$B$10/Projects!$D$31*0.95+0.05*Projects!$B$31*Assumptions!$B$10,Projects!$B$31*Assumptions!$B$10/Projects!$D$31*0.95),0)+IF(AND(Projects!$G$32="Yes",12&gt;=Projects!$C$32,12&lt;Projects!$C$32+Projects!$D$32),IF(12=Projects!$C$32+Projects!$D$32-1,Projects!$B$32*Assumptions!$B$10/Projects!$D$32*0.95+0.05*Projects!$B$32*Assumptions!$B$10,Projects!$B$32*Assumptions!$B$10/Projects!$D$32*0.95),0)+IF(AND(Projects!$G$33="Yes",12&gt;=Projects!$C$33,12&lt;Projects!$C$33+Projects!$D$33),IF(12=Projects!$C$33+Projects!$D$33-1,Projects!$B$33*Assumptions!$B$10/Projects!$D$33*0.95+0.05*Projects!$B$33*Assumptions!$B$10,Projects!$B$33*Assumptions!$B$10/Projects!$D$33*0.95),0)+IF(AND(Projects!$G$34="Yes",12&gt;=Projects!$C$34,12&lt;Projects!$C$34+Projects!$D$34),IF(12=Projects!$C$34+Projects!$D$34-1,Projects!$B$34*Assumptions!$B$10/Projects!$D$34*0.95+0.05*Projects!$B$34*Assumptions!$B$10,Projects!$B$34*Assumptions!$B$10/Projects!$D$34*0.95),0)+IF(AND(Projects!$G$35="Yes",12&gt;=Projects!$C$35,12&lt;Projects!$C$35+Projects!$D$35),IF(12=Projects!$C$35+Projects!$D$35-1,Projects!$B$35*Assumptions!$B$10/Projects!$D$35*0.95+0.05*Projects!$B$35*Assumptions!$B$10,Projects!$B$35*Assumptions!$B$10/Projects!$D$35*0.95),0)+IF(AND(Projects!$G$36="Yes",12&gt;=Projects!$C$36,12&lt;Projects!$C$36+Projects!$D$36),IF(12=Projects!$C$36+Projects!$D$36-1,Projects!$B$36*Assumptions!$B$10/Projects!$D$36*0.95+0.05*Projects!$B$36*Assumptions!$B$10,Projects!$B$36*Assumptions!$B$10/Projects!$D$36*0.95),0)+IF(AND(Projects!$G$37="Yes",12&gt;=Projects!$C$37,12&lt;Projects!$C$37+Projects!$D$37),IF(12=Projects!$C$37+Projects!$D$37-1,Projects!$B$37*Assumptions!$B$10/Projects!$D$37*0.95+0.05*Projects!$B$37*Assumptions!$B$10,Projects!$B$37*Assumptions!$B$10/Projects!$D$37*0.95),0)+IF(AND(Projects!$G$38="Yes",12&gt;=Projects!$C$38,12&lt;Projects!$C$38+Projects!$D$38),IF(12=Projects!$C$38+Projects!$D$38-1,Projects!$B$38*Assumptions!$B$10/Projects!$D$38*0.95+0.05*Projects!$B$38*Assumptions!$B$10,Projects!$B$38*Assumptions!$B$10/Projects!$D$38*0.95),0)+IF(AND(Projects!$G$39="Yes",12&gt;=Projects!$C$39,12&lt;Projects!$C$39+Projects!$D$39),IF(12=Projects!$C$39+Projects!$D$39-1,Projects!$B$39*Assumptions!$B$10/Projects!$D$39*0.95+0.05*Projects!$B$39*Assumptions!$B$10,Projects!$B$39*Assumptions!$B$10/Projects!$D$39*0.95),0)+IF(AND(Projects!$G$40="Yes",12&gt;=Projects!$C$40,12&lt;Projects!$C$40+Projects!$D$40),IF(12=Projects!$C$40+Projects!$D$40-1,Projects!$B$40*Assumptions!$B$10/Projects!$D$40*0.95+0.05*Projects!$B$40*Assumptions!$B$10,Projects!$B$40*Assumptions!$B$10/Projects!$D$40*0.95),0)+IF(AND(Projects!$G$41="Yes",12&gt;=Projects!$C$41,12&lt;Projects!$C$41+Projects!$D$41),IF(12=Projects!$C$41+Projects!$D$41-1,Projects!$B$41*Assumptions!$B$10/Projects!$D$41*0.95+0.05*Projects!$B$41*Assumptions!$B$10,Projects!$B$41*Assumptions!$B$10/Projects!$D$41*0.95),0)+IF(AND(Projects!$G$42="Yes",12&gt;=Projects!$C$42,12&lt;Projects!$C$42+Projects!$D$42),IF(12=Projects!$C$42+Projects!$D$42-1,Projects!$B$42*Assumptions!$B$10/Projects!$D$42*0.95+0.05*Projects!$B$42*Assumptions!$B$10,Projects!$B$42*Assumptions!$B$10/Projects!$D$42*0.95),0)+IF(AND(Projects!$G$43="Yes",12&gt;=Projects!$C$43,12&lt;Projects!$C$43+Projects!$D$43),IF(12=Projects!$C$43+Projects!$D$43-1,Projects!$B$43*Assumptions!$B$10/Projects!$D$43*0.95+0.05*Projects!$B$43*Assumptions!$B$10,Projects!$B$43*Assumptions!$B$10/Projects!$D$43*0.95),0)+IF(AND(Projects!$G$44="Yes",12&gt;=Projects!$C$44,12&lt;Projects!$C$44+Projects!$D$44),IF(12=Projects!$C$44+Projects!$D$44-1,Projects!$B$44*Assumptions!$B$10/Projects!$D$44*0.95+0.05*Projects!$B$44*Assumptions!$B$10,Projects!$B$44*Assumptions!$B$10/Projects!$D$44*0.95),0)+IF(AND(Projects!$G$45="Yes",12&gt;=Projects!$C$45,12&lt;Projects!$C$45+Projects!$D$45),IF(12=Projects!$C$45+Projects!$D$45-1,Projects!$B$45*Assumptions!$B$10/Projects!$D$45*0.95+0.05*Projects!$B$45*Assumptions!$B$10,Projects!$B$45*Assumptions!$B$10/Projects!$D$45*0.95),0)+IF(AND(Projects!$G$46="Yes",12&gt;=Projects!$C$46,12&lt;Projects!$C$46+Projects!$D$46),IF(12=Projects!$C$46+Projects!$D$46-1,Projects!$B$46*Assumptions!$B$10/Projects!$D$46*0.95+0.05*Projects!$B$46*Assumptions!$B$10,Projects!$B$46*Assumptions!$B$10/Projects!$D$46*0.95),0)</f>
        <v/>
      </c>
      <c r="O108">
        <f>IF(AND(Projects!$G$30="Yes",13&gt;=Projects!$C$30,13&lt;Projects!$C$30+Projects!$D$30),IF(13=Projects!$C$30+Projects!$D$30-1,Projects!$B$30*Assumptions!$B$10/Projects!$D$30*0.95+0.05*Projects!$B$30*Assumptions!$B$10,Projects!$B$30*Assumptions!$B$10/Projects!$D$30*0.95),0)+IF(AND(Projects!$G$31="Yes",13&gt;=Projects!$C$31,13&lt;Projects!$C$31+Projects!$D$31),IF(13=Projects!$C$31+Projects!$D$31-1,Projects!$B$31*Assumptions!$B$10/Projects!$D$31*0.95+0.05*Projects!$B$31*Assumptions!$B$10,Projects!$B$31*Assumptions!$B$10/Projects!$D$31*0.95),0)+IF(AND(Projects!$G$32="Yes",13&gt;=Projects!$C$32,13&lt;Projects!$C$32+Projects!$D$32),IF(13=Projects!$C$32+Projects!$D$32-1,Projects!$B$32*Assumptions!$B$10/Projects!$D$32*0.95+0.05*Projects!$B$32*Assumptions!$B$10,Projects!$B$32*Assumptions!$B$10/Projects!$D$32*0.95),0)+IF(AND(Projects!$G$33="Yes",13&gt;=Projects!$C$33,13&lt;Projects!$C$33+Projects!$D$33),IF(13=Projects!$C$33+Projects!$D$33-1,Projects!$B$33*Assumptions!$B$10/Projects!$D$33*0.95+0.05*Projects!$B$33*Assumptions!$B$10,Projects!$B$33*Assumptions!$B$10/Projects!$D$33*0.95),0)+IF(AND(Projects!$G$34="Yes",13&gt;=Projects!$C$34,13&lt;Projects!$C$34+Projects!$D$34),IF(13=Projects!$C$34+Projects!$D$34-1,Projects!$B$34*Assumptions!$B$10/Projects!$D$34*0.95+0.05*Projects!$B$34*Assumptions!$B$10,Projects!$B$34*Assumptions!$B$10/Projects!$D$34*0.95),0)+IF(AND(Projects!$G$35="Yes",13&gt;=Projects!$C$35,13&lt;Projects!$C$35+Projects!$D$35),IF(13=Projects!$C$35+Projects!$D$35-1,Projects!$B$35*Assumptions!$B$10/Projects!$D$35*0.95+0.05*Projects!$B$35*Assumptions!$B$10,Projects!$B$35*Assumptions!$B$10/Projects!$D$35*0.95),0)+IF(AND(Projects!$G$36="Yes",13&gt;=Projects!$C$36,13&lt;Projects!$C$36+Projects!$D$36),IF(13=Projects!$C$36+Projects!$D$36-1,Projects!$B$36*Assumptions!$B$10/Projects!$D$36*0.95+0.05*Projects!$B$36*Assumptions!$B$10,Projects!$B$36*Assumptions!$B$10/Projects!$D$36*0.95),0)+IF(AND(Projects!$G$37="Yes",13&gt;=Projects!$C$37,13&lt;Projects!$C$37+Projects!$D$37),IF(13=Projects!$C$37+Projects!$D$37-1,Projects!$B$37*Assumptions!$B$10/Projects!$D$37*0.95+0.05*Projects!$B$37*Assumptions!$B$10,Projects!$B$37*Assumptions!$B$10/Projects!$D$37*0.95),0)+IF(AND(Projects!$G$38="Yes",13&gt;=Projects!$C$38,13&lt;Projects!$C$38+Projects!$D$38),IF(13=Projects!$C$38+Projects!$D$38-1,Projects!$B$38*Assumptions!$B$10/Projects!$D$38*0.95+0.05*Projects!$B$38*Assumptions!$B$10,Projects!$B$38*Assumptions!$B$10/Projects!$D$38*0.95),0)+IF(AND(Projects!$G$39="Yes",13&gt;=Projects!$C$39,13&lt;Projects!$C$39+Projects!$D$39),IF(13=Projects!$C$39+Projects!$D$39-1,Projects!$B$39*Assumptions!$B$10/Projects!$D$39*0.95+0.05*Projects!$B$39*Assumptions!$B$10,Projects!$B$39*Assumptions!$B$10/Projects!$D$39*0.95),0)+IF(AND(Projects!$G$40="Yes",13&gt;=Projects!$C$40,13&lt;Projects!$C$40+Projects!$D$40),IF(13=Projects!$C$40+Projects!$D$40-1,Projects!$B$40*Assumptions!$B$10/Projects!$D$40*0.95+0.05*Projects!$B$40*Assumptions!$B$10,Projects!$B$40*Assumptions!$B$10/Projects!$D$40*0.95),0)+IF(AND(Projects!$G$41="Yes",13&gt;=Projects!$C$41,13&lt;Projects!$C$41+Projects!$D$41),IF(13=Projects!$C$41+Projects!$D$41-1,Projects!$B$41*Assumptions!$B$10/Projects!$D$41*0.95+0.05*Projects!$B$41*Assumptions!$B$10,Projects!$B$41*Assumptions!$B$10/Projects!$D$41*0.95),0)+IF(AND(Projects!$G$42="Yes",13&gt;=Projects!$C$42,13&lt;Projects!$C$42+Projects!$D$42),IF(13=Projects!$C$42+Projects!$D$42-1,Projects!$B$42*Assumptions!$B$10/Projects!$D$42*0.95+0.05*Projects!$B$42*Assumptions!$B$10,Projects!$B$42*Assumptions!$B$10/Projects!$D$42*0.95),0)+IF(AND(Projects!$G$43="Yes",13&gt;=Projects!$C$43,13&lt;Projects!$C$43+Projects!$D$43),IF(13=Projects!$C$43+Projects!$D$43-1,Projects!$B$43*Assumptions!$B$10/Projects!$D$43*0.95+0.05*Projects!$B$43*Assumptions!$B$10,Projects!$B$43*Assumptions!$B$10/Projects!$D$43*0.95),0)+IF(AND(Projects!$G$44="Yes",13&gt;=Projects!$C$44,13&lt;Projects!$C$44+Projects!$D$44),IF(13=Projects!$C$44+Projects!$D$44-1,Projects!$B$44*Assumptions!$B$10/Projects!$D$44*0.95+0.05*Projects!$B$44*Assumptions!$B$10,Projects!$B$44*Assumptions!$B$10/Projects!$D$44*0.95),0)+IF(AND(Projects!$G$45="Yes",13&gt;=Projects!$C$45,13&lt;Projects!$C$45+Projects!$D$45),IF(13=Projects!$C$45+Projects!$D$45-1,Projects!$B$45*Assumptions!$B$10/Projects!$D$45*0.95+0.05*Projects!$B$45*Assumptions!$B$10,Projects!$B$45*Assumptions!$B$10/Projects!$D$45*0.95),0)+IF(AND(Projects!$G$46="Yes",13&gt;=Projects!$C$46,13&lt;Projects!$C$46+Projects!$D$46),IF(13=Projects!$C$46+Projects!$D$46-1,Projects!$B$46*Assumptions!$B$10/Projects!$D$46*0.95+0.05*Projects!$B$46*Assumptions!$B$10,Projects!$B$46*Assumptions!$B$10/Projects!$D$46*0.95),0)</f>
        <v/>
      </c>
      <c r="P108">
        <f>IF(AND(Projects!$G$30="Yes",14&gt;=Projects!$C$30,14&lt;Projects!$C$30+Projects!$D$30),IF(14=Projects!$C$30+Projects!$D$30-1,Projects!$B$30*Assumptions!$B$10/Projects!$D$30*0.95+0.05*Projects!$B$30*Assumptions!$B$10,Projects!$B$30*Assumptions!$B$10/Projects!$D$30*0.95),0)+IF(AND(Projects!$G$31="Yes",14&gt;=Projects!$C$31,14&lt;Projects!$C$31+Projects!$D$31),IF(14=Projects!$C$31+Projects!$D$31-1,Projects!$B$31*Assumptions!$B$10/Projects!$D$31*0.95+0.05*Projects!$B$31*Assumptions!$B$10,Projects!$B$31*Assumptions!$B$10/Projects!$D$31*0.95),0)+IF(AND(Projects!$G$32="Yes",14&gt;=Projects!$C$32,14&lt;Projects!$C$32+Projects!$D$32),IF(14=Projects!$C$32+Projects!$D$32-1,Projects!$B$32*Assumptions!$B$10/Projects!$D$32*0.95+0.05*Projects!$B$32*Assumptions!$B$10,Projects!$B$32*Assumptions!$B$10/Projects!$D$32*0.95),0)+IF(AND(Projects!$G$33="Yes",14&gt;=Projects!$C$33,14&lt;Projects!$C$33+Projects!$D$33),IF(14=Projects!$C$33+Projects!$D$33-1,Projects!$B$33*Assumptions!$B$10/Projects!$D$33*0.95+0.05*Projects!$B$33*Assumptions!$B$10,Projects!$B$33*Assumptions!$B$10/Projects!$D$33*0.95),0)+IF(AND(Projects!$G$34="Yes",14&gt;=Projects!$C$34,14&lt;Projects!$C$34+Projects!$D$34),IF(14=Projects!$C$34+Projects!$D$34-1,Projects!$B$34*Assumptions!$B$10/Projects!$D$34*0.95+0.05*Projects!$B$34*Assumptions!$B$10,Projects!$B$34*Assumptions!$B$10/Projects!$D$34*0.95),0)+IF(AND(Projects!$G$35="Yes",14&gt;=Projects!$C$35,14&lt;Projects!$C$35+Projects!$D$35),IF(14=Projects!$C$35+Projects!$D$35-1,Projects!$B$35*Assumptions!$B$10/Projects!$D$35*0.95+0.05*Projects!$B$35*Assumptions!$B$10,Projects!$B$35*Assumptions!$B$10/Projects!$D$35*0.95),0)+IF(AND(Projects!$G$36="Yes",14&gt;=Projects!$C$36,14&lt;Projects!$C$36+Projects!$D$36),IF(14=Projects!$C$36+Projects!$D$36-1,Projects!$B$36*Assumptions!$B$10/Projects!$D$36*0.95+0.05*Projects!$B$36*Assumptions!$B$10,Projects!$B$36*Assumptions!$B$10/Projects!$D$36*0.95),0)+IF(AND(Projects!$G$37="Yes",14&gt;=Projects!$C$37,14&lt;Projects!$C$37+Projects!$D$37),IF(14=Projects!$C$37+Projects!$D$37-1,Projects!$B$37*Assumptions!$B$10/Projects!$D$37*0.95+0.05*Projects!$B$37*Assumptions!$B$10,Projects!$B$37*Assumptions!$B$10/Projects!$D$37*0.95),0)+IF(AND(Projects!$G$38="Yes",14&gt;=Projects!$C$38,14&lt;Projects!$C$38+Projects!$D$38),IF(14=Projects!$C$38+Projects!$D$38-1,Projects!$B$38*Assumptions!$B$10/Projects!$D$38*0.95+0.05*Projects!$B$38*Assumptions!$B$10,Projects!$B$38*Assumptions!$B$10/Projects!$D$38*0.95),0)+IF(AND(Projects!$G$39="Yes",14&gt;=Projects!$C$39,14&lt;Projects!$C$39+Projects!$D$39),IF(14=Projects!$C$39+Projects!$D$39-1,Projects!$B$39*Assumptions!$B$10/Projects!$D$39*0.95+0.05*Projects!$B$39*Assumptions!$B$10,Projects!$B$39*Assumptions!$B$10/Projects!$D$39*0.95),0)+IF(AND(Projects!$G$40="Yes",14&gt;=Projects!$C$40,14&lt;Projects!$C$40+Projects!$D$40),IF(14=Projects!$C$40+Projects!$D$40-1,Projects!$B$40*Assumptions!$B$10/Projects!$D$40*0.95+0.05*Projects!$B$40*Assumptions!$B$10,Projects!$B$40*Assumptions!$B$10/Projects!$D$40*0.95),0)+IF(AND(Projects!$G$41="Yes",14&gt;=Projects!$C$41,14&lt;Projects!$C$41+Projects!$D$41),IF(14=Projects!$C$41+Projects!$D$41-1,Projects!$B$41*Assumptions!$B$10/Projects!$D$41*0.95+0.05*Projects!$B$41*Assumptions!$B$10,Projects!$B$41*Assumptions!$B$10/Projects!$D$41*0.95),0)+IF(AND(Projects!$G$42="Yes",14&gt;=Projects!$C$42,14&lt;Projects!$C$42+Projects!$D$42),IF(14=Projects!$C$42+Projects!$D$42-1,Projects!$B$42*Assumptions!$B$10/Projects!$D$42*0.95+0.05*Projects!$B$42*Assumptions!$B$10,Projects!$B$42*Assumptions!$B$10/Projects!$D$42*0.95),0)+IF(AND(Projects!$G$43="Yes",14&gt;=Projects!$C$43,14&lt;Projects!$C$43+Projects!$D$43),IF(14=Projects!$C$43+Projects!$D$43-1,Projects!$B$43*Assumptions!$B$10/Projects!$D$43*0.95+0.05*Projects!$B$43*Assumptions!$B$10,Projects!$B$43*Assumptions!$B$10/Projects!$D$43*0.95),0)+IF(AND(Projects!$G$44="Yes",14&gt;=Projects!$C$44,14&lt;Projects!$C$44+Projects!$D$44),IF(14=Projects!$C$44+Projects!$D$44-1,Projects!$B$44*Assumptions!$B$10/Projects!$D$44*0.95+0.05*Projects!$B$44*Assumptions!$B$10,Projects!$B$44*Assumptions!$B$10/Projects!$D$44*0.95),0)+IF(AND(Projects!$G$45="Yes",14&gt;=Projects!$C$45,14&lt;Projects!$C$45+Projects!$D$45),IF(14=Projects!$C$45+Projects!$D$45-1,Projects!$B$45*Assumptions!$B$10/Projects!$D$45*0.95+0.05*Projects!$B$45*Assumptions!$B$10,Projects!$B$45*Assumptions!$B$10/Projects!$D$45*0.95),0)+IF(AND(Projects!$G$46="Yes",14&gt;=Projects!$C$46,14&lt;Projects!$C$46+Projects!$D$46),IF(14=Projects!$C$46+Projects!$D$46-1,Projects!$B$46*Assumptions!$B$10/Projects!$D$46*0.95+0.05*Projects!$B$46*Assumptions!$B$10,Projects!$B$46*Assumptions!$B$10/Projects!$D$46*0.95),0)</f>
        <v/>
      </c>
      <c r="Q108">
        <f>IF(AND(Projects!$G$30="Yes",15&gt;=Projects!$C$30,15&lt;Projects!$C$30+Projects!$D$30),IF(15=Projects!$C$30+Projects!$D$30-1,Projects!$B$30*Assumptions!$B$10/Projects!$D$30*0.95+0.05*Projects!$B$30*Assumptions!$B$10,Projects!$B$30*Assumptions!$B$10/Projects!$D$30*0.95),0)+IF(AND(Projects!$G$31="Yes",15&gt;=Projects!$C$31,15&lt;Projects!$C$31+Projects!$D$31),IF(15=Projects!$C$31+Projects!$D$31-1,Projects!$B$31*Assumptions!$B$10/Projects!$D$31*0.95+0.05*Projects!$B$31*Assumptions!$B$10,Projects!$B$31*Assumptions!$B$10/Projects!$D$31*0.95),0)+IF(AND(Projects!$G$32="Yes",15&gt;=Projects!$C$32,15&lt;Projects!$C$32+Projects!$D$32),IF(15=Projects!$C$32+Projects!$D$32-1,Projects!$B$32*Assumptions!$B$10/Projects!$D$32*0.95+0.05*Projects!$B$32*Assumptions!$B$10,Projects!$B$32*Assumptions!$B$10/Projects!$D$32*0.95),0)+IF(AND(Projects!$G$33="Yes",15&gt;=Projects!$C$33,15&lt;Projects!$C$33+Projects!$D$33),IF(15=Projects!$C$33+Projects!$D$33-1,Projects!$B$33*Assumptions!$B$10/Projects!$D$33*0.95+0.05*Projects!$B$33*Assumptions!$B$10,Projects!$B$33*Assumptions!$B$10/Projects!$D$33*0.95),0)+IF(AND(Projects!$G$34="Yes",15&gt;=Projects!$C$34,15&lt;Projects!$C$34+Projects!$D$34),IF(15=Projects!$C$34+Projects!$D$34-1,Projects!$B$34*Assumptions!$B$10/Projects!$D$34*0.95+0.05*Projects!$B$34*Assumptions!$B$10,Projects!$B$34*Assumptions!$B$10/Projects!$D$34*0.95),0)+IF(AND(Projects!$G$35="Yes",15&gt;=Projects!$C$35,15&lt;Projects!$C$35+Projects!$D$35),IF(15=Projects!$C$35+Projects!$D$35-1,Projects!$B$35*Assumptions!$B$10/Projects!$D$35*0.95+0.05*Projects!$B$35*Assumptions!$B$10,Projects!$B$35*Assumptions!$B$10/Projects!$D$35*0.95),0)+IF(AND(Projects!$G$36="Yes",15&gt;=Projects!$C$36,15&lt;Projects!$C$36+Projects!$D$36),IF(15=Projects!$C$36+Projects!$D$36-1,Projects!$B$36*Assumptions!$B$10/Projects!$D$36*0.95+0.05*Projects!$B$36*Assumptions!$B$10,Projects!$B$36*Assumptions!$B$10/Projects!$D$36*0.95),0)+IF(AND(Projects!$G$37="Yes",15&gt;=Projects!$C$37,15&lt;Projects!$C$37+Projects!$D$37),IF(15=Projects!$C$37+Projects!$D$37-1,Projects!$B$37*Assumptions!$B$10/Projects!$D$37*0.95+0.05*Projects!$B$37*Assumptions!$B$10,Projects!$B$37*Assumptions!$B$10/Projects!$D$37*0.95),0)+IF(AND(Projects!$G$38="Yes",15&gt;=Projects!$C$38,15&lt;Projects!$C$38+Projects!$D$38),IF(15=Projects!$C$38+Projects!$D$38-1,Projects!$B$38*Assumptions!$B$10/Projects!$D$38*0.95+0.05*Projects!$B$38*Assumptions!$B$10,Projects!$B$38*Assumptions!$B$10/Projects!$D$38*0.95),0)+IF(AND(Projects!$G$39="Yes",15&gt;=Projects!$C$39,15&lt;Projects!$C$39+Projects!$D$39),IF(15=Projects!$C$39+Projects!$D$39-1,Projects!$B$39*Assumptions!$B$10/Projects!$D$39*0.95+0.05*Projects!$B$39*Assumptions!$B$10,Projects!$B$39*Assumptions!$B$10/Projects!$D$39*0.95),0)+IF(AND(Projects!$G$40="Yes",15&gt;=Projects!$C$40,15&lt;Projects!$C$40+Projects!$D$40),IF(15=Projects!$C$40+Projects!$D$40-1,Projects!$B$40*Assumptions!$B$10/Projects!$D$40*0.95+0.05*Projects!$B$40*Assumptions!$B$10,Projects!$B$40*Assumptions!$B$10/Projects!$D$40*0.95),0)+IF(AND(Projects!$G$41="Yes",15&gt;=Projects!$C$41,15&lt;Projects!$C$41+Projects!$D$41),IF(15=Projects!$C$41+Projects!$D$41-1,Projects!$B$41*Assumptions!$B$10/Projects!$D$41*0.95+0.05*Projects!$B$41*Assumptions!$B$10,Projects!$B$41*Assumptions!$B$10/Projects!$D$41*0.95),0)+IF(AND(Projects!$G$42="Yes",15&gt;=Projects!$C$42,15&lt;Projects!$C$42+Projects!$D$42),IF(15=Projects!$C$42+Projects!$D$42-1,Projects!$B$42*Assumptions!$B$10/Projects!$D$42*0.95+0.05*Projects!$B$42*Assumptions!$B$10,Projects!$B$42*Assumptions!$B$10/Projects!$D$42*0.95),0)+IF(AND(Projects!$G$43="Yes",15&gt;=Projects!$C$43,15&lt;Projects!$C$43+Projects!$D$43),IF(15=Projects!$C$43+Projects!$D$43-1,Projects!$B$43*Assumptions!$B$10/Projects!$D$43*0.95+0.05*Projects!$B$43*Assumptions!$B$10,Projects!$B$43*Assumptions!$B$10/Projects!$D$43*0.95),0)+IF(AND(Projects!$G$44="Yes",15&gt;=Projects!$C$44,15&lt;Projects!$C$44+Projects!$D$44),IF(15=Projects!$C$44+Projects!$D$44-1,Projects!$B$44*Assumptions!$B$10/Projects!$D$44*0.95+0.05*Projects!$B$44*Assumptions!$B$10,Projects!$B$44*Assumptions!$B$10/Projects!$D$44*0.95),0)+IF(AND(Projects!$G$45="Yes",15&gt;=Projects!$C$45,15&lt;Projects!$C$45+Projects!$D$45),IF(15=Projects!$C$45+Projects!$D$45-1,Projects!$B$45*Assumptions!$B$10/Projects!$D$45*0.95+0.05*Projects!$B$45*Assumptions!$B$10,Projects!$B$45*Assumptions!$B$10/Projects!$D$45*0.95),0)+IF(AND(Projects!$G$46="Yes",15&gt;=Projects!$C$46,15&lt;Projects!$C$46+Projects!$D$46),IF(15=Projects!$C$46+Projects!$D$46-1,Projects!$B$46*Assumptions!$B$10/Projects!$D$46*0.95+0.05*Projects!$B$46*Assumptions!$B$10,Projects!$B$46*Assumptions!$B$10/Projects!$D$46*0.95),0)</f>
        <v/>
      </c>
      <c r="R108">
        <f>IF(AND(Projects!$G$30="Yes",16&gt;=Projects!$C$30,16&lt;Projects!$C$30+Projects!$D$30),IF(16=Projects!$C$30+Projects!$D$30-1,Projects!$B$30*Assumptions!$B$10/Projects!$D$30*0.95+0.05*Projects!$B$30*Assumptions!$B$10,Projects!$B$30*Assumptions!$B$10/Projects!$D$30*0.95),0)+IF(AND(Projects!$G$31="Yes",16&gt;=Projects!$C$31,16&lt;Projects!$C$31+Projects!$D$31),IF(16=Projects!$C$31+Projects!$D$31-1,Projects!$B$31*Assumptions!$B$10/Projects!$D$31*0.95+0.05*Projects!$B$31*Assumptions!$B$10,Projects!$B$31*Assumptions!$B$10/Projects!$D$31*0.95),0)+IF(AND(Projects!$G$32="Yes",16&gt;=Projects!$C$32,16&lt;Projects!$C$32+Projects!$D$32),IF(16=Projects!$C$32+Projects!$D$32-1,Projects!$B$32*Assumptions!$B$10/Projects!$D$32*0.95+0.05*Projects!$B$32*Assumptions!$B$10,Projects!$B$32*Assumptions!$B$10/Projects!$D$32*0.95),0)+IF(AND(Projects!$G$33="Yes",16&gt;=Projects!$C$33,16&lt;Projects!$C$33+Projects!$D$33),IF(16=Projects!$C$33+Projects!$D$33-1,Projects!$B$33*Assumptions!$B$10/Projects!$D$33*0.95+0.05*Projects!$B$33*Assumptions!$B$10,Projects!$B$33*Assumptions!$B$10/Projects!$D$33*0.95),0)+IF(AND(Projects!$G$34="Yes",16&gt;=Projects!$C$34,16&lt;Projects!$C$34+Projects!$D$34),IF(16=Projects!$C$34+Projects!$D$34-1,Projects!$B$34*Assumptions!$B$10/Projects!$D$34*0.95+0.05*Projects!$B$34*Assumptions!$B$10,Projects!$B$34*Assumptions!$B$10/Projects!$D$34*0.95),0)+IF(AND(Projects!$G$35="Yes",16&gt;=Projects!$C$35,16&lt;Projects!$C$35+Projects!$D$35),IF(16=Projects!$C$35+Projects!$D$35-1,Projects!$B$35*Assumptions!$B$10/Projects!$D$35*0.95+0.05*Projects!$B$35*Assumptions!$B$10,Projects!$B$35*Assumptions!$B$10/Projects!$D$35*0.95),0)+IF(AND(Projects!$G$36="Yes",16&gt;=Projects!$C$36,16&lt;Projects!$C$36+Projects!$D$36),IF(16=Projects!$C$36+Projects!$D$36-1,Projects!$B$36*Assumptions!$B$10/Projects!$D$36*0.95+0.05*Projects!$B$36*Assumptions!$B$10,Projects!$B$36*Assumptions!$B$10/Projects!$D$36*0.95),0)+IF(AND(Projects!$G$37="Yes",16&gt;=Projects!$C$37,16&lt;Projects!$C$37+Projects!$D$37),IF(16=Projects!$C$37+Projects!$D$37-1,Projects!$B$37*Assumptions!$B$10/Projects!$D$37*0.95+0.05*Projects!$B$37*Assumptions!$B$10,Projects!$B$37*Assumptions!$B$10/Projects!$D$37*0.95),0)+IF(AND(Projects!$G$38="Yes",16&gt;=Projects!$C$38,16&lt;Projects!$C$38+Projects!$D$38),IF(16=Projects!$C$38+Projects!$D$38-1,Projects!$B$38*Assumptions!$B$10/Projects!$D$38*0.95+0.05*Projects!$B$38*Assumptions!$B$10,Projects!$B$38*Assumptions!$B$10/Projects!$D$38*0.95),0)+IF(AND(Projects!$G$39="Yes",16&gt;=Projects!$C$39,16&lt;Projects!$C$39+Projects!$D$39),IF(16=Projects!$C$39+Projects!$D$39-1,Projects!$B$39*Assumptions!$B$10/Projects!$D$39*0.95+0.05*Projects!$B$39*Assumptions!$B$10,Projects!$B$39*Assumptions!$B$10/Projects!$D$39*0.95),0)+IF(AND(Projects!$G$40="Yes",16&gt;=Projects!$C$40,16&lt;Projects!$C$40+Projects!$D$40),IF(16=Projects!$C$40+Projects!$D$40-1,Projects!$B$40*Assumptions!$B$10/Projects!$D$40*0.95+0.05*Projects!$B$40*Assumptions!$B$10,Projects!$B$40*Assumptions!$B$10/Projects!$D$40*0.95),0)+IF(AND(Projects!$G$41="Yes",16&gt;=Projects!$C$41,16&lt;Projects!$C$41+Projects!$D$41),IF(16=Projects!$C$41+Projects!$D$41-1,Projects!$B$41*Assumptions!$B$10/Projects!$D$41*0.95+0.05*Projects!$B$41*Assumptions!$B$10,Projects!$B$41*Assumptions!$B$10/Projects!$D$41*0.95),0)+IF(AND(Projects!$G$42="Yes",16&gt;=Projects!$C$42,16&lt;Projects!$C$42+Projects!$D$42),IF(16=Projects!$C$42+Projects!$D$42-1,Projects!$B$42*Assumptions!$B$10/Projects!$D$42*0.95+0.05*Projects!$B$42*Assumptions!$B$10,Projects!$B$42*Assumptions!$B$10/Projects!$D$42*0.95),0)+IF(AND(Projects!$G$43="Yes",16&gt;=Projects!$C$43,16&lt;Projects!$C$43+Projects!$D$43),IF(16=Projects!$C$43+Projects!$D$43-1,Projects!$B$43*Assumptions!$B$10/Projects!$D$43*0.95+0.05*Projects!$B$43*Assumptions!$B$10,Projects!$B$43*Assumptions!$B$10/Projects!$D$43*0.95),0)+IF(AND(Projects!$G$44="Yes",16&gt;=Projects!$C$44,16&lt;Projects!$C$44+Projects!$D$44),IF(16=Projects!$C$44+Projects!$D$44-1,Projects!$B$44*Assumptions!$B$10/Projects!$D$44*0.95+0.05*Projects!$B$44*Assumptions!$B$10,Projects!$B$44*Assumptions!$B$10/Projects!$D$44*0.95),0)+IF(AND(Projects!$G$45="Yes",16&gt;=Projects!$C$45,16&lt;Projects!$C$45+Projects!$D$45),IF(16=Projects!$C$45+Projects!$D$45-1,Projects!$B$45*Assumptions!$B$10/Projects!$D$45*0.95+0.05*Projects!$B$45*Assumptions!$B$10,Projects!$B$45*Assumptions!$B$10/Projects!$D$45*0.95),0)+IF(AND(Projects!$G$46="Yes",16&gt;=Projects!$C$46,16&lt;Projects!$C$46+Projects!$D$46),IF(16=Projects!$C$46+Projects!$D$46-1,Projects!$B$46*Assumptions!$B$10/Projects!$D$46*0.95+0.05*Projects!$B$46*Assumptions!$B$10,Projects!$B$46*Assumptions!$B$10/Projects!$D$46*0.95),0)</f>
        <v/>
      </c>
      <c r="S108">
        <f>IF(AND(Projects!$G$30="Yes",17&gt;=Projects!$C$30,17&lt;Projects!$C$30+Projects!$D$30),IF(17=Projects!$C$30+Projects!$D$30-1,Projects!$B$30*Assumptions!$B$10/Projects!$D$30*0.95+0.05*Projects!$B$30*Assumptions!$B$10,Projects!$B$30*Assumptions!$B$10/Projects!$D$30*0.95),0)+IF(AND(Projects!$G$31="Yes",17&gt;=Projects!$C$31,17&lt;Projects!$C$31+Projects!$D$31),IF(17=Projects!$C$31+Projects!$D$31-1,Projects!$B$31*Assumptions!$B$10/Projects!$D$31*0.95+0.05*Projects!$B$31*Assumptions!$B$10,Projects!$B$31*Assumptions!$B$10/Projects!$D$31*0.95),0)+IF(AND(Projects!$G$32="Yes",17&gt;=Projects!$C$32,17&lt;Projects!$C$32+Projects!$D$32),IF(17=Projects!$C$32+Projects!$D$32-1,Projects!$B$32*Assumptions!$B$10/Projects!$D$32*0.95+0.05*Projects!$B$32*Assumptions!$B$10,Projects!$B$32*Assumptions!$B$10/Projects!$D$32*0.95),0)+IF(AND(Projects!$G$33="Yes",17&gt;=Projects!$C$33,17&lt;Projects!$C$33+Projects!$D$33),IF(17=Projects!$C$33+Projects!$D$33-1,Projects!$B$33*Assumptions!$B$10/Projects!$D$33*0.95+0.05*Projects!$B$33*Assumptions!$B$10,Projects!$B$33*Assumptions!$B$10/Projects!$D$33*0.95),0)+IF(AND(Projects!$G$34="Yes",17&gt;=Projects!$C$34,17&lt;Projects!$C$34+Projects!$D$34),IF(17=Projects!$C$34+Projects!$D$34-1,Projects!$B$34*Assumptions!$B$10/Projects!$D$34*0.95+0.05*Projects!$B$34*Assumptions!$B$10,Projects!$B$34*Assumptions!$B$10/Projects!$D$34*0.95),0)+IF(AND(Projects!$G$35="Yes",17&gt;=Projects!$C$35,17&lt;Projects!$C$35+Projects!$D$35),IF(17=Projects!$C$35+Projects!$D$35-1,Projects!$B$35*Assumptions!$B$10/Projects!$D$35*0.95+0.05*Projects!$B$35*Assumptions!$B$10,Projects!$B$35*Assumptions!$B$10/Projects!$D$35*0.95),0)+IF(AND(Projects!$G$36="Yes",17&gt;=Projects!$C$36,17&lt;Projects!$C$36+Projects!$D$36),IF(17=Projects!$C$36+Projects!$D$36-1,Projects!$B$36*Assumptions!$B$10/Projects!$D$36*0.95+0.05*Projects!$B$36*Assumptions!$B$10,Projects!$B$36*Assumptions!$B$10/Projects!$D$36*0.95),0)+IF(AND(Projects!$G$37="Yes",17&gt;=Projects!$C$37,17&lt;Projects!$C$37+Projects!$D$37),IF(17=Projects!$C$37+Projects!$D$37-1,Projects!$B$37*Assumptions!$B$10/Projects!$D$37*0.95+0.05*Projects!$B$37*Assumptions!$B$10,Projects!$B$37*Assumptions!$B$10/Projects!$D$37*0.95),0)+IF(AND(Projects!$G$38="Yes",17&gt;=Projects!$C$38,17&lt;Projects!$C$38+Projects!$D$38),IF(17=Projects!$C$38+Projects!$D$38-1,Projects!$B$38*Assumptions!$B$10/Projects!$D$38*0.95+0.05*Projects!$B$38*Assumptions!$B$10,Projects!$B$38*Assumptions!$B$10/Projects!$D$38*0.95),0)+IF(AND(Projects!$G$39="Yes",17&gt;=Projects!$C$39,17&lt;Projects!$C$39+Projects!$D$39),IF(17=Projects!$C$39+Projects!$D$39-1,Projects!$B$39*Assumptions!$B$10/Projects!$D$39*0.95+0.05*Projects!$B$39*Assumptions!$B$10,Projects!$B$39*Assumptions!$B$10/Projects!$D$39*0.95),0)+IF(AND(Projects!$G$40="Yes",17&gt;=Projects!$C$40,17&lt;Projects!$C$40+Projects!$D$40),IF(17=Projects!$C$40+Projects!$D$40-1,Projects!$B$40*Assumptions!$B$10/Projects!$D$40*0.95+0.05*Projects!$B$40*Assumptions!$B$10,Projects!$B$40*Assumptions!$B$10/Projects!$D$40*0.95),0)+IF(AND(Projects!$G$41="Yes",17&gt;=Projects!$C$41,17&lt;Projects!$C$41+Projects!$D$41),IF(17=Projects!$C$41+Projects!$D$41-1,Projects!$B$41*Assumptions!$B$10/Projects!$D$41*0.95+0.05*Projects!$B$41*Assumptions!$B$10,Projects!$B$41*Assumptions!$B$10/Projects!$D$41*0.95),0)+IF(AND(Projects!$G$42="Yes",17&gt;=Projects!$C$42,17&lt;Projects!$C$42+Projects!$D$42),IF(17=Projects!$C$42+Projects!$D$42-1,Projects!$B$42*Assumptions!$B$10/Projects!$D$42*0.95+0.05*Projects!$B$42*Assumptions!$B$10,Projects!$B$42*Assumptions!$B$10/Projects!$D$42*0.95),0)+IF(AND(Projects!$G$43="Yes",17&gt;=Projects!$C$43,17&lt;Projects!$C$43+Projects!$D$43),IF(17=Projects!$C$43+Projects!$D$43-1,Projects!$B$43*Assumptions!$B$10/Projects!$D$43*0.95+0.05*Projects!$B$43*Assumptions!$B$10,Projects!$B$43*Assumptions!$B$10/Projects!$D$43*0.95),0)+IF(AND(Projects!$G$44="Yes",17&gt;=Projects!$C$44,17&lt;Projects!$C$44+Projects!$D$44),IF(17=Projects!$C$44+Projects!$D$44-1,Projects!$B$44*Assumptions!$B$10/Projects!$D$44*0.95+0.05*Projects!$B$44*Assumptions!$B$10,Projects!$B$44*Assumptions!$B$10/Projects!$D$44*0.95),0)+IF(AND(Projects!$G$45="Yes",17&gt;=Projects!$C$45,17&lt;Projects!$C$45+Projects!$D$45),IF(17=Projects!$C$45+Projects!$D$45-1,Projects!$B$45*Assumptions!$B$10/Projects!$D$45*0.95+0.05*Projects!$B$45*Assumptions!$B$10,Projects!$B$45*Assumptions!$B$10/Projects!$D$45*0.95),0)+IF(AND(Projects!$G$46="Yes",17&gt;=Projects!$C$46,17&lt;Projects!$C$46+Projects!$D$46),IF(17=Projects!$C$46+Projects!$D$46-1,Projects!$B$46*Assumptions!$B$10/Projects!$D$46*0.95+0.05*Projects!$B$46*Assumptions!$B$10,Projects!$B$46*Assumptions!$B$10/Projects!$D$46*0.95),0)</f>
        <v/>
      </c>
      <c r="T108">
        <f>IF(AND(Projects!$G$30="Yes",18&gt;=Projects!$C$30,18&lt;Projects!$C$30+Projects!$D$30),IF(18=Projects!$C$30+Projects!$D$30-1,Projects!$B$30*Assumptions!$B$10/Projects!$D$30*0.95+0.05*Projects!$B$30*Assumptions!$B$10,Projects!$B$30*Assumptions!$B$10/Projects!$D$30*0.95),0)+IF(AND(Projects!$G$31="Yes",18&gt;=Projects!$C$31,18&lt;Projects!$C$31+Projects!$D$31),IF(18=Projects!$C$31+Projects!$D$31-1,Projects!$B$31*Assumptions!$B$10/Projects!$D$31*0.95+0.05*Projects!$B$31*Assumptions!$B$10,Projects!$B$31*Assumptions!$B$10/Projects!$D$31*0.95),0)+IF(AND(Projects!$G$32="Yes",18&gt;=Projects!$C$32,18&lt;Projects!$C$32+Projects!$D$32),IF(18=Projects!$C$32+Projects!$D$32-1,Projects!$B$32*Assumptions!$B$10/Projects!$D$32*0.95+0.05*Projects!$B$32*Assumptions!$B$10,Projects!$B$32*Assumptions!$B$10/Projects!$D$32*0.95),0)+IF(AND(Projects!$G$33="Yes",18&gt;=Projects!$C$33,18&lt;Projects!$C$33+Projects!$D$33),IF(18=Projects!$C$33+Projects!$D$33-1,Projects!$B$33*Assumptions!$B$10/Projects!$D$33*0.95+0.05*Projects!$B$33*Assumptions!$B$10,Projects!$B$33*Assumptions!$B$10/Projects!$D$33*0.95),0)+IF(AND(Projects!$G$34="Yes",18&gt;=Projects!$C$34,18&lt;Projects!$C$34+Projects!$D$34),IF(18=Projects!$C$34+Projects!$D$34-1,Projects!$B$34*Assumptions!$B$10/Projects!$D$34*0.95+0.05*Projects!$B$34*Assumptions!$B$10,Projects!$B$34*Assumptions!$B$10/Projects!$D$34*0.95),0)+IF(AND(Projects!$G$35="Yes",18&gt;=Projects!$C$35,18&lt;Projects!$C$35+Projects!$D$35),IF(18=Projects!$C$35+Projects!$D$35-1,Projects!$B$35*Assumptions!$B$10/Projects!$D$35*0.95+0.05*Projects!$B$35*Assumptions!$B$10,Projects!$B$35*Assumptions!$B$10/Projects!$D$35*0.95),0)+IF(AND(Projects!$G$36="Yes",18&gt;=Projects!$C$36,18&lt;Projects!$C$36+Projects!$D$36),IF(18=Projects!$C$36+Projects!$D$36-1,Projects!$B$36*Assumptions!$B$10/Projects!$D$36*0.95+0.05*Projects!$B$36*Assumptions!$B$10,Projects!$B$36*Assumptions!$B$10/Projects!$D$36*0.95),0)+IF(AND(Projects!$G$37="Yes",18&gt;=Projects!$C$37,18&lt;Projects!$C$37+Projects!$D$37),IF(18=Projects!$C$37+Projects!$D$37-1,Projects!$B$37*Assumptions!$B$10/Projects!$D$37*0.95+0.05*Projects!$B$37*Assumptions!$B$10,Projects!$B$37*Assumptions!$B$10/Projects!$D$37*0.95),0)+IF(AND(Projects!$G$38="Yes",18&gt;=Projects!$C$38,18&lt;Projects!$C$38+Projects!$D$38),IF(18=Projects!$C$38+Projects!$D$38-1,Projects!$B$38*Assumptions!$B$10/Projects!$D$38*0.95+0.05*Projects!$B$38*Assumptions!$B$10,Projects!$B$38*Assumptions!$B$10/Projects!$D$38*0.95),0)+IF(AND(Projects!$G$39="Yes",18&gt;=Projects!$C$39,18&lt;Projects!$C$39+Projects!$D$39),IF(18=Projects!$C$39+Projects!$D$39-1,Projects!$B$39*Assumptions!$B$10/Projects!$D$39*0.95+0.05*Projects!$B$39*Assumptions!$B$10,Projects!$B$39*Assumptions!$B$10/Projects!$D$39*0.95),0)+IF(AND(Projects!$G$40="Yes",18&gt;=Projects!$C$40,18&lt;Projects!$C$40+Projects!$D$40),IF(18=Projects!$C$40+Projects!$D$40-1,Projects!$B$40*Assumptions!$B$10/Projects!$D$40*0.95+0.05*Projects!$B$40*Assumptions!$B$10,Projects!$B$40*Assumptions!$B$10/Projects!$D$40*0.95),0)+IF(AND(Projects!$G$41="Yes",18&gt;=Projects!$C$41,18&lt;Projects!$C$41+Projects!$D$41),IF(18=Projects!$C$41+Projects!$D$41-1,Projects!$B$41*Assumptions!$B$10/Projects!$D$41*0.95+0.05*Projects!$B$41*Assumptions!$B$10,Projects!$B$41*Assumptions!$B$10/Projects!$D$41*0.95),0)+IF(AND(Projects!$G$42="Yes",18&gt;=Projects!$C$42,18&lt;Projects!$C$42+Projects!$D$42),IF(18=Projects!$C$42+Projects!$D$42-1,Projects!$B$42*Assumptions!$B$10/Projects!$D$42*0.95+0.05*Projects!$B$42*Assumptions!$B$10,Projects!$B$42*Assumptions!$B$10/Projects!$D$42*0.95),0)+IF(AND(Projects!$G$43="Yes",18&gt;=Projects!$C$43,18&lt;Projects!$C$43+Projects!$D$43),IF(18=Projects!$C$43+Projects!$D$43-1,Projects!$B$43*Assumptions!$B$10/Projects!$D$43*0.95+0.05*Projects!$B$43*Assumptions!$B$10,Projects!$B$43*Assumptions!$B$10/Projects!$D$43*0.95),0)+IF(AND(Projects!$G$44="Yes",18&gt;=Projects!$C$44,18&lt;Projects!$C$44+Projects!$D$44),IF(18=Projects!$C$44+Projects!$D$44-1,Projects!$B$44*Assumptions!$B$10/Projects!$D$44*0.95+0.05*Projects!$B$44*Assumptions!$B$10,Projects!$B$44*Assumptions!$B$10/Projects!$D$44*0.95),0)+IF(AND(Projects!$G$45="Yes",18&gt;=Projects!$C$45,18&lt;Projects!$C$45+Projects!$D$45),IF(18=Projects!$C$45+Projects!$D$45-1,Projects!$B$45*Assumptions!$B$10/Projects!$D$45*0.95+0.05*Projects!$B$45*Assumptions!$B$10,Projects!$B$45*Assumptions!$B$10/Projects!$D$45*0.95),0)+IF(AND(Projects!$G$46="Yes",18&gt;=Projects!$C$46,18&lt;Projects!$C$46+Projects!$D$46),IF(18=Projects!$C$46+Projects!$D$46-1,Projects!$B$46*Assumptions!$B$10/Projects!$D$46*0.95+0.05*Projects!$B$46*Assumptions!$B$10,Projects!$B$46*Assumptions!$B$10/Projects!$D$46*0.95),0)</f>
        <v/>
      </c>
      <c r="U108">
        <f>IF(AND(Projects!$G$30="Yes",19&gt;=Projects!$C$30,19&lt;Projects!$C$30+Projects!$D$30),IF(19=Projects!$C$30+Projects!$D$30-1,Projects!$B$30*Assumptions!$B$10/Projects!$D$30*0.95+0.05*Projects!$B$30*Assumptions!$B$10,Projects!$B$30*Assumptions!$B$10/Projects!$D$30*0.95),0)+IF(AND(Projects!$G$31="Yes",19&gt;=Projects!$C$31,19&lt;Projects!$C$31+Projects!$D$31),IF(19=Projects!$C$31+Projects!$D$31-1,Projects!$B$31*Assumptions!$B$10/Projects!$D$31*0.95+0.05*Projects!$B$31*Assumptions!$B$10,Projects!$B$31*Assumptions!$B$10/Projects!$D$31*0.95),0)+IF(AND(Projects!$G$32="Yes",19&gt;=Projects!$C$32,19&lt;Projects!$C$32+Projects!$D$32),IF(19=Projects!$C$32+Projects!$D$32-1,Projects!$B$32*Assumptions!$B$10/Projects!$D$32*0.95+0.05*Projects!$B$32*Assumptions!$B$10,Projects!$B$32*Assumptions!$B$10/Projects!$D$32*0.95),0)+IF(AND(Projects!$G$33="Yes",19&gt;=Projects!$C$33,19&lt;Projects!$C$33+Projects!$D$33),IF(19=Projects!$C$33+Projects!$D$33-1,Projects!$B$33*Assumptions!$B$10/Projects!$D$33*0.95+0.05*Projects!$B$33*Assumptions!$B$10,Projects!$B$33*Assumptions!$B$10/Projects!$D$33*0.95),0)+IF(AND(Projects!$G$34="Yes",19&gt;=Projects!$C$34,19&lt;Projects!$C$34+Projects!$D$34),IF(19=Projects!$C$34+Projects!$D$34-1,Projects!$B$34*Assumptions!$B$10/Projects!$D$34*0.95+0.05*Projects!$B$34*Assumptions!$B$10,Projects!$B$34*Assumptions!$B$10/Projects!$D$34*0.95),0)+IF(AND(Projects!$G$35="Yes",19&gt;=Projects!$C$35,19&lt;Projects!$C$35+Projects!$D$35),IF(19=Projects!$C$35+Projects!$D$35-1,Projects!$B$35*Assumptions!$B$10/Projects!$D$35*0.95+0.05*Projects!$B$35*Assumptions!$B$10,Projects!$B$35*Assumptions!$B$10/Projects!$D$35*0.95),0)+IF(AND(Projects!$G$36="Yes",19&gt;=Projects!$C$36,19&lt;Projects!$C$36+Projects!$D$36),IF(19=Projects!$C$36+Projects!$D$36-1,Projects!$B$36*Assumptions!$B$10/Projects!$D$36*0.95+0.05*Projects!$B$36*Assumptions!$B$10,Projects!$B$36*Assumptions!$B$10/Projects!$D$36*0.95),0)+IF(AND(Projects!$G$37="Yes",19&gt;=Projects!$C$37,19&lt;Projects!$C$37+Projects!$D$37),IF(19=Projects!$C$37+Projects!$D$37-1,Projects!$B$37*Assumptions!$B$10/Projects!$D$37*0.95+0.05*Projects!$B$37*Assumptions!$B$10,Projects!$B$37*Assumptions!$B$10/Projects!$D$37*0.95),0)+IF(AND(Projects!$G$38="Yes",19&gt;=Projects!$C$38,19&lt;Projects!$C$38+Projects!$D$38),IF(19=Projects!$C$38+Projects!$D$38-1,Projects!$B$38*Assumptions!$B$10/Projects!$D$38*0.95+0.05*Projects!$B$38*Assumptions!$B$10,Projects!$B$38*Assumptions!$B$10/Projects!$D$38*0.95),0)+IF(AND(Projects!$G$39="Yes",19&gt;=Projects!$C$39,19&lt;Projects!$C$39+Projects!$D$39),IF(19=Projects!$C$39+Projects!$D$39-1,Projects!$B$39*Assumptions!$B$10/Projects!$D$39*0.95+0.05*Projects!$B$39*Assumptions!$B$10,Projects!$B$39*Assumptions!$B$10/Projects!$D$39*0.95),0)+IF(AND(Projects!$G$40="Yes",19&gt;=Projects!$C$40,19&lt;Projects!$C$40+Projects!$D$40),IF(19=Projects!$C$40+Projects!$D$40-1,Projects!$B$40*Assumptions!$B$10/Projects!$D$40*0.95+0.05*Projects!$B$40*Assumptions!$B$10,Projects!$B$40*Assumptions!$B$10/Projects!$D$40*0.95),0)+IF(AND(Projects!$G$41="Yes",19&gt;=Projects!$C$41,19&lt;Projects!$C$41+Projects!$D$41),IF(19=Projects!$C$41+Projects!$D$41-1,Projects!$B$41*Assumptions!$B$10/Projects!$D$41*0.95+0.05*Projects!$B$41*Assumptions!$B$10,Projects!$B$41*Assumptions!$B$10/Projects!$D$41*0.95),0)+IF(AND(Projects!$G$42="Yes",19&gt;=Projects!$C$42,19&lt;Projects!$C$42+Projects!$D$42),IF(19=Projects!$C$42+Projects!$D$42-1,Projects!$B$42*Assumptions!$B$10/Projects!$D$42*0.95+0.05*Projects!$B$42*Assumptions!$B$10,Projects!$B$42*Assumptions!$B$10/Projects!$D$42*0.95),0)+IF(AND(Projects!$G$43="Yes",19&gt;=Projects!$C$43,19&lt;Projects!$C$43+Projects!$D$43),IF(19=Projects!$C$43+Projects!$D$43-1,Projects!$B$43*Assumptions!$B$10/Projects!$D$43*0.95+0.05*Projects!$B$43*Assumptions!$B$10,Projects!$B$43*Assumptions!$B$10/Projects!$D$43*0.95),0)+IF(AND(Projects!$G$44="Yes",19&gt;=Projects!$C$44,19&lt;Projects!$C$44+Projects!$D$44),IF(19=Projects!$C$44+Projects!$D$44-1,Projects!$B$44*Assumptions!$B$10/Projects!$D$44*0.95+0.05*Projects!$B$44*Assumptions!$B$10,Projects!$B$44*Assumptions!$B$10/Projects!$D$44*0.95),0)+IF(AND(Projects!$G$45="Yes",19&gt;=Projects!$C$45,19&lt;Projects!$C$45+Projects!$D$45),IF(19=Projects!$C$45+Projects!$D$45-1,Projects!$B$45*Assumptions!$B$10/Projects!$D$45*0.95+0.05*Projects!$B$45*Assumptions!$B$10,Projects!$B$45*Assumptions!$B$10/Projects!$D$45*0.95),0)+IF(AND(Projects!$G$46="Yes",19&gt;=Projects!$C$46,19&lt;Projects!$C$46+Projects!$D$46),IF(19=Projects!$C$46+Projects!$D$46-1,Projects!$B$46*Assumptions!$B$10/Projects!$D$46*0.95+0.05*Projects!$B$46*Assumptions!$B$10,Projects!$B$46*Assumptions!$B$10/Projects!$D$46*0.95),0)</f>
        <v/>
      </c>
      <c r="V108">
        <f>IF(AND(Projects!$G$30="Yes",20&gt;=Projects!$C$30,20&lt;Projects!$C$30+Projects!$D$30),IF(20=Projects!$C$30+Projects!$D$30-1,Projects!$B$30*Assumptions!$B$10/Projects!$D$30*0.95+0.05*Projects!$B$30*Assumptions!$B$10,Projects!$B$30*Assumptions!$B$10/Projects!$D$30*0.95),0)+IF(AND(Projects!$G$31="Yes",20&gt;=Projects!$C$31,20&lt;Projects!$C$31+Projects!$D$31),IF(20=Projects!$C$31+Projects!$D$31-1,Projects!$B$31*Assumptions!$B$10/Projects!$D$31*0.95+0.05*Projects!$B$31*Assumptions!$B$10,Projects!$B$31*Assumptions!$B$10/Projects!$D$31*0.95),0)+IF(AND(Projects!$G$32="Yes",20&gt;=Projects!$C$32,20&lt;Projects!$C$32+Projects!$D$32),IF(20=Projects!$C$32+Projects!$D$32-1,Projects!$B$32*Assumptions!$B$10/Projects!$D$32*0.95+0.05*Projects!$B$32*Assumptions!$B$10,Projects!$B$32*Assumptions!$B$10/Projects!$D$32*0.95),0)+IF(AND(Projects!$G$33="Yes",20&gt;=Projects!$C$33,20&lt;Projects!$C$33+Projects!$D$33),IF(20=Projects!$C$33+Projects!$D$33-1,Projects!$B$33*Assumptions!$B$10/Projects!$D$33*0.95+0.05*Projects!$B$33*Assumptions!$B$10,Projects!$B$33*Assumptions!$B$10/Projects!$D$33*0.95),0)+IF(AND(Projects!$G$34="Yes",20&gt;=Projects!$C$34,20&lt;Projects!$C$34+Projects!$D$34),IF(20=Projects!$C$34+Projects!$D$34-1,Projects!$B$34*Assumptions!$B$10/Projects!$D$34*0.95+0.05*Projects!$B$34*Assumptions!$B$10,Projects!$B$34*Assumptions!$B$10/Projects!$D$34*0.95),0)+IF(AND(Projects!$G$35="Yes",20&gt;=Projects!$C$35,20&lt;Projects!$C$35+Projects!$D$35),IF(20=Projects!$C$35+Projects!$D$35-1,Projects!$B$35*Assumptions!$B$10/Projects!$D$35*0.95+0.05*Projects!$B$35*Assumptions!$B$10,Projects!$B$35*Assumptions!$B$10/Projects!$D$35*0.95),0)+IF(AND(Projects!$G$36="Yes",20&gt;=Projects!$C$36,20&lt;Projects!$C$36+Projects!$D$36),IF(20=Projects!$C$36+Projects!$D$36-1,Projects!$B$36*Assumptions!$B$10/Projects!$D$36*0.95+0.05*Projects!$B$36*Assumptions!$B$10,Projects!$B$36*Assumptions!$B$10/Projects!$D$36*0.95),0)+IF(AND(Projects!$G$37="Yes",20&gt;=Projects!$C$37,20&lt;Projects!$C$37+Projects!$D$37),IF(20=Projects!$C$37+Projects!$D$37-1,Projects!$B$37*Assumptions!$B$10/Projects!$D$37*0.95+0.05*Projects!$B$37*Assumptions!$B$10,Projects!$B$37*Assumptions!$B$10/Projects!$D$37*0.95),0)+IF(AND(Projects!$G$38="Yes",20&gt;=Projects!$C$38,20&lt;Projects!$C$38+Projects!$D$38),IF(20=Projects!$C$38+Projects!$D$38-1,Projects!$B$38*Assumptions!$B$10/Projects!$D$38*0.95+0.05*Projects!$B$38*Assumptions!$B$10,Projects!$B$38*Assumptions!$B$10/Projects!$D$38*0.95),0)+IF(AND(Projects!$G$39="Yes",20&gt;=Projects!$C$39,20&lt;Projects!$C$39+Projects!$D$39),IF(20=Projects!$C$39+Projects!$D$39-1,Projects!$B$39*Assumptions!$B$10/Projects!$D$39*0.95+0.05*Projects!$B$39*Assumptions!$B$10,Projects!$B$39*Assumptions!$B$10/Projects!$D$39*0.95),0)+IF(AND(Projects!$G$40="Yes",20&gt;=Projects!$C$40,20&lt;Projects!$C$40+Projects!$D$40),IF(20=Projects!$C$40+Projects!$D$40-1,Projects!$B$40*Assumptions!$B$10/Projects!$D$40*0.95+0.05*Projects!$B$40*Assumptions!$B$10,Projects!$B$40*Assumptions!$B$10/Projects!$D$40*0.95),0)+IF(AND(Projects!$G$41="Yes",20&gt;=Projects!$C$41,20&lt;Projects!$C$41+Projects!$D$41),IF(20=Projects!$C$41+Projects!$D$41-1,Projects!$B$41*Assumptions!$B$10/Projects!$D$41*0.95+0.05*Projects!$B$41*Assumptions!$B$10,Projects!$B$41*Assumptions!$B$10/Projects!$D$41*0.95),0)+IF(AND(Projects!$G$42="Yes",20&gt;=Projects!$C$42,20&lt;Projects!$C$42+Projects!$D$42),IF(20=Projects!$C$42+Projects!$D$42-1,Projects!$B$42*Assumptions!$B$10/Projects!$D$42*0.95+0.05*Projects!$B$42*Assumptions!$B$10,Projects!$B$42*Assumptions!$B$10/Projects!$D$42*0.95),0)+IF(AND(Projects!$G$43="Yes",20&gt;=Projects!$C$43,20&lt;Projects!$C$43+Projects!$D$43),IF(20=Projects!$C$43+Projects!$D$43-1,Projects!$B$43*Assumptions!$B$10/Projects!$D$43*0.95+0.05*Projects!$B$43*Assumptions!$B$10,Projects!$B$43*Assumptions!$B$10/Projects!$D$43*0.95),0)+IF(AND(Projects!$G$44="Yes",20&gt;=Projects!$C$44,20&lt;Projects!$C$44+Projects!$D$44),IF(20=Projects!$C$44+Projects!$D$44-1,Projects!$B$44*Assumptions!$B$10/Projects!$D$44*0.95+0.05*Projects!$B$44*Assumptions!$B$10,Projects!$B$44*Assumptions!$B$10/Projects!$D$44*0.95),0)+IF(AND(Projects!$G$45="Yes",20&gt;=Projects!$C$45,20&lt;Projects!$C$45+Projects!$D$45),IF(20=Projects!$C$45+Projects!$D$45-1,Projects!$B$45*Assumptions!$B$10/Projects!$D$45*0.95+0.05*Projects!$B$45*Assumptions!$B$10,Projects!$B$45*Assumptions!$B$10/Projects!$D$45*0.95),0)+IF(AND(Projects!$G$46="Yes",20&gt;=Projects!$C$46,20&lt;Projects!$C$46+Projects!$D$46),IF(20=Projects!$C$46+Projects!$D$46-1,Projects!$B$46*Assumptions!$B$10/Projects!$D$46*0.95+0.05*Projects!$B$46*Assumptions!$B$10,Projects!$B$46*Assumptions!$B$10/Projects!$D$46*0.95),0)</f>
        <v/>
      </c>
      <c r="W108">
        <f>IF(AND(Projects!$G$30="Yes",21&gt;=Projects!$C$30,21&lt;Projects!$C$30+Projects!$D$30),IF(21=Projects!$C$30+Projects!$D$30-1,Projects!$B$30*Assumptions!$B$10/Projects!$D$30*0.95+0.05*Projects!$B$30*Assumptions!$B$10,Projects!$B$30*Assumptions!$B$10/Projects!$D$30*0.95),0)+IF(AND(Projects!$G$31="Yes",21&gt;=Projects!$C$31,21&lt;Projects!$C$31+Projects!$D$31),IF(21=Projects!$C$31+Projects!$D$31-1,Projects!$B$31*Assumptions!$B$10/Projects!$D$31*0.95+0.05*Projects!$B$31*Assumptions!$B$10,Projects!$B$31*Assumptions!$B$10/Projects!$D$31*0.95),0)+IF(AND(Projects!$G$32="Yes",21&gt;=Projects!$C$32,21&lt;Projects!$C$32+Projects!$D$32),IF(21=Projects!$C$32+Projects!$D$32-1,Projects!$B$32*Assumptions!$B$10/Projects!$D$32*0.95+0.05*Projects!$B$32*Assumptions!$B$10,Projects!$B$32*Assumptions!$B$10/Projects!$D$32*0.95),0)+IF(AND(Projects!$G$33="Yes",21&gt;=Projects!$C$33,21&lt;Projects!$C$33+Projects!$D$33),IF(21=Projects!$C$33+Projects!$D$33-1,Projects!$B$33*Assumptions!$B$10/Projects!$D$33*0.95+0.05*Projects!$B$33*Assumptions!$B$10,Projects!$B$33*Assumptions!$B$10/Projects!$D$33*0.95),0)+IF(AND(Projects!$G$34="Yes",21&gt;=Projects!$C$34,21&lt;Projects!$C$34+Projects!$D$34),IF(21=Projects!$C$34+Projects!$D$34-1,Projects!$B$34*Assumptions!$B$10/Projects!$D$34*0.95+0.05*Projects!$B$34*Assumptions!$B$10,Projects!$B$34*Assumptions!$B$10/Projects!$D$34*0.95),0)+IF(AND(Projects!$G$35="Yes",21&gt;=Projects!$C$35,21&lt;Projects!$C$35+Projects!$D$35),IF(21=Projects!$C$35+Projects!$D$35-1,Projects!$B$35*Assumptions!$B$10/Projects!$D$35*0.95+0.05*Projects!$B$35*Assumptions!$B$10,Projects!$B$35*Assumptions!$B$10/Projects!$D$35*0.95),0)+IF(AND(Projects!$G$36="Yes",21&gt;=Projects!$C$36,21&lt;Projects!$C$36+Projects!$D$36),IF(21=Projects!$C$36+Projects!$D$36-1,Projects!$B$36*Assumptions!$B$10/Projects!$D$36*0.95+0.05*Projects!$B$36*Assumptions!$B$10,Projects!$B$36*Assumptions!$B$10/Projects!$D$36*0.95),0)+IF(AND(Projects!$G$37="Yes",21&gt;=Projects!$C$37,21&lt;Projects!$C$37+Projects!$D$37),IF(21=Projects!$C$37+Projects!$D$37-1,Projects!$B$37*Assumptions!$B$10/Projects!$D$37*0.95+0.05*Projects!$B$37*Assumptions!$B$10,Projects!$B$37*Assumptions!$B$10/Projects!$D$37*0.95),0)+IF(AND(Projects!$G$38="Yes",21&gt;=Projects!$C$38,21&lt;Projects!$C$38+Projects!$D$38),IF(21=Projects!$C$38+Projects!$D$38-1,Projects!$B$38*Assumptions!$B$10/Projects!$D$38*0.95+0.05*Projects!$B$38*Assumptions!$B$10,Projects!$B$38*Assumptions!$B$10/Projects!$D$38*0.95),0)+IF(AND(Projects!$G$39="Yes",21&gt;=Projects!$C$39,21&lt;Projects!$C$39+Projects!$D$39),IF(21=Projects!$C$39+Projects!$D$39-1,Projects!$B$39*Assumptions!$B$10/Projects!$D$39*0.95+0.05*Projects!$B$39*Assumptions!$B$10,Projects!$B$39*Assumptions!$B$10/Projects!$D$39*0.95),0)+IF(AND(Projects!$G$40="Yes",21&gt;=Projects!$C$40,21&lt;Projects!$C$40+Projects!$D$40),IF(21=Projects!$C$40+Projects!$D$40-1,Projects!$B$40*Assumptions!$B$10/Projects!$D$40*0.95+0.05*Projects!$B$40*Assumptions!$B$10,Projects!$B$40*Assumptions!$B$10/Projects!$D$40*0.95),0)+IF(AND(Projects!$G$41="Yes",21&gt;=Projects!$C$41,21&lt;Projects!$C$41+Projects!$D$41),IF(21=Projects!$C$41+Projects!$D$41-1,Projects!$B$41*Assumptions!$B$10/Projects!$D$41*0.95+0.05*Projects!$B$41*Assumptions!$B$10,Projects!$B$41*Assumptions!$B$10/Projects!$D$41*0.95),0)+IF(AND(Projects!$G$42="Yes",21&gt;=Projects!$C$42,21&lt;Projects!$C$42+Projects!$D$42),IF(21=Projects!$C$42+Projects!$D$42-1,Projects!$B$42*Assumptions!$B$10/Projects!$D$42*0.95+0.05*Projects!$B$42*Assumptions!$B$10,Projects!$B$42*Assumptions!$B$10/Projects!$D$42*0.95),0)+IF(AND(Projects!$G$43="Yes",21&gt;=Projects!$C$43,21&lt;Projects!$C$43+Projects!$D$43),IF(21=Projects!$C$43+Projects!$D$43-1,Projects!$B$43*Assumptions!$B$10/Projects!$D$43*0.95+0.05*Projects!$B$43*Assumptions!$B$10,Projects!$B$43*Assumptions!$B$10/Projects!$D$43*0.95),0)+IF(AND(Projects!$G$44="Yes",21&gt;=Projects!$C$44,21&lt;Projects!$C$44+Projects!$D$44),IF(21=Projects!$C$44+Projects!$D$44-1,Projects!$B$44*Assumptions!$B$10/Projects!$D$44*0.95+0.05*Projects!$B$44*Assumptions!$B$10,Projects!$B$44*Assumptions!$B$10/Projects!$D$44*0.95),0)+IF(AND(Projects!$G$45="Yes",21&gt;=Projects!$C$45,21&lt;Projects!$C$45+Projects!$D$45),IF(21=Projects!$C$45+Projects!$D$45-1,Projects!$B$45*Assumptions!$B$10/Projects!$D$45*0.95+0.05*Projects!$B$45*Assumptions!$B$10,Projects!$B$45*Assumptions!$B$10/Projects!$D$45*0.95),0)+IF(AND(Projects!$G$46="Yes",21&gt;=Projects!$C$46,21&lt;Projects!$C$46+Projects!$D$46),IF(21=Projects!$C$46+Projects!$D$46-1,Projects!$B$46*Assumptions!$B$10/Projects!$D$46*0.95+0.05*Projects!$B$46*Assumptions!$B$10,Projects!$B$46*Assumptions!$B$10/Projects!$D$46*0.95),0)</f>
        <v/>
      </c>
      <c r="X108">
        <f>IF(AND(Projects!$G$30="Yes",22&gt;=Projects!$C$30,22&lt;Projects!$C$30+Projects!$D$30),IF(22=Projects!$C$30+Projects!$D$30-1,Projects!$B$30*Assumptions!$B$10/Projects!$D$30*0.95+0.05*Projects!$B$30*Assumptions!$B$10,Projects!$B$30*Assumptions!$B$10/Projects!$D$30*0.95),0)+IF(AND(Projects!$G$31="Yes",22&gt;=Projects!$C$31,22&lt;Projects!$C$31+Projects!$D$31),IF(22=Projects!$C$31+Projects!$D$31-1,Projects!$B$31*Assumptions!$B$10/Projects!$D$31*0.95+0.05*Projects!$B$31*Assumptions!$B$10,Projects!$B$31*Assumptions!$B$10/Projects!$D$31*0.95),0)+IF(AND(Projects!$G$32="Yes",22&gt;=Projects!$C$32,22&lt;Projects!$C$32+Projects!$D$32),IF(22=Projects!$C$32+Projects!$D$32-1,Projects!$B$32*Assumptions!$B$10/Projects!$D$32*0.95+0.05*Projects!$B$32*Assumptions!$B$10,Projects!$B$32*Assumptions!$B$10/Projects!$D$32*0.95),0)+IF(AND(Projects!$G$33="Yes",22&gt;=Projects!$C$33,22&lt;Projects!$C$33+Projects!$D$33),IF(22=Projects!$C$33+Projects!$D$33-1,Projects!$B$33*Assumptions!$B$10/Projects!$D$33*0.95+0.05*Projects!$B$33*Assumptions!$B$10,Projects!$B$33*Assumptions!$B$10/Projects!$D$33*0.95),0)+IF(AND(Projects!$G$34="Yes",22&gt;=Projects!$C$34,22&lt;Projects!$C$34+Projects!$D$34),IF(22=Projects!$C$34+Projects!$D$34-1,Projects!$B$34*Assumptions!$B$10/Projects!$D$34*0.95+0.05*Projects!$B$34*Assumptions!$B$10,Projects!$B$34*Assumptions!$B$10/Projects!$D$34*0.95),0)+IF(AND(Projects!$G$35="Yes",22&gt;=Projects!$C$35,22&lt;Projects!$C$35+Projects!$D$35),IF(22=Projects!$C$35+Projects!$D$35-1,Projects!$B$35*Assumptions!$B$10/Projects!$D$35*0.95+0.05*Projects!$B$35*Assumptions!$B$10,Projects!$B$35*Assumptions!$B$10/Projects!$D$35*0.95),0)+IF(AND(Projects!$G$36="Yes",22&gt;=Projects!$C$36,22&lt;Projects!$C$36+Projects!$D$36),IF(22=Projects!$C$36+Projects!$D$36-1,Projects!$B$36*Assumptions!$B$10/Projects!$D$36*0.95+0.05*Projects!$B$36*Assumptions!$B$10,Projects!$B$36*Assumptions!$B$10/Projects!$D$36*0.95),0)+IF(AND(Projects!$G$37="Yes",22&gt;=Projects!$C$37,22&lt;Projects!$C$37+Projects!$D$37),IF(22=Projects!$C$37+Projects!$D$37-1,Projects!$B$37*Assumptions!$B$10/Projects!$D$37*0.95+0.05*Projects!$B$37*Assumptions!$B$10,Projects!$B$37*Assumptions!$B$10/Projects!$D$37*0.95),0)+IF(AND(Projects!$G$38="Yes",22&gt;=Projects!$C$38,22&lt;Projects!$C$38+Projects!$D$38),IF(22=Projects!$C$38+Projects!$D$38-1,Projects!$B$38*Assumptions!$B$10/Projects!$D$38*0.95+0.05*Projects!$B$38*Assumptions!$B$10,Projects!$B$38*Assumptions!$B$10/Projects!$D$38*0.95),0)+IF(AND(Projects!$G$39="Yes",22&gt;=Projects!$C$39,22&lt;Projects!$C$39+Projects!$D$39),IF(22=Projects!$C$39+Projects!$D$39-1,Projects!$B$39*Assumptions!$B$10/Projects!$D$39*0.95+0.05*Projects!$B$39*Assumptions!$B$10,Projects!$B$39*Assumptions!$B$10/Projects!$D$39*0.95),0)+IF(AND(Projects!$G$40="Yes",22&gt;=Projects!$C$40,22&lt;Projects!$C$40+Projects!$D$40),IF(22=Projects!$C$40+Projects!$D$40-1,Projects!$B$40*Assumptions!$B$10/Projects!$D$40*0.95+0.05*Projects!$B$40*Assumptions!$B$10,Projects!$B$40*Assumptions!$B$10/Projects!$D$40*0.95),0)+IF(AND(Projects!$G$41="Yes",22&gt;=Projects!$C$41,22&lt;Projects!$C$41+Projects!$D$41),IF(22=Projects!$C$41+Projects!$D$41-1,Projects!$B$41*Assumptions!$B$10/Projects!$D$41*0.95+0.05*Projects!$B$41*Assumptions!$B$10,Projects!$B$41*Assumptions!$B$10/Projects!$D$41*0.95),0)+IF(AND(Projects!$G$42="Yes",22&gt;=Projects!$C$42,22&lt;Projects!$C$42+Projects!$D$42),IF(22=Projects!$C$42+Projects!$D$42-1,Projects!$B$42*Assumptions!$B$10/Projects!$D$42*0.95+0.05*Projects!$B$42*Assumptions!$B$10,Projects!$B$42*Assumptions!$B$10/Projects!$D$42*0.95),0)+IF(AND(Projects!$G$43="Yes",22&gt;=Projects!$C$43,22&lt;Projects!$C$43+Projects!$D$43),IF(22=Projects!$C$43+Projects!$D$43-1,Projects!$B$43*Assumptions!$B$10/Projects!$D$43*0.95+0.05*Projects!$B$43*Assumptions!$B$10,Projects!$B$43*Assumptions!$B$10/Projects!$D$43*0.95),0)+IF(AND(Projects!$G$44="Yes",22&gt;=Projects!$C$44,22&lt;Projects!$C$44+Projects!$D$44),IF(22=Projects!$C$44+Projects!$D$44-1,Projects!$B$44*Assumptions!$B$10/Projects!$D$44*0.95+0.05*Projects!$B$44*Assumptions!$B$10,Projects!$B$44*Assumptions!$B$10/Projects!$D$44*0.95),0)+IF(AND(Projects!$G$45="Yes",22&gt;=Projects!$C$45,22&lt;Projects!$C$45+Projects!$D$45),IF(22=Projects!$C$45+Projects!$D$45-1,Projects!$B$45*Assumptions!$B$10/Projects!$D$45*0.95+0.05*Projects!$B$45*Assumptions!$B$10,Projects!$B$45*Assumptions!$B$10/Projects!$D$45*0.95),0)+IF(AND(Projects!$G$46="Yes",22&gt;=Projects!$C$46,22&lt;Projects!$C$46+Projects!$D$46),IF(22=Projects!$C$46+Projects!$D$46-1,Projects!$B$46*Assumptions!$B$10/Projects!$D$46*0.95+0.05*Projects!$B$46*Assumptions!$B$10,Projects!$B$46*Assumptions!$B$10/Projects!$D$46*0.95),0)</f>
        <v/>
      </c>
      <c r="Y108">
        <f>IF(AND(Projects!$G$30="Yes",23&gt;=Projects!$C$30,23&lt;Projects!$C$30+Projects!$D$30),IF(23=Projects!$C$30+Projects!$D$30-1,Projects!$B$30*Assumptions!$B$10/Projects!$D$30*0.95+0.05*Projects!$B$30*Assumptions!$B$10,Projects!$B$30*Assumptions!$B$10/Projects!$D$30*0.95),0)+IF(AND(Projects!$G$31="Yes",23&gt;=Projects!$C$31,23&lt;Projects!$C$31+Projects!$D$31),IF(23=Projects!$C$31+Projects!$D$31-1,Projects!$B$31*Assumptions!$B$10/Projects!$D$31*0.95+0.05*Projects!$B$31*Assumptions!$B$10,Projects!$B$31*Assumptions!$B$10/Projects!$D$31*0.95),0)+IF(AND(Projects!$G$32="Yes",23&gt;=Projects!$C$32,23&lt;Projects!$C$32+Projects!$D$32),IF(23=Projects!$C$32+Projects!$D$32-1,Projects!$B$32*Assumptions!$B$10/Projects!$D$32*0.95+0.05*Projects!$B$32*Assumptions!$B$10,Projects!$B$32*Assumptions!$B$10/Projects!$D$32*0.95),0)+IF(AND(Projects!$G$33="Yes",23&gt;=Projects!$C$33,23&lt;Projects!$C$33+Projects!$D$33),IF(23=Projects!$C$33+Projects!$D$33-1,Projects!$B$33*Assumptions!$B$10/Projects!$D$33*0.95+0.05*Projects!$B$33*Assumptions!$B$10,Projects!$B$33*Assumptions!$B$10/Projects!$D$33*0.95),0)+IF(AND(Projects!$G$34="Yes",23&gt;=Projects!$C$34,23&lt;Projects!$C$34+Projects!$D$34),IF(23=Projects!$C$34+Projects!$D$34-1,Projects!$B$34*Assumptions!$B$10/Projects!$D$34*0.95+0.05*Projects!$B$34*Assumptions!$B$10,Projects!$B$34*Assumptions!$B$10/Projects!$D$34*0.95),0)+IF(AND(Projects!$G$35="Yes",23&gt;=Projects!$C$35,23&lt;Projects!$C$35+Projects!$D$35),IF(23=Projects!$C$35+Projects!$D$35-1,Projects!$B$35*Assumptions!$B$10/Projects!$D$35*0.95+0.05*Projects!$B$35*Assumptions!$B$10,Projects!$B$35*Assumptions!$B$10/Projects!$D$35*0.95),0)+IF(AND(Projects!$G$36="Yes",23&gt;=Projects!$C$36,23&lt;Projects!$C$36+Projects!$D$36),IF(23=Projects!$C$36+Projects!$D$36-1,Projects!$B$36*Assumptions!$B$10/Projects!$D$36*0.95+0.05*Projects!$B$36*Assumptions!$B$10,Projects!$B$36*Assumptions!$B$10/Projects!$D$36*0.95),0)+IF(AND(Projects!$G$37="Yes",23&gt;=Projects!$C$37,23&lt;Projects!$C$37+Projects!$D$37),IF(23=Projects!$C$37+Projects!$D$37-1,Projects!$B$37*Assumptions!$B$10/Projects!$D$37*0.95+0.05*Projects!$B$37*Assumptions!$B$10,Projects!$B$37*Assumptions!$B$10/Projects!$D$37*0.95),0)+IF(AND(Projects!$G$38="Yes",23&gt;=Projects!$C$38,23&lt;Projects!$C$38+Projects!$D$38),IF(23=Projects!$C$38+Projects!$D$38-1,Projects!$B$38*Assumptions!$B$10/Projects!$D$38*0.95+0.05*Projects!$B$38*Assumptions!$B$10,Projects!$B$38*Assumptions!$B$10/Projects!$D$38*0.95),0)+IF(AND(Projects!$G$39="Yes",23&gt;=Projects!$C$39,23&lt;Projects!$C$39+Projects!$D$39),IF(23=Projects!$C$39+Projects!$D$39-1,Projects!$B$39*Assumptions!$B$10/Projects!$D$39*0.95+0.05*Projects!$B$39*Assumptions!$B$10,Projects!$B$39*Assumptions!$B$10/Projects!$D$39*0.95),0)+IF(AND(Projects!$G$40="Yes",23&gt;=Projects!$C$40,23&lt;Projects!$C$40+Projects!$D$40),IF(23=Projects!$C$40+Projects!$D$40-1,Projects!$B$40*Assumptions!$B$10/Projects!$D$40*0.95+0.05*Projects!$B$40*Assumptions!$B$10,Projects!$B$40*Assumptions!$B$10/Projects!$D$40*0.95),0)+IF(AND(Projects!$G$41="Yes",23&gt;=Projects!$C$41,23&lt;Projects!$C$41+Projects!$D$41),IF(23=Projects!$C$41+Projects!$D$41-1,Projects!$B$41*Assumptions!$B$10/Projects!$D$41*0.95+0.05*Projects!$B$41*Assumptions!$B$10,Projects!$B$41*Assumptions!$B$10/Projects!$D$41*0.95),0)+IF(AND(Projects!$G$42="Yes",23&gt;=Projects!$C$42,23&lt;Projects!$C$42+Projects!$D$42),IF(23=Projects!$C$42+Projects!$D$42-1,Projects!$B$42*Assumptions!$B$10/Projects!$D$42*0.95+0.05*Projects!$B$42*Assumptions!$B$10,Projects!$B$42*Assumptions!$B$10/Projects!$D$42*0.95),0)+IF(AND(Projects!$G$43="Yes",23&gt;=Projects!$C$43,23&lt;Projects!$C$43+Projects!$D$43),IF(23=Projects!$C$43+Projects!$D$43-1,Projects!$B$43*Assumptions!$B$10/Projects!$D$43*0.95+0.05*Projects!$B$43*Assumptions!$B$10,Projects!$B$43*Assumptions!$B$10/Projects!$D$43*0.95),0)+IF(AND(Projects!$G$44="Yes",23&gt;=Projects!$C$44,23&lt;Projects!$C$44+Projects!$D$44),IF(23=Projects!$C$44+Projects!$D$44-1,Projects!$B$44*Assumptions!$B$10/Projects!$D$44*0.95+0.05*Projects!$B$44*Assumptions!$B$10,Projects!$B$44*Assumptions!$B$10/Projects!$D$44*0.95),0)+IF(AND(Projects!$G$45="Yes",23&gt;=Projects!$C$45,23&lt;Projects!$C$45+Projects!$D$45),IF(23=Projects!$C$45+Projects!$D$45-1,Projects!$B$45*Assumptions!$B$10/Projects!$D$45*0.95+0.05*Projects!$B$45*Assumptions!$B$10,Projects!$B$45*Assumptions!$B$10/Projects!$D$45*0.95),0)+IF(AND(Projects!$G$46="Yes",23&gt;=Projects!$C$46,23&lt;Projects!$C$46+Projects!$D$46),IF(23=Projects!$C$46+Projects!$D$46-1,Projects!$B$46*Assumptions!$B$10/Projects!$D$46*0.95+0.05*Projects!$B$46*Assumptions!$B$10,Projects!$B$46*Assumptions!$B$10/Projects!$D$46*0.95),0)</f>
        <v/>
      </c>
      <c r="Z108">
        <f>IF(AND(Projects!$G$30="Yes",24&gt;=Projects!$C$30,24&lt;Projects!$C$30+Projects!$D$30),IF(24=Projects!$C$30+Projects!$D$30-1,Projects!$B$30*Assumptions!$B$10/Projects!$D$30*0.95+0.05*Projects!$B$30*Assumptions!$B$10,Projects!$B$30*Assumptions!$B$10/Projects!$D$30*0.95),0)+IF(AND(Projects!$G$31="Yes",24&gt;=Projects!$C$31,24&lt;Projects!$C$31+Projects!$D$31),IF(24=Projects!$C$31+Projects!$D$31-1,Projects!$B$31*Assumptions!$B$10/Projects!$D$31*0.95+0.05*Projects!$B$31*Assumptions!$B$10,Projects!$B$31*Assumptions!$B$10/Projects!$D$31*0.95),0)+IF(AND(Projects!$G$32="Yes",24&gt;=Projects!$C$32,24&lt;Projects!$C$32+Projects!$D$32),IF(24=Projects!$C$32+Projects!$D$32-1,Projects!$B$32*Assumptions!$B$10/Projects!$D$32*0.95+0.05*Projects!$B$32*Assumptions!$B$10,Projects!$B$32*Assumptions!$B$10/Projects!$D$32*0.95),0)+IF(AND(Projects!$G$33="Yes",24&gt;=Projects!$C$33,24&lt;Projects!$C$33+Projects!$D$33),IF(24=Projects!$C$33+Projects!$D$33-1,Projects!$B$33*Assumptions!$B$10/Projects!$D$33*0.95+0.05*Projects!$B$33*Assumptions!$B$10,Projects!$B$33*Assumptions!$B$10/Projects!$D$33*0.95),0)+IF(AND(Projects!$G$34="Yes",24&gt;=Projects!$C$34,24&lt;Projects!$C$34+Projects!$D$34),IF(24=Projects!$C$34+Projects!$D$34-1,Projects!$B$34*Assumptions!$B$10/Projects!$D$34*0.95+0.05*Projects!$B$34*Assumptions!$B$10,Projects!$B$34*Assumptions!$B$10/Projects!$D$34*0.95),0)+IF(AND(Projects!$G$35="Yes",24&gt;=Projects!$C$35,24&lt;Projects!$C$35+Projects!$D$35),IF(24=Projects!$C$35+Projects!$D$35-1,Projects!$B$35*Assumptions!$B$10/Projects!$D$35*0.95+0.05*Projects!$B$35*Assumptions!$B$10,Projects!$B$35*Assumptions!$B$10/Projects!$D$35*0.95),0)+IF(AND(Projects!$G$36="Yes",24&gt;=Projects!$C$36,24&lt;Projects!$C$36+Projects!$D$36),IF(24=Projects!$C$36+Projects!$D$36-1,Projects!$B$36*Assumptions!$B$10/Projects!$D$36*0.95+0.05*Projects!$B$36*Assumptions!$B$10,Projects!$B$36*Assumptions!$B$10/Projects!$D$36*0.95),0)+IF(AND(Projects!$G$37="Yes",24&gt;=Projects!$C$37,24&lt;Projects!$C$37+Projects!$D$37),IF(24=Projects!$C$37+Projects!$D$37-1,Projects!$B$37*Assumptions!$B$10/Projects!$D$37*0.95+0.05*Projects!$B$37*Assumptions!$B$10,Projects!$B$37*Assumptions!$B$10/Projects!$D$37*0.95),0)+IF(AND(Projects!$G$38="Yes",24&gt;=Projects!$C$38,24&lt;Projects!$C$38+Projects!$D$38),IF(24=Projects!$C$38+Projects!$D$38-1,Projects!$B$38*Assumptions!$B$10/Projects!$D$38*0.95+0.05*Projects!$B$38*Assumptions!$B$10,Projects!$B$38*Assumptions!$B$10/Projects!$D$38*0.95),0)+IF(AND(Projects!$G$39="Yes",24&gt;=Projects!$C$39,24&lt;Projects!$C$39+Projects!$D$39),IF(24=Projects!$C$39+Projects!$D$39-1,Projects!$B$39*Assumptions!$B$10/Projects!$D$39*0.95+0.05*Projects!$B$39*Assumptions!$B$10,Projects!$B$39*Assumptions!$B$10/Projects!$D$39*0.95),0)+IF(AND(Projects!$G$40="Yes",24&gt;=Projects!$C$40,24&lt;Projects!$C$40+Projects!$D$40),IF(24=Projects!$C$40+Projects!$D$40-1,Projects!$B$40*Assumptions!$B$10/Projects!$D$40*0.95+0.05*Projects!$B$40*Assumptions!$B$10,Projects!$B$40*Assumptions!$B$10/Projects!$D$40*0.95),0)+IF(AND(Projects!$G$41="Yes",24&gt;=Projects!$C$41,24&lt;Projects!$C$41+Projects!$D$41),IF(24=Projects!$C$41+Projects!$D$41-1,Projects!$B$41*Assumptions!$B$10/Projects!$D$41*0.95+0.05*Projects!$B$41*Assumptions!$B$10,Projects!$B$41*Assumptions!$B$10/Projects!$D$41*0.95),0)+IF(AND(Projects!$G$42="Yes",24&gt;=Projects!$C$42,24&lt;Projects!$C$42+Projects!$D$42),IF(24=Projects!$C$42+Projects!$D$42-1,Projects!$B$42*Assumptions!$B$10/Projects!$D$42*0.95+0.05*Projects!$B$42*Assumptions!$B$10,Projects!$B$42*Assumptions!$B$10/Projects!$D$42*0.95),0)+IF(AND(Projects!$G$43="Yes",24&gt;=Projects!$C$43,24&lt;Projects!$C$43+Projects!$D$43),IF(24=Projects!$C$43+Projects!$D$43-1,Projects!$B$43*Assumptions!$B$10/Projects!$D$43*0.95+0.05*Projects!$B$43*Assumptions!$B$10,Projects!$B$43*Assumptions!$B$10/Projects!$D$43*0.95),0)+IF(AND(Projects!$G$44="Yes",24&gt;=Projects!$C$44,24&lt;Projects!$C$44+Projects!$D$44),IF(24=Projects!$C$44+Projects!$D$44-1,Projects!$B$44*Assumptions!$B$10/Projects!$D$44*0.95+0.05*Projects!$B$44*Assumptions!$B$10,Projects!$B$44*Assumptions!$B$10/Projects!$D$44*0.95),0)+IF(AND(Projects!$G$45="Yes",24&gt;=Projects!$C$45,24&lt;Projects!$C$45+Projects!$D$45),IF(24=Projects!$C$45+Projects!$D$45-1,Projects!$B$45*Assumptions!$B$10/Projects!$D$45*0.95+0.05*Projects!$B$45*Assumptions!$B$10,Projects!$B$45*Assumptions!$B$10/Projects!$D$45*0.95),0)+IF(AND(Projects!$G$46="Yes",24&gt;=Projects!$C$46,24&lt;Projects!$C$46+Projects!$D$46),IF(24=Projects!$C$46+Projects!$D$46-1,Projects!$B$46*Assumptions!$B$10/Projects!$D$46*0.95+0.05*Projects!$B$46*Assumptions!$B$10,Projects!$B$46*Assumptions!$B$10/Projects!$D$46*0.95),0)</f>
        <v/>
      </c>
      <c r="AA108">
        <f>IF(AND(Projects!$G$30="Yes",25&gt;=Projects!$C$30,25&lt;Projects!$C$30+Projects!$D$30),IF(25=Projects!$C$30+Projects!$D$30-1,Projects!$B$30*Assumptions!$B$10/Projects!$D$30*0.95+0.05*Projects!$B$30*Assumptions!$B$10,Projects!$B$30*Assumptions!$B$10/Projects!$D$30*0.95),0)+IF(AND(Projects!$G$31="Yes",25&gt;=Projects!$C$31,25&lt;Projects!$C$31+Projects!$D$31),IF(25=Projects!$C$31+Projects!$D$31-1,Projects!$B$31*Assumptions!$B$10/Projects!$D$31*0.95+0.05*Projects!$B$31*Assumptions!$B$10,Projects!$B$31*Assumptions!$B$10/Projects!$D$31*0.95),0)+IF(AND(Projects!$G$32="Yes",25&gt;=Projects!$C$32,25&lt;Projects!$C$32+Projects!$D$32),IF(25=Projects!$C$32+Projects!$D$32-1,Projects!$B$32*Assumptions!$B$10/Projects!$D$32*0.95+0.05*Projects!$B$32*Assumptions!$B$10,Projects!$B$32*Assumptions!$B$10/Projects!$D$32*0.95),0)+IF(AND(Projects!$G$33="Yes",25&gt;=Projects!$C$33,25&lt;Projects!$C$33+Projects!$D$33),IF(25=Projects!$C$33+Projects!$D$33-1,Projects!$B$33*Assumptions!$B$10/Projects!$D$33*0.95+0.05*Projects!$B$33*Assumptions!$B$10,Projects!$B$33*Assumptions!$B$10/Projects!$D$33*0.95),0)+IF(AND(Projects!$G$34="Yes",25&gt;=Projects!$C$34,25&lt;Projects!$C$34+Projects!$D$34),IF(25=Projects!$C$34+Projects!$D$34-1,Projects!$B$34*Assumptions!$B$10/Projects!$D$34*0.95+0.05*Projects!$B$34*Assumptions!$B$10,Projects!$B$34*Assumptions!$B$10/Projects!$D$34*0.95),0)+IF(AND(Projects!$G$35="Yes",25&gt;=Projects!$C$35,25&lt;Projects!$C$35+Projects!$D$35),IF(25=Projects!$C$35+Projects!$D$35-1,Projects!$B$35*Assumptions!$B$10/Projects!$D$35*0.95+0.05*Projects!$B$35*Assumptions!$B$10,Projects!$B$35*Assumptions!$B$10/Projects!$D$35*0.95),0)+IF(AND(Projects!$G$36="Yes",25&gt;=Projects!$C$36,25&lt;Projects!$C$36+Projects!$D$36),IF(25=Projects!$C$36+Projects!$D$36-1,Projects!$B$36*Assumptions!$B$10/Projects!$D$36*0.95+0.05*Projects!$B$36*Assumptions!$B$10,Projects!$B$36*Assumptions!$B$10/Projects!$D$36*0.95),0)+IF(AND(Projects!$G$37="Yes",25&gt;=Projects!$C$37,25&lt;Projects!$C$37+Projects!$D$37),IF(25=Projects!$C$37+Projects!$D$37-1,Projects!$B$37*Assumptions!$B$10/Projects!$D$37*0.95+0.05*Projects!$B$37*Assumptions!$B$10,Projects!$B$37*Assumptions!$B$10/Projects!$D$37*0.95),0)+IF(AND(Projects!$G$38="Yes",25&gt;=Projects!$C$38,25&lt;Projects!$C$38+Projects!$D$38),IF(25=Projects!$C$38+Projects!$D$38-1,Projects!$B$38*Assumptions!$B$10/Projects!$D$38*0.95+0.05*Projects!$B$38*Assumptions!$B$10,Projects!$B$38*Assumptions!$B$10/Projects!$D$38*0.95),0)+IF(AND(Projects!$G$39="Yes",25&gt;=Projects!$C$39,25&lt;Projects!$C$39+Projects!$D$39),IF(25=Projects!$C$39+Projects!$D$39-1,Projects!$B$39*Assumptions!$B$10/Projects!$D$39*0.95+0.05*Projects!$B$39*Assumptions!$B$10,Projects!$B$39*Assumptions!$B$10/Projects!$D$39*0.95),0)+IF(AND(Projects!$G$40="Yes",25&gt;=Projects!$C$40,25&lt;Projects!$C$40+Projects!$D$40),IF(25=Projects!$C$40+Projects!$D$40-1,Projects!$B$40*Assumptions!$B$10/Projects!$D$40*0.95+0.05*Projects!$B$40*Assumptions!$B$10,Projects!$B$40*Assumptions!$B$10/Projects!$D$40*0.95),0)+IF(AND(Projects!$G$41="Yes",25&gt;=Projects!$C$41,25&lt;Projects!$C$41+Projects!$D$41),IF(25=Projects!$C$41+Projects!$D$41-1,Projects!$B$41*Assumptions!$B$10/Projects!$D$41*0.95+0.05*Projects!$B$41*Assumptions!$B$10,Projects!$B$41*Assumptions!$B$10/Projects!$D$41*0.95),0)+IF(AND(Projects!$G$42="Yes",25&gt;=Projects!$C$42,25&lt;Projects!$C$42+Projects!$D$42),IF(25=Projects!$C$42+Projects!$D$42-1,Projects!$B$42*Assumptions!$B$10/Projects!$D$42*0.95+0.05*Projects!$B$42*Assumptions!$B$10,Projects!$B$42*Assumptions!$B$10/Projects!$D$42*0.95),0)+IF(AND(Projects!$G$43="Yes",25&gt;=Projects!$C$43,25&lt;Projects!$C$43+Projects!$D$43),IF(25=Projects!$C$43+Projects!$D$43-1,Projects!$B$43*Assumptions!$B$10/Projects!$D$43*0.95+0.05*Projects!$B$43*Assumptions!$B$10,Projects!$B$43*Assumptions!$B$10/Projects!$D$43*0.95),0)+IF(AND(Projects!$G$44="Yes",25&gt;=Projects!$C$44,25&lt;Projects!$C$44+Projects!$D$44),IF(25=Projects!$C$44+Projects!$D$44-1,Projects!$B$44*Assumptions!$B$10/Projects!$D$44*0.95+0.05*Projects!$B$44*Assumptions!$B$10,Projects!$B$44*Assumptions!$B$10/Projects!$D$44*0.95),0)+IF(AND(Projects!$G$45="Yes",25&gt;=Projects!$C$45,25&lt;Projects!$C$45+Projects!$D$45),IF(25=Projects!$C$45+Projects!$D$45-1,Projects!$B$45*Assumptions!$B$10/Projects!$D$45*0.95+0.05*Projects!$B$45*Assumptions!$B$10,Projects!$B$45*Assumptions!$B$10/Projects!$D$45*0.95),0)+IF(AND(Projects!$G$46="Yes",25&gt;=Projects!$C$46,25&lt;Projects!$C$46+Projects!$D$46),IF(25=Projects!$C$46+Projects!$D$46-1,Projects!$B$46*Assumptions!$B$10/Projects!$D$46*0.95+0.05*Projects!$B$46*Assumptions!$B$10,Projects!$B$46*Assumptions!$B$10/Projects!$D$46*0.95),0)</f>
        <v/>
      </c>
      <c r="AB108">
        <f>IF(AND(Projects!$G$30="Yes",26&gt;=Projects!$C$30,26&lt;Projects!$C$30+Projects!$D$30),IF(26=Projects!$C$30+Projects!$D$30-1,Projects!$B$30*Assumptions!$B$10/Projects!$D$30*0.95+0.05*Projects!$B$30*Assumptions!$B$10,Projects!$B$30*Assumptions!$B$10/Projects!$D$30*0.95),0)+IF(AND(Projects!$G$31="Yes",26&gt;=Projects!$C$31,26&lt;Projects!$C$31+Projects!$D$31),IF(26=Projects!$C$31+Projects!$D$31-1,Projects!$B$31*Assumptions!$B$10/Projects!$D$31*0.95+0.05*Projects!$B$31*Assumptions!$B$10,Projects!$B$31*Assumptions!$B$10/Projects!$D$31*0.95),0)+IF(AND(Projects!$G$32="Yes",26&gt;=Projects!$C$32,26&lt;Projects!$C$32+Projects!$D$32),IF(26=Projects!$C$32+Projects!$D$32-1,Projects!$B$32*Assumptions!$B$10/Projects!$D$32*0.95+0.05*Projects!$B$32*Assumptions!$B$10,Projects!$B$32*Assumptions!$B$10/Projects!$D$32*0.95),0)+IF(AND(Projects!$G$33="Yes",26&gt;=Projects!$C$33,26&lt;Projects!$C$33+Projects!$D$33),IF(26=Projects!$C$33+Projects!$D$33-1,Projects!$B$33*Assumptions!$B$10/Projects!$D$33*0.95+0.05*Projects!$B$33*Assumptions!$B$10,Projects!$B$33*Assumptions!$B$10/Projects!$D$33*0.95),0)+IF(AND(Projects!$G$34="Yes",26&gt;=Projects!$C$34,26&lt;Projects!$C$34+Projects!$D$34),IF(26=Projects!$C$34+Projects!$D$34-1,Projects!$B$34*Assumptions!$B$10/Projects!$D$34*0.95+0.05*Projects!$B$34*Assumptions!$B$10,Projects!$B$34*Assumptions!$B$10/Projects!$D$34*0.95),0)+IF(AND(Projects!$G$35="Yes",26&gt;=Projects!$C$35,26&lt;Projects!$C$35+Projects!$D$35),IF(26=Projects!$C$35+Projects!$D$35-1,Projects!$B$35*Assumptions!$B$10/Projects!$D$35*0.95+0.05*Projects!$B$35*Assumptions!$B$10,Projects!$B$35*Assumptions!$B$10/Projects!$D$35*0.95),0)+IF(AND(Projects!$G$36="Yes",26&gt;=Projects!$C$36,26&lt;Projects!$C$36+Projects!$D$36),IF(26=Projects!$C$36+Projects!$D$36-1,Projects!$B$36*Assumptions!$B$10/Projects!$D$36*0.95+0.05*Projects!$B$36*Assumptions!$B$10,Projects!$B$36*Assumptions!$B$10/Projects!$D$36*0.95),0)+IF(AND(Projects!$G$37="Yes",26&gt;=Projects!$C$37,26&lt;Projects!$C$37+Projects!$D$37),IF(26=Projects!$C$37+Projects!$D$37-1,Projects!$B$37*Assumptions!$B$10/Projects!$D$37*0.95+0.05*Projects!$B$37*Assumptions!$B$10,Projects!$B$37*Assumptions!$B$10/Projects!$D$37*0.95),0)+IF(AND(Projects!$G$38="Yes",26&gt;=Projects!$C$38,26&lt;Projects!$C$38+Projects!$D$38),IF(26=Projects!$C$38+Projects!$D$38-1,Projects!$B$38*Assumptions!$B$10/Projects!$D$38*0.95+0.05*Projects!$B$38*Assumptions!$B$10,Projects!$B$38*Assumptions!$B$10/Projects!$D$38*0.95),0)+IF(AND(Projects!$G$39="Yes",26&gt;=Projects!$C$39,26&lt;Projects!$C$39+Projects!$D$39),IF(26=Projects!$C$39+Projects!$D$39-1,Projects!$B$39*Assumptions!$B$10/Projects!$D$39*0.95+0.05*Projects!$B$39*Assumptions!$B$10,Projects!$B$39*Assumptions!$B$10/Projects!$D$39*0.95),0)+IF(AND(Projects!$G$40="Yes",26&gt;=Projects!$C$40,26&lt;Projects!$C$40+Projects!$D$40),IF(26=Projects!$C$40+Projects!$D$40-1,Projects!$B$40*Assumptions!$B$10/Projects!$D$40*0.95+0.05*Projects!$B$40*Assumptions!$B$10,Projects!$B$40*Assumptions!$B$10/Projects!$D$40*0.95),0)+IF(AND(Projects!$G$41="Yes",26&gt;=Projects!$C$41,26&lt;Projects!$C$41+Projects!$D$41),IF(26=Projects!$C$41+Projects!$D$41-1,Projects!$B$41*Assumptions!$B$10/Projects!$D$41*0.95+0.05*Projects!$B$41*Assumptions!$B$10,Projects!$B$41*Assumptions!$B$10/Projects!$D$41*0.95),0)+IF(AND(Projects!$G$42="Yes",26&gt;=Projects!$C$42,26&lt;Projects!$C$42+Projects!$D$42),IF(26=Projects!$C$42+Projects!$D$42-1,Projects!$B$42*Assumptions!$B$10/Projects!$D$42*0.95+0.05*Projects!$B$42*Assumptions!$B$10,Projects!$B$42*Assumptions!$B$10/Projects!$D$42*0.95),0)+IF(AND(Projects!$G$43="Yes",26&gt;=Projects!$C$43,26&lt;Projects!$C$43+Projects!$D$43),IF(26=Projects!$C$43+Projects!$D$43-1,Projects!$B$43*Assumptions!$B$10/Projects!$D$43*0.95+0.05*Projects!$B$43*Assumptions!$B$10,Projects!$B$43*Assumptions!$B$10/Projects!$D$43*0.95),0)+IF(AND(Projects!$G$44="Yes",26&gt;=Projects!$C$44,26&lt;Projects!$C$44+Projects!$D$44),IF(26=Projects!$C$44+Projects!$D$44-1,Projects!$B$44*Assumptions!$B$10/Projects!$D$44*0.95+0.05*Projects!$B$44*Assumptions!$B$10,Projects!$B$44*Assumptions!$B$10/Projects!$D$44*0.95),0)+IF(AND(Projects!$G$45="Yes",26&gt;=Projects!$C$45,26&lt;Projects!$C$45+Projects!$D$45),IF(26=Projects!$C$45+Projects!$D$45-1,Projects!$B$45*Assumptions!$B$10/Projects!$D$45*0.95+0.05*Projects!$B$45*Assumptions!$B$10,Projects!$B$45*Assumptions!$B$10/Projects!$D$45*0.95),0)+IF(AND(Projects!$G$46="Yes",26&gt;=Projects!$C$46,26&lt;Projects!$C$46+Projects!$D$46),IF(26=Projects!$C$46+Projects!$D$46-1,Projects!$B$46*Assumptions!$B$10/Projects!$D$46*0.95+0.05*Projects!$B$46*Assumptions!$B$10,Projects!$B$46*Assumptions!$B$10/Projects!$D$46*0.95),0)</f>
        <v/>
      </c>
      <c r="AC108">
        <f>IF(AND(Projects!$G$30="Yes",27&gt;=Projects!$C$30,27&lt;Projects!$C$30+Projects!$D$30),IF(27=Projects!$C$30+Projects!$D$30-1,Projects!$B$30*Assumptions!$B$10/Projects!$D$30*0.95+0.05*Projects!$B$30*Assumptions!$B$10,Projects!$B$30*Assumptions!$B$10/Projects!$D$30*0.95),0)+IF(AND(Projects!$G$31="Yes",27&gt;=Projects!$C$31,27&lt;Projects!$C$31+Projects!$D$31),IF(27=Projects!$C$31+Projects!$D$31-1,Projects!$B$31*Assumptions!$B$10/Projects!$D$31*0.95+0.05*Projects!$B$31*Assumptions!$B$10,Projects!$B$31*Assumptions!$B$10/Projects!$D$31*0.95),0)+IF(AND(Projects!$G$32="Yes",27&gt;=Projects!$C$32,27&lt;Projects!$C$32+Projects!$D$32),IF(27=Projects!$C$32+Projects!$D$32-1,Projects!$B$32*Assumptions!$B$10/Projects!$D$32*0.95+0.05*Projects!$B$32*Assumptions!$B$10,Projects!$B$32*Assumptions!$B$10/Projects!$D$32*0.95),0)+IF(AND(Projects!$G$33="Yes",27&gt;=Projects!$C$33,27&lt;Projects!$C$33+Projects!$D$33),IF(27=Projects!$C$33+Projects!$D$33-1,Projects!$B$33*Assumptions!$B$10/Projects!$D$33*0.95+0.05*Projects!$B$33*Assumptions!$B$10,Projects!$B$33*Assumptions!$B$10/Projects!$D$33*0.95),0)+IF(AND(Projects!$G$34="Yes",27&gt;=Projects!$C$34,27&lt;Projects!$C$34+Projects!$D$34),IF(27=Projects!$C$34+Projects!$D$34-1,Projects!$B$34*Assumptions!$B$10/Projects!$D$34*0.95+0.05*Projects!$B$34*Assumptions!$B$10,Projects!$B$34*Assumptions!$B$10/Projects!$D$34*0.95),0)+IF(AND(Projects!$G$35="Yes",27&gt;=Projects!$C$35,27&lt;Projects!$C$35+Projects!$D$35),IF(27=Projects!$C$35+Projects!$D$35-1,Projects!$B$35*Assumptions!$B$10/Projects!$D$35*0.95+0.05*Projects!$B$35*Assumptions!$B$10,Projects!$B$35*Assumptions!$B$10/Projects!$D$35*0.95),0)+IF(AND(Projects!$G$36="Yes",27&gt;=Projects!$C$36,27&lt;Projects!$C$36+Projects!$D$36),IF(27=Projects!$C$36+Projects!$D$36-1,Projects!$B$36*Assumptions!$B$10/Projects!$D$36*0.95+0.05*Projects!$B$36*Assumptions!$B$10,Projects!$B$36*Assumptions!$B$10/Projects!$D$36*0.95),0)+IF(AND(Projects!$G$37="Yes",27&gt;=Projects!$C$37,27&lt;Projects!$C$37+Projects!$D$37),IF(27=Projects!$C$37+Projects!$D$37-1,Projects!$B$37*Assumptions!$B$10/Projects!$D$37*0.95+0.05*Projects!$B$37*Assumptions!$B$10,Projects!$B$37*Assumptions!$B$10/Projects!$D$37*0.95),0)+IF(AND(Projects!$G$38="Yes",27&gt;=Projects!$C$38,27&lt;Projects!$C$38+Projects!$D$38),IF(27=Projects!$C$38+Projects!$D$38-1,Projects!$B$38*Assumptions!$B$10/Projects!$D$38*0.95+0.05*Projects!$B$38*Assumptions!$B$10,Projects!$B$38*Assumptions!$B$10/Projects!$D$38*0.95),0)+IF(AND(Projects!$G$39="Yes",27&gt;=Projects!$C$39,27&lt;Projects!$C$39+Projects!$D$39),IF(27=Projects!$C$39+Projects!$D$39-1,Projects!$B$39*Assumptions!$B$10/Projects!$D$39*0.95+0.05*Projects!$B$39*Assumptions!$B$10,Projects!$B$39*Assumptions!$B$10/Projects!$D$39*0.95),0)+IF(AND(Projects!$G$40="Yes",27&gt;=Projects!$C$40,27&lt;Projects!$C$40+Projects!$D$40),IF(27=Projects!$C$40+Projects!$D$40-1,Projects!$B$40*Assumptions!$B$10/Projects!$D$40*0.95+0.05*Projects!$B$40*Assumptions!$B$10,Projects!$B$40*Assumptions!$B$10/Projects!$D$40*0.95),0)+IF(AND(Projects!$G$41="Yes",27&gt;=Projects!$C$41,27&lt;Projects!$C$41+Projects!$D$41),IF(27=Projects!$C$41+Projects!$D$41-1,Projects!$B$41*Assumptions!$B$10/Projects!$D$41*0.95+0.05*Projects!$B$41*Assumptions!$B$10,Projects!$B$41*Assumptions!$B$10/Projects!$D$41*0.95),0)+IF(AND(Projects!$G$42="Yes",27&gt;=Projects!$C$42,27&lt;Projects!$C$42+Projects!$D$42),IF(27=Projects!$C$42+Projects!$D$42-1,Projects!$B$42*Assumptions!$B$10/Projects!$D$42*0.95+0.05*Projects!$B$42*Assumptions!$B$10,Projects!$B$42*Assumptions!$B$10/Projects!$D$42*0.95),0)+IF(AND(Projects!$G$43="Yes",27&gt;=Projects!$C$43,27&lt;Projects!$C$43+Projects!$D$43),IF(27=Projects!$C$43+Projects!$D$43-1,Projects!$B$43*Assumptions!$B$10/Projects!$D$43*0.95+0.05*Projects!$B$43*Assumptions!$B$10,Projects!$B$43*Assumptions!$B$10/Projects!$D$43*0.95),0)+IF(AND(Projects!$G$44="Yes",27&gt;=Projects!$C$44,27&lt;Projects!$C$44+Projects!$D$44),IF(27=Projects!$C$44+Projects!$D$44-1,Projects!$B$44*Assumptions!$B$10/Projects!$D$44*0.95+0.05*Projects!$B$44*Assumptions!$B$10,Projects!$B$44*Assumptions!$B$10/Projects!$D$44*0.95),0)+IF(AND(Projects!$G$45="Yes",27&gt;=Projects!$C$45,27&lt;Projects!$C$45+Projects!$D$45),IF(27=Projects!$C$45+Projects!$D$45-1,Projects!$B$45*Assumptions!$B$10/Projects!$D$45*0.95+0.05*Projects!$B$45*Assumptions!$B$10,Projects!$B$45*Assumptions!$B$10/Projects!$D$45*0.95),0)+IF(AND(Projects!$G$46="Yes",27&gt;=Projects!$C$46,27&lt;Projects!$C$46+Projects!$D$46),IF(27=Projects!$C$46+Projects!$D$46-1,Projects!$B$46*Assumptions!$B$10/Projects!$D$46*0.95+0.05*Projects!$B$46*Assumptions!$B$10,Projects!$B$46*Assumptions!$B$10/Projects!$D$46*0.95),0)</f>
        <v/>
      </c>
      <c r="AD108">
        <f>IF(AND(Projects!$G$30="Yes",28&gt;=Projects!$C$30,28&lt;Projects!$C$30+Projects!$D$30),IF(28=Projects!$C$30+Projects!$D$30-1,Projects!$B$30*Assumptions!$B$10/Projects!$D$30*0.95+0.05*Projects!$B$30*Assumptions!$B$10,Projects!$B$30*Assumptions!$B$10/Projects!$D$30*0.95),0)+IF(AND(Projects!$G$31="Yes",28&gt;=Projects!$C$31,28&lt;Projects!$C$31+Projects!$D$31),IF(28=Projects!$C$31+Projects!$D$31-1,Projects!$B$31*Assumptions!$B$10/Projects!$D$31*0.95+0.05*Projects!$B$31*Assumptions!$B$10,Projects!$B$31*Assumptions!$B$10/Projects!$D$31*0.95),0)+IF(AND(Projects!$G$32="Yes",28&gt;=Projects!$C$32,28&lt;Projects!$C$32+Projects!$D$32),IF(28=Projects!$C$32+Projects!$D$32-1,Projects!$B$32*Assumptions!$B$10/Projects!$D$32*0.95+0.05*Projects!$B$32*Assumptions!$B$10,Projects!$B$32*Assumptions!$B$10/Projects!$D$32*0.95),0)+IF(AND(Projects!$G$33="Yes",28&gt;=Projects!$C$33,28&lt;Projects!$C$33+Projects!$D$33),IF(28=Projects!$C$33+Projects!$D$33-1,Projects!$B$33*Assumptions!$B$10/Projects!$D$33*0.95+0.05*Projects!$B$33*Assumptions!$B$10,Projects!$B$33*Assumptions!$B$10/Projects!$D$33*0.95),0)+IF(AND(Projects!$G$34="Yes",28&gt;=Projects!$C$34,28&lt;Projects!$C$34+Projects!$D$34),IF(28=Projects!$C$34+Projects!$D$34-1,Projects!$B$34*Assumptions!$B$10/Projects!$D$34*0.95+0.05*Projects!$B$34*Assumptions!$B$10,Projects!$B$34*Assumptions!$B$10/Projects!$D$34*0.95),0)+IF(AND(Projects!$G$35="Yes",28&gt;=Projects!$C$35,28&lt;Projects!$C$35+Projects!$D$35),IF(28=Projects!$C$35+Projects!$D$35-1,Projects!$B$35*Assumptions!$B$10/Projects!$D$35*0.95+0.05*Projects!$B$35*Assumptions!$B$10,Projects!$B$35*Assumptions!$B$10/Projects!$D$35*0.95),0)+IF(AND(Projects!$G$36="Yes",28&gt;=Projects!$C$36,28&lt;Projects!$C$36+Projects!$D$36),IF(28=Projects!$C$36+Projects!$D$36-1,Projects!$B$36*Assumptions!$B$10/Projects!$D$36*0.95+0.05*Projects!$B$36*Assumptions!$B$10,Projects!$B$36*Assumptions!$B$10/Projects!$D$36*0.95),0)+IF(AND(Projects!$G$37="Yes",28&gt;=Projects!$C$37,28&lt;Projects!$C$37+Projects!$D$37),IF(28=Projects!$C$37+Projects!$D$37-1,Projects!$B$37*Assumptions!$B$10/Projects!$D$37*0.95+0.05*Projects!$B$37*Assumptions!$B$10,Projects!$B$37*Assumptions!$B$10/Projects!$D$37*0.95),0)+IF(AND(Projects!$G$38="Yes",28&gt;=Projects!$C$38,28&lt;Projects!$C$38+Projects!$D$38),IF(28=Projects!$C$38+Projects!$D$38-1,Projects!$B$38*Assumptions!$B$10/Projects!$D$38*0.95+0.05*Projects!$B$38*Assumptions!$B$10,Projects!$B$38*Assumptions!$B$10/Projects!$D$38*0.95),0)+IF(AND(Projects!$G$39="Yes",28&gt;=Projects!$C$39,28&lt;Projects!$C$39+Projects!$D$39),IF(28=Projects!$C$39+Projects!$D$39-1,Projects!$B$39*Assumptions!$B$10/Projects!$D$39*0.95+0.05*Projects!$B$39*Assumptions!$B$10,Projects!$B$39*Assumptions!$B$10/Projects!$D$39*0.95),0)+IF(AND(Projects!$G$40="Yes",28&gt;=Projects!$C$40,28&lt;Projects!$C$40+Projects!$D$40),IF(28=Projects!$C$40+Projects!$D$40-1,Projects!$B$40*Assumptions!$B$10/Projects!$D$40*0.95+0.05*Projects!$B$40*Assumptions!$B$10,Projects!$B$40*Assumptions!$B$10/Projects!$D$40*0.95),0)+IF(AND(Projects!$G$41="Yes",28&gt;=Projects!$C$41,28&lt;Projects!$C$41+Projects!$D$41),IF(28=Projects!$C$41+Projects!$D$41-1,Projects!$B$41*Assumptions!$B$10/Projects!$D$41*0.95+0.05*Projects!$B$41*Assumptions!$B$10,Projects!$B$41*Assumptions!$B$10/Projects!$D$41*0.95),0)+IF(AND(Projects!$G$42="Yes",28&gt;=Projects!$C$42,28&lt;Projects!$C$42+Projects!$D$42),IF(28=Projects!$C$42+Projects!$D$42-1,Projects!$B$42*Assumptions!$B$10/Projects!$D$42*0.95+0.05*Projects!$B$42*Assumptions!$B$10,Projects!$B$42*Assumptions!$B$10/Projects!$D$42*0.95),0)+IF(AND(Projects!$G$43="Yes",28&gt;=Projects!$C$43,28&lt;Projects!$C$43+Projects!$D$43),IF(28=Projects!$C$43+Projects!$D$43-1,Projects!$B$43*Assumptions!$B$10/Projects!$D$43*0.95+0.05*Projects!$B$43*Assumptions!$B$10,Projects!$B$43*Assumptions!$B$10/Projects!$D$43*0.95),0)+IF(AND(Projects!$G$44="Yes",28&gt;=Projects!$C$44,28&lt;Projects!$C$44+Projects!$D$44),IF(28=Projects!$C$44+Projects!$D$44-1,Projects!$B$44*Assumptions!$B$10/Projects!$D$44*0.95+0.05*Projects!$B$44*Assumptions!$B$10,Projects!$B$44*Assumptions!$B$10/Projects!$D$44*0.95),0)+IF(AND(Projects!$G$45="Yes",28&gt;=Projects!$C$45,28&lt;Projects!$C$45+Projects!$D$45),IF(28=Projects!$C$45+Projects!$D$45-1,Projects!$B$45*Assumptions!$B$10/Projects!$D$45*0.95+0.05*Projects!$B$45*Assumptions!$B$10,Projects!$B$45*Assumptions!$B$10/Projects!$D$45*0.95),0)+IF(AND(Projects!$G$46="Yes",28&gt;=Projects!$C$46,28&lt;Projects!$C$46+Projects!$D$46),IF(28=Projects!$C$46+Projects!$D$46-1,Projects!$B$46*Assumptions!$B$10/Projects!$D$46*0.95+0.05*Projects!$B$46*Assumptions!$B$10,Projects!$B$46*Assumptions!$B$10/Projects!$D$46*0.95),0)</f>
        <v/>
      </c>
      <c r="AE108">
        <f>IF(AND(Projects!$G$30="Yes",29&gt;=Projects!$C$30,29&lt;Projects!$C$30+Projects!$D$30),IF(29=Projects!$C$30+Projects!$D$30-1,Projects!$B$30*Assumptions!$B$10/Projects!$D$30*0.95+0.05*Projects!$B$30*Assumptions!$B$10,Projects!$B$30*Assumptions!$B$10/Projects!$D$30*0.95),0)+IF(AND(Projects!$G$31="Yes",29&gt;=Projects!$C$31,29&lt;Projects!$C$31+Projects!$D$31),IF(29=Projects!$C$31+Projects!$D$31-1,Projects!$B$31*Assumptions!$B$10/Projects!$D$31*0.95+0.05*Projects!$B$31*Assumptions!$B$10,Projects!$B$31*Assumptions!$B$10/Projects!$D$31*0.95),0)+IF(AND(Projects!$G$32="Yes",29&gt;=Projects!$C$32,29&lt;Projects!$C$32+Projects!$D$32),IF(29=Projects!$C$32+Projects!$D$32-1,Projects!$B$32*Assumptions!$B$10/Projects!$D$32*0.95+0.05*Projects!$B$32*Assumptions!$B$10,Projects!$B$32*Assumptions!$B$10/Projects!$D$32*0.95),0)+IF(AND(Projects!$G$33="Yes",29&gt;=Projects!$C$33,29&lt;Projects!$C$33+Projects!$D$33),IF(29=Projects!$C$33+Projects!$D$33-1,Projects!$B$33*Assumptions!$B$10/Projects!$D$33*0.95+0.05*Projects!$B$33*Assumptions!$B$10,Projects!$B$33*Assumptions!$B$10/Projects!$D$33*0.95),0)+IF(AND(Projects!$G$34="Yes",29&gt;=Projects!$C$34,29&lt;Projects!$C$34+Projects!$D$34),IF(29=Projects!$C$34+Projects!$D$34-1,Projects!$B$34*Assumptions!$B$10/Projects!$D$34*0.95+0.05*Projects!$B$34*Assumptions!$B$10,Projects!$B$34*Assumptions!$B$10/Projects!$D$34*0.95),0)+IF(AND(Projects!$G$35="Yes",29&gt;=Projects!$C$35,29&lt;Projects!$C$35+Projects!$D$35),IF(29=Projects!$C$35+Projects!$D$35-1,Projects!$B$35*Assumptions!$B$10/Projects!$D$35*0.95+0.05*Projects!$B$35*Assumptions!$B$10,Projects!$B$35*Assumptions!$B$10/Projects!$D$35*0.95),0)+IF(AND(Projects!$G$36="Yes",29&gt;=Projects!$C$36,29&lt;Projects!$C$36+Projects!$D$36),IF(29=Projects!$C$36+Projects!$D$36-1,Projects!$B$36*Assumptions!$B$10/Projects!$D$36*0.95+0.05*Projects!$B$36*Assumptions!$B$10,Projects!$B$36*Assumptions!$B$10/Projects!$D$36*0.95),0)+IF(AND(Projects!$G$37="Yes",29&gt;=Projects!$C$37,29&lt;Projects!$C$37+Projects!$D$37),IF(29=Projects!$C$37+Projects!$D$37-1,Projects!$B$37*Assumptions!$B$10/Projects!$D$37*0.95+0.05*Projects!$B$37*Assumptions!$B$10,Projects!$B$37*Assumptions!$B$10/Projects!$D$37*0.95),0)+IF(AND(Projects!$G$38="Yes",29&gt;=Projects!$C$38,29&lt;Projects!$C$38+Projects!$D$38),IF(29=Projects!$C$38+Projects!$D$38-1,Projects!$B$38*Assumptions!$B$10/Projects!$D$38*0.95+0.05*Projects!$B$38*Assumptions!$B$10,Projects!$B$38*Assumptions!$B$10/Projects!$D$38*0.95),0)+IF(AND(Projects!$G$39="Yes",29&gt;=Projects!$C$39,29&lt;Projects!$C$39+Projects!$D$39),IF(29=Projects!$C$39+Projects!$D$39-1,Projects!$B$39*Assumptions!$B$10/Projects!$D$39*0.95+0.05*Projects!$B$39*Assumptions!$B$10,Projects!$B$39*Assumptions!$B$10/Projects!$D$39*0.95),0)+IF(AND(Projects!$G$40="Yes",29&gt;=Projects!$C$40,29&lt;Projects!$C$40+Projects!$D$40),IF(29=Projects!$C$40+Projects!$D$40-1,Projects!$B$40*Assumptions!$B$10/Projects!$D$40*0.95+0.05*Projects!$B$40*Assumptions!$B$10,Projects!$B$40*Assumptions!$B$10/Projects!$D$40*0.95),0)+IF(AND(Projects!$G$41="Yes",29&gt;=Projects!$C$41,29&lt;Projects!$C$41+Projects!$D$41),IF(29=Projects!$C$41+Projects!$D$41-1,Projects!$B$41*Assumptions!$B$10/Projects!$D$41*0.95+0.05*Projects!$B$41*Assumptions!$B$10,Projects!$B$41*Assumptions!$B$10/Projects!$D$41*0.95),0)+IF(AND(Projects!$G$42="Yes",29&gt;=Projects!$C$42,29&lt;Projects!$C$42+Projects!$D$42),IF(29=Projects!$C$42+Projects!$D$42-1,Projects!$B$42*Assumptions!$B$10/Projects!$D$42*0.95+0.05*Projects!$B$42*Assumptions!$B$10,Projects!$B$42*Assumptions!$B$10/Projects!$D$42*0.95),0)+IF(AND(Projects!$G$43="Yes",29&gt;=Projects!$C$43,29&lt;Projects!$C$43+Projects!$D$43),IF(29=Projects!$C$43+Projects!$D$43-1,Projects!$B$43*Assumptions!$B$10/Projects!$D$43*0.95+0.05*Projects!$B$43*Assumptions!$B$10,Projects!$B$43*Assumptions!$B$10/Projects!$D$43*0.95),0)+IF(AND(Projects!$G$44="Yes",29&gt;=Projects!$C$44,29&lt;Projects!$C$44+Projects!$D$44),IF(29=Projects!$C$44+Projects!$D$44-1,Projects!$B$44*Assumptions!$B$10/Projects!$D$44*0.95+0.05*Projects!$B$44*Assumptions!$B$10,Projects!$B$44*Assumptions!$B$10/Projects!$D$44*0.95),0)+IF(AND(Projects!$G$45="Yes",29&gt;=Projects!$C$45,29&lt;Projects!$C$45+Projects!$D$45),IF(29=Projects!$C$45+Projects!$D$45-1,Projects!$B$45*Assumptions!$B$10/Projects!$D$45*0.95+0.05*Projects!$B$45*Assumptions!$B$10,Projects!$B$45*Assumptions!$B$10/Projects!$D$45*0.95),0)+IF(AND(Projects!$G$46="Yes",29&gt;=Projects!$C$46,29&lt;Projects!$C$46+Projects!$D$46),IF(29=Projects!$C$46+Projects!$D$46-1,Projects!$B$46*Assumptions!$B$10/Projects!$D$46*0.95+0.05*Projects!$B$46*Assumptions!$B$10,Projects!$B$46*Assumptions!$B$10/Projects!$D$46*0.95),0)</f>
        <v/>
      </c>
      <c r="AF108">
        <f>IF(AND(Projects!$G$30="Yes",30&gt;=Projects!$C$30,30&lt;Projects!$C$30+Projects!$D$30),IF(30=Projects!$C$30+Projects!$D$30-1,Projects!$B$30*Assumptions!$B$10/Projects!$D$30*0.95+0.05*Projects!$B$30*Assumptions!$B$10,Projects!$B$30*Assumptions!$B$10/Projects!$D$30*0.95),0)+IF(AND(Projects!$G$31="Yes",30&gt;=Projects!$C$31,30&lt;Projects!$C$31+Projects!$D$31),IF(30=Projects!$C$31+Projects!$D$31-1,Projects!$B$31*Assumptions!$B$10/Projects!$D$31*0.95+0.05*Projects!$B$31*Assumptions!$B$10,Projects!$B$31*Assumptions!$B$10/Projects!$D$31*0.95),0)+IF(AND(Projects!$G$32="Yes",30&gt;=Projects!$C$32,30&lt;Projects!$C$32+Projects!$D$32),IF(30=Projects!$C$32+Projects!$D$32-1,Projects!$B$32*Assumptions!$B$10/Projects!$D$32*0.95+0.05*Projects!$B$32*Assumptions!$B$10,Projects!$B$32*Assumptions!$B$10/Projects!$D$32*0.95),0)+IF(AND(Projects!$G$33="Yes",30&gt;=Projects!$C$33,30&lt;Projects!$C$33+Projects!$D$33),IF(30=Projects!$C$33+Projects!$D$33-1,Projects!$B$33*Assumptions!$B$10/Projects!$D$33*0.95+0.05*Projects!$B$33*Assumptions!$B$10,Projects!$B$33*Assumptions!$B$10/Projects!$D$33*0.95),0)+IF(AND(Projects!$G$34="Yes",30&gt;=Projects!$C$34,30&lt;Projects!$C$34+Projects!$D$34),IF(30=Projects!$C$34+Projects!$D$34-1,Projects!$B$34*Assumptions!$B$10/Projects!$D$34*0.95+0.05*Projects!$B$34*Assumptions!$B$10,Projects!$B$34*Assumptions!$B$10/Projects!$D$34*0.95),0)+IF(AND(Projects!$G$35="Yes",30&gt;=Projects!$C$35,30&lt;Projects!$C$35+Projects!$D$35),IF(30=Projects!$C$35+Projects!$D$35-1,Projects!$B$35*Assumptions!$B$10/Projects!$D$35*0.95+0.05*Projects!$B$35*Assumptions!$B$10,Projects!$B$35*Assumptions!$B$10/Projects!$D$35*0.95),0)+IF(AND(Projects!$G$36="Yes",30&gt;=Projects!$C$36,30&lt;Projects!$C$36+Projects!$D$36),IF(30=Projects!$C$36+Projects!$D$36-1,Projects!$B$36*Assumptions!$B$10/Projects!$D$36*0.95+0.05*Projects!$B$36*Assumptions!$B$10,Projects!$B$36*Assumptions!$B$10/Projects!$D$36*0.95),0)+IF(AND(Projects!$G$37="Yes",30&gt;=Projects!$C$37,30&lt;Projects!$C$37+Projects!$D$37),IF(30=Projects!$C$37+Projects!$D$37-1,Projects!$B$37*Assumptions!$B$10/Projects!$D$37*0.95+0.05*Projects!$B$37*Assumptions!$B$10,Projects!$B$37*Assumptions!$B$10/Projects!$D$37*0.95),0)+IF(AND(Projects!$G$38="Yes",30&gt;=Projects!$C$38,30&lt;Projects!$C$38+Projects!$D$38),IF(30=Projects!$C$38+Projects!$D$38-1,Projects!$B$38*Assumptions!$B$10/Projects!$D$38*0.95+0.05*Projects!$B$38*Assumptions!$B$10,Projects!$B$38*Assumptions!$B$10/Projects!$D$38*0.95),0)+IF(AND(Projects!$G$39="Yes",30&gt;=Projects!$C$39,30&lt;Projects!$C$39+Projects!$D$39),IF(30=Projects!$C$39+Projects!$D$39-1,Projects!$B$39*Assumptions!$B$10/Projects!$D$39*0.95+0.05*Projects!$B$39*Assumptions!$B$10,Projects!$B$39*Assumptions!$B$10/Projects!$D$39*0.95),0)+IF(AND(Projects!$G$40="Yes",30&gt;=Projects!$C$40,30&lt;Projects!$C$40+Projects!$D$40),IF(30=Projects!$C$40+Projects!$D$40-1,Projects!$B$40*Assumptions!$B$10/Projects!$D$40*0.95+0.05*Projects!$B$40*Assumptions!$B$10,Projects!$B$40*Assumptions!$B$10/Projects!$D$40*0.95),0)+IF(AND(Projects!$G$41="Yes",30&gt;=Projects!$C$41,30&lt;Projects!$C$41+Projects!$D$41),IF(30=Projects!$C$41+Projects!$D$41-1,Projects!$B$41*Assumptions!$B$10/Projects!$D$41*0.95+0.05*Projects!$B$41*Assumptions!$B$10,Projects!$B$41*Assumptions!$B$10/Projects!$D$41*0.95),0)+IF(AND(Projects!$G$42="Yes",30&gt;=Projects!$C$42,30&lt;Projects!$C$42+Projects!$D$42),IF(30=Projects!$C$42+Projects!$D$42-1,Projects!$B$42*Assumptions!$B$10/Projects!$D$42*0.95+0.05*Projects!$B$42*Assumptions!$B$10,Projects!$B$42*Assumptions!$B$10/Projects!$D$42*0.95),0)+IF(AND(Projects!$G$43="Yes",30&gt;=Projects!$C$43,30&lt;Projects!$C$43+Projects!$D$43),IF(30=Projects!$C$43+Projects!$D$43-1,Projects!$B$43*Assumptions!$B$10/Projects!$D$43*0.95+0.05*Projects!$B$43*Assumptions!$B$10,Projects!$B$43*Assumptions!$B$10/Projects!$D$43*0.95),0)+IF(AND(Projects!$G$44="Yes",30&gt;=Projects!$C$44,30&lt;Projects!$C$44+Projects!$D$44),IF(30=Projects!$C$44+Projects!$D$44-1,Projects!$B$44*Assumptions!$B$10/Projects!$D$44*0.95+0.05*Projects!$B$44*Assumptions!$B$10,Projects!$B$44*Assumptions!$B$10/Projects!$D$44*0.95),0)+IF(AND(Projects!$G$45="Yes",30&gt;=Projects!$C$45,30&lt;Projects!$C$45+Projects!$D$45),IF(30=Projects!$C$45+Projects!$D$45-1,Projects!$B$45*Assumptions!$B$10/Projects!$D$45*0.95+0.05*Projects!$B$45*Assumptions!$B$10,Projects!$B$45*Assumptions!$B$10/Projects!$D$45*0.95),0)+IF(AND(Projects!$G$46="Yes",30&gt;=Projects!$C$46,30&lt;Projects!$C$46+Projects!$D$46),IF(30=Projects!$C$46+Projects!$D$46-1,Projects!$B$46*Assumptions!$B$10/Projects!$D$46*0.95+0.05*Projects!$B$46*Assumptions!$B$10,Projects!$B$46*Assumptions!$B$10/Projects!$D$46*0.95),0)</f>
        <v/>
      </c>
      <c r="AG108">
        <f>IF(AND(Projects!$G$30="Yes",31&gt;=Projects!$C$30,31&lt;Projects!$C$30+Projects!$D$30),IF(31=Projects!$C$30+Projects!$D$30-1,Projects!$B$30*Assumptions!$B$10/Projects!$D$30*0.95+0.05*Projects!$B$30*Assumptions!$B$10,Projects!$B$30*Assumptions!$B$10/Projects!$D$30*0.95),0)+IF(AND(Projects!$G$31="Yes",31&gt;=Projects!$C$31,31&lt;Projects!$C$31+Projects!$D$31),IF(31=Projects!$C$31+Projects!$D$31-1,Projects!$B$31*Assumptions!$B$10/Projects!$D$31*0.95+0.05*Projects!$B$31*Assumptions!$B$10,Projects!$B$31*Assumptions!$B$10/Projects!$D$31*0.95),0)+IF(AND(Projects!$G$32="Yes",31&gt;=Projects!$C$32,31&lt;Projects!$C$32+Projects!$D$32),IF(31=Projects!$C$32+Projects!$D$32-1,Projects!$B$32*Assumptions!$B$10/Projects!$D$32*0.95+0.05*Projects!$B$32*Assumptions!$B$10,Projects!$B$32*Assumptions!$B$10/Projects!$D$32*0.95),0)+IF(AND(Projects!$G$33="Yes",31&gt;=Projects!$C$33,31&lt;Projects!$C$33+Projects!$D$33),IF(31=Projects!$C$33+Projects!$D$33-1,Projects!$B$33*Assumptions!$B$10/Projects!$D$33*0.95+0.05*Projects!$B$33*Assumptions!$B$10,Projects!$B$33*Assumptions!$B$10/Projects!$D$33*0.95),0)+IF(AND(Projects!$G$34="Yes",31&gt;=Projects!$C$34,31&lt;Projects!$C$34+Projects!$D$34),IF(31=Projects!$C$34+Projects!$D$34-1,Projects!$B$34*Assumptions!$B$10/Projects!$D$34*0.95+0.05*Projects!$B$34*Assumptions!$B$10,Projects!$B$34*Assumptions!$B$10/Projects!$D$34*0.95),0)+IF(AND(Projects!$G$35="Yes",31&gt;=Projects!$C$35,31&lt;Projects!$C$35+Projects!$D$35),IF(31=Projects!$C$35+Projects!$D$35-1,Projects!$B$35*Assumptions!$B$10/Projects!$D$35*0.95+0.05*Projects!$B$35*Assumptions!$B$10,Projects!$B$35*Assumptions!$B$10/Projects!$D$35*0.95),0)+IF(AND(Projects!$G$36="Yes",31&gt;=Projects!$C$36,31&lt;Projects!$C$36+Projects!$D$36),IF(31=Projects!$C$36+Projects!$D$36-1,Projects!$B$36*Assumptions!$B$10/Projects!$D$36*0.95+0.05*Projects!$B$36*Assumptions!$B$10,Projects!$B$36*Assumptions!$B$10/Projects!$D$36*0.95),0)+IF(AND(Projects!$G$37="Yes",31&gt;=Projects!$C$37,31&lt;Projects!$C$37+Projects!$D$37),IF(31=Projects!$C$37+Projects!$D$37-1,Projects!$B$37*Assumptions!$B$10/Projects!$D$37*0.95+0.05*Projects!$B$37*Assumptions!$B$10,Projects!$B$37*Assumptions!$B$10/Projects!$D$37*0.95),0)+IF(AND(Projects!$G$38="Yes",31&gt;=Projects!$C$38,31&lt;Projects!$C$38+Projects!$D$38),IF(31=Projects!$C$38+Projects!$D$38-1,Projects!$B$38*Assumptions!$B$10/Projects!$D$38*0.95+0.05*Projects!$B$38*Assumptions!$B$10,Projects!$B$38*Assumptions!$B$10/Projects!$D$38*0.95),0)+IF(AND(Projects!$G$39="Yes",31&gt;=Projects!$C$39,31&lt;Projects!$C$39+Projects!$D$39),IF(31=Projects!$C$39+Projects!$D$39-1,Projects!$B$39*Assumptions!$B$10/Projects!$D$39*0.95+0.05*Projects!$B$39*Assumptions!$B$10,Projects!$B$39*Assumptions!$B$10/Projects!$D$39*0.95),0)+IF(AND(Projects!$G$40="Yes",31&gt;=Projects!$C$40,31&lt;Projects!$C$40+Projects!$D$40),IF(31=Projects!$C$40+Projects!$D$40-1,Projects!$B$40*Assumptions!$B$10/Projects!$D$40*0.95+0.05*Projects!$B$40*Assumptions!$B$10,Projects!$B$40*Assumptions!$B$10/Projects!$D$40*0.95),0)+IF(AND(Projects!$G$41="Yes",31&gt;=Projects!$C$41,31&lt;Projects!$C$41+Projects!$D$41),IF(31=Projects!$C$41+Projects!$D$41-1,Projects!$B$41*Assumptions!$B$10/Projects!$D$41*0.95+0.05*Projects!$B$41*Assumptions!$B$10,Projects!$B$41*Assumptions!$B$10/Projects!$D$41*0.95),0)+IF(AND(Projects!$G$42="Yes",31&gt;=Projects!$C$42,31&lt;Projects!$C$42+Projects!$D$42),IF(31=Projects!$C$42+Projects!$D$42-1,Projects!$B$42*Assumptions!$B$10/Projects!$D$42*0.95+0.05*Projects!$B$42*Assumptions!$B$10,Projects!$B$42*Assumptions!$B$10/Projects!$D$42*0.95),0)+IF(AND(Projects!$G$43="Yes",31&gt;=Projects!$C$43,31&lt;Projects!$C$43+Projects!$D$43),IF(31=Projects!$C$43+Projects!$D$43-1,Projects!$B$43*Assumptions!$B$10/Projects!$D$43*0.95+0.05*Projects!$B$43*Assumptions!$B$10,Projects!$B$43*Assumptions!$B$10/Projects!$D$43*0.95),0)+IF(AND(Projects!$G$44="Yes",31&gt;=Projects!$C$44,31&lt;Projects!$C$44+Projects!$D$44),IF(31=Projects!$C$44+Projects!$D$44-1,Projects!$B$44*Assumptions!$B$10/Projects!$D$44*0.95+0.05*Projects!$B$44*Assumptions!$B$10,Projects!$B$44*Assumptions!$B$10/Projects!$D$44*0.95),0)+IF(AND(Projects!$G$45="Yes",31&gt;=Projects!$C$45,31&lt;Projects!$C$45+Projects!$D$45),IF(31=Projects!$C$45+Projects!$D$45-1,Projects!$B$45*Assumptions!$B$10/Projects!$D$45*0.95+0.05*Projects!$B$45*Assumptions!$B$10,Projects!$B$45*Assumptions!$B$10/Projects!$D$45*0.95),0)+IF(AND(Projects!$G$46="Yes",31&gt;=Projects!$C$46,31&lt;Projects!$C$46+Projects!$D$46),IF(31=Projects!$C$46+Projects!$D$46-1,Projects!$B$46*Assumptions!$B$10/Projects!$D$46*0.95+0.05*Projects!$B$46*Assumptions!$B$10,Projects!$B$46*Assumptions!$B$10/Projects!$D$46*0.95),0)</f>
        <v/>
      </c>
      <c r="AH108">
        <f>IF(AND(Projects!$G$30="Yes",32&gt;=Projects!$C$30,32&lt;Projects!$C$30+Projects!$D$30),IF(32=Projects!$C$30+Projects!$D$30-1,Projects!$B$30*Assumptions!$B$10/Projects!$D$30*0.95+0.05*Projects!$B$30*Assumptions!$B$10,Projects!$B$30*Assumptions!$B$10/Projects!$D$30*0.95),0)+IF(AND(Projects!$G$31="Yes",32&gt;=Projects!$C$31,32&lt;Projects!$C$31+Projects!$D$31),IF(32=Projects!$C$31+Projects!$D$31-1,Projects!$B$31*Assumptions!$B$10/Projects!$D$31*0.95+0.05*Projects!$B$31*Assumptions!$B$10,Projects!$B$31*Assumptions!$B$10/Projects!$D$31*0.95),0)+IF(AND(Projects!$G$32="Yes",32&gt;=Projects!$C$32,32&lt;Projects!$C$32+Projects!$D$32),IF(32=Projects!$C$32+Projects!$D$32-1,Projects!$B$32*Assumptions!$B$10/Projects!$D$32*0.95+0.05*Projects!$B$32*Assumptions!$B$10,Projects!$B$32*Assumptions!$B$10/Projects!$D$32*0.95),0)+IF(AND(Projects!$G$33="Yes",32&gt;=Projects!$C$33,32&lt;Projects!$C$33+Projects!$D$33),IF(32=Projects!$C$33+Projects!$D$33-1,Projects!$B$33*Assumptions!$B$10/Projects!$D$33*0.95+0.05*Projects!$B$33*Assumptions!$B$10,Projects!$B$33*Assumptions!$B$10/Projects!$D$33*0.95),0)+IF(AND(Projects!$G$34="Yes",32&gt;=Projects!$C$34,32&lt;Projects!$C$34+Projects!$D$34),IF(32=Projects!$C$34+Projects!$D$34-1,Projects!$B$34*Assumptions!$B$10/Projects!$D$34*0.95+0.05*Projects!$B$34*Assumptions!$B$10,Projects!$B$34*Assumptions!$B$10/Projects!$D$34*0.95),0)+IF(AND(Projects!$G$35="Yes",32&gt;=Projects!$C$35,32&lt;Projects!$C$35+Projects!$D$35),IF(32=Projects!$C$35+Projects!$D$35-1,Projects!$B$35*Assumptions!$B$10/Projects!$D$35*0.95+0.05*Projects!$B$35*Assumptions!$B$10,Projects!$B$35*Assumptions!$B$10/Projects!$D$35*0.95),0)+IF(AND(Projects!$G$36="Yes",32&gt;=Projects!$C$36,32&lt;Projects!$C$36+Projects!$D$36),IF(32=Projects!$C$36+Projects!$D$36-1,Projects!$B$36*Assumptions!$B$10/Projects!$D$36*0.95+0.05*Projects!$B$36*Assumptions!$B$10,Projects!$B$36*Assumptions!$B$10/Projects!$D$36*0.95),0)+IF(AND(Projects!$G$37="Yes",32&gt;=Projects!$C$37,32&lt;Projects!$C$37+Projects!$D$37),IF(32=Projects!$C$37+Projects!$D$37-1,Projects!$B$37*Assumptions!$B$10/Projects!$D$37*0.95+0.05*Projects!$B$37*Assumptions!$B$10,Projects!$B$37*Assumptions!$B$10/Projects!$D$37*0.95),0)+IF(AND(Projects!$G$38="Yes",32&gt;=Projects!$C$38,32&lt;Projects!$C$38+Projects!$D$38),IF(32=Projects!$C$38+Projects!$D$38-1,Projects!$B$38*Assumptions!$B$10/Projects!$D$38*0.95+0.05*Projects!$B$38*Assumptions!$B$10,Projects!$B$38*Assumptions!$B$10/Projects!$D$38*0.95),0)+IF(AND(Projects!$G$39="Yes",32&gt;=Projects!$C$39,32&lt;Projects!$C$39+Projects!$D$39),IF(32=Projects!$C$39+Projects!$D$39-1,Projects!$B$39*Assumptions!$B$10/Projects!$D$39*0.95+0.05*Projects!$B$39*Assumptions!$B$10,Projects!$B$39*Assumptions!$B$10/Projects!$D$39*0.95),0)+IF(AND(Projects!$G$40="Yes",32&gt;=Projects!$C$40,32&lt;Projects!$C$40+Projects!$D$40),IF(32=Projects!$C$40+Projects!$D$40-1,Projects!$B$40*Assumptions!$B$10/Projects!$D$40*0.95+0.05*Projects!$B$40*Assumptions!$B$10,Projects!$B$40*Assumptions!$B$10/Projects!$D$40*0.95),0)+IF(AND(Projects!$G$41="Yes",32&gt;=Projects!$C$41,32&lt;Projects!$C$41+Projects!$D$41),IF(32=Projects!$C$41+Projects!$D$41-1,Projects!$B$41*Assumptions!$B$10/Projects!$D$41*0.95+0.05*Projects!$B$41*Assumptions!$B$10,Projects!$B$41*Assumptions!$B$10/Projects!$D$41*0.95),0)+IF(AND(Projects!$G$42="Yes",32&gt;=Projects!$C$42,32&lt;Projects!$C$42+Projects!$D$42),IF(32=Projects!$C$42+Projects!$D$42-1,Projects!$B$42*Assumptions!$B$10/Projects!$D$42*0.95+0.05*Projects!$B$42*Assumptions!$B$10,Projects!$B$42*Assumptions!$B$10/Projects!$D$42*0.95),0)+IF(AND(Projects!$G$43="Yes",32&gt;=Projects!$C$43,32&lt;Projects!$C$43+Projects!$D$43),IF(32=Projects!$C$43+Projects!$D$43-1,Projects!$B$43*Assumptions!$B$10/Projects!$D$43*0.95+0.05*Projects!$B$43*Assumptions!$B$10,Projects!$B$43*Assumptions!$B$10/Projects!$D$43*0.95),0)+IF(AND(Projects!$G$44="Yes",32&gt;=Projects!$C$44,32&lt;Projects!$C$44+Projects!$D$44),IF(32=Projects!$C$44+Projects!$D$44-1,Projects!$B$44*Assumptions!$B$10/Projects!$D$44*0.95+0.05*Projects!$B$44*Assumptions!$B$10,Projects!$B$44*Assumptions!$B$10/Projects!$D$44*0.95),0)+IF(AND(Projects!$G$45="Yes",32&gt;=Projects!$C$45,32&lt;Projects!$C$45+Projects!$D$45),IF(32=Projects!$C$45+Projects!$D$45-1,Projects!$B$45*Assumptions!$B$10/Projects!$D$45*0.95+0.05*Projects!$B$45*Assumptions!$B$10,Projects!$B$45*Assumptions!$B$10/Projects!$D$45*0.95),0)+IF(AND(Projects!$G$46="Yes",32&gt;=Projects!$C$46,32&lt;Projects!$C$46+Projects!$D$46),IF(32=Projects!$C$46+Projects!$D$46-1,Projects!$B$46*Assumptions!$B$10/Projects!$D$46*0.95+0.05*Projects!$B$46*Assumptions!$B$10,Projects!$B$46*Assumptions!$B$10/Projects!$D$46*0.95),0)</f>
        <v/>
      </c>
      <c r="AI108">
        <f>IF(AND(Projects!$G$30="Yes",33&gt;=Projects!$C$30,33&lt;Projects!$C$30+Projects!$D$30),IF(33=Projects!$C$30+Projects!$D$30-1,Projects!$B$30*Assumptions!$B$10/Projects!$D$30*0.95+0.05*Projects!$B$30*Assumptions!$B$10,Projects!$B$30*Assumptions!$B$10/Projects!$D$30*0.95),0)+IF(AND(Projects!$G$31="Yes",33&gt;=Projects!$C$31,33&lt;Projects!$C$31+Projects!$D$31),IF(33=Projects!$C$31+Projects!$D$31-1,Projects!$B$31*Assumptions!$B$10/Projects!$D$31*0.95+0.05*Projects!$B$31*Assumptions!$B$10,Projects!$B$31*Assumptions!$B$10/Projects!$D$31*0.95),0)+IF(AND(Projects!$G$32="Yes",33&gt;=Projects!$C$32,33&lt;Projects!$C$32+Projects!$D$32),IF(33=Projects!$C$32+Projects!$D$32-1,Projects!$B$32*Assumptions!$B$10/Projects!$D$32*0.95+0.05*Projects!$B$32*Assumptions!$B$10,Projects!$B$32*Assumptions!$B$10/Projects!$D$32*0.95),0)+IF(AND(Projects!$G$33="Yes",33&gt;=Projects!$C$33,33&lt;Projects!$C$33+Projects!$D$33),IF(33=Projects!$C$33+Projects!$D$33-1,Projects!$B$33*Assumptions!$B$10/Projects!$D$33*0.95+0.05*Projects!$B$33*Assumptions!$B$10,Projects!$B$33*Assumptions!$B$10/Projects!$D$33*0.95),0)+IF(AND(Projects!$G$34="Yes",33&gt;=Projects!$C$34,33&lt;Projects!$C$34+Projects!$D$34),IF(33=Projects!$C$34+Projects!$D$34-1,Projects!$B$34*Assumptions!$B$10/Projects!$D$34*0.95+0.05*Projects!$B$34*Assumptions!$B$10,Projects!$B$34*Assumptions!$B$10/Projects!$D$34*0.95),0)+IF(AND(Projects!$G$35="Yes",33&gt;=Projects!$C$35,33&lt;Projects!$C$35+Projects!$D$35),IF(33=Projects!$C$35+Projects!$D$35-1,Projects!$B$35*Assumptions!$B$10/Projects!$D$35*0.95+0.05*Projects!$B$35*Assumptions!$B$10,Projects!$B$35*Assumptions!$B$10/Projects!$D$35*0.95),0)+IF(AND(Projects!$G$36="Yes",33&gt;=Projects!$C$36,33&lt;Projects!$C$36+Projects!$D$36),IF(33=Projects!$C$36+Projects!$D$36-1,Projects!$B$36*Assumptions!$B$10/Projects!$D$36*0.95+0.05*Projects!$B$36*Assumptions!$B$10,Projects!$B$36*Assumptions!$B$10/Projects!$D$36*0.95),0)+IF(AND(Projects!$G$37="Yes",33&gt;=Projects!$C$37,33&lt;Projects!$C$37+Projects!$D$37),IF(33=Projects!$C$37+Projects!$D$37-1,Projects!$B$37*Assumptions!$B$10/Projects!$D$37*0.95+0.05*Projects!$B$37*Assumptions!$B$10,Projects!$B$37*Assumptions!$B$10/Projects!$D$37*0.95),0)+IF(AND(Projects!$G$38="Yes",33&gt;=Projects!$C$38,33&lt;Projects!$C$38+Projects!$D$38),IF(33=Projects!$C$38+Projects!$D$38-1,Projects!$B$38*Assumptions!$B$10/Projects!$D$38*0.95+0.05*Projects!$B$38*Assumptions!$B$10,Projects!$B$38*Assumptions!$B$10/Projects!$D$38*0.95),0)+IF(AND(Projects!$G$39="Yes",33&gt;=Projects!$C$39,33&lt;Projects!$C$39+Projects!$D$39),IF(33=Projects!$C$39+Projects!$D$39-1,Projects!$B$39*Assumptions!$B$10/Projects!$D$39*0.95+0.05*Projects!$B$39*Assumptions!$B$10,Projects!$B$39*Assumptions!$B$10/Projects!$D$39*0.95),0)+IF(AND(Projects!$G$40="Yes",33&gt;=Projects!$C$40,33&lt;Projects!$C$40+Projects!$D$40),IF(33=Projects!$C$40+Projects!$D$40-1,Projects!$B$40*Assumptions!$B$10/Projects!$D$40*0.95+0.05*Projects!$B$40*Assumptions!$B$10,Projects!$B$40*Assumptions!$B$10/Projects!$D$40*0.95),0)+IF(AND(Projects!$G$41="Yes",33&gt;=Projects!$C$41,33&lt;Projects!$C$41+Projects!$D$41),IF(33=Projects!$C$41+Projects!$D$41-1,Projects!$B$41*Assumptions!$B$10/Projects!$D$41*0.95+0.05*Projects!$B$41*Assumptions!$B$10,Projects!$B$41*Assumptions!$B$10/Projects!$D$41*0.95),0)+IF(AND(Projects!$G$42="Yes",33&gt;=Projects!$C$42,33&lt;Projects!$C$42+Projects!$D$42),IF(33=Projects!$C$42+Projects!$D$42-1,Projects!$B$42*Assumptions!$B$10/Projects!$D$42*0.95+0.05*Projects!$B$42*Assumptions!$B$10,Projects!$B$42*Assumptions!$B$10/Projects!$D$42*0.95),0)+IF(AND(Projects!$G$43="Yes",33&gt;=Projects!$C$43,33&lt;Projects!$C$43+Projects!$D$43),IF(33=Projects!$C$43+Projects!$D$43-1,Projects!$B$43*Assumptions!$B$10/Projects!$D$43*0.95+0.05*Projects!$B$43*Assumptions!$B$10,Projects!$B$43*Assumptions!$B$10/Projects!$D$43*0.95),0)+IF(AND(Projects!$G$44="Yes",33&gt;=Projects!$C$44,33&lt;Projects!$C$44+Projects!$D$44),IF(33=Projects!$C$44+Projects!$D$44-1,Projects!$B$44*Assumptions!$B$10/Projects!$D$44*0.95+0.05*Projects!$B$44*Assumptions!$B$10,Projects!$B$44*Assumptions!$B$10/Projects!$D$44*0.95),0)+IF(AND(Projects!$G$45="Yes",33&gt;=Projects!$C$45,33&lt;Projects!$C$45+Projects!$D$45),IF(33=Projects!$C$45+Projects!$D$45-1,Projects!$B$45*Assumptions!$B$10/Projects!$D$45*0.95+0.05*Projects!$B$45*Assumptions!$B$10,Projects!$B$45*Assumptions!$B$10/Projects!$D$45*0.95),0)+IF(AND(Projects!$G$46="Yes",33&gt;=Projects!$C$46,33&lt;Projects!$C$46+Projects!$D$46),IF(33=Projects!$C$46+Projects!$D$46-1,Projects!$B$46*Assumptions!$B$10/Projects!$D$46*0.95+0.05*Projects!$B$46*Assumptions!$B$10,Projects!$B$46*Assumptions!$B$10/Projects!$D$46*0.95),0)</f>
        <v/>
      </c>
      <c r="AJ108">
        <f>IF(AND(Projects!$G$30="Yes",34&gt;=Projects!$C$30,34&lt;Projects!$C$30+Projects!$D$30),IF(34=Projects!$C$30+Projects!$D$30-1,Projects!$B$30*Assumptions!$B$10/Projects!$D$30*0.95+0.05*Projects!$B$30*Assumptions!$B$10,Projects!$B$30*Assumptions!$B$10/Projects!$D$30*0.95),0)+IF(AND(Projects!$G$31="Yes",34&gt;=Projects!$C$31,34&lt;Projects!$C$31+Projects!$D$31),IF(34=Projects!$C$31+Projects!$D$31-1,Projects!$B$31*Assumptions!$B$10/Projects!$D$31*0.95+0.05*Projects!$B$31*Assumptions!$B$10,Projects!$B$31*Assumptions!$B$10/Projects!$D$31*0.95),0)+IF(AND(Projects!$G$32="Yes",34&gt;=Projects!$C$32,34&lt;Projects!$C$32+Projects!$D$32),IF(34=Projects!$C$32+Projects!$D$32-1,Projects!$B$32*Assumptions!$B$10/Projects!$D$32*0.95+0.05*Projects!$B$32*Assumptions!$B$10,Projects!$B$32*Assumptions!$B$10/Projects!$D$32*0.95),0)+IF(AND(Projects!$G$33="Yes",34&gt;=Projects!$C$33,34&lt;Projects!$C$33+Projects!$D$33),IF(34=Projects!$C$33+Projects!$D$33-1,Projects!$B$33*Assumptions!$B$10/Projects!$D$33*0.95+0.05*Projects!$B$33*Assumptions!$B$10,Projects!$B$33*Assumptions!$B$10/Projects!$D$33*0.95),0)+IF(AND(Projects!$G$34="Yes",34&gt;=Projects!$C$34,34&lt;Projects!$C$34+Projects!$D$34),IF(34=Projects!$C$34+Projects!$D$34-1,Projects!$B$34*Assumptions!$B$10/Projects!$D$34*0.95+0.05*Projects!$B$34*Assumptions!$B$10,Projects!$B$34*Assumptions!$B$10/Projects!$D$34*0.95),0)+IF(AND(Projects!$G$35="Yes",34&gt;=Projects!$C$35,34&lt;Projects!$C$35+Projects!$D$35),IF(34=Projects!$C$35+Projects!$D$35-1,Projects!$B$35*Assumptions!$B$10/Projects!$D$35*0.95+0.05*Projects!$B$35*Assumptions!$B$10,Projects!$B$35*Assumptions!$B$10/Projects!$D$35*0.95),0)+IF(AND(Projects!$G$36="Yes",34&gt;=Projects!$C$36,34&lt;Projects!$C$36+Projects!$D$36),IF(34=Projects!$C$36+Projects!$D$36-1,Projects!$B$36*Assumptions!$B$10/Projects!$D$36*0.95+0.05*Projects!$B$36*Assumptions!$B$10,Projects!$B$36*Assumptions!$B$10/Projects!$D$36*0.95),0)+IF(AND(Projects!$G$37="Yes",34&gt;=Projects!$C$37,34&lt;Projects!$C$37+Projects!$D$37),IF(34=Projects!$C$37+Projects!$D$37-1,Projects!$B$37*Assumptions!$B$10/Projects!$D$37*0.95+0.05*Projects!$B$37*Assumptions!$B$10,Projects!$B$37*Assumptions!$B$10/Projects!$D$37*0.95),0)+IF(AND(Projects!$G$38="Yes",34&gt;=Projects!$C$38,34&lt;Projects!$C$38+Projects!$D$38),IF(34=Projects!$C$38+Projects!$D$38-1,Projects!$B$38*Assumptions!$B$10/Projects!$D$38*0.95+0.05*Projects!$B$38*Assumptions!$B$10,Projects!$B$38*Assumptions!$B$10/Projects!$D$38*0.95),0)+IF(AND(Projects!$G$39="Yes",34&gt;=Projects!$C$39,34&lt;Projects!$C$39+Projects!$D$39),IF(34=Projects!$C$39+Projects!$D$39-1,Projects!$B$39*Assumptions!$B$10/Projects!$D$39*0.95+0.05*Projects!$B$39*Assumptions!$B$10,Projects!$B$39*Assumptions!$B$10/Projects!$D$39*0.95),0)+IF(AND(Projects!$G$40="Yes",34&gt;=Projects!$C$40,34&lt;Projects!$C$40+Projects!$D$40),IF(34=Projects!$C$40+Projects!$D$40-1,Projects!$B$40*Assumptions!$B$10/Projects!$D$40*0.95+0.05*Projects!$B$40*Assumptions!$B$10,Projects!$B$40*Assumptions!$B$10/Projects!$D$40*0.95),0)+IF(AND(Projects!$G$41="Yes",34&gt;=Projects!$C$41,34&lt;Projects!$C$41+Projects!$D$41),IF(34=Projects!$C$41+Projects!$D$41-1,Projects!$B$41*Assumptions!$B$10/Projects!$D$41*0.95+0.05*Projects!$B$41*Assumptions!$B$10,Projects!$B$41*Assumptions!$B$10/Projects!$D$41*0.95),0)+IF(AND(Projects!$G$42="Yes",34&gt;=Projects!$C$42,34&lt;Projects!$C$42+Projects!$D$42),IF(34=Projects!$C$42+Projects!$D$42-1,Projects!$B$42*Assumptions!$B$10/Projects!$D$42*0.95+0.05*Projects!$B$42*Assumptions!$B$10,Projects!$B$42*Assumptions!$B$10/Projects!$D$42*0.95),0)+IF(AND(Projects!$G$43="Yes",34&gt;=Projects!$C$43,34&lt;Projects!$C$43+Projects!$D$43),IF(34=Projects!$C$43+Projects!$D$43-1,Projects!$B$43*Assumptions!$B$10/Projects!$D$43*0.95+0.05*Projects!$B$43*Assumptions!$B$10,Projects!$B$43*Assumptions!$B$10/Projects!$D$43*0.95),0)+IF(AND(Projects!$G$44="Yes",34&gt;=Projects!$C$44,34&lt;Projects!$C$44+Projects!$D$44),IF(34=Projects!$C$44+Projects!$D$44-1,Projects!$B$44*Assumptions!$B$10/Projects!$D$44*0.95+0.05*Projects!$B$44*Assumptions!$B$10,Projects!$B$44*Assumptions!$B$10/Projects!$D$44*0.95),0)+IF(AND(Projects!$G$45="Yes",34&gt;=Projects!$C$45,34&lt;Projects!$C$45+Projects!$D$45),IF(34=Projects!$C$45+Projects!$D$45-1,Projects!$B$45*Assumptions!$B$10/Projects!$D$45*0.95+0.05*Projects!$B$45*Assumptions!$B$10,Projects!$B$45*Assumptions!$B$10/Projects!$D$45*0.95),0)+IF(AND(Projects!$G$46="Yes",34&gt;=Projects!$C$46,34&lt;Projects!$C$46+Projects!$D$46),IF(34=Projects!$C$46+Projects!$D$46-1,Projects!$B$46*Assumptions!$B$10/Projects!$D$46*0.95+0.05*Projects!$B$46*Assumptions!$B$10,Projects!$B$46*Assumptions!$B$10/Projects!$D$46*0.95),0)</f>
        <v/>
      </c>
      <c r="AK108">
        <f>IF(AND(Projects!$G$30="Yes",35&gt;=Projects!$C$30,35&lt;Projects!$C$30+Projects!$D$30),IF(35=Projects!$C$30+Projects!$D$30-1,Projects!$B$30*Assumptions!$B$10/Projects!$D$30*0.95+0.05*Projects!$B$30*Assumptions!$B$10,Projects!$B$30*Assumptions!$B$10/Projects!$D$30*0.95),0)+IF(AND(Projects!$G$31="Yes",35&gt;=Projects!$C$31,35&lt;Projects!$C$31+Projects!$D$31),IF(35=Projects!$C$31+Projects!$D$31-1,Projects!$B$31*Assumptions!$B$10/Projects!$D$31*0.95+0.05*Projects!$B$31*Assumptions!$B$10,Projects!$B$31*Assumptions!$B$10/Projects!$D$31*0.95),0)+IF(AND(Projects!$G$32="Yes",35&gt;=Projects!$C$32,35&lt;Projects!$C$32+Projects!$D$32),IF(35=Projects!$C$32+Projects!$D$32-1,Projects!$B$32*Assumptions!$B$10/Projects!$D$32*0.95+0.05*Projects!$B$32*Assumptions!$B$10,Projects!$B$32*Assumptions!$B$10/Projects!$D$32*0.95),0)+IF(AND(Projects!$G$33="Yes",35&gt;=Projects!$C$33,35&lt;Projects!$C$33+Projects!$D$33),IF(35=Projects!$C$33+Projects!$D$33-1,Projects!$B$33*Assumptions!$B$10/Projects!$D$33*0.95+0.05*Projects!$B$33*Assumptions!$B$10,Projects!$B$33*Assumptions!$B$10/Projects!$D$33*0.95),0)+IF(AND(Projects!$G$34="Yes",35&gt;=Projects!$C$34,35&lt;Projects!$C$34+Projects!$D$34),IF(35=Projects!$C$34+Projects!$D$34-1,Projects!$B$34*Assumptions!$B$10/Projects!$D$34*0.95+0.05*Projects!$B$34*Assumptions!$B$10,Projects!$B$34*Assumptions!$B$10/Projects!$D$34*0.95),0)+IF(AND(Projects!$G$35="Yes",35&gt;=Projects!$C$35,35&lt;Projects!$C$35+Projects!$D$35),IF(35=Projects!$C$35+Projects!$D$35-1,Projects!$B$35*Assumptions!$B$10/Projects!$D$35*0.95+0.05*Projects!$B$35*Assumptions!$B$10,Projects!$B$35*Assumptions!$B$10/Projects!$D$35*0.95),0)+IF(AND(Projects!$G$36="Yes",35&gt;=Projects!$C$36,35&lt;Projects!$C$36+Projects!$D$36),IF(35=Projects!$C$36+Projects!$D$36-1,Projects!$B$36*Assumptions!$B$10/Projects!$D$36*0.95+0.05*Projects!$B$36*Assumptions!$B$10,Projects!$B$36*Assumptions!$B$10/Projects!$D$36*0.95),0)+IF(AND(Projects!$G$37="Yes",35&gt;=Projects!$C$37,35&lt;Projects!$C$37+Projects!$D$37),IF(35=Projects!$C$37+Projects!$D$37-1,Projects!$B$37*Assumptions!$B$10/Projects!$D$37*0.95+0.05*Projects!$B$37*Assumptions!$B$10,Projects!$B$37*Assumptions!$B$10/Projects!$D$37*0.95),0)+IF(AND(Projects!$G$38="Yes",35&gt;=Projects!$C$38,35&lt;Projects!$C$38+Projects!$D$38),IF(35=Projects!$C$38+Projects!$D$38-1,Projects!$B$38*Assumptions!$B$10/Projects!$D$38*0.95+0.05*Projects!$B$38*Assumptions!$B$10,Projects!$B$38*Assumptions!$B$10/Projects!$D$38*0.95),0)+IF(AND(Projects!$G$39="Yes",35&gt;=Projects!$C$39,35&lt;Projects!$C$39+Projects!$D$39),IF(35=Projects!$C$39+Projects!$D$39-1,Projects!$B$39*Assumptions!$B$10/Projects!$D$39*0.95+0.05*Projects!$B$39*Assumptions!$B$10,Projects!$B$39*Assumptions!$B$10/Projects!$D$39*0.95),0)+IF(AND(Projects!$G$40="Yes",35&gt;=Projects!$C$40,35&lt;Projects!$C$40+Projects!$D$40),IF(35=Projects!$C$40+Projects!$D$40-1,Projects!$B$40*Assumptions!$B$10/Projects!$D$40*0.95+0.05*Projects!$B$40*Assumptions!$B$10,Projects!$B$40*Assumptions!$B$10/Projects!$D$40*0.95),0)+IF(AND(Projects!$G$41="Yes",35&gt;=Projects!$C$41,35&lt;Projects!$C$41+Projects!$D$41),IF(35=Projects!$C$41+Projects!$D$41-1,Projects!$B$41*Assumptions!$B$10/Projects!$D$41*0.95+0.05*Projects!$B$41*Assumptions!$B$10,Projects!$B$41*Assumptions!$B$10/Projects!$D$41*0.95),0)+IF(AND(Projects!$G$42="Yes",35&gt;=Projects!$C$42,35&lt;Projects!$C$42+Projects!$D$42),IF(35=Projects!$C$42+Projects!$D$42-1,Projects!$B$42*Assumptions!$B$10/Projects!$D$42*0.95+0.05*Projects!$B$42*Assumptions!$B$10,Projects!$B$42*Assumptions!$B$10/Projects!$D$42*0.95),0)+IF(AND(Projects!$G$43="Yes",35&gt;=Projects!$C$43,35&lt;Projects!$C$43+Projects!$D$43),IF(35=Projects!$C$43+Projects!$D$43-1,Projects!$B$43*Assumptions!$B$10/Projects!$D$43*0.95+0.05*Projects!$B$43*Assumptions!$B$10,Projects!$B$43*Assumptions!$B$10/Projects!$D$43*0.95),0)+IF(AND(Projects!$G$44="Yes",35&gt;=Projects!$C$44,35&lt;Projects!$C$44+Projects!$D$44),IF(35=Projects!$C$44+Projects!$D$44-1,Projects!$B$44*Assumptions!$B$10/Projects!$D$44*0.95+0.05*Projects!$B$44*Assumptions!$B$10,Projects!$B$44*Assumptions!$B$10/Projects!$D$44*0.95),0)+IF(AND(Projects!$G$45="Yes",35&gt;=Projects!$C$45,35&lt;Projects!$C$45+Projects!$D$45),IF(35=Projects!$C$45+Projects!$D$45-1,Projects!$B$45*Assumptions!$B$10/Projects!$D$45*0.95+0.05*Projects!$B$45*Assumptions!$B$10,Projects!$B$45*Assumptions!$B$10/Projects!$D$45*0.95),0)+IF(AND(Projects!$G$46="Yes",35&gt;=Projects!$C$46,35&lt;Projects!$C$46+Projects!$D$46),IF(35=Projects!$C$46+Projects!$D$46-1,Projects!$B$46*Assumptions!$B$10/Projects!$D$46*0.95+0.05*Projects!$B$46*Assumptions!$B$10,Projects!$B$46*Assumptions!$B$10/Projects!$D$46*0.95),0)</f>
        <v/>
      </c>
      <c r="AL108">
        <f>IF(AND(Projects!$G$30="Yes",36&gt;=Projects!$C$30,36&lt;Projects!$C$30+Projects!$D$30),IF(36=Projects!$C$30+Projects!$D$30-1,Projects!$B$30*Assumptions!$B$10/Projects!$D$30*0.95+0.05*Projects!$B$30*Assumptions!$B$10,Projects!$B$30*Assumptions!$B$10/Projects!$D$30*0.95),0)+IF(AND(Projects!$G$31="Yes",36&gt;=Projects!$C$31,36&lt;Projects!$C$31+Projects!$D$31),IF(36=Projects!$C$31+Projects!$D$31-1,Projects!$B$31*Assumptions!$B$10/Projects!$D$31*0.95+0.05*Projects!$B$31*Assumptions!$B$10,Projects!$B$31*Assumptions!$B$10/Projects!$D$31*0.95),0)+IF(AND(Projects!$G$32="Yes",36&gt;=Projects!$C$32,36&lt;Projects!$C$32+Projects!$D$32),IF(36=Projects!$C$32+Projects!$D$32-1,Projects!$B$32*Assumptions!$B$10/Projects!$D$32*0.95+0.05*Projects!$B$32*Assumptions!$B$10,Projects!$B$32*Assumptions!$B$10/Projects!$D$32*0.95),0)+IF(AND(Projects!$G$33="Yes",36&gt;=Projects!$C$33,36&lt;Projects!$C$33+Projects!$D$33),IF(36=Projects!$C$33+Projects!$D$33-1,Projects!$B$33*Assumptions!$B$10/Projects!$D$33*0.95+0.05*Projects!$B$33*Assumptions!$B$10,Projects!$B$33*Assumptions!$B$10/Projects!$D$33*0.95),0)+IF(AND(Projects!$G$34="Yes",36&gt;=Projects!$C$34,36&lt;Projects!$C$34+Projects!$D$34),IF(36=Projects!$C$34+Projects!$D$34-1,Projects!$B$34*Assumptions!$B$10/Projects!$D$34*0.95+0.05*Projects!$B$34*Assumptions!$B$10,Projects!$B$34*Assumptions!$B$10/Projects!$D$34*0.95),0)+IF(AND(Projects!$G$35="Yes",36&gt;=Projects!$C$35,36&lt;Projects!$C$35+Projects!$D$35),IF(36=Projects!$C$35+Projects!$D$35-1,Projects!$B$35*Assumptions!$B$10/Projects!$D$35*0.95+0.05*Projects!$B$35*Assumptions!$B$10,Projects!$B$35*Assumptions!$B$10/Projects!$D$35*0.95),0)+IF(AND(Projects!$G$36="Yes",36&gt;=Projects!$C$36,36&lt;Projects!$C$36+Projects!$D$36),IF(36=Projects!$C$36+Projects!$D$36-1,Projects!$B$36*Assumptions!$B$10/Projects!$D$36*0.95+0.05*Projects!$B$36*Assumptions!$B$10,Projects!$B$36*Assumptions!$B$10/Projects!$D$36*0.95),0)+IF(AND(Projects!$G$37="Yes",36&gt;=Projects!$C$37,36&lt;Projects!$C$37+Projects!$D$37),IF(36=Projects!$C$37+Projects!$D$37-1,Projects!$B$37*Assumptions!$B$10/Projects!$D$37*0.95+0.05*Projects!$B$37*Assumptions!$B$10,Projects!$B$37*Assumptions!$B$10/Projects!$D$37*0.95),0)+IF(AND(Projects!$G$38="Yes",36&gt;=Projects!$C$38,36&lt;Projects!$C$38+Projects!$D$38),IF(36=Projects!$C$38+Projects!$D$38-1,Projects!$B$38*Assumptions!$B$10/Projects!$D$38*0.95+0.05*Projects!$B$38*Assumptions!$B$10,Projects!$B$38*Assumptions!$B$10/Projects!$D$38*0.95),0)+IF(AND(Projects!$G$39="Yes",36&gt;=Projects!$C$39,36&lt;Projects!$C$39+Projects!$D$39),IF(36=Projects!$C$39+Projects!$D$39-1,Projects!$B$39*Assumptions!$B$10/Projects!$D$39*0.95+0.05*Projects!$B$39*Assumptions!$B$10,Projects!$B$39*Assumptions!$B$10/Projects!$D$39*0.95),0)+IF(AND(Projects!$G$40="Yes",36&gt;=Projects!$C$40,36&lt;Projects!$C$40+Projects!$D$40),IF(36=Projects!$C$40+Projects!$D$40-1,Projects!$B$40*Assumptions!$B$10/Projects!$D$40*0.95+0.05*Projects!$B$40*Assumptions!$B$10,Projects!$B$40*Assumptions!$B$10/Projects!$D$40*0.95),0)+IF(AND(Projects!$G$41="Yes",36&gt;=Projects!$C$41,36&lt;Projects!$C$41+Projects!$D$41),IF(36=Projects!$C$41+Projects!$D$41-1,Projects!$B$41*Assumptions!$B$10/Projects!$D$41*0.95+0.05*Projects!$B$41*Assumptions!$B$10,Projects!$B$41*Assumptions!$B$10/Projects!$D$41*0.95),0)+IF(AND(Projects!$G$42="Yes",36&gt;=Projects!$C$42,36&lt;Projects!$C$42+Projects!$D$42),IF(36=Projects!$C$42+Projects!$D$42-1,Projects!$B$42*Assumptions!$B$10/Projects!$D$42*0.95+0.05*Projects!$B$42*Assumptions!$B$10,Projects!$B$42*Assumptions!$B$10/Projects!$D$42*0.95),0)+IF(AND(Projects!$G$43="Yes",36&gt;=Projects!$C$43,36&lt;Projects!$C$43+Projects!$D$43),IF(36=Projects!$C$43+Projects!$D$43-1,Projects!$B$43*Assumptions!$B$10/Projects!$D$43*0.95+0.05*Projects!$B$43*Assumptions!$B$10,Projects!$B$43*Assumptions!$B$10/Projects!$D$43*0.95),0)+IF(AND(Projects!$G$44="Yes",36&gt;=Projects!$C$44,36&lt;Projects!$C$44+Projects!$D$44),IF(36=Projects!$C$44+Projects!$D$44-1,Projects!$B$44*Assumptions!$B$10/Projects!$D$44*0.95+0.05*Projects!$B$44*Assumptions!$B$10,Projects!$B$44*Assumptions!$B$10/Projects!$D$44*0.95),0)+IF(AND(Projects!$G$45="Yes",36&gt;=Projects!$C$45,36&lt;Projects!$C$45+Projects!$D$45),IF(36=Projects!$C$45+Projects!$D$45-1,Projects!$B$45*Assumptions!$B$10/Projects!$D$45*0.95+0.05*Projects!$B$45*Assumptions!$B$10,Projects!$B$45*Assumptions!$B$10/Projects!$D$45*0.95),0)+IF(AND(Projects!$G$46="Yes",36&gt;=Projects!$C$46,36&lt;Projects!$C$46+Projects!$D$46),IF(36=Projects!$C$46+Projects!$D$46-1,Projects!$B$46*Assumptions!$B$10/Projects!$D$46*0.95+0.05*Projects!$B$46*Assumptions!$B$10,Projects!$B$46*Assumptions!$B$10/Projects!$D$46*0.95),0)</f>
        <v/>
      </c>
      <c r="AM108">
        <f>IF(AND(Projects!$G$30="Yes",37&gt;=Projects!$C$30,37&lt;Projects!$C$30+Projects!$D$30),IF(37=Projects!$C$30+Projects!$D$30-1,Projects!$B$30*Assumptions!$B$10/Projects!$D$30*0.95+0.05*Projects!$B$30*Assumptions!$B$10,Projects!$B$30*Assumptions!$B$10/Projects!$D$30*0.95),0)+IF(AND(Projects!$G$31="Yes",37&gt;=Projects!$C$31,37&lt;Projects!$C$31+Projects!$D$31),IF(37=Projects!$C$31+Projects!$D$31-1,Projects!$B$31*Assumptions!$B$10/Projects!$D$31*0.95+0.05*Projects!$B$31*Assumptions!$B$10,Projects!$B$31*Assumptions!$B$10/Projects!$D$31*0.95),0)+IF(AND(Projects!$G$32="Yes",37&gt;=Projects!$C$32,37&lt;Projects!$C$32+Projects!$D$32),IF(37=Projects!$C$32+Projects!$D$32-1,Projects!$B$32*Assumptions!$B$10/Projects!$D$32*0.95+0.05*Projects!$B$32*Assumptions!$B$10,Projects!$B$32*Assumptions!$B$10/Projects!$D$32*0.95),0)+IF(AND(Projects!$G$33="Yes",37&gt;=Projects!$C$33,37&lt;Projects!$C$33+Projects!$D$33),IF(37=Projects!$C$33+Projects!$D$33-1,Projects!$B$33*Assumptions!$B$10/Projects!$D$33*0.95+0.05*Projects!$B$33*Assumptions!$B$10,Projects!$B$33*Assumptions!$B$10/Projects!$D$33*0.95),0)+IF(AND(Projects!$G$34="Yes",37&gt;=Projects!$C$34,37&lt;Projects!$C$34+Projects!$D$34),IF(37=Projects!$C$34+Projects!$D$34-1,Projects!$B$34*Assumptions!$B$10/Projects!$D$34*0.95+0.05*Projects!$B$34*Assumptions!$B$10,Projects!$B$34*Assumptions!$B$10/Projects!$D$34*0.95),0)+IF(AND(Projects!$G$35="Yes",37&gt;=Projects!$C$35,37&lt;Projects!$C$35+Projects!$D$35),IF(37=Projects!$C$35+Projects!$D$35-1,Projects!$B$35*Assumptions!$B$10/Projects!$D$35*0.95+0.05*Projects!$B$35*Assumptions!$B$10,Projects!$B$35*Assumptions!$B$10/Projects!$D$35*0.95),0)+IF(AND(Projects!$G$36="Yes",37&gt;=Projects!$C$36,37&lt;Projects!$C$36+Projects!$D$36),IF(37=Projects!$C$36+Projects!$D$36-1,Projects!$B$36*Assumptions!$B$10/Projects!$D$36*0.95+0.05*Projects!$B$36*Assumptions!$B$10,Projects!$B$36*Assumptions!$B$10/Projects!$D$36*0.95),0)+IF(AND(Projects!$G$37="Yes",37&gt;=Projects!$C$37,37&lt;Projects!$C$37+Projects!$D$37),IF(37=Projects!$C$37+Projects!$D$37-1,Projects!$B$37*Assumptions!$B$10/Projects!$D$37*0.95+0.05*Projects!$B$37*Assumptions!$B$10,Projects!$B$37*Assumptions!$B$10/Projects!$D$37*0.95),0)+IF(AND(Projects!$G$38="Yes",37&gt;=Projects!$C$38,37&lt;Projects!$C$38+Projects!$D$38),IF(37=Projects!$C$38+Projects!$D$38-1,Projects!$B$38*Assumptions!$B$10/Projects!$D$38*0.95+0.05*Projects!$B$38*Assumptions!$B$10,Projects!$B$38*Assumptions!$B$10/Projects!$D$38*0.95),0)+IF(AND(Projects!$G$39="Yes",37&gt;=Projects!$C$39,37&lt;Projects!$C$39+Projects!$D$39),IF(37=Projects!$C$39+Projects!$D$39-1,Projects!$B$39*Assumptions!$B$10/Projects!$D$39*0.95+0.05*Projects!$B$39*Assumptions!$B$10,Projects!$B$39*Assumptions!$B$10/Projects!$D$39*0.95),0)+IF(AND(Projects!$G$40="Yes",37&gt;=Projects!$C$40,37&lt;Projects!$C$40+Projects!$D$40),IF(37=Projects!$C$40+Projects!$D$40-1,Projects!$B$40*Assumptions!$B$10/Projects!$D$40*0.95+0.05*Projects!$B$40*Assumptions!$B$10,Projects!$B$40*Assumptions!$B$10/Projects!$D$40*0.95),0)+IF(AND(Projects!$G$41="Yes",37&gt;=Projects!$C$41,37&lt;Projects!$C$41+Projects!$D$41),IF(37=Projects!$C$41+Projects!$D$41-1,Projects!$B$41*Assumptions!$B$10/Projects!$D$41*0.95+0.05*Projects!$B$41*Assumptions!$B$10,Projects!$B$41*Assumptions!$B$10/Projects!$D$41*0.95),0)+IF(AND(Projects!$G$42="Yes",37&gt;=Projects!$C$42,37&lt;Projects!$C$42+Projects!$D$42),IF(37=Projects!$C$42+Projects!$D$42-1,Projects!$B$42*Assumptions!$B$10/Projects!$D$42*0.95+0.05*Projects!$B$42*Assumptions!$B$10,Projects!$B$42*Assumptions!$B$10/Projects!$D$42*0.95),0)+IF(AND(Projects!$G$43="Yes",37&gt;=Projects!$C$43,37&lt;Projects!$C$43+Projects!$D$43),IF(37=Projects!$C$43+Projects!$D$43-1,Projects!$B$43*Assumptions!$B$10/Projects!$D$43*0.95+0.05*Projects!$B$43*Assumptions!$B$10,Projects!$B$43*Assumptions!$B$10/Projects!$D$43*0.95),0)+IF(AND(Projects!$G$44="Yes",37&gt;=Projects!$C$44,37&lt;Projects!$C$44+Projects!$D$44),IF(37=Projects!$C$44+Projects!$D$44-1,Projects!$B$44*Assumptions!$B$10/Projects!$D$44*0.95+0.05*Projects!$B$44*Assumptions!$B$10,Projects!$B$44*Assumptions!$B$10/Projects!$D$44*0.95),0)+IF(AND(Projects!$G$45="Yes",37&gt;=Projects!$C$45,37&lt;Projects!$C$45+Projects!$D$45),IF(37=Projects!$C$45+Projects!$D$45-1,Projects!$B$45*Assumptions!$B$10/Projects!$D$45*0.95+0.05*Projects!$B$45*Assumptions!$B$10,Projects!$B$45*Assumptions!$B$10/Projects!$D$45*0.95),0)+IF(AND(Projects!$G$46="Yes",37&gt;=Projects!$C$46,37&lt;Projects!$C$46+Projects!$D$46),IF(37=Projects!$C$46+Projects!$D$46-1,Projects!$B$46*Assumptions!$B$10/Projects!$D$46*0.95+0.05*Projects!$B$46*Assumptions!$B$10,Projects!$B$46*Assumptions!$B$10/Projects!$D$46*0.95),0)</f>
        <v/>
      </c>
      <c r="AN108">
        <f>IF(AND(Projects!$G$30="Yes",38&gt;=Projects!$C$30,38&lt;Projects!$C$30+Projects!$D$30),IF(38=Projects!$C$30+Projects!$D$30-1,Projects!$B$30*Assumptions!$B$10/Projects!$D$30*0.95+0.05*Projects!$B$30*Assumptions!$B$10,Projects!$B$30*Assumptions!$B$10/Projects!$D$30*0.95),0)+IF(AND(Projects!$G$31="Yes",38&gt;=Projects!$C$31,38&lt;Projects!$C$31+Projects!$D$31),IF(38=Projects!$C$31+Projects!$D$31-1,Projects!$B$31*Assumptions!$B$10/Projects!$D$31*0.95+0.05*Projects!$B$31*Assumptions!$B$10,Projects!$B$31*Assumptions!$B$10/Projects!$D$31*0.95),0)+IF(AND(Projects!$G$32="Yes",38&gt;=Projects!$C$32,38&lt;Projects!$C$32+Projects!$D$32),IF(38=Projects!$C$32+Projects!$D$32-1,Projects!$B$32*Assumptions!$B$10/Projects!$D$32*0.95+0.05*Projects!$B$32*Assumptions!$B$10,Projects!$B$32*Assumptions!$B$10/Projects!$D$32*0.95),0)+IF(AND(Projects!$G$33="Yes",38&gt;=Projects!$C$33,38&lt;Projects!$C$33+Projects!$D$33),IF(38=Projects!$C$33+Projects!$D$33-1,Projects!$B$33*Assumptions!$B$10/Projects!$D$33*0.95+0.05*Projects!$B$33*Assumptions!$B$10,Projects!$B$33*Assumptions!$B$10/Projects!$D$33*0.95),0)+IF(AND(Projects!$G$34="Yes",38&gt;=Projects!$C$34,38&lt;Projects!$C$34+Projects!$D$34),IF(38=Projects!$C$34+Projects!$D$34-1,Projects!$B$34*Assumptions!$B$10/Projects!$D$34*0.95+0.05*Projects!$B$34*Assumptions!$B$10,Projects!$B$34*Assumptions!$B$10/Projects!$D$34*0.95),0)+IF(AND(Projects!$G$35="Yes",38&gt;=Projects!$C$35,38&lt;Projects!$C$35+Projects!$D$35),IF(38=Projects!$C$35+Projects!$D$35-1,Projects!$B$35*Assumptions!$B$10/Projects!$D$35*0.95+0.05*Projects!$B$35*Assumptions!$B$10,Projects!$B$35*Assumptions!$B$10/Projects!$D$35*0.95),0)+IF(AND(Projects!$G$36="Yes",38&gt;=Projects!$C$36,38&lt;Projects!$C$36+Projects!$D$36),IF(38=Projects!$C$36+Projects!$D$36-1,Projects!$B$36*Assumptions!$B$10/Projects!$D$36*0.95+0.05*Projects!$B$36*Assumptions!$B$10,Projects!$B$36*Assumptions!$B$10/Projects!$D$36*0.95),0)+IF(AND(Projects!$G$37="Yes",38&gt;=Projects!$C$37,38&lt;Projects!$C$37+Projects!$D$37),IF(38=Projects!$C$37+Projects!$D$37-1,Projects!$B$37*Assumptions!$B$10/Projects!$D$37*0.95+0.05*Projects!$B$37*Assumptions!$B$10,Projects!$B$37*Assumptions!$B$10/Projects!$D$37*0.95),0)+IF(AND(Projects!$G$38="Yes",38&gt;=Projects!$C$38,38&lt;Projects!$C$38+Projects!$D$38),IF(38=Projects!$C$38+Projects!$D$38-1,Projects!$B$38*Assumptions!$B$10/Projects!$D$38*0.95+0.05*Projects!$B$38*Assumptions!$B$10,Projects!$B$38*Assumptions!$B$10/Projects!$D$38*0.95),0)+IF(AND(Projects!$G$39="Yes",38&gt;=Projects!$C$39,38&lt;Projects!$C$39+Projects!$D$39),IF(38=Projects!$C$39+Projects!$D$39-1,Projects!$B$39*Assumptions!$B$10/Projects!$D$39*0.95+0.05*Projects!$B$39*Assumptions!$B$10,Projects!$B$39*Assumptions!$B$10/Projects!$D$39*0.95),0)+IF(AND(Projects!$G$40="Yes",38&gt;=Projects!$C$40,38&lt;Projects!$C$40+Projects!$D$40),IF(38=Projects!$C$40+Projects!$D$40-1,Projects!$B$40*Assumptions!$B$10/Projects!$D$40*0.95+0.05*Projects!$B$40*Assumptions!$B$10,Projects!$B$40*Assumptions!$B$10/Projects!$D$40*0.95),0)+IF(AND(Projects!$G$41="Yes",38&gt;=Projects!$C$41,38&lt;Projects!$C$41+Projects!$D$41),IF(38=Projects!$C$41+Projects!$D$41-1,Projects!$B$41*Assumptions!$B$10/Projects!$D$41*0.95+0.05*Projects!$B$41*Assumptions!$B$10,Projects!$B$41*Assumptions!$B$10/Projects!$D$41*0.95),0)+IF(AND(Projects!$G$42="Yes",38&gt;=Projects!$C$42,38&lt;Projects!$C$42+Projects!$D$42),IF(38=Projects!$C$42+Projects!$D$42-1,Projects!$B$42*Assumptions!$B$10/Projects!$D$42*0.95+0.05*Projects!$B$42*Assumptions!$B$10,Projects!$B$42*Assumptions!$B$10/Projects!$D$42*0.95),0)+IF(AND(Projects!$G$43="Yes",38&gt;=Projects!$C$43,38&lt;Projects!$C$43+Projects!$D$43),IF(38=Projects!$C$43+Projects!$D$43-1,Projects!$B$43*Assumptions!$B$10/Projects!$D$43*0.95+0.05*Projects!$B$43*Assumptions!$B$10,Projects!$B$43*Assumptions!$B$10/Projects!$D$43*0.95),0)+IF(AND(Projects!$G$44="Yes",38&gt;=Projects!$C$44,38&lt;Projects!$C$44+Projects!$D$44),IF(38=Projects!$C$44+Projects!$D$44-1,Projects!$B$44*Assumptions!$B$10/Projects!$D$44*0.95+0.05*Projects!$B$44*Assumptions!$B$10,Projects!$B$44*Assumptions!$B$10/Projects!$D$44*0.95),0)+IF(AND(Projects!$G$45="Yes",38&gt;=Projects!$C$45,38&lt;Projects!$C$45+Projects!$D$45),IF(38=Projects!$C$45+Projects!$D$45-1,Projects!$B$45*Assumptions!$B$10/Projects!$D$45*0.95+0.05*Projects!$B$45*Assumptions!$B$10,Projects!$B$45*Assumptions!$B$10/Projects!$D$45*0.95),0)+IF(AND(Projects!$G$46="Yes",38&gt;=Projects!$C$46,38&lt;Projects!$C$46+Projects!$D$46),IF(38=Projects!$C$46+Projects!$D$46-1,Projects!$B$46*Assumptions!$B$10/Projects!$D$46*0.95+0.05*Projects!$B$46*Assumptions!$B$10,Projects!$B$46*Assumptions!$B$10/Projects!$D$46*0.95),0)</f>
        <v/>
      </c>
      <c r="AO108">
        <f>IF(AND(Projects!$G$30="Yes",39&gt;=Projects!$C$30,39&lt;Projects!$C$30+Projects!$D$30),IF(39=Projects!$C$30+Projects!$D$30-1,Projects!$B$30*Assumptions!$B$10/Projects!$D$30*0.95+0.05*Projects!$B$30*Assumptions!$B$10,Projects!$B$30*Assumptions!$B$10/Projects!$D$30*0.95),0)+IF(AND(Projects!$G$31="Yes",39&gt;=Projects!$C$31,39&lt;Projects!$C$31+Projects!$D$31),IF(39=Projects!$C$31+Projects!$D$31-1,Projects!$B$31*Assumptions!$B$10/Projects!$D$31*0.95+0.05*Projects!$B$31*Assumptions!$B$10,Projects!$B$31*Assumptions!$B$10/Projects!$D$31*0.95),0)+IF(AND(Projects!$G$32="Yes",39&gt;=Projects!$C$32,39&lt;Projects!$C$32+Projects!$D$32),IF(39=Projects!$C$32+Projects!$D$32-1,Projects!$B$32*Assumptions!$B$10/Projects!$D$32*0.95+0.05*Projects!$B$32*Assumptions!$B$10,Projects!$B$32*Assumptions!$B$10/Projects!$D$32*0.95),0)+IF(AND(Projects!$G$33="Yes",39&gt;=Projects!$C$33,39&lt;Projects!$C$33+Projects!$D$33),IF(39=Projects!$C$33+Projects!$D$33-1,Projects!$B$33*Assumptions!$B$10/Projects!$D$33*0.95+0.05*Projects!$B$33*Assumptions!$B$10,Projects!$B$33*Assumptions!$B$10/Projects!$D$33*0.95),0)+IF(AND(Projects!$G$34="Yes",39&gt;=Projects!$C$34,39&lt;Projects!$C$34+Projects!$D$34),IF(39=Projects!$C$34+Projects!$D$34-1,Projects!$B$34*Assumptions!$B$10/Projects!$D$34*0.95+0.05*Projects!$B$34*Assumptions!$B$10,Projects!$B$34*Assumptions!$B$10/Projects!$D$34*0.95),0)+IF(AND(Projects!$G$35="Yes",39&gt;=Projects!$C$35,39&lt;Projects!$C$35+Projects!$D$35),IF(39=Projects!$C$35+Projects!$D$35-1,Projects!$B$35*Assumptions!$B$10/Projects!$D$35*0.95+0.05*Projects!$B$35*Assumptions!$B$10,Projects!$B$35*Assumptions!$B$10/Projects!$D$35*0.95),0)+IF(AND(Projects!$G$36="Yes",39&gt;=Projects!$C$36,39&lt;Projects!$C$36+Projects!$D$36),IF(39=Projects!$C$36+Projects!$D$36-1,Projects!$B$36*Assumptions!$B$10/Projects!$D$36*0.95+0.05*Projects!$B$36*Assumptions!$B$10,Projects!$B$36*Assumptions!$B$10/Projects!$D$36*0.95),0)+IF(AND(Projects!$G$37="Yes",39&gt;=Projects!$C$37,39&lt;Projects!$C$37+Projects!$D$37),IF(39=Projects!$C$37+Projects!$D$37-1,Projects!$B$37*Assumptions!$B$10/Projects!$D$37*0.95+0.05*Projects!$B$37*Assumptions!$B$10,Projects!$B$37*Assumptions!$B$10/Projects!$D$37*0.95),0)+IF(AND(Projects!$G$38="Yes",39&gt;=Projects!$C$38,39&lt;Projects!$C$38+Projects!$D$38),IF(39=Projects!$C$38+Projects!$D$38-1,Projects!$B$38*Assumptions!$B$10/Projects!$D$38*0.95+0.05*Projects!$B$38*Assumptions!$B$10,Projects!$B$38*Assumptions!$B$10/Projects!$D$38*0.95),0)+IF(AND(Projects!$G$39="Yes",39&gt;=Projects!$C$39,39&lt;Projects!$C$39+Projects!$D$39),IF(39=Projects!$C$39+Projects!$D$39-1,Projects!$B$39*Assumptions!$B$10/Projects!$D$39*0.95+0.05*Projects!$B$39*Assumptions!$B$10,Projects!$B$39*Assumptions!$B$10/Projects!$D$39*0.95),0)+IF(AND(Projects!$G$40="Yes",39&gt;=Projects!$C$40,39&lt;Projects!$C$40+Projects!$D$40),IF(39=Projects!$C$40+Projects!$D$40-1,Projects!$B$40*Assumptions!$B$10/Projects!$D$40*0.95+0.05*Projects!$B$40*Assumptions!$B$10,Projects!$B$40*Assumptions!$B$10/Projects!$D$40*0.95),0)+IF(AND(Projects!$G$41="Yes",39&gt;=Projects!$C$41,39&lt;Projects!$C$41+Projects!$D$41),IF(39=Projects!$C$41+Projects!$D$41-1,Projects!$B$41*Assumptions!$B$10/Projects!$D$41*0.95+0.05*Projects!$B$41*Assumptions!$B$10,Projects!$B$41*Assumptions!$B$10/Projects!$D$41*0.95),0)+IF(AND(Projects!$G$42="Yes",39&gt;=Projects!$C$42,39&lt;Projects!$C$42+Projects!$D$42),IF(39=Projects!$C$42+Projects!$D$42-1,Projects!$B$42*Assumptions!$B$10/Projects!$D$42*0.95+0.05*Projects!$B$42*Assumptions!$B$10,Projects!$B$42*Assumptions!$B$10/Projects!$D$42*0.95),0)+IF(AND(Projects!$G$43="Yes",39&gt;=Projects!$C$43,39&lt;Projects!$C$43+Projects!$D$43),IF(39=Projects!$C$43+Projects!$D$43-1,Projects!$B$43*Assumptions!$B$10/Projects!$D$43*0.95+0.05*Projects!$B$43*Assumptions!$B$10,Projects!$B$43*Assumptions!$B$10/Projects!$D$43*0.95),0)+IF(AND(Projects!$G$44="Yes",39&gt;=Projects!$C$44,39&lt;Projects!$C$44+Projects!$D$44),IF(39=Projects!$C$44+Projects!$D$44-1,Projects!$B$44*Assumptions!$B$10/Projects!$D$44*0.95+0.05*Projects!$B$44*Assumptions!$B$10,Projects!$B$44*Assumptions!$B$10/Projects!$D$44*0.95),0)+IF(AND(Projects!$G$45="Yes",39&gt;=Projects!$C$45,39&lt;Projects!$C$45+Projects!$D$45),IF(39=Projects!$C$45+Projects!$D$45-1,Projects!$B$45*Assumptions!$B$10/Projects!$D$45*0.95+0.05*Projects!$B$45*Assumptions!$B$10,Projects!$B$45*Assumptions!$B$10/Projects!$D$45*0.95),0)+IF(AND(Projects!$G$46="Yes",39&gt;=Projects!$C$46,39&lt;Projects!$C$46+Projects!$D$46),IF(39=Projects!$C$46+Projects!$D$46-1,Projects!$B$46*Assumptions!$B$10/Projects!$D$46*0.95+0.05*Projects!$B$46*Assumptions!$B$10,Projects!$B$46*Assumptions!$B$10/Projects!$D$46*0.95),0)</f>
        <v/>
      </c>
      <c r="AP108">
        <f>IF(AND(Projects!$G$30="Yes",40&gt;=Projects!$C$30,40&lt;Projects!$C$30+Projects!$D$30),IF(40=Projects!$C$30+Projects!$D$30-1,Projects!$B$30*Assumptions!$B$10/Projects!$D$30*0.95+0.05*Projects!$B$30*Assumptions!$B$10,Projects!$B$30*Assumptions!$B$10/Projects!$D$30*0.95),0)+IF(AND(Projects!$G$31="Yes",40&gt;=Projects!$C$31,40&lt;Projects!$C$31+Projects!$D$31),IF(40=Projects!$C$31+Projects!$D$31-1,Projects!$B$31*Assumptions!$B$10/Projects!$D$31*0.95+0.05*Projects!$B$31*Assumptions!$B$10,Projects!$B$31*Assumptions!$B$10/Projects!$D$31*0.95),0)+IF(AND(Projects!$G$32="Yes",40&gt;=Projects!$C$32,40&lt;Projects!$C$32+Projects!$D$32),IF(40=Projects!$C$32+Projects!$D$32-1,Projects!$B$32*Assumptions!$B$10/Projects!$D$32*0.95+0.05*Projects!$B$32*Assumptions!$B$10,Projects!$B$32*Assumptions!$B$10/Projects!$D$32*0.95),0)+IF(AND(Projects!$G$33="Yes",40&gt;=Projects!$C$33,40&lt;Projects!$C$33+Projects!$D$33),IF(40=Projects!$C$33+Projects!$D$33-1,Projects!$B$33*Assumptions!$B$10/Projects!$D$33*0.95+0.05*Projects!$B$33*Assumptions!$B$10,Projects!$B$33*Assumptions!$B$10/Projects!$D$33*0.95),0)+IF(AND(Projects!$G$34="Yes",40&gt;=Projects!$C$34,40&lt;Projects!$C$34+Projects!$D$34),IF(40=Projects!$C$34+Projects!$D$34-1,Projects!$B$34*Assumptions!$B$10/Projects!$D$34*0.95+0.05*Projects!$B$34*Assumptions!$B$10,Projects!$B$34*Assumptions!$B$10/Projects!$D$34*0.95),0)+IF(AND(Projects!$G$35="Yes",40&gt;=Projects!$C$35,40&lt;Projects!$C$35+Projects!$D$35),IF(40=Projects!$C$35+Projects!$D$35-1,Projects!$B$35*Assumptions!$B$10/Projects!$D$35*0.95+0.05*Projects!$B$35*Assumptions!$B$10,Projects!$B$35*Assumptions!$B$10/Projects!$D$35*0.95),0)+IF(AND(Projects!$G$36="Yes",40&gt;=Projects!$C$36,40&lt;Projects!$C$36+Projects!$D$36),IF(40=Projects!$C$36+Projects!$D$36-1,Projects!$B$36*Assumptions!$B$10/Projects!$D$36*0.95+0.05*Projects!$B$36*Assumptions!$B$10,Projects!$B$36*Assumptions!$B$10/Projects!$D$36*0.95),0)+IF(AND(Projects!$G$37="Yes",40&gt;=Projects!$C$37,40&lt;Projects!$C$37+Projects!$D$37),IF(40=Projects!$C$37+Projects!$D$37-1,Projects!$B$37*Assumptions!$B$10/Projects!$D$37*0.95+0.05*Projects!$B$37*Assumptions!$B$10,Projects!$B$37*Assumptions!$B$10/Projects!$D$37*0.95),0)+IF(AND(Projects!$G$38="Yes",40&gt;=Projects!$C$38,40&lt;Projects!$C$38+Projects!$D$38),IF(40=Projects!$C$38+Projects!$D$38-1,Projects!$B$38*Assumptions!$B$10/Projects!$D$38*0.95+0.05*Projects!$B$38*Assumptions!$B$10,Projects!$B$38*Assumptions!$B$10/Projects!$D$38*0.95),0)+IF(AND(Projects!$G$39="Yes",40&gt;=Projects!$C$39,40&lt;Projects!$C$39+Projects!$D$39),IF(40=Projects!$C$39+Projects!$D$39-1,Projects!$B$39*Assumptions!$B$10/Projects!$D$39*0.95+0.05*Projects!$B$39*Assumptions!$B$10,Projects!$B$39*Assumptions!$B$10/Projects!$D$39*0.95),0)+IF(AND(Projects!$G$40="Yes",40&gt;=Projects!$C$40,40&lt;Projects!$C$40+Projects!$D$40),IF(40=Projects!$C$40+Projects!$D$40-1,Projects!$B$40*Assumptions!$B$10/Projects!$D$40*0.95+0.05*Projects!$B$40*Assumptions!$B$10,Projects!$B$40*Assumptions!$B$10/Projects!$D$40*0.95),0)+IF(AND(Projects!$G$41="Yes",40&gt;=Projects!$C$41,40&lt;Projects!$C$41+Projects!$D$41),IF(40=Projects!$C$41+Projects!$D$41-1,Projects!$B$41*Assumptions!$B$10/Projects!$D$41*0.95+0.05*Projects!$B$41*Assumptions!$B$10,Projects!$B$41*Assumptions!$B$10/Projects!$D$41*0.95),0)+IF(AND(Projects!$G$42="Yes",40&gt;=Projects!$C$42,40&lt;Projects!$C$42+Projects!$D$42),IF(40=Projects!$C$42+Projects!$D$42-1,Projects!$B$42*Assumptions!$B$10/Projects!$D$42*0.95+0.05*Projects!$B$42*Assumptions!$B$10,Projects!$B$42*Assumptions!$B$10/Projects!$D$42*0.95),0)+IF(AND(Projects!$G$43="Yes",40&gt;=Projects!$C$43,40&lt;Projects!$C$43+Projects!$D$43),IF(40=Projects!$C$43+Projects!$D$43-1,Projects!$B$43*Assumptions!$B$10/Projects!$D$43*0.95+0.05*Projects!$B$43*Assumptions!$B$10,Projects!$B$43*Assumptions!$B$10/Projects!$D$43*0.95),0)+IF(AND(Projects!$G$44="Yes",40&gt;=Projects!$C$44,40&lt;Projects!$C$44+Projects!$D$44),IF(40=Projects!$C$44+Projects!$D$44-1,Projects!$B$44*Assumptions!$B$10/Projects!$D$44*0.95+0.05*Projects!$B$44*Assumptions!$B$10,Projects!$B$44*Assumptions!$B$10/Projects!$D$44*0.95),0)+IF(AND(Projects!$G$45="Yes",40&gt;=Projects!$C$45,40&lt;Projects!$C$45+Projects!$D$45),IF(40=Projects!$C$45+Projects!$D$45-1,Projects!$B$45*Assumptions!$B$10/Projects!$D$45*0.95+0.05*Projects!$B$45*Assumptions!$B$10,Projects!$B$45*Assumptions!$B$10/Projects!$D$45*0.95),0)+IF(AND(Projects!$G$46="Yes",40&gt;=Projects!$C$46,40&lt;Projects!$C$46+Projects!$D$46),IF(40=Projects!$C$46+Projects!$D$46-1,Projects!$B$46*Assumptions!$B$10/Projects!$D$46*0.95+0.05*Projects!$B$46*Assumptions!$B$10,Projects!$B$46*Assumptions!$B$10/Projects!$D$46*0.95),0)</f>
        <v/>
      </c>
      <c r="AQ108">
        <f>IF(AND(Projects!$G$30="Yes",41&gt;=Projects!$C$30,41&lt;Projects!$C$30+Projects!$D$30),IF(41=Projects!$C$30+Projects!$D$30-1,Projects!$B$30*Assumptions!$B$10/Projects!$D$30*0.95+0.05*Projects!$B$30*Assumptions!$B$10,Projects!$B$30*Assumptions!$B$10/Projects!$D$30*0.95),0)+IF(AND(Projects!$G$31="Yes",41&gt;=Projects!$C$31,41&lt;Projects!$C$31+Projects!$D$31),IF(41=Projects!$C$31+Projects!$D$31-1,Projects!$B$31*Assumptions!$B$10/Projects!$D$31*0.95+0.05*Projects!$B$31*Assumptions!$B$10,Projects!$B$31*Assumptions!$B$10/Projects!$D$31*0.95),0)+IF(AND(Projects!$G$32="Yes",41&gt;=Projects!$C$32,41&lt;Projects!$C$32+Projects!$D$32),IF(41=Projects!$C$32+Projects!$D$32-1,Projects!$B$32*Assumptions!$B$10/Projects!$D$32*0.95+0.05*Projects!$B$32*Assumptions!$B$10,Projects!$B$32*Assumptions!$B$10/Projects!$D$32*0.95),0)+IF(AND(Projects!$G$33="Yes",41&gt;=Projects!$C$33,41&lt;Projects!$C$33+Projects!$D$33),IF(41=Projects!$C$33+Projects!$D$33-1,Projects!$B$33*Assumptions!$B$10/Projects!$D$33*0.95+0.05*Projects!$B$33*Assumptions!$B$10,Projects!$B$33*Assumptions!$B$10/Projects!$D$33*0.95),0)+IF(AND(Projects!$G$34="Yes",41&gt;=Projects!$C$34,41&lt;Projects!$C$34+Projects!$D$34),IF(41=Projects!$C$34+Projects!$D$34-1,Projects!$B$34*Assumptions!$B$10/Projects!$D$34*0.95+0.05*Projects!$B$34*Assumptions!$B$10,Projects!$B$34*Assumptions!$B$10/Projects!$D$34*0.95),0)+IF(AND(Projects!$G$35="Yes",41&gt;=Projects!$C$35,41&lt;Projects!$C$35+Projects!$D$35),IF(41=Projects!$C$35+Projects!$D$35-1,Projects!$B$35*Assumptions!$B$10/Projects!$D$35*0.95+0.05*Projects!$B$35*Assumptions!$B$10,Projects!$B$35*Assumptions!$B$10/Projects!$D$35*0.95),0)+IF(AND(Projects!$G$36="Yes",41&gt;=Projects!$C$36,41&lt;Projects!$C$36+Projects!$D$36),IF(41=Projects!$C$36+Projects!$D$36-1,Projects!$B$36*Assumptions!$B$10/Projects!$D$36*0.95+0.05*Projects!$B$36*Assumptions!$B$10,Projects!$B$36*Assumptions!$B$10/Projects!$D$36*0.95),0)+IF(AND(Projects!$G$37="Yes",41&gt;=Projects!$C$37,41&lt;Projects!$C$37+Projects!$D$37),IF(41=Projects!$C$37+Projects!$D$37-1,Projects!$B$37*Assumptions!$B$10/Projects!$D$37*0.95+0.05*Projects!$B$37*Assumptions!$B$10,Projects!$B$37*Assumptions!$B$10/Projects!$D$37*0.95),0)+IF(AND(Projects!$G$38="Yes",41&gt;=Projects!$C$38,41&lt;Projects!$C$38+Projects!$D$38),IF(41=Projects!$C$38+Projects!$D$38-1,Projects!$B$38*Assumptions!$B$10/Projects!$D$38*0.95+0.05*Projects!$B$38*Assumptions!$B$10,Projects!$B$38*Assumptions!$B$10/Projects!$D$38*0.95),0)+IF(AND(Projects!$G$39="Yes",41&gt;=Projects!$C$39,41&lt;Projects!$C$39+Projects!$D$39),IF(41=Projects!$C$39+Projects!$D$39-1,Projects!$B$39*Assumptions!$B$10/Projects!$D$39*0.95+0.05*Projects!$B$39*Assumptions!$B$10,Projects!$B$39*Assumptions!$B$10/Projects!$D$39*0.95),0)+IF(AND(Projects!$G$40="Yes",41&gt;=Projects!$C$40,41&lt;Projects!$C$40+Projects!$D$40),IF(41=Projects!$C$40+Projects!$D$40-1,Projects!$B$40*Assumptions!$B$10/Projects!$D$40*0.95+0.05*Projects!$B$40*Assumptions!$B$10,Projects!$B$40*Assumptions!$B$10/Projects!$D$40*0.95),0)+IF(AND(Projects!$G$41="Yes",41&gt;=Projects!$C$41,41&lt;Projects!$C$41+Projects!$D$41),IF(41=Projects!$C$41+Projects!$D$41-1,Projects!$B$41*Assumptions!$B$10/Projects!$D$41*0.95+0.05*Projects!$B$41*Assumptions!$B$10,Projects!$B$41*Assumptions!$B$10/Projects!$D$41*0.95),0)+IF(AND(Projects!$G$42="Yes",41&gt;=Projects!$C$42,41&lt;Projects!$C$42+Projects!$D$42),IF(41=Projects!$C$42+Projects!$D$42-1,Projects!$B$42*Assumptions!$B$10/Projects!$D$42*0.95+0.05*Projects!$B$42*Assumptions!$B$10,Projects!$B$42*Assumptions!$B$10/Projects!$D$42*0.95),0)+IF(AND(Projects!$G$43="Yes",41&gt;=Projects!$C$43,41&lt;Projects!$C$43+Projects!$D$43),IF(41=Projects!$C$43+Projects!$D$43-1,Projects!$B$43*Assumptions!$B$10/Projects!$D$43*0.95+0.05*Projects!$B$43*Assumptions!$B$10,Projects!$B$43*Assumptions!$B$10/Projects!$D$43*0.95),0)+IF(AND(Projects!$G$44="Yes",41&gt;=Projects!$C$44,41&lt;Projects!$C$44+Projects!$D$44),IF(41=Projects!$C$44+Projects!$D$44-1,Projects!$B$44*Assumptions!$B$10/Projects!$D$44*0.95+0.05*Projects!$B$44*Assumptions!$B$10,Projects!$B$44*Assumptions!$B$10/Projects!$D$44*0.95),0)+IF(AND(Projects!$G$45="Yes",41&gt;=Projects!$C$45,41&lt;Projects!$C$45+Projects!$D$45),IF(41=Projects!$C$45+Projects!$D$45-1,Projects!$B$45*Assumptions!$B$10/Projects!$D$45*0.95+0.05*Projects!$B$45*Assumptions!$B$10,Projects!$B$45*Assumptions!$B$10/Projects!$D$45*0.95),0)+IF(AND(Projects!$G$46="Yes",41&gt;=Projects!$C$46,41&lt;Projects!$C$46+Projects!$D$46),IF(41=Projects!$C$46+Projects!$D$46-1,Projects!$B$46*Assumptions!$B$10/Projects!$D$46*0.95+0.05*Projects!$B$46*Assumptions!$B$10,Projects!$B$46*Assumptions!$B$10/Projects!$D$46*0.95),0)</f>
        <v/>
      </c>
      <c r="AR108">
        <f>IF(AND(Projects!$G$30="Yes",42&gt;=Projects!$C$30,42&lt;Projects!$C$30+Projects!$D$30),IF(42=Projects!$C$30+Projects!$D$30-1,Projects!$B$30*Assumptions!$B$10/Projects!$D$30*0.95+0.05*Projects!$B$30*Assumptions!$B$10,Projects!$B$30*Assumptions!$B$10/Projects!$D$30*0.95),0)+IF(AND(Projects!$G$31="Yes",42&gt;=Projects!$C$31,42&lt;Projects!$C$31+Projects!$D$31),IF(42=Projects!$C$31+Projects!$D$31-1,Projects!$B$31*Assumptions!$B$10/Projects!$D$31*0.95+0.05*Projects!$B$31*Assumptions!$B$10,Projects!$B$31*Assumptions!$B$10/Projects!$D$31*0.95),0)+IF(AND(Projects!$G$32="Yes",42&gt;=Projects!$C$32,42&lt;Projects!$C$32+Projects!$D$32),IF(42=Projects!$C$32+Projects!$D$32-1,Projects!$B$32*Assumptions!$B$10/Projects!$D$32*0.95+0.05*Projects!$B$32*Assumptions!$B$10,Projects!$B$32*Assumptions!$B$10/Projects!$D$32*0.95),0)+IF(AND(Projects!$G$33="Yes",42&gt;=Projects!$C$33,42&lt;Projects!$C$33+Projects!$D$33),IF(42=Projects!$C$33+Projects!$D$33-1,Projects!$B$33*Assumptions!$B$10/Projects!$D$33*0.95+0.05*Projects!$B$33*Assumptions!$B$10,Projects!$B$33*Assumptions!$B$10/Projects!$D$33*0.95),0)+IF(AND(Projects!$G$34="Yes",42&gt;=Projects!$C$34,42&lt;Projects!$C$34+Projects!$D$34),IF(42=Projects!$C$34+Projects!$D$34-1,Projects!$B$34*Assumptions!$B$10/Projects!$D$34*0.95+0.05*Projects!$B$34*Assumptions!$B$10,Projects!$B$34*Assumptions!$B$10/Projects!$D$34*0.95),0)+IF(AND(Projects!$G$35="Yes",42&gt;=Projects!$C$35,42&lt;Projects!$C$35+Projects!$D$35),IF(42=Projects!$C$35+Projects!$D$35-1,Projects!$B$35*Assumptions!$B$10/Projects!$D$35*0.95+0.05*Projects!$B$35*Assumptions!$B$10,Projects!$B$35*Assumptions!$B$10/Projects!$D$35*0.95),0)+IF(AND(Projects!$G$36="Yes",42&gt;=Projects!$C$36,42&lt;Projects!$C$36+Projects!$D$36),IF(42=Projects!$C$36+Projects!$D$36-1,Projects!$B$36*Assumptions!$B$10/Projects!$D$36*0.95+0.05*Projects!$B$36*Assumptions!$B$10,Projects!$B$36*Assumptions!$B$10/Projects!$D$36*0.95),0)+IF(AND(Projects!$G$37="Yes",42&gt;=Projects!$C$37,42&lt;Projects!$C$37+Projects!$D$37),IF(42=Projects!$C$37+Projects!$D$37-1,Projects!$B$37*Assumptions!$B$10/Projects!$D$37*0.95+0.05*Projects!$B$37*Assumptions!$B$10,Projects!$B$37*Assumptions!$B$10/Projects!$D$37*0.95),0)+IF(AND(Projects!$G$38="Yes",42&gt;=Projects!$C$38,42&lt;Projects!$C$38+Projects!$D$38),IF(42=Projects!$C$38+Projects!$D$38-1,Projects!$B$38*Assumptions!$B$10/Projects!$D$38*0.95+0.05*Projects!$B$38*Assumptions!$B$10,Projects!$B$38*Assumptions!$B$10/Projects!$D$38*0.95),0)+IF(AND(Projects!$G$39="Yes",42&gt;=Projects!$C$39,42&lt;Projects!$C$39+Projects!$D$39),IF(42=Projects!$C$39+Projects!$D$39-1,Projects!$B$39*Assumptions!$B$10/Projects!$D$39*0.95+0.05*Projects!$B$39*Assumptions!$B$10,Projects!$B$39*Assumptions!$B$10/Projects!$D$39*0.95),0)+IF(AND(Projects!$G$40="Yes",42&gt;=Projects!$C$40,42&lt;Projects!$C$40+Projects!$D$40),IF(42=Projects!$C$40+Projects!$D$40-1,Projects!$B$40*Assumptions!$B$10/Projects!$D$40*0.95+0.05*Projects!$B$40*Assumptions!$B$10,Projects!$B$40*Assumptions!$B$10/Projects!$D$40*0.95),0)+IF(AND(Projects!$G$41="Yes",42&gt;=Projects!$C$41,42&lt;Projects!$C$41+Projects!$D$41),IF(42=Projects!$C$41+Projects!$D$41-1,Projects!$B$41*Assumptions!$B$10/Projects!$D$41*0.95+0.05*Projects!$B$41*Assumptions!$B$10,Projects!$B$41*Assumptions!$B$10/Projects!$D$41*0.95),0)+IF(AND(Projects!$G$42="Yes",42&gt;=Projects!$C$42,42&lt;Projects!$C$42+Projects!$D$42),IF(42=Projects!$C$42+Projects!$D$42-1,Projects!$B$42*Assumptions!$B$10/Projects!$D$42*0.95+0.05*Projects!$B$42*Assumptions!$B$10,Projects!$B$42*Assumptions!$B$10/Projects!$D$42*0.95),0)+IF(AND(Projects!$G$43="Yes",42&gt;=Projects!$C$43,42&lt;Projects!$C$43+Projects!$D$43),IF(42=Projects!$C$43+Projects!$D$43-1,Projects!$B$43*Assumptions!$B$10/Projects!$D$43*0.95+0.05*Projects!$B$43*Assumptions!$B$10,Projects!$B$43*Assumptions!$B$10/Projects!$D$43*0.95),0)+IF(AND(Projects!$G$44="Yes",42&gt;=Projects!$C$44,42&lt;Projects!$C$44+Projects!$D$44),IF(42=Projects!$C$44+Projects!$D$44-1,Projects!$B$44*Assumptions!$B$10/Projects!$D$44*0.95+0.05*Projects!$B$44*Assumptions!$B$10,Projects!$B$44*Assumptions!$B$10/Projects!$D$44*0.95),0)+IF(AND(Projects!$G$45="Yes",42&gt;=Projects!$C$45,42&lt;Projects!$C$45+Projects!$D$45),IF(42=Projects!$C$45+Projects!$D$45-1,Projects!$B$45*Assumptions!$B$10/Projects!$D$45*0.95+0.05*Projects!$B$45*Assumptions!$B$10,Projects!$B$45*Assumptions!$B$10/Projects!$D$45*0.95),0)+IF(AND(Projects!$G$46="Yes",42&gt;=Projects!$C$46,42&lt;Projects!$C$46+Projects!$D$46),IF(42=Projects!$C$46+Projects!$D$46-1,Projects!$B$46*Assumptions!$B$10/Projects!$D$46*0.95+0.05*Projects!$B$46*Assumptions!$B$10,Projects!$B$46*Assumptions!$B$10/Projects!$D$46*0.95),0)</f>
        <v/>
      </c>
      <c r="AS108">
        <f>IF(AND(Projects!$G$30="Yes",43&gt;=Projects!$C$30,43&lt;Projects!$C$30+Projects!$D$30),IF(43=Projects!$C$30+Projects!$D$30-1,Projects!$B$30*Assumptions!$B$10/Projects!$D$30*0.95+0.05*Projects!$B$30*Assumptions!$B$10,Projects!$B$30*Assumptions!$B$10/Projects!$D$30*0.95),0)+IF(AND(Projects!$G$31="Yes",43&gt;=Projects!$C$31,43&lt;Projects!$C$31+Projects!$D$31),IF(43=Projects!$C$31+Projects!$D$31-1,Projects!$B$31*Assumptions!$B$10/Projects!$D$31*0.95+0.05*Projects!$B$31*Assumptions!$B$10,Projects!$B$31*Assumptions!$B$10/Projects!$D$31*0.95),0)+IF(AND(Projects!$G$32="Yes",43&gt;=Projects!$C$32,43&lt;Projects!$C$32+Projects!$D$32),IF(43=Projects!$C$32+Projects!$D$32-1,Projects!$B$32*Assumptions!$B$10/Projects!$D$32*0.95+0.05*Projects!$B$32*Assumptions!$B$10,Projects!$B$32*Assumptions!$B$10/Projects!$D$32*0.95),0)+IF(AND(Projects!$G$33="Yes",43&gt;=Projects!$C$33,43&lt;Projects!$C$33+Projects!$D$33),IF(43=Projects!$C$33+Projects!$D$33-1,Projects!$B$33*Assumptions!$B$10/Projects!$D$33*0.95+0.05*Projects!$B$33*Assumptions!$B$10,Projects!$B$33*Assumptions!$B$10/Projects!$D$33*0.95),0)+IF(AND(Projects!$G$34="Yes",43&gt;=Projects!$C$34,43&lt;Projects!$C$34+Projects!$D$34),IF(43=Projects!$C$34+Projects!$D$34-1,Projects!$B$34*Assumptions!$B$10/Projects!$D$34*0.95+0.05*Projects!$B$34*Assumptions!$B$10,Projects!$B$34*Assumptions!$B$10/Projects!$D$34*0.95),0)+IF(AND(Projects!$G$35="Yes",43&gt;=Projects!$C$35,43&lt;Projects!$C$35+Projects!$D$35),IF(43=Projects!$C$35+Projects!$D$35-1,Projects!$B$35*Assumptions!$B$10/Projects!$D$35*0.95+0.05*Projects!$B$35*Assumptions!$B$10,Projects!$B$35*Assumptions!$B$10/Projects!$D$35*0.95),0)+IF(AND(Projects!$G$36="Yes",43&gt;=Projects!$C$36,43&lt;Projects!$C$36+Projects!$D$36),IF(43=Projects!$C$36+Projects!$D$36-1,Projects!$B$36*Assumptions!$B$10/Projects!$D$36*0.95+0.05*Projects!$B$36*Assumptions!$B$10,Projects!$B$36*Assumptions!$B$10/Projects!$D$36*0.95),0)+IF(AND(Projects!$G$37="Yes",43&gt;=Projects!$C$37,43&lt;Projects!$C$37+Projects!$D$37),IF(43=Projects!$C$37+Projects!$D$37-1,Projects!$B$37*Assumptions!$B$10/Projects!$D$37*0.95+0.05*Projects!$B$37*Assumptions!$B$10,Projects!$B$37*Assumptions!$B$10/Projects!$D$37*0.95),0)+IF(AND(Projects!$G$38="Yes",43&gt;=Projects!$C$38,43&lt;Projects!$C$38+Projects!$D$38),IF(43=Projects!$C$38+Projects!$D$38-1,Projects!$B$38*Assumptions!$B$10/Projects!$D$38*0.95+0.05*Projects!$B$38*Assumptions!$B$10,Projects!$B$38*Assumptions!$B$10/Projects!$D$38*0.95),0)+IF(AND(Projects!$G$39="Yes",43&gt;=Projects!$C$39,43&lt;Projects!$C$39+Projects!$D$39),IF(43=Projects!$C$39+Projects!$D$39-1,Projects!$B$39*Assumptions!$B$10/Projects!$D$39*0.95+0.05*Projects!$B$39*Assumptions!$B$10,Projects!$B$39*Assumptions!$B$10/Projects!$D$39*0.95),0)+IF(AND(Projects!$G$40="Yes",43&gt;=Projects!$C$40,43&lt;Projects!$C$40+Projects!$D$40),IF(43=Projects!$C$40+Projects!$D$40-1,Projects!$B$40*Assumptions!$B$10/Projects!$D$40*0.95+0.05*Projects!$B$40*Assumptions!$B$10,Projects!$B$40*Assumptions!$B$10/Projects!$D$40*0.95),0)+IF(AND(Projects!$G$41="Yes",43&gt;=Projects!$C$41,43&lt;Projects!$C$41+Projects!$D$41),IF(43=Projects!$C$41+Projects!$D$41-1,Projects!$B$41*Assumptions!$B$10/Projects!$D$41*0.95+0.05*Projects!$B$41*Assumptions!$B$10,Projects!$B$41*Assumptions!$B$10/Projects!$D$41*0.95),0)+IF(AND(Projects!$G$42="Yes",43&gt;=Projects!$C$42,43&lt;Projects!$C$42+Projects!$D$42),IF(43=Projects!$C$42+Projects!$D$42-1,Projects!$B$42*Assumptions!$B$10/Projects!$D$42*0.95+0.05*Projects!$B$42*Assumptions!$B$10,Projects!$B$42*Assumptions!$B$10/Projects!$D$42*0.95),0)+IF(AND(Projects!$G$43="Yes",43&gt;=Projects!$C$43,43&lt;Projects!$C$43+Projects!$D$43),IF(43=Projects!$C$43+Projects!$D$43-1,Projects!$B$43*Assumptions!$B$10/Projects!$D$43*0.95+0.05*Projects!$B$43*Assumptions!$B$10,Projects!$B$43*Assumptions!$B$10/Projects!$D$43*0.95),0)+IF(AND(Projects!$G$44="Yes",43&gt;=Projects!$C$44,43&lt;Projects!$C$44+Projects!$D$44),IF(43=Projects!$C$44+Projects!$D$44-1,Projects!$B$44*Assumptions!$B$10/Projects!$D$44*0.95+0.05*Projects!$B$44*Assumptions!$B$10,Projects!$B$44*Assumptions!$B$10/Projects!$D$44*0.95),0)+IF(AND(Projects!$G$45="Yes",43&gt;=Projects!$C$45,43&lt;Projects!$C$45+Projects!$D$45),IF(43=Projects!$C$45+Projects!$D$45-1,Projects!$B$45*Assumptions!$B$10/Projects!$D$45*0.95+0.05*Projects!$B$45*Assumptions!$B$10,Projects!$B$45*Assumptions!$B$10/Projects!$D$45*0.95),0)+IF(AND(Projects!$G$46="Yes",43&gt;=Projects!$C$46,43&lt;Projects!$C$46+Projects!$D$46),IF(43=Projects!$C$46+Projects!$D$46-1,Projects!$B$46*Assumptions!$B$10/Projects!$D$46*0.95+0.05*Projects!$B$46*Assumptions!$B$10,Projects!$B$46*Assumptions!$B$10/Projects!$D$46*0.95),0)</f>
        <v/>
      </c>
      <c r="AT108">
        <f>IF(AND(Projects!$G$30="Yes",44&gt;=Projects!$C$30,44&lt;Projects!$C$30+Projects!$D$30),IF(44=Projects!$C$30+Projects!$D$30-1,Projects!$B$30*Assumptions!$B$10/Projects!$D$30*0.95+0.05*Projects!$B$30*Assumptions!$B$10,Projects!$B$30*Assumptions!$B$10/Projects!$D$30*0.95),0)+IF(AND(Projects!$G$31="Yes",44&gt;=Projects!$C$31,44&lt;Projects!$C$31+Projects!$D$31),IF(44=Projects!$C$31+Projects!$D$31-1,Projects!$B$31*Assumptions!$B$10/Projects!$D$31*0.95+0.05*Projects!$B$31*Assumptions!$B$10,Projects!$B$31*Assumptions!$B$10/Projects!$D$31*0.95),0)+IF(AND(Projects!$G$32="Yes",44&gt;=Projects!$C$32,44&lt;Projects!$C$32+Projects!$D$32),IF(44=Projects!$C$32+Projects!$D$32-1,Projects!$B$32*Assumptions!$B$10/Projects!$D$32*0.95+0.05*Projects!$B$32*Assumptions!$B$10,Projects!$B$32*Assumptions!$B$10/Projects!$D$32*0.95),0)+IF(AND(Projects!$G$33="Yes",44&gt;=Projects!$C$33,44&lt;Projects!$C$33+Projects!$D$33),IF(44=Projects!$C$33+Projects!$D$33-1,Projects!$B$33*Assumptions!$B$10/Projects!$D$33*0.95+0.05*Projects!$B$33*Assumptions!$B$10,Projects!$B$33*Assumptions!$B$10/Projects!$D$33*0.95),0)+IF(AND(Projects!$G$34="Yes",44&gt;=Projects!$C$34,44&lt;Projects!$C$34+Projects!$D$34),IF(44=Projects!$C$34+Projects!$D$34-1,Projects!$B$34*Assumptions!$B$10/Projects!$D$34*0.95+0.05*Projects!$B$34*Assumptions!$B$10,Projects!$B$34*Assumptions!$B$10/Projects!$D$34*0.95),0)+IF(AND(Projects!$G$35="Yes",44&gt;=Projects!$C$35,44&lt;Projects!$C$35+Projects!$D$35),IF(44=Projects!$C$35+Projects!$D$35-1,Projects!$B$35*Assumptions!$B$10/Projects!$D$35*0.95+0.05*Projects!$B$35*Assumptions!$B$10,Projects!$B$35*Assumptions!$B$10/Projects!$D$35*0.95),0)+IF(AND(Projects!$G$36="Yes",44&gt;=Projects!$C$36,44&lt;Projects!$C$36+Projects!$D$36),IF(44=Projects!$C$36+Projects!$D$36-1,Projects!$B$36*Assumptions!$B$10/Projects!$D$36*0.95+0.05*Projects!$B$36*Assumptions!$B$10,Projects!$B$36*Assumptions!$B$10/Projects!$D$36*0.95),0)+IF(AND(Projects!$G$37="Yes",44&gt;=Projects!$C$37,44&lt;Projects!$C$37+Projects!$D$37),IF(44=Projects!$C$37+Projects!$D$37-1,Projects!$B$37*Assumptions!$B$10/Projects!$D$37*0.95+0.05*Projects!$B$37*Assumptions!$B$10,Projects!$B$37*Assumptions!$B$10/Projects!$D$37*0.95),0)+IF(AND(Projects!$G$38="Yes",44&gt;=Projects!$C$38,44&lt;Projects!$C$38+Projects!$D$38),IF(44=Projects!$C$38+Projects!$D$38-1,Projects!$B$38*Assumptions!$B$10/Projects!$D$38*0.95+0.05*Projects!$B$38*Assumptions!$B$10,Projects!$B$38*Assumptions!$B$10/Projects!$D$38*0.95),0)+IF(AND(Projects!$G$39="Yes",44&gt;=Projects!$C$39,44&lt;Projects!$C$39+Projects!$D$39),IF(44=Projects!$C$39+Projects!$D$39-1,Projects!$B$39*Assumptions!$B$10/Projects!$D$39*0.95+0.05*Projects!$B$39*Assumptions!$B$10,Projects!$B$39*Assumptions!$B$10/Projects!$D$39*0.95),0)+IF(AND(Projects!$G$40="Yes",44&gt;=Projects!$C$40,44&lt;Projects!$C$40+Projects!$D$40),IF(44=Projects!$C$40+Projects!$D$40-1,Projects!$B$40*Assumptions!$B$10/Projects!$D$40*0.95+0.05*Projects!$B$40*Assumptions!$B$10,Projects!$B$40*Assumptions!$B$10/Projects!$D$40*0.95),0)+IF(AND(Projects!$G$41="Yes",44&gt;=Projects!$C$41,44&lt;Projects!$C$41+Projects!$D$41),IF(44=Projects!$C$41+Projects!$D$41-1,Projects!$B$41*Assumptions!$B$10/Projects!$D$41*0.95+0.05*Projects!$B$41*Assumptions!$B$10,Projects!$B$41*Assumptions!$B$10/Projects!$D$41*0.95),0)+IF(AND(Projects!$G$42="Yes",44&gt;=Projects!$C$42,44&lt;Projects!$C$42+Projects!$D$42),IF(44=Projects!$C$42+Projects!$D$42-1,Projects!$B$42*Assumptions!$B$10/Projects!$D$42*0.95+0.05*Projects!$B$42*Assumptions!$B$10,Projects!$B$42*Assumptions!$B$10/Projects!$D$42*0.95),0)+IF(AND(Projects!$G$43="Yes",44&gt;=Projects!$C$43,44&lt;Projects!$C$43+Projects!$D$43),IF(44=Projects!$C$43+Projects!$D$43-1,Projects!$B$43*Assumptions!$B$10/Projects!$D$43*0.95+0.05*Projects!$B$43*Assumptions!$B$10,Projects!$B$43*Assumptions!$B$10/Projects!$D$43*0.95),0)+IF(AND(Projects!$G$44="Yes",44&gt;=Projects!$C$44,44&lt;Projects!$C$44+Projects!$D$44),IF(44=Projects!$C$44+Projects!$D$44-1,Projects!$B$44*Assumptions!$B$10/Projects!$D$44*0.95+0.05*Projects!$B$44*Assumptions!$B$10,Projects!$B$44*Assumptions!$B$10/Projects!$D$44*0.95),0)+IF(AND(Projects!$G$45="Yes",44&gt;=Projects!$C$45,44&lt;Projects!$C$45+Projects!$D$45),IF(44=Projects!$C$45+Projects!$D$45-1,Projects!$B$45*Assumptions!$B$10/Projects!$D$45*0.95+0.05*Projects!$B$45*Assumptions!$B$10,Projects!$B$45*Assumptions!$B$10/Projects!$D$45*0.95),0)+IF(AND(Projects!$G$46="Yes",44&gt;=Projects!$C$46,44&lt;Projects!$C$46+Projects!$D$46),IF(44=Projects!$C$46+Projects!$D$46-1,Projects!$B$46*Assumptions!$B$10/Projects!$D$46*0.95+0.05*Projects!$B$46*Assumptions!$B$10,Projects!$B$46*Assumptions!$B$10/Projects!$D$46*0.95),0)</f>
        <v/>
      </c>
      <c r="AU108">
        <f>IF(AND(Projects!$G$30="Yes",45&gt;=Projects!$C$30,45&lt;Projects!$C$30+Projects!$D$30),IF(45=Projects!$C$30+Projects!$D$30-1,Projects!$B$30*Assumptions!$B$10/Projects!$D$30*0.95+0.05*Projects!$B$30*Assumptions!$B$10,Projects!$B$30*Assumptions!$B$10/Projects!$D$30*0.95),0)+IF(AND(Projects!$G$31="Yes",45&gt;=Projects!$C$31,45&lt;Projects!$C$31+Projects!$D$31),IF(45=Projects!$C$31+Projects!$D$31-1,Projects!$B$31*Assumptions!$B$10/Projects!$D$31*0.95+0.05*Projects!$B$31*Assumptions!$B$10,Projects!$B$31*Assumptions!$B$10/Projects!$D$31*0.95),0)+IF(AND(Projects!$G$32="Yes",45&gt;=Projects!$C$32,45&lt;Projects!$C$32+Projects!$D$32),IF(45=Projects!$C$32+Projects!$D$32-1,Projects!$B$32*Assumptions!$B$10/Projects!$D$32*0.95+0.05*Projects!$B$32*Assumptions!$B$10,Projects!$B$32*Assumptions!$B$10/Projects!$D$32*0.95),0)+IF(AND(Projects!$G$33="Yes",45&gt;=Projects!$C$33,45&lt;Projects!$C$33+Projects!$D$33),IF(45=Projects!$C$33+Projects!$D$33-1,Projects!$B$33*Assumptions!$B$10/Projects!$D$33*0.95+0.05*Projects!$B$33*Assumptions!$B$10,Projects!$B$33*Assumptions!$B$10/Projects!$D$33*0.95),0)+IF(AND(Projects!$G$34="Yes",45&gt;=Projects!$C$34,45&lt;Projects!$C$34+Projects!$D$34),IF(45=Projects!$C$34+Projects!$D$34-1,Projects!$B$34*Assumptions!$B$10/Projects!$D$34*0.95+0.05*Projects!$B$34*Assumptions!$B$10,Projects!$B$34*Assumptions!$B$10/Projects!$D$34*0.95),0)+IF(AND(Projects!$G$35="Yes",45&gt;=Projects!$C$35,45&lt;Projects!$C$35+Projects!$D$35),IF(45=Projects!$C$35+Projects!$D$35-1,Projects!$B$35*Assumptions!$B$10/Projects!$D$35*0.95+0.05*Projects!$B$35*Assumptions!$B$10,Projects!$B$35*Assumptions!$B$10/Projects!$D$35*0.95),0)+IF(AND(Projects!$G$36="Yes",45&gt;=Projects!$C$36,45&lt;Projects!$C$36+Projects!$D$36),IF(45=Projects!$C$36+Projects!$D$36-1,Projects!$B$36*Assumptions!$B$10/Projects!$D$36*0.95+0.05*Projects!$B$36*Assumptions!$B$10,Projects!$B$36*Assumptions!$B$10/Projects!$D$36*0.95),0)+IF(AND(Projects!$G$37="Yes",45&gt;=Projects!$C$37,45&lt;Projects!$C$37+Projects!$D$37),IF(45=Projects!$C$37+Projects!$D$37-1,Projects!$B$37*Assumptions!$B$10/Projects!$D$37*0.95+0.05*Projects!$B$37*Assumptions!$B$10,Projects!$B$37*Assumptions!$B$10/Projects!$D$37*0.95),0)+IF(AND(Projects!$G$38="Yes",45&gt;=Projects!$C$38,45&lt;Projects!$C$38+Projects!$D$38),IF(45=Projects!$C$38+Projects!$D$38-1,Projects!$B$38*Assumptions!$B$10/Projects!$D$38*0.95+0.05*Projects!$B$38*Assumptions!$B$10,Projects!$B$38*Assumptions!$B$10/Projects!$D$38*0.95),0)+IF(AND(Projects!$G$39="Yes",45&gt;=Projects!$C$39,45&lt;Projects!$C$39+Projects!$D$39),IF(45=Projects!$C$39+Projects!$D$39-1,Projects!$B$39*Assumptions!$B$10/Projects!$D$39*0.95+0.05*Projects!$B$39*Assumptions!$B$10,Projects!$B$39*Assumptions!$B$10/Projects!$D$39*0.95),0)+IF(AND(Projects!$G$40="Yes",45&gt;=Projects!$C$40,45&lt;Projects!$C$40+Projects!$D$40),IF(45=Projects!$C$40+Projects!$D$40-1,Projects!$B$40*Assumptions!$B$10/Projects!$D$40*0.95+0.05*Projects!$B$40*Assumptions!$B$10,Projects!$B$40*Assumptions!$B$10/Projects!$D$40*0.95),0)+IF(AND(Projects!$G$41="Yes",45&gt;=Projects!$C$41,45&lt;Projects!$C$41+Projects!$D$41),IF(45=Projects!$C$41+Projects!$D$41-1,Projects!$B$41*Assumptions!$B$10/Projects!$D$41*0.95+0.05*Projects!$B$41*Assumptions!$B$10,Projects!$B$41*Assumptions!$B$10/Projects!$D$41*0.95),0)+IF(AND(Projects!$G$42="Yes",45&gt;=Projects!$C$42,45&lt;Projects!$C$42+Projects!$D$42),IF(45=Projects!$C$42+Projects!$D$42-1,Projects!$B$42*Assumptions!$B$10/Projects!$D$42*0.95+0.05*Projects!$B$42*Assumptions!$B$10,Projects!$B$42*Assumptions!$B$10/Projects!$D$42*0.95),0)+IF(AND(Projects!$G$43="Yes",45&gt;=Projects!$C$43,45&lt;Projects!$C$43+Projects!$D$43),IF(45=Projects!$C$43+Projects!$D$43-1,Projects!$B$43*Assumptions!$B$10/Projects!$D$43*0.95+0.05*Projects!$B$43*Assumptions!$B$10,Projects!$B$43*Assumptions!$B$10/Projects!$D$43*0.95),0)+IF(AND(Projects!$G$44="Yes",45&gt;=Projects!$C$44,45&lt;Projects!$C$44+Projects!$D$44),IF(45=Projects!$C$44+Projects!$D$44-1,Projects!$B$44*Assumptions!$B$10/Projects!$D$44*0.95+0.05*Projects!$B$44*Assumptions!$B$10,Projects!$B$44*Assumptions!$B$10/Projects!$D$44*0.95),0)+IF(AND(Projects!$G$45="Yes",45&gt;=Projects!$C$45,45&lt;Projects!$C$45+Projects!$D$45),IF(45=Projects!$C$45+Projects!$D$45-1,Projects!$B$45*Assumptions!$B$10/Projects!$D$45*0.95+0.05*Projects!$B$45*Assumptions!$B$10,Projects!$B$45*Assumptions!$B$10/Projects!$D$45*0.95),0)+IF(AND(Projects!$G$46="Yes",45&gt;=Projects!$C$46,45&lt;Projects!$C$46+Projects!$D$46),IF(45=Projects!$C$46+Projects!$D$46-1,Projects!$B$46*Assumptions!$B$10/Projects!$D$46*0.95+0.05*Projects!$B$46*Assumptions!$B$10,Projects!$B$46*Assumptions!$B$10/Projects!$D$46*0.95),0)</f>
        <v/>
      </c>
      <c r="AV108">
        <f>IF(AND(Projects!$G$30="Yes",46&gt;=Projects!$C$30,46&lt;Projects!$C$30+Projects!$D$30),IF(46=Projects!$C$30+Projects!$D$30-1,Projects!$B$30*Assumptions!$B$10/Projects!$D$30*0.95+0.05*Projects!$B$30*Assumptions!$B$10,Projects!$B$30*Assumptions!$B$10/Projects!$D$30*0.95),0)+IF(AND(Projects!$G$31="Yes",46&gt;=Projects!$C$31,46&lt;Projects!$C$31+Projects!$D$31),IF(46=Projects!$C$31+Projects!$D$31-1,Projects!$B$31*Assumptions!$B$10/Projects!$D$31*0.95+0.05*Projects!$B$31*Assumptions!$B$10,Projects!$B$31*Assumptions!$B$10/Projects!$D$31*0.95),0)+IF(AND(Projects!$G$32="Yes",46&gt;=Projects!$C$32,46&lt;Projects!$C$32+Projects!$D$32),IF(46=Projects!$C$32+Projects!$D$32-1,Projects!$B$32*Assumptions!$B$10/Projects!$D$32*0.95+0.05*Projects!$B$32*Assumptions!$B$10,Projects!$B$32*Assumptions!$B$10/Projects!$D$32*0.95),0)+IF(AND(Projects!$G$33="Yes",46&gt;=Projects!$C$33,46&lt;Projects!$C$33+Projects!$D$33),IF(46=Projects!$C$33+Projects!$D$33-1,Projects!$B$33*Assumptions!$B$10/Projects!$D$33*0.95+0.05*Projects!$B$33*Assumptions!$B$10,Projects!$B$33*Assumptions!$B$10/Projects!$D$33*0.95),0)+IF(AND(Projects!$G$34="Yes",46&gt;=Projects!$C$34,46&lt;Projects!$C$34+Projects!$D$34),IF(46=Projects!$C$34+Projects!$D$34-1,Projects!$B$34*Assumptions!$B$10/Projects!$D$34*0.95+0.05*Projects!$B$34*Assumptions!$B$10,Projects!$B$34*Assumptions!$B$10/Projects!$D$34*0.95),0)+IF(AND(Projects!$G$35="Yes",46&gt;=Projects!$C$35,46&lt;Projects!$C$35+Projects!$D$35),IF(46=Projects!$C$35+Projects!$D$35-1,Projects!$B$35*Assumptions!$B$10/Projects!$D$35*0.95+0.05*Projects!$B$35*Assumptions!$B$10,Projects!$B$35*Assumptions!$B$10/Projects!$D$35*0.95),0)+IF(AND(Projects!$G$36="Yes",46&gt;=Projects!$C$36,46&lt;Projects!$C$36+Projects!$D$36),IF(46=Projects!$C$36+Projects!$D$36-1,Projects!$B$36*Assumptions!$B$10/Projects!$D$36*0.95+0.05*Projects!$B$36*Assumptions!$B$10,Projects!$B$36*Assumptions!$B$10/Projects!$D$36*0.95),0)+IF(AND(Projects!$G$37="Yes",46&gt;=Projects!$C$37,46&lt;Projects!$C$37+Projects!$D$37),IF(46=Projects!$C$37+Projects!$D$37-1,Projects!$B$37*Assumptions!$B$10/Projects!$D$37*0.95+0.05*Projects!$B$37*Assumptions!$B$10,Projects!$B$37*Assumptions!$B$10/Projects!$D$37*0.95),0)+IF(AND(Projects!$G$38="Yes",46&gt;=Projects!$C$38,46&lt;Projects!$C$38+Projects!$D$38),IF(46=Projects!$C$38+Projects!$D$38-1,Projects!$B$38*Assumptions!$B$10/Projects!$D$38*0.95+0.05*Projects!$B$38*Assumptions!$B$10,Projects!$B$38*Assumptions!$B$10/Projects!$D$38*0.95),0)+IF(AND(Projects!$G$39="Yes",46&gt;=Projects!$C$39,46&lt;Projects!$C$39+Projects!$D$39),IF(46=Projects!$C$39+Projects!$D$39-1,Projects!$B$39*Assumptions!$B$10/Projects!$D$39*0.95+0.05*Projects!$B$39*Assumptions!$B$10,Projects!$B$39*Assumptions!$B$10/Projects!$D$39*0.95),0)+IF(AND(Projects!$G$40="Yes",46&gt;=Projects!$C$40,46&lt;Projects!$C$40+Projects!$D$40),IF(46=Projects!$C$40+Projects!$D$40-1,Projects!$B$40*Assumptions!$B$10/Projects!$D$40*0.95+0.05*Projects!$B$40*Assumptions!$B$10,Projects!$B$40*Assumptions!$B$10/Projects!$D$40*0.95),0)+IF(AND(Projects!$G$41="Yes",46&gt;=Projects!$C$41,46&lt;Projects!$C$41+Projects!$D$41),IF(46=Projects!$C$41+Projects!$D$41-1,Projects!$B$41*Assumptions!$B$10/Projects!$D$41*0.95+0.05*Projects!$B$41*Assumptions!$B$10,Projects!$B$41*Assumptions!$B$10/Projects!$D$41*0.95),0)+IF(AND(Projects!$G$42="Yes",46&gt;=Projects!$C$42,46&lt;Projects!$C$42+Projects!$D$42),IF(46=Projects!$C$42+Projects!$D$42-1,Projects!$B$42*Assumptions!$B$10/Projects!$D$42*0.95+0.05*Projects!$B$42*Assumptions!$B$10,Projects!$B$42*Assumptions!$B$10/Projects!$D$42*0.95),0)+IF(AND(Projects!$G$43="Yes",46&gt;=Projects!$C$43,46&lt;Projects!$C$43+Projects!$D$43),IF(46=Projects!$C$43+Projects!$D$43-1,Projects!$B$43*Assumptions!$B$10/Projects!$D$43*0.95+0.05*Projects!$B$43*Assumptions!$B$10,Projects!$B$43*Assumptions!$B$10/Projects!$D$43*0.95),0)+IF(AND(Projects!$G$44="Yes",46&gt;=Projects!$C$44,46&lt;Projects!$C$44+Projects!$D$44),IF(46=Projects!$C$44+Projects!$D$44-1,Projects!$B$44*Assumptions!$B$10/Projects!$D$44*0.95+0.05*Projects!$B$44*Assumptions!$B$10,Projects!$B$44*Assumptions!$B$10/Projects!$D$44*0.95),0)+IF(AND(Projects!$G$45="Yes",46&gt;=Projects!$C$45,46&lt;Projects!$C$45+Projects!$D$45),IF(46=Projects!$C$45+Projects!$D$45-1,Projects!$B$45*Assumptions!$B$10/Projects!$D$45*0.95+0.05*Projects!$B$45*Assumptions!$B$10,Projects!$B$45*Assumptions!$B$10/Projects!$D$45*0.95),0)+IF(AND(Projects!$G$46="Yes",46&gt;=Projects!$C$46,46&lt;Projects!$C$46+Projects!$D$46),IF(46=Projects!$C$46+Projects!$D$46-1,Projects!$B$46*Assumptions!$B$10/Projects!$D$46*0.95+0.05*Projects!$B$46*Assumptions!$B$10,Projects!$B$46*Assumptions!$B$10/Projects!$D$46*0.95),0)</f>
        <v/>
      </c>
      <c r="AW108">
        <f>IF(AND(Projects!$G$30="Yes",47&gt;=Projects!$C$30,47&lt;Projects!$C$30+Projects!$D$30),IF(47=Projects!$C$30+Projects!$D$30-1,Projects!$B$30*Assumptions!$B$10/Projects!$D$30*0.95+0.05*Projects!$B$30*Assumptions!$B$10,Projects!$B$30*Assumptions!$B$10/Projects!$D$30*0.95),0)+IF(AND(Projects!$G$31="Yes",47&gt;=Projects!$C$31,47&lt;Projects!$C$31+Projects!$D$31),IF(47=Projects!$C$31+Projects!$D$31-1,Projects!$B$31*Assumptions!$B$10/Projects!$D$31*0.95+0.05*Projects!$B$31*Assumptions!$B$10,Projects!$B$31*Assumptions!$B$10/Projects!$D$31*0.95),0)+IF(AND(Projects!$G$32="Yes",47&gt;=Projects!$C$32,47&lt;Projects!$C$32+Projects!$D$32),IF(47=Projects!$C$32+Projects!$D$32-1,Projects!$B$32*Assumptions!$B$10/Projects!$D$32*0.95+0.05*Projects!$B$32*Assumptions!$B$10,Projects!$B$32*Assumptions!$B$10/Projects!$D$32*0.95),0)+IF(AND(Projects!$G$33="Yes",47&gt;=Projects!$C$33,47&lt;Projects!$C$33+Projects!$D$33),IF(47=Projects!$C$33+Projects!$D$33-1,Projects!$B$33*Assumptions!$B$10/Projects!$D$33*0.95+0.05*Projects!$B$33*Assumptions!$B$10,Projects!$B$33*Assumptions!$B$10/Projects!$D$33*0.95),0)+IF(AND(Projects!$G$34="Yes",47&gt;=Projects!$C$34,47&lt;Projects!$C$34+Projects!$D$34),IF(47=Projects!$C$34+Projects!$D$34-1,Projects!$B$34*Assumptions!$B$10/Projects!$D$34*0.95+0.05*Projects!$B$34*Assumptions!$B$10,Projects!$B$34*Assumptions!$B$10/Projects!$D$34*0.95),0)+IF(AND(Projects!$G$35="Yes",47&gt;=Projects!$C$35,47&lt;Projects!$C$35+Projects!$D$35),IF(47=Projects!$C$35+Projects!$D$35-1,Projects!$B$35*Assumptions!$B$10/Projects!$D$35*0.95+0.05*Projects!$B$35*Assumptions!$B$10,Projects!$B$35*Assumptions!$B$10/Projects!$D$35*0.95),0)+IF(AND(Projects!$G$36="Yes",47&gt;=Projects!$C$36,47&lt;Projects!$C$36+Projects!$D$36),IF(47=Projects!$C$36+Projects!$D$36-1,Projects!$B$36*Assumptions!$B$10/Projects!$D$36*0.95+0.05*Projects!$B$36*Assumptions!$B$10,Projects!$B$36*Assumptions!$B$10/Projects!$D$36*0.95),0)+IF(AND(Projects!$G$37="Yes",47&gt;=Projects!$C$37,47&lt;Projects!$C$37+Projects!$D$37),IF(47=Projects!$C$37+Projects!$D$37-1,Projects!$B$37*Assumptions!$B$10/Projects!$D$37*0.95+0.05*Projects!$B$37*Assumptions!$B$10,Projects!$B$37*Assumptions!$B$10/Projects!$D$37*0.95),0)+IF(AND(Projects!$G$38="Yes",47&gt;=Projects!$C$38,47&lt;Projects!$C$38+Projects!$D$38),IF(47=Projects!$C$38+Projects!$D$38-1,Projects!$B$38*Assumptions!$B$10/Projects!$D$38*0.95+0.05*Projects!$B$38*Assumptions!$B$10,Projects!$B$38*Assumptions!$B$10/Projects!$D$38*0.95),0)+IF(AND(Projects!$G$39="Yes",47&gt;=Projects!$C$39,47&lt;Projects!$C$39+Projects!$D$39),IF(47=Projects!$C$39+Projects!$D$39-1,Projects!$B$39*Assumptions!$B$10/Projects!$D$39*0.95+0.05*Projects!$B$39*Assumptions!$B$10,Projects!$B$39*Assumptions!$B$10/Projects!$D$39*0.95),0)+IF(AND(Projects!$G$40="Yes",47&gt;=Projects!$C$40,47&lt;Projects!$C$40+Projects!$D$40),IF(47=Projects!$C$40+Projects!$D$40-1,Projects!$B$40*Assumptions!$B$10/Projects!$D$40*0.95+0.05*Projects!$B$40*Assumptions!$B$10,Projects!$B$40*Assumptions!$B$10/Projects!$D$40*0.95),0)+IF(AND(Projects!$G$41="Yes",47&gt;=Projects!$C$41,47&lt;Projects!$C$41+Projects!$D$41),IF(47=Projects!$C$41+Projects!$D$41-1,Projects!$B$41*Assumptions!$B$10/Projects!$D$41*0.95+0.05*Projects!$B$41*Assumptions!$B$10,Projects!$B$41*Assumptions!$B$10/Projects!$D$41*0.95),0)+IF(AND(Projects!$G$42="Yes",47&gt;=Projects!$C$42,47&lt;Projects!$C$42+Projects!$D$42),IF(47=Projects!$C$42+Projects!$D$42-1,Projects!$B$42*Assumptions!$B$10/Projects!$D$42*0.95+0.05*Projects!$B$42*Assumptions!$B$10,Projects!$B$42*Assumptions!$B$10/Projects!$D$42*0.95),0)+IF(AND(Projects!$G$43="Yes",47&gt;=Projects!$C$43,47&lt;Projects!$C$43+Projects!$D$43),IF(47=Projects!$C$43+Projects!$D$43-1,Projects!$B$43*Assumptions!$B$10/Projects!$D$43*0.95+0.05*Projects!$B$43*Assumptions!$B$10,Projects!$B$43*Assumptions!$B$10/Projects!$D$43*0.95),0)+IF(AND(Projects!$G$44="Yes",47&gt;=Projects!$C$44,47&lt;Projects!$C$44+Projects!$D$44),IF(47=Projects!$C$44+Projects!$D$44-1,Projects!$B$44*Assumptions!$B$10/Projects!$D$44*0.95+0.05*Projects!$B$44*Assumptions!$B$10,Projects!$B$44*Assumptions!$B$10/Projects!$D$44*0.95),0)+IF(AND(Projects!$G$45="Yes",47&gt;=Projects!$C$45,47&lt;Projects!$C$45+Projects!$D$45),IF(47=Projects!$C$45+Projects!$D$45-1,Projects!$B$45*Assumptions!$B$10/Projects!$D$45*0.95+0.05*Projects!$B$45*Assumptions!$B$10,Projects!$B$45*Assumptions!$B$10/Projects!$D$45*0.95),0)+IF(AND(Projects!$G$46="Yes",47&gt;=Projects!$C$46,47&lt;Projects!$C$46+Projects!$D$46),IF(47=Projects!$C$46+Projects!$D$46-1,Projects!$B$46*Assumptions!$B$10/Projects!$D$46*0.95+0.05*Projects!$B$46*Assumptions!$B$10,Projects!$B$46*Assumptions!$B$10/Projects!$D$46*0.95),0)</f>
        <v/>
      </c>
      <c r="AX108">
        <f>IF(AND(Projects!$G$30="Yes",48&gt;=Projects!$C$30,48&lt;Projects!$C$30+Projects!$D$30),IF(48=Projects!$C$30+Projects!$D$30-1,Projects!$B$30*Assumptions!$B$10/Projects!$D$30*0.95+0.05*Projects!$B$30*Assumptions!$B$10,Projects!$B$30*Assumptions!$B$10/Projects!$D$30*0.95),0)+IF(AND(Projects!$G$31="Yes",48&gt;=Projects!$C$31,48&lt;Projects!$C$31+Projects!$D$31),IF(48=Projects!$C$31+Projects!$D$31-1,Projects!$B$31*Assumptions!$B$10/Projects!$D$31*0.95+0.05*Projects!$B$31*Assumptions!$B$10,Projects!$B$31*Assumptions!$B$10/Projects!$D$31*0.95),0)+IF(AND(Projects!$G$32="Yes",48&gt;=Projects!$C$32,48&lt;Projects!$C$32+Projects!$D$32),IF(48=Projects!$C$32+Projects!$D$32-1,Projects!$B$32*Assumptions!$B$10/Projects!$D$32*0.95+0.05*Projects!$B$32*Assumptions!$B$10,Projects!$B$32*Assumptions!$B$10/Projects!$D$32*0.95),0)+IF(AND(Projects!$G$33="Yes",48&gt;=Projects!$C$33,48&lt;Projects!$C$33+Projects!$D$33),IF(48=Projects!$C$33+Projects!$D$33-1,Projects!$B$33*Assumptions!$B$10/Projects!$D$33*0.95+0.05*Projects!$B$33*Assumptions!$B$10,Projects!$B$33*Assumptions!$B$10/Projects!$D$33*0.95),0)+IF(AND(Projects!$G$34="Yes",48&gt;=Projects!$C$34,48&lt;Projects!$C$34+Projects!$D$34),IF(48=Projects!$C$34+Projects!$D$34-1,Projects!$B$34*Assumptions!$B$10/Projects!$D$34*0.95+0.05*Projects!$B$34*Assumptions!$B$10,Projects!$B$34*Assumptions!$B$10/Projects!$D$34*0.95),0)+IF(AND(Projects!$G$35="Yes",48&gt;=Projects!$C$35,48&lt;Projects!$C$35+Projects!$D$35),IF(48=Projects!$C$35+Projects!$D$35-1,Projects!$B$35*Assumptions!$B$10/Projects!$D$35*0.95+0.05*Projects!$B$35*Assumptions!$B$10,Projects!$B$35*Assumptions!$B$10/Projects!$D$35*0.95),0)+IF(AND(Projects!$G$36="Yes",48&gt;=Projects!$C$36,48&lt;Projects!$C$36+Projects!$D$36),IF(48=Projects!$C$36+Projects!$D$36-1,Projects!$B$36*Assumptions!$B$10/Projects!$D$36*0.95+0.05*Projects!$B$36*Assumptions!$B$10,Projects!$B$36*Assumptions!$B$10/Projects!$D$36*0.95),0)+IF(AND(Projects!$G$37="Yes",48&gt;=Projects!$C$37,48&lt;Projects!$C$37+Projects!$D$37),IF(48=Projects!$C$37+Projects!$D$37-1,Projects!$B$37*Assumptions!$B$10/Projects!$D$37*0.95+0.05*Projects!$B$37*Assumptions!$B$10,Projects!$B$37*Assumptions!$B$10/Projects!$D$37*0.95),0)+IF(AND(Projects!$G$38="Yes",48&gt;=Projects!$C$38,48&lt;Projects!$C$38+Projects!$D$38),IF(48=Projects!$C$38+Projects!$D$38-1,Projects!$B$38*Assumptions!$B$10/Projects!$D$38*0.95+0.05*Projects!$B$38*Assumptions!$B$10,Projects!$B$38*Assumptions!$B$10/Projects!$D$38*0.95),0)+IF(AND(Projects!$G$39="Yes",48&gt;=Projects!$C$39,48&lt;Projects!$C$39+Projects!$D$39),IF(48=Projects!$C$39+Projects!$D$39-1,Projects!$B$39*Assumptions!$B$10/Projects!$D$39*0.95+0.05*Projects!$B$39*Assumptions!$B$10,Projects!$B$39*Assumptions!$B$10/Projects!$D$39*0.95),0)+IF(AND(Projects!$G$40="Yes",48&gt;=Projects!$C$40,48&lt;Projects!$C$40+Projects!$D$40),IF(48=Projects!$C$40+Projects!$D$40-1,Projects!$B$40*Assumptions!$B$10/Projects!$D$40*0.95+0.05*Projects!$B$40*Assumptions!$B$10,Projects!$B$40*Assumptions!$B$10/Projects!$D$40*0.95),0)+IF(AND(Projects!$G$41="Yes",48&gt;=Projects!$C$41,48&lt;Projects!$C$41+Projects!$D$41),IF(48=Projects!$C$41+Projects!$D$41-1,Projects!$B$41*Assumptions!$B$10/Projects!$D$41*0.95+0.05*Projects!$B$41*Assumptions!$B$10,Projects!$B$41*Assumptions!$B$10/Projects!$D$41*0.95),0)+IF(AND(Projects!$G$42="Yes",48&gt;=Projects!$C$42,48&lt;Projects!$C$42+Projects!$D$42),IF(48=Projects!$C$42+Projects!$D$42-1,Projects!$B$42*Assumptions!$B$10/Projects!$D$42*0.95+0.05*Projects!$B$42*Assumptions!$B$10,Projects!$B$42*Assumptions!$B$10/Projects!$D$42*0.95),0)+IF(AND(Projects!$G$43="Yes",48&gt;=Projects!$C$43,48&lt;Projects!$C$43+Projects!$D$43),IF(48=Projects!$C$43+Projects!$D$43-1,Projects!$B$43*Assumptions!$B$10/Projects!$D$43*0.95+0.05*Projects!$B$43*Assumptions!$B$10,Projects!$B$43*Assumptions!$B$10/Projects!$D$43*0.95),0)+IF(AND(Projects!$G$44="Yes",48&gt;=Projects!$C$44,48&lt;Projects!$C$44+Projects!$D$44),IF(48=Projects!$C$44+Projects!$D$44-1,Projects!$B$44*Assumptions!$B$10/Projects!$D$44*0.95+0.05*Projects!$B$44*Assumptions!$B$10,Projects!$B$44*Assumptions!$B$10/Projects!$D$44*0.95),0)+IF(AND(Projects!$G$45="Yes",48&gt;=Projects!$C$45,48&lt;Projects!$C$45+Projects!$D$45),IF(48=Projects!$C$45+Projects!$D$45-1,Projects!$B$45*Assumptions!$B$10/Projects!$D$45*0.95+0.05*Projects!$B$45*Assumptions!$B$10,Projects!$B$45*Assumptions!$B$10/Projects!$D$45*0.95),0)+IF(AND(Projects!$G$46="Yes",48&gt;=Projects!$C$46,48&lt;Projects!$C$46+Projects!$D$46),IF(48=Projects!$C$46+Projects!$D$46-1,Projects!$B$46*Assumptions!$B$10/Projects!$D$46*0.95+0.05*Projects!$B$46*Assumptions!$B$10,Projects!$B$46*Assumptions!$B$10/Projects!$D$46*0.95),0)</f>
        <v/>
      </c>
      <c r="AY108">
        <f>IF(AND(Projects!$G$30="Yes",49&gt;=Projects!$C$30,49&lt;Projects!$C$30+Projects!$D$30),IF(49=Projects!$C$30+Projects!$D$30-1,Projects!$B$30*Assumptions!$B$10/Projects!$D$30*0.95+0.05*Projects!$B$30*Assumptions!$B$10,Projects!$B$30*Assumptions!$B$10/Projects!$D$30*0.95),0)+IF(AND(Projects!$G$31="Yes",49&gt;=Projects!$C$31,49&lt;Projects!$C$31+Projects!$D$31),IF(49=Projects!$C$31+Projects!$D$31-1,Projects!$B$31*Assumptions!$B$10/Projects!$D$31*0.95+0.05*Projects!$B$31*Assumptions!$B$10,Projects!$B$31*Assumptions!$B$10/Projects!$D$31*0.95),0)+IF(AND(Projects!$G$32="Yes",49&gt;=Projects!$C$32,49&lt;Projects!$C$32+Projects!$D$32),IF(49=Projects!$C$32+Projects!$D$32-1,Projects!$B$32*Assumptions!$B$10/Projects!$D$32*0.95+0.05*Projects!$B$32*Assumptions!$B$10,Projects!$B$32*Assumptions!$B$10/Projects!$D$32*0.95),0)+IF(AND(Projects!$G$33="Yes",49&gt;=Projects!$C$33,49&lt;Projects!$C$33+Projects!$D$33),IF(49=Projects!$C$33+Projects!$D$33-1,Projects!$B$33*Assumptions!$B$10/Projects!$D$33*0.95+0.05*Projects!$B$33*Assumptions!$B$10,Projects!$B$33*Assumptions!$B$10/Projects!$D$33*0.95),0)+IF(AND(Projects!$G$34="Yes",49&gt;=Projects!$C$34,49&lt;Projects!$C$34+Projects!$D$34),IF(49=Projects!$C$34+Projects!$D$34-1,Projects!$B$34*Assumptions!$B$10/Projects!$D$34*0.95+0.05*Projects!$B$34*Assumptions!$B$10,Projects!$B$34*Assumptions!$B$10/Projects!$D$34*0.95),0)+IF(AND(Projects!$G$35="Yes",49&gt;=Projects!$C$35,49&lt;Projects!$C$35+Projects!$D$35),IF(49=Projects!$C$35+Projects!$D$35-1,Projects!$B$35*Assumptions!$B$10/Projects!$D$35*0.95+0.05*Projects!$B$35*Assumptions!$B$10,Projects!$B$35*Assumptions!$B$10/Projects!$D$35*0.95),0)+IF(AND(Projects!$G$36="Yes",49&gt;=Projects!$C$36,49&lt;Projects!$C$36+Projects!$D$36),IF(49=Projects!$C$36+Projects!$D$36-1,Projects!$B$36*Assumptions!$B$10/Projects!$D$36*0.95+0.05*Projects!$B$36*Assumptions!$B$10,Projects!$B$36*Assumptions!$B$10/Projects!$D$36*0.95),0)+IF(AND(Projects!$G$37="Yes",49&gt;=Projects!$C$37,49&lt;Projects!$C$37+Projects!$D$37),IF(49=Projects!$C$37+Projects!$D$37-1,Projects!$B$37*Assumptions!$B$10/Projects!$D$37*0.95+0.05*Projects!$B$37*Assumptions!$B$10,Projects!$B$37*Assumptions!$B$10/Projects!$D$37*0.95),0)+IF(AND(Projects!$G$38="Yes",49&gt;=Projects!$C$38,49&lt;Projects!$C$38+Projects!$D$38),IF(49=Projects!$C$38+Projects!$D$38-1,Projects!$B$38*Assumptions!$B$10/Projects!$D$38*0.95+0.05*Projects!$B$38*Assumptions!$B$10,Projects!$B$38*Assumptions!$B$10/Projects!$D$38*0.95),0)+IF(AND(Projects!$G$39="Yes",49&gt;=Projects!$C$39,49&lt;Projects!$C$39+Projects!$D$39),IF(49=Projects!$C$39+Projects!$D$39-1,Projects!$B$39*Assumptions!$B$10/Projects!$D$39*0.95+0.05*Projects!$B$39*Assumptions!$B$10,Projects!$B$39*Assumptions!$B$10/Projects!$D$39*0.95),0)+IF(AND(Projects!$G$40="Yes",49&gt;=Projects!$C$40,49&lt;Projects!$C$40+Projects!$D$40),IF(49=Projects!$C$40+Projects!$D$40-1,Projects!$B$40*Assumptions!$B$10/Projects!$D$40*0.95+0.05*Projects!$B$40*Assumptions!$B$10,Projects!$B$40*Assumptions!$B$10/Projects!$D$40*0.95),0)+IF(AND(Projects!$G$41="Yes",49&gt;=Projects!$C$41,49&lt;Projects!$C$41+Projects!$D$41),IF(49=Projects!$C$41+Projects!$D$41-1,Projects!$B$41*Assumptions!$B$10/Projects!$D$41*0.95+0.05*Projects!$B$41*Assumptions!$B$10,Projects!$B$41*Assumptions!$B$10/Projects!$D$41*0.95),0)+IF(AND(Projects!$G$42="Yes",49&gt;=Projects!$C$42,49&lt;Projects!$C$42+Projects!$D$42),IF(49=Projects!$C$42+Projects!$D$42-1,Projects!$B$42*Assumptions!$B$10/Projects!$D$42*0.95+0.05*Projects!$B$42*Assumptions!$B$10,Projects!$B$42*Assumptions!$B$10/Projects!$D$42*0.95),0)+IF(AND(Projects!$G$43="Yes",49&gt;=Projects!$C$43,49&lt;Projects!$C$43+Projects!$D$43),IF(49=Projects!$C$43+Projects!$D$43-1,Projects!$B$43*Assumptions!$B$10/Projects!$D$43*0.95+0.05*Projects!$B$43*Assumptions!$B$10,Projects!$B$43*Assumptions!$B$10/Projects!$D$43*0.95),0)+IF(AND(Projects!$G$44="Yes",49&gt;=Projects!$C$44,49&lt;Projects!$C$44+Projects!$D$44),IF(49=Projects!$C$44+Projects!$D$44-1,Projects!$B$44*Assumptions!$B$10/Projects!$D$44*0.95+0.05*Projects!$B$44*Assumptions!$B$10,Projects!$B$44*Assumptions!$B$10/Projects!$D$44*0.95),0)+IF(AND(Projects!$G$45="Yes",49&gt;=Projects!$C$45,49&lt;Projects!$C$45+Projects!$D$45),IF(49=Projects!$C$45+Projects!$D$45-1,Projects!$B$45*Assumptions!$B$10/Projects!$D$45*0.95+0.05*Projects!$B$45*Assumptions!$B$10,Projects!$B$45*Assumptions!$B$10/Projects!$D$45*0.95),0)+IF(AND(Projects!$G$46="Yes",49&gt;=Projects!$C$46,49&lt;Projects!$C$46+Projects!$D$46),IF(49=Projects!$C$46+Projects!$D$46-1,Projects!$B$46*Assumptions!$B$10/Projects!$D$46*0.95+0.05*Projects!$B$46*Assumptions!$B$10,Projects!$B$46*Assumptions!$B$10/Projects!$D$46*0.95),0)</f>
        <v/>
      </c>
      <c r="AZ108">
        <f>IF(AND(Projects!$G$30="Yes",50&gt;=Projects!$C$30,50&lt;Projects!$C$30+Projects!$D$30),IF(50=Projects!$C$30+Projects!$D$30-1,Projects!$B$30*Assumptions!$B$10/Projects!$D$30*0.95+0.05*Projects!$B$30*Assumptions!$B$10,Projects!$B$30*Assumptions!$B$10/Projects!$D$30*0.95),0)+IF(AND(Projects!$G$31="Yes",50&gt;=Projects!$C$31,50&lt;Projects!$C$31+Projects!$D$31),IF(50=Projects!$C$31+Projects!$D$31-1,Projects!$B$31*Assumptions!$B$10/Projects!$D$31*0.95+0.05*Projects!$B$31*Assumptions!$B$10,Projects!$B$31*Assumptions!$B$10/Projects!$D$31*0.95),0)+IF(AND(Projects!$G$32="Yes",50&gt;=Projects!$C$32,50&lt;Projects!$C$32+Projects!$D$32),IF(50=Projects!$C$32+Projects!$D$32-1,Projects!$B$32*Assumptions!$B$10/Projects!$D$32*0.95+0.05*Projects!$B$32*Assumptions!$B$10,Projects!$B$32*Assumptions!$B$10/Projects!$D$32*0.95),0)+IF(AND(Projects!$G$33="Yes",50&gt;=Projects!$C$33,50&lt;Projects!$C$33+Projects!$D$33),IF(50=Projects!$C$33+Projects!$D$33-1,Projects!$B$33*Assumptions!$B$10/Projects!$D$33*0.95+0.05*Projects!$B$33*Assumptions!$B$10,Projects!$B$33*Assumptions!$B$10/Projects!$D$33*0.95),0)+IF(AND(Projects!$G$34="Yes",50&gt;=Projects!$C$34,50&lt;Projects!$C$34+Projects!$D$34),IF(50=Projects!$C$34+Projects!$D$34-1,Projects!$B$34*Assumptions!$B$10/Projects!$D$34*0.95+0.05*Projects!$B$34*Assumptions!$B$10,Projects!$B$34*Assumptions!$B$10/Projects!$D$34*0.95),0)+IF(AND(Projects!$G$35="Yes",50&gt;=Projects!$C$35,50&lt;Projects!$C$35+Projects!$D$35),IF(50=Projects!$C$35+Projects!$D$35-1,Projects!$B$35*Assumptions!$B$10/Projects!$D$35*0.95+0.05*Projects!$B$35*Assumptions!$B$10,Projects!$B$35*Assumptions!$B$10/Projects!$D$35*0.95),0)+IF(AND(Projects!$G$36="Yes",50&gt;=Projects!$C$36,50&lt;Projects!$C$36+Projects!$D$36),IF(50=Projects!$C$36+Projects!$D$36-1,Projects!$B$36*Assumptions!$B$10/Projects!$D$36*0.95+0.05*Projects!$B$36*Assumptions!$B$10,Projects!$B$36*Assumptions!$B$10/Projects!$D$36*0.95),0)+IF(AND(Projects!$G$37="Yes",50&gt;=Projects!$C$37,50&lt;Projects!$C$37+Projects!$D$37),IF(50=Projects!$C$37+Projects!$D$37-1,Projects!$B$37*Assumptions!$B$10/Projects!$D$37*0.95+0.05*Projects!$B$37*Assumptions!$B$10,Projects!$B$37*Assumptions!$B$10/Projects!$D$37*0.95),0)+IF(AND(Projects!$G$38="Yes",50&gt;=Projects!$C$38,50&lt;Projects!$C$38+Projects!$D$38),IF(50=Projects!$C$38+Projects!$D$38-1,Projects!$B$38*Assumptions!$B$10/Projects!$D$38*0.95+0.05*Projects!$B$38*Assumptions!$B$10,Projects!$B$38*Assumptions!$B$10/Projects!$D$38*0.95),0)+IF(AND(Projects!$G$39="Yes",50&gt;=Projects!$C$39,50&lt;Projects!$C$39+Projects!$D$39),IF(50=Projects!$C$39+Projects!$D$39-1,Projects!$B$39*Assumptions!$B$10/Projects!$D$39*0.95+0.05*Projects!$B$39*Assumptions!$B$10,Projects!$B$39*Assumptions!$B$10/Projects!$D$39*0.95),0)+IF(AND(Projects!$G$40="Yes",50&gt;=Projects!$C$40,50&lt;Projects!$C$40+Projects!$D$40),IF(50=Projects!$C$40+Projects!$D$40-1,Projects!$B$40*Assumptions!$B$10/Projects!$D$40*0.95+0.05*Projects!$B$40*Assumptions!$B$10,Projects!$B$40*Assumptions!$B$10/Projects!$D$40*0.95),0)+IF(AND(Projects!$G$41="Yes",50&gt;=Projects!$C$41,50&lt;Projects!$C$41+Projects!$D$41),IF(50=Projects!$C$41+Projects!$D$41-1,Projects!$B$41*Assumptions!$B$10/Projects!$D$41*0.95+0.05*Projects!$B$41*Assumptions!$B$10,Projects!$B$41*Assumptions!$B$10/Projects!$D$41*0.95),0)+IF(AND(Projects!$G$42="Yes",50&gt;=Projects!$C$42,50&lt;Projects!$C$42+Projects!$D$42),IF(50=Projects!$C$42+Projects!$D$42-1,Projects!$B$42*Assumptions!$B$10/Projects!$D$42*0.95+0.05*Projects!$B$42*Assumptions!$B$10,Projects!$B$42*Assumptions!$B$10/Projects!$D$42*0.95),0)+IF(AND(Projects!$G$43="Yes",50&gt;=Projects!$C$43,50&lt;Projects!$C$43+Projects!$D$43),IF(50=Projects!$C$43+Projects!$D$43-1,Projects!$B$43*Assumptions!$B$10/Projects!$D$43*0.95+0.05*Projects!$B$43*Assumptions!$B$10,Projects!$B$43*Assumptions!$B$10/Projects!$D$43*0.95),0)+IF(AND(Projects!$G$44="Yes",50&gt;=Projects!$C$44,50&lt;Projects!$C$44+Projects!$D$44),IF(50=Projects!$C$44+Projects!$D$44-1,Projects!$B$44*Assumptions!$B$10/Projects!$D$44*0.95+0.05*Projects!$B$44*Assumptions!$B$10,Projects!$B$44*Assumptions!$B$10/Projects!$D$44*0.95),0)+IF(AND(Projects!$G$45="Yes",50&gt;=Projects!$C$45,50&lt;Projects!$C$45+Projects!$D$45),IF(50=Projects!$C$45+Projects!$D$45-1,Projects!$B$45*Assumptions!$B$10/Projects!$D$45*0.95+0.05*Projects!$B$45*Assumptions!$B$10,Projects!$B$45*Assumptions!$B$10/Projects!$D$45*0.95),0)+IF(AND(Projects!$G$46="Yes",50&gt;=Projects!$C$46,50&lt;Projects!$C$46+Projects!$D$46),IF(50=Projects!$C$46+Projects!$D$46-1,Projects!$B$46*Assumptions!$B$10/Projects!$D$46*0.95+0.05*Projects!$B$46*Assumptions!$B$10,Projects!$B$46*Assumptions!$B$10/Projects!$D$46*0.95),0)</f>
        <v/>
      </c>
      <c r="BA108">
        <f>IF(AND(Projects!$G$30="Yes",51&gt;=Projects!$C$30,51&lt;Projects!$C$30+Projects!$D$30),IF(51=Projects!$C$30+Projects!$D$30-1,Projects!$B$30*Assumptions!$B$10/Projects!$D$30*0.95+0.05*Projects!$B$30*Assumptions!$B$10,Projects!$B$30*Assumptions!$B$10/Projects!$D$30*0.95),0)+IF(AND(Projects!$G$31="Yes",51&gt;=Projects!$C$31,51&lt;Projects!$C$31+Projects!$D$31),IF(51=Projects!$C$31+Projects!$D$31-1,Projects!$B$31*Assumptions!$B$10/Projects!$D$31*0.95+0.05*Projects!$B$31*Assumptions!$B$10,Projects!$B$31*Assumptions!$B$10/Projects!$D$31*0.95),0)+IF(AND(Projects!$G$32="Yes",51&gt;=Projects!$C$32,51&lt;Projects!$C$32+Projects!$D$32),IF(51=Projects!$C$32+Projects!$D$32-1,Projects!$B$32*Assumptions!$B$10/Projects!$D$32*0.95+0.05*Projects!$B$32*Assumptions!$B$10,Projects!$B$32*Assumptions!$B$10/Projects!$D$32*0.95),0)+IF(AND(Projects!$G$33="Yes",51&gt;=Projects!$C$33,51&lt;Projects!$C$33+Projects!$D$33),IF(51=Projects!$C$33+Projects!$D$33-1,Projects!$B$33*Assumptions!$B$10/Projects!$D$33*0.95+0.05*Projects!$B$33*Assumptions!$B$10,Projects!$B$33*Assumptions!$B$10/Projects!$D$33*0.95),0)+IF(AND(Projects!$G$34="Yes",51&gt;=Projects!$C$34,51&lt;Projects!$C$34+Projects!$D$34),IF(51=Projects!$C$34+Projects!$D$34-1,Projects!$B$34*Assumptions!$B$10/Projects!$D$34*0.95+0.05*Projects!$B$34*Assumptions!$B$10,Projects!$B$34*Assumptions!$B$10/Projects!$D$34*0.95),0)+IF(AND(Projects!$G$35="Yes",51&gt;=Projects!$C$35,51&lt;Projects!$C$35+Projects!$D$35),IF(51=Projects!$C$35+Projects!$D$35-1,Projects!$B$35*Assumptions!$B$10/Projects!$D$35*0.95+0.05*Projects!$B$35*Assumptions!$B$10,Projects!$B$35*Assumptions!$B$10/Projects!$D$35*0.95),0)+IF(AND(Projects!$G$36="Yes",51&gt;=Projects!$C$36,51&lt;Projects!$C$36+Projects!$D$36),IF(51=Projects!$C$36+Projects!$D$36-1,Projects!$B$36*Assumptions!$B$10/Projects!$D$36*0.95+0.05*Projects!$B$36*Assumptions!$B$10,Projects!$B$36*Assumptions!$B$10/Projects!$D$36*0.95),0)+IF(AND(Projects!$G$37="Yes",51&gt;=Projects!$C$37,51&lt;Projects!$C$37+Projects!$D$37),IF(51=Projects!$C$37+Projects!$D$37-1,Projects!$B$37*Assumptions!$B$10/Projects!$D$37*0.95+0.05*Projects!$B$37*Assumptions!$B$10,Projects!$B$37*Assumptions!$B$10/Projects!$D$37*0.95),0)+IF(AND(Projects!$G$38="Yes",51&gt;=Projects!$C$38,51&lt;Projects!$C$38+Projects!$D$38),IF(51=Projects!$C$38+Projects!$D$38-1,Projects!$B$38*Assumptions!$B$10/Projects!$D$38*0.95+0.05*Projects!$B$38*Assumptions!$B$10,Projects!$B$38*Assumptions!$B$10/Projects!$D$38*0.95),0)+IF(AND(Projects!$G$39="Yes",51&gt;=Projects!$C$39,51&lt;Projects!$C$39+Projects!$D$39),IF(51=Projects!$C$39+Projects!$D$39-1,Projects!$B$39*Assumptions!$B$10/Projects!$D$39*0.95+0.05*Projects!$B$39*Assumptions!$B$10,Projects!$B$39*Assumptions!$B$10/Projects!$D$39*0.95),0)+IF(AND(Projects!$G$40="Yes",51&gt;=Projects!$C$40,51&lt;Projects!$C$40+Projects!$D$40),IF(51=Projects!$C$40+Projects!$D$40-1,Projects!$B$40*Assumptions!$B$10/Projects!$D$40*0.95+0.05*Projects!$B$40*Assumptions!$B$10,Projects!$B$40*Assumptions!$B$10/Projects!$D$40*0.95),0)+IF(AND(Projects!$G$41="Yes",51&gt;=Projects!$C$41,51&lt;Projects!$C$41+Projects!$D$41),IF(51=Projects!$C$41+Projects!$D$41-1,Projects!$B$41*Assumptions!$B$10/Projects!$D$41*0.95+0.05*Projects!$B$41*Assumptions!$B$10,Projects!$B$41*Assumptions!$B$10/Projects!$D$41*0.95),0)+IF(AND(Projects!$G$42="Yes",51&gt;=Projects!$C$42,51&lt;Projects!$C$42+Projects!$D$42),IF(51=Projects!$C$42+Projects!$D$42-1,Projects!$B$42*Assumptions!$B$10/Projects!$D$42*0.95+0.05*Projects!$B$42*Assumptions!$B$10,Projects!$B$42*Assumptions!$B$10/Projects!$D$42*0.95),0)+IF(AND(Projects!$G$43="Yes",51&gt;=Projects!$C$43,51&lt;Projects!$C$43+Projects!$D$43),IF(51=Projects!$C$43+Projects!$D$43-1,Projects!$B$43*Assumptions!$B$10/Projects!$D$43*0.95+0.05*Projects!$B$43*Assumptions!$B$10,Projects!$B$43*Assumptions!$B$10/Projects!$D$43*0.95),0)+IF(AND(Projects!$G$44="Yes",51&gt;=Projects!$C$44,51&lt;Projects!$C$44+Projects!$D$44),IF(51=Projects!$C$44+Projects!$D$44-1,Projects!$B$44*Assumptions!$B$10/Projects!$D$44*0.95+0.05*Projects!$B$44*Assumptions!$B$10,Projects!$B$44*Assumptions!$B$10/Projects!$D$44*0.95),0)+IF(AND(Projects!$G$45="Yes",51&gt;=Projects!$C$45,51&lt;Projects!$C$45+Projects!$D$45),IF(51=Projects!$C$45+Projects!$D$45-1,Projects!$B$45*Assumptions!$B$10/Projects!$D$45*0.95+0.05*Projects!$B$45*Assumptions!$B$10,Projects!$B$45*Assumptions!$B$10/Projects!$D$45*0.95),0)+IF(AND(Projects!$G$46="Yes",51&gt;=Projects!$C$46,51&lt;Projects!$C$46+Projects!$D$46),IF(51=Projects!$C$46+Projects!$D$46-1,Projects!$B$46*Assumptions!$B$10/Projects!$D$46*0.95+0.05*Projects!$B$46*Assumptions!$B$10,Projects!$B$46*Assumptions!$B$10/Projects!$D$46*0.95),0)</f>
        <v/>
      </c>
      <c r="BB108">
        <f>IF(AND(Projects!$G$30="Yes",52&gt;=Projects!$C$30,52&lt;Projects!$C$30+Projects!$D$30),IF(52=Projects!$C$30+Projects!$D$30-1,Projects!$B$30*Assumptions!$B$10/Projects!$D$30*0.95+0.05*Projects!$B$30*Assumptions!$B$10,Projects!$B$30*Assumptions!$B$10/Projects!$D$30*0.95),0)+IF(AND(Projects!$G$31="Yes",52&gt;=Projects!$C$31,52&lt;Projects!$C$31+Projects!$D$31),IF(52=Projects!$C$31+Projects!$D$31-1,Projects!$B$31*Assumptions!$B$10/Projects!$D$31*0.95+0.05*Projects!$B$31*Assumptions!$B$10,Projects!$B$31*Assumptions!$B$10/Projects!$D$31*0.95),0)+IF(AND(Projects!$G$32="Yes",52&gt;=Projects!$C$32,52&lt;Projects!$C$32+Projects!$D$32),IF(52=Projects!$C$32+Projects!$D$32-1,Projects!$B$32*Assumptions!$B$10/Projects!$D$32*0.95+0.05*Projects!$B$32*Assumptions!$B$10,Projects!$B$32*Assumptions!$B$10/Projects!$D$32*0.95),0)+IF(AND(Projects!$G$33="Yes",52&gt;=Projects!$C$33,52&lt;Projects!$C$33+Projects!$D$33),IF(52=Projects!$C$33+Projects!$D$33-1,Projects!$B$33*Assumptions!$B$10/Projects!$D$33*0.95+0.05*Projects!$B$33*Assumptions!$B$10,Projects!$B$33*Assumptions!$B$10/Projects!$D$33*0.95),0)+IF(AND(Projects!$G$34="Yes",52&gt;=Projects!$C$34,52&lt;Projects!$C$34+Projects!$D$34),IF(52=Projects!$C$34+Projects!$D$34-1,Projects!$B$34*Assumptions!$B$10/Projects!$D$34*0.95+0.05*Projects!$B$34*Assumptions!$B$10,Projects!$B$34*Assumptions!$B$10/Projects!$D$34*0.95),0)+IF(AND(Projects!$G$35="Yes",52&gt;=Projects!$C$35,52&lt;Projects!$C$35+Projects!$D$35),IF(52=Projects!$C$35+Projects!$D$35-1,Projects!$B$35*Assumptions!$B$10/Projects!$D$35*0.95+0.05*Projects!$B$35*Assumptions!$B$10,Projects!$B$35*Assumptions!$B$10/Projects!$D$35*0.95),0)+IF(AND(Projects!$G$36="Yes",52&gt;=Projects!$C$36,52&lt;Projects!$C$36+Projects!$D$36),IF(52=Projects!$C$36+Projects!$D$36-1,Projects!$B$36*Assumptions!$B$10/Projects!$D$36*0.95+0.05*Projects!$B$36*Assumptions!$B$10,Projects!$B$36*Assumptions!$B$10/Projects!$D$36*0.95),0)+IF(AND(Projects!$G$37="Yes",52&gt;=Projects!$C$37,52&lt;Projects!$C$37+Projects!$D$37),IF(52=Projects!$C$37+Projects!$D$37-1,Projects!$B$37*Assumptions!$B$10/Projects!$D$37*0.95+0.05*Projects!$B$37*Assumptions!$B$10,Projects!$B$37*Assumptions!$B$10/Projects!$D$37*0.95),0)+IF(AND(Projects!$G$38="Yes",52&gt;=Projects!$C$38,52&lt;Projects!$C$38+Projects!$D$38),IF(52=Projects!$C$38+Projects!$D$38-1,Projects!$B$38*Assumptions!$B$10/Projects!$D$38*0.95+0.05*Projects!$B$38*Assumptions!$B$10,Projects!$B$38*Assumptions!$B$10/Projects!$D$38*0.95),0)+IF(AND(Projects!$G$39="Yes",52&gt;=Projects!$C$39,52&lt;Projects!$C$39+Projects!$D$39),IF(52=Projects!$C$39+Projects!$D$39-1,Projects!$B$39*Assumptions!$B$10/Projects!$D$39*0.95+0.05*Projects!$B$39*Assumptions!$B$10,Projects!$B$39*Assumptions!$B$10/Projects!$D$39*0.95),0)+IF(AND(Projects!$G$40="Yes",52&gt;=Projects!$C$40,52&lt;Projects!$C$40+Projects!$D$40),IF(52=Projects!$C$40+Projects!$D$40-1,Projects!$B$40*Assumptions!$B$10/Projects!$D$40*0.95+0.05*Projects!$B$40*Assumptions!$B$10,Projects!$B$40*Assumptions!$B$10/Projects!$D$40*0.95),0)+IF(AND(Projects!$G$41="Yes",52&gt;=Projects!$C$41,52&lt;Projects!$C$41+Projects!$D$41),IF(52=Projects!$C$41+Projects!$D$41-1,Projects!$B$41*Assumptions!$B$10/Projects!$D$41*0.95+0.05*Projects!$B$41*Assumptions!$B$10,Projects!$B$41*Assumptions!$B$10/Projects!$D$41*0.95),0)+IF(AND(Projects!$G$42="Yes",52&gt;=Projects!$C$42,52&lt;Projects!$C$42+Projects!$D$42),IF(52=Projects!$C$42+Projects!$D$42-1,Projects!$B$42*Assumptions!$B$10/Projects!$D$42*0.95+0.05*Projects!$B$42*Assumptions!$B$10,Projects!$B$42*Assumptions!$B$10/Projects!$D$42*0.95),0)+IF(AND(Projects!$G$43="Yes",52&gt;=Projects!$C$43,52&lt;Projects!$C$43+Projects!$D$43),IF(52=Projects!$C$43+Projects!$D$43-1,Projects!$B$43*Assumptions!$B$10/Projects!$D$43*0.95+0.05*Projects!$B$43*Assumptions!$B$10,Projects!$B$43*Assumptions!$B$10/Projects!$D$43*0.95),0)+IF(AND(Projects!$G$44="Yes",52&gt;=Projects!$C$44,52&lt;Projects!$C$44+Projects!$D$44),IF(52=Projects!$C$44+Projects!$D$44-1,Projects!$B$44*Assumptions!$B$10/Projects!$D$44*0.95+0.05*Projects!$B$44*Assumptions!$B$10,Projects!$B$44*Assumptions!$B$10/Projects!$D$44*0.95),0)+IF(AND(Projects!$G$45="Yes",52&gt;=Projects!$C$45,52&lt;Projects!$C$45+Projects!$D$45),IF(52=Projects!$C$45+Projects!$D$45-1,Projects!$B$45*Assumptions!$B$10/Projects!$D$45*0.95+0.05*Projects!$B$45*Assumptions!$B$10,Projects!$B$45*Assumptions!$B$10/Projects!$D$45*0.95),0)+IF(AND(Projects!$G$46="Yes",52&gt;=Projects!$C$46,52&lt;Projects!$C$46+Projects!$D$46),IF(52=Projects!$C$46+Projects!$D$46-1,Projects!$B$46*Assumptions!$B$10/Projects!$D$46*0.95+0.05*Projects!$B$46*Assumptions!$B$10,Projects!$B$46*Assumptions!$B$10/Projects!$D$46*0.95),0)</f>
        <v/>
      </c>
      <c r="BC108">
        <f>IF(AND(Projects!$G$30="Yes",53&gt;=Projects!$C$30,53&lt;Projects!$C$30+Projects!$D$30),IF(53=Projects!$C$30+Projects!$D$30-1,Projects!$B$30*Assumptions!$B$10/Projects!$D$30*0.95+0.05*Projects!$B$30*Assumptions!$B$10,Projects!$B$30*Assumptions!$B$10/Projects!$D$30*0.95),0)+IF(AND(Projects!$G$31="Yes",53&gt;=Projects!$C$31,53&lt;Projects!$C$31+Projects!$D$31),IF(53=Projects!$C$31+Projects!$D$31-1,Projects!$B$31*Assumptions!$B$10/Projects!$D$31*0.95+0.05*Projects!$B$31*Assumptions!$B$10,Projects!$B$31*Assumptions!$B$10/Projects!$D$31*0.95),0)+IF(AND(Projects!$G$32="Yes",53&gt;=Projects!$C$32,53&lt;Projects!$C$32+Projects!$D$32),IF(53=Projects!$C$32+Projects!$D$32-1,Projects!$B$32*Assumptions!$B$10/Projects!$D$32*0.95+0.05*Projects!$B$32*Assumptions!$B$10,Projects!$B$32*Assumptions!$B$10/Projects!$D$32*0.95),0)+IF(AND(Projects!$G$33="Yes",53&gt;=Projects!$C$33,53&lt;Projects!$C$33+Projects!$D$33),IF(53=Projects!$C$33+Projects!$D$33-1,Projects!$B$33*Assumptions!$B$10/Projects!$D$33*0.95+0.05*Projects!$B$33*Assumptions!$B$10,Projects!$B$33*Assumptions!$B$10/Projects!$D$33*0.95),0)+IF(AND(Projects!$G$34="Yes",53&gt;=Projects!$C$34,53&lt;Projects!$C$34+Projects!$D$34),IF(53=Projects!$C$34+Projects!$D$34-1,Projects!$B$34*Assumptions!$B$10/Projects!$D$34*0.95+0.05*Projects!$B$34*Assumptions!$B$10,Projects!$B$34*Assumptions!$B$10/Projects!$D$34*0.95),0)+IF(AND(Projects!$G$35="Yes",53&gt;=Projects!$C$35,53&lt;Projects!$C$35+Projects!$D$35),IF(53=Projects!$C$35+Projects!$D$35-1,Projects!$B$35*Assumptions!$B$10/Projects!$D$35*0.95+0.05*Projects!$B$35*Assumptions!$B$10,Projects!$B$35*Assumptions!$B$10/Projects!$D$35*0.95),0)+IF(AND(Projects!$G$36="Yes",53&gt;=Projects!$C$36,53&lt;Projects!$C$36+Projects!$D$36),IF(53=Projects!$C$36+Projects!$D$36-1,Projects!$B$36*Assumptions!$B$10/Projects!$D$36*0.95+0.05*Projects!$B$36*Assumptions!$B$10,Projects!$B$36*Assumptions!$B$10/Projects!$D$36*0.95),0)+IF(AND(Projects!$G$37="Yes",53&gt;=Projects!$C$37,53&lt;Projects!$C$37+Projects!$D$37),IF(53=Projects!$C$37+Projects!$D$37-1,Projects!$B$37*Assumptions!$B$10/Projects!$D$37*0.95+0.05*Projects!$B$37*Assumptions!$B$10,Projects!$B$37*Assumptions!$B$10/Projects!$D$37*0.95),0)+IF(AND(Projects!$G$38="Yes",53&gt;=Projects!$C$38,53&lt;Projects!$C$38+Projects!$D$38),IF(53=Projects!$C$38+Projects!$D$38-1,Projects!$B$38*Assumptions!$B$10/Projects!$D$38*0.95+0.05*Projects!$B$38*Assumptions!$B$10,Projects!$B$38*Assumptions!$B$10/Projects!$D$38*0.95),0)+IF(AND(Projects!$G$39="Yes",53&gt;=Projects!$C$39,53&lt;Projects!$C$39+Projects!$D$39),IF(53=Projects!$C$39+Projects!$D$39-1,Projects!$B$39*Assumptions!$B$10/Projects!$D$39*0.95+0.05*Projects!$B$39*Assumptions!$B$10,Projects!$B$39*Assumptions!$B$10/Projects!$D$39*0.95),0)+IF(AND(Projects!$G$40="Yes",53&gt;=Projects!$C$40,53&lt;Projects!$C$40+Projects!$D$40),IF(53=Projects!$C$40+Projects!$D$40-1,Projects!$B$40*Assumptions!$B$10/Projects!$D$40*0.95+0.05*Projects!$B$40*Assumptions!$B$10,Projects!$B$40*Assumptions!$B$10/Projects!$D$40*0.95),0)+IF(AND(Projects!$G$41="Yes",53&gt;=Projects!$C$41,53&lt;Projects!$C$41+Projects!$D$41),IF(53=Projects!$C$41+Projects!$D$41-1,Projects!$B$41*Assumptions!$B$10/Projects!$D$41*0.95+0.05*Projects!$B$41*Assumptions!$B$10,Projects!$B$41*Assumptions!$B$10/Projects!$D$41*0.95),0)+IF(AND(Projects!$G$42="Yes",53&gt;=Projects!$C$42,53&lt;Projects!$C$42+Projects!$D$42),IF(53=Projects!$C$42+Projects!$D$42-1,Projects!$B$42*Assumptions!$B$10/Projects!$D$42*0.95+0.05*Projects!$B$42*Assumptions!$B$10,Projects!$B$42*Assumptions!$B$10/Projects!$D$42*0.95),0)+IF(AND(Projects!$G$43="Yes",53&gt;=Projects!$C$43,53&lt;Projects!$C$43+Projects!$D$43),IF(53=Projects!$C$43+Projects!$D$43-1,Projects!$B$43*Assumptions!$B$10/Projects!$D$43*0.95+0.05*Projects!$B$43*Assumptions!$B$10,Projects!$B$43*Assumptions!$B$10/Projects!$D$43*0.95),0)+IF(AND(Projects!$G$44="Yes",53&gt;=Projects!$C$44,53&lt;Projects!$C$44+Projects!$D$44),IF(53=Projects!$C$44+Projects!$D$44-1,Projects!$B$44*Assumptions!$B$10/Projects!$D$44*0.95+0.05*Projects!$B$44*Assumptions!$B$10,Projects!$B$44*Assumptions!$B$10/Projects!$D$44*0.95),0)+IF(AND(Projects!$G$45="Yes",53&gt;=Projects!$C$45,53&lt;Projects!$C$45+Projects!$D$45),IF(53=Projects!$C$45+Projects!$D$45-1,Projects!$B$45*Assumptions!$B$10/Projects!$D$45*0.95+0.05*Projects!$B$45*Assumptions!$B$10,Projects!$B$45*Assumptions!$B$10/Projects!$D$45*0.95),0)+IF(AND(Projects!$G$46="Yes",53&gt;=Projects!$C$46,53&lt;Projects!$C$46+Projects!$D$46),IF(53=Projects!$C$46+Projects!$D$46-1,Projects!$B$46*Assumptions!$B$10/Projects!$D$46*0.95+0.05*Projects!$B$46*Assumptions!$B$10,Projects!$B$46*Assumptions!$B$10/Projects!$D$46*0.95),0)</f>
        <v/>
      </c>
      <c r="BD108">
        <f>IF(AND(Projects!$G$30="Yes",54&gt;=Projects!$C$30,54&lt;Projects!$C$30+Projects!$D$30),IF(54=Projects!$C$30+Projects!$D$30-1,Projects!$B$30*Assumptions!$B$10/Projects!$D$30*0.95+0.05*Projects!$B$30*Assumptions!$B$10,Projects!$B$30*Assumptions!$B$10/Projects!$D$30*0.95),0)+IF(AND(Projects!$G$31="Yes",54&gt;=Projects!$C$31,54&lt;Projects!$C$31+Projects!$D$31),IF(54=Projects!$C$31+Projects!$D$31-1,Projects!$B$31*Assumptions!$B$10/Projects!$D$31*0.95+0.05*Projects!$B$31*Assumptions!$B$10,Projects!$B$31*Assumptions!$B$10/Projects!$D$31*0.95),0)+IF(AND(Projects!$G$32="Yes",54&gt;=Projects!$C$32,54&lt;Projects!$C$32+Projects!$D$32),IF(54=Projects!$C$32+Projects!$D$32-1,Projects!$B$32*Assumptions!$B$10/Projects!$D$32*0.95+0.05*Projects!$B$32*Assumptions!$B$10,Projects!$B$32*Assumptions!$B$10/Projects!$D$32*0.95),0)+IF(AND(Projects!$G$33="Yes",54&gt;=Projects!$C$33,54&lt;Projects!$C$33+Projects!$D$33),IF(54=Projects!$C$33+Projects!$D$33-1,Projects!$B$33*Assumptions!$B$10/Projects!$D$33*0.95+0.05*Projects!$B$33*Assumptions!$B$10,Projects!$B$33*Assumptions!$B$10/Projects!$D$33*0.95),0)+IF(AND(Projects!$G$34="Yes",54&gt;=Projects!$C$34,54&lt;Projects!$C$34+Projects!$D$34),IF(54=Projects!$C$34+Projects!$D$34-1,Projects!$B$34*Assumptions!$B$10/Projects!$D$34*0.95+0.05*Projects!$B$34*Assumptions!$B$10,Projects!$B$34*Assumptions!$B$10/Projects!$D$34*0.95),0)+IF(AND(Projects!$G$35="Yes",54&gt;=Projects!$C$35,54&lt;Projects!$C$35+Projects!$D$35),IF(54=Projects!$C$35+Projects!$D$35-1,Projects!$B$35*Assumptions!$B$10/Projects!$D$35*0.95+0.05*Projects!$B$35*Assumptions!$B$10,Projects!$B$35*Assumptions!$B$10/Projects!$D$35*0.95),0)+IF(AND(Projects!$G$36="Yes",54&gt;=Projects!$C$36,54&lt;Projects!$C$36+Projects!$D$36),IF(54=Projects!$C$36+Projects!$D$36-1,Projects!$B$36*Assumptions!$B$10/Projects!$D$36*0.95+0.05*Projects!$B$36*Assumptions!$B$10,Projects!$B$36*Assumptions!$B$10/Projects!$D$36*0.95),0)+IF(AND(Projects!$G$37="Yes",54&gt;=Projects!$C$37,54&lt;Projects!$C$37+Projects!$D$37),IF(54=Projects!$C$37+Projects!$D$37-1,Projects!$B$37*Assumptions!$B$10/Projects!$D$37*0.95+0.05*Projects!$B$37*Assumptions!$B$10,Projects!$B$37*Assumptions!$B$10/Projects!$D$37*0.95),0)+IF(AND(Projects!$G$38="Yes",54&gt;=Projects!$C$38,54&lt;Projects!$C$38+Projects!$D$38),IF(54=Projects!$C$38+Projects!$D$38-1,Projects!$B$38*Assumptions!$B$10/Projects!$D$38*0.95+0.05*Projects!$B$38*Assumptions!$B$10,Projects!$B$38*Assumptions!$B$10/Projects!$D$38*0.95),0)+IF(AND(Projects!$G$39="Yes",54&gt;=Projects!$C$39,54&lt;Projects!$C$39+Projects!$D$39),IF(54=Projects!$C$39+Projects!$D$39-1,Projects!$B$39*Assumptions!$B$10/Projects!$D$39*0.95+0.05*Projects!$B$39*Assumptions!$B$10,Projects!$B$39*Assumptions!$B$10/Projects!$D$39*0.95),0)+IF(AND(Projects!$G$40="Yes",54&gt;=Projects!$C$40,54&lt;Projects!$C$40+Projects!$D$40),IF(54=Projects!$C$40+Projects!$D$40-1,Projects!$B$40*Assumptions!$B$10/Projects!$D$40*0.95+0.05*Projects!$B$40*Assumptions!$B$10,Projects!$B$40*Assumptions!$B$10/Projects!$D$40*0.95),0)+IF(AND(Projects!$G$41="Yes",54&gt;=Projects!$C$41,54&lt;Projects!$C$41+Projects!$D$41),IF(54=Projects!$C$41+Projects!$D$41-1,Projects!$B$41*Assumptions!$B$10/Projects!$D$41*0.95+0.05*Projects!$B$41*Assumptions!$B$10,Projects!$B$41*Assumptions!$B$10/Projects!$D$41*0.95),0)+IF(AND(Projects!$G$42="Yes",54&gt;=Projects!$C$42,54&lt;Projects!$C$42+Projects!$D$42),IF(54=Projects!$C$42+Projects!$D$42-1,Projects!$B$42*Assumptions!$B$10/Projects!$D$42*0.95+0.05*Projects!$B$42*Assumptions!$B$10,Projects!$B$42*Assumptions!$B$10/Projects!$D$42*0.95),0)+IF(AND(Projects!$G$43="Yes",54&gt;=Projects!$C$43,54&lt;Projects!$C$43+Projects!$D$43),IF(54=Projects!$C$43+Projects!$D$43-1,Projects!$B$43*Assumptions!$B$10/Projects!$D$43*0.95+0.05*Projects!$B$43*Assumptions!$B$10,Projects!$B$43*Assumptions!$B$10/Projects!$D$43*0.95),0)+IF(AND(Projects!$G$44="Yes",54&gt;=Projects!$C$44,54&lt;Projects!$C$44+Projects!$D$44),IF(54=Projects!$C$44+Projects!$D$44-1,Projects!$B$44*Assumptions!$B$10/Projects!$D$44*0.95+0.05*Projects!$B$44*Assumptions!$B$10,Projects!$B$44*Assumptions!$B$10/Projects!$D$44*0.95),0)+IF(AND(Projects!$G$45="Yes",54&gt;=Projects!$C$45,54&lt;Projects!$C$45+Projects!$D$45),IF(54=Projects!$C$45+Projects!$D$45-1,Projects!$B$45*Assumptions!$B$10/Projects!$D$45*0.95+0.05*Projects!$B$45*Assumptions!$B$10,Projects!$B$45*Assumptions!$B$10/Projects!$D$45*0.95),0)+IF(AND(Projects!$G$46="Yes",54&gt;=Projects!$C$46,54&lt;Projects!$C$46+Projects!$D$46),IF(54=Projects!$C$46+Projects!$D$46-1,Projects!$B$46*Assumptions!$B$10/Projects!$D$46*0.95+0.05*Projects!$B$46*Assumptions!$B$10,Projects!$B$46*Assumptions!$B$10/Projects!$D$46*0.95),0)</f>
        <v/>
      </c>
      <c r="BE108">
        <f>IF(AND(Projects!$G$30="Yes",55&gt;=Projects!$C$30,55&lt;Projects!$C$30+Projects!$D$30),IF(55=Projects!$C$30+Projects!$D$30-1,Projects!$B$30*Assumptions!$B$10/Projects!$D$30*0.95+0.05*Projects!$B$30*Assumptions!$B$10,Projects!$B$30*Assumptions!$B$10/Projects!$D$30*0.95),0)+IF(AND(Projects!$G$31="Yes",55&gt;=Projects!$C$31,55&lt;Projects!$C$31+Projects!$D$31),IF(55=Projects!$C$31+Projects!$D$31-1,Projects!$B$31*Assumptions!$B$10/Projects!$D$31*0.95+0.05*Projects!$B$31*Assumptions!$B$10,Projects!$B$31*Assumptions!$B$10/Projects!$D$31*0.95),0)+IF(AND(Projects!$G$32="Yes",55&gt;=Projects!$C$32,55&lt;Projects!$C$32+Projects!$D$32),IF(55=Projects!$C$32+Projects!$D$32-1,Projects!$B$32*Assumptions!$B$10/Projects!$D$32*0.95+0.05*Projects!$B$32*Assumptions!$B$10,Projects!$B$32*Assumptions!$B$10/Projects!$D$32*0.95),0)+IF(AND(Projects!$G$33="Yes",55&gt;=Projects!$C$33,55&lt;Projects!$C$33+Projects!$D$33),IF(55=Projects!$C$33+Projects!$D$33-1,Projects!$B$33*Assumptions!$B$10/Projects!$D$33*0.95+0.05*Projects!$B$33*Assumptions!$B$10,Projects!$B$33*Assumptions!$B$10/Projects!$D$33*0.95),0)+IF(AND(Projects!$G$34="Yes",55&gt;=Projects!$C$34,55&lt;Projects!$C$34+Projects!$D$34),IF(55=Projects!$C$34+Projects!$D$34-1,Projects!$B$34*Assumptions!$B$10/Projects!$D$34*0.95+0.05*Projects!$B$34*Assumptions!$B$10,Projects!$B$34*Assumptions!$B$10/Projects!$D$34*0.95),0)+IF(AND(Projects!$G$35="Yes",55&gt;=Projects!$C$35,55&lt;Projects!$C$35+Projects!$D$35),IF(55=Projects!$C$35+Projects!$D$35-1,Projects!$B$35*Assumptions!$B$10/Projects!$D$35*0.95+0.05*Projects!$B$35*Assumptions!$B$10,Projects!$B$35*Assumptions!$B$10/Projects!$D$35*0.95),0)+IF(AND(Projects!$G$36="Yes",55&gt;=Projects!$C$36,55&lt;Projects!$C$36+Projects!$D$36),IF(55=Projects!$C$36+Projects!$D$36-1,Projects!$B$36*Assumptions!$B$10/Projects!$D$36*0.95+0.05*Projects!$B$36*Assumptions!$B$10,Projects!$B$36*Assumptions!$B$10/Projects!$D$36*0.95),0)+IF(AND(Projects!$G$37="Yes",55&gt;=Projects!$C$37,55&lt;Projects!$C$37+Projects!$D$37),IF(55=Projects!$C$37+Projects!$D$37-1,Projects!$B$37*Assumptions!$B$10/Projects!$D$37*0.95+0.05*Projects!$B$37*Assumptions!$B$10,Projects!$B$37*Assumptions!$B$10/Projects!$D$37*0.95),0)+IF(AND(Projects!$G$38="Yes",55&gt;=Projects!$C$38,55&lt;Projects!$C$38+Projects!$D$38),IF(55=Projects!$C$38+Projects!$D$38-1,Projects!$B$38*Assumptions!$B$10/Projects!$D$38*0.95+0.05*Projects!$B$38*Assumptions!$B$10,Projects!$B$38*Assumptions!$B$10/Projects!$D$38*0.95),0)+IF(AND(Projects!$G$39="Yes",55&gt;=Projects!$C$39,55&lt;Projects!$C$39+Projects!$D$39),IF(55=Projects!$C$39+Projects!$D$39-1,Projects!$B$39*Assumptions!$B$10/Projects!$D$39*0.95+0.05*Projects!$B$39*Assumptions!$B$10,Projects!$B$39*Assumptions!$B$10/Projects!$D$39*0.95),0)+IF(AND(Projects!$G$40="Yes",55&gt;=Projects!$C$40,55&lt;Projects!$C$40+Projects!$D$40),IF(55=Projects!$C$40+Projects!$D$40-1,Projects!$B$40*Assumptions!$B$10/Projects!$D$40*0.95+0.05*Projects!$B$40*Assumptions!$B$10,Projects!$B$40*Assumptions!$B$10/Projects!$D$40*0.95),0)+IF(AND(Projects!$G$41="Yes",55&gt;=Projects!$C$41,55&lt;Projects!$C$41+Projects!$D$41),IF(55=Projects!$C$41+Projects!$D$41-1,Projects!$B$41*Assumptions!$B$10/Projects!$D$41*0.95+0.05*Projects!$B$41*Assumptions!$B$10,Projects!$B$41*Assumptions!$B$10/Projects!$D$41*0.95),0)+IF(AND(Projects!$G$42="Yes",55&gt;=Projects!$C$42,55&lt;Projects!$C$42+Projects!$D$42),IF(55=Projects!$C$42+Projects!$D$42-1,Projects!$B$42*Assumptions!$B$10/Projects!$D$42*0.95+0.05*Projects!$B$42*Assumptions!$B$10,Projects!$B$42*Assumptions!$B$10/Projects!$D$42*0.95),0)+IF(AND(Projects!$G$43="Yes",55&gt;=Projects!$C$43,55&lt;Projects!$C$43+Projects!$D$43),IF(55=Projects!$C$43+Projects!$D$43-1,Projects!$B$43*Assumptions!$B$10/Projects!$D$43*0.95+0.05*Projects!$B$43*Assumptions!$B$10,Projects!$B$43*Assumptions!$B$10/Projects!$D$43*0.95),0)+IF(AND(Projects!$G$44="Yes",55&gt;=Projects!$C$44,55&lt;Projects!$C$44+Projects!$D$44),IF(55=Projects!$C$44+Projects!$D$44-1,Projects!$B$44*Assumptions!$B$10/Projects!$D$44*0.95+0.05*Projects!$B$44*Assumptions!$B$10,Projects!$B$44*Assumptions!$B$10/Projects!$D$44*0.95),0)+IF(AND(Projects!$G$45="Yes",55&gt;=Projects!$C$45,55&lt;Projects!$C$45+Projects!$D$45),IF(55=Projects!$C$45+Projects!$D$45-1,Projects!$B$45*Assumptions!$B$10/Projects!$D$45*0.95+0.05*Projects!$B$45*Assumptions!$B$10,Projects!$B$45*Assumptions!$B$10/Projects!$D$45*0.95),0)+IF(AND(Projects!$G$46="Yes",55&gt;=Projects!$C$46,55&lt;Projects!$C$46+Projects!$D$46),IF(55=Projects!$C$46+Projects!$D$46-1,Projects!$B$46*Assumptions!$B$10/Projects!$D$46*0.95+0.05*Projects!$B$46*Assumptions!$B$10,Projects!$B$46*Assumptions!$B$10/Projects!$D$46*0.95),0)</f>
        <v/>
      </c>
      <c r="BF108">
        <f>IF(AND(Projects!$G$30="Yes",56&gt;=Projects!$C$30,56&lt;Projects!$C$30+Projects!$D$30),IF(56=Projects!$C$30+Projects!$D$30-1,Projects!$B$30*Assumptions!$B$10/Projects!$D$30*0.95+0.05*Projects!$B$30*Assumptions!$B$10,Projects!$B$30*Assumptions!$B$10/Projects!$D$30*0.95),0)+IF(AND(Projects!$G$31="Yes",56&gt;=Projects!$C$31,56&lt;Projects!$C$31+Projects!$D$31),IF(56=Projects!$C$31+Projects!$D$31-1,Projects!$B$31*Assumptions!$B$10/Projects!$D$31*0.95+0.05*Projects!$B$31*Assumptions!$B$10,Projects!$B$31*Assumptions!$B$10/Projects!$D$31*0.95),0)+IF(AND(Projects!$G$32="Yes",56&gt;=Projects!$C$32,56&lt;Projects!$C$32+Projects!$D$32),IF(56=Projects!$C$32+Projects!$D$32-1,Projects!$B$32*Assumptions!$B$10/Projects!$D$32*0.95+0.05*Projects!$B$32*Assumptions!$B$10,Projects!$B$32*Assumptions!$B$10/Projects!$D$32*0.95),0)+IF(AND(Projects!$G$33="Yes",56&gt;=Projects!$C$33,56&lt;Projects!$C$33+Projects!$D$33),IF(56=Projects!$C$33+Projects!$D$33-1,Projects!$B$33*Assumptions!$B$10/Projects!$D$33*0.95+0.05*Projects!$B$33*Assumptions!$B$10,Projects!$B$33*Assumptions!$B$10/Projects!$D$33*0.95),0)+IF(AND(Projects!$G$34="Yes",56&gt;=Projects!$C$34,56&lt;Projects!$C$34+Projects!$D$34),IF(56=Projects!$C$34+Projects!$D$34-1,Projects!$B$34*Assumptions!$B$10/Projects!$D$34*0.95+0.05*Projects!$B$34*Assumptions!$B$10,Projects!$B$34*Assumptions!$B$10/Projects!$D$34*0.95),0)+IF(AND(Projects!$G$35="Yes",56&gt;=Projects!$C$35,56&lt;Projects!$C$35+Projects!$D$35),IF(56=Projects!$C$35+Projects!$D$35-1,Projects!$B$35*Assumptions!$B$10/Projects!$D$35*0.95+0.05*Projects!$B$35*Assumptions!$B$10,Projects!$B$35*Assumptions!$B$10/Projects!$D$35*0.95),0)+IF(AND(Projects!$G$36="Yes",56&gt;=Projects!$C$36,56&lt;Projects!$C$36+Projects!$D$36),IF(56=Projects!$C$36+Projects!$D$36-1,Projects!$B$36*Assumptions!$B$10/Projects!$D$36*0.95+0.05*Projects!$B$36*Assumptions!$B$10,Projects!$B$36*Assumptions!$B$10/Projects!$D$36*0.95),0)+IF(AND(Projects!$G$37="Yes",56&gt;=Projects!$C$37,56&lt;Projects!$C$37+Projects!$D$37),IF(56=Projects!$C$37+Projects!$D$37-1,Projects!$B$37*Assumptions!$B$10/Projects!$D$37*0.95+0.05*Projects!$B$37*Assumptions!$B$10,Projects!$B$37*Assumptions!$B$10/Projects!$D$37*0.95),0)+IF(AND(Projects!$G$38="Yes",56&gt;=Projects!$C$38,56&lt;Projects!$C$38+Projects!$D$38),IF(56=Projects!$C$38+Projects!$D$38-1,Projects!$B$38*Assumptions!$B$10/Projects!$D$38*0.95+0.05*Projects!$B$38*Assumptions!$B$10,Projects!$B$38*Assumptions!$B$10/Projects!$D$38*0.95),0)+IF(AND(Projects!$G$39="Yes",56&gt;=Projects!$C$39,56&lt;Projects!$C$39+Projects!$D$39),IF(56=Projects!$C$39+Projects!$D$39-1,Projects!$B$39*Assumptions!$B$10/Projects!$D$39*0.95+0.05*Projects!$B$39*Assumptions!$B$10,Projects!$B$39*Assumptions!$B$10/Projects!$D$39*0.95),0)+IF(AND(Projects!$G$40="Yes",56&gt;=Projects!$C$40,56&lt;Projects!$C$40+Projects!$D$40),IF(56=Projects!$C$40+Projects!$D$40-1,Projects!$B$40*Assumptions!$B$10/Projects!$D$40*0.95+0.05*Projects!$B$40*Assumptions!$B$10,Projects!$B$40*Assumptions!$B$10/Projects!$D$40*0.95),0)+IF(AND(Projects!$G$41="Yes",56&gt;=Projects!$C$41,56&lt;Projects!$C$41+Projects!$D$41),IF(56=Projects!$C$41+Projects!$D$41-1,Projects!$B$41*Assumptions!$B$10/Projects!$D$41*0.95+0.05*Projects!$B$41*Assumptions!$B$10,Projects!$B$41*Assumptions!$B$10/Projects!$D$41*0.95),0)+IF(AND(Projects!$G$42="Yes",56&gt;=Projects!$C$42,56&lt;Projects!$C$42+Projects!$D$42),IF(56=Projects!$C$42+Projects!$D$42-1,Projects!$B$42*Assumptions!$B$10/Projects!$D$42*0.95+0.05*Projects!$B$42*Assumptions!$B$10,Projects!$B$42*Assumptions!$B$10/Projects!$D$42*0.95),0)+IF(AND(Projects!$G$43="Yes",56&gt;=Projects!$C$43,56&lt;Projects!$C$43+Projects!$D$43),IF(56=Projects!$C$43+Projects!$D$43-1,Projects!$B$43*Assumptions!$B$10/Projects!$D$43*0.95+0.05*Projects!$B$43*Assumptions!$B$10,Projects!$B$43*Assumptions!$B$10/Projects!$D$43*0.95),0)+IF(AND(Projects!$G$44="Yes",56&gt;=Projects!$C$44,56&lt;Projects!$C$44+Projects!$D$44),IF(56=Projects!$C$44+Projects!$D$44-1,Projects!$B$44*Assumptions!$B$10/Projects!$D$44*0.95+0.05*Projects!$B$44*Assumptions!$B$10,Projects!$B$44*Assumptions!$B$10/Projects!$D$44*0.95),0)+IF(AND(Projects!$G$45="Yes",56&gt;=Projects!$C$45,56&lt;Projects!$C$45+Projects!$D$45),IF(56=Projects!$C$45+Projects!$D$45-1,Projects!$B$45*Assumptions!$B$10/Projects!$D$45*0.95+0.05*Projects!$B$45*Assumptions!$B$10,Projects!$B$45*Assumptions!$B$10/Projects!$D$45*0.95),0)+IF(AND(Projects!$G$46="Yes",56&gt;=Projects!$C$46,56&lt;Projects!$C$46+Projects!$D$46),IF(56=Projects!$C$46+Projects!$D$46-1,Projects!$B$46*Assumptions!$B$10/Projects!$D$46*0.95+0.05*Projects!$B$46*Assumptions!$B$10,Projects!$B$46*Assumptions!$B$10/Projects!$D$46*0.95),0)</f>
        <v/>
      </c>
      <c r="BG108">
        <f>IF(AND(Projects!$G$30="Yes",57&gt;=Projects!$C$30,57&lt;Projects!$C$30+Projects!$D$30),IF(57=Projects!$C$30+Projects!$D$30-1,Projects!$B$30*Assumptions!$B$10/Projects!$D$30*0.95+0.05*Projects!$B$30*Assumptions!$B$10,Projects!$B$30*Assumptions!$B$10/Projects!$D$30*0.95),0)+IF(AND(Projects!$G$31="Yes",57&gt;=Projects!$C$31,57&lt;Projects!$C$31+Projects!$D$31),IF(57=Projects!$C$31+Projects!$D$31-1,Projects!$B$31*Assumptions!$B$10/Projects!$D$31*0.95+0.05*Projects!$B$31*Assumptions!$B$10,Projects!$B$31*Assumptions!$B$10/Projects!$D$31*0.95),0)+IF(AND(Projects!$G$32="Yes",57&gt;=Projects!$C$32,57&lt;Projects!$C$32+Projects!$D$32),IF(57=Projects!$C$32+Projects!$D$32-1,Projects!$B$32*Assumptions!$B$10/Projects!$D$32*0.95+0.05*Projects!$B$32*Assumptions!$B$10,Projects!$B$32*Assumptions!$B$10/Projects!$D$32*0.95),0)+IF(AND(Projects!$G$33="Yes",57&gt;=Projects!$C$33,57&lt;Projects!$C$33+Projects!$D$33),IF(57=Projects!$C$33+Projects!$D$33-1,Projects!$B$33*Assumptions!$B$10/Projects!$D$33*0.95+0.05*Projects!$B$33*Assumptions!$B$10,Projects!$B$33*Assumptions!$B$10/Projects!$D$33*0.95),0)+IF(AND(Projects!$G$34="Yes",57&gt;=Projects!$C$34,57&lt;Projects!$C$34+Projects!$D$34),IF(57=Projects!$C$34+Projects!$D$34-1,Projects!$B$34*Assumptions!$B$10/Projects!$D$34*0.95+0.05*Projects!$B$34*Assumptions!$B$10,Projects!$B$34*Assumptions!$B$10/Projects!$D$34*0.95),0)+IF(AND(Projects!$G$35="Yes",57&gt;=Projects!$C$35,57&lt;Projects!$C$35+Projects!$D$35),IF(57=Projects!$C$35+Projects!$D$35-1,Projects!$B$35*Assumptions!$B$10/Projects!$D$35*0.95+0.05*Projects!$B$35*Assumptions!$B$10,Projects!$B$35*Assumptions!$B$10/Projects!$D$35*0.95),0)+IF(AND(Projects!$G$36="Yes",57&gt;=Projects!$C$36,57&lt;Projects!$C$36+Projects!$D$36),IF(57=Projects!$C$36+Projects!$D$36-1,Projects!$B$36*Assumptions!$B$10/Projects!$D$36*0.95+0.05*Projects!$B$36*Assumptions!$B$10,Projects!$B$36*Assumptions!$B$10/Projects!$D$36*0.95),0)+IF(AND(Projects!$G$37="Yes",57&gt;=Projects!$C$37,57&lt;Projects!$C$37+Projects!$D$37),IF(57=Projects!$C$37+Projects!$D$37-1,Projects!$B$37*Assumptions!$B$10/Projects!$D$37*0.95+0.05*Projects!$B$37*Assumptions!$B$10,Projects!$B$37*Assumptions!$B$10/Projects!$D$37*0.95),0)+IF(AND(Projects!$G$38="Yes",57&gt;=Projects!$C$38,57&lt;Projects!$C$38+Projects!$D$38),IF(57=Projects!$C$38+Projects!$D$38-1,Projects!$B$38*Assumptions!$B$10/Projects!$D$38*0.95+0.05*Projects!$B$38*Assumptions!$B$10,Projects!$B$38*Assumptions!$B$10/Projects!$D$38*0.95),0)+IF(AND(Projects!$G$39="Yes",57&gt;=Projects!$C$39,57&lt;Projects!$C$39+Projects!$D$39),IF(57=Projects!$C$39+Projects!$D$39-1,Projects!$B$39*Assumptions!$B$10/Projects!$D$39*0.95+0.05*Projects!$B$39*Assumptions!$B$10,Projects!$B$39*Assumptions!$B$10/Projects!$D$39*0.95),0)+IF(AND(Projects!$G$40="Yes",57&gt;=Projects!$C$40,57&lt;Projects!$C$40+Projects!$D$40),IF(57=Projects!$C$40+Projects!$D$40-1,Projects!$B$40*Assumptions!$B$10/Projects!$D$40*0.95+0.05*Projects!$B$40*Assumptions!$B$10,Projects!$B$40*Assumptions!$B$10/Projects!$D$40*0.95),0)+IF(AND(Projects!$G$41="Yes",57&gt;=Projects!$C$41,57&lt;Projects!$C$41+Projects!$D$41),IF(57=Projects!$C$41+Projects!$D$41-1,Projects!$B$41*Assumptions!$B$10/Projects!$D$41*0.95+0.05*Projects!$B$41*Assumptions!$B$10,Projects!$B$41*Assumptions!$B$10/Projects!$D$41*0.95),0)+IF(AND(Projects!$G$42="Yes",57&gt;=Projects!$C$42,57&lt;Projects!$C$42+Projects!$D$42),IF(57=Projects!$C$42+Projects!$D$42-1,Projects!$B$42*Assumptions!$B$10/Projects!$D$42*0.95+0.05*Projects!$B$42*Assumptions!$B$10,Projects!$B$42*Assumptions!$B$10/Projects!$D$42*0.95),0)+IF(AND(Projects!$G$43="Yes",57&gt;=Projects!$C$43,57&lt;Projects!$C$43+Projects!$D$43),IF(57=Projects!$C$43+Projects!$D$43-1,Projects!$B$43*Assumptions!$B$10/Projects!$D$43*0.95+0.05*Projects!$B$43*Assumptions!$B$10,Projects!$B$43*Assumptions!$B$10/Projects!$D$43*0.95),0)+IF(AND(Projects!$G$44="Yes",57&gt;=Projects!$C$44,57&lt;Projects!$C$44+Projects!$D$44),IF(57=Projects!$C$44+Projects!$D$44-1,Projects!$B$44*Assumptions!$B$10/Projects!$D$44*0.95+0.05*Projects!$B$44*Assumptions!$B$10,Projects!$B$44*Assumptions!$B$10/Projects!$D$44*0.95),0)+IF(AND(Projects!$G$45="Yes",57&gt;=Projects!$C$45,57&lt;Projects!$C$45+Projects!$D$45),IF(57=Projects!$C$45+Projects!$D$45-1,Projects!$B$45*Assumptions!$B$10/Projects!$D$45*0.95+0.05*Projects!$B$45*Assumptions!$B$10,Projects!$B$45*Assumptions!$B$10/Projects!$D$45*0.95),0)+IF(AND(Projects!$G$46="Yes",57&gt;=Projects!$C$46,57&lt;Projects!$C$46+Projects!$D$46),IF(57=Projects!$C$46+Projects!$D$46-1,Projects!$B$46*Assumptions!$B$10/Projects!$D$46*0.95+0.05*Projects!$B$46*Assumptions!$B$10,Projects!$B$46*Assumptions!$B$10/Projects!$D$46*0.95),0)</f>
        <v/>
      </c>
      <c r="BH108">
        <f>IF(AND(Projects!$G$30="Yes",58&gt;=Projects!$C$30,58&lt;Projects!$C$30+Projects!$D$30),IF(58=Projects!$C$30+Projects!$D$30-1,Projects!$B$30*Assumptions!$B$10/Projects!$D$30*0.95+0.05*Projects!$B$30*Assumptions!$B$10,Projects!$B$30*Assumptions!$B$10/Projects!$D$30*0.95),0)+IF(AND(Projects!$G$31="Yes",58&gt;=Projects!$C$31,58&lt;Projects!$C$31+Projects!$D$31),IF(58=Projects!$C$31+Projects!$D$31-1,Projects!$B$31*Assumptions!$B$10/Projects!$D$31*0.95+0.05*Projects!$B$31*Assumptions!$B$10,Projects!$B$31*Assumptions!$B$10/Projects!$D$31*0.95),0)+IF(AND(Projects!$G$32="Yes",58&gt;=Projects!$C$32,58&lt;Projects!$C$32+Projects!$D$32),IF(58=Projects!$C$32+Projects!$D$32-1,Projects!$B$32*Assumptions!$B$10/Projects!$D$32*0.95+0.05*Projects!$B$32*Assumptions!$B$10,Projects!$B$32*Assumptions!$B$10/Projects!$D$32*0.95),0)+IF(AND(Projects!$G$33="Yes",58&gt;=Projects!$C$33,58&lt;Projects!$C$33+Projects!$D$33),IF(58=Projects!$C$33+Projects!$D$33-1,Projects!$B$33*Assumptions!$B$10/Projects!$D$33*0.95+0.05*Projects!$B$33*Assumptions!$B$10,Projects!$B$33*Assumptions!$B$10/Projects!$D$33*0.95),0)+IF(AND(Projects!$G$34="Yes",58&gt;=Projects!$C$34,58&lt;Projects!$C$34+Projects!$D$34),IF(58=Projects!$C$34+Projects!$D$34-1,Projects!$B$34*Assumptions!$B$10/Projects!$D$34*0.95+0.05*Projects!$B$34*Assumptions!$B$10,Projects!$B$34*Assumptions!$B$10/Projects!$D$34*0.95),0)+IF(AND(Projects!$G$35="Yes",58&gt;=Projects!$C$35,58&lt;Projects!$C$35+Projects!$D$35),IF(58=Projects!$C$35+Projects!$D$35-1,Projects!$B$35*Assumptions!$B$10/Projects!$D$35*0.95+0.05*Projects!$B$35*Assumptions!$B$10,Projects!$B$35*Assumptions!$B$10/Projects!$D$35*0.95),0)+IF(AND(Projects!$G$36="Yes",58&gt;=Projects!$C$36,58&lt;Projects!$C$36+Projects!$D$36),IF(58=Projects!$C$36+Projects!$D$36-1,Projects!$B$36*Assumptions!$B$10/Projects!$D$36*0.95+0.05*Projects!$B$36*Assumptions!$B$10,Projects!$B$36*Assumptions!$B$10/Projects!$D$36*0.95),0)+IF(AND(Projects!$G$37="Yes",58&gt;=Projects!$C$37,58&lt;Projects!$C$37+Projects!$D$37),IF(58=Projects!$C$37+Projects!$D$37-1,Projects!$B$37*Assumptions!$B$10/Projects!$D$37*0.95+0.05*Projects!$B$37*Assumptions!$B$10,Projects!$B$37*Assumptions!$B$10/Projects!$D$37*0.95),0)+IF(AND(Projects!$G$38="Yes",58&gt;=Projects!$C$38,58&lt;Projects!$C$38+Projects!$D$38),IF(58=Projects!$C$38+Projects!$D$38-1,Projects!$B$38*Assumptions!$B$10/Projects!$D$38*0.95+0.05*Projects!$B$38*Assumptions!$B$10,Projects!$B$38*Assumptions!$B$10/Projects!$D$38*0.95),0)+IF(AND(Projects!$G$39="Yes",58&gt;=Projects!$C$39,58&lt;Projects!$C$39+Projects!$D$39),IF(58=Projects!$C$39+Projects!$D$39-1,Projects!$B$39*Assumptions!$B$10/Projects!$D$39*0.95+0.05*Projects!$B$39*Assumptions!$B$10,Projects!$B$39*Assumptions!$B$10/Projects!$D$39*0.95),0)+IF(AND(Projects!$G$40="Yes",58&gt;=Projects!$C$40,58&lt;Projects!$C$40+Projects!$D$40),IF(58=Projects!$C$40+Projects!$D$40-1,Projects!$B$40*Assumptions!$B$10/Projects!$D$40*0.95+0.05*Projects!$B$40*Assumptions!$B$10,Projects!$B$40*Assumptions!$B$10/Projects!$D$40*0.95),0)+IF(AND(Projects!$G$41="Yes",58&gt;=Projects!$C$41,58&lt;Projects!$C$41+Projects!$D$41),IF(58=Projects!$C$41+Projects!$D$41-1,Projects!$B$41*Assumptions!$B$10/Projects!$D$41*0.95+0.05*Projects!$B$41*Assumptions!$B$10,Projects!$B$41*Assumptions!$B$10/Projects!$D$41*0.95),0)+IF(AND(Projects!$G$42="Yes",58&gt;=Projects!$C$42,58&lt;Projects!$C$42+Projects!$D$42),IF(58=Projects!$C$42+Projects!$D$42-1,Projects!$B$42*Assumptions!$B$10/Projects!$D$42*0.95+0.05*Projects!$B$42*Assumptions!$B$10,Projects!$B$42*Assumptions!$B$10/Projects!$D$42*0.95),0)+IF(AND(Projects!$G$43="Yes",58&gt;=Projects!$C$43,58&lt;Projects!$C$43+Projects!$D$43),IF(58=Projects!$C$43+Projects!$D$43-1,Projects!$B$43*Assumptions!$B$10/Projects!$D$43*0.95+0.05*Projects!$B$43*Assumptions!$B$10,Projects!$B$43*Assumptions!$B$10/Projects!$D$43*0.95),0)+IF(AND(Projects!$G$44="Yes",58&gt;=Projects!$C$44,58&lt;Projects!$C$44+Projects!$D$44),IF(58=Projects!$C$44+Projects!$D$44-1,Projects!$B$44*Assumptions!$B$10/Projects!$D$44*0.95+0.05*Projects!$B$44*Assumptions!$B$10,Projects!$B$44*Assumptions!$B$10/Projects!$D$44*0.95),0)+IF(AND(Projects!$G$45="Yes",58&gt;=Projects!$C$45,58&lt;Projects!$C$45+Projects!$D$45),IF(58=Projects!$C$45+Projects!$D$45-1,Projects!$B$45*Assumptions!$B$10/Projects!$D$45*0.95+0.05*Projects!$B$45*Assumptions!$B$10,Projects!$B$45*Assumptions!$B$10/Projects!$D$45*0.95),0)+IF(AND(Projects!$G$46="Yes",58&gt;=Projects!$C$46,58&lt;Projects!$C$46+Projects!$D$46),IF(58=Projects!$C$46+Projects!$D$46-1,Projects!$B$46*Assumptions!$B$10/Projects!$D$46*0.95+0.05*Projects!$B$46*Assumptions!$B$10,Projects!$B$46*Assumptions!$B$10/Projects!$D$46*0.95),0)</f>
        <v/>
      </c>
      <c r="BI108">
        <f>IF(AND(Projects!$G$30="Yes",59&gt;=Projects!$C$30,59&lt;Projects!$C$30+Projects!$D$30),IF(59=Projects!$C$30+Projects!$D$30-1,Projects!$B$30*Assumptions!$B$10/Projects!$D$30*0.95+0.05*Projects!$B$30*Assumptions!$B$10,Projects!$B$30*Assumptions!$B$10/Projects!$D$30*0.95),0)+IF(AND(Projects!$G$31="Yes",59&gt;=Projects!$C$31,59&lt;Projects!$C$31+Projects!$D$31),IF(59=Projects!$C$31+Projects!$D$31-1,Projects!$B$31*Assumptions!$B$10/Projects!$D$31*0.95+0.05*Projects!$B$31*Assumptions!$B$10,Projects!$B$31*Assumptions!$B$10/Projects!$D$31*0.95),0)+IF(AND(Projects!$G$32="Yes",59&gt;=Projects!$C$32,59&lt;Projects!$C$32+Projects!$D$32),IF(59=Projects!$C$32+Projects!$D$32-1,Projects!$B$32*Assumptions!$B$10/Projects!$D$32*0.95+0.05*Projects!$B$32*Assumptions!$B$10,Projects!$B$32*Assumptions!$B$10/Projects!$D$32*0.95),0)+IF(AND(Projects!$G$33="Yes",59&gt;=Projects!$C$33,59&lt;Projects!$C$33+Projects!$D$33),IF(59=Projects!$C$33+Projects!$D$33-1,Projects!$B$33*Assumptions!$B$10/Projects!$D$33*0.95+0.05*Projects!$B$33*Assumptions!$B$10,Projects!$B$33*Assumptions!$B$10/Projects!$D$33*0.95),0)+IF(AND(Projects!$G$34="Yes",59&gt;=Projects!$C$34,59&lt;Projects!$C$34+Projects!$D$34),IF(59=Projects!$C$34+Projects!$D$34-1,Projects!$B$34*Assumptions!$B$10/Projects!$D$34*0.95+0.05*Projects!$B$34*Assumptions!$B$10,Projects!$B$34*Assumptions!$B$10/Projects!$D$34*0.95),0)+IF(AND(Projects!$G$35="Yes",59&gt;=Projects!$C$35,59&lt;Projects!$C$35+Projects!$D$35),IF(59=Projects!$C$35+Projects!$D$35-1,Projects!$B$35*Assumptions!$B$10/Projects!$D$35*0.95+0.05*Projects!$B$35*Assumptions!$B$10,Projects!$B$35*Assumptions!$B$10/Projects!$D$35*0.95),0)+IF(AND(Projects!$G$36="Yes",59&gt;=Projects!$C$36,59&lt;Projects!$C$36+Projects!$D$36),IF(59=Projects!$C$36+Projects!$D$36-1,Projects!$B$36*Assumptions!$B$10/Projects!$D$36*0.95+0.05*Projects!$B$36*Assumptions!$B$10,Projects!$B$36*Assumptions!$B$10/Projects!$D$36*0.95),0)+IF(AND(Projects!$G$37="Yes",59&gt;=Projects!$C$37,59&lt;Projects!$C$37+Projects!$D$37),IF(59=Projects!$C$37+Projects!$D$37-1,Projects!$B$37*Assumptions!$B$10/Projects!$D$37*0.95+0.05*Projects!$B$37*Assumptions!$B$10,Projects!$B$37*Assumptions!$B$10/Projects!$D$37*0.95),0)+IF(AND(Projects!$G$38="Yes",59&gt;=Projects!$C$38,59&lt;Projects!$C$38+Projects!$D$38),IF(59=Projects!$C$38+Projects!$D$38-1,Projects!$B$38*Assumptions!$B$10/Projects!$D$38*0.95+0.05*Projects!$B$38*Assumptions!$B$10,Projects!$B$38*Assumptions!$B$10/Projects!$D$38*0.95),0)+IF(AND(Projects!$G$39="Yes",59&gt;=Projects!$C$39,59&lt;Projects!$C$39+Projects!$D$39),IF(59=Projects!$C$39+Projects!$D$39-1,Projects!$B$39*Assumptions!$B$10/Projects!$D$39*0.95+0.05*Projects!$B$39*Assumptions!$B$10,Projects!$B$39*Assumptions!$B$10/Projects!$D$39*0.95),0)+IF(AND(Projects!$G$40="Yes",59&gt;=Projects!$C$40,59&lt;Projects!$C$40+Projects!$D$40),IF(59=Projects!$C$40+Projects!$D$40-1,Projects!$B$40*Assumptions!$B$10/Projects!$D$40*0.95+0.05*Projects!$B$40*Assumptions!$B$10,Projects!$B$40*Assumptions!$B$10/Projects!$D$40*0.95),0)+IF(AND(Projects!$G$41="Yes",59&gt;=Projects!$C$41,59&lt;Projects!$C$41+Projects!$D$41),IF(59=Projects!$C$41+Projects!$D$41-1,Projects!$B$41*Assumptions!$B$10/Projects!$D$41*0.95+0.05*Projects!$B$41*Assumptions!$B$10,Projects!$B$41*Assumptions!$B$10/Projects!$D$41*0.95),0)+IF(AND(Projects!$G$42="Yes",59&gt;=Projects!$C$42,59&lt;Projects!$C$42+Projects!$D$42),IF(59=Projects!$C$42+Projects!$D$42-1,Projects!$B$42*Assumptions!$B$10/Projects!$D$42*0.95+0.05*Projects!$B$42*Assumptions!$B$10,Projects!$B$42*Assumptions!$B$10/Projects!$D$42*0.95),0)+IF(AND(Projects!$G$43="Yes",59&gt;=Projects!$C$43,59&lt;Projects!$C$43+Projects!$D$43),IF(59=Projects!$C$43+Projects!$D$43-1,Projects!$B$43*Assumptions!$B$10/Projects!$D$43*0.95+0.05*Projects!$B$43*Assumptions!$B$10,Projects!$B$43*Assumptions!$B$10/Projects!$D$43*0.95),0)+IF(AND(Projects!$G$44="Yes",59&gt;=Projects!$C$44,59&lt;Projects!$C$44+Projects!$D$44),IF(59=Projects!$C$44+Projects!$D$44-1,Projects!$B$44*Assumptions!$B$10/Projects!$D$44*0.95+0.05*Projects!$B$44*Assumptions!$B$10,Projects!$B$44*Assumptions!$B$10/Projects!$D$44*0.95),0)+IF(AND(Projects!$G$45="Yes",59&gt;=Projects!$C$45,59&lt;Projects!$C$45+Projects!$D$45),IF(59=Projects!$C$45+Projects!$D$45-1,Projects!$B$45*Assumptions!$B$10/Projects!$D$45*0.95+0.05*Projects!$B$45*Assumptions!$B$10,Projects!$B$45*Assumptions!$B$10/Projects!$D$45*0.95),0)+IF(AND(Projects!$G$46="Yes",59&gt;=Projects!$C$46,59&lt;Projects!$C$46+Projects!$D$46),IF(59=Projects!$C$46+Projects!$D$46-1,Projects!$B$46*Assumptions!$B$10/Projects!$D$46*0.95+0.05*Projects!$B$46*Assumptions!$B$10,Projects!$B$46*Assumptions!$B$10/Projects!$D$46*0.95),0)</f>
        <v/>
      </c>
      <c r="BJ108">
        <f>IF(AND(Projects!$G$30="Yes",60&gt;=Projects!$C$30,60&lt;Projects!$C$30+Projects!$D$30),IF(60=Projects!$C$30+Projects!$D$30-1,Projects!$B$30*Assumptions!$B$10/Projects!$D$30*0.95+0.05*Projects!$B$30*Assumptions!$B$10,Projects!$B$30*Assumptions!$B$10/Projects!$D$30*0.95),0)+IF(AND(Projects!$G$31="Yes",60&gt;=Projects!$C$31,60&lt;Projects!$C$31+Projects!$D$31),IF(60=Projects!$C$31+Projects!$D$31-1,Projects!$B$31*Assumptions!$B$10/Projects!$D$31*0.95+0.05*Projects!$B$31*Assumptions!$B$10,Projects!$B$31*Assumptions!$B$10/Projects!$D$31*0.95),0)+IF(AND(Projects!$G$32="Yes",60&gt;=Projects!$C$32,60&lt;Projects!$C$32+Projects!$D$32),IF(60=Projects!$C$32+Projects!$D$32-1,Projects!$B$32*Assumptions!$B$10/Projects!$D$32*0.95+0.05*Projects!$B$32*Assumptions!$B$10,Projects!$B$32*Assumptions!$B$10/Projects!$D$32*0.95),0)+IF(AND(Projects!$G$33="Yes",60&gt;=Projects!$C$33,60&lt;Projects!$C$33+Projects!$D$33),IF(60=Projects!$C$33+Projects!$D$33-1,Projects!$B$33*Assumptions!$B$10/Projects!$D$33*0.95+0.05*Projects!$B$33*Assumptions!$B$10,Projects!$B$33*Assumptions!$B$10/Projects!$D$33*0.95),0)+IF(AND(Projects!$G$34="Yes",60&gt;=Projects!$C$34,60&lt;Projects!$C$34+Projects!$D$34),IF(60=Projects!$C$34+Projects!$D$34-1,Projects!$B$34*Assumptions!$B$10/Projects!$D$34*0.95+0.05*Projects!$B$34*Assumptions!$B$10,Projects!$B$34*Assumptions!$B$10/Projects!$D$34*0.95),0)+IF(AND(Projects!$G$35="Yes",60&gt;=Projects!$C$35,60&lt;Projects!$C$35+Projects!$D$35),IF(60=Projects!$C$35+Projects!$D$35-1,Projects!$B$35*Assumptions!$B$10/Projects!$D$35*0.95+0.05*Projects!$B$35*Assumptions!$B$10,Projects!$B$35*Assumptions!$B$10/Projects!$D$35*0.95),0)+IF(AND(Projects!$G$36="Yes",60&gt;=Projects!$C$36,60&lt;Projects!$C$36+Projects!$D$36),IF(60=Projects!$C$36+Projects!$D$36-1,Projects!$B$36*Assumptions!$B$10/Projects!$D$36*0.95+0.05*Projects!$B$36*Assumptions!$B$10,Projects!$B$36*Assumptions!$B$10/Projects!$D$36*0.95),0)+IF(AND(Projects!$G$37="Yes",60&gt;=Projects!$C$37,60&lt;Projects!$C$37+Projects!$D$37),IF(60=Projects!$C$37+Projects!$D$37-1,Projects!$B$37*Assumptions!$B$10/Projects!$D$37*0.95+0.05*Projects!$B$37*Assumptions!$B$10,Projects!$B$37*Assumptions!$B$10/Projects!$D$37*0.95),0)+IF(AND(Projects!$G$38="Yes",60&gt;=Projects!$C$38,60&lt;Projects!$C$38+Projects!$D$38),IF(60=Projects!$C$38+Projects!$D$38-1,Projects!$B$38*Assumptions!$B$10/Projects!$D$38*0.95+0.05*Projects!$B$38*Assumptions!$B$10,Projects!$B$38*Assumptions!$B$10/Projects!$D$38*0.95),0)+IF(AND(Projects!$G$39="Yes",60&gt;=Projects!$C$39,60&lt;Projects!$C$39+Projects!$D$39),IF(60=Projects!$C$39+Projects!$D$39-1,Projects!$B$39*Assumptions!$B$10/Projects!$D$39*0.95+0.05*Projects!$B$39*Assumptions!$B$10,Projects!$B$39*Assumptions!$B$10/Projects!$D$39*0.95),0)+IF(AND(Projects!$G$40="Yes",60&gt;=Projects!$C$40,60&lt;Projects!$C$40+Projects!$D$40),IF(60=Projects!$C$40+Projects!$D$40-1,Projects!$B$40*Assumptions!$B$10/Projects!$D$40*0.95+0.05*Projects!$B$40*Assumptions!$B$10,Projects!$B$40*Assumptions!$B$10/Projects!$D$40*0.95),0)+IF(AND(Projects!$G$41="Yes",60&gt;=Projects!$C$41,60&lt;Projects!$C$41+Projects!$D$41),IF(60=Projects!$C$41+Projects!$D$41-1,Projects!$B$41*Assumptions!$B$10/Projects!$D$41*0.95+0.05*Projects!$B$41*Assumptions!$B$10,Projects!$B$41*Assumptions!$B$10/Projects!$D$41*0.95),0)+IF(AND(Projects!$G$42="Yes",60&gt;=Projects!$C$42,60&lt;Projects!$C$42+Projects!$D$42),IF(60=Projects!$C$42+Projects!$D$42-1,Projects!$B$42*Assumptions!$B$10/Projects!$D$42*0.95+0.05*Projects!$B$42*Assumptions!$B$10,Projects!$B$42*Assumptions!$B$10/Projects!$D$42*0.95),0)+IF(AND(Projects!$G$43="Yes",60&gt;=Projects!$C$43,60&lt;Projects!$C$43+Projects!$D$43),IF(60=Projects!$C$43+Projects!$D$43-1,Projects!$B$43*Assumptions!$B$10/Projects!$D$43*0.95+0.05*Projects!$B$43*Assumptions!$B$10,Projects!$B$43*Assumptions!$B$10/Projects!$D$43*0.95),0)+IF(AND(Projects!$G$44="Yes",60&gt;=Projects!$C$44,60&lt;Projects!$C$44+Projects!$D$44),IF(60=Projects!$C$44+Projects!$D$44-1,Projects!$B$44*Assumptions!$B$10/Projects!$D$44*0.95+0.05*Projects!$B$44*Assumptions!$B$10,Projects!$B$44*Assumptions!$B$10/Projects!$D$44*0.95),0)+IF(AND(Projects!$G$45="Yes",60&gt;=Projects!$C$45,60&lt;Projects!$C$45+Projects!$D$45),IF(60=Projects!$C$45+Projects!$D$45-1,Projects!$B$45*Assumptions!$B$10/Projects!$D$45*0.95+0.05*Projects!$B$45*Assumptions!$B$10,Projects!$B$45*Assumptions!$B$10/Projects!$D$45*0.95),0)+IF(AND(Projects!$G$46="Yes",60&gt;=Projects!$C$46,60&lt;Projects!$C$46+Projects!$D$46),IF(60=Projects!$C$46+Projects!$D$46-1,Projects!$B$46*Assumptions!$B$10/Projects!$D$46*0.95+0.05*Projects!$B$46*Assumptions!$B$10,Projects!$B$46*Assumptions!$B$10/Projects!$D$46*0.95),0)</f>
        <v/>
      </c>
      <c r="BK108">
        <f>IF(AND(Projects!$G$30="Yes",61&gt;=Projects!$C$30,61&lt;Projects!$C$30+Projects!$D$30),IF(61=Projects!$C$30+Projects!$D$30-1,Projects!$B$30*Assumptions!$B$10/Projects!$D$30*0.95+0.05*Projects!$B$30*Assumptions!$B$10,Projects!$B$30*Assumptions!$B$10/Projects!$D$30*0.95),0)+IF(AND(Projects!$G$31="Yes",61&gt;=Projects!$C$31,61&lt;Projects!$C$31+Projects!$D$31),IF(61=Projects!$C$31+Projects!$D$31-1,Projects!$B$31*Assumptions!$B$10/Projects!$D$31*0.95+0.05*Projects!$B$31*Assumptions!$B$10,Projects!$B$31*Assumptions!$B$10/Projects!$D$31*0.95),0)+IF(AND(Projects!$G$32="Yes",61&gt;=Projects!$C$32,61&lt;Projects!$C$32+Projects!$D$32),IF(61=Projects!$C$32+Projects!$D$32-1,Projects!$B$32*Assumptions!$B$10/Projects!$D$32*0.95+0.05*Projects!$B$32*Assumptions!$B$10,Projects!$B$32*Assumptions!$B$10/Projects!$D$32*0.95),0)+IF(AND(Projects!$G$33="Yes",61&gt;=Projects!$C$33,61&lt;Projects!$C$33+Projects!$D$33),IF(61=Projects!$C$33+Projects!$D$33-1,Projects!$B$33*Assumptions!$B$10/Projects!$D$33*0.95+0.05*Projects!$B$33*Assumptions!$B$10,Projects!$B$33*Assumptions!$B$10/Projects!$D$33*0.95),0)+IF(AND(Projects!$G$34="Yes",61&gt;=Projects!$C$34,61&lt;Projects!$C$34+Projects!$D$34),IF(61=Projects!$C$34+Projects!$D$34-1,Projects!$B$34*Assumptions!$B$10/Projects!$D$34*0.95+0.05*Projects!$B$34*Assumptions!$B$10,Projects!$B$34*Assumptions!$B$10/Projects!$D$34*0.95),0)+IF(AND(Projects!$G$35="Yes",61&gt;=Projects!$C$35,61&lt;Projects!$C$35+Projects!$D$35),IF(61=Projects!$C$35+Projects!$D$35-1,Projects!$B$35*Assumptions!$B$10/Projects!$D$35*0.95+0.05*Projects!$B$35*Assumptions!$B$10,Projects!$B$35*Assumptions!$B$10/Projects!$D$35*0.95),0)+IF(AND(Projects!$G$36="Yes",61&gt;=Projects!$C$36,61&lt;Projects!$C$36+Projects!$D$36),IF(61=Projects!$C$36+Projects!$D$36-1,Projects!$B$36*Assumptions!$B$10/Projects!$D$36*0.95+0.05*Projects!$B$36*Assumptions!$B$10,Projects!$B$36*Assumptions!$B$10/Projects!$D$36*0.95),0)+IF(AND(Projects!$G$37="Yes",61&gt;=Projects!$C$37,61&lt;Projects!$C$37+Projects!$D$37),IF(61=Projects!$C$37+Projects!$D$37-1,Projects!$B$37*Assumptions!$B$10/Projects!$D$37*0.95+0.05*Projects!$B$37*Assumptions!$B$10,Projects!$B$37*Assumptions!$B$10/Projects!$D$37*0.95),0)+IF(AND(Projects!$G$38="Yes",61&gt;=Projects!$C$38,61&lt;Projects!$C$38+Projects!$D$38),IF(61=Projects!$C$38+Projects!$D$38-1,Projects!$B$38*Assumptions!$B$10/Projects!$D$38*0.95+0.05*Projects!$B$38*Assumptions!$B$10,Projects!$B$38*Assumptions!$B$10/Projects!$D$38*0.95),0)+IF(AND(Projects!$G$39="Yes",61&gt;=Projects!$C$39,61&lt;Projects!$C$39+Projects!$D$39),IF(61=Projects!$C$39+Projects!$D$39-1,Projects!$B$39*Assumptions!$B$10/Projects!$D$39*0.95+0.05*Projects!$B$39*Assumptions!$B$10,Projects!$B$39*Assumptions!$B$10/Projects!$D$39*0.95),0)+IF(AND(Projects!$G$40="Yes",61&gt;=Projects!$C$40,61&lt;Projects!$C$40+Projects!$D$40),IF(61=Projects!$C$40+Projects!$D$40-1,Projects!$B$40*Assumptions!$B$10/Projects!$D$40*0.95+0.05*Projects!$B$40*Assumptions!$B$10,Projects!$B$40*Assumptions!$B$10/Projects!$D$40*0.95),0)+IF(AND(Projects!$G$41="Yes",61&gt;=Projects!$C$41,61&lt;Projects!$C$41+Projects!$D$41),IF(61=Projects!$C$41+Projects!$D$41-1,Projects!$B$41*Assumptions!$B$10/Projects!$D$41*0.95+0.05*Projects!$B$41*Assumptions!$B$10,Projects!$B$41*Assumptions!$B$10/Projects!$D$41*0.95),0)+IF(AND(Projects!$G$42="Yes",61&gt;=Projects!$C$42,61&lt;Projects!$C$42+Projects!$D$42),IF(61=Projects!$C$42+Projects!$D$42-1,Projects!$B$42*Assumptions!$B$10/Projects!$D$42*0.95+0.05*Projects!$B$42*Assumptions!$B$10,Projects!$B$42*Assumptions!$B$10/Projects!$D$42*0.95),0)+IF(AND(Projects!$G$43="Yes",61&gt;=Projects!$C$43,61&lt;Projects!$C$43+Projects!$D$43),IF(61=Projects!$C$43+Projects!$D$43-1,Projects!$B$43*Assumptions!$B$10/Projects!$D$43*0.95+0.05*Projects!$B$43*Assumptions!$B$10,Projects!$B$43*Assumptions!$B$10/Projects!$D$43*0.95),0)+IF(AND(Projects!$G$44="Yes",61&gt;=Projects!$C$44,61&lt;Projects!$C$44+Projects!$D$44),IF(61=Projects!$C$44+Projects!$D$44-1,Projects!$B$44*Assumptions!$B$10/Projects!$D$44*0.95+0.05*Projects!$B$44*Assumptions!$B$10,Projects!$B$44*Assumptions!$B$10/Projects!$D$44*0.95),0)+IF(AND(Projects!$G$45="Yes",61&gt;=Projects!$C$45,61&lt;Projects!$C$45+Projects!$D$45),IF(61=Projects!$C$45+Projects!$D$45-1,Projects!$B$45*Assumptions!$B$10/Projects!$D$45*0.95+0.05*Projects!$B$45*Assumptions!$B$10,Projects!$B$45*Assumptions!$B$10/Projects!$D$45*0.95),0)+IF(AND(Projects!$G$46="Yes",61&gt;=Projects!$C$46,61&lt;Projects!$C$46+Projects!$D$46),IF(61=Projects!$C$46+Projects!$D$46-1,Projects!$B$46*Assumptions!$B$10/Projects!$D$46*0.95+0.05*Projects!$B$46*Assumptions!$B$10,Projects!$B$46*Assumptions!$B$10/Projects!$D$46*0.95),0)</f>
        <v/>
      </c>
      <c r="BL108">
        <f>IF(AND(Projects!$G$30="Yes",62&gt;=Projects!$C$30,62&lt;Projects!$C$30+Projects!$D$30),IF(62=Projects!$C$30+Projects!$D$30-1,Projects!$B$30*Assumptions!$B$10/Projects!$D$30*0.95+0.05*Projects!$B$30*Assumptions!$B$10,Projects!$B$30*Assumptions!$B$10/Projects!$D$30*0.95),0)+IF(AND(Projects!$G$31="Yes",62&gt;=Projects!$C$31,62&lt;Projects!$C$31+Projects!$D$31),IF(62=Projects!$C$31+Projects!$D$31-1,Projects!$B$31*Assumptions!$B$10/Projects!$D$31*0.95+0.05*Projects!$B$31*Assumptions!$B$10,Projects!$B$31*Assumptions!$B$10/Projects!$D$31*0.95),0)+IF(AND(Projects!$G$32="Yes",62&gt;=Projects!$C$32,62&lt;Projects!$C$32+Projects!$D$32),IF(62=Projects!$C$32+Projects!$D$32-1,Projects!$B$32*Assumptions!$B$10/Projects!$D$32*0.95+0.05*Projects!$B$32*Assumptions!$B$10,Projects!$B$32*Assumptions!$B$10/Projects!$D$32*0.95),0)+IF(AND(Projects!$G$33="Yes",62&gt;=Projects!$C$33,62&lt;Projects!$C$33+Projects!$D$33),IF(62=Projects!$C$33+Projects!$D$33-1,Projects!$B$33*Assumptions!$B$10/Projects!$D$33*0.95+0.05*Projects!$B$33*Assumptions!$B$10,Projects!$B$33*Assumptions!$B$10/Projects!$D$33*0.95),0)+IF(AND(Projects!$G$34="Yes",62&gt;=Projects!$C$34,62&lt;Projects!$C$34+Projects!$D$34),IF(62=Projects!$C$34+Projects!$D$34-1,Projects!$B$34*Assumptions!$B$10/Projects!$D$34*0.95+0.05*Projects!$B$34*Assumptions!$B$10,Projects!$B$34*Assumptions!$B$10/Projects!$D$34*0.95),0)+IF(AND(Projects!$G$35="Yes",62&gt;=Projects!$C$35,62&lt;Projects!$C$35+Projects!$D$35),IF(62=Projects!$C$35+Projects!$D$35-1,Projects!$B$35*Assumptions!$B$10/Projects!$D$35*0.95+0.05*Projects!$B$35*Assumptions!$B$10,Projects!$B$35*Assumptions!$B$10/Projects!$D$35*0.95),0)+IF(AND(Projects!$G$36="Yes",62&gt;=Projects!$C$36,62&lt;Projects!$C$36+Projects!$D$36),IF(62=Projects!$C$36+Projects!$D$36-1,Projects!$B$36*Assumptions!$B$10/Projects!$D$36*0.95+0.05*Projects!$B$36*Assumptions!$B$10,Projects!$B$36*Assumptions!$B$10/Projects!$D$36*0.95),0)+IF(AND(Projects!$G$37="Yes",62&gt;=Projects!$C$37,62&lt;Projects!$C$37+Projects!$D$37),IF(62=Projects!$C$37+Projects!$D$37-1,Projects!$B$37*Assumptions!$B$10/Projects!$D$37*0.95+0.05*Projects!$B$37*Assumptions!$B$10,Projects!$B$37*Assumptions!$B$10/Projects!$D$37*0.95),0)+IF(AND(Projects!$G$38="Yes",62&gt;=Projects!$C$38,62&lt;Projects!$C$38+Projects!$D$38),IF(62=Projects!$C$38+Projects!$D$38-1,Projects!$B$38*Assumptions!$B$10/Projects!$D$38*0.95+0.05*Projects!$B$38*Assumptions!$B$10,Projects!$B$38*Assumptions!$B$10/Projects!$D$38*0.95),0)+IF(AND(Projects!$G$39="Yes",62&gt;=Projects!$C$39,62&lt;Projects!$C$39+Projects!$D$39),IF(62=Projects!$C$39+Projects!$D$39-1,Projects!$B$39*Assumptions!$B$10/Projects!$D$39*0.95+0.05*Projects!$B$39*Assumptions!$B$10,Projects!$B$39*Assumptions!$B$10/Projects!$D$39*0.95),0)+IF(AND(Projects!$G$40="Yes",62&gt;=Projects!$C$40,62&lt;Projects!$C$40+Projects!$D$40),IF(62=Projects!$C$40+Projects!$D$40-1,Projects!$B$40*Assumptions!$B$10/Projects!$D$40*0.95+0.05*Projects!$B$40*Assumptions!$B$10,Projects!$B$40*Assumptions!$B$10/Projects!$D$40*0.95),0)+IF(AND(Projects!$G$41="Yes",62&gt;=Projects!$C$41,62&lt;Projects!$C$41+Projects!$D$41),IF(62=Projects!$C$41+Projects!$D$41-1,Projects!$B$41*Assumptions!$B$10/Projects!$D$41*0.95+0.05*Projects!$B$41*Assumptions!$B$10,Projects!$B$41*Assumptions!$B$10/Projects!$D$41*0.95),0)+IF(AND(Projects!$G$42="Yes",62&gt;=Projects!$C$42,62&lt;Projects!$C$42+Projects!$D$42),IF(62=Projects!$C$42+Projects!$D$42-1,Projects!$B$42*Assumptions!$B$10/Projects!$D$42*0.95+0.05*Projects!$B$42*Assumptions!$B$10,Projects!$B$42*Assumptions!$B$10/Projects!$D$42*0.95),0)+IF(AND(Projects!$G$43="Yes",62&gt;=Projects!$C$43,62&lt;Projects!$C$43+Projects!$D$43),IF(62=Projects!$C$43+Projects!$D$43-1,Projects!$B$43*Assumptions!$B$10/Projects!$D$43*0.95+0.05*Projects!$B$43*Assumptions!$B$10,Projects!$B$43*Assumptions!$B$10/Projects!$D$43*0.95),0)+IF(AND(Projects!$G$44="Yes",62&gt;=Projects!$C$44,62&lt;Projects!$C$44+Projects!$D$44),IF(62=Projects!$C$44+Projects!$D$44-1,Projects!$B$44*Assumptions!$B$10/Projects!$D$44*0.95+0.05*Projects!$B$44*Assumptions!$B$10,Projects!$B$44*Assumptions!$B$10/Projects!$D$44*0.95),0)+IF(AND(Projects!$G$45="Yes",62&gt;=Projects!$C$45,62&lt;Projects!$C$45+Projects!$D$45),IF(62=Projects!$C$45+Projects!$D$45-1,Projects!$B$45*Assumptions!$B$10/Projects!$D$45*0.95+0.05*Projects!$B$45*Assumptions!$B$10,Projects!$B$45*Assumptions!$B$10/Projects!$D$45*0.95),0)+IF(AND(Projects!$G$46="Yes",62&gt;=Projects!$C$46,62&lt;Projects!$C$46+Projects!$D$46),IF(62=Projects!$C$46+Projects!$D$46-1,Projects!$B$46*Assumptions!$B$10/Projects!$D$46*0.95+0.05*Projects!$B$46*Assumptions!$B$10,Projects!$B$46*Assumptions!$B$10/Projects!$D$46*0.95),0)</f>
        <v/>
      </c>
      <c r="BM108">
        <f>IF(AND(Projects!$G$30="Yes",63&gt;=Projects!$C$30,63&lt;Projects!$C$30+Projects!$D$30),IF(63=Projects!$C$30+Projects!$D$30-1,Projects!$B$30*Assumptions!$B$10/Projects!$D$30*0.95+0.05*Projects!$B$30*Assumptions!$B$10,Projects!$B$30*Assumptions!$B$10/Projects!$D$30*0.95),0)+IF(AND(Projects!$G$31="Yes",63&gt;=Projects!$C$31,63&lt;Projects!$C$31+Projects!$D$31),IF(63=Projects!$C$31+Projects!$D$31-1,Projects!$B$31*Assumptions!$B$10/Projects!$D$31*0.95+0.05*Projects!$B$31*Assumptions!$B$10,Projects!$B$31*Assumptions!$B$10/Projects!$D$31*0.95),0)+IF(AND(Projects!$G$32="Yes",63&gt;=Projects!$C$32,63&lt;Projects!$C$32+Projects!$D$32),IF(63=Projects!$C$32+Projects!$D$32-1,Projects!$B$32*Assumptions!$B$10/Projects!$D$32*0.95+0.05*Projects!$B$32*Assumptions!$B$10,Projects!$B$32*Assumptions!$B$10/Projects!$D$32*0.95),0)+IF(AND(Projects!$G$33="Yes",63&gt;=Projects!$C$33,63&lt;Projects!$C$33+Projects!$D$33),IF(63=Projects!$C$33+Projects!$D$33-1,Projects!$B$33*Assumptions!$B$10/Projects!$D$33*0.95+0.05*Projects!$B$33*Assumptions!$B$10,Projects!$B$33*Assumptions!$B$10/Projects!$D$33*0.95),0)+IF(AND(Projects!$G$34="Yes",63&gt;=Projects!$C$34,63&lt;Projects!$C$34+Projects!$D$34),IF(63=Projects!$C$34+Projects!$D$34-1,Projects!$B$34*Assumptions!$B$10/Projects!$D$34*0.95+0.05*Projects!$B$34*Assumptions!$B$10,Projects!$B$34*Assumptions!$B$10/Projects!$D$34*0.95),0)+IF(AND(Projects!$G$35="Yes",63&gt;=Projects!$C$35,63&lt;Projects!$C$35+Projects!$D$35),IF(63=Projects!$C$35+Projects!$D$35-1,Projects!$B$35*Assumptions!$B$10/Projects!$D$35*0.95+0.05*Projects!$B$35*Assumptions!$B$10,Projects!$B$35*Assumptions!$B$10/Projects!$D$35*0.95),0)+IF(AND(Projects!$G$36="Yes",63&gt;=Projects!$C$36,63&lt;Projects!$C$36+Projects!$D$36),IF(63=Projects!$C$36+Projects!$D$36-1,Projects!$B$36*Assumptions!$B$10/Projects!$D$36*0.95+0.05*Projects!$B$36*Assumptions!$B$10,Projects!$B$36*Assumptions!$B$10/Projects!$D$36*0.95),0)+IF(AND(Projects!$G$37="Yes",63&gt;=Projects!$C$37,63&lt;Projects!$C$37+Projects!$D$37),IF(63=Projects!$C$37+Projects!$D$37-1,Projects!$B$37*Assumptions!$B$10/Projects!$D$37*0.95+0.05*Projects!$B$37*Assumptions!$B$10,Projects!$B$37*Assumptions!$B$10/Projects!$D$37*0.95),0)+IF(AND(Projects!$G$38="Yes",63&gt;=Projects!$C$38,63&lt;Projects!$C$38+Projects!$D$38),IF(63=Projects!$C$38+Projects!$D$38-1,Projects!$B$38*Assumptions!$B$10/Projects!$D$38*0.95+0.05*Projects!$B$38*Assumptions!$B$10,Projects!$B$38*Assumptions!$B$10/Projects!$D$38*0.95),0)+IF(AND(Projects!$G$39="Yes",63&gt;=Projects!$C$39,63&lt;Projects!$C$39+Projects!$D$39),IF(63=Projects!$C$39+Projects!$D$39-1,Projects!$B$39*Assumptions!$B$10/Projects!$D$39*0.95+0.05*Projects!$B$39*Assumptions!$B$10,Projects!$B$39*Assumptions!$B$10/Projects!$D$39*0.95),0)+IF(AND(Projects!$G$40="Yes",63&gt;=Projects!$C$40,63&lt;Projects!$C$40+Projects!$D$40),IF(63=Projects!$C$40+Projects!$D$40-1,Projects!$B$40*Assumptions!$B$10/Projects!$D$40*0.95+0.05*Projects!$B$40*Assumptions!$B$10,Projects!$B$40*Assumptions!$B$10/Projects!$D$40*0.95),0)+IF(AND(Projects!$G$41="Yes",63&gt;=Projects!$C$41,63&lt;Projects!$C$41+Projects!$D$41),IF(63=Projects!$C$41+Projects!$D$41-1,Projects!$B$41*Assumptions!$B$10/Projects!$D$41*0.95+0.05*Projects!$B$41*Assumptions!$B$10,Projects!$B$41*Assumptions!$B$10/Projects!$D$41*0.95),0)+IF(AND(Projects!$G$42="Yes",63&gt;=Projects!$C$42,63&lt;Projects!$C$42+Projects!$D$42),IF(63=Projects!$C$42+Projects!$D$42-1,Projects!$B$42*Assumptions!$B$10/Projects!$D$42*0.95+0.05*Projects!$B$42*Assumptions!$B$10,Projects!$B$42*Assumptions!$B$10/Projects!$D$42*0.95),0)+IF(AND(Projects!$G$43="Yes",63&gt;=Projects!$C$43,63&lt;Projects!$C$43+Projects!$D$43),IF(63=Projects!$C$43+Projects!$D$43-1,Projects!$B$43*Assumptions!$B$10/Projects!$D$43*0.95+0.05*Projects!$B$43*Assumptions!$B$10,Projects!$B$43*Assumptions!$B$10/Projects!$D$43*0.95),0)+IF(AND(Projects!$G$44="Yes",63&gt;=Projects!$C$44,63&lt;Projects!$C$44+Projects!$D$44),IF(63=Projects!$C$44+Projects!$D$44-1,Projects!$B$44*Assumptions!$B$10/Projects!$D$44*0.95+0.05*Projects!$B$44*Assumptions!$B$10,Projects!$B$44*Assumptions!$B$10/Projects!$D$44*0.95),0)+IF(AND(Projects!$G$45="Yes",63&gt;=Projects!$C$45,63&lt;Projects!$C$45+Projects!$D$45),IF(63=Projects!$C$45+Projects!$D$45-1,Projects!$B$45*Assumptions!$B$10/Projects!$D$45*0.95+0.05*Projects!$B$45*Assumptions!$B$10,Projects!$B$45*Assumptions!$B$10/Projects!$D$45*0.95),0)+IF(AND(Projects!$G$46="Yes",63&gt;=Projects!$C$46,63&lt;Projects!$C$46+Projects!$D$46),IF(63=Projects!$C$46+Projects!$D$46-1,Projects!$B$46*Assumptions!$B$10/Projects!$D$46*0.95+0.05*Projects!$B$46*Assumptions!$B$10,Projects!$B$46*Assumptions!$B$10/Projects!$D$46*0.95),0)</f>
        <v/>
      </c>
      <c r="BN108">
        <f>IF(AND(Projects!$G$30="Yes",64&gt;=Projects!$C$30,64&lt;Projects!$C$30+Projects!$D$30),IF(64=Projects!$C$30+Projects!$D$30-1,Projects!$B$30*Assumptions!$B$10/Projects!$D$30*0.95+0.05*Projects!$B$30*Assumptions!$B$10,Projects!$B$30*Assumptions!$B$10/Projects!$D$30*0.95),0)+IF(AND(Projects!$G$31="Yes",64&gt;=Projects!$C$31,64&lt;Projects!$C$31+Projects!$D$31),IF(64=Projects!$C$31+Projects!$D$31-1,Projects!$B$31*Assumptions!$B$10/Projects!$D$31*0.95+0.05*Projects!$B$31*Assumptions!$B$10,Projects!$B$31*Assumptions!$B$10/Projects!$D$31*0.95),0)+IF(AND(Projects!$G$32="Yes",64&gt;=Projects!$C$32,64&lt;Projects!$C$32+Projects!$D$32),IF(64=Projects!$C$32+Projects!$D$32-1,Projects!$B$32*Assumptions!$B$10/Projects!$D$32*0.95+0.05*Projects!$B$32*Assumptions!$B$10,Projects!$B$32*Assumptions!$B$10/Projects!$D$32*0.95),0)+IF(AND(Projects!$G$33="Yes",64&gt;=Projects!$C$33,64&lt;Projects!$C$33+Projects!$D$33),IF(64=Projects!$C$33+Projects!$D$33-1,Projects!$B$33*Assumptions!$B$10/Projects!$D$33*0.95+0.05*Projects!$B$33*Assumptions!$B$10,Projects!$B$33*Assumptions!$B$10/Projects!$D$33*0.95),0)+IF(AND(Projects!$G$34="Yes",64&gt;=Projects!$C$34,64&lt;Projects!$C$34+Projects!$D$34),IF(64=Projects!$C$34+Projects!$D$34-1,Projects!$B$34*Assumptions!$B$10/Projects!$D$34*0.95+0.05*Projects!$B$34*Assumptions!$B$10,Projects!$B$34*Assumptions!$B$10/Projects!$D$34*0.95),0)+IF(AND(Projects!$G$35="Yes",64&gt;=Projects!$C$35,64&lt;Projects!$C$35+Projects!$D$35),IF(64=Projects!$C$35+Projects!$D$35-1,Projects!$B$35*Assumptions!$B$10/Projects!$D$35*0.95+0.05*Projects!$B$35*Assumptions!$B$10,Projects!$B$35*Assumptions!$B$10/Projects!$D$35*0.95),0)+IF(AND(Projects!$G$36="Yes",64&gt;=Projects!$C$36,64&lt;Projects!$C$36+Projects!$D$36),IF(64=Projects!$C$36+Projects!$D$36-1,Projects!$B$36*Assumptions!$B$10/Projects!$D$36*0.95+0.05*Projects!$B$36*Assumptions!$B$10,Projects!$B$36*Assumptions!$B$10/Projects!$D$36*0.95),0)+IF(AND(Projects!$G$37="Yes",64&gt;=Projects!$C$37,64&lt;Projects!$C$37+Projects!$D$37),IF(64=Projects!$C$37+Projects!$D$37-1,Projects!$B$37*Assumptions!$B$10/Projects!$D$37*0.95+0.05*Projects!$B$37*Assumptions!$B$10,Projects!$B$37*Assumptions!$B$10/Projects!$D$37*0.95),0)+IF(AND(Projects!$G$38="Yes",64&gt;=Projects!$C$38,64&lt;Projects!$C$38+Projects!$D$38),IF(64=Projects!$C$38+Projects!$D$38-1,Projects!$B$38*Assumptions!$B$10/Projects!$D$38*0.95+0.05*Projects!$B$38*Assumptions!$B$10,Projects!$B$38*Assumptions!$B$10/Projects!$D$38*0.95),0)+IF(AND(Projects!$G$39="Yes",64&gt;=Projects!$C$39,64&lt;Projects!$C$39+Projects!$D$39),IF(64=Projects!$C$39+Projects!$D$39-1,Projects!$B$39*Assumptions!$B$10/Projects!$D$39*0.95+0.05*Projects!$B$39*Assumptions!$B$10,Projects!$B$39*Assumptions!$B$10/Projects!$D$39*0.95),0)+IF(AND(Projects!$G$40="Yes",64&gt;=Projects!$C$40,64&lt;Projects!$C$40+Projects!$D$40),IF(64=Projects!$C$40+Projects!$D$40-1,Projects!$B$40*Assumptions!$B$10/Projects!$D$40*0.95+0.05*Projects!$B$40*Assumptions!$B$10,Projects!$B$40*Assumptions!$B$10/Projects!$D$40*0.95),0)+IF(AND(Projects!$G$41="Yes",64&gt;=Projects!$C$41,64&lt;Projects!$C$41+Projects!$D$41),IF(64=Projects!$C$41+Projects!$D$41-1,Projects!$B$41*Assumptions!$B$10/Projects!$D$41*0.95+0.05*Projects!$B$41*Assumptions!$B$10,Projects!$B$41*Assumptions!$B$10/Projects!$D$41*0.95),0)+IF(AND(Projects!$G$42="Yes",64&gt;=Projects!$C$42,64&lt;Projects!$C$42+Projects!$D$42),IF(64=Projects!$C$42+Projects!$D$42-1,Projects!$B$42*Assumptions!$B$10/Projects!$D$42*0.95+0.05*Projects!$B$42*Assumptions!$B$10,Projects!$B$42*Assumptions!$B$10/Projects!$D$42*0.95),0)+IF(AND(Projects!$G$43="Yes",64&gt;=Projects!$C$43,64&lt;Projects!$C$43+Projects!$D$43),IF(64=Projects!$C$43+Projects!$D$43-1,Projects!$B$43*Assumptions!$B$10/Projects!$D$43*0.95+0.05*Projects!$B$43*Assumptions!$B$10,Projects!$B$43*Assumptions!$B$10/Projects!$D$43*0.95),0)+IF(AND(Projects!$G$44="Yes",64&gt;=Projects!$C$44,64&lt;Projects!$C$44+Projects!$D$44),IF(64=Projects!$C$44+Projects!$D$44-1,Projects!$B$44*Assumptions!$B$10/Projects!$D$44*0.95+0.05*Projects!$B$44*Assumptions!$B$10,Projects!$B$44*Assumptions!$B$10/Projects!$D$44*0.95),0)+IF(AND(Projects!$G$45="Yes",64&gt;=Projects!$C$45,64&lt;Projects!$C$45+Projects!$D$45),IF(64=Projects!$C$45+Projects!$D$45-1,Projects!$B$45*Assumptions!$B$10/Projects!$D$45*0.95+0.05*Projects!$B$45*Assumptions!$B$10,Projects!$B$45*Assumptions!$B$10/Projects!$D$45*0.95),0)+IF(AND(Projects!$G$46="Yes",64&gt;=Projects!$C$46,64&lt;Projects!$C$46+Projects!$D$46),IF(64=Projects!$C$46+Projects!$D$46-1,Projects!$B$46*Assumptions!$B$10/Projects!$D$46*0.95+0.05*Projects!$B$46*Assumptions!$B$10,Projects!$B$46*Assumptions!$B$10/Projects!$D$46*0.95),0)</f>
        <v/>
      </c>
      <c r="BO108">
        <f>IF(AND(Projects!$G$30="Yes",65&gt;=Projects!$C$30,65&lt;Projects!$C$30+Projects!$D$30),IF(65=Projects!$C$30+Projects!$D$30-1,Projects!$B$30*Assumptions!$B$10/Projects!$D$30*0.95+0.05*Projects!$B$30*Assumptions!$B$10,Projects!$B$30*Assumptions!$B$10/Projects!$D$30*0.95),0)+IF(AND(Projects!$G$31="Yes",65&gt;=Projects!$C$31,65&lt;Projects!$C$31+Projects!$D$31),IF(65=Projects!$C$31+Projects!$D$31-1,Projects!$B$31*Assumptions!$B$10/Projects!$D$31*0.95+0.05*Projects!$B$31*Assumptions!$B$10,Projects!$B$31*Assumptions!$B$10/Projects!$D$31*0.95),0)+IF(AND(Projects!$G$32="Yes",65&gt;=Projects!$C$32,65&lt;Projects!$C$32+Projects!$D$32),IF(65=Projects!$C$32+Projects!$D$32-1,Projects!$B$32*Assumptions!$B$10/Projects!$D$32*0.95+0.05*Projects!$B$32*Assumptions!$B$10,Projects!$B$32*Assumptions!$B$10/Projects!$D$32*0.95),0)+IF(AND(Projects!$G$33="Yes",65&gt;=Projects!$C$33,65&lt;Projects!$C$33+Projects!$D$33),IF(65=Projects!$C$33+Projects!$D$33-1,Projects!$B$33*Assumptions!$B$10/Projects!$D$33*0.95+0.05*Projects!$B$33*Assumptions!$B$10,Projects!$B$33*Assumptions!$B$10/Projects!$D$33*0.95),0)+IF(AND(Projects!$G$34="Yes",65&gt;=Projects!$C$34,65&lt;Projects!$C$34+Projects!$D$34),IF(65=Projects!$C$34+Projects!$D$34-1,Projects!$B$34*Assumptions!$B$10/Projects!$D$34*0.95+0.05*Projects!$B$34*Assumptions!$B$10,Projects!$B$34*Assumptions!$B$10/Projects!$D$34*0.95),0)+IF(AND(Projects!$G$35="Yes",65&gt;=Projects!$C$35,65&lt;Projects!$C$35+Projects!$D$35),IF(65=Projects!$C$35+Projects!$D$35-1,Projects!$B$35*Assumptions!$B$10/Projects!$D$35*0.95+0.05*Projects!$B$35*Assumptions!$B$10,Projects!$B$35*Assumptions!$B$10/Projects!$D$35*0.95),0)+IF(AND(Projects!$G$36="Yes",65&gt;=Projects!$C$36,65&lt;Projects!$C$36+Projects!$D$36),IF(65=Projects!$C$36+Projects!$D$36-1,Projects!$B$36*Assumptions!$B$10/Projects!$D$36*0.95+0.05*Projects!$B$36*Assumptions!$B$10,Projects!$B$36*Assumptions!$B$10/Projects!$D$36*0.95),0)+IF(AND(Projects!$G$37="Yes",65&gt;=Projects!$C$37,65&lt;Projects!$C$37+Projects!$D$37),IF(65=Projects!$C$37+Projects!$D$37-1,Projects!$B$37*Assumptions!$B$10/Projects!$D$37*0.95+0.05*Projects!$B$37*Assumptions!$B$10,Projects!$B$37*Assumptions!$B$10/Projects!$D$37*0.95),0)+IF(AND(Projects!$G$38="Yes",65&gt;=Projects!$C$38,65&lt;Projects!$C$38+Projects!$D$38),IF(65=Projects!$C$38+Projects!$D$38-1,Projects!$B$38*Assumptions!$B$10/Projects!$D$38*0.95+0.05*Projects!$B$38*Assumptions!$B$10,Projects!$B$38*Assumptions!$B$10/Projects!$D$38*0.95),0)+IF(AND(Projects!$G$39="Yes",65&gt;=Projects!$C$39,65&lt;Projects!$C$39+Projects!$D$39),IF(65=Projects!$C$39+Projects!$D$39-1,Projects!$B$39*Assumptions!$B$10/Projects!$D$39*0.95+0.05*Projects!$B$39*Assumptions!$B$10,Projects!$B$39*Assumptions!$B$10/Projects!$D$39*0.95),0)+IF(AND(Projects!$G$40="Yes",65&gt;=Projects!$C$40,65&lt;Projects!$C$40+Projects!$D$40),IF(65=Projects!$C$40+Projects!$D$40-1,Projects!$B$40*Assumptions!$B$10/Projects!$D$40*0.95+0.05*Projects!$B$40*Assumptions!$B$10,Projects!$B$40*Assumptions!$B$10/Projects!$D$40*0.95),0)+IF(AND(Projects!$G$41="Yes",65&gt;=Projects!$C$41,65&lt;Projects!$C$41+Projects!$D$41),IF(65=Projects!$C$41+Projects!$D$41-1,Projects!$B$41*Assumptions!$B$10/Projects!$D$41*0.95+0.05*Projects!$B$41*Assumptions!$B$10,Projects!$B$41*Assumptions!$B$10/Projects!$D$41*0.95),0)+IF(AND(Projects!$G$42="Yes",65&gt;=Projects!$C$42,65&lt;Projects!$C$42+Projects!$D$42),IF(65=Projects!$C$42+Projects!$D$42-1,Projects!$B$42*Assumptions!$B$10/Projects!$D$42*0.95+0.05*Projects!$B$42*Assumptions!$B$10,Projects!$B$42*Assumptions!$B$10/Projects!$D$42*0.95),0)+IF(AND(Projects!$G$43="Yes",65&gt;=Projects!$C$43,65&lt;Projects!$C$43+Projects!$D$43),IF(65=Projects!$C$43+Projects!$D$43-1,Projects!$B$43*Assumptions!$B$10/Projects!$D$43*0.95+0.05*Projects!$B$43*Assumptions!$B$10,Projects!$B$43*Assumptions!$B$10/Projects!$D$43*0.95),0)+IF(AND(Projects!$G$44="Yes",65&gt;=Projects!$C$44,65&lt;Projects!$C$44+Projects!$D$44),IF(65=Projects!$C$44+Projects!$D$44-1,Projects!$B$44*Assumptions!$B$10/Projects!$D$44*0.95+0.05*Projects!$B$44*Assumptions!$B$10,Projects!$B$44*Assumptions!$B$10/Projects!$D$44*0.95),0)+IF(AND(Projects!$G$45="Yes",65&gt;=Projects!$C$45,65&lt;Projects!$C$45+Projects!$D$45),IF(65=Projects!$C$45+Projects!$D$45-1,Projects!$B$45*Assumptions!$B$10/Projects!$D$45*0.95+0.05*Projects!$B$45*Assumptions!$B$10,Projects!$B$45*Assumptions!$B$10/Projects!$D$45*0.95),0)+IF(AND(Projects!$G$46="Yes",65&gt;=Projects!$C$46,65&lt;Projects!$C$46+Projects!$D$46),IF(65=Projects!$C$46+Projects!$D$46-1,Projects!$B$46*Assumptions!$B$10/Projects!$D$46*0.95+0.05*Projects!$B$46*Assumptions!$B$10,Projects!$B$46*Assumptions!$B$10/Projects!$D$46*0.95),0)</f>
        <v/>
      </c>
      <c r="BP108">
        <f>IF(AND(Projects!$G$30="Yes",66&gt;=Projects!$C$30,66&lt;Projects!$C$30+Projects!$D$30),IF(66=Projects!$C$30+Projects!$D$30-1,Projects!$B$30*Assumptions!$B$10/Projects!$D$30*0.95+0.05*Projects!$B$30*Assumptions!$B$10,Projects!$B$30*Assumptions!$B$10/Projects!$D$30*0.95),0)+IF(AND(Projects!$G$31="Yes",66&gt;=Projects!$C$31,66&lt;Projects!$C$31+Projects!$D$31),IF(66=Projects!$C$31+Projects!$D$31-1,Projects!$B$31*Assumptions!$B$10/Projects!$D$31*0.95+0.05*Projects!$B$31*Assumptions!$B$10,Projects!$B$31*Assumptions!$B$10/Projects!$D$31*0.95),0)+IF(AND(Projects!$G$32="Yes",66&gt;=Projects!$C$32,66&lt;Projects!$C$32+Projects!$D$32),IF(66=Projects!$C$32+Projects!$D$32-1,Projects!$B$32*Assumptions!$B$10/Projects!$D$32*0.95+0.05*Projects!$B$32*Assumptions!$B$10,Projects!$B$32*Assumptions!$B$10/Projects!$D$32*0.95),0)+IF(AND(Projects!$G$33="Yes",66&gt;=Projects!$C$33,66&lt;Projects!$C$33+Projects!$D$33),IF(66=Projects!$C$33+Projects!$D$33-1,Projects!$B$33*Assumptions!$B$10/Projects!$D$33*0.95+0.05*Projects!$B$33*Assumptions!$B$10,Projects!$B$33*Assumptions!$B$10/Projects!$D$33*0.95),0)+IF(AND(Projects!$G$34="Yes",66&gt;=Projects!$C$34,66&lt;Projects!$C$34+Projects!$D$34),IF(66=Projects!$C$34+Projects!$D$34-1,Projects!$B$34*Assumptions!$B$10/Projects!$D$34*0.95+0.05*Projects!$B$34*Assumptions!$B$10,Projects!$B$34*Assumptions!$B$10/Projects!$D$34*0.95),0)+IF(AND(Projects!$G$35="Yes",66&gt;=Projects!$C$35,66&lt;Projects!$C$35+Projects!$D$35),IF(66=Projects!$C$35+Projects!$D$35-1,Projects!$B$35*Assumptions!$B$10/Projects!$D$35*0.95+0.05*Projects!$B$35*Assumptions!$B$10,Projects!$B$35*Assumptions!$B$10/Projects!$D$35*0.95),0)+IF(AND(Projects!$G$36="Yes",66&gt;=Projects!$C$36,66&lt;Projects!$C$36+Projects!$D$36),IF(66=Projects!$C$36+Projects!$D$36-1,Projects!$B$36*Assumptions!$B$10/Projects!$D$36*0.95+0.05*Projects!$B$36*Assumptions!$B$10,Projects!$B$36*Assumptions!$B$10/Projects!$D$36*0.95),0)+IF(AND(Projects!$G$37="Yes",66&gt;=Projects!$C$37,66&lt;Projects!$C$37+Projects!$D$37),IF(66=Projects!$C$37+Projects!$D$37-1,Projects!$B$37*Assumptions!$B$10/Projects!$D$37*0.95+0.05*Projects!$B$37*Assumptions!$B$10,Projects!$B$37*Assumptions!$B$10/Projects!$D$37*0.95),0)+IF(AND(Projects!$G$38="Yes",66&gt;=Projects!$C$38,66&lt;Projects!$C$38+Projects!$D$38),IF(66=Projects!$C$38+Projects!$D$38-1,Projects!$B$38*Assumptions!$B$10/Projects!$D$38*0.95+0.05*Projects!$B$38*Assumptions!$B$10,Projects!$B$38*Assumptions!$B$10/Projects!$D$38*0.95),0)+IF(AND(Projects!$G$39="Yes",66&gt;=Projects!$C$39,66&lt;Projects!$C$39+Projects!$D$39),IF(66=Projects!$C$39+Projects!$D$39-1,Projects!$B$39*Assumptions!$B$10/Projects!$D$39*0.95+0.05*Projects!$B$39*Assumptions!$B$10,Projects!$B$39*Assumptions!$B$10/Projects!$D$39*0.95),0)+IF(AND(Projects!$G$40="Yes",66&gt;=Projects!$C$40,66&lt;Projects!$C$40+Projects!$D$40),IF(66=Projects!$C$40+Projects!$D$40-1,Projects!$B$40*Assumptions!$B$10/Projects!$D$40*0.95+0.05*Projects!$B$40*Assumptions!$B$10,Projects!$B$40*Assumptions!$B$10/Projects!$D$40*0.95),0)+IF(AND(Projects!$G$41="Yes",66&gt;=Projects!$C$41,66&lt;Projects!$C$41+Projects!$D$41),IF(66=Projects!$C$41+Projects!$D$41-1,Projects!$B$41*Assumptions!$B$10/Projects!$D$41*0.95+0.05*Projects!$B$41*Assumptions!$B$10,Projects!$B$41*Assumptions!$B$10/Projects!$D$41*0.95),0)+IF(AND(Projects!$G$42="Yes",66&gt;=Projects!$C$42,66&lt;Projects!$C$42+Projects!$D$42),IF(66=Projects!$C$42+Projects!$D$42-1,Projects!$B$42*Assumptions!$B$10/Projects!$D$42*0.95+0.05*Projects!$B$42*Assumptions!$B$10,Projects!$B$42*Assumptions!$B$10/Projects!$D$42*0.95),0)+IF(AND(Projects!$G$43="Yes",66&gt;=Projects!$C$43,66&lt;Projects!$C$43+Projects!$D$43),IF(66=Projects!$C$43+Projects!$D$43-1,Projects!$B$43*Assumptions!$B$10/Projects!$D$43*0.95+0.05*Projects!$B$43*Assumptions!$B$10,Projects!$B$43*Assumptions!$B$10/Projects!$D$43*0.95),0)+IF(AND(Projects!$G$44="Yes",66&gt;=Projects!$C$44,66&lt;Projects!$C$44+Projects!$D$44),IF(66=Projects!$C$44+Projects!$D$44-1,Projects!$B$44*Assumptions!$B$10/Projects!$D$44*0.95+0.05*Projects!$B$44*Assumptions!$B$10,Projects!$B$44*Assumptions!$B$10/Projects!$D$44*0.95),0)+IF(AND(Projects!$G$45="Yes",66&gt;=Projects!$C$45,66&lt;Projects!$C$45+Projects!$D$45),IF(66=Projects!$C$45+Projects!$D$45-1,Projects!$B$45*Assumptions!$B$10/Projects!$D$45*0.95+0.05*Projects!$B$45*Assumptions!$B$10,Projects!$B$45*Assumptions!$B$10/Projects!$D$45*0.95),0)+IF(AND(Projects!$G$46="Yes",66&gt;=Projects!$C$46,66&lt;Projects!$C$46+Projects!$D$46),IF(66=Projects!$C$46+Projects!$D$46-1,Projects!$B$46*Assumptions!$B$10/Projects!$D$46*0.95+0.05*Projects!$B$46*Assumptions!$B$10,Projects!$B$46*Assumptions!$B$10/Projects!$D$46*0.95),0)</f>
        <v/>
      </c>
      <c r="BQ108">
        <f>IF(AND(Projects!$G$30="Yes",67&gt;=Projects!$C$30,67&lt;Projects!$C$30+Projects!$D$30),IF(67=Projects!$C$30+Projects!$D$30-1,Projects!$B$30*Assumptions!$B$10/Projects!$D$30*0.95+0.05*Projects!$B$30*Assumptions!$B$10,Projects!$B$30*Assumptions!$B$10/Projects!$D$30*0.95),0)+IF(AND(Projects!$G$31="Yes",67&gt;=Projects!$C$31,67&lt;Projects!$C$31+Projects!$D$31),IF(67=Projects!$C$31+Projects!$D$31-1,Projects!$B$31*Assumptions!$B$10/Projects!$D$31*0.95+0.05*Projects!$B$31*Assumptions!$B$10,Projects!$B$31*Assumptions!$B$10/Projects!$D$31*0.95),0)+IF(AND(Projects!$G$32="Yes",67&gt;=Projects!$C$32,67&lt;Projects!$C$32+Projects!$D$32),IF(67=Projects!$C$32+Projects!$D$32-1,Projects!$B$32*Assumptions!$B$10/Projects!$D$32*0.95+0.05*Projects!$B$32*Assumptions!$B$10,Projects!$B$32*Assumptions!$B$10/Projects!$D$32*0.95),0)+IF(AND(Projects!$G$33="Yes",67&gt;=Projects!$C$33,67&lt;Projects!$C$33+Projects!$D$33),IF(67=Projects!$C$33+Projects!$D$33-1,Projects!$B$33*Assumptions!$B$10/Projects!$D$33*0.95+0.05*Projects!$B$33*Assumptions!$B$10,Projects!$B$33*Assumptions!$B$10/Projects!$D$33*0.95),0)+IF(AND(Projects!$G$34="Yes",67&gt;=Projects!$C$34,67&lt;Projects!$C$34+Projects!$D$34),IF(67=Projects!$C$34+Projects!$D$34-1,Projects!$B$34*Assumptions!$B$10/Projects!$D$34*0.95+0.05*Projects!$B$34*Assumptions!$B$10,Projects!$B$34*Assumptions!$B$10/Projects!$D$34*0.95),0)+IF(AND(Projects!$G$35="Yes",67&gt;=Projects!$C$35,67&lt;Projects!$C$35+Projects!$D$35),IF(67=Projects!$C$35+Projects!$D$35-1,Projects!$B$35*Assumptions!$B$10/Projects!$D$35*0.95+0.05*Projects!$B$35*Assumptions!$B$10,Projects!$B$35*Assumptions!$B$10/Projects!$D$35*0.95),0)+IF(AND(Projects!$G$36="Yes",67&gt;=Projects!$C$36,67&lt;Projects!$C$36+Projects!$D$36),IF(67=Projects!$C$36+Projects!$D$36-1,Projects!$B$36*Assumptions!$B$10/Projects!$D$36*0.95+0.05*Projects!$B$36*Assumptions!$B$10,Projects!$B$36*Assumptions!$B$10/Projects!$D$36*0.95),0)+IF(AND(Projects!$G$37="Yes",67&gt;=Projects!$C$37,67&lt;Projects!$C$37+Projects!$D$37),IF(67=Projects!$C$37+Projects!$D$37-1,Projects!$B$37*Assumptions!$B$10/Projects!$D$37*0.95+0.05*Projects!$B$37*Assumptions!$B$10,Projects!$B$37*Assumptions!$B$10/Projects!$D$37*0.95),0)+IF(AND(Projects!$G$38="Yes",67&gt;=Projects!$C$38,67&lt;Projects!$C$38+Projects!$D$38),IF(67=Projects!$C$38+Projects!$D$38-1,Projects!$B$38*Assumptions!$B$10/Projects!$D$38*0.95+0.05*Projects!$B$38*Assumptions!$B$10,Projects!$B$38*Assumptions!$B$10/Projects!$D$38*0.95),0)+IF(AND(Projects!$G$39="Yes",67&gt;=Projects!$C$39,67&lt;Projects!$C$39+Projects!$D$39),IF(67=Projects!$C$39+Projects!$D$39-1,Projects!$B$39*Assumptions!$B$10/Projects!$D$39*0.95+0.05*Projects!$B$39*Assumptions!$B$10,Projects!$B$39*Assumptions!$B$10/Projects!$D$39*0.95),0)+IF(AND(Projects!$G$40="Yes",67&gt;=Projects!$C$40,67&lt;Projects!$C$40+Projects!$D$40),IF(67=Projects!$C$40+Projects!$D$40-1,Projects!$B$40*Assumptions!$B$10/Projects!$D$40*0.95+0.05*Projects!$B$40*Assumptions!$B$10,Projects!$B$40*Assumptions!$B$10/Projects!$D$40*0.95),0)+IF(AND(Projects!$G$41="Yes",67&gt;=Projects!$C$41,67&lt;Projects!$C$41+Projects!$D$41),IF(67=Projects!$C$41+Projects!$D$41-1,Projects!$B$41*Assumptions!$B$10/Projects!$D$41*0.95+0.05*Projects!$B$41*Assumptions!$B$10,Projects!$B$41*Assumptions!$B$10/Projects!$D$41*0.95),0)+IF(AND(Projects!$G$42="Yes",67&gt;=Projects!$C$42,67&lt;Projects!$C$42+Projects!$D$42),IF(67=Projects!$C$42+Projects!$D$42-1,Projects!$B$42*Assumptions!$B$10/Projects!$D$42*0.95+0.05*Projects!$B$42*Assumptions!$B$10,Projects!$B$42*Assumptions!$B$10/Projects!$D$42*0.95),0)+IF(AND(Projects!$G$43="Yes",67&gt;=Projects!$C$43,67&lt;Projects!$C$43+Projects!$D$43),IF(67=Projects!$C$43+Projects!$D$43-1,Projects!$B$43*Assumptions!$B$10/Projects!$D$43*0.95+0.05*Projects!$B$43*Assumptions!$B$10,Projects!$B$43*Assumptions!$B$10/Projects!$D$43*0.95),0)+IF(AND(Projects!$G$44="Yes",67&gt;=Projects!$C$44,67&lt;Projects!$C$44+Projects!$D$44),IF(67=Projects!$C$44+Projects!$D$44-1,Projects!$B$44*Assumptions!$B$10/Projects!$D$44*0.95+0.05*Projects!$B$44*Assumptions!$B$10,Projects!$B$44*Assumptions!$B$10/Projects!$D$44*0.95),0)+IF(AND(Projects!$G$45="Yes",67&gt;=Projects!$C$45,67&lt;Projects!$C$45+Projects!$D$45),IF(67=Projects!$C$45+Projects!$D$45-1,Projects!$B$45*Assumptions!$B$10/Projects!$D$45*0.95+0.05*Projects!$B$45*Assumptions!$B$10,Projects!$B$45*Assumptions!$B$10/Projects!$D$45*0.95),0)+IF(AND(Projects!$G$46="Yes",67&gt;=Projects!$C$46,67&lt;Projects!$C$46+Projects!$D$46),IF(67=Projects!$C$46+Projects!$D$46-1,Projects!$B$46*Assumptions!$B$10/Projects!$D$46*0.95+0.05*Projects!$B$46*Assumptions!$B$10,Projects!$B$46*Assumptions!$B$10/Projects!$D$46*0.95),0)</f>
        <v/>
      </c>
      <c r="BR108">
        <f>IF(AND(Projects!$G$30="Yes",68&gt;=Projects!$C$30,68&lt;Projects!$C$30+Projects!$D$30),IF(68=Projects!$C$30+Projects!$D$30-1,Projects!$B$30*Assumptions!$B$10/Projects!$D$30*0.95+0.05*Projects!$B$30*Assumptions!$B$10,Projects!$B$30*Assumptions!$B$10/Projects!$D$30*0.95),0)+IF(AND(Projects!$G$31="Yes",68&gt;=Projects!$C$31,68&lt;Projects!$C$31+Projects!$D$31),IF(68=Projects!$C$31+Projects!$D$31-1,Projects!$B$31*Assumptions!$B$10/Projects!$D$31*0.95+0.05*Projects!$B$31*Assumptions!$B$10,Projects!$B$31*Assumptions!$B$10/Projects!$D$31*0.95),0)+IF(AND(Projects!$G$32="Yes",68&gt;=Projects!$C$32,68&lt;Projects!$C$32+Projects!$D$32),IF(68=Projects!$C$32+Projects!$D$32-1,Projects!$B$32*Assumptions!$B$10/Projects!$D$32*0.95+0.05*Projects!$B$32*Assumptions!$B$10,Projects!$B$32*Assumptions!$B$10/Projects!$D$32*0.95),0)+IF(AND(Projects!$G$33="Yes",68&gt;=Projects!$C$33,68&lt;Projects!$C$33+Projects!$D$33),IF(68=Projects!$C$33+Projects!$D$33-1,Projects!$B$33*Assumptions!$B$10/Projects!$D$33*0.95+0.05*Projects!$B$33*Assumptions!$B$10,Projects!$B$33*Assumptions!$B$10/Projects!$D$33*0.95),0)+IF(AND(Projects!$G$34="Yes",68&gt;=Projects!$C$34,68&lt;Projects!$C$34+Projects!$D$34),IF(68=Projects!$C$34+Projects!$D$34-1,Projects!$B$34*Assumptions!$B$10/Projects!$D$34*0.95+0.05*Projects!$B$34*Assumptions!$B$10,Projects!$B$34*Assumptions!$B$10/Projects!$D$34*0.95),0)+IF(AND(Projects!$G$35="Yes",68&gt;=Projects!$C$35,68&lt;Projects!$C$35+Projects!$D$35),IF(68=Projects!$C$35+Projects!$D$35-1,Projects!$B$35*Assumptions!$B$10/Projects!$D$35*0.95+0.05*Projects!$B$35*Assumptions!$B$10,Projects!$B$35*Assumptions!$B$10/Projects!$D$35*0.95),0)+IF(AND(Projects!$G$36="Yes",68&gt;=Projects!$C$36,68&lt;Projects!$C$36+Projects!$D$36),IF(68=Projects!$C$36+Projects!$D$36-1,Projects!$B$36*Assumptions!$B$10/Projects!$D$36*0.95+0.05*Projects!$B$36*Assumptions!$B$10,Projects!$B$36*Assumptions!$B$10/Projects!$D$36*0.95),0)+IF(AND(Projects!$G$37="Yes",68&gt;=Projects!$C$37,68&lt;Projects!$C$37+Projects!$D$37),IF(68=Projects!$C$37+Projects!$D$37-1,Projects!$B$37*Assumptions!$B$10/Projects!$D$37*0.95+0.05*Projects!$B$37*Assumptions!$B$10,Projects!$B$37*Assumptions!$B$10/Projects!$D$37*0.95),0)+IF(AND(Projects!$G$38="Yes",68&gt;=Projects!$C$38,68&lt;Projects!$C$38+Projects!$D$38),IF(68=Projects!$C$38+Projects!$D$38-1,Projects!$B$38*Assumptions!$B$10/Projects!$D$38*0.95+0.05*Projects!$B$38*Assumptions!$B$10,Projects!$B$38*Assumptions!$B$10/Projects!$D$38*0.95),0)+IF(AND(Projects!$G$39="Yes",68&gt;=Projects!$C$39,68&lt;Projects!$C$39+Projects!$D$39),IF(68=Projects!$C$39+Projects!$D$39-1,Projects!$B$39*Assumptions!$B$10/Projects!$D$39*0.95+0.05*Projects!$B$39*Assumptions!$B$10,Projects!$B$39*Assumptions!$B$10/Projects!$D$39*0.95),0)+IF(AND(Projects!$G$40="Yes",68&gt;=Projects!$C$40,68&lt;Projects!$C$40+Projects!$D$40),IF(68=Projects!$C$40+Projects!$D$40-1,Projects!$B$40*Assumptions!$B$10/Projects!$D$40*0.95+0.05*Projects!$B$40*Assumptions!$B$10,Projects!$B$40*Assumptions!$B$10/Projects!$D$40*0.95),0)+IF(AND(Projects!$G$41="Yes",68&gt;=Projects!$C$41,68&lt;Projects!$C$41+Projects!$D$41),IF(68=Projects!$C$41+Projects!$D$41-1,Projects!$B$41*Assumptions!$B$10/Projects!$D$41*0.95+0.05*Projects!$B$41*Assumptions!$B$10,Projects!$B$41*Assumptions!$B$10/Projects!$D$41*0.95),0)+IF(AND(Projects!$G$42="Yes",68&gt;=Projects!$C$42,68&lt;Projects!$C$42+Projects!$D$42),IF(68=Projects!$C$42+Projects!$D$42-1,Projects!$B$42*Assumptions!$B$10/Projects!$D$42*0.95+0.05*Projects!$B$42*Assumptions!$B$10,Projects!$B$42*Assumptions!$B$10/Projects!$D$42*0.95),0)+IF(AND(Projects!$G$43="Yes",68&gt;=Projects!$C$43,68&lt;Projects!$C$43+Projects!$D$43),IF(68=Projects!$C$43+Projects!$D$43-1,Projects!$B$43*Assumptions!$B$10/Projects!$D$43*0.95+0.05*Projects!$B$43*Assumptions!$B$10,Projects!$B$43*Assumptions!$B$10/Projects!$D$43*0.95),0)+IF(AND(Projects!$G$44="Yes",68&gt;=Projects!$C$44,68&lt;Projects!$C$44+Projects!$D$44),IF(68=Projects!$C$44+Projects!$D$44-1,Projects!$B$44*Assumptions!$B$10/Projects!$D$44*0.95+0.05*Projects!$B$44*Assumptions!$B$10,Projects!$B$44*Assumptions!$B$10/Projects!$D$44*0.95),0)+IF(AND(Projects!$G$45="Yes",68&gt;=Projects!$C$45,68&lt;Projects!$C$45+Projects!$D$45),IF(68=Projects!$C$45+Projects!$D$45-1,Projects!$B$45*Assumptions!$B$10/Projects!$D$45*0.95+0.05*Projects!$B$45*Assumptions!$B$10,Projects!$B$45*Assumptions!$B$10/Projects!$D$45*0.95),0)+IF(AND(Projects!$G$46="Yes",68&gt;=Projects!$C$46,68&lt;Projects!$C$46+Projects!$D$46),IF(68=Projects!$C$46+Projects!$D$46-1,Projects!$B$46*Assumptions!$B$10/Projects!$D$46*0.95+0.05*Projects!$B$46*Assumptions!$B$10,Projects!$B$46*Assumptions!$B$10/Projects!$D$46*0.95),0)</f>
        <v/>
      </c>
      <c r="BS108">
        <f>IF(AND(Projects!$G$30="Yes",69&gt;=Projects!$C$30,69&lt;Projects!$C$30+Projects!$D$30),IF(69=Projects!$C$30+Projects!$D$30-1,Projects!$B$30*Assumptions!$B$10/Projects!$D$30*0.95+0.05*Projects!$B$30*Assumptions!$B$10,Projects!$B$30*Assumptions!$B$10/Projects!$D$30*0.95),0)+IF(AND(Projects!$G$31="Yes",69&gt;=Projects!$C$31,69&lt;Projects!$C$31+Projects!$D$31),IF(69=Projects!$C$31+Projects!$D$31-1,Projects!$B$31*Assumptions!$B$10/Projects!$D$31*0.95+0.05*Projects!$B$31*Assumptions!$B$10,Projects!$B$31*Assumptions!$B$10/Projects!$D$31*0.95),0)+IF(AND(Projects!$G$32="Yes",69&gt;=Projects!$C$32,69&lt;Projects!$C$32+Projects!$D$32),IF(69=Projects!$C$32+Projects!$D$32-1,Projects!$B$32*Assumptions!$B$10/Projects!$D$32*0.95+0.05*Projects!$B$32*Assumptions!$B$10,Projects!$B$32*Assumptions!$B$10/Projects!$D$32*0.95),0)+IF(AND(Projects!$G$33="Yes",69&gt;=Projects!$C$33,69&lt;Projects!$C$33+Projects!$D$33),IF(69=Projects!$C$33+Projects!$D$33-1,Projects!$B$33*Assumptions!$B$10/Projects!$D$33*0.95+0.05*Projects!$B$33*Assumptions!$B$10,Projects!$B$33*Assumptions!$B$10/Projects!$D$33*0.95),0)+IF(AND(Projects!$G$34="Yes",69&gt;=Projects!$C$34,69&lt;Projects!$C$34+Projects!$D$34),IF(69=Projects!$C$34+Projects!$D$34-1,Projects!$B$34*Assumptions!$B$10/Projects!$D$34*0.95+0.05*Projects!$B$34*Assumptions!$B$10,Projects!$B$34*Assumptions!$B$10/Projects!$D$34*0.95),0)+IF(AND(Projects!$G$35="Yes",69&gt;=Projects!$C$35,69&lt;Projects!$C$35+Projects!$D$35),IF(69=Projects!$C$35+Projects!$D$35-1,Projects!$B$35*Assumptions!$B$10/Projects!$D$35*0.95+0.05*Projects!$B$35*Assumptions!$B$10,Projects!$B$35*Assumptions!$B$10/Projects!$D$35*0.95),0)+IF(AND(Projects!$G$36="Yes",69&gt;=Projects!$C$36,69&lt;Projects!$C$36+Projects!$D$36),IF(69=Projects!$C$36+Projects!$D$36-1,Projects!$B$36*Assumptions!$B$10/Projects!$D$36*0.95+0.05*Projects!$B$36*Assumptions!$B$10,Projects!$B$36*Assumptions!$B$10/Projects!$D$36*0.95),0)+IF(AND(Projects!$G$37="Yes",69&gt;=Projects!$C$37,69&lt;Projects!$C$37+Projects!$D$37),IF(69=Projects!$C$37+Projects!$D$37-1,Projects!$B$37*Assumptions!$B$10/Projects!$D$37*0.95+0.05*Projects!$B$37*Assumptions!$B$10,Projects!$B$37*Assumptions!$B$10/Projects!$D$37*0.95),0)+IF(AND(Projects!$G$38="Yes",69&gt;=Projects!$C$38,69&lt;Projects!$C$38+Projects!$D$38),IF(69=Projects!$C$38+Projects!$D$38-1,Projects!$B$38*Assumptions!$B$10/Projects!$D$38*0.95+0.05*Projects!$B$38*Assumptions!$B$10,Projects!$B$38*Assumptions!$B$10/Projects!$D$38*0.95),0)+IF(AND(Projects!$G$39="Yes",69&gt;=Projects!$C$39,69&lt;Projects!$C$39+Projects!$D$39),IF(69=Projects!$C$39+Projects!$D$39-1,Projects!$B$39*Assumptions!$B$10/Projects!$D$39*0.95+0.05*Projects!$B$39*Assumptions!$B$10,Projects!$B$39*Assumptions!$B$10/Projects!$D$39*0.95),0)+IF(AND(Projects!$G$40="Yes",69&gt;=Projects!$C$40,69&lt;Projects!$C$40+Projects!$D$40),IF(69=Projects!$C$40+Projects!$D$40-1,Projects!$B$40*Assumptions!$B$10/Projects!$D$40*0.95+0.05*Projects!$B$40*Assumptions!$B$10,Projects!$B$40*Assumptions!$B$10/Projects!$D$40*0.95),0)+IF(AND(Projects!$G$41="Yes",69&gt;=Projects!$C$41,69&lt;Projects!$C$41+Projects!$D$41),IF(69=Projects!$C$41+Projects!$D$41-1,Projects!$B$41*Assumptions!$B$10/Projects!$D$41*0.95+0.05*Projects!$B$41*Assumptions!$B$10,Projects!$B$41*Assumptions!$B$10/Projects!$D$41*0.95),0)+IF(AND(Projects!$G$42="Yes",69&gt;=Projects!$C$42,69&lt;Projects!$C$42+Projects!$D$42),IF(69=Projects!$C$42+Projects!$D$42-1,Projects!$B$42*Assumptions!$B$10/Projects!$D$42*0.95+0.05*Projects!$B$42*Assumptions!$B$10,Projects!$B$42*Assumptions!$B$10/Projects!$D$42*0.95),0)+IF(AND(Projects!$G$43="Yes",69&gt;=Projects!$C$43,69&lt;Projects!$C$43+Projects!$D$43),IF(69=Projects!$C$43+Projects!$D$43-1,Projects!$B$43*Assumptions!$B$10/Projects!$D$43*0.95+0.05*Projects!$B$43*Assumptions!$B$10,Projects!$B$43*Assumptions!$B$10/Projects!$D$43*0.95),0)+IF(AND(Projects!$G$44="Yes",69&gt;=Projects!$C$44,69&lt;Projects!$C$44+Projects!$D$44),IF(69=Projects!$C$44+Projects!$D$44-1,Projects!$B$44*Assumptions!$B$10/Projects!$D$44*0.95+0.05*Projects!$B$44*Assumptions!$B$10,Projects!$B$44*Assumptions!$B$10/Projects!$D$44*0.95),0)+IF(AND(Projects!$G$45="Yes",69&gt;=Projects!$C$45,69&lt;Projects!$C$45+Projects!$D$45),IF(69=Projects!$C$45+Projects!$D$45-1,Projects!$B$45*Assumptions!$B$10/Projects!$D$45*0.95+0.05*Projects!$B$45*Assumptions!$B$10,Projects!$B$45*Assumptions!$B$10/Projects!$D$45*0.95),0)+IF(AND(Projects!$G$46="Yes",69&gt;=Projects!$C$46,69&lt;Projects!$C$46+Projects!$D$46),IF(69=Projects!$C$46+Projects!$D$46-1,Projects!$B$46*Assumptions!$B$10/Projects!$D$46*0.95+0.05*Projects!$B$46*Assumptions!$B$10,Projects!$B$46*Assumptions!$B$10/Projects!$D$46*0.95),0)</f>
        <v/>
      </c>
      <c r="BT108">
        <f>IF(AND(Projects!$G$30="Yes",70&gt;=Projects!$C$30,70&lt;Projects!$C$30+Projects!$D$30),IF(70=Projects!$C$30+Projects!$D$30-1,Projects!$B$30*Assumptions!$B$10/Projects!$D$30*0.95+0.05*Projects!$B$30*Assumptions!$B$10,Projects!$B$30*Assumptions!$B$10/Projects!$D$30*0.95),0)+IF(AND(Projects!$G$31="Yes",70&gt;=Projects!$C$31,70&lt;Projects!$C$31+Projects!$D$31),IF(70=Projects!$C$31+Projects!$D$31-1,Projects!$B$31*Assumptions!$B$10/Projects!$D$31*0.95+0.05*Projects!$B$31*Assumptions!$B$10,Projects!$B$31*Assumptions!$B$10/Projects!$D$31*0.95),0)+IF(AND(Projects!$G$32="Yes",70&gt;=Projects!$C$32,70&lt;Projects!$C$32+Projects!$D$32),IF(70=Projects!$C$32+Projects!$D$32-1,Projects!$B$32*Assumptions!$B$10/Projects!$D$32*0.95+0.05*Projects!$B$32*Assumptions!$B$10,Projects!$B$32*Assumptions!$B$10/Projects!$D$32*0.95),0)+IF(AND(Projects!$G$33="Yes",70&gt;=Projects!$C$33,70&lt;Projects!$C$33+Projects!$D$33),IF(70=Projects!$C$33+Projects!$D$33-1,Projects!$B$33*Assumptions!$B$10/Projects!$D$33*0.95+0.05*Projects!$B$33*Assumptions!$B$10,Projects!$B$33*Assumptions!$B$10/Projects!$D$33*0.95),0)+IF(AND(Projects!$G$34="Yes",70&gt;=Projects!$C$34,70&lt;Projects!$C$34+Projects!$D$34),IF(70=Projects!$C$34+Projects!$D$34-1,Projects!$B$34*Assumptions!$B$10/Projects!$D$34*0.95+0.05*Projects!$B$34*Assumptions!$B$10,Projects!$B$34*Assumptions!$B$10/Projects!$D$34*0.95),0)+IF(AND(Projects!$G$35="Yes",70&gt;=Projects!$C$35,70&lt;Projects!$C$35+Projects!$D$35),IF(70=Projects!$C$35+Projects!$D$35-1,Projects!$B$35*Assumptions!$B$10/Projects!$D$35*0.95+0.05*Projects!$B$35*Assumptions!$B$10,Projects!$B$35*Assumptions!$B$10/Projects!$D$35*0.95),0)+IF(AND(Projects!$G$36="Yes",70&gt;=Projects!$C$36,70&lt;Projects!$C$36+Projects!$D$36),IF(70=Projects!$C$36+Projects!$D$36-1,Projects!$B$36*Assumptions!$B$10/Projects!$D$36*0.95+0.05*Projects!$B$36*Assumptions!$B$10,Projects!$B$36*Assumptions!$B$10/Projects!$D$36*0.95),0)+IF(AND(Projects!$G$37="Yes",70&gt;=Projects!$C$37,70&lt;Projects!$C$37+Projects!$D$37),IF(70=Projects!$C$37+Projects!$D$37-1,Projects!$B$37*Assumptions!$B$10/Projects!$D$37*0.95+0.05*Projects!$B$37*Assumptions!$B$10,Projects!$B$37*Assumptions!$B$10/Projects!$D$37*0.95),0)+IF(AND(Projects!$G$38="Yes",70&gt;=Projects!$C$38,70&lt;Projects!$C$38+Projects!$D$38),IF(70=Projects!$C$38+Projects!$D$38-1,Projects!$B$38*Assumptions!$B$10/Projects!$D$38*0.95+0.05*Projects!$B$38*Assumptions!$B$10,Projects!$B$38*Assumptions!$B$10/Projects!$D$38*0.95),0)+IF(AND(Projects!$G$39="Yes",70&gt;=Projects!$C$39,70&lt;Projects!$C$39+Projects!$D$39),IF(70=Projects!$C$39+Projects!$D$39-1,Projects!$B$39*Assumptions!$B$10/Projects!$D$39*0.95+0.05*Projects!$B$39*Assumptions!$B$10,Projects!$B$39*Assumptions!$B$10/Projects!$D$39*0.95),0)+IF(AND(Projects!$G$40="Yes",70&gt;=Projects!$C$40,70&lt;Projects!$C$40+Projects!$D$40),IF(70=Projects!$C$40+Projects!$D$40-1,Projects!$B$40*Assumptions!$B$10/Projects!$D$40*0.95+0.05*Projects!$B$40*Assumptions!$B$10,Projects!$B$40*Assumptions!$B$10/Projects!$D$40*0.95),0)+IF(AND(Projects!$G$41="Yes",70&gt;=Projects!$C$41,70&lt;Projects!$C$41+Projects!$D$41),IF(70=Projects!$C$41+Projects!$D$41-1,Projects!$B$41*Assumptions!$B$10/Projects!$D$41*0.95+0.05*Projects!$B$41*Assumptions!$B$10,Projects!$B$41*Assumptions!$B$10/Projects!$D$41*0.95),0)+IF(AND(Projects!$G$42="Yes",70&gt;=Projects!$C$42,70&lt;Projects!$C$42+Projects!$D$42),IF(70=Projects!$C$42+Projects!$D$42-1,Projects!$B$42*Assumptions!$B$10/Projects!$D$42*0.95+0.05*Projects!$B$42*Assumptions!$B$10,Projects!$B$42*Assumptions!$B$10/Projects!$D$42*0.95),0)+IF(AND(Projects!$G$43="Yes",70&gt;=Projects!$C$43,70&lt;Projects!$C$43+Projects!$D$43),IF(70=Projects!$C$43+Projects!$D$43-1,Projects!$B$43*Assumptions!$B$10/Projects!$D$43*0.95+0.05*Projects!$B$43*Assumptions!$B$10,Projects!$B$43*Assumptions!$B$10/Projects!$D$43*0.95),0)+IF(AND(Projects!$G$44="Yes",70&gt;=Projects!$C$44,70&lt;Projects!$C$44+Projects!$D$44),IF(70=Projects!$C$44+Projects!$D$44-1,Projects!$B$44*Assumptions!$B$10/Projects!$D$44*0.95+0.05*Projects!$B$44*Assumptions!$B$10,Projects!$B$44*Assumptions!$B$10/Projects!$D$44*0.95),0)+IF(AND(Projects!$G$45="Yes",70&gt;=Projects!$C$45,70&lt;Projects!$C$45+Projects!$D$45),IF(70=Projects!$C$45+Projects!$D$45-1,Projects!$B$45*Assumptions!$B$10/Projects!$D$45*0.95+0.05*Projects!$B$45*Assumptions!$B$10,Projects!$B$45*Assumptions!$B$10/Projects!$D$45*0.95),0)+IF(AND(Projects!$G$46="Yes",70&gt;=Projects!$C$46,70&lt;Projects!$C$46+Projects!$D$46),IF(70=Projects!$C$46+Projects!$D$46-1,Projects!$B$46*Assumptions!$B$10/Projects!$D$46*0.95+0.05*Projects!$B$46*Assumptions!$B$10,Projects!$B$46*Assumptions!$B$10/Projects!$D$46*0.95),0)</f>
        <v/>
      </c>
      <c r="BU108">
        <f>IF(AND(Projects!$G$30="Yes",71&gt;=Projects!$C$30,71&lt;Projects!$C$30+Projects!$D$30),IF(71=Projects!$C$30+Projects!$D$30-1,Projects!$B$30*Assumptions!$B$10/Projects!$D$30*0.95+0.05*Projects!$B$30*Assumptions!$B$10,Projects!$B$30*Assumptions!$B$10/Projects!$D$30*0.95),0)+IF(AND(Projects!$G$31="Yes",71&gt;=Projects!$C$31,71&lt;Projects!$C$31+Projects!$D$31),IF(71=Projects!$C$31+Projects!$D$31-1,Projects!$B$31*Assumptions!$B$10/Projects!$D$31*0.95+0.05*Projects!$B$31*Assumptions!$B$10,Projects!$B$31*Assumptions!$B$10/Projects!$D$31*0.95),0)+IF(AND(Projects!$G$32="Yes",71&gt;=Projects!$C$32,71&lt;Projects!$C$32+Projects!$D$32),IF(71=Projects!$C$32+Projects!$D$32-1,Projects!$B$32*Assumptions!$B$10/Projects!$D$32*0.95+0.05*Projects!$B$32*Assumptions!$B$10,Projects!$B$32*Assumptions!$B$10/Projects!$D$32*0.95),0)+IF(AND(Projects!$G$33="Yes",71&gt;=Projects!$C$33,71&lt;Projects!$C$33+Projects!$D$33),IF(71=Projects!$C$33+Projects!$D$33-1,Projects!$B$33*Assumptions!$B$10/Projects!$D$33*0.95+0.05*Projects!$B$33*Assumptions!$B$10,Projects!$B$33*Assumptions!$B$10/Projects!$D$33*0.95),0)+IF(AND(Projects!$G$34="Yes",71&gt;=Projects!$C$34,71&lt;Projects!$C$34+Projects!$D$34),IF(71=Projects!$C$34+Projects!$D$34-1,Projects!$B$34*Assumptions!$B$10/Projects!$D$34*0.95+0.05*Projects!$B$34*Assumptions!$B$10,Projects!$B$34*Assumptions!$B$10/Projects!$D$34*0.95),0)+IF(AND(Projects!$G$35="Yes",71&gt;=Projects!$C$35,71&lt;Projects!$C$35+Projects!$D$35),IF(71=Projects!$C$35+Projects!$D$35-1,Projects!$B$35*Assumptions!$B$10/Projects!$D$35*0.95+0.05*Projects!$B$35*Assumptions!$B$10,Projects!$B$35*Assumptions!$B$10/Projects!$D$35*0.95),0)+IF(AND(Projects!$G$36="Yes",71&gt;=Projects!$C$36,71&lt;Projects!$C$36+Projects!$D$36),IF(71=Projects!$C$36+Projects!$D$36-1,Projects!$B$36*Assumptions!$B$10/Projects!$D$36*0.95+0.05*Projects!$B$36*Assumptions!$B$10,Projects!$B$36*Assumptions!$B$10/Projects!$D$36*0.95),0)+IF(AND(Projects!$G$37="Yes",71&gt;=Projects!$C$37,71&lt;Projects!$C$37+Projects!$D$37),IF(71=Projects!$C$37+Projects!$D$37-1,Projects!$B$37*Assumptions!$B$10/Projects!$D$37*0.95+0.05*Projects!$B$37*Assumptions!$B$10,Projects!$B$37*Assumptions!$B$10/Projects!$D$37*0.95),0)+IF(AND(Projects!$G$38="Yes",71&gt;=Projects!$C$38,71&lt;Projects!$C$38+Projects!$D$38),IF(71=Projects!$C$38+Projects!$D$38-1,Projects!$B$38*Assumptions!$B$10/Projects!$D$38*0.95+0.05*Projects!$B$38*Assumptions!$B$10,Projects!$B$38*Assumptions!$B$10/Projects!$D$38*0.95),0)+IF(AND(Projects!$G$39="Yes",71&gt;=Projects!$C$39,71&lt;Projects!$C$39+Projects!$D$39),IF(71=Projects!$C$39+Projects!$D$39-1,Projects!$B$39*Assumptions!$B$10/Projects!$D$39*0.95+0.05*Projects!$B$39*Assumptions!$B$10,Projects!$B$39*Assumptions!$B$10/Projects!$D$39*0.95),0)+IF(AND(Projects!$G$40="Yes",71&gt;=Projects!$C$40,71&lt;Projects!$C$40+Projects!$D$40),IF(71=Projects!$C$40+Projects!$D$40-1,Projects!$B$40*Assumptions!$B$10/Projects!$D$40*0.95+0.05*Projects!$B$40*Assumptions!$B$10,Projects!$B$40*Assumptions!$B$10/Projects!$D$40*0.95),0)+IF(AND(Projects!$G$41="Yes",71&gt;=Projects!$C$41,71&lt;Projects!$C$41+Projects!$D$41),IF(71=Projects!$C$41+Projects!$D$41-1,Projects!$B$41*Assumptions!$B$10/Projects!$D$41*0.95+0.05*Projects!$B$41*Assumptions!$B$10,Projects!$B$41*Assumptions!$B$10/Projects!$D$41*0.95),0)+IF(AND(Projects!$G$42="Yes",71&gt;=Projects!$C$42,71&lt;Projects!$C$42+Projects!$D$42),IF(71=Projects!$C$42+Projects!$D$42-1,Projects!$B$42*Assumptions!$B$10/Projects!$D$42*0.95+0.05*Projects!$B$42*Assumptions!$B$10,Projects!$B$42*Assumptions!$B$10/Projects!$D$42*0.95),0)+IF(AND(Projects!$G$43="Yes",71&gt;=Projects!$C$43,71&lt;Projects!$C$43+Projects!$D$43),IF(71=Projects!$C$43+Projects!$D$43-1,Projects!$B$43*Assumptions!$B$10/Projects!$D$43*0.95+0.05*Projects!$B$43*Assumptions!$B$10,Projects!$B$43*Assumptions!$B$10/Projects!$D$43*0.95),0)+IF(AND(Projects!$G$44="Yes",71&gt;=Projects!$C$44,71&lt;Projects!$C$44+Projects!$D$44),IF(71=Projects!$C$44+Projects!$D$44-1,Projects!$B$44*Assumptions!$B$10/Projects!$D$44*0.95+0.05*Projects!$B$44*Assumptions!$B$10,Projects!$B$44*Assumptions!$B$10/Projects!$D$44*0.95),0)+IF(AND(Projects!$G$45="Yes",71&gt;=Projects!$C$45,71&lt;Projects!$C$45+Projects!$D$45),IF(71=Projects!$C$45+Projects!$D$45-1,Projects!$B$45*Assumptions!$B$10/Projects!$D$45*0.95+0.05*Projects!$B$45*Assumptions!$B$10,Projects!$B$45*Assumptions!$B$10/Projects!$D$45*0.95),0)+IF(AND(Projects!$G$46="Yes",71&gt;=Projects!$C$46,71&lt;Projects!$C$46+Projects!$D$46),IF(71=Projects!$C$46+Projects!$D$46-1,Projects!$B$46*Assumptions!$B$10/Projects!$D$46*0.95+0.05*Projects!$B$46*Assumptions!$B$10,Projects!$B$46*Assumptions!$B$10/Projects!$D$46*0.95),0)</f>
        <v/>
      </c>
      <c r="BV108">
        <f>IF(AND(Projects!$G$30="Yes",72&gt;=Projects!$C$30,72&lt;Projects!$C$30+Projects!$D$30),IF(72=Projects!$C$30+Projects!$D$30-1,Projects!$B$30*Assumptions!$B$10/Projects!$D$30*0.95+0.05*Projects!$B$30*Assumptions!$B$10,Projects!$B$30*Assumptions!$B$10/Projects!$D$30*0.95),0)+IF(AND(Projects!$G$31="Yes",72&gt;=Projects!$C$31,72&lt;Projects!$C$31+Projects!$D$31),IF(72=Projects!$C$31+Projects!$D$31-1,Projects!$B$31*Assumptions!$B$10/Projects!$D$31*0.95+0.05*Projects!$B$31*Assumptions!$B$10,Projects!$B$31*Assumptions!$B$10/Projects!$D$31*0.95),0)+IF(AND(Projects!$G$32="Yes",72&gt;=Projects!$C$32,72&lt;Projects!$C$32+Projects!$D$32),IF(72=Projects!$C$32+Projects!$D$32-1,Projects!$B$32*Assumptions!$B$10/Projects!$D$32*0.95+0.05*Projects!$B$32*Assumptions!$B$10,Projects!$B$32*Assumptions!$B$10/Projects!$D$32*0.95),0)+IF(AND(Projects!$G$33="Yes",72&gt;=Projects!$C$33,72&lt;Projects!$C$33+Projects!$D$33),IF(72=Projects!$C$33+Projects!$D$33-1,Projects!$B$33*Assumptions!$B$10/Projects!$D$33*0.95+0.05*Projects!$B$33*Assumptions!$B$10,Projects!$B$33*Assumptions!$B$10/Projects!$D$33*0.95),0)+IF(AND(Projects!$G$34="Yes",72&gt;=Projects!$C$34,72&lt;Projects!$C$34+Projects!$D$34),IF(72=Projects!$C$34+Projects!$D$34-1,Projects!$B$34*Assumptions!$B$10/Projects!$D$34*0.95+0.05*Projects!$B$34*Assumptions!$B$10,Projects!$B$34*Assumptions!$B$10/Projects!$D$34*0.95),0)+IF(AND(Projects!$G$35="Yes",72&gt;=Projects!$C$35,72&lt;Projects!$C$35+Projects!$D$35),IF(72=Projects!$C$35+Projects!$D$35-1,Projects!$B$35*Assumptions!$B$10/Projects!$D$35*0.95+0.05*Projects!$B$35*Assumptions!$B$10,Projects!$B$35*Assumptions!$B$10/Projects!$D$35*0.95),0)+IF(AND(Projects!$G$36="Yes",72&gt;=Projects!$C$36,72&lt;Projects!$C$36+Projects!$D$36),IF(72=Projects!$C$36+Projects!$D$36-1,Projects!$B$36*Assumptions!$B$10/Projects!$D$36*0.95+0.05*Projects!$B$36*Assumptions!$B$10,Projects!$B$36*Assumptions!$B$10/Projects!$D$36*0.95),0)+IF(AND(Projects!$G$37="Yes",72&gt;=Projects!$C$37,72&lt;Projects!$C$37+Projects!$D$37),IF(72=Projects!$C$37+Projects!$D$37-1,Projects!$B$37*Assumptions!$B$10/Projects!$D$37*0.95+0.05*Projects!$B$37*Assumptions!$B$10,Projects!$B$37*Assumptions!$B$10/Projects!$D$37*0.95),0)+IF(AND(Projects!$G$38="Yes",72&gt;=Projects!$C$38,72&lt;Projects!$C$38+Projects!$D$38),IF(72=Projects!$C$38+Projects!$D$38-1,Projects!$B$38*Assumptions!$B$10/Projects!$D$38*0.95+0.05*Projects!$B$38*Assumptions!$B$10,Projects!$B$38*Assumptions!$B$10/Projects!$D$38*0.95),0)+IF(AND(Projects!$G$39="Yes",72&gt;=Projects!$C$39,72&lt;Projects!$C$39+Projects!$D$39),IF(72=Projects!$C$39+Projects!$D$39-1,Projects!$B$39*Assumptions!$B$10/Projects!$D$39*0.95+0.05*Projects!$B$39*Assumptions!$B$10,Projects!$B$39*Assumptions!$B$10/Projects!$D$39*0.95),0)+IF(AND(Projects!$G$40="Yes",72&gt;=Projects!$C$40,72&lt;Projects!$C$40+Projects!$D$40),IF(72=Projects!$C$40+Projects!$D$40-1,Projects!$B$40*Assumptions!$B$10/Projects!$D$40*0.95+0.05*Projects!$B$40*Assumptions!$B$10,Projects!$B$40*Assumptions!$B$10/Projects!$D$40*0.95),0)+IF(AND(Projects!$G$41="Yes",72&gt;=Projects!$C$41,72&lt;Projects!$C$41+Projects!$D$41),IF(72=Projects!$C$41+Projects!$D$41-1,Projects!$B$41*Assumptions!$B$10/Projects!$D$41*0.95+0.05*Projects!$B$41*Assumptions!$B$10,Projects!$B$41*Assumptions!$B$10/Projects!$D$41*0.95),0)+IF(AND(Projects!$G$42="Yes",72&gt;=Projects!$C$42,72&lt;Projects!$C$42+Projects!$D$42),IF(72=Projects!$C$42+Projects!$D$42-1,Projects!$B$42*Assumptions!$B$10/Projects!$D$42*0.95+0.05*Projects!$B$42*Assumptions!$B$10,Projects!$B$42*Assumptions!$B$10/Projects!$D$42*0.95),0)+IF(AND(Projects!$G$43="Yes",72&gt;=Projects!$C$43,72&lt;Projects!$C$43+Projects!$D$43),IF(72=Projects!$C$43+Projects!$D$43-1,Projects!$B$43*Assumptions!$B$10/Projects!$D$43*0.95+0.05*Projects!$B$43*Assumptions!$B$10,Projects!$B$43*Assumptions!$B$10/Projects!$D$43*0.95),0)+IF(AND(Projects!$G$44="Yes",72&gt;=Projects!$C$44,72&lt;Projects!$C$44+Projects!$D$44),IF(72=Projects!$C$44+Projects!$D$44-1,Projects!$B$44*Assumptions!$B$10/Projects!$D$44*0.95+0.05*Projects!$B$44*Assumptions!$B$10,Projects!$B$44*Assumptions!$B$10/Projects!$D$44*0.95),0)+IF(AND(Projects!$G$45="Yes",72&gt;=Projects!$C$45,72&lt;Projects!$C$45+Projects!$D$45),IF(72=Projects!$C$45+Projects!$D$45-1,Projects!$B$45*Assumptions!$B$10/Projects!$D$45*0.95+0.05*Projects!$B$45*Assumptions!$B$10,Projects!$B$45*Assumptions!$B$10/Projects!$D$45*0.95),0)+IF(AND(Projects!$G$46="Yes",72&gt;=Projects!$C$46,72&lt;Projects!$C$46+Projects!$D$46),IF(72=Projects!$C$46+Projects!$D$46-1,Projects!$B$46*Assumptions!$B$10/Projects!$D$46*0.95+0.05*Projects!$B$46*Assumptions!$B$10,Projects!$B$46*Assumptions!$B$10/Projects!$D$46*0.95),0)</f>
        <v/>
      </c>
      <c r="BW108">
        <f>IF(AND(Projects!$G$30="Yes",73&gt;=Projects!$C$30,73&lt;Projects!$C$30+Projects!$D$30),IF(73=Projects!$C$30+Projects!$D$30-1,Projects!$B$30*Assumptions!$B$10/Projects!$D$30*0.95+0.05*Projects!$B$30*Assumptions!$B$10,Projects!$B$30*Assumptions!$B$10/Projects!$D$30*0.95),0)+IF(AND(Projects!$G$31="Yes",73&gt;=Projects!$C$31,73&lt;Projects!$C$31+Projects!$D$31),IF(73=Projects!$C$31+Projects!$D$31-1,Projects!$B$31*Assumptions!$B$10/Projects!$D$31*0.95+0.05*Projects!$B$31*Assumptions!$B$10,Projects!$B$31*Assumptions!$B$10/Projects!$D$31*0.95),0)+IF(AND(Projects!$G$32="Yes",73&gt;=Projects!$C$32,73&lt;Projects!$C$32+Projects!$D$32),IF(73=Projects!$C$32+Projects!$D$32-1,Projects!$B$32*Assumptions!$B$10/Projects!$D$32*0.95+0.05*Projects!$B$32*Assumptions!$B$10,Projects!$B$32*Assumptions!$B$10/Projects!$D$32*0.95),0)+IF(AND(Projects!$G$33="Yes",73&gt;=Projects!$C$33,73&lt;Projects!$C$33+Projects!$D$33),IF(73=Projects!$C$33+Projects!$D$33-1,Projects!$B$33*Assumptions!$B$10/Projects!$D$33*0.95+0.05*Projects!$B$33*Assumptions!$B$10,Projects!$B$33*Assumptions!$B$10/Projects!$D$33*0.95),0)+IF(AND(Projects!$G$34="Yes",73&gt;=Projects!$C$34,73&lt;Projects!$C$34+Projects!$D$34),IF(73=Projects!$C$34+Projects!$D$34-1,Projects!$B$34*Assumptions!$B$10/Projects!$D$34*0.95+0.05*Projects!$B$34*Assumptions!$B$10,Projects!$B$34*Assumptions!$B$10/Projects!$D$34*0.95),0)+IF(AND(Projects!$G$35="Yes",73&gt;=Projects!$C$35,73&lt;Projects!$C$35+Projects!$D$35),IF(73=Projects!$C$35+Projects!$D$35-1,Projects!$B$35*Assumptions!$B$10/Projects!$D$35*0.95+0.05*Projects!$B$35*Assumptions!$B$10,Projects!$B$35*Assumptions!$B$10/Projects!$D$35*0.95),0)+IF(AND(Projects!$G$36="Yes",73&gt;=Projects!$C$36,73&lt;Projects!$C$36+Projects!$D$36),IF(73=Projects!$C$36+Projects!$D$36-1,Projects!$B$36*Assumptions!$B$10/Projects!$D$36*0.95+0.05*Projects!$B$36*Assumptions!$B$10,Projects!$B$36*Assumptions!$B$10/Projects!$D$36*0.95),0)+IF(AND(Projects!$G$37="Yes",73&gt;=Projects!$C$37,73&lt;Projects!$C$37+Projects!$D$37),IF(73=Projects!$C$37+Projects!$D$37-1,Projects!$B$37*Assumptions!$B$10/Projects!$D$37*0.95+0.05*Projects!$B$37*Assumptions!$B$10,Projects!$B$37*Assumptions!$B$10/Projects!$D$37*0.95),0)+IF(AND(Projects!$G$38="Yes",73&gt;=Projects!$C$38,73&lt;Projects!$C$38+Projects!$D$38),IF(73=Projects!$C$38+Projects!$D$38-1,Projects!$B$38*Assumptions!$B$10/Projects!$D$38*0.95+0.05*Projects!$B$38*Assumptions!$B$10,Projects!$B$38*Assumptions!$B$10/Projects!$D$38*0.95),0)+IF(AND(Projects!$G$39="Yes",73&gt;=Projects!$C$39,73&lt;Projects!$C$39+Projects!$D$39),IF(73=Projects!$C$39+Projects!$D$39-1,Projects!$B$39*Assumptions!$B$10/Projects!$D$39*0.95+0.05*Projects!$B$39*Assumptions!$B$10,Projects!$B$39*Assumptions!$B$10/Projects!$D$39*0.95),0)+IF(AND(Projects!$G$40="Yes",73&gt;=Projects!$C$40,73&lt;Projects!$C$40+Projects!$D$40),IF(73=Projects!$C$40+Projects!$D$40-1,Projects!$B$40*Assumptions!$B$10/Projects!$D$40*0.95+0.05*Projects!$B$40*Assumptions!$B$10,Projects!$B$40*Assumptions!$B$10/Projects!$D$40*0.95),0)+IF(AND(Projects!$G$41="Yes",73&gt;=Projects!$C$41,73&lt;Projects!$C$41+Projects!$D$41),IF(73=Projects!$C$41+Projects!$D$41-1,Projects!$B$41*Assumptions!$B$10/Projects!$D$41*0.95+0.05*Projects!$B$41*Assumptions!$B$10,Projects!$B$41*Assumptions!$B$10/Projects!$D$41*0.95),0)+IF(AND(Projects!$G$42="Yes",73&gt;=Projects!$C$42,73&lt;Projects!$C$42+Projects!$D$42),IF(73=Projects!$C$42+Projects!$D$42-1,Projects!$B$42*Assumptions!$B$10/Projects!$D$42*0.95+0.05*Projects!$B$42*Assumptions!$B$10,Projects!$B$42*Assumptions!$B$10/Projects!$D$42*0.95),0)+IF(AND(Projects!$G$43="Yes",73&gt;=Projects!$C$43,73&lt;Projects!$C$43+Projects!$D$43),IF(73=Projects!$C$43+Projects!$D$43-1,Projects!$B$43*Assumptions!$B$10/Projects!$D$43*0.95+0.05*Projects!$B$43*Assumptions!$B$10,Projects!$B$43*Assumptions!$B$10/Projects!$D$43*0.95),0)+IF(AND(Projects!$G$44="Yes",73&gt;=Projects!$C$44,73&lt;Projects!$C$44+Projects!$D$44),IF(73=Projects!$C$44+Projects!$D$44-1,Projects!$B$44*Assumptions!$B$10/Projects!$D$44*0.95+0.05*Projects!$B$44*Assumptions!$B$10,Projects!$B$44*Assumptions!$B$10/Projects!$D$44*0.95),0)+IF(AND(Projects!$G$45="Yes",73&gt;=Projects!$C$45,73&lt;Projects!$C$45+Projects!$D$45),IF(73=Projects!$C$45+Projects!$D$45-1,Projects!$B$45*Assumptions!$B$10/Projects!$D$45*0.95+0.05*Projects!$B$45*Assumptions!$B$10,Projects!$B$45*Assumptions!$B$10/Projects!$D$45*0.95),0)+IF(AND(Projects!$G$46="Yes",73&gt;=Projects!$C$46,73&lt;Projects!$C$46+Projects!$D$46),IF(73=Projects!$C$46+Projects!$D$46-1,Projects!$B$46*Assumptions!$B$10/Projects!$D$46*0.95+0.05*Projects!$B$46*Assumptions!$B$10,Projects!$B$46*Assumptions!$B$10/Projects!$D$46*0.95),0)</f>
        <v/>
      </c>
      <c r="BX108">
        <f>IF(AND(Projects!$G$30="Yes",74&gt;=Projects!$C$30,74&lt;Projects!$C$30+Projects!$D$30),IF(74=Projects!$C$30+Projects!$D$30-1,Projects!$B$30*Assumptions!$B$10/Projects!$D$30*0.95+0.05*Projects!$B$30*Assumptions!$B$10,Projects!$B$30*Assumptions!$B$10/Projects!$D$30*0.95),0)+IF(AND(Projects!$G$31="Yes",74&gt;=Projects!$C$31,74&lt;Projects!$C$31+Projects!$D$31),IF(74=Projects!$C$31+Projects!$D$31-1,Projects!$B$31*Assumptions!$B$10/Projects!$D$31*0.95+0.05*Projects!$B$31*Assumptions!$B$10,Projects!$B$31*Assumptions!$B$10/Projects!$D$31*0.95),0)+IF(AND(Projects!$G$32="Yes",74&gt;=Projects!$C$32,74&lt;Projects!$C$32+Projects!$D$32),IF(74=Projects!$C$32+Projects!$D$32-1,Projects!$B$32*Assumptions!$B$10/Projects!$D$32*0.95+0.05*Projects!$B$32*Assumptions!$B$10,Projects!$B$32*Assumptions!$B$10/Projects!$D$32*0.95),0)+IF(AND(Projects!$G$33="Yes",74&gt;=Projects!$C$33,74&lt;Projects!$C$33+Projects!$D$33),IF(74=Projects!$C$33+Projects!$D$33-1,Projects!$B$33*Assumptions!$B$10/Projects!$D$33*0.95+0.05*Projects!$B$33*Assumptions!$B$10,Projects!$B$33*Assumptions!$B$10/Projects!$D$33*0.95),0)+IF(AND(Projects!$G$34="Yes",74&gt;=Projects!$C$34,74&lt;Projects!$C$34+Projects!$D$34),IF(74=Projects!$C$34+Projects!$D$34-1,Projects!$B$34*Assumptions!$B$10/Projects!$D$34*0.95+0.05*Projects!$B$34*Assumptions!$B$10,Projects!$B$34*Assumptions!$B$10/Projects!$D$34*0.95),0)+IF(AND(Projects!$G$35="Yes",74&gt;=Projects!$C$35,74&lt;Projects!$C$35+Projects!$D$35),IF(74=Projects!$C$35+Projects!$D$35-1,Projects!$B$35*Assumptions!$B$10/Projects!$D$35*0.95+0.05*Projects!$B$35*Assumptions!$B$10,Projects!$B$35*Assumptions!$B$10/Projects!$D$35*0.95),0)+IF(AND(Projects!$G$36="Yes",74&gt;=Projects!$C$36,74&lt;Projects!$C$36+Projects!$D$36),IF(74=Projects!$C$36+Projects!$D$36-1,Projects!$B$36*Assumptions!$B$10/Projects!$D$36*0.95+0.05*Projects!$B$36*Assumptions!$B$10,Projects!$B$36*Assumptions!$B$10/Projects!$D$36*0.95),0)+IF(AND(Projects!$G$37="Yes",74&gt;=Projects!$C$37,74&lt;Projects!$C$37+Projects!$D$37),IF(74=Projects!$C$37+Projects!$D$37-1,Projects!$B$37*Assumptions!$B$10/Projects!$D$37*0.95+0.05*Projects!$B$37*Assumptions!$B$10,Projects!$B$37*Assumptions!$B$10/Projects!$D$37*0.95),0)+IF(AND(Projects!$G$38="Yes",74&gt;=Projects!$C$38,74&lt;Projects!$C$38+Projects!$D$38),IF(74=Projects!$C$38+Projects!$D$38-1,Projects!$B$38*Assumptions!$B$10/Projects!$D$38*0.95+0.05*Projects!$B$38*Assumptions!$B$10,Projects!$B$38*Assumptions!$B$10/Projects!$D$38*0.95),0)+IF(AND(Projects!$G$39="Yes",74&gt;=Projects!$C$39,74&lt;Projects!$C$39+Projects!$D$39),IF(74=Projects!$C$39+Projects!$D$39-1,Projects!$B$39*Assumptions!$B$10/Projects!$D$39*0.95+0.05*Projects!$B$39*Assumptions!$B$10,Projects!$B$39*Assumptions!$B$10/Projects!$D$39*0.95),0)+IF(AND(Projects!$G$40="Yes",74&gt;=Projects!$C$40,74&lt;Projects!$C$40+Projects!$D$40),IF(74=Projects!$C$40+Projects!$D$40-1,Projects!$B$40*Assumptions!$B$10/Projects!$D$40*0.95+0.05*Projects!$B$40*Assumptions!$B$10,Projects!$B$40*Assumptions!$B$10/Projects!$D$40*0.95),0)+IF(AND(Projects!$G$41="Yes",74&gt;=Projects!$C$41,74&lt;Projects!$C$41+Projects!$D$41),IF(74=Projects!$C$41+Projects!$D$41-1,Projects!$B$41*Assumptions!$B$10/Projects!$D$41*0.95+0.05*Projects!$B$41*Assumptions!$B$10,Projects!$B$41*Assumptions!$B$10/Projects!$D$41*0.95),0)+IF(AND(Projects!$G$42="Yes",74&gt;=Projects!$C$42,74&lt;Projects!$C$42+Projects!$D$42),IF(74=Projects!$C$42+Projects!$D$42-1,Projects!$B$42*Assumptions!$B$10/Projects!$D$42*0.95+0.05*Projects!$B$42*Assumptions!$B$10,Projects!$B$42*Assumptions!$B$10/Projects!$D$42*0.95),0)+IF(AND(Projects!$G$43="Yes",74&gt;=Projects!$C$43,74&lt;Projects!$C$43+Projects!$D$43),IF(74=Projects!$C$43+Projects!$D$43-1,Projects!$B$43*Assumptions!$B$10/Projects!$D$43*0.95+0.05*Projects!$B$43*Assumptions!$B$10,Projects!$B$43*Assumptions!$B$10/Projects!$D$43*0.95),0)+IF(AND(Projects!$G$44="Yes",74&gt;=Projects!$C$44,74&lt;Projects!$C$44+Projects!$D$44),IF(74=Projects!$C$44+Projects!$D$44-1,Projects!$B$44*Assumptions!$B$10/Projects!$D$44*0.95+0.05*Projects!$B$44*Assumptions!$B$10,Projects!$B$44*Assumptions!$B$10/Projects!$D$44*0.95),0)+IF(AND(Projects!$G$45="Yes",74&gt;=Projects!$C$45,74&lt;Projects!$C$45+Projects!$D$45),IF(74=Projects!$C$45+Projects!$D$45-1,Projects!$B$45*Assumptions!$B$10/Projects!$D$45*0.95+0.05*Projects!$B$45*Assumptions!$B$10,Projects!$B$45*Assumptions!$B$10/Projects!$D$45*0.95),0)+IF(AND(Projects!$G$46="Yes",74&gt;=Projects!$C$46,74&lt;Projects!$C$46+Projects!$D$46),IF(74=Projects!$C$46+Projects!$D$46-1,Projects!$B$46*Assumptions!$B$10/Projects!$D$46*0.95+0.05*Projects!$B$46*Assumptions!$B$10,Projects!$B$46*Assumptions!$B$10/Projects!$D$46*0.95),0)</f>
        <v/>
      </c>
      <c r="BY108">
        <f>IF(AND(Projects!$G$30="Yes",75&gt;=Projects!$C$30,75&lt;Projects!$C$30+Projects!$D$30),IF(75=Projects!$C$30+Projects!$D$30-1,Projects!$B$30*Assumptions!$B$10/Projects!$D$30*0.95+0.05*Projects!$B$30*Assumptions!$B$10,Projects!$B$30*Assumptions!$B$10/Projects!$D$30*0.95),0)+IF(AND(Projects!$G$31="Yes",75&gt;=Projects!$C$31,75&lt;Projects!$C$31+Projects!$D$31),IF(75=Projects!$C$31+Projects!$D$31-1,Projects!$B$31*Assumptions!$B$10/Projects!$D$31*0.95+0.05*Projects!$B$31*Assumptions!$B$10,Projects!$B$31*Assumptions!$B$10/Projects!$D$31*0.95),0)+IF(AND(Projects!$G$32="Yes",75&gt;=Projects!$C$32,75&lt;Projects!$C$32+Projects!$D$32),IF(75=Projects!$C$32+Projects!$D$32-1,Projects!$B$32*Assumptions!$B$10/Projects!$D$32*0.95+0.05*Projects!$B$32*Assumptions!$B$10,Projects!$B$32*Assumptions!$B$10/Projects!$D$32*0.95),0)+IF(AND(Projects!$G$33="Yes",75&gt;=Projects!$C$33,75&lt;Projects!$C$33+Projects!$D$33),IF(75=Projects!$C$33+Projects!$D$33-1,Projects!$B$33*Assumptions!$B$10/Projects!$D$33*0.95+0.05*Projects!$B$33*Assumptions!$B$10,Projects!$B$33*Assumptions!$B$10/Projects!$D$33*0.95),0)+IF(AND(Projects!$G$34="Yes",75&gt;=Projects!$C$34,75&lt;Projects!$C$34+Projects!$D$34),IF(75=Projects!$C$34+Projects!$D$34-1,Projects!$B$34*Assumptions!$B$10/Projects!$D$34*0.95+0.05*Projects!$B$34*Assumptions!$B$10,Projects!$B$34*Assumptions!$B$10/Projects!$D$34*0.95),0)+IF(AND(Projects!$G$35="Yes",75&gt;=Projects!$C$35,75&lt;Projects!$C$35+Projects!$D$35),IF(75=Projects!$C$35+Projects!$D$35-1,Projects!$B$35*Assumptions!$B$10/Projects!$D$35*0.95+0.05*Projects!$B$35*Assumptions!$B$10,Projects!$B$35*Assumptions!$B$10/Projects!$D$35*0.95),0)+IF(AND(Projects!$G$36="Yes",75&gt;=Projects!$C$36,75&lt;Projects!$C$36+Projects!$D$36),IF(75=Projects!$C$36+Projects!$D$36-1,Projects!$B$36*Assumptions!$B$10/Projects!$D$36*0.95+0.05*Projects!$B$36*Assumptions!$B$10,Projects!$B$36*Assumptions!$B$10/Projects!$D$36*0.95),0)+IF(AND(Projects!$G$37="Yes",75&gt;=Projects!$C$37,75&lt;Projects!$C$37+Projects!$D$37),IF(75=Projects!$C$37+Projects!$D$37-1,Projects!$B$37*Assumptions!$B$10/Projects!$D$37*0.95+0.05*Projects!$B$37*Assumptions!$B$10,Projects!$B$37*Assumptions!$B$10/Projects!$D$37*0.95),0)+IF(AND(Projects!$G$38="Yes",75&gt;=Projects!$C$38,75&lt;Projects!$C$38+Projects!$D$38),IF(75=Projects!$C$38+Projects!$D$38-1,Projects!$B$38*Assumptions!$B$10/Projects!$D$38*0.95+0.05*Projects!$B$38*Assumptions!$B$10,Projects!$B$38*Assumptions!$B$10/Projects!$D$38*0.95),0)+IF(AND(Projects!$G$39="Yes",75&gt;=Projects!$C$39,75&lt;Projects!$C$39+Projects!$D$39),IF(75=Projects!$C$39+Projects!$D$39-1,Projects!$B$39*Assumptions!$B$10/Projects!$D$39*0.95+0.05*Projects!$B$39*Assumptions!$B$10,Projects!$B$39*Assumptions!$B$10/Projects!$D$39*0.95),0)+IF(AND(Projects!$G$40="Yes",75&gt;=Projects!$C$40,75&lt;Projects!$C$40+Projects!$D$40),IF(75=Projects!$C$40+Projects!$D$40-1,Projects!$B$40*Assumptions!$B$10/Projects!$D$40*0.95+0.05*Projects!$B$40*Assumptions!$B$10,Projects!$B$40*Assumptions!$B$10/Projects!$D$40*0.95),0)+IF(AND(Projects!$G$41="Yes",75&gt;=Projects!$C$41,75&lt;Projects!$C$41+Projects!$D$41),IF(75=Projects!$C$41+Projects!$D$41-1,Projects!$B$41*Assumptions!$B$10/Projects!$D$41*0.95+0.05*Projects!$B$41*Assumptions!$B$10,Projects!$B$41*Assumptions!$B$10/Projects!$D$41*0.95),0)+IF(AND(Projects!$G$42="Yes",75&gt;=Projects!$C$42,75&lt;Projects!$C$42+Projects!$D$42),IF(75=Projects!$C$42+Projects!$D$42-1,Projects!$B$42*Assumptions!$B$10/Projects!$D$42*0.95+0.05*Projects!$B$42*Assumptions!$B$10,Projects!$B$42*Assumptions!$B$10/Projects!$D$42*0.95),0)+IF(AND(Projects!$G$43="Yes",75&gt;=Projects!$C$43,75&lt;Projects!$C$43+Projects!$D$43),IF(75=Projects!$C$43+Projects!$D$43-1,Projects!$B$43*Assumptions!$B$10/Projects!$D$43*0.95+0.05*Projects!$B$43*Assumptions!$B$10,Projects!$B$43*Assumptions!$B$10/Projects!$D$43*0.95),0)+IF(AND(Projects!$G$44="Yes",75&gt;=Projects!$C$44,75&lt;Projects!$C$44+Projects!$D$44),IF(75=Projects!$C$44+Projects!$D$44-1,Projects!$B$44*Assumptions!$B$10/Projects!$D$44*0.95+0.05*Projects!$B$44*Assumptions!$B$10,Projects!$B$44*Assumptions!$B$10/Projects!$D$44*0.95),0)+IF(AND(Projects!$G$45="Yes",75&gt;=Projects!$C$45,75&lt;Projects!$C$45+Projects!$D$45),IF(75=Projects!$C$45+Projects!$D$45-1,Projects!$B$45*Assumptions!$B$10/Projects!$D$45*0.95+0.05*Projects!$B$45*Assumptions!$B$10,Projects!$B$45*Assumptions!$B$10/Projects!$D$45*0.95),0)+IF(AND(Projects!$G$46="Yes",75&gt;=Projects!$C$46,75&lt;Projects!$C$46+Projects!$D$46),IF(75=Projects!$C$46+Projects!$D$46-1,Projects!$B$46*Assumptions!$B$10/Projects!$D$46*0.95+0.05*Projects!$B$46*Assumptions!$B$10,Projects!$B$46*Assumptions!$B$10/Projects!$D$46*0.95),0)</f>
        <v/>
      </c>
      <c r="BZ108">
        <f>IF(AND(Projects!$G$30="Yes",76&gt;=Projects!$C$30,76&lt;Projects!$C$30+Projects!$D$30),IF(76=Projects!$C$30+Projects!$D$30-1,Projects!$B$30*Assumptions!$B$10/Projects!$D$30*0.95+0.05*Projects!$B$30*Assumptions!$B$10,Projects!$B$30*Assumptions!$B$10/Projects!$D$30*0.95),0)+IF(AND(Projects!$G$31="Yes",76&gt;=Projects!$C$31,76&lt;Projects!$C$31+Projects!$D$31),IF(76=Projects!$C$31+Projects!$D$31-1,Projects!$B$31*Assumptions!$B$10/Projects!$D$31*0.95+0.05*Projects!$B$31*Assumptions!$B$10,Projects!$B$31*Assumptions!$B$10/Projects!$D$31*0.95),0)+IF(AND(Projects!$G$32="Yes",76&gt;=Projects!$C$32,76&lt;Projects!$C$32+Projects!$D$32),IF(76=Projects!$C$32+Projects!$D$32-1,Projects!$B$32*Assumptions!$B$10/Projects!$D$32*0.95+0.05*Projects!$B$32*Assumptions!$B$10,Projects!$B$32*Assumptions!$B$10/Projects!$D$32*0.95),0)+IF(AND(Projects!$G$33="Yes",76&gt;=Projects!$C$33,76&lt;Projects!$C$33+Projects!$D$33),IF(76=Projects!$C$33+Projects!$D$33-1,Projects!$B$33*Assumptions!$B$10/Projects!$D$33*0.95+0.05*Projects!$B$33*Assumptions!$B$10,Projects!$B$33*Assumptions!$B$10/Projects!$D$33*0.95),0)+IF(AND(Projects!$G$34="Yes",76&gt;=Projects!$C$34,76&lt;Projects!$C$34+Projects!$D$34),IF(76=Projects!$C$34+Projects!$D$34-1,Projects!$B$34*Assumptions!$B$10/Projects!$D$34*0.95+0.05*Projects!$B$34*Assumptions!$B$10,Projects!$B$34*Assumptions!$B$10/Projects!$D$34*0.95),0)+IF(AND(Projects!$G$35="Yes",76&gt;=Projects!$C$35,76&lt;Projects!$C$35+Projects!$D$35),IF(76=Projects!$C$35+Projects!$D$35-1,Projects!$B$35*Assumptions!$B$10/Projects!$D$35*0.95+0.05*Projects!$B$35*Assumptions!$B$10,Projects!$B$35*Assumptions!$B$10/Projects!$D$35*0.95),0)+IF(AND(Projects!$G$36="Yes",76&gt;=Projects!$C$36,76&lt;Projects!$C$36+Projects!$D$36),IF(76=Projects!$C$36+Projects!$D$36-1,Projects!$B$36*Assumptions!$B$10/Projects!$D$36*0.95+0.05*Projects!$B$36*Assumptions!$B$10,Projects!$B$36*Assumptions!$B$10/Projects!$D$36*0.95),0)+IF(AND(Projects!$G$37="Yes",76&gt;=Projects!$C$37,76&lt;Projects!$C$37+Projects!$D$37),IF(76=Projects!$C$37+Projects!$D$37-1,Projects!$B$37*Assumptions!$B$10/Projects!$D$37*0.95+0.05*Projects!$B$37*Assumptions!$B$10,Projects!$B$37*Assumptions!$B$10/Projects!$D$37*0.95),0)+IF(AND(Projects!$G$38="Yes",76&gt;=Projects!$C$38,76&lt;Projects!$C$38+Projects!$D$38),IF(76=Projects!$C$38+Projects!$D$38-1,Projects!$B$38*Assumptions!$B$10/Projects!$D$38*0.95+0.05*Projects!$B$38*Assumptions!$B$10,Projects!$B$38*Assumptions!$B$10/Projects!$D$38*0.95),0)+IF(AND(Projects!$G$39="Yes",76&gt;=Projects!$C$39,76&lt;Projects!$C$39+Projects!$D$39),IF(76=Projects!$C$39+Projects!$D$39-1,Projects!$B$39*Assumptions!$B$10/Projects!$D$39*0.95+0.05*Projects!$B$39*Assumptions!$B$10,Projects!$B$39*Assumptions!$B$10/Projects!$D$39*0.95),0)+IF(AND(Projects!$G$40="Yes",76&gt;=Projects!$C$40,76&lt;Projects!$C$40+Projects!$D$40),IF(76=Projects!$C$40+Projects!$D$40-1,Projects!$B$40*Assumptions!$B$10/Projects!$D$40*0.95+0.05*Projects!$B$40*Assumptions!$B$10,Projects!$B$40*Assumptions!$B$10/Projects!$D$40*0.95),0)+IF(AND(Projects!$G$41="Yes",76&gt;=Projects!$C$41,76&lt;Projects!$C$41+Projects!$D$41),IF(76=Projects!$C$41+Projects!$D$41-1,Projects!$B$41*Assumptions!$B$10/Projects!$D$41*0.95+0.05*Projects!$B$41*Assumptions!$B$10,Projects!$B$41*Assumptions!$B$10/Projects!$D$41*0.95),0)+IF(AND(Projects!$G$42="Yes",76&gt;=Projects!$C$42,76&lt;Projects!$C$42+Projects!$D$42),IF(76=Projects!$C$42+Projects!$D$42-1,Projects!$B$42*Assumptions!$B$10/Projects!$D$42*0.95+0.05*Projects!$B$42*Assumptions!$B$10,Projects!$B$42*Assumptions!$B$10/Projects!$D$42*0.95),0)+IF(AND(Projects!$G$43="Yes",76&gt;=Projects!$C$43,76&lt;Projects!$C$43+Projects!$D$43),IF(76=Projects!$C$43+Projects!$D$43-1,Projects!$B$43*Assumptions!$B$10/Projects!$D$43*0.95+0.05*Projects!$B$43*Assumptions!$B$10,Projects!$B$43*Assumptions!$B$10/Projects!$D$43*0.95),0)+IF(AND(Projects!$G$44="Yes",76&gt;=Projects!$C$44,76&lt;Projects!$C$44+Projects!$D$44),IF(76=Projects!$C$44+Projects!$D$44-1,Projects!$B$44*Assumptions!$B$10/Projects!$D$44*0.95+0.05*Projects!$B$44*Assumptions!$B$10,Projects!$B$44*Assumptions!$B$10/Projects!$D$44*0.95),0)+IF(AND(Projects!$G$45="Yes",76&gt;=Projects!$C$45,76&lt;Projects!$C$45+Projects!$D$45),IF(76=Projects!$C$45+Projects!$D$45-1,Projects!$B$45*Assumptions!$B$10/Projects!$D$45*0.95+0.05*Projects!$B$45*Assumptions!$B$10,Projects!$B$45*Assumptions!$B$10/Projects!$D$45*0.95),0)+IF(AND(Projects!$G$46="Yes",76&gt;=Projects!$C$46,76&lt;Projects!$C$46+Projects!$D$46),IF(76=Projects!$C$46+Projects!$D$46-1,Projects!$B$46*Assumptions!$B$10/Projects!$D$46*0.95+0.05*Projects!$B$46*Assumptions!$B$10,Projects!$B$46*Assumptions!$B$10/Projects!$D$46*0.95),0)</f>
        <v/>
      </c>
      <c r="CA108">
        <f>IF(AND(Projects!$G$30="Yes",77&gt;=Projects!$C$30,77&lt;Projects!$C$30+Projects!$D$30),IF(77=Projects!$C$30+Projects!$D$30-1,Projects!$B$30*Assumptions!$B$10/Projects!$D$30*0.95+0.05*Projects!$B$30*Assumptions!$B$10,Projects!$B$30*Assumptions!$B$10/Projects!$D$30*0.95),0)+IF(AND(Projects!$G$31="Yes",77&gt;=Projects!$C$31,77&lt;Projects!$C$31+Projects!$D$31),IF(77=Projects!$C$31+Projects!$D$31-1,Projects!$B$31*Assumptions!$B$10/Projects!$D$31*0.95+0.05*Projects!$B$31*Assumptions!$B$10,Projects!$B$31*Assumptions!$B$10/Projects!$D$31*0.95),0)+IF(AND(Projects!$G$32="Yes",77&gt;=Projects!$C$32,77&lt;Projects!$C$32+Projects!$D$32),IF(77=Projects!$C$32+Projects!$D$32-1,Projects!$B$32*Assumptions!$B$10/Projects!$D$32*0.95+0.05*Projects!$B$32*Assumptions!$B$10,Projects!$B$32*Assumptions!$B$10/Projects!$D$32*0.95),0)+IF(AND(Projects!$G$33="Yes",77&gt;=Projects!$C$33,77&lt;Projects!$C$33+Projects!$D$33),IF(77=Projects!$C$33+Projects!$D$33-1,Projects!$B$33*Assumptions!$B$10/Projects!$D$33*0.95+0.05*Projects!$B$33*Assumptions!$B$10,Projects!$B$33*Assumptions!$B$10/Projects!$D$33*0.95),0)+IF(AND(Projects!$G$34="Yes",77&gt;=Projects!$C$34,77&lt;Projects!$C$34+Projects!$D$34),IF(77=Projects!$C$34+Projects!$D$34-1,Projects!$B$34*Assumptions!$B$10/Projects!$D$34*0.95+0.05*Projects!$B$34*Assumptions!$B$10,Projects!$B$34*Assumptions!$B$10/Projects!$D$34*0.95),0)+IF(AND(Projects!$G$35="Yes",77&gt;=Projects!$C$35,77&lt;Projects!$C$35+Projects!$D$35),IF(77=Projects!$C$35+Projects!$D$35-1,Projects!$B$35*Assumptions!$B$10/Projects!$D$35*0.95+0.05*Projects!$B$35*Assumptions!$B$10,Projects!$B$35*Assumptions!$B$10/Projects!$D$35*0.95),0)+IF(AND(Projects!$G$36="Yes",77&gt;=Projects!$C$36,77&lt;Projects!$C$36+Projects!$D$36),IF(77=Projects!$C$36+Projects!$D$36-1,Projects!$B$36*Assumptions!$B$10/Projects!$D$36*0.95+0.05*Projects!$B$36*Assumptions!$B$10,Projects!$B$36*Assumptions!$B$10/Projects!$D$36*0.95),0)+IF(AND(Projects!$G$37="Yes",77&gt;=Projects!$C$37,77&lt;Projects!$C$37+Projects!$D$37),IF(77=Projects!$C$37+Projects!$D$37-1,Projects!$B$37*Assumptions!$B$10/Projects!$D$37*0.95+0.05*Projects!$B$37*Assumptions!$B$10,Projects!$B$37*Assumptions!$B$10/Projects!$D$37*0.95),0)+IF(AND(Projects!$G$38="Yes",77&gt;=Projects!$C$38,77&lt;Projects!$C$38+Projects!$D$38),IF(77=Projects!$C$38+Projects!$D$38-1,Projects!$B$38*Assumptions!$B$10/Projects!$D$38*0.95+0.05*Projects!$B$38*Assumptions!$B$10,Projects!$B$38*Assumptions!$B$10/Projects!$D$38*0.95),0)+IF(AND(Projects!$G$39="Yes",77&gt;=Projects!$C$39,77&lt;Projects!$C$39+Projects!$D$39),IF(77=Projects!$C$39+Projects!$D$39-1,Projects!$B$39*Assumptions!$B$10/Projects!$D$39*0.95+0.05*Projects!$B$39*Assumptions!$B$10,Projects!$B$39*Assumptions!$B$10/Projects!$D$39*0.95),0)+IF(AND(Projects!$G$40="Yes",77&gt;=Projects!$C$40,77&lt;Projects!$C$40+Projects!$D$40),IF(77=Projects!$C$40+Projects!$D$40-1,Projects!$B$40*Assumptions!$B$10/Projects!$D$40*0.95+0.05*Projects!$B$40*Assumptions!$B$10,Projects!$B$40*Assumptions!$B$10/Projects!$D$40*0.95),0)+IF(AND(Projects!$G$41="Yes",77&gt;=Projects!$C$41,77&lt;Projects!$C$41+Projects!$D$41),IF(77=Projects!$C$41+Projects!$D$41-1,Projects!$B$41*Assumptions!$B$10/Projects!$D$41*0.95+0.05*Projects!$B$41*Assumptions!$B$10,Projects!$B$41*Assumptions!$B$10/Projects!$D$41*0.95),0)+IF(AND(Projects!$G$42="Yes",77&gt;=Projects!$C$42,77&lt;Projects!$C$42+Projects!$D$42),IF(77=Projects!$C$42+Projects!$D$42-1,Projects!$B$42*Assumptions!$B$10/Projects!$D$42*0.95+0.05*Projects!$B$42*Assumptions!$B$10,Projects!$B$42*Assumptions!$B$10/Projects!$D$42*0.95),0)+IF(AND(Projects!$G$43="Yes",77&gt;=Projects!$C$43,77&lt;Projects!$C$43+Projects!$D$43),IF(77=Projects!$C$43+Projects!$D$43-1,Projects!$B$43*Assumptions!$B$10/Projects!$D$43*0.95+0.05*Projects!$B$43*Assumptions!$B$10,Projects!$B$43*Assumptions!$B$10/Projects!$D$43*0.95),0)+IF(AND(Projects!$G$44="Yes",77&gt;=Projects!$C$44,77&lt;Projects!$C$44+Projects!$D$44),IF(77=Projects!$C$44+Projects!$D$44-1,Projects!$B$44*Assumptions!$B$10/Projects!$D$44*0.95+0.05*Projects!$B$44*Assumptions!$B$10,Projects!$B$44*Assumptions!$B$10/Projects!$D$44*0.95),0)+IF(AND(Projects!$G$45="Yes",77&gt;=Projects!$C$45,77&lt;Projects!$C$45+Projects!$D$45),IF(77=Projects!$C$45+Projects!$D$45-1,Projects!$B$45*Assumptions!$B$10/Projects!$D$45*0.95+0.05*Projects!$B$45*Assumptions!$B$10,Projects!$B$45*Assumptions!$B$10/Projects!$D$45*0.95),0)+IF(AND(Projects!$G$46="Yes",77&gt;=Projects!$C$46,77&lt;Projects!$C$46+Projects!$D$46),IF(77=Projects!$C$46+Projects!$D$46-1,Projects!$B$46*Assumptions!$B$10/Projects!$D$46*0.95+0.05*Projects!$B$46*Assumptions!$B$10,Projects!$B$46*Assumptions!$B$10/Projects!$D$46*0.95),0)</f>
        <v/>
      </c>
      <c r="CB108">
        <f>IF(AND(Projects!$G$30="Yes",78&gt;=Projects!$C$30,78&lt;Projects!$C$30+Projects!$D$30),IF(78=Projects!$C$30+Projects!$D$30-1,Projects!$B$30*Assumptions!$B$10/Projects!$D$30*0.95+0.05*Projects!$B$30*Assumptions!$B$10,Projects!$B$30*Assumptions!$B$10/Projects!$D$30*0.95),0)+IF(AND(Projects!$G$31="Yes",78&gt;=Projects!$C$31,78&lt;Projects!$C$31+Projects!$D$31),IF(78=Projects!$C$31+Projects!$D$31-1,Projects!$B$31*Assumptions!$B$10/Projects!$D$31*0.95+0.05*Projects!$B$31*Assumptions!$B$10,Projects!$B$31*Assumptions!$B$10/Projects!$D$31*0.95),0)+IF(AND(Projects!$G$32="Yes",78&gt;=Projects!$C$32,78&lt;Projects!$C$32+Projects!$D$32),IF(78=Projects!$C$32+Projects!$D$32-1,Projects!$B$32*Assumptions!$B$10/Projects!$D$32*0.95+0.05*Projects!$B$32*Assumptions!$B$10,Projects!$B$32*Assumptions!$B$10/Projects!$D$32*0.95),0)+IF(AND(Projects!$G$33="Yes",78&gt;=Projects!$C$33,78&lt;Projects!$C$33+Projects!$D$33),IF(78=Projects!$C$33+Projects!$D$33-1,Projects!$B$33*Assumptions!$B$10/Projects!$D$33*0.95+0.05*Projects!$B$33*Assumptions!$B$10,Projects!$B$33*Assumptions!$B$10/Projects!$D$33*0.95),0)+IF(AND(Projects!$G$34="Yes",78&gt;=Projects!$C$34,78&lt;Projects!$C$34+Projects!$D$34),IF(78=Projects!$C$34+Projects!$D$34-1,Projects!$B$34*Assumptions!$B$10/Projects!$D$34*0.95+0.05*Projects!$B$34*Assumptions!$B$10,Projects!$B$34*Assumptions!$B$10/Projects!$D$34*0.95),0)+IF(AND(Projects!$G$35="Yes",78&gt;=Projects!$C$35,78&lt;Projects!$C$35+Projects!$D$35),IF(78=Projects!$C$35+Projects!$D$35-1,Projects!$B$35*Assumptions!$B$10/Projects!$D$35*0.95+0.05*Projects!$B$35*Assumptions!$B$10,Projects!$B$35*Assumptions!$B$10/Projects!$D$35*0.95),0)+IF(AND(Projects!$G$36="Yes",78&gt;=Projects!$C$36,78&lt;Projects!$C$36+Projects!$D$36),IF(78=Projects!$C$36+Projects!$D$36-1,Projects!$B$36*Assumptions!$B$10/Projects!$D$36*0.95+0.05*Projects!$B$36*Assumptions!$B$10,Projects!$B$36*Assumptions!$B$10/Projects!$D$36*0.95),0)+IF(AND(Projects!$G$37="Yes",78&gt;=Projects!$C$37,78&lt;Projects!$C$37+Projects!$D$37),IF(78=Projects!$C$37+Projects!$D$37-1,Projects!$B$37*Assumptions!$B$10/Projects!$D$37*0.95+0.05*Projects!$B$37*Assumptions!$B$10,Projects!$B$37*Assumptions!$B$10/Projects!$D$37*0.95),0)+IF(AND(Projects!$G$38="Yes",78&gt;=Projects!$C$38,78&lt;Projects!$C$38+Projects!$D$38),IF(78=Projects!$C$38+Projects!$D$38-1,Projects!$B$38*Assumptions!$B$10/Projects!$D$38*0.95+0.05*Projects!$B$38*Assumptions!$B$10,Projects!$B$38*Assumptions!$B$10/Projects!$D$38*0.95),0)+IF(AND(Projects!$G$39="Yes",78&gt;=Projects!$C$39,78&lt;Projects!$C$39+Projects!$D$39),IF(78=Projects!$C$39+Projects!$D$39-1,Projects!$B$39*Assumptions!$B$10/Projects!$D$39*0.95+0.05*Projects!$B$39*Assumptions!$B$10,Projects!$B$39*Assumptions!$B$10/Projects!$D$39*0.95),0)+IF(AND(Projects!$G$40="Yes",78&gt;=Projects!$C$40,78&lt;Projects!$C$40+Projects!$D$40),IF(78=Projects!$C$40+Projects!$D$40-1,Projects!$B$40*Assumptions!$B$10/Projects!$D$40*0.95+0.05*Projects!$B$40*Assumptions!$B$10,Projects!$B$40*Assumptions!$B$10/Projects!$D$40*0.95),0)+IF(AND(Projects!$G$41="Yes",78&gt;=Projects!$C$41,78&lt;Projects!$C$41+Projects!$D$41),IF(78=Projects!$C$41+Projects!$D$41-1,Projects!$B$41*Assumptions!$B$10/Projects!$D$41*0.95+0.05*Projects!$B$41*Assumptions!$B$10,Projects!$B$41*Assumptions!$B$10/Projects!$D$41*0.95),0)+IF(AND(Projects!$G$42="Yes",78&gt;=Projects!$C$42,78&lt;Projects!$C$42+Projects!$D$42),IF(78=Projects!$C$42+Projects!$D$42-1,Projects!$B$42*Assumptions!$B$10/Projects!$D$42*0.95+0.05*Projects!$B$42*Assumptions!$B$10,Projects!$B$42*Assumptions!$B$10/Projects!$D$42*0.95),0)+IF(AND(Projects!$G$43="Yes",78&gt;=Projects!$C$43,78&lt;Projects!$C$43+Projects!$D$43),IF(78=Projects!$C$43+Projects!$D$43-1,Projects!$B$43*Assumptions!$B$10/Projects!$D$43*0.95+0.05*Projects!$B$43*Assumptions!$B$10,Projects!$B$43*Assumptions!$B$10/Projects!$D$43*0.95),0)+IF(AND(Projects!$G$44="Yes",78&gt;=Projects!$C$44,78&lt;Projects!$C$44+Projects!$D$44),IF(78=Projects!$C$44+Projects!$D$44-1,Projects!$B$44*Assumptions!$B$10/Projects!$D$44*0.95+0.05*Projects!$B$44*Assumptions!$B$10,Projects!$B$44*Assumptions!$B$10/Projects!$D$44*0.95),0)+IF(AND(Projects!$G$45="Yes",78&gt;=Projects!$C$45,78&lt;Projects!$C$45+Projects!$D$45),IF(78=Projects!$C$45+Projects!$D$45-1,Projects!$B$45*Assumptions!$B$10/Projects!$D$45*0.95+0.05*Projects!$B$45*Assumptions!$B$10,Projects!$B$45*Assumptions!$B$10/Projects!$D$45*0.95),0)+IF(AND(Projects!$G$46="Yes",78&gt;=Projects!$C$46,78&lt;Projects!$C$46+Projects!$D$46),IF(78=Projects!$C$46+Projects!$D$46-1,Projects!$B$46*Assumptions!$B$10/Projects!$D$46*0.95+0.05*Projects!$B$46*Assumptions!$B$10,Projects!$B$46*Assumptions!$B$10/Projects!$D$46*0.95),0)</f>
        <v/>
      </c>
      <c r="CC108">
        <f>IF(AND(Projects!$G$30="Yes",79&gt;=Projects!$C$30,79&lt;Projects!$C$30+Projects!$D$30),IF(79=Projects!$C$30+Projects!$D$30-1,Projects!$B$30*Assumptions!$B$10/Projects!$D$30*0.95+0.05*Projects!$B$30*Assumptions!$B$10,Projects!$B$30*Assumptions!$B$10/Projects!$D$30*0.95),0)+IF(AND(Projects!$G$31="Yes",79&gt;=Projects!$C$31,79&lt;Projects!$C$31+Projects!$D$31),IF(79=Projects!$C$31+Projects!$D$31-1,Projects!$B$31*Assumptions!$B$10/Projects!$D$31*0.95+0.05*Projects!$B$31*Assumptions!$B$10,Projects!$B$31*Assumptions!$B$10/Projects!$D$31*0.95),0)+IF(AND(Projects!$G$32="Yes",79&gt;=Projects!$C$32,79&lt;Projects!$C$32+Projects!$D$32),IF(79=Projects!$C$32+Projects!$D$32-1,Projects!$B$32*Assumptions!$B$10/Projects!$D$32*0.95+0.05*Projects!$B$32*Assumptions!$B$10,Projects!$B$32*Assumptions!$B$10/Projects!$D$32*0.95),0)+IF(AND(Projects!$G$33="Yes",79&gt;=Projects!$C$33,79&lt;Projects!$C$33+Projects!$D$33),IF(79=Projects!$C$33+Projects!$D$33-1,Projects!$B$33*Assumptions!$B$10/Projects!$D$33*0.95+0.05*Projects!$B$33*Assumptions!$B$10,Projects!$B$33*Assumptions!$B$10/Projects!$D$33*0.95),0)+IF(AND(Projects!$G$34="Yes",79&gt;=Projects!$C$34,79&lt;Projects!$C$34+Projects!$D$34),IF(79=Projects!$C$34+Projects!$D$34-1,Projects!$B$34*Assumptions!$B$10/Projects!$D$34*0.95+0.05*Projects!$B$34*Assumptions!$B$10,Projects!$B$34*Assumptions!$B$10/Projects!$D$34*0.95),0)+IF(AND(Projects!$G$35="Yes",79&gt;=Projects!$C$35,79&lt;Projects!$C$35+Projects!$D$35),IF(79=Projects!$C$35+Projects!$D$35-1,Projects!$B$35*Assumptions!$B$10/Projects!$D$35*0.95+0.05*Projects!$B$35*Assumptions!$B$10,Projects!$B$35*Assumptions!$B$10/Projects!$D$35*0.95),0)+IF(AND(Projects!$G$36="Yes",79&gt;=Projects!$C$36,79&lt;Projects!$C$36+Projects!$D$36),IF(79=Projects!$C$36+Projects!$D$36-1,Projects!$B$36*Assumptions!$B$10/Projects!$D$36*0.95+0.05*Projects!$B$36*Assumptions!$B$10,Projects!$B$36*Assumptions!$B$10/Projects!$D$36*0.95),0)+IF(AND(Projects!$G$37="Yes",79&gt;=Projects!$C$37,79&lt;Projects!$C$37+Projects!$D$37),IF(79=Projects!$C$37+Projects!$D$37-1,Projects!$B$37*Assumptions!$B$10/Projects!$D$37*0.95+0.05*Projects!$B$37*Assumptions!$B$10,Projects!$B$37*Assumptions!$B$10/Projects!$D$37*0.95),0)+IF(AND(Projects!$G$38="Yes",79&gt;=Projects!$C$38,79&lt;Projects!$C$38+Projects!$D$38),IF(79=Projects!$C$38+Projects!$D$38-1,Projects!$B$38*Assumptions!$B$10/Projects!$D$38*0.95+0.05*Projects!$B$38*Assumptions!$B$10,Projects!$B$38*Assumptions!$B$10/Projects!$D$38*0.95),0)+IF(AND(Projects!$G$39="Yes",79&gt;=Projects!$C$39,79&lt;Projects!$C$39+Projects!$D$39),IF(79=Projects!$C$39+Projects!$D$39-1,Projects!$B$39*Assumptions!$B$10/Projects!$D$39*0.95+0.05*Projects!$B$39*Assumptions!$B$10,Projects!$B$39*Assumptions!$B$10/Projects!$D$39*0.95),0)+IF(AND(Projects!$G$40="Yes",79&gt;=Projects!$C$40,79&lt;Projects!$C$40+Projects!$D$40),IF(79=Projects!$C$40+Projects!$D$40-1,Projects!$B$40*Assumptions!$B$10/Projects!$D$40*0.95+0.05*Projects!$B$40*Assumptions!$B$10,Projects!$B$40*Assumptions!$B$10/Projects!$D$40*0.95),0)+IF(AND(Projects!$G$41="Yes",79&gt;=Projects!$C$41,79&lt;Projects!$C$41+Projects!$D$41),IF(79=Projects!$C$41+Projects!$D$41-1,Projects!$B$41*Assumptions!$B$10/Projects!$D$41*0.95+0.05*Projects!$B$41*Assumptions!$B$10,Projects!$B$41*Assumptions!$B$10/Projects!$D$41*0.95),0)+IF(AND(Projects!$G$42="Yes",79&gt;=Projects!$C$42,79&lt;Projects!$C$42+Projects!$D$42),IF(79=Projects!$C$42+Projects!$D$42-1,Projects!$B$42*Assumptions!$B$10/Projects!$D$42*0.95+0.05*Projects!$B$42*Assumptions!$B$10,Projects!$B$42*Assumptions!$B$10/Projects!$D$42*0.95),0)+IF(AND(Projects!$G$43="Yes",79&gt;=Projects!$C$43,79&lt;Projects!$C$43+Projects!$D$43),IF(79=Projects!$C$43+Projects!$D$43-1,Projects!$B$43*Assumptions!$B$10/Projects!$D$43*0.95+0.05*Projects!$B$43*Assumptions!$B$10,Projects!$B$43*Assumptions!$B$10/Projects!$D$43*0.95),0)+IF(AND(Projects!$G$44="Yes",79&gt;=Projects!$C$44,79&lt;Projects!$C$44+Projects!$D$44),IF(79=Projects!$C$44+Projects!$D$44-1,Projects!$B$44*Assumptions!$B$10/Projects!$D$44*0.95+0.05*Projects!$B$44*Assumptions!$B$10,Projects!$B$44*Assumptions!$B$10/Projects!$D$44*0.95),0)+IF(AND(Projects!$G$45="Yes",79&gt;=Projects!$C$45,79&lt;Projects!$C$45+Projects!$D$45),IF(79=Projects!$C$45+Projects!$D$45-1,Projects!$B$45*Assumptions!$B$10/Projects!$D$45*0.95+0.05*Projects!$B$45*Assumptions!$B$10,Projects!$B$45*Assumptions!$B$10/Projects!$D$45*0.95),0)+IF(AND(Projects!$G$46="Yes",79&gt;=Projects!$C$46,79&lt;Projects!$C$46+Projects!$D$46),IF(79=Projects!$C$46+Projects!$D$46-1,Projects!$B$46*Assumptions!$B$10/Projects!$D$46*0.95+0.05*Projects!$B$46*Assumptions!$B$10,Projects!$B$46*Assumptions!$B$10/Projects!$D$46*0.95),0)</f>
        <v/>
      </c>
      <c r="CD108">
        <f>IF(AND(Projects!$G$30="Yes",80&gt;=Projects!$C$30,80&lt;Projects!$C$30+Projects!$D$30),IF(80=Projects!$C$30+Projects!$D$30-1,Projects!$B$30*Assumptions!$B$10/Projects!$D$30*0.95+0.05*Projects!$B$30*Assumptions!$B$10,Projects!$B$30*Assumptions!$B$10/Projects!$D$30*0.95),0)+IF(AND(Projects!$G$31="Yes",80&gt;=Projects!$C$31,80&lt;Projects!$C$31+Projects!$D$31),IF(80=Projects!$C$31+Projects!$D$31-1,Projects!$B$31*Assumptions!$B$10/Projects!$D$31*0.95+0.05*Projects!$B$31*Assumptions!$B$10,Projects!$B$31*Assumptions!$B$10/Projects!$D$31*0.95),0)+IF(AND(Projects!$G$32="Yes",80&gt;=Projects!$C$32,80&lt;Projects!$C$32+Projects!$D$32),IF(80=Projects!$C$32+Projects!$D$32-1,Projects!$B$32*Assumptions!$B$10/Projects!$D$32*0.95+0.05*Projects!$B$32*Assumptions!$B$10,Projects!$B$32*Assumptions!$B$10/Projects!$D$32*0.95),0)+IF(AND(Projects!$G$33="Yes",80&gt;=Projects!$C$33,80&lt;Projects!$C$33+Projects!$D$33),IF(80=Projects!$C$33+Projects!$D$33-1,Projects!$B$33*Assumptions!$B$10/Projects!$D$33*0.95+0.05*Projects!$B$33*Assumptions!$B$10,Projects!$B$33*Assumptions!$B$10/Projects!$D$33*0.95),0)+IF(AND(Projects!$G$34="Yes",80&gt;=Projects!$C$34,80&lt;Projects!$C$34+Projects!$D$34),IF(80=Projects!$C$34+Projects!$D$34-1,Projects!$B$34*Assumptions!$B$10/Projects!$D$34*0.95+0.05*Projects!$B$34*Assumptions!$B$10,Projects!$B$34*Assumptions!$B$10/Projects!$D$34*0.95),0)+IF(AND(Projects!$G$35="Yes",80&gt;=Projects!$C$35,80&lt;Projects!$C$35+Projects!$D$35),IF(80=Projects!$C$35+Projects!$D$35-1,Projects!$B$35*Assumptions!$B$10/Projects!$D$35*0.95+0.05*Projects!$B$35*Assumptions!$B$10,Projects!$B$35*Assumptions!$B$10/Projects!$D$35*0.95),0)+IF(AND(Projects!$G$36="Yes",80&gt;=Projects!$C$36,80&lt;Projects!$C$36+Projects!$D$36),IF(80=Projects!$C$36+Projects!$D$36-1,Projects!$B$36*Assumptions!$B$10/Projects!$D$36*0.95+0.05*Projects!$B$36*Assumptions!$B$10,Projects!$B$36*Assumptions!$B$10/Projects!$D$36*0.95),0)+IF(AND(Projects!$G$37="Yes",80&gt;=Projects!$C$37,80&lt;Projects!$C$37+Projects!$D$37),IF(80=Projects!$C$37+Projects!$D$37-1,Projects!$B$37*Assumptions!$B$10/Projects!$D$37*0.95+0.05*Projects!$B$37*Assumptions!$B$10,Projects!$B$37*Assumptions!$B$10/Projects!$D$37*0.95),0)+IF(AND(Projects!$G$38="Yes",80&gt;=Projects!$C$38,80&lt;Projects!$C$38+Projects!$D$38),IF(80=Projects!$C$38+Projects!$D$38-1,Projects!$B$38*Assumptions!$B$10/Projects!$D$38*0.95+0.05*Projects!$B$38*Assumptions!$B$10,Projects!$B$38*Assumptions!$B$10/Projects!$D$38*0.95),0)+IF(AND(Projects!$G$39="Yes",80&gt;=Projects!$C$39,80&lt;Projects!$C$39+Projects!$D$39),IF(80=Projects!$C$39+Projects!$D$39-1,Projects!$B$39*Assumptions!$B$10/Projects!$D$39*0.95+0.05*Projects!$B$39*Assumptions!$B$10,Projects!$B$39*Assumptions!$B$10/Projects!$D$39*0.95),0)+IF(AND(Projects!$G$40="Yes",80&gt;=Projects!$C$40,80&lt;Projects!$C$40+Projects!$D$40),IF(80=Projects!$C$40+Projects!$D$40-1,Projects!$B$40*Assumptions!$B$10/Projects!$D$40*0.95+0.05*Projects!$B$40*Assumptions!$B$10,Projects!$B$40*Assumptions!$B$10/Projects!$D$40*0.95),0)+IF(AND(Projects!$G$41="Yes",80&gt;=Projects!$C$41,80&lt;Projects!$C$41+Projects!$D$41),IF(80=Projects!$C$41+Projects!$D$41-1,Projects!$B$41*Assumptions!$B$10/Projects!$D$41*0.95+0.05*Projects!$B$41*Assumptions!$B$10,Projects!$B$41*Assumptions!$B$10/Projects!$D$41*0.95),0)+IF(AND(Projects!$G$42="Yes",80&gt;=Projects!$C$42,80&lt;Projects!$C$42+Projects!$D$42),IF(80=Projects!$C$42+Projects!$D$42-1,Projects!$B$42*Assumptions!$B$10/Projects!$D$42*0.95+0.05*Projects!$B$42*Assumptions!$B$10,Projects!$B$42*Assumptions!$B$10/Projects!$D$42*0.95),0)+IF(AND(Projects!$G$43="Yes",80&gt;=Projects!$C$43,80&lt;Projects!$C$43+Projects!$D$43),IF(80=Projects!$C$43+Projects!$D$43-1,Projects!$B$43*Assumptions!$B$10/Projects!$D$43*0.95+0.05*Projects!$B$43*Assumptions!$B$10,Projects!$B$43*Assumptions!$B$10/Projects!$D$43*0.95),0)+IF(AND(Projects!$G$44="Yes",80&gt;=Projects!$C$44,80&lt;Projects!$C$44+Projects!$D$44),IF(80=Projects!$C$44+Projects!$D$44-1,Projects!$B$44*Assumptions!$B$10/Projects!$D$44*0.95+0.05*Projects!$B$44*Assumptions!$B$10,Projects!$B$44*Assumptions!$B$10/Projects!$D$44*0.95),0)+IF(AND(Projects!$G$45="Yes",80&gt;=Projects!$C$45,80&lt;Projects!$C$45+Projects!$D$45),IF(80=Projects!$C$45+Projects!$D$45-1,Projects!$B$45*Assumptions!$B$10/Projects!$D$45*0.95+0.05*Projects!$B$45*Assumptions!$B$10,Projects!$B$45*Assumptions!$B$10/Projects!$D$45*0.95),0)+IF(AND(Projects!$G$46="Yes",80&gt;=Projects!$C$46,80&lt;Projects!$C$46+Projects!$D$46),IF(80=Projects!$C$46+Projects!$D$46-1,Projects!$B$46*Assumptions!$B$10/Projects!$D$46*0.95+0.05*Projects!$B$46*Assumptions!$B$10,Projects!$B$46*Assumptions!$B$10/Projects!$D$46*0.95),0)</f>
        <v/>
      </c>
      <c r="CE108">
        <f>IF(AND(Projects!$G$30="Yes",81&gt;=Projects!$C$30,81&lt;Projects!$C$30+Projects!$D$30),IF(81=Projects!$C$30+Projects!$D$30-1,Projects!$B$30*Assumptions!$B$10/Projects!$D$30*0.95+0.05*Projects!$B$30*Assumptions!$B$10,Projects!$B$30*Assumptions!$B$10/Projects!$D$30*0.95),0)+IF(AND(Projects!$G$31="Yes",81&gt;=Projects!$C$31,81&lt;Projects!$C$31+Projects!$D$31),IF(81=Projects!$C$31+Projects!$D$31-1,Projects!$B$31*Assumptions!$B$10/Projects!$D$31*0.95+0.05*Projects!$B$31*Assumptions!$B$10,Projects!$B$31*Assumptions!$B$10/Projects!$D$31*0.95),0)+IF(AND(Projects!$G$32="Yes",81&gt;=Projects!$C$32,81&lt;Projects!$C$32+Projects!$D$32),IF(81=Projects!$C$32+Projects!$D$32-1,Projects!$B$32*Assumptions!$B$10/Projects!$D$32*0.95+0.05*Projects!$B$32*Assumptions!$B$10,Projects!$B$32*Assumptions!$B$10/Projects!$D$32*0.95),0)+IF(AND(Projects!$G$33="Yes",81&gt;=Projects!$C$33,81&lt;Projects!$C$33+Projects!$D$33),IF(81=Projects!$C$33+Projects!$D$33-1,Projects!$B$33*Assumptions!$B$10/Projects!$D$33*0.95+0.05*Projects!$B$33*Assumptions!$B$10,Projects!$B$33*Assumptions!$B$10/Projects!$D$33*0.95),0)+IF(AND(Projects!$G$34="Yes",81&gt;=Projects!$C$34,81&lt;Projects!$C$34+Projects!$D$34),IF(81=Projects!$C$34+Projects!$D$34-1,Projects!$B$34*Assumptions!$B$10/Projects!$D$34*0.95+0.05*Projects!$B$34*Assumptions!$B$10,Projects!$B$34*Assumptions!$B$10/Projects!$D$34*0.95),0)+IF(AND(Projects!$G$35="Yes",81&gt;=Projects!$C$35,81&lt;Projects!$C$35+Projects!$D$35),IF(81=Projects!$C$35+Projects!$D$35-1,Projects!$B$35*Assumptions!$B$10/Projects!$D$35*0.95+0.05*Projects!$B$35*Assumptions!$B$10,Projects!$B$35*Assumptions!$B$10/Projects!$D$35*0.95),0)+IF(AND(Projects!$G$36="Yes",81&gt;=Projects!$C$36,81&lt;Projects!$C$36+Projects!$D$36),IF(81=Projects!$C$36+Projects!$D$36-1,Projects!$B$36*Assumptions!$B$10/Projects!$D$36*0.95+0.05*Projects!$B$36*Assumptions!$B$10,Projects!$B$36*Assumptions!$B$10/Projects!$D$36*0.95),0)+IF(AND(Projects!$G$37="Yes",81&gt;=Projects!$C$37,81&lt;Projects!$C$37+Projects!$D$37),IF(81=Projects!$C$37+Projects!$D$37-1,Projects!$B$37*Assumptions!$B$10/Projects!$D$37*0.95+0.05*Projects!$B$37*Assumptions!$B$10,Projects!$B$37*Assumptions!$B$10/Projects!$D$37*0.95),0)+IF(AND(Projects!$G$38="Yes",81&gt;=Projects!$C$38,81&lt;Projects!$C$38+Projects!$D$38),IF(81=Projects!$C$38+Projects!$D$38-1,Projects!$B$38*Assumptions!$B$10/Projects!$D$38*0.95+0.05*Projects!$B$38*Assumptions!$B$10,Projects!$B$38*Assumptions!$B$10/Projects!$D$38*0.95),0)+IF(AND(Projects!$G$39="Yes",81&gt;=Projects!$C$39,81&lt;Projects!$C$39+Projects!$D$39),IF(81=Projects!$C$39+Projects!$D$39-1,Projects!$B$39*Assumptions!$B$10/Projects!$D$39*0.95+0.05*Projects!$B$39*Assumptions!$B$10,Projects!$B$39*Assumptions!$B$10/Projects!$D$39*0.95),0)+IF(AND(Projects!$G$40="Yes",81&gt;=Projects!$C$40,81&lt;Projects!$C$40+Projects!$D$40),IF(81=Projects!$C$40+Projects!$D$40-1,Projects!$B$40*Assumptions!$B$10/Projects!$D$40*0.95+0.05*Projects!$B$40*Assumptions!$B$10,Projects!$B$40*Assumptions!$B$10/Projects!$D$40*0.95),0)+IF(AND(Projects!$G$41="Yes",81&gt;=Projects!$C$41,81&lt;Projects!$C$41+Projects!$D$41),IF(81=Projects!$C$41+Projects!$D$41-1,Projects!$B$41*Assumptions!$B$10/Projects!$D$41*0.95+0.05*Projects!$B$41*Assumptions!$B$10,Projects!$B$41*Assumptions!$B$10/Projects!$D$41*0.95),0)+IF(AND(Projects!$G$42="Yes",81&gt;=Projects!$C$42,81&lt;Projects!$C$42+Projects!$D$42),IF(81=Projects!$C$42+Projects!$D$42-1,Projects!$B$42*Assumptions!$B$10/Projects!$D$42*0.95+0.05*Projects!$B$42*Assumptions!$B$10,Projects!$B$42*Assumptions!$B$10/Projects!$D$42*0.95),0)+IF(AND(Projects!$G$43="Yes",81&gt;=Projects!$C$43,81&lt;Projects!$C$43+Projects!$D$43),IF(81=Projects!$C$43+Projects!$D$43-1,Projects!$B$43*Assumptions!$B$10/Projects!$D$43*0.95+0.05*Projects!$B$43*Assumptions!$B$10,Projects!$B$43*Assumptions!$B$10/Projects!$D$43*0.95),0)+IF(AND(Projects!$G$44="Yes",81&gt;=Projects!$C$44,81&lt;Projects!$C$44+Projects!$D$44),IF(81=Projects!$C$44+Projects!$D$44-1,Projects!$B$44*Assumptions!$B$10/Projects!$D$44*0.95+0.05*Projects!$B$44*Assumptions!$B$10,Projects!$B$44*Assumptions!$B$10/Projects!$D$44*0.95),0)+IF(AND(Projects!$G$45="Yes",81&gt;=Projects!$C$45,81&lt;Projects!$C$45+Projects!$D$45),IF(81=Projects!$C$45+Projects!$D$45-1,Projects!$B$45*Assumptions!$B$10/Projects!$D$45*0.95+0.05*Projects!$B$45*Assumptions!$B$10,Projects!$B$45*Assumptions!$B$10/Projects!$D$45*0.95),0)+IF(AND(Projects!$G$46="Yes",81&gt;=Projects!$C$46,81&lt;Projects!$C$46+Projects!$D$46),IF(81=Projects!$C$46+Projects!$D$46-1,Projects!$B$46*Assumptions!$B$10/Projects!$D$46*0.95+0.05*Projects!$B$46*Assumptions!$B$10,Projects!$B$46*Assumptions!$B$10/Projects!$D$46*0.95),0)</f>
        <v/>
      </c>
      <c r="CF108">
        <f>IF(AND(Projects!$G$30="Yes",82&gt;=Projects!$C$30,82&lt;Projects!$C$30+Projects!$D$30),IF(82=Projects!$C$30+Projects!$D$30-1,Projects!$B$30*Assumptions!$B$10/Projects!$D$30*0.95+0.05*Projects!$B$30*Assumptions!$B$10,Projects!$B$30*Assumptions!$B$10/Projects!$D$30*0.95),0)+IF(AND(Projects!$G$31="Yes",82&gt;=Projects!$C$31,82&lt;Projects!$C$31+Projects!$D$31),IF(82=Projects!$C$31+Projects!$D$31-1,Projects!$B$31*Assumptions!$B$10/Projects!$D$31*0.95+0.05*Projects!$B$31*Assumptions!$B$10,Projects!$B$31*Assumptions!$B$10/Projects!$D$31*0.95),0)+IF(AND(Projects!$G$32="Yes",82&gt;=Projects!$C$32,82&lt;Projects!$C$32+Projects!$D$32),IF(82=Projects!$C$32+Projects!$D$32-1,Projects!$B$32*Assumptions!$B$10/Projects!$D$32*0.95+0.05*Projects!$B$32*Assumptions!$B$10,Projects!$B$32*Assumptions!$B$10/Projects!$D$32*0.95),0)+IF(AND(Projects!$G$33="Yes",82&gt;=Projects!$C$33,82&lt;Projects!$C$33+Projects!$D$33),IF(82=Projects!$C$33+Projects!$D$33-1,Projects!$B$33*Assumptions!$B$10/Projects!$D$33*0.95+0.05*Projects!$B$33*Assumptions!$B$10,Projects!$B$33*Assumptions!$B$10/Projects!$D$33*0.95),0)+IF(AND(Projects!$G$34="Yes",82&gt;=Projects!$C$34,82&lt;Projects!$C$34+Projects!$D$34),IF(82=Projects!$C$34+Projects!$D$34-1,Projects!$B$34*Assumptions!$B$10/Projects!$D$34*0.95+0.05*Projects!$B$34*Assumptions!$B$10,Projects!$B$34*Assumptions!$B$10/Projects!$D$34*0.95),0)+IF(AND(Projects!$G$35="Yes",82&gt;=Projects!$C$35,82&lt;Projects!$C$35+Projects!$D$35),IF(82=Projects!$C$35+Projects!$D$35-1,Projects!$B$35*Assumptions!$B$10/Projects!$D$35*0.95+0.05*Projects!$B$35*Assumptions!$B$10,Projects!$B$35*Assumptions!$B$10/Projects!$D$35*0.95),0)+IF(AND(Projects!$G$36="Yes",82&gt;=Projects!$C$36,82&lt;Projects!$C$36+Projects!$D$36),IF(82=Projects!$C$36+Projects!$D$36-1,Projects!$B$36*Assumptions!$B$10/Projects!$D$36*0.95+0.05*Projects!$B$36*Assumptions!$B$10,Projects!$B$36*Assumptions!$B$10/Projects!$D$36*0.95),0)+IF(AND(Projects!$G$37="Yes",82&gt;=Projects!$C$37,82&lt;Projects!$C$37+Projects!$D$37),IF(82=Projects!$C$37+Projects!$D$37-1,Projects!$B$37*Assumptions!$B$10/Projects!$D$37*0.95+0.05*Projects!$B$37*Assumptions!$B$10,Projects!$B$37*Assumptions!$B$10/Projects!$D$37*0.95),0)+IF(AND(Projects!$G$38="Yes",82&gt;=Projects!$C$38,82&lt;Projects!$C$38+Projects!$D$38),IF(82=Projects!$C$38+Projects!$D$38-1,Projects!$B$38*Assumptions!$B$10/Projects!$D$38*0.95+0.05*Projects!$B$38*Assumptions!$B$10,Projects!$B$38*Assumptions!$B$10/Projects!$D$38*0.95),0)+IF(AND(Projects!$G$39="Yes",82&gt;=Projects!$C$39,82&lt;Projects!$C$39+Projects!$D$39),IF(82=Projects!$C$39+Projects!$D$39-1,Projects!$B$39*Assumptions!$B$10/Projects!$D$39*0.95+0.05*Projects!$B$39*Assumptions!$B$10,Projects!$B$39*Assumptions!$B$10/Projects!$D$39*0.95),0)+IF(AND(Projects!$G$40="Yes",82&gt;=Projects!$C$40,82&lt;Projects!$C$40+Projects!$D$40),IF(82=Projects!$C$40+Projects!$D$40-1,Projects!$B$40*Assumptions!$B$10/Projects!$D$40*0.95+0.05*Projects!$B$40*Assumptions!$B$10,Projects!$B$40*Assumptions!$B$10/Projects!$D$40*0.95),0)+IF(AND(Projects!$G$41="Yes",82&gt;=Projects!$C$41,82&lt;Projects!$C$41+Projects!$D$41),IF(82=Projects!$C$41+Projects!$D$41-1,Projects!$B$41*Assumptions!$B$10/Projects!$D$41*0.95+0.05*Projects!$B$41*Assumptions!$B$10,Projects!$B$41*Assumptions!$B$10/Projects!$D$41*0.95),0)+IF(AND(Projects!$G$42="Yes",82&gt;=Projects!$C$42,82&lt;Projects!$C$42+Projects!$D$42),IF(82=Projects!$C$42+Projects!$D$42-1,Projects!$B$42*Assumptions!$B$10/Projects!$D$42*0.95+0.05*Projects!$B$42*Assumptions!$B$10,Projects!$B$42*Assumptions!$B$10/Projects!$D$42*0.95),0)+IF(AND(Projects!$G$43="Yes",82&gt;=Projects!$C$43,82&lt;Projects!$C$43+Projects!$D$43),IF(82=Projects!$C$43+Projects!$D$43-1,Projects!$B$43*Assumptions!$B$10/Projects!$D$43*0.95+0.05*Projects!$B$43*Assumptions!$B$10,Projects!$B$43*Assumptions!$B$10/Projects!$D$43*0.95),0)+IF(AND(Projects!$G$44="Yes",82&gt;=Projects!$C$44,82&lt;Projects!$C$44+Projects!$D$44),IF(82=Projects!$C$44+Projects!$D$44-1,Projects!$B$44*Assumptions!$B$10/Projects!$D$44*0.95+0.05*Projects!$B$44*Assumptions!$B$10,Projects!$B$44*Assumptions!$B$10/Projects!$D$44*0.95),0)+IF(AND(Projects!$G$45="Yes",82&gt;=Projects!$C$45,82&lt;Projects!$C$45+Projects!$D$45),IF(82=Projects!$C$45+Projects!$D$45-1,Projects!$B$45*Assumptions!$B$10/Projects!$D$45*0.95+0.05*Projects!$B$45*Assumptions!$B$10,Projects!$B$45*Assumptions!$B$10/Projects!$D$45*0.95),0)+IF(AND(Projects!$G$46="Yes",82&gt;=Projects!$C$46,82&lt;Projects!$C$46+Projects!$D$46),IF(82=Projects!$C$46+Projects!$D$46-1,Projects!$B$46*Assumptions!$B$10/Projects!$D$46*0.95+0.05*Projects!$B$46*Assumptions!$B$10,Projects!$B$46*Assumptions!$B$10/Projects!$D$46*0.95),0)</f>
        <v/>
      </c>
      <c r="CG108">
        <f>IF(AND(Projects!$G$30="Yes",83&gt;=Projects!$C$30,83&lt;Projects!$C$30+Projects!$D$30),IF(83=Projects!$C$30+Projects!$D$30-1,Projects!$B$30*Assumptions!$B$10/Projects!$D$30*0.95+0.05*Projects!$B$30*Assumptions!$B$10,Projects!$B$30*Assumptions!$B$10/Projects!$D$30*0.95),0)+IF(AND(Projects!$G$31="Yes",83&gt;=Projects!$C$31,83&lt;Projects!$C$31+Projects!$D$31),IF(83=Projects!$C$31+Projects!$D$31-1,Projects!$B$31*Assumptions!$B$10/Projects!$D$31*0.95+0.05*Projects!$B$31*Assumptions!$B$10,Projects!$B$31*Assumptions!$B$10/Projects!$D$31*0.95),0)+IF(AND(Projects!$G$32="Yes",83&gt;=Projects!$C$32,83&lt;Projects!$C$32+Projects!$D$32),IF(83=Projects!$C$32+Projects!$D$32-1,Projects!$B$32*Assumptions!$B$10/Projects!$D$32*0.95+0.05*Projects!$B$32*Assumptions!$B$10,Projects!$B$32*Assumptions!$B$10/Projects!$D$32*0.95),0)+IF(AND(Projects!$G$33="Yes",83&gt;=Projects!$C$33,83&lt;Projects!$C$33+Projects!$D$33),IF(83=Projects!$C$33+Projects!$D$33-1,Projects!$B$33*Assumptions!$B$10/Projects!$D$33*0.95+0.05*Projects!$B$33*Assumptions!$B$10,Projects!$B$33*Assumptions!$B$10/Projects!$D$33*0.95),0)+IF(AND(Projects!$G$34="Yes",83&gt;=Projects!$C$34,83&lt;Projects!$C$34+Projects!$D$34),IF(83=Projects!$C$34+Projects!$D$34-1,Projects!$B$34*Assumptions!$B$10/Projects!$D$34*0.95+0.05*Projects!$B$34*Assumptions!$B$10,Projects!$B$34*Assumptions!$B$10/Projects!$D$34*0.95),0)+IF(AND(Projects!$G$35="Yes",83&gt;=Projects!$C$35,83&lt;Projects!$C$35+Projects!$D$35),IF(83=Projects!$C$35+Projects!$D$35-1,Projects!$B$35*Assumptions!$B$10/Projects!$D$35*0.95+0.05*Projects!$B$35*Assumptions!$B$10,Projects!$B$35*Assumptions!$B$10/Projects!$D$35*0.95),0)+IF(AND(Projects!$G$36="Yes",83&gt;=Projects!$C$36,83&lt;Projects!$C$36+Projects!$D$36),IF(83=Projects!$C$36+Projects!$D$36-1,Projects!$B$36*Assumptions!$B$10/Projects!$D$36*0.95+0.05*Projects!$B$36*Assumptions!$B$10,Projects!$B$36*Assumptions!$B$10/Projects!$D$36*0.95),0)+IF(AND(Projects!$G$37="Yes",83&gt;=Projects!$C$37,83&lt;Projects!$C$37+Projects!$D$37),IF(83=Projects!$C$37+Projects!$D$37-1,Projects!$B$37*Assumptions!$B$10/Projects!$D$37*0.95+0.05*Projects!$B$37*Assumptions!$B$10,Projects!$B$37*Assumptions!$B$10/Projects!$D$37*0.95),0)+IF(AND(Projects!$G$38="Yes",83&gt;=Projects!$C$38,83&lt;Projects!$C$38+Projects!$D$38),IF(83=Projects!$C$38+Projects!$D$38-1,Projects!$B$38*Assumptions!$B$10/Projects!$D$38*0.95+0.05*Projects!$B$38*Assumptions!$B$10,Projects!$B$38*Assumptions!$B$10/Projects!$D$38*0.95),0)+IF(AND(Projects!$G$39="Yes",83&gt;=Projects!$C$39,83&lt;Projects!$C$39+Projects!$D$39),IF(83=Projects!$C$39+Projects!$D$39-1,Projects!$B$39*Assumptions!$B$10/Projects!$D$39*0.95+0.05*Projects!$B$39*Assumptions!$B$10,Projects!$B$39*Assumptions!$B$10/Projects!$D$39*0.95),0)+IF(AND(Projects!$G$40="Yes",83&gt;=Projects!$C$40,83&lt;Projects!$C$40+Projects!$D$40),IF(83=Projects!$C$40+Projects!$D$40-1,Projects!$B$40*Assumptions!$B$10/Projects!$D$40*0.95+0.05*Projects!$B$40*Assumptions!$B$10,Projects!$B$40*Assumptions!$B$10/Projects!$D$40*0.95),0)+IF(AND(Projects!$G$41="Yes",83&gt;=Projects!$C$41,83&lt;Projects!$C$41+Projects!$D$41),IF(83=Projects!$C$41+Projects!$D$41-1,Projects!$B$41*Assumptions!$B$10/Projects!$D$41*0.95+0.05*Projects!$B$41*Assumptions!$B$10,Projects!$B$41*Assumptions!$B$10/Projects!$D$41*0.95),0)+IF(AND(Projects!$G$42="Yes",83&gt;=Projects!$C$42,83&lt;Projects!$C$42+Projects!$D$42),IF(83=Projects!$C$42+Projects!$D$42-1,Projects!$B$42*Assumptions!$B$10/Projects!$D$42*0.95+0.05*Projects!$B$42*Assumptions!$B$10,Projects!$B$42*Assumptions!$B$10/Projects!$D$42*0.95),0)+IF(AND(Projects!$G$43="Yes",83&gt;=Projects!$C$43,83&lt;Projects!$C$43+Projects!$D$43),IF(83=Projects!$C$43+Projects!$D$43-1,Projects!$B$43*Assumptions!$B$10/Projects!$D$43*0.95+0.05*Projects!$B$43*Assumptions!$B$10,Projects!$B$43*Assumptions!$B$10/Projects!$D$43*0.95),0)+IF(AND(Projects!$G$44="Yes",83&gt;=Projects!$C$44,83&lt;Projects!$C$44+Projects!$D$44),IF(83=Projects!$C$44+Projects!$D$44-1,Projects!$B$44*Assumptions!$B$10/Projects!$D$44*0.95+0.05*Projects!$B$44*Assumptions!$B$10,Projects!$B$44*Assumptions!$B$10/Projects!$D$44*0.95),0)+IF(AND(Projects!$G$45="Yes",83&gt;=Projects!$C$45,83&lt;Projects!$C$45+Projects!$D$45),IF(83=Projects!$C$45+Projects!$D$45-1,Projects!$B$45*Assumptions!$B$10/Projects!$D$45*0.95+0.05*Projects!$B$45*Assumptions!$B$10,Projects!$B$45*Assumptions!$B$10/Projects!$D$45*0.95),0)+IF(AND(Projects!$G$46="Yes",83&gt;=Projects!$C$46,83&lt;Projects!$C$46+Projects!$D$46),IF(83=Projects!$C$46+Projects!$D$46-1,Projects!$B$46*Assumptions!$B$10/Projects!$D$46*0.95+0.05*Projects!$B$46*Assumptions!$B$10,Projects!$B$46*Assumptions!$B$10/Projects!$D$46*0.95),0)</f>
        <v/>
      </c>
      <c r="CH108">
        <f>IF(AND(Projects!$G$30="Yes",84&gt;=Projects!$C$30,84&lt;Projects!$C$30+Projects!$D$30),IF(84=Projects!$C$30+Projects!$D$30-1,Projects!$B$30*Assumptions!$B$10/Projects!$D$30*0.95+0.05*Projects!$B$30*Assumptions!$B$10,Projects!$B$30*Assumptions!$B$10/Projects!$D$30*0.95),0)+IF(AND(Projects!$G$31="Yes",84&gt;=Projects!$C$31,84&lt;Projects!$C$31+Projects!$D$31),IF(84=Projects!$C$31+Projects!$D$31-1,Projects!$B$31*Assumptions!$B$10/Projects!$D$31*0.95+0.05*Projects!$B$31*Assumptions!$B$10,Projects!$B$31*Assumptions!$B$10/Projects!$D$31*0.95),0)+IF(AND(Projects!$G$32="Yes",84&gt;=Projects!$C$32,84&lt;Projects!$C$32+Projects!$D$32),IF(84=Projects!$C$32+Projects!$D$32-1,Projects!$B$32*Assumptions!$B$10/Projects!$D$32*0.95+0.05*Projects!$B$32*Assumptions!$B$10,Projects!$B$32*Assumptions!$B$10/Projects!$D$32*0.95),0)+IF(AND(Projects!$G$33="Yes",84&gt;=Projects!$C$33,84&lt;Projects!$C$33+Projects!$D$33),IF(84=Projects!$C$33+Projects!$D$33-1,Projects!$B$33*Assumptions!$B$10/Projects!$D$33*0.95+0.05*Projects!$B$33*Assumptions!$B$10,Projects!$B$33*Assumptions!$B$10/Projects!$D$33*0.95),0)+IF(AND(Projects!$G$34="Yes",84&gt;=Projects!$C$34,84&lt;Projects!$C$34+Projects!$D$34),IF(84=Projects!$C$34+Projects!$D$34-1,Projects!$B$34*Assumptions!$B$10/Projects!$D$34*0.95+0.05*Projects!$B$34*Assumptions!$B$10,Projects!$B$34*Assumptions!$B$10/Projects!$D$34*0.95),0)+IF(AND(Projects!$G$35="Yes",84&gt;=Projects!$C$35,84&lt;Projects!$C$35+Projects!$D$35),IF(84=Projects!$C$35+Projects!$D$35-1,Projects!$B$35*Assumptions!$B$10/Projects!$D$35*0.95+0.05*Projects!$B$35*Assumptions!$B$10,Projects!$B$35*Assumptions!$B$10/Projects!$D$35*0.95),0)+IF(AND(Projects!$G$36="Yes",84&gt;=Projects!$C$36,84&lt;Projects!$C$36+Projects!$D$36),IF(84=Projects!$C$36+Projects!$D$36-1,Projects!$B$36*Assumptions!$B$10/Projects!$D$36*0.95+0.05*Projects!$B$36*Assumptions!$B$10,Projects!$B$36*Assumptions!$B$10/Projects!$D$36*0.95),0)+IF(AND(Projects!$G$37="Yes",84&gt;=Projects!$C$37,84&lt;Projects!$C$37+Projects!$D$37),IF(84=Projects!$C$37+Projects!$D$37-1,Projects!$B$37*Assumptions!$B$10/Projects!$D$37*0.95+0.05*Projects!$B$37*Assumptions!$B$10,Projects!$B$37*Assumptions!$B$10/Projects!$D$37*0.95),0)+IF(AND(Projects!$G$38="Yes",84&gt;=Projects!$C$38,84&lt;Projects!$C$38+Projects!$D$38),IF(84=Projects!$C$38+Projects!$D$38-1,Projects!$B$38*Assumptions!$B$10/Projects!$D$38*0.95+0.05*Projects!$B$38*Assumptions!$B$10,Projects!$B$38*Assumptions!$B$10/Projects!$D$38*0.95),0)+IF(AND(Projects!$G$39="Yes",84&gt;=Projects!$C$39,84&lt;Projects!$C$39+Projects!$D$39),IF(84=Projects!$C$39+Projects!$D$39-1,Projects!$B$39*Assumptions!$B$10/Projects!$D$39*0.95+0.05*Projects!$B$39*Assumptions!$B$10,Projects!$B$39*Assumptions!$B$10/Projects!$D$39*0.95),0)+IF(AND(Projects!$G$40="Yes",84&gt;=Projects!$C$40,84&lt;Projects!$C$40+Projects!$D$40),IF(84=Projects!$C$40+Projects!$D$40-1,Projects!$B$40*Assumptions!$B$10/Projects!$D$40*0.95+0.05*Projects!$B$40*Assumptions!$B$10,Projects!$B$40*Assumptions!$B$10/Projects!$D$40*0.95),0)+IF(AND(Projects!$G$41="Yes",84&gt;=Projects!$C$41,84&lt;Projects!$C$41+Projects!$D$41),IF(84=Projects!$C$41+Projects!$D$41-1,Projects!$B$41*Assumptions!$B$10/Projects!$D$41*0.95+0.05*Projects!$B$41*Assumptions!$B$10,Projects!$B$41*Assumptions!$B$10/Projects!$D$41*0.95),0)+IF(AND(Projects!$G$42="Yes",84&gt;=Projects!$C$42,84&lt;Projects!$C$42+Projects!$D$42),IF(84=Projects!$C$42+Projects!$D$42-1,Projects!$B$42*Assumptions!$B$10/Projects!$D$42*0.95+0.05*Projects!$B$42*Assumptions!$B$10,Projects!$B$42*Assumptions!$B$10/Projects!$D$42*0.95),0)+IF(AND(Projects!$G$43="Yes",84&gt;=Projects!$C$43,84&lt;Projects!$C$43+Projects!$D$43),IF(84=Projects!$C$43+Projects!$D$43-1,Projects!$B$43*Assumptions!$B$10/Projects!$D$43*0.95+0.05*Projects!$B$43*Assumptions!$B$10,Projects!$B$43*Assumptions!$B$10/Projects!$D$43*0.95),0)+IF(AND(Projects!$G$44="Yes",84&gt;=Projects!$C$44,84&lt;Projects!$C$44+Projects!$D$44),IF(84=Projects!$C$44+Projects!$D$44-1,Projects!$B$44*Assumptions!$B$10/Projects!$D$44*0.95+0.05*Projects!$B$44*Assumptions!$B$10,Projects!$B$44*Assumptions!$B$10/Projects!$D$44*0.95),0)+IF(AND(Projects!$G$45="Yes",84&gt;=Projects!$C$45,84&lt;Projects!$C$45+Projects!$D$45),IF(84=Projects!$C$45+Projects!$D$45-1,Projects!$B$45*Assumptions!$B$10/Projects!$D$45*0.95+0.05*Projects!$B$45*Assumptions!$B$10,Projects!$B$45*Assumptions!$B$10/Projects!$D$45*0.95),0)+IF(AND(Projects!$G$46="Yes",84&gt;=Projects!$C$46,84&lt;Projects!$C$46+Projects!$D$46),IF(84=Projects!$C$46+Projects!$D$46-1,Projects!$B$46*Assumptions!$B$10/Projects!$D$46*0.95+0.05*Projects!$B$46*Assumptions!$B$10,Projects!$B$46*Assumptions!$B$10/Projects!$D$46*0.95),0)</f>
        <v/>
      </c>
    </row>
    <row r="109" ht="15" customHeight="1" s="201">
      <c r="A109" t="inlineStr">
        <is>
          <t>BD Phase 2 GC-CM Fee</t>
        </is>
      </c>
      <c r="C109">
        <f>IF(AND(Projects!$G$30="Yes",1&gt;=Projects!$C$30,1&lt;Projects!$C$30+Projects!$D$30),IF(1=Projects!$C$30+Projects!$D$30-1,Projects!$B$30*INDEX(Curves!$B$4:$AO$4,1,1-Projects!$C$30+1)*Assumptions!$B$11*0.95+0.05*Projects!$B$30*Assumptions!$B$11,Projects!$B$30*INDEX(Curves!$B$4:$AO$4,1,1-Projects!$C$30+1)*Assumptions!$B$11*0.95),0)+IF(AND(Projects!$G$31="Yes",1&gt;=Projects!$C$31,1&lt;Projects!$C$31+Projects!$D$31),IF(1=Projects!$C$31+Projects!$D$31-1,Projects!$B$31*INDEX(Curves!$B$4:$AO$4,1,1-Projects!$C$31+1)*Assumptions!$B$11*0.95+0.05*Projects!$B$31*Assumptions!$B$11,Projects!$B$31*INDEX(Curves!$B$4:$AO$4,1,1-Projects!$C$31+1)*Assumptions!$B$11*0.95),0)+IF(AND(Projects!$G$32="Yes",1&gt;=Projects!$C$32,1&lt;Projects!$C$32+Projects!$D$32),IF(1=Projects!$C$32+Projects!$D$32-1,Projects!$B$32*INDEX(Curves!$B$4:$AO$4,1,1-Projects!$C$32+1)*Assumptions!$B$11*0.95+0.05*Projects!$B$32*Assumptions!$B$11,Projects!$B$32*INDEX(Curves!$B$4:$AO$4,1,1-Projects!$C$32+1)*Assumptions!$B$11*0.95),0)+IF(AND(Projects!$G$33="Yes",1&gt;=Projects!$C$33,1&lt;Projects!$C$33+Projects!$D$33),IF(1=Projects!$C$33+Projects!$D$33-1,Projects!$B$33*INDEX(Curves!$B$4:$AO$4,1,1-Projects!$C$33+1)*Assumptions!$B$11*0.95+0.05*Projects!$B$33*Assumptions!$B$11,Projects!$B$33*INDEX(Curves!$B$4:$AO$4,1,1-Projects!$C$33+1)*Assumptions!$B$11*0.95),0)+IF(AND(Projects!$G$34="Yes",1&gt;=Projects!$C$34,1&lt;Projects!$C$34+Projects!$D$34),IF(1=Projects!$C$34+Projects!$D$34-1,Projects!$B$34*INDEX(Curves!$B$4:$AO$4,1,1-Projects!$C$34+1)*Assumptions!$B$11*0.95+0.05*Projects!$B$34*Assumptions!$B$11,Projects!$B$34*INDEX(Curves!$B$4:$AO$4,1,1-Projects!$C$34+1)*Assumptions!$B$11*0.95),0)+IF(AND(Projects!$G$35="Yes",1&gt;=Projects!$C$35,1&lt;Projects!$C$35+Projects!$D$35),IF(1=Projects!$C$35+Projects!$D$35-1,Projects!$B$35*INDEX(Curves!$B$4:$AO$4,1,1-Projects!$C$35+1)*Assumptions!$B$11*0.95+0.05*Projects!$B$35*Assumptions!$B$11,Projects!$B$35*INDEX(Curves!$B$4:$AO$4,1,1-Projects!$C$35+1)*Assumptions!$B$11*0.95),0)+IF(AND(Projects!$G$36="Yes",1&gt;=Projects!$C$36,1&lt;Projects!$C$36+Projects!$D$36),IF(1=Projects!$C$36+Projects!$D$36-1,Projects!$B$36*INDEX(Curves!$B$4:$AO$4,1,1-Projects!$C$36+1)*Assumptions!$B$11*0.95+0.05*Projects!$B$36*Assumptions!$B$11,Projects!$B$36*INDEX(Curves!$B$4:$AO$4,1,1-Projects!$C$36+1)*Assumptions!$B$11*0.95),0)+IF(AND(Projects!$G$37="Yes",1&gt;=Projects!$C$37,1&lt;Projects!$C$37+Projects!$D$37),IF(1=Projects!$C$37+Projects!$D$37-1,Projects!$B$37*INDEX(Curves!$B$4:$AO$4,1,1-Projects!$C$37+1)*Assumptions!$B$11*0.95+0.05*Projects!$B$37*Assumptions!$B$11,Projects!$B$37*INDEX(Curves!$B$4:$AO$4,1,1-Projects!$C$37+1)*Assumptions!$B$11*0.95),0)+IF(AND(Projects!$G$38="Yes",1&gt;=Projects!$C$38,1&lt;Projects!$C$38+Projects!$D$38),IF(1=Projects!$C$38+Projects!$D$38-1,Projects!$B$38*INDEX(Curves!$B$4:$AO$4,1,1-Projects!$C$38+1)*Assumptions!$B$11*0.95+0.05*Projects!$B$38*Assumptions!$B$11,Projects!$B$38*INDEX(Curves!$B$4:$AO$4,1,1-Projects!$C$38+1)*Assumptions!$B$11*0.95),0)+IF(AND(Projects!$G$39="Yes",1&gt;=Projects!$C$39,1&lt;Projects!$C$39+Projects!$D$39),IF(1=Projects!$C$39+Projects!$D$39-1,Projects!$B$39*INDEX(Curves!$B$4:$AO$4,1,1-Projects!$C$39+1)*Assumptions!$B$11*0.95+0.05*Projects!$B$39*Assumptions!$B$11,Projects!$B$39*INDEX(Curves!$B$4:$AO$4,1,1-Projects!$C$39+1)*Assumptions!$B$11*0.95),0)+IF(AND(Projects!$G$40="Yes",1&gt;=Projects!$C$40,1&lt;Projects!$C$40+Projects!$D$40),IF(1=Projects!$C$40+Projects!$D$40-1,Projects!$B$40*INDEX(Curves!$B$4:$AO$4,1,1-Projects!$C$40+1)*Assumptions!$B$11*0.95+0.05*Projects!$B$40*Assumptions!$B$11,Projects!$B$40*INDEX(Curves!$B$4:$AO$4,1,1-Projects!$C$40+1)*Assumptions!$B$11*0.95),0)+IF(AND(Projects!$G$41="Yes",1&gt;=Projects!$C$41,1&lt;Projects!$C$41+Projects!$D$41),IF(1=Projects!$C$41+Projects!$D$41-1,Projects!$B$41*INDEX(Curves!$B$4:$AO$4,1,1-Projects!$C$41+1)*Assumptions!$B$11*0.95+0.05*Projects!$B$41*Assumptions!$B$11,Projects!$B$41*INDEX(Curves!$B$4:$AO$4,1,1-Projects!$C$41+1)*Assumptions!$B$11*0.95),0)+IF(AND(Projects!$G$42="Yes",1&gt;=Projects!$C$42,1&lt;Projects!$C$42+Projects!$D$42),IF(1=Projects!$C$42+Projects!$D$42-1,Projects!$B$42*INDEX(Curves!$B$4:$AO$4,1,1-Projects!$C$42+1)*Assumptions!$B$11*0.95+0.05*Projects!$B$42*Assumptions!$B$11,Projects!$B$42*INDEX(Curves!$B$4:$AO$4,1,1-Projects!$C$42+1)*Assumptions!$B$11*0.95),0)+IF(AND(Projects!$G$43="Yes",1&gt;=Projects!$C$43,1&lt;Projects!$C$43+Projects!$D$43),IF(1=Projects!$C$43+Projects!$D$43-1,Projects!$B$43*INDEX(Curves!$B$4:$AO$4,1,1-Projects!$C$43+1)*Assumptions!$B$11*0.95+0.05*Projects!$B$43*Assumptions!$B$11,Projects!$B$43*INDEX(Curves!$B$4:$AO$4,1,1-Projects!$C$43+1)*Assumptions!$B$11*0.95),0)+IF(AND(Projects!$G$44="Yes",1&gt;=Projects!$C$44,1&lt;Projects!$C$44+Projects!$D$44),IF(1=Projects!$C$44+Projects!$D$44-1,Projects!$B$44*INDEX(Curves!$B$4:$AO$4,1,1-Projects!$C$44+1)*Assumptions!$B$11*0.95+0.05*Projects!$B$44*Assumptions!$B$11,Projects!$B$44*INDEX(Curves!$B$4:$AO$4,1,1-Projects!$C$44+1)*Assumptions!$B$11*0.95),0)+IF(AND(Projects!$G$45="Yes",1&gt;=Projects!$C$45,1&lt;Projects!$C$45+Projects!$D$45),IF(1=Projects!$C$45+Projects!$D$45-1,Projects!$B$45*INDEX(Curves!$B$4:$AO$4,1,1-Projects!$C$45+1)*Assumptions!$B$11*0.95+0.05*Projects!$B$45*Assumptions!$B$11,Projects!$B$45*INDEX(Curves!$B$4:$AO$4,1,1-Projects!$C$45+1)*Assumptions!$B$11*0.95),0)+IF(AND(Projects!$G$46="Yes",1&gt;=Projects!$C$46,1&lt;Projects!$C$46+Projects!$D$46),IF(1=Projects!$C$46+Projects!$D$46-1,Projects!$B$46*INDEX(Curves!$B$4:$AO$4,1,1-Projects!$C$46+1)*Assumptions!$B$11*0.95+0.05*Projects!$B$46*Assumptions!$B$11,Projects!$B$46*INDEX(Curves!$B$4:$AO$4,1,1-Projects!$C$46+1)*Assumptions!$B$11*0.95),0)</f>
        <v/>
      </c>
      <c r="D109">
        <f>IF(AND(Projects!$G$30="Yes",2&gt;=Projects!$C$30,2&lt;Projects!$C$30+Projects!$D$30),IF(2=Projects!$C$30+Projects!$D$30-1,Projects!$B$30*INDEX(Curves!$B$4:$AO$4,1,2-Projects!$C$30+1)*Assumptions!$B$11*0.95+0.05*Projects!$B$30*Assumptions!$B$11,Projects!$B$30*INDEX(Curves!$B$4:$AO$4,1,2-Projects!$C$30+1)*Assumptions!$B$11*0.95),0)+IF(AND(Projects!$G$31="Yes",2&gt;=Projects!$C$31,2&lt;Projects!$C$31+Projects!$D$31),IF(2=Projects!$C$31+Projects!$D$31-1,Projects!$B$31*INDEX(Curves!$B$4:$AO$4,1,2-Projects!$C$31+1)*Assumptions!$B$11*0.95+0.05*Projects!$B$31*Assumptions!$B$11,Projects!$B$31*INDEX(Curves!$B$4:$AO$4,1,2-Projects!$C$31+1)*Assumptions!$B$11*0.95),0)+IF(AND(Projects!$G$32="Yes",2&gt;=Projects!$C$32,2&lt;Projects!$C$32+Projects!$D$32),IF(2=Projects!$C$32+Projects!$D$32-1,Projects!$B$32*INDEX(Curves!$B$4:$AO$4,1,2-Projects!$C$32+1)*Assumptions!$B$11*0.95+0.05*Projects!$B$32*Assumptions!$B$11,Projects!$B$32*INDEX(Curves!$B$4:$AO$4,1,2-Projects!$C$32+1)*Assumptions!$B$11*0.95),0)+IF(AND(Projects!$G$33="Yes",2&gt;=Projects!$C$33,2&lt;Projects!$C$33+Projects!$D$33),IF(2=Projects!$C$33+Projects!$D$33-1,Projects!$B$33*INDEX(Curves!$B$4:$AO$4,1,2-Projects!$C$33+1)*Assumptions!$B$11*0.95+0.05*Projects!$B$33*Assumptions!$B$11,Projects!$B$33*INDEX(Curves!$B$4:$AO$4,1,2-Projects!$C$33+1)*Assumptions!$B$11*0.95),0)+IF(AND(Projects!$G$34="Yes",2&gt;=Projects!$C$34,2&lt;Projects!$C$34+Projects!$D$34),IF(2=Projects!$C$34+Projects!$D$34-1,Projects!$B$34*INDEX(Curves!$B$4:$AO$4,1,2-Projects!$C$34+1)*Assumptions!$B$11*0.95+0.05*Projects!$B$34*Assumptions!$B$11,Projects!$B$34*INDEX(Curves!$B$4:$AO$4,1,2-Projects!$C$34+1)*Assumptions!$B$11*0.95),0)+IF(AND(Projects!$G$35="Yes",2&gt;=Projects!$C$35,2&lt;Projects!$C$35+Projects!$D$35),IF(2=Projects!$C$35+Projects!$D$35-1,Projects!$B$35*INDEX(Curves!$B$4:$AO$4,1,2-Projects!$C$35+1)*Assumptions!$B$11*0.95+0.05*Projects!$B$35*Assumptions!$B$11,Projects!$B$35*INDEX(Curves!$B$4:$AO$4,1,2-Projects!$C$35+1)*Assumptions!$B$11*0.95),0)+IF(AND(Projects!$G$36="Yes",2&gt;=Projects!$C$36,2&lt;Projects!$C$36+Projects!$D$36),IF(2=Projects!$C$36+Projects!$D$36-1,Projects!$B$36*INDEX(Curves!$B$4:$AO$4,1,2-Projects!$C$36+1)*Assumptions!$B$11*0.95+0.05*Projects!$B$36*Assumptions!$B$11,Projects!$B$36*INDEX(Curves!$B$4:$AO$4,1,2-Projects!$C$36+1)*Assumptions!$B$11*0.95),0)+IF(AND(Projects!$G$37="Yes",2&gt;=Projects!$C$37,2&lt;Projects!$C$37+Projects!$D$37),IF(2=Projects!$C$37+Projects!$D$37-1,Projects!$B$37*INDEX(Curves!$B$4:$AO$4,1,2-Projects!$C$37+1)*Assumptions!$B$11*0.95+0.05*Projects!$B$37*Assumptions!$B$11,Projects!$B$37*INDEX(Curves!$B$4:$AO$4,1,2-Projects!$C$37+1)*Assumptions!$B$11*0.95),0)+IF(AND(Projects!$G$38="Yes",2&gt;=Projects!$C$38,2&lt;Projects!$C$38+Projects!$D$38),IF(2=Projects!$C$38+Projects!$D$38-1,Projects!$B$38*INDEX(Curves!$B$4:$AO$4,1,2-Projects!$C$38+1)*Assumptions!$B$11*0.95+0.05*Projects!$B$38*Assumptions!$B$11,Projects!$B$38*INDEX(Curves!$B$4:$AO$4,1,2-Projects!$C$38+1)*Assumptions!$B$11*0.95),0)+IF(AND(Projects!$G$39="Yes",2&gt;=Projects!$C$39,2&lt;Projects!$C$39+Projects!$D$39),IF(2=Projects!$C$39+Projects!$D$39-1,Projects!$B$39*INDEX(Curves!$B$4:$AO$4,1,2-Projects!$C$39+1)*Assumptions!$B$11*0.95+0.05*Projects!$B$39*Assumptions!$B$11,Projects!$B$39*INDEX(Curves!$B$4:$AO$4,1,2-Projects!$C$39+1)*Assumptions!$B$11*0.95),0)+IF(AND(Projects!$G$40="Yes",2&gt;=Projects!$C$40,2&lt;Projects!$C$40+Projects!$D$40),IF(2=Projects!$C$40+Projects!$D$40-1,Projects!$B$40*INDEX(Curves!$B$4:$AO$4,1,2-Projects!$C$40+1)*Assumptions!$B$11*0.95+0.05*Projects!$B$40*Assumptions!$B$11,Projects!$B$40*INDEX(Curves!$B$4:$AO$4,1,2-Projects!$C$40+1)*Assumptions!$B$11*0.95),0)+IF(AND(Projects!$G$41="Yes",2&gt;=Projects!$C$41,2&lt;Projects!$C$41+Projects!$D$41),IF(2=Projects!$C$41+Projects!$D$41-1,Projects!$B$41*INDEX(Curves!$B$4:$AO$4,1,2-Projects!$C$41+1)*Assumptions!$B$11*0.95+0.05*Projects!$B$41*Assumptions!$B$11,Projects!$B$41*INDEX(Curves!$B$4:$AO$4,1,2-Projects!$C$41+1)*Assumptions!$B$11*0.95),0)+IF(AND(Projects!$G$42="Yes",2&gt;=Projects!$C$42,2&lt;Projects!$C$42+Projects!$D$42),IF(2=Projects!$C$42+Projects!$D$42-1,Projects!$B$42*INDEX(Curves!$B$4:$AO$4,1,2-Projects!$C$42+1)*Assumptions!$B$11*0.95+0.05*Projects!$B$42*Assumptions!$B$11,Projects!$B$42*INDEX(Curves!$B$4:$AO$4,1,2-Projects!$C$42+1)*Assumptions!$B$11*0.95),0)+IF(AND(Projects!$G$43="Yes",2&gt;=Projects!$C$43,2&lt;Projects!$C$43+Projects!$D$43),IF(2=Projects!$C$43+Projects!$D$43-1,Projects!$B$43*INDEX(Curves!$B$4:$AO$4,1,2-Projects!$C$43+1)*Assumptions!$B$11*0.95+0.05*Projects!$B$43*Assumptions!$B$11,Projects!$B$43*INDEX(Curves!$B$4:$AO$4,1,2-Projects!$C$43+1)*Assumptions!$B$11*0.95),0)+IF(AND(Projects!$G$44="Yes",2&gt;=Projects!$C$44,2&lt;Projects!$C$44+Projects!$D$44),IF(2=Projects!$C$44+Projects!$D$44-1,Projects!$B$44*INDEX(Curves!$B$4:$AO$4,1,2-Projects!$C$44+1)*Assumptions!$B$11*0.95+0.05*Projects!$B$44*Assumptions!$B$11,Projects!$B$44*INDEX(Curves!$B$4:$AO$4,1,2-Projects!$C$44+1)*Assumptions!$B$11*0.95),0)+IF(AND(Projects!$G$45="Yes",2&gt;=Projects!$C$45,2&lt;Projects!$C$45+Projects!$D$45),IF(2=Projects!$C$45+Projects!$D$45-1,Projects!$B$45*INDEX(Curves!$B$4:$AO$4,1,2-Projects!$C$45+1)*Assumptions!$B$11*0.95+0.05*Projects!$B$45*Assumptions!$B$11,Projects!$B$45*INDEX(Curves!$B$4:$AO$4,1,2-Projects!$C$45+1)*Assumptions!$B$11*0.95),0)+IF(AND(Projects!$G$46="Yes",2&gt;=Projects!$C$46,2&lt;Projects!$C$46+Projects!$D$46),IF(2=Projects!$C$46+Projects!$D$46-1,Projects!$B$46*INDEX(Curves!$B$4:$AO$4,1,2-Projects!$C$46+1)*Assumptions!$B$11*0.95+0.05*Projects!$B$46*Assumptions!$B$11,Projects!$B$46*INDEX(Curves!$B$4:$AO$4,1,2-Projects!$C$46+1)*Assumptions!$B$11*0.95),0)</f>
        <v/>
      </c>
      <c r="E109">
        <f>IF(AND(Projects!$G$30="Yes",3&gt;=Projects!$C$30,3&lt;Projects!$C$30+Projects!$D$30),IF(3=Projects!$C$30+Projects!$D$30-1,Projects!$B$30*INDEX(Curves!$B$4:$AO$4,1,3-Projects!$C$30+1)*Assumptions!$B$11*0.95+0.05*Projects!$B$30*Assumptions!$B$11,Projects!$B$30*INDEX(Curves!$B$4:$AO$4,1,3-Projects!$C$30+1)*Assumptions!$B$11*0.95),0)+IF(AND(Projects!$G$31="Yes",3&gt;=Projects!$C$31,3&lt;Projects!$C$31+Projects!$D$31),IF(3=Projects!$C$31+Projects!$D$31-1,Projects!$B$31*INDEX(Curves!$B$4:$AO$4,1,3-Projects!$C$31+1)*Assumptions!$B$11*0.95+0.05*Projects!$B$31*Assumptions!$B$11,Projects!$B$31*INDEX(Curves!$B$4:$AO$4,1,3-Projects!$C$31+1)*Assumptions!$B$11*0.95),0)+IF(AND(Projects!$G$32="Yes",3&gt;=Projects!$C$32,3&lt;Projects!$C$32+Projects!$D$32),IF(3=Projects!$C$32+Projects!$D$32-1,Projects!$B$32*INDEX(Curves!$B$4:$AO$4,1,3-Projects!$C$32+1)*Assumptions!$B$11*0.95+0.05*Projects!$B$32*Assumptions!$B$11,Projects!$B$32*INDEX(Curves!$B$4:$AO$4,1,3-Projects!$C$32+1)*Assumptions!$B$11*0.95),0)+IF(AND(Projects!$G$33="Yes",3&gt;=Projects!$C$33,3&lt;Projects!$C$33+Projects!$D$33),IF(3=Projects!$C$33+Projects!$D$33-1,Projects!$B$33*INDEX(Curves!$B$4:$AO$4,1,3-Projects!$C$33+1)*Assumptions!$B$11*0.95+0.05*Projects!$B$33*Assumptions!$B$11,Projects!$B$33*INDEX(Curves!$B$4:$AO$4,1,3-Projects!$C$33+1)*Assumptions!$B$11*0.95),0)+IF(AND(Projects!$G$34="Yes",3&gt;=Projects!$C$34,3&lt;Projects!$C$34+Projects!$D$34),IF(3=Projects!$C$34+Projects!$D$34-1,Projects!$B$34*INDEX(Curves!$B$4:$AO$4,1,3-Projects!$C$34+1)*Assumptions!$B$11*0.95+0.05*Projects!$B$34*Assumptions!$B$11,Projects!$B$34*INDEX(Curves!$B$4:$AO$4,1,3-Projects!$C$34+1)*Assumptions!$B$11*0.95),0)+IF(AND(Projects!$G$35="Yes",3&gt;=Projects!$C$35,3&lt;Projects!$C$35+Projects!$D$35),IF(3=Projects!$C$35+Projects!$D$35-1,Projects!$B$35*INDEX(Curves!$B$4:$AO$4,1,3-Projects!$C$35+1)*Assumptions!$B$11*0.95+0.05*Projects!$B$35*Assumptions!$B$11,Projects!$B$35*INDEX(Curves!$B$4:$AO$4,1,3-Projects!$C$35+1)*Assumptions!$B$11*0.95),0)+IF(AND(Projects!$G$36="Yes",3&gt;=Projects!$C$36,3&lt;Projects!$C$36+Projects!$D$36),IF(3=Projects!$C$36+Projects!$D$36-1,Projects!$B$36*INDEX(Curves!$B$4:$AO$4,1,3-Projects!$C$36+1)*Assumptions!$B$11*0.95+0.05*Projects!$B$36*Assumptions!$B$11,Projects!$B$36*INDEX(Curves!$B$4:$AO$4,1,3-Projects!$C$36+1)*Assumptions!$B$11*0.95),0)+IF(AND(Projects!$G$37="Yes",3&gt;=Projects!$C$37,3&lt;Projects!$C$37+Projects!$D$37),IF(3=Projects!$C$37+Projects!$D$37-1,Projects!$B$37*INDEX(Curves!$B$4:$AO$4,1,3-Projects!$C$37+1)*Assumptions!$B$11*0.95+0.05*Projects!$B$37*Assumptions!$B$11,Projects!$B$37*INDEX(Curves!$B$4:$AO$4,1,3-Projects!$C$37+1)*Assumptions!$B$11*0.95),0)+IF(AND(Projects!$G$38="Yes",3&gt;=Projects!$C$38,3&lt;Projects!$C$38+Projects!$D$38),IF(3=Projects!$C$38+Projects!$D$38-1,Projects!$B$38*INDEX(Curves!$B$4:$AO$4,1,3-Projects!$C$38+1)*Assumptions!$B$11*0.95+0.05*Projects!$B$38*Assumptions!$B$11,Projects!$B$38*INDEX(Curves!$B$4:$AO$4,1,3-Projects!$C$38+1)*Assumptions!$B$11*0.95),0)+IF(AND(Projects!$G$39="Yes",3&gt;=Projects!$C$39,3&lt;Projects!$C$39+Projects!$D$39),IF(3=Projects!$C$39+Projects!$D$39-1,Projects!$B$39*INDEX(Curves!$B$4:$AO$4,1,3-Projects!$C$39+1)*Assumptions!$B$11*0.95+0.05*Projects!$B$39*Assumptions!$B$11,Projects!$B$39*INDEX(Curves!$B$4:$AO$4,1,3-Projects!$C$39+1)*Assumptions!$B$11*0.95),0)+IF(AND(Projects!$G$40="Yes",3&gt;=Projects!$C$40,3&lt;Projects!$C$40+Projects!$D$40),IF(3=Projects!$C$40+Projects!$D$40-1,Projects!$B$40*INDEX(Curves!$B$4:$AO$4,1,3-Projects!$C$40+1)*Assumptions!$B$11*0.95+0.05*Projects!$B$40*Assumptions!$B$11,Projects!$B$40*INDEX(Curves!$B$4:$AO$4,1,3-Projects!$C$40+1)*Assumptions!$B$11*0.95),0)+IF(AND(Projects!$G$41="Yes",3&gt;=Projects!$C$41,3&lt;Projects!$C$41+Projects!$D$41),IF(3=Projects!$C$41+Projects!$D$41-1,Projects!$B$41*INDEX(Curves!$B$4:$AO$4,1,3-Projects!$C$41+1)*Assumptions!$B$11*0.95+0.05*Projects!$B$41*Assumptions!$B$11,Projects!$B$41*INDEX(Curves!$B$4:$AO$4,1,3-Projects!$C$41+1)*Assumptions!$B$11*0.95),0)+IF(AND(Projects!$G$42="Yes",3&gt;=Projects!$C$42,3&lt;Projects!$C$42+Projects!$D$42),IF(3=Projects!$C$42+Projects!$D$42-1,Projects!$B$42*INDEX(Curves!$B$4:$AO$4,1,3-Projects!$C$42+1)*Assumptions!$B$11*0.95+0.05*Projects!$B$42*Assumptions!$B$11,Projects!$B$42*INDEX(Curves!$B$4:$AO$4,1,3-Projects!$C$42+1)*Assumptions!$B$11*0.95),0)+IF(AND(Projects!$G$43="Yes",3&gt;=Projects!$C$43,3&lt;Projects!$C$43+Projects!$D$43),IF(3=Projects!$C$43+Projects!$D$43-1,Projects!$B$43*INDEX(Curves!$B$4:$AO$4,1,3-Projects!$C$43+1)*Assumptions!$B$11*0.95+0.05*Projects!$B$43*Assumptions!$B$11,Projects!$B$43*INDEX(Curves!$B$4:$AO$4,1,3-Projects!$C$43+1)*Assumptions!$B$11*0.95),0)+IF(AND(Projects!$G$44="Yes",3&gt;=Projects!$C$44,3&lt;Projects!$C$44+Projects!$D$44),IF(3=Projects!$C$44+Projects!$D$44-1,Projects!$B$44*INDEX(Curves!$B$4:$AO$4,1,3-Projects!$C$44+1)*Assumptions!$B$11*0.95+0.05*Projects!$B$44*Assumptions!$B$11,Projects!$B$44*INDEX(Curves!$B$4:$AO$4,1,3-Projects!$C$44+1)*Assumptions!$B$11*0.95),0)+IF(AND(Projects!$G$45="Yes",3&gt;=Projects!$C$45,3&lt;Projects!$C$45+Projects!$D$45),IF(3=Projects!$C$45+Projects!$D$45-1,Projects!$B$45*INDEX(Curves!$B$4:$AO$4,1,3-Projects!$C$45+1)*Assumptions!$B$11*0.95+0.05*Projects!$B$45*Assumptions!$B$11,Projects!$B$45*INDEX(Curves!$B$4:$AO$4,1,3-Projects!$C$45+1)*Assumptions!$B$11*0.95),0)+IF(AND(Projects!$G$46="Yes",3&gt;=Projects!$C$46,3&lt;Projects!$C$46+Projects!$D$46),IF(3=Projects!$C$46+Projects!$D$46-1,Projects!$B$46*INDEX(Curves!$B$4:$AO$4,1,3-Projects!$C$46+1)*Assumptions!$B$11*0.95+0.05*Projects!$B$46*Assumptions!$B$11,Projects!$B$46*INDEX(Curves!$B$4:$AO$4,1,3-Projects!$C$46+1)*Assumptions!$B$11*0.95),0)</f>
        <v/>
      </c>
      <c r="F109">
        <f>IF(AND(Projects!$G$30="Yes",4&gt;=Projects!$C$30,4&lt;Projects!$C$30+Projects!$D$30),IF(4=Projects!$C$30+Projects!$D$30-1,Projects!$B$30*INDEX(Curves!$B$4:$AO$4,1,4-Projects!$C$30+1)*Assumptions!$B$11*0.95+0.05*Projects!$B$30*Assumptions!$B$11,Projects!$B$30*INDEX(Curves!$B$4:$AO$4,1,4-Projects!$C$30+1)*Assumptions!$B$11*0.95),0)+IF(AND(Projects!$G$31="Yes",4&gt;=Projects!$C$31,4&lt;Projects!$C$31+Projects!$D$31),IF(4=Projects!$C$31+Projects!$D$31-1,Projects!$B$31*INDEX(Curves!$B$4:$AO$4,1,4-Projects!$C$31+1)*Assumptions!$B$11*0.95+0.05*Projects!$B$31*Assumptions!$B$11,Projects!$B$31*INDEX(Curves!$B$4:$AO$4,1,4-Projects!$C$31+1)*Assumptions!$B$11*0.95),0)+IF(AND(Projects!$G$32="Yes",4&gt;=Projects!$C$32,4&lt;Projects!$C$32+Projects!$D$32),IF(4=Projects!$C$32+Projects!$D$32-1,Projects!$B$32*INDEX(Curves!$B$4:$AO$4,1,4-Projects!$C$32+1)*Assumptions!$B$11*0.95+0.05*Projects!$B$32*Assumptions!$B$11,Projects!$B$32*INDEX(Curves!$B$4:$AO$4,1,4-Projects!$C$32+1)*Assumptions!$B$11*0.95),0)+IF(AND(Projects!$G$33="Yes",4&gt;=Projects!$C$33,4&lt;Projects!$C$33+Projects!$D$33),IF(4=Projects!$C$33+Projects!$D$33-1,Projects!$B$33*INDEX(Curves!$B$4:$AO$4,1,4-Projects!$C$33+1)*Assumptions!$B$11*0.95+0.05*Projects!$B$33*Assumptions!$B$11,Projects!$B$33*INDEX(Curves!$B$4:$AO$4,1,4-Projects!$C$33+1)*Assumptions!$B$11*0.95),0)+IF(AND(Projects!$G$34="Yes",4&gt;=Projects!$C$34,4&lt;Projects!$C$34+Projects!$D$34),IF(4=Projects!$C$34+Projects!$D$34-1,Projects!$B$34*INDEX(Curves!$B$4:$AO$4,1,4-Projects!$C$34+1)*Assumptions!$B$11*0.95+0.05*Projects!$B$34*Assumptions!$B$11,Projects!$B$34*INDEX(Curves!$B$4:$AO$4,1,4-Projects!$C$34+1)*Assumptions!$B$11*0.95),0)+IF(AND(Projects!$G$35="Yes",4&gt;=Projects!$C$35,4&lt;Projects!$C$35+Projects!$D$35),IF(4=Projects!$C$35+Projects!$D$35-1,Projects!$B$35*INDEX(Curves!$B$4:$AO$4,1,4-Projects!$C$35+1)*Assumptions!$B$11*0.95+0.05*Projects!$B$35*Assumptions!$B$11,Projects!$B$35*INDEX(Curves!$B$4:$AO$4,1,4-Projects!$C$35+1)*Assumptions!$B$11*0.95),0)+IF(AND(Projects!$G$36="Yes",4&gt;=Projects!$C$36,4&lt;Projects!$C$36+Projects!$D$36),IF(4=Projects!$C$36+Projects!$D$36-1,Projects!$B$36*INDEX(Curves!$B$4:$AO$4,1,4-Projects!$C$36+1)*Assumptions!$B$11*0.95+0.05*Projects!$B$36*Assumptions!$B$11,Projects!$B$36*INDEX(Curves!$B$4:$AO$4,1,4-Projects!$C$36+1)*Assumptions!$B$11*0.95),0)+IF(AND(Projects!$G$37="Yes",4&gt;=Projects!$C$37,4&lt;Projects!$C$37+Projects!$D$37),IF(4=Projects!$C$37+Projects!$D$37-1,Projects!$B$37*INDEX(Curves!$B$4:$AO$4,1,4-Projects!$C$37+1)*Assumptions!$B$11*0.95+0.05*Projects!$B$37*Assumptions!$B$11,Projects!$B$37*INDEX(Curves!$B$4:$AO$4,1,4-Projects!$C$37+1)*Assumptions!$B$11*0.95),0)+IF(AND(Projects!$G$38="Yes",4&gt;=Projects!$C$38,4&lt;Projects!$C$38+Projects!$D$38),IF(4=Projects!$C$38+Projects!$D$38-1,Projects!$B$38*INDEX(Curves!$B$4:$AO$4,1,4-Projects!$C$38+1)*Assumptions!$B$11*0.95+0.05*Projects!$B$38*Assumptions!$B$11,Projects!$B$38*INDEX(Curves!$B$4:$AO$4,1,4-Projects!$C$38+1)*Assumptions!$B$11*0.95),0)+IF(AND(Projects!$G$39="Yes",4&gt;=Projects!$C$39,4&lt;Projects!$C$39+Projects!$D$39),IF(4=Projects!$C$39+Projects!$D$39-1,Projects!$B$39*INDEX(Curves!$B$4:$AO$4,1,4-Projects!$C$39+1)*Assumptions!$B$11*0.95+0.05*Projects!$B$39*Assumptions!$B$11,Projects!$B$39*INDEX(Curves!$B$4:$AO$4,1,4-Projects!$C$39+1)*Assumptions!$B$11*0.95),0)+IF(AND(Projects!$G$40="Yes",4&gt;=Projects!$C$40,4&lt;Projects!$C$40+Projects!$D$40),IF(4=Projects!$C$40+Projects!$D$40-1,Projects!$B$40*INDEX(Curves!$B$4:$AO$4,1,4-Projects!$C$40+1)*Assumptions!$B$11*0.95+0.05*Projects!$B$40*Assumptions!$B$11,Projects!$B$40*INDEX(Curves!$B$4:$AO$4,1,4-Projects!$C$40+1)*Assumptions!$B$11*0.95),0)+IF(AND(Projects!$G$41="Yes",4&gt;=Projects!$C$41,4&lt;Projects!$C$41+Projects!$D$41),IF(4=Projects!$C$41+Projects!$D$41-1,Projects!$B$41*INDEX(Curves!$B$4:$AO$4,1,4-Projects!$C$41+1)*Assumptions!$B$11*0.95+0.05*Projects!$B$41*Assumptions!$B$11,Projects!$B$41*INDEX(Curves!$B$4:$AO$4,1,4-Projects!$C$41+1)*Assumptions!$B$11*0.95),0)+IF(AND(Projects!$G$42="Yes",4&gt;=Projects!$C$42,4&lt;Projects!$C$42+Projects!$D$42),IF(4=Projects!$C$42+Projects!$D$42-1,Projects!$B$42*INDEX(Curves!$B$4:$AO$4,1,4-Projects!$C$42+1)*Assumptions!$B$11*0.95+0.05*Projects!$B$42*Assumptions!$B$11,Projects!$B$42*INDEX(Curves!$B$4:$AO$4,1,4-Projects!$C$42+1)*Assumptions!$B$11*0.95),0)+IF(AND(Projects!$G$43="Yes",4&gt;=Projects!$C$43,4&lt;Projects!$C$43+Projects!$D$43),IF(4=Projects!$C$43+Projects!$D$43-1,Projects!$B$43*INDEX(Curves!$B$4:$AO$4,1,4-Projects!$C$43+1)*Assumptions!$B$11*0.95+0.05*Projects!$B$43*Assumptions!$B$11,Projects!$B$43*INDEX(Curves!$B$4:$AO$4,1,4-Projects!$C$43+1)*Assumptions!$B$11*0.95),0)+IF(AND(Projects!$G$44="Yes",4&gt;=Projects!$C$44,4&lt;Projects!$C$44+Projects!$D$44),IF(4=Projects!$C$44+Projects!$D$44-1,Projects!$B$44*INDEX(Curves!$B$4:$AO$4,1,4-Projects!$C$44+1)*Assumptions!$B$11*0.95+0.05*Projects!$B$44*Assumptions!$B$11,Projects!$B$44*INDEX(Curves!$B$4:$AO$4,1,4-Projects!$C$44+1)*Assumptions!$B$11*0.95),0)+IF(AND(Projects!$G$45="Yes",4&gt;=Projects!$C$45,4&lt;Projects!$C$45+Projects!$D$45),IF(4=Projects!$C$45+Projects!$D$45-1,Projects!$B$45*INDEX(Curves!$B$4:$AO$4,1,4-Projects!$C$45+1)*Assumptions!$B$11*0.95+0.05*Projects!$B$45*Assumptions!$B$11,Projects!$B$45*INDEX(Curves!$B$4:$AO$4,1,4-Projects!$C$45+1)*Assumptions!$B$11*0.95),0)+IF(AND(Projects!$G$46="Yes",4&gt;=Projects!$C$46,4&lt;Projects!$C$46+Projects!$D$46),IF(4=Projects!$C$46+Projects!$D$46-1,Projects!$B$46*INDEX(Curves!$B$4:$AO$4,1,4-Projects!$C$46+1)*Assumptions!$B$11*0.95+0.05*Projects!$B$46*Assumptions!$B$11,Projects!$B$46*INDEX(Curves!$B$4:$AO$4,1,4-Projects!$C$46+1)*Assumptions!$B$11*0.95),0)</f>
        <v/>
      </c>
      <c r="G109">
        <f>IF(AND(Projects!$G$30="Yes",5&gt;=Projects!$C$30,5&lt;Projects!$C$30+Projects!$D$30),IF(5=Projects!$C$30+Projects!$D$30-1,Projects!$B$30*INDEX(Curves!$B$4:$AO$4,1,5-Projects!$C$30+1)*Assumptions!$B$11*0.95+0.05*Projects!$B$30*Assumptions!$B$11,Projects!$B$30*INDEX(Curves!$B$4:$AO$4,1,5-Projects!$C$30+1)*Assumptions!$B$11*0.95),0)+IF(AND(Projects!$G$31="Yes",5&gt;=Projects!$C$31,5&lt;Projects!$C$31+Projects!$D$31),IF(5=Projects!$C$31+Projects!$D$31-1,Projects!$B$31*INDEX(Curves!$B$4:$AO$4,1,5-Projects!$C$31+1)*Assumptions!$B$11*0.95+0.05*Projects!$B$31*Assumptions!$B$11,Projects!$B$31*INDEX(Curves!$B$4:$AO$4,1,5-Projects!$C$31+1)*Assumptions!$B$11*0.95),0)+IF(AND(Projects!$G$32="Yes",5&gt;=Projects!$C$32,5&lt;Projects!$C$32+Projects!$D$32),IF(5=Projects!$C$32+Projects!$D$32-1,Projects!$B$32*INDEX(Curves!$B$4:$AO$4,1,5-Projects!$C$32+1)*Assumptions!$B$11*0.95+0.05*Projects!$B$32*Assumptions!$B$11,Projects!$B$32*INDEX(Curves!$B$4:$AO$4,1,5-Projects!$C$32+1)*Assumptions!$B$11*0.95),0)+IF(AND(Projects!$G$33="Yes",5&gt;=Projects!$C$33,5&lt;Projects!$C$33+Projects!$D$33),IF(5=Projects!$C$33+Projects!$D$33-1,Projects!$B$33*INDEX(Curves!$B$4:$AO$4,1,5-Projects!$C$33+1)*Assumptions!$B$11*0.95+0.05*Projects!$B$33*Assumptions!$B$11,Projects!$B$33*INDEX(Curves!$B$4:$AO$4,1,5-Projects!$C$33+1)*Assumptions!$B$11*0.95),0)+IF(AND(Projects!$G$34="Yes",5&gt;=Projects!$C$34,5&lt;Projects!$C$34+Projects!$D$34),IF(5=Projects!$C$34+Projects!$D$34-1,Projects!$B$34*INDEX(Curves!$B$4:$AO$4,1,5-Projects!$C$34+1)*Assumptions!$B$11*0.95+0.05*Projects!$B$34*Assumptions!$B$11,Projects!$B$34*INDEX(Curves!$B$4:$AO$4,1,5-Projects!$C$34+1)*Assumptions!$B$11*0.95),0)+IF(AND(Projects!$G$35="Yes",5&gt;=Projects!$C$35,5&lt;Projects!$C$35+Projects!$D$35),IF(5=Projects!$C$35+Projects!$D$35-1,Projects!$B$35*INDEX(Curves!$B$4:$AO$4,1,5-Projects!$C$35+1)*Assumptions!$B$11*0.95+0.05*Projects!$B$35*Assumptions!$B$11,Projects!$B$35*INDEX(Curves!$B$4:$AO$4,1,5-Projects!$C$35+1)*Assumptions!$B$11*0.95),0)+IF(AND(Projects!$G$36="Yes",5&gt;=Projects!$C$36,5&lt;Projects!$C$36+Projects!$D$36),IF(5=Projects!$C$36+Projects!$D$36-1,Projects!$B$36*INDEX(Curves!$B$4:$AO$4,1,5-Projects!$C$36+1)*Assumptions!$B$11*0.95+0.05*Projects!$B$36*Assumptions!$B$11,Projects!$B$36*INDEX(Curves!$B$4:$AO$4,1,5-Projects!$C$36+1)*Assumptions!$B$11*0.95),0)+IF(AND(Projects!$G$37="Yes",5&gt;=Projects!$C$37,5&lt;Projects!$C$37+Projects!$D$37),IF(5=Projects!$C$37+Projects!$D$37-1,Projects!$B$37*INDEX(Curves!$B$4:$AO$4,1,5-Projects!$C$37+1)*Assumptions!$B$11*0.95+0.05*Projects!$B$37*Assumptions!$B$11,Projects!$B$37*INDEX(Curves!$B$4:$AO$4,1,5-Projects!$C$37+1)*Assumptions!$B$11*0.95),0)+IF(AND(Projects!$G$38="Yes",5&gt;=Projects!$C$38,5&lt;Projects!$C$38+Projects!$D$38),IF(5=Projects!$C$38+Projects!$D$38-1,Projects!$B$38*INDEX(Curves!$B$4:$AO$4,1,5-Projects!$C$38+1)*Assumptions!$B$11*0.95+0.05*Projects!$B$38*Assumptions!$B$11,Projects!$B$38*INDEX(Curves!$B$4:$AO$4,1,5-Projects!$C$38+1)*Assumptions!$B$11*0.95),0)+IF(AND(Projects!$G$39="Yes",5&gt;=Projects!$C$39,5&lt;Projects!$C$39+Projects!$D$39),IF(5=Projects!$C$39+Projects!$D$39-1,Projects!$B$39*INDEX(Curves!$B$4:$AO$4,1,5-Projects!$C$39+1)*Assumptions!$B$11*0.95+0.05*Projects!$B$39*Assumptions!$B$11,Projects!$B$39*INDEX(Curves!$B$4:$AO$4,1,5-Projects!$C$39+1)*Assumptions!$B$11*0.95),0)+IF(AND(Projects!$G$40="Yes",5&gt;=Projects!$C$40,5&lt;Projects!$C$40+Projects!$D$40),IF(5=Projects!$C$40+Projects!$D$40-1,Projects!$B$40*INDEX(Curves!$B$4:$AO$4,1,5-Projects!$C$40+1)*Assumptions!$B$11*0.95+0.05*Projects!$B$40*Assumptions!$B$11,Projects!$B$40*INDEX(Curves!$B$4:$AO$4,1,5-Projects!$C$40+1)*Assumptions!$B$11*0.95),0)+IF(AND(Projects!$G$41="Yes",5&gt;=Projects!$C$41,5&lt;Projects!$C$41+Projects!$D$41),IF(5=Projects!$C$41+Projects!$D$41-1,Projects!$B$41*INDEX(Curves!$B$4:$AO$4,1,5-Projects!$C$41+1)*Assumptions!$B$11*0.95+0.05*Projects!$B$41*Assumptions!$B$11,Projects!$B$41*INDEX(Curves!$B$4:$AO$4,1,5-Projects!$C$41+1)*Assumptions!$B$11*0.95),0)+IF(AND(Projects!$G$42="Yes",5&gt;=Projects!$C$42,5&lt;Projects!$C$42+Projects!$D$42),IF(5=Projects!$C$42+Projects!$D$42-1,Projects!$B$42*INDEX(Curves!$B$4:$AO$4,1,5-Projects!$C$42+1)*Assumptions!$B$11*0.95+0.05*Projects!$B$42*Assumptions!$B$11,Projects!$B$42*INDEX(Curves!$B$4:$AO$4,1,5-Projects!$C$42+1)*Assumptions!$B$11*0.95),0)+IF(AND(Projects!$G$43="Yes",5&gt;=Projects!$C$43,5&lt;Projects!$C$43+Projects!$D$43),IF(5=Projects!$C$43+Projects!$D$43-1,Projects!$B$43*INDEX(Curves!$B$4:$AO$4,1,5-Projects!$C$43+1)*Assumptions!$B$11*0.95+0.05*Projects!$B$43*Assumptions!$B$11,Projects!$B$43*INDEX(Curves!$B$4:$AO$4,1,5-Projects!$C$43+1)*Assumptions!$B$11*0.95),0)+IF(AND(Projects!$G$44="Yes",5&gt;=Projects!$C$44,5&lt;Projects!$C$44+Projects!$D$44),IF(5=Projects!$C$44+Projects!$D$44-1,Projects!$B$44*INDEX(Curves!$B$4:$AO$4,1,5-Projects!$C$44+1)*Assumptions!$B$11*0.95+0.05*Projects!$B$44*Assumptions!$B$11,Projects!$B$44*INDEX(Curves!$B$4:$AO$4,1,5-Projects!$C$44+1)*Assumptions!$B$11*0.95),0)+IF(AND(Projects!$G$45="Yes",5&gt;=Projects!$C$45,5&lt;Projects!$C$45+Projects!$D$45),IF(5=Projects!$C$45+Projects!$D$45-1,Projects!$B$45*INDEX(Curves!$B$4:$AO$4,1,5-Projects!$C$45+1)*Assumptions!$B$11*0.95+0.05*Projects!$B$45*Assumptions!$B$11,Projects!$B$45*INDEX(Curves!$B$4:$AO$4,1,5-Projects!$C$45+1)*Assumptions!$B$11*0.95),0)+IF(AND(Projects!$G$46="Yes",5&gt;=Projects!$C$46,5&lt;Projects!$C$46+Projects!$D$46),IF(5=Projects!$C$46+Projects!$D$46-1,Projects!$B$46*INDEX(Curves!$B$4:$AO$4,1,5-Projects!$C$46+1)*Assumptions!$B$11*0.95+0.05*Projects!$B$46*Assumptions!$B$11,Projects!$B$46*INDEX(Curves!$B$4:$AO$4,1,5-Projects!$C$46+1)*Assumptions!$B$11*0.95),0)</f>
        <v/>
      </c>
      <c r="H109">
        <f>IF(AND(Projects!$G$30="Yes",6&gt;=Projects!$C$30,6&lt;Projects!$C$30+Projects!$D$30),IF(6=Projects!$C$30+Projects!$D$30-1,Projects!$B$30*INDEX(Curves!$B$4:$AO$4,1,6-Projects!$C$30+1)*Assumptions!$B$11*0.95+0.05*Projects!$B$30*Assumptions!$B$11,Projects!$B$30*INDEX(Curves!$B$4:$AO$4,1,6-Projects!$C$30+1)*Assumptions!$B$11*0.95),0)+IF(AND(Projects!$G$31="Yes",6&gt;=Projects!$C$31,6&lt;Projects!$C$31+Projects!$D$31),IF(6=Projects!$C$31+Projects!$D$31-1,Projects!$B$31*INDEX(Curves!$B$4:$AO$4,1,6-Projects!$C$31+1)*Assumptions!$B$11*0.95+0.05*Projects!$B$31*Assumptions!$B$11,Projects!$B$31*INDEX(Curves!$B$4:$AO$4,1,6-Projects!$C$31+1)*Assumptions!$B$11*0.95),0)+IF(AND(Projects!$G$32="Yes",6&gt;=Projects!$C$32,6&lt;Projects!$C$32+Projects!$D$32),IF(6=Projects!$C$32+Projects!$D$32-1,Projects!$B$32*INDEX(Curves!$B$4:$AO$4,1,6-Projects!$C$32+1)*Assumptions!$B$11*0.95+0.05*Projects!$B$32*Assumptions!$B$11,Projects!$B$32*INDEX(Curves!$B$4:$AO$4,1,6-Projects!$C$32+1)*Assumptions!$B$11*0.95),0)+IF(AND(Projects!$G$33="Yes",6&gt;=Projects!$C$33,6&lt;Projects!$C$33+Projects!$D$33),IF(6=Projects!$C$33+Projects!$D$33-1,Projects!$B$33*INDEX(Curves!$B$4:$AO$4,1,6-Projects!$C$33+1)*Assumptions!$B$11*0.95+0.05*Projects!$B$33*Assumptions!$B$11,Projects!$B$33*INDEX(Curves!$B$4:$AO$4,1,6-Projects!$C$33+1)*Assumptions!$B$11*0.95),0)+IF(AND(Projects!$G$34="Yes",6&gt;=Projects!$C$34,6&lt;Projects!$C$34+Projects!$D$34),IF(6=Projects!$C$34+Projects!$D$34-1,Projects!$B$34*INDEX(Curves!$B$4:$AO$4,1,6-Projects!$C$34+1)*Assumptions!$B$11*0.95+0.05*Projects!$B$34*Assumptions!$B$11,Projects!$B$34*INDEX(Curves!$B$4:$AO$4,1,6-Projects!$C$34+1)*Assumptions!$B$11*0.95),0)+IF(AND(Projects!$G$35="Yes",6&gt;=Projects!$C$35,6&lt;Projects!$C$35+Projects!$D$35),IF(6=Projects!$C$35+Projects!$D$35-1,Projects!$B$35*INDEX(Curves!$B$4:$AO$4,1,6-Projects!$C$35+1)*Assumptions!$B$11*0.95+0.05*Projects!$B$35*Assumptions!$B$11,Projects!$B$35*INDEX(Curves!$B$4:$AO$4,1,6-Projects!$C$35+1)*Assumptions!$B$11*0.95),0)+IF(AND(Projects!$G$36="Yes",6&gt;=Projects!$C$36,6&lt;Projects!$C$36+Projects!$D$36),IF(6=Projects!$C$36+Projects!$D$36-1,Projects!$B$36*INDEX(Curves!$B$4:$AO$4,1,6-Projects!$C$36+1)*Assumptions!$B$11*0.95+0.05*Projects!$B$36*Assumptions!$B$11,Projects!$B$36*INDEX(Curves!$B$4:$AO$4,1,6-Projects!$C$36+1)*Assumptions!$B$11*0.95),0)+IF(AND(Projects!$G$37="Yes",6&gt;=Projects!$C$37,6&lt;Projects!$C$37+Projects!$D$37),IF(6=Projects!$C$37+Projects!$D$37-1,Projects!$B$37*INDEX(Curves!$B$4:$AO$4,1,6-Projects!$C$37+1)*Assumptions!$B$11*0.95+0.05*Projects!$B$37*Assumptions!$B$11,Projects!$B$37*INDEX(Curves!$B$4:$AO$4,1,6-Projects!$C$37+1)*Assumptions!$B$11*0.95),0)+IF(AND(Projects!$G$38="Yes",6&gt;=Projects!$C$38,6&lt;Projects!$C$38+Projects!$D$38),IF(6=Projects!$C$38+Projects!$D$38-1,Projects!$B$38*INDEX(Curves!$B$4:$AO$4,1,6-Projects!$C$38+1)*Assumptions!$B$11*0.95+0.05*Projects!$B$38*Assumptions!$B$11,Projects!$B$38*INDEX(Curves!$B$4:$AO$4,1,6-Projects!$C$38+1)*Assumptions!$B$11*0.95),0)+IF(AND(Projects!$G$39="Yes",6&gt;=Projects!$C$39,6&lt;Projects!$C$39+Projects!$D$39),IF(6=Projects!$C$39+Projects!$D$39-1,Projects!$B$39*INDEX(Curves!$B$4:$AO$4,1,6-Projects!$C$39+1)*Assumptions!$B$11*0.95+0.05*Projects!$B$39*Assumptions!$B$11,Projects!$B$39*INDEX(Curves!$B$4:$AO$4,1,6-Projects!$C$39+1)*Assumptions!$B$11*0.95),0)+IF(AND(Projects!$G$40="Yes",6&gt;=Projects!$C$40,6&lt;Projects!$C$40+Projects!$D$40),IF(6=Projects!$C$40+Projects!$D$40-1,Projects!$B$40*INDEX(Curves!$B$4:$AO$4,1,6-Projects!$C$40+1)*Assumptions!$B$11*0.95+0.05*Projects!$B$40*Assumptions!$B$11,Projects!$B$40*INDEX(Curves!$B$4:$AO$4,1,6-Projects!$C$40+1)*Assumptions!$B$11*0.95),0)+IF(AND(Projects!$G$41="Yes",6&gt;=Projects!$C$41,6&lt;Projects!$C$41+Projects!$D$41),IF(6=Projects!$C$41+Projects!$D$41-1,Projects!$B$41*INDEX(Curves!$B$4:$AO$4,1,6-Projects!$C$41+1)*Assumptions!$B$11*0.95+0.05*Projects!$B$41*Assumptions!$B$11,Projects!$B$41*INDEX(Curves!$B$4:$AO$4,1,6-Projects!$C$41+1)*Assumptions!$B$11*0.95),0)+IF(AND(Projects!$G$42="Yes",6&gt;=Projects!$C$42,6&lt;Projects!$C$42+Projects!$D$42),IF(6=Projects!$C$42+Projects!$D$42-1,Projects!$B$42*INDEX(Curves!$B$4:$AO$4,1,6-Projects!$C$42+1)*Assumptions!$B$11*0.95+0.05*Projects!$B$42*Assumptions!$B$11,Projects!$B$42*INDEX(Curves!$B$4:$AO$4,1,6-Projects!$C$42+1)*Assumptions!$B$11*0.95),0)+IF(AND(Projects!$G$43="Yes",6&gt;=Projects!$C$43,6&lt;Projects!$C$43+Projects!$D$43),IF(6=Projects!$C$43+Projects!$D$43-1,Projects!$B$43*INDEX(Curves!$B$4:$AO$4,1,6-Projects!$C$43+1)*Assumptions!$B$11*0.95+0.05*Projects!$B$43*Assumptions!$B$11,Projects!$B$43*INDEX(Curves!$B$4:$AO$4,1,6-Projects!$C$43+1)*Assumptions!$B$11*0.95),0)+IF(AND(Projects!$G$44="Yes",6&gt;=Projects!$C$44,6&lt;Projects!$C$44+Projects!$D$44),IF(6=Projects!$C$44+Projects!$D$44-1,Projects!$B$44*INDEX(Curves!$B$4:$AO$4,1,6-Projects!$C$44+1)*Assumptions!$B$11*0.95+0.05*Projects!$B$44*Assumptions!$B$11,Projects!$B$44*INDEX(Curves!$B$4:$AO$4,1,6-Projects!$C$44+1)*Assumptions!$B$11*0.95),0)+IF(AND(Projects!$G$45="Yes",6&gt;=Projects!$C$45,6&lt;Projects!$C$45+Projects!$D$45),IF(6=Projects!$C$45+Projects!$D$45-1,Projects!$B$45*INDEX(Curves!$B$4:$AO$4,1,6-Projects!$C$45+1)*Assumptions!$B$11*0.95+0.05*Projects!$B$45*Assumptions!$B$11,Projects!$B$45*INDEX(Curves!$B$4:$AO$4,1,6-Projects!$C$45+1)*Assumptions!$B$11*0.95),0)+IF(AND(Projects!$G$46="Yes",6&gt;=Projects!$C$46,6&lt;Projects!$C$46+Projects!$D$46),IF(6=Projects!$C$46+Projects!$D$46-1,Projects!$B$46*INDEX(Curves!$B$4:$AO$4,1,6-Projects!$C$46+1)*Assumptions!$B$11*0.95+0.05*Projects!$B$46*Assumptions!$B$11,Projects!$B$46*INDEX(Curves!$B$4:$AO$4,1,6-Projects!$C$46+1)*Assumptions!$B$11*0.95),0)</f>
        <v/>
      </c>
      <c r="I109">
        <f>IF(AND(Projects!$G$30="Yes",7&gt;=Projects!$C$30,7&lt;Projects!$C$30+Projects!$D$30),IF(7=Projects!$C$30+Projects!$D$30-1,Projects!$B$30*INDEX(Curves!$B$4:$AO$4,1,7-Projects!$C$30+1)*Assumptions!$B$11*0.95+0.05*Projects!$B$30*Assumptions!$B$11,Projects!$B$30*INDEX(Curves!$B$4:$AO$4,1,7-Projects!$C$30+1)*Assumptions!$B$11*0.95),0)+IF(AND(Projects!$G$31="Yes",7&gt;=Projects!$C$31,7&lt;Projects!$C$31+Projects!$D$31),IF(7=Projects!$C$31+Projects!$D$31-1,Projects!$B$31*INDEX(Curves!$B$4:$AO$4,1,7-Projects!$C$31+1)*Assumptions!$B$11*0.95+0.05*Projects!$B$31*Assumptions!$B$11,Projects!$B$31*INDEX(Curves!$B$4:$AO$4,1,7-Projects!$C$31+1)*Assumptions!$B$11*0.95),0)+IF(AND(Projects!$G$32="Yes",7&gt;=Projects!$C$32,7&lt;Projects!$C$32+Projects!$D$32),IF(7=Projects!$C$32+Projects!$D$32-1,Projects!$B$32*INDEX(Curves!$B$4:$AO$4,1,7-Projects!$C$32+1)*Assumptions!$B$11*0.95+0.05*Projects!$B$32*Assumptions!$B$11,Projects!$B$32*INDEX(Curves!$B$4:$AO$4,1,7-Projects!$C$32+1)*Assumptions!$B$11*0.95),0)+IF(AND(Projects!$G$33="Yes",7&gt;=Projects!$C$33,7&lt;Projects!$C$33+Projects!$D$33),IF(7=Projects!$C$33+Projects!$D$33-1,Projects!$B$33*INDEX(Curves!$B$4:$AO$4,1,7-Projects!$C$33+1)*Assumptions!$B$11*0.95+0.05*Projects!$B$33*Assumptions!$B$11,Projects!$B$33*INDEX(Curves!$B$4:$AO$4,1,7-Projects!$C$33+1)*Assumptions!$B$11*0.95),0)+IF(AND(Projects!$G$34="Yes",7&gt;=Projects!$C$34,7&lt;Projects!$C$34+Projects!$D$34),IF(7=Projects!$C$34+Projects!$D$34-1,Projects!$B$34*INDEX(Curves!$B$4:$AO$4,1,7-Projects!$C$34+1)*Assumptions!$B$11*0.95+0.05*Projects!$B$34*Assumptions!$B$11,Projects!$B$34*INDEX(Curves!$B$4:$AO$4,1,7-Projects!$C$34+1)*Assumptions!$B$11*0.95),0)+IF(AND(Projects!$G$35="Yes",7&gt;=Projects!$C$35,7&lt;Projects!$C$35+Projects!$D$35),IF(7=Projects!$C$35+Projects!$D$35-1,Projects!$B$35*INDEX(Curves!$B$4:$AO$4,1,7-Projects!$C$35+1)*Assumptions!$B$11*0.95+0.05*Projects!$B$35*Assumptions!$B$11,Projects!$B$35*INDEX(Curves!$B$4:$AO$4,1,7-Projects!$C$35+1)*Assumptions!$B$11*0.95),0)+IF(AND(Projects!$G$36="Yes",7&gt;=Projects!$C$36,7&lt;Projects!$C$36+Projects!$D$36),IF(7=Projects!$C$36+Projects!$D$36-1,Projects!$B$36*INDEX(Curves!$B$4:$AO$4,1,7-Projects!$C$36+1)*Assumptions!$B$11*0.95+0.05*Projects!$B$36*Assumptions!$B$11,Projects!$B$36*INDEX(Curves!$B$4:$AO$4,1,7-Projects!$C$36+1)*Assumptions!$B$11*0.95),0)+IF(AND(Projects!$G$37="Yes",7&gt;=Projects!$C$37,7&lt;Projects!$C$37+Projects!$D$37),IF(7=Projects!$C$37+Projects!$D$37-1,Projects!$B$37*INDEX(Curves!$B$4:$AO$4,1,7-Projects!$C$37+1)*Assumptions!$B$11*0.95+0.05*Projects!$B$37*Assumptions!$B$11,Projects!$B$37*INDEX(Curves!$B$4:$AO$4,1,7-Projects!$C$37+1)*Assumptions!$B$11*0.95),0)+IF(AND(Projects!$G$38="Yes",7&gt;=Projects!$C$38,7&lt;Projects!$C$38+Projects!$D$38),IF(7=Projects!$C$38+Projects!$D$38-1,Projects!$B$38*INDEX(Curves!$B$4:$AO$4,1,7-Projects!$C$38+1)*Assumptions!$B$11*0.95+0.05*Projects!$B$38*Assumptions!$B$11,Projects!$B$38*INDEX(Curves!$B$4:$AO$4,1,7-Projects!$C$38+1)*Assumptions!$B$11*0.95),0)+IF(AND(Projects!$G$39="Yes",7&gt;=Projects!$C$39,7&lt;Projects!$C$39+Projects!$D$39),IF(7=Projects!$C$39+Projects!$D$39-1,Projects!$B$39*INDEX(Curves!$B$4:$AO$4,1,7-Projects!$C$39+1)*Assumptions!$B$11*0.95+0.05*Projects!$B$39*Assumptions!$B$11,Projects!$B$39*INDEX(Curves!$B$4:$AO$4,1,7-Projects!$C$39+1)*Assumptions!$B$11*0.95),0)+IF(AND(Projects!$G$40="Yes",7&gt;=Projects!$C$40,7&lt;Projects!$C$40+Projects!$D$40),IF(7=Projects!$C$40+Projects!$D$40-1,Projects!$B$40*INDEX(Curves!$B$4:$AO$4,1,7-Projects!$C$40+1)*Assumptions!$B$11*0.95+0.05*Projects!$B$40*Assumptions!$B$11,Projects!$B$40*INDEX(Curves!$B$4:$AO$4,1,7-Projects!$C$40+1)*Assumptions!$B$11*0.95),0)+IF(AND(Projects!$G$41="Yes",7&gt;=Projects!$C$41,7&lt;Projects!$C$41+Projects!$D$41),IF(7=Projects!$C$41+Projects!$D$41-1,Projects!$B$41*INDEX(Curves!$B$4:$AO$4,1,7-Projects!$C$41+1)*Assumptions!$B$11*0.95+0.05*Projects!$B$41*Assumptions!$B$11,Projects!$B$41*INDEX(Curves!$B$4:$AO$4,1,7-Projects!$C$41+1)*Assumptions!$B$11*0.95),0)+IF(AND(Projects!$G$42="Yes",7&gt;=Projects!$C$42,7&lt;Projects!$C$42+Projects!$D$42),IF(7=Projects!$C$42+Projects!$D$42-1,Projects!$B$42*INDEX(Curves!$B$4:$AO$4,1,7-Projects!$C$42+1)*Assumptions!$B$11*0.95+0.05*Projects!$B$42*Assumptions!$B$11,Projects!$B$42*INDEX(Curves!$B$4:$AO$4,1,7-Projects!$C$42+1)*Assumptions!$B$11*0.95),0)+IF(AND(Projects!$G$43="Yes",7&gt;=Projects!$C$43,7&lt;Projects!$C$43+Projects!$D$43),IF(7=Projects!$C$43+Projects!$D$43-1,Projects!$B$43*INDEX(Curves!$B$4:$AO$4,1,7-Projects!$C$43+1)*Assumptions!$B$11*0.95+0.05*Projects!$B$43*Assumptions!$B$11,Projects!$B$43*INDEX(Curves!$B$4:$AO$4,1,7-Projects!$C$43+1)*Assumptions!$B$11*0.95),0)+IF(AND(Projects!$G$44="Yes",7&gt;=Projects!$C$44,7&lt;Projects!$C$44+Projects!$D$44),IF(7=Projects!$C$44+Projects!$D$44-1,Projects!$B$44*INDEX(Curves!$B$4:$AO$4,1,7-Projects!$C$44+1)*Assumptions!$B$11*0.95+0.05*Projects!$B$44*Assumptions!$B$11,Projects!$B$44*INDEX(Curves!$B$4:$AO$4,1,7-Projects!$C$44+1)*Assumptions!$B$11*0.95),0)+IF(AND(Projects!$G$45="Yes",7&gt;=Projects!$C$45,7&lt;Projects!$C$45+Projects!$D$45),IF(7=Projects!$C$45+Projects!$D$45-1,Projects!$B$45*INDEX(Curves!$B$4:$AO$4,1,7-Projects!$C$45+1)*Assumptions!$B$11*0.95+0.05*Projects!$B$45*Assumptions!$B$11,Projects!$B$45*INDEX(Curves!$B$4:$AO$4,1,7-Projects!$C$45+1)*Assumptions!$B$11*0.95),0)+IF(AND(Projects!$G$46="Yes",7&gt;=Projects!$C$46,7&lt;Projects!$C$46+Projects!$D$46),IF(7=Projects!$C$46+Projects!$D$46-1,Projects!$B$46*INDEX(Curves!$B$4:$AO$4,1,7-Projects!$C$46+1)*Assumptions!$B$11*0.95+0.05*Projects!$B$46*Assumptions!$B$11,Projects!$B$46*INDEX(Curves!$B$4:$AO$4,1,7-Projects!$C$46+1)*Assumptions!$B$11*0.95),0)</f>
        <v/>
      </c>
      <c r="J109">
        <f>IF(AND(Projects!$G$30="Yes",8&gt;=Projects!$C$30,8&lt;Projects!$C$30+Projects!$D$30),IF(8=Projects!$C$30+Projects!$D$30-1,Projects!$B$30*INDEX(Curves!$B$4:$AO$4,1,8-Projects!$C$30+1)*Assumptions!$B$11*0.95+0.05*Projects!$B$30*Assumptions!$B$11,Projects!$B$30*INDEX(Curves!$B$4:$AO$4,1,8-Projects!$C$30+1)*Assumptions!$B$11*0.95),0)+IF(AND(Projects!$G$31="Yes",8&gt;=Projects!$C$31,8&lt;Projects!$C$31+Projects!$D$31),IF(8=Projects!$C$31+Projects!$D$31-1,Projects!$B$31*INDEX(Curves!$B$4:$AO$4,1,8-Projects!$C$31+1)*Assumptions!$B$11*0.95+0.05*Projects!$B$31*Assumptions!$B$11,Projects!$B$31*INDEX(Curves!$B$4:$AO$4,1,8-Projects!$C$31+1)*Assumptions!$B$11*0.95),0)+IF(AND(Projects!$G$32="Yes",8&gt;=Projects!$C$32,8&lt;Projects!$C$32+Projects!$D$32),IF(8=Projects!$C$32+Projects!$D$32-1,Projects!$B$32*INDEX(Curves!$B$4:$AO$4,1,8-Projects!$C$32+1)*Assumptions!$B$11*0.95+0.05*Projects!$B$32*Assumptions!$B$11,Projects!$B$32*INDEX(Curves!$B$4:$AO$4,1,8-Projects!$C$32+1)*Assumptions!$B$11*0.95),0)+IF(AND(Projects!$G$33="Yes",8&gt;=Projects!$C$33,8&lt;Projects!$C$33+Projects!$D$33),IF(8=Projects!$C$33+Projects!$D$33-1,Projects!$B$33*INDEX(Curves!$B$4:$AO$4,1,8-Projects!$C$33+1)*Assumptions!$B$11*0.95+0.05*Projects!$B$33*Assumptions!$B$11,Projects!$B$33*INDEX(Curves!$B$4:$AO$4,1,8-Projects!$C$33+1)*Assumptions!$B$11*0.95),0)+IF(AND(Projects!$G$34="Yes",8&gt;=Projects!$C$34,8&lt;Projects!$C$34+Projects!$D$34),IF(8=Projects!$C$34+Projects!$D$34-1,Projects!$B$34*INDEX(Curves!$B$4:$AO$4,1,8-Projects!$C$34+1)*Assumptions!$B$11*0.95+0.05*Projects!$B$34*Assumptions!$B$11,Projects!$B$34*INDEX(Curves!$B$4:$AO$4,1,8-Projects!$C$34+1)*Assumptions!$B$11*0.95),0)+IF(AND(Projects!$G$35="Yes",8&gt;=Projects!$C$35,8&lt;Projects!$C$35+Projects!$D$35),IF(8=Projects!$C$35+Projects!$D$35-1,Projects!$B$35*INDEX(Curves!$B$4:$AO$4,1,8-Projects!$C$35+1)*Assumptions!$B$11*0.95+0.05*Projects!$B$35*Assumptions!$B$11,Projects!$B$35*INDEX(Curves!$B$4:$AO$4,1,8-Projects!$C$35+1)*Assumptions!$B$11*0.95),0)+IF(AND(Projects!$G$36="Yes",8&gt;=Projects!$C$36,8&lt;Projects!$C$36+Projects!$D$36),IF(8=Projects!$C$36+Projects!$D$36-1,Projects!$B$36*INDEX(Curves!$B$4:$AO$4,1,8-Projects!$C$36+1)*Assumptions!$B$11*0.95+0.05*Projects!$B$36*Assumptions!$B$11,Projects!$B$36*INDEX(Curves!$B$4:$AO$4,1,8-Projects!$C$36+1)*Assumptions!$B$11*0.95),0)+IF(AND(Projects!$G$37="Yes",8&gt;=Projects!$C$37,8&lt;Projects!$C$37+Projects!$D$37),IF(8=Projects!$C$37+Projects!$D$37-1,Projects!$B$37*INDEX(Curves!$B$4:$AO$4,1,8-Projects!$C$37+1)*Assumptions!$B$11*0.95+0.05*Projects!$B$37*Assumptions!$B$11,Projects!$B$37*INDEX(Curves!$B$4:$AO$4,1,8-Projects!$C$37+1)*Assumptions!$B$11*0.95),0)+IF(AND(Projects!$G$38="Yes",8&gt;=Projects!$C$38,8&lt;Projects!$C$38+Projects!$D$38),IF(8=Projects!$C$38+Projects!$D$38-1,Projects!$B$38*INDEX(Curves!$B$4:$AO$4,1,8-Projects!$C$38+1)*Assumptions!$B$11*0.95+0.05*Projects!$B$38*Assumptions!$B$11,Projects!$B$38*INDEX(Curves!$B$4:$AO$4,1,8-Projects!$C$38+1)*Assumptions!$B$11*0.95),0)+IF(AND(Projects!$G$39="Yes",8&gt;=Projects!$C$39,8&lt;Projects!$C$39+Projects!$D$39),IF(8=Projects!$C$39+Projects!$D$39-1,Projects!$B$39*INDEX(Curves!$B$4:$AO$4,1,8-Projects!$C$39+1)*Assumptions!$B$11*0.95+0.05*Projects!$B$39*Assumptions!$B$11,Projects!$B$39*INDEX(Curves!$B$4:$AO$4,1,8-Projects!$C$39+1)*Assumptions!$B$11*0.95),0)+IF(AND(Projects!$G$40="Yes",8&gt;=Projects!$C$40,8&lt;Projects!$C$40+Projects!$D$40),IF(8=Projects!$C$40+Projects!$D$40-1,Projects!$B$40*INDEX(Curves!$B$4:$AO$4,1,8-Projects!$C$40+1)*Assumptions!$B$11*0.95+0.05*Projects!$B$40*Assumptions!$B$11,Projects!$B$40*INDEX(Curves!$B$4:$AO$4,1,8-Projects!$C$40+1)*Assumptions!$B$11*0.95),0)+IF(AND(Projects!$G$41="Yes",8&gt;=Projects!$C$41,8&lt;Projects!$C$41+Projects!$D$41),IF(8=Projects!$C$41+Projects!$D$41-1,Projects!$B$41*INDEX(Curves!$B$4:$AO$4,1,8-Projects!$C$41+1)*Assumptions!$B$11*0.95+0.05*Projects!$B$41*Assumptions!$B$11,Projects!$B$41*INDEX(Curves!$B$4:$AO$4,1,8-Projects!$C$41+1)*Assumptions!$B$11*0.95),0)+IF(AND(Projects!$G$42="Yes",8&gt;=Projects!$C$42,8&lt;Projects!$C$42+Projects!$D$42),IF(8=Projects!$C$42+Projects!$D$42-1,Projects!$B$42*INDEX(Curves!$B$4:$AO$4,1,8-Projects!$C$42+1)*Assumptions!$B$11*0.95+0.05*Projects!$B$42*Assumptions!$B$11,Projects!$B$42*INDEX(Curves!$B$4:$AO$4,1,8-Projects!$C$42+1)*Assumptions!$B$11*0.95),0)+IF(AND(Projects!$G$43="Yes",8&gt;=Projects!$C$43,8&lt;Projects!$C$43+Projects!$D$43),IF(8=Projects!$C$43+Projects!$D$43-1,Projects!$B$43*INDEX(Curves!$B$4:$AO$4,1,8-Projects!$C$43+1)*Assumptions!$B$11*0.95+0.05*Projects!$B$43*Assumptions!$B$11,Projects!$B$43*INDEX(Curves!$B$4:$AO$4,1,8-Projects!$C$43+1)*Assumptions!$B$11*0.95),0)+IF(AND(Projects!$G$44="Yes",8&gt;=Projects!$C$44,8&lt;Projects!$C$44+Projects!$D$44),IF(8=Projects!$C$44+Projects!$D$44-1,Projects!$B$44*INDEX(Curves!$B$4:$AO$4,1,8-Projects!$C$44+1)*Assumptions!$B$11*0.95+0.05*Projects!$B$44*Assumptions!$B$11,Projects!$B$44*INDEX(Curves!$B$4:$AO$4,1,8-Projects!$C$44+1)*Assumptions!$B$11*0.95),0)+IF(AND(Projects!$G$45="Yes",8&gt;=Projects!$C$45,8&lt;Projects!$C$45+Projects!$D$45),IF(8=Projects!$C$45+Projects!$D$45-1,Projects!$B$45*INDEX(Curves!$B$4:$AO$4,1,8-Projects!$C$45+1)*Assumptions!$B$11*0.95+0.05*Projects!$B$45*Assumptions!$B$11,Projects!$B$45*INDEX(Curves!$B$4:$AO$4,1,8-Projects!$C$45+1)*Assumptions!$B$11*0.95),0)+IF(AND(Projects!$G$46="Yes",8&gt;=Projects!$C$46,8&lt;Projects!$C$46+Projects!$D$46),IF(8=Projects!$C$46+Projects!$D$46-1,Projects!$B$46*INDEX(Curves!$B$4:$AO$4,1,8-Projects!$C$46+1)*Assumptions!$B$11*0.95+0.05*Projects!$B$46*Assumptions!$B$11,Projects!$B$46*INDEX(Curves!$B$4:$AO$4,1,8-Projects!$C$46+1)*Assumptions!$B$11*0.95),0)</f>
        <v/>
      </c>
      <c r="K109">
        <f>IF(AND(Projects!$G$30="Yes",9&gt;=Projects!$C$30,9&lt;Projects!$C$30+Projects!$D$30),IF(9=Projects!$C$30+Projects!$D$30-1,Projects!$B$30*INDEX(Curves!$B$4:$AO$4,1,9-Projects!$C$30+1)*Assumptions!$B$11*0.95+0.05*Projects!$B$30*Assumptions!$B$11,Projects!$B$30*INDEX(Curves!$B$4:$AO$4,1,9-Projects!$C$30+1)*Assumptions!$B$11*0.95),0)+IF(AND(Projects!$G$31="Yes",9&gt;=Projects!$C$31,9&lt;Projects!$C$31+Projects!$D$31),IF(9=Projects!$C$31+Projects!$D$31-1,Projects!$B$31*INDEX(Curves!$B$4:$AO$4,1,9-Projects!$C$31+1)*Assumptions!$B$11*0.95+0.05*Projects!$B$31*Assumptions!$B$11,Projects!$B$31*INDEX(Curves!$B$4:$AO$4,1,9-Projects!$C$31+1)*Assumptions!$B$11*0.95),0)+IF(AND(Projects!$G$32="Yes",9&gt;=Projects!$C$32,9&lt;Projects!$C$32+Projects!$D$32),IF(9=Projects!$C$32+Projects!$D$32-1,Projects!$B$32*INDEX(Curves!$B$4:$AO$4,1,9-Projects!$C$32+1)*Assumptions!$B$11*0.95+0.05*Projects!$B$32*Assumptions!$B$11,Projects!$B$32*INDEX(Curves!$B$4:$AO$4,1,9-Projects!$C$32+1)*Assumptions!$B$11*0.95),0)+IF(AND(Projects!$G$33="Yes",9&gt;=Projects!$C$33,9&lt;Projects!$C$33+Projects!$D$33),IF(9=Projects!$C$33+Projects!$D$33-1,Projects!$B$33*INDEX(Curves!$B$4:$AO$4,1,9-Projects!$C$33+1)*Assumptions!$B$11*0.95+0.05*Projects!$B$33*Assumptions!$B$11,Projects!$B$33*INDEX(Curves!$B$4:$AO$4,1,9-Projects!$C$33+1)*Assumptions!$B$11*0.95),0)+IF(AND(Projects!$G$34="Yes",9&gt;=Projects!$C$34,9&lt;Projects!$C$34+Projects!$D$34),IF(9=Projects!$C$34+Projects!$D$34-1,Projects!$B$34*INDEX(Curves!$B$4:$AO$4,1,9-Projects!$C$34+1)*Assumptions!$B$11*0.95+0.05*Projects!$B$34*Assumptions!$B$11,Projects!$B$34*INDEX(Curves!$B$4:$AO$4,1,9-Projects!$C$34+1)*Assumptions!$B$11*0.95),0)+IF(AND(Projects!$G$35="Yes",9&gt;=Projects!$C$35,9&lt;Projects!$C$35+Projects!$D$35),IF(9=Projects!$C$35+Projects!$D$35-1,Projects!$B$35*INDEX(Curves!$B$4:$AO$4,1,9-Projects!$C$35+1)*Assumptions!$B$11*0.95+0.05*Projects!$B$35*Assumptions!$B$11,Projects!$B$35*INDEX(Curves!$B$4:$AO$4,1,9-Projects!$C$35+1)*Assumptions!$B$11*0.95),0)+IF(AND(Projects!$G$36="Yes",9&gt;=Projects!$C$36,9&lt;Projects!$C$36+Projects!$D$36),IF(9=Projects!$C$36+Projects!$D$36-1,Projects!$B$36*INDEX(Curves!$B$4:$AO$4,1,9-Projects!$C$36+1)*Assumptions!$B$11*0.95+0.05*Projects!$B$36*Assumptions!$B$11,Projects!$B$36*INDEX(Curves!$B$4:$AO$4,1,9-Projects!$C$36+1)*Assumptions!$B$11*0.95),0)+IF(AND(Projects!$G$37="Yes",9&gt;=Projects!$C$37,9&lt;Projects!$C$37+Projects!$D$37),IF(9=Projects!$C$37+Projects!$D$37-1,Projects!$B$37*INDEX(Curves!$B$4:$AO$4,1,9-Projects!$C$37+1)*Assumptions!$B$11*0.95+0.05*Projects!$B$37*Assumptions!$B$11,Projects!$B$37*INDEX(Curves!$B$4:$AO$4,1,9-Projects!$C$37+1)*Assumptions!$B$11*0.95),0)+IF(AND(Projects!$G$38="Yes",9&gt;=Projects!$C$38,9&lt;Projects!$C$38+Projects!$D$38),IF(9=Projects!$C$38+Projects!$D$38-1,Projects!$B$38*INDEX(Curves!$B$4:$AO$4,1,9-Projects!$C$38+1)*Assumptions!$B$11*0.95+0.05*Projects!$B$38*Assumptions!$B$11,Projects!$B$38*INDEX(Curves!$B$4:$AO$4,1,9-Projects!$C$38+1)*Assumptions!$B$11*0.95),0)+IF(AND(Projects!$G$39="Yes",9&gt;=Projects!$C$39,9&lt;Projects!$C$39+Projects!$D$39),IF(9=Projects!$C$39+Projects!$D$39-1,Projects!$B$39*INDEX(Curves!$B$4:$AO$4,1,9-Projects!$C$39+1)*Assumptions!$B$11*0.95+0.05*Projects!$B$39*Assumptions!$B$11,Projects!$B$39*INDEX(Curves!$B$4:$AO$4,1,9-Projects!$C$39+1)*Assumptions!$B$11*0.95),0)+IF(AND(Projects!$G$40="Yes",9&gt;=Projects!$C$40,9&lt;Projects!$C$40+Projects!$D$40),IF(9=Projects!$C$40+Projects!$D$40-1,Projects!$B$40*INDEX(Curves!$B$4:$AO$4,1,9-Projects!$C$40+1)*Assumptions!$B$11*0.95+0.05*Projects!$B$40*Assumptions!$B$11,Projects!$B$40*INDEX(Curves!$B$4:$AO$4,1,9-Projects!$C$40+1)*Assumptions!$B$11*0.95),0)+IF(AND(Projects!$G$41="Yes",9&gt;=Projects!$C$41,9&lt;Projects!$C$41+Projects!$D$41),IF(9=Projects!$C$41+Projects!$D$41-1,Projects!$B$41*INDEX(Curves!$B$4:$AO$4,1,9-Projects!$C$41+1)*Assumptions!$B$11*0.95+0.05*Projects!$B$41*Assumptions!$B$11,Projects!$B$41*INDEX(Curves!$B$4:$AO$4,1,9-Projects!$C$41+1)*Assumptions!$B$11*0.95),0)+IF(AND(Projects!$G$42="Yes",9&gt;=Projects!$C$42,9&lt;Projects!$C$42+Projects!$D$42),IF(9=Projects!$C$42+Projects!$D$42-1,Projects!$B$42*INDEX(Curves!$B$4:$AO$4,1,9-Projects!$C$42+1)*Assumptions!$B$11*0.95+0.05*Projects!$B$42*Assumptions!$B$11,Projects!$B$42*INDEX(Curves!$B$4:$AO$4,1,9-Projects!$C$42+1)*Assumptions!$B$11*0.95),0)+IF(AND(Projects!$G$43="Yes",9&gt;=Projects!$C$43,9&lt;Projects!$C$43+Projects!$D$43),IF(9=Projects!$C$43+Projects!$D$43-1,Projects!$B$43*INDEX(Curves!$B$4:$AO$4,1,9-Projects!$C$43+1)*Assumptions!$B$11*0.95+0.05*Projects!$B$43*Assumptions!$B$11,Projects!$B$43*INDEX(Curves!$B$4:$AO$4,1,9-Projects!$C$43+1)*Assumptions!$B$11*0.95),0)+IF(AND(Projects!$G$44="Yes",9&gt;=Projects!$C$44,9&lt;Projects!$C$44+Projects!$D$44),IF(9=Projects!$C$44+Projects!$D$44-1,Projects!$B$44*INDEX(Curves!$B$4:$AO$4,1,9-Projects!$C$44+1)*Assumptions!$B$11*0.95+0.05*Projects!$B$44*Assumptions!$B$11,Projects!$B$44*INDEX(Curves!$B$4:$AO$4,1,9-Projects!$C$44+1)*Assumptions!$B$11*0.95),0)+IF(AND(Projects!$G$45="Yes",9&gt;=Projects!$C$45,9&lt;Projects!$C$45+Projects!$D$45),IF(9=Projects!$C$45+Projects!$D$45-1,Projects!$B$45*INDEX(Curves!$B$4:$AO$4,1,9-Projects!$C$45+1)*Assumptions!$B$11*0.95+0.05*Projects!$B$45*Assumptions!$B$11,Projects!$B$45*INDEX(Curves!$B$4:$AO$4,1,9-Projects!$C$45+1)*Assumptions!$B$11*0.95),0)+IF(AND(Projects!$G$46="Yes",9&gt;=Projects!$C$46,9&lt;Projects!$C$46+Projects!$D$46),IF(9=Projects!$C$46+Projects!$D$46-1,Projects!$B$46*INDEX(Curves!$B$4:$AO$4,1,9-Projects!$C$46+1)*Assumptions!$B$11*0.95+0.05*Projects!$B$46*Assumptions!$B$11,Projects!$B$46*INDEX(Curves!$B$4:$AO$4,1,9-Projects!$C$46+1)*Assumptions!$B$11*0.95),0)</f>
        <v/>
      </c>
      <c r="L109">
        <f>IF(AND(Projects!$G$30="Yes",10&gt;=Projects!$C$30,10&lt;Projects!$C$30+Projects!$D$30),IF(10=Projects!$C$30+Projects!$D$30-1,Projects!$B$30*INDEX(Curves!$B$4:$AO$4,1,10-Projects!$C$30+1)*Assumptions!$B$11*0.95+0.05*Projects!$B$30*Assumptions!$B$11,Projects!$B$30*INDEX(Curves!$B$4:$AO$4,1,10-Projects!$C$30+1)*Assumptions!$B$11*0.95),0)+IF(AND(Projects!$G$31="Yes",10&gt;=Projects!$C$31,10&lt;Projects!$C$31+Projects!$D$31),IF(10=Projects!$C$31+Projects!$D$31-1,Projects!$B$31*INDEX(Curves!$B$4:$AO$4,1,10-Projects!$C$31+1)*Assumptions!$B$11*0.95+0.05*Projects!$B$31*Assumptions!$B$11,Projects!$B$31*INDEX(Curves!$B$4:$AO$4,1,10-Projects!$C$31+1)*Assumptions!$B$11*0.95),0)+IF(AND(Projects!$G$32="Yes",10&gt;=Projects!$C$32,10&lt;Projects!$C$32+Projects!$D$32),IF(10=Projects!$C$32+Projects!$D$32-1,Projects!$B$32*INDEX(Curves!$B$4:$AO$4,1,10-Projects!$C$32+1)*Assumptions!$B$11*0.95+0.05*Projects!$B$32*Assumptions!$B$11,Projects!$B$32*INDEX(Curves!$B$4:$AO$4,1,10-Projects!$C$32+1)*Assumptions!$B$11*0.95),0)+IF(AND(Projects!$G$33="Yes",10&gt;=Projects!$C$33,10&lt;Projects!$C$33+Projects!$D$33),IF(10=Projects!$C$33+Projects!$D$33-1,Projects!$B$33*INDEX(Curves!$B$4:$AO$4,1,10-Projects!$C$33+1)*Assumptions!$B$11*0.95+0.05*Projects!$B$33*Assumptions!$B$11,Projects!$B$33*INDEX(Curves!$B$4:$AO$4,1,10-Projects!$C$33+1)*Assumptions!$B$11*0.95),0)+IF(AND(Projects!$G$34="Yes",10&gt;=Projects!$C$34,10&lt;Projects!$C$34+Projects!$D$34),IF(10=Projects!$C$34+Projects!$D$34-1,Projects!$B$34*INDEX(Curves!$B$4:$AO$4,1,10-Projects!$C$34+1)*Assumptions!$B$11*0.95+0.05*Projects!$B$34*Assumptions!$B$11,Projects!$B$34*INDEX(Curves!$B$4:$AO$4,1,10-Projects!$C$34+1)*Assumptions!$B$11*0.95),0)+IF(AND(Projects!$G$35="Yes",10&gt;=Projects!$C$35,10&lt;Projects!$C$35+Projects!$D$35),IF(10=Projects!$C$35+Projects!$D$35-1,Projects!$B$35*INDEX(Curves!$B$4:$AO$4,1,10-Projects!$C$35+1)*Assumptions!$B$11*0.95+0.05*Projects!$B$35*Assumptions!$B$11,Projects!$B$35*INDEX(Curves!$B$4:$AO$4,1,10-Projects!$C$35+1)*Assumptions!$B$11*0.95),0)+IF(AND(Projects!$G$36="Yes",10&gt;=Projects!$C$36,10&lt;Projects!$C$36+Projects!$D$36),IF(10=Projects!$C$36+Projects!$D$36-1,Projects!$B$36*INDEX(Curves!$B$4:$AO$4,1,10-Projects!$C$36+1)*Assumptions!$B$11*0.95+0.05*Projects!$B$36*Assumptions!$B$11,Projects!$B$36*INDEX(Curves!$B$4:$AO$4,1,10-Projects!$C$36+1)*Assumptions!$B$11*0.95),0)+IF(AND(Projects!$G$37="Yes",10&gt;=Projects!$C$37,10&lt;Projects!$C$37+Projects!$D$37),IF(10=Projects!$C$37+Projects!$D$37-1,Projects!$B$37*INDEX(Curves!$B$4:$AO$4,1,10-Projects!$C$37+1)*Assumptions!$B$11*0.95+0.05*Projects!$B$37*Assumptions!$B$11,Projects!$B$37*INDEX(Curves!$B$4:$AO$4,1,10-Projects!$C$37+1)*Assumptions!$B$11*0.95),0)+IF(AND(Projects!$G$38="Yes",10&gt;=Projects!$C$38,10&lt;Projects!$C$38+Projects!$D$38),IF(10=Projects!$C$38+Projects!$D$38-1,Projects!$B$38*INDEX(Curves!$B$4:$AO$4,1,10-Projects!$C$38+1)*Assumptions!$B$11*0.95+0.05*Projects!$B$38*Assumptions!$B$11,Projects!$B$38*INDEX(Curves!$B$4:$AO$4,1,10-Projects!$C$38+1)*Assumptions!$B$11*0.95),0)+IF(AND(Projects!$G$39="Yes",10&gt;=Projects!$C$39,10&lt;Projects!$C$39+Projects!$D$39),IF(10=Projects!$C$39+Projects!$D$39-1,Projects!$B$39*INDEX(Curves!$B$4:$AO$4,1,10-Projects!$C$39+1)*Assumptions!$B$11*0.95+0.05*Projects!$B$39*Assumptions!$B$11,Projects!$B$39*INDEX(Curves!$B$4:$AO$4,1,10-Projects!$C$39+1)*Assumptions!$B$11*0.95),0)+IF(AND(Projects!$G$40="Yes",10&gt;=Projects!$C$40,10&lt;Projects!$C$40+Projects!$D$40),IF(10=Projects!$C$40+Projects!$D$40-1,Projects!$B$40*INDEX(Curves!$B$4:$AO$4,1,10-Projects!$C$40+1)*Assumptions!$B$11*0.95+0.05*Projects!$B$40*Assumptions!$B$11,Projects!$B$40*INDEX(Curves!$B$4:$AO$4,1,10-Projects!$C$40+1)*Assumptions!$B$11*0.95),0)+IF(AND(Projects!$G$41="Yes",10&gt;=Projects!$C$41,10&lt;Projects!$C$41+Projects!$D$41),IF(10=Projects!$C$41+Projects!$D$41-1,Projects!$B$41*INDEX(Curves!$B$4:$AO$4,1,10-Projects!$C$41+1)*Assumptions!$B$11*0.95+0.05*Projects!$B$41*Assumptions!$B$11,Projects!$B$41*INDEX(Curves!$B$4:$AO$4,1,10-Projects!$C$41+1)*Assumptions!$B$11*0.95),0)+IF(AND(Projects!$G$42="Yes",10&gt;=Projects!$C$42,10&lt;Projects!$C$42+Projects!$D$42),IF(10=Projects!$C$42+Projects!$D$42-1,Projects!$B$42*INDEX(Curves!$B$4:$AO$4,1,10-Projects!$C$42+1)*Assumptions!$B$11*0.95+0.05*Projects!$B$42*Assumptions!$B$11,Projects!$B$42*INDEX(Curves!$B$4:$AO$4,1,10-Projects!$C$42+1)*Assumptions!$B$11*0.95),0)+IF(AND(Projects!$G$43="Yes",10&gt;=Projects!$C$43,10&lt;Projects!$C$43+Projects!$D$43),IF(10=Projects!$C$43+Projects!$D$43-1,Projects!$B$43*INDEX(Curves!$B$4:$AO$4,1,10-Projects!$C$43+1)*Assumptions!$B$11*0.95+0.05*Projects!$B$43*Assumptions!$B$11,Projects!$B$43*INDEX(Curves!$B$4:$AO$4,1,10-Projects!$C$43+1)*Assumptions!$B$11*0.95),0)+IF(AND(Projects!$G$44="Yes",10&gt;=Projects!$C$44,10&lt;Projects!$C$44+Projects!$D$44),IF(10=Projects!$C$44+Projects!$D$44-1,Projects!$B$44*INDEX(Curves!$B$4:$AO$4,1,10-Projects!$C$44+1)*Assumptions!$B$11*0.95+0.05*Projects!$B$44*Assumptions!$B$11,Projects!$B$44*INDEX(Curves!$B$4:$AO$4,1,10-Projects!$C$44+1)*Assumptions!$B$11*0.95),0)+IF(AND(Projects!$G$45="Yes",10&gt;=Projects!$C$45,10&lt;Projects!$C$45+Projects!$D$45),IF(10=Projects!$C$45+Projects!$D$45-1,Projects!$B$45*INDEX(Curves!$B$4:$AO$4,1,10-Projects!$C$45+1)*Assumptions!$B$11*0.95+0.05*Projects!$B$45*Assumptions!$B$11,Projects!$B$45*INDEX(Curves!$B$4:$AO$4,1,10-Projects!$C$45+1)*Assumptions!$B$11*0.95),0)+IF(AND(Projects!$G$46="Yes",10&gt;=Projects!$C$46,10&lt;Projects!$C$46+Projects!$D$46),IF(10=Projects!$C$46+Projects!$D$46-1,Projects!$B$46*INDEX(Curves!$B$4:$AO$4,1,10-Projects!$C$46+1)*Assumptions!$B$11*0.95+0.05*Projects!$B$46*Assumptions!$B$11,Projects!$B$46*INDEX(Curves!$B$4:$AO$4,1,10-Projects!$C$46+1)*Assumptions!$B$11*0.95),0)</f>
        <v/>
      </c>
      <c r="M109">
        <f>IF(AND(Projects!$G$30="Yes",11&gt;=Projects!$C$30,11&lt;Projects!$C$30+Projects!$D$30),IF(11=Projects!$C$30+Projects!$D$30-1,Projects!$B$30*INDEX(Curves!$B$4:$AO$4,1,11-Projects!$C$30+1)*Assumptions!$B$11*0.95+0.05*Projects!$B$30*Assumptions!$B$11,Projects!$B$30*INDEX(Curves!$B$4:$AO$4,1,11-Projects!$C$30+1)*Assumptions!$B$11*0.95),0)+IF(AND(Projects!$G$31="Yes",11&gt;=Projects!$C$31,11&lt;Projects!$C$31+Projects!$D$31),IF(11=Projects!$C$31+Projects!$D$31-1,Projects!$B$31*INDEX(Curves!$B$4:$AO$4,1,11-Projects!$C$31+1)*Assumptions!$B$11*0.95+0.05*Projects!$B$31*Assumptions!$B$11,Projects!$B$31*INDEX(Curves!$B$4:$AO$4,1,11-Projects!$C$31+1)*Assumptions!$B$11*0.95),0)+IF(AND(Projects!$G$32="Yes",11&gt;=Projects!$C$32,11&lt;Projects!$C$32+Projects!$D$32),IF(11=Projects!$C$32+Projects!$D$32-1,Projects!$B$32*INDEX(Curves!$B$4:$AO$4,1,11-Projects!$C$32+1)*Assumptions!$B$11*0.95+0.05*Projects!$B$32*Assumptions!$B$11,Projects!$B$32*INDEX(Curves!$B$4:$AO$4,1,11-Projects!$C$32+1)*Assumptions!$B$11*0.95),0)+IF(AND(Projects!$G$33="Yes",11&gt;=Projects!$C$33,11&lt;Projects!$C$33+Projects!$D$33),IF(11=Projects!$C$33+Projects!$D$33-1,Projects!$B$33*INDEX(Curves!$B$4:$AO$4,1,11-Projects!$C$33+1)*Assumptions!$B$11*0.95+0.05*Projects!$B$33*Assumptions!$B$11,Projects!$B$33*INDEX(Curves!$B$4:$AO$4,1,11-Projects!$C$33+1)*Assumptions!$B$11*0.95),0)+IF(AND(Projects!$G$34="Yes",11&gt;=Projects!$C$34,11&lt;Projects!$C$34+Projects!$D$34),IF(11=Projects!$C$34+Projects!$D$34-1,Projects!$B$34*INDEX(Curves!$B$4:$AO$4,1,11-Projects!$C$34+1)*Assumptions!$B$11*0.95+0.05*Projects!$B$34*Assumptions!$B$11,Projects!$B$34*INDEX(Curves!$B$4:$AO$4,1,11-Projects!$C$34+1)*Assumptions!$B$11*0.95),0)+IF(AND(Projects!$G$35="Yes",11&gt;=Projects!$C$35,11&lt;Projects!$C$35+Projects!$D$35),IF(11=Projects!$C$35+Projects!$D$35-1,Projects!$B$35*INDEX(Curves!$B$4:$AO$4,1,11-Projects!$C$35+1)*Assumptions!$B$11*0.95+0.05*Projects!$B$35*Assumptions!$B$11,Projects!$B$35*INDEX(Curves!$B$4:$AO$4,1,11-Projects!$C$35+1)*Assumptions!$B$11*0.95),0)+IF(AND(Projects!$G$36="Yes",11&gt;=Projects!$C$36,11&lt;Projects!$C$36+Projects!$D$36),IF(11=Projects!$C$36+Projects!$D$36-1,Projects!$B$36*INDEX(Curves!$B$4:$AO$4,1,11-Projects!$C$36+1)*Assumptions!$B$11*0.95+0.05*Projects!$B$36*Assumptions!$B$11,Projects!$B$36*INDEX(Curves!$B$4:$AO$4,1,11-Projects!$C$36+1)*Assumptions!$B$11*0.95),0)+IF(AND(Projects!$G$37="Yes",11&gt;=Projects!$C$37,11&lt;Projects!$C$37+Projects!$D$37),IF(11=Projects!$C$37+Projects!$D$37-1,Projects!$B$37*INDEX(Curves!$B$4:$AO$4,1,11-Projects!$C$37+1)*Assumptions!$B$11*0.95+0.05*Projects!$B$37*Assumptions!$B$11,Projects!$B$37*INDEX(Curves!$B$4:$AO$4,1,11-Projects!$C$37+1)*Assumptions!$B$11*0.95),0)+IF(AND(Projects!$G$38="Yes",11&gt;=Projects!$C$38,11&lt;Projects!$C$38+Projects!$D$38),IF(11=Projects!$C$38+Projects!$D$38-1,Projects!$B$38*INDEX(Curves!$B$4:$AO$4,1,11-Projects!$C$38+1)*Assumptions!$B$11*0.95+0.05*Projects!$B$38*Assumptions!$B$11,Projects!$B$38*INDEX(Curves!$B$4:$AO$4,1,11-Projects!$C$38+1)*Assumptions!$B$11*0.95),0)+IF(AND(Projects!$G$39="Yes",11&gt;=Projects!$C$39,11&lt;Projects!$C$39+Projects!$D$39),IF(11=Projects!$C$39+Projects!$D$39-1,Projects!$B$39*INDEX(Curves!$B$4:$AO$4,1,11-Projects!$C$39+1)*Assumptions!$B$11*0.95+0.05*Projects!$B$39*Assumptions!$B$11,Projects!$B$39*INDEX(Curves!$B$4:$AO$4,1,11-Projects!$C$39+1)*Assumptions!$B$11*0.95),0)+IF(AND(Projects!$G$40="Yes",11&gt;=Projects!$C$40,11&lt;Projects!$C$40+Projects!$D$40),IF(11=Projects!$C$40+Projects!$D$40-1,Projects!$B$40*INDEX(Curves!$B$4:$AO$4,1,11-Projects!$C$40+1)*Assumptions!$B$11*0.95+0.05*Projects!$B$40*Assumptions!$B$11,Projects!$B$40*INDEX(Curves!$B$4:$AO$4,1,11-Projects!$C$40+1)*Assumptions!$B$11*0.95),0)+IF(AND(Projects!$G$41="Yes",11&gt;=Projects!$C$41,11&lt;Projects!$C$41+Projects!$D$41),IF(11=Projects!$C$41+Projects!$D$41-1,Projects!$B$41*INDEX(Curves!$B$4:$AO$4,1,11-Projects!$C$41+1)*Assumptions!$B$11*0.95+0.05*Projects!$B$41*Assumptions!$B$11,Projects!$B$41*INDEX(Curves!$B$4:$AO$4,1,11-Projects!$C$41+1)*Assumptions!$B$11*0.95),0)+IF(AND(Projects!$G$42="Yes",11&gt;=Projects!$C$42,11&lt;Projects!$C$42+Projects!$D$42),IF(11=Projects!$C$42+Projects!$D$42-1,Projects!$B$42*INDEX(Curves!$B$4:$AO$4,1,11-Projects!$C$42+1)*Assumptions!$B$11*0.95+0.05*Projects!$B$42*Assumptions!$B$11,Projects!$B$42*INDEX(Curves!$B$4:$AO$4,1,11-Projects!$C$42+1)*Assumptions!$B$11*0.95),0)+IF(AND(Projects!$G$43="Yes",11&gt;=Projects!$C$43,11&lt;Projects!$C$43+Projects!$D$43),IF(11=Projects!$C$43+Projects!$D$43-1,Projects!$B$43*INDEX(Curves!$B$4:$AO$4,1,11-Projects!$C$43+1)*Assumptions!$B$11*0.95+0.05*Projects!$B$43*Assumptions!$B$11,Projects!$B$43*INDEX(Curves!$B$4:$AO$4,1,11-Projects!$C$43+1)*Assumptions!$B$11*0.95),0)+IF(AND(Projects!$G$44="Yes",11&gt;=Projects!$C$44,11&lt;Projects!$C$44+Projects!$D$44),IF(11=Projects!$C$44+Projects!$D$44-1,Projects!$B$44*INDEX(Curves!$B$4:$AO$4,1,11-Projects!$C$44+1)*Assumptions!$B$11*0.95+0.05*Projects!$B$44*Assumptions!$B$11,Projects!$B$44*INDEX(Curves!$B$4:$AO$4,1,11-Projects!$C$44+1)*Assumptions!$B$11*0.95),0)+IF(AND(Projects!$G$45="Yes",11&gt;=Projects!$C$45,11&lt;Projects!$C$45+Projects!$D$45),IF(11=Projects!$C$45+Projects!$D$45-1,Projects!$B$45*INDEX(Curves!$B$4:$AO$4,1,11-Projects!$C$45+1)*Assumptions!$B$11*0.95+0.05*Projects!$B$45*Assumptions!$B$11,Projects!$B$45*INDEX(Curves!$B$4:$AO$4,1,11-Projects!$C$45+1)*Assumptions!$B$11*0.95),0)+IF(AND(Projects!$G$46="Yes",11&gt;=Projects!$C$46,11&lt;Projects!$C$46+Projects!$D$46),IF(11=Projects!$C$46+Projects!$D$46-1,Projects!$B$46*INDEX(Curves!$B$4:$AO$4,1,11-Projects!$C$46+1)*Assumptions!$B$11*0.95+0.05*Projects!$B$46*Assumptions!$B$11,Projects!$B$46*INDEX(Curves!$B$4:$AO$4,1,11-Projects!$C$46+1)*Assumptions!$B$11*0.95),0)</f>
        <v/>
      </c>
      <c r="N109">
        <f>IF(AND(Projects!$G$30="Yes",12&gt;=Projects!$C$30,12&lt;Projects!$C$30+Projects!$D$30),IF(12=Projects!$C$30+Projects!$D$30-1,Projects!$B$30*INDEX(Curves!$B$4:$AO$4,1,12-Projects!$C$30+1)*Assumptions!$B$11*0.95+0.05*Projects!$B$30*Assumptions!$B$11,Projects!$B$30*INDEX(Curves!$B$4:$AO$4,1,12-Projects!$C$30+1)*Assumptions!$B$11*0.95),0)+IF(AND(Projects!$G$31="Yes",12&gt;=Projects!$C$31,12&lt;Projects!$C$31+Projects!$D$31),IF(12=Projects!$C$31+Projects!$D$31-1,Projects!$B$31*INDEX(Curves!$B$4:$AO$4,1,12-Projects!$C$31+1)*Assumptions!$B$11*0.95+0.05*Projects!$B$31*Assumptions!$B$11,Projects!$B$31*INDEX(Curves!$B$4:$AO$4,1,12-Projects!$C$31+1)*Assumptions!$B$11*0.95),0)+IF(AND(Projects!$G$32="Yes",12&gt;=Projects!$C$32,12&lt;Projects!$C$32+Projects!$D$32),IF(12=Projects!$C$32+Projects!$D$32-1,Projects!$B$32*INDEX(Curves!$B$4:$AO$4,1,12-Projects!$C$32+1)*Assumptions!$B$11*0.95+0.05*Projects!$B$32*Assumptions!$B$11,Projects!$B$32*INDEX(Curves!$B$4:$AO$4,1,12-Projects!$C$32+1)*Assumptions!$B$11*0.95),0)+IF(AND(Projects!$G$33="Yes",12&gt;=Projects!$C$33,12&lt;Projects!$C$33+Projects!$D$33),IF(12=Projects!$C$33+Projects!$D$33-1,Projects!$B$33*INDEX(Curves!$B$4:$AO$4,1,12-Projects!$C$33+1)*Assumptions!$B$11*0.95+0.05*Projects!$B$33*Assumptions!$B$11,Projects!$B$33*INDEX(Curves!$B$4:$AO$4,1,12-Projects!$C$33+1)*Assumptions!$B$11*0.95),0)+IF(AND(Projects!$G$34="Yes",12&gt;=Projects!$C$34,12&lt;Projects!$C$34+Projects!$D$34),IF(12=Projects!$C$34+Projects!$D$34-1,Projects!$B$34*INDEX(Curves!$B$4:$AO$4,1,12-Projects!$C$34+1)*Assumptions!$B$11*0.95+0.05*Projects!$B$34*Assumptions!$B$11,Projects!$B$34*INDEX(Curves!$B$4:$AO$4,1,12-Projects!$C$34+1)*Assumptions!$B$11*0.95),0)+IF(AND(Projects!$G$35="Yes",12&gt;=Projects!$C$35,12&lt;Projects!$C$35+Projects!$D$35),IF(12=Projects!$C$35+Projects!$D$35-1,Projects!$B$35*INDEX(Curves!$B$4:$AO$4,1,12-Projects!$C$35+1)*Assumptions!$B$11*0.95+0.05*Projects!$B$35*Assumptions!$B$11,Projects!$B$35*INDEX(Curves!$B$4:$AO$4,1,12-Projects!$C$35+1)*Assumptions!$B$11*0.95),0)+IF(AND(Projects!$G$36="Yes",12&gt;=Projects!$C$36,12&lt;Projects!$C$36+Projects!$D$36),IF(12=Projects!$C$36+Projects!$D$36-1,Projects!$B$36*INDEX(Curves!$B$4:$AO$4,1,12-Projects!$C$36+1)*Assumptions!$B$11*0.95+0.05*Projects!$B$36*Assumptions!$B$11,Projects!$B$36*INDEX(Curves!$B$4:$AO$4,1,12-Projects!$C$36+1)*Assumptions!$B$11*0.95),0)+IF(AND(Projects!$G$37="Yes",12&gt;=Projects!$C$37,12&lt;Projects!$C$37+Projects!$D$37),IF(12=Projects!$C$37+Projects!$D$37-1,Projects!$B$37*INDEX(Curves!$B$4:$AO$4,1,12-Projects!$C$37+1)*Assumptions!$B$11*0.95+0.05*Projects!$B$37*Assumptions!$B$11,Projects!$B$37*INDEX(Curves!$B$4:$AO$4,1,12-Projects!$C$37+1)*Assumptions!$B$11*0.95),0)+IF(AND(Projects!$G$38="Yes",12&gt;=Projects!$C$38,12&lt;Projects!$C$38+Projects!$D$38),IF(12=Projects!$C$38+Projects!$D$38-1,Projects!$B$38*INDEX(Curves!$B$4:$AO$4,1,12-Projects!$C$38+1)*Assumptions!$B$11*0.95+0.05*Projects!$B$38*Assumptions!$B$11,Projects!$B$38*INDEX(Curves!$B$4:$AO$4,1,12-Projects!$C$38+1)*Assumptions!$B$11*0.95),0)+IF(AND(Projects!$G$39="Yes",12&gt;=Projects!$C$39,12&lt;Projects!$C$39+Projects!$D$39),IF(12=Projects!$C$39+Projects!$D$39-1,Projects!$B$39*INDEX(Curves!$B$4:$AO$4,1,12-Projects!$C$39+1)*Assumptions!$B$11*0.95+0.05*Projects!$B$39*Assumptions!$B$11,Projects!$B$39*INDEX(Curves!$B$4:$AO$4,1,12-Projects!$C$39+1)*Assumptions!$B$11*0.95),0)+IF(AND(Projects!$G$40="Yes",12&gt;=Projects!$C$40,12&lt;Projects!$C$40+Projects!$D$40),IF(12=Projects!$C$40+Projects!$D$40-1,Projects!$B$40*INDEX(Curves!$B$4:$AO$4,1,12-Projects!$C$40+1)*Assumptions!$B$11*0.95+0.05*Projects!$B$40*Assumptions!$B$11,Projects!$B$40*INDEX(Curves!$B$4:$AO$4,1,12-Projects!$C$40+1)*Assumptions!$B$11*0.95),0)+IF(AND(Projects!$G$41="Yes",12&gt;=Projects!$C$41,12&lt;Projects!$C$41+Projects!$D$41),IF(12=Projects!$C$41+Projects!$D$41-1,Projects!$B$41*INDEX(Curves!$B$4:$AO$4,1,12-Projects!$C$41+1)*Assumptions!$B$11*0.95+0.05*Projects!$B$41*Assumptions!$B$11,Projects!$B$41*INDEX(Curves!$B$4:$AO$4,1,12-Projects!$C$41+1)*Assumptions!$B$11*0.95),0)+IF(AND(Projects!$G$42="Yes",12&gt;=Projects!$C$42,12&lt;Projects!$C$42+Projects!$D$42),IF(12=Projects!$C$42+Projects!$D$42-1,Projects!$B$42*INDEX(Curves!$B$4:$AO$4,1,12-Projects!$C$42+1)*Assumptions!$B$11*0.95+0.05*Projects!$B$42*Assumptions!$B$11,Projects!$B$42*INDEX(Curves!$B$4:$AO$4,1,12-Projects!$C$42+1)*Assumptions!$B$11*0.95),0)+IF(AND(Projects!$G$43="Yes",12&gt;=Projects!$C$43,12&lt;Projects!$C$43+Projects!$D$43),IF(12=Projects!$C$43+Projects!$D$43-1,Projects!$B$43*INDEX(Curves!$B$4:$AO$4,1,12-Projects!$C$43+1)*Assumptions!$B$11*0.95+0.05*Projects!$B$43*Assumptions!$B$11,Projects!$B$43*INDEX(Curves!$B$4:$AO$4,1,12-Projects!$C$43+1)*Assumptions!$B$11*0.95),0)+IF(AND(Projects!$G$44="Yes",12&gt;=Projects!$C$44,12&lt;Projects!$C$44+Projects!$D$44),IF(12=Projects!$C$44+Projects!$D$44-1,Projects!$B$44*INDEX(Curves!$B$4:$AO$4,1,12-Projects!$C$44+1)*Assumptions!$B$11*0.95+0.05*Projects!$B$44*Assumptions!$B$11,Projects!$B$44*INDEX(Curves!$B$4:$AO$4,1,12-Projects!$C$44+1)*Assumptions!$B$11*0.95),0)+IF(AND(Projects!$G$45="Yes",12&gt;=Projects!$C$45,12&lt;Projects!$C$45+Projects!$D$45),IF(12=Projects!$C$45+Projects!$D$45-1,Projects!$B$45*INDEX(Curves!$B$4:$AO$4,1,12-Projects!$C$45+1)*Assumptions!$B$11*0.95+0.05*Projects!$B$45*Assumptions!$B$11,Projects!$B$45*INDEX(Curves!$B$4:$AO$4,1,12-Projects!$C$45+1)*Assumptions!$B$11*0.95),0)+IF(AND(Projects!$G$46="Yes",12&gt;=Projects!$C$46,12&lt;Projects!$C$46+Projects!$D$46),IF(12=Projects!$C$46+Projects!$D$46-1,Projects!$B$46*INDEX(Curves!$B$4:$AO$4,1,12-Projects!$C$46+1)*Assumptions!$B$11*0.95+0.05*Projects!$B$46*Assumptions!$B$11,Projects!$B$46*INDEX(Curves!$B$4:$AO$4,1,12-Projects!$C$46+1)*Assumptions!$B$11*0.95),0)</f>
        <v/>
      </c>
      <c r="O109">
        <f>IF(AND(Projects!$G$30="Yes",13&gt;=Projects!$C$30,13&lt;Projects!$C$30+Projects!$D$30),IF(13=Projects!$C$30+Projects!$D$30-1,Projects!$B$30*INDEX(Curves!$B$4:$AO$4,1,13-Projects!$C$30+1)*Assumptions!$B$11*0.95+0.05*Projects!$B$30*Assumptions!$B$11,Projects!$B$30*INDEX(Curves!$B$4:$AO$4,1,13-Projects!$C$30+1)*Assumptions!$B$11*0.95),0)+IF(AND(Projects!$G$31="Yes",13&gt;=Projects!$C$31,13&lt;Projects!$C$31+Projects!$D$31),IF(13=Projects!$C$31+Projects!$D$31-1,Projects!$B$31*INDEX(Curves!$B$4:$AO$4,1,13-Projects!$C$31+1)*Assumptions!$B$11*0.95+0.05*Projects!$B$31*Assumptions!$B$11,Projects!$B$31*INDEX(Curves!$B$4:$AO$4,1,13-Projects!$C$31+1)*Assumptions!$B$11*0.95),0)+IF(AND(Projects!$G$32="Yes",13&gt;=Projects!$C$32,13&lt;Projects!$C$32+Projects!$D$32),IF(13=Projects!$C$32+Projects!$D$32-1,Projects!$B$32*INDEX(Curves!$B$4:$AO$4,1,13-Projects!$C$32+1)*Assumptions!$B$11*0.95+0.05*Projects!$B$32*Assumptions!$B$11,Projects!$B$32*INDEX(Curves!$B$4:$AO$4,1,13-Projects!$C$32+1)*Assumptions!$B$11*0.95),0)+IF(AND(Projects!$G$33="Yes",13&gt;=Projects!$C$33,13&lt;Projects!$C$33+Projects!$D$33),IF(13=Projects!$C$33+Projects!$D$33-1,Projects!$B$33*INDEX(Curves!$B$4:$AO$4,1,13-Projects!$C$33+1)*Assumptions!$B$11*0.95+0.05*Projects!$B$33*Assumptions!$B$11,Projects!$B$33*INDEX(Curves!$B$4:$AO$4,1,13-Projects!$C$33+1)*Assumptions!$B$11*0.95),0)+IF(AND(Projects!$G$34="Yes",13&gt;=Projects!$C$34,13&lt;Projects!$C$34+Projects!$D$34),IF(13=Projects!$C$34+Projects!$D$34-1,Projects!$B$34*INDEX(Curves!$B$4:$AO$4,1,13-Projects!$C$34+1)*Assumptions!$B$11*0.95+0.05*Projects!$B$34*Assumptions!$B$11,Projects!$B$34*INDEX(Curves!$B$4:$AO$4,1,13-Projects!$C$34+1)*Assumptions!$B$11*0.95),0)+IF(AND(Projects!$G$35="Yes",13&gt;=Projects!$C$35,13&lt;Projects!$C$35+Projects!$D$35),IF(13=Projects!$C$35+Projects!$D$35-1,Projects!$B$35*INDEX(Curves!$B$4:$AO$4,1,13-Projects!$C$35+1)*Assumptions!$B$11*0.95+0.05*Projects!$B$35*Assumptions!$B$11,Projects!$B$35*INDEX(Curves!$B$4:$AO$4,1,13-Projects!$C$35+1)*Assumptions!$B$11*0.95),0)+IF(AND(Projects!$G$36="Yes",13&gt;=Projects!$C$36,13&lt;Projects!$C$36+Projects!$D$36),IF(13=Projects!$C$36+Projects!$D$36-1,Projects!$B$36*INDEX(Curves!$B$4:$AO$4,1,13-Projects!$C$36+1)*Assumptions!$B$11*0.95+0.05*Projects!$B$36*Assumptions!$B$11,Projects!$B$36*INDEX(Curves!$B$4:$AO$4,1,13-Projects!$C$36+1)*Assumptions!$B$11*0.95),0)+IF(AND(Projects!$G$37="Yes",13&gt;=Projects!$C$37,13&lt;Projects!$C$37+Projects!$D$37),IF(13=Projects!$C$37+Projects!$D$37-1,Projects!$B$37*INDEX(Curves!$B$4:$AO$4,1,13-Projects!$C$37+1)*Assumptions!$B$11*0.95+0.05*Projects!$B$37*Assumptions!$B$11,Projects!$B$37*INDEX(Curves!$B$4:$AO$4,1,13-Projects!$C$37+1)*Assumptions!$B$11*0.95),0)+IF(AND(Projects!$G$38="Yes",13&gt;=Projects!$C$38,13&lt;Projects!$C$38+Projects!$D$38),IF(13=Projects!$C$38+Projects!$D$38-1,Projects!$B$38*INDEX(Curves!$B$4:$AO$4,1,13-Projects!$C$38+1)*Assumptions!$B$11*0.95+0.05*Projects!$B$38*Assumptions!$B$11,Projects!$B$38*INDEX(Curves!$B$4:$AO$4,1,13-Projects!$C$38+1)*Assumptions!$B$11*0.95),0)+IF(AND(Projects!$G$39="Yes",13&gt;=Projects!$C$39,13&lt;Projects!$C$39+Projects!$D$39),IF(13=Projects!$C$39+Projects!$D$39-1,Projects!$B$39*INDEX(Curves!$B$4:$AO$4,1,13-Projects!$C$39+1)*Assumptions!$B$11*0.95+0.05*Projects!$B$39*Assumptions!$B$11,Projects!$B$39*INDEX(Curves!$B$4:$AO$4,1,13-Projects!$C$39+1)*Assumptions!$B$11*0.95),0)+IF(AND(Projects!$G$40="Yes",13&gt;=Projects!$C$40,13&lt;Projects!$C$40+Projects!$D$40),IF(13=Projects!$C$40+Projects!$D$40-1,Projects!$B$40*INDEX(Curves!$B$4:$AO$4,1,13-Projects!$C$40+1)*Assumptions!$B$11*0.95+0.05*Projects!$B$40*Assumptions!$B$11,Projects!$B$40*INDEX(Curves!$B$4:$AO$4,1,13-Projects!$C$40+1)*Assumptions!$B$11*0.95),0)+IF(AND(Projects!$G$41="Yes",13&gt;=Projects!$C$41,13&lt;Projects!$C$41+Projects!$D$41),IF(13=Projects!$C$41+Projects!$D$41-1,Projects!$B$41*INDEX(Curves!$B$4:$AO$4,1,13-Projects!$C$41+1)*Assumptions!$B$11*0.95+0.05*Projects!$B$41*Assumptions!$B$11,Projects!$B$41*INDEX(Curves!$B$4:$AO$4,1,13-Projects!$C$41+1)*Assumptions!$B$11*0.95),0)+IF(AND(Projects!$G$42="Yes",13&gt;=Projects!$C$42,13&lt;Projects!$C$42+Projects!$D$42),IF(13=Projects!$C$42+Projects!$D$42-1,Projects!$B$42*INDEX(Curves!$B$4:$AO$4,1,13-Projects!$C$42+1)*Assumptions!$B$11*0.95+0.05*Projects!$B$42*Assumptions!$B$11,Projects!$B$42*INDEX(Curves!$B$4:$AO$4,1,13-Projects!$C$42+1)*Assumptions!$B$11*0.95),0)+IF(AND(Projects!$G$43="Yes",13&gt;=Projects!$C$43,13&lt;Projects!$C$43+Projects!$D$43),IF(13=Projects!$C$43+Projects!$D$43-1,Projects!$B$43*INDEX(Curves!$B$4:$AO$4,1,13-Projects!$C$43+1)*Assumptions!$B$11*0.95+0.05*Projects!$B$43*Assumptions!$B$11,Projects!$B$43*INDEX(Curves!$B$4:$AO$4,1,13-Projects!$C$43+1)*Assumptions!$B$11*0.95),0)+IF(AND(Projects!$G$44="Yes",13&gt;=Projects!$C$44,13&lt;Projects!$C$44+Projects!$D$44),IF(13=Projects!$C$44+Projects!$D$44-1,Projects!$B$44*INDEX(Curves!$B$4:$AO$4,1,13-Projects!$C$44+1)*Assumptions!$B$11*0.95+0.05*Projects!$B$44*Assumptions!$B$11,Projects!$B$44*INDEX(Curves!$B$4:$AO$4,1,13-Projects!$C$44+1)*Assumptions!$B$11*0.95),0)+IF(AND(Projects!$G$45="Yes",13&gt;=Projects!$C$45,13&lt;Projects!$C$45+Projects!$D$45),IF(13=Projects!$C$45+Projects!$D$45-1,Projects!$B$45*INDEX(Curves!$B$4:$AO$4,1,13-Projects!$C$45+1)*Assumptions!$B$11*0.95+0.05*Projects!$B$45*Assumptions!$B$11,Projects!$B$45*INDEX(Curves!$B$4:$AO$4,1,13-Projects!$C$45+1)*Assumptions!$B$11*0.95),0)+IF(AND(Projects!$G$46="Yes",13&gt;=Projects!$C$46,13&lt;Projects!$C$46+Projects!$D$46),IF(13=Projects!$C$46+Projects!$D$46-1,Projects!$B$46*INDEX(Curves!$B$4:$AO$4,1,13-Projects!$C$46+1)*Assumptions!$B$11*0.95+0.05*Projects!$B$46*Assumptions!$B$11,Projects!$B$46*INDEX(Curves!$B$4:$AO$4,1,13-Projects!$C$46+1)*Assumptions!$B$11*0.95),0)</f>
        <v/>
      </c>
      <c r="P109">
        <f>IF(AND(Projects!$G$30="Yes",14&gt;=Projects!$C$30,14&lt;Projects!$C$30+Projects!$D$30),IF(14=Projects!$C$30+Projects!$D$30-1,Projects!$B$30*INDEX(Curves!$B$4:$AO$4,1,14-Projects!$C$30+1)*Assumptions!$B$11*0.95+0.05*Projects!$B$30*Assumptions!$B$11,Projects!$B$30*INDEX(Curves!$B$4:$AO$4,1,14-Projects!$C$30+1)*Assumptions!$B$11*0.95),0)+IF(AND(Projects!$G$31="Yes",14&gt;=Projects!$C$31,14&lt;Projects!$C$31+Projects!$D$31),IF(14=Projects!$C$31+Projects!$D$31-1,Projects!$B$31*INDEX(Curves!$B$4:$AO$4,1,14-Projects!$C$31+1)*Assumptions!$B$11*0.95+0.05*Projects!$B$31*Assumptions!$B$11,Projects!$B$31*INDEX(Curves!$B$4:$AO$4,1,14-Projects!$C$31+1)*Assumptions!$B$11*0.95),0)+IF(AND(Projects!$G$32="Yes",14&gt;=Projects!$C$32,14&lt;Projects!$C$32+Projects!$D$32),IF(14=Projects!$C$32+Projects!$D$32-1,Projects!$B$32*INDEX(Curves!$B$4:$AO$4,1,14-Projects!$C$32+1)*Assumptions!$B$11*0.95+0.05*Projects!$B$32*Assumptions!$B$11,Projects!$B$32*INDEX(Curves!$B$4:$AO$4,1,14-Projects!$C$32+1)*Assumptions!$B$11*0.95),0)+IF(AND(Projects!$G$33="Yes",14&gt;=Projects!$C$33,14&lt;Projects!$C$33+Projects!$D$33),IF(14=Projects!$C$33+Projects!$D$33-1,Projects!$B$33*INDEX(Curves!$B$4:$AO$4,1,14-Projects!$C$33+1)*Assumptions!$B$11*0.95+0.05*Projects!$B$33*Assumptions!$B$11,Projects!$B$33*INDEX(Curves!$B$4:$AO$4,1,14-Projects!$C$33+1)*Assumptions!$B$11*0.95),0)+IF(AND(Projects!$G$34="Yes",14&gt;=Projects!$C$34,14&lt;Projects!$C$34+Projects!$D$34),IF(14=Projects!$C$34+Projects!$D$34-1,Projects!$B$34*INDEX(Curves!$B$4:$AO$4,1,14-Projects!$C$34+1)*Assumptions!$B$11*0.95+0.05*Projects!$B$34*Assumptions!$B$11,Projects!$B$34*INDEX(Curves!$B$4:$AO$4,1,14-Projects!$C$34+1)*Assumptions!$B$11*0.95),0)+IF(AND(Projects!$G$35="Yes",14&gt;=Projects!$C$35,14&lt;Projects!$C$35+Projects!$D$35),IF(14=Projects!$C$35+Projects!$D$35-1,Projects!$B$35*INDEX(Curves!$B$4:$AO$4,1,14-Projects!$C$35+1)*Assumptions!$B$11*0.95+0.05*Projects!$B$35*Assumptions!$B$11,Projects!$B$35*INDEX(Curves!$B$4:$AO$4,1,14-Projects!$C$35+1)*Assumptions!$B$11*0.95),0)+IF(AND(Projects!$G$36="Yes",14&gt;=Projects!$C$36,14&lt;Projects!$C$36+Projects!$D$36),IF(14=Projects!$C$36+Projects!$D$36-1,Projects!$B$36*INDEX(Curves!$B$4:$AO$4,1,14-Projects!$C$36+1)*Assumptions!$B$11*0.95+0.05*Projects!$B$36*Assumptions!$B$11,Projects!$B$36*INDEX(Curves!$B$4:$AO$4,1,14-Projects!$C$36+1)*Assumptions!$B$11*0.95),0)+IF(AND(Projects!$G$37="Yes",14&gt;=Projects!$C$37,14&lt;Projects!$C$37+Projects!$D$37),IF(14=Projects!$C$37+Projects!$D$37-1,Projects!$B$37*INDEX(Curves!$B$4:$AO$4,1,14-Projects!$C$37+1)*Assumptions!$B$11*0.95+0.05*Projects!$B$37*Assumptions!$B$11,Projects!$B$37*INDEX(Curves!$B$4:$AO$4,1,14-Projects!$C$37+1)*Assumptions!$B$11*0.95),0)+IF(AND(Projects!$G$38="Yes",14&gt;=Projects!$C$38,14&lt;Projects!$C$38+Projects!$D$38),IF(14=Projects!$C$38+Projects!$D$38-1,Projects!$B$38*INDEX(Curves!$B$4:$AO$4,1,14-Projects!$C$38+1)*Assumptions!$B$11*0.95+0.05*Projects!$B$38*Assumptions!$B$11,Projects!$B$38*INDEX(Curves!$B$4:$AO$4,1,14-Projects!$C$38+1)*Assumptions!$B$11*0.95),0)+IF(AND(Projects!$G$39="Yes",14&gt;=Projects!$C$39,14&lt;Projects!$C$39+Projects!$D$39),IF(14=Projects!$C$39+Projects!$D$39-1,Projects!$B$39*INDEX(Curves!$B$4:$AO$4,1,14-Projects!$C$39+1)*Assumptions!$B$11*0.95+0.05*Projects!$B$39*Assumptions!$B$11,Projects!$B$39*INDEX(Curves!$B$4:$AO$4,1,14-Projects!$C$39+1)*Assumptions!$B$11*0.95),0)+IF(AND(Projects!$G$40="Yes",14&gt;=Projects!$C$40,14&lt;Projects!$C$40+Projects!$D$40),IF(14=Projects!$C$40+Projects!$D$40-1,Projects!$B$40*INDEX(Curves!$B$4:$AO$4,1,14-Projects!$C$40+1)*Assumptions!$B$11*0.95+0.05*Projects!$B$40*Assumptions!$B$11,Projects!$B$40*INDEX(Curves!$B$4:$AO$4,1,14-Projects!$C$40+1)*Assumptions!$B$11*0.95),0)+IF(AND(Projects!$G$41="Yes",14&gt;=Projects!$C$41,14&lt;Projects!$C$41+Projects!$D$41),IF(14=Projects!$C$41+Projects!$D$41-1,Projects!$B$41*INDEX(Curves!$B$4:$AO$4,1,14-Projects!$C$41+1)*Assumptions!$B$11*0.95+0.05*Projects!$B$41*Assumptions!$B$11,Projects!$B$41*INDEX(Curves!$B$4:$AO$4,1,14-Projects!$C$41+1)*Assumptions!$B$11*0.95),0)+IF(AND(Projects!$G$42="Yes",14&gt;=Projects!$C$42,14&lt;Projects!$C$42+Projects!$D$42),IF(14=Projects!$C$42+Projects!$D$42-1,Projects!$B$42*INDEX(Curves!$B$4:$AO$4,1,14-Projects!$C$42+1)*Assumptions!$B$11*0.95+0.05*Projects!$B$42*Assumptions!$B$11,Projects!$B$42*INDEX(Curves!$B$4:$AO$4,1,14-Projects!$C$42+1)*Assumptions!$B$11*0.95),0)+IF(AND(Projects!$G$43="Yes",14&gt;=Projects!$C$43,14&lt;Projects!$C$43+Projects!$D$43),IF(14=Projects!$C$43+Projects!$D$43-1,Projects!$B$43*INDEX(Curves!$B$4:$AO$4,1,14-Projects!$C$43+1)*Assumptions!$B$11*0.95+0.05*Projects!$B$43*Assumptions!$B$11,Projects!$B$43*INDEX(Curves!$B$4:$AO$4,1,14-Projects!$C$43+1)*Assumptions!$B$11*0.95),0)+IF(AND(Projects!$G$44="Yes",14&gt;=Projects!$C$44,14&lt;Projects!$C$44+Projects!$D$44),IF(14=Projects!$C$44+Projects!$D$44-1,Projects!$B$44*INDEX(Curves!$B$4:$AO$4,1,14-Projects!$C$44+1)*Assumptions!$B$11*0.95+0.05*Projects!$B$44*Assumptions!$B$11,Projects!$B$44*INDEX(Curves!$B$4:$AO$4,1,14-Projects!$C$44+1)*Assumptions!$B$11*0.95),0)+IF(AND(Projects!$G$45="Yes",14&gt;=Projects!$C$45,14&lt;Projects!$C$45+Projects!$D$45),IF(14=Projects!$C$45+Projects!$D$45-1,Projects!$B$45*INDEX(Curves!$B$4:$AO$4,1,14-Projects!$C$45+1)*Assumptions!$B$11*0.95+0.05*Projects!$B$45*Assumptions!$B$11,Projects!$B$45*INDEX(Curves!$B$4:$AO$4,1,14-Projects!$C$45+1)*Assumptions!$B$11*0.95),0)+IF(AND(Projects!$G$46="Yes",14&gt;=Projects!$C$46,14&lt;Projects!$C$46+Projects!$D$46),IF(14=Projects!$C$46+Projects!$D$46-1,Projects!$B$46*INDEX(Curves!$B$4:$AO$4,1,14-Projects!$C$46+1)*Assumptions!$B$11*0.95+0.05*Projects!$B$46*Assumptions!$B$11,Projects!$B$46*INDEX(Curves!$B$4:$AO$4,1,14-Projects!$C$46+1)*Assumptions!$B$11*0.95),0)</f>
        <v/>
      </c>
      <c r="Q109">
        <f>IF(AND(Projects!$G$30="Yes",15&gt;=Projects!$C$30,15&lt;Projects!$C$30+Projects!$D$30),IF(15=Projects!$C$30+Projects!$D$30-1,Projects!$B$30*INDEX(Curves!$B$4:$AO$4,1,15-Projects!$C$30+1)*Assumptions!$B$11*0.95+0.05*Projects!$B$30*Assumptions!$B$11,Projects!$B$30*INDEX(Curves!$B$4:$AO$4,1,15-Projects!$C$30+1)*Assumptions!$B$11*0.95),0)+IF(AND(Projects!$G$31="Yes",15&gt;=Projects!$C$31,15&lt;Projects!$C$31+Projects!$D$31),IF(15=Projects!$C$31+Projects!$D$31-1,Projects!$B$31*INDEX(Curves!$B$4:$AO$4,1,15-Projects!$C$31+1)*Assumptions!$B$11*0.95+0.05*Projects!$B$31*Assumptions!$B$11,Projects!$B$31*INDEX(Curves!$B$4:$AO$4,1,15-Projects!$C$31+1)*Assumptions!$B$11*0.95),0)+IF(AND(Projects!$G$32="Yes",15&gt;=Projects!$C$32,15&lt;Projects!$C$32+Projects!$D$32),IF(15=Projects!$C$32+Projects!$D$32-1,Projects!$B$32*INDEX(Curves!$B$4:$AO$4,1,15-Projects!$C$32+1)*Assumptions!$B$11*0.95+0.05*Projects!$B$32*Assumptions!$B$11,Projects!$B$32*INDEX(Curves!$B$4:$AO$4,1,15-Projects!$C$32+1)*Assumptions!$B$11*0.95),0)+IF(AND(Projects!$G$33="Yes",15&gt;=Projects!$C$33,15&lt;Projects!$C$33+Projects!$D$33),IF(15=Projects!$C$33+Projects!$D$33-1,Projects!$B$33*INDEX(Curves!$B$4:$AO$4,1,15-Projects!$C$33+1)*Assumptions!$B$11*0.95+0.05*Projects!$B$33*Assumptions!$B$11,Projects!$B$33*INDEX(Curves!$B$4:$AO$4,1,15-Projects!$C$33+1)*Assumptions!$B$11*0.95),0)+IF(AND(Projects!$G$34="Yes",15&gt;=Projects!$C$34,15&lt;Projects!$C$34+Projects!$D$34),IF(15=Projects!$C$34+Projects!$D$34-1,Projects!$B$34*INDEX(Curves!$B$4:$AO$4,1,15-Projects!$C$34+1)*Assumptions!$B$11*0.95+0.05*Projects!$B$34*Assumptions!$B$11,Projects!$B$34*INDEX(Curves!$B$4:$AO$4,1,15-Projects!$C$34+1)*Assumptions!$B$11*0.95),0)+IF(AND(Projects!$G$35="Yes",15&gt;=Projects!$C$35,15&lt;Projects!$C$35+Projects!$D$35),IF(15=Projects!$C$35+Projects!$D$35-1,Projects!$B$35*INDEX(Curves!$B$4:$AO$4,1,15-Projects!$C$35+1)*Assumptions!$B$11*0.95+0.05*Projects!$B$35*Assumptions!$B$11,Projects!$B$35*INDEX(Curves!$B$4:$AO$4,1,15-Projects!$C$35+1)*Assumptions!$B$11*0.95),0)+IF(AND(Projects!$G$36="Yes",15&gt;=Projects!$C$36,15&lt;Projects!$C$36+Projects!$D$36),IF(15=Projects!$C$36+Projects!$D$36-1,Projects!$B$36*INDEX(Curves!$B$4:$AO$4,1,15-Projects!$C$36+1)*Assumptions!$B$11*0.95+0.05*Projects!$B$36*Assumptions!$B$11,Projects!$B$36*INDEX(Curves!$B$4:$AO$4,1,15-Projects!$C$36+1)*Assumptions!$B$11*0.95),0)+IF(AND(Projects!$G$37="Yes",15&gt;=Projects!$C$37,15&lt;Projects!$C$37+Projects!$D$37),IF(15=Projects!$C$37+Projects!$D$37-1,Projects!$B$37*INDEX(Curves!$B$4:$AO$4,1,15-Projects!$C$37+1)*Assumptions!$B$11*0.95+0.05*Projects!$B$37*Assumptions!$B$11,Projects!$B$37*INDEX(Curves!$B$4:$AO$4,1,15-Projects!$C$37+1)*Assumptions!$B$11*0.95),0)+IF(AND(Projects!$G$38="Yes",15&gt;=Projects!$C$38,15&lt;Projects!$C$38+Projects!$D$38),IF(15=Projects!$C$38+Projects!$D$38-1,Projects!$B$38*INDEX(Curves!$B$4:$AO$4,1,15-Projects!$C$38+1)*Assumptions!$B$11*0.95+0.05*Projects!$B$38*Assumptions!$B$11,Projects!$B$38*INDEX(Curves!$B$4:$AO$4,1,15-Projects!$C$38+1)*Assumptions!$B$11*0.95),0)+IF(AND(Projects!$G$39="Yes",15&gt;=Projects!$C$39,15&lt;Projects!$C$39+Projects!$D$39),IF(15=Projects!$C$39+Projects!$D$39-1,Projects!$B$39*INDEX(Curves!$B$4:$AO$4,1,15-Projects!$C$39+1)*Assumptions!$B$11*0.95+0.05*Projects!$B$39*Assumptions!$B$11,Projects!$B$39*INDEX(Curves!$B$4:$AO$4,1,15-Projects!$C$39+1)*Assumptions!$B$11*0.95),0)+IF(AND(Projects!$G$40="Yes",15&gt;=Projects!$C$40,15&lt;Projects!$C$40+Projects!$D$40),IF(15=Projects!$C$40+Projects!$D$40-1,Projects!$B$40*INDEX(Curves!$B$4:$AO$4,1,15-Projects!$C$40+1)*Assumptions!$B$11*0.95+0.05*Projects!$B$40*Assumptions!$B$11,Projects!$B$40*INDEX(Curves!$B$4:$AO$4,1,15-Projects!$C$40+1)*Assumptions!$B$11*0.95),0)+IF(AND(Projects!$G$41="Yes",15&gt;=Projects!$C$41,15&lt;Projects!$C$41+Projects!$D$41),IF(15=Projects!$C$41+Projects!$D$41-1,Projects!$B$41*INDEX(Curves!$B$4:$AO$4,1,15-Projects!$C$41+1)*Assumptions!$B$11*0.95+0.05*Projects!$B$41*Assumptions!$B$11,Projects!$B$41*INDEX(Curves!$B$4:$AO$4,1,15-Projects!$C$41+1)*Assumptions!$B$11*0.95),0)+IF(AND(Projects!$G$42="Yes",15&gt;=Projects!$C$42,15&lt;Projects!$C$42+Projects!$D$42),IF(15=Projects!$C$42+Projects!$D$42-1,Projects!$B$42*INDEX(Curves!$B$4:$AO$4,1,15-Projects!$C$42+1)*Assumptions!$B$11*0.95+0.05*Projects!$B$42*Assumptions!$B$11,Projects!$B$42*INDEX(Curves!$B$4:$AO$4,1,15-Projects!$C$42+1)*Assumptions!$B$11*0.95),0)+IF(AND(Projects!$G$43="Yes",15&gt;=Projects!$C$43,15&lt;Projects!$C$43+Projects!$D$43),IF(15=Projects!$C$43+Projects!$D$43-1,Projects!$B$43*INDEX(Curves!$B$4:$AO$4,1,15-Projects!$C$43+1)*Assumptions!$B$11*0.95+0.05*Projects!$B$43*Assumptions!$B$11,Projects!$B$43*INDEX(Curves!$B$4:$AO$4,1,15-Projects!$C$43+1)*Assumptions!$B$11*0.95),0)+IF(AND(Projects!$G$44="Yes",15&gt;=Projects!$C$44,15&lt;Projects!$C$44+Projects!$D$44),IF(15=Projects!$C$44+Projects!$D$44-1,Projects!$B$44*INDEX(Curves!$B$4:$AO$4,1,15-Projects!$C$44+1)*Assumptions!$B$11*0.95+0.05*Projects!$B$44*Assumptions!$B$11,Projects!$B$44*INDEX(Curves!$B$4:$AO$4,1,15-Projects!$C$44+1)*Assumptions!$B$11*0.95),0)+IF(AND(Projects!$G$45="Yes",15&gt;=Projects!$C$45,15&lt;Projects!$C$45+Projects!$D$45),IF(15=Projects!$C$45+Projects!$D$45-1,Projects!$B$45*INDEX(Curves!$B$4:$AO$4,1,15-Projects!$C$45+1)*Assumptions!$B$11*0.95+0.05*Projects!$B$45*Assumptions!$B$11,Projects!$B$45*INDEX(Curves!$B$4:$AO$4,1,15-Projects!$C$45+1)*Assumptions!$B$11*0.95),0)+IF(AND(Projects!$G$46="Yes",15&gt;=Projects!$C$46,15&lt;Projects!$C$46+Projects!$D$46),IF(15=Projects!$C$46+Projects!$D$46-1,Projects!$B$46*INDEX(Curves!$B$4:$AO$4,1,15-Projects!$C$46+1)*Assumptions!$B$11*0.95+0.05*Projects!$B$46*Assumptions!$B$11,Projects!$B$46*INDEX(Curves!$B$4:$AO$4,1,15-Projects!$C$46+1)*Assumptions!$B$11*0.95),0)</f>
        <v/>
      </c>
      <c r="R109">
        <f>IF(AND(Projects!$G$30="Yes",16&gt;=Projects!$C$30,16&lt;Projects!$C$30+Projects!$D$30),IF(16=Projects!$C$30+Projects!$D$30-1,Projects!$B$30*INDEX(Curves!$B$4:$AO$4,1,16-Projects!$C$30+1)*Assumptions!$B$11*0.95+0.05*Projects!$B$30*Assumptions!$B$11,Projects!$B$30*INDEX(Curves!$B$4:$AO$4,1,16-Projects!$C$30+1)*Assumptions!$B$11*0.95),0)+IF(AND(Projects!$G$31="Yes",16&gt;=Projects!$C$31,16&lt;Projects!$C$31+Projects!$D$31),IF(16=Projects!$C$31+Projects!$D$31-1,Projects!$B$31*INDEX(Curves!$B$4:$AO$4,1,16-Projects!$C$31+1)*Assumptions!$B$11*0.95+0.05*Projects!$B$31*Assumptions!$B$11,Projects!$B$31*INDEX(Curves!$B$4:$AO$4,1,16-Projects!$C$31+1)*Assumptions!$B$11*0.95),0)+IF(AND(Projects!$G$32="Yes",16&gt;=Projects!$C$32,16&lt;Projects!$C$32+Projects!$D$32),IF(16=Projects!$C$32+Projects!$D$32-1,Projects!$B$32*INDEX(Curves!$B$4:$AO$4,1,16-Projects!$C$32+1)*Assumptions!$B$11*0.95+0.05*Projects!$B$32*Assumptions!$B$11,Projects!$B$32*INDEX(Curves!$B$4:$AO$4,1,16-Projects!$C$32+1)*Assumptions!$B$11*0.95),0)+IF(AND(Projects!$G$33="Yes",16&gt;=Projects!$C$33,16&lt;Projects!$C$33+Projects!$D$33),IF(16=Projects!$C$33+Projects!$D$33-1,Projects!$B$33*INDEX(Curves!$B$4:$AO$4,1,16-Projects!$C$33+1)*Assumptions!$B$11*0.95+0.05*Projects!$B$33*Assumptions!$B$11,Projects!$B$33*INDEX(Curves!$B$4:$AO$4,1,16-Projects!$C$33+1)*Assumptions!$B$11*0.95),0)+IF(AND(Projects!$G$34="Yes",16&gt;=Projects!$C$34,16&lt;Projects!$C$34+Projects!$D$34),IF(16=Projects!$C$34+Projects!$D$34-1,Projects!$B$34*INDEX(Curves!$B$4:$AO$4,1,16-Projects!$C$34+1)*Assumptions!$B$11*0.95+0.05*Projects!$B$34*Assumptions!$B$11,Projects!$B$34*INDEX(Curves!$B$4:$AO$4,1,16-Projects!$C$34+1)*Assumptions!$B$11*0.95),0)+IF(AND(Projects!$G$35="Yes",16&gt;=Projects!$C$35,16&lt;Projects!$C$35+Projects!$D$35),IF(16=Projects!$C$35+Projects!$D$35-1,Projects!$B$35*INDEX(Curves!$B$4:$AO$4,1,16-Projects!$C$35+1)*Assumptions!$B$11*0.95+0.05*Projects!$B$35*Assumptions!$B$11,Projects!$B$35*INDEX(Curves!$B$4:$AO$4,1,16-Projects!$C$35+1)*Assumptions!$B$11*0.95),0)+IF(AND(Projects!$G$36="Yes",16&gt;=Projects!$C$36,16&lt;Projects!$C$36+Projects!$D$36),IF(16=Projects!$C$36+Projects!$D$36-1,Projects!$B$36*INDEX(Curves!$B$4:$AO$4,1,16-Projects!$C$36+1)*Assumptions!$B$11*0.95+0.05*Projects!$B$36*Assumptions!$B$11,Projects!$B$36*INDEX(Curves!$B$4:$AO$4,1,16-Projects!$C$36+1)*Assumptions!$B$11*0.95),0)+IF(AND(Projects!$G$37="Yes",16&gt;=Projects!$C$37,16&lt;Projects!$C$37+Projects!$D$37),IF(16=Projects!$C$37+Projects!$D$37-1,Projects!$B$37*INDEX(Curves!$B$4:$AO$4,1,16-Projects!$C$37+1)*Assumptions!$B$11*0.95+0.05*Projects!$B$37*Assumptions!$B$11,Projects!$B$37*INDEX(Curves!$B$4:$AO$4,1,16-Projects!$C$37+1)*Assumptions!$B$11*0.95),0)+IF(AND(Projects!$G$38="Yes",16&gt;=Projects!$C$38,16&lt;Projects!$C$38+Projects!$D$38),IF(16=Projects!$C$38+Projects!$D$38-1,Projects!$B$38*INDEX(Curves!$B$4:$AO$4,1,16-Projects!$C$38+1)*Assumptions!$B$11*0.95+0.05*Projects!$B$38*Assumptions!$B$11,Projects!$B$38*INDEX(Curves!$B$4:$AO$4,1,16-Projects!$C$38+1)*Assumptions!$B$11*0.95),0)+IF(AND(Projects!$G$39="Yes",16&gt;=Projects!$C$39,16&lt;Projects!$C$39+Projects!$D$39),IF(16=Projects!$C$39+Projects!$D$39-1,Projects!$B$39*INDEX(Curves!$B$4:$AO$4,1,16-Projects!$C$39+1)*Assumptions!$B$11*0.95+0.05*Projects!$B$39*Assumptions!$B$11,Projects!$B$39*INDEX(Curves!$B$4:$AO$4,1,16-Projects!$C$39+1)*Assumptions!$B$11*0.95),0)+IF(AND(Projects!$G$40="Yes",16&gt;=Projects!$C$40,16&lt;Projects!$C$40+Projects!$D$40),IF(16=Projects!$C$40+Projects!$D$40-1,Projects!$B$40*INDEX(Curves!$B$4:$AO$4,1,16-Projects!$C$40+1)*Assumptions!$B$11*0.95+0.05*Projects!$B$40*Assumptions!$B$11,Projects!$B$40*INDEX(Curves!$B$4:$AO$4,1,16-Projects!$C$40+1)*Assumptions!$B$11*0.95),0)+IF(AND(Projects!$G$41="Yes",16&gt;=Projects!$C$41,16&lt;Projects!$C$41+Projects!$D$41),IF(16=Projects!$C$41+Projects!$D$41-1,Projects!$B$41*INDEX(Curves!$B$4:$AO$4,1,16-Projects!$C$41+1)*Assumptions!$B$11*0.95+0.05*Projects!$B$41*Assumptions!$B$11,Projects!$B$41*INDEX(Curves!$B$4:$AO$4,1,16-Projects!$C$41+1)*Assumptions!$B$11*0.95),0)+IF(AND(Projects!$G$42="Yes",16&gt;=Projects!$C$42,16&lt;Projects!$C$42+Projects!$D$42),IF(16=Projects!$C$42+Projects!$D$42-1,Projects!$B$42*INDEX(Curves!$B$4:$AO$4,1,16-Projects!$C$42+1)*Assumptions!$B$11*0.95+0.05*Projects!$B$42*Assumptions!$B$11,Projects!$B$42*INDEX(Curves!$B$4:$AO$4,1,16-Projects!$C$42+1)*Assumptions!$B$11*0.95),0)+IF(AND(Projects!$G$43="Yes",16&gt;=Projects!$C$43,16&lt;Projects!$C$43+Projects!$D$43),IF(16=Projects!$C$43+Projects!$D$43-1,Projects!$B$43*INDEX(Curves!$B$4:$AO$4,1,16-Projects!$C$43+1)*Assumptions!$B$11*0.95+0.05*Projects!$B$43*Assumptions!$B$11,Projects!$B$43*INDEX(Curves!$B$4:$AO$4,1,16-Projects!$C$43+1)*Assumptions!$B$11*0.95),0)+IF(AND(Projects!$G$44="Yes",16&gt;=Projects!$C$44,16&lt;Projects!$C$44+Projects!$D$44),IF(16=Projects!$C$44+Projects!$D$44-1,Projects!$B$44*INDEX(Curves!$B$4:$AO$4,1,16-Projects!$C$44+1)*Assumptions!$B$11*0.95+0.05*Projects!$B$44*Assumptions!$B$11,Projects!$B$44*INDEX(Curves!$B$4:$AO$4,1,16-Projects!$C$44+1)*Assumptions!$B$11*0.95),0)+IF(AND(Projects!$G$45="Yes",16&gt;=Projects!$C$45,16&lt;Projects!$C$45+Projects!$D$45),IF(16=Projects!$C$45+Projects!$D$45-1,Projects!$B$45*INDEX(Curves!$B$4:$AO$4,1,16-Projects!$C$45+1)*Assumptions!$B$11*0.95+0.05*Projects!$B$45*Assumptions!$B$11,Projects!$B$45*INDEX(Curves!$B$4:$AO$4,1,16-Projects!$C$45+1)*Assumptions!$B$11*0.95),0)+IF(AND(Projects!$G$46="Yes",16&gt;=Projects!$C$46,16&lt;Projects!$C$46+Projects!$D$46),IF(16=Projects!$C$46+Projects!$D$46-1,Projects!$B$46*INDEX(Curves!$B$4:$AO$4,1,16-Projects!$C$46+1)*Assumptions!$B$11*0.95+0.05*Projects!$B$46*Assumptions!$B$11,Projects!$B$46*INDEX(Curves!$B$4:$AO$4,1,16-Projects!$C$46+1)*Assumptions!$B$11*0.95),0)</f>
        <v/>
      </c>
      <c r="S109">
        <f>IF(AND(Projects!$G$30="Yes",17&gt;=Projects!$C$30,17&lt;Projects!$C$30+Projects!$D$30),IF(17=Projects!$C$30+Projects!$D$30-1,Projects!$B$30*INDEX(Curves!$B$4:$AO$4,1,17-Projects!$C$30+1)*Assumptions!$B$11*0.95+0.05*Projects!$B$30*Assumptions!$B$11,Projects!$B$30*INDEX(Curves!$B$4:$AO$4,1,17-Projects!$C$30+1)*Assumptions!$B$11*0.95),0)+IF(AND(Projects!$G$31="Yes",17&gt;=Projects!$C$31,17&lt;Projects!$C$31+Projects!$D$31),IF(17=Projects!$C$31+Projects!$D$31-1,Projects!$B$31*INDEX(Curves!$B$4:$AO$4,1,17-Projects!$C$31+1)*Assumptions!$B$11*0.95+0.05*Projects!$B$31*Assumptions!$B$11,Projects!$B$31*INDEX(Curves!$B$4:$AO$4,1,17-Projects!$C$31+1)*Assumptions!$B$11*0.95),0)+IF(AND(Projects!$G$32="Yes",17&gt;=Projects!$C$32,17&lt;Projects!$C$32+Projects!$D$32),IF(17=Projects!$C$32+Projects!$D$32-1,Projects!$B$32*INDEX(Curves!$B$4:$AO$4,1,17-Projects!$C$32+1)*Assumptions!$B$11*0.95+0.05*Projects!$B$32*Assumptions!$B$11,Projects!$B$32*INDEX(Curves!$B$4:$AO$4,1,17-Projects!$C$32+1)*Assumptions!$B$11*0.95),0)+IF(AND(Projects!$G$33="Yes",17&gt;=Projects!$C$33,17&lt;Projects!$C$33+Projects!$D$33),IF(17=Projects!$C$33+Projects!$D$33-1,Projects!$B$33*INDEX(Curves!$B$4:$AO$4,1,17-Projects!$C$33+1)*Assumptions!$B$11*0.95+0.05*Projects!$B$33*Assumptions!$B$11,Projects!$B$33*INDEX(Curves!$B$4:$AO$4,1,17-Projects!$C$33+1)*Assumptions!$B$11*0.95),0)+IF(AND(Projects!$G$34="Yes",17&gt;=Projects!$C$34,17&lt;Projects!$C$34+Projects!$D$34),IF(17=Projects!$C$34+Projects!$D$34-1,Projects!$B$34*INDEX(Curves!$B$4:$AO$4,1,17-Projects!$C$34+1)*Assumptions!$B$11*0.95+0.05*Projects!$B$34*Assumptions!$B$11,Projects!$B$34*INDEX(Curves!$B$4:$AO$4,1,17-Projects!$C$34+1)*Assumptions!$B$11*0.95),0)+IF(AND(Projects!$G$35="Yes",17&gt;=Projects!$C$35,17&lt;Projects!$C$35+Projects!$D$35),IF(17=Projects!$C$35+Projects!$D$35-1,Projects!$B$35*INDEX(Curves!$B$4:$AO$4,1,17-Projects!$C$35+1)*Assumptions!$B$11*0.95+0.05*Projects!$B$35*Assumptions!$B$11,Projects!$B$35*INDEX(Curves!$B$4:$AO$4,1,17-Projects!$C$35+1)*Assumptions!$B$11*0.95),0)+IF(AND(Projects!$G$36="Yes",17&gt;=Projects!$C$36,17&lt;Projects!$C$36+Projects!$D$36),IF(17=Projects!$C$36+Projects!$D$36-1,Projects!$B$36*INDEX(Curves!$B$4:$AO$4,1,17-Projects!$C$36+1)*Assumptions!$B$11*0.95+0.05*Projects!$B$36*Assumptions!$B$11,Projects!$B$36*INDEX(Curves!$B$4:$AO$4,1,17-Projects!$C$36+1)*Assumptions!$B$11*0.95),0)+IF(AND(Projects!$G$37="Yes",17&gt;=Projects!$C$37,17&lt;Projects!$C$37+Projects!$D$37),IF(17=Projects!$C$37+Projects!$D$37-1,Projects!$B$37*INDEX(Curves!$B$4:$AO$4,1,17-Projects!$C$37+1)*Assumptions!$B$11*0.95+0.05*Projects!$B$37*Assumptions!$B$11,Projects!$B$37*INDEX(Curves!$B$4:$AO$4,1,17-Projects!$C$37+1)*Assumptions!$B$11*0.95),0)+IF(AND(Projects!$G$38="Yes",17&gt;=Projects!$C$38,17&lt;Projects!$C$38+Projects!$D$38),IF(17=Projects!$C$38+Projects!$D$38-1,Projects!$B$38*INDEX(Curves!$B$4:$AO$4,1,17-Projects!$C$38+1)*Assumptions!$B$11*0.95+0.05*Projects!$B$38*Assumptions!$B$11,Projects!$B$38*INDEX(Curves!$B$4:$AO$4,1,17-Projects!$C$38+1)*Assumptions!$B$11*0.95),0)+IF(AND(Projects!$G$39="Yes",17&gt;=Projects!$C$39,17&lt;Projects!$C$39+Projects!$D$39),IF(17=Projects!$C$39+Projects!$D$39-1,Projects!$B$39*INDEX(Curves!$B$4:$AO$4,1,17-Projects!$C$39+1)*Assumptions!$B$11*0.95+0.05*Projects!$B$39*Assumptions!$B$11,Projects!$B$39*INDEX(Curves!$B$4:$AO$4,1,17-Projects!$C$39+1)*Assumptions!$B$11*0.95),0)+IF(AND(Projects!$G$40="Yes",17&gt;=Projects!$C$40,17&lt;Projects!$C$40+Projects!$D$40),IF(17=Projects!$C$40+Projects!$D$40-1,Projects!$B$40*INDEX(Curves!$B$4:$AO$4,1,17-Projects!$C$40+1)*Assumptions!$B$11*0.95+0.05*Projects!$B$40*Assumptions!$B$11,Projects!$B$40*INDEX(Curves!$B$4:$AO$4,1,17-Projects!$C$40+1)*Assumptions!$B$11*0.95),0)+IF(AND(Projects!$G$41="Yes",17&gt;=Projects!$C$41,17&lt;Projects!$C$41+Projects!$D$41),IF(17=Projects!$C$41+Projects!$D$41-1,Projects!$B$41*INDEX(Curves!$B$4:$AO$4,1,17-Projects!$C$41+1)*Assumptions!$B$11*0.95+0.05*Projects!$B$41*Assumptions!$B$11,Projects!$B$41*INDEX(Curves!$B$4:$AO$4,1,17-Projects!$C$41+1)*Assumptions!$B$11*0.95),0)+IF(AND(Projects!$G$42="Yes",17&gt;=Projects!$C$42,17&lt;Projects!$C$42+Projects!$D$42),IF(17=Projects!$C$42+Projects!$D$42-1,Projects!$B$42*INDEX(Curves!$B$4:$AO$4,1,17-Projects!$C$42+1)*Assumptions!$B$11*0.95+0.05*Projects!$B$42*Assumptions!$B$11,Projects!$B$42*INDEX(Curves!$B$4:$AO$4,1,17-Projects!$C$42+1)*Assumptions!$B$11*0.95),0)+IF(AND(Projects!$G$43="Yes",17&gt;=Projects!$C$43,17&lt;Projects!$C$43+Projects!$D$43),IF(17=Projects!$C$43+Projects!$D$43-1,Projects!$B$43*INDEX(Curves!$B$4:$AO$4,1,17-Projects!$C$43+1)*Assumptions!$B$11*0.95+0.05*Projects!$B$43*Assumptions!$B$11,Projects!$B$43*INDEX(Curves!$B$4:$AO$4,1,17-Projects!$C$43+1)*Assumptions!$B$11*0.95),0)+IF(AND(Projects!$G$44="Yes",17&gt;=Projects!$C$44,17&lt;Projects!$C$44+Projects!$D$44),IF(17=Projects!$C$44+Projects!$D$44-1,Projects!$B$44*INDEX(Curves!$B$4:$AO$4,1,17-Projects!$C$44+1)*Assumptions!$B$11*0.95+0.05*Projects!$B$44*Assumptions!$B$11,Projects!$B$44*INDEX(Curves!$B$4:$AO$4,1,17-Projects!$C$44+1)*Assumptions!$B$11*0.95),0)+IF(AND(Projects!$G$45="Yes",17&gt;=Projects!$C$45,17&lt;Projects!$C$45+Projects!$D$45),IF(17=Projects!$C$45+Projects!$D$45-1,Projects!$B$45*INDEX(Curves!$B$4:$AO$4,1,17-Projects!$C$45+1)*Assumptions!$B$11*0.95+0.05*Projects!$B$45*Assumptions!$B$11,Projects!$B$45*INDEX(Curves!$B$4:$AO$4,1,17-Projects!$C$45+1)*Assumptions!$B$11*0.95),0)+IF(AND(Projects!$G$46="Yes",17&gt;=Projects!$C$46,17&lt;Projects!$C$46+Projects!$D$46),IF(17=Projects!$C$46+Projects!$D$46-1,Projects!$B$46*INDEX(Curves!$B$4:$AO$4,1,17-Projects!$C$46+1)*Assumptions!$B$11*0.95+0.05*Projects!$B$46*Assumptions!$B$11,Projects!$B$46*INDEX(Curves!$B$4:$AO$4,1,17-Projects!$C$46+1)*Assumptions!$B$11*0.95),0)</f>
        <v/>
      </c>
      <c r="T109">
        <f>IF(AND(Projects!$G$30="Yes",18&gt;=Projects!$C$30,18&lt;Projects!$C$30+Projects!$D$30),IF(18=Projects!$C$30+Projects!$D$30-1,Projects!$B$30*INDEX(Curves!$B$4:$AO$4,1,18-Projects!$C$30+1)*Assumptions!$B$11*0.95+0.05*Projects!$B$30*Assumptions!$B$11,Projects!$B$30*INDEX(Curves!$B$4:$AO$4,1,18-Projects!$C$30+1)*Assumptions!$B$11*0.95),0)+IF(AND(Projects!$G$31="Yes",18&gt;=Projects!$C$31,18&lt;Projects!$C$31+Projects!$D$31),IF(18=Projects!$C$31+Projects!$D$31-1,Projects!$B$31*INDEX(Curves!$B$4:$AO$4,1,18-Projects!$C$31+1)*Assumptions!$B$11*0.95+0.05*Projects!$B$31*Assumptions!$B$11,Projects!$B$31*INDEX(Curves!$B$4:$AO$4,1,18-Projects!$C$31+1)*Assumptions!$B$11*0.95),0)+IF(AND(Projects!$G$32="Yes",18&gt;=Projects!$C$32,18&lt;Projects!$C$32+Projects!$D$32),IF(18=Projects!$C$32+Projects!$D$32-1,Projects!$B$32*INDEX(Curves!$B$4:$AO$4,1,18-Projects!$C$32+1)*Assumptions!$B$11*0.95+0.05*Projects!$B$32*Assumptions!$B$11,Projects!$B$32*INDEX(Curves!$B$4:$AO$4,1,18-Projects!$C$32+1)*Assumptions!$B$11*0.95),0)+IF(AND(Projects!$G$33="Yes",18&gt;=Projects!$C$33,18&lt;Projects!$C$33+Projects!$D$33),IF(18=Projects!$C$33+Projects!$D$33-1,Projects!$B$33*INDEX(Curves!$B$4:$AO$4,1,18-Projects!$C$33+1)*Assumptions!$B$11*0.95+0.05*Projects!$B$33*Assumptions!$B$11,Projects!$B$33*INDEX(Curves!$B$4:$AO$4,1,18-Projects!$C$33+1)*Assumptions!$B$11*0.95),0)+IF(AND(Projects!$G$34="Yes",18&gt;=Projects!$C$34,18&lt;Projects!$C$34+Projects!$D$34),IF(18=Projects!$C$34+Projects!$D$34-1,Projects!$B$34*INDEX(Curves!$B$4:$AO$4,1,18-Projects!$C$34+1)*Assumptions!$B$11*0.95+0.05*Projects!$B$34*Assumptions!$B$11,Projects!$B$34*INDEX(Curves!$B$4:$AO$4,1,18-Projects!$C$34+1)*Assumptions!$B$11*0.95),0)+IF(AND(Projects!$G$35="Yes",18&gt;=Projects!$C$35,18&lt;Projects!$C$35+Projects!$D$35),IF(18=Projects!$C$35+Projects!$D$35-1,Projects!$B$35*INDEX(Curves!$B$4:$AO$4,1,18-Projects!$C$35+1)*Assumptions!$B$11*0.95+0.05*Projects!$B$35*Assumptions!$B$11,Projects!$B$35*INDEX(Curves!$B$4:$AO$4,1,18-Projects!$C$35+1)*Assumptions!$B$11*0.95),0)+IF(AND(Projects!$G$36="Yes",18&gt;=Projects!$C$36,18&lt;Projects!$C$36+Projects!$D$36),IF(18=Projects!$C$36+Projects!$D$36-1,Projects!$B$36*INDEX(Curves!$B$4:$AO$4,1,18-Projects!$C$36+1)*Assumptions!$B$11*0.95+0.05*Projects!$B$36*Assumptions!$B$11,Projects!$B$36*INDEX(Curves!$B$4:$AO$4,1,18-Projects!$C$36+1)*Assumptions!$B$11*0.95),0)+IF(AND(Projects!$G$37="Yes",18&gt;=Projects!$C$37,18&lt;Projects!$C$37+Projects!$D$37),IF(18=Projects!$C$37+Projects!$D$37-1,Projects!$B$37*INDEX(Curves!$B$4:$AO$4,1,18-Projects!$C$37+1)*Assumptions!$B$11*0.95+0.05*Projects!$B$37*Assumptions!$B$11,Projects!$B$37*INDEX(Curves!$B$4:$AO$4,1,18-Projects!$C$37+1)*Assumptions!$B$11*0.95),0)+IF(AND(Projects!$G$38="Yes",18&gt;=Projects!$C$38,18&lt;Projects!$C$38+Projects!$D$38),IF(18=Projects!$C$38+Projects!$D$38-1,Projects!$B$38*INDEX(Curves!$B$4:$AO$4,1,18-Projects!$C$38+1)*Assumptions!$B$11*0.95+0.05*Projects!$B$38*Assumptions!$B$11,Projects!$B$38*INDEX(Curves!$B$4:$AO$4,1,18-Projects!$C$38+1)*Assumptions!$B$11*0.95),0)+IF(AND(Projects!$G$39="Yes",18&gt;=Projects!$C$39,18&lt;Projects!$C$39+Projects!$D$39),IF(18=Projects!$C$39+Projects!$D$39-1,Projects!$B$39*INDEX(Curves!$B$4:$AO$4,1,18-Projects!$C$39+1)*Assumptions!$B$11*0.95+0.05*Projects!$B$39*Assumptions!$B$11,Projects!$B$39*INDEX(Curves!$B$4:$AO$4,1,18-Projects!$C$39+1)*Assumptions!$B$11*0.95),0)+IF(AND(Projects!$G$40="Yes",18&gt;=Projects!$C$40,18&lt;Projects!$C$40+Projects!$D$40),IF(18=Projects!$C$40+Projects!$D$40-1,Projects!$B$40*INDEX(Curves!$B$4:$AO$4,1,18-Projects!$C$40+1)*Assumptions!$B$11*0.95+0.05*Projects!$B$40*Assumptions!$B$11,Projects!$B$40*INDEX(Curves!$B$4:$AO$4,1,18-Projects!$C$40+1)*Assumptions!$B$11*0.95),0)+IF(AND(Projects!$G$41="Yes",18&gt;=Projects!$C$41,18&lt;Projects!$C$41+Projects!$D$41),IF(18=Projects!$C$41+Projects!$D$41-1,Projects!$B$41*INDEX(Curves!$B$4:$AO$4,1,18-Projects!$C$41+1)*Assumptions!$B$11*0.95+0.05*Projects!$B$41*Assumptions!$B$11,Projects!$B$41*INDEX(Curves!$B$4:$AO$4,1,18-Projects!$C$41+1)*Assumptions!$B$11*0.95),0)+IF(AND(Projects!$G$42="Yes",18&gt;=Projects!$C$42,18&lt;Projects!$C$42+Projects!$D$42),IF(18=Projects!$C$42+Projects!$D$42-1,Projects!$B$42*INDEX(Curves!$B$4:$AO$4,1,18-Projects!$C$42+1)*Assumptions!$B$11*0.95+0.05*Projects!$B$42*Assumptions!$B$11,Projects!$B$42*INDEX(Curves!$B$4:$AO$4,1,18-Projects!$C$42+1)*Assumptions!$B$11*0.95),0)+IF(AND(Projects!$G$43="Yes",18&gt;=Projects!$C$43,18&lt;Projects!$C$43+Projects!$D$43),IF(18=Projects!$C$43+Projects!$D$43-1,Projects!$B$43*INDEX(Curves!$B$4:$AO$4,1,18-Projects!$C$43+1)*Assumptions!$B$11*0.95+0.05*Projects!$B$43*Assumptions!$B$11,Projects!$B$43*INDEX(Curves!$B$4:$AO$4,1,18-Projects!$C$43+1)*Assumptions!$B$11*0.95),0)+IF(AND(Projects!$G$44="Yes",18&gt;=Projects!$C$44,18&lt;Projects!$C$44+Projects!$D$44),IF(18=Projects!$C$44+Projects!$D$44-1,Projects!$B$44*INDEX(Curves!$B$4:$AO$4,1,18-Projects!$C$44+1)*Assumptions!$B$11*0.95+0.05*Projects!$B$44*Assumptions!$B$11,Projects!$B$44*INDEX(Curves!$B$4:$AO$4,1,18-Projects!$C$44+1)*Assumptions!$B$11*0.95),0)+IF(AND(Projects!$G$45="Yes",18&gt;=Projects!$C$45,18&lt;Projects!$C$45+Projects!$D$45),IF(18=Projects!$C$45+Projects!$D$45-1,Projects!$B$45*INDEX(Curves!$B$4:$AO$4,1,18-Projects!$C$45+1)*Assumptions!$B$11*0.95+0.05*Projects!$B$45*Assumptions!$B$11,Projects!$B$45*INDEX(Curves!$B$4:$AO$4,1,18-Projects!$C$45+1)*Assumptions!$B$11*0.95),0)+IF(AND(Projects!$G$46="Yes",18&gt;=Projects!$C$46,18&lt;Projects!$C$46+Projects!$D$46),IF(18=Projects!$C$46+Projects!$D$46-1,Projects!$B$46*INDEX(Curves!$B$4:$AO$4,1,18-Projects!$C$46+1)*Assumptions!$B$11*0.95+0.05*Projects!$B$46*Assumptions!$B$11,Projects!$B$46*INDEX(Curves!$B$4:$AO$4,1,18-Projects!$C$46+1)*Assumptions!$B$11*0.95),0)</f>
        <v/>
      </c>
      <c r="U109">
        <f>IF(AND(Projects!$G$30="Yes",19&gt;=Projects!$C$30,19&lt;Projects!$C$30+Projects!$D$30),IF(19=Projects!$C$30+Projects!$D$30-1,Projects!$B$30*INDEX(Curves!$B$4:$AO$4,1,19-Projects!$C$30+1)*Assumptions!$B$11*0.95+0.05*Projects!$B$30*Assumptions!$B$11,Projects!$B$30*INDEX(Curves!$B$4:$AO$4,1,19-Projects!$C$30+1)*Assumptions!$B$11*0.95),0)+IF(AND(Projects!$G$31="Yes",19&gt;=Projects!$C$31,19&lt;Projects!$C$31+Projects!$D$31),IF(19=Projects!$C$31+Projects!$D$31-1,Projects!$B$31*INDEX(Curves!$B$4:$AO$4,1,19-Projects!$C$31+1)*Assumptions!$B$11*0.95+0.05*Projects!$B$31*Assumptions!$B$11,Projects!$B$31*INDEX(Curves!$B$4:$AO$4,1,19-Projects!$C$31+1)*Assumptions!$B$11*0.95),0)+IF(AND(Projects!$G$32="Yes",19&gt;=Projects!$C$32,19&lt;Projects!$C$32+Projects!$D$32),IF(19=Projects!$C$32+Projects!$D$32-1,Projects!$B$32*INDEX(Curves!$B$4:$AO$4,1,19-Projects!$C$32+1)*Assumptions!$B$11*0.95+0.05*Projects!$B$32*Assumptions!$B$11,Projects!$B$32*INDEX(Curves!$B$4:$AO$4,1,19-Projects!$C$32+1)*Assumptions!$B$11*0.95),0)+IF(AND(Projects!$G$33="Yes",19&gt;=Projects!$C$33,19&lt;Projects!$C$33+Projects!$D$33),IF(19=Projects!$C$33+Projects!$D$33-1,Projects!$B$33*INDEX(Curves!$B$4:$AO$4,1,19-Projects!$C$33+1)*Assumptions!$B$11*0.95+0.05*Projects!$B$33*Assumptions!$B$11,Projects!$B$33*INDEX(Curves!$B$4:$AO$4,1,19-Projects!$C$33+1)*Assumptions!$B$11*0.95),0)+IF(AND(Projects!$G$34="Yes",19&gt;=Projects!$C$34,19&lt;Projects!$C$34+Projects!$D$34),IF(19=Projects!$C$34+Projects!$D$34-1,Projects!$B$34*INDEX(Curves!$B$4:$AO$4,1,19-Projects!$C$34+1)*Assumptions!$B$11*0.95+0.05*Projects!$B$34*Assumptions!$B$11,Projects!$B$34*INDEX(Curves!$B$4:$AO$4,1,19-Projects!$C$34+1)*Assumptions!$B$11*0.95),0)+IF(AND(Projects!$G$35="Yes",19&gt;=Projects!$C$35,19&lt;Projects!$C$35+Projects!$D$35),IF(19=Projects!$C$35+Projects!$D$35-1,Projects!$B$35*INDEX(Curves!$B$4:$AO$4,1,19-Projects!$C$35+1)*Assumptions!$B$11*0.95+0.05*Projects!$B$35*Assumptions!$B$11,Projects!$B$35*INDEX(Curves!$B$4:$AO$4,1,19-Projects!$C$35+1)*Assumptions!$B$11*0.95),0)+IF(AND(Projects!$G$36="Yes",19&gt;=Projects!$C$36,19&lt;Projects!$C$36+Projects!$D$36),IF(19=Projects!$C$36+Projects!$D$36-1,Projects!$B$36*INDEX(Curves!$B$4:$AO$4,1,19-Projects!$C$36+1)*Assumptions!$B$11*0.95+0.05*Projects!$B$36*Assumptions!$B$11,Projects!$B$36*INDEX(Curves!$B$4:$AO$4,1,19-Projects!$C$36+1)*Assumptions!$B$11*0.95),0)+IF(AND(Projects!$G$37="Yes",19&gt;=Projects!$C$37,19&lt;Projects!$C$37+Projects!$D$37),IF(19=Projects!$C$37+Projects!$D$37-1,Projects!$B$37*INDEX(Curves!$B$4:$AO$4,1,19-Projects!$C$37+1)*Assumptions!$B$11*0.95+0.05*Projects!$B$37*Assumptions!$B$11,Projects!$B$37*INDEX(Curves!$B$4:$AO$4,1,19-Projects!$C$37+1)*Assumptions!$B$11*0.95),0)+IF(AND(Projects!$G$38="Yes",19&gt;=Projects!$C$38,19&lt;Projects!$C$38+Projects!$D$38),IF(19=Projects!$C$38+Projects!$D$38-1,Projects!$B$38*INDEX(Curves!$B$4:$AO$4,1,19-Projects!$C$38+1)*Assumptions!$B$11*0.95+0.05*Projects!$B$38*Assumptions!$B$11,Projects!$B$38*INDEX(Curves!$B$4:$AO$4,1,19-Projects!$C$38+1)*Assumptions!$B$11*0.95),0)+IF(AND(Projects!$G$39="Yes",19&gt;=Projects!$C$39,19&lt;Projects!$C$39+Projects!$D$39),IF(19=Projects!$C$39+Projects!$D$39-1,Projects!$B$39*INDEX(Curves!$B$4:$AO$4,1,19-Projects!$C$39+1)*Assumptions!$B$11*0.95+0.05*Projects!$B$39*Assumptions!$B$11,Projects!$B$39*INDEX(Curves!$B$4:$AO$4,1,19-Projects!$C$39+1)*Assumptions!$B$11*0.95),0)+IF(AND(Projects!$G$40="Yes",19&gt;=Projects!$C$40,19&lt;Projects!$C$40+Projects!$D$40),IF(19=Projects!$C$40+Projects!$D$40-1,Projects!$B$40*INDEX(Curves!$B$4:$AO$4,1,19-Projects!$C$40+1)*Assumptions!$B$11*0.95+0.05*Projects!$B$40*Assumptions!$B$11,Projects!$B$40*INDEX(Curves!$B$4:$AO$4,1,19-Projects!$C$40+1)*Assumptions!$B$11*0.95),0)+IF(AND(Projects!$G$41="Yes",19&gt;=Projects!$C$41,19&lt;Projects!$C$41+Projects!$D$41),IF(19=Projects!$C$41+Projects!$D$41-1,Projects!$B$41*INDEX(Curves!$B$4:$AO$4,1,19-Projects!$C$41+1)*Assumptions!$B$11*0.95+0.05*Projects!$B$41*Assumptions!$B$11,Projects!$B$41*INDEX(Curves!$B$4:$AO$4,1,19-Projects!$C$41+1)*Assumptions!$B$11*0.95),0)+IF(AND(Projects!$G$42="Yes",19&gt;=Projects!$C$42,19&lt;Projects!$C$42+Projects!$D$42),IF(19=Projects!$C$42+Projects!$D$42-1,Projects!$B$42*INDEX(Curves!$B$4:$AO$4,1,19-Projects!$C$42+1)*Assumptions!$B$11*0.95+0.05*Projects!$B$42*Assumptions!$B$11,Projects!$B$42*INDEX(Curves!$B$4:$AO$4,1,19-Projects!$C$42+1)*Assumptions!$B$11*0.95),0)+IF(AND(Projects!$G$43="Yes",19&gt;=Projects!$C$43,19&lt;Projects!$C$43+Projects!$D$43),IF(19=Projects!$C$43+Projects!$D$43-1,Projects!$B$43*INDEX(Curves!$B$4:$AO$4,1,19-Projects!$C$43+1)*Assumptions!$B$11*0.95+0.05*Projects!$B$43*Assumptions!$B$11,Projects!$B$43*INDEX(Curves!$B$4:$AO$4,1,19-Projects!$C$43+1)*Assumptions!$B$11*0.95),0)+IF(AND(Projects!$G$44="Yes",19&gt;=Projects!$C$44,19&lt;Projects!$C$44+Projects!$D$44),IF(19=Projects!$C$44+Projects!$D$44-1,Projects!$B$44*INDEX(Curves!$B$4:$AO$4,1,19-Projects!$C$44+1)*Assumptions!$B$11*0.95+0.05*Projects!$B$44*Assumptions!$B$11,Projects!$B$44*INDEX(Curves!$B$4:$AO$4,1,19-Projects!$C$44+1)*Assumptions!$B$11*0.95),0)+IF(AND(Projects!$G$45="Yes",19&gt;=Projects!$C$45,19&lt;Projects!$C$45+Projects!$D$45),IF(19=Projects!$C$45+Projects!$D$45-1,Projects!$B$45*INDEX(Curves!$B$4:$AO$4,1,19-Projects!$C$45+1)*Assumptions!$B$11*0.95+0.05*Projects!$B$45*Assumptions!$B$11,Projects!$B$45*INDEX(Curves!$B$4:$AO$4,1,19-Projects!$C$45+1)*Assumptions!$B$11*0.95),0)+IF(AND(Projects!$G$46="Yes",19&gt;=Projects!$C$46,19&lt;Projects!$C$46+Projects!$D$46),IF(19=Projects!$C$46+Projects!$D$46-1,Projects!$B$46*INDEX(Curves!$B$4:$AO$4,1,19-Projects!$C$46+1)*Assumptions!$B$11*0.95+0.05*Projects!$B$46*Assumptions!$B$11,Projects!$B$46*INDEX(Curves!$B$4:$AO$4,1,19-Projects!$C$46+1)*Assumptions!$B$11*0.95),0)</f>
        <v/>
      </c>
      <c r="V109">
        <f>IF(AND(Projects!$G$30="Yes",20&gt;=Projects!$C$30,20&lt;Projects!$C$30+Projects!$D$30),IF(20=Projects!$C$30+Projects!$D$30-1,Projects!$B$30*INDEX(Curves!$B$4:$AO$4,1,20-Projects!$C$30+1)*Assumptions!$B$11*0.95+0.05*Projects!$B$30*Assumptions!$B$11,Projects!$B$30*INDEX(Curves!$B$4:$AO$4,1,20-Projects!$C$30+1)*Assumptions!$B$11*0.95),0)+IF(AND(Projects!$G$31="Yes",20&gt;=Projects!$C$31,20&lt;Projects!$C$31+Projects!$D$31),IF(20=Projects!$C$31+Projects!$D$31-1,Projects!$B$31*INDEX(Curves!$B$4:$AO$4,1,20-Projects!$C$31+1)*Assumptions!$B$11*0.95+0.05*Projects!$B$31*Assumptions!$B$11,Projects!$B$31*INDEX(Curves!$B$4:$AO$4,1,20-Projects!$C$31+1)*Assumptions!$B$11*0.95),0)+IF(AND(Projects!$G$32="Yes",20&gt;=Projects!$C$32,20&lt;Projects!$C$32+Projects!$D$32),IF(20=Projects!$C$32+Projects!$D$32-1,Projects!$B$32*INDEX(Curves!$B$4:$AO$4,1,20-Projects!$C$32+1)*Assumptions!$B$11*0.95+0.05*Projects!$B$32*Assumptions!$B$11,Projects!$B$32*INDEX(Curves!$B$4:$AO$4,1,20-Projects!$C$32+1)*Assumptions!$B$11*0.95),0)+IF(AND(Projects!$G$33="Yes",20&gt;=Projects!$C$33,20&lt;Projects!$C$33+Projects!$D$33),IF(20=Projects!$C$33+Projects!$D$33-1,Projects!$B$33*INDEX(Curves!$B$4:$AO$4,1,20-Projects!$C$33+1)*Assumptions!$B$11*0.95+0.05*Projects!$B$33*Assumptions!$B$11,Projects!$B$33*INDEX(Curves!$B$4:$AO$4,1,20-Projects!$C$33+1)*Assumptions!$B$11*0.95),0)+IF(AND(Projects!$G$34="Yes",20&gt;=Projects!$C$34,20&lt;Projects!$C$34+Projects!$D$34),IF(20=Projects!$C$34+Projects!$D$34-1,Projects!$B$34*INDEX(Curves!$B$4:$AO$4,1,20-Projects!$C$34+1)*Assumptions!$B$11*0.95+0.05*Projects!$B$34*Assumptions!$B$11,Projects!$B$34*INDEX(Curves!$B$4:$AO$4,1,20-Projects!$C$34+1)*Assumptions!$B$11*0.95),0)+IF(AND(Projects!$G$35="Yes",20&gt;=Projects!$C$35,20&lt;Projects!$C$35+Projects!$D$35),IF(20=Projects!$C$35+Projects!$D$35-1,Projects!$B$35*INDEX(Curves!$B$4:$AO$4,1,20-Projects!$C$35+1)*Assumptions!$B$11*0.95+0.05*Projects!$B$35*Assumptions!$B$11,Projects!$B$35*INDEX(Curves!$B$4:$AO$4,1,20-Projects!$C$35+1)*Assumptions!$B$11*0.95),0)+IF(AND(Projects!$G$36="Yes",20&gt;=Projects!$C$36,20&lt;Projects!$C$36+Projects!$D$36),IF(20=Projects!$C$36+Projects!$D$36-1,Projects!$B$36*INDEX(Curves!$B$4:$AO$4,1,20-Projects!$C$36+1)*Assumptions!$B$11*0.95+0.05*Projects!$B$36*Assumptions!$B$11,Projects!$B$36*INDEX(Curves!$B$4:$AO$4,1,20-Projects!$C$36+1)*Assumptions!$B$11*0.95),0)+IF(AND(Projects!$G$37="Yes",20&gt;=Projects!$C$37,20&lt;Projects!$C$37+Projects!$D$37),IF(20=Projects!$C$37+Projects!$D$37-1,Projects!$B$37*INDEX(Curves!$B$4:$AO$4,1,20-Projects!$C$37+1)*Assumptions!$B$11*0.95+0.05*Projects!$B$37*Assumptions!$B$11,Projects!$B$37*INDEX(Curves!$B$4:$AO$4,1,20-Projects!$C$37+1)*Assumptions!$B$11*0.95),0)+IF(AND(Projects!$G$38="Yes",20&gt;=Projects!$C$38,20&lt;Projects!$C$38+Projects!$D$38),IF(20=Projects!$C$38+Projects!$D$38-1,Projects!$B$38*INDEX(Curves!$B$4:$AO$4,1,20-Projects!$C$38+1)*Assumptions!$B$11*0.95+0.05*Projects!$B$38*Assumptions!$B$11,Projects!$B$38*INDEX(Curves!$B$4:$AO$4,1,20-Projects!$C$38+1)*Assumptions!$B$11*0.95),0)+IF(AND(Projects!$G$39="Yes",20&gt;=Projects!$C$39,20&lt;Projects!$C$39+Projects!$D$39),IF(20=Projects!$C$39+Projects!$D$39-1,Projects!$B$39*INDEX(Curves!$B$4:$AO$4,1,20-Projects!$C$39+1)*Assumptions!$B$11*0.95+0.05*Projects!$B$39*Assumptions!$B$11,Projects!$B$39*INDEX(Curves!$B$4:$AO$4,1,20-Projects!$C$39+1)*Assumptions!$B$11*0.95),0)+IF(AND(Projects!$G$40="Yes",20&gt;=Projects!$C$40,20&lt;Projects!$C$40+Projects!$D$40),IF(20=Projects!$C$40+Projects!$D$40-1,Projects!$B$40*INDEX(Curves!$B$4:$AO$4,1,20-Projects!$C$40+1)*Assumptions!$B$11*0.95+0.05*Projects!$B$40*Assumptions!$B$11,Projects!$B$40*INDEX(Curves!$B$4:$AO$4,1,20-Projects!$C$40+1)*Assumptions!$B$11*0.95),0)+IF(AND(Projects!$G$41="Yes",20&gt;=Projects!$C$41,20&lt;Projects!$C$41+Projects!$D$41),IF(20=Projects!$C$41+Projects!$D$41-1,Projects!$B$41*INDEX(Curves!$B$4:$AO$4,1,20-Projects!$C$41+1)*Assumptions!$B$11*0.95+0.05*Projects!$B$41*Assumptions!$B$11,Projects!$B$41*INDEX(Curves!$B$4:$AO$4,1,20-Projects!$C$41+1)*Assumptions!$B$11*0.95),0)+IF(AND(Projects!$G$42="Yes",20&gt;=Projects!$C$42,20&lt;Projects!$C$42+Projects!$D$42),IF(20=Projects!$C$42+Projects!$D$42-1,Projects!$B$42*INDEX(Curves!$B$4:$AO$4,1,20-Projects!$C$42+1)*Assumptions!$B$11*0.95+0.05*Projects!$B$42*Assumptions!$B$11,Projects!$B$42*INDEX(Curves!$B$4:$AO$4,1,20-Projects!$C$42+1)*Assumptions!$B$11*0.95),0)+IF(AND(Projects!$G$43="Yes",20&gt;=Projects!$C$43,20&lt;Projects!$C$43+Projects!$D$43),IF(20=Projects!$C$43+Projects!$D$43-1,Projects!$B$43*INDEX(Curves!$B$4:$AO$4,1,20-Projects!$C$43+1)*Assumptions!$B$11*0.95+0.05*Projects!$B$43*Assumptions!$B$11,Projects!$B$43*INDEX(Curves!$B$4:$AO$4,1,20-Projects!$C$43+1)*Assumptions!$B$11*0.95),0)+IF(AND(Projects!$G$44="Yes",20&gt;=Projects!$C$44,20&lt;Projects!$C$44+Projects!$D$44),IF(20=Projects!$C$44+Projects!$D$44-1,Projects!$B$44*INDEX(Curves!$B$4:$AO$4,1,20-Projects!$C$44+1)*Assumptions!$B$11*0.95+0.05*Projects!$B$44*Assumptions!$B$11,Projects!$B$44*INDEX(Curves!$B$4:$AO$4,1,20-Projects!$C$44+1)*Assumptions!$B$11*0.95),0)+IF(AND(Projects!$G$45="Yes",20&gt;=Projects!$C$45,20&lt;Projects!$C$45+Projects!$D$45),IF(20=Projects!$C$45+Projects!$D$45-1,Projects!$B$45*INDEX(Curves!$B$4:$AO$4,1,20-Projects!$C$45+1)*Assumptions!$B$11*0.95+0.05*Projects!$B$45*Assumptions!$B$11,Projects!$B$45*INDEX(Curves!$B$4:$AO$4,1,20-Projects!$C$45+1)*Assumptions!$B$11*0.95),0)+IF(AND(Projects!$G$46="Yes",20&gt;=Projects!$C$46,20&lt;Projects!$C$46+Projects!$D$46),IF(20=Projects!$C$46+Projects!$D$46-1,Projects!$B$46*INDEX(Curves!$B$4:$AO$4,1,20-Projects!$C$46+1)*Assumptions!$B$11*0.95+0.05*Projects!$B$46*Assumptions!$B$11,Projects!$B$46*INDEX(Curves!$B$4:$AO$4,1,20-Projects!$C$46+1)*Assumptions!$B$11*0.95),0)</f>
        <v/>
      </c>
      <c r="W109">
        <f>IF(AND(Projects!$G$30="Yes",21&gt;=Projects!$C$30,21&lt;Projects!$C$30+Projects!$D$30),IF(21=Projects!$C$30+Projects!$D$30-1,Projects!$B$30*INDEX(Curves!$B$4:$AO$4,1,21-Projects!$C$30+1)*Assumptions!$B$11*0.95+0.05*Projects!$B$30*Assumptions!$B$11,Projects!$B$30*INDEX(Curves!$B$4:$AO$4,1,21-Projects!$C$30+1)*Assumptions!$B$11*0.95),0)+IF(AND(Projects!$G$31="Yes",21&gt;=Projects!$C$31,21&lt;Projects!$C$31+Projects!$D$31),IF(21=Projects!$C$31+Projects!$D$31-1,Projects!$B$31*INDEX(Curves!$B$4:$AO$4,1,21-Projects!$C$31+1)*Assumptions!$B$11*0.95+0.05*Projects!$B$31*Assumptions!$B$11,Projects!$B$31*INDEX(Curves!$B$4:$AO$4,1,21-Projects!$C$31+1)*Assumptions!$B$11*0.95),0)+IF(AND(Projects!$G$32="Yes",21&gt;=Projects!$C$32,21&lt;Projects!$C$32+Projects!$D$32),IF(21=Projects!$C$32+Projects!$D$32-1,Projects!$B$32*INDEX(Curves!$B$4:$AO$4,1,21-Projects!$C$32+1)*Assumptions!$B$11*0.95+0.05*Projects!$B$32*Assumptions!$B$11,Projects!$B$32*INDEX(Curves!$B$4:$AO$4,1,21-Projects!$C$32+1)*Assumptions!$B$11*0.95),0)+IF(AND(Projects!$G$33="Yes",21&gt;=Projects!$C$33,21&lt;Projects!$C$33+Projects!$D$33),IF(21=Projects!$C$33+Projects!$D$33-1,Projects!$B$33*INDEX(Curves!$B$4:$AO$4,1,21-Projects!$C$33+1)*Assumptions!$B$11*0.95+0.05*Projects!$B$33*Assumptions!$B$11,Projects!$B$33*INDEX(Curves!$B$4:$AO$4,1,21-Projects!$C$33+1)*Assumptions!$B$11*0.95),0)+IF(AND(Projects!$G$34="Yes",21&gt;=Projects!$C$34,21&lt;Projects!$C$34+Projects!$D$34),IF(21=Projects!$C$34+Projects!$D$34-1,Projects!$B$34*INDEX(Curves!$B$4:$AO$4,1,21-Projects!$C$34+1)*Assumptions!$B$11*0.95+0.05*Projects!$B$34*Assumptions!$B$11,Projects!$B$34*INDEX(Curves!$B$4:$AO$4,1,21-Projects!$C$34+1)*Assumptions!$B$11*0.95),0)+IF(AND(Projects!$G$35="Yes",21&gt;=Projects!$C$35,21&lt;Projects!$C$35+Projects!$D$35),IF(21=Projects!$C$35+Projects!$D$35-1,Projects!$B$35*INDEX(Curves!$B$4:$AO$4,1,21-Projects!$C$35+1)*Assumptions!$B$11*0.95+0.05*Projects!$B$35*Assumptions!$B$11,Projects!$B$35*INDEX(Curves!$B$4:$AO$4,1,21-Projects!$C$35+1)*Assumptions!$B$11*0.95),0)+IF(AND(Projects!$G$36="Yes",21&gt;=Projects!$C$36,21&lt;Projects!$C$36+Projects!$D$36),IF(21=Projects!$C$36+Projects!$D$36-1,Projects!$B$36*INDEX(Curves!$B$4:$AO$4,1,21-Projects!$C$36+1)*Assumptions!$B$11*0.95+0.05*Projects!$B$36*Assumptions!$B$11,Projects!$B$36*INDEX(Curves!$B$4:$AO$4,1,21-Projects!$C$36+1)*Assumptions!$B$11*0.95),0)+IF(AND(Projects!$G$37="Yes",21&gt;=Projects!$C$37,21&lt;Projects!$C$37+Projects!$D$37),IF(21=Projects!$C$37+Projects!$D$37-1,Projects!$B$37*INDEX(Curves!$B$4:$AO$4,1,21-Projects!$C$37+1)*Assumptions!$B$11*0.95+0.05*Projects!$B$37*Assumptions!$B$11,Projects!$B$37*INDEX(Curves!$B$4:$AO$4,1,21-Projects!$C$37+1)*Assumptions!$B$11*0.95),0)+IF(AND(Projects!$G$38="Yes",21&gt;=Projects!$C$38,21&lt;Projects!$C$38+Projects!$D$38),IF(21=Projects!$C$38+Projects!$D$38-1,Projects!$B$38*INDEX(Curves!$B$4:$AO$4,1,21-Projects!$C$38+1)*Assumptions!$B$11*0.95+0.05*Projects!$B$38*Assumptions!$B$11,Projects!$B$38*INDEX(Curves!$B$4:$AO$4,1,21-Projects!$C$38+1)*Assumptions!$B$11*0.95),0)+IF(AND(Projects!$G$39="Yes",21&gt;=Projects!$C$39,21&lt;Projects!$C$39+Projects!$D$39),IF(21=Projects!$C$39+Projects!$D$39-1,Projects!$B$39*INDEX(Curves!$B$4:$AO$4,1,21-Projects!$C$39+1)*Assumptions!$B$11*0.95+0.05*Projects!$B$39*Assumptions!$B$11,Projects!$B$39*INDEX(Curves!$B$4:$AO$4,1,21-Projects!$C$39+1)*Assumptions!$B$11*0.95),0)+IF(AND(Projects!$G$40="Yes",21&gt;=Projects!$C$40,21&lt;Projects!$C$40+Projects!$D$40),IF(21=Projects!$C$40+Projects!$D$40-1,Projects!$B$40*INDEX(Curves!$B$4:$AO$4,1,21-Projects!$C$40+1)*Assumptions!$B$11*0.95+0.05*Projects!$B$40*Assumptions!$B$11,Projects!$B$40*INDEX(Curves!$B$4:$AO$4,1,21-Projects!$C$40+1)*Assumptions!$B$11*0.95),0)+IF(AND(Projects!$G$41="Yes",21&gt;=Projects!$C$41,21&lt;Projects!$C$41+Projects!$D$41),IF(21=Projects!$C$41+Projects!$D$41-1,Projects!$B$41*INDEX(Curves!$B$4:$AO$4,1,21-Projects!$C$41+1)*Assumptions!$B$11*0.95+0.05*Projects!$B$41*Assumptions!$B$11,Projects!$B$41*INDEX(Curves!$B$4:$AO$4,1,21-Projects!$C$41+1)*Assumptions!$B$11*0.95),0)+IF(AND(Projects!$G$42="Yes",21&gt;=Projects!$C$42,21&lt;Projects!$C$42+Projects!$D$42),IF(21=Projects!$C$42+Projects!$D$42-1,Projects!$B$42*INDEX(Curves!$B$4:$AO$4,1,21-Projects!$C$42+1)*Assumptions!$B$11*0.95+0.05*Projects!$B$42*Assumptions!$B$11,Projects!$B$42*INDEX(Curves!$B$4:$AO$4,1,21-Projects!$C$42+1)*Assumptions!$B$11*0.95),0)+IF(AND(Projects!$G$43="Yes",21&gt;=Projects!$C$43,21&lt;Projects!$C$43+Projects!$D$43),IF(21=Projects!$C$43+Projects!$D$43-1,Projects!$B$43*INDEX(Curves!$B$4:$AO$4,1,21-Projects!$C$43+1)*Assumptions!$B$11*0.95+0.05*Projects!$B$43*Assumptions!$B$11,Projects!$B$43*INDEX(Curves!$B$4:$AO$4,1,21-Projects!$C$43+1)*Assumptions!$B$11*0.95),0)+IF(AND(Projects!$G$44="Yes",21&gt;=Projects!$C$44,21&lt;Projects!$C$44+Projects!$D$44),IF(21=Projects!$C$44+Projects!$D$44-1,Projects!$B$44*INDEX(Curves!$B$4:$AO$4,1,21-Projects!$C$44+1)*Assumptions!$B$11*0.95+0.05*Projects!$B$44*Assumptions!$B$11,Projects!$B$44*INDEX(Curves!$B$4:$AO$4,1,21-Projects!$C$44+1)*Assumptions!$B$11*0.95),0)+IF(AND(Projects!$G$45="Yes",21&gt;=Projects!$C$45,21&lt;Projects!$C$45+Projects!$D$45),IF(21=Projects!$C$45+Projects!$D$45-1,Projects!$B$45*INDEX(Curves!$B$4:$AO$4,1,21-Projects!$C$45+1)*Assumptions!$B$11*0.95+0.05*Projects!$B$45*Assumptions!$B$11,Projects!$B$45*INDEX(Curves!$B$4:$AO$4,1,21-Projects!$C$45+1)*Assumptions!$B$11*0.95),0)+IF(AND(Projects!$G$46="Yes",21&gt;=Projects!$C$46,21&lt;Projects!$C$46+Projects!$D$46),IF(21=Projects!$C$46+Projects!$D$46-1,Projects!$B$46*INDEX(Curves!$B$4:$AO$4,1,21-Projects!$C$46+1)*Assumptions!$B$11*0.95+0.05*Projects!$B$46*Assumptions!$B$11,Projects!$B$46*INDEX(Curves!$B$4:$AO$4,1,21-Projects!$C$46+1)*Assumptions!$B$11*0.95),0)</f>
        <v/>
      </c>
      <c r="X109">
        <f>IF(AND(Projects!$G$30="Yes",22&gt;=Projects!$C$30,22&lt;Projects!$C$30+Projects!$D$30),IF(22=Projects!$C$30+Projects!$D$30-1,Projects!$B$30*INDEX(Curves!$B$4:$AO$4,1,22-Projects!$C$30+1)*Assumptions!$B$11*0.95+0.05*Projects!$B$30*Assumptions!$B$11,Projects!$B$30*INDEX(Curves!$B$4:$AO$4,1,22-Projects!$C$30+1)*Assumptions!$B$11*0.95),0)+IF(AND(Projects!$G$31="Yes",22&gt;=Projects!$C$31,22&lt;Projects!$C$31+Projects!$D$31),IF(22=Projects!$C$31+Projects!$D$31-1,Projects!$B$31*INDEX(Curves!$B$4:$AO$4,1,22-Projects!$C$31+1)*Assumptions!$B$11*0.95+0.05*Projects!$B$31*Assumptions!$B$11,Projects!$B$31*INDEX(Curves!$B$4:$AO$4,1,22-Projects!$C$31+1)*Assumptions!$B$11*0.95),0)+IF(AND(Projects!$G$32="Yes",22&gt;=Projects!$C$32,22&lt;Projects!$C$32+Projects!$D$32),IF(22=Projects!$C$32+Projects!$D$32-1,Projects!$B$32*INDEX(Curves!$B$4:$AO$4,1,22-Projects!$C$32+1)*Assumptions!$B$11*0.95+0.05*Projects!$B$32*Assumptions!$B$11,Projects!$B$32*INDEX(Curves!$B$4:$AO$4,1,22-Projects!$C$32+1)*Assumptions!$B$11*0.95),0)+IF(AND(Projects!$G$33="Yes",22&gt;=Projects!$C$33,22&lt;Projects!$C$33+Projects!$D$33),IF(22=Projects!$C$33+Projects!$D$33-1,Projects!$B$33*INDEX(Curves!$B$4:$AO$4,1,22-Projects!$C$33+1)*Assumptions!$B$11*0.95+0.05*Projects!$B$33*Assumptions!$B$11,Projects!$B$33*INDEX(Curves!$B$4:$AO$4,1,22-Projects!$C$33+1)*Assumptions!$B$11*0.95),0)+IF(AND(Projects!$G$34="Yes",22&gt;=Projects!$C$34,22&lt;Projects!$C$34+Projects!$D$34),IF(22=Projects!$C$34+Projects!$D$34-1,Projects!$B$34*INDEX(Curves!$B$4:$AO$4,1,22-Projects!$C$34+1)*Assumptions!$B$11*0.95+0.05*Projects!$B$34*Assumptions!$B$11,Projects!$B$34*INDEX(Curves!$B$4:$AO$4,1,22-Projects!$C$34+1)*Assumptions!$B$11*0.95),0)+IF(AND(Projects!$G$35="Yes",22&gt;=Projects!$C$35,22&lt;Projects!$C$35+Projects!$D$35),IF(22=Projects!$C$35+Projects!$D$35-1,Projects!$B$35*INDEX(Curves!$B$4:$AO$4,1,22-Projects!$C$35+1)*Assumptions!$B$11*0.95+0.05*Projects!$B$35*Assumptions!$B$11,Projects!$B$35*INDEX(Curves!$B$4:$AO$4,1,22-Projects!$C$35+1)*Assumptions!$B$11*0.95),0)+IF(AND(Projects!$G$36="Yes",22&gt;=Projects!$C$36,22&lt;Projects!$C$36+Projects!$D$36),IF(22=Projects!$C$36+Projects!$D$36-1,Projects!$B$36*INDEX(Curves!$B$4:$AO$4,1,22-Projects!$C$36+1)*Assumptions!$B$11*0.95+0.05*Projects!$B$36*Assumptions!$B$11,Projects!$B$36*INDEX(Curves!$B$4:$AO$4,1,22-Projects!$C$36+1)*Assumptions!$B$11*0.95),0)+IF(AND(Projects!$G$37="Yes",22&gt;=Projects!$C$37,22&lt;Projects!$C$37+Projects!$D$37),IF(22=Projects!$C$37+Projects!$D$37-1,Projects!$B$37*INDEX(Curves!$B$4:$AO$4,1,22-Projects!$C$37+1)*Assumptions!$B$11*0.95+0.05*Projects!$B$37*Assumptions!$B$11,Projects!$B$37*INDEX(Curves!$B$4:$AO$4,1,22-Projects!$C$37+1)*Assumptions!$B$11*0.95),0)+IF(AND(Projects!$G$38="Yes",22&gt;=Projects!$C$38,22&lt;Projects!$C$38+Projects!$D$38),IF(22=Projects!$C$38+Projects!$D$38-1,Projects!$B$38*INDEX(Curves!$B$4:$AO$4,1,22-Projects!$C$38+1)*Assumptions!$B$11*0.95+0.05*Projects!$B$38*Assumptions!$B$11,Projects!$B$38*INDEX(Curves!$B$4:$AO$4,1,22-Projects!$C$38+1)*Assumptions!$B$11*0.95),0)+IF(AND(Projects!$G$39="Yes",22&gt;=Projects!$C$39,22&lt;Projects!$C$39+Projects!$D$39),IF(22=Projects!$C$39+Projects!$D$39-1,Projects!$B$39*INDEX(Curves!$B$4:$AO$4,1,22-Projects!$C$39+1)*Assumptions!$B$11*0.95+0.05*Projects!$B$39*Assumptions!$B$11,Projects!$B$39*INDEX(Curves!$B$4:$AO$4,1,22-Projects!$C$39+1)*Assumptions!$B$11*0.95),0)+IF(AND(Projects!$G$40="Yes",22&gt;=Projects!$C$40,22&lt;Projects!$C$40+Projects!$D$40),IF(22=Projects!$C$40+Projects!$D$40-1,Projects!$B$40*INDEX(Curves!$B$4:$AO$4,1,22-Projects!$C$40+1)*Assumptions!$B$11*0.95+0.05*Projects!$B$40*Assumptions!$B$11,Projects!$B$40*INDEX(Curves!$B$4:$AO$4,1,22-Projects!$C$40+1)*Assumptions!$B$11*0.95),0)+IF(AND(Projects!$G$41="Yes",22&gt;=Projects!$C$41,22&lt;Projects!$C$41+Projects!$D$41),IF(22=Projects!$C$41+Projects!$D$41-1,Projects!$B$41*INDEX(Curves!$B$4:$AO$4,1,22-Projects!$C$41+1)*Assumptions!$B$11*0.95+0.05*Projects!$B$41*Assumptions!$B$11,Projects!$B$41*INDEX(Curves!$B$4:$AO$4,1,22-Projects!$C$41+1)*Assumptions!$B$11*0.95),0)+IF(AND(Projects!$G$42="Yes",22&gt;=Projects!$C$42,22&lt;Projects!$C$42+Projects!$D$42),IF(22=Projects!$C$42+Projects!$D$42-1,Projects!$B$42*INDEX(Curves!$B$4:$AO$4,1,22-Projects!$C$42+1)*Assumptions!$B$11*0.95+0.05*Projects!$B$42*Assumptions!$B$11,Projects!$B$42*INDEX(Curves!$B$4:$AO$4,1,22-Projects!$C$42+1)*Assumptions!$B$11*0.95),0)+IF(AND(Projects!$G$43="Yes",22&gt;=Projects!$C$43,22&lt;Projects!$C$43+Projects!$D$43),IF(22=Projects!$C$43+Projects!$D$43-1,Projects!$B$43*INDEX(Curves!$B$4:$AO$4,1,22-Projects!$C$43+1)*Assumptions!$B$11*0.95+0.05*Projects!$B$43*Assumptions!$B$11,Projects!$B$43*INDEX(Curves!$B$4:$AO$4,1,22-Projects!$C$43+1)*Assumptions!$B$11*0.95),0)+IF(AND(Projects!$G$44="Yes",22&gt;=Projects!$C$44,22&lt;Projects!$C$44+Projects!$D$44),IF(22=Projects!$C$44+Projects!$D$44-1,Projects!$B$44*INDEX(Curves!$B$4:$AO$4,1,22-Projects!$C$44+1)*Assumptions!$B$11*0.95+0.05*Projects!$B$44*Assumptions!$B$11,Projects!$B$44*INDEX(Curves!$B$4:$AO$4,1,22-Projects!$C$44+1)*Assumptions!$B$11*0.95),0)+IF(AND(Projects!$G$45="Yes",22&gt;=Projects!$C$45,22&lt;Projects!$C$45+Projects!$D$45),IF(22=Projects!$C$45+Projects!$D$45-1,Projects!$B$45*INDEX(Curves!$B$4:$AO$4,1,22-Projects!$C$45+1)*Assumptions!$B$11*0.95+0.05*Projects!$B$45*Assumptions!$B$11,Projects!$B$45*INDEX(Curves!$B$4:$AO$4,1,22-Projects!$C$45+1)*Assumptions!$B$11*0.95),0)+IF(AND(Projects!$G$46="Yes",22&gt;=Projects!$C$46,22&lt;Projects!$C$46+Projects!$D$46),IF(22=Projects!$C$46+Projects!$D$46-1,Projects!$B$46*INDEX(Curves!$B$4:$AO$4,1,22-Projects!$C$46+1)*Assumptions!$B$11*0.95+0.05*Projects!$B$46*Assumptions!$B$11,Projects!$B$46*INDEX(Curves!$B$4:$AO$4,1,22-Projects!$C$46+1)*Assumptions!$B$11*0.95),0)</f>
        <v/>
      </c>
      <c r="Y109">
        <f>IF(AND(Projects!$G$30="Yes",23&gt;=Projects!$C$30,23&lt;Projects!$C$30+Projects!$D$30),IF(23=Projects!$C$30+Projects!$D$30-1,Projects!$B$30*INDEX(Curves!$B$4:$AO$4,1,23-Projects!$C$30+1)*Assumptions!$B$11*0.95+0.05*Projects!$B$30*Assumptions!$B$11,Projects!$B$30*INDEX(Curves!$B$4:$AO$4,1,23-Projects!$C$30+1)*Assumptions!$B$11*0.95),0)+IF(AND(Projects!$G$31="Yes",23&gt;=Projects!$C$31,23&lt;Projects!$C$31+Projects!$D$31),IF(23=Projects!$C$31+Projects!$D$31-1,Projects!$B$31*INDEX(Curves!$B$4:$AO$4,1,23-Projects!$C$31+1)*Assumptions!$B$11*0.95+0.05*Projects!$B$31*Assumptions!$B$11,Projects!$B$31*INDEX(Curves!$B$4:$AO$4,1,23-Projects!$C$31+1)*Assumptions!$B$11*0.95),0)+IF(AND(Projects!$G$32="Yes",23&gt;=Projects!$C$32,23&lt;Projects!$C$32+Projects!$D$32),IF(23=Projects!$C$32+Projects!$D$32-1,Projects!$B$32*INDEX(Curves!$B$4:$AO$4,1,23-Projects!$C$32+1)*Assumptions!$B$11*0.95+0.05*Projects!$B$32*Assumptions!$B$11,Projects!$B$32*INDEX(Curves!$B$4:$AO$4,1,23-Projects!$C$32+1)*Assumptions!$B$11*0.95),0)+IF(AND(Projects!$G$33="Yes",23&gt;=Projects!$C$33,23&lt;Projects!$C$33+Projects!$D$33),IF(23=Projects!$C$33+Projects!$D$33-1,Projects!$B$33*INDEX(Curves!$B$4:$AO$4,1,23-Projects!$C$33+1)*Assumptions!$B$11*0.95+0.05*Projects!$B$33*Assumptions!$B$11,Projects!$B$33*INDEX(Curves!$B$4:$AO$4,1,23-Projects!$C$33+1)*Assumptions!$B$11*0.95),0)+IF(AND(Projects!$G$34="Yes",23&gt;=Projects!$C$34,23&lt;Projects!$C$34+Projects!$D$34),IF(23=Projects!$C$34+Projects!$D$34-1,Projects!$B$34*INDEX(Curves!$B$4:$AO$4,1,23-Projects!$C$34+1)*Assumptions!$B$11*0.95+0.05*Projects!$B$34*Assumptions!$B$11,Projects!$B$34*INDEX(Curves!$B$4:$AO$4,1,23-Projects!$C$34+1)*Assumptions!$B$11*0.95),0)+IF(AND(Projects!$G$35="Yes",23&gt;=Projects!$C$35,23&lt;Projects!$C$35+Projects!$D$35),IF(23=Projects!$C$35+Projects!$D$35-1,Projects!$B$35*INDEX(Curves!$B$4:$AO$4,1,23-Projects!$C$35+1)*Assumptions!$B$11*0.95+0.05*Projects!$B$35*Assumptions!$B$11,Projects!$B$35*INDEX(Curves!$B$4:$AO$4,1,23-Projects!$C$35+1)*Assumptions!$B$11*0.95),0)+IF(AND(Projects!$G$36="Yes",23&gt;=Projects!$C$36,23&lt;Projects!$C$36+Projects!$D$36),IF(23=Projects!$C$36+Projects!$D$36-1,Projects!$B$36*INDEX(Curves!$B$4:$AO$4,1,23-Projects!$C$36+1)*Assumptions!$B$11*0.95+0.05*Projects!$B$36*Assumptions!$B$11,Projects!$B$36*INDEX(Curves!$B$4:$AO$4,1,23-Projects!$C$36+1)*Assumptions!$B$11*0.95),0)+IF(AND(Projects!$G$37="Yes",23&gt;=Projects!$C$37,23&lt;Projects!$C$37+Projects!$D$37),IF(23=Projects!$C$37+Projects!$D$37-1,Projects!$B$37*INDEX(Curves!$B$4:$AO$4,1,23-Projects!$C$37+1)*Assumptions!$B$11*0.95+0.05*Projects!$B$37*Assumptions!$B$11,Projects!$B$37*INDEX(Curves!$B$4:$AO$4,1,23-Projects!$C$37+1)*Assumptions!$B$11*0.95),0)+IF(AND(Projects!$G$38="Yes",23&gt;=Projects!$C$38,23&lt;Projects!$C$38+Projects!$D$38),IF(23=Projects!$C$38+Projects!$D$38-1,Projects!$B$38*INDEX(Curves!$B$4:$AO$4,1,23-Projects!$C$38+1)*Assumptions!$B$11*0.95+0.05*Projects!$B$38*Assumptions!$B$11,Projects!$B$38*INDEX(Curves!$B$4:$AO$4,1,23-Projects!$C$38+1)*Assumptions!$B$11*0.95),0)+IF(AND(Projects!$G$39="Yes",23&gt;=Projects!$C$39,23&lt;Projects!$C$39+Projects!$D$39),IF(23=Projects!$C$39+Projects!$D$39-1,Projects!$B$39*INDEX(Curves!$B$4:$AO$4,1,23-Projects!$C$39+1)*Assumptions!$B$11*0.95+0.05*Projects!$B$39*Assumptions!$B$11,Projects!$B$39*INDEX(Curves!$B$4:$AO$4,1,23-Projects!$C$39+1)*Assumptions!$B$11*0.95),0)+IF(AND(Projects!$G$40="Yes",23&gt;=Projects!$C$40,23&lt;Projects!$C$40+Projects!$D$40),IF(23=Projects!$C$40+Projects!$D$40-1,Projects!$B$40*INDEX(Curves!$B$4:$AO$4,1,23-Projects!$C$40+1)*Assumptions!$B$11*0.95+0.05*Projects!$B$40*Assumptions!$B$11,Projects!$B$40*INDEX(Curves!$B$4:$AO$4,1,23-Projects!$C$40+1)*Assumptions!$B$11*0.95),0)+IF(AND(Projects!$G$41="Yes",23&gt;=Projects!$C$41,23&lt;Projects!$C$41+Projects!$D$41),IF(23=Projects!$C$41+Projects!$D$41-1,Projects!$B$41*INDEX(Curves!$B$4:$AO$4,1,23-Projects!$C$41+1)*Assumptions!$B$11*0.95+0.05*Projects!$B$41*Assumptions!$B$11,Projects!$B$41*INDEX(Curves!$B$4:$AO$4,1,23-Projects!$C$41+1)*Assumptions!$B$11*0.95),0)+IF(AND(Projects!$G$42="Yes",23&gt;=Projects!$C$42,23&lt;Projects!$C$42+Projects!$D$42),IF(23=Projects!$C$42+Projects!$D$42-1,Projects!$B$42*INDEX(Curves!$B$4:$AO$4,1,23-Projects!$C$42+1)*Assumptions!$B$11*0.95+0.05*Projects!$B$42*Assumptions!$B$11,Projects!$B$42*INDEX(Curves!$B$4:$AO$4,1,23-Projects!$C$42+1)*Assumptions!$B$11*0.95),0)+IF(AND(Projects!$G$43="Yes",23&gt;=Projects!$C$43,23&lt;Projects!$C$43+Projects!$D$43),IF(23=Projects!$C$43+Projects!$D$43-1,Projects!$B$43*INDEX(Curves!$B$4:$AO$4,1,23-Projects!$C$43+1)*Assumptions!$B$11*0.95+0.05*Projects!$B$43*Assumptions!$B$11,Projects!$B$43*INDEX(Curves!$B$4:$AO$4,1,23-Projects!$C$43+1)*Assumptions!$B$11*0.95),0)+IF(AND(Projects!$G$44="Yes",23&gt;=Projects!$C$44,23&lt;Projects!$C$44+Projects!$D$44),IF(23=Projects!$C$44+Projects!$D$44-1,Projects!$B$44*INDEX(Curves!$B$4:$AO$4,1,23-Projects!$C$44+1)*Assumptions!$B$11*0.95+0.05*Projects!$B$44*Assumptions!$B$11,Projects!$B$44*INDEX(Curves!$B$4:$AO$4,1,23-Projects!$C$44+1)*Assumptions!$B$11*0.95),0)+IF(AND(Projects!$G$45="Yes",23&gt;=Projects!$C$45,23&lt;Projects!$C$45+Projects!$D$45),IF(23=Projects!$C$45+Projects!$D$45-1,Projects!$B$45*INDEX(Curves!$B$4:$AO$4,1,23-Projects!$C$45+1)*Assumptions!$B$11*0.95+0.05*Projects!$B$45*Assumptions!$B$11,Projects!$B$45*INDEX(Curves!$B$4:$AO$4,1,23-Projects!$C$45+1)*Assumptions!$B$11*0.95),0)+IF(AND(Projects!$G$46="Yes",23&gt;=Projects!$C$46,23&lt;Projects!$C$46+Projects!$D$46),IF(23=Projects!$C$46+Projects!$D$46-1,Projects!$B$46*INDEX(Curves!$B$4:$AO$4,1,23-Projects!$C$46+1)*Assumptions!$B$11*0.95+0.05*Projects!$B$46*Assumptions!$B$11,Projects!$B$46*INDEX(Curves!$B$4:$AO$4,1,23-Projects!$C$46+1)*Assumptions!$B$11*0.95),0)</f>
        <v/>
      </c>
      <c r="Z109">
        <f>IF(AND(Projects!$G$30="Yes",24&gt;=Projects!$C$30,24&lt;Projects!$C$30+Projects!$D$30),IF(24=Projects!$C$30+Projects!$D$30-1,Projects!$B$30*INDEX(Curves!$B$4:$AO$4,1,24-Projects!$C$30+1)*Assumptions!$B$11*0.95+0.05*Projects!$B$30*Assumptions!$B$11,Projects!$B$30*INDEX(Curves!$B$4:$AO$4,1,24-Projects!$C$30+1)*Assumptions!$B$11*0.95),0)+IF(AND(Projects!$G$31="Yes",24&gt;=Projects!$C$31,24&lt;Projects!$C$31+Projects!$D$31),IF(24=Projects!$C$31+Projects!$D$31-1,Projects!$B$31*INDEX(Curves!$B$4:$AO$4,1,24-Projects!$C$31+1)*Assumptions!$B$11*0.95+0.05*Projects!$B$31*Assumptions!$B$11,Projects!$B$31*INDEX(Curves!$B$4:$AO$4,1,24-Projects!$C$31+1)*Assumptions!$B$11*0.95),0)+IF(AND(Projects!$G$32="Yes",24&gt;=Projects!$C$32,24&lt;Projects!$C$32+Projects!$D$32),IF(24=Projects!$C$32+Projects!$D$32-1,Projects!$B$32*INDEX(Curves!$B$4:$AO$4,1,24-Projects!$C$32+1)*Assumptions!$B$11*0.95+0.05*Projects!$B$32*Assumptions!$B$11,Projects!$B$32*INDEX(Curves!$B$4:$AO$4,1,24-Projects!$C$32+1)*Assumptions!$B$11*0.95),0)+IF(AND(Projects!$G$33="Yes",24&gt;=Projects!$C$33,24&lt;Projects!$C$33+Projects!$D$33),IF(24=Projects!$C$33+Projects!$D$33-1,Projects!$B$33*INDEX(Curves!$B$4:$AO$4,1,24-Projects!$C$33+1)*Assumptions!$B$11*0.95+0.05*Projects!$B$33*Assumptions!$B$11,Projects!$B$33*INDEX(Curves!$B$4:$AO$4,1,24-Projects!$C$33+1)*Assumptions!$B$11*0.95),0)+IF(AND(Projects!$G$34="Yes",24&gt;=Projects!$C$34,24&lt;Projects!$C$34+Projects!$D$34),IF(24=Projects!$C$34+Projects!$D$34-1,Projects!$B$34*INDEX(Curves!$B$4:$AO$4,1,24-Projects!$C$34+1)*Assumptions!$B$11*0.95+0.05*Projects!$B$34*Assumptions!$B$11,Projects!$B$34*INDEX(Curves!$B$4:$AO$4,1,24-Projects!$C$34+1)*Assumptions!$B$11*0.95),0)+IF(AND(Projects!$G$35="Yes",24&gt;=Projects!$C$35,24&lt;Projects!$C$35+Projects!$D$35),IF(24=Projects!$C$35+Projects!$D$35-1,Projects!$B$35*INDEX(Curves!$B$4:$AO$4,1,24-Projects!$C$35+1)*Assumptions!$B$11*0.95+0.05*Projects!$B$35*Assumptions!$B$11,Projects!$B$35*INDEX(Curves!$B$4:$AO$4,1,24-Projects!$C$35+1)*Assumptions!$B$11*0.95),0)+IF(AND(Projects!$G$36="Yes",24&gt;=Projects!$C$36,24&lt;Projects!$C$36+Projects!$D$36),IF(24=Projects!$C$36+Projects!$D$36-1,Projects!$B$36*INDEX(Curves!$B$4:$AO$4,1,24-Projects!$C$36+1)*Assumptions!$B$11*0.95+0.05*Projects!$B$36*Assumptions!$B$11,Projects!$B$36*INDEX(Curves!$B$4:$AO$4,1,24-Projects!$C$36+1)*Assumptions!$B$11*0.95),0)+IF(AND(Projects!$G$37="Yes",24&gt;=Projects!$C$37,24&lt;Projects!$C$37+Projects!$D$37),IF(24=Projects!$C$37+Projects!$D$37-1,Projects!$B$37*INDEX(Curves!$B$4:$AO$4,1,24-Projects!$C$37+1)*Assumptions!$B$11*0.95+0.05*Projects!$B$37*Assumptions!$B$11,Projects!$B$37*INDEX(Curves!$B$4:$AO$4,1,24-Projects!$C$37+1)*Assumptions!$B$11*0.95),0)+IF(AND(Projects!$G$38="Yes",24&gt;=Projects!$C$38,24&lt;Projects!$C$38+Projects!$D$38),IF(24=Projects!$C$38+Projects!$D$38-1,Projects!$B$38*INDEX(Curves!$B$4:$AO$4,1,24-Projects!$C$38+1)*Assumptions!$B$11*0.95+0.05*Projects!$B$38*Assumptions!$B$11,Projects!$B$38*INDEX(Curves!$B$4:$AO$4,1,24-Projects!$C$38+1)*Assumptions!$B$11*0.95),0)+IF(AND(Projects!$G$39="Yes",24&gt;=Projects!$C$39,24&lt;Projects!$C$39+Projects!$D$39),IF(24=Projects!$C$39+Projects!$D$39-1,Projects!$B$39*INDEX(Curves!$B$4:$AO$4,1,24-Projects!$C$39+1)*Assumptions!$B$11*0.95+0.05*Projects!$B$39*Assumptions!$B$11,Projects!$B$39*INDEX(Curves!$B$4:$AO$4,1,24-Projects!$C$39+1)*Assumptions!$B$11*0.95),0)+IF(AND(Projects!$G$40="Yes",24&gt;=Projects!$C$40,24&lt;Projects!$C$40+Projects!$D$40),IF(24=Projects!$C$40+Projects!$D$40-1,Projects!$B$40*INDEX(Curves!$B$4:$AO$4,1,24-Projects!$C$40+1)*Assumptions!$B$11*0.95+0.05*Projects!$B$40*Assumptions!$B$11,Projects!$B$40*INDEX(Curves!$B$4:$AO$4,1,24-Projects!$C$40+1)*Assumptions!$B$11*0.95),0)+IF(AND(Projects!$G$41="Yes",24&gt;=Projects!$C$41,24&lt;Projects!$C$41+Projects!$D$41),IF(24=Projects!$C$41+Projects!$D$41-1,Projects!$B$41*INDEX(Curves!$B$4:$AO$4,1,24-Projects!$C$41+1)*Assumptions!$B$11*0.95+0.05*Projects!$B$41*Assumptions!$B$11,Projects!$B$41*INDEX(Curves!$B$4:$AO$4,1,24-Projects!$C$41+1)*Assumptions!$B$11*0.95),0)+IF(AND(Projects!$G$42="Yes",24&gt;=Projects!$C$42,24&lt;Projects!$C$42+Projects!$D$42),IF(24=Projects!$C$42+Projects!$D$42-1,Projects!$B$42*INDEX(Curves!$B$4:$AO$4,1,24-Projects!$C$42+1)*Assumptions!$B$11*0.95+0.05*Projects!$B$42*Assumptions!$B$11,Projects!$B$42*INDEX(Curves!$B$4:$AO$4,1,24-Projects!$C$42+1)*Assumptions!$B$11*0.95),0)+IF(AND(Projects!$G$43="Yes",24&gt;=Projects!$C$43,24&lt;Projects!$C$43+Projects!$D$43),IF(24=Projects!$C$43+Projects!$D$43-1,Projects!$B$43*INDEX(Curves!$B$4:$AO$4,1,24-Projects!$C$43+1)*Assumptions!$B$11*0.95+0.05*Projects!$B$43*Assumptions!$B$11,Projects!$B$43*INDEX(Curves!$B$4:$AO$4,1,24-Projects!$C$43+1)*Assumptions!$B$11*0.95),0)+IF(AND(Projects!$G$44="Yes",24&gt;=Projects!$C$44,24&lt;Projects!$C$44+Projects!$D$44),IF(24=Projects!$C$44+Projects!$D$44-1,Projects!$B$44*INDEX(Curves!$B$4:$AO$4,1,24-Projects!$C$44+1)*Assumptions!$B$11*0.95+0.05*Projects!$B$44*Assumptions!$B$11,Projects!$B$44*INDEX(Curves!$B$4:$AO$4,1,24-Projects!$C$44+1)*Assumptions!$B$11*0.95),0)+IF(AND(Projects!$G$45="Yes",24&gt;=Projects!$C$45,24&lt;Projects!$C$45+Projects!$D$45),IF(24=Projects!$C$45+Projects!$D$45-1,Projects!$B$45*INDEX(Curves!$B$4:$AO$4,1,24-Projects!$C$45+1)*Assumptions!$B$11*0.95+0.05*Projects!$B$45*Assumptions!$B$11,Projects!$B$45*INDEX(Curves!$B$4:$AO$4,1,24-Projects!$C$45+1)*Assumptions!$B$11*0.95),0)+IF(AND(Projects!$G$46="Yes",24&gt;=Projects!$C$46,24&lt;Projects!$C$46+Projects!$D$46),IF(24=Projects!$C$46+Projects!$D$46-1,Projects!$B$46*INDEX(Curves!$B$4:$AO$4,1,24-Projects!$C$46+1)*Assumptions!$B$11*0.95+0.05*Projects!$B$46*Assumptions!$B$11,Projects!$B$46*INDEX(Curves!$B$4:$AO$4,1,24-Projects!$C$46+1)*Assumptions!$B$11*0.95),0)</f>
        <v/>
      </c>
      <c r="AA109">
        <f>IF(AND(Projects!$G$30="Yes",25&gt;=Projects!$C$30,25&lt;Projects!$C$30+Projects!$D$30),IF(25=Projects!$C$30+Projects!$D$30-1,Projects!$B$30*INDEX(Curves!$B$4:$AO$4,1,25-Projects!$C$30+1)*Assumptions!$B$11*0.95+0.05*Projects!$B$30*Assumptions!$B$11,Projects!$B$30*INDEX(Curves!$B$4:$AO$4,1,25-Projects!$C$30+1)*Assumptions!$B$11*0.95),0)+IF(AND(Projects!$G$31="Yes",25&gt;=Projects!$C$31,25&lt;Projects!$C$31+Projects!$D$31),IF(25=Projects!$C$31+Projects!$D$31-1,Projects!$B$31*INDEX(Curves!$B$4:$AO$4,1,25-Projects!$C$31+1)*Assumptions!$B$11*0.95+0.05*Projects!$B$31*Assumptions!$B$11,Projects!$B$31*INDEX(Curves!$B$4:$AO$4,1,25-Projects!$C$31+1)*Assumptions!$B$11*0.95),0)+IF(AND(Projects!$G$32="Yes",25&gt;=Projects!$C$32,25&lt;Projects!$C$32+Projects!$D$32),IF(25=Projects!$C$32+Projects!$D$32-1,Projects!$B$32*INDEX(Curves!$B$4:$AO$4,1,25-Projects!$C$32+1)*Assumptions!$B$11*0.95+0.05*Projects!$B$32*Assumptions!$B$11,Projects!$B$32*INDEX(Curves!$B$4:$AO$4,1,25-Projects!$C$32+1)*Assumptions!$B$11*0.95),0)+IF(AND(Projects!$G$33="Yes",25&gt;=Projects!$C$33,25&lt;Projects!$C$33+Projects!$D$33),IF(25=Projects!$C$33+Projects!$D$33-1,Projects!$B$33*INDEX(Curves!$B$4:$AO$4,1,25-Projects!$C$33+1)*Assumptions!$B$11*0.95+0.05*Projects!$B$33*Assumptions!$B$11,Projects!$B$33*INDEX(Curves!$B$4:$AO$4,1,25-Projects!$C$33+1)*Assumptions!$B$11*0.95),0)+IF(AND(Projects!$G$34="Yes",25&gt;=Projects!$C$34,25&lt;Projects!$C$34+Projects!$D$34),IF(25=Projects!$C$34+Projects!$D$34-1,Projects!$B$34*INDEX(Curves!$B$4:$AO$4,1,25-Projects!$C$34+1)*Assumptions!$B$11*0.95+0.05*Projects!$B$34*Assumptions!$B$11,Projects!$B$34*INDEX(Curves!$B$4:$AO$4,1,25-Projects!$C$34+1)*Assumptions!$B$11*0.95),0)+IF(AND(Projects!$G$35="Yes",25&gt;=Projects!$C$35,25&lt;Projects!$C$35+Projects!$D$35),IF(25=Projects!$C$35+Projects!$D$35-1,Projects!$B$35*INDEX(Curves!$B$4:$AO$4,1,25-Projects!$C$35+1)*Assumptions!$B$11*0.95+0.05*Projects!$B$35*Assumptions!$B$11,Projects!$B$35*INDEX(Curves!$B$4:$AO$4,1,25-Projects!$C$35+1)*Assumptions!$B$11*0.95),0)+IF(AND(Projects!$G$36="Yes",25&gt;=Projects!$C$36,25&lt;Projects!$C$36+Projects!$D$36),IF(25=Projects!$C$36+Projects!$D$36-1,Projects!$B$36*INDEX(Curves!$B$4:$AO$4,1,25-Projects!$C$36+1)*Assumptions!$B$11*0.95+0.05*Projects!$B$36*Assumptions!$B$11,Projects!$B$36*INDEX(Curves!$B$4:$AO$4,1,25-Projects!$C$36+1)*Assumptions!$B$11*0.95),0)+IF(AND(Projects!$G$37="Yes",25&gt;=Projects!$C$37,25&lt;Projects!$C$37+Projects!$D$37),IF(25=Projects!$C$37+Projects!$D$37-1,Projects!$B$37*INDEX(Curves!$B$4:$AO$4,1,25-Projects!$C$37+1)*Assumptions!$B$11*0.95+0.05*Projects!$B$37*Assumptions!$B$11,Projects!$B$37*INDEX(Curves!$B$4:$AO$4,1,25-Projects!$C$37+1)*Assumptions!$B$11*0.95),0)+IF(AND(Projects!$G$38="Yes",25&gt;=Projects!$C$38,25&lt;Projects!$C$38+Projects!$D$38),IF(25=Projects!$C$38+Projects!$D$38-1,Projects!$B$38*INDEX(Curves!$B$4:$AO$4,1,25-Projects!$C$38+1)*Assumptions!$B$11*0.95+0.05*Projects!$B$38*Assumptions!$B$11,Projects!$B$38*INDEX(Curves!$B$4:$AO$4,1,25-Projects!$C$38+1)*Assumptions!$B$11*0.95),0)+IF(AND(Projects!$G$39="Yes",25&gt;=Projects!$C$39,25&lt;Projects!$C$39+Projects!$D$39),IF(25=Projects!$C$39+Projects!$D$39-1,Projects!$B$39*INDEX(Curves!$B$4:$AO$4,1,25-Projects!$C$39+1)*Assumptions!$B$11*0.95+0.05*Projects!$B$39*Assumptions!$B$11,Projects!$B$39*INDEX(Curves!$B$4:$AO$4,1,25-Projects!$C$39+1)*Assumptions!$B$11*0.95),0)+IF(AND(Projects!$G$40="Yes",25&gt;=Projects!$C$40,25&lt;Projects!$C$40+Projects!$D$40),IF(25=Projects!$C$40+Projects!$D$40-1,Projects!$B$40*INDEX(Curves!$B$4:$AO$4,1,25-Projects!$C$40+1)*Assumptions!$B$11*0.95+0.05*Projects!$B$40*Assumptions!$B$11,Projects!$B$40*INDEX(Curves!$B$4:$AO$4,1,25-Projects!$C$40+1)*Assumptions!$B$11*0.95),0)+IF(AND(Projects!$G$41="Yes",25&gt;=Projects!$C$41,25&lt;Projects!$C$41+Projects!$D$41),IF(25=Projects!$C$41+Projects!$D$41-1,Projects!$B$41*INDEX(Curves!$B$4:$AO$4,1,25-Projects!$C$41+1)*Assumptions!$B$11*0.95+0.05*Projects!$B$41*Assumptions!$B$11,Projects!$B$41*INDEX(Curves!$B$4:$AO$4,1,25-Projects!$C$41+1)*Assumptions!$B$11*0.95),0)+IF(AND(Projects!$G$42="Yes",25&gt;=Projects!$C$42,25&lt;Projects!$C$42+Projects!$D$42),IF(25=Projects!$C$42+Projects!$D$42-1,Projects!$B$42*INDEX(Curves!$B$4:$AO$4,1,25-Projects!$C$42+1)*Assumptions!$B$11*0.95+0.05*Projects!$B$42*Assumptions!$B$11,Projects!$B$42*INDEX(Curves!$B$4:$AO$4,1,25-Projects!$C$42+1)*Assumptions!$B$11*0.95),0)+IF(AND(Projects!$G$43="Yes",25&gt;=Projects!$C$43,25&lt;Projects!$C$43+Projects!$D$43),IF(25=Projects!$C$43+Projects!$D$43-1,Projects!$B$43*INDEX(Curves!$B$4:$AO$4,1,25-Projects!$C$43+1)*Assumptions!$B$11*0.95+0.05*Projects!$B$43*Assumptions!$B$11,Projects!$B$43*INDEX(Curves!$B$4:$AO$4,1,25-Projects!$C$43+1)*Assumptions!$B$11*0.95),0)+IF(AND(Projects!$G$44="Yes",25&gt;=Projects!$C$44,25&lt;Projects!$C$44+Projects!$D$44),IF(25=Projects!$C$44+Projects!$D$44-1,Projects!$B$44*INDEX(Curves!$B$4:$AO$4,1,25-Projects!$C$44+1)*Assumptions!$B$11*0.95+0.05*Projects!$B$44*Assumptions!$B$11,Projects!$B$44*INDEX(Curves!$B$4:$AO$4,1,25-Projects!$C$44+1)*Assumptions!$B$11*0.95),0)+IF(AND(Projects!$G$45="Yes",25&gt;=Projects!$C$45,25&lt;Projects!$C$45+Projects!$D$45),IF(25=Projects!$C$45+Projects!$D$45-1,Projects!$B$45*INDEX(Curves!$B$4:$AO$4,1,25-Projects!$C$45+1)*Assumptions!$B$11*0.95+0.05*Projects!$B$45*Assumptions!$B$11,Projects!$B$45*INDEX(Curves!$B$4:$AO$4,1,25-Projects!$C$45+1)*Assumptions!$B$11*0.95),0)+IF(AND(Projects!$G$46="Yes",25&gt;=Projects!$C$46,25&lt;Projects!$C$46+Projects!$D$46),IF(25=Projects!$C$46+Projects!$D$46-1,Projects!$B$46*INDEX(Curves!$B$4:$AO$4,1,25-Projects!$C$46+1)*Assumptions!$B$11*0.95+0.05*Projects!$B$46*Assumptions!$B$11,Projects!$B$46*INDEX(Curves!$B$4:$AO$4,1,25-Projects!$C$46+1)*Assumptions!$B$11*0.95),0)</f>
        <v/>
      </c>
      <c r="AB109">
        <f>IF(AND(Projects!$G$30="Yes",26&gt;=Projects!$C$30,26&lt;Projects!$C$30+Projects!$D$30),IF(26=Projects!$C$30+Projects!$D$30-1,Projects!$B$30*INDEX(Curves!$B$4:$AO$4,1,26-Projects!$C$30+1)*Assumptions!$B$11*0.95+0.05*Projects!$B$30*Assumptions!$B$11,Projects!$B$30*INDEX(Curves!$B$4:$AO$4,1,26-Projects!$C$30+1)*Assumptions!$B$11*0.95),0)+IF(AND(Projects!$G$31="Yes",26&gt;=Projects!$C$31,26&lt;Projects!$C$31+Projects!$D$31),IF(26=Projects!$C$31+Projects!$D$31-1,Projects!$B$31*INDEX(Curves!$B$4:$AO$4,1,26-Projects!$C$31+1)*Assumptions!$B$11*0.95+0.05*Projects!$B$31*Assumptions!$B$11,Projects!$B$31*INDEX(Curves!$B$4:$AO$4,1,26-Projects!$C$31+1)*Assumptions!$B$11*0.95),0)+IF(AND(Projects!$G$32="Yes",26&gt;=Projects!$C$32,26&lt;Projects!$C$32+Projects!$D$32),IF(26=Projects!$C$32+Projects!$D$32-1,Projects!$B$32*INDEX(Curves!$B$4:$AO$4,1,26-Projects!$C$32+1)*Assumptions!$B$11*0.95+0.05*Projects!$B$32*Assumptions!$B$11,Projects!$B$32*INDEX(Curves!$B$4:$AO$4,1,26-Projects!$C$32+1)*Assumptions!$B$11*0.95),0)+IF(AND(Projects!$G$33="Yes",26&gt;=Projects!$C$33,26&lt;Projects!$C$33+Projects!$D$33),IF(26=Projects!$C$33+Projects!$D$33-1,Projects!$B$33*INDEX(Curves!$B$4:$AO$4,1,26-Projects!$C$33+1)*Assumptions!$B$11*0.95+0.05*Projects!$B$33*Assumptions!$B$11,Projects!$B$33*INDEX(Curves!$B$4:$AO$4,1,26-Projects!$C$33+1)*Assumptions!$B$11*0.95),0)+IF(AND(Projects!$G$34="Yes",26&gt;=Projects!$C$34,26&lt;Projects!$C$34+Projects!$D$34),IF(26=Projects!$C$34+Projects!$D$34-1,Projects!$B$34*INDEX(Curves!$B$4:$AO$4,1,26-Projects!$C$34+1)*Assumptions!$B$11*0.95+0.05*Projects!$B$34*Assumptions!$B$11,Projects!$B$34*INDEX(Curves!$B$4:$AO$4,1,26-Projects!$C$34+1)*Assumptions!$B$11*0.95),0)+IF(AND(Projects!$G$35="Yes",26&gt;=Projects!$C$35,26&lt;Projects!$C$35+Projects!$D$35),IF(26=Projects!$C$35+Projects!$D$35-1,Projects!$B$35*INDEX(Curves!$B$4:$AO$4,1,26-Projects!$C$35+1)*Assumptions!$B$11*0.95+0.05*Projects!$B$35*Assumptions!$B$11,Projects!$B$35*INDEX(Curves!$B$4:$AO$4,1,26-Projects!$C$35+1)*Assumptions!$B$11*0.95),0)+IF(AND(Projects!$G$36="Yes",26&gt;=Projects!$C$36,26&lt;Projects!$C$36+Projects!$D$36),IF(26=Projects!$C$36+Projects!$D$36-1,Projects!$B$36*INDEX(Curves!$B$4:$AO$4,1,26-Projects!$C$36+1)*Assumptions!$B$11*0.95+0.05*Projects!$B$36*Assumptions!$B$11,Projects!$B$36*INDEX(Curves!$B$4:$AO$4,1,26-Projects!$C$36+1)*Assumptions!$B$11*0.95),0)+IF(AND(Projects!$G$37="Yes",26&gt;=Projects!$C$37,26&lt;Projects!$C$37+Projects!$D$37),IF(26=Projects!$C$37+Projects!$D$37-1,Projects!$B$37*INDEX(Curves!$B$4:$AO$4,1,26-Projects!$C$37+1)*Assumptions!$B$11*0.95+0.05*Projects!$B$37*Assumptions!$B$11,Projects!$B$37*INDEX(Curves!$B$4:$AO$4,1,26-Projects!$C$37+1)*Assumptions!$B$11*0.95),0)+IF(AND(Projects!$G$38="Yes",26&gt;=Projects!$C$38,26&lt;Projects!$C$38+Projects!$D$38),IF(26=Projects!$C$38+Projects!$D$38-1,Projects!$B$38*INDEX(Curves!$B$4:$AO$4,1,26-Projects!$C$38+1)*Assumptions!$B$11*0.95+0.05*Projects!$B$38*Assumptions!$B$11,Projects!$B$38*INDEX(Curves!$B$4:$AO$4,1,26-Projects!$C$38+1)*Assumptions!$B$11*0.95),0)+IF(AND(Projects!$G$39="Yes",26&gt;=Projects!$C$39,26&lt;Projects!$C$39+Projects!$D$39),IF(26=Projects!$C$39+Projects!$D$39-1,Projects!$B$39*INDEX(Curves!$B$4:$AO$4,1,26-Projects!$C$39+1)*Assumptions!$B$11*0.95+0.05*Projects!$B$39*Assumptions!$B$11,Projects!$B$39*INDEX(Curves!$B$4:$AO$4,1,26-Projects!$C$39+1)*Assumptions!$B$11*0.95),0)+IF(AND(Projects!$G$40="Yes",26&gt;=Projects!$C$40,26&lt;Projects!$C$40+Projects!$D$40),IF(26=Projects!$C$40+Projects!$D$40-1,Projects!$B$40*INDEX(Curves!$B$4:$AO$4,1,26-Projects!$C$40+1)*Assumptions!$B$11*0.95+0.05*Projects!$B$40*Assumptions!$B$11,Projects!$B$40*INDEX(Curves!$B$4:$AO$4,1,26-Projects!$C$40+1)*Assumptions!$B$11*0.95),0)+IF(AND(Projects!$G$41="Yes",26&gt;=Projects!$C$41,26&lt;Projects!$C$41+Projects!$D$41),IF(26=Projects!$C$41+Projects!$D$41-1,Projects!$B$41*INDEX(Curves!$B$4:$AO$4,1,26-Projects!$C$41+1)*Assumptions!$B$11*0.95+0.05*Projects!$B$41*Assumptions!$B$11,Projects!$B$41*INDEX(Curves!$B$4:$AO$4,1,26-Projects!$C$41+1)*Assumptions!$B$11*0.95),0)+IF(AND(Projects!$G$42="Yes",26&gt;=Projects!$C$42,26&lt;Projects!$C$42+Projects!$D$42),IF(26=Projects!$C$42+Projects!$D$42-1,Projects!$B$42*INDEX(Curves!$B$4:$AO$4,1,26-Projects!$C$42+1)*Assumptions!$B$11*0.95+0.05*Projects!$B$42*Assumptions!$B$11,Projects!$B$42*INDEX(Curves!$B$4:$AO$4,1,26-Projects!$C$42+1)*Assumptions!$B$11*0.95),0)+IF(AND(Projects!$G$43="Yes",26&gt;=Projects!$C$43,26&lt;Projects!$C$43+Projects!$D$43),IF(26=Projects!$C$43+Projects!$D$43-1,Projects!$B$43*INDEX(Curves!$B$4:$AO$4,1,26-Projects!$C$43+1)*Assumptions!$B$11*0.95+0.05*Projects!$B$43*Assumptions!$B$11,Projects!$B$43*INDEX(Curves!$B$4:$AO$4,1,26-Projects!$C$43+1)*Assumptions!$B$11*0.95),0)+IF(AND(Projects!$G$44="Yes",26&gt;=Projects!$C$44,26&lt;Projects!$C$44+Projects!$D$44),IF(26=Projects!$C$44+Projects!$D$44-1,Projects!$B$44*INDEX(Curves!$B$4:$AO$4,1,26-Projects!$C$44+1)*Assumptions!$B$11*0.95+0.05*Projects!$B$44*Assumptions!$B$11,Projects!$B$44*INDEX(Curves!$B$4:$AO$4,1,26-Projects!$C$44+1)*Assumptions!$B$11*0.95),0)+IF(AND(Projects!$G$45="Yes",26&gt;=Projects!$C$45,26&lt;Projects!$C$45+Projects!$D$45),IF(26=Projects!$C$45+Projects!$D$45-1,Projects!$B$45*INDEX(Curves!$B$4:$AO$4,1,26-Projects!$C$45+1)*Assumptions!$B$11*0.95+0.05*Projects!$B$45*Assumptions!$B$11,Projects!$B$45*INDEX(Curves!$B$4:$AO$4,1,26-Projects!$C$45+1)*Assumptions!$B$11*0.95),0)+IF(AND(Projects!$G$46="Yes",26&gt;=Projects!$C$46,26&lt;Projects!$C$46+Projects!$D$46),IF(26=Projects!$C$46+Projects!$D$46-1,Projects!$B$46*INDEX(Curves!$B$4:$AO$4,1,26-Projects!$C$46+1)*Assumptions!$B$11*0.95+0.05*Projects!$B$46*Assumptions!$B$11,Projects!$B$46*INDEX(Curves!$B$4:$AO$4,1,26-Projects!$C$46+1)*Assumptions!$B$11*0.95),0)</f>
        <v/>
      </c>
      <c r="AC109">
        <f>IF(AND(Projects!$G$30="Yes",27&gt;=Projects!$C$30,27&lt;Projects!$C$30+Projects!$D$30),IF(27=Projects!$C$30+Projects!$D$30-1,Projects!$B$30*INDEX(Curves!$B$4:$AO$4,1,27-Projects!$C$30+1)*Assumptions!$B$11*0.95+0.05*Projects!$B$30*Assumptions!$B$11,Projects!$B$30*INDEX(Curves!$B$4:$AO$4,1,27-Projects!$C$30+1)*Assumptions!$B$11*0.95),0)+IF(AND(Projects!$G$31="Yes",27&gt;=Projects!$C$31,27&lt;Projects!$C$31+Projects!$D$31),IF(27=Projects!$C$31+Projects!$D$31-1,Projects!$B$31*INDEX(Curves!$B$4:$AO$4,1,27-Projects!$C$31+1)*Assumptions!$B$11*0.95+0.05*Projects!$B$31*Assumptions!$B$11,Projects!$B$31*INDEX(Curves!$B$4:$AO$4,1,27-Projects!$C$31+1)*Assumptions!$B$11*0.95),0)+IF(AND(Projects!$G$32="Yes",27&gt;=Projects!$C$32,27&lt;Projects!$C$32+Projects!$D$32),IF(27=Projects!$C$32+Projects!$D$32-1,Projects!$B$32*INDEX(Curves!$B$4:$AO$4,1,27-Projects!$C$32+1)*Assumptions!$B$11*0.95+0.05*Projects!$B$32*Assumptions!$B$11,Projects!$B$32*INDEX(Curves!$B$4:$AO$4,1,27-Projects!$C$32+1)*Assumptions!$B$11*0.95),0)+IF(AND(Projects!$G$33="Yes",27&gt;=Projects!$C$33,27&lt;Projects!$C$33+Projects!$D$33),IF(27=Projects!$C$33+Projects!$D$33-1,Projects!$B$33*INDEX(Curves!$B$4:$AO$4,1,27-Projects!$C$33+1)*Assumptions!$B$11*0.95+0.05*Projects!$B$33*Assumptions!$B$11,Projects!$B$33*INDEX(Curves!$B$4:$AO$4,1,27-Projects!$C$33+1)*Assumptions!$B$11*0.95),0)+IF(AND(Projects!$G$34="Yes",27&gt;=Projects!$C$34,27&lt;Projects!$C$34+Projects!$D$34),IF(27=Projects!$C$34+Projects!$D$34-1,Projects!$B$34*INDEX(Curves!$B$4:$AO$4,1,27-Projects!$C$34+1)*Assumptions!$B$11*0.95+0.05*Projects!$B$34*Assumptions!$B$11,Projects!$B$34*INDEX(Curves!$B$4:$AO$4,1,27-Projects!$C$34+1)*Assumptions!$B$11*0.95),0)+IF(AND(Projects!$G$35="Yes",27&gt;=Projects!$C$35,27&lt;Projects!$C$35+Projects!$D$35),IF(27=Projects!$C$35+Projects!$D$35-1,Projects!$B$35*INDEX(Curves!$B$4:$AO$4,1,27-Projects!$C$35+1)*Assumptions!$B$11*0.95+0.05*Projects!$B$35*Assumptions!$B$11,Projects!$B$35*INDEX(Curves!$B$4:$AO$4,1,27-Projects!$C$35+1)*Assumptions!$B$11*0.95),0)+IF(AND(Projects!$G$36="Yes",27&gt;=Projects!$C$36,27&lt;Projects!$C$36+Projects!$D$36),IF(27=Projects!$C$36+Projects!$D$36-1,Projects!$B$36*INDEX(Curves!$B$4:$AO$4,1,27-Projects!$C$36+1)*Assumptions!$B$11*0.95+0.05*Projects!$B$36*Assumptions!$B$11,Projects!$B$36*INDEX(Curves!$B$4:$AO$4,1,27-Projects!$C$36+1)*Assumptions!$B$11*0.95),0)+IF(AND(Projects!$G$37="Yes",27&gt;=Projects!$C$37,27&lt;Projects!$C$37+Projects!$D$37),IF(27=Projects!$C$37+Projects!$D$37-1,Projects!$B$37*INDEX(Curves!$B$4:$AO$4,1,27-Projects!$C$37+1)*Assumptions!$B$11*0.95+0.05*Projects!$B$37*Assumptions!$B$11,Projects!$B$37*INDEX(Curves!$B$4:$AO$4,1,27-Projects!$C$37+1)*Assumptions!$B$11*0.95),0)+IF(AND(Projects!$G$38="Yes",27&gt;=Projects!$C$38,27&lt;Projects!$C$38+Projects!$D$38),IF(27=Projects!$C$38+Projects!$D$38-1,Projects!$B$38*INDEX(Curves!$B$4:$AO$4,1,27-Projects!$C$38+1)*Assumptions!$B$11*0.95+0.05*Projects!$B$38*Assumptions!$B$11,Projects!$B$38*INDEX(Curves!$B$4:$AO$4,1,27-Projects!$C$38+1)*Assumptions!$B$11*0.95),0)+IF(AND(Projects!$G$39="Yes",27&gt;=Projects!$C$39,27&lt;Projects!$C$39+Projects!$D$39),IF(27=Projects!$C$39+Projects!$D$39-1,Projects!$B$39*INDEX(Curves!$B$4:$AO$4,1,27-Projects!$C$39+1)*Assumptions!$B$11*0.95+0.05*Projects!$B$39*Assumptions!$B$11,Projects!$B$39*INDEX(Curves!$B$4:$AO$4,1,27-Projects!$C$39+1)*Assumptions!$B$11*0.95),0)+IF(AND(Projects!$G$40="Yes",27&gt;=Projects!$C$40,27&lt;Projects!$C$40+Projects!$D$40),IF(27=Projects!$C$40+Projects!$D$40-1,Projects!$B$40*INDEX(Curves!$B$4:$AO$4,1,27-Projects!$C$40+1)*Assumptions!$B$11*0.95+0.05*Projects!$B$40*Assumptions!$B$11,Projects!$B$40*INDEX(Curves!$B$4:$AO$4,1,27-Projects!$C$40+1)*Assumptions!$B$11*0.95),0)+IF(AND(Projects!$G$41="Yes",27&gt;=Projects!$C$41,27&lt;Projects!$C$41+Projects!$D$41),IF(27=Projects!$C$41+Projects!$D$41-1,Projects!$B$41*INDEX(Curves!$B$4:$AO$4,1,27-Projects!$C$41+1)*Assumptions!$B$11*0.95+0.05*Projects!$B$41*Assumptions!$B$11,Projects!$B$41*INDEX(Curves!$B$4:$AO$4,1,27-Projects!$C$41+1)*Assumptions!$B$11*0.95),0)+IF(AND(Projects!$G$42="Yes",27&gt;=Projects!$C$42,27&lt;Projects!$C$42+Projects!$D$42),IF(27=Projects!$C$42+Projects!$D$42-1,Projects!$B$42*INDEX(Curves!$B$4:$AO$4,1,27-Projects!$C$42+1)*Assumptions!$B$11*0.95+0.05*Projects!$B$42*Assumptions!$B$11,Projects!$B$42*INDEX(Curves!$B$4:$AO$4,1,27-Projects!$C$42+1)*Assumptions!$B$11*0.95),0)+IF(AND(Projects!$G$43="Yes",27&gt;=Projects!$C$43,27&lt;Projects!$C$43+Projects!$D$43),IF(27=Projects!$C$43+Projects!$D$43-1,Projects!$B$43*INDEX(Curves!$B$4:$AO$4,1,27-Projects!$C$43+1)*Assumptions!$B$11*0.95+0.05*Projects!$B$43*Assumptions!$B$11,Projects!$B$43*INDEX(Curves!$B$4:$AO$4,1,27-Projects!$C$43+1)*Assumptions!$B$11*0.95),0)+IF(AND(Projects!$G$44="Yes",27&gt;=Projects!$C$44,27&lt;Projects!$C$44+Projects!$D$44),IF(27=Projects!$C$44+Projects!$D$44-1,Projects!$B$44*INDEX(Curves!$B$4:$AO$4,1,27-Projects!$C$44+1)*Assumptions!$B$11*0.95+0.05*Projects!$B$44*Assumptions!$B$11,Projects!$B$44*INDEX(Curves!$B$4:$AO$4,1,27-Projects!$C$44+1)*Assumptions!$B$11*0.95),0)+IF(AND(Projects!$G$45="Yes",27&gt;=Projects!$C$45,27&lt;Projects!$C$45+Projects!$D$45),IF(27=Projects!$C$45+Projects!$D$45-1,Projects!$B$45*INDEX(Curves!$B$4:$AO$4,1,27-Projects!$C$45+1)*Assumptions!$B$11*0.95+0.05*Projects!$B$45*Assumptions!$B$11,Projects!$B$45*INDEX(Curves!$B$4:$AO$4,1,27-Projects!$C$45+1)*Assumptions!$B$11*0.95),0)+IF(AND(Projects!$G$46="Yes",27&gt;=Projects!$C$46,27&lt;Projects!$C$46+Projects!$D$46),IF(27=Projects!$C$46+Projects!$D$46-1,Projects!$B$46*INDEX(Curves!$B$4:$AO$4,1,27-Projects!$C$46+1)*Assumptions!$B$11*0.95+0.05*Projects!$B$46*Assumptions!$B$11,Projects!$B$46*INDEX(Curves!$B$4:$AO$4,1,27-Projects!$C$46+1)*Assumptions!$B$11*0.95),0)</f>
        <v/>
      </c>
      <c r="AD109">
        <f>IF(AND(Projects!$G$30="Yes",28&gt;=Projects!$C$30,28&lt;Projects!$C$30+Projects!$D$30),IF(28=Projects!$C$30+Projects!$D$30-1,Projects!$B$30*INDEX(Curves!$B$4:$AO$4,1,28-Projects!$C$30+1)*Assumptions!$B$11*0.95+0.05*Projects!$B$30*Assumptions!$B$11,Projects!$B$30*INDEX(Curves!$B$4:$AO$4,1,28-Projects!$C$30+1)*Assumptions!$B$11*0.95),0)+IF(AND(Projects!$G$31="Yes",28&gt;=Projects!$C$31,28&lt;Projects!$C$31+Projects!$D$31),IF(28=Projects!$C$31+Projects!$D$31-1,Projects!$B$31*INDEX(Curves!$B$4:$AO$4,1,28-Projects!$C$31+1)*Assumptions!$B$11*0.95+0.05*Projects!$B$31*Assumptions!$B$11,Projects!$B$31*INDEX(Curves!$B$4:$AO$4,1,28-Projects!$C$31+1)*Assumptions!$B$11*0.95),0)+IF(AND(Projects!$G$32="Yes",28&gt;=Projects!$C$32,28&lt;Projects!$C$32+Projects!$D$32),IF(28=Projects!$C$32+Projects!$D$32-1,Projects!$B$32*INDEX(Curves!$B$4:$AO$4,1,28-Projects!$C$32+1)*Assumptions!$B$11*0.95+0.05*Projects!$B$32*Assumptions!$B$11,Projects!$B$32*INDEX(Curves!$B$4:$AO$4,1,28-Projects!$C$32+1)*Assumptions!$B$11*0.95),0)+IF(AND(Projects!$G$33="Yes",28&gt;=Projects!$C$33,28&lt;Projects!$C$33+Projects!$D$33),IF(28=Projects!$C$33+Projects!$D$33-1,Projects!$B$33*INDEX(Curves!$B$4:$AO$4,1,28-Projects!$C$33+1)*Assumptions!$B$11*0.95+0.05*Projects!$B$33*Assumptions!$B$11,Projects!$B$33*INDEX(Curves!$B$4:$AO$4,1,28-Projects!$C$33+1)*Assumptions!$B$11*0.95),0)+IF(AND(Projects!$G$34="Yes",28&gt;=Projects!$C$34,28&lt;Projects!$C$34+Projects!$D$34),IF(28=Projects!$C$34+Projects!$D$34-1,Projects!$B$34*INDEX(Curves!$B$4:$AO$4,1,28-Projects!$C$34+1)*Assumptions!$B$11*0.95+0.05*Projects!$B$34*Assumptions!$B$11,Projects!$B$34*INDEX(Curves!$B$4:$AO$4,1,28-Projects!$C$34+1)*Assumptions!$B$11*0.95),0)+IF(AND(Projects!$G$35="Yes",28&gt;=Projects!$C$35,28&lt;Projects!$C$35+Projects!$D$35),IF(28=Projects!$C$35+Projects!$D$35-1,Projects!$B$35*INDEX(Curves!$B$4:$AO$4,1,28-Projects!$C$35+1)*Assumptions!$B$11*0.95+0.05*Projects!$B$35*Assumptions!$B$11,Projects!$B$35*INDEX(Curves!$B$4:$AO$4,1,28-Projects!$C$35+1)*Assumptions!$B$11*0.95),0)+IF(AND(Projects!$G$36="Yes",28&gt;=Projects!$C$36,28&lt;Projects!$C$36+Projects!$D$36),IF(28=Projects!$C$36+Projects!$D$36-1,Projects!$B$36*INDEX(Curves!$B$4:$AO$4,1,28-Projects!$C$36+1)*Assumptions!$B$11*0.95+0.05*Projects!$B$36*Assumptions!$B$11,Projects!$B$36*INDEX(Curves!$B$4:$AO$4,1,28-Projects!$C$36+1)*Assumptions!$B$11*0.95),0)+IF(AND(Projects!$G$37="Yes",28&gt;=Projects!$C$37,28&lt;Projects!$C$37+Projects!$D$37),IF(28=Projects!$C$37+Projects!$D$37-1,Projects!$B$37*INDEX(Curves!$B$4:$AO$4,1,28-Projects!$C$37+1)*Assumptions!$B$11*0.95+0.05*Projects!$B$37*Assumptions!$B$11,Projects!$B$37*INDEX(Curves!$B$4:$AO$4,1,28-Projects!$C$37+1)*Assumptions!$B$11*0.95),0)+IF(AND(Projects!$G$38="Yes",28&gt;=Projects!$C$38,28&lt;Projects!$C$38+Projects!$D$38),IF(28=Projects!$C$38+Projects!$D$38-1,Projects!$B$38*INDEX(Curves!$B$4:$AO$4,1,28-Projects!$C$38+1)*Assumptions!$B$11*0.95+0.05*Projects!$B$38*Assumptions!$B$11,Projects!$B$38*INDEX(Curves!$B$4:$AO$4,1,28-Projects!$C$38+1)*Assumptions!$B$11*0.95),0)+IF(AND(Projects!$G$39="Yes",28&gt;=Projects!$C$39,28&lt;Projects!$C$39+Projects!$D$39),IF(28=Projects!$C$39+Projects!$D$39-1,Projects!$B$39*INDEX(Curves!$B$4:$AO$4,1,28-Projects!$C$39+1)*Assumptions!$B$11*0.95+0.05*Projects!$B$39*Assumptions!$B$11,Projects!$B$39*INDEX(Curves!$B$4:$AO$4,1,28-Projects!$C$39+1)*Assumptions!$B$11*0.95),0)+IF(AND(Projects!$G$40="Yes",28&gt;=Projects!$C$40,28&lt;Projects!$C$40+Projects!$D$40),IF(28=Projects!$C$40+Projects!$D$40-1,Projects!$B$40*INDEX(Curves!$B$4:$AO$4,1,28-Projects!$C$40+1)*Assumptions!$B$11*0.95+0.05*Projects!$B$40*Assumptions!$B$11,Projects!$B$40*INDEX(Curves!$B$4:$AO$4,1,28-Projects!$C$40+1)*Assumptions!$B$11*0.95),0)+IF(AND(Projects!$G$41="Yes",28&gt;=Projects!$C$41,28&lt;Projects!$C$41+Projects!$D$41),IF(28=Projects!$C$41+Projects!$D$41-1,Projects!$B$41*INDEX(Curves!$B$4:$AO$4,1,28-Projects!$C$41+1)*Assumptions!$B$11*0.95+0.05*Projects!$B$41*Assumptions!$B$11,Projects!$B$41*INDEX(Curves!$B$4:$AO$4,1,28-Projects!$C$41+1)*Assumptions!$B$11*0.95),0)+IF(AND(Projects!$G$42="Yes",28&gt;=Projects!$C$42,28&lt;Projects!$C$42+Projects!$D$42),IF(28=Projects!$C$42+Projects!$D$42-1,Projects!$B$42*INDEX(Curves!$B$4:$AO$4,1,28-Projects!$C$42+1)*Assumptions!$B$11*0.95+0.05*Projects!$B$42*Assumptions!$B$11,Projects!$B$42*INDEX(Curves!$B$4:$AO$4,1,28-Projects!$C$42+1)*Assumptions!$B$11*0.95),0)+IF(AND(Projects!$G$43="Yes",28&gt;=Projects!$C$43,28&lt;Projects!$C$43+Projects!$D$43),IF(28=Projects!$C$43+Projects!$D$43-1,Projects!$B$43*INDEX(Curves!$B$4:$AO$4,1,28-Projects!$C$43+1)*Assumptions!$B$11*0.95+0.05*Projects!$B$43*Assumptions!$B$11,Projects!$B$43*INDEX(Curves!$B$4:$AO$4,1,28-Projects!$C$43+1)*Assumptions!$B$11*0.95),0)+IF(AND(Projects!$G$44="Yes",28&gt;=Projects!$C$44,28&lt;Projects!$C$44+Projects!$D$44),IF(28=Projects!$C$44+Projects!$D$44-1,Projects!$B$44*INDEX(Curves!$B$4:$AO$4,1,28-Projects!$C$44+1)*Assumptions!$B$11*0.95+0.05*Projects!$B$44*Assumptions!$B$11,Projects!$B$44*INDEX(Curves!$B$4:$AO$4,1,28-Projects!$C$44+1)*Assumptions!$B$11*0.95),0)+IF(AND(Projects!$G$45="Yes",28&gt;=Projects!$C$45,28&lt;Projects!$C$45+Projects!$D$45),IF(28=Projects!$C$45+Projects!$D$45-1,Projects!$B$45*INDEX(Curves!$B$4:$AO$4,1,28-Projects!$C$45+1)*Assumptions!$B$11*0.95+0.05*Projects!$B$45*Assumptions!$B$11,Projects!$B$45*INDEX(Curves!$B$4:$AO$4,1,28-Projects!$C$45+1)*Assumptions!$B$11*0.95),0)+IF(AND(Projects!$G$46="Yes",28&gt;=Projects!$C$46,28&lt;Projects!$C$46+Projects!$D$46),IF(28=Projects!$C$46+Projects!$D$46-1,Projects!$B$46*INDEX(Curves!$B$4:$AO$4,1,28-Projects!$C$46+1)*Assumptions!$B$11*0.95+0.05*Projects!$B$46*Assumptions!$B$11,Projects!$B$46*INDEX(Curves!$B$4:$AO$4,1,28-Projects!$C$46+1)*Assumptions!$B$11*0.95),0)</f>
        <v/>
      </c>
      <c r="AE109">
        <f>IF(AND(Projects!$G$30="Yes",29&gt;=Projects!$C$30,29&lt;Projects!$C$30+Projects!$D$30),IF(29=Projects!$C$30+Projects!$D$30-1,Projects!$B$30*INDEX(Curves!$B$4:$AO$4,1,29-Projects!$C$30+1)*Assumptions!$B$11*0.95+0.05*Projects!$B$30*Assumptions!$B$11,Projects!$B$30*INDEX(Curves!$B$4:$AO$4,1,29-Projects!$C$30+1)*Assumptions!$B$11*0.95),0)+IF(AND(Projects!$G$31="Yes",29&gt;=Projects!$C$31,29&lt;Projects!$C$31+Projects!$D$31),IF(29=Projects!$C$31+Projects!$D$31-1,Projects!$B$31*INDEX(Curves!$B$4:$AO$4,1,29-Projects!$C$31+1)*Assumptions!$B$11*0.95+0.05*Projects!$B$31*Assumptions!$B$11,Projects!$B$31*INDEX(Curves!$B$4:$AO$4,1,29-Projects!$C$31+1)*Assumptions!$B$11*0.95),0)+IF(AND(Projects!$G$32="Yes",29&gt;=Projects!$C$32,29&lt;Projects!$C$32+Projects!$D$32),IF(29=Projects!$C$32+Projects!$D$32-1,Projects!$B$32*INDEX(Curves!$B$4:$AO$4,1,29-Projects!$C$32+1)*Assumptions!$B$11*0.95+0.05*Projects!$B$32*Assumptions!$B$11,Projects!$B$32*INDEX(Curves!$B$4:$AO$4,1,29-Projects!$C$32+1)*Assumptions!$B$11*0.95),0)+IF(AND(Projects!$G$33="Yes",29&gt;=Projects!$C$33,29&lt;Projects!$C$33+Projects!$D$33),IF(29=Projects!$C$33+Projects!$D$33-1,Projects!$B$33*INDEX(Curves!$B$4:$AO$4,1,29-Projects!$C$33+1)*Assumptions!$B$11*0.95+0.05*Projects!$B$33*Assumptions!$B$11,Projects!$B$33*INDEX(Curves!$B$4:$AO$4,1,29-Projects!$C$33+1)*Assumptions!$B$11*0.95),0)+IF(AND(Projects!$G$34="Yes",29&gt;=Projects!$C$34,29&lt;Projects!$C$34+Projects!$D$34),IF(29=Projects!$C$34+Projects!$D$34-1,Projects!$B$34*INDEX(Curves!$B$4:$AO$4,1,29-Projects!$C$34+1)*Assumptions!$B$11*0.95+0.05*Projects!$B$34*Assumptions!$B$11,Projects!$B$34*INDEX(Curves!$B$4:$AO$4,1,29-Projects!$C$34+1)*Assumptions!$B$11*0.95),0)+IF(AND(Projects!$G$35="Yes",29&gt;=Projects!$C$35,29&lt;Projects!$C$35+Projects!$D$35),IF(29=Projects!$C$35+Projects!$D$35-1,Projects!$B$35*INDEX(Curves!$B$4:$AO$4,1,29-Projects!$C$35+1)*Assumptions!$B$11*0.95+0.05*Projects!$B$35*Assumptions!$B$11,Projects!$B$35*INDEX(Curves!$B$4:$AO$4,1,29-Projects!$C$35+1)*Assumptions!$B$11*0.95),0)+IF(AND(Projects!$G$36="Yes",29&gt;=Projects!$C$36,29&lt;Projects!$C$36+Projects!$D$36),IF(29=Projects!$C$36+Projects!$D$36-1,Projects!$B$36*INDEX(Curves!$B$4:$AO$4,1,29-Projects!$C$36+1)*Assumptions!$B$11*0.95+0.05*Projects!$B$36*Assumptions!$B$11,Projects!$B$36*INDEX(Curves!$B$4:$AO$4,1,29-Projects!$C$36+1)*Assumptions!$B$11*0.95),0)+IF(AND(Projects!$G$37="Yes",29&gt;=Projects!$C$37,29&lt;Projects!$C$37+Projects!$D$37),IF(29=Projects!$C$37+Projects!$D$37-1,Projects!$B$37*INDEX(Curves!$B$4:$AO$4,1,29-Projects!$C$37+1)*Assumptions!$B$11*0.95+0.05*Projects!$B$37*Assumptions!$B$11,Projects!$B$37*INDEX(Curves!$B$4:$AO$4,1,29-Projects!$C$37+1)*Assumptions!$B$11*0.95),0)+IF(AND(Projects!$G$38="Yes",29&gt;=Projects!$C$38,29&lt;Projects!$C$38+Projects!$D$38),IF(29=Projects!$C$38+Projects!$D$38-1,Projects!$B$38*INDEX(Curves!$B$4:$AO$4,1,29-Projects!$C$38+1)*Assumptions!$B$11*0.95+0.05*Projects!$B$38*Assumptions!$B$11,Projects!$B$38*INDEX(Curves!$B$4:$AO$4,1,29-Projects!$C$38+1)*Assumptions!$B$11*0.95),0)+IF(AND(Projects!$G$39="Yes",29&gt;=Projects!$C$39,29&lt;Projects!$C$39+Projects!$D$39),IF(29=Projects!$C$39+Projects!$D$39-1,Projects!$B$39*INDEX(Curves!$B$4:$AO$4,1,29-Projects!$C$39+1)*Assumptions!$B$11*0.95+0.05*Projects!$B$39*Assumptions!$B$11,Projects!$B$39*INDEX(Curves!$B$4:$AO$4,1,29-Projects!$C$39+1)*Assumptions!$B$11*0.95),0)+IF(AND(Projects!$G$40="Yes",29&gt;=Projects!$C$40,29&lt;Projects!$C$40+Projects!$D$40),IF(29=Projects!$C$40+Projects!$D$40-1,Projects!$B$40*INDEX(Curves!$B$4:$AO$4,1,29-Projects!$C$40+1)*Assumptions!$B$11*0.95+0.05*Projects!$B$40*Assumptions!$B$11,Projects!$B$40*INDEX(Curves!$B$4:$AO$4,1,29-Projects!$C$40+1)*Assumptions!$B$11*0.95),0)+IF(AND(Projects!$G$41="Yes",29&gt;=Projects!$C$41,29&lt;Projects!$C$41+Projects!$D$41),IF(29=Projects!$C$41+Projects!$D$41-1,Projects!$B$41*INDEX(Curves!$B$4:$AO$4,1,29-Projects!$C$41+1)*Assumptions!$B$11*0.95+0.05*Projects!$B$41*Assumptions!$B$11,Projects!$B$41*INDEX(Curves!$B$4:$AO$4,1,29-Projects!$C$41+1)*Assumptions!$B$11*0.95),0)+IF(AND(Projects!$G$42="Yes",29&gt;=Projects!$C$42,29&lt;Projects!$C$42+Projects!$D$42),IF(29=Projects!$C$42+Projects!$D$42-1,Projects!$B$42*INDEX(Curves!$B$4:$AO$4,1,29-Projects!$C$42+1)*Assumptions!$B$11*0.95+0.05*Projects!$B$42*Assumptions!$B$11,Projects!$B$42*INDEX(Curves!$B$4:$AO$4,1,29-Projects!$C$42+1)*Assumptions!$B$11*0.95),0)+IF(AND(Projects!$G$43="Yes",29&gt;=Projects!$C$43,29&lt;Projects!$C$43+Projects!$D$43),IF(29=Projects!$C$43+Projects!$D$43-1,Projects!$B$43*INDEX(Curves!$B$4:$AO$4,1,29-Projects!$C$43+1)*Assumptions!$B$11*0.95+0.05*Projects!$B$43*Assumptions!$B$11,Projects!$B$43*INDEX(Curves!$B$4:$AO$4,1,29-Projects!$C$43+1)*Assumptions!$B$11*0.95),0)+IF(AND(Projects!$G$44="Yes",29&gt;=Projects!$C$44,29&lt;Projects!$C$44+Projects!$D$44),IF(29=Projects!$C$44+Projects!$D$44-1,Projects!$B$44*INDEX(Curves!$B$4:$AO$4,1,29-Projects!$C$44+1)*Assumptions!$B$11*0.95+0.05*Projects!$B$44*Assumptions!$B$11,Projects!$B$44*INDEX(Curves!$B$4:$AO$4,1,29-Projects!$C$44+1)*Assumptions!$B$11*0.95),0)+IF(AND(Projects!$G$45="Yes",29&gt;=Projects!$C$45,29&lt;Projects!$C$45+Projects!$D$45),IF(29=Projects!$C$45+Projects!$D$45-1,Projects!$B$45*INDEX(Curves!$B$4:$AO$4,1,29-Projects!$C$45+1)*Assumptions!$B$11*0.95+0.05*Projects!$B$45*Assumptions!$B$11,Projects!$B$45*INDEX(Curves!$B$4:$AO$4,1,29-Projects!$C$45+1)*Assumptions!$B$11*0.95),0)+IF(AND(Projects!$G$46="Yes",29&gt;=Projects!$C$46,29&lt;Projects!$C$46+Projects!$D$46),IF(29=Projects!$C$46+Projects!$D$46-1,Projects!$B$46*INDEX(Curves!$B$4:$AO$4,1,29-Projects!$C$46+1)*Assumptions!$B$11*0.95+0.05*Projects!$B$46*Assumptions!$B$11,Projects!$B$46*INDEX(Curves!$B$4:$AO$4,1,29-Projects!$C$46+1)*Assumptions!$B$11*0.95),0)</f>
        <v/>
      </c>
      <c r="AF109">
        <f>IF(AND(Projects!$G$30="Yes",30&gt;=Projects!$C$30,30&lt;Projects!$C$30+Projects!$D$30),IF(30=Projects!$C$30+Projects!$D$30-1,Projects!$B$30*INDEX(Curves!$B$4:$AO$4,1,30-Projects!$C$30+1)*Assumptions!$B$11*0.95+0.05*Projects!$B$30*Assumptions!$B$11,Projects!$B$30*INDEX(Curves!$B$4:$AO$4,1,30-Projects!$C$30+1)*Assumptions!$B$11*0.95),0)+IF(AND(Projects!$G$31="Yes",30&gt;=Projects!$C$31,30&lt;Projects!$C$31+Projects!$D$31),IF(30=Projects!$C$31+Projects!$D$31-1,Projects!$B$31*INDEX(Curves!$B$4:$AO$4,1,30-Projects!$C$31+1)*Assumptions!$B$11*0.95+0.05*Projects!$B$31*Assumptions!$B$11,Projects!$B$31*INDEX(Curves!$B$4:$AO$4,1,30-Projects!$C$31+1)*Assumptions!$B$11*0.95),0)+IF(AND(Projects!$G$32="Yes",30&gt;=Projects!$C$32,30&lt;Projects!$C$32+Projects!$D$32),IF(30=Projects!$C$32+Projects!$D$32-1,Projects!$B$32*INDEX(Curves!$B$4:$AO$4,1,30-Projects!$C$32+1)*Assumptions!$B$11*0.95+0.05*Projects!$B$32*Assumptions!$B$11,Projects!$B$32*INDEX(Curves!$B$4:$AO$4,1,30-Projects!$C$32+1)*Assumptions!$B$11*0.95),0)+IF(AND(Projects!$G$33="Yes",30&gt;=Projects!$C$33,30&lt;Projects!$C$33+Projects!$D$33),IF(30=Projects!$C$33+Projects!$D$33-1,Projects!$B$33*INDEX(Curves!$B$4:$AO$4,1,30-Projects!$C$33+1)*Assumptions!$B$11*0.95+0.05*Projects!$B$33*Assumptions!$B$11,Projects!$B$33*INDEX(Curves!$B$4:$AO$4,1,30-Projects!$C$33+1)*Assumptions!$B$11*0.95),0)+IF(AND(Projects!$G$34="Yes",30&gt;=Projects!$C$34,30&lt;Projects!$C$34+Projects!$D$34),IF(30=Projects!$C$34+Projects!$D$34-1,Projects!$B$34*INDEX(Curves!$B$4:$AO$4,1,30-Projects!$C$34+1)*Assumptions!$B$11*0.95+0.05*Projects!$B$34*Assumptions!$B$11,Projects!$B$34*INDEX(Curves!$B$4:$AO$4,1,30-Projects!$C$34+1)*Assumptions!$B$11*0.95),0)+IF(AND(Projects!$G$35="Yes",30&gt;=Projects!$C$35,30&lt;Projects!$C$35+Projects!$D$35),IF(30=Projects!$C$35+Projects!$D$35-1,Projects!$B$35*INDEX(Curves!$B$4:$AO$4,1,30-Projects!$C$35+1)*Assumptions!$B$11*0.95+0.05*Projects!$B$35*Assumptions!$B$11,Projects!$B$35*INDEX(Curves!$B$4:$AO$4,1,30-Projects!$C$35+1)*Assumptions!$B$11*0.95),0)+IF(AND(Projects!$G$36="Yes",30&gt;=Projects!$C$36,30&lt;Projects!$C$36+Projects!$D$36),IF(30=Projects!$C$36+Projects!$D$36-1,Projects!$B$36*INDEX(Curves!$B$4:$AO$4,1,30-Projects!$C$36+1)*Assumptions!$B$11*0.95+0.05*Projects!$B$36*Assumptions!$B$11,Projects!$B$36*INDEX(Curves!$B$4:$AO$4,1,30-Projects!$C$36+1)*Assumptions!$B$11*0.95),0)+IF(AND(Projects!$G$37="Yes",30&gt;=Projects!$C$37,30&lt;Projects!$C$37+Projects!$D$37),IF(30=Projects!$C$37+Projects!$D$37-1,Projects!$B$37*INDEX(Curves!$B$4:$AO$4,1,30-Projects!$C$37+1)*Assumptions!$B$11*0.95+0.05*Projects!$B$37*Assumptions!$B$11,Projects!$B$37*INDEX(Curves!$B$4:$AO$4,1,30-Projects!$C$37+1)*Assumptions!$B$11*0.95),0)+IF(AND(Projects!$G$38="Yes",30&gt;=Projects!$C$38,30&lt;Projects!$C$38+Projects!$D$38),IF(30=Projects!$C$38+Projects!$D$38-1,Projects!$B$38*INDEX(Curves!$B$4:$AO$4,1,30-Projects!$C$38+1)*Assumptions!$B$11*0.95+0.05*Projects!$B$38*Assumptions!$B$11,Projects!$B$38*INDEX(Curves!$B$4:$AO$4,1,30-Projects!$C$38+1)*Assumptions!$B$11*0.95),0)+IF(AND(Projects!$G$39="Yes",30&gt;=Projects!$C$39,30&lt;Projects!$C$39+Projects!$D$39),IF(30=Projects!$C$39+Projects!$D$39-1,Projects!$B$39*INDEX(Curves!$B$4:$AO$4,1,30-Projects!$C$39+1)*Assumptions!$B$11*0.95+0.05*Projects!$B$39*Assumptions!$B$11,Projects!$B$39*INDEX(Curves!$B$4:$AO$4,1,30-Projects!$C$39+1)*Assumptions!$B$11*0.95),0)+IF(AND(Projects!$G$40="Yes",30&gt;=Projects!$C$40,30&lt;Projects!$C$40+Projects!$D$40),IF(30=Projects!$C$40+Projects!$D$40-1,Projects!$B$40*INDEX(Curves!$B$4:$AO$4,1,30-Projects!$C$40+1)*Assumptions!$B$11*0.95+0.05*Projects!$B$40*Assumptions!$B$11,Projects!$B$40*INDEX(Curves!$B$4:$AO$4,1,30-Projects!$C$40+1)*Assumptions!$B$11*0.95),0)+IF(AND(Projects!$G$41="Yes",30&gt;=Projects!$C$41,30&lt;Projects!$C$41+Projects!$D$41),IF(30=Projects!$C$41+Projects!$D$41-1,Projects!$B$41*INDEX(Curves!$B$4:$AO$4,1,30-Projects!$C$41+1)*Assumptions!$B$11*0.95+0.05*Projects!$B$41*Assumptions!$B$11,Projects!$B$41*INDEX(Curves!$B$4:$AO$4,1,30-Projects!$C$41+1)*Assumptions!$B$11*0.95),0)+IF(AND(Projects!$G$42="Yes",30&gt;=Projects!$C$42,30&lt;Projects!$C$42+Projects!$D$42),IF(30=Projects!$C$42+Projects!$D$42-1,Projects!$B$42*INDEX(Curves!$B$4:$AO$4,1,30-Projects!$C$42+1)*Assumptions!$B$11*0.95+0.05*Projects!$B$42*Assumptions!$B$11,Projects!$B$42*INDEX(Curves!$B$4:$AO$4,1,30-Projects!$C$42+1)*Assumptions!$B$11*0.95),0)+IF(AND(Projects!$G$43="Yes",30&gt;=Projects!$C$43,30&lt;Projects!$C$43+Projects!$D$43),IF(30=Projects!$C$43+Projects!$D$43-1,Projects!$B$43*INDEX(Curves!$B$4:$AO$4,1,30-Projects!$C$43+1)*Assumptions!$B$11*0.95+0.05*Projects!$B$43*Assumptions!$B$11,Projects!$B$43*INDEX(Curves!$B$4:$AO$4,1,30-Projects!$C$43+1)*Assumptions!$B$11*0.95),0)+IF(AND(Projects!$G$44="Yes",30&gt;=Projects!$C$44,30&lt;Projects!$C$44+Projects!$D$44),IF(30=Projects!$C$44+Projects!$D$44-1,Projects!$B$44*INDEX(Curves!$B$4:$AO$4,1,30-Projects!$C$44+1)*Assumptions!$B$11*0.95+0.05*Projects!$B$44*Assumptions!$B$11,Projects!$B$44*INDEX(Curves!$B$4:$AO$4,1,30-Projects!$C$44+1)*Assumptions!$B$11*0.95),0)+IF(AND(Projects!$G$45="Yes",30&gt;=Projects!$C$45,30&lt;Projects!$C$45+Projects!$D$45),IF(30=Projects!$C$45+Projects!$D$45-1,Projects!$B$45*INDEX(Curves!$B$4:$AO$4,1,30-Projects!$C$45+1)*Assumptions!$B$11*0.95+0.05*Projects!$B$45*Assumptions!$B$11,Projects!$B$45*INDEX(Curves!$B$4:$AO$4,1,30-Projects!$C$45+1)*Assumptions!$B$11*0.95),0)+IF(AND(Projects!$G$46="Yes",30&gt;=Projects!$C$46,30&lt;Projects!$C$46+Projects!$D$46),IF(30=Projects!$C$46+Projects!$D$46-1,Projects!$B$46*INDEX(Curves!$B$4:$AO$4,1,30-Projects!$C$46+1)*Assumptions!$B$11*0.95+0.05*Projects!$B$46*Assumptions!$B$11,Projects!$B$46*INDEX(Curves!$B$4:$AO$4,1,30-Projects!$C$46+1)*Assumptions!$B$11*0.95),0)</f>
        <v/>
      </c>
      <c r="AG109">
        <f>IF(AND(Projects!$G$30="Yes",31&gt;=Projects!$C$30,31&lt;Projects!$C$30+Projects!$D$30),IF(31=Projects!$C$30+Projects!$D$30-1,Projects!$B$30*INDEX(Curves!$B$4:$AO$4,1,31-Projects!$C$30+1)*Assumptions!$B$11*0.95+0.05*Projects!$B$30*Assumptions!$B$11,Projects!$B$30*INDEX(Curves!$B$4:$AO$4,1,31-Projects!$C$30+1)*Assumptions!$B$11*0.95),0)+IF(AND(Projects!$G$31="Yes",31&gt;=Projects!$C$31,31&lt;Projects!$C$31+Projects!$D$31),IF(31=Projects!$C$31+Projects!$D$31-1,Projects!$B$31*INDEX(Curves!$B$4:$AO$4,1,31-Projects!$C$31+1)*Assumptions!$B$11*0.95+0.05*Projects!$B$31*Assumptions!$B$11,Projects!$B$31*INDEX(Curves!$B$4:$AO$4,1,31-Projects!$C$31+1)*Assumptions!$B$11*0.95),0)+IF(AND(Projects!$G$32="Yes",31&gt;=Projects!$C$32,31&lt;Projects!$C$32+Projects!$D$32),IF(31=Projects!$C$32+Projects!$D$32-1,Projects!$B$32*INDEX(Curves!$B$4:$AO$4,1,31-Projects!$C$32+1)*Assumptions!$B$11*0.95+0.05*Projects!$B$32*Assumptions!$B$11,Projects!$B$32*INDEX(Curves!$B$4:$AO$4,1,31-Projects!$C$32+1)*Assumptions!$B$11*0.95),0)+IF(AND(Projects!$G$33="Yes",31&gt;=Projects!$C$33,31&lt;Projects!$C$33+Projects!$D$33),IF(31=Projects!$C$33+Projects!$D$33-1,Projects!$B$33*INDEX(Curves!$B$4:$AO$4,1,31-Projects!$C$33+1)*Assumptions!$B$11*0.95+0.05*Projects!$B$33*Assumptions!$B$11,Projects!$B$33*INDEX(Curves!$B$4:$AO$4,1,31-Projects!$C$33+1)*Assumptions!$B$11*0.95),0)+IF(AND(Projects!$G$34="Yes",31&gt;=Projects!$C$34,31&lt;Projects!$C$34+Projects!$D$34),IF(31=Projects!$C$34+Projects!$D$34-1,Projects!$B$34*INDEX(Curves!$B$4:$AO$4,1,31-Projects!$C$34+1)*Assumptions!$B$11*0.95+0.05*Projects!$B$34*Assumptions!$B$11,Projects!$B$34*INDEX(Curves!$B$4:$AO$4,1,31-Projects!$C$34+1)*Assumptions!$B$11*0.95),0)+IF(AND(Projects!$G$35="Yes",31&gt;=Projects!$C$35,31&lt;Projects!$C$35+Projects!$D$35),IF(31=Projects!$C$35+Projects!$D$35-1,Projects!$B$35*INDEX(Curves!$B$4:$AO$4,1,31-Projects!$C$35+1)*Assumptions!$B$11*0.95+0.05*Projects!$B$35*Assumptions!$B$11,Projects!$B$35*INDEX(Curves!$B$4:$AO$4,1,31-Projects!$C$35+1)*Assumptions!$B$11*0.95),0)+IF(AND(Projects!$G$36="Yes",31&gt;=Projects!$C$36,31&lt;Projects!$C$36+Projects!$D$36),IF(31=Projects!$C$36+Projects!$D$36-1,Projects!$B$36*INDEX(Curves!$B$4:$AO$4,1,31-Projects!$C$36+1)*Assumptions!$B$11*0.95+0.05*Projects!$B$36*Assumptions!$B$11,Projects!$B$36*INDEX(Curves!$B$4:$AO$4,1,31-Projects!$C$36+1)*Assumptions!$B$11*0.95),0)+IF(AND(Projects!$G$37="Yes",31&gt;=Projects!$C$37,31&lt;Projects!$C$37+Projects!$D$37),IF(31=Projects!$C$37+Projects!$D$37-1,Projects!$B$37*INDEX(Curves!$B$4:$AO$4,1,31-Projects!$C$37+1)*Assumptions!$B$11*0.95+0.05*Projects!$B$37*Assumptions!$B$11,Projects!$B$37*INDEX(Curves!$B$4:$AO$4,1,31-Projects!$C$37+1)*Assumptions!$B$11*0.95),0)+IF(AND(Projects!$G$38="Yes",31&gt;=Projects!$C$38,31&lt;Projects!$C$38+Projects!$D$38),IF(31=Projects!$C$38+Projects!$D$38-1,Projects!$B$38*INDEX(Curves!$B$4:$AO$4,1,31-Projects!$C$38+1)*Assumptions!$B$11*0.95+0.05*Projects!$B$38*Assumptions!$B$11,Projects!$B$38*INDEX(Curves!$B$4:$AO$4,1,31-Projects!$C$38+1)*Assumptions!$B$11*0.95),0)+IF(AND(Projects!$G$39="Yes",31&gt;=Projects!$C$39,31&lt;Projects!$C$39+Projects!$D$39),IF(31=Projects!$C$39+Projects!$D$39-1,Projects!$B$39*INDEX(Curves!$B$4:$AO$4,1,31-Projects!$C$39+1)*Assumptions!$B$11*0.95+0.05*Projects!$B$39*Assumptions!$B$11,Projects!$B$39*INDEX(Curves!$B$4:$AO$4,1,31-Projects!$C$39+1)*Assumptions!$B$11*0.95),0)+IF(AND(Projects!$G$40="Yes",31&gt;=Projects!$C$40,31&lt;Projects!$C$40+Projects!$D$40),IF(31=Projects!$C$40+Projects!$D$40-1,Projects!$B$40*INDEX(Curves!$B$4:$AO$4,1,31-Projects!$C$40+1)*Assumptions!$B$11*0.95+0.05*Projects!$B$40*Assumptions!$B$11,Projects!$B$40*INDEX(Curves!$B$4:$AO$4,1,31-Projects!$C$40+1)*Assumptions!$B$11*0.95),0)+IF(AND(Projects!$G$41="Yes",31&gt;=Projects!$C$41,31&lt;Projects!$C$41+Projects!$D$41),IF(31=Projects!$C$41+Projects!$D$41-1,Projects!$B$41*INDEX(Curves!$B$4:$AO$4,1,31-Projects!$C$41+1)*Assumptions!$B$11*0.95+0.05*Projects!$B$41*Assumptions!$B$11,Projects!$B$41*INDEX(Curves!$B$4:$AO$4,1,31-Projects!$C$41+1)*Assumptions!$B$11*0.95),0)+IF(AND(Projects!$G$42="Yes",31&gt;=Projects!$C$42,31&lt;Projects!$C$42+Projects!$D$42),IF(31=Projects!$C$42+Projects!$D$42-1,Projects!$B$42*INDEX(Curves!$B$4:$AO$4,1,31-Projects!$C$42+1)*Assumptions!$B$11*0.95+0.05*Projects!$B$42*Assumptions!$B$11,Projects!$B$42*INDEX(Curves!$B$4:$AO$4,1,31-Projects!$C$42+1)*Assumptions!$B$11*0.95),0)+IF(AND(Projects!$G$43="Yes",31&gt;=Projects!$C$43,31&lt;Projects!$C$43+Projects!$D$43),IF(31=Projects!$C$43+Projects!$D$43-1,Projects!$B$43*INDEX(Curves!$B$4:$AO$4,1,31-Projects!$C$43+1)*Assumptions!$B$11*0.95+0.05*Projects!$B$43*Assumptions!$B$11,Projects!$B$43*INDEX(Curves!$B$4:$AO$4,1,31-Projects!$C$43+1)*Assumptions!$B$11*0.95),0)+IF(AND(Projects!$G$44="Yes",31&gt;=Projects!$C$44,31&lt;Projects!$C$44+Projects!$D$44),IF(31=Projects!$C$44+Projects!$D$44-1,Projects!$B$44*INDEX(Curves!$B$4:$AO$4,1,31-Projects!$C$44+1)*Assumptions!$B$11*0.95+0.05*Projects!$B$44*Assumptions!$B$11,Projects!$B$44*INDEX(Curves!$B$4:$AO$4,1,31-Projects!$C$44+1)*Assumptions!$B$11*0.95),0)+IF(AND(Projects!$G$45="Yes",31&gt;=Projects!$C$45,31&lt;Projects!$C$45+Projects!$D$45),IF(31=Projects!$C$45+Projects!$D$45-1,Projects!$B$45*INDEX(Curves!$B$4:$AO$4,1,31-Projects!$C$45+1)*Assumptions!$B$11*0.95+0.05*Projects!$B$45*Assumptions!$B$11,Projects!$B$45*INDEX(Curves!$B$4:$AO$4,1,31-Projects!$C$45+1)*Assumptions!$B$11*0.95),0)+IF(AND(Projects!$G$46="Yes",31&gt;=Projects!$C$46,31&lt;Projects!$C$46+Projects!$D$46),IF(31=Projects!$C$46+Projects!$D$46-1,Projects!$B$46*INDEX(Curves!$B$4:$AO$4,1,31-Projects!$C$46+1)*Assumptions!$B$11*0.95+0.05*Projects!$B$46*Assumptions!$B$11,Projects!$B$46*INDEX(Curves!$B$4:$AO$4,1,31-Projects!$C$46+1)*Assumptions!$B$11*0.95),0)</f>
        <v/>
      </c>
      <c r="AH109">
        <f>IF(AND(Projects!$G$30="Yes",32&gt;=Projects!$C$30,32&lt;Projects!$C$30+Projects!$D$30),IF(32=Projects!$C$30+Projects!$D$30-1,Projects!$B$30*INDEX(Curves!$B$4:$AO$4,1,32-Projects!$C$30+1)*Assumptions!$B$11*0.95+0.05*Projects!$B$30*Assumptions!$B$11,Projects!$B$30*INDEX(Curves!$B$4:$AO$4,1,32-Projects!$C$30+1)*Assumptions!$B$11*0.95),0)+IF(AND(Projects!$G$31="Yes",32&gt;=Projects!$C$31,32&lt;Projects!$C$31+Projects!$D$31),IF(32=Projects!$C$31+Projects!$D$31-1,Projects!$B$31*INDEX(Curves!$B$4:$AO$4,1,32-Projects!$C$31+1)*Assumptions!$B$11*0.95+0.05*Projects!$B$31*Assumptions!$B$11,Projects!$B$31*INDEX(Curves!$B$4:$AO$4,1,32-Projects!$C$31+1)*Assumptions!$B$11*0.95),0)+IF(AND(Projects!$G$32="Yes",32&gt;=Projects!$C$32,32&lt;Projects!$C$32+Projects!$D$32),IF(32=Projects!$C$32+Projects!$D$32-1,Projects!$B$32*INDEX(Curves!$B$4:$AO$4,1,32-Projects!$C$32+1)*Assumptions!$B$11*0.95+0.05*Projects!$B$32*Assumptions!$B$11,Projects!$B$32*INDEX(Curves!$B$4:$AO$4,1,32-Projects!$C$32+1)*Assumptions!$B$11*0.95),0)+IF(AND(Projects!$G$33="Yes",32&gt;=Projects!$C$33,32&lt;Projects!$C$33+Projects!$D$33),IF(32=Projects!$C$33+Projects!$D$33-1,Projects!$B$33*INDEX(Curves!$B$4:$AO$4,1,32-Projects!$C$33+1)*Assumptions!$B$11*0.95+0.05*Projects!$B$33*Assumptions!$B$11,Projects!$B$33*INDEX(Curves!$B$4:$AO$4,1,32-Projects!$C$33+1)*Assumptions!$B$11*0.95),0)+IF(AND(Projects!$G$34="Yes",32&gt;=Projects!$C$34,32&lt;Projects!$C$34+Projects!$D$34),IF(32=Projects!$C$34+Projects!$D$34-1,Projects!$B$34*INDEX(Curves!$B$4:$AO$4,1,32-Projects!$C$34+1)*Assumptions!$B$11*0.95+0.05*Projects!$B$34*Assumptions!$B$11,Projects!$B$34*INDEX(Curves!$B$4:$AO$4,1,32-Projects!$C$34+1)*Assumptions!$B$11*0.95),0)+IF(AND(Projects!$G$35="Yes",32&gt;=Projects!$C$35,32&lt;Projects!$C$35+Projects!$D$35),IF(32=Projects!$C$35+Projects!$D$35-1,Projects!$B$35*INDEX(Curves!$B$4:$AO$4,1,32-Projects!$C$35+1)*Assumptions!$B$11*0.95+0.05*Projects!$B$35*Assumptions!$B$11,Projects!$B$35*INDEX(Curves!$B$4:$AO$4,1,32-Projects!$C$35+1)*Assumptions!$B$11*0.95),0)+IF(AND(Projects!$G$36="Yes",32&gt;=Projects!$C$36,32&lt;Projects!$C$36+Projects!$D$36),IF(32=Projects!$C$36+Projects!$D$36-1,Projects!$B$36*INDEX(Curves!$B$4:$AO$4,1,32-Projects!$C$36+1)*Assumptions!$B$11*0.95+0.05*Projects!$B$36*Assumptions!$B$11,Projects!$B$36*INDEX(Curves!$B$4:$AO$4,1,32-Projects!$C$36+1)*Assumptions!$B$11*0.95),0)+IF(AND(Projects!$G$37="Yes",32&gt;=Projects!$C$37,32&lt;Projects!$C$37+Projects!$D$37),IF(32=Projects!$C$37+Projects!$D$37-1,Projects!$B$37*INDEX(Curves!$B$4:$AO$4,1,32-Projects!$C$37+1)*Assumptions!$B$11*0.95+0.05*Projects!$B$37*Assumptions!$B$11,Projects!$B$37*INDEX(Curves!$B$4:$AO$4,1,32-Projects!$C$37+1)*Assumptions!$B$11*0.95),0)+IF(AND(Projects!$G$38="Yes",32&gt;=Projects!$C$38,32&lt;Projects!$C$38+Projects!$D$38),IF(32=Projects!$C$38+Projects!$D$38-1,Projects!$B$38*INDEX(Curves!$B$4:$AO$4,1,32-Projects!$C$38+1)*Assumptions!$B$11*0.95+0.05*Projects!$B$38*Assumptions!$B$11,Projects!$B$38*INDEX(Curves!$B$4:$AO$4,1,32-Projects!$C$38+1)*Assumptions!$B$11*0.95),0)+IF(AND(Projects!$G$39="Yes",32&gt;=Projects!$C$39,32&lt;Projects!$C$39+Projects!$D$39),IF(32=Projects!$C$39+Projects!$D$39-1,Projects!$B$39*INDEX(Curves!$B$4:$AO$4,1,32-Projects!$C$39+1)*Assumptions!$B$11*0.95+0.05*Projects!$B$39*Assumptions!$B$11,Projects!$B$39*INDEX(Curves!$B$4:$AO$4,1,32-Projects!$C$39+1)*Assumptions!$B$11*0.95),0)+IF(AND(Projects!$G$40="Yes",32&gt;=Projects!$C$40,32&lt;Projects!$C$40+Projects!$D$40),IF(32=Projects!$C$40+Projects!$D$40-1,Projects!$B$40*INDEX(Curves!$B$4:$AO$4,1,32-Projects!$C$40+1)*Assumptions!$B$11*0.95+0.05*Projects!$B$40*Assumptions!$B$11,Projects!$B$40*INDEX(Curves!$B$4:$AO$4,1,32-Projects!$C$40+1)*Assumptions!$B$11*0.95),0)+IF(AND(Projects!$G$41="Yes",32&gt;=Projects!$C$41,32&lt;Projects!$C$41+Projects!$D$41),IF(32=Projects!$C$41+Projects!$D$41-1,Projects!$B$41*INDEX(Curves!$B$4:$AO$4,1,32-Projects!$C$41+1)*Assumptions!$B$11*0.95+0.05*Projects!$B$41*Assumptions!$B$11,Projects!$B$41*INDEX(Curves!$B$4:$AO$4,1,32-Projects!$C$41+1)*Assumptions!$B$11*0.95),0)+IF(AND(Projects!$G$42="Yes",32&gt;=Projects!$C$42,32&lt;Projects!$C$42+Projects!$D$42),IF(32=Projects!$C$42+Projects!$D$42-1,Projects!$B$42*INDEX(Curves!$B$4:$AO$4,1,32-Projects!$C$42+1)*Assumptions!$B$11*0.95+0.05*Projects!$B$42*Assumptions!$B$11,Projects!$B$42*INDEX(Curves!$B$4:$AO$4,1,32-Projects!$C$42+1)*Assumptions!$B$11*0.95),0)+IF(AND(Projects!$G$43="Yes",32&gt;=Projects!$C$43,32&lt;Projects!$C$43+Projects!$D$43),IF(32=Projects!$C$43+Projects!$D$43-1,Projects!$B$43*INDEX(Curves!$B$4:$AO$4,1,32-Projects!$C$43+1)*Assumptions!$B$11*0.95+0.05*Projects!$B$43*Assumptions!$B$11,Projects!$B$43*INDEX(Curves!$B$4:$AO$4,1,32-Projects!$C$43+1)*Assumptions!$B$11*0.95),0)+IF(AND(Projects!$G$44="Yes",32&gt;=Projects!$C$44,32&lt;Projects!$C$44+Projects!$D$44),IF(32=Projects!$C$44+Projects!$D$44-1,Projects!$B$44*INDEX(Curves!$B$4:$AO$4,1,32-Projects!$C$44+1)*Assumptions!$B$11*0.95+0.05*Projects!$B$44*Assumptions!$B$11,Projects!$B$44*INDEX(Curves!$B$4:$AO$4,1,32-Projects!$C$44+1)*Assumptions!$B$11*0.95),0)+IF(AND(Projects!$G$45="Yes",32&gt;=Projects!$C$45,32&lt;Projects!$C$45+Projects!$D$45),IF(32=Projects!$C$45+Projects!$D$45-1,Projects!$B$45*INDEX(Curves!$B$4:$AO$4,1,32-Projects!$C$45+1)*Assumptions!$B$11*0.95+0.05*Projects!$B$45*Assumptions!$B$11,Projects!$B$45*INDEX(Curves!$B$4:$AO$4,1,32-Projects!$C$45+1)*Assumptions!$B$11*0.95),0)+IF(AND(Projects!$G$46="Yes",32&gt;=Projects!$C$46,32&lt;Projects!$C$46+Projects!$D$46),IF(32=Projects!$C$46+Projects!$D$46-1,Projects!$B$46*INDEX(Curves!$B$4:$AO$4,1,32-Projects!$C$46+1)*Assumptions!$B$11*0.95+0.05*Projects!$B$46*Assumptions!$B$11,Projects!$B$46*INDEX(Curves!$B$4:$AO$4,1,32-Projects!$C$46+1)*Assumptions!$B$11*0.95),0)</f>
        <v/>
      </c>
      <c r="AI109">
        <f>IF(AND(Projects!$G$30="Yes",33&gt;=Projects!$C$30,33&lt;Projects!$C$30+Projects!$D$30),IF(33=Projects!$C$30+Projects!$D$30-1,Projects!$B$30*INDEX(Curves!$B$4:$AO$4,1,33-Projects!$C$30+1)*Assumptions!$B$11*0.95+0.05*Projects!$B$30*Assumptions!$B$11,Projects!$B$30*INDEX(Curves!$B$4:$AO$4,1,33-Projects!$C$30+1)*Assumptions!$B$11*0.95),0)+IF(AND(Projects!$G$31="Yes",33&gt;=Projects!$C$31,33&lt;Projects!$C$31+Projects!$D$31),IF(33=Projects!$C$31+Projects!$D$31-1,Projects!$B$31*INDEX(Curves!$B$4:$AO$4,1,33-Projects!$C$31+1)*Assumptions!$B$11*0.95+0.05*Projects!$B$31*Assumptions!$B$11,Projects!$B$31*INDEX(Curves!$B$4:$AO$4,1,33-Projects!$C$31+1)*Assumptions!$B$11*0.95),0)+IF(AND(Projects!$G$32="Yes",33&gt;=Projects!$C$32,33&lt;Projects!$C$32+Projects!$D$32),IF(33=Projects!$C$32+Projects!$D$32-1,Projects!$B$32*INDEX(Curves!$B$4:$AO$4,1,33-Projects!$C$32+1)*Assumptions!$B$11*0.95+0.05*Projects!$B$32*Assumptions!$B$11,Projects!$B$32*INDEX(Curves!$B$4:$AO$4,1,33-Projects!$C$32+1)*Assumptions!$B$11*0.95),0)+IF(AND(Projects!$G$33="Yes",33&gt;=Projects!$C$33,33&lt;Projects!$C$33+Projects!$D$33),IF(33=Projects!$C$33+Projects!$D$33-1,Projects!$B$33*INDEX(Curves!$B$4:$AO$4,1,33-Projects!$C$33+1)*Assumptions!$B$11*0.95+0.05*Projects!$B$33*Assumptions!$B$11,Projects!$B$33*INDEX(Curves!$B$4:$AO$4,1,33-Projects!$C$33+1)*Assumptions!$B$11*0.95),0)+IF(AND(Projects!$G$34="Yes",33&gt;=Projects!$C$34,33&lt;Projects!$C$34+Projects!$D$34),IF(33=Projects!$C$34+Projects!$D$34-1,Projects!$B$34*INDEX(Curves!$B$4:$AO$4,1,33-Projects!$C$34+1)*Assumptions!$B$11*0.95+0.05*Projects!$B$34*Assumptions!$B$11,Projects!$B$34*INDEX(Curves!$B$4:$AO$4,1,33-Projects!$C$34+1)*Assumptions!$B$11*0.95),0)+IF(AND(Projects!$G$35="Yes",33&gt;=Projects!$C$35,33&lt;Projects!$C$35+Projects!$D$35),IF(33=Projects!$C$35+Projects!$D$35-1,Projects!$B$35*INDEX(Curves!$B$4:$AO$4,1,33-Projects!$C$35+1)*Assumptions!$B$11*0.95+0.05*Projects!$B$35*Assumptions!$B$11,Projects!$B$35*INDEX(Curves!$B$4:$AO$4,1,33-Projects!$C$35+1)*Assumptions!$B$11*0.95),0)+IF(AND(Projects!$G$36="Yes",33&gt;=Projects!$C$36,33&lt;Projects!$C$36+Projects!$D$36),IF(33=Projects!$C$36+Projects!$D$36-1,Projects!$B$36*INDEX(Curves!$B$4:$AO$4,1,33-Projects!$C$36+1)*Assumptions!$B$11*0.95+0.05*Projects!$B$36*Assumptions!$B$11,Projects!$B$36*INDEX(Curves!$B$4:$AO$4,1,33-Projects!$C$36+1)*Assumptions!$B$11*0.95),0)+IF(AND(Projects!$G$37="Yes",33&gt;=Projects!$C$37,33&lt;Projects!$C$37+Projects!$D$37),IF(33=Projects!$C$37+Projects!$D$37-1,Projects!$B$37*INDEX(Curves!$B$4:$AO$4,1,33-Projects!$C$37+1)*Assumptions!$B$11*0.95+0.05*Projects!$B$37*Assumptions!$B$11,Projects!$B$37*INDEX(Curves!$B$4:$AO$4,1,33-Projects!$C$37+1)*Assumptions!$B$11*0.95),0)+IF(AND(Projects!$G$38="Yes",33&gt;=Projects!$C$38,33&lt;Projects!$C$38+Projects!$D$38),IF(33=Projects!$C$38+Projects!$D$38-1,Projects!$B$38*INDEX(Curves!$B$4:$AO$4,1,33-Projects!$C$38+1)*Assumptions!$B$11*0.95+0.05*Projects!$B$38*Assumptions!$B$11,Projects!$B$38*INDEX(Curves!$B$4:$AO$4,1,33-Projects!$C$38+1)*Assumptions!$B$11*0.95),0)+IF(AND(Projects!$G$39="Yes",33&gt;=Projects!$C$39,33&lt;Projects!$C$39+Projects!$D$39),IF(33=Projects!$C$39+Projects!$D$39-1,Projects!$B$39*INDEX(Curves!$B$4:$AO$4,1,33-Projects!$C$39+1)*Assumptions!$B$11*0.95+0.05*Projects!$B$39*Assumptions!$B$11,Projects!$B$39*INDEX(Curves!$B$4:$AO$4,1,33-Projects!$C$39+1)*Assumptions!$B$11*0.95),0)+IF(AND(Projects!$G$40="Yes",33&gt;=Projects!$C$40,33&lt;Projects!$C$40+Projects!$D$40),IF(33=Projects!$C$40+Projects!$D$40-1,Projects!$B$40*INDEX(Curves!$B$4:$AO$4,1,33-Projects!$C$40+1)*Assumptions!$B$11*0.95+0.05*Projects!$B$40*Assumptions!$B$11,Projects!$B$40*INDEX(Curves!$B$4:$AO$4,1,33-Projects!$C$40+1)*Assumptions!$B$11*0.95),0)+IF(AND(Projects!$G$41="Yes",33&gt;=Projects!$C$41,33&lt;Projects!$C$41+Projects!$D$41),IF(33=Projects!$C$41+Projects!$D$41-1,Projects!$B$41*INDEX(Curves!$B$4:$AO$4,1,33-Projects!$C$41+1)*Assumptions!$B$11*0.95+0.05*Projects!$B$41*Assumptions!$B$11,Projects!$B$41*INDEX(Curves!$B$4:$AO$4,1,33-Projects!$C$41+1)*Assumptions!$B$11*0.95),0)+IF(AND(Projects!$G$42="Yes",33&gt;=Projects!$C$42,33&lt;Projects!$C$42+Projects!$D$42),IF(33=Projects!$C$42+Projects!$D$42-1,Projects!$B$42*INDEX(Curves!$B$4:$AO$4,1,33-Projects!$C$42+1)*Assumptions!$B$11*0.95+0.05*Projects!$B$42*Assumptions!$B$11,Projects!$B$42*INDEX(Curves!$B$4:$AO$4,1,33-Projects!$C$42+1)*Assumptions!$B$11*0.95),0)+IF(AND(Projects!$G$43="Yes",33&gt;=Projects!$C$43,33&lt;Projects!$C$43+Projects!$D$43),IF(33=Projects!$C$43+Projects!$D$43-1,Projects!$B$43*INDEX(Curves!$B$4:$AO$4,1,33-Projects!$C$43+1)*Assumptions!$B$11*0.95+0.05*Projects!$B$43*Assumptions!$B$11,Projects!$B$43*INDEX(Curves!$B$4:$AO$4,1,33-Projects!$C$43+1)*Assumptions!$B$11*0.95),0)+IF(AND(Projects!$G$44="Yes",33&gt;=Projects!$C$44,33&lt;Projects!$C$44+Projects!$D$44),IF(33=Projects!$C$44+Projects!$D$44-1,Projects!$B$44*INDEX(Curves!$B$4:$AO$4,1,33-Projects!$C$44+1)*Assumptions!$B$11*0.95+0.05*Projects!$B$44*Assumptions!$B$11,Projects!$B$44*INDEX(Curves!$B$4:$AO$4,1,33-Projects!$C$44+1)*Assumptions!$B$11*0.95),0)+IF(AND(Projects!$G$45="Yes",33&gt;=Projects!$C$45,33&lt;Projects!$C$45+Projects!$D$45),IF(33=Projects!$C$45+Projects!$D$45-1,Projects!$B$45*INDEX(Curves!$B$4:$AO$4,1,33-Projects!$C$45+1)*Assumptions!$B$11*0.95+0.05*Projects!$B$45*Assumptions!$B$11,Projects!$B$45*INDEX(Curves!$B$4:$AO$4,1,33-Projects!$C$45+1)*Assumptions!$B$11*0.95),0)+IF(AND(Projects!$G$46="Yes",33&gt;=Projects!$C$46,33&lt;Projects!$C$46+Projects!$D$46),IF(33=Projects!$C$46+Projects!$D$46-1,Projects!$B$46*INDEX(Curves!$B$4:$AO$4,1,33-Projects!$C$46+1)*Assumptions!$B$11*0.95+0.05*Projects!$B$46*Assumptions!$B$11,Projects!$B$46*INDEX(Curves!$B$4:$AO$4,1,33-Projects!$C$46+1)*Assumptions!$B$11*0.95),0)</f>
        <v/>
      </c>
      <c r="AJ109">
        <f>IF(AND(Projects!$G$30="Yes",34&gt;=Projects!$C$30,34&lt;Projects!$C$30+Projects!$D$30),IF(34=Projects!$C$30+Projects!$D$30-1,Projects!$B$30*INDEX(Curves!$B$4:$AO$4,1,34-Projects!$C$30+1)*Assumptions!$B$11*0.95+0.05*Projects!$B$30*Assumptions!$B$11,Projects!$B$30*INDEX(Curves!$B$4:$AO$4,1,34-Projects!$C$30+1)*Assumptions!$B$11*0.95),0)+IF(AND(Projects!$G$31="Yes",34&gt;=Projects!$C$31,34&lt;Projects!$C$31+Projects!$D$31),IF(34=Projects!$C$31+Projects!$D$31-1,Projects!$B$31*INDEX(Curves!$B$4:$AO$4,1,34-Projects!$C$31+1)*Assumptions!$B$11*0.95+0.05*Projects!$B$31*Assumptions!$B$11,Projects!$B$31*INDEX(Curves!$B$4:$AO$4,1,34-Projects!$C$31+1)*Assumptions!$B$11*0.95),0)+IF(AND(Projects!$G$32="Yes",34&gt;=Projects!$C$32,34&lt;Projects!$C$32+Projects!$D$32),IF(34=Projects!$C$32+Projects!$D$32-1,Projects!$B$32*INDEX(Curves!$B$4:$AO$4,1,34-Projects!$C$32+1)*Assumptions!$B$11*0.95+0.05*Projects!$B$32*Assumptions!$B$11,Projects!$B$32*INDEX(Curves!$B$4:$AO$4,1,34-Projects!$C$32+1)*Assumptions!$B$11*0.95),0)+IF(AND(Projects!$G$33="Yes",34&gt;=Projects!$C$33,34&lt;Projects!$C$33+Projects!$D$33),IF(34=Projects!$C$33+Projects!$D$33-1,Projects!$B$33*INDEX(Curves!$B$4:$AO$4,1,34-Projects!$C$33+1)*Assumptions!$B$11*0.95+0.05*Projects!$B$33*Assumptions!$B$11,Projects!$B$33*INDEX(Curves!$B$4:$AO$4,1,34-Projects!$C$33+1)*Assumptions!$B$11*0.95),0)+IF(AND(Projects!$G$34="Yes",34&gt;=Projects!$C$34,34&lt;Projects!$C$34+Projects!$D$34),IF(34=Projects!$C$34+Projects!$D$34-1,Projects!$B$34*INDEX(Curves!$B$4:$AO$4,1,34-Projects!$C$34+1)*Assumptions!$B$11*0.95+0.05*Projects!$B$34*Assumptions!$B$11,Projects!$B$34*INDEX(Curves!$B$4:$AO$4,1,34-Projects!$C$34+1)*Assumptions!$B$11*0.95),0)+IF(AND(Projects!$G$35="Yes",34&gt;=Projects!$C$35,34&lt;Projects!$C$35+Projects!$D$35),IF(34=Projects!$C$35+Projects!$D$35-1,Projects!$B$35*INDEX(Curves!$B$4:$AO$4,1,34-Projects!$C$35+1)*Assumptions!$B$11*0.95+0.05*Projects!$B$35*Assumptions!$B$11,Projects!$B$35*INDEX(Curves!$B$4:$AO$4,1,34-Projects!$C$35+1)*Assumptions!$B$11*0.95),0)+IF(AND(Projects!$G$36="Yes",34&gt;=Projects!$C$36,34&lt;Projects!$C$36+Projects!$D$36),IF(34=Projects!$C$36+Projects!$D$36-1,Projects!$B$36*INDEX(Curves!$B$4:$AO$4,1,34-Projects!$C$36+1)*Assumptions!$B$11*0.95+0.05*Projects!$B$36*Assumptions!$B$11,Projects!$B$36*INDEX(Curves!$B$4:$AO$4,1,34-Projects!$C$36+1)*Assumptions!$B$11*0.95),0)+IF(AND(Projects!$G$37="Yes",34&gt;=Projects!$C$37,34&lt;Projects!$C$37+Projects!$D$37),IF(34=Projects!$C$37+Projects!$D$37-1,Projects!$B$37*INDEX(Curves!$B$4:$AO$4,1,34-Projects!$C$37+1)*Assumptions!$B$11*0.95+0.05*Projects!$B$37*Assumptions!$B$11,Projects!$B$37*INDEX(Curves!$B$4:$AO$4,1,34-Projects!$C$37+1)*Assumptions!$B$11*0.95),0)+IF(AND(Projects!$G$38="Yes",34&gt;=Projects!$C$38,34&lt;Projects!$C$38+Projects!$D$38),IF(34=Projects!$C$38+Projects!$D$38-1,Projects!$B$38*INDEX(Curves!$B$4:$AO$4,1,34-Projects!$C$38+1)*Assumptions!$B$11*0.95+0.05*Projects!$B$38*Assumptions!$B$11,Projects!$B$38*INDEX(Curves!$B$4:$AO$4,1,34-Projects!$C$38+1)*Assumptions!$B$11*0.95),0)+IF(AND(Projects!$G$39="Yes",34&gt;=Projects!$C$39,34&lt;Projects!$C$39+Projects!$D$39),IF(34=Projects!$C$39+Projects!$D$39-1,Projects!$B$39*INDEX(Curves!$B$4:$AO$4,1,34-Projects!$C$39+1)*Assumptions!$B$11*0.95+0.05*Projects!$B$39*Assumptions!$B$11,Projects!$B$39*INDEX(Curves!$B$4:$AO$4,1,34-Projects!$C$39+1)*Assumptions!$B$11*0.95),0)+IF(AND(Projects!$G$40="Yes",34&gt;=Projects!$C$40,34&lt;Projects!$C$40+Projects!$D$40),IF(34=Projects!$C$40+Projects!$D$40-1,Projects!$B$40*INDEX(Curves!$B$4:$AO$4,1,34-Projects!$C$40+1)*Assumptions!$B$11*0.95+0.05*Projects!$B$40*Assumptions!$B$11,Projects!$B$40*INDEX(Curves!$B$4:$AO$4,1,34-Projects!$C$40+1)*Assumptions!$B$11*0.95),0)+IF(AND(Projects!$G$41="Yes",34&gt;=Projects!$C$41,34&lt;Projects!$C$41+Projects!$D$41),IF(34=Projects!$C$41+Projects!$D$41-1,Projects!$B$41*INDEX(Curves!$B$4:$AO$4,1,34-Projects!$C$41+1)*Assumptions!$B$11*0.95+0.05*Projects!$B$41*Assumptions!$B$11,Projects!$B$41*INDEX(Curves!$B$4:$AO$4,1,34-Projects!$C$41+1)*Assumptions!$B$11*0.95),0)+IF(AND(Projects!$G$42="Yes",34&gt;=Projects!$C$42,34&lt;Projects!$C$42+Projects!$D$42),IF(34=Projects!$C$42+Projects!$D$42-1,Projects!$B$42*INDEX(Curves!$B$4:$AO$4,1,34-Projects!$C$42+1)*Assumptions!$B$11*0.95+0.05*Projects!$B$42*Assumptions!$B$11,Projects!$B$42*INDEX(Curves!$B$4:$AO$4,1,34-Projects!$C$42+1)*Assumptions!$B$11*0.95),0)+IF(AND(Projects!$G$43="Yes",34&gt;=Projects!$C$43,34&lt;Projects!$C$43+Projects!$D$43),IF(34=Projects!$C$43+Projects!$D$43-1,Projects!$B$43*INDEX(Curves!$B$4:$AO$4,1,34-Projects!$C$43+1)*Assumptions!$B$11*0.95+0.05*Projects!$B$43*Assumptions!$B$11,Projects!$B$43*INDEX(Curves!$B$4:$AO$4,1,34-Projects!$C$43+1)*Assumptions!$B$11*0.95),0)+IF(AND(Projects!$G$44="Yes",34&gt;=Projects!$C$44,34&lt;Projects!$C$44+Projects!$D$44),IF(34=Projects!$C$44+Projects!$D$44-1,Projects!$B$44*INDEX(Curves!$B$4:$AO$4,1,34-Projects!$C$44+1)*Assumptions!$B$11*0.95+0.05*Projects!$B$44*Assumptions!$B$11,Projects!$B$44*INDEX(Curves!$B$4:$AO$4,1,34-Projects!$C$44+1)*Assumptions!$B$11*0.95),0)+IF(AND(Projects!$G$45="Yes",34&gt;=Projects!$C$45,34&lt;Projects!$C$45+Projects!$D$45),IF(34=Projects!$C$45+Projects!$D$45-1,Projects!$B$45*INDEX(Curves!$B$4:$AO$4,1,34-Projects!$C$45+1)*Assumptions!$B$11*0.95+0.05*Projects!$B$45*Assumptions!$B$11,Projects!$B$45*INDEX(Curves!$B$4:$AO$4,1,34-Projects!$C$45+1)*Assumptions!$B$11*0.95),0)+IF(AND(Projects!$G$46="Yes",34&gt;=Projects!$C$46,34&lt;Projects!$C$46+Projects!$D$46),IF(34=Projects!$C$46+Projects!$D$46-1,Projects!$B$46*INDEX(Curves!$B$4:$AO$4,1,34-Projects!$C$46+1)*Assumptions!$B$11*0.95+0.05*Projects!$B$46*Assumptions!$B$11,Projects!$B$46*INDEX(Curves!$B$4:$AO$4,1,34-Projects!$C$46+1)*Assumptions!$B$11*0.95),0)</f>
        <v/>
      </c>
      <c r="AK109">
        <f>IF(AND(Projects!$G$30="Yes",35&gt;=Projects!$C$30,35&lt;Projects!$C$30+Projects!$D$30),IF(35=Projects!$C$30+Projects!$D$30-1,Projects!$B$30*INDEX(Curves!$B$4:$AO$4,1,35-Projects!$C$30+1)*Assumptions!$B$11*0.95+0.05*Projects!$B$30*Assumptions!$B$11,Projects!$B$30*INDEX(Curves!$B$4:$AO$4,1,35-Projects!$C$30+1)*Assumptions!$B$11*0.95),0)+IF(AND(Projects!$G$31="Yes",35&gt;=Projects!$C$31,35&lt;Projects!$C$31+Projects!$D$31),IF(35=Projects!$C$31+Projects!$D$31-1,Projects!$B$31*INDEX(Curves!$B$4:$AO$4,1,35-Projects!$C$31+1)*Assumptions!$B$11*0.95+0.05*Projects!$B$31*Assumptions!$B$11,Projects!$B$31*INDEX(Curves!$B$4:$AO$4,1,35-Projects!$C$31+1)*Assumptions!$B$11*0.95),0)+IF(AND(Projects!$G$32="Yes",35&gt;=Projects!$C$32,35&lt;Projects!$C$32+Projects!$D$32),IF(35=Projects!$C$32+Projects!$D$32-1,Projects!$B$32*INDEX(Curves!$B$4:$AO$4,1,35-Projects!$C$32+1)*Assumptions!$B$11*0.95+0.05*Projects!$B$32*Assumptions!$B$11,Projects!$B$32*INDEX(Curves!$B$4:$AO$4,1,35-Projects!$C$32+1)*Assumptions!$B$11*0.95),0)+IF(AND(Projects!$G$33="Yes",35&gt;=Projects!$C$33,35&lt;Projects!$C$33+Projects!$D$33),IF(35=Projects!$C$33+Projects!$D$33-1,Projects!$B$33*INDEX(Curves!$B$4:$AO$4,1,35-Projects!$C$33+1)*Assumptions!$B$11*0.95+0.05*Projects!$B$33*Assumptions!$B$11,Projects!$B$33*INDEX(Curves!$B$4:$AO$4,1,35-Projects!$C$33+1)*Assumptions!$B$11*0.95),0)+IF(AND(Projects!$G$34="Yes",35&gt;=Projects!$C$34,35&lt;Projects!$C$34+Projects!$D$34),IF(35=Projects!$C$34+Projects!$D$34-1,Projects!$B$34*INDEX(Curves!$B$4:$AO$4,1,35-Projects!$C$34+1)*Assumptions!$B$11*0.95+0.05*Projects!$B$34*Assumptions!$B$11,Projects!$B$34*INDEX(Curves!$B$4:$AO$4,1,35-Projects!$C$34+1)*Assumptions!$B$11*0.95),0)+IF(AND(Projects!$G$35="Yes",35&gt;=Projects!$C$35,35&lt;Projects!$C$35+Projects!$D$35),IF(35=Projects!$C$35+Projects!$D$35-1,Projects!$B$35*INDEX(Curves!$B$4:$AO$4,1,35-Projects!$C$35+1)*Assumptions!$B$11*0.95+0.05*Projects!$B$35*Assumptions!$B$11,Projects!$B$35*INDEX(Curves!$B$4:$AO$4,1,35-Projects!$C$35+1)*Assumptions!$B$11*0.95),0)+IF(AND(Projects!$G$36="Yes",35&gt;=Projects!$C$36,35&lt;Projects!$C$36+Projects!$D$36),IF(35=Projects!$C$36+Projects!$D$36-1,Projects!$B$36*INDEX(Curves!$B$4:$AO$4,1,35-Projects!$C$36+1)*Assumptions!$B$11*0.95+0.05*Projects!$B$36*Assumptions!$B$11,Projects!$B$36*INDEX(Curves!$B$4:$AO$4,1,35-Projects!$C$36+1)*Assumptions!$B$11*0.95),0)+IF(AND(Projects!$G$37="Yes",35&gt;=Projects!$C$37,35&lt;Projects!$C$37+Projects!$D$37),IF(35=Projects!$C$37+Projects!$D$37-1,Projects!$B$37*INDEX(Curves!$B$4:$AO$4,1,35-Projects!$C$37+1)*Assumptions!$B$11*0.95+0.05*Projects!$B$37*Assumptions!$B$11,Projects!$B$37*INDEX(Curves!$B$4:$AO$4,1,35-Projects!$C$37+1)*Assumptions!$B$11*0.95),0)+IF(AND(Projects!$G$38="Yes",35&gt;=Projects!$C$38,35&lt;Projects!$C$38+Projects!$D$38),IF(35=Projects!$C$38+Projects!$D$38-1,Projects!$B$38*INDEX(Curves!$B$4:$AO$4,1,35-Projects!$C$38+1)*Assumptions!$B$11*0.95+0.05*Projects!$B$38*Assumptions!$B$11,Projects!$B$38*INDEX(Curves!$B$4:$AO$4,1,35-Projects!$C$38+1)*Assumptions!$B$11*0.95),0)+IF(AND(Projects!$G$39="Yes",35&gt;=Projects!$C$39,35&lt;Projects!$C$39+Projects!$D$39),IF(35=Projects!$C$39+Projects!$D$39-1,Projects!$B$39*INDEX(Curves!$B$4:$AO$4,1,35-Projects!$C$39+1)*Assumptions!$B$11*0.95+0.05*Projects!$B$39*Assumptions!$B$11,Projects!$B$39*INDEX(Curves!$B$4:$AO$4,1,35-Projects!$C$39+1)*Assumptions!$B$11*0.95),0)+IF(AND(Projects!$G$40="Yes",35&gt;=Projects!$C$40,35&lt;Projects!$C$40+Projects!$D$40),IF(35=Projects!$C$40+Projects!$D$40-1,Projects!$B$40*INDEX(Curves!$B$4:$AO$4,1,35-Projects!$C$40+1)*Assumptions!$B$11*0.95+0.05*Projects!$B$40*Assumptions!$B$11,Projects!$B$40*INDEX(Curves!$B$4:$AO$4,1,35-Projects!$C$40+1)*Assumptions!$B$11*0.95),0)+IF(AND(Projects!$G$41="Yes",35&gt;=Projects!$C$41,35&lt;Projects!$C$41+Projects!$D$41),IF(35=Projects!$C$41+Projects!$D$41-1,Projects!$B$41*INDEX(Curves!$B$4:$AO$4,1,35-Projects!$C$41+1)*Assumptions!$B$11*0.95+0.05*Projects!$B$41*Assumptions!$B$11,Projects!$B$41*INDEX(Curves!$B$4:$AO$4,1,35-Projects!$C$41+1)*Assumptions!$B$11*0.95),0)+IF(AND(Projects!$G$42="Yes",35&gt;=Projects!$C$42,35&lt;Projects!$C$42+Projects!$D$42),IF(35=Projects!$C$42+Projects!$D$42-1,Projects!$B$42*INDEX(Curves!$B$4:$AO$4,1,35-Projects!$C$42+1)*Assumptions!$B$11*0.95+0.05*Projects!$B$42*Assumptions!$B$11,Projects!$B$42*INDEX(Curves!$B$4:$AO$4,1,35-Projects!$C$42+1)*Assumptions!$B$11*0.95),0)+IF(AND(Projects!$G$43="Yes",35&gt;=Projects!$C$43,35&lt;Projects!$C$43+Projects!$D$43),IF(35=Projects!$C$43+Projects!$D$43-1,Projects!$B$43*INDEX(Curves!$B$4:$AO$4,1,35-Projects!$C$43+1)*Assumptions!$B$11*0.95+0.05*Projects!$B$43*Assumptions!$B$11,Projects!$B$43*INDEX(Curves!$B$4:$AO$4,1,35-Projects!$C$43+1)*Assumptions!$B$11*0.95),0)+IF(AND(Projects!$G$44="Yes",35&gt;=Projects!$C$44,35&lt;Projects!$C$44+Projects!$D$44),IF(35=Projects!$C$44+Projects!$D$44-1,Projects!$B$44*INDEX(Curves!$B$4:$AO$4,1,35-Projects!$C$44+1)*Assumptions!$B$11*0.95+0.05*Projects!$B$44*Assumptions!$B$11,Projects!$B$44*INDEX(Curves!$B$4:$AO$4,1,35-Projects!$C$44+1)*Assumptions!$B$11*0.95),0)+IF(AND(Projects!$G$45="Yes",35&gt;=Projects!$C$45,35&lt;Projects!$C$45+Projects!$D$45),IF(35=Projects!$C$45+Projects!$D$45-1,Projects!$B$45*INDEX(Curves!$B$4:$AO$4,1,35-Projects!$C$45+1)*Assumptions!$B$11*0.95+0.05*Projects!$B$45*Assumptions!$B$11,Projects!$B$45*INDEX(Curves!$B$4:$AO$4,1,35-Projects!$C$45+1)*Assumptions!$B$11*0.95),0)+IF(AND(Projects!$G$46="Yes",35&gt;=Projects!$C$46,35&lt;Projects!$C$46+Projects!$D$46),IF(35=Projects!$C$46+Projects!$D$46-1,Projects!$B$46*INDEX(Curves!$B$4:$AO$4,1,35-Projects!$C$46+1)*Assumptions!$B$11*0.95+0.05*Projects!$B$46*Assumptions!$B$11,Projects!$B$46*INDEX(Curves!$B$4:$AO$4,1,35-Projects!$C$46+1)*Assumptions!$B$11*0.95),0)</f>
        <v/>
      </c>
      <c r="AL109">
        <f>IF(AND(Projects!$G$30="Yes",36&gt;=Projects!$C$30,36&lt;Projects!$C$30+Projects!$D$30),IF(36=Projects!$C$30+Projects!$D$30-1,Projects!$B$30*INDEX(Curves!$B$4:$AO$4,1,36-Projects!$C$30+1)*Assumptions!$B$11*0.95+0.05*Projects!$B$30*Assumptions!$B$11,Projects!$B$30*INDEX(Curves!$B$4:$AO$4,1,36-Projects!$C$30+1)*Assumptions!$B$11*0.95),0)+IF(AND(Projects!$G$31="Yes",36&gt;=Projects!$C$31,36&lt;Projects!$C$31+Projects!$D$31),IF(36=Projects!$C$31+Projects!$D$31-1,Projects!$B$31*INDEX(Curves!$B$4:$AO$4,1,36-Projects!$C$31+1)*Assumptions!$B$11*0.95+0.05*Projects!$B$31*Assumptions!$B$11,Projects!$B$31*INDEX(Curves!$B$4:$AO$4,1,36-Projects!$C$31+1)*Assumptions!$B$11*0.95),0)+IF(AND(Projects!$G$32="Yes",36&gt;=Projects!$C$32,36&lt;Projects!$C$32+Projects!$D$32),IF(36=Projects!$C$32+Projects!$D$32-1,Projects!$B$32*INDEX(Curves!$B$4:$AO$4,1,36-Projects!$C$32+1)*Assumptions!$B$11*0.95+0.05*Projects!$B$32*Assumptions!$B$11,Projects!$B$32*INDEX(Curves!$B$4:$AO$4,1,36-Projects!$C$32+1)*Assumptions!$B$11*0.95),0)+IF(AND(Projects!$G$33="Yes",36&gt;=Projects!$C$33,36&lt;Projects!$C$33+Projects!$D$33),IF(36=Projects!$C$33+Projects!$D$33-1,Projects!$B$33*INDEX(Curves!$B$4:$AO$4,1,36-Projects!$C$33+1)*Assumptions!$B$11*0.95+0.05*Projects!$B$33*Assumptions!$B$11,Projects!$B$33*INDEX(Curves!$B$4:$AO$4,1,36-Projects!$C$33+1)*Assumptions!$B$11*0.95),0)+IF(AND(Projects!$G$34="Yes",36&gt;=Projects!$C$34,36&lt;Projects!$C$34+Projects!$D$34),IF(36=Projects!$C$34+Projects!$D$34-1,Projects!$B$34*INDEX(Curves!$B$4:$AO$4,1,36-Projects!$C$34+1)*Assumptions!$B$11*0.95+0.05*Projects!$B$34*Assumptions!$B$11,Projects!$B$34*INDEX(Curves!$B$4:$AO$4,1,36-Projects!$C$34+1)*Assumptions!$B$11*0.95),0)+IF(AND(Projects!$G$35="Yes",36&gt;=Projects!$C$35,36&lt;Projects!$C$35+Projects!$D$35),IF(36=Projects!$C$35+Projects!$D$35-1,Projects!$B$35*INDEX(Curves!$B$4:$AO$4,1,36-Projects!$C$35+1)*Assumptions!$B$11*0.95+0.05*Projects!$B$35*Assumptions!$B$11,Projects!$B$35*INDEX(Curves!$B$4:$AO$4,1,36-Projects!$C$35+1)*Assumptions!$B$11*0.95),0)+IF(AND(Projects!$G$36="Yes",36&gt;=Projects!$C$36,36&lt;Projects!$C$36+Projects!$D$36),IF(36=Projects!$C$36+Projects!$D$36-1,Projects!$B$36*INDEX(Curves!$B$4:$AO$4,1,36-Projects!$C$36+1)*Assumptions!$B$11*0.95+0.05*Projects!$B$36*Assumptions!$B$11,Projects!$B$36*INDEX(Curves!$B$4:$AO$4,1,36-Projects!$C$36+1)*Assumptions!$B$11*0.95),0)+IF(AND(Projects!$G$37="Yes",36&gt;=Projects!$C$37,36&lt;Projects!$C$37+Projects!$D$37),IF(36=Projects!$C$37+Projects!$D$37-1,Projects!$B$37*INDEX(Curves!$B$4:$AO$4,1,36-Projects!$C$37+1)*Assumptions!$B$11*0.95+0.05*Projects!$B$37*Assumptions!$B$11,Projects!$B$37*INDEX(Curves!$B$4:$AO$4,1,36-Projects!$C$37+1)*Assumptions!$B$11*0.95),0)+IF(AND(Projects!$G$38="Yes",36&gt;=Projects!$C$38,36&lt;Projects!$C$38+Projects!$D$38),IF(36=Projects!$C$38+Projects!$D$38-1,Projects!$B$38*INDEX(Curves!$B$4:$AO$4,1,36-Projects!$C$38+1)*Assumptions!$B$11*0.95+0.05*Projects!$B$38*Assumptions!$B$11,Projects!$B$38*INDEX(Curves!$B$4:$AO$4,1,36-Projects!$C$38+1)*Assumptions!$B$11*0.95),0)+IF(AND(Projects!$G$39="Yes",36&gt;=Projects!$C$39,36&lt;Projects!$C$39+Projects!$D$39),IF(36=Projects!$C$39+Projects!$D$39-1,Projects!$B$39*INDEX(Curves!$B$4:$AO$4,1,36-Projects!$C$39+1)*Assumptions!$B$11*0.95+0.05*Projects!$B$39*Assumptions!$B$11,Projects!$B$39*INDEX(Curves!$B$4:$AO$4,1,36-Projects!$C$39+1)*Assumptions!$B$11*0.95),0)+IF(AND(Projects!$G$40="Yes",36&gt;=Projects!$C$40,36&lt;Projects!$C$40+Projects!$D$40),IF(36=Projects!$C$40+Projects!$D$40-1,Projects!$B$40*INDEX(Curves!$B$4:$AO$4,1,36-Projects!$C$40+1)*Assumptions!$B$11*0.95+0.05*Projects!$B$40*Assumptions!$B$11,Projects!$B$40*INDEX(Curves!$B$4:$AO$4,1,36-Projects!$C$40+1)*Assumptions!$B$11*0.95),0)+IF(AND(Projects!$G$41="Yes",36&gt;=Projects!$C$41,36&lt;Projects!$C$41+Projects!$D$41),IF(36=Projects!$C$41+Projects!$D$41-1,Projects!$B$41*INDEX(Curves!$B$4:$AO$4,1,36-Projects!$C$41+1)*Assumptions!$B$11*0.95+0.05*Projects!$B$41*Assumptions!$B$11,Projects!$B$41*INDEX(Curves!$B$4:$AO$4,1,36-Projects!$C$41+1)*Assumptions!$B$11*0.95),0)+IF(AND(Projects!$G$42="Yes",36&gt;=Projects!$C$42,36&lt;Projects!$C$42+Projects!$D$42),IF(36=Projects!$C$42+Projects!$D$42-1,Projects!$B$42*INDEX(Curves!$B$4:$AO$4,1,36-Projects!$C$42+1)*Assumptions!$B$11*0.95+0.05*Projects!$B$42*Assumptions!$B$11,Projects!$B$42*INDEX(Curves!$B$4:$AO$4,1,36-Projects!$C$42+1)*Assumptions!$B$11*0.95),0)+IF(AND(Projects!$G$43="Yes",36&gt;=Projects!$C$43,36&lt;Projects!$C$43+Projects!$D$43),IF(36=Projects!$C$43+Projects!$D$43-1,Projects!$B$43*INDEX(Curves!$B$4:$AO$4,1,36-Projects!$C$43+1)*Assumptions!$B$11*0.95+0.05*Projects!$B$43*Assumptions!$B$11,Projects!$B$43*INDEX(Curves!$B$4:$AO$4,1,36-Projects!$C$43+1)*Assumptions!$B$11*0.95),0)+IF(AND(Projects!$G$44="Yes",36&gt;=Projects!$C$44,36&lt;Projects!$C$44+Projects!$D$44),IF(36=Projects!$C$44+Projects!$D$44-1,Projects!$B$44*INDEX(Curves!$B$4:$AO$4,1,36-Projects!$C$44+1)*Assumptions!$B$11*0.95+0.05*Projects!$B$44*Assumptions!$B$11,Projects!$B$44*INDEX(Curves!$B$4:$AO$4,1,36-Projects!$C$44+1)*Assumptions!$B$11*0.95),0)+IF(AND(Projects!$G$45="Yes",36&gt;=Projects!$C$45,36&lt;Projects!$C$45+Projects!$D$45),IF(36=Projects!$C$45+Projects!$D$45-1,Projects!$B$45*INDEX(Curves!$B$4:$AO$4,1,36-Projects!$C$45+1)*Assumptions!$B$11*0.95+0.05*Projects!$B$45*Assumptions!$B$11,Projects!$B$45*INDEX(Curves!$B$4:$AO$4,1,36-Projects!$C$45+1)*Assumptions!$B$11*0.95),0)+IF(AND(Projects!$G$46="Yes",36&gt;=Projects!$C$46,36&lt;Projects!$C$46+Projects!$D$46),IF(36=Projects!$C$46+Projects!$D$46-1,Projects!$B$46*INDEX(Curves!$B$4:$AO$4,1,36-Projects!$C$46+1)*Assumptions!$B$11*0.95+0.05*Projects!$B$46*Assumptions!$B$11,Projects!$B$46*INDEX(Curves!$B$4:$AO$4,1,36-Projects!$C$46+1)*Assumptions!$B$11*0.95),0)</f>
        <v/>
      </c>
      <c r="AM109">
        <f>IF(AND(Projects!$G$30="Yes",37&gt;=Projects!$C$30,37&lt;Projects!$C$30+Projects!$D$30),IF(37=Projects!$C$30+Projects!$D$30-1,Projects!$B$30*INDEX(Curves!$B$4:$AO$4,1,37-Projects!$C$30+1)*Assumptions!$B$11*0.95+0.05*Projects!$B$30*Assumptions!$B$11,Projects!$B$30*INDEX(Curves!$B$4:$AO$4,1,37-Projects!$C$30+1)*Assumptions!$B$11*0.95),0)+IF(AND(Projects!$G$31="Yes",37&gt;=Projects!$C$31,37&lt;Projects!$C$31+Projects!$D$31),IF(37=Projects!$C$31+Projects!$D$31-1,Projects!$B$31*INDEX(Curves!$B$4:$AO$4,1,37-Projects!$C$31+1)*Assumptions!$B$11*0.95+0.05*Projects!$B$31*Assumptions!$B$11,Projects!$B$31*INDEX(Curves!$B$4:$AO$4,1,37-Projects!$C$31+1)*Assumptions!$B$11*0.95),0)+IF(AND(Projects!$G$32="Yes",37&gt;=Projects!$C$32,37&lt;Projects!$C$32+Projects!$D$32),IF(37=Projects!$C$32+Projects!$D$32-1,Projects!$B$32*INDEX(Curves!$B$4:$AO$4,1,37-Projects!$C$32+1)*Assumptions!$B$11*0.95+0.05*Projects!$B$32*Assumptions!$B$11,Projects!$B$32*INDEX(Curves!$B$4:$AO$4,1,37-Projects!$C$32+1)*Assumptions!$B$11*0.95),0)+IF(AND(Projects!$G$33="Yes",37&gt;=Projects!$C$33,37&lt;Projects!$C$33+Projects!$D$33),IF(37=Projects!$C$33+Projects!$D$33-1,Projects!$B$33*INDEX(Curves!$B$4:$AO$4,1,37-Projects!$C$33+1)*Assumptions!$B$11*0.95+0.05*Projects!$B$33*Assumptions!$B$11,Projects!$B$33*INDEX(Curves!$B$4:$AO$4,1,37-Projects!$C$33+1)*Assumptions!$B$11*0.95),0)+IF(AND(Projects!$G$34="Yes",37&gt;=Projects!$C$34,37&lt;Projects!$C$34+Projects!$D$34),IF(37=Projects!$C$34+Projects!$D$34-1,Projects!$B$34*INDEX(Curves!$B$4:$AO$4,1,37-Projects!$C$34+1)*Assumptions!$B$11*0.95+0.05*Projects!$B$34*Assumptions!$B$11,Projects!$B$34*INDEX(Curves!$B$4:$AO$4,1,37-Projects!$C$34+1)*Assumptions!$B$11*0.95),0)+IF(AND(Projects!$G$35="Yes",37&gt;=Projects!$C$35,37&lt;Projects!$C$35+Projects!$D$35),IF(37=Projects!$C$35+Projects!$D$35-1,Projects!$B$35*INDEX(Curves!$B$4:$AO$4,1,37-Projects!$C$35+1)*Assumptions!$B$11*0.95+0.05*Projects!$B$35*Assumptions!$B$11,Projects!$B$35*INDEX(Curves!$B$4:$AO$4,1,37-Projects!$C$35+1)*Assumptions!$B$11*0.95),0)+IF(AND(Projects!$G$36="Yes",37&gt;=Projects!$C$36,37&lt;Projects!$C$36+Projects!$D$36),IF(37=Projects!$C$36+Projects!$D$36-1,Projects!$B$36*INDEX(Curves!$B$4:$AO$4,1,37-Projects!$C$36+1)*Assumptions!$B$11*0.95+0.05*Projects!$B$36*Assumptions!$B$11,Projects!$B$36*INDEX(Curves!$B$4:$AO$4,1,37-Projects!$C$36+1)*Assumptions!$B$11*0.95),0)+IF(AND(Projects!$G$37="Yes",37&gt;=Projects!$C$37,37&lt;Projects!$C$37+Projects!$D$37),IF(37=Projects!$C$37+Projects!$D$37-1,Projects!$B$37*INDEX(Curves!$B$4:$AO$4,1,37-Projects!$C$37+1)*Assumptions!$B$11*0.95+0.05*Projects!$B$37*Assumptions!$B$11,Projects!$B$37*INDEX(Curves!$B$4:$AO$4,1,37-Projects!$C$37+1)*Assumptions!$B$11*0.95),0)+IF(AND(Projects!$G$38="Yes",37&gt;=Projects!$C$38,37&lt;Projects!$C$38+Projects!$D$38),IF(37=Projects!$C$38+Projects!$D$38-1,Projects!$B$38*INDEX(Curves!$B$4:$AO$4,1,37-Projects!$C$38+1)*Assumptions!$B$11*0.95+0.05*Projects!$B$38*Assumptions!$B$11,Projects!$B$38*INDEX(Curves!$B$4:$AO$4,1,37-Projects!$C$38+1)*Assumptions!$B$11*0.95),0)+IF(AND(Projects!$G$39="Yes",37&gt;=Projects!$C$39,37&lt;Projects!$C$39+Projects!$D$39),IF(37=Projects!$C$39+Projects!$D$39-1,Projects!$B$39*INDEX(Curves!$B$4:$AO$4,1,37-Projects!$C$39+1)*Assumptions!$B$11*0.95+0.05*Projects!$B$39*Assumptions!$B$11,Projects!$B$39*INDEX(Curves!$B$4:$AO$4,1,37-Projects!$C$39+1)*Assumptions!$B$11*0.95),0)+IF(AND(Projects!$G$40="Yes",37&gt;=Projects!$C$40,37&lt;Projects!$C$40+Projects!$D$40),IF(37=Projects!$C$40+Projects!$D$40-1,Projects!$B$40*INDEX(Curves!$B$4:$AO$4,1,37-Projects!$C$40+1)*Assumptions!$B$11*0.95+0.05*Projects!$B$40*Assumptions!$B$11,Projects!$B$40*INDEX(Curves!$B$4:$AO$4,1,37-Projects!$C$40+1)*Assumptions!$B$11*0.95),0)+IF(AND(Projects!$G$41="Yes",37&gt;=Projects!$C$41,37&lt;Projects!$C$41+Projects!$D$41),IF(37=Projects!$C$41+Projects!$D$41-1,Projects!$B$41*INDEX(Curves!$B$4:$AO$4,1,37-Projects!$C$41+1)*Assumptions!$B$11*0.95+0.05*Projects!$B$41*Assumptions!$B$11,Projects!$B$41*INDEX(Curves!$B$4:$AO$4,1,37-Projects!$C$41+1)*Assumptions!$B$11*0.95),0)+IF(AND(Projects!$G$42="Yes",37&gt;=Projects!$C$42,37&lt;Projects!$C$42+Projects!$D$42),IF(37=Projects!$C$42+Projects!$D$42-1,Projects!$B$42*INDEX(Curves!$B$4:$AO$4,1,37-Projects!$C$42+1)*Assumptions!$B$11*0.95+0.05*Projects!$B$42*Assumptions!$B$11,Projects!$B$42*INDEX(Curves!$B$4:$AO$4,1,37-Projects!$C$42+1)*Assumptions!$B$11*0.95),0)+IF(AND(Projects!$G$43="Yes",37&gt;=Projects!$C$43,37&lt;Projects!$C$43+Projects!$D$43),IF(37=Projects!$C$43+Projects!$D$43-1,Projects!$B$43*INDEX(Curves!$B$4:$AO$4,1,37-Projects!$C$43+1)*Assumptions!$B$11*0.95+0.05*Projects!$B$43*Assumptions!$B$11,Projects!$B$43*INDEX(Curves!$B$4:$AO$4,1,37-Projects!$C$43+1)*Assumptions!$B$11*0.95),0)+IF(AND(Projects!$G$44="Yes",37&gt;=Projects!$C$44,37&lt;Projects!$C$44+Projects!$D$44),IF(37=Projects!$C$44+Projects!$D$44-1,Projects!$B$44*INDEX(Curves!$B$4:$AO$4,1,37-Projects!$C$44+1)*Assumptions!$B$11*0.95+0.05*Projects!$B$44*Assumptions!$B$11,Projects!$B$44*INDEX(Curves!$B$4:$AO$4,1,37-Projects!$C$44+1)*Assumptions!$B$11*0.95),0)+IF(AND(Projects!$G$45="Yes",37&gt;=Projects!$C$45,37&lt;Projects!$C$45+Projects!$D$45),IF(37=Projects!$C$45+Projects!$D$45-1,Projects!$B$45*INDEX(Curves!$B$4:$AO$4,1,37-Projects!$C$45+1)*Assumptions!$B$11*0.95+0.05*Projects!$B$45*Assumptions!$B$11,Projects!$B$45*INDEX(Curves!$B$4:$AO$4,1,37-Projects!$C$45+1)*Assumptions!$B$11*0.95),0)+IF(AND(Projects!$G$46="Yes",37&gt;=Projects!$C$46,37&lt;Projects!$C$46+Projects!$D$46),IF(37=Projects!$C$46+Projects!$D$46-1,Projects!$B$46*INDEX(Curves!$B$4:$AO$4,1,37-Projects!$C$46+1)*Assumptions!$B$11*0.95+0.05*Projects!$B$46*Assumptions!$B$11,Projects!$B$46*INDEX(Curves!$B$4:$AO$4,1,37-Projects!$C$46+1)*Assumptions!$B$11*0.95),0)</f>
        <v/>
      </c>
      <c r="AN109">
        <f>IF(AND(Projects!$G$30="Yes",38&gt;=Projects!$C$30,38&lt;Projects!$C$30+Projects!$D$30),IF(38=Projects!$C$30+Projects!$D$30-1,Projects!$B$30*INDEX(Curves!$B$4:$AO$4,1,38-Projects!$C$30+1)*Assumptions!$B$11*0.95+0.05*Projects!$B$30*Assumptions!$B$11,Projects!$B$30*INDEX(Curves!$B$4:$AO$4,1,38-Projects!$C$30+1)*Assumptions!$B$11*0.95),0)+IF(AND(Projects!$G$31="Yes",38&gt;=Projects!$C$31,38&lt;Projects!$C$31+Projects!$D$31),IF(38=Projects!$C$31+Projects!$D$31-1,Projects!$B$31*INDEX(Curves!$B$4:$AO$4,1,38-Projects!$C$31+1)*Assumptions!$B$11*0.95+0.05*Projects!$B$31*Assumptions!$B$11,Projects!$B$31*INDEX(Curves!$B$4:$AO$4,1,38-Projects!$C$31+1)*Assumptions!$B$11*0.95),0)+IF(AND(Projects!$G$32="Yes",38&gt;=Projects!$C$32,38&lt;Projects!$C$32+Projects!$D$32),IF(38=Projects!$C$32+Projects!$D$32-1,Projects!$B$32*INDEX(Curves!$B$4:$AO$4,1,38-Projects!$C$32+1)*Assumptions!$B$11*0.95+0.05*Projects!$B$32*Assumptions!$B$11,Projects!$B$32*INDEX(Curves!$B$4:$AO$4,1,38-Projects!$C$32+1)*Assumptions!$B$11*0.95),0)+IF(AND(Projects!$G$33="Yes",38&gt;=Projects!$C$33,38&lt;Projects!$C$33+Projects!$D$33),IF(38=Projects!$C$33+Projects!$D$33-1,Projects!$B$33*INDEX(Curves!$B$4:$AO$4,1,38-Projects!$C$33+1)*Assumptions!$B$11*0.95+0.05*Projects!$B$33*Assumptions!$B$11,Projects!$B$33*INDEX(Curves!$B$4:$AO$4,1,38-Projects!$C$33+1)*Assumptions!$B$11*0.95),0)+IF(AND(Projects!$G$34="Yes",38&gt;=Projects!$C$34,38&lt;Projects!$C$34+Projects!$D$34),IF(38=Projects!$C$34+Projects!$D$34-1,Projects!$B$34*INDEX(Curves!$B$4:$AO$4,1,38-Projects!$C$34+1)*Assumptions!$B$11*0.95+0.05*Projects!$B$34*Assumptions!$B$11,Projects!$B$34*INDEX(Curves!$B$4:$AO$4,1,38-Projects!$C$34+1)*Assumptions!$B$11*0.95),0)+IF(AND(Projects!$G$35="Yes",38&gt;=Projects!$C$35,38&lt;Projects!$C$35+Projects!$D$35),IF(38=Projects!$C$35+Projects!$D$35-1,Projects!$B$35*INDEX(Curves!$B$4:$AO$4,1,38-Projects!$C$35+1)*Assumptions!$B$11*0.95+0.05*Projects!$B$35*Assumptions!$B$11,Projects!$B$35*INDEX(Curves!$B$4:$AO$4,1,38-Projects!$C$35+1)*Assumptions!$B$11*0.95),0)+IF(AND(Projects!$G$36="Yes",38&gt;=Projects!$C$36,38&lt;Projects!$C$36+Projects!$D$36),IF(38=Projects!$C$36+Projects!$D$36-1,Projects!$B$36*INDEX(Curves!$B$4:$AO$4,1,38-Projects!$C$36+1)*Assumptions!$B$11*0.95+0.05*Projects!$B$36*Assumptions!$B$11,Projects!$B$36*INDEX(Curves!$B$4:$AO$4,1,38-Projects!$C$36+1)*Assumptions!$B$11*0.95),0)+IF(AND(Projects!$G$37="Yes",38&gt;=Projects!$C$37,38&lt;Projects!$C$37+Projects!$D$37),IF(38=Projects!$C$37+Projects!$D$37-1,Projects!$B$37*INDEX(Curves!$B$4:$AO$4,1,38-Projects!$C$37+1)*Assumptions!$B$11*0.95+0.05*Projects!$B$37*Assumptions!$B$11,Projects!$B$37*INDEX(Curves!$B$4:$AO$4,1,38-Projects!$C$37+1)*Assumptions!$B$11*0.95),0)+IF(AND(Projects!$G$38="Yes",38&gt;=Projects!$C$38,38&lt;Projects!$C$38+Projects!$D$38),IF(38=Projects!$C$38+Projects!$D$38-1,Projects!$B$38*INDEX(Curves!$B$4:$AO$4,1,38-Projects!$C$38+1)*Assumptions!$B$11*0.95+0.05*Projects!$B$38*Assumptions!$B$11,Projects!$B$38*INDEX(Curves!$B$4:$AO$4,1,38-Projects!$C$38+1)*Assumptions!$B$11*0.95),0)+IF(AND(Projects!$G$39="Yes",38&gt;=Projects!$C$39,38&lt;Projects!$C$39+Projects!$D$39),IF(38=Projects!$C$39+Projects!$D$39-1,Projects!$B$39*INDEX(Curves!$B$4:$AO$4,1,38-Projects!$C$39+1)*Assumptions!$B$11*0.95+0.05*Projects!$B$39*Assumptions!$B$11,Projects!$B$39*INDEX(Curves!$B$4:$AO$4,1,38-Projects!$C$39+1)*Assumptions!$B$11*0.95),0)+IF(AND(Projects!$G$40="Yes",38&gt;=Projects!$C$40,38&lt;Projects!$C$40+Projects!$D$40),IF(38=Projects!$C$40+Projects!$D$40-1,Projects!$B$40*INDEX(Curves!$B$4:$AO$4,1,38-Projects!$C$40+1)*Assumptions!$B$11*0.95+0.05*Projects!$B$40*Assumptions!$B$11,Projects!$B$40*INDEX(Curves!$B$4:$AO$4,1,38-Projects!$C$40+1)*Assumptions!$B$11*0.95),0)+IF(AND(Projects!$G$41="Yes",38&gt;=Projects!$C$41,38&lt;Projects!$C$41+Projects!$D$41),IF(38=Projects!$C$41+Projects!$D$41-1,Projects!$B$41*INDEX(Curves!$B$4:$AO$4,1,38-Projects!$C$41+1)*Assumptions!$B$11*0.95+0.05*Projects!$B$41*Assumptions!$B$11,Projects!$B$41*INDEX(Curves!$B$4:$AO$4,1,38-Projects!$C$41+1)*Assumptions!$B$11*0.95),0)+IF(AND(Projects!$G$42="Yes",38&gt;=Projects!$C$42,38&lt;Projects!$C$42+Projects!$D$42),IF(38=Projects!$C$42+Projects!$D$42-1,Projects!$B$42*INDEX(Curves!$B$4:$AO$4,1,38-Projects!$C$42+1)*Assumptions!$B$11*0.95+0.05*Projects!$B$42*Assumptions!$B$11,Projects!$B$42*INDEX(Curves!$B$4:$AO$4,1,38-Projects!$C$42+1)*Assumptions!$B$11*0.95),0)+IF(AND(Projects!$G$43="Yes",38&gt;=Projects!$C$43,38&lt;Projects!$C$43+Projects!$D$43),IF(38=Projects!$C$43+Projects!$D$43-1,Projects!$B$43*INDEX(Curves!$B$4:$AO$4,1,38-Projects!$C$43+1)*Assumptions!$B$11*0.95+0.05*Projects!$B$43*Assumptions!$B$11,Projects!$B$43*INDEX(Curves!$B$4:$AO$4,1,38-Projects!$C$43+1)*Assumptions!$B$11*0.95),0)+IF(AND(Projects!$G$44="Yes",38&gt;=Projects!$C$44,38&lt;Projects!$C$44+Projects!$D$44),IF(38=Projects!$C$44+Projects!$D$44-1,Projects!$B$44*INDEX(Curves!$B$4:$AO$4,1,38-Projects!$C$44+1)*Assumptions!$B$11*0.95+0.05*Projects!$B$44*Assumptions!$B$11,Projects!$B$44*INDEX(Curves!$B$4:$AO$4,1,38-Projects!$C$44+1)*Assumptions!$B$11*0.95),0)+IF(AND(Projects!$G$45="Yes",38&gt;=Projects!$C$45,38&lt;Projects!$C$45+Projects!$D$45),IF(38=Projects!$C$45+Projects!$D$45-1,Projects!$B$45*INDEX(Curves!$B$4:$AO$4,1,38-Projects!$C$45+1)*Assumptions!$B$11*0.95+0.05*Projects!$B$45*Assumptions!$B$11,Projects!$B$45*INDEX(Curves!$B$4:$AO$4,1,38-Projects!$C$45+1)*Assumptions!$B$11*0.95),0)+IF(AND(Projects!$G$46="Yes",38&gt;=Projects!$C$46,38&lt;Projects!$C$46+Projects!$D$46),IF(38=Projects!$C$46+Projects!$D$46-1,Projects!$B$46*INDEX(Curves!$B$4:$AO$4,1,38-Projects!$C$46+1)*Assumptions!$B$11*0.95+0.05*Projects!$B$46*Assumptions!$B$11,Projects!$B$46*INDEX(Curves!$B$4:$AO$4,1,38-Projects!$C$46+1)*Assumptions!$B$11*0.95),0)</f>
        <v/>
      </c>
      <c r="AO109">
        <f>IF(AND(Projects!$G$30="Yes",39&gt;=Projects!$C$30,39&lt;Projects!$C$30+Projects!$D$30),IF(39=Projects!$C$30+Projects!$D$30-1,Projects!$B$30*INDEX(Curves!$B$4:$AO$4,1,39-Projects!$C$30+1)*Assumptions!$B$11*0.95+0.05*Projects!$B$30*Assumptions!$B$11,Projects!$B$30*INDEX(Curves!$B$4:$AO$4,1,39-Projects!$C$30+1)*Assumptions!$B$11*0.95),0)+IF(AND(Projects!$G$31="Yes",39&gt;=Projects!$C$31,39&lt;Projects!$C$31+Projects!$D$31),IF(39=Projects!$C$31+Projects!$D$31-1,Projects!$B$31*INDEX(Curves!$B$4:$AO$4,1,39-Projects!$C$31+1)*Assumptions!$B$11*0.95+0.05*Projects!$B$31*Assumptions!$B$11,Projects!$B$31*INDEX(Curves!$B$4:$AO$4,1,39-Projects!$C$31+1)*Assumptions!$B$11*0.95),0)+IF(AND(Projects!$G$32="Yes",39&gt;=Projects!$C$32,39&lt;Projects!$C$32+Projects!$D$32),IF(39=Projects!$C$32+Projects!$D$32-1,Projects!$B$32*INDEX(Curves!$B$4:$AO$4,1,39-Projects!$C$32+1)*Assumptions!$B$11*0.95+0.05*Projects!$B$32*Assumptions!$B$11,Projects!$B$32*INDEX(Curves!$B$4:$AO$4,1,39-Projects!$C$32+1)*Assumptions!$B$11*0.95),0)+IF(AND(Projects!$G$33="Yes",39&gt;=Projects!$C$33,39&lt;Projects!$C$33+Projects!$D$33),IF(39=Projects!$C$33+Projects!$D$33-1,Projects!$B$33*INDEX(Curves!$B$4:$AO$4,1,39-Projects!$C$33+1)*Assumptions!$B$11*0.95+0.05*Projects!$B$33*Assumptions!$B$11,Projects!$B$33*INDEX(Curves!$B$4:$AO$4,1,39-Projects!$C$33+1)*Assumptions!$B$11*0.95),0)+IF(AND(Projects!$G$34="Yes",39&gt;=Projects!$C$34,39&lt;Projects!$C$34+Projects!$D$34),IF(39=Projects!$C$34+Projects!$D$34-1,Projects!$B$34*INDEX(Curves!$B$4:$AO$4,1,39-Projects!$C$34+1)*Assumptions!$B$11*0.95+0.05*Projects!$B$34*Assumptions!$B$11,Projects!$B$34*INDEX(Curves!$B$4:$AO$4,1,39-Projects!$C$34+1)*Assumptions!$B$11*0.95),0)+IF(AND(Projects!$G$35="Yes",39&gt;=Projects!$C$35,39&lt;Projects!$C$35+Projects!$D$35),IF(39=Projects!$C$35+Projects!$D$35-1,Projects!$B$35*INDEX(Curves!$B$4:$AO$4,1,39-Projects!$C$35+1)*Assumptions!$B$11*0.95+0.05*Projects!$B$35*Assumptions!$B$11,Projects!$B$35*INDEX(Curves!$B$4:$AO$4,1,39-Projects!$C$35+1)*Assumptions!$B$11*0.95),0)+IF(AND(Projects!$G$36="Yes",39&gt;=Projects!$C$36,39&lt;Projects!$C$36+Projects!$D$36),IF(39=Projects!$C$36+Projects!$D$36-1,Projects!$B$36*INDEX(Curves!$B$4:$AO$4,1,39-Projects!$C$36+1)*Assumptions!$B$11*0.95+0.05*Projects!$B$36*Assumptions!$B$11,Projects!$B$36*INDEX(Curves!$B$4:$AO$4,1,39-Projects!$C$36+1)*Assumptions!$B$11*0.95),0)+IF(AND(Projects!$G$37="Yes",39&gt;=Projects!$C$37,39&lt;Projects!$C$37+Projects!$D$37),IF(39=Projects!$C$37+Projects!$D$37-1,Projects!$B$37*INDEX(Curves!$B$4:$AO$4,1,39-Projects!$C$37+1)*Assumptions!$B$11*0.95+0.05*Projects!$B$37*Assumptions!$B$11,Projects!$B$37*INDEX(Curves!$B$4:$AO$4,1,39-Projects!$C$37+1)*Assumptions!$B$11*0.95),0)+IF(AND(Projects!$G$38="Yes",39&gt;=Projects!$C$38,39&lt;Projects!$C$38+Projects!$D$38),IF(39=Projects!$C$38+Projects!$D$38-1,Projects!$B$38*INDEX(Curves!$B$4:$AO$4,1,39-Projects!$C$38+1)*Assumptions!$B$11*0.95+0.05*Projects!$B$38*Assumptions!$B$11,Projects!$B$38*INDEX(Curves!$B$4:$AO$4,1,39-Projects!$C$38+1)*Assumptions!$B$11*0.95),0)+IF(AND(Projects!$G$39="Yes",39&gt;=Projects!$C$39,39&lt;Projects!$C$39+Projects!$D$39),IF(39=Projects!$C$39+Projects!$D$39-1,Projects!$B$39*INDEX(Curves!$B$4:$AO$4,1,39-Projects!$C$39+1)*Assumptions!$B$11*0.95+0.05*Projects!$B$39*Assumptions!$B$11,Projects!$B$39*INDEX(Curves!$B$4:$AO$4,1,39-Projects!$C$39+1)*Assumptions!$B$11*0.95),0)+IF(AND(Projects!$G$40="Yes",39&gt;=Projects!$C$40,39&lt;Projects!$C$40+Projects!$D$40),IF(39=Projects!$C$40+Projects!$D$40-1,Projects!$B$40*INDEX(Curves!$B$4:$AO$4,1,39-Projects!$C$40+1)*Assumptions!$B$11*0.95+0.05*Projects!$B$40*Assumptions!$B$11,Projects!$B$40*INDEX(Curves!$B$4:$AO$4,1,39-Projects!$C$40+1)*Assumptions!$B$11*0.95),0)+IF(AND(Projects!$G$41="Yes",39&gt;=Projects!$C$41,39&lt;Projects!$C$41+Projects!$D$41),IF(39=Projects!$C$41+Projects!$D$41-1,Projects!$B$41*INDEX(Curves!$B$4:$AO$4,1,39-Projects!$C$41+1)*Assumptions!$B$11*0.95+0.05*Projects!$B$41*Assumptions!$B$11,Projects!$B$41*INDEX(Curves!$B$4:$AO$4,1,39-Projects!$C$41+1)*Assumptions!$B$11*0.95),0)+IF(AND(Projects!$G$42="Yes",39&gt;=Projects!$C$42,39&lt;Projects!$C$42+Projects!$D$42),IF(39=Projects!$C$42+Projects!$D$42-1,Projects!$B$42*INDEX(Curves!$B$4:$AO$4,1,39-Projects!$C$42+1)*Assumptions!$B$11*0.95+0.05*Projects!$B$42*Assumptions!$B$11,Projects!$B$42*INDEX(Curves!$B$4:$AO$4,1,39-Projects!$C$42+1)*Assumptions!$B$11*0.95),0)+IF(AND(Projects!$G$43="Yes",39&gt;=Projects!$C$43,39&lt;Projects!$C$43+Projects!$D$43),IF(39=Projects!$C$43+Projects!$D$43-1,Projects!$B$43*INDEX(Curves!$B$4:$AO$4,1,39-Projects!$C$43+1)*Assumptions!$B$11*0.95+0.05*Projects!$B$43*Assumptions!$B$11,Projects!$B$43*INDEX(Curves!$B$4:$AO$4,1,39-Projects!$C$43+1)*Assumptions!$B$11*0.95),0)+IF(AND(Projects!$G$44="Yes",39&gt;=Projects!$C$44,39&lt;Projects!$C$44+Projects!$D$44),IF(39=Projects!$C$44+Projects!$D$44-1,Projects!$B$44*INDEX(Curves!$B$4:$AO$4,1,39-Projects!$C$44+1)*Assumptions!$B$11*0.95+0.05*Projects!$B$44*Assumptions!$B$11,Projects!$B$44*INDEX(Curves!$B$4:$AO$4,1,39-Projects!$C$44+1)*Assumptions!$B$11*0.95),0)+IF(AND(Projects!$G$45="Yes",39&gt;=Projects!$C$45,39&lt;Projects!$C$45+Projects!$D$45),IF(39=Projects!$C$45+Projects!$D$45-1,Projects!$B$45*INDEX(Curves!$B$4:$AO$4,1,39-Projects!$C$45+1)*Assumptions!$B$11*0.95+0.05*Projects!$B$45*Assumptions!$B$11,Projects!$B$45*INDEX(Curves!$B$4:$AO$4,1,39-Projects!$C$45+1)*Assumptions!$B$11*0.95),0)+IF(AND(Projects!$G$46="Yes",39&gt;=Projects!$C$46,39&lt;Projects!$C$46+Projects!$D$46),IF(39=Projects!$C$46+Projects!$D$46-1,Projects!$B$46*INDEX(Curves!$B$4:$AO$4,1,39-Projects!$C$46+1)*Assumptions!$B$11*0.95+0.05*Projects!$B$46*Assumptions!$B$11,Projects!$B$46*INDEX(Curves!$B$4:$AO$4,1,39-Projects!$C$46+1)*Assumptions!$B$11*0.95),0)</f>
        <v/>
      </c>
      <c r="AP109">
        <f>IF(AND(Projects!$G$30="Yes",40&gt;=Projects!$C$30,40&lt;Projects!$C$30+Projects!$D$30),IF(40=Projects!$C$30+Projects!$D$30-1,Projects!$B$30*INDEX(Curves!$B$4:$AO$4,1,40-Projects!$C$30+1)*Assumptions!$B$11*0.95+0.05*Projects!$B$30*Assumptions!$B$11,Projects!$B$30*INDEX(Curves!$B$4:$AO$4,1,40-Projects!$C$30+1)*Assumptions!$B$11*0.95),0)+IF(AND(Projects!$G$31="Yes",40&gt;=Projects!$C$31,40&lt;Projects!$C$31+Projects!$D$31),IF(40=Projects!$C$31+Projects!$D$31-1,Projects!$B$31*INDEX(Curves!$B$4:$AO$4,1,40-Projects!$C$31+1)*Assumptions!$B$11*0.95+0.05*Projects!$B$31*Assumptions!$B$11,Projects!$B$31*INDEX(Curves!$B$4:$AO$4,1,40-Projects!$C$31+1)*Assumptions!$B$11*0.95),0)+IF(AND(Projects!$G$32="Yes",40&gt;=Projects!$C$32,40&lt;Projects!$C$32+Projects!$D$32),IF(40=Projects!$C$32+Projects!$D$32-1,Projects!$B$32*INDEX(Curves!$B$4:$AO$4,1,40-Projects!$C$32+1)*Assumptions!$B$11*0.95+0.05*Projects!$B$32*Assumptions!$B$11,Projects!$B$32*INDEX(Curves!$B$4:$AO$4,1,40-Projects!$C$32+1)*Assumptions!$B$11*0.95),0)+IF(AND(Projects!$G$33="Yes",40&gt;=Projects!$C$33,40&lt;Projects!$C$33+Projects!$D$33),IF(40=Projects!$C$33+Projects!$D$33-1,Projects!$B$33*INDEX(Curves!$B$4:$AO$4,1,40-Projects!$C$33+1)*Assumptions!$B$11*0.95+0.05*Projects!$B$33*Assumptions!$B$11,Projects!$B$33*INDEX(Curves!$B$4:$AO$4,1,40-Projects!$C$33+1)*Assumptions!$B$11*0.95),0)+IF(AND(Projects!$G$34="Yes",40&gt;=Projects!$C$34,40&lt;Projects!$C$34+Projects!$D$34),IF(40=Projects!$C$34+Projects!$D$34-1,Projects!$B$34*INDEX(Curves!$B$4:$AO$4,1,40-Projects!$C$34+1)*Assumptions!$B$11*0.95+0.05*Projects!$B$34*Assumptions!$B$11,Projects!$B$34*INDEX(Curves!$B$4:$AO$4,1,40-Projects!$C$34+1)*Assumptions!$B$11*0.95),0)+IF(AND(Projects!$G$35="Yes",40&gt;=Projects!$C$35,40&lt;Projects!$C$35+Projects!$D$35),IF(40=Projects!$C$35+Projects!$D$35-1,Projects!$B$35*INDEX(Curves!$B$4:$AO$4,1,40-Projects!$C$35+1)*Assumptions!$B$11*0.95+0.05*Projects!$B$35*Assumptions!$B$11,Projects!$B$35*INDEX(Curves!$B$4:$AO$4,1,40-Projects!$C$35+1)*Assumptions!$B$11*0.95),0)+IF(AND(Projects!$G$36="Yes",40&gt;=Projects!$C$36,40&lt;Projects!$C$36+Projects!$D$36),IF(40=Projects!$C$36+Projects!$D$36-1,Projects!$B$36*INDEX(Curves!$B$4:$AO$4,1,40-Projects!$C$36+1)*Assumptions!$B$11*0.95+0.05*Projects!$B$36*Assumptions!$B$11,Projects!$B$36*INDEX(Curves!$B$4:$AO$4,1,40-Projects!$C$36+1)*Assumptions!$B$11*0.95),0)+IF(AND(Projects!$G$37="Yes",40&gt;=Projects!$C$37,40&lt;Projects!$C$37+Projects!$D$37),IF(40=Projects!$C$37+Projects!$D$37-1,Projects!$B$37*INDEX(Curves!$B$4:$AO$4,1,40-Projects!$C$37+1)*Assumptions!$B$11*0.95+0.05*Projects!$B$37*Assumptions!$B$11,Projects!$B$37*INDEX(Curves!$B$4:$AO$4,1,40-Projects!$C$37+1)*Assumptions!$B$11*0.95),0)+IF(AND(Projects!$G$38="Yes",40&gt;=Projects!$C$38,40&lt;Projects!$C$38+Projects!$D$38),IF(40=Projects!$C$38+Projects!$D$38-1,Projects!$B$38*INDEX(Curves!$B$4:$AO$4,1,40-Projects!$C$38+1)*Assumptions!$B$11*0.95+0.05*Projects!$B$38*Assumptions!$B$11,Projects!$B$38*INDEX(Curves!$B$4:$AO$4,1,40-Projects!$C$38+1)*Assumptions!$B$11*0.95),0)+IF(AND(Projects!$G$39="Yes",40&gt;=Projects!$C$39,40&lt;Projects!$C$39+Projects!$D$39),IF(40=Projects!$C$39+Projects!$D$39-1,Projects!$B$39*INDEX(Curves!$B$4:$AO$4,1,40-Projects!$C$39+1)*Assumptions!$B$11*0.95+0.05*Projects!$B$39*Assumptions!$B$11,Projects!$B$39*INDEX(Curves!$B$4:$AO$4,1,40-Projects!$C$39+1)*Assumptions!$B$11*0.95),0)+IF(AND(Projects!$G$40="Yes",40&gt;=Projects!$C$40,40&lt;Projects!$C$40+Projects!$D$40),IF(40=Projects!$C$40+Projects!$D$40-1,Projects!$B$40*INDEX(Curves!$B$4:$AO$4,1,40-Projects!$C$40+1)*Assumptions!$B$11*0.95+0.05*Projects!$B$40*Assumptions!$B$11,Projects!$B$40*INDEX(Curves!$B$4:$AO$4,1,40-Projects!$C$40+1)*Assumptions!$B$11*0.95),0)+IF(AND(Projects!$G$41="Yes",40&gt;=Projects!$C$41,40&lt;Projects!$C$41+Projects!$D$41),IF(40=Projects!$C$41+Projects!$D$41-1,Projects!$B$41*INDEX(Curves!$B$4:$AO$4,1,40-Projects!$C$41+1)*Assumptions!$B$11*0.95+0.05*Projects!$B$41*Assumptions!$B$11,Projects!$B$41*INDEX(Curves!$B$4:$AO$4,1,40-Projects!$C$41+1)*Assumptions!$B$11*0.95),0)+IF(AND(Projects!$G$42="Yes",40&gt;=Projects!$C$42,40&lt;Projects!$C$42+Projects!$D$42),IF(40=Projects!$C$42+Projects!$D$42-1,Projects!$B$42*INDEX(Curves!$B$4:$AO$4,1,40-Projects!$C$42+1)*Assumptions!$B$11*0.95+0.05*Projects!$B$42*Assumptions!$B$11,Projects!$B$42*INDEX(Curves!$B$4:$AO$4,1,40-Projects!$C$42+1)*Assumptions!$B$11*0.95),0)+IF(AND(Projects!$G$43="Yes",40&gt;=Projects!$C$43,40&lt;Projects!$C$43+Projects!$D$43),IF(40=Projects!$C$43+Projects!$D$43-1,Projects!$B$43*INDEX(Curves!$B$4:$AO$4,1,40-Projects!$C$43+1)*Assumptions!$B$11*0.95+0.05*Projects!$B$43*Assumptions!$B$11,Projects!$B$43*INDEX(Curves!$B$4:$AO$4,1,40-Projects!$C$43+1)*Assumptions!$B$11*0.95),0)+IF(AND(Projects!$G$44="Yes",40&gt;=Projects!$C$44,40&lt;Projects!$C$44+Projects!$D$44),IF(40=Projects!$C$44+Projects!$D$44-1,Projects!$B$44*INDEX(Curves!$B$4:$AO$4,1,40-Projects!$C$44+1)*Assumptions!$B$11*0.95+0.05*Projects!$B$44*Assumptions!$B$11,Projects!$B$44*INDEX(Curves!$B$4:$AO$4,1,40-Projects!$C$44+1)*Assumptions!$B$11*0.95),0)+IF(AND(Projects!$G$45="Yes",40&gt;=Projects!$C$45,40&lt;Projects!$C$45+Projects!$D$45),IF(40=Projects!$C$45+Projects!$D$45-1,Projects!$B$45*INDEX(Curves!$B$4:$AO$4,1,40-Projects!$C$45+1)*Assumptions!$B$11*0.95+0.05*Projects!$B$45*Assumptions!$B$11,Projects!$B$45*INDEX(Curves!$B$4:$AO$4,1,40-Projects!$C$45+1)*Assumptions!$B$11*0.95),0)+IF(AND(Projects!$G$46="Yes",40&gt;=Projects!$C$46,40&lt;Projects!$C$46+Projects!$D$46),IF(40=Projects!$C$46+Projects!$D$46-1,Projects!$B$46*INDEX(Curves!$B$4:$AO$4,1,40-Projects!$C$46+1)*Assumptions!$B$11*0.95+0.05*Projects!$B$46*Assumptions!$B$11,Projects!$B$46*INDEX(Curves!$B$4:$AO$4,1,40-Projects!$C$46+1)*Assumptions!$B$11*0.95),0)</f>
        <v/>
      </c>
      <c r="AQ109">
        <f>IF(AND(Projects!$G$30="Yes",41&gt;=Projects!$C$30,41&lt;Projects!$C$30+Projects!$D$30),IF(41=Projects!$C$30+Projects!$D$30-1,Projects!$B$30*INDEX(Curves!$B$4:$AO$4,1,41-Projects!$C$30+1)*Assumptions!$B$11*0.95+0.05*Projects!$B$30*Assumptions!$B$11,Projects!$B$30*INDEX(Curves!$B$4:$AO$4,1,41-Projects!$C$30+1)*Assumptions!$B$11*0.95),0)+IF(AND(Projects!$G$31="Yes",41&gt;=Projects!$C$31,41&lt;Projects!$C$31+Projects!$D$31),IF(41=Projects!$C$31+Projects!$D$31-1,Projects!$B$31*INDEX(Curves!$B$4:$AO$4,1,41-Projects!$C$31+1)*Assumptions!$B$11*0.95+0.05*Projects!$B$31*Assumptions!$B$11,Projects!$B$31*INDEX(Curves!$B$4:$AO$4,1,41-Projects!$C$31+1)*Assumptions!$B$11*0.95),0)+IF(AND(Projects!$G$32="Yes",41&gt;=Projects!$C$32,41&lt;Projects!$C$32+Projects!$D$32),IF(41=Projects!$C$32+Projects!$D$32-1,Projects!$B$32*INDEX(Curves!$B$4:$AO$4,1,41-Projects!$C$32+1)*Assumptions!$B$11*0.95+0.05*Projects!$B$32*Assumptions!$B$11,Projects!$B$32*INDEX(Curves!$B$4:$AO$4,1,41-Projects!$C$32+1)*Assumptions!$B$11*0.95),0)+IF(AND(Projects!$G$33="Yes",41&gt;=Projects!$C$33,41&lt;Projects!$C$33+Projects!$D$33),IF(41=Projects!$C$33+Projects!$D$33-1,Projects!$B$33*INDEX(Curves!$B$4:$AO$4,1,41-Projects!$C$33+1)*Assumptions!$B$11*0.95+0.05*Projects!$B$33*Assumptions!$B$11,Projects!$B$33*INDEX(Curves!$B$4:$AO$4,1,41-Projects!$C$33+1)*Assumptions!$B$11*0.95),0)+IF(AND(Projects!$G$34="Yes",41&gt;=Projects!$C$34,41&lt;Projects!$C$34+Projects!$D$34),IF(41=Projects!$C$34+Projects!$D$34-1,Projects!$B$34*INDEX(Curves!$B$4:$AO$4,1,41-Projects!$C$34+1)*Assumptions!$B$11*0.95+0.05*Projects!$B$34*Assumptions!$B$11,Projects!$B$34*INDEX(Curves!$B$4:$AO$4,1,41-Projects!$C$34+1)*Assumptions!$B$11*0.95),0)+IF(AND(Projects!$G$35="Yes",41&gt;=Projects!$C$35,41&lt;Projects!$C$35+Projects!$D$35),IF(41=Projects!$C$35+Projects!$D$35-1,Projects!$B$35*INDEX(Curves!$B$4:$AO$4,1,41-Projects!$C$35+1)*Assumptions!$B$11*0.95+0.05*Projects!$B$35*Assumptions!$B$11,Projects!$B$35*INDEX(Curves!$B$4:$AO$4,1,41-Projects!$C$35+1)*Assumptions!$B$11*0.95),0)+IF(AND(Projects!$G$36="Yes",41&gt;=Projects!$C$36,41&lt;Projects!$C$36+Projects!$D$36),IF(41=Projects!$C$36+Projects!$D$36-1,Projects!$B$36*INDEX(Curves!$B$4:$AO$4,1,41-Projects!$C$36+1)*Assumptions!$B$11*0.95+0.05*Projects!$B$36*Assumptions!$B$11,Projects!$B$36*INDEX(Curves!$B$4:$AO$4,1,41-Projects!$C$36+1)*Assumptions!$B$11*0.95),0)+IF(AND(Projects!$G$37="Yes",41&gt;=Projects!$C$37,41&lt;Projects!$C$37+Projects!$D$37),IF(41=Projects!$C$37+Projects!$D$37-1,Projects!$B$37*INDEX(Curves!$B$4:$AO$4,1,41-Projects!$C$37+1)*Assumptions!$B$11*0.95+0.05*Projects!$B$37*Assumptions!$B$11,Projects!$B$37*INDEX(Curves!$B$4:$AO$4,1,41-Projects!$C$37+1)*Assumptions!$B$11*0.95),0)+IF(AND(Projects!$G$38="Yes",41&gt;=Projects!$C$38,41&lt;Projects!$C$38+Projects!$D$38),IF(41=Projects!$C$38+Projects!$D$38-1,Projects!$B$38*INDEX(Curves!$B$4:$AO$4,1,41-Projects!$C$38+1)*Assumptions!$B$11*0.95+0.05*Projects!$B$38*Assumptions!$B$11,Projects!$B$38*INDEX(Curves!$B$4:$AO$4,1,41-Projects!$C$38+1)*Assumptions!$B$11*0.95),0)+IF(AND(Projects!$G$39="Yes",41&gt;=Projects!$C$39,41&lt;Projects!$C$39+Projects!$D$39),IF(41=Projects!$C$39+Projects!$D$39-1,Projects!$B$39*INDEX(Curves!$B$4:$AO$4,1,41-Projects!$C$39+1)*Assumptions!$B$11*0.95+0.05*Projects!$B$39*Assumptions!$B$11,Projects!$B$39*INDEX(Curves!$B$4:$AO$4,1,41-Projects!$C$39+1)*Assumptions!$B$11*0.95),0)+IF(AND(Projects!$G$40="Yes",41&gt;=Projects!$C$40,41&lt;Projects!$C$40+Projects!$D$40),IF(41=Projects!$C$40+Projects!$D$40-1,Projects!$B$40*INDEX(Curves!$B$4:$AO$4,1,41-Projects!$C$40+1)*Assumptions!$B$11*0.95+0.05*Projects!$B$40*Assumptions!$B$11,Projects!$B$40*INDEX(Curves!$B$4:$AO$4,1,41-Projects!$C$40+1)*Assumptions!$B$11*0.95),0)+IF(AND(Projects!$G$41="Yes",41&gt;=Projects!$C$41,41&lt;Projects!$C$41+Projects!$D$41),IF(41=Projects!$C$41+Projects!$D$41-1,Projects!$B$41*INDEX(Curves!$B$4:$AO$4,1,41-Projects!$C$41+1)*Assumptions!$B$11*0.95+0.05*Projects!$B$41*Assumptions!$B$11,Projects!$B$41*INDEX(Curves!$B$4:$AO$4,1,41-Projects!$C$41+1)*Assumptions!$B$11*0.95),0)+IF(AND(Projects!$G$42="Yes",41&gt;=Projects!$C$42,41&lt;Projects!$C$42+Projects!$D$42),IF(41=Projects!$C$42+Projects!$D$42-1,Projects!$B$42*INDEX(Curves!$B$4:$AO$4,1,41-Projects!$C$42+1)*Assumptions!$B$11*0.95+0.05*Projects!$B$42*Assumptions!$B$11,Projects!$B$42*INDEX(Curves!$B$4:$AO$4,1,41-Projects!$C$42+1)*Assumptions!$B$11*0.95),0)+IF(AND(Projects!$G$43="Yes",41&gt;=Projects!$C$43,41&lt;Projects!$C$43+Projects!$D$43),IF(41=Projects!$C$43+Projects!$D$43-1,Projects!$B$43*INDEX(Curves!$B$4:$AO$4,1,41-Projects!$C$43+1)*Assumptions!$B$11*0.95+0.05*Projects!$B$43*Assumptions!$B$11,Projects!$B$43*INDEX(Curves!$B$4:$AO$4,1,41-Projects!$C$43+1)*Assumptions!$B$11*0.95),0)+IF(AND(Projects!$G$44="Yes",41&gt;=Projects!$C$44,41&lt;Projects!$C$44+Projects!$D$44),IF(41=Projects!$C$44+Projects!$D$44-1,Projects!$B$44*INDEX(Curves!$B$4:$AO$4,1,41-Projects!$C$44+1)*Assumptions!$B$11*0.95+0.05*Projects!$B$44*Assumptions!$B$11,Projects!$B$44*INDEX(Curves!$B$4:$AO$4,1,41-Projects!$C$44+1)*Assumptions!$B$11*0.95),0)+IF(AND(Projects!$G$45="Yes",41&gt;=Projects!$C$45,41&lt;Projects!$C$45+Projects!$D$45),IF(41=Projects!$C$45+Projects!$D$45-1,Projects!$B$45*INDEX(Curves!$B$4:$AO$4,1,41-Projects!$C$45+1)*Assumptions!$B$11*0.95+0.05*Projects!$B$45*Assumptions!$B$11,Projects!$B$45*INDEX(Curves!$B$4:$AO$4,1,41-Projects!$C$45+1)*Assumptions!$B$11*0.95),0)+IF(AND(Projects!$G$46="Yes",41&gt;=Projects!$C$46,41&lt;Projects!$C$46+Projects!$D$46),IF(41=Projects!$C$46+Projects!$D$46-1,Projects!$B$46*INDEX(Curves!$B$4:$AO$4,1,41-Projects!$C$46+1)*Assumptions!$B$11*0.95+0.05*Projects!$B$46*Assumptions!$B$11,Projects!$B$46*INDEX(Curves!$B$4:$AO$4,1,41-Projects!$C$46+1)*Assumptions!$B$11*0.95),0)</f>
        <v/>
      </c>
      <c r="AR109">
        <f>IF(AND(Projects!$G$30="Yes",42&gt;=Projects!$C$30,42&lt;Projects!$C$30+Projects!$D$30),IF(42=Projects!$C$30+Projects!$D$30-1,Projects!$B$30*INDEX(Curves!$B$4:$AO$4,1,42-Projects!$C$30+1)*Assumptions!$B$11*0.95+0.05*Projects!$B$30*Assumptions!$B$11,Projects!$B$30*INDEX(Curves!$B$4:$AO$4,1,42-Projects!$C$30+1)*Assumptions!$B$11*0.95),0)+IF(AND(Projects!$G$31="Yes",42&gt;=Projects!$C$31,42&lt;Projects!$C$31+Projects!$D$31),IF(42=Projects!$C$31+Projects!$D$31-1,Projects!$B$31*INDEX(Curves!$B$4:$AO$4,1,42-Projects!$C$31+1)*Assumptions!$B$11*0.95+0.05*Projects!$B$31*Assumptions!$B$11,Projects!$B$31*INDEX(Curves!$B$4:$AO$4,1,42-Projects!$C$31+1)*Assumptions!$B$11*0.95),0)+IF(AND(Projects!$G$32="Yes",42&gt;=Projects!$C$32,42&lt;Projects!$C$32+Projects!$D$32),IF(42=Projects!$C$32+Projects!$D$32-1,Projects!$B$32*INDEX(Curves!$B$4:$AO$4,1,42-Projects!$C$32+1)*Assumptions!$B$11*0.95+0.05*Projects!$B$32*Assumptions!$B$11,Projects!$B$32*INDEX(Curves!$B$4:$AO$4,1,42-Projects!$C$32+1)*Assumptions!$B$11*0.95),0)+IF(AND(Projects!$G$33="Yes",42&gt;=Projects!$C$33,42&lt;Projects!$C$33+Projects!$D$33),IF(42=Projects!$C$33+Projects!$D$33-1,Projects!$B$33*INDEX(Curves!$B$4:$AO$4,1,42-Projects!$C$33+1)*Assumptions!$B$11*0.95+0.05*Projects!$B$33*Assumptions!$B$11,Projects!$B$33*INDEX(Curves!$B$4:$AO$4,1,42-Projects!$C$33+1)*Assumptions!$B$11*0.95),0)+IF(AND(Projects!$G$34="Yes",42&gt;=Projects!$C$34,42&lt;Projects!$C$34+Projects!$D$34),IF(42=Projects!$C$34+Projects!$D$34-1,Projects!$B$34*INDEX(Curves!$B$4:$AO$4,1,42-Projects!$C$34+1)*Assumptions!$B$11*0.95+0.05*Projects!$B$34*Assumptions!$B$11,Projects!$B$34*INDEX(Curves!$B$4:$AO$4,1,42-Projects!$C$34+1)*Assumptions!$B$11*0.95),0)+IF(AND(Projects!$G$35="Yes",42&gt;=Projects!$C$35,42&lt;Projects!$C$35+Projects!$D$35),IF(42=Projects!$C$35+Projects!$D$35-1,Projects!$B$35*INDEX(Curves!$B$4:$AO$4,1,42-Projects!$C$35+1)*Assumptions!$B$11*0.95+0.05*Projects!$B$35*Assumptions!$B$11,Projects!$B$35*INDEX(Curves!$B$4:$AO$4,1,42-Projects!$C$35+1)*Assumptions!$B$11*0.95),0)+IF(AND(Projects!$G$36="Yes",42&gt;=Projects!$C$36,42&lt;Projects!$C$36+Projects!$D$36),IF(42=Projects!$C$36+Projects!$D$36-1,Projects!$B$36*INDEX(Curves!$B$4:$AO$4,1,42-Projects!$C$36+1)*Assumptions!$B$11*0.95+0.05*Projects!$B$36*Assumptions!$B$11,Projects!$B$36*INDEX(Curves!$B$4:$AO$4,1,42-Projects!$C$36+1)*Assumptions!$B$11*0.95),0)+IF(AND(Projects!$G$37="Yes",42&gt;=Projects!$C$37,42&lt;Projects!$C$37+Projects!$D$37),IF(42=Projects!$C$37+Projects!$D$37-1,Projects!$B$37*INDEX(Curves!$B$4:$AO$4,1,42-Projects!$C$37+1)*Assumptions!$B$11*0.95+0.05*Projects!$B$37*Assumptions!$B$11,Projects!$B$37*INDEX(Curves!$B$4:$AO$4,1,42-Projects!$C$37+1)*Assumptions!$B$11*0.95),0)+IF(AND(Projects!$G$38="Yes",42&gt;=Projects!$C$38,42&lt;Projects!$C$38+Projects!$D$38),IF(42=Projects!$C$38+Projects!$D$38-1,Projects!$B$38*INDEX(Curves!$B$4:$AO$4,1,42-Projects!$C$38+1)*Assumptions!$B$11*0.95+0.05*Projects!$B$38*Assumptions!$B$11,Projects!$B$38*INDEX(Curves!$B$4:$AO$4,1,42-Projects!$C$38+1)*Assumptions!$B$11*0.95),0)+IF(AND(Projects!$G$39="Yes",42&gt;=Projects!$C$39,42&lt;Projects!$C$39+Projects!$D$39),IF(42=Projects!$C$39+Projects!$D$39-1,Projects!$B$39*INDEX(Curves!$B$4:$AO$4,1,42-Projects!$C$39+1)*Assumptions!$B$11*0.95+0.05*Projects!$B$39*Assumptions!$B$11,Projects!$B$39*INDEX(Curves!$B$4:$AO$4,1,42-Projects!$C$39+1)*Assumptions!$B$11*0.95),0)+IF(AND(Projects!$G$40="Yes",42&gt;=Projects!$C$40,42&lt;Projects!$C$40+Projects!$D$40),IF(42=Projects!$C$40+Projects!$D$40-1,Projects!$B$40*INDEX(Curves!$B$4:$AO$4,1,42-Projects!$C$40+1)*Assumptions!$B$11*0.95+0.05*Projects!$B$40*Assumptions!$B$11,Projects!$B$40*INDEX(Curves!$B$4:$AO$4,1,42-Projects!$C$40+1)*Assumptions!$B$11*0.95),0)+IF(AND(Projects!$G$41="Yes",42&gt;=Projects!$C$41,42&lt;Projects!$C$41+Projects!$D$41),IF(42=Projects!$C$41+Projects!$D$41-1,Projects!$B$41*INDEX(Curves!$B$4:$AO$4,1,42-Projects!$C$41+1)*Assumptions!$B$11*0.95+0.05*Projects!$B$41*Assumptions!$B$11,Projects!$B$41*INDEX(Curves!$B$4:$AO$4,1,42-Projects!$C$41+1)*Assumptions!$B$11*0.95),0)+IF(AND(Projects!$G$42="Yes",42&gt;=Projects!$C$42,42&lt;Projects!$C$42+Projects!$D$42),IF(42=Projects!$C$42+Projects!$D$42-1,Projects!$B$42*INDEX(Curves!$B$4:$AO$4,1,42-Projects!$C$42+1)*Assumptions!$B$11*0.95+0.05*Projects!$B$42*Assumptions!$B$11,Projects!$B$42*INDEX(Curves!$B$4:$AO$4,1,42-Projects!$C$42+1)*Assumptions!$B$11*0.95),0)+IF(AND(Projects!$G$43="Yes",42&gt;=Projects!$C$43,42&lt;Projects!$C$43+Projects!$D$43),IF(42=Projects!$C$43+Projects!$D$43-1,Projects!$B$43*INDEX(Curves!$B$4:$AO$4,1,42-Projects!$C$43+1)*Assumptions!$B$11*0.95+0.05*Projects!$B$43*Assumptions!$B$11,Projects!$B$43*INDEX(Curves!$B$4:$AO$4,1,42-Projects!$C$43+1)*Assumptions!$B$11*0.95),0)+IF(AND(Projects!$G$44="Yes",42&gt;=Projects!$C$44,42&lt;Projects!$C$44+Projects!$D$44),IF(42=Projects!$C$44+Projects!$D$44-1,Projects!$B$44*INDEX(Curves!$B$4:$AO$4,1,42-Projects!$C$44+1)*Assumptions!$B$11*0.95+0.05*Projects!$B$44*Assumptions!$B$11,Projects!$B$44*INDEX(Curves!$B$4:$AO$4,1,42-Projects!$C$44+1)*Assumptions!$B$11*0.95),0)+IF(AND(Projects!$G$45="Yes",42&gt;=Projects!$C$45,42&lt;Projects!$C$45+Projects!$D$45),IF(42=Projects!$C$45+Projects!$D$45-1,Projects!$B$45*INDEX(Curves!$B$4:$AO$4,1,42-Projects!$C$45+1)*Assumptions!$B$11*0.95+0.05*Projects!$B$45*Assumptions!$B$11,Projects!$B$45*INDEX(Curves!$B$4:$AO$4,1,42-Projects!$C$45+1)*Assumptions!$B$11*0.95),0)+IF(AND(Projects!$G$46="Yes",42&gt;=Projects!$C$46,42&lt;Projects!$C$46+Projects!$D$46),IF(42=Projects!$C$46+Projects!$D$46-1,Projects!$B$46*INDEX(Curves!$B$4:$AO$4,1,42-Projects!$C$46+1)*Assumptions!$B$11*0.95+0.05*Projects!$B$46*Assumptions!$B$11,Projects!$B$46*INDEX(Curves!$B$4:$AO$4,1,42-Projects!$C$46+1)*Assumptions!$B$11*0.95),0)</f>
        <v/>
      </c>
      <c r="AS109">
        <f>IF(AND(Projects!$G$30="Yes",43&gt;=Projects!$C$30,43&lt;Projects!$C$30+Projects!$D$30),IF(43=Projects!$C$30+Projects!$D$30-1,Projects!$B$30*INDEX(Curves!$B$4:$AO$4,1,43-Projects!$C$30+1)*Assumptions!$B$11*0.95+0.05*Projects!$B$30*Assumptions!$B$11,Projects!$B$30*INDEX(Curves!$B$4:$AO$4,1,43-Projects!$C$30+1)*Assumptions!$B$11*0.95),0)+IF(AND(Projects!$G$31="Yes",43&gt;=Projects!$C$31,43&lt;Projects!$C$31+Projects!$D$31),IF(43=Projects!$C$31+Projects!$D$31-1,Projects!$B$31*INDEX(Curves!$B$4:$AO$4,1,43-Projects!$C$31+1)*Assumptions!$B$11*0.95+0.05*Projects!$B$31*Assumptions!$B$11,Projects!$B$31*INDEX(Curves!$B$4:$AO$4,1,43-Projects!$C$31+1)*Assumptions!$B$11*0.95),0)+IF(AND(Projects!$G$32="Yes",43&gt;=Projects!$C$32,43&lt;Projects!$C$32+Projects!$D$32),IF(43=Projects!$C$32+Projects!$D$32-1,Projects!$B$32*INDEX(Curves!$B$4:$AO$4,1,43-Projects!$C$32+1)*Assumptions!$B$11*0.95+0.05*Projects!$B$32*Assumptions!$B$11,Projects!$B$32*INDEX(Curves!$B$4:$AO$4,1,43-Projects!$C$32+1)*Assumptions!$B$11*0.95),0)+IF(AND(Projects!$G$33="Yes",43&gt;=Projects!$C$33,43&lt;Projects!$C$33+Projects!$D$33),IF(43=Projects!$C$33+Projects!$D$33-1,Projects!$B$33*INDEX(Curves!$B$4:$AO$4,1,43-Projects!$C$33+1)*Assumptions!$B$11*0.95+0.05*Projects!$B$33*Assumptions!$B$11,Projects!$B$33*INDEX(Curves!$B$4:$AO$4,1,43-Projects!$C$33+1)*Assumptions!$B$11*0.95),0)+IF(AND(Projects!$G$34="Yes",43&gt;=Projects!$C$34,43&lt;Projects!$C$34+Projects!$D$34),IF(43=Projects!$C$34+Projects!$D$34-1,Projects!$B$34*INDEX(Curves!$B$4:$AO$4,1,43-Projects!$C$34+1)*Assumptions!$B$11*0.95+0.05*Projects!$B$34*Assumptions!$B$11,Projects!$B$34*INDEX(Curves!$B$4:$AO$4,1,43-Projects!$C$34+1)*Assumptions!$B$11*0.95),0)+IF(AND(Projects!$G$35="Yes",43&gt;=Projects!$C$35,43&lt;Projects!$C$35+Projects!$D$35),IF(43=Projects!$C$35+Projects!$D$35-1,Projects!$B$35*INDEX(Curves!$B$4:$AO$4,1,43-Projects!$C$35+1)*Assumptions!$B$11*0.95+0.05*Projects!$B$35*Assumptions!$B$11,Projects!$B$35*INDEX(Curves!$B$4:$AO$4,1,43-Projects!$C$35+1)*Assumptions!$B$11*0.95),0)+IF(AND(Projects!$G$36="Yes",43&gt;=Projects!$C$36,43&lt;Projects!$C$36+Projects!$D$36),IF(43=Projects!$C$36+Projects!$D$36-1,Projects!$B$36*INDEX(Curves!$B$4:$AO$4,1,43-Projects!$C$36+1)*Assumptions!$B$11*0.95+0.05*Projects!$B$36*Assumptions!$B$11,Projects!$B$36*INDEX(Curves!$B$4:$AO$4,1,43-Projects!$C$36+1)*Assumptions!$B$11*0.95),0)+IF(AND(Projects!$G$37="Yes",43&gt;=Projects!$C$37,43&lt;Projects!$C$37+Projects!$D$37),IF(43=Projects!$C$37+Projects!$D$37-1,Projects!$B$37*INDEX(Curves!$B$4:$AO$4,1,43-Projects!$C$37+1)*Assumptions!$B$11*0.95+0.05*Projects!$B$37*Assumptions!$B$11,Projects!$B$37*INDEX(Curves!$B$4:$AO$4,1,43-Projects!$C$37+1)*Assumptions!$B$11*0.95),0)+IF(AND(Projects!$G$38="Yes",43&gt;=Projects!$C$38,43&lt;Projects!$C$38+Projects!$D$38),IF(43=Projects!$C$38+Projects!$D$38-1,Projects!$B$38*INDEX(Curves!$B$4:$AO$4,1,43-Projects!$C$38+1)*Assumptions!$B$11*0.95+0.05*Projects!$B$38*Assumptions!$B$11,Projects!$B$38*INDEX(Curves!$B$4:$AO$4,1,43-Projects!$C$38+1)*Assumptions!$B$11*0.95),0)+IF(AND(Projects!$G$39="Yes",43&gt;=Projects!$C$39,43&lt;Projects!$C$39+Projects!$D$39),IF(43=Projects!$C$39+Projects!$D$39-1,Projects!$B$39*INDEX(Curves!$B$4:$AO$4,1,43-Projects!$C$39+1)*Assumptions!$B$11*0.95+0.05*Projects!$B$39*Assumptions!$B$11,Projects!$B$39*INDEX(Curves!$B$4:$AO$4,1,43-Projects!$C$39+1)*Assumptions!$B$11*0.95),0)+IF(AND(Projects!$G$40="Yes",43&gt;=Projects!$C$40,43&lt;Projects!$C$40+Projects!$D$40),IF(43=Projects!$C$40+Projects!$D$40-1,Projects!$B$40*INDEX(Curves!$B$4:$AO$4,1,43-Projects!$C$40+1)*Assumptions!$B$11*0.95+0.05*Projects!$B$40*Assumptions!$B$11,Projects!$B$40*INDEX(Curves!$B$4:$AO$4,1,43-Projects!$C$40+1)*Assumptions!$B$11*0.95),0)+IF(AND(Projects!$G$41="Yes",43&gt;=Projects!$C$41,43&lt;Projects!$C$41+Projects!$D$41),IF(43=Projects!$C$41+Projects!$D$41-1,Projects!$B$41*INDEX(Curves!$B$4:$AO$4,1,43-Projects!$C$41+1)*Assumptions!$B$11*0.95+0.05*Projects!$B$41*Assumptions!$B$11,Projects!$B$41*INDEX(Curves!$B$4:$AO$4,1,43-Projects!$C$41+1)*Assumptions!$B$11*0.95),0)+IF(AND(Projects!$G$42="Yes",43&gt;=Projects!$C$42,43&lt;Projects!$C$42+Projects!$D$42),IF(43=Projects!$C$42+Projects!$D$42-1,Projects!$B$42*INDEX(Curves!$B$4:$AO$4,1,43-Projects!$C$42+1)*Assumptions!$B$11*0.95+0.05*Projects!$B$42*Assumptions!$B$11,Projects!$B$42*INDEX(Curves!$B$4:$AO$4,1,43-Projects!$C$42+1)*Assumptions!$B$11*0.95),0)+IF(AND(Projects!$G$43="Yes",43&gt;=Projects!$C$43,43&lt;Projects!$C$43+Projects!$D$43),IF(43=Projects!$C$43+Projects!$D$43-1,Projects!$B$43*INDEX(Curves!$B$4:$AO$4,1,43-Projects!$C$43+1)*Assumptions!$B$11*0.95+0.05*Projects!$B$43*Assumptions!$B$11,Projects!$B$43*INDEX(Curves!$B$4:$AO$4,1,43-Projects!$C$43+1)*Assumptions!$B$11*0.95),0)+IF(AND(Projects!$G$44="Yes",43&gt;=Projects!$C$44,43&lt;Projects!$C$44+Projects!$D$44),IF(43=Projects!$C$44+Projects!$D$44-1,Projects!$B$44*INDEX(Curves!$B$4:$AO$4,1,43-Projects!$C$44+1)*Assumptions!$B$11*0.95+0.05*Projects!$B$44*Assumptions!$B$11,Projects!$B$44*INDEX(Curves!$B$4:$AO$4,1,43-Projects!$C$44+1)*Assumptions!$B$11*0.95),0)+IF(AND(Projects!$G$45="Yes",43&gt;=Projects!$C$45,43&lt;Projects!$C$45+Projects!$D$45),IF(43=Projects!$C$45+Projects!$D$45-1,Projects!$B$45*INDEX(Curves!$B$4:$AO$4,1,43-Projects!$C$45+1)*Assumptions!$B$11*0.95+0.05*Projects!$B$45*Assumptions!$B$11,Projects!$B$45*INDEX(Curves!$B$4:$AO$4,1,43-Projects!$C$45+1)*Assumptions!$B$11*0.95),0)+IF(AND(Projects!$G$46="Yes",43&gt;=Projects!$C$46,43&lt;Projects!$C$46+Projects!$D$46),IF(43=Projects!$C$46+Projects!$D$46-1,Projects!$B$46*INDEX(Curves!$B$4:$AO$4,1,43-Projects!$C$46+1)*Assumptions!$B$11*0.95+0.05*Projects!$B$46*Assumptions!$B$11,Projects!$B$46*INDEX(Curves!$B$4:$AO$4,1,43-Projects!$C$46+1)*Assumptions!$B$11*0.95),0)</f>
        <v/>
      </c>
      <c r="AT109">
        <f>IF(AND(Projects!$G$30="Yes",44&gt;=Projects!$C$30,44&lt;Projects!$C$30+Projects!$D$30),IF(44=Projects!$C$30+Projects!$D$30-1,Projects!$B$30*INDEX(Curves!$B$4:$AO$4,1,44-Projects!$C$30+1)*Assumptions!$B$11*0.95+0.05*Projects!$B$30*Assumptions!$B$11,Projects!$B$30*INDEX(Curves!$B$4:$AO$4,1,44-Projects!$C$30+1)*Assumptions!$B$11*0.95),0)+IF(AND(Projects!$G$31="Yes",44&gt;=Projects!$C$31,44&lt;Projects!$C$31+Projects!$D$31),IF(44=Projects!$C$31+Projects!$D$31-1,Projects!$B$31*INDEX(Curves!$B$4:$AO$4,1,44-Projects!$C$31+1)*Assumptions!$B$11*0.95+0.05*Projects!$B$31*Assumptions!$B$11,Projects!$B$31*INDEX(Curves!$B$4:$AO$4,1,44-Projects!$C$31+1)*Assumptions!$B$11*0.95),0)+IF(AND(Projects!$G$32="Yes",44&gt;=Projects!$C$32,44&lt;Projects!$C$32+Projects!$D$32),IF(44=Projects!$C$32+Projects!$D$32-1,Projects!$B$32*INDEX(Curves!$B$4:$AO$4,1,44-Projects!$C$32+1)*Assumptions!$B$11*0.95+0.05*Projects!$B$32*Assumptions!$B$11,Projects!$B$32*INDEX(Curves!$B$4:$AO$4,1,44-Projects!$C$32+1)*Assumptions!$B$11*0.95),0)+IF(AND(Projects!$G$33="Yes",44&gt;=Projects!$C$33,44&lt;Projects!$C$33+Projects!$D$33),IF(44=Projects!$C$33+Projects!$D$33-1,Projects!$B$33*INDEX(Curves!$B$4:$AO$4,1,44-Projects!$C$33+1)*Assumptions!$B$11*0.95+0.05*Projects!$B$33*Assumptions!$B$11,Projects!$B$33*INDEX(Curves!$B$4:$AO$4,1,44-Projects!$C$33+1)*Assumptions!$B$11*0.95),0)+IF(AND(Projects!$G$34="Yes",44&gt;=Projects!$C$34,44&lt;Projects!$C$34+Projects!$D$34),IF(44=Projects!$C$34+Projects!$D$34-1,Projects!$B$34*INDEX(Curves!$B$4:$AO$4,1,44-Projects!$C$34+1)*Assumptions!$B$11*0.95+0.05*Projects!$B$34*Assumptions!$B$11,Projects!$B$34*INDEX(Curves!$B$4:$AO$4,1,44-Projects!$C$34+1)*Assumptions!$B$11*0.95),0)+IF(AND(Projects!$G$35="Yes",44&gt;=Projects!$C$35,44&lt;Projects!$C$35+Projects!$D$35),IF(44=Projects!$C$35+Projects!$D$35-1,Projects!$B$35*INDEX(Curves!$B$4:$AO$4,1,44-Projects!$C$35+1)*Assumptions!$B$11*0.95+0.05*Projects!$B$35*Assumptions!$B$11,Projects!$B$35*INDEX(Curves!$B$4:$AO$4,1,44-Projects!$C$35+1)*Assumptions!$B$11*0.95),0)+IF(AND(Projects!$G$36="Yes",44&gt;=Projects!$C$36,44&lt;Projects!$C$36+Projects!$D$36),IF(44=Projects!$C$36+Projects!$D$36-1,Projects!$B$36*INDEX(Curves!$B$4:$AO$4,1,44-Projects!$C$36+1)*Assumptions!$B$11*0.95+0.05*Projects!$B$36*Assumptions!$B$11,Projects!$B$36*INDEX(Curves!$B$4:$AO$4,1,44-Projects!$C$36+1)*Assumptions!$B$11*0.95),0)+IF(AND(Projects!$G$37="Yes",44&gt;=Projects!$C$37,44&lt;Projects!$C$37+Projects!$D$37),IF(44=Projects!$C$37+Projects!$D$37-1,Projects!$B$37*INDEX(Curves!$B$4:$AO$4,1,44-Projects!$C$37+1)*Assumptions!$B$11*0.95+0.05*Projects!$B$37*Assumptions!$B$11,Projects!$B$37*INDEX(Curves!$B$4:$AO$4,1,44-Projects!$C$37+1)*Assumptions!$B$11*0.95),0)+IF(AND(Projects!$G$38="Yes",44&gt;=Projects!$C$38,44&lt;Projects!$C$38+Projects!$D$38),IF(44=Projects!$C$38+Projects!$D$38-1,Projects!$B$38*INDEX(Curves!$B$4:$AO$4,1,44-Projects!$C$38+1)*Assumptions!$B$11*0.95+0.05*Projects!$B$38*Assumptions!$B$11,Projects!$B$38*INDEX(Curves!$B$4:$AO$4,1,44-Projects!$C$38+1)*Assumptions!$B$11*0.95),0)+IF(AND(Projects!$G$39="Yes",44&gt;=Projects!$C$39,44&lt;Projects!$C$39+Projects!$D$39),IF(44=Projects!$C$39+Projects!$D$39-1,Projects!$B$39*INDEX(Curves!$B$4:$AO$4,1,44-Projects!$C$39+1)*Assumptions!$B$11*0.95+0.05*Projects!$B$39*Assumptions!$B$11,Projects!$B$39*INDEX(Curves!$B$4:$AO$4,1,44-Projects!$C$39+1)*Assumptions!$B$11*0.95),0)+IF(AND(Projects!$G$40="Yes",44&gt;=Projects!$C$40,44&lt;Projects!$C$40+Projects!$D$40),IF(44=Projects!$C$40+Projects!$D$40-1,Projects!$B$40*INDEX(Curves!$B$4:$AO$4,1,44-Projects!$C$40+1)*Assumptions!$B$11*0.95+0.05*Projects!$B$40*Assumptions!$B$11,Projects!$B$40*INDEX(Curves!$B$4:$AO$4,1,44-Projects!$C$40+1)*Assumptions!$B$11*0.95),0)+IF(AND(Projects!$G$41="Yes",44&gt;=Projects!$C$41,44&lt;Projects!$C$41+Projects!$D$41),IF(44=Projects!$C$41+Projects!$D$41-1,Projects!$B$41*INDEX(Curves!$B$4:$AO$4,1,44-Projects!$C$41+1)*Assumptions!$B$11*0.95+0.05*Projects!$B$41*Assumptions!$B$11,Projects!$B$41*INDEX(Curves!$B$4:$AO$4,1,44-Projects!$C$41+1)*Assumptions!$B$11*0.95),0)+IF(AND(Projects!$G$42="Yes",44&gt;=Projects!$C$42,44&lt;Projects!$C$42+Projects!$D$42),IF(44=Projects!$C$42+Projects!$D$42-1,Projects!$B$42*INDEX(Curves!$B$4:$AO$4,1,44-Projects!$C$42+1)*Assumptions!$B$11*0.95+0.05*Projects!$B$42*Assumptions!$B$11,Projects!$B$42*INDEX(Curves!$B$4:$AO$4,1,44-Projects!$C$42+1)*Assumptions!$B$11*0.95),0)+IF(AND(Projects!$G$43="Yes",44&gt;=Projects!$C$43,44&lt;Projects!$C$43+Projects!$D$43),IF(44=Projects!$C$43+Projects!$D$43-1,Projects!$B$43*INDEX(Curves!$B$4:$AO$4,1,44-Projects!$C$43+1)*Assumptions!$B$11*0.95+0.05*Projects!$B$43*Assumptions!$B$11,Projects!$B$43*INDEX(Curves!$B$4:$AO$4,1,44-Projects!$C$43+1)*Assumptions!$B$11*0.95),0)+IF(AND(Projects!$G$44="Yes",44&gt;=Projects!$C$44,44&lt;Projects!$C$44+Projects!$D$44),IF(44=Projects!$C$44+Projects!$D$44-1,Projects!$B$44*INDEX(Curves!$B$4:$AO$4,1,44-Projects!$C$44+1)*Assumptions!$B$11*0.95+0.05*Projects!$B$44*Assumptions!$B$11,Projects!$B$44*INDEX(Curves!$B$4:$AO$4,1,44-Projects!$C$44+1)*Assumptions!$B$11*0.95),0)+IF(AND(Projects!$G$45="Yes",44&gt;=Projects!$C$45,44&lt;Projects!$C$45+Projects!$D$45),IF(44=Projects!$C$45+Projects!$D$45-1,Projects!$B$45*INDEX(Curves!$B$4:$AO$4,1,44-Projects!$C$45+1)*Assumptions!$B$11*0.95+0.05*Projects!$B$45*Assumptions!$B$11,Projects!$B$45*INDEX(Curves!$B$4:$AO$4,1,44-Projects!$C$45+1)*Assumptions!$B$11*0.95),0)+IF(AND(Projects!$G$46="Yes",44&gt;=Projects!$C$46,44&lt;Projects!$C$46+Projects!$D$46),IF(44=Projects!$C$46+Projects!$D$46-1,Projects!$B$46*INDEX(Curves!$B$4:$AO$4,1,44-Projects!$C$46+1)*Assumptions!$B$11*0.95+0.05*Projects!$B$46*Assumptions!$B$11,Projects!$B$46*INDEX(Curves!$B$4:$AO$4,1,44-Projects!$C$46+1)*Assumptions!$B$11*0.95),0)</f>
        <v/>
      </c>
      <c r="AU109">
        <f>IF(AND(Projects!$G$30="Yes",45&gt;=Projects!$C$30,45&lt;Projects!$C$30+Projects!$D$30),IF(45=Projects!$C$30+Projects!$D$30-1,Projects!$B$30*INDEX(Curves!$B$4:$AO$4,1,45-Projects!$C$30+1)*Assumptions!$B$11*0.95+0.05*Projects!$B$30*Assumptions!$B$11,Projects!$B$30*INDEX(Curves!$B$4:$AO$4,1,45-Projects!$C$30+1)*Assumptions!$B$11*0.95),0)+IF(AND(Projects!$G$31="Yes",45&gt;=Projects!$C$31,45&lt;Projects!$C$31+Projects!$D$31),IF(45=Projects!$C$31+Projects!$D$31-1,Projects!$B$31*INDEX(Curves!$B$4:$AO$4,1,45-Projects!$C$31+1)*Assumptions!$B$11*0.95+0.05*Projects!$B$31*Assumptions!$B$11,Projects!$B$31*INDEX(Curves!$B$4:$AO$4,1,45-Projects!$C$31+1)*Assumptions!$B$11*0.95),0)+IF(AND(Projects!$G$32="Yes",45&gt;=Projects!$C$32,45&lt;Projects!$C$32+Projects!$D$32),IF(45=Projects!$C$32+Projects!$D$32-1,Projects!$B$32*INDEX(Curves!$B$4:$AO$4,1,45-Projects!$C$32+1)*Assumptions!$B$11*0.95+0.05*Projects!$B$32*Assumptions!$B$11,Projects!$B$32*INDEX(Curves!$B$4:$AO$4,1,45-Projects!$C$32+1)*Assumptions!$B$11*0.95),0)+IF(AND(Projects!$G$33="Yes",45&gt;=Projects!$C$33,45&lt;Projects!$C$33+Projects!$D$33),IF(45=Projects!$C$33+Projects!$D$33-1,Projects!$B$33*INDEX(Curves!$B$4:$AO$4,1,45-Projects!$C$33+1)*Assumptions!$B$11*0.95+0.05*Projects!$B$33*Assumptions!$B$11,Projects!$B$33*INDEX(Curves!$B$4:$AO$4,1,45-Projects!$C$33+1)*Assumptions!$B$11*0.95),0)+IF(AND(Projects!$G$34="Yes",45&gt;=Projects!$C$34,45&lt;Projects!$C$34+Projects!$D$34),IF(45=Projects!$C$34+Projects!$D$34-1,Projects!$B$34*INDEX(Curves!$B$4:$AO$4,1,45-Projects!$C$34+1)*Assumptions!$B$11*0.95+0.05*Projects!$B$34*Assumptions!$B$11,Projects!$B$34*INDEX(Curves!$B$4:$AO$4,1,45-Projects!$C$34+1)*Assumptions!$B$11*0.95),0)+IF(AND(Projects!$G$35="Yes",45&gt;=Projects!$C$35,45&lt;Projects!$C$35+Projects!$D$35),IF(45=Projects!$C$35+Projects!$D$35-1,Projects!$B$35*INDEX(Curves!$B$4:$AO$4,1,45-Projects!$C$35+1)*Assumptions!$B$11*0.95+0.05*Projects!$B$35*Assumptions!$B$11,Projects!$B$35*INDEX(Curves!$B$4:$AO$4,1,45-Projects!$C$35+1)*Assumptions!$B$11*0.95),0)+IF(AND(Projects!$G$36="Yes",45&gt;=Projects!$C$36,45&lt;Projects!$C$36+Projects!$D$36),IF(45=Projects!$C$36+Projects!$D$36-1,Projects!$B$36*INDEX(Curves!$B$4:$AO$4,1,45-Projects!$C$36+1)*Assumptions!$B$11*0.95+0.05*Projects!$B$36*Assumptions!$B$11,Projects!$B$36*INDEX(Curves!$B$4:$AO$4,1,45-Projects!$C$36+1)*Assumptions!$B$11*0.95),0)+IF(AND(Projects!$G$37="Yes",45&gt;=Projects!$C$37,45&lt;Projects!$C$37+Projects!$D$37),IF(45=Projects!$C$37+Projects!$D$37-1,Projects!$B$37*INDEX(Curves!$B$4:$AO$4,1,45-Projects!$C$37+1)*Assumptions!$B$11*0.95+0.05*Projects!$B$37*Assumptions!$B$11,Projects!$B$37*INDEX(Curves!$B$4:$AO$4,1,45-Projects!$C$37+1)*Assumptions!$B$11*0.95),0)+IF(AND(Projects!$G$38="Yes",45&gt;=Projects!$C$38,45&lt;Projects!$C$38+Projects!$D$38),IF(45=Projects!$C$38+Projects!$D$38-1,Projects!$B$38*INDEX(Curves!$B$4:$AO$4,1,45-Projects!$C$38+1)*Assumptions!$B$11*0.95+0.05*Projects!$B$38*Assumptions!$B$11,Projects!$B$38*INDEX(Curves!$B$4:$AO$4,1,45-Projects!$C$38+1)*Assumptions!$B$11*0.95),0)+IF(AND(Projects!$G$39="Yes",45&gt;=Projects!$C$39,45&lt;Projects!$C$39+Projects!$D$39),IF(45=Projects!$C$39+Projects!$D$39-1,Projects!$B$39*INDEX(Curves!$B$4:$AO$4,1,45-Projects!$C$39+1)*Assumptions!$B$11*0.95+0.05*Projects!$B$39*Assumptions!$B$11,Projects!$B$39*INDEX(Curves!$B$4:$AO$4,1,45-Projects!$C$39+1)*Assumptions!$B$11*0.95),0)+IF(AND(Projects!$G$40="Yes",45&gt;=Projects!$C$40,45&lt;Projects!$C$40+Projects!$D$40),IF(45=Projects!$C$40+Projects!$D$40-1,Projects!$B$40*INDEX(Curves!$B$4:$AO$4,1,45-Projects!$C$40+1)*Assumptions!$B$11*0.95+0.05*Projects!$B$40*Assumptions!$B$11,Projects!$B$40*INDEX(Curves!$B$4:$AO$4,1,45-Projects!$C$40+1)*Assumptions!$B$11*0.95),0)+IF(AND(Projects!$G$41="Yes",45&gt;=Projects!$C$41,45&lt;Projects!$C$41+Projects!$D$41),IF(45=Projects!$C$41+Projects!$D$41-1,Projects!$B$41*INDEX(Curves!$B$4:$AO$4,1,45-Projects!$C$41+1)*Assumptions!$B$11*0.95+0.05*Projects!$B$41*Assumptions!$B$11,Projects!$B$41*INDEX(Curves!$B$4:$AO$4,1,45-Projects!$C$41+1)*Assumptions!$B$11*0.95),0)+IF(AND(Projects!$G$42="Yes",45&gt;=Projects!$C$42,45&lt;Projects!$C$42+Projects!$D$42),IF(45=Projects!$C$42+Projects!$D$42-1,Projects!$B$42*INDEX(Curves!$B$4:$AO$4,1,45-Projects!$C$42+1)*Assumptions!$B$11*0.95+0.05*Projects!$B$42*Assumptions!$B$11,Projects!$B$42*INDEX(Curves!$B$4:$AO$4,1,45-Projects!$C$42+1)*Assumptions!$B$11*0.95),0)+IF(AND(Projects!$G$43="Yes",45&gt;=Projects!$C$43,45&lt;Projects!$C$43+Projects!$D$43),IF(45=Projects!$C$43+Projects!$D$43-1,Projects!$B$43*INDEX(Curves!$B$4:$AO$4,1,45-Projects!$C$43+1)*Assumptions!$B$11*0.95+0.05*Projects!$B$43*Assumptions!$B$11,Projects!$B$43*INDEX(Curves!$B$4:$AO$4,1,45-Projects!$C$43+1)*Assumptions!$B$11*0.95),0)+IF(AND(Projects!$G$44="Yes",45&gt;=Projects!$C$44,45&lt;Projects!$C$44+Projects!$D$44),IF(45=Projects!$C$44+Projects!$D$44-1,Projects!$B$44*INDEX(Curves!$B$4:$AO$4,1,45-Projects!$C$44+1)*Assumptions!$B$11*0.95+0.05*Projects!$B$44*Assumptions!$B$11,Projects!$B$44*INDEX(Curves!$B$4:$AO$4,1,45-Projects!$C$44+1)*Assumptions!$B$11*0.95),0)+IF(AND(Projects!$G$45="Yes",45&gt;=Projects!$C$45,45&lt;Projects!$C$45+Projects!$D$45),IF(45=Projects!$C$45+Projects!$D$45-1,Projects!$B$45*INDEX(Curves!$B$4:$AO$4,1,45-Projects!$C$45+1)*Assumptions!$B$11*0.95+0.05*Projects!$B$45*Assumptions!$B$11,Projects!$B$45*INDEX(Curves!$B$4:$AO$4,1,45-Projects!$C$45+1)*Assumptions!$B$11*0.95),0)+IF(AND(Projects!$G$46="Yes",45&gt;=Projects!$C$46,45&lt;Projects!$C$46+Projects!$D$46),IF(45=Projects!$C$46+Projects!$D$46-1,Projects!$B$46*INDEX(Curves!$B$4:$AO$4,1,45-Projects!$C$46+1)*Assumptions!$B$11*0.95+0.05*Projects!$B$46*Assumptions!$B$11,Projects!$B$46*INDEX(Curves!$B$4:$AO$4,1,45-Projects!$C$46+1)*Assumptions!$B$11*0.95),0)</f>
        <v/>
      </c>
      <c r="AV109">
        <f>IF(AND(Projects!$G$30="Yes",46&gt;=Projects!$C$30,46&lt;Projects!$C$30+Projects!$D$30),IF(46=Projects!$C$30+Projects!$D$30-1,Projects!$B$30*INDEX(Curves!$B$4:$AO$4,1,46-Projects!$C$30+1)*Assumptions!$B$11*0.95+0.05*Projects!$B$30*Assumptions!$B$11,Projects!$B$30*INDEX(Curves!$B$4:$AO$4,1,46-Projects!$C$30+1)*Assumptions!$B$11*0.95),0)+IF(AND(Projects!$G$31="Yes",46&gt;=Projects!$C$31,46&lt;Projects!$C$31+Projects!$D$31),IF(46=Projects!$C$31+Projects!$D$31-1,Projects!$B$31*INDEX(Curves!$B$4:$AO$4,1,46-Projects!$C$31+1)*Assumptions!$B$11*0.95+0.05*Projects!$B$31*Assumptions!$B$11,Projects!$B$31*INDEX(Curves!$B$4:$AO$4,1,46-Projects!$C$31+1)*Assumptions!$B$11*0.95),0)+IF(AND(Projects!$G$32="Yes",46&gt;=Projects!$C$32,46&lt;Projects!$C$32+Projects!$D$32),IF(46=Projects!$C$32+Projects!$D$32-1,Projects!$B$32*INDEX(Curves!$B$4:$AO$4,1,46-Projects!$C$32+1)*Assumptions!$B$11*0.95+0.05*Projects!$B$32*Assumptions!$B$11,Projects!$B$32*INDEX(Curves!$B$4:$AO$4,1,46-Projects!$C$32+1)*Assumptions!$B$11*0.95),0)+IF(AND(Projects!$G$33="Yes",46&gt;=Projects!$C$33,46&lt;Projects!$C$33+Projects!$D$33),IF(46=Projects!$C$33+Projects!$D$33-1,Projects!$B$33*INDEX(Curves!$B$4:$AO$4,1,46-Projects!$C$33+1)*Assumptions!$B$11*0.95+0.05*Projects!$B$33*Assumptions!$B$11,Projects!$B$33*INDEX(Curves!$B$4:$AO$4,1,46-Projects!$C$33+1)*Assumptions!$B$11*0.95),0)+IF(AND(Projects!$G$34="Yes",46&gt;=Projects!$C$34,46&lt;Projects!$C$34+Projects!$D$34),IF(46=Projects!$C$34+Projects!$D$34-1,Projects!$B$34*INDEX(Curves!$B$4:$AO$4,1,46-Projects!$C$34+1)*Assumptions!$B$11*0.95+0.05*Projects!$B$34*Assumptions!$B$11,Projects!$B$34*INDEX(Curves!$B$4:$AO$4,1,46-Projects!$C$34+1)*Assumptions!$B$11*0.95),0)+IF(AND(Projects!$G$35="Yes",46&gt;=Projects!$C$35,46&lt;Projects!$C$35+Projects!$D$35),IF(46=Projects!$C$35+Projects!$D$35-1,Projects!$B$35*INDEX(Curves!$B$4:$AO$4,1,46-Projects!$C$35+1)*Assumptions!$B$11*0.95+0.05*Projects!$B$35*Assumptions!$B$11,Projects!$B$35*INDEX(Curves!$B$4:$AO$4,1,46-Projects!$C$35+1)*Assumptions!$B$11*0.95),0)+IF(AND(Projects!$G$36="Yes",46&gt;=Projects!$C$36,46&lt;Projects!$C$36+Projects!$D$36),IF(46=Projects!$C$36+Projects!$D$36-1,Projects!$B$36*INDEX(Curves!$B$4:$AO$4,1,46-Projects!$C$36+1)*Assumptions!$B$11*0.95+0.05*Projects!$B$36*Assumptions!$B$11,Projects!$B$36*INDEX(Curves!$B$4:$AO$4,1,46-Projects!$C$36+1)*Assumptions!$B$11*0.95),0)+IF(AND(Projects!$G$37="Yes",46&gt;=Projects!$C$37,46&lt;Projects!$C$37+Projects!$D$37),IF(46=Projects!$C$37+Projects!$D$37-1,Projects!$B$37*INDEX(Curves!$B$4:$AO$4,1,46-Projects!$C$37+1)*Assumptions!$B$11*0.95+0.05*Projects!$B$37*Assumptions!$B$11,Projects!$B$37*INDEX(Curves!$B$4:$AO$4,1,46-Projects!$C$37+1)*Assumptions!$B$11*0.95),0)+IF(AND(Projects!$G$38="Yes",46&gt;=Projects!$C$38,46&lt;Projects!$C$38+Projects!$D$38),IF(46=Projects!$C$38+Projects!$D$38-1,Projects!$B$38*INDEX(Curves!$B$4:$AO$4,1,46-Projects!$C$38+1)*Assumptions!$B$11*0.95+0.05*Projects!$B$38*Assumptions!$B$11,Projects!$B$38*INDEX(Curves!$B$4:$AO$4,1,46-Projects!$C$38+1)*Assumptions!$B$11*0.95),0)+IF(AND(Projects!$G$39="Yes",46&gt;=Projects!$C$39,46&lt;Projects!$C$39+Projects!$D$39),IF(46=Projects!$C$39+Projects!$D$39-1,Projects!$B$39*INDEX(Curves!$B$4:$AO$4,1,46-Projects!$C$39+1)*Assumptions!$B$11*0.95+0.05*Projects!$B$39*Assumptions!$B$11,Projects!$B$39*INDEX(Curves!$B$4:$AO$4,1,46-Projects!$C$39+1)*Assumptions!$B$11*0.95),0)+IF(AND(Projects!$G$40="Yes",46&gt;=Projects!$C$40,46&lt;Projects!$C$40+Projects!$D$40),IF(46=Projects!$C$40+Projects!$D$40-1,Projects!$B$40*INDEX(Curves!$B$4:$AO$4,1,46-Projects!$C$40+1)*Assumptions!$B$11*0.95+0.05*Projects!$B$40*Assumptions!$B$11,Projects!$B$40*INDEX(Curves!$B$4:$AO$4,1,46-Projects!$C$40+1)*Assumptions!$B$11*0.95),0)+IF(AND(Projects!$G$41="Yes",46&gt;=Projects!$C$41,46&lt;Projects!$C$41+Projects!$D$41),IF(46=Projects!$C$41+Projects!$D$41-1,Projects!$B$41*INDEX(Curves!$B$4:$AO$4,1,46-Projects!$C$41+1)*Assumptions!$B$11*0.95+0.05*Projects!$B$41*Assumptions!$B$11,Projects!$B$41*INDEX(Curves!$B$4:$AO$4,1,46-Projects!$C$41+1)*Assumptions!$B$11*0.95),0)+IF(AND(Projects!$G$42="Yes",46&gt;=Projects!$C$42,46&lt;Projects!$C$42+Projects!$D$42),IF(46=Projects!$C$42+Projects!$D$42-1,Projects!$B$42*INDEX(Curves!$B$4:$AO$4,1,46-Projects!$C$42+1)*Assumptions!$B$11*0.95+0.05*Projects!$B$42*Assumptions!$B$11,Projects!$B$42*INDEX(Curves!$B$4:$AO$4,1,46-Projects!$C$42+1)*Assumptions!$B$11*0.95),0)+IF(AND(Projects!$G$43="Yes",46&gt;=Projects!$C$43,46&lt;Projects!$C$43+Projects!$D$43),IF(46=Projects!$C$43+Projects!$D$43-1,Projects!$B$43*INDEX(Curves!$B$4:$AO$4,1,46-Projects!$C$43+1)*Assumptions!$B$11*0.95+0.05*Projects!$B$43*Assumptions!$B$11,Projects!$B$43*INDEX(Curves!$B$4:$AO$4,1,46-Projects!$C$43+1)*Assumptions!$B$11*0.95),0)+IF(AND(Projects!$G$44="Yes",46&gt;=Projects!$C$44,46&lt;Projects!$C$44+Projects!$D$44),IF(46=Projects!$C$44+Projects!$D$44-1,Projects!$B$44*INDEX(Curves!$B$4:$AO$4,1,46-Projects!$C$44+1)*Assumptions!$B$11*0.95+0.05*Projects!$B$44*Assumptions!$B$11,Projects!$B$44*INDEX(Curves!$B$4:$AO$4,1,46-Projects!$C$44+1)*Assumptions!$B$11*0.95),0)+IF(AND(Projects!$G$45="Yes",46&gt;=Projects!$C$45,46&lt;Projects!$C$45+Projects!$D$45),IF(46=Projects!$C$45+Projects!$D$45-1,Projects!$B$45*INDEX(Curves!$B$4:$AO$4,1,46-Projects!$C$45+1)*Assumptions!$B$11*0.95+0.05*Projects!$B$45*Assumptions!$B$11,Projects!$B$45*INDEX(Curves!$B$4:$AO$4,1,46-Projects!$C$45+1)*Assumptions!$B$11*0.95),0)+IF(AND(Projects!$G$46="Yes",46&gt;=Projects!$C$46,46&lt;Projects!$C$46+Projects!$D$46),IF(46=Projects!$C$46+Projects!$D$46-1,Projects!$B$46*INDEX(Curves!$B$4:$AO$4,1,46-Projects!$C$46+1)*Assumptions!$B$11*0.95+0.05*Projects!$B$46*Assumptions!$B$11,Projects!$B$46*INDEX(Curves!$B$4:$AO$4,1,46-Projects!$C$46+1)*Assumptions!$B$11*0.95),0)</f>
        <v/>
      </c>
      <c r="AW109">
        <f>IF(AND(Projects!$G$30="Yes",47&gt;=Projects!$C$30,47&lt;Projects!$C$30+Projects!$D$30),IF(47=Projects!$C$30+Projects!$D$30-1,Projects!$B$30*INDEX(Curves!$B$4:$AO$4,1,47-Projects!$C$30+1)*Assumptions!$B$11*0.95+0.05*Projects!$B$30*Assumptions!$B$11,Projects!$B$30*INDEX(Curves!$B$4:$AO$4,1,47-Projects!$C$30+1)*Assumptions!$B$11*0.95),0)+IF(AND(Projects!$G$31="Yes",47&gt;=Projects!$C$31,47&lt;Projects!$C$31+Projects!$D$31),IF(47=Projects!$C$31+Projects!$D$31-1,Projects!$B$31*INDEX(Curves!$B$4:$AO$4,1,47-Projects!$C$31+1)*Assumptions!$B$11*0.95+0.05*Projects!$B$31*Assumptions!$B$11,Projects!$B$31*INDEX(Curves!$B$4:$AO$4,1,47-Projects!$C$31+1)*Assumptions!$B$11*0.95),0)+IF(AND(Projects!$G$32="Yes",47&gt;=Projects!$C$32,47&lt;Projects!$C$32+Projects!$D$32),IF(47=Projects!$C$32+Projects!$D$32-1,Projects!$B$32*INDEX(Curves!$B$4:$AO$4,1,47-Projects!$C$32+1)*Assumptions!$B$11*0.95+0.05*Projects!$B$32*Assumptions!$B$11,Projects!$B$32*INDEX(Curves!$B$4:$AO$4,1,47-Projects!$C$32+1)*Assumptions!$B$11*0.95),0)+IF(AND(Projects!$G$33="Yes",47&gt;=Projects!$C$33,47&lt;Projects!$C$33+Projects!$D$33),IF(47=Projects!$C$33+Projects!$D$33-1,Projects!$B$33*INDEX(Curves!$B$4:$AO$4,1,47-Projects!$C$33+1)*Assumptions!$B$11*0.95+0.05*Projects!$B$33*Assumptions!$B$11,Projects!$B$33*INDEX(Curves!$B$4:$AO$4,1,47-Projects!$C$33+1)*Assumptions!$B$11*0.95),0)+IF(AND(Projects!$G$34="Yes",47&gt;=Projects!$C$34,47&lt;Projects!$C$34+Projects!$D$34),IF(47=Projects!$C$34+Projects!$D$34-1,Projects!$B$34*INDEX(Curves!$B$4:$AO$4,1,47-Projects!$C$34+1)*Assumptions!$B$11*0.95+0.05*Projects!$B$34*Assumptions!$B$11,Projects!$B$34*INDEX(Curves!$B$4:$AO$4,1,47-Projects!$C$34+1)*Assumptions!$B$11*0.95),0)+IF(AND(Projects!$G$35="Yes",47&gt;=Projects!$C$35,47&lt;Projects!$C$35+Projects!$D$35),IF(47=Projects!$C$35+Projects!$D$35-1,Projects!$B$35*INDEX(Curves!$B$4:$AO$4,1,47-Projects!$C$35+1)*Assumptions!$B$11*0.95+0.05*Projects!$B$35*Assumptions!$B$11,Projects!$B$35*INDEX(Curves!$B$4:$AO$4,1,47-Projects!$C$35+1)*Assumptions!$B$11*0.95),0)+IF(AND(Projects!$G$36="Yes",47&gt;=Projects!$C$36,47&lt;Projects!$C$36+Projects!$D$36),IF(47=Projects!$C$36+Projects!$D$36-1,Projects!$B$36*INDEX(Curves!$B$4:$AO$4,1,47-Projects!$C$36+1)*Assumptions!$B$11*0.95+0.05*Projects!$B$36*Assumptions!$B$11,Projects!$B$36*INDEX(Curves!$B$4:$AO$4,1,47-Projects!$C$36+1)*Assumptions!$B$11*0.95),0)+IF(AND(Projects!$G$37="Yes",47&gt;=Projects!$C$37,47&lt;Projects!$C$37+Projects!$D$37),IF(47=Projects!$C$37+Projects!$D$37-1,Projects!$B$37*INDEX(Curves!$B$4:$AO$4,1,47-Projects!$C$37+1)*Assumptions!$B$11*0.95+0.05*Projects!$B$37*Assumptions!$B$11,Projects!$B$37*INDEX(Curves!$B$4:$AO$4,1,47-Projects!$C$37+1)*Assumptions!$B$11*0.95),0)+IF(AND(Projects!$G$38="Yes",47&gt;=Projects!$C$38,47&lt;Projects!$C$38+Projects!$D$38),IF(47=Projects!$C$38+Projects!$D$38-1,Projects!$B$38*INDEX(Curves!$B$4:$AO$4,1,47-Projects!$C$38+1)*Assumptions!$B$11*0.95+0.05*Projects!$B$38*Assumptions!$B$11,Projects!$B$38*INDEX(Curves!$B$4:$AO$4,1,47-Projects!$C$38+1)*Assumptions!$B$11*0.95),0)+IF(AND(Projects!$G$39="Yes",47&gt;=Projects!$C$39,47&lt;Projects!$C$39+Projects!$D$39),IF(47=Projects!$C$39+Projects!$D$39-1,Projects!$B$39*INDEX(Curves!$B$4:$AO$4,1,47-Projects!$C$39+1)*Assumptions!$B$11*0.95+0.05*Projects!$B$39*Assumptions!$B$11,Projects!$B$39*INDEX(Curves!$B$4:$AO$4,1,47-Projects!$C$39+1)*Assumptions!$B$11*0.95),0)+IF(AND(Projects!$G$40="Yes",47&gt;=Projects!$C$40,47&lt;Projects!$C$40+Projects!$D$40),IF(47=Projects!$C$40+Projects!$D$40-1,Projects!$B$40*INDEX(Curves!$B$4:$AO$4,1,47-Projects!$C$40+1)*Assumptions!$B$11*0.95+0.05*Projects!$B$40*Assumptions!$B$11,Projects!$B$40*INDEX(Curves!$B$4:$AO$4,1,47-Projects!$C$40+1)*Assumptions!$B$11*0.95),0)+IF(AND(Projects!$G$41="Yes",47&gt;=Projects!$C$41,47&lt;Projects!$C$41+Projects!$D$41),IF(47=Projects!$C$41+Projects!$D$41-1,Projects!$B$41*INDEX(Curves!$B$4:$AO$4,1,47-Projects!$C$41+1)*Assumptions!$B$11*0.95+0.05*Projects!$B$41*Assumptions!$B$11,Projects!$B$41*INDEX(Curves!$B$4:$AO$4,1,47-Projects!$C$41+1)*Assumptions!$B$11*0.95),0)+IF(AND(Projects!$G$42="Yes",47&gt;=Projects!$C$42,47&lt;Projects!$C$42+Projects!$D$42),IF(47=Projects!$C$42+Projects!$D$42-1,Projects!$B$42*INDEX(Curves!$B$4:$AO$4,1,47-Projects!$C$42+1)*Assumptions!$B$11*0.95+0.05*Projects!$B$42*Assumptions!$B$11,Projects!$B$42*INDEX(Curves!$B$4:$AO$4,1,47-Projects!$C$42+1)*Assumptions!$B$11*0.95),0)+IF(AND(Projects!$G$43="Yes",47&gt;=Projects!$C$43,47&lt;Projects!$C$43+Projects!$D$43),IF(47=Projects!$C$43+Projects!$D$43-1,Projects!$B$43*INDEX(Curves!$B$4:$AO$4,1,47-Projects!$C$43+1)*Assumptions!$B$11*0.95+0.05*Projects!$B$43*Assumptions!$B$11,Projects!$B$43*INDEX(Curves!$B$4:$AO$4,1,47-Projects!$C$43+1)*Assumptions!$B$11*0.95),0)+IF(AND(Projects!$G$44="Yes",47&gt;=Projects!$C$44,47&lt;Projects!$C$44+Projects!$D$44),IF(47=Projects!$C$44+Projects!$D$44-1,Projects!$B$44*INDEX(Curves!$B$4:$AO$4,1,47-Projects!$C$44+1)*Assumptions!$B$11*0.95+0.05*Projects!$B$44*Assumptions!$B$11,Projects!$B$44*INDEX(Curves!$B$4:$AO$4,1,47-Projects!$C$44+1)*Assumptions!$B$11*0.95),0)+IF(AND(Projects!$G$45="Yes",47&gt;=Projects!$C$45,47&lt;Projects!$C$45+Projects!$D$45),IF(47=Projects!$C$45+Projects!$D$45-1,Projects!$B$45*INDEX(Curves!$B$4:$AO$4,1,47-Projects!$C$45+1)*Assumptions!$B$11*0.95+0.05*Projects!$B$45*Assumptions!$B$11,Projects!$B$45*INDEX(Curves!$B$4:$AO$4,1,47-Projects!$C$45+1)*Assumptions!$B$11*0.95),0)+IF(AND(Projects!$G$46="Yes",47&gt;=Projects!$C$46,47&lt;Projects!$C$46+Projects!$D$46),IF(47=Projects!$C$46+Projects!$D$46-1,Projects!$B$46*INDEX(Curves!$B$4:$AO$4,1,47-Projects!$C$46+1)*Assumptions!$B$11*0.95+0.05*Projects!$B$46*Assumptions!$B$11,Projects!$B$46*INDEX(Curves!$B$4:$AO$4,1,47-Projects!$C$46+1)*Assumptions!$B$11*0.95),0)</f>
        <v/>
      </c>
      <c r="AX109">
        <f>IF(AND(Projects!$G$30="Yes",48&gt;=Projects!$C$30,48&lt;Projects!$C$30+Projects!$D$30),IF(48=Projects!$C$30+Projects!$D$30-1,Projects!$B$30*INDEX(Curves!$B$4:$AO$4,1,48-Projects!$C$30+1)*Assumptions!$B$11*0.95+0.05*Projects!$B$30*Assumptions!$B$11,Projects!$B$30*INDEX(Curves!$B$4:$AO$4,1,48-Projects!$C$30+1)*Assumptions!$B$11*0.95),0)+IF(AND(Projects!$G$31="Yes",48&gt;=Projects!$C$31,48&lt;Projects!$C$31+Projects!$D$31),IF(48=Projects!$C$31+Projects!$D$31-1,Projects!$B$31*INDEX(Curves!$B$4:$AO$4,1,48-Projects!$C$31+1)*Assumptions!$B$11*0.95+0.05*Projects!$B$31*Assumptions!$B$11,Projects!$B$31*INDEX(Curves!$B$4:$AO$4,1,48-Projects!$C$31+1)*Assumptions!$B$11*0.95),0)+IF(AND(Projects!$G$32="Yes",48&gt;=Projects!$C$32,48&lt;Projects!$C$32+Projects!$D$32),IF(48=Projects!$C$32+Projects!$D$32-1,Projects!$B$32*INDEX(Curves!$B$4:$AO$4,1,48-Projects!$C$32+1)*Assumptions!$B$11*0.95+0.05*Projects!$B$32*Assumptions!$B$11,Projects!$B$32*INDEX(Curves!$B$4:$AO$4,1,48-Projects!$C$32+1)*Assumptions!$B$11*0.95),0)+IF(AND(Projects!$G$33="Yes",48&gt;=Projects!$C$33,48&lt;Projects!$C$33+Projects!$D$33),IF(48=Projects!$C$33+Projects!$D$33-1,Projects!$B$33*INDEX(Curves!$B$4:$AO$4,1,48-Projects!$C$33+1)*Assumptions!$B$11*0.95+0.05*Projects!$B$33*Assumptions!$B$11,Projects!$B$33*INDEX(Curves!$B$4:$AO$4,1,48-Projects!$C$33+1)*Assumptions!$B$11*0.95),0)+IF(AND(Projects!$G$34="Yes",48&gt;=Projects!$C$34,48&lt;Projects!$C$34+Projects!$D$34),IF(48=Projects!$C$34+Projects!$D$34-1,Projects!$B$34*INDEX(Curves!$B$4:$AO$4,1,48-Projects!$C$34+1)*Assumptions!$B$11*0.95+0.05*Projects!$B$34*Assumptions!$B$11,Projects!$B$34*INDEX(Curves!$B$4:$AO$4,1,48-Projects!$C$34+1)*Assumptions!$B$11*0.95),0)+IF(AND(Projects!$G$35="Yes",48&gt;=Projects!$C$35,48&lt;Projects!$C$35+Projects!$D$35),IF(48=Projects!$C$35+Projects!$D$35-1,Projects!$B$35*INDEX(Curves!$B$4:$AO$4,1,48-Projects!$C$35+1)*Assumptions!$B$11*0.95+0.05*Projects!$B$35*Assumptions!$B$11,Projects!$B$35*INDEX(Curves!$B$4:$AO$4,1,48-Projects!$C$35+1)*Assumptions!$B$11*0.95),0)+IF(AND(Projects!$G$36="Yes",48&gt;=Projects!$C$36,48&lt;Projects!$C$36+Projects!$D$36),IF(48=Projects!$C$36+Projects!$D$36-1,Projects!$B$36*INDEX(Curves!$B$4:$AO$4,1,48-Projects!$C$36+1)*Assumptions!$B$11*0.95+0.05*Projects!$B$36*Assumptions!$B$11,Projects!$B$36*INDEX(Curves!$B$4:$AO$4,1,48-Projects!$C$36+1)*Assumptions!$B$11*0.95),0)+IF(AND(Projects!$G$37="Yes",48&gt;=Projects!$C$37,48&lt;Projects!$C$37+Projects!$D$37),IF(48=Projects!$C$37+Projects!$D$37-1,Projects!$B$37*INDEX(Curves!$B$4:$AO$4,1,48-Projects!$C$37+1)*Assumptions!$B$11*0.95+0.05*Projects!$B$37*Assumptions!$B$11,Projects!$B$37*INDEX(Curves!$B$4:$AO$4,1,48-Projects!$C$37+1)*Assumptions!$B$11*0.95),0)+IF(AND(Projects!$G$38="Yes",48&gt;=Projects!$C$38,48&lt;Projects!$C$38+Projects!$D$38),IF(48=Projects!$C$38+Projects!$D$38-1,Projects!$B$38*INDEX(Curves!$B$4:$AO$4,1,48-Projects!$C$38+1)*Assumptions!$B$11*0.95+0.05*Projects!$B$38*Assumptions!$B$11,Projects!$B$38*INDEX(Curves!$B$4:$AO$4,1,48-Projects!$C$38+1)*Assumptions!$B$11*0.95),0)+IF(AND(Projects!$G$39="Yes",48&gt;=Projects!$C$39,48&lt;Projects!$C$39+Projects!$D$39),IF(48=Projects!$C$39+Projects!$D$39-1,Projects!$B$39*INDEX(Curves!$B$4:$AO$4,1,48-Projects!$C$39+1)*Assumptions!$B$11*0.95+0.05*Projects!$B$39*Assumptions!$B$11,Projects!$B$39*INDEX(Curves!$B$4:$AO$4,1,48-Projects!$C$39+1)*Assumptions!$B$11*0.95),0)+IF(AND(Projects!$G$40="Yes",48&gt;=Projects!$C$40,48&lt;Projects!$C$40+Projects!$D$40),IF(48=Projects!$C$40+Projects!$D$40-1,Projects!$B$40*INDEX(Curves!$B$4:$AO$4,1,48-Projects!$C$40+1)*Assumptions!$B$11*0.95+0.05*Projects!$B$40*Assumptions!$B$11,Projects!$B$40*INDEX(Curves!$B$4:$AO$4,1,48-Projects!$C$40+1)*Assumptions!$B$11*0.95),0)+IF(AND(Projects!$G$41="Yes",48&gt;=Projects!$C$41,48&lt;Projects!$C$41+Projects!$D$41),IF(48=Projects!$C$41+Projects!$D$41-1,Projects!$B$41*INDEX(Curves!$B$4:$AO$4,1,48-Projects!$C$41+1)*Assumptions!$B$11*0.95+0.05*Projects!$B$41*Assumptions!$B$11,Projects!$B$41*INDEX(Curves!$B$4:$AO$4,1,48-Projects!$C$41+1)*Assumptions!$B$11*0.95),0)+IF(AND(Projects!$G$42="Yes",48&gt;=Projects!$C$42,48&lt;Projects!$C$42+Projects!$D$42),IF(48=Projects!$C$42+Projects!$D$42-1,Projects!$B$42*INDEX(Curves!$B$4:$AO$4,1,48-Projects!$C$42+1)*Assumptions!$B$11*0.95+0.05*Projects!$B$42*Assumptions!$B$11,Projects!$B$42*INDEX(Curves!$B$4:$AO$4,1,48-Projects!$C$42+1)*Assumptions!$B$11*0.95),0)+IF(AND(Projects!$G$43="Yes",48&gt;=Projects!$C$43,48&lt;Projects!$C$43+Projects!$D$43),IF(48=Projects!$C$43+Projects!$D$43-1,Projects!$B$43*INDEX(Curves!$B$4:$AO$4,1,48-Projects!$C$43+1)*Assumptions!$B$11*0.95+0.05*Projects!$B$43*Assumptions!$B$11,Projects!$B$43*INDEX(Curves!$B$4:$AO$4,1,48-Projects!$C$43+1)*Assumptions!$B$11*0.95),0)+IF(AND(Projects!$G$44="Yes",48&gt;=Projects!$C$44,48&lt;Projects!$C$44+Projects!$D$44),IF(48=Projects!$C$44+Projects!$D$44-1,Projects!$B$44*INDEX(Curves!$B$4:$AO$4,1,48-Projects!$C$44+1)*Assumptions!$B$11*0.95+0.05*Projects!$B$44*Assumptions!$B$11,Projects!$B$44*INDEX(Curves!$B$4:$AO$4,1,48-Projects!$C$44+1)*Assumptions!$B$11*0.95),0)+IF(AND(Projects!$G$45="Yes",48&gt;=Projects!$C$45,48&lt;Projects!$C$45+Projects!$D$45),IF(48=Projects!$C$45+Projects!$D$45-1,Projects!$B$45*INDEX(Curves!$B$4:$AO$4,1,48-Projects!$C$45+1)*Assumptions!$B$11*0.95+0.05*Projects!$B$45*Assumptions!$B$11,Projects!$B$45*INDEX(Curves!$B$4:$AO$4,1,48-Projects!$C$45+1)*Assumptions!$B$11*0.95),0)+IF(AND(Projects!$G$46="Yes",48&gt;=Projects!$C$46,48&lt;Projects!$C$46+Projects!$D$46),IF(48=Projects!$C$46+Projects!$D$46-1,Projects!$B$46*INDEX(Curves!$B$4:$AO$4,1,48-Projects!$C$46+1)*Assumptions!$B$11*0.95+0.05*Projects!$B$46*Assumptions!$B$11,Projects!$B$46*INDEX(Curves!$B$4:$AO$4,1,48-Projects!$C$46+1)*Assumptions!$B$11*0.95),0)</f>
        <v/>
      </c>
      <c r="AY109">
        <f>IF(AND(Projects!$G$30="Yes",49&gt;=Projects!$C$30,49&lt;Projects!$C$30+Projects!$D$30),IF(49=Projects!$C$30+Projects!$D$30-1,Projects!$B$30*INDEX(Curves!$B$4:$AO$4,1,49-Projects!$C$30+1)*Assumptions!$B$11*0.95+0.05*Projects!$B$30*Assumptions!$B$11,Projects!$B$30*INDEX(Curves!$B$4:$AO$4,1,49-Projects!$C$30+1)*Assumptions!$B$11*0.95),0)+IF(AND(Projects!$G$31="Yes",49&gt;=Projects!$C$31,49&lt;Projects!$C$31+Projects!$D$31),IF(49=Projects!$C$31+Projects!$D$31-1,Projects!$B$31*INDEX(Curves!$B$4:$AO$4,1,49-Projects!$C$31+1)*Assumptions!$B$11*0.95+0.05*Projects!$B$31*Assumptions!$B$11,Projects!$B$31*INDEX(Curves!$B$4:$AO$4,1,49-Projects!$C$31+1)*Assumptions!$B$11*0.95),0)+IF(AND(Projects!$G$32="Yes",49&gt;=Projects!$C$32,49&lt;Projects!$C$32+Projects!$D$32),IF(49=Projects!$C$32+Projects!$D$32-1,Projects!$B$32*INDEX(Curves!$B$4:$AO$4,1,49-Projects!$C$32+1)*Assumptions!$B$11*0.95+0.05*Projects!$B$32*Assumptions!$B$11,Projects!$B$32*INDEX(Curves!$B$4:$AO$4,1,49-Projects!$C$32+1)*Assumptions!$B$11*0.95),0)+IF(AND(Projects!$G$33="Yes",49&gt;=Projects!$C$33,49&lt;Projects!$C$33+Projects!$D$33),IF(49=Projects!$C$33+Projects!$D$33-1,Projects!$B$33*INDEX(Curves!$B$4:$AO$4,1,49-Projects!$C$33+1)*Assumptions!$B$11*0.95+0.05*Projects!$B$33*Assumptions!$B$11,Projects!$B$33*INDEX(Curves!$B$4:$AO$4,1,49-Projects!$C$33+1)*Assumptions!$B$11*0.95),0)+IF(AND(Projects!$G$34="Yes",49&gt;=Projects!$C$34,49&lt;Projects!$C$34+Projects!$D$34),IF(49=Projects!$C$34+Projects!$D$34-1,Projects!$B$34*INDEX(Curves!$B$4:$AO$4,1,49-Projects!$C$34+1)*Assumptions!$B$11*0.95+0.05*Projects!$B$34*Assumptions!$B$11,Projects!$B$34*INDEX(Curves!$B$4:$AO$4,1,49-Projects!$C$34+1)*Assumptions!$B$11*0.95),0)+IF(AND(Projects!$G$35="Yes",49&gt;=Projects!$C$35,49&lt;Projects!$C$35+Projects!$D$35),IF(49=Projects!$C$35+Projects!$D$35-1,Projects!$B$35*INDEX(Curves!$B$4:$AO$4,1,49-Projects!$C$35+1)*Assumptions!$B$11*0.95+0.05*Projects!$B$35*Assumptions!$B$11,Projects!$B$35*INDEX(Curves!$B$4:$AO$4,1,49-Projects!$C$35+1)*Assumptions!$B$11*0.95),0)+IF(AND(Projects!$G$36="Yes",49&gt;=Projects!$C$36,49&lt;Projects!$C$36+Projects!$D$36),IF(49=Projects!$C$36+Projects!$D$36-1,Projects!$B$36*INDEX(Curves!$B$4:$AO$4,1,49-Projects!$C$36+1)*Assumptions!$B$11*0.95+0.05*Projects!$B$36*Assumptions!$B$11,Projects!$B$36*INDEX(Curves!$B$4:$AO$4,1,49-Projects!$C$36+1)*Assumptions!$B$11*0.95),0)+IF(AND(Projects!$G$37="Yes",49&gt;=Projects!$C$37,49&lt;Projects!$C$37+Projects!$D$37),IF(49=Projects!$C$37+Projects!$D$37-1,Projects!$B$37*INDEX(Curves!$B$4:$AO$4,1,49-Projects!$C$37+1)*Assumptions!$B$11*0.95+0.05*Projects!$B$37*Assumptions!$B$11,Projects!$B$37*INDEX(Curves!$B$4:$AO$4,1,49-Projects!$C$37+1)*Assumptions!$B$11*0.95),0)+IF(AND(Projects!$G$38="Yes",49&gt;=Projects!$C$38,49&lt;Projects!$C$38+Projects!$D$38),IF(49=Projects!$C$38+Projects!$D$38-1,Projects!$B$38*INDEX(Curves!$B$4:$AO$4,1,49-Projects!$C$38+1)*Assumptions!$B$11*0.95+0.05*Projects!$B$38*Assumptions!$B$11,Projects!$B$38*INDEX(Curves!$B$4:$AO$4,1,49-Projects!$C$38+1)*Assumptions!$B$11*0.95),0)+IF(AND(Projects!$G$39="Yes",49&gt;=Projects!$C$39,49&lt;Projects!$C$39+Projects!$D$39),IF(49=Projects!$C$39+Projects!$D$39-1,Projects!$B$39*INDEX(Curves!$B$4:$AO$4,1,49-Projects!$C$39+1)*Assumptions!$B$11*0.95+0.05*Projects!$B$39*Assumptions!$B$11,Projects!$B$39*INDEX(Curves!$B$4:$AO$4,1,49-Projects!$C$39+1)*Assumptions!$B$11*0.95),0)+IF(AND(Projects!$G$40="Yes",49&gt;=Projects!$C$40,49&lt;Projects!$C$40+Projects!$D$40),IF(49=Projects!$C$40+Projects!$D$40-1,Projects!$B$40*INDEX(Curves!$B$4:$AO$4,1,49-Projects!$C$40+1)*Assumptions!$B$11*0.95+0.05*Projects!$B$40*Assumptions!$B$11,Projects!$B$40*INDEX(Curves!$B$4:$AO$4,1,49-Projects!$C$40+1)*Assumptions!$B$11*0.95),0)+IF(AND(Projects!$G$41="Yes",49&gt;=Projects!$C$41,49&lt;Projects!$C$41+Projects!$D$41),IF(49=Projects!$C$41+Projects!$D$41-1,Projects!$B$41*INDEX(Curves!$B$4:$AO$4,1,49-Projects!$C$41+1)*Assumptions!$B$11*0.95+0.05*Projects!$B$41*Assumptions!$B$11,Projects!$B$41*INDEX(Curves!$B$4:$AO$4,1,49-Projects!$C$41+1)*Assumptions!$B$11*0.95),0)+IF(AND(Projects!$G$42="Yes",49&gt;=Projects!$C$42,49&lt;Projects!$C$42+Projects!$D$42),IF(49=Projects!$C$42+Projects!$D$42-1,Projects!$B$42*INDEX(Curves!$B$4:$AO$4,1,49-Projects!$C$42+1)*Assumptions!$B$11*0.95+0.05*Projects!$B$42*Assumptions!$B$11,Projects!$B$42*INDEX(Curves!$B$4:$AO$4,1,49-Projects!$C$42+1)*Assumptions!$B$11*0.95),0)+IF(AND(Projects!$G$43="Yes",49&gt;=Projects!$C$43,49&lt;Projects!$C$43+Projects!$D$43),IF(49=Projects!$C$43+Projects!$D$43-1,Projects!$B$43*INDEX(Curves!$B$4:$AO$4,1,49-Projects!$C$43+1)*Assumptions!$B$11*0.95+0.05*Projects!$B$43*Assumptions!$B$11,Projects!$B$43*INDEX(Curves!$B$4:$AO$4,1,49-Projects!$C$43+1)*Assumptions!$B$11*0.95),0)+IF(AND(Projects!$G$44="Yes",49&gt;=Projects!$C$44,49&lt;Projects!$C$44+Projects!$D$44),IF(49=Projects!$C$44+Projects!$D$44-1,Projects!$B$44*INDEX(Curves!$B$4:$AO$4,1,49-Projects!$C$44+1)*Assumptions!$B$11*0.95+0.05*Projects!$B$44*Assumptions!$B$11,Projects!$B$44*INDEX(Curves!$B$4:$AO$4,1,49-Projects!$C$44+1)*Assumptions!$B$11*0.95),0)+IF(AND(Projects!$G$45="Yes",49&gt;=Projects!$C$45,49&lt;Projects!$C$45+Projects!$D$45),IF(49=Projects!$C$45+Projects!$D$45-1,Projects!$B$45*INDEX(Curves!$B$4:$AO$4,1,49-Projects!$C$45+1)*Assumptions!$B$11*0.95+0.05*Projects!$B$45*Assumptions!$B$11,Projects!$B$45*INDEX(Curves!$B$4:$AO$4,1,49-Projects!$C$45+1)*Assumptions!$B$11*0.95),0)+IF(AND(Projects!$G$46="Yes",49&gt;=Projects!$C$46,49&lt;Projects!$C$46+Projects!$D$46),IF(49=Projects!$C$46+Projects!$D$46-1,Projects!$B$46*INDEX(Curves!$B$4:$AO$4,1,49-Projects!$C$46+1)*Assumptions!$B$11*0.95+0.05*Projects!$B$46*Assumptions!$B$11,Projects!$B$46*INDEX(Curves!$B$4:$AO$4,1,49-Projects!$C$46+1)*Assumptions!$B$11*0.95),0)</f>
        <v/>
      </c>
      <c r="AZ109">
        <f>IF(AND(Projects!$G$30="Yes",50&gt;=Projects!$C$30,50&lt;Projects!$C$30+Projects!$D$30),IF(50=Projects!$C$30+Projects!$D$30-1,Projects!$B$30*INDEX(Curves!$B$4:$AO$4,1,50-Projects!$C$30+1)*Assumptions!$B$11*0.95+0.05*Projects!$B$30*Assumptions!$B$11,Projects!$B$30*INDEX(Curves!$B$4:$AO$4,1,50-Projects!$C$30+1)*Assumptions!$B$11*0.95),0)+IF(AND(Projects!$G$31="Yes",50&gt;=Projects!$C$31,50&lt;Projects!$C$31+Projects!$D$31),IF(50=Projects!$C$31+Projects!$D$31-1,Projects!$B$31*INDEX(Curves!$B$4:$AO$4,1,50-Projects!$C$31+1)*Assumptions!$B$11*0.95+0.05*Projects!$B$31*Assumptions!$B$11,Projects!$B$31*INDEX(Curves!$B$4:$AO$4,1,50-Projects!$C$31+1)*Assumptions!$B$11*0.95),0)+IF(AND(Projects!$G$32="Yes",50&gt;=Projects!$C$32,50&lt;Projects!$C$32+Projects!$D$32),IF(50=Projects!$C$32+Projects!$D$32-1,Projects!$B$32*INDEX(Curves!$B$4:$AO$4,1,50-Projects!$C$32+1)*Assumptions!$B$11*0.95+0.05*Projects!$B$32*Assumptions!$B$11,Projects!$B$32*INDEX(Curves!$B$4:$AO$4,1,50-Projects!$C$32+1)*Assumptions!$B$11*0.95),0)+IF(AND(Projects!$G$33="Yes",50&gt;=Projects!$C$33,50&lt;Projects!$C$33+Projects!$D$33),IF(50=Projects!$C$33+Projects!$D$33-1,Projects!$B$33*INDEX(Curves!$B$4:$AO$4,1,50-Projects!$C$33+1)*Assumptions!$B$11*0.95+0.05*Projects!$B$33*Assumptions!$B$11,Projects!$B$33*INDEX(Curves!$B$4:$AO$4,1,50-Projects!$C$33+1)*Assumptions!$B$11*0.95),0)+IF(AND(Projects!$G$34="Yes",50&gt;=Projects!$C$34,50&lt;Projects!$C$34+Projects!$D$34),IF(50=Projects!$C$34+Projects!$D$34-1,Projects!$B$34*INDEX(Curves!$B$4:$AO$4,1,50-Projects!$C$34+1)*Assumptions!$B$11*0.95+0.05*Projects!$B$34*Assumptions!$B$11,Projects!$B$34*INDEX(Curves!$B$4:$AO$4,1,50-Projects!$C$34+1)*Assumptions!$B$11*0.95),0)+IF(AND(Projects!$G$35="Yes",50&gt;=Projects!$C$35,50&lt;Projects!$C$35+Projects!$D$35),IF(50=Projects!$C$35+Projects!$D$35-1,Projects!$B$35*INDEX(Curves!$B$4:$AO$4,1,50-Projects!$C$35+1)*Assumptions!$B$11*0.95+0.05*Projects!$B$35*Assumptions!$B$11,Projects!$B$35*INDEX(Curves!$B$4:$AO$4,1,50-Projects!$C$35+1)*Assumptions!$B$11*0.95),0)+IF(AND(Projects!$G$36="Yes",50&gt;=Projects!$C$36,50&lt;Projects!$C$36+Projects!$D$36),IF(50=Projects!$C$36+Projects!$D$36-1,Projects!$B$36*INDEX(Curves!$B$4:$AO$4,1,50-Projects!$C$36+1)*Assumptions!$B$11*0.95+0.05*Projects!$B$36*Assumptions!$B$11,Projects!$B$36*INDEX(Curves!$B$4:$AO$4,1,50-Projects!$C$36+1)*Assumptions!$B$11*0.95),0)+IF(AND(Projects!$G$37="Yes",50&gt;=Projects!$C$37,50&lt;Projects!$C$37+Projects!$D$37),IF(50=Projects!$C$37+Projects!$D$37-1,Projects!$B$37*INDEX(Curves!$B$4:$AO$4,1,50-Projects!$C$37+1)*Assumptions!$B$11*0.95+0.05*Projects!$B$37*Assumptions!$B$11,Projects!$B$37*INDEX(Curves!$B$4:$AO$4,1,50-Projects!$C$37+1)*Assumptions!$B$11*0.95),0)+IF(AND(Projects!$G$38="Yes",50&gt;=Projects!$C$38,50&lt;Projects!$C$38+Projects!$D$38),IF(50=Projects!$C$38+Projects!$D$38-1,Projects!$B$38*INDEX(Curves!$B$4:$AO$4,1,50-Projects!$C$38+1)*Assumptions!$B$11*0.95+0.05*Projects!$B$38*Assumptions!$B$11,Projects!$B$38*INDEX(Curves!$B$4:$AO$4,1,50-Projects!$C$38+1)*Assumptions!$B$11*0.95),0)+IF(AND(Projects!$G$39="Yes",50&gt;=Projects!$C$39,50&lt;Projects!$C$39+Projects!$D$39),IF(50=Projects!$C$39+Projects!$D$39-1,Projects!$B$39*INDEX(Curves!$B$4:$AO$4,1,50-Projects!$C$39+1)*Assumptions!$B$11*0.95+0.05*Projects!$B$39*Assumptions!$B$11,Projects!$B$39*INDEX(Curves!$B$4:$AO$4,1,50-Projects!$C$39+1)*Assumptions!$B$11*0.95),0)+IF(AND(Projects!$G$40="Yes",50&gt;=Projects!$C$40,50&lt;Projects!$C$40+Projects!$D$40),IF(50=Projects!$C$40+Projects!$D$40-1,Projects!$B$40*INDEX(Curves!$B$4:$AO$4,1,50-Projects!$C$40+1)*Assumptions!$B$11*0.95+0.05*Projects!$B$40*Assumptions!$B$11,Projects!$B$40*INDEX(Curves!$B$4:$AO$4,1,50-Projects!$C$40+1)*Assumptions!$B$11*0.95),0)+IF(AND(Projects!$G$41="Yes",50&gt;=Projects!$C$41,50&lt;Projects!$C$41+Projects!$D$41),IF(50=Projects!$C$41+Projects!$D$41-1,Projects!$B$41*INDEX(Curves!$B$4:$AO$4,1,50-Projects!$C$41+1)*Assumptions!$B$11*0.95+0.05*Projects!$B$41*Assumptions!$B$11,Projects!$B$41*INDEX(Curves!$B$4:$AO$4,1,50-Projects!$C$41+1)*Assumptions!$B$11*0.95),0)+IF(AND(Projects!$G$42="Yes",50&gt;=Projects!$C$42,50&lt;Projects!$C$42+Projects!$D$42),IF(50=Projects!$C$42+Projects!$D$42-1,Projects!$B$42*INDEX(Curves!$B$4:$AO$4,1,50-Projects!$C$42+1)*Assumptions!$B$11*0.95+0.05*Projects!$B$42*Assumptions!$B$11,Projects!$B$42*INDEX(Curves!$B$4:$AO$4,1,50-Projects!$C$42+1)*Assumptions!$B$11*0.95),0)+IF(AND(Projects!$G$43="Yes",50&gt;=Projects!$C$43,50&lt;Projects!$C$43+Projects!$D$43),IF(50=Projects!$C$43+Projects!$D$43-1,Projects!$B$43*INDEX(Curves!$B$4:$AO$4,1,50-Projects!$C$43+1)*Assumptions!$B$11*0.95+0.05*Projects!$B$43*Assumptions!$B$11,Projects!$B$43*INDEX(Curves!$B$4:$AO$4,1,50-Projects!$C$43+1)*Assumptions!$B$11*0.95),0)+IF(AND(Projects!$G$44="Yes",50&gt;=Projects!$C$44,50&lt;Projects!$C$44+Projects!$D$44),IF(50=Projects!$C$44+Projects!$D$44-1,Projects!$B$44*INDEX(Curves!$B$4:$AO$4,1,50-Projects!$C$44+1)*Assumptions!$B$11*0.95+0.05*Projects!$B$44*Assumptions!$B$11,Projects!$B$44*INDEX(Curves!$B$4:$AO$4,1,50-Projects!$C$44+1)*Assumptions!$B$11*0.95),0)+IF(AND(Projects!$G$45="Yes",50&gt;=Projects!$C$45,50&lt;Projects!$C$45+Projects!$D$45),IF(50=Projects!$C$45+Projects!$D$45-1,Projects!$B$45*INDEX(Curves!$B$4:$AO$4,1,50-Projects!$C$45+1)*Assumptions!$B$11*0.95+0.05*Projects!$B$45*Assumptions!$B$11,Projects!$B$45*INDEX(Curves!$B$4:$AO$4,1,50-Projects!$C$45+1)*Assumptions!$B$11*0.95),0)+IF(AND(Projects!$G$46="Yes",50&gt;=Projects!$C$46,50&lt;Projects!$C$46+Projects!$D$46),IF(50=Projects!$C$46+Projects!$D$46-1,Projects!$B$46*INDEX(Curves!$B$4:$AO$4,1,50-Projects!$C$46+1)*Assumptions!$B$11*0.95+0.05*Projects!$B$46*Assumptions!$B$11,Projects!$B$46*INDEX(Curves!$B$4:$AO$4,1,50-Projects!$C$46+1)*Assumptions!$B$11*0.95),0)</f>
        <v/>
      </c>
      <c r="BA109">
        <f>IF(AND(Projects!$G$30="Yes",51&gt;=Projects!$C$30,51&lt;Projects!$C$30+Projects!$D$30),IF(51=Projects!$C$30+Projects!$D$30-1,Projects!$B$30*INDEX(Curves!$B$4:$AO$4,1,51-Projects!$C$30+1)*Assumptions!$B$11*0.95+0.05*Projects!$B$30*Assumptions!$B$11,Projects!$B$30*INDEX(Curves!$B$4:$AO$4,1,51-Projects!$C$30+1)*Assumptions!$B$11*0.95),0)+IF(AND(Projects!$G$31="Yes",51&gt;=Projects!$C$31,51&lt;Projects!$C$31+Projects!$D$31),IF(51=Projects!$C$31+Projects!$D$31-1,Projects!$B$31*INDEX(Curves!$B$4:$AO$4,1,51-Projects!$C$31+1)*Assumptions!$B$11*0.95+0.05*Projects!$B$31*Assumptions!$B$11,Projects!$B$31*INDEX(Curves!$B$4:$AO$4,1,51-Projects!$C$31+1)*Assumptions!$B$11*0.95),0)+IF(AND(Projects!$G$32="Yes",51&gt;=Projects!$C$32,51&lt;Projects!$C$32+Projects!$D$32),IF(51=Projects!$C$32+Projects!$D$32-1,Projects!$B$32*INDEX(Curves!$B$4:$AO$4,1,51-Projects!$C$32+1)*Assumptions!$B$11*0.95+0.05*Projects!$B$32*Assumptions!$B$11,Projects!$B$32*INDEX(Curves!$B$4:$AO$4,1,51-Projects!$C$32+1)*Assumptions!$B$11*0.95),0)+IF(AND(Projects!$G$33="Yes",51&gt;=Projects!$C$33,51&lt;Projects!$C$33+Projects!$D$33),IF(51=Projects!$C$33+Projects!$D$33-1,Projects!$B$33*INDEX(Curves!$B$4:$AO$4,1,51-Projects!$C$33+1)*Assumptions!$B$11*0.95+0.05*Projects!$B$33*Assumptions!$B$11,Projects!$B$33*INDEX(Curves!$B$4:$AO$4,1,51-Projects!$C$33+1)*Assumptions!$B$11*0.95),0)+IF(AND(Projects!$G$34="Yes",51&gt;=Projects!$C$34,51&lt;Projects!$C$34+Projects!$D$34),IF(51=Projects!$C$34+Projects!$D$34-1,Projects!$B$34*INDEX(Curves!$B$4:$AO$4,1,51-Projects!$C$34+1)*Assumptions!$B$11*0.95+0.05*Projects!$B$34*Assumptions!$B$11,Projects!$B$34*INDEX(Curves!$B$4:$AO$4,1,51-Projects!$C$34+1)*Assumptions!$B$11*0.95),0)+IF(AND(Projects!$G$35="Yes",51&gt;=Projects!$C$35,51&lt;Projects!$C$35+Projects!$D$35),IF(51=Projects!$C$35+Projects!$D$35-1,Projects!$B$35*INDEX(Curves!$B$4:$AO$4,1,51-Projects!$C$35+1)*Assumptions!$B$11*0.95+0.05*Projects!$B$35*Assumptions!$B$11,Projects!$B$35*INDEX(Curves!$B$4:$AO$4,1,51-Projects!$C$35+1)*Assumptions!$B$11*0.95),0)+IF(AND(Projects!$G$36="Yes",51&gt;=Projects!$C$36,51&lt;Projects!$C$36+Projects!$D$36),IF(51=Projects!$C$36+Projects!$D$36-1,Projects!$B$36*INDEX(Curves!$B$4:$AO$4,1,51-Projects!$C$36+1)*Assumptions!$B$11*0.95+0.05*Projects!$B$36*Assumptions!$B$11,Projects!$B$36*INDEX(Curves!$B$4:$AO$4,1,51-Projects!$C$36+1)*Assumptions!$B$11*0.95),0)+IF(AND(Projects!$G$37="Yes",51&gt;=Projects!$C$37,51&lt;Projects!$C$37+Projects!$D$37),IF(51=Projects!$C$37+Projects!$D$37-1,Projects!$B$37*INDEX(Curves!$B$4:$AO$4,1,51-Projects!$C$37+1)*Assumptions!$B$11*0.95+0.05*Projects!$B$37*Assumptions!$B$11,Projects!$B$37*INDEX(Curves!$B$4:$AO$4,1,51-Projects!$C$37+1)*Assumptions!$B$11*0.95),0)+IF(AND(Projects!$G$38="Yes",51&gt;=Projects!$C$38,51&lt;Projects!$C$38+Projects!$D$38),IF(51=Projects!$C$38+Projects!$D$38-1,Projects!$B$38*INDEX(Curves!$B$4:$AO$4,1,51-Projects!$C$38+1)*Assumptions!$B$11*0.95+0.05*Projects!$B$38*Assumptions!$B$11,Projects!$B$38*INDEX(Curves!$B$4:$AO$4,1,51-Projects!$C$38+1)*Assumptions!$B$11*0.95),0)+IF(AND(Projects!$G$39="Yes",51&gt;=Projects!$C$39,51&lt;Projects!$C$39+Projects!$D$39),IF(51=Projects!$C$39+Projects!$D$39-1,Projects!$B$39*INDEX(Curves!$B$4:$AO$4,1,51-Projects!$C$39+1)*Assumptions!$B$11*0.95+0.05*Projects!$B$39*Assumptions!$B$11,Projects!$B$39*INDEX(Curves!$B$4:$AO$4,1,51-Projects!$C$39+1)*Assumptions!$B$11*0.95),0)+IF(AND(Projects!$G$40="Yes",51&gt;=Projects!$C$40,51&lt;Projects!$C$40+Projects!$D$40),IF(51=Projects!$C$40+Projects!$D$40-1,Projects!$B$40*INDEX(Curves!$B$4:$AO$4,1,51-Projects!$C$40+1)*Assumptions!$B$11*0.95+0.05*Projects!$B$40*Assumptions!$B$11,Projects!$B$40*INDEX(Curves!$B$4:$AO$4,1,51-Projects!$C$40+1)*Assumptions!$B$11*0.95),0)+IF(AND(Projects!$G$41="Yes",51&gt;=Projects!$C$41,51&lt;Projects!$C$41+Projects!$D$41),IF(51=Projects!$C$41+Projects!$D$41-1,Projects!$B$41*INDEX(Curves!$B$4:$AO$4,1,51-Projects!$C$41+1)*Assumptions!$B$11*0.95+0.05*Projects!$B$41*Assumptions!$B$11,Projects!$B$41*INDEX(Curves!$B$4:$AO$4,1,51-Projects!$C$41+1)*Assumptions!$B$11*0.95),0)+IF(AND(Projects!$G$42="Yes",51&gt;=Projects!$C$42,51&lt;Projects!$C$42+Projects!$D$42),IF(51=Projects!$C$42+Projects!$D$42-1,Projects!$B$42*INDEX(Curves!$B$4:$AO$4,1,51-Projects!$C$42+1)*Assumptions!$B$11*0.95+0.05*Projects!$B$42*Assumptions!$B$11,Projects!$B$42*INDEX(Curves!$B$4:$AO$4,1,51-Projects!$C$42+1)*Assumptions!$B$11*0.95),0)+IF(AND(Projects!$G$43="Yes",51&gt;=Projects!$C$43,51&lt;Projects!$C$43+Projects!$D$43),IF(51=Projects!$C$43+Projects!$D$43-1,Projects!$B$43*INDEX(Curves!$B$4:$AO$4,1,51-Projects!$C$43+1)*Assumptions!$B$11*0.95+0.05*Projects!$B$43*Assumptions!$B$11,Projects!$B$43*INDEX(Curves!$B$4:$AO$4,1,51-Projects!$C$43+1)*Assumptions!$B$11*0.95),0)+IF(AND(Projects!$G$44="Yes",51&gt;=Projects!$C$44,51&lt;Projects!$C$44+Projects!$D$44),IF(51=Projects!$C$44+Projects!$D$44-1,Projects!$B$44*INDEX(Curves!$B$4:$AO$4,1,51-Projects!$C$44+1)*Assumptions!$B$11*0.95+0.05*Projects!$B$44*Assumptions!$B$11,Projects!$B$44*INDEX(Curves!$B$4:$AO$4,1,51-Projects!$C$44+1)*Assumptions!$B$11*0.95),0)+IF(AND(Projects!$G$45="Yes",51&gt;=Projects!$C$45,51&lt;Projects!$C$45+Projects!$D$45),IF(51=Projects!$C$45+Projects!$D$45-1,Projects!$B$45*INDEX(Curves!$B$4:$AO$4,1,51-Projects!$C$45+1)*Assumptions!$B$11*0.95+0.05*Projects!$B$45*Assumptions!$B$11,Projects!$B$45*INDEX(Curves!$B$4:$AO$4,1,51-Projects!$C$45+1)*Assumptions!$B$11*0.95),0)+IF(AND(Projects!$G$46="Yes",51&gt;=Projects!$C$46,51&lt;Projects!$C$46+Projects!$D$46),IF(51=Projects!$C$46+Projects!$D$46-1,Projects!$B$46*INDEX(Curves!$B$4:$AO$4,1,51-Projects!$C$46+1)*Assumptions!$B$11*0.95+0.05*Projects!$B$46*Assumptions!$B$11,Projects!$B$46*INDEX(Curves!$B$4:$AO$4,1,51-Projects!$C$46+1)*Assumptions!$B$11*0.95),0)</f>
        <v/>
      </c>
      <c r="BB109">
        <f>IF(AND(Projects!$G$30="Yes",52&gt;=Projects!$C$30,52&lt;Projects!$C$30+Projects!$D$30),IF(52=Projects!$C$30+Projects!$D$30-1,Projects!$B$30*INDEX(Curves!$B$4:$AO$4,1,52-Projects!$C$30+1)*Assumptions!$B$11*0.95+0.05*Projects!$B$30*Assumptions!$B$11,Projects!$B$30*INDEX(Curves!$B$4:$AO$4,1,52-Projects!$C$30+1)*Assumptions!$B$11*0.95),0)+IF(AND(Projects!$G$31="Yes",52&gt;=Projects!$C$31,52&lt;Projects!$C$31+Projects!$D$31),IF(52=Projects!$C$31+Projects!$D$31-1,Projects!$B$31*INDEX(Curves!$B$4:$AO$4,1,52-Projects!$C$31+1)*Assumptions!$B$11*0.95+0.05*Projects!$B$31*Assumptions!$B$11,Projects!$B$31*INDEX(Curves!$B$4:$AO$4,1,52-Projects!$C$31+1)*Assumptions!$B$11*0.95),0)+IF(AND(Projects!$G$32="Yes",52&gt;=Projects!$C$32,52&lt;Projects!$C$32+Projects!$D$32),IF(52=Projects!$C$32+Projects!$D$32-1,Projects!$B$32*INDEX(Curves!$B$4:$AO$4,1,52-Projects!$C$32+1)*Assumptions!$B$11*0.95+0.05*Projects!$B$32*Assumptions!$B$11,Projects!$B$32*INDEX(Curves!$B$4:$AO$4,1,52-Projects!$C$32+1)*Assumptions!$B$11*0.95),0)+IF(AND(Projects!$G$33="Yes",52&gt;=Projects!$C$33,52&lt;Projects!$C$33+Projects!$D$33),IF(52=Projects!$C$33+Projects!$D$33-1,Projects!$B$33*INDEX(Curves!$B$4:$AO$4,1,52-Projects!$C$33+1)*Assumptions!$B$11*0.95+0.05*Projects!$B$33*Assumptions!$B$11,Projects!$B$33*INDEX(Curves!$B$4:$AO$4,1,52-Projects!$C$33+1)*Assumptions!$B$11*0.95),0)+IF(AND(Projects!$G$34="Yes",52&gt;=Projects!$C$34,52&lt;Projects!$C$34+Projects!$D$34),IF(52=Projects!$C$34+Projects!$D$34-1,Projects!$B$34*INDEX(Curves!$B$4:$AO$4,1,52-Projects!$C$34+1)*Assumptions!$B$11*0.95+0.05*Projects!$B$34*Assumptions!$B$11,Projects!$B$34*INDEX(Curves!$B$4:$AO$4,1,52-Projects!$C$34+1)*Assumptions!$B$11*0.95),0)+IF(AND(Projects!$G$35="Yes",52&gt;=Projects!$C$35,52&lt;Projects!$C$35+Projects!$D$35),IF(52=Projects!$C$35+Projects!$D$35-1,Projects!$B$35*INDEX(Curves!$B$4:$AO$4,1,52-Projects!$C$35+1)*Assumptions!$B$11*0.95+0.05*Projects!$B$35*Assumptions!$B$11,Projects!$B$35*INDEX(Curves!$B$4:$AO$4,1,52-Projects!$C$35+1)*Assumptions!$B$11*0.95),0)+IF(AND(Projects!$G$36="Yes",52&gt;=Projects!$C$36,52&lt;Projects!$C$36+Projects!$D$36),IF(52=Projects!$C$36+Projects!$D$36-1,Projects!$B$36*INDEX(Curves!$B$4:$AO$4,1,52-Projects!$C$36+1)*Assumptions!$B$11*0.95+0.05*Projects!$B$36*Assumptions!$B$11,Projects!$B$36*INDEX(Curves!$B$4:$AO$4,1,52-Projects!$C$36+1)*Assumptions!$B$11*0.95),0)+IF(AND(Projects!$G$37="Yes",52&gt;=Projects!$C$37,52&lt;Projects!$C$37+Projects!$D$37),IF(52=Projects!$C$37+Projects!$D$37-1,Projects!$B$37*INDEX(Curves!$B$4:$AO$4,1,52-Projects!$C$37+1)*Assumptions!$B$11*0.95+0.05*Projects!$B$37*Assumptions!$B$11,Projects!$B$37*INDEX(Curves!$B$4:$AO$4,1,52-Projects!$C$37+1)*Assumptions!$B$11*0.95),0)+IF(AND(Projects!$G$38="Yes",52&gt;=Projects!$C$38,52&lt;Projects!$C$38+Projects!$D$38),IF(52=Projects!$C$38+Projects!$D$38-1,Projects!$B$38*INDEX(Curves!$B$4:$AO$4,1,52-Projects!$C$38+1)*Assumptions!$B$11*0.95+0.05*Projects!$B$38*Assumptions!$B$11,Projects!$B$38*INDEX(Curves!$B$4:$AO$4,1,52-Projects!$C$38+1)*Assumptions!$B$11*0.95),0)+IF(AND(Projects!$G$39="Yes",52&gt;=Projects!$C$39,52&lt;Projects!$C$39+Projects!$D$39),IF(52=Projects!$C$39+Projects!$D$39-1,Projects!$B$39*INDEX(Curves!$B$4:$AO$4,1,52-Projects!$C$39+1)*Assumptions!$B$11*0.95+0.05*Projects!$B$39*Assumptions!$B$11,Projects!$B$39*INDEX(Curves!$B$4:$AO$4,1,52-Projects!$C$39+1)*Assumptions!$B$11*0.95),0)+IF(AND(Projects!$G$40="Yes",52&gt;=Projects!$C$40,52&lt;Projects!$C$40+Projects!$D$40),IF(52=Projects!$C$40+Projects!$D$40-1,Projects!$B$40*INDEX(Curves!$B$4:$AO$4,1,52-Projects!$C$40+1)*Assumptions!$B$11*0.95+0.05*Projects!$B$40*Assumptions!$B$11,Projects!$B$40*INDEX(Curves!$B$4:$AO$4,1,52-Projects!$C$40+1)*Assumptions!$B$11*0.95),0)+IF(AND(Projects!$G$41="Yes",52&gt;=Projects!$C$41,52&lt;Projects!$C$41+Projects!$D$41),IF(52=Projects!$C$41+Projects!$D$41-1,Projects!$B$41*INDEX(Curves!$B$4:$AO$4,1,52-Projects!$C$41+1)*Assumptions!$B$11*0.95+0.05*Projects!$B$41*Assumptions!$B$11,Projects!$B$41*INDEX(Curves!$B$4:$AO$4,1,52-Projects!$C$41+1)*Assumptions!$B$11*0.95),0)+IF(AND(Projects!$G$42="Yes",52&gt;=Projects!$C$42,52&lt;Projects!$C$42+Projects!$D$42),IF(52=Projects!$C$42+Projects!$D$42-1,Projects!$B$42*INDEX(Curves!$B$4:$AO$4,1,52-Projects!$C$42+1)*Assumptions!$B$11*0.95+0.05*Projects!$B$42*Assumptions!$B$11,Projects!$B$42*INDEX(Curves!$B$4:$AO$4,1,52-Projects!$C$42+1)*Assumptions!$B$11*0.95),0)+IF(AND(Projects!$G$43="Yes",52&gt;=Projects!$C$43,52&lt;Projects!$C$43+Projects!$D$43),IF(52=Projects!$C$43+Projects!$D$43-1,Projects!$B$43*INDEX(Curves!$B$4:$AO$4,1,52-Projects!$C$43+1)*Assumptions!$B$11*0.95+0.05*Projects!$B$43*Assumptions!$B$11,Projects!$B$43*INDEX(Curves!$B$4:$AO$4,1,52-Projects!$C$43+1)*Assumptions!$B$11*0.95),0)+IF(AND(Projects!$G$44="Yes",52&gt;=Projects!$C$44,52&lt;Projects!$C$44+Projects!$D$44),IF(52=Projects!$C$44+Projects!$D$44-1,Projects!$B$44*INDEX(Curves!$B$4:$AO$4,1,52-Projects!$C$44+1)*Assumptions!$B$11*0.95+0.05*Projects!$B$44*Assumptions!$B$11,Projects!$B$44*INDEX(Curves!$B$4:$AO$4,1,52-Projects!$C$44+1)*Assumptions!$B$11*0.95),0)+IF(AND(Projects!$G$45="Yes",52&gt;=Projects!$C$45,52&lt;Projects!$C$45+Projects!$D$45),IF(52=Projects!$C$45+Projects!$D$45-1,Projects!$B$45*INDEX(Curves!$B$4:$AO$4,1,52-Projects!$C$45+1)*Assumptions!$B$11*0.95+0.05*Projects!$B$45*Assumptions!$B$11,Projects!$B$45*INDEX(Curves!$B$4:$AO$4,1,52-Projects!$C$45+1)*Assumptions!$B$11*0.95),0)+IF(AND(Projects!$G$46="Yes",52&gt;=Projects!$C$46,52&lt;Projects!$C$46+Projects!$D$46),IF(52=Projects!$C$46+Projects!$D$46-1,Projects!$B$46*INDEX(Curves!$B$4:$AO$4,1,52-Projects!$C$46+1)*Assumptions!$B$11*0.95+0.05*Projects!$B$46*Assumptions!$B$11,Projects!$B$46*INDEX(Curves!$B$4:$AO$4,1,52-Projects!$C$46+1)*Assumptions!$B$11*0.95),0)</f>
        <v/>
      </c>
      <c r="BC109">
        <f>IF(AND(Projects!$G$30="Yes",53&gt;=Projects!$C$30,53&lt;Projects!$C$30+Projects!$D$30),IF(53=Projects!$C$30+Projects!$D$30-1,Projects!$B$30*INDEX(Curves!$B$4:$AO$4,1,53-Projects!$C$30+1)*Assumptions!$B$11*0.95+0.05*Projects!$B$30*Assumptions!$B$11,Projects!$B$30*INDEX(Curves!$B$4:$AO$4,1,53-Projects!$C$30+1)*Assumptions!$B$11*0.95),0)+IF(AND(Projects!$G$31="Yes",53&gt;=Projects!$C$31,53&lt;Projects!$C$31+Projects!$D$31),IF(53=Projects!$C$31+Projects!$D$31-1,Projects!$B$31*INDEX(Curves!$B$4:$AO$4,1,53-Projects!$C$31+1)*Assumptions!$B$11*0.95+0.05*Projects!$B$31*Assumptions!$B$11,Projects!$B$31*INDEX(Curves!$B$4:$AO$4,1,53-Projects!$C$31+1)*Assumptions!$B$11*0.95),0)+IF(AND(Projects!$G$32="Yes",53&gt;=Projects!$C$32,53&lt;Projects!$C$32+Projects!$D$32),IF(53=Projects!$C$32+Projects!$D$32-1,Projects!$B$32*INDEX(Curves!$B$4:$AO$4,1,53-Projects!$C$32+1)*Assumptions!$B$11*0.95+0.05*Projects!$B$32*Assumptions!$B$11,Projects!$B$32*INDEX(Curves!$B$4:$AO$4,1,53-Projects!$C$32+1)*Assumptions!$B$11*0.95),0)+IF(AND(Projects!$G$33="Yes",53&gt;=Projects!$C$33,53&lt;Projects!$C$33+Projects!$D$33),IF(53=Projects!$C$33+Projects!$D$33-1,Projects!$B$33*INDEX(Curves!$B$4:$AO$4,1,53-Projects!$C$33+1)*Assumptions!$B$11*0.95+0.05*Projects!$B$33*Assumptions!$B$11,Projects!$B$33*INDEX(Curves!$B$4:$AO$4,1,53-Projects!$C$33+1)*Assumptions!$B$11*0.95),0)+IF(AND(Projects!$G$34="Yes",53&gt;=Projects!$C$34,53&lt;Projects!$C$34+Projects!$D$34),IF(53=Projects!$C$34+Projects!$D$34-1,Projects!$B$34*INDEX(Curves!$B$4:$AO$4,1,53-Projects!$C$34+1)*Assumptions!$B$11*0.95+0.05*Projects!$B$34*Assumptions!$B$11,Projects!$B$34*INDEX(Curves!$B$4:$AO$4,1,53-Projects!$C$34+1)*Assumptions!$B$11*0.95),0)+IF(AND(Projects!$G$35="Yes",53&gt;=Projects!$C$35,53&lt;Projects!$C$35+Projects!$D$35),IF(53=Projects!$C$35+Projects!$D$35-1,Projects!$B$35*INDEX(Curves!$B$4:$AO$4,1,53-Projects!$C$35+1)*Assumptions!$B$11*0.95+0.05*Projects!$B$35*Assumptions!$B$11,Projects!$B$35*INDEX(Curves!$B$4:$AO$4,1,53-Projects!$C$35+1)*Assumptions!$B$11*0.95),0)+IF(AND(Projects!$G$36="Yes",53&gt;=Projects!$C$36,53&lt;Projects!$C$36+Projects!$D$36),IF(53=Projects!$C$36+Projects!$D$36-1,Projects!$B$36*INDEX(Curves!$B$4:$AO$4,1,53-Projects!$C$36+1)*Assumptions!$B$11*0.95+0.05*Projects!$B$36*Assumptions!$B$11,Projects!$B$36*INDEX(Curves!$B$4:$AO$4,1,53-Projects!$C$36+1)*Assumptions!$B$11*0.95),0)+IF(AND(Projects!$G$37="Yes",53&gt;=Projects!$C$37,53&lt;Projects!$C$37+Projects!$D$37),IF(53=Projects!$C$37+Projects!$D$37-1,Projects!$B$37*INDEX(Curves!$B$4:$AO$4,1,53-Projects!$C$37+1)*Assumptions!$B$11*0.95+0.05*Projects!$B$37*Assumptions!$B$11,Projects!$B$37*INDEX(Curves!$B$4:$AO$4,1,53-Projects!$C$37+1)*Assumptions!$B$11*0.95),0)+IF(AND(Projects!$G$38="Yes",53&gt;=Projects!$C$38,53&lt;Projects!$C$38+Projects!$D$38),IF(53=Projects!$C$38+Projects!$D$38-1,Projects!$B$38*INDEX(Curves!$B$4:$AO$4,1,53-Projects!$C$38+1)*Assumptions!$B$11*0.95+0.05*Projects!$B$38*Assumptions!$B$11,Projects!$B$38*INDEX(Curves!$B$4:$AO$4,1,53-Projects!$C$38+1)*Assumptions!$B$11*0.95),0)+IF(AND(Projects!$G$39="Yes",53&gt;=Projects!$C$39,53&lt;Projects!$C$39+Projects!$D$39),IF(53=Projects!$C$39+Projects!$D$39-1,Projects!$B$39*INDEX(Curves!$B$4:$AO$4,1,53-Projects!$C$39+1)*Assumptions!$B$11*0.95+0.05*Projects!$B$39*Assumptions!$B$11,Projects!$B$39*INDEX(Curves!$B$4:$AO$4,1,53-Projects!$C$39+1)*Assumptions!$B$11*0.95),0)+IF(AND(Projects!$G$40="Yes",53&gt;=Projects!$C$40,53&lt;Projects!$C$40+Projects!$D$40),IF(53=Projects!$C$40+Projects!$D$40-1,Projects!$B$40*INDEX(Curves!$B$4:$AO$4,1,53-Projects!$C$40+1)*Assumptions!$B$11*0.95+0.05*Projects!$B$40*Assumptions!$B$11,Projects!$B$40*INDEX(Curves!$B$4:$AO$4,1,53-Projects!$C$40+1)*Assumptions!$B$11*0.95),0)+IF(AND(Projects!$G$41="Yes",53&gt;=Projects!$C$41,53&lt;Projects!$C$41+Projects!$D$41),IF(53=Projects!$C$41+Projects!$D$41-1,Projects!$B$41*INDEX(Curves!$B$4:$AO$4,1,53-Projects!$C$41+1)*Assumptions!$B$11*0.95+0.05*Projects!$B$41*Assumptions!$B$11,Projects!$B$41*INDEX(Curves!$B$4:$AO$4,1,53-Projects!$C$41+1)*Assumptions!$B$11*0.95),0)+IF(AND(Projects!$G$42="Yes",53&gt;=Projects!$C$42,53&lt;Projects!$C$42+Projects!$D$42),IF(53=Projects!$C$42+Projects!$D$42-1,Projects!$B$42*INDEX(Curves!$B$4:$AO$4,1,53-Projects!$C$42+1)*Assumptions!$B$11*0.95+0.05*Projects!$B$42*Assumptions!$B$11,Projects!$B$42*INDEX(Curves!$B$4:$AO$4,1,53-Projects!$C$42+1)*Assumptions!$B$11*0.95),0)+IF(AND(Projects!$G$43="Yes",53&gt;=Projects!$C$43,53&lt;Projects!$C$43+Projects!$D$43),IF(53=Projects!$C$43+Projects!$D$43-1,Projects!$B$43*INDEX(Curves!$B$4:$AO$4,1,53-Projects!$C$43+1)*Assumptions!$B$11*0.95+0.05*Projects!$B$43*Assumptions!$B$11,Projects!$B$43*INDEX(Curves!$B$4:$AO$4,1,53-Projects!$C$43+1)*Assumptions!$B$11*0.95),0)+IF(AND(Projects!$G$44="Yes",53&gt;=Projects!$C$44,53&lt;Projects!$C$44+Projects!$D$44),IF(53=Projects!$C$44+Projects!$D$44-1,Projects!$B$44*INDEX(Curves!$B$4:$AO$4,1,53-Projects!$C$44+1)*Assumptions!$B$11*0.95+0.05*Projects!$B$44*Assumptions!$B$11,Projects!$B$44*INDEX(Curves!$B$4:$AO$4,1,53-Projects!$C$44+1)*Assumptions!$B$11*0.95),0)+IF(AND(Projects!$G$45="Yes",53&gt;=Projects!$C$45,53&lt;Projects!$C$45+Projects!$D$45),IF(53=Projects!$C$45+Projects!$D$45-1,Projects!$B$45*INDEX(Curves!$B$4:$AO$4,1,53-Projects!$C$45+1)*Assumptions!$B$11*0.95+0.05*Projects!$B$45*Assumptions!$B$11,Projects!$B$45*INDEX(Curves!$B$4:$AO$4,1,53-Projects!$C$45+1)*Assumptions!$B$11*0.95),0)+IF(AND(Projects!$G$46="Yes",53&gt;=Projects!$C$46,53&lt;Projects!$C$46+Projects!$D$46),IF(53=Projects!$C$46+Projects!$D$46-1,Projects!$B$46*INDEX(Curves!$B$4:$AO$4,1,53-Projects!$C$46+1)*Assumptions!$B$11*0.95+0.05*Projects!$B$46*Assumptions!$B$11,Projects!$B$46*INDEX(Curves!$B$4:$AO$4,1,53-Projects!$C$46+1)*Assumptions!$B$11*0.95),0)</f>
        <v/>
      </c>
      <c r="BD109">
        <f>IF(AND(Projects!$G$30="Yes",54&gt;=Projects!$C$30,54&lt;Projects!$C$30+Projects!$D$30),IF(54=Projects!$C$30+Projects!$D$30-1,Projects!$B$30*INDEX(Curves!$B$4:$AO$4,1,54-Projects!$C$30+1)*Assumptions!$B$11*0.95+0.05*Projects!$B$30*Assumptions!$B$11,Projects!$B$30*INDEX(Curves!$B$4:$AO$4,1,54-Projects!$C$30+1)*Assumptions!$B$11*0.95),0)+IF(AND(Projects!$G$31="Yes",54&gt;=Projects!$C$31,54&lt;Projects!$C$31+Projects!$D$31),IF(54=Projects!$C$31+Projects!$D$31-1,Projects!$B$31*INDEX(Curves!$B$4:$AO$4,1,54-Projects!$C$31+1)*Assumptions!$B$11*0.95+0.05*Projects!$B$31*Assumptions!$B$11,Projects!$B$31*INDEX(Curves!$B$4:$AO$4,1,54-Projects!$C$31+1)*Assumptions!$B$11*0.95),0)+IF(AND(Projects!$G$32="Yes",54&gt;=Projects!$C$32,54&lt;Projects!$C$32+Projects!$D$32),IF(54=Projects!$C$32+Projects!$D$32-1,Projects!$B$32*INDEX(Curves!$B$4:$AO$4,1,54-Projects!$C$32+1)*Assumptions!$B$11*0.95+0.05*Projects!$B$32*Assumptions!$B$11,Projects!$B$32*INDEX(Curves!$B$4:$AO$4,1,54-Projects!$C$32+1)*Assumptions!$B$11*0.95),0)+IF(AND(Projects!$G$33="Yes",54&gt;=Projects!$C$33,54&lt;Projects!$C$33+Projects!$D$33),IF(54=Projects!$C$33+Projects!$D$33-1,Projects!$B$33*INDEX(Curves!$B$4:$AO$4,1,54-Projects!$C$33+1)*Assumptions!$B$11*0.95+0.05*Projects!$B$33*Assumptions!$B$11,Projects!$B$33*INDEX(Curves!$B$4:$AO$4,1,54-Projects!$C$33+1)*Assumptions!$B$11*0.95),0)+IF(AND(Projects!$G$34="Yes",54&gt;=Projects!$C$34,54&lt;Projects!$C$34+Projects!$D$34),IF(54=Projects!$C$34+Projects!$D$34-1,Projects!$B$34*INDEX(Curves!$B$4:$AO$4,1,54-Projects!$C$34+1)*Assumptions!$B$11*0.95+0.05*Projects!$B$34*Assumptions!$B$11,Projects!$B$34*INDEX(Curves!$B$4:$AO$4,1,54-Projects!$C$34+1)*Assumptions!$B$11*0.95),0)+IF(AND(Projects!$G$35="Yes",54&gt;=Projects!$C$35,54&lt;Projects!$C$35+Projects!$D$35),IF(54=Projects!$C$35+Projects!$D$35-1,Projects!$B$35*INDEX(Curves!$B$4:$AO$4,1,54-Projects!$C$35+1)*Assumptions!$B$11*0.95+0.05*Projects!$B$35*Assumptions!$B$11,Projects!$B$35*INDEX(Curves!$B$4:$AO$4,1,54-Projects!$C$35+1)*Assumptions!$B$11*0.95),0)+IF(AND(Projects!$G$36="Yes",54&gt;=Projects!$C$36,54&lt;Projects!$C$36+Projects!$D$36),IF(54=Projects!$C$36+Projects!$D$36-1,Projects!$B$36*INDEX(Curves!$B$4:$AO$4,1,54-Projects!$C$36+1)*Assumptions!$B$11*0.95+0.05*Projects!$B$36*Assumptions!$B$11,Projects!$B$36*INDEX(Curves!$B$4:$AO$4,1,54-Projects!$C$36+1)*Assumptions!$B$11*0.95),0)+IF(AND(Projects!$G$37="Yes",54&gt;=Projects!$C$37,54&lt;Projects!$C$37+Projects!$D$37),IF(54=Projects!$C$37+Projects!$D$37-1,Projects!$B$37*INDEX(Curves!$B$4:$AO$4,1,54-Projects!$C$37+1)*Assumptions!$B$11*0.95+0.05*Projects!$B$37*Assumptions!$B$11,Projects!$B$37*INDEX(Curves!$B$4:$AO$4,1,54-Projects!$C$37+1)*Assumptions!$B$11*0.95),0)+IF(AND(Projects!$G$38="Yes",54&gt;=Projects!$C$38,54&lt;Projects!$C$38+Projects!$D$38),IF(54=Projects!$C$38+Projects!$D$38-1,Projects!$B$38*INDEX(Curves!$B$4:$AO$4,1,54-Projects!$C$38+1)*Assumptions!$B$11*0.95+0.05*Projects!$B$38*Assumptions!$B$11,Projects!$B$38*INDEX(Curves!$B$4:$AO$4,1,54-Projects!$C$38+1)*Assumptions!$B$11*0.95),0)+IF(AND(Projects!$G$39="Yes",54&gt;=Projects!$C$39,54&lt;Projects!$C$39+Projects!$D$39),IF(54=Projects!$C$39+Projects!$D$39-1,Projects!$B$39*INDEX(Curves!$B$4:$AO$4,1,54-Projects!$C$39+1)*Assumptions!$B$11*0.95+0.05*Projects!$B$39*Assumptions!$B$11,Projects!$B$39*INDEX(Curves!$B$4:$AO$4,1,54-Projects!$C$39+1)*Assumptions!$B$11*0.95),0)+IF(AND(Projects!$G$40="Yes",54&gt;=Projects!$C$40,54&lt;Projects!$C$40+Projects!$D$40),IF(54=Projects!$C$40+Projects!$D$40-1,Projects!$B$40*INDEX(Curves!$B$4:$AO$4,1,54-Projects!$C$40+1)*Assumptions!$B$11*0.95+0.05*Projects!$B$40*Assumptions!$B$11,Projects!$B$40*INDEX(Curves!$B$4:$AO$4,1,54-Projects!$C$40+1)*Assumptions!$B$11*0.95),0)+IF(AND(Projects!$G$41="Yes",54&gt;=Projects!$C$41,54&lt;Projects!$C$41+Projects!$D$41),IF(54=Projects!$C$41+Projects!$D$41-1,Projects!$B$41*INDEX(Curves!$B$4:$AO$4,1,54-Projects!$C$41+1)*Assumptions!$B$11*0.95+0.05*Projects!$B$41*Assumptions!$B$11,Projects!$B$41*INDEX(Curves!$B$4:$AO$4,1,54-Projects!$C$41+1)*Assumptions!$B$11*0.95),0)+IF(AND(Projects!$G$42="Yes",54&gt;=Projects!$C$42,54&lt;Projects!$C$42+Projects!$D$42),IF(54=Projects!$C$42+Projects!$D$42-1,Projects!$B$42*INDEX(Curves!$B$4:$AO$4,1,54-Projects!$C$42+1)*Assumptions!$B$11*0.95+0.05*Projects!$B$42*Assumptions!$B$11,Projects!$B$42*INDEX(Curves!$B$4:$AO$4,1,54-Projects!$C$42+1)*Assumptions!$B$11*0.95),0)+IF(AND(Projects!$G$43="Yes",54&gt;=Projects!$C$43,54&lt;Projects!$C$43+Projects!$D$43),IF(54=Projects!$C$43+Projects!$D$43-1,Projects!$B$43*INDEX(Curves!$B$4:$AO$4,1,54-Projects!$C$43+1)*Assumptions!$B$11*0.95+0.05*Projects!$B$43*Assumptions!$B$11,Projects!$B$43*INDEX(Curves!$B$4:$AO$4,1,54-Projects!$C$43+1)*Assumptions!$B$11*0.95),0)+IF(AND(Projects!$G$44="Yes",54&gt;=Projects!$C$44,54&lt;Projects!$C$44+Projects!$D$44),IF(54=Projects!$C$44+Projects!$D$44-1,Projects!$B$44*INDEX(Curves!$B$4:$AO$4,1,54-Projects!$C$44+1)*Assumptions!$B$11*0.95+0.05*Projects!$B$44*Assumptions!$B$11,Projects!$B$44*INDEX(Curves!$B$4:$AO$4,1,54-Projects!$C$44+1)*Assumptions!$B$11*0.95),0)+IF(AND(Projects!$G$45="Yes",54&gt;=Projects!$C$45,54&lt;Projects!$C$45+Projects!$D$45),IF(54=Projects!$C$45+Projects!$D$45-1,Projects!$B$45*INDEX(Curves!$B$4:$AO$4,1,54-Projects!$C$45+1)*Assumptions!$B$11*0.95+0.05*Projects!$B$45*Assumptions!$B$11,Projects!$B$45*INDEX(Curves!$B$4:$AO$4,1,54-Projects!$C$45+1)*Assumptions!$B$11*0.95),0)+IF(AND(Projects!$G$46="Yes",54&gt;=Projects!$C$46,54&lt;Projects!$C$46+Projects!$D$46),IF(54=Projects!$C$46+Projects!$D$46-1,Projects!$B$46*INDEX(Curves!$B$4:$AO$4,1,54-Projects!$C$46+1)*Assumptions!$B$11*0.95+0.05*Projects!$B$46*Assumptions!$B$11,Projects!$B$46*INDEX(Curves!$B$4:$AO$4,1,54-Projects!$C$46+1)*Assumptions!$B$11*0.95),0)</f>
        <v/>
      </c>
      <c r="BE109">
        <f>IF(AND(Projects!$G$30="Yes",55&gt;=Projects!$C$30,55&lt;Projects!$C$30+Projects!$D$30),IF(55=Projects!$C$30+Projects!$D$30-1,Projects!$B$30*INDEX(Curves!$B$4:$AO$4,1,55-Projects!$C$30+1)*Assumptions!$B$11*0.95+0.05*Projects!$B$30*Assumptions!$B$11,Projects!$B$30*INDEX(Curves!$B$4:$AO$4,1,55-Projects!$C$30+1)*Assumptions!$B$11*0.95),0)+IF(AND(Projects!$G$31="Yes",55&gt;=Projects!$C$31,55&lt;Projects!$C$31+Projects!$D$31),IF(55=Projects!$C$31+Projects!$D$31-1,Projects!$B$31*INDEX(Curves!$B$4:$AO$4,1,55-Projects!$C$31+1)*Assumptions!$B$11*0.95+0.05*Projects!$B$31*Assumptions!$B$11,Projects!$B$31*INDEX(Curves!$B$4:$AO$4,1,55-Projects!$C$31+1)*Assumptions!$B$11*0.95),0)+IF(AND(Projects!$G$32="Yes",55&gt;=Projects!$C$32,55&lt;Projects!$C$32+Projects!$D$32),IF(55=Projects!$C$32+Projects!$D$32-1,Projects!$B$32*INDEX(Curves!$B$4:$AO$4,1,55-Projects!$C$32+1)*Assumptions!$B$11*0.95+0.05*Projects!$B$32*Assumptions!$B$11,Projects!$B$32*INDEX(Curves!$B$4:$AO$4,1,55-Projects!$C$32+1)*Assumptions!$B$11*0.95),0)+IF(AND(Projects!$G$33="Yes",55&gt;=Projects!$C$33,55&lt;Projects!$C$33+Projects!$D$33),IF(55=Projects!$C$33+Projects!$D$33-1,Projects!$B$33*INDEX(Curves!$B$4:$AO$4,1,55-Projects!$C$33+1)*Assumptions!$B$11*0.95+0.05*Projects!$B$33*Assumptions!$B$11,Projects!$B$33*INDEX(Curves!$B$4:$AO$4,1,55-Projects!$C$33+1)*Assumptions!$B$11*0.95),0)+IF(AND(Projects!$G$34="Yes",55&gt;=Projects!$C$34,55&lt;Projects!$C$34+Projects!$D$34),IF(55=Projects!$C$34+Projects!$D$34-1,Projects!$B$34*INDEX(Curves!$B$4:$AO$4,1,55-Projects!$C$34+1)*Assumptions!$B$11*0.95+0.05*Projects!$B$34*Assumptions!$B$11,Projects!$B$34*INDEX(Curves!$B$4:$AO$4,1,55-Projects!$C$34+1)*Assumptions!$B$11*0.95),0)+IF(AND(Projects!$G$35="Yes",55&gt;=Projects!$C$35,55&lt;Projects!$C$35+Projects!$D$35),IF(55=Projects!$C$35+Projects!$D$35-1,Projects!$B$35*INDEX(Curves!$B$4:$AO$4,1,55-Projects!$C$35+1)*Assumptions!$B$11*0.95+0.05*Projects!$B$35*Assumptions!$B$11,Projects!$B$35*INDEX(Curves!$B$4:$AO$4,1,55-Projects!$C$35+1)*Assumptions!$B$11*0.95),0)+IF(AND(Projects!$G$36="Yes",55&gt;=Projects!$C$36,55&lt;Projects!$C$36+Projects!$D$36),IF(55=Projects!$C$36+Projects!$D$36-1,Projects!$B$36*INDEX(Curves!$B$4:$AO$4,1,55-Projects!$C$36+1)*Assumptions!$B$11*0.95+0.05*Projects!$B$36*Assumptions!$B$11,Projects!$B$36*INDEX(Curves!$B$4:$AO$4,1,55-Projects!$C$36+1)*Assumptions!$B$11*0.95),0)+IF(AND(Projects!$G$37="Yes",55&gt;=Projects!$C$37,55&lt;Projects!$C$37+Projects!$D$37),IF(55=Projects!$C$37+Projects!$D$37-1,Projects!$B$37*INDEX(Curves!$B$4:$AO$4,1,55-Projects!$C$37+1)*Assumptions!$B$11*0.95+0.05*Projects!$B$37*Assumptions!$B$11,Projects!$B$37*INDEX(Curves!$B$4:$AO$4,1,55-Projects!$C$37+1)*Assumptions!$B$11*0.95),0)+IF(AND(Projects!$G$38="Yes",55&gt;=Projects!$C$38,55&lt;Projects!$C$38+Projects!$D$38),IF(55=Projects!$C$38+Projects!$D$38-1,Projects!$B$38*INDEX(Curves!$B$4:$AO$4,1,55-Projects!$C$38+1)*Assumptions!$B$11*0.95+0.05*Projects!$B$38*Assumptions!$B$11,Projects!$B$38*INDEX(Curves!$B$4:$AO$4,1,55-Projects!$C$38+1)*Assumptions!$B$11*0.95),0)+IF(AND(Projects!$G$39="Yes",55&gt;=Projects!$C$39,55&lt;Projects!$C$39+Projects!$D$39),IF(55=Projects!$C$39+Projects!$D$39-1,Projects!$B$39*INDEX(Curves!$B$4:$AO$4,1,55-Projects!$C$39+1)*Assumptions!$B$11*0.95+0.05*Projects!$B$39*Assumptions!$B$11,Projects!$B$39*INDEX(Curves!$B$4:$AO$4,1,55-Projects!$C$39+1)*Assumptions!$B$11*0.95),0)+IF(AND(Projects!$G$40="Yes",55&gt;=Projects!$C$40,55&lt;Projects!$C$40+Projects!$D$40),IF(55=Projects!$C$40+Projects!$D$40-1,Projects!$B$40*INDEX(Curves!$B$4:$AO$4,1,55-Projects!$C$40+1)*Assumptions!$B$11*0.95+0.05*Projects!$B$40*Assumptions!$B$11,Projects!$B$40*INDEX(Curves!$B$4:$AO$4,1,55-Projects!$C$40+1)*Assumptions!$B$11*0.95),0)+IF(AND(Projects!$G$41="Yes",55&gt;=Projects!$C$41,55&lt;Projects!$C$41+Projects!$D$41),IF(55=Projects!$C$41+Projects!$D$41-1,Projects!$B$41*INDEX(Curves!$B$4:$AO$4,1,55-Projects!$C$41+1)*Assumptions!$B$11*0.95+0.05*Projects!$B$41*Assumptions!$B$11,Projects!$B$41*INDEX(Curves!$B$4:$AO$4,1,55-Projects!$C$41+1)*Assumptions!$B$11*0.95),0)+IF(AND(Projects!$G$42="Yes",55&gt;=Projects!$C$42,55&lt;Projects!$C$42+Projects!$D$42),IF(55=Projects!$C$42+Projects!$D$42-1,Projects!$B$42*INDEX(Curves!$B$4:$AO$4,1,55-Projects!$C$42+1)*Assumptions!$B$11*0.95+0.05*Projects!$B$42*Assumptions!$B$11,Projects!$B$42*INDEX(Curves!$B$4:$AO$4,1,55-Projects!$C$42+1)*Assumptions!$B$11*0.95),0)+IF(AND(Projects!$G$43="Yes",55&gt;=Projects!$C$43,55&lt;Projects!$C$43+Projects!$D$43),IF(55=Projects!$C$43+Projects!$D$43-1,Projects!$B$43*INDEX(Curves!$B$4:$AO$4,1,55-Projects!$C$43+1)*Assumptions!$B$11*0.95+0.05*Projects!$B$43*Assumptions!$B$11,Projects!$B$43*INDEX(Curves!$B$4:$AO$4,1,55-Projects!$C$43+1)*Assumptions!$B$11*0.95),0)+IF(AND(Projects!$G$44="Yes",55&gt;=Projects!$C$44,55&lt;Projects!$C$44+Projects!$D$44),IF(55=Projects!$C$44+Projects!$D$44-1,Projects!$B$44*INDEX(Curves!$B$4:$AO$4,1,55-Projects!$C$44+1)*Assumptions!$B$11*0.95+0.05*Projects!$B$44*Assumptions!$B$11,Projects!$B$44*INDEX(Curves!$B$4:$AO$4,1,55-Projects!$C$44+1)*Assumptions!$B$11*0.95),0)+IF(AND(Projects!$G$45="Yes",55&gt;=Projects!$C$45,55&lt;Projects!$C$45+Projects!$D$45),IF(55=Projects!$C$45+Projects!$D$45-1,Projects!$B$45*INDEX(Curves!$B$4:$AO$4,1,55-Projects!$C$45+1)*Assumptions!$B$11*0.95+0.05*Projects!$B$45*Assumptions!$B$11,Projects!$B$45*INDEX(Curves!$B$4:$AO$4,1,55-Projects!$C$45+1)*Assumptions!$B$11*0.95),0)+IF(AND(Projects!$G$46="Yes",55&gt;=Projects!$C$46,55&lt;Projects!$C$46+Projects!$D$46),IF(55=Projects!$C$46+Projects!$D$46-1,Projects!$B$46*INDEX(Curves!$B$4:$AO$4,1,55-Projects!$C$46+1)*Assumptions!$B$11*0.95+0.05*Projects!$B$46*Assumptions!$B$11,Projects!$B$46*INDEX(Curves!$B$4:$AO$4,1,55-Projects!$C$46+1)*Assumptions!$B$11*0.95),0)</f>
        <v/>
      </c>
      <c r="BF109">
        <f>IF(AND(Projects!$G$30="Yes",56&gt;=Projects!$C$30,56&lt;Projects!$C$30+Projects!$D$30),IF(56=Projects!$C$30+Projects!$D$30-1,Projects!$B$30*INDEX(Curves!$B$4:$AO$4,1,56-Projects!$C$30+1)*Assumptions!$B$11*0.95+0.05*Projects!$B$30*Assumptions!$B$11,Projects!$B$30*INDEX(Curves!$B$4:$AO$4,1,56-Projects!$C$30+1)*Assumptions!$B$11*0.95),0)+IF(AND(Projects!$G$31="Yes",56&gt;=Projects!$C$31,56&lt;Projects!$C$31+Projects!$D$31),IF(56=Projects!$C$31+Projects!$D$31-1,Projects!$B$31*INDEX(Curves!$B$4:$AO$4,1,56-Projects!$C$31+1)*Assumptions!$B$11*0.95+0.05*Projects!$B$31*Assumptions!$B$11,Projects!$B$31*INDEX(Curves!$B$4:$AO$4,1,56-Projects!$C$31+1)*Assumptions!$B$11*0.95),0)+IF(AND(Projects!$G$32="Yes",56&gt;=Projects!$C$32,56&lt;Projects!$C$32+Projects!$D$32),IF(56=Projects!$C$32+Projects!$D$32-1,Projects!$B$32*INDEX(Curves!$B$4:$AO$4,1,56-Projects!$C$32+1)*Assumptions!$B$11*0.95+0.05*Projects!$B$32*Assumptions!$B$11,Projects!$B$32*INDEX(Curves!$B$4:$AO$4,1,56-Projects!$C$32+1)*Assumptions!$B$11*0.95),0)+IF(AND(Projects!$G$33="Yes",56&gt;=Projects!$C$33,56&lt;Projects!$C$33+Projects!$D$33),IF(56=Projects!$C$33+Projects!$D$33-1,Projects!$B$33*INDEX(Curves!$B$4:$AO$4,1,56-Projects!$C$33+1)*Assumptions!$B$11*0.95+0.05*Projects!$B$33*Assumptions!$B$11,Projects!$B$33*INDEX(Curves!$B$4:$AO$4,1,56-Projects!$C$33+1)*Assumptions!$B$11*0.95),0)+IF(AND(Projects!$G$34="Yes",56&gt;=Projects!$C$34,56&lt;Projects!$C$34+Projects!$D$34),IF(56=Projects!$C$34+Projects!$D$34-1,Projects!$B$34*INDEX(Curves!$B$4:$AO$4,1,56-Projects!$C$34+1)*Assumptions!$B$11*0.95+0.05*Projects!$B$34*Assumptions!$B$11,Projects!$B$34*INDEX(Curves!$B$4:$AO$4,1,56-Projects!$C$34+1)*Assumptions!$B$11*0.95),0)+IF(AND(Projects!$G$35="Yes",56&gt;=Projects!$C$35,56&lt;Projects!$C$35+Projects!$D$35),IF(56=Projects!$C$35+Projects!$D$35-1,Projects!$B$35*INDEX(Curves!$B$4:$AO$4,1,56-Projects!$C$35+1)*Assumptions!$B$11*0.95+0.05*Projects!$B$35*Assumptions!$B$11,Projects!$B$35*INDEX(Curves!$B$4:$AO$4,1,56-Projects!$C$35+1)*Assumptions!$B$11*0.95),0)+IF(AND(Projects!$G$36="Yes",56&gt;=Projects!$C$36,56&lt;Projects!$C$36+Projects!$D$36),IF(56=Projects!$C$36+Projects!$D$36-1,Projects!$B$36*INDEX(Curves!$B$4:$AO$4,1,56-Projects!$C$36+1)*Assumptions!$B$11*0.95+0.05*Projects!$B$36*Assumptions!$B$11,Projects!$B$36*INDEX(Curves!$B$4:$AO$4,1,56-Projects!$C$36+1)*Assumptions!$B$11*0.95),0)+IF(AND(Projects!$G$37="Yes",56&gt;=Projects!$C$37,56&lt;Projects!$C$37+Projects!$D$37),IF(56=Projects!$C$37+Projects!$D$37-1,Projects!$B$37*INDEX(Curves!$B$4:$AO$4,1,56-Projects!$C$37+1)*Assumptions!$B$11*0.95+0.05*Projects!$B$37*Assumptions!$B$11,Projects!$B$37*INDEX(Curves!$B$4:$AO$4,1,56-Projects!$C$37+1)*Assumptions!$B$11*0.95),0)+IF(AND(Projects!$G$38="Yes",56&gt;=Projects!$C$38,56&lt;Projects!$C$38+Projects!$D$38),IF(56=Projects!$C$38+Projects!$D$38-1,Projects!$B$38*INDEX(Curves!$B$4:$AO$4,1,56-Projects!$C$38+1)*Assumptions!$B$11*0.95+0.05*Projects!$B$38*Assumptions!$B$11,Projects!$B$38*INDEX(Curves!$B$4:$AO$4,1,56-Projects!$C$38+1)*Assumptions!$B$11*0.95),0)+IF(AND(Projects!$G$39="Yes",56&gt;=Projects!$C$39,56&lt;Projects!$C$39+Projects!$D$39),IF(56=Projects!$C$39+Projects!$D$39-1,Projects!$B$39*INDEX(Curves!$B$4:$AO$4,1,56-Projects!$C$39+1)*Assumptions!$B$11*0.95+0.05*Projects!$B$39*Assumptions!$B$11,Projects!$B$39*INDEX(Curves!$B$4:$AO$4,1,56-Projects!$C$39+1)*Assumptions!$B$11*0.95),0)+IF(AND(Projects!$G$40="Yes",56&gt;=Projects!$C$40,56&lt;Projects!$C$40+Projects!$D$40),IF(56=Projects!$C$40+Projects!$D$40-1,Projects!$B$40*INDEX(Curves!$B$4:$AO$4,1,56-Projects!$C$40+1)*Assumptions!$B$11*0.95+0.05*Projects!$B$40*Assumptions!$B$11,Projects!$B$40*INDEX(Curves!$B$4:$AO$4,1,56-Projects!$C$40+1)*Assumptions!$B$11*0.95),0)+IF(AND(Projects!$G$41="Yes",56&gt;=Projects!$C$41,56&lt;Projects!$C$41+Projects!$D$41),IF(56=Projects!$C$41+Projects!$D$41-1,Projects!$B$41*INDEX(Curves!$B$4:$AO$4,1,56-Projects!$C$41+1)*Assumptions!$B$11*0.95+0.05*Projects!$B$41*Assumptions!$B$11,Projects!$B$41*INDEX(Curves!$B$4:$AO$4,1,56-Projects!$C$41+1)*Assumptions!$B$11*0.95),0)+IF(AND(Projects!$G$42="Yes",56&gt;=Projects!$C$42,56&lt;Projects!$C$42+Projects!$D$42),IF(56=Projects!$C$42+Projects!$D$42-1,Projects!$B$42*INDEX(Curves!$B$4:$AO$4,1,56-Projects!$C$42+1)*Assumptions!$B$11*0.95+0.05*Projects!$B$42*Assumptions!$B$11,Projects!$B$42*INDEX(Curves!$B$4:$AO$4,1,56-Projects!$C$42+1)*Assumptions!$B$11*0.95),0)+IF(AND(Projects!$G$43="Yes",56&gt;=Projects!$C$43,56&lt;Projects!$C$43+Projects!$D$43),IF(56=Projects!$C$43+Projects!$D$43-1,Projects!$B$43*INDEX(Curves!$B$4:$AO$4,1,56-Projects!$C$43+1)*Assumptions!$B$11*0.95+0.05*Projects!$B$43*Assumptions!$B$11,Projects!$B$43*INDEX(Curves!$B$4:$AO$4,1,56-Projects!$C$43+1)*Assumptions!$B$11*0.95),0)+IF(AND(Projects!$G$44="Yes",56&gt;=Projects!$C$44,56&lt;Projects!$C$44+Projects!$D$44),IF(56=Projects!$C$44+Projects!$D$44-1,Projects!$B$44*INDEX(Curves!$B$4:$AO$4,1,56-Projects!$C$44+1)*Assumptions!$B$11*0.95+0.05*Projects!$B$44*Assumptions!$B$11,Projects!$B$44*INDEX(Curves!$B$4:$AO$4,1,56-Projects!$C$44+1)*Assumptions!$B$11*0.95),0)+IF(AND(Projects!$G$45="Yes",56&gt;=Projects!$C$45,56&lt;Projects!$C$45+Projects!$D$45),IF(56=Projects!$C$45+Projects!$D$45-1,Projects!$B$45*INDEX(Curves!$B$4:$AO$4,1,56-Projects!$C$45+1)*Assumptions!$B$11*0.95+0.05*Projects!$B$45*Assumptions!$B$11,Projects!$B$45*INDEX(Curves!$B$4:$AO$4,1,56-Projects!$C$45+1)*Assumptions!$B$11*0.95),0)+IF(AND(Projects!$G$46="Yes",56&gt;=Projects!$C$46,56&lt;Projects!$C$46+Projects!$D$46),IF(56=Projects!$C$46+Projects!$D$46-1,Projects!$B$46*INDEX(Curves!$B$4:$AO$4,1,56-Projects!$C$46+1)*Assumptions!$B$11*0.95+0.05*Projects!$B$46*Assumptions!$B$11,Projects!$B$46*INDEX(Curves!$B$4:$AO$4,1,56-Projects!$C$46+1)*Assumptions!$B$11*0.95),0)</f>
        <v/>
      </c>
      <c r="BG109">
        <f>IF(AND(Projects!$G$30="Yes",57&gt;=Projects!$C$30,57&lt;Projects!$C$30+Projects!$D$30),IF(57=Projects!$C$30+Projects!$D$30-1,Projects!$B$30*INDEX(Curves!$B$4:$AO$4,1,57-Projects!$C$30+1)*Assumptions!$B$11*0.95+0.05*Projects!$B$30*Assumptions!$B$11,Projects!$B$30*INDEX(Curves!$B$4:$AO$4,1,57-Projects!$C$30+1)*Assumptions!$B$11*0.95),0)+IF(AND(Projects!$G$31="Yes",57&gt;=Projects!$C$31,57&lt;Projects!$C$31+Projects!$D$31),IF(57=Projects!$C$31+Projects!$D$31-1,Projects!$B$31*INDEX(Curves!$B$4:$AO$4,1,57-Projects!$C$31+1)*Assumptions!$B$11*0.95+0.05*Projects!$B$31*Assumptions!$B$11,Projects!$B$31*INDEX(Curves!$B$4:$AO$4,1,57-Projects!$C$31+1)*Assumptions!$B$11*0.95),0)+IF(AND(Projects!$G$32="Yes",57&gt;=Projects!$C$32,57&lt;Projects!$C$32+Projects!$D$32),IF(57=Projects!$C$32+Projects!$D$32-1,Projects!$B$32*INDEX(Curves!$B$4:$AO$4,1,57-Projects!$C$32+1)*Assumptions!$B$11*0.95+0.05*Projects!$B$32*Assumptions!$B$11,Projects!$B$32*INDEX(Curves!$B$4:$AO$4,1,57-Projects!$C$32+1)*Assumptions!$B$11*0.95),0)+IF(AND(Projects!$G$33="Yes",57&gt;=Projects!$C$33,57&lt;Projects!$C$33+Projects!$D$33),IF(57=Projects!$C$33+Projects!$D$33-1,Projects!$B$33*INDEX(Curves!$B$4:$AO$4,1,57-Projects!$C$33+1)*Assumptions!$B$11*0.95+0.05*Projects!$B$33*Assumptions!$B$11,Projects!$B$33*INDEX(Curves!$B$4:$AO$4,1,57-Projects!$C$33+1)*Assumptions!$B$11*0.95),0)+IF(AND(Projects!$G$34="Yes",57&gt;=Projects!$C$34,57&lt;Projects!$C$34+Projects!$D$34),IF(57=Projects!$C$34+Projects!$D$34-1,Projects!$B$34*INDEX(Curves!$B$4:$AO$4,1,57-Projects!$C$34+1)*Assumptions!$B$11*0.95+0.05*Projects!$B$34*Assumptions!$B$11,Projects!$B$34*INDEX(Curves!$B$4:$AO$4,1,57-Projects!$C$34+1)*Assumptions!$B$11*0.95),0)+IF(AND(Projects!$G$35="Yes",57&gt;=Projects!$C$35,57&lt;Projects!$C$35+Projects!$D$35),IF(57=Projects!$C$35+Projects!$D$35-1,Projects!$B$35*INDEX(Curves!$B$4:$AO$4,1,57-Projects!$C$35+1)*Assumptions!$B$11*0.95+0.05*Projects!$B$35*Assumptions!$B$11,Projects!$B$35*INDEX(Curves!$B$4:$AO$4,1,57-Projects!$C$35+1)*Assumptions!$B$11*0.95),0)+IF(AND(Projects!$G$36="Yes",57&gt;=Projects!$C$36,57&lt;Projects!$C$36+Projects!$D$36),IF(57=Projects!$C$36+Projects!$D$36-1,Projects!$B$36*INDEX(Curves!$B$4:$AO$4,1,57-Projects!$C$36+1)*Assumptions!$B$11*0.95+0.05*Projects!$B$36*Assumptions!$B$11,Projects!$B$36*INDEX(Curves!$B$4:$AO$4,1,57-Projects!$C$36+1)*Assumptions!$B$11*0.95),0)+IF(AND(Projects!$G$37="Yes",57&gt;=Projects!$C$37,57&lt;Projects!$C$37+Projects!$D$37),IF(57=Projects!$C$37+Projects!$D$37-1,Projects!$B$37*INDEX(Curves!$B$4:$AO$4,1,57-Projects!$C$37+1)*Assumptions!$B$11*0.95+0.05*Projects!$B$37*Assumptions!$B$11,Projects!$B$37*INDEX(Curves!$B$4:$AO$4,1,57-Projects!$C$37+1)*Assumptions!$B$11*0.95),0)+IF(AND(Projects!$G$38="Yes",57&gt;=Projects!$C$38,57&lt;Projects!$C$38+Projects!$D$38),IF(57=Projects!$C$38+Projects!$D$38-1,Projects!$B$38*INDEX(Curves!$B$4:$AO$4,1,57-Projects!$C$38+1)*Assumptions!$B$11*0.95+0.05*Projects!$B$38*Assumptions!$B$11,Projects!$B$38*INDEX(Curves!$B$4:$AO$4,1,57-Projects!$C$38+1)*Assumptions!$B$11*0.95),0)+IF(AND(Projects!$G$39="Yes",57&gt;=Projects!$C$39,57&lt;Projects!$C$39+Projects!$D$39),IF(57=Projects!$C$39+Projects!$D$39-1,Projects!$B$39*INDEX(Curves!$B$4:$AO$4,1,57-Projects!$C$39+1)*Assumptions!$B$11*0.95+0.05*Projects!$B$39*Assumptions!$B$11,Projects!$B$39*INDEX(Curves!$B$4:$AO$4,1,57-Projects!$C$39+1)*Assumptions!$B$11*0.95),0)+IF(AND(Projects!$G$40="Yes",57&gt;=Projects!$C$40,57&lt;Projects!$C$40+Projects!$D$40),IF(57=Projects!$C$40+Projects!$D$40-1,Projects!$B$40*INDEX(Curves!$B$4:$AO$4,1,57-Projects!$C$40+1)*Assumptions!$B$11*0.95+0.05*Projects!$B$40*Assumptions!$B$11,Projects!$B$40*INDEX(Curves!$B$4:$AO$4,1,57-Projects!$C$40+1)*Assumptions!$B$11*0.95),0)+IF(AND(Projects!$G$41="Yes",57&gt;=Projects!$C$41,57&lt;Projects!$C$41+Projects!$D$41),IF(57=Projects!$C$41+Projects!$D$41-1,Projects!$B$41*INDEX(Curves!$B$4:$AO$4,1,57-Projects!$C$41+1)*Assumptions!$B$11*0.95+0.05*Projects!$B$41*Assumptions!$B$11,Projects!$B$41*INDEX(Curves!$B$4:$AO$4,1,57-Projects!$C$41+1)*Assumptions!$B$11*0.95),0)+IF(AND(Projects!$G$42="Yes",57&gt;=Projects!$C$42,57&lt;Projects!$C$42+Projects!$D$42),IF(57=Projects!$C$42+Projects!$D$42-1,Projects!$B$42*INDEX(Curves!$B$4:$AO$4,1,57-Projects!$C$42+1)*Assumptions!$B$11*0.95+0.05*Projects!$B$42*Assumptions!$B$11,Projects!$B$42*INDEX(Curves!$B$4:$AO$4,1,57-Projects!$C$42+1)*Assumptions!$B$11*0.95),0)+IF(AND(Projects!$G$43="Yes",57&gt;=Projects!$C$43,57&lt;Projects!$C$43+Projects!$D$43),IF(57=Projects!$C$43+Projects!$D$43-1,Projects!$B$43*INDEX(Curves!$B$4:$AO$4,1,57-Projects!$C$43+1)*Assumptions!$B$11*0.95+0.05*Projects!$B$43*Assumptions!$B$11,Projects!$B$43*INDEX(Curves!$B$4:$AO$4,1,57-Projects!$C$43+1)*Assumptions!$B$11*0.95),0)+IF(AND(Projects!$G$44="Yes",57&gt;=Projects!$C$44,57&lt;Projects!$C$44+Projects!$D$44),IF(57=Projects!$C$44+Projects!$D$44-1,Projects!$B$44*INDEX(Curves!$B$4:$AO$4,1,57-Projects!$C$44+1)*Assumptions!$B$11*0.95+0.05*Projects!$B$44*Assumptions!$B$11,Projects!$B$44*INDEX(Curves!$B$4:$AO$4,1,57-Projects!$C$44+1)*Assumptions!$B$11*0.95),0)+IF(AND(Projects!$G$45="Yes",57&gt;=Projects!$C$45,57&lt;Projects!$C$45+Projects!$D$45),IF(57=Projects!$C$45+Projects!$D$45-1,Projects!$B$45*INDEX(Curves!$B$4:$AO$4,1,57-Projects!$C$45+1)*Assumptions!$B$11*0.95+0.05*Projects!$B$45*Assumptions!$B$11,Projects!$B$45*INDEX(Curves!$B$4:$AO$4,1,57-Projects!$C$45+1)*Assumptions!$B$11*0.95),0)+IF(AND(Projects!$G$46="Yes",57&gt;=Projects!$C$46,57&lt;Projects!$C$46+Projects!$D$46),IF(57=Projects!$C$46+Projects!$D$46-1,Projects!$B$46*INDEX(Curves!$B$4:$AO$4,1,57-Projects!$C$46+1)*Assumptions!$B$11*0.95+0.05*Projects!$B$46*Assumptions!$B$11,Projects!$B$46*INDEX(Curves!$B$4:$AO$4,1,57-Projects!$C$46+1)*Assumptions!$B$11*0.95),0)</f>
        <v/>
      </c>
      <c r="BH109">
        <f>IF(AND(Projects!$G$30="Yes",58&gt;=Projects!$C$30,58&lt;Projects!$C$30+Projects!$D$30),IF(58=Projects!$C$30+Projects!$D$30-1,Projects!$B$30*INDEX(Curves!$B$4:$AO$4,1,58-Projects!$C$30+1)*Assumptions!$B$11*0.95+0.05*Projects!$B$30*Assumptions!$B$11,Projects!$B$30*INDEX(Curves!$B$4:$AO$4,1,58-Projects!$C$30+1)*Assumptions!$B$11*0.95),0)+IF(AND(Projects!$G$31="Yes",58&gt;=Projects!$C$31,58&lt;Projects!$C$31+Projects!$D$31),IF(58=Projects!$C$31+Projects!$D$31-1,Projects!$B$31*INDEX(Curves!$B$4:$AO$4,1,58-Projects!$C$31+1)*Assumptions!$B$11*0.95+0.05*Projects!$B$31*Assumptions!$B$11,Projects!$B$31*INDEX(Curves!$B$4:$AO$4,1,58-Projects!$C$31+1)*Assumptions!$B$11*0.95),0)+IF(AND(Projects!$G$32="Yes",58&gt;=Projects!$C$32,58&lt;Projects!$C$32+Projects!$D$32),IF(58=Projects!$C$32+Projects!$D$32-1,Projects!$B$32*INDEX(Curves!$B$4:$AO$4,1,58-Projects!$C$32+1)*Assumptions!$B$11*0.95+0.05*Projects!$B$32*Assumptions!$B$11,Projects!$B$32*INDEX(Curves!$B$4:$AO$4,1,58-Projects!$C$32+1)*Assumptions!$B$11*0.95),0)+IF(AND(Projects!$G$33="Yes",58&gt;=Projects!$C$33,58&lt;Projects!$C$33+Projects!$D$33),IF(58=Projects!$C$33+Projects!$D$33-1,Projects!$B$33*INDEX(Curves!$B$4:$AO$4,1,58-Projects!$C$33+1)*Assumptions!$B$11*0.95+0.05*Projects!$B$33*Assumptions!$B$11,Projects!$B$33*INDEX(Curves!$B$4:$AO$4,1,58-Projects!$C$33+1)*Assumptions!$B$11*0.95),0)+IF(AND(Projects!$G$34="Yes",58&gt;=Projects!$C$34,58&lt;Projects!$C$34+Projects!$D$34),IF(58=Projects!$C$34+Projects!$D$34-1,Projects!$B$34*INDEX(Curves!$B$4:$AO$4,1,58-Projects!$C$34+1)*Assumptions!$B$11*0.95+0.05*Projects!$B$34*Assumptions!$B$11,Projects!$B$34*INDEX(Curves!$B$4:$AO$4,1,58-Projects!$C$34+1)*Assumptions!$B$11*0.95),0)+IF(AND(Projects!$G$35="Yes",58&gt;=Projects!$C$35,58&lt;Projects!$C$35+Projects!$D$35),IF(58=Projects!$C$35+Projects!$D$35-1,Projects!$B$35*INDEX(Curves!$B$4:$AO$4,1,58-Projects!$C$35+1)*Assumptions!$B$11*0.95+0.05*Projects!$B$35*Assumptions!$B$11,Projects!$B$35*INDEX(Curves!$B$4:$AO$4,1,58-Projects!$C$35+1)*Assumptions!$B$11*0.95),0)+IF(AND(Projects!$G$36="Yes",58&gt;=Projects!$C$36,58&lt;Projects!$C$36+Projects!$D$36),IF(58=Projects!$C$36+Projects!$D$36-1,Projects!$B$36*INDEX(Curves!$B$4:$AO$4,1,58-Projects!$C$36+1)*Assumptions!$B$11*0.95+0.05*Projects!$B$36*Assumptions!$B$11,Projects!$B$36*INDEX(Curves!$B$4:$AO$4,1,58-Projects!$C$36+1)*Assumptions!$B$11*0.95),0)+IF(AND(Projects!$G$37="Yes",58&gt;=Projects!$C$37,58&lt;Projects!$C$37+Projects!$D$37),IF(58=Projects!$C$37+Projects!$D$37-1,Projects!$B$37*INDEX(Curves!$B$4:$AO$4,1,58-Projects!$C$37+1)*Assumptions!$B$11*0.95+0.05*Projects!$B$37*Assumptions!$B$11,Projects!$B$37*INDEX(Curves!$B$4:$AO$4,1,58-Projects!$C$37+1)*Assumptions!$B$11*0.95),0)+IF(AND(Projects!$G$38="Yes",58&gt;=Projects!$C$38,58&lt;Projects!$C$38+Projects!$D$38),IF(58=Projects!$C$38+Projects!$D$38-1,Projects!$B$38*INDEX(Curves!$B$4:$AO$4,1,58-Projects!$C$38+1)*Assumptions!$B$11*0.95+0.05*Projects!$B$38*Assumptions!$B$11,Projects!$B$38*INDEX(Curves!$B$4:$AO$4,1,58-Projects!$C$38+1)*Assumptions!$B$11*0.95),0)+IF(AND(Projects!$G$39="Yes",58&gt;=Projects!$C$39,58&lt;Projects!$C$39+Projects!$D$39),IF(58=Projects!$C$39+Projects!$D$39-1,Projects!$B$39*INDEX(Curves!$B$4:$AO$4,1,58-Projects!$C$39+1)*Assumptions!$B$11*0.95+0.05*Projects!$B$39*Assumptions!$B$11,Projects!$B$39*INDEX(Curves!$B$4:$AO$4,1,58-Projects!$C$39+1)*Assumptions!$B$11*0.95),0)+IF(AND(Projects!$G$40="Yes",58&gt;=Projects!$C$40,58&lt;Projects!$C$40+Projects!$D$40),IF(58=Projects!$C$40+Projects!$D$40-1,Projects!$B$40*INDEX(Curves!$B$4:$AO$4,1,58-Projects!$C$40+1)*Assumptions!$B$11*0.95+0.05*Projects!$B$40*Assumptions!$B$11,Projects!$B$40*INDEX(Curves!$B$4:$AO$4,1,58-Projects!$C$40+1)*Assumptions!$B$11*0.95),0)+IF(AND(Projects!$G$41="Yes",58&gt;=Projects!$C$41,58&lt;Projects!$C$41+Projects!$D$41),IF(58=Projects!$C$41+Projects!$D$41-1,Projects!$B$41*INDEX(Curves!$B$4:$AO$4,1,58-Projects!$C$41+1)*Assumptions!$B$11*0.95+0.05*Projects!$B$41*Assumptions!$B$11,Projects!$B$41*INDEX(Curves!$B$4:$AO$4,1,58-Projects!$C$41+1)*Assumptions!$B$11*0.95),0)+IF(AND(Projects!$G$42="Yes",58&gt;=Projects!$C$42,58&lt;Projects!$C$42+Projects!$D$42),IF(58=Projects!$C$42+Projects!$D$42-1,Projects!$B$42*INDEX(Curves!$B$4:$AO$4,1,58-Projects!$C$42+1)*Assumptions!$B$11*0.95+0.05*Projects!$B$42*Assumptions!$B$11,Projects!$B$42*INDEX(Curves!$B$4:$AO$4,1,58-Projects!$C$42+1)*Assumptions!$B$11*0.95),0)+IF(AND(Projects!$G$43="Yes",58&gt;=Projects!$C$43,58&lt;Projects!$C$43+Projects!$D$43),IF(58=Projects!$C$43+Projects!$D$43-1,Projects!$B$43*INDEX(Curves!$B$4:$AO$4,1,58-Projects!$C$43+1)*Assumptions!$B$11*0.95+0.05*Projects!$B$43*Assumptions!$B$11,Projects!$B$43*INDEX(Curves!$B$4:$AO$4,1,58-Projects!$C$43+1)*Assumptions!$B$11*0.95),0)+IF(AND(Projects!$G$44="Yes",58&gt;=Projects!$C$44,58&lt;Projects!$C$44+Projects!$D$44),IF(58=Projects!$C$44+Projects!$D$44-1,Projects!$B$44*INDEX(Curves!$B$4:$AO$4,1,58-Projects!$C$44+1)*Assumptions!$B$11*0.95+0.05*Projects!$B$44*Assumptions!$B$11,Projects!$B$44*INDEX(Curves!$B$4:$AO$4,1,58-Projects!$C$44+1)*Assumptions!$B$11*0.95),0)+IF(AND(Projects!$G$45="Yes",58&gt;=Projects!$C$45,58&lt;Projects!$C$45+Projects!$D$45),IF(58=Projects!$C$45+Projects!$D$45-1,Projects!$B$45*INDEX(Curves!$B$4:$AO$4,1,58-Projects!$C$45+1)*Assumptions!$B$11*0.95+0.05*Projects!$B$45*Assumptions!$B$11,Projects!$B$45*INDEX(Curves!$B$4:$AO$4,1,58-Projects!$C$45+1)*Assumptions!$B$11*0.95),0)+IF(AND(Projects!$G$46="Yes",58&gt;=Projects!$C$46,58&lt;Projects!$C$46+Projects!$D$46),IF(58=Projects!$C$46+Projects!$D$46-1,Projects!$B$46*INDEX(Curves!$B$4:$AO$4,1,58-Projects!$C$46+1)*Assumptions!$B$11*0.95+0.05*Projects!$B$46*Assumptions!$B$11,Projects!$B$46*INDEX(Curves!$B$4:$AO$4,1,58-Projects!$C$46+1)*Assumptions!$B$11*0.95),0)</f>
        <v/>
      </c>
      <c r="BI109">
        <f>IF(AND(Projects!$G$30="Yes",59&gt;=Projects!$C$30,59&lt;Projects!$C$30+Projects!$D$30),IF(59=Projects!$C$30+Projects!$D$30-1,Projects!$B$30*INDEX(Curves!$B$4:$AO$4,1,59-Projects!$C$30+1)*Assumptions!$B$11*0.95+0.05*Projects!$B$30*Assumptions!$B$11,Projects!$B$30*INDEX(Curves!$B$4:$AO$4,1,59-Projects!$C$30+1)*Assumptions!$B$11*0.95),0)+IF(AND(Projects!$G$31="Yes",59&gt;=Projects!$C$31,59&lt;Projects!$C$31+Projects!$D$31),IF(59=Projects!$C$31+Projects!$D$31-1,Projects!$B$31*INDEX(Curves!$B$4:$AO$4,1,59-Projects!$C$31+1)*Assumptions!$B$11*0.95+0.05*Projects!$B$31*Assumptions!$B$11,Projects!$B$31*INDEX(Curves!$B$4:$AO$4,1,59-Projects!$C$31+1)*Assumptions!$B$11*0.95),0)+IF(AND(Projects!$G$32="Yes",59&gt;=Projects!$C$32,59&lt;Projects!$C$32+Projects!$D$32),IF(59=Projects!$C$32+Projects!$D$32-1,Projects!$B$32*INDEX(Curves!$B$4:$AO$4,1,59-Projects!$C$32+1)*Assumptions!$B$11*0.95+0.05*Projects!$B$32*Assumptions!$B$11,Projects!$B$32*INDEX(Curves!$B$4:$AO$4,1,59-Projects!$C$32+1)*Assumptions!$B$11*0.95),0)+IF(AND(Projects!$G$33="Yes",59&gt;=Projects!$C$33,59&lt;Projects!$C$33+Projects!$D$33),IF(59=Projects!$C$33+Projects!$D$33-1,Projects!$B$33*INDEX(Curves!$B$4:$AO$4,1,59-Projects!$C$33+1)*Assumptions!$B$11*0.95+0.05*Projects!$B$33*Assumptions!$B$11,Projects!$B$33*INDEX(Curves!$B$4:$AO$4,1,59-Projects!$C$33+1)*Assumptions!$B$11*0.95),0)+IF(AND(Projects!$G$34="Yes",59&gt;=Projects!$C$34,59&lt;Projects!$C$34+Projects!$D$34),IF(59=Projects!$C$34+Projects!$D$34-1,Projects!$B$34*INDEX(Curves!$B$4:$AO$4,1,59-Projects!$C$34+1)*Assumptions!$B$11*0.95+0.05*Projects!$B$34*Assumptions!$B$11,Projects!$B$34*INDEX(Curves!$B$4:$AO$4,1,59-Projects!$C$34+1)*Assumptions!$B$11*0.95),0)+IF(AND(Projects!$G$35="Yes",59&gt;=Projects!$C$35,59&lt;Projects!$C$35+Projects!$D$35),IF(59=Projects!$C$35+Projects!$D$35-1,Projects!$B$35*INDEX(Curves!$B$4:$AO$4,1,59-Projects!$C$35+1)*Assumptions!$B$11*0.95+0.05*Projects!$B$35*Assumptions!$B$11,Projects!$B$35*INDEX(Curves!$B$4:$AO$4,1,59-Projects!$C$35+1)*Assumptions!$B$11*0.95),0)+IF(AND(Projects!$G$36="Yes",59&gt;=Projects!$C$36,59&lt;Projects!$C$36+Projects!$D$36),IF(59=Projects!$C$36+Projects!$D$36-1,Projects!$B$36*INDEX(Curves!$B$4:$AO$4,1,59-Projects!$C$36+1)*Assumptions!$B$11*0.95+0.05*Projects!$B$36*Assumptions!$B$11,Projects!$B$36*INDEX(Curves!$B$4:$AO$4,1,59-Projects!$C$36+1)*Assumptions!$B$11*0.95),0)+IF(AND(Projects!$G$37="Yes",59&gt;=Projects!$C$37,59&lt;Projects!$C$37+Projects!$D$37),IF(59=Projects!$C$37+Projects!$D$37-1,Projects!$B$37*INDEX(Curves!$B$4:$AO$4,1,59-Projects!$C$37+1)*Assumptions!$B$11*0.95+0.05*Projects!$B$37*Assumptions!$B$11,Projects!$B$37*INDEX(Curves!$B$4:$AO$4,1,59-Projects!$C$37+1)*Assumptions!$B$11*0.95),0)+IF(AND(Projects!$G$38="Yes",59&gt;=Projects!$C$38,59&lt;Projects!$C$38+Projects!$D$38),IF(59=Projects!$C$38+Projects!$D$38-1,Projects!$B$38*INDEX(Curves!$B$4:$AO$4,1,59-Projects!$C$38+1)*Assumptions!$B$11*0.95+0.05*Projects!$B$38*Assumptions!$B$11,Projects!$B$38*INDEX(Curves!$B$4:$AO$4,1,59-Projects!$C$38+1)*Assumptions!$B$11*0.95),0)+IF(AND(Projects!$G$39="Yes",59&gt;=Projects!$C$39,59&lt;Projects!$C$39+Projects!$D$39),IF(59=Projects!$C$39+Projects!$D$39-1,Projects!$B$39*INDEX(Curves!$B$4:$AO$4,1,59-Projects!$C$39+1)*Assumptions!$B$11*0.95+0.05*Projects!$B$39*Assumptions!$B$11,Projects!$B$39*INDEX(Curves!$B$4:$AO$4,1,59-Projects!$C$39+1)*Assumptions!$B$11*0.95),0)+IF(AND(Projects!$G$40="Yes",59&gt;=Projects!$C$40,59&lt;Projects!$C$40+Projects!$D$40),IF(59=Projects!$C$40+Projects!$D$40-1,Projects!$B$40*INDEX(Curves!$B$4:$AO$4,1,59-Projects!$C$40+1)*Assumptions!$B$11*0.95+0.05*Projects!$B$40*Assumptions!$B$11,Projects!$B$40*INDEX(Curves!$B$4:$AO$4,1,59-Projects!$C$40+1)*Assumptions!$B$11*0.95),0)+IF(AND(Projects!$G$41="Yes",59&gt;=Projects!$C$41,59&lt;Projects!$C$41+Projects!$D$41),IF(59=Projects!$C$41+Projects!$D$41-1,Projects!$B$41*INDEX(Curves!$B$4:$AO$4,1,59-Projects!$C$41+1)*Assumptions!$B$11*0.95+0.05*Projects!$B$41*Assumptions!$B$11,Projects!$B$41*INDEX(Curves!$B$4:$AO$4,1,59-Projects!$C$41+1)*Assumptions!$B$11*0.95),0)+IF(AND(Projects!$G$42="Yes",59&gt;=Projects!$C$42,59&lt;Projects!$C$42+Projects!$D$42),IF(59=Projects!$C$42+Projects!$D$42-1,Projects!$B$42*INDEX(Curves!$B$4:$AO$4,1,59-Projects!$C$42+1)*Assumptions!$B$11*0.95+0.05*Projects!$B$42*Assumptions!$B$11,Projects!$B$42*INDEX(Curves!$B$4:$AO$4,1,59-Projects!$C$42+1)*Assumptions!$B$11*0.95),0)+IF(AND(Projects!$G$43="Yes",59&gt;=Projects!$C$43,59&lt;Projects!$C$43+Projects!$D$43),IF(59=Projects!$C$43+Projects!$D$43-1,Projects!$B$43*INDEX(Curves!$B$4:$AO$4,1,59-Projects!$C$43+1)*Assumptions!$B$11*0.95+0.05*Projects!$B$43*Assumptions!$B$11,Projects!$B$43*INDEX(Curves!$B$4:$AO$4,1,59-Projects!$C$43+1)*Assumptions!$B$11*0.95),0)+IF(AND(Projects!$G$44="Yes",59&gt;=Projects!$C$44,59&lt;Projects!$C$44+Projects!$D$44),IF(59=Projects!$C$44+Projects!$D$44-1,Projects!$B$44*INDEX(Curves!$B$4:$AO$4,1,59-Projects!$C$44+1)*Assumptions!$B$11*0.95+0.05*Projects!$B$44*Assumptions!$B$11,Projects!$B$44*INDEX(Curves!$B$4:$AO$4,1,59-Projects!$C$44+1)*Assumptions!$B$11*0.95),0)+IF(AND(Projects!$G$45="Yes",59&gt;=Projects!$C$45,59&lt;Projects!$C$45+Projects!$D$45),IF(59=Projects!$C$45+Projects!$D$45-1,Projects!$B$45*INDEX(Curves!$B$4:$AO$4,1,59-Projects!$C$45+1)*Assumptions!$B$11*0.95+0.05*Projects!$B$45*Assumptions!$B$11,Projects!$B$45*INDEX(Curves!$B$4:$AO$4,1,59-Projects!$C$45+1)*Assumptions!$B$11*0.95),0)+IF(AND(Projects!$G$46="Yes",59&gt;=Projects!$C$46,59&lt;Projects!$C$46+Projects!$D$46),IF(59=Projects!$C$46+Projects!$D$46-1,Projects!$B$46*INDEX(Curves!$B$4:$AO$4,1,59-Projects!$C$46+1)*Assumptions!$B$11*0.95+0.05*Projects!$B$46*Assumptions!$B$11,Projects!$B$46*INDEX(Curves!$B$4:$AO$4,1,59-Projects!$C$46+1)*Assumptions!$B$11*0.95),0)</f>
        <v/>
      </c>
      <c r="BJ109">
        <f>IF(AND(Projects!$G$30="Yes",60&gt;=Projects!$C$30,60&lt;Projects!$C$30+Projects!$D$30),IF(60=Projects!$C$30+Projects!$D$30-1,Projects!$B$30*INDEX(Curves!$B$4:$AO$4,1,60-Projects!$C$30+1)*Assumptions!$B$11*0.95+0.05*Projects!$B$30*Assumptions!$B$11,Projects!$B$30*INDEX(Curves!$B$4:$AO$4,1,60-Projects!$C$30+1)*Assumptions!$B$11*0.95),0)+IF(AND(Projects!$G$31="Yes",60&gt;=Projects!$C$31,60&lt;Projects!$C$31+Projects!$D$31),IF(60=Projects!$C$31+Projects!$D$31-1,Projects!$B$31*INDEX(Curves!$B$4:$AO$4,1,60-Projects!$C$31+1)*Assumptions!$B$11*0.95+0.05*Projects!$B$31*Assumptions!$B$11,Projects!$B$31*INDEX(Curves!$B$4:$AO$4,1,60-Projects!$C$31+1)*Assumptions!$B$11*0.95),0)+IF(AND(Projects!$G$32="Yes",60&gt;=Projects!$C$32,60&lt;Projects!$C$32+Projects!$D$32),IF(60=Projects!$C$32+Projects!$D$32-1,Projects!$B$32*INDEX(Curves!$B$4:$AO$4,1,60-Projects!$C$32+1)*Assumptions!$B$11*0.95+0.05*Projects!$B$32*Assumptions!$B$11,Projects!$B$32*INDEX(Curves!$B$4:$AO$4,1,60-Projects!$C$32+1)*Assumptions!$B$11*0.95),0)+IF(AND(Projects!$G$33="Yes",60&gt;=Projects!$C$33,60&lt;Projects!$C$33+Projects!$D$33),IF(60=Projects!$C$33+Projects!$D$33-1,Projects!$B$33*INDEX(Curves!$B$4:$AO$4,1,60-Projects!$C$33+1)*Assumptions!$B$11*0.95+0.05*Projects!$B$33*Assumptions!$B$11,Projects!$B$33*INDEX(Curves!$B$4:$AO$4,1,60-Projects!$C$33+1)*Assumptions!$B$11*0.95),0)+IF(AND(Projects!$G$34="Yes",60&gt;=Projects!$C$34,60&lt;Projects!$C$34+Projects!$D$34),IF(60=Projects!$C$34+Projects!$D$34-1,Projects!$B$34*INDEX(Curves!$B$4:$AO$4,1,60-Projects!$C$34+1)*Assumptions!$B$11*0.95+0.05*Projects!$B$34*Assumptions!$B$11,Projects!$B$34*INDEX(Curves!$B$4:$AO$4,1,60-Projects!$C$34+1)*Assumptions!$B$11*0.95),0)+IF(AND(Projects!$G$35="Yes",60&gt;=Projects!$C$35,60&lt;Projects!$C$35+Projects!$D$35),IF(60=Projects!$C$35+Projects!$D$35-1,Projects!$B$35*INDEX(Curves!$B$4:$AO$4,1,60-Projects!$C$35+1)*Assumptions!$B$11*0.95+0.05*Projects!$B$35*Assumptions!$B$11,Projects!$B$35*INDEX(Curves!$B$4:$AO$4,1,60-Projects!$C$35+1)*Assumptions!$B$11*0.95),0)+IF(AND(Projects!$G$36="Yes",60&gt;=Projects!$C$36,60&lt;Projects!$C$36+Projects!$D$36),IF(60=Projects!$C$36+Projects!$D$36-1,Projects!$B$36*INDEX(Curves!$B$4:$AO$4,1,60-Projects!$C$36+1)*Assumptions!$B$11*0.95+0.05*Projects!$B$36*Assumptions!$B$11,Projects!$B$36*INDEX(Curves!$B$4:$AO$4,1,60-Projects!$C$36+1)*Assumptions!$B$11*0.95),0)+IF(AND(Projects!$G$37="Yes",60&gt;=Projects!$C$37,60&lt;Projects!$C$37+Projects!$D$37),IF(60=Projects!$C$37+Projects!$D$37-1,Projects!$B$37*INDEX(Curves!$B$4:$AO$4,1,60-Projects!$C$37+1)*Assumptions!$B$11*0.95+0.05*Projects!$B$37*Assumptions!$B$11,Projects!$B$37*INDEX(Curves!$B$4:$AO$4,1,60-Projects!$C$37+1)*Assumptions!$B$11*0.95),0)+IF(AND(Projects!$G$38="Yes",60&gt;=Projects!$C$38,60&lt;Projects!$C$38+Projects!$D$38),IF(60=Projects!$C$38+Projects!$D$38-1,Projects!$B$38*INDEX(Curves!$B$4:$AO$4,1,60-Projects!$C$38+1)*Assumptions!$B$11*0.95+0.05*Projects!$B$38*Assumptions!$B$11,Projects!$B$38*INDEX(Curves!$B$4:$AO$4,1,60-Projects!$C$38+1)*Assumptions!$B$11*0.95),0)+IF(AND(Projects!$G$39="Yes",60&gt;=Projects!$C$39,60&lt;Projects!$C$39+Projects!$D$39),IF(60=Projects!$C$39+Projects!$D$39-1,Projects!$B$39*INDEX(Curves!$B$4:$AO$4,1,60-Projects!$C$39+1)*Assumptions!$B$11*0.95+0.05*Projects!$B$39*Assumptions!$B$11,Projects!$B$39*INDEX(Curves!$B$4:$AO$4,1,60-Projects!$C$39+1)*Assumptions!$B$11*0.95),0)+IF(AND(Projects!$G$40="Yes",60&gt;=Projects!$C$40,60&lt;Projects!$C$40+Projects!$D$40),IF(60=Projects!$C$40+Projects!$D$40-1,Projects!$B$40*INDEX(Curves!$B$4:$AO$4,1,60-Projects!$C$40+1)*Assumptions!$B$11*0.95+0.05*Projects!$B$40*Assumptions!$B$11,Projects!$B$40*INDEX(Curves!$B$4:$AO$4,1,60-Projects!$C$40+1)*Assumptions!$B$11*0.95),0)+IF(AND(Projects!$G$41="Yes",60&gt;=Projects!$C$41,60&lt;Projects!$C$41+Projects!$D$41),IF(60=Projects!$C$41+Projects!$D$41-1,Projects!$B$41*INDEX(Curves!$B$4:$AO$4,1,60-Projects!$C$41+1)*Assumptions!$B$11*0.95+0.05*Projects!$B$41*Assumptions!$B$11,Projects!$B$41*INDEX(Curves!$B$4:$AO$4,1,60-Projects!$C$41+1)*Assumptions!$B$11*0.95),0)+IF(AND(Projects!$G$42="Yes",60&gt;=Projects!$C$42,60&lt;Projects!$C$42+Projects!$D$42),IF(60=Projects!$C$42+Projects!$D$42-1,Projects!$B$42*INDEX(Curves!$B$4:$AO$4,1,60-Projects!$C$42+1)*Assumptions!$B$11*0.95+0.05*Projects!$B$42*Assumptions!$B$11,Projects!$B$42*INDEX(Curves!$B$4:$AO$4,1,60-Projects!$C$42+1)*Assumptions!$B$11*0.95),0)+IF(AND(Projects!$G$43="Yes",60&gt;=Projects!$C$43,60&lt;Projects!$C$43+Projects!$D$43),IF(60=Projects!$C$43+Projects!$D$43-1,Projects!$B$43*INDEX(Curves!$B$4:$AO$4,1,60-Projects!$C$43+1)*Assumptions!$B$11*0.95+0.05*Projects!$B$43*Assumptions!$B$11,Projects!$B$43*INDEX(Curves!$B$4:$AO$4,1,60-Projects!$C$43+1)*Assumptions!$B$11*0.95),0)+IF(AND(Projects!$G$44="Yes",60&gt;=Projects!$C$44,60&lt;Projects!$C$44+Projects!$D$44),IF(60=Projects!$C$44+Projects!$D$44-1,Projects!$B$44*INDEX(Curves!$B$4:$AO$4,1,60-Projects!$C$44+1)*Assumptions!$B$11*0.95+0.05*Projects!$B$44*Assumptions!$B$11,Projects!$B$44*INDEX(Curves!$B$4:$AO$4,1,60-Projects!$C$44+1)*Assumptions!$B$11*0.95),0)+IF(AND(Projects!$G$45="Yes",60&gt;=Projects!$C$45,60&lt;Projects!$C$45+Projects!$D$45),IF(60=Projects!$C$45+Projects!$D$45-1,Projects!$B$45*INDEX(Curves!$B$4:$AO$4,1,60-Projects!$C$45+1)*Assumptions!$B$11*0.95+0.05*Projects!$B$45*Assumptions!$B$11,Projects!$B$45*INDEX(Curves!$B$4:$AO$4,1,60-Projects!$C$45+1)*Assumptions!$B$11*0.95),0)+IF(AND(Projects!$G$46="Yes",60&gt;=Projects!$C$46,60&lt;Projects!$C$46+Projects!$D$46),IF(60=Projects!$C$46+Projects!$D$46-1,Projects!$B$46*INDEX(Curves!$B$4:$AO$4,1,60-Projects!$C$46+1)*Assumptions!$B$11*0.95+0.05*Projects!$B$46*Assumptions!$B$11,Projects!$B$46*INDEX(Curves!$B$4:$AO$4,1,60-Projects!$C$46+1)*Assumptions!$B$11*0.95),0)</f>
        <v/>
      </c>
      <c r="BK109">
        <f>IF(AND(Projects!$G$30="Yes",61&gt;=Projects!$C$30,61&lt;Projects!$C$30+Projects!$D$30),IF(61=Projects!$C$30+Projects!$D$30-1,Projects!$B$30*INDEX(Curves!$B$4:$AO$4,1,61-Projects!$C$30+1)*Assumptions!$B$11*0.95+0.05*Projects!$B$30*Assumptions!$B$11,Projects!$B$30*INDEX(Curves!$B$4:$AO$4,1,61-Projects!$C$30+1)*Assumptions!$B$11*0.95),0)+IF(AND(Projects!$G$31="Yes",61&gt;=Projects!$C$31,61&lt;Projects!$C$31+Projects!$D$31),IF(61=Projects!$C$31+Projects!$D$31-1,Projects!$B$31*INDEX(Curves!$B$4:$AO$4,1,61-Projects!$C$31+1)*Assumptions!$B$11*0.95+0.05*Projects!$B$31*Assumptions!$B$11,Projects!$B$31*INDEX(Curves!$B$4:$AO$4,1,61-Projects!$C$31+1)*Assumptions!$B$11*0.95),0)+IF(AND(Projects!$G$32="Yes",61&gt;=Projects!$C$32,61&lt;Projects!$C$32+Projects!$D$32),IF(61=Projects!$C$32+Projects!$D$32-1,Projects!$B$32*INDEX(Curves!$B$4:$AO$4,1,61-Projects!$C$32+1)*Assumptions!$B$11*0.95+0.05*Projects!$B$32*Assumptions!$B$11,Projects!$B$32*INDEX(Curves!$B$4:$AO$4,1,61-Projects!$C$32+1)*Assumptions!$B$11*0.95),0)+IF(AND(Projects!$G$33="Yes",61&gt;=Projects!$C$33,61&lt;Projects!$C$33+Projects!$D$33),IF(61=Projects!$C$33+Projects!$D$33-1,Projects!$B$33*INDEX(Curves!$B$4:$AO$4,1,61-Projects!$C$33+1)*Assumptions!$B$11*0.95+0.05*Projects!$B$33*Assumptions!$B$11,Projects!$B$33*INDEX(Curves!$B$4:$AO$4,1,61-Projects!$C$33+1)*Assumptions!$B$11*0.95),0)+IF(AND(Projects!$G$34="Yes",61&gt;=Projects!$C$34,61&lt;Projects!$C$34+Projects!$D$34),IF(61=Projects!$C$34+Projects!$D$34-1,Projects!$B$34*INDEX(Curves!$B$4:$AO$4,1,61-Projects!$C$34+1)*Assumptions!$B$11*0.95+0.05*Projects!$B$34*Assumptions!$B$11,Projects!$B$34*INDEX(Curves!$B$4:$AO$4,1,61-Projects!$C$34+1)*Assumptions!$B$11*0.95),0)+IF(AND(Projects!$G$35="Yes",61&gt;=Projects!$C$35,61&lt;Projects!$C$35+Projects!$D$35),IF(61=Projects!$C$35+Projects!$D$35-1,Projects!$B$35*INDEX(Curves!$B$4:$AO$4,1,61-Projects!$C$35+1)*Assumptions!$B$11*0.95+0.05*Projects!$B$35*Assumptions!$B$11,Projects!$B$35*INDEX(Curves!$B$4:$AO$4,1,61-Projects!$C$35+1)*Assumptions!$B$11*0.95),0)+IF(AND(Projects!$G$36="Yes",61&gt;=Projects!$C$36,61&lt;Projects!$C$36+Projects!$D$36),IF(61=Projects!$C$36+Projects!$D$36-1,Projects!$B$36*INDEX(Curves!$B$4:$AO$4,1,61-Projects!$C$36+1)*Assumptions!$B$11*0.95+0.05*Projects!$B$36*Assumptions!$B$11,Projects!$B$36*INDEX(Curves!$B$4:$AO$4,1,61-Projects!$C$36+1)*Assumptions!$B$11*0.95),0)+IF(AND(Projects!$G$37="Yes",61&gt;=Projects!$C$37,61&lt;Projects!$C$37+Projects!$D$37),IF(61=Projects!$C$37+Projects!$D$37-1,Projects!$B$37*INDEX(Curves!$B$4:$AO$4,1,61-Projects!$C$37+1)*Assumptions!$B$11*0.95+0.05*Projects!$B$37*Assumptions!$B$11,Projects!$B$37*INDEX(Curves!$B$4:$AO$4,1,61-Projects!$C$37+1)*Assumptions!$B$11*0.95),0)+IF(AND(Projects!$G$38="Yes",61&gt;=Projects!$C$38,61&lt;Projects!$C$38+Projects!$D$38),IF(61=Projects!$C$38+Projects!$D$38-1,Projects!$B$38*INDEX(Curves!$B$4:$AO$4,1,61-Projects!$C$38+1)*Assumptions!$B$11*0.95+0.05*Projects!$B$38*Assumptions!$B$11,Projects!$B$38*INDEX(Curves!$B$4:$AO$4,1,61-Projects!$C$38+1)*Assumptions!$B$11*0.95),0)+IF(AND(Projects!$G$39="Yes",61&gt;=Projects!$C$39,61&lt;Projects!$C$39+Projects!$D$39),IF(61=Projects!$C$39+Projects!$D$39-1,Projects!$B$39*INDEX(Curves!$B$4:$AO$4,1,61-Projects!$C$39+1)*Assumptions!$B$11*0.95+0.05*Projects!$B$39*Assumptions!$B$11,Projects!$B$39*INDEX(Curves!$B$4:$AO$4,1,61-Projects!$C$39+1)*Assumptions!$B$11*0.95),0)+IF(AND(Projects!$G$40="Yes",61&gt;=Projects!$C$40,61&lt;Projects!$C$40+Projects!$D$40),IF(61=Projects!$C$40+Projects!$D$40-1,Projects!$B$40*INDEX(Curves!$B$4:$AO$4,1,61-Projects!$C$40+1)*Assumptions!$B$11*0.95+0.05*Projects!$B$40*Assumptions!$B$11,Projects!$B$40*INDEX(Curves!$B$4:$AO$4,1,61-Projects!$C$40+1)*Assumptions!$B$11*0.95),0)+IF(AND(Projects!$G$41="Yes",61&gt;=Projects!$C$41,61&lt;Projects!$C$41+Projects!$D$41),IF(61=Projects!$C$41+Projects!$D$41-1,Projects!$B$41*INDEX(Curves!$B$4:$AO$4,1,61-Projects!$C$41+1)*Assumptions!$B$11*0.95+0.05*Projects!$B$41*Assumptions!$B$11,Projects!$B$41*INDEX(Curves!$B$4:$AO$4,1,61-Projects!$C$41+1)*Assumptions!$B$11*0.95),0)+IF(AND(Projects!$G$42="Yes",61&gt;=Projects!$C$42,61&lt;Projects!$C$42+Projects!$D$42),IF(61=Projects!$C$42+Projects!$D$42-1,Projects!$B$42*INDEX(Curves!$B$4:$AO$4,1,61-Projects!$C$42+1)*Assumptions!$B$11*0.95+0.05*Projects!$B$42*Assumptions!$B$11,Projects!$B$42*INDEX(Curves!$B$4:$AO$4,1,61-Projects!$C$42+1)*Assumptions!$B$11*0.95),0)+IF(AND(Projects!$G$43="Yes",61&gt;=Projects!$C$43,61&lt;Projects!$C$43+Projects!$D$43),IF(61=Projects!$C$43+Projects!$D$43-1,Projects!$B$43*INDEX(Curves!$B$4:$AO$4,1,61-Projects!$C$43+1)*Assumptions!$B$11*0.95+0.05*Projects!$B$43*Assumptions!$B$11,Projects!$B$43*INDEX(Curves!$B$4:$AO$4,1,61-Projects!$C$43+1)*Assumptions!$B$11*0.95),0)+IF(AND(Projects!$G$44="Yes",61&gt;=Projects!$C$44,61&lt;Projects!$C$44+Projects!$D$44),IF(61=Projects!$C$44+Projects!$D$44-1,Projects!$B$44*INDEX(Curves!$B$4:$AO$4,1,61-Projects!$C$44+1)*Assumptions!$B$11*0.95+0.05*Projects!$B$44*Assumptions!$B$11,Projects!$B$44*INDEX(Curves!$B$4:$AO$4,1,61-Projects!$C$44+1)*Assumptions!$B$11*0.95),0)+IF(AND(Projects!$G$45="Yes",61&gt;=Projects!$C$45,61&lt;Projects!$C$45+Projects!$D$45),IF(61=Projects!$C$45+Projects!$D$45-1,Projects!$B$45*INDEX(Curves!$B$4:$AO$4,1,61-Projects!$C$45+1)*Assumptions!$B$11*0.95+0.05*Projects!$B$45*Assumptions!$B$11,Projects!$B$45*INDEX(Curves!$B$4:$AO$4,1,61-Projects!$C$45+1)*Assumptions!$B$11*0.95),0)+IF(AND(Projects!$G$46="Yes",61&gt;=Projects!$C$46,61&lt;Projects!$C$46+Projects!$D$46),IF(61=Projects!$C$46+Projects!$D$46-1,Projects!$B$46*INDEX(Curves!$B$4:$AO$4,1,61-Projects!$C$46+1)*Assumptions!$B$11*0.95+0.05*Projects!$B$46*Assumptions!$B$11,Projects!$B$46*INDEX(Curves!$B$4:$AO$4,1,61-Projects!$C$46+1)*Assumptions!$B$11*0.95),0)</f>
        <v/>
      </c>
      <c r="BL109">
        <f>IF(AND(Projects!$G$30="Yes",62&gt;=Projects!$C$30,62&lt;Projects!$C$30+Projects!$D$30),IF(62=Projects!$C$30+Projects!$D$30-1,Projects!$B$30*INDEX(Curves!$B$4:$AO$4,1,62-Projects!$C$30+1)*Assumptions!$B$11*0.95+0.05*Projects!$B$30*Assumptions!$B$11,Projects!$B$30*INDEX(Curves!$B$4:$AO$4,1,62-Projects!$C$30+1)*Assumptions!$B$11*0.95),0)+IF(AND(Projects!$G$31="Yes",62&gt;=Projects!$C$31,62&lt;Projects!$C$31+Projects!$D$31),IF(62=Projects!$C$31+Projects!$D$31-1,Projects!$B$31*INDEX(Curves!$B$4:$AO$4,1,62-Projects!$C$31+1)*Assumptions!$B$11*0.95+0.05*Projects!$B$31*Assumptions!$B$11,Projects!$B$31*INDEX(Curves!$B$4:$AO$4,1,62-Projects!$C$31+1)*Assumptions!$B$11*0.95),0)+IF(AND(Projects!$G$32="Yes",62&gt;=Projects!$C$32,62&lt;Projects!$C$32+Projects!$D$32),IF(62=Projects!$C$32+Projects!$D$32-1,Projects!$B$32*INDEX(Curves!$B$4:$AO$4,1,62-Projects!$C$32+1)*Assumptions!$B$11*0.95+0.05*Projects!$B$32*Assumptions!$B$11,Projects!$B$32*INDEX(Curves!$B$4:$AO$4,1,62-Projects!$C$32+1)*Assumptions!$B$11*0.95),0)+IF(AND(Projects!$G$33="Yes",62&gt;=Projects!$C$33,62&lt;Projects!$C$33+Projects!$D$33),IF(62=Projects!$C$33+Projects!$D$33-1,Projects!$B$33*INDEX(Curves!$B$4:$AO$4,1,62-Projects!$C$33+1)*Assumptions!$B$11*0.95+0.05*Projects!$B$33*Assumptions!$B$11,Projects!$B$33*INDEX(Curves!$B$4:$AO$4,1,62-Projects!$C$33+1)*Assumptions!$B$11*0.95),0)+IF(AND(Projects!$G$34="Yes",62&gt;=Projects!$C$34,62&lt;Projects!$C$34+Projects!$D$34),IF(62=Projects!$C$34+Projects!$D$34-1,Projects!$B$34*INDEX(Curves!$B$4:$AO$4,1,62-Projects!$C$34+1)*Assumptions!$B$11*0.95+0.05*Projects!$B$34*Assumptions!$B$11,Projects!$B$34*INDEX(Curves!$B$4:$AO$4,1,62-Projects!$C$34+1)*Assumptions!$B$11*0.95),0)+IF(AND(Projects!$G$35="Yes",62&gt;=Projects!$C$35,62&lt;Projects!$C$35+Projects!$D$35),IF(62=Projects!$C$35+Projects!$D$35-1,Projects!$B$35*INDEX(Curves!$B$4:$AO$4,1,62-Projects!$C$35+1)*Assumptions!$B$11*0.95+0.05*Projects!$B$35*Assumptions!$B$11,Projects!$B$35*INDEX(Curves!$B$4:$AO$4,1,62-Projects!$C$35+1)*Assumptions!$B$11*0.95),0)+IF(AND(Projects!$G$36="Yes",62&gt;=Projects!$C$36,62&lt;Projects!$C$36+Projects!$D$36),IF(62=Projects!$C$36+Projects!$D$36-1,Projects!$B$36*INDEX(Curves!$B$4:$AO$4,1,62-Projects!$C$36+1)*Assumptions!$B$11*0.95+0.05*Projects!$B$36*Assumptions!$B$11,Projects!$B$36*INDEX(Curves!$B$4:$AO$4,1,62-Projects!$C$36+1)*Assumptions!$B$11*0.95),0)+IF(AND(Projects!$G$37="Yes",62&gt;=Projects!$C$37,62&lt;Projects!$C$37+Projects!$D$37),IF(62=Projects!$C$37+Projects!$D$37-1,Projects!$B$37*INDEX(Curves!$B$4:$AO$4,1,62-Projects!$C$37+1)*Assumptions!$B$11*0.95+0.05*Projects!$B$37*Assumptions!$B$11,Projects!$B$37*INDEX(Curves!$B$4:$AO$4,1,62-Projects!$C$37+1)*Assumptions!$B$11*0.95),0)+IF(AND(Projects!$G$38="Yes",62&gt;=Projects!$C$38,62&lt;Projects!$C$38+Projects!$D$38),IF(62=Projects!$C$38+Projects!$D$38-1,Projects!$B$38*INDEX(Curves!$B$4:$AO$4,1,62-Projects!$C$38+1)*Assumptions!$B$11*0.95+0.05*Projects!$B$38*Assumptions!$B$11,Projects!$B$38*INDEX(Curves!$B$4:$AO$4,1,62-Projects!$C$38+1)*Assumptions!$B$11*0.95),0)+IF(AND(Projects!$G$39="Yes",62&gt;=Projects!$C$39,62&lt;Projects!$C$39+Projects!$D$39),IF(62=Projects!$C$39+Projects!$D$39-1,Projects!$B$39*INDEX(Curves!$B$4:$AO$4,1,62-Projects!$C$39+1)*Assumptions!$B$11*0.95+0.05*Projects!$B$39*Assumptions!$B$11,Projects!$B$39*INDEX(Curves!$B$4:$AO$4,1,62-Projects!$C$39+1)*Assumptions!$B$11*0.95),0)+IF(AND(Projects!$G$40="Yes",62&gt;=Projects!$C$40,62&lt;Projects!$C$40+Projects!$D$40),IF(62=Projects!$C$40+Projects!$D$40-1,Projects!$B$40*INDEX(Curves!$B$4:$AO$4,1,62-Projects!$C$40+1)*Assumptions!$B$11*0.95+0.05*Projects!$B$40*Assumptions!$B$11,Projects!$B$40*INDEX(Curves!$B$4:$AO$4,1,62-Projects!$C$40+1)*Assumptions!$B$11*0.95),0)+IF(AND(Projects!$G$41="Yes",62&gt;=Projects!$C$41,62&lt;Projects!$C$41+Projects!$D$41),IF(62=Projects!$C$41+Projects!$D$41-1,Projects!$B$41*INDEX(Curves!$B$4:$AO$4,1,62-Projects!$C$41+1)*Assumptions!$B$11*0.95+0.05*Projects!$B$41*Assumptions!$B$11,Projects!$B$41*INDEX(Curves!$B$4:$AO$4,1,62-Projects!$C$41+1)*Assumptions!$B$11*0.95),0)+IF(AND(Projects!$G$42="Yes",62&gt;=Projects!$C$42,62&lt;Projects!$C$42+Projects!$D$42),IF(62=Projects!$C$42+Projects!$D$42-1,Projects!$B$42*INDEX(Curves!$B$4:$AO$4,1,62-Projects!$C$42+1)*Assumptions!$B$11*0.95+0.05*Projects!$B$42*Assumptions!$B$11,Projects!$B$42*INDEX(Curves!$B$4:$AO$4,1,62-Projects!$C$42+1)*Assumptions!$B$11*0.95),0)+IF(AND(Projects!$G$43="Yes",62&gt;=Projects!$C$43,62&lt;Projects!$C$43+Projects!$D$43),IF(62=Projects!$C$43+Projects!$D$43-1,Projects!$B$43*INDEX(Curves!$B$4:$AO$4,1,62-Projects!$C$43+1)*Assumptions!$B$11*0.95+0.05*Projects!$B$43*Assumptions!$B$11,Projects!$B$43*INDEX(Curves!$B$4:$AO$4,1,62-Projects!$C$43+1)*Assumptions!$B$11*0.95),0)+IF(AND(Projects!$G$44="Yes",62&gt;=Projects!$C$44,62&lt;Projects!$C$44+Projects!$D$44),IF(62=Projects!$C$44+Projects!$D$44-1,Projects!$B$44*INDEX(Curves!$B$4:$AO$4,1,62-Projects!$C$44+1)*Assumptions!$B$11*0.95+0.05*Projects!$B$44*Assumptions!$B$11,Projects!$B$44*INDEX(Curves!$B$4:$AO$4,1,62-Projects!$C$44+1)*Assumptions!$B$11*0.95),0)+IF(AND(Projects!$G$45="Yes",62&gt;=Projects!$C$45,62&lt;Projects!$C$45+Projects!$D$45),IF(62=Projects!$C$45+Projects!$D$45-1,Projects!$B$45*INDEX(Curves!$B$4:$AO$4,1,62-Projects!$C$45+1)*Assumptions!$B$11*0.95+0.05*Projects!$B$45*Assumptions!$B$11,Projects!$B$45*INDEX(Curves!$B$4:$AO$4,1,62-Projects!$C$45+1)*Assumptions!$B$11*0.95),0)+IF(AND(Projects!$G$46="Yes",62&gt;=Projects!$C$46,62&lt;Projects!$C$46+Projects!$D$46),IF(62=Projects!$C$46+Projects!$D$46-1,Projects!$B$46*INDEX(Curves!$B$4:$AO$4,1,62-Projects!$C$46+1)*Assumptions!$B$11*0.95+0.05*Projects!$B$46*Assumptions!$B$11,Projects!$B$46*INDEX(Curves!$B$4:$AO$4,1,62-Projects!$C$46+1)*Assumptions!$B$11*0.95),0)</f>
        <v/>
      </c>
      <c r="BM109">
        <f>IF(AND(Projects!$G$30="Yes",63&gt;=Projects!$C$30,63&lt;Projects!$C$30+Projects!$D$30),IF(63=Projects!$C$30+Projects!$D$30-1,Projects!$B$30*INDEX(Curves!$B$4:$AO$4,1,63-Projects!$C$30+1)*Assumptions!$B$11*0.95+0.05*Projects!$B$30*Assumptions!$B$11,Projects!$B$30*INDEX(Curves!$B$4:$AO$4,1,63-Projects!$C$30+1)*Assumptions!$B$11*0.95),0)+IF(AND(Projects!$G$31="Yes",63&gt;=Projects!$C$31,63&lt;Projects!$C$31+Projects!$D$31),IF(63=Projects!$C$31+Projects!$D$31-1,Projects!$B$31*INDEX(Curves!$B$4:$AO$4,1,63-Projects!$C$31+1)*Assumptions!$B$11*0.95+0.05*Projects!$B$31*Assumptions!$B$11,Projects!$B$31*INDEX(Curves!$B$4:$AO$4,1,63-Projects!$C$31+1)*Assumptions!$B$11*0.95),0)+IF(AND(Projects!$G$32="Yes",63&gt;=Projects!$C$32,63&lt;Projects!$C$32+Projects!$D$32),IF(63=Projects!$C$32+Projects!$D$32-1,Projects!$B$32*INDEX(Curves!$B$4:$AO$4,1,63-Projects!$C$32+1)*Assumptions!$B$11*0.95+0.05*Projects!$B$32*Assumptions!$B$11,Projects!$B$32*INDEX(Curves!$B$4:$AO$4,1,63-Projects!$C$32+1)*Assumptions!$B$11*0.95),0)+IF(AND(Projects!$G$33="Yes",63&gt;=Projects!$C$33,63&lt;Projects!$C$33+Projects!$D$33),IF(63=Projects!$C$33+Projects!$D$33-1,Projects!$B$33*INDEX(Curves!$B$4:$AO$4,1,63-Projects!$C$33+1)*Assumptions!$B$11*0.95+0.05*Projects!$B$33*Assumptions!$B$11,Projects!$B$33*INDEX(Curves!$B$4:$AO$4,1,63-Projects!$C$33+1)*Assumptions!$B$11*0.95),0)+IF(AND(Projects!$G$34="Yes",63&gt;=Projects!$C$34,63&lt;Projects!$C$34+Projects!$D$34),IF(63=Projects!$C$34+Projects!$D$34-1,Projects!$B$34*INDEX(Curves!$B$4:$AO$4,1,63-Projects!$C$34+1)*Assumptions!$B$11*0.95+0.05*Projects!$B$34*Assumptions!$B$11,Projects!$B$34*INDEX(Curves!$B$4:$AO$4,1,63-Projects!$C$34+1)*Assumptions!$B$11*0.95),0)+IF(AND(Projects!$G$35="Yes",63&gt;=Projects!$C$35,63&lt;Projects!$C$35+Projects!$D$35),IF(63=Projects!$C$35+Projects!$D$35-1,Projects!$B$35*INDEX(Curves!$B$4:$AO$4,1,63-Projects!$C$35+1)*Assumptions!$B$11*0.95+0.05*Projects!$B$35*Assumptions!$B$11,Projects!$B$35*INDEX(Curves!$B$4:$AO$4,1,63-Projects!$C$35+1)*Assumptions!$B$11*0.95),0)+IF(AND(Projects!$G$36="Yes",63&gt;=Projects!$C$36,63&lt;Projects!$C$36+Projects!$D$36),IF(63=Projects!$C$36+Projects!$D$36-1,Projects!$B$36*INDEX(Curves!$B$4:$AO$4,1,63-Projects!$C$36+1)*Assumptions!$B$11*0.95+0.05*Projects!$B$36*Assumptions!$B$11,Projects!$B$36*INDEX(Curves!$B$4:$AO$4,1,63-Projects!$C$36+1)*Assumptions!$B$11*0.95),0)+IF(AND(Projects!$G$37="Yes",63&gt;=Projects!$C$37,63&lt;Projects!$C$37+Projects!$D$37),IF(63=Projects!$C$37+Projects!$D$37-1,Projects!$B$37*INDEX(Curves!$B$4:$AO$4,1,63-Projects!$C$37+1)*Assumptions!$B$11*0.95+0.05*Projects!$B$37*Assumptions!$B$11,Projects!$B$37*INDEX(Curves!$B$4:$AO$4,1,63-Projects!$C$37+1)*Assumptions!$B$11*0.95),0)+IF(AND(Projects!$G$38="Yes",63&gt;=Projects!$C$38,63&lt;Projects!$C$38+Projects!$D$38),IF(63=Projects!$C$38+Projects!$D$38-1,Projects!$B$38*INDEX(Curves!$B$4:$AO$4,1,63-Projects!$C$38+1)*Assumptions!$B$11*0.95+0.05*Projects!$B$38*Assumptions!$B$11,Projects!$B$38*INDEX(Curves!$B$4:$AO$4,1,63-Projects!$C$38+1)*Assumptions!$B$11*0.95),0)+IF(AND(Projects!$G$39="Yes",63&gt;=Projects!$C$39,63&lt;Projects!$C$39+Projects!$D$39),IF(63=Projects!$C$39+Projects!$D$39-1,Projects!$B$39*INDEX(Curves!$B$4:$AO$4,1,63-Projects!$C$39+1)*Assumptions!$B$11*0.95+0.05*Projects!$B$39*Assumptions!$B$11,Projects!$B$39*INDEX(Curves!$B$4:$AO$4,1,63-Projects!$C$39+1)*Assumptions!$B$11*0.95),0)+IF(AND(Projects!$G$40="Yes",63&gt;=Projects!$C$40,63&lt;Projects!$C$40+Projects!$D$40),IF(63=Projects!$C$40+Projects!$D$40-1,Projects!$B$40*INDEX(Curves!$B$4:$AO$4,1,63-Projects!$C$40+1)*Assumptions!$B$11*0.95+0.05*Projects!$B$40*Assumptions!$B$11,Projects!$B$40*INDEX(Curves!$B$4:$AO$4,1,63-Projects!$C$40+1)*Assumptions!$B$11*0.95),0)+IF(AND(Projects!$G$41="Yes",63&gt;=Projects!$C$41,63&lt;Projects!$C$41+Projects!$D$41),IF(63=Projects!$C$41+Projects!$D$41-1,Projects!$B$41*INDEX(Curves!$B$4:$AO$4,1,63-Projects!$C$41+1)*Assumptions!$B$11*0.95+0.05*Projects!$B$41*Assumptions!$B$11,Projects!$B$41*INDEX(Curves!$B$4:$AO$4,1,63-Projects!$C$41+1)*Assumptions!$B$11*0.95),0)+IF(AND(Projects!$G$42="Yes",63&gt;=Projects!$C$42,63&lt;Projects!$C$42+Projects!$D$42),IF(63=Projects!$C$42+Projects!$D$42-1,Projects!$B$42*INDEX(Curves!$B$4:$AO$4,1,63-Projects!$C$42+1)*Assumptions!$B$11*0.95+0.05*Projects!$B$42*Assumptions!$B$11,Projects!$B$42*INDEX(Curves!$B$4:$AO$4,1,63-Projects!$C$42+1)*Assumptions!$B$11*0.95),0)+IF(AND(Projects!$G$43="Yes",63&gt;=Projects!$C$43,63&lt;Projects!$C$43+Projects!$D$43),IF(63=Projects!$C$43+Projects!$D$43-1,Projects!$B$43*INDEX(Curves!$B$4:$AO$4,1,63-Projects!$C$43+1)*Assumptions!$B$11*0.95+0.05*Projects!$B$43*Assumptions!$B$11,Projects!$B$43*INDEX(Curves!$B$4:$AO$4,1,63-Projects!$C$43+1)*Assumptions!$B$11*0.95),0)+IF(AND(Projects!$G$44="Yes",63&gt;=Projects!$C$44,63&lt;Projects!$C$44+Projects!$D$44),IF(63=Projects!$C$44+Projects!$D$44-1,Projects!$B$44*INDEX(Curves!$B$4:$AO$4,1,63-Projects!$C$44+1)*Assumptions!$B$11*0.95+0.05*Projects!$B$44*Assumptions!$B$11,Projects!$B$44*INDEX(Curves!$B$4:$AO$4,1,63-Projects!$C$44+1)*Assumptions!$B$11*0.95),0)+IF(AND(Projects!$G$45="Yes",63&gt;=Projects!$C$45,63&lt;Projects!$C$45+Projects!$D$45),IF(63=Projects!$C$45+Projects!$D$45-1,Projects!$B$45*INDEX(Curves!$B$4:$AO$4,1,63-Projects!$C$45+1)*Assumptions!$B$11*0.95+0.05*Projects!$B$45*Assumptions!$B$11,Projects!$B$45*INDEX(Curves!$B$4:$AO$4,1,63-Projects!$C$45+1)*Assumptions!$B$11*0.95),0)+IF(AND(Projects!$G$46="Yes",63&gt;=Projects!$C$46,63&lt;Projects!$C$46+Projects!$D$46),IF(63=Projects!$C$46+Projects!$D$46-1,Projects!$B$46*INDEX(Curves!$B$4:$AO$4,1,63-Projects!$C$46+1)*Assumptions!$B$11*0.95+0.05*Projects!$B$46*Assumptions!$B$11,Projects!$B$46*INDEX(Curves!$B$4:$AO$4,1,63-Projects!$C$46+1)*Assumptions!$B$11*0.95),0)</f>
        <v/>
      </c>
      <c r="BN109">
        <f>IF(AND(Projects!$G$30="Yes",64&gt;=Projects!$C$30,64&lt;Projects!$C$30+Projects!$D$30),IF(64=Projects!$C$30+Projects!$D$30-1,Projects!$B$30*INDEX(Curves!$B$4:$AO$4,1,64-Projects!$C$30+1)*Assumptions!$B$11*0.95+0.05*Projects!$B$30*Assumptions!$B$11,Projects!$B$30*INDEX(Curves!$B$4:$AO$4,1,64-Projects!$C$30+1)*Assumptions!$B$11*0.95),0)+IF(AND(Projects!$G$31="Yes",64&gt;=Projects!$C$31,64&lt;Projects!$C$31+Projects!$D$31),IF(64=Projects!$C$31+Projects!$D$31-1,Projects!$B$31*INDEX(Curves!$B$4:$AO$4,1,64-Projects!$C$31+1)*Assumptions!$B$11*0.95+0.05*Projects!$B$31*Assumptions!$B$11,Projects!$B$31*INDEX(Curves!$B$4:$AO$4,1,64-Projects!$C$31+1)*Assumptions!$B$11*0.95),0)+IF(AND(Projects!$G$32="Yes",64&gt;=Projects!$C$32,64&lt;Projects!$C$32+Projects!$D$32),IF(64=Projects!$C$32+Projects!$D$32-1,Projects!$B$32*INDEX(Curves!$B$4:$AO$4,1,64-Projects!$C$32+1)*Assumptions!$B$11*0.95+0.05*Projects!$B$32*Assumptions!$B$11,Projects!$B$32*INDEX(Curves!$B$4:$AO$4,1,64-Projects!$C$32+1)*Assumptions!$B$11*0.95),0)+IF(AND(Projects!$G$33="Yes",64&gt;=Projects!$C$33,64&lt;Projects!$C$33+Projects!$D$33),IF(64=Projects!$C$33+Projects!$D$33-1,Projects!$B$33*INDEX(Curves!$B$4:$AO$4,1,64-Projects!$C$33+1)*Assumptions!$B$11*0.95+0.05*Projects!$B$33*Assumptions!$B$11,Projects!$B$33*INDEX(Curves!$B$4:$AO$4,1,64-Projects!$C$33+1)*Assumptions!$B$11*0.95),0)+IF(AND(Projects!$G$34="Yes",64&gt;=Projects!$C$34,64&lt;Projects!$C$34+Projects!$D$34),IF(64=Projects!$C$34+Projects!$D$34-1,Projects!$B$34*INDEX(Curves!$B$4:$AO$4,1,64-Projects!$C$34+1)*Assumptions!$B$11*0.95+0.05*Projects!$B$34*Assumptions!$B$11,Projects!$B$34*INDEX(Curves!$B$4:$AO$4,1,64-Projects!$C$34+1)*Assumptions!$B$11*0.95),0)+IF(AND(Projects!$G$35="Yes",64&gt;=Projects!$C$35,64&lt;Projects!$C$35+Projects!$D$35),IF(64=Projects!$C$35+Projects!$D$35-1,Projects!$B$35*INDEX(Curves!$B$4:$AO$4,1,64-Projects!$C$35+1)*Assumptions!$B$11*0.95+0.05*Projects!$B$35*Assumptions!$B$11,Projects!$B$35*INDEX(Curves!$B$4:$AO$4,1,64-Projects!$C$35+1)*Assumptions!$B$11*0.95),0)+IF(AND(Projects!$G$36="Yes",64&gt;=Projects!$C$36,64&lt;Projects!$C$36+Projects!$D$36),IF(64=Projects!$C$36+Projects!$D$36-1,Projects!$B$36*INDEX(Curves!$B$4:$AO$4,1,64-Projects!$C$36+1)*Assumptions!$B$11*0.95+0.05*Projects!$B$36*Assumptions!$B$11,Projects!$B$36*INDEX(Curves!$B$4:$AO$4,1,64-Projects!$C$36+1)*Assumptions!$B$11*0.95),0)+IF(AND(Projects!$G$37="Yes",64&gt;=Projects!$C$37,64&lt;Projects!$C$37+Projects!$D$37),IF(64=Projects!$C$37+Projects!$D$37-1,Projects!$B$37*INDEX(Curves!$B$4:$AO$4,1,64-Projects!$C$37+1)*Assumptions!$B$11*0.95+0.05*Projects!$B$37*Assumptions!$B$11,Projects!$B$37*INDEX(Curves!$B$4:$AO$4,1,64-Projects!$C$37+1)*Assumptions!$B$11*0.95),0)+IF(AND(Projects!$G$38="Yes",64&gt;=Projects!$C$38,64&lt;Projects!$C$38+Projects!$D$38),IF(64=Projects!$C$38+Projects!$D$38-1,Projects!$B$38*INDEX(Curves!$B$4:$AO$4,1,64-Projects!$C$38+1)*Assumptions!$B$11*0.95+0.05*Projects!$B$38*Assumptions!$B$11,Projects!$B$38*INDEX(Curves!$B$4:$AO$4,1,64-Projects!$C$38+1)*Assumptions!$B$11*0.95),0)+IF(AND(Projects!$G$39="Yes",64&gt;=Projects!$C$39,64&lt;Projects!$C$39+Projects!$D$39),IF(64=Projects!$C$39+Projects!$D$39-1,Projects!$B$39*INDEX(Curves!$B$4:$AO$4,1,64-Projects!$C$39+1)*Assumptions!$B$11*0.95+0.05*Projects!$B$39*Assumptions!$B$11,Projects!$B$39*INDEX(Curves!$B$4:$AO$4,1,64-Projects!$C$39+1)*Assumptions!$B$11*0.95),0)+IF(AND(Projects!$G$40="Yes",64&gt;=Projects!$C$40,64&lt;Projects!$C$40+Projects!$D$40),IF(64=Projects!$C$40+Projects!$D$40-1,Projects!$B$40*INDEX(Curves!$B$4:$AO$4,1,64-Projects!$C$40+1)*Assumptions!$B$11*0.95+0.05*Projects!$B$40*Assumptions!$B$11,Projects!$B$40*INDEX(Curves!$B$4:$AO$4,1,64-Projects!$C$40+1)*Assumptions!$B$11*0.95),0)+IF(AND(Projects!$G$41="Yes",64&gt;=Projects!$C$41,64&lt;Projects!$C$41+Projects!$D$41),IF(64=Projects!$C$41+Projects!$D$41-1,Projects!$B$41*INDEX(Curves!$B$4:$AO$4,1,64-Projects!$C$41+1)*Assumptions!$B$11*0.95+0.05*Projects!$B$41*Assumptions!$B$11,Projects!$B$41*INDEX(Curves!$B$4:$AO$4,1,64-Projects!$C$41+1)*Assumptions!$B$11*0.95),0)+IF(AND(Projects!$G$42="Yes",64&gt;=Projects!$C$42,64&lt;Projects!$C$42+Projects!$D$42),IF(64=Projects!$C$42+Projects!$D$42-1,Projects!$B$42*INDEX(Curves!$B$4:$AO$4,1,64-Projects!$C$42+1)*Assumptions!$B$11*0.95+0.05*Projects!$B$42*Assumptions!$B$11,Projects!$B$42*INDEX(Curves!$B$4:$AO$4,1,64-Projects!$C$42+1)*Assumptions!$B$11*0.95),0)+IF(AND(Projects!$G$43="Yes",64&gt;=Projects!$C$43,64&lt;Projects!$C$43+Projects!$D$43),IF(64=Projects!$C$43+Projects!$D$43-1,Projects!$B$43*INDEX(Curves!$B$4:$AO$4,1,64-Projects!$C$43+1)*Assumptions!$B$11*0.95+0.05*Projects!$B$43*Assumptions!$B$11,Projects!$B$43*INDEX(Curves!$B$4:$AO$4,1,64-Projects!$C$43+1)*Assumptions!$B$11*0.95),0)+IF(AND(Projects!$G$44="Yes",64&gt;=Projects!$C$44,64&lt;Projects!$C$44+Projects!$D$44),IF(64=Projects!$C$44+Projects!$D$44-1,Projects!$B$44*INDEX(Curves!$B$4:$AO$4,1,64-Projects!$C$44+1)*Assumptions!$B$11*0.95+0.05*Projects!$B$44*Assumptions!$B$11,Projects!$B$44*INDEX(Curves!$B$4:$AO$4,1,64-Projects!$C$44+1)*Assumptions!$B$11*0.95),0)+IF(AND(Projects!$G$45="Yes",64&gt;=Projects!$C$45,64&lt;Projects!$C$45+Projects!$D$45),IF(64=Projects!$C$45+Projects!$D$45-1,Projects!$B$45*INDEX(Curves!$B$4:$AO$4,1,64-Projects!$C$45+1)*Assumptions!$B$11*0.95+0.05*Projects!$B$45*Assumptions!$B$11,Projects!$B$45*INDEX(Curves!$B$4:$AO$4,1,64-Projects!$C$45+1)*Assumptions!$B$11*0.95),0)+IF(AND(Projects!$G$46="Yes",64&gt;=Projects!$C$46,64&lt;Projects!$C$46+Projects!$D$46),IF(64=Projects!$C$46+Projects!$D$46-1,Projects!$B$46*INDEX(Curves!$B$4:$AO$4,1,64-Projects!$C$46+1)*Assumptions!$B$11*0.95+0.05*Projects!$B$46*Assumptions!$B$11,Projects!$B$46*INDEX(Curves!$B$4:$AO$4,1,64-Projects!$C$46+1)*Assumptions!$B$11*0.95),0)</f>
        <v/>
      </c>
      <c r="BO109">
        <f>IF(AND(Projects!$G$30="Yes",65&gt;=Projects!$C$30,65&lt;Projects!$C$30+Projects!$D$30),IF(65=Projects!$C$30+Projects!$D$30-1,Projects!$B$30*INDEX(Curves!$B$4:$AO$4,1,65-Projects!$C$30+1)*Assumptions!$B$11*0.95+0.05*Projects!$B$30*Assumptions!$B$11,Projects!$B$30*INDEX(Curves!$B$4:$AO$4,1,65-Projects!$C$30+1)*Assumptions!$B$11*0.95),0)+IF(AND(Projects!$G$31="Yes",65&gt;=Projects!$C$31,65&lt;Projects!$C$31+Projects!$D$31),IF(65=Projects!$C$31+Projects!$D$31-1,Projects!$B$31*INDEX(Curves!$B$4:$AO$4,1,65-Projects!$C$31+1)*Assumptions!$B$11*0.95+0.05*Projects!$B$31*Assumptions!$B$11,Projects!$B$31*INDEX(Curves!$B$4:$AO$4,1,65-Projects!$C$31+1)*Assumptions!$B$11*0.95),0)+IF(AND(Projects!$G$32="Yes",65&gt;=Projects!$C$32,65&lt;Projects!$C$32+Projects!$D$32),IF(65=Projects!$C$32+Projects!$D$32-1,Projects!$B$32*INDEX(Curves!$B$4:$AO$4,1,65-Projects!$C$32+1)*Assumptions!$B$11*0.95+0.05*Projects!$B$32*Assumptions!$B$11,Projects!$B$32*INDEX(Curves!$B$4:$AO$4,1,65-Projects!$C$32+1)*Assumptions!$B$11*0.95),0)+IF(AND(Projects!$G$33="Yes",65&gt;=Projects!$C$33,65&lt;Projects!$C$33+Projects!$D$33),IF(65=Projects!$C$33+Projects!$D$33-1,Projects!$B$33*INDEX(Curves!$B$4:$AO$4,1,65-Projects!$C$33+1)*Assumptions!$B$11*0.95+0.05*Projects!$B$33*Assumptions!$B$11,Projects!$B$33*INDEX(Curves!$B$4:$AO$4,1,65-Projects!$C$33+1)*Assumptions!$B$11*0.95),0)+IF(AND(Projects!$G$34="Yes",65&gt;=Projects!$C$34,65&lt;Projects!$C$34+Projects!$D$34),IF(65=Projects!$C$34+Projects!$D$34-1,Projects!$B$34*INDEX(Curves!$B$4:$AO$4,1,65-Projects!$C$34+1)*Assumptions!$B$11*0.95+0.05*Projects!$B$34*Assumptions!$B$11,Projects!$B$34*INDEX(Curves!$B$4:$AO$4,1,65-Projects!$C$34+1)*Assumptions!$B$11*0.95),0)+IF(AND(Projects!$G$35="Yes",65&gt;=Projects!$C$35,65&lt;Projects!$C$35+Projects!$D$35),IF(65=Projects!$C$35+Projects!$D$35-1,Projects!$B$35*INDEX(Curves!$B$4:$AO$4,1,65-Projects!$C$35+1)*Assumptions!$B$11*0.95+0.05*Projects!$B$35*Assumptions!$B$11,Projects!$B$35*INDEX(Curves!$B$4:$AO$4,1,65-Projects!$C$35+1)*Assumptions!$B$11*0.95),0)+IF(AND(Projects!$G$36="Yes",65&gt;=Projects!$C$36,65&lt;Projects!$C$36+Projects!$D$36),IF(65=Projects!$C$36+Projects!$D$36-1,Projects!$B$36*INDEX(Curves!$B$4:$AO$4,1,65-Projects!$C$36+1)*Assumptions!$B$11*0.95+0.05*Projects!$B$36*Assumptions!$B$11,Projects!$B$36*INDEX(Curves!$B$4:$AO$4,1,65-Projects!$C$36+1)*Assumptions!$B$11*0.95),0)+IF(AND(Projects!$G$37="Yes",65&gt;=Projects!$C$37,65&lt;Projects!$C$37+Projects!$D$37),IF(65=Projects!$C$37+Projects!$D$37-1,Projects!$B$37*INDEX(Curves!$B$4:$AO$4,1,65-Projects!$C$37+1)*Assumptions!$B$11*0.95+0.05*Projects!$B$37*Assumptions!$B$11,Projects!$B$37*INDEX(Curves!$B$4:$AO$4,1,65-Projects!$C$37+1)*Assumptions!$B$11*0.95),0)+IF(AND(Projects!$G$38="Yes",65&gt;=Projects!$C$38,65&lt;Projects!$C$38+Projects!$D$38),IF(65=Projects!$C$38+Projects!$D$38-1,Projects!$B$38*INDEX(Curves!$B$4:$AO$4,1,65-Projects!$C$38+1)*Assumptions!$B$11*0.95+0.05*Projects!$B$38*Assumptions!$B$11,Projects!$B$38*INDEX(Curves!$B$4:$AO$4,1,65-Projects!$C$38+1)*Assumptions!$B$11*0.95),0)+IF(AND(Projects!$G$39="Yes",65&gt;=Projects!$C$39,65&lt;Projects!$C$39+Projects!$D$39),IF(65=Projects!$C$39+Projects!$D$39-1,Projects!$B$39*INDEX(Curves!$B$4:$AO$4,1,65-Projects!$C$39+1)*Assumptions!$B$11*0.95+0.05*Projects!$B$39*Assumptions!$B$11,Projects!$B$39*INDEX(Curves!$B$4:$AO$4,1,65-Projects!$C$39+1)*Assumptions!$B$11*0.95),0)+IF(AND(Projects!$G$40="Yes",65&gt;=Projects!$C$40,65&lt;Projects!$C$40+Projects!$D$40),IF(65=Projects!$C$40+Projects!$D$40-1,Projects!$B$40*INDEX(Curves!$B$4:$AO$4,1,65-Projects!$C$40+1)*Assumptions!$B$11*0.95+0.05*Projects!$B$40*Assumptions!$B$11,Projects!$B$40*INDEX(Curves!$B$4:$AO$4,1,65-Projects!$C$40+1)*Assumptions!$B$11*0.95),0)+IF(AND(Projects!$G$41="Yes",65&gt;=Projects!$C$41,65&lt;Projects!$C$41+Projects!$D$41),IF(65=Projects!$C$41+Projects!$D$41-1,Projects!$B$41*INDEX(Curves!$B$4:$AO$4,1,65-Projects!$C$41+1)*Assumptions!$B$11*0.95+0.05*Projects!$B$41*Assumptions!$B$11,Projects!$B$41*INDEX(Curves!$B$4:$AO$4,1,65-Projects!$C$41+1)*Assumptions!$B$11*0.95),0)+IF(AND(Projects!$G$42="Yes",65&gt;=Projects!$C$42,65&lt;Projects!$C$42+Projects!$D$42),IF(65=Projects!$C$42+Projects!$D$42-1,Projects!$B$42*INDEX(Curves!$B$4:$AO$4,1,65-Projects!$C$42+1)*Assumptions!$B$11*0.95+0.05*Projects!$B$42*Assumptions!$B$11,Projects!$B$42*INDEX(Curves!$B$4:$AO$4,1,65-Projects!$C$42+1)*Assumptions!$B$11*0.95),0)+IF(AND(Projects!$G$43="Yes",65&gt;=Projects!$C$43,65&lt;Projects!$C$43+Projects!$D$43),IF(65=Projects!$C$43+Projects!$D$43-1,Projects!$B$43*INDEX(Curves!$B$4:$AO$4,1,65-Projects!$C$43+1)*Assumptions!$B$11*0.95+0.05*Projects!$B$43*Assumptions!$B$11,Projects!$B$43*INDEX(Curves!$B$4:$AO$4,1,65-Projects!$C$43+1)*Assumptions!$B$11*0.95),0)+IF(AND(Projects!$G$44="Yes",65&gt;=Projects!$C$44,65&lt;Projects!$C$44+Projects!$D$44),IF(65=Projects!$C$44+Projects!$D$44-1,Projects!$B$44*INDEX(Curves!$B$4:$AO$4,1,65-Projects!$C$44+1)*Assumptions!$B$11*0.95+0.05*Projects!$B$44*Assumptions!$B$11,Projects!$B$44*INDEX(Curves!$B$4:$AO$4,1,65-Projects!$C$44+1)*Assumptions!$B$11*0.95),0)+IF(AND(Projects!$G$45="Yes",65&gt;=Projects!$C$45,65&lt;Projects!$C$45+Projects!$D$45),IF(65=Projects!$C$45+Projects!$D$45-1,Projects!$B$45*INDEX(Curves!$B$4:$AO$4,1,65-Projects!$C$45+1)*Assumptions!$B$11*0.95+0.05*Projects!$B$45*Assumptions!$B$11,Projects!$B$45*INDEX(Curves!$B$4:$AO$4,1,65-Projects!$C$45+1)*Assumptions!$B$11*0.95),0)+IF(AND(Projects!$G$46="Yes",65&gt;=Projects!$C$46,65&lt;Projects!$C$46+Projects!$D$46),IF(65=Projects!$C$46+Projects!$D$46-1,Projects!$B$46*INDEX(Curves!$B$4:$AO$4,1,65-Projects!$C$46+1)*Assumptions!$B$11*0.95+0.05*Projects!$B$46*Assumptions!$B$11,Projects!$B$46*INDEX(Curves!$B$4:$AO$4,1,65-Projects!$C$46+1)*Assumptions!$B$11*0.95),0)</f>
        <v/>
      </c>
      <c r="BP109">
        <f>IF(AND(Projects!$G$30="Yes",66&gt;=Projects!$C$30,66&lt;Projects!$C$30+Projects!$D$30),IF(66=Projects!$C$30+Projects!$D$30-1,Projects!$B$30*INDEX(Curves!$B$4:$AO$4,1,66-Projects!$C$30+1)*Assumptions!$B$11*0.95+0.05*Projects!$B$30*Assumptions!$B$11,Projects!$B$30*INDEX(Curves!$B$4:$AO$4,1,66-Projects!$C$30+1)*Assumptions!$B$11*0.95),0)+IF(AND(Projects!$G$31="Yes",66&gt;=Projects!$C$31,66&lt;Projects!$C$31+Projects!$D$31),IF(66=Projects!$C$31+Projects!$D$31-1,Projects!$B$31*INDEX(Curves!$B$4:$AO$4,1,66-Projects!$C$31+1)*Assumptions!$B$11*0.95+0.05*Projects!$B$31*Assumptions!$B$11,Projects!$B$31*INDEX(Curves!$B$4:$AO$4,1,66-Projects!$C$31+1)*Assumptions!$B$11*0.95),0)+IF(AND(Projects!$G$32="Yes",66&gt;=Projects!$C$32,66&lt;Projects!$C$32+Projects!$D$32),IF(66=Projects!$C$32+Projects!$D$32-1,Projects!$B$32*INDEX(Curves!$B$4:$AO$4,1,66-Projects!$C$32+1)*Assumptions!$B$11*0.95+0.05*Projects!$B$32*Assumptions!$B$11,Projects!$B$32*INDEX(Curves!$B$4:$AO$4,1,66-Projects!$C$32+1)*Assumptions!$B$11*0.95),0)+IF(AND(Projects!$G$33="Yes",66&gt;=Projects!$C$33,66&lt;Projects!$C$33+Projects!$D$33),IF(66=Projects!$C$33+Projects!$D$33-1,Projects!$B$33*INDEX(Curves!$B$4:$AO$4,1,66-Projects!$C$33+1)*Assumptions!$B$11*0.95+0.05*Projects!$B$33*Assumptions!$B$11,Projects!$B$33*INDEX(Curves!$B$4:$AO$4,1,66-Projects!$C$33+1)*Assumptions!$B$11*0.95),0)+IF(AND(Projects!$G$34="Yes",66&gt;=Projects!$C$34,66&lt;Projects!$C$34+Projects!$D$34),IF(66=Projects!$C$34+Projects!$D$34-1,Projects!$B$34*INDEX(Curves!$B$4:$AO$4,1,66-Projects!$C$34+1)*Assumptions!$B$11*0.95+0.05*Projects!$B$34*Assumptions!$B$11,Projects!$B$34*INDEX(Curves!$B$4:$AO$4,1,66-Projects!$C$34+1)*Assumptions!$B$11*0.95),0)+IF(AND(Projects!$G$35="Yes",66&gt;=Projects!$C$35,66&lt;Projects!$C$35+Projects!$D$35),IF(66=Projects!$C$35+Projects!$D$35-1,Projects!$B$35*INDEX(Curves!$B$4:$AO$4,1,66-Projects!$C$35+1)*Assumptions!$B$11*0.95+0.05*Projects!$B$35*Assumptions!$B$11,Projects!$B$35*INDEX(Curves!$B$4:$AO$4,1,66-Projects!$C$35+1)*Assumptions!$B$11*0.95),0)+IF(AND(Projects!$G$36="Yes",66&gt;=Projects!$C$36,66&lt;Projects!$C$36+Projects!$D$36),IF(66=Projects!$C$36+Projects!$D$36-1,Projects!$B$36*INDEX(Curves!$B$4:$AO$4,1,66-Projects!$C$36+1)*Assumptions!$B$11*0.95+0.05*Projects!$B$36*Assumptions!$B$11,Projects!$B$36*INDEX(Curves!$B$4:$AO$4,1,66-Projects!$C$36+1)*Assumptions!$B$11*0.95),0)+IF(AND(Projects!$G$37="Yes",66&gt;=Projects!$C$37,66&lt;Projects!$C$37+Projects!$D$37),IF(66=Projects!$C$37+Projects!$D$37-1,Projects!$B$37*INDEX(Curves!$B$4:$AO$4,1,66-Projects!$C$37+1)*Assumptions!$B$11*0.95+0.05*Projects!$B$37*Assumptions!$B$11,Projects!$B$37*INDEX(Curves!$B$4:$AO$4,1,66-Projects!$C$37+1)*Assumptions!$B$11*0.95),0)+IF(AND(Projects!$G$38="Yes",66&gt;=Projects!$C$38,66&lt;Projects!$C$38+Projects!$D$38),IF(66=Projects!$C$38+Projects!$D$38-1,Projects!$B$38*INDEX(Curves!$B$4:$AO$4,1,66-Projects!$C$38+1)*Assumptions!$B$11*0.95+0.05*Projects!$B$38*Assumptions!$B$11,Projects!$B$38*INDEX(Curves!$B$4:$AO$4,1,66-Projects!$C$38+1)*Assumptions!$B$11*0.95),0)+IF(AND(Projects!$G$39="Yes",66&gt;=Projects!$C$39,66&lt;Projects!$C$39+Projects!$D$39),IF(66=Projects!$C$39+Projects!$D$39-1,Projects!$B$39*INDEX(Curves!$B$4:$AO$4,1,66-Projects!$C$39+1)*Assumptions!$B$11*0.95+0.05*Projects!$B$39*Assumptions!$B$11,Projects!$B$39*INDEX(Curves!$B$4:$AO$4,1,66-Projects!$C$39+1)*Assumptions!$B$11*0.95),0)+IF(AND(Projects!$G$40="Yes",66&gt;=Projects!$C$40,66&lt;Projects!$C$40+Projects!$D$40),IF(66=Projects!$C$40+Projects!$D$40-1,Projects!$B$40*INDEX(Curves!$B$4:$AO$4,1,66-Projects!$C$40+1)*Assumptions!$B$11*0.95+0.05*Projects!$B$40*Assumptions!$B$11,Projects!$B$40*INDEX(Curves!$B$4:$AO$4,1,66-Projects!$C$40+1)*Assumptions!$B$11*0.95),0)+IF(AND(Projects!$G$41="Yes",66&gt;=Projects!$C$41,66&lt;Projects!$C$41+Projects!$D$41),IF(66=Projects!$C$41+Projects!$D$41-1,Projects!$B$41*INDEX(Curves!$B$4:$AO$4,1,66-Projects!$C$41+1)*Assumptions!$B$11*0.95+0.05*Projects!$B$41*Assumptions!$B$11,Projects!$B$41*INDEX(Curves!$B$4:$AO$4,1,66-Projects!$C$41+1)*Assumptions!$B$11*0.95),0)+IF(AND(Projects!$G$42="Yes",66&gt;=Projects!$C$42,66&lt;Projects!$C$42+Projects!$D$42),IF(66=Projects!$C$42+Projects!$D$42-1,Projects!$B$42*INDEX(Curves!$B$4:$AO$4,1,66-Projects!$C$42+1)*Assumptions!$B$11*0.95+0.05*Projects!$B$42*Assumptions!$B$11,Projects!$B$42*INDEX(Curves!$B$4:$AO$4,1,66-Projects!$C$42+1)*Assumptions!$B$11*0.95),0)+IF(AND(Projects!$G$43="Yes",66&gt;=Projects!$C$43,66&lt;Projects!$C$43+Projects!$D$43),IF(66=Projects!$C$43+Projects!$D$43-1,Projects!$B$43*INDEX(Curves!$B$4:$AO$4,1,66-Projects!$C$43+1)*Assumptions!$B$11*0.95+0.05*Projects!$B$43*Assumptions!$B$11,Projects!$B$43*INDEX(Curves!$B$4:$AO$4,1,66-Projects!$C$43+1)*Assumptions!$B$11*0.95),0)+IF(AND(Projects!$G$44="Yes",66&gt;=Projects!$C$44,66&lt;Projects!$C$44+Projects!$D$44),IF(66=Projects!$C$44+Projects!$D$44-1,Projects!$B$44*INDEX(Curves!$B$4:$AO$4,1,66-Projects!$C$44+1)*Assumptions!$B$11*0.95+0.05*Projects!$B$44*Assumptions!$B$11,Projects!$B$44*INDEX(Curves!$B$4:$AO$4,1,66-Projects!$C$44+1)*Assumptions!$B$11*0.95),0)+IF(AND(Projects!$G$45="Yes",66&gt;=Projects!$C$45,66&lt;Projects!$C$45+Projects!$D$45),IF(66=Projects!$C$45+Projects!$D$45-1,Projects!$B$45*INDEX(Curves!$B$4:$AO$4,1,66-Projects!$C$45+1)*Assumptions!$B$11*0.95+0.05*Projects!$B$45*Assumptions!$B$11,Projects!$B$45*INDEX(Curves!$B$4:$AO$4,1,66-Projects!$C$45+1)*Assumptions!$B$11*0.95),0)+IF(AND(Projects!$G$46="Yes",66&gt;=Projects!$C$46,66&lt;Projects!$C$46+Projects!$D$46),IF(66=Projects!$C$46+Projects!$D$46-1,Projects!$B$46*INDEX(Curves!$B$4:$AO$4,1,66-Projects!$C$46+1)*Assumptions!$B$11*0.95+0.05*Projects!$B$46*Assumptions!$B$11,Projects!$B$46*INDEX(Curves!$B$4:$AO$4,1,66-Projects!$C$46+1)*Assumptions!$B$11*0.95),0)</f>
        <v/>
      </c>
      <c r="BQ109">
        <f>IF(AND(Projects!$G$30="Yes",67&gt;=Projects!$C$30,67&lt;Projects!$C$30+Projects!$D$30),IF(67=Projects!$C$30+Projects!$D$30-1,Projects!$B$30*INDEX(Curves!$B$4:$AO$4,1,67-Projects!$C$30+1)*Assumptions!$B$11*0.95+0.05*Projects!$B$30*Assumptions!$B$11,Projects!$B$30*INDEX(Curves!$B$4:$AO$4,1,67-Projects!$C$30+1)*Assumptions!$B$11*0.95),0)+IF(AND(Projects!$G$31="Yes",67&gt;=Projects!$C$31,67&lt;Projects!$C$31+Projects!$D$31),IF(67=Projects!$C$31+Projects!$D$31-1,Projects!$B$31*INDEX(Curves!$B$4:$AO$4,1,67-Projects!$C$31+1)*Assumptions!$B$11*0.95+0.05*Projects!$B$31*Assumptions!$B$11,Projects!$B$31*INDEX(Curves!$B$4:$AO$4,1,67-Projects!$C$31+1)*Assumptions!$B$11*0.95),0)+IF(AND(Projects!$G$32="Yes",67&gt;=Projects!$C$32,67&lt;Projects!$C$32+Projects!$D$32),IF(67=Projects!$C$32+Projects!$D$32-1,Projects!$B$32*INDEX(Curves!$B$4:$AO$4,1,67-Projects!$C$32+1)*Assumptions!$B$11*0.95+0.05*Projects!$B$32*Assumptions!$B$11,Projects!$B$32*INDEX(Curves!$B$4:$AO$4,1,67-Projects!$C$32+1)*Assumptions!$B$11*0.95),0)+IF(AND(Projects!$G$33="Yes",67&gt;=Projects!$C$33,67&lt;Projects!$C$33+Projects!$D$33),IF(67=Projects!$C$33+Projects!$D$33-1,Projects!$B$33*INDEX(Curves!$B$4:$AO$4,1,67-Projects!$C$33+1)*Assumptions!$B$11*0.95+0.05*Projects!$B$33*Assumptions!$B$11,Projects!$B$33*INDEX(Curves!$B$4:$AO$4,1,67-Projects!$C$33+1)*Assumptions!$B$11*0.95),0)+IF(AND(Projects!$G$34="Yes",67&gt;=Projects!$C$34,67&lt;Projects!$C$34+Projects!$D$34),IF(67=Projects!$C$34+Projects!$D$34-1,Projects!$B$34*INDEX(Curves!$B$4:$AO$4,1,67-Projects!$C$34+1)*Assumptions!$B$11*0.95+0.05*Projects!$B$34*Assumptions!$B$11,Projects!$B$34*INDEX(Curves!$B$4:$AO$4,1,67-Projects!$C$34+1)*Assumptions!$B$11*0.95),0)+IF(AND(Projects!$G$35="Yes",67&gt;=Projects!$C$35,67&lt;Projects!$C$35+Projects!$D$35),IF(67=Projects!$C$35+Projects!$D$35-1,Projects!$B$35*INDEX(Curves!$B$4:$AO$4,1,67-Projects!$C$35+1)*Assumptions!$B$11*0.95+0.05*Projects!$B$35*Assumptions!$B$11,Projects!$B$35*INDEX(Curves!$B$4:$AO$4,1,67-Projects!$C$35+1)*Assumptions!$B$11*0.95),0)+IF(AND(Projects!$G$36="Yes",67&gt;=Projects!$C$36,67&lt;Projects!$C$36+Projects!$D$36),IF(67=Projects!$C$36+Projects!$D$36-1,Projects!$B$36*INDEX(Curves!$B$4:$AO$4,1,67-Projects!$C$36+1)*Assumptions!$B$11*0.95+0.05*Projects!$B$36*Assumptions!$B$11,Projects!$B$36*INDEX(Curves!$B$4:$AO$4,1,67-Projects!$C$36+1)*Assumptions!$B$11*0.95),0)+IF(AND(Projects!$G$37="Yes",67&gt;=Projects!$C$37,67&lt;Projects!$C$37+Projects!$D$37),IF(67=Projects!$C$37+Projects!$D$37-1,Projects!$B$37*INDEX(Curves!$B$4:$AO$4,1,67-Projects!$C$37+1)*Assumptions!$B$11*0.95+0.05*Projects!$B$37*Assumptions!$B$11,Projects!$B$37*INDEX(Curves!$B$4:$AO$4,1,67-Projects!$C$37+1)*Assumptions!$B$11*0.95),0)+IF(AND(Projects!$G$38="Yes",67&gt;=Projects!$C$38,67&lt;Projects!$C$38+Projects!$D$38),IF(67=Projects!$C$38+Projects!$D$38-1,Projects!$B$38*INDEX(Curves!$B$4:$AO$4,1,67-Projects!$C$38+1)*Assumptions!$B$11*0.95+0.05*Projects!$B$38*Assumptions!$B$11,Projects!$B$38*INDEX(Curves!$B$4:$AO$4,1,67-Projects!$C$38+1)*Assumptions!$B$11*0.95),0)+IF(AND(Projects!$G$39="Yes",67&gt;=Projects!$C$39,67&lt;Projects!$C$39+Projects!$D$39),IF(67=Projects!$C$39+Projects!$D$39-1,Projects!$B$39*INDEX(Curves!$B$4:$AO$4,1,67-Projects!$C$39+1)*Assumptions!$B$11*0.95+0.05*Projects!$B$39*Assumptions!$B$11,Projects!$B$39*INDEX(Curves!$B$4:$AO$4,1,67-Projects!$C$39+1)*Assumptions!$B$11*0.95),0)+IF(AND(Projects!$G$40="Yes",67&gt;=Projects!$C$40,67&lt;Projects!$C$40+Projects!$D$40),IF(67=Projects!$C$40+Projects!$D$40-1,Projects!$B$40*INDEX(Curves!$B$4:$AO$4,1,67-Projects!$C$40+1)*Assumptions!$B$11*0.95+0.05*Projects!$B$40*Assumptions!$B$11,Projects!$B$40*INDEX(Curves!$B$4:$AO$4,1,67-Projects!$C$40+1)*Assumptions!$B$11*0.95),0)+IF(AND(Projects!$G$41="Yes",67&gt;=Projects!$C$41,67&lt;Projects!$C$41+Projects!$D$41),IF(67=Projects!$C$41+Projects!$D$41-1,Projects!$B$41*INDEX(Curves!$B$4:$AO$4,1,67-Projects!$C$41+1)*Assumptions!$B$11*0.95+0.05*Projects!$B$41*Assumptions!$B$11,Projects!$B$41*INDEX(Curves!$B$4:$AO$4,1,67-Projects!$C$41+1)*Assumptions!$B$11*0.95),0)+IF(AND(Projects!$G$42="Yes",67&gt;=Projects!$C$42,67&lt;Projects!$C$42+Projects!$D$42),IF(67=Projects!$C$42+Projects!$D$42-1,Projects!$B$42*INDEX(Curves!$B$4:$AO$4,1,67-Projects!$C$42+1)*Assumptions!$B$11*0.95+0.05*Projects!$B$42*Assumptions!$B$11,Projects!$B$42*INDEX(Curves!$B$4:$AO$4,1,67-Projects!$C$42+1)*Assumptions!$B$11*0.95),0)+IF(AND(Projects!$G$43="Yes",67&gt;=Projects!$C$43,67&lt;Projects!$C$43+Projects!$D$43),IF(67=Projects!$C$43+Projects!$D$43-1,Projects!$B$43*INDEX(Curves!$B$4:$AO$4,1,67-Projects!$C$43+1)*Assumptions!$B$11*0.95+0.05*Projects!$B$43*Assumptions!$B$11,Projects!$B$43*INDEX(Curves!$B$4:$AO$4,1,67-Projects!$C$43+1)*Assumptions!$B$11*0.95),0)+IF(AND(Projects!$G$44="Yes",67&gt;=Projects!$C$44,67&lt;Projects!$C$44+Projects!$D$44),IF(67=Projects!$C$44+Projects!$D$44-1,Projects!$B$44*INDEX(Curves!$B$4:$AO$4,1,67-Projects!$C$44+1)*Assumptions!$B$11*0.95+0.05*Projects!$B$44*Assumptions!$B$11,Projects!$B$44*INDEX(Curves!$B$4:$AO$4,1,67-Projects!$C$44+1)*Assumptions!$B$11*0.95),0)+IF(AND(Projects!$G$45="Yes",67&gt;=Projects!$C$45,67&lt;Projects!$C$45+Projects!$D$45),IF(67=Projects!$C$45+Projects!$D$45-1,Projects!$B$45*INDEX(Curves!$B$4:$AO$4,1,67-Projects!$C$45+1)*Assumptions!$B$11*0.95+0.05*Projects!$B$45*Assumptions!$B$11,Projects!$B$45*INDEX(Curves!$B$4:$AO$4,1,67-Projects!$C$45+1)*Assumptions!$B$11*0.95),0)+IF(AND(Projects!$G$46="Yes",67&gt;=Projects!$C$46,67&lt;Projects!$C$46+Projects!$D$46),IF(67=Projects!$C$46+Projects!$D$46-1,Projects!$B$46*INDEX(Curves!$B$4:$AO$4,1,67-Projects!$C$46+1)*Assumptions!$B$11*0.95+0.05*Projects!$B$46*Assumptions!$B$11,Projects!$B$46*INDEX(Curves!$B$4:$AO$4,1,67-Projects!$C$46+1)*Assumptions!$B$11*0.95),0)</f>
        <v/>
      </c>
      <c r="BR109">
        <f>IF(AND(Projects!$G$30="Yes",68&gt;=Projects!$C$30,68&lt;Projects!$C$30+Projects!$D$30),IF(68=Projects!$C$30+Projects!$D$30-1,Projects!$B$30*INDEX(Curves!$B$4:$AO$4,1,68-Projects!$C$30+1)*Assumptions!$B$11*0.95+0.05*Projects!$B$30*Assumptions!$B$11,Projects!$B$30*INDEX(Curves!$B$4:$AO$4,1,68-Projects!$C$30+1)*Assumptions!$B$11*0.95),0)+IF(AND(Projects!$G$31="Yes",68&gt;=Projects!$C$31,68&lt;Projects!$C$31+Projects!$D$31),IF(68=Projects!$C$31+Projects!$D$31-1,Projects!$B$31*INDEX(Curves!$B$4:$AO$4,1,68-Projects!$C$31+1)*Assumptions!$B$11*0.95+0.05*Projects!$B$31*Assumptions!$B$11,Projects!$B$31*INDEX(Curves!$B$4:$AO$4,1,68-Projects!$C$31+1)*Assumptions!$B$11*0.95),0)+IF(AND(Projects!$G$32="Yes",68&gt;=Projects!$C$32,68&lt;Projects!$C$32+Projects!$D$32),IF(68=Projects!$C$32+Projects!$D$32-1,Projects!$B$32*INDEX(Curves!$B$4:$AO$4,1,68-Projects!$C$32+1)*Assumptions!$B$11*0.95+0.05*Projects!$B$32*Assumptions!$B$11,Projects!$B$32*INDEX(Curves!$B$4:$AO$4,1,68-Projects!$C$32+1)*Assumptions!$B$11*0.95),0)+IF(AND(Projects!$G$33="Yes",68&gt;=Projects!$C$33,68&lt;Projects!$C$33+Projects!$D$33),IF(68=Projects!$C$33+Projects!$D$33-1,Projects!$B$33*INDEX(Curves!$B$4:$AO$4,1,68-Projects!$C$33+1)*Assumptions!$B$11*0.95+0.05*Projects!$B$33*Assumptions!$B$11,Projects!$B$33*INDEX(Curves!$B$4:$AO$4,1,68-Projects!$C$33+1)*Assumptions!$B$11*0.95),0)+IF(AND(Projects!$G$34="Yes",68&gt;=Projects!$C$34,68&lt;Projects!$C$34+Projects!$D$34),IF(68=Projects!$C$34+Projects!$D$34-1,Projects!$B$34*INDEX(Curves!$B$4:$AO$4,1,68-Projects!$C$34+1)*Assumptions!$B$11*0.95+0.05*Projects!$B$34*Assumptions!$B$11,Projects!$B$34*INDEX(Curves!$B$4:$AO$4,1,68-Projects!$C$34+1)*Assumptions!$B$11*0.95),0)+IF(AND(Projects!$G$35="Yes",68&gt;=Projects!$C$35,68&lt;Projects!$C$35+Projects!$D$35),IF(68=Projects!$C$35+Projects!$D$35-1,Projects!$B$35*INDEX(Curves!$B$4:$AO$4,1,68-Projects!$C$35+1)*Assumptions!$B$11*0.95+0.05*Projects!$B$35*Assumptions!$B$11,Projects!$B$35*INDEX(Curves!$B$4:$AO$4,1,68-Projects!$C$35+1)*Assumptions!$B$11*0.95),0)+IF(AND(Projects!$G$36="Yes",68&gt;=Projects!$C$36,68&lt;Projects!$C$36+Projects!$D$36),IF(68=Projects!$C$36+Projects!$D$36-1,Projects!$B$36*INDEX(Curves!$B$4:$AO$4,1,68-Projects!$C$36+1)*Assumptions!$B$11*0.95+0.05*Projects!$B$36*Assumptions!$B$11,Projects!$B$36*INDEX(Curves!$B$4:$AO$4,1,68-Projects!$C$36+1)*Assumptions!$B$11*0.95),0)+IF(AND(Projects!$G$37="Yes",68&gt;=Projects!$C$37,68&lt;Projects!$C$37+Projects!$D$37),IF(68=Projects!$C$37+Projects!$D$37-1,Projects!$B$37*INDEX(Curves!$B$4:$AO$4,1,68-Projects!$C$37+1)*Assumptions!$B$11*0.95+0.05*Projects!$B$37*Assumptions!$B$11,Projects!$B$37*INDEX(Curves!$B$4:$AO$4,1,68-Projects!$C$37+1)*Assumptions!$B$11*0.95),0)+IF(AND(Projects!$G$38="Yes",68&gt;=Projects!$C$38,68&lt;Projects!$C$38+Projects!$D$38),IF(68=Projects!$C$38+Projects!$D$38-1,Projects!$B$38*INDEX(Curves!$B$4:$AO$4,1,68-Projects!$C$38+1)*Assumptions!$B$11*0.95+0.05*Projects!$B$38*Assumptions!$B$11,Projects!$B$38*INDEX(Curves!$B$4:$AO$4,1,68-Projects!$C$38+1)*Assumptions!$B$11*0.95),0)+IF(AND(Projects!$G$39="Yes",68&gt;=Projects!$C$39,68&lt;Projects!$C$39+Projects!$D$39),IF(68=Projects!$C$39+Projects!$D$39-1,Projects!$B$39*INDEX(Curves!$B$4:$AO$4,1,68-Projects!$C$39+1)*Assumptions!$B$11*0.95+0.05*Projects!$B$39*Assumptions!$B$11,Projects!$B$39*INDEX(Curves!$B$4:$AO$4,1,68-Projects!$C$39+1)*Assumptions!$B$11*0.95),0)+IF(AND(Projects!$G$40="Yes",68&gt;=Projects!$C$40,68&lt;Projects!$C$40+Projects!$D$40),IF(68=Projects!$C$40+Projects!$D$40-1,Projects!$B$40*INDEX(Curves!$B$4:$AO$4,1,68-Projects!$C$40+1)*Assumptions!$B$11*0.95+0.05*Projects!$B$40*Assumptions!$B$11,Projects!$B$40*INDEX(Curves!$B$4:$AO$4,1,68-Projects!$C$40+1)*Assumptions!$B$11*0.95),0)+IF(AND(Projects!$G$41="Yes",68&gt;=Projects!$C$41,68&lt;Projects!$C$41+Projects!$D$41),IF(68=Projects!$C$41+Projects!$D$41-1,Projects!$B$41*INDEX(Curves!$B$4:$AO$4,1,68-Projects!$C$41+1)*Assumptions!$B$11*0.95+0.05*Projects!$B$41*Assumptions!$B$11,Projects!$B$41*INDEX(Curves!$B$4:$AO$4,1,68-Projects!$C$41+1)*Assumptions!$B$11*0.95),0)+IF(AND(Projects!$G$42="Yes",68&gt;=Projects!$C$42,68&lt;Projects!$C$42+Projects!$D$42),IF(68=Projects!$C$42+Projects!$D$42-1,Projects!$B$42*INDEX(Curves!$B$4:$AO$4,1,68-Projects!$C$42+1)*Assumptions!$B$11*0.95+0.05*Projects!$B$42*Assumptions!$B$11,Projects!$B$42*INDEX(Curves!$B$4:$AO$4,1,68-Projects!$C$42+1)*Assumptions!$B$11*0.95),0)+IF(AND(Projects!$G$43="Yes",68&gt;=Projects!$C$43,68&lt;Projects!$C$43+Projects!$D$43),IF(68=Projects!$C$43+Projects!$D$43-1,Projects!$B$43*INDEX(Curves!$B$4:$AO$4,1,68-Projects!$C$43+1)*Assumptions!$B$11*0.95+0.05*Projects!$B$43*Assumptions!$B$11,Projects!$B$43*INDEX(Curves!$B$4:$AO$4,1,68-Projects!$C$43+1)*Assumptions!$B$11*0.95),0)+IF(AND(Projects!$G$44="Yes",68&gt;=Projects!$C$44,68&lt;Projects!$C$44+Projects!$D$44),IF(68=Projects!$C$44+Projects!$D$44-1,Projects!$B$44*INDEX(Curves!$B$4:$AO$4,1,68-Projects!$C$44+1)*Assumptions!$B$11*0.95+0.05*Projects!$B$44*Assumptions!$B$11,Projects!$B$44*INDEX(Curves!$B$4:$AO$4,1,68-Projects!$C$44+1)*Assumptions!$B$11*0.95),0)+IF(AND(Projects!$G$45="Yes",68&gt;=Projects!$C$45,68&lt;Projects!$C$45+Projects!$D$45),IF(68=Projects!$C$45+Projects!$D$45-1,Projects!$B$45*INDEX(Curves!$B$4:$AO$4,1,68-Projects!$C$45+1)*Assumptions!$B$11*0.95+0.05*Projects!$B$45*Assumptions!$B$11,Projects!$B$45*INDEX(Curves!$B$4:$AO$4,1,68-Projects!$C$45+1)*Assumptions!$B$11*0.95),0)+IF(AND(Projects!$G$46="Yes",68&gt;=Projects!$C$46,68&lt;Projects!$C$46+Projects!$D$46),IF(68=Projects!$C$46+Projects!$D$46-1,Projects!$B$46*INDEX(Curves!$B$4:$AO$4,1,68-Projects!$C$46+1)*Assumptions!$B$11*0.95+0.05*Projects!$B$46*Assumptions!$B$11,Projects!$B$46*INDEX(Curves!$B$4:$AO$4,1,68-Projects!$C$46+1)*Assumptions!$B$11*0.95),0)</f>
        <v/>
      </c>
      <c r="BS109">
        <f>IF(AND(Projects!$G$30="Yes",69&gt;=Projects!$C$30,69&lt;Projects!$C$30+Projects!$D$30),IF(69=Projects!$C$30+Projects!$D$30-1,Projects!$B$30*INDEX(Curves!$B$4:$AO$4,1,69-Projects!$C$30+1)*Assumptions!$B$11*0.95+0.05*Projects!$B$30*Assumptions!$B$11,Projects!$B$30*INDEX(Curves!$B$4:$AO$4,1,69-Projects!$C$30+1)*Assumptions!$B$11*0.95),0)+IF(AND(Projects!$G$31="Yes",69&gt;=Projects!$C$31,69&lt;Projects!$C$31+Projects!$D$31),IF(69=Projects!$C$31+Projects!$D$31-1,Projects!$B$31*INDEX(Curves!$B$4:$AO$4,1,69-Projects!$C$31+1)*Assumptions!$B$11*0.95+0.05*Projects!$B$31*Assumptions!$B$11,Projects!$B$31*INDEX(Curves!$B$4:$AO$4,1,69-Projects!$C$31+1)*Assumptions!$B$11*0.95),0)+IF(AND(Projects!$G$32="Yes",69&gt;=Projects!$C$32,69&lt;Projects!$C$32+Projects!$D$32),IF(69=Projects!$C$32+Projects!$D$32-1,Projects!$B$32*INDEX(Curves!$B$4:$AO$4,1,69-Projects!$C$32+1)*Assumptions!$B$11*0.95+0.05*Projects!$B$32*Assumptions!$B$11,Projects!$B$32*INDEX(Curves!$B$4:$AO$4,1,69-Projects!$C$32+1)*Assumptions!$B$11*0.95),0)+IF(AND(Projects!$G$33="Yes",69&gt;=Projects!$C$33,69&lt;Projects!$C$33+Projects!$D$33),IF(69=Projects!$C$33+Projects!$D$33-1,Projects!$B$33*INDEX(Curves!$B$4:$AO$4,1,69-Projects!$C$33+1)*Assumptions!$B$11*0.95+0.05*Projects!$B$33*Assumptions!$B$11,Projects!$B$33*INDEX(Curves!$B$4:$AO$4,1,69-Projects!$C$33+1)*Assumptions!$B$11*0.95),0)+IF(AND(Projects!$G$34="Yes",69&gt;=Projects!$C$34,69&lt;Projects!$C$34+Projects!$D$34),IF(69=Projects!$C$34+Projects!$D$34-1,Projects!$B$34*INDEX(Curves!$B$4:$AO$4,1,69-Projects!$C$34+1)*Assumptions!$B$11*0.95+0.05*Projects!$B$34*Assumptions!$B$11,Projects!$B$34*INDEX(Curves!$B$4:$AO$4,1,69-Projects!$C$34+1)*Assumptions!$B$11*0.95),0)+IF(AND(Projects!$G$35="Yes",69&gt;=Projects!$C$35,69&lt;Projects!$C$35+Projects!$D$35),IF(69=Projects!$C$35+Projects!$D$35-1,Projects!$B$35*INDEX(Curves!$B$4:$AO$4,1,69-Projects!$C$35+1)*Assumptions!$B$11*0.95+0.05*Projects!$B$35*Assumptions!$B$11,Projects!$B$35*INDEX(Curves!$B$4:$AO$4,1,69-Projects!$C$35+1)*Assumptions!$B$11*0.95),0)+IF(AND(Projects!$G$36="Yes",69&gt;=Projects!$C$36,69&lt;Projects!$C$36+Projects!$D$36),IF(69=Projects!$C$36+Projects!$D$36-1,Projects!$B$36*INDEX(Curves!$B$4:$AO$4,1,69-Projects!$C$36+1)*Assumptions!$B$11*0.95+0.05*Projects!$B$36*Assumptions!$B$11,Projects!$B$36*INDEX(Curves!$B$4:$AO$4,1,69-Projects!$C$36+1)*Assumptions!$B$11*0.95),0)+IF(AND(Projects!$G$37="Yes",69&gt;=Projects!$C$37,69&lt;Projects!$C$37+Projects!$D$37),IF(69=Projects!$C$37+Projects!$D$37-1,Projects!$B$37*INDEX(Curves!$B$4:$AO$4,1,69-Projects!$C$37+1)*Assumptions!$B$11*0.95+0.05*Projects!$B$37*Assumptions!$B$11,Projects!$B$37*INDEX(Curves!$B$4:$AO$4,1,69-Projects!$C$37+1)*Assumptions!$B$11*0.95),0)+IF(AND(Projects!$G$38="Yes",69&gt;=Projects!$C$38,69&lt;Projects!$C$38+Projects!$D$38),IF(69=Projects!$C$38+Projects!$D$38-1,Projects!$B$38*INDEX(Curves!$B$4:$AO$4,1,69-Projects!$C$38+1)*Assumptions!$B$11*0.95+0.05*Projects!$B$38*Assumptions!$B$11,Projects!$B$38*INDEX(Curves!$B$4:$AO$4,1,69-Projects!$C$38+1)*Assumptions!$B$11*0.95),0)+IF(AND(Projects!$G$39="Yes",69&gt;=Projects!$C$39,69&lt;Projects!$C$39+Projects!$D$39),IF(69=Projects!$C$39+Projects!$D$39-1,Projects!$B$39*INDEX(Curves!$B$4:$AO$4,1,69-Projects!$C$39+1)*Assumptions!$B$11*0.95+0.05*Projects!$B$39*Assumptions!$B$11,Projects!$B$39*INDEX(Curves!$B$4:$AO$4,1,69-Projects!$C$39+1)*Assumptions!$B$11*0.95),0)+IF(AND(Projects!$G$40="Yes",69&gt;=Projects!$C$40,69&lt;Projects!$C$40+Projects!$D$40),IF(69=Projects!$C$40+Projects!$D$40-1,Projects!$B$40*INDEX(Curves!$B$4:$AO$4,1,69-Projects!$C$40+1)*Assumptions!$B$11*0.95+0.05*Projects!$B$40*Assumptions!$B$11,Projects!$B$40*INDEX(Curves!$B$4:$AO$4,1,69-Projects!$C$40+1)*Assumptions!$B$11*0.95),0)+IF(AND(Projects!$G$41="Yes",69&gt;=Projects!$C$41,69&lt;Projects!$C$41+Projects!$D$41),IF(69=Projects!$C$41+Projects!$D$41-1,Projects!$B$41*INDEX(Curves!$B$4:$AO$4,1,69-Projects!$C$41+1)*Assumptions!$B$11*0.95+0.05*Projects!$B$41*Assumptions!$B$11,Projects!$B$41*INDEX(Curves!$B$4:$AO$4,1,69-Projects!$C$41+1)*Assumptions!$B$11*0.95),0)+IF(AND(Projects!$G$42="Yes",69&gt;=Projects!$C$42,69&lt;Projects!$C$42+Projects!$D$42),IF(69=Projects!$C$42+Projects!$D$42-1,Projects!$B$42*INDEX(Curves!$B$4:$AO$4,1,69-Projects!$C$42+1)*Assumptions!$B$11*0.95+0.05*Projects!$B$42*Assumptions!$B$11,Projects!$B$42*INDEX(Curves!$B$4:$AO$4,1,69-Projects!$C$42+1)*Assumptions!$B$11*0.95),0)+IF(AND(Projects!$G$43="Yes",69&gt;=Projects!$C$43,69&lt;Projects!$C$43+Projects!$D$43),IF(69=Projects!$C$43+Projects!$D$43-1,Projects!$B$43*INDEX(Curves!$B$4:$AO$4,1,69-Projects!$C$43+1)*Assumptions!$B$11*0.95+0.05*Projects!$B$43*Assumptions!$B$11,Projects!$B$43*INDEX(Curves!$B$4:$AO$4,1,69-Projects!$C$43+1)*Assumptions!$B$11*0.95),0)+IF(AND(Projects!$G$44="Yes",69&gt;=Projects!$C$44,69&lt;Projects!$C$44+Projects!$D$44),IF(69=Projects!$C$44+Projects!$D$44-1,Projects!$B$44*INDEX(Curves!$B$4:$AO$4,1,69-Projects!$C$44+1)*Assumptions!$B$11*0.95+0.05*Projects!$B$44*Assumptions!$B$11,Projects!$B$44*INDEX(Curves!$B$4:$AO$4,1,69-Projects!$C$44+1)*Assumptions!$B$11*0.95),0)+IF(AND(Projects!$G$45="Yes",69&gt;=Projects!$C$45,69&lt;Projects!$C$45+Projects!$D$45),IF(69=Projects!$C$45+Projects!$D$45-1,Projects!$B$45*INDEX(Curves!$B$4:$AO$4,1,69-Projects!$C$45+1)*Assumptions!$B$11*0.95+0.05*Projects!$B$45*Assumptions!$B$11,Projects!$B$45*INDEX(Curves!$B$4:$AO$4,1,69-Projects!$C$45+1)*Assumptions!$B$11*0.95),0)+IF(AND(Projects!$G$46="Yes",69&gt;=Projects!$C$46,69&lt;Projects!$C$46+Projects!$D$46),IF(69=Projects!$C$46+Projects!$D$46-1,Projects!$B$46*INDEX(Curves!$B$4:$AO$4,1,69-Projects!$C$46+1)*Assumptions!$B$11*0.95+0.05*Projects!$B$46*Assumptions!$B$11,Projects!$B$46*INDEX(Curves!$B$4:$AO$4,1,69-Projects!$C$46+1)*Assumptions!$B$11*0.95),0)</f>
        <v/>
      </c>
      <c r="BT109">
        <f>IF(AND(Projects!$G$30="Yes",70&gt;=Projects!$C$30,70&lt;Projects!$C$30+Projects!$D$30),IF(70=Projects!$C$30+Projects!$D$30-1,Projects!$B$30*INDEX(Curves!$B$4:$AO$4,1,70-Projects!$C$30+1)*Assumptions!$B$11*0.95+0.05*Projects!$B$30*Assumptions!$B$11,Projects!$B$30*INDEX(Curves!$B$4:$AO$4,1,70-Projects!$C$30+1)*Assumptions!$B$11*0.95),0)+IF(AND(Projects!$G$31="Yes",70&gt;=Projects!$C$31,70&lt;Projects!$C$31+Projects!$D$31),IF(70=Projects!$C$31+Projects!$D$31-1,Projects!$B$31*INDEX(Curves!$B$4:$AO$4,1,70-Projects!$C$31+1)*Assumptions!$B$11*0.95+0.05*Projects!$B$31*Assumptions!$B$11,Projects!$B$31*INDEX(Curves!$B$4:$AO$4,1,70-Projects!$C$31+1)*Assumptions!$B$11*0.95),0)+IF(AND(Projects!$G$32="Yes",70&gt;=Projects!$C$32,70&lt;Projects!$C$32+Projects!$D$32),IF(70=Projects!$C$32+Projects!$D$32-1,Projects!$B$32*INDEX(Curves!$B$4:$AO$4,1,70-Projects!$C$32+1)*Assumptions!$B$11*0.95+0.05*Projects!$B$32*Assumptions!$B$11,Projects!$B$32*INDEX(Curves!$B$4:$AO$4,1,70-Projects!$C$32+1)*Assumptions!$B$11*0.95),0)+IF(AND(Projects!$G$33="Yes",70&gt;=Projects!$C$33,70&lt;Projects!$C$33+Projects!$D$33),IF(70=Projects!$C$33+Projects!$D$33-1,Projects!$B$33*INDEX(Curves!$B$4:$AO$4,1,70-Projects!$C$33+1)*Assumptions!$B$11*0.95+0.05*Projects!$B$33*Assumptions!$B$11,Projects!$B$33*INDEX(Curves!$B$4:$AO$4,1,70-Projects!$C$33+1)*Assumptions!$B$11*0.95),0)+IF(AND(Projects!$G$34="Yes",70&gt;=Projects!$C$34,70&lt;Projects!$C$34+Projects!$D$34),IF(70=Projects!$C$34+Projects!$D$34-1,Projects!$B$34*INDEX(Curves!$B$4:$AO$4,1,70-Projects!$C$34+1)*Assumptions!$B$11*0.95+0.05*Projects!$B$34*Assumptions!$B$11,Projects!$B$34*INDEX(Curves!$B$4:$AO$4,1,70-Projects!$C$34+1)*Assumptions!$B$11*0.95),0)+IF(AND(Projects!$G$35="Yes",70&gt;=Projects!$C$35,70&lt;Projects!$C$35+Projects!$D$35),IF(70=Projects!$C$35+Projects!$D$35-1,Projects!$B$35*INDEX(Curves!$B$4:$AO$4,1,70-Projects!$C$35+1)*Assumptions!$B$11*0.95+0.05*Projects!$B$35*Assumptions!$B$11,Projects!$B$35*INDEX(Curves!$B$4:$AO$4,1,70-Projects!$C$35+1)*Assumptions!$B$11*0.95),0)+IF(AND(Projects!$G$36="Yes",70&gt;=Projects!$C$36,70&lt;Projects!$C$36+Projects!$D$36),IF(70=Projects!$C$36+Projects!$D$36-1,Projects!$B$36*INDEX(Curves!$B$4:$AO$4,1,70-Projects!$C$36+1)*Assumptions!$B$11*0.95+0.05*Projects!$B$36*Assumptions!$B$11,Projects!$B$36*INDEX(Curves!$B$4:$AO$4,1,70-Projects!$C$36+1)*Assumptions!$B$11*0.95),0)+IF(AND(Projects!$G$37="Yes",70&gt;=Projects!$C$37,70&lt;Projects!$C$37+Projects!$D$37),IF(70=Projects!$C$37+Projects!$D$37-1,Projects!$B$37*INDEX(Curves!$B$4:$AO$4,1,70-Projects!$C$37+1)*Assumptions!$B$11*0.95+0.05*Projects!$B$37*Assumptions!$B$11,Projects!$B$37*INDEX(Curves!$B$4:$AO$4,1,70-Projects!$C$37+1)*Assumptions!$B$11*0.95),0)+IF(AND(Projects!$G$38="Yes",70&gt;=Projects!$C$38,70&lt;Projects!$C$38+Projects!$D$38),IF(70=Projects!$C$38+Projects!$D$38-1,Projects!$B$38*INDEX(Curves!$B$4:$AO$4,1,70-Projects!$C$38+1)*Assumptions!$B$11*0.95+0.05*Projects!$B$38*Assumptions!$B$11,Projects!$B$38*INDEX(Curves!$B$4:$AO$4,1,70-Projects!$C$38+1)*Assumptions!$B$11*0.95),0)+IF(AND(Projects!$G$39="Yes",70&gt;=Projects!$C$39,70&lt;Projects!$C$39+Projects!$D$39),IF(70=Projects!$C$39+Projects!$D$39-1,Projects!$B$39*INDEX(Curves!$B$4:$AO$4,1,70-Projects!$C$39+1)*Assumptions!$B$11*0.95+0.05*Projects!$B$39*Assumptions!$B$11,Projects!$B$39*INDEX(Curves!$B$4:$AO$4,1,70-Projects!$C$39+1)*Assumptions!$B$11*0.95),0)+IF(AND(Projects!$G$40="Yes",70&gt;=Projects!$C$40,70&lt;Projects!$C$40+Projects!$D$40),IF(70=Projects!$C$40+Projects!$D$40-1,Projects!$B$40*INDEX(Curves!$B$4:$AO$4,1,70-Projects!$C$40+1)*Assumptions!$B$11*0.95+0.05*Projects!$B$40*Assumptions!$B$11,Projects!$B$40*INDEX(Curves!$B$4:$AO$4,1,70-Projects!$C$40+1)*Assumptions!$B$11*0.95),0)+IF(AND(Projects!$G$41="Yes",70&gt;=Projects!$C$41,70&lt;Projects!$C$41+Projects!$D$41),IF(70=Projects!$C$41+Projects!$D$41-1,Projects!$B$41*INDEX(Curves!$B$4:$AO$4,1,70-Projects!$C$41+1)*Assumptions!$B$11*0.95+0.05*Projects!$B$41*Assumptions!$B$11,Projects!$B$41*INDEX(Curves!$B$4:$AO$4,1,70-Projects!$C$41+1)*Assumptions!$B$11*0.95),0)+IF(AND(Projects!$G$42="Yes",70&gt;=Projects!$C$42,70&lt;Projects!$C$42+Projects!$D$42),IF(70=Projects!$C$42+Projects!$D$42-1,Projects!$B$42*INDEX(Curves!$B$4:$AO$4,1,70-Projects!$C$42+1)*Assumptions!$B$11*0.95+0.05*Projects!$B$42*Assumptions!$B$11,Projects!$B$42*INDEX(Curves!$B$4:$AO$4,1,70-Projects!$C$42+1)*Assumptions!$B$11*0.95),0)+IF(AND(Projects!$G$43="Yes",70&gt;=Projects!$C$43,70&lt;Projects!$C$43+Projects!$D$43),IF(70=Projects!$C$43+Projects!$D$43-1,Projects!$B$43*INDEX(Curves!$B$4:$AO$4,1,70-Projects!$C$43+1)*Assumptions!$B$11*0.95+0.05*Projects!$B$43*Assumptions!$B$11,Projects!$B$43*INDEX(Curves!$B$4:$AO$4,1,70-Projects!$C$43+1)*Assumptions!$B$11*0.95),0)+IF(AND(Projects!$G$44="Yes",70&gt;=Projects!$C$44,70&lt;Projects!$C$44+Projects!$D$44),IF(70=Projects!$C$44+Projects!$D$44-1,Projects!$B$44*INDEX(Curves!$B$4:$AO$4,1,70-Projects!$C$44+1)*Assumptions!$B$11*0.95+0.05*Projects!$B$44*Assumptions!$B$11,Projects!$B$44*INDEX(Curves!$B$4:$AO$4,1,70-Projects!$C$44+1)*Assumptions!$B$11*0.95),0)+IF(AND(Projects!$G$45="Yes",70&gt;=Projects!$C$45,70&lt;Projects!$C$45+Projects!$D$45),IF(70=Projects!$C$45+Projects!$D$45-1,Projects!$B$45*INDEX(Curves!$B$4:$AO$4,1,70-Projects!$C$45+1)*Assumptions!$B$11*0.95+0.05*Projects!$B$45*Assumptions!$B$11,Projects!$B$45*INDEX(Curves!$B$4:$AO$4,1,70-Projects!$C$45+1)*Assumptions!$B$11*0.95),0)+IF(AND(Projects!$G$46="Yes",70&gt;=Projects!$C$46,70&lt;Projects!$C$46+Projects!$D$46),IF(70=Projects!$C$46+Projects!$D$46-1,Projects!$B$46*INDEX(Curves!$B$4:$AO$4,1,70-Projects!$C$46+1)*Assumptions!$B$11*0.95+0.05*Projects!$B$46*Assumptions!$B$11,Projects!$B$46*INDEX(Curves!$B$4:$AO$4,1,70-Projects!$C$46+1)*Assumptions!$B$11*0.95),0)</f>
        <v/>
      </c>
      <c r="BU109">
        <f>IF(AND(Projects!$G$30="Yes",71&gt;=Projects!$C$30,71&lt;Projects!$C$30+Projects!$D$30),IF(71=Projects!$C$30+Projects!$D$30-1,Projects!$B$30*INDEX(Curves!$B$4:$AO$4,1,71-Projects!$C$30+1)*Assumptions!$B$11*0.95+0.05*Projects!$B$30*Assumptions!$B$11,Projects!$B$30*INDEX(Curves!$B$4:$AO$4,1,71-Projects!$C$30+1)*Assumptions!$B$11*0.95),0)+IF(AND(Projects!$G$31="Yes",71&gt;=Projects!$C$31,71&lt;Projects!$C$31+Projects!$D$31),IF(71=Projects!$C$31+Projects!$D$31-1,Projects!$B$31*INDEX(Curves!$B$4:$AO$4,1,71-Projects!$C$31+1)*Assumptions!$B$11*0.95+0.05*Projects!$B$31*Assumptions!$B$11,Projects!$B$31*INDEX(Curves!$B$4:$AO$4,1,71-Projects!$C$31+1)*Assumptions!$B$11*0.95),0)+IF(AND(Projects!$G$32="Yes",71&gt;=Projects!$C$32,71&lt;Projects!$C$32+Projects!$D$32),IF(71=Projects!$C$32+Projects!$D$32-1,Projects!$B$32*INDEX(Curves!$B$4:$AO$4,1,71-Projects!$C$32+1)*Assumptions!$B$11*0.95+0.05*Projects!$B$32*Assumptions!$B$11,Projects!$B$32*INDEX(Curves!$B$4:$AO$4,1,71-Projects!$C$32+1)*Assumptions!$B$11*0.95),0)+IF(AND(Projects!$G$33="Yes",71&gt;=Projects!$C$33,71&lt;Projects!$C$33+Projects!$D$33),IF(71=Projects!$C$33+Projects!$D$33-1,Projects!$B$33*INDEX(Curves!$B$4:$AO$4,1,71-Projects!$C$33+1)*Assumptions!$B$11*0.95+0.05*Projects!$B$33*Assumptions!$B$11,Projects!$B$33*INDEX(Curves!$B$4:$AO$4,1,71-Projects!$C$33+1)*Assumptions!$B$11*0.95),0)+IF(AND(Projects!$G$34="Yes",71&gt;=Projects!$C$34,71&lt;Projects!$C$34+Projects!$D$34),IF(71=Projects!$C$34+Projects!$D$34-1,Projects!$B$34*INDEX(Curves!$B$4:$AO$4,1,71-Projects!$C$34+1)*Assumptions!$B$11*0.95+0.05*Projects!$B$34*Assumptions!$B$11,Projects!$B$34*INDEX(Curves!$B$4:$AO$4,1,71-Projects!$C$34+1)*Assumptions!$B$11*0.95),0)+IF(AND(Projects!$G$35="Yes",71&gt;=Projects!$C$35,71&lt;Projects!$C$35+Projects!$D$35),IF(71=Projects!$C$35+Projects!$D$35-1,Projects!$B$35*INDEX(Curves!$B$4:$AO$4,1,71-Projects!$C$35+1)*Assumptions!$B$11*0.95+0.05*Projects!$B$35*Assumptions!$B$11,Projects!$B$35*INDEX(Curves!$B$4:$AO$4,1,71-Projects!$C$35+1)*Assumptions!$B$11*0.95),0)+IF(AND(Projects!$G$36="Yes",71&gt;=Projects!$C$36,71&lt;Projects!$C$36+Projects!$D$36),IF(71=Projects!$C$36+Projects!$D$36-1,Projects!$B$36*INDEX(Curves!$B$4:$AO$4,1,71-Projects!$C$36+1)*Assumptions!$B$11*0.95+0.05*Projects!$B$36*Assumptions!$B$11,Projects!$B$36*INDEX(Curves!$B$4:$AO$4,1,71-Projects!$C$36+1)*Assumptions!$B$11*0.95),0)+IF(AND(Projects!$G$37="Yes",71&gt;=Projects!$C$37,71&lt;Projects!$C$37+Projects!$D$37),IF(71=Projects!$C$37+Projects!$D$37-1,Projects!$B$37*INDEX(Curves!$B$4:$AO$4,1,71-Projects!$C$37+1)*Assumptions!$B$11*0.95+0.05*Projects!$B$37*Assumptions!$B$11,Projects!$B$37*INDEX(Curves!$B$4:$AO$4,1,71-Projects!$C$37+1)*Assumptions!$B$11*0.95),0)+IF(AND(Projects!$G$38="Yes",71&gt;=Projects!$C$38,71&lt;Projects!$C$38+Projects!$D$38),IF(71=Projects!$C$38+Projects!$D$38-1,Projects!$B$38*INDEX(Curves!$B$4:$AO$4,1,71-Projects!$C$38+1)*Assumptions!$B$11*0.95+0.05*Projects!$B$38*Assumptions!$B$11,Projects!$B$38*INDEX(Curves!$B$4:$AO$4,1,71-Projects!$C$38+1)*Assumptions!$B$11*0.95),0)+IF(AND(Projects!$G$39="Yes",71&gt;=Projects!$C$39,71&lt;Projects!$C$39+Projects!$D$39),IF(71=Projects!$C$39+Projects!$D$39-1,Projects!$B$39*INDEX(Curves!$B$4:$AO$4,1,71-Projects!$C$39+1)*Assumptions!$B$11*0.95+0.05*Projects!$B$39*Assumptions!$B$11,Projects!$B$39*INDEX(Curves!$B$4:$AO$4,1,71-Projects!$C$39+1)*Assumptions!$B$11*0.95),0)+IF(AND(Projects!$G$40="Yes",71&gt;=Projects!$C$40,71&lt;Projects!$C$40+Projects!$D$40),IF(71=Projects!$C$40+Projects!$D$40-1,Projects!$B$40*INDEX(Curves!$B$4:$AO$4,1,71-Projects!$C$40+1)*Assumptions!$B$11*0.95+0.05*Projects!$B$40*Assumptions!$B$11,Projects!$B$40*INDEX(Curves!$B$4:$AO$4,1,71-Projects!$C$40+1)*Assumptions!$B$11*0.95),0)+IF(AND(Projects!$G$41="Yes",71&gt;=Projects!$C$41,71&lt;Projects!$C$41+Projects!$D$41),IF(71=Projects!$C$41+Projects!$D$41-1,Projects!$B$41*INDEX(Curves!$B$4:$AO$4,1,71-Projects!$C$41+1)*Assumptions!$B$11*0.95+0.05*Projects!$B$41*Assumptions!$B$11,Projects!$B$41*INDEX(Curves!$B$4:$AO$4,1,71-Projects!$C$41+1)*Assumptions!$B$11*0.95),0)+IF(AND(Projects!$G$42="Yes",71&gt;=Projects!$C$42,71&lt;Projects!$C$42+Projects!$D$42),IF(71=Projects!$C$42+Projects!$D$42-1,Projects!$B$42*INDEX(Curves!$B$4:$AO$4,1,71-Projects!$C$42+1)*Assumptions!$B$11*0.95+0.05*Projects!$B$42*Assumptions!$B$11,Projects!$B$42*INDEX(Curves!$B$4:$AO$4,1,71-Projects!$C$42+1)*Assumptions!$B$11*0.95),0)+IF(AND(Projects!$G$43="Yes",71&gt;=Projects!$C$43,71&lt;Projects!$C$43+Projects!$D$43),IF(71=Projects!$C$43+Projects!$D$43-1,Projects!$B$43*INDEX(Curves!$B$4:$AO$4,1,71-Projects!$C$43+1)*Assumptions!$B$11*0.95+0.05*Projects!$B$43*Assumptions!$B$11,Projects!$B$43*INDEX(Curves!$B$4:$AO$4,1,71-Projects!$C$43+1)*Assumptions!$B$11*0.95),0)+IF(AND(Projects!$G$44="Yes",71&gt;=Projects!$C$44,71&lt;Projects!$C$44+Projects!$D$44),IF(71=Projects!$C$44+Projects!$D$44-1,Projects!$B$44*INDEX(Curves!$B$4:$AO$4,1,71-Projects!$C$44+1)*Assumptions!$B$11*0.95+0.05*Projects!$B$44*Assumptions!$B$11,Projects!$B$44*INDEX(Curves!$B$4:$AO$4,1,71-Projects!$C$44+1)*Assumptions!$B$11*0.95),0)+IF(AND(Projects!$G$45="Yes",71&gt;=Projects!$C$45,71&lt;Projects!$C$45+Projects!$D$45),IF(71=Projects!$C$45+Projects!$D$45-1,Projects!$B$45*INDEX(Curves!$B$4:$AO$4,1,71-Projects!$C$45+1)*Assumptions!$B$11*0.95+0.05*Projects!$B$45*Assumptions!$B$11,Projects!$B$45*INDEX(Curves!$B$4:$AO$4,1,71-Projects!$C$45+1)*Assumptions!$B$11*0.95),0)+IF(AND(Projects!$G$46="Yes",71&gt;=Projects!$C$46,71&lt;Projects!$C$46+Projects!$D$46),IF(71=Projects!$C$46+Projects!$D$46-1,Projects!$B$46*INDEX(Curves!$B$4:$AO$4,1,71-Projects!$C$46+1)*Assumptions!$B$11*0.95+0.05*Projects!$B$46*Assumptions!$B$11,Projects!$B$46*INDEX(Curves!$B$4:$AO$4,1,71-Projects!$C$46+1)*Assumptions!$B$11*0.95),0)</f>
        <v/>
      </c>
      <c r="BV109">
        <f>IF(AND(Projects!$G$30="Yes",72&gt;=Projects!$C$30,72&lt;Projects!$C$30+Projects!$D$30),IF(72=Projects!$C$30+Projects!$D$30-1,Projects!$B$30*INDEX(Curves!$B$4:$AO$4,1,72-Projects!$C$30+1)*Assumptions!$B$11*0.95+0.05*Projects!$B$30*Assumptions!$B$11,Projects!$B$30*INDEX(Curves!$B$4:$AO$4,1,72-Projects!$C$30+1)*Assumptions!$B$11*0.95),0)+IF(AND(Projects!$G$31="Yes",72&gt;=Projects!$C$31,72&lt;Projects!$C$31+Projects!$D$31),IF(72=Projects!$C$31+Projects!$D$31-1,Projects!$B$31*INDEX(Curves!$B$4:$AO$4,1,72-Projects!$C$31+1)*Assumptions!$B$11*0.95+0.05*Projects!$B$31*Assumptions!$B$11,Projects!$B$31*INDEX(Curves!$B$4:$AO$4,1,72-Projects!$C$31+1)*Assumptions!$B$11*0.95),0)+IF(AND(Projects!$G$32="Yes",72&gt;=Projects!$C$32,72&lt;Projects!$C$32+Projects!$D$32),IF(72=Projects!$C$32+Projects!$D$32-1,Projects!$B$32*INDEX(Curves!$B$4:$AO$4,1,72-Projects!$C$32+1)*Assumptions!$B$11*0.95+0.05*Projects!$B$32*Assumptions!$B$11,Projects!$B$32*INDEX(Curves!$B$4:$AO$4,1,72-Projects!$C$32+1)*Assumptions!$B$11*0.95),0)+IF(AND(Projects!$G$33="Yes",72&gt;=Projects!$C$33,72&lt;Projects!$C$33+Projects!$D$33),IF(72=Projects!$C$33+Projects!$D$33-1,Projects!$B$33*INDEX(Curves!$B$4:$AO$4,1,72-Projects!$C$33+1)*Assumptions!$B$11*0.95+0.05*Projects!$B$33*Assumptions!$B$11,Projects!$B$33*INDEX(Curves!$B$4:$AO$4,1,72-Projects!$C$33+1)*Assumptions!$B$11*0.95),0)+IF(AND(Projects!$G$34="Yes",72&gt;=Projects!$C$34,72&lt;Projects!$C$34+Projects!$D$34),IF(72=Projects!$C$34+Projects!$D$34-1,Projects!$B$34*INDEX(Curves!$B$4:$AO$4,1,72-Projects!$C$34+1)*Assumptions!$B$11*0.95+0.05*Projects!$B$34*Assumptions!$B$11,Projects!$B$34*INDEX(Curves!$B$4:$AO$4,1,72-Projects!$C$34+1)*Assumptions!$B$11*0.95),0)+IF(AND(Projects!$G$35="Yes",72&gt;=Projects!$C$35,72&lt;Projects!$C$35+Projects!$D$35),IF(72=Projects!$C$35+Projects!$D$35-1,Projects!$B$35*INDEX(Curves!$B$4:$AO$4,1,72-Projects!$C$35+1)*Assumptions!$B$11*0.95+0.05*Projects!$B$35*Assumptions!$B$11,Projects!$B$35*INDEX(Curves!$B$4:$AO$4,1,72-Projects!$C$35+1)*Assumptions!$B$11*0.95),0)+IF(AND(Projects!$G$36="Yes",72&gt;=Projects!$C$36,72&lt;Projects!$C$36+Projects!$D$36),IF(72=Projects!$C$36+Projects!$D$36-1,Projects!$B$36*INDEX(Curves!$B$4:$AO$4,1,72-Projects!$C$36+1)*Assumptions!$B$11*0.95+0.05*Projects!$B$36*Assumptions!$B$11,Projects!$B$36*INDEX(Curves!$B$4:$AO$4,1,72-Projects!$C$36+1)*Assumptions!$B$11*0.95),0)+IF(AND(Projects!$G$37="Yes",72&gt;=Projects!$C$37,72&lt;Projects!$C$37+Projects!$D$37),IF(72=Projects!$C$37+Projects!$D$37-1,Projects!$B$37*INDEX(Curves!$B$4:$AO$4,1,72-Projects!$C$37+1)*Assumptions!$B$11*0.95+0.05*Projects!$B$37*Assumptions!$B$11,Projects!$B$37*INDEX(Curves!$B$4:$AO$4,1,72-Projects!$C$37+1)*Assumptions!$B$11*0.95),0)+IF(AND(Projects!$G$38="Yes",72&gt;=Projects!$C$38,72&lt;Projects!$C$38+Projects!$D$38),IF(72=Projects!$C$38+Projects!$D$38-1,Projects!$B$38*INDEX(Curves!$B$4:$AO$4,1,72-Projects!$C$38+1)*Assumptions!$B$11*0.95+0.05*Projects!$B$38*Assumptions!$B$11,Projects!$B$38*INDEX(Curves!$B$4:$AO$4,1,72-Projects!$C$38+1)*Assumptions!$B$11*0.95),0)+IF(AND(Projects!$G$39="Yes",72&gt;=Projects!$C$39,72&lt;Projects!$C$39+Projects!$D$39),IF(72=Projects!$C$39+Projects!$D$39-1,Projects!$B$39*INDEX(Curves!$B$4:$AO$4,1,72-Projects!$C$39+1)*Assumptions!$B$11*0.95+0.05*Projects!$B$39*Assumptions!$B$11,Projects!$B$39*INDEX(Curves!$B$4:$AO$4,1,72-Projects!$C$39+1)*Assumptions!$B$11*0.95),0)+IF(AND(Projects!$G$40="Yes",72&gt;=Projects!$C$40,72&lt;Projects!$C$40+Projects!$D$40),IF(72=Projects!$C$40+Projects!$D$40-1,Projects!$B$40*INDEX(Curves!$B$4:$AO$4,1,72-Projects!$C$40+1)*Assumptions!$B$11*0.95+0.05*Projects!$B$40*Assumptions!$B$11,Projects!$B$40*INDEX(Curves!$B$4:$AO$4,1,72-Projects!$C$40+1)*Assumptions!$B$11*0.95),0)+IF(AND(Projects!$G$41="Yes",72&gt;=Projects!$C$41,72&lt;Projects!$C$41+Projects!$D$41),IF(72=Projects!$C$41+Projects!$D$41-1,Projects!$B$41*INDEX(Curves!$B$4:$AO$4,1,72-Projects!$C$41+1)*Assumptions!$B$11*0.95+0.05*Projects!$B$41*Assumptions!$B$11,Projects!$B$41*INDEX(Curves!$B$4:$AO$4,1,72-Projects!$C$41+1)*Assumptions!$B$11*0.95),0)+IF(AND(Projects!$G$42="Yes",72&gt;=Projects!$C$42,72&lt;Projects!$C$42+Projects!$D$42),IF(72=Projects!$C$42+Projects!$D$42-1,Projects!$B$42*INDEX(Curves!$B$4:$AO$4,1,72-Projects!$C$42+1)*Assumptions!$B$11*0.95+0.05*Projects!$B$42*Assumptions!$B$11,Projects!$B$42*INDEX(Curves!$B$4:$AO$4,1,72-Projects!$C$42+1)*Assumptions!$B$11*0.95),0)+IF(AND(Projects!$G$43="Yes",72&gt;=Projects!$C$43,72&lt;Projects!$C$43+Projects!$D$43),IF(72=Projects!$C$43+Projects!$D$43-1,Projects!$B$43*INDEX(Curves!$B$4:$AO$4,1,72-Projects!$C$43+1)*Assumptions!$B$11*0.95+0.05*Projects!$B$43*Assumptions!$B$11,Projects!$B$43*INDEX(Curves!$B$4:$AO$4,1,72-Projects!$C$43+1)*Assumptions!$B$11*0.95),0)+IF(AND(Projects!$G$44="Yes",72&gt;=Projects!$C$44,72&lt;Projects!$C$44+Projects!$D$44),IF(72=Projects!$C$44+Projects!$D$44-1,Projects!$B$44*INDEX(Curves!$B$4:$AO$4,1,72-Projects!$C$44+1)*Assumptions!$B$11*0.95+0.05*Projects!$B$44*Assumptions!$B$11,Projects!$B$44*INDEX(Curves!$B$4:$AO$4,1,72-Projects!$C$44+1)*Assumptions!$B$11*0.95),0)+IF(AND(Projects!$G$45="Yes",72&gt;=Projects!$C$45,72&lt;Projects!$C$45+Projects!$D$45),IF(72=Projects!$C$45+Projects!$D$45-1,Projects!$B$45*INDEX(Curves!$B$4:$AO$4,1,72-Projects!$C$45+1)*Assumptions!$B$11*0.95+0.05*Projects!$B$45*Assumptions!$B$11,Projects!$B$45*INDEX(Curves!$B$4:$AO$4,1,72-Projects!$C$45+1)*Assumptions!$B$11*0.95),0)+IF(AND(Projects!$G$46="Yes",72&gt;=Projects!$C$46,72&lt;Projects!$C$46+Projects!$D$46),IF(72=Projects!$C$46+Projects!$D$46-1,Projects!$B$46*INDEX(Curves!$B$4:$AO$4,1,72-Projects!$C$46+1)*Assumptions!$B$11*0.95+0.05*Projects!$B$46*Assumptions!$B$11,Projects!$B$46*INDEX(Curves!$B$4:$AO$4,1,72-Projects!$C$46+1)*Assumptions!$B$11*0.95),0)</f>
        <v/>
      </c>
      <c r="BW109">
        <f>IF(AND(Projects!$G$30="Yes",73&gt;=Projects!$C$30,73&lt;Projects!$C$30+Projects!$D$30),IF(73=Projects!$C$30+Projects!$D$30-1,Projects!$B$30*INDEX(Curves!$B$4:$AO$4,1,73-Projects!$C$30+1)*Assumptions!$B$11*0.95+0.05*Projects!$B$30*Assumptions!$B$11,Projects!$B$30*INDEX(Curves!$B$4:$AO$4,1,73-Projects!$C$30+1)*Assumptions!$B$11*0.95),0)+IF(AND(Projects!$G$31="Yes",73&gt;=Projects!$C$31,73&lt;Projects!$C$31+Projects!$D$31),IF(73=Projects!$C$31+Projects!$D$31-1,Projects!$B$31*INDEX(Curves!$B$4:$AO$4,1,73-Projects!$C$31+1)*Assumptions!$B$11*0.95+0.05*Projects!$B$31*Assumptions!$B$11,Projects!$B$31*INDEX(Curves!$B$4:$AO$4,1,73-Projects!$C$31+1)*Assumptions!$B$11*0.95),0)+IF(AND(Projects!$G$32="Yes",73&gt;=Projects!$C$32,73&lt;Projects!$C$32+Projects!$D$32),IF(73=Projects!$C$32+Projects!$D$32-1,Projects!$B$32*INDEX(Curves!$B$4:$AO$4,1,73-Projects!$C$32+1)*Assumptions!$B$11*0.95+0.05*Projects!$B$32*Assumptions!$B$11,Projects!$B$32*INDEX(Curves!$B$4:$AO$4,1,73-Projects!$C$32+1)*Assumptions!$B$11*0.95),0)+IF(AND(Projects!$G$33="Yes",73&gt;=Projects!$C$33,73&lt;Projects!$C$33+Projects!$D$33),IF(73=Projects!$C$33+Projects!$D$33-1,Projects!$B$33*INDEX(Curves!$B$4:$AO$4,1,73-Projects!$C$33+1)*Assumptions!$B$11*0.95+0.05*Projects!$B$33*Assumptions!$B$11,Projects!$B$33*INDEX(Curves!$B$4:$AO$4,1,73-Projects!$C$33+1)*Assumptions!$B$11*0.95),0)+IF(AND(Projects!$G$34="Yes",73&gt;=Projects!$C$34,73&lt;Projects!$C$34+Projects!$D$34),IF(73=Projects!$C$34+Projects!$D$34-1,Projects!$B$34*INDEX(Curves!$B$4:$AO$4,1,73-Projects!$C$34+1)*Assumptions!$B$11*0.95+0.05*Projects!$B$34*Assumptions!$B$11,Projects!$B$34*INDEX(Curves!$B$4:$AO$4,1,73-Projects!$C$34+1)*Assumptions!$B$11*0.95),0)+IF(AND(Projects!$G$35="Yes",73&gt;=Projects!$C$35,73&lt;Projects!$C$35+Projects!$D$35),IF(73=Projects!$C$35+Projects!$D$35-1,Projects!$B$35*INDEX(Curves!$B$4:$AO$4,1,73-Projects!$C$35+1)*Assumptions!$B$11*0.95+0.05*Projects!$B$35*Assumptions!$B$11,Projects!$B$35*INDEX(Curves!$B$4:$AO$4,1,73-Projects!$C$35+1)*Assumptions!$B$11*0.95),0)+IF(AND(Projects!$G$36="Yes",73&gt;=Projects!$C$36,73&lt;Projects!$C$36+Projects!$D$36),IF(73=Projects!$C$36+Projects!$D$36-1,Projects!$B$36*INDEX(Curves!$B$4:$AO$4,1,73-Projects!$C$36+1)*Assumptions!$B$11*0.95+0.05*Projects!$B$36*Assumptions!$B$11,Projects!$B$36*INDEX(Curves!$B$4:$AO$4,1,73-Projects!$C$36+1)*Assumptions!$B$11*0.95),0)+IF(AND(Projects!$G$37="Yes",73&gt;=Projects!$C$37,73&lt;Projects!$C$37+Projects!$D$37),IF(73=Projects!$C$37+Projects!$D$37-1,Projects!$B$37*INDEX(Curves!$B$4:$AO$4,1,73-Projects!$C$37+1)*Assumptions!$B$11*0.95+0.05*Projects!$B$37*Assumptions!$B$11,Projects!$B$37*INDEX(Curves!$B$4:$AO$4,1,73-Projects!$C$37+1)*Assumptions!$B$11*0.95),0)+IF(AND(Projects!$G$38="Yes",73&gt;=Projects!$C$38,73&lt;Projects!$C$38+Projects!$D$38),IF(73=Projects!$C$38+Projects!$D$38-1,Projects!$B$38*INDEX(Curves!$B$4:$AO$4,1,73-Projects!$C$38+1)*Assumptions!$B$11*0.95+0.05*Projects!$B$38*Assumptions!$B$11,Projects!$B$38*INDEX(Curves!$B$4:$AO$4,1,73-Projects!$C$38+1)*Assumptions!$B$11*0.95),0)+IF(AND(Projects!$G$39="Yes",73&gt;=Projects!$C$39,73&lt;Projects!$C$39+Projects!$D$39),IF(73=Projects!$C$39+Projects!$D$39-1,Projects!$B$39*INDEX(Curves!$B$4:$AO$4,1,73-Projects!$C$39+1)*Assumptions!$B$11*0.95+0.05*Projects!$B$39*Assumptions!$B$11,Projects!$B$39*INDEX(Curves!$B$4:$AO$4,1,73-Projects!$C$39+1)*Assumptions!$B$11*0.95),0)+IF(AND(Projects!$G$40="Yes",73&gt;=Projects!$C$40,73&lt;Projects!$C$40+Projects!$D$40),IF(73=Projects!$C$40+Projects!$D$40-1,Projects!$B$40*INDEX(Curves!$B$4:$AO$4,1,73-Projects!$C$40+1)*Assumptions!$B$11*0.95+0.05*Projects!$B$40*Assumptions!$B$11,Projects!$B$40*INDEX(Curves!$B$4:$AO$4,1,73-Projects!$C$40+1)*Assumptions!$B$11*0.95),0)+IF(AND(Projects!$G$41="Yes",73&gt;=Projects!$C$41,73&lt;Projects!$C$41+Projects!$D$41),IF(73=Projects!$C$41+Projects!$D$41-1,Projects!$B$41*INDEX(Curves!$B$4:$AO$4,1,73-Projects!$C$41+1)*Assumptions!$B$11*0.95+0.05*Projects!$B$41*Assumptions!$B$11,Projects!$B$41*INDEX(Curves!$B$4:$AO$4,1,73-Projects!$C$41+1)*Assumptions!$B$11*0.95),0)+IF(AND(Projects!$G$42="Yes",73&gt;=Projects!$C$42,73&lt;Projects!$C$42+Projects!$D$42),IF(73=Projects!$C$42+Projects!$D$42-1,Projects!$B$42*INDEX(Curves!$B$4:$AO$4,1,73-Projects!$C$42+1)*Assumptions!$B$11*0.95+0.05*Projects!$B$42*Assumptions!$B$11,Projects!$B$42*INDEX(Curves!$B$4:$AO$4,1,73-Projects!$C$42+1)*Assumptions!$B$11*0.95),0)+IF(AND(Projects!$G$43="Yes",73&gt;=Projects!$C$43,73&lt;Projects!$C$43+Projects!$D$43),IF(73=Projects!$C$43+Projects!$D$43-1,Projects!$B$43*INDEX(Curves!$B$4:$AO$4,1,73-Projects!$C$43+1)*Assumptions!$B$11*0.95+0.05*Projects!$B$43*Assumptions!$B$11,Projects!$B$43*INDEX(Curves!$B$4:$AO$4,1,73-Projects!$C$43+1)*Assumptions!$B$11*0.95),0)+IF(AND(Projects!$G$44="Yes",73&gt;=Projects!$C$44,73&lt;Projects!$C$44+Projects!$D$44),IF(73=Projects!$C$44+Projects!$D$44-1,Projects!$B$44*INDEX(Curves!$B$4:$AO$4,1,73-Projects!$C$44+1)*Assumptions!$B$11*0.95+0.05*Projects!$B$44*Assumptions!$B$11,Projects!$B$44*INDEX(Curves!$B$4:$AO$4,1,73-Projects!$C$44+1)*Assumptions!$B$11*0.95),0)+IF(AND(Projects!$G$45="Yes",73&gt;=Projects!$C$45,73&lt;Projects!$C$45+Projects!$D$45),IF(73=Projects!$C$45+Projects!$D$45-1,Projects!$B$45*INDEX(Curves!$B$4:$AO$4,1,73-Projects!$C$45+1)*Assumptions!$B$11*0.95+0.05*Projects!$B$45*Assumptions!$B$11,Projects!$B$45*INDEX(Curves!$B$4:$AO$4,1,73-Projects!$C$45+1)*Assumptions!$B$11*0.95),0)+IF(AND(Projects!$G$46="Yes",73&gt;=Projects!$C$46,73&lt;Projects!$C$46+Projects!$D$46),IF(73=Projects!$C$46+Projects!$D$46-1,Projects!$B$46*INDEX(Curves!$B$4:$AO$4,1,73-Projects!$C$46+1)*Assumptions!$B$11*0.95+0.05*Projects!$B$46*Assumptions!$B$11,Projects!$B$46*INDEX(Curves!$B$4:$AO$4,1,73-Projects!$C$46+1)*Assumptions!$B$11*0.95),0)</f>
        <v/>
      </c>
      <c r="BX109">
        <f>IF(AND(Projects!$G$30="Yes",74&gt;=Projects!$C$30,74&lt;Projects!$C$30+Projects!$D$30),IF(74=Projects!$C$30+Projects!$D$30-1,Projects!$B$30*INDEX(Curves!$B$4:$AO$4,1,74-Projects!$C$30+1)*Assumptions!$B$11*0.95+0.05*Projects!$B$30*Assumptions!$B$11,Projects!$B$30*INDEX(Curves!$B$4:$AO$4,1,74-Projects!$C$30+1)*Assumptions!$B$11*0.95),0)+IF(AND(Projects!$G$31="Yes",74&gt;=Projects!$C$31,74&lt;Projects!$C$31+Projects!$D$31),IF(74=Projects!$C$31+Projects!$D$31-1,Projects!$B$31*INDEX(Curves!$B$4:$AO$4,1,74-Projects!$C$31+1)*Assumptions!$B$11*0.95+0.05*Projects!$B$31*Assumptions!$B$11,Projects!$B$31*INDEX(Curves!$B$4:$AO$4,1,74-Projects!$C$31+1)*Assumptions!$B$11*0.95),0)+IF(AND(Projects!$G$32="Yes",74&gt;=Projects!$C$32,74&lt;Projects!$C$32+Projects!$D$32),IF(74=Projects!$C$32+Projects!$D$32-1,Projects!$B$32*INDEX(Curves!$B$4:$AO$4,1,74-Projects!$C$32+1)*Assumptions!$B$11*0.95+0.05*Projects!$B$32*Assumptions!$B$11,Projects!$B$32*INDEX(Curves!$B$4:$AO$4,1,74-Projects!$C$32+1)*Assumptions!$B$11*0.95),0)+IF(AND(Projects!$G$33="Yes",74&gt;=Projects!$C$33,74&lt;Projects!$C$33+Projects!$D$33),IF(74=Projects!$C$33+Projects!$D$33-1,Projects!$B$33*INDEX(Curves!$B$4:$AO$4,1,74-Projects!$C$33+1)*Assumptions!$B$11*0.95+0.05*Projects!$B$33*Assumptions!$B$11,Projects!$B$33*INDEX(Curves!$B$4:$AO$4,1,74-Projects!$C$33+1)*Assumptions!$B$11*0.95),0)+IF(AND(Projects!$G$34="Yes",74&gt;=Projects!$C$34,74&lt;Projects!$C$34+Projects!$D$34),IF(74=Projects!$C$34+Projects!$D$34-1,Projects!$B$34*INDEX(Curves!$B$4:$AO$4,1,74-Projects!$C$34+1)*Assumptions!$B$11*0.95+0.05*Projects!$B$34*Assumptions!$B$11,Projects!$B$34*INDEX(Curves!$B$4:$AO$4,1,74-Projects!$C$34+1)*Assumptions!$B$11*0.95),0)+IF(AND(Projects!$G$35="Yes",74&gt;=Projects!$C$35,74&lt;Projects!$C$35+Projects!$D$35),IF(74=Projects!$C$35+Projects!$D$35-1,Projects!$B$35*INDEX(Curves!$B$4:$AO$4,1,74-Projects!$C$35+1)*Assumptions!$B$11*0.95+0.05*Projects!$B$35*Assumptions!$B$11,Projects!$B$35*INDEX(Curves!$B$4:$AO$4,1,74-Projects!$C$35+1)*Assumptions!$B$11*0.95),0)+IF(AND(Projects!$G$36="Yes",74&gt;=Projects!$C$36,74&lt;Projects!$C$36+Projects!$D$36),IF(74=Projects!$C$36+Projects!$D$36-1,Projects!$B$36*INDEX(Curves!$B$4:$AO$4,1,74-Projects!$C$36+1)*Assumptions!$B$11*0.95+0.05*Projects!$B$36*Assumptions!$B$11,Projects!$B$36*INDEX(Curves!$B$4:$AO$4,1,74-Projects!$C$36+1)*Assumptions!$B$11*0.95),0)+IF(AND(Projects!$G$37="Yes",74&gt;=Projects!$C$37,74&lt;Projects!$C$37+Projects!$D$37),IF(74=Projects!$C$37+Projects!$D$37-1,Projects!$B$37*INDEX(Curves!$B$4:$AO$4,1,74-Projects!$C$37+1)*Assumptions!$B$11*0.95+0.05*Projects!$B$37*Assumptions!$B$11,Projects!$B$37*INDEX(Curves!$B$4:$AO$4,1,74-Projects!$C$37+1)*Assumptions!$B$11*0.95),0)+IF(AND(Projects!$G$38="Yes",74&gt;=Projects!$C$38,74&lt;Projects!$C$38+Projects!$D$38),IF(74=Projects!$C$38+Projects!$D$38-1,Projects!$B$38*INDEX(Curves!$B$4:$AO$4,1,74-Projects!$C$38+1)*Assumptions!$B$11*0.95+0.05*Projects!$B$38*Assumptions!$B$11,Projects!$B$38*INDEX(Curves!$B$4:$AO$4,1,74-Projects!$C$38+1)*Assumptions!$B$11*0.95),0)+IF(AND(Projects!$G$39="Yes",74&gt;=Projects!$C$39,74&lt;Projects!$C$39+Projects!$D$39),IF(74=Projects!$C$39+Projects!$D$39-1,Projects!$B$39*INDEX(Curves!$B$4:$AO$4,1,74-Projects!$C$39+1)*Assumptions!$B$11*0.95+0.05*Projects!$B$39*Assumptions!$B$11,Projects!$B$39*INDEX(Curves!$B$4:$AO$4,1,74-Projects!$C$39+1)*Assumptions!$B$11*0.95),0)+IF(AND(Projects!$G$40="Yes",74&gt;=Projects!$C$40,74&lt;Projects!$C$40+Projects!$D$40),IF(74=Projects!$C$40+Projects!$D$40-1,Projects!$B$40*INDEX(Curves!$B$4:$AO$4,1,74-Projects!$C$40+1)*Assumptions!$B$11*0.95+0.05*Projects!$B$40*Assumptions!$B$11,Projects!$B$40*INDEX(Curves!$B$4:$AO$4,1,74-Projects!$C$40+1)*Assumptions!$B$11*0.95),0)+IF(AND(Projects!$G$41="Yes",74&gt;=Projects!$C$41,74&lt;Projects!$C$41+Projects!$D$41),IF(74=Projects!$C$41+Projects!$D$41-1,Projects!$B$41*INDEX(Curves!$B$4:$AO$4,1,74-Projects!$C$41+1)*Assumptions!$B$11*0.95+0.05*Projects!$B$41*Assumptions!$B$11,Projects!$B$41*INDEX(Curves!$B$4:$AO$4,1,74-Projects!$C$41+1)*Assumptions!$B$11*0.95),0)+IF(AND(Projects!$G$42="Yes",74&gt;=Projects!$C$42,74&lt;Projects!$C$42+Projects!$D$42),IF(74=Projects!$C$42+Projects!$D$42-1,Projects!$B$42*INDEX(Curves!$B$4:$AO$4,1,74-Projects!$C$42+1)*Assumptions!$B$11*0.95+0.05*Projects!$B$42*Assumptions!$B$11,Projects!$B$42*INDEX(Curves!$B$4:$AO$4,1,74-Projects!$C$42+1)*Assumptions!$B$11*0.95),0)+IF(AND(Projects!$G$43="Yes",74&gt;=Projects!$C$43,74&lt;Projects!$C$43+Projects!$D$43),IF(74=Projects!$C$43+Projects!$D$43-1,Projects!$B$43*INDEX(Curves!$B$4:$AO$4,1,74-Projects!$C$43+1)*Assumptions!$B$11*0.95+0.05*Projects!$B$43*Assumptions!$B$11,Projects!$B$43*INDEX(Curves!$B$4:$AO$4,1,74-Projects!$C$43+1)*Assumptions!$B$11*0.95),0)+IF(AND(Projects!$G$44="Yes",74&gt;=Projects!$C$44,74&lt;Projects!$C$44+Projects!$D$44),IF(74=Projects!$C$44+Projects!$D$44-1,Projects!$B$44*INDEX(Curves!$B$4:$AO$4,1,74-Projects!$C$44+1)*Assumptions!$B$11*0.95+0.05*Projects!$B$44*Assumptions!$B$11,Projects!$B$44*INDEX(Curves!$B$4:$AO$4,1,74-Projects!$C$44+1)*Assumptions!$B$11*0.95),0)+IF(AND(Projects!$G$45="Yes",74&gt;=Projects!$C$45,74&lt;Projects!$C$45+Projects!$D$45),IF(74=Projects!$C$45+Projects!$D$45-1,Projects!$B$45*INDEX(Curves!$B$4:$AO$4,1,74-Projects!$C$45+1)*Assumptions!$B$11*0.95+0.05*Projects!$B$45*Assumptions!$B$11,Projects!$B$45*INDEX(Curves!$B$4:$AO$4,1,74-Projects!$C$45+1)*Assumptions!$B$11*0.95),0)+IF(AND(Projects!$G$46="Yes",74&gt;=Projects!$C$46,74&lt;Projects!$C$46+Projects!$D$46),IF(74=Projects!$C$46+Projects!$D$46-1,Projects!$B$46*INDEX(Curves!$B$4:$AO$4,1,74-Projects!$C$46+1)*Assumptions!$B$11*0.95+0.05*Projects!$B$46*Assumptions!$B$11,Projects!$B$46*INDEX(Curves!$B$4:$AO$4,1,74-Projects!$C$46+1)*Assumptions!$B$11*0.95),0)</f>
        <v/>
      </c>
      <c r="BY109">
        <f>IF(AND(Projects!$G$30="Yes",75&gt;=Projects!$C$30,75&lt;Projects!$C$30+Projects!$D$30),IF(75=Projects!$C$30+Projects!$D$30-1,Projects!$B$30*INDEX(Curves!$B$4:$AO$4,1,75-Projects!$C$30+1)*Assumptions!$B$11*0.95+0.05*Projects!$B$30*Assumptions!$B$11,Projects!$B$30*INDEX(Curves!$B$4:$AO$4,1,75-Projects!$C$30+1)*Assumptions!$B$11*0.95),0)+IF(AND(Projects!$G$31="Yes",75&gt;=Projects!$C$31,75&lt;Projects!$C$31+Projects!$D$31),IF(75=Projects!$C$31+Projects!$D$31-1,Projects!$B$31*INDEX(Curves!$B$4:$AO$4,1,75-Projects!$C$31+1)*Assumptions!$B$11*0.95+0.05*Projects!$B$31*Assumptions!$B$11,Projects!$B$31*INDEX(Curves!$B$4:$AO$4,1,75-Projects!$C$31+1)*Assumptions!$B$11*0.95),0)+IF(AND(Projects!$G$32="Yes",75&gt;=Projects!$C$32,75&lt;Projects!$C$32+Projects!$D$32),IF(75=Projects!$C$32+Projects!$D$32-1,Projects!$B$32*INDEX(Curves!$B$4:$AO$4,1,75-Projects!$C$32+1)*Assumptions!$B$11*0.95+0.05*Projects!$B$32*Assumptions!$B$11,Projects!$B$32*INDEX(Curves!$B$4:$AO$4,1,75-Projects!$C$32+1)*Assumptions!$B$11*0.95),0)+IF(AND(Projects!$G$33="Yes",75&gt;=Projects!$C$33,75&lt;Projects!$C$33+Projects!$D$33),IF(75=Projects!$C$33+Projects!$D$33-1,Projects!$B$33*INDEX(Curves!$B$4:$AO$4,1,75-Projects!$C$33+1)*Assumptions!$B$11*0.95+0.05*Projects!$B$33*Assumptions!$B$11,Projects!$B$33*INDEX(Curves!$B$4:$AO$4,1,75-Projects!$C$33+1)*Assumptions!$B$11*0.95),0)+IF(AND(Projects!$G$34="Yes",75&gt;=Projects!$C$34,75&lt;Projects!$C$34+Projects!$D$34),IF(75=Projects!$C$34+Projects!$D$34-1,Projects!$B$34*INDEX(Curves!$B$4:$AO$4,1,75-Projects!$C$34+1)*Assumptions!$B$11*0.95+0.05*Projects!$B$34*Assumptions!$B$11,Projects!$B$34*INDEX(Curves!$B$4:$AO$4,1,75-Projects!$C$34+1)*Assumptions!$B$11*0.95),0)+IF(AND(Projects!$G$35="Yes",75&gt;=Projects!$C$35,75&lt;Projects!$C$35+Projects!$D$35),IF(75=Projects!$C$35+Projects!$D$35-1,Projects!$B$35*INDEX(Curves!$B$4:$AO$4,1,75-Projects!$C$35+1)*Assumptions!$B$11*0.95+0.05*Projects!$B$35*Assumptions!$B$11,Projects!$B$35*INDEX(Curves!$B$4:$AO$4,1,75-Projects!$C$35+1)*Assumptions!$B$11*0.95),0)+IF(AND(Projects!$G$36="Yes",75&gt;=Projects!$C$36,75&lt;Projects!$C$36+Projects!$D$36),IF(75=Projects!$C$36+Projects!$D$36-1,Projects!$B$36*INDEX(Curves!$B$4:$AO$4,1,75-Projects!$C$36+1)*Assumptions!$B$11*0.95+0.05*Projects!$B$36*Assumptions!$B$11,Projects!$B$36*INDEX(Curves!$B$4:$AO$4,1,75-Projects!$C$36+1)*Assumptions!$B$11*0.95),0)+IF(AND(Projects!$G$37="Yes",75&gt;=Projects!$C$37,75&lt;Projects!$C$37+Projects!$D$37),IF(75=Projects!$C$37+Projects!$D$37-1,Projects!$B$37*INDEX(Curves!$B$4:$AO$4,1,75-Projects!$C$37+1)*Assumptions!$B$11*0.95+0.05*Projects!$B$37*Assumptions!$B$11,Projects!$B$37*INDEX(Curves!$B$4:$AO$4,1,75-Projects!$C$37+1)*Assumptions!$B$11*0.95),0)+IF(AND(Projects!$G$38="Yes",75&gt;=Projects!$C$38,75&lt;Projects!$C$38+Projects!$D$38),IF(75=Projects!$C$38+Projects!$D$38-1,Projects!$B$38*INDEX(Curves!$B$4:$AO$4,1,75-Projects!$C$38+1)*Assumptions!$B$11*0.95+0.05*Projects!$B$38*Assumptions!$B$11,Projects!$B$38*INDEX(Curves!$B$4:$AO$4,1,75-Projects!$C$38+1)*Assumptions!$B$11*0.95),0)+IF(AND(Projects!$G$39="Yes",75&gt;=Projects!$C$39,75&lt;Projects!$C$39+Projects!$D$39),IF(75=Projects!$C$39+Projects!$D$39-1,Projects!$B$39*INDEX(Curves!$B$4:$AO$4,1,75-Projects!$C$39+1)*Assumptions!$B$11*0.95+0.05*Projects!$B$39*Assumptions!$B$11,Projects!$B$39*INDEX(Curves!$B$4:$AO$4,1,75-Projects!$C$39+1)*Assumptions!$B$11*0.95),0)+IF(AND(Projects!$G$40="Yes",75&gt;=Projects!$C$40,75&lt;Projects!$C$40+Projects!$D$40),IF(75=Projects!$C$40+Projects!$D$40-1,Projects!$B$40*INDEX(Curves!$B$4:$AO$4,1,75-Projects!$C$40+1)*Assumptions!$B$11*0.95+0.05*Projects!$B$40*Assumptions!$B$11,Projects!$B$40*INDEX(Curves!$B$4:$AO$4,1,75-Projects!$C$40+1)*Assumptions!$B$11*0.95),0)+IF(AND(Projects!$G$41="Yes",75&gt;=Projects!$C$41,75&lt;Projects!$C$41+Projects!$D$41),IF(75=Projects!$C$41+Projects!$D$41-1,Projects!$B$41*INDEX(Curves!$B$4:$AO$4,1,75-Projects!$C$41+1)*Assumptions!$B$11*0.95+0.05*Projects!$B$41*Assumptions!$B$11,Projects!$B$41*INDEX(Curves!$B$4:$AO$4,1,75-Projects!$C$41+1)*Assumptions!$B$11*0.95),0)+IF(AND(Projects!$G$42="Yes",75&gt;=Projects!$C$42,75&lt;Projects!$C$42+Projects!$D$42),IF(75=Projects!$C$42+Projects!$D$42-1,Projects!$B$42*INDEX(Curves!$B$4:$AO$4,1,75-Projects!$C$42+1)*Assumptions!$B$11*0.95+0.05*Projects!$B$42*Assumptions!$B$11,Projects!$B$42*INDEX(Curves!$B$4:$AO$4,1,75-Projects!$C$42+1)*Assumptions!$B$11*0.95),0)+IF(AND(Projects!$G$43="Yes",75&gt;=Projects!$C$43,75&lt;Projects!$C$43+Projects!$D$43),IF(75=Projects!$C$43+Projects!$D$43-1,Projects!$B$43*INDEX(Curves!$B$4:$AO$4,1,75-Projects!$C$43+1)*Assumptions!$B$11*0.95+0.05*Projects!$B$43*Assumptions!$B$11,Projects!$B$43*INDEX(Curves!$B$4:$AO$4,1,75-Projects!$C$43+1)*Assumptions!$B$11*0.95),0)+IF(AND(Projects!$G$44="Yes",75&gt;=Projects!$C$44,75&lt;Projects!$C$44+Projects!$D$44),IF(75=Projects!$C$44+Projects!$D$44-1,Projects!$B$44*INDEX(Curves!$B$4:$AO$4,1,75-Projects!$C$44+1)*Assumptions!$B$11*0.95+0.05*Projects!$B$44*Assumptions!$B$11,Projects!$B$44*INDEX(Curves!$B$4:$AO$4,1,75-Projects!$C$44+1)*Assumptions!$B$11*0.95),0)+IF(AND(Projects!$G$45="Yes",75&gt;=Projects!$C$45,75&lt;Projects!$C$45+Projects!$D$45),IF(75=Projects!$C$45+Projects!$D$45-1,Projects!$B$45*INDEX(Curves!$B$4:$AO$4,1,75-Projects!$C$45+1)*Assumptions!$B$11*0.95+0.05*Projects!$B$45*Assumptions!$B$11,Projects!$B$45*INDEX(Curves!$B$4:$AO$4,1,75-Projects!$C$45+1)*Assumptions!$B$11*0.95),0)+IF(AND(Projects!$G$46="Yes",75&gt;=Projects!$C$46,75&lt;Projects!$C$46+Projects!$D$46),IF(75=Projects!$C$46+Projects!$D$46-1,Projects!$B$46*INDEX(Curves!$B$4:$AO$4,1,75-Projects!$C$46+1)*Assumptions!$B$11*0.95+0.05*Projects!$B$46*Assumptions!$B$11,Projects!$B$46*INDEX(Curves!$B$4:$AO$4,1,75-Projects!$C$46+1)*Assumptions!$B$11*0.95),0)</f>
        <v/>
      </c>
      <c r="BZ109">
        <f>IF(AND(Projects!$G$30="Yes",76&gt;=Projects!$C$30,76&lt;Projects!$C$30+Projects!$D$30),IF(76=Projects!$C$30+Projects!$D$30-1,Projects!$B$30*INDEX(Curves!$B$4:$AO$4,1,76-Projects!$C$30+1)*Assumptions!$B$11*0.95+0.05*Projects!$B$30*Assumptions!$B$11,Projects!$B$30*INDEX(Curves!$B$4:$AO$4,1,76-Projects!$C$30+1)*Assumptions!$B$11*0.95),0)+IF(AND(Projects!$G$31="Yes",76&gt;=Projects!$C$31,76&lt;Projects!$C$31+Projects!$D$31),IF(76=Projects!$C$31+Projects!$D$31-1,Projects!$B$31*INDEX(Curves!$B$4:$AO$4,1,76-Projects!$C$31+1)*Assumptions!$B$11*0.95+0.05*Projects!$B$31*Assumptions!$B$11,Projects!$B$31*INDEX(Curves!$B$4:$AO$4,1,76-Projects!$C$31+1)*Assumptions!$B$11*0.95),0)+IF(AND(Projects!$G$32="Yes",76&gt;=Projects!$C$32,76&lt;Projects!$C$32+Projects!$D$32),IF(76=Projects!$C$32+Projects!$D$32-1,Projects!$B$32*INDEX(Curves!$B$4:$AO$4,1,76-Projects!$C$32+1)*Assumptions!$B$11*0.95+0.05*Projects!$B$32*Assumptions!$B$11,Projects!$B$32*INDEX(Curves!$B$4:$AO$4,1,76-Projects!$C$32+1)*Assumptions!$B$11*0.95),0)+IF(AND(Projects!$G$33="Yes",76&gt;=Projects!$C$33,76&lt;Projects!$C$33+Projects!$D$33),IF(76=Projects!$C$33+Projects!$D$33-1,Projects!$B$33*INDEX(Curves!$B$4:$AO$4,1,76-Projects!$C$33+1)*Assumptions!$B$11*0.95+0.05*Projects!$B$33*Assumptions!$B$11,Projects!$B$33*INDEX(Curves!$B$4:$AO$4,1,76-Projects!$C$33+1)*Assumptions!$B$11*0.95),0)+IF(AND(Projects!$G$34="Yes",76&gt;=Projects!$C$34,76&lt;Projects!$C$34+Projects!$D$34),IF(76=Projects!$C$34+Projects!$D$34-1,Projects!$B$34*INDEX(Curves!$B$4:$AO$4,1,76-Projects!$C$34+1)*Assumptions!$B$11*0.95+0.05*Projects!$B$34*Assumptions!$B$11,Projects!$B$34*INDEX(Curves!$B$4:$AO$4,1,76-Projects!$C$34+1)*Assumptions!$B$11*0.95),0)+IF(AND(Projects!$G$35="Yes",76&gt;=Projects!$C$35,76&lt;Projects!$C$35+Projects!$D$35),IF(76=Projects!$C$35+Projects!$D$35-1,Projects!$B$35*INDEX(Curves!$B$4:$AO$4,1,76-Projects!$C$35+1)*Assumptions!$B$11*0.95+0.05*Projects!$B$35*Assumptions!$B$11,Projects!$B$35*INDEX(Curves!$B$4:$AO$4,1,76-Projects!$C$35+1)*Assumptions!$B$11*0.95),0)+IF(AND(Projects!$G$36="Yes",76&gt;=Projects!$C$36,76&lt;Projects!$C$36+Projects!$D$36),IF(76=Projects!$C$36+Projects!$D$36-1,Projects!$B$36*INDEX(Curves!$B$4:$AO$4,1,76-Projects!$C$36+1)*Assumptions!$B$11*0.95+0.05*Projects!$B$36*Assumptions!$B$11,Projects!$B$36*INDEX(Curves!$B$4:$AO$4,1,76-Projects!$C$36+1)*Assumptions!$B$11*0.95),0)+IF(AND(Projects!$G$37="Yes",76&gt;=Projects!$C$37,76&lt;Projects!$C$37+Projects!$D$37),IF(76=Projects!$C$37+Projects!$D$37-1,Projects!$B$37*INDEX(Curves!$B$4:$AO$4,1,76-Projects!$C$37+1)*Assumptions!$B$11*0.95+0.05*Projects!$B$37*Assumptions!$B$11,Projects!$B$37*INDEX(Curves!$B$4:$AO$4,1,76-Projects!$C$37+1)*Assumptions!$B$11*0.95),0)+IF(AND(Projects!$G$38="Yes",76&gt;=Projects!$C$38,76&lt;Projects!$C$38+Projects!$D$38),IF(76=Projects!$C$38+Projects!$D$38-1,Projects!$B$38*INDEX(Curves!$B$4:$AO$4,1,76-Projects!$C$38+1)*Assumptions!$B$11*0.95+0.05*Projects!$B$38*Assumptions!$B$11,Projects!$B$38*INDEX(Curves!$B$4:$AO$4,1,76-Projects!$C$38+1)*Assumptions!$B$11*0.95),0)+IF(AND(Projects!$G$39="Yes",76&gt;=Projects!$C$39,76&lt;Projects!$C$39+Projects!$D$39),IF(76=Projects!$C$39+Projects!$D$39-1,Projects!$B$39*INDEX(Curves!$B$4:$AO$4,1,76-Projects!$C$39+1)*Assumptions!$B$11*0.95+0.05*Projects!$B$39*Assumptions!$B$11,Projects!$B$39*INDEX(Curves!$B$4:$AO$4,1,76-Projects!$C$39+1)*Assumptions!$B$11*0.95),0)+IF(AND(Projects!$G$40="Yes",76&gt;=Projects!$C$40,76&lt;Projects!$C$40+Projects!$D$40),IF(76=Projects!$C$40+Projects!$D$40-1,Projects!$B$40*INDEX(Curves!$B$4:$AO$4,1,76-Projects!$C$40+1)*Assumptions!$B$11*0.95+0.05*Projects!$B$40*Assumptions!$B$11,Projects!$B$40*INDEX(Curves!$B$4:$AO$4,1,76-Projects!$C$40+1)*Assumptions!$B$11*0.95),0)+IF(AND(Projects!$G$41="Yes",76&gt;=Projects!$C$41,76&lt;Projects!$C$41+Projects!$D$41),IF(76=Projects!$C$41+Projects!$D$41-1,Projects!$B$41*INDEX(Curves!$B$4:$AO$4,1,76-Projects!$C$41+1)*Assumptions!$B$11*0.95+0.05*Projects!$B$41*Assumptions!$B$11,Projects!$B$41*INDEX(Curves!$B$4:$AO$4,1,76-Projects!$C$41+1)*Assumptions!$B$11*0.95),0)+IF(AND(Projects!$G$42="Yes",76&gt;=Projects!$C$42,76&lt;Projects!$C$42+Projects!$D$42),IF(76=Projects!$C$42+Projects!$D$42-1,Projects!$B$42*INDEX(Curves!$B$4:$AO$4,1,76-Projects!$C$42+1)*Assumptions!$B$11*0.95+0.05*Projects!$B$42*Assumptions!$B$11,Projects!$B$42*INDEX(Curves!$B$4:$AO$4,1,76-Projects!$C$42+1)*Assumptions!$B$11*0.95),0)+IF(AND(Projects!$G$43="Yes",76&gt;=Projects!$C$43,76&lt;Projects!$C$43+Projects!$D$43),IF(76=Projects!$C$43+Projects!$D$43-1,Projects!$B$43*INDEX(Curves!$B$4:$AO$4,1,76-Projects!$C$43+1)*Assumptions!$B$11*0.95+0.05*Projects!$B$43*Assumptions!$B$11,Projects!$B$43*INDEX(Curves!$B$4:$AO$4,1,76-Projects!$C$43+1)*Assumptions!$B$11*0.95),0)+IF(AND(Projects!$G$44="Yes",76&gt;=Projects!$C$44,76&lt;Projects!$C$44+Projects!$D$44),IF(76=Projects!$C$44+Projects!$D$44-1,Projects!$B$44*INDEX(Curves!$B$4:$AO$4,1,76-Projects!$C$44+1)*Assumptions!$B$11*0.95+0.05*Projects!$B$44*Assumptions!$B$11,Projects!$B$44*INDEX(Curves!$B$4:$AO$4,1,76-Projects!$C$44+1)*Assumptions!$B$11*0.95),0)+IF(AND(Projects!$G$45="Yes",76&gt;=Projects!$C$45,76&lt;Projects!$C$45+Projects!$D$45),IF(76=Projects!$C$45+Projects!$D$45-1,Projects!$B$45*INDEX(Curves!$B$4:$AO$4,1,76-Projects!$C$45+1)*Assumptions!$B$11*0.95+0.05*Projects!$B$45*Assumptions!$B$11,Projects!$B$45*INDEX(Curves!$B$4:$AO$4,1,76-Projects!$C$45+1)*Assumptions!$B$11*0.95),0)+IF(AND(Projects!$G$46="Yes",76&gt;=Projects!$C$46,76&lt;Projects!$C$46+Projects!$D$46),IF(76=Projects!$C$46+Projects!$D$46-1,Projects!$B$46*INDEX(Curves!$B$4:$AO$4,1,76-Projects!$C$46+1)*Assumptions!$B$11*0.95+0.05*Projects!$B$46*Assumptions!$B$11,Projects!$B$46*INDEX(Curves!$B$4:$AO$4,1,76-Projects!$C$46+1)*Assumptions!$B$11*0.95),0)</f>
        <v/>
      </c>
      <c r="CA109">
        <f>IF(AND(Projects!$G$30="Yes",77&gt;=Projects!$C$30,77&lt;Projects!$C$30+Projects!$D$30),IF(77=Projects!$C$30+Projects!$D$30-1,Projects!$B$30*INDEX(Curves!$B$4:$AO$4,1,77-Projects!$C$30+1)*Assumptions!$B$11*0.95+0.05*Projects!$B$30*Assumptions!$B$11,Projects!$B$30*INDEX(Curves!$B$4:$AO$4,1,77-Projects!$C$30+1)*Assumptions!$B$11*0.95),0)+IF(AND(Projects!$G$31="Yes",77&gt;=Projects!$C$31,77&lt;Projects!$C$31+Projects!$D$31),IF(77=Projects!$C$31+Projects!$D$31-1,Projects!$B$31*INDEX(Curves!$B$4:$AO$4,1,77-Projects!$C$31+1)*Assumptions!$B$11*0.95+0.05*Projects!$B$31*Assumptions!$B$11,Projects!$B$31*INDEX(Curves!$B$4:$AO$4,1,77-Projects!$C$31+1)*Assumptions!$B$11*0.95),0)+IF(AND(Projects!$G$32="Yes",77&gt;=Projects!$C$32,77&lt;Projects!$C$32+Projects!$D$32),IF(77=Projects!$C$32+Projects!$D$32-1,Projects!$B$32*INDEX(Curves!$B$4:$AO$4,1,77-Projects!$C$32+1)*Assumptions!$B$11*0.95+0.05*Projects!$B$32*Assumptions!$B$11,Projects!$B$32*INDEX(Curves!$B$4:$AO$4,1,77-Projects!$C$32+1)*Assumptions!$B$11*0.95),0)+IF(AND(Projects!$G$33="Yes",77&gt;=Projects!$C$33,77&lt;Projects!$C$33+Projects!$D$33),IF(77=Projects!$C$33+Projects!$D$33-1,Projects!$B$33*INDEX(Curves!$B$4:$AO$4,1,77-Projects!$C$33+1)*Assumptions!$B$11*0.95+0.05*Projects!$B$33*Assumptions!$B$11,Projects!$B$33*INDEX(Curves!$B$4:$AO$4,1,77-Projects!$C$33+1)*Assumptions!$B$11*0.95),0)+IF(AND(Projects!$G$34="Yes",77&gt;=Projects!$C$34,77&lt;Projects!$C$34+Projects!$D$34),IF(77=Projects!$C$34+Projects!$D$34-1,Projects!$B$34*INDEX(Curves!$B$4:$AO$4,1,77-Projects!$C$34+1)*Assumptions!$B$11*0.95+0.05*Projects!$B$34*Assumptions!$B$11,Projects!$B$34*INDEX(Curves!$B$4:$AO$4,1,77-Projects!$C$34+1)*Assumptions!$B$11*0.95),0)+IF(AND(Projects!$G$35="Yes",77&gt;=Projects!$C$35,77&lt;Projects!$C$35+Projects!$D$35),IF(77=Projects!$C$35+Projects!$D$35-1,Projects!$B$35*INDEX(Curves!$B$4:$AO$4,1,77-Projects!$C$35+1)*Assumptions!$B$11*0.95+0.05*Projects!$B$35*Assumptions!$B$11,Projects!$B$35*INDEX(Curves!$B$4:$AO$4,1,77-Projects!$C$35+1)*Assumptions!$B$11*0.95),0)+IF(AND(Projects!$G$36="Yes",77&gt;=Projects!$C$36,77&lt;Projects!$C$36+Projects!$D$36),IF(77=Projects!$C$36+Projects!$D$36-1,Projects!$B$36*INDEX(Curves!$B$4:$AO$4,1,77-Projects!$C$36+1)*Assumptions!$B$11*0.95+0.05*Projects!$B$36*Assumptions!$B$11,Projects!$B$36*INDEX(Curves!$B$4:$AO$4,1,77-Projects!$C$36+1)*Assumptions!$B$11*0.95),0)+IF(AND(Projects!$G$37="Yes",77&gt;=Projects!$C$37,77&lt;Projects!$C$37+Projects!$D$37),IF(77=Projects!$C$37+Projects!$D$37-1,Projects!$B$37*INDEX(Curves!$B$4:$AO$4,1,77-Projects!$C$37+1)*Assumptions!$B$11*0.95+0.05*Projects!$B$37*Assumptions!$B$11,Projects!$B$37*INDEX(Curves!$B$4:$AO$4,1,77-Projects!$C$37+1)*Assumptions!$B$11*0.95),0)+IF(AND(Projects!$G$38="Yes",77&gt;=Projects!$C$38,77&lt;Projects!$C$38+Projects!$D$38),IF(77=Projects!$C$38+Projects!$D$38-1,Projects!$B$38*INDEX(Curves!$B$4:$AO$4,1,77-Projects!$C$38+1)*Assumptions!$B$11*0.95+0.05*Projects!$B$38*Assumptions!$B$11,Projects!$B$38*INDEX(Curves!$B$4:$AO$4,1,77-Projects!$C$38+1)*Assumptions!$B$11*0.95),0)+IF(AND(Projects!$G$39="Yes",77&gt;=Projects!$C$39,77&lt;Projects!$C$39+Projects!$D$39),IF(77=Projects!$C$39+Projects!$D$39-1,Projects!$B$39*INDEX(Curves!$B$4:$AO$4,1,77-Projects!$C$39+1)*Assumptions!$B$11*0.95+0.05*Projects!$B$39*Assumptions!$B$11,Projects!$B$39*INDEX(Curves!$B$4:$AO$4,1,77-Projects!$C$39+1)*Assumptions!$B$11*0.95),0)+IF(AND(Projects!$G$40="Yes",77&gt;=Projects!$C$40,77&lt;Projects!$C$40+Projects!$D$40),IF(77=Projects!$C$40+Projects!$D$40-1,Projects!$B$40*INDEX(Curves!$B$4:$AO$4,1,77-Projects!$C$40+1)*Assumptions!$B$11*0.95+0.05*Projects!$B$40*Assumptions!$B$11,Projects!$B$40*INDEX(Curves!$B$4:$AO$4,1,77-Projects!$C$40+1)*Assumptions!$B$11*0.95),0)+IF(AND(Projects!$G$41="Yes",77&gt;=Projects!$C$41,77&lt;Projects!$C$41+Projects!$D$41),IF(77=Projects!$C$41+Projects!$D$41-1,Projects!$B$41*INDEX(Curves!$B$4:$AO$4,1,77-Projects!$C$41+1)*Assumptions!$B$11*0.95+0.05*Projects!$B$41*Assumptions!$B$11,Projects!$B$41*INDEX(Curves!$B$4:$AO$4,1,77-Projects!$C$41+1)*Assumptions!$B$11*0.95),0)+IF(AND(Projects!$G$42="Yes",77&gt;=Projects!$C$42,77&lt;Projects!$C$42+Projects!$D$42),IF(77=Projects!$C$42+Projects!$D$42-1,Projects!$B$42*INDEX(Curves!$B$4:$AO$4,1,77-Projects!$C$42+1)*Assumptions!$B$11*0.95+0.05*Projects!$B$42*Assumptions!$B$11,Projects!$B$42*INDEX(Curves!$B$4:$AO$4,1,77-Projects!$C$42+1)*Assumptions!$B$11*0.95),0)+IF(AND(Projects!$G$43="Yes",77&gt;=Projects!$C$43,77&lt;Projects!$C$43+Projects!$D$43),IF(77=Projects!$C$43+Projects!$D$43-1,Projects!$B$43*INDEX(Curves!$B$4:$AO$4,1,77-Projects!$C$43+1)*Assumptions!$B$11*0.95+0.05*Projects!$B$43*Assumptions!$B$11,Projects!$B$43*INDEX(Curves!$B$4:$AO$4,1,77-Projects!$C$43+1)*Assumptions!$B$11*0.95),0)+IF(AND(Projects!$G$44="Yes",77&gt;=Projects!$C$44,77&lt;Projects!$C$44+Projects!$D$44),IF(77=Projects!$C$44+Projects!$D$44-1,Projects!$B$44*INDEX(Curves!$B$4:$AO$4,1,77-Projects!$C$44+1)*Assumptions!$B$11*0.95+0.05*Projects!$B$44*Assumptions!$B$11,Projects!$B$44*INDEX(Curves!$B$4:$AO$4,1,77-Projects!$C$44+1)*Assumptions!$B$11*0.95),0)+IF(AND(Projects!$G$45="Yes",77&gt;=Projects!$C$45,77&lt;Projects!$C$45+Projects!$D$45),IF(77=Projects!$C$45+Projects!$D$45-1,Projects!$B$45*INDEX(Curves!$B$4:$AO$4,1,77-Projects!$C$45+1)*Assumptions!$B$11*0.95+0.05*Projects!$B$45*Assumptions!$B$11,Projects!$B$45*INDEX(Curves!$B$4:$AO$4,1,77-Projects!$C$45+1)*Assumptions!$B$11*0.95),0)+IF(AND(Projects!$G$46="Yes",77&gt;=Projects!$C$46,77&lt;Projects!$C$46+Projects!$D$46),IF(77=Projects!$C$46+Projects!$D$46-1,Projects!$B$46*INDEX(Curves!$B$4:$AO$4,1,77-Projects!$C$46+1)*Assumptions!$B$11*0.95+0.05*Projects!$B$46*Assumptions!$B$11,Projects!$B$46*INDEX(Curves!$B$4:$AO$4,1,77-Projects!$C$46+1)*Assumptions!$B$11*0.95),0)</f>
        <v/>
      </c>
      <c r="CB109">
        <f>IF(AND(Projects!$G$30="Yes",78&gt;=Projects!$C$30,78&lt;Projects!$C$30+Projects!$D$30),IF(78=Projects!$C$30+Projects!$D$30-1,Projects!$B$30*INDEX(Curves!$B$4:$AO$4,1,78-Projects!$C$30+1)*Assumptions!$B$11*0.95+0.05*Projects!$B$30*Assumptions!$B$11,Projects!$B$30*INDEX(Curves!$B$4:$AO$4,1,78-Projects!$C$30+1)*Assumptions!$B$11*0.95),0)+IF(AND(Projects!$G$31="Yes",78&gt;=Projects!$C$31,78&lt;Projects!$C$31+Projects!$D$31),IF(78=Projects!$C$31+Projects!$D$31-1,Projects!$B$31*INDEX(Curves!$B$4:$AO$4,1,78-Projects!$C$31+1)*Assumptions!$B$11*0.95+0.05*Projects!$B$31*Assumptions!$B$11,Projects!$B$31*INDEX(Curves!$B$4:$AO$4,1,78-Projects!$C$31+1)*Assumptions!$B$11*0.95),0)+IF(AND(Projects!$G$32="Yes",78&gt;=Projects!$C$32,78&lt;Projects!$C$32+Projects!$D$32),IF(78=Projects!$C$32+Projects!$D$32-1,Projects!$B$32*INDEX(Curves!$B$4:$AO$4,1,78-Projects!$C$32+1)*Assumptions!$B$11*0.95+0.05*Projects!$B$32*Assumptions!$B$11,Projects!$B$32*INDEX(Curves!$B$4:$AO$4,1,78-Projects!$C$32+1)*Assumptions!$B$11*0.95),0)+IF(AND(Projects!$G$33="Yes",78&gt;=Projects!$C$33,78&lt;Projects!$C$33+Projects!$D$33),IF(78=Projects!$C$33+Projects!$D$33-1,Projects!$B$33*INDEX(Curves!$B$4:$AO$4,1,78-Projects!$C$33+1)*Assumptions!$B$11*0.95+0.05*Projects!$B$33*Assumptions!$B$11,Projects!$B$33*INDEX(Curves!$B$4:$AO$4,1,78-Projects!$C$33+1)*Assumptions!$B$11*0.95),0)+IF(AND(Projects!$G$34="Yes",78&gt;=Projects!$C$34,78&lt;Projects!$C$34+Projects!$D$34),IF(78=Projects!$C$34+Projects!$D$34-1,Projects!$B$34*INDEX(Curves!$B$4:$AO$4,1,78-Projects!$C$34+1)*Assumptions!$B$11*0.95+0.05*Projects!$B$34*Assumptions!$B$11,Projects!$B$34*INDEX(Curves!$B$4:$AO$4,1,78-Projects!$C$34+1)*Assumptions!$B$11*0.95),0)+IF(AND(Projects!$G$35="Yes",78&gt;=Projects!$C$35,78&lt;Projects!$C$35+Projects!$D$35),IF(78=Projects!$C$35+Projects!$D$35-1,Projects!$B$35*INDEX(Curves!$B$4:$AO$4,1,78-Projects!$C$35+1)*Assumptions!$B$11*0.95+0.05*Projects!$B$35*Assumptions!$B$11,Projects!$B$35*INDEX(Curves!$B$4:$AO$4,1,78-Projects!$C$35+1)*Assumptions!$B$11*0.95),0)+IF(AND(Projects!$G$36="Yes",78&gt;=Projects!$C$36,78&lt;Projects!$C$36+Projects!$D$36),IF(78=Projects!$C$36+Projects!$D$36-1,Projects!$B$36*INDEX(Curves!$B$4:$AO$4,1,78-Projects!$C$36+1)*Assumptions!$B$11*0.95+0.05*Projects!$B$36*Assumptions!$B$11,Projects!$B$36*INDEX(Curves!$B$4:$AO$4,1,78-Projects!$C$36+1)*Assumptions!$B$11*0.95),0)+IF(AND(Projects!$G$37="Yes",78&gt;=Projects!$C$37,78&lt;Projects!$C$37+Projects!$D$37),IF(78=Projects!$C$37+Projects!$D$37-1,Projects!$B$37*INDEX(Curves!$B$4:$AO$4,1,78-Projects!$C$37+1)*Assumptions!$B$11*0.95+0.05*Projects!$B$37*Assumptions!$B$11,Projects!$B$37*INDEX(Curves!$B$4:$AO$4,1,78-Projects!$C$37+1)*Assumptions!$B$11*0.95),0)+IF(AND(Projects!$G$38="Yes",78&gt;=Projects!$C$38,78&lt;Projects!$C$38+Projects!$D$38),IF(78=Projects!$C$38+Projects!$D$38-1,Projects!$B$38*INDEX(Curves!$B$4:$AO$4,1,78-Projects!$C$38+1)*Assumptions!$B$11*0.95+0.05*Projects!$B$38*Assumptions!$B$11,Projects!$B$38*INDEX(Curves!$B$4:$AO$4,1,78-Projects!$C$38+1)*Assumptions!$B$11*0.95),0)+IF(AND(Projects!$G$39="Yes",78&gt;=Projects!$C$39,78&lt;Projects!$C$39+Projects!$D$39),IF(78=Projects!$C$39+Projects!$D$39-1,Projects!$B$39*INDEX(Curves!$B$4:$AO$4,1,78-Projects!$C$39+1)*Assumptions!$B$11*0.95+0.05*Projects!$B$39*Assumptions!$B$11,Projects!$B$39*INDEX(Curves!$B$4:$AO$4,1,78-Projects!$C$39+1)*Assumptions!$B$11*0.95),0)+IF(AND(Projects!$G$40="Yes",78&gt;=Projects!$C$40,78&lt;Projects!$C$40+Projects!$D$40),IF(78=Projects!$C$40+Projects!$D$40-1,Projects!$B$40*INDEX(Curves!$B$4:$AO$4,1,78-Projects!$C$40+1)*Assumptions!$B$11*0.95+0.05*Projects!$B$40*Assumptions!$B$11,Projects!$B$40*INDEX(Curves!$B$4:$AO$4,1,78-Projects!$C$40+1)*Assumptions!$B$11*0.95),0)+IF(AND(Projects!$G$41="Yes",78&gt;=Projects!$C$41,78&lt;Projects!$C$41+Projects!$D$41),IF(78=Projects!$C$41+Projects!$D$41-1,Projects!$B$41*INDEX(Curves!$B$4:$AO$4,1,78-Projects!$C$41+1)*Assumptions!$B$11*0.95+0.05*Projects!$B$41*Assumptions!$B$11,Projects!$B$41*INDEX(Curves!$B$4:$AO$4,1,78-Projects!$C$41+1)*Assumptions!$B$11*0.95),0)+IF(AND(Projects!$G$42="Yes",78&gt;=Projects!$C$42,78&lt;Projects!$C$42+Projects!$D$42),IF(78=Projects!$C$42+Projects!$D$42-1,Projects!$B$42*INDEX(Curves!$B$4:$AO$4,1,78-Projects!$C$42+1)*Assumptions!$B$11*0.95+0.05*Projects!$B$42*Assumptions!$B$11,Projects!$B$42*INDEX(Curves!$B$4:$AO$4,1,78-Projects!$C$42+1)*Assumptions!$B$11*0.95),0)+IF(AND(Projects!$G$43="Yes",78&gt;=Projects!$C$43,78&lt;Projects!$C$43+Projects!$D$43),IF(78=Projects!$C$43+Projects!$D$43-1,Projects!$B$43*INDEX(Curves!$B$4:$AO$4,1,78-Projects!$C$43+1)*Assumptions!$B$11*0.95+0.05*Projects!$B$43*Assumptions!$B$11,Projects!$B$43*INDEX(Curves!$B$4:$AO$4,1,78-Projects!$C$43+1)*Assumptions!$B$11*0.95),0)+IF(AND(Projects!$G$44="Yes",78&gt;=Projects!$C$44,78&lt;Projects!$C$44+Projects!$D$44),IF(78=Projects!$C$44+Projects!$D$44-1,Projects!$B$44*INDEX(Curves!$B$4:$AO$4,1,78-Projects!$C$44+1)*Assumptions!$B$11*0.95+0.05*Projects!$B$44*Assumptions!$B$11,Projects!$B$44*INDEX(Curves!$B$4:$AO$4,1,78-Projects!$C$44+1)*Assumptions!$B$11*0.95),0)+IF(AND(Projects!$G$45="Yes",78&gt;=Projects!$C$45,78&lt;Projects!$C$45+Projects!$D$45),IF(78=Projects!$C$45+Projects!$D$45-1,Projects!$B$45*INDEX(Curves!$B$4:$AO$4,1,78-Projects!$C$45+1)*Assumptions!$B$11*0.95+0.05*Projects!$B$45*Assumptions!$B$11,Projects!$B$45*INDEX(Curves!$B$4:$AO$4,1,78-Projects!$C$45+1)*Assumptions!$B$11*0.95),0)+IF(AND(Projects!$G$46="Yes",78&gt;=Projects!$C$46,78&lt;Projects!$C$46+Projects!$D$46),IF(78=Projects!$C$46+Projects!$D$46-1,Projects!$B$46*INDEX(Curves!$B$4:$AO$4,1,78-Projects!$C$46+1)*Assumptions!$B$11*0.95+0.05*Projects!$B$46*Assumptions!$B$11,Projects!$B$46*INDEX(Curves!$B$4:$AO$4,1,78-Projects!$C$46+1)*Assumptions!$B$11*0.95),0)</f>
        <v/>
      </c>
      <c r="CC109">
        <f>IF(AND(Projects!$G$30="Yes",79&gt;=Projects!$C$30,79&lt;Projects!$C$30+Projects!$D$30),IF(79=Projects!$C$30+Projects!$D$30-1,Projects!$B$30*INDEX(Curves!$B$4:$AO$4,1,79-Projects!$C$30+1)*Assumptions!$B$11*0.95+0.05*Projects!$B$30*Assumptions!$B$11,Projects!$B$30*INDEX(Curves!$B$4:$AO$4,1,79-Projects!$C$30+1)*Assumptions!$B$11*0.95),0)+IF(AND(Projects!$G$31="Yes",79&gt;=Projects!$C$31,79&lt;Projects!$C$31+Projects!$D$31),IF(79=Projects!$C$31+Projects!$D$31-1,Projects!$B$31*INDEX(Curves!$B$4:$AO$4,1,79-Projects!$C$31+1)*Assumptions!$B$11*0.95+0.05*Projects!$B$31*Assumptions!$B$11,Projects!$B$31*INDEX(Curves!$B$4:$AO$4,1,79-Projects!$C$31+1)*Assumptions!$B$11*0.95),0)+IF(AND(Projects!$G$32="Yes",79&gt;=Projects!$C$32,79&lt;Projects!$C$32+Projects!$D$32),IF(79=Projects!$C$32+Projects!$D$32-1,Projects!$B$32*INDEX(Curves!$B$4:$AO$4,1,79-Projects!$C$32+1)*Assumptions!$B$11*0.95+0.05*Projects!$B$32*Assumptions!$B$11,Projects!$B$32*INDEX(Curves!$B$4:$AO$4,1,79-Projects!$C$32+1)*Assumptions!$B$11*0.95),0)+IF(AND(Projects!$G$33="Yes",79&gt;=Projects!$C$33,79&lt;Projects!$C$33+Projects!$D$33),IF(79=Projects!$C$33+Projects!$D$33-1,Projects!$B$33*INDEX(Curves!$B$4:$AO$4,1,79-Projects!$C$33+1)*Assumptions!$B$11*0.95+0.05*Projects!$B$33*Assumptions!$B$11,Projects!$B$33*INDEX(Curves!$B$4:$AO$4,1,79-Projects!$C$33+1)*Assumptions!$B$11*0.95),0)+IF(AND(Projects!$G$34="Yes",79&gt;=Projects!$C$34,79&lt;Projects!$C$34+Projects!$D$34),IF(79=Projects!$C$34+Projects!$D$34-1,Projects!$B$34*INDEX(Curves!$B$4:$AO$4,1,79-Projects!$C$34+1)*Assumptions!$B$11*0.95+0.05*Projects!$B$34*Assumptions!$B$11,Projects!$B$34*INDEX(Curves!$B$4:$AO$4,1,79-Projects!$C$34+1)*Assumptions!$B$11*0.95),0)+IF(AND(Projects!$G$35="Yes",79&gt;=Projects!$C$35,79&lt;Projects!$C$35+Projects!$D$35),IF(79=Projects!$C$35+Projects!$D$35-1,Projects!$B$35*INDEX(Curves!$B$4:$AO$4,1,79-Projects!$C$35+1)*Assumptions!$B$11*0.95+0.05*Projects!$B$35*Assumptions!$B$11,Projects!$B$35*INDEX(Curves!$B$4:$AO$4,1,79-Projects!$C$35+1)*Assumptions!$B$11*0.95),0)+IF(AND(Projects!$G$36="Yes",79&gt;=Projects!$C$36,79&lt;Projects!$C$36+Projects!$D$36),IF(79=Projects!$C$36+Projects!$D$36-1,Projects!$B$36*INDEX(Curves!$B$4:$AO$4,1,79-Projects!$C$36+1)*Assumptions!$B$11*0.95+0.05*Projects!$B$36*Assumptions!$B$11,Projects!$B$36*INDEX(Curves!$B$4:$AO$4,1,79-Projects!$C$36+1)*Assumptions!$B$11*0.95),0)+IF(AND(Projects!$G$37="Yes",79&gt;=Projects!$C$37,79&lt;Projects!$C$37+Projects!$D$37),IF(79=Projects!$C$37+Projects!$D$37-1,Projects!$B$37*INDEX(Curves!$B$4:$AO$4,1,79-Projects!$C$37+1)*Assumptions!$B$11*0.95+0.05*Projects!$B$37*Assumptions!$B$11,Projects!$B$37*INDEX(Curves!$B$4:$AO$4,1,79-Projects!$C$37+1)*Assumptions!$B$11*0.95),0)+IF(AND(Projects!$G$38="Yes",79&gt;=Projects!$C$38,79&lt;Projects!$C$38+Projects!$D$38),IF(79=Projects!$C$38+Projects!$D$38-1,Projects!$B$38*INDEX(Curves!$B$4:$AO$4,1,79-Projects!$C$38+1)*Assumptions!$B$11*0.95+0.05*Projects!$B$38*Assumptions!$B$11,Projects!$B$38*INDEX(Curves!$B$4:$AO$4,1,79-Projects!$C$38+1)*Assumptions!$B$11*0.95),0)+IF(AND(Projects!$G$39="Yes",79&gt;=Projects!$C$39,79&lt;Projects!$C$39+Projects!$D$39),IF(79=Projects!$C$39+Projects!$D$39-1,Projects!$B$39*INDEX(Curves!$B$4:$AO$4,1,79-Projects!$C$39+1)*Assumptions!$B$11*0.95+0.05*Projects!$B$39*Assumptions!$B$11,Projects!$B$39*INDEX(Curves!$B$4:$AO$4,1,79-Projects!$C$39+1)*Assumptions!$B$11*0.95),0)+IF(AND(Projects!$G$40="Yes",79&gt;=Projects!$C$40,79&lt;Projects!$C$40+Projects!$D$40),IF(79=Projects!$C$40+Projects!$D$40-1,Projects!$B$40*INDEX(Curves!$B$4:$AO$4,1,79-Projects!$C$40+1)*Assumptions!$B$11*0.95+0.05*Projects!$B$40*Assumptions!$B$11,Projects!$B$40*INDEX(Curves!$B$4:$AO$4,1,79-Projects!$C$40+1)*Assumptions!$B$11*0.95),0)+IF(AND(Projects!$G$41="Yes",79&gt;=Projects!$C$41,79&lt;Projects!$C$41+Projects!$D$41),IF(79=Projects!$C$41+Projects!$D$41-1,Projects!$B$41*INDEX(Curves!$B$4:$AO$4,1,79-Projects!$C$41+1)*Assumptions!$B$11*0.95+0.05*Projects!$B$41*Assumptions!$B$11,Projects!$B$41*INDEX(Curves!$B$4:$AO$4,1,79-Projects!$C$41+1)*Assumptions!$B$11*0.95),0)+IF(AND(Projects!$G$42="Yes",79&gt;=Projects!$C$42,79&lt;Projects!$C$42+Projects!$D$42),IF(79=Projects!$C$42+Projects!$D$42-1,Projects!$B$42*INDEX(Curves!$B$4:$AO$4,1,79-Projects!$C$42+1)*Assumptions!$B$11*0.95+0.05*Projects!$B$42*Assumptions!$B$11,Projects!$B$42*INDEX(Curves!$B$4:$AO$4,1,79-Projects!$C$42+1)*Assumptions!$B$11*0.95),0)+IF(AND(Projects!$G$43="Yes",79&gt;=Projects!$C$43,79&lt;Projects!$C$43+Projects!$D$43),IF(79=Projects!$C$43+Projects!$D$43-1,Projects!$B$43*INDEX(Curves!$B$4:$AO$4,1,79-Projects!$C$43+1)*Assumptions!$B$11*0.95+0.05*Projects!$B$43*Assumptions!$B$11,Projects!$B$43*INDEX(Curves!$B$4:$AO$4,1,79-Projects!$C$43+1)*Assumptions!$B$11*0.95),0)+IF(AND(Projects!$G$44="Yes",79&gt;=Projects!$C$44,79&lt;Projects!$C$44+Projects!$D$44),IF(79=Projects!$C$44+Projects!$D$44-1,Projects!$B$44*INDEX(Curves!$B$4:$AO$4,1,79-Projects!$C$44+1)*Assumptions!$B$11*0.95+0.05*Projects!$B$44*Assumptions!$B$11,Projects!$B$44*INDEX(Curves!$B$4:$AO$4,1,79-Projects!$C$44+1)*Assumptions!$B$11*0.95),0)+IF(AND(Projects!$G$45="Yes",79&gt;=Projects!$C$45,79&lt;Projects!$C$45+Projects!$D$45),IF(79=Projects!$C$45+Projects!$D$45-1,Projects!$B$45*INDEX(Curves!$B$4:$AO$4,1,79-Projects!$C$45+1)*Assumptions!$B$11*0.95+0.05*Projects!$B$45*Assumptions!$B$11,Projects!$B$45*INDEX(Curves!$B$4:$AO$4,1,79-Projects!$C$45+1)*Assumptions!$B$11*0.95),0)+IF(AND(Projects!$G$46="Yes",79&gt;=Projects!$C$46,79&lt;Projects!$C$46+Projects!$D$46),IF(79=Projects!$C$46+Projects!$D$46-1,Projects!$B$46*INDEX(Curves!$B$4:$AO$4,1,79-Projects!$C$46+1)*Assumptions!$B$11*0.95+0.05*Projects!$B$46*Assumptions!$B$11,Projects!$B$46*INDEX(Curves!$B$4:$AO$4,1,79-Projects!$C$46+1)*Assumptions!$B$11*0.95),0)</f>
        <v/>
      </c>
      <c r="CD109">
        <f>IF(AND(Projects!$G$30="Yes",80&gt;=Projects!$C$30,80&lt;Projects!$C$30+Projects!$D$30),IF(80=Projects!$C$30+Projects!$D$30-1,Projects!$B$30*INDEX(Curves!$B$4:$AO$4,1,80-Projects!$C$30+1)*Assumptions!$B$11*0.95+0.05*Projects!$B$30*Assumptions!$B$11,Projects!$B$30*INDEX(Curves!$B$4:$AO$4,1,80-Projects!$C$30+1)*Assumptions!$B$11*0.95),0)+IF(AND(Projects!$G$31="Yes",80&gt;=Projects!$C$31,80&lt;Projects!$C$31+Projects!$D$31),IF(80=Projects!$C$31+Projects!$D$31-1,Projects!$B$31*INDEX(Curves!$B$4:$AO$4,1,80-Projects!$C$31+1)*Assumptions!$B$11*0.95+0.05*Projects!$B$31*Assumptions!$B$11,Projects!$B$31*INDEX(Curves!$B$4:$AO$4,1,80-Projects!$C$31+1)*Assumptions!$B$11*0.95),0)+IF(AND(Projects!$G$32="Yes",80&gt;=Projects!$C$32,80&lt;Projects!$C$32+Projects!$D$32),IF(80=Projects!$C$32+Projects!$D$32-1,Projects!$B$32*INDEX(Curves!$B$4:$AO$4,1,80-Projects!$C$32+1)*Assumptions!$B$11*0.95+0.05*Projects!$B$32*Assumptions!$B$11,Projects!$B$32*INDEX(Curves!$B$4:$AO$4,1,80-Projects!$C$32+1)*Assumptions!$B$11*0.95),0)+IF(AND(Projects!$G$33="Yes",80&gt;=Projects!$C$33,80&lt;Projects!$C$33+Projects!$D$33),IF(80=Projects!$C$33+Projects!$D$33-1,Projects!$B$33*INDEX(Curves!$B$4:$AO$4,1,80-Projects!$C$33+1)*Assumptions!$B$11*0.95+0.05*Projects!$B$33*Assumptions!$B$11,Projects!$B$33*INDEX(Curves!$B$4:$AO$4,1,80-Projects!$C$33+1)*Assumptions!$B$11*0.95),0)+IF(AND(Projects!$G$34="Yes",80&gt;=Projects!$C$34,80&lt;Projects!$C$34+Projects!$D$34),IF(80=Projects!$C$34+Projects!$D$34-1,Projects!$B$34*INDEX(Curves!$B$4:$AO$4,1,80-Projects!$C$34+1)*Assumptions!$B$11*0.95+0.05*Projects!$B$34*Assumptions!$B$11,Projects!$B$34*INDEX(Curves!$B$4:$AO$4,1,80-Projects!$C$34+1)*Assumptions!$B$11*0.95),0)+IF(AND(Projects!$G$35="Yes",80&gt;=Projects!$C$35,80&lt;Projects!$C$35+Projects!$D$35),IF(80=Projects!$C$35+Projects!$D$35-1,Projects!$B$35*INDEX(Curves!$B$4:$AO$4,1,80-Projects!$C$35+1)*Assumptions!$B$11*0.95+0.05*Projects!$B$35*Assumptions!$B$11,Projects!$B$35*INDEX(Curves!$B$4:$AO$4,1,80-Projects!$C$35+1)*Assumptions!$B$11*0.95),0)+IF(AND(Projects!$G$36="Yes",80&gt;=Projects!$C$36,80&lt;Projects!$C$36+Projects!$D$36),IF(80=Projects!$C$36+Projects!$D$36-1,Projects!$B$36*INDEX(Curves!$B$4:$AO$4,1,80-Projects!$C$36+1)*Assumptions!$B$11*0.95+0.05*Projects!$B$36*Assumptions!$B$11,Projects!$B$36*INDEX(Curves!$B$4:$AO$4,1,80-Projects!$C$36+1)*Assumptions!$B$11*0.95),0)+IF(AND(Projects!$G$37="Yes",80&gt;=Projects!$C$37,80&lt;Projects!$C$37+Projects!$D$37),IF(80=Projects!$C$37+Projects!$D$37-1,Projects!$B$37*INDEX(Curves!$B$4:$AO$4,1,80-Projects!$C$37+1)*Assumptions!$B$11*0.95+0.05*Projects!$B$37*Assumptions!$B$11,Projects!$B$37*INDEX(Curves!$B$4:$AO$4,1,80-Projects!$C$37+1)*Assumptions!$B$11*0.95),0)+IF(AND(Projects!$G$38="Yes",80&gt;=Projects!$C$38,80&lt;Projects!$C$38+Projects!$D$38),IF(80=Projects!$C$38+Projects!$D$38-1,Projects!$B$38*INDEX(Curves!$B$4:$AO$4,1,80-Projects!$C$38+1)*Assumptions!$B$11*0.95+0.05*Projects!$B$38*Assumptions!$B$11,Projects!$B$38*INDEX(Curves!$B$4:$AO$4,1,80-Projects!$C$38+1)*Assumptions!$B$11*0.95),0)+IF(AND(Projects!$G$39="Yes",80&gt;=Projects!$C$39,80&lt;Projects!$C$39+Projects!$D$39),IF(80=Projects!$C$39+Projects!$D$39-1,Projects!$B$39*INDEX(Curves!$B$4:$AO$4,1,80-Projects!$C$39+1)*Assumptions!$B$11*0.95+0.05*Projects!$B$39*Assumptions!$B$11,Projects!$B$39*INDEX(Curves!$B$4:$AO$4,1,80-Projects!$C$39+1)*Assumptions!$B$11*0.95),0)+IF(AND(Projects!$G$40="Yes",80&gt;=Projects!$C$40,80&lt;Projects!$C$40+Projects!$D$40),IF(80=Projects!$C$40+Projects!$D$40-1,Projects!$B$40*INDEX(Curves!$B$4:$AO$4,1,80-Projects!$C$40+1)*Assumptions!$B$11*0.95+0.05*Projects!$B$40*Assumptions!$B$11,Projects!$B$40*INDEX(Curves!$B$4:$AO$4,1,80-Projects!$C$40+1)*Assumptions!$B$11*0.95),0)+IF(AND(Projects!$G$41="Yes",80&gt;=Projects!$C$41,80&lt;Projects!$C$41+Projects!$D$41),IF(80=Projects!$C$41+Projects!$D$41-1,Projects!$B$41*INDEX(Curves!$B$4:$AO$4,1,80-Projects!$C$41+1)*Assumptions!$B$11*0.95+0.05*Projects!$B$41*Assumptions!$B$11,Projects!$B$41*INDEX(Curves!$B$4:$AO$4,1,80-Projects!$C$41+1)*Assumptions!$B$11*0.95),0)+IF(AND(Projects!$G$42="Yes",80&gt;=Projects!$C$42,80&lt;Projects!$C$42+Projects!$D$42),IF(80=Projects!$C$42+Projects!$D$42-1,Projects!$B$42*INDEX(Curves!$B$4:$AO$4,1,80-Projects!$C$42+1)*Assumptions!$B$11*0.95+0.05*Projects!$B$42*Assumptions!$B$11,Projects!$B$42*INDEX(Curves!$B$4:$AO$4,1,80-Projects!$C$42+1)*Assumptions!$B$11*0.95),0)+IF(AND(Projects!$G$43="Yes",80&gt;=Projects!$C$43,80&lt;Projects!$C$43+Projects!$D$43),IF(80=Projects!$C$43+Projects!$D$43-1,Projects!$B$43*INDEX(Curves!$B$4:$AO$4,1,80-Projects!$C$43+1)*Assumptions!$B$11*0.95+0.05*Projects!$B$43*Assumptions!$B$11,Projects!$B$43*INDEX(Curves!$B$4:$AO$4,1,80-Projects!$C$43+1)*Assumptions!$B$11*0.95),0)+IF(AND(Projects!$G$44="Yes",80&gt;=Projects!$C$44,80&lt;Projects!$C$44+Projects!$D$44),IF(80=Projects!$C$44+Projects!$D$44-1,Projects!$B$44*INDEX(Curves!$B$4:$AO$4,1,80-Projects!$C$44+1)*Assumptions!$B$11*0.95+0.05*Projects!$B$44*Assumptions!$B$11,Projects!$B$44*INDEX(Curves!$B$4:$AO$4,1,80-Projects!$C$44+1)*Assumptions!$B$11*0.95),0)+IF(AND(Projects!$G$45="Yes",80&gt;=Projects!$C$45,80&lt;Projects!$C$45+Projects!$D$45),IF(80=Projects!$C$45+Projects!$D$45-1,Projects!$B$45*INDEX(Curves!$B$4:$AO$4,1,80-Projects!$C$45+1)*Assumptions!$B$11*0.95+0.05*Projects!$B$45*Assumptions!$B$11,Projects!$B$45*INDEX(Curves!$B$4:$AO$4,1,80-Projects!$C$45+1)*Assumptions!$B$11*0.95),0)+IF(AND(Projects!$G$46="Yes",80&gt;=Projects!$C$46,80&lt;Projects!$C$46+Projects!$D$46),IF(80=Projects!$C$46+Projects!$D$46-1,Projects!$B$46*INDEX(Curves!$B$4:$AO$4,1,80-Projects!$C$46+1)*Assumptions!$B$11*0.95+0.05*Projects!$B$46*Assumptions!$B$11,Projects!$B$46*INDEX(Curves!$B$4:$AO$4,1,80-Projects!$C$46+1)*Assumptions!$B$11*0.95),0)</f>
        <v/>
      </c>
      <c r="CE109">
        <f>IF(AND(Projects!$G$30="Yes",81&gt;=Projects!$C$30,81&lt;Projects!$C$30+Projects!$D$30),IF(81=Projects!$C$30+Projects!$D$30-1,Projects!$B$30*INDEX(Curves!$B$4:$AO$4,1,81-Projects!$C$30+1)*Assumptions!$B$11*0.95+0.05*Projects!$B$30*Assumptions!$B$11,Projects!$B$30*INDEX(Curves!$B$4:$AO$4,1,81-Projects!$C$30+1)*Assumptions!$B$11*0.95),0)+IF(AND(Projects!$G$31="Yes",81&gt;=Projects!$C$31,81&lt;Projects!$C$31+Projects!$D$31),IF(81=Projects!$C$31+Projects!$D$31-1,Projects!$B$31*INDEX(Curves!$B$4:$AO$4,1,81-Projects!$C$31+1)*Assumptions!$B$11*0.95+0.05*Projects!$B$31*Assumptions!$B$11,Projects!$B$31*INDEX(Curves!$B$4:$AO$4,1,81-Projects!$C$31+1)*Assumptions!$B$11*0.95),0)+IF(AND(Projects!$G$32="Yes",81&gt;=Projects!$C$32,81&lt;Projects!$C$32+Projects!$D$32),IF(81=Projects!$C$32+Projects!$D$32-1,Projects!$B$32*INDEX(Curves!$B$4:$AO$4,1,81-Projects!$C$32+1)*Assumptions!$B$11*0.95+0.05*Projects!$B$32*Assumptions!$B$11,Projects!$B$32*INDEX(Curves!$B$4:$AO$4,1,81-Projects!$C$32+1)*Assumptions!$B$11*0.95),0)+IF(AND(Projects!$G$33="Yes",81&gt;=Projects!$C$33,81&lt;Projects!$C$33+Projects!$D$33),IF(81=Projects!$C$33+Projects!$D$33-1,Projects!$B$33*INDEX(Curves!$B$4:$AO$4,1,81-Projects!$C$33+1)*Assumptions!$B$11*0.95+0.05*Projects!$B$33*Assumptions!$B$11,Projects!$B$33*INDEX(Curves!$B$4:$AO$4,1,81-Projects!$C$33+1)*Assumptions!$B$11*0.95),0)+IF(AND(Projects!$G$34="Yes",81&gt;=Projects!$C$34,81&lt;Projects!$C$34+Projects!$D$34),IF(81=Projects!$C$34+Projects!$D$34-1,Projects!$B$34*INDEX(Curves!$B$4:$AO$4,1,81-Projects!$C$34+1)*Assumptions!$B$11*0.95+0.05*Projects!$B$34*Assumptions!$B$11,Projects!$B$34*INDEX(Curves!$B$4:$AO$4,1,81-Projects!$C$34+1)*Assumptions!$B$11*0.95),0)+IF(AND(Projects!$G$35="Yes",81&gt;=Projects!$C$35,81&lt;Projects!$C$35+Projects!$D$35),IF(81=Projects!$C$35+Projects!$D$35-1,Projects!$B$35*INDEX(Curves!$B$4:$AO$4,1,81-Projects!$C$35+1)*Assumptions!$B$11*0.95+0.05*Projects!$B$35*Assumptions!$B$11,Projects!$B$35*INDEX(Curves!$B$4:$AO$4,1,81-Projects!$C$35+1)*Assumptions!$B$11*0.95),0)+IF(AND(Projects!$G$36="Yes",81&gt;=Projects!$C$36,81&lt;Projects!$C$36+Projects!$D$36),IF(81=Projects!$C$36+Projects!$D$36-1,Projects!$B$36*INDEX(Curves!$B$4:$AO$4,1,81-Projects!$C$36+1)*Assumptions!$B$11*0.95+0.05*Projects!$B$36*Assumptions!$B$11,Projects!$B$36*INDEX(Curves!$B$4:$AO$4,1,81-Projects!$C$36+1)*Assumptions!$B$11*0.95),0)+IF(AND(Projects!$G$37="Yes",81&gt;=Projects!$C$37,81&lt;Projects!$C$37+Projects!$D$37),IF(81=Projects!$C$37+Projects!$D$37-1,Projects!$B$37*INDEX(Curves!$B$4:$AO$4,1,81-Projects!$C$37+1)*Assumptions!$B$11*0.95+0.05*Projects!$B$37*Assumptions!$B$11,Projects!$B$37*INDEX(Curves!$B$4:$AO$4,1,81-Projects!$C$37+1)*Assumptions!$B$11*0.95),0)+IF(AND(Projects!$G$38="Yes",81&gt;=Projects!$C$38,81&lt;Projects!$C$38+Projects!$D$38),IF(81=Projects!$C$38+Projects!$D$38-1,Projects!$B$38*INDEX(Curves!$B$4:$AO$4,1,81-Projects!$C$38+1)*Assumptions!$B$11*0.95+0.05*Projects!$B$38*Assumptions!$B$11,Projects!$B$38*INDEX(Curves!$B$4:$AO$4,1,81-Projects!$C$38+1)*Assumptions!$B$11*0.95),0)+IF(AND(Projects!$G$39="Yes",81&gt;=Projects!$C$39,81&lt;Projects!$C$39+Projects!$D$39),IF(81=Projects!$C$39+Projects!$D$39-1,Projects!$B$39*INDEX(Curves!$B$4:$AO$4,1,81-Projects!$C$39+1)*Assumptions!$B$11*0.95+0.05*Projects!$B$39*Assumptions!$B$11,Projects!$B$39*INDEX(Curves!$B$4:$AO$4,1,81-Projects!$C$39+1)*Assumptions!$B$11*0.95),0)+IF(AND(Projects!$G$40="Yes",81&gt;=Projects!$C$40,81&lt;Projects!$C$40+Projects!$D$40),IF(81=Projects!$C$40+Projects!$D$40-1,Projects!$B$40*INDEX(Curves!$B$4:$AO$4,1,81-Projects!$C$40+1)*Assumptions!$B$11*0.95+0.05*Projects!$B$40*Assumptions!$B$11,Projects!$B$40*INDEX(Curves!$B$4:$AO$4,1,81-Projects!$C$40+1)*Assumptions!$B$11*0.95),0)+IF(AND(Projects!$G$41="Yes",81&gt;=Projects!$C$41,81&lt;Projects!$C$41+Projects!$D$41),IF(81=Projects!$C$41+Projects!$D$41-1,Projects!$B$41*INDEX(Curves!$B$4:$AO$4,1,81-Projects!$C$41+1)*Assumptions!$B$11*0.95+0.05*Projects!$B$41*Assumptions!$B$11,Projects!$B$41*INDEX(Curves!$B$4:$AO$4,1,81-Projects!$C$41+1)*Assumptions!$B$11*0.95),0)+IF(AND(Projects!$G$42="Yes",81&gt;=Projects!$C$42,81&lt;Projects!$C$42+Projects!$D$42),IF(81=Projects!$C$42+Projects!$D$42-1,Projects!$B$42*INDEX(Curves!$B$4:$AO$4,1,81-Projects!$C$42+1)*Assumptions!$B$11*0.95+0.05*Projects!$B$42*Assumptions!$B$11,Projects!$B$42*INDEX(Curves!$B$4:$AO$4,1,81-Projects!$C$42+1)*Assumptions!$B$11*0.95),0)+IF(AND(Projects!$G$43="Yes",81&gt;=Projects!$C$43,81&lt;Projects!$C$43+Projects!$D$43),IF(81=Projects!$C$43+Projects!$D$43-1,Projects!$B$43*INDEX(Curves!$B$4:$AO$4,1,81-Projects!$C$43+1)*Assumptions!$B$11*0.95+0.05*Projects!$B$43*Assumptions!$B$11,Projects!$B$43*INDEX(Curves!$B$4:$AO$4,1,81-Projects!$C$43+1)*Assumptions!$B$11*0.95),0)+IF(AND(Projects!$G$44="Yes",81&gt;=Projects!$C$44,81&lt;Projects!$C$44+Projects!$D$44),IF(81=Projects!$C$44+Projects!$D$44-1,Projects!$B$44*INDEX(Curves!$B$4:$AO$4,1,81-Projects!$C$44+1)*Assumptions!$B$11*0.95+0.05*Projects!$B$44*Assumptions!$B$11,Projects!$B$44*INDEX(Curves!$B$4:$AO$4,1,81-Projects!$C$44+1)*Assumptions!$B$11*0.95),0)+IF(AND(Projects!$G$45="Yes",81&gt;=Projects!$C$45,81&lt;Projects!$C$45+Projects!$D$45),IF(81=Projects!$C$45+Projects!$D$45-1,Projects!$B$45*INDEX(Curves!$B$4:$AO$4,1,81-Projects!$C$45+1)*Assumptions!$B$11*0.95+0.05*Projects!$B$45*Assumptions!$B$11,Projects!$B$45*INDEX(Curves!$B$4:$AO$4,1,81-Projects!$C$45+1)*Assumptions!$B$11*0.95),0)+IF(AND(Projects!$G$46="Yes",81&gt;=Projects!$C$46,81&lt;Projects!$C$46+Projects!$D$46),IF(81=Projects!$C$46+Projects!$D$46-1,Projects!$B$46*INDEX(Curves!$B$4:$AO$4,1,81-Projects!$C$46+1)*Assumptions!$B$11*0.95+0.05*Projects!$B$46*Assumptions!$B$11,Projects!$B$46*INDEX(Curves!$B$4:$AO$4,1,81-Projects!$C$46+1)*Assumptions!$B$11*0.95),0)</f>
        <v/>
      </c>
      <c r="CF109">
        <f>IF(AND(Projects!$G$30="Yes",82&gt;=Projects!$C$30,82&lt;Projects!$C$30+Projects!$D$30),IF(82=Projects!$C$30+Projects!$D$30-1,Projects!$B$30*INDEX(Curves!$B$4:$AO$4,1,82-Projects!$C$30+1)*Assumptions!$B$11*0.95+0.05*Projects!$B$30*Assumptions!$B$11,Projects!$B$30*INDEX(Curves!$B$4:$AO$4,1,82-Projects!$C$30+1)*Assumptions!$B$11*0.95),0)+IF(AND(Projects!$G$31="Yes",82&gt;=Projects!$C$31,82&lt;Projects!$C$31+Projects!$D$31),IF(82=Projects!$C$31+Projects!$D$31-1,Projects!$B$31*INDEX(Curves!$B$4:$AO$4,1,82-Projects!$C$31+1)*Assumptions!$B$11*0.95+0.05*Projects!$B$31*Assumptions!$B$11,Projects!$B$31*INDEX(Curves!$B$4:$AO$4,1,82-Projects!$C$31+1)*Assumptions!$B$11*0.95),0)+IF(AND(Projects!$G$32="Yes",82&gt;=Projects!$C$32,82&lt;Projects!$C$32+Projects!$D$32),IF(82=Projects!$C$32+Projects!$D$32-1,Projects!$B$32*INDEX(Curves!$B$4:$AO$4,1,82-Projects!$C$32+1)*Assumptions!$B$11*0.95+0.05*Projects!$B$32*Assumptions!$B$11,Projects!$B$32*INDEX(Curves!$B$4:$AO$4,1,82-Projects!$C$32+1)*Assumptions!$B$11*0.95),0)+IF(AND(Projects!$G$33="Yes",82&gt;=Projects!$C$33,82&lt;Projects!$C$33+Projects!$D$33),IF(82=Projects!$C$33+Projects!$D$33-1,Projects!$B$33*INDEX(Curves!$B$4:$AO$4,1,82-Projects!$C$33+1)*Assumptions!$B$11*0.95+0.05*Projects!$B$33*Assumptions!$B$11,Projects!$B$33*INDEX(Curves!$B$4:$AO$4,1,82-Projects!$C$33+1)*Assumptions!$B$11*0.95),0)+IF(AND(Projects!$G$34="Yes",82&gt;=Projects!$C$34,82&lt;Projects!$C$34+Projects!$D$34),IF(82=Projects!$C$34+Projects!$D$34-1,Projects!$B$34*INDEX(Curves!$B$4:$AO$4,1,82-Projects!$C$34+1)*Assumptions!$B$11*0.95+0.05*Projects!$B$34*Assumptions!$B$11,Projects!$B$34*INDEX(Curves!$B$4:$AO$4,1,82-Projects!$C$34+1)*Assumptions!$B$11*0.95),0)+IF(AND(Projects!$G$35="Yes",82&gt;=Projects!$C$35,82&lt;Projects!$C$35+Projects!$D$35),IF(82=Projects!$C$35+Projects!$D$35-1,Projects!$B$35*INDEX(Curves!$B$4:$AO$4,1,82-Projects!$C$35+1)*Assumptions!$B$11*0.95+0.05*Projects!$B$35*Assumptions!$B$11,Projects!$B$35*INDEX(Curves!$B$4:$AO$4,1,82-Projects!$C$35+1)*Assumptions!$B$11*0.95),0)+IF(AND(Projects!$G$36="Yes",82&gt;=Projects!$C$36,82&lt;Projects!$C$36+Projects!$D$36),IF(82=Projects!$C$36+Projects!$D$36-1,Projects!$B$36*INDEX(Curves!$B$4:$AO$4,1,82-Projects!$C$36+1)*Assumptions!$B$11*0.95+0.05*Projects!$B$36*Assumptions!$B$11,Projects!$B$36*INDEX(Curves!$B$4:$AO$4,1,82-Projects!$C$36+1)*Assumptions!$B$11*0.95),0)+IF(AND(Projects!$G$37="Yes",82&gt;=Projects!$C$37,82&lt;Projects!$C$37+Projects!$D$37),IF(82=Projects!$C$37+Projects!$D$37-1,Projects!$B$37*INDEX(Curves!$B$4:$AO$4,1,82-Projects!$C$37+1)*Assumptions!$B$11*0.95+0.05*Projects!$B$37*Assumptions!$B$11,Projects!$B$37*INDEX(Curves!$B$4:$AO$4,1,82-Projects!$C$37+1)*Assumptions!$B$11*0.95),0)+IF(AND(Projects!$G$38="Yes",82&gt;=Projects!$C$38,82&lt;Projects!$C$38+Projects!$D$38),IF(82=Projects!$C$38+Projects!$D$38-1,Projects!$B$38*INDEX(Curves!$B$4:$AO$4,1,82-Projects!$C$38+1)*Assumptions!$B$11*0.95+0.05*Projects!$B$38*Assumptions!$B$11,Projects!$B$38*INDEX(Curves!$B$4:$AO$4,1,82-Projects!$C$38+1)*Assumptions!$B$11*0.95),0)+IF(AND(Projects!$G$39="Yes",82&gt;=Projects!$C$39,82&lt;Projects!$C$39+Projects!$D$39),IF(82=Projects!$C$39+Projects!$D$39-1,Projects!$B$39*INDEX(Curves!$B$4:$AO$4,1,82-Projects!$C$39+1)*Assumptions!$B$11*0.95+0.05*Projects!$B$39*Assumptions!$B$11,Projects!$B$39*INDEX(Curves!$B$4:$AO$4,1,82-Projects!$C$39+1)*Assumptions!$B$11*0.95),0)+IF(AND(Projects!$G$40="Yes",82&gt;=Projects!$C$40,82&lt;Projects!$C$40+Projects!$D$40),IF(82=Projects!$C$40+Projects!$D$40-1,Projects!$B$40*INDEX(Curves!$B$4:$AO$4,1,82-Projects!$C$40+1)*Assumptions!$B$11*0.95+0.05*Projects!$B$40*Assumptions!$B$11,Projects!$B$40*INDEX(Curves!$B$4:$AO$4,1,82-Projects!$C$40+1)*Assumptions!$B$11*0.95),0)+IF(AND(Projects!$G$41="Yes",82&gt;=Projects!$C$41,82&lt;Projects!$C$41+Projects!$D$41),IF(82=Projects!$C$41+Projects!$D$41-1,Projects!$B$41*INDEX(Curves!$B$4:$AO$4,1,82-Projects!$C$41+1)*Assumptions!$B$11*0.95+0.05*Projects!$B$41*Assumptions!$B$11,Projects!$B$41*INDEX(Curves!$B$4:$AO$4,1,82-Projects!$C$41+1)*Assumptions!$B$11*0.95),0)+IF(AND(Projects!$G$42="Yes",82&gt;=Projects!$C$42,82&lt;Projects!$C$42+Projects!$D$42),IF(82=Projects!$C$42+Projects!$D$42-1,Projects!$B$42*INDEX(Curves!$B$4:$AO$4,1,82-Projects!$C$42+1)*Assumptions!$B$11*0.95+0.05*Projects!$B$42*Assumptions!$B$11,Projects!$B$42*INDEX(Curves!$B$4:$AO$4,1,82-Projects!$C$42+1)*Assumptions!$B$11*0.95),0)+IF(AND(Projects!$G$43="Yes",82&gt;=Projects!$C$43,82&lt;Projects!$C$43+Projects!$D$43),IF(82=Projects!$C$43+Projects!$D$43-1,Projects!$B$43*INDEX(Curves!$B$4:$AO$4,1,82-Projects!$C$43+1)*Assumptions!$B$11*0.95+0.05*Projects!$B$43*Assumptions!$B$11,Projects!$B$43*INDEX(Curves!$B$4:$AO$4,1,82-Projects!$C$43+1)*Assumptions!$B$11*0.95),0)+IF(AND(Projects!$G$44="Yes",82&gt;=Projects!$C$44,82&lt;Projects!$C$44+Projects!$D$44),IF(82=Projects!$C$44+Projects!$D$44-1,Projects!$B$44*INDEX(Curves!$B$4:$AO$4,1,82-Projects!$C$44+1)*Assumptions!$B$11*0.95+0.05*Projects!$B$44*Assumptions!$B$11,Projects!$B$44*INDEX(Curves!$B$4:$AO$4,1,82-Projects!$C$44+1)*Assumptions!$B$11*0.95),0)+IF(AND(Projects!$G$45="Yes",82&gt;=Projects!$C$45,82&lt;Projects!$C$45+Projects!$D$45),IF(82=Projects!$C$45+Projects!$D$45-1,Projects!$B$45*INDEX(Curves!$B$4:$AO$4,1,82-Projects!$C$45+1)*Assumptions!$B$11*0.95+0.05*Projects!$B$45*Assumptions!$B$11,Projects!$B$45*INDEX(Curves!$B$4:$AO$4,1,82-Projects!$C$45+1)*Assumptions!$B$11*0.95),0)+IF(AND(Projects!$G$46="Yes",82&gt;=Projects!$C$46,82&lt;Projects!$C$46+Projects!$D$46),IF(82=Projects!$C$46+Projects!$D$46-1,Projects!$B$46*INDEX(Curves!$B$4:$AO$4,1,82-Projects!$C$46+1)*Assumptions!$B$11*0.95+0.05*Projects!$B$46*Assumptions!$B$11,Projects!$B$46*INDEX(Curves!$B$4:$AO$4,1,82-Projects!$C$46+1)*Assumptions!$B$11*0.95),0)</f>
        <v/>
      </c>
      <c r="CG109">
        <f>IF(AND(Projects!$G$30="Yes",83&gt;=Projects!$C$30,83&lt;Projects!$C$30+Projects!$D$30),IF(83=Projects!$C$30+Projects!$D$30-1,Projects!$B$30*INDEX(Curves!$B$4:$AO$4,1,83-Projects!$C$30+1)*Assumptions!$B$11*0.95+0.05*Projects!$B$30*Assumptions!$B$11,Projects!$B$30*INDEX(Curves!$B$4:$AO$4,1,83-Projects!$C$30+1)*Assumptions!$B$11*0.95),0)+IF(AND(Projects!$G$31="Yes",83&gt;=Projects!$C$31,83&lt;Projects!$C$31+Projects!$D$31),IF(83=Projects!$C$31+Projects!$D$31-1,Projects!$B$31*INDEX(Curves!$B$4:$AO$4,1,83-Projects!$C$31+1)*Assumptions!$B$11*0.95+0.05*Projects!$B$31*Assumptions!$B$11,Projects!$B$31*INDEX(Curves!$B$4:$AO$4,1,83-Projects!$C$31+1)*Assumptions!$B$11*0.95),0)+IF(AND(Projects!$G$32="Yes",83&gt;=Projects!$C$32,83&lt;Projects!$C$32+Projects!$D$32),IF(83=Projects!$C$32+Projects!$D$32-1,Projects!$B$32*INDEX(Curves!$B$4:$AO$4,1,83-Projects!$C$32+1)*Assumptions!$B$11*0.95+0.05*Projects!$B$32*Assumptions!$B$11,Projects!$B$32*INDEX(Curves!$B$4:$AO$4,1,83-Projects!$C$32+1)*Assumptions!$B$11*0.95),0)+IF(AND(Projects!$G$33="Yes",83&gt;=Projects!$C$33,83&lt;Projects!$C$33+Projects!$D$33),IF(83=Projects!$C$33+Projects!$D$33-1,Projects!$B$33*INDEX(Curves!$B$4:$AO$4,1,83-Projects!$C$33+1)*Assumptions!$B$11*0.95+0.05*Projects!$B$33*Assumptions!$B$11,Projects!$B$33*INDEX(Curves!$B$4:$AO$4,1,83-Projects!$C$33+1)*Assumptions!$B$11*0.95),0)+IF(AND(Projects!$G$34="Yes",83&gt;=Projects!$C$34,83&lt;Projects!$C$34+Projects!$D$34),IF(83=Projects!$C$34+Projects!$D$34-1,Projects!$B$34*INDEX(Curves!$B$4:$AO$4,1,83-Projects!$C$34+1)*Assumptions!$B$11*0.95+0.05*Projects!$B$34*Assumptions!$B$11,Projects!$B$34*INDEX(Curves!$B$4:$AO$4,1,83-Projects!$C$34+1)*Assumptions!$B$11*0.95),0)+IF(AND(Projects!$G$35="Yes",83&gt;=Projects!$C$35,83&lt;Projects!$C$35+Projects!$D$35),IF(83=Projects!$C$35+Projects!$D$35-1,Projects!$B$35*INDEX(Curves!$B$4:$AO$4,1,83-Projects!$C$35+1)*Assumptions!$B$11*0.95+0.05*Projects!$B$35*Assumptions!$B$11,Projects!$B$35*INDEX(Curves!$B$4:$AO$4,1,83-Projects!$C$35+1)*Assumptions!$B$11*0.95),0)+IF(AND(Projects!$G$36="Yes",83&gt;=Projects!$C$36,83&lt;Projects!$C$36+Projects!$D$36),IF(83=Projects!$C$36+Projects!$D$36-1,Projects!$B$36*INDEX(Curves!$B$4:$AO$4,1,83-Projects!$C$36+1)*Assumptions!$B$11*0.95+0.05*Projects!$B$36*Assumptions!$B$11,Projects!$B$36*INDEX(Curves!$B$4:$AO$4,1,83-Projects!$C$36+1)*Assumptions!$B$11*0.95),0)+IF(AND(Projects!$G$37="Yes",83&gt;=Projects!$C$37,83&lt;Projects!$C$37+Projects!$D$37),IF(83=Projects!$C$37+Projects!$D$37-1,Projects!$B$37*INDEX(Curves!$B$4:$AO$4,1,83-Projects!$C$37+1)*Assumptions!$B$11*0.95+0.05*Projects!$B$37*Assumptions!$B$11,Projects!$B$37*INDEX(Curves!$B$4:$AO$4,1,83-Projects!$C$37+1)*Assumptions!$B$11*0.95),0)+IF(AND(Projects!$G$38="Yes",83&gt;=Projects!$C$38,83&lt;Projects!$C$38+Projects!$D$38),IF(83=Projects!$C$38+Projects!$D$38-1,Projects!$B$38*INDEX(Curves!$B$4:$AO$4,1,83-Projects!$C$38+1)*Assumptions!$B$11*0.95+0.05*Projects!$B$38*Assumptions!$B$11,Projects!$B$38*INDEX(Curves!$B$4:$AO$4,1,83-Projects!$C$38+1)*Assumptions!$B$11*0.95),0)+IF(AND(Projects!$G$39="Yes",83&gt;=Projects!$C$39,83&lt;Projects!$C$39+Projects!$D$39),IF(83=Projects!$C$39+Projects!$D$39-1,Projects!$B$39*INDEX(Curves!$B$4:$AO$4,1,83-Projects!$C$39+1)*Assumptions!$B$11*0.95+0.05*Projects!$B$39*Assumptions!$B$11,Projects!$B$39*INDEX(Curves!$B$4:$AO$4,1,83-Projects!$C$39+1)*Assumptions!$B$11*0.95),0)+IF(AND(Projects!$G$40="Yes",83&gt;=Projects!$C$40,83&lt;Projects!$C$40+Projects!$D$40),IF(83=Projects!$C$40+Projects!$D$40-1,Projects!$B$40*INDEX(Curves!$B$4:$AO$4,1,83-Projects!$C$40+1)*Assumptions!$B$11*0.95+0.05*Projects!$B$40*Assumptions!$B$11,Projects!$B$40*INDEX(Curves!$B$4:$AO$4,1,83-Projects!$C$40+1)*Assumptions!$B$11*0.95),0)+IF(AND(Projects!$G$41="Yes",83&gt;=Projects!$C$41,83&lt;Projects!$C$41+Projects!$D$41),IF(83=Projects!$C$41+Projects!$D$41-1,Projects!$B$41*INDEX(Curves!$B$4:$AO$4,1,83-Projects!$C$41+1)*Assumptions!$B$11*0.95+0.05*Projects!$B$41*Assumptions!$B$11,Projects!$B$41*INDEX(Curves!$B$4:$AO$4,1,83-Projects!$C$41+1)*Assumptions!$B$11*0.95),0)+IF(AND(Projects!$G$42="Yes",83&gt;=Projects!$C$42,83&lt;Projects!$C$42+Projects!$D$42),IF(83=Projects!$C$42+Projects!$D$42-1,Projects!$B$42*INDEX(Curves!$B$4:$AO$4,1,83-Projects!$C$42+1)*Assumptions!$B$11*0.95+0.05*Projects!$B$42*Assumptions!$B$11,Projects!$B$42*INDEX(Curves!$B$4:$AO$4,1,83-Projects!$C$42+1)*Assumptions!$B$11*0.95),0)+IF(AND(Projects!$G$43="Yes",83&gt;=Projects!$C$43,83&lt;Projects!$C$43+Projects!$D$43),IF(83=Projects!$C$43+Projects!$D$43-1,Projects!$B$43*INDEX(Curves!$B$4:$AO$4,1,83-Projects!$C$43+1)*Assumptions!$B$11*0.95+0.05*Projects!$B$43*Assumptions!$B$11,Projects!$B$43*INDEX(Curves!$B$4:$AO$4,1,83-Projects!$C$43+1)*Assumptions!$B$11*0.95),0)+IF(AND(Projects!$G$44="Yes",83&gt;=Projects!$C$44,83&lt;Projects!$C$44+Projects!$D$44),IF(83=Projects!$C$44+Projects!$D$44-1,Projects!$B$44*INDEX(Curves!$B$4:$AO$4,1,83-Projects!$C$44+1)*Assumptions!$B$11*0.95+0.05*Projects!$B$44*Assumptions!$B$11,Projects!$B$44*INDEX(Curves!$B$4:$AO$4,1,83-Projects!$C$44+1)*Assumptions!$B$11*0.95),0)+IF(AND(Projects!$G$45="Yes",83&gt;=Projects!$C$45,83&lt;Projects!$C$45+Projects!$D$45),IF(83=Projects!$C$45+Projects!$D$45-1,Projects!$B$45*INDEX(Curves!$B$4:$AO$4,1,83-Projects!$C$45+1)*Assumptions!$B$11*0.95+0.05*Projects!$B$45*Assumptions!$B$11,Projects!$B$45*INDEX(Curves!$B$4:$AO$4,1,83-Projects!$C$45+1)*Assumptions!$B$11*0.95),0)+IF(AND(Projects!$G$46="Yes",83&gt;=Projects!$C$46,83&lt;Projects!$C$46+Projects!$D$46),IF(83=Projects!$C$46+Projects!$D$46-1,Projects!$B$46*INDEX(Curves!$B$4:$AO$4,1,83-Projects!$C$46+1)*Assumptions!$B$11*0.95+0.05*Projects!$B$46*Assumptions!$B$11,Projects!$B$46*INDEX(Curves!$B$4:$AO$4,1,83-Projects!$C$46+1)*Assumptions!$B$11*0.95),0)</f>
        <v/>
      </c>
      <c r="CH109">
        <f>IF(AND(Projects!$G$30="Yes",84&gt;=Projects!$C$30,84&lt;Projects!$C$30+Projects!$D$30),IF(84=Projects!$C$30+Projects!$D$30-1,Projects!$B$30*INDEX(Curves!$B$4:$AO$4,1,84-Projects!$C$30+1)*Assumptions!$B$11*0.95+0.05*Projects!$B$30*Assumptions!$B$11,Projects!$B$30*INDEX(Curves!$B$4:$AO$4,1,84-Projects!$C$30+1)*Assumptions!$B$11*0.95),0)+IF(AND(Projects!$G$31="Yes",84&gt;=Projects!$C$31,84&lt;Projects!$C$31+Projects!$D$31),IF(84=Projects!$C$31+Projects!$D$31-1,Projects!$B$31*INDEX(Curves!$B$4:$AO$4,1,84-Projects!$C$31+1)*Assumptions!$B$11*0.95+0.05*Projects!$B$31*Assumptions!$B$11,Projects!$B$31*INDEX(Curves!$B$4:$AO$4,1,84-Projects!$C$31+1)*Assumptions!$B$11*0.95),0)+IF(AND(Projects!$G$32="Yes",84&gt;=Projects!$C$32,84&lt;Projects!$C$32+Projects!$D$32),IF(84=Projects!$C$32+Projects!$D$32-1,Projects!$B$32*INDEX(Curves!$B$4:$AO$4,1,84-Projects!$C$32+1)*Assumptions!$B$11*0.95+0.05*Projects!$B$32*Assumptions!$B$11,Projects!$B$32*INDEX(Curves!$B$4:$AO$4,1,84-Projects!$C$32+1)*Assumptions!$B$11*0.95),0)+IF(AND(Projects!$G$33="Yes",84&gt;=Projects!$C$33,84&lt;Projects!$C$33+Projects!$D$33),IF(84=Projects!$C$33+Projects!$D$33-1,Projects!$B$33*INDEX(Curves!$B$4:$AO$4,1,84-Projects!$C$33+1)*Assumptions!$B$11*0.95+0.05*Projects!$B$33*Assumptions!$B$11,Projects!$B$33*INDEX(Curves!$B$4:$AO$4,1,84-Projects!$C$33+1)*Assumptions!$B$11*0.95),0)+IF(AND(Projects!$G$34="Yes",84&gt;=Projects!$C$34,84&lt;Projects!$C$34+Projects!$D$34),IF(84=Projects!$C$34+Projects!$D$34-1,Projects!$B$34*INDEX(Curves!$B$4:$AO$4,1,84-Projects!$C$34+1)*Assumptions!$B$11*0.95+0.05*Projects!$B$34*Assumptions!$B$11,Projects!$B$34*INDEX(Curves!$B$4:$AO$4,1,84-Projects!$C$34+1)*Assumptions!$B$11*0.95),0)+IF(AND(Projects!$G$35="Yes",84&gt;=Projects!$C$35,84&lt;Projects!$C$35+Projects!$D$35),IF(84=Projects!$C$35+Projects!$D$35-1,Projects!$B$35*INDEX(Curves!$B$4:$AO$4,1,84-Projects!$C$35+1)*Assumptions!$B$11*0.95+0.05*Projects!$B$35*Assumptions!$B$11,Projects!$B$35*INDEX(Curves!$B$4:$AO$4,1,84-Projects!$C$35+1)*Assumptions!$B$11*0.95),0)+IF(AND(Projects!$G$36="Yes",84&gt;=Projects!$C$36,84&lt;Projects!$C$36+Projects!$D$36),IF(84=Projects!$C$36+Projects!$D$36-1,Projects!$B$36*INDEX(Curves!$B$4:$AO$4,1,84-Projects!$C$36+1)*Assumptions!$B$11*0.95+0.05*Projects!$B$36*Assumptions!$B$11,Projects!$B$36*INDEX(Curves!$B$4:$AO$4,1,84-Projects!$C$36+1)*Assumptions!$B$11*0.95),0)+IF(AND(Projects!$G$37="Yes",84&gt;=Projects!$C$37,84&lt;Projects!$C$37+Projects!$D$37),IF(84=Projects!$C$37+Projects!$D$37-1,Projects!$B$37*INDEX(Curves!$B$4:$AO$4,1,84-Projects!$C$37+1)*Assumptions!$B$11*0.95+0.05*Projects!$B$37*Assumptions!$B$11,Projects!$B$37*INDEX(Curves!$B$4:$AO$4,1,84-Projects!$C$37+1)*Assumptions!$B$11*0.95),0)+IF(AND(Projects!$G$38="Yes",84&gt;=Projects!$C$38,84&lt;Projects!$C$38+Projects!$D$38),IF(84=Projects!$C$38+Projects!$D$38-1,Projects!$B$38*INDEX(Curves!$B$4:$AO$4,1,84-Projects!$C$38+1)*Assumptions!$B$11*0.95+0.05*Projects!$B$38*Assumptions!$B$11,Projects!$B$38*INDEX(Curves!$B$4:$AO$4,1,84-Projects!$C$38+1)*Assumptions!$B$11*0.95),0)+IF(AND(Projects!$G$39="Yes",84&gt;=Projects!$C$39,84&lt;Projects!$C$39+Projects!$D$39),IF(84=Projects!$C$39+Projects!$D$39-1,Projects!$B$39*INDEX(Curves!$B$4:$AO$4,1,84-Projects!$C$39+1)*Assumptions!$B$11*0.95+0.05*Projects!$B$39*Assumptions!$B$11,Projects!$B$39*INDEX(Curves!$B$4:$AO$4,1,84-Projects!$C$39+1)*Assumptions!$B$11*0.95),0)+IF(AND(Projects!$G$40="Yes",84&gt;=Projects!$C$40,84&lt;Projects!$C$40+Projects!$D$40),IF(84=Projects!$C$40+Projects!$D$40-1,Projects!$B$40*INDEX(Curves!$B$4:$AO$4,1,84-Projects!$C$40+1)*Assumptions!$B$11*0.95+0.05*Projects!$B$40*Assumptions!$B$11,Projects!$B$40*INDEX(Curves!$B$4:$AO$4,1,84-Projects!$C$40+1)*Assumptions!$B$11*0.95),0)+IF(AND(Projects!$G$41="Yes",84&gt;=Projects!$C$41,84&lt;Projects!$C$41+Projects!$D$41),IF(84=Projects!$C$41+Projects!$D$41-1,Projects!$B$41*INDEX(Curves!$B$4:$AO$4,1,84-Projects!$C$41+1)*Assumptions!$B$11*0.95+0.05*Projects!$B$41*Assumptions!$B$11,Projects!$B$41*INDEX(Curves!$B$4:$AO$4,1,84-Projects!$C$41+1)*Assumptions!$B$11*0.95),0)+IF(AND(Projects!$G$42="Yes",84&gt;=Projects!$C$42,84&lt;Projects!$C$42+Projects!$D$42),IF(84=Projects!$C$42+Projects!$D$42-1,Projects!$B$42*INDEX(Curves!$B$4:$AO$4,1,84-Projects!$C$42+1)*Assumptions!$B$11*0.95+0.05*Projects!$B$42*Assumptions!$B$11,Projects!$B$42*INDEX(Curves!$B$4:$AO$4,1,84-Projects!$C$42+1)*Assumptions!$B$11*0.95),0)+IF(AND(Projects!$G$43="Yes",84&gt;=Projects!$C$43,84&lt;Projects!$C$43+Projects!$D$43),IF(84=Projects!$C$43+Projects!$D$43-1,Projects!$B$43*INDEX(Curves!$B$4:$AO$4,1,84-Projects!$C$43+1)*Assumptions!$B$11*0.95+0.05*Projects!$B$43*Assumptions!$B$11,Projects!$B$43*INDEX(Curves!$B$4:$AO$4,1,84-Projects!$C$43+1)*Assumptions!$B$11*0.95),0)+IF(AND(Projects!$G$44="Yes",84&gt;=Projects!$C$44,84&lt;Projects!$C$44+Projects!$D$44),IF(84=Projects!$C$44+Projects!$D$44-1,Projects!$B$44*INDEX(Curves!$B$4:$AO$4,1,84-Projects!$C$44+1)*Assumptions!$B$11*0.95+0.05*Projects!$B$44*Assumptions!$B$11,Projects!$B$44*INDEX(Curves!$B$4:$AO$4,1,84-Projects!$C$44+1)*Assumptions!$B$11*0.95),0)+IF(AND(Projects!$G$45="Yes",84&gt;=Projects!$C$45,84&lt;Projects!$C$45+Projects!$D$45),IF(84=Projects!$C$45+Projects!$D$45-1,Projects!$B$45*INDEX(Curves!$B$4:$AO$4,1,84-Projects!$C$45+1)*Assumptions!$B$11*0.95+0.05*Projects!$B$45*Assumptions!$B$11,Projects!$B$45*INDEX(Curves!$B$4:$AO$4,1,84-Projects!$C$45+1)*Assumptions!$B$11*0.95),0)+IF(AND(Projects!$G$46="Yes",84&gt;=Projects!$C$46,84&lt;Projects!$C$46+Projects!$D$46),IF(84=Projects!$C$46+Projects!$D$46-1,Projects!$B$46*INDEX(Curves!$B$4:$AO$4,1,84-Projects!$C$46+1)*Assumptions!$B$11*0.95+0.05*Projects!$B$46*Assumptions!$B$11,Projects!$B$46*INDEX(Curves!$B$4:$AO$4,1,84-Projects!$C$46+1)*Assumptions!$B$11*0.95),0)</f>
        <v/>
      </c>
    </row>
    <row r="110" ht="15" customHeight="1" s="201">
      <c r="A110" t="inlineStr">
        <is>
          <t>BD Phase 2 Admin</t>
        </is>
      </c>
      <c r="C110">
        <f>IF(AND(Projects!$G$30="Yes",1&gt;=Projects!$C$30,1&lt;Projects!$C$30+Projects!$D$30),IF(1=Projects!$C$30+Projects!$D$30-1,Projects!$B$30*Assumptions!$B$12/Projects!$D$30*0.95+0.05*Projects!$B$30*Assumptions!$B$12,Projects!$B$30*Assumptions!$B$12/Projects!$D$30*0.95),0)+IF(AND(Projects!$G$31="Yes",1&gt;=Projects!$C$31,1&lt;Projects!$C$31+Projects!$D$31),IF(1=Projects!$C$31+Projects!$D$31-1,Projects!$B$31*Assumptions!$B$12/Projects!$D$31*0.95+0.05*Projects!$B$31*Assumptions!$B$12,Projects!$B$31*Assumptions!$B$12/Projects!$D$31*0.95),0)+IF(AND(Projects!$G$32="Yes",1&gt;=Projects!$C$32,1&lt;Projects!$C$32+Projects!$D$32),IF(1=Projects!$C$32+Projects!$D$32-1,Projects!$B$32*Assumptions!$B$12/Projects!$D$32*0.95+0.05*Projects!$B$32*Assumptions!$B$12,Projects!$B$32*Assumptions!$B$12/Projects!$D$32*0.95),0)+IF(AND(Projects!$G$33="Yes",1&gt;=Projects!$C$33,1&lt;Projects!$C$33+Projects!$D$33),IF(1=Projects!$C$33+Projects!$D$33-1,Projects!$B$33*Assumptions!$B$12/Projects!$D$33*0.95+0.05*Projects!$B$33*Assumptions!$B$12,Projects!$B$33*Assumptions!$B$12/Projects!$D$33*0.95),0)+IF(AND(Projects!$G$34="Yes",1&gt;=Projects!$C$34,1&lt;Projects!$C$34+Projects!$D$34),IF(1=Projects!$C$34+Projects!$D$34-1,Projects!$B$34*Assumptions!$B$12/Projects!$D$34*0.95+0.05*Projects!$B$34*Assumptions!$B$12,Projects!$B$34*Assumptions!$B$12/Projects!$D$34*0.95),0)+IF(AND(Projects!$G$35="Yes",1&gt;=Projects!$C$35,1&lt;Projects!$C$35+Projects!$D$35),IF(1=Projects!$C$35+Projects!$D$35-1,Projects!$B$35*Assumptions!$B$12/Projects!$D$35*0.95+0.05*Projects!$B$35*Assumptions!$B$12,Projects!$B$35*Assumptions!$B$12/Projects!$D$35*0.95),0)+IF(AND(Projects!$G$36="Yes",1&gt;=Projects!$C$36,1&lt;Projects!$C$36+Projects!$D$36),IF(1=Projects!$C$36+Projects!$D$36-1,Projects!$B$36*Assumptions!$B$12/Projects!$D$36*0.95+0.05*Projects!$B$36*Assumptions!$B$12,Projects!$B$36*Assumptions!$B$12/Projects!$D$36*0.95),0)+IF(AND(Projects!$G$37="Yes",1&gt;=Projects!$C$37,1&lt;Projects!$C$37+Projects!$D$37),IF(1=Projects!$C$37+Projects!$D$37-1,Projects!$B$37*Assumptions!$B$12/Projects!$D$37*0.95+0.05*Projects!$B$37*Assumptions!$B$12,Projects!$B$37*Assumptions!$B$12/Projects!$D$37*0.95),0)+IF(AND(Projects!$G$38="Yes",1&gt;=Projects!$C$38,1&lt;Projects!$C$38+Projects!$D$38),IF(1=Projects!$C$38+Projects!$D$38-1,Projects!$B$38*Assumptions!$B$12/Projects!$D$38*0.95+0.05*Projects!$B$38*Assumptions!$B$12,Projects!$B$38*Assumptions!$B$12/Projects!$D$38*0.95),0)+IF(AND(Projects!$G$39="Yes",1&gt;=Projects!$C$39,1&lt;Projects!$C$39+Projects!$D$39),IF(1=Projects!$C$39+Projects!$D$39-1,Projects!$B$39*Assumptions!$B$12/Projects!$D$39*0.95+0.05*Projects!$B$39*Assumptions!$B$12,Projects!$B$39*Assumptions!$B$12/Projects!$D$39*0.95),0)+IF(AND(Projects!$G$40="Yes",1&gt;=Projects!$C$40,1&lt;Projects!$C$40+Projects!$D$40),IF(1=Projects!$C$40+Projects!$D$40-1,Projects!$B$40*Assumptions!$B$12/Projects!$D$40*0.95+0.05*Projects!$B$40*Assumptions!$B$12,Projects!$B$40*Assumptions!$B$12/Projects!$D$40*0.95),0)+IF(AND(Projects!$G$41="Yes",1&gt;=Projects!$C$41,1&lt;Projects!$C$41+Projects!$D$41),IF(1=Projects!$C$41+Projects!$D$41-1,Projects!$B$41*Assumptions!$B$12/Projects!$D$41*0.95+0.05*Projects!$B$41*Assumptions!$B$12,Projects!$B$41*Assumptions!$B$12/Projects!$D$41*0.95),0)+IF(AND(Projects!$G$42="Yes",1&gt;=Projects!$C$42,1&lt;Projects!$C$42+Projects!$D$42),IF(1=Projects!$C$42+Projects!$D$42-1,Projects!$B$42*Assumptions!$B$12/Projects!$D$42*0.95+0.05*Projects!$B$42*Assumptions!$B$12,Projects!$B$42*Assumptions!$B$12/Projects!$D$42*0.95),0)+IF(AND(Projects!$G$43="Yes",1&gt;=Projects!$C$43,1&lt;Projects!$C$43+Projects!$D$43),IF(1=Projects!$C$43+Projects!$D$43-1,Projects!$B$43*Assumptions!$B$12/Projects!$D$43*0.95+0.05*Projects!$B$43*Assumptions!$B$12,Projects!$B$43*Assumptions!$B$12/Projects!$D$43*0.95),0)+IF(AND(Projects!$G$44="Yes",1&gt;=Projects!$C$44,1&lt;Projects!$C$44+Projects!$D$44),IF(1=Projects!$C$44+Projects!$D$44-1,Projects!$B$44*Assumptions!$B$12/Projects!$D$44*0.95+0.05*Projects!$B$44*Assumptions!$B$12,Projects!$B$44*Assumptions!$B$12/Projects!$D$44*0.95),0)+IF(AND(Projects!$G$45="Yes",1&gt;=Projects!$C$45,1&lt;Projects!$C$45+Projects!$D$45),IF(1=Projects!$C$45+Projects!$D$45-1,Projects!$B$45*Assumptions!$B$12/Projects!$D$45*0.95+0.05*Projects!$B$45*Assumptions!$B$12,Projects!$B$45*Assumptions!$B$12/Projects!$D$45*0.95),0)+IF(AND(Projects!$G$46="Yes",1&gt;=Projects!$C$46,1&lt;Projects!$C$46+Projects!$D$46),IF(1=Projects!$C$46+Projects!$D$46-1,Projects!$B$46*Assumptions!$B$12/Projects!$D$46*0.95+0.05*Projects!$B$46*Assumptions!$B$12,Projects!$B$46*Assumptions!$B$12/Projects!$D$46*0.95),0)</f>
        <v/>
      </c>
      <c r="D110">
        <f>IF(AND(Projects!$G$30="Yes",2&gt;=Projects!$C$30,2&lt;Projects!$C$30+Projects!$D$30),IF(2=Projects!$C$30+Projects!$D$30-1,Projects!$B$30*Assumptions!$B$12/Projects!$D$30*0.95+0.05*Projects!$B$30*Assumptions!$B$12,Projects!$B$30*Assumptions!$B$12/Projects!$D$30*0.95),0)+IF(AND(Projects!$G$31="Yes",2&gt;=Projects!$C$31,2&lt;Projects!$C$31+Projects!$D$31),IF(2=Projects!$C$31+Projects!$D$31-1,Projects!$B$31*Assumptions!$B$12/Projects!$D$31*0.95+0.05*Projects!$B$31*Assumptions!$B$12,Projects!$B$31*Assumptions!$B$12/Projects!$D$31*0.95),0)+IF(AND(Projects!$G$32="Yes",2&gt;=Projects!$C$32,2&lt;Projects!$C$32+Projects!$D$32),IF(2=Projects!$C$32+Projects!$D$32-1,Projects!$B$32*Assumptions!$B$12/Projects!$D$32*0.95+0.05*Projects!$B$32*Assumptions!$B$12,Projects!$B$32*Assumptions!$B$12/Projects!$D$32*0.95),0)+IF(AND(Projects!$G$33="Yes",2&gt;=Projects!$C$33,2&lt;Projects!$C$33+Projects!$D$33),IF(2=Projects!$C$33+Projects!$D$33-1,Projects!$B$33*Assumptions!$B$12/Projects!$D$33*0.95+0.05*Projects!$B$33*Assumptions!$B$12,Projects!$B$33*Assumptions!$B$12/Projects!$D$33*0.95),0)+IF(AND(Projects!$G$34="Yes",2&gt;=Projects!$C$34,2&lt;Projects!$C$34+Projects!$D$34),IF(2=Projects!$C$34+Projects!$D$34-1,Projects!$B$34*Assumptions!$B$12/Projects!$D$34*0.95+0.05*Projects!$B$34*Assumptions!$B$12,Projects!$B$34*Assumptions!$B$12/Projects!$D$34*0.95),0)+IF(AND(Projects!$G$35="Yes",2&gt;=Projects!$C$35,2&lt;Projects!$C$35+Projects!$D$35),IF(2=Projects!$C$35+Projects!$D$35-1,Projects!$B$35*Assumptions!$B$12/Projects!$D$35*0.95+0.05*Projects!$B$35*Assumptions!$B$12,Projects!$B$35*Assumptions!$B$12/Projects!$D$35*0.95),0)+IF(AND(Projects!$G$36="Yes",2&gt;=Projects!$C$36,2&lt;Projects!$C$36+Projects!$D$36),IF(2=Projects!$C$36+Projects!$D$36-1,Projects!$B$36*Assumptions!$B$12/Projects!$D$36*0.95+0.05*Projects!$B$36*Assumptions!$B$12,Projects!$B$36*Assumptions!$B$12/Projects!$D$36*0.95),0)+IF(AND(Projects!$G$37="Yes",2&gt;=Projects!$C$37,2&lt;Projects!$C$37+Projects!$D$37),IF(2=Projects!$C$37+Projects!$D$37-1,Projects!$B$37*Assumptions!$B$12/Projects!$D$37*0.95+0.05*Projects!$B$37*Assumptions!$B$12,Projects!$B$37*Assumptions!$B$12/Projects!$D$37*0.95),0)+IF(AND(Projects!$G$38="Yes",2&gt;=Projects!$C$38,2&lt;Projects!$C$38+Projects!$D$38),IF(2=Projects!$C$38+Projects!$D$38-1,Projects!$B$38*Assumptions!$B$12/Projects!$D$38*0.95+0.05*Projects!$B$38*Assumptions!$B$12,Projects!$B$38*Assumptions!$B$12/Projects!$D$38*0.95),0)+IF(AND(Projects!$G$39="Yes",2&gt;=Projects!$C$39,2&lt;Projects!$C$39+Projects!$D$39),IF(2=Projects!$C$39+Projects!$D$39-1,Projects!$B$39*Assumptions!$B$12/Projects!$D$39*0.95+0.05*Projects!$B$39*Assumptions!$B$12,Projects!$B$39*Assumptions!$B$12/Projects!$D$39*0.95),0)+IF(AND(Projects!$G$40="Yes",2&gt;=Projects!$C$40,2&lt;Projects!$C$40+Projects!$D$40),IF(2=Projects!$C$40+Projects!$D$40-1,Projects!$B$40*Assumptions!$B$12/Projects!$D$40*0.95+0.05*Projects!$B$40*Assumptions!$B$12,Projects!$B$40*Assumptions!$B$12/Projects!$D$40*0.95),0)+IF(AND(Projects!$G$41="Yes",2&gt;=Projects!$C$41,2&lt;Projects!$C$41+Projects!$D$41),IF(2=Projects!$C$41+Projects!$D$41-1,Projects!$B$41*Assumptions!$B$12/Projects!$D$41*0.95+0.05*Projects!$B$41*Assumptions!$B$12,Projects!$B$41*Assumptions!$B$12/Projects!$D$41*0.95),0)+IF(AND(Projects!$G$42="Yes",2&gt;=Projects!$C$42,2&lt;Projects!$C$42+Projects!$D$42),IF(2=Projects!$C$42+Projects!$D$42-1,Projects!$B$42*Assumptions!$B$12/Projects!$D$42*0.95+0.05*Projects!$B$42*Assumptions!$B$12,Projects!$B$42*Assumptions!$B$12/Projects!$D$42*0.95),0)+IF(AND(Projects!$G$43="Yes",2&gt;=Projects!$C$43,2&lt;Projects!$C$43+Projects!$D$43),IF(2=Projects!$C$43+Projects!$D$43-1,Projects!$B$43*Assumptions!$B$12/Projects!$D$43*0.95+0.05*Projects!$B$43*Assumptions!$B$12,Projects!$B$43*Assumptions!$B$12/Projects!$D$43*0.95),0)+IF(AND(Projects!$G$44="Yes",2&gt;=Projects!$C$44,2&lt;Projects!$C$44+Projects!$D$44),IF(2=Projects!$C$44+Projects!$D$44-1,Projects!$B$44*Assumptions!$B$12/Projects!$D$44*0.95+0.05*Projects!$B$44*Assumptions!$B$12,Projects!$B$44*Assumptions!$B$12/Projects!$D$44*0.95),0)+IF(AND(Projects!$G$45="Yes",2&gt;=Projects!$C$45,2&lt;Projects!$C$45+Projects!$D$45),IF(2=Projects!$C$45+Projects!$D$45-1,Projects!$B$45*Assumptions!$B$12/Projects!$D$45*0.95+0.05*Projects!$B$45*Assumptions!$B$12,Projects!$B$45*Assumptions!$B$12/Projects!$D$45*0.95),0)+IF(AND(Projects!$G$46="Yes",2&gt;=Projects!$C$46,2&lt;Projects!$C$46+Projects!$D$46),IF(2=Projects!$C$46+Projects!$D$46-1,Projects!$B$46*Assumptions!$B$12/Projects!$D$46*0.95+0.05*Projects!$B$46*Assumptions!$B$12,Projects!$B$46*Assumptions!$B$12/Projects!$D$46*0.95),0)</f>
        <v/>
      </c>
      <c r="E110">
        <f>IF(AND(Projects!$G$30="Yes",3&gt;=Projects!$C$30,3&lt;Projects!$C$30+Projects!$D$30),IF(3=Projects!$C$30+Projects!$D$30-1,Projects!$B$30*Assumptions!$B$12/Projects!$D$30*0.95+0.05*Projects!$B$30*Assumptions!$B$12,Projects!$B$30*Assumptions!$B$12/Projects!$D$30*0.95),0)+IF(AND(Projects!$G$31="Yes",3&gt;=Projects!$C$31,3&lt;Projects!$C$31+Projects!$D$31),IF(3=Projects!$C$31+Projects!$D$31-1,Projects!$B$31*Assumptions!$B$12/Projects!$D$31*0.95+0.05*Projects!$B$31*Assumptions!$B$12,Projects!$B$31*Assumptions!$B$12/Projects!$D$31*0.95),0)+IF(AND(Projects!$G$32="Yes",3&gt;=Projects!$C$32,3&lt;Projects!$C$32+Projects!$D$32),IF(3=Projects!$C$32+Projects!$D$32-1,Projects!$B$32*Assumptions!$B$12/Projects!$D$32*0.95+0.05*Projects!$B$32*Assumptions!$B$12,Projects!$B$32*Assumptions!$B$12/Projects!$D$32*0.95),0)+IF(AND(Projects!$G$33="Yes",3&gt;=Projects!$C$33,3&lt;Projects!$C$33+Projects!$D$33),IF(3=Projects!$C$33+Projects!$D$33-1,Projects!$B$33*Assumptions!$B$12/Projects!$D$33*0.95+0.05*Projects!$B$33*Assumptions!$B$12,Projects!$B$33*Assumptions!$B$12/Projects!$D$33*0.95),0)+IF(AND(Projects!$G$34="Yes",3&gt;=Projects!$C$34,3&lt;Projects!$C$34+Projects!$D$34),IF(3=Projects!$C$34+Projects!$D$34-1,Projects!$B$34*Assumptions!$B$12/Projects!$D$34*0.95+0.05*Projects!$B$34*Assumptions!$B$12,Projects!$B$34*Assumptions!$B$12/Projects!$D$34*0.95),0)+IF(AND(Projects!$G$35="Yes",3&gt;=Projects!$C$35,3&lt;Projects!$C$35+Projects!$D$35),IF(3=Projects!$C$35+Projects!$D$35-1,Projects!$B$35*Assumptions!$B$12/Projects!$D$35*0.95+0.05*Projects!$B$35*Assumptions!$B$12,Projects!$B$35*Assumptions!$B$12/Projects!$D$35*0.95),0)+IF(AND(Projects!$G$36="Yes",3&gt;=Projects!$C$36,3&lt;Projects!$C$36+Projects!$D$36),IF(3=Projects!$C$36+Projects!$D$36-1,Projects!$B$36*Assumptions!$B$12/Projects!$D$36*0.95+0.05*Projects!$B$36*Assumptions!$B$12,Projects!$B$36*Assumptions!$B$12/Projects!$D$36*0.95),0)+IF(AND(Projects!$G$37="Yes",3&gt;=Projects!$C$37,3&lt;Projects!$C$37+Projects!$D$37),IF(3=Projects!$C$37+Projects!$D$37-1,Projects!$B$37*Assumptions!$B$12/Projects!$D$37*0.95+0.05*Projects!$B$37*Assumptions!$B$12,Projects!$B$37*Assumptions!$B$12/Projects!$D$37*0.95),0)+IF(AND(Projects!$G$38="Yes",3&gt;=Projects!$C$38,3&lt;Projects!$C$38+Projects!$D$38),IF(3=Projects!$C$38+Projects!$D$38-1,Projects!$B$38*Assumptions!$B$12/Projects!$D$38*0.95+0.05*Projects!$B$38*Assumptions!$B$12,Projects!$B$38*Assumptions!$B$12/Projects!$D$38*0.95),0)+IF(AND(Projects!$G$39="Yes",3&gt;=Projects!$C$39,3&lt;Projects!$C$39+Projects!$D$39),IF(3=Projects!$C$39+Projects!$D$39-1,Projects!$B$39*Assumptions!$B$12/Projects!$D$39*0.95+0.05*Projects!$B$39*Assumptions!$B$12,Projects!$B$39*Assumptions!$B$12/Projects!$D$39*0.95),0)+IF(AND(Projects!$G$40="Yes",3&gt;=Projects!$C$40,3&lt;Projects!$C$40+Projects!$D$40),IF(3=Projects!$C$40+Projects!$D$40-1,Projects!$B$40*Assumptions!$B$12/Projects!$D$40*0.95+0.05*Projects!$B$40*Assumptions!$B$12,Projects!$B$40*Assumptions!$B$12/Projects!$D$40*0.95),0)+IF(AND(Projects!$G$41="Yes",3&gt;=Projects!$C$41,3&lt;Projects!$C$41+Projects!$D$41),IF(3=Projects!$C$41+Projects!$D$41-1,Projects!$B$41*Assumptions!$B$12/Projects!$D$41*0.95+0.05*Projects!$B$41*Assumptions!$B$12,Projects!$B$41*Assumptions!$B$12/Projects!$D$41*0.95),0)+IF(AND(Projects!$G$42="Yes",3&gt;=Projects!$C$42,3&lt;Projects!$C$42+Projects!$D$42),IF(3=Projects!$C$42+Projects!$D$42-1,Projects!$B$42*Assumptions!$B$12/Projects!$D$42*0.95+0.05*Projects!$B$42*Assumptions!$B$12,Projects!$B$42*Assumptions!$B$12/Projects!$D$42*0.95),0)+IF(AND(Projects!$G$43="Yes",3&gt;=Projects!$C$43,3&lt;Projects!$C$43+Projects!$D$43),IF(3=Projects!$C$43+Projects!$D$43-1,Projects!$B$43*Assumptions!$B$12/Projects!$D$43*0.95+0.05*Projects!$B$43*Assumptions!$B$12,Projects!$B$43*Assumptions!$B$12/Projects!$D$43*0.95),0)+IF(AND(Projects!$G$44="Yes",3&gt;=Projects!$C$44,3&lt;Projects!$C$44+Projects!$D$44),IF(3=Projects!$C$44+Projects!$D$44-1,Projects!$B$44*Assumptions!$B$12/Projects!$D$44*0.95+0.05*Projects!$B$44*Assumptions!$B$12,Projects!$B$44*Assumptions!$B$12/Projects!$D$44*0.95),0)+IF(AND(Projects!$G$45="Yes",3&gt;=Projects!$C$45,3&lt;Projects!$C$45+Projects!$D$45),IF(3=Projects!$C$45+Projects!$D$45-1,Projects!$B$45*Assumptions!$B$12/Projects!$D$45*0.95+0.05*Projects!$B$45*Assumptions!$B$12,Projects!$B$45*Assumptions!$B$12/Projects!$D$45*0.95),0)+IF(AND(Projects!$G$46="Yes",3&gt;=Projects!$C$46,3&lt;Projects!$C$46+Projects!$D$46),IF(3=Projects!$C$46+Projects!$D$46-1,Projects!$B$46*Assumptions!$B$12/Projects!$D$46*0.95+0.05*Projects!$B$46*Assumptions!$B$12,Projects!$B$46*Assumptions!$B$12/Projects!$D$46*0.95),0)</f>
        <v/>
      </c>
      <c r="F110">
        <f>IF(AND(Projects!$G$30="Yes",4&gt;=Projects!$C$30,4&lt;Projects!$C$30+Projects!$D$30),IF(4=Projects!$C$30+Projects!$D$30-1,Projects!$B$30*Assumptions!$B$12/Projects!$D$30*0.95+0.05*Projects!$B$30*Assumptions!$B$12,Projects!$B$30*Assumptions!$B$12/Projects!$D$30*0.95),0)+IF(AND(Projects!$G$31="Yes",4&gt;=Projects!$C$31,4&lt;Projects!$C$31+Projects!$D$31),IF(4=Projects!$C$31+Projects!$D$31-1,Projects!$B$31*Assumptions!$B$12/Projects!$D$31*0.95+0.05*Projects!$B$31*Assumptions!$B$12,Projects!$B$31*Assumptions!$B$12/Projects!$D$31*0.95),0)+IF(AND(Projects!$G$32="Yes",4&gt;=Projects!$C$32,4&lt;Projects!$C$32+Projects!$D$32),IF(4=Projects!$C$32+Projects!$D$32-1,Projects!$B$32*Assumptions!$B$12/Projects!$D$32*0.95+0.05*Projects!$B$32*Assumptions!$B$12,Projects!$B$32*Assumptions!$B$12/Projects!$D$32*0.95),0)+IF(AND(Projects!$G$33="Yes",4&gt;=Projects!$C$33,4&lt;Projects!$C$33+Projects!$D$33),IF(4=Projects!$C$33+Projects!$D$33-1,Projects!$B$33*Assumptions!$B$12/Projects!$D$33*0.95+0.05*Projects!$B$33*Assumptions!$B$12,Projects!$B$33*Assumptions!$B$12/Projects!$D$33*0.95),0)+IF(AND(Projects!$G$34="Yes",4&gt;=Projects!$C$34,4&lt;Projects!$C$34+Projects!$D$34),IF(4=Projects!$C$34+Projects!$D$34-1,Projects!$B$34*Assumptions!$B$12/Projects!$D$34*0.95+0.05*Projects!$B$34*Assumptions!$B$12,Projects!$B$34*Assumptions!$B$12/Projects!$D$34*0.95),0)+IF(AND(Projects!$G$35="Yes",4&gt;=Projects!$C$35,4&lt;Projects!$C$35+Projects!$D$35),IF(4=Projects!$C$35+Projects!$D$35-1,Projects!$B$35*Assumptions!$B$12/Projects!$D$35*0.95+0.05*Projects!$B$35*Assumptions!$B$12,Projects!$B$35*Assumptions!$B$12/Projects!$D$35*0.95),0)+IF(AND(Projects!$G$36="Yes",4&gt;=Projects!$C$36,4&lt;Projects!$C$36+Projects!$D$36),IF(4=Projects!$C$36+Projects!$D$36-1,Projects!$B$36*Assumptions!$B$12/Projects!$D$36*0.95+0.05*Projects!$B$36*Assumptions!$B$12,Projects!$B$36*Assumptions!$B$12/Projects!$D$36*0.95),0)+IF(AND(Projects!$G$37="Yes",4&gt;=Projects!$C$37,4&lt;Projects!$C$37+Projects!$D$37),IF(4=Projects!$C$37+Projects!$D$37-1,Projects!$B$37*Assumptions!$B$12/Projects!$D$37*0.95+0.05*Projects!$B$37*Assumptions!$B$12,Projects!$B$37*Assumptions!$B$12/Projects!$D$37*0.95),0)+IF(AND(Projects!$G$38="Yes",4&gt;=Projects!$C$38,4&lt;Projects!$C$38+Projects!$D$38),IF(4=Projects!$C$38+Projects!$D$38-1,Projects!$B$38*Assumptions!$B$12/Projects!$D$38*0.95+0.05*Projects!$B$38*Assumptions!$B$12,Projects!$B$38*Assumptions!$B$12/Projects!$D$38*0.95),0)+IF(AND(Projects!$G$39="Yes",4&gt;=Projects!$C$39,4&lt;Projects!$C$39+Projects!$D$39),IF(4=Projects!$C$39+Projects!$D$39-1,Projects!$B$39*Assumptions!$B$12/Projects!$D$39*0.95+0.05*Projects!$B$39*Assumptions!$B$12,Projects!$B$39*Assumptions!$B$12/Projects!$D$39*0.95),0)+IF(AND(Projects!$G$40="Yes",4&gt;=Projects!$C$40,4&lt;Projects!$C$40+Projects!$D$40),IF(4=Projects!$C$40+Projects!$D$40-1,Projects!$B$40*Assumptions!$B$12/Projects!$D$40*0.95+0.05*Projects!$B$40*Assumptions!$B$12,Projects!$B$40*Assumptions!$B$12/Projects!$D$40*0.95),0)+IF(AND(Projects!$G$41="Yes",4&gt;=Projects!$C$41,4&lt;Projects!$C$41+Projects!$D$41),IF(4=Projects!$C$41+Projects!$D$41-1,Projects!$B$41*Assumptions!$B$12/Projects!$D$41*0.95+0.05*Projects!$B$41*Assumptions!$B$12,Projects!$B$41*Assumptions!$B$12/Projects!$D$41*0.95),0)+IF(AND(Projects!$G$42="Yes",4&gt;=Projects!$C$42,4&lt;Projects!$C$42+Projects!$D$42),IF(4=Projects!$C$42+Projects!$D$42-1,Projects!$B$42*Assumptions!$B$12/Projects!$D$42*0.95+0.05*Projects!$B$42*Assumptions!$B$12,Projects!$B$42*Assumptions!$B$12/Projects!$D$42*0.95),0)+IF(AND(Projects!$G$43="Yes",4&gt;=Projects!$C$43,4&lt;Projects!$C$43+Projects!$D$43),IF(4=Projects!$C$43+Projects!$D$43-1,Projects!$B$43*Assumptions!$B$12/Projects!$D$43*0.95+0.05*Projects!$B$43*Assumptions!$B$12,Projects!$B$43*Assumptions!$B$12/Projects!$D$43*0.95),0)+IF(AND(Projects!$G$44="Yes",4&gt;=Projects!$C$44,4&lt;Projects!$C$44+Projects!$D$44),IF(4=Projects!$C$44+Projects!$D$44-1,Projects!$B$44*Assumptions!$B$12/Projects!$D$44*0.95+0.05*Projects!$B$44*Assumptions!$B$12,Projects!$B$44*Assumptions!$B$12/Projects!$D$44*0.95),0)+IF(AND(Projects!$G$45="Yes",4&gt;=Projects!$C$45,4&lt;Projects!$C$45+Projects!$D$45),IF(4=Projects!$C$45+Projects!$D$45-1,Projects!$B$45*Assumptions!$B$12/Projects!$D$45*0.95+0.05*Projects!$B$45*Assumptions!$B$12,Projects!$B$45*Assumptions!$B$12/Projects!$D$45*0.95),0)+IF(AND(Projects!$G$46="Yes",4&gt;=Projects!$C$46,4&lt;Projects!$C$46+Projects!$D$46),IF(4=Projects!$C$46+Projects!$D$46-1,Projects!$B$46*Assumptions!$B$12/Projects!$D$46*0.95+0.05*Projects!$B$46*Assumptions!$B$12,Projects!$B$46*Assumptions!$B$12/Projects!$D$46*0.95),0)</f>
        <v/>
      </c>
      <c r="G110">
        <f>IF(AND(Projects!$G$30="Yes",5&gt;=Projects!$C$30,5&lt;Projects!$C$30+Projects!$D$30),IF(5=Projects!$C$30+Projects!$D$30-1,Projects!$B$30*Assumptions!$B$12/Projects!$D$30*0.95+0.05*Projects!$B$30*Assumptions!$B$12,Projects!$B$30*Assumptions!$B$12/Projects!$D$30*0.95),0)+IF(AND(Projects!$G$31="Yes",5&gt;=Projects!$C$31,5&lt;Projects!$C$31+Projects!$D$31),IF(5=Projects!$C$31+Projects!$D$31-1,Projects!$B$31*Assumptions!$B$12/Projects!$D$31*0.95+0.05*Projects!$B$31*Assumptions!$B$12,Projects!$B$31*Assumptions!$B$12/Projects!$D$31*0.95),0)+IF(AND(Projects!$G$32="Yes",5&gt;=Projects!$C$32,5&lt;Projects!$C$32+Projects!$D$32),IF(5=Projects!$C$32+Projects!$D$32-1,Projects!$B$32*Assumptions!$B$12/Projects!$D$32*0.95+0.05*Projects!$B$32*Assumptions!$B$12,Projects!$B$32*Assumptions!$B$12/Projects!$D$32*0.95),0)+IF(AND(Projects!$G$33="Yes",5&gt;=Projects!$C$33,5&lt;Projects!$C$33+Projects!$D$33),IF(5=Projects!$C$33+Projects!$D$33-1,Projects!$B$33*Assumptions!$B$12/Projects!$D$33*0.95+0.05*Projects!$B$33*Assumptions!$B$12,Projects!$B$33*Assumptions!$B$12/Projects!$D$33*0.95),0)+IF(AND(Projects!$G$34="Yes",5&gt;=Projects!$C$34,5&lt;Projects!$C$34+Projects!$D$34),IF(5=Projects!$C$34+Projects!$D$34-1,Projects!$B$34*Assumptions!$B$12/Projects!$D$34*0.95+0.05*Projects!$B$34*Assumptions!$B$12,Projects!$B$34*Assumptions!$B$12/Projects!$D$34*0.95),0)+IF(AND(Projects!$G$35="Yes",5&gt;=Projects!$C$35,5&lt;Projects!$C$35+Projects!$D$35),IF(5=Projects!$C$35+Projects!$D$35-1,Projects!$B$35*Assumptions!$B$12/Projects!$D$35*0.95+0.05*Projects!$B$35*Assumptions!$B$12,Projects!$B$35*Assumptions!$B$12/Projects!$D$35*0.95),0)+IF(AND(Projects!$G$36="Yes",5&gt;=Projects!$C$36,5&lt;Projects!$C$36+Projects!$D$36),IF(5=Projects!$C$36+Projects!$D$36-1,Projects!$B$36*Assumptions!$B$12/Projects!$D$36*0.95+0.05*Projects!$B$36*Assumptions!$B$12,Projects!$B$36*Assumptions!$B$12/Projects!$D$36*0.95),0)+IF(AND(Projects!$G$37="Yes",5&gt;=Projects!$C$37,5&lt;Projects!$C$37+Projects!$D$37),IF(5=Projects!$C$37+Projects!$D$37-1,Projects!$B$37*Assumptions!$B$12/Projects!$D$37*0.95+0.05*Projects!$B$37*Assumptions!$B$12,Projects!$B$37*Assumptions!$B$12/Projects!$D$37*0.95),0)+IF(AND(Projects!$G$38="Yes",5&gt;=Projects!$C$38,5&lt;Projects!$C$38+Projects!$D$38),IF(5=Projects!$C$38+Projects!$D$38-1,Projects!$B$38*Assumptions!$B$12/Projects!$D$38*0.95+0.05*Projects!$B$38*Assumptions!$B$12,Projects!$B$38*Assumptions!$B$12/Projects!$D$38*0.95),0)+IF(AND(Projects!$G$39="Yes",5&gt;=Projects!$C$39,5&lt;Projects!$C$39+Projects!$D$39),IF(5=Projects!$C$39+Projects!$D$39-1,Projects!$B$39*Assumptions!$B$12/Projects!$D$39*0.95+0.05*Projects!$B$39*Assumptions!$B$12,Projects!$B$39*Assumptions!$B$12/Projects!$D$39*0.95),0)+IF(AND(Projects!$G$40="Yes",5&gt;=Projects!$C$40,5&lt;Projects!$C$40+Projects!$D$40),IF(5=Projects!$C$40+Projects!$D$40-1,Projects!$B$40*Assumptions!$B$12/Projects!$D$40*0.95+0.05*Projects!$B$40*Assumptions!$B$12,Projects!$B$40*Assumptions!$B$12/Projects!$D$40*0.95),0)+IF(AND(Projects!$G$41="Yes",5&gt;=Projects!$C$41,5&lt;Projects!$C$41+Projects!$D$41),IF(5=Projects!$C$41+Projects!$D$41-1,Projects!$B$41*Assumptions!$B$12/Projects!$D$41*0.95+0.05*Projects!$B$41*Assumptions!$B$12,Projects!$B$41*Assumptions!$B$12/Projects!$D$41*0.95),0)+IF(AND(Projects!$G$42="Yes",5&gt;=Projects!$C$42,5&lt;Projects!$C$42+Projects!$D$42),IF(5=Projects!$C$42+Projects!$D$42-1,Projects!$B$42*Assumptions!$B$12/Projects!$D$42*0.95+0.05*Projects!$B$42*Assumptions!$B$12,Projects!$B$42*Assumptions!$B$12/Projects!$D$42*0.95),0)+IF(AND(Projects!$G$43="Yes",5&gt;=Projects!$C$43,5&lt;Projects!$C$43+Projects!$D$43),IF(5=Projects!$C$43+Projects!$D$43-1,Projects!$B$43*Assumptions!$B$12/Projects!$D$43*0.95+0.05*Projects!$B$43*Assumptions!$B$12,Projects!$B$43*Assumptions!$B$12/Projects!$D$43*0.95),0)+IF(AND(Projects!$G$44="Yes",5&gt;=Projects!$C$44,5&lt;Projects!$C$44+Projects!$D$44),IF(5=Projects!$C$44+Projects!$D$44-1,Projects!$B$44*Assumptions!$B$12/Projects!$D$44*0.95+0.05*Projects!$B$44*Assumptions!$B$12,Projects!$B$44*Assumptions!$B$12/Projects!$D$44*0.95),0)+IF(AND(Projects!$G$45="Yes",5&gt;=Projects!$C$45,5&lt;Projects!$C$45+Projects!$D$45),IF(5=Projects!$C$45+Projects!$D$45-1,Projects!$B$45*Assumptions!$B$12/Projects!$D$45*0.95+0.05*Projects!$B$45*Assumptions!$B$12,Projects!$B$45*Assumptions!$B$12/Projects!$D$45*0.95),0)+IF(AND(Projects!$G$46="Yes",5&gt;=Projects!$C$46,5&lt;Projects!$C$46+Projects!$D$46),IF(5=Projects!$C$46+Projects!$D$46-1,Projects!$B$46*Assumptions!$B$12/Projects!$D$46*0.95+0.05*Projects!$B$46*Assumptions!$B$12,Projects!$B$46*Assumptions!$B$12/Projects!$D$46*0.95),0)</f>
        <v/>
      </c>
      <c r="H110">
        <f>IF(AND(Projects!$G$30="Yes",6&gt;=Projects!$C$30,6&lt;Projects!$C$30+Projects!$D$30),IF(6=Projects!$C$30+Projects!$D$30-1,Projects!$B$30*Assumptions!$B$12/Projects!$D$30*0.95+0.05*Projects!$B$30*Assumptions!$B$12,Projects!$B$30*Assumptions!$B$12/Projects!$D$30*0.95),0)+IF(AND(Projects!$G$31="Yes",6&gt;=Projects!$C$31,6&lt;Projects!$C$31+Projects!$D$31),IF(6=Projects!$C$31+Projects!$D$31-1,Projects!$B$31*Assumptions!$B$12/Projects!$D$31*0.95+0.05*Projects!$B$31*Assumptions!$B$12,Projects!$B$31*Assumptions!$B$12/Projects!$D$31*0.95),0)+IF(AND(Projects!$G$32="Yes",6&gt;=Projects!$C$32,6&lt;Projects!$C$32+Projects!$D$32),IF(6=Projects!$C$32+Projects!$D$32-1,Projects!$B$32*Assumptions!$B$12/Projects!$D$32*0.95+0.05*Projects!$B$32*Assumptions!$B$12,Projects!$B$32*Assumptions!$B$12/Projects!$D$32*0.95),0)+IF(AND(Projects!$G$33="Yes",6&gt;=Projects!$C$33,6&lt;Projects!$C$33+Projects!$D$33),IF(6=Projects!$C$33+Projects!$D$33-1,Projects!$B$33*Assumptions!$B$12/Projects!$D$33*0.95+0.05*Projects!$B$33*Assumptions!$B$12,Projects!$B$33*Assumptions!$B$12/Projects!$D$33*0.95),0)+IF(AND(Projects!$G$34="Yes",6&gt;=Projects!$C$34,6&lt;Projects!$C$34+Projects!$D$34),IF(6=Projects!$C$34+Projects!$D$34-1,Projects!$B$34*Assumptions!$B$12/Projects!$D$34*0.95+0.05*Projects!$B$34*Assumptions!$B$12,Projects!$B$34*Assumptions!$B$12/Projects!$D$34*0.95),0)+IF(AND(Projects!$G$35="Yes",6&gt;=Projects!$C$35,6&lt;Projects!$C$35+Projects!$D$35),IF(6=Projects!$C$35+Projects!$D$35-1,Projects!$B$35*Assumptions!$B$12/Projects!$D$35*0.95+0.05*Projects!$B$35*Assumptions!$B$12,Projects!$B$35*Assumptions!$B$12/Projects!$D$35*0.95),0)+IF(AND(Projects!$G$36="Yes",6&gt;=Projects!$C$36,6&lt;Projects!$C$36+Projects!$D$36),IF(6=Projects!$C$36+Projects!$D$36-1,Projects!$B$36*Assumptions!$B$12/Projects!$D$36*0.95+0.05*Projects!$B$36*Assumptions!$B$12,Projects!$B$36*Assumptions!$B$12/Projects!$D$36*0.95),0)+IF(AND(Projects!$G$37="Yes",6&gt;=Projects!$C$37,6&lt;Projects!$C$37+Projects!$D$37),IF(6=Projects!$C$37+Projects!$D$37-1,Projects!$B$37*Assumptions!$B$12/Projects!$D$37*0.95+0.05*Projects!$B$37*Assumptions!$B$12,Projects!$B$37*Assumptions!$B$12/Projects!$D$37*0.95),0)+IF(AND(Projects!$G$38="Yes",6&gt;=Projects!$C$38,6&lt;Projects!$C$38+Projects!$D$38),IF(6=Projects!$C$38+Projects!$D$38-1,Projects!$B$38*Assumptions!$B$12/Projects!$D$38*0.95+0.05*Projects!$B$38*Assumptions!$B$12,Projects!$B$38*Assumptions!$B$12/Projects!$D$38*0.95),0)+IF(AND(Projects!$G$39="Yes",6&gt;=Projects!$C$39,6&lt;Projects!$C$39+Projects!$D$39),IF(6=Projects!$C$39+Projects!$D$39-1,Projects!$B$39*Assumptions!$B$12/Projects!$D$39*0.95+0.05*Projects!$B$39*Assumptions!$B$12,Projects!$B$39*Assumptions!$B$12/Projects!$D$39*0.95),0)+IF(AND(Projects!$G$40="Yes",6&gt;=Projects!$C$40,6&lt;Projects!$C$40+Projects!$D$40),IF(6=Projects!$C$40+Projects!$D$40-1,Projects!$B$40*Assumptions!$B$12/Projects!$D$40*0.95+0.05*Projects!$B$40*Assumptions!$B$12,Projects!$B$40*Assumptions!$B$12/Projects!$D$40*0.95),0)+IF(AND(Projects!$G$41="Yes",6&gt;=Projects!$C$41,6&lt;Projects!$C$41+Projects!$D$41),IF(6=Projects!$C$41+Projects!$D$41-1,Projects!$B$41*Assumptions!$B$12/Projects!$D$41*0.95+0.05*Projects!$B$41*Assumptions!$B$12,Projects!$B$41*Assumptions!$B$12/Projects!$D$41*0.95),0)+IF(AND(Projects!$G$42="Yes",6&gt;=Projects!$C$42,6&lt;Projects!$C$42+Projects!$D$42),IF(6=Projects!$C$42+Projects!$D$42-1,Projects!$B$42*Assumptions!$B$12/Projects!$D$42*0.95+0.05*Projects!$B$42*Assumptions!$B$12,Projects!$B$42*Assumptions!$B$12/Projects!$D$42*0.95),0)+IF(AND(Projects!$G$43="Yes",6&gt;=Projects!$C$43,6&lt;Projects!$C$43+Projects!$D$43),IF(6=Projects!$C$43+Projects!$D$43-1,Projects!$B$43*Assumptions!$B$12/Projects!$D$43*0.95+0.05*Projects!$B$43*Assumptions!$B$12,Projects!$B$43*Assumptions!$B$12/Projects!$D$43*0.95),0)+IF(AND(Projects!$G$44="Yes",6&gt;=Projects!$C$44,6&lt;Projects!$C$44+Projects!$D$44),IF(6=Projects!$C$44+Projects!$D$44-1,Projects!$B$44*Assumptions!$B$12/Projects!$D$44*0.95+0.05*Projects!$B$44*Assumptions!$B$12,Projects!$B$44*Assumptions!$B$12/Projects!$D$44*0.95),0)+IF(AND(Projects!$G$45="Yes",6&gt;=Projects!$C$45,6&lt;Projects!$C$45+Projects!$D$45),IF(6=Projects!$C$45+Projects!$D$45-1,Projects!$B$45*Assumptions!$B$12/Projects!$D$45*0.95+0.05*Projects!$B$45*Assumptions!$B$12,Projects!$B$45*Assumptions!$B$12/Projects!$D$45*0.95),0)+IF(AND(Projects!$G$46="Yes",6&gt;=Projects!$C$46,6&lt;Projects!$C$46+Projects!$D$46),IF(6=Projects!$C$46+Projects!$D$46-1,Projects!$B$46*Assumptions!$B$12/Projects!$D$46*0.95+0.05*Projects!$B$46*Assumptions!$B$12,Projects!$B$46*Assumptions!$B$12/Projects!$D$46*0.95),0)</f>
        <v/>
      </c>
      <c r="I110">
        <f>IF(AND(Projects!$G$30="Yes",7&gt;=Projects!$C$30,7&lt;Projects!$C$30+Projects!$D$30),IF(7=Projects!$C$30+Projects!$D$30-1,Projects!$B$30*Assumptions!$B$12/Projects!$D$30*0.95+0.05*Projects!$B$30*Assumptions!$B$12,Projects!$B$30*Assumptions!$B$12/Projects!$D$30*0.95),0)+IF(AND(Projects!$G$31="Yes",7&gt;=Projects!$C$31,7&lt;Projects!$C$31+Projects!$D$31),IF(7=Projects!$C$31+Projects!$D$31-1,Projects!$B$31*Assumptions!$B$12/Projects!$D$31*0.95+0.05*Projects!$B$31*Assumptions!$B$12,Projects!$B$31*Assumptions!$B$12/Projects!$D$31*0.95),0)+IF(AND(Projects!$G$32="Yes",7&gt;=Projects!$C$32,7&lt;Projects!$C$32+Projects!$D$32),IF(7=Projects!$C$32+Projects!$D$32-1,Projects!$B$32*Assumptions!$B$12/Projects!$D$32*0.95+0.05*Projects!$B$32*Assumptions!$B$12,Projects!$B$32*Assumptions!$B$12/Projects!$D$32*0.95),0)+IF(AND(Projects!$G$33="Yes",7&gt;=Projects!$C$33,7&lt;Projects!$C$33+Projects!$D$33),IF(7=Projects!$C$33+Projects!$D$33-1,Projects!$B$33*Assumptions!$B$12/Projects!$D$33*0.95+0.05*Projects!$B$33*Assumptions!$B$12,Projects!$B$33*Assumptions!$B$12/Projects!$D$33*0.95),0)+IF(AND(Projects!$G$34="Yes",7&gt;=Projects!$C$34,7&lt;Projects!$C$34+Projects!$D$34),IF(7=Projects!$C$34+Projects!$D$34-1,Projects!$B$34*Assumptions!$B$12/Projects!$D$34*0.95+0.05*Projects!$B$34*Assumptions!$B$12,Projects!$B$34*Assumptions!$B$12/Projects!$D$34*0.95),0)+IF(AND(Projects!$G$35="Yes",7&gt;=Projects!$C$35,7&lt;Projects!$C$35+Projects!$D$35),IF(7=Projects!$C$35+Projects!$D$35-1,Projects!$B$35*Assumptions!$B$12/Projects!$D$35*0.95+0.05*Projects!$B$35*Assumptions!$B$12,Projects!$B$35*Assumptions!$B$12/Projects!$D$35*0.95),0)+IF(AND(Projects!$G$36="Yes",7&gt;=Projects!$C$36,7&lt;Projects!$C$36+Projects!$D$36),IF(7=Projects!$C$36+Projects!$D$36-1,Projects!$B$36*Assumptions!$B$12/Projects!$D$36*0.95+0.05*Projects!$B$36*Assumptions!$B$12,Projects!$B$36*Assumptions!$B$12/Projects!$D$36*0.95),0)+IF(AND(Projects!$G$37="Yes",7&gt;=Projects!$C$37,7&lt;Projects!$C$37+Projects!$D$37),IF(7=Projects!$C$37+Projects!$D$37-1,Projects!$B$37*Assumptions!$B$12/Projects!$D$37*0.95+0.05*Projects!$B$37*Assumptions!$B$12,Projects!$B$37*Assumptions!$B$12/Projects!$D$37*0.95),0)+IF(AND(Projects!$G$38="Yes",7&gt;=Projects!$C$38,7&lt;Projects!$C$38+Projects!$D$38),IF(7=Projects!$C$38+Projects!$D$38-1,Projects!$B$38*Assumptions!$B$12/Projects!$D$38*0.95+0.05*Projects!$B$38*Assumptions!$B$12,Projects!$B$38*Assumptions!$B$12/Projects!$D$38*0.95),0)+IF(AND(Projects!$G$39="Yes",7&gt;=Projects!$C$39,7&lt;Projects!$C$39+Projects!$D$39),IF(7=Projects!$C$39+Projects!$D$39-1,Projects!$B$39*Assumptions!$B$12/Projects!$D$39*0.95+0.05*Projects!$B$39*Assumptions!$B$12,Projects!$B$39*Assumptions!$B$12/Projects!$D$39*0.95),0)+IF(AND(Projects!$G$40="Yes",7&gt;=Projects!$C$40,7&lt;Projects!$C$40+Projects!$D$40),IF(7=Projects!$C$40+Projects!$D$40-1,Projects!$B$40*Assumptions!$B$12/Projects!$D$40*0.95+0.05*Projects!$B$40*Assumptions!$B$12,Projects!$B$40*Assumptions!$B$12/Projects!$D$40*0.95),0)+IF(AND(Projects!$G$41="Yes",7&gt;=Projects!$C$41,7&lt;Projects!$C$41+Projects!$D$41),IF(7=Projects!$C$41+Projects!$D$41-1,Projects!$B$41*Assumptions!$B$12/Projects!$D$41*0.95+0.05*Projects!$B$41*Assumptions!$B$12,Projects!$B$41*Assumptions!$B$12/Projects!$D$41*0.95),0)+IF(AND(Projects!$G$42="Yes",7&gt;=Projects!$C$42,7&lt;Projects!$C$42+Projects!$D$42),IF(7=Projects!$C$42+Projects!$D$42-1,Projects!$B$42*Assumptions!$B$12/Projects!$D$42*0.95+0.05*Projects!$B$42*Assumptions!$B$12,Projects!$B$42*Assumptions!$B$12/Projects!$D$42*0.95),0)+IF(AND(Projects!$G$43="Yes",7&gt;=Projects!$C$43,7&lt;Projects!$C$43+Projects!$D$43),IF(7=Projects!$C$43+Projects!$D$43-1,Projects!$B$43*Assumptions!$B$12/Projects!$D$43*0.95+0.05*Projects!$B$43*Assumptions!$B$12,Projects!$B$43*Assumptions!$B$12/Projects!$D$43*0.95),0)+IF(AND(Projects!$G$44="Yes",7&gt;=Projects!$C$44,7&lt;Projects!$C$44+Projects!$D$44),IF(7=Projects!$C$44+Projects!$D$44-1,Projects!$B$44*Assumptions!$B$12/Projects!$D$44*0.95+0.05*Projects!$B$44*Assumptions!$B$12,Projects!$B$44*Assumptions!$B$12/Projects!$D$44*0.95),0)+IF(AND(Projects!$G$45="Yes",7&gt;=Projects!$C$45,7&lt;Projects!$C$45+Projects!$D$45),IF(7=Projects!$C$45+Projects!$D$45-1,Projects!$B$45*Assumptions!$B$12/Projects!$D$45*0.95+0.05*Projects!$B$45*Assumptions!$B$12,Projects!$B$45*Assumptions!$B$12/Projects!$D$45*0.95),0)+IF(AND(Projects!$G$46="Yes",7&gt;=Projects!$C$46,7&lt;Projects!$C$46+Projects!$D$46),IF(7=Projects!$C$46+Projects!$D$46-1,Projects!$B$46*Assumptions!$B$12/Projects!$D$46*0.95+0.05*Projects!$B$46*Assumptions!$B$12,Projects!$B$46*Assumptions!$B$12/Projects!$D$46*0.95),0)</f>
        <v/>
      </c>
      <c r="J110">
        <f>IF(AND(Projects!$G$30="Yes",8&gt;=Projects!$C$30,8&lt;Projects!$C$30+Projects!$D$30),IF(8=Projects!$C$30+Projects!$D$30-1,Projects!$B$30*Assumptions!$B$12/Projects!$D$30*0.95+0.05*Projects!$B$30*Assumptions!$B$12,Projects!$B$30*Assumptions!$B$12/Projects!$D$30*0.95),0)+IF(AND(Projects!$G$31="Yes",8&gt;=Projects!$C$31,8&lt;Projects!$C$31+Projects!$D$31),IF(8=Projects!$C$31+Projects!$D$31-1,Projects!$B$31*Assumptions!$B$12/Projects!$D$31*0.95+0.05*Projects!$B$31*Assumptions!$B$12,Projects!$B$31*Assumptions!$B$12/Projects!$D$31*0.95),0)+IF(AND(Projects!$G$32="Yes",8&gt;=Projects!$C$32,8&lt;Projects!$C$32+Projects!$D$32),IF(8=Projects!$C$32+Projects!$D$32-1,Projects!$B$32*Assumptions!$B$12/Projects!$D$32*0.95+0.05*Projects!$B$32*Assumptions!$B$12,Projects!$B$32*Assumptions!$B$12/Projects!$D$32*0.95),0)+IF(AND(Projects!$G$33="Yes",8&gt;=Projects!$C$33,8&lt;Projects!$C$33+Projects!$D$33),IF(8=Projects!$C$33+Projects!$D$33-1,Projects!$B$33*Assumptions!$B$12/Projects!$D$33*0.95+0.05*Projects!$B$33*Assumptions!$B$12,Projects!$B$33*Assumptions!$B$12/Projects!$D$33*0.95),0)+IF(AND(Projects!$G$34="Yes",8&gt;=Projects!$C$34,8&lt;Projects!$C$34+Projects!$D$34),IF(8=Projects!$C$34+Projects!$D$34-1,Projects!$B$34*Assumptions!$B$12/Projects!$D$34*0.95+0.05*Projects!$B$34*Assumptions!$B$12,Projects!$B$34*Assumptions!$B$12/Projects!$D$34*0.95),0)+IF(AND(Projects!$G$35="Yes",8&gt;=Projects!$C$35,8&lt;Projects!$C$35+Projects!$D$35),IF(8=Projects!$C$35+Projects!$D$35-1,Projects!$B$35*Assumptions!$B$12/Projects!$D$35*0.95+0.05*Projects!$B$35*Assumptions!$B$12,Projects!$B$35*Assumptions!$B$12/Projects!$D$35*0.95),0)+IF(AND(Projects!$G$36="Yes",8&gt;=Projects!$C$36,8&lt;Projects!$C$36+Projects!$D$36),IF(8=Projects!$C$36+Projects!$D$36-1,Projects!$B$36*Assumptions!$B$12/Projects!$D$36*0.95+0.05*Projects!$B$36*Assumptions!$B$12,Projects!$B$36*Assumptions!$B$12/Projects!$D$36*0.95),0)+IF(AND(Projects!$G$37="Yes",8&gt;=Projects!$C$37,8&lt;Projects!$C$37+Projects!$D$37),IF(8=Projects!$C$37+Projects!$D$37-1,Projects!$B$37*Assumptions!$B$12/Projects!$D$37*0.95+0.05*Projects!$B$37*Assumptions!$B$12,Projects!$B$37*Assumptions!$B$12/Projects!$D$37*0.95),0)+IF(AND(Projects!$G$38="Yes",8&gt;=Projects!$C$38,8&lt;Projects!$C$38+Projects!$D$38),IF(8=Projects!$C$38+Projects!$D$38-1,Projects!$B$38*Assumptions!$B$12/Projects!$D$38*0.95+0.05*Projects!$B$38*Assumptions!$B$12,Projects!$B$38*Assumptions!$B$12/Projects!$D$38*0.95),0)+IF(AND(Projects!$G$39="Yes",8&gt;=Projects!$C$39,8&lt;Projects!$C$39+Projects!$D$39),IF(8=Projects!$C$39+Projects!$D$39-1,Projects!$B$39*Assumptions!$B$12/Projects!$D$39*0.95+0.05*Projects!$B$39*Assumptions!$B$12,Projects!$B$39*Assumptions!$B$12/Projects!$D$39*0.95),0)+IF(AND(Projects!$G$40="Yes",8&gt;=Projects!$C$40,8&lt;Projects!$C$40+Projects!$D$40),IF(8=Projects!$C$40+Projects!$D$40-1,Projects!$B$40*Assumptions!$B$12/Projects!$D$40*0.95+0.05*Projects!$B$40*Assumptions!$B$12,Projects!$B$40*Assumptions!$B$12/Projects!$D$40*0.95),0)+IF(AND(Projects!$G$41="Yes",8&gt;=Projects!$C$41,8&lt;Projects!$C$41+Projects!$D$41),IF(8=Projects!$C$41+Projects!$D$41-1,Projects!$B$41*Assumptions!$B$12/Projects!$D$41*0.95+0.05*Projects!$B$41*Assumptions!$B$12,Projects!$B$41*Assumptions!$B$12/Projects!$D$41*0.95),0)+IF(AND(Projects!$G$42="Yes",8&gt;=Projects!$C$42,8&lt;Projects!$C$42+Projects!$D$42),IF(8=Projects!$C$42+Projects!$D$42-1,Projects!$B$42*Assumptions!$B$12/Projects!$D$42*0.95+0.05*Projects!$B$42*Assumptions!$B$12,Projects!$B$42*Assumptions!$B$12/Projects!$D$42*0.95),0)+IF(AND(Projects!$G$43="Yes",8&gt;=Projects!$C$43,8&lt;Projects!$C$43+Projects!$D$43),IF(8=Projects!$C$43+Projects!$D$43-1,Projects!$B$43*Assumptions!$B$12/Projects!$D$43*0.95+0.05*Projects!$B$43*Assumptions!$B$12,Projects!$B$43*Assumptions!$B$12/Projects!$D$43*0.95),0)+IF(AND(Projects!$G$44="Yes",8&gt;=Projects!$C$44,8&lt;Projects!$C$44+Projects!$D$44),IF(8=Projects!$C$44+Projects!$D$44-1,Projects!$B$44*Assumptions!$B$12/Projects!$D$44*0.95+0.05*Projects!$B$44*Assumptions!$B$12,Projects!$B$44*Assumptions!$B$12/Projects!$D$44*0.95),0)+IF(AND(Projects!$G$45="Yes",8&gt;=Projects!$C$45,8&lt;Projects!$C$45+Projects!$D$45),IF(8=Projects!$C$45+Projects!$D$45-1,Projects!$B$45*Assumptions!$B$12/Projects!$D$45*0.95+0.05*Projects!$B$45*Assumptions!$B$12,Projects!$B$45*Assumptions!$B$12/Projects!$D$45*0.95),0)+IF(AND(Projects!$G$46="Yes",8&gt;=Projects!$C$46,8&lt;Projects!$C$46+Projects!$D$46),IF(8=Projects!$C$46+Projects!$D$46-1,Projects!$B$46*Assumptions!$B$12/Projects!$D$46*0.95+0.05*Projects!$B$46*Assumptions!$B$12,Projects!$B$46*Assumptions!$B$12/Projects!$D$46*0.95),0)</f>
        <v/>
      </c>
      <c r="K110">
        <f>IF(AND(Projects!$G$30="Yes",9&gt;=Projects!$C$30,9&lt;Projects!$C$30+Projects!$D$30),IF(9=Projects!$C$30+Projects!$D$30-1,Projects!$B$30*Assumptions!$B$12/Projects!$D$30*0.95+0.05*Projects!$B$30*Assumptions!$B$12,Projects!$B$30*Assumptions!$B$12/Projects!$D$30*0.95),0)+IF(AND(Projects!$G$31="Yes",9&gt;=Projects!$C$31,9&lt;Projects!$C$31+Projects!$D$31),IF(9=Projects!$C$31+Projects!$D$31-1,Projects!$B$31*Assumptions!$B$12/Projects!$D$31*0.95+0.05*Projects!$B$31*Assumptions!$B$12,Projects!$B$31*Assumptions!$B$12/Projects!$D$31*0.95),0)+IF(AND(Projects!$G$32="Yes",9&gt;=Projects!$C$32,9&lt;Projects!$C$32+Projects!$D$32),IF(9=Projects!$C$32+Projects!$D$32-1,Projects!$B$32*Assumptions!$B$12/Projects!$D$32*0.95+0.05*Projects!$B$32*Assumptions!$B$12,Projects!$B$32*Assumptions!$B$12/Projects!$D$32*0.95),0)+IF(AND(Projects!$G$33="Yes",9&gt;=Projects!$C$33,9&lt;Projects!$C$33+Projects!$D$33),IF(9=Projects!$C$33+Projects!$D$33-1,Projects!$B$33*Assumptions!$B$12/Projects!$D$33*0.95+0.05*Projects!$B$33*Assumptions!$B$12,Projects!$B$33*Assumptions!$B$12/Projects!$D$33*0.95),0)+IF(AND(Projects!$G$34="Yes",9&gt;=Projects!$C$34,9&lt;Projects!$C$34+Projects!$D$34),IF(9=Projects!$C$34+Projects!$D$34-1,Projects!$B$34*Assumptions!$B$12/Projects!$D$34*0.95+0.05*Projects!$B$34*Assumptions!$B$12,Projects!$B$34*Assumptions!$B$12/Projects!$D$34*0.95),0)+IF(AND(Projects!$G$35="Yes",9&gt;=Projects!$C$35,9&lt;Projects!$C$35+Projects!$D$35),IF(9=Projects!$C$35+Projects!$D$35-1,Projects!$B$35*Assumptions!$B$12/Projects!$D$35*0.95+0.05*Projects!$B$35*Assumptions!$B$12,Projects!$B$35*Assumptions!$B$12/Projects!$D$35*0.95),0)+IF(AND(Projects!$G$36="Yes",9&gt;=Projects!$C$36,9&lt;Projects!$C$36+Projects!$D$36),IF(9=Projects!$C$36+Projects!$D$36-1,Projects!$B$36*Assumptions!$B$12/Projects!$D$36*0.95+0.05*Projects!$B$36*Assumptions!$B$12,Projects!$B$36*Assumptions!$B$12/Projects!$D$36*0.95),0)+IF(AND(Projects!$G$37="Yes",9&gt;=Projects!$C$37,9&lt;Projects!$C$37+Projects!$D$37),IF(9=Projects!$C$37+Projects!$D$37-1,Projects!$B$37*Assumptions!$B$12/Projects!$D$37*0.95+0.05*Projects!$B$37*Assumptions!$B$12,Projects!$B$37*Assumptions!$B$12/Projects!$D$37*0.95),0)+IF(AND(Projects!$G$38="Yes",9&gt;=Projects!$C$38,9&lt;Projects!$C$38+Projects!$D$38),IF(9=Projects!$C$38+Projects!$D$38-1,Projects!$B$38*Assumptions!$B$12/Projects!$D$38*0.95+0.05*Projects!$B$38*Assumptions!$B$12,Projects!$B$38*Assumptions!$B$12/Projects!$D$38*0.95),0)+IF(AND(Projects!$G$39="Yes",9&gt;=Projects!$C$39,9&lt;Projects!$C$39+Projects!$D$39),IF(9=Projects!$C$39+Projects!$D$39-1,Projects!$B$39*Assumptions!$B$12/Projects!$D$39*0.95+0.05*Projects!$B$39*Assumptions!$B$12,Projects!$B$39*Assumptions!$B$12/Projects!$D$39*0.95),0)+IF(AND(Projects!$G$40="Yes",9&gt;=Projects!$C$40,9&lt;Projects!$C$40+Projects!$D$40),IF(9=Projects!$C$40+Projects!$D$40-1,Projects!$B$40*Assumptions!$B$12/Projects!$D$40*0.95+0.05*Projects!$B$40*Assumptions!$B$12,Projects!$B$40*Assumptions!$B$12/Projects!$D$40*0.95),0)+IF(AND(Projects!$G$41="Yes",9&gt;=Projects!$C$41,9&lt;Projects!$C$41+Projects!$D$41),IF(9=Projects!$C$41+Projects!$D$41-1,Projects!$B$41*Assumptions!$B$12/Projects!$D$41*0.95+0.05*Projects!$B$41*Assumptions!$B$12,Projects!$B$41*Assumptions!$B$12/Projects!$D$41*0.95),0)+IF(AND(Projects!$G$42="Yes",9&gt;=Projects!$C$42,9&lt;Projects!$C$42+Projects!$D$42),IF(9=Projects!$C$42+Projects!$D$42-1,Projects!$B$42*Assumptions!$B$12/Projects!$D$42*0.95+0.05*Projects!$B$42*Assumptions!$B$12,Projects!$B$42*Assumptions!$B$12/Projects!$D$42*0.95),0)+IF(AND(Projects!$G$43="Yes",9&gt;=Projects!$C$43,9&lt;Projects!$C$43+Projects!$D$43),IF(9=Projects!$C$43+Projects!$D$43-1,Projects!$B$43*Assumptions!$B$12/Projects!$D$43*0.95+0.05*Projects!$B$43*Assumptions!$B$12,Projects!$B$43*Assumptions!$B$12/Projects!$D$43*0.95),0)+IF(AND(Projects!$G$44="Yes",9&gt;=Projects!$C$44,9&lt;Projects!$C$44+Projects!$D$44),IF(9=Projects!$C$44+Projects!$D$44-1,Projects!$B$44*Assumptions!$B$12/Projects!$D$44*0.95+0.05*Projects!$B$44*Assumptions!$B$12,Projects!$B$44*Assumptions!$B$12/Projects!$D$44*0.95),0)+IF(AND(Projects!$G$45="Yes",9&gt;=Projects!$C$45,9&lt;Projects!$C$45+Projects!$D$45),IF(9=Projects!$C$45+Projects!$D$45-1,Projects!$B$45*Assumptions!$B$12/Projects!$D$45*0.95+0.05*Projects!$B$45*Assumptions!$B$12,Projects!$B$45*Assumptions!$B$12/Projects!$D$45*0.95),0)+IF(AND(Projects!$G$46="Yes",9&gt;=Projects!$C$46,9&lt;Projects!$C$46+Projects!$D$46),IF(9=Projects!$C$46+Projects!$D$46-1,Projects!$B$46*Assumptions!$B$12/Projects!$D$46*0.95+0.05*Projects!$B$46*Assumptions!$B$12,Projects!$B$46*Assumptions!$B$12/Projects!$D$46*0.95),0)</f>
        <v/>
      </c>
      <c r="L110">
        <f>IF(AND(Projects!$G$30="Yes",10&gt;=Projects!$C$30,10&lt;Projects!$C$30+Projects!$D$30),IF(10=Projects!$C$30+Projects!$D$30-1,Projects!$B$30*Assumptions!$B$12/Projects!$D$30*0.95+0.05*Projects!$B$30*Assumptions!$B$12,Projects!$B$30*Assumptions!$B$12/Projects!$D$30*0.95),0)+IF(AND(Projects!$G$31="Yes",10&gt;=Projects!$C$31,10&lt;Projects!$C$31+Projects!$D$31),IF(10=Projects!$C$31+Projects!$D$31-1,Projects!$B$31*Assumptions!$B$12/Projects!$D$31*0.95+0.05*Projects!$B$31*Assumptions!$B$12,Projects!$B$31*Assumptions!$B$12/Projects!$D$31*0.95),0)+IF(AND(Projects!$G$32="Yes",10&gt;=Projects!$C$32,10&lt;Projects!$C$32+Projects!$D$32),IF(10=Projects!$C$32+Projects!$D$32-1,Projects!$B$32*Assumptions!$B$12/Projects!$D$32*0.95+0.05*Projects!$B$32*Assumptions!$B$12,Projects!$B$32*Assumptions!$B$12/Projects!$D$32*0.95),0)+IF(AND(Projects!$G$33="Yes",10&gt;=Projects!$C$33,10&lt;Projects!$C$33+Projects!$D$33),IF(10=Projects!$C$33+Projects!$D$33-1,Projects!$B$33*Assumptions!$B$12/Projects!$D$33*0.95+0.05*Projects!$B$33*Assumptions!$B$12,Projects!$B$33*Assumptions!$B$12/Projects!$D$33*0.95),0)+IF(AND(Projects!$G$34="Yes",10&gt;=Projects!$C$34,10&lt;Projects!$C$34+Projects!$D$34),IF(10=Projects!$C$34+Projects!$D$34-1,Projects!$B$34*Assumptions!$B$12/Projects!$D$34*0.95+0.05*Projects!$B$34*Assumptions!$B$12,Projects!$B$34*Assumptions!$B$12/Projects!$D$34*0.95),0)+IF(AND(Projects!$G$35="Yes",10&gt;=Projects!$C$35,10&lt;Projects!$C$35+Projects!$D$35),IF(10=Projects!$C$35+Projects!$D$35-1,Projects!$B$35*Assumptions!$B$12/Projects!$D$35*0.95+0.05*Projects!$B$35*Assumptions!$B$12,Projects!$B$35*Assumptions!$B$12/Projects!$D$35*0.95),0)+IF(AND(Projects!$G$36="Yes",10&gt;=Projects!$C$36,10&lt;Projects!$C$36+Projects!$D$36),IF(10=Projects!$C$36+Projects!$D$36-1,Projects!$B$36*Assumptions!$B$12/Projects!$D$36*0.95+0.05*Projects!$B$36*Assumptions!$B$12,Projects!$B$36*Assumptions!$B$12/Projects!$D$36*0.95),0)+IF(AND(Projects!$G$37="Yes",10&gt;=Projects!$C$37,10&lt;Projects!$C$37+Projects!$D$37),IF(10=Projects!$C$37+Projects!$D$37-1,Projects!$B$37*Assumptions!$B$12/Projects!$D$37*0.95+0.05*Projects!$B$37*Assumptions!$B$12,Projects!$B$37*Assumptions!$B$12/Projects!$D$37*0.95),0)+IF(AND(Projects!$G$38="Yes",10&gt;=Projects!$C$38,10&lt;Projects!$C$38+Projects!$D$38),IF(10=Projects!$C$38+Projects!$D$38-1,Projects!$B$38*Assumptions!$B$12/Projects!$D$38*0.95+0.05*Projects!$B$38*Assumptions!$B$12,Projects!$B$38*Assumptions!$B$12/Projects!$D$38*0.95),0)+IF(AND(Projects!$G$39="Yes",10&gt;=Projects!$C$39,10&lt;Projects!$C$39+Projects!$D$39),IF(10=Projects!$C$39+Projects!$D$39-1,Projects!$B$39*Assumptions!$B$12/Projects!$D$39*0.95+0.05*Projects!$B$39*Assumptions!$B$12,Projects!$B$39*Assumptions!$B$12/Projects!$D$39*0.95),0)+IF(AND(Projects!$G$40="Yes",10&gt;=Projects!$C$40,10&lt;Projects!$C$40+Projects!$D$40),IF(10=Projects!$C$40+Projects!$D$40-1,Projects!$B$40*Assumptions!$B$12/Projects!$D$40*0.95+0.05*Projects!$B$40*Assumptions!$B$12,Projects!$B$40*Assumptions!$B$12/Projects!$D$40*0.95),0)+IF(AND(Projects!$G$41="Yes",10&gt;=Projects!$C$41,10&lt;Projects!$C$41+Projects!$D$41),IF(10=Projects!$C$41+Projects!$D$41-1,Projects!$B$41*Assumptions!$B$12/Projects!$D$41*0.95+0.05*Projects!$B$41*Assumptions!$B$12,Projects!$B$41*Assumptions!$B$12/Projects!$D$41*0.95),0)+IF(AND(Projects!$G$42="Yes",10&gt;=Projects!$C$42,10&lt;Projects!$C$42+Projects!$D$42),IF(10=Projects!$C$42+Projects!$D$42-1,Projects!$B$42*Assumptions!$B$12/Projects!$D$42*0.95+0.05*Projects!$B$42*Assumptions!$B$12,Projects!$B$42*Assumptions!$B$12/Projects!$D$42*0.95),0)+IF(AND(Projects!$G$43="Yes",10&gt;=Projects!$C$43,10&lt;Projects!$C$43+Projects!$D$43),IF(10=Projects!$C$43+Projects!$D$43-1,Projects!$B$43*Assumptions!$B$12/Projects!$D$43*0.95+0.05*Projects!$B$43*Assumptions!$B$12,Projects!$B$43*Assumptions!$B$12/Projects!$D$43*0.95),0)+IF(AND(Projects!$G$44="Yes",10&gt;=Projects!$C$44,10&lt;Projects!$C$44+Projects!$D$44),IF(10=Projects!$C$44+Projects!$D$44-1,Projects!$B$44*Assumptions!$B$12/Projects!$D$44*0.95+0.05*Projects!$B$44*Assumptions!$B$12,Projects!$B$44*Assumptions!$B$12/Projects!$D$44*0.95),0)+IF(AND(Projects!$G$45="Yes",10&gt;=Projects!$C$45,10&lt;Projects!$C$45+Projects!$D$45),IF(10=Projects!$C$45+Projects!$D$45-1,Projects!$B$45*Assumptions!$B$12/Projects!$D$45*0.95+0.05*Projects!$B$45*Assumptions!$B$12,Projects!$B$45*Assumptions!$B$12/Projects!$D$45*0.95),0)+IF(AND(Projects!$G$46="Yes",10&gt;=Projects!$C$46,10&lt;Projects!$C$46+Projects!$D$46),IF(10=Projects!$C$46+Projects!$D$46-1,Projects!$B$46*Assumptions!$B$12/Projects!$D$46*0.95+0.05*Projects!$B$46*Assumptions!$B$12,Projects!$B$46*Assumptions!$B$12/Projects!$D$46*0.95),0)</f>
        <v/>
      </c>
      <c r="M110">
        <f>IF(AND(Projects!$G$30="Yes",11&gt;=Projects!$C$30,11&lt;Projects!$C$30+Projects!$D$30),IF(11=Projects!$C$30+Projects!$D$30-1,Projects!$B$30*Assumptions!$B$12/Projects!$D$30*0.95+0.05*Projects!$B$30*Assumptions!$B$12,Projects!$B$30*Assumptions!$B$12/Projects!$D$30*0.95),0)+IF(AND(Projects!$G$31="Yes",11&gt;=Projects!$C$31,11&lt;Projects!$C$31+Projects!$D$31),IF(11=Projects!$C$31+Projects!$D$31-1,Projects!$B$31*Assumptions!$B$12/Projects!$D$31*0.95+0.05*Projects!$B$31*Assumptions!$B$12,Projects!$B$31*Assumptions!$B$12/Projects!$D$31*0.95),0)+IF(AND(Projects!$G$32="Yes",11&gt;=Projects!$C$32,11&lt;Projects!$C$32+Projects!$D$32),IF(11=Projects!$C$32+Projects!$D$32-1,Projects!$B$32*Assumptions!$B$12/Projects!$D$32*0.95+0.05*Projects!$B$32*Assumptions!$B$12,Projects!$B$32*Assumptions!$B$12/Projects!$D$32*0.95),0)+IF(AND(Projects!$G$33="Yes",11&gt;=Projects!$C$33,11&lt;Projects!$C$33+Projects!$D$33),IF(11=Projects!$C$33+Projects!$D$33-1,Projects!$B$33*Assumptions!$B$12/Projects!$D$33*0.95+0.05*Projects!$B$33*Assumptions!$B$12,Projects!$B$33*Assumptions!$B$12/Projects!$D$33*0.95),0)+IF(AND(Projects!$G$34="Yes",11&gt;=Projects!$C$34,11&lt;Projects!$C$34+Projects!$D$34),IF(11=Projects!$C$34+Projects!$D$34-1,Projects!$B$34*Assumptions!$B$12/Projects!$D$34*0.95+0.05*Projects!$B$34*Assumptions!$B$12,Projects!$B$34*Assumptions!$B$12/Projects!$D$34*0.95),0)+IF(AND(Projects!$G$35="Yes",11&gt;=Projects!$C$35,11&lt;Projects!$C$35+Projects!$D$35),IF(11=Projects!$C$35+Projects!$D$35-1,Projects!$B$35*Assumptions!$B$12/Projects!$D$35*0.95+0.05*Projects!$B$35*Assumptions!$B$12,Projects!$B$35*Assumptions!$B$12/Projects!$D$35*0.95),0)+IF(AND(Projects!$G$36="Yes",11&gt;=Projects!$C$36,11&lt;Projects!$C$36+Projects!$D$36),IF(11=Projects!$C$36+Projects!$D$36-1,Projects!$B$36*Assumptions!$B$12/Projects!$D$36*0.95+0.05*Projects!$B$36*Assumptions!$B$12,Projects!$B$36*Assumptions!$B$12/Projects!$D$36*0.95),0)+IF(AND(Projects!$G$37="Yes",11&gt;=Projects!$C$37,11&lt;Projects!$C$37+Projects!$D$37),IF(11=Projects!$C$37+Projects!$D$37-1,Projects!$B$37*Assumptions!$B$12/Projects!$D$37*0.95+0.05*Projects!$B$37*Assumptions!$B$12,Projects!$B$37*Assumptions!$B$12/Projects!$D$37*0.95),0)+IF(AND(Projects!$G$38="Yes",11&gt;=Projects!$C$38,11&lt;Projects!$C$38+Projects!$D$38),IF(11=Projects!$C$38+Projects!$D$38-1,Projects!$B$38*Assumptions!$B$12/Projects!$D$38*0.95+0.05*Projects!$B$38*Assumptions!$B$12,Projects!$B$38*Assumptions!$B$12/Projects!$D$38*0.95),0)+IF(AND(Projects!$G$39="Yes",11&gt;=Projects!$C$39,11&lt;Projects!$C$39+Projects!$D$39),IF(11=Projects!$C$39+Projects!$D$39-1,Projects!$B$39*Assumptions!$B$12/Projects!$D$39*0.95+0.05*Projects!$B$39*Assumptions!$B$12,Projects!$B$39*Assumptions!$B$12/Projects!$D$39*0.95),0)+IF(AND(Projects!$G$40="Yes",11&gt;=Projects!$C$40,11&lt;Projects!$C$40+Projects!$D$40),IF(11=Projects!$C$40+Projects!$D$40-1,Projects!$B$40*Assumptions!$B$12/Projects!$D$40*0.95+0.05*Projects!$B$40*Assumptions!$B$12,Projects!$B$40*Assumptions!$B$12/Projects!$D$40*0.95),0)+IF(AND(Projects!$G$41="Yes",11&gt;=Projects!$C$41,11&lt;Projects!$C$41+Projects!$D$41),IF(11=Projects!$C$41+Projects!$D$41-1,Projects!$B$41*Assumptions!$B$12/Projects!$D$41*0.95+0.05*Projects!$B$41*Assumptions!$B$12,Projects!$B$41*Assumptions!$B$12/Projects!$D$41*0.95),0)+IF(AND(Projects!$G$42="Yes",11&gt;=Projects!$C$42,11&lt;Projects!$C$42+Projects!$D$42),IF(11=Projects!$C$42+Projects!$D$42-1,Projects!$B$42*Assumptions!$B$12/Projects!$D$42*0.95+0.05*Projects!$B$42*Assumptions!$B$12,Projects!$B$42*Assumptions!$B$12/Projects!$D$42*0.95),0)+IF(AND(Projects!$G$43="Yes",11&gt;=Projects!$C$43,11&lt;Projects!$C$43+Projects!$D$43),IF(11=Projects!$C$43+Projects!$D$43-1,Projects!$B$43*Assumptions!$B$12/Projects!$D$43*0.95+0.05*Projects!$B$43*Assumptions!$B$12,Projects!$B$43*Assumptions!$B$12/Projects!$D$43*0.95),0)+IF(AND(Projects!$G$44="Yes",11&gt;=Projects!$C$44,11&lt;Projects!$C$44+Projects!$D$44),IF(11=Projects!$C$44+Projects!$D$44-1,Projects!$B$44*Assumptions!$B$12/Projects!$D$44*0.95+0.05*Projects!$B$44*Assumptions!$B$12,Projects!$B$44*Assumptions!$B$12/Projects!$D$44*0.95),0)+IF(AND(Projects!$G$45="Yes",11&gt;=Projects!$C$45,11&lt;Projects!$C$45+Projects!$D$45),IF(11=Projects!$C$45+Projects!$D$45-1,Projects!$B$45*Assumptions!$B$12/Projects!$D$45*0.95+0.05*Projects!$B$45*Assumptions!$B$12,Projects!$B$45*Assumptions!$B$12/Projects!$D$45*0.95),0)+IF(AND(Projects!$G$46="Yes",11&gt;=Projects!$C$46,11&lt;Projects!$C$46+Projects!$D$46),IF(11=Projects!$C$46+Projects!$D$46-1,Projects!$B$46*Assumptions!$B$12/Projects!$D$46*0.95+0.05*Projects!$B$46*Assumptions!$B$12,Projects!$B$46*Assumptions!$B$12/Projects!$D$46*0.95),0)</f>
        <v/>
      </c>
      <c r="N110">
        <f>IF(AND(Projects!$G$30="Yes",12&gt;=Projects!$C$30,12&lt;Projects!$C$30+Projects!$D$30),IF(12=Projects!$C$30+Projects!$D$30-1,Projects!$B$30*Assumptions!$B$12/Projects!$D$30*0.95+0.05*Projects!$B$30*Assumptions!$B$12,Projects!$B$30*Assumptions!$B$12/Projects!$D$30*0.95),0)+IF(AND(Projects!$G$31="Yes",12&gt;=Projects!$C$31,12&lt;Projects!$C$31+Projects!$D$31),IF(12=Projects!$C$31+Projects!$D$31-1,Projects!$B$31*Assumptions!$B$12/Projects!$D$31*0.95+0.05*Projects!$B$31*Assumptions!$B$12,Projects!$B$31*Assumptions!$B$12/Projects!$D$31*0.95),0)+IF(AND(Projects!$G$32="Yes",12&gt;=Projects!$C$32,12&lt;Projects!$C$32+Projects!$D$32),IF(12=Projects!$C$32+Projects!$D$32-1,Projects!$B$32*Assumptions!$B$12/Projects!$D$32*0.95+0.05*Projects!$B$32*Assumptions!$B$12,Projects!$B$32*Assumptions!$B$12/Projects!$D$32*0.95),0)+IF(AND(Projects!$G$33="Yes",12&gt;=Projects!$C$33,12&lt;Projects!$C$33+Projects!$D$33),IF(12=Projects!$C$33+Projects!$D$33-1,Projects!$B$33*Assumptions!$B$12/Projects!$D$33*0.95+0.05*Projects!$B$33*Assumptions!$B$12,Projects!$B$33*Assumptions!$B$12/Projects!$D$33*0.95),0)+IF(AND(Projects!$G$34="Yes",12&gt;=Projects!$C$34,12&lt;Projects!$C$34+Projects!$D$34),IF(12=Projects!$C$34+Projects!$D$34-1,Projects!$B$34*Assumptions!$B$12/Projects!$D$34*0.95+0.05*Projects!$B$34*Assumptions!$B$12,Projects!$B$34*Assumptions!$B$12/Projects!$D$34*0.95),0)+IF(AND(Projects!$G$35="Yes",12&gt;=Projects!$C$35,12&lt;Projects!$C$35+Projects!$D$35),IF(12=Projects!$C$35+Projects!$D$35-1,Projects!$B$35*Assumptions!$B$12/Projects!$D$35*0.95+0.05*Projects!$B$35*Assumptions!$B$12,Projects!$B$35*Assumptions!$B$12/Projects!$D$35*0.95),0)+IF(AND(Projects!$G$36="Yes",12&gt;=Projects!$C$36,12&lt;Projects!$C$36+Projects!$D$36),IF(12=Projects!$C$36+Projects!$D$36-1,Projects!$B$36*Assumptions!$B$12/Projects!$D$36*0.95+0.05*Projects!$B$36*Assumptions!$B$12,Projects!$B$36*Assumptions!$B$12/Projects!$D$36*0.95),0)+IF(AND(Projects!$G$37="Yes",12&gt;=Projects!$C$37,12&lt;Projects!$C$37+Projects!$D$37),IF(12=Projects!$C$37+Projects!$D$37-1,Projects!$B$37*Assumptions!$B$12/Projects!$D$37*0.95+0.05*Projects!$B$37*Assumptions!$B$12,Projects!$B$37*Assumptions!$B$12/Projects!$D$37*0.95),0)+IF(AND(Projects!$G$38="Yes",12&gt;=Projects!$C$38,12&lt;Projects!$C$38+Projects!$D$38),IF(12=Projects!$C$38+Projects!$D$38-1,Projects!$B$38*Assumptions!$B$12/Projects!$D$38*0.95+0.05*Projects!$B$38*Assumptions!$B$12,Projects!$B$38*Assumptions!$B$12/Projects!$D$38*0.95),0)+IF(AND(Projects!$G$39="Yes",12&gt;=Projects!$C$39,12&lt;Projects!$C$39+Projects!$D$39),IF(12=Projects!$C$39+Projects!$D$39-1,Projects!$B$39*Assumptions!$B$12/Projects!$D$39*0.95+0.05*Projects!$B$39*Assumptions!$B$12,Projects!$B$39*Assumptions!$B$12/Projects!$D$39*0.95),0)+IF(AND(Projects!$G$40="Yes",12&gt;=Projects!$C$40,12&lt;Projects!$C$40+Projects!$D$40),IF(12=Projects!$C$40+Projects!$D$40-1,Projects!$B$40*Assumptions!$B$12/Projects!$D$40*0.95+0.05*Projects!$B$40*Assumptions!$B$12,Projects!$B$40*Assumptions!$B$12/Projects!$D$40*0.95),0)+IF(AND(Projects!$G$41="Yes",12&gt;=Projects!$C$41,12&lt;Projects!$C$41+Projects!$D$41),IF(12=Projects!$C$41+Projects!$D$41-1,Projects!$B$41*Assumptions!$B$12/Projects!$D$41*0.95+0.05*Projects!$B$41*Assumptions!$B$12,Projects!$B$41*Assumptions!$B$12/Projects!$D$41*0.95),0)+IF(AND(Projects!$G$42="Yes",12&gt;=Projects!$C$42,12&lt;Projects!$C$42+Projects!$D$42),IF(12=Projects!$C$42+Projects!$D$42-1,Projects!$B$42*Assumptions!$B$12/Projects!$D$42*0.95+0.05*Projects!$B$42*Assumptions!$B$12,Projects!$B$42*Assumptions!$B$12/Projects!$D$42*0.95),0)+IF(AND(Projects!$G$43="Yes",12&gt;=Projects!$C$43,12&lt;Projects!$C$43+Projects!$D$43),IF(12=Projects!$C$43+Projects!$D$43-1,Projects!$B$43*Assumptions!$B$12/Projects!$D$43*0.95+0.05*Projects!$B$43*Assumptions!$B$12,Projects!$B$43*Assumptions!$B$12/Projects!$D$43*0.95),0)+IF(AND(Projects!$G$44="Yes",12&gt;=Projects!$C$44,12&lt;Projects!$C$44+Projects!$D$44),IF(12=Projects!$C$44+Projects!$D$44-1,Projects!$B$44*Assumptions!$B$12/Projects!$D$44*0.95+0.05*Projects!$B$44*Assumptions!$B$12,Projects!$B$44*Assumptions!$B$12/Projects!$D$44*0.95),0)+IF(AND(Projects!$G$45="Yes",12&gt;=Projects!$C$45,12&lt;Projects!$C$45+Projects!$D$45),IF(12=Projects!$C$45+Projects!$D$45-1,Projects!$B$45*Assumptions!$B$12/Projects!$D$45*0.95+0.05*Projects!$B$45*Assumptions!$B$12,Projects!$B$45*Assumptions!$B$12/Projects!$D$45*0.95),0)+IF(AND(Projects!$G$46="Yes",12&gt;=Projects!$C$46,12&lt;Projects!$C$46+Projects!$D$46),IF(12=Projects!$C$46+Projects!$D$46-1,Projects!$B$46*Assumptions!$B$12/Projects!$D$46*0.95+0.05*Projects!$B$46*Assumptions!$B$12,Projects!$B$46*Assumptions!$B$12/Projects!$D$46*0.95),0)</f>
        <v/>
      </c>
      <c r="O110">
        <f>IF(AND(Projects!$G$30="Yes",13&gt;=Projects!$C$30,13&lt;Projects!$C$30+Projects!$D$30),IF(13=Projects!$C$30+Projects!$D$30-1,Projects!$B$30*Assumptions!$B$12/Projects!$D$30*0.95+0.05*Projects!$B$30*Assumptions!$B$12,Projects!$B$30*Assumptions!$B$12/Projects!$D$30*0.95),0)+IF(AND(Projects!$G$31="Yes",13&gt;=Projects!$C$31,13&lt;Projects!$C$31+Projects!$D$31),IF(13=Projects!$C$31+Projects!$D$31-1,Projects!$B$31*Assumptions!$B$12/Projects!$D$31*0.95+0.05*Projects!$B$31*Assumptions!$B$12,Projects!$B$31*Assumptions!$B$12/Projects!$D$31*0.95),0)+IF(AND(Projects!$G$32="Yes",13&gt;=Projects!$C$32,13&lt;Projects!$C$32+Projects!$D$32),IF(13=Projects!$C$32+Projects!$D$32-1,Projects!$B$32*Assumptions!$B$12/Projects!$D$32*0.95+0.05*Projects!$B$32*Assumptions!$B$12,Projects!$B$32*Assumptions!$B$12/Projects!$D$32*0.95),0)+IF(AND(Projects!$G$33="Yes",13&gt;=Projects!$C$33,13&lt;Projects!$C$33+Projects!$D$33),IF(13=Projects!$C$33+Projects!$D$33-1,Projects!$B$33*Assumptions!$B$12/Projects!$D$33*0.95+0.05*Projects!$B$33*Assumptions!$B$12,Projects!$B$33*Assumptions!$B$12/Projects!$D$33*0.95),0)+IF(AND(Projects!$G$34="Yes",13&gt;=Projects!$C$34,13&lt;Projects!$C$34+Projects!$D$34),IF(13=Projects!$C$34+Projects!$D$34-1,Projects!$B$34*Assumptions!$B$12/Projects!$D$34*0.95+0.05*Projects!$B$34*Assumptions!$B$12,Projects!$B$34*Assumptions!$B$12/Projects!$D$34*0.95),0)+IF(AND(Projects!$G$35="Yes",13&gt;=Projects!$C$35,13&lt;Projects!$C$35+Projects!$D$35),IF(13=Projects!$C$35+Projects!$D$35-1,Projects!$B$35*Assumptions!$B$12/Projects!$D$35*0.95+0.05*Projects!$B$35*Assumptions!$B$12,Projects!$B$35*Assumptions!$B$12/Projects!$D$35*0.95),0)+IF(AND(Projects!$G$36="Yes",13&gt;=Projects!$C$36,13&lt;Projects!$C$36+Projects!$D$36),IF(13=Projects!$C$36+Projects!$D$36-1,Projects!$B$36*Assumptions!$B$12/Projects!$D$36*0.95+0.05*Projects!$B$36*Assumptions!$B$12,Projects!$B$36*Assumptions!$B$12/Projects!$D$36*0.95),0)+IF(AND(Projects!$G$37="Yes",13&gt;=Projects!$C$37,13&lt;Projects!$C$37+Projects!$D$37),IF(13=Projects!$C$37+Projects!$D$37-1,Projects!$B$37*Assumptions!$B$12/Projects!$D$37*0.95+0.05*Projects!$B$37*Assumptions!$B$12,Projects!$B$37*Assumptions!$B$12/Projects!$D$37*0.95),0)+IF(AND(Projects!$G$38="Yes",13&gt;=Projects!$C$38,13&lt;Projects!$C$38+Projects!$D$38),IF(13=Projects!$C$38+Projects!$D$38-1,Projects!$B$38*Assumptions!$B$12/Projects!$D$38*0.95+0.05*Projects!$B$38*Assumptions!$B$12,Projects!$B$38*Assumptions!$B$12/Projects!$D$38*0.95),0)+IF(AND(Projects!$G$39="Yes",13&gt;=Projects!$C$39,13&lt;Projects!$C$39+Projects!$D$39),IF(13=Projects!$C$39+Projects!$D$39-1,Projects!$B$39*Assumptions!$B$12/Projects!$D$39*0.95+0.05*Projects!$B$39*Assumptions!$B$12,Projects!$B$39*Assumptions!$B$12/Projects!$D$39*0.95),0)+IF(AND(Projects!$G$40="Yes",13&gt;=Projects!$C$40,13&lt;Projects!$C$40+Projects!$D$40),IF(13=Projects!$C$40+Projects!$D$40-1,Projects!$B$40*Assumptions!$B$12/Projects!$D$40*0.95+0.05*Projects!$B$40*Assumptions!$B$12,Projects!$B$40*Assumptions!$B$12/Projects!$D$40*0.95),0)+IF(AND(Projects!$G$41="Yes",13&gt;=Projects!$C$41,13&lt;Projects!$C$41+Projects!$D$41),IF(13=Projects!$C$41+Projects!$D$41-1,Projects!$B$41*Assumptions!$B$12/Projects!$D$41*0.95+0.05*Projects!$B$41*Assumptions!$B$12,Projects!$B$41*Assumptions!$B$12/Projects!$D$41*0.95),0)+IF(AND(Projects!$G$42="Yes",13&gt;=Projects!$C$42,13&lt;Projects!$C$42+Projects!$D$42),IF(13=Projects!$C$42+Projects!$D$42-1,Projects!$B$42*Assumptions!$B$12/Projects!$D$42*0.95+0.05*Projects!$B$42*Assumptions!$B$12,Projects!$B$42*Assumptions!$B$12/Projects!$D$42*0.95),0)+IF(AND(Projects!$G$43="Yes",13&gt;=Projects!$C$43,13&lt;Projects!$C$43+Projects!$D$43),IF(13=Projects!$C$43+Projects!$D$43-1,Projects!$B$43*Assumptions!$B$12/Projects!$D$43*0.95+0.05*Projects!$B$43*Assumptions!$B$12,Projects!$B$43*Assumptions!$B$12/Projects!$D$43*0.95),0)+IF(AND(Projects!$G$44="Yes",13&gt;=Projects!$C$44,13&lt;Projects!$C$44+Projects!$D$44),IF(13=Projects!$C$44+Projects!$D$44-1,Projects!$B$44*Assumptions!$B$12/Projects!$D$44*0.95+0.05*Projects!$B$44*Assumptions!$B$12,Projects!$B$44*Assumptions!$B$12/Projects!$D$44*0.95),0)+IF(AND(Projects!$G$45="Yes",13&gt;=Projects!$C$45,13&lt;Projects!$C$45+Projects!$D$45),IF(13=Projects!$C$45+Projects!$D$45-1,Projects!$B$45*Assumptions!$B$12/Projects!$D$45*0.95+0.05*Projects!$B$45*Assumptions!$B$12,Projects!$B$45*Assumptions!$B$12/Projects!$D$45*0.95),0)+IF(AND(Projects!$G$46="Yes",13&gt;=Projects!$C$46,13&lt;Projects!$C$46+Projects!$D$46),IF(13=Projects!$C$46+Projects!$D$46-1,Projects!$B$46*Assumptions!$B$12/Projects!$D$46*0.95+0.05*Projects!$B$46*Assumptions!$B$12,Projects!$B$46*Assumptions!$B$12/Projects!$D$46*0.95),0)</f>
        <v/>
      </c>
      <c r="P110">
        <f>IF(AND(Projects!$G$30="Yes",14&gt;=Projects!$C$30,14&lt;Projects!$C$30+Projects!$D$30),IF(14=Projects!$C$30+Projects!$D$30-1,Projects!$B$30*Assumptions!$B$12/Projects!$D$30*0.95+0.05*Projects!$B$30*Assumptions!$B$12,Projects!$B$30*Assumptions!$B$12/Projects!$D$30*0.95),0)+IF(AND(Projects!$G$31="Yes",14&gt;=Projects!$C$31,14&lt;Projects!$C$31+Projects!$D$31),IF(14=Projects!$C$31+Projects!$D$31-1,Projects!$B$31*Assumptions!$B$12/Projects!$D$31*0.95+0.05*Projects!$B$31*Assumptions!$B$12,Projects!$B$31*Assumptions!$B$12/Projects!$D$31*0.95),0)+IF(AND(Projects!$G$32="Yes",14&gt;=Projects!$C$32,14&lt;Projects!$C$32+Projects!$D$32),IF(14=Projects!$C$32+Projects!$D$32-1,Projects!$B$32*Assumptions!$B$12/Projects!$D$32*0.95+0.05*Projects!$B$32*Assumptions!$B$12,Projects!$B$32*Assumptions!$B$12/Projects!$D$32*0.95),0)+IF(AND(Projects!$G$33="Yes",14&gt;=Projects!$C$33,14&lt;Projects!$C$33+Projects!$D$33),IF(14=Projects!$C$33+Projects!$D$33-1,Projects!$B$33*Assumptions!$B$12/Projects!$D$33*0.95+0.05*Projects!$B$33*Assumptions!$B$12,Projects!$B$33*Assumptions!$B$12/Projects!$D$33*0.95),0)+IF(AND(Projects!$G$34="Yes",14&gt;=Projects!$C$34,14&lt;Projects!$C$34+Projects!$D$34),IF(14=Projects!$C$34+Projects!$D$34-1,Projects!$B$34*Assumptions!$B$12/Projects!$D$34*0.95+0.05*Projects!$B$34*Assumptions!$B$12,Projects!$B$34*Assumptions!$B$12/Projects!$D$34*0.95),0)+IF(AND(Projects!$G$35="Yes",14&gt;=Projects!$C$35,14&lt;Projects!$C$35+Projects!$D$35),IF(14=Projects!$C$35+Projects!$D$35-1,Projects!$B$35*Assumptions!$B$12/Projects!$D$35*0.95+0.05*Projects!$B$35*Assumptions!$B$12,Projects!$B$35*Assumptions!$B$12/Projects!$D$35*0.95),0)+IF(AND(Projects!$G$36="Yes",14&gt;=Projects!$C$36,14&lt;Projects!$C$36+Projects!$D$36),IF(14=Projects!$C$36+Projects!$D$36-1,Projects!$B$36*Assumptions!$B$12/Projects!$D$36*0.95+0.05*Projects!$B$36*Assumptions!$B$12,Projects!$B$36*Assumptions!$B$12/Projects!$D$36*0.95),0)+IF(AND(Projects!$G$37="Yes",14&gt;=Projects!$C$37,14&lt;Projects!$C$37+Projects!$D$37),IF(14=Projects!$C$37+Projects!$D$37-1,Projects!$B$37*Assumptions!$B$12/Projects!$D$37*0.95+0.05*Projects!$B$37*Assumptions!$B$12,Projects!$B$37*Assumptions!$B$12/Projects!$D$37*0.95),0)+IF(AND(Projects!$G$38="Yes",14&gt;=Projects!$C$38,14&lt;Projects!$C$38+Projects!$D$38),IF(14=Projects!$C$38+Projects!$D$38-1,Projects!$B$38*Assumptions!$B$12/Projects!$D$38*0.95+0.05*Projects!$B$38*Assumptions!$B$12,Projects!$B$38*Assumptions!$B$12/Projects!$D$38*0.95),0)+IF(AND(Projects!$G$39="Yes",14&gt;=Projects!$C$39,14&lt;Projects!$C$39+Projects!$D$39),IF(14=Projects!$C$39+Projects!$D$39-1,Projects!$B$39*Assumptions!$B$12/Projects!$D$39*0.95+0.05*Projects!$B$39*Assumptions!$B$12,Projects!$B$39*Assumptions!$B$12/Projects!$D$39*0.95),0)+IF(AND(Projects!$G$40="Yes",14&gt;=Projects!$C$40,14&lt;Projects!$C$40+Projects!$D$40),IF(14=Projects!$C$40+Projects!$D$40-1,Projects!$B$40*Assumptions!$B$12/Projects!$D$40*0.95+0.05*Projects!$B$40*Assumptions!$B$12,Projects!$B$40*Assumptions!$B$12/Projects!$D$40*0.95),0)+IF(AND(Projects!$G$41="Yes",14&gt;=Projects!$C$41,14&lt;Projects!$C$41+Projects!$D$41),IF(14=Projects!$C$41+Projects!$D$41-1,Projects!$B$41*Assumptions!$B$12/Projects!$D$41*0.95+0.05*Projects!$B$41*Assumptions!$B$12,Projects!$B$41*Assumptions!$B$12/Projects!$D$41*0.95),0)+IF(AND(Projects!$G$42="Yes",14&gt;=Projects!$C$42,14&lt;Projects!$C$42+Projects!$D$42),IF(14=Projects!$C$42+Projects!$D$42-1,Projects!$B$42*Assumptions!$B$12/Projects!$D$42*0.95+0.05*Projects!$B$42*Assumptions!$B$12,Projects!$B$42*Assumptions!$B$12/Projects!$D$42*0.95),0)+IF(AND(Projects!$G$43="Yes",14&gt;=Projects!$C$43,14&lt;Projects!$C$43+Projects!$D$43),IF(14=Projects!$C$43+Projects!$D$43-1,Projects!$B$43*Assumptions!$B$12/Projects!$D$43*0.95+0.05*Projects!$B$43*Assumptions!$B$12,Projects!$B$43*Assumptions!$B$12/Projects!$D$43*0.95),0)+IF(AND(Projects!$G$44="Yes",14&gt;=Projects!$C$44,14&lt;Projects!$C$44+Projects!$D$44),IF(14=Projects!$C$44+Projects!$D$44-1,Projects!$B$44*Assumptions!$B$12/Projects!$D$44*0.95+0.05*Projects!$B$44*Assumptions!$B$12,Projects!$B$44*Assumptions!$B$12/Projects!$D$44*0.95),0)+IF(AND(Projects!$G$45="Yes",14&gt;=Projects!$C$45,14&lt;Projects!$C$45+Projects!$D$45),IF(14=Projects!$C$45+Projects!$D$45-1,Projects!$B$45*Assumptions!$B$12/Projects!$D$45*0.95+0.05*Projects!$B$45*Assumptions!$B$12,Projects!$B$45*Assumptions!$B$12/Projects!$D$45*0.95),0)+IF(AND(Projects!$G$46="Yes",14&gt;=Projects!$C$46,14&lt;Projects!$C$46+Projects!$D$46),IF(14=Projects!$C$46+Projects!$D$46-1,Projects!$B$46*Assumptions!$B$12/Projects!$D$46*0.95+0.05*Projects!$B$46*Assumptions!$B$12,Projects!$B$46*Assumptions!$B$12/Projects!$D$46*0.95),0)</f>
        <v/>
      </c>
      <c r="Q110">
        <f>IF(AND(Projects!$G$30="Yes",15&gt;=Projects!$C$30,15&lt;Projects!$C$30+Projects!$D$30),IF(15=Projects!$C$30+Projects!$D$30-1,Projects!$B$30*Assumptions!$B$12/Projects!$D$30*0.95+0.05*Projects!$B$30*Assumptions!$B$12,Projects!$B$30*Assumptions!$B$12/Projects!$D$30*0.95),0)+IF(AND(Projects!$G$31="Yes",15&gt;=Projects!$C$31,15&lt;Projects!$C$31+Projects!$D$31),IF(15=Projects!$C$31+Projects!$D$31-1,Projects!$B$31*Assumptions!$B$12/Projects!$D$31*0.95+0.05*Projects!$B$31*Assumptions!$B$12,Projects!$B$31*Assumptions!$B$12/Projects!$D$31*0.95),0)+IF(AND(Projects!$G$32="Yes",15&gt;=Projects!$C$32,15&lt;Projects!$C$32+Projects!$D$32),IF(15=Projects!$C$32+Projects!$D$32-1,Projects!$B$32*Assumptions!$B$12/Projects!$D$32*0.95+0.05*Projects!$B$32*Assumptions!$B$12,Projects!$B$32*Assumptions!$B$12/Projects!$D$32*0.95),0)+IF(AND(Projects!$G$33="Yes",15&gt;=Projects!$C$33,15&lt;Projects!$C$33+Projects!$D$33),IF(15=Projects!$C$33+Projects!$D$33-1,Projects!$B$33*Assumptions!$B$12/Projects!$D$33*0.95+0.05*Projects!$B$33*Assumptions!$B$12,Projects!$B$33*Assumptions!$B$12/Projects!$D$33*0.95),0)+IF(AND(Projects!$G$34="Yes",15&gt;=Projects!$C$34,15&lt;Projects!$C$34+Projects!$D$34),IF(15=Projects!$C$34+Projects!$D$34-1,Projects!$B$34*Assumptions!$B$12/Projects!$D$34*0.95+0.05*Projects!$B$34*Assumptions!$B$12,Projects!$B$34*Assumptions!$B$12/Projects!$D$34*0.95),0)+IF(AND(Projects!$G$35="Yes",15&gt;=Projects!$C$35,15&lt;Projects!$C$35+Projects!$D$35),IF(15=Projects!$C$35+Projects!$D$35-1,Projects!$B$35*Assumptions!$B$12/Projects!$D$35*0.95+0.05*Projects!$B$35*Assumptions!$B$12,Projects!$B$35*Assumptions!$B$12/Projects!$D$35*0.95),0)+IF(AND(Projects!$G$36="Yes",15&gt;=Projects!$C$36,15&lt;Projects!$C$36+Projects!$D$36),IF(15=Projects!$C$36+Projects!$D$36-1,Projects!$B$36*Assumptions!$B$12/Projects!$D$36*0.95+0.05*Projects!$B$36*Assumptions!$B$12,Projects!$B$36*Assumptions!$B$12/Projects!$D$36*0.95),0)+IF(AND(Projects!$G$37="Yes",15&gt;=Projects!$C$37,15&lt;Projects!$C$37+Projects!$D$37),IF(15=Projects!$C$37+Projects!$D$37-1,Projects!$B$37*Assumptions!$B$12/Projects!$D$37*0.95+0.05*Projects!$B$37*Assumptions!$B$12,Projects!$B$37*Assumptions!$B$12/Projects!$D$37*0.95),0)+IF(AND(Projects!$G$38="Yes",15&gt;=Projects!$C$38,15&lt;Projects!$C$38+Projects!$D$38),IF(15=Projects!$C$38+Projects!$D$38-1,Projects!$B$38*Assumptions!$B$12/Projects!$D$38*0.95+0.05*Projects!$B$38*Assumptions!$B$12,Projects!$B$38*Assumptions!$B$12/Projects!$D$38*0.95),0)+IF(AND(Projects!$G$39="Yes",15&gt;=Projects!$C$39,15&lt;Projects!$C$39+Projects!$D$39),IF(15=Projects!$C$39+Projects!$D$39-1,Projects!$B$39*Assumptions!$B$12/Projects!$D$39*0.95+0.05*Projects!$B$39*Assumptions!$B$12,Projects!$B$39*Assumptions!$B$12/Projects!$D$39*0.95),0)+IF(AND(Projects!$G$40="Yes",15&gt;=Projects!$C$40,15&lt;Projects!$C$40+Projects!$D$40),IF(15=Projects!$C$40+Projects!$D$40-1,Projects!$B$40*Assumptions!$B$12/Projects!$D$40*0.95+0.05*Projects!$B$40*Assumptions!$B$12,Projects!$B$40*Assumptions!$B$12/Projects!$D$40*0.95),0)+IF(AND(Projects!$G$41="Yes",15&gt;=Projects!$C$41,15&lt;Projects!$C$41+Projects!$D$41),IF(15=Projects!$C$41+Projects!$D$41-1,Projects!$B$41*Assumptions!$B$12/Projects!$D$41*0.95+0.05*Projects!$B$41*Assumptions!$B$12,Projects!$B$41*Assumptions!$B$12/Projects!$D$41*0.95),0)+IF(AND(Projects!$G$42="Yes",15&gt;=Projects!$C$42,15&lt;Projects!$C$42+Projects!$D$42),IF(15=Projects!$C$42+Projects!$D$42-1,Projects!$B$42*Assumptions!$B$12/Projects!$D$42*0.95+0.05*Projects!$B$42*Assumptions!$B$12,Projects!$B$42*Assumptions!$B$12/Projects!$D$42*0.95),0)+IF(AND(Projects!$G$43="Yes",15&gt;=Projects!$C$43,15&lt;Projects!$C$43+Projects!$D$43),IF(15=Projects!$C$43+Projects!$D$43-1,Projects!$B$43*Assumptions!$B$12/Projects!$D$43*0.95+0.05*Projects!$B$43*Assumptions!$B$12,Projects!$B$43*Assumptions!$B$12/Projects!$D$43*0.95),0)+IF(AND(Projects!$G$44="Yes",15&gt;=Projects!$C$44,15&lt;Projects!$C$44+Projects!$D$44),IF(15=Projects!$C$44+Projects!$D$44-1,Projects!$B$44*Assumptions!$B$12/Projects!$D$44*0.95+0.05*Projects!$B$44*Assumptions!$B$12,Projects!$B$44*Assumptions!$B$12/Projects!$D$44*0.95),0)+IF(AND(Projects!$G$45="Yes",15&gt;=Projects!$C$45,15&lt;Projects!$C$45+Projects!$D$45),IF(15=Projects!$C$45+Projects!$D$45-1,Projects!$B$45*Assumptions!$B$12/Projects!$D$45*0.95+0.05*Projects!$B$45*Assumptions!$B$12,Projects!$B$45*Assumptions!$B$12/Projects!$D$45*0.95),0)+IF(AND(Projects!$G$46="Yes",15&gt;=Projects!$C$46,15&lt;Projects!$C$46+Projects!$D$46),IF(15=Projects!$C$46+Projects!$D$46-1,Projects!$B$46*Assumptions!$B$12/Projects!$D$46*0.95+0.05*Projects!$B$46*Assumptions!$B$12,Projects!$B$46*Assumptions!$B$12/Projects!$D$46*0.95),0)</f>
        <v/>
      </c>
      <c r="R110">
        <f>IF(AND(Projects!$G$30="Yes",16&gt;=Projects!$C$30,16&lt;Projects!$C$30+Projects!$D$30),IF(16=Projects!$C$30+Projects!$D$30-1,Projects!$B$30*Assumptions!$B$12/Projects!$D$30*0.95+0.05*Projects!$B$30*Assumptions!$B$12,Projects!$B$30*Assumptions!$B$12/Projects!$D$30*0.95),0)+IF(AND(Projects!$G$31="Yes",16&gt;=Projects!$C$31,16&lt;Projects!$C$31+Projects!$D$31),IF(16=Projects!$C$31+Projects!$D$31-1,Projects!$B$31*Assumptions!$B$12/Projects!$D$31*0.95+0.05*Projects!$B$31*Assumptions!$B$12,Projects!$B$31*Assumptions!$B$12/Projects!$D$31*0.95),0)+IF(AND(Projects!$G$32="Yes",16&gt;=Projects!$C$32,16&lt;Projects!$C$32+Projects!$D$32),IF(16=Projects!$C$32+Projects!$D$32-1,Projects!$B$32*Assumptions!$B$12/Projects!$D$32*0.95+0.05*Projects!$B$32*Assumptions!$B$12,Projects!$B$32*Assumptions!$B$12/Projects!$D$32*0.95),0)+IF(AND(Projects!$G$33="Yes",16&gt;=Projects!$C$33,16&lt;Projects!$C$33+Projects!$D$33),IF(16=Projects!$C$33+Projects!$D$33-1,Projects!$B$33*Assumptions!$B$12/Projects!$D$33*0.95+0.05*Projects!$B$33*Assumptions!$B$12,Projects!$B$33*Assumptions!$B$12/Projects!$D$33*0.95),0)+IF(AND(Projects!$G$34="Yes",16&gt;=Projects!$C$34,16&lt;Projects!$C$34+Projects!$D$34),IF(16=Projects!$C$34+Projects!$D$34-1,Projects!$B$34*Assumptions!$B$12/Projects!$D$34*0.95+0.05*Projects!$B$34*Assumptions!$B$12,Projects!$B$34*Assumptions!$B$12/Projects!$D$34*0.95),0)+IF(AND(Projects!$G$35="Yes",16&gt;=Projects!$C$35,16&lt;Projects!$C$35+Projects!$D$35),IF(16=Projects!$C$35+Projects!$D$35-1,Projects!$B$35*Assumptions!$B$12/Projects!$D$35*0.95+0.05*Projects!$B$35*Assumptions!$B$12,Projects!$B$35*Assumptions!$B$12/Projects!$D$35*0.95),0)+IF(AND(Projects!$G$36="Yes",16&gt;=Projects!$C$36,16&lt;Projects!$C$36+Projects!$D$36),IF(16=Projects!$C$36+Projects!$D$36-1,Projects!$B$36*Assumptions!$B$12/Projects!$D$36*0.95+0.05*Projects!$B$36*Assumptions!$B$12,Projects!$B$36*Assumptions!$B$12/Projects!$D$36*0.95),0)+IF(AND(Projects!$G$37="Yes",16&gt;=Projects!$C$37,16&lt;Projects!$C$37+Projects!$D$37),IF(16=Projects!$C$37+Projects!$D$37-1,Projects!$B$37*Assumptions!$B$12/Projects!$D$37*0.95+0.05*Projects!$B$37*Assumptions!$B$12,Projects!$B$37*Assumptions!$B$12/Projects!$D$37*0.95),0)+IF(AND(Projects!$G$38="Yes",16&gt;=Projects!$C$38,16&lt;Projects!$C$38+Projects!$D$38),IF(16=Projects!$C$38+Projects!$D$38-1,Projects!$B$38*Assumptions!$B$12/Projects!$D$38*0.95+0.05*Projects!$B$38*Assumptions!$B$12,Projects!$B$38*Assumptions!$B$12/Projects!$D$38*0.95),0)+IF(AND(Projects!$G$39="Yes",16&gt;=Projects!$C$39,16&lt;Projects!$C$39+Projects!$D$39),IF(16=Projects!$C$39+Projects!$D$39-1,Projects!$B$39*Assumptions!$B$12/Projects!$D$39*0.95+0.05*Projects!$B$39*Assumptions!$B$12,Projects!$B$39*Assumptions!$B$12/Projects!$D$39*0.95),0)+IF(AND(Projects!$G$40="Yes",16&gt;=Projects!$C$40,16&lt;Projects!$C$40+Projects!$D$40),IF(16=Projects!$C$40+Projects!$D$40-1,Projects!$B$40*Assumptions!$B$12/Projects!$D$40*0.95+0.05*Projects!$B$40*Assumptions!$B$12,Projects!$B$40*Assumptions!$B$12/Projects!$D$40*0.95),0)+IF(AND(Projects!$G$41="Yes",16&gt;=Projects!$C$41,16&lt;Projects!$C$41+Projects!$D$41),IF(16=Projects!$C$41+Projects!$D$41-1,Projects!$B$41*Assumptions!$B$12/Projects!$D$41*0.95+0.05*Projects!$B$41*Assumptions!$B$12,Projects!$B$41*Assumptions!$B$12/Projects!$D$41*0.95),0)+IF(AND(Projects!$G$42="Yes",16&gt;=Projects!$C$42,16&lt;Projects!$C$42+Projects!$D$42),IF(16=Projects!$C$42+Projects!$D$42-1,Projects!$B$42*Assumptions!$B$12/Projects!$D$42*0.95+0.05*Projects!$B$42*Assumptions!$B$12,Projects!$B$42*Assumptions!$B$12/Projects!$D$42*0.95),0)+IF(AND(Projects!$G$43="Yes",16&gt;=Projects!$C$43,16&lt;Projects!$C$43+Projects!$D$43),IF(16=Projects!$C$43+Projects!$D$43-1,Projects!$B$43*Assumptions!$B$12/Projects!$D$43*0.95+0.05*Projects!$B$43*Assumptions!$B$12,Projects!$B$43*Assumptions!$B$12/Projects!$D$43*0.95),0)+IF(AND(Projects!$G$44="Yes",16&gt;=Projects!$C$44,16&lt;Projects!$C$44+Projects!$D$44),IF(16=Projects!$C$44+Projects!$D$44-1,Projects!$B$44*Assumptions!$B$12/Projects!$D$44*0.95+0.05*Projects!$B$44*Assumptions!$B$12,Projects!$B$44*Assumptions!$B$12/Projects!$D$44*0.95),0)+IF(AND(Projects!$G$45="Yes",16&gt;=Projects!$C$45,16&lt;Projects!$C$45+Projects!$D$45),IF(16=Projects!$C$45+Projects!$D$45-1,Projects!$B$45*Assumptions!$B$12/Projects!$D$45*0.95+0.05*Projects!$B$45*Assumptions!$B$12,Projects!$B$45*Assumptions!$B$12/Projects!$D$45*0.95),0)+IF(AND(Projects!$G$46="Yes",16&gt;=Projects!$C$46,16&lt;Projects!$C$46+Projects!$D$46),IF(16=Projects!$C$46+Projects!$D$46-1,Projects!$B$46*Assumptions!$B$12/Projects!$D$46*0.95+0.05*Projects!$B$46*Assumptions!$B$12,Projects!$B$46*Assumptions!$B$12/Projects!$D$46*0.95),0)</f>
        <v/>
      </c>
      <c r="S110">
        <f>IF(AND(Projects!$G$30="Yes",17&gt;=Projects!$C$30,17&lt;Projects!$C$30+Projects!$D$30),IF(17=Projects!$C$30+Projects!$D$30-1,Projects!$B$30*Assumptions!$B$12/Projects!$D$30*0.95+0.05*Projects!$B$30*Assumptions!$B$12,Projects!$B$30*Assumptions!$B$12/Projects!$D$30*0.95),0)+IF(AND(Projects!$G$31="Yes",17&gt;=Projects!$C$31,17&lt;Projects!$C$31+Projects!$D$31),IF(17=Projects!$C$31+Projects!$D$31-1,Projects!$B$31*Assumptions!$B$12/Projects!$D$31*0.95+0.05*Projects!$B$31*Assumptions!$B$12,Projects!$B$31*Assumptions!$B$12/Projects!$D$31*0.95),0)+IF(AND(Projects!$G$32="Yes",17&gt;=Projects!$C$32,17&lt;Projects!$C$32+Projects!$D$32),IF(17=Projects!$C$32+Projects!$D$32-1,Projects!$B$32*Assumptions!$B$12/Projects!$D$32*0.95+0.05*Projects!$B$32*Assumptions!$B$12,Projects!$B$32*Assumptions!$B$12/Projects!$D$32*0.95),0)+IF(AND(Projects!$G$33="Yes",17&gt;=Projects!$C$33,17&lt;Projects!$C$33+Projects!$D$33),IF(17=Projects!$C$33+Projects!$D$33-1,Projects!$B$33*Assumptions!$B$12/Projects!$D$33*0.95+0.05*Projects!$B$33*Assumptions!$B$12,Projects!$B$33*Assumptions!$B$12/Projects!$D$33*0.95),0)+IF(AND(Projects!$G$34="Yes",17&gt;=Projects!$C$34,17&lt;Projects!$C$34+Projects!$D$34),IF(17=Projects!$C$34+Projects!$D$34-1,Projects!$B$34*Assumptions!$B$12/Projects!$D$34*0.95+0.05*Projects!$B$34*Assumptions!$B$12,Projects!$B$34*Assumptions!$B$12/Projects!$D$34*0.95),0)+IF(AND(Projects!$G$35="Yes",17&gt;=Projects!$C$35,17&lt;Projects!$C$35+Projects!$D$35),IF(17=Projects!$C$35+Projects!$D$35-1,Projects!$B$35*Assumptions!$B$12/Projects!$D$35*0.95+0.05*Projects!$B$35*Assumptions!$B$12,Projects!$B$35*Assumptions!$B$12/Projects!$D$35*0.95),0)+IF(AND(Projects!$G$36="Yes",17&gt;=Projects!$C$36,17&lt;Projects!$C$36+Projects!$D$36),IF(17=Projects!$C$36+Projects!$D$36-1,Projects!$B$36*Assumptions!$B$12/Projects!$D$36*0.95+0.05*Projects!$B$36*Assumptions!$B$12,Projects!$B$36*Assumptions!$B$12/Projects!$D$36*0.95),0)+IF(AND(Projects!$G$37="Yes",17&gt;=Projects!$C$37,17&lt;Projects!$C$37+Projects!$D$37),IF(17=Projects!$C$37+Projects!$D$37-1,Projects!$B$37*Assumptions!$B$12/Projects!$D$37*0.95+0.05*Projects!$B$37*Assumptions!$B$12,Projects!$B$37*Assumptions!$B$12/Projects!$D$37*0.95),0)+IF(AND(Projects!$G$38="Yes",17&gt;=Projects!$C$38,17&lt;Projects!$C$38+Projects!$D$38),IF(17=Projects!$C$38+Projects!$D$38-1,Projects!$B$38*Assumptions!$B$12/Projects!$D$38*0.95+0.05*Projects!$B$38*Assumptions!$B$12,Projects!$B$38*Assumptions!$B$12/Projects!$D$38*0.95),0)+IF(AND(Projects!$G$39="Yes",17&gt;=Projects!$C$39,17&lt;Projects!$C$39+Projects!$D$39),IF(17=Projects!$C$39+Projects!$D$39-1,Projects!$B$39*Assumptions!$B$12/Projects!$D$39*0.95+0.05*Projects!$B$39*Assumptions!$B$12,Projects!$B$39*Assumptions!$B$12/Projects!$D$39*0.95),0)+IF(AND(Projects!$G$40="Yes",17&gt;=Projects!$C$40,17&lt;Projects!$C$40+Projects!$D$40),IF(17=Projects!$C$40+Projects!$D$40-1,Projects!$B$40*Assumptions!$B$12/Projects!$D$40*0.95+0.05*Projects!$B$40*Assumptions!$B$12,Projects!$B$40*Assumptions!$B$12/Projects!$D$40*0.95),0)+IF(AND(Projects!$G$41="Yes",17&gt;=Projects!$C$41,17&lt;Projects!$C$41+Projects!$D$41),IF(17=Projects!$C$41+Projects!$D$41-1,Projects!$B$41*Assumptions!$B$12/Projects!$D$41*0.95+0.05*Projects!$B$41*Assumptions!$B$12,Projects!$B$41*Assumptions!$B$12/Projects!$D$41*0.95),0)+IF(AND(Projects!$G$42="Yes",17&gt;=Projects!$C$42,17&lt;Projects!$C$42+Projects!$D$42),IF(17=Projects!$C$42+Projects!$D$42-1,Projects!$B$42*Assumptions!$B$12/Projects!$D$42*0.95+0.05*Projects!$B$42*Assumptions!$B$12,Projects!$B$42*Assumptions!$B$12/Projects!$D$42*0.95),0)+IF(AND(Projects!$G$43="Yes",17&gt;=Projects!$C$43,17&lt;Projects!$C$43+Projects!$D$43),IF(17=Projects!$C$43+Projects!$D$43-1,Projects!$B$43*Assumptions!$B$12/Projects!$D$43*0.95+0.05*Projects!$B$43*Assumptions!$B$12,Projects!$B$43*Assumptions!$B$12/Projects!$D$43*0.95),0)+IF(AND(Projects!$G$44="Yes",17&gt;=Projects!$C$44,17&lt;Projects!$C$44+Projects!$D$44),IF(17=Projects!$C$44+Projects!$D$44-1,Projects!$B$44*Assumptions!$B$12/Projects!$D$44*0.95+0.05*Projects!$B$44*Assumptions!$B$12,Projects!$B$44*Assumptions!$B$12/Projects!$D$44*0.95),0)+IF(AND(Projects!$G$45="Yes",17&gt;=Projects!$C$45,17&lt;Projects!$C$45+Projects!$D$45),IF(17=Projects!$C$45+Projects!$D$45-1,Projects!$B$45*Assumptions!$B$12/Projects!$D$45*0.95+0.05*Projects!$B$45*Assumptions!$B$12,Projects!$B$45*Assumptions!$B$12/Projects!$D$45*0.95),0)+IF(AND(Projects!$G$46="Yes",17&gt;=Projects!$C$46,17&lt;Projects!$C$46+Projects!$D$46),IF(17=Projects!$C$46+Projects!$D$46-1,Projects!$B$46*Assumptions!$B$12/Projects!$D$46*0.95+0.05*Projects!$B$46*Assumptions!$B$12,Projects!$B$46*Assumptions!$B$12/Projects!$D$46*0.95),0)</f>
        <v/>
      </c>
      <c r="T110">
        <f>IF(AND(Projects!$G$30="Yes",18&gt;=Projects!$C$30,18&lt;Projects!$C$30+Projects!$D$30),IF(18=Projects!$C$30+Projects!$D$30-1,Projects!$B$30*Assumptions!$B$12/Projects!$D$30*0.95+0.05*Projects!$B$30*Assumptions!$B$12,Projects!$B$30*Assumptions!$B$12/Projects!$D$30*0.95),0)+IF(AND(Projects!$G$31="Yes",18&gt;=Projects!$C$31,18&lt;Projects!$C$31+Projects!$D$31),IF(18=Projects!$C$31+Projects!$D$31-1,Projects!$B$31*Assumptions!$B$12/Projects!$D$31*0.95+0.05*Projects!$B$31*Assumptions!$B$12,Projects!$B$31*Assumptions!$B$12/Projects!$D$31*0.95),0)+IF(AND(Projects!$G$32="Yes",18&gt;=Projects!$C$32,18&lt;Projects!$C$32+Projects!$D$32),IF(18=Projects!$C$32+Projects!$D$32-1,Projects!$B$32*Assumptions!$B$12/Projects!$D$32*0.95+0.05*Projects!$B$32*Assumptions!$B$12,Projects!$B$32*Assumptions!$B$12/Projects!$D$32*0.95),0)+IF(AND(Projects!$G$33="Yes",18&gt;=Projects!$C$33,18&lt;Projects!$C$33+Projects!$D$33),IF(18=Projects!$C$33+Projects!$D$33-1,Projects!$B$33*Assumptions!$B$12/Projects!$D$33*0.95+0.05*Projects!$B$33*Assumptions!$B$12,Projects!$B$33*Assumptions!$B$12/Projects!$D$33*0.95),0)+IF(AND(Projects!$G$34="Yes",18&gt;=Projects!$C$34,18&lt;Projects!$C$34+Projects!$D$34),IF(18=Projects!$C$34+Projects!$D$34-1,Projects!$B$34*Assumptions!$B$12/Projects!$D$34*0.95+0.05*Projects!$B$34*Assumptions!$B$12,Projects!$B$34*Assumptions!$B$12/Projects!$D$34*0.95),0)+IF(AND(Projects!$G$35="Yes",18&gt;=Projects!$C$35,18&lt;Projects!$C$35+Projects!$D$35),IF(18=Projects!$C$35+Projects!$D$35-1,Projects!$B$35*Assumptions!$B$12/Projects!$D$35*0.95+0.05*Projects!$B$35*Assumptions!$B$12,Projects!$B$35*Assumptions!$B$12/Projects!$D$35*0.95),0)+IF(AND(Projects!$G$36="Yes",18&gt;=Projects!$C$36,18&lt;Projects!$C$36+Projects!$D$36),IF(18=Projects!$C$36+Projects!$D$36-1,Projects!$B$36*Assumptions!$B$12/Projects!$D$36*0.95+0.05*Projects!$B$36*Assumptions!$B$12,Projects!$B$36*Assumptions!$B$12/Projects!$D$36*0.95),0)+IF(AND(Projects!$G$37="Yes",18&gt;=Projects!$C$37,18&lt;Projects!$C$37+Projects!$D$37),IF(18=Projects!$C$37+Projects!$D$37-1,Projects!$B$37*Assumptions!$B$12/Projects!$D$37*0.95+0.05*Projects!$B$37*Assumptions!$B$12,Projects!$B$37*Assumptions!$B$12/Projects!$D$37*0.95),0)+IF(AND(Projects!$G$38="Yes",18&gt;=Projects!$C$38,18&lt;Projects!$C$38+Projects!$D$38),IF(18=Projects!$C$38+Projects!$D$38-1,Projects!$B$38*Assumptions!$B$12/Projects!$D$38*0.95+0.05*Projects!$B$38*Assumptions!$B$12,Projects!$B$38*Assumptions!$B$12/Projects!$D$38*0.95),0)+IF(AND(Projects!$G$39="Yes",18&gt;=Projects!$C$39,18&lt;Projects!$C$39+Projects!$D$39),IF(18=Projects!$C$39+Projects!$D$39-1,Projects!$B$39*Assumptions!$B$12/Projects!$D$39*0.95+0.05*Projects!$B$39*Assumptions!$B$12,Projects!$B$39*Assumptions!$B$12/Projects!$D$39*0.95),0)+IF(AND(Projects!$G$40="Yes",18&gt;=Projects!$C$40,18&lt;Projects!$C$40+Projects!$D$40),IF(18=Projects!$C$40+Projects!$D$40-1,Projects!$B$40*Assumptions!$B$12/Projects!$D$40*0.95+0.05*Projects!$B$40*Assumptions!$B$12,Projects!$B$40*Assumptions!$B$12/Projects!$D$40*0.95),0)+IF(AND(Projects!$G$41="Yes",18&gt;=Projects!$C$41,18&lt;Projects!$C$41+Projects!$D$41),IF(18=Projects!$C$41+Projects!$D$41-1,Projects!$B$41*Assumptions!$B$12/Projects!$D$41*0.95+0.05*Projects!$B$41*Assumptions!$B$12,Projects!$B$41*Assumptions!$B$12/Projects!$D$41*0.95),0)+IF(AND(Projects!$G$42="Yes",18&gt;=Projects!$C$42,18&lt;Projects!$C$42+Projects!$D$42),IF(18=Projects!$C$42+Projects!$D$42-1,Projects!$B$42*Assumptions!$B$12/Projects!$D$42*0.95+0.05*Projects!$B$42*Assumptions!$B$12,Projects!$B$42*Assumptions!$B$12/Projects!$D$42*0.95),0)+IF(AND(Projects!$G$43="Yes",18&gt;=Projects!$C$43,18&lt;Projects!$C$43+Projects!$D$43),IF(18=Projects!$C$43+Projects!$D$43-1,Projects!$B$43*Assumptions!$B$12/Projects!$D$43*0.95+0.05*Projects!$B$43*Assumptions!$B$12,Projects!$B$43*Assumptions!$B$12/Projects!$D$43*0.95),0)+IF(AND(Projects!$G$44="Yes",18&gt;=Projects!$C$44,18&lt;Projects!$C$44+Projects!$D$44),IF(18=Projects!$C$44+Projects!$D$44-1,Projects!$B$44*Assumptions!$B$12/Projects!$D$44*0.95+0.05*Projects!$B$44*Assumptions!$B$12,Projects!$B$44*Assumptions!$B$12/Projects!$D$44*0.95),0)+IF(AND(Projects!$G$45="Yes",18&gt;=Projects!$C$45,18&lt;Projects!$C$45+Projects!$D$45),IF(18=Projects!$C$45+Projects!$D$45-1,Projects!$B$45*Assumptions!$B$12/Projects!$D$45*0.95+0.05*Projects!$B$45*Assumptions!$B$12,Projects!$B$45*Assumptions!$B$12/Projects!$D$45*0.95),0)+IF(AND(Projects!$G$46="Yes",18&gt;=Projects!$C$46,18&lt;Projects!$C$46+Projects!$D$46),IF(18=Projects!$C$46+Projects!$D$46-1,Projects!$B$46*Assumptions!$B$12/Projects!$D$46*0.95+0.05*Projects!$B$46*Assumptions!$B$12,Projects!$B$46*Assumptions!$B$12/Projects!$D$46*0.95),0)</f>
        <v/>
      </c>
      <c r="U110">
        <f>IF(AND(Projects!$G$30="Yes",19&gt;=Projects!$C$30,19&lt;Projects!$C$30+Projects!$D$30),IF(19=Projects!$C$30+Projects!$D$30-1,Projects!$B$30*Assumptions!$B$12/Projects!$D$30*0.95+0.05*Projects!$B$30*Assumptions!$B$12,Projects!$B$30*Assumptions!$B$12/Projects!$D$30*0.95),0)+IF(AND(Projects!$G$31="Yes",19&gt;=Projects!$C$31,19&lt;Projects!$C$31+Projects!$D$31),IF(19=Projects!$C$31+Projects!$D$31-1,Projects!$B$31*Assumptions!$B$12/Projects!$D$31*0.95+0.05*Projects!$B$31*Assumptions!$B$12,Projects!$B$31*Assumptions!$B$12/Projects!$D$31*0.95),0)+IF(AND(Projects!$G$32="Yes",19&gt;=Projects!$C$32,19&lt;Projects!$C$32+Projects!$D$32),IF(19=Projects!$C$32+Projects!$D$32-1,Projects!$B$32*Assumptions!$B$12/Projects!$D$32*0.95+0.05*Projects!$B$32*Assumptions!$B$12,Projects!$B$32*Assumptions!$B$12/Projects!$D$32*0.95),0)+IF(AND(Projects!$G$33="Yes",19&gt;=Projects!$C$33,19&lt;Projects!$C$33+Projects!$D$33),IF(19=Projects!$C$33+Projects!$D$33-1,Projects!$B$33*Assumptions!$B$12/Projects!$D$33*0.95+0.05*Projects!$B$33*Assumptions!$B$12,Projects!$B$33*Assumptions!$B$12/Projects!$D$33*0.95),0)+IF(AND(Projects!$G$34="Yes",19&gt;=Projects!$C$34,19&lt;Projects!$C$34+Projects!$D$34),IF(19=Projects!$C$34+Projects!$D$34-1,Projects!$B$34*Assumptions!$B$12/Projects!$D$34*0.95+0.05*Projects!$B$34*Assumptions!$B$12,Projects!$B$34*Assumptions!$B$12/Projects!$D$34*0.95),0)+IF(AND(Projects!$G$35="Yes",19&gt;=Projects!$C$35,19&lt;Projects!$C$35+Projects!$D$35),IF(19=Projects!$C$35+Projects!$D$35-1,Projects!$B$35*Assumptions!$B$12/Projects!$D$35*0.95+0.05*Projects!$B$35*Assumptions!$B$12,Projects!$B$35*Assumptions!$B$12/Projects!$D$35*0.95),0)+IF(AND(Projects!$G$36="Yes",19&gt;=Projects!$C$36,19&lt;Projects!$C$36+Projects!$D$36),IF(19=Projects!$C$36+Projects!$D$36-1,Projects!$B$36*Assumptions!$B$12/Projects!$D$36*0.95+0.05*Projects!$B$36*Assumptions!$B$12,Projects!$B$36*Assumptions!$B$12/Projects!$D$36*0.95),0)+IF(AND(Projects!$G$37="Yes",19&gt;=Projects!$C$37,19&lt;Projects!$C$37+Projects!$D$37),IF(19=Projects!$C$37+Projects!$D$37-1,Projects!$B$37*Assumptions!$B$12/Projects!$D$37*0.95+0.05*Projects!$B$37*Assumptions!$B$12,Projects!$B$37*Assumptions!$B$12/Projects!$D$37*0.95),0)+IF(AND(Projects!$G$38="Yes",19&gt;=Projects!$C$38,19&lt;Projects!$C$38+Projects!$D$38),IF(19=Projects!$C$38+Projects!$D$38-1,Projects!$B$38*Assumptions!$B$12/Projects!$D$38*0.95+0.05*Projects!$B$38*Assumptions!$B$12,Projects!$B$38*Assumptions!$B$12/Projects!$D$38*0.95),0)+IF(AND(Projects!$G$39="Yes",19&gt;=Projects!$C$39,19&lt;Projects!$C$39+Projects!$D$39),IF(19=Projects!$C$39+Projects!$D$39-1,Projects!$B$39*Assumptions!$B$12/Projects!$D$39*0.95+0.05*Projects!$B$39*Assumptions!$B$12,Projects!$B$39*Assumptions!$B$12/Projects!$D$39*0.95),0)+IF(AND(Projects!$G$40="Yes",19&gt;=Projects!$C$40,19&lt;Projects!$C$40+Projects!$D$40),IF(19=Projects!$C$40+Projects!$D$40-1,Projects!$B$40*Assumptions!$B$12/Projects!$D$40*0.95+0.05*Projects!$B$40*Assumptions!$B$12,Projects!$B$40*Assumptions!$B$12/Projects!$D$40*0.95),0)+IF(AND(Projects!$G$41="Yes",19&gt;=Projects!$C$41,19&lt;Projects!$C$41+Projects!$D$41),IF(19=Projects!$C$41+Projects!$D$41-1,Projects!$B$41*Assumptions!$B$12/Projects!$D$41*0.95+0.05*Projects!$B$41*Assumptions!$B$12,Projects!$B$41*Assumptions!$B$12/Projects!$D$41*0.95),0)+IF(AND(Projects!$G$42="Yes",19&gt;=Projects!$C$42,19&lt;Projects!$C$42+Projects!$D$42),IF(19=Projects!$C$42+Projects!$D$42-1,Projects!$B$42*Assumptions!$B$12/Projects!$D$42*0.95+0.05*Projects!$B$42*Assumptions!$B$12,Projects!$B$42*Assumptions!$B$12/Projects!$D$42*0.95),0)+IF(AND(Projects!$G$43="Yes",19&gt;=Projects!$C$43,19&lt;Projects!$C$43+Projects!$D$43),IF(19=Projects!$C$43+Projects!$D$43-1,Projects!$B$43*Assumptions!$B$12/Projects!$D$43*0.95+0.05*Projects!$B$43*Assumptions!$B$12,Projects!$B$43*Assumptions!$B$12/Projects!$D$43*0.95),0)+IF(AND(Projects!$G$44="Yes",19&gt;=Projects!$C$44,19&lt;Projects!$C$44+Projects!$D$44),IF(19=Projects!$C$44+Projects!$D$44-1,Projects!$B$44*Assumptions!$B$12/Projects!$D$44*0.95+0.05*Projects!$B$44*Assumptions!$B$12,Projects!$B$44*Assumptions!$B$12/Projects!$D$44*0.95),0)+IF(AND(Projects!$G$45="Yes",19&gt;=Projects!$C$45,19&lt;Projects!$C$45+Projects!$D$45),IF(19=Projects!$C$45+Projects!$D$45-1,Projects!$B$45*Assumptions!$B$12/Projects!$D$45*0.95+0.05*Projects!$B$45*Assumptions!$B$12,Projects!$B$45*Assumptions!$B$12/Projects!$D$45*0.95),0)+IF(AND(Projects!$G$46="Yes",19&gt;=Projects!$C$46,19&lt;Projects!$C$46+Projects!$D$46),IF(19=Projects!$C$46+Projects!$D$46-1,Projects!$B$46*Assumptions!$B$12/Projects!$D$46*0.95+0.05*Projects!$B$46*Assumptions!$B$12,Projects!$B$46*Assumptions!$B$12/Projects!$D$46*0.95),0)</f>
        <v/>
      </c>
      <c r="V110">
        <f>IF(AND(Projects!$G$30="Yes",20&gt;=Projects!$C$30,20&lt;Projects!$C$30+Projects!$D$30),IF(20=Projects!$C$30+Projects!$D$30-1,Projects!$B$30*Assumptions!$B$12/Projects!$D$30*0.95+0.05*Projects!$B$30*Assumptions!$B$12,Projects!$B$30*Assumptions!$B$12/Projects!$D$30*0.95),0)+IF(AND(Projects!$G$31="Yes",20&gt;=Projects!$C$31,20&lt;Projects!$C$31+Projects!$D$31),IF(20=Projects!$C$31+Projects!$D$31-1,Projects!$B$31*Assumptions!$B$12/Projects!$D$31*0.95+0.05*Projects!$B$31*Assumptions!$B$12,Projects!$B$31*Assumptions!$B$12/Projects!$D$31*0.95),0)+IF(AND(Projects!$G$32="Yes",20&gt;=Projects!$C$32,20&lt;Projects!$C$32+Projects!$D$32),IF(20=Projects!$C$32+Projects!$D$32-1,Projects!$B$32*Assumptions!$B$12/Projects!$D$32*0.95+0.05*Projects!$B$32*Assumptions!$B$12,Projects!$B$32*Assumptions!$B$12/Projects!$D$32*0.95),0)+IF(AND(Projects!$G$33="Yes",20&gt;=Projects!$C$33,20&lt;Projects!$C$33+Projects!$D$33),IF(20=Projects!$C$33+Projects!$D$33-1,Projects!$B$33*Assumptions!$B$12/Projects!$D$33*0.95+0.05*Projects!$B$33*Assumptions!$B$12,Projects!$B$33*Assumptions!$B$12/Projects!$D$33*0.95),0)+IF(AND(Projects!$G$34="Yes",20&gt;=Projects!$C$34,20&lt;Projects!$C$34+Projects!$D$34),IF(20=Projects!$C$34+Projects!$D$34-1,Projects!$B$34*Assumptions!$B$12/Projects!$D$34*0.95+0.05*Projects!$B$34*Assumptions!$B$12,Projects!$B$34*Assumptions!$B$12/Projects!$D$34*0.95),0)+IF(AND(Projects!$G$35="Yes",20&gt;=Projects!$C$35,20&lt;Projects!$C$35+Projects!$D$35),IF(20=Projects!$C$35+Projects!$D$35-1,Projects!$B$35*Assumptions!$B$12/Projects!$D$35*0.95+0.05*Projects!$B$35*Assumptions!$B$12,Projects!$B$35*Assumptions!$B$12/Projects!$D$35*0.95),0)+IF(AND(Projects!$G$36="Yes",20&gt;=Projects!$C$36,20&lt;Projects!$C$36+Projects!$D$36),IF(20=Projects!$C$36+Projects!$D$36-1,Projects!$B$36*Assumptions!$B$12/Projects!$D$36*0.95+0.05*Projects!$B$36*Assumptions!$B$12,Projects!$B$36*Assumptions!$B$12/Projects!$D$36*0.95),0)+IF(AND(Projects!$G$37="Yes",20&gt;=Projects!$C$37,20&lt;Projects!$C$37+Projects!$D$37),IF(20=Projects!$C$37+Projects!$D$37-1,Projects!$B$37*Assumptions!$B$12/Projects!$D$37*0.95+0.05*Projects!$B$37*Assumptions!$B$12,Projects!$B$37*Assumptions!$B$12/Projects!$D$37*0.95),0)+IF(AND(Projects!$G$38="Yes",20&gt;=Projects!$C$38,20&lt;Projects!$C$38+Projects!$D$38),IF(20=Projects!$C$38+Projects!$D$38-1,Projects!$B$38*Assumptions!$B$12/Projects!$D$38*0.95+0.05*Projects!$B$38*Assumptions!$B$12,Projects!$B$38*Assumptions!$B$12/Projects!$D$38*0.95),0)+IF(AND(Projects!$G$39="Yes",20&gt;=Projects!$C$39,20&lt;Projects!$C$39+Projects!$D$39),IF(20=Projects!$C$39+Projects!$D$39-1,Projects!$B$39*Assumptions!$B$12/Projects!$D$39*0.95+0.05*Projects!$B$39*Assumptions!$B$12,Projects!$B$39*Assumptions!$B$12/Projects!$D$39*0.95),0)+IF(AND(Projects!$G$40="Yes",20&gt;=Projects!$C$40,20&lt;Projects!$C$40+Projects!$D$40),IF(20=Projects!$C$40+Projects!$D$40-1,Projects!$B$40*Assumptions!$B$12/Projects!$D$40*0.95+0.05*Projects!$B$40*Assumptions!$B$12,Projects!$B$40*Assumptions!$B$12/Projects!$D$40*0.95),0)+IF(AND(Projects!$G$41="Yes",20&gt;=Projects!$C$41,20&lt;Projects!$C$41+Projects!$D$41),IF(20=Projects!$C$41+Projects!$D$41-1,Projects!$B$41*Assumptions!$B$12/Projects!$D$41*0.95+0.05*Projects!$B$41*Assumptions!$B$12,Projects!$B$41*Assumptions!$B$12/Projects!$D$41*0.95),0)+IF(AND(Projects!$G$42="Yes",20&gt;=Projects!$C$42,20&lt;Projects!$C$42+Projects!$D$42),IF(20=Projects!$C$42+Projects!$D$42-1,Projects!$B$42*Assumptions!$B$12/Projects!$D$42*0.95+0.05*Projects!$B$42*Assumptions!$B$12,Projects!$B$42*Assumptions!$B$12/Projects!$D$42*0.95),0)+IF(AND(Projects!$G$43="Yes",20&gt;=Projects!$C$43,20&lt;Projects!$C$43+Projects!$D$43),IF(20=Projects!$C$43+Projects!$D$43-1,Projects!$B$43*Assumptions!$B$12/Projects!$D$43*0.95+0.05*Projects!$B$43*Assumptions!$B$12,Projects!$B$43*Assumptions!$B$12/Projects!$D$43*0.95),0)+IF(AND(Projects!$G$44="Yes",20&gt;=Projects!$C$44,20&lt;Projects!$C$44+Projects!$D$44),IF(20=Projects!$C$44+Projects!$D$44-1,Projects!$B$44*Assumptions!$B$12/Projects!$D$44*0.95+0.05*Projects!$B$44*Assumptions!$B$12,Projects!$B$44*Assumptions!$B$12/Projects!$D$44*0.95),0)+IF(AND(Projects!$G$45="Yes",20&gt;=Projects!$C$45,20&lt;Projects!$C$45+Projects!$D$45),IF(20=Projects!$C$45+Projects!$D$45-1,Projects!$B$45*Assumptions!$B$12/Projects!$D$45*0.95+0.05*Projects!$B$45*Assumptions!$B$12,Projects!$B$45*Assumptions!$B$12/Projects!$D$45*0.95),0)+IF(AND(Projects!$G$46="Yes",20&gt;=Projects!$C$46,20&lt;Projects!$C$46+Projects!$D$46),IF(20=Projects!$C$46+Projects!$D$46-1,Projects!$B$46*Assumptions!$B$12/Projects!$D$46*0.95+0.05*Projects!$B$46*Assumptions!$B$12,Projects!$B$46*Assumptions!$B$12/Projects!$D$46*0.95),0)</f>
        <v/>
      </c>
      <c r="W110">
        <f>IF(AND(Projects!$G$30="Yes",21&gt;=Projects!$C$30,21&lt;Projects!$C$30+Projects!$D$30),IF(21=Projects!$C$30+Projects!$D$30-1,Projects!$B$30*Assumptions!$B$12/Projects!$D$30*0.95+0.05*Projects!$B$30*Assumptions!$B$12,Projects!$B$30*Assumptions!$B$12/Projects!$D$30*0.95),0)+IF(AND(Projects!$G$31="Yes",21&gt;=Projects!$C$31,21&lt;Projects!$C$31+Projects!$D$31),IF(21=Projects!$C$31+Projects!$D$31-1,Projects!$B$31*Assumptions!$B$12/Projects!$D$31*0.95+0.05*Projects!$B$31*Assumptions!$B$12,Projects!$B$31*Assumptions!$B$12/Projects!$D$31*0.95),0)+IF(AND(Projects!$G$32="Yes",21&gt;=Projects!$C$32,21&lt;Projects!$C$32+Projects!$D$32),IF(21=Projects!$C$32+Projects!$D$32-1,Projects!$B$32*Assumptions!$B$12/Projects!$D$32*0.95+0.05*Projects!$B$32*Assumptions!$B$12,Projects!$B$32*Assumptions!$B$12/Projects!$D$32*0.95),0)+IF(AND(Projects!$G$33="Yes",21&gt;=Projects!$C$33,21&lt;Projects!$C$33+Projects!$D$33),IF(21=Projects!$C$33+Projects!$D$33-1,Projects!$B$33*Assumptions!$B$12/Projects!$D$33*0.95+0.05*Projects!$B$33*Assumptions!$B$12,Projects!$B$33*Assumptions!$B$12/Projects!$D$33*0.95),0)+IF(AND(Projects!$G$34="Yes",21&gt;=Projects!$C$34,21&lt;Projects!$C$34+Projects!$D$34),IF(21=Projects!$C$34+Projects!$D$34-1,Projects!$B$34*Assumptions!$B$12/Projects!$D$34*0.95+0.05*Projects!$B$34*Assumptions!$B$12,Projects!$B$34*Assumptions!$B$12/Projects!$D$34*0.95),0)+IF(AND(Projects!$G$35="Yes",21&gt;=Projects!$C$35,21&lt;Projects!$C$35+Projects!$D$35),IF(21=Projects!$C$35+Projects!$D$35-1,Projects!$B$35*Assumptions!$B$12/Projects!$D$35*0.95+0.05*Projects!$B$35*Assumptions!$B$12,Projects!$B$35*Assumptions!$B$12/Projects!$D$35*0.95),0)+IF(AND(Projects!$G$36="Yes",21&gt;=Projects!$C$36,21&lt;Projects!$C$36+Projects!$D$36),IF(21=Projects!$C$36+Projects!$D$36-1,Projects!$B$36*Assumptions!$B$12/Projects!$D$36*0.95+0.05*Projects!$B$36*Assumptions!$B$12,Projects!$B$36*Assumptions!$B$12/Projects!$D$36*0.95),0)+IF(AND(Projects!$G$37="Yes",21&gt;=Projects!$C$37,21&lt;Projects!$C$37+Projects!$D$37),IF(21=Projects!$C$37+Projects!$D$37-1,Projects!$B$37*Assumptions!$B$12/Projects!$D$37*0.95+0.05*Projects!$B$37*Assumptions!$B$12,Projects!$B$37*Assumptions!$B$12/Projects!$D$37*0.95),0)+IF(AND(Projects!$G$38="Yes",21&gt;=Projects!$C$38,21&lt;Projects!$C$38+Projects!$D$38),IF(21=Projects!$C$38+Projects!$D$38-1,Projects!$B$38*Assumptions!$B$12/Projects!$D$38*0.95+0.05*Projects!$B$38*Assumptions!$B$12,Projects!$B$38*Assumptions!$B$12/Projects!$D$38*0.95),0)+IF(AND(Projects!$G$39="Yes",21&gt;=Projects!$C$39,21&lt;Projects!$C$39+Projects!$D$39),IF(21=Projects!$C$39+Projects!$D$39-1,Projects!$B$39*Assumptions!$B$12/Projects!$D$39*0.95+0.05*Projects!$B$39*Assumptions!$B$12,Projects!$B$39*Assumptions!$B$12/Projects!$D$39*0.95),0)+IF(AND(Projects!$G$40="Yes",21&gt;=Projects!$C$40,21&lt;Projects!$C$40+Projects!$D$40),IF(21=Projects!$C$40+Projects!$D$40-1,Projects!$B$40*Assumptions!$B$12/Projects!$D$40*0.95+0.05*Projects!$B$40*Assumptions!$B$12,Projects!$B$40*Assumptions!$B$12/Projects!$D$40*0.95),0)+IF(AND(Projects!$G$41="Yes",21&gt;=Projects!$C$41,21&lt;Projects!$C$41+Projects!$D$41),IF(21=Projects!$C$41+Projects!$D$41-1,Projects!$B$41*Assumptions!$B$12/Projects!$D$41*0.95+0.05*Projects!$B$41*Assumptions!$B$12,Projects!$B$41*Assumptions!$B$12/Projects!$D$41*0.95),0)+IF(AND(Projects!$G$42="Yes",21&gt;=Projects!$C$42,21&lt;Projects!$C$42+Projects!$D$42),IF(21=Projects!$C$42+Projects!$D$42-1,Projects!$B$42*Assumptions!$B$12/Projects!$D$42*0.95+0.05*Projects!$B$42*Assumptions!$B$12,Projects!$B$42*Assumptions!$B$12/Projects!$D$42*0.95),0)+IF(AND(Projects!$G$43="Yes",21&gt;=Projects!$C$43,21&lt;Projects!$C$43+Projects!$D$43),IF(21=Projects!$C$43+Projects!$D$43-1,Projects!$B$43*Assumptions!$B$12/Projects!$D$43*0.95+0.05*Projects!$B$43*Assumptions!$B$12,Projects!$B$43*Assumptions!$B$12/Projects!$D$43*0.95),0)+IF(AND(Projects!$G$44="Yes",21&gt;=Projects!$C$44,21&lt;Projects!$C$44+Projects!$D$44),IF(21=Projects!$C$44+Projects!$D$44-1,Projects!$B$44*Assumptions!$B$12/Projects!$D$44*0.95+0.05*Projects!$B$44*Assumptions!$B$12,Projects!$B$44*Assumptions!$B$12/Projects!$D$44*0.95),0)+IF(AND(Projects!$G$45="Yes",21&gt;=Projects!$C$45,21&lt;Projects!$C$45+Projects!$D$45),IF(21=Projects!$C$45+Projects!$D$45-1,Projects!$B$45*Assumptions!$B$12/Projects!$D$45*0.95+0.05*Projects!$B$45*Assumptions!$B$12,Projects!$B$45*Assumptions!$B$12/Projects!$D$45*0.95),0)+IF(AND(Projects!$G$46="Yes",21&gt;=Projects!$C$46,21&lt;Projects!$C$46+Projects!$D$46),IF(21=Projects!$C$46+Projects!$D$46-1,Projects!$B$46*Assumptions!$B$12/Projects!$D$46*0.95+0.05*Projects!$B$46*Assumptions!$B$12,Projects!$B$46*Assumptions!$B$12/Projects!$D$46*0.95),0)</f>
        <v/>
      </c>
      <c r="X110">
        <f>IF(AND(Projects!$G$30="Yes",22&gt;=Projects!$C$30,22&lt;Projects!$C$30+Projects!$D$30),IF(22=Projects!$C$30+Projects!$D$30-1,Projects!$B$30*Assumptions!$B$12/Projects!$D$30*0.95+0.05*Projects!$B$30*Assumptions!$B$12,Projects!$B$30*Assumptions!$B$12/Projects!$D$30*0.95),0)+IF(AND(Projects!$G$31="Yes",22&gt;=Projects!$C$31,22&lt;Projects!$C$31+Projects!$D$31),IF(22=Projects!$C$31+Projects!$D$31-1,Projects!$B$31*Assumptions!$B$12/Projects!$D$31*0.95+0.05*Projects!$B$31*Assumptions!$B$12,Projects!$B$31*Assumptions!$B$12/Projects!$D$31*0.95),0)+IF(AND(Projects!$G$32="Yes",22&gt;=Projects!$C$32,22&lt;Projects!$C$32+Projects!$D$32),IF(22=Projects!$C$32+Projects!$D$32-1,Projects!$B$32*Assumptions!$B$12/Projects!$D$32*0.95+0.05*Projects!$B$32*Assumptions!$B$12,Projects!$B$32*Assumptions!$B$12/Projects!$D$32*0.95),0)+IF(AND(Projects!$G$33="Yes",22&gt;=Projects!$C$33,22&lt;Projects!$C$33+Projects!$D$33),IF(22=Projects!$C$33+Projects!$D$33-1,Projects!$B$33*Assumptions!$B$12/Projects!$D$33*0.95+0.05*Projects!$B$33*Assumptions!$B$12,Projects!$B$33*Assumptions!$B$12/Projects!$D$33*0.95),0)+IF(AND(Projects!$G$34="Yes",22&gt;=Projects!$C$34,22&lt;Projects!$C$34+Projects!$D$34),IF(22=Projects!$C$34+Projects!$D$34-1,Projects!$B$34*Assumptions!$B$12/Projects!$D$34*0.95+0.05*Projects!$B$34*Assumptions!$B$12,Projects!$B$34*Assumptions!$B$12/Projects!$D$34*0.95),0)+IF(AND(Projects!$G$35="Yes",22&gt;=Projects!$C$35,22&lt;Projects!$C$35+Projects!$D$35),IF(22=Projects!$C$35+Projects!$D$35-1,Projects!$B$35*Assumptions!$B$12/Projects!$D$35*0.95+0.05*Projects!$B$35*Assumptions!$B$12,Projects!$B$35*Assumptions!$B$12/Projects!$D$35*0.95),0)+IF(AND(Projects!$G$36="Yes",22&gt;=Projects!$C$36,22&lt;Projects!$C$36+Projects!$D$36),IF(22=Projects!$C$36+Projects!$D$36-1,Projects!$B$36*Assumptions!$B$12/Projects!$D$36*0.95+0.05*Projects!$B$36*Assumptions!$B$12,Projects!$B$36*Assumptions!$B$12/Projects!$D$36*0.95),0)+IF(AND(Projects!$G$37="Yes",22&gt;=Projects!$C$37,22&lt;Projects!$C$37+Projects!$D$37),IF(22=Projects!$C$37+Projects!$D$37-1,Projects!$B$37*Assumptions!$B$12/Projects!$D$37*0.95+0.05*Projects!$B$37*Assumptions!$B$12,Projects!$B$37*Assumptions!$B$12/Projects!$D$37*0.95),0)+IF(AND(Projects!$G$38="Yes",22&gt;=Projects!$C$38,22&lt;Projects!$C$38+Projects!$D$38),IF(22=Projects!$C$38+Projects!$D$38-1,Projects!$B$38*Assumptions!$B$12/Projects!$D$38*0.95+0.05*Projects!$B$38*Assumptions!$B$12,Projects!$B$38*Assumptions!$B$12/Projects!$D$38*0.95),0)+IF(AND(Projects!$G$39="Yes",22&gt;=Projects!$C$39,22&lt;Projects!$C$39+Projects!$D$39),IF(22=Projects!$C$39+Projects!$D$39-1,Projects!$B$39*Assumptions!$B$12/Projects!$D$39*0.95+0.05*Projects!$B$39*Assumptions!$B$12,Projects!$B$39*Assumptions!$B$12/Projects!$D$39*0.95),0)+IF(AND(Projects!$G$40="Yes",22&gt;=Projects!$C$40,22&lt;Projects!$C$40+Projects!$D$40),IF(22=Projects!$C$40+Projects!$D$40-1,Projects!$B$40*Assumptions!$B$12/Projects!$D$40*0.95+0.05*Projects!$B$40*Assumptions!$B$12,Projects!$B$40*Assumptions!$B$12/Projects!$D$40*0.95),0)+IF(AND(Projects!$G$41="Yes",22&gt;=Projects!$C$41,22&lt;Projects!$C$41+Projects!$D$41),IF(22=Projects!$C$41+Projects!$D$41-1,Projects!$B$41*Assumptions!$B$12/Projects!$D$41*0.95+0.05*Projects!$B$41*Assumptions!$B$12,Projects!$B$41*Assumptions!$B$12/Projects!$D$41*0.95),0)+IF(AND(Projects!$G$42="Yes",22&gt;=Projects!$C$42,22&lt;Projects!$C$42+Projects!$D$42),IF(22=Projects!$C$42+Projects!$D$42-1,Projects!$B$42*Assumptions!$B$12/Projects!$D$42*0.95+0.05*Projects!$B$42*Assumptions!$B$12,Projects!$B$42*Assumptions!$B$12/Projects!$D$42*0.95),0)+IF(AND(Projects!$G$43="Yes",22&gt;=Projects!$C$43,22&lt;Projects!$C$43+Projects!$D$43),IF(22=Projects!$C$43+Projects!$D$43-1,Projects!$B$43*Assumptions!$B$12/Projects!$D$43*0.95+0.05*Projects!$B$43*Assumptions!$B$12,Projects!$B$43*Assumptions!$B$12/Projects!$D$43*0.95),0)+IF(AND(Projects!$G$44="Yes",22&gt;=Projects!$C$44,22&lt;Projects!$C$44+Projects!$D$44),IF(22=Projects!$C$44+Projects!$D$44-1,Projects!$B$44*Assumptions!$B$12/Projects!$D$44*0.95+0.05*Projects!$B$44*Assumptions!$B$12,Projects!$B$44*Assumptions!$B$12/Projects!$D$44*0.95),0)+IF(AND(Projects!$G$45="Yes",22&gt;=Projects!$C$45,22&lt;Projects!$C$45+Projects!$D$45),IF(22=Projects!$C$45+Projects!$D$45-1,Projects!$B$45*Assumptions!$B$12/Projects!$D$45*0.95+0.05*Projects!$B$45*Assumptions!$B$12,Projects!$B$45*Assumptions!$B$12/Projects!$D$45*0.95),0)+IF(AND(Projects!$G$46="Yes",22&gt;=Projects!$C$46,22&lt;Projects!$C$46+Projects!$D$46),IF(22=Projects!$C$46+Projects!$D$46-1,Projects!$B$46*Assumptions!$B$12/Projects!$D$46*0.95+0.05*Projects!$B$46*Assumptions!$B$12,Projects!$B$46*Assumptions!$B$12/Projects!$D$46*0.95),0)</f>
        <v/>
      </c>
      <c r="Y110">
        <f>IF(AND(Projects!$G$30="Yes",23&gt;=Projects!$C$30,23&lt;Projects!$C$30+Projects!$D$30),IF(23=Projects!$C$30+Projects!$D$30-1,Projects!$B$30*Assumptions!$B$12/Projects!$D$30*0.95+0.05*Projects!$B$30*Assumptions!$B$12,Projects!$B$30*Assumptions!$B$12/Projects!$D$30*0.95),0)+IF(AND(Projects!$G$31="Yes",23&gt;=Projects!$C$31,23&lt;Projects!$C$31+Projects!$D$31),IF(23=Projects!$C$31+Projects!$D$31-1,Projects!$B$31*Assumptions!$B$12/Projects!$D$31*0.95+0.05*Projects!$B$31*Assumptions!$B$12,Projects!$B$31*Assumptions!$B$12/Projects!$D$31*0.95),0)+IF(AND(Projects!$G$32="Yes",23&gt;=Projects!$C$32,23&lt;Projects!$C$32+Projects!$D$32),IF(23=Projects!$C$32+Projects!$D$32-1,Projects!$B$32*Assumptions!$B$12/Projects!$D$32*0.95+0.05*Projects!$B$32*Assumptions!$B$12,Projects!$B$32*Assumptions!$B$12/Projects!$D$32*0.95),0)+IF(AND(Projects!$G$33="Yes",23&gt;=Projects!$C$33,23&lt;Projects!$C$33+Projects!$D$33),IF(23=Projects!$C$33+Projects!$D$33-1,Projects!$B$33*Assumptions!$B$12/Projects!$D$33*0.95+0.05*Projects!$B$33*Assumptions!$B$12,Projects!$B$33*Assumptions!$B$12/Projects!$D$33*0.95),0)+IF(AND(Projects!$G$34="Yes",23&gt;=Projects!$C$34,23&lt;Projects!$C$34+Projects!$D$34),IF(23=Projects!$C$34+Projects!$D$34-1,Projects!$B$34*Assumptions!$B$12/Projects!$D$34*0.95+0.05*Projects!$B$34*Assumptions!$B$12,Projects!$B$34*Assumptions!$B$12/Projects!$D$34*0.95),0)+IF(AND(Projects!$G$35="Yes",23&gt;=Projects!$C$35,23&lt;Projects!$C$35+Projects!$D$35),IF(23=Projects!$C$35+Projects!$D$35-1,Projects!$B$35*Assumptions!$B$12/Projects!$D$35*0.95+0.05*Projects!$B$35*Assumptions!$B$12,Projects!$B$35*Assumptions!$B$12/Projects!$D$35*0.95),0)+IF(AND(Projects!$G$36="Yes",23&gt;=Projects!$C$36,23&lt;Projects!$C$36+Projects!$D$36),IF(23=Projects!$C$36+Projects!$D$36-1,Projects!$B$36*Assumptions!$B$12/Projects!$D$36*0.95+0.05*Projects!$B$36*Assumptions!$B$12,Projects!$B$36*Assumptions!$B$12/Projects!$D$36*0.95),0)+IF(AND(Projects!$G$37="Yes",23&gt;=Projects!$C$37,23&lt;Projects!$C$37+Projects!$D$37),IF(23=Projects!$C$37+Projects!$D$37-1,Projects!$B$37*Assumptions!$B$12/Projects!$D$37*0.95+0.05*Projects!$B$37*Assumptions!$B$12,Projects!$B$37*Assumptions!$B$12/Projects!$D$37*0.95),0)+IF(AND(Projects!$G$38="Yes",23&gt;=Projects!$C$38,23&lt;Projects!$C$38+Projects!$D$38),IF(23=Projects!$C$38+Projects!$D$38-1,Projects!$B$38*Assumptions!$B$12/Projects!$D$38*0.95+0.05*Projects!$B$38*Assumptions!$B$12,Projects!$B$38*Assumptions!$B$12/Projects!$D$38*0.95),0)+IF(AND(Projects!$G$39="Yes",23&gt;=Projects!$C$39,23&lt;Projects!$C$39+Projects!$D$39),IF(23=Projects!$C$39+Projects!$D$39-1,Projects!$B$39*Assumptions!$B$12/Projects!$D$39*0.95+0.05*Projects!$B$39*Assumptions!$B$12,Projects!$B$39*Assumptions!$B$12/Projects!$D$39*0.95),0)+IF(AND(Projects!$G$40="Yes",23&gt;=Projects!$C$40,23&lt;Projects!$C$40+Projects!$D$40),IF(23=Projects!$C$40+Projects!$D$40-1,Projects!$B$40*Assumptions!$B$12/Projects!$D$40*0.95+0.05*Projects!$B$40*Assumptions!$B$12,Projects!$B$40*Assumptions!$B$12/Projects!$D$40*0.95),0)+IF(AND(Projects!$G$41="Yes",23&gt;=Projects!$C$41,23&lt;Projects!$C$41+Projects!$D$41),IF(23=Projects!$C$41+Projects!$D$41-1,Projects!$B$41*Assumptions!$B$12/Projects!$D$41*0.95+0.05*Projects!$B$41*Assumptions!$B$12,Projects!$B$41*Assumptions!$B$12/Projects!$D$41*0.95),0)+IF(AND(Projects!$G$42="Yes",23&gt;=Projects!$C$42,23&lt;Projects!$C$42+Projects!$D$42),IF(23=Projects!$C$42+Projects!$D$42-1,Projects!$B$42*Assumptions!$B$12/Projects!$D$42*0.95+0.05*Projects!$B$42*Assumptions!$B$12,Projects!$B$42*Assumptions!$B$12/Projects!$D$42*0.95),0)+IF(AND(Projects!$G$43="Yes",23&gt;=Projects!$C$43,23&lt;Projects!$C$43+Projects!$D$43),IF(23=Projects!$C$43+Projects!$D$43-1,Projects!$B$43*Assumptions!$B$12/Projects!$D$43*0.95+0.05*Projects!$B$43*Assumptions!$B$12,Projects!$B$43*Assumptions!$B$12/Projects!$D$43*0.95),0)+IF(AND(Projects!$G$44="Yes",23&gt;=Projects!$C$44,23&lt;Projects!$C$44+Projects!$D$44),IF(23=Projects!$C$44+Projects!$D$44-1,Projects!$B$44*Assumptions!$B$12/Projects!$D$44*0.95+0.05*Projects!$B$44*Assumptions!$B$12,Projects!$B$44*Assumptions!$B$12/Projects!$D$44*0.95),0)+IF(AND(Projects!$G$45="Yes",23&gt;=Projects!$C$45,23&lt;Projects!$C$45+Projects!$D$45),IF(23=Projects!$C$45+Projects!$D$45-1,Projects!$B$45*Assumptions!$B$12/Projects!$D$45*0.95+0.05*Projects!$B$45*Assumptions!$B$12,Projects!$B$45*Assumptions!$B$12/Projects!$D$45*0.95),0)+IF(AND(Projects!$G$46="Yes",23&gt;=Projects!$C$46,23&lt;Projects!$C$46+Projects!$D$46),IF(23=Projects!$C$46+Projects!$D$46-1,Projects!$B$46*Assumptions!$B$12/Projects!$D$46*0.95+0.05*Projects!$B$46*Assumptions!$B$12,Projects!$B$46*Assumptions!$B$12/Projects!$D$46*0.95),0)</f>
        <v/>
      </c>
      <c r="Z110">
        <f>IF(AND(Projects!$G$30="Yes",24&gt;=Projects!$C$30,24&lt;Projects!$C$30+Projects!$D$30),IF(24=Projects!$C$30+Projects!$D$30-1,Projects!$B$30*Assumptions!$B$12/Projects!$D$30*0.95+0.05*Projects!$B$30*Assumptions!$B$12,Projects!$B$30*Assumptions!$B$12/Projects!$D$30*0.95),0)+IF(AND(Projects!$G$31="Yes",24&gt;=Projects!$C$31,24&lt;Projects!$C$31+Projects!$D$31),IF(24=Projects!$C$31+Projects!$D$31-1,Projects!$B$31*Assumptions!$B$12/Projects!$D$31*0.95+0.05*Projects!$B$31*Assumptions!$B$12,Projects!$B$31*Assumptions!$B$12/Projects!$D$31*0.95),0)+IF(AND(Projects!$G$32="Yes",24&gt;=Projects!$C$32,24&lt;Projects!$C$32+Projects!$D$32),IF(24=Projects!$C$32+Projects!$D$32-1,Projects!$B$32*Assumptions!$B$12/Projects!$D$32*0.95+0.05*Projects!$B$32*Assumptions!$B$12,Projects!$B$32*Assumptions!$B$12/Projects!$D$32*0.95),0)+IF(AND(Projects!$G$33="Yes",24&gt;=Projects!$C$33,24&lt;Projects!$C$33+Projects!$D$33),IF(24=Projects!$C$33+Projects!$D$33-1,Projects!$B$33*Assumptions!$B$12/Projects!$D$33*0.95+0.05*Projects!$B$33*Assumptions!$B$12,Projects!$B$33*Assumptions!$B$12/Projects!$D$33*0.95),0)+IF(AND(Projects!$G$34="Yes",24&gt;=Projects!$C$34,24&lt;Projects!$C$34+Projects!$D$34),IF(24=Projects!$C$34+Projects!$D$34-1,Projects!$B$34*Assumptions!$B$12/Projects!$D$34*0.95+0.05*Projects!$B$34*Assumptions!$B$12,Projects!$B$34*Assumptions!$B$12/Projects!$D$34*0.95),0)+IF(AND(Projects!$G$35="Yes",24&gt;=Projects!$C$35,24&lt;Projects!$C$35+Projects!$D$35),IF(24=Projects!$C$35+Projects!$D$35-1,Projects!$B$35*Assumptions!$B$12/Projects!$D$35*0.95+0.05*Projects!$B$35*Assumptions!$B$12,Projects!$B$35*Assumptions!$B$12/Projects!$D$35*0.95),0)+IF(AND(Projects!$G$36="Yes",24&gt;=Projects!$C$36,24&lt;Projects!$C$36+Projects!$D$36),IF(24=Projects!$C$36+Projects!$D$36-1,Projects!$B$36*Assumptions!$B$12/Projects!$D$36*0.95+0.05*Projects!$B$36*Assumptions!$B$12,Projects!$B$36*Assumptions!$B$12/Projects!$D$36*0.95),0)+IF(AND(Projects!$G$37="Yes",24&gt;=Projects!$C$37,24&lt;Projects!$C$37+Projects!$D$37),IF(24=Projects!$C$37+Projects!$D$37-1,Projects!$B$37*Assumptions!$B$12/Projects!$D$37*0.95+0.05*Projects!$B$37*Assumptions!$B$12,Projects!$B$37*Assumptions!$B$12/Projects!$D$37*0.95),0)+IF(AND(Projects!$G$38="Yes",24&gt;=Projects!$C$38,24&lt;Projects!$C$38+Projects!$D$38),IF(24=Projects!$C$38+Projects!$D$38-1,Projects!$B$38*Assumptions!$B$12/Projects!$D$38*0.95+0.05*Projects!$B$38*Assumptions!$B$12,Projects!$B$38*Assumptions!$B$12/Projects!$D$38*0.95),0)+IF(AND(Projects!$G$39="Yes",24&gt;=Projects!$C$39,24&lt;Projects!$C$39+Projects!$D$39),IF(24=Projects!$C$39+Projects!$D$39-1,Projects!$B$39*Assumptions!$B$12/Projects!$D$39*0.95+0.05*Projects!$B$39*Assumptions!$B$12,Projects!$B$39*Assumptions!$B$12/Projects!$D$39*0.95),0)+IF(AND(Projects!$G$40="Yes",24&gt;=Projects!$C$40,24&lt;Projects!$C$40+Projects!$D$40),IF(24=Projects!$C$40+Projects!$D$40-1,Projects!$B$40*Assumptions!$B$12/Projects!$D$40*0.95+0.05*Projects!$B$40*Assumptions!$B$12,Projects!$B$40*Assumptions!$B$12/Projects!$D$40*0.95),0)+IF(AND(Projects!$G$41="Yes",24&gt;=Projects!$C$41,24&lt;Projects!$C$41+Projects!$D$41),IF(24=Projects!$C$41+Projects!$D$41-1,Projects!$B$41*Assumptions!$B$12/Projects!$D$41*0.95+0.05*Projects!$B$41*Assumptions!$B$12,Projects!$B$41*Assumptions!$B$12/Projects!$D$41*0.95),0)+IF(AND(Projects!$G$42="Yes",24&gt;=Projects!$C$42,24&lt;Projects!$C$42+Projects!$D$42),IF(24=Projects!$C$42+Projects!$D$42-1,Projects!$B$42*Assumptions!$B$12/Projects!$D$42*0.95+0.05*Projects!$B$42*Assumptions!$B$12,Projects!$B$42*Assumptions!$B$12/Projects!$D$42*0.95),0)+IF(AND(Projects!$G$43="Yes",24&gt;=Projects!$C$43,24&lt;Projects!$C$43+Projects!$D$43),IF(24=Projects!$C$43+Projects!$D$43-1,Projects!$B$43*Assumptions!$B$12/Projects!$D$43*0.95+0.05*Projects!$B$43*Assumptions!$B$12,Projects!$B$43*Assumptions!$B$12/Projects!$D$43*0.95),0)+IF(AND(Projects!$G$44="Yes",24&gt;=Projects!$C$44,24&lt;Projects!$C$44+Projects!$D$44),IF(24=Projects!$C$44+Projects!$D$44-1,Projects!$B$44*Assumptions!$B$12/Projects!$D$44*0.95+0.05*Projects!$B$44*Assumptions!$B$12,Projects!$B$44*Assumptions!$B$12/Projects!$D$44*0.95),0)+IF(AND(Projects!$G$45="Yes",24&gt;=Projects!$C$45,24&lt;Projects!$C$45+Projects!$D$45),IF(24=Projects!$C$45+Projects!$D$45-1,Projects!$B$45*Assumptions!$B$12/Projects!$D$45*0.95+0.05*Projects!$B$45*Assumptions!$B$12,Projects!$B$45*Assumptions!$B$12/Projects!$D$45*0.95),0)+IF(AND(Projects!$G$46="Yes",24&gt;=Projects!$C$46,24&lt;Projects!$C$46+Projects!$D$46),IF(24=Projects!$C$46+Projects!$D$46-1,Projects!$B$46*Assumptions!$B$12/Projects!$D$46*0.95+0.05*Projects!$B$46*Assumptions!$B$12,Projects!$B$46*Assumptions!$B$12/Projects!$D$46*0.95),0)</f>
        <v/>
      </c>
      <c r="AA110">
        <f>IF(AND(Projects!$G$30="Yes",25&gt;=Projects!$C$30,25&lt;Projects!$C$30+Projects!$D$30),IF(25=Projects!$C$30+Projects!$D$30-1,Projects!$B$30*Assumptions!$B$12/Projects!$D$30*0.95+0.05*Projects!$B$30*Assumptions!$B$12,Projects!$B$30*Assumptions!$B$12/Projects!$D$30*0.95),0)+IF(AND(Projects!$G$31="Yes",25&gt;=Projects!$C$31,25&lt;Projects!$C$31+Projects!$D$31),IF(25=Projects!$C$31+Projects!$D$31-1,Projects!$B$31*Assumptions!$B$12/Projects!$D$31*0.95+0.05*Projects!$B$31*Assumptions!$B$12,Projects!$B$31*Assumptions!$B$12/Projects!$D$31*0.95),0)+IF(AND(Projects!$G$32="Yes",25&gt;=Projects!$C$32,25&lt;Projects!$C$32+Projects!$D$32),IF(25=Projects!$C$32+Projects!$D$32-1,Projects!$B$32*Assumptions!$B$12/Projects!$D$32*0.95+0.05*Projects!$B$32*Assumptions!$B$12,Projects!$B$32*Assumptions!$B$12/Projects!$D$32*0.95),0)+IF(AND(Projects!$G$33="Yes",25&gt;=Projects!$C$33,25&lt;Projects!$C$33+Projects!$D$33),IF(25=Projects!$C$33+Projects!$D$33-1,Projects!$B$33*Assumptions!$B$12/Projects!$D$33*0.95+0.05*Projects!$B$33*Assumptions!$B$12,Projects!$B$33*Assumptions!$B$12/Projects!$D$33*0.95),0)+IF(AND(Projects!$G$34="Yes",25&gt;=Projects!$C$34,25&lt;Projects!$C$34+Projects!$D$34),IF(25=Projects!$C$34+Projects!$D$34-1,Projects!$B$34*Assumptions!$B$12/Projects!$D$34*0.95+0.05*Projects!$B$34*Assumptions!$B$12,Projects!$B$34*Assumptions!$B$12/Projects!$D$34*0.95),0)+IF(AND(Projects!$G$35="Yes",25&gt;=Projects!$C$35,25&lt;Projects!$C$35+Projects!$D$35),IF(25=Projects!$C$35+Projects!$D$35-1,Projects!$B$35*Assumptions!$B$12/Projects!$D$35*0.95+0.05*Projects!$B$35*Assumptions!$B$12,Projects!$B$35*Assumptions!$B$12/Projects!$D$35*0.95),0)+IF(AND(Projects!$G$36="Yes",25&gt;=Projects!$C$36,25&lt;Projects!$C$36+Projects!$D$36),IF(25=Projects!$C$36+Projects!$D$36-1,Projects!$B$36*Assumptions!$B$12/Projects!$D$36*0.95+0.05*Projects!$B$36*Assumptions!$B$12,Projects!$B$36*Assumptions!$B$12/Projects!$D$36*0.95),0)+IF(AND(Projects!$G$37="Yes",25&gt;=Projects!$C$37,25&lt;Projects!$C$37+Projects!$D$37),IF(25=Projects!$C$37+Projects!$D$37-1,Projects!$B$37*Assumptions!$B$12/Projects!$D$37*0.95+0.05*Projects!$B$37*Assumptions!$B$12,Projects!$B$37*Assumptions!$B$12/Projects!$D$37*0.95),0)+IF(AND(Projects!$G$38="Yes",25&gt;=Projects!$C$38,25&lt;Projects!$C$38+Projects!$D$38),IF(25=Projects!$C$38+Projects!$D$38-1,Projects!$B$38*Assumptions!$B$12/Projects!$D$38*0.95+0.05*Projects!$B$38*Assumptions!$B$12,Projects!$B$38*Assumptions!$B$12/Projects!$D$38*0.95),0)+IF(AND(Projects!$G$39="Yes",25&gt;=Projects!$C$39,25&lt;Projects!$C$39+Projects!$D$39),IF(25=Projects!$C$39+Projects!$D$39-1,Projects!$B$39*Assumptions!$B$12/Projects!$D$39*0.95+0.05*Projects!$B$39*Assumptions!$B$12,Projects!$B$39*Assumptions!$B$12/Projects!$D$39*0.95),0)+IF(AND(Projects!$G$40="Yes",25&gt;=Projects!$C$40,25&lt;Projects!$C$40+Projects!$D$40),IF(25=Projects!$C$40+Projects!$D$40-1,Projects!$B$40*Assumptions!$B$12/Projects!$D$40*0.95+0.05*Projects!$B$40*Assumptions!$B$12,Projects!$B$40*Assumptions!$B$12/Projects!$D$40*0.95),0)+IF(AND(Projects!$G$41="Yes",25&gt;=Projects!$C$41,25&lt;Projects!$C$41+Projects!$D$41),IF(25=Projects!$C$41+Projects!$D$41-1,Projects!$B$41*Assumptions!$B$12/Projects!$D$41*0.95+0.05*Projects!$B$41*Assumptions!$B$12,Projects!$B$41*Assumptions!$B$12/Projects!$D$41*0.95),0)+IF(AND(Projects!$G$42="Yes",25&gt;=Projects!$C$42,25&lt;Projects!$C$42+Projects!$D$42),IF(25=Projects!$C$42+Projects!$D$42-1,Projects!$B$42*Assumptions!$B$12/Projects!$D$42*0.95+0.05*Projects!$B$42*Assumptions!$B$12,Projects!$B$42*Assumptions!$B$12/Projects!$D$42*0.95),0)+IF(AND(Projects!$G$43="Yes",25&gt;=Projects!$C$43,25&lt;Projects!$C$43+Projects!$D$43),IF(25=Projects!$C$43+Projects!$D$43-1,Projects!$B$43*Assumptions!$B$12/Projects!$D$43*0.95+0.05*Projects!$B$43*Assumptions!$B$12,Projects!$B$43*Assumptions!$B$12/Projects!$D$43*0.95),0)+IF(AND(Projects!$G$44="Yes",25&gt;=Projects!$C$44,25&lt;Projects!$C$44+Projects!$D$44),IF(25=Projects!$C$44+Projects!$D$44-1,Projects!$B$44*Assumptions!$B$12/Projects!$D$44*0.95+0.05*Projects!$B$44*Assumptions!$B$12,Projects!$B$44*Assumptions!$B$12/Projects!$D$44*0.95),0)+IF(AND(Projects!$G$45="Yes",25&gt;=Projects!$C$45,25&lt;Projects!$C$45+Projects!$D$45),IF(25=Projects!$C$45+Projects!$D$45-1,Projects!$B$45*Assumptions!$B$12/Projects!$D$45*0.95+0.05*Projects!$B$45*Assumptions!$B$12,Projects!$B$45*Assumptions!$B$12/Projects!$D$45*0.95),0)+IF(AND(Projects!$G$46="Yes",25&gt;=Projects!$C$46,25&lt;Projects!$C$46+Projects!$D$46),IF(25=Projects!$C$46+Projects!$D$46-1,Projects!$B$46*Assumptions!$B$12/Projects!$D$46*0.95+0.05*Projects!$B$46*Assumptions!$B$12,Projects!$B$46*Assumptions!$B$12/Projects!$D$46*0.95),0)</f>
        <v/>
      </c>
      <c r="AB110">
        <f>IF(AND(Projects!$G$30="Yes",26&gt;=Projects!$C$30,26&lt;Projects!$C$30+Projects!$D$30),IF(26=Projects!$C$30+Projects!$D$30-1,Projects!$B$30*Assumptions!$B$12/Projects!$D$30*0.95+0.05*Projects!$B$30*Assumptions!$B$12,Projects!$B$30*Assumptions!$B$12/Projects!$D$30*0.95),0)+IF(AND(Projects!$G$31="Yes",26&gt;=Projects!$C$31,26&lt;Projects!$C$31+Projects!$D$31),IF(26=Projects!$C$31+Projects!$D$31-1,Projects!$B$31*Assumptions!$B$12/Projects!$D$31*0.95+0.05*Projects!$B$31*Assumptions!$B$12,Projects!$B$31*Assumptions!$B$12/Projects!$D$31*0.95),0)+IF(AND(Projects!$G$32="Yes",26&gt;=Projects!$C$32,26&lt;Projects!$C$32+Projects!$D$32),IF(26=Projects!$C$32+Projects!$D$32-1,Projects!$B$32*Assumptions!$B$12/Projects!$D$32*0.95+0.05*Projects!$B$32*Assumptions!$B$12,Projects!$B$32*Assumptions!$B$12/Projects!$D$32*0.95),0)+IF(AND(Projects!$G$33="Yes",26&gt;=Projects!$C$33,26&lt;Projects!$C$33+Projects!$D$33),IF(26=Projects!$C$33+Projects!$D$33-1,Projects!$B$33*Assumptions!$B$12/Projects!$D$33*0.95+0.05*Projects!$B$33*Assumptions!$B$12,Projects!$B$33*Assumptions!$B$12/Projects!$D$33*0.95),0)+IF(AND(Projects!$G$34="Yes",26&gt;=Projects!$C$34,26&lt;Projects!$C$34+Projects!$D$34),IF(26=Projects!$C$34+Projects!$D$34-1,Projects!$B$34*Assumptions!$B$12/Projects!$D$34*0.95+0.05*Projects!$B$34*Assumptions!$B$12,Projects!$B$34*Assumptions!$B$12/Projects!$D$34*0.95),0)+IF(AND(Projects!$G$35="Yes",26&gt;=Projects!$C$35,26&lt;Projects!$C$35+Projects!$D$35),IF(26=Projects!$C$35+Projects!$D$35-1,Projects!$B$35*Assumptions!$B$12/Projects!$D$35*0.95+0.05*Projects!$B$35*Assumptions!$B$12,Projects!$B$35*Assumptions!$B$12/Projects!$D$35*0.95),0)+IF(AND(Projects!$G$36="Yes",26&gt;=Projects!$C$36,26&lt;Projects!$C$36+Projects!$D$36),IF(26=Projects!$C$36+Projects!$D$36-1,Projects!$B$36*Assumptions!$B$12/Projects!$D$36*0.95+0.05*Projects!$B$36*Assumptions!$B$12,Projects!$B$36*Assumptions!$B$12/Projects!$D$36*0.95),0)+IF(AND(Projects!$G$37="Yes",26&gt;=Projects!$C$37,26&lt;Projects!$C$37+Projects!$D$37),IF(26=Projects!$C$37+Projects!$D$37-1,Projects!$B$37*Assumptions!$B$12/Projects!$D$37*0.95+0.05*Projects!$B$37*Assumptions!$B$12,Projects!$B$37*Assumptions!$B$12/Projects!$D$37*0.95),0)+IF(AND(Projects!$G$38="Yes",26&gt;=Projects!$C$38,26&lt;Projects!$C$38+Projects!$D$38),IF(26=Projects!$C$38+Projects!$D$38-1,Projects!$B$38*Assumptions!$B$12/Projects!$D$38*0.95+0.05*Projects!$B$38*Assumptions!$B$12,Projects!$B$38*Assumptions!$B$12/Projects!$D$38*0.95),0)+IF(AND(Projects!$G$39="Yes",26&gt;=Projects!$C$39,26&lt;Projects!$C$39+Projects!$D$39),IF(26=Projects!$C$39+Projects!$D$39-1,Projects!$B$39*Assumptions!$B$12/Projects!$D$39*0.95+0.05*Projects!$B$39*Assumptions!$B$12,Projects!$B$39*Assumptions!$B$12/Projects!$D$39*0.95),0)+IF(AND(Projects!$G$40="Yes",26&gt;=Projects!$C$40,26&lt;Projects!$C$40+Projects!$D$40),IF(26=Projects!$C$40+Projects!$D$40-1,Projects!$B$40*Assumptions!$B$12/Projects!$D$40*0.95+0.05*Projects!$B$40*Assumptions!$B$12,Projects!$B$40*Assumptions!$B$12/Projects!$D$40*0.95),0)+IF(AND(Projects!$G$41="Yes",26&gt;=Projects!$C$41,26&lt;Projects!$C$41+Projects!$D$41),IF(26=Projects!$C$41+Projects!$D$41-1,Projects!$B$41*Assumptions!$B$12/Projects!$D$41*0.95+0.05*Projects!$B$41*Assumptions!$B$12,Projects!$B$41*Assumptions!$B$12/Projects!$D$41*0.95),0)+IF(AND(Projects!$G$42="Yes",26&gt;=Projects!$C$42,26&lt;Projects!$C$42+Projects!$D$42),IF(26=Projects!$C$42+Projects!$D$42-1,Projects!$B$42*Assumptions!$B$12/Projects!$D$42*0.95+0.05*Projects!$B$42*Assumptions!$B$12,Projects!$B$42*Assumptions!$B$12/Projects!$D$42*0.95),0)+IF(AND(Projects!$G$43="Yes",26&gt;=Projects!$C$43,26&lt;Projects!$C$43+Projects!$D$43),IF(26=Projects!$C$43+Projects!$D$43-1,Projects!$B$43*Assumptions!$B$12/Projects!$D$43*0.95+0.05*Projects!$B$43*Assumptions!$B$12,Projects!$B$43*Assumptions!$B$12/Projects!$D$43*0.95),0)+IF(AND(Projects!$G$44="Yes",26&gt;=Projects!$C$44,26&lt;Projects!$C$44+Projects!$D$44),IF(26=Projects!$C$44+Projects!$D$44-1,Projects!$B$44*Assumptions!$B$12/Projects!$D$44*0.95+0.05*Projects!$B$44*Assumptions!$B$12,Projects!$B$44*Assumptions!$B$12/Projects!$D$44*0.95),0)+IF(AND(Projects!$G$45="Yes",26&gt;=Projects!$C$45,26&lt;Projects!$C$45+Projects!$D$45),IF(26=Projects!$C$45+Projects!$D$45-1,Projects!$B$45*Assumptions!$B$12/Projects!$D$45*0.95+0.05*Projects!$B$45*Assumptions!$B$12,Projects!$B$45*Assumptions!$B$12/Projects!$D$45*0.95),0)+IF(AND(Projects!$G$46="Yes",26&gt;=Projects!$C$46,26&lt;Projects!$C$46+Projects!$D$46),IF(26=Projects!$C$46+Projects!$D$46-1,Projects!$B$46*Assumptions!$B$12/Projects!$D$46*0.95+0.05*Projects!$B$46*Assumptions!$B$12,Projects!$B$46*Assumptions!$B$12/Projects!$D$46*0.95),0)</f>
        <v/>
      </c>
      <c r="AC110">
        <f>IF(AND(Projects!$G$30="Yes",27&gt;=Projects!$C$30,27&lt;Projects!$C$30+Projects!$D$30),IF(27=Projects!$C$30+Projects!$D$30-1,Projects!$B$30*Assumptions!$B$12/Projects!$D$30*0.95+0.05*Projects!$B$30*Assumptions!$B$12,Projects!$B$30*Assumptions!$B$12/Projects!$D$30*0.95),0)+IF(AND(Projects!$G$31="Yes",27&gt;=Projects!$C$31,27&lt;Projects!$C$31+Projects!$D$31),IF(27=Projects!$C$31+Projects!$D$31-1,Projects!$B$31*Assumptions!$B$12/Projects!$D$31*0.95+0.05*Projects!$B$31*Assumptions!$B$12,Projects!$B$31*Assumptions!$B$12/Projects!$D$31*0.95),0)+IF(AND(Projects!$G$32="Yes",27&gt;=Projects!$C$32,27&lt;Projects!$C$32+Projects!$D$32),IF(27=Projects!$C$32+Projects!$D$32-1,Projects!$B$32*Assumptions!$B$12/Projects!$D$32*0.95+0.05*Projects!$B$32*Assumptions!$B$12,Projects!$B$32*Assumptions!$B$12/Projects!$D$32*0.95),0)+IF(AND(Projects!$G$33="Yes",27&gt;=Projects!$C$33,27&lt;Projects!$C$33+Projects!$D$33),IF(27=Projects!$C$33+Projects!$D$33-1,Projects!$B$33*Assumptions!$B$12/Projects!$D$33*0.95+0.05*Projects!$B$33*Assumptions!$B$12,Projects!$B$33*Assumptions!$B$12/Projects!$D$33*0.95),0)+IF(AND(Projects!$G$34="Yes",27&gt;=Projects!$C$34,27&lt;Projects!$C$34+Projects!$D$34),IF(27=Projects!$C$34+Projects!$D$34-1,Projects!$B$34*Assumptions!$B$12/Projects!$D$34*0.95+0.05*Projects!$B$34*Assumptions!$B$12,Projects!$B$34*Assumptions!$B$12/Projects!$D$34*0.95),0)+IF(AND(Projects!$G$35="Yes",27&gt;=Projects!$C$35,27&lt;Projects!$C$35+Projects!$D$35),IF(27=Projects!$C$35+Projects!$D$35-1,Projects!$B$35*Assumptions!$B$12/Projects!$D$35*0.95+0.05*Projects!$B$35*Assumptions!$B$12,Projects!$B$35*Assumptions!$B$12/Projects!$D$35*0.95),0)+IF(AND(Projects!$G$36="Yes",27&gt;=Projects!$C$36,27&lt;Projects!$C$36+Projects!$D$36),IF(27=Projects!$C$36+Projects!$D$36-1,Projects!$B$36*Assumptions!$B$12/Projects!$D$36*0.95+0.05*Projects!$B$36*Assumptions!$B$12,Projects!$B$36*Assumptions!$B$12/Projects!$D$36*0.95),0)+IF(AND(Projects!$G$37="Yes",27&gt;=Projects!$C$37,27&lt;Projects!$C$37+Projects!$D$37),IF(27=Projects!$C$37+Projects!$D$37-1,Projects!$B$37*Assumptions!$B$12/Projects!$D$37*0.95+0.05*Projects!$B$37*Assumptions!$B$12,Projects!$B$37*Assumptions!$B$12/Projects!$D$37*0.95),0)+IF(AND(Projects!$G$38="Yes",27&gt;=Projects!$C$38,27&lt;Projects!$C$38+Projects!$D$38),IF(27=Projects!$C$38+Projects!$D$38-1,Projects!$B$38*Assumptions!$B$12/Projects!$D$38*0.95+0.05*Projects!$B$38*Assumptions!$B$12,Projects!$B$38*Assumptions!$B$12/Projects!$D$38*0.95),0)+IF(AND(Projects!$G$39="Yes",27&gt;=Projects!$C$39,27&lt;Projects!$C$39+Projects!$D$39),IF(27=Projects!$C$39+Projects!$D$39-1,Projects!$B$39*Assumptions!$B$12/Projects!$D$39*0.95+0.05*Projects!$B$39*Assumptions!$B$12,Projects!$B$39*Assumptions!$B$12/Projects!$D$39*0.95),0)+IF(AND(Projects!$G$40="Yes",27&gt;=Projects!$C$40,27&lt;Projects!$C$40+Projects!$D$40),IF(27=Projects!$C$40+Projects!$D$40-1,Projects!$B$40*Assumptions!$B$12/Projects!$D$40*0.95+0.05*Projects!$B$40*Assumptions!$B$12,Projects!$B$40*Assumptions!$B$12/Projects!$D$40*0.95),0)+IF(AND(Projects!$G$41="Yes",27&gt;=Projects!$C$41,27&lt;Projects!$C$41+Projects!$D$41),IF(27=Projects!$C$41+Projects!$D$41-1,Projects!$B$41*Assumptions!$B$12/Projects!$D$41*0.95+0.05*Projects!$B$41*Assumptions!$B$12,Projects!$B$41*Assumptions!$B$12/Projects!$D$41*0.95),0)+IF(AND(Projects!$G$42="Yes",27&gt;=Projects!$C$42,27&lt;Projects!$C$42+Projects!$D$42),IF(27=Projects!$C$42+Projects!$D$42-1,Projects!$B$42*Assumptions!$B$12/Projects!$D$42*0.95+0.05*Projects!$B$42*Assumptions!$B$12,Projects!$B$42*Assumptions!$B$12/Projects!$D$42*0.95),0)+IF(AND(Projects!$G$43="Yes",27&gt;=Projects!$C$43,27&lt;Projects!$C$43+Projects!$D$43),IF(27=Projects!$C$43+Projects!$D$43-1,Projects!$B$43*Assumptions!$B$12/Projects!$D$43*0.95+0.05*Projects!$B$43*Assumptions!$B$12,Projects!$B$43*Assumptions!$B$12/Projects!$D$43*0.95),0)+IF(AND(Projects!$G$44="Yes",27&gt;=Projects!$C$44,27&lt;Projects!$C$44+Projects!$D$44),IF(27=Projects!$C$44+Projects!$D$44-1,Projects!$B$44*Assumptions!$B$12/Projects!$D$44*0.95+0.05*Projects!$B$44*Assumptions!$B$12,Projects!$B$44*Assumptions!$B$12/Projects!$D$44*0.95),0)+IF(AND(Projects!$G$45="Yes",27&gt;=Projects!$C$45,27&lt;Projects!$C$45+Projects!$D$45),IF(27=Projects!$C$45+Projects!$D$45-1,Projects!$B$45*Assumptions!$B$12/Projects!$D$45*0.95+0.05*Projects!$B$45*Assumptions!$B$12,Projects!$B$45*Assumptions!$B$12/Projects!$D$45*0.95),0)+IF(AND(Projects!$G$46="Yes",27&gt;=Projects!$C$46,27&lt;Projects!$C$46+Projects!$D$46),IF(27=Projects!$C$46+Projects!$D$46-1,Projects!$B$46*Assumptions!$B$12/Projects!$D$46*0.95+0.05*Projects!$B$46*Assumptions!$B$12,Projects!$B$46*Assumptions!$B$12/Projects!$D$46*0.95),0)</f>
        <v/>
      </c>
      <c r="AD110">
        <f>IF(AND(Projects!$G$30="Yes",28&gt;=Projects!$C$30,28&lt;Projects!$C$30+Projects!$D$30),IF(28=Projects!$C$30+Projects!$D$30-1,Projects!$B$30*Assumptions!$B$12/Projects!$D$30*0.95+0.05*Projects!$B$30*Assumptions!$B$12,Projects!$B$30*Assumptions!$B$12/Projects!$D$30*0.95),0)+IF(AND(Projects!$G$31="Yes",28&gt;=Projects!$C$31,28&lt;Projects!$C$31+Projects!$D$31),IF(28=Projects!$C$31+Projects!$D$31-1,Projects!$B$31*Assumptions!$B$12/Projects!$D$31*0.95+0.05*Projects!$B$31*Assumptions!$B$12,Projects!$B$31*Assumptions!$B$12/Projects!$D$31*0.95),0)+IF(AND(Projects!$G$32="Yes",28&gt;=Projects!$C$32,28&lt;Projects!$C$32+Projects!$D$32),IF(28=Projects!$C$32+Projects!$D$32-1,Projects!$B$32*Assumptions!$B$12/Projects!$D$32*0.95+0.05*Projects!$B$32*Assumptions!$B$12,Projects!$B$32*Assumptions!$B$12/Projects!$D$32*0.95),0)+IF(AND(Projects!$G$33="Yes",28&gt;=Projects!$C$33,28&lt;Projects!$C$33+Projects!$D$33),IF(28=Projects!$C$33+Projects!$D$33-1,Projects!$B$33*Assumptions!$B$12/Projects!$D$33*0.95+0.05*Projects!$B$33*Assumptions!$B$12,Projects!$B$33*Assumptions!$B$12/Projects!$D$33*0.95),0)+IF(AND(Projects!$G$34="Yes",28&gt;=Projects!$C$34,28&lt;Projects!$C$34+Projects!$D$34),IF(28=Projects!$C$34+Projects!$D$34-1,Projects!$B$34*Assumptions!$B$12/Projects!$D$34*0.95+0.05*Projects!$B$34*Assumptions!$B$12,Projects!$B$34*Assumptions!$B$12/Projects!$D$34*0.95),0)+IF(AND(Projects!$G$35="Yes",28&gt;=Projects!$C$35,28&lt;Projects!$C$35+Projects!$D$35),IF(28=Projects!$C$35+Projects!$D$35-1,Projects!$B$35*Assumptions!$B$12/Projects!$D$35*0.95+0.05*Projects!$B$35*Assumptions!$B$12,Projects!$B$35*Assumptions!$B$12/Projects!$D$35*0.95),0)+IF(AND(Projects!$G$36="Yes",28&gt;=Projects!$C$36,28&lt;Projects!$C$36+Projects!$D$36),IF(28=Projects!$C$36+Projects!$D$36-1,Projects!$B$36*Assumptions!$B$12/Projects!$D$36*0.95+0.05*Projects!$B$36*Assumptions!$B$12,Projects!$B$36*Assumptions!$B$12/Projects!$D$36*0.95),0)+IF(AND(Projects!$G$37="Yes",28&gt;=Projects!$C$37,28&lt;Projects!$C$37+Projects!$D$37),IF(28=Projects!$C$37+Projects!$D$37-1,Projects!$B$37*Assumptions!$B$12/Projects!$D$37*0.95+0.05*Projects!$B$37*Assumptions!$B$12,Projects!$B$37*Assumptions!$B$12/Projects!$D$37*0.95),0)+IF(AND(Projects!$G$38="Yes",28&gt;=Projects!$C$38,28&lt;Projects!$C$38+Projects!$D$38),IF(28=Projects!$C$38+Projects!$D$38-1,Projects!$B$38*Assumptions!$B$12/Projects!$D$38*0.95+0.05*Projects!$B$38*Assumptions!$B$12,Projects!$B$38*Assumptions!$B$12/Projects!$D$38*0.95),0)+IF(AND(Projects!$G$39="Yes",28&gt;=Projects!$C$39,28&lt;Projects!$C$39+Projects!$D$39),IF(28=Projects!$C$39+Projects!$D$39-1,Projects!$B$39*Assumptions!$B$12/Projects!$D$39*0.95+0.05*Projects!$B$39*Assumptions!$B$12,Projects!$B$39*Assumptions!$B$12/Projects!$D$39*0.95),0)+IF(AND(Projects!$G$40="Yes",28&gt;=Projects!$C$40,28&lt;Projects!$C$40+Projects!$D$40),IF(28=Projects!$C$40+Projects!$D$40-1,Projects!$B$40*Assumptions!$B$12/Projects!$D$40*0.95+0.05*Projects!$B$40*Assumptions!$B$12,Projects!$B$40*Assumptions!$B$12/Projects!$D$40*0.95),0)+IF(AND(Projects!$G$41="Yes",28&gt;=Projects!$C$41,28&lt;Projects!$C$41+Projects!$D$41),IF(28=Projects!$C$41+Projects!$D$41-1,Projects!$B$41*Assumptions!$B$12/Projects!$D$41*0.95+0.05*Projects!$B$41*Assumptions!$B$12,Projects!$B$41*Assumptions!$B$12/Projects!$D$41*0.95),0)+IF(AND(Projects!$G$42="Yes",28&gt;=Projects!$C$42,28&lt;Projects!$C$42+Projects!$D$42),IF(28=Projects!$C$42+Projects!$D$42-1,Projects!$B$42*Assumptions!$B$12/Projects!$D$42*0.95+0.05*Projects!$B$42*Assumptions!$B$12,Projects!$B$42*Assumptions!$B$12/Projects!$D$42*0.95),0)+IF(AND(Projects!$G$43="Yes",28&gt;=Projects!$C$43,28&lt;Projects!$C$43+Projects!$D$43),IF(28=Projects!$C$43+Projects!$D$43-1,Projects!$B$43*Assumptions!$B$12/Projects!$D$43*0.95+0.05*Projects!$B$43*Assumptions!$B$12,Projects!$B$43*Assumptions!$B$12/Projects!$D$43*0.95),0)+IF(AND(Projects!$G$44="Yes",28&gt;=Projects!$C$44,28&lt;Projects!$C$44+Projects!$D$44),IF(28=Projects!$C$44+Projects!$D$44-1,Projects!$B$44*Assumptions!$B$12/Projects!$D$44*0.95+0.05*Projects!$B$44*Assumptions!$B$12,Projects!$B$44*Assumptions!$B$12/Projects!$D$44*0.95),0)+IF(AND(Projects!$G$45="Yes",28&gt;=Projects!$C$45,28&lt;Projects!$C$45+Projects!$D$45),IF(28=Projects!$C$45+Projects!$D$45-1,Projects!$B$45*Assumptions!$B$12/Projects!$D$45*0.95+0.05*Projects!$B$45*Assumptions!$B$12,Projects!$B$45*Assumptions!$B$12/Projects!$D$45*0.95),0)+IF(AND(Projects!$G$46="Yes",28&gt;=Projects!$C$46,28&lt;Projects!$C$46+Projects!$D$46),IF(28=Projects!$C$46+Projects!$D$46-1,Projects!$B$46*Assumptions!$B$12/Projects!$D$46*0.95+0.05*Projects!$B$46*Assumptions!$B$12,Projects!$B$46*Assumptions!$B$12/Projects!$D$46*0.95),0)</f>
        <v/>
      </c>
      <c r="AE110">
        <f>IF(AND(Projects!$G$30="Yes",29&gt;=Projects!$C$30,29&lt;Projects!$C$30+Projects!$D$30),IF(29=Projects!$C$30+Projects!$D$30-1,Projects!$B$30*Assumptions!$B$12/Projects!$D$30*0.95+0.05*Projects!$B$30*Assumptions!$B$12,Projects!$B$30*Assumptions!$B$12/Projects!$D$30*0.95),0)+IF(AND(Projects!$G$31="Yes",29&gt;=Projects!$C$31,29&lt;Projects!$C$31+Projects!$D$31),IF(29=Projects!$C$31+Projects!$D$31-1,Projects!$B$31*Assumptions!$B$12/Projects!$D$31*0.95+0.05*Projects!$B$31*Assumptions!$B$12,Projects!$B$31*Assumptions!$B$12/Projects!$D$31*0.95),0)+IF(AND(Projects!$G$32="Yes",29&gt;=Projects!$C$32,29&lt;Projects!$C$32+Projects!$D$32),IF(29=Projects!$C$32+Projects!$D$32-1,Projects!$B$32*Assumptions!$B$12/Projects!$D$32*0.95+0.05*Projects!$B$32*Assumptions!$B$12,Projects!$B$32*Assumptions!$B$12/Projects!$D$32*0.95),0)+IF(AND(Projects!$G$33="Yes",29&gt;=Projects!$C$33,29&lt;Projects!$C$33+Projects!$D$33),IF(29=Projects!$C$33+Projects!$D$33-1,Projects!$B$33*Assumptions!$B$12/Projects!$D$33*0.95+0.05*Projects!$B$33*Assumptions!$B$12,Projects!$B$33*Assumptions!$B$12/Projects!$D$33*0.95),0)+IF(AND(Projects!$G$34="Yes",29&gt;=Projects!$C$34,29&lt;Projects!$C$34+Projects!$D$34),IF(29=Projects!$C$34+Projects!$D$34-1,Projects!$B$34*Assumptions!$B$12/Projects!$D$34*0.95+0.05*Projects!$B$34*Assumptions!$B$12,Projects!$B$34*Assumptions!$B$12/Projects!$D$34*0.95),0)+IF(AND(Projects!$G$35="Yes",29&gt;=Projects!$C$35,29&lt;Projects!$C$35+Projects!$D$35),IF(29=Projects!$C$35+Projects!$D$35-1,Projects!$B$35*Assumptions!$B$12/Projects!$D$35*0.95+0.05*Projects!$B$35*Assumptions!$B$12,Projects!$B$35*Assumptions!$B$12/Projects!$D$35*0.95),0)+IF(AND(Projects!$G$36="Yes",29&gt;=Projects!$C$36,29&lt;Projects!$C$36+Projects!$D$36),IF(29=Projects!$C$36+Projects!$D$36-1,Projects!$B$36*Assumptions!$B$12/Projects!$D$36*0.95+0.05*Projects!$B$36*Assumptions!$B$12,Projects!$B$36*Assumptions!$B$12/Projects!$D$36*0.95),0)+IF(AND(Projects!$G$37="Yes",29&gt;=Projects!$C$37,29&lt;Projects!$C$37+Projects!$D$37),IF(29=Projects!$C$37+Projects!$D$37-1,Projects!$B$37*Assumptions!$B$12/Projects!$D$37*0.95+0.05*Projects!$B$37*Assumptions!$B$12,Projects!$B$37*Assumptions!$B$12/Projects!$D$37*0.95),0)+IF(AND(Projects!$G$38="Yes",29&gt;=Projects!$C$38,29&lt;Projects!$C$38+Projects!$D$38),IF(29=Projects!$C$38+Projects!$D$38-1,Projects!$B$38*Assumptions!$B$12/Projects!$D$38*0.95+0.05*Projects!$B$38*Assumptions!$B$12,Projects!$B$38*Assumptions!$B$12/Projects!$D$38*0.95),0)+IF(AND(Projects!$G$39="Yes",29&gt;=Projects!$C$39,29&lt;Projects!$C$39+Projects!$D$39),IF(29=Projects!$C$39+Projects!$D$39-1,Projects!$B$39*Assumptions!$B$12/Projects!$D$39*0.95+0.05*Projects!$B$39*Assumptions!$B$12,Projects!$B$39*Assumptions!$B$12/Projects!$D$39*0.95),0)+IF(AND(Projects!$G$40="Yes",29&gt;=Projects!$C$40,29&lt;Projects!$C$40+Projects!$D$40),IF(29=Projects!$C$40+Projects!$D$40-1,Projects!$B$40*Assumptions!$B$12/Projects!$D$40*0.95+0.05*Projects!$B$40*Assumptions!$B$12,Projects!$B$40*Assumptions!$B$12/Projects!$D$40*0.95),0)+IF(AND(Projects!$G$41="Yes",29&gt;=Projects!$C$41,29&lt;Projects!$C$41+Projects!$D$41),IF(29=Projects!$C$41+Projects!$D$41-1,Projects!$B$41*Assumptions!$B$12/Projects!$D$41*0.95+0.05*Projects!$B$41*Assumptions!$B$12,Projects!$B$41*Assumptions!$B$12/Projects!$D$41*0.95),0)+IF(AND(Projects!$G$42="Yes",29&gt;=Projects!$C$42,29&lt;Projects!$C$42+Projects!$D$42),IF(29=Projects!$C$42+Projects!$D$42-1,Projects!$B$42*Assumptions!$B$12/Projects!$D$42*0.95+0.05*Projects!$B$42*Assumptions!$B$12,Projects!$B$42*Assumptions!$B$12/Projects!$D$42*0.95),0)+IF(AND(Projects!$G$43="Yes",29&gt;=Projects!$C$43,29&lt;Projects!$C$43+Projects!$D$43),IF(29=Projects!$C$43+Projects!$D$43-1,Projects!$B$43*Assumptions!$B$12/Projects!$D$43*0.95+0.05*Projects!$B$43*Assumptions!$B$12,Projects!$B$43*Assumptions!$B$12/Projects!$D$43*0.95),0)+IF(AND(Projects!$G$44="Yes",29&gt;=Projects!$C$44,29&lt;Projects!$C$44+Projects!$D$44),IF(29=Projects!$C$44+Projects!$D$44-1,Projects!$B$44*Assumptions!$B$12/Projects!$D$44*0.95+0.05*Projects!$B$44*Assumptions!$B$12,Projects!$B$44*Assumptions!$B$12/Projects!$D$44*0.95),0)+IF(AND(Projects!$G$45="Yes",29&gt;=Projects!$C$45,29&lt;Projects!$C$45+Projects!$D$45),IF(29=Projects!$C$45+Projects!$D$45-1,Projects!$B$45*Assumptions!$B$12/Projects!$D$45*0.95+0.05*Projects!$B$45*Assumptions!$B$12,Projects!$B$45*Assumptions!$B$12/Projects!$D$45*0.95),0)+IF(AND(Projects!$G$46="Yes",29&gt;=Projects!$C$46,29&lt;Projects!$C$46+Projects!$D$46),IF(29=Projects!$C$46+Projects!$D$46-1,Projects!$B$46*Assumptions!$B$12/Projects!$D$46*0.95+0.05*Projects!$B$46*Assumptions!$B$12,Projects!$B$46*Assumptions!$B$12/Projects!$D$46*0.95),0)</f>
        <v/>
      </c>
      <c r="AF110">
        <f>IF(AND(Projects!$G$30="Yes",30&gt;=Projects!$C$30,30&lt;Projects!$C$30+Projects!$D$30),IF(30=Projects!$C$30+Projects!$D$30-1,Projects!$B$30*Assumptions!$B$12/Projects!$D$30*0.95+0.05*Projects!$B$30*Assumptions!$B$12,Projects!$B$30*Assumptions!$B$12/Projects!$D$30*0.95),0)+IF(AND(Projects!$G$31="Yes",30&gt;=Projects!$C$31,30&lt;Projects!$C$31+Projects!$D$31),IF(30=Projects!$C$31+Projects!$D$31-1,Projects!$B$31*Assumptions!$B$12/Projects!$D$31*0.95+0.05*Projects!$B$31*Assumptions!$B$12,Projects!$B$31*Assumptions!$B$12/Projects!$D$31*0.95),0)+IF(AND(Projects!$G$32="Yes",30&gt;=Projects!$C$32,30&lt;Projects!$C$32+Projects!$D$32),IF(30=Projects!$C$32+Projects!$D$32-1,Projects!$B$32*Assumptions!$B$12/Projects!$D$32*0.95+0.05*Projects!$B$32*Assumptions!$B$12,Projects!$B$32*Assumptions!$B$12/Projects!$D$32*0.95),0)+IF(AND(Projects!$G$33="Yes",30&gt;=Projects!$C$33,30&lt;Projects!$C$33+Projects!$D$33),IF(30=Projects!$C$33+Projects!$D$33-1,Projects!$B$33*Assumptions!$B$12/Projects!$D$33*0.95+0.05*Projects!$B$33*Assumptions!$B$12,Projects!$B$33*Assumptions!$B$12/Projects!$D$33*0.95),0)+IF(AND(Projects!$G$34="Yes",30&gt;=Projects!$C$34,30&lt;Projects!$C$34+Projects!$D$34),IF(30=Projects!$C$34+Projects!$D$34-1,Projects!$B$34*Assumptions!$B$12/Projects!$D$34*0.95+0.05*Projects!$B$34*Assumptions!$B$12,Projects!$B$34*Assumptions!$B$12/Projects!$D$34*0.95),0)+IF(AND(Projects!$G$35="Yes",30&gt;=Projects!$C$35,30&lt;Projects!$C$35+Projects!$D$35),IF(30=Projects!$C$35+Projects!$D$35-1,Projects!$B$35*Assumptions!$B$12/Projects!$D$35*0.95+0.05*Projects!$B$35*Assumptions!$B$12,Projects!$B$35*Assumptions!$B$12/Projects!$D$35*0.95),0)+IF(AND(Projects!$G$36="Yes",30&gt;=Projects!$C$36,30&lt;Projects!$C$36+Projects!$D$36),IF(30=Projects!$C$36+Projects!$D$36-1,Projects!$B$36*Assumptions!$B$12/Projects!$D$36*0.95+0.05*Projects!$B$36*Assumptions!$B$12,Projects!$B$36*Assumptions!$B$12/Projects!$D$36*0.95),0)+IF(AND(Projects!$G$37="Yes",30&gt;=Projects!$C$37,30&lt;Projects!$C$37+Projects!$D$37),IF(30=Projects!$C$37+Projects!$D$37-1,Projects!$B$37*Assumptions!$B$12/Projects!$D$37*0.95+0.05*Projects!$B$37*Assumptions!$B$12,Projects!$B$37*Assumptions!$B$12/Projects!$D$37*0.95),0)+IF(AND(Projects!$G$38="Yes",30&gt;=Projects!$C$38,30&lt;Projects!$C$38+Projects!$D$38),IF(30=Projects!$C$38+Projects!$D$38-1,Projects!$B$38*Assumptions!$B$12/Projects!$D$38*0.95+0.05*Projects!$B$38*Assumptions!$B$12,Projects!$B$38*Assumptions!$B$12/Projects!$D$38*0.95),0)+IF(AND(Projects!$G$39="Yes",30&gt;=Projects!$C$39,30&lt;Projects!$C$39+Projects!$D$39),IF(30=Projects!$C$39+Projects!$D$39-1,Projects!$B$39*Assumptions!$B$12/Projects!$D$39*0.95+0.05*Projects!$B$39*Assumptions!$B$12,Projects!$B$39*Assumptions!$B$12/Projects!$D$39*0.95),0)+IF(AND(Projects!$G$40="Yes",30&gt;=Projects!$C$40,30&lt;Projects!$C$40+Projects!$D$40),IF(30=Projects!$C$40+Projects!$D$40-1,Projects!$B$40*Assumptions!$B$12/Projects!$D$40*0.95+0.05*Projects!$B$40*Assumptions!$B$12,Projects!$B$40*Assumptions!$B$12/Projects!$D$40*0.95),0)+IF(AND(Projects!$G$41="Yes",30&gt;=Projects!$C$41,30&lt;Projects!$C$41+Projects!$D$41),IF(30=Projects!$C$41+Projects!$D$41-1,Projects!$B$41*Assumptions!$B$12/Projects!$D$41*0.95+0.05*Projects!$B$41*Assumptions!$B$12,Projects!$B$41*Assumptions!$B$12/Projects!$D$41*0.95),0)+IF(AND(Projects!$G$42="Yes",30&gt;=Projects!$C$42,30&lt;Projects!$C$42+Projects!$D$42),IF(30=Projects!$C$42+Projects!$D$42-1,Projects!$B$42*Assumptions!$B$12/Projects!$D$42*0.95+0.05*Projects!$B$42*Assumptions!$B$12,Projects!$B$42*Assumptions!$B$12/Projects!$D$42*0.95),0)+IF(AND(Projects!$G$43="Yes",30&gt;=Projects!$C$43,30&lt;Projects!$C$43+Projects!$D$43),IF(30=Projects!$C$43+Projects!$D$43-1,Projects!$B$43*Assumptions!$B$12/Projects!$D$43*0.95+0.05*Projects!$B$43*Assumptions!$B$12,Projects!$B$43*Assumptions!$B$12/Projects!$D$43*0.95),0)+IF(AND(Projects!$G$44="Yes",30&gt;=Projects!$C$44,30&lt;Projects!$C$44+Projects!$D$44),IF(30=Projects!$C$44+Projects!$D$44-1,Projects!$B$44*Assumptions!$B$12/Projects!$D$44*0.95+0.05*Projects!$B$44*Assumptions!$B$12,Projects!$B$44*Assumptions!$B$12/Projects!$D$44*0.95),0)+IF(AND(Projects!$G$45="Yes",30&gt;=Projects!$C$45,30&lt;Projects!$C$45+Projects!$D$45),IF(30=Projects!$C$45+Projects!$D$45-1,Projects!$B$45*Assumptions!$B$12/Projects!$D$45*0.95+0.05*Projects!$B$45*Assumptions!$B$12,Projects!$B$45*Assumptions!$B$12/Projects!$D$45*0.95),0)+IF(AND(Projects!$G$46="Yes",30&gt;=Projects!$C$46,30&lt;Projects!$C$46+Projects!$D$46),IF(30=Projects!$C$46+Projects!$D$46-1,Projects!$B$46*Assumptions!$B$12/Projects!$D$46*0.95+0.05*Projects!$B$46*Assumptions!$B$12,Projects!$B$46*Assumptions!$B$12/Projects!$D$46*0.95),0)</f>
        <v/>
      </c>
      <c r="AG110">
        <f>IF(AND(Projects!$G$30="Yes",31&gt;=Projects!$C$30,31&lt;Projects!$C$30+Projects!$D$30),IF(31=Projects!$C$30+Projects!$D$30-1,Projects!$B$30*Assumptions!$B$12/Projects!$D$30*0.95+0.05*Projects!$B$30*Assumptions!$B$12,Projects!$B$30*Assumptions!$B$12/Projects!$D$30*0.95),0)+IF(AND(Projects!$G$31="Yes",31&gt;=Projects!$C$31,31&lt;Projects!$C$31+Projects!$D$31),IF(31=Projects!$C$31+Projects!$D$31-1,Projects!$B$31*Assumptions!$B$12/Projects!$D$31*0.95+0.05*Projects!$B$31*Assumptions!$B$12,Projects!$B$31*Assumptions!$B$12/Projects!$D$31*0.95),0)+IF(AND(Projects!$G$32="Yes",31&gt;=Projects!$C$32,31&lt;Projects!$C$32+Projects!$D$32),IF(31=Projects!$C$32+Projects!$D$32-1,Projects!$B$32*Assumptions!$B$12/Projects!$D$32*0.95+0.05*Projects!$B$32*Assumptions!$B$12,Projects!$B$32*Assumptions!$B$12/Projects!$D$32*0.95),0)+IF(AND(Projects!$G$33="Yes",31&gt;=Projects!$C$33,31&lt;Projects!$C$33+Projects!$D$33),IF(31=Projects!$C$33+Projects!$D$33-1,Projects!$B$33*Assumptions!$B$12/Projects!$D$33*0.95+0.05*Projects!$B$33*Assumptions!$B$12,Projects!$B$33*Assumptions!$B$12/Projects!$D$33*0.95),0)+IF(AND(Projects!$G$34="Yes",31&gt;=Projects!$C$34,31&lt;Projects!$C$34+Projects!$D$34),IF(31=Projects!$C$34+Projects!$D$34-1,Projects!$B$34*Assumptions!$B$12/Projects!$D$34*0.95+0.05*Projects!$B$34*Assumptions!$B$12,Projects!$B$34*Assumptions!$B$12/Projects!$D$34*0.95),0)+IF(AND(Projects!$G$35="Yes",31&gt;=Projects!$C$35,31&lt;Projects!$C$35+Projects!$D$35),IF(31=Projects!$C$35+Projects!$D$35-1,Projects!$B$35*Assumptions!$B$12/Projects!$D$35*0.95+0.05*Projects!$B$35*Assumptions!$B$12,Projects!$B$35*Assumptions!$B$12/Projects!$D$35*0.95),0)+IF(AND(Projects!$G$36="Yes",31&gt;=Projects!$C$36,31&lt;Projects!$C$36+Projects!$D$36),IF(31=Projects!$C$36+Projects!$D$36-1,Projects!$B$36*Assumptions!$B$12/Projects!$D$36*0.95+0.05*Projects!$B$36*Assumptions!$B$12,Projects!$B$36*Assumptions!$B$12/Projects!$D$36*0.95),0)+IF(AND(Projects!$G$37="Yes",31&gt;=Projects!$C$37,31&lt;Projects!$C$37+Projects!$D$37),IF(31=Projects!$C$37+Projects!$D$37-1,Projects!$B$37*Assumptions!$B$12/Projects!$D$37*0.95+0.05*Projects!$B$37*Assumptions!$B$12,Projects!$B$37*Assumptions!$B$12/Projects!$D$37*0.95),0)+IF(AND(Projects!$G$38="Yes",31&gt;=Projects!$C$38,31&lt;Projects!$C$38+Projects!$D$38),IF(31=Projects!$C$38+Projects!$D$38-1,Projects!$B$38*Assumptions!$B$12/Projects!$D$38*0.95+0.05*Projects!$B$38*Assumptions!$B$12,Projects!$B$38*Assumptions!$B$12/Projects!$D$38*0.95),0)+IF(AND(Projects!$G$39="Yes",31&gt;=Projects!$C$39,31&lt;Projects!$C$39+Projects!$D$39),IF(31=Projects!$C$39+Projects!$D$39-1,Projects!$B$39*Assumptions!$B$12/Projects!$D$39*0.95+0.05*Projects!$B$39*Assumptions!$B$12,Projects!$B$39*Assumptions!$B$12/Projects!$D$39*0.95),0)+IF(AND(Projects!$G$40="Yes",31&gt;=Projects!$C$40,31&lt;Projects!$C$40+Projects!$D$40),IF(31=Projects!$C$40+Projects!$D$40-1,Projects!$B$40*Assumptions!$B$12/Projects!$D$40*0.95+0.05*Projects!$B$40*Assumptions!$B$12,Projects!$B$40*Assumptions!$B$12/Projects!$D$40*0.95),0)+IF(AND(Projects!$G$41="Yes",31&gt;=Projects!$C$41,31&lt;Projects!$C$41+Projects!$D$41),IF(31=Projects!$C$41+Projects!$D$41-1,Projects!$B$41*Assumptions!$B$12/Projects!$D$41*0.95+0.05*Projects!$B$41*Assumptions!$B$12,Projects!$B$41*Assumptions!$B$12/Projects!$D$41*0.95),0)+IF(AND(Projects!$G$42="Yes",31&gt;=Projects!$C$42,31&lt;Projects!$C$42+Projects!$D$42),IF(31=Projects!$C$42+Projects!$D$42-1,Projects!$B$42*Assumptions!$B$12/Projects!$D$42*0.95+0.05*Projects!$B$42*Assumptions!$B$12,Projects!$B$42*Assumptions!$B$12/Projects!$D$42*0.95),0)+IF(AND(Projects!$G$43="Yes",31&gt;=Projects!$C$43,31&lt;Projects!$C$43+Projects!$D$43),IF(31=Projects!$C$43+Projects!$D$43-1,Projects!$B$43*Assumptions!$B$12/Projects!$D$43*0.95+0.05*Projects!$B$43*Assumptions!$B$12,Projects!$B$43*Assumptions!$B$12/Projects!$D$43*0.95),0)+IF(AND(Projects!$G$44="Yes",31&gt;=Projects!$C$44,31&lt;Projects!$C$44+Projects!$D$44),IF(31=Projects!$C$44+Projects!$D$44-1,Projects!$B$44*Assumptions!$B$12/Projects!$D$44*0.95+0.05*Projects!$B$44*Assumptions!$B$12,Projects!$B$44*Assumptions!$B$12/Projects!$D$44*0.95),0)+IF(AND(Projects!$G$45="Yes",31&gt;=Projects!$C$45,31&lt;Projects!$C$45+Projects!$D$45),IF(31=Projects!$C$45+Projects!$D$45-1,Projects!$B$45*Assumptions!$B$12/Projects!$D$45*0.95+0.05*Projects!$B$45*Assumptions!$B$12,Projects!$B$45*Assumptions!$B$12/Projects!$D$45*0.95),0)+IF(AND(Projects!$G$46="Yes",31&gt;=Projects!$C$46,31&lt;Projects!$C$46+Projects!$D$46),IF(31=Projects!$C$46+Projects!$D$46-1,Projects!$B$46*Assumptions!$B$12/Projects!$D$46*0.95+0.05*Projects!$B$46*Assumptions!$B$12,Projects!$B$46*Assumptions!$B$12/Projects!$D$46*0.95),0)</f>
        <v/>
      </c>
      <c r="AH110">
        <f>IF(AND(Projects!$G$30="Yes",32&gt;=Projects!$C$30,32&lt;Projects!$C$30+Projects!$D$30),IF(32=Projects!$C$30+Projects!$D$30-1,Projects!$B$30*Assumptions!$B$12/Projects!$D$30*0.95+0.05*Projects!$B$30*Assumptions!$B$12,Projects!$B$30*Assumptions!$B$12/Projects!$D$30*0.95),0)+IF(AND(Projects!$G$31="Yes",32&gt;=Projects!$C$31,32&lt;Projects!$C$31+Projects!$D$31),IF(32=Projects!$C$31+Projects!$D$31-1,Projects!$B$31*Assumptions!$B$12/Projects!$D$31*0.95+0.05*Projects!$B$31*Assumptions!$B$12,Projects!$B$31*Assumptions!$B$12/Projects!$D$31*0.95),0)+IF(AND(Projects!$G$32="Yes",32&gt;=Projects!$C$32,32&lt;Projects!$C$32+Projects!$D$32),IF(32=Projects!$C$32+Projects!$D$32-1,Projects!$B$32*Assumptions!$B$12/Projects!$D$32*0.95+0.05*Projects!$B$32*Assumptions!$B$12,Projects!$B$32*Assumptions!$B$12/Projects!$D$32*0.95),0)+IF(AND(Projects!$G$33="Yes",32&gt;=Projects!$C$33,32&lt;Projects!$C$33+Projects!$D$33),IF(32=Projects!$C$33+Projects!$D$33-1,Projects!$B$33*Assumptions!$B$12/Projects!$D$33*0.95+0.05*Projects!$B$33*Assumptions!$B$12,Projects!$B$33*Assumptions!$B$12/Projects!$D$33*0.95),0)+IF(AND(Projects!$G$34="Yes",32&gt;=Projects!$C$34,32&lt;Projects!$C$34+Projects!$D$34),IF(32=Projects!$C$34+Projects!$D$34-1,Projects!$B$34*Assumptions!$B$12/Projects!$D$34*0.95+0.05*Projects!$B$34*Assumptions!$B$12,Projects!$B$34*Assumptions!$B$12/Projects!$D$34*0.95),0)+IF(AND(Projects!$G$35="Yes",32&gt;=Projects!$C$35,32&lt;Projects!$C$35+Projects!$D$35),IF(32=Projects!$C$35+Projects!$D$35-1,Projects!$B$35*Assumptions!$B$12/Projects!$D$35*0.95+0.05*Projects!$B$35*Assumptions!$B$12,Projects!$B$35*Assumptions!$B$12/Projects!$D$35*0.95),0)+IF(AND(Projects!$G$36="Yes",32&gt;=Projects!$C$36,32&lt;Projects!$C$36+Projects!$D$36),IF(32=Projects!$C$36+Projects!$D$36-1,Projects!$B$36*Assumptions!$B$12/Projects!$D$36*0.95+0.05*Projects!$B$36*Assumptions!$B$12,Projects!$B$36*Assumptions!$B$12/Projects!$D$36*0.95),0)+IF(AND(Projects!$G$37="Yes",32&gt;=Projects!$C$37,32&lt;Projects!$C$37+Projects!$D$37),IF(32=Projects!$C$37+Projects!$D$37-1,Projects!$B$37*Assumptions!$B$12/Projects!$D$37*0.95+0.05*Projects!$B$37*Assumptions!$B$12,Projects!$B$37*Assumptions!$B$12/Projects!$D$37*0.95),0)+IF(AND(Projects!$G$38="Yes",32&gt;=Projects!$C$38,32&lt;Projects!$C$38+Projects!$D$38),IF(32=Projects!$C$38+Projects!$D$38-1,Projects!$B$38*Assumptions!$B$12/Projects!$D$38*0.95+0.05*Projects!$B$38*Assumptions!$B$12,Projects!$B$38*Assumptions!$B$12/Projects!$D$38*0.95),0)+IF(AND(Projects!$G$39="Yes",32&gt;=Projects!$C$39,32&lt;Projects!$C$39+Projects!$D$39),IF(32=Projects!$C$39+Projects!$D$39-1,Projects!$B$39*Assumptions!$B$12/Projects!$D$39*0.95+0.05*Projects!$B$39*Assumptions!$B$12,Projects!$B$39*Assumptions!$B$12/Projects!$D$39*0.95),0)+IF(AND(Projects!$G$40="Yes",32&gt;=Projects!$C$40,32&lt;Projects!$C$40+Projects!$D$40),IF(32=Projects!$C$40+Projects!$D$40-1,Projects!$B$40*Assumptions!$B$12/Projects!$D$40*0.95+0.05*Projects!$B$40*Assumptions!$B$12,Projects!$B$40*Assumptions!$B$12/Projects!$D$40*0.95),0)+IF(AND(Projects!$G$41="Yes",32&gt;=Projects!$C$41,32&lt;Projects!$C$41+Projects!$D$41),IF(32=Projects!$C$41+Projects!$D$41-1,Projects!$B$41*Assumptions!$B$12/Projects!$D$41*0.95+0.05*Projects!$B$41*Assumptions!$B$12,Projects!$B$41*Assumptions!$B$12/Projects!$D$41*0.95),0)+IF(AND(Projects!$G$42="Yes",32&gt;=Projects!$C$42,32&lt;Projects!$C$42+Projects!$D$42),IF(32=Projects!$C$42+Projects!$D$42-1,Projects!$B$42*Assumptions!$B$12/Projects!$D$42*0.95+0.05*Projects!$B$42*Assumptions!$B$12,Projects!$B$42*Assumptions!$B$12/Projects!$D$42*0.95),0)+IF(AND(Projects!$G$43="Yes",32&gt;=Projects!$C$43,32&lt;Projects!$C$43+Projects!$D$43),IF(32=Projects!$C$43+Projects!$D$43-1,Projects!$B$43*Assumptions!$B$12/Projects!$D$43*0.95+0.05*Projects!$B$43*Assumptions!$B$12,Projects!$B$43*Assumptions!$B$12/Projects!$D$43*0.95),0)+IF(AND(Projects!$G$44="Yes",32&gt;=Projects!$C$44,32&lt;Projects!$C$44+Projects!$D$44),IF(32=Projects!$C$44+Projects!$D$44-1,Projects!$B$44*Assumptions!$B$12/Projects!$D$44*0.95+0.05*Projects!$B$44*Assumptions!$B$12,Projects!$B$44*Assumptions!$B$12/Projects!$D$44*0.95),0)+IF(AND(Projects!$G$45="Yes",32&gt;=Projects!$C$45,32&lt;Projects!$C$45+Projects!$D$45),IF(32=Projects!$C$45+Projects!$D$45-1,Projects!$B$45*Assumptions!$B$12/Projects!$D$45*0.95+0.05*Projects!$B$45*Assumptions!$B$12,Projects!$B$45*Assumptions!$B$12/Projects!$D$45*0.95),0)+IF(AND(Projects!$G$46="Yes",32&gt;=Projects!$C$46,32&lt;Projects!$C$46+Projects!$D$46),IF(32=Projects!$C$46+Projects!$D$46-1,Projects!$B$46*Assumptions!$B$12/Projects!$D$46*0.95+0.05*Projects!$B$46*Assumptions!$B$12,Projects!$B$46*Assumptions!$B$12/Projects!$D$46*0.95),0)</f>
        <v/>
      </c>
      <c r="AI110">
        <f>IF(AND(Projects!$G$30="Yes",33&gt;=Projects!$C$30,33&lt;Projects!$C$30+Projects!$D$30),IF(33=Projects!$C$30+Projects!$D$30-1,Projects!$B$30*Assumptions!$B$12/Projects!$D$30*0.95+0.05*Projects!$B$30*Assumptions!$B$12,Projects!$B$30*Assumptions!$B$12/Projects!$D$30*0.95),0)+IF(AND(Projects!$G$31="Yes",33&gt;=Projects!$C$31,33&lt;Projects!$C$31+Projects!$D$31),IF(33=Projects!$C$31+Projects!$D$31-1,Projects!$B$31*Assumptions!$B$12/Projects!$D$31*0.95+0.05*Projects!$B$31*Assumptions!$B$12,Projects!$B$31*Assumptions!$B$12/Projects!$D$31*0.95),0)+IF(AND(Projects!$G$32="Yes",33&gt;=Projects!$C$32,33&lt;Projects!$C$32+Projects!$D$32),IF(33=Projects!$C$32+Projects!$D$32-1,Projects!$B$32*Assumptions!$B$12/Projects!$D$32*0.95+0.05*Projects!$B$32*Assumptions!$B$12,Projects!$B$32*Assumptions!$B$12/Projects!$D$32*0.95),0)+IF(AND(Projects!$G$33="Yes",33&gt;=Projects!$C$33,33&lt;Projects!$C$33+Projects!$D$33),IF(33=Projects!$C$33+Projects!$D$33-1,Projects!$B$33*Assumptions!$B$12/Projects!$D$33*0.95+0.05*Projects!$B$33*Assumptions!$B$12,Projects!$B$33*Assumptions!$B$12/Projects!$D$33*0.95),0)+IF(AND(Projects!$G$34="Yes",33&gt;=Projects!$C$34,33&lt;Projects!$C$34+Projects!$D$34),IF(33=Projects!$C$34+Projects!$D$34-1,Projects!$B$34*Assumptions!$B$12/Projects!$D$34*0.95+0.05*Projects!$B$34*Assumptions!$B$12,Projects!$B$34*Assumptions!$B$12/Projects!$D$34*0.95),0)+IF(AND(Projects!$G$35="Yes",33&gt;=Projects!$C$35,33&lt;Projects!$C$35+Projects!$D$35),IF(33=Projects!$C$35+Projects!$D$35-1,Projects!$B$35*Assumptions!$B$12/Projects!$D$35*0.95+0.05*Projects!$B$35*Assumptions!$B$12,Projects!$B$35*Assumptions!$B$12/Projects!$D$35*0.95),0)+IF(AND(Projects!$G$36="Yes",33&gt;=Projects!$C$36,33&lt;Projects!$C$36+Projects!$D$36),IF(33=Projects!$C$36+Projects!$D$36-1,Projects!$B$36*Assumptions!$B$12/Projects!$D$36*0.95+0.05*Projects!$B$36*Assumptions!$B$12,Projects!$B$36*Assumptions!$B$12/Projects!$D$36*0.95),0)+IF(AND(Projects!$G$37="Yes",33&gt;=Projects!$C$37,33&lt;Projects!$C$37+Projects!$D$37),IF(33=Projects!$C$37+Projects!$D$37-1,Projects!$B$37*Assumptions!$B$12/Projects!$D$37*0.95+0.05*Projects!$B$37*Assumptions!$B$12,Projects!$B$37*Assumptions!$B$12/Projects!$D$37*0.95),0)+IF(AND(Projects!$G$38="Yes",33&gt;=Projects!$C$38,33&lt;Projects!$C$38+Projects!$D$38),IF(33=Projects!$C$38+Projects!$D$38-1,Projects!$B$38*Assumptions!$B$12/Projects!$D$38*0.95+0.05*Projects!$B$38*Assumptions!$B$12,Projects!$B$38*Assumptions!$B$12/Projects!$D$38*0.95),0)+IF(AND(Projects!$G$39="Yes",33&gt;=Projects!$C$39,33&lt;Projects!$C$39+Projects!$D$39),IF(33=Projects!$C$39+Projects!$D$39-1,Projects!$B$39*Assumptions!$B$12/Projects!$D$39*0.95+0.05*Projects!$B$39*Assumptions!$B$12,Projects!$B$39*Assumptions!$B$12/Projects!$D$39*0.95),0)+IF(AND(Projects!$G$40="Yes",33&gt;=Projects!$C$40,33&lt;Projects!$C$40+Projects!$D$40),IF(33=Projects!$C$40+Projects!$D$40-1,Projects!$B$40*Assumptions!$B$12/Projects!$D$40*0.95+0.05*Projects!$B$40*Assumptions!$B$12,Projects!$B$40*Assumptions!$B$12/Projects!$D$40*0.95),0)+IF(AND(Projects!$G$41="Yes",33&gt;=Projects!$C$41,33&lt;Projects!$C$41+Projects!$D$41),IF(33=Projects!$C$41+Projects!$D$41-1,Projects!$B$41*Assumptions!$B$12/Projects!$D$41*0.95+0.05*Projects!$B$41*Assumptions!$B$12,Projects!$B$41*Assumptions!$B$12/Projects!$D$41*0.95),0)+IF(AND(Projects!$G$42="Yes",33&gt;=Projects!$C$42,33&lt;Projects!$C$42+Projects!$D$42),IF(33=Projects!$C$42+Projects!$D$42-1,Projects!$B$42*Assumptions!$B$12/Projects!$D$42*0.95+0.05*Projects!$B$42*Assumptions!$B$12,Projects!$B$42*Assumptions!$B$12/Projects!$D$42*0.95),0)+IF(AND(Projects!$G$43="Yes",33&gt;=Projects!$C$43,33&lt;Projects!$C$43+Projects!$D$43),IF(33=Projects!$C$43+Projects!$D$43-1,Projects!$B$43*Assumptions!$B$12/Projects!$D$43*0.95+0.05*Projects!$B$43*Assumptions!$B$12,Projects!$B$43*Assumptions!$B$12/Projects!$D$43*0.95),0)+IF(AND(Projects!$G$44="Yes",33&gt;=Projects!$C$44,33&lt;Projects!$C$44+Projects!$D$44),IF(33=Projects!$C$44+Projects!$D$44-1,Projects!$B$44*Assumptions!$B$12/Projects!$D$44*0.95+0.05*Projects!$B$44*Assumptions!$B$12,Projects!$B$44*Assumptions!$B$12/Projects!$D$44*0.95),0)+IF(AND(Projects!$G$45="Yes",33&gt;=Projects!$C$45,33&lt;Projects!$C$45+Projects!$D$45),IF(33=Projects!$C$45+Projects!$D$45-1,Projects!$B$45*Assumptions!$B$12/Projects!$D$45*0.95+0.05*Projects!$B$45*Assumptions!$B$12,Projects!$B$45*Assumptions!$B$12/Projects!$D$45*0.95),0)+IF(AND(Projects!$G$46="Yes",33&gt;=Projects!$C$46,33&lt;Projects!$C$46+Projects!$D$46),IF(33=Projects!$C$46+Projects!$D$46-1,Projects!$B$46*Assumptions!$B$12/Projects!$D$46*0.95+0.05*Projects!$B$46*Assumptions!$B$12,Projects!$B$46*Assumptions!$B$12/Projects!$D$46*0.95),0)</f>
        <v/>
      </c>
      <c r="AJ110">
        <f>IF(AND(Projects!$G$30="Yes",34&gt;=Projects!$C$30,34&lt;Projects!$C$30+Projects!$D$30),IF(34=Projects!$C$30+Projects!$D$30-1,Projects!$B$30*Assumptions!$B$12/Projects!$D$30*0.95+0.05*Projects!$B$30*Assumptions!$B$12,Projects!$B$30*Assumptions!$B$12/Projects!$D$30*0.95),0)+IF(AND(Projects!$G$31="Yes",34&gt;=Projects!$C$31,34&lt;Projects!$C$31+Projects!$D$31),IF(34=Projects!$C$31+Projects!$D$31-1,Projects!$B$31*Assumptions!$B$12/Projects!$D$31*0.95+0.05*Projects!$B$31*Assumptions!$B$12,Projects!$B$31*Assumptions!$B$12/Projects!$D$31*0.95),0)+IF(AND(Projects!$G$32="Yes",34&gt;=Projects!$C$32,34&lt;Projects!$C$32+Projects!$D$32),IF(34=Projects!$C$32+Projects!$D$32-1,Projects!$B$32*Assumptions!$B$12/Projects!$D$32*0.95+0.05*Projects!$B$32*Assumptions!$B$12,Projects!$B$32*Assumptions!$B$12/Projects!$D$32*0.95),0)+IF(AND(Projects!$G$33="Yes",34&gt;=Projects!$C$33,34&lt;Projects!$C$33+Projects!$D$33),IF(34=Projects!$C$33+Projects!$D$33-1,Projects!$B$33*Assumptions!$B$12/Projects!$D$33*0.95+0.05*Projects!$B$33*Assumptions!$B$12,Projects!$B$33*Assumptions!$B$12/Projects!$D$33*0.95),0)+IF(AND(Projects!$G$34="Yes",34&gt;=Projects!$C$34,34&lt;Projects!$C$34+Projects!$D$34),IF(34=Projects!$C$34+Projects!$D$34-1,Projects!$B$34*Assumptions!$B$12/Projects!$D$34*0.95+0.05*Projects!$B$34*Assumptions!$B$12,Projects!$B$34*Assumptions!$B$12/Projects!$D$34*0.95),0)+IF(AND(Projects!$G$35="Yes",34&gt;=Projects!$C$35,34&lt;Projects!$C$35+Projects!$D$35),IF(34=Projects!$C$35+Projects!$D$35-1,Projects!$B$35*Assumptions!$B$12/Projects!$D$35*0.95+0.05*Projects!$B$35*Assumptions!$B$12,Projects!$B$35*Assumptions!$B$12/Projects!$D$35*0.95),0)+IF(AND(Projects!$G$36="Yes",34&gt;=Projects!$C$36,34&lt;Projects!$C$36+Projects!$D$36),IF(34=Projects!$C$36+Projects!$D$36-1,Projects!$B$36*Assumptions!$B$12/Projects!$D$36*0.95+0.05*Projects!$B$36*Assumptions!$B$12,Projects!$B$36*Assumptions!$B$12/Projects!$D$36*0.95),0)+IF(AND(Projects!$G$37="Yes",34&gt;=Projects!$C$37,34&lt;Projects!$C$37+Projects!$D$37),IF(34=Projects!$C$37+Projects!$D$37-1,Projects!$B$37*Assumptions!$B$12/Projects!$D$37*0.95+0.05*Projects!$B$37*Assumptions!$B$12,Projects!$B$37*Assumptions!$B$12/Projects!$D$37*0.95),0)+IF(AND(Projects!$G$38="Yes",34&gt;=Projects!$C$38,34&lt;Projects!$C$38+Projects!$D$38),IF(34=Projects!$C$38+Projects!$D$38-1,Projects!$B$38*Assumptions!$B$12/Projects!$D$38*0.95+0.05*Projects!$B$38*Assumptions!$B$12,Projects!$B$38*Assumptions!$B$12/Projects!$D$38*0.95),0)+IF(AND(Projects!$G$39="Yes",34&gt;=Projects!$C$39,34&lt;Projects!$C$39+Projects!$D$39),IF(34=Projects!$C$39+Projects!$D$39-1,Projects!$B$39*Assumptions!$B$12/Projects!$D$39*0.95+0.05*Projects!$B$39*Assumptions!$B$12,Projects!$B$39*Assumptions!$B$12/Projects!$D$39*0.95),0)+IF(AND(Projects!$G$40="Yes",34&gt;=Projects!$C$40,34&lt;Projects!$C$40+Projects!$D$40),IF(34=Projects!$C$40+Projects!$D$40-1,Projects!$B$40*Assumptions!$B$12/Projects!$D$40*0.95+0.05*Projects!$B$40*Assumptions!$B$12,Projects!$B$40*Assumptions!$B$12/Projects!$D$40*0.95),0)+IF(AND(Projects!$G$41="Yes",34&gt;=Projects!$C$41,34&lt;Projects!$C$41+Projects!$D$41),IF(34=Projects!$C$41+Projects!$D$41-1,Projects!$B$41*Assumptions!$B$12/Projects!$D$41*0.95+0.05*Projects!$B$41*Assumptions!$B$12,Projects!$B$41*Assumptions!$B$12/Projects!$D$41*0.95),0)+IF(AND(Projects!$G$42="Yes",34&gt;=Projects!$C$42,34&lt;Projects!$C$42+Projects!$D$42),IF(34=Projects!$C$42+Projects!$D$42-1,Projects!$B$42*Assumptions!$B$12/Projects!$D$42*0.95+0.05*Projects!$B$42*Assumptions!$B$12,Projects!$B$42*Assumptions!$B$12/Projects!$D$42*0.95),0)+IF(AND(Projects!$G$43="Yes",34&gt;=Projects!$C$43,34&lt;Projects!$C$43+Projects!$D$43),IF(34=Projects!$C$43+Projects!$D$43-1,Projects!$B$43*Assumptions!$B$12/Projects!$D$43*0.95+0.05*Projects!$B$43*Assumptions!$B$12,Projects!$B$43*Assumptions!$B$12/Projects!$D$43*0.95),0)+IF(AND(Projects!$G$44="Yes",34&gt;=Projects!$C$44,34&lt;Projects!$C$44+Projects!$D$44),IF(34=Projects!$C$44+Projects!$D$44-1,Projects!$B$44*Assumptions!$B$12/Projects!$D$44*0.95+0.05*Projects!$B$44*Assumptions!$B$12,Projects!$B$44*Assumptions!$B$12/Projects!$D$44*0.95),0)+IF(AND(Projects!$G$45="Yes",34&gt;=Projects!$C$45,34&lt;Projects!$C$45+Projects!$D$45),IF(34=Projects!$C$45+Projects!$D$45-1,Projects!$B$45*Assumptions!$B$12/Projects!$D$45*0.95+0.05*Projects!$B$45*Assumptions!$B$12,Projects!$B$45*Assumptions!$B$12/Projects!$D$45*0.95),0)+IF(AND(Projects!$G$46="Yes",34&gt;=Projects!$C$46,34&lt;Projects!$C$46+Projects!$D$46),IF(34=Projects!$C$46+Projects!$D$46-1,Projects!$B$46*Assumptions!$B$12/Projects!$D$46*0.95+0.05*Projects!$B$46*Assumptions!$B$12,Projects!$B$46*Assumptions!$B$12/Projects!$D$46*0.95),0)</f>
        <v/>
      </c>
      <c r="AK110">
        <f>IF(AND(Projects!$G$30="Yes",35&gt;=Projects!$C$30,35&lt;Projects!$C$30+Projects!$D$30),IF(35=Projects!$C$30+Projects!$D$30-1,Projects!$B$30*Assumptions!$B$12/Projects!$D$30*0.95+0.05*Projects!$B$30*Assumptions!$B$12,Projects!$B$30*Assumptions!$B$12/Projects!$D$30*0.95),0)+IF(AND(Projects!$G$31="Yes",35&gt;=Projects!$C$31,35&lt;Projects!$C$31+Projects!$D$31),IF(35=Projects!$C$31+Projects!$D$31-1,Projects!$B$31*Assumptions!$B$12/Projects!$D$31*0.95+0.05*Projects!$B$31*Assumptions!$B$12,Projects!$B$31*Assumptions!$B$12/Projects!$D$31*0.95),0)+IF(AND(Projects!$G$32="Yes",35&gt;=Projects!$C$32,35&lt;Projects!$C$32+Projects!$D$32),IF(35=Projects!$C$32+Projects!$D$32-1,Projects!$B$32*Assumptions!$B$12/Projects!$D$32*0.95+0.05*Projects!$B$32*Assumptions!$B$12,Projects!$B$32*Assumptions!$B$12/Projects!$D$32*0.95),0)+IF(AND(Projects!$G$33="Yes",35&gt;=Projects!$C$33,35&lt;Projects!$C$33+Projects!$D$33),IF(35=Projects!$C$33+Projects!$D$33-1,Projects!$B$33*Assumptions!$B$12/Projects!$D$33*0.95+0.05*Projects!$B$33*Assumptions!$B$12,Projects!$B$33*Assumptions!$B$12/Projects!$D$33*0.95),0)+IF(AND(Projects!$G$34="Yes",35&gt;=Projects!$C$34,35&lt;Projects!$C$34+Projects!$D$34),IF(35=Projects!$C$34+Projects!$D$34-1,Projects!$B$34*Assumptions!$B$12/Projects!$D$34*0.95+0.05*Projects!$B$34*Assumptions!$B$12,Projects!$B$34*Assumptions!$B$12/Projects!$D$34*0.95),0)+IF(AND(Projects!$G$35="Yes",35&gt;=Projects!$C$35,35&lt;Projects!$C$35+Projects!$D$35),IF(35=Projects!$C$35+Projects!$D$35-1,Projects!$B$35*Assumptions!$B$12/Projects!$D$35*0.95+0.05*Projects!$B$35*Assumptions!$B$12,Projects!$B$35*Assumptions!$B$12/Projects!$D$35*0.95),0)+IF(AND(Projects!$G$36="Yes",35&gt;=Projects!$C$36,35&lt;Projects!$C$36+Projects!$D$36),IF(35=Projects!$C$36+Projects!$D$36-1,Projects!$B$36*Assumptions!$B$12/Projects!$D$36*0.95+0.05*Projects!$B$36*Assumptions!$B$12,Projects!$B$36*Assumptions!$B$12/Projects!$D$36*0.95),0)+IF(AND(Projects!$G$37="Yes",35&gt;=Projects!$C$37,35&lt;Projects!$C$37+Projects!$D$37),IF(35=Projects!$C$37+Projects!$D$37-1,Projects!$B$37*Assumptions!$B$12/Projects!$D$37*0.95+0.05*Projects!$B$37*Assumptions!$B$12,Projects!$B$37*Assumptions!$B$12/Projects!$D$37*0.95),0)+IF(AND(Projects!$G$38="Yes",35&gt;=Projects!$C$38,35&lt;Projects!$C$38+Projects!$D$38),IF(35=Projects!$C$38+Projects!$D$38-1,Projects!$B$38*Assumptions!$B$12/Projects!$D$38*0.95+0.05*Projects!$B$38*Assumptions!$B$12,Projects!$B$38*Assumptions!$B$12/Projects!$D$38*0.95),0)+IF(AND(Projects!$G$39="Yes",35&gt;=Projects!$C$39,35&lt;Projects!$C$39+Projects!$D$39),IF(35=Projects!$C$39+Projects!$D$39-1,Projects!$B$39*Assumptions!$B$12/Projects!$D$39*0.95+0.05*Projects!$B$39*Assumptions!$B$12,Projects!$B$39*Assumptions!$B$12/Projects!$D$39*0.95),0)+IF(AND(Projects!$G$40="Yes",35&gt;=Projects!$C$40,35&lt;Projects!$C$40+Projects!$D$40),IF(35=Projects!$C$40+Projects!$D$40-1,Projects!$B$40*Assumptions!$B$12/Projects!$D$40*0.95+0.05*Projects!$B$40*Assumptions!$B$12,Projects!$B$40*Assumptions!$B$12/Projects!$D$40*0.95),0)+IF(AND(Projects!$G$41="Yes",35&gt;=Projects!$C$41,35&lt;Projects!$C$41+Projects!$D$41),IF(35=Projects!$C$41+Projects!$D$41-1,Projects!$B$41*Assumptions!$B$12/Projects!$D$41*0.95+0.05*Projects!$B$41*Assumptions!$B$12,Projects!$B$41*Assumptions!$B$12/Projects!$D$41*0.95),0)+IF(AND(Projects!$G$42="Yes",35&gt;=Projects!$C$42,35&lt;Projects!$C$42+Projects!$D$42),IF(35=Projects!$C$42+Projects!$D$42-1,Projects!$B$42*Assumptions!$B$12/Projects!$D$42*0.95+0.05*Projects!$B$42*Assumptions!$B$12,Projects!$B$42*Assumptions!$B$12/Projects!$D$42*0.95),0)+IF(AND(Projects!$G$43="Yes",35&gt;=Projects!$C$43,35&lt;Projects!$C$43+Projects!$D$43),IF(35=Projects!$C$43+Projects!$D$43-1,Projects!$B$43*Assumptions!$B$12/Projects!$D$43*0.95+0.05*Projects!$B$43*Assumptions!$B$12,Projects!$B$43*Assumptions!$B$12/Projects!$D$43*0.95),0)+IF(AND(Projects!$G$44="Yes",35&gt;=Projects!$C$44,35&lt;Projects!$C$44+Projects!$D$44),IF(35=Projects!$C$44+Projects!$D$44-1,Projects!$B$44*Assumptions!$B$12/Projects!$D$44*0.95+0.05*Projects!$B$44*Assumptions!$B$12,Projects!$B$44*Assumptions!$B$12/Projects!$D$44*0.95),0)+IF(AND(Projects!$G$45="Yes",35&gt;=Projects!$C$45,35&lt;Projects!$C$45+Projects!$D$45),IF(35=Projects!$C$45+Projects!$D$45-1,Projects!$B$45*Assumptions!$B$12/Projects!$D$45*0.95+0.05*Projects!$B$45*Assumptions!$B$12,Projects!$B$45*Assumptions!$B$12/Projects!$D$45*0.95),0)+IF(AND(Projects!$G$46="Yes",35&gt;=Projects!$C$46,35&lt;Projects!$C$46+Projects!$D$46),IF(35=Projects!$C$46+Projects!$D$46-1,Projects!$B$46*Assumptions!$B$12/Projects!$D$46*0.95+0.05*Projects!$B$46*Assumptions!$B$12,Projects!$B$46*Assumptions!$B$12/Projects!$D$46*0.95),0)</f>
        <v/>
      </c>
      <c r="AL110">
        <f>IF(AND(Projects!$G$30="Yes",36&gt;=Projects!$C$30,36&lt;Projects!$C$30+Projects!$D$30),IF(36=Projects!$C$30+Projects!$D$30-1,Projects!$B$30*Assumptions!$B$12/Projects!$D$30*0.95+0.05*Projects!$B$30*Assumptions!$B$12,Projects!$B$30*Assumptions!$B$12/Projects!$D$30*0.95),0)+IF(AND(Projects!$G$31="Yes",36&gt;=Projects!$C$31,36&lt;Projects!$C$31+Projects!$D$31),IF(36=Projects!$C$31+Projects!$D$31-1,Projects!$B$31*Assumptions!$B$12/Projects!$D$31*0.95+0.05*Projects!$B$31*Assumptions!$B$12,Projects!$B$31*Assumptions!$B$12/Projects!$D$31*0.95),0)+IF(AND(Projects!$G$32="Yes",36&gt;=Projects!$C$32,36&lt;Projects!$C$32+Projects!$D$32),IF(36=Projects!$C$32+Projects!$D$32-1,Projects!$B$32*Assumptions!$B$12/Projects!$D$32*0.95+0.05*Projects!$B$32*Assumptions!$B$12,Projects!$B$32*Assumptions!$B$12/Projects!$D$32*0.95),0)+IF(AND(Projects!$G$33="Yes",36&gt;=Projects!$C$33,36&lt;Projects!$C$33+Projects!$D$33),IF(36=Projects!$C$33+Projects!$D$33-1,Projects!$B$33*Assumptions!$B$12/Projects!$D$33*0.95+0.05*Projects!$B$33*Assumptions!$B$12,Projects!$B$33*Assumptions!$B$12/Projects!$D$33*0.95),0)+IF(AND(Projects!$G$34="Yes",36&gt;=Projects!$C$34,36&lt;Projects!$C$34+Projects!$D$34),IF(36=Projects!$C$34+Projects!$D$34-1,Projects!$B$34*Assumptions!$B$12/Projects!$D$34*0.95+0.05*Projects!$B$34*Assumptions!$B$12,Projects!$B$34*Assumptions!$B$12/Projects!$D$34*0.95),0)+IF(AND(Projects!$G$35="Yes",36&gt;=Projects!$C$35,36&lt;Projects!$C$35+Projects!$D$35),IF(36=Projects!$C$35+Projects!$D$35-1,Projects!$B$35*Assumptions!$B$12/Projects!$D$35*0.95+0.05*Projects!$B$35*Assumptions!$B$12,Projects!$B$35*Assumptions!$B$12/Projects!$D$35*0.95),0)+IF(AND(Projects!$G$36="Yes",36&gt;=Projects!$C$36,36&lt;Projects!$C$36+Projects!$D$36),IF(36=Projects!$C$36+Projects!$D$36-1,Projects!$B$36*Assumptions!$B$12/Projects!$D$36*0.95+0.05*Projects!$B$36*Assumptions!$B$12,Projects!$B$36*Assumptions!$B$12/Projects!$D$36*0.95),0)+IF(AND(Projects!$G$37="Yes",36&gt;=Projects!$C$37,36&lt;Projects!$C$37+Projects!$D$37),IF(36=Projects!$C$37+Projects!$D$37-1,Projects!$B$37*Assumptions!$B$12/Projects!$D$37*0.95+0.05*Projects!$B$37*Assumptions!$B$12,Projects!$B$37*Assumptions!$B$12/Projects!$D$37*0.95),0)+IF(AND(Projects!$G$38="Yes",36&gt;=Projects!$C$38,36&lt;Projects!$C$38+Projects!$D$38),IF(36=Projects!$C$38+Projects!$D$38-1,Projects!$B$38*Assumptions!$B$12/Projects!$D$38*0.95+0.05*Projects!$B$38*Assumptions!$B$12,Projects!$B$38*Assumptions!$B$12/Projects!$D$38*0.95),0)+IF(AND(Projects!$G$39="Yes",36&gt;=Projects!$C$39,36&lt;Projects!$C$39+Projects!$D$39),IF(36=Projects!$C$39+Projects!$D$39-1,Projects!$B$39*Assumptions!$B$12/Projects!$D$39*0.95+0.05*Projects!$B$39*Assumptions!$B$12,Projects!$B$39*Assumptions!$B$12/Projects!$D$39*0.95),0)+IF(AND(Projects!$G$40="Yes",36&gt;=Projects!$C$40,36&lt;Projects!$C$40+Projects!$D$40),IF(36=Projects!$C$40+Projects!$D$40-1,Projects!$B$40*Assumptions!$B$12/Projects!$D$40*0.95+0.05*Projects!$B$40*Assumptions!$B$12,Projects!$B$40*Assumptions!$B$12/Projects!$D$40*0.95),0)+IF(AND(Projects!$G$41="Yes",36&gt;=Projects!$C$41,36&lt;Projects!$C$41+Projects!$D$41),IF(36=Projects!$C$41+Projects!$D$41-1,Projects!$B$41*Assumptions!$B$12/Projects!$D$41*0.95+0.05*Projects!$B$41*Assumptions!$B$12,Projects!$B$41*Assumptions!$B$12/Projects!$D$41*0.95),0)+IF(AND(Projects!$G$42="Yes",36&gt;=Projects!$C$42,36&lt;Projects!$C$42+Projects!$D$42),IF(36=Projects!$C$42+Projects!$D$42-1,Projects!$B$42*Assumptions!$B$12/Projects!$D$42*0.95+0.05*Projects!$B$42*Assumptions!$B$12,Projects!$B$42*Assumptions!$B$12/Projects!$D$42*0.95),0)+IF(AND(Projects!$G$43="Yes",36&gt;=Projects!$C$43,36&lt;Projects!$C$43+Projects!$D$43),IF(36=Projects!$C$43+Projects!$D$43-1,Projects!$B$43*Assumptions!$B$12/Projects!$D$43*0.95+0.05*Projects!$B$43*Assumptions!$B$12,Projects!$B$43*Assumptions!$B$12/Projects!$D$43*0.95),0)+IF(AND(Projects!$G$44="Yes",36&gt;=Projects!$C$44,36&lt;Projects!$C$44+Projects!$D$44),IF(36=Projects!$C$44+Projects!$D$44-1,Projects!$B$44*Assumptions!$B$12/Projects!$D$44*0.95+0.05*Projects!$B$44*Assumptions!$B$12,Projects!$B$44*Assumptions!$B$12/Projects!$D$44*0.95),0)+IF(AND(Projects!$G$45="Yes",36&gt;=Projects!$C$45,36&lt;Projects!$C$45+Projects!$D$45),IF(36=Projects!$C$45+Projects!$D$45-1,Projects!$B$45*Assumptions!$B$12/Projects!$D$45*0.95+0.05*Projects!$B$45*Assumptions!$B$12,Projects!$B$45*Assumptions!$B$12/Projects!$D$45*0.95),0)+IF(AND(Projects!$G$46="Yes",36&gt;=Projects!$C$46,36&lt;Projects!$C$46+Projects!$D$46),IF(36=Projects!$C$46+Projects!$D$46-1,Projects!$B$46*Assumptions!$B$12/Projects!$D$46*0.95+0.05*Projects!$B$46*Assumptions!$B$12,Projects!$B$46*Assumptions!$B$12/Projects!$D$46*0.95),0)</f>
        <v/>
      </c>
      <c r="AM110">
        <f>IF(AND(Projects!$G$30="Yes",37&gt;=Projects!$C$30,37&lt;Projects!$C$30+Projects!$D$30),IF(37=Projects!$C$30+Projects!$D$30-1,Projects!$B$30*Assumptions!$B$12/Projects!$D$30*0.95+0.05*Projects!$B$30*Assumptions!$B$12,Projects!$B$30*Assumptions!$B$12/Projects!$D$30*0.95),0)+IF(AND(Projects!$G$31="Yes",37&gt;=Projects!$C$31,37&lt;Projects!$C$31+Projects!$D$31),IF(37=Projects!$C$31+Projects!$D$31-1,Projects!$B$31*Assumptions!$B$12/Projects!$D$31*0.95+0.05*Projects!$B$31*Assumptions!$B$12,Projects!$B$31*Assumptions!$B$12/Projects!$D$31*0.95),0)+IF(AND(Projects!$G$32="Yes",37&gt;=Projects!$C$32,37&lt;Projects!$C$32+Projects!$D$32),IF(37=Projects!$C$32+Projects!$D$32-1,Projects!$B$32*Assumptions!$B$12/Projects!$D$32*0.95+0.05*Projects!$B$32*Assumptions!$B$12,Projects!$B$32*Assumptions!$B$12/Projects!$D$32*0.95),0)+IF(AND(Projects!$G$33="Yes",37&gt;=Projects!$C$33,37&lt;Projects!$C$33+Projects!$D$33),IF(37=Projects!$C$33+Projects!$D$33-1,Projects!$B$33*Assumptions!$B$12/Projects!$D$33*0.95+0.05*Projects!$B$33*Assumptions!$B$12,Projects!$B$33*Assumptions!$B$12/Projects!$D$33*0.95),0)+IF(AND(Projects!$G$34="Yes",37&gt;=Projects!$C$34,37&lt;Projects!$C$34+Projects!$D$34),IF(37=Projects!$C$34+Projects!$D$34-1,Projects!$B$34*Assumptions!$B$12/Projects!$D$34*0.95+0.05*Projects!$B$34*Assumptions!$B$12,Projects!$B$34*Assumptions!$B$12/Projects!$D$34*0.95),0)+IF(AND(Projects!$G$35="Yes",37&gt;=Projects!$C$35,37&lt;Projects!$C$35+Projects!$D$35),IF(37=Projects!$C$35+Projects!$D$35-1,Projects!$B$35*Assumptions!$B$12/Projects!$D$35*0.95+0.05*Projects!$B$35*Assumptions!$B$12,Projects!$B$35*Assumptions!$B$12/Projects!$D$35*0.95),0)+IF(AND(Projects!$G$36="Yes",37&gt;=Projects!$C$36,37&lt;Projects!$C$36+Projects!$D$36),IF(37=Projects!$C$36+Projects!$D$36-1,Projects!$B$36*Assumptions!$B$12/Projects!$D$36*0.95+0.05*Projects!$B$36*Assumptions!$B$12,Projects!$B$36*Assumptions!$B$12/Projects!$D$36*0.95),0)+IF(AND(Projects!$G$37="Yes",37&gt;=Projects!$C$37,37&lt;Projects!$C$37+Projects!$D$37),IF(37=Projects!$C$37+Projects!$D$37-1,Projects!$B$37*Assumptions!$B$12/Projects!$D$37*0.95+0.05*Projects!$B$37*Assumptions!$B$12,Projects!$B$37*Assumptions!$B$12/Projects!$D$37*0.95),0)+IF(AND(Projects!$G$38="Yes",37&gt;=Projects!$C$38,37&lt;Projects!$C$38+Projects!$D$38),IF(37=Projects!$C$38+Projects!$D$38-1,Projects!$B$38*Assumptions!$B$12/Projects!$D$38*0.95+0.05*Projects!$B$38*Assumptions!$B$12,Projects!$B$38*Assumptions!$B$12/Projects!$D$38*0.95),0)+IF(AND(Projects!$G$39="Yes",37&gt;=Projects!$C$39,37&lt;Projects!$C$39+Projects!$D$39),IF(37=Projects!$C$39+Projects!$D$39-1,Projects!$B$39*Assumptions!$B$12/Projects!$D$39*0.95+0.05*Projects!$B$39*Assumptions!$B$12,Projects!$B$39*Assumptions!$B$12/Projects!$D$39*0.95),0)+IF(AND(Projects!$G$40="Yes",37&gt;=Projects!$C$40,37&lt;Projects!$C$40+Projects!$D$40),IF(37=Projects!$C$40+Projects!$D$40-1,Projects!$B$40*Assumptions!$B$12/Projects!$D$40*0.95+0.05*Projects!$B$40*Assumptions!$B$12,Projects!$B$40*Assumptions!$B$12/Projects!$D$40*0.95),0)+IF(AND(Projects!$G$41="Yes",37&gt;=Projects!$C$41,37&lt;Projects!$C$41+Projects!$D$41),IF(37=Projects!$C$41+Projects!$D$41-1,Projects!$B$41*Assumptions!$B$12/Projects!$D$41*0.95+0.05*Projects!$B$41*Assumptions!$B$12,Projects!$B$41*Assumptions!$B$12/Projects!$D$41*0.95),0)+IF(AND(Projects!$G$42="Yes",37&gt;=Projects!$C$42,37&lt;Projects!$C$42+Projects!$D$42),IF(37=Projects!$C$42+Projects!$D$42-1,Projects!$B$42*Assumptions!$B$12/Projects!$D$42*0.95+0.05*Projects!$B$42*Assumptions!$B$12,Projects!$B$42*Assumptions!$B$12/Projects!$D$42*0.95),0)+IF(AND(Projects!$G$43="Yes",37&gt;=Projects!$C$43,37&lt;Projects!$C$43+Projects!$D$43),IF(37=Projects!$C$43+Projects!$D$43-1,Projects!$B$43*Assumptions!$B$12/Projects!$D$43*0.95+0.05*Projects!$B$43*Assumptions!$B$12,Projects!$B$43*Assumptions!$B$12/Projects!$D$43*0.95),0)+IF(AND(Projects!$G$44="Yes",37&gt;=Projects!$C$44,37&lt;Projects!$C$44+Projects!$D$44),IF(37=Projects!$C$44+Projects!$D$44-1,Projects!$B$44*Assumptions!$B$12/Projects!$D$44*0.95+0.05*Projects!$B$44*Assumptions!$B$12,Projects!$B$44*Assumptions!$B$12/Projects!$D$44*0.95),0)+IF(AND(Projects!$G$45="Yes",37&gt;=Projects!$C$45,37&lt;Projects!$C$45+Projects!$D$45),IF(37=Projects!$C$45+Projects!$D$45-1,Projects!$B$45*Assumptions!$B$12/Projects!$D$45*0.95+0.05*Projects!$B$45*Assumptions!$B$12,Projects!$B$45*Assumptions!$B$12/Projects!$D$45*0.95),0)+IF(AND(Projects!$G$46="Yes",37&gt;=Projects!$C$46,37&lt;Projects!$C$46+Projects!$D$46),IF(37=Projects!$C$46+Projects!$D$46-1,Projects!$B$46*Assumptions!$B$12/Projects!$D$46*0.95+0.05*Projects!$B$46*Assumptions!$B$12,Projects!$B$46*Assumptions!$B$12/Projects!$D$46*0.95),0)</f>
        <v/>
      </c>
      <c r="AN110">
        <f>IF(AND(Projects!$G$30="Yes",38&gt;=Projects!$C$30,38&lt;Projects!$C$30+Projects!$D$30),IF(38=Projects!$C$30+Projects!$D$30-1,Projects!$B$30*Assumptions!$B$12/Projects!$D$30*0.95+0.05*Projects!$B$30*Assumptions!$B$12,Projects!$B$30*Assumptions!$B$12/Projects!$D$30*0.95),0)+IF(AND(Projects!$G$31="Yes",38&gt;=Projects!$C$31,38&lt;Projects!$C$31+Projects!$D$31),IF(38=Projects!$C$31+Projects!$D$31-1,Projects!$B$31*Assumptions!$B$12/Projects!$D$31*0.95+0.05*Projects!$B$31*Assumptions!$B$12,Projects!$B$31*Assumptions!$B$12/Projects!$D$31*0.95),0)+IF(AND(Projects!$G$32="Yes",38&gt;=Projects!$C$32,38&lt;Projects!$C$32+Projects!$D$32),IF(38=Projects!$C$32+Projects!$D$32-1,Projects!$B$32*Assumptions!$B$12/Projects!$D$32*0.95+0.05*Projects!$B$32*Assumptions!$B$12,Projects!$B$32*Assumptions!$B$12/Projects!$D$32*0.95),0)+IF(AND(Projects!$G$33="Yes",38&gt;=Projects!$C$33,38&lt;Projects!$C$33+Projects!$D$33),IF(38=Projects!$C$33+Projects!$D$33-1,Projects!$B$33*Assumptions!$B$12/Projects!$D$33*0.95+0.05*Projects!$B$33*Assumptions!$B$12,Projects!$B$33*Assumptions!$B$12/Projects!$D$33*0.95),0)+IF(AND(Projects!$G$34="Yes",38&gt;=Projects!$C$34,38&lt;Projects!$C$34+Projects!$D$34),IF(38=Projects!$C$34+Projects!$D$34-1,Projects!$B$34*Assumptions!$B$12/Projects!$D$34*0.95+0.05*Projects!$B$34*Assumptions!$B$12,Projects!$B$34*Assumptions!$B$12/Projects!$D$34*0.95),0)+IF(AND(Projects!$G$35="Yes",38&gt;=Projects!$C$35,38&lt;Projects!$C$35+Projects!$D$35),IF(38=Projects!$C$35+Projects!$D$35-1,Projects!$B$35*Assumptions!$B$12/Projects!$D$35*0.95+0.05*Projects!$B$35*Assumptions!$B$12,Projects!$B$35*Assumptions!$B$12/Projects!$D$35*0.95),0)+IF(AND(Projects!$G$36="Yes",38&gt;=Projects!$C$36,38&lt;Projects!$C$36+Projects!$D$36),IF(38=Projects!$C$36+Projects!$D$36-1,Projects!$B$36*Assumptions!$B$12/Projects!$D$36*0.95+0.05*Projects!$B$36*Assumptions!$B$12,Projects!$B$36*Assumptions!$B$12/Projects!$D$36*0.95),0)+IF(AND(Projects!$G$37="Yes",38&gt;=Projects!$C$37,38&lt;Projects!$C$37+Projects!$D$37),IF(38=Projects!$C$37+Projects!$D$37-1,Projects!$B$37*Assumptions!$B$12/Projects!$D$37*0.95+0.05*Projects!$B$37*Assumptions!$B$12,Projects!$B$37*Assumptions!$B$12/Projects!$D$37*0.95),0)+IF(AND(Projects!$G$38="Yes",38&gt;=Projects!$C$38,38&lt;Projects!$C$38+Projects!$D$38),IF(38=Projects!$C$38+Projects!$D$38-1,Projects!$B$38*Assumptions!$B$12/Projects!$D$38*0.95+0.05*Projects!$B$38*Assumptions!$B$12,Projects!$B$38*Assumptions!$B$12/Projects!$D$38*0.95),0)+IF(AND(Projects!$G$39="Yes",38&gt;=Projects!$C$39,38&lt;Projects!$C$39+Projects!$D$39),IF(38=Projects!$C$39+Projects!$D$39-1,Projects!$B$39*Assumptions!$B$12/Projects!$D$39*0.95+0.05*Projects!$B$39*Assumptions!$B$12,Projects!$B$39*Assumptions!$B$12/Projects!$D$39*0.95),0)+IF(AND(Projects!$G$40="Yes",38&gt;=Projects!$C$40,38&lt;Projects!$C$40+Projects!$D$40),IF(38=Projects!$C$40+Projects!$D$40-1,Projects!$B$40*Assumptions!$B$12/Projects!$D$40*0.95+0.05*Projects!$B$40*Assumptions!$B$12,Projects!$B$40*Assumptions!$B$12/Projects!$D$40*0.95),0)+IF(AND(Projects!$G$41="Yes",38&gt;=Projects!$C$41,38&lt;Projects!$C$41+Projects!$D$41),IF(38=Projects!$C$41+Projects!$D$41-1,Projects!$B$41*Assumptions!$B$12/Projects!$D$41*0.95+0.05*Projects!$B$41*Assumptions!$B$12,Projects!$B$41*Assumptions!$B$12/Projects!$D$41*0.95),0)+IF(AND(Projects!$G$42="Yes",38&gt;=Projects!$C$42,38&lt;Projects!$C$42+Projects!$D$42),IF(38=Projects!$C$42+Projects!$D$42-1,Projects!$B$42*Assumptions!$B$12/Projects!$D$42*0.95+0.05*Projects!$B$42*Assumptions!$B$12,Projects!$B$42*Assumptions!$B$12/Projects!$D$42*0.95),0)+IF(AND(Projects!$G$43="Yes",38&gt;=Projects!$C$43,38&lt;Projects!$C$43+Projects!$D$43),IF(38=Projects!$C$43+Projects!$D$43-1,Projects!$B$43*Assumptions!$B$12/Projects!$D$43*0.95+0.05*Projects!$B$43*Assumptions!$B$12,Projects!$B$43*Assumptions!$B$12/Projects!$D$43*0.95),0)+IF(AND(Projects!$G$44="Yes",38&gt;=Projects!$C$44,38&lt;Projects!$C$44+Projects!$D$44),IF(38=Projects!$C$44+Projects!$D$44-1,Projects!$B$44*Assumptions!$B$12/Projects!$D$44*0.95+0.05*Projects!$B$44*Assumptions!$B$12,Projects!$B$44*Assumptions!$B$12/Projects!$D$44*0.95),0)+IF(AND(Projects!$G$45="Yes",38&gt;=Projects!$C$45,38&lt;Projects!$C$45+Projects!$D$45),IF(38=Projects!$C$45+Projects!$D$45-1,Projects!$B$45*Assumptions!$B$12/Projects!$D$45*0.95+0.05*Projects!$B$45*Assumptions!$B$12,Projects!$B$45*Assumptions!$B$12/Projects!$D$45*0.95),0)+IF(AND(Projects!$G$46="Yes",38&gt;=Projects!$C$46,38&lt;Projects!$C$46+Projects!$D$46),IF(38=Projects!$C$46+Projects!$D$46-1,Projects!$B$46*Assumptions!$B$12/Projects!$D$46*0.95+0.05*Projects!$B$46*Assumptions!$B$12,Projects!$B$46*Assumptions!$B$12/Projects!$D$46*0.95),0)</f>
        <v/>
      </c>
      <c r="AO110">
        <f>IF(AND(Projects!$G$30="Yes",39&gt;=Projects!$C$30,39&lt;Projects!$C$30+Projects!$D$30),IF(39=Projects!$C$30+Projects!$D$30-1,Projects!$B$30*Assumptions!$B$12/Projects!$D$30*0.95+0.05*Projects!$B$30*Assumptions!$B$12,Projects!$B$30*Assumptions!$B$12/Projects!$D$30*0.95),0)+IF(AND(Projects!$G$31="Yes",39&gt;=Projects!$C$31,39&lt;Projects!$C$31+Projects!$D$31),IF(39=Projects!$C$31+Projects!$D$31-1,Projects!$B$31*Assumptions!$B$12/Projects!$D$31*0.95+0.05*Projects!$B$31*Assumptions!$B$12,Projects!$B$31*Assumptions!$B$12/Projects!$D$31*0.95),0)+IF(AND(Projects!$G$32="Yes",39&gt;=Projects!$C$32,39&lt;Projects!$C$32+Projects!$D$32),IF(39=Projects!$C$32+Projects!$D$32-1,Projects!$B$32*Assumptions!$B$12/Projects!$D$32*0.95+0.05*Projects!$B$32*Assumptions!$B$12,Projects!$B$32*Assumptions!$B$12/Projects!$D$32*0.95),0)+IF(AND(Projects!$G$33="Yes",39&gt;=Projects!$C$33,39&lt;Projects!$C$33+Projects!$D$33),IF(39=Projects!$C$33+Projects!$D$33-1,Projects!$B$33*Assumptions!$B$12/Projects!$D$33*0.95+0.05*Projects!$B$33*Assumptions!$B$12,Projects!$B$33*Assumptions!$B$12/Projects!$D$33*0.95),0)+IF(AND(Projects!$G$34="Yes",39&gt;=Projects!$C$34,39&lt;Projects!$C$34+Projects!$D$34),IF(39=Projects!$C$34+Projects!$D$34-1,Projects!$B$34*Assumptions!$B$12/Projects!$D$34*0.95+0.05*Projects!$B$34*Assumptions!$B$12,Projects!$B$34*Assumptions!$B$12/Projects!$D$34*0.95),0)+IF(AND(Projects!$G$35="Yes",39&gt;=Projects!$C$35,39&lt;Projects!$C$35+Projects!$D$35),IF(39=Projects!$C$35+Projects!$D$35-1,Projects!$B$35*Assumptions!$B$12/Projects!$D$35*0.95+0.05*Projects!$B$35*Assumptions!$B$12,Projects!$B$35*Assumptions!$B$12/Projects!$D$35*0.95),0)+IF(AND(Projects!$G$36="Yes",39&gt;=Projects!$C$36,39&lt;Projects!$C$36+Projects!$D$36),IF(39=Projects!$C$36+Projects!$D$36-1,Projects!$B$36*Assumptions!$B$12/Projects!$D$36*0.95+0.05*Projects!$B$36*Assumptions!$B$12,Projects!$B$36*Assumptions!$B$12/Projects!$D$36*0.95),0)+IF(AND(Projects!$G$37="Yes",39&gt;=Projects!$C$37,39&lt;Projects!$C$37+Projects!$D$37),IF(39=Projects!$C$37+Projects!$D$37-1,Projects!$B$37*Assumptions!$B$12/Projects!$D$37*0.95+0.05*Projects!$B$37*Assumptions!$B$12,Projects!$B$37*Assumptions!$B$12/Projects!$D$37*0.95),0)+IF(AND(Projects!$G$38="Yes",39&gt;=Projects!$C$38,39&lt;Projects!$C$38+Projects!$D$38),IF(39=Projects!$C$38+Projects!$D$38-1,Projects!$B$38*Assumptions!$B$12/Projects!$D$38*0.95+0.05*Projects!$B$38*Assumptions!$B$12,Projects!$B$38*Assumptions!$B$12/Projects!$D$38*0.95),0)+IF(AND(Projects!$G$39="Yes",39&gt;=Projects!$C$39,39&lt;Projects!$C$39+Projects!$D$39),IF(39=Projects!$C$39+Projects!$D$39-1,Projects!$B$39*Assumptions!$B$12/Projects!$D$39*0.95+0.05*Projects!$B$39*Assumptions!$B$12,Projects!$B$39*Assumptions!$B$12/Projects!$D$39*0.95),0)+IF(AND(Projects!$G$40="Yes",39&gt;=Projects!$C$40,39&lt;Projects!$C$40+Projects!$D$40),IF(39=Projects!$C$40+Projects!$D$40-1,Projects!$B$40*Assumptions!$B$12/Projects!$D$40*0.95+0.05*Projects!$B$40*Assumptions!$B$12,Projects!$B$40*Assumptions!$B$12/Projects!$D$40*0.95),0)+IF(AND(Projects!$G$41="Yes",39&gt;=Projects!$C$41,39&lt;Projects!$C$41+Projects!$D$41),IF(39=Projects!$C$41+Projects!$D$41-1,Projects!$B$41*Assumptions!$B$12/Projects!$D$41*0.95+0.05*Projects!$B$41*Assumptions!$B$12,Projects!$B$41*Assumptions!$B$12/Projects!$D$41*0.95),0)+IF(AND(Projects!$G$42="Yes",39&gt;=Projects!$C$42,39&lt;Projects!$C$42+Projects!$D$42),IF(39=Projects!$C$42+Projects!$D$42-1,Projects!$B$42*Assumptions!$B$12/Projects!$D$42*0.95+0.05*Projects!$B$42*Assumptions!$B$12,Projects!$B$42*Assumptions!$B$12/Projects!$D$42*0.95),0)+IF(AND(Projects!$G$43="Yes",39&gt;=Projects!$C$43,39&lt;Projects!$C$43+Projects!$D$43),IF(39=Projects!$C$43+Projects!$D$43-1,Projects!$B$43*Assumptions!$B$12/Projects!$D$43*0.95+0.05*Projects!$B$43*Assumptions!$B$12,Projects!$B$43*Assumptions!$B$12/Projects!$D$43*0.95),0)+IF(AND(Projects!$G$44="Yes",39&gt;=Projects!$C$44,39&lt;Projects!$C$44+Projects!$D$44),IF(39=Projects!$C$44+Projects!$D$44-1,Projects!$B$44*Assumptions!$B$12/Projects!$D$44*0.95+0.05*Projects!$B$44*Assumptions!$B$12,Projects!$B$44*Assumptions!$B$12/Projects!$D$44*0.95),0)+IF(AND(Projects!$G$45="Yes",39&gt;=Projects!$C$45,39&lt;Projects!$C$45+Projects!$D$45),IF(39=Projects!$C$45+Projects!$D$45-1,Projects!$B$45*Assumptions!$B$12/Projects!$D$45*0.95+0.05*Projects!$B$45*Assumptions!$B$12,Projects!$B$45*Assumptions!$B$12/Projects!$D$45*0.95),0)+IF(AND(Projects!$G$46="Yes",39&gt;=Projects!$C$46,39&lt;Projects!$C$46+Projects!$D$46),IF(39=Projects!$C$46+Projects!$D$46-1,Projects!$B$46*Assumptions!$B$12/Projects!$D$46*0.95+0.05*Projects!$B$46*Assumptions!$B$12,Projects!$B$46*Assumptions!$B$12/Projects!$D$46*0.95),0)</f>
        <v/>
      </c>
      <c r="AP110">
        <f>IF(AND(Projects!$G$30="Yes",40&gt;=Projects!$C$30,40&lt;Projects!$C$30+Projects!$D$30),IF(40=Projects!$C$30+Projects!$D$30-1,Projects!$B$30*Assumptions!$B$12/Projects!$D$30*0.95+0.05*Projects!$B$30*Assumptions!$B$12,Projects!$B$30*Assumptions!$B$12/Projects!$D$30*0.95),0)+IF(AND(Projects!$G$31="Yes",40&gt;=Projects!$C$31,40&lt;Projects!$C$31+Projects!$D$31),IF(40=Projects!$C$31+Projects!$D$31-1,Projects!$B$31*Assumptions!$B$12/Projects!$D$31*0.95+0.05*Projects!$B$31*Assumptions!$B$12,Projects!$B$31*Assumptions!$B$12/Projects!$D$31*0.95),0)+IF(AND(Projects!$G$32="Yes",40&gt;=Projects!$C$32,40&lt;Projects!$C$32+Projects!$D$32),IF(40=Projects!$C$32+Projects!$D$32-1,Projects!$B$32*Assumptions!$B$12/Projects!$D$32*0.95+0.05*Projects!$B$32*Assumptions!$B$12,Projects!$B$32*Assumptions!$B$12/Projects!$D$32*0.95),0)+IF(AND(Projects!$G$33="Yes",40&gt;=Projects!$C$33,40&lt;Projects!$C$33+Projects!$D$33),IF(40=Projects!$C$33+Projects!$D$33-1,Projects!$B$33*Assumptions!$B$12/Projects!$D$33*0.95+0.05*Projects!$B$33*Assumptions!$B$12,Projects!$B$33*Assumptions!$B$12/Projects!$D$33*0.95),0)+IF(AND(Projects!$G$34="Yes",40&gt;=Projects!$C$34,40&lt;Projects!$C$34+Projects!$D$34),IF(40=Projects!$C$34+Projects!$D$34-1,Projects!$B$34*Assumptions!$B$12/Projects!$D$34*0.95+0.05*Projects!$B$34*Assumptions!$B$12,Projects!$B$34*Assumptions!$B$12/Projects!$D$34*0.95),0)+IF(AND(Projects!$G$35="Yes",40&gt;=Projects!$C$35,40&lt;Projects!$C$35+Projects!$D$35),IF(40=Projects!$C$35+Projects!$D$35-1,Projects!$B$35*Assumptions!$B$12/Projects!$D$35*0.95+0.05*Projects!$B$35*Assumptions!$B$12,Projects!$B$35*Assumptions!$B$12/Projects!$D$35*0.95),0)+IF(AND(Projects!$G$36="Yes",40&gt;=Projects!$C$36,40&lt;Projects!$C$36+Projects!$D$36),IF(40=Projects!$C$36+Projects!$D$36-1,Projects!$B$36*Assumptions!$B$12/Projects!$D$36*0.95+0.05*Projects!$B$36*Assumptions!$B$12,Projects!$B$36*Assumptions!$B$12/Projects!$D$36*0.95),0)+IF(AND(Projects!$G$37="Yes",40&gt;=Projects!$C$37,40&lt;Projects!$C$37+Projects!$D$37),IF(40=Projects!$C$37+Projects!$D$37-1,Projects!$B$37*Assumptions!$B$12/Projects!$D$37*0.95+0.05*Projects!$B$37*Assumptions!$B$12,Projects!$B$37*Assumptions!$B$12/Projects!$D$37*0.95),0)+IF(AND(Projects!$G$38="Yes",40&gt;=Projects!$C$38,40&lt;Projects!$C$38+Projects!$D$38),IF(40=Projects!$C$38+Projects!$D$38-1,Projects!$B$38*Assumptions!$B$12/Projects!$D$38*0.95+0.05*Projects!$B$38*Assumptions!$B$12,Projects!$B$38*Assumptions!$B$12/Projects!$D$38*0.95),0)+IF(AND(Projects!$G$39="Yes",40&gt;=Projects!$C$39,40&lt;Projects!$C$39+Projects!$D$39),IF(40=Projects!$C$39+Projects!$D$39-1,Projects!$B$39*Assumptions!$B$12/Projects!$D$39*0.95+0.05*Projects!$B$39*Assumptions!$B$12,Projects!$B$39*Assumptions!$B$12/Projects!$D$39*0.95),0)+IF(AND(Projects!$G$40="Yes",40&gt;=Projects!$C$40,40&lt;Projects!$C$40+Projects!$D$40),IF(40=Projects!$C$40+Projects!$D$40-1,Projects!$B$40*Assumptions!$B$12/Projects!$D$40*0.95+0.05*Projects!$B$40*Assumptions!$B$12,Projects!$B$40*Assumptions!$B$12/Projects!$D$40*0.95),0)+IF(AND(Projects!$G$41="Yes",40&gt;=Projects!$C$41,40&lt;Projects!$C$41+Projects!$D$41),IF(40=Projects!$C$41+Projects!$D$41-1,Projects!$B$41*Assumptions!$B$12/Projects!$D$41*0.95+0.05*Projects!$B$41*Assumptions!$B$12,Projects!$B$41*Assumptions!$B$12/Projects!$D$41*0.95),0)+IF(AND(Projects!$G$42="Yes",40&gt;=Projects!$C$42,40&lt;Projects!$C$42+Projects!$D$42),IF(40=Projects!$C$42+Projects!$D$42-1,Projects!$B$42*Assumptions!$B$12/Projects!$D$42*0.95+0.05*Projects!$B$42*Assumptions!$B$12,Projects!$B$42*Assumptions!$B$12/Projects!$D$42*0.95),0)+IF(AND(Projects!$G$43="Yes",40&gt;=Projects!$C$43,40&lt;Projects!$C$43+Projects!$D$43),IF(40=Projects!$C$43+Projects!$D$43-1,Projects!$B$43*Assumptions!$B$12/Projects!$D$43*0.95+0.05*Projects!$B$43*Assumptions!$B$12,Projects!$B$43*Assumptions!$B$12/Projects!$D$43*0.95),0)+IF(AND(Projects!$G$44="Yes",40&gt;=Projects!$C$44,40&lt;Projects!$C$44+Projects!$D$44),IF(40=Projects!$C$44+Projects!$D$44-1,Projects!$B$44*Assumptions!$B$12/Projects!$D$44*0.95+0.05*Projects!$B$44*Assumptions!$B$12,Projects!$B$44*Assumptions!$B$12/Projects!$D$44*0.95),0)+IF(AND(Projects!$G$45="Yes",40&gt;=Projects!$C$45,40&lt;Projects!$C$45+Projects!$D$45),IF(40=Projects!$C$45+Projects!$D$45-1,Projects!$B$45*Assumptions!$B$12/Projects!$D$45*0.95+0.05*Projects!$B$45*Assumptions!$B$12,Projects!$B$45*Assumptions!$B$12/Projects!$D$45*0.95),0)+IF(AND(Projects!$G$46="Yes",40&gt;=Projects!$C$46,40&lt;Projects!$C$46+Projects!$D$46),IF(40=Projects!$C$46+Projects!$D$46-1,Projects!$B$46*Assumptions!$B$12/Projects!$D$46*0.95+0.05*Projects!$B$46*Assumptions!$B$12,Projects!$B$46*Assumptions!$B$12/Projects!$D$46*0.95),0)</f>
        <v/>
      </c>
      <c r="AQ110">
        <f>IF(AND(Projects!$G$30="Yes",41&gt;=Projects!$C$30,41&lt;Projects!$C$30+Projects!$D$30),IF(41=Projects!$C$30+Projects!$D$30-1,Projects!$B$30*Assumptions!$B$12/Projects!$D$30*0.95+0.05*Projects!$B$30*Assumptions!$B$12,Projects!$B$30*Assumptions!$B$12/Projects!$D$30*0.95),0)+IF(AND(Projects!$G$31="Yes",41&gt;=Projects!$C$31,41&lt;Projects!$C$31+Projects!$D$31),IF(41=Projects!$C$31+Projects!$D$31-1,Projects!$B$31*Assumptions!$B$12/Projects!$D$31*0.95+0.05*Projects!$B$31*Assumptions!$B$12,Projects!$B$31*Assumptions!$B$12/Projects!$D$31*0.95),0)+IF(AND(Projects!$G$32="Yes",41&gt;=Projects!$C$32,41&lt;Projects!$C$32+Projects!$D$32),IF(41=Projects!$C$32+Projects!$D$32-1,Projects!$B$32*Assumptions!$B$12/Projects!$D$32*0.95+0.05*Projects!$B$32*Assumptions!$B$12,Projects!$B$32*Assumptions!$B$12/Projects!$D$32*0.95),0)+IF(AND(Projects!$G$33="Yes",41&gt;=Projects!$C$33,41&lt;Projects!$C$33+Projects!$D$33),IF(41=Projects!$C$33+Projects!$D$33-1,Projects!$B$33*Assumptions!$B$12/Projects!$D$33*0.95+0.05*Projects!$B$33*Assumptions!$B$12,Projects!$B$33*Assumptions!$B$12/Projects!$D$33*0.95),0)+IF(AND(Projects!$G$34="Yes",41&gt;=Projects!$C$34,41&lt;Projects!$C$34+Projects!$D$34),IF(41=Projects!$C$34+Projects!$D$34-1,Projects!$B$34*Assumptions!$B$12/Projects!$D$34*0.95+0.05*Projects!$B$34*Assumptions!$B$12,Projects!$B$34*Assumptions!$B$12/Projects!$D$34*0.95),0)+IF(AND(Projects!$G$35="Yes",41&gt;=Projects!$C$35,41&lt;Projects!$C$35+Projects!$D$35),IF(41=Projects!$C$35+Projects!$D$35-1,Projects!$B$35*Assumptions!$B$12/Projects!$D$35*0.95+0.05*Projects!$B$35*Assumptions!$B$12,Projects!$B$35*Assumptions!$B$12/Projects!$D$35*0.95),0)+IF(AND(Projects!$G$36="Yes",41&gt;=Projects!$C$36,41&lt;Projects!$C$36+Projects!$D$36),IF(41=Projects!$C$36+Projects!$D$36-1,Projects!$B$36*Assumptions!$B$12/Projects!$D$36*0.95+0.05*Projects!$B$36*Assumptions!$B$12,Projects!$B$36*Assumptions!$B$12/Projects!$D$36*0.95),0)+IF(AND(Projects!$G$37="Yes",41&gt;=Projects!$C$37,41&lt;Projects!$C$37+Projects!$D$37),IF(41=Projects!$C$37+Projects!$D$37-1,Projects!$B$37*Assumptions!$B$12/Projects!$D$37*0.95+0.05*Projects!$B$37*Assumptions!$B$12,Projects!$B$37*Assumptions!$B$12/Projects!$D$37*0.95),0)+IF(AND(Projects!$G$38="Yes",41&gt;=Projects!$C$38,41&lt;Projects!$C$38+Projects!$D$38),IF(41=Projects!$C$38+Projects!$D$38-1,Projects!$B$38*Assumptions!$B$12/Projects!$D$38*0.95+0.05*Projects!$B$38*Assumptions!$B$12,Projects!$B$38*Assumptions!$B$12/Projects!$D$38*0.95),0)+IF(AND(Projects!$G$39="Yes",41&gt;=Projects!$C$39,41&lt;Projects!$C$39+Projects!$D$39),IF(41=Projects!$C$39+Projects!$D$39-1,Projects!$B$39*Assumptions!$B$12/Projects!$D$39*0.95+0.05*Projects!$B$39*Assumptions!$B$12,Projects!$B$39*Assumptions!$B$12/Projects!$D$39*0.95),0)+IF(AND(Projects!$G$40="Yes",41&gt;=Projects!$C$40,41&lt;Projects!$C$40+Projects!$D$40),IF(41=Projects!$C$40+Projects!$D$40-1,Projects!$B$40*Assumptions!$B$12/Projects!$D$40*0.95+0.05*Projects!$B$40*Assumptions!$B$12,Projects!$B$40*Assumptions!$B$12/Projects!$D$40*0.95),0)+IF(AND(Projects!$G$41="Yes",41&gt;=Projects!$C$41,41&lt;Projects!$C$41+Projects!$D$41),IF(41=Projects!$C$41+Projects!$D$41-1,Projects!$B$41*Assumptions!$B$12/Projects!$D$41*0.95+0.05*Projects!$B$41*Assumptions!$B$12,Projects!$B$41*Assumptions!$B$12/Projects!$D$41*0.95),0)+IF(AND(Projects!$G$42="Yes",41&gt;=Projects!$C$42,41&lt;Projects!$C$42+Projects!$D$42),IF(41=Projects!$C$42+Projects!$D$42-1,Projects!$B$42*Assumptions!$B$12/Projects!$D$42*0.95+0.05*Projects!$B$42*Assumptions!$B$12,Projects!$B$42*Assumptions!$B$12/Projects!$D$42*0.95),0)+IF(AND(Projects!$G$43="Yes",41&gt;=Projects!$C$43,41&lt;Projects!$C$43+Projects!$D$43),IF(41=Projects!$C$43+Projects!$D$43-1,Projects!$B$43*Assumptions!$B$12/Projects!$D$43*0.95+0.05*Projects!$B$43*Assumptions!$B$12,Projects!$B$43*Assumptions!$B$12/Projects!$D$43*0.95),0)+IF(AND(Projects!$G$44="Yes",41&gt;=Projects!$C$44,41&lt;Projects!$C$44+Projects!$D$44),IF(41=Projects!$C$44+Projects!$D$44-1,Projects!$B$44*Assumptions!$B$12/Projects!$D$44*0.95+0.05*Projects!$B$44*Assumptions!$B$12,Projects!$B$44*Assumptions!$B$12/Projects!$D$44*0.95),0)+IF(AND(Projects!$G$45="Yes",41&gt;=Projects!$C$45,41&lt;Projects!$C$45+Projects!$D$45),IF(41=Projects!$C$45+Projects!$D$45-1,Projects!$B$45*Assumptions!$B$12/Projects!$D$45*0.95+0.05*Projects!$B$45*Assumptions!$B$12,Projects!$B$45*Assumptions!$B$12/Projects!$D$45*0.95),0)+IF(AND(Projects!$G$46="Yes",41&gt;=Projects!$C$46,41&lt;Projects!$C$46+Projects!$D$46),IF(41=Projects!$C$46+Projects!$D$46-1,Projects!$B$46*Assumptions!$B$12/Projects!$D$46*0.95+0.05*Projects!$B$46*Assumptions!$B$12,Projects!$B$46*Assumptions!$B$12/Projects!$D$46*0.95),0)</f>
        <v/>
      </c>
      <c r="AR110">
        <f>IF(AND(Projects!$G$30="Yes",42&gt;=Projects!$C$30,42&lt;Projects!$C$30+Projects!$D$30),IF(42=Projects!$C$30+Projects!$D$30-1,Projects!$B$30*Assumptions!$B$12/Projects!$D$30*0.95+0.05*Projects!$B$30*Assumptions!$B$12,Projects!$B$30*Assumptions!$B$12/Projects!$D$30*0.95),0)+IF(AND(Projects!$G$31="Yes",42&gt;=Projects!$C$31,42&lt;Projects!$C$31+Projects!$D$31),IF(42=Projects!$C$31+Projects!$D$31-1,Projects!$B$31*Assumptions!$B$12/Projects!$D$31*0.95+0.05*Projects!$B$31*Assumptions!$B$12,Projects!$B$31*Assumptions!$B$12/Projects!$D$31*0.95),0)+IF(AND(Projects!$G$32="Yes",42&gt;=Projects!$C$32,42&lt;Projects!$C$32+Projects!$D$32),IF(42=Projects!$C$32+Projects!$D$32-1,Projects!$B$32*Assumptions!$B$12/Projects!$D$32*0.95+0.05*Projects!$B$32*Assumptions!$B$12,Projects!$B$32*Assumptions!$B$12/Projects!$D$32*0.95),0)+IF(AND(Projects!$G$33="Yes",42&gt;=Projects!$C$33,42&lt;Projects!$C$33+Projects!$D$33),IF(42=Projects!$C$33+Projects!$D$33-1,Projects!$B$33*Assumptions!$B$12/Projects!$D$33*0.95+0.05*Projects!$B$33*Assumptions!$B$12,Projects!$B$33*Assumptions!$B$12/Projects!$D$33*0.95),0)+IF(AND(Projects!$G$34="Yes",42&gt;=Projects!$C$34,42&lt;Projects!$C$34+Projects!$D$34),IF(42=Projects!$C$34+Projects!$D$34-1,Projects!$B$34*Assumptions!$B$12/Projects!$D$34*0.95+0.05*Projects!$B$34*Assumptions!$B$12,Projects!$B$34*Assumptions!$B$12/Projects!$D$34*0.95),0)+IF(AND(Projects!$G$35="Yes",42&gt;=Projects!$C$35,42&lt;Projects!$C$35+Projects!$D$35),IF(42=Projects!$C$35+Projects!$D$35-1,Projects!$B$35*Assumptions!$B$12/Projects!$D$35*0.95+0.05*Projects!$B$35*Assumptions!$B$12,Projects!$B$35*Assumptions!$B$12/Projects!$D$35*0.95),0)+IF(AND(Projects!$G$36="Yes",42&gt;=Projects!$C$36,42&lt;Projects!$C$36+Projects!$D$36),IF(42=Projects!$C$36+Projects!$D$36-1,Projects!$B$36*Assumptions!$B$12/Projects!$D$36*0.95+0.05*Projects!$B$36*Assumptions!$B$12,Projects!$B$36*Assumptions!$B$12/Projects!$D$36*0.95),0)+IF(AND(Projects!$G$37="Yes",42&gt;=Projects!$C$37,42&lt;Projects!$C$37+Projects!$D$37),IF(42=Projects!$C$37+Projects!$D$37-1,Projects!$B$37*Assumptions!$B$12/Projects!$D$37*0.95+0.05*Projects!$B$37*Assumptions!$B$12,Projects!$B$37*Assumptions!$B$12/Projects!$D$37*0.95),0)+IF(AND(Projects!$G$38="Yes",42&gt;=Projects!$C$38,42&lt;Projects!$C$38+Projects!$D$38),IF(42=Projects!$C$38+Projects!$D$38-1,Projects!$B$38*Assumptions!$B$12/Projects!$D$38*0.95+0.05*Projects!$B$38*Assumptions!$B$12,Projects!$B$38*Assumptions!$B$12/Projects!$D$38*0.95),0)+IF(AND(Projects!$G$39="Yes",42&gt;=Projects!$C$39,42&lt;Projects!$C$39+Projects!$D$39),IF(42=Projects!$C$39+Projects!$D$39-1,Projects!$B$39*Assumptions!$B$12/Projects!$D$39*0.95+0.05*Projects!$B$39*Assumptions!$B$12,Projects!$B$39*Assumptions!$B$12/Projects!$D$39*0.95),0)+IF(AND(Projects!$G$40="Yes",42&gt;=Projects!$C$40,42&lt;Projects!$C$40+Projects!$D$40),IF(42=Projects!$C$40+Projects!$D$40-1,Projects!$B$40*Assumptions!$B$12/Projects!$D$40*0.95+0.05*Projects!$B$40*Assumptions!$B$12,Projects!$B$40*Assumptions!$B$12/Projects!$D$40*0.95),0)+IF(AND(Projects!$G$41="Yes",42&gt;=Projects!$C$41,42&lt;Projects!$C$41+Projects!$D$41),IF(42=Projects!$C$41+Projects!$D$41-1,Projects!$B$41*Assumptions!$B$12/Projects!$D$41*0.95+0.05*Projects!$B$41*Assumptions!$B$12,Projects!$B$41*Assumptions!$B$12/Projects!$D$41*0.95),0)+IF(AND(Projects!$G$42="Yes",42&gt;=Projects!$C$42,42&lt;Projects!$C$42+Projects!$D$42),IF(42=Projects!$C$42+Projects!$D$42-1,Projects!$B$42*Assumptions!$B$12/Projects!$D$42*0.95+0.05*Projects!$B$42*Assumptions!$B$12,Projects!$B$42*Assumptions!$B$12/Projects!$D$42*0.95),0)+IF(AND(Projects!$G$43="Yes",42&gt;=Projects!$C$43,42&lt;Projects!$C$43+Projects!$D$43),IF(42=Projects!$C$43+Projects!$D$43-1,Projects!$B$43*Assumptions!$B$12/Projects!$D$43*0.95+0.05*Projects!$B$43*Assumptions!$B$12,Projects!$B$43*Assumptions!$B$12/Projects!$D$43*0.95),0)+IF(AND(Projects!$G$44="Yes",42&gt;=Projects!$C$44,42&lt;Projects!$C$44+Projects!$D$44),IF(42=Projects!$C$44+Projects!$D$44-1,Projects!$B$44*Assumptions!$B$12/Projects!$D$44*0.95+0.05*Projects!$B$44*Assumptions!$B$12,Projects!$B$44*Assumptions!$B$12/Projects!$D$44*0.95),0)+IF(AND(Projects!$G$45="Yes",42&gt;=Projects!$C$45,42&lt;Projects!$C$45+Projects!$D$45),IF(42=Projects!$C$45+Projects!$D$45-1,Projects!$B$45*Assumptions!$B$12/Projects!$D$45*0.95+0.05*Projects!$B$45*Assumptions!$B$12,Projects!$B$45*Assumptions!$B$12/Projects!$D$45*0.95),0)+IF(AND(Projects!$G$46="Yes",42&gt;=Projects!$C$46,42&lt;Projects!$C$46+Projects!$D$46),IF(42=Projects!$C$46+Projects!$D$46-1,Projects!$B$46*Assumptions!$B$12/Projects!$D$46*0.95+0.05*Projects!$B$46*Assumptions!$B$12,Projects!$B$46*Assumptions!$B$12/Projects!$D$46*0.95),0)</f>
        <v/>
      </c>
      <c r="AS110">
        <f>IF(AND(Projects!$G$30="Yes",43&gt;=Projects!$C$30,43&lt;Projects!$C$30+Projects!$D$30),IF(43=Projects!$C$30+Projects!$D$30-1,Projects!$B$30*Assumptions!$B$12/Projects!$D$30*0.95+0.05*Projects!$B$30*Assumptions!$B$12,Projects!$B$30*Assumptions!$B$12/Projects!$D$30*0.95),0)+IF(AND(Projects!$G$31="Yes",43&gt;=Projects!$C$31,43&lt;Projects!$C$31+Projects!$D$31),IF(43=Projects!$C$31+Projects!$D$31-1,Projects!$B$31*Assumptions!$B$12/Projects!$D$31*0.95+0.05*Projects!$B$31*Assumptions!$B$12,Projects!$B$31*Assumptions!$B$12/Projects!$D$31*0.95),0)+IF(AND(Projects!$G$32="Yes",43&gt;=Projects!$C$32,43&lt;Projects!$C$32+Projects!$D$32),IF(43=Projects!$C$32+Projects!$D$32-1,Projects!$B$32*Assumptions!$B$12/Projects!$D$32*0.95+0.05*Projects!$B$32*Assumptions!$B$12,Projects!$B$32*Assumptions!$B$12/Projects!$D$32*0.95),0)+IF(AND(Projects!$G$33="Yes",43&gt;=Projects!$C$33,43&lt;Projects!$C$33+Projects!$D$33),IF(43=Projects!$C$33+Projects!$D$33-1,Projects!$B$33*Assumptions!$B$12/Projects!$D$33*0.95+0.05*Projects!$B$33*Assumptions!$B$12,Projects!$B$33*Assumptions!$B$12/Projects!$D$33*0.95),0)+IF(AND(Projects!$G$34="Yes",43&gt;=Projects!$C$34,43&lt;Projects!$C$34+Projects!$D$34),IF(43=Projects!$C$34+Projects!$D$34-1,Projects!$B$34*Assumptions!$B$12/Projects!$D$34*0.95+0.05*Projects!$B$34*Assumptions!$B$12,Projects!$B$34*Assumptions!$B$12/Projects!$D$34*0.95),0)+IF(AND(Projects!$G$35="Yes",43&gt;=Projects!$C$35,43&lt;Projects!$C$35+Projects!$D$35),IF(43=Projects!$C$35+Projects!$D$35-1,Projects!$B$35*Assumptions!$B$12/Projects!$D$35*0.95+0.05*Projects!$B$35*Assumptions!$B$12,Projects!$B$35*Assumptions!$B$12/Projects!$D$35*0.95),0)+IF(AND(Projects!$G$36="Yes",43&gt;=Projects!$C$36,43&lt;Projects!$C$36+Projects!$D$36),IF(43=Projects!$C$36+Projects!$D$36-1,Projects!$B$36*Assumptions!$B$12/Projects!$D$36*0.95+0.05*Projects!$B$36*Assumptions!$B$12,Projects!$B$36*Assumptions!$B$12/Projects!$D$36*0.95),0)+IF(AND(Projects!$G$37="Yes",43&gt;=Projects!$C$37,43&lt;Projects!$C$37+Projects!$D$37),IF(43=Projects!$C$37+Projects!$D$37-1,Projects!$B$37*Assumptions!$B$12/Projects!$D$37*0.95+0.05*Projects!$B$37*Assumptions!$B$12,Projects!$B$37*Assumptions!$B$12/Projects!$D$37*0.95),0)+IF(AND(Projects!$G$38="Yes",43&gt;=Projects!$C$38,43&lt;Projects!$C$38+Projects!$D$38),IF(43=Projects!$C$38+Projects!$D$38-1,Projects!$B$38*Assumptions!$B$12/Projects!$D$38*0.95+0.05*Projects!$B$38*Assumptions!$B$12,Projects!$B$38*Assumptions!$B$12/Projects!$D$38*0.95),0)+IF(AND(Projects!$G$39="Yes",43&gt;=Projects!$C$39,43&lt;Projects!$C$39+Projects!$D$39),IF(43=Projects!$C$39+Projects!$D$39-1,Projects!$B$39*Assumptions!$B$12/Projects!$D$39*0.95+0.05*Projects!$B$39*Assumptions!$B$12,Projects!$B$39*Assumptions!$B$12/Projects!$D$39*0.95),0)+IF(AND(Projects!$G$40="Yes",43&gt;=Projects!$C$40,43&lt;Projects!$C$40+Projects!$D$40),IF(43=Projects!$C$40+Projects!$D$40-1,Projects!$B$40*Assumptions!$B$12/Projects!$D$40*0.95+0.05*Projects!$B$40*Assumptions!$B$12,Projects!$B$40*Assumptions!$B$12/Projects!$D$40*0.95),0)+IF(AND(Projects!$G$41="Yes",43&gt;=Projects!$C$41,43&lt;Projects!$C$41+Projects!$D$41),IF(43=Projects!$C$41+Projects!$D$41-1,Projects!$B$41*Assumptions!$B$12/Projects!$D$41*0.95+0.05*Projects!$B$41*Assumptions!$B$12,Projects!$B$41*Assumptions!$B$12/Projects!$D$41*0.95),0)+IF(AND(Projects!$G$42="Yes",43&gt;=Projects!$C$42,43&lt;Projects!$C$42+Projects!$D$42),IF(43=Projects!$C$42+Projects!$D$42-1,Projects!$B$42*Assumptions!$B$12/Projects!$D$42*0.95+0.05*Projects!$B$42*Assumptions!$B$12,Projects!$B$42*Assumptions!$B$12/Projects!$D$42*0.95),0)+IF(AND(Projects!$G$43="Yes",43&gt;=Projects!$C$43,43&lt;Projects!$C$43+Projects!$D$43),IF(43=Projects!$C$43+Projects!$D$43-1,Projects!$B$43*Assumptions!$B$12/Projects!$D$43*0.95+0.05*Projects!$B$43*Assumptions!$B$12,Projects!$B$43*Assumptions!$B$12/Projects!$D$43*0.95),0)+IF(AND(Projects!$G$44="Yes",43&gt;=Projects!$C$44,43&lt;Projects!$C$44+Projects!$D$44),IF(43=Projects!$C$44+Projects!$D$44-1,Projects!$B$44*Assumptions!$B$12/Projects!$D$44*0.95+0.05*Projects!$B$44*Assumptions!$B$12,Projects!$B$44*Assumptions!$B$12/Projects!$D$44*0.95),0)+IF(AND(Projects!$G$45="Yes",43&gt;=Projects!$C$45,43&lt;Projects!$C$45+Projects!$D$45),IF(43=Projects!$C$45+Projects!$D$45-1,Projects!$B$45*Assumptions!$B$12/Projects!$D$45*0.95+0.05*Projects!$B$45*Assumptions!$B$12,Projects!$B$45*Assumptions!$B$12/Projects!$D$45*0.95),0)+IF(AND(Projects!$G$46="Yes",43&gt;=Projects!$C$46,43&lt;Projects!$C$46+Projects!$D$46),IF(43=Projects!$C$46+Projects!$D$46-1,Projects!$B$46*Assumptions!$B$12/Projects!$D$46*0.95+0.05*Projects!$B$46*Assumptions!$B$12,Projects!$B$46*Assumptions!$B$12/Projects!$D$46*0.95),0)</f>
        <v/>
      </c>
      <c r="AT110">
        <f>IF(AND(Projects!$G$30="Yes",44&gt;=Projects!$C$30,44&lt;Projects!$C$30+Projects!$D$30),IF(44=Projects!$C$30+Projects!$D$30-1,Projects!$B$30*Assumptions!$B$12/Projects!$D$30*0.95+0.05*Projects!$B$30*Assumptions!$B$12,Projects!$B$30*Assumptions!$B$12/Projects!$D$30*0.95),0)+IF(AND(Projects!$G$31="Yes",44&gt;=Projects!$C$31,44&lt;Projects!$C$31+Projects!$D$31),IF(44=Projects!$C$31+Projects!$D$31-1,Projects!$B$31*Assumptions!$B$12/Projects!$D$31*0.95+0.05*Projects!$B$31*Assumptions!$B$12,Projects!$B$31*Assumptions!$B$12/Projects!$D$31*0.95),0)+IF(AND(Projects!$G$32="Yes",44&gt;=Projects!$C$32,44&lt;Projects!$C$32+Projects!$D$32),IF(44=Projects!$C$32+Projects!$D$32-1,Projects!$B$32*Assumptions!$B$12/Projects!$D$32*0.95+0.05*Projects!$B$32*Assumptions!$B$12,Projects!$B$32*Assumptions!$B$12/Projects!$D$32*0.95),0)+IF(AND(Projects!$G$33="Yes",44&gt;=Projects!$C$33,44&lt;Projects!$C$33+Projects!$D$33),IF(44=Projects!$C$33+Projects!$D$33-1,Projects!$B$33*Assumptions!$B$12/Projects!$D$33*0.95+0.05*Projects!$B$33*Assumptions!$B$12,Projects!$B$33*Assumptions!$B$12/Projects!$D$33*0.95),0)+IF(AND(Projects!$G$34="Yes",44&gt;=Projects!$C$34,44&lt;Projects!$C$34+Projects!$D$34),IF(44=Projects!$C$34+Projects!$D$34-1,Projects!$B$34*Assumptions!$B$12/Projects!$D$34*0.95+0.05*Projects!$B$34*Assumptions!$B$12,Projects!$B$34*Assumptions!$B$12/Projects!$D$34*0.95),0)+IF(AND(Projects!$G$35="Yes",44&gt;=Projects!$C$35,44&lt;Projects!$C$35+Projects!$D$35),IF(44=Projects!$C$35+Projects!$D$35-1,Projects!$B$35*Assumptions!$B$12/Projects!$D$35*0.95+0.05*Projects!$B$35*Assumptions!$B$12,Projects!$B$35*Assumptions!$B$12/Projects!$D$35*0.95),0)+IF(AND(Projects!$G$36="Yes",44&gt;=Projects!$C$36,44&lt;Projects!$C$36+Projects!$D$36),IF(44=Projects!$C$36+Projects!$D$36-1,Projects!$B$36*Assumptions!$B$12/Projects!$D$36*0.95+0.05*Projects!$B$36*Assumptions!$B$12,Projects!$B$36*Assumptions!$B$12/Projects!$D$36*0.95),0)+IF(AND(Projects!$G$37="Yes",44&gt;=Projects!$C$37,44&lt;Projects!$C$37+Projects!$D$37),IF(44=Projects!$C$37+Projects!$D$37-1,Projects!$B$37*Assumptions!$B$12/Projects!$D$37*0.95+0.05*Projects!$B$37*Assumptions!$B$12,Projects!$B$37*Assumptions!$B$12/Projects!$D$37*0.95),0)+IF(AND(Projects!$G$38="Yes",44&gt;=Projects!$C$38,44&lt;Projects!$C$38+Projects!$D$38),IF(44=Projects!$C$38+Projects!$D$38-1,Projects!$B$38*Assumptions!$B$12/Projects!$D$38*0.95+0.05*Projects!$B$38*Assumptions!$B$12,Projects!$B$38*Assumptions!$B$12/Projects!$D$38*0.95),0)+IF(AND(Projects!$G$39="Yes",44&gt;=Projects!$C$39,44&lt;Projects!$C$39+Projects!$D$39),IF(44=Projects!$C$39+Projects!$D$39-1,Projects!$B$39*Assumptions!$B$12/Projects!$D$39*0.95+0.05*Projects!$B$39*Assumptions!$B$12,Projects!$B$39*Assumptions!$B$12/Projects!$D$39*0.95),0)+IF(AND(Projects!$G$40="Yes",44&gt;=Projects!$C$40,44&lt;Projects!$C$40+Projects!$D$40),IF(44=Projects!$C$40+Projects!$D$40-1,Projects!$B$40*Assumptions!$B$12/Projects!$D$40*0.95+0.05*Projects!$B$40*Assumptions!$B$12,Projects!$B$40*Assumptions!$B$12/Projects!$D$40*0.95),0)+IF(AND(Projects!$G$41="Yes",44&gt;=Projects!$C$41,44&lt;Projects!$C$41+Projects!$D$41),IF(44=Projects!$C$41+Projects!$D$41-1,Projects!$B$41*Assumptions!$B$12/Projects!$D$41*0.95+0.05*Projects!$B$41*Assumptions!$B$12,Projects!$B$41*Assumptions!$B$12/Projects!$D$41*0.95),0)+IF(AND(Projects!$G$42="Yes",44&gt;=Projects!$C$42,44&lt;Projects!$C$42+Projects!$D$42),IF(44=Projects!$C$42+Projects!$D$42-1,Projects!$B$42*Assumptions!$B$12/Projects!$D$42*0.95+0.05*Projects!$B$42*Assumptions!$B$12,Projects!$B$42*Assumptions!$B$12/Projects!$D$42*0.95),0)+IF(AND(Projects!$G$43="Yes",44&gt;=Projects!$C$43,44&lt;Projects!$C$43+Projects!$D$43),IF(44=Projects!$C$43+Projects!$D$43-1,Projects!$B$43*Assumptions!$B$12/Projects!$D$43*0.95+0.05*Projects!$B$43*Assumptions!$B$12,Projects!$B$43*Assumptions!$B$12/Projects!$D$43*0.95),0)+IF(AND(Projects!$G$44="Yes",44&gt;=Projects!$C$44,44&lt;Projects!$C$44+Projects!$D$44),IF(44=Projects!$C$44+Projects!$D$44-1,Projects!$B$44*Assumptions!$B$12/Projects!$D$44*0.95+0.05*Projects!$B$44*Assumptions!$B$12,Projects!$B$44*Assumptions!$B$12/Projects!$D$44*0.95),0)+IF(AND(Projects!$G$45="Yes",44&gt;=Projects!$C$45,44&lt;Projects!$C$45+Projects!$D$45),IF(44=Projects!$C$45+Projects!$D$45-1,Projects!$B$45*Assumptions!$B$12/Projects!$D$45*0.95+0.05*Projects!$B$45*Assumptions!$B$12,Projects!$B$45*Assumptions!$B$12/Projects!$D$45*0.95),0)+IF(AND(Projects!$G$46="Yes",44&gt;=Projects!$C$46,44&lt;Projects!$C$46+Projects!$D$46),IF(44=Projects!$C$46+Projects!$D$46-1,Projects!$B$46*Assumptions!$B$12/Projects!$D$46*0.95+0.05*Projects!$B$46*Assumptions!$B$12,Projects!$B$46*Assumptions!$B$12/Projects!$D$46*0.95),0)</f>
        <v/>
      </c>
      <c r="AU110">
        <f>IF(AND(Projects!$G$30="Yes",45&gt;=Projects!$C$30,45&lt;Projects!$C$30+Projects!$D$30),IF(45=Projects!$C$30+Projects!$D$30-1,Projects!$B$30*Assumptions!$B$12/Projects!$D$30*0.95+0.05*Projects!$B$30*Assumptions!$B$12,Projects!$B$30*Assumptions!$B$12/Projects!$D$30*0.95),0)+IF(AND(Projects!$G$31="Yes",45&gt;=Projects!$C$31,45&lt;Projects!$C$31+Projects!$D$31),IF(45=Projects!$C$31+Projects!$D$31-1,Projects!$B$31*Assumptions!$B$12/Projects!$D$31*0.95+0.05*Projects!$B$31*Assumptions!$B$12,Projects!$B$31*Assumptions!$B$12/Projects!$D$31*0.95),0)+IF(AND(Projects!$G$32="Yes",45&gt;=Projects!$C$32,45&lt;Projects!$C$32+Projects!$D$32),IF(45=Projects!$C$32+Projects!$D$32-1,Projects!$B$32*Assumptions!$B$12/Projects!$D$32*0.95+0.05*Projects!$B$32*Assumptions!$B$12,Projects!$B$32*Assumptions!$B$12/Projects!$D$32*0.95),0)+IF(AND(Projects!$G$33="Yes",45&gt;=Projects!$C$33,45&lt;Projects!$C$33+Projects!$D$33),IF(45=Projects!$C$33+Projects!$D$33-1,Projects!$B$33*Assumptions!$B$12/Projects!$D$33*0.95+0.05*Projects!$B$33*Assumptions!$B$12,Projects!$B$33*Assumptions!$B$12/Projects!$D$33*0.95),0)+IF(AND(Projects!$G$34="Yes",45&gt;=Projects!$C$34,45&lt;Projects!$C$34+Projects!$D$34),IF(45=Projects!$C$34+Projects!$D$34-1,Projects!$B$34*Assumptions!$B$12/Projects!$D$34*0.95+0.05*Projects!$B$34*Assumptions!$B$12,Projects!$B$34*Assumptions!$B$12/Projects!$D$34*0.95),0)+IF(AND(Projects!$G$35="Yes",45&gt;=Projects!$C$35,45&lt;Projects!$C$35+Projects!$D$35),IF(45=Projects!$C$35+Projects!$D$35-1,Projects!$B$35*Assumptions!$B$12/Projects!$D$35*0.95+0.05*Projects!$B$35*Assumptions!$B$12,Projects!$B$35*Assumptions!$B$12/Projects!$D$35*0.95),0)+IF(AND(Projects!$G$36="Yes",45&gt;=Projects!$C$36,45&lt;Projects!$C$36+Projects!$D$36),IF(45=Projects!$C$36+Projects!$D$36-1,Projects!$B$36*Assumptions!$B$12/Projects!$D$36*0.95+0.05*Projects!$B$36*Assumptions!$B$12,Projects!$B$36*Assumptions!$B$12/Projects!$D$36*0.95),0)+IF(AND(Projects!$G$37="Yes",45&gt;=Projects!$C$37,45&lt;Projects!$C$37+Projects!$D$37),IF(45=Projects!$C$37+Projects!$D$37-1,Projects!$B$37*Assumptions!$B$12/Projects!$D$37*0.95+0.05*Projects!$B$37*Assumptions!$B$12,Projects!$B$37*Assumptions!$B$12/Projects!$D$37*0.95),0)+IF(AND(Projects!$G$38="Yes",45&gt;=Projects!$C$38,45&lt;Projects!$C$38+Projects!$D$38),IF(45=Projects!$C$38+Projects!$D$38-1,Projects!$B$38*Assumptions!$B$12/Projects!$D$38*0.95+0.05*Projects!$B$38*Assumptions!$B$12,Projects!$B$38*Assumptions!$B$12/Projects!$D$38*0.95),0)+IF(AND(Projects!$G$39="Yes",45&gt;=Projects!$C$39,45&lt;Projects!$C$39+Projects!$D$39),IF(45=Projects!$C$39+Projects!$D$39-1,Projects!$B$39*Assumptions!$B$12/Projects!$D$39*0.95+0.05*Projects!$B$39*Assumptions!$B$12,Projects!$B$39*Assumptions!$B$12/Projects!$D$39*0.95),0)+IF(AND(Projects!$G$40="Yes",45&gt;=Projects!$C$40,45&lt;Projects!$C$40+Projects!$D$40),IF(45=Projects!$C$40+Projects!$D$40-1,Projects!$B$40*Assumptions!$B$12/Projects!$D$40*0.95+0.05*Projects!$B$40*Assumptions!$B$12,Projects!$B$40*Assumptions!$B$12/Projects!$D$40*0.95),0)+IF(AND(Projects!$G$41="Yes",45&gt;=Projects!$C$41,45&lt;Projects!$C$41+Projects!$D$41),IF(45=Projects!$C$41+Projects!$D$41-1,Projects!$B$41*Assumptions!$B$12/Projects!$D$41*0.95+0.05*Projects!$B$41*Assumptions!$B$12,Projects!$B$41*Assumptions!$B$12/Projects!$D$41*0.95),0)+IF(AND(Projects!$G$42="Yes",45&gt;=Projects!$C$42,45&lt;Projects!$C$42+Projects!$D$42),IF(45=Projects!$C$42+Projects!$D$42-1,Projects!$B$42*Assumptions!$B$12/Projects!$D$42*0.95+0.05*Projects!$B$42*Assumptions!$B$12,Projects!$B$42*Assumptions!$B$12/Projects!$D$42*0.95),0)+IF(AND(Projects!$G$43="Yes",45&gt;=Projects!$C$43,45&lt;Projects!$C$43+Projects!$D$43),IF(45=Projects!$C$43+Projects!$D$43-1,Projects!$B$43*Assumptions!$B$12/Projects!$D$43*0.95+0.05*Projects!$B$43*Assumptions!$B$12,Projects!$B$43*Assumptions!$B$12/Projects!$D$43*0.95),0)+IF(AND(Projects!$G$44="Yes",45&gt;=Projects!$C$44,45&lt;Projects!$C$44+Projects!$D$44),IF(45=Projects!$C$44+Projects!$D$44-1,Projects!$B$44*Assumptions!$B$12/Projects!$D$44*0.95+0.05*Projects!$B$44*Assumptions!$B$12,Projects!$B$44*Assumptions!$B$12/Projects!$D$44*0.95),0)+IF(AND(Projects!$G$45="Yes",45&gt;=Projects!$C$45,45&lt;Projects!$C$45+Projects!$D$45),IF(45=Projects!$C$45+Projects!$D$45-1,Projects!$B$45*Assumptions!$B$12/Projects!$D$45*0.95+0.05*Projects!$B$45*Assumptions!$B$12,Projects!$B$45*Assumptions!$B$12/Projects!$D$45*0.95),0)+IF(AND(Projects!$G$46="Yes",45&gt;=Projects!$C$46,45&lt;Projects!$C$46+Projects!$D$46),IF(45=Projects!$C$46+Projects!$D$46-1,Projects!$B$46*Assumptions!$B$12/Projects!$D$46*0.95+0.05*Projects!$B$46*Assumptions!$B$12,Projects!$B$46*Assumptions!$B$12/Projects!$D$46*0.95),0)</f>
        <v/>
      </c>
      <c r="AV110">
        <f>IF(AND(Projects!$G$30="Yes",46&gt;=Projects!$C$30,46&lt;Projects!$C$30+Projects!$D$30),IF(46=Projects!$C$30+Projects!$D$30-1,Projects!$B$30*Assumptions!$B$12/Projects!$D$30*0.95+0.05*Projects!$B$30*Assumptions!$B$12,Projects!$B$30*Assumptions!$B$12/Projects!$D$30*0.95),0)+IF(AND(Projects!$G$31="Yes",46&gt;=Projects!$C$31,46&lt;Projects!$C$31+Projects!$D$31),IF(46=Projects!$C$31+Projects!$D$31-1,Projects!$B$31*Assumptions!$B$12/Projects!$D$31*0.95+0.05*Projects!$B$31*Assumptions!$B$12,Projects!$B$31*Assumptions!$B$12/Projects!$D$31*0.95),0)+IF(AND(Projects!$G$32="Yes",46&gt;=Projects!$C$32,46&lt;Projects!$C$32+Projects!$D$32),IF(46=Projects!$C$32+Projects!$D$32-1,Projects!$B$32*Assumptions!$B$12/Projects!$D$32*0.95+0.05*Projects!$B$32*Assumptions!$B$12,Projects!$B$32*Assumptions!$B$12/Projects!$D$32*0.95),0)+IF(AND(Projects!$G$33="Yes",46&gt;=Projects!$C$33,46&lt;Projects!$C$33+Projects!$D$33),IF(46=Projects!$C$33+Projects!$D$33-1,Projects!$B$33*Assumptions!$B$12/Projects!$D$33*0.95+0.05*Projects!$B$33*Assumptions!$B$12,Projects!$B$33*Assumptions!$B$12/Projects!$D$33*0.95),0)+IF(AND(Projects!$G$34="Yes",46&gt;=Projects!$C$34,46&lt;Projects!$C$34+Projects!$D$34),IF(46=Projects!$C$34+Projects!$D$34-1,Projects!$B$34*Assumptions!$B$12/Projects!$D$34*0.95+0.05*Projects!$B$34*Assumptions!$B$12,Projects!$B$34*Assumptions!$B$12/Projects!$D$34*0.95),0)+IF(AND(Projects!$G$35="Yes",46&gt;=Projects!$C$35,46&lt;Projects!$C$35+Projects!$D$35),IF(46=Projects!$C$35+Projects!$D$35-1,Projects!$B$35*Assumptions!$B$12/Projects!$D$35*0.95+0.05*Projects!$B$35*Assumptions!$B$12,Projects!$B$35*Assumptions!$B$12/Projects!$D$35*0.95),0)+IF(AND(Projects!$G$36="Yes",46&gt;=Projects!$C$36,46&lt;Projects!$C$36+Projects!$D$36),IF(46=Projects!$C$36+Projects!$D$36-1,Projects!$B$36*Assumptions!$B$12/Projects!$D$36*0.95+0.05*Projects!$B$36*Assumptions!$B$12,Projects!$B$36*Assumptions!$B$12/Projects!$D$36*0.95),0)+IF(AND(Projects!$G$37="Yes",46&gt;=Projects!$C$37,46&lt;Projects!$C$37+Projects!$D$37),IF(46=Projects!$C$37+Projects!$D$37-1,Projects!$B$37*Assumptions!$B$12/Projects!$D$37*0.95+0.05*Projects!$B$37*Assumptions!$B$12,Projects!$B$37*Assumptions!$B$12/Projects!$D$37*0.95),0)+IF(AND(Projects!$G$38="Yes",46&gt;=Projects!$C$38,46&lt;Projects!$C$38+Projects!$D$38),IF(46=Projects!$C$38+Projects!$D$38-1,Projects!$B$38*Assumptions!$B$12/Projects!$D$38*0.95+0.05*Projects!$B$38*Assumptions!$B$12,Projects!$B$38*Assumptions!$B$12/Projects!$D$38*0.95),0)+IF(AND(Projects!$G$39="Yes",46&gt;=Projects!$C$39,46&lt;Projects!$C$39+Projects!$D$39),IF(46=Projects!$C$39+Projects!$D$39-1,Projects!$B$39*Assumptions!$B$12/Projects!$D$39*0.95+0.05*Projects!$B$39*Assumptions!$B$12,Projects!$B$39*Assumptions!$B$12/Projects!$D$39*0.95),0)+IF(AND(Projects!$G$40="Yes",46&gt;=Projects!$C$40,46&lt;Projects!$C$40+Projects!$D$40),IF(46=Projects!$C$40+Projects!$D$40-1,Projects!$B$40*Assumptions!$B$12/Projects!$D$40*0.95+0.05*Projects!$B$40*Assumptions!$B$12,Projects!$B$40*Assumptions!$B$12/Projects!$D$40*0.95),0)+IF(AND(Projects!$G$41="Yes",46&gt;=Projects!$C$41,46&lt;Projects!$C$41+Projects!$D$41),IF(46=Projects!$C$41+Projects!$D$41-1,Projects!$B$41*Assumptions!$B$12/Projects!$D$41*0.95+0.05*Projects!$B$41*Assumptions!$B$12,Projects!$B$41*Assumptions!$B$12/Projects!$D$41*0.95),0)+IF(AND(Projects!$G$42="Yes",46&gt;=Projects!$C$42,46&lt;Projects!$C$42+Projects!$D$42),IF(46=Projects!$C$42+Projects!$D$42-1,Projects!$B$42*Assumptions!$B$12/Projects!$D$42*0.95+0.05*Projects!$B$42*Assumptions!$B$12,Projects!$B$42*Assumptions!$B$12/Projects!$D$42*0.95),0)+IF(AND(Projects!$G$43="Yes",46&gt;=Projects!$C$43,46&lt;Projects!$C$43+Projects!$D$43),IF(46=Projects!$C$43+Projects!$D$43-1,Projects!$B$43*Assumptions!$B$12/Projects!$D$43*0.95+0.05*Projects!$B$43*Assumptions!$B$12,Projects!$B$43*Assumptions!$B$12/Projects!$D$43*0.95),0)+IF(AND(Projects!$G$44="Yes",46&gt;=Projects!$C$44,46&lt;Projects!$C$44+Projects!$D$44),IF(46=Projects!$C$44+Projects!$D$44-1,Projects!$B$44*Assumptions!$B$12/Projects!$D$44*0.95+0.05*Projects!$B$44*Assumptions!$B$12,Projects!$B$44*Assumptions!$B$12/Projects!$D$44*0.95),0)+IF(AND(Projects!$G$45="Yes",46&gt;=Projects!$C$45,46&lt;Projects!$C$45+Projects!$D$45),IF(46=Projects!$C$45+Projects!$D$45-1,Projects!$B$45*Assumptions!$B$12/Projects!$D$45*0.95+0.05*Projects!$B$45*Assumptions!$B$12,Projects!$B$45*Assumptions!$B$12/Projects!$D$45*0.95),0)+IF(AND(Projects!$G$46="Yes",46&gt;=Projects!$C$46,46&lt;Projects!$C$46+Projects!$D$46),IF(46=Projects!$C$46+Projects!$D$46-1,Projects!$B$46*Assumptions!$B$12/Projects!$D$46*0.95+0.05*Projects!$B$46*Assumptions!$B$12,Projects!$B$46*Assumptions!$B$12/Projects!$D$46*0.95),0)</f>
        <v/>
      </c>
      <c r="AW110">
        <f>IF(AND(Projects!$G$30="Yes",47&gt;=Projects!$C$30,47&lt;Projects!$C$30+Projects!$D$30),IF(47=Projects!$C$30+Projects!$D$30-1,Projects!$B$30*Assumptions!$B$12/Projects!$D$30*0.95+0.05*Projects!$B$30*Assumptions!$B$12,Projects!$B$30*Assumptions!$B$12/Projects!$D$30*0.95),0)+IF(AND(Projects!$G$31="Yes",47&gt;=Projects!$C$31,47&lt;Projects!$C$31+Projects!$D$31),IF(47=Projects!$C$31+Projects!$D$31-1,Projects!$B$31*Assumptions!$B$12/Projects!$D$31*0.95+0.05*Projects!$B$31*Assumptions!$B$12,Projects!$B$31*Assumptions!$B$12/Projects!$D$31*0.95),0)+IF(AND(Projects!$G$32="Yes",47&gt;=Projects!$C$32,47&lt;Projects!$C$32+Projects!$D$32),IF(47=Projects!$C$32+Projects!$D$32-1,Projects!$B$32*Assumptions!$B$12/Projects!$D$32*0.95+0.05*Projects!$B$32*Assumptions!$B$12,Projects!$B$32*Assumptions!$B$12/Projects!$D$32*0.95),0)+IF(AND(Projects!$G$33="Yes",47&gt;=Projects!$C$33,47&lt;Projects!$C$33+Projects!$D$33),IF(47=Projects!$C$33+Projects!$D$33-1,Projects!$B$33*Assumptions!$B$12/Projects!$D$33*0.95+0.05*Projects!$B$33*Assumptions!$B$12,Projects!$B$33*Assumptions!$B$12/Projects!$D$33*0.95),0)+IF(AND(Projects!$G$34="Yes",47&gt;=Projects!$C$34,47&lt;Projects!$C$34+Projects!$D$34),IF(47=Projects!$C$34+Projects!$D$34-1,Projects!$B$34*Assumptions!$B$12/Projects!$D$34*0.95+0.05*Projects!$B$34*Assumptions!$B$12,Projects!$B$34*Assumptions!$B$12/Projects!$D$34*0.95),0)+IF(AND(Projects!$G$35="Yes",47&gt;=Projects!$C$35,47&lt;Projects!$C$35+Projects!$D$35),IF(47=Projects!$C$35+Projects!$D$35-1,Projects!$B$35*Assumptions!$B$12/Projects!$D$35*0.95+0.05*Projects!$B$35*Assumptions!$B$12,Projects!$B$35*Assumptions!$B$12/Projects!$D$35*0.95),0)+IF(AND(Projects!$G$36="Yes",47&gt;=Projects!$C$36,47&lt;Projects!$C$36+Projects!$D$36),IF(47=Projects!$C$36+Projects!$D$36-1,Projects!$B$36*Assumptions!$B$12/Projects!$D$36*0.95+0.05*Projects!$B$36*Assumptions!$B$12,Projects!$B$36*Assumptions!$B$12/Projects!$D$36*0.95),0)+IF(AND(Projects!$G$37="Yes",47&gt;=Projects!$C$37,47&lt;Projects!$C$37+Projects!$D$37),IF(47=Projects!$C$37+Projects!$D$37-1,Projects!$B$37*Assumptions!$B$12/Projects!$D$37*0.95+0.05*Projects!$B$37*Assumptions!$B$12,Projects!$B$37*Assumptions!$B$12/Projects!$D$37*0.95),0)+IF(AND(Projects!$G$38="Yes",47&gt;=Projects!$C$38,47&lt;Projects!$C$38+Projects!$D$38),IF(47=Projects!$C$38+Projects!$D$38-1,Projects!$B$38*Assumptions!$B$12/Projects!$D$38*0.95+0.05*Projects!$B$38*Assumptions!$B$12,Projects!$B$38*Assumptions!$B$12/Projects!$D$38*0.95),0)+IF(AND(Projects!$G$39="Yes",47&gt;=Projects!$C$39,47&lt;Projects!$C$39+Projects!$D$39),IF(47=Projects!$C$39+Projects!$D$39-1,Projects!$B$39*Assumptions!$B$12/Projects!$D$39*0.95+0.05*Projects!$B$39*Assumptions!$B$12,Projects!$B$39*Assumptions!$B$12/Projects!$D$39*0.95),0)+IF(AND(Projects!$G$40="Yes",47&gt;=Projects!$C$40,47&lt;Projects!$C$40+Projects!$D$40),IF(47=Projects!$C$40+Projects!$D$40-1,Projects!$B$40*Assumptions!$B$12/Projects!$D$40*0.95+0.05*Projects!$B$40*Assumptions!$B$12,Projects!$B$40*Assumptions!$B$12/Projects!$D$40*0.95),0)+IF(AND(Projects!$G$41="Yes",47&gt;=Projects!$C$41,47&lt;Projects!$C$41+Projects!$D$41),IF(47=Projects!$C$41+Projects!$D$41-1,Projects!$B$41*Assumptions!$B$12/Projects!$D$41*0.95+0.05*Projects!$B$41*Assumptions!$B$12,Projects!$B$41*Assumptions!$B$12/Projects!$D$41*0.95),0)+IF(AND(Projects!$G$42="Yes",47&gt;=Projects!$C$42,47&lt;Projects!$C$42+Projects!$D$42),IF(47=Projects!$C$42+Projects!$D$42-1,Projects!$B$42*Assumptions!$B$12/Projects!$D$42*0.95+0.05*Projects!$B$42*Assumptions!$B$12,Projects!$B$42*Assumptions!$B$12/Projects!$D$42*0.95),0)+IF(AND(Projects!$G$43="Yes",47&gt;=Projects!$C$43,47&lt;Projects!$C$43+Projects!$D$43),IF(47=Projects!$C$43+Projects!$D$43-1,Projects!$B$43*Assumptions!$B$12/Projects!$D$43*0.95+0.05*Projects!$B$43*Assumptions!$B$12,Projects!$B$43*Assumptions!$B$12/Projects!$D$43*0.95),0)+IF(AND(Projects!$G$44="Yes",47&gt;=Projects!$C$44,47&lt;Projects!$C$44+Projects!$D$44),IF(47=Projects!$C$44+Projects!$D$44-1,Projects!$B$44*Assumptions!$B$12/Projects!$D$44*0.95+0.05*Projects!$B$44*Assumptions!$B$12,Projects!$B$44*Assumptions!$B$12/Projects!$D$44*0.95),0)+IF(AND(Projects!$G$45="Yes",47&gt;=Projects!$C$45,47&lt;Projects!$C$45+Projects!$D$45),IF(47=Projects!$C$45+Projects!$D$45-1,Projects!$B$45*Assumptions!$B$12/Projects!$D$45*0.95+0.05*Projects!$B$45*Assumptions!$B$12,Projects!$B$45*Assumptions!$B$12/Projects!$D$45*0.95),0)+IF(AND(Projects!$G$46="Yes",47&gt;=Projects!$C$46,47&lt;Projects!$C$46+Projects!$D$46),IF(47=Projects!$C$46+Projects!$D$46-1,Projects!$B$46*Assumptions!$B$12/Projects!$D$46*0.95+0.05*Projects!$B$46*Assumptions!$B$12,Projects!$B$46*Assumptions!$B$12/Projects!$D$46*0.95),0)</f>
        <v/>
      </c>
      <c r="AX110">
        <f>IF(AND(Projects!$G$30="Yes",48&gt;=Projects!$C$30,48&lt;Projects!$C$30+Projects!$D$30),IF(48=Projects!$C$30+Projects!$D$30-1,Projects!$B$30*Assumptions!$B$12/Projects!$D$30*0.95+0.05*Projects!$B$30*Assumptions!$B$12,Projects!$B$30*Assumptions!$B$12/Projects!$D$30*0.95),0)+IF(AND(Projects!$G$31="Yes",48&gt;=Projects!$C$31,48&lt;Projects!$C$31+Projects!$D$31),IF(48=Projects!$C$31+Projects!$D$31-1,Projects!$B$31*Assumptions!$B$12/Projects!$D$31*0.95+0.05*Projects!$B$31*Assumptions!$B$12,Projects!$B$31*Assumptions!$B$12/Projects!$D$31*0.95),0)+IF(AND(Projects!$G$32="Yes",48&gt;=Projects!$C$32,48&lt;Projects!$C$32+Projects!$D$32),IF(48=Projects!$C$32+Projects!$D$32-1,Projects!$B$32*Assumptions!$B$12/Projects!$D$32*0.95+0.05*Projects!$B$32*Assumptions!$B$12,Projects!$B$32*Assumptions!$B$12/Projects!$D$32*0.95),0)+IF(AND(Projects!$G$33="Yes",48&gt;=Projects!$C$33,48&lt;Projects!$C$33+Projects!$D$33),IF(48=Projects!$C$33+Projects!$D$33-1,Projects!$B$33*Assumptions!$B$12/Projects!$D$33*0.95+0.05*Projects!$B$33*Assumptions!$B$12,Projects!$B$33*Assumptions!$B$12/Projects!$D$33*0.95),0)+IF(AND(Projects!$G$34="Yes",48&gt;=Projects!$C$34,48&lt;Projects!$C$34+Projects!$D$34),IF(48=Projects!$C$34+Projects!$D$34-1,Projects!$B$34*Assumptions!$B$12/Projects!$D$34*0.95+0.05*Projects!$B$34*Assumptions!$B$12,Projects!$B$34*Assumptions!$B$12/Projects!$D$34*0.95),0)+IF(AND(Projects!$G$35="Yes",48&gt;=Projects!$C$35,48&lt;Projects!$C$35+Projects!$D$35),IF(48=Projects!$C$35+Projects!$D$35-1,Projects!$B$35*Assumptions!$B$12/Projects!$D$35*0.95+0.05*Projects!$B$35*Assumptions!$B$12,Projects!$B$35*Assumptions!$B$12/Projects!$D$35*0.95),0)+IF(AND(Projects!$G$36="Yes",48&gt;=Projects!$C$36,48&lt;Projects!$C$36+Projects!$D$36),IF(48=Projects!$C$36+Projects!$D$36-1,Projects!$B$36*Assumptions!$B$12/Projects!$D$36*0.95+0.05*Projects!$B$36*Assumptions!$B$12,Projects!$B$36*Assumptions!$B$12/Projects!$D$36*0.95),0)+IF(AND(Projects!$G$37="Yes",48&gt;=Projects!$C$37,48&lt;Projects!$C$37+Projects!$D$37),IF(48=Projects!$C$37+Projects!$D$37-1,Projects!$B$37*Assumptions!$B$12/Projects!$D$37*0.95+0.05*Projects!$B$37*Assumptions!$B$12,Projects!$B$37*Assumptions!$B$12/Projects!$D$37*0.95),0)+IF(AND(Projects!$G$38="Yes",48&gt;=Projects!$C$38,48&lt;Projects!$C$38+Projects!$D$38),IF(48=Projects!$C$38+Projects!$D$38-1,Projects!$B$38*Assumptions!$B$12/Projects!$D$38*0.95+0.05*Projects!$B$38*Assumptions!$B$12,Projects!$B$38*Assumptions!$B$12/Projects!$D$38*0.95),0)+IF(AND(Projects!$G$39="Yes",48&gt;=Projects!$C$39,48&lt;Projects!$C$39+Projects!$D$39),IF(48=Projects!$C$39+Projects!$D$39-1,Projects!$B$39*Assumptions!$B$12/Projects!$D$39*0.95+0.05*Projects!$B$39*Assumptions!$B$12,Projects!$B$39*Assumptions!$B$12/Projects!$D$39*0.95),0)+IF(AND(Projects!$G$40="Yes",48&gt;=Projects!$C$40,48&lt;Projects!$C$40+Projects!$D$40),IF(48=Projects!$C$40+Projects!$D$40-1,Projects!$B$40*Assumptions!$B$12/Projects!$D$40*0.95+0.05*Projects!$B$40*Assumptions!$B$12,Projects!$B$40*Assumptions!$B$12/Projects!$D$40*0.95),0)+IF(AND(Projects!$G$41="Yes",48&gt;=Projects!$C$41,48&lt;Projects!$C$41+Projects!$D$41),IF(48=Projects!$C$41+Projects!$D$41-1,Projects!$B$41*Assumptions!$B$12/Projects!$D$41*0.95+0.05*Projects!$B$41*Assumptions!$B$12,Projects!$B$41*Assumptions!$B$12/Projects!$D$41*0.95),0)+IF(AND(Projects!$G$42="Yes",48&gt;=Projects!$C$42,48&lt;Projects!$C$42+Projects!$D$42),IF(48=Projects!$C$42+Projects!$D$42-1,Projects!$B$42*Assumptions!$B$12/Projects!$D$42*0.95+0.05*Projects!$B$42*Assumptions!$B$12,Projects!$B$42*Assumptions!$B$12/Projects!$D$42*0.95),0)+IF(AND(Projects!$G$43="Yes",48&gt;=Projects!$C$43,48&lt;Projects!$C$43+Projects!$D$43),IF(48=Projects!$C$43+Projects!$D$43-1,Projects!$B$43*Assumptions!$B$12/Projects!$D$43*0.95+0.05*Projects!$B$43*Assumptions!$B$12,Projects!$B$43*Assumptions!$B$12/Projects!$D$43*0.95),0)+IF(AND(Projects!$G$44="Yes",48&gt;=Projects!$C$44,48&lt;Projects!$C$44+Projects!$D$44),IF(48=Projects!$C$44+Projects!$D$44-1,Projects!$B$44*Assumptions!$B$12/Projects!$D$44*0.95+0.05*Projects!$B$44*Assumptions!$B$12,Projects!$B$44*Assumptions!$B$12/Projects!$D$44*0.95),0)+IF(AND(Projects!$G$45="Yes",48&gt;=Projects!$C$45,48&lt;Projects!$C$45+Projects!$D$45),IF(48=Projects!$C$45+Projects!$D$45-1,Projects!$B$45*Assumptions!$B$12/Projects!$D$45*0.95+0.05*Projects!$B$45*Assumptions!$B$12,Projects!$B$45*Assumptions!$B$12/Projects!$D$45*0.95),0)+IF(AND(Projects!$G$46="Yes",48&gt;=Projects!$C$46,48&lt;Projects!$C$46+Projects!$D$46),IF(48=Projects!$C$46+Projects!$D$46-1,Projects!$B$46*Assumptions!$B$12/Projects!$D$46*0.95+0.05*Projects!$B$46*Assumptions!$B$12,Projects!$B$46*Assumptions!$B$12/Projects!$D$46*0.95),0)</f>
        <v/>
      </c>
      <c r="AY110">
        <f>IF(AND(Projects!$G$30="Yes",49&gt;=Projects!$C$30,49&lt;Projects!$C$30+Projects!$D$30),IF(49=Projects!$C$30+Projects!$D$30-1,Projects!$B$30*Assumptions!$B$12/Projects!$D$30*0.95+0.05*Projects!$B$30*Assumptions!$B$12,Projects!$B$30*Assumptions!$B$12/Projects!$D$30*0.95),0)+IF(AND(Projects!$G$31="Yes",49&gt;=Projects!$C$31,49&lt;Projects!$C$31+Projects!$D$31),IF(49=Projects!$C$31+Projects!$D$31-1,Projects!$B$31*Assumptions!$B$12/Projects!$D$31*0.95+0.05*Projects!$B$31*Assumptions!$B$12,Projects!$B$31*Assumptions!$B$12/Projects!$D$31*0.95),0)+IF(AND(Projects!$G$32="Yes",49&gt;=Projects!$C$32,49&lt;Projects!$C$32+Projects!$D$32),IF(49=Projects!$C$32+Projects!$D$32-1,Projects!$B$32*Assumptions!$B$12/Projects!$D$32*0.95+0.05*Projects!$B$32*Assumptions!$B$12,Projects!$B$32*Assumptions!$B$12/Projects!$D$32*0.95),0)+IF(AND(Projects!$G$33="Yes",49&gt;=Projects!$C$33,49&lt;Projects!$C$33+Projects!$D$33),IF(49=Projects!$C$33+Projects!$D$33-1,Projects!$B$33*Assumptions!$B$12/Projects!$D$33*0.95+0.05*Projects!$B$33*Assumptions!$B$12,Projects!$B$33*Assumptions!$B$12/Projects!$D$33*0.95),0)+IF(AND(Projects!$G$34="Yes",49&gt;=Projects!$C$34,49&lt;Projects!$C$34+Projects!$D$34),IF(49=Projects!$C$34+Projects!$D$34-1,Projects!$B$34*Assumptions!$B$12/Projects!$D$34*0.95+0.05*Projects!$B$34*Assumptions!$B$12,Projects!$B$34*Assumptions!$B$12/Projects!$D$34*0.95),0)+IF(AND(Projects!$G$35="Yes",49&gt;=Projects!$C$35,49&lt;Projects!$C$35+Projects!$D$35),IF(49=Projects!$C$35+Projects!$D$35-1,Projects!$B$35*Assumptions!$B$12/Projects!$D$35*0.95+0.05*Projects!$B$35*Assumptions!$B$12,Projects!$B$35*Assumptions!$B$12/Projects!$D$35*0.95),0)+IF(AND(Projects!$G$36="Yes",49&gt;=Projects!$C$36,49&lt;Projects!$C$36+Projects!$D$36),IF(49=Projects!$C$36+Projects!$D$36-1,Projects!$B$36*Assumptions!$B$12/Projects!$D$36*0.95+0.05*Projects!$B$36*Assumptions!$B$12,Projects!$B$36*Assumptions!$B$12/Projects!$D$36*0.95),0)+IF(AND(Projects!$G$37="Yes",49&gt;=Projects!$C$37,49&lt;Projects!$C$37+Projects!$D$37),IF(49=Projects!$C$37+Projects!$D$37-1,Projects!$B$37*Assumptions!$B$12/Projects!$D$37*0.95+0.05*Projects!$B$37*Assumptions!$B$12,Projects!$B$37*Assumptions!$B$12/Projects!$D$37*0.95),0)+IF(AND(Projects!$G$38="Yes",49&gt;=Projects!$C$38,49&lt;Projects!$C$38+Projects!$D$38),IF(49=Projects!$C$38+Projects!$D$38-1,Projects!$B$38*Assumptions!$B$12/Projects!$D$38*0.95+0.05*Projects!$B$38*Assumptions!$B$12,Projects!$B$38*Assumptions!$B$12/Projects!$D$38*0.95),0)+IF(AND(Projects!$G$39="Yes",49&gt;=Projects!$C$39,49&lt;Projects!$C$39+Projects!$D$39),IF(49=Projects!$C$39+Projects!$D$39-1,Projects!$B$39*Assumptions!$B$12/Projects!$D$39*0.95+0.05*Projects!$B$39*Assumptions!$B$12,Projects!$B$39*Assumptions!$B$12/Projects!$D$39*0.95),0)+IF(AND(Projects!$G$40="Yes",49&gt;=Projects!$C$40,49&lt;Projects!$C$40+Projects!$D$40),IF(49=Projects!$C$40+Projects!$D$40-1,Projects!$B$40*Assumptions!$B$12/Projects!$D$40*0.95+0.05*Projects!$B$40*Assumptions!$B$12,Projects!$B$40*Assumptions!$B$12/Projects!$D$40*0.95),0)+IF(AND(Projects!$G$41="Yes",49&gt;=Projects!$C$41,49&lt;Projects!$C$41+Projects!$D$41),IF(49=Projects!$C$41+Projects!$D$41-1,Projects!$B$41*Assumptions!$B$12/Projects!$D$41*0.95+0.05*Projects!$B$41*Assumptions!$B$12,Projects!$B$41*Assumptions!$B$12/Projects!$D$41*0.95),0)+IF(AND(Projects!$G$42="Yes",49&gt;=Projects!$C$42,49&lt;Projects!$C$42+Projects!$D$42),IF(49=Projects!$C$42+Projects!$D$42-1,Projects!$B$42*Assumptions!$B$12/Projects!$D$42*0.95+0.05*Projects!$B$42*Assumptions!$B$12,Projects!$B$42*Assumptions!$B$12/Projects!$D$42*0.95),0)+IF(AND(Projects!$G$43="Yes",49&gt;=Projects!$C$43,49&lt;Projects!$C$43+Projects!$D$43),IF(49=Projects!$C$43+Projects!$D$43-1,Projects!$B$43*Assumptions!$B$12/Projects!$D$43*0.95+0.05*Projects!$B$43*Assumptions!$B$12,Projects!$B$43*Assumptions!$B$12/Projects!$D$43*0.95),0)+IF(AND(Projects!$G$44="Yes",49&gt;=Projects!$C$44,49&lt;Projects!$C$44+Projects!$D$44),IF(49=Projects!$C$44+Projects!$D$44-1,Projects!$B$44*Assumptions!$B$12/Projects!$D$44*0.95+0.05*Projects!$B$44*Assumptions!$B$12,Projects!$B$44*Assumptions!$B$12/Projects!$D$44*0.95),0)+IF(AND(Projects!$G$45="Yes",49&gt;=Projects!$C$45,49&lt;Projects!$C$45+Projects!$D$45),IF(49=Projects!$C$45+Projects!$D$45-1,Projects!$B$45*Assumptions!$B$12/Projects!$D$45*0.95+0.05*Projects!$B$45*Assumptions!$B$12,Projects!$B$45*Assumptions!$B$12/Projects!$D$45*0.95),0)+IF(AND(Projects!$G$46="Yes",49&gt;=Projects!$C$46,49&lt;Projects!$C$46+Projects!$D$46),IF(49=Projects!$C$46+Projects!$D$46-1,Projects!$B$46*Assumptions!$B$12/Projects!$D$46*0.95+0.05*Projects!$B$46*Assumptions!$B$12,Projects!$B$46*Assumptions!$B$12/Projects!$D$46*0.95),0)</f>
        <v/>
      </c>
      <c r="AZ110">
        <f>IF(AND(Projects!$G$30="Yes",50&gt;=Projects!$C$30,50&lt;Projects!$C$30+Projects!$D$30),IF(50=Projects!$C$30+Projects!$D$30-1,Projects!$B$30*Assumptions!$B$12/Projects!$D$30*0.95+0.05*Projects!$B$30*Assumptions!$B$12,Projects!$B$30*Assumptions!$B$12/Projects!$D$30*0.95),0)+IF(AND(Projects!$G$31="Yes",50&gt;=Projects!$C$31,50&lt;Projects!$C$31+Projects!$D$31),IF(50=Projects!$C$31+Projects!$D$31-1,Projects!$B$31*Assumptions!$B$12/Projects!$D$31*0.95+0.05*Projects!$B$31*Assumptions!$B$12,Projects!$B$31*Assumptions!$B$12/Projects!$D$31*0.95),0)+IF(AND(Projects!$G$32="Yes",50&gt;=Projects!$C$32,50&lt;Projects!$C$32+Projects!$D$32),IF(50=Projects!$C$32+Projects!$D$32-1,Projects!$B$32*Assumptions!$B$12/Projects!$D$32*0.95+0.05*Projects!$B$32*Assumptions!$B$12,Projects!$B$32*Assumptions!$B$12/Projects!$D$32*0.95),0)+IF(AND(Projects!$G$33="Yes",50&gt;=Projects!$C$33,50&lt;Projects!$C$33+Projects!$D$33),IF(50=Projects!$C$33+Projects!$D$33-1,Projects!$B$33*Assumptions!$B$12/Projects!$D$33*0.95+0.05*Projects!$B$33*Assumptions!$B$12,Projects!$B$33*Assumptions!$B$12/Projects!$D$33*0.95),0)+IF(AND(Projects!$G$34="Yes",50&gt;=Projects!$C$34,50&lt;Projects!$C$34+Projects!$D$34),IF(50=Projects!$C$34+Projects!$D$34-1,Projects!$B$34*Assumptions!$B$12/Projects!$D$34*0.95+0.05*Projects!$B$34*Assumptions!$B$12,Projects!$B$34*Assumptions!$B$12/Projects!$D$34*0.95),0)+IF(AND(Projects!$G$35="Yes",50&gt;=Projects!$C$35,50&lt;Projects!$C$35+Projects!$D$35),IF(50=Projects!$C$35+Projects!$D$35-1,Projects!$B$35*Assumptions!$B$12/Projects!$D$35*0.95+0.05*Projects!$B$35*Assumptions!$B$12,Projects!$B$35*Assumptions!$B$12/Projects!$D$35*0.95),0)+IF(AND(Projects!$G$36="Yes",50&gt;=Projects!$C$36,50&lt;Projects!$C$36+Projects!$D$36),IF(50=Projects!$C$36+Projects!$D$36-1,Projects!$B$36*Assumptions!$B$12/Projects!$D$36*0.95+0.05*Projects!$B$36*Assumptions!$B$12,Projects!$B$36*Assumptions!$B$12/Projects!$D$36*0.95),0)+IF(AND(Projects!$G$37="Yes",50&gt;=Projects!$C$37,50&lt;Projects!$C$37+Projects!$D$37),IF(50=Projects!$C$37+Projects!$D$37-1,Projects!$B$37*Assumptions!$B$12/Projects!$D$37*0.95+0.05*Projects!$B$37*Assumptions!$B$12,Projects!$B$37*Assumptions!$B$12/Projects!$D$37*0.95),0)+IF(AND(Projects!$G$38="Yes",50&gt;=Projects!$C$38,50&lt;Projects!$C$38+Projects!$D$38),IF(50=Projects!$C$38+Projects!$D$38-1,Projects!$B$38*Assumptions!$B$12/Projects!$D$38*0.95+0.05*Projects!$B$38*Assumptions!$B$12,Projects!$B$38*Assumptions!$B$12/Projects!$D$38*0.95),0)+IF(AND(Projects!$G$39="Yes",50&gt;=Projects!$C$39,50&lt;Projects!$C$39+Projects!$D$39),IF(50=Projects!$C$39+Projects!$D$39-1,Projects!$B$39*Assumptions!$B$12/Projects!$D$39*0.95+0.05*Projects!$B$39*Assumptions!$B$12,Projects!$B$39*Assumptions!$B$12/Projects!$D$39*0.95),0)+IF(AND(Projects!$G$40="Yes",50&gt;=Projects!$C$40,50&lt;Projects!$C$40+Projects!$D$40),IF(50=Projects!$C$40+Projects!$D$40-1,Projects!$B$40*Assumptions!$B$12/Projects!$D$40*0.95+0.05*Projects!$B$40*Assumptions!$B$12,Projects!$B$40*Assumptions!$B$12/Projects!$D$40*0.95),0)+IF(AND(Projects!$G$41="Yes",50&gt;=Projects!$C$41,50&lt;Projects!$C$41+Projects!$D$41),IF(50=Projects!$C$41+Projects!$D$41-1,Projects!$B$41*Assumptions!$B$12/Projects!$D$41*0.95+0.05*Projects!$B$41*Assumptions!$B$12,Projects!$B$41*Assumptions!$B$12/Projects!$D$41*0.95),0)+IF(AND(Projects!$G$42="Yes",50&gt;=Projects!$C$42,50&lt;Projects!$C$42+Projects!$D$42),IF(50=Projects!$C$42+Projects!$D$42-1,Projects!$B$42*Assumptions!$B$12/Projects!$D$42*0.95+0.05*Projects!$B$42*Assumptions!$B$12,Projects!$B$42*Assumptions!$B$12/Projects!$D$42*0.95),0)+IF(AND(Projects!$G$43="Yes",50&gt;=Projects!$C$43,50&lt;Projects!$C$43+Projects!$D$43),IF(50=Projects!$C$43+Projects!$D$43-1,Projects!$B$43*Assumptions!$B$12/Projects!$D$43*0.95+0.05*Projects!$B$43*Assumptions!$B$12,Projects!$B$43*Assumptions!$B$12/Projects!$D$43*0.95),0)+IF(AND(Projects!$G$44="Yes",50&gt;=Projects!$C$44,50&lt;Projects!$C$44+Projects!$D$44),IF(50=Projects!$C$44+Projects!$D$44-1,Projects!$B$44*Assumptions!$B$12/Projects!$D$44*0.95+0.05*Projects!$B$44*Assumptions!$B$12,Projects!$B$44*Assumptions!$B$12/Projects!$D$44*0.95),0)+IF(AND(Projects!$G$45="Yes",50&gt;=Projects!$C$45,50&lt;Projects!$C$45+Projects!$D$45),IF(50=Projects!$C$45+Projects!$D$45-1,Projects!$B$45*Assumptions!$B$12/Projects!$D$45*0.95+0.05*Projects!$B$45*Assumptions!$B$12,Projects!$B$45*Assumptions!$B$12/Projects!$D$45*0.95),0)+IF(AND(Projects!$G$46="Yes",50&gt;=Projects!$C$46,50&lt;Projects!$C$46+Projects!$D$46),IF(50=Projects!$C$46+Projects!$D$46-1,Projects!$B$46*Assumptions!$B$12/Projects!$D$46*0.95+0.05*Projects!$B$46*Assumptions!$B$12,Projects!$B$46*Assumptions!$B$12/Projects!$D$46*0.95),0)</f>
        <v/>
      </c>
      <c r="BA110">
        <f>IF(AND(Projects!$G$30="Yes",51&gt;=Projects!$C$30,51&lt;Projects!$C$30+Projects!$D$30),IF(51=Projects!$C$30+Projects!$D$30-1,Projects!$B$30*Assumptions!$B$12/Projects!$D$30*0.95+0.05*Projects!$B$30*Assumptions!$B$12,Projects!$B$30*Assumptions!$B$12/Projects!$D$30*0.95),0)+IF(AND(Projects!$G$31="Yes",51&gt;=Projects!$C$31,51&lt;Projects!$C$31+Projects!$D$31),IF(51=Projects!$C$31+Projects!$D$31-1,Projects!$B$31*Assumptions!$B$12/Projects!$D$31*0.95+0.05*Projects!$B$31*Assumptions!$B$12,Projects!$B$31*Assumptions!$B$12/Projects!$D$31*0.95),0)+IF(AND(Projects!$G$32="Yes",51&gt;=Projects!$C$32,51&lt;Projects!$C$32+Projects!$D$32),IF(51=Projects!$C$32+Projects!$D$32-1,Projects!$B$32*Assumptions!$B$12/Projects!$D$32*0.95+0.05*Projects!$B$32*Assumptions!$B$12,Projects!$B$32*Assumptions!$B$12/Projects!$D$32*0.95),0)+IF(AND(Projects!$G$33="Yes",51&gt;=Projects!$C$33,51&lt;Projects!$C$33+Projects!$D$33),IF(51=Projects!$C$33+Projects!$D$33-1,Projects!$B$33*Assumptions!$B$12/Projects!$D$33*0.95+0.05*Projects!$B$33*Assumptions!$B$12,Projects!$B$33*Assumptions!$B$12/Projects!$D$33*0.95),0)+IF(AND(Projects!$G$34="Yes",51&gt;=Projects!$C$34,51&lt;Projects!$C$34+Projects!$D$34),IF(51=Projects!$C$34+Projects!$D$34-1,Projects!$B$34*Assumptions!$B$12/Projects!$D$34*0.95+0.05*Projects!$B$34*Assumptions!$B$12,Projects!$B$34*Assumptions!$B$12/Projects!$D$34*0.95),0)+IF(AND(Projects!$G$35="Yes",51&gt;=Projects!$C$35,51&lt;Projects!$C$35+Projects!$D$35),IF(51=Projects!$C$35+Projects!$D$35-1,Projects!$B$35*Assumptions!$B$12/Projects!$D$35*0.95+0.05*Projects!$B$35*Assumptions!$B$12,Projects!$B$35*Assumptions!$B$12/Projects!$D$35*0.95),0)+IF(AND(Projects!$G$36="Yes",51&gt;=Projects!$C$36,51&lt;Projects!$C$36+Projects!$D$36),IF(51=Projects!$C$36+Projects!$D$36-1,Projects!$B$36*Assumptions!$B$12/Projects!$D$36*0.95+0.05*Projects!$B$36*Assumptions!$B$12,Projects!$B$36*Assumptions!$B$12/Projects!$D$36*0.95),0)+IF(AND(Projects!$G$37="Yes",51&gt;=Projects!$C$37,51&lt;Projects!$C$37+Projects!$D$37),IF(51=Projects!$C$37+Projects!$D$37-1,Projects!$B$37*Assumptions!$B$12/Projects!$D$37*0.95+0.05*Projects!$B$37*Assumptions!$B$12,Projects!$B$37*Assumptions!$B$12/Projects!$D$37*0.95),0)+IF(AND(Projects!$G$38="Yes",51&gt;=Projects!$C$38,51&lt;Projects!$C$38+Projects!$D$38),IF(51=Projects!$C$38+Projects!$D$38-1,Projects!$B$38*Assumptions!$B$12/Projects!$D$38*0.95+0.05*Projects!$B$38*Assumptions!$B$12,Projects!$B$38*Assumptions!$B$12/Projects!$D$38*0.95),0)+IF(AND(Projects!$G$39="Yes",51&gt;=Projects!$C$39,51&lt;Projects!$C$39+Projects!$D$39),IF(51=Projects!$C$39+Projects!$D$39-1,Projects!$B$39*Assumptions!$B$12/Projects!$D$39*0.95+0.05*Projects!$B$39*Assumptions!$B$12,Projects!$B$39*Assumptions!$B$12/Projects!$D$39*0.95),0)+IF(AND(Projects!$G$40="Yes",51&gt;=Projects!$C$40,51&lt;Projects!$C$40+Projects!$D$40),IF(51=Projects!$C$40+Projects!$D$40-1,Projects!$B$40*Assumptions!$B$12/Projects!$D$40*0.95+0.05*Projects!$B$40*Assumptions!$B$12,Projects!$B$40*Assumptions!$B$12/Projects!$D$40*0.95),0)+IF(AND(Projects!$G$41="Yes",51&gt;=Projects!$C$41,51&lt;Projects!$C$41+Projects!$D$41),IF(51=Projects!$C$41+Projects!$D$41-1,Projects!$B$41*Assumptions!$B$12/Projects!$D$41*0.95+0.05*Projects!$B$41*Assumptions!$B$12,Projects!$B$41*Assumptions!$B$12/Projects!$D$41*0.95),0)+IF(AND(Projects!$G$42="Yes",51&gt;=Projects!$C$42,51&lt;Projects!$C$42+Projects!$D$42),IF(51=Projects!$C$42+Projects!$D$42-1,Projects!$B$42*Assumptions!$B$12/Projects!$D$42*0.95+0.05*Projects!$B$42*Assumptions!$B$12,Projects!$B$42*Assumptions!$B$12/Projects!$D$42*0.95),0)+IF(AND(Projects!$G$43="Yes",51&gt;=Projects!$C$43,51&lt;Projects!$C$43+Projects!$D$43),IF(51=Projects!$C$43+Projects!$D$43-1,Projects!$B$43*Assumptions!$B$12/Projects!$D$43*0.95+0.05*Projects!$B$43*Assumptions!$B$12,Projects!$B$43*Assumptions!$B$12/Projects!$D$43*0.95),0)+IF(AND(Projects!$G$44="Yes",51&gt;=Projects!$C$44,51&lt;Projects!$C$44+Projects!$D$44),IF(51=Projects!$C$44+Projects!$D$44-1,Projects!$B$44*Assumptions!$B$12/Projects!$D$44*0.95+0.05*Projects!$B$44*Assumptions!$B$12,Projects!$B$44*Assumptions!$B$12/Projects!$D$44*0.95),0)+IF(AND(Projects!$G$45="Yes",51&gt;=Projects!$C$45,51&lt;Projects!$C$45+Projects!$D$45),IF(51=Projects!$C$45+Projects!$D$45-1,Projects!$B$45*Assumptions!$B$12/Projects!$D$45*0.95+0.05*Projects!$B$45*Assumptions!$B$12,Projects!$B$45*Assumptions!$B$12/Projects!$D$45*0.95),0)+IF(AND(Projects!$G$46="Yes",51&gt;=Projects!$C$46,51&lt;Projects!$C$46+Projects!$D$46),IF(51=Projects!$C$46+Projects!$D$46-1,Projects!$B$46*Assumptions!$B$12/Projects!$D$46*0.95+0.05*Projects!$B$46*Assumptions!$B$12,Projects!$B$46*Assumptions!$B$12/Projects!$D$46*0.95),0)</f>
        <v/>
      </c>
      <c r="BB110">
        <f>IF(AND(Projects!$G$30="Yes",52&gt;=Projects!$C$30,52&lt;Projects!$C$30+Projects!$D$30),IF(52=Projects!$C$30+Projects!$D$30-1,Projects!$B$30*Assumptions!$B$12/Projects!$D$30*0.95+0.05*Projects!$B$30*Assumptions!$B$12,Projects!$B$30*Assumptions!$B$12/Projects!$D$30*0.95),0)+IF(AND(Projects!$G$31="Yes",52&gt;=Projects!$C$31,52&lt;Projects!$C$31+Projects!$D$31),IF(52=Projects!$C$31+Projects!$D$31-1,Projects!$B$31*Assumptions!$B$12/Projects!$D$31*0.95+0.05*Projects!$B$31*Assumptions!$B$12,Projects!$B$31*Assumptions!$B$12/Projects!$D$31*0.95),0)+IF(AND(Projects!$G$32="Yes",52&gt;=Projects!$C$32,52&lt;Projects!$C$32+Projects!$D$32),IF(52=Projects!$C$32+Projects!$D$32-1,Projects!$B$32*Assumptions!$B$12/Projects!$D$32*0.95+0.05*Projects!$B$32*Assumptions!$B$12,Projects!$B$32*Assumptions!$B$12/Projects!$D$32*0.95),0)+IF(AND(Projects!$G$33="Yes",52&gt;=Projects!$C$33,52&lt;Projects!$C$33+Projects!$D$33),IF(52=Projects!$C$33+Projects!$D$33-1,Projects!$B$33*Assumptions!$B$12/Projects!$D$33*0.95+0.05*Projects!$B$33*Assumptions!$B$12,Projects!$B$33*Assumptions!$B$12/Projects!$D$33*0.95),0)+IF(AND(Projects!$G$34="Yes",52&gt;=Projects!$C$34,52&lt;Projects!$C$34+Projects!$D$34),IF(52=Projects!$C$34+Projects!$D$34-1,Projects!$B$34*Assumptions!$B$12/Projects!$D$34*0.95+0.05*Projects!$B$34*Assumptions!$B$12,Projects!$B$34*Assumptions!$B$12/Projects!$D$34*0.95),0)+IF(AND(Projects!$G$35="Yes",52&gt;=Projects!$C$35,52&lt;Projects!$C$35+Projects!$D$35),IF(52=Projects!$C$35+Projects!$D$35-1,Projects!$B$35*Assumptions!$B$12/Projects!$D$35*0.95+0.05*Projects!$B$35*Assumptions!$B$12,Projects!$B$35*Assumptions!$B$12/Projects!$D$35*0.95),0)+IF(AND(Projects!$G$36="Yes",52&gt;=Projects!$C$36,52&lt;Projects!$C$36+Projects!$D$36),IF(52=Projects!$C$36+Projects!$D$36-1,Projects!$B$36*Assumptions!$B$12/Projects!$D$36*0.95+0.05*Projects!$B$36*Assumptions!$B$12,Projects!$B$36*Assumptions!$B$12/Projects!$D$36*0.95),0)+IF(AND(Projects!$G$37="Yes",52&gt;=Projects!$C$37,52&lt;Projects!$C$37+Projects!$D$37),IF(52=Projects!$C$37+Projects!$D$37-1,Projects!$B$37*Assumptions!$B$12/Projects!$D$37*0.95+0.05*Projects!$B$37*Assumptions!$B$12,Projects!$B$37*Assumptions!$B$12/Projects!$D$37*0.95),0)+IF(AND(Projects!$G$38="Yes",52&gt;=Projects!$C$38,52&lt;Projects!$C$38+Projects!$D$38),IF(52=Projects!$C$38+Projects!$D$38-1,Projects!$B$38*Assumptions!$B$12/Projects!$D$38*0.95+0.05*Projects!$B$38*Assumptions!$B$12,Projects!$B$38*Assumptions!$B$12/Projects!$D$38*0.95),0)+IF(AND(Projects!$G$39="Yes",52&gt;=Projects!$C$39,52&lt;Projects!$C$39+Projects!$D$39),IF(52=Projects!$C$39+Projects!$D$39-1,Projects!$B$39*Assumptions!$B$12/Projects!$D$39*0.95+0.05*Projects!$B$39*Assumptions!$B$12,Projects!$B$39*Assumptions!$B$12/Projects!$D$39*0.95),0)+IF(AND(Projects!$G$40="Yes",52&gt;=Projects!$C$40,52&lt;Projects!$C$40+Projects!$D$40),IF(52=Projects!$C$40+Projects!$D$40-1,Projects!$B$40*Assumptions!$B$12/Projects!$D$40*0.95+0.05*Projects!$B$40*Assumptions!$B$12,Projects!$B$40*Assumptions!$B$12/Projects!$D$40*0.95),0)+IF(AND(Projects!$G$41="Yes",52&gt;=Projects!$C$41,52&lt;Projects!$C$41+Projects!$D$41),IF(52=Projects!$C$41+Projects!$D$41-1,Projects!$B$41*Assumptions!$B$12/Projects!$D$41*0.95+0.05*Projects!$B$41*Assumptions!$B$12,Projects!$B$41*Assumptions!$B$12/Projects!$D$41*0.95),0)+IF(AND(Projects!$G$42="Yes",52&gt;=Projects!$C$42,52&lt;Projects!$C$42+Projects!$D$42),IF(52=Projects!$C$42+Projects!$D$42-1,Projects!$B$42*Assumptions!$B$12/Projects!$D$42*0.95+0.05*Projects!$B$42*Assumptions!$B$12,Projects!$B$42*Assumptions!$B$12/Projects!$D$42*0.95),0)+IF(AND(Projects!$G$43="Yes",52&gt;=Projects!$C$43,52&lt;Projects!$C$43+Projects!$D$43),IF(52=Projects!$C$43+Projects!$D$43-1,Projects!$B$43*Assumptions!$B$12/Projects!$D$43*0.95+0.05*Projects!$B$43*Assumptions!$B$12,Projects!$B$43*Assumptions!$B$12/Projects!$D$43*0.95),0)+IF(AND(Projects!$G$44="Yes",52&gt;=Projects!$C$44,52&lt;Projects!$C$44+Projects!$D$44),IF(52=Projects!$C$44+Projects!$D$44-1,Projects!$B$44*Assumptions!$B$12/Projects!$D$44*0.95+0.05*Projects!$B$44*Assumptions!$B$12,Projects!$B$44*Assumptions!$B$12/Projects!$D$44*0.95),0)+IF(AND(Projects!$G$45="Yes",52&gt;=Projects!$C$45,52&lt;Projects!$C$45+Projects!$D$45),IF(52=Projects!$C$45+Projects!$D$45-1,Projects!$B$45*Assumptions!$B$12/Projects!$D$45*0.95+0.05*Projects!$B$45*Assumptions!$B$12,Projects!$B$45*Assumptions!$B$12/Projects!$D$45*0.95),0)+IF(AND(Projects!$G$46="Yes",52&gt;=Projects!$C$46,52&lt;Projects!$C$46+Projects!$D$46),IF(52=Projects!$C$46+Projects!$D$46-1,Projects!$B$46*Assumptions!$B$12/Projects!$D$46*0.95+0.05*Projects!$B$46*Assumptions!$B$12,Projects!$B$46*Assumptions!$B$12/Projects!$D$46*0.95),0)</f>
        <v/>
      </c>
      <c r="BC110">
        <f>IF(AND(Projects!$G$30="Yes",53&gt;=Projects!$C$30,53&lt;Projects!$C$30+Projects!$D$30),IF(53=Projects!$C$30+Projects!$D$30-1,Projects!$B$30*Assumptions!$B$12/Projects!$D$30*0.95+0.05*Projects!$B$30*Assumptions!$B$12,Projects!$B$30*Assumptions!$B$12/Projects!$D$30*0.95),0)+IF(AND(Projects!$G$31="Yes",53&gt;=Projects!$C$31,53&lt;Projects!$C$31+Projects!$D$31),IF(53=Projects!$C$31+Projects!$D$31-1,Projects!$B$31*Assumptions!$B$12/Projects!$D$31*0.95+0.05*Projects!$B$31*Assumptions!$B$12,Projects!$B$31*Assumptions!$B$12/Projects!$D$31*0.95),0)+IF(AND(Projects!$G$32="Yes",53&gt;=Projects!$C$32,53&lt;Projects!$C$32+Projects!$D$32),IF(53=Projects!$C$32+Projects!$D$32-1,Projects!$B$32*Assumptions!$B$12/Projects!$D$32*0.95+0.05*Projects!$B$32*Assumptions!$B$12,Projects!$B$32*Assumptions!$B$12/Projects!$D$32*0.95),0)+IF(AND(Projects!$G$33="Yes",53&gt;=Projects!$C$33,53&lt;Projects!$C$33+Projects!$D$33),IF(53=Projects!$C$33+Projects!$D$33-1,Projects!$B$33*Assumptions!$B$12/Projects!$D$33*0.95+0.05*Projects!$B$33*Assumptions!$B$12,Projects!$B$33*Assumptions!$B$12/Projects!$D$33*0.95),0)+IF(AND(Projects!$G$34="Yes",53&gt;=Projects!$C$34,53&lt;Projects!$C$34+Projects!$D$34),IF(53=Projects!$C$34+Projects!$D$34-1,Projects!$B$34*Assumptions!$B$12/Projects!$D$34*0.95+0.05*Projects!$B$34*Assumptions!$B$12,Projects!$B$34*Assumptions!$B$12/Projects!$D$34*0.95),0)+IF(AND(Projects!$G$35="Yes",53&gt;=Projects!$C$35,53&lt;Projects!$C$35+Projects!$D$35),IF(53=Projects!$C$35+Projects!$D$35-1,Projects!$B$35*Assumptions!$B$12/Projects!$D$35*0.95+0.05*Projects!$B$35*Assumptions!$B$12,Projects!$B$35*Assumptions!$B$12/Projects!$D$35*0.95),0)+IF(AND(Projects!$G$36="Yes",53&gt;=Projects!$C$36,53&lt;Projects!$C$36+Projects!$D$36),IF(53=Projects!$C$36+Projects!$D$36-1,Projects!$B$36*Assumptions!$B$12/Projects!$D$36*0.95+0.05*Projects!$B$36*Assumptions!$B$12,Projects!$B$36*Assumptions!$B$12/Projects!$D$36*0.95),0)+IF(AND(Projects!$G$37="Yes",53&gt;=Projects!$C$37,53&lt;Projects!$C$37+Projects!$D$37),IF(53=Projects!$C$37+Projects!$D$37-1,Projects!$B$37*Assumptions!$B$12/Projects!$D$37*0.95+0.05*Projects!$B$37*Assumptions!$B$12,Projects!$B$37*Assumptions!$B$12/Projects!$D$37*0.95),0)+IF(AND(Projects!$G$38="Yes",53&gt;=Projects!$C$38,53&lt;Projects!$C$38+Projects!$D$38),IF(53=Projects!$C$38+Projects!$D$38-1,Projects!$B$38*Assumptions!$B$12/Projects!$D$38*0.95+0.05*Projects!$B$38*Assumptions!$B$12,Projects!$B$38*Assumptions!$B$12/Projects!$D$38*0.95),0)+IF(AND(Projects!$G$39="Yes",53&gt;=Projects!$C$39,53&lt;Projects!$C$39+Projects!$D$39),IF(53=Projects!$C$39+Projects!$D$39-1,Projects!$B$39*Assumptions!$B$12/Projects!$D$39*0.95+0.05*Projects!$B$39*Assumptions!$B$12,Projects!$B$39*Assumptions!$B$12/Projects!$D$39*0.95),0)+IF(AND(Projects!$G$40="Yes",53&gt;=Projects!$C$40,53&lt;Projects!$C$40+Projects!$D$40),IF(53=Projects!$C$40+Projects!$D$40-1,Projects!$B$40*Assumptions!$B$12/Projects!$D$40*0.95+0.05*Projects!$B$40*Assumptions!$B$12,Projects!$B$40*Assumptions!$B$12/Projects!$D$40*0.95),0)+IF(AND(Projects!$G$41="Yes",53&gt;=Projects!$C$41,53&lt;Projects!$C$41+Projects!$D$41),IF(53=Projects!$C$41+Projects!$D$41-1,Projects!$B$41*Assumptions!$B$12/Projects!$D$41*0.95+0.05*Projects!$B$41*Assumptions!$B$12,Projects!$B$41*Assumptions!$B$12/Projects!$D$41*0.95),0)+IF(AND(Projects!$G$42="Yes",53&gt;=Projects!$C$42,53&lt;Projects!$C$42+Projects!$D$42),IF(53=Projects!$C$42+Projects!$D$42-1,Projects!$B$42*Assumptions!$B$12/Projects!$D$42*0.95+0.05*Projects!$B$42*Assumptions!$B$12,Projects!$B$42*Assumptions!$B$12/Projects!$D$42*0.95),0)+IF(AND(Projects!$G$43="Yes",53&gt;=Projects!$C$43,53&lt;Projects!$C$43+Projects!$D$43),IF(53=Projects!$C$43+Projects!$D$43-1,Projects!$B$43*Assumptions!$B$12/Projects!$D$43*0.95+0.05*Projects!$B$43*Assumptions!$B$12,Projects!$B$43*Assumptions!$B$12/Projects!$D$43*0.95),0)+IF(AND(Projects!$G$44="Yes",53&gt;=Projects!$C$44,53&lt;Projects!$C$44+Projects!$D$44),IF(53=Projects!$C$44+Projects!$D$44-1,Projects!$B$44*Assumptions!$B$12/Projects!$D$44*0.95+0.05*Projects!$B$44*Assumptions!$B$12,Projects!$B$44*Assumptions!$B$12/Projects!$D$44*0.95),0)+IF(AND(Projects!$G$45="Yes",53&gt;=Projects!$C$45,53&lt;Projects!$C$45+Projects!$D$45),IF(53=Projects!$C$45+Projects!$D$45-1,Projects!$B$45*Assumptions!$B$12/Projects!$D$45*0.95+0.05*Projects!$B$45*Assumptions!$B$12,Projects!$B$45*Assumptions!$B$12/Projects!$D$45*0.95),0)+IF(AND(Projects!$G$46="Yes",53&gt;=Projects!$C$46,53&lt;Projects!$C$46+Projects!$D$46),IF(53=Projects!$C$46+Projects!$D$46-1,Projects!$B$46*Assumptions!$B$12/Projects!$D$46*0.95+0.05*Projects!$B$46*Assumptions!$B$12,Projects!$B$46*Assumptions!$B$12/Projects!$D$46*0.95),0)</f>
        <v/>
      </c>
      <c r="BD110">
        <f>IF(AND(Projects!$G$30="Yes",54&gt;=Projects!$C$30,54&lt;Projects!$C$30+Projects!$D$30),IF(54=Projects!$C$30+Projects!$D$30-1,Projects!$B$30*Assumptions!$B$12/Projects!$D$30*0.95+0.05*Projects!$B$30*Assumptions!$B$12,Projects!$B$30*Assumptions!$B$12/Projects!$D$30*0.95),0)+IF(AND(Projects!$G$31="Yes",54&gt;=Projects!$C$31,54&lt;Projects!$C$31+Projects!$D$31),IF(54=Projects!$C$31+Projects!$D$31-1,Projects!$B$31*Assumptions!$B$12/Projects!$D$31*0.95+0.05*Projects!$B$31*Assumptions!$B$12,Projects!$B$31*Assumptions!$B$12/Projects!$D$31*0.95),0)+IF(AND(Projects!$G$32="Yes",54&gt;=Projects!$C$32,54&lt;Projects!$C$32+Projects!$D$32),IF(54=Projects!$C$32+Projects!$D$32-1,Projects!$B$32*Assumptions!$B$12/Projects!$D$32*0.95+0.05*Projects!$B$32*Assumptions!$B$12,Projects!$B$32*Assumptions!$B$12/Projects!$D$32*0.95),0)+IF(AND(Projects!$G$33="Yes",54&gt;=Projects!$C$33,54&lt;Projects!$C$33+Projects!$D$33),IF(54=Projects!$C$33+Projects!$D$33-1,Projects!$B$33*Assumptions!$B$12/Projects!$D$33*0.95+0.05*Projects!$B$33*Assumptions!$B$12,Projects!$B$33*Assumptions!$B$12/Projects!$D$33*0.95),0)+IF(AND(Projects!$G$34="Yes",54&gt;=Projects!$C$34,54&lt;Projects!$C$34+Projects!$D$34),IF(54=Projects!$C$34+Projects!$D$34-1,Projects!$B$34*Assumptions!$B$12/Projects!$D$34*0.95+0.05*Projects!$B$34*Assumptions!$B$12,Projects!$B$34*Assumptions!$B$12/Projects!$D$34*0.95),0)+IF(AND(Projects!$G$35="Yes",54&gt;=Projects!$C$35,54&lt;Projects!$C$35+Projects!$D$35),IF(54=Projects!$C$35+Projects!$D$35-1,Projects!$B$35*Assumptions!$B$12/Projects!$D$35*0.95+0.05*Projects!$B$35*Assumptions!$B$12,Projects!$B$35*Assumptions!$B$12/Projects!$D$35*0.95),0)+IF(AND(Projects!$G$36="Yes",54&gt;=Projects!$C$36,54&lt;Projects!$C$36+Projects!$D$36),IF(54=Projects!$C$36+Projects!$D$36-1,Projects!$B$36*Assumptions!$B$12/Projects!$D$36*0.95+0.05*Projects!$B$36*Assumptions!$B$12,Projects!$B$36*Assumptions!$B$12/Projects!$D$36*0.95),0)+IF(AND(Projects!$G$37="Yes",54&gt;=Projects!$C$37,54&lt;Projects!$C$37+Projects!$D$37),IF(54=Projects!$C$37+Projects!$D$37-1,Projects!$B$37*Assumptions!$B$12/Projects!$D$37*0.95+0.05*Projects!$B$37*Assumptions!$B$12,Projects!$B$37*Assumptions!$B$12/Projects!$D$37*0.95),0)+IF(AND(Projects!$G$38="Yes",54&gt;=Projects!$C$38,54&lt;Projects!$C$38+Projects!$D$38),IF(54=Projects!$C$38+Projects!$D$38-1,Projects!$B$38*Assumptions!$B$12/Projects!$D$38*0.95+0.05*Projects!$B$38*Assumptions!$B$12,Projects!$B$38*Assumptions!$B$12/Projects!$D$38*0.95),0)+IF(AND(Projects!$G$39="Yes",54&gt;=Projects!$C$39,54&lt;Projects!$C$39+Projects!$D$39),IF(54=Projects!$C$39+Projects!$D$39-1,Projects!$B$39*Assumptions!$B$12/Projects!$D$39*0.95+0.05*Projects!$B$39*Assumptions!$B$12,Projects!$B$39*Assumptions!$B$12/Projects!$D$39*0.95),0)+IF(AND(Projects!$G$40="Yes",54&gt;=Projects!$C$40,54&lt;Projects!$C$40+Projects!$D$40),IF(54=Projects!$C$40+Projects!$D$40-1,Projects!$B$40*Assumptions!$B$12/Projects!$D$40*0.95+0.05*Projects!$B$40*Assumptions!$B$12,Projects!$B$40*Assumptions!$B$12/Projects!$D$40*0.95),0)+IF(AND(Projects!$G$41="Yes",54&gt;=Projects!$C$41,54&lt;Projects!$C$41+Projects!$D$41),IF(54=Projects!$C$41+Projects!$D$41-1,Projects!$B$41*Assumptions!$B$12/Projects!$D$41*0.95+0.05*Projects!$B$41*Assumptions!$B$12,Projects!$B$41*Assumptions!$B$12/Projects!$D$41*0.95),0)+IF(AND(Projects!$G$42="Yes",54&gt;=Projects!$C$42,54&lt;Projects!$C$42+Projects!$D$42),IF(54=Projects!$C$42+Projects!$D$42-1,Projects!$B$42*Assumptions!$B$12/Projects!$D$42*0.95+0.05*Projects!$B$42*Assumptions!$B$12,Projects!$B$42*Assumptions!$B$12/Projects!$D$42*0.95),0)+IF(AND(Projects!$G$43="Yes",54&gt;=Projects!$C$43,54&lt;Projects!$C$43+Projects!$D$43),IF(54=Projects!$C$43+Projects!$D$43-1,Projects!$B$43*Assumptions!$B$12/Projects!$D$43*0.95+0.05*Projects!$B$43*Assumptions!$B$12,Projects!$B$43*Assumptions!$B$12/Projects!$D$43*0.95),0)+IF(AND(Projects!$G$44="Yes",54&gt;=Projects!$C$44,54&lt;Projects!$C$44+Projects!$D$44),IF(54=Projects!$C$44+Projects!$D$44-1,Projects!$B$44*Assumptions!$B$12/Projects!$D$44*0.95+0.05*Projects!$B$44*Assumptions!$B$12,Projects!$B$44*Assumptions!$B$12/Projects!$D$44*0.95),0)+IF(AND(Projects!$G$45="Yes",54&gt;=Projects!$C$45,54&lt;Projects!$C$45+Projects!$D$45),IF(54=Projects!$C$45+Projects!$D$45-1,Projects!$B$45*Assumptions!$B$12/Projects!$D$45*0.95+0.05*Projects!$B$45*Assumptions!$B$12,Projects!$B$45*Assumptions!$B$12/Projects!$D$45*0.95),0)+IF(AND(Projects!$G$46="Yes",54&gt;=Projects!$C$46,54&lt;Projects!$C$46+Projects!$D$46),IF(54=Projects!$C$46+Projects!$D$46-1,Projects!$B$46*Assumptions!$B$12/Projects!$D$46*0.95+0.05*Projects!$B$46*Assumptions!$B$12,Projects!$B$46*Assumptions!$B$12/Projects!$D$46*0.95),0)</f>
        <v/>
      </c>
      <c r="BE110">
        <f>IF(AND(Projects!$G$30="Yes",55&gt;=Projects!$C$30,55&lt;Projects!$C$30+Projects!$D$30),IF(55=Projects!$C$30+Projects!$D$30-1,Projects!$B$30*Assumptions!$B$12/Projects!$D$30*0.95+0.05*Projects!$B$30*Assumptions!$B$12,Projects!$B$30*Assumptions!$B$12/Projects!$D$30*0.95),0)+IF(AND(Projects!$G$31="Yes",55&gt;=Projects!$C$31,55&lt;Projects!$C$31+Projects!$D$31),IF(55=Projects!$C$31+Projects!$D$31-1,Projects!$B$31*Assumptions!$B$12/Projects!$D$31*0.95+0.05*Projects!$B$31*Assumptions!$B$12,Projects!$B$31*Assumptions!$B$12/Projects!$D$31*0.95),0)+IF(AND(Projects!$G$32="Yes",55&gt;=Projects!$C$32,55&lt;Projects!$C$32+Projects!$D$32),IF(55=Projects!$C$32+Projects!$D$32-1,Projects!$B$32*Assumptions!$B$12/Projects!$D$32*0.95+0.05*Projects!$B$32*Assumptions!$B$12,Projects!$B$32*Assumptions!$B$12/Projects!$D$32*0.95),0)+IF(AND(Projects!$G$33="Yes",55&gt;=Projects!$C$33,55&lt;Projects!$C$33+Projects!$D$33),IF(55=Projects!$C$33+Projects!$D$33-1,Projects!$B$33*Assumptions!$B$12/Projects!$D$33*0.95+0.05*Projects!$B$33*Assumptions!$B$12,Projects!$B$33*Assumptions!$B$12/Projects!$D$33*0.95),0)+IF(AND(Projects!$G$34="Yes",55&gt;=Projects!$C$34,55&lt;Projects!$C$34+Projects!$D$34),IF(55=Projects!$C$34+Projects!$D$34-1,Projects!$B$34*Assumptions!$B$12/Projects!$D$34*0.95+0.05*Projects!$B$34*Assumptions!$B$12,Projects!$B$34*Assumptions!$B$12/Projects!$D$34*0.95),0)+IF(AND(Projects!$G$35="Yes",55&gt;=Projects!$C$35,55&lt;Projects!$C$35+Projects!$D$35),IF(55=Projects!$C$35+Projects!$D$35-1,Projects!$B$35*Assumptions!$B$12/Projects!$D$35*0.95+0.05*Projects!$B$35*Assumptions!$B$12,Projects!$B$35*Assumptions!$B$12/Projects!$D$35*0.95),0)+IF(AND(Projects!$G$36="Yes",55&gt;=Projects!$C$36,55&lt;Projects!$C$36+Projects!$D$36),IF(55=Projects!$C$36+Projects!$D$36-1,Projects!$B$36*Assumptions!$B$12/Projects!$D$36*0.95+0.05*Projects!$B$36*Assumptions!$B$12,Projects!$B$36*Assumptions!$B$12/Projects!$D$36*0.95),0)+IF(AND(Projects!$G$37="Yes",55&gt;=Projects!$C$37,55&lt;Projects!$C$37+Projects!$D$37),IF(55=Projects!$C$37+Projects!$D$37-1,Projects!$B$37*Assumptions!$B$12/Projects!$D$37*0.95+0.05*Projects!$B$37*Assumptions!$B$12,Projects!$B$37*Assumptions!$B$12/Projects!$D$37*0.95),0)+IF(AND(Projects!$G$38="Yes",55&gt;=Projects!$C$38,55&lt;Projects!$C$38+Projects!$D$38),IF(55=Projects!$C$38+Projects!$D$38-1,Projects!$B$38*Assumptions!$B$12/Projects!$D$38*0.95+0.05*Projects!$B$38*Assumptions!$B$12,Projects!$B$38*Assumptions!$B$12/Projects!$D$38*0.95),0)+IF(AND(Projects!$G$39="Yes",55&gt;=Projects!$C$39,55&lt;Projects!$C$39+Projects!$D$39),IF(55=Projects!$C$39+Projects!$D$39-1,Projects!$B$39*Assumptions!$B$12/Projects!$D$39*0.95+0.05*Projects!$B$39*Assumptions!$B$12,Projects!$B$39*Assumptions!$B$12/Projects!$D$39*0.95),0)+IF(AND(Projects!$G$40="Yes",55&gt;=Projects!$C$40,55&lt;Projects!$C$40+Projects!$D$40),IF(55=Projects!$C$40+Projects!$D$40-1,Projects!$B$40*Assumptions!$B$12/Projects!$D$40*0.95+0.05*Projects!$B$40*Assumptions!$B$12,Projects!$B$40*Assumptions!$B$12/Projects!$D$40*0.95),0)+IF(AND(Projects!$G$41="Yes",55&gt;=Projects!$C$41,55&lt;Projects!$C$41+Projects!$D$41),IF(55=Projects!$C$41+Projects!$D$41-1,Projects!$B$41*Assumptions!$B$12/Projects!$D$41*0.95+0.05*Projects!$B$41*Assumptions!$B$12,Projects!$B$41*Assumptions!$B$12/Projects!$D$41*0.95),0)+IF(AND(Projects!$G$42="Yes",55&gt;=Projects!$C$42,55&lt;Projects!$C$42+Projects!$D$42),IF(55=Projects!$C$42+Projects!$D$42-1,Projects!$B$42*Assumptions!$B$12/Projects!$D$42*0.95+0.05*Projects!$B$42*Assumptions!$B$12,Projects!$B$42*Assumptions!$B$12/Projects!$D$42*0.95),0)+IF(AND(Projects!$G$43="Yes",55&gt;=Projects!$C$43,55&lt;Projects!$C$43+Projects!$D$43),IF(55=Projects!$C$43+Projects!$D$43-1,Projects!$B$43*Assumptions!$B$12/Projects!$D$43*0.95+0.05*Projects!$B$43*Assumptions!$B$12,Projects!$B$43*Assumptions!$B$12/Projects!$D$43*0.95),0)+IF(AND(Projects!$G$44="Yes",55&gt;=Projects!$C$44,55&lt;Projects!$C$44+Projects!$D$44),IF(55=Projects!$C$44+Projects!$D$44-1,Projects!$B$44*Assumptions!$B$12/Projects!$D$44*0.95+0.05*Projects!$B$44*Assumptions!$B$12,Projects!$B$44*Assumptions!$B$12/Projects!$D$44*0.95),0)+IF(AND(Projects!$G$45="Yes",55&gt;=Projects!$C$45,55&lt;Projects!$C$45+Projects!$D$45),IF(55=Projects!$C$45+Projects!$D$45-1,Projects!$B$45*Assumptions!$B$12/Projects!$D$45*0.95+0.05*Projects!$B$45*Assumptions!$B$12,Projects!$B$45*Assumptions!$B$12/Projects!$D$45*0.95),0)+IF(AND(Projects!$G$46="Yes",55&gt;=Projects!$C$46,55&lt;Projects!$C$46+Projects!$D$46),IF(55=Projects!$C$46+Projects!$D$46-1,Projects!$B$46*Assumptions!$B$12/Projects!$D$46*0.95+0.05*Projects!$B$46*Assumptions!$B$12,Projects!$B$46*Assumptions!$B$12/Projects!$D$46*0.95),0)</f>
        <v/>
      </c>
      <c r="BF110">
        <f>IF(AND(Projects!$G$30="Yes",56&gt;=Projects!$C$30,56&lt;Projects!$C$30+Projects!$D$30),IF(56=Projects!$C$30+Projects!$D$30-1,Projects!$B$30*Assumptions!$B$12/Projects!$D$30*0.95+0.05*Projects!$B$30*Assumptions!$B$12,Projects!$B$30*Assumptions!$B$12/Projects!$D$30*0.95),0)+IF(AND(Projects!$G$31="Yes",56&gt;=Projects!$C$31,56&lt;Projects!$C$31+Projects!$D$31),IF(56=Projects!$C$31+Projects!$D$31-1,Projects!$B$31*Assumptions!$B$12/Projects!$D$31*0.95+0.05*Projects!$B$31*Assumptions!$B$12,Projects!$B$31*Assumptions!$B$12/Projects!$D$31*0.95),0)+IF(AND(Projects!$G$32="Yes",56&gt;=Projects!$C$32,56&lt;Projects!$C$32+Projects!$D$32),IF(56=Projects!$C$32+Projects!$D$32-1,Projects!$B$32*Assumptions!$B$12/Projects!$D$32*0.95+0.05*Projects!$B$32*Assumptions!$B$12,Projects!$B$32*Assumptions!$B$12/Projects!$D$32*0.95),0)+IF(AND(Projects!$G$33="Yes",56&gt;=Projects!$C$33,56&lt;Projects!$C$33+Projects!$D$33),IF(56=Projects!$C$33+Projects!$D$33-1,Projects!$B$33*Assumptions!$B$12/Projects!$D$33*0.95+0.05*Projects!$B$33*Assumptions!$B$12,Projects!$B$33*Assumptions!$B$12/Projects!$D$33*0.95),0)+IF(AND(Projects!$G$34="Yes",56&gt;=Projects!$C$34,56&lt;Projects!$C$34+Projects!$D$34),IF(56=Projects!$C$34+Projects!$D$34-1,Projects!$B$34*Assumptions!$B$12/Projects!$D$34*0.95+0.05*Projects!$B$34*Assumptions!$B$12,Projects!$B$34*Assumptions!$B$12/Projects!$D$34*0.95),0)+IF(AND(Projects!$G$35="Yes",56&gt;=Projects!$C$35,56&lt;Projects!$C$35+Projects!$D$35),IF(56=Projects!$C$35+Projects!$D$35-1,Projects!$B$35*Assumptions!$B$12/Projects!$D$35*0.95+0.05*Projects!$B$35*Assumptions!$B$12,Projects!$B$35*Assumptions!$B$12/Projects!$D$35*0.95),0)+IF(AND(Projects!$G$36="Yes",56&gt;=Projects!$C$36,56&lt;Projects!$C$36+Projects!$D$36),IF(56=Projects!$C$36+Projects!$D$36-1,Projects!$B$36*Assumptions!$B$12/Projects!$D$36*0.95+0.05*Projects!$B$36*Assumptions!$B$12,Projects!$B$36*Assumptions!$B$12/Projects!$D$36*0.95),0)+IF(AND(Projects!$G$37="Yes",56&gt;=Projects!$C$37,56&lt;Projects!$C$37+Projects!$D$37),IF(56=Projects!$C$37+Projects!$D$37-1,Projects!$B$37*Assumptions!$B$12/Projects!$D$37*0.95+0.05*Projects!$B$37*Assumptions!$B$12,Projects!$B$37*Assumptions!$B$12/Projects!$D$37*0.95),0)+IF(AND(Projects!$G$38="Yes",56&gt;=Projects!$C$38,56&lt;Projects!$C$38+Projects!$D$38),IF(56=Projects!$C$38+Projects!$D$38-1,Projects!$B$38*Assumptions!$B$12/Projects!$D$38*0.95+0.05*Projects!$B$38*Assumptions!$B$12,Projects!$B$38*Assumptions!$B$12/Projects!$D$38*0.95),0)+IF(AND(Projects!$G$39="Yes",56&gt;=Projects!$C$39,56&lt;Projects!$C$39+Projects!$D$39),IF(56=Projects!$C$39+Projects!$D$39-1,Projects!$B$39*Assumptions!$B$12/Projects!$D$39*0.95+0.05*Projects!$B$39*Assumptions!$B$12,Projects!$B$39*Assumptions!$B$12/Projects!$D$39*0.95),0)+IF(AND(Projects!$G$40="Yes",56&gt;=Projects!$C$40,56&lt;Projects!$C$40+Projects!$D$40),IF(56=Projects!$C$40+Projects!$D$40-1,Projects!$B$40*Assumptions!$B$12/Projects!$D$40*0.95+0.05*Projects!$B$40*Assumptions!$B$12,Projects!$B$40*Assumptions!$B$12/Projects!$D$40*0.95),0)+IF(AND(Projects!$G$41="Yes",56&gt;=Projects!$C$41,56&lt;Projects!$C$41+Projects!$D$41),IF(56=Projects!$C$41+Projects!$D$41-1,Projects!$B$41*Assumptions!$B$12/Projects!$D$41*0.95+0.05*Projects!$B$41*Assumptions!$B$12,Projects!$B$41*Assumptions!$B$12/Projects!$D$41*0.95),0)+IF(AND(Projects!$G$42="Yes",56&gt;=Projects!$C$42,56&lt;Projects!$C$42+Projects!$D$42),IF(56=Projects!$C$42+Projects!$D$42-1,Projects!$B$42*Assumptions!$B$12/Projects!$D$42*0.95+0.05*Projects!$B$42*Assumptions!$B$12,Projects!$B$42*Assumptions!$B$12/Projects!$D$42*0.95),0)+IF(AND(Projects!$G$43="Yes",56&gt;=Projects!$C$43,56&lt;Projects!$C$43+Projects!$D$43),IF(56=Projects!$C$43+Projects!$D$43-1,Projects!$B$43*Assumptions!$B$12/Projects!$D$43*0.95+0.05*Projects!$B$43*Assumptions!$B$12,Projects!$B$43*Assumptions!$B$12/Projects!$D$43*0.95),0)+IF(AND(Projects!$G$44="Yes",56&gt;=Projects!$C$44,56&lt;Projects!$C$44+Projects!$D$44),IF(56=Projects!$C$44+Projects!$D$44-1,Projects!$B$44*Assumptions!$B$12/Projects!$D$44*0.95+0.05*Projects!$B$44*Assumptions!$B$12,Projects!$B$44*Assumptions!$B$12/Projects!$D$44*0.95),0)+IF(AND(Projects!$G$45="Yes",56&gt;=Projects!$C$45,56&lt;Projects!$C$45+Projects!$D$45),IF(56=Projects!$C$45+Projects!$D$45-1,Projects!$B$45*Assumptions!$B$12/Projects!$D$45*0.95+0.05*Projects!$B$45*Assumptions!$B$12,Projects!$B$45*Assumptions!$B$12/Projects!$D$45*0.95),0)+IF(AND(Projects!$G$46="Yes",56&gt;=Projects!$C$46,56&lt;Projects!$C$46+Projects!$D$46),IF(56=Projects!$C$46+Projects!$D$46-1,Projects!$B$46*Assumptions!$B$12/Projects!$D$46*0.95+0.05*Projects!$B$46*Assumptions!$B$12,Projects!$B$46*Assumptions!$B$12/Projects!$D$46*0.95),0)</f>
        <v/>
      </c>
      <c r="BG110">
        <f>IF(AND(Projects!$G$30="Yes",57&gt;=Projects!$C$30,57&lt;Projects!$C$30+Projects!$D$30),IF(57=Projects!$C$30+Projects!$D$30-1,Projects!$B$30*Assumptions!$B$12/Projects!$D$30*0.95+0.05*Projects!$B$30*Assumptions!$B$12,Projects!$B$30*Assumptions!$B$12/Projects!$D$30*0.95),0)+IF(AND(Projects!$G$31="Yes",57&gt;=Projects!$C$31,57&lt;Projects!$C$31+Projects!$D$31),IF(57=Projects!$C$31+Projects!$D$31-1,Projects!$B$31*Assumptions!$B$12/Projects!$D$31*0.95+0.05*Projects!$B$31*Assumptions!$B$12,Projects!$B$31*Assumptions!$B$12/Projects!$D$31*0.95),0)+IF(AND(Projects!$G$32="Yes",57&gt;=Projects!$C$32,57&lt;Projects!$C$32+Projects!$D$32),IF(57=Projects!$C$32+Projects!$D$32-1,Projects!$B$32*Assumptions!$B$12/Projects!$D$32*0.95+0.05*Projects!$B$32*Assumptions!$B$12,Projects!$B$32*Assumptions!$B$12/Projects!$D$32*0.95),0)+IF(AND(Projects!$G$33="Yes",57&gt;=Projects!$C$33,57&lt;Projects!$C$33+Projects!$D$33),IF(57=Projects!$C$33+Projects!$D$33-1,Projects!$B$33*Assumptions!$B$12/Projects!$D$33*0.95+0.05*Projects!$B$33*Assumptions!$B$12,Projects!$B$33*Assumptions!$B$12/Projects!$D$33*0.95),0)+IF(AND(Projects!$G$34="Yes",57&gt;=Projects!$C$34,57&lt;Projects!$C$34+Projects!$D$34),IF(57=Projects!$C$34+Projects!$D$34-1,Projects!$B$34*Assumptions!$B$12/Projects!$D$34*0.95+0.05*Projects!$B$34*Assumptions!$B$12,Projects!$B$34*Assumptions!$B$12/Projects!$D$34*0.95),0)+IF(AND(Projects!$G$35="Yes",57&gt;=Projects!$C$35,57&lt;Projects!$C$35+Projects!$D$35),IF(57=Projects!$C$35+Projects!$D$35-1,Projects!$B$35*Assumptions!$B$12/Projects!$D$35*0.95+0.05*Projects!$B$35*Assumptions!$B$12,Projects!$B$35*Assumptions!$B$12/Projects!$D$35*0.95),0)+IF(AND(Projects!$G$36="Yes",57&gt;=Projects!$C$36,57&lt;Projects!$C$36+Projects!$D$36),IF(57=Projects!$C$36+Projects!$D$36-1,Projects!$B$36*Assumptions!$B$12/Projects!$D$36*0.95+0.05*Projects!$B$36*Assumptions!$B$12,Projects!$B$36*Assumptions!$B$12/Projects!$D$36*0.95),0)+IF(AND(Projects!$G$37="Yes",57&gt;=Projects!$C$37,57&lt;Projects!$C$37+Projects!$D$37),IF(57=Projects!$C$37+Projects!$D$37-1,Projects!$B$37*Assumptions!$B$12/Projects!$D$37*0.95+0.05*Projects!$B$37*Assumptions!$B$12,Projects!$B$37*Assumptions!$B$12/Projects!$D$37*0.95),0)+IF(AND(Projects!$G$38="Yes",57&gt;=Projects!$C$38,57&lt;Projects!$C$38+Projects!$D$38),IF(57=Projects!$C$38+Projects!$D$38-1,Projects!$B$38*Assumptions!$B$12/Projects!$D$38*0.95+0.05*Projects!$B$38*Assumptions!$B$12,Projects!$B$38*Assumptions!$B$12/Projects!$D$38*0.95),0)+IF(AND(Projects!$G$39="Yes",57&gt;=Projects!$C$39,57&lt;Projects!$C$39+Projects!$D$39),IF(57=Projects!$C$39+Projects!$D$39-1,Projects!$B$39*Assumptions!$B$12/Projects!$D$39*0.95+0.05*Projects!$B$39*Assumptions!$B$12,Projects!$B$39*Assumptions!$B$12/Projects!$D$39*0.95),0)+IF(AND(Projects!$G$40="Yes",57&gt;=Projects!$C$40,57&lt;Projects!$C$40+Projects!$D$40),IF(57=Projects!$C$40+Projects!$D$40-1,Projects!$B$40*Assumptions!$B$12/Projects!$D$40*0.95+0.05*Projects!$B$40*Assumptions!$B$12,Projects!$B$40*Assumptions!$B$12/Projects!$D$40*0.95),0)+IF(AND(Projects!$G$41="Yes",57&gt;=Projects!$C$41,57&lt;Projects!$C$41+Projects!$D$41),IF(57=Projects!$C$41+Projects!$D$41-1,Projects!$B$41*Assumptions!$B$12/Projects!$D$41*0.95+0.05*Projects!$B$41*Assumptions!$B$12,Projects!$B$41*Assumptions!$B$12/Projects!$D$41*0.95),0)+IF(AND(Projects!$G$42="Yes",57&gt;=Projects!$C$42,57&lt;Projects!$C$42+Projects!$D$42),IF(57=Projects!$C$42+Projects!$D$42-1,Projects!$B$42*Assumptions!$B$12/Projects!$D$42*0.95+0.05*Projects!$B$42*Assumptions!$B$12,Projects!$B$42*Assumptions!$B$12/Projects!$D$42*0.95),0)+IF(AND(Projects!$G$43="Yes",57&gt;=Projects!$C$43,57&lt;Projects!$C$43+Projects!$D$43),IF(57=Projects!$C$43+Projects!$D$43-1,Projects!$B$43*Assumptions!$B$12/Projects!$D$43*0.95+0.05*Projects!$B$43*Assumptions!$B$12,Projects!$B$43*Assumptions!$B$12/Projects!$D$43*0.95),0)+IF(AND(Projects!$G$44="Yes",57&gt;=Projects!$C$44,57&lt;Projects!$C$44+Projects!$D$44),IF(57=Projects!$C$44+Projects!$D$44-1,Projects!$B$44*Assumptions!$B$12/Projects!$D$44*0.95+0.05*Projects!$B$44*Assumptions!$B$12,Projects!$B$44*Assumptions!$B$12/Projects!$D$44*0.95),0)+IF(AND(Projects!$G$45="Yes",57&gt;=Projects!$C$45,57&lt;Projects!$C$45+Projects!$D$45),IF(57=Projects!$C$45+Projects!$D$45-1,Projects!$B$45*Assumptions!$B$12/Projects!$D$45*0.95+0.05*Projects!$B$45*Assumptions!$B$12,Projects!$B$45*Assumptions!$B$12/Projects!$D$45*0.95),0)+IF(AND(Projects!$G$46="Yes",57&gt;=Projects!$C$46,57&lt;Projects!$C$46+Projects!$D$46),IF(57=Projects!$C$46+Projects!$D$46-1,Projects!$B$46*Assumptions!$B$12/Projects!$D$46*0.95+0.05*Projects!$B$46*Assumptions!$B$12,Projects!$B$46*Assumptions!$B$12/Projects!$D$46*0.95),0)</f>
        <v/>
      </c>
      <c r="BH110">
        <f>IF(AND(Projects!$G$30="Yes",58&gt;=Projects!$C$30,58&lt;Projects!$C$30+Projects!$D$30),IF(58=Projects!$C$30+Projects!$D$30-1,Projects!$B$30*Assumptions!$B$12/Projects!$D$30*0.95+0.05*Projects!$B$30*Assumptions!$B$12,Projects!$B$30*Assumptions!$B$12/Projects!$D$30*0.95),0)+IF(AND(Projects!$G$31="Yes",58&gt;=Projects!$C$31,58&lt;Projects!$C$31+Projects!$D$31),IF(58=Projects!$C$31+Projects!$D$31-1,Projects!$B$31*Assumptions!$B$12/Projects!$D$31*0.95+0.05*Projects!$B$31*Assumptions!$B$12,Projects!$B$31*Assumptions!$B$12/Projects!$D$31*0.95),0)+IF(AND(Projects!$G$32="Yes",58&gt;=Projects!$C$32,58&lt;Projects!$C$32+Projects!$D$32),IF(58=Projects!$C$32+Projects!$D$32-1,Projects!$B$32*Assumptions!$B$12/Projects!$D$32*0.95+0.05*Projects!$B$32*Assumptions!$B$12,Projects!$B$32*Assumptions!$B$12/Projects!$D$32*0.95),0)+IF(AND(Projects!$G$33="Yes",58&gt;=Projects!$C$33,58&lt;Projects!$C$33+Projects!$D$33),IF(58=Projects!$C$33+Projects!$D$33-1,Projects!$B$33*Assumptions!$B$12/Projects!$D$33*0.95+0.05*Projects!$B$33*Assumptions!$B$12,Projects!$B$33*Assumptions!$B$12/Projects!$D$33*0.95),0)+IF(AND(Projects!$G$34="Yes",58&gt;=Projects!$C$34,58&lt;Projects!$C$34+Projects!$D$34),IF(58=Projects!$C$34+Projects!$D$34-1,Projects!$B$34*Assumptions!$B$12/Projects!$D$34*0.95+0.05*Projects!$B$34*Assumptions!$B$12,Projects!$B$34*Assumptions!$B$12/Projects!$D$34*0.95),0)+IF(AND(Projects!$G$35="Yes",58&gt;=Projects!$C$35,58&lt;Projects!$C$35+Projects!$D$35),IF(58=Projects!$C$35+Projects!$D$35-1,Projects!$B$35*Assumptions!$B$12/Projects!$D$35*0.95+0.05*Projects!$B$35*Assumptions!$B$12,Projects!$B$35*Assumptions!$B$12/Projects!$D$35*0.95),0)+IF(AND(Projects!$G$36="Yes",58&gt;=Projects!$C$36,58&lt;Projects!$C$36+Projects!$D$36),IF(58=Projects!$C$36+Projects!$D$36-1,Projects!$B$36*Assumptions!$B$12/Projects!$D$36*0.95+0.05*Projects!$B$36*Assumptions!$B$12,Projects!$B$36*Assumptions!$B$12/Projects!$D$36*0.95),0)+IF(AND(Projects!$G$37="Yes",58&gt;=Projects!$C$37,58&lt;Projects!$C$37+Projects!$D$37),IF(58=Projects!$C$37+Projects!$D$37-1,Projects!$B$37*Assumptions!$B$12/Projects!$D$37*0.95+0.05*Projects!$B$37*Assumptions!$B$12,Projects!$B$37*Assumptions!$B$12/Projects!$D$37*0.95),0)+IF(AND(Projects!$G$38="Yes",58&gt;=Projects!$C$38,58&lt;Projects!$C$38+Projects!$D$38),IF(58=Projects!$C$38+Projects!$D$38-1,Projects!$B$38*Assumptions!$B$12/Projects!$D$38*0.95+0.05*Projects!$B$38*Assumptions!$B$12,Projects!$B$38*Assumptions!$B$12/Projects!$D$38*0.95),0)+IF(AND(Projects!$G$39="Yes",58&gt;=Projects!$C$39,58&lt;Projects!$C$39+Projects!$D$39),IF(58=Projects!$C$39+Projects!$D$39-1,Projects!$B$39*Assumptions!$B$12/Projects!$D$39*0.95+0.05*Projects!$B$39*Assumptions!$B$12,Projects!$B$39*Assumptions!$B$12/Projects!$D$39*0.95),0)+IF(AND(Projects!$G$40="Yes",58&gt;=Projects!$C$40,58&lt;Projects!$C$40+Projects!$D$40),IF(58=Projects!$C$40+Projects!$D$40-1,Projects!$B$40*Assumptions!$B$12/Projects!$D$40*0.95+0.05*Projects!$B$40*Assumptions!$B$12,Projects!$B$40*Assumptions!$B$12/Projects!$D$40*0.95),0)+IF(AND(Projects!$G$41="Yes",58&gt;=Projects!$C$41,58&lt;Projects!$C$41+Projects!$D$41),IF(58=Projects!$C$41+Projects!$D$41-1,Projects!$B$41*Assumptions!$B$12/Projects!$D$41*0.95+0.05*Projects!$B$41*Assumptions!$B$12,Projects!$B$41*Assumptions!$B$12/Projects!$D$41*0.95),0)+IF(AND(Projects!$G$42="Yes",58&gt;=Projects!$C$42,58&lt;Projects!$C$42+Projects!$D$42),IF(58=Projects!$C$42+Projects!$D$42-1,Projects!$B$42*Assumptions!$B$12/Projects!$D$42*0.95+0.05*Projects!$B$42*Assumptions!$B$12,Projects!$B$42*Assumptions!$B$12/Projects!$D$42*0.95),0)+IF(AND(Projects!$G$43="Yes",58&gt;=Projects!$C$43,58&lt;Projects!$C$43+Projects!$D$43),IF(58=Projects!$C$43+Projects!$D$43-1,Projects!$B$43*Assumptions!$B$12/Projects!$D$43*0.95+0.05*Projects!$B$43*Assumptions!$B$12,Projects!$B$43*Assumptions!$B$12/Projects!$D$43*0.95),0)+IF(AND(Projects!$G$44="Yes",58&gt;=Projects!$C$44,58&lt;Projects!$C$44+Projects!$D$44),IF(58=Projects!$C$44+Projects!$D$44-1,Projects!$B$44*Assumptions!$B$12/Projects!$D$44*0.95+0.05*Projects!$B$44*Assumptions!$B$12,Projects!$B$44*Assumptions!$B$12/Projects!$D$44*0.95),0)+IF(AND(Projects!$G$45="Yes",58&gt;=Projects!$C$45,58&lt;Projects!$C$45+Projects!$D$45),IF(58=Projects!$C$45+Projects!$D$45-1,Projects!$B$45*Assumptions!$B$12/Projects!$D$45*0.95+0.05*Projects!$B$45*Assumptions!$B$12,Projects!$B$45*Assumptions!$B$12/Projects!$D$45*0.95),0)+IF(AND(Projects!$G$46="Yes",58&gt;=Projects!$C$46,58&lt;Projects!$C$46+Projects!$D$46),IF(58=Projects!$C$46+Projects!$D$46-1,Projects!$B$46*Assumptions!$B$12/Projects!$D$46*0.95+0.05*Projects!$B$46*Assumptions!$B$12,Projects!$B$46*Assumptions!$B$12/Projects!$D$46*0.95),0)</f>
        <v/>
      </c>
      <c r="BI110">
        <f>IF(AND(Projects!$G$30="Yes",59&gt;=Projects!$C$30,59&lt;Projects!$C$30+Projects!$D$30),IF(59=Projects!$C$30+Projects!$D$30-1,Projects!$B$30*Assumptions!$B$12/Projects!$D$30*0.95+0.05*Projects!$B$30*Assumptions!$B$12,Projects!$B$30*Assumptions!$B$12/Projects!$D$30*0.95),0)+IF(AND(Projects!$G$31="Yes",59&gt;=Projects!$C$31,59&lt;Projects!$C$31+Projects!$D$31),IF(59=Projects!$C$31+Projects!$D$31-1,Projects!$B$31*Assumptions!$B$12/Projects!$D$31*0.95+0.05*Projects!$B$31*Assumptions!$B$12,Projects!$B$31*Assumptions!$B$12/Projects!$D$31*0.95),0)+IF(AND(Projects!$G$32="Yes",59&gt;=Projects!$C$32,59&lt;Projects!$C$32+Projects!$D$32),IF(59=Projects!$C$32+Projects!$D$32-1,Projects!$B$32*Assumptions!$B$12/Projects!$D$32*0.95+0.05*Projects!$B$32*Assumptions!$B$12,Projects!$B$32*Assumptions!$B$12/Projects!$D$32*0.95),0)+IF(AND(Projects!$G$33="Yes",59&gt;=Projects!$C$33,59&lt;Projects!$C$33+Projects!$D$33),IF(59=Projects!$C$33+Projects!$D$33-1,Projects!$B$33*Assumptions!$B$12/Projects!$D$33*0.95+0.05*Projects!$B$33*Assumptions!$B$12,Projects!$B$33*Assumptions!$B$12/Projects!$D$33*0.95),0)+IF(AND(Projects!$G$34="Yes",59&gt;=Projects!$C$34,59&lt;Projects!$C$34+Projects!$D$34),IF(59=Projects!$C$34+Projects!$D$34-1,Projects!$B$34*Assumptions!$B$12/Projects!$D$34*0.95+0.05*Projects!$B$34*Assumptions!$B$12,Projects!$B$34*Assumptions!$B$12/Projects!$D$34*0.95),0)+IF(AND(Projects!$G$35="Yes",59&gt;=Projects!$C$35,59&lt;Projects!$C$35+Projects!$D$35),IF(59=Projects!$C$35+Projects!$D$35-1,Projects!$B$35*Assumptions!$B$12/Projects!$D$35*0.95+0.05*Projects!$B$35*Assumptions!$B$12,Projects!$B$35*Assumptions!$B$12/Projects!$D$35*0.95),0)+IF(AND(Projects!$G$36="Yes",59&gt;=Projects!$C$36,59&lt;Projects!$C$36+Projects!$D$36),IF(59=Projects!$C$36+Projects!$D$36-1,Projects!$B$36*Assumptions!$B$12/Projects!$D$36*0.95+0.05*Projects!$B$36*Assumptions!$B$12,Projects!$B$36*Assumptions!$B$12/Projects!$D$36*0.95),0)+IF(AND(Projects!$G$37="Yes",59&gt;=Projects!$C$37,59&lt;Projects!$C$37+Projects!$D$37),IF(59=Projects!$C$37+Projects!$D$37-1,Projects!$B$37*Assumptions!$B$12/Projects!$D$37*0.95+0.05*Projects!$B$37*Assumptions!$B$12,Projects!$B$37*Assumptions!$B$12/Projects!$D$37*0.95),0)+IF(AND(Projects!$G$38="Yes",59&gt;=Projects!$C$38,59&lt;Projects!$C$38+Projects!$D$38),IF(59=Projects!$C$38+Projects!$D$38-1,Projects!$B$38*Assumptions!$B$12/Projects!$D$38*0.95+0.05*Projects!$B$38*Assumptions!$B$12,Projects!$B$38*Assumptions!$B$12/Projects!$D$38*0.95),0)+IF(AND(Projects!$G$39="Yes",59&gt;=Projects!$C$39,59&lt;Projects!$C$39+Projects!$D$39),IF(59=Projects!$C$39+Projects!$D$39-1,Projects!$B$39*Assumptions!$B$12/Projects!$D$39*0.95+0.05*Projects!$B$39*Assumptions!$B$12,Projects!$B$39*Assumptions!$B$12/Projects!$D$39*0.95),0)+IF(AND(Projects!$G$40="Yes",59&gt;=Projects!$C$40,59&lt;Projects!$C$40+Projects!$D$40),IF(59=Projects!$C$40+Projects!$D$40-1,Projects!$B$40*Assumptions!$B$12/Projects!$D$40*0.95+0.05*Projects!$B$40*Assumptions!$B$12,Projects!$B$40*Assumptions!$B$12/Projects!$D$40*0.95),0)+IF(AND(Projects!$G$41="Yes",59&gt;=Projects!$C$41,59&lt;Projects!$C$41+Projects!$D$41),IF(59=Projects!$C$41+Projects!$D$41-1,Projects!$B$41*Assumptions!$B$12/Projects!$D$41*0.95+0.05*Projects!$B$41*Assumptions!$B$12,Projects!$B$41*Assumptions!$B$12/Projects!$D$41*0.95),0)+IF(AND(Projects!$G$42="Yes",59&gt;=Projects!$C$42,59&lt;Projects!$C$42+Projects!$D$42),IF(59=Projects!$C$42+Projects!$D$42-1,Projects!$B$42*Assumptions!$B$12/Projects!$D$42*0.95+0.05*Projects!$B$42*Assumptions!$B$12,Projects!$B$42*Assumptions!$B$12/Projects!$D$42*0.95),0)+IF(AND(Projects!$G$43="Yes",59&gt;=Projects!$C$43,59&lt;Projects!$C$43+Projects!$D$43),IF(59=Projects!$C$43+Projects!$D$43-1,Projects!$B$43*Assumptions!$B$12/Projects!$D$43*0.95+0.05*Projects!$B$43*Assumptions!$B$12,Projects!$B$43*Assumptions!$B$12/Projects!$D$43*0.95),0)+IF(AND(Projects!$G$44="Yes",59&gt;=Projects!$C$44,59&lt;Projects!$C$44+Projects!$D$44),IF(59=Projects!$C$44+Projects!$D$44-1,Projects!$B$44*Assumptions!$B$12/Projects!$D$44*0.95+0.05*Projects!$B$44*Assumptions!$B$12,Projects!$B$44*Assumptions!$B$12/Projects!$D$44*0.95),0)+IF(AND(Projects!$G$45="Yes",59&gt;=Projects!$C$45,59&lt;Projects!$C$45+Projects!$D$45),IF(59=Projects!$C$45+Projects!$D$45-1,Projects!$B$45*Assumptions!$B$12/Projects!$D$45*0.95+0.05*Projects!$B$45*Assumptions!$B$12,Projects!$B$45*Assumptions!$B$12/Projects!$D$45*0.95),0)+IF(AND(Projects!$G$46="Yes",59&gt;=Projects!$C$46,59&lt;Projects!$C$46+Projects!$D$46),IF(59=Projects!$C$46+Projects!$D$46-1,Projects!$B$46*Assumptions!$B$12/Projects!$D$46*0.95+0.05*Projects!$B$46*Assumptions!$B$12,Projects!$B$46*Assumptions!$B$12/Projects!$D$46*0.95),0)</f>
        <v/>
      </c>
      <c r="BJ110">
        <f>IF(AND(Projects!$G$30="Yes",60&gt;=Projects!$C$30,60&lt;Projects!$C$30+Projects!$D$30),IF(60=Projects!$C$30+Projects!$D$30-1,Projects!$B$30*Assumptions!$B$12/Projects!$D$30*0.95+0.05*Projects!$B$30*Assumptions!$B$12,Projects!$B$30*Assumptions!$B$12/Projects!$D$30*0.95),0)+IF(AND(Projects!$G$31="Yes",60&gt;=Projects!$C$31,60&lt;Projects!$C$31+Projects!$D$31),IF(60=Projects!$C$31+Projects!$D$31-1,Projects!$B$31*Assumptions!$B$12/Projects!$D$31*0.95+0.05*Projects!$B$31*Assumptions!$B$12,Projects!$B$31*Assumptions!$B$12/Projects!$D$31*0.95),0)+IF(AND(Projects!$G$32="Yes",60&gt;=Projects!$C$32,60&lt;Projects!$C$32+Projects!$D$32),IF(60=Projects!$C$32+Projects!$D$32-1,Projects!$B$32*Assumptions!$B$12/Projects!$D$32*0.95+0.05*Projects!$B$32*Assumptions!$B$12,Projects!$B$32*Assumptions!$B$12/Projects!$D$32*0.95),0)+IF(AND(Projects!$G$33="Yes",60&gt;=Projects!$C$33,60&lt;Projects!$C$33+Projects!$D$33),IF(60=Projects!$C$33+Projects!$D$33-1,Projects!$B$33*Assumptions!$B$12/Projects!$D$33*0.95+0.05*Projects!$B$33*Assumptions!$B$12,Projects!$B$33*Assumptions!$B$12/Projects!$D$33*0.95),0)+IF(AND(Projects!$G$34="Yes",60&gt;=Projects!$C$34,60&lt;Projects!$C$34+Projects!$D$34),IF(60=Projects!$C$34+Projects!$D$34-1,Projects!$B$34*Assumptions!$B$12/Projects!$D$34*0.95+0.05*Projects!$B$34*Assumptions!$B$12,Projects!$B$34*Assumptions!$B$12/Projects!$D$34*0.95),0)+IF(AND(Projects!$G$35="Yes",60&gt;=Projects!$C$35,60&lt;Projects!$C$35+Projects!$D$35),IF(60=Projects!$C$35+Projects!$D$35-1,Projects!$B$35*Assumptions!$B$12/Projects!$D$35*0.95+0.05*Projects!$B$35*Assumptions!$B$12,Projects!$B$35*Assumptions!$B$12/Projects!$D$35*0.95),0)+IF(AND(Projects!$G$36="Yes",60&gt;=Projects!$C$36,60&lt;Projects!$C$36+Projects!$D$36),IF(60=Projects!$C$36+Projects!$D$36-1,Projects!$B$36*Assumptions!$B$12/Projects!$D$36*0.95+0.05*Projects!$B$36*Assumptions!$B$12,Projects!$B$36*Assumptions!$B$12/Projects!$D$36*0.95),0)+IF(AND(Projects!$G$37="Yes",60&gt;=Projects!$C$37,60&lt;Projects!$C$37+Projects!$D$37),IF(60=Projects!$C$37+Projects!$D$37-1,Projects!$B$37*Assumptions!$B$12/Projects!$D$37*0.95+0.05*Projects!$B$37*Assumptions!$B$12,Projects!$B$37*Assumptions!$B$12/Projects!$D$37*0.95),0)+IF(AND(Projects!$G$38="Yes",60&gt;=Projects!$C$38,60&lt;Projects!$C$38+Projects!$D$38),IF(60=Projects!$C$38+Projects!$D$38-1,Projects!$B$38*Assumptions!$B$12/Projects!$D$38*0.95+0.05*Projects!$B$38*Assumptions!$B$12,Projects!$B$38*Assumptions!$B$12/Projects!$D$38*0.95),0)+IF(AND(Projects!$G$39="Yes",60&gt;=Projects!$C$39,60&lt;Projects!$C$39+Projects!$D$39),IF(60=Projects!$C$39+Projects!$D$39-1,Projects!$B$39*Assumptions!$B$12/Projects!$D$39*0.95+0.05*Projects!$B$39*Assumptions!$B$12,Projects!$B$39*Assumptions!$B$12/Projects!$D$39*0.95),0)+IF(AND(Projects!$G$40="Yes",60&gt;=Projects!$C$40,60&lt;Projects!$C$40+Projects!$D$40),IF(60=Projects!$C$40+Projects!$D$40-1,Projects!$B$40*Assumptions!$B$12/Projects!$D$40*0.95+0.05*Projects!$B$40*Assumptions!$B$12,Projects!$B$40*Assumptions!$B$12/Projects!$D$40*0.95),0)+IF(AND(Projects!$G$41="Yes",60&gt;=Projects!$C$41,60&lt;Projects!$C$41+Projects!$D$41),IF(60=Projects!$C$41+Projects!$D$41-1,Projects!$B$41*Assumptions!$B$12/Projects!$D$41*0.95+0.05*Projects!$B$41*Assumptions!$B$12,Projects!$B$41*Assumptions!$B$12/Projects!$D$41*0.95),0)+IF(AND(Projects!$G$42="Yes",60&gt;=Projects!$C$42,60&lt;Projects!$C$42+Projects!$D$42),IF(60=Projects!$C$42+Projects!$D$42-1,Projects!$B$42*Assumptions!$B$12/Projects!$D$42*0.95+0.05*Projects!$B$42*Assumptions!$B$12,Projects!$B$42*Assumptions!$B$12/Projects!$D$42*0.95),0)+IF(AND(Projects!$G$43="Yes",60&gt;=Projects!$C$43,60&lt;Projects!$C$43+Projects!$D$43),IF(60=Projects!$C$43+Projects!$D$43-1,Projects!$B$43*Assumptions!$B$12/Projects!$D$43*0.95+0.05*Projects!$B$43*Assumptions!$B$12,Projects!$B$43*Assumptions!$B$12/Projects!$D$43*0.95),0)+IF(AND(Projects!$G$44="Yes",60&gt;=Projects!$C$44,60&lt;Projects!$C$44+Projects!$D$44),IF(60=Projects!$C$44+Projects!$D$44-1,Projects!$B$44*Assumptions!$B$12/Projects!$D$44*0.95+0.05*Projects!$B$44*Assumptions!$B$12,Projects!$B$44*Assumptions!$B$12/Projects!$D$44*0.95),0)+IF(AND(Projects!$G$45="Yes",60&gt;=Projects!$C$45,60&lt;Projects!$C$45+Projects!$D$45),IF(60=Projects!$C$45+Projects!$D$45-1,Projects!$B$45*Assumptions!$B$12/Projects!$D$45*0.95+0.05*Projects!$B$45*Assumptions!$B$12,Projects!$B$45*Assumptions!$B$12/Projects!$D$45*0.95),0)+IF(AND(Projects!$G$46="Yes",60&gt;=Projects!$C$46,60&lt;Projects!$C$46+Projects!$D$46),IF(60=Projects!$C$46+Projects!$D$46-1,Projects!$B$46*Assumptions!$B$12/Projects!$D$46*0.95+0.05*Projects!$B$46*Assumptions!$B$12,Projects!$B$46*Assumptions!$B$12/Projects!$D$46*0.95),0)</f>
        <v/>
      </c>
      <c r="BK110">
        <f>IF(AND(Projects!$G$30="Yes",61&gt;=Projects!$C$30,61&lt;Projects!$C$30+Projects!$D$30),IF(61=Projects!$C$30+Projects!$D$30-1,Projects!$B$30*Assumptions!$B$12/Projects!$D$30*0.95+0.05*Projects!$B$30*Assumptions!$B$12,Projects!$B$30*Assumptions!$B$12/Projects!$D$30*0.95),0)+IF(AND(Projects!$G$31="Yes",61&gt;=Projects!$C$31,61&lt;Projects!$C$31+Projects!$D$31),IF(61=Projects!$C$31+Projects!$D$31-1,Projects!$B$31*Assumptions!$B$12/Projects!$D$31*0.95+0.05*Projects!$B$31*Assumptions!$B$12,Projects!$B$31*Assumptions!$B$12/Projects!$D$31*0.95),0)+IF(AND(Projects!$G$32="Yes",61&gt;=Projects!$C$32,61&lt;Projects!$C$32+Projects!$D$32),IF(61=Projects!$C$32+Projects!$D$32-1,Projects!$B$32*Assumptions!$B$12/Projects!$D$32*0.95+0.05*Projects!$B$32*Assumptions!$B$12,Projects!$B$32*Assumptions!$B$12/Projects!$D$32*0.95),0)+IF(AND(Projects!$G$33="Yes",61&gt;=Projects!$C$33,61&lt;Projects!$C$33+Projects!$D$33),IF(61=Projects!$C$33+Projects!$D$33-1,Projects!$B$33*Assumptions!$B$12/Projects!$D$33*0.95+0.05*Projects!$B$33*Assumptions!$B$12,Projects!$B$33*Assumptions!$B$12/Projects!$D$33*0.95),0)+IF(AND(Projects!$G$34="Yes",61&gt;=Projects!$C$34,61&lt;Projects!$C$34+Projects!$D$34),IF(61=Projects!$C$34+Projects!$D$34-1,Projects!$B$34*Assumptions!$B$12/Projects!$D$34*0.95+0.05*Projects!$B$34*Assumptions!$B$12,Projects!$B$34*Assumptions!$B$12/Projects!$D$34*0.95),0)+IF(AND(Projects!$G$35="Yes",61&gt;=Projects!$C$35,61&lt;Projects!$C$35+Projects!$D$35),IF(61=Projects!$C$35+Projects!$D$35-1,Projects!$B$35*Assumptions!$B$12/Projects!$D$35*0.95+0.05*Projects!$B$35*Assumptions!$B$12,Projects!$B$35*Assumptions!$B$12/Projects!$D$35*0.95),0)+IF(AND(Projects!$G$36="Yes",61&gt;=Projects!$C$36,61&lt;Projects!$C$36+Projects!$D$36),IF(61=Projects!$C$36+Projects!$D$36-1,Projects!$B$36*Assumptions!$B$12/Projects!$D$36*0.95+0.05*Projects!$B$36*Assumptions!$B$12,Projects!$B$36*Assumptions!$B$12/Projects!$D$36*0.95),0)+IF(AND(Projects!$G$37="Yes",61&gt;=Projects!$C$37,61&lt;Projects!$C$37+Projects!$D$37),IF(61=Projects!$C$37+Projects!$D$37-1,Projects!$B$37*Assumptions!$B$12/Projects!$D$37*0.95+0.05*Projects!$B$37*Assumptions!$B$12,Projects!$B$37*Assumptions!$B$12/Projects!$D$37*0.95),0)+IF(AND(Projects!$G$38="Yes",61&gt;=Projects!$C$38,61&lt;Projects!$C$38+Projects!$D$38),IF(61=Projects!$C$38+Projects!$D$38-1,Projects!$B$38*Assumptions!$B$12/Projects!$D$38*0.95+0.05*Projects!$B$38*Assumptions!$B$12,Projects!$B$38*Assumptions!$B$12/Projects!$D$38*0.95),0)+IF(AND(Projects!$G$39="Yes",61&gt;=Projects!$C$39,61&lt;Projects!$C$39+Projects!$D$39),IF(61=Projects!$C$39+Projects!$D$39-1,Projects!$B$39*Assumptions!$B$12/Projects!$D$39*0.95+0.05*Projects!$B$39*Assumptions!$B$12,Projects!$B$39*Assumptions!$B$12/Projects!$D$39*0.95),0)+IF(AND(Projects!$G$40="Yes",61&gt;=Projects!$C$40,61&lt;Projects!$C$40+Projects!$D$40),IF(61=Projects!$C$40+Projects!$D$40-1,Projects!$B$40*Assumptions!$B$12/Projects!$D$40*0.95+0.05*Projects!$B$40*Assumptions!$B$12,Projects!$B$40*Assumptions!$B$12/Projects!$D$40*0.95),0)+IF(AND(Projects!$G$41="Yes",61&gt;=Projects!$C$41,61&lt;Projects!$C$41+Projects!$D$41),IF(61=Projects!$C$41+Projects!$D$41-1,Projects!$B$41*Assumptions!$B$12/Projects!$D$41*0.95+0.05*Projects!$B$41*Assumptions!$B$12,Projects!$B$41*Assumptions!$B$12/Projects!$D$41*0.95),0)+IF(AND(Projects!$G$42="Yes",61&gt;=Projects!$C$42,61&lt;Projects!$C$42+Projects!$D$42),IF(61=Projects!$C$42+Projects!$D$42-1,Projects!$B$42*Assumptions!$B$12/Projects!$D$42*0.95+0.05*Projects!$B$42*Assumptions!$B$12,Projects!$B$42*Assumptions!$B$12/Projects!$D$42*0.95),0)+IF(AND(Projects!$G$43="Yes",61&gt;=Projects!$C$43,61&lt;Projects!$C$43+Projects!$D$43),IF(61=Projects!$C$43+Projects!$D$43-1,Projects!$B$43*Assumptions!$B$12/Projects!$D$43*0.95+0.05*Projects!$B$43*Assumptions!$B$12,Projects!$B$43*Assumptions!$B$12/Projects!$D$43*0.95),0)+IF(AND(Projects!$G$44="Yes",61&gt;=Projects!$C$44,61&lt;Projects!$C$44+Projects!$D$44),IF(61=Projects!$C$44+Projects!$D$44-1,Projects!$B$44*Assumptions!$B$12/Projects!$D$44*0.95+0.05*Projects!$B$44*Assumptions!$B$12,Projects!$B$44*Assumptions!$B$12/Projects!$D$44*0.95),0)+IF(AND(Projects!$G$45="Yes",61&gt;=Projects!$C$45,61&lt;Projects!$C$45+Projects!$D$45),IF(61=Projects!$C$45+Projects!$D$45-1,Projects!$B$45*Assumptions!$B$12/Projects!$D$45*0.95+0.05*Projects!$B$45*Assumptions!$B$12,Projects!$B$45*Assumptions!$B$12/Projects!$D$45*0.95),0)+IF(AND(Projects!$G$46="Yes",61&gt;=Projects!$C$46,61&lt;Projects!$C$46+Projects!$D$46),IF(61=Projects!$C$46+Projects!$D$46-1,Projects!$B$46*Assumptions!$B$12/Projects!$D$46*0.95+0.05*Projects!$B$46*Assumptions!$B$12,Projects!$B$46*Assumptions!$B$12/Projects!$D$46*0.95),0)</f>
        <v/>
      </c>
      <c r="BL110">
        <f>IF(AND(Projects!$G$30="Yes",62&gt;=Projects!$C$30,62&lt;Projects!$C$30+Projects!$D$30),IF(62=Projects!$C$30+Projects!$D$30-1,Projects!$B$30*Assumptions!$B$12/Projects!$D$30*0.95+0.05*Projects!$B$30*Assumptions!$B$12,Projects!$B$30*Assumptions!$B$12/Projects!$D$30*0.95),0)+IF(AND(Projects!$G$31="Yes",62&gt;=Projects!$C$31,62&lt;Projects!$C$31+Projects!$D$31),IF(62=Projects!$C$31+Projects!$D$31-1,Projects!$B$31*Assumptions!$B$12/Projects!$D$31*0.95+0.05*Projects!$B$31*Assumptions!$B$12,Projects!$B$31*Assumptions!$B$12/Projects!$D$31*0.95),0)+IF(AND(Projects!$G$32="Yes",62&gt;=Projects!$C$32,62&lt;Projects!$C$32+Projects!$D$32),IF(62=Projects!$C$32+Projects!$D$32-1,Projects!$B$32*Assumptions!$B$12/Projects!$D$32*0.95+0.05*Projects!$B$32*Assumptions!$B$12,Projects!$B$32*Assumptions!$B$12/Projects!$D$32*0.95),0)+IF(AND(Projects!$G$33="Yes",62&gt;=Projects!$C$33,62&lt;Projects!$C$33+Projects!$D$33),IF(62=Projects!$C$33+Projects!$D$33-1,Projects!$B$33*Assumptions!$B$12/Projects!$D$33*0.95+0.05*Projects!$B$33*Assumptions!$B$12,Projects!$B$33*Assumptions!$B$12/Projects!$D$33*0.95),0)+IF(AND(Projects!$G$34="Yes",62&gt;=Projects!$C$34,62&lt;Projects!$C$34+Projects!$D$34),IF(62=Projects!$C$34+Projects!$D$34-1,Projects!$B$34*Assumptions!$B$12/Projects!$D$34*0.95+0.05*Projects!$B$34*Assumptions!$B$12,Projects!$B$34*Assumptions!$B$12/Projects!$D$34*0.95),0)+IF(AND(Projects!$G$35="Yes",62&gt;=Projects!$C$35,62&lt;Projects!$C$35+Projects!$D$35),IF(62=Projects!$C$35+Projects!$D$35-1,Projects!$B$35*Assumptions!$B$12/Projects!$D$35*0.95+0.05*Projects!$B$35*Assumptions!$B$12,Projects!$B$35*Assumptions!$B$12/Projects!$D$35*0.95),0)+IF(AND(Projects!$G$36="Yes",62&gt;=Projects!$C$36,62&lt;Projects!$C$36+Projects!$D$36),IF(62=Projects!$C$36+Projects!$D$36-1,Projects!$B$36*Assumptions!$B$12/Projects!$D$36*0.95+0.05*Projects!$B$36*Assumptions!$B$12,Projects!$B$36*Assumptions!$B$12/Projects!$D$36*0.95),0)+IF(AND(Projects!$G$37="Yes",62&gt;=Projects!$C$37,62&lt;Projects!$C$37+Projects!$D$37),IF(62=Projects!$C$37+Projects!$D$37-1,Projects!$B$37*Assumptions!$B$12/Projects!$D$37*0.95+0.05*Projects!$B$37*Assumptions!$B$12,Projects!$B$37*Assumptions!$B$12/Projects!$D$37*0.95),0)+IF(AND(Projects!$G$38="Yes",62&gt;=Projects!$C$38,62&lt;Projects!$C$38+Projects!$D$38),IF(62=Projects!$C$38+Projects!$D$38-1,Projects!$B$38*Assumptions!$B$12/Projects!$D$38*0.95+0.05*Projects!$B$38*Assumptions!$B$12,Projects!$B$38*Assumptions!$B$12/Projects!$D$38*0.95),0)+IF(AND(Projects!$G$39="Yes",62&gt;=Projects!$C$39,62&lt;Projects!$C$39+Projects!$D$39),IF(62=Projects!$C$39+Projects!$D$39-1,Projects!$B$39*Assumptions!$B$12/Projects!$D$39*0.95+0.05*Projects!$B$39*Assumptions!$B$12,Projects!$B$39*Assumptions!$B$12/Projects!$D$39*0.95),0)+IF(AND(Projects!$G$40="Yes",62&gt;=Projects!$C$40,62&lt;Projects!$C$40+Projects!$D$40),IF(62=Projects!$C$40+Projects!$D$40-1,Projects!$B$40*Assumptions!$B$12/Projects!$D$40*0.95+0.05*Projects!$B$40*Assumptions!$B$12,Projects!$B$40*Assumptions!$B$12/Projects!$D$40*0.95),0)+IF(AND(Projects!$G$41="Yes",62&gt;=Projects!$C$41,62&lt;Projects!$C$41+Projects!$D$41),IF(62=Projects!$C$41+Projects!$D$41-1,Projects!$B$41*Assumptions!$B$12/Projects!$D$41*0.95+0.05*Projects!$B$41*Assumptions!$B$12,Projects!$B$41*Assumptions!$B$12/Projects!$D$41*0.95),0)+IF(AND(Projects!$G$42="Yes",62&gt;=Projects!$C$42,62&lt;Projects!$C$42+Projects!$D$42),IF(62=Projects!$C$42+Projects!$D$42-1,Projects!$B$42*Assumptions!$B$12/Projects!$D$42*0.95+0.05*Projects!$B$42*Assumptions!$B$12,Projects!$B$42*Assumptions!$B$12/Projects!$D$42*0.95),0)+IF(AND(Projects!$G$43="Yes",62&gt;=Projects!$C$43,62&lt;Projects!$C$43+Projects!$D$43),IF(62=Projects!$C$43+Projects!$D$43-1,Projects!$B$43*Assumptions!$B$12/Projects!$D$43*0.95+0.05*Projects!$B$43*Assumptions!$B$12,Projects!$B$43*Assumptions!$B$12/Projects!$D$43*0.95),0)+IF(AND(Projects!$G$44="Yes",62&gt;=Projects!$C$44,62&lt;Projects!$C$44+Projects!$D$44),IF(62=Projects!$C$44+Projects!$D$44-1,Projects!$B$44*Assumptions!$B$12/Projects!$D$44*0.95+0.05*Projects!$B$44*Assumptions!$B$12,Projects!$B$44*Assumptions!$B$12/Projects!$D$44*0.95),0)+IF(AND(Projects!$G$45="Yes",62&gt;=Projects!$C$45,62&lt;Projects!$C$45+Projects!$D$45),IF(62=Projects!$C$45+Projects!$D$45-1,Projects!$B$45*Assumptions!$B$12/Projects!$D$45*0.95+0.05*Projects!$B$45*Assumptions!$B$12,Projects!$B$45*Assumptions!$B$12/Projects!$D$45*0.95),0)+IF(AND(Projects!$G$46="Yes",62&gt;=Projects!$C$46,62&lt;Projects!$C$46+Projects!$D$46),IF(62=Projects!$C$46+Projects!$D$46-1,Projects!$B$46*Assumptions!$B$12/Projects!$D$46*0.95+0.05*Projects!$B$46*Assumptions!$B$12,Projects!$B$46*Assumptions!$B$12/Projects!$D$46*0.95),0)</f>
        <v/>
      </c>
      <c r="BM110">
        <f>IF(AND(Projects!$G$30="Yes",63&gt;=Projects!$C$30,63&lt;Projects!$C$30+Projects!$D$30),IF(63=Projects!$C$30+Projects!$D$30-1,Projects!$B$30*Assumptions!$B$12/Projects!$D$30*0.95+0.05*Projects!$B$30*Assumptions!$B$12,Projects!$B$30*Assumptions!$B$12/Projects!$D$30*0.95),0)+IF(AND(Projects!$G$31="Yes",63&gt;=Projects!$C$31,63&lt;Projects!$C$31+Projects!$D$31),IF(63=Projects!$C$31+Projects!$D$31-1,Projects!$B$31*Assumptions!$B$12/Projects!$D$31*0.95+0.05*Projects!$B$31*Assumptions!$B$12,Projects!$B$31*Assumptions!$B$12/Projects!$D$31*0.95),0)+IF(AND(Projects!$G$32="Yes",63&gt;=Projects!$C$32,63&lt;Projects!$C$32+Projects!$D$32),IF(63=Projects!$C$32+Projects!$D$32-1,Projects!$B$32*Assumptions!$B$12/Projects!$D$32*0.95+0.05*Projects!$B$32*Assumptions!$B$12,Projects!$B$32*Assumptions!$B$12/Projects!$D$32*0.95),0)+IF(AND(Projects!$G$33="Yes",63&gt;=Projects!$C$33,63&lt;Projects!$C$33+Projects!$D$33),IF(63=Projects!$C$33+Projects!$D$33-1,Projects!$B$33*Assumptions!$B$12/Projects!$D$33*0.95+0.05*Projects!$B$33*Assumptions!$B$12,Projects!$B$33*Assumptions!$B$12/Projects!$D$33*0.95),0)+IF(AND(Projects!$G$34="Yes",63&gt;=Projects!$C$34,63&lt;Projects!$C$34+Projects!$D$34),IF(63=Projects!$C$34+Projects!$D$34-1,Projects!$B$34*Assumptions!$B$12/Projects!$D$34*0.95+0.05*Projects!$B$34*Assumptions!$B$12,Projects!$B$34*Assumptions!$B$12/Projects!$D$34*0.95),0)+IF(AND(Projects!$G$35="Yes",63&gt;=Projects!$C$35,63&lt;Projects!$C$35+Projects!$D$35),IF(63=Projects!$C$35+Projects!$D$35-1,Projects!$B$35*Assumptions!$B$12/Projects!$D$35*0.95+0.05*Projects!$B$35*Assumptions!$B$12,Projects!$B$35*Assumptions!$B$12/Projects!$D$35*0.95),0)+IF(AND(Projects!$G$36="Yes",63&gt;=Projects!$C$36,63&lt;Projects!$C$36+Projects!$D$36),IF(63=Projects!$C$36+Projects!$D$36-1,Projects!$B$36*Assumptions!$B$12/Projects!$D$36*0.95+0.05*Projects!$B$36*Assumptions!$B$12,Projects!$B$36*Assumptions!$B$12/Projects!$D$36*0.95),0)+IF(AND(Projects!$G$37="Yes",63&gt;=Projects!$C$37,63&lt;Projects!$C$37+Projects!$D$37),IF(63=Projects!$C$37+Projects!$D$37-1,Projects!$B$37*Assumptions!$B$12/Projects!$D$37*0.95+0.05*Projects!$B$37*Assumptions!$B$12,Projects!$B$37*Assumptions!$B$12/Projects!$D$37*0.95),0)+IF(AND(Projects!$G$38="Yes",63&gt;=Projects!$C$38,63&lt;Projects!$C$38+Projects!$D$38),IF(63=Projects!$C$38+Projects!$D$38-1,Projects!$B$38*Assumptions!$B$12/Projects!$D$38*0.95+0.05*Projects!$B$38*Assumptions!$B$12,Projects!$B$38*Assumptions!$B$12/Projects!$D$38*0.95),0)+IF(AND(Projects!$G$39="Yes",63&gt;=Projects!$C$39,63&lt;Projects!$C$39+Projects!$D$39),IF(63=Projects!$C$39+Projects!$D$39-1,Projects!$B$39*Assumptions!$B$12/Projects!$D$39*0.95+0.05*Projects!$B$39*Assumptions!$B$12,Projects!$B$39*Assumptions!$B$12/Projects!$D$39*0.95),0)+IF(AND(Projects!$G$40="Yes",63&gt;=Projects!$C$40,63&lt;Projects!$C$40+Projects!$D$40),IF(63=Projects!$C$40+Projects!$D$40-1,Projects!$B$40*Assumptions!$B$12/Projects!$D$40*0.95+0.05*Projects!$B$40*Assumptions!$B$12,Projects!$B$40*Assumptions!$B$12/Projects!$D$40*0.95),0)+IF(AND(Projects!$G$41="Yes",63&gt;=Projects!$C$41,63&lt;Projects!$C$41+Projects!$D$41),IF(63=Projects!$C$41+Projects!$D$41-1,Projects!$B$41*Assumptions!$B$12/Projects!$D$41*0.95+0.05*Projects!$B$41*Assumptions!$B$12,Projects!$B$41*Assumptions!$B$12/Projects!$D$41*0.95),0)+IF(AND(Projects!$G$42="Yes",63&gt;=Projects!$C$42,63&lt;Projects!$C$42+Projects!$D$42),IF(63=Projects!$C$42+Projects!$D$42-1,Projects!$B$42*Assumptions!$B$12/Projects!$D$42*0.95+0.05*Projects!$B$42*Assumptions!$B$12,Projects!$B$42*Assumptions!$B$12/Projects!$D$42*0.95),0)+IF(AND(Projects!$G$43="Yes",63&gt;=Projects!$C$43,63&lt;Projects!$C$43+Projects!$D$43),IF(63=Projects!$C$43+Projects!$D$43-1,Projects!$B$43*Assumptions!$B$12/Projects!$D$43*0.95+0.05*Projects!$B$43*Assumptions!$B$12,Projects!$B$43*Assumptions!$B$12/Projects!$D$43*0.95),0)+IF(AND(Projects!$G$44="Yes",63&gt;=Projects!$C$44,63&lt;Projects!$C$44+Projects!$D$44),IF(63=Projects!$C$44+Projects!$D$44-1,Projects!$B$44*Assumptions!$B$12/Projects!$D$44*0.95+0.05*Projects!$B$44*Assumptions!$B$12,Projects!$B$44*Assumptions!$B$12/Projects!$D$44*0.95),0)+IF(AND(Projects!$G$45="Yes",63&gt;=Projects!$C$45,63&lt;Projects!$C$45+Projects!$D$45),IF(63=Projects!$C$45+Projects!$D$45-1,Projects!$B$45*Assumptions!$B$12/Projects!$D$45*0.95+0.05*Projects!$B$45*Assumptions!$B$12,Projects!$B$45*Assumptions!$B$12/Projects!$D$45*0.95),0)+IF(AND(Projects!$G$46="Yes",63&gt;=Projects!$C$46,63&lt;Projects!$C$46+Projects!$D$46),IF(63=Projects!$C$46+Projects!$D$46-1,Projects!$B$46*Assumptions!$B$12/Projects!$D$46*0.95+0.05*Projects!$B$46*Assumptions!$B$12,Projects!$B$46*Assumptions!$B$12/Projects!$D$46*0.95),0)</f>
        <v/>
      </c>
      <c r="BN110">
        <f>IF(AND(Projects!$G$30="Yes",64&gt;=Projects!$C$30,64&lt;Projects!$C$30+Projects!$D$30),IF(64=Projects!$C$30+Projects!$D$30-1,Projects!$B$30*Assumptions!$B$12/Projects!$D$30*0.95+0.05*Projects!$B$30*Assumptions!$B$12,Projects!$B$30*Assumptions!$B$12/Projects!$D$30*0.95),0)+IF(AND(Projects!$G$31="Yes",64&gt;=Projects!$C$31,64&lt;Projects!$C$31+Projects!$D$31),IF(64=Projects!$C$31+Projects!$D$31-1,Projects!$B$31*Assumptions!$B$12/Projects!$D$31*0.95+0.05*Projects!$B$31*Assumptions!$B$12,Projects!$B$31*Assumptions!$B$12/Projects!$D$31*0.95),0)+IF(AND(Projects!$G$32="Yes",64&gt;=Projects!$C$32,64&lt;Projects!$C$32+Projects!$D$32),IF(64=Projects!$C$32+Projects!$D$32-1,Projects!$B$32*Assumptions!$B$12/Projects!$D$32*0.95+0.05*Projects!$B$32*Assumptions!$B$12,Projects!$B$32*Assumptions!$B$12/Projects!$D$32*0.95),0)+IF(AND(Projects!$G$33="Yes",64&gt;=Projects!$C$33,64&lt;Projects!$C$33+Projects!$D$33),IF(64=Projects!$C$33+Projects!$D$33-1,Projects!$B$33*Assumptions!$B$12/Projects!$D$33*0.95+0.05*Projects!$B$33*Assumptions!$B$12,Projects!$B$33*Assumptions!$B$12/Projects!$D$33*0.95),0)+IF(AND(Projects!$G$34="Yes",64&gt;=Projects!$C$34,64&lt;Projects!$C$34+Projects!$D$34),IF(64=Projects!$C$34+Projects!$D$34-1,Projects!$B$34*Assumptions!$B$12/Projects!$D$34*0.95+0.05*Projects!$B$34*Assumptions!$B$12,Projects!$B$34*Assumptions!$B$12/Projects!$D$34*0.95),0)+IF(AND(Projects!$G$35="Yes",64&gt;=Projects!$C$35,64&lt;Projects!$C$35+Projects!$D$35),IF(64=Projects!$C$35+Projects!$D$35-1,Projects!$B$35*Assumptions!$B$12/Projects!$D$35*0.95+0.05*Projects!$B$35*Assumptions!$B$12,Projects!$B$35*Assumptions!$B$12/Projects!$D$35*0.95),0)+IF(AND(Projects!$G$36="Yes",64&gt;=Projects!$C$36,64&lt;Projects!$C$36+Projects!$D$36),IF(64=Projects!$C$36+Projects!$D$36-1,Projects!$B$36*Assumptions!$B$12/Projects!$D$36*0.95+0.05*Projects!$B$36*Assumptions!$B$12,Projects!$B$36*Assumptions!$B$12/Projects!$D$36*0.95),0)+IF(AND(Projects!$G$37="Yes",64&gt;=Projects!$C$37,64&lt;Projects!$C$37+Projects!$D$37),IF(64=Projects!$C$37+Projects!$D$37-1,Projects!$B$37*Assumptions!$B$12/Projects!$D$37*0.95+0.05*Projects!$B$37*Assumptions!$B$12,Projects!$B$37*Assumptions!$B$12/Projects!$D$37*0.95),0)+IF(AND(Projects!$G$38="Yes",64&gt;=Projects!$C$38,64&lt;Projects!$C$38+Projects!$D$38),IF(64=Projects!$C$38+Projects!$D$38-1,Projects!$B$38*Assumptions!$B$12/Projects!$D$38*0.95+0.05*Projects!$B$38*Assumptions!$B$12,Projects!$B$38*Assumptions!$B$12/Projects!$D$38*0.95),0)+IF(AND(Projects!$G$39="Yes",64&gt;=Projects!$C$39,64&lt;Projects!$C$39+Projects!$D$39),IF(64=Projects!$C$39+Projects!$D$39-1,Projects!$B$39*Assumptions!$B$12/Projects!$D$39*0.95+0.05*Projects!$B$39*Assumptions!$B$12,Projects!$B$39*Assumptions!$B$12/Projects!$D$39*0.95),0)+IF(AND(Projects!$G$40="Yes",64&gt;=Projects!$C$40,64&lt;Projects!$C$40+Projects!$D$40),IF(64=Projects!$C$40+Projects!$D$40-1,Projects!$B$40*Assumptions!$B$12/Projects!$D$40*0.95+0.05*Projects!$B$40*Assumptions!$B$12,Projects!$B$40*Assumptions!$B$12/Projects!$D$40*0.95),0)+IF(AND(Projects!$G$41="Yes",64&gt;=Projects!$C$41,64&lt;Projects!$C$41+Projects!$D$41),IF(64=Projects!$C$41+Projects!$D$41-1,Projects!$B$41*Assumptions!$B$12/Projects!$D$41*0.95+0.05*Projects!$B$41*Assumptions!$B$12,Projects!$B$41*Assumptions!$B$12/Projects!$D$41*0.95),0)+IF(AND(Projects!$G$42="Yes",64&gt;=Projects!$C$42,64&lt;Projects!$C$42+Projects!$D$42),IF(64=Projects!$C$42+Projects!$D$42-1,Projects!$B$42*Assumptions!$B$12/Projects!$D$42*0.95+0.05*Projects!$B$42*Assumptions!$B$12,Projects!$B$42*Assumptions!$B$12/Projects!$D$42*0.95),0)+IF(AND(Projects!$G$43="Yes",64&gt;=Projects!$C$43,64&lt;Projects!$C$43+Projects!$D$43),IF(64=Projects!$C$43+Projects!$D$43-1,Projects!$B$43*Assumptions!$B$12/Projects!$D$43*0.95+0.05*Projects!$B$43*Assumptions!$B$12,Projects!$B$43*Assumptions!$B$12/Projects!$D$43*0.95),0)+IF(AND(Projects!$G$44="Yes",64&gt;=Projects!$C$44,64&lt;Projects!$C$44+Projects!$D$44),IF(64=Projects!$C$44+Projects!$D$44-1,Projects!$B$44*Assumptions!$B$12/Projects!$D$44*0.95+0.05*Projects!$B$44*Assumptions!$B$12,Projects!$B$44*Assumptions!$B$12/Projects!$D$44*0.95),0)+IF(AND(Projects!$G$45="Yes",64&gt;=Projects!$C$45,64&lt;Projects!$C$45+Projects!$D$45),IF(64=Projects!$C$45+Projects!$D$45-1,Projects!$B$45*Assumptions!$B$12/Projects!$D$45*0.95+0.05*Projects!$B$45*Assumptions!$B$12,Projects!$B$45*Assumptions!$B$12/Projects!$D$45*0.95),0)+IF(AND(Projects!$G$46="Yes",64&gt;=Projects!$C$46,64&lt;Projects!$C$46+Projects!$D$46),IF(64=Projects!$C$46+Projects!$D$46-1,Projects!$B$46*Assumptions!$B$12/Projects!$D$46*0.95+0.05*Projects!$B$46*Assumptions!$B$12,Projects!$B$46*Assumptions!$B$12/Projects!$D$46*0.95),0)</f>
        <v/>
      </c>
      <c r="BO110">
        <f>IF(AND(Projects!$G$30="Yes",65&gt;=Projects!$C$30,65&lt;Projects!$C$30+Projects!$D$30),IF(65=Projects!$C$30+Projects!$D$30-1,Projects!$B$30*Assumptions!$B$12/Projects!$D$30*0.95+0.05*Projects!$B$30*Assumptions!$B$12,Projects!$B$30*Assumptions!$B$12/Projects!$D$30*0.95),0)+IF(AND(Projects!$G$31="Yes",65&gt;=Projects!$C$31,65&lt;Projects!$C$31+Projects!$D$31),IF(65=Projects!$C$31+Projects!$D$31-1,Projects!$B$31*Assumptions!$B$12/Projects!$D$31*0.95+0.05*Projects!$B$31*Assumptions!$B$12,Projects!$B$31*Assumptions!$B$12/Projects!$D$31*0.95),0)+IF(AND(Projects!$G$32="Yes",65&gt;=Projects!$C$32,65&lt;Projects!$C$32+Projects!$D$32),IF(65=Projects!$C$32+Projects!$D$32-1,Projects!$B$32*Assumptions!$B$12/Projects!$D$32*0.95+0.05*Projects!$B$32*Assumptions!$B$12,Projects!$B$32*Assumptions!$B$12/Projects!$D$32*0.95),0)+IF(AND(Projects!$G$33="Yes",65&gt;=Projects!$C$33,65&lt;Projects!$C$33+Projects!$D$33),IF(65=Projects!$C$33+Projects!$D$33-1,Projects!$B$33*Assumptions!$B$12/Projects!$D$33*0.95+0.05*Projects!$B$33*Assumptions!$B$12,Projects!$B$33*Assumptions!$B$12/Projects!$D$33*0.95),0)+IF(AND(Projects!$G$34="Yes",65&gt;=Projects!$C$34,65&lt;Projects!$C$34+Projects!$D$34),IF(65=Projects!$C$34+Projects!$D$34-1,Projects!$B$34*Assumptions!$B$12/Projects!$D$34*0.95+0.05*Projects!$B$34*Assumptions!$B$12,Projects!$B$34*Assumptions!$B$12/Projects!$D$34*0.95),0)+IF(AND(Projects!$G$35="Yes",65&gt;=Projects!$C$35,65&lt;Projects!$C$35+Projects!$D$35),IF(65=Projects!$C$35+Projects!$D$35-1,Projects!$B$35*Assumptions!$B$12/Projects!$D$35*0.95+0.05*Projects!$B$35*Assumptions!$B$12,Projects!$B$35*Assumptions!$B$12/Projects!$D$35*0.95),0)+IF(AND(Projects!$G$36="Yes",65&gt;=Projects!$C$36,65&lt;Projects!$C$36+Projects!$D$36),IF(65=Projects!$C$36+Projects!$D$36-1,Projects!$B$36*Assumptions!$B$12/Projects!$D$36*0.95+0.05*Projects!$B$36*Assumptions!$B$12,Projects!$B$36*Assumptions!$B$12/Projects!$D$36*0.95),0)+IF(AND(Projects!$G$37="Yes",65&gt;=Projects!$C$37,65&lt;Projects!$C$37+Projects!$D$37),IF(65=Projects!$C$37+Projects!$D$37-1,Projects!$B$37*Assumptions!$B$12/Projects!$D$37*0.95+0.05*Projects!$B$37*Assumptions!$B$12,Projects!$B$37*Assumptions!$B$12/Projects!$D$37*0.95),0)+IF(AND(Projects!$G$38="Yes",65&gt;=Projects!$C$38,65&lt;Projects!$C$38+Projects!$D$38),IF(65=Projects!$C$38+Projects!$D$38-1,Projects!$B$38*Assumptions!$B$12/Projects!$D$38*0.95+0.05*Projects!$B$38*Assumptions!$B$12,Projects!$B$38*Assumptions!$B$12/Projects!$D$38*0.95),0)+IF(AND(Projects!$G$39="Yes",65&gt;=Projects!$C$39,65&lt;Projects!$C$39+Projects!$D$39),IF(65=Projects!$C$39+Projects!$D$39-1,Projects!$B$39*Assumptions!$B$12/Projects!$D$39*0.95+0.05*Projects!$B$39*Assumptions!$B$12,Projects!$B$39*Assumptions!$B$12/Projects!$D$39*0.95),0)+IF(AND(Projects!$G$40="Yes",65&gt;=Projects!$C$40,65&lt;Projects!$C$40+Projects!$D$40),IF(65=Projects!$C$40+Projects!$D$40-1,Projects!$B$40*Assumptions!$B$12/Projects!$D$40*0.95+0.05*Projects!$B$40*Assumptions!$B$12,Projects!$B$40*Assumptions!$B$12/Projects!$D$40*0.95),0)+IF(AND(Projects!$G$41="Yes",65&gt;=Projects!$C$41,65&lt;Projects!$C$41+Projects!$D$41),IF(65=Projects!$C$41+Projects!$D$41-1,Projects!$B$41*Assumptions!$B$12/Projects!$D$41*0.95+0.05*Projects!$B$41*Assumptions!$B$12,Projects!$B$41*Assumptions!$B$12/Projects!$D$41*0.95),0)+IF(AND(Projects!$G$42="Yes",65&gt;=Projects!$C$42,65&lt;Projects!$C$42+Projects!$D$42),IF(65=Projects!$C$42+Projects!$D$42-1,Projects!$B$42*Assumptions!$B$12/Projects!$D$42*0.95+0.05*Projects!$B$42*Assumptions!$B$12,Projects!$B$42*Assumptions!$B$12/Projects!$D$42*0.95),0)+IF(AND(Projects!$G$43="Yes",65&gt;=Projects!$C$43,65&lt;Projects!$C$43+Projects!$D$43),IF(65=Projects!$C$43+Projects!$D$43-1,Projects!$B$43*Assumptions!$B$12/Projects!$D$43*0.95+0.05*Projects!$B$43*Assumptions!$B$12,Projects!$B$43*Assumptions!$B$12/Projects!$D$43*0.95),0)+IF(AND(Projects!$G$44="Yes",65&gt;=Projects!$C$44,65&lt;Projects!$C$44+Projects!$D$44),IF(65=Projects!$C$44+Projects!$D$44-1,Projects!$B$44*Assumptions!$B$12/Projects!$D$44*0.95+0.05*Projects!$B$44*Assumptions!$B$12,Projects!$B$44*Assumptions!$B$12/Projects!$D$44*0.95),0)+IF(AND(Projects!$G$45="Yes",65&gt;=Projects!$C$45,65&lt;Projects!$C$45+Projects!$D$45),IF(65=Projects!$C$45+Projects!$D$45-1,Projects!$B$45*Assumptions!$B$12/Projects!$D$45*0.95+0.05*Projects!$B$45*Assumptions!$B$12,Projects!$B$45*Assumptions!$B$12/Projects!$D$45*0.95),0)+IF(AND(Projects!$G$46="Yes",65&gt;=Projects!$C$46,65&lt;Projects!$C$46+Projects!$D$46),IF(65=Projects!$C$46+Projects!$D$46-1,Projects!$B$46*Assumptions!$B$12/Projects!$D$46*0.95+0.05*Projects!$B$46*Assumptions!$B$12,Projects!$B$46*Assumptions!$B$12/Projects!$D$46*0.95),0)</f>
        <v/>
      </c>
      <c r="BP110">
        <f>IF(AND(Projects!$G$30="Yes",66&gt;=Projects!$C$30,66&lt;Projects!$C$30+Projects!$D$30),IF(66=Projects!$C$30+Projects!$D$30-1,Projects!$B$30*Assumptions!$B$12/Projects!$D$30*0.95+0.05*Projects!$B$30*Assumptions!$B$12,Projects!$B$30*Assumptions!$B$12/Projects!$D$30*0.95),0)+IF(AND(Projects!$G$31="Yes",66&gt;=Projects!$C$31,66&lt;Projects!$C$31+Projects!$D$31),IF(66=Projects!$C$31+Projects!$D$31-1,Projects!$B$31*Assumptions!$B$12/Projects!$D$31*0.95+0.05*Projects!$B$31*Assumptions!$B$12,Projects!$B$31*Assumptions!$B$12/Projects!$D$31*0.95),0)+IF(AND(Projects!$G$32="Yes",66&gt;=Projects!$C$32,66&lt;Projects!$C$32+Projects!$D$32),IF(66=Projects!$C$32+Projects!$D$32-1,Projects!$B$32*Assumptions!$B$12/Projects!$D$32*0.95+0.05*Projects!$B$32*Assumptions!$B$12,Projects!$B$32*Assumptions!$B$12/Projects!$D$32*0.95),0)+IF(AND(Projects!$G$33="Yes",66&gt;=Projects!$C$33,66&lt;Projects!$C$33+Projects!$D$33),IF(66=Projects!$C$33+Projects!$D$33-1,Projects!$B$33*Assumptions!$B$12/Projects!$D$33*0.95+0.05*Projects!$B$33*Assumptions!$B$12,Projects!$B$33*Assumptions!$B$12/Projects!$D$33*0.95),0)+IF(AND(Projects!$G$34="Yes",66&gt;=Projects!$C$34,66&lt;Projects!$C$34+Projects!$D$34),IF(66=Projects!$C$34+Projects!$D$34-1,Projects!$B$34*Assumptions!$B$12/Projects!$D$34*0.95+0.05*Projects!$B$34*Assumptions!$B$12,Projects!$B$34*Assumptions!$B$12/Projects!$D$34*0.95),0)+IF(AND(Projects!$G$35="Yes",66&gt;=Projects!$C$35,66&lt;Projects!$C$35+Projects!$D$35),IF(66=Projects!$C$35+Projects!$D$35-1,Projects!$B$35*Assumptions!$B$12/Projects!$D$35*0.95+0.05*Projects!$B$35*Assumptions!$B$12,Projects!$B$35*Assumptions!$B$12/Projects!$D$35*0.95),0)+IF(AND(Projects!$G$36="Yes",66&gt;=Projects!$C$36,66&lt;Projects!$C$36+Projects!$D$36),IF(66=Projects!$C$36+Projects!$D$36-1,Projects!$B$36*Assumptions!$B$12/Projects!$D$36*0.95+0.05*Projects!$B$36*Assumptions!$B$12,Projects!$B$36*Assumptions!$B$12/Projects!$D$36*0.95),0)+IF(AND(Projects!$G$37="Yes",66&gt;=Projects!$C$37,66&lt;Projects!$C$37+Projects!$D$37),IF(66=Projects!$C$37+Projects!$D$37-1,Projects!$B$37*Assumptions!$B$12/Projects!$D$37*0.95+0.05*Projects!$B$37*Assumptions!$B$12,Projects!$B$37*Assumptions!$B$12/Projects!$D$37*0.95),0)+IF(AND(Projects!$G$38="Yes",66&gt;=Projects!$C$38,66&lt;Projects!$C$38+Projects!$D$38),IF(66=Projects!$C$38+Projects!$D$38-1,Projects!$B$38*Assumptions!$B$12/Projects!$D$38*0.95+0.05*Projects!$B$38*Assumptions!$B$12,Projects!$B$38*Assumptions!$B$12/Projects!$D$38*0.95),0)+IF(AND(Projects!$G$39="Yes",66&gt;=Projects!$C$39,66&lt;Projects!$C$39+Projects!$D$39),IF(66=Projects!$C$39+Projects!$D$39-1,Projects!$B$39*Assumptions!$B$12/Projects!$D$39*0.95+0.05*Projects!$B$39*Assumptions!$B$12,Projects!$B$39*Assumptions!$B$12/Projects!$D$39*0.95),0)+IF(AND(Projects!$G$40="Yes",66&gt;=Projects!$C$40,66&lt;Projects!$C$40+Projects!$D$40),IF(66=Projects!$C$40+Projects!$D$40-1,Projects!$B$40*Assumptions!$B$12/Projects!$D$40*0.95+0.05*Projects!$B$40*Assumptions!$B$12,Projects!$B$40*Assumptions!$B$12/Projects!$D$40*0.95),0)+IF(AND(Projects!$G$41="Yes",66&gt;=Projects!$C$41,66&lt;Projects!$C$41+Projects!$D$41),IF(66=Projects!$C$41+Projects!$D$41-1,Projects!$B$41*Assumptions!$B$12/Projects!$D$41*0.95+0.05*Projects!$B$41*Assumptions!$B$12,Projects!$B$41*Assumptions!$B$12/Projects!$D$41*0.95),0)+IF(AND(Projects!$G$42="Yes",66&gt;=Projects!$C$42,66&lt;Projects!$C$42+Projects!$D$42),IF(66=Projects!$C$42+Projects!$D$42-1,Projects!$B$42*Assumptions!$B$12/Projects!$D$42*0.95+0.05*Projects!$B$42*Assumptions!$B$12,Projects!$B$42*Assumptions!$B$12/Projects!$D$42*0.95),0)+IF(AND(Projects!$G$43="Yes",66&gt;=Projects!$C$43,66&lt;Projects!$C$43+Projects!$D$43),IF(66=Projects!$C$43+Projects!$D$43-1,Projects!$B$43*Assumptions!$B$12/Projects!$D$43*0.95+0.05*Projects!$B$43*Assumptions!$B$12,Projects!$B$43*Assumptions!$B$12/Projects!$D$43*0.95),0)+IF(AND(Projects!$G$44="Yes",66&gt;=Projects!$C$44,66&lt;Projects!$C$44+Projects!$D$44),IF(66=Projects!$C$44+Projects!$D$44-1,Projects!$B$44*Assumptions!$B$12/Projects!$D$44*0.95+0.05*Projects!$B$44*Assumptions!$B$12,Projects!$B$44*Assumptions!$B$12/Projects!$D$44*0.95),0)+IF(AND(Projects!$G$45="Yes",66&gt;=Projects!$C$45,66&lt;Projects!$C$45+Projects!$D$45),IF(66=Projects!$C$45+Projects!$D$45-1,Projects!$B$45*Assumptions!$B$12/Projects!$D$45*0.95+0.05*Projects!$B$45*Assumptions!$B$12,Projects!$B$45*Assumptions!$B$12/Projects!$D$45*0.95),0)+IF(AND(Projects!$G$46="Yes",66&gt;=Projects!$C$46,66&lt;Projects!$C$46+Projects!$D$46),IF(66=Projects!$C$46+Projects!$D$46-1,Projects!$B$46*Assumptions!$B$12/Projects!$D$46*0.95+0.05*Projects!$B$46*Assumptions!$B$12,Projects!$B$46*Assumptions!$B$12/Projects!$D$46*0.95),0)</f>
        <v/>
      </c>
      <c r="BQ110">
        <f>IF(AND(Projects!$G$30="Yes",67&gt;=Projects!$C$30,67&lt;Projects!$C$30+Projects!$D$30),IF(67=Projects!$C$30+Projects!$D$30-1,Projects!$B$30*Assumptions!$B$12/Projects!$D$30*0.95+0.05*Projects!$B$30*Assumptions!$B$12,Projects!$B$30*Assumptions!$B$12/Projects!$D$30*0.95),0)+IF(AND(Projects!$G$31="Yes",67&gt;=Projects!$C$31,67&lt;Projects!$C$31+Projects!$D$31),IF(67=Projects!$C$31+Projects!$D$31-1,Projects!$B$31*Assumptions!$B$12/Projects!$D$31*0.95+0.05*Projects!$B$31*Assumptions!$B$12,Projects!$B$31*Assumptions!$B$12/Projects!$D$31*0.95),0)+IF(AND(Projects!$G$32="Yes",67&gt;=Projects!$C$32,67&lt;Projects!$C$32+Projects!$D$32),IF(67=Projects!$C$32+Projects!$D$32-1,Projects!$B$32*Assumptions!$B$12/Projects!$D$32*0.95+0.05*Projects!$B$32*Assumptions!$B$12,Projects!$B$32*Assumptions!$B$12/Projects!$D$32*0.95),0)+IF(AND(Projects!$G$33="Yes",67&gt;=Projects!$C$33,67&lt;Projects!$C$33+Projects!$D$33),IF(67=Projects!$C$33+Projects!$D$33-1,Projects!$B$33*Assumptions!$B$12/Projects!$D$33*0.95+0.05*Projects!$B$33*Assumptions!$B$12,Projects!$B$33*Assumptions!$B$12/Projects!$D$33*0.95),0)+IF(AND(Projects!$G$34="Yes",67&gt;=Projects!$C$34,67&lt;Projects!$C$34+Projects!$D$34),IF(67=Projects!$C$34+Projects!$D$34-1,Projects!$B$34*Assumptions!$B$12/Projects!$D$34*0.95+0.05*Projects!$B$34*Assumptions!$B$12,Projects!$B$34*Assumptions!$B$12/Projects!$D$34*0.95),0)+IF(AND(Projects!$G$35="Yes",67&gt;=Projects!$C$35,67&lt;Projects!$C$35+Projects!$D$35),IF(67=Projects!$C$35+Projects!$D$35-1,Projects!$B$35*Assumptions!$B$12/Projects!$D$35*0.95+0.05*Projects!$B$35*Assumptions!$B$12,Projects!$B$35*Assumptions!$B$12/Projects!$D$35*0.95),0)+IF(AND(Projects!$G$36="Yes",67&gt;=Projects!$C$36,67&lt;Projects!$C$36+Projects!$D$36),IF(67=Projects!$C$36+Projects!$D$36-1,Projects!$B$36*Assumptions!$B$12/Projects!$D$36*0.95+0.05*Projects!$B$36*Assumptions!$B$12,Projects!$B$36*Assumptions!$B$12/Projects!$D$36*0.95),0)+IF(AND(Projects!$G$37="Yes",67&gt;=Projects!$C$37,67&lt;Projects!$C$37+Projects!$D$37),IF(67=Projects!$C$37+Projects!$D$37-1,Projects!$B$37*Assumptions!$B$12/Projects!$D$37*0.95+0.05*Projects!$B$37*Assumptions!$B$12,Projects!$B$37*Assumptions!$B$12/Projects!$D$37*0.95),0)+IF(AND(Projects!$G$38="Yes",67&gt;=Projects!$C$38,67&lt;Projects!$C$38+Projects!$D$38),IF(67=Projects!$C$38+Projects!$D$38-1,Projects!$B$38*Assumptions!$B$12/Projects!$D$38*0.95+0.05*Projects!$B$38*Assumptions!$B$12,Projects!$B$38*Assumptions!$B$12/Projects!$D$38*0.95),0)+IF(AND(Projects!$G$39="Yes",67&gt;=Projects!$C$39,67&lt;Projects!$C$39+Projects!$D$39),IF(67=Projects!$C$39+Projects!$D$39-1,Projects!$B$39*Assumptions!$B$12/Projects!$D$39*0.95+0.05*Projects!$B$39*Assumptions!$B$12,Projects!$B$39*Assumptions!$B$12/Projects!$D$39*0.95),0)+IF(AND(Projects!$G$40="Yes",67&gt;=Projects!$C$40,67&lt;Projects!$C$40+Projects!$D$40),IF(67=Projects!$C$40+Projects!$D$40-1,Projects!$B$40*Assumptions!$B$12/Projects!$D$40*0.95+0.05*Projects!$B$40*Assumptions!$B$12,Projects!$B$40*Assumptions!$B$12/Projects!$D$40*0.95),0)+IF(AND(Projects!$G$41="Yes",67&gt;=Projects!$C$41,67&lt;Projects!$C$41+Projects!$D$41),IF(67=Projects!$C$41+Projects!$D$41-1,Projects!$B$41*Assumptions!$B$12/Projects!$D$41*0.95+0.05*Projects!$B$41*Assumptions!$B$12,Projects!$B$41*Assumptions!$B$12/Projects!$D$41*0.95),0)+IF(AND(Projects!$G$42="Yes",67&gt;=Projects!$C$42,67&lt;Projects!$C$42+Projects!$D$42),IF(67=Projects!$C$42+Projects!$D$42-1,Projects!$B$42*Assumptions!$B$12/Projects!$D$42*0.95+0.05*Projects!$B$42*Assumptions!$B$12,Projects!$B$42*Assumptions!$B$12/Projects!$D$42*0.95),0)+IF(AND(Projects!$G$43="Yes",67&gt;=Projects!$C$43,67&lt;Projects!$C$43+Projects!$D$43),IF(67=Projects!$C$43+Projects!$D$43-1,Projects!$B$43*Assumptions!$B$12/Projects!$D$43*0.95+0.05*Projects!$B$43*Assumptions!$B$12,Projects!$B$43*Assumptions!$B$12/Projects!$D$43*0.95),0)+IF(AND(Projects!$G$44="Yes",67&gt;=Projects!$C$44,67&lt;Projects!$C$44+Projects!$D$44),IF(67=Projects!$C$44+Projects!$D$44-1,Projects!$B$44*Assumptions!$B$12/Projects!$D$44*0.95+0.05*Projects!$B$44*Assumptions!$B$12,Projects!$B$44*Assumptions!$B$12/Projects!$D$44*0.95),0)+IF(AND(Projects!$G$45="Yes",67&gt;=Projects!$C$45,67&lt;Projects!$C$45+Projects!$D$45),IF(67=Projects!$C$45+Projects!$D$45-1,Projects!$B$45*Assumptions!$B$12/Projects!$D$45*0.95+0.05*Projects!$B$45*Assumptions!$B$12,Projects!$B$45*Assumptions!$B$12/Projects!$D$45*0.95),0)+IF(AND(Projects!$G$46="Yes",67&gt;=Projects!$C$46,67&lt;Projects!$C$46+Projects!$D$46),IF(67=Projects!$C$46+Projects!$D$46-1,Projects!$B$46*Assumptions!$B$12/Projects!$D$46*0.95+0.05*Projects!$B$46*Assumptions!$B$12,Projects!$B$46*Assumptions!$B$12/Projects!$D$46*0.95),0)</f>
        <v/>
      </c>
      <c r="BR110">
        <f>IF(AND(Projects!$G$30="Yes",68&gt;=Projects!$C$30,68&lt;Projects!$C$30+Projects!$D$30),IF(68=Projects!$C$30+Projects!$D$30-1,Projects!$B$30*Assumptions!$B$12/Projects!$D$30*0.95+0.05*Projects!$B$30*Assumptions!$B$12,Projects!$B$30*Assumptions!$B$12/Projects!$D$30*0.95),0)+IF(AND(Projects!$G$31="Yes",68&gt;=Projects!$C$31,68&lt;Projects!$C$31+Projects!$D$31),IF(68=Projects!$C$31+Projects!$D$31-1,Projects!$B$31*Assumptions!$B$12/Projects!$D$31*0.95+0.05*Projects!$B$31*Assumptions!$B$12,Projects!$B$31*Assumptions!$B$12/Projects!$D$31*0.95),0)+IF(AND(Projects!$G$32="Yes",68&gt;=Projects!$C$32,68&lt;Projects!$C$32+Projects!$D$32),IF(68=Projects!$C$32+Projects!$D$32-1,Projects!$B$32*Assumptions!$B$12/Projects!$D$32*0.95+0.05*Projects!$B$32*Assumptions!$B$12,Projects!$B$32*Assumptions!$B$12/Projects!$D$32*0.95),0)+IF(AND(Projects!$G$33="Yes",68&gt;=Projects!$C$33,68&lt;Projects!$C$33+Projects!$D$33),IF(68=Projects!$C$33+Projects!$D$33-1,Projects!$B$33*Assumptions!$B$12/Projects!$D$33*0.95+0.05*Projects!$B$33*Assumptions!$B$12,Projects!$B$33*Assumptions!$B$12/Projects!$D$33*0.95),0)+IF(AND(Projects!$G$34="Yes",68&gt;=Projects!$C$34,68&lt;Projects!$C$34+Projects!$D$34),IF(68=Projects!$C$34+Projects!$D$34-1,Projects!$B$34*Assumptions!$B$12/Projects!$D$34*0.95+0.05*Projects!$B$34*Assumptions!$B$12,Projects!$B$34*Assumptions!$B$12/Projects!$D$34*0.95),0)+IF(AND(Projects!$G$35="Yes",68&gt;=Projects!$C$35,68&lt;Projects!$C$35+Projects!$D$35),IF(68=Projects!$C$35+Projects!$D$35-1,Projects!$B$35*Assumptions!$B$12/Projects!$D$35*0.95+0.05*Projects!$B$35*Assumptions!$B$12,Projects!$B$35*Assumptions!$B$12/Projects!$D$35*0.95),0)+IF(AND(Projects!$G$36="Yes",68&gt;=Projects!$C$36,68&lt;Projects!$C$36+Projects!$D$36),IF(68=Projects!$C$36+Projects!$D$36-1,Projects!$B$36*Assumptions!$B$12/Projects!$D$36*0.95+0.05*Projects!$B$36*Assumptions!$B$12,Projects!$B$36*Assumptions!$B$12/Projects!$D$36*0.95),0)+IF(AND(Projects!$G$37="Yes",68&gt;=Projects!$C$37,68&lt;Projects!$C$37+Projects!$D$37),IF(68=Projects!$C$37+Projects!$D$37-1,Projects!$B$37*Assumptions!$B$12/Projects!$D$37*0.95+0.05*Projects!$B$37*Assumptions!$B$12,Projects!$B$37*Assumptions!$B$12/Projects!$D$37*0.95),0)+IF(AND(Projects!$G$38="Yes",68&gt;=Projects!$C$38,68&lt;Projects!$C$38+Projects!$D$38),IF(68=Projects!$C$38+Projects!$D$38-1,Projects!$B$38*Assumptions!$B$12/Projects!$D$38*0.95+0.05*Projects!$B$38*Assumptions!$B$12,Projects!$B$38*Assumptions!$B$12/Projects!$D$38*0.95),0)+IF(AND(Projects!$G$39="Yes",68&gt;=Projects!$C$39,68&lt;Projects!$C$39+Projects!$D$39),IF(68=Projects!$C$39+Projects!$D$39-1,Projects!$B$39*Assumptions!$B$12/Projects!$D$39*0.95+0.05*Projects!$B$39*Assumptions!$B$12,Projects!$B$39*Assumptions!$B$12/Projects!$D$39*0.95),0)+IF(AND(Projects!$G$40="Yes",68&gt;=Projects!$C$40,68&lt;Projects!$C$40+Projects!$D$40),IF(68=Projects!$C$40+Projects!$D$40-1,Projects!$B$40*Assumptions!$B$12/Projects!$D$40*0.95+0.05*Projects!$B$40*Assumptions!$B$12,Projects!$B$40*Assumptions!$B$12/Projects!$D$40*0.95),0)+IF(AND(Projects!$G$41="Yes",68&gt;=Projects!$C$41,68&lt;Projects!$C$41+Projects!$D$41),IF(68=Projects!$C$41+Projects!$D$41-1,Projects!$B$41*Assumptions!$B$12/Projects!$D$41*0.95+0.05*Projects!$B$41*Assumptions!$B$12,Projects!$B$41*Assumptions!$B$12/Projects!$D$41*0.95),0)+IF(AND(Projects!$G$42="Yes",68&gt;=Projects!$C$42,68&lt;Projects!$C$42+Projects!$D$42),IF(68=Projects!$C$42+Projects!$D$42-1,Projects!$B$42*Assumptions!$B$12/Projects!$D$42*0.95+0.05*Projects!$B$42*Assumptions!$B$12,Projects!$B$42*Assumptions!$B$12/Projects!$D$42*0.95),0)+IF(AND(Projects!$G$43="Yes",68&gt;=Projects!$C$43,68&lt;Projects!$C$43+Projects!$D$43),IF(68=Projects!$C$43+Projects!$D$43-1,Projects!$B$43*Assumptions!$B$12/Projects!$D$43*0.95+0.05*Projects!$B$43*Assumptions!$B$12,Projects!$B$43*Assumptions!$B$12/Projects!$D$43*0.95),0)+IF(AND(Projects!$G$44="Yes",68&gt;=Projects!$C$44,68&lt;Projects!$C$44+Projects!$D$44),IF(68=Projects!$C$44+Projects!$D$44-1,Projects!$B$44*Assumptions!$B$12/Projects!$D$44*0.95+0.05*Projects!$B$44*Assumptions!$B$12,Projects!$B$44*Assumptions!$B$12/Projects!$D$44*0.95),0)+IF(AND(Projects!$G$45="Yes",68&gt;=Projects!$C$45,68&lt;Projects!$C$45+Projects!$D$45),IF(68=Projects!$C$45+Projects!$D$45-1,Projects!$B$45*Assumptions!$B$12/Projects!$D$45*0.95+0.05*Projects!$B$45*Assumptions!$B$12,Projects!$B$45*Assumptions!$B$12/Projects!$D$45*0.95),0)+IF(AND(Projects!$G$46="Yes",68&gt;=Projects!$C$46,68&lt;Projects!$C$46+Projects!$D$46),IF(68=Projects!$C$46+Projects!$D$46-1,Projects!$B$46*Assumptions!$B$12/Projects!$D$46*0.95+0.05*Projects!$B$46*Assumptions!$B$12,Projects!$B$46*Assumptions!$B$12/Projects!$D$46*0.95),0)</f>
        <v/>
      </c>
      <c r="BS110">
        <f>IF(AND(Projects!$G$30="Yes",69&gt;=Projects!$C$30,69&lt;Projects!$C$30+Projects!$D$30),IF(69=Projects!$C$30+Projects!$D$30-1,Projects!$B$30*Assumptions!$B$12/Projects!$D$30*0.95+0.05*Projects!$B$30*Assumptions!$B$12,Projects!$B$30*Assumptions!$B$12/Projects!$D$30*0.95),0)+IF(AND(Projects!$G$31="Yes",69&gt;=Projects!$C$31,69&lt;Projects!$C$31+Projects!$D$31),IF(69=Projects!$C$31+Projects!$D$31-1,Projects!$B$31*Assumptions!$B$12/Projects!$D$31*0.95+0.05*Projects!$B$31*Assumptions!$B$12,Projects!$B$31*Assumptions!$B$12/Projects!$D$31*0.95),0)+IF(AND(Projects!$G$32="Yes",69&gt;=Projects!$C$32,69&lt;Projects!$C$32+Projects!$D$32),IF(69=Projects!$C$32+Projects!$D$32-1,Projects!$B$32*Assumptions!$B$12/Projects!$D$32*0.95+0.05*Projects!$B$32*Assumptions!$B$12,Projects!$B$32*Assumptions!$B$12/Projects!$D$32*0.95),0)+IF(AND(Projects!$G$33="Yes",69&gt;=Projects!$C$33,69&lt;Projects!$C$33+Projects!$D$33),IF(69=Projects!$C$33+Projects!$D$33-1,Projects!$B$33*Assumptions!$B$12/Projects!$D$33*0.95+0.05*Projects!$B$33*Assumptions!$B$12,Projects!$B$33*Assumptions!$B$12/Projects!$D$33*0.95),0)+IF(AND(Projects!$G$34="Yes",69&gt;=Projects!$C$34,69&lt;Projects!$C$34+Projects!$D$34),IF(69=Projects!$C$34+Projects!$D$34-1,Projects!$B$34*Assumptions!$B$12/Projects!$D$34*0.95+0.05*Projects!$B$34*Assumptions!$B$12,Projects!$B$34*Assumptions!$B$12/Projects!$D$34*0.95),0)+IF(AND(Projects!$G$35="Yes",69&gt;=Projects!$C$35,69&lt;Projects!$C$35+Projects!$D$35),IF(69=Projects!$C$35+Projects!$D$35-1,Projects!$B$35*Assumptions!$B$12/Projects!$D$35*0.95+0.05*Projects!$B$35*Assumptions!$B$12,Projects!$B$35*Assumptions!$B$12/Projects!$D$35*0.95),0)+IF(AND(Projects!$G$36="Yes",69&gt;=Projects!$C$36,69&lt;Projects!$C$36+Projects!$D$36),IF(69=Projects!$C$36+Projects!$D$36-1,Projects!$B$36*Assumptions!$B$12/Projects!$D$36*0.95+0.05*Projects!$B$36*Assumptions!$B$12,Projects!$B$36*Assumptions!$B$12/Projects!$D$36*0.95),0)+IF(AND(Projects!$G$37="Yes",69&gt;=Projects!$C$37,69&lt;Projects!$C$37+Projects!$D$37),IF(69=Projects!$C$37+Projects!$D$37-1,Projects!$B$37*Assumptions!$B$12/Projects!$D$37*0.95+0.05*Projects!$B$37*Assumptions!$B$12,Projects!$B$37*Assumptions!$B$12/Projects!$D$37*0.95),0)+IF(AND(Projects!$G$38="Yes",69&gt;=Projects!$C$38,69&lt;Projects!$C$38+Projects!$D$38),IF(69=Projects!$C$38+Projects!$D$38-1,Projects!$B$38*Assumptions!$B$12/Projects!$D$38*0.95+0.05*Projects!$B$38*Assumptions!$B$12,Projects!$B$38*Assumptions!$B$12/Projects!$D$38*0.95),0)+IF(AND(Projects!$G$39="Yes",69&gt;=Projects!$C$39,69&lt;Projects!$C$39+Projects!$D$39),IF(69=Projects!$C$39+Projects!$D$39-1,Projects!$B$39*Assumptions!$B$12/Projects!$D$39*0.95+0.05*Projects!$B$39*Assumptions!$B$12,Projects!$B$39*Assumptions!$B$12/Projects!$D$39*0.95),0)+IF(AND(Projects!$G$40="Yes",69&gt;=Projects!$C$40,69&lt;Projects!$C$40+Projects!$D$40),IF(69=Projects!$C$40+Projects!$D$40-1,Projects!$B$40*Assumptions!$B$12/Projects!$D$40*0.95+0.05*Projects!$B$40*Assumptions!$B$12,Projects!$B$40*Assumptions!$B$12/Projects!$D$40*0.95),0)+IF(AND(Projects!$G$41="Yes",69&gt;=Projects!$C$41,69&lt;Projects!$C$41+Projects!$D$41),IF(69=Projects!$C$41+Projects!$D$41-1,Projects!$B$41*Assumptions!$B$12/Projects!$D$41*0.95+0.05*Projects!$B$41*Assumptions!$B$12,Projects!$B$41*Assumptions!$B$12/Projects!$D$41*0.95),0)+IF(AND(Projects!$G$42="Yes",69&gt;=Projects!$C$42,69&lt;Projects!$C$42+Projects!$D$42),IF(69=Projects!$C$42+Projects!$D$42-1,Projects!$B$42*Assumptions!$B$12/Projects!$D$42*0.95+0.05*Projects!$B$42*Assumptions!$B$12,Projects!$B$42*Assumptions!$B$12/Projects!$D$42*0.95),0)+IF(AND(Projects!$G$43="Yes",69&gt;=Projects!$C$43,69&lt;Projects!$C$43+Projects!$D$43),IF(69=Projects!$C$43+Projects!$D$43-1,Projects!$B$43*Assumptions!$B$12/Projects!$D$43*0.95+0.05*Projects!$B$43*Assumptions!$B$12,Projects!$B$43*Assumptions!$B$12/Projects!$D$43*0.95),0)+IF(AND(Projects!$G$44="Yes",69&gt;=Projects!$C$44,69&lt;Projects!$C$44+Projects!$D$44),IF(69=Projects!$C$44+Projects!$D$44-1,Projects!$B$44*Assumptions!$B$12/Projects!$D$44*0.95+0.05*Projects!$B$44*Assumptions!$B$12,Projects!$B$44*Assumptions!$B$12/Projects!$D$44*0.95),0)+IF(AND(Projects!$G$45="Yes",69&gt;=Projects!$C$45,69&lt;Projects!$C$45+Projects!$D$45),IF(69=Projects!$C$45+Projects!$D$45-1,Projects!$B$45*Assumptions!$B$12/Projects!$D$45*0.95+0.05*Projects!$B$45*Assumptions!$B$12,Projects!$B$45*Assumptions!$B$12/Projects!$D$45*0.95),0)+IF(AND(Projects!$G$46="Yes",69&gt;=Projects!$C$46,69&lt;Projects!$C$46+Projects!$D$46),IF(69=Projects!$C$46+Projects!$D$46-1,Projects!$B$46*Assumptions!$B$12/Projects!$D$46*0.95+0.05*Projects!$B$46*Assumptions!$B$12,Projects!$B$46*Assumptions!$B$12/Projects!$D$46*0.95),0)</f>
        <v/>
      </c>
      <c r="BT110">
        <f>IF(AND(Projects!$G$30="Yes",70&gt;=Projects!$C$30,70&lt;Projects!$C$30+Projects!$D$30),IF(70=Projects!$C$30+Projects!$D$30-1,Projects!$B$30*Assumptions!$B$12/Projects!$D$30*0.95+0.05*Projects!$B$30*Assumptions!$B$12,Projects!$B$30*Assumptions!$B$12/Projects!$D$30*0.95),0)+IF(AND(Projects!$G$31="Yes",70&gt;=Projects!$C$31,70&lt;Projects!$C$31+Projects!$D$31),IF(70=Projects!$C$31+Projects!$D$31-1,Projects!$B$31*Assumptions!$B$12/Projects!$D$31*0.95+0.05*Projects!$B$31*Assumptions!$B$12,Projects!$B$31*Assumptions!$B$12/Projects!$D$31*0.95),0)+IF(AND(Projects!$G$32="Yes",70&gt;=Projects!$C$32,70&lt;Projects!$C$32+Projects!$D$32),IF(70=Projects!$C$32+Projects!$D$32-1,Projects!$B$32*Assumptions!$B$12/Projects!$D$32*0.95+0.05*Projects!$B$32*Assumptions!$B$12,Projects!$B$32*Assumptions!$B$12/Projects!$D$32*0.95),0)+IF(AND(Projects!$G$33="Yes",70&gt;=Projects!$C$33,70&lt;Projects!$C$33+Projects!$D$33),IF(70=Projects!$C$33+Projects!$D$33-1,Projects!$B$33*Assumptions!$B$12/Projects!$D$33*0.95+0.05*Projects!$B$33*Assumptions!$B$12,Projects!$B$33*Assumptions!$B$12/Projects!$D$33*0.95),0)+IF(AND(Projects!$G$34="Yes",70&gt;=Projects!$C$34,70&lt;Projects!$C$34+Projects!$D$34),IF(70=Projects!$C$34+Projects!$D$34-1,Projects!$B$34*Assumptions!$B$12/Projects!$D$34*0.95+0.05*Projects!$B$34*Assumptions!$B$12,Projects!$B$34*Assumptions!$B$12/Projects!$D$34*0.95),0)+IF(AND(Projects!$G$35="Yes",70&gt;=Projects!$C$35,70&lt;Projects!$C$35+Projects!$D$35),IF(70=Projects!$C$35+Projects!$D$35-1,Projects!$B$35*Assumptions!$B$12/Projects!$D$35*0.95+0.05*Projects!$B$35*Assumptions!$B$12,Projects!$B$35*Assumptions!$B$12/Projects!$D$35*0.95),0)+IF(AND(Projects!$G$36="Yes",70&gt;=Projects!$C$36,70&lt;Projects!$C$36+Projects!$D$36),IF(70=Projects!$C$36+Projects!$D$36-1,Projects!$B$36*Assumptions!$B$12/Projects!$D$36*0.95+0.05*Projects!$B$36*Assumptions!$B$12,Projects!$B$36*Assumptions!$B$12/Projects!$D$36*0.95),0)+IF(AND(Projects!$G$37="Yes",70&gt;=Projects!$C$37,70&lt;Projects!$C$37+Projects!$D$37),IF(70=Projects!$C$37+Projects!$D$37-1,Projects!$B$37*Assumptions!$B$12/Projects!$D$37*0.95+0.05*Projects!$B$37*Assumptions!$B$12,Projects!$B$37*Assumptions!$B$12/Projects!$D$37*0.95),0)+IF(AND(Projects!$G$38="Yes",70&gt;=Projects!$C$38,70&lt;Projects!$C$38+Projects!$D$38),IF(70=Projects!$C$38+Projects!$D$38-1,Projects!$B$38*Assumptions!$B$12/Projects!$D$38*0.95+0.05*Projects!$B$38*Assumptions!$B$12,Projects!$B$38*Assumptions!$B$12/Projects!$D$38*0.95),0)+IF(AND(Projects!$G$39="Yes",70&gt;=Projects!$C$39,70&lt;Projects!$C$39+Projects!$D$39),IF(70=Projects!$C$39+Projects!$D$39-1,Projects!$B$39*Assumptions!$B$12/Projects!$D$39*0.95+0.05*Projects!$B$39*Assumptions!$B$12,Projects!$B$39*Assumptions!$B$12/Projects!$D$39*0.95),0)+IF(AND(Projects!$G$40="Yes",70&gt;=Projects!$C$40,70&lt;Projects!$C$40+Projects!$D$40),IF(70=Projects!$C$40+Projects!$D$40-1,Projects!$B$40*Assumptions!$B$12/Projects!$D$40*0.95+0.05*Projects!$B$40*Assumptions!$B$12,Projects!$B$40*Assumptions!$B$12/Projects!$D$40*0.95),0)+IF(AND(Projects!$G$41="Yes",70&gt;=Projects!$C$41,70&lt;Projects!$C$41+Projects!$D$41),IF(70=Projects!$C$41+Projects!$D$41-1,Projects!$B$41*Assumptions!$B$12/Projects!$D$41*0.95+0.05*Projects!$B$41*Assumptions!$B$12,Projects!$B$41*Assumptions!$B$12/Projects!$D$41*0.95),0)+IF(AND(Projects!$G$42="Yes",70&gt;=Projects!$C$42,70&lt;Projects!$C$42+Projects!$D$42),IF(70=Projects!$C$42+Projects!$D$42-1,Projects!$B$42*Assumptions!$B$12/Projects!$D$42*0.95+0.05*Projects!$B$42*Assumptions!$B$12,Projects!$B$42*Assumptions!$B$12/Projects!$D$42*0.95),0)+IF(AND(Projects!$G$43="Yes",70&gt;=Projects!$C$43,70&lt;Projects!$C$43+Projects!$D$43),IF(70=Projects!$C$43+Projects!$D$43-1,Projects!$B$43*Assumptions!$B$12/Projects!$D$43*0.95+0.05*Projects!$B$43*Assumptions!$B$12,Projects!$B$43*Assumptions!$B$12/Projects!$D$43*0.95),0)+IF(AND(Projects!$G$44="Yes",70&gt;=Projects!$C$44,70&lt;Projects!$C$44+Projects!$D$44),IF(70=Projects!$C$44+Projects!$D$44-1,Projects!$B$44*Assumptions!$B$12/Projects!$D$44*0.95+0.05*Projects!$B$44*Assumptions!$B$12,Projects!$B$44*Assumptions!$B$12/Projects!$D$44*0.95),0)+IF(AND(Projects!$G$45="Yes",70&gt;=Projects!$C$45,70&lt;Projects!$C$45+Projects!$D$45),IF(70=Projects!$C$45+Projects!$D$45-1,Projects!$B$45*Assumptions!$B$12/Projects!$D$45*0.95+0.05*Projects!$B$45*Assumptions!$B$12,Projects!$B$45*Assumptions!$B$12/Projects!$D$45*0.95),0)+IF(AND(Projects!$G$46="Yes",70&gt;=Projects!$C$46,70&lt;Projects!$C$46+Projects!$D$46),IF(70=Projects!$C$46+Projects!$D$46-1,Projects!$B$46*Assumptions!$B$12/Projects!$D$46*0.95+0.05*Projects!$B$46*Assumptions!$B$12,Projects!$B$46*Assumptions!$B$12/Projects!$D$46*0.95),0)</f>
        <v/>
      </c>
      <c r="BU110">
        <f>IF(AND(Projects!$G$30="Yes",71&gt;=Projects!$C$30,71&lt;Projects!$C$30+Projects!$D$30),IF(71=Projects!$C$30+Projects!$D$30-1,Projects!$B$30*Assumptions!$B$12/Projects!$D$30*0.95+0.05*Projects!$B$30*Assumptions!$B$12,Projects!$B$30*Assumptions!$B$12/Projects!$D$30*0.95),0)+IF(AND(Projects!$G$31="Yes",71&gt;=Projects!$C$31,71&lt;Projects!$C$31+Projects!$D$31),IF(71=Projects!$C$31+Projects!$D$31-1,Projects!$B$31*Assumptions!$B$12/Projects!$D$31*0.95+0.05*Projects!$B$31*Assumptions!$B$12,Projects!$B$31*Assumptions!$B$12/Projects!$D$31*0.95),0)+IF(AND(Projects!$G$32="Yes",71&gt;=Projects!$C$32,71&lt;Projects!$C$32+Projects!$D$32),IF(71=Projects!$C$32+Projects!$D$32-1,Projects!$B$32*Assumptions!$B$12/Projects!$D$32*0.95+0.05*Projects!$B$32*Assumptions!$B$12,Projects!$B$32*Assumptions!$B$12/Projects!$D$32*0.95),0)+IF(AND(Projects!$G$33="Yes",71&gt;=Projects!$C$33,71&lt;Projects!$C$33+Projects!$D$33),IF(71=Projects!$C$33+Projects!$D$33-1,Projects!$B$33*Assumptions!$B$12/Projects!$D$33*0.95+0.05*Projects!$B$33*Assumptions!$B$12,Projects!$B$33*Assumptions!$B$12/Projects!$D$33*0.95),0)+IF(AND(Projects!$G$34="Yes",71&gt;=Projects!$C$34,71&lt;Projects!$C$34+Projects!$D$34),IF(71=Projects!$C$34+Projects!$D$34-1,Projects!$B$34*Assumptions!$B$12/Projects!$D$34*0.95+0.05*Projects!$B$34*Assumptions!$B$12,Projects!$B$34*Assumptions!$B$12/Projects!$D$34*0.95),0)+IF(AND(Projects!$G$35="Yes",71&gt;=Projects!$C$35,71&lt;Projects!$C$35+Projects!$D$35),IF(71=Projects!$C$35+Projects!$D$35-1,Projects!$B$35*Assumptions!$B$12/Projects!$D$35*0.95+0.05*Projects!$B$35*Assumptions!$B$12,Projects!$B$35*Assumptions!$B$12/Projects!$D$35*0.95),0)+IF(AND(Projects!$G$36="Yes",71&gt;=Projects!$C$36,71&lt;Projects!$C$36+Projects!$D$36),IF(71=Projects!$C$36+Projects!$D$36-1,Projects!$B$36*Assumptions!$B$12/Projects!$D$36*0.95+0.05*Projects!$B$36*Assumptions!$B$12,Projects!$B$36*Assumptions!$B$12/Projects!$D$36*0.95),0)+IF(AND(Projects!$G$37="Yes",71&gt;=Projects!$C$37,71&lt;Projects!$C$37+Projects!$D$37),IF(71=Projects!$C$37+Projects!$D$37-1,Projects!$B$37*Assumptions!$B$12/Projects!$D$37*0.95+0.05*Projects!$B$37*Assumptions!$B$12,Projects!$B$37*Assumptions!$B$12/Projects!$D$37*0.95),0)+IF(AND(Projects!$G$38="Yes",71&gt;=Projects!$C$38,71&lt;Projects!$C$38+Projects!$D$38),IF(71=Projects!$C$38+Projects!$D$38-1,Projects!$B$38*Assumptions!$B$12/Projects!$D$38*0.95+0.05*Projects!$B$38*Assumptions!$B$12,Projects!$B$38*Assumptions!$B$12/Projects!$D$38*0.95),0)+IF(AND(Projects!$G$39="Yes",71&gt;=Projects!$C$39,71&lt;Projects!$C$39+Projects!$D$39),IF(71=Projects!$C$39+Projects!$D$39-1,Projects!$B$39*Assumptions!$B$12/Projects!$D$39*0.95+0.05*Projects!$B$39*Assumptions!$B$12,Projects!$B$39*Assumptions!$B$12/Projects!$D$39*0.95),0)+IF(AND(Projects!$G$40="Yes",71&gt;=Projects!$C$40,71&lt;Projects!$C$40+Projects!$D$40),IF(71=Projects!$C$40+Projects!$D$40-1,Projects!$B$40*Assumptions!$B$12/Projects!$D$40*0.95+0.05*Projects!$B$40*Assumptions!$B$12,Projects!$B$40*Assumptions!$B$12/Projects!$D$40*0.95),0)+IF(AND(Projects!$G$41="Yes",71&gt;=Projects!$C$41,71&lt;Projects!$C$41+Projects!$D$41),IF(71=Projects!$C$41+Projects!$D$41-1,Projects!$B$41*Assumptions!$B$12/Projects!$D$41*0.95+0.05*Projects!$B$41*Assumptions!$B$12,Projects!$B$41*Assumptions!$B$12/Projects!$D$41*0.95),0)+IF(AND(Projects!$G$42="Yes",71&gt;=Projects!$C$42,71&lt;Projects!$C$42+Projects!$D$42),IF(71=Projects!$C$42+Projects!$D$42-1,Projects!$B$42*Assumptions!$B$12/Projects!$D$42*0.95+0.05*Projects!$B$42*Assumptions!$B$12,Projects!$B$42*Assumptions!$B$12/Projects!$D$42*0.95),0)+IF(AND(Projects!$G$43="Yes",71&gt;=Projects!$C$43,71&lt;Projects!$C$43+Projects!$D$43),IF(71=Projects!$C$43+Projects!$D$43-1,Projects!$B$43*Assumptions!$B$12/Projects!$D$43*0.95+0.05*Projects!$B$43*Assumptions!$B$12,Projects!$B$43*Assumptions!$B$12/Projects!$D$43*0.95),0)+IF(AND(Projects!$G$44="Yes",71&gt;=Projects!$C$44,71&lt;Projects!$C$44+Projects!$D$44),IF(71=Projects!$C$44+Projects!$D$44-1,Projects!$B$44*Assumptions!$B$12/Projects!$D$44*0.95+0.05*Projects!$B$44*Assumptions!$B$12,Projects!$B$44*Assumptions!$B$12/Projects!$D$44*0.95),0)+IF(AND(Projects!$G$45="Yes",71&gt;=Projects!$C$45,71&lt;Projects!$C$45+Projects!$D$45),IF(71=Projects!$C$45+Projects!$D$45-1,Projects!$B$45*Assumptions!$B$12/Projects!$D$45*0.95+0.05*Projects!$B$45*Assumptions!$B$12,Projects!$B$45*Assumptions!$B$12/Projects!$D$45*0.95),0)+IF(AND(Projects!$G$46="Yes",71&gt;=Projects!$C$46,71&lt;Projects!$C$46+Projects!$D$46),IF(71=Projects!$C$46+Projects!$D$46-1,Projects!$B$46*Assumptions!$B$12/Projects!$D$46*0.95+0.05*Projects!$B$46*Assumptions!$B$12,Projects!$B$46*Assumptions!$B$12/Projects!$D$46*0.95),0)</f>
        <v/>
      </c>
      <c r="BV110">
        <f>IF(AND(Projects!$G$30="Yes",72&gt;=Projects!$C$30,72&lt;Projects!$C$30+Projects!$D$30),IF(72=Projects!$C$30+Projects!$D$30-1,Projects!$B$30*Assumptions!$B$12/Projects!$D$30*0.95+0.05*Projects!$B$30*Assumptions!$B$12,Projects!$B$30*Assumptions!$B$12/Projects!$D$30*0.95),0)+IF(AND(Projects!$G$31="Yes",72&gt;=Projects!$C$31,72&lt;Projects!$C$31+Projects!$D$31),IF(72=Projects!$C$31+Projects!$D$31-1,Projects!$B$31*Assumptions!$B$12/Projects!$D$31*0.95+0.05*Projects!$B$31*Assumptions!$B$12,Projects!$B$31*Assumptions!$B$12/Projects!$D$31*0.95),0)+IF(AND(Projects!$G$32="Yes",72&gt;=Projects!$C$32,72&lt;Projects!$C$32+Projects!$D$32),IF(72=Projects!$C$32+Projects!$D$32-1,Projects!$B$32*Assumptions!$B$12/Projects!$D$32*0.95+0.05*Projects!$B$32*Assumptions!$B$12,Projects!$B$32*Assumptions!$B$12/Projects!$D$32*0.95),0)+IF(AND(Projects!$G$33="Yes",72&gt;=Projects!$C$33,72&lt;Projects!$C$33+Projects!$D$33),IF(72=Projects!$C$33+Projects!$D$33-1,Projects!$B$33*Assumptions!$B$12/Projects!$D$33*0.95+0.05*Projects!$B$33*Assumptions!$B$12,Projects!$B$33*Assumptions!$B$12/Projects!$D$33*0.95),0)+IF(AND(Projects!$G$34="Yes",72&gt;=Projects!$C$34,72&lt;Projects!$C$34+Projects!$D$34),IF(72=Projects!$C$34+Projects!$D$34-1,Projects!$B$34*Assumptions!$B$12/Projects!$D$34*0.95+0.05*Projects!$B$34*Assumptions!$B$12,Projects!$B$34*Assumptions!$B$12/Projects!$D$34*0.95),0)+IF(AND(Projects!$G$35="Yes",72&gt;=Projects!$C$35,72&lt;Projects!$C$35+Projects!$D$35),IF(72=Projects!$C$35+Projects!$D$35-1,Projects!$B$35*Assumptions!$B$12/Projects!$D$35*0.95+0.05*Projects!$B$35*Assumptions!$B$12,Projects!$B$35*Assumptions!$B$12/Projects!$D$35*0.95),0)+IF(AND(Projects!$G$36="Yes",72&gt;=Projects!$C$36,72&lt;Projects!$C$36+Projects!$D$36),IF(72=Projects!$C$36+Projects!$D$36-1,Projects!$B$36*Assumptions!$B$12/Projects!$D$36*0.95+0.05*Projects!$B$36*Assumptions!$B$12,Projects!$B$36*Assumptions!$B$12/Projects!$D$36*0.95),0)+IF(AND(Projects!$G$37="Yes",72&gt;=Projects!$C$37,72&lt;Projects!$C$37+Projects!$D$37),IF(72=Projects!$C$37+Projects!$D$37-1,Projects!$B$37*Assumptions!$B$12/Projects!$D$37*0.95+0.05*Projects!$B$37*Assumptions!$B$12,Projects!$B$37*Assumptions!$B$12/Projects!$D$37*0.95),0)+IF(AND(Projects!$G$38="Yes",72&gt;=Projects!$C$38,72&lt;Projects!$C$38+Projects!$D$38),IF(72=Projects!$C$38+Projects!$D$38-1,Projects!$B$38*Assumptions!$B$12/Projects!$D$38*0.95+0.05*Projects!$B$38*Assumptions!$B$12,Projects!$B$38*Assumptions!$B$12/Projects!$D$38*0.95),0)+IF(AND(Projects!$G$39="Yes",72&gt;=Projects!$C$39,72&lt;Projects!$C$39+Projects!$D$39),IF(72=Projects!$C$39+Projects!$D$39-1,Projects!$B$39*Assumptions!$B$12/Projects!$D$39*0.95+0.05*Projects!$B$39*Assumptions!$B$12,Projects!$B$39*Assumptions!$B$12/Projects!$D$39*0.95),0)+IF(AND(Projects!$G$40="Yes",72&gt;=Projects!$C$40,72&lt;Projects!$C$40+Projects!$D$40),IF(72=Projects!$C$40+Projects!$D$40-1,Projects!$B$40*Assumptions!$B$12/Projects!$D$40*0.95+0.05*Projects!$B$40*Assumptions!$B$12,Projects!$B$40*Assumptions!$B$12/Projects!$D$40*0.95),0)+IF(AND(Projects!$G$41="Yes",72&gt;=Projects!$C$41,72&lt;Projects!$C$41+Projects!$D$41),IF(72=Projects!$C$41+Projects!$D$41-1,Projects!$B$41*Assumptions!$B$12/Projects!$D$41*0.95+0.05*Projects!$B$41*Assumptions!$B$12,Projects!$B$41*Assumptions!$B$12/Projects!$D$41*0.95),0)+IF(AND(Projects!$G$42="Yes",72&gt;=Projects!$C$42,72&lt;Projects!$C$42+Projects!$D$42),IF(72=Projects!$C$42+Projects!$D$42-1,Projects!$B$42*Assumptions!$B$12/Projects!$D$42*0.95+0.05*Projects!$B$42*Assumptions!$B$12,Projects!$B$42*Assumptions!$B$12/Projects!$D$42*0.95),0)+IF(AND(Projects!$G$43="Yes",72&gt;=Projects!$C$43,72&lt;Projects!$C$43+Projects!$D$43),IF(72=Projects!$C$43+Projects!$D$43-1,Projects!$B$43*Assumptions!$B$12/Projects!$D$43*0.95+0.05*Projects!$B$43*Assumptions!$B$12,Projects!$B$43*Assumptions!$B$12/Projects!$D$43*0.95),0)+IF(AND(Projects!$G$44="Yes",72&gt;=Projects!$C$44,72&lt;Projects!$C$44+Projects!$D$44),IF(72=Projects!$C$44+Projects!$D$44-1,Projects!$B$44*Assumptions!$B$12/Projects!$D$44*0.95+0.05*Projects!$B$44*Assumptions!$B$12,Projects!$B$44*Assumptions!$B$12/Projects!$D$44*0.95),0)+IF(AND(Projects!$G$45="Yes",72&gt;=Projects!$C$45,72&lt;Projects!$C$45+Projects!$D$45),IF(72=Projects!$C$45+Projects!$D$45-1,Projects!$B$45*Assumptions!$B$12/Projects!$D$45*0.95+0.05*Projects!$B$45*Assumptions!$B$12,Projects!$B$45*Assumptions!$B$12/Projects!$D$45*0.95),0)+IF(AND(Projects!$G$46="Yes",72&gt;=Projects!$C$46,72&lt;Projects!$C$46+Projects!$D$46),IF(72=Projects!$C$46+Projects!$D$46-1,Projects!$B$46*Assumptions!$B$12/Projects!$D$46*0.95+0.05*Projects!$B$46*Assumptions!$B$12,Projects!$B$46*Assumptions!$B$12/Projects!$D$46*0.95),0)</f>
        <v/>
      </c>
      <c r="BW110">
        <f>IF(AND(Projects!$G$30="Yes",73&gt;=Projects!$C$30,73&lt;Projects!$C$30+Projects!$D$30),IF(73=Projects!$C$30+Projects!$D$30-1,Projects!$B$30*Assumptions!$B$12/Projects!$D$30*0.95+0.05*Projects!$B$30*Assumptions!$B$12,Projects!$B$30*Assumptions!$B$12/Projects!$D$30*0.95),0)+IF(AND(Projects!$G$31="Yes",73&gt;=Projects!$C$31,73&lt;Projects!$C$31+Projects!$D$31),IF(73=Projects!$C$31+Projects!$D$31-1,Projects!$B$31*Assumptions!$B$12/Projects!$D$31*0.95+0.05*Projects!$B$31*Assumptions!$B$12,Projects!$B$31*Assumptions!$B$12/Projects!$D$31*0.95),0)+IF(AND(Projects!$G$32="Yes",73&gt;=Projects!$C$32,73&lt;Projects!$C$32+Projects!$D$32),IF(73=Projects!$C$32+Projects!$D$32-1,Projects!$B$32*Assumptions!$B$12/Projects!$D$32*0.95+0.05*Projects!$B$32*Assumptions!$B$12,Projects!$B$32*Assumptions!$B$12/Projects!$D$32*0.95),0)+IF(AND(Projects!$G$33="Yes",73&gt;=Projects!$C$33,73&lt;Projects!$C$33+Projects!$D$33),IF(73=Projects!$C$33+Projects!$D$33-1,Projects!$B$33*Assumptions!$B$12/Projects!$D$33*0.95+0.05*Projects!$B$33*Assumptions!$B$12,Projects!$B$33*Assumptions!$B$12/Projects!$D$33*0.95),0)+IF(AND(Projects!$G$34="Yes",73&gt;=Projects!$C$34,73&lt;Projects!$C$34+Projects!$D$34),IF(73=Projects!$C$34+Projects!$D$34-1,Projects!$B$34*Assumptions!$B$12/Projects!$D$34*0.95+0.05*Projects!$B$34*Assumptions!$B$12,Projects!$B$34*Assumptions!$B$12/Projects!$D$34*0.95),0)+IF(AND(Projects!$G$35="Yes",73&gt;=Projects!$C$35,73&lt;Projects!$C$35+Projects!$D$35),IF(73=Projects!$C$35+Projects!$D$35-1,Projects!$B$35*Assumptions!$B$12/Projects!$D$35*0.95+0.05*Projects!$B$35*Assumptions!$B$12,Projects!$B$35*Assumptions!$B$12/Projects!$D$35*0.95),0)+IF(AND(Projects!$G$36="Yes",73&gt;=Projects!$C$36,73&lt;Projects!$C$36+Projects!$D$36),IF(73=Projects!$C$36+Projects!$D$36-1,Projects!$B$36*Assumptions!$B$12/Projects!$D$36*0.95+0.05*Projects!$B$36*Assumptions!$B$12,Projects!$B$36*Assumptions!$B$12/Projects!$D$36*0.95),0)+IF(AND(Projects!$G$37="Yes",73&gt;=Projects!$C$37,73&lt;Projects!$C$37+Projects!$D$37),IF(73=Projects!$C$37+Projects!$D$37-1,Projects!$B$37*Assumptions!$B$12/Projects!$D$37*0.95+0.05*Projects!$B$37*Assumptions!$B$12,Projects!$B$37*Assumptions!$B$12/Projects!$D$37*0.95),0)+IF(AND(Projects!$G$38="Yes",73&gt;=Projects!$C$38,73&lt;Projects!$C$38+Projects!$D$38),IF(73=Projects!$C$38+Projects!$D$38-1,Projects!$B$38*Assumptions!$B$12/Projects!$D$38*0.95+0.05*Projects!$B$38*Assumptions!$B$12,Projects!$B$38*Assumptions!$B$12/Projects!$D$38*0.95),0)+IF(AND(Projects!$G$39="Yes",73&gt;=Projects!$C$39,73&lt;Projects!$C$39+Projects!$D$39),IF(73=Projects!$C$39+Projects!$D$39-1,Projects!$B$39*Assumptions!$B$12/Projects!$D$39*0.95+0.05*Projects!$B$39*Assumptions!$B$12,Projects!$B$39*Assumptions!$B$12/Projects!$D$39*0.95),0)+IF(AND(Projects!$G$40="Yes",73&gt;=Projects!$C$40,73&lt;Projects!$C$40+Projects!$D$40),IF(73=Projects!$C$40+Projects!$D$40-1,Projects!$B$40*Assumptions!$B$12/Projects!$D$40*0.95+0.05*Projects!$B$40*Assumptions!$B$12,Projects!$B$40*Assumptions!$B$12/Projects!$D$40*0.95),0)+IF(AND(Projects!$G$41="Yes",73&gt;=Projects!$C$41,73&lt;Projects!$C$41+Projects!$D$41),IF(73=Projects!$C$41+Projects!$D$41-1,Projects!$B$41*Assumptions!$B$12/Projects!$D$41*0.95+0.05*Projects!$B$41*Assumptions!$B$12,Projects!$B$41*Assumptions!$B$12/Projects!$D$41*0.95),0)+IF(AND(Projects!$G$42="Yes",73&gt;=Projects!$C$42,73&lt;Projects!$C$42+Projects!$D$42),IF(73=Projects!$C$42+Projects!$D$42-1,Projects!$B$42*Assumptions!$B$12/Projects!$D$42*0.95+0.05*Projects!$B$42*Assumptions!$B$12,Projects!$B$42*Assumptions!$B$12/Projects!$D$42*0.95),0)+IF(AND(Projects!$G$43="Yes",73&gt;=Projects!$C$43,73&lt;Projects!$C$43+Projects!$D$43),IF(73=Projects!$C$43+Projects!$D$43-1,Projects!$B$43*Assumptions!$B$12/Projects!$D$43*0.95+0.05*Projects!$B$43*Assumptions!$B$12,Projects!$B$43*Assumptions!$B$12/Projects!$D$43*0.95),0)+IF(AND(Projects!$G$44="Yes",73&gt;=Projects!$C$44,73&lt;Projects!$C$44+Projects!$D$44),IF(73=Projects!$C$44+Projects!$D$44-1,Projects!$B$44*Assumptions!$B$12/Projects!$D$44*0.95+0.05*Projects!$B$44*Assumptions!$B$12,Projects!$B$44*Assumptions!$B$12/Projects!$D$44*0.95),0)+IF(AND(Projects!$G$45="Yes",73&gt;=Projects!$C$45,73&lt;Projects!$C$45+Projects!$D$45),IF(73=Projects!$C$45+Projects!$D$45-1,Projects!$B$45*Assumptions!$B$12/Projects!$D$45*0.95+0.05*Projects!$B$45*Assumptions!$B$12,Projects!$B$45*Assumptions!$B$12/Projects!$D$45*0.95),0)+IF(AND(Projects!$G$46="Yes",73&gt;=Projects!$C$46,73&lt;Projects!$C$46+Projects!$D$46),IF(73=Projects!$C$46+Projects!$D$46-1,Projects!$B$46*Assumptions!$B$12/Projects!$D$46*0.95+0.05*Projects!$B$46*Assumptions!$B$12,Projects!$B$46*Assumptions!$B$12/Projects!$D$46*0.95),0)</f>
        <v/>
      </c>
      <c r="BX110">
        <f>IF(AND(Projects!$G$30="Yes",74&gt;=Projects!$C$30,74&lt;Projects!$C$30+Projects!$D$30),IF(74=Projects!$C$30+Projects!$D$30-1,Projects!$B$30*Assumptions!$B$12/Projects!$D$30*0.95+0.05*Projects!$B$30*Assumptions!$B$12,Projects!$B$30*Assumptions!$B$12/Projects!$D$30*0.95),0)+IF(AND(Projects!$G$31="Yes",74&gt;=Projects!$C$31,74&lt;Projects!$C$31+Projects!$D$31),IF(74=Projects!$C$31+Projects!$D$31-1,Projects!$B$31*Assumptions!$B$12/Projects!$D$31*0.95+0.05*Projects!$B$31*Assumptions!$B$12,Projects!$B$31*Assumptions!$B$12/Projects!$D$31*0.95),0)+IF(AND(Projects!$G$32="Yes",74&gt;=Projects!$C$32,74&lt;Projects!$C$32+Projects!$D$32),IF(74=Projects!$C$32+Projects!$D$32-1,Projects!$B$32*Assumptions!$B$12/Projects!$D$32*0.95+0.05*Projects!$B$32*Assumptions!$B$12,Projects!$B$32*Assumptions!$B$12/Projects!$D$32*0.95),0)+IF(AND(Projects!$G$33="Yes",74&gt;=Projects!$C$33,74&lt;Projects!$C$33+Projects!$D$33),IF(74=Projects!$C$33+Projects!$D$33-1,Projects!$B$33*Assumptions!$B$12/Projects!$D$33*0.95+0.05*Projects!$B$33*Assumptions!$B$12,Projects!$B$33*Assumptions!$B$12/Projects!$D$33*0.95),0)+IF(AND(Projects!$G$34="Yes",74&gt;=Projects!$C$34,74&lt;Projects!$C$34+Projects!$D$34),IF(74=Projects!$C$34+Projects!$D$34-1,Projects!$B$34*Assumptions!$B$12/Projects!$D$34*0.95+0.05*Projects!$B$34*Assumptions!$B$12,Projects!$B$34*Assumptions!$B$12/Projects!$D$34*0.95),0)+IF(AND(Projects!$G$35="Yes",74&gt;=Projects!$C$35,74&lt;Projects!$C$35+Projects!$D$35),IF(74=Projects!$C$35+Projects!$D$35-1,Projects!$B$35*Assumptions!$B$12/Projects!$D$35*0.95+0.05*Projects!$B$35*Assumptions!$B$12,Projects!$B$35*Assumptions!$B$12/Projects!$D$35*0.95),0)+IF(AND(Projects!$G$36="Yes",74&gt;=Projects!$C$36,74&lt;Projects!$C$36+Projects!$D$36),IF(74=Projects!$C$36+Projects!$D$36-1,Projects!$B$36*Assumptions!$B$12/Projects!$D$36*0.95+0.05*Projects!$B$36*Assumptions!$B$12,Projects!$B$36*Assumptions!$B$12/Projects!$D$36*0.95),0)+IF(AND(Projects!$G$37="Yes",74&gt;=Projects!$C$37,74&lt;Projects!$C$37+Projects!$D$37),IF(74=Projects!$C$37+Projects!$D$37-1,Projects!$B$37*Assumptions!$B$12/Projects!$D$37*0.95+0.05*Projects!$B$37*Assumptions!$B$12,Projects!$B$37*Assumptions!$B$12/Projects!$D$37*0.95),0)+IF(AND(Projects!$G$38="Yes",74&gt;=Projects!$C$38,74&lt;Projects!$C$38+Projects!$D$38),IF(74=Projects!$C$38+Projects!$D$38-1,Projects!$B$38*Assumptions!$B$12/Projects!$D$38*0.95+0.05*Projects!$B$38*Assumptions!$B$12,Projects!$B$38*Assumptions!$B$12/Projects!$D$38*0.95),0)+IF(AND(Projects!$G$39="Yes",74&gt;=Projects!$C$39,74&lt;Projects!$C$39+Projects!$D$39),IF(74=Projects!$C$39+Projects!$D$39-1,Projects!$B$39*Assumptions!$B$12/Projects!$D$39*0.95+0.05*Projects!$B$39*Assumptions!$B$12,Projects!$B$39*Assumptions!$B$12/Projects!$D$39*0.95),0)+IF(AND(Projects!$G$40="Yes",74&gt;=Projects!$C$40,74&lt;Projects!$C$40+Projects!$D$40),IF(74=Projects!$C$40+Projects!$D$40-1,Projects!$B$40*Assumptions!$B$12/Projects!$D$40*0.95+0.05*Projects!$B$40*Assumptions!$B$12,Projects!$B$40*Assumptions!$B$12/Projects!$D$40*0.95),0)+IF(AND(Projects!$G$41="Yes",74&gt;=Projects!$C$41,74&lt;Projects!$C$41+Projects!$D$41),IF(74=Projects!$C$41+Projects!$D$41-1,Projects!$B$41*Assumptions!$B$12/Projects!$D$41*0.95+0.05*Projects!$B$41*Assumptions!$B$12,Projects!$B$41*Assumptions!$B$12/Projects!$D$41*0.95),0)+IF(AND(Projects!$G$42="Yes",74&gt;=Projects!$C$42,74&lt;Projects!$C$42+Projects!$D$42),IF(74=Projects!$C$42+Projects!$D$42-1,Projects!$B$42*Assumptions!$B$12/Projects!$D$42*0.95+0.05*Projects!$B$42*Assumptions!$B$12,Projects!$B$42*Assumptions!$B$12/Projects!$D$42*0.95),0)+IF(AND(Projects!$G$43="Yes",74&gt;=Projects!$C$43,74&lt;Projects!$C$43+Projects!$D$43),IF(74=Projects!$C$43+Projects!$D$43-1,Projects!$B$43*Assumptions!$B$12/Projects!$D$43*0.95+0.05*Projects!$B$43*Assumptions!$B$12,Projects!$B$43*Assumptions!$B$12/Projects!$D$43*0.95),0)+IF(AND(Projects!$G$44="Yes",74&gt;=Projects!$C$44,74&lt;Projects!$C$44+Projects!$D$44),IF(74=Projects!$C$44+Projects!$D$44-1,Projects!$B$44*Assumptions!$B$12/Projects!$D$44*0.95+0.05*Projects!$B$44*Assumptions!$B$12,Projects!$B$44*Assumptions!$B$12/Projects!$D$44*0.95),0)+IF(AND(Projects!$G$45="Yes",74&gt;=Projects!$C$45,74&lt;Projects!$C$45+Projects!$D$45),IF(74=Projects!$C$45+Projects!$D$45-1,Projects!$B$45*Assumptions!$B$12/Projects!$D$45*0.95+0.05*Projects!$B$45*Assumptions!$B$12,Projects!$B$45*Assumptions!$B$12/Projects!$D$45*0.95),0)+IF(AND(Projects!$G$46="Yes",74&gt;=Projects!$C$46,74&lt;Projects!$C$46+Projects!$D$46),IF(74=Projects!$C$46+Projects!$D$46-1,Projects!$B$46*Assumptions!$B$12/Projects!$D$46*0.95+0.05*Projects!$B$46*Assumptions!$B$12,Projects!$B$46*Assumptions!$B$12/Projects!$D$46*0.95),0)</f>
        <v/>
      </c>
      <c r="BY110">
        <f>IF(AND(Projects!$G$30="Yes",75&gt;=Projects!$C$30,75&lt;Projects!$C$30+Projects!$D$30),IF(75=Projects!$C$30+Projects!$D$30-1,Projects!$B$30*Assumptions!$B$12/Projects!$D$30*0.95+0.05*Projects!$B$30*Assumptions!$B$12,Projects!$B$30*Assumptions!$B$12/Projects!$D$30*0.95),0)+IF(AND(Projects!$G$31="Yes",75&gt;=Projects!$C$31,75&lt;Projects!$C$31+Projects!$D$31),IF(75=Projects!$C$31+Projects!$D$31-1,Projects!$B$31*Assumptions!$B$12/Projects!$D$31*0.95+0.05*Projects!$B$31*Assumptions!$B$12,Projects!$B$31*Assumptions!$B$12/Projects!$D$31*0.95),0)+IF(AND(Projects!$G$32="Yes",75&gt;=Projects!$C$32,75&lt;Projects!$C$32+Projects!$D$32),IF(75=Projects!$C$32+Projects!$D$32-1,Projects!$B$32*Assumptions!$B$12/Projects!$D$32*0.95+0.05*Projects!$B$32*Assumptions!$B$12,Projects!$B$32*Assumptions!$B$12/Projects!$D$32*0.95),0)+IF(AND(Projects!$G$33="Yes",75&gt;=Projects!$C$33,75&lt;Projects!$C$33+Projects!$D$33),IF(75=Projects!$C$33+Projects!$D$33-1,Projects!$B$33*Assumptions!$B$12/Projects!$D$33*0.95+0.05*Projects!$B$33*Assumptions!$B$12,Projects!$B$33*Assumptions!$B$12/Projects!$D$33*0.95),0)+IF(AND(Projects!$G$34="Yes",75&gt;=Projects!$C$34,75&lt;Projects!$C$34+Projects!$D$34),IF(75=Projects!$C$34+Projects!$D$34-1,Projects!$B$34*Assumptions!$B$12/Projects!$D$34*0.95+0.05*Projects!$B$34*Assumptions!$B$12,Projects!$B$34*Assumptions!$B$12/Projects!$D$34*0.95),0)+IF(AND(Projects!$G$35="Yes",75&gt;=Projects!$C$35,75&lt;Projects!$C$35+Projects!$D$35),IF(75=Projects!$C$35+Projects!$D$35-1,Projects!$B$35*Assumptions!$B$12/Projects!$D$35*0.95+0.05*Projects!$B$35*Assumptions!$B$12,Projects!$B$35*Assumptions!$B$12/Projects!$D$35*0.95),0)+IF(AND(Projects!$G$36="Yes",75&gt;=Projects!$C$36,75&lt;Projects!$C$36+Projects!$D$36),IF(75=Projects!$C$36+Projects!$D$36-1,Projects!$B$36*Assumptions!$B$12/Projects!$D$36*0.95+0.05*Projects!$B$36*Assumptions!$B$12,Projects!$B$36*Assumptions!$B$12/Projects!$D$36*0.95),0)+IF(AND(Projects!$G$37="Yes",75&gt;=Projects!$C$37,75&lt;Projects!$C$37+Projects!$D$37),IF(75=Projects!$C$37+Projects!$D$37-1,Projects!$B$37*Assumptions!$B$12/Projects!$D$37*0.95+0.05*Projects!$B$37*Assumptions!$B$12,Projects!$B$37*Assumptions!$B$12/Projects!$D$37*0.95),0)+IF(AND(Projects!$G$38="Yes",75&gt;=Projects!$C$38,75&lt;Projects!$C$38+Projects!$D$38),IF(75=Projects!$C$38+Projects!$D$38-1,Projects!$B$38*Assumptions!$B$12/Projects!$D$38*0.95+0.05*Projects!$B$38*Assumptions!$B$12,Projects!$B$38*Assumptions!$B$12/Projects!$D$38*0.95),0)+IF(AND(Projects!$G$39="Yes",75&gt;=Projects!$C$39,75&lt;Projects!$C$39+Projects!$D$39),IF(75=Projects!$C$39+Projects!$D$39-1,Projects!$B$39*Assumptions!$B$12/Projects!$D$39*0.95+0.05*Projects!$B$39*Assumptions!$B$12,Projects!$B$39*Assumptions!$B$12/Projects!$D$39*0.95),0)+IF(AND(Projects!$G$40="Yes",75&gt;=Projects!$C$40,75&lt;Projects!$C$40+Projects!$D$40),IF(75=Projects!$C$40+Projects!$D$40-1,Projects!$B$40*Assumptions!$B$12/Projects!$D$40*0.95+0.05*Projects!$B$40*Assumptions!$B$12,Projects!$B$40*Assumptions!$B$12/Projects!$D$40*0.95),0)+IF(AND(Projects!$G$41="Yes",75&gt;=Projects!$C$41,75&lt;Projects!$C$41+Projects!$D$41),IF(75=Projects!$C$41+Projects!$D$41-1,Projects!$B$41*Assumptions!$B$12/Projects!$D$41*0.95+0.05*Projects!$B$41*Assumptions!$B$12,Projects!$B$41*Assumptions!$B$12/Projects!$D$41*0.95),0)+IF(AND(Projects!$G$42="Yes",75&gt;=Projects!$C$42,75&lt;Projects!$C$42+Projects!$D$42),IF(75=Projects!$C$42+Projects!$D$42-1,Projects!$B$42*Assumptions!$B$12/Projects!$D$42*0.95+0.05*Projects!$B$42*Assumptions!$B$12,Projects!$B$42*Assumptions!$B$12/Projects!$D$42*0.95),0)+IF(AND(Projects!$G$43="Yes",75&gt;=Projects!$C$43,75&lt;Projects!$C$43+Projects!$D$43),IF(75=Projects!$C$43+Projects!$D$43-1,Projects!$B$43*Assumptions!$B$12/Projects!$D$43*0.95+0.05*Projects!$B$43*Assumptions!$B$12,Projects!$B$43*Assumptions!$B$12/Projects!$D$43*0.95),0)+IF(AND(Projects!$G$44="Yes",75&gt;=Projects!$C$44,75&lt;Projects!$C$44+Projects!$D$44),IF(75=Projects!$C$44+Projects!$D$44-1,Projects!$B$44*Assumptions!$B$12/Projects!$D$44*0.95+0.05*Projects!$B$44*Assumptions!$B$12,Projects!$B$44*Assumptions!$B$12/Projects!$D$44*0.95),0)+IF(AND(Projects!$G$45="Yes",75&gt;=Projects!$C$45,75&lt;Projects!$C$45+Projects!$D$45),IF(75=Projects!$C$45+Projects!$D$45-1,Projects!$B$45*Assumptions!$B$12/Projects!$D$45*0.95+0.05*Projects!$B$45*Assumptions!$B$12,Projects!$B$45*Assumptions!$B$12/Projects!$D$45*0.95),0)+IF(AND(Projects!$G$46="Yes",75&gt;=Projects!$C$46,75&lt;Projects!$C$46+Projects!$D$46),IF(75=Projects!$C$46+Projects!$D$46-1,Projects!$B$46*Assumptions!$B$12/Projects!$D$46*0.95+0.05*Projects!$B$46*Assumptions!$B$12,Projects!$B$46*Assumptions!$B$12/Projects!$D$46*0.95),0)</f>
        <v/>
      </c>
      <c r="BZ110">
        <f>IF(AND(Projects!$G$30="Yes",76&gt;=Projects!$C$30,76&lt;Projects!$C$30+Projects!$D$30),IF(76=Projects!$C$30+Projects!$D$30-1,Projects!$B$30*Assumptions!$B$12/Projects!$D$30*0.95+0.05*Projects!$B$30*Assumptions!$B$12,Projects!$B$30*Assumptions!$B$12/Projects!$D$30*0.95),0)+IF(AND(Projects!$G$31="Yes",76&gt;=Projects!$C$31,76&lt;Projects!$C$31+Projects!$D$31),IF(76=Projects!$C$31+Projects!$D$31-1,Projects!$B$31*Assumptions!$B$12/Projects!$D$31*0.95+0.05*Projects!$B$31*Assumptions!$B$12,Projects!$B$31*Assumptions!$B$12/Projects!$D$31*0.95),0)+IF(AND(Projects!$G$32="Yes",76&gt;=Projects!$C$32,76&lt;Projects!$C$32+Projects!$D$32),IF(76=Projects!$C$32+Projects!$D$32-1,Projects!$B$32*Assumptions!$B$12/Projects!$D$32*0.95+0.05*Projects!$B$32*Assumptions!$B$12,Projects!$B$32*Assumptions!$B$12/Projects!$D$32*0.95),0)+IF(AND(Projects!$G$33="Yes",76&gt;=Projects!$C$33,76&lt;Projects!$C$33+Projects!$D$33),IF(76=Projects!$C$33+Projects!$D$33-1,Projects!$B$33*Assumptions!$B$12/Projects!$D$33*0.95+0.05*Projects!$B$33*Assumptions!$B$12,Projects!$B$33*Assumptions!$B$12/Projects!$D$33*0.95),0)+IF(AND(Projects!$G$34="Yes",76&gt;=Projects!$C$34,76&lt;Projects!$C$34+Projects!$D$34),IF(76=Projects!$C$34+Projects!$D$34-1,Projects!$B$34*Assumptions!$B$12/Projects!$D$34*0.95+0.05*Projects!$B$34*Assumptions!$B$12,Projects!$B$34*Assumptions!$B$12/Projects!$D$34*0.95),0)+IF(AND(Projects!$G$35="Yes",76&gt;=Projects!$C$35,76&lt;Projects!$C$35+Projects!$D$35),IF(76=Projects!$C$35+Projects!$D$35-1,Projects!$B$35*Assumptions!$B$12/Projects!$D$35*0.95+0.05*Projects!$B$35*Assumptions!$B$12,Projects!$B$35*Assumptions!$B$12/Projects!$D$35*0.95),0)+IF(AND(Projects!$G$36="Yes",76&gt;=Projects!$C$36,76&lt;Projects!$C$36+Projects!$D$36),IF(76=Projects!$C$36+Projects!$D$36-1,Projects!$B$36*Assumptions!$B$12/Projects!$D$36*0.95+0.05*Projects!$B$36*Assumptions!$B$12,Projects!$B$36*Assumptions!$B$12/Projects!$D$36*0.95),0)+IF(AND(Projects!$G$37="Yes",76&gt;=Projects!$C$37,76&lt;Projects!$C$37+Projects!$D$37),IF(76=Projects!$C$37+Projects!$D$37-1,Projects!$B$37*Assumptions!$B$12/Projects!$D$37*0.95+0.05*Projects!$B$37*Assumptions!$B$12,Projects!$B$37*Assumptions!$B$12/Projects!$D$37*0.95),0)+IF(AND(Projects!$G$38="Yes",76&gt;=Projects!$C$38,76&lt;Projects!$C$38+Projects!$D$38),IF(76=Projects!$C$38+Projects!$D$38-1,Projects!$B$38*Assumptions!$B$12/Projects!$D$38*0.95+0.05*Projects!$B$38*Assumptions!$B$12,Projects!$B$38*Assumptions!$B$12/Projects!$D$38*0.95),0)+IF(AND(Projects!$G$39="Yes",76&gt;=Projects!$C$39,76&lt;Projects!$C$39+Projects!$D$39),IF(76=Projects!$C$39+Projects!$D$39-1,Projects!$B$39*Assumptions!$B$12/Projects!$D$39*0.95+0.05*Projects!$B$39*Assumptions!$B$12,Projects!$B$39*Assumptions!$B$12/Projects!$D$39*0.95),0)+IF(AND(Projects!$G$40="Yes",76&gt;=Projects!$C$40,76&lt;Projects!$C$40+Projects!$D$40),IF(76=Projects!$C$40+Projects!$D$40-1,Projects!$B$40*Assumptions!$B$12/Projects!$D$40*0.95+0.05*Projects!$B$40*Assumptions!$B$12,Projects!$B$40*Assumptions!$B$12/Projects!$D$40*0.95),0)+IF(AND(Projects!$G$41="Yes",76&gt;=Projects!$C$41,76&lt;Projects!$C$41+Projects!$D$41),IF(76=Projects!$C$41+Projects!$D$41-1,Projects!$B$41*Assumptions!$B$12/Projects!$D$41*0.95+0.05*Projects!$B$41*Assumptions!$B$12,Projects!$B$41*Assumptions!$B$12/Projects!$D$41*0.95),0)+IF(AND(Projects!$G$42="Yes",76&gt;=Projects!$C$42,76&lt;Projects!$C$42+Projects!$D$42),IF(76=Projects!$C$42+Projects!$D$42-1,Projects!$B$42*Assumptions!$B$12/Projects!$D$42*0.95+0.05*Projects!$B$42*Assumptions!$B$12,Projects!$B$42*Assumptions!$B$12/Projects!$D$42*0.95),0)+IF(AND(Projects!$G$43="Yes",76&gt;=Projects!$C$43,76&lt;Projects!$C$43+Projects!$D$43),IF(76=Projects!$C$43+Projects!$D$43-1,Projects!$B$43*Assumptions!$B$12/Projects!$D$43*0.95+0.05*Projects!$B$43*Assumptions!$B$12,Projects!$B$43*Assumptions!$B$12/Projects!$D$43*0.95),0)+IF(AND(Projects!$G$44="Yes",76&gt;=Projects!$C$44,76&lt;Projects!$C$44+Projects!$D$44),IF(76=Projects!$C$44+Projects!$D$44-1,Projects!$B$44*Assumptions!$B$12/Projects!$D$44*0.95+0.05*Projects!$B$44*Assumptions!$B$12,Projects!$B$44*Assumptions!$B$12/Projects!$D$44*0.95),0)+IF(AND(Projects!$G$45="Yes",76&gt;=Projects!$C$45,76&lt;Projects!$C$45+Projects!$D$45),IF(76=Projects!$C$45+Projects!$D$45-1,Projects!$B$45*Assumptions!$B$12/Projects!$D$45*0.95+0.05*Projects!$B$45*Assumptions!$B$12,Projects!$B$45*Assumptions!$B$12/Projects!$D$45*0.95),0)+IF(AND(Projects!$G$46="Yes",76&gt;=Projects!$C$46,76&lt;Projects!$C$46+Projects!$D$46),IF(76=Projects!$C$46+Projects!$D$46-1,Projects!$B$46*Assumptions!$B$12/Projects!$D$46*0.95+0.05*Projects!$B$46*Assumptions!$B$12,Projects!$B$46*Assumptions!$B$12/Projects!$D$46*0.95),0)</f>
        <v/>
      </c>
      <c r="CA110">
        <f>IF(AND(Projects!$G$30="Yes",77&gt;=Projects!$C$30,77&lt;Projects!$C$30+Projects!$D$30),IF(77=Projects!$C$30+Projects!$D$30-1,Projects!$B$30*Assumptions!$B$12/Projects!$D$30*0.95+0.05*Projects!$B$30*Assumptions!$B$12,Projects!$B$30*Assumptions!$B$12/Projects!$D$30*0.95),0)+IF(AND(Projects!$G$31="Yes",77&gt;=Projects!$C$31,77&lt;Projects!$C$31+Projects!$D$31),IF(77=Projects!$C$31+Projects!$D$31-1,Projects!$B$31*Assumptions!$B$12/Projects!$D$31*0.95+0.05*Projects!$B$31*Assumptions!$B$12,Projects!$B$31*Assumptions!$B$12/Projects!$D$31*0.95),0)+IF(AND(Projects!$G$32="Yes",77&gt;=Projects!$C$32,77&lt;Projects!$C$32+Projects!$D$32),IF(77=Projects!$C$32+Projects!$D$32-1,Projects!$B$32*Assumptions!$B$12/Projects!$D$32*0.95+0.05*Projects!$B$32*Assumptions!$B$12,Projects!$B$32*Assumptions!$B$12/Projects!$D$32*0.95),0)+IF(AND(Projects!$G$33="Yes",77&gt;=Projects!$C$33,77&lt;Projects!$C$33+Projects!$D$33),IF(77=Projects!$C$33+Projects!$D$33-1,Projects!$B$33*Assumptions!$B$12/Projects!$D$33*0.95+0.05*Projects!$B$33*Assumptions!$B$12,Projects!$B$33*Assumptions!$B$12/Projects!$D$33*0.95),0)+IF(AND(Projects!$G$34="Yes",77&gt;=Projects!$C$34,77&lt;Projects!$C$34+Projects!$D$34),IF(77=Projects!$C$34+Projects!$D$34-1,Projects!$B$34*Assumptions!$B$12/Projects!$D$34*0.95+0.05*Projects!$B$34*Assumptions!$B$12,Projects!$B$34*Assumptions!$B$12/Projects!$D$34*0.95),0)+IF(AND(Projects!$G$35="Yes",77&gt;=Projects!$C$35,77&lt;Projects!$C$35+Projects!$D$35),IF(77=Projects!$C$35+Projects!$D$35-1,Projects!$B$35*Assumptions!$B$12/Projects!$D$35*0.95+0.05*Projects!$B$35*Assumptions!$B$12,Projects!$B$35*Assumptions!$B$12/Projects!$D$35*0.95),0)+IF(AND(Projects!$G$36="Yes",77&gt;=Projects!$C$36,77&lt;Projects!$C$36+Projects!$D$36),IF(77=Projects!$C$36+Projects!$D$36-1,Projects!$B$36*Assumptions!$B$12/Projects!$D$36*0.95+0.05*Projects!$B$36*Assumptions!$B$12,Projects!$B$36*Assumptions!$B$12/Projects!$D$36*0.95),0)+IF(AND(Projects!$G$37="Yes",77&gt;=Projects!$C$37,77&lt;Projects!$C$37+Projects!$D$37),IF(77=Projects!$C$37+Projects!$D$37-1,Projects!$B$37*Assumptions!$B$12/Projects!$D$37*0.95+0.05*Projects!$B$37*Assumptions!$B$12,Projects!$B$37*Assumptions!$B$12/Projects!$D$37*0.95),0)+IF(AND(Projects!$G$38="Yes",77&gt;=Projects!$C$38,77&lt;Projects!$C$38+Projects!$D$38),IF(77=Projects!$C$38+Projects!$D$38-1,Projects!$B$38*Assumptions!$B$12/Projects!$D$38*0.95+0.05*Projects!$B$38*Assumptions!$B$12,Projects!$B$38*Assumptions!$B$12/Projects!$D$38*0.95),0)+IF(AND(Projects!$G$39="Yes",77&gt;=Projects!$C$39,77&lt;Projects!$C$39+Projects!$D$39),IF(77=Projects!$C$39+Projects!$D$39-1,Projects!$B$39*Assumptions!$B$12/Projects!$D$39*0.95+0.05*Projects!$B$39*Assumptions!$B$12,Projects!$B$39*Assumptions!$B$12/Projects!$D$39*0.95),0)+IF(AND(Projects!$G$40="Yes",77&gt;=Projects!$C$40,77&lt;Projects!$C$40+Projects!$D$40),IF(77=Projects!$C$40+Projects!$D$40-1,Projects!$B$40*Assumptions!$B$12/Projects!$D$40*0.95+0.05*Projects!$B$40*Assumptions!$B$12,Projects!$B$40*Assumptions!$B$12/Projects!$D$40*0.95),0)+IF(AND(Projects!$G$41="Yes",77&gt;=Projects!$C$41,77&lt;Projects!$C$41+Projects!$D$41),IF(77=Projects!$C$41+Projects!$D$41-1,Projects!$B$41*Assumptions!$B$12/Projects!$D$41*0.95+0.05*Projects!$B$41*Assumptions!$B$12,Projects!$B$41*Assumptions!$B$12/Projects!$D$41*0.95),0)+IF(AND(Projects!$G$42="Yes",77&gt;=Projects!$C$42,77&lt;Projects!$C$42+Projects!$D$42),IF(77=Projects!$C$42+Projects!$D$42-1,Projects!$B$42*Assumptions!$B$12/Projects!$D$42*0.95+0.05*Projects!$B$42*Assumptions!$B$12,Projects!$B$42*Assumptions!$B$12/Projects!$D$42*0.95),0)+IF(AND(Projects!$G$43="Yes",77&gt;=Projects!$C$43,77&lt;Projects!$C$43+Projects!$D$43),IF(77=Projects!$C$43+Projects!$D$43-1,Projects!$B$43*Assumptions!$B$12/Projects!$D$43*0.95+0.05*Projects!$B$43*Assumptions!$B$12,Projects!$B$43*Assumptions!$B$12/Projects!$D$43*0.95),0)+IF(AND(Projects!$G$44="Yes",77&gt;=Projects!$C$44,77&lt;Projects!$C$44+Projects!$D$44),IF(77=Projects!$C$44+Projects!$D$44-1,Projects!$B$44*Assumptions!$B$12/Projects!$D$44*0.95+0.05*Projects!$B$44*Assumptions!$B$12,Projects!$B$44*Assumptions!$B$12/Projects!$D$44*0.95),0)+IF(AND(Projects!$G$45="Yes",77&gt;=Projects!$C$45,77&lt;Projects!$C$45+Projects!$D$45),IF(77=Projects!$C$45+Projects!$D$45-1,Projects!$B$45*Assumptions!$B$12/Projects!$D$45*0.95+0.05*Projects!$B$45*Assumptions!$B$12,Projects!$B$45*Assumptions!$B$12/Projects!$D$45*0.95),0)+IF(AND(Projects!$G$46="Yes",77&gt;=Projects!$C$46,77&lt;Projects!$C$46+Projects!$D$46),IF(77=Projects!$C$46+Projects!$D$46-1,Projects!$B$46*Assumptions!$B$12/Projects!$D$46*0.95+0.05*Projects!$B$46*Assumptions!$B$12,Projects!$B$46*Assumptions!$B$12/Projects!$D$46*0.95),0)</f>
        <v/>
      </c>
      <c r="CB110">
        <f>IF(AND(Projects!$G$30="Yes",78&gt;=Projects!$C$30,78&lt;Projects!$C$30+Projects!$D$30),IF(78=Projects!$C$30+Projects!$D$30-1,Projects!$B$30*Assumptions!$B$12/Projects!$D$30*0.95+0.05*Projects!$B$30*Assumptions!$B$12,Projects!$B$30*Assumptions!$B$12/Projects!$D$30*0.95),0)+IF(AND(Projects!$G$31="Yes",78&gt;=Projects!$C$31,78&lt;Projects!$C$31+Projects!$D$31),IF(78=Projects!$C$31+Projects!$D$31-1,Projects!$B$31*Assumptions!$B$12/Projects!$D$31*0.95+0.05*Projects!$B$31*Assumptions!$B$12,Projects!$B$31*Assumptions!$B$12/Projects!$D$31*0.95),0)+IF(AND(Projects!$G$32="Yes",78&gt;=Projects!$C$32,78&lt;Projects!$C$32+Projects!$D$32),IF(78=Projects!$C$32+Projects!$D$32-1,Projects!$B$32*Assumptions!$B$12/Projects!$D$32*0.95+0.05*Projects!$B$32*Assumptions!$B$12,Projects!$B$32*Assumptions!$B$12/Projects!$D$32*0.95),0)+IF(AND(Projects!$G$33="Yes",78&gt;=Projects!$C$33,78&lt;Projects!$C$33+Projects!$D$33),IF(78=Projects!$C$33+Projects!$D$33-1,Projects!$B$33*Assumptions!$B$12/Projects!$D$33*0.95+0.05*Projects!$B$33*Assumptions!$B$12,Projects!$B$33*Assumptions!$B$12/Projects!$D$33*0.95),0)+IF(AND(Projects!$G$34="Yes",78&gt;=Projects!$C$34,78&lt;Projects!$C$34+Projects!$D$34),IF(78=Projects!$C$34+Projects!$D$34-1,Projects!$B$34*Assumptions!$B$12/Projects!$D$34*0.95+0.05*Projects!$B$34*Assumptions!$B$12,Projects!$B$34*Assumptions!$B$12/Projects!$D$34*0.95),0)+IF(AND(Projects!$G$35="Yes",78&gt;=Projects!$C$35,78&lt;Projects!$C$35+Projects!$D$35),IF(78=Projects!$C$35+Projects!$D$35-1,Projects!$B$35*Assumptions!$B$12/Projects!$D$35*0.95+0.05*Projects!$B$35*Assumptions!$B$12,Projects!$B$35*Assumptions!$B$12/Projects!$D$35*0.95),0)+IF(AND(Projects!$G$36="Yes",78&gt;=Projects!$C$36,78&lt;Projects!$C$36+Projects!$D$36),IF(78=Projects!$C$36+Projects!$D$36-1,Projects!$B$36*Assumptions!$B$12/Projects!$D$36*0.95+0.05*Projects!$B$36*Assumptions!$B$12,Projects!$B$36*Assumptions!$B$12/Projects!$D$36*0.95),0)+IF(AND(Projects!$G$37="Yes",78&gt;=Projects!$C$37,78&lt;Projects!$C$37+Projects!$D$37),IF(78=Projects!$C$37+Projects!$D$37-1,Projects!$B$37*Assumptions!$B$12/Projects!$D$37*0.95+0.05*Projects!$B$37*Assumptions!$B$12,Projects!$B$37*Assumptions!$B$12/Projects!$D$37*0.95),0)+IF(AND(Projects!$G$38="Yes",78&gt;=Projects!$C$38,78&lt;Projects!$C$38+Projects!$D$38),IF(78=Projects!$C$38+Projects!$D$38-1,Projects!$B$38*Assumptions!$B$12/Projects!$D$38*0.95+0.05*Projects!$B$38*Assumptions!$B$12,Projects!$B$38*Assumptions!$B$12/Projects!$D$38*0.95),0)+IF(AND(Projects!$G$39="Yes",78&gt;=Projects!$C$39,78&lt;Projects!$C$39+Projects!$D$39),IF(78=Projects!$C$39+Projects!$D$39-1,Projects!$B$39*Assumptions!$B$12/Projects!$D$39*0.95+0.05*Projects!$B$39*Assumptions!$B$12,Projects!$B$39*Assumptions!$B$12/Projects!$D$39*0.95),0)+IF(AND(Projects!$G$40="Yes",78&gt;=Projects!$C$40,78&lt;Projects!$C$40+Projects!$D$40),IF(78=Projects!$C$40+Projects!$D$40-1,Projects!$B$40*Assumptions!$B$12/Projects!$D$40*0.95+0.05*Projects!$B$40*Assumptions!$B$12,Projects!$B$40*Assumptions!$B$12/Projects!$D$40*0.95),0)+IF(AND(Projects!$G$41="Yes",78&gt;=Projects!$C$41,78&lt;Projects!$C$41+Projects!$D$41),IF(78=Projects!$C$41+Projects!$D$41-1,Projects!$B$41*Assumptions!$B$12/Projects!$D$41*0.95+0.05*Projects!$B$41*Assumptions!$B$12,Projects!$B$41*Assumptions!$B$12/Projects!$D$41*0.95),0)+IF(AND(Projects!$G$42="Yes",78&gt;=Projects!$C$42,78&lt;Projects!$C$42+Projects!$D$42),IF(78=Projects!$C$42+Projects!$D$42-1,Projects!$B$42*Assumptions!$B$12/Projects!$D$42*0.95+0.05*Projects!$B$42*Assumptions!$B$12,Projects!$B$42*Assumptions!$B$12/Projects!$D$42*0.95),0)+IF(AND(Projects!$G$43="Yes",78&gt;=Projects!$C$43,78&lt;Projects!$C$43+Projects!$D$43),IF(78=Projects!$C$43+Projects!$D$43-1,Projects!$B$43*Assumptions!$B$12/Projects!$D$43*0.95+0.05*Projects!$B$43*Assumptions!$B$12,Projects!$B$43*Assumptions!$B$12/Projects!$D$43*0.95),0)+IF(AND(Projects!$G$44="Yes",78&gt;=Projects!$C$44,78&lt;Projects!$C$44+Projects!$D$44),IF(78=Projects!$C$44+Projects!$D$44-1,Projects!$B$44*Assumptions!$B$12/Projects!$D$44*0.95+0.05*Projects!$B$44*Assumptions!$B$12,Projects!$B$44*Assumptions!$B$12/Projects!$D$44*0.95),0)+IF(AND(Projects!$G$45="Yes",78&gt;=Projects!$C$45,78&lt;Projects!$C$45+Projects!$D$45),IF(78=Projects!$C$45+Projects!$D$45-1,Projects!$B$45*Assumptions!$B$12/Projects!$D$45*0.95+0.05*Projects!$B$45*Assumptions!$B$12,Projects!$B$45*Assumptions!$B$12/Projects!$D$45*0.95),0)+IF(AND(Projects!$G$46="Yes",78&gt;=Projects!$C$46,78&lt;Projects!$C$46+Projects!$D$46),IF(78=Projects!$C$46+Projects!$D$46-1,Projects!$B$46*Assumptions!$B$12/Projects!$D$46*0.95+0.05*Projects!$B$46*Assumptions!$B$12,Projects!$B$46*Assumptions!$B$12/Projects!$D$46*0.95),0)</f>
        <v/>
      </c>
      <c r="CC110">
        <f>IF(AND(Projects!$G$30="Yes",79&gt;=Projects!$C$30,79&lt;Projects!$C$30+Projects!$D$30),IF(79=Projects!$C$30+Projects!$D$30-1,Projects!$B$30*Assumptions!$B$12/Projects!$D$30*0.95+0.05*Projects!$B$30*Assumptions!$B$12,Projects!$B$30*Assumptions!$B$12/Projects!$D$30*0.95),0)+IF(AND(Projects!$G$31="Yes",79&gt;=Projects!$C$31,79&lt;Projects!$C$31+Projects!$D$31),IF(79=Projects!$C$31+Projects!$D$31-1,Projects!$B$31*Assumptions!$B$12/Projects!$D$31*0.95+0.05*Projects!$B$31*Assumptions!$B$12,Projects!$B$31*Assumptions!$B$12/Projects!$D$31*0.95),0)+IF(AND(Projects!$G$32="Yes",79&gt;=Projects!$C$32,79&lt;Projects!$C$32+Projects!$D$32),IF(79=Projects!$C$32+Projects!$D$32-1,Projects!$B$32*Assumptions!$B$12/Projects!$D$32*0.95+0.05*Projects!$B$32*Assumptions!$B$12,Projects!$B$32*Assumptions!$B$12/Projects!$D$32*0.95),0)+IF(AND(Projects!$G$33="Yes",79&gt;=Projects!$C$33,79&lt;Projects!$C$33+Projects!$D$33),IF(79=Projects!$C$33+Projects!$D$33-1,Projects!$B$33*Assumptions!$B$12/Projects!$D$33*0.95+0.05*Projects!$B$33*Assumptions!$B$12,Projects!$B$33*Assumptions!$B$12/Projects!$D$33*0.95),0)+IF(AND(Projects!$G$34="Yes",79&gt;=Projects!$C$34,79&lt;Projects!$C$34+Projects!$D$34),IF(79=Projects!$C$34+Projects!$D$34-1,Projects!$B$34*Assumptions!$B$12/Projects!$D$34*0.95+0.05*Projects!$B$34*Assumptions!$B$12,Projects!$B$34*Assumptions!$B$12/Projects!$D$34*0.95),0)+IF(AND(Projects!$G$35="Yes",79&gt;=Projects!$C$35,79&lt;Projects!$C$35+Projects!$D$35),IF(79=Projects!$C$35+Projects!$D$35-1,Projects!$B$35*Assumptions!$B$12/Projects!$D$35*0.95+0.05*Projects!$B$35*Assumptions!$B$12,Projects!$B$35*Assumptions!$B$12/Projects!$D$35*0.95),0)+IF(AND(Projects!$G$36="Yes",79&gt;=Projects!$C$36,79&lt;Projects!$C$36+Projects!$D$36),IF(79=Projects!$C$36+Projects!$D$36-1,Projects!$B$36*Assumptions!$B$12/Projects!$D$36*0.95+0.05*Projects!$B$36*Assumptions!$B$12,Projects!$B$36*Assumptions!$B$12/Projects!$D$36*0.95),0)+IF(AND(Projects!$G$37="Yes",79&gt;=Projects!$C$37,79&lt;Projects!$C$37+Projects!$D$37),IF(79=Projects!$C$37+Projects!$D$37-1,Projects!$B$37*Assumptions!$B$12/Projects!$D$37*0.95+0.05*Projects!$B$37*Assumptions!$B$12,Projects!$B$37*Assumptions!$B$12/Projects!$D$37*0.95),0)+IF(AND(Projects!$G$38="Yes",79&gt;=Projects!$C$38,79&lt;Projects!$C$38+Projects!$D$38),IF(79=Projects!$C$38+Projects!$D$38-1,Projects!$B$38*Assumptions!$B$12/Projects!$D$38*0.95+0.05*Projects!$B$38*Assumptions!$B$12,Projects!$B$38*Assumptions!$B$12/Projects!$D$38*0.95),0)+IF(AND(Projects!$G$39="Yes",79&gt;=Projects!$C$39,79&lt;Projects!$C$39+Projects!$D$39),IF(79=Projects!$C$39+Projects!$D$39-1,Projects!$B$39*Assumptions!$B$12/Projects!$D$39*0.95+0.05*Projects!$B$39*Assumptions!$B$12,Projects!$B$39*Assumptions!$B$12/Projects!$D$39*0.95),0)+IF(AND(Projects!$G$40="Yes",79&gt;=Projects!$C$40,79&lt;Projects!$C$40+Projects!$D$40),IF(79=Projects!$C$40+Projects!$D$40-1,Projects!$B$40*Assumptions!$B$12/Projects!$D$40*0.95+0.05*Projects!$B$40*Assumptions!$B$12,Projects!$B$40*Assumptions!$B$12/Projects!$D$40*0.95),0)+IF(AND(Projects!$G$41="Yes",79&gt;=Projects!$C$41,79&lt;Projects!$C$41+Projects!$D$41),IF(79=Projects!$C$41+Projects!$D$41-1,Projects!$B$41*Assumptions!$B$12/Projects!$D$41*0.95+0.05*Projects!$B$41*Assumptions!$B$12,Projects!$B$41*Assumptions!$B$12/Projects!$D$41*0.95),0)+IF(AND(Projects!$G$42="Yes",79&gt;=Projects!$C$42,79&lt;Projects!$C$42+Projects!$D$42),IF(79=Projects!$C$42+Projects!$D$42-1,Projects!$B$42*Assumptions!$B$12/Projects!$D$42*0.95+0.05*Projects!$B$42*Assumptions!$B$12,Projects!$B$42*Assumptions!$B$12/Projects!$D$42*0.95),0)+IF(AND(Projects!$G$43="Yes",79&gt;=Projects!$C$43,79&lt;Projects!$C$43+Projects!$D$43),IF(79=Projects!$C$43+Projects!$D$43-1,Projects!$B$43*Assumptions!$B$12/Projects!$D$43*0.95+0.05*Projects!$B$43*Assumptions!$B$12,Projects!$B$43*Assumptions!$B$12/Projects!$D$43*0.95),0)+IF(AND(Projects!$G$44="Yes",79&gt;=Projects!$C$44,79&lt;Projects!$C$44+Projects!$D$44),IF(79=Projects!$C$44+Projects!$D$44-1,Projects!$B$44*Assumptions!$B$12/Projects!$D$44*0.95+0.05*Projects!$B$44*Assumptions!$B$12,Projects!$B$44*Assumptions!$B$12/Projects!$D$44*0.95),0)+IF(AND(Projects!$G$45="Yes",79&gt;=Projects!$C$45,79&lt;Projects!$C$45+Projects!$D$45),IF(79=Projects!$C$45+Projects!$D$45-1,Projects!$B$45*Assumptions!$B$12/Projects!$D$45*0.95+0.05*Projects!$B$45*Assumptions!$B$12,Projects!$B$45*Assumptions!$B$12/Projects!$D$45*0.95),0)+IF(AND(Projects!$G$46="Yes",79&gt;=Projects!$C$46,79&lt;Projects!$C$46+Projects!$D$46),IF(79=Projects!$C$46+Projects!$D$46-1,Projects!$B$46*Assumptions!$B$12/Projects!$D$46*0.95+0.05*Projects!$B$46*Assumptions!$B$12,Projects!$B$46*Assumptions!$B$12/Projects!$D$46*0.95),0)</f>
        <v/>
      </c>
      <c r="CD110">
        <f>IF(AND(Projects!$G$30="Yes",80&gt;=Projects!$C$30,80&lt;Projects!$C$30+Projects!$D$30),IF(80=Projects!$C$30+Projects!$D$30-1,Projects!$B$30*Assumptions!$B$12/Projects!$D$30*0.95+0.05*Projects!$B$30*Assumptions!$B$12,Projects!$B$30*Assumptions!$B$12/Projects!$D$30*0.95),0)+IF(AND(Projects!$G$31="Yes",80&gt;=Projects!$C$31,80&lt;Projects!$C$31+Projects!$D$31),IF(80=Projects!$C$31+Projects!$D$31-1,Projects!$B$31*Assumptions!$B$12/Projects!$D$31*0.95+0.05*Projects!$B$31*Assumptions!$B$12,Projects!$B$31*Assumptions!$B$12/Projects!$D$31*0.95),0)+IF(AND(Projects!$G$32="Yes",80&gt;=Projects!$C$32,80&lt;Projects!$C$32+Projects!$D$32),IF(80=Projects!$C$32+Projects!$D$32-1,Projects!$B$32*Assumptions!$B$12/Projects!$D$32*0.95+0.05*Projects!$B$32*Assumptions!$B$12,Projects!$B$32*Assumptions!$B$12/Projects!$D$32*0.95),0)+IF(AND(Projects!$G$33="Yes",80&gt;=Projects!$C$33,80&lt;Projects!$C$33+Projects!$D$33),IF(80=Projects!$C$33+Projects!$D$33-1,Projects!$B$33*Assumptions!$B$12/Projects!$D$33*0.95+0.05*Projects!$B$33*Assumptions!$B$12,Projects!$B$33*Assumptions!$B$12/Projects!$D$33*0.95),0)+IF(AND(Projects!$G$34="Yes",80&gt;=Projects!$C$34,80&lt;Projects!$C$34+Projects!$D$34),IF(80=Projects!$C$34+Projects!$D$34-1,Projects!$B$34*Assumptions!$B$12/Projects!$D$34*0.95+0.05*Projects!$B$34*Assumptions!$B$12,Projects!$B$34*Assumptions!$B$12/Projects!$D$34*0.95),0)+IF(AND(Projects!$G$35="Yes",80&gt;=Projects!$C$35,80&lt;Projects!$C$35+Projects!$D$35),IF(80=Projects!$C$35+Projects!$D$35-1,Projects!$B$35*Assumptions!$B$12/Projects!$D$35*0.95+0.05*Projects!$B$35*Assumptions!$B$12,Projects!$B$35*Assumptions!$B$12/Projects!$D$35*0.95),0)+IF(AND(Projects!$G$36="Yes",80&gt;=Projects!$C$36,80&lt;Projects!$C$36+Projects!$D$36),IF(80=Projects!$C$36+Projects!$D$36-1,Projects!$B$36*Assumptions!$B$12/Projects!$D$36*0.95+0.05*Projects!$B$36*Assumptions!$B$12,Projects!$B$36*Assumptions!$B$12/Projects!$D$36*0.95),0)+IF(AND(Projects!$G$37="Yes",80&gt;=Projects!$C$37,80&lt;Projects!$C$37+Projects!$D$37),IF(80=Projects!$C$37+Projects!$D$37-1,Projects!$B$37*Assumptions!$B$12/Projects!$D$37*0.95+0.05*Projects!$B$37*Assumptions!$B$12,Projects!$B$37*Assumptions!$B$12/Projects!$D$37*0.95),0)+IF(AND(Projects!$G$38="Yes",80&gt;=Projects!$C$38,80&lt;Projects!$C$38+Projects!$D$38),IF(80=Projects!$C$38+Projects!$D$38-1,Projects!$B$38*Assumptions!$B$12/Projects!$D$38*0.95+0.05*Projects!$B$38*Assumptions!$B$12,Projects!$B$38*Assumptions!$B$12/Projects!$D$38*0.95),0)+IF(AND(Projects!$G$39="Yes",80&gt;=Projects!$C$39,80&lt;Projects!$C$39+Projects!$D$39),IF(80=Projects!$C$39+Projects!$D$39-1,Projects!$B$39*Assumptions!$B$12/Projects!$D$39*0.95+0.05*Projects!$B$39*Assumptions!$B$12,Projects!$B$39*Assumptions!$B$12/Projects!$D$39*0.95),0)+IF(AND(Projects!$G$40="Yes",80&gt;=Projects!$C$40,80&lt;Projects!$C$40+Projects!$D$40),IF(80=Projects!$C$40+Projects!$D$40-1,Projects!$B$40*Assumptions!$B$12/Projects!$D$40*0.95+0.05*Projects!$B$40*Assumptions!$B$12,Projects!$B$40*Assumptions!$B$12/Projects!$D$40*0.95),0)+IF(AND(Projects!$G$41="Yes",80&gt;=Projects!$C$41,80&lt;Projects!$C$41+Projects!$D$41),IF(80=Projects!$C$41+Projects!$D$41-1,Projects!$B$41*Assumptions!$B$12/Projects!$D$41*0.95+0.05*Projects!$B$41*Assumptions!$B$12,Projects!$B$41*Assumptions!$B$12/Projects!$D$41*0.95),0)+IF(AND(Projects!$G$42="Yes",80&gt;=Projects!$C$42,80&lt;Projects!$C$42+Projects!$D$42),IF(80=Projects!$C$42+Projects!$D$42-1,Projects!$B$42*Assumptions!$B$12/Projects!$D$42*0.95+0.05*Projects!$B$42*Assumptions!$B$12,Projects!$B$42*Assumptions!$B$12/Projects!$D$42*0.95),0)+IF(AND(Projects!$G$43="Yes",80&gt;=Projects!$C$43,80&lt;Projects!$C$43+Projects!$D$43),IF(80=Projects!$C$43+Projects!$D$43-1,Projects!$B$43*Assumptions!$B$12/Projects!$D$43*0.95+0.05*Projects!$B$43*Assumptions!$B$12,Projects!$B$43*Assumptions!$B$12/Projects!$D$43*0.95),0)+IF(AND(Projects!$G$44="Yes",80&gt;=Projects!$C$44,80&lt;Projects!$C$44+Projects!$D$44),IF(80=Projects!$C$44+Projects!$D$44-1,Projects!$B$44*Assumptions!$B$12/Projects!$D$44*0.95+0.05*Projects!$B$44*Assumptions!$B$12,Projects!$B$44*Assumptions!$B$12/Projects!$D$44*0.95),0)+IF(AND(Projects!$G$45="Yes",80&gt;=Projects!$C$45,80&lt;Projects!$C$45+Projects!$D$45),IF(80=Projects!$C$45+Projects!$D$45-1,Projects!$B$45*Assumptions!$B$12/Projects!$D$45*0.95+0.05*Projects!$B$45*Assumptions!$B$12,Projects!$B$45*Assumptions!$B$12/Projects!$D$45*0.95),0)+IF(AND(Projects!$G$46="Yes",80&gt;=Projects!$C$46,80&lt;Projects!$C$46+Projects!$D$46),IF(80=Projects!$C$46+Projects!$D$46-1,Projects!$B$46*Assumptions!$B$12/Projects!$D$46*0.95+0.05*Projects!$B$46*Assumptions!$B$12,Projects!$B$46*Assumptions!$B$12/Projects!$D$46*0.95),0)</f>
        <v/>
      </c>
      <c r="CE110">
        <f>IF(AND(Projects!$G$30="Yes",81&gt;=Projects!$C$30,81&lt;Projects!$C$30+Projects!$D$30),IF(81=Projects!$C$30+Projects!$D$30-1,Projects!$B$30*Assumptions!$B$12/Projects!$D$30*0.95+0.05*Projects!$B$30*Assumptions!$B$12,Projects!$B$30*Assumptions!$B$12/Projects!$D$30*0.95),0)+IF(AND(Projects!$G$31="Yes",81&gt;=Projects!$C$31,81&lt;Projects!$C$31+Projects!$D$31),IF(81=Projects!$C$31+Projects!$D$31-1,Projects!$B$31*Assumptions!$B$12/Projects!$D$31*0.95+0.05*Projects!$B$31*Assumptions!$B$12,Projects!$B$31*Assumptions!$B$12/Projects!$D$31*0.95),0)+IF(AND(Projects!$G$32="Yes",81&gt;=Projects!$C$32,81&lt;Projects!$C$32+Projects!$D$32),IF(81=Projects!$C$32+Projects!$D$32-1,Projects!$B$32*Assumptions!$B$12/Projects!$D$32*0.95+0.05*Projects!$B$32*Assumptions!$B$12,Projects!$B$32*Assumptions!$B$12/Projects!$D$32*0.95),0)+IF(AND(Projects!$G$33="Yes",81&gt;=Projects!$C$33,81&lt;Projects!$C$33+Projects!$D$33),IF(81=Projects!$C$33+Projects!$D$33-1,Projects!$B$33*Assumptions!$B$12/Projects!$D$33*0.95+0.05*Projects!$B$33*Assumptions!$B$12,Projects!$B$33*Assumptions!$B$12/Projects!$D$33*0.95),0)+IF(AND(Projects!$G$34="Yes",81&gt;=Projects!$C$34,81&lt;Projects!$C$34+Projects!$D$34),IF(81=Projects!$C$34+Projects!$D$34-1,Projects!$B$34*Assumptions!$B$12/Projects!$D$34*0.95+0.05*Projects!$B$34*Assumptions!$B$12,Projects!$B$34*Assumptions!$B$12/Projects!$D$34*0.95),0)+IF(AND(Projects!$G$35="Yes",81&gt;=Projects!$C$35,81&lt;Projects!$C$35+Projects!$D$35),IF(81=Projects!$C$35+Projects!$D$35-1,Projects!$B$35*Assumptions!$B$12/Projects!$D$35*0.95+0.05*Projects!$B$35*Assumptions!$B$12,Projects!$B$35*Assumptions!$B$12/Projects!$D$35*0.95),0)+IF(AND(Projects!$G$36="Yes",81&gt;=Projects!$C$36,81&lt;Projects!$C$36+Projects!$D$36),IF(81=Projects!$C$36+Projects!$D$36-1,Projects!$B$36*Assumptions!$B$12/Projects!$D$36*0.95+0.05*Projects!$B$36*Assumptions!$B$12,Projects!$B$36*Assumptions!$B$12/Projects!$D$36*0.95),0)+IF(AND(Projects!$G$37="Yes",81&gt;=Projects!$C$37,81&lt;Projects!$C$37+Projects!$D$37),IF(81=Projects!$C$37+Projects!$D$37-1,Projects!$B$37*Assumptions!$B$12/Projects!$D$37*0.95+0.05*Projects!$B$37*Assumptions!$B$12,Projects!$B$37*Assumptions!$B$12/Projects!$D$37*0.95),0)+IF(AND(Projects!$G$38="Yes",81&gt;=Projects!$C$38,81&lt;Projects!$C$38+Projects!$D$38),IF(81=Projects!$C$38+Projects!$D$38-1,Projects!$B$38*Assumptions!$B$12/Projects!$D$38*0.95+0.05*Projects!$B$38*Assumptions!$B$12,Projects!$B$38*Assumptions!$B$12/Projects!$D$38*0.95),0)+IF(AND(Projects!$G$39="Yes",81&gt;=Projects!$C$39,81&lt;Projects!$C$39+Projects!$D$39),IF(81=Projects!$C$39+Projects!$D$39-1,Projects!$B$39*Assumptions!$B$12/Projects!$D$39*0.95+0.05*Projects!$B$39*Assumptions!$B$12,Projects!$B$39*Assumptions!$B$12/Projects!$D$39*0.95),0)+IF(AND(Projects!$G$40="Yes",81&gt;=Projects!$C$40,81&lt;Projects!$C$40+Projects!$D$40),IF(81=Projects!$C$40+Projects!$D$40-1,Projects!$B$40*Assumptions!$B$12/Projects!$D$40*0.95+0.05*Projects!$B$40*Assumptions!$B$12,Projects!$B$40*Assumptions!$B$12/Projects!$D$40*0.95),0)+IF(AND(Projects!$G$41="Yes",81&gt;=Projects!$C$41,81&lt;Projects!$C$41+Projects!$D$41),IF(81=Projects!$C$41+Projects!$D$41-1,Projects!$B$41*Assumptions!$B$12/Projects!$D$41*0.95+0.05*Projects!$B$41*Assumptions!$B$12,Projects!$B$41*Assumptions!$B$12/Projects!$D$41*0.95),0)+IF(AND(Projects!$G$42="Yes",81&gt;=Projects!$C$42,81&lt;Projects!$C$42+Projects!$D$42),IF(81=Projects!$C$42+Projects!$D$42-1,Projects!$B$42*Assumptions!$B$12/Projects!$D$42*0.95+0.05*Projects!$B$42*Assumptions!$B$12,Projects!$B$42*Assumptions!$B$12/Projects!$D$42*0.95),0)+IF(AND(Projects!$G$43="Yes",81&gt;=Projects!$C$43,81&lt;Projects!$C$43+Projects!$D$43),IF(81=Projects!$C$43+Projects!$D$43-1,Projects!$B$43*Assumptions!$B$12/Projects!$D$43*0.95+0.05*Projects!$B$43*Assumptions!$B$12,Projects!$B$43*Assumptions!$B$12/Projects!$D$43*0.95),0)+IF(AND(Projects!$G$44="Yes",81&gt;=Projects!$C$44,81&lt;Projects!$C$44+Projects!$D$44),IF(81=Projects!$C$44+Projects!$D$44-1,Projects!$B$44*Assumptions!$B$12/Projects!$D$44*0.95+0.05*Projects!$B$44*Assumptions!$B$12,Projects!$B$44*Assumptions!$B$12/Projects!$D$44*0.95),0)+IF(AND(Projects!$G$45="Yes",81&gt;=Projects!$C$45,81&lt;Projects!$C$45+Projects!$D$45),IF(81=Projects!$C$45+Projects!$D$45-1,Projects!$B$45*Assumptions!$B$12/Projects!$D$45*0.95+0.05*Projects!$B$45*Assumptions!$B$12,Projects!$B$45*Assumptions!$B$12/Projects!$D$45*0.95),0)+IF(AND(Projects!$G$46="Yes",81&gt;=Projects!$C$46,81&lt;Projects!$C$46+Projects!$D$46),IF(81=Projects!$C$46+Projects!$D$46-1,Projects!$B$46*Assumptions!$B$12/Projects!$D$46*0.95+0.05*Projects!$B$46*Assumptions!$B$12,Projects!$B$46*Assumptions!$B$12/Projects!$D$46*0.95),0)</f>
        <v/>
      </c>
      <c r="CF110">
        <f>IF(AND(Projects!$G$30="Yes",82&gt;=Projects!$C$30,82&lt;Projects!$C$30+Projects!$D$30),IF(82=Projects!$C$30+Projects!$D$30-1,Projects!$B$30*Assumptions!$B$12/Projects!$D$30*0.95+0.05*Projects!$B$30*Assumptions!$B$12,Projects!$B$30*Assumptions!$B$12/Projects!$D$30*0.95),0)+IF(AND(Projects!$G$31="Yes",82&gt;=Projects!$C$31,82&lt;Projects!$C$31+Projects!$D$31),IF(82=Projects!$C$31+Projects!$D$31-1,Projects!$B$31*Assumptions!$B$12/Projects!$D$31*0.95+0.05*Projects!$B$31*Assumptions!$B$12,Projects!$B$31*Assumptions!$B$12/Projects!$D$31*0.95),0)+IF(AND(Projects!$G$32="Yes",82&gt;=Projects!$C$32,82&lt;Projects!$C$32+Projects!$D$32),IF(82=Projects!$C$32+Projects!$D$32-1,Projects!$B$32*Assumptions!$B$12/Projects!$D$32*0.95+0.05*Projects!$B$32*Assumptions!$B$12,Projects!$B$32*Assumptions!$B$12/Projects!$D$32*0.95),0)+IF(AND(Projects!$G$33="Yes",82&gt;=Projects!$C$33,82&lt;Projects!$C$33+Projects!$D$33),IF(82=Projects!$C$33+Projects!$D$33-1,Projects!$B$33*Assumptions!$B$12/Projects!$D$33*0.95+0.05*Projects!$B$33*Assumptions!$B$12,Projects!$B$33*Assumptions!$B$12/Projects!$D$33*0.95),0)+IF(AND(Projects!$G$34="Yes",82&gt;=Projects!$C$34,82&lt;Projects!$C$34+Projects!$D$34),IF(82=Projects!$C$34+Projects!$D$34-1,Projects!$B$34*Assumptions!$B$12/Projects!$D$34*0.95+0.05*Projects!$B$34*Assumptions!$B$12,Projects!$B$34*Assumptions!$B$12/Projects!$D$34*0.95),0)+IF(AND(Projects!$G$35="Yes",82&gt;=Projects!$C$35,82&lt;Projects!$C$35+Projects!$D$35),IF(82=Projects!$C$35+Projects!$D$35-1,Projects!$B$35*Assumptions!$B$12/Projects!$D$35*0.95+0.05*Projects!$B$35*Assumptions!$B$12,Projects!$B$35*Assumptions!$B$12/Projects!$D$35*0.95),0)+IF(AND(Projects!$G$36="Yes",82&gt;=Projects!$C$36,82&lt;Projects!$C$36+Projects!$D$36),IF(82=Projects!$C$36+Projects!$D$36-1,Projects!$B$36*Assumptions!$B$12/Projects!$D$36*0.95+0.05*Projects!$B$36*Assumptions!$B$12,Projects!$B$36*Assumptions!$B$12/Projects!$D$36*0.95),0)+IF(AND(Projects!$G$37="Yes",82&gt;=Projects!$C$37,82&lt;Projects!$C$37+Projects!$D$37),IF(82=Projects!$C$37+Projects!$D$37-1,Projects!$B$37*Assumptions!$B$12/Projects!$D$37*0.95+0.05*Projects!$B$37*Assumptions!$B$12,Projects!$B$37*Assumptions!$B$12/Projects!$D$37*0.95),0)+IF(AND(Projects!$G$38="Yes",82&gt;=Projects!$C$38,82&lt;Projects!$C$38+Projects!$D$38),IF(82=Projects!$C$38+Projects!$D$38-1,Projects!$B$38*Assumptions!$B$12/Projects!$D$38*0.95+0.05*Projects!$B$38*Assumptions!$B$12,Projects!$B$38*Assumptions!$B$12/Projects!$D$38*0.95),0)+IF(AND(Projects!$G$39="Yes",82&gt;=Projects!$C$39,82&lt;Projects!$C$39+Projects!$D$39),IF(82=Projects!$C$39+Projects!$D$39-1,Projects!$B$39*Assumptions!$B$12/Projects!$D$39*0.95+0.05*Projects!$B$39*Assumptions!$B$12,Projects!$B$39*Assumptions!$B$12/Projects!$D$39*0.95),0)+IF(AND(Projects!$G$40="Yes",82&gt;=Projects!$C$40,82&lt;Projects!$C$40+Projects!$D$40),IF(82=Projects!$C$40+Projects!$D$40-1,Projects!$B$40*Assumptions!$B$12/Projects!$D$40*0.95+0.05*Projects!$B$40*Assumptions!$B$12,Projects!$B$40*Assumptions!$B$12/Projects!$D$40*0.95),0)+IF(AND(Projects!$G$41="Yes",82&gt;=Projects!$C$41,82&lt;Projects!$C$41+Projects!$D$41),IF(82=Projects!$C$41+Projects!$D$41-1,Projects!$B$41*Assumptions!$B$12/Projects!$D$41*0.95+0.05*Projects!$B$41*Assumptions!$B$12,Projects!$B$41*Assumptions!$B$12/Projects!$D$41*0.95),0)+IF(AND(Projects!$G$42="Yes",82&gt;=Projects!$C$42,82&lt;Projects!$C$42+Projects!$D$42),IF(82=Projects!$C$42+Projects!$D$42-1,Projects!$B$42*Assumptions!$B$12/Projects!$D$42*0.95+0.05*Projects!$B$42*Assumptions!$B$12,Projects!$B$42*Assumptions!$B$12/Projects!$D$42*0.95),0)+IF(AND(Projects!$G$43="Yes",82&gt;=Projects!$C$43,82&lt;Projects!$C$43+Projects!$D$43),IF(82=Projects!$C$43+Projects!$D$43-1,Projects!$B$43*Assumptions!$B$12/Projects!$D$43*0.95+0.05*Projects!$B$43*Assumptions!$B$12,Projects!$B$43*Assumptions!$B$12/Projects!$D$43*0.95),0)+IF(AND(Projects!$G$44="Yes",82&gt;=Projects!$C$44,82&lt;Projects!$C$44+Projects!$D$44),IF(82=Projects!$C$44+Projects!$D$44-1,Projects!$B$44*Assumptions!$B$12/Projects!$D$44*0.95+0.05*Projects!$B$44*Assumptions!$B$12,Projects!$B$44*Assumptions!$B$12/Projects!$D$44*0.95),0)+IF(AND(Projects!$G$45="Yes",82&gt;=Projects!$C$45,82&lt;Projects!$C$45+Projects!$D$45),IF(82=Projects!$C$45+Projects!$D$45-1,Projects!$B$45*Assumptions!$B$12/Projects!$D$45*0.95+0.05*Projects!$B$45*Assumptions!$B$12,Projects!$B$45*Assumptions!$B$12/Projects!$D$45*0.95),0)+IF(AND(Projects!$G$46="Yes",82&gt;=Projects!$C$46,82&lt;Projects!$C$46+Projects!$D$46),IF(82=Projects!$C$46+Projects!$D$46-1,Projects!$B$46*Assumptions!$B$12/Projects!$D$46*0.95+0.05*Projects!$B$46*Assumptions!$B$12,Projects!$B$46*Assumptions!$B$12/Projects!$D$46*0.95),0)</f>
        <v/>
      </c>
      <c r="CG110">
        <f>IF(AND(Projects!$G$30="Yes",83&gt;=Projects!$C$30,83&lt;Projects!$C$30+Projects!$D$30),IF(83=Projects!$C$30+Projects!$D$30-1,Projects!$B$30*Assumptions!$B$12/Projects!$D$30*0.95+0.05*Projects!$B$30*Assumptions!$B$12,Projects!$B$30*Assumptions!$B$12/Projects!$D$30*0.95),0)+IF(AND(Projects!$G$31="Yes",83&gt;=Projects!$C$31,83&lt;Projects!$C$31+Projects!$D$31),IF(83=Projects!$C$31+Projects!$D$31-1,Projects!$B$31*Assumptions!$B$12/Projects!$D$31*0.95+0.05*Projects!$B$31*Assumptions!$B$12,Projects!$B$31*Assumptions!$B$12/Projects!$D$31*0.95),0)+IF(AND(Projects!$G$32="Yes",83&gt;=Projects!$C$32,83&lt;Projects!$C$32+Projects!$D$32),IF(83=Projects!$C$32+Projects!$D$32-1,Projects!$B$32*Assumptions!$B$12/Projects!$D$32*0.95+0.05*Projects!$B$32*Assumptions!$B$12,Projects!$B$32*Assumptions!$B$12/Projects!$D$32*0.95),0)+IF(AND(Projects!$G$33="Yes",83&gt;=Projects!$C$33,83&lt;Projects!$C$33+Projects!$D$33),IF(83=Projects!$C$33+Projects!$D$33-1,Projects!$B$33*Assumptions!$B$12/Projects!$D$33*0.95+0.05*Projects!$B$33*Assumptions!$B$12,Projects!$B$33*Assumptions!$B$12/Projects!$D$33*0.95),0)+IF(AND(Projects!$G$34="Yes",83&gt;=Projects!$C$34,83&lt;Projects!$C$34+Projects!$D$34),IF(83=Projects!$C$34+Projects!$D$34-1,Projects!$B$34*Assumptions!$B$12/Projects!$D$34*0.95+0.05*Projects!$B$34*Assumptions!$B$12,Projects!$B$34*Assumptions!$B$12/Projects!$D$34*0.95),0)+IF(AND(Projects!$G$35="Yes",83&gt;=Projects!$C$35,83&lt;Projects!$C$35+Projects!$D$35),IF(83=Projects!$C$35+Projects!$D$35-1,Projects!$B$35*Assumptions!$B$12/Projects!$D$35*0.95+0.05*Projects!$B$35*Assumptions!$B$12,Projects!$B$35*Assumptions!$B$12/Projects!$D$35*0.95),0)+IF(AND(Projects!$G$36="Yes",83&gt;=Projects!$C$36,83&lt;Projects!$C$36+Projects!$D$36),IF(83=Projects!$C$36+Projects!$D$36-1,Projects!$B$36*Assumptions!$B$12/Projects!$D$36*0.95+0.05*Projects!$B$36*Assumptions!$B$12,Projects!$B$36*Assumptions!$B$12/Projects!$D$36*0.95),0)+IF(AND(Projects!$G$37="Yes",83&gt;=Projects!$C$37,83&lt;Projects!$C$37+Projects!$D$37),IF(83=Projects!$C$37+Projects!$D$37-1,Projects!$B$37*Assumptions!$B$12/Projects!$D$37*0.95+0.05*Projects!$B$37*Assumptions!$B$12,Projects!$B$37*Assumptions!$B$12/Projects!$D$37*0.95),0)+IF(AND(Projects!$G$38="Yes",83&gt;=Projects!$C$38,83&lt;Projects!$C$38+Projects!$D$38),IF(83=Projects!$C$38+Projects!$D$38-1,Projects!$B$38*Assumptions!$B$12/Projects!$D$38*0.95+0.05*Projects!$B$38*Assumptions!$B$12,Projects!$B$38*Assumptions!$B$12/Projects!$D$38*0.95),0)+IF(AND(Projects!$G$39="Yes",83&gt;=Projects!$C$39,83&lt;Projects!$C$39+Projects!$D$39),IF(83=Projects!$C$39+Projects!$D$39-1,Projects!$B$39*Assumptions!$B$12/Projects!$D$39*0.95+0.05*Projects!$B$39*Assumptions!$B$12,Projects!$B$39*Assumptions!$B$12/Projects!$D$39*0.95),0)+IF(AND(Projects!$G$40="Yes",83&gt;=Projects!$C$40,83&lt;Projects!$C$40+Projects!$D$40),IF(83=Projects!$C$40+Projects!$D$40-1,Projects!$B$40*Assumptions!$B$12/Projects!$D$40*0.95+0.05*Projects!$B$40*Assumptions!$B$12,Projects!$B$40*Assumptions!$B$12/Projects!$D$40*0.95),0)+IF(AND(Projects!$G$41="Yes",83&gt;=Projects!$C$41,83&lt;Projects!$C$41+Projects!$D$41),IF(83=Projects!$C$41+Projects!$D$41-1,Projects!$B$41*Assumptions!$B$12/Projects!$D$41*0.95+0.05*Projects!$B$41*Assumptions!$B$12,Projects!$B$41*Assumptions!$B$12/Projects!$D$41*0.95),0)+IF(AND(Projects!$G$42="Yes",83&gt;=Projects!$C$42,83&lt;Projects!$C$42+Projects!$D$42),IF(83=Projects!$C$42+Projects!$D$42-1,Projects!$B$42*Assumptions!$B$12/Projects!$D$42*0.95+0.05*Projects!$B$42*Assumptions!$B$12,Projects!$B$42*Assumptions!$B$12/Projects!$D$42*0.95),0)+IF(AND(Projects!$G$43="Yes",83&gt;=Projects!$C$43,83&lt;Projects!$C$43+Projects!$D$43),IF(83=Projects!$C$43+Projects!$D$43-1,Projects!$B$43*Assumptions!$B$12/Projects!$D$43*0.95+0.05*Projects!$B$43*Assumptions!$B$12,Projects!$B$43*Assumptions!$B$12/Projects!$D$43*0.95),0)+IF(AND(Projects!$G$44="Yes",83&gt;=Projects!$C$44,83&lt;Projects!$C$44+Projects!$D$44),IF(83=Projects!$C$44+Projects!$D$44-1,Projects!$B$44*Assumptions!$B$12/Projects!$D$44*0.95+0.05*Projects!$B$44*Assumptions!$B$12,Projects!$B$44*Assumptions!$B$12/Projects!$D$44*0.95),0)+IF(AND(Projects!$G$45="Yes",83&gt;=Projects!$C$45,83&lt;Projects!$C$45+Projects!$D$45),IF(83=Projects!$C$45+Projects!$D$45-1,Projects!$B$45*Assumptions!$B$12/Projects!$D$45*0.95+0.05*Projects!$B$45*Assumptions!$B$12,Projects!$B$45*Assumptions!$B$12/Projects!$D$45*0.95),0)+IF(AND(Projects!$G$46="Yes",83&gt;=Projects!$C$46,83&lt;Projects!$C$46+Projects!$D$46),IF(83=Projects!$C$46+Projects!$D$46-1,Projects!$B$46*Assumptions!$B$12/Projects!$D$46*0.95+0.05*Projects!$B$46*Assumptions!$B$12,Projects!$B$46*Assumptions!$B$12/Projects!$D$46*0.95),0)</f>
        <v/>
      </c>
      <c r="CH110">
        <f>IF(AND(Projects!$G$30="Yes",84&gt;=Projects!$C$30,84&lt;Projects!$C$30+Projects!$D$30),IF(84=Projects!$C$30+Projects!$D$30-1,Projects!$B$30*Assumptions!$B$12/Projects!$D$30*0.95+0.05*Projects!$B$30*Assumptions!$B$12,Projects!$B$30*Assumptions!$B$12/Projects!$D$30*0.95),0)+IF(AND(Projects!$G$31="Yes",84&gt;=Projects!$C$31,84&lt;Projects!$C$31+Projects!$D$31),IF(84=Projects!$C$31+Projects!$D$31-1,Projects!$B$31*Assumptions!$B$12/Projects!$D$31*0.95+0.05*Projects!$B$31*Assumptions!$B$12,Projects!$B$31*Assumptions!$B$12/Projects!$D$31*0.95),0)+IF(AND(Projects!$G$32="Yes",84&gt;=Projects!$C$32,84&lt;Projects!$C$32+Projects!$D$32),IF(84=Projects!$C$32+Projects!$D$32-1,Projects!$B$32*Assumptions!$B$12/Projects!$D$32*0.95+0.05*Projects!$B$32*Assumptions!$B$12,Projects!$B$32*Assumptions!$B$12/Projects!$D$32*0.95),0)+IF(AND(Projects!$G$33="Yes",84&gt;=Projects!$C$33,84&lt;Projects!$C$33+Projects!$D$33),IF(84=Projects!$C$33+Projects!$D$33-1,Projects!$B$33*Assumptions!$B$12/Projects!$D$33*0.95+0.05*Projects!$B$33*Assumptions!$B$12,Projects!$B$33*Assumptions!$B$12/Projects!$D$33*0.95),0)+IF(AND(Projects!$G$34="Yes",84&gt;=Projects!$C$34,84&lt;Projects!$C$34+Projects!$D$34),IF(84=Projects!$C$34+Projects!$D$34-1,Projects!$B$34*Assumptions!$B$12/Projects!$D$34*0.95+0.05*Projects!$B$34*Assumptions!$B$12,Projects!$B$34*Assumptions!$B$12/Projects!$D$34*0.95),0)+IF(AND(Projects!$G$35="Yes",84&gt;=Projects!$C$35,84&lt;Projects!$C$35+Projects!$D$35),IF(84=Projects!$C$35+Projects!$D$35-1,Projects!$B$35*Assumptions!$B$12/Projects!$D$35*0.95+0.05*Projects!$B$35*Assumptions!$B$12,Projects!$B$35*Assumptions!$B$12/Projects!$D$35*0.95),0)+IF(AND(Projects!$G$36="Yes",84&gt;=Projects!$C$36,84&lt;Projects!$C$36+Projects!$D$36),IF(84=Projects!$C$36+Projects!$D$36-1,Projects!$B$36*Assumptions!$B$12/Projects!$D$36*0.95+0.05*Projects!$B$36*Assumptions!$B$12,Projects!$B$36*Assumptions!$B$12/Projects!$D$36*0.95),0)+IF(AND(Projects!$G$37="Yes",84&gt;=Projects!$C$37,84&lt;Projects!$C$37+Projects!$D$37),IF(84=Projects!$C$37+Projects!$D$37-1,Projects!$B$37*Assumptions!$B$12/Projects!$D$37*0.95+0.05*Projects!$B$37*Assumptions!$B$12,Projects!$B$37*Assumptions!$B$12/Projects!$D$37*0.95),0)+IF(AND(Projects!$G$38="Yes",84&gt;=Projects!$C$38,84&lt;Projects!$C$38+Projects!$D$38),IF(84=Projects!$C$38+Projects!$D$38-1,Projects!$B$38*Assumptions!$B$12/Projects!$D$38*0.95+0.05*Projects!$B$38*Assumptions!$B$12,Projects!$B$38*Assumptions!$B$12/Projects!$D$38*0.95),0)+IF(AND(Projects!$G$39="Yes",84&gt;=Projects!$C$39,84&lt;Projects!$C$39+Projects!$D$39),IF(84=Projects!$C$39+Projects!$D$39-1,Projects!$B$39*Assumptions!$B$12/Projects!$D$39*0.95+0.05*Projects!$B$39*Assumptions!$B$12,Projects!$B$39*Assumptions!$B$12/Projects!$D$39*0.95),0)+IF(AND(Projects!$G$40="Yes",84&gt;=Projects!$C$40,84&lt;Projects!$C$40+Projects!$D$40),IF(84=Projects!$C$40+Projects!$D$40-1,Projects!$B$40*Assumptions!$B$12/Projects!$D$40*0.95+0.05*Projects!$B$40*Assumptions!$B$12,Projects!$B$40*Assumptions!$B$12/Projects!$D$40*0.95),0)+IF(AND(Projects!$G$41="Yes",84&gt;=Projects!$C$41,84&lt;Projects!$C$41+Projects!$D$41),IF(84=Projects!$C$41+Projects!$D$41-1,Projects!$B$41*Assumptions!$B$12/Projects!$D$41*0.95+0.05*Projects!$B$41*Assumptions!$B$12,Projects!$B$41*Assumptions!$B$12/Projects!$D$41*0.95),0)+IF(AND(Projects!$G$42="Yes",84&gt;=Projects!$C$42,84&lt;Projects!$C$42+Projects!$D$42),IF(84=Projects!$C$42+Projects!$D$42-1,Projects!$B$42*Assumptions!$B$12/Projects!$D$42*0.95+0.05*Projects!$B$42*Assumptions!$B$12,Projects!$B$42*Assumptions!$B$12/Projects!$D$42*0.95),0)+IF(AND(Projects!$G$43="Yes",84&gt;=Projects!$C$43,84&lt;Projects!$C$43+Projects!$D$43),IF(84=Projects!$C$43+Projects!$D$43-1,Projects!$B$43*Assumptions!$B$12/Projects!$D$43*0.95+0.05*Projects!$B$43*Assumptions!$B$12,Projects!$B$43*Assumptions!$B$12/Projects!$D$43*0.95),0)+IF(AND(Projects!$G$44="Yes",84&gt;=Projects!$C$44,84&lt;Projects!$C$44+Projects!$D$44),IF(84=Projects!$C$44+Projects!$D$44-1,Projects!$B$44*Assumptions!$B$12/Projects!$D$44*0.95+0.05*Projects!$B$44*Assumptions!$B$12,Projects!$B$44*Assumptions!$B$12/Projects!$D$44*0.95),0)+IF(AND(Projects!$G$45="Yes",84&gt;=Projects!$C$45,84&lt;Projects!$C$45+Projects!$D$45),IF(84=Projects!$C$45+Projects!$D$45-1,Projects!$B$45*Assumptions!$B$12/Projects!$D$45*0.95+0.05*Projects!$B$45*Assumptions!$B$12,Projects!$B$45*Assumptions!$B$12/Projects!$D$45*0.95),0)+IF(AND(Projects!$G$46="Yes",84&gt;=Projects!$C$46,84&lt;Projects!$C$46+Projects!$D$46),IF(84=Projects!$C$46+Projects!$D$46-1,Projects!$B$46*Assumptions!$B$12/Projects!$D$46*0.95+0.05*Projects!$B$46*Assumptions!$B$12,Projects!$B$46*Assumptions!$B$12/Projects!$D$46*0.95),0)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C4581A"/>
    <outlinePr summaryBelow="1" summaryRight="1"/>
    <pageSetUpPr/>
  </sheetPr>
  <dimension ref="A1:CH107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40" customWidth="1" style="201" min="1" max="1"/>
    <col width="27" customWidth="1" style="201" min="2" max="86"/>
  </cols>
  <sheetData>
    <row r="1" ht="15" customHeight="1" s="201">
      <c r="A1" s="132" t="inlineStr">
        <is>
          <t>Uplifters Foundation — Development Fee Program</t>
        </is>
      </c>
    </row>
    <row r="2" ht="15" customHeight="1" s="201">
      <c r="A2" s="107" t="inlineStr">
        <is>
          <t>Active</t>
        </is>
      </c>
      <c r="B2" s="4" t="inlineStr">
        <is>
          <t>No</t>
        </is>
      </c>
    </row>
    <row r="4" ht="15" customHeight="1" s="201">
      <c r="A4" s="133" t="inlineStr">
        <is>
          <t>PROGRAM OVERVIEW</t>
        </is>
      </c>
      <c r="B4" s="133" t="n"/>
      <c r="C4" s="133" t="n"/>
      <c r="D4" s="133" t="n"/>
      <c r="E4" s="133" t="n"/>
      <c r="F4" s="133" t="n"/>
      <c r="G4" s="133" t="n"/>
      <c r="H4" s="133" t="n"/>
      <c r="I4" s="133" t="n"/>
      <c r="J4" s="133" t="n"/>
      <c r="K4" s="133" t="n"/>
    </row>
    <row r="5" ht="15" customHeight="1" s="201">
      <c r="A5" s="107" t="inlineStr">
        <is>
          <t>Program Name</t>
        </is>
      </c>
      <c r="B5" s="107" t="inlineStr">
        <is>
          <t>Uplifters Foundation — Development Fee Program</t>
        </is>
      </c>
    </row>
    <row r="6" ht="15" customHeight="1" s="201">
      <c r="A6" s="107" t="inlineStr">
        <is>
          <t>Program Duration</t>
        </is>
      </c>
      <c r="B6" s="107" t="inlineStr">
        <is>
          <t>5 Years (Jan 2027 – Dec 2031)</t>
        </is>
      </c>
    </row>
    <row r="7" ht="15" customHeight="1" s="201">
      <c r="A7" s="107" t="inlineStr">
        <is>
          <t>Total Properties</t>
        </is>
      </c>
      <c r="B7" s="134" t="n">
        <v>60</v>
      </c>
    </row>
    <row r="8" ht="15" customHeight="1" s="201">
      <c r="A8" s="107" t="inlineStr">
        <is>
          <t>Property Type</t>
        </is>
      </c>
      <c r="B8" s="107" t="inlineStr">
        <is>
          <t>Single-Family Residential (no ADUs)</t>
        </is>
      </c>
    </row>
    <row r="9" ht="15" customHeight="1" s="201">
      <c r="A9" s="107" t="inlineStr">
        <is>
          <t>Avg Lot Price</t>
        </is>
      </c>
      <c r="B9" s="63" t="n">
        <v>1400000</v>
      </c>
    </row>
    <row r="10" ht="15" customHeight="1" s="201">
      <c r="A10" s="107" t="inlineStr">
        <is>
          <t>Avg Construction Cost</t>
        </is>
      </c>
      <c r="B10" s="63" t="n">
        <v>1609391</v>
      </c>
    </row>
    <row r="11" ht="15" customHeight="1" s="201">
      <c r="A11" s="107" t="inlineStr">
        <is>
          <t>Avg Sale Price</t>
        </is>
      </c>
      <c r="B11" s="63" t="n">
        <v>3419763</v>
      </c>
    </row>
    <row r="12" ht="15" customHeight="1" s="201">
      <c r="A12" s="107" t="inlineStr">
        <is>
          <t>Total Fee Revenue</t>
        </is>
      </c>
      <c r="B12" s="5">
        <f>B16</f>
        <v/>
      </c>
    </row>
    <row r="14" ht="15" customHeight="1" s="201">
      <c r="A14" s="135" t="inlineStr">
        <is>
          <t>ANNUAL P&amp;L SUMMARY</t>
        </is>
      </c>
      <c r="B14" s="135" t="n"/>
      <c r="C14" s="135" t="n"/>
      <c r="D14" s="135" t="n"/>
      <c r="E14" s="135" t="n"/>
      <c r="F14" s="135" t="n"/>
      <c r="G14" s="135" t="n"/>
      <c r="H14" s="135" t="n"/>
      <c r="I14" s="135" t="n"/>
      <c r="J14" s="135" t="n"/>
      <c r="K14" s="135" t="n"/>
    </row>
    <row r="15" ht="15" customHeight="1" s="201">
      <c r="B15" s="136" t="inlineStr">
        <is>
          <t>Total</t>
        </is>
      </c>
      <c r="C15" s="136" t="inlineStr">
        <is>
          <t>FY 2026</t>
        </is>
      </c>
      <c r="D15" s="136" t="inlineStr">
        <is>
          <t>FY 2027</t>
        </is>
      </c>
      <c r="E15" s="136" t="inlineStr">
        <is>
          <t>FY 2028</t>
        </is>
      </c>
      <c r="F15" s="136" t="inlineStr">
        <is>
          <t>FY 2029</t>
        </is>
      </c>
      <c r="G15" s="136" t="inlineStr">
        <is>
          <t>FY 2030</t>
        </is>
      </c>
      <c r="H15" s="136" t="inlineStr">
        <is>
          <t>FY 2031</t>
        </is>
      </c>
      <c r="I15" s="136" t="inlineStr">
        <is>
          <t>FY 2032</t>
        </is>
      </c>
      <c r="J15" s="136" t="inlineStr">
        <is>
          <t>FY 2033</t>
        </is>
      </c>
    </row>
    <row r="16" ht="15" customHeight="1" s="201">
      <c r="A16" s="107" t="inlineStr">
        <is>
          <t>Total Fee Revenue</t>
        </is>
      </c>
      <c r="B16" s="5">
        <f>C16+D16+E16+F16+G16+H16+I16+J16</f>
        <v/>
      </c>
      <c r="C16" s="63">
        <f>SUM(C99:K99)</f>
        <v/>
      </c>
      <c r="D16" s="63">
        <f>SUM(L99:W99)</f>
        <v/>
      </c>
      <c r="E16" s="63">
        <f>SUM(X99:AI99)</f>
        <v/>
      </c>
      <c r="F16" s="63">
        <f>SUM(AJ99:AU99)</f>
        <v/>
      </c>
      <c r="G16" s="63">
        <f>SUM(AV99:BG99)</f>
        <v/>
      </c>
      <c r="H16" s="63">
        <f>SUM(BH99:BS99)</f>
        <v/>
      </c>
      <c r="I16" s="63">
        <f>SUM(BT99:CE99)</f>
        <v/>
      </c>
      <c r="J16" s="63">
        <f>SUM(CF99:CH99)</f>
        <v/>
      </c>
    </row>
    <row r="17" ht="15" customHeight="1" s="201">
      <c r="A17" s="107" t="inlineStr">
        <is>
          <t>Staffing Cost</t>
        </is>
      </c>
      <c r="B17" s="5">
        <f>C17+D17+E17+F17+G17+H17+I17+J17</f>
        <v/>
      </c>
      <c r="C17" s="63">
        <f>SUM(C100:K100)</f>
        <v/>
      </c>
      <c r="D17" s="63">
        <f>SUM(L100:W100)</f>
        <v/>
      </c>
      <c r="E17" s="63">
        <f>SUM(X100:AI100)</f>
        <v/>
      </c>
      <c r="F17" s="63">
        <f>SUM(AJ100:AU100)</f>
        <v/>
      </c>
      <c r="G17" s="63">
        <f>SUM(AV100:BG100)</f>
        <v/>
      </c>
      <c r="H17" s="63">
        <f>SUM(BH100:BS100)</f>
        <v/>
      </c>
      <c r="I17" s="63">
        <f>SUM(BT100:CE100)</f>
        <v/>
      </c>
      <c r="J17" s="63">
        <f>SUM(CF100:CH100)</f>
        <v/>
      </c>
    </row>
    <row r="18" ht="15" customHeight="1" s="201">
      <c r="A18" s="107" t="inlineStr">
        <is>
          <t>Other OpEx</t>
        </is>
      </c>
      <c r="B18" s="5">
        <f>C18+D18+E18+F18+G18+H18+I18+J18</f>
        <v/>
      </c>
      <c r="C18" s="63">
        <f>SUM(C101:K101)</f>
        <v/>
      </c>
      <c r="D18" s="63">
        <f>SUM(L101:W101)</f>
        <v/>
      </c>
      <c r="E18" s="63">
        <f>SUM(X101:AI101)</f>
        <v/>
      </c>
      <c r="F18" s="63">
        <f>SUM(AJ101:AU101)</f>
        <v/>
      </c>
      <c r="G18" s="63">
        <f>SUM(AV101:BG101)</f>
        <v/>
      </c>
      <c r="H18" s="63">
        <f>SUM(BH101:BS101)</f>
        <v/>
      </c>
      <c r="I18" s="63">
        <f>SUM(BT101:CE101)</f>
        <v/>
      </c>
      <c r="J18" s="63">
        <f>SUM(CF101:CH101)</f>
        <v/>
      </c>
    </row>
    <row r="19" ht="15" customHeight="1" s="201">
      <c r="A19" s="137" t="inlineStr">
        <is>
          <t>Net Fee Income</t>
        </is>
      </c>
      <c r="B19" s="138">
        <f>C19+D19+E19+F19+G19+H19+I19+J19</f>
        <v/>
      </c>
      <c r="C19" s="138">
        <f>SUM(C102:K102)</f>
        <v/>
      </c>
      <c r="D19" s="138">
        <f>SUM(L102:W102)</f>
        <v/>
      </c>
      <c r="E19" s="138">
        <f>SUM(X102:AI102)</f>
        <v/>
      </c>
      <c r="F19" s="138">
        <f>SUM(AJ102:AU102)</f>
        <v/>
      </c>
      <c r="G19" s="138">
        <f>SUM(AV102:BG102)</f>
        <v/>
      </c>
      <c r="H19" s="138">
        <f>SUM(BH102:BS102)</f>
        <v/>
      </c>
      <c r="I19" s="138">
        <f>SUM(BT102:CE102)</f>
        <v/>
      </c>
      <c r="J19" s="138">
        <f>SUM(CF102:CH102)</f>
        <v/>
      </c>
    </row>
    <row r="20" ht="15" customHeight="1" s="201">
      <c r="A20" s="107" t="inlineStr">
        <is>
          <t>SP Overhead Fee (to Six Peak)</t>
        </is>
      </c>
      <c r="B20" s="5">
        <f>C20+D20+E20+F20+G20+H20+I20+J20</f>
        <v/>
      </c>
      <c r="C20" s="63">
        <f>SUM(C103:K103)</f>
        <v/>
      </c>
      <c r="D20" s="63">
        <f>SUM(L103:W103)</f>
        <v/>
      </c>
      <c r="E20" s="63">
        <f>SUM(X103:AI103)</f>
        <v/>
      </c>
      <c r="F20" s="63">
        <f>SUM(AJ103:AU103)</f>
        <v/>
      </c>
      <c r="G20" s="63">
        <f>SUM(AV103:BG103)</f>
        <v/>
      </c>
      <c r="H20" s="63">
        <f>SUM(BH103:BS103)</f>
        <v/>
      </c>
      <c r="I20" s="63">
        <f>SUM(BT103:CE103)</f>
        <v/>
      </c>
      <c r="J20" s="63">
        <f>SUM(CF103:CH103)</f>
        <v/>
      </c>
    </row>
    <row r="21" ht="15" customHeight="1" s="201">
      <c r="A21" s="137" t="inlineStr">
        <is>
          <t>Net Before Bonus</t>
        </is>
      </c>
      <c r="B21" s="138">
        <f>C21+D21+E21+F21+G21+H21+I21+J21</f>
        <v/>
      </c>
      <c r="C21" s="138">
        <f>SUM(C104:K104)</f>
        <v/>
      </c>
      <c r="D21" s="138">
        <f>SUM(L104:W104)</f>
        <v/>
      </c>
      <c r="E21" s="138">
        <f>SUM(X104:AI104)</f>
        <v/>
      </c>
      <c r="F21" s="138">
        <f>SUM(AJ104:AU104)</f>
        <v/>
      </c>
      <c r="G21" s="138">
        <f>SUM(AV104:BG104)</f>
        <v/>
      </c>
      <c r="H21" s="138">
        <f>SUM(BH104:BS104)</f>
        <v/>
      </c>
      <c r="I21" s="138">
        <f>SUM(BT104:CE104)</f>
        <v/>
      </c>
      <c r="J21" s="138">
        <f>SUM(CF104:CH104)</f>
        <v/>
      </c>
    </row>
    <row r="22" ht="15" customHeight="1" s="201">
      <c r="A22" s="107" t="inlineStr">
        <is>
          <t>Schuyler Bonus (40/45/50%)</t>
        </is>
      </c>
      <c r="B22" s="5">
        <f>C22+D22+E22+F22+G22+H22+I22+J22</f>
        <v/>
      </c>
      <c r="C22" s="63">
        <f>SUM(C105:K105)</f>
        <v/>
      </c>
      <c r="D22" s="63">
        <f>SUM(L105:W105)</f>
        <v/>
      </c>
      <c r="E22" s="63">
        <f>SUM(X105:AI105)</f>
        <v/>
      </c>
      <c r="F22" s="63">
        <f>SUM(AJ105:AU105)</f>
        <v/>
      </c>
      <c r="G22" s="63">
        <f>SUM(AV105:BG105)</f>
        <v/>
      </c>
      <c r="H22" s="63">
        <f>SUM(BH105:BS105)</f>
        <v/>
      </c>
      <c r="I22" s="63">
        <f>SUM(BT105:CE105)</f>
        <v/>
      </c>
      <c r="J22" s="63">
        <f>SUM(CF105:CH105)</f>
        <v/>
      </c>
    </row>
    <row r="23" ht="15" customHeight="1" s="201">
      <c r="A23" s="107" t="inlineStr">
        <is>
          <t>NI After Bonus (to Six Peak)</t>
        </is>
      </c>
      <c r="B23" s="5">
        <f>C23+D23+E23+F23+G23+H23+I23+J23</f>
        <v/>
      </c>
      <c r="C23" s="63">
        <f>SUM(C106:K106)</f>
        <v/>
      </c>
      <c r="D23" s="63">
        <f>SUM(L106:W106)</f>
        <v/>
      </c>
      <c r="E23" s="63">
        <f>SUM(X106:AI106)</f>
        <v/>
      </c>
      <c r="F23" s="63">
        <f>SUM(AJ106:AU106)</f>
        <v/>
      </c>
      <c r="G23" s="63">
        <f>SUM(AV106:BG106)</f>
        <v/>
      </c>
      <c r="H23" s="63">
        <f>SUM(BH106:BS106)</f>
        <v/>
      </c>
      <c r="I23" s="63">
        <f>SUM(BT106:CE106)</f>
        <v/>
      </c>
      <c r="J23" s="63">
        <f>SUM(CF106:CH106)</f>
        <v/>
      </c>
    </row>
    <row r="24" ht="15" customHeight="1" s="201">
      <c r="A24" s="139" t="inlineStr">
        <is>
          <t>Total to Six Peak</t>
        </is>
      </c>
      <c r="B24" s="140">
        <f>C24+D24+E24+F24+G24+H24+I24+J24</f>
        <v/>
      </c>
      <c r="C24" s="140">
        <f>SUM(C107:K107)</f>
        <v/>
      </c>
      <c r="D24" s="140">
        <f>SUM(L107:W107)</f>
        <v/>
      </c>
      <c r="E24" s="140">
        <f>SUM(X107:AI107)</f>
        <v/>
      </c>
      <c r="F24" s="140">
        <f>SUM(AJ107:AU107)</f>
        <v/>
      </c>
      <c r="G24" s="140">
        <f>SUM(AV107:BG107)</f>
        <v/>
      </c>
      <c r="H24" s="140">
        <f>SUM(BH107:BS107)</f>
        <v/>
      </c>
      <c r="I24" s="140">
        <f>SUM(BT107:CE107)</f>
        <v/>
      </c>
      <c r="J24" s="140">
        <f>SUM(CF107:CH107)</f>
        <v/>
      </c>
    </row>
    <row r="26" ht="15" customHeight="1" s="201">
      <c r="A26" s="141" t="inlineStr">
        <is>
          <t>ACQUISITION SCHEDULE</t>
        </is>
      </c>
      <c r="B26" s="141" t="n"/>
      <c r="C26" s="141" t="n"/>
      <c r="D26" s="141" t="n"/>
      <c r="E26" s="141" t="n"/>
      <c r="F26" s="141" t="n"/>
      <c r="G26" s="141" t="n"/>
      <c r="H26" s="141" t="n"/>
      <c r="I26" s="141" t="n"/>
      <c r="J26" s="141" t="n"/>
      <c r="K26" s="141" t="n"/>
    </row>
    <row r="27" ht="15" customHeight="1" s="201">
      <c r="A27" s="142" t="inlineStr">
        <is>
          <t>Phase</t>
        </is>
      </c>
      <c r="B27" s="142" t="inlineStr">
        <is>
          <t>Properties</t>
        </is>
      </c>
      <c r="C27" s="142" t="inlineStr">
        <is>
          <t>Timing</t>
        </is>
      </c>
      <c r="D27" s="142" t="inlineStr">
        <is>
          <t>Avg Lot Price</t>
        </is>
      </c>
      <c r="E27" s="142" t="inlineStr">
        <is>
          <t>Status</t>
        </is>
      </c>
    </row>
    <row r="28" ht="15" customHeight="1" s="201">
      <c r="A28" s="107" t="inlineStr">
        <is>
          <t>Phase 1 — Initial Acquisitions</t>
        </is>
      </c>
      <c r="B28" s="134" t="n">
        <v>6</v>
      </c>
      <c r="C28" s="107" t="inlineStr">
        <is>
          <t>Jan – Jun 2027 (Mo 10-15)</t>
        </is>
      </c>
      <c r="D28" s="63" t="n">
        <v>1400000</v>
      </c>
      <c r="E28" s="143" t="inlineStr">
        <is>
          <t>Acquisition</t>
        </is>
      </c>
    </row>
    <row r="29" ht="15" customHeight="1" s="201">
      <c r="A29" s="107" t="inlineStr">
        <is>
          <t>Phase 2 — Ramp Up</t>
        </is>
      </c>
      <c r="B29" s="134" t="n">
        <v>18</v>
      </c>
      <c r="C29" s="107" t="inlineStr">
        <is>
          <t>Jul 2027 – Jun 2028 (Mo 16-27)</t>
        </is>
      </c>
      <c r="D29" s="63" t="n">
        <v>1400000</v>
      </c>
      <c r="E29" s="143" t="inlineStr">
        <is>
          <t>Acquisition → Development</t>
        </is>
      </c>
    </row>
    <row r="30" ht="15" customHeight="1" s="201">
      <c r="A30" s="107" t="inlineStr">
        <is>
          <t>Phase 3 — Continued Buying</t>
        </is>
      </c>
      <c r="B30" s="134" t="n">
        <v>18</v>
      </c>
      <c r="C30" s="107" t="inlineStr">
        <is>
          <t>Jul 2028 – Jun 2029 (Mo 28-39)</t>
        </is>
      </c>
      <c r="D30" s="63" t="n">
        <v>1400000</v>
      </c>
      <c r="E30" s="143" t="inlineStr">
        <is>
          <t>Development → Leasing</t>
        </is>
      </c>
    </row>
    <row r="31" ht="15" customHeight="1" s="201">
      <c r="A31" s="107" t="inlineStr">
        <is>
          <t>Phase 4 — Final Batch</t>
        </is>
      </c>
      <c r="B31" s="134" t="n">
        <v>18</v>
      </c>
      <c r="C31" s="107" t="inlineStr">
        <is>
          <t>Jul 2029 – Jun 2030 (Mo 40-51)</t>
        </is>
      </c>
      <c r="D31" s="63" t="n">
        <v>1400000</v>
      </c>
      <c r="E31" s="143" t="inlineStr">
        <is>
          <t>Leasing → Exits</t>
        </is>
      </c>
    </row>
    <row r="32" ht="15" customHeight="1" s="201">
      <c r="A32" s="142" t="inlineStr">
        <is>
          <t>Total</t>
        </is>
      </c>
      <c r="B32" s="144" t="n">
        <v>60</v>
      </c>
      <c r="C32" s="142" t="inlineStr">
        <is>
          <t>Jan 2027 – Jun 2030</t>
        </is>
      </c>
      <c r="D32" s="145" t="n">
        <v>1400000</v>
      </c>
    </row>
    <row r="34" ht="15" customHeight="1" s="201">
      <c r="A34" s="146" t="inlineStr">
        <is>
          <t>FEE STRUCTURE</t>
        </is>
      </c>
      <c r="B34" s="146" t="n"/>
      <c r="C34" s="146" t="n"/>
      <c r="D34" s="146" t="n"/>
      <c r="E34" s="146" t="n"/>
      <c r="F34" s="146" t="n"/>
      <c r="G34" s="146" t="n"/>
      <c r="H34" s="146" t="n"/>
      <c r="I34" s="146" t="n"/>
      <c r="J34" s="146" t="n"/>
      <c r="K34" s="146" t="n"/>
    </row>
    <row r="35" ht="15" customHeight="1" s="201">
      <c r="A35" s="147" t="inlineStr">
        <is>
          <t>Fee Category</t>
        </is>
      </c>
      <c r="B35" s="147" t="inlineStr">
        <is>
          <t>Rate</t>
        </is>
      </c>
      <c r="C35" s="147" t="inlineStr">
        <is>
          <t>Basis</t>
        </is>
      </c>
      <c r="D35" s="147" t="inlineStr">
        <is>
          <t>Per Property</t>
        </is>
      </c>
      <c r="E35" s="147" t="inlineStr">
        <is>
          <t>× 60</t>
        </is>
      </c>
      <c r="F35" s="147" t="inlineStr">
        <is>
          <t>Notes</t>
        </is>
      </c>
    </row>
    <row r="36" ht="15" customHeight="1" s="201">
      <c r="A36" s="107" t="inlineStr">
        <is>
          <t>Acquisition Fee</t>
        </is>
      </c>
      <c r="B36" s="107" t="inlineStr">
        <is>
          <t>1%</t>
        </is>
      </c>
      <c r="C36" s="107" t="inlineStr">
        <is>
          <t>Lot Price ($1,400,000)</t>
        </is>
      </c>
      <c r="D36" s="63" t="n">
        <v>14000</v>
      </c>
      <c r="E36" s="63" t="n">
        <v>840000</v>
      </c>
      <c r="F36" s="148" t="inlineStr">
        <is>
          <t>At closing</t>
        </is>
      </c>
    </row>
    <row r="37" ht="15" customHeight="1" s="201">
      <c r="A37" s="107" t="inlineStr">
        <is>
          <t>Development Mgmt Fee</t>
        </is>
      </c>
      <c r="B37" s="107" t="inlineStr">
        <is>
          <t>6%</t>
        </is>
      </c>
      <c r="C37" s="107" t="inlineStr">
        <is>
          <t>Construction ($1,609,391)</t>
        </is>
      </c>
      <c r="D37" s="63" t="n">
        <v>96563</v>
      </c>
      <c r="E37" s="63" t="n">
        <v>5793808</v>
      </c>
      <c r="F37" s="148" t="inlineStr">
        <is>
          <t>During renovation</t>
        </is>
      </c>
    </row>
    <row r="38" ht="15" customHeight="1" s="201">
      <c r="A38" s="107" t="inlineStr">
        <is>
          <t>Leasing Commission</t>
        </is>
      </c>
      <c r="B38" s="107" t="inlineStr">
        <is>
          <t>3%</t>
        </is>
      </c>
      <c r="C38" s="107" t="inlineStr">
        <is>
          <t>Annual Rent ($180,000)</t>
        </is>
      </c>
      <c r="D38" s="63" t="n">
        <v>5400</v>
      </c>
      <c r="E38" s="63" t="n">
        <v>324000</v>
      </c>
      <c r="F38" s="148" t="inlineStr">
        <is>
          <t>At lease-up</t>
        </is>
      </c>
    </row>
    <row r="39" ht="15" customHeight="1" s="201">
      <c r="A39" s="107" t="inlineStr">
        <is>
          <t>Exit / Disposition Fee</t>
        </is>
      </c>
      <c r="B39" s="107" t="inlineStr">
        <is>
          <t>1%</t>
        </is>
      </c>
      <c r="C39" s="107" t="inlineStr">
        <is>
          <t>Sale Price ($3,419,763)</t>
        </is>
      </c>
      <c r="D39" s="63" t="n">
        <v>34198</v>
      </c>
      <c r="E39" s="63" t="n">
        <v>2051858</v>
      </c>
      <c r="F39" s="148" t="inlineStr">
        <is>
          <t>At disposition</t>
        </is>
      </c>
    </row>
    <row r="40" ht="15" customHeight="1" s="201">
      <c r="A40" s="147" t="inlineStr">
        <is>
          <t>Total Fee Revenue</t>
        </is>
      </c>
      <c r="D40" s="149" t="n">
        <v>150161</v>
      </c>
      <c r="E40" s="149" t="n">
        <v>9009665</v>
      </c>
    </row>
    <row r="42" ht="15" customHeight="1" s="201">
      <c r="A42" s="150" t="inlineStr">
        <is>
          <t>STAFFING &amp; COMPENSATION</t>
        </is>
      </c>
      <c r="B42" s="150" t="n"/>
      <c r="C42" s="150" t="n"/>
      <c r="D42" s="150" t="n"/>
      <c r="E42" s="150" t="n"/>
      <c r="F42" s="150" t="n"/>
      <c r="G42" s="150" t="n"/>
      <c r="H42" s="150" t="n"/>
      <c r="I42" s="150" t="n"/>
      <c r="J42" s="150" t="n"/>
      <c r="K42" s="150" t="n"/>
    </row>
    <row r="43" ht="15" customHeight="1" s="201">
      <c r="A43" s="151" t="inlineStr">
        <is>
          <t>Role</t>
        </is>
      </c>
      <c r="B43" s="151" t="inlineStr">
        <is>
          <t>Annual Comp</t>
        </is>
      </c>
      <c r="C43" s="151" t="inlineStr">
        <is>
          <t>Monthly</t>
        </is>
      </c>
      <c r="D43" s="151" t="inlineStr">
        <is>
          <t>Start</t>
        </is>
      </c>
      <c r="E43" s="151" t="inlineStr">
        <is>
          <t>End</t>
        </is>
      </c>
      <c r="F43" s="151" t="inlineStr">
        <is>
          <t>Months</t>
        </is>
      </c>
      <c r="G43" s="151" t="inlineStr">
        <is>
          <t>Total Cost</t>
        </is>
      </c>
    </row>
    <row r="44" ht="15" customHeight="1" s="201">
      <c r="A44" s="107" t="inlineStr">
        <is>
          <t>Project Manager 1</t>
        </is>
      </c>
      <c r="B44" s="63" t="n">
        <v>125000</v>
      </c>
      <c r="C44" s="63" t="n">
        <v>10417</v>
      </c>
      <c r="D44" s="107" t="inlineStr">
        <is>
          <t>Mo 11</t>
        </is>
      </c>
      <c r="E44" s="107" t="inlineStr">
        <is>
          <t>Mo 57</t>
        </is>
      </c>
      <c r="F44" s="107" t="n">
        <v>47</v>
      </c>
      <c r="G44" s="63">
        <f>C44*F44</f>
        <v/>
      </c>
    </row>
    <row r="45" ht="15" customHeight="1" s="201">
      <c r="A45" s="107" t="inlineStr">
        <is>
          <t>Project Coordinator</t>
        </is>
      </c>
      <c r="B45" s="63" t="n">
        <v>90000</v>
      </c>
      <c r="C45" s="63" t="n">
        <v>7500</v>
      </c>
      <c r="D45" s="107" t="inlineStr">
        <is>
          <t>Mo 14</t>
        </is>
      </c>
      <c r="E45" s="107" t="inlineStr">
        <is>
          <t>Mo 57</t>
        </is>
      </c>
      <c r="F45" s="107" t="n">
        <v>44</v>
      </c>
      <c r="G45" s="63">
        <f>C45*F45</f>
        <v/>
      </c>
    </row>
    <row r="46" ht="15" customHeight="1" s="201">
      <c r="A46" s="107" t="inlineStr">
        <is>
          <t>Accountant</t>
        </is>
      </c>
      <c r="B46" s="63" t="n">
        <v>110000</v>
      </c>
      <c r="C46" s="63" t="n">
        <v>9167</v>
      </c>
      <c r="D46" s="107" t="inlineStr">
        <is>
          <t>Mo 19</t>
        </is>
      </c>
      <c r="E46" s="107" t="inlineStr">
        <is>
          <t>Mo 57</t>
        </is>
      </c>
      <c r="F46" s="107" t="n">
        <v>39</v>
      </c>
      <c r="G46" s="63">
        <f>C46*F46</f>
        <v/>
      </c>
    </row>
    <row r="47" ht="15" customHeight="1" s="201">
      <c r="A47" s="107" t="inlineStr">
        <is>
          <t>Project Manager 2</t>
        </is>
      </c>
      <c r="B47" s="63" t="n">
        <v>125000</v>
      </c>
      <c r="C47" s="63" t="n">
        <v>10417</v>
      </c>
      <c r="D47" s="107" t="inlineStr">
        <is>
          <t>Mo 27</t>
        </is>
      </c>
      <c r="E47" s="107" t="inlineStr">
        <is>
          <t>Mo 57</t>
        </is>
      </c>
      <c r="F47" s="107" t="n">
        <v>31</v>
      </c>
      <c r="G47" s="63">
        <f>C47*F47</f>
        <v/>
      </c>
    </row>
    <row r="48" ht="15" customHeight="1" s="201">
      <c r="A48" s="151" t="inlineStr">
        <is>
          <t>Total Staffing Cost</t>
        </is>
      </c>
      <c r="G48" s="152">
        <f>SUM(G44:G47)</f>
        <v/>
      </c>
    </row>
    <row r="50" ht="15" customHeight="1" s="201">
      <c r="A50" s="153" t="inlineStr">
        <is>
          <t>OTHER OPERATING EXPENSES</t>
        </is>
      </c>
      <c r="B50" s="153" t="n"/>
      <c r="C50" s="153" t="n"/>
      <c r="D50" s="153" t="n"/>
      <c r="E50" s="153" t="n"/>
      <c r="F50" s="153" t="n"/>
      <c r="G50" s="153" t="n"/>
      <c r="H50" s="153" t="n"/>
      <c r="I50" s="153" t="n"/>
      <c r="J50" s="153" t="n"/>
      <c r="K50" s="153" t="n"/>
    </row>
    <row r="51" ht="15" customHeight="1" s="201">
      <c r="A51" s="154" t="inlineStr">
        <is>
          <t>Expense</t>
        </is>
      </c>
      <c r="B51" s="154" t="inlineStr">
        <is>
          <t>Annual</t>
        </is>
      </c>
      <c r="C51" s="154" t="inlineStr">
        <is>
          <t>Monthly</t>
        </is>
      </c>
      <c r="D51" s="154" t="inlineStr">
        <is>
          <t>Years</t>
        </is>
      </c>
      <c r="E51" s="154" t="inlineStr">
        <is>
          <t>Total</t>
        </is>
      </c>
    </row>
    <row r="52" ht="15" customHeight="1" s="201">
      <c r="A52" s="107" t="inlineStr">
        <is>
          <t>Accounting / Audit / Tax</t>
        </is>
      </c>
      <c r="B52" s="63" t="n">
        <v>40000</v>
      </c>
      <c r="C52" s="63" t="n">
        <v>3333</v>
      </c>
      <c r="D52" s="107" t="n">
        <v>4</v>
      </c>
      <c r="E52" s="63" t="n">
        <v>160000</v>
      </c>
    </row>
    <row r="53" ht="15" customHeight="1" s="201">
      <c r="A53" s="107" t="inlineStr">
        <is>
          <t>Insurance</t>
        </is>
      </c>
      <c r="B53" s="63" t="n">
        <v>20000</v>
      </c>
      <c r="C53" s="63" t="n">
        <v>1667</v>
      </c>
      <c r="D53" s="107" t="n">
        <v>4</v>
      </c>
      <c r="E53" s="63" t="n">
        <v>80000</v>
      </c>
    </row>
    <row r="54" ht="15" customHeight="1" s="201">
      <c r="A54" s="107" t="inlineStr">
        <is>
          <t>Office Space</t>
        </is>
      </c>
      <c r="B54" s="63" t="n">
        <v>30000</v>
      </c>
      <c r="C54" s="63" t="n">
        <v>2500</v>
      </c>
      <c r="D54" s="107" t="n">
        <v>4</v>
      </c>
      <c r="E54" s="63" t="n">
        <v>120000</v>
      </c>
    </row>
    <row r="55" ht="15" customHeight="1" s="201">
      <c r="A55" s="107" t="inlineStr">
        <is>
          <t>Computer / Internet</t>
        </is>
      </c>
      <c r="B55" s="63" t="n">
        <v>24000</v>
      </c>
      <c r="C55" s="63" t="n">
        <v>2000</v>
      </c>
      <c r="D55" s="107" t="n">
        <v>4</v>
      </c>
      <c r="E55" s="63" t="n">
        <v>96000</v>
      </c>
    </row>
    <row r="56" ht="15" customHeight="1" s="201">
      <c r="A56" s="154" t="inlineStr">
        <is>
          <t>Total Other OpEx</t>
        </is>
      </c>
      <c r="E56" s="155" t="n">
        <v>456000</v>
      </c>
    </row>
    <row r="57" ht="15" customHeight="1" s="201">
      <c r="A57" s="156" t="inlineStr">
        <is>
          <t>Note: Legal ($25K/project) is a deal cost in closing, not in P&amp;L</t>
        </is>
      </c>
    </row>
    <row r="59" ht="15" customHeight="1" s="201">
      <c r="A59" s="157" t="inlineStr">
        <is>
          <t>ECONOMICS SUMMARY (CONFIRMED)</t>
        </is>
      </c>
      <c r="B59" s="157" t="n"/>
      <c r="C59" s="157" t="n"/>
      <c r="D59" s="157" t="n"/>
      <c r="E59" s="157" t="n"/>
      <c r="F59" s="157" t="n"/>
      <c r="G59" s="157" t="n"/>
      <c r="H59" s="157" t="n"/>
      <c r="I59" s="157" t="n"/>
      <c r="J59" s="157" t="n"/>
      <c r="K59" s="157" t="n"/>
    </row>
    <row r="60" ht="15" customHeight="1" s="201">
      <c r="A60" s="107" t="inlineStr">
        <is>
          <t>Total Fee Revenue (60 properties)</t>
        </is>
      </c>
      <c r="B60" s="63">
        <f>B16</f>
        <v/>
      </c>
    </row>
    <row r="61" ht="15" customHeight="1" s="201">
      <c r="A61" s="107" t="inlineStr">
        <is>
          <t>Staffing Cost</t>
        </is>
      </c>
      <c r="B61" s="63">
        <f>B17</f>
        <v/>
      </c>
    </row>
    <row r="62" ht="15" customHeight="1" s="201">
      <c r="A62" s="107" t="inlineStr">
        <is>
          <t>Other OpEx</t>
        </is>
      </c>
      <c r="B62" s="63">
        <f>B18</f>
        <v/>
      </c>
    </row>
    <row r="63" ht="15" customHeight="1" s="201">
      <c r="A63" s="142" t="inlineStr">
        <is>
          <t>Net Fee Income</t>
        </is>
      </c>
      <c r="B63" s="145">
        <f>B60+B61+B62</f>
        <v/>
      </c>
    </row>
    <row r="64" ht="15" customHeight="1" s="201">
      <c r="A64" s="107" t="inlineStr">
        <is>
          <t>SP Overhead (10% Revenue, max $150K/yr)</t>
        </is>
      </c>
      <c r="B64" s="63">
        <f>-B20</f>
        <v/>
      </c>
    </row>
    <row r="65" ht="15" customHeight="1" s="201">
      <c r="A65" s="142" t="inlineStr">
        <is>
          <t>Net Before Bonus</t>
        </is>
      </c>
      <c r="B65" s="145">
        <f>B63+B64</f>
        <v/>
      </c>
    </row>
    <row r="66" ht="15" customHeight="1" s="201">
      <c r="A66" s="107" t="inlineStr">
        <is>
          <t>Schuyler Bonus (40/45/50% tiered)</t>
        </is>
      </c>
      <c r="B66" s="63">
        <f>-B22</f>
        <v/>
      </c>
    </row>
    <row r="67" ht="15" customHeight="1" s="201">
      <c r="A67" s="142" t="inlineStr">
        <is>
          <t>NI After Bonus (to Six Peak)</t>
        </is>
      </c>
      <c r="B67" s="145">
        <f>B65+B66</f>
        <v/>
      </c>
    </row>
    <row r="68" ht="15" customHeight="1" s="201">
      <c r="A68" s="107" t="inlineStr">
        <is>
          <t>SP Overhead Fee (to Six Peak)</t>
        </is>
      </c>
      <c r="B68" s="63">
        <f>B20</f>
        <v/>
      </c>
    </row>
    <row r="69" ht="15" customHeight="1" s="201">
      <c r="A69" s="142" t="inlineStr">
        <is>
          <t>Total to Six Peak</t>
        </is>
      </c>
      <c r="B69" s="145">
        <f>B67+B68</f>
        <v/>
      </c>
    </row>
    <row r="71" ht="15" customHeight="1" s="201">
      <c r="A71" s="146" t="inlineStr">
        <is>
          <t>LEADERSHIP &amp; ORGANIZATION</t>
        </is>
      </c>
      <c r="B71" s="146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</row>
    <row r="72" ht="15" customHeight="1" s="201">
      <c r="A72" s="147" t="inlineStr">
        <is>
          <t>Name</t>
        </is>
      </c>
      <c r="B72" s="147" t="inlineStr">
        <is>
          <t>Role</t>
        </is>
      </c>
      <c r="C72" s="147" t="inlineStr">
        <is>
          <t>Responsibility</t>
        </is>
      </c>
    </row>
    <row r="73" ht="31.5" customHeight="1" s="201">
      <c r="A73" s="4" t="inlineStr">
        <is>
          <t>Schuyler Dietz</t>
        </is>
      </c>
      <c r="B73" s="107" t="inlineStr">
        <is>
          <t>Program Lead</t>
        </is>
      </c>
      <c r="C73" s="203" t="inlineStr">
        <is>
          <t>Day-to-day leadership. Manages acquisitions, development oversight, investor relations. 40% bonus on net income.</t>
        </is>
      </c>
    </row>
    <row r="74" ht="31.5" customHeight="1" s="201">
      <c r="A74" s="4" t="inlineStr">
        <is>
          <t>Chris Aiello</t>
        </is>
      </c>
      <c r="B74" s="107" t="inlineStr">
        <is>
          <t>Leadership</t>
        </is>
      </c>
      <c r="C74" s="203" t="inlineStr">
        <is>
          <t>Senior leadership and strategic direction. Works directly with Schuyler on execution.</t>
        </is>
      </c>
    </row>
    <row r="75" ht="31.5" customHeight="1" s="201">
      <c r="A75" s="4" t="inlineStr">
        <is>
          <t>Derek Sanders</t>
        </is>
      </c>
      <c r="B75" s="107" t="inlineStr">
        <is>
          <t>PM Advisory</t>
        </is>
      </c>
      <c r="C75" s="203" t="inlineStr">
        <is>
          <t>Advises on PM employees. Guidance on renovation scoping, contractor mgmt, PM development.</t>
        </is>
      </c>
    </row>
    <row r="76" ht="31.5" customHeight="1" s="201">
      <c r="A76" s="4" t="inlineStr">
        <is>
          <t>Chris Andresen</t>
        </is>
      </c>
      <c r="B76" s="107" t="inlineStr">
        <is>
          <t>Accounting &amp; Back Office</t>
        </is>
      </c>
      <c r="C76" s="203" t="inlineStr">
        <is>
          <t>Manages accounting, financial reporting, and back office with Robert Carrega.</t>
        </is>
      </c>
    </row>
    <row r="77" ht="31.5" customHeight="1" s="201">
      <c r="A77" s="4" t="inlineStr">
        <is>
          <t>Robert Carrega</t>
        </is>
      </c>
      <c r="B77" s="107" t="inlineStr">
        <is>
          <t>Accounting &amp; Back Office</t>
        </is>
      </c>
      <c r="C77" s="203" t="inlineStr">
        <is>
          <t>Supports accounting and back office processes alongside Chris Andresen.</t>
        </is>
      </c>
    </row>
    <row r="78" ht="31.5" customHeight="1" s="201">
      <c r="A78" s="4" t="inlineStr">
        <is>
          <t>Tom Taggart</t>
        </is>
      </c>
      <c r="B78" s="107" t="inlineStr">
        <is>
          <t>Acquisitions &amp; Field</t>
        </is>
      </c>
      <c r="C78" s="203" t="inlineStr">
        <is>
          <t>Assists in acquisitions. Available on-the-ground resource daily for program execution.</t>
        </is>
      </c>
    </row>
    <row r="80" ht="15" customHeight="1" s="201">
      <c r="A80" s="158" t="inlineStr">
        <is>
          <t>NOTES &amp; ASSUMPTIONS</t>
        </is>
      </c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</row>
    <row r="81" ht="27.75" customHeight="1" s="201">
      <c r="A81" s="4" t="inlineStr">
        <is>
          <t>1.</t>
        </is>
      </c>
      <c r="B81" s="203" t="inlineStr">
        <is>
          <t>All 60 properties are single-family residential. No ADUs.</t>
        </is>
      </c>
    </row>
    <row r="82" ht="27.75" customHeight="1" s="201">
      <c r="A82" s="4" t="inlineStr">
        <is>
          <t>2.</t>
        </is>
      </c>
      <c r="B82" s="203" t="inlineStr">
        <is>
          <t>Avg lot price: $1,400,000. Avg construction: $1,609,391. Avg sale: $3,419,763.</t>
        </is>
      </c>
    </row>
    <row r="83" ht="27.75" customHeight="1" s="201">
      <c r="A83" s="4" t="inlineStr">
        <is>
          <t>3.</t>
        </is>
      </c>
      <c r="B83" s="203" t="inlineStr">
        <is>
          <t>Fees: 1% acquisition on lot, 6% development on construction, 3% leasing on rent ($180K/yr), 1% exit on sale.</t>
        </is>
      </c>
    </row>
    <row r="84" ht="27.75" customHeight="1" s="201">
      <c r="A84" s="4" t="inlineStr">
        <is>
          <t>4.</t>
        </is>
      </c>
      <c r="B84" s="203" t="inlineStr">
        <is>
          <t>Legal ($25K/project) is a deal cost in closing, not in the Uplifters P&amp;L.</t>
        </is>
      </c>
    </row>
    <row r="85" ht="27.75" customHeight="1" s="201">
      <c r="A85" s="4" t="inlineStr">
        <is>
          <t>5.</t>
        </is>
      </c>
      <c r="B85" s="203" t="inlineStr">
        <is>
          <t>SP Overhead is 10% of all fee revenue, capped at $150,000 per year, retained by Six Peak.</t>
        </is>
      </c>
    </row>
    <row r="86" ht="27.75" customHeight="1" s="201">
      <c r="A86" s="4" t="inlineStr">
        <is>
          <t>6.</t>
        </is>
      </c>
      <c r="B86" s="203" t="inlineStr">
        <is>
          <t>Schuyler bonus: 40% on first 20 deals (Mo 10-24), 45% on next 20 (Mo 25-37), 50% on final 20 (Mo 38+). Paid on positive months only.</t>
        </is>
      </c>
    </row>
    <row r="87" ht="27.75" customHeight="1" s="201">
      <c r="A87" s="4" t="inlineStr">
        <is>
          <t>7.</t>
        </is>
      </c>
      <c r="B87" s="203" t="inlineStr">
        <is>
          <t>Staffing: PM1 ($125K) Mo 11 (3 mo before first construction); PC ($90K) Mo 14 (after 4th acquisition); Accountant ($110K) Mo 19 (after 10th acquisition); PM2 ($125K) Mo 27 (at 24th acquisition).</t>
        </is>
      </c>
    </row>
    <row r="88" ht="27.75" customHeight="1" s="201">
      <c r="A88" s="4" t="inlineStr">
        <is>
          <t>8.</t>
        </is>
      </c>
      <c r="B88" s="203" t="inlineStr">
        <is>
          <t>Other OpEx: Acctg/Audit/Tax ($40K/yr), Insurance ($20K/yr), Office ($2,500/mo), Computer ($24K/yr).</t>
        </is>
      </c>
    </row>
    <row r="89" ht="27.75" customHeight="1" s="201">
      <c r="A89" s="4" t="inlineStr">
        <is>
          <t>9.</t>
        </is>
      </c>
      <c r="B89" s="203" t="inlineStr">
        <is>
          <t>Six Peak does NOT perform construction. All renovation contracted to third-party builders.</t>
        </is>
      </c>
    </row>
    <row r="90" ht="27.75" customHeight="1" s="201">
      <c r="A90" s="4" t="inlineStr">
        <is>
          <t>10.</t>
        </is>
      </c>
      <c r="B90" s="203" t="inlineStr">
        <is>
          <t>Program: Jan 2027 (Mo 10) through Dec 2031. Revenue recognized as fees are earned.</t>
        </is>
      </c>
    </row>
    <row r="91" ht="15" customHeight="1" s="20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ht="15" customHeight="1" s="201">
      <c r="A93" s="141" t="inlineStr">
        <is>
          <t>SP INTEGRATION ASSUMPTIONS</t>
        </is>
      </c>
      <c r="B93" s="141" t="n"/>
      <c r="C93" s="141" t="n"/>
      <c r="D93" s="141" t="n"/>
      <c r="E93" s="141" t="n"/>
      <c r="F93" s="141" t="n"/>
      <c r="G93" s="141" t="n"/>
      <c r="H93" s="141" t="n"/>
      <c r="I93" s="141" t="n"/>
      <c r="J93" s="141" t="n"/>
      <c r="K93" s="141" t="n"/>
    </row>
    <row r="94" ht="15" customHeight="1" s="201">
      <c r="A94" s="107" t="inlineStr">
        <is>
          <t>SP Overhead Rate</t>
        </is>
      </c>
      <c r="B94" s="159" t="n">
        <v>0.1</v>
      </c>
    </row>
    <row r="95" ht="15" customHeight="1" s="201">
      <c r="A95" s="107" t="inlineStr">
        <is>
          <t>SP Overhead Annual Cap</t>
        </is>
      </c>
      <c r="B95" s="159" t="n">
        <v>150000</v>
      </c>
    </row>
    <row r="96" ht="15" customHeight="1" s="201">
      <c r="A96" t="inlineStr">
        <is>
          <t>Schuyler Bonus Rates</t>
        </is>
      </c>
      <c r="B96" t="inlineStr">
        <is>
          <t>40% (1-20) / 45% (21-40) / 50% (41-60)</t>
        </is>
      </c>
    </row>
    <row r="97" ht="15" customHeight="1" s="201">
      <c r="A97" s="160" t="inlineStr">
        <is>
          <t>MONTHLY P&amp;L</t>
        </is>
      </c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  <c r="BA97" s="161" t="n"/>
      <c r="BB97" s="161" t="n"/>
      <c r="BC97" s="161" t="n"/>
      <c r="BD97" s="161" t="n"/>
      <c r="BE97" s="161" t="n"/>
      <c r="BF97" s="161" t="n"/>
      <c r="BG97" s="161" t="n"/>
      <c r="BH97" s="161" t="n"/>
      <c r="BI97" s="161" t="n"/>
      <c r="BJ97" s="161" t="n"/>
      <c r="BK97" s="161" t="n"/>
      <c r="BL97" s="161" t="n"/>
      <c r="BM97" s="161" t="n"/>
      <c r="BN97" s="161" t="n"/>
      <c r="BO97" s="161" t="n"/>
      <c r="BP97" s="161" t="n"/>
      <c r="BQ97" s="161" t="n"/>
      <c r="BR97" s="161" t="n"/>
      <c r="BS97" s="161" t="n"/>
      <c r="BT97" s="161" t="n"/>
      <c r="BU97" s="161" t="n"/>
      <c r="BV97" s="161" t="n"/>
      <c r="BW97" s="161" t="n"/>
      <c r="BX97" s="161" t="n"/>
      <c r="BY97" s="161" t="n"/>
      <c r="BZ97" s="161" t="n"/>
      <c r="CA97" s="161" t="n"/>
      <c r="CB97" s="161" t="n"/>
      <c r="CC97" s="161" t="n"/>
      <c r="CD97" s="161" t="n"/>
      <c r="CE97" s="161" t="n"/>
      <c r="CF97" s="161" t="n"/>
      <c r="CG97" s="161" t="n"/>
      <c r="CH97" s="161" t="n"/>
    </row>
    <row r="98" ht="15" customHeight="1" s="201">
      <c r="A98" s="161" t="n"/>
      <c r="C98" s="162" t="n">
        <v>1</v>
      </c>
      <c r="D98" s="162" t="n">
        <v>2</v>
      </c>
      <c r="E98" s="162" t="n">
        <v>3</v>
      </c>
      <c r="F98" s="162" t="n">
        <v>4</v>
      </c>
      <c r="G98" s="162" t="n">
        <v>5</v>
      </c>
      <c r="H98" s="162" t="n">
        <v>6</v>
      </c>
      <c r="I98" s="162" t="n">
        <v>7</v>
      </c>
      <c r="J98" s="162" t="n">
        <v>8</v>
      </c>
      <c r="K98" s="162" t="n">
        <v>9</v>
      </c>
      <c r="L98" s="162" t="n">
        <v>10</v>
      </c>
      <c r="M98" s="162" t="n">
        <v>11</v>
      </c>
      <c r="N98" s="162" t="n">
        <v>12</v>
      </c>
      <c r="O98" s="162" t="n">
        <v>13</v>
      </c>
      <c r="P98" s="162" t="n">
        <v>14</v>
      </c>
      <c r="Q98" s="162" t="n">
        <v>15</v>
      </c>
      <c r="R98" s="162" t="n">
        <v>16</v>
      </c>
      <c r="S98" s="162" t="n">
        <v>17</v>
      </c>
      <c r="T98" s="162" t="n">
        <v>18</v>
      </c>
      <c r="U98" s="162" t="n">
        <v>19</v>
      </c>
      <c r="V98" s="162" t="n">
        <v>20</v>
      </c>
      <c r="W98" s="162" t="n">
        <v>21</v>
      </c>
      <c r="X98" s="162" t="n">
        <v>22</v>
      </c>
      <c r="Y98" s="162" t="n">
        <v>23</v>
      </c>
      <c r="Z98" s="162" t="n">
        <v>24</v>
      </c>
      <c r="AA98" s="162" t="n">
        <v>25</v>
      </c>
      <c r="AB98" s="162" t="n">
        <v>26</v>
      </c>
      <c r="AC98" s="162" t="n">
        <v>27</v>
      </c>
      <c r="AD98" s="162" t="n">
        <v>28</v>
      </c>
      <c r="AE98" s="162" t="n">
        <v>29</v>
      </c>
      <c r="AF98" s="162" t="n">
        <v>30</v>
      </c>
      <c r="AG98" s="162" t="n">
        <v>31</v>
      </c>
      <c r="AH98" s="162" t="n">
        <v>32</v>
      </c>
      <c r="AI98" s="162" t="n">
        <v>33</v>
      </c>
      <c r="AJ98" s="162" t="n">
        <v>34</v>
      </c>
      <c r="AK98" s="162" t="n">
        <v>35</v>
      </c>
      <c r="AL98" s="162" t="n">
        <v>36</v>
      </c>
      <c r="AM98" s="162" t="n">
        <v>37</v>
      </c>
      <c r="AN98" s="162" t="n">
        <v>38</v>
      </c>
      <c r="AO98" s="162" t="n">
        <v>39</v>
      </c>
      <c r="AP98" s="162" t="n">
        <v>40</v>
      </c>
      <c r="AQ98" s="162" t="n">
        <v>41</v>
      </c>
      <c r="AR98" s="162" t="n">
        <v>42</v>
      </c>
      <c r="AS98" s="162" t="n">
        <v>43</v>
      </c>
      <c r="AT98" s="162" t="n">
        <v>44</v>
      </c>
      <c r="AU98" s="162" t="n">
        <v>45</v>
      </c>
      <c r="AV98" s="162" t="n">
        <v>46</v>
      </c>
      <c r="AW98" s="162" t="n">
        <v>47</v>
      </c>
      <c r="AX98" s="162" t="n">
        <v>48</v>
      </c>
      <c r="AY98" s="162" t="n">
        <v>49</v>
      </c>
      <c r="AZ98" s="162" t="n">
        <v>50</v>
      </c>
      <c r="BA98" s="162" t="n">
        <v>51</v>
      </c>
      <c r="BB98" s="162" t="n">
        <v>52</v>
      </c>
      <c r="BC98" s="162" t="n">
        <v>53</v>
      </c>
      <c r="BD98" s="162" t="n">
        <v>54</v>
      </c>
      <c r="BE98" s="162" t="n">
        <v>55</v>
      </c>
      <c r="BF98" s="162" t="n">
        <v>56</v>
      </c>
      <c r="BG98" s="162" t="n">
        <v>57</v>
      </c>
      <c r="BH98" s="162" t="n">
        <v>58</v>
      </c>
      <c r="BI98" s="162" t="n">
        <v>59</v>
      </c>
      <c r="BJ98" s="162" t="n">
        <v>60</v>
      </c>
      <c r="BK98" s="162" t="n">
        <v>61</v>
      </c>
      <c r="BL98" s="162" t="n">
        <v>62</v>
      </c>
      <c r="BM98" s="162" t="n">
        <v>63</v>
      </c>
      <c r="BN98" s="162" t="n">
        <v>64</v>
      </c>
      <c r="BO98" s="162" t="n">
        <v>65</v>
      </c>
      <c r="BP98" s="162" t="n">
        <v>66</v>
      </c>
      <c r="BQ98" s="162" t="n">
        <v>67</v>
      </c>
      <c r="BR98" s="162" t="n">
        <v>68</v>
      </c>
      <c r="BS98" s="162" t="n">
        <v>69</v>
      </c>
      <c r="BT98" s="162" t="n">
        <v>70</v>
      </c>
      <c r="BU98" s="162" t="n">
        <v>71</v>
      </c>
      <c r="BV98" s="162" t="n">
        <v>72</v>
      </c>
      <c r="BW98" s="162" t="n">
        <v>73</v>
      </c>
      <c r="BX98" s="162" t="n">
        <v>74</v>
      </c>
      <c r="BY98" s="162" t="n">
        <v>75</v>
      </c>
      <c r="BZ98" s="162" t="n">
        <v>76</v>
      </c>
      <c r="CA98" s="162" t="n">
        <v>77</v>
      </c>
      <c r="CB98" s="162" t="n">
        <v>78</v>
      </c>
      <c r="CC98" s="162" t="n">
        <v>79</v>
      </c>
      <c r="CD98" s="162" t="n">
        <v>80</v>
      </c>
      <c r="CE98" s="162" t="n">
        <v>81</v>
      </c>
      <c r="CF98" s="162" t="n">
        <v>82</v>
      </c>
      <c r="CG98" s="162" t="n">
        <v>83</v>
      </c>
      <c r="CH98" s="162" t="n">
        <v>84</v>
      </c>
    </row>
    <row r="99" ht="15" customHeight="1" s="201">
      <c r="A99" s="162" t="inlineStr">
        <is>
          <t>Total Fee Revenue</t>
        </is>
      </c>
      <c r="B99" s="163">
        <f>SUM(C99:CH99)</f>
        <v/>
      </c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4" t="n">
        <v>45050.36</v>
      </c>
      <c r="M99" s="164" t="n">
        <v>45050.36</v>
      </c>
      <c r="N99" s="164" t="n">
        <v>45050.36</v>
      </c>
      <c r="O99" s="164" t="n">
        <v>45050.36</v>
      </c>
      <c r="P99" s="164" t="n">
        <v>45050.36</v>
      </c>
      <c r="Q99" s="164" t="n">
        <v>45050.36</v>
      </c>
      <c r="R99" s="164" t="n">
        <v>70944.52</v>
      </c>
      <c r="S99" s="164" t="n">
        <v>96838.67999999999</v>
      </c>
      <c r="T99" s="164" t="n">
        <v>122732.84</v>
      </c>
      <c r="U99" s="164" t="n">
        <v>148626.99</v>
      </c>
      <c r="V99" s="164" t="n">
        <v>174521.16</v>
      </c>
      <c r="W99" s="164" t="n">
        <v>200415.31</v>
      </c>
      <c r="X99" s="164" t="n">
        <v>226309.46</v>
      </c>
      <c r="Y99" s="164" t="n">
        <v>252203.62</v>
      </c>
      <c r="Z99" s="164" t="n">
        <v>278097.79</v>
      </c>
      <c r="AA99" s="164" t="n">
        <v>303991.94</v>
      </c>
      <c r="AB99" s="164" t="n">
        <v>329886.11</v>
      </c>
      <c r="AC99" s="164" t="n">
        <v>400830.61</v>
      </c>
      <c r="AD99" s="164" t="n">
        <v>311512.01</v>
      </c>
      <c r="AE99" s="164" t="n">
        <v>312294.13</v>
      </c>
      <c r="AF99" s="164" t="n">
        <v>313076.23</v>
      </c>
      <c r="AG99" s="164" t="n">
        <v>313858.34</v>
      </c>
      <c r="AH99" s="164" t="n">
        <v>314640.44</v>
      </c>
      <c r="AI99" s="164" t="n">
        <v>341316.71</v>
      </c>
      <c r="AJ99" s="164" t="n">
        <v>316204.67</v>
      </c>
      <c r="AK99" s="164" t="n">
        <v>291092.62</v>
      </c>
      <c r="AL99" s="164" t="n">
        <v>265980.57</v>
      </c>
      <c r="AM99" s="164" t="n">
        <v>240868.51</v>
      </c>
      <c r="AN99" s="164" t="n">
        <v>215756.47</v>
      </c>
      <c r="AO99" s="164" t="n">
        <v>190644.42</v>
      </c>
      <c r="AP99" s="164" t="n">
        <v>165532.36</v>
      </c>
      <c r="AQ99" s="164" t="n">
        <v>140420.32</v>
      </c>
      <c r="AR99" s="164" t="n">
        <v>115308.27</v>
      </c>
      <c r="AS99" s="164" t="n">
        <v>196095.1</v>
      </c>
      <c r="AT99" s="164" t="n">
        <v>170200.95</v>
      </c>
      <c r="AU99" s="164" t="n">
        <v>119194.75</v>
      </c>
      <c r="AV99" s="164" t="n">
        <v>118412.64</v>
      </c>
      <c r="AW99" s="164" t="n">
        <v>117630.52</v>
      </c>
      <c r="AX99" s="164" t="n">
        <v>116848.42</v>
      </c>
      <c r="AY99" s="164" t="n">
        <v>116066.31</v>
      </c>
      <c r="AZ99" s="164" t="n">
        <v>115284.2</v>
      </c>
      <c r="BA99" s="164" t="n">
        <v>114502.09</v>
      </c>
      <c r="BB99" s="164" t="n">
        <v>113719.98</v>
      </c>
      <c r="BC99" s="164" t="n">
        <v>112937.87</v>
      </c>
      <c r="BD99" s="164" t="n">
        <v>112155.76</v>
      </c>
      <c r="BE99" s="164" t="n">
        <v>111373.65</v>
      </c>
      <c r="BF99" s="164" t="n">
        <v>110591.54</v>
      </c>
      <c r="BG99" s="164" t="n">
        <v>109809.44</v>
      </c>
      <c r="BH99" s="164" t="n">
        <v>109027.32</v>
      </c>
      <c r="BI99" s="164" t="n">
        <v>108245.21</v>
      </c>
      <c r="BJ99" s="164" t="n">
        <v>213361.99</v>
      </c>
      <c r="BK99" s="161" t="n"/>
      <c r="BL99" s="161" t="n"/>
      <c r="BM99" s="161" t="n"/>
      <c r="BN99" s="161" t="n"/>
      <c r="BO99" s="161" t="n"/>
      <c r="BP99" s="161" t="n"/>
      <c r="BQ99" s="161" t="n"/>
      <c r="BR99" s="161" t="n"/>
      <c r="BS99" s="161" t="n"/>
      <c r="BT99" s="161" t="n"/>
      <c r="BU99" s="161" t="n"/>
      <c r="BV99" s="161" t="n"/>
      <c r="BW99" s="161" t="n"/>
      <c r="BX99" s="161" t="n"/>
      <c r="BY99" s="161" t="n"/>
      <c r="BZ99" s="161" t="n"/>
      <c r="CA99" s="161" t="n"/>
      <c r="CB99" s="161" t="n"/>
      <c r="CC99" s="161" t="n"/>
      <c r="CD99" s="161" t="n"/>
      <c r="CE99" s="161" t="n"/>
      <c r="CF99" s="161" t="n"/>
      <c r="CG99" s="161" t="n"/>
      <c r="CH99" s="161" t="n"/>
    </row>
    <row r="100" ht="15" customHeight="1" s="201">
      <c r="A100" s="162" t="inlineStr">
        <is>
          <t>Staffing Cost</t>
        </is>
      </c>
      <c r="B100" s="163">
        <f>SUM(C100:CH100)</f>
        <v/>
      </c>
      <c r="C100" s="161" t="n">
        <v>0</v>
      </c>
      <c r="D100" s="161" t="n">
        <v>0</v>
      </c>
      <c r="E100" s="161" t="n">
        <v>0</v>
      </c>
      <c r="F100" s="161" t="n">
        <v>0</v>
      </c>
      <c r="G100" s="161" t="n">
        <v>0</v>
      </c>
      <c r="H100" s="161" t="n">
        <v>0</v>
      </c>
      <c r="I100" s="161" t="n">
        <v>0</v>
      </c>
      <c r="J100" s="161" t="n">
        <v>0</v>
      </c>
      <c r="K100" s="161" t="n">
        <v>0</v>
      </c>
      <c r="L100" s="164" t="n">
        <v>0</v>
      </c>
      <c r="M100" s="164" t="n">
        <v>-10417</v>
      </c>
      <c r="N100" s="164" t="n">
        <v>-10417</v>
      </c>
      <c r="O100" s="164" t="n">
        <v>-10417</v>
      </c>
      <c r="P100" s="164" t="n">
        <v>-17917</v>
      </c>
      <c r="Q100" s="164" t="n">
        <v>-17917</v>
      </c>
      <c r="R100" s="164" t="n">
        <v>-17917</v>
      </c>
      <c r="S100" s="164" t="n">
        <v>-17917</v>
      </c>
      <c r="T100" s="164" t="n">
        <v>-17917</v>
      </c>
      <c r="U100" s="164" t="n">
        <v>-27084</v>
      </c>
      <c r="V100" s="164" t="n">
        <v>-27084</v>
      </c>
      <c r="W100" s="164" t="n">
        <v>-27084</v>
      </c>
      <c r="X100" s="164" t="n">
        <v>-27084</v>
      </c>
      <c r="Y100" s="164" t="n">
        <v>-27084</v>
      </c>
      <c r="Z100" s="164" t="n">
        <v>-27084</v>
      </c>
      <c r="AA100" s="164" t="n">
        <v>-27084</v>
      </c>
      <c r="AB100" s="164" t="n">
        <v>-27084</v>
      </c>
      <c r="AC100" s="164" t="n">
        <v>-37501</v>
      </c>
      <c r="AD100" s="164" t="n">
        <v>-37501</v>
      </c>
      <c r="AE100" s="164" t="n">
        <v>-37501</v>
      </c>
      <c r="AF100" s="164" t="n">
        <v>-37501</v>
      </c>
      <c r="AG100" s="164" t="n">
        <v>-37501</v>
      </c>
      <c r="AH100" s="164" t="n">
        <v>-37501</v>
      </c>
      <c r="AI100" s="164" t="n">
        <v>-37501</v>
      </c>
      <c r="AJ100" s="164" t="n">
        <v>-37501</v>
      </c>
      <c r="AK100" s="164" t="n">
        <v>-37501</v>
      </c>
      <c r="AL100" s="164" t="n">
        <v>-37501</v>
      </c>
      <c r="AM100" s="164" t="n">
        <v>-37501</v>
      </c>
      <c r="AN100" s="164" t="n">
        <v>-37501</v>
      </c>
      <c r="AO100" s="164" t="n">
        <v>-37501</v>
      </c>
      <c r="AP100" s="164" t="n">
        <v>-37501</v>
      </c>
      <c r="AQ100" s="164" t="n">
        <v>-37501</v>
      </c>
      <c r="AR100" s="164" t="n">
        <v>-37501</v>
      </c>
      <c r="AS100" s="164" t="n">
        <v>-37501</v>
      </c>
      <c r="AT100" s="164" t="n">
        <v>-37501</v>
      </c>
      <c r="AU100" s="164" t="n">
        <v>-37501</v>
      </c>
      <c r="AV100" s="164" t="n">
        <v>-37501</v>
      </c>
      <c r="AW100" s="164" t="n">
        <v>-37501</v>
      </c>
      <c r="AX100" s="164" t="n">
        <v>-37501</v>
      </c>
      <c r="AY100" s="164" t="n">
        <v>-37501</v>
      </c>
      <c r="AZ100" s="164" t="n">
        <v>-37501</v>
      </c>
      <c r="BA100" s="164" t="n">
        <v>-37501</v>
      </c>
      <c r="BB100" s="164" t="n">
        <v>-37501</v>
      </c>
      <c r="BC100" s="164" t="n">
        <v>-37501</v>
      </c>
      <c r="BD100" s="164" t="n">
        <v>-37501</v>
      </c>
      <c r="BE100" s="164" t="n">
        <v>-37501</v>
      </c>
      <c r="BF100" s="164" t="n">
        <v>-37501</v>
      </c>
      <c r="BG100" s="164" t="n">
        <v>-37501</v>
      </c>
      <c r="BH100" s="161" t="n">
        <v>0</v>
      </c>
      <c r="BI100" s="161" t="n">
        <v>0</v>
      </c>
      <c r="BJ100" s="161" t="n">
        <v>0</v>
      </c>
      <c r="BK100" s="161" t="n">
        <v>0</v>
      </c>
      <c r="BL100" s="161" t="n">
        <v>0</v>
      </c>
      <c r="BM100" s="161" t="n">
        <v>0</v>
      </c>
      <c r="BN100" s="161" t="n">
        <v>0</v>
      </c>
      <c r="BO100" s="161" t="n">
        <v>0</v>
      </c>
      <c r="BP100" s="161" t="n">
        <v>0</v>
      </c>
      <c r="BQ100" s="161" t="n">
        <v>0</v>
      </c>
      <c r="BR100" s="161" t="n">
        <v>0</v>
      </c>
      <c r="BS100" s="161" t="n">
        <v>0</v>
      </c>
      <c r="BT100" s="161" t="n">
        <v>0</v>
      </c>
      <c r="BU100" s="161" t="n">
        <v>0</v>
      </c>
      <c r="BV100" s="161" t="n">
        <v>0</v>
      </c>
      <c r="BW100" s="161" t="n">
        <v>0</v>
      </c>
      <c r="BX100" s="161" t="n">
        <v>0</v>
      </c>
      <c r="BY100" s="161" t="n">
        <v>0</v>
      </c>
      <c r="BZ100" s="161" t="n">
        <v>0</v>
      </c>
      <c r="CA100" s="161" t="n">
        <v>0</v>
      </c>
      <c r="CB100" s="161" t="n">
        <v>0</v>
      </c>
      <c r="CC100" s="161" t="n">
        <v>0</v>
      </c>
      <c r="CD100" s="161" t="n">
        <v>0</v>
      </c>
      <c r="CE100" s="161" t="n">
        <v>0</v>
      </c>
      <c r="CF100" s="161" t="n">
        <v>0</v>
      </c>
      <c r="CG100" s="161" t="n">
        <v>0</v>
      </c>
      <c r="CH100" s="161" t="n"/>
    </row>
    <row r="101" ht="15" customHeight="1" s="201">
      <c r="A101" s="162" t="inlineStr">
        <is>
          <t>Other OpEx</t>
        </is>
      </c>
      <c r="B101" s="163">
        <f>SUM(C101:CH101)</f>
        <v/>
      </c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4" t="n">
        <v>-9500</v>
      </c>
      <c r="M101" s="164" t="n">
        <v>-9500</v>
      </c>
      <c r="N101" s="164" t="n">
        <v>-9500</v>
      </c>
      <c r="O101" s="164" t="n">
        <v>-9500</v>
      </c>
      <c r="P101" s="164" t="n">
        <v>-9500</v>
      </c>
      <c r="Q101" s="164" t="n">
        <v>-9500</v>
      </c>
      <c r="R101" s="164" t="n">
        <v>-9500</v>
      </c>
      <c r="S101" s="164" t="n">
        <v>-9500</v>
      </c>
      <c r="T101" s="164" t="n">
        <v>-9500</v>
      </c>
      <c r="U101" s="164" t="n">
        <v>-9500</v>
      </c>
      <c r="V101" s="164" t="n">
        <v>-9500</v>
      </c>
      <c r="W101" s="164" t="n">
        <v>-9500</v>
      </c>
      <c r="X101" s="164" t="n">
        <v>-9500</v>
      </c>
      <c r="Y101" s="164" t="n">
        <v>-9500</v>
      </c>
      <c r="Z101" s="164" t="n">
        <v>-9500</v>
      </c>
      <c r="AA101" s="164" t="n">
        <v>-9500</v>
      </c>
      <c r="AB101" s="164" t="n">
        <v>-9500</v>
      </c>
      <c r="AC101" s="164" t="n">
        <v>-9500</v>
      </c>
      <c r="AD101" s="164" t="n">
        <v>-9500</v>
      </c>
      <c r="AE101" s="164" t="n">
        <v>-9500</v>
      </c>
      <c r="AF101" s="164" t="n">
        <v>-9500</v>
      </c>
      <c r="AG101" s="164" t="n">
        <v>-9500</v>
      </c>
      <c r="AH101" s="164" t="n">
        <v>-9500</v>
      </c>
      <c r="AI101" s="164" t="n">
        <v>-9500</v>
      </c>
      <c r="AJ101" s="164" t="n">
        <v>-9500</v>
      </c>
      <c r="AK101" s="164" t="n">
        <v>-9500</v>
      </c>
      <c r="AL101" s="164" t="n">
        <v>-9500</v>
      </c>
      <c r="AM101" s="164" t="n">
        <v>-9500</v>
      </c>
      <c r="AN101" s="164" t="n">
        <v>-9500</v>
      </c>
      <c r="AO101" s="164" t="n">
        <v>-9500</v>
      </c>
      <c r="AP101" s="164" t="n">
        <v>-9500</v>
      </c>
      <c r="AQ101" s="164" t="n">
        <v>-9500</v>
      </c>
      <c r="AR101" s="164" t="n">
        <v>-9500</v>
      </c>
      <c r="AS101" s="164" t="n">
        <v>-9500</v>
      </c>
      <c r="AT101" s="164" t="n">
        <v>-9500</v>
      </c>
      <c r="AU101" s="164" t="n">
        <v>-9500</v>
      </c>
      <c r="AV101" s="164" t="n">
        <v>-9500</v>
      </c>
      <c r="AW101" s="164" t="n">
        <v>-9500</v>
      </c>
      <c r="AX101" s="164" t="n">
        <v>-9500</v>
      </c>
      <c r="AY101" s="164" t="n">
        <v>-9500</v>
      </c>
      <c r="AZ101" s="164" t="n">
        <v>-9500</v>
      </c>
      <c r="BA101" s="164" t="n">
        <v>-9500</v>
      </c>
      <c r="BB101" s="164" t="n">
        <v>-9500</v>
      </c>
      <c r="BC101" s="164" t="n">
        <v>-9500</v>
      </c>
      <c r="BD101" s="164" t="n">
        <v>-9500</v>
      </c>
      <c r="BE101" s="164" t="n">
        <v>-9500</v>
      </c>
      <c r="BF101" s="164" t="n">
        <v>-9500</v>
      </c>
      <c r="BG101" s="164" t="n">
        <v>-9500</v>
      </c>
      <c r="BH101" s="161" t="n"/>
      <c r="BI101" s="161" t="n"/>
      <c r="BJ101" s="161" t="n"/>
      <c r="BK101" s="161" t="n"/>
      <c r="BL101" s="161" t="n"/>
      <c r="BM101" s="161" t="n"/>
      <c r="BN101" s="161" t="n"/>
      <c r="BO101" s="161" t="n"/>
      <c r="BP101" s="161" t="n"/>
      <c r="BQ101" s="161" t="n"/>
      <c r="BR101" s="161" t="n"/>
      <c r="BS101" s="161" t="n"/>
      <c r="BT101" s="161" t="n"/>
      <c r="BU101" s="161" t="n"/>
      <c r="BV101" s="161" t="n"/>
      <c r="BW101" s="161" t="n"/>
      <c r="BX101" s="161" t="n"/>
      <c r="BY101" s="161" t="n"/>
      <c r="BZ101" s="161" t="n"/>
      <c r="CA101" s="161" t="n"/>
      <c r="CB101" s="161" t="n"/>
      <c r="CC101" s="161" t="n"/>
      <c r="CD101" s="161" t="n"/>
      <c r="CE101" s="161" t="n"/>
      <c r="CF101" s="161" t="n"/>
      <c r="CG101" s="161" t="n"/>
      <c r="CH101" s="161" t="n"/>
    </row>
    <row r="102" ht="15" customHeight="1" s="201">
      <c r="A102" s="162" t="inlineStr">
        <is>
          <t>Net Fee Income</t>
        </is>
      </c>
      <c r="B102" s="163">
        <f>SUM(C102:CH102)</f>
        <v/>
      </c>
      <c r="C102" s="165">
        <f>C99+C100+C101</f>
        <v/>
      </c>
      <c r="D102" s="165">
        <f>D99+D100+D101</f>
        <v/>
      </c>
      <c r="E102" s="165">
        <f>E99+E100+E101</f>
        <v/>
      </c>
      <c r="F102" s="165">
        <f>F99+F100+F101</f>
        <v/>
      </c>
      <c r="G102" s="165">
        <f>G99+G100+G101</f>
        <v/>
      </c>
      <c r="H102" s="165">
        <f>H99+H100+H101</f>
        <v/>
      </c>
      <c r="I102" s="165">
        <f>I99+I100+I101</f>
        <v/>
      </c>
      <c r="J102" s="165">
        <f>J99+J100+J101</f>
        <v/>
      </c>
      <c r="K102" s="165">
        <f>K99+K100+K101</f>
        <v/>
      </c>
      <c r="L102" s="165">
        <f>L99+L100+L101</f>
        <v/>
      </c>
      <c r="M102" s="165">
        <f>M99+M100+M101</f>
        <v/>
      </c>
      <c r="N102" s="165">
        <f>N99+N100+N101</f>
        <v/>
      </c>
      <c r="O102" s="165">
        <f>O99+O100+O101</f>
        <v/>
      </c>
      <c r="P102" s="165">
        <f>P99+P100+P101</f>
        <v/>
      </c>
      <c r="Q102" s="165">
        <f>Q99+Q100+Q101</f>
        <v/>
      </c>
      <c r="R102" s="165">
        <f>R99+R100+R101</f>
        <v/>
      </c>
      <c r="S102" s="165">
        <f>S99+S100+S101</f>
        <v/>
      </c>
      <c r="T102" s="165">
        <f>T99+T100+T101</f>
        <v/>
      </c>
      <c r="U102" s="165">
        <f>U99+U100+U101</f>
        <v/>
      </c>
      <c r="V102" s="165">
        <f>V99+V100+V101</f>
        <v/>
      </c>
      <c r="W102" s="165">
        <f>W99+W100+W101</f>
        <v/>
      </c>
      <c r="X102" s="165">
        <f>X99+X100+X101</f>
        <v/>
      </c>
      <c r="Y102" s="165">
        <f>Y99+Y100+Y101</f>
        <v/>
      </c>
      <c r="Z102" s="165">
        <f>Z99+Z100+Z101</f>
        <v/>
      </c>
      <c r="AA102" s="165">
        <f>AA99+AA100+AA101</f>
        <v/>
      </c>
      <c r="AB102" s="165">
        <f>AB99+AB100+AB101</f>
        <v/>
      </c>
      <c r="AC102" s="165">
        <f>AC99+AC100+AC101</f>
        <v/>
      </c>
      <c r="AD102" s="165">
        <f>AD99+AD100+AD101</f>
        <v/>
      </c>
      <c r="AE102" s="165">
        <f>AE99+AE100+AE101</f>
        <v/>
      </c>
      <c r="AF102" s="165">
        <f>AF99+AF100+AF101</f>
        <v/>
      </c>
      <c r="AG102" s="165">
        <f>AG99+AG100+AG101</f>
        <v/>
      </c>
      <c r="AH102" s="165">
        <f>AH99+AH100+AH101</f>
        <v/>
      </c>
      <c r="AI102" s="165">
        <f>AI99+AI100+AI101</f>
        <v/>
      </c>
      <c r="AJ102" s="165">
        <f>AJ99+AJ100+AJ101</f>
        <v/>
      </c>
      <c r="AK102" s="165">
        <f>AK99+AK100+AK101</f>
        <v/>
      </c>
      <c r="AL102" s="165">
        <f>AL99+AL100+AL101</f>
        <v/>
      </c>
      <c r="AM102" s="165">
        <f>AM99+AM100+AM101</f>
        <v/>
      </c>
      <c r="AN102" s="165">
        <f>AN99+AN100+AN101</f>
        <v/>
      </c>
      <c r="AO102" s="165">
        <f>AO99+AO100+AO101</f>
        <v/>
      </c>
      <c r="AP102" s="165">
        <f>AP99+AP100+AP101</f>
        <v/>
      </c>
      <c r="AQ102" s="165">
        <f>AQ99+AQ100+AQ101</f>
        <v/>
      </c>
      <c r="AR102" s="165">
        <f>AR99+AR100+AR101</f>
        <v/>
      </c>
      <c r="AS102" s="165">
        <f>AS99+AS100+AS101</f>
        <v/>
      </c>
      <c r="AT102" s="165">
        <f>AT99+AT100+AT101</f>
        <v/>
      </c>
      <c r="AU102" s="165">
        <f>AU99+AU100+AU101</f>
        <v/>
      </c>
      <c r="AV102" s="165">
        <f>AV99+AV100+AV101</f>
        <v/>
      </c>
      <c r="AW102" s="165">
        <f>AW99+AW100+AW101</f>
        <v/>
      </c>
      <c r="AX102" s="165">
        <f>AX99+AX100+AX101</f>
        <v/>
      </c>
      <c r="AY102" s="165">
        <f>AY99+AY100+AY101</f>
        <v/>
      </c>
      <c r="AZ102" s="165">
        <f>AZ99+AZ100+AZ101</f>
        <v/>
      </c>
      <c r="BA102" s="165">
        <f>BA99+BA100+BA101</f>
        <v/>
      </c>
      <c r="BB102" s="165">
        <f>BB99+BB100+BB101</f>
        <v/>
      </c>
      <c r="BC102" s="165">
        <f>BC99+BC100+BC101</f>
        <v/>
      </c>
      <c r="BD102" s="165">
        <f>BD99+BD100+BD101</f>
        <v/>
      </c>
      <c r="BE102" s="165">
        <f>BE99+BE100+BE101</f>
        <v/>
      </c>
      <c r="BF102" s="165">
        <f>BF99+BF100+BF101</f>
        <v/>
      </c>
      <c r="BG102" s="165">
        <f>BG99+BG100+BG101</f>
        <v/>
      </c>
      <c r="BH102" s="165">
        <f>BH99+BH100+BH101</f>
        <v/>
      </c>
      <c r="BI102" s="165">
        <f>BI99+BI100+BI101</f>
        <v/>
      </c>
      <c r="BJ102" s="165">
        <f>BJ99+BJ100+BJ101</f>
        <v/>
      </c>
      <c r="BK102" s="165">
        <f>BK99+BK100+BK101</f>
        <v/>
      </c>
      <c r="BL102" s="165">
        <f>BL99+BL100+BL101</f>
        <v/>
      </c>
      <c r="BM102" s="165">
        <f>BM99+BM100+BM101</f>
        <v/>
      </c>
      <c r="BN102" s="165">
        <f>BN99+BN100+BN101</f>
        <v/>
      </c>
      <c r="BO102" s="165">
        <f>BO99+BO100+BO101</f>
        <v/>
      </c>
      <c r="BP102" s="165">
        <f>BP99+BP100+BP101</f>
        <v/>
      </c>
      <c r="BQ102" s="165">
        <f>BQ99+BQ100+BQ101</f>
        <v/>
      </c>
      <c r="BR102" s="165">
        <f>BR99+BR100+BR101</f>
        <v/>
      </c>
      <c r="BS102" s="165">
        <f>BS99+BS100+BS101</f>
        <v/>
      </c>
      <c r="BT102" s="165">
        <f>BT99+BT100+BT101</f>
        <v/>
      </c>
      <c r="BU102" s="165">
        <f>BU99+BU100+BU101</f>
        <v/>
      </c>
      <c r="BV102" s="165">
        <f>BV99+BV100+BV101</f>
        <v/>
      </c>
      <c r="BW102" s="165">
        <f>BW99+BW100+BW101</f>
        <v/>
      </c>
      <c r="BX102" s="165">
        <f>BX99+BX100+BX101</f>
        <v/>
      </c>
      <c r="BY102" s="165">
        <f>BY99+BY100+BY101</f>
        <v/>
      </c>
      <c r="BZ102" s="165">
        <f>BZ99+BZ100+BZ101</f>
        <v/>
      </c>
      <c r="CA102" s="165">
        <f>CA99+CA100+CA101</f>
        <v/>
      </c>
      <c r="CB102" s="165">
        <f>CB99+CB100+CB101</f>
        <v/>
      </c>
      <c r="CC102" s="165">
        <f>CC99+CC100+CC101</f>
        <v/>
      </c>
      <c r="CD102" s="165">
        <f>CD99+CD100+CD101</f>
        <v/>
      </c>
      <c r="CE102" s="165">
        <f>CE99+CE100+CE101</f>
        <v/>
      </c>
      <c r="CF102" s="165">
        <f>CF99+CF100+CF101</f>
        <v/>
      </c>
      <c r="CG102" s="165">
        <f>CG99+CG100+CG101</f>
        <v/>
      </c>
      <c r="CH102" s="165">
        <f>CH99+CH100+CH101</f>
        <v/>
      </c>
    </row>
    <row r="103" ht="15" customHeight="1" s="201">
      <c r="A103" s="162" t="inlineStr">
        <is>
          <t>SP Overhead Fee (to Six Peak)</t>
        </is>
      </c>
      <c r="B103" s="163">
        <f>SUM(C103:CH103)</f>
        <v/>
      </c>
      <c r="C103" s="165">
        <f>C99*$B$94</f>
        <v/>
      </c>
      <c r="D103" s="165">
        <f>D99*$B$94</f>
        <v/>
      </c>
      <c r="E103" s="165">
        <f>E99*$B$94</f>
        <v/>
      </c>
      <c r="F103" s="165">
        <f>F99*$B$94</f>
        <v/>
      </c>
      <c r="G103" s="165">
        <f>G99*$B$94</f>
        <v/>
      </c>
      <c r="H103" s="165">
        <f>H99*$B$94</f>
        <v/>
      </c>
      <c r="I103" s="165">
        <f>I99*$B$94</f>
        <v/>
      </c>
      <c r="J103" s="165">
        <f>J99*$B$94</f>
        <v/>
      </c>
      <c r="K103" s="165">
        <f>K99*$B$94</f>
        <v/>
      </c>
      <c r="L103" s="165">
        <f>MIN(L99*$B$94,12500)</f>
        <v/>
      </c>
      <c r="M103" s="165">
        <f>MIN(M99*$B$94,12500)</f>
        <v/>
      </c>
      <c r="N103" s="165">
        <f>MIN(N99*$B$94,12500)</f>
        <v/>
      </c>
      <c r="O103" s="165">
        <f>MIN(O99*$B$94,12500)</f>
        <v/>
      </c>
      <c r="P103" s="165">
        <f>MIN(P99*$B$94,12500)</f>
        <v/>
      </c>
      <c r="Q103" s="165">
        <f>MIN(Q99*$B$94,12500)</f>
        <v/>
      </c>
      <c r="R103" s="165">
        <f>MIN(R99*$B$94,12500)</f>
        <v/>
      </c>
      <c r="S103" s="165">
        <f>MIN(S99*$B$94,12500)</f>
        <v/>
      </c>
      <c r="T103" s="165">
        <f>MIN(T99*$B$94,12500)</f>
        <v/>
      </c>
      <c r="U103" s="165">
        <f>MIN(U99*$B$94,12500)</f>
        <v/>
      </c>
      <c r="V103" s="165">
        <f>MIN(V99*$B$94,12500)</f>
        <v/>
      </c>
      <c r="W103" s="165">
        <f>MIN(W99*$B$94,12500)</f>
        <v/>
      </c>
      <c r="X103" s="165">
        <f>MIN(X99*$B$94,12500)</f>
        <v/>
      </c>
      <c r="Y103" s="165">
        <f>MIN(Y99*$B$94,12500)</f>
        <v/>
      </c>
      <c r="Z103" s="165">
        <f>MIN(Z99*$B$94,12500)</f>
        <v/>
      </c>
      <c r="AA103" s="165">
        <f>MIN(AA99*$B$94,12500)</f>
        <v/>
      </c>
      <c r="AB103" s="165">
        <f>MIN(AB99*$B$94,12500)</f>
        <v/>
      </c>
      <c r="AC103" s="165">
        <f>MIN(AC99*$B$94,12500)</f>
        <v/>
      </c>
      <c r="AD103" s="165">
        <f>MIN(AD99*$B$94,12500)</f>
        <v/>
      </c>
      <c r="AE103" s="165">
        <f>MIN(AE99*$B$94,12500)</f>
        <v/>
      </c>
      <c r="AF103" s="165">
        <f>MIN(AF99*$B$94,12500)</f>
        <v/>
      </c>
      <c r="AG103" s="165">
        <f>MIN(AG99*$B$94,12500)</f>
        <v/>
      </c>
      <c r="AH103" s="165">
        <f>MIN(AH99*$B$94,12500)</f>
        <v/>
      </c>
      <c r="AI103" s="165">
        <f>MIN(AI99*$B$94,12500)</f>
        <v/>
      </c>
      <c r="AJ103" s="165">
        <f>MIN(AJ99*$B$94,12500)</f>
        <v/>
      </c>
      <c r="AK103" s="165">
        <f>MIN(AK99*$B$94,12500)</f>
        <v/>
      </c>
      <c r="AL103" s="165">
        <f>MIN(AL99*$B$94,12500)</f>
        <v/>
      </c>
      <c r="AM103" s="165">
        <f>MIN(AM99*$B$94,12500)</f>
        <v/>
      </c>
      <c r="AN103" s="165">
        <f>MIN(AN99*$B$94,12500)</f>
        <v/>
      </c>
      <c r="AO103" s="165">
        <f>MIN(AO99*$B$94,12500)</f>
        <v/>
      </c>
      <c r="AP103" s="165">
        <f>MIN(AP99*$B$94,12500)</f>
        <v/>
      </c>
      <c r="AQ103" s="165">
        <f>MIN(AQ99*$B$94,12500)</f>
        <v/>
      </c>
      <c r="AR103" s="165">
        <f>MIN(AR99*$B$94,12500)</f>
        <v/>
      </c>
      <c r="AS103" s="165">
        <f>MIN(AS99*$B$94,12500)</f>
        <v/>
      </c>
      <c r="AT103" s="165">
        <f>MIN(AT99*$B$94,12500)</f>
        <v/>
      </c>
      <c r="AU103" s="165">
        <f>MIN(AU99*$B$94,12500)</f>
        <v/>
      </c>
      <c r="AV103" s="165">
        <f>MIN(AV99*$B$94,12500)</f>
        <v/>
      </c>
      <c r="AW103" s="165">
        <f>MIN(AW99*$B$94,12500)</f>
        <v/>
      </c>
      <c r="AX103" s="165">
        <f>MIN(AX99*$B$94,12500)</f>
        <v/>
      </c>
      <c r="AY103" s="165">
        <f>MIN(AY99*$B$94,12500)</f>
        <v/>
      </c>
      <c r="AZ103" s="165">
        <f>MIN(AZ99*$B$94,12500)</f>
        <v/>
      </c>
      <c r="BA103" s="165">
        <f>MIN(BA99*$B$94,12500)</f>
        <v/>
      </c>
      <c r="BB103" s="165">
        <f>MIN(BB99*$B$94,12500)</f>
        <v/>
      </c>
      <c r="BC103" s="165">
        <f>MIN(BC99*$B$94,12500)</f>
        <v/>
      </c>
      <c r="BD103" s="165">
        <f>MIN(BD99*$B$94,12500)</f>
        <v/>
      </c>
      <c r="BE103" s="165">
        <f>MIN(BE99*$B$94,12500)</f>
        <v/>
      </c>
      <c r="BF103" s="165">
        <f>MIN(BF99*$B$94,12500)</f>
        <v/>
      </c>
      <c r="BG103" s="165">
        <f>MIN(BG99*$B$94,12500)</f>
        <v/>
      </c>
      <c r="BH103" s="165">
        <f>MIN(BH99*$B$94,12500)</f>
        <v/>
      </c>
      <c r="BI103" s="165">
        <f>MIN(BI99*$B$94,12500)</f>
        <v/>
      </c>
      <c r="BJ103" s="165">
        <f>MIN(BJ99*$B$94,12500)</f>
        <v/>
      </c>
      <c r="BK103" s="165">
        <f>MIN(BK99*$B$94,12500)</f>
        <v/>
      </c>
      <c r="BL103" s="165">
        <f>MIN(BL99*$B$94,12500)</f>
        <v/>
      </c>
      <c r="BM103" s="165">
        <f>MIN(BM99*$B$94,12500)</f>
        <v/>
      </c>
      <c r="BN103" s="165">
        <f>MIN(BN99*$B$94,12500)</f>
        <v/>
      </c>
      <c r="BO103" s="165">
        <f>MIN(BO99*$B$94,12500)</f>
        <v/>
      </c>
      <c r="BP103" s="165">
        <f>MIN(BP99*$B$94,12500)</f>
        <v/>
      </c>
      <c r="BQ103" s="165">
        <f>MIN(BQ99*$B$94,12500)</f>
        <v/>
      </c>
      <c r="BR103" s="165">
        <f>MIN(BR99*$B$94,12500)</f>
        <v/>
      </c>
      <c r="BS103" s="165">
        <f>MIN(BS99*$B$94,12500)</f>
        <v/>
      </c>
      <c r="BT103" s="165">
        <f>MIN(BT99*$B$94,12500)</f>
        <v/>
      </c>
      <c r="BU103" s="165">
        <f>MIN(BU99*$B$94,12500)</f>
        <v/>
      </c>
      <c r="BV103" s="165">
        <f>MIN(BV99*$B$94,12500)</f>
        <v/>
      </c>
      <c r="BW103" s="165">
        <f>MIN(BW99*$B$94,12500)</f>
        <v/>
      </c>
      <c r="BX103" s="165">
        <f>MIN(BX99*$B$94,12500)</f>
        <v/>
      </c>
      <c r="BY103" s="165">
        <f>MIN(BY99*$B$94,12500)</f>
        <v/>
      </c>
      <c r="BZ103" s="165">
        <f>MIN(BZ99*$B$94,12500)</f>
        <v/>
      </c>
      <c r="CA103" s="165">
        <f>MIN(CA99*$B$94,12500)</f>
        <v/>
      </c>
      <c r="CB103" s="165">
        <f>MIN(CB99*$B$94,12500)</f>
        <v/>
      </c>
      <c r="CC103" s="165">
        <f>MIN(CC99*$B$94,12500)</f>
        <v/>
      </c>
      <c r="CD103" s="165">
        <f>MIN(CD99*$B$94,12500)</f>
        <v/>
      </c>
      <c r="CE103" s="165">
        <f>MIN(CE99*$B$94,12500)</f>
        <v/>
      </c>
      <c r="CF103" s="165">
        <f>MIN(CF99*$B$94,12500)</f>
        <v/>
      </c>
      <c r="CG103" s="165">
        <f>MIN(CG99*$B$94,12500)</f>
        <v/>
      </c>
      <c r="CH103" s="165">
        <f>CH99*$B$94</f>
        <v/>
      </c>
    </row>
    <row r="104" ht="15" customHeight="1" s="201">
      <c r="A104" s="162" t="inlineStr">
        <is>
          <t>Net Before Bonus</t>
        </is>
      </c>
      <c r="B104" s="163">
        <f>SUM(C104:CH104)</f>
        <v/>
      </c>
      <c r="C104" s="165">
        <f>C102-C103</f>
        <v/>
      </c>
      <c r="D104" s="165">
        <f>D102-D103</f>
        <v/>
      </c>
      <c r="E104" s="165">
        <f>E102-E103</f>
        <v/>
      </c>
      <c r="F104" s="165">
        <f>F102-F103</f>
        <v/>
      </c>
      <c r="G104" s="165">
        <f>G102-G103</f>
        <v/>
      </c>
      <c r="H104" s="165">
        <f>H102-H103</f>
        <v/>
      </c>
      <c r="I104" s="165">
        <f>I102-I103</f>
        <v/>
      </c>
      <c r="J104" s="165">
        <f>J102-J103</f>
        <v/>
      </c>
      <c r="K104" s="165">
        <f>K102-K103</f>
        <v/>
      </c>
      <c r="L104" s="165">
        <f>L102-L103</f>
        <v/>
      </c>
      <c r="M104" s="165">
        <f>M102-M103</f>
        <v/>
      </c>
      <c r="N104" s="165">
        <f>N102-N103</f>
        <v/>
      </c>
      <c r="O104" s="165">
        <f>O102-O103</f>
        <v/>
      </c>
      <c r="P104" s="165">
        <f>P102-P103</f>
        <v/>
      </c>
      <c r="Q104" s="165">
        <f>Q102-Q103</f>
        <v/>
      </c>
      <c r="R104" s="165">
        <f>R102-R103</f>
        <v/>
      </c>
      <c r="S104" s="165">
        <f>S102-S103</f>
        <v/>
      </c>
      <c r="T104" s="165">
        <f>T102-T103</f>
        <v/>
      </c>
      <c r="U104" s="165">
        <f>U102-U103</f>
        <v/>
      </c>
      <c r="V104" s="165">
        <f>V102-V103</f>
        <v/>
      </c>
      <c r="W104" s="165">
        <f>W102-W103</f>
        <v/>
      </c>
      <c r="X104" s="165">
        <f>X102-X103</f>
        <v/>
      </c>
      <c r="Y104" s="165">
        <f>Y102-Y103</f>
        <v/>
      </c>
      <c r="Z104" s="165">
        <f>Z102-Z103</f>
        <v/>
      </c>
      <c r="AA104" s="165">
        <f>AA102-AA103</f>
        <v/>
      </c>
      <c r="AB104" s="165">
        <f>AB102-AB103</f>
        <v/>
      </c>
      <c r="AC104" s="165">
        <f>AC102-AC103</f>
        <v/>
      </c>
      <c r="AD104" s="165">
        <f>AD102-AD103</f>
        <v/>
      </c>
      <c r="AE104" s="165">
        <f>AE102-AE103</f>
        <v/>
      </c>
      <c r="AF104" s="165">
        <f>AF102-AF103</f>
        <v/>
      </c>
      <c r="AG104" s="165">
        <f>AG102-AG103</f>
        <v/>
      </c>
      <c r="AH104" s="165">
        <f>AH102-AH103</f>
        <v/>
      </c>
      <c r="AI104" s="165">
        <f>AI102-AI103</f>
        <v/>
      </c>
      <c r="AJ104" s="165">
        <f>AJ102-AJ103</f>
        <v/>
      </c>
      <c r="AK104" s="165">
        <f>AK102-AK103</f>
        <v/>
      </c>
      <c r="AL104" s="165">
        <f>AL102-AL103</f>
        <v/>
      </c>
      <c r="AM104" s="165">
        <f>AM102-AM103</f>
        <v/>
      </c>
      <c r="AN104" s="165">
        <f>AN102-AN103</f>
        <v/>
      </c>
      <c r="AO104" s="165">
        <f>AO102-AO103</f>
        <v/>
      </c>
      <c r="AP104" s="165">
        <f>AP102-AP103</f>
        <v/>
      </c>
      <c r="AQ104" s="165">
        <f>AQ102-AQ103</f>
        <v/>
      </c>
      <c r="AR104" s="165">
        <f>AR102-AR103</f>
        <v/>
      </c>
      <c r="AS104" s="165">
        <f>AS102-AS103</f>
        <v/>
      </c>
      <c r="AT104" s="165">
        <f>AT102-AT103</f>
        <v/>
      </c>
      <c r="AU104" s="165">
        <f>AU102-AU103</f>
        <v/>
      </c>
      <c r="AV104" s="165">
        <f>AV102-AV103</f>
        <v/>
      </c>
      <c r="AW104" s="165">
        <f>AW102-AW103</f>
        <v/>
      </c>
      <c r="AX104" s="165">
        <f>AX102-AX103</f>
        <v/>
      </c>
      <c r="AY104" s="165">
        <f>AY102-AY103</f>
        <v/>
      </c>
      <c r="AZ104" s="165">
        <f>AZ102-AZ103</f>
        <v/>
      </c>
      <c r="BA104" s="165">
        <f>BA102-BA103</f>
        <v/>
      </c>
      <c r="BB104" s="165">
        <f>BB102-BB103</f>
        <v/>
      </c>
      <c r="BC104" s="165">
        <f>BC102-BC103</f>
        <v/>
      </c>
      <c r="BD104" s="165">
        <f>BD102-BD103</f>
        <v/>
      </c>
      <c r="BE104" s="165">
        <f>BE102-BE103</f>
        <v/>
      </c>
      <c r="BF104" s="165">
        <f>BF102-BF103</f>
        <v/>
      </c>
      <c r="BG104" s="165">
        <f>BG102-BG103</f>
        <v/>
      </c>
      <c r="BH104" s="165">
        <f>BH102-BH103</f>
        <v/>
      </c>
      <c r="BI104" s="165">
        <f>BI102-BI103</f>
        <v/>
      </c>
      <c r="BJ104" s="165">
        <f>BJ102-BJ103</f>
        <v/>
      </c>
      <c r="BK104" s="165">
        <f>BK102-BK103</f>
        <v/>
      </c>
      <c r="BL104" s="165">
        <f>BL102-BL103</f>
        <v/>
      </c>
      <c r="BM104" s="165">
        <f>BM102-BM103</f>
        <v/>
      </c>
      <c r="BN104" s="165">
        <f>BN102-BN103</f>
        <v/>
      </c>
      <c r="BO104" s="165">
        <f>BO102-BO103</f>
        <v/>
      </c>
      <c r="BP104" s="165">
        <f>BP102-BP103</f>
        <v/>
      </c>
      <c r="BQ104" s="165">
        <f>BQ102-BQ103</f>
        <v/>
      </c>
      <c r="BR104" s="165">
        <f>BR102-BR103</f>
        <v/>
      </c>
      <c r="BS104" s="165">
        <f>BS102-BS103</f>
        <v/>
      </c>
      <c r="BT104" s="165">
        <f>BT102-BT103</f>
        <v/>
      </c>
      <c r="BU104" s="165">
        <f>BU102-BU103</f>
        <v/>
      </c>
      <c r="BV104" s="165">
        <f>BV102-BV103</f>
        <v/>
      </c>
      <c r="BW104" s="165">
        <f>BW102-BW103</f>
        <v/>
      </c>
      <c r="BX104" s="165">
        <f>BX102-BX103</f>
        <v/>
      </c>
      <c r="BY104" s="165">
        <f>BY102-BY103</f>
        <v/>
      </c>
      <c r="BZ104" s="165">
        <f>BZ102-BZ103</f>
        <v/>
      </c>
      <c r="CA104" s="165">
        <f>CA102-CA103</f>
        <v/>
      </c>
      <c r="CB104" s="165">
        <f>CB102-CB103</f>
        <v/>
      </c>
      <c r="CC104" s="165">
        <f>CC102-CC103</f>
        <v/>
      </c>
      <c r="CD104" s="165">
        <f>CD102-CD103</f>
        <v/>
      </c>
      <c r="CE104" s="165">
        <f>CE102-CE103</f>
        <v/>
      </c>
      <c r="CF104" s="165">
        <f>CF102-CF103</f>
        <v/>
      </c>
      <c r="CG104" s="165">
        <f>CG102-CG103</f>
        <v/>
      </c>
      <c r="CH104" s="165">
        <f>CH102-CH103</f>
        <v/>
      </c>
    </row>
    <row r="105" ht="15" customHeight="1" s="201">
      <c r="A105" s="162" t="inlineStr">
        <is>
          <t>Schuyler Bonus (40/45/50%)</t>
        </is>
      </c>
      <c r="B105" s="163">
        <f>SUM(C105:CH105)</f>
        <v/>
      </c>
      <c r="C105" s="165" t="n">
        <v>0</v>
      </c>
      <c r="D105" s="165" t="n">
        <v>0</v>
      </c>
      <c r="E105" s="165" t="n">
        <v>0</v>
      </c>
      <c r="F105" s="165" t="n">
        <v>0</v>
      </c>
      <c r="G105" s="165" t="n">
        <v>0</v>
      </c>
      <c r="H105" s="165" t="n">
        <v>0</v>
      </c>
      <c r="I105" s="165" t="n">
        <v>0</v>
      </c>
      <c r="J105" s="165" t="n">
        <v>0</v>
      </c>
      <c r="K105" s="165" t="n">
        <v>0</v>
      </c>
      <c r="L105" s="165">
        <f>MAX(0,L104)*0.4</f>
        <v/>
      </c>
      <c r="M105" s="165">
        <f>MAX(0,M104)*0.4</f>
        <v/>
      </c>
      <c r="N105" s="165">
        <f>MAX(0,N104)*0.4</f>
        <v/>
      </c>
      <c r="O105" s="165">
        <f>MAX(0,O104)*0.4</f>
        <v/>
      </c>
      <c r="P105" s="165">
        <f>MAX(0,P104)*0.4</f>
        <v/>
      </c>
      <c r="Q105" s="165">
        <f>MAX(0,Q104)*0.4</f>
        <v/>
      </c>
      <c r="R105" s="165">
        <f>MAX(0,R104)*0.4</f>
        <v/>
      </c>
      <c r="S105" s="165">
        <f>MAX(0,S104)*0.4</f>
        <v/>
      </c>
      <c r="T105" s="165">
        <f>MAX(0,T104)*0.4</f>
        <v/>
      </c>
      <c r="U105" s="165">
        <f>MAX(0,U104)*0.4</f>
        <v/>
      </c>
      <c r="V105" s="165">
        <f>MAX(0,V104)*0.4</f>
        <v/>
      </c>
      <c r="W105" s="165">
        <f>MAX(0,W104)*0.4</f>
        <v/>
      </c>
      <c r="X105" s="165">
        <f>MAX(0,X104)*0.4</f>
        <v/>
      </c>
      <c r="Y105" s="165">
        <f>MAX(0,Y104)*0.4</f>
        <v/>
      </c>
      <c r="Z105" s="165">
        <f>MAX(0,Z104)*0.4</f>
        <v/>
      </c>
      <c r="AA105" s="165">
        <f>MAX(0,AA104)*0.45</f>
        <v/>
      </c>
      <c r="AB105" s="165">
        <f>MAX(0,AB104)*0.45</f>
        <v/>
      </c>
      <c r="AC105" s="165">
        <f>MAX(0,AC104)*0.45</f>
        <v/>
      </c>
      <c r="AD105" s="165">
        <f>MAX(0,AD104)*0.45</f>
        <v/>
      </c>
      <c r="AE105" s="165">
        <f>MAX(0,AE104)*0.45</f>
        <v/>
      </c>
      <c r="AF105" s="165">
        <f>MAX(0,AF104)*0.45</f>
        <v/>
      </c>
      <c r="AG105" s="165">
        <f>MAX(0,AG104)*0.45</f>
        <v/>
      </c>
      <c r="AH105" s="165">
        <f>MAX(0,AH104)*0.45</f>
        <v/>
      </c>
      <c r="AI105" s="165">
        <f>MAX(0,AI104)*0.45</f>
        <v/>
      </c>
      <c r="AJ105" s="165">
        <f>MAX(0,AJ104)*0.45</f>
        <v/>
      </c>
      <c r="AK105" s="165">
        <f>MAX(0,AK104)*0.45</f>
        <v/>
      </c>
      <c r="AL105" s="165">
        <f>MAX(0,AL104)*0.45</f>
        <v/>
      </c>
      <c r="AM105" s="165">
        <f>MAX(0,AM104)*0.45</f>
        <v/>
      </c>
      <c r="AN105" s="165">
        <f>MAX(0,AN104)*0.5</f>
        <v/>
      </c>
      <c r="AO105" s="165">
        <f>MAX(0,AO104)*0.5</f>
        <v/>
      </c>
      <c r="AP105" s="165">
        <f>MAX(0,AP104)*0.5</f>
        <v/>
      </c>
      <c r="AQ105" s="165">
        <f>MAX(0,AQ104)*0.5</f>
        <v/>
      </c>
      <c r="AR105" s="165">
        <f>MAX(0,AR104)*0.5</f>
        <v/>
      </c>
      <c r="AS105" s="165">
        <f>MAX(0,AS104)*0.5</f>
        <v/>
      </c>
      <c r="AT105" s="165">
        <f>MAX(0,AT104)*0.5</f>
        <v/>
      </c>
      <c r="AU105" s="165">
        <f>MAX(0,AU104)*0.5</f>
        <v/>
      </c>
      <c r="AV105" s="165">
        <f>MAX(0,AV104)*0.5</f>
        <v/>
      </c>
      <c r="AW105" s="165">
        <f>MAX(0,AW104)*0.5</f>
        <v/>
      </c>
      <c r="AX105" s="165">
        <f>MAX(0,AX104)*0.5</f>
        <v/>
      </c>
      <c r="AY105" s="165">
        <f>MAX(0,AY104)*0.5</f>
        <v/>
      </c>
      <c r="AZ105" s="165">
        <f>MAX(0,AZ104)*0.5</f>
        <v/>
      </c>
      <c r="BA105" s="165">
        <f>MAX(0,BA104)*0.5</f>
        <v/>
      </c>
      <c r="BB105" s="165">
        <f>MAX(0,BB104)*0.5</f>
        <v/>
      </c>
      <c r="BC105" s="165">
        <f>MAX(0,BC104)*0.5</f>
        <v/>
      </c>
      <c r="BD105" s="165">
        <f>MAX(0,BD104)*0.5</f>
        <v/>
      </c>
      <c r="BE105" s="165">
        <f>MAX(0,BE104)*0.5</f>
        <v/>
      </c>
      <c r="BF105" s="165">
        <f>MAX(0,BF104)*0.5</f>
        <v/>
      </c>
      <c r="BG105" s="165">
        <f>MAX(0,BG104)*0.5</f>
        <v/>
      </c>
      <c r="BH105" s="165">
        <f>MAX(0,BH104)*0.5</f>
        <v/>
      </c>
      <c r="BI105" s="165">
        <f>MAX(0,BI104)*0.5</f>
        <v/>
      </c>
      <c r="BJ105" s="165">
        <f>MAX(0,BJ104)*0.5</f>
        <v/>
      </c>
      <c r="BK105" s="165">
        <f>MAX(0,BK104)*0.5</f>
        <v/>
      </c>
      <c r="BL105" s="165">
        <f>MAX(0,BL104)*0.5</f>
        <v/>
      </c>
      <c r="BM105" s="165">
        <f>MAX(0,BM104)*0.5</f>
        <v/>
      </c>
      <c r="BN105" s="165">
        <f>MAX(0,BN104)*0.5</f>
        <v/>
      </c>
      <c r="BO105" s="165">
        <f>MAX(0,BO104)*0.5</f>
        <v/>
      </c>
      <c r="BP105" s="165">
        <f>MAX(0,BP104)*0.5</f>
        <v/>
      </c>
      <c r="BQ105" s="165">
        <f>MAX(0,BQ104)*0.5</f>
        <v/>
      </c>
      <c r="BR105" s="165">
        <f>MAX(0,BR104)*0.5</f>
        <v/>
      </c>
      <c r="BS105" s="165">
        <f>MAX(0,BS104)*0.5</f>
        <v/>
      </c>
      <c r="BT105" s="165">
        <f>MAX(0,BT104)*0.5</f>
        <v/>
      </c>
      <c r="BU105" s="165">
        <f>MAX(0,BU104)*0.5</f>
        <v/>
      </c>
      <c r="BV105" s="165">
        <f>MAX(0,BV104)*0.5</f>
        <v/>
      </c>
      <c r="BW105" s="165">
        <f>MAX(0,BW104)*0.5</f>
        <v/>
      </c>
      <c r="BX105" s="165">
        <f>MAX(0,BX104)*0.5</f>
        <v/>
      </c>
      <c r="BY105" s="165">
        <f>MAX(0,BY104)*0.5</f>
        <v/>
      </c>
      <c r="BZ105" s="165">
        <f>MAX(0,BZ104)*0.5</f>
        <v/>
      </c>
      <c r="CA105" s="165">
        <f>MAX(0,CA104)*0.5</f>
        <v/>
      </c>
      <c r="CB105" s="165">
        <f>MAX(0,CB104)*0.5</f>
        <v/>
      </c>
      <c r="CC105" s="165">
        <f>MAX(0,CC104)*0.5</f>
        <v/>
      </c>
      <c r="CD105" s="165">
        <f>MAX(0,CD104)*0.5</f>
        <v/>
      </c>
      <c r="CE105" s="165">
        <f>MAX(0,CE104)*0.5</f>
        <v/>
      </c>
      <c r="CF105" s="165">
        <f>MAX(0,CF104)*0.5</f>
        <v/>
      </c>
      <c r="CG105" s="165">
        <f>MAX(0,CG104)*0.5</f>
        <v/>
      </c>
      <c r="CH105" s="165">
        <f>MAX(0,CH104)*$B$95</f>
        <v/>
      </c>
    </row>
    <row r="106" ht="15" customHeight="1" s="201">
      <c r="A106" s="162" t="inlineStr">
        <is>
          <t>NI After Bonus (to Six Peak)</t>
        </is>
      </c>
      <c r="B106" s="163">
        <f>B104-B105</f>
        <v/>
      </c>
      <c r="C106" s="165">
        <f>C104-C105</f>
        <v/>
      </c>
      <c r="D106" s="165">
        <f>D104-D105</f>
        <v/>
      </c>
      <c r="E106" s="165">
        <f>E104-E105</f>
        <v/>
      </c>
      <c r="F106" s="165">
        <f>F104-F105</f>
        <v/>
      </c>
      <c r="G106" s="165">
        <f>G104-G105</f>
        <v/>
      </c>
      <c r="H106" s="165">
        <f>H104-H105</f>
        <v/>
      </c>
      <c r="I106" s="165">
        <f>I104-I105</f>
        <v/>
      </c>
      <c r="J106" s="165">
        <f>J104-J105</f>
        <v/>
      </c>
      <c r="K106" s="165">
        <f>K104-K105</f>
        <v/>
      </c>
      <c r="L106" s="165">
        <f>L104-L105</f>
        <v/>
      </c>
      <c r="M106" s="165">
        <f>M104-M105</f>
        <v/>
      </c>
      <c r="N106" s="165">
        <f>N104-N105</f>
        <v/>
      </c>
      <c r="O106" s="165">
        <f>O104-O105</f>
        <v/>
      </c>
      <c r="P106" s="165">
        <f>P104-P105</f>
        <v/>
      </c>
      <c r="Q106" s="165">
        <f>Q104-Q105</f>
        <v/>
      </c>
      <c r="R106" s="165">
        <f>R104-R105</f>
        <v/>
      </c>
      <c r="S106" s="165">
        <f>S104-S105</f>
        <v/>
      </c>
      <c r="T106" s="165">
        <f>T104-T105</f>
        <v/>
      </c>
      <c r="U106" s="165">
        <f>U104-U105</f>
        <v/>
      </c>
      <c r="V106" s="165">
        <f>V104-V105</f>
        <v/>
      </c>
      <c r="W106" s="165">
        <f>W104-W105</f>
        <v/>
      </c>
      <c r="X106" s="165">
        <f>X104-X105</f>
        <v/>
      </c>
      <c r="Y106" s="165">
        <f>Y104-Y105</f>
        <v/>
      </c>
      <c r="Z106" s="165">
        <f>Z104-Z105</f>
        <v/>
      </c>
      <c r="AA106" s="165">
        <f>AA104-AA105</f>
        <v/>
      </c>
      <c r="AB106" s="165">
        <f>AB104-AB105</f>
        <v/>
      </c>
      <c r="AC106" s="165">
        <f>AC104-AC105</f>
        <v/>
      </c>
      <c r="AD106" s="165">
        <f>AD104-AD105</f>
        <v/>
      </c>
      <c r="AE106" s="165">
        <f>AE104-AE105</f>
        <v/>
      </c>
      <c r="AF106" s="165">
        <f>AF104-AF105</f>
        <v/>
      </c>
      <c r="AG106" s="165">
        <f>AG104-AG105</f>
        <v/>
      </c>
      <c r="AH106" s="165">
        <f>AH104-AH105</f>
        <v/>
      </c>
      <c r="AI106" s="165">
        <f>AI104-AI105</f>
        <v/>
      </c>
      <c r="AJ106" s="165">
        <f>AJ104-AJ105</f>
        <v/>
      </c>
      <c r="AK106" s="165">
        <f>AK104-AK105</f>
        <v/>
      </c>
      <c r="AL106" s="165">
        <f>AL104-AL105</f>
        <v/>
      </c>
      <c r="AM106" s="165">
        <f>AM104-AM105</f>
        <v/>
      </c>
      <c r="AN106" s="165">
        <f>AN104-AN105</f>
        <v/>
      </c>
      <c r="AO106" s="165">
        <f>AO104-AO105</f>
        <v/>
      </c>
      <c r="AP106" s="165">
        <f>AP104-AP105</f>
        <v/>
      </c>
      <c r="AQ106" s="165">
        <f>AQ104-AQ105</f>
        <v/>
      </c>
      <c r="AR106" s="165">
        <f>AR104-AR105</f>
        <v/>
      </c>
      <c r="AS106" s="165">
        <f>AS104-AS105</f>
        <v/>
      </c>
      <c r="AT106" s="165">
        <f>AT104-AT105</f>
        <v/>
      </c>
      <c r="AU106" s="165">
        <f>AU104-AU105</f>
        <v/>
      </c>
      <c r="AV106" s="165">
        <f>AV104-AV105</f>
        <v/>
      </c>
      <c r="AW106" s="165">
        <f>AW104-AW105</f>
        <v/>
      </c>
      <c r="AX106" s="165">
        <f>AX104-AX105</f>
        <v/>
      </c>
      <c r="AY106" s="165">
        <f>AY104-AY105</f>
        <v/>
      </c>
      <c r="AZ106" s="165">
        <f>AZ104-AZ105</f>
        <v/>
      </c>
      <c r="BA106" s="165">
        <f>BA104-BA105</f>
        <v/>
      </c>
      <c r="BB106" s="165">
        <f>BB104-BB105</f>
        <v/>
      </c>
      <c r="BC106" s="165">
        <f>BC104-BC105</f>
        <v/>
      </c>
      <c r="BD106" s="165">
        <f>BD104-BD105</f>
        <v/>
      </c>
      <c r="BE106" s="165">
        <f>BE104-BE105</f>
        <v/>
      </c>
      <c r="BF106" s="165">
        <f>BF104-BF105</f>
        <v/>
      </c>
      <c r="BG106" s="165">
        <f>BG104-BG105</f>
        <v/>
      </c>
      <c r="BH106" s="165">
        <f>BH104-BH105</f>
        <v/>
      </c>
      <c r="BI106" s="165">
        <f>BI104-BI105</f>
        <v/>
      </c>
      <c r="BJ106" s="165">
        <f>BJ104-BJ105</f>
        <v/>
      </c>
      <c r="BK106" s="165">
        <f>BK104-BK105</f>
        <v/>
      </c>
      <c r="BL106" s="165">
        <f>BL104-BL105</f>
        <v/>
      </c>
      <c r="BM106" s="165">
        <f>BM104-BM105</f>
        <v/>
      </c>
      <c r="BN106" s="165">
        <f>BN104-BN105</f>
        <v/>
      </c>
      <c r="BO106" s="165">
        <f>BO104-BO105</f>
        <v/>
      </c>
      <c r="BP106" s="165">
        <f>BP104-BP105</f>
        <v/>
      </c>
      <c r="BQ106" s="165">
        <f>BQ104-BQ105</f>
        <v/>
      </c>
      <c r="BR106" s="165">
        <f>BR104-BR105</f>
        <v/>
      </c>
      <c r="BS106" s="165">
        <f>BS104-BS105</f>
        <v/>
      </c>
      <c r="BT106" s="165">
        <f>BT104-BT105</f>
        <v/>
      </c>
      <c r="BU106" s="165">
        <f>BU104-BU105</f>
        <v/>
      </c>
      <c r="BV106" s="165">
        <f>BV104-BV105</f>
        <v/>
      </c>
      <c r="BW106" s="165">
        <f>BW104-BW105</f>
        <v/>
      </c>
      <c r="BX106" s="165">
        <f>BX104-BX105</f>
        <v/>
      </c>
      <c r="BY106" s="165">
        <f>BY104-BY105</f>
        <v/>
      </c>
      <c r="BZ106" s="165">
        <f>BZ104-BZ105</f>
        <v/>
      </c>
      <c r="CA106" s="165">
        <f>CA104-CA105</f>
        <v/>
      </c>
      <c r="CB106" s="165">
        <f>CB104-CB105</f>
        <v/>
      </c>
      <c r="CC106" s="165">
        <f>CC104-CC105</f>
        <v/>
      </c>
      <c r="CD106" s="165">
        <f>CD104-CD105</f>
        <v/>
      </c>
      <c r="CE106" s="165">
        <f>CE104-CE105</f>
        <v/>
      </c>
      <c r="CF106" s="165">
        <f>CF104-CF105</f>
        <v/>
      </c>
      <c r="CG106" s="165">
        <f>CG104-CG105</f>
        <v/>
      </c>
      <c r="CH106" s="165">
        <f>CH104-CH105</f>
        <v/>
      </c>
    </row>
    <row r="107" ht="15" customHeight="1" s="201">
      <c r="A107" s="162" t="inlineStr">
        <is>
          <t>Total to Six Peak</t>
        </is>
      </c>
      <c r="B107" s="163">
        <f>B103+B106</f>
        <v/>
      </c>
      <c r="C107" s="165">
        <f>C103+C106</f>
        <v/>
      </c>
      <c r="D107" s="165">
        <f>D103+D106</f>
        <v/>
      </c>
      <c r="E107" s="165">
        <f>E103+E106</f>
        <v/>
      </c>
      <c r="F107" s="165">
        <f>F103+F106</f>
        <v/>
      </c>
      <c r="G107" s="165">
        <f>G103+G106</f>
        <v/>
      </c>
      <c r="H107" s="165">
        <f>H103+H106</f>
        <v/>
      </c>
      <c r="I107" s="165">
        <f>I103+I106</f>
        <v/>
      </c>
      <c r="J107" s="165">
        <f>J103+J106</f>
        <v/>
      </c>
      <c r="K107" s="165">
        <f>K103+K106</f>
        <v/>
      </c>
      <c r="L107" s="165">
        <f>L103+L106</f>
        <v/>
      </c>
      <c r="M107" s="165">
        <f>M103+M106</f>
        <v/>
      </c>
      <c r="N107" s="165">
        <f>N103+N106</f>
        <v/>
      </c>
      <c r="O107" s="165">
        <f>O103+O106</f>
        <v/>
      </c>
      <c r="P107" s="165">
        <f>P103+P106</f>
        <v/>
      </c>
      <c r="Q107" s="165">
        <f>Q103+Q106</f>
        <v/>
      </c>
      <c r="R107" s="165">
        <f>R103+R106</f>
        <v/>
      </c>
      <c r="S107" s="165">
        <f>S103+S106</f>
        <v/>
      </c>
      <c r="T107" s="165">
        <f>T103+T106</f>
        <v/>
      </c>
      <c r="U107" s="165">
        <f>U103+U106</f>
        <v/>
      </c>
      <c r="V107" s="165">
        <f>V103+V106</f>
        <v/>
      </c>
      <c r="W107" s="165">
        <f>W103+W106</f>
        <v/>
      </c>
      <c r="X107" s="165">
        <f>X103+X106</f>
        <v/>
      </c>
      <c r="Y107" s="165">
        <f>Y103+Y106</f>
        <v/>
      </c>
      <c r="Z107" s="165">
        <f>Z103+Z106</f>
        <v/>
      </c>
      <c r="AA107" s="165">
        <f>AA103+AA106</f>
        <v/>
      </c>
      <c r="AB107" s="165">
        <f>AB103+AB106</f>
        <v/>
      </c>
      <c r="AC107" s="165">
        <f>AC103+AC106</f>
        <v/>
      </c>
      <c r="AD107" s="165">
        <f>AD103+AD106</f>
        <v/>
      </c>
      <c r="AE107" s="165">
        <f>AE103+AE106</f>
        <v/>
      </c>
      <c r="AF107" s="165">
        <f>AF103+AF106</f>
        <v/>
      </c>
      <c r="AG107" s="165">
        <f>AG103+AG106</f>
        <v/>
      </c>
      <c r="AH107" s="165">
        <f>AH103+AH106</f>
        <v/>
      </c>
      <c r="AI107" s="165">
        <f>AI103+AI106</f>
        <v/>
      </c>
      <c r="AJ107" s="165">
        <f>AJ103+AJ106</f>
        <v/>
      </c>
      <c r="AK107" s="165">
        <f>AK103+AK106</f>
        <v/>
      </c>
      <c r="AL107" s="165">
        <f>AL103+AL106</f>
        <v/>
      </c>
      <c r="AM107" s="165">
        <f>AM103+AM106</f>
        <v/>
      </c>
      <c r="AN107" s="165">
        <f>AN103+AN106</f>
        <v/>
      </c>
      <c r="AO107" s="165">
        <f>AO103+AO106</f>
        <v/>
      </c>
      <c r="AP107" s="165">
        <f>AP103+AP106</f>
        <v/>
      </c>
      <c r="AQ107" s="165">
        <f>AQ103+AQ106</f>
        <v/>
      </c>
      <c r="AR107" s="165">
        <f>AR103+AR106</f>
        <v/>
      </c>
      <c r="AS107" s="165">
        <f>AS103+AS106</f>
        <v/>
      </c>
      <c r="AT107" s="165">
        <f>AT103+AT106</f>
        <v/>
      </c>
      <c r="AU107" s="165">
        <f>AU103+AU106</f>
        <v/>
      </c>
      <c r="AV107" s="165">
        <f>AV103+AV106</f>
        <v/>
      </c>
      <c r="AW107" s="165">
        <f>AW103+AW106</f>
        <v/>
      </c>
      <c r="AX107" s="165">
        <f>AX103+AX106</f>
        <v/>
      </c>
      <c r="AY107" s="165">
        <f>AY103+AY106</f>
        <v/>
      </c>
      <c r="AZ107" s="165">
        <f>AZ103+AZ106</f>
        <v/>
      </c>
      <c r="BA107" s="165">
        <f>BA103+BA106</f>
        <v/>
      </c>
      <c r="BB107" s="165">
        <f>BB103+BB106</f>
        <v/>
      </c>
      <c r="BC107" s="165">
        <f>BC103+BC106</f>
        <v/>
      </c>
      <c r="BD107" s="165">
        <f>BD103+BD106</f>
        <v/>
      </c>
      <c r="BE107" s="165">
        <f>BE103+BE106</f>
        <v/>
      </c>
      <c r="BF107" s="165">
        <f>BF103+BF106</f>
        <v/>
      </c>
      <c r="BG107" s="165">
        <f>BG103+BG106</f>
        <v/>
      </c>
      <c r="BH107" s="165">
        <f>BH103+BH106</f>
        <v/>
      </c>
      <c r="BI107" s="165">
        <f>BI103+BI106</f>
        <v/>
      </c>
      <c r="BJ107" s="165">
        <f>BJ103+BJ106</f>
        <v/>
      </c>
      <c r="BK107" s="165">
        <f>BK103+BK106</f>
        <v/>
      </c>
      <c r="BL107" s="165">
        <f>BL103+BL106</f>
        <v/>
      </c>
      <c r="BM107" s="165">
        <f>BM103+BM106</f>
        <v/>
      </c>
      <c r="BN107" s="165">
        <f>BN103+BN106</f>
        <v/>
      </c>
      <c r="BO107" s="165">
        <f>BO103+BO106</f>
        <v/>
      </c>
      <c r="BP107" s="165">
        <f>BP103+BP106</f>
        <v/>
      </c>
      <c r="BQ107" s="165">
        <f>BQ103+BQ106</f>
        <v/>
      </c>
      <c r="BR107" s="165">
        <f>BR103+BR106</f>
        <v/>
      </c>
      <c r="BS107" s="165">
        <f>BS103+BS106</f>
        <v/>
      </c>
      <c r="BT107" s="165">
        <f>BT103+BT106</f>
        <v/>
      </c>
      <c r="BU107" s="165">
        <f>BU103+BU106</f>
        <v/>
      </c>
      <c r="BV107" s="165">
        <f>BV103+BV106</f>
        <v/>
      </c>
      <c r="BW107" s="165">
        <f>BW103+BW106</f>
        <v/>
      </c>
      <c r="BX107" s="165">
        <f>BX103+BX106</f>
        <v/>
      </c>
      <c r="BY107" s="165">
        <f>BY103+BY106</f>
        <v/>
      </c>
      <c r="BZ107" s="165">
        <f>BZ103+BZ106</f>
        <v/>
      </c>
      <c r="CA107" s="165">
        <f>CA103+CA106</f>
        <v/>
      </c>
      <c r="CB107" s="165">
        <f>CB103+CB106</f>
        <v/>
      </c>
      <c r="CC107" s="165">
        <f>CC103+CC106</f>
        <v/>
      </c>
      <c r="CD107" s="165">
        <f>CD103+CD106</f>
        <v/>
      </c>
      <c r="CE107" s="165">
        <f>CE103+CE106</f>
        <v/>
      </c>
      <c r="CF107" s="165">
        <f>CF103+CF106</f>
        <v/>
      </c>
      <c r="CG107" s="165">
        <f>CG103+CG106</f>
        <v/>
      </c>
      <c r="CH107" s="165">
        <f>CH103+CH106</f>
        <v/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C78:G78"/>
    <mergeCell ref="B83:G83"/>
    <mergeCell ref="B88:G88"/>
    <mergeCell ref="C75:G75"/>
    <mergeCell ref="C74:G74"/>
    <mergeCell ref="B86:G86"/>
    <mergeCell ref="B82:G82"/>
    <mergeCell ref="B87:G87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2C3A51"/>
    <outlinePr summaryBelow="1" summaryRight="1"/>
    <pageSetUpPr/>
  </sheetPr>
  <dimension ref="A1:CH4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" sqref="A1"/>
    </sheetView>
  </sheetViews>
  <sheetFormatPr baseColWidth="8" defaultColWidth="8.7109375" defaultRowHeight="15" customHeight="1"/>
  <cols>
    <col width="30" customWidth="1" style="201" min="1" max="1"/>
    <col width="16" customWidth="1" style="201" min="2" max="4"/>
    <col width="12" customWidth="1" style="201" min="5" max="86"/>
  </cols>
  <sheetData>
    <row r="1" ht="15.75" customHeight="1" s="201">
      <c r="A1" s="166" t="inlineStr">
        <is>
          <t>Project P&amp;L — Development Fee Income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  <c r="T1" s="107" t="n"/>
      <c r="U1" s="107" t="n"/>
      <c r="V1" s="107" t="n"/>
      <c r="W1" s="107" t="n"/>
      <c r="X1" s="107" t="n"/>
      <c r="Y1" s="107" t="n"/>
      <c r="Z1" s="107" t="n"/>
      <c r="AA1" s="107" t="n"/>
      <c r="AB1" s="107" t="n"/>
      <c r="AC1" s="107" t="n"/>
      <c r="AD1" s="107" t="n"/>
      <c r="AE1" s="107" t="n"/>
      <c r="AF1" s="107" t="n"/>
      <c r="AG1" s="107" t="n"/>
      <c r="AH1" s="107" t="n"/>
      <c r="AI1" s="107" t="n"/>
      <c r="AJ1" s="107" t="n"/>
      <c r="AK1" s="107" t="n"/>
      <c r="AL1" s="107" t="n"/>
      <c r="AM1" s="107" t="n"/>
      <c r="AN1" s="107" t="n"/>
      <c r="AO1" s="107" t="n"/>
      <c r="AP1" s="107" t="n"/>
      <c r="AQ1" s="107" t="n"/>
      <c r="AR1" s="107" t="n"/>
      <c r="AS1" s="107" t="n"/>
      <c r="AT1" s="107" t="n"/>
      <c r="AU1" s="107" t="n"/>
      <c r="AV1" s="107" t="n"/>
      <c r="AW1" s="107" t="n"/>
      <c r="AX1" s="107" t="n"/>
      <c r="AY1" s="107" t="n"/>
      <c r="AZ1" s="107" t="n"/>
      <c r="BA1" s="107" t="n"/>
      <c r="BB1" s="107" t="n"/>
      <c r="BC1" s="107" t="n"/>
      <c r="BD1" s="107" t="n"/>
      <c r="BE1" s="107" t="n"/>
      <c r="BF1" s="107" t="n"/>
      <c r="BG1" s="107" t="n"/>
      <c r="BH1" s="107" t="n"/>
      <c r="BI1" s="107" t="n"/>
      <c r="BJ1" s="107" t="n"/>
      <c r="BK1" s="107" t="n"/>
      <c r="BL1" s="107" t="n"/>
      <c r="BM1" s="107" t="n"/>
      <c r="BN1" s="107" t="n"/>
      <c r="BO1" s="107" t="n"/>
      <c r="BP1" s="107" t="n"/>
      <c r="BQ1" s="107" t="n"/>
      <c r="BR1" s="107" t="n"/>
      <c r="BS1" s="107" t="n"/>
      <c r="BT1" s="107" t="n"/>
      <c r="BU1" s="107" t="n"/>
      <c r="BV1" s="107" t="n"/>
      <c r="BW1" s="107" t="n"/>
      <c r="BX1" s="107" t="n"/>
      <c r="BY1" s="107" t="n"/>
      <c r="BZ1" s="107" t="n"/>
      <c r="CA1" s="107" t="n"/>
      <c r="CB1" s="107" t="n"/>
      <c r="CC1" s="107" t="n"/>
      <c r="CD1" s="107" t="n"/>
      <c r="CE1" s="107" t="n"/>
      <c r="CF1" s="107" t="n"/>
      <c r="CG1" s="107" t="n"/>
      <c r="CH1" s="107" t="n"/>
    </row>
    <row r="2" ht="15" customHeight="1" s="201">
      <c r="A2" s="107" t="n"/>
      <c r="B2" s="107" t="n"/>
      <c r="C2" s="167" t="n"/>
      <c r="D2" s="167" t="n"/>
      <c r="E2" s="167" t="n"/>
      <c r="F2" s="167" t="n"/>
      <c r="G2" s="167" t="n"/>
      <c r="H2" s="167" t="n"/>
      <c r="I2" s="167" t="n"/>
      <c r="J2" s="167" t="n"/>
      <c r="K2" s="167" t="n"/>
      <c r="L2" s="167" t="n"/>
      <c r="M2" s="167" t="n"/>
      <c r="N2" s="167" t="n"/>
      <c r="O2" s="167" t="n"/>
      <c r="P2" s="167" t="n"/>
      <c r="Q2" s="167" t="n"/>
      <c r="R2" s="167" t="n"/>
      <c r="S2" s="167" t="n"/>
      <c r="T2" s="167" t="n"/>
      <c r="U2" s="167" t="n"/>
      <c r="V2" s="167" t="n"/>
      <c r="W2" s="167" t="n"/>
      <c r="X2" s="167" t="n"/>
      <c r="Y2" s="167" t="n"/>
      <c r="Z2" s="167" t="n"/>
      <c r="AA2" s="167" t="n"/>
      <c r="AB2" s="167" t="n"/>
      <c r="AC2" s="167" t="n"/>
      <c r="AD2" s="167" t="n"/>
      <c r="AE2" s="167" t="n"/>
      <c r="AF2" s="167" t="n"/>
      <c r="AG2" s="167" t="n"/>
      <c r="AH2" s="167" t="n"/>
      <c r="AI2" s="167" t="n"/>
      <c r="AJ2" s="167" t="n"/>
      <c r="AK2" s="167" t="n"/>
      <c r="AL2" s="167" t="n"/>
      <c r="AM2" s="167" t="n"/>
      <c r="AN2" s="167" t="n"/>
      <c r="AO2" s="167" t="n"/>
      <c r="AP2" s="167" t="n"/>
      <c r="AQ2" s="167" t="n"/>
      <c r="AR2" s="167" t="n"/>
      <c r="AS2" s="167" t="n"/>
      <c r="AT2" s="167" t="n"/>
      <c r="AU2" s="167" t="n"/>
      <c r="AV2" s="167" t="n"/>
      <c r="AW2" s="167" t="n"/>
      <c r="AX2" s="167" t="n"/>
      <c r="AY2" s="167" t="n"/>
      <c r="AZ2" s="167" t="n"/>
      <c r="BA2" s="167" t="n"/>
      <c r="BB2" s="167" t="n"/>
      <c r="BC2" s="167" t="n"/>
      <c r="BD2" s="167" t="n"/>
      <c r="BE2" s="167" t="n"/>
      <c r="BF2" s="167" t="n"/>
      <c r="BG2" s="167" t="n"/>
      <c r="BH2" s="167" t="n"/>
      <c r="BI2" s="167" t="n"/>
      <c r="BJ2" s="167" t="n"/>
      <c r="BK2" s="167" t="n"/>
      <c r="BL2" s="167" t="n"/>
      <c r="BM2" s="167" t="n"/>
      <c r="BN2" s="167" t="n"/>
      <c r="BO2" s="167" t="n"/>
      <c r="BP2" s="167" t="n"/>
      <c r="BQ2" s="167" t="n"/>
      <c r="BR2" s="167" t="n"/>
      <c r="BS2" s="167" t="n"/>
      <c r="BT2" s="167" t="n"/>
      <c r="BU2" s="167" t="n"/>
      <c r="BV2" s="167" t="n"/>
      <c r="BW2" s="167" t="n"/>
      <c r="BX2" s="167" t="n"/>
      <c r="BY2" s="167" t="n"/>
      <c r="BZ2" s="167" t="n"/>
      <c r="CA2" s="167" t="n"/>
      <c r="CB2" s="167" t="n"/>
      <c r="CC2" s="167" t="n"/>
      <c r="CD2" s="167" t="n"/>
      <c r="CE2" s="167" t="n"/>
      <c r="CF2" s="167" t="n"/>
      <c r="CG2" s="167" t="n"/>
      <c r="CH2" s="167" t="n"/>
    </row>
    <row r="3" ht="15" customHeight="1" s="201">
      <c r="A3" s="168" t="n"/>
      <c r="B3" s="169" t="inlineStr">
        <is>
          <t>In-Model</t>
        </is>
      </c>
      <c r="C3" s="169" t="inlineStr">
        <is>
          <t>Post-Model</t>
        </is>
      </c>
      <c r="D3" s="169" t="inlineStr">
        <is>
          <t>Lifetime Total</t>
        </is>
      </c>
      <c r="E3" s="107" t="n"/>
      <c r="F3" s="107" t="n"/>
      <c r="G3" s="107" t="n"/>
      <c r="H3" s="107" t="n"/>
      <c r="I3" s="107" t="n"/>
      <c r="J3" s="107" t="n"/>
      <c r="K3" s="107" t="n"/>
      <c r="L3" s="107" t="n"/>
      <c r="M3" s="107" t="n"/>
      <c r="N3" s="107" t="n"/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  <c r="AD3" s="107" t="n"/>
      <c r="AE3" s="107" t="n"/>
      <c r="AF3" s="107" t="n"/>
      <c r="AG3" s="107" t="n"/>
      <c r="AH3" s="107" t="n"/>
      <c r="AI3" s="107" t="n"/>
      <c r="AJ3" s="107" t="n"/>
      <c r="AK3" s="107" t="n"/>
      <c r="AL3" s="107" t="n"/>
      <c r="AM3" s="107" t="n"/>
      <c r="AN3" s="107" t="n"/>
      <c r="AO3" s="107" t="n"/>
      <c r="AP3" s="107" t="n"/>
      <c r="AQ3" s="107" t="n"/>
      <c r="AR3" s="107" t="n"/>
      <c r="AS3" s="107" t="n"/>
      <c r="AT3" s="107" t="n"/>
      <c r="AU3" s="107" t="n"/>
      <c r="AV3" s="107" t="n"/>
      <c r="AW3" s="107" t="n"/>
      <c r="AX3" s="107" t="n"/>
      <c r="AY3" s="107" t="n"/>
      <c r="AZ3" s="107" t="n"/>
      <c r="BA3" s="107" t="n"/>
      <c r="BB3" s="107" t="n"/>
      <c r="BC3" s="107" t="n"/>
      <c r="BD3" s="107" t="n"/>
      <c r="BE3" s="107" t="n"/>
      <c r="BF3" s="107" t="n"/>
      <c r="BG3" s="107" t="n"/>
      <c r="BH3" s="107" t="n"/>
      <c r="BI3" s="107" t="n"/>
      <c r="BJ3" s="107" t="n"/>
      <c r="BK3" s="107" t="n"/>
      <c r="BL3" s="107" t="n"/>
      <c r="BM3" s="107" t="n"/>
      <c r="BN3" s="107" t="n"/>
      <c r="BO3" s="107" t="n"/>
      <c r="BP3" s="107" t="n"/>
      <c r="BQ3" s="107" t="n"/>
      <c r="BR3" s="107" t="n"/>
      <c r="BS3" s="107" t="n"/>
      <c r="BT3" s="107" t="n"/>
      <c r="BU3" s="107" t="n"/>
      <c r="BV3" s="107" t="n"/>
      <c r="BW3" s="107" t="n"/>
      <c r="BX3" s="107" t="n"/>
      <c r="BY3" s="107" t="n"/>
      <c r="BZ3" s="107" t="n"/>
      <c r="CA3" s="107" t="n"/>
      <c r="CB3" s="107" t="n"/>
      <c r="CC3" s="107" t="n"/>
      <c r="CD3" s="107" t="n"/>
      <c r="CE3" s="107" t="n"/>
      <c r="CF3" s="107" t="n"/>
      <c r="CG3" s="107" t="n"/>
      <c r="CH3" s="107" t="n"/>
    </row>
    <row r="4" ht="15" customHeight="1" s="201">
      <c r="A4" s="107" t="n"/>
      <c r="B4" s="63" t="n"/>
      <c r="C4" s="63" t="n"/>
      <c r="D4" s="63" t="n"/>
      <c r="E4" s="107" t="n"/>
      <c r="F4" s="107" t="n"/>
      <c r="G4" s="107" t="n"/>
      <c r="H4" s="107" t="n"/>
      <c r="I4" s="107" t="n"/>
      <c r="J4" s="107" t="n"/>
      <c r="K4" s="107" t="n"/>
      <c r="L4" s="107" t="n"/>
      <c r="M4" s="107" t="n"/>
      <c r="N4" s="107" t="n"/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  <c r="AC4" s="107" t="n"/>
      <c r="AD4" s="107" t="n"/>
      <c r="AE4" s="107" t="n"/>
      <c r="AF4" s="107" t="n"/>
      <c r="AG4" s="107" t="n"/>
      <c r="AH4" s="107" t="n"/>
      <c r="AI4" s="107" t="n"/>
      <c r="AJ4" s="107" t="n"/>
      <c r="AK4" s="107" t="n"/>
      <c r="AL4" s="107" t="n"/>
      <c r="AM4" s="107" t="n"/>
      <c r="AN4" s="107" t="n"/>
      <c r="AO4" s="107" t="n"/>
      <c r="AP4" s="107" t="n"/>
      <c r="AQ4" s="107" t="n"/>
      <c r="AR4" s="107" t="n"/>
      <c r="AS4" s="107" t="n"/>
      <c r="AT4" s="107" t="n"/>
      <c r="AU4" s="107" t="n"/>
      <c r="AV4" s="107" t="n"/>
      <c r="AW4" s="107" t="n"/>
      <c r="AX4" s="107" t="n"/>
      <c r="AY4" s="107" t="n"/>
      <c r="AZ4" s="107" t="n"/>
      <c r="BA4" s="107" t="n"/>
      <c r="BB4" s="107" t="n"/>
      <c r="BC4" s="107" t="n"/>
      <c r="BD4" s="107" t="n"/>
      <c r="BE4" s="107" t="n"/>
      <c r="BF4" s="107" t="n"/>
      <c r="BG4" s="107" t="n"/>
      <c r="BH4" s="107" t="n"/>
      <c r="BI4" s="107" t="n"/>
      <c r="BJ4" s="107" t="n"/>
      <c r="BK4" s="107" t="n"/>
      <c r="BL4" s="107" t="n"/>
      <c r="BM4" s="107" t="n"/>
      <c r="BN4" s="107" t="n"/>
      <c r="BO4" s="107" t="n"/>
      <c r="BP4" s="107" t="n"/>
      <c r="BQ4" s="107" t="n"/>
      <c r="BR4" s="107" t="n"/>
      <c r="BS4" s="107" t="n"/>
      <c r="BT4" s="107" t="n"/>
      <c r="BU4" s="107" t="n"/>
      <c r="BV4" s="107" t="n"/>
      <c r="BW4" s="107" t="n"/>
      <c r="BX4" s="107" t="n"/>
      <c r="BY4" s="107" t="n"/>
      <c r="BZ4" s="107" t="n"/>
      <c r="CA4" s="107" t="n"/>
      <c r="CB4" s="107" t="n"/>
      <c r="CC4" s="107" t="n"/>
      <c r="CD4" s="107" t="n"/>
      <c r="CE4" s="107" t="n"/>
      <c r="CF4" s="107" t="n"/>
      <c r="CG4" s="107" t="n"/>
      <c r="CH4" s="107" t="n"/>
    </row>
    <row r="5" ht="15" customHeight="1" s="201">
      <c r="A5" s="170" t="inlineStr">
        <is>
          <t>Francis</t>
        </is>
      </c>
      <c r="B5" s="171" t="n"/>
      <c r="C5" s="171" t="n"/>
      <c r="D5" s="171" t="n"/>
      <c r="E5" s="63" t="n"/>
      <c r="F5" s="63" t="n"/>
      <c r="G5" s="63" t="n"/>
      <c r="H5" s="63" t="n"/>
      <c r="I5" s="63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  <c r="AC5" s="63" t="n"/>
      <c r="AD5" s="63" t="n"/>
      <c r="AE5" s="63" t="n"/>
      <c r="AF5" s="63" t="n"/>
      <c r="AG5" s="63" t="n"/>
      <c r="AH5" s="63" t="n"/>
      <c r="AI5" s="63" t="n"/>
      <c r="AJ5" s="63" t="n"/>
      <c r="AK5" s="63" t="n"/>
      <c r="AL5" s="63" t="n"/>
      <c r="AM5" s="63" t="n"/>
      <c r="AN5" s="63" t="n"/>
      <c r="AO5" s="63" t="n"/>
      <c r="AP5" s="63" t="n"/>
      <c r="AQ5" s="63" t="n"/>
      <c r="AR5" s="63" t="n"/>
      <c r="AS5" s="63" t="n"/>
      <c r="AT5" s="63" t="n"/>
      <c r="AU5" s="63" t="n"/>
      <c r="AV5" s="63" t="n"/>
      <c r="AW5" s="63" t="n"/>
      <c r="AX5" s="63" t="n"/>
      <c r="AY5" s="63" t="n"/>
      <c r="AZ5" s="63" t="n"/>
      <c r="BA5" s="63" t="n"/>
      <c r="BB5" s="63" t="n"/>
      <c r="BC5" s="63" t="n"/>
      <c r="BD5" s="63" t="n"/>
      <c r="BE5" s="63" t="n"/>
      <c r="BF5" s="63" t="n"/>
      <c r="BG5" s="63" t="n"/>
      <c r="BH5" s="63" t="n"/>
      <c r="BI5" s="63" t="n"/>
      <c r="BJ5" s="63" t="n"/>
      <c r="BK5" s="63" t="n"/>
      <c r="BL5" s="63" t="n"/>
      <c r="BM5" s="63" t="n"/>
      <c r="BN5" s="63" t="n"/>
      <c r="BO5" s="63" t="n"/>
      <c r="BP5" s="63" t="n"/>
      <c r="BQ5" s="63" t="n"/>
      <c r="BR5" s="63" t="n"/>
      <c r="BS5" s="63" t="n"/>
      <c r="BT5" s="63" t="n"/>
      <c r="BU5" s="63" t="n"/>
      <c r="BV5" s="63" t="n"/>
      <c r="BW5" s="63" t="n"/>
      <c r="BX5" s="63" t="n"/>
      <c r="BY5" s="63" t="n"/>
      <c r="BZ5" s="63" t="n"/>
      <c r="CA5" s="63" t="n"/>
      <c r="CB5" s="63" t="n"/>
      <c r="CC5" s="63" t="n"/>
      <c r="CD5" s="63" t="n"/>
      <c r="CE5" s="63" t="n"/>
      <c r="CF5" s="63" t="n"/>
      <c r="CG5" s="63" t="n"/>
      <c r="CH5" s="63" t="n"/>
    </row>
    <row r="6" ht="15" customHeight="1" s="201">
      <c r="A6" s="172" t="inlineStr">
        <is>
          <t>LIHTC Revenue</t>
        </is>
      </c>
      <c r="B6" s="173">
        <f>SUM(Model!C60:CH60)</f>
        <v/>
      </c>
      <c r="C6" s="173">
        <f>Helpers!B47</f>
        <v/>
      </c>
      <c r="D6" s="173">
        <f>B6+C6</f>
        <v/>
      </c>
      <c r="E6" s="63" t="n"/>
      <c r="F6" s="63" t="n"/>
      <c r="G6" s="63" t="n"/>
      <c r="H6" s="63" t="n"/>
      <c r="I6" s="63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  <c r="AC6" s="63" t="n"/>
      <c r="AD6" s="63" t="n"/>
      <c r="AE6" s="63" t="n"/>
      <c r="AF6" s="63" t="n"/>
      <c r="AG6" s="63" t="n"/>
      <c r="AH6" s="63" t="n"/>
      <c r="AI6" s="63" t="n"/>
      <c r="AJ6" s="63" t="n"/>
      <c r="AK6" s="63" t="n"/>
      <c r="AL6" s="63" t="n"/>
      <c r="AM6" s="63" t="n"/>
      <c r="AN6" s="63" t="n"/>
      <c r="AO6" s="63" t="n"/>
      <c r="AP6" s="63" t="n"/>
      <c r="AQ6" s="63" t="n"/>
      <c r="AR6" s="63" t="n"/>
      <c r="AS6" s="63" t="n"/>
      <c r="AT6" s="63" t="n"/>
      <c r="AU6" s="63" t="n"/>
      <c r="AV6" s="63" t="n"/>
      <c r="AW6" s="63" t="n"/>
      <c r="AX6" s="63" t="n"/>
      <c r="AY6" s="63" t="n"/>
      <c r="AZ6" s="63" t="n"/>
      <c r="BA6" s="63" t="n"/>
      <c r="BB6" s="63" t="n"/>
      <c r="BC6" s="63" t="n"/>
      <c r="BD6" s="63" t="n"/>
      <c r="BE6" s="63" t="n"/>
      <c r="BF6" s="63" t="n"/>
      <c r="BG6" s="63" t="n"/>
      <c r="BH6" s="63" t="n"/>
      <c r="BI6" s="63" t="n"/>
      <c r="BJ6" s="63" t="n"/>
      <c r="BK6" s="63" t="n"/>
      <c r="BL6" s="63" t="n"/>
      <c r="BM6" s="63" t="n"/>
      <c r="BN6" s="63" t="n"/>
      <c r="BO6" s="63" t="n"/>
      <c r="BP6" s="63" t="n"/>
      <c r="BQ6" s="63" t="n"/>
      <c r="BR6" s="63" t="n"/>
      <c r="BS6" s="63" t="n"/>
      <c r="BT6" s="63" t="n"/>
      <c r="BU6" s="63" t="n"/>
      <c r="BV6" s="63" t="n"/>
      <c r="BW6" s="63" t="n"/>
      <c r="BX6" s="63" t="n"/>
      <c r="BY6" s="63" t="n"/>
      <c r="BZ6" s="63" t="n"/>
      <c r="CA6" s="63" t="n"/>
      <c r="CB6" s="63" t="n"/>
      <c r="CC6" s="63" t="n"/>
      <c r="CD6" s="63" t="n"/>
      <c r="CE6" s="63" t="n"/>
      <c r="CF6" s="63" t="n"/>
      <c r="CG6" s="63" t="n"/>
      <c r="CH6" s="63" t="n"/>
    </row>
    <row r="7" ht="15" customHeight="1" s="201">
      <c r="A7" s="107" t="inlineStr">
        <is>
          <t>GMP Fee (1%)</t>
        </is>
      </c>
      <c r="B7" s="63">
        <f>-Projects!$B$7*Assumptions!$B$47</f>
        <v/>
      </c>
      <c r="C7" s="63" t="n">
        <v>0</v>
      </c>
      <c r="D7" s="63">
        <f>B7+C7</f>
        <v/>
      </c>
      <c r="E7" s="63" t="n"/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  <c r="AC7" s="63" t="n"/>
      <c r="AD7" s="63" t="n"/>
      <c r="AE7" s="63" t="n"/>
      <c r="AF7" s="63" t="n"/>
      <c r="AG7" s="63" t="n"/>
      <c r="AH7" s="63" t="n"/>
      <c r="AI7" s="63" t="n"/>
      <c r="AJ7" s="63" t="n"/>
      <c r="AK7" s="63" t="n"/>
      <c r="AL7" s="63" t="n"/>
      <c r="AM7" s="63" t="n"/>
      <c r="AN7" s="63" t="n"/>
      <c r="AO7" s="63" t="n"/>
      <c r="AP7" s="63" t="n"/>
      <c r="AQ7" s="63" t="n"/>
      <c r="AR7" s="63" t="n"/>
      <c r="AS7" s="63" t="n"/>
      <c r="AT7" s="63" t="n"/>
      <c r="AU7" s="63" t="n"/>
      <c r="AV7" s="63" t="n"/>
      <c r="AW7" s="63" t="n"/>
      <c r="AX7" s="63" t="n"/>
      <c r="AY7" s="63" t="n"/>
      <c r="AZ7" s="63" t="n"/>
      <c r="BA7" s="63" t="n"/>
      <c r="BB7" s="63" t="n"/>
      <c r="BC7" s="63" t="n"/>
      <c r="BD7" s="63" t="n"/>
      <c r="BE7" s="63" t="n"/>
      <c r="BF7" s="63" t="n"/>
      <c r="BG7" s="63" t="n"/>
      <c r="BH7" s="63" t="n"/>
      <c r="BI7" s="63" t="n"/>
      <c r="BJ7" s="63" t="n"/>
      <c r="BK7" s="63" t="n"/>
      <c r="BL7" s="63" t="n"/>
      <c r="BM7" s="63" t="n"/>
      <c r="BN7" s="63" t="n"/>
      <c r="BO7" s="63" t="n"/>
      <c r="BP7" s="63" t="n"/>
      <c r="BQ7" s="63" t="n"/>
      <c r="BR7" s="63" t="n"/>
      <c r="BS7" s="63" t="n"/>
      <c r="BT7" s="63" t="n"/>
      <c r="BU7" s="63" t="n"/>
      <c r="BV7" s="63" t="n"/>
      <c r="BW7" s="63" t="n"/>
      <c r="BX7" s="63" t="n"/>
      <c r="BY7" s="63" t="n"/>
      <c r="BZ7" s="63" t="n"/>
      <c r="CA7" s="63" t="n"/>
      <c r="CB7" s="63" t="n"/>
      <c r="CC7" s="63" t="n"/>
      <c r="CD7" s="63" t="n"/>
      <c r="CE7" s="63" t="n"/>
      <c r="CF7" s="63" t="n"/>
      <c r="CG7" s="63" t="n"/>
      <c r="CH7" s="63" t="n"/>
    </row>
    <row r="8" ht="15" customHeight="1" s="201">
      <c r="A8" s="172" t="inlineStr">
        <is>
          <t>Liquidity Guarantee Fee (3%)</t>
        </is>
      </c>
      <c r="B8" s="173">
        <f>-Assumptions!$B$53*Assumptions!$B$48</f>
        <v/>
      </c>
      <c r="C8" s="173" t="n">
        <v>0</v>
      </c>
      <c r="D8" s="173">
        <f>B8+C8</f>
        <v/>
      </c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7" t="n"/>
      <c r="BD8" s="107" t="n"/>
      <c r="BE8" s="107" t="n"/>
      <c r="BF8" s="107" t="n"/>
      <c r="BG8" s="107" t="n"/>
      <c r="BH8" s="107" t="n"/>
      <c r="BI8" s="107" t="n"/>
      <c r="BJ8" s="107" t="n"/>
      <c r="BK8" s="107" t="n"/>
      <c r="BL8" s="107" t="n"/>
      <c r="BM8" s="107" t="n"/>
      <c r="BN8" s="107" t="n"/>
      <c r="BO8" s="107" t="n"/>
      <c r="BP8" s="107" t="n"/>
      <c r="BQ8" s="107" t="n"/>
      <c r="BR8" s="107" t="n"/>
      <c r="BS8" s="107" t="n"/>
      <c r="BT8" s="107" t="n"/>
      <c r="BU8" s="107" t="n"/>
      <c r="BV8" s="107" t="n"/>
      <c r="BW8" s="107" t="n"/>
      <c r="BX8" s="107" t="n"/>
      <c r="BY8" s="107" t="n"/>
      <c r="BZ8" s="107" t="n"/>
      <c r="CA8" s="107" t="n"/>
      <c r="CB8" s="107" t="n"/>
      <c r="CC8" s="107" t="n"/>
      <c r="CD8" s="107" t="n"/>
      <c r="CE8" s="107" t="n"/>
      <c r="CF8" s="107" t="n"/>
      <c r="CG8" s="107" t="n"/>
      <c r="CH8" s="107" t="n"/>
    </row>
    <row r="9" ht="15" customHeight="1" s="201">
      <c r="A9" s="107" t="inlineStr">
        <is>
          <t>PIK Interest</t>
        </is>
      </c>
      <c r="B9" s="63" t="n">
        <v>0</v>
      </c>
      <c r="C9" s="63" t="n">
        <v>0</v>
      </c>
      <c r="D9" s="63">
        <f>B9+C9</f>
        <v/>
      </c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7" t="n"/>
      <c r="AO9" s="107" t="n"/>
      <c r="AP9" s="107" t="n"/>
      <c r="AQ9" s="107" t="n"/>
      <c r="AR9" s="107" t="n"/>
      <c r="AS9" s="107" t="n"/>
      <c r="AT9" s="107" t="n"/>
      <c r="AU9" s="107" t="n"/>
      <c r="AV9" s="107" t="n"/>
      <c r="AW9" s="107" t="n"/>
      <c r="AX9" s="107" t="n"/>
      <c r="AY9" s="107" t="n"/>
      <c r="AZ9" s="107" t="n"/>
      <c r="BA9" s="107" t="n"/>
      <c r="BB9" s="107" t="n"/>
      <c r="BC9" s="107" t="n"/>
      <c r="BD9" s="107" t="n"/>
      <c r="BE9" s="107" t="n"/>
      <c r="BF9" s="107" t="n"/>
      <c r="BG9" s="107" t="n"/>
      <c r="BH9" s="107" t="n"/>
      <c r="BI9" s="107" t="n"/>
      <c r="BJ9" s="107" t="n"/>
      <c r="BK9" s="107" t="n"/>
      <c r="BL9" s="107" t="n"/>
      <c r="BM9" s="107" t="n"/>
      <c r="BN9" s="107" t="n"/>
      <c r="BO9" s="107" t="n"/>
      <c r="BP9" s="107" t="n"/>
      <c r="BQ9" s="107" t="n"/>
      <c r="BR9" s="107" t="n"/>
      <c r="BS9" s="107" t="n"/>
      <c r="BT9" s="107" t="n"/>
      <c r="BU9" s="107" t="n"/>
      <c r="BV9" s="107" t="n"/>
      <c r="BW9" s="107" t="n"/>
      <c r="BX9" s="107" t="n"/>
      <c r="BY9" s="107" t="n"/>
      <c r="BZ9" s="107" t="n"/>
      <c r="CA9" s="107" t="n"/>
      <c r="CB9" s="107" t="n"/>
      <c r="CC9" s="107" t="n"/>
      <c r="CD9" s="107" t="n"/>
      <c r="CE9" s="107" t="n"/>
      <c r="CF9" s="107" t="n"/>
      <c r="CG9" s="107" t="n"/>
      <c r="CH9" s="107" t="n"/>
    </row>
    <row r="10" ht="15" customHeight="1" s="201">
      <c r="A10" s="142" t="inlineStr">
        <is>
          <t>Net Income to Six Peak</t>
        </is>
      </c>
      <c r="B10" s="145">
        <f>SUM(B6:B9)</f>
        <v/>
      </c>
      <c r="C10" s="145">
        <f>SUM(C6:C9)</f>
        <v/>
      </c>
      <c r="D10" s="145">
        <f>SUM(D6:D9)</f>
        <v/>
      </c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  <c r="AC10" s="63" t="n"/>
      <c r="AD10" s="63" t="n"/>
      <c r="AE10" s="63" t="n"/>
      <c r="AF10" s="63" t="n"/>
      <c r="AG10" s="63" t="n"/>
      <c r="AH10" s="63" t="n"/>
      <c r="AI10" s="63" t="n"/>
      <c r="AJ10" s="63" t="n"/>
      <c r="AK10" s="63" t="n"/>
      <c r="AL10" s="63" t="n"/>
      <c r="AM10" s="63" t="n"/>
      <c r="AN10" s="63" t="n"/>
      <c r="AO10" s="63" t="n"/>
      <c r="AP10" s="63" t="n"/>
      <c r="AQ10" s="63" t="n"/>
      <c r="AR10" s="63" t="n"/>
      <c r="AS10" s="63" t="n"/>
      <c r="AT10" s="63" t="n"/>
      <c r="AU10" s="63" t="n"/>
      <c r="AV10" s="63" t="n"/>
      <c r="AW10" s="63" t="n"/>
      <c r="AX10" s="63" t="n"/>
      <c r="AY10" s="63" t="n"/>
      <c r="AZ10" s="63" t="n"/>
      <c r="BA10" s="63" t="n"/>
      <c r="BB10" s="63" t="n"/>
      <c r="BC10" s="63" t="n"/>
      <c r="BD10" s="63" t="n"/>
      <c r="BE10" s="63" t="n"/>
      <c r="BF10" s="63" t="n"/>
      <c r="BG10" s="63" t="n"/>
      <c r="BH10" s="63" t="n"/>
      <c r="BI10" s="63" t="n"/>
      <c r="BJ10" s="63" t="n"/>
      <c r="BK10" s="63" t="n"/>
      <c r="BL10" s="63" t="n"/>
      <c r="BM10" s="63" t="n"/>
      <c r="BN10" s="63" t="n"/>
      <c r="BO10" s="63" t="n"/>
      <c r="BP10" s="63" t="n"/>
      <c r="BQ10" s="63" t="n"/>
      <c r="BR10" s="63" t="n"/>
      <c r="BS10" s="63" t="n"/>
      <c r="BT10" s="63" t="n"/>
      <c r="BU10" s="63" t="n"/>
      <c r="BV10" s="63" t="n"/>
      <c r="BW10" s="63" t="n"/>
      <c r="BX10" s="63" t="n"/>
      <c r="BY10" s="63" t="n"/>
      <c r="BZ10" s="63" t="n"/>
      <c r="CA10" s="63" t="n"/>
      <c r="CB10" s="63" t="n"/>
      <c r="CC10" s="63" t="n"/>
      <c r="CD10" s="63" t="n"/>
      <c r="CE10" s="63" t="n"/>
      <c r="CF10" s="63" t="n"/>
      <c r="CG10" s="63" t="n"/>
      <c r="CH10" s="63" t="n"/>
    </row>
    <row r="11" ht="15" customHeight="1" s="201">
      <c r="A11" s="174" t="n"/>
      <c r="B11" s="175" t="n"/>
      <c r="C11" s="175" t="n"/>
      <c r="D11" s="175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  <c r="AC11" s="63" t="n"/>
      <c r="AD11" s="63" t="n"/>
      <c r="AE11" s="63" t="n"/>
      <c r="AF11" s="63" t="n"/>
      <c r="AG11" s="63" t="n"/>
      <c r="AH11" s="63" t="n"/>
      <c r="AI11" s="63" t="n"/>
      <c r="AJ11" s="63" t="n"/>
      <c r="AK11" s="63" t="n"/>
      <c r="AL11" s="63" t="n"/>
      <c r="AM11" s="63" t="n"/>
      <c r="AN11" s="63" t="n"/>
      <c r="AO11" s="63" t="n"/>
      <c r="AP11" s="63" t="n"/>
      <c r="AQ11" s="63" t="n"/>
      <c r="AR11" s="63" t="n"/>
      <c r="AS11" s="63" t="n"/>
      <c r="AT11" s="63" t="n"/>
      <c r="AU11" s="63" t="n"/>
      <c r="AV11" s="63" t="n"/>
      <c r="AW11" s="63" t="n"/>
      <c r="AX11" s="63" t="n"/>
      <c r="AY11" s="63" t="n"/>
      <c r="AZ11" s="63" t="n"/>
      <c r="BA11" s="63" t="n"/>
      <c r="BB11" s="63" t="n"/>
      <c r="BC11" s="63" t="n"/>
      <c r="BD11" s="63" t="n"/>
      <c r="BE11" s="63" t="n"/>
      <c r="BF11" s="63" t="n"/>
      <c r="BG11" s="63" t="n"/>
      <c r="BH11" s="63" t="n"/>
      <c r="BI11" s="63" t="n"/>
      <c r="BJ11" s="63" t="n"/>
      <c r="BK11" s="63" t="n"/>
      <c r="BL11" s="63" t="n"/>
      <c r="BM11" s="63" t="n"/>
      <c r="BN11" s="63" t="n"/>
      <c r="BO11" s="63" t="n"/>
      <c r="BP11" s="63" t="n"/>
      <c r="BQ11" s="63" t="n"/>
      <c r="BR11" s="63" t="n"/>
      <c r="BS11" s="63" t="n"/>
      <c r="BT11" s="63" t="n"/>
      <c r="BU11" s="63" t="n"/>
      <c r="BV11" s="63" t="n"/>
      <c r="BW11" s="63" t="n"/>
      <c r="BX11" s="63" t="n"/>
      <c r="BY11" s="63" t="n"/>
      <c r="BZ11" s="63" t="n"/>
      <c r="CA11" s="63" t="n"/>
      <c r="CB11" s="63" t="n"/>
      <c r="CC11" s="63" t="n"/>
      <c r="CD11" s="63" t="n"/>
      <c r="CE11" s="63" t="n"/>
      <c r="CF11" s="63" t="n"/>
      <c r="CG11" s="63" t="n"/>
      <c r="CH11" s="63" t="n"/>
    </row>
    <row r="12" ht="15" customHeight="1" s="201">
      <c r="A12" s="109" t="inlineStr">
        <is>
          <t>3rd Street</t>
        </is>
      </c>
      <c r="B12" s="109" t="n"/>
      <c r="C12" s="176" t="n"/>
      <c r="D12" s="1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  <c r="AC12" s="63" t="n"/>
      <c r="AD12" s="63" t="n"/>
      <c r="AE12" s="63" t="n"/>
      <c r="AF12" s="63" t="n"/>
      <c r="AG12" s="63" t="n"/>
      <c r="AH12" s="63" t="n"/>
      <c r="AI12" s="63" t="n"/>
      <c r="AJ12" s="63" t="n"/>
      <c r="AK12" s="63" t="n"/>
      <c r="AL12" s="63" t="n"/>
      <c r="AM12" s="63" t="n"/>
      <c r="AN12" s="63" t="n"/>
      <c r="AO12" s="63" t="n"/>
      <c r="AP12" s="63" t="n"/>
      <c r="AQ12" s="63" t="n"/>
      <c r="AR12" s="63" t="n"/>
      <c r="AS12" s="63" t="n"/>
      <c r="AT12" s="63" t="n"/>
      <c r="AU12" s="63" t="n"/>
      <c r="AV12" s="63" t="n"/>
      <c r="AW12" s="63" t="n"/>
      <c r="AX12" s="63" t="n"/>
      <c r="AY12" s="63" t="n"/>
      <c r="AZ12" s="63" t="n"/>
      <c r="BA12" s="63" t="n"/>
      <c r="BB12" s="63" t="n"/>
      <c r="BC12" s="63" t="n"/>
      <c r="BD12" s="63" t="n"/>
      <c r="BE12" s="63" t="n"/>
      <c r="BF12" s="63" t="n"/>
      <c r="BG12" s="63" t="n"/>
      <c r="BH12" s="63" t="n"/>
      <c r="BI12" s="63" t="n"/>
      <c r="BJ12" s="63" t="n"/>
      <c r="BK12" s="63" t="n"/>
      <c r="BL12" s="63" t="n"/>
      <c r="BM12" s="63" t="n"/>
      <c r="BN12" s="63" t="n"/>
      <c r="BO12" s="63" t="n"/>
      <c r="BP12" s="63" t="n"/>
      <c r="BQ12" s="63" t="n"/>
      <c r="BR12" s="63" t="n"/>
      <c r="BS12" s="63" t="n"/>
      <c r="BT12" s="63" t="n"/>
      <c r="BU12" s="63" t="n"/>
      <c r="BV12" s="63" t="n"/>
      <c r="BW12" s="63" t="n"/>
      <c r="BX12" s="63" t="n"/>
      <c r="BY12" s="63" t="n"/>
      <c r="BZ12" s="63" t="n"/>
      <c r="CA12" s="63" t="n"/>
      <c r="CB12" s="63" t="n"/>
      <c r="CC12" s="63" t="n"/>
      <c r="CD12" s="63" t="n"/>
      <c r="CE12" s="63" t="n"/>
      <c r="CF12" s="63" t="n"/>
      <c r="CG12" s="63" t="n"/>
      <c r="CH12" s="63" t="n"/>
    </row>
    <row r="13" ht="15" customHeight="1" s="201">
      <c r="A13" s="172" t="inlineStr">
        <is>
          <t>LIHTC Revenue</t>
        </is>
      </c>
      <c r="B13" s="173">
        <f>SUM(Model!C62:CH62)</f>
        <v/>
      </c>
      <c r="C13" s="173">
        <f>Helpers!B48</f>
        <v/>
      </c>
      <c r="D13" s="173">
        <f>B13+C13</f>
        <v/>
      </c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  <c r="AC13" s="63" t="n"/>
      <c r="AD13" s="63" t="n"/>
      <c r="AE13" s="63" t="n"/>
      <c r="AF13" s="63" t="n"/>
      <c r="AG13" s="63" t="n"/>
      <c r="AH13" s="63" t="n"/>
      <c r="AI13" s="63" t="n"/>
      <c r="AJ13" s="63" t="n"/>
      <c r="AK13" s="63" t="n"/>
      <c r="AL13" s="63" t="n"/>
      <c r="AM13" s="63" t="n"/>
      <c r="AN13" s="63" t="n"/>
      <c r="AO13" s="63" t="n"/>
      <c r="AP13" s="63" t="n"/>
      <c r="AQ13" s="63" t="n"/>
      <c r="AR13" s="63" t="n"/>
      <c r="AS13" s="63" t="n"/>
      <c r="AT13" s="63" t="n"/>
      <c r="AU13" s="63" t="n"/>
      <c r="AV13" s="63" t="n"/>
      <c r="AW13" s="63" t="n"/>
      <c r="AX13" s="63" t="n"/>
      <c r="AY13" s="63" t="n"/>
      <c r="AZ13" s="63" t="n"/>
      <c r="BA13" s="63" t="n"/>
      <c r="BB13" s="63" t="n"/>
      <c r="BC13" s="63" t="n"/>
      <c r="BD13" s="63" t="n"/>
      <c r="BE13" s="63" t="n"/>
      <c r="BF13" s="63" t="n"/>
      <c r="BG13" s="63" t="n"/>
      <c r="BH13" s="63" t="n"/>
      <c r="BI13" s="63" t="n"/>
      <c r="BJ13" s="63" t="n"/>
      <c r="BK13" s="63" t="n"/>
      <c r="BL13" s="63" t="n"/>
      <c r="BM13" s="63" t="n"/>
      <c r="BN13" s="63" t="n"/>
      <c r="BO13" s="63" t="n"/>
      <c r="BP13" s="63" t="n"/>
      <c r="BQ13" s="63" t="n"/>
      <c r="BR13" s="63" t="n"/>
      <c r="BS13" s="63" t="n"/>
      <c r="BT13" s="63" t="n"/>
      <c r="BU13" s="63" t="n"/>
      <c r="BV13" s="63" t="n"/>
      <c r="BW13" s="63" t="n"/>
      <c r="BX13" s="63" t="n"/>
      <c r="BY13" s="63" t="n"/>
      <c r="BZ13" s="63" t="n"/>
      <c r="CA13" s="63" t="n"/>
      <c r="CB13" s="63" t="n"/>
      <c r="CC13" s="63" t="n"/>
      <c r="CD13" s="63" t="n"/>
      <c r="CE13" s="63" t="n"/>
      <c r="CF13" s="63" t="n"/>
      <c r="CG13" s="63" t="n"/>
      <c r="CH13" s="63" t="n"/>
    </row>
    <row r="14" ht="15" customHeight="1" s="201">
      <c r="A14" s="177" t="inlineStr">
        <is>
          <t>GMP Fee (1%)</t>
        </is>
      </c>
      <c r="B14" s="178">
        <f>-Projects!$B$14*Assumptions!$B$47</f>
        <v/>
      </c>
      <c r="C14" s="178" t="n">
        <v>0</v>
      </c>
      <c r="D14" s="178">
        <f>B14+C14</f>
        <v/>
      </c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  <c r="AG14" s="63" t="n"/>
      <c r="AH14" s="63" t="n"/>
      <c r="AI14" s="63" t="n"/>
      <c r="AJ14" s="63" t="n"/>
      <c r="AK14" s="63" t="n"/>
      <c r="AL14" s="63" t="n"/>
      <c r="AM14" s="63" t="n"/>
      <c r="AN14" s="63" t="n"/>
      <c r="AO14" s="63" t="n"/>
      <c r="AP14" s="63" t="n"/>
      <c r="AQ14" s="63" t="n"/>
      <c r="AR14" s="63" t="n"/>
      <c r="AS14" s="63" t="n"/>
      <c r="AT14" s="63" t="n"/>
      <c r="AU14" s="63" t="n"/>
      <c r="AV14" s="63" t="n"/>
      <c r="AW14" s="63" t="n"/>
      <c r="AX14" s="63" t="n"/>
      <c r="AY14" s="63" t="n"/>
      <c r="AZ14" s="63" t="n"/>
      <c r="BA14" s="63" t="n"/>
      <c r="BB14" s="63" t="n"/>
      <c r="BC14" s="63" t="n"/>
      <c r="BD14" s="63" t="n"/>
      <c r="BE14" s="63" t="n"/>
      <c r="BF14" s="63" t="n"/>
      <c r="BG14" s="63" t="n"/>
      <c r="BH14" s="63" t="n"/>
      <c r="BI14" s="63" t="n"/>
      <c r="BJ14" s="63" t="n"/>
      <c r="BK14" s="63" t="n"/>
      <c r="BL14" s="63" t="n"/>
      <c r="BM14" s="63" t="n"/>
      <c r="BN14" s="63" t="n"/>
      <c r="BO14" s="63" t="n"/>
      <c r="BP14" s="63" t="n"/>
      <c r="BQ14" s="63" t="n"/>
      <c r="BR14" s="63" t="n"/>
      <c r="BS14" s="63" t="n"/>
      <c r="BT14" s="63" t="n"/>
      <c r="BU14" s="63" t="n"/>
      <c r="BV14" s="63" t="n"/>
      <c r="BW14" s="63" t="n"/>
      <c r="BX14" s="63" t="n"/>
      <c r="BY14" s="63" t="n"/>
      <c r="BZ14" s="63" t="n"/>
      <c r="CA14" s="63" t="n"/>
      <c r="CB14" s="63" t="n"/>
      <c r="CC14" s="63" t="n"/>
      <c r="CD14" s="63" t="n"/>
      <c r="CE14" s="63" t="n"/>
      <c r="CF14" s="63" t="n"/>
      <c r="CG14" s="63" t="n"/>
      <c r="CH14" s="63" t="n"/>
    </row>
    <row r="15" ht="15" customHeight="1" s="201">
      <c r="A15" s="172" t="inlineStr">
        <is>
          <t>Liquidity Guarantee Fee (3%)</t>
        </is>
      </c>
      <c r="B15" s="173">
        <f>-Assumptions!$B$55*Assumptions!$B$48</f>
        <v/>
      </c>
      <c r="C15" s="173" t="n">
        <v>0</v>
      </c>
      <c r="D15" s="173">
        <f>B15+C15</f>
        <v/>
      </c>
      <c r="E15" s="107" t="n"/>
      <c r="F15" s="107" t="n"/>
      <c r="G15" s="107" t="n"/>
      <c r="H15" s="107" t="n"/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7" t="n"/>
      <c r="AO15" s="107" t="n"/>
      <c r="AP15" s="107" t="n"/>
      <c r="AQ15" s="107" t="n"/>
      <c r="AR15" s="107" t="n"/>
      <c r="AS15" s="107" t="n"/>
      <c r="AT15" s="107" t="n"/>
      <c r="AU15" s="107" t="n"/>
      <c r="AV15" s="107" t="n"/>
      <c r="AW15" s="107" t="n"/>
      <c r="AX15" s="107" t="n"/>
      <c r="AY15" s="107" t="n"/>
      <c r="AZ15" s="107" t="n"/>
      <c r="BA15" s="107" t="n"/>
      <c r="BB15" s="107" t="n"/>
      <c r="BC15" s="107" t="n"/>
      <c r="BD15" s="107" t="n"/>
      <c r="BE15" s="107" t="n"/>
      <c r="BF15" s="107" t="n"/>
      <c r="BG15" s="107" t="n"/>
      <c r="BH15" s="107" t="n"/>
      <c r="BI15" s="107" t="n"/>
      <c r="BJ15" s="107" t="n"/>
      <c r="BK15" s="107" t="n"/>
      <c r="BL15" s="107" t="n"/>
      <c r="BM15" s="107" t="n"/>
      <c r="BN15" s="107" t="n"/>
      <c r="BO15" s="107" t="n"/>
      <c r="BP15" s="107" t="n"/>
      <c r="BQ15" s="107" t="n"/>
      <c r="BR15" s="107" t="n"/>
      <c r="BS15" s="107" t="n"/>
      <c r="BT15" s="107" t="n"/>
      <c r="BU15" s="107" t="n"/>
      <c r="BV15" s="107" t="n"/>
      <c r="BW15" s="107" t="n"/>
      <c r="BX15" s="107" t="n"/>
      <c r="BY15" s="107" t="n"/>
      <c r="BZ15" s="107" t="n"/>
      <c r="CA15" s="107" t="n"/>
      <c r="CB15" s="107" t="n"/>
      <c r="CC15" s="107" t="n"/>
      <c r="CD15" s="107" t="n"/>
      <c r="CE15" s="107" t="n"/>
      <c r="CF15" s="107" t="n"/>
      <c r="CG15" s="107" t="n"/>
      <c r="CH15" s="107" t="n"/>
    </row>
    <row r="16" ht="15" customHeight="1" s="201">
      <c r="A16" s="177" t="inlineStr">
        <is>
          <t>PIK Interest</t>
        </is>
      </c>
      <c r="B16" s="178">
        <f>-SUM(Model!C122:CH122)</f>
        <v/>
      </c>
      <c r="C16" s="178">
        <f>-Helpers!F93</f>
        <v/>
      </c>
      <c r="D16" s="178">
        <f>B16+C16</f>
        <v/>
      </c>
      <c r="E16" s="107" t="n"/>
      <c r="F16" s="107" t="n"/>
      <c r="G16" s="107" t="n"/>
      <c r="H16" s="107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7" t="n"/>
      <c r="AO16" s="107" t="n"/>
      <c r="AP16" s="107" t="n"/>
      <c r="AQ16" s="107" t="n"/>
      <c r="AR16" s="107" t="n"/>
      <c r="AS16" s="107" t="n"/>
      <c r="AT16" s="107" t="n"/>
      <c r="AU16" s="107" t="n"/>
      <c r="AV16" s="107" t="n"/>
      <c r="AW16" s="107" t="n"/>
      <c r="AX16" s="107" t="n"/>
      <c r="AY16" s="107" t="n"/>
      <c r="AZ16" s="107" t="n"/>
      <c r="BA16" s="107" t="n"/>
      <c r="BB16" s="107" t="n"/>
      <c r="BC16" s="107" t="n"/>
      <c r="BD16" s="107" t="n"/>
      <c r="BE16" s="107" t="n"/>
      <c r="BF16" s="107" t="n"/>
      <c r="BG16" s="107" t="n"/>
      <c r="BH16" s="107" t="n"/>
      <c r="BI16" s="107" t="n"/>
      <c r="BJ16" s="107" t="n"/>
      <c r="BK16" s="107" t="n"/>
      <c r="BL16" s="107" t="n"/>
      <c r="BM16" s="107" t="n"/>
      <c r="BN16" s="107" t="n"/>
      <c r="BO16" s="107" t="n"/>
      <c r="BP16" s="107" t="n"/>
      <c r="BQ16" s="107" t="n"/>
      <c r="BR16" s="107" t="n"/>
      <c r="BS16" s="107" t="n"/>
      <c r="BT16" s="107" t="n"/>
      <c r="BU16" s="107" t="n"/>
      <c r="BV16" s="107" t="n"/>
      <c r="BW16" s="107" t="n"/>
      <c r="BX16" s="107" t="n"/>
      <c r="BY16" s="107" t="n"/>
      <c r="BZ16" s="107" t="n"/>
      <c r="CA16" s="107" t="n"/>
      <c r="CB16" s="107" t="n"/>
      <c r="CC16" s="107" t="n"/>
      <c r="CD16" s="107" t="n"/>
      <c r="CE16" s="107" t="n"/>
      <c r="CF16" s="107" t="n"/>
      <c r="CG16" s="107" t="n"/>
      <c r="CH16" s="107" t="n"/>
    </row>
    <row r="17" ht="15" customHeight="1" s="201">
      <c r="A17" s="4" t="inlineStr">
        <is>
          <t>Net Income to Six Peak</t>
        </is>
      </c>
      <c r="B17" s="5">
        <f>SUM(B13:B16)</f>
        <v/>
      </c>
      <c r="C17" s="5">
        <f>SUM(C13:C16)</f>
        <v/>
      </c>
      <c r="D17" s="5">
        <f>SUM(D13:D16)</f>
        <v/>
      </c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  <c r="AC17" s="63" t="n"/>
      <c r="AD17" s="63" t="n"/>
      <c r="AE17" s="63" t="n"/>
      <c r="AF17" s="63" t="n"/>
      <c r="AG17" s="63" t="n"/>
      <c r="AH17" s="63" t="n"/>
      <c r="AI17" s="63" t="n"/>
      <c r="AJ17" s="63" t="n"/>
      <c r="AK17" s="63" t="n"/>
      <c r="AL17" s="63" t="n"/>
      <c r="AM17" s="63" t="n"/>
      <c r="AN17" s="63" t="n"/>
      <c r="AO17" s="63" t="n"/>
      <c r="AP17" s="63" t="n"/>
      <c r="AQ17" s="63" t="n"/>
      <c r="AR17" s="63" t="n"/>
      <c r="AS17" s="63" t="n"/>
      <c r="AT17" s="63" t="n"/>
      <c r="AU17" s="63" t="n"/>
      <c r="AV17" s="63" t="n"/>
      <c r="AW17" s="63" t="n"/>
      <c r="AX17" s="63" t="n"/>
      <c r="AY17" s="63" t="n"/>
      <c r="AZ17" s="63" t="n"/>
      <c r="BA17" s="63" t="n"/>
      <c r="BB17" s="63" t="n"/>
      <c r="BC17" s="63" t="n"/>
      <c r="BD17" s="63" t="n"/>
      <c r="BE17" s="63" t="n"/>
      <c r="BF17" s="63" t="n"/>
      <c r="BG17" s="63" t="n"/>
      <c r="BH17" s="63" t="n"/>
      <c r="BI17" s="63" t="n"/>
      <c r="BJ17" s="63" t="n"/>
      <c r="BK17" s="63" t="n"/>
      <c r="BL17" s="63" t="n"/>
      <c r="BM17" s="63" t="n"/>
      <c r="BN17" s="63" t="n"/>
      <c r="BO17" s="63" t="n"/>
      <c r="BP17" s="63" t="n"/>
      <c r="BQ17" s="63" t="n"/>
      <c r="BR17" s="63" t="n"/>
      <c r="BS17" s="63" t="n"/>
      <c r="BT17" s="63" t="n"/>
      <c r="BU17" s="63" t="n"/>
      <c r="BV17" s="63" t="n"/>
      <c r="BW17" s="63" t="n"/>
      <c r="BX17" s="63" t="n"/>
      <c r="BY17" s="63" t="n"/>
      <c r="BZ17" s="63" t="n"/>
      <c r="CA17" s="63" t="n"/>
      <c r="CB17" s="63" t="n"/>
      <c r="CC17" s="63" t="n"/>
      <c r="CD17" s="63" t="n"/>
      <c r="CE17" s="63" t="n"/>
      <c r="CF17" s="63" t="n"/>
      <c r="CG17" s="63" t="n"/>
      <c r="CH17" s="63" t="n"/>
    </row>
    <row r="18" ht="15" customHeight="1" s="201">
      <c r="A18" s="179" t="n"/>
      <c r="B18" s="180" t="n"/>
      <c r="C18" s="180" t="n"/>
      <c r="D18" s="180" t="n"/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  <c r="AC18" s="63" t="n"/>
      <c r="AD18" s="63" t="n"/>
      <c r="AE18" s="63" t="n"/>
      <c r="AF18" s="63" t="n"/>
      <c r="AG18" s="63" t="n"/>
      <c r="AH18" s="63" t="n"/>
      <c r="AI18" s="63" t="n"/>
      <c r="AJ18" s="63" t="n"/>
      <c r="AK18" s="63" t="n"/>
      <c r="AL18" s="63" t="n"/>
      <c r="AM18" s="63" t="n"/>
      <c r="AN18" s="63" t="n"/>
      <c r="AO18" s="63" t="n"/>
      <c r="AP18" s="63" t="n"/>
      <c r="AQ18" s="63" t="n"/>
      <c r="AR18" s="63" t="n"/>
      <c r="AS18" s="63" t="n"/>
      <c r="AT18" s="63" t="n"/>
      <c r="AU18" s="63" t="n"/>
      <c r="AV18" s="63" t="n"/>
      <c r="AW18" s="63" t="n"/>
      <c r="AX18" s="63" t="n"/>
      <c r="AY18" s="63" t="n"/>
      <c r="AZ18" s="63" t="n"/>
      <c r="BA18" s="63" t="n"/>
      <c r="BB18" s="63" t="n"/>
      <c r="BC18" s="63" t="n"/>
      <c r="BD18" s="63" t="n"/>
      <c r="BE18" s="63" t="n"/>
      <c r="BF18" s="63" t="n"/>
      <c r="BG18" s="63" t="n"/>
      <c r="BH18" s="63" t="n"/>
      <c r="BI18" s="63" t="n"/>
      <c r="BJ18" s="63" t="n"/>
      <c r="BK18" s="63" t="n"/>
      <c r="BL18" s="63" t="n"/>
      <c r="BM18" s="63" t="n"/>
      <c r="BN18" s="63" t="n"/>
      <c r="BO18" s="63" t="n"/>
      <c r="BP18" s="63" t="n"/>
      <c r="BQ18" s="63" t="n"/>
      <c r="BR18" s="63" t="n"/>
      <c r="BS18" s="63" t="n"/>
      <c r="BT18" s="63" t="n"/>
      <c r="BU18" s="63" t="n"/>
      <c r="BV18" s="63" t="n"/>
      <c r="BW18" s="63" t="n"/>
      <c r="BX18" s="63" t="n"/>
      <c r="BY18" s="63" t="n"/>
      <c r="BZ18" s="63" t="n"/>
      <c r="CA18" s="63" t="n"/>
      <c r="CB18" s="63" t="n"/>
      <c r="CC18" s="63" t="n"/>
      <c r="CD18" s="63" t="n"/>
      <c r="CE18" s="63" t="n"/>
      <c r="CF18" s="63" t="n"/>
      <c r="CG18" s="63" t="n"/>
      <c r="CH18" s="63" t="n"/>
    </row>
    <row r="19" ht="15" customHeight="1" s="201">
      <c r="A19" s="181" t="inlineStr">
        <is>
          <t>Reseda</t>
        </is>
      </c>
      <c r="B19" s="182" t="n"/>
      <c r="C19" s="182" t="n"/>
      <c r="D19" s="182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  <c r="AC19" s="63" t="n"/>
      <c r="AD19" s="63" t="n"/>
      <c r="AE19" s="63" t="n"/>
      <c r="AF19" s="63" t="n"/>
      <c r="AG19" s="63" t="n"/>
      <c r="AH19" s="63" t="n"/>
      <c r="AI19" s="63" t="n"/>
      <c r="AJ19" s="63" t="n"/>
      <c r="AK19" s="63" t="n"/>
      <c r="AL19" s="63" t="n"/>
      <c r="AM19" s="63" t="n"/>
      <c r="AN19" s="63" t="n"/>
      <c r="AO19" s="63" t="n"/>
      <c r="AP19" s="63" t="n"/>
      <c r="AQ19" s="63" t="n"/>
      <c r="AR19" s="63" t="n"/>
      <c r="AS19" s="63" t="n"/>
      <c r="AT19" s="63" t="n"/>
      <c r="AU19" s="63" t="n"/>
      <c r="AV19" s="63" t="n"/>
      <c r="AW19" s="63" t="n"/>
      <c r="AX19" s="63" t="n"/>
      <c r="AY19" s="63" t="n"/>
      <c r="AZ19" s="63" t="n"/>
      <c r="BA19" s="63" t="n"/>
      <c r="BB19" s="63" t="n"/>
      <c r="BC19" s="63" t="n"/>
      <c r="BD19" s="63" t="n"/>
      <c r="BE19" s="63" t="n"/>
      <c r="BF19" s="63" t="n"/>
      <c r="BG19" s="63" t="n"/>
      <c r="BH19" s="63" t="n"/>
      <c r="BI19" s="63" t="n"/>
      <c r="BJ19" s="63" t="n"/>
      <c r="BK19" s="63" t="n"/>
      <c r="BL19" s="63" t="n"/>
      <c r="BM19" s="63" t="n"/>
      <c r="BN19" s="63" t="n"/>
      <c r="BO19" s="63" t="n"/>
      <c r="BP19" s="63" t="n"/>
      <c r="BQ19" s="63" t="n"/>
      <c r="BR19" s="63" t="n"/>
      <c r="BS19" s="63" t="n"/>
      <c r="BT19" s="63" t="n"/>
      <c r="BU19" s="63" t="n"/>
      <c r="BV19" s="63" t="n"/>
      <c r="BW19" s="63" t="n"/>
      <c r="BX19" s="63" t="n"/>
      <c r="BY19" s="63" t="n"/>
      <c r="BZ19" s="63" t="n"/>
      <c r="CA19" s="63" t="n"/>
      <c r="CB19" s="63" t="n"/>
      <c r="CC19" s="63" t="n"/>
      <c r="CD19" s="63" t="n"/>
      <c r="CE19" s="63" t="n"/>
      <c r="CF19" s="63" t="n"/>
      <c r="CG19" s="63" t="n"/>
      <c r="CH19" s="63" t="n"/>
    </row>
    <row r="20" ht="15" customHeight="1" s="201">
      <c r="A20" s="183" t="inlineStr">
        <is>
          <t>LIHTC Revenue</t>
        </is>
      </c>
      <c r="B20" s="184">
        <f>SUM(Model!C61:CH61)</f>
        <v/>
      </c>
      <c r="C20" s="184">
        <f>Helpers!B49</f>
        <v/>
      </c>
      <c r="D20" s="184">
        <f>B20+C20</f>
        <v/>
      </c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  <c r="AU20" s="107" t="n"/>
      <c r="AV20" s="107" t="n"/>
      <c r="AW20" s="107" t="n"/>
      <c r="AX20" s="107" t="n"/>
      <c r="AY20" s="107" t="n"/>
      <c r="AZ20" s="107" t="n"/>
      <c r="BA20" s="107" t="n"/>
      <c r="BB20" s="107" t="n"/>
      <c r="BC20" s="107" t="n"/>
      <c r="BD20" s="107" t="n"/>
      <c r="BE20" s="107" t="n"/>
      <c r="BF20" s="107" t="n"/>
      <c r="BG20" s="107" t="n"/>
      <c r="BH20" s="107" t="n"/>
      <c r="BI20" s="107" t="n"/>
      <c r="BJ20" s="107" t="n"/>
      <c r="BK20" s="107" t="n"/>
      <c r="BL20" s="107" t="n"/>
      <c r="BM20" s="107" t="n"/>
      <c r="BN20" s="107" t="n"/>
      <c r="BO20" s="107" t="n"/>
      <c r="BP20" s="107" t="n"/>
      <c r="BQ20" s="107" t="n"/>
      <c r="BR20" s="107" t="n"/>
      <c r="BS20" s="107" t="n"/>
      <c r="BT20" s="107" t="n"/>
      <c r="BU20" s="107" t="n"/>
      <c r="BV20" s="107" t="n"/>
      <c r="BW20" s="107" t="n"/>
      <c r="BX20" s="107" t="n"/>
      <c r="BY20" s="107" t="n"/>
      <c r="BZ20" s="107" t="n"/>
      <c r="CA20" s="107" t="n"/>
      <c r="CB20" s="107" t="n"/>
      <c r="CC20" s="107" t="n"/>
      <c r="CD20" s="107" t="n"/>
      <c r="CE20" s="107" t="n"/>
      <c r="CF20" s="107" t="n"/>
      <c r="CG20" s="107" t="n"/>
      <c r="CH20" s="107" t="n"/>
    </row>
    <row r="21" ht="15" customHeight="1" s="201">
      <c r="A21" s="185" t="inlineStr">
        <is>
          <t>GMP Fee (1%)</t>
        </is>
      </c>
      <c r="B21" s="186">
        <f>-Projects!$B$13*Assumptions!$B$47</f>
        <v/>
      </c>
      <c r="C21" s="186" t="n">
        <v>0</v>
      </c>
      <c r="D21" s="186">
        <f>B21+C21</f>
        <v/>
      </c>
      <c r="E21" s="107" t="n"/>
      <c r="F21" s="107" t="n"/>
      <c r="G21" s="107" t="n"/>
      <c r="H21" s="107" t="n"/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107" t="n"/>
      <c r="AN21" s="107" t="n"/>
      <c r="AO21" s="107" t="n"/>
      <c r="AP21" s="107" t="n"/>
      <c r="AQ21" s="107" t="n"/>
      <c r="AR21" s="107" t="n"/>
      <c r="AS21" s="107" t="n"/>
      <c r="AT21" s="107" t="n"/>
      <c r="AU21" s="107" t="n"/>
      <c r="AV21" s="107" t="n"/>
      <c r="AW21" s="107" t="n"/>
      <c r="AX21" s="107" t="n"/>
      <c r="AY21" s="107" t="n"/>
      <c r="AZ21" s="107" t="n"/>
      <c r="BA21" s="107" t="n"/>
      <c r="BB21" s="107" t="n"/>
      <c r="BC21" s="107" t="n"/>
      <c r="BD21" s="107" t="n"/>
      <c r="BE21" s="107" t="n"/>
      <c r="BF21" s="107" t="n"/>
      <c r="BG21" s="107" t="n"/>
      <c r="BH21" s="107" t="n"/>
      <c r="BI21" s="107" t="n"/>
      <c r="BJ21" s="107" t="n"/>
      <c r="BK21" s="107" t="n"/>
      <c r="BL21" s="107" t="n"/>
      <c r="BM21" s="107" t="n"/>
      <c r="BN21" s="107" t="n"/>
      <c r="BO21" s="107" t="n"/>
      <c r="BP21" s="107" t="n"/>
      <c r="BQ21" s="107" t="n"/>
      <c r="BR21" s="107" t="n"/>
      <c r="BS21" s="107" t="n"/>
      <c r="BT21" s="107" t="n"/>
      <c r="BU21" s="107" t="n"/>
      <c r="BV21" s="107" t="n"/>
      <c r="BW21" s="107" t="n"/>
      <c r="BX21" s="107" t="n"/>
      <c r="BY21" s="107" t="n"/>
      <c r="BZ21" s="107" t="n"/>
      <c r="CA21" s="107" t="n"/>
      <c r="CB21" s="107" t="n"/>
      <c r="CC21" s="107" t="n"/>
      <c r="CD21" s="107" t="n"/>
      <c r="CE21" s="107" t="n"/>
      <c r="CF21" s="107" t="n"/>
      <c r="CG21" s="107" t="n"/>
      <c r="CH21" s="107" t="n"/>
    </row>
    <row r="22" ht="15" customHeight="1" s="201">
      <c r="A22" s="183" t="inlineStr">
        <is>
          <t>Liquidity Guarantee Fee (3%)</t>
        </is>
      </c>
      <c r="B22" s="184">
        <f>-Assumptions!$B$54*Assumptions!$B$48</f>
        <v/>
      </c>
      <c r="C22" s="184" t="n">
        <v>0</v>
      </c>
      <c r="D22" s="184">
        <f>B22+C22</f>
        <v/>
      </c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  <c r="AC22" s="63" t="n"/>
      <c r="AD22" s="63" t="n"/>
      <c r="AE22" s="63" t="n"/>
      <c r="AF22" s="63" t="n"/>
      <c r="AG22" s="63" t="n"/>
      <c r="AH22" s="63" t="n"/>
      <c r="AI22" s="63" t="n"/>
      <c r="AJ22" s="63" t="n"/>
      <c r="AK22" s="63" t="n"/>
      <c r="AL22" s="63" t="n"/>
      <c r="AM22" s="63" t="n"/>
      <c r="AN22" s="63" t="n"/>
      <c r="AO22" s="63" t="n"/>
      <c r="AP22" s="63" t="n"/>
      <c r="AQ22" s="63" t="n"/>
      <c r="AR22" s="63" t="n"/>
      <c r="AS22" s="63" t="n"/>
      <c r="AT22" s="63" t="n"/>
      <c r="AU22" s="63" t="n"/>
      <c r="AV22" s="63" t="n"/>
      <c r="AW22" s="63" t="n"/>
      <c r="AX22" s="63" t="n"/>
      <c r="AY22" s="63" t="n"/>
      <c r="AZ22" s="63" t="n"/>
      <c r="BA22" s="63" t="n"/>
      <c r="BB22" s="63" t="n"/>
      <c r="BC22" s="63" t="n"/>
      <c r="BD22" s="63" t="n"/>
      <c r="BE22" s="63" t="n"/>
      <c r="BF22" s="63" t="n"/>
      <c r="BG22" s="63" t="n"/>
      <c r="BH22" s="63" t="n"/>
      <c r="BI22" s="63" t="n"/>
      <c r="BJ22" s="63" t="n"/>
      <c r="BK22" s="63" t="n"/>
      <c r="BL22" s="63" t="n"/>
      <c r="BM22" s="63" t="n"/>
      <c r="BN22" s="63" t="n"/>
      <c r="BO22" s="63" t="n"/>
      <c r="BP22" s="63" t="n"/>
      <c r="BQ22" s="63" t="n"/>
      <c r="BR22" s="63" t="n"/>
      <c r="BS22" s="63" t="n"/>
      <c r="BT22" s="63" t="n"/>
      <c r="BU22" s="63" t="n"/>
      <c r="BV22" s="63" t="n"/>
      <c r="BW22" s="63" t="n"/>
      <c r="BX22" s="63" t="n"/>
      <c r="BY22" s="63" t="n"/>
      <c r="BZ22" s="63" t="n"/>
      <c r="CA22" s="63" t="n"/>
      <c r="CB22" s="63" t="n"/>
      <c r="CC22" s="63" t="n"/>
      <c r="CD22" s="63" t="n"/>
      <c r="CE22" s="63" t="n"/>
      <c r="CF22" s="63" t="n"/>
      <c r="CG22" s="63" t="n"/>
      <c r="CH22" s="63" t="n"/>
    </row>
    <row r="23" ht="15" customHeight="1" s="201">
      <c r="A23" s="107" t="inlineStr">
        <is>
          <t>PIK Interest</t>
        </is>
      </c>
      <c r="B23" s="63">
        <f>-SUM(Model!C127:CH127)</f>
        <v/>
      </c>
      <c r="C23" s="63" t="n">
        <v>0</v>
      </c>
      <c r="D23" s="63">
        <f>B23+C23</f>
        <v/>
      </c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  <c r="AG23" s="63" t="n"/>
      <c r="AH23" s="63" t="n"/>
      <c r="AI23" s="63" t="n"/>
      <c r="AJ23" s="63" t="n"/>
      <c r="AK23" s="63" t="n"/>
      <c r="AL23" s="63" t="n"/>
      <c r="AM23" s="63" t="n"/>
      <c r="AN23" s="63" t="n"/>
      <c r="AO23" s="63" t="n"/>
      <c r="AP23" s="63" t="n"/>
      <c r="AQ23" s="63" t="n"/>
      <c r="AR23" s="63" t="n"/>
      <c r="AS23" s="63" t="n"/>
      <c r="AT23" s="63" t="n"/>
      <c r="AU23" s="63" t="n"/>
      <c r="AV23" s="63" t="n"/>
      <c r="AW23" s="63" t="n"/>
      <c r="AX23" s="63" t="n"/>
      <c r="AY23" s="63" t="n"/>
      <c r="AZ23" s="63" t="n"/>
      <c r="BA23" s="63" t="n"/>
      <c r="BB23" s="63" t="n"/>
      <c r="BC23" s="63" t="n"/>
      <c r="BD23" s="63" t="n"/>
      <c r="BE23" s="63" t="n"/>
      <c r="BF23" s="63" t="n"/>
      <c r="BG23" s="63" t="n"/>
      <c r="BH23" s="63" t="n"/>
      <c r="BI23" s="63" t="n"/>
      <c r="BJ23" s="63" t="n"/>
      <c r="BK23" s="63" t="n"/>
      <c r="BL23" s="63" t="n"/>
      <c r="BM23" s="63" t="n"/>
      <c r="BN23" s="63" t="n"/>
      <c r="BO23" s="63" t="n"/>
      <c r="BP23" s="63" t="n"/>
      <c r="BQ23" s="63" t="n"/>
      <c r="BR23" s="63" t="n"/>
      <c r="BS23" s="63" t="n"/>
      <c r="BT23" s="63" t="n"/>
      <c r="BU23" s="63" t="n"/>
      <c r="BV23" s="63" t="n"/>
      <c r="BW23" s="63" t="n"/>
      <c r="BX23" s="63" t="n"/>
      <c r="BY23" s="63" t="n"/>
      <c r="BZ23" s="63" t="n"/>
      <c r="CA23" s="63" t="n"/>
      <c r="CB23" s="63" t="n"/>
      <c r="CC23" s="63" t="n"/>
      <c r="CD23" s="63" t="n"/>
      <c r="CE23" s="63" t="n"/>
      <c r="CF23" s="63" t="n"/>
      <c r="CG23" s="63" t="n"/>
      <c r="CH23" s="63" t="n"/>
    </row>
    <row r="24" ht="15" customHeight="1" s="201">
      <c r="A24" s="147" t="inlineStr">
        <is>
          <t>Net Income to Six Peak</t>
        </is>
      </c>
      <c r="B24" s="149">
        <f>SUM(B20:B23)</f>
        <v/>
      </c>
      <c r="C24" s="149">
        <f>SUM(C20:C23)</f>
        <v/>
      </c>
      <c r="D24" s="149">
        <f>SUM(D20:D23)</f>
        <v/>
      </c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  <c r="AC24" s="63" t="n"/>
      <c r="AD24" s="63" t="n"/>
      <c r="AE24" s="63" t="n"/>
      <c r="AF24" s="63" t="n"/>
      <c r="AG24" s="63" t="n"/>
      <c r="AH24" s="63" t="n"/>
      <c r="AI24" s="63" t="n"/>
      <c r="AJ24" s="63" t="n"/>
      <c r="AK24" s="63" t="n"/>
      <c r="AL24" s="63" t="n"/>
      <c r="AM24" s="63" t="n"/>
      <c r="AN24" s="63" t="n"/>
      <c r="AO24" s="63" t="n"/>
      <c r="AP24" s="63" t="n"/>
      <c r="AQ24" s="63" t="n"/>
      <c r="AR24" s="63" t="n"/>
      <c r="AS24" s="63" t="n"/>
      <c r="AT24" s="63" t="n"/>
      <c r="AU24" s="63" t="n"/>
      <c r="AV24" s="63" t="n"/>
      <c r="AW24" s="63" t="n"/>
      <c r="AX24" s="63" t="n"/>
      <c r="AY24" s="63" t="n"/>
      <c r="AZ24" s="63" t="n"/>
      <c r="BA24" s="63" t="n"/>
      <c r="BB24" s="63" t="n"/>
      <c r="BC24" s="63" t="n"/>
      <c r="BD24" s="63" t="n"/>
      <c r="BE24" s="63" t="n"/>
      <c r="BF24" s="63" t="n"/>
      <c r="BG24" s="63" t="n"/>
      <c r="BH24" s="63" t="n"/>
      <c r="BI24" s="63" t="n"/>
      <c r="BJ24" s="63" t="n"/>
      <c r="BK24" s="63" t="n"/>
      <c r="BL24" s="63" t="n"/>
      <c r="BM24" s="63" t="n"/>
      <c r="BN24" s="63" t="n"/>
      <c r="BO24" s="63" t="n"/>
      <c r="BP24" s="63" t="n"/>
      <c r="BQ24" s="63" t="n"/>
      <c r="BR24" s="63" t="n"/>
      <c r="BS24" s="63" t="n"/>
      <c r="BT24" s="63" t="n"/>
      <c r="BU24" s="63" t="n"/>
      <c r="BV24" s="63" t="n"/>
      <c r="BW24" s="63" t="n"/>
      <c r="BX24" s="63" t="n"/>
      <c r="BY24" s="63" t="n"/>
      <c r="BZ24" s="63" t="n"/>
      <c r="CA24" s="63" t="n"/>
      <c r="CB24" s="63" t="n"/>
      <c r="CC24" s="63" t="n"/>
      <c r="CD24" s="63" t="n"/>
      <c r="CE24" s="63" t="n"/>
      <c r="CF24" s="63" t="n"/>
      <c r="CG24" s="63" t="n"/>
      <c r="CH24" s="63" t="n"/>
    </row>
    <row r="25" ht="15" customHeight="1" s="201">
      <c r="A25" s="126" t="n"/>
      <c r="B25" s="187" t="n"/>
      <c r="C25" s="187" t="n"/>
      <c r="D25" s="187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  <c r="AC25" s="63" t="n"/>
      <c r="AD25" s="63" t="n"/>
      <c r="AE25" s="63" t="n"/>
      <c r="AF25" s="63" t="n"/>
      <c r="AG25" s="63" t="n"/>
      <c r="AH25" s="63" t="n"/>
      <c r="AI25" s="63" t="n"/>
      <c r="AJ25" s="63" t="n"/>
      <c r="AK25" s="63" t="n"/>
      <c r="AL25" s="63" t="n"/>
      <c r="AM25" s="63" t="n"/>
      <c r="AN25" s="63" t="n"/>
      <c r="AO25" s="63" t="n"/>
      <c r="AP25" s="63" t="n"/>
      <c r="AQ25" s="63" t="n"/>
      <c r="AR25" s="63" t="n"/>
      <c r="AS25" s="63" t="n"/>
      <c r="AT25" s="63" t="n"/>
      <c r="AU25" s="63" t="n"/>
      <c r="AV25" s="63" t="n"/>
      <c r="AW25" s="63" t="n"/>
      <c r="AX25" s="63" t="n"/>
      <c r="AY25" s="63" t="n"/>
      <c r="AZ25" s="63" t="n"/>
      <c r="BA25" s="63" t="n"/>
      <c r="BB25" s="63" t="n"/>
      <c r="BC25" s="63" t="n"/>
      <c r="BD25" s="63" t="n"/>
      <c r="BE25" s="63" t="n"/>
      <c r="BF25" s="63" t="n"/>
      <c r="BG25" s="63" t="n"/>
      <c r="BH25" s="63" t="n"/>
      <c r="BI25" s="63" t="n"/>
      <c r="BJ25" s="63" t="n"/>
      <c r="BK25" s="63" t="n"/>
      <c r="BL25" s="63" t="n"/>
      <c r="BM25" s="63" t="n"/>
      <c r="BN25" s="63" t="n"/>
      <c r="BO25" s="63" t="n"/>
      <c r="BP25" s="63" t="n"/>
      <c r="BQ25" s="63" t="n"/>
      <c r="BR25" s="63" t="n"/>
      <c r="BS25" s="63" t="n"/>
      <c r="BT25" s="63" t="n"/>
      <c r="BU25" s="63" t="n"/>
      <c r="BV25" s="63" t="n"/>
      <c r="BW25" s="63" t="n"/>
      <c r="BX25" s="63" t="n"/>
      <c r="BY25" s="63" t="n"/>
      <c r="BZ25" s="63" t="n"/>
      <c r="CA25" s="63" t="n"/>
      <c r="CB25" s="63" t="n"/>
      <c r="CC25" s="63" t="n"/>
      <c r="CD25" s="63" t="n"/>
      <c r="CE25" s="63" t="n"/>
      <c r="CF25" s="63" t="n"/>
      <c r="CG25" s="63" t="n"/>
      <c r="CH25" s="63" t="n"/>
    </row>
    <row r="26" ht="15" customHeight="1" s="201">
      <c r="A26" s="188" t="inlineStr">
        <is>
          <t>COMBINED</t>
        </is>
      </c>
      <c r="B26" s="189" t="n"/>
      <c r="C26" s="189" t="n"/>
      <c r="D26" s="189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  <c r="AC26" s="63" t="n"/>
      <c r="AD26" s="63" t="n"/>
      <c r="AE26" s="63" t="n"/>
      <c r="AF26" s="63" t="n"/>
      <c r="AG26" s="63" t="n"/>
      <c r="AH26" s="63" t="n"/>
      <c r="AI26" s="63" t="n"/>
      <c r="AJ26" s="63" t="n"/>
      <c r="AK26" s="63" t="n"/>
      <c r="AL26" s="63" t="n"/>
      <c r="AM26" s="63" t="n"/>
      <c r="AN26" s="63" t="n"/>
      <c r="AO26" s="63" t="n"/>
      <c r="AP26" s="63" t="n"/>
      <c r="AQ26" s="63" t="n"/>
      <c r="AR26" s="63" t="n"/>
      <c r="AS26" s="63" t="n"/>
      <c r="AT26" s="63" t="n"/>
      <c r="AU26" s="63" t="n"/>
      <c r="AV26" s="63" t="n"/>
      <c r="AW26" s="63" t="n"/>
      <c r="AX26" s="63" t="n"/>
      <c r="AY26" s="63" t="n"/>
      <c r="AZ26" s="63" t="n"/>
      <c r="BA26" s="63" t="n"/>
      <c r="BB26" s="63" t="n"/>
      <c r="BC26" s="63" t="n"/>
      <c r="BD26" s="63" t="n"/>
      <c r="BE26" s="63" t="n"/>
      <c r="BF26" s="63" t="n"/>
      <c r="BG26" s="63" t="n"/>
      <c r="BH26" s="63" t="n"/>
      <c r="BI26" s="63" t="n"/>
      <c r="BJ26" s="63" t="n"/>
      <c r="BK26" s="63" t="n"/>
      <c r="BL26" s="63" t="n"/>
      <c r="BM26" s="63" t="n"/>
      <c r="BN26" s="63" t="n"/>
      <c r="BO26" s="63" t="n"/>
      <c r="BP26" s="63" t="n"/>
      <c r="BQ26" s="63" t="n"/>
      <c r="BR26" s="63" t="n"/>
      <c r="BS26" s="63" t="n"/>
      <c r="BT26" s="63" t="n"/>
      <c r="BU26" s="63" t="n"/>
      <c r="BV26" s="63" t="n"/>
      <c r="BW26" s="63" t="n"/>
      <c r="BX26" s="63" t="n"/>
      <c r="BY26" s="63" t="n"/>
      <c r="BZ26" s="63" t="n"/>
      <c r="CA26" s="63" t="n"/>
      <c r="CB26" s="63" t="n"/>
      <c r="CC26" s="63" t="n"/>
      <c r="CD26" s="63" t="n"/>
      <c r="CE26" s="63" t="n"/>
      <c r="CF26" s="63" t="n"/>
      <c r="CG26" s="63" t="n"/>
      <c r="CH26" s="63" t="n"/>
    </row>
    <row r="27" ht="15" customHeight="1" s="201">
      <c r="A27" s="190" t="inlineStr">
        <is>
          <t>Total LIHTC Revenue</t>
        </is>
      </c>
      <c r="B27" s="191">
        <f>B6+B13+B20</f>
        <v/>
      </c>
      <c r="C27" s="191">
        <f>C6+C13+C20</f>
        <v/>
      </c>
      <c r="D27" s="191">
        <f>D6+D13+D20</f>
        <v/>
      </c>
      <c r="E27" s="107" t="n"/>
      <c r="F27" s="107" t="n"/>
      <c r="G27" s="107" t="n"/>
      <c r="H27" s="107" t="n"/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107" t="n"/>
      <c r="AN27" s="107" t="n"/>
      <c r="AO27" s="107" t="n"/>
      <c r="AP27" s="107" t="n"/>
      <c r="AQ27" s="107" t="n"/>
      <c r="AR27" s="107" t="n"/>
      <c r="AS27" s="107" t="n"/>
      <c r="AT27" s="107" t="n"/>
      <c r="AU27" s="107" t="n"/>
      <c r="AV27" s="107" t="n"/>
      <c r="AW27" s="107" t="n"/>
      <c r="AX27" s="107" t="n"/>
      <c r="AY27" s="107" t="n"/>
      <c r="AZ27" s="107" t="n"/>
      <c r="BA27" s="107" t="n"/>
      <c r="BB27" s="107" t="n"/>
      <c r="BC27" s="107" t="n"/>
      <c r="BD27" s="107" t="n"/>
      <c r="BE27" s="107" t="n"/>
      <c r="BF27" s="107" t="n"/>
      <c r="BG27" s="107" t="n"/>
      <c r="BH27" s="107" t="n"/>
      <c r="BI27" s="107" t="n"/>
      <c r="BJ27" s="107" t="n"/>
      <c r="BK27" s="107" t="n"/>
      <c r="BL27" s="107" t="n"/>
      <c r="BM27" s="107" t="n"/>
      <c r="BN27" s="107" t="n"/>
      <c r="BO27" s="107" t="n"/>
      <c r="BP27" s="107" t="n"/>
      <c r="BQ27" s="107" t="n"/>
      <c r="BR27" s="107" t="n"/>
      <c r="BS27" s="107" t="n"/>
      <c r="BT27" s="107" t="n"/>
      <c r="BU27" s="107" t="n"/>
      <c r="BV27" s="107" t="n"/>
      <c r="BW27" s="107" t="n"/>
      <c r="BX27" s="107" t="n"/>
      <c r="BY27" s="107" t="n"/>
      <c r="BZ27" s="107" t="n"/>
      <c r="CA27" s="107" t="n"/>
      <c r="CB27" s="107" t="n"/>
      <c r="CC27" s="107" t="n"/>
      <c r="CD27" s="107" t="n"/>
      <c r="CE27" s="107" t="n"/>
      <c r="CF27" s="107" t="n"/>
      <c r="CG27" s="107" t="n"/>
      <c r="CH27" s="107" t="n"/>
    </row>
    <row r="28" ht="15" customHeight="1" s="201">
      <c r="A28" s="107" t="inlineStr">
        <is>
          <t>Total GMP Fees</t>
        </is>
      </c>
      <c r="B28" s="63">
        <f>B7+B14+B21</f>
        <v/>
      </c>
      <c r="C28" s="63">
        <f>C7+C14+C21</f>
        <v/>
      </c>
      <c r="D28" s="63">
        <f>D7+D14+D21</f>
        <v/>
      </c>
      <c r="E28" s="107" t="n"/>
      <c r="F28" s="107" t="n"/>
      <c r="G28" s="107" t="n"/>
      <c r="H28" s="107" t="n"/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107" t="n"/>
      <c r="AO28" s="107" t="n"/>
      <c r="AP28" s="107" t="n"/>
      <c r="AQ28" s="107" t="n"/>
      <c r="AR28" s="107" t="n"/>
      <c r="AS28" s="107" t="n"/>
      <c r="AT28" s="107" t="n"/>
      <c r="AU28" s="107" t="n"/>
      <c r="AV28" s="107" t="n"/>
      <c r="AW28" s="107" t="n"/>
      <c r="AX28" s="107" t="n"/>
      <c r="AY28" s="107" t="n"/>
      <c r="AZ28" s="107" t="n"/>
      <c r="BA28" s="107" t="n"/>
      <c r="BB28" s="107" t="n"/>
      <c r="BC28" s="107" t="n"/>
      <c r="BD28" s="107" t="n"/>
      <c r="BE28" s="107" t="n"/>
      <c r="BF28" s="107" t="n"/>
      <c r="BG28" s="107" t="n"/>
      <c r="BH28" s="107" t="n"/>
      <c r="BI28" s="107" t="n"/>
      <c r="BJ28" s="107" t="n"/>
      <c r="BK28" s="107" t="n"/>
      <c r="BL28" s="107" t="n"/>
      <c r="BM28" s="107" t="n"/>
      <c r="BN28" s="107" t="n"/>
      <c r="BO28" s="107" t="n"/>
      <c r="BP28" s="107" t="n"/>
      <c r="BQ28" s="107" t="n"/>
      <c r="BR28" s="107" t="n"/>
      <c r="BS28" s="107" t="n"/>
      <c r="BT28" s="107" t="n"/>
      <c r="BU28" s="107" t="n"/>
      <c r="BV28" s="107" t="n"/>
      <c r="BW28" s="107" t="n"/>
      <c r="BX28" s="107" t="n"/>
      <c r="BY28" s="107" t="n"/>
      <c r="BZ28" s="107" t="n"/>
      <c r="CA28" s="107" t="n"/>
      <c r="CB28" s="107" t="n"/>
      <c r="CC28" s="107" t="n"/>
      <c r="CD28" s="107" t="n"/>
      <c r="CE28" s="107" t="n"/>
      <c r="CF28" s="107" t="n"/>
      <c r="CG28" s="107" t="n"/>
      <c r="CH28" s="107" t="n"/>
    </row>
    <row r="29" ht="15" customHeight="1" s="201">
      <c r="A29" s="192" t="inlineStr">
        <is>
          <t>Total Liquidity Fees</t>
        </is>
      </c>
      <c r="B29" s="193">
        <f>B8+B15+B22</f>
        <v/>
      </c>
      <c r="C29" s="193">
        <f>C8+C15+C22</f>
        <v/>
      </c>
      <c r="D29" s="193">
        <f>D8+D15+D22</f>
        <v/>
      </c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  <c r="AC29" s="63" t="n"/>
      <c r="AD29" s="63" t="n"/>
      <c r="AE29" s="63" t="n"/>
      <c r="AF29" s="63" t="n"/>
      <c r="AG29" s="63" t="n"/>
      <c r="AH29" s="63" t="n"/>
      <c r="AI29" s="63" t="n"/>
      <c r="AJ29" s="63" t="n"/>
      <c r="AK29" s="63" t="n"/>
      <c r="AL29" s="63" t="n"/>
      <c r="AM29" s="63" t="n"/>
      <c r="AN29" s="63" t="n"/>
      <c r="AO29" s="63" t="n"/>
      <c r="AP29" s="63" t="n"/>
      <c r="AQ29" s="63" t="n"/>
      <c r="AR29" s="63" t="n"/>
      <c r="AS29" s="63" t="n"/>
      <c r="AT29" s="63" t="n"/>
      <c r="AU29" s="63" t="n"/>
      <c r="AV29" s="63" t="n"/>
      <c r="AW29" s="63" t="n"/>
      <c r="AX29" s="63" t="n"/>
      <c r="AY29" s="63" t="n"/>
      <c r="AZ29" s="63" t="n"/>
      <c r="BA29" s="63" t="n"/>
      <c r="BB29" s="63" t="n"/>
      <c r="BC29" s="63" t="n"/>
      <c r="BD29" s="63" t="n"/>
      <c r="BE29" s="63" t="n"/>
      <c r="BF29" s="63" t="n"/>
      <c r="BG29" s="63" t="n"/>
      <c r="BH29" s="63" t="n"/>
      <c r="BI29" s="63" t="n"/>
      <c r="BJ29" s="63" t="n"/>
      <c r="BK29" s="63" t="n"/>
      <c r="BL29" s="63" t="n"/>
      <c r="BM29" s="63" t="n"/>
      <c r="BN29" s="63" t="n"/>
      <c r="BO29" s="63" t="n"/>
      <c r="BP29" s="63" t="n"/>
      <c r="BQ29" s="63" t="n"/>
      <c r="BR29" s="63" t="n"/>
      <c r="BS29" s="63" t="n"/>
      <c r="BT29" s="63" t="n"/>
      <c r="BU29" s="63" t="n"/>
      <c r="BV29" s="63" t="n"/>
      <c r="BW29" s="63" t="n"/>
      <c r="BX29" s="63" t="n"/>
      <c r="BY29" s="63" t="n"/>
      <c r="BZ29" s="63" t="n"/>
      <c r="CA29" s="63" t="n"/>
      <c r="CB29" s="63" t="n"/>
      <c r="CC29" s="63" t="n"/>
      <c r="CD29" s="63" t="n"/>
      <c r="CE29" s="63" t="n"/>
      <c r="CF29" s="63" t="n"/>
      <c r="CG29" s="63" t="n"/>
      <c r="CH29" s="63" t="n"/>
    </row>
    <row r="30" ht="15" customHeight="1" s="201">
      <c r="A30" s="194" t="inlineStr">
        <is>
          <t>Total PIK Interest</t>
        </is>
      </c>
      <c r="B30" s="195">
        <f>B9+B16+B23</f>
        <v/>
      </c>
      <c r="C30" s="195">
        <f>C9+C16+C23</f>
        <v/>
      </c>
      <c r="D30" s="195">
        <f>D9+D16+D23</f>
        <v/>
      </c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  <c r="AC30" s="63" t="n"/>
      <c r="AD30" s="63" t="n"/>
      <c r="AE30" s="63" t="n"/>
      <c r="AF30" s="63" t="n"/>
      <c r="AG30" s="63" t="n"/>
      <c r="AH30" s="63" t="n"/>
      <c r="AI30" s="63" t="n"/>
      <c r="AJ30" s="63" t="n"/>
      <c r="AK30" s="63" t="n"/>
      <c r="AL30" s="63" t="n"/>
      <c r="AM30" s="63" t="n"/>
      <c r="AN30" s="63" t="n"/>
      <c r="AO30" s="63" t="n"/>
      <c r="AP30" s="63" t="n"/>
      <c r="AQ30" s="63" t="n"/>
      <c r="AR30" s="63" t="n"/>
      <c r="AS30" s="63" t="n"/>
      <c r="AT30" s="63" t="n"/>
      <c r="AU30" s="63" t="n"/>
      <c r="AV30" s="63" t="n"/>
      <c r="AW30" s="63" t="n"/>
      <c r="AX30" s="63" t="n"/>
      <c r="AY30" s="63" t="n"/>
      <c r="AZ30" s="63" t="n"/>
      <c r="BA30" s="63" t="n"/>
      <c r="BB30" s="63" t="n"/>
      <c r="BC30" s="63" t="n"/>
      <c r="BD30" s="63" t="n"/>
      <c r="BE30" s="63" t="n"/>
      <c r="BF30" s="63" t="n"/>
      <c r="BG30" s="63" t="n"/>
      <c r="BH30" s="63" t="n"/>
      <c r="BI30" s="63" t="n"/>
      <c r="BJ30" s="63" t="n"/>
      <c r="BK30" s="63" t="n"/>
      <c r="BL30" s="63" t="n"/>
      <c r="BM30" s="63" t="n"/>
      <c r="BN30" s="63" t="n"/>
      <c r="BO30" s="63" t="n"/>
      <c r="BP30" s="63" t="n"/>
      <c r="BQ30" s="63" t="n"/>
      <c r="BR30" s="63" t="n"/>
      <c r="BS30" s="63" t="n"/>
      <c r="BT30" s="63" t="n"/>
      <c r="BU30" s="63" t="n"/>
      <c r="BV30" s="63" t="n"/>
      <c r="BW30" s="63" t="n"/>
      <c r="BX30" s="63" t="n"/>
      <c r="BY30" s="63" t="n"/>
      <c r="BZ30" s="63" t="n"/>
      <c r="CA30" s="63" t="n"/>
      <c r="CB30" s="63" t="n"/>
      <c r="CC30" s="63" t="n"/>
      <c r="CD30" s="63" t="n"/>
      <c r="CE30" s="63" t="n"/>
      <c r="CF30" s="63" t="n"/>
      <c r="CG30" s="63" t="n"/>
      <c r="CH30" s="63" t="n"/>
    </row>
    <row r="31" ht="15" customHeight="1" s="201">
      <c r="A31" s="4" t="inlineStr">
        <is>
          <t>Combined Net Income to Six Peak</t>
        </is>
      </c>
      <c r="B31" s="5">
        <f>B10+B17+B24</f>
        <v/>
      </c>
      <c r="C31" s="5">
        <f>C10+C17+C24</f>
        <v/>
      </c>
      <c r="D31" s="5">
        <f>D10+D17+D24</f>
        <v/>
      </c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  <c r="AC31" s="63" t="n"/>
      <c r="AD31" s="63" t="n"/>
      <c r="AE31" s="63" t="n"/>
      <c r="AF31" s="63" t="n"/>
      <c r="AG31" s="63" t="n"/>
      <c r="AH31" s="63" t="n"/>
      <c r="AI31" s="63" t="n"/>
      <c r="AJ31" s="63" t="n"/>
      <c r="AK31" s="63" t="n"/>
      <c r="AL31" s="63" t="n"/>
      <c r="AM31" s="63" t="n"/>
      <c r="AN31" s="63" t="n"/>
      <c r="AO31" s="63" t="n"/>
      <c r="AP31" s="63" t="n"/>
      <c r="AQ31" s="63" t="n"/>
      <c r="AR31" s="63" t="n"/>
      <c r="AS31" s="63" t="n"/>
      <c r="AT31" s="63" t="n"/>
      <c r="AU31" s="63" t="n"/>
      <c r="AV31" s="63" t="n"/>
      <c r="AW31" s="63" t="n"/>
      <c r="AX31" s="63" t="n"/>
      <c r="AY31" s="63" t="n"/>
      <c r="AZ31" s="63" t="n"/>
      <c r="BA31" s="63" t="n"/>
      <c r="BB31" s="63" t="n"/>
      <c r="BC31" s="63" t="n"/>
      <c r="BD31" s="63" t="n"/>
      <c r="BE31" s="63" t="n"/>
      <c r="BF31" s="63" t="n"/>
      <c r="BG31" s="63" t="n"/>
      <c r="BH31" s="63" t="n"/>
      <c r="BI31" s="63" t="n"/>
      <c r="BJ31" s="63" t="n"/>
      <c r="BK31" s="63" t="n"/>
      <c r="BL31" s="63" t="n"/>
      <c r="BM31" s="63" t="n"/>
      <c r="BN31" s="63" t="n"/>
      <c r="BO31" s="63" t="n"/>
      <c r="BP31" s="63" t="n"/>
      <c r="BQ31" s="63" t="n"/>
      <c r="BR31" s="63" t="n"/>
      <c r="BS31" s="63" t="n"/>
      <c r="BT31" s="63" t="n"/>
      <c r="BU31" s="63" t="n"/>
      <c r="BV31" s="63" t="n"/>
      <c r="BW31" s="63" t="n"/>
      <c r="BX31" s="63" t="n"/>
      <c r="BY31" s="63" t="n"/>
      <c r="BZ31" s="63" t="n"/>
      <c r="CA31" s="63" t="n"/>
      <c r="CB31" s="63" t="n"/>
      <c r="CC31" s="63" t="n"/>
      <c r="CD31" s="63" t="n"/>
      <c r="CE31" s="63" t="n"/>
      <c r="CF31" s="63" t="n"/>
      <c r="CG31" s="63" t="n"/>
      <c r="CH31" s="63" t="n"/>
    </row>
    <row r="32" ht="15" customHeight="1" s="201">
      <c r="A32" s="196" t="n"/>
      <c r="B32" s="197" t="n"/>
      <c r="C32" s="197" t="n"/>
      <c r="D32" s="197" t="n"/>
      <c r="E32" s="107" t="n"/>
      <c r="F32" s="107" t="n"/>
      <c r="G32" s="107" t="n"/>
      <c r="H32" s="107" t="n"/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107" t="n"/>
      <c r="AN32" s="107" t="n"/>
      <c r="AO32" s="107" t="n"/>
      <c r="AP32" s="107" t="n"/>
      <c r="AQ32" s="107" t="n"/>
      <c r="AR32" s="107" t="n"/>
      <c r="AS32" s="107" t="n"/>
      <c r="AT32" s="107" t="n"/>
      <c r="AU32" s="107" t="n"/>
      <c r="AV32" s="107" t="n"/>
      <c r="AW32" s="107" t="n"/>
      <c r="AX32" s="107" t="n"/>
      <c r="AY32" s="107" t="n"/>
      <c r="AZ32" s="107" t="n"/>
      <c r="BA32" s="107" t="n"/>
      <c r="BB32" s="107" t="n"/>
      <c r="BC32" s="107" t="n"/>
      <c r="BD32" s="107" t="n"/>
      <c r="BE32" s="107" t="n"/>
      <c r="BF32" s="107" t="n"/>
      <c r="BG32" s="107" t="n"/>
      <c r="BH32" s="107" t="n"/>
      <c r="BI32" s="107" t="n"/>
      <c r="BJ32" s="107" t="n"/>
      <c r="BK32" s="107" t="n"/>
      <c r="BL32" s="107" t="n"/>
      <c r="BM32" s="107" t="n"/>
      <c r="BN32" s="107" t="n"/>
      <c r="BO32" s="107" t="n"/>
      <c r="BP32" s="107" t="n"/>
      <c r="BQ32" s="107" t="n"/>
      <c r="BR32" s="107" t="n"/>
      <c r="BS32" s="107" t="n"/>
      <c r="BT32" s="107" t="n"/>
      <c r="BU32" s="107" t="n"/>
      <c r="BV32" s="107" t="n"/>
      <c r="BW32" s="107" t="n"/>
      <c r="BX32" s="107" t="n"/>
      <c r="BY32" s="107" t="n"/>
      <c r="BZ32" s="107" t="n"/>
      <c r="CA32" s="107" t="n"/>
      <c r="CB32" s="107" t="n"/>
      <c r="CC32" s="107" t="n"/>
      <c r="CD32" s="107" t="n"/>
      <c r="CE32" s="107" t="n"/>
      <c r="CF32" s="107" t="n"/>
      <c r="CG32" s="107" t="n"/>
      <c r="CH32" s="107" t="n"/>
    </row>
    <row r="33" ht="15" customHeight="1" s="201">
      <c r="A33" s="126" t="n"/>
      <c r="B33" s="187" t="n"/>
      <c r="C33" s="187" t="n"/>
      <c r="D33" s="187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  <c r="AG33" s="63" t="n"/>
      <c r="AH33" s="63" t="n"/>
      <c r="AI33" s="63" t="n"/>
      <c r="AJ33" s="63" t="n"/>
      <c r="AK33" s="63" t="n"/>
      <c r="AL33" s="63" t="n"/>
      <c r="AM33" s="63" t="n"/>
      <c r="AN33" s="63" t="n"/>
      <c r="AO33" s="63" t="n"/>
      <c r="AP33" s="63" t="n"/>
      <c r="AQ33" s="63" t="n"/>
      <c r="AR33" s="63" t="n"/>
      <c r="AS33" s="63" t="n"/>
      <c r="AT33" s="63" t="n"/>
      <c r="AU33" s="63" t="n"/>
      <c r="AV33" s="63" t="n"/>
      <c r="AW33" s="63" t="n"/>
      <c r="AX33" s="63" t="n"/>
      <c r="AY33" s="63" t="n"/>
      <c r="AZ33" s="63" t="n"/>
      <c r="BA33" s="63" t="n"/>
      <c r="BB33" s="63" t="n"/>
      <c r="BC33" s="63" t="n"/>
      <c r="BD33" s="63" t="n"/>
      <c r="BE33" s="63" t="n"/>
      <c r="BF33" s="63" t="n"/>
      <c r="BG33" s="63" t="n"/>
      <c r="BH33" s="63" t="n"/>
      <c r="BI33" s="63" t="n"/>
      <c r="BJ33" s="63" t="n"/>
      <c r="BK33" s="63" t="n"/>
      <c r="BL33" s="63" t="n"/>
      <c r="BM33" s="63" t="n"/>
      <c r="BN33" s="63" t="n"/>
      <c r="BO33" s="63" t="n"/>
      <c r="BP33" s="63" t="n"/>
      <c r="BQ33" s="63" t="n"/>
      <c r="BR33" s="63" t="n"/>
      <c r="BS33" s="63" t="n"/>
      <c r="BT33" s="63" t="n"/>
      <c r="BU33" s="63" t="n"/>
      <c r="BV33" s="63" t="n"/>
      <c r="BW33" s="63" t="n"/>
      <c r="BX33" s="63" t="n"/>
      <c r="BY33" s="63" t="n"/>
      <c r="BZ33" s="63" t="n"/>
      <c r="CA33" s="63" t="n"/>
      <c r="CB33" s="63" t="n"/>
      <c r="CC33" s="63" t="n"/>
      <c r="CD33" s="63" t="n"/>
      <c r="CE33" s="63" t="n"/>
      <c r="CF33" s="63" t="n"/>
      <c r="CG33" s="63" t="n"/>
      <c r="CH33" s="63" t="n"/>
    </row>
    <row r="34" ht="15" customHeight="1" s="201">
      <c r="A34" s="196" t="n"/>
      <c r="B34" s="197" t="n"/>
      <c r="C34" s="197" t="n"/>
      <c r="D34" s="197" t="n"/>
    </row>
    <row r="35" ht="15" customHeight="1" s="201">
      <c r="A35" s="174" t="n"/>
      <c r="B35" s="175" t="n"/>
      <c r="C35" s="175" t="n"/>
      <c r="D35" s="175" t="n"/>
    </row>
    <row r="37" ht="15" customHeight="1" s="201">
      <c r="A37" s="198" t="n"/>
    </row>
    <row r="38" ht="15" customHeight="1" s="201">
      <c r="A38" s="199" t="n"/>
    </row>
    <row r="39" ht="15" customHeight="1" s="201">
      <c r="A39" s="199" t="n"/>
    </row>
    <row r="40" ht="15" customHeight="1" s="201">
      <c r="A40" s="199" t="inlineStr">
        <is>
          <t>Interest Carry = Steyn balance accrual (GMP + Liquidity unpaid balance interest)</t>
        </is>
      </c>
    </row>
    <row r="41" ht="15" customHeight="1" s="201">
      <c r="A41" s="199" t="inlineStr">
        <is>
          <t>PIK Interest = 15% annual (3.75% quarterly) on Project Investment Capital</t>
        </is>
      </c>
    </row>
    <row r="42" ht="15" customHeight="1" s="201">
      <c r="A42" s="199" t="inlineStr">
        <is>
          <t>3rd St: 36 remaining quarterly LIHTC payments at $73,155; PIK balance of $570K fully repaid post-model</t>
        </is>
      </c>
    </row>
    <row r="43" ht="15" customHeight="1" s="201">
      <c r="A43" s="199" t="inlineStr">
        <is>
          <t>Reseda: 28 remaining quarterly LIHTC payments at $81,362; PIK and Steyn fully repaid in-model</t>
        </is>
      </c>
    </row>
    <row r="44" ht="15" customHeight="1" s="201">
      <c r="A44" s="199" t="inlineStr">
        <is>
          <t>Reseda: 28 post-model quarterly LIHTC payments at $81,362; PIK and Steyn fully repaid in-model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2026-03-23T03:32:22Z</dcterms:created>
  <dcterms:modified xmlns:dcterms="http://purl.org/dc/terms/" xmlns:xsi="http://www.w3.org/2001/XMLSchema-instance" xsi:type="dcterms:W3CDTF">2026-04-24T13:24:49Z</dcterms:modified>
  <cp:lastModifiedBy>Chris Aiello</cp:lastModifiedBy>
  <cp:revision>0</cp:revision>
</cp:coreProperties>
</file>