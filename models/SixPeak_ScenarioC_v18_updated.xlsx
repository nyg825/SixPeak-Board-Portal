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<sst xmlns="http://schemas.openxmlformats.org/spreadsheetml/2006/main" count="1173" uniqueCount="696">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</sst>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100032817.645079</v>
      </c>
      <c r="D3" s="7" t="n">
        <f aca="false">Model!X7+Model!Y7+Model!Z7+Model!AA7+Model!AB7+Model!AC7+Model!AD7+Model!AE7+Model!AF7+Model!AG7+Model!AH7+Model!AI7</f>
        <v>52988676.793636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4278346.6172676</v>
      </c>
      <c r="D5" s="10" t="n">
        <f aca="false">Model!X8+Model!Y8+Model!Z8+Model!AA8+Model!AB8+Model!AC8+Model!AD8+Model!AE8+Model!AF8+Model!AG8+Model!AH8+Model!AI8</f>
        <v>3175775.394865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4350699.45937286</v>
      </c>
      <c r="D6" s="10" t="n">
        <f aca="false">Model!X9+Model!Y9+Model!Z9+Model!AA9+Model!AB9+Model!AC9+Model!AD9+Model!AE9+Model!AF9+Model!AG9+Model!AH9+Model!AI9</f>
        <v>3175775.394865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1330897.18711552</v>
      </c>
      <c r="D7" s="10" t="n">
        <f aca="false">Model!X10+Model!Y10+Model!Z10+Model!AA10+Model!AB10+Model!AC10+Model!AD10+Model!AE10+Model!AF10+Model!AG10+Model!AH10+Model!AI10</f>
        <v>1058591.79828833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10638944.813756</v>
      </c>
      <c r="D9" s="12" t="n">
        <f aca="false">Model!X12+Model!Y12+Model!Z12+Model!AA12+Model!AB12+Model!AC12+Model!AD12+Model!AE12+Model!AF12+Model!AG12+Model!AH12+Model!AI12</f>
        <v>8030462.06801834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-6898330.7913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3740614.02245598</v>
      </c>
      <c r="D16" s="16" t="n">
        <f aca="false">Model!X40+Model!Y40+Model!Z40+Model!AA40+Model!AB40+Model!AC40+Model!AD40+Model!AE40+Model!AF40+Model!AG40+Model!AH40+Model!AI40</f>
        <v>1150732.54639234</v>
      </c>
      <c r="E16" s="16" t="n">
        <f aca="false">Model!AJ40+Model!AK40+Model!AL40+Model!AM40+Model!AN40+Model!AO40+Model!AP40+Model!AQ40+Model!AR40+Model!AS40+Model!AT40+Model!AU40</f>
        <v>-2043421.23171307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0.351596336661078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0.143295931995642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-0.567144887543756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1017620.0824</v>
      </c>
      <c r="D19" s="19" t="n">
        <f aca="false">Model!X63+Model!Y63+Model!Z63+Model!AA63+Model!AB63+Model!AC63+Model!AD63+Model!AE63+Model!AF63+Model!AG63+Model!AH63+Model!AI63</f>
        <v>2274992.5796</v>
      </c>
      <c r="E19" s="19" t="n">
        <f aca="false">Model!AJ63+Model!AK63+Model!AL63+Model!AM63+Model!AN63+Model!AO63+Model!AP63+Model!AQ63+Model!AR63+Model!AS63+Model!AT63+Model!AU63</f>
        <v>1366426.7664</v>
      </c>
      <c r="F19" s="19" t="n">
        <f aca="false">Model!AV63+Model!AW63+Model!AX63+Model!AY63+Model!AZ63+Model!BA63+Model!BB63+Model!BC63+Model!BD63+Model!BE63+Model!BF63+Model!BG63</f>
        <v>1802920.1488</v>
      </c>
      <c r="G19" s="19" t="n">
        <f aca="false">Model!BH63+Model!BI63+Model!BJ63+Model!BK63+Model!BL63+Model!BM63+Model!BN63+Model!BO63+Model!BP63+Model!BQ63+Model!BR63+Model!BS63</f>
        <v>822166.0928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-483556.5426</v>
      </c>
      <c r="D21" s="16" t="n">
        <f aca="false">Model!X86+Model!Y86+Model!Z86+Model!AA86+Model!AB86+Model!AC86+Model!AD86+Model!AE86+Model!AF86+Model!AG86+Model!AH86+Model!AI86</f>
        <v>743792.4221</v>
      </c>
      <c r="E21" s="16" t="n">
        <f aca="false">Model!AJ86+Model!AK86+Model!AL86+Model!AM86+Model!AN86+Model!AO86+Model!AP86+Model!AQ86+Model!AR86+Model!AS86+Model!AT86+Model!AU86</f>
        <v>-358762.39425</v>
      </c>
      <c r="F21" s="16" t="n">
        <f aca="false">Model!AV86+Model!AW86+Model!AX86+Model!AY86+Model!AZ86+Model!BA86+Model!BB86+Model!BC86+Model!BD86+Model!BE86+Model!BF86+Model!BG86</f>
        <v>-1067097.495063</v>
      </c>
      <c r="G21" s="16" t="n">
        <f aca="false">Model!BH86+Model!BI86+Model!BJ86+Model!BK86+Model!BL86+Model!BM86+Model!BN86+Model!BO86+Model!BP86+Model!BQ86+Model!BR86+Model!BS86</f>
        <v>-1230040.24394026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3257057.47985598</v>
      </c>
      <c r="D23" s="16" t="n">
        <f aca="false">Model!X95+Model!Y95+Model!Z95+Model!AA95+Model!AB95+Model!AC95+Model!AD95+Model!AE95+Model!AF95+Model!AG95+Model!AH95+Model!AI95</f>
        <v>1894524.96849234</v>
      </c>
      <c r="E23" s="16" t="n">
        <f aca="false">Model!AJ95+Model!AK95+Model!AL95+Model!AM95+Model!AN95+Model!AO95+Model!AP95+Model!AQ95+Model!AR95+Model!AS95+Model!AT95+Model!AU95</f>
        <v>-2402183.62596307</v>
      </c>
      <c r="F23" s="16" t="n">
        <f aca="false">Model!AV95+Model!AW95+Model!AX95+Model!AY95+Model!AZ95+Model!BA95+Model!BB95+Model!BC95+Model!BD95+Model!BE95+Model!BF95+Model!BG95</f>
        <v>-5103334.25088002</v>
      </c>
      <c r="G23" s="16" t="n">
        <f aca="false">Model!BH95+Model!BI95+Model!BJ95+Model!BK95+Model!BL95+Model!BM95+Model!BN95+Model!BO95+Model!BP95+Model!BQ95+Model!BR95+Model!BS95</f>
        <v>-7104573.59487362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7988273.75420893</v>
      </c>
      <c r="D42" s="21" t="n">
        <f aca="false">Model!AI147</f>
        <v>9139006.30060128</v>
      </c>
      <c r="E42" s="21" t="n">
        <f aca="false">Model!AU147</f>
        <v>7095585.06888821</v>
      </c>
      <c r="F42" s="21" t="n">
        <f aca="false">Model!BG147</f>
        <v>3059348.31307118</v>
      </c>
      <c r="G42" s="21" t="n">
        <f aca="false">Model!BS147</f>
        <v>-2815185.03786218</v>
      </c>
      <c r="H42" s="21" t="n">
        <f aca="false">Model!CE147</f>
        <v>-8807209.05581421</v>
      </c>
      <c r="I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-2665657.67588545</v>
      </c>
      <c r="D43" s="21" t="n">
        <f aca="false">Model!AI155</f>
        <v>-2171865.25378545</v>
      </c>
      <c r="E43" s="21" t="n">
        <f aca="false">Model!AU155</f>
        <v>-2780627.64803545</v>
      </c>
      <c r="F43" s="21" t="n">
        <f aca="false">Model!BG155</f>
        <v>-3847725.14309845</v>
      </c>
      <c r="G43" s="21" t="n">
        <f aca="false">Model!BS155</f>
        <v>-5077765.38703871</v>
      </c>
      <c r="H43" s="21" t="n">
        <f aca="false">Model!CE155</f>
        <v>-6446663.68091377</v>
      </c>
      <c r="I43" s="21" t="n">
        <f aca="false">Model!CH155</f>
        <v>-6767504.07558217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-977117.243956794</v>
      </c>
      <c r="E44" s="21" t="n">
        <f aca="false">Model!AJ159+Model!AK159+Model!AL159+Model!AM159+Model!AN159+Model!AO159+Model!AP159+Model!AQ159+Model!AR159+Model!AS159+Model!AT159+Model!AU159</f>
        <v>-568357.490547702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5322616.07832349</v>
      </c>
      <c r="D45" s="23" t="n">
        <f aca="false">Model!AI160</f>
        <v>6967141.04681583</v>
      </c>
      <c r="E45" s="23" t="n">
        <f aca="false">Model!AU160</f>
        <v>4314957.42085276</v>
      </c>
      <c r="F45" s="23" t="n">
        <f aca="false">Model!BG160</f>
        <v>-788376.830027265</v>
      </c>
      <c r="G45" s="23" t="n">
        <f aca="false">Model!BS160</f>
        <v>-7892950.42490089</v>
      </c>
      <c r="H45" s="23" t="n">
        <f aca="false">Model!CE160</f>
        <v>-15253872.736728</v>
      </c>
      <c r="I45" s="23" t="n">
        <f aca="false">Model!CH160</f>
        <v>-17080098.475808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8644039.13382798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8113949.68538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8026947.682303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7825890.752374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7442459.633722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6223765.833985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359322.566494361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303818.378994361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303818.378994361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303818.378994361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290923.642152256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290923.642152256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290923.642152256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290923.642152256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266375.344988893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367724.250704887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308332.063204887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308332.063204887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308332.063204887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290923.642152256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290923.642152256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290923.642152256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290923.642152256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266375.344988893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108013.672384085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96974.5473840852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96974.5473840852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96974.5473840852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96974.5473840852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96974.5473840852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96974.5473840852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96974.5473840852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88791.7816629642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835060.489583333</v>
      </c>
      <c r="S12" s="12" t="n">
        <f aca="false">S8+S9+S10+S11</f>
        <v>709124.989583333</v>
      </c>
      <c r="T12" s="12" t="n">
        <f aca="false">T8+T9+T10+T11</f>
        <v>709124.989583333</v>
      </c>
      <c r="U12" s="12" t="n">
        <f aca="false">U8+U9+U10+U11</f>
        <v>709124.989583333</v>
      </c>
      <c r="V12" s="12" t="n">
        <f aca="false">V8+V9+V10+V11</f>
        <v>678821.831688597</v>
      </c>
      <c r="W12" s="12" t="n">
        <f aca="false">W8+W9+W10+W11</f>
        <v>678821.831688597</v>
      </c>
      <c r="X12" s="12" t="n">
        <f aca="false">X8+X9+X10+X11</f>
        <v>678821.831688597</v>
      </c>
      <c r="Y12" s="12" t="n">
        <f aca="false">Y8+Y9+Y10+Y11</f>
        <v>678821.831688597</v>
      </c>
      <c r="Z12" s="12" t="n">
        <f aca="false">Z8+Z9+Z10+Z11</f>
        <v>621542.47164075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-454491.2957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-454491.2957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380569.193883333</v>
      </c>
      <c r="S40" s="16" t="n">
        <f aca="false">S12+S38</f>
        <v>254633.693883333</v>
      </c>
      <c r="T40" s="16" t="n">
        <f aca="false">T12+T38</f>
        <v>254633.693883333</v>
      </c>
      <c r="U40" s="16" t="n">
        <f aca="false">U12+U38</f>
        <v>254633.693883333</v>
      </c>
      <c r="V40" s="16" t="n">
        <f aca="false">V12+V38</f>
        <v>224330.535988597</v>
      </c>
      <c r="W40" s="16" t="n">
        <f aca="false">W12+W38</f>
        <v>224330.535988597</v>
      </c>
      <c r="X40" s="16" t="n">
        <f aca="false">X12+X38</f>
        <v>224330.535988597</v>
      </c>
      <c r="Y40" s="16" t="n">
        <f aca="false">Y12+Y38</f>
        <v>224330.535988597</v>
      </c>
      <c r="Z40" s="16" t="n">
        <f aca="false">Z12+Z38</f>
        <v>167051.17594075</v>
      </c>
      <c r="AA40" s="16" t="n">
        <f aca="false">AA12+AA38</f>
        <v>112834.537825793</v>
      </c>
      <c r="AB40" s="16" t="n">
        <f aca="false">AB12+AB38</f>
        <v>31340.6861511515</v>
      </c>
      <c r="AC40" s="16" t="n">
        <f aca="false">AC12+AC38</f>
        <v>-535719.040515515</v>
      </c>
      <c r="AD40" s="16" t="n">
        <f aca="false">AD12+AD38</f>
        <v>187987.019484485</v>
      </c>
      <c r="AE40" s="16" t="n">
        <f aca="false">AE12+AE38</f>
        <v>187987.019484485</v>
      </c>
      <c r="AF40" s="16" t="n">
        <f aca="false">AF12+AF38</f>
        <v>187987.019484485</v>
      </c>
      <c r="AG40" s="16" t="n">
        <f aca="false">AG12+AG38</f>
        <v>187987.019484485</v>
      </c>
      <c r="AH40" s="16" t="n">
        <f aca="false">AH12+AH38</f>
        <v>87308.0185375152</v>
      </c>
      <c r="AI40" s="16" t="n">
        <f aca="false">AI12+AI38</f>
        <v>87308.0185375152</v>
      </c>
      <c r="AJ40" s="16" t="n">
        <f aca="false">AJ12+AJ38</f>
        <v>-75451.2541897575</v>
      </c>
      <c r="AK40" s="16" t="n">
        <f aca="false">AK12+AK38</f>
        <v>-75451.2541897575</v>
      </c>
      <c r="AL40" s="16" t="n">
        <f aca="false">AL12+AL38</f>
        <v>-75451.2541897575</v>
      </c>
      <c r="AM40" s="16" t="n">
        <f aca="false">AM12+AM38</f>
        <v>-144741.372834159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0.455738474793873</v>
      </c>
      <c r="S41" s="32" t="n">
        <f aca="false">IF(S12&lt;&gt;0,S40/S12,0)</f>
        <v>0.359081540805593</v>
      </c>
      <c r="T41" s="32" t="n">
        <f aca="false">IF(T12&lt;&gt;0,T40/T12,0)</f>
        <v>0.359081540805593</v>
      </c>
      <c r="U41" s="32" t="n">
        <f aca="false">IF(U12&lt;&gt;0,U40/U12,0)</f>
        <v>0.359081540805593</v>
      </c>
      <c r="V41" s="32" t="n">
        <f aca="false">IF(V12&lt;&gt;0,V40/V12,0)</f>
        <v>0.330470420243505</v>
      </c>
      <c r="W41" s="32" t="n">
        <f aca="false">IF(W12&lt;&gt;0,W40/W12,0)</f>
        <v>0.330470420243505</v>
      </c>
      <c r="X41" s="32" t="n">
        <f aca="false">IF(X12&lt;&gt;0,X40/X12,0)</f>
        <v>0.330470420243505</v>
      </c>
      <c r="Y41" s="32" t="n">
        <f aca="false">IF(Y12&lt;&gt;0,Y40/Y12,0)</f>
        <v>0.330470420243505</v>
      </c>
      <c r="Z41" s="32" t="n">
        <f aca="false">IF(Z12&lt;&gt;0,Z40/Z12,0)</f>
        <v>0.268768722272136</v>
      </c>
      <c r="AA41" s="32" t="n">
        <f aca="false">IF(AA12&lt;&gt;0,AA40/AA12,0)</f>
        <v>0.19575203410583</v>
      </c>
      <c r="AB41" s="32" t="n">
        <f aca="false">IF(AB12&lt;&gt;0,AB40/AB12,0)</f>
        <v>0.0633245204786434</v>
      </c>
      <c r="AC41" s="32" t="n">
        <f aca="false">IF(AC12&lt;&gt;0,AC40/AC12,0)</f>
        <v>-0.421199979958004</v>
      </c>
      <c r="AD41" s="32" t="n">
        <f aca="false">IF(AD12&lt;&gt;0,AD40/AD12,0)</f>
        <v>0.288514750226363</v>
      </c>
      <c r="AE41" s="32" t="n">
        <f aca="false">IF(AE12&lt;&gt;0,AE40/AE12,0)</f>
        <v>0.288514750226363</v>
      </c>
      <c r="AF41" s="32" t="n">
        <f aca="false">IF(AF12&lt;&gt;0,AF40/AF12,0)</f>
        <v>0.288514750226363</v>
      </c>
      <c r="AG41" s="32" t="n">
        <f aca="false">IF(AG12&lt;&gt;0,AG40/AG12,0)</f>
        <v>0.288514750226363</v>
      </c>
      <c r="AH41" s="32" t="n">
        <f aca="false">IF(AH12&lt;&gt;0,AH40/AH12,0)</f>
        <v>0.158485641073814</v>
      </c>
      <c r="AI41" s="32" t="n">
        <f aca="false">IF(AI12&lt;&gt;0,AI40/AI12,0)</f>
        <v>0.158485641073814</v>
      </c>
      <c r="AJ41" s="32" t="n">
        <f aca="false">IF(AJ12&lt;&gt;0,AJ40/AJ12,0)</f>
        <v>-0.194396928766335</v>
      </c>
      <c r="AK41" s="32" t="n">
        <f aca="false">IF(AK12&lt;&gt;0,AK40/AK12,0)</f>
        <v>-0.194396928766335</v>
      </c>
      <c r="AL41" s="32" t="n">
        <f aca="false">IF(AL12&lt;&gt;0,AL40/AL12,0)</f>
        <v>-0.194396928766335</v>
      </c>
      <c r="AM41" s="32" t="n">
        <f aca="false">IF(AM12&lt;&gt;0,AM40/AM12,0)</f>
        <v>-0.441134887521423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12131.8304</v>
      </c>
      <c r="M62" s="10" t="n">
        <f aca="false">IF(Uplifters!$B$2="Yes",Uplifters!M107,0)</f>
        <v>12131.8304</v>
      </c>
      <c r="N62" s="10" t="n">
        <f aca="false">IF(Uplifters!$B$2="Yes",Uplifters!N107,0)</f>
        <v>12131.8304</v>
      </c>
      <c r="O62" s="10" t="n">
        <f aca="false">IF(Uplifters!$B$2="Yes",Uplifters!O107,0)</f>
        <v>12131.8304</v>
      </c>
      <c r="P62" s="10" t="n">
        <f aca="false">IF(Uplifters!$B$2="Yes",Uplifters!P107,0)</f>
        <v>12131.8304</v>
      </c>
      <c r="Q62" s="10" t="n">
        <f aca="false">IF(Uplifters!$B$2="Yes",Uplifters!Q107,0)</f>
        <v>12131.8304</v>
      </c>
      <c r="R62" s="10" t="n">
        <f aca="false">IF(Uplifters!$B$2="Yes",Uplifters!R107,0)</f>
        <v>16203.6928</v>
      </c>
      <c r="S62" s="10" t="n">
        <f aca="false">IF(Uplifters!$B$2="Yes",Uplifters!S107,0)</f>
        <v>32775.9552</v>
      </c>
      <c r="T62" s="10" t="n">
        <f aca="false">IF(Uplifters!$B$2="Yes",Uplifters!T107,0)</f>
        <v>49348.2176</v>
      </c>
      <c r="U62" s="10" t="n">
        <f aca="false">IF(Uplifters!$B$2="Yes",Uplifters!U107,0)</f>
        <v>65920.4736</v>
      </c>
      <c r="V62" s="10" t="n">
        <f aca="false">IF(Uplifters!$B$2="Yes",Uplifters!V107,0)</f>
        <v>82492.7424</v>
      </c>
      <c r="W62" s="10" t="n">
        <f aca="false">IF(Uplifters!$B$2="Yes",Uplifters!W107,0)</f>
        <v>99064.9984</v>
      </c>
      <c r="X62" s="10" t="n">
        <f aca="false">IF(Uplifters!$B$2="Yes",Uplifters!X107,0)</f>
        <v>115637.2544</v>
      </c>
      <c r="Y62" s="10" t="n">
        <f aca="false">IF(Uplifters!$B$2="Yes",Uplifters!Y107,0)</f>
        <v>132209.5168</v>
      </c>
      <c r="Z62" s="10" t="n">
        <f aca="false">IF(Uplifters!$B$2="Yes",Uplifters!Z107,0)</f>
        <v>148781.7856</v>
      </c>
      <c r="AA62" s="10" t="n">
        <f aca="false">IF(Uplifters!$B$2="Yes",Uplifters!AA107,0)</f>
        <v>165354.0416</v>
      </c>
      <c r="AB62" s="10" t="n">
        <f aca="false">IF(Uplifters!$B$2="Yes",Uplifters!AB107,0)</f>
        <v>181926.3104</v>
      </c>
      <c r="AC62" s="10" t="n">
        <f aca="false">IF(Uplifters!$B$2="Yes",Uplifters!AC107,0)</f>
        <v>227330.7904</v>
      </c>
      <c r="AD62" s="10" t="n">
        <f aca="false">IF(Uplifters!$B$2="Yes",Uplifters!AD107,0)</f>
        <v>170166.8864</v>
      </c>
      <c r="AE62" s="10" t="n">
        <f aca="false">IF(Uplifters!$B$2="Yes",Uplifters!AE107,0)</f>
        <v>170667.4432</v>
      </c>
      <c r="AF62" s="10" t="n">
        <f aca="false">IF(Uplifters!$B$2="Yes",Uplifters!AF107,0)</f>
        <v>171167.9872</v>
      </c>
      <c r="AG62" s="10" t="n">
        <f aca="false">IF(Uplifters!$B$2="Yes",Uplifters!AG107,0)</f>
        <v>171668.5376</v>
      </c>
      <c r="AH62" s="10" t="n">
        <f aca="false">IF(Uplifters!$B$2="Yes",Uplifters!AH107,0)</f>
        <v>172169.0816</v>
      </c>
      <c r="AI62" s="10" t="n">
        <f aca="false">IF(Uplifters!$B$2="Yes",Uplifters!AI107,0)</f>
        <v>189241.8944</v>
      </c>
      <c r="AJ62" s="10" t="n">
        <f aca="false">IF(Uplifters!$B$2="Yes",Uplifters!AJ107,0)</f>
        <v>173170.1888</v>
      </c>
      <c r="AK62" s="10" t="n">
        <f aca="false">IF(Uplifters!$B$2="Yes",Uplifters!AK107,0)</f>
        <v>157098.4768</v>
      </c>
      <c r="AL62" s="10" t="n">
        <f aca="false">IF(Uplifters!$B$2="Yes",Uplifters!AL107,0)</f>
        <v>141026.7648</v>
      </c>
      <c r="AM62" s="10" t="n">
        <f aca="false">IF(Uplifters!$B$2="Yes",Uplifters!AM107,0)</f>
        <v>124955.0464</v>
      </c>
      <c r="AN62" s="10" t="n">
        <f aca="false">IF(Uplifters!$B$2="Yes",Uplifters!AN107,0)</f>
        <v>108883.3408</v>
      </c>
      <c r="AO62" s="10" t="n">
        <f aca="false">IF(Uplifters!$B$2="Yes",Uplifters!AO107,0)</f>
        <v>92811.6288</v>
      </c>
      <c r="AP62" s="10" t="n">
        <f aca="false">IF(Uplifters!$B$2="Yes",Uplifters!AP107,0)</f>
        <v>76739.9104</v>
      </c>
      <c r="AQ62" s="10" t="n">
        <f aca="false">IF(Uplifters!$B$2="Yes",Uplifters!AQ107,0)</f>
        <v>60668.2048</v>
      </c>
      <c r="AR62" s="10" t="n">
        <f aca="false">IF(Uplifters!$B$2="Yes",Uplifters!AR107,0)</f>
        <v>44596.4928</v>
      </c>
      <c r="AS62" s="10" t="n">
        <f aca="false">IF(Uplifters!$B$2="Yes",Uplifters!AS107,0)</f>
        <v>96300.064</v>
      </c>
      <c r="AT62" s="10" t="n">
        <f aca="false">IF(Uplifters!$B$2="Yes",Uplifters!AT107,0)</f>
        <v>79727.808</v>
      </c>
      <c r="AU62" s="10" t="n">
        <f aca="false">IF(Uplifters!$B$2="Yes",Uplifters!AU107,0)</f>
        <v>47083.84</v>
      </c>
      <c r="AV62" s="10" t="n">
        <f aca="false">IF(Uplifters!$B$2="Yes",Uplifters!AV107,0)</f>
        <v>46583.2896</v>
      </c>
      <c r="AW62" s="10" t="n">
        <f aca="false">IF(Uplifters!$B$2="Yes",Uplifters!AW107,0)</f>
        <v>46082.7328</v>
      </c>
      <c r="AX62" s="10" t="n">
        <f aca="false">IF(Uplifters!$B$2="Yes",Uplifters!AX107,0)</f>
        <v>45582.1888</v>
      </c>
      <c r="AY62" s="10" t="n">
        <f aca="false">IF(Uplifters!$B$2="Yes",Uplifters!AY107,0)</f>
        <v>45081.6384</v>
      </c>
      <c r="AZ62" s="10" t="n">
        <f aca="false">IF(Uplifters!$B$2="Yes",Uplifters!AZ107,0)</f>
        <v>44581.088</v>
      </c>
      <c r="BA62" s="10" t="n">
        <f aca="false">IF(Uplifters!$B$2="Yes",Uplifters!BA107,0)</f>
        <v>44080.5376</v>
      </c>
      <c r="BB62" s="10" t="n">
        <f aca="false">IF(Uplifters!$B$2="Yes",Uplifters!BB107,0)</f>
        <v>43579.9872</v>
      </c>
      <c r="BC62" s="10" t="n">
        <f aca="false">IF(Uplifters!$B$2="Yes",Uplifters!BC107,0)</f>
        <v>43079.4368</v>
      </c>
      <c r="BD62" s="10" t="n">
        <f aca="false">IF(Uplifters!$B$2="Yes",Uplifters!BD107,0)</f>
        <v>42578.8864</v>
      </c>
      <c r="BE62" s="10" t="n">
        <f aca="false">IF(Uplifters!$B$2="Yes",Uplifters!BE107,0)</f>
        <v>42078.336</v>
      </c>
      <c r="BF62" s="10" t="n">
        <f aca="false">IF(Uplifters!$B$2="Yes",Uplifters!BF107,0)</f>
        <v>41577.7856</v>
      </c>
      <c r="BG62" s="10" t="n">
        <f aca="false">IF(Uplifters!$B$2="Yes",Uplifters!BG107,0)</f>
        <v>41077.2416</v>
      </c>
      <c r="BH62" s="10" t="n">
        <f aca="false">IF(Uplifters!$B$2="Yes",Uplifters!BH107,0)</f>
        <v>69777.4848</v>
      </c>
      <c r="BI62" s="10" t="n">
        <f aca="false">IF(Uplifters!$B$2="Yes",Uplifters!BI107,0)</f>
        <v>69276.9344</v>
      </c>
      <c r="BJ62" s="10" t="n">
        <f aca="false">IF(Uplifters!$B$2="Yes",Uplifters!BJ107,0)</f>
        <v>136551.6736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69222.2904</v>
      </c>
      <c r="M63" s="34" t="n">
        <f aca="false">SUM(M46:M62)</f>
        <v>69222.2904</v>
      </c>
      <c r="N63" s="34" t="n">
        <f aca="false">SUM(N46:N62)</f>
        <v>69222.2904</v>
      </c>
      <c r="O63" s="34" t="n">
        <f aca="false">SUM(O46:O62)</f>
        <v>69222.2904</v>
      </c>
      <c r="P63" s="34" t="n">
        <f aca="false">SUM(P46:P62)</f>
        <v>69222.2904</v>
      </c>
      <c r="Q63" s="34" t="n">
        <f aca="false">SUM(Q46:Q62)</f>
        <v>69222.2904</v>
      </c>
      <c r="R63" s="34" t="n">
        <f aca="false">SUM(R46:R62)</f>
        <v>49387.9028</v>
      </c>
      <c r="S63" s="34" t="n">
        <f aca="false">SUM(S46:S62)</f>
        <v>65960.1652</v>
      </c>
      <c r="T63" s="34" t="n">
        <f aca="false">SUM(T46:T62)</f>
        <v>82532.4276</v>
      </c>
      <c r="U63" s="34" t="n">
        <f aca="false">SUM(U46:U62)</f>
        <v>99104.6836</v>
      </c>
      <c r="V63" s="34" t="n">
        <f aca="false">SUM(V46:V62)</f>
        <v>115676.9524</v>
      </c>
      <c r="W63" s="34" t="n">
        <f aca="false">SUM(W46:W62)</f>
        <v>189624.2084</v>
      </c>
      <c r="X63" s="34" t="n">
        <f aca="false">SUM(X46:X62)</f>
        <v>148821.4644</v>
      </c>
      <c r="Y63" s="34" t="n">
        <f aca="false">SUM(Y46:Y62)</f>
        <v>165393.7268</v>
      </c>
      <c r="Z63" s="34" t="n">
        <f aca="false">SUM(Z46:Z62)</f>
        <v>226709.4156</v>
      </c>
      <c r="AA63" s="34" t="n">
        <f aca="false">SUM(AA46:AA62)</f>
        <v>174854.0416</v>
      </c>
      <c r="AB63" s="34" t="n">
        <f aca="false">SUM(AB46:AB62)</f>
        <v>191426.3104</v>
      </c>
      <c r="AC63" s="34" t="n">
        <f aca="false">SUM(AC46:AC62)</f>
        <v>294205.7904</v>
      </c>
      <c r="AD63" s="34" t="n">
        <f aca="false">SUM(AD46:AD62)</f>
        <v>179666.8864</v>
      </c>
      <c r="AE63" s="34" t="n">
        <f aca="false">SUM(AE46:AE62)</f>
        <v>180167.4432</v>
      </c>
      <c r="AF63" s="34" t="n">
        <f aca="false">SUM(AF46:AF62)</f>
        <v>180667.9872</v>
      </c>
      <c r="AG63" s="34" t="n">
        <f aca="false">SUM(AG46:AG62)</f>
        <v>171668.5376</v>
      </c>
      <c r="AH63" s="34" t="n">
        <f aca="false">SUM(AH46:AH62)</f>
        <v>172169.0816</v>
      </c>
      <c r="AI63" s="34" t="n">
        <f aca="false">SUM(AI46:AI62)</f>
        <v>189241.8944</v>
      </c>
      <c r="AJ63" s="34" t="n">
        <f aca="false">SUM(AJ46:AJ62)</f>
        <v>173170.1888</v>
      </c>
      <c r="AK63" s="34" t="n">
        <f aca="false">SUM(AK46:AK62)</f>
        <v>157098.4768</v>
      </c>
      <c r="AL63" s="34" t="n">
        <f aca="false">SUM(AL46:AL62)</f>
        <v>141026.7648</v>
      </c>
      <c r="AM63" s="34" t="n">
        <f aca="false">SUM(AM46:AM62)</f>
        <v>124955.0464</v>
      </c>
      <c r="AN63" s="34" t="n">
        <f aca="false">SUM(AN46:AN62)</f>
        <v>108883.3408</v>
      </c>
      <c r="AO63" s="34" t="n">
        <f aca="false">SUM(AO46:AO62)</f>
        <v>92811.6288</v>
      </c>
      <c r="AP63" s="34" t="n">
        <f aca="false">SUM(AP46:AP62)</f>
        <v>76739.9104</v>
      </c>
      <c r="AQ63" s="34" t="n">
        <f aca="false">SUM(AQ46:AQ62)</f>
        <v>60668.2048</v>
      </c>
      <c r="AR63" s="34" t="n">
        <f aca="false">SUM(AR46:AR62)</f>
        <v>126279.4928</v>
      </c>
      <c r="AS63" s="34" t="n">
        <f aca="false">SUM(AS46:AS62)</f>
        <v>96300.064</v>
      </c>
      <c r="AT63" s="34" t="n">
        <f aca="false">SUM(AT46:AT62)</f>
        <v>79727.808</v>
      </c>
      <c r="AU63" s="34" t="n">
        <f aca="false">SUM(AU46:AU62)</f>
        <v>128765.84</v>
      </c>
      <c r="AV63" s="34" t="n">
        <f aca="false">SUM(AV46:AV62)</f>
        <v>46583.2896</v>
      </c>
      <c r="AW63" s="34" t="n">
        <f aca="false">SUM(AW46:AW62)</f>
        <v>46082.7328</v>
      </c>
      <c r="AX63" s="34" t="n">
        <f aca="false">SUM(AX46:AX62)</f>
        <v>127264.1888</v>
      </c>
      <c r="AY63" s="34" t="n">
        <f aca="false">SUM(AY46:AY62)</f>
        <v>45081.6384</v>
      </c>
      <c r="AZ63" s="34" t="n">
        <f aca="false">SUM(AZ46:AZ62)</f>
        <v>44581.088</v>
      </c>
      <c r="BA63" s="34" t="n">
        <f aca="false">SUM(BA46:BA62)</f>
        <v>977601.5376</v>
      </c>
      <c r="BB63" s="34" t="n">
        <f aca="false">SUM(BB46:BB62)</f>
        <v>43579.9872</v>
      </c>
      <c r="BC63" s="34" t="n">
        <f aca="false">SUM(BC46:BC62)</f>
        <v>43079.4368</v>
      </c>
      <c r="BD63" s="34" t="n">
        <f aca="false">SUM(BD46:BD62)</f>
        <v>173456.8864</v>
      </c>
      <c r="BE63" s="34" t="n">
        <f aca="false">SUM(BE46:BE62)</f>
        <v>42078.336</v>
      </c>
      <c r="BF63" s="34" t="n">
        <f aca="false">SUM(BF46:BF62)</f>
        <v>41577.7856</v>
      </c>
      <c r="BG63" s="34" t="n">
        <f aca="false">SUM(BG46:BG62)</f>
        <v>171953.2416</v>
      </c>
      <c r="BH63" s="34" t="n">
        <f aca="false">SUM(BH46:BH62)</f>
        <v>69777.4848</v>
      </c>
      <c r="BI63" s="34" t="n">
        <f aca="false">SUM(BI46:BI62)</f>
        <v>69276.9344</v>
      </c>
      <c r="BJ63" s="34" t="n">
        <f aca="false">SUM(BJ46:BJ62)</f>
        <v>267427.6736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-50342.2929333333</v>
      </c>
      <c r="M86" s="16" t="n">
        <f aca="false">M63+M84</f>
        <v>-50342.2929333333</v>
      </c>
      <c r="N86" s="16" t="n">
        <f aca="false">N63+N84</f>
        <v>-50342.2929333333</v>
      </c>
      <c r="O86" s="16" t="n">
        <f aca="false">O63+O84</f>
        <v>-52733.5846</v>
      </c>
      <c r="P86" s="16" t="n">
        <f aca="false">P63+P84</f>
        <v>-52733.5846</v>
      </c>
      <c r="Q86" s="16" t="n">
        <f aca="false">Q63+Q84</f>
        <v>-52733.5846</v>
      </c>
      <c r="R86" s="16" t="n">
        <f aca="false">R63+R84</f>
        <v>-96027.9722</v>
      </c>
      <c r="S86" s="16" t="n">
        <f aca="false">S63+S84</f>
        <v>-55995.7098</v>
      </c>
      <c r="T86" s="16" t="n">
        <f aca="false">T63+T84</f>
        <v>-39423.4474</v>
      </c>
      <c r="U86" s="16" t="n">
        <f aca="false">U63+U84</f>
        <v>-22851.1914</v>
      </c>
      <c r="V86" s="16" t="n">
        <f aca="false">V63+V84</f>
        <v>-6278.92260000002</v>
      </c>
      <c r="W86" s="16" t="n">
        <f aca="false">W63+W84</f>
        <v>46248.3334</v>
      </c>
      <c r="X86" s="16" t="n">
        <f aca="false">X63+X84</f>
        <v>26865.5894</v>
      </c>
      <c r="Y86" s="16" t="n">
        <f aca="false">Y63+Y84</f>
        <v>43437.8518</v>
      </c>
      <c r="Z86" s="16" t="n">
        <f aca="false">Z63+Z84</f>
        <v>104753.5406</v>
      </c>
      <c r="AA86" s="16" t="n">
        <f aca="false">AA63+AA84</f>
        <v>50459.0491</v>
      </c>
      <c r="AB86" s="16" t="n">
        <f aca="false">AB63+AB84</f>
        <v>67031.3179</v>
      </c>
      <c r="AC86" s="16" t="n">
        <f aca="false">AC63+AC84</f>
        <v>169810.7979</v>
      </c>
      <c r="AD86" s="16" t="n">
        <f aca="false">AD63+AD84</f>
        <v>31342.6939</v>
      </c>
      <c r="AE86" s="16" t="n">
        <f aca="false">AE63+AE84</f>
        <v>55772.4507</v>
      </c>
      <c r="AF86" s="16" t="n">
        <f aca="false">AF63+AF84</f>
        <v>56272.9947</v>
      </c>
      <c r="AG86" s="16" t="n">
        <f aca="false">AG63+AG84</f>
        <v>47273.5451</v>
      </c>
      <c r="AH86" s="16" t="n">
        <f aca="false">AH63+AH84</f>
        <v>47774.0891</v>
      </c>
      <c r="AI86" s="16" t="n">
        <f aca="false">AI63+AI84</f>
        <v>42998.5019</v>
      </c>
      <c r="AJ86" s="16" t="n">
        <f aca="false">AJ63+AJ84</f>
        <v>48775.1963</v>
      </c>
      <c r="AK86" s="16" t="n">
        <f aca="false">AK63+AK84</f>
        <v>32703.4843</v>
      </c>
      <c r="AL86" s="16" t="n">
        <f aca="false">AL63+AL84</f>
        <v>16631.7723</v>
      </c>
      <c r="AM86" s="16" t="n">
        <f aca="false">AM63+AM84</f>
        <v>-1927.84595</v>
      </c>
      <c r="AN86" s="16" t="n">
        <f aca="false">AN63+AN84</f>
        <v>-17999.55155</v>
      </c>
      <c r="AO86" s="16" t="n">
        <f aca="false">AO63+AO84</f>
        <v>-34071.26355</v>
      </c>
      <c r="AP86" s="16" t="n">
        <f aca="false">AP63+AP84</f>
        <v>-74550.76595</v>
      </c>
      <c r="AQ86" s="16" t="n">
        <f aca="false">AQ63+AQ84</f>
        <v>-66214.68755</v>
      </c>
      <c r="AR86" s="16" t="n">
        <f aca="false">AR63+AR84</f>
        <v>-82286.39955</v>
      </c>
      <c r="AS86" s="16" t="n">
        <f aca="false">AS63+AS84</f>
        <v>-30582.82835</v>
      </c>
      <c r="AT86" s="16" t="n">
        <f aca="false">AT63+AT84</f>
        <v>-47155.08435</v>
      </c>
      <c r="AU86" s="16" t="n">
        <f aca="false">AU63+AU84</f>
        <v>-102084.42035</v>
      </c>
      <c r="AV86" s="16" t="n">
        <f aca="false">AV63+AV84</f>
        <v>-80299.60275</v>
      </c>
      <c r="AW86" s="16" t="n">
        <f aca="false">AW63+AW84</f>
        <v>-80800.15955</v>
      </c>
      <c r="AX86" s="16" t="n">
        <f aca="false">AX63+AX84</f>
        <v>-81300.70355</v>
      </c>
      <c r="AY86" s="16" t="n">
        <f aca="false">AY63+AY84</f>
        <v>-84338.911797</v>
      </c>
      <c r="AZ86" s="16" t="n">
        <f aca="false">AZ63+AZ84</f>
        <v>-84839.462197</v>
      </c>
      <c r="BA86" s="16" t="n">
        <f aca="false">BA63+BA84</f>
        <v>-85340.0125969999</v>
      </c>
      <c r="BB86" s="16" t="n">
        <f aca="false">BB63+BB84</f>
        <v>-110736.502677</v>
      </c>
      <c r="BC86" s="16" t="n">
        <f aca="false">BC63+BC84</f>
        <v>-86341.113397</v>
      </c>
      <c r="BD86" s="16" t="n">
        <f aca="false">BD63+BD84</f>
        <v>-86841.663797</v>
      </c>
      <c r="BE86" s="16" t="n">
        <f aca="false">BE63+BE84</f>
        <v>-87342.214197</v>
      </c>
      <c r="BF86" s="16" t="n">
        <f aca="false">BF63+BF84</f>
        <v>-87842.764597</v>
      </c>
      <c r="BG86" s="16" t="n">
        <f aca="false">BG63+BG84</f>
        <v>-111074.383957</v>
      </c>
      <c r="BH86" s="16" t="n">
        <f aca="false">BH63+BH84</f>
        <v>-59643.065397</v>
      </c>
      <c r="BI86" s="16" t="n">
        <f aca="false">BI63+BI84</f>
        <v>-60143.615797</v>
      </c>
      <c r="BJ86" s="16" t="n">
        <f aca="false">BJ63+BJ84</f>
        <v>7131.12340300001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835060.489583333</v>
      </c>
      <c r="S89" s="10" t="n">
        <f aca="false">S12</f>
        <v>709124.989583333</v>
      </c>
      <c r="T89" s="10" t="n">
        <f aca="false">T12</f>
        <v>709124.989583333</v>
      </c>
      <c r="U89" s="10" t="n">
        <f aca="false">U12</f>
        <v>709124.989583333</v>
      </c>
      <c r="V89" s="10" t="n">
        <f aca="false">V12</f>
        <v>678821.831688597</v>
      </c>
      <c r="W89" s="10" t="n">
        <f aca="false">W12</f>
        <v>678821.831688597</v>
      </c>
      <c r="X89" s="10" t="n">
        <f aca="false">X12</f>
        <v>678821.831688597</v>
      </c>
      <c r="Y89" s="10" t="n">
        <f aca="false">Y12</f>
        <v>678821.831688597</v>
      </c>
      <c r="Z89" s="10" t="n">
        <f aca="false">Z12</f>
        <v>621542.47164075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69222.2904</v>
      </c>
      <c r="M90" s="10" t="n">
        <f aca="false">M63</f>
        <v>69222.2904</v>
      </c>
      <c r="N90" s="10" t="n">
        <f aca="false">N63</f>
        <v>69222.2904</v>
      </c>
      <c r="O90" s="10" t="n">
        <f aca="false">O63</f>
        <v>69222.2904</v>
      </c>
      <c r="P90" s="10" t="n">
        <f aca="false">P63</f>
        <v>69222.2904</v>
      </c>
      <c r="Q90" s="10" t="n">
        <f aca="false">Q63</f>
        <v>69222.2904</v>
      </c>
      <c r="R90" s="10" t="n">
        <f aca="false">R63</f>
        <v>49387.9028</v>
      </c>
      <c r="S90" s="10" t="n">
        <f aca="false">S63</f>
        <v>65960.1652</v>
      </c>
      <c r="T90" s="10" t="n">
        <f aca="false">T63</f>
        <v>82532.4276</v>
      </c>
      <c r="U90" s="10" t="n">
        <f aca="false">U63</f>
        <v>99104.6836</v>
      </c>
      <c r="V90" s="10" t="n">
        <f aca="false">V63</f>
        <v>115676.9524</v>
      </c>
      <c r="W90" s="10" t="n">
        <f aca="false">W63</f>
        <v>189624.2084</v>
      </c>
      <c r="X90" s="10" t="n">
        <f aca="false">X63</f>
        <v>148821.4644</v>
      </c>
      <c r="Y90" s="10" t="n">
        <f aca="false">Y63</f>
        <v>165393.7268</v>
      </c>
      <c r="Z90" s="10" t="n">
        <f aca="false">Z63</f>
        <v>226709.4156</v>
      </c>
      <c r="AA90" s="10" t="n">
        <f aca="false">AA63</f>
        <v>174854.0416</v>
      </c>
      <c r="AB90" s="10" t="n">
        <f aca="false">AB63</f>
        <v>191426.3104</v>
      </c>
      <c r="AC90" s="10" t="n">
        <f aca="false">AC63</f>
        <v>294205.7904</v>
      </c>
      <c r="AD90" s="10" t="n">
        <f aca="false">AD63</f>
        <v>179666.8864</v>
      </c>
      <c r="AE90" s="10" t="n">
        <f aca="false">AE63</f>
        <v>180167.4432</v>
      </c>
      <c r="AF90" s="10" t="n">
        <f aca="false">AF63</f>
        <v>180667.9872</v>
      </c>
      <c r="AG90" s="10" t="n">
        <f aca="false">AG63</f>
        <v>171668.5376</v>
      </c>
      <c r="AH90" s="10" t="n">
        <f aca="false">AH63</f>
        <v>172169.0816</v>
      </c>
      <c r="AI90" s="10" t="n">
        <f aca="false">AI63</f>
        <v>189241.8944</v>
      </c>
      <c r="AJ90" s="10" t="n">
        <f aca="false">AJ63</f>
        <v>173170.1888</v>
      </c>
      <c r="AK90" s="10" t="n">
        <f aca="false">AK63</f>
        <v>157098.4768</v>
      </c>
      <c r="AL90" s="10" t="n">
        <f aca="false">AL63</f>
        <v>141026.7648</v>
      </c>
      <c r="AM90" s="10" t="n">
        <f aca="false">AM63</f>
        <v>124955.0464</v>
      </c>
      <c r="AN90" s="10" t="n">
        <f aca="false">AN63</f>
        <v>108883.3408</v>
      </c>
      <c r="AO90" s="10" t="n">
        <f aca="false">AO63</f>
        <v>92811.6288</v>
      </c>
      <c r="AP90" s="10" t="n">
        <f aca="false">AP63</f>
        <v>76739.9104</v>
      </c>
      <c r="AQ90" s="10" t="n">
        <f aca="false">AQ63</f>
        <v>60668.2048</v>
      </c>
      <c r="AR90" s="10" t="n">
        <f aca="false">AR63</f>
        <v>126279.4928</v>
      </c>
      <c r="AS90" s="10" t="n">
        <f aca="false">AS63</f>
        <v>96300.064</v>
      </c>
      <c r="AT90" s="10" t="n">
        <f aca="false">AT63</f>
        <v>79727.808</v>
      </c>
      <c r="AU90" s="10" t="n">
        <f aca="false">AU63</f>
        <v>128765.84</v>
      </c>
      <c r="AV90" s="10" t="n">
        <f aca="false">AV63</f>
        <v>46583.2896</v>
      </c>
      <c r="AW90" s="10" t="n">
        <f aca="false">AW63</f>
        <v>46082.7328</v>
      </c>
      <c r="AX90" s="10" t="n">
        <f aca="false">AX63</f>
        <v>127264.1888</v>
      </c>
      <c r="AY90" s="10" t="n">
        <f aca="false">AY63</f>
        <v>45081.6384</v>
      </c>
      <c r="AZ90" s="10" t="n">
        <f aca="false">AZ63</f>
        <v>44581.088</v>
      </c>
      <c r="BA90" s="10" t="n">
        <f aca="false">BA63</f>
        <v>977601.5376</v>
      </c>
      <c r="BB90" s="10" t="n">
        <f aca="false">BB63</f>
        <v>43579.9872</v>
      </c>
      <c r="BC90" s="10" t="n">
        <f aca="false">BC63</f>
        <v>43079.4368</v>
      </c>
      <c r="BD90" s="10" t="n">
        <f aca="false">BD63</f>
        <v>173456.8864</v>
      </c>
      <c r="BE90" s="10" t="n">
        <f aca="false">BE63</f>
        <v>42078.336</v>
      </c>
      <c r="BF90" s="10" t="n">
        <f aca="false">BF63</f>
        <v>41577.7856</v>
      </c>
      <c r="BG90" s="10" t="n">
        <f aca="false">BG63</f>
        <v>171953.2416</v>
      </c>
      <c r="BH90" s="10" t="n">
        <f aca="false">BH63</f>
        <v>69777.4848</v>
      </c>
      <c r="BI90" s="10" t="n">
        <f aca="false">BI63</f>
        <v>69276.9344</v>
      </c>
      <c r="BJ90" s="10" t="n">
        <f aca="false">BJ63</f>
        <v>267427.6736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923467.128468182</v>
      </c>
      <c r="M91" s="12" t="n">
        <f aca="false">M89+M90</f>
        <v>923467.128468182</v>
      </c>
      <c r="N91" s="12" t="n">
        <f aca="false">N89+N90</f>
        <v>923467.128468182</v>
      </c>
      <c r="O91" s="12" t="n">
        <f aca="false">O89+O90</f>
        <v>1773933.71634697</v>
      </c>
      <c r="P91" s="12" t="n">
        <f aca="false">P89+P90</f>
        <v>1094932.16634697</v>
      </c>
      <c r="Q91" s="12" t="n">
        <f aca="false">Q89+Q90</f>
        <v>1094932.16634697</v>
      </c>
      <c r="R91" s="12" t="n">
        <f aca="false">R89+R90</f>
        <v>884448.392383333</v>
      </c>
      <c r="S91" s="12" t="n">
        <f aca="false">S89+S90</f>
        <v>775085.154783333</v>
      </c>
      <c r="T91" s="12" t="n">
        <f aca="false">T89+T90</f>
        <v>791657.417183333</v>
      </c>
      <c r="U91" s="12" t="n">
        <f aca="false">U89+U90</f>
        <v>808229.673183333</v>
      </c>
      <c r="V91" s="12" t="n">
        <f aca="false">V89+V90</f>
        <v>794498.784088597</v>
      </c>
      <c r="W91" s="12" t="n">
        <f aca="false">W89+W90</f>
        <v>868446.040088597</v>
      </c>
      <c r="X91" s="12" t="n">
        <f aca="false">X89+X90</f>
        <v>827643.296088597</v>
      </c>
      <c r="Y91" s="12" t="n">
        <f aca="false">Y89+Y90</f>
        <v>844215.558488597</v>
      </c>
      <c r="Z91" s="12" t="n">
        <f aca="false">Z89+Z90</f>
        <v>848251.88724075</v>
      </c>
      <c r="AA91" s="12" t="n">
        <f aca="false">AA89+AA90</f>
        <v>751269.701039793</v>
      </c>
      <c r="AB91" s="12" t="n">
        <f aca="false">AB89+AB90</f>
        <v>686348.118165151</v>
      </c>
      <c r="AC91" s="12" t="n">
        <f aca="false">AC89+AC90</f>
        <v>1566093.41149849</v>
      </c>
      <c r="AD91" s="12" t="n">
        <f aca="false">AD89+AD90</f>
        <v>831235.027498485</v>
      </c>
      <c r="AE91" s="12" t="n">
        <f aca="false">AE89+AE90</f>
        <v>831735.584298485</v>
      </c>
      <c r="AF91" s="12" t="n">
        <f aca="false">AF89+AF90</f>
        <v>832236.128298485</v>
      </c>
      <c r="AG91" s="12" t="n">
        <f aca="false">AG89+AG90</f>
        <v>823236.678698485</v>
      </c>
      <c r="AH91" s="12" t="n">
        <f aca="false">AH89+AH90</f>
        <v>723058.221751515</v>
      </c>
      <c r="AI91" s="12" t="n">
        <f aca="false">AI89+AI90</f>
        <v>740131.034551515</v>
      </c>
      <c r="AJ91" s="12" t="n">
        <f aca="false">AJ89+AJ90</f>
        <v>561300.056224242</v>
      </c>
      <c r="AK91" s="12" t="n">
        <f aca="false">AK89+AK90</f>
        <v>545228.344224243</v>
      </c>
      <c r="AL91" s="12" t="n">
        <f aca="false">AL89+AL90</f>
        <v>529156.632224242</v>
      </c>
      <c r="AM91" s="12" t="n">
        <f aca="false">AM89+AM90</f>
        <v>453066.417612121</v>
      </c>
      <c r="AN91" s="12" t="n">
        <f aca="false">AN89+AN90</f>
        <v>436994.712012121</v>
      </c>
      <c r="AO91" s="12" t="n">
        <f aca="false">AO89+AO90</f>
        <v>420923.000012121</v>
      </c>
      <c r="AP91" s="12" t="n">
        <f aca="false">AP89+AP90</f>
        <v>404851.281612121</v>
      </c>
      <c r="AQ91" s="12" t="n">
        <f aca="false">AQ89+AQ90</f>
        <v>388779.576012121</v>
      </c>
      <c r="AR91" s="12" t="n">
        <f aca="false">AR89+AR90</f>
        <v>454390.864012121</v>
      </c>
      <c r="AS91" s="12" t="n">
        <f aca="false">AS89+AS90</f>
        <v>252946.397333333</v>
      </c>
      <c r="AT91" s="12" t="n">
        <f aca="false">AT89+AT90</f>
        <v>236374.141333333</v>
      </c>
      <c r="AU91" s="12" t="n">
        <f aca="false">AU89+AU90</f>
        <v>285412.173333333</v>
      </c>
      <c r="AV91" s="12" t="n">
        <f aca="false">AV89+AV90</f>
        <v>203229.622933333</v>
      </c>
      <c r="AW91" s="12" t="n">
        <f aca="false">AW89+AW90</f>
        <v>202729.066133333</v>
      </c>
      <c r="AX91" s="12" t="n">
        <f aca="false">AX89+AX90</f>
        <v>283910.522133333</v>
      </c>
      <c r="AY91" s="12" t="n">
        <f aca="false">AY89+AY90</f>
        <v>201727.971733333</v>
      </c>
      <c r="AZ91" s="12" t="n">
        <f aca="false">AZ89+AZ90</f>
        <v>201227.421333333</v>
      </c>
      <c r="BA91" s="12" t="n">
        <f aca="false">BA89+BA90</f>
        <v>1134247.87093333</v>
      </c>
      <c r="BB91" s="12" t="n">
        <f aca="false">BB89+BB90</f>
        <v>200226.320533333</v>
      </c>
      <c r="BC91" s="12" t="n">
        <f aca="false">BC89+BC90</f>
        <v>199725.770133333</v>
      </c>
      <c r="BD91" s="12" t="n">
        <f aca="false">BD89+BD90</f>
        <v>330103.219733333</v>
      </c>
      <c r="BE91" s="12" t="n">
        <f aca="false">BE89+BE90</f>
        <v>198724.669333333</v>
      </c>
      <c r="BF91" s="12" t="n">
        <f aca="false">BF89+BF90</f>
        <v>198224.118933333</v>
      </c>
      <c r="BG91" s="12" t="n">
        <f aca="false">BG89+BG90</f>
        <v>171953.2416</v>
      </c>
      <c r="BH91" s="12" t="n">
        <f aca="false">BH89+BH90</f>
        <v>69777.4848</v>
      </c>
      <c r="BI91" s="12" t="n">
        <f aca="false">BI89+BI90</f>
        <v>69276.9344</v>
      </c>
      <c r="BJ91" s="12" t="n">
        <f aca="false">BJ89+BJ90</f>
        <v>267427.6736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-454491.2957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-454491.2957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-599907.1707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-576447.1707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358322.843468182</v>
      </c>
      <c r="M95" s="16" t="n">
        <f aca="false">M91+M94</f>
        <v>358322.843468182</v>
      </c>
      <c r="N95" s="16" t="n">
        <f aca="false">N91+N94</f>
        <v>358322.843468182</v>
      </c>
      <c r="O95" s="16" t="n">
        <f aca="false">O91+O94</f>
        <v>-273683.47935303</v>
      </c>
      <c r="P95" s="16" t="n">
        <f aca="false">P91+P94</f>
        <v>518484.99564697</v>
      </c>
      <c r="Q95" s="16" t="n">
        <f aca="false">Q91+Q94</f>
        <v>518484.99564697</v>
      </c>
      <c r="R95" s="16" t="n">
        <f aca="false">R91+R94</f>
        <v>284541.221683333</v>
      </c>
      <c r="S95" s="16" t="n">
        <f aca="false">S91+S94</f>
        <v>198637.984083333</v>
      </c>
      <c r="T95" s="16" t="n">
        <f aca="false">T91+T94</f>
        <v>215210.246483333</v>
      </c>
      <c r="U95" s="16" t="n">
        <f aca="false">U91+U94</f>
        <v>231782.502483333</v>
      </c>
      <c r="V95" s="16" t="n">
        <f aca="false">V91+V94</f>
        <v>218051.613388596</v>
      </c>
      <c r="W95" s="16" t="n">
        <f aca="false">W91+W94</f>
        <v>270578.869388597</v>
      </c>
      <c r="X95" s="16" t="n">
        <f aca="false">X91+X94</f>
        <v>251196.125388597</v>
      </c>
      <c r="Y95" s="16" t="n">
        <f aca="false">Y91+Y94</f>
        <v>267768.387788596</v>
      </c>
      <c r="Z95" s="16" t="n">
        <f aca="false">Z91+Z94</f>
        <v>271804.71654075</v>
      </c>
      <c r="AA95" s="16" t="n">
        <f aca="false">AA91+AA94</f>
        <v>163293.586925793</v>
      </c>
      <c r="AB95" s="16" t="n">
        <f aca="false">AB91+AB94</f>
        <v>98372.0040511515</v>
      </c>
      <c r="AC95" s="16" t="n">
        <f aca="false">AC91+AC94</f>
        <v>-365908.242615515</v>
      </c>
      <c r="AD95" s="16" t="n">
        <f aca="false">AD91+AD94</f>
        <v>219329.713384485</v>
      </c>
      <c r="AE95" s="16" t="n">
        <f aca="false">AE91+AE94</f>
        <v>243759.470184485</v>
      </c>
      <c r="AF95" s="16" t="n">
        <f aca="false">AF91+AF94</f>
        <v>244260.014184485</v>
      </c>
      <c r="AG95" s="16" t="n">
        <f aca="false">AG91+AG94</f>
        <v>235260.564584485</v>
      </c>
      <c r="AH95" s="16" t="n">
        <f aca="false">AH91+AH94</f>
        <v>135082.107637515</v>
      </c>
      <c r="AI95" s="16" t="n">
        <f aca="false">AI91+AI94</f>
        <v>130306.520437515</v>
      </c>
      <c r="AJ95" s="16" t="n">
        <f aca="false">AJ91+AJ94</f>
        <v>-26676.0578897576</v>
      </c>
      <c r="AK95" s="16" t="n">
        <f aca="false">AK91+AK94</f>
        <v>-42747.7698897575</v>
      </c>
      <c r="AL95" s="16" t="n">
        <f aca="false">AL91+AL94</f>
        <v>-58819.4818897576</v>
      </c>
      <c r="AM95" s="16" t="n">
        <f aca="false">AM91+AM94</f>
        <v>-146669.218784159</v>
      </c>
      <c r="AN95" s="16" t="n">
        <f aca="false">AN91+AN94</f>
        <v>-162740.924384159</v>
      </c>
      <c r="AO95" s="16" t="n">
        <f aca="false">AO91+AO94</f>
        <v>-178812.636384159</v>
      </c>
      <c r="AP95" s="16" t="n">
        <f aca="false">AP91+AP94</f>
        <v>-219292.138784159</v>
      </c>
      <c r="AQ95" s="16" t="n">
        <f aca="false">AQ91+AQ94</f>
        <v>-210956.060384159</v>
      </c>
      <c r="AR95" s="16" t="n">
        <f aca="false">AR91+AR94</f>
        <v>-227027.772384159</v>
      </c>
      <c r="AS95" s="16" t="n">
        <f aca="false">AS91+AS94</f>
        <v>-346789.239062947</v>
      </c>
      <c r="AT95" s="16" t="n">
        <f aca="false">AT91+AT94</f>
        <v>-363361.495062947</v>
      </c>
      <c r="AU95" s="16" t="n">
        <f aca="false">AU91+AU94</f>
        <v>-418290.831062947</v>
      </c>
      <c r="AV95" s="16" t="n">
        <f aca="false">AV91+AV94</f>
        <v>-396506.013462947</v>
      </c>
      <c r="AW95" s="16" t="n">
        <f aca="false">AW91+AW94</f>
        <v>-397006.570262947</v>
      </c>
      <c r="AX95" s="16" t="n">
        <f aca="false">AX91+AX94</f>
        <v>-397507.114262947</v>
      </c>
      <c r="AY95" s="16" t="n">
        <f aca="false">AY91+AY94</f>
        <v>-410002.377390872</v>
      </c>
      <c r="AZ95" s="16" t="n">
        <f aca="false">AZ91+AZ94</f>
        <v>-410502.927790872</v>
      </c>
      <c r="BA95" s="16" t="n">
        <f aca="false">BA91+BA94</f>
        <v>-411003.478190872</v>
      </c>
      <c r="BB95" s="16" t="n">
        <f aca="false">BB91+BB94</f>
        <v>-436399.968270872</v>
      </c>
      <c r="BC95" s="16" t="n">
        <f aca="false">BC91+BC94</f>
        <v>-412004.578990872</v>
      </c>
      <c r="BD95" s="16" t="n">
        <f aca="false">BD91+BD94</f>
        <v>-412505.129390872</v>
      </c>
      <c r="BE95" s="16" t="n">
        <f aca="false">BE91+BE94</f>
        <v>-413005.679790872</v>
      </c>
      <c r="BF95" s="16" t="n">
        <f aca="false">BF91+BF94</f>
        <v>-413506.230190872</v>
      </c>
      <c r="BG95" s="16" t="n">
        <f aca="false">BG91+BG94</f>
        <v>-593384.182884206</v>
      </c>
      <c r="BH95" s="16" t="n">
        <f aca="false">BH91+BH94</f>
        <v>-541952.864324206</v>
      </c>
      <c r="BI95" s="16" t="n">
        <f aca="false">BI91+BI94</f>
        <v>-542453.414724206</v>
      </c>
      <c r="BJ95" s="16" t="n">
        <f aca="false">BJ91+BJ94</f>
        <v>-475178.675524206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6775711.60058174</v>
      </c>
      <c r="T145" s="10" t="n">
        <f aca="false">S147</f>
        <v>7030345.29446507</v>
      </c>
      <c r="U145" s="10" t="n">
        <f aca="false">T147</f>
        <v>7284978.98834841</v>
      </c>
      <c r="V145" s="10" t="n">
        <f aca="false">U147</f>
        <v>7539612.68223174</v>
      </c>
      <c r="W145" s="10" t="n">
        <f aca="false">V147</f>
        <v>7763943.21822034</v>
      </c>
      <c r="X145" s="10" t="n">
        <f aca="false">W147</f>
        <v>7988273.75420893</v>
      </c>
      <c r="Y145" s="10" t="n">
        <f aca="false">X147</f>
        <v>8212604.29019753</v>
      </c>
      <c r="Z145" s="10" t="n">
        <f aca="false">Y147</f>
        <v>8436934.82618612</v>
      </c>
      <c r="AA145" s="10" t="n">
        <f aca="false">Z147</f>
        <v>8603986.00212687</v>
      </c>
      <c r="AB145" s="10" t="n">
        <f aca="false">AA147</f>
        <v>8716820.53995267</v>
      </c>
      <c r="AC145" s="10" t="n">
        <f aca="false">AB147</f>
        <v>8748161.22610382</v>
      </c>
      <c r="AD145" s="10" t="n">
        <f aca="false">AC147</f>
        <v>8212442.18558831</v>
      </c>
      <c r="AE145" s="10" t="n">
        <f aca="false">AD147</f>
        <v>8400429.20507279</v>
      </c>
      <c r="AF145" s="10" t="n">
        <f aca="false">AE147</f>
        <v>8588416.22455728</v>
      </c>
      <c r="AG145" s="10" t="n">
        <f aca="false">AF147</f>
        <v>8776403.24404176</v>
      </c>
      <c r="AH145" s="10" t="n">
        <f aca="false">AG147</f>
        <v>8964390.26352624</v>
      </c>
      <c r="AI145" s="10" t="n">
        <f aca="false">AH147</f>
        <v>9051698.28206376</v>
      </c>
      <c r="AJ145" s="10" t="n">
        <f aca="false">AI147</f>
        <v>9139006.30060128</v>
      </c>
      <c r="AK145" s="10" t="n">
        <f aca="false">AJ147</f>
        <v>9063555.04641152</v>
      </c>
      <c r="AL145" s="10" t="n">
        <f aca="false">AK147</f>
        <v>8988103.79222176</v>
      </c>
      <c r="AM145" s="10" t="n">
        <f aca="false">AL147</f>
        <v>8912652.538032</v>
      </c>
      <c r="AN145" s="10" t="n">
        <f aca="false">AM147</f>
        <v>8767911.16519784</v>
      </c>
      <c r="AO145" s="10" t="n">
        <f aca="false">AN147</f>
        <v>8623169.79236369</v>
      </c>
      <c r="AP145" s="10" t="n">
        <f aca="false">AO147</f>
        <v>8478428.41952953</v>
      </c>
      <c r="AQ145" s="10" t="n">
        <f aca="false">AP147</f>
        <v>8333687.04669537</v>
      </c>
      <c r="AR145" s="10" t="n">
        <f aca="false">AQ147</f>
        <v>8188945.67386121</v>
      </c>
      <c r="AS145" s="10" t="n">
        <f aca="false">AR147</f>
        <v>8044204.30102705</v>
      </c>
      <c r="AT145" s="10" t="n">
        <f aca="false">AS147</f>
        <v>7727997.8903141</v>
      </c>
      <c r="AU145" s="10" t="n">
        <f aca="false">AT147</f>
        <v>7411791.47960115</v>
      </c>
      <c r="AV145" s="10" t="n">
        <f aca="false">AU147</f>
        <v>7095585.06888821</v>
      </c>
      <c r="AW145" s="10" t="n">
        <f aca="false">AV147</f>
        <v>6779378.65817526</v>
      </c>
      <c r="AX145" s="10" t="n">
        <f aca="false">AW147</f>
        <v>6463172.24746231</v>
      </c>
      <c r="AY145" s="10" t="n">
        <f aca="false">AX147</f>
        <v>6146965.83674937</v>
      </c>
      <c r="AZ145" s="10" t="n">
        <f aca="false">AY147</f>
        <v>5821302.37115549</v>
      </c>
      <c r="BA145" s="10" t="n">
        <f aca="false">AZ147</f>
        <v>5495638.90556162</v>
      </c>
      <c r="BB145" s="10" t="n">
        <f aca="false">BA147</f>
        <v>5169975.43996775</v>
      </c>
      <c r="BC145" s="10" t="n">
        <f aca="false">BB147</f>
        <v>4844311.97437388</v>
      </c>
      <c r="BD145" s="10" t="n">
        <f aca="false">BC147</f>
        <v>4518648.50878</v>
      </c>
      <c r="BE145" s="10" t="n">
        <f aca="false">BD147</f>
        <v>4192985.04318613</v>
      </c>
      <c r="BF145" s="10" t="n">
        <f aca="false">BE147</f>
        <v>3867321.57759226</v>
      </c>
      <c r="BG145" s="10" t="n">
        <f aca="false">BF147</f>
        <v>3541658.11199839</v>
      </c>
      <c r="BH145" s="10" t="n">
        <f aca="false">BG147</f>
        <v>3059348.31307118</v>
      </c>
      <c r="BI145" s="10" t="n">
        <f aca="false">BH147</f>
        <v>2577038.51414398</v>
      </c>
      <c r="BJ145" s="10" t="n">
        <f aca="false">BI147</f>
        <v>2094728.71521677</v>
      </c>
      <c r="BK145" s="10" t="n">
        <f aca="false">BJ147</f>
        <v>1612418.91628956</v>
      </c>
      <c r="BL145" s="10" t="n">
        <f aca="false">BK147</f>
        <v>1120462.92138381</v>
      </c>
      <c r="BM145" s="10" t="n">
        <f aca="false">BL147</f>
        <v>628506.926478064</v>
      </c>
      <c r="BN145" s="10" t="n">
        <f aca="false">BM147</f>
        <v>136550.931572315</v>
      </c>
      <c r="BO145" s="10" t="n">
        <f aca="false">BN147</f>
        <v>-355405.063333435</v>
      </c>
      <c r="BP145" s="10" t="n">
        <f aca="false">BO147</f>
        <v>-847361.058239185</v>
      </c>
      <c r="BQ145" s="10" t="n">
        <f aca="false">BP147</f>
        <v>-1339317.05314493</v>
      </c>
      <c r="BR145" s="10" t="n">
        <f aca="false">BQ147</f>
        <v>-1831273.04805068</v>
      </c>
      <c r="BS145" s="10" t="n">
        <f aca="false">BR147</f>
        <v>-2323229.04295643</v>
      </c>
      <c r="BT145" s="10" t="n">
        <f aca="false">BS147</f>
        <v>-2815185.03786218</v>
      </c>
      <c r="BU145" s="10" t="n">
        <f aca="false">BT147</f>
        <v>-3307141.03276793</v>
      </c>
      <c r="BV145" s="10" t="n">
        <f aca="false">BU147</f>
        <v>-3799097.02767368</v>
      </c>
      <c r="BW145" s="10" t="n">
        <f aca="false">BV147</f>
        <v>-4291053.02257943</v>
      </c>
      <c r="BX145" s="10" t="n">
        <f aca="false">BW147</f>
        <v>-4792848.1373833</v>
      </c>
      <c r="BY145" s="10" t="n">
        <f aca="false">BX147</f>
        <v>-5294643.25218716</v>
      </c>
      <c r="BZ145" s="10" t="n">
        <f aca="false">BY147</f>
        <v>-5796438.36699103</v>
      </c>
      <c r="CA145" s="10" t="n">
        <f aca="false">BZ147</f>
        <v>-6298233.48179489</v>
      </c>
      <c r="CB145" s="10" t="n">
        <f aca="false">CA147</f>
        <v>-6800028.59659876</v>
      </c>
      <c r="CC145" s="10" t="n">
        <f aca="false">CB147</f>
        <v>-7301823.71140262</v>
      </c>
      <c r="CD145" s="10" t="n">
        <f aca="false">CC147</f>
        <v>-7803618.82620649</v>
      </c>
      <c r="CE145" s="10" t="n">
        <f aca="false">CD147</f>
        <v>-8305413.94101035</v>
      </c>
      <c r="CF145" s="10" t="n">
        <f aca="false">CE147</f>
        <v>-8807209.05581421</v>
      </c>
      <c r="CG145" s="10" t="n">
        <f aca="false">CF147</f>
        <v>-9309004.17061808</v>
      </c>
      <c r="CH145" s="10" t="n">
        <f aca="false">CG147</f>
        <v>-9810799.28542195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380569.193883333</v>
      </c>
      <c r="S146" s="10" t="n">
        <f aca="false">S40</f>
        <v>254633.693883333</v>
      </c>
      <c r="T146" s="10" t="n">
        <f aca="false">T40</f>
        <v>254633.693883333</v>
      </c>
      <c r="U146" s="10" t="n">
        <f aca="false">U40</f>
        <v>254633.693883333</v>
      </c>
      <c r="V146" s="10" t="n">
        <f aca="false">V40</f>
        <v>224330.535988597</v>
      </c>
      <c r="W146" s="10" t="n">
        <f aca="false">W40</f>
        <v>224330.535988597</v>
      </c>
      <c r="X146" s="10" t="n">
        <f aca="false">X40</f>
        <v>224330.535988597</v>
      </c>
      <c r="Y146" s="10" t="n">
        <f aca="false">Y40</f>
        <v>224330.535988597</v>
      </c>
      <c r="Z146" s="10" t="n">
        <f aca="false">Z40</f>
        <v>167051.17594075</v>
      </c>
      <c r="AA146" s="10" t="n">
        <f aca="false">AA40</f>
        <v>112834.537825793</v>
      </c>
      <c r="AB146" s="10" t="n">
        <f aca="false">AB40</f>
        <v>31340.6861511515</v>
      </c>
      <c r="AC146" s="10" t="n">
        <f aca="false">AC40</f>
        <v>-535719.040515515</v>
      </c>
      <c r="AD146" s="10" t="n">
        <f aca="false">AD40</f>
        <v>187987.019484485</v>
      </c>
      <c r="AE146" s="10" t="n">
        <f aca="false">AE40</f>
        <v>187987.019484485</v>
      </c>
      <c r="AF146" s="10" t="n">
        <f aca="false">AF40</f>
        <v>187987.019484485</v>
      </c>
      <c r="AG146" s="10" t="n">
        <f aca="false">AG40</f>
        <v>187987.019484485</v>
      </c>
      <c r="AH146" s="10" t="n">
        <f aca="false">AH40</f>
        <v>87308.0185375152</v>
      </c>
      <c r="AI146" s="10" t="n">
        <f aca="false">AI40</f>
        <v>87308.0185375152</v>
      </c>
      <c r="AJ146" s="10" t="n">
        <f aca="false">AJ40</f>
        <v>-75451.2541897575</v>
      </c>
      <c r="AK146" s="10" t="n">
        <f aca="false">AK40</f>
        <v>-75451.2541897575</v>
      </c>
      <c r="AL146" s="10" t="n">
        <f aca="false">AL40</f>
        <v>-75451.2541897575</v>
      </c>
      <c r="AM146" s="10" t="n">
        <f aca="false">AM40</f>
        <v>-144741.372834159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2206395.70456077</v>
      </c>
      <c r="G147" s="61" t="n">
        <f aca="false">G145+G146</f>
        <v>2388379.67992759</v>
      </c>
      <c r="H147" s="61" t="n">
        <f aca="false">H145+H146</f>
        <v>2615490.46749538</v>
      </c>
      <c r="I147" s="61" t="n">
        <f aca="false">I145+I146</f>
        <v>3208090.58094992</v>
      </c>
      <c r="J147" s="61" t="n">
        <f aca="false">J145+J146</f>
        <v>3838994.59535144</v>
      </c>
      <c r="K147" s="61" t="n">
        <f aca="false">K145+K146</f>
        <v>4247659.73175295</v>
      </c>
      <c r="L147" s="61" t="n">
        <f aca="false">L145+L146</f>
        <v>4656324.86815447</v>
      </c>
      <c r="M147" s="61" t="n">
        <f aca="false">M145+M146</f>
        <v>5064990.00455598</v>
      </c>
      <c r="N147" s="61" t="n">
        <f aca="false">N145+N146</f>
        <v>5473655.1409575</v>
      </c>
      <c r="O147" s="61" t="n">
        <f aca="false">O145+O146</f>
        <v>5252705.24620447</v>
      </c>
      <c r="P147" s="61" t="n">
        <f aca="false">P145+P146</f>
        <v>5823923.82645144</v>
      </c>
      <c r="Q147" s="61" t="n">
        <f aca="false">Q145+Q146</f>
        <v>6395142.40669841</v>
      </c>
      <c r="R147" s="61" t="n">
        <f aca="false">R145+R146</f>
        <v>6775711.60058174</v>
      </c>
      <c r="S147" s="61" t="n">
        <f aca="false">S145+S146</f>
        <v>7030345.29446507</v>
      </c>
      <c r="T147" s="61" t="n">
        <f aca="false">T145+T146</f>
        <v>7284978.98834841</v>
      </c>
      <c r="U147" s="61" t="n">
        <f aca="false">U145+U146</f>
        <v>7539612.68223174</v>
      </c>
      <c r="V147" s="61" t="n">
        <f aca="false">V145+V146</f>
        <v>7763943.21822034</v>
      </c>
      <c r="W147" s="61" t="n">
        <f aca="false">W145+W146</f>
        <v>7988273.75420893</v>
      </c>
      <c r="X147" s="61" t="n">
        <f aca="false">X145+X146</f>
        <v>8212604.29019753</v>
      </c>
      <c r="Y147" s="61" t="n">
        <f aca="false">Y145+Y146</f>
        <v>8436934.82618612</v>
      </c>
      <c r="Z147" s="61" t="n">
        <f aca="false">Z145+Z146</f>
        <v>8603986.00212687</v>
      </c>
      <c r="AA147" s="61" t="n">
        <f aca="false">AA145+AA146</f>
        <v>8716820.53995267</v>
      </c>
      <c r="AB147" s="61" t="n">
        <f aca="false">AB145+AB146</f>
        <v>8748161.22610382</v>
      </c>
      <c r="AC147" s="61" t="n">
        <f aca="false">AC145+AC146</f>
        <v>8212442.18558831</v>
      </c>
      <c r="AD147" s="61" t="n">
        <f aca="false">AD145+AD146</f>
        <v>8400429.20507279</v>
      </c>
      <c r="AE147" s="61" t="n">
        <f aca="false">AE145+AE146</f>
        <v>8588416.22455728</v>
      </c>
      <c r="AF147" s="61" t="n">
        <f aca="false">AF145+AF146</f>
        <v>8776403.24404176</v>
      </c>
      <c r="AG147" s="61" t="n">
        <f aca="false">AG145+AG146</f>
        <v>8964390.26352624</v>
      </c>
      <c r="AH147" s="61" t="n">
        <f aca="false">AH145+AH146</f>
        <v>9051698.28206376</v>
      </c>
      <c r="AI147" s="61" t="n">
        <f aca="false">AI145+AI146</f>
        <v>9139006.30060128</v>
      </c>
      <c r="AJ147" s="61" t="n">
        <f aca="false">AJ145+AJ146</f>
        <v>9063555.04641152</v>
      </c>
      <c r="AK147" s="61" t="n">
        <f aca="false">AK145+AK146</f>
        <v>8988103.79222176</v>
      </c>
      <c r="AL147" s="61" t="n">
        <f aca="false">AL145+AL146</f>
        <v>8912652.538032</v>
      </c>
      <c r="AM147" s="61" t="n">
        <f aca="false">AM145+AM146</f>
        <v>8767911.16519784</v>
      </c>
      <c r="AN147" s="61" t="n">
        <f aca="false">AN145+AN146</f>
        <v>8623169.79236369</v>
      </c>
      <c r="AO147" s="61" t="n">
        <f aca="false">AO145+AO146</f>
        <v>8478428.41952953</v>
      </c>
      <c r="AP147" s="61" t="n">
        <f aca="false">AP145+AP146</f>
        <v>8333687.04669537</v>
      </c>
      <c r="AQ147" s="61" t="n">
        <f aca="false">AQ145+AQ146</f>
        <v>8188945.67386121</v>
      </c>
      <c r="AR147" s="61" t="n">
        <f aca="false">AR145+AR146</f>
        <v>8044204.30102705</v>
      </c>
      <c r="AS147" s="61" t="n">
        <f aca="false">AS145+AS146</f>
        <v>7727997.8903141</v>
      </c>
      <c r="AT147" s="61" t="n">
        <f aca="false">AT145+AT146</f>
        <v>7411791.47960115</v>
      </c>
      <c r="AU147" s="61" t="n">
        <f aca="false">AU145+AU146</f>
        <v>7095585.06888821</v>
      </c>
      <c r="AV147" s="61" t="n">
        <f aca="false">AV145+AV146</f>
        <v>6779378.65817526</v>
      </c>
      <c r="AW147" s="61" t="n">
        <f aca="false">AW145+AW146</f>
        <v>6463172.24746231</v>
      </c>
      <c r="AX147" s="61" t="n">
        <f aca="false">AX145+AX146</f>
        <v>6146965.83674937</v>
      </c>
      <c r="AY147" s="61" t="n">
        <f aca="false">AY145+AY146</f>
        <v>5821302.37115549</v>
      </c>
      <c r="AZ147" s="61" t="n">
        <f aca="false">AZ145+AZ146</f>
        <v>5495638.90556162</v>
      </c>
      <c r="BA147" s="61" t="n">
        <f aca="false">BA145+BA146</f>
        <v>5169975.43996775</v>
      </c>
      <c r="BB147" s="61" t="n">
        <f aca="false">BB145+BB146</f>
        <v>4844311.97437388</v>
      </c>
      <c r="BC147" s="61" t="n">
        <f aca="false">BC145+BC146</f>
        <v>4518648.50878</v>
      </c>
      <c r="BD147" s="61" t="n">
        <f aca="false">BD145+BD146</f>
        <v>4192985.04318613</v>
      </c>
      <c r="BE147" s="61" t="n">
        <f aca="false">BE145+BE146</f>
        <v>3867321.57759226</v>
      </c>
      <c r="BF147" s="61" t="n">
        <f aca="false">BF145+BF146</f>
        <v>3541658.11199839</v>
      </c>
      <c r="BG147" s="61" t="n">
        <f aca="false">BG145+BG146</f>
        <v>3059348.31307118</v>
      </c>
      <c r="BH147" s="61" t="n">
        <f aca="false">BH145+BH146</f>
        <v>2577038.51414398</v>
      </c>
      <c r="BI147" s="61" t="n">
        <f aca="false">BI145+BI146</f>
        <v>2094728.71521677</v>
      </c>
      <c r="BJ147" s="61" t="n">
        <f aca="false">BJ145+BJ146</f>
        <v>1612418.91628956</v>
      </c>
      <c r="BK147" s="61" t="n">
        <f aca="false">BK145+BK146</f>
        <v>1120462.92138381</v>
      </c>
      <c r="BL147" s="61" t="n">
        <f aca="false">BL145+BL146</f>
        <v>628506.926478064</v>
      </c>
      <c r="BM147" s="61" t="n">
        <f aca="false">BM145+BM146</f>
        <v>136550.931572315</v>
      </c>
      <c r="BN147" s="61" t="n">
        <f aca="false">BN145+BN146</f>
        <v>-355405.063333435</v>
      </c>
      <c r="BO147" s="61" t="n">
        <f aca="false">BO145+BO146</f>
        <v>-847361.058239185</v>
      </c>
      <c r="BP147" s="61" t="n">
        <f aca="false">BP145+BP146</f>
        <v>-1339317.05314493</v>
      </c>
      <c r="BQ147" s="61" t="n">
        <f aca="false">BQ145+BQ146</f>
        <v>-1831273.04805068</v>
      </c>
      <c r="BR147" s="61" t="n">
        <f aca="false">BR145+BR146</f>
        <v>-2323229.04295643</v>
      </c>
      <c r="BS147" s="61" t="n">
        <f aca="false">BS145+BS146</f>
        <v>-2815185.03786218</v>
      </c>
      <c r="BT147" s="61" t="n">
        <f aca="false">BT145+BT146</f>
        <v>-3307141.03276793</v>
      </c>
      <c r="BU147" s="61" t="n">
        <f aca="false">BU145+BU146</f>
        <v>-3799097.02767368</v>
      </c>
      <c r="BV147" s="61" t="n">
        <f aca="false">BV145+BV146</f>
        <v>-4291053.02257943</v>
      </c>
      <c r="BW147" s="61" t="n">
        <f aca="false">BW145+BW146</f>
        <v>-4792848.1373833</v>
      </c>
      <c r="BX147" s="61" t="n">
        <f aca="false">BX145+BX146</f>
        <v>-5294643.25218716</v>
      </c>
      <c r="BY147" s="61" t="n">
        <f aca="false">BY145+BY146</f>
        <v>-5796438.36699103</v>
      </c>
      <c r="BZ147" s="61" t="n">
        <f aca="false">BZ145+BZ146</f>
        <v>-6298233.48179489</v>
      </c>
      <c r="CA147" s="61" t="n">
        <f aca="false">CA145+CA146</f>
        <v>-6800028.59659876</v>
      </c>
      <c r="CB147" s="61" t="n">
        <f aca="false">CB145+CB146</f>
        <v>-7301823.71140262</v>
      </c>
      <c r="CC147" s="61" t="n">
        <f aca="false">CC145+CC146</f>
        <v>-7803618.82620649</v>
      </c>
      <c r="CD147" s="61" t="n">
        <f aca="false">CD145+CD146</f>
        <v>-8305413.94101035</v>
      </c>
      <c r="CE147" s="61" t="n">
        <f aca="false">CE145+CE146</f>
        <v>-8807209.05581421</v>
      </c>
      <c r="CF147" s="61" t="n">
        <f aca="false">CF145+CF146</f>
        <v>-9309004.17061808</v>
      </c>
      <c r="CG147" s="61" t="n">
        <f aca="false">CG145+CG146</f>
        <v>-9810799.28542195</v>
      </c>
      <c r="CH147" s="61" t="n">
        <f aca="false">CH145+CH146</f>
        <v>-10312594.4002258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-616474.182933333</v>
      </c>
      <c r="N150" s="10" t="n">
        <f aca="false">M155</f>
        <v>-1046816.47586667</v>
      </c>
      <c r="O150" s="10" t="n">
        <f aca="false">N155</f>
        <v>-1227158.7688</v>
      </c>
      <c r="P150" s="10" t="n">
        <f aca="false">O155</f>
        <v>-1409892.3534</v>
      </c>
      <c r="Q150" s="10" t="n">
        <f aca="false">P155</f>
        <v>-1592625.938</v>
      </c>
      <c r="R150" s="10" t="n">
        <f aca="false">Q155</f>
        <v>-1775359.5226</v>
      </c>
      <c r="S150" s="10" t="n">
        <f aca="false">R155</f>
        <v>-2001387.4948</v>
      </c>
      <c r="T150" s="10" t="n">
        <f aca="false">S155</f>
        <v>-2187383.2046</v>
      </c>
      <c r="U150" s="10" t="n">
        <f aca="false">T155</f>
        <v>-2356806.652</v>
      </c>
      <c r="V150" s="10" t="n">
        <f aca="false">U155</f>
        <v>-2509657.8434</v>
      </c>
      <c r="W150" s="10" t="n">
        <f aca="false">V155</f>
        <v>-2645936.766</v>
      </c>
      <c r="X150" s="10" t="n">
        <f aca="false">W155</f>
        <v>-2665657.67588545</v>
      </c>
      <c r="Y150" s="10" t="n">
        <f aca="false">X155</f>
        <v>-2638792.08648545</v>
      </c>
      <c r="Z150" s="10" t="n">
        <f aca="false">Y155</f>
        <v>-2845354.23468545</v>
      </c>
      <c r="AA150" s="10" t="n">
        <f aca="false">Z155</f>
        <v>-2740600.69408545</v>
      </c>
      <c r="AB150" s="10" t="n">
        <f aca="false">AA155</f>
        <v>-2690141.64498545</v>
      </c>
      <c r="AC150" s="10" t="n">
        <f aca="false">AB155</f>
        <v>-2623110.32708545</v>
      </c>
      <c r="AD150" s="10" t="n">
        <f aca="false">AC155</f>
        <v>-2453299.52918545</v>
      </c>
      <c r="AE150" s="10" t="n">
        <f aca="false">AD155</f>
        <v>-2421956.83528545</v>
      </c>
      <c r="AF150" s="10" t="n">
        <f aca="false">AE155</f>
        <v>-2366184.38458545</v>
      </c>
      <c r="AG150" s="10" t="n">
        <f aca="false">AF155</f>
        <v>-2309911.38988545</v>
      </c>
      <c r="AH150" s="10" t="n">
        <f aca="false">AG155</f>
        <v>-2262637.84478545</v>
      </c>
      <c r="AI150" s="10" t="n">
        <f aca="false">AH155</f>
        <v>-2214863.75568545</v>
      </c>
      <c r="AJ150" s="10" t="n">
        <f aca="false">AI155</f>
        <v>-2171865.25378545</v>
      </c>
      <c r="AK150" s="10" t="n">
        <f aca="false">AJ155</f>
        <v>-2123090.05748545</v>
      </c>
      <c r="AL150" s="10" t="n">
        <f aca="false">AK155</f>
        <v>-2340386.57318545</v>
      </c>
      <c r="AM150" s="10" t="n">
        <f aca="false">AL155</f>
        <v>-2323754.80088545</v>
      </c>
      <c r="AN150" s="10" t="n">
        <f aca="false">AM155</f>
        <v>-2325682.64683545</v>
      </c>
      <c r="AO150" s="10" t="n">
        <f aca="false">AN155</f>
        <v>-2343682.19838545</v>
      </c>
      <c r="AP150" s="10" t="n">
        <f aca="false">AO155</f>
        <v>-2377753.46193544</v>
      </c>
      <c r="AQ150" s="10" t="n">
        <f aca="false">AP155</f>
        <v>-2452304.22788544</v>
      </c>
      <c r="AR150" s="10" t="n">
        <f aca="false">AQ155</f>
        <v>-2518518.91543544</v>
      </c>
      <c r="AS150" s="10" t="n">
        <f aca="false">AR155</f>
        <v>-2600805.31498545</v>
      </c>
      <c r="AT150" s="10" t="n">
        <f aca="false">AS155</f>
        <v>-2631388.14333545</v>
      </c>
      <c r="AU150" s="10" t="n">
        <f aca="false">AT155</f>
        <v>-2678543.22768545</v>
      </c>
      <c r="AV150" s="10" t="n">
        <f aca="false">AU155</f>
        <v>-2780627.64803545</v>
      </c>
      <c r="AW150" s="10" t="n">
        <f aca="false">AV155</f>
        <v>-2860927.25078545</v>
      </c>
      <c r="AX150" s="10" t="n">
        <f aca="false">AW155</f>
        <v>-2941727.41033545</v>
      </c>
      <c r="AY150" s="10" t="n">
        <f aca="false">AX155</f>
        <v>-3023028.11388545</v>
      </c>
      <c r="AZ150" s="10" t="n">
        <f aca="false">AY155</f>
        <v>-3107367.02568245</v>
      </c>
      <c r="BA150" s="10" t="n">
        <f aca="false">AZ155</f>
        <v>-3192206.48787945</v>
      </c>
      <c r="BB150" s="10" t="n">
        <f aca="false">BA155</f>
        <v>-3277546.50047645</v>
      </c>
      <c r="BC150" s="10" t="n">
        <f aca="false">BB155</f>
        <v>-3388283.00315345</v>
      </c>
      <c r="BD150" s="10" t="n">
        <f aca="false">BC155</f>
        <v>-3474624.11655045</v>
      </c>
      <c r="BE150" s="10" t="n">
        <f aca="false">BD155</f>
        <v>-3561465.78034745</v>
      </c>
      <c r="BF150" s="10" t="n">
        <f aca="false">BE155</f>
        <v>-3648807.99454445</v>
      </c>
      <c r="BG150" s="10" t="n">
        <f aca="false">BF155</f>
        <v>-3736650.75914145</v>
      </c>
      <c r="BH150" s="10" t="n">
        <f aca="false">BG155</f>
        <v>-3847725.14309845</v>
      </c>
      <c r="BI150" s="10" t="n">
        <f aca="false">BH155</f>
        <v>-3907368.20849545</v>
      </c>
      <c r="BJ150" s="10" t="n">
        <f aca="false">BI155</f>
        <v>-3967511.82429245</v>
      </c>
      <c r="BK150" s="10" t="n">
        <f aca="false">BJ155</f>
        <v>-3960380.70088945</v>
      </c>
      <c r="BL150" s="10" t="n">
        <f aca="false">BK155</f>
        <v>-4092389.66209039</v>
      </c>
      <c r="BM150" s="10" t="n">
        <f aca="false">BL155</f>
        <v>-4224398.62329133</v>
      </c>
      <c r="BN150" s="10" t="n">
        <f aca="false">BM155</f>
        <v>-4356407.58449227</v>
      </c>
      <c r="BO150" s="10" t="n">
        <f aca="false">BN155</f>
        <v>-4513810.40416681</v>
      </c>
      <c r="BP150" s="10" t="n">
        <f aca="false">BO155</f>
        <v>-4645819.36536775</v>
      </c>
      <c r="BQ150" s="10" t="n">
        <f aca="false">BP155</f>
        <v>-4726314.80656869</v>
      </c>
      <c r="BR150" s="10" t="n">
        <f aca="false">BQ155</f>
        <v>-4858323.76776963</v>
      </c>
      <c r="BS150" s="10" t="n">
        <f aca="false">BR155</f>
        <v>-4990332.72897057</v>
      </c>
      <c r="BT150" s="10" t="n">
        <f aca="false">BS155</f>
        <v>-5077765.38703871</v>
      </c>
      <c r="BU150" s="10" t="n">
        <f aca="false">BT155</f>
        <v>-5209774.34823965</v>
      </c>
      <c r="BV150" s="10" t="n">
        <f aca="false">BU155</f>
        <v>-5341783.30944059</v>
      </c>
      <c r="BW150" s="10" t="n">
        <f aca="false">BV155</f>
        <v>-5406030.27064153</v>
      </c>
      <c r="BX150" s="10" t="n">
        <f aca="false">BW155</f>
        <v>-5540679.41106649</v>
      </c>
      <c r="BY150" s="10" t="n">
        <f aca="false">BX155</f>
        <v>-5675328.55149145</v>
      </c>
      <c r="BZ150" s="10" t="n">
        <f aca="false">BY155</f>
        <v>-5742215.6919164</v>
      </c>
      <c r="CA150" s="10" t="n">
        <f aca="false">BZ155</f>
        <v>-5902766.56798443</v>
      </c>
      <c r="CB150" s="10" t="n">
        <f aca="false">CA155</f>
        <v>-6037415.70840939</v>
      </c>
      <c r="CC150" s="10" t="n">
        <f aca="false">CB155</f>
        <v>-6095565.84883435</v>
      </c>
      <c r="CD150" s="10" t="n">
        <f aca="false">CC155</f>
        <v>-6230214.98925931</v>
      </c>
      <c r="CE150" s="10" t="n">
        <f aca="false">CD155</f>
        <v>-6364864.12968427</v>
      </c>
      <c r="CF150" s="10" t="n">
        <f aca="false">CE155</f>
        <v>-6446663.68091377</v>
      </c>
      <c r="CG150" s="10" t="n">
        <f aca="false">CF155</f>
        <v>-6581312.82133873</v>
      </c>
      <c r="CH150" s="10" t="n">
        <f aca="false">CG155</f>
        <v>-6715961.96176369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-50342.2929333333</v>
      </c>
      <c r="M151" s="10" t="n">
        <f aca="false">M86</f>
        <v>-50342.2929333333</v>
      </c>
      <c r="N151" s="10" t="n">
        <f aca="false">N86</f>
        <v>-50342.2929333333</v>
      </c>
      <c r="O151" s="10" t="n">
        <f aca="false">O86</f>
        <v>-52733.5846</v>
      </c>
      <c r="P151" s="10" t="n">
        <f aca="false">P86</f>
        <v>-52733.5846</v>
      </c>
      <c r="Q151" s="10" t="n">
        <f aca="false">Q86</f>
        <v>-52733.5846</v>
      </c>
      <c r="R151" s="10" t="n">
        <f aca="false">R86</f>
        <v>-96027.9722</v>
      </c>
      <c r="S151" s="10" t="n">
        <f aca="false">S86</f>
        <v>-55995.7098</v>
      </c>
      <c r="T151" s="10" t="n">
        <f aca="false">T86</f>
        <v>-39423.4474</v>
      </c>
      <c r="U151" s="10" t="n">
        <f aca="false">U86</f>
        <v>-22851.1914</v>
      </c>
      <c r="V151" s="10" t="n">
        <f aca="false">V86</f>
        <v>-6278.92260000002</v>
      </c>
      <c r="W151" s="10" t="n">
        <f aca="false">W86</f>
        <v>46248.3334</v>
      </c>
      <c r="X151" s="10" t="n">
        <f aca="false">X86</f>
        <v>26865.5894</v>
      </c>
      <c r="Y151" s="10" t="n">
        <f aca="false">Y86</f>
        <v>43437.8518</v>
      </c>
      <c r="Z151" s="10" t="n">
        <f aca="false">Z86</f>
        <v>104753.5406</v>
      </c>
      <c r="AA151" s="10" t="n">
        <f aca="false">AA86</f>
        <v>50459.0491</v>
      </c>
      <c r="AB151" s="10" t="n">
        <f aca="false">AB86</f>
        <v>67031.3179</v>
      </c>
      <c r="AC151" s="10" t="n">
        <f aca="false">AC86</f>
        <v>169810.7979</v>
      </c>
      <c r="AD151" s="10" t="n">
        <f aca="false">AD86</f>
        <v>31342.6939</v>
      </c>
      <c r="AE151" s="10" t="n">
        <f aca="false">AE86</f>
        <v>55772.4507</v>
      </c>
      <c r="AF151" s="10" t="n">
        <f aca="false">AF86</f>
        <v>56272.9947</v>
      </c>
      <c r="AG151" s="10" t="n">
        <f aca="false">AG86</f>
        <v>47273.5451</v>
      </c>
      <c r="AH151" s="10" t="n">
        <f aca="false">AH86</f>
        <v>47774.0891</v>
      </c>
      <c r="AI151" s="10" t="n">
        <f aca="false">AI86</f>
        <v>42998.5019</v>
      </c>
      <c r="AJ151" s="10" t="n">
        <f aca="false">AJ86</f>
        <v>48775.1963</v>
      </c>
      <c r="AK151" s="10" t="n">
        <f aca="false">AK86</f>
        <v>32703.4843</v>
      </c>
      <c r="AL151" s="10" t="n">
        <f aca="false">AL86</f>
        <v>16631.7723</v>
      </c>
      <c r="AM151" s="10" t="n">
        <f aca="false">AM86</f>
        <v>-1927.84595</v>
      </c>
      <c r="AN151" s="10" t="n">
        <f aca="false">AN86</f>
        <v>-17999.55155</v>
      </c>
      <c r="AO151" s="10" t="n">
        <f aca="false">AO86</f>
        <v>-34071.26355</v>
      </c>
      <c r="AP151" s="10" t="n">
        <f aca="false">AP86</f>
        <v>-74550.76595</v>
      </c>
      <c r="AQ151" s="10" t="n">
        <f aca="false">AQ86</f>
        <v>-66214.68755</v>
      </c>
      <c r="AR151" s="10" t="n">
        <f aca="false">AR86</f>
        <v>-82286.39955</v>
      </c>
      <c r="AS151" s="10" t="n">
        <f aca="false">AS86</f>
        <v>-30582.82835</v>
      </c>
      <c r="AT151" s="10" t="n">
        <f aca="false">AT86</f>
        <v>-47155.08435</v>
      </c>
      <c r="AU151" s="10" t="n">
        <f aca="false">AU86</f>
        <v>-102084.42035</v>
      </c>
      <c r="AV151" s="10" t="n">
        <f aca="false">AV86</f>
        <v>-80299.60275</v>
      </c>
      <c r="AW151" s="10" t="n">
        <f aca="false">AW86</f>
        <v>-80800.15955</v>
      </c>
      <c r="AX151" s="10" t="n">
        <f aca="false">AX86</f>
        <v>-81300.70355</v>
      </c>
      <c r="AY151" s="10" t="n">
        <f aca="false">AY86</f>
        <v>-84338.911797</v>
      </c>
      <c r="AZ151" s="10" t="n">
        <f aca="false">AZ86</f>
        <v>-84839.462197</v>
      </c>
      <c r="BA151" s="10" t="n">
        <f aca="false">BA86</f>
        <v>-85340.0125969999</v>
      </c>
      <c r="BB151" s="10" t="n">
        <f aca="false">BB86</f>
        <v>-110736.502677</v>
      </c>
      <c r="BC151" s="10" t="n">
        <f aca="false">BC86</f>
        <v>-86341.113397</v>
      </c>
      <c r="BD151" s="10" t="n">
        <f aca="false">BD86</f>
        <v>-86841.663797</v>
      </c>
      <c r="BE151" s="10" t="n">
        <f aca="false">BE86</f>
        <v>-87342.214197</v>
      </c>
      <c r="BF151" s="10" t="n">
        <f aca="false">BF86</f>
        <v>-87842.764597</v>
      </c>
      <c r="BG151" s="10" t="n">
        <f aca="false">BG86</f>
        <v>-111074.383957</v>
      </c>
      <c r="BH151" s="10" t="n">
        <f aca="false">BH86</f>
        <v>-59643.065397</v>
      </c>
      <c r="BI151" s="10" t="n">
        <f aca="false">BI86</f>
        <v>-60143.615797</v>
      </c>
      <c r="BJ151" s="10" t="n">
        <f aca="false">BJ86</f>
        <v>7131.12340300001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159721.633333333</v>
      </c>
      <c r="H155" s="61" t="n">
        <f aca="false">H150+H151+H152+H153+H154</f>
        <v>152915.48</v>
      </c>
      <c r="I155" s="61" t="n">
        <f aca="false">I150+I151+I152+I153+I154</f>
        <v>-30183.6433333333</v>
      </c>
      <c r="J155" s="61" t="n">
        <f aca="false">J150+J151+J152+J153+J154</f>
        <v>-222657.766666667</v>
      </c>
      <c r="K155" s="61" t="n">
        <f aca="false">K150+K151+K152+K153+K154</f>
        <v>-436131.89</v>
      </c>
      <c r="L155" s="61" t="n">
        <f aca="false">L150+L151+L152+L153+L154</f>
        <v>-616474.182933333</v>
      </c>
      <c r="M155" s="61" t="n">
        <f aca="false">M150+M151+M152+M153+M154</f>
        <v>-1046816.47586667</v>
      </c>
      <c r="N155" s="61" t="n">
        <f aca="false">N150+N151+N152+N153+N154</f>
        <v>-1227158.7688</v>
      </c>
      <c r="O155" s="61" t="n">
        <f aca="false">O150+O151+O152+O153+O154</f>
        <v>-1409892.3534</v>
      </c>
      <c r="P155" s="61" t="n">
        <f aca="false">P150+P151+P152+P153+P154</f>
        <v>-1592625.938</v>
      </c>
      <c r="Q155" s="61" t="n">
        <f aca="false">Q150+Q151+Q152+Q153+Q154</f>
        <v>-1775359.5226</v>
      </c>
      <c r="R155" s="61" t="n">
        <f aca="false">R150+R151+R152+R153+R154</f>
        <v>-2001387.4948</v>
      </c>
      <c r="S155" s="61" t="n">
        <f aca="false">S150+S151+S152+S153+S154</f>
        <v>-2187383.2046</v>
      </c>
      <c r="T155" s="61" t="n">
        <f aca="false">T150+T151+T152+T153+T154</f>
        <v>-2356806.652</v>
      </c>
      <c r="U155" s="61" t="n">
        <f aca="false">U150+U151+U152+U153+U154</f>
        <v>-2509657.8434</v>
      </c>
      <c r="V155" s="61" t="n">
        <f aca="false">V150+V151+V152+V153+V154</f>
        <v>-2645936.766</v>
      </c>
      <c r="W155" s="61" t="n">
        <f aca="false">W150+W151+W152+W153+W154</f>
        <v>-2665657.67588545</v>
      </c>
      <c r="X155" s="61" t="n">
        <f aca="false">X150+X151+X152+X153+X154</f>
        <v>-2638792.08648545</v>
      </c>
      <c r="Y155" s="61" t="n">
        <f aca="false">Y150+Y151+Y152+Y153+Y154</f>
        <v>-2845354.23468545</v>
      </c>
      <c r="Z155" s="61" t="n">
        <f aca="false">Z150+Z151+Z152+Z153+Z154</f>
        <v>-2740600.69408545</v>
      </c>
      <c r="AA155" s="61" t="n">
        <f aca="false">AA150+AA151+AA152+AA153+AA154</f>
        <v>-2690141.64498545</v>
      </c>
      <c r="AB155" s="61" t="n">
        <f aca="false">AB150+AB151+AB152+AB153+AB154</f>
        <v>-2623110.32708545</v>
      </c>
      <c r="AC155" s="61" t="n">
        <f aca="false">AC150+AC151+AC152+AC153+AC154</f>
        <v>-2453299.52918545</v>
      </c>
      <c r="AD155" s="61" t="n">
        <f aca="false">AD150+AD151+AD152+AD153+AD154</f>
        <v>-2421956.83528545</v>
      </c>
      <c r="AE155" s="61" t="n">
        <f aca="false">AE150+AE151+AE152+AE153+AE154</f>
        <v>-2366184.38458545</v>
      </c>
      <c r="AF155" s="61" t="n">
        <f aca="false">AF150+AF151+AF152+AF153+AF154</f>
        <v>-2309911.38988545</v>
      </c>
      <c r="AG155" s="61" t="n">
        <f aca="false">AG150+AG151+AG152+AG153+AG154</f>
        <v>-2262637.84478545</v>
      </c>
      <c r="AH155" s="61" t="n">
        <f aca="false">AH150+AH151+AH152+AH153+AH154</f>
        <v>-2214863.75568545</v>
      </c>
      <c r="AI155" s="61" t="n">
        <f aca="false">AI150+AI151+AI152+AI153+AI154</f>
        <v>-2171865.25378545</v>
      </c>
      <c r="AJ155" s="61" t="n">
        <f aca="false">AJ150+AJ151+AJ152+AJ153+AJ154</f>
        <v>-2123090.05748545</v>
      </c>
      <c r="AK155" s="61" t="n">
        <f aca="false">AK150+AK151+AK152+AK153+AK154</f>
        <v>-2340386.57318545</v>
      </c>
      <c r="AL155" s="61" t="n">
        <f aca="false">AL150+AL151+AL152+AL153+AL154</f>
        <v>-2323754.80088545</v>
      </c>
      <c r="AM155" s="61" t="n">
        <f aca="false">AM150+AM151+AM152+AM153+AM154</f>
        <v>-2325682.64683545</v>
      </c>
      <c r="AN155" s="61" t="n">
        <f aca="false">AN150+AN151+AN152+AN153+AN154</f>
        <v>-2343682.19838545</v>
      </c>
      <c r="AO155" s="61" t="n">
        <f aca="false">AO150+AO151+AO152+AO153+AO154</f>
        <v>-2377753.46193544</v>
      </c>
      <c r="AP155" s="61" t="n">
        <f aca="false">AP150+AP151+AP152+AP153+AP154</f>
        <v>-2452304.22788544</v>
      </c>
      <c r="AQ155" s="61" t="n">
        <f aca="false">AQ150+AQ151+AQ152+AQ153+AQ154</f>
        <v>-2518518.91543544</v>
      </c>
      <c r="AR155" s="61" t="n">
        <f aca="false">AR150+AR151+AR152+AR153+AR154</f>
        <v>-2600805.31498545</v>
      </c>
      <c r="AS155" s="61" t="n">
        <f aca="false">AS150+AS151+AS152+AS153+AS154</f>
        <v>-2631388.14333545</v>
      </c>
      <c r="AT155" s="61" t="n">
        <f aca="false">AT150+AT151+AT152+AT153+AT154</f>
        <v>-2678543.22768545</v>
      </c>
      <c r="AU155" s="61" t="n">
        <f aca="false">AU150+AU151+AU152+AU153+AU154</f>
        <v>-2780627.64803545</v>
      </c>
      <c r="AV155" s="61" t="n">
        <f aca="false">AV150+AV151+AV152+AV153+AV154</f>
        <v>-2860927.25078545</v>
      </c>
      <c r="AW155" s="61" t="n">
        <f aca="false">AW150+AW151+AW152+AW153+AW154</f>
        <v>-2941727.41033545</v>
      </c>
      <c r="AX155" s="61" t="n">
        <f aca="false">AX150+AX151+AX152+AX153+AX154</f>
        <v>-3023028.11388545</v>
      </c>
      <c r="AY155" s="61" t="n">
        <f aca="false">AY150+AY151+AY152+AY153+AY154</f>
        <v>-3107367.02568245</v>
      </c>
      <c r="AZ155" s="61" t="n">
        <f aca="false">AZ150+AZ151+AZ152+AZ153+AZ154</f>
        <v>-3192206.48787945</v>
      </c>
      <c r="BA155" s="61" t="n">
        <f aca="false">BA150+BA151+BA152+BA153+BA154</f>
        <v>-3277546.50047645</v>
      </c>
      <c r="BB155" s="61" t="n">
        <f aca="false">BB150+BB151+BB152+BB153+BB154</f>
        <v>-3388283.00315345</v>
      </c>
      <c r="BC155" s="61" t="n">
        <f aca="false">BC150+BC151+BC152+BC153+BC154</f>
        <v>-3474624.11655045</v>
      </c>
      <c r="BD155" s="61" t="n">
        <f aca="false">BD150+BD151+BD152+BD153+BD154</f>
        <v>-3561465.78034745</v>
      </c>
      <c r="BE155" s="61" t="n">
        <f aca="false">BE150+BE151+BE152+BE153+BE154</f>
        <v>-3648807.99454445</v>
      </c>
      <c r="BF155" s="61" t="n">
        <f aca="false">BF150+BF151+BF152+BF153+BF154</f>
        <v>-3736650.75914145</v>
      </c>
      <c r="BG155" s="61" t="n">
        <f aca="false">BG150+BG151+BG152+BG153+BG154</f>
        <v>-3847725.14309845</v>
      </c>
      <c r="BH155" s="61" t="n">
        <f aca="false">BH150+BH151+BH152+BH153+BH154</f>
        <v>-3907368.20849545</v>
      </c>
      <c r="BI155" s="61" t="n">
        <f aca="false">BI150+BI151+BI152+BI153+BI154</f>
        <v>-3967511.82429245</v>
      </c>
      <c r="BJ155" s="61" t="n">
        <f aca="false">BJ150+BJ151+BJ152+BJ153+BJ154</f>
        <v>-3960380.70088945</v>
      </c>
      <c r="BK155" s="61" t="n">
        <f aca="false">BK150+BK151+BK152+BK153+BK154</f>
        <v>-4092389.66209039</v>
      </c>
      <c r="BL155" s="61" t="n">
        <f aca="false">BL150+BL151+BL152+BL153+BL154</f>
        <v>-4224398.62329133</v>
      </c>
      <c r="BM155" s="61" t="n">
        <f aca="false">BM150+BM151+BM152+BM153+BM154</f>
        <v>-4356407.58449227</v>
      </c>
      <c r="BN155" s="61" t="n">
        <f aca="false">BN150+BN151+BN152+BN153+BN154</f>
        <v>-4513810.40416681</v>
      </c>
      <c r="BO155" s="61" t="n">
        <f aca="false">BO150+BO151+BO152+BO153+BO154</f>
        <v>-4645819.36536775</v>
      </c>
      <c r="BP155" s="61" t="n">
        <f aca="false">BP150+BP151+BP152+BP153+BP154</f>
        <v>-4726314.80656869</v>
      </c>
      <c r="BQ155" s="61" t="n">
        <f aca="false">BQ150+BQ151+BQ152+BQ153+BQ154</f>
        <v>-4858323.76776963</v>
      </c>
      <c r="BR155" s="61" t="n">
        <f aca="false">BR150+BR151+BR152+BR153+BR154</f>
        <v>-4990332.72897057</v>
      </c>
      <c r="BS155" s="61" t="n">
        <f aca="false">BS150+BS151+BS152+BS153+BS154</f>
        <v>-5077765.38703871</v>
      </c>
      <c r="BT155" s="61" t="n">
        <f aca="false">BT150+BT151+BT152+BT153+BT154</f>
        <v>-5209774.34823965</v>
      </c>
      <c r="BU155" s="61" t="n">
        <f aca="false">BU150+BU151+BU152+BU153+BU154</f>
        <v>-5341783.30944059</v>
      </c>
      <c r="BV155" s="61" t="n">
        <f aca="false">BV150+BV151+BV152+BV153+BV154</f>
        <v>-5406030.27064153</v>
      </c>
      <c r="BW155" s="61" t="n">
        <f aca="false">BW150+BW151+BW152+BW153+BW154</f>
        <v>-5540679.41106649</v>
      </c>
      <c r="BX155" s="61" t="n">
        <f aca="false">BX150+BX151+BX152+BX153+BX154</f>
        <v>-5675328.55149145</v>
      </c>
      <c r="BY155" s="61" t="n">
        <f aca="false">BY150+BY151+BY152+BY153+BY154</f>
        <v>-5742215.6919164</v>
      </c>
      <c r="BZ155" s="61" t="n">
        <f aca="false">BZ150+BZ151+BZ152+BZ153+BZ154</f>
        <v>-5902766.56798443</v>
      </c>
      <c r="CA155" s="61" t="n">
        <f aca="false">CA150+CA151+CA152+CA153+CA154</f>
        <v>-6037415.70840939</v>
      </c>
      <c r="CB155" s="61" t="n">
        <f aca="false">CB150+CB151+CB152+CB153+CB154</f>
        <v>-6095565.84883435</v>
      </c>
      <c r="CC155" s="61" t="n">
        <f aca="false">CC150+CC151+CC152+CC153+CC154</f>
        <v>-6230214.98925931</v>
      </c>
      <c r="CD155" s="61" t="n">
        <f aca="false">CD150+CD151+CD152+CD153+CD154</f>
        <v>-6364864.12968427</v>
      </c>
      <c r="CE155" s="61" t="n">
        <f aca="false">CE150+CE151+CE152+CE153+CE154</f>
        <v>-6446663.68091377</v>
      </c>
      <c r="CF155" s="61" t="n">
        <f aca="false">CF150+CF151+CF152+CF153+CF154</f>
        <v>-6581312.82133873</v>
      </c>
      <c r="CG155" s="61" t="n">
        <f aca="false">CG150+CG151+CG152+CG153+CG154</f>
        <v>-6715961.96176369</v>
      </c>
      <c r="CH155" s="61" t="n">
        <f aca="false">CH150+CH151+CH152+CH153+CH154</f>
        <v>-6767504.07558217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4039850.68522113</v>
      </c>
      <c r="N158" s="10" t="n">
        <f aca="false">N145+N150</f>
        <v>4018173.52868932</v>
      </c>
      <c r="O158" s="10" t="n">
        <f aca="false">O145+O150</f>
        <v>4246496.3721575</v>
      </c>
      <c r="P158" s="10" t="n">
        <f aca="false">P145+P150</f>
        <v>3842812.89280447</v>
      </c>
      <c r="Q158" s="10" t="n">
        <f aca="false">Q145+Q150</f>
        <v>4231297.88845144</v>
      </c>
      <c r="R158" s="10" t="n">
        <f aca="false">R145+R150</f>
        <v>4619782.88409841</v>
      </c>
      <c r="S158" s="10" t="n">
        <f aca="false">S145+S150</f>
        <v>4774324.10578174</v>
      </c>
      <c r="T158" s="10" t="n">
        <f aca="false">T145+T150</f>
        <v>4842962.08986507</v>
      </c>
      <c r="U158" s="10" t="n">
        <f aca="false">U145+U150</f>
        <v>4928172.33634841</v>
      </c>
      <c r="V158" s="10" t="n">
        <f aca="false">V145+V150</f>
        <v>5029954.83883174</v>
      </c>
      <c r="W158" s="10" t="n">
        <f aca="false">W145+W150</f>
        <v>5118006.45222034</v>
      </c>
      <c r="X158" s="10" t="n">
        <f aca="false">X145+X150</f>
        <v>5322616.07832349</v>
      </c>
      <c r="Y158" s="10" t="n">
        <f aca="false">Y145+Y150</f>
        <v>5573812.20371208</v>
      </c>
      <c r="Z158" s="10" t="n">
        <f aca="false">Z145+Z150</f>
        <v>5591580.59150068</v>
      </c>
      <c r="AA158" s="10" t="n">
        <f aca="false">AA145+AA150</f>
        <v>5863385.30804143</v>
      </c>
      <c r="AB158" s="10" t="n">
        <f aca="false">AB145+AB150</f>
        <v>6026678.89496722</v>
      </c>
      <c r="AC158" s="10" t="n">
        <f aca="false">AC145+AC150</f>
        <v>6125050.89901838</v>
      </c>
      <c r="AD158" s="10" t="n">
        <f aca="false">AD145+AD150</f>
        <v>5759142.65640286</v>
      </c>
      <c r="AE158" s="10" t="n">
        <f aca="false">AE145+AE150</f>
        <v>5978472.36978735</v>
      </c>
      <c r="AF158" s="10" t="n">
        <f aca="false">AF145+AF150</f>
        <v>6222231.83997183</v>
      </c>
      <c r="AG158" s="10" t="n">
        <f aca="false">AG145+AG150</f>
        <v>6466491.85415631</v>
      </c>
      <c r="AH158" s="10" t="n">
        <f aca="false">AH145+AH150</f>
        <v>6701752.4187408</v>
      </c>
      <c r="AI158" s="10" t="n">
        <f aca="false">AI145+AI150</f>
        <v>6836834.52637832</v>
      </c>
      <c r="AJ158" s="10" t="n">
        <f aca="false">AJ145+AJ150</f>
        <v>6967141.04681583</v>
      </c>
      <c r="AK158" s="10" t="n">
        <f aca="false">AK145+AK150</f>
        <v>6940464.98892607</v>
      </c>
      <c r="AL158" s="10" t="n">
        <f aca="false">AL145+AL150</f>
        <v>6647717.21903632</v>
      </c>
      <c r="AM158" s="10" t="n">
        <f aca="false">AM145+AM150</f>
        <v>6588897.73714656</v>
      </c>
      <c r="AN158" s="10" t="n">
        <f aca="false">AN145+AN150</f>
        <v>6442228.5183624</v>
      </c>
      <c r="AO158" s="10" t="n">
        <f aca="false">AO145+AO150</f>
        <v>6279487.59397824</v>
      </c>
      <c r="AP158" s="10" t="n">
        <f aca="false">AP145+AP150</f>
        <v>6100674.95759408</v>
      </c>
      <c r="AQ158" s="10" t="n">
        <f aca="false">AQ145+AQ150</f>
        <v>5881382.81880992</v>
      </c>
      <c r="AR158" s="10" t="n">
        <f aca="false">AR145+AR150</f>
        <v>5670426.75842576</v>
      </c>
      <c r="AS158" s="10" t="n">
        <f aca="false">AS145+AS150</f>
        <v>5443398.9860416</v>
      </c>
      <c r="AT158" s="10" t="n">
        <f aca="false">AT145+AT150</f>
        <v>5096609.74697866</v>
      </c>
      <c r="AU158" s="10" t="n">
        <f aca="false">AU145+AU150</f>
        <v>4733248.25191571</v>
      </c>
      <c r="AV158" s="10" t="n">
        <f aca="false">AV145+AV150</f>
        <v>4314957.42085276</v>
      </c>
      <c r="AW158" s="10" t="n">
        <f aca="false">AW145+AW150</f>
        <v>3918451.40738982</v>
      </c>
      <c r="AX158" s="10" t="n">
        <f aca="false">AX145+AX150</f>
        <v>3521444.83712687</v>
      </c>
      <c r="AY158" s="10" t="n">
        <f aca="false">AY145+AY150</f>
        <v>3123937.72286392</v>
      </c>
      <c r="AZ158" s="10" t="n">
        <f aca="false">AZ145+AZ150</f>
        <v>2713935.34547305</v>
      </c>
      <c r="BA158" s="10" t="n">
        <f aca="false">BA145+BA150</f>
        <v>2303432.41768218</v>
      </c>
      <c r="BB158" s="10" t="n">
        <f aca="false">BB145+BB150</f>
        <v>1892428.9394913</v>
      </c>
      <c r="BC158" s="10" t="n">
        <f aca="false">BC145+BC150</f>
        <v>1456028.97122043</v>
      </c>
      <c r="BD158" s="10" t="n">
        <f aca="false">BD145+BD150</f>
        <v>1044024.39222956</v>
      </c>
      <c r="BE158" s="10" t="n">
        <f aca="false">BE145+BE150</f>
        <v>631519.262838685</v>
      </c>
      <c r="BF158" s="10" t="n">
        <f aca="false">BF145+BF150</f>
        <v>218513.583047813</v>
      </c>
      <c r="BG158" s="10" t="n">
        <f aca="false">BG145+BG150</f>
        <v>-194992.647143059</v>
      </c>
      <c r="BH158" s="10" t="n">
        <f aca="false">BH145+BH150</f>
        <v>-788376.830027265</v>
      </c>
      <c r="BI158" s="10" t="n">
        <f aca="false">BI145+BI150</f>
        <v>-1330329.69435147</v>
      </c>
      <c r="BJ158" s="10" t="n">
        <f aca="false">BJ145+BJ150</f>
        <v>-1872783.10907568</v>
      </c>
      <c r="BK158" s="10" t="n">
        <f aca="false">BK145+BK150</f>
        <v>-2347961.78459988</v>
      </c>
      <c r="BL158" s="10" t="n">
        <f aca="false">BL145+BL150</f>
        <v>-2971926.74070657</v>
      </c>
      <c r="BM158" s="10" t="n">
        <f aca="false">BM145+BM150</f>
        <v>-3595891.69681326</v>
      </c>
      <c r="BN158" s="10" t="n">
        <f aca="false">BN145+BN150</f>
        <v>-4219856.65291995</v>
      </c>
      <c r="BO158" s="10" t="n">
        <f aca="false">BO145+BO150</f>
        <v>-4869215.46750024</v>
      </c>
      <c r="BP158" s="10" t="n">
        <f aca="false">BP145+BP150</f>
        <v>-5493180.42360693</v>
      </c>
      <c r="BQ158" s="10" t="n">
        <f aca="false">BQ145+BQ150</f>
        <v>-6065631.85971362</v>
      </c>
      <c r="BR158" s="10" t="n">
        <f aca="false">BR145+BR150</f>
        <v>-6689596.81582031</v>
      </c>
      <c r="BS158" s="10" t="n">
        <f aca="false">BS145+BS150</f>
        <v>-7313561.771927</v>
      </c>
      <c r="BT158" s="10" t="n">
        <f aca="false">BT145+BT150</f>
        <v>-7892950.42490089</v>
      </c>
      <c r="BU158" s="10" t="n">
        <f aca="false">BU145+BU150</f>
        <v>-8516915.38100758</v>
      </c>
      <c r="BV158" s="10" t="n">
        <f aca="false">BV145+BV150</f>
        <v>-9140880.33711427</v>
      </c>
      <c r="BW158" s="10" t="n">
        <f aca="false">BW145+BW150</f>
        <v>-9697083.29322096</v>
      </c>
      <c r="BX158" s="10" t="n">
        <f aca="false">BX145+BX150</f>
        <v>-10333527.5484498</v>
      </c>
      <c r="BY158" s="10" t="n">
        <f aca="false">BY145+BY150</f>
        <v>-10969971.8036786</v>
      </c>
      <c r="BZ158" s="10" t="n">
        <f aca="false">BZ145+BZ150</f>
        <v>-11538654.0589074</v>
      </c>
      <c r="CA158" s="10" t="n">
        <f aca="false">CA145+CA150</f>
        <v>-12201000.0497793</v>
      </c>
      <c r="CB158" s="10" t="n">
        <f aca="false">CB145+CB150</f>
        <v>-12837444.3050081</v>
      </c>
      <c r="CC158" s="10" t="n">
        <f aca="false">CC145+CC150</f>
        <v>-13397389.560237</v>
      </c>
      <c r="CD158" s="10" t="n">
        <f aca="false">CD145+CD150</f>
        <v>-14033833.8154658</v>
      </c>
      <c r="CE158" s="10" t="n">
        <f aca="false">CE145+CE150</f>
        <v>-14670278.0706946</v>
      </c>
      <c r="CF158" s="10" t="n">
        <f aca="false">CF145+CF150</f>
        <v>-15253872.736728</v>
      </c>
      <c r="CG158" s="10" t="n">
        <f aca="false">CG145+CG150</f>
        <v>-15890316.9919568</v>
      </c>
      <c r="CH158" s="10" t="n">
        <f aca="false">CH145+CH150</f>
        <v>-16526761.2471856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-977117.243956794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-568357.490547702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2331226.85122743</v>
      </c>
      <c r="G160" s="61" t="n">
        <f aca="false">G158+G146+G151+G152+G153+G154+G159</f>
        <v>2548101.31326093</v>
      </c>
      <c r="H160" s="61" t="n">
        <f aca="false">H158+H146+H151+H152+H153+H154+H159</f>
        <v>2768405.94749538</v>
      </c>
      <c r="I160" s="61" t="n">
        <f aca="false">I158+I146+I151+I152+I153+I154+I159</f>
        <v>3177906.93761659</v>
      </c>
      <c r="J160" s="61" t="n">
        <f aca="false">J158+J146+J151+J152+J153+J154+J159</f>
        <v>3616336.82868477</v>
      </c>
      <c r="K160" s="61" t="n">
        <f aca="false">K158+K146+K151+K152+K153+K154+K159</f>
        <v>3811527.84175295</v>
      </c>
      <c r="L160" s="61" t="n">
        <f aca="false">L158+L146+L151+L152+L153+L154+L159</f>
        <v>4039850.68522113</v>
      </c>
      <c r="M160" s="61" t="n">
        <f aca="false">M158+M146+M151+M152+M153+M154+M159</f>
        <v>4018173.52868931</v>
      </c>
      <c r="N160" s="61" t="n">
        <f aca="false">N158+N146+N151+N152+N153+N154+N159</f>
        <v>3617102.07463161</v>
      </c>
      <c r="O160" s="61" t="n">
        <f aca="false">O158+O146+O151+O152+O153+O154+O159</f>
        <v>3842812.89280447</v>
      </c>
      <c r="P160" s="61" t="n">
        <f aca="false">P158+P146+P151+P152+P153+P154+P159</f>
        <v>4231297.88845144</v>
      </c>
      <c r="Q160" s="61" t="n">
        <f aca="false">Q158+Q146+Q151+Q152+Q153+Q154+Q159</f>
        <v>4619782.88409841</v>
      </c>
      <c r="R160" s="61" t="n">
        <f aca="false">R158+R146+R151+R152+R153+R154+R159</f>
        <v>4774324.10578174</v>
      </c>
      <c r="S160" s="61" t="n">
        <f aca="false">S158+S146+S151+S152+S153+S154+S159</f>
        <v>4842962.08986507</v>
      </c>
      <c r="T160" s="61" t="n">
        <f aca="false">T158+T146+T151+T152+T153+T154+T159</f>
        <v>4928172.33634841</v>
      </c>
      <c r="U160" s="61" t="n">
        <f aca="false">U158+U146+U151+U152+U153+U154+U159</f>
        <v>5029954.83883174</v>
      </c>
      <c r="V160" s="61" t="n">
        <f aca="false">V158+V146+V151+V152+V153+V154+V159</f>
        <v>5118006.45222034</v>
      </c>
      <c r="W160" s="61" t="n">
        <f aca="false">W158+W146+W151+W152+W153+W154+W159</f>
        <v>5322616.07832349</v>
      </c>
      <c r="X160" s="61" t="n">
        <f aca="false">X158+X146+X151+X152+X153+X154+X159</f>
        <v>5573812.20371208</v>
      </c>
      <c r="Y160" s="61" t="n">
        <f aca="false">Y158+Y146+Y151+Y152+Y153+Y154+Y159</f>
        <v>5591580.59150068</v>
      </c>
      <c r="Z160" s="61" t="n">
        <f aca="false">Z158+Z146+Z151+Z152+Z153+Z154+Z159</f>
        <v>4886268.06408463</v>
      </c>
      <c r="AA160" s="61" t="n">
        <f aca="false">AA158+AA146+AA151+AA152+AA153+AA154+AA159</f>
        <v>6026678.89496722</v>
      </c>
      <c r="AB160" s="61" t="n">
        <f aca="false">AB158+AB146+AB151+AB152+AB153+AB154+AB159</f>
        <v>6125050.89901837</v>
      </c>
      <c r="AC160" s="61" t="n">
        <f aca="false">AC158+AC146+AC151+AC152+AC153+AC154+AC159</f>
        <v>5759142.65640286</v>
      </c>
      <c r="AD160" s="61" t="n">
        <f aca="false">AD158+AD146+AD151+AD152+AD153+AD154+AD159</f>
        <v>5978472.36978735</v>
      </c>
      <c r="AE160" s="61" t="n">
        <f aca="false">AE158+AE146+AE151+AE152+AE153+AE154+AE159</f>
        <v>6222231.83997183</v>
      </c>
      <c r="AF160" s="61" t="n">
        <f aca="false">AF158+AF146+AF151+AF152+AF153+AF154+AF159</f>
        <v>6466491.85415631</v>
      </c>
      <c r="AG160" s="61" t="n">
        <f aca="false">AG158+AG146+AG151+AG152+AG153+AG154+AG159</f>
        <v>6701752.4187408</v>
      </c>
      <c r="AH160" s="61" t="n">
        <f aca="false">AH158+AH146+AH151+AH152+AH153+AH154+AH159</f>
        <v>6836834.52637832</v>
      </c>
      <c r="AI160" s="61" t="n">
        <f aca="false">AI158+AI146+AI151+AI152+AI153+AI154+AI159</f>
        <v>6967141.04681583</v>
      </c>
      <c r="AJ160" s="61" t="n">
        <f aca="false">AJ158+AJ146+AJ151+AJ152+AJ153+AJ154+AJ159</f>
        <v>6940464.98892607</v>
      </c>
      <c r="AK160" s="61" t="n">
        <f aca="false">AK158+AK146+AK151+AK152+AK153+AK154+AK159</f>
        <v>6647717.21903632</v>
      </c>
      <c r="AL160" s="61" t="n">
        <f aca="false">AL158+AL146+AL151+AL152+AL153+AL154+AL159</f>
        <v>6020540.24659886</v>
      </c>
      <c r="AM160" s="61" t="n">
        <f aca="false">AM158+AM146+AM151+AM152+AM153+AM154+AM159</f>
        <v>6442228.5183624</v>
      </c>
      <c r="AN160" s="61" t="n">
        <f aca="false">AN158+AN146+AN151+AN152+AN153+AN154+AN159</f>
        <v>6279487.59397824</v>
      </c>
      <c r="AO160" s="61" t="n">
        <f aca="false">AO158+AO146+AO151+AO152+AO153+AO154+AO159</f>
        <v>6100674.95759408</v>
      </c>
      <c r="AP160" s="61" t="n">
        <f aca="false">AP158+AP146+AP151+AP152+AP153+AP154+AP159</f>
        <v>5881382.81880992</v>
      </c>
      <c r="AQ160" s="61" t="n">
        <f aca="false">AQ158+AQ146+AQ151+AQ152+AQ153+AQ154+AQ159</f>
        <v>5670426.75842576</v>
      </c>
      <c r="AR160" s="61" t="n">
        <f aca="false">AR158+AR146+AR151+AR152+AR153+AR154+AR159</f>
        <v>5443398.9860416</v>
      </c>
      <c r="AS160" s="61" t="n">
        <f aca="false">AS158+AS146+AS151+AS152+AS153+AS154+AS159</f>
        <v>5096609.74697866</v>
      </c>
      <c r="AT160" s="61" t="n">
        <f aca="false">AT158+AT146+AT151+AT152+AT153+AT154+AT159</f>
        <v>4733248.25191571</v>
      </c>
      <c r="AU160" s="61" t="n">
        <f aca="false">AU158+AU146+AU151+AU152+AU153+AU154+AU159</f>
        <v>4314957.42085276</v>
      </c>
      <c r="AV160" s="61" t="n">
        <f aca="false">AV158+AV146+AV151+AV152+AV153+AV154+AV159</f>
        <v>3918451.40738982</v>
      </c>
      <c r="AW160" s="61" t="n">
        <f aca="false">AW158+AW146+AW151+AW152+AW153+AW154+AW159</f>
        <v>3521444.83712687</v>
      </c>
      <c r="AX160" s="61" t="n">
        <f aca="false">AX158+AX146+AX151+AX152+AX153+AX154+AX159</f>
        <v>3123937.72286392</v>
      </c>
      <c r="AY160" s="61" t="n">
        <f aca="false">AY158+AY146+AY151+AY152+AY153+AY154+AY159</f>
        <v>2713935.34547305</v>
      </c>
      <c r="AZ160" s="61" t="n">
        <f aca="false">AZ158+AZ146+AZ151+AZ152+AZ153+AZ154+AZ159</f>
        <v>2303432.41768218</v>
      </c>
      <c r="BA160" s="61" t="n">
        <f aca="false">BA158+BA146+BA151+BA152+BA153+BA154+BA159</f>
        <v>1892428.9394913</v>
      </c>
      <c r="BB160" s="61" t="n">
        <f aca="false">BB158+BB146+BB151+BB152+BB153+BB154+BB159</f>
        <v>1456028.97122043</v>
      </c>
      <c r="BC160" s="61" t="n">
        <f aca="false">BC158+BC146+BC151+BC152+BC153+BC154+BC159</f>
        <v>1044024.39222956</v>
      </c>
      <c r="BD160" s="61" t="n">
        <f aca="false">BD158+BD146+BD151+BD152+BD153+BD154+BD159</f>
        <v>631519.262838685</v>
      </c>
      <c r="BE160" s="61" t="n">
        <f aca="false">BE158+BE146+BE151+BE152+BE153+BE154+BE159</f>
        <v>218513.583047813</v>
      </c>
      <c r="BF160" s="61" t="n">
        <f aca="false">BF158+BF146+BF151+BF152+BF153+BF154+BF159</f>
        <v>-194992.647143059</v>
      </c>
      <c r="BG160" s="61" t="n">
        <f aca="false">BG158+BG146+BG151+BG152+BG153+BG154+BG159</f>
        <v>-788376.830027265</v>
      </c>
      <c r="BH160" s="61" t="n">
        <f aca="false">BH158+BH146+BH151+BH152+BH153+BH154+BH159</f>
        <v>-1330329.69435147</v>
      </c>
      <c r="BI160" s="61" t="n">
        <f aca="false">BI158+BI146+BI151+BI152+BI153+BI154+BI159</f>
        <v>-1872783.10907568</v>
      </c>
      <c r="BJ160" s="61" t="n">
        <f aca="false">BJ158+BJ146+BJ151+BJ152+BJ153+BJ154+BJ159</f>
        <v>-2347961.78459988</v>
      </c>
      <c r="BK160" s="61" t="n">
        <f aca="false">BK158+BK146+BK151+BK152+BK153+BK154+BK159</f>
        <v>-2971926.74070657</v>
      </c>
      <c r="BL160" s="61" t="n">
        <f aca="false">BL158+BL146+BL151+BL152+BL153+BL154+BL159</f>
        <v>-3595891.69681326</v>
      </c>
      <c r="BM160" s="61" t="n">
        <f aca="false">BM158+BM146+BM151+BM152+BM153+BM154+BM159</f>
        <v>-4219856.65291995</v>
      </c>
      <c r="BN160" s="61" t="n">
        <f aca="false">BN158+BN146+BN151+BN152+BN153+BN154+BN159</f>
        <v>-4869215.46750024</v>
      </c>
      <c r="BO160" s="61" t="n">
        <f aca="false">BO158+BO146+BO151+BO152+BO153+BO154+BO159</f>
        <v>-5493180.42360693</v>
      </c>
      <c r="BP160" s="61" t="n">
        <f aca="false">BP158+BP146+BP151+BP152+BP153+BP154+BP159</f>
        <v>-6065631.85971362</v>
      </c>
      <c r="BQ160" s="61" t="n">
        <f aca="false">BQ158+BQ146+BQ151+BQ152+BQ153+BQ154+BQ159</f>
        <v>-6689596.81582031</v>
      </c>
      <c r="BR160" s="61" t="n">
        <f aca="false">BR158+BR146+BR151+BR152+BR153+BR154+BR159</f>
        <v>-7313561.771927</v>
      </c>
      <c r="BS160" s="61" t="n">
        <f aca="false">BS158+BS146+BS151+BS152+BS153+BS154+BS159</f>
        <v>-7892950.42490089</v>
      </c>
      <c r="BT160" s="61" t="n">
        <f aca="false">BT158+BT146+BT151+BT152+BT153+BT154+BT159</f>
        <v>-8516915.38100758</v>
      </c>
      <c r="BU160" s="61" t="n">
        <f aca="false">BU158+BU146+BU151+BU152+BU153+BU154+BU159</f>
        <v>-9140880.33711427</v>
      </c>
      <c r="BV160" s="61" t="n">
        <f aca="false">BV158+BV146+BV151+BV152+BV153+BV154+BV159</f>
        <v>-9697083.29322096</v>
      </c>
      <c r="BW160" s="61" t="n">
        <f aca="false">BW158+BW146+BW151+BW152+BW153+BW154+BW159</f>
        <v>-10333527.5484498</v>
      </c>
      <c r="BX160" s="61" t="n">
        <f aca="false">BX158+BX146+BX151+BX152+BX153+BX154+BX159</f>
        <v>-10969971.8036786</v>
      </c>
      <c r="BY160" s="61" t="n">
        <f aca="false">BY158+BY146+BY151+BY152+BY153+BY154+BY159</f>
        <v>-11538654.0589074</v>
      </c>
      <c r="BZ160" s="61" t="n">
        <f aca="false">BZ158+BZ146+BZ151+BZ152+BZ153+BZ154+BZ159</f>
        <v>-12201000.0497793</v>
      </c>
      <c r="CA160" s="61" t="n">
        <f aca="false">CA158+CA146+CA151+CA152+CA153+CA154+CA159</f>
        <v>-12837444.3050082</v>
      </c>
      <c r="CB160" s="61" t="n">
        <f aca="false">CB158+CB146+CB151+CB152+CB153+CB154+CB159</f>
        <v>-13397389.560237</v>
      </c>
      <c r="CC160" s="61" t="n">
        <f aca="false">CC158+CC146+CC151+CC152+CC153+CC154+CC159</f>
        <v>-14033833.8154658</v>
      </c>
      <c r="CD160" s="61" t="n">
        <f aca="false">CD158+CD146+CD151+CD152+CD153+CD154+CD159</f>
        <v>-14670278.0706946</v>
      </c>
      <c r="CE160" s="61" t="n">
        <f aca="false">CE158+CE146+CE151+CE152+CE153+CE154+CE159</f>
        <v>-15253872.736728</v>
      </c>
      <c r="CF160" s="61" t="n">
        <f aca="false">CF158+CF146+CF151+CF152+CF153+CF154+CF159</f>
        <v>-15890316.9919568</v>
      </c>
      <c r="CG160" s="61" t="n">
        <f aca="false">CG158+CG146+CG151+CG152+CG153+CG154+CG159</f>
        <v>-16526761.2471856</v>
      </c>
      <c r="CH160" s="61" t="n">
        <f aca="false">CH158+CH146+CH151+CH152+CH153+CH154+CH159</f>
        <v>-17080098.475808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24784936.501511</v>
      </c>
      <c r="H3" s="65" t="n">
        <f aca="false">Model!U7+Model!V7+Model!W7</f>
        <v>22354845.67036</v>
      </c>
      <c r="I3" s="65" t="n">
        <f aca="false">Model!X7+Model!Y7+Model!Z7</f>
        <v>18455897.61331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966959.324483083</v>
      </c>
      <c r="H5" s="10" t="n">
        <f aca="false">Model!U8+Model!V8+Model!W8</f>
        <v>885665.663298872</v>
      </c>
      <c r="I5" s="10" t="n">
        <f aca="false">Model!X8+Model!Y8+Model!Z8</f>
        <v>848222.629293404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984388.377114662</v>
      </c>
      <c r="H6" s="10" t="n">
        <f aca="false">Model!U9+Model!V9+Model!W9</f>
        <v>890179.347509399</v>
      </c>
      <c r="I6" s="10" t="n">
        <f aca="false">Model!X9+Model!Y9+Model!Z9</f>
        <v>848222.629293404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301962.767152256</v>
      </c>
      <c r="H7" s="10" t="n">
        <f aca="false">Model!U10+Model!V10+Model!W10</f>
        <v>290923.642152256</v>
      </c>
      <c r="I7" s="10" t="n">
        <f aca="false">Model!X10+Model!Y10+Model!Z10</f>
        <v>282740.876431135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2253310.46875</v>
      </c>
      <c r="H9" s="12" t="n">
        <f aca="false">Model!U12+Model!V12+Model!W12</f>
        <v>2066768.65296053</v>
      </c>
      <c r="I9" s="12" t="n">
        <f aca="false">Model!X12+Model!Y12+Model!Z12</f>
        <v>1979186.13501794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-1363473.8871</v>
      </c>
      <c r="H15" s="12" t="n">
        <f aca="false">Model!U38+Model!V38+Model!W38</f>
        <v>-1363473.8871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889836.58165</v>
      </c>
      <c r="H16" s="16" t="n">
        <f aca="false">Model!U40+Model!V40+Model!W40</f>
        <v>703294.765860526</v>
      </c>
      <c r="I16" s="16" t="n">
        <f aca="false">Model!X40+Model!Y40+Model!Z40</f>
        <v>615712.247917943</v>
      </c>
      <c r="J16" s="16" t="n">
        <f aca="false">Model!AA40+Model!AB40+Model!AC40</f>
        <v>-391543.816538571</v>
      </c>
      <c r="K16" s="16" t="n">
        <f aca="false">Model!AD40+Model!AE40+Model!AF40</f>
        <v>563961.058453455</v>
      </c>
      <c r="L16" s="16" t="n">
        <f aca="false">Model!AG40+Model!AH40+Model!AI40</f>
        <v>362603.056559515</v>
      </c>
      <c r="M16" s="16" t="n">
        <f aca="false">Model!AJ40+Model!AK40+Model!AL40</f>
        <v>-226353.762569273</v>
      </c>
      <c r="N16" s="16" t="n">
        <f aca="false">Model!AM40+Model!AN40+Model!AO40</f>
        <v>-434224.118502477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0.394901898336108</v>
      </c>
      <c r="H17" s="17" t="n">
        <f aca="false">IF((Model!U12+Model!V12+Model!W12)&lt;&gt;0,(Model!U40+Model!V40+Model!W40)/(Model!U12+Model!V12+Model!W12),0)</f>
        <v>0.340287126405318</v>
      </c>
      <c r="I17" s="17" t="n">
        <f aca="false">IF((Model!X12+Model!Y12+Model!Z12)&lt;&gt;0,(Model!X40+Model!Y40+Model!Z40)/(Model!X12+Model!Y12+Model!Z12),0)</f>
        <v>0.311093654620999</v>
      </c>
      <c r="J17" s="17" t="n">
        <f aca="false">IF((Model!AA12+Model!AB12+Model!AC12)&lt;&gt;0,(Model!AA40+Model!AB40+Model!AC40)/(Model!AA12+Model!AB12+Model!AC12),0)</f>
        <v>-0.167096118291419</v>
      </c>
      <c r="K17" s="17" t="n">
        <f aca="false">IF((Model!AD12+Model!AE12+Model!AF12)&lt;&gt;0,(Model!AD40+Model!AE40+Model!AF40)/(Model!AD12+Model!AE12+Model!AF12),0)</f>
        <v>0.288514750226363</v>
      </c>
      <c r="L17" s="17" t="n">
        <f aca="false">IF((Model!AG12+Model!AH12+Model!AI12)&lt;&gt;0,(Model!AG40+Model!AH40+Model!AI40)/(Model!AG12+Model!AH12+Model!AI12),0)</f>
        <v>0.206806283192841</v>
      </c>
      <c r="M17" s="17" t="n">
        <f aca="false">IF((Model!AJ12+Model!AK12+Model!AL12)&lt;&gt;0,(Model!AJ40+Model!AK40+Model!AL40)/(Model!AJ12+Model!AK12+Model!AL12),0)</f>
        <v>-0.194396928766335</v>
      </c>
      <c r="N17" s="17" t="n">
        <f aca="false">IF((Model!AM12+Model!AN12+Model!AO12)&lt;&gt;0,(Model!AM40+Model!AN40+Model!AO40)/(Model!AM12+Model!AN12+Model!AO12),0)</f>
        <v>-0.441134887521423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207666.8712</v>
      </c>
      <c r="F19" s="19" t="n">
        <f aca="false">Model!O63+Model!P63+Model!Q63</f>
        <v>207666.8712</v>
      </c>
      <c r="G19" s="19" t="n">
        <f aca="false">Model!R63+Model!S63+Model!T63</f>
        <v>197880.4956</v>
      </c>
      <c r="H19" s="19" t="n">
        <f aca="false">Model!U63+Model!V63+Model!W63</f>
        <v>404405.8444</v>
      </c>
      <c r="I19" s="19" t="n">
        <f aca="false">Model!X63+Model!Y63+Model!Z63</f>
        <v>540924.6068</v>
      </c>
      <c r="J19" s="19" t="n">
        <f aca="false">Model!AA63+Model!AB63+Model!AC63</f>
        <v>660486.1424</v>
      </c>
      <c r="K19" s="19" t="n">
        <f aca="false">Model!AD63+Model!AE63+Model!AF63</f>
        <v>540502.3168</v>
      </c>
      <c r="L19" s="19" t="n">
        <f aca="false">Model!AG63+Model!AH63+Model!AI63</f>
        <v>533079.5136</v>
      </c>
      <c r="M19" s="19" t="n">
        <f aca="false">Model!AJ63+Model!AK63+Model!AL63</f>
        <v>471295.4304</v>
      </c>
      <c r="N19" s="19" t="n">
        <f aca="false">Model!AM63+Model!AN63+Model!AO63</f>
        <v>326650.016</v>
      </c>
      <c r="O19" s="19" t="n">
        <f aca="false">Model!AP63+Model!AQ63+Model!AR63</f>
        <v>263687.608</v>
      </c>
      <c r="P19" s="19" t="n">
        <f aca="false">Model!AS63+Model!AT63+Model!AU63</f>
        <v>304793.712</v>
      </c>
      <c r="Q19" s="19" t="n">
        <f aca="false">Model!AV63+Model!AW63+Model!AX63</f>
        <v>219930.2112</v>
      </c>
      <c r="R19" s="19" t="n">
        <f aca="false">Model!AY63+Model!AZ63+Model!BA63</f>
        <v>1067264.264</v>
      </c>
      <c r="S19" s="19" t="n">
        <f aca="false">Model!BB63+Model!BC63+Model!BD63</f>
        <v>260116.3104</v>
      </c>
      <c r="T19" s="19" t="n">
        <f aca="false">Model!BE63+Model!BF63+Model!BG63</f>
        <v>255609.3632</v>
      </c>
      <c r="U19" s="19" t="n">
        <f aca="false">Model!BH63+Model!BI63+Model!BJ63</f>
        <v>406482.0928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-151026.8788</v>
      </c>
      <c r="F21" s="16" t="n">
        <f aca="false">Model!O86+Model!P86+Model!Q86</f>
        <v>-158200.7538</v>
      </c>
      <c r="G21" s="16" t="n">
        <f aca="false">Model!R86+Model!S86+Model!T86</f>
        <v>-191447.1294</v>
      </c>
      <c r="H21" s="16" t="n">
        <f aca="false">Model!U86+Model!V86+Model!W86</f>
        <v>17118.2194</v>
      </c>
      <c r="I21" s="16" t="n">
        <f aca="false">Model!X86+Model!Y86+Model!Z86</f>
        <v>175056.9818</v>
      </c>
      <c r="J21" s="16" t="n">
        <f aca="false">Model!AA86+Model!AB86+Model!AC86</f>
        <v>287301.1649</v>
      </c>
      <c r="K21" s="16" t="n">
        <f aca="false">Model!AD86+Model!AE86+Model!AF86</f>
        <v>143388.1393</v>
      </c>
      <c r="L21" s="16" t="n">
        <f aca="false">Model!AG86+Model!AH86+Model!AI86</f>
        <v>138046.1361</v>
      </c>
      <c r="M21" s="16" t="n">
        <f aca="false">Model!AJ86+Model!AK86+Model!AL86</f>
        <v>98110.4529</v>
      </c>
      <c r="N21" s="16" t="n">
        <f aca="false">Model!AM86+Model!AN86+Model!AO86</f>
        <v>-53998.66105</v>
      </c>
      <c r="O21" s="16" t="n">
        <f aca="false">Model!AP86+Model!AQ86+Model!AR86</f>
        <v>-223051.85305</v>
      </c>
      <c r="P21" s="16" t="n">
        <f aca="false">Model!AS86+Model!AT86+Model!AU86</f>
        <v>-179822.33305</v>
      </c>
      <c r="Q21" s="16" t="n">
        <f aca="false">Model!AV86+Model!AW86+Model!AX86</f>
        <v>-242400.46585</v>
      </c>
      <c r="R21" s="16" t="n">
        <f aca="false">Model!AY86+Model!AZ86+Model!BA86</f>
        <v>-254518.386591</v>
      </c>
      <c r="S21" s="16" t="n">
        <f aca="false">Model!BB86+Model!BC86+Model!BD86</f>
        <v>-283919.279871</v>
      </c>
      <c r="T21" s="16" t="n">
        <f aca="false">Model!BE86+Model!BF86+Model!BG86</f>
        <v>-286259.362751</v>
      </c>
      <c r="U21" s="16" t="n">
        <f aca="false">Model!BH86+Model!BI86+Model!BJ86</f>
        <v>-112655.557791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1074968.53040455</v>
      </c>
      <c r="F23" s="16" t="n">
        <f aca="false">Model!O95+Model!P95+Model!Q95</f>
        <v>763286.511940909</v>
      </c>
      <c r="G23" s="16" t="n">
        <f aca="false">Model!R95+Model!S95+Model!T95</f>
        <v>698389.45225</v>
      </c>
      <c r="H23" s="16" t="n">
        <f aca="false">Model!U95+Model!V95+Model!W95</f>
        <v>720412.985260526</v>
      </c>
      <c r="I23" s="16" t="n">
        <f aca="false">Model!X95+Model!Y95+Model!Z95</f>
        <v>790769.229717943</v>
      </c>
      <c r="J23" s="16" t="n">
        <f aca="false">Model!AA95+Model!AB95+Model!AC95</f>
        <v>-104242.651638571</v>
      </c>
      <c r="K23" s="16" t="n">
        <f aca="false">Model!AD95+Model!AE95+Model!AF95</f>
        <v>707349.197753455</v>
      </c>
      <c r="L23" s="16" t="n">
        <f aca="false">Model!AG95+Model!AH95+Model!AI95</f>
        <v>500649.192659515</v>
      </c>
      <c r="M23" s="16" t="n">
        <f aca="false">Model!AJ95+Model!AK95+Model!AL95</f>
        <v>-128243.309669273</v>
      </c>
      <c r="N23" s="16" t="n">
        <f aca="false">Model!AM95+Model!AN95+Model!AO95</f>
        <v>-488222.779552477</v>
      </c>
      <c r="O23" s="16" t="n">
        <f aca="false">Model!AP95+Model!AQ95+Model!AR95</f>
        <v>-657275.971552477</v>
      </c>
      <c r="P23" s="16" t="n">
        <f aca="false">Model!AS95+Model!AT95+Model!AU95</f>
        <v>-1128441.56518884</v>
      </c>
      <c r="Q23" s="16" t="n">
        <f aca="false">Model!AV95+Model!AW95+Model!AX95</f>
        <v>-1191019.69798884</v>
      </c>
      <c r="R23" s="16" t="n">
        <f aca="false">Model!AY95+Model!AZ95+Model!BA95</f>
        <v>-1231508.78337262</v>
      </c>
      <c r="S23" s="16" t="n">
        <f aca="false">Model!BB95+Model!BC95+Model!BD95</f>
        <v>-1260909.67665262</v>
      </c>
      <c r="T23" s="16" t="n">
        <f aca="false">Model!BE95+Model!BF95+Model!BG95</f>
        <v>-1419896.09286595</v>
      </c>
      <c r="U23" s="16" t="n">
        <f aca="false">Model!BH95+Model!BI95+Model!BJ95</f>
        <v>-1559584.95457262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7284978.98834841</v>
      </c>
      <c r="H42" s="21" t="n">
        <f aca="false">Model!W147</f>
        <v>7988273.75420893</v>
      </c>
      <c r="I42" s="21" t="n">
        <f aca="false">Model!Z147</f>
        <v>8603986.00212687</v>
      </c>
      <c r="J42" s="21" t="n">
        <f aca="false">Model!AC147</f>
        <v>8212442.18558831</v>
      </c>
      <c r="K42" s="21" t="n">
        <f aca="false">Model!AF147</f>
        <v>8776403.24404176</v>
      </c>
      <c r="L42" s="21" t="n">
        <f aca="false">Model!AI147</f>
        <v>9139006.30060128</v>
      </c>
      <c r="M42" s="21" t="n">
        <f aca="false">Model!AL147</f>
        <v>8912652.538032</v>
      </c>
      <c r="N42" s="21" t="n">
        <f aca="false">Model!AO147</f>
        <v>8478428.41952953</v>
      </c>
      <c r="O42" s="21" t="n">
        <f aca="false">Model!AR147</f>
        <v>8044204.30102705</v>
      </c>
      <c r="P42" s="21" t="n">
        <f aca="false">Model!AU147</f>
        <v>7095585.06888821</v>
      </c>
      <c r="Q42" s="21" t="n">
        <f aca="false">Model!AX147</f>
        <v>6146965.83674937</v>
      </c>
      <c r="R42" s="21" t="n">
        <f aca="false">Model!BA147</f>
        <v>5169975.43996775</v>
      </c>
      <c r="S42" s="21" t="n">
        <f aca="false">Model!BD147</f>
        <v>4192985.04318613</v>
      </c>
      <c r="T42" s="21" t="n">
        <f aca="false">Model!BG147</f>
        <v>3059348.31307118</v>
      </c>
      <c r="U42" s="21" t="n">
        <f aca="false">Model!BJ147</f>
        <v>1612418.91628956</v>
      </c>
      <c r="V42" s="21" t="n">
        <f aca="false">Model!BM147</f>
        <v>136550.931572315</v>
      </c>
      <c r="W42" s="21" t="n">
        <f aca="false">Model!BP147</f>
        <v>-1339317.05314493</v>
      </c>
      <c r="X42" s="21" t="n">
        <f aca="false">Model!BS147</f>
        <v>-2815185.03786218</v>
      </c>
      <c r="Y42" s="21" t="n">
        <f aca="false">Model!BV147</f>
        <v>-4291053.02257943</v>
      </c>
      <c r="Z42" s="21" t="n">
        <f aca="false">Model!BY147</f>
        <v>-5796438.36699103</v>
      </c>
      <c r="AA42" s="21" t="n">
        <f aca="false">Model!CB147</f>
        <v>-7301823.71140262</v>
      </c>
      <c r="AB42" s="21" t="n">
        <f aca="false">Model!CE147</f>
        <v>-8807209.05581421</v>
      </c>
      <c r="AC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-1227158.7688</v>
      </c>
      <c r="F43" s="21" t="n">
        <f aca="false">Model!Q155</f>
        <v>-1775359.5226</v>
      </c>
      <c r="G43" s="21" t="n">
        <f aca="false">Model!T155</f>
        <v>-2356806.652</v>
      </c>
      <c r="H43" s="21" t="n">
        <f aca="false">Model!W155</f>
        <v>-2665657.67588545</v>
      </c>
      <c r="I43" s="21" t="n">
        <f aca="false">Model!Z155</f>
        <v>-2740600.69408545</v>
      </c>
      <c r="J43" s="21" t="n">
        <f aca="false">Model!AC155</f>
        <v>-2453299.52918545</v>
      </c>
      <c r="K43" s="21" t="n">
        <f aca="false">Model!AF155</f>
        <v>-2309911.38988545</v>
      </c>
      <c r="L43" s="21" t="n">
        <f aca="false">Model!AI155</f>
        <v>-2171865.25378545</v>
      </c>
      <c r="M43" s="21" t="n">
        <f aca="false">Model!AL155</f>
        <v>-2323754.80088545</v>
      </c>
      <c r="N43" s="21" t="n">
        <f aca="false">Model!AO155</f>
        <v>-2377753.46193544</v>
      </c>
      <c r="O43" s="21" t="n">
        <f aca="false">Model!AR155</f>
        <v>-2600805.31498545</v>
      </c>
      <c r="P43" s="21" t="n">
        <f aca="false">Model!AU155</f>
        <v>-2780627.64803545</v>
      </c>
      <c r="Q43" s="21" t="n">
        <f aca="false">Model!AX155</f>
        <v>-3023028.11388545</v>
      </c>
      <c r="R43" s="21" t="n">
        <f aca="false">Model!BA155</f>
        <v>-3277546.50047645</v>
      </c>
      <c r="S43" s="21" t="n">
        <f aca="false">Model!BD155</f>
        <v>-3561465.78034745</v>
      </c>
      <c r="T43" s="21" t="n">
        <f aca="false">Model!BG155</f>
        <v>-3847725.14309845</v>
      </c>
      <c r="U43" s="21" t="n">
        <f aca="false">Model!BJ155</f>
        <v>-3960380.70088945</v>
      </c>
      <c r="V43" s="21" t="n">
        <f aca="false">Model!BM155</f>
        <v>-4356407.58449227</v>
      </c>
      <c r="W43" s="21" t="n">
        <f aca="false">Model!BP155</f>
        <v>-4726314.80656869</v>
      </c>
      <c r="X43" s="21" t="n">
        <f aca="false">Model!BS155</f>
        <v>-5077765.38703871</v>
      </c>
      <c r="Y43" s="21" t="n">
        <f aca="false">Model!BV155</f>
        <v>-5406030.27064153</v>
      </c>
      <c r="Z43" s="21" t="n">
        <f aca="false">Model!BY155</f>
        <v>-5742215.6919164</v>
      </c>
      <c r="AA43" s="21" t="n">
        <f aca="false">Model!CB155</f>
        <v>-6095565.84883435</v>
      </c>
      <c r="AB43" s="21" t="n">
        <f aca="false">Model!CE155</f>
        <v>-6446663.68091377</v>
      </c>
      <c r="AC43" s="21" t="n">
        <f aca="false">Model!CH155</f>
        <v>-6767504.07558217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-977117.243956794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-568357.490547702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3617102.07463161</v>
      </c>
      <c r="F45" s="23" t="n">
        <f aca="false">Model!Q160</f>
        <v>4619782.88409841</v>
      </c>
      <c r="G45" s="23" t="n">
        <f aca="false">Model!T160</f>
        <v>4928172.33634841</v>
      </c>
      <c r="H45" s="23" t="n">
        <f aca="false">Model!W160</f>
        <v>5322616.07832349</v>
      </c>
      <c r="I45" s="23" t="n">
        <f aca="false">Model!Z160</f>
        <v>4886268.06408463</v>
      </c>
      <c r="J45" s="23" t="n">
        <f aca="false">Model!AC160</f>
        <v>5759142.65640286</v>
      </c>
      <c r="K45" s="23" t="n">
        <f aca="false">Model!AF160</f>
        <v>6466491.85415631</v>
      </c>
      <c r="L45" s="23" t="n">
        <f aca="false">Model!AI160</f>
        <v>6967141.04681583</v>
      </c>
      <c r="M45" s="23" t="n">
        <f aca="false">Model!AL160</f>
        <v>6020540.24659886</v>
      </c>
      <c r="N45" s="23" t="n">
        <f aca="false">Model!AO160</f>
        <v>6100674.95759408</v>
      </c>
      <c r="O45" s="23" t="n">
        <f aca="false">Model!AR160</f>
        <v>5443398.9860416</v>
      </c>
      <c r="P45" s="23" t="n">
        <f aca="false">Model!AU160</f>
        <v>4314957.42085276</v>
      </c>
      <c r="Q45" s="23" t="n">
        <f aca="false">Model!AX160</f>
        <v>3123937.72286392</v>
      </c>
      <c r="R45" s="23" t="n">
        <f aca="false">Model!BA160</f>
        <v>1892428.9394913</v>
      </c>
      <c r="S45" s="23" t="n">
        <f aca="false">Model!BD160</f>
        <v>631519.262838685</v>
      </c>
      <c r="T45" s="23" t="n">
        <f aca="false">Model!BG160</f>
        <v>-788376.830027265</v>
      </c>
      <c r="U45" s="23" t="n">
        <f aca="false">Model!BJ160</f>
        <v>-2347961.78459988</v>
      </c>
      <c r="V45" s="23" t="n">
        <f aca="false">Model!BM160</f>
        <v>-4219856.65291995</v>
      </c>
      <c r="W45" s="23" t="n">
        <f aca="false">Model!BP160</f>
        <v>-6065631.85971362</v>
      </c>
      <c r="X45" s="23" t="n">
        <f aca="false">Model!BS160</f>
        <v>-7892950.42490089</v>
      </c>
      <c r="Y45" s="23" t="n">
        <f aca="false">Model!BV160</f>
        <v>-9697083.29322096</v>
      </c>
      <c r="Z45" s="23" t="n">
        <f aca="false">Model!BY160</f>
        <v>-11538654.0589074</v>
      </c>
      <c r="AA45" s="23" t="n">
        <f aca="false">Model!CB160</f>
        <v>-13397389.560237</v>
      </c>
      <c r="AB45" s="23" t="n">
        <f aca="false">Model!CE160</f>
        <v>-15253872.736728</v>
      </c>
      <c r="AC45" s="23" t="n">
        <f aca="false">Model!CH160</f>
        <v>-17080098.475808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266611.58</v>
      </c>
      <c r="H14" s="68" t="n">
        <f aca="false">Model!H53+Model!H54+Model!H55</f>
        <v>12631.58</v>
      </c>
      <c r="I14" s="68" t="n">
        <f aca="false">Model!I53+Model!I54+Model!I55</f>
        <v>12631.58</v>
      </c>
      <c r="J14" s="68" t="n">
        <f aca="false">Model!J53+Model!J54+Model!J55</f>
        <v>12631.58</v>
      </c>
      <c r="K14" s="68" t="n">
        <f aca="false">Model!K53+Model!K54+Model!K55</f>
        <v>12631.58</v>
      </c>
      <c r="L14" s="68" t="n">
        <f aca="false">Model!L53+Model!L54+Model!L55</f>
        <v>12631.58</v>
      </c>
      <c r="M14" s="68" t="n">
        <f aca="false">Model!M53+Model!M54+Model!M55</f>
        <v>12631.58</v>
      </c>
      <c r="N14" s="68" t="n">
        <f aca="false">Model!N53+Model!N54+Model!N55</f>
        <v>12631.58</v>
      </c>
      <c r="O14" s="68" t="n">
        <f aca="false">Model!O53+Model!O54+Model!O55</f>
        <v>12631.58</v>
      </c>
      <c r="P14" s="68" t="n">
        <f aca="false">Model!P53+Model!P54+Model!P55</f>
        <v>12631.58</v>
      </c>
      <c r="Q14" s="68" t="n">
        <f aca="false">Model!Q53+Model!Q54+Model!Q55</f>
        <v>12631.58</v>
      </c>
      <c r="R14" s="68" t="n">
        <f aca="false">Model!R53+Model!R54+Model!R55</f>
        <v>12631.58</v>
      </c>
      <c r="S14" s="68" t="n">
        <f aca="false">Model!S53+Model!S54+Model!S55</f>
        <v>12631.58</v>
      </c>
      <c r="T14" s="68" t="n">
        <f aca="false">Model!T53+Model!T54+Model!T55</f>
        <v>12631.58</v>
      </c>
      <c r="U14" s="68" t="n">
        <f aca="false">Model!U53+Model!U54+Model!U55</f>
        <v>12631.58</v>
      </c>
      <c r="V14" s="68" t="n">
        <f aca="false">Model!V53+Model!V54+Model!V55</f>
        <v>12631.58</v>
      </c>
      <c r="W14" s="68" t="n">
        <f aca="false">Model!W53+Model!W54+Model!W55</f>
        <v>12631.58</v>
      </c>
      <c r="X14" s="68" t="n">
        <f aca="false">Model!X53+Model!X54+Model!X55</f>
        <v>12631.58</v>
      </c>
      <c r="Y14" s="68" t="n">
        <f aca="false">Model!Y53+Model!Y54+Model!Y55</f>
        <v>12631.58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192797.63</v>
      </c>
      <c r="I20" s="68" t="n">
        <f aca="false">Model!I56+Model!I57+Model!I58</f>
        <v>11052.63</v>
      </c>
      <c r="J20" s="68" t="n">
        <f aca="false">Model!J56+Model!J57+Model!J58</f>
        <v>11052.63</v>
      </c>
      <c r="K20" s="68" t="n">
        <f aca="false">Model!K56+Model!K57+Model!K58</f>
        <v>11052.63</v>
      </c>
      <c r="L20" s="68" t="n">
        <f aca="false">Model!L56+Model!L57+Model!L58</f>
        <v>11052.63</v>
      </c>
      <c r="M20" s="68" t="n">
        <f aca="false">Model!M56+Model!M57+Model!M58</f>
        <v>11052.63</v>
      </c>
      <c r="N20" s="68" t="n">
        <f aca="false">Model!N56+Model!N57+Model!N58</f>
        <v>11052.63</v>
      </c>
      <c r="O20" s="68" t="n">
        <f aca="false">Model!O56+Model!O57+Model!O58</f>
        <v>11052.63</v>
      </c>
      <c r="P20" s="68" t="n">
        <f aca="false">Model!P56+Model!P57+Model!P58</f>
        <v>11052.63</v>
      </c>
      <c r="Q20" s="68" t="n">
        <f aca="false">Model!Q56+Model!Q57+Model!Q58</f>
        <v>11052.63</v>
      </c>
      <c r="R20" s="68" t="n">
        <f aca="false">Model!R56+Model!R57+Model!R58</f>
        <v>11052.63</v>
      </c>
      <c r="S20" s="68" t="n">
        <f aca="false">Model!S56+Model!S57+Model!S58</f>
        <v>11052.63</v>
      </c>
      <c r="T20" s="68" t="n">
        <f aca="false">Model!T56+Model!T57+Model!T58</f>
        <v>11052.63</v>
      </c>
      <c r="U20" s="68" t="n">
        <f aca="false">Model!U56+Model!U57+Model!U58</f>
        <v>11052.63</v>
      </c>
      <c r="V20" s="68" t="n">
        <f aca="false">Model!V56+Model!V57+Model!V58</f>
        <v>11052.63</v>
      </c>
      <c r="W20" s="68" t="n">
        <f aca="false">Model!W56+Model!W57+Model!W58</f>
        <v>11052.63</v>
      </c>
      <c r="X20" s="68" t="n">
        <f aca="false">Model!X56+Model!X57+Model!X58</f>
        <v>11052.63</v>
      </c>
      <c r="Y20" s="68" t="n">
        <f aca="false">Model!Y56+Model!Y57+Model!Y58</f>
        <v>11052.63</v>
      </c>
      <c r="Z20" s="68" t="n">
        <f aca="false">Model!Z56+Model!Z57+Model!Z58</f>
        <v>11052.63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-4486236.70753333</v>
      </c>
      <c r="C42" s="89" t="n">
        <f aca="false">'Annual Summary'!C15</f>
        <v>-6898330.7913</v>
      </c>
      <c r="D42" s="89" t="n">
        <f aca="false">'Annual Summary'!D15</f>
        <v>-6879729.521626</v>
      </c>
      <c r="E42" s="89" t="n">
        <f aca="false">'Annual Summary'!E15</f>
        <v>-5646418.06125852</v>
      </c>
      <c r="F42" s="89" t="n">
        <f aca="false">'Annual Summary'!F15</f>
        <v>-5759346.42248369</v>
      </c>
      <c r="G42" s="89" t="n">
        <f aca="false">'Annual Summary'!G15</f>
        <v>-5874533.35093336</v>
      </c>
      <c r="H42" s="89" t="n">
        <f aca="false">'Annual Summary'!H15</f>
        <v>-5992024.01795203</v>
      </c>
      <c r="I42" s="89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2595744.04175295</v>
      </c>
      <c r="C43" s="77" t="n">
        <f aca="false">'Annual Summary'!C16</f>
        <v>3740614.02245598</v>
      </c>
      <c r="D43" s="77" t="n">
        <f aca="false">'Annual Summary'!D16</f>
        <v>1150732.54639234</v>
      </c>
      <c r="E43" s="77" t="n">
        <f aca="false">'Annual Summary'!E16</f>
        <v>-2043421.23171307</v>
      </c>
      <c r="F43" s="77" t="n">
        <f aca="false">'Annual Summary'!F16</f>
        <v>-4036236.75581702</v>
      </c>
      <c r="G43" s="77" t="n">
        <f aca="false">'Annual Summary'!G16</f>
        <v>-5874533.35093336</v>
      </c>
      <c r="H43" s="77" t="n">
        <f aca="false">'Annual Summary'!H16</f>
        <v>-5992024.01795203</v>
      </c>
      <c r="I43" s="77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-1411304.37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-436131.89</v>
      </c>
      <c r="C50" s="91" t="n">
        <f aca="false">'Annual Summary'!C43</f>
        <v>-2665657.67588545</v>
      </c>
      <c r="D50" s="91" t="n">
        <f aca="false">'Annual Summary'!D43</f>
        <v>-2171865.25378545</v>
      </c>
      <c r="E50" s="91" t="n">
        <f aca="false">'Annual Summary'!E43</f>
        <v>-2780627.64803545</v>
      </c>
      <c r="F50" s="91" t="n">
        <f aca="false">'Annual Summary'!F43</f>
        <v>-3847725.14309845</v>
      </c>
      <c r="G50" s="91" t="n">
        <f aca="false">'Annual Summary'!G43</f>
        <v>-5077765.38703871</v>
      </c>
      <c r="H50" s="91" t="n">
        <f aca="false">'Annual Summary'!H43</f>
        <v>-6446663.68091377</v>
      </c>
      <c r="I50" s="91" t="n">
        <f aca="false">'Annual Summary'!I43</f>
        <v>-6767504.07558217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4247659.73175295</v>
      </c>
      <c r="C52" s="91" t="n">
        <f aca="false">'Annual Summary'!C42</f>
        <v>7988273.75420893</v>
      </c>
      <c r="D52" s="91" t="n">
        <f aca="false">'Annual Summary'!D42</f>
        <v>9139006.30060128</v>
      </c>
      <c r="E52" s="91" t="n">
        <f aca="false">'Annual Summary'!E42</f>
        <v>7095585.06888821</v>
      </c>
      <c r="F52" s="91" t="n">
        <f aca="false">'Annual Summary'!F42</f>
        <v>3059348.31307118</v>
      </c>
      <c r="G52" s="91" t="n">
        <f aca="false">'Annual Summary'!G42</f>
        <v>-2815185.03786218</v>
      </c>
      <c r="H52" s="91" t="n">
        <f aca="false">'Annual Summary'!H42</f>
        <v>-8807209.05581421</v>
      </c>
      <c r="I52" s="91" t="n">
        <f aca="false">'Annual Summary'!I42</f>
        <v>-10312594.4002258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4247659.73175295</v>
      </c>
      <c r="C71" s="81" t="n">
        <f aca="false">'Annual Summary'!C42</f>
        <v>7988273.75420893</v>
      </c>
      <c r="D71" s="81" t="n">
        <f aca="false">'Annual Summary'!E42</f>
        <v>7095585.06888821</v>
      </c>
      <c r="E71" s="81" t="n">
        <f aca="false">'Annual Summary'!G42</f>
        <v>-2815185.03786218</v>
      </c>
      <c r="F71" s="81" t="n">
        <f aca="false">'Annual Summary'!I42</f>
        <v>-10312594.4002258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-436131.89</v>
      </c>
      <c r="C72" s="97" t="n">
        <f aca="false">'Annual Summary'!C43</f>
        <v>-2665657.67588545</v>
      </c>
      <c r="D72" s="97" t="n">
        <f aca="false">'Annual Summary'!E43</f>
        <v>-2780627.64803545</v>
      </c>
      <c r="E72" s="97" t="n">
        <f aca="false">'Annual Summary'!G43</f>
        <v>-5077765.38703871</v>
      </c>
      <c r="F72" s="97" t="n">
        <f aca="false">'Annual Summary'!I43</f>
        <v>-6767504.07558217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-436131.89</v>
      </c>
      <c r="C100" s="81" t="n">
        <f aca="false">'Annual Summary'!C43</f>
        <v>-2665657.67588545</v>
      </c>
      <c r="D100" s="81" t="n">
        <f aca="false">'Annual Summary'!D43</f>
        <v>-2171865.25378545</v>
      </c>
      <c r="E100" s="81" t="n">
        <f aca="false">'Annual Summary'!E43</f>
        <v>-2780627.64803545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-224311.835376667</v>
      </c>
      <c r="C101" s="81" t="n">
        <f aca="false">'Annual Summary'!C15*0.05</f>
        <v>-344916.539565</v>
      </c>
      <c r="D101" s="81" t="n">
        <f aca="false">'Annual Summary'!D15*0.05</f>
        <v>-343986.4760813</v>
      </c>
      <c r="E101" s="81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-660443.725376667</v>
      </c>
      <c r="C102" s="81" t="n">
        <f aca="false">C100+C101</f>
        <v>-3010574.21545045</v>
      </c>
      <c r="D102" s="81" t="n">
        <f aca="false">D100+D101</f>
        <v>-2515851.72986675</v>
      </c>
      <c r="E102" s="81" t="n">
        <f aca="false">E100+E101</f>
        <v>-3062948.55109837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-660443.725376667</v>
      </c>
      <c r="C103" s="69" t="n">
        <f aca="false">C102-C99</f>
        <v>-3010574.21545045</v>
      </c>
      <c r="D103" s="69" t="n">
        <f aca="false">D102-D99</f>
        <v>-2515851.72986675</v>
      </c>
      <c r="E103" s="69" t="n">
        <f aca="false">E102-E99</f>
        <v>-3062948.55109837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282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282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278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278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4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5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CH107"/>
  <sheetViews>
    <sheetView tabSelected="1" zoomScaleNormal="100" workbookViewId="0"/>
  </sheetViews>
  <sheetFormatPr defaultColWidth="8.7109375" defaultRowHeight="15" x14ac:dyDescent="0.25"/>
  <cols>
    <col min="1" max="1" width="40" customWidth="1"/>
    <col min="2" max="86" width="27" customWidth="1"/>
  </cols>
  <sheetData>
    <row r="1" spans="1:11" ht="15.75" customHeight="1" x14ac:dyDescent="0.25">
      <c r="A1" s="1" t="s">
        <v>0</v>
      </c>
    </row>
    <row r="2" spans="1:11" ht="15" customHeight="1" x14ac:dyDescent="0.25">
      <c r="A2" s="2" t="s">
        <v>1</v>
      </c>
      <c r="B2" s="3" t="s">
        <v>2</v>
      </c>
    </row>
    <row r="4" spans="1:11" ht="15" customHeight="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" customHeight="1" x14ac:dyDescent="0.25">
      <c r="A5" s="2" t="s">
        <v>4</v>
      </c>
      <c r="B5" s="2" t="s">
        <v>0</v>
      </c>
    </row>
    <row r="6" spans="1:11" ht="15" customHeight="1" x14ac:dyDescent="0.25">
      <c r="A6" s="2" t="s">
        <v>5</v>
      </c>
      <c r="B6" s="2" t="s">
        <v>6</v>
      </c>
    </row>
    <row r="7" spans="1:11" ht="15" customHeight="1" x14ac:dyDescent="0.25">
      <c r="A7" s="2" t="s">
        <v>7</v>
      </c>
      <c r="B7" s="5">
        <v>60</v>
      </c>
    </row>
    <row r="8" spans="1:11" ht="15" customHeight="1" x14ac:dyDescent="0.25">
      <c r="A8" s="2" t="s">
        <v>8</v>
      </c>
      <c r="B8" s="2" t="s">
        <v>9</v>
      </c>
    </row>
    <row r="9" spans="1:11" ht="15" customHeight="1" x14ac:dyDescent="0.25">
      <c r="A9" s="2" t="s">
        <v>10</v>
      </c>
      <c r="B9" s="6">
        <v>1400000</v>
      </c>
    </row>
    <row r="10" spans="1:11" ht="15" customHeight="1" x14ac:dyDescent="0.25">
      <c r="A10" s="2" t="s">
        <v>11</v>
      </c>
      <c r="B10" s="6">
        <v>1609391</v>
      </c>
    </row>
    <row r="11" spans="1:11" ht="15" customHeight="1" x14ac:dyDescent="0.25">
      <c r="A11" s="2" t="s">
        <v>12</v>
      </c>
      <c r="B11" s="6">
        <v>3419763</v>
      </c>
    </row>
    <row r="12" spans="1:11" ht="15" customHeight="1" x14ac:dyDescent="0.25">
      <c r="A12" s="2" t="s">
        <v>13</v>
      </c>
      <c r="B12" s="7">
        <f>B16</f>
        <v>9009665</v>
      </c>
    </row>
    <row r="14" spans="1:11" ht="15" customHeight="1" x14ac:dyDescent="0.25">
      <c r="A14" s="8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" customHeight="1" x14ac:dyDescent="0.25">
      <c r="B15" s="9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9" t="s">
        <v>20</v>
      </c>
      <c r="H15" s="9" t="s">
        <v>21</v>
      </c>
      <c r="I15" s="9" t="s">
        <v>22</v>
      </c>
      <c r="J15" s="9" t="s">
        <v>23</v>
      </c>
    </row>
    <row r="16" spans="1:11" ht="15" customHeight="1" x14ac:dyDescent="0.25">
      <c r="A16" s="2" t="s">
        <v>13</v>
      </c>
      <c r="B16" s="7">
        <f t="shared" ref="B16:B24" si="0">C16+D16+E16+F16+G16+H16+I16+J16</f>
        <v>9009665</v>
      </c>
      <c r="C16" s="6">
        <f t="shared" ref="C16:C24" si="1">SUM(C99:K99)</f>
        <v>0</v>
      </c>
      <c r="D16" s="6">
        <f t="shared" ref="D16:D24" si="2">SUM(L99:W99)</f>
        <v>1084381.6599999999</v>
      </c>
      <c r="E16" s="6">
        <f t="shared" ref="E16:E24" si="3">SUM(X99:AI99)</f>
        <v>3698017.3899999997</v>
      </c>
      <c r="F16" s="6">
        <f t="shared" ref="F16:F24" si="4">SUM(AJ99:AU99)</f>
        <v>2427299.0100000002</v>
      </c>
      <c r="G16" s="6">
        <f t="shared" ref="G16:G24" si="5">SUM(AV99:BG99)</f>
        <v>1369332.42</v>
      </c>
      <c r="H16" s="6">
        <f t="shared" ref="H16:H24" si="6">SUM(BH99:BS99)</f>
        <v>430634.52</v>
      </c>
      <c r="I16" s="6">
        <f t="shared" ref="I16:I24" si="7">SUM(BT99:CE99)</f>
        <v>0</v>
      </c>
      <c r="J16" s="6">
        <f t="shared" ref="J16:J24" si="8">SUM(CF99:CH99)</f>
        <v>0</v>
      </c>
    </row>
    <row r="17" spans="1:11" ht="15" customHeight="1" x14ac:dyDescent="0.25">
      <c r="A17" s="2" t="s">
        <v>24</v>
      </c>
      <c r="B17" s="7">
        <f t="shared" si="0"/>
        <v>-1500039</v>
      </c>
      <c r="C17" s="6">
        <f t="shared" si="1"/>
        <v>0</v>
      </c>
      <c r="D17" s="6">
        <f t="shared" si="2"/>
        <v>-202088</v>
      </c>
      <c r="E17" s="6">
        <f t="shared" si="3"/>
        <v>-397927</v>
      </c>
      <c r="F17" s="6">
        <f t="shared" si="4"/>
        <v>-450012</v>
      </c>
      <c r="G17" s="6">
        <f t="shared" si="5"/>
        <v>-450012</v>
      </c>
      <c r="H17" s="6">
        <f t="shared" si="6"/>
        <v>0</v>
      </c>
      <c r="I17" s="6">
        <f t="shared" si="7"/>
        <v>0</v>
      </c>
      <c r="J17" s="6">
        <f t="shared" si="8"/>
        <v>0</v>
      </c>
    </row>
    <row r="18" spans="1:11" ht="15" customHeight="1" x14ac:dyDescent="0.25">
      <c r="A18" s="2" t="s">
        <v>25</v>
      </c>
      <c r="B18" s="7">
        <f t="shared" si="0"/>
        <v>-456000</v>
      </c>
      <c r="C18" s="6">
        <f t="shared" si="1"/>
        <v>0</v>
      </c>
      <c r="D18" s="6">
        <f t="shared" si="2"/>
        <v>-114000</v>
      </c>
      <c r="E18" s="6">
        <f t="shared" si="3"/>
        <v>-114000</v>
      </c>
      <c r="F18" s="6">
        <f t="shared" si="4"/>
        <v>-114000</v>
      </c>
      <c r="G18" s="6">
        <f t="shared" si="5"/>
        <v>-114000</v>
      </c>
      <c r="H18" s="6">
        <f t="shared" si="6"/>
        <v>0</v>
      </c>
      <c r="I18" s="6">
        <f t="shared" si="7"/>
        <v>0</v>
      </c>
      <c r="J18" s="6">
        <f t="shared" si="8"/>
        <v>0</v>
      </c>
    </row>
    <row r="19" spans="1:11" ht="15" customHeight="1" x14ac:dyDescent="0.25">
      <c r="A19" s="10" t="s">
        <v>26</v>
      </c>
      <c r="B19" s="11">
        <f t="shared" si="0"/>
        <v>7053626</v>
      </c>
      <c r="C19" s="11">
        <f t="shared" si="1"/>
        <v>0</v>
      </c>
      <c r="D19" s="11">
        <f t="shared" si="2"/>
        <v>768293.65999999992</v>
      </c>
      <c r="E19" s="11">
        <f t="shared" si="3"/>
        <v>3186090.3899999997</v>
      </c>
      <c r="F19" s="11">
        <f t="shared" si="4"/>
        <v>1863287.0100000002</v>
      </c>
      <c r="G19" s="11">
        <f t="shared" si="5"/>
        <v>805320.42000000016</v>
      </c>
      <c r="H19" s="11">
        <f t="shared" si="6"/>
        <v>430634.52</v>
      </c>
      <c r="I19" s="11">
        <f t="shared" si="7"/>
        <v>0</v>
      </c>
      <c r="J19" s="11">
        <f t="shared" si="8"/>
        <v>0</v>
      </c>
    </row>
    <row r="20" spans="1:11" ht="15" customHeight="1" x14ac:dyDescent="0.25">
      <c r="A20" s="2" t="s">
        <v>27</v>
      </c>
      <c r="B20" s="7">
        <f t="shared" si="0"/>
        <v>563192.61699999997</v>
      </c>
      <c r="C20" s="6">
        <f t="shared" si="1"/>
        <v>0</v>
      </c>
      <c r="D20" s="6">
        <f t="shared" si="2"/>
        <v>93581.82</v>
      </c>
      <c r="E20" s="6">
        <f t="shared" si="3"/>
        <v>150000</v>
      </c>
      <c r="F20" s="6">
        <f t="shared" si="4"/>
        <v>148450.302</v>
      </c>
      <c r="G20" s="6">
        <f t="shared" si="5"/>
        <v>136933.242</v>
      </c>
      <c r="H20" s="6">
        <f t="shared" si="6"/>
        <v>34227.253000000004</v>
      </c>
      <c r="I20" s="6">
        <f t="shared" si="7"/>
        <v>0</v>
      </c>
      <c r="J20" s="6">
        <f t="shared" si="8"/>
        <v>0</v>
      </c>
    </row>
    <row r="21" spans="1:11" ht="15" customHeight="1" x14ac:dyDescent="0.25">
      <c r="A21" s="10" t="s">
        <v>28</v>
      </c>
      <c r="B21" s="11">
        <f t="shared" si="0"/>
        <v>6490433.3829999994</v>
      </c>
      <c r="C21" s="11">
        <f t="shared" si="1"/>
        <v>0</v>
      </c>
      <c r="D21" s="11">
        <f t="shared" si="2"/>
        <v>674711.83999999985</v>
      </c>
      <c r="E21" s="11">
        <f t="shared" si="3"/>
        <v>3036090.3899999997</v>
      </c>
      <c r="F21" s="11">
        <f t="shared" si="4"/>
        <v>1714836.7080000001</v>
      </c>
      <c r="G21" s="11">
        <f t="shared" si="5"/>
        <v>668387.17799999996</v>
      </c>
      <c r="H21" s="11">
        <f t="shared" si="6"/>
        <v>396407.26699999999</v>
      </c>
      <c r="I21" s="11">
        <f t="shared" si="7"/>
        <v>0</v>
      </c>
      <c r="J21" s="11">
        <f t="shared" si="8"/>
        <v>0</v>
      </c>
    </row>
    <row r="22" spans="1:11" ht="15" customHeight="1" x14ac:dyDescent="0.25">
      <c r="A22" s="2" t="s">
        <v>29</v>
      </c>
      <c r="B22" s="7">
        <f t="shared" si="0"/>
        <v>2951665.926</v>
      </c>
      <c r="C22" s="6">
        <f t="shared" si="1"/>
        <v>0</v>
      </c>
      <c r="D22" s="6">
        <f t="shared" si="2"/>
        <v>269884.73600000003</v>
      </c>
      <c r="E22" s="6">
        <f t="shared" si="3"/>
        <v>1335772.7319999998</v>
      </c>
      <c r="F22" s="6">
        <f t="shared" si="4"/>
        <v>813611.23549999995</v>
      </c>
      <c r="G22" s="6">
        <f t="shared" si="5"/>
        <v>334193.58899999998</v>
      </c>
      <c r="H22" s="6">
        <f t="shared" si="6"/>
        <v>198203.6335</v>
      </c>
      <c r="I22" s="6">
        <f t="shared" si="7"/>
        <v>0</v>
      </c>
      <c r="J22" s="6">
        <f t="shared" si="8"/>
        <v>0</v>
      </c>
    </row>
    <row r="23" spans="1:11" ht="15" customHeight="1" x14ac:dyDescent="0.25">
      <c r="A23" s="2" t="s">
        <v>30</v>
      </c>
      <c r="B23" s="7">
        <f t="shared" si="0"/>
        <v>3538767.4570000004</v>
      </c>
      <c r="C23" s="6">
        <f t="shared" si="1"/>
        <v>0</v>
      </c>
      <c r="D23" s="6">
        <f t="shared" si="2"/>
        <v>404827.10399999993</v>
      </c>
      <c r="E23" s="6">
        <f t="shared" si="3"/>
        <v>1700317.6580000001</v>
      </c>
      <c r="F23" s="6">
        <f t="shared" si="4"/>
        <v>901225.47249999992</v>
      </c>
      <c r="G23" s="6">
        <f t="shared" si="5"/>
        <v>334193.58899999998</v>
      </c>
      <c r="H23" s="6">
        <f t="shared" si="6"/>
        <v>198203.6335</v>
      </c>
      <c r="I23" s="6">
        <f t="shared" si="7"/>
        <v>0</v>
      </c>
      <c r="J23" s="6">
        <f t="shared" si="8"/>
        <v>0</v>
      </c>
    </row>
    <row r="24" spans="1:11" ht="15.75" customHeight="1" x14ac:dyDescent="0.25">
      <c r="A24" s="12" t="s">
        <v>31</v>
      </c>
      <c r="B24" s="13">
        <f t="shared" si="0"/>
        <v>4101960.074</v>
      </c>
      <c r="C24" s="13">
        <f t="shared" si="1"/>
        <v>0</v>
      </c>
      <c r="D24" s="13">
        <f t="shared" si="2"/>
        <v>498408.924</v>
      </c>
      <c r="E24" s="13">
        <f t="shared" si="3"/>
        <v>1850317.6580000001</v>
      </c>
      <c r="F24" s="13">
        <f t="shared" si="4"/>
        <v>1049675.7745000001</v>
      </c>
      <c r="G24" s="13">
        <f t="shared" si="5"/>
        <v>471126.83100000001</v>
      </c>
      <c r="H24" s="13">
        <f t="shared" si="6"/>
        <v>232430.88650000002</v>
      </c>
      <c r="I24" s="13">
        <f t="shared" si="7"/>
        <v>0</v>
      </c>
      <c r="J24" s="13">
        <f t="shared" si="8"/>
        <v>0</v>
      </c>
    </row>
    <row r="26" spans="1:11" ht="15" customHeight="1" x14ac:dyDescent="0.25">
      <c r="A26" s="14" t="s">
        <v>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 customHeight="1" x14ac:dyDescent="0.25">
      <c r="A27" s="15" t="s">
        <v>33</v>
      </c>
      <c r="B27" s="15" t="s">
        <v>34</v>
      </c>
      <c r="C27" s="15" t="s">
        <v>35</v>
      </c>
      <c r="D27" s="15" t="s">
        <v>10</v>
      </c>
      <c r="E27" s="15" t="s">
        <v>36</v>
      </c>
    </row>
    <row r="28" spans="1:11" ht="15" customHeight="1" x14ac:dyDescent="0.25">
      <c r="A28" s="2" t="s">
        <v>37</v>
      </c>
      <c r="B28" s="5">
        <v>6</v>
      </c>
      <c r="C28" s="2" t="s">
        <v>38</v>
      </c>
      <c r="D28" s="6">
        <v>1400000</v>
      </c>
      <c r="E28" s="16" t="s">
        <v>39</v>
      </c>
    </row>
    <row r="29" spans="1:11" ht="15" customHeight="1" x14ac:dyDescent="0.25">
      <c r="A29" s="2" t="s">
        <v>40</v>
      </c>
      <c r="B29" s="5">
        <v>18</v>
      </c>
      <c r="C29" s="2" t="s">
        <v>41</v>
      </c>
      <c r="D29" s="6">
        <v>1400000</v>
      </c>
      <c r="E29" s="16" t="s">
        <v>42</v>
      </c>
    </row>
    <row r="30" spans="1:11" ht="15" customHeight="1" x14ac:dyDescent="0.25">
      <c r="A30" s="2" t="s">
        <v>43</v>
      </c>
      <c r="B30" s="5">
        <v>18</v>
      </c>
      <c r="C30" s="2" t="s">
        <v>44</v>
      </c>
      <c r="D30" s="6">
        <v>1400000</v>
      </c>
      <c r="E30" s="16" t="s">
        <v>45</v>
      </c>
    </row>
    <row r="31" spans="1:11" ht="15" customHeight="1" x14ac:dyDescent="0.25">
      <c r="A31" s="2" t="s">
        <v>46</v>
      </c>
      <c r="B31" s="5">
        <v>18</v>
      </c>
      <c r="C31" s="2" t="s">
        <v>47</v>
      </c>
      <c r="D31" s="6">
        <v>1400000</v>
      </c>
      <c r="E31" s="16" t="s">
        <v>48</v>
      </c>
    </row>
    <row r="32" spans="1:11" ht="15" customHeight="1" x14ac:dyDescent="0.25">
      <c r="A32" s="15" t="s">
        <v>15</v>
      </c>
      <c r="B32" s="17">
        <v>60</v>
      </c>
      <c r="C32" s="15" t="s">
        <v>49</v>
      </c>
      <c r="D32" s="18">
        <v>1400000</v>
      </c>
    </row>
    <row r="34" spans="1:11" ht="15" customHeight="1" x14ac:dyDescent="0.25">
      <c r="A34" s="19" t="s">
        <v>50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5" customHeight="1" x14ac:dyDescent="0.25">
      <c r="A35" s="20" t="s">
        <v>51</v>
      </c>
      <c r="B35" s="20" t="s">
        <v>52</v>
      </c>
      <c r="C35" s="20" t="s">
        <v>53</v>
      </c>
      <c r="D35" s="20" t="s">
        <v>54</v>
      </c>
      <c r="E35" s="20" t="s">
        <v>55</v>
      </c>
      <c r="F35" s="20" t="s">
        <v>56</v>
      </c>
    </row>
    <row r="36" spans="1:11" ht="15" customHeight="1" x14ac:dyDescent="0.25">
      <c r="A36" s="2" t="s">
        <v>57</v>
      </c>
      <c r="B36" s="2" t="s">
        <v>58</v>
      </c>
      <c r="C36" s="2" t="s">
        <v>59</v>
      </c>
      <c r="D36" s="6">
        <v>14000</v>
      </c>
      <c r="E36" s="6">
        <v>840000</v>
      </c>
      <c r="F36" s="21" t="s">
        <v>60</v>
      </c>
    </row>
    <row r="37" spans="1:11" ht="15" customHeight="1" x14ac:dyDescent="0.25">
      <c r="A37" s="2" t="s">
        <v>61</v>
      </c>
      <c r="B37" s="2" t="s">
        <v>62</v>
      </c>
      <c r="C37" s="2" t="s">
        <v>63</v>
      </c>
      <c r="D37" s="6">
        <v>96563</v>
      </c>
      <c r="E37" s="6">
        <v>5793808</v>
      </c>
      <c r="F37" s="21" t="s">
        <v>64</v>
      </c>
    </row>
    <row r="38" spans="1:11" ht="15" customHeight="1" x14ac:dyDescent="0.25">
      <c r="A38" s="2" t="s">
        <v>65</v>
      </c>
      <c r="B38" s="2" t="s">
        <v>66</v>
      </c>
      <c r="C38" s="2" t="s">
        <v>67</v>
      </c>
      <c r="D38" s="6">
        <v>5400</v>
      </c>
      <c r="E38" s="6">
        <v>324000</v>
      </c>
      <c r="F38" s="21" t="s">
        <v>68</v>
      </c>
    </row>
    <row r="39" spans="1:11" ht="15" customHeight="1" x14ac:dyDescent="0.25">
      <c r="A39" s="2" t="s">
        <v>69</v>
      </c>
      <c r="B39" s="2" t="s">
        <v>58</v>
      </c>
      <c r="C39" s="2" t="s">
        <v>70</v>
      </c>
      <c r="D39" s="6">
        <v>34198</v>
      </c>
      <c r="E39" s="6">
        <v>2051858</v>
      </c>
      <c r="F39" s="21" t="s">
        <v>71</v>
      </c>
    </row>
    <row r="40" spans="1:11" ht="15" customHeight="1" x14ac:dyDescent="0.25">
      <c r="A40" s="20" t="s">
        <v>13</v>
      </c>
      <c r="D40" s="22">
        <v>150161</v>
      </c>
      <c r="E40" s="22">
        <v>9009665</v>
      </c>
    </row>
    <row r="42" spans="1:11" ht="15" customHeight="1" x14ac:dyDescent="0.25">
      <c r="A42" s="4" t="s">
        <v>72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customHeight="1" x14ac:dyDescent="0.25">
      <c r="A43" s="23" t="s">
        <v>73</v>
      </c>
      <c r="B43" s="23" t="s">
        <v>74</v>
      </c>
      <c r="C43" s="23" t="s">
        <v>75</v>
      </c>
      <c r="D43" s="23" t="s">
        <v>76</v>
      </c>
      <c r="E43" s="23" t="s">
        <v>77</v>
      </c>
      <c r="F43" s="23" t="s">
        <v>78</v>
      </c>
      <c r="G43" s="23" t="s">
        <v>79</v>
      </c>
    </row>
    <row r="44" spans="1:11" ht="15" customHeight="1" x14ac:dyDescent="0.25">
      <c r="A44" s="2" t="s">
        <v>80</v>
      </c>
      <c r="B44" s="6">
        <v>125000</v>
      </c>
      <c r="C44" s="6">
        <v>10417</v>
      </c>
      <c r="D44" s="2" t="s">
        <v>81</v>
      </c>
      <c r="E44" s="2" t="s">
        <v>82</v>
      </c>
      <c r="F44" s="2">
        <v>47</v>
      </c>
      <c r="G44" s="6">
        <f>C44*F44</f>
        <v>489599</v>
      </c>
    </row>
    <row r="45" spans="1:11" ht="15" customHeight="1" x14ac:dyDescent="0.25">
      <c r="A45" s="2" t="s">
        <v>83</v>
      </c>
      <c r="B45" s="6">
        <v>90000</v>
      </c>
      <c r="C45" s="6">
        <v>7500</v>
      </c>
      <c r="D45" s="2" t="s">
        <v>84</v>
      </c>
      <c r="E45" s="2" t="s">
        <v>82</v>
      </c>
      <c r="F45" s="2">
        <v>44</v>
      </c>
      <c r="G45" s="6">
        <f>C45*F45</f>
        <v>330000</v>
      </c>
    </row>
    <row r="46" spans="1:11" ht="15" customHeight="1" x14ac:dyDescent="0.25">
      <c r="A46" s="2" t="s">
        <v>85</v>
      </c>
      <c r="B46" s="6">
        <v>110000</v>
      </c>
      <c r="C46" s="6">
        <v>9167</v>
      </c>
      <c r="D46" s="2" t="s">
        <v>86</v>
      </c>
      <c r="E46" s="2" t="s">
        <v>82</v>
      </c>
      <c r="F46" s="2">
        <v>39</v>
      </c>
      <c r="G46" s="6">
        <f>C46*F46</f>
        <v>357513</v>
      </c>
    </row>
    <row r="47" spans="1:11" ht="15" customHeight="1" x14ac:dyDescent="0.25">
      <c r="A47" s="2" t="s">
        <v>87</v>
      </c>
      <c r="B47" s="6">
        <v>125000</v>
      </c>
      <c r="C47" s="6">
        <v>10417</v>
      </c>
      <c r="D47" s="2" t="s">
        <v>88</v>
      </c>
      <c r="E47" s="2" t="s">
        <v>82</v>
      </c>
      <c r="F47" s="2">
        <v>31</v>
      </c>
      <c r="G47" s="6">
        <f>C47*F47</f>
        <v>322927</v>
      </c>
    </row>
    <row r="48" spans="1:11" ht="15" customHeight="1" x14ac:dyDescent="0.25">
      <c r="A48" s="23" t="s">
        <v>89</v>
      </c>
      <c r="G48" s="24">
        <f>SUM(G44:G47)</f>
        <v>1500039</v>
      </c>
    </row>
    <row r="50" spans="1:11" ht="15" customHeight="1" x14ac:dyDescent="0.25">
      <c r="A50" s="25" t="s">
        <v>90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 x14ac:dyDescent="0.25">
      <c r="A51" s="26" t="s">
        <v>91</v>
      </c>
      <c r="B51" s="26" t="s">
        <v>92</v>
      </c>
      <c r="C51" s="26" t="s">
        <v>75</v>
      </c>
      <c r="D51" s="26" t="s">
        <v>93</v>
      </c>
      <c r="E51" s="26" t="s">
        <v>15</v>
      </c>
    </row>
    <row r="52" spans="1:11" ht="15" customHeight="1" x14ac:dyDescent="0.25">
      <c r="A52" s="2" t="s">
        <v>94</v>
      </c>
      <c r="B52" s="6">
        <v>40000</v>
      </c>
      <c r="C52" s="6">
        <v>3333</v>
      </c>
      <c r="D52" s="2">
        <v>4</v>
      </c>
      <c r="E52" s="6">
        <v>160000</v>
      </c>
    </row>
    <row r="53" spans="1:11" ht="15" customHeight="1" x14ac:dyDescent="0.25">
      <c r="A53" s="2" t="s">
        <v>95</v>
      </c>
      <c r="B53" s="6">
        <v>20000</v>
      </c>
      <c r="C53" s="6">
        <v>1667</v>
      </c>
      <c r="D53" s="2">
        <v>4</v>
      </c>
      <c r="E53" s="6">
        <v>80000</v>
      </c>
    </row>
    <row r="54" spans="1:11" ht="15" customHeight="1" x14ac:dyDescent="0.25">
      <c r="A54" s="2" t="s">
        <v>96</v>
      </c>
      <c r="B54" s="6">
        <v>30000</v>
      </c>
      <c r="C54" s="6">
        <v>2500</v>
      </c>
      <c r="D54" s="2">
        <v>4</v>
      </c>
      <c r="E54" s="6">
        <v>120000</v>
      </c>
    </row>
    <row r="55" spans="1:11" ht="15" customHeight="1" x14ac:dyDescent="0.25">
      <c r="A55" s="2" t="s">
        <v>97</v>
      </c>
      <c r="B55" s="6">
        <v>24000</v>
      </c>
      <c r="C55" s="6">
        <v>2000</v>
      </c>
      <c r="D55" s="2">
        <v>4</v>
      </c>
      <c r="E55" s="6">
        <v>96000</v>
      </c>
    </row>
    <row r="56" spans="1:11" ht="15" customHeight="1" x14ac:dyDescent="0.25">
      <c r="A56" s="26" t="s">
        <v>98</v>
      </c>
      <c r="E56" s="27">
        <v>456000</v>
      </c>
    </row>
    <row r="57" spans="1:11" ht="15" customHeight="1" x14ac:dyDescent="0.25">
      <c r="A57" s="28" t="s">
        <v>99</v>
      </c>
    </row>
    <row r="59" spans="1:11" ht="15" customHeight="1" x14ac:dyDescent="0.25">
      <c r="A59" s="29" t="s">
        <v>100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15" customHeight="1" x14ac:dyDescent="0.25">
      <c r="A60" s="2" t="s">
        <v>101</v>
      </c>
      <c r="B60" s="6">
        <f>B16</f>
        <v>9009665</v>
      </c>
    </row>
    <row r="61" spans="1:11" ht="15" customHeight="1" x14ac:dyDescent="0.25">
      <c r="A61" s="2" t="s">
        <v>24</v>
      </c>
      <c r="B61" s="6">
        <f>B17</f>
        <v>-1500039</v>
      </c>
    </row>
    <row r="62" spans="1:11" ht="15" customHeight="1" x14ac:dyDescent="0.25">
      <c r="A62" s="2" t="s">
        <v>25</v>
      </c>
      <c r="B62" s="6">
        <f>B18</f>
        <v>-456000</v>
      </c>
    </row>
    <row r="63" spans="1:11" ht="15" customHeight="1" x14ac:dyDescent="0.25">
      <c r="A63" s="15" t="s">
        <v>26</v>
      </c>
      <c r="B63" s="18">
        <f>B60+B61+B62</f>
        <v>7053626</v>
      </c>
    </row>
    <row r="64" spans="1:11" ht="15" customHeight="1" x14ac:dyDescent="0.25">
      <c r="A64" s="2" t="s">
        <v>102</v>
      </c>
      <c r="B64" s="6">
        <f>-B20</f>
        <v>-563192.61699999997</v>
      </c>
    </row>
    <row r="65" spans="1:11" ht="15" customHeight="1" x14ac:dyDescent="0.25">
      <c r="A65" s="15" t="s">
        <v>28</v>
      </c>
      <c r="B65" s="18">
        <f>B63+B64</f>
        <v>6490433.3830000004</v>
      </c>
    </row>
    <row r="66" spans="1:11" ht="15" customHeight="1" x14ac:dyDescent="0.25">
      <c r="A66" s="2" t="s">
        <v>103</v>
      </c>
      <c r="B66" s="6">
        <f>-B22</f>
        <v>-2951665.926</v>
      </c>
    </row>
    <row r="67" spans="1:11" ht="15" customHeight="1" x14ac:dyDescent="0.25">
      <c r="A67" s="15" t="s">
        <v>30</v>
      </c>
      <c r="B67" s="18">
        <f>B65+B66</f>
        <v>3538767.4570000004</v>
      </c>
    </row>
    <row r="68" spans="1:11" ht="15" customHeight="1" x14ac:dyDescent="0.25">
      <c r="A68" s="2" t="s">
        <v>27</v>
      </c>
      <c r="B68" s="6">
        <f>B20</f>
        <v>563192.61699999997</v>
      </c>
    </row>
    <row r="69" spans="1:11" ht="15" customHeight="1" x14ac:dyDescent="0.25">
      <c r="A69" s="15" t="s">
        <v>31</v>
      </c>
      <c r="B69" s="18">
        <f>B67+B68</f>
        <v>4101960.0740000005</v>
      </c>
    </row>
    <row r="71" spans="1:11" ht="15" customHeight="1" x14ac:dyDescent="0.25">
      <c r="A71" s="30" t="s">
        <v>104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1" ht="15" customHeight="1" x14ac:dyDescent="0.25">
      <c r="A72" s="20" t="s">
        <v>105</v>
      </c>
      <c r="B72" s="20" t="s">
        <v>73</v>
      </c>
      <c r="C72" s="20" t="s">
        <v>106</v>
      </c>
    </row>
    <row r="73" spans="1:11" ht="31.5" customHeight="1" x14ac:dyDescent="0.25">
      <c r="A73" s="3" t="s">
        <v>107</v>
      </c>
      <c r="B73" s="2" t="s">
        <v>108</v>
      </c>
      <c r="C73" s="40" t="s">
        <v>109</v>
      </c>
      <c r="D73" s="41"/>
      <c r="E73" s="41"/>
      <c r="F73" s="41"/>
      <c r="G73" s="41"/>
    </row>
    <row r="74" spans="1:11" ht="31.5" customHeight="1" x14ac:dyDescent="0.25">
      <c r="A74" s="3" t="s">
        <v>110</v>
      </c>
      <c r="B74" s="2" t="s">
        <v>111</v>
      </c>
      <c r="C74" s="40" t="s">
        <v>112</v>
      </c>
      <c r="D74" s="41"/>
      <c r="E74" s="41"/>
      <c r="F74" s="41"/>
      <c r="G74" s="41"/>
    </row>
    <row r="75" spans="1:11" ht="31.5" customHeight="1" x14ac:dyDescent="0.25">
      <c r="A75" s="3" t="s">
        <v>113</v>
      </c>
      <c r="B75" s="2" t="s">
        <v>114</v>
      </c>
      <c r="C75" s="40" t="s">
        <v>115</v>
      </c>
      <c r="D75" s="41"/>
      <c r="E75" s="41"/>
      <c r="F75" s="41"/>
      <c r="G75" s="41"/>
    </row>
    <row r="76" spans="1:11" ht="31.5" customHeight="1" x14ac:dyDescent="0.25">
      <c r="A76" s="3" t="s">
        <v>116</v>
      </c>
      <c r="B76" s="2" t="s">
        <v>117</v>
      </c>
      <c r="C76" s="40" t="s">
        <v>118</v>
      </c>
      <c r="D76" s="41"/>
      <c r="E76" s="41"/>
      <c r="F76" s="41"/>
      <c r="G76" s="41"/>
    </row>
    <row r="77" spans="1:11" ht="31.5" customHeight="1" x14ac:dyDescent="0.25">
      <c r="A77" s="3" t="s">
        <v>119</v>
      </c>
      <c r="B77" s="2" t="s">
        <v>117</v>
      </c>
      <c r="C77" s="40" t="s">
        <v>120</v>
      </c>
      <c r="D77" s="41"/>
      <c r="E77" s="41"/>
      <c r="F77" s="41"/>
      <c r="G77" s="41"/>
    </row>
    <row r="78" spans="1:11" ht="31.5" customHeight="1" x14ac:dyDescent="0.25">
      <c r="A78" s="3" t="s">
        <v>121</v>
      </c>
      <c r="B78" s="2" t="s">
        <v>122</v>
      </c>
      <c r="C78" s="40" t="s">
        <v>123</v>
      </c>
      <c r="D78" s="41"/>
      <c r="E78" s="41"/>
      <c r="F78" s="41"/>
      <c r="G78" s="41"/>
    </row>
    <row r="80" spans="1:11" ht="15" customHeight="1" x14ac:dyDescent="0.25">
      <c r="A80" s="31" t="s">
        <v>124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1:11" ht="27.75" customHeight="1" x14ac:dyDescent="0.25">
      <c r="A81" s="3" t="s">
        <v>125</v>
      </c>
      <c r="B81" s="40" t="s">
        <v>126</v>
      </c>
      <c r="C81" s="41"/>
      <c r="D81" s="41"/>
      <c r="E81" s="41"/>
      <c r="F81" s="41"/>
      <c r="G81" s="41"/>
    </row>
    <row r="82" spans="1:11" ht="27.75" customHeight="1" x14ac:dyDescent="0.25">
      <c r="A82" s="3" t="s">
        <v>127</v>
      </c>
      <c r="B82" s="40" t="s">
        <v>128</v>
      </c>
      <c r="C82" s="41"/>
      <c r="D82" s="41"/>
      <c r="E82" s="41"/>
      <c r="F82" s="41"/>
      <c r="G82" s="41"/>
    </row>
    <row r="83" spans="1:11" ht="27.75" customHeight="1" x14ac:dyDescent="0.25">
      <c r="A83" s="3" t="s">
        <v>129</v>
      </c>
      <c r="B83" s="40" t="s">
        <v>130</v>
      </c>
      <c r="C83" s="41"/>
      <c r="D83" s="41"/>
      <c r="E83" s="41"/>
      <c r="F83" s="41"/>
      <c r="G83" s="41"/>
    </row>
    <row r="84" spans="1:11" ht="27.75" customHeight="1" x14ac:dyDescent="0.25">
      <c r="A84" s="3" t="s">
        <v>131</v>
      </c>
      <c r="B84" s="40" t="s">
        <v>132</v>
      </c>
      <c r="C84" s="41"/>
      <c r="D84" s="41"/>
      <c r="E84" s="41"/>
      <c r="F84" s="41"/>
      <c r="G84" s="41"/>
    </row>
    <row r="85" spans="1:11" ht="27.75" customHeight="1" x14ac:dyDescent="0.25">
      <c r="A85" s="3" t="s">
        <v>133</v>
      </c>
      <c r="B85" s="40" t="s">
        <v>134</v>
      </c>
      <c r="C85" s="41"/>
      <c r="D85" s="41"/>
      <c r="E85" s="41"/>
      <c r="F85" s="41"/>
      <c r="G85" s="41"/>
    </row>
    <row r="86" spans="1:11" ht="27.75" customHeight="1" x14ac:dyDescent="0.25">
      <c r="A86" s="3" t="s">
        <v>135</v>
      </c>
      <c r="B86" s="40" t="s">
        <v>136</v>
      </c>
      <c r="C86" s="41"/>
      <c r="D86" s="41"/>
      <c r="E86" s="41"/>
      <c r="F86" s="41"/>
      <c r="G86" s="41"/>
    </row>
    <row r="87" spans="1:11" ht="27.75" customHeight="1" x14ac:dyDescent="0.25">
      <c r="A87" s="3" t="s">
        <v>137</v>
      </c>
      <c r="B87" s="40" t="s">
        <v>138</v>
      </c>
      <c r="C87" s="41"/>
      <c r="D87" s="41"/>
      <c r="E87" s="41"/>
      <c r="F87" s="41"/>
      <c r="G87" s="41"/>
    </row>
    <row r="88" spans="1:11" ht="27.75" customHeight="1" x14ac:dyDescent="0.25">
      <c r="A88" s="3" t="s">
        <v>139</v>
      </c>
      <c r="B88" s="40" t="s">
        <v>140</v>
      </c>
      <c r="C88" s="41"/>
      <c r="D88" s="41"/>
      <c r="E88" s="41"/>
      <c r="F88" s="41"/>
      <c r="G88" s="41"/>
    </row>
    <row r="89" spans="1:11" ht="27.75" customHeight="1" x14ac:dyDescent="0.25">
      <c r="A89" s="3" t="s">
        <v>141</v>
      </c>
      <c r="B89" s="40" t="s">
        <v>142</v>
      </c>
      <c r="C89" s="41"/>
      <c r="D89" s="41"/>
      <c r="E89" s="41"/>
      <c r="F89" s="41"/>
      <c r="G89" s="41"/>
    </row>
    <row r="90" spans="1:11" ht="27.75" customHeight="1" x14ac:dyDescent="0.25">
      <c r="A90" s="3" t="s">
        <v>143</v>
      </c>
      <c r="B90" s="40" t="s">
        <v>144</v>
      </c>
      <c r="C90" s="41"/>
      <c r="D90" s="41"/>
      <c r="E90" s="41"/>
      <c r="F90" s="41"/>
      <c r="G90" s="41"/>
    </row>
    <row r="91" spans="1:11" ht="25.5" customHeight="1" x14ac:dyDescent="0.25">
      <c r="A91" s="38" t="s">
        <v>145</v>
      </c>
      <c r="B91" s="39" t="s">
        <v>146</v>
      </c>
    </row>
    <row r="93" spans="1:11" ht="15" customHeight="1" x14ac:dyDescent="0.25">
      <c r="A93" s="32" t="s">
        <v>147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</row>
    <row r="94" spans="1:11" ht="15" customHeight="1" x14ac:dyDescent="0.25">
      <c r="A94" s="2" t="s">
        <v>148</v>
      </c>
      <c r="B94" s="33">
        <v>0.1</v>
      </c>
    </row>
    <row r="95" spans="1:11" ht="15" customHeight="1" x14ac:dyDescent="0.25">
      <c r="A95" s="2" t="s">
        <v>149</v>
      </c>
      <c r="B95" s="6">
        <v>150000</v>
      </c>
    </row>
    <row r="96" spans="1:11" ht="15" customHeight="1" x14ac:dyDescent="0.25">
      <c r="A96" s="2" t="s">
        <v>150</v>
      </c>
      <c r="B96" s="2" t="s">
        <v>151</v>
      </c>
    </row>
    <row r="97" spans="1:86" ht="15" customHeight="1" x14ac:dyDescent="0.25">
      <c r="A97" s="3" t="s">
        <v>152</v>
      </c>
      <c r="B97" s="33"/>
      <c r="C97" s="34"/>
      <c r="D97" s="34"/>
      <c r="E97" s="34"/>
      <c r="F97" s="34"/>
      <c r="G97" s="34"/>
      <c r="H97" s="34"/>
      <c r="I97" s="34"/>
      <c r="J97" s="34"/>
      <c r="K97" s="34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</row>
    <row r="98" spans="1:86" ht="15" customHeight="1" x14ac:dyDescent="0.25">
      <c r="A98" s="2"/>
      <c r="B98" s="2"/>
      <c r="C98" s="3">
        <v>1</v>
      </c>
      <c r="D98" s="3">
        <v>2</v>
      </c>
      <c r="E98" s="3">
        <v>3</v>
      </c>
      <c r="F98" s="3">
        <v>4</v>
      </c>
      <c r="G98" s="3">
        <v>5</v>
      </c>
      <c r="H98" s="3">
        <v>6</v>
      </c>
      <c r="I98" s="3">
        <v>7</v>
      </c>
      <c r="J98" s="3">
        <v>8</v>
      </c>
      <c r="K98" s="3">
        <v>9</v>
      </c>
      <c r="L98" s="3">
        <v>10</v>
      </c>
      <c r="M98" s="3">
        <v>11</v>
      </c>
      <c r="N98" s="3">
        <v>12</v>
      </c>
      <c r="O98" s="3">
        <v>13</v>
      </c>
      <c r="P98" s="3">
        <v>14</v>
      </c>
      <c r="Q98" s="3">
        <v>15</v>
      </c>
      <c r="R98" s="3">
        <v>16</v>
      </c>
      <c r="S98" s="3">
        <v>17</v>
      </c>
      <c r="T98" s="3">
        <v>18</v>
      </c>
      <c r="U98" s="3">
        <v>19</v>
      </c>
      <c r="V98" s="3">
        <v>20</v>
      </c>
      <c r="W98" s="3">
        <v>21</v>
      </c>
      <c r="X98" s="3">
        <v>22</v>
      </c>
      <c r="Y98" s="3">
        <v>23</v>
      </c>
      <c r="Z98" s="3">
        <v>24</v>
      </c>
      <c r="AA98" s="3">
        <v>25</v>
      </c>
      <c r="AB98" s="3">
        <v>26</v>
      </c>
      <c r="AC98" s="3">
        <v>27</v>
      </c>
      <c r="AD98" s="3">
        <v>28</v>
      </c>
      <c r="AE98" s="3">
        <v>29</v>
      </c>
      <c r="AF98" s="3">
        <v>30</v>
      </c>
      <c r="AG98" s="3">
        <v>31</v>
      </c>
      <c r="AH98" s="3">
        <v>32</v>
      </c>
      <c r="AI98" s="3">
        <v>33</v>
      </c>
      <c r="AJ98" s="3">
        <v>34</v>
      </c>
      <c r="AK98" s="3">
        <v>35</v>
      </c>
      <c r="AL98" s="3">
        <v>36</v>
      </c>
      <c r="AM98" s="3">
        <v>37</v>
      </c>
      <c r="AN98" s="3">
        <v>38</v>
      </c>
      <c r="AO98" s="3">
        <v>39</v>
      </c>
      <c r="AP98" s="3">
        <v>40</v>
      </c>
      <c r="AQ98" s="3">
        <v>41</v>
      </c>
      <c r="AR98" s="3">
        <v>42</v>
      </c>
      <c r="AS98" s="3">
        <v>43</v>
      </c>
      <c r="AT98" s="3">
        <v>44</v>
      </c>
      <c r="AU98" s="3">
        <v>45</v>
      </c>
      <c r="AV98" s="3">
        <v>46</v>
      </c>
      <c r="AW98" s="3">
        <v>47</v>
      </c>
      <c r="AX98" s="3">
        <v>48</v>
      </c>
      <c r="AY98" s="3">
        <v>49</v>
      </c>
      <c r="AZ98" s="3">
        <v>50</v>
      </c>
      <c r="BA98" s="3">
        <v>51</v>
      </c>
      <c r="BB98" s="3">
        <v>52</v>
      </c>
      <c r="BC98" s="3">
        <v>53</v>
      </c>
      <c r="BD98" s="3">
        <v>54</v>
      </c>
      <c r="BE98" s="3">
        <v>55</v>
      </c>
      <c r="BF98" s="3">
        <v>56</v>
      </c>
      <c r="BG98" s="3">
        <v>57</v>
      </c>
      <c r="BH98" s="3">
        <v>58</v>
      </c>
      <c r="BI98" s="3">
        <v>59</v>
      </c>
      <c r="BJ98" s="3">
        <v>60</v>
      </c>
      <c r="BK98" s="3">
        <v>61</v>
      </c>
      <c r="BL98" s="3">
        <v>62</v>
      </c>
      <c r="BM98" s="3">
        <v>63</v>
      </c>
      <c r="BN98" s="3">
        <v>64</v>
      </c>
      <c r="BO98" s="3">
        <v>65</v>
      </c>
      <c r="BP98" s="3">
        <v>66</v>
      </c>
      <c r="BQ98" s="3">
        <v>67</v>
      </c>
      <c r="BR98" s="3">
        <v>68</v>
      </c>
      <c r="BS98" s="3">
        <v>69</v>
      </c>
      <c r="BT98" s="3">
        <v>70</v>
      </c>
      <c r="BU98" s="3">
        <v>71</v>
      </c>
      <c r="BV98" s="3">
        <v>72</v>
      </c>
      <c r="BW98" s="3">
        <v>73</v>
      </c>
      <c r="BX98" s="3">
        <v>74</v>
      </c>
      <c r="BY98" s="3">
        <v>75</v>
      </c>
      <c r="BZ98" s="3">
        <v>76</v>
      </c>
      <c r="CA98" s="3">
        <v>77</v>
      </c>
      <c r="CB98" s="3">
        <v>78</v>
      </c>
      <c r="CC98" s="3">
        <v>79</v>
      </c>
      <c r="CD98" s="3">
        <v>80</v>
      </c>
      <c r="CE98" s="3">
        <v>81</v>
      </c>
      <c r="CF98" s="3">
        <v>82</v>
      </c>
      <c r="CG98" s="3">
        <v>83</v>
      </c>
      <c r="CH98" s="36">
        <v>84</v>
      </c>
    </row>
    <row r="99" spans="1:86" ht="15" customHeight="1" x14ac:dyDescent="0.25">
      <c r="A99" s="2" t="s">
        <v>13</v>
      </c>
      <c r="B99" s="7">
        <f t="shared" ref="B99:B105" si="9">SUM(C99:CH99)</f>
        <v>9009664.9999999981</v>
      </c>
      <c r="C99" s="6"/>
      <c r="D99" s="6"/>
      <c r="E99" s="6"/>
      <c r="F99" s="6"/>
      <c r="G99" s="6"/>
      <c r="H99" s="6"/>
      <c r="I99" s="6"/>
      <c r="J99" s="6"/>
      <c r="K99" s="6"/>
      <c r="L99" s="6">
        <v>45050.36</v>
      </c>
      <c r="M99" s="6">
        <v>45050.36</v>
      </c>
      <c r="N99" s="6">
        <v>45050.36</v>
      </c>
      <c r="O99" s="6">
        <v>45050.36</v>
      </c>
      <c r="P99" s="6">
        <v>45050.36</v>
      </c>
      <c r="Q99" s="6">
        <v>45050.36</v>
      </c>
      <c r="R99" s="6">
        <v>70944.52</v>
      </c>
      <c r="S99" s="6">
        <v>96838.68</v>
      </c>
      <c r="T99" s="6">
        <v>122732.84</v>
      </c>
      <c r="U99" s="6">
        <v>148626.99</v>
      </c>
      <c r="V99" s="6">
        <v>174521.16</v>
      </c>
      <c r="W99" s="6">
        <v>200415.31</v>
      </c>
      <c r="X99" s="6">
        <v>226309.46</v>
      </c>
      <c r="Y99" s="6">
        <v>252203.62</v>
      </c>
      <c r="Z99" s="6">
        <v>278097.78999999998</v>
      </c>
      <c r="AA99" s="6">
        <v>303991.94</v>
      </c>
      <c r="AB99" s="6">
        <v>329886.11</v>
      </c>
      <c r="AC99" s="6">
        <v>400830.61</v>
      </c>
      <c r="AD99" s="6">
        <v>311512.01</v>
      </c>
      <c r="AE99" s="6">
        <v>312294.13</v>
      </c>
      <c r="AF99" s="6">
        <v>313076.23</v>
      </c>
      <c r="AG99" s="6">
        <v>313858.34000000003</v>
      </c>
      <c r="AH99" s="6">
        <v>314640.44</v>
      </c>
      <c r="AI99" s="6">
        <v>341316.71</v>
      </c>
      <c r="AJ99" s="6">
        <v>316204.67</v>
      </c>
      <c r="AK99" s="6">
        <v>291092.62</v>
      </c>
      <c r="AL99" s="6">
        <v>265980.57</v>
      </c>
      <c r="AM99" s="6">
        <v>240868.51</v>
      </c>
      <c r="AN99" s="6">
        <v>215756.47</v>
      </c>
      <c r="AO99" s="6">
        <v>190644.42</v>
      </c>
      <c r="AP99" s="6">
        <v>165532.35999999999</v>
      </c>
      <c r="AQ99" s="6">
        <v>140420.32</v>
      </c>
      <c r="AR99" s="6">
        <v>115308.27</v>
      </c>
      <c r="AS99" s="6">
        <v>196095.1</v>
      </c>
      <c r="AT99" s="6">
        <v>170200.95</v>
      </c>
      <c r="AU99" s="6">
        <v>119194.75</v>
      </c>
      <c r="AV99" s="6">
        <v>118412.64</v>
      </c>
      <c r="AW99" s="6">
        <v>117630.52</v>
      </c>
      <c r="AX99" s="6">
        <v>116848.42</v>
      </c>
      <c r="AY99" s="6">
        <v>116066.31</v>
      </c>
      <c r="AZ99" s="6">
        <v>115284.2</v>
      </c>
      <c r="BA99" s="6">
        <v>114502.09</v>
      </c>
      <c r="BB99" s="6">
        <v>113719.98</v>
      </c>
      <c r="BC99" s="6">
        <v>112937.87</v>
      </c>
      <c r="BD99" s="6">
        <v>112155.76</v>
      </c>
      <c r="BE99" s="6">
        <v>111373.65</v>
      </c>
      <c r="BF99" s="6">
        <v>110591.54</v>
      </c>
      <c r="BG99" s="6">
        <v>109809.44</v>
      </c>
      <c r="BH99" s="6">
        <v>109027.32</v>
      </c>
      <c r="BI99" s="6">
        <v>108245.21</v>
      </c>
      <c r="BJ99" s="6">
        <v>213361.99</v>
      </c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35"/>
    </row>
    <row r="100" spans="1:86" ht="15" customHeight="1" x14ac:dyDescent="0.25">
      <c r="A100" s="2" t="s">
        <v>24</v>
      </c>
      <c r="B100" s="7">
        <f t="shared" si="9"/>
        <v>-1500039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-10417</v>
      </c>
      <c r="N100" s="6">
        <v>-10417</v>
      </c>
      <c r="O100" s="6">
        <v>-10417</v>
      </c>
      <c r="P100" s="6">
        <v>-17917</v>
      </c>
      <c r="Q100" s="6">
        <v>-17917</v>
      </c>
      <c r="R100" s="6">
        <v>-17917</v>
      </c>
      <c r="S100" s="6">
        <v>-17917</v>
      </c>
      <c r="T100" s="6">
        <v>-17917</v>
      </c>
      <c r="U100" s="6">
        <v>-27084</v>
      </c>
      <c r="V100" s="6">
        <v>-27084</v>
      </c>
      <c r="W100" s="6">
        <v>-27084</v>
      </c>
      <c r="X100" s="6">
        <v>-27084</v>
      </c>
      <c r="Y100" s="6">
        <v>-27084</v>
      </c>
      <c r="Z100" s="6">
        <v>-27084</v>
      </c>
      <c r="AA100" s="6">
        <v>-27084</v>
      </c>
      <c r="AB100" s="6">
        <v>-27084</v>
      </c>
      <c r="AC100" s="6">
        <v>-37501</v>
      </c>
      <c r="AD100" s="6">
        <v>-37501</v>
      </c>
      <c r="AE100" s="6">
        <v>-37501</v>
      </c>
      <c r="AF100" s="6">
        <v>-37501</v>
      </c>
      <c r="AG100" s="6">
        <v>-37501</v>
      </c>
      <c r="AH100" s="6">
        <v>-37501</v>
      </c>
      <c r="AI100" s="6">
        <v>-37501</v>
      </c>
      <c r="AJ100" s="6">
        <v>-37501</v>
      </c>
      <c r="AK100" s="6">
        <v>-37501</v>
      </c>
      <c r="AL100" s="6">
        <v>-37501</v>
      </c>
      <c r="AM100" s="6">
        <v>-37501</v>
      </c>
      <c r="AN100" s="6">
        <v>-37501</v>
      </c>
      <c r="AO100" s="6">
        <v>-37501</v>
      </c>
      <c r="AP100" s="6">
        <v>-37501</v>
      </c>
      <c r="AQ100" s="6">
        <v>-37501</v>
      </c>
      <c r="AR100" s="6">
        <v>-37501</v>
      </c>
      <c r="AS100" s="6">
        <v>-37501</v>
      </c>
      <c r="AT100" s="6">
        <v>-37501</v>
      </c>
      <c r="AU100" s="6">
        <v>-37501</v>
      </c>
      <c r="AV100" s="6">
        <v>-37501</v>
      </c>
      <c r="AW100" s="6">
        <v>-37501</v>
      </c>
      <c r="AX100" s="6">
        <v>-37501</v>
      </c>
      <c r="AY100" s="6">
        <v>-37501</v>
      </c>
      <c r="AZ100" s="6">
        <v>-37501</v>
      </c>
      <c r="BA100" s="6">
        <v>-37501</v>
      </c>
      <c r="BB100" s="6">
        <v>-37501</v>
      </c>
      <c r="BC100" s="6">
        <v>-37501</v>
      </c>
      <c r="BD100" s="6">
        <v>-37501</v>
      </c>
      <c r="BE100" s="6">
        <v>-37501</v>
      </c>
      <c r="BF100" s="6">
        <v>-37501</v>
      </c>
      <c r="BG100" s="6">
        <v>-37501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35"/>
    </row>
    <row r="101" spans="1:86" ht="15" customHeight="1" x14ac:dyDescent="0.25">
      <c r="A101" s="2" t="s">
        <v>25</v>
      </c>
      <c r="B101" s="7">
        <f t="shared" si="9"/>
        <v>-456000</v>
      </c>
      <c r="C101" s="6"/>
      <c r="D101" s="6"/>
      <c r="E101" s="6"/>
      <c r="F101" s="6"/>
      <c r="G101" s="6"/>
      <c r="H101" s="6"/>
      <c r="I101" s="6"/>
      <c r="J101" s="6"/>
      <c r="K101" s="6"/>
      <c r="L101" s="6">
        <v>-9500</v>
      </c>
      <c r="M101" s="6">
        <v>-9500</v>
      </c>
      <c r="N101" s="6">
        <v>-9500</v>
      </c>
      <c r="O101" s="6">
        <v>-9500</v>
      </c>
      <c r="P101" s="6">
        <v>-9500</v>
      </c>
      <c r="Q101" s="6">
        <v>-9500</v>
      </c>
      <c r="R101" s="6">
        <v>-9500</v>
      </c>
      <c r="S101" s="6">
        <v>-9500</v>
      </c>
      <c r="T101" s="6">
        <v>-9500</v>
      </c>
      <c r="U101" s="6">
        <v>-9500</v>
      </c>
      <c r="V101" s="6">
        <v>-9500</v>
      </c>
      <c r="W101" s="6">
        <v>-9500</v>
      </c>
      <c r="X101" s="6">
        <v>-9500</v>
      </c>
      <c r="Y101" s="6">
        <v>-9500</v>
      </c>
      <c r="Z101" s="6">
        <v>-9500</v>
      </c>
      <c r="AA101" s="6">
        <v>-9500</v>
      </c>
      <c r="AB101" s="6">
        <v>-9500</v>
      </c>
      <c r="AC101" s="6">
        <v>-9500</v>
      </c>
      <c r="AD101" s="6">
        <v>-9500</v>
      </c>
      <c r="AE101" s="6">
        <v>-9500</v>
      </c>
      <c r="AF101" s="6">
        <v>-9500</v>
      </c>
      <c r="AG101" s="6">
        <v>-9500</v>
      </c>
      <c r="AH101" s="6">
        <v>-9500</v>
      </c>
      <c r="AI101" s="6">
        <v>-9500</v>
      </c>
      <c r="AJ101" s="6">
        <v>-9500</v>
      </c>
      <c r="AK101" s="6">
        <v>-9500</v>
      </c>
      <c r="AL101" s="6">
        <v>-9500</v>
      </c>
      <c r="AM101" s="6">
        <v>-9500</v>
      </c>
      <c r="AN101" s="6">
        <v>-9500</v>
      </c>
      <c r="AO101" s="6">
        <v>-9500</v>
      </c>
      <c r="AP101" s="6">
        <v>-9500</v>
      </c>
      <c r="AQ101" s="6">
        <v>-9500</v>
      </c>
      <c r="AR101" s="6">
        <v>-9500</v>
      </c>
      <c r="AS101" s="6">
        <v>-9500</v>
      </c>
      <c r="AT101" s="6">
        <v>-9500</v>
      </c>
      <c r="AU101" s="6">
        <v>-9500</v>
      </c>
      <c r="AV101" s="6">
        <v>-9500</v>
      </c>
      <c r="AW101" s="6">
        <v>-9500</v>
      </c>
      <c r="AX101" s="6">
        <v>-9500</v>
      </c>
      <c r="AY101" s="6">
        <v>-9500</v>
      </c>
      <c r="AZ101" s="6">
        <v>-9500</v>
      </c>
      <c r="BA101" s="6">
        <v>-9500</v>
      </c>
      <c r="BB101" s="6">
        <v>-9500</v>
      </c>
      <c r="BC101" s="6">
        <v>-9500</v>
      </c>
      <c r="BD101" s="6">
        <v>-9500</v>
      </c>
      <c r="BE101" s="6">
        <v>-9500</v>
      </c>
      <c r="BF101" s="6">
        <v>-9500</v>
      </c>
      <c r="BG101" s="6">
        <v>-9500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35"/>
    </row>
    <row r="102" spans="1:86" ht="15" customHeight="1" x14ac:dyDescent="0.25">
      <c r="A102" s="2" t="s">
        <v>26</v>
      </c>
      <c r="B102" s="7">
        <f t="shared" si="9"/>
        <v>7053625.9999999991</v>
      </c>
      <c r="C102" s="6">
        <f t="shared" ref="C102:AH102" si="10">C99+C100+C101</f>
        <v>0</v>
      </c>
      <c r="D102" s="6">
        <f t="shared" si="10"/>
        <v>0</v>
      </c>
      <c r="E102" s="6">
        <f t="shared" si="10"/>
        <v>0</v>
      </c>
      <c r="F102" s="6">
        <f t="shared" si="10"/>
        <v>0</v>
      </c>
      <c r="G102" s="6">
        <f t="shared" si="10"/>
        <v>0</v>
      </c>
      <c r="H102" s="6">
        <f t="shared" si="10"/>
        <v>0</v>
      </c>
      <c r="I102" s="6">
        <f t="shared" si="10"/>
        <v>0</v>
      </c>
      <c r="J102" s="6">
        <f t="shared" si="10"/>
        <v>0</v>
      </c>
      <c r="K102" s="6">
        <f t="shared" si="10"/>
        <v>0</v>
      </c>
      <c r="L102" s="6">
        <f t="shared" si="10"/>
        <v>35550.36</v>
      </c>
      <c r="M102" s="6">
        <f t="shared" si="10"/>
        <v>25133.360000000001</v>
      </c>
      <c r="N102" s="6">
        <f t="shared" si="10"/>
        <v>25133.360000000001</v>
      </c>
      <c r="O102" s="6">
        <f t="shared" si="10"/>
        <v>25133.360000000001</v>
      </c>
      <c r="P102" s="6">
        <f t="shared" si="10"/>
        <v>17633.36</v>
      </c>
      <c r="Q102" s="6">
        <f t="shared" si="10"/>
        <v>17633.36</v>
      </c>
      <c r="R102" s="6">
        <f t="shared" si="10"/>
        <v>43527.520000000004</v>
      </c>
      <c r="S102" s="6">
        <f t="shared" si="10"/>
        <v>69421.679999999993</v>
      </c>
      <c r="T102" s="6">
        <f t="shared" si="10"/>
        <v>95315.839999999997</v>
      </c>
      <c r="U102" s="6">
        <f t="shared" si="10"/>
        <v>112042.98999999999</v>
      </c>
      <c r="V102" s="6">
        <f t="shared" si="10"/>
        <v>137937.16</v>
      </c>
      <c r="W102" s="6">
        <f t="shared" si="10"/>
        <v>163831.31</v>
      </c>
      <c r="X102" s="6">
        <f t="shared" si="10"/>
        <v>189725.46</v>
      </c>
      <c r="Y102" s="6">
        <f t="shared" si="10"/>
        <v>215619.62</v>
      </c>
      <c r="Z102" s="6">
        <f t="shared" si="10"/>
        <v>241513.78999999998</v>
      </c>
      <c r="AA102" s="6">
        <f t="shared" si="10"/>
        <v>267407.94</v>
      </c>
      <c r="AB102" s="6">
        <f t="shared" si="10"/>
        <v>293302.11</v>
      </c>
      <c r="AC102" s="6">
        <f t="shared" si="10"/>
        <v>353829.61</v>
      </c>
      <c r="AD102" s="6">
        <f t="shared" si="10"/>
        <v>264511.01</v>
      </c>
      <c r="AE102" s="6">
        <f t="shared" si="10"/>
        <v>265293.13</v>
      </c>
      <c r="AF102" s="6">
        <f t="shared" si="10"/>
        <v>266075.23</v>
      </c>
      <c r="AG102" s="6">
        <f t="shared" si="10"/>
        <v>266857.34000000003</v>
      </c>
      <c r="AH102" s="6">
        <f t="shared" si="10"/>
        <v>267639.44</v>
      </c>
      <c r="AI102" s="6">
        <f t="shared" ref="AI102:BN102" si="11">AI99+AI100+AI101</f>
        <v>294315.71000000002</v>
      </c>
      <c r="AJ102" s="6">
        <f t="shared" si="11"/>
        <v>269203.67</v>
      </c>
      <c r="AK102" s="6">
        <f t="shared" si="11"/>
        <v>244091.62</v>
      </c>
      <c r="AL102" s="6">
        <f t="shared" si="11"/>
        <v>218979.57</v>
      </c>
      <c r="AM102" s="6">
        <f t="shared" si="11"/>
        <v>193867.51</v>
      </c>
      <c r="AN102" s="6">
        <f t="shared" si="11"/>
        <v>168755.47</v>
      </c>
      <c r="AO102" s="6">
        <f t="shared" si="11"/>
        <v>143643.42000000001</v>
      </c>
      <c r="AP102" s="6">
        <f t="shared" si="11"/>
        <v>118531.35999999999</v>
      </c>
      <c r="AQ102" s="6">
        <f t="shared" si="11"/>
        <v>93419.32</v>
      </c>
      <c r="AR102" s="6">
        <f t="shared" si="11"/>
        <v>68307.27</v>
      </c>
      <c r="AS102" s="6">
        <f t="shared" si="11"/>
        <v>149094.1</v>
      </c>
      <c r="AT102" s="6">
        <f t="shared" si="11"/>
        <v>123199.95000000001</v>
      </c>
      <c r="AU102" s="6">
        <f t="shared" si="11"/>
        <v>72193.75</v>
      </c>
      <c r="AV102" s="6">
        <f t="shared" si="11"/>
        <v>71411.64</v>
      </c>
      <c r="AW102" s="6">
        <f t="shared" si="11"/>
        <v>70629.52</v>
      </c>
      <c r="AX102" s="6">
        <f t="shared" si="11"/>
        <v>69847.42</v>
      </c>
      <c r="AY102" s="6">
        <f t="shared" si="11"/>
        <v>69065.31</v>
      </c>
      <c r="AZ102" s="6">
        <f t="shared" si="11"/>
        <v>68283.199999999997</v>
      </c>
      <c r="BA102" s="6">
        <f t="shared" si="11"/>
        <v>67501.09</v>
      </c>
      <c r="BB102" s="6">
        <f t="shared" si="11"/>
        <v>66718.98</v>
      </c>
      <c r="BC102" s="6">
        <f t="shared" si="11"/>
        <v>65936.87</v>
      </c>
      <c r="BD102" s="6">
        <f t="shared" si="11"/>
        <v>65154.759999999995</v>
      </c>
      <c r="BE102" s="6">
        <f t="shared" si="11"/>
        <v>64372.649999999994</v>
      </c>
      <c r="BF102" s="6">
        <f t="shared" si="11"/>
        <v>63590.539999999994</v>
      </c>
      <c r="BG102" s="6">
        <f t="shared" si="11"/>
        <v>62808.44</v>
      </c>
      <c r="BH102" s="6">
        <f t="shared" si="11"/>
        <v>109027.32</v>
      </c>
      <c r="BI102" s="6">
        <f t="shared" si="11"/>
        <v>108245.21</v>
      </c>
      <c r="BJ102" s="6">
        <f t="shared" si="11"/>
        <v>213361.99</v>
      </c>
      <c r="BK102" s="6">
        <f t="shared" si="11"/>
        <v>0</v>
      </c>
      <c r="BL102" s="6">
        <f t="shared" si="11"/>
        <v>0</v>
      </c>
      <c r="BM102" s="6">
        <f t="shared" si="11"/>
        <v>0</v>
      </c>
      <c r="BN102" s="6">
        <f t="shared" si="11"/>
        <v>0</v>
      </c>
      <c r="BO102" s="6">
        <f t="shared" ref="BO102:CT102" si="12">BO99+BO100+BO101</f>
        <v>0</v>
      </c>
      <c r="BP102" s="6">
        <f t="shared" si="12"/>
        <v>0</v>
      </c>
      <c r="BQ102" s="6">
        <f t="shared" si="12"/>
        <v>0</v>
      </c>
      <c r="BR102" s="6">
        <f t="shared" si="12"/>
        <v>0</v>
      </c>
      <c r="BS102" s="6">
        <f t="shared" si="12"/>
        <v>0</v>
      </c>
      <c r="BT102" s="6">
        <f t="shared" si="12"/>
        <v>0</v>
      </c>
      <c r="BU102" s="6">
        <f t="shared" si="12"/>
        <v>0</v>
      </c>
      <c r="BV102" s="6">
        <f t="shared" si="12"/>
        <v>0</v>
      </c>
      <c r="BW102" s="6">
        <f t="shared" si="12"/>
        <v>0</v>
      </c>
      <c r="BX102" s="6">
        <f t="shared" si="12"/>
        <v>0</v>
      </c>
      <c r="BY102" s="6">
        <f t="shared" si="12"/>
        <v>0</v>
      </c>
      <c r="BZ102" s="6">
        <f t="shared" si="12"/>
        <v>0</v>
      </c>
      <c r="CA102" s="6">
        <f t="shared" si="12"/>
        <v>0</v>
      </c>
      <c r="CB102" s="6">
        <f t="shared" si="12"/>
        <v>0</v>
      </c>
      <c r="CC102" s="6">
        <f t="shared" si="12"/>
        <v>0</v>
      </c>
      <c r="CD102" s="6">
        <f t="shared" si="12"/>
        <v>0</v>
      </c>
      <c r="CE102" s="6">
        <f t="shared" si="12"/>
        <v>0</v>
      </c>
      <c r="CF102" s="6">
        <f t="shared" si="12"/>
        <v>0</v>
      </c>
      <c r="CG102" s="6">
        <f t="shared" si="12"/>
        <v>0</v>
      </c>
      <c r="CH102" s="37">
        <f t="shared" si="12"/>
        <v>0</v>
      </c>
    </row>
    <row r="103" spans="1:86" ht="15" customHeight="1" x14ac:dyDescent="0.25">
      <c r="A103" s="2" t="s">
        <v>27</v>
      </c>
      <c r="B103" s="7">
        <f t="shared" si="9"/>
        <v>563192.61699999985</v>
      </c>
      <c r="C103" s="6">
        <f t="shared" ref="C103:K103" si="13">C99*$B$94</f>
        <v>0</v>
      </c>
      <c r="D103" s="6">
        <f t="shared" si="13"/>
        <v>0</v>
      </c>
      <c r="E103" s="6">
        <f t="shared" si="13"/>
        <v>0</v>
      </c>
      <c r="F103" s="6">
        <f t="shared" si="13"/>
        <v>0</v>
      </c>
      <c r="G103" s="6">
        <f t="shared" si="13"/>
        <v>0</v>
      </c>
      <c r="H103" s="6">
        <f t="shared" si="13"/>
        <v>0</v>
      </c>
      <c r="I103" s="6">
        <f t="shared" si="13"/>
        <v>0</v>
      </c>
      <c r="J103" s="6">
        <f t="shared" si="13"/>
        <v>0</v>
      </c>
      <c r="K103" s="6">
        <f t="shared" si="13"/>
        <v>0</v>
      </c>
      <c r="L103" s="6">
        <f t="shared" ref="L103:AQ103" si="14">MIN(L99*$B$94,12500)</f>
        <v>4505.0360000000001</v>
      </c>
      <c r="M103" s="6">
        <f t="shared" si="14"/>
        <v>4505.0360000000001</v>
      </c>
      <c r="N103" s="6">
        <f t="shared" si="14"/>
        <v>4505.0360000000001</v>
      </c>
      <c r="O103" s="6">
        <f t="shared" si="14"/>
        <v>4505.0360000000001</v>
      </c>
      <c r="P103" s="6">
        <f t="shared" si="14"/>
        <v>4505.0360000000001</v>
      </c>
      <c r="Q103" s="6">
        <f t="shared" si="14"/>
        <v>4505.0360000000001</v>
      </c>
      <c r="R103" s="6">
        <f t="shared" si="14"/>
        <v>7094.4520000000011</v>
      </c>
      <c r="S103" s="6">
        <f t="shared" si="14"/>
        <v>9683.8680000000004</v>
      </c>
      <c r="T103" s="6">
        <f t="shared" si="14"/>
        <v>12273.284</v>
      </c>
      <c r="U103" s="6">
        <f t="shared" si="14"/>
        <v>12500</v>
      </c>
      <c r="V103" s="6">
        <f t="shared" si="14"/>
        <v>12500</v>
      </c>
      <c r="W103" s="6">
        <f t="shared" si="14"/>
        <v>12500</v>
      </c>
      <c r="X103" s="6">
        <f t="shared" si="14"/>
        <v>12500</v>
      </c>
      <c r="Y103" s="6">
        <f t="shared" si="14"/>
        <v>12500</v>
      </c>
      <c r="Z103" s="6">
        <f t="shared" si="14"/>
        <v>12500</v>
      </c>
      <c r="AA103" s="6">
        <f t="shared" si="14"/>
        <v>12500</v>
      </c>
      <c r="AB103" s="6">
        <f t="shared" si="14"/>
        <v>12500</v>
      </c>
      <c r="AC103" s="6">
        <f t="shared" si="14"/>
        <v>12500</v>
      </c>
      <c r="AD103" s="6">
        <f t="shared" si="14"/>
        <v>12500</v>
      </c>
      <c r="AE103" s="6">
        <f t="shared" si="14"/>
        <v>12500</v>
      </c>
      <c r="AF103" s="6">
        <f t="shared" si="14"/>
        <v>12500</v>
      </c>
      <c r="AG103" s="6">
        <f t="shared" si="14"/>
        <v>12500</v>
      </c>
      <c r="AH103" s="6">
        <f t="shared" si="14"/>
        <v>12500</v>
      </c>
      <c r="AI103" s="6">
        <f t="shared" si="14"/>
        <v>12500</v>
      </c>
      <c r="AJ103" s="6">
        <f t="shared" si="14"/>
        <v>12500</v>
      </c>
      <c r="AK103" s="6">
        <f t="shared" si="14"/>
        <v>12500</v>
      </c>
      <c r="AL103" s="6">
        <f t="shared" si="14"/>
        <v>12500</v>
      </c>
      <c r="AM103" s="6">
        <f t="shared" si="14"/>
        <v>12500</v>
      </c>
      <c r="AN103" s="6">
        <f t="shared" si="14"/>
        <v>12500</v>
      </c>
      <c r="AO103" s="6">
        <f t="shared" si="14"/>
        <v>12500</v>
      </c>
      <c r="AP103" s="6">
        <f t="shared" si="14"/>
        <v>12500</v>
      </c>
      <c r="AQ103" s="6">
        <f t="shared" si="14"/>
        <v>12500</v>
      </c>
      <c r="AR103" s="6">
        <f t="shared" ref="AR103:BW103" si="15">MIN(AR99*$B$94,12500)</f>
        <v>11530.827000000001</v>
      </c>
      <c r="AS103" s="6">
        <f t="shared" si="15"/>
        <v>12500</v>
      </c>
      <c r="AT103" s="6">
        <f t="shared" si="15"/>
        <v>12500</v>
      </c>
      <c r="AU103" s="6">
        <f t="shared" si="15"/>
        <v>11919.475</v>
      </c>
      <c r="AV103" s="6">
        <f t="shared" si="15"/>
        <v>11841.264000000001</v>
      </c>
      <c r="AW103" s="6">
        <f t="shared" si="15"/>
        <v>11763.052000000001</v>
      </c>
      <c r="AX103" s="6">
        <f t="shared" si="15"/>
        <v>11684.842000000001</v>
      </c>
      <c r="AY103" s="6">
        <f t="shared" si="15"/>
        <v>11606.631000000001</v>
      </c>
      <c r="AZ103" s="6">
        <f t="shared" si="15"/>
        <v>11528.42</v>
      </c>
      <c r="BA103" s="6">
        <f t="shared" si="15"/>
        <v>11450.209000000001</v>
      </c>
      <c r="BB103" s="6">
        <f t="shared" si="15"/>
        <v>11371.998</v>
      </c>
      <c r="BC103" s="6">
        <f t="shared" si="15"/>
        <v>11293.787</v>
      </c>
      <c r="BD103" s="6">
        <f t="shared" si="15"/>
        <v>11215.576000000001</v>
      </c>
      <c r="BE103" s="6">
        <f t="shared" si="15"/>
        <v>11137.365</v>
      </c>
      <c r="BF103" s="6">
        <f t="shared" si="15"/>
        <v>11059.154</v>
      </c>
      <c r="BG103" s="6">
        <f t="shared" si="15"/>
        <v>10980.944000000001</v>
      </c>
      <c r="BH103" s="6">
        <f t="shared" si="15"/>
        <v>10902.732000000002</v>
      </c>
      <c r="BI103" s="6">
        <f t="shared" si="15"/>
        <v>10824.521000000001</v>
      </c>
      <c r="BJ103" s="6">
        <f t="shared" si="15"/>
        <v>12500</v>
      </c>
      <c r="BK103" s="6">
        <f t="shared" si="15"/>
        <v>0</v>
      </c>
      <c r="BL103" s="6">
        <f t="shared" si="15"/>
        <v>0</v>
      </c>
      <c r="BM103" s="6">
        <f t="shared" si="15"/>
        <v>0</v>
      </c>
      <c r="BN103" s="6">
        <f t="shared" si="15"/>
        <v>0</v>
      </c>
      <c r="BO103" s="6">
        <f t="shared" si="15"/>
        <v>0</v>
      </c>
      <c r="BP103" s="6">
        <f t="shared" si="15"/>
        <v>0</v>
      </c>
      <c r="BQ103" s="6">
        <f t="shared" si="15"/>
        <v>0</v>
      </c>
      <c r="BR103" s="6">
        <f t="shared" si="15"/>
        <v>0</v>
      </c>
      <c r="BS103" s="6">
        <f t="shared" si="15"/>
        <v>0</v>
      </c>
      <c r="BT103" s="6">
        <f t="shared" si="15"/>
        <v>0</v>
      </c>
      <c r="BU103" s="6">
        <f t="shared" si="15"/>
        <v>0</v>
      </c>
      <c r="BV103" s="6">
        <f t="shared" si="15"/>
        <v>0</v>
      </c>
      <c r="BW103" s="6">
        <f t="shared" si="15"/>
        <v>0</v>
      </c>
      <c r="BX103" s="6">
        <f t="shared" ref="BX103:CG103" si="16">MIN(BX99*$B$94,12500)</f>
        <v>0</v>
      </c>
      <c r="BY103" s="6">
        <f t="shared" si="16"/>
        <v>0</v>
      </c>
      <c r="BZ103" s="6">
        <f t="shared" si="16"/>
        <v>0</v>
      </c>
      <c r="CA103" s="6">
        <f t="shared" si="16"/>
        <v>0</v>
      </c>
      <c r="CB103" s="6">
        <f t="shared" si="16"/>
        <v>0</v>
      </c>
      <c r="CC103" s="6">
        <f t="shared" si="16"/>
        <v>0</v>
      </c>
      <c r="CD103" s="6">
        <f t="shared" si="16"/>
        <v>0</v>
      </c>
      <c r="CE103" s="6">
        <f t="shared" si="16"/>
        <v>0</v>
      </c>
      <c r="CF103" s="6">
        <f t="shared" si="16"/>
        <v>0</v>
      </c>
      <c r="CG103" s="6">
        <f t="shared" si="16"/>
        <v>0</v>
      </c>
      <c r="CH103" s="37">
        <f>CH99*$B$94</f>
        <v>0</v>
      </c>
    </row>
    <row r="104" spans="1:86" ht="15" customHeight="1" x14ac:dyDescent="0.25">
      <c r="A104" s="2" t="s">
        <v>28</v>
      </c>
      <c r="B104" s="7">
        <f t="shared" si="9"/>
        <v>6490433.3830000013</v>
      </c>
      <c r="C104" s="6">
        <f t="shared" ref="C104:AH104" si="17">C102-C103</f>
        <v>0</v>
      </c>
      <c r="D104" s="6">
        <f t="shared" si="17"/>
        <v>0</v>
      </c>
      <c r="E104" s="6">
        <f t="shared" si="17"/>
        <v>0</v>
      </c>
      <c r="F104" s="6">
        <f t="shared" si="17"/>
        <v>0</v>
      </c>
      <c r="G104" s="6">
        <f t="shared" si="17"/>
        <v>0</v>
      </c>
      <c r="H104" s="6">
        <f t="shared" si="17"/>
        <v>0</v>
      </c>
      <c r="I104" s="6">
        <f t="shared" si="17"/>
        <v>0</v>
      </c>
      <c r="J104" s="6">
        <f t="shared" si="17"/>
        <v>0</v>
      </c>
      <c r="K104" s="6">
        <f t="shared" si="17"/>
        <v>0</v>
      </c>
      <c r="L104" s="6">
        <f t="shared" si="17"/>
        <v>31045.324000000001</v>
      </c>
      <c r="M104" s="6">
        <f t="shared" si="17"/>
        <v>20628.324000000001</v>
      </c>
      <c r="N104" s="6">
        <f t="shared" si="17"/>
        <v>20628.324000000001</v>
      </c>
      <c r="O104" s="6">
        <f t="shared" si="17"/>
        <v>20628.324000000001</v>
      </c>
      <c r="P104" s="6">
        <f t="shared" si="17"/>
        <v>13128.324000000001</v>
      </c>
      <c r="Q104" s="6">
        <f t="shared" si="17"/>
        <v>13128.324000000001</v>
      </c>
      <c r="R104" s="6">
        <f t="shared" si="17"/>
        <v>36433.067999999999</v>
      </c>
      <c r="S104" s="6">
        <f t="shared" si="17"/>
        <v>59737.811999999991</v>
      </c>
      <c r="T104" s="6">
        <f t="shared" si="17"/>
        <v>83042.555999999997</v>
      </c>
      <c r="U104" s="6">
        <f t="shared" si="17"/>
        <v>99542.989999999991</v>
      </c>
      <c r="V104" s="6">
        <f t="shared" si="17"/>
        <v>125437.16</v>
      </c>
      <c r="W104" s="6">
        <f t="shared" si="17"/>
        <v>151331.31</v>
      </c>
      <c r="X104" s="6">
        <f t="shared" si="17"/>
        <v>177225.46</v>
      </c>
      <c r="Y104" s="6">
        <f t="shared" si="17"/>
        <v>203119.62</v>
      </c>
      <c r="Z104" s="6">
        <f t="shared" si="17"/>
        <v>229013.78999999998</v>
      </c>
      <c r="AA104" s="6">
        <f t="shared" si="17"/>
        <v>254907.94</v>
      </c>
      <c r="AB104" s="6">
        <f t="shared" si="17"/>
        <v>280802.11</v>
      </c>
      <c r="AC104" s="6">
        <f t="shared" si="17"/>
        <v>341329.61</v>
      </c>
      <c r="AD104" s="6">
        <f t="shared" si="17"/>
        <v>252011.01</v>
      </c>
      <c r="AE104" s="6">
        <f t="shared" si="17"/>
        <v>252793.13</v>
      </c>
      <c r="AF104" s="6">
        <f t="shared" si="17"/>
        <v>253575.22999999998</v>
      </c>
      <c r="AG104" s="6">
        <f t="shared" si="17"/>
        <v>254357.34000000003</v>
      </c>
      <c r="AH104" s="6">
        <f t="shared" si="17"/>
        <v>255139.44</v>
      </c>
      <c r="AI104" s="6">
        <f t="shared" ref="AI104:BN104" si="18">AI102-AI103</f>
        <v>281815.71000000002</v>
      </c>
      <c r="AJ104" s="6">
        <f t="shared" si="18"/>
        <v>256703.66999999998</v>
      </c>
      <c r="AK104" s="6">
        <f t="shared" si="18"/>
        <v>231591.62</v>
      </c>
      <c r="AL104" s="6">
        <f t="shared" si="18"/>
        <v>206479.57</v>
      </c>
      <c r="AM104" s="6">
        <f t="shared" si="18"/>
        <v>181367.51</v>
      </c>
      <c r="AN104" s="6">
        <f t="shared" si="18"/>
        <v>156255.47</v>
      </c>
      <c r="AO104" s="6">
        <f t="shared" si="18"/>
        <v>131143.42000000001</v>
      </c>
      <c r="AP104" s="6">
        <f t="shared" si="18"/>
        <v>106031.35999999999</v>
      </c>
      <c r="AQ104" s="6">
        <f t="shared" si="18"/>
        <v>80919.320000000007</v>
      </c>
      <c r="AR104" s="6">
        <f t="shared" si="18"/>
        <v>56776.442999999999</v>
      </c>
      <c r="AS104" s="6">
        <f t="shared" si="18"/>
        <v>136594.1</v>
      </c>
      <c r="AT104" s="6">
        <f t="shared" si="18"/>
        <v>110699.95000000001</v>
      </c>
      <c r="AU104" s="6">
        <f t="shared" si="18"/>
        <v>60274.275000000001</v>
      </c>
      <c r="AV104" s="6">
        <f t="shared" si="18"/>
        <v>59570.375999999997</v>
      </c>
      <c r="AW104" s="6">
        <f t="shared" si="18"/>
        <v>58866.468000000001</v>
      </c>
      <c r="AX104" s="6">
        <f t="shared" si="18"/>
        <v>58162.577999999994</v>
      </c>
      <c r="AY104" s="6">
        <f t="shared" si="18"/>
        <v>57458.678999999996</v>
      </c>
      <c r="AZ104" s="6">
        <f t="shared" si="18"/>
        <v>56754.78</v>
      </c>
      <c r="BA104" s="6">
        <f t="shared" si="18"/>
        <v>56050.880999999994</v>
      </c>
      <c r="BB104" s="6">
        <f t="shared" si="18"/>
        <v>55346.981999999996</v>
      </c>
      <c r="BC104" s="6">
        <f t="shared" si="18"/>
        <v>54643.082999999999</v>
      </c>
      <c r="BD104" s="6">
        <f t="shared" si="18"/>
        <v>53939.183999999994</v>
      </c>
      <c r="BE104" s="6">
        <f t="shared" si="18"/>
        <v>53235.284999999996</v>
      </c>
      <c r="BF104" s="6">
        <f t="shared" si="18"/>
        <v>52531.385999999991</v>
      </c>
      <c r="BG104" s="6">
        <f t="shared" si="18"/>
        <v>51827.495999999999</v>
      </c>
      <c r="BH104" s="6">
        <f t="shared" si="18"/>
        <v>98124.588000000003</v>
      </c>
      <c r="BI104" s="6">
        <f t="shared" si="18"/>
        <v>97420.689000000013</v>
      </c>
      <c r="BJ104" s="6">
        <f t="shared" si="18"/>
        <v>200861.99</v>
      </c>
      <c r="BK104" s="6">
        <f t="shared" si="18"/>
        <v>0</v>
      </c>
      <c r="BL104" s="6">
        <f t="shared" si="18"/>
        <v>0</v>
      </c>
      <c r="BM104" s="6">
        <f t="shared" si="18"/>
        <v>0</v>
      </c>
      <c r="BN104" s="6">
        <f t="shared" si="18"/>
        <v>0</v>
      </c>
      <c r="BO104" s="6">
        <f t="shared" ref="BO104:CT104" si="19">BO102-BO103</f>
        <v>0</v>
      </c>
      <c r="BP104" s="6">
        <f t="shared" si="19"/>
        <v>0</v>
      </c>
      <c r="BQ104" s="6">
        <f t="shared" si="19"/>
        <v>0</v>
      </c>
      <c r="BR104" s="6">
        <f t="shared" si="19"/>
        <v>0</v>
      </c>
      <c r="BS104" s="6">
        <f t="shared" si="19"/>
        <v>0</v>
      </c>
      <c r="BT104" s="6">
        <f t="shared" si="19"/>
        <v>0</v>
      </c>
      <c r="BU104" s="6">
        <f t="shared" si="19"/>
        <v>0</v>
      </c>
      <c r="BV104" s="6">
        <f t="shared" si="19"/>
        <v>0</v>
      </c>
      <c r="BW104" s="6">
        <f t="shared" si="19"/>
        <v>0</v>
      </c>
      <c r="BX104" s="6">
        <f t="shared" si="19"/>
        <v>0</v>
      </c>
      <c r="BY104" s="6">
        <f t="shared" si="19"/>
        <v>0</v>
      </c>
      <c r="BZ104" s="6">
        <f t="shared" si="19"/>
        <v>0</v>
      </c>
      <c r="CA104" s="6">
        <f t="shared" si="19"/>
        <v>0</v>
      </c>
      <c r="CB104" s="6">
        <f t="shared" si="19"/>
        <v>0</v>
      </c>
      <c r="CC104" s="6">
        <f t="shared" si="19"/>
        <v>0</v>
      </c>
      <c r="CD104" s="6">
        <f t="shared" si="19"/>
        <v>0</v>
      </c>
      <c r="CE104" s="6">
        <f t="shared" si="19"/>
        <v>0</v>
      </c>
      <c r="CF104" s="6">
        <f t="shared" si="19"/>
        <v>0</v>
      </c>
      <c r="CG104" s="6">
        <f t="shared" si="19"/>
        <v>0</v>
      </c>
      <c r="CH104" s="37">
        <f t="shared" si="19"/>
        <v>0</v>
      </c>
    </row>
    <row r="105" spans="1:86" ht="15" customHeight="1" x14ac:dyDescent="0.25">
      <c r="A105" s="2" t="s">
        <v>29</v>
      </c>
      <c r="B105" s="7">
        <f t="shared" si="9"/>
        <v>2951665.9260000009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f t="shared" ref="L105:Z105" si="20">MAX(0,L104)*0.4</f>
        <v>12418.1296</v>
      </c>
      <c r="M105" s="6">
        <f t="shared" si="20"/>
        <v>8251.3296000000009</v>
      </c>
      <c r="N105" s="6">
        <f t="shared" si="20"/>
        <v>8251.3296000000009</v>
      </c>
      <c r="O105" s="6">
        <f t="shared" si="20"/>
        <v>8251.3296000000009</v>
      </c>
      <c r="P105" s="6">
        <f t="shared" si="20"/>
        <v>5251.3296000000009</v>
      </c>
      <c r="Q105" s="6">
        <f t="shared" si="20"/>
        <v>5251.3296000000009</v>
      </c>
      <c r="R105" s="6">
        <f t="shared" si="20"/>
        <v>14573.227200000001</v>
      </c>
      <c r="S105" s="6">
        <f t="shared" si="20"/>
        <v>23895.124799999998</v>
      </c>
      <c r="T105" s="6">
        <f t="shared" si="20"/>
        <v>33217.022400000002</v>
      </c>
      <c r="U105" s="6">
        <f t="shared" si="20"/>
        <v>39817.195999999996</v>
      </c>
      <c r="V105" s="6">
        <f t="shared" si="20"/>
        <v>50174.864000000001</v>
      </c>
      <c r="W105" s="6">
        <f t="shared" si="20"/>
        <v>60532.524000000005</v>
      </c>
      <c r="X105" s="6">
        <f t="shared" si="20"/>
        <v>70890.183999999994</v>
      </c>
      <c r="Y105" s="6">
        <f t="shared" si="20"/>
        <v>81247.847999999998</v>
      </c>
      <c r="Z105" s="6">
        <f t="shared" si="20"/>
        <v>91605.516000000003</v>
      </c>
      <c r="AA105" s="6">
        <f t="shared" ref="AA105:AM105" si="21">MAX(0,AA104)*0.45</f>
        <v>114708.573</v>
      </c>
      <c r="AB105" s="6">
        <f t="shared" si="21"/>
        <v>126360.9495</v>
      </c>
      <c r="AC105" s="6">
        <f t="shared" si="21"/>
        <v>153598.32449999999</v>
      </c>
      <c r="AD105" s="6">
        <f t="shared" si="21"/>
        <v>113404.95450000001</v>
      </c>
      <c r="AE105" s="6">
        <f t="shared" si="21"/>
        <v>113756.90850000001</v>
      </c>
      <c r="AF105" s="6">
        <f t="shared" si="21"/>
        <v>114108.8535</v>
      </c>
      <c r="AG105" s="6">
        <f t="shared" si="21"/>
        <v>114460.80300000001</v>
      </c>
      <c r="AH105" s="6">
        <f t="shared" si="21"/>
        <v>114812.74800000001</v>
      </c>
      <c r="AI105" s="6">
        <f t="shared" si="21"/>
        <v>126817.06950000001</v>
      </c>
      <c r="AJ105" s="6">
        <f t="shared" si="21"/>
        <v>115516.65149999999</v>
      </c>
      <c r="AK105" s="6">
        <f t="shared" si="21"/>
        <v>104216.22900000001</v>
      </c>
      <c r="AL105" s="6">
        <f t="shared" si="21"/>
        <v>92915.806500000006</v>
      </c>
      <c r="AM105" s="6">
        <f t="shared" si="21"/>
        <v>81615.37950000001</v>
      </c>
      <c r="AN105" s="6">
        <f t="shared" ref="AN105:CG105" si="22">MAX(0,AN104)*0.5</f>
        <v>78127.735000000001</v>
      </c>
      <c r="AO105" s="6">
        <f t="shared" si="22"/>
        <v>65571.710000000006</v>
      </c>
      <c r="AP105" s="6">
        <f t="shared" si="22"/>
        <v>53015.679999999993</v>
      </c>
      <c r="AQ105" s="6">
        <f t="shared" si="22"/>
        <v>40459.660000000003</v>
      </c>
      <c r="AR105" s="6">
        <f t="shared" si="22"/>
        <v>28388.2215</v>
      </c>
      <c r="AS105" s="6">
        <f t="shared" si="22"/>
        <v>68297.05</v>
      </c>
      <c r="AT105" s="6">
        <f t="shared" si="22"/>
        <v>55349.975000000006</v>
      </c>
      <c r="AU105" s="6">
        <f t="shared" si="22"/>
        <v>30137.137500000001</v>
      </c>
      <c r="AV105" s="6">
        <f t="shared" si="22"/>
        <v>29785.187999999998</v>
      </c>
      <c r="AW105" s="6">
        <f t="shared" si="22"/>
        <v>29433.234</v>
      </c>
      <c r="AX105" s="6">
        <f t="shared" si="22"/>
        <v>29081.288999999997</v>
      </c>
      <c r="AY105" s="6">
        <f t="shared" si="22"/>
        <v>28729.339499999998</v>
      </c>
      <c r="AZ105" s="6">
        <f t="shared" si="22"/>
        <v>28377.39</v>
      </c>
      <c r="BA105" s="6">
        <f t="shared" si="22"/>
        <v>28025.440499999997</v>
      </c>
      <c r="BB105" s="6">
        <f t="shared" si="22"/>
        <v>27673.490999999998</v>
      </c>
      <c r="BC105" s="6">
        <f t="shared" si="22"/>
        <v>27321.541499999999</v>
      </c>
      <c r="BD105" s="6">
        <f t="shared" si="22"/>
        <v>26969.591999999997</v>
      </c>
      <c r="BE105" s="6">
        <f t="shared" si="22"/>
        <v>26617.642499999998</v>
      </c>
      <c r="BF105" s="6">
        <f t="shared" si="22"/>
        <v>26265.692999999996</v>
      </c>
      <c r="BG105" s="6">
        <f t="shared" si="22"/>
        <v>25913.748</v>
      </c>
      <c r="BH105" s="6">
        <f t="shared" si="22"/>
        <v>49062.294000000002</v>
      </c>
      <c r="BI105" s="6">
        <f t="shared" si="22"/>
        <v>48710.344500000007</v>
      </c>
      <c r="BJ105" s="6">
        <f t="shared" si="22"/>
        <v>100430.995</v>
      </c>
      <c r="BK105" s="6">
        <f t="shared" si="22"/>
        <v>0</v>
      </c>
      <c r="BL105" s="6">
        <f t="shared" si="22"/>
        <v>0</v>
      </c>
      <c r="BM105" s="6">
        <f t="shared" si="22"/>
        <v>0</v>
      </c>
      <c r="BN105" s="6">
        <f t="shared" si="22"/>
        <v>0</v>
      </c>
      <c r="BO105" s="6">
        <f t="shared" si="22"/>
        <v>0</v>
      </c>
      <c r="BP105" s="6">
        <f t="shared" si="22"/>
        <v>0</v>
      </c>
      <c r="BQ105" s="6">
        <f t="shared" si="22"/>
        <v>0</v>
      </c>
      <c r="BR105" s="6">
        <f t="shared" si="22"/>
        <v>0</v>
      </c>
      <c r="BS105" s="6">
        <f t="shared" si="22"/>
        <v>0</v>
      </c>
      <c r="BT105" s="6">
        <f t="shared" si="22"/>
        <v>0</v>
      </c>
      <c r="BU105" s="6">
        <f t="shared" si="22"/>
        <v>0</v>
      </c>
      <c r="BV105" s="6">
        <f t="shared" si="22"/>
        <v>0</v>
      </c>
      <c r="BW105" s="6">
        <f t="shared" si="22"/>
        <v>0</v>
      </c>
      <c r="BX105" s="6">
        <f t="shared" si="22"/>
        <v>0</v>
      </c>
      <c r="BY105" s="6">
        <f t="shared" si="22"/>
        <v>0</v>
      </c>
      <c r="BZ105" s="6">
        <f t="shared" si="22"/>
        <v>0</v>
      </c>
      <c r="CA105" s="6">
        <f t="shared" si="22"/>
        <v>0</v>
      </c>
      <c r="CB105" s="6">
        <f t="shared" si="22"/>
        <v>0</v>
      </c>
      <c r="CC105" s="6">
        <f t="shared" si="22"/>
        <v>0</v>
      </c>
      <c r="CD105" s="6">
        <f t="shared" si="22"/>
        <v>0</v>
      </c>
      <c r="CE105" s="6">
        <f t="shared" si="22"/>
        <v>0</v>
      </c>
      <c r="CF105" s="6">
        <f t="shared" si="22"/>
        <v>0</v>
      </c>
      <c r="CG105" s="6">
        <f t="shared" si="22"/>
        <v>0</v>
      </c>
      <c r="CH105" s="37">
        <f>MAX(0,CH104)*$B$95</f>
        <v>0</v>
      </c>
    </row>
    <row r="106" spans="1:86" ht="15" customHeight="1" x14ac:dyDescent="0.25">
      <c r="A106" s="2" t="s">
        <v>30</v>
      </c>
      <c r="B106" s="7">
        <f t="shared" ref="B106:AG106" si="23">B104-B105</f>
        <v>3538767.4570000004</v>
      </c>
      <c r="C106" s="6">
        <f t="shared" si="23"/>
        <v>0</v>
      </c>
      <c r="D106" s="6">
        <f t="shared" si="23"/>
        <v>0</v>
      </c>
      <c r="E106" s="6">
        <f t="shared" si="23"/>
        <v>0</v>
      </c>
      <c r="F106" s="6">
        <f t="shared" si="23"/>
        <v>0</v>
      </c>
      <c r="G106" s="6">
        <f t="shared" si="23"/>
        <v>0</v>
      </c>
      <c r="H106" s="6">
        <f t="shared" si="23"/>
        <v>0</v>
      </c>
      <c r="I106" s="6">
        <f t="shared" si="23"/>
        <v>0</v>
      </c>
      <c r="J106" s="6">
        <f t="shared" si="23"/>
        <v>0</v>
      </c>
      <c r="K106" s="6">
        <f t="shared" si="23"/>
        <v>0</v>
      </c>
      <c r="L106" s="6">
        <f t="shared" si="23"/>
        <v>18627.1944</v>
      </c>
      <c r="M106" s="6">
        <f t="shared" si="23"/>
        <v>12376.9944</v>
      </c>
      <c r="N106" s="6">
        <f t="shared" si="23"/>
        <v>12376.9944</v>
      </c>
      <c r="O106" s="6">
        <f t="shared" si="23"/>
        <v>12376.9944</v>
      </c>
      <c r="P106" s="6">
        <f t="shared" si="23"/>
        <v>7876.9943999999996</v>
      </c>
      <c r="Q106" s="6">
        <f t="shared" si="23"/>
        <v>7876.9943999999996</v>
      </c>
      <c r="R106" s="6">
        <f t="shared" si="23"/>
        <v>21859.840799999998</v>
      </c>
      <c r="S106" s="6">
        <f t="shared" si="23"/>
        <v>35842.687199999993</v>
      </c>
      <c r="T106" s="6">
        <f t="shared" si="23"/>
        <v>49825.533599999995</v>
      </c>
      <c r="U106" s="6">
        <f t="shared" si="23"/>
        <v>59725.793999999994</v>
      </c>
      <c r="V106" s="6">
        <f t="shared" si="23"/>
        <v>75262.296000000002</v>
      </c>
      <c r="W106" s="6">
        <f t="shared" si="23"/>
        <v>90798.785999999993</v>
      </c>
      <c r="X106" s="6">
        <f t="shared" si="23"/>
        <v>106335.276</v>
      </c>
      <c r="Y106" s="6">
        <f t="shared" si="23"/>
        <v>121871.772</v>
      </c>
      <c r="Z106" s="6">
        <f t="shared" si="23"/>
        <v>137408.27399999998</v>
      </c>
      <c r="AA106" s="6">
        <f t="shared" si="23"/>
        <v>140199.367</v>
      </c>
      <c r="AB106" s="6">
        <f t="shared" si="23"/>
        <v>154441.1605</v>
      </c>
      <c r="AC106" s="6">
        <f t="shared" si="23"/>
        <v>187731.2855</v>
      </c>
      <c r="AD106" s="6">
        <f t="shared" si="23"/>
        <v>138606.05550000002</v>
      </c>
      <c r="AE106" s="6">
        <f t="shared" si="23"/>
        <v>139036.22149999999</v>
      </c>
      <c r="AF106" s="6">
        <f t="shared" si="23"/>
        <v>139466.37649999998</v>
      </c>
      <c r="AG106" s="6">
        <f t="shared" si="23"/>
        <v>139896.53700000001</v>
      </c>
      <c r="AH106" s="6">
        <f t="shared" ref="AH106:BM106" si="24">AH104-AH105</f>
        <v>140326.69199999998</v>
      </c>
      <c r="AI106" s="6">
        <f t="shared" si="24"/>
        <v>154998.64050000001</v>
      </c>
      <c r="AJ106" s="6">
        <f t="shared" si="24"/>
        <v>141187.01850000001</v>
      </c>
      <c r="AK106" s="6">
        <f t="shared" si="24"/>
        <v>127375.39099999999</v>
      </c>
      <c r="AL106" s="6">
        <f t="shared" si="24"/>
        <v>113563.7635</v>
      </c>
      <c r="AM106" s="6">
        <f t="shared" si="24"/>
        <v>99752.130499999999</v>
      </c>
      <c r="AN106" s="6">
        <f t="shared" si="24"/>
        <v>78127.735000000001</v>
      </c>
      <c r="AO106" s="6">
        <f t="shared" si="24"/>
        <v>65571.710000000006</v>
      </c>
      <c r="AP106" s="6">
        <f t="shared" si="24"/>
        <v>53015.679999999993</v>
      </c>
      <c r="AQ106" s="6">
        <f t="shared" si="24"/>
        <v>40459.660000000003</v>
      </c>
      <c r="AR106" s="6">
        <f t="shared" si="24"/>
        <v>28388.2215</v>
      </c>
      <c r="AS106" s="6">
        <f t="shared" si="24"/>
        <v>68297.05</v>
      </c>
      <c r="AT106" s="6">
        <f t="shared" si="24"/>
        <v>55349.975000000006</v>
      </c>
      <c r="AU106" s="6">
        <f t="shared" si="24"/>
        <v>30137.137500000001</v>
      </c>
      <c r="AV106" s="6">
        <f t="shared" si="24"/>
        <v>29785.187999999998</v>
      </c>
      <c r="AW106" s="6">
        <f t="shared" si="24"/>
        <v>29433.234</v>
      </c>
      <c r="AX106" s="6">
        <f t="shared" si="24"/>
        <v>29081.288999999997</v>
      </c>
      <c r="AY106" s="6">
        <f t="shared" si="24"/>
        <v>28729.339499999998</v>
      </c>
      <c r="AZ106" s="6">
        <f t="shared" si="24"/>
        <v>28377.39</v>
      </c>
      <c r="BA106" s="6">
        <f t="shared" si="24"/>
        <v>28025.440499999997</v>
      </c>
      <c r="BB106" s="6">
        <f t="shared" si="24"/>
        <v>27673.490999999998</v>
      </c>
      <c r="BC106" s="6">
        <f t="shared" si="24"/>
        <v>27321.541499999999</v>
      </c>
      <c r="BD106" s="6">
        <f t="shared" si="24"/>
        <v>26969.591999999997</v>
      </c>
      <c r="BE106" s="6">
        <f t="shared" si="24"/>
        <v>26617.642499999998</v>
      </c>
      <c r="BF106" s="6">
        <f t="shared" si="24"/>
        <v>26265.692999999996</v>
      </c>
      <c r="BG106" s="6">
        <f t="shared" si="24"/>
        <v>25913.748</v>
      </c>
      <c r="BH106" s="6">
        <f t="shared" si="24"/>
        <v>49062.294000000002</v>
      </c>
      <c r="BI106" s="6">
        <f t="shared" si="24"/>
        <v>48710.344500000007</v>
      </c>
      <c r="BJ106" s="6">
        <f t="shared" si="24"/>
        <v>100430.995</v>
      </c>
      <c r="BK106" s="6">
        <f t="shared" si="24"/>
        <v>0</v>
      </c>
      <c r="BL106" s="6">
        <f t="shared" si="24"/>
        <v>0</v>
      </c>
      <c r="BM106" s="6">
        <f t="shared" si="24"/>
        <v>0</v>
      </c>
      <c r="BN106" s="6">
        <f t="shared" ref="BN106:CS106" si="25">BN104-BN105</f>
        <v>0</v>
      </c>
      <c r="BO106" s="6">
        <f t="shared" si="25"/>
        <v>0</v>
      </c>
      <c r="BP106" s="6">
        <f t="shared" si="25"/>
        <v>0</v>
      </c>
      <c r="BQ106" s="6">
        <f t="shared" si="25"/>
        <v>0</v>
      </c>
      <c r="BR106" s="6">
        <f t="shared" si="25"/>
        <v>0</v>
      </c>
      <c r="BS106" s="6">
        <f t="shared" si="25"/>
        <v>0</v>
      </c>
      <c r="BT106" s="6">
        <f t="shared" si="25"/>
        <v>0</v>
      </c>
      <c r="BU106" s="6">
        <f t="shared" si="25"/>
        <v>0</v>
      </c>
      <c r="BV106" s="6">
        <f t="shared" si="25"/>
        <v>0</v>
      </c>
      <c r="BW106" s="6">
        <f t="shared" si="25"/>
        <v>0</v>
      </c>
      <c r="BX106" s="6">
        <f t="shared" si="25"/>
        <v>0</v>
      </c>
      <c r="BY106" s="6">
        <f t="shared" si="25"/>
        <v>0</v>
      </c>
      <c r="BZ106" s="6">
        <f t="shared" si="25"/>
        <v>0</v>
      </c>
      <c r="CA106" s="6">
        <f t="shared" si="25"/>
        <v>0</v>
      </c>
      <c r="CB106" s="6">
        <f t="shared" si="25"/>
        <v>0</v>
      </c>
      <c r="CC106" s="6">
        <f t="shared" si="25"/>
        <v>0</v>
      </c>
      <c r="CD106" s="6">
        <f t="shared" si="25"/>
        <v>0</v>
      </c>
      <c r="CE106" s="6">
        <f t="shared" si="25"/>
        <v>0</v>
      </c>
      <c r="CF106" s="6">
        <f t="shared" si="25"/>
        <v>0</v>
      </c>
      <c r="CG106" s="6">
        <f t="shared" si="25"/>
        <v>0</v>
      </c>
      <c r="CH106" s="37">
        <f t="shared" si="25"/>
        <v>0</v>
      </c>
    </row>
    <row r="107" spans="1:86" ht="15" customHeight="1" x14ac:dyDescent="0.25">
      <c r="A107" s="2" t="s">
        <v>31</v>
      </c>
      <c r="B107" s="7">
        <f t="shared" ref="B107:AG107" si="26">B103+B106</f>
        <v>4101960.074</v>
      </c>
      <c r="C107" s="6">
        <f t="shared" si="26"/>
        <v>0</v>
      </c>
      <c r="D107" s="6">
        <f t="shared" si="26"/>
        <v>0</v>
      </c>
      <c r="E107" s="6">
        <f t="shared" si="26"/>
        <v>0</v>
      </c>
      <c r="F107" s="6">
        <f t="shared" si="26"/>
        <v>0</v>
      </c>
      <c r="G107" s="6">
        <f t="shared" si="26"/>
        <v>0</v>
      </c>
      <c r="H107" s="6">
        <f t="shared" si="26"/>
        <v>0</v>
      </c>
      <c r="I107" s="6">
        <f t="shared" si="26"/>
        <v>0</v>
      </c>
      <c r="J107" s="6">
        <f t="shared" si="26"/>
        <v>0</v>
      </c>
      <c r="K107" s="6">
        <f t="shared" si="26"/>
        <v>0</v>
      </c>
      <c r="L107" s="6">
        <f t="shared" si="26"/>
        <v>23132.2304</v>
      </c>
      <c r="M107" s="6">
        <f t="shared" si="26"/>
        <v>16882.0304</v>
      </c>
      <c r="N107" s="6">
        <f t="shared" si="26"/>
        <v>16882.0304</v>
      </c>
      <c r="O107" s="6">
        <f t="shared" si="26"/>
        <v>16882.0304</v>
      </c>
      <c r="P107" s="6">
        <f t="shared" si="26"/>
        <v>12382.0304</v>
      </c>
      <c r="Q107" s="6">
        <f t="shared" si="26"/>
        <v>12382.0304</v>
      </c>
      <c r="R107" s="6">
        <f t="shared" si="26"/>
        <v>28954.292799999999</v>
      </c>
      <c r="S107" s="6">
        <f t="shared" si="26"/>
        <v>45526.555199999995</v>
      </c>
      <c r="T107" s="6">
        <f t="shared" si="26"/>
        <v>62098.817599999995</v>
      </c>
      <c r="U107" s="6">
        <f t="shared" si="26"/>
        <v>72225.793999999994</v>
      </c>
      <c r="V107" s="6">
        <f t="shared" si="26"/>
        <v>87762.296000000002</v>
      </c>
      <c r="W107" s="6">
        <f t="shared" si="26"/>
        <v>103298.78599999999</v>
      </c>
      <c r="X107" s="6">
        <f t="shared" si="26"/>
        <v>118835.276</v>
      </c>
      <c r="Y107" s="6">
        <f t="shared" si="26"/>
        <v>134371.772</v>
      </c>
      <c r="Z107" s="6">
        <f t="shared" si="26"/>
        <v>149908.27399999998</v>
      </c>
      <c r="AA107" s="6">
        <f t="shared" si="26"/>
        <v>152699.367</v>
      </c>
      <c r="AB107" s="6">
        <f t="shared" si="26"/>
        <v>166941.1605</v>
      </c>
      <c r="AC107" s="6">
        <f t="shared" si="26"/>
        <v>200231.2855</v>
      </c>
      <c r="AD107" s="6">
        <f t="shared" si="26"/>
        <v>151106.05550000002</v>
      </c>
      <c r="AE107" s="6">
        <f t="shared" si="26"/>
        <v>151536.22149999999</v>
      </c>
      <c r="AF107" s="6">
        <f t="shared" si="26"/>
        <v>151966.37649999998</v>
      </c>
      <c r="AG107" s="6">
        <f t="shared" si="26"/>
        <v>152396.53700000001</v>
      </c>
      <c r="AH107" s="6">
        <f t="shared" ref="AH107:BM107" si="27">AH103+AH106</f>
        <v>152826.69199999998</v>
      </c>
      <c r="AI107" s="6">
        <f t="shared" si="27"/>
        <v>167498.64050000001</v>
      </c>
      <c r="AJ107" s="6">
        <f t="shared" si="27"/>
        <v>153687.01850000001</v>
      </c>
      <c r="AK107" s="6">
        <f t="shared" si="27"/>
        <v>139875.391</v>
      </c>
      <c r="AL107" s="6">
        <f t="shared" si="27"/>
        <v>126063.7635</v>
      </c>
      <c r="AM107" s="6">
        <f t="shared" si="27"/>
        <v>112252.1305</v>
      </c>
      <c r="AN107" s="6">
        <f t="shared" si="27"/>
        <v>90627.735000000001</v>
      </c>
      <c r="AO107" s="6">
        <f t="shared" si="27"/>
        <v>78071.710000000006</v>
      </c>
      <c r="AP107" s="6">
        <f t="shared" si="27"/>
        <v>65515.679999999993</v>
      </c>
      <c r="AQ107" s="6">
        <f t="shared" si="27"/>
        <v>52959.66</v>
      </c>
      <c r="AR107" s="6">
        <f t="shared" si="27"/>
        <v>39919.048500000004</v>
      </c>
      <c r="AS107" s="6">
        <f t="shared" si="27"/>
        <v>80797.05</v>
      </c>
      <c r="AT107" s="6">
        <f t="shared" si="27"/>
        <v>67849.975000000006</v>
      </c>
      <c r="AU107" s="6">
        <f t="shared" si="27"/>
        <v>42056.612500000003</v>
      </c>
      <c r="AV107" s="6">
        <f t="shared" si="27"/>
        <v>41626.451999999997</v>
      </c>
      <c r="AW107" s="6">
        <f t="shared" si="27"/>
        <v>41196.286</v>
      </c>
      <c r="AX107" s="6">
        <f t="shared" si="27"/>
        <v>40766.130999999994</v>
      </c>
      <c r="AY107" s="6">
        <f t="shared" si="27"/>
        <v>40335.970499999996</v>
      </c>
      <c r="AZ107" s="6">
        <f t="shared" si="27"/>
        <v>39905.81</v>
      </c>
      <c r="BA107" s="6">
        <f t="shared" si="27"/>
        <v>39475.6495</v>
      </c>
      <c r="BB107" s="6">
        <f t="shared" si="27"/>
        <v>39045.489000000001</v>
      </c>
      <c r="BC107" s="6">
        <f t="shared" si="27"/>
        <v>38615.328500000003</v>
      </c>
      <c r="BD107" s="6">
        <f t="shared" si="27"/>
        <v>38185.167999999998</v>
      </c>
      <c r="BE107" s="6">
        <f t="shared" si="27"/>
        <v>37755.0075</v>
      </c>
      <c r="BF107" s="6">
        <f t="shared" si="27"/>
        <v>37324.846999999994</v>
      </c>
      <c r="BG107" s="6">
        <f t="shared" si="27"/>
        <v>36894.692000000003</v>
      </c>
      <c r="BH107" s="6">
        <f t="shared" si="27"/>
        <v>59965.026000000005</v>
      </c>
      <c r="BI107" s="6">
        <f t="shared" si="27"/>
        <v>59534.865500000007</v>
      </c>
      <c r="BJ107" s="6">
        <f t="shared" si="27"/>
        <v>112930.995</v>
      </c>
      <c r="BK107" s="6">
        <f t="shared" si="27"/>
        <v>0</v>
      </c>
      <c r="BL107" s="6">
        <f t="shared" si="27"/>
        <v>0</v>
      </c>
      <c r="BM107" s="6">
        <f t="shared" si="27"/>
        <v>0</v>
      </c>
      <c r="BN107" s="6">
        <f t="shared" ref="BN107:CS107" si="28">BN103+BN106</f>
        <v>0</v>
      </c>
      <c r="BO107" s="6">
        <f t="shared" si="28"/>
        <v>0</v>
      </c>
      <c r="BP107" s="6">
        <f t="shared" si="28"/>
        <v>0</v>
      </c>
      <c r="BQ107" s="6">
        <f t="shared" si="28"/>
        <v>0</v>
      </c>
      <c r="BR107" s="6">
        <f t="shared" si="28"/>
        <v>0</v>
      </c>
      <c r="BS107" s="6">
        <f t="shared" si="28"/>
        <v>0</v>
      </c>
      <c r="BT107" s="6">
        <f t="shared" si="28"/>
        <v>0</v>
      </c>
      <c r="BU107" s="6">
        <f t="shared" si="28"/>
        <v>0</v>
      </c>
      <c r="BV107" s="6">
        <f t="shared" si="28"/>
        <v>0</v>
      </c>
      <c r="BW107" s="6">
        <f t="shared" si="28"/>
        <v>0</v>
      </c>
      <c r="BX107" s="6">
        <f t="shared" si="28"/>
        <v>0</v>
      </c>
      <c r="BY107" s="6">
        <f t="shared" si="28"/>
        <v>0</v>
      </c>
      <c r="BZ107" s="6">
        <f t="shared" si="28"/>
        <v>0</v>
      </c>
      <c r="CA107" s="6">
        <f t="shared" si="28"/>
        <v>0</v>
      </c>
      <c r="CB107" s="6">
        <f t="shared" si="28"/>
        <v>0</v>
      </c>
      <c r="CC107" s="6">
        <f t="shared" si="28"/>
        <v>0</v>
      </c>
      <c r="CD107" s="6">
        <f t="shared" si="28"/>
        <v>0</v>
      </c>
      <c r="CE107" s="6">
        <f t="shared" si="28"/>
        <v>0</v>
      </c>
      <c r="CF107" s="6">
        <f t="shared" si="28"/>
        <v>0</v>
      </c>
      <c r="CG107" s="6">
        <f t="shared" si="28"/>
        <v>0</v>
      </c>
      <c r="CH107" s="37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