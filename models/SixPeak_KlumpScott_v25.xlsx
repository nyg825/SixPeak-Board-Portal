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D9273D34-1B48-404E-A4B1-39D38F3E0CF1}" xr6:coauthVersionLast="47" xr6:coauthVersionMax="47" xr10:uidLastSave="{00000000-0000-0000-0000-000000000000}"/>
  <bookViews>
    <workbookView xWindow="4275" yWindow="510" windowWidth="28515" windowHeight="20310" tabRatio="500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D22" i="13"/>
  <c r="B22" i="13"/>
  <c r="B21" i="13"/>
  <c r="D21" i="13" s="1"/>
  <c r="B15" i="13"/>
  <c r="D15" i="13" s="1"/>
  <c r="D14" i="13"/>
  <c r="B14" i="13"/>
  <c r="D9" i="13"/>
  <c r="B8" i="13"/>
  <c r="B7" i="13"/>
  <c r="BO105" i="12"/>
  <c r="CA104" i="12"/>
  <c r="CH103" i="12"/>
  <c r="CG103" i="12"/>
  <c r="CF103" i="12"/>
  <c r="J20" i="12" s="1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F20" i="12" s="1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O104" i="12" s="1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CH102" i="12"/>
  <c r="CG102" i="12"/>
  <c r="CF102" i="12"/>
  <c r="CE102" i="12"/>
  <c r="CE104" i="12" s="1"/>
  <c r="CE105" i="12" s="1"/>
  <c r="CD102" i="12"/>
  <c r="CD104" i="12" s="1"/>
  <c r="CC102" i="12"/>
  <c r="CB102" i="12"/>
  <c r="CA102" i="12"/>
  <c r="BZ102" i="12"/>
  <c r="BY102" i="12"/>
  <c r="BY104" i="12" s="1"/>
  <c r="BX102" i="12"/>
  <c r="BW102" i="12"/>
  <c r="BW104" i="12" s="1"/>
  <c r="BW105" i="12" s="1"/>
  <c r="BV102" i="12"/>
  <c r="BV104" i="12" s="1"/>
  <c r="BU102" i="12"/>
  <c r="BT102" i="12"/>
  <c r="BS102" i="12"/>
  <c r="BR102" i="12"/>
  <c r="BQ102" i="12"/>
  <c r="BQ104" i="12" s="1"/>
  <c r="BP102" i="12"/>
  <c r="BO102" i="12"/>
  <c r="BO104" i="12" s="1"/>
  <c r="BN102" i="12"/>
  <c r="BN104" i="12" s="1"/>
  <c r="BM102" i="12"/>
  <c r="BL102" i="12"/>
  <c r="BK102" i="12"/>
  <c r="BJ102" i="12"/>
  <c r="BI102" i="12"/>
  <c r="BI104" i="12" s="1"/>
  <c r="BH102" i="12"/>
  <c r="BG102" i="12"/>
  <c r="BG104" i="12" s="1"/>
  <c r="BF102" i="12"/>
  <c r="BF104" i="12" s="1"/>
  <c r="BE102" i="12"/>
  <c r="BD102" i="12"/>
  <c r="BC102" i="12"/>
  <c r="BB102" i="12"/>
  <c r="BA102" i="12"/>
  <c r="AZ102" i="12"/>
  <c r="AY102" i="12"/>
  <c r="AY104" i="12" s="1"/>
  <c r="AX102" i="12"/>
  <c r="AX104" i="12" s="1"/>
  <c r="AW102" i="12"/>
  <c r="AV102" i="12"/>
  <c r="AU102" i="12"/>
  <c r="AT102" i="12"/>
  <c r="AS102" i="12"/>
  <c r="AS104" i="12" s="1"/>
  <c r="AR102" i="12"/>
  <c r="AQ102" i="12"/>
  <c r="AQ104" i="12" s="1"/>
  <c r="AQ105" i="12" s="1"/>
  <c r="AP102" i="12"/>
  <c r="AP104" i="12" s="1"/>
  <c r="AO102" i="12"/>
  <c r="AN102" i="12"/>
  <c r="AM102" i="12"/>
  <c r="AL102" i="12"/>
  <c r="AK102" i="12"/>
  <c r="AK104" i="12" s="1"/>
  <c r="AJ102" i="12"/>
  <c r="AI102" i="12"/>
  <c r="AI104" i="12" s="1"/>
  <c r="AI105" i="12" s="1"/>
  <c r="AH102" i="12"/>
  <c r="AH104" i="12" s="1"/>
  <c r="AG102" i="12"/>
  <c r="AF102" i="12"/>
  <c r="AE102" i="12"/>
  <c r="AD102" i="12"/>
  <c r="AC102" i="12"/>
  <c r="AC104" i="12" s="1"/>
  <c r="AB102" i="12"/>
  <c r="AA102" i="12"/>
  <c r="AA104" i="12" s="1"/>
  <c r="AA105" i="12" s="1"/>
  <c r="Z102" i="12"/>
  <c r="Y102" i="12"/>
  <c r="X102" i="12"/>
  <c r="W102" i="12"/>
  <c r="V102" i="12"/>
  <c r="U102" i="12"/>
  <c r="U104" i="12" s="1"/>
  <c r="T102" i="12"/>
  <c r="S102" i="12"/>
  <c r="S104" i="12" s="1"/>
  <c r="S105" i="12" s="1"/>
  <c r="R102" i="12"/>
  <c r="Q102" i="12"/>
  <c r="P102" i="12"/>
  <c r="O102" i="12"/>
  <c r="N102" i="12"/>
  <c r="M102" i="12"/>
  <c r="L102" i="12"/>
  <c r="K102" i="12"/>
  <c r="K104" i="12" s="1"/>
  <c r="K106" i="12" s="1"/>
  <c r="J102" i="12"/>
  <c r="I102" i="12"/>
  <c r="H102" i="12"/>
  <c r="G102" i="12"/>
  <c r="F102" i="12"/>
  <c r="E102" i="12"/>
  <c r="E104" i="12" s="1"/>
  <c r="E106" i="12" s="1"/>
  <c r="D102" i="12"/>
  <c r="C102" i="12"/>
  <c r="C104" i="12" s="1"/>
  <c r="B101" i="12"/>
  <c r="B100" i="12"/>
  <c r="B99" i="12"/>
  <c r="G47" i="12"/>
  <c r="G46" i="12"/>
  <c r="G45" i="12"/>
  <c r="G44" i="12"/>
  <c r="G48" i="12" s="1"/>
  <c r="C22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C25" i="11"/>
  <c r="C26" i="11" s="1"/>
  <c r="C22" i="11"/>
  <c r="C23" i="11" s="1"/>
  <c r="C19" i="11"/>
  <c r="CH15" i="11"/>
  <c r="CG15" i="11"/>
  <c r="CF15" i="11"/>
  <c r="CE15" i="11"/>
  <c r="CD15" i="11"/>
  <c r="CC15" i="11"/>
  <c r="CB15" i="11"/>
  <c r="CA15" i="11"/>
  <c r="CA140" i="2" s="1"/>
  <c r="BZ15" i="11"/>
  <c r="BY15" i="11"/>
  <c r="BX15" i="11"/>
  <c r="BW15" i="11"/>
  <c r="BV15" i="11"/>
  <c r="BU15" i="11"/>
  <c r="BT15" i="11"/>
  <c r="BS15" i="11"/>
  <c r="BS140" i="2" s="1"/>
  <c r="BR15" i="11"/>
  <c r="BQ15" i="11"/>
  <c r="BP15" i="11"/>
  <c r="BO15" i="11"/>
  <c r="BN15" i="11"/>
  <c r="BM15" i="11"/>
  <c r="BL15" i="11"/>
  <c r="BK15" i="11"/>
  <c r="BK140" i="2" s="1"/>
  <c r="BJ15" i="11"/>
  <c r="BI15" i="11"/>
  <c r="BH15" i="11"/>
  <c r="BG15" i="11"/>
  <c r="BF15" i="11"/>
  <c r="BE15" i="11"/>
  <c r="BD15" i="11"/>
  <c r="BC15" i="11"/>
  <c r="BC140" i="2" s="1"/>
  <c r="BB15" i="11"/>
  <c r="BA15" i="11"/>
  <c r="AZ15" i="11"/>
  <c r="AY15" i="11"/>
  <c r="AX15" i="11"/>
  <c r="AW15" i="11"/>
  <c r="AV15" i="11"/>
  <c r="AU15" i="11"/>
  <c r="AU140" i="2" s="1"/>
  <c r="AT15" i="11"/>
  <c r="AS15" i="11"/>
  <c r="AR15" i="11"/>
  <c r="AQ15" i="11"/>
  <c r="AP15" i="11"/>
  <c r="AO15" i="11"/>
  <c r="AN15" i="11"/>
  <c r="AM15" i="11"/>
  <c r="AM140" i="2" s="1"/>
  <c r="AL15" i="11"/>
  <c r="AK15" i="11"/>
  <c r="AJ15" i="11"/>
  <c r="AI15" i="11"/>
  <c r="AH15" i="11"/>
  <c r="AG15" i="11"/>
  <c r="AF15" i="11"/>
  <c r="AE15" i="11"/>
  <c r="AE140" i="2" s="1"/>
  <c r="AD15" i="11"/>
  <c r="AC15" i="11"/>
  <c r="AB15" i="11"/>
  <c r="AA15" i="11"/>
  <c r="Z15" i="11"/>
  <c r="Y15" i="11"/>
  <c r="X15" i="11"/>
  <c r="W15" i="11"/>
  <c r="W140" i="2" s="1"/>
  <c r="V15" i="11"/>
  <c r="U15" i="11"/>
  <c r="T15" i="11"/>
  <c r="S15" i="11"/>
  <c r="R15" i="11"/>
  <c r="Q15" i="11"/>
  <c r="P15" i="11"/>
  <c r="O15" i="11"/>
  <c r="O140" i="2" s="1"/>
  <c r="N15" i="11"/>
  <c r="M15" i="11"/>
  <c r="L15" i="11"/>
  <c r="K15" i="11"/>
  <c r="J15" i="11"/>
  <c r="I15" i="11"/>
  <c r="H15" i="11"/>
  <c r="G15" i="11"/>
  <c r="G140" i="2" s="1"/>
  <c r="F15" i="11"/>
  <c r="E15" i="11"/>
  <c r="D15" i="11"/>
  <c r="C15" i="11"/>
  <c r="CH14" i="11"/>
  <c r="CG14" i="11"/>
  <c r="CF14" i="11"/>
  <c r="CE14" i="11"/>
  <c r="CE139" i="2" s="1"/>
  <c r="CD14" i="11"/>
  <c r="CC14" i="11"/>
  <c r="CB14" i="11"/>
  <c r="CA14" i="11"/>
  <c r="BZ14" i="11"/>
  <c r="BY14" i="11"/>
  <c r="BX14" i="11"/>
  <c r="BW14" i="11"/>
  <c r="BW139" i="2" s="1"/>
  <c r="BV14" i="11"/>
  <c r="BU14" i="11"/>
  <c r="BT14" i="11"/>
  <c r="BS14" i="11"/>
  <c r="BR14" i="11"/>
  <c r="BQ14" i="11"/>
  <c r="BP14" i="11"/>
  <c r="BO14" i="11"/>
  <c r="BO139" i="2" s="1"/>
  <c r="BN14" i="11"/>
  <c r="BM14" i="11"/>
  <c r="BL14" i="11"/>
  <c r="BK14" i="11"/>
  <c r="BJ14" i="11"/>
  <c r="BI14" i="11"/>
  <c r="BH14" i="11"/>
  <c r="BG14" i="11"/>
  <c r="BG139" i="2" s="1"/>
  <c r="BF14" i="11"/>
  <c r="BE14" i="11"/>
  <c r="BD14" i="11"/>
  <c r="BC14" i="11"/>
  <c r="BB14" i="11"/>
  <c r="BA14" i="11"/>
  <c r="AZ14" i="11"/>
  <c r="AY14" i="11"/>
  <c r="AY139" i="2" s="1"/>
  <c r="AX14" i="11"/>
  <c r="AW14" i="11"/>
  <c r="AV14" i="11"/>
  <c r="AU14" i="11"/>
  <c r="AT14" i="11"/>
  <c r="AS14" i="11"/>
  <c r="AR14" i="11"/>
  <c r="AQ14" i="11"/>
  <c r="AQ139" i="2" s="1"/>
  <c r="AP14" i="11"/>
  <c r="AO14" i="11"/>
  <c r="AN14" i="11"/>
  <c r="AM14" i="11"/>
  <c r="AL14" i="11"/>
  <c r="AK14" i="11"/>
  <c r="AJ14" i="11"/>
  <c r="AI14" i="11"/>
  <c r="AI139" i="2" s="1"/>
  <c r="AH14" i="11"/>
  <c r="AG14" i="11"/>
  <c r="AF14" i="11"/>
  <c r="AE14" i="11"/>
  <c r="AD14" i="11"/>
  <c r="AC14" i="11"/>
  <c r="AB14" i="11"/>
  <c r="AA14" i="11"/>
  <c r="AA139" i="2" s="1"/>
  <c r="Z14" i="11"/>
  <c r="Y14" i="11"/>
  <c r="X14" i="11"/>
  <c r="W14" i="11"/>
  <c r="V14" i="11"/>
  <c r="U14" i="11"/>
  <c r="T14" i="11"/>
  <c r="S14" i="11"/>
  <c r="S139" i="2" s="1"/>
  <c r="R14" i="11"/>
  <c r="Q14" i="11"/>
  <c r="P14" i="11"/>
  <c r="O14" i="11"/>
  <c r="N14" i="11"/>
  <c r="M14" i="11"/>
  <c r="L14" i="11"/>
  <c r="K14" i="11"/>
  <c r="K139" i="2" s="1"/>
  <c r="J14" i="11"/>
  <c r="I14" i="11"/>
  <c r="H14" i="11"/>
  <c r="G14" i="11"/>
  <c r="F14" i="11"/>
  <c r="E14" i="11"/>
  <c r="D14" i="11"/>
  <c r="C14" i="11"/>
  <c r="C139" i="2" s="1"/>
  <c r="CH13" i="11"/>
  <c r="CG13" i="11"/>
  <c r="CF13" i="11"/>
  <c r="CE13" i="11"/>
  <c r="CD13" i="11"/>
  <c r="CC13" i="11"/>
  <c r="CB13" i="11"/>
  <c r="CA13" i="11"/>
  <c r="CA138" i="2" s="1"/>
  <c r="BZ13" i="11"/>
  <c r="BY13" i="11"/>
  <c r="BX13" i="11"/>
  <c r="BW13" i="11"/>
  <c r="BV13" i="11"/>
  <c r="BU13" i="11"/>
  <c r="BT13" i="11"/>
  <c r="BS13" i="11"/>
  <c r="BS138" i="2" s="1"/>
  <c r="BR13" i="11"/>
  <c r="BQ13" i="11"/>
  <c r="BP13" i="11"/>
  <c r="BO13" i="11"/>
  <c r="BN13" i="11"/>
  <c r="BM13" i="11"/>
  <c r="BL13" i="11"/>
  <c r="BK13" i="11"/>
  <c r="BK138" i="2" s="1"/>
  <c r="BJ13" i="11"/>
  <c r="BI13" i="11"/>
  <c r="BH13" i="11"/>
  <c r="BG13" i="11"/>
  <c r="BF13" i="11"/>
  <c r="BE13" i="11"/>
  <c r="BD13" i="11"/>
  <c r="BC13" i="11"/>
  <c r="BC138" i="2" s="1"/>
  <c r="BB13" i="11"/>
  <c r="BA13" i="11"/>
  <c r="AZ13" i="11"/>
  <c r="AY13" i="11"/>
  <c r="AX13" i="11"/>
  <c r="AW13" i="11"/>
  <c r="AV13" i="11"/>
  <c r="AU13" i="11"/>
  <c r="AU138" i="2" s="1"/>
  <c r="AT13" i="11"/>
  <c r="AS13" i="11"/>
  <c r="AR13" i="11"/>
  <c r="AQ13" i="11"/>
  <c r="AP13" i="11"/>
  <c r="AO13" i="11"/>
  <c r="AN13" i="11"/>
  <c r="AM13" i="11"/>
  <c r="AM138" i="2" s="1"/>
  <c r="AL13" i="11"/>
  <c r="AK13" i="11"/>
  <c r="AJ13" i="11"/>
  <c r="AI13" i="11"/>
  <c r="AH13" i="11"/>
  <c r="AG13" i="11"/>
  <c r="AF13" i="11"/>
  <c r="AE13" i="11"/>
  <c r="AE138" i="2" s="1"/>
  <c r="AD13" i="11"/>
  <c r="AC13" i="11"/>
  <c r="AB13" i="11"/>
  <c r="AA13" i="11"/>
  <c r="Z13" i="11"/>
  <c r="Y13" i="11"/>
  <c r="X13" i="11"/>
  <c r="W13" i="11"/>
  <c r="W138" i="2" s="1"/>
  <c r="V13" i="11"/>
  <c r="U13" i="11"/>
  <c r="T13" i="11"/>
  <c r="S13" i="11"/>
  <c r="R13" i="11"/>
  <c r="Q13" i="11"/>
  <c r="P13" i="11"/>
  <c r="O13" i="11"/>
  <c r="O138" i="2" s="1"/>
  <c r="N13" i="11"/>
  <c r="M13" i="11"/>
  <c r="L13" i="11"/>
  <c r="K13" i="11"/>
  <c r="J13" i="11"/>
  <c r="I13" i="11"/>
  <c r="H13" i="11"/>
  <c r="G13" i="11"/>
  <c r="G138" i="2" s="1"/>
  <c r="F13" i="11"/>
  <c r="E13" i="11"/>
  <c r="D13" i="11"/>
  <c r="C13" i="11"/>
  <c r="CH12" i="11"/>
  <c r="CG12" i="11"/>
  <c r="CF12" i="11"/>
  <c r="CE12" i="11"/>
  <c r="CE137" i="2" s="1"/>
  <c r="CD12" i="11"/>
  <c r="CC12" i="11"/>
  <c r="CB12" i="11"/>
  <c r="CA12" i="11"/>
  <c r="BZ12" i="11"/>
  <c r="BY12" i="11"/>
  <c r="BX12" i="11"/>
  <c r="BW12" i="11"/>
  <c r="BW137" i="2" s="1"/>
  <c r="BV12" i="11"/>
  <c r="BU12" i="11"/>
  <c r="BT12" i="11"/>
  <c r="BS12" i="11"/>
  <c r="BR12" i="11"/>
  <c r="BQ12" i="11"/>
  <c r="BP12" i="11"/>
  <c r="BO12" i="11"/>
  <c r="BO137" i="2" s="1"/>
  <c r="BN12" i="11"/>
  <c r="BM12" i="11"/>
  <c r="BL12" i="11"/>
  <c r="BK12" i="11"/>
  <c r="BJ12" i="11"/>
  <c r="BI12" i="11"/>
  <c r="BH12" i="11"/>
  <c r="BG12" i="11"/>
  <c r="BG137" i="2" s="1"/>
  <c r="BF12" i="11"/>
  <c r="BE12" i="11"/>
  <c r="BD12" i="11"/>
  <c r="BC12" i="11"/>
  <c r="BB12" i="11"/>
  <c r="BA12" i="11"/>
  <c r="AZ12" i="11"/>
  <c r="AY12" i="11"/>
  <c r="AY137" i="2" s="1"/>
  <c r="AX12" i="11"/>
  <c r="AW12" i="11"/>
  <c r="AV12" i="11"/>
  <c r="AU12" i="11"/>
  <c r="AT12" i="11"/>
  <c r="AS12" i="11"/>
  <c r="AR12" i="11"/>
  <c r="AQ12" i="11"/>
  <c r="AQ137" i="2" s="1"/>
  <c r="AP12" i="11"/>
  <c r="AO12" i="11"/>
  <c r="AN12" i="11"/>
  <c r="AM12" i="11"/>
  <c r="AL12" i="11"/>
  <c r="AK12" i="11"/>
  <c r="AJ12" i="11"/>
  <c r="AI12" i="11"/>
  <c r="AI137" i="2" s="1"/>
  <c r="AH12" i="11"/>
  <c r="AG12" i="11"/>
  <c r="AF12" i="11"/>
  <c r="AE12" i="11"/>
  <c r="AD12" i="11"/>
  <c r="AC12" i="11"/>
  <c r="AB12" i="11"/>
  <c r="AA12" i="11"/>
  <c r="AA137" i="2" s="1"/>
  <c r="Z12" i="11"/>
  <c r="Y12" i="11"/>
  <c r="X12" i="11"/>
  <c r="W12" i="11"/>
  <c r="V12" i="11"/>
  <c r="U12" i="11"/>
  <c r="T12" i="11"/>
  <c r="S12" i="11"/>
  <c r="S137" i="2" s="1"/>
  <c r="R12" i="11"/>
  <c r="Q12" i="11"/>
  <c r="P12" i="11"/>
  <c r="O12" i="11"/>
  <c r="N12" i="11"/>
  <c r="M12" i="11"/>
  <c r="L12" i="11"/>
  <c r="K12" i="11"/>
  <c r="K137" i="2" s="1"/>
  <c r="J12" i="11"/>
  <c r="I12" i="11"/>
  <c r="H12" i="11"/>
  <c r="G12" i="11"/>
  <c r="F12" i="11"/>
  <c r="E12" i="11"/>
  <c r="D12" i="11"/>
  <c r="C12" i="11"/>
  <c r="C137" i="2" s="1"/>
  <c r="CH11" i="11"/>
  <c r="CG11" i="11"/>
  <c r="CF11" i="11"/>
  <c r="CE11" i="11"/>
  <c r="CD11" i="11"/>
  <c r="CC11" i="11"/>
  <c r="CB11" i="11"/>
  <c r="CA11" i="11"/>
  <c r="CA136" i="2" s="1"/>
  <c r="BZ11" i="11"/>
  <c r="BY11" i="11"/>
  <c r="BX11" i="11"/>
  <c r="BW11" i="11"/>
  <c r="BV11" i="11"/>
  <c r="BU11" i="11"/>
  <c r="BT11" i="11"/>
  <c r="BS11" i="11"/>
  <c r="BS136" i="2" s="1"/>
  <c r="BR11" i="11"/>
  <c r="BQ11" i="11"/>
  <c r="BP11" i="11"/>
  <c r="BO11" i="11"/>
  <c r="BN11" i="11"/>
  <c r="BM11" i="11"/>
  <c r="BL11" i="11"/>
  <c r="BK11" i="11"/>
  <c r="BK136" i="2" s="1"/>
  <c r="BJ11" i="11"/>
  <c r="BI11" i="11"/>
  <c r="BH11" i="11"/>
  <c r="BG11" i="11"/>
  <c r="BF11" i="11"/>
  <c r="BE11" i="11"/>
  <c r="BD11" i="11"/>
  <c r="BC11" i="11"/>
  <c r="BC136" i="2" s="1"/>
  <c r="BB11" i="11"/>
  <c r="BA11" i="11"/>
  <c r="AZ11" i="11"/>
  <c r="AY11" i="11"/>
  <c r="AX11" i="11"/>
  <c r="AW11" i="11"/>
  <c r="AV11" i="11"/>
  <c r="AU11" i="11"/>
  <c r="AU136" i="2" s="1"/>
  <c r="AT11" i="11"/>
  <c r="AS11" i="11"/>
  <c r="AR11" i="11"/>
  <c r="AQ11" i="11"/>
  <c r="AP11" i="11"/>
  <c r="AO11" i="11"/>
  <c r="AN11" i="11"/>
  <c r="AM11" i="11"/>
  <c r="AM136" i="2" s="1"/>
  <c r="AL11" i="11"/>
  <c r="AK11" i="11"/>
  <c r="AJ11" i="11"/>
  <c r="AI11" i="11"/>
  <c r="AH11" i="11"/>
  <c r="AG11" i="11"/>
  <c r="AF11" i="11"/>
  <c r="AE11" i="11"/>
  <c r="AE136" i="2" s="1"/>
  <c r="AD11" i="11"/>
  <c r="AC11" i="11"/>
  <c r="AB11" i="11"/>
  <c r="AA11" i="11"/>
  <c r="Z11" i="11"/>
  <c r="Y11" i="11"/>
  <c r="X11" i="11"/>
  <c r="W11" i="11"/>
  <c r="W136" i="2" s="1"/>
  <c r="V11" i="11"/>
  <c r="U11" i="11"/>
  <c r="T11" i="11"/>
  <c r="S11" i="11"/>
  <c r="R11" i="11"/>
  <c r="Q11" i="11"/>
  <c r="P11" i="11"/>
  <c r="O11" i="11"/>
  <c r="O136" i="2" s="1"/>
  <c r="N11" i="11"/>
  <c r="M11" i="11"/>
  <c r="L11" i="11"/>
  <c r="K11" i="11"/>
  <c r="J11" i="11"/>
  <c r="I11" i="11"/>
  <c r="H11" i="11"/>
  <c r="G11" i="11"/>
  <c r="G136" i="2" s="1"/>
  <c r="F11" i="11"/>
  <c r="E11" i="11"/>
  <c r="D11" i="11"/>
  <c r="C11" i="11"/>
  <c r="CH10" i="11"/>
  <c r="CG10" i="11"/>
  <c r="CF10" i="11"/>
  <c r="CE10" i="11"/>
  <c r="CE135" i="2" s="1"/>
  <c r="CD10" i="11"/>
  <c r="CC10" i="11"/>
  <c r="CB10" i="11"/>
  <c r="CA10" i="11"/>
  <c r="BZ10" i="11"/>
  <c r="BY10" i="11"/>
  <c r="BX10" i="11"/>
  <c r="BW10" i="11"/>
  <c r="BW135" i="2" s="1"/>
  <c r="BV10" i="11"/>
  <c r="BU10" i="11"/>
  <c r="BT10" i="11"/>
  <c r="BS10" i="11"/>
  <c r="BR10" i="11"/>
  <c r="BQ10" i="11"/>
  <c r="BP10" i="11"/>
  <c r="BO10" i="11"/>
  <c r="BO135" i="2" s="1"/>
  <c r="BN10" i="11"/>
  <c r="BM10" i="11"/>
  <c r="BL10" i="11"/>
  <c r="BK10" i="11"/>
  <c r="BJ10" i="11"/>
  <c r="BI10" i="11"/>
  <c r="BH10" i="11"/>
  <c r="BG10" i="11"/>
  <c r="BG135" i="2" s="1"/>
  <c r="BF10" i="11"/>
  <c r="BE10" i="11"/>
  <c r="BD10" i="11"/>
  <c r="BC10" i="11"/>
  <c r="BB10" i="11"/>
  <c r="BA10" i="11"/>
  <c r="AZ10" i="11"/>
  <c r="AY10" i="11"/>
  <c r="AY135" i="2" s="1"/>
  <c r="AX10" i="11"/>
  <c r="AW10" i="11"/>
  <c r="AV10" i="11"/>
  <c r="AU10" i="11"/>
  <c r="AT10" i="11"/>
  <c r="AS10" i="11"/>
  <c r="AR10" i="11"/>
  <c r="AQ10" i="11"/>
  <c r="AQ135" i="2" s="1"/>
  <c r="AP10" i="11"/>
  <c r="AO10" i="11"/>
  <c r="AN10" i="11"/>
  <c r="AM10" i="11"/>
  <c r="AL10" i="11"/>
  <c r="AK10" i="11"/>
  <c r="AJ10" i="11"/>
  <c r="AI10" i="11"/>
  <c r="AI135" i="2" s="1"/>
  <c r="AH10" i="11"/>
  <c r="AG10" i="11"/>
  <c r="AF10" i="11"/>
  <c r="AE10" i="11"/>
  <c r="AD10" i="11"/>
  <c r="AC10" i="11"/>
  <c r="AB10" i="11"/>
  <c r="AA10" i="11"/>
  <c r="AA135" i="2" s="1"/>
  <c r="Z10" i="11"/>
  <c r="Y10" i="11"/>
  <c r="X10" i="11"/>
  <c r="W10" i="11"/>
  <c r="V10" i="11"/>
  <c r="U10" i="11"/>
  <c r="T10" i="11"/>
  <c r="T135" i="2" s="1"/>
  <c r="S10" i="11"/>
  <c r="S135" i="2" s="1"/>
  <c r="R10" i="11"/>
  <c r="Q10" i="11"/>
  <c r="P10" i="11"/>
  <c r="O10" i="11"/>
  <c r="N10" i="11"/>
  <c r="M10" i="11"/>
  <c r="L10" i="11"/>
  <c r="L135" i="2" s="1"/>
  <c r="K10" i="11"/>
  <c r="K135" i="2" s="1"/>
  <c r="J10" i="11"/>
  <c r="I10" i="11"/>
  <c r="H10" i="11"/>
  <c r="G10" i="11"/>
  <c r="F10" i="11"/>
  <c r="E10" i="11"/>
  <c r="D10" i="11"/>
  <c r="D135" i="2" s="1"/>
  <c r="C10" i="11"/>
  <c r="C135" i="2" s="1"/>
  <c r="CH9" i="11"/>
  <c r="CG9" i="11"/>
  <c r="CF9" i="11"/>
  <c r="CE9" i="11"/>
  <c r="CD9" i="11"/>
  <c r="CC9" i="11"/>
  <c r="CB9" i="11"/>
  <c r="CB134" i="2" s="1"/>
  <c r="CA9" i="11"/>
  <c r="CA134" i="2" s="1"/>
  <c r="BZ9" i="11"/>
  <c r="BY9" i="11"/>
  <c r="BX9" i="11"/>
  <c r="BW9" i="11"/>
  <c r="BV9" i="11"/>
  <c r="BU9" i="11"/>
  <c r="BT9" i="11"/>
  <c r="BT134" i="2" s="1"/>
  <c r="BS9" i="11"/>
  <c r="BS134" i="2" s="1"/>
  <c r="BR9" i="11"/>
  <c r="BQ9" i="11"/>
  <c r="BP9" i="11"/>
  <c r="BO9" i="11"/>
  <c r="BN9" i="11"/>
  <c r="BM9" i="11"/>
  <c r="BL9" i="11"/>
  <c r="BL134" i="2" s="1"/>
  <c r="BK9" i="11"/>
  <c r="BK134" i="2" s="1"/>
  <c r="BJ9" i="11"/>
  <c r="BI9" i="11"/>
  <c r="BH9" i="11"/>
  <c r="BG9" i="11"/>
  <c r="BF9" i="11"/>
  <c r="BE9" i="11"/>
  <c r="BD9" i="11"/>
  <c r="BD134" i="2" s="1"/>
  <c r="BC9" i="11"/>
  <c r="BC134" i="2" s="1"/>
  <c r="BB9" i="11"/>
  <c r="BA9" i="11"/>
  <c r="AZ9" i="11"/>
  <c r="AY9" i="11"/>
  <c r="AX9" i="11"/>
  <c r="AW9" i="11"/>
  <c r="AV9" i="11"/>
  <c r="AV134" i="2" s="1"/>
  <c r="AU9" i="11"/>
  <c r="AU134" i="2" s="1"/>
  <c r="AT9" i="11"/>
  <c r="AS9" i="11"/>
  <c r="AR9" i="11"/>
  <c r="AQ9" i="11"/>
  <c r="AP9" i="11"/>
  <c r="AO9" i="11"/>
  <c r="AN9" i="11"/>
  <c r="AN134" i="2" s="1"/>
  <c r="AM9" i="11"/>
  <c r="AM134" i="2" s="1"/>
  <c r="AL9" i="11"/>
  <c r="AK9" i="11"/>
  <c r="AJ9" i="11"/>
  <c r="AI9" i="11"/>
  <c r="AH9" i="11"/>
  <c r="AG9" i="11"/>
  <c r="AF9" i="11"/>
  <c r="AF134" i="2" s="1"/>
  <c r="AE9" i="11"/>
  <c r="AE134" i="2" s="1"/>
  <c r="AD9" i="11"/>
  <c r="AC9" i="11"/>
  <c r="AB9" i="11"/>
  <c r="AA9" i="11"/>
  <c r="Z9" i="11"/>
  <c r="Y9" i="11"/>
  <c r="X9" i="11"/>
  <c r="X134" i="2" s="1"/>
  <c r="W9" i="11"/>
  <c r="W134" i="2" s="1"/>
  <c r="V9" i="11"/>
  <c r="U9" i="11"/>
  <c r="T9" i="11"/>
  <c r="S9" i="11"/>
  <c r="R9" i="11"/>
  <c r="Q9" i="11"/>
  <c r="P9" i="11"/>
  <c r="P134" i="2" s="1"/>
  <c r="O9" i="11"/>
  <c r="O134" i="2" s="1"/>
  <c r="N9" i="11"/>
  <c r="M9" i="11"/>
  <c r="L9" i="11"/>
  <c r="K9" i="11"/>
  <c r="J9" i="11"/>
  <c r="I9" i="11"/>
  <c r="H9" i="11"/>
  <c r="H134" i="2" s="1"/>
  <c r="G9" i="11"/>
  <c r="G134" i="2" s="1"/>
  <c r="F9" i="11"/>
  <c r="E9" i="11"/>
  <c r="D9" i="11"/>
  <c r="C9" i="11"/>
  <c r="CH8" i="11"/>
  <c r="CG8" i="11"/>
  <c r="CF8" i="11"/>
  <c r="CE8" i="11"/>
  <c r="CD8" i="11"/>
  <c r="CD16" i="11" s="1"/>
  <c r="CC8" i="11"/>
  <c r="CC16" i="11" s="1"/>
  <c r="CB8" i="11"/>
  <c r="CA8" i="11"/>
  <c r="BZ8" i="11"/>
  <c r="BY8" i="11"/>
  <c r="BX8" i="11"/>
  <c r="BW8" i="11"/>
  <c r="BW16" i="11" s="1"/>
  <c r="BV8" i="11"/>
  <c r="BV16" i="11" s="1"/>
  <c r="BU8" i="11"/>
  <c r="BU16" i="11" s="1"/>
  <c r="BT8" i="11"/>
  <c r="BS8" i="11"/>
  <c r="BR8" i="11"/>
  <c r="BQ8" i="11"/>
  <c r="BP8" i="11"/>
  <c r="BO8" i="11"/>
  <c r="BO16" i="11" s="1"/>
  <c r="BN8" i="11"/>
  <c r="BN16" i="11" s="1"/>
  <c r="BM8" i="11"/>
  <c r="BM16" i="11" s="1"/>
  <c r="BL8" i="11"/>
  <c r="BK8" i="11"/>
  <c r="BJ8" i="11"/>
  <c r="BI8" i="11"/>
  <c r="BH8" i="11"/>
  <c r="BG8" i="11"/>
  <c r="BF8" i="11"/>
  <c r="BF16" i="11" s="1"/>
  <c r="BE8" i="11"/>
  <c r="BE16" i="11" s="1"/>
  <c r="BD8" i="11"/>
  <c r="BC8" i="11"/>
  <c r="BB8" i="11"/>
  <c r="BA8" i="11"/>
  <c r="AZ8" i="11"/>
  <c r="AY8" i="11"/>
  <c r="AX8" i="11"/>
  <c r="AX16" i="11" s="1"/>
  <c r="AW8" i="11"/>
  <c r="AW16" i="11" s="1"/>
  <c r="AV8" i="11"/>
  <c r="AU8" i="11"/>
  <c r="AT8" i="11"/>
  <c r="AS8" i="11"/>
  <c r="AR8" i="11"/>
  <c r="AQ8" i="11"/>
  <c r="AP8" i="11"/>
  <c r="AP16" i="11" s="1"/>
  <c r="AO8" i="11"/>
  <c r="AO16" i="11" s="1"/>
  <c r="AN8" i="11"/>
  <c r="AM8" i="11"/>
  <c r="AL8" i="11"/>
  <c r="AK8" i="11"/>
  <c r="AJ8" i="11"/>
  <c r="AI8" i="11"/>
  <c r="AH8" i="11"/>
  <c r="AH16" i="11" s="1"/>
  <c r="AG8" i="11"/>
  <c r="AG16" i="11" s="1"/>
  <c r="AF8" i="11"/>
  <c r="AE8" i="11"/>
  <c r="AD8" i="11"/>
  <c r="AC8" i="11"/>
  <c r="AB8" i="11"/>
  <c r="AA8" i="11"/>
  <c r="Z8" i="11"/>
  <c r="Z16" i="11" s="1"/>
  <c r="Y8" i="11"/>
  <c r="Y16" i="11" s="1"/>
  <c r="X8" i="11"/>
  <c r="W8" i="11"/>
  <c r="V8" i="11"/>
  <c r="U8" i="11"/>
  <c r="T8" i="11"/>
  <c r="S8" i="11"/>
  <c r="R8" i="11"/>
  <c r="R16" i="11" s="1"/>
  <c r="Q8" i="11"/>
  <c r="Q16" i="11" s="1"/>
  <c r="P8" i="11"/>
  <c r="O8" i="11"/>
  <c r="O133" i="2" s="1"/>
  <c r="N8" i="11"/>
  <c r="M8" i="11"/>
  <c r="L8" i="11"/>
  <c r="L16" i="11" s="1"/>
  <c r="K8" i="11"/>
  <c r="J8" i="11"/>
  <c r="J16" i="11" s="1"/>
  <c r="I8" i="11"/>
  <c r="I16" i="11" s="1"/>
  <c r="H8" i="11"/>
  <c r="G8" i="11"/>
  <c r="G133" i="2" s="1"/>
  <c r="F8" i="11"/>
  <c r="E8" i="11"/>
  <c r="D8" i="11"/>
  <c r="D16" i="11" s="1"/>
  <c r="C8" i="11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D42" i="9"/>
  <c r="D41" i="9"/>
  <c r="D40" i="9"/>
  <c r="BW66" i="2" s="1"/>
  <c r="D39" i="9"/>
  <c r="D38" i="9"/>
  <c r="D37" i="9"/>
  <c r="D36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BI16" i="2" s="1"/>
  <c r="D13" i="9"/>
  <c r="CG16" i="2" s="1"/>
  <c r="D12" i="9"/>
  <c r="D11" i="9"/>
  <c r="D10" i="9"/>
  <c r="D9" i="9"/>
  <c r="D8" i="9"/>
  <c r="D7" i="9"/>
  <c r="D6" i="9"/>
  <c r="AF17" i="2" s="1"/>
  <c r="D5" i="9"/>
  <c r="CC17" i="2" s="1"/>
  <c r="D4" i="9"/>
  <c r="D3" i="9"/>
  <c r="D2" i="9"/>
  <c r="S16" i="8"/>
  <c r="I16" i="8"/>
  <c r="S15" i="8"/>
  <c r="I15" i="8"/>
  <c r="S14" i="8"/>
  <c r="I14" i="8"/>
  <c r="S13" i="8"/>
  <c r="I13" i="8"/>
  <c r="S12" i="8"/>
  <c r="I12" i="8"/>
  <c r="S11" i="8"/>
  <c r="I11" i="8"/>
  <c r="S10" i="8"/>
  <c r="I10" i="8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C99" i="5"/>
  <c r="E98" i="5"/>
  <c r="E99" i="5" s="1"/>
  <c r="D98" i="5"/>
  <c r="D99" i="5" s="1"/>
  <c r="C98" i="5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F22" i="4"/>
  <c r="BX22" i="4"/>
  <c r="BW22" i="4"/>
  <c r="BH22" i="4"/>
  <c r="AU22" i="4"/>
  <c r="AR22" i="4"/>
  <c r="AB22" i="4"/>
  <c r="H21" i="4"/>
  <c r="CH20" i="4"/>
  <c r="CH22" i="4" s="1"/>
  <c r="CG20" i="4"/>
  <c r="CG22" i="4" s="1"/>
  <c r="CF20" i="4"/>
  <c r="CE20" i="4"/>
  <c r="CE22" i="4" s="1"/>
  <c r="CD20" i="4"/>
  <c r="CD22" i="4" s="1"/>
  <c r="CC20" i="4"/>
  <c r="CC22" i="4" s="1"/>
  <c r="CB20" i="4"/>
  <c r="CB22" i="4" s="1"/>
  <c r="CA20" i="4"/>
  <c r="CA22" i="4" s="1"/>
  <c r="BZ20" i="4"/>
  <c r="BZ22" i="4" s="1"/>
  <c r="BY20" i="4"/>
  <c r="BY22" i="4" s="1"/>
  <c r="BX20" i="4"/>
  <c r="BW20" i="4"/>
  <c r="BV20" i="4"/>
  <c r="BV22" i="4" s="1"/>
  <c r="BU20" i="4"/>
  <c r="BU22" i="4" s="1"/>
  <c r="BT20" i="4"/>
  <c r="BT22" i="4" s="1"/>
  <c r="BS20" i="4"/>
  <c r="BS22" i="4" s="1"/>
  <c r="BR20" i="4"/>
  <c r="BR22" i="4" s="1"/>
  <c r="BQ20" i="4"/>
  <c r="BQ22" i="4" s="1"/>
  <c r="BP20" i="4"/>
  <c r="BP22" i="4" s="1"/>
  <c r="BO20" i="4"/>
  <c r="BO22" i="4" s="1"/>
  <c r="BN20" i="4"/>
  <c r="BN22" i="4" s="1"/>
  <c r="BM20" i="4"/>
  <c r="BM22" i="4" s="1"/>
  <c r="BL20" i="4"/>
  <c r="BL22" i="4" s="1"/>
  <c r="BK20" i="4"/>
  <c r="BK22" i="4" s="1"/>
  <c r="BJ20" i="4"/>
  <c r="BJ22" i="4" s="1"/>
  <c r="BI20" i="4"/>
  <c r="BI22" i="4" s="1"/>
  <c r="BH20" i="4"/>
  <c r="BG20" i="4"/>
  <c r="BG22" i="4" s="1"/>
  <c r="BF20" i="4"/>
  <c r="BF22" i="4" s="1"/>
  <c r="BE20" i="4"/>
  <c r="BE22" i="4" s="1"/>
  <c r="BD20" i="4"/>
  <c r="BD22" i="4" s="1"/>
  <c r="BC20" i="4"/>
  <c r="BC22" i="4" s="1"/>
  <c r="BB20" i="4"/>
  <c r="BB22" i="4" s="1"/>
  <c r="BA20" i="4"/>
  <c r="BA22" i="4" s="1"/>
  <c r="AZ20" i="4"/>
  <c r="AZ22" i="4" s="1"/>
  <c r="AY20" i="4"/>
  <c r="AY22" i="4" s="1"/>
  <c r="AX20" i="4"/>
  <c r="AX22" i="4" s="1"/>
  <c r="AW20" i="4"/>
  <c r="AW22" i="4" s="1"/>
  <c r="AV20" i="4"/>
  <c r="AV22" i="4" s="1"/>
  <c r="AU20" i="4"/>
  <c r="AT20" i="4"/>
  <c r="AT22" i="4" s="1"/>
  <c r="AS20" i="4"/>
  <c r="AS22" i="4" s="1"/>
  <c r="AR20" i="4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L22" i="4" s="1"/>
  <c r="AK20" i="4"/>
  <c r="AK22" i="4" s="1"/>
  <c r="AJ20" i="4"/>
  <c r="AJ22" i="4" s="1"/>
  <c r="AI20" i="4"/>
  <c r="AI22" i="4" s="1"/>
  <c r="AH20" i="4"/>
  <c r="AH22" i="4" s="1"/>
  <c r="AG20" i="4"/>
  <c r="AG22" i="4" s="1"/>
  <c r="AF20" i="4"/>
  <c r="AF22" i="4" s="1"/>
  <c r="AE20" i="4"/>
  <c r="AE22" i="4" s="1"/>
  <c r="AD20" i="4"/>
  <c r="AD22" i="4" s="1"/>
  <c r="AC20" i="4"/>
  <c r="AC22" i="4" s="1"/>
  <c r="AB20" i="4"/>
  <c r="AA20" i="4"/>
  <c r="AA22" i="4" s="1"/>
  <c r="G20" i="4"/>
  <c r="G22" i="4" s="1"/>
  <c r="F20" i="4"/>
  <c r="F22" i="4" s="1"/>
  <c r="E20" i="4"/>
  <c r="E22" i="4" s="1"/>
  <c r="D20" i="4"/>
  <c r="D22" i="4" s="1"/>
  <c r="C20" i="4"/>
  <c r="C22" i="4" s="1"/>
  <c r="C23" i="4" s="1"/>
  <c r="BU16" i="4"/>
  <c r="BH16" i="4"/>
  <c r="AB16" i="4"/>
  <c r="G15" i="4"/>
  <c r="CH14" i="4"/>
  <c r="CH16" i="4" s="1"/>
  <c r="CG14" i="4"/>
  <c r="CG16" i="4" s="1"/>
  <c r="CF14" i="4"/>
  <c r="CF16" i="4" s="1"/>
  <c r="CE14" i="4"/>
  <c r="CE16" i="4" s="1"/>
  <c r="CD14" i="4"/>
  <c r="CD16" i="4" s="1"/>
  <c r="CC14" i="4"/>
  <c r="CC16" i="4" s="1"/>
  <c r="CB14" i="4"/>
  <c r="CB16" i="4" s="1"/>
  <c r="CA14" i="4"/>
  <c r="CA16" i="4" s="1"/>
  <c r="BZ14" i="4"/>
  <c r="BZ16" i="4" s="1"/>
  <c r="BY14" i="4"/>
  <c r="BY16" i="4" s="1"/>
  <c r="BX14" i="4"/>
  <c r="BX16" i="4" s="1"/>
  <c r="BW14" i="4"/>
  <c r="BW16" i="4" s="1"/>
  <c r="BV14" i="4"/>
  <c r="BV16" i="4" s="1"/>
  <c r="BU14" i="4"/>
  <c r="BT14" i="4"/>
  <c r="BT16" i="4" s="1"/>
  <c r="BS14" i="4"/>
  <c r="BS16" i="4" s="1"/>
  <c r="BR14" i="4"/>
  <c r="BR16" i="4" s="1"/>
  <c r="BQ14" i="4"/>
  <c r="BQ16" i="4" s="1"/>
  <c r="BP14" i="4"/>
  <c r="BP16" i="4" s="1"/>
  <c r="BO14" i="4"/>
  <c r="BO16" i="4" s="1"/>
  <c r="BN14" i="4"/>
  <c r="BN16" i="4" s="1"/>
  <c r="BM14" i="4"/>
  <c r="BM16" i="4" s="1"/>
  <c r="BL14" i="4"/>
  <c r="BL16" i="4" s="1"/>
  <c r="BK14" i="4"/>
  <c r="BK16" i="4" s="1"/>
  <c r="BJ14" i="4"/>
  <c r="BJ16" i="4" s="1"/>
  <c r="BI14" i="4"/>
  <c r="BI16" i="4" s="1"/>
  <c r="BH14" i="4"/>
  <c r="BG14" i="4"/>
  <c r="BG16" i="4" s="1"/>
  <c r="BF14" i="4"/>
  <c r="BF16" i="4" s="1"/>
  <c r="BE14" i="4"/>
  <c r="BE16" i="4" s="1"/>
  <c r="BD14" i="4"/>
  <c r="BD16" i="4" s="1"/>
  <c r="BC14" i="4"/>
  <c r="BC16" i="4" s="1"/>
  <c r="BB14" i="4"/>
  <c r="BB16" i="4" s="1"/>
  <c r="BA14" i="4"/>
  <c r="BA16" i="4" s="1"/>
  <c r="AZ14" i="4"/>
  <c r="AZ16" i="4" s="1"/>
  <c r="AY14" i="4"/>
  <c r="AY16" i="4" s="1"/>
  <c r="AX14" i="4"/>
  <c r="AX16" i="4" s="1"/>
  <c r="AW14" i="4"/>
  <c r="AW16" i="4" s="1"/>
  <c r="AV14" i="4"/>
  <c r="AV16" i="4" s="1"/>
  <c r="AU14" i="4"/>
  <c r="AU16" i="4" s="1"/>
  <c r="AT14" i="4"/>
  <c r="AT16" i="4" s="1"/>
  <c r="AS14" i="4"/>
  <c r="AS16" i="4" s="1"/>
  <c r="AR14" i="4"/>
  <c r="AR16" i="4" s="1"/>
  <c r="AQ14" i="4"/>
  <c r="AQ16" i="4" s="1"/>
  <c r="AP14" i="4"/>
  <c r="AP16" i="4" s="1"/>
  <c r="AO14" i="4"/>
  <c r="AO16" i="4" s="1"/>
  <c r="AN14" i="4"/>
  <c r="AN16" i="4" s="1"/>
  <c r="AM14" i="4"/>
  <c r="AM16" i="4" s="1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G16" i="4" s="1"/>
  <c r="AF14" i="4"/>
  <c r="AF16" i="4" s="1"/>
  <c r="AE14" i="4"/>
  <c r="AE16" i="4" s="1"/>
  <c r="AD14" i="4"/>
  <c r="AD16" i="4" s="1"/>
  <c r="AC14" i="4"/>
  <c r="AC16" i="4" s="1"/>
  <c r="AB14" i="4"/>
  <c r="AA14" i="4"/>
  <c r="AA16" i="4" s="1"/>
  <c r="Z14" i="4"/>
  <c r="Z16" i="4" s="1"/>
  <c r="F14" i="4"/>
  <c r="F16" i="4" s="1"/>
  <c r="E14" i="4"/>
  <c r="E16" i="4" s="1"/>
  <c r="D14" i="4"/>
  <c r="D16" i="4" s="1"/>
  <c r="C14" i="4"/>
  <c r="C16" i="4" s="1"/>
  <c r="C17" i="4" s="1"/>
  <c r="CC10" i="4"/>
  <c r="AW10" i="4"/>
  <c r="CH9" i="4"/>
  <c r="CH10" i="4" s="1"/>
  <c r="CG9" i="4"/>
  <c r="CG10" i="4" s="1"/>
  <c r="CF9" i="4"/>
  <c r="CF10" i="4" s="1"/>
  <c r="CE9" i="4"/>
  <c r="CE10" i="4" s="1"/>
  <c r="CD9" i="4"/>
  <c r="CD10" i="4" s="1"/>
  <c r="CC9" i="4"/>
  <c r="CB9" i="4"/>
  <c r="CB10" i="4" s="1"/>
  <c r="CA9" i="4"/>
  <c r="CA10" i="4" s="1"/>
  <c r="BZ9" i="4"/>
  <c r="BZ10" i="4" s="1"/>
  <c r="BY9" i="4"/>
  <c r="BY10" i="4" s="1"/>
  <c r="BX9" i="4"/>
  <c r="BX10" i="4" s="1"/>
  <c r="BW9" i="4"/>
  <c r="BW10" i="4" s="1"/>
  <c r="BV9" i="4"/>
  <c r="BV10" i="4" s="1"/>
  <c r="BU9" i="4"/>
  <c r="BU10" i="4" s="1"/>
  <c r="BT9" i="4"/>
  <c r="BT10" i="4" s="1"/>
  <c r="BS9" i="4"/>
  <c r="BS10" i="4" s="1"/>
  <c r="BR9" i="4"/>
  <c r="BR10" i="4" s="1"/>
  <c r="BQ9" i="4"/>
  <c r="BQ10" i="4" s="1"/>
  <c r="BP9" i="4"/>
  <c r="BP10" i="4" s="1"/>
  <c r="BO9" i="4"/>
  <c r="BO10" i="4" s="1"/>
  <c r="BN9" i="4"/>
  <c r="BN10" i="4" s="1"/>
  <c r="BM9" i="4"/>
  <c r="BM10" i="4" s="1"/>
  <c r="BL9" i="4"/>
  <c r="BL10" i="4" s="1"/>
  <c r="BK9" i="4"/>
  <c r="BK10" i="4" s="1"/>
  <c r="BJ9" i="4"/>
  <c r="BJ10" i="4" s="1"/>
  <c r="BI9" i="4"/>
  <c r="BI10" i="4" s="1"/>
  <c r="BH9" i="4"/>
  <c r="BH10" i="4" s="1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X10" i="4" s="1"/>
  <c r="AW9" i="4"/>
  <c r="AV9" i="4"/>
  <c r="AV10" i="4" s="1"/>
  <c r="AU9" i="4"/>
  <c r="AU10" i="4" s="1"/>
  <c r="AT9" i="4"/>
  <c r="AT10" i="4" s="1"/>
  <c r="AS9" i="4"/>
  <c r="AS10" i="4" s="1"/>
  <c r="AR9" i="4"/>
  <c r="AR10" i="4" s="1"/>
  <c r="AQ9" i="4"/>
  <c r="AQ10" i="4" s="1"/>
  <c r="AP9" i="4"/>
  <c r="AP10" i="4" s="1"/>
  <c r="AO9" i="4"/>
  <c r="AO10" i="4" s="1"/>
  <c r="AN9" i="4"/>
  <c r="AN10" i="4" s="1"/>
  <c r="AM9" i="4"/>
  <c r="AM10" i="4" s="1"/>
  <c r="AL9" i="4"/>
  <c r="AL10" i="4" s="1"/>
  <c r="AK9" i="4"/>
  <c r="AK10" i="4" s="1"/>
  <c r="AJ9" i="4"/>
  <c r="AJ10" i="4" s="1"/>
  <c r="AI9" i="4"/>
  <c r="AI10" i="4" s="1"/>
  <c r="AH9" i="4"/>
  <c r="AH10" i="4" s="1"/>
  <c r="AG9" i="4"/>
  <c r="AG10" i="4" s="1"/>
  <c r="AF9" i="4"/>
  <c r="AF10" i="4" s="1"/>
  <c r="AE9" i="4"/>
  <c r="AE10" i="4" s="1"/>
  <c r="AD9" i="4"/>
  <c r="AD10" i="4" s="1"/>
  <c r="AB9" i="4"/>
  <c r="AB10" i="4" s="1"/>
  <c r="AA9" i="4"/>
  <c r="AA10" i="4" s="1"/>
  <c r="Y9" i="4"/>
  <c r="Y10" i="4" s="1"/>
  <c r="X9" i="4"/>
  <c r="X10" i="4" s="1"/>
  <c r="V9" i="4"/>
  <c r="V10" i="4" s="1"/>
  <c r="U9" i="4"/>
  <c r="U10" i="4" s="1"/>
  <c r="T9" i="4"/>
  <c r="T10" i="4" s="1"/>
  <c r="S9" i="4"/>
  <c r="S10" i="4" s="1"/>
  <c r="R9" i="4"/>
  <c r="R10" i="4" s="1"/>
  <c r="BY5" i="4"/>
  <c r="BV5" i="4"/>
  <c r="BQ5" i="4"/>
  <c r="BI5" i="4"/>
  <c r="AS5" i="4"/>
  <c r="AP5" i="4"/>
  <c r="AK5" i="4"/>
  <c r="CH4" i="4"/>
  <c r="CH5" i="4" s="1"/>
  <c r="CG4" i="4"/>
  <c r="CG5" i="4" s="1"/>
  <c r="CF4" i="4"/>
  <c r="CF5" i="4" s="1"/>
  <c r="CE4" i="4"/>
  <c r="CE5" i="4" s="1"/>
  <c r="CD4" i="4"/>
  <c r="CD5" i="4" s="1"/>
  <c r="CC4" i="4"/>
  <c r="CC5" i="4" s="1"/>
  <c r="CB4" i="4"/>
  <c r="CB5" i="4" s="1"/>
  <c r="CA4" i="4"/>
  <c r="CA5" i="4" s="1"/>
  <c r="BZ4" i="4"/>
  <c r="BZ5" i="4" s="1"/>
  <c r="BY4" i="4"/>
  <c r="BX4" i="4"/>
  <c r="BX5" i="4" s="1"/>
  <c r="BW4" i="4"/>
  <c r="BW5" i="4" s="1"/>
  <c r="BV4" i="4"/>
  <c r="BU4" i="4"/>
  <c r="BU5" i="4" s="1"/>
  <c r="BT4" i="4"/>
  <c r="BT5" i="4" s="1"/>
  <c r="BS4" i="4"/>
  <c r="BS5" i="4" s="1"/>
  <c r="BR4" i="4"/>
  <c r="BR5" i="4" s="1"/>
  <c r="BQ4" i="4"/>
  <c r="BP4" i="4"/>
  <c r="BP5" i="4" s="1"/>
  <c r="BO4" i="4"/>
  <c r="BO5" i="4" s="1"/>
  <c r="BN4" i="4"/>
  <c r="BN5" i="4" s="1"/>
  <c r="BM4" i="4"/>
  <c r="BM5" i="4" s="1"/>
  <c r="BL4" i="4"/>
  <c r="BL5" i="4" s="1"/>
  <c r="BK4" i="4"/>
  <c r="BK5" i="4" s="1"/>
  <c r="BJ4" i="4"/>
  <c r="BJ5" i="4" s="1"/>
  <c r="BI4" i="4"/>
  <c r="BH4" i="4"/>
  <c r="BH5" i="4" s="1"/>
  <c r="BG4" i="4"/>
  <c r="BG5" i="4" s="1"/>
  <c r="BF4" i="4"/>
  <c r="BF5" i="4" s="1"/>
  <c r="BE4" i="4"/>
  <c r="BE5" i="4" s="1"/>
  <c r="BD4" i="4"/>
  <c r="BD5" i="4" s="1"/>
  <c r="BC4" i="4"/>
  <c r="BC5" i="4" s="1"/>
  <c r="BB4" i="4"/>
  <c r="BB5" i="4" s="1"/>
  <c r="BA4" i="4"/>
  <c r="BA5" i="4" s="1"/>
  <c r="AZ4" i="4"/>
  <c r="AZ5" i="4" s="1"/>
  <c r="AY4" i="4"/>
  <c r="AY5" i="4" s="1"/>
  <c r="AX4" i="4"/>
  <c r="AX5" i="4" s="1"/>
  <c r="AW4" i="4"/>
  <c r="AW5" i="4" s="1"/>
  <c r="AV4" i="4"/>
  <c r="AV5" i="4" s="1"/>
  <c r="AU4" i="4"/>
  <c r="AU5" i="4" s="1"/>
  <c r="AT4" i="4"/>
  <c r="AT5" i="4" s="1"/>
  <c r="AS4" i="4"/>
  <c r="AR4" i="4"/>
  <c r="AR5" i="4" s="1"/>
  <c r="AQ4" i="4"/>
  <c r="AQ5" i="4" s="1"/>
  <c r="AP4" i="4"/>
  <c r="AO4" i="4"/>
  <c r="AO5" i="4" s="1"/>
  <c r="AN4" i="4"/>
  <c r="AN5" i="4" s="1"/>
  <c r="AM4" i="4"/>
  <c r="AM5" i="4" s="1"/>
  <c r="AL4" i="4"/>
  <c r="AL5" i="4" s="1"/>
  <c r="AK4" i="4"/>
  <c r="AJ4" i="4"/>
  <c r="AJ5" i="4" s="1"/>
  <c r="AI4" i="4"/>
  <c r="AI5" i="4" s="1"/>
  <c r="AH4" i="4"/>
  <c r="AH5" i="4" s="1"/>
  <c r="AG4" i="4"/>
  <c r="AG5" i="4" s="1"/>
  <c r="AF4" i="4"/>
  <c r="AF5" i="4" s="1"/>
  <c r="AE4" i="4"/>
  <c r="AE5" i="4" s="1"/>
  <c r="AD4" i="4"/>
  <c r="AD5" i="4" s="1"/>
  <c r="AC4" i="4"/>
  <c r="AC5" i="4" s="1"/>
  <c r="AB4" i="4"/>
  <c r="AB5" i="4" s="1"/>
  <c r="AA4" i="4"/>
  <c r="AA5" i="4" s="1"/>
  <c r="Z4" i="4"/>
  <c r="Z5" i="4" s="1"/>
  <c r="Y4" i="4"/>
  <c r="Y5" i="4" s="1"/>
  <c r="X4" i="4"/>
  <c r="X5" i="4" s="1"/>
  <c r="W4" i="4"/>
  <c r="W5" i="4" s="1"/>
  <c r="V4" i="4"/>
  <c r="V5" i="4" s="1"/>
  <c r="U4" i="4"/>
  <c r="U5" i="4" s="1"/>
  <c r="T4" i="4"/>
  <c r="T5" i="4" s="1"/>
  <c r="S4" i="4"/>
  <c r="S5" i="4" s="1"/>
  <c r="R4" i="4"/>
  <c r="R5" i="4" s="1"/>
  <c r="Q4" i="4"/>
  <c r="Q5" i="4" s="1"/>
  <c r="P4" i="4"/>
  <c r="P5" i="4" s="1"/>
  <c r="O4" i="4"/>
  <c r="O5" i="4" s="1"/>
  <c r="N4" i="4"/>
  <c r="N5" i="4" s="1"/>
  <c r="M4" i="4"/>
  <c r="M5" i="4" s="1"/>
  <c r="L4" i="4"/>
  <c r="L5" i="4" s="1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H140" i="2"/>
  <c r="CG140" i="2"/>
  <c r="CF140" i="2"/>
  <c r="CE140" i="2"/>
  <c r="CD140" i="2"/>
  <c r="CC140" i="2"/>
  <c r="CB140" i="2"/>
  <c r="BZ140" i="2"/>
  <c r="BY140" i="2"/>
  <c r="BX140" i="2"/>
  <c r="BW140" i="2"/>
  <c r="BV140" i="2"/>
  <c r="BU140" i="2"/>
  <c r="BT140" i="2"/>
  <c r="BR140" i="2"/>
  <c r="BQ140" i="2"/>
  <c r="BP140" i="2"/>
  <c r="BO140" i="2"/>
  <c r="BN140" i="2"/>
  <c r="BM140" i="2"/>
  <c r="BL140" i="2"/>
  <c r="BJ140" i="2"/>
  <c r="BI140" i="2"/>
  <c r="BH140" i="2"/>
  <c r="BG140" i="2"/>
  <c r="BF140" i="2"/>
  <c r="BE140" i="2"/>
  <c r="BD140" i="2"/>
  <c r="BB140" i="2"/>
  <c r="BA140" i="2"/>
  <c r="AZ140" i="2"/>
  <c r="AY140" i="2"/>
  <c r="AX140" i="2"/>
  <c r="AW140" i="2"/>
  <c r="AV140" i="2"/>
  <c r="AT140" i="2"/>
  <c r="AS140" i="2"/>
  <c r="AR140" i="2"/>
  <c r="AQ140" i="2"/>
  <c r="AP140" i="2"/>
  <c r="AO140" i="2"/>
  <c r="AN140" i="2"/>
  <c r="AL140" i="2"/>
  <c r="AK140" i="2"/>
  <c r="AJ140" i="2"/>
  <c r="AI140" i="2"/>
  <c r="AH140" i="2"/>
  <c r="AG140" i="2"/>
  <c r="AF140" i="2"/>
  <c r="AD140" i="2"/>
  <c r="AC140" i="2"/>
  <c r="AB140" i="2"/>
  <c r="AA140" i="2"/>
  <c r="Z140" i="2"/>
  <c r="Y140" i="2"/>
  <c r="X140" i="2"/>
  <c r="V140" i="2"/>
  <c r="U140" i="2"/>
  <c r="T140" i="2"/>
  <c r="S140" i="2"/>
  <c r="R140" i="2"/>
  <c r="Q140" i="2"/>
  <c r="P140" i="2"/>
  <c r="N140" i="2"/>
  <c r="M140" i="2"/>
  <c r="L140" i="2"/>
  <c r="K140" i="2"/>
  <c r="J140" i="2"/>
  <c r="I140" i="2"/>
  <c r="H140" i="2"/>
  <c r="F140" i="2"/>
  <c r="E140" i="2"/>
  <c r="D140" i="2"/>
  <c r="C140" i="2"/>
  <c r="CH139" i="2"/>
  <c r="CG139" i="2"/>
  <c r="CF139" i="2"/>
  <c r="CD139" i="2"/>
  <c r="CC139" i="2"/>
  <c r="CB139" i="2"/>
  <c r="CA139" i="2"/>
  <c r="BZ139" i="2"/>
  <c r="BY139" i="2"/>
  <c r="BX139" i="2"/>
  <c r="BV139" i="2"/>
  <c r="BU139" i="2"/>
  <c r="BT139" i="2"/>
  <c r="BS139" i="2"/>
  <c r="BR139" i="2"/>
  <c r="BQ139" i="2"/>
  <c r="BP139" i="2"/>
  <c r="BN139" i="2"/>
  <c r="BM139" i="2"/>
  <c r="BL139" i="2"/>
  <c r="BK139" i="2"/>
  <c r="BJ139" i="2"/>
  <c r="BI139" i="2"/>
  <c r="BH139" i="2"/>
  <c r="BF139" i="2"/>
  <c r="BE139" i="2"/>
  <c r="BD139" i="2"/>
  <c r="BC139" i="2"/>
  <c r="BB139" i="2"/>
  <c r="BA139" i="2"/>
  <c r="AZ139" i="2"/>
  <c r="AX139" i="2"/>
  <c r="AW139" i="2"/>
  <c r="AV139" i="2"/>
  <c r="AU139" i="2"/>
  <c r="AT139" i="2"/>
  <c r="AS139" i="2"/>
  <c r="AR139" i="2"/>
  <c r="AP139" i="2"/>
  <c r="AO139" i="2"/>
  <c r="AN139" i="2"/>
  <c r="AM139" i="2"/>
  <c r="AL139" i="2"/>
  <c r="AK139" i="2"/>
  <c r="AJ139" i="2"/>
  <c r="AH139" i="2"/>
  <c r="AG139" i="2"/>
  <c r="AF139" i="2"/>
  <c r="AE139" i="2"/>
  <c r="AD139" i="2"/>
  <c r="AC139" i="2"/>
  <c r="AB139" i="2"/>
  <c r="Z139" i="2"/>
  <c r="Y139" i="2"/>
  <c r="X139" i="2"/>
  <c r="W139" i="2"/>
  <c r="V139" i="2"/>
  <c r="U139" i="2"/>
  <c r="T139" i="2"/>
  <c r="R139" i="2"/>
  <c r="Q139" i="2"/>
  <c r="P139" i="2"/>
  <c r="O139" i="2"/>
  <c r="N139" i="2"/>
  <c r="M139" i="2"/>
  <c r="L139" i="2"/>
  <c r="J139" i="2"/>
  <c r="I139" i="2"/>
  <c r="H139" i="2"/>
  <c r="G139" i="2"/>
  <c r="F139" i="2"/>
  <c r="E139" i="2"/>
  <c r="D139" i="2"/>
  <c r="CH138" i="2"/>
  <c r="CG138" i="2"/>
  <c r="CF138" i="2"/>
  <c r="CE138" i="2"/>
  <c r="CD138" i="2"/>
  <c r="CC138" i="2"/>
  <c r="CB138" i="2"/>
  <c r="BZ138" i="2"/>
  <c r="BY138" i="2"/>
  <c r="BX138" i="2"/>
  <c r="BW138" i="2"/>
  <c r="BV138" i="2"/>
  <c r="BU138" i="2"/>
  <c r="BT138" i="2"/>
  <c r="BR138" i="2"/>
  <c r="BQ138" i="2"/>
  <c r="BP138" i="2"/>
  <c r="BO138" i="2"/>
  <c r="BN138" i="2"/>
  <c r="BM138" i="2"/>
  <c r="BL138" i="2"/>
  <c r="BJ138" i="2"/>
  <c r="BI138" i="2"/>
  <c r="BH138" i="2"/>
  <c r="BG138" i="2"/>
  <c r="BF138" i="2"/>
  <c r="BE138" i="2"/>
  <c r="BD138" i="2"/>
  <c r="BB138" i="2"/>
  <c r="BA138" i="2"/>
  <c r="AZ138" i="2"/>
  <c r="AY138" i="2"/>
  <c r="AX138" i="2"/>
  <c r="AW138" i="2"/>
  <c r="AV138" i="2"/>
  <c r="AT138" i="2"/>
  <c r="AS138" i="2"/>
  <c r="AR138" i="2"/>
  <c r="AQ138" i="2"/>
  <c r="AP138" i="2"/>
  <c r="AO138" i="2"/>
  <c r="AN138" i="2"/>
  <c r="AL138" i="2"/>
  <c r="AK138" i="2"/>
  <c r="AJ138" i="2"/>
  <c r="AI138" i="2"/>
  <c r="AH138" i="2"/>
  <c r="AG138" i="2"/>
  <c r="AF138" i="2"/>
  <c r="AD138" i="2"/>
  <c r="AC138" i="2"/>
  <c r="AB138" i="2"/>
  <c r="AA138" i="2"/>
  <c r="Z138" i="2"/>
  <c r="Y138" i="2"/>
  <c r="X138" i="2"/>
  <c r="V138" i="2"/>
  <c r="U138" i="2"/>
  <c r="T138" i="2"/>
  <c r="S138" i="2"/>
  <c r="R138" i="2"/>
  <c r="Q138" i="2"/>
  <c r="P138" i="2"/>
  <c r="N138" i="2"/>
  <c r="M138" i="2"/>
  <c r="L138" i="2"/>
  <c r="K138" i="2"/>
  <c r="J138" i="2"/>
  <c r="I138" i="2"/>
  <c r="H138" i="2"/>
  <c r="F138" i="2"/>
  <c r="E138" i="2"/>
  <c r="D138" i="2"/>
  <c r="C138" i="2"/>
  <c r="CH137" i="2"/>
  <c r="CG137" i="2"/>
  <c r="CF137" i="2"/>
  <c r="CD137" i="2"/>
  <c r="CC137" i="2"/>
  <c r="CB137" i="2"/>
  <c r="CA137" i="2"/>
  <c r="BZ137" i="2"/>
  <c r="BY137" i="2"/>
  <c r="BX137" i="2"/>
  <c r="BV137" i="2"/>
  <c r="BU137" i="2"/>
  <c r="BT137" i="2"/>
  <c r="BS137" i="2"/>
  <c r="BR137" i="2"/>
  <c r="BQ137" i="2"/>
  <c r="BP137" i="2"/>
  <c r="BN137" i="2"/>
  <c r="BM137" i="2"/>
  <c r="BL137" i="2"/>
  <c r="BK137" i="2"/>
  <c r="BJ137" i="2"/>
  <c r="BI137" i="2"/>
  <c r="BH137" i="2"/>
  <c r="BF137" i="2"/>
  <c r="BE137" i="2"/>
  <c r="BD137" i="2"/>
  <c r="BC137" i="2"/>
  <c r="BB137" i="2"/>
  <c r="BA137" i="2"/>
  <c r="AZ137" i="2"/>
  <c r="AX137" i="2"/>
  <c r="AW137" i="2"/>
  <c r="AV137" i="2"/>
  <c r="AU137" i="2"/>
  <c r="AT137" i="2"/>
  <c r="AS137" i="2"/>
  <c r="AR137" i="2"/>
  <c r="AP137" i="2"/>
  <c r="AO137" i="2"/>
  <c r="AN137" i="2"/>
  <c r="AM137" i="2"/>
  <c r="AL137" i="2"/>
  <c r="AK137" i="2"/>
  <c r="AJ137" i="2"/>
  <c r="AH137" i="2"/>
  <c r="AG137" i="2"/>
  <c r="AF137" i="2"/>
  <c r="AE137" i="2"/>
  <c r="AD137" i="2"/>
  <c r="AC137" i="2"/>
  <c r="AB137" i="2"/>
  <c r="Z137" i="2"/>
  <c r="Y137" i="2"/>
  <c r="X137" i="2"/>
  <c r="W137" i="2"/>
  <c r="V137" i="2"/>
  <c r="U137" i="2"/>
  <c r="T137" i="2"/>
  <c r="R137" i="2"/>
  <c r="Q137" i="2"/>
  <c r="P137" i="2"/>
  <c r="O137" i="2"/>
  <c r="N137" i="2"/>
  <c r="M137" i="2"/>
  <c r="L137" i="2"/>
  <c r="J137" i="2"/>
  <c r="I137" i="2"/>
  <c r="H137" i="2"/>
  <c r="G137" i="2"/>
  <c r="F137" i="2"/>
  <c r="E137" i="2"/>
  <c r="D137" i="2"/>
  <c r="CH136" i="2"/>
  <c r="CG136" i="2"/>
  <c r="CF136" i="2"/>
  <c r="CE136" i="2"/>
  <c r="CD136" i="2"/>
  <c r="CC136" i="2"/>
  <c r="CB136" i="2"/>
  <c r="BZ136" i="2"/>
  <c r="BY136" i="2"/>
  <c r="BX136" i="2"/>
  <c r="BW136" i="2"/>
  <c r="BV136" i="2"/>
  <c r="BU136" i="2"/>
  <c r="BT136" i="2"/>
  <c r="BR136" i="2"/>
  <c r="BQ136" i="2"/>
  <c r="BP136" i="2"/>
  <c r="BO136" i="2"/>
  <c r="BN136" i="2"/>
  <c r="BM136" i="2"/>
  <c r="BL136" i="2"/>
  <c r="BJ136" i="2"/>
  <c r="BI136" i="2"/>
  <c r="BH136" i="2"/>
  <c r="BG136" i="2"/>
  <c r="BF136" i="2"/>
  <c r="BE136" i="2"/>
  <c r="BD136" i="2"/>
  <c r="BB136" i="2"/>
  <c r="BA136" i="2"/>
  <c r="AZ136" i="2"/>
  <c r="AY136" i="2"/>
  <c r="AX136" i="2"/>
  <c r="AW136" i="2"/>
  <c r="AV136" i="2"/>
  <c r="AT136" i="2"/>
  <c r="AS136" i="2"/>
  <c r="AR136" i="2"/>
  <c r="AQ136" i="2"/>
  <c r="AP136" i="2"/>
  <c r="AO136" i="2"/>
  <c r="AN136" i="2"/>
  <c r="AL136" i="2"/>
  <c r="AK136" i="2"/>
  <c r="AJ136" i="2"/>
  <c r="AI136" i="2"/>
  <c r="AH136" i="2"/>
  <c r="AG136" i="2"/>
  <c r="AF136" i="2"/>
  <c r="AD136" i="2"/>
  <c r="AC136" i="2"/>
  <c r="AB136" i="2"/>
  <c r="AA136" i="2"/>
  <c r="Z136" i="2"/>
  <c r="Y136" i="2"/>
  <c r="X136" i="2"/>
  <c r="V136" i="2"/>
  <c r="U136" i="2"/>
  <c r="T136" i="2"/>
  <c r="S136" i="2"/>
  <c r="R136" i="2"/>
  <c r="Q136" i="2"/>
  <c r="P136" i="2"/>
  <c r="N136" i="2"/>
  <c r="M136" i="2"/>
  <c r="L136" i="2"/>
  <c r="K136" i="2"/>
  <c r="J136" i="2"/>
  <c r="I136" i="2"/>
  <c r="H136" i="2"/>
  <c r="F136" i="2"/>
  <c r="E136" i="2"/>
  <c r="D136" i="2"/>
  <c r="C136" i="2"/>
  <c r="CH135" i="2"/>
  <c r="CG135" i="2"/>
  <c r="CF135" i="2"/>
  <c r="CD135" i="2"/>
  <c r="CC135" i="2"/>
  <c r="CB135" i="2"/>
  <c r="CA135" i="2"/>
  <c r="BZ135" i="2"/>
  <c r="BY135" i="2"/>
  <c r="BX135" i="2"/>
  <c r="BV135" i="2"/>
  <c r="BU135" i="2"/>
  <c r="BT135" i="2"/>
  <c r="BS135" i="2"/>
  <c r="BR135" i="2"/>
  <c r="BQ135" i="2"/>
  <c r="BP135" i="2"/>
  <c r="BN135" i="2"/>
  <c r="BM135" i="2"/>
  <c r="BL135" i="2"/>
  <c r="BK135" i="2"/>
  <c r="BJ135" i="2"/>
  <c r="BI135" i="2"/>
  <c r="BH135" i="2"/>
  <c r="BF135" i="2"/>
  <c r="BE135" i="2"/>
  <c r="BD135" i="2"/>
  <c r="BC135" i="2"/>
  <c r="BB135" i="2"/>
  <c r="BA135" i="2"/>
  <c r="AZ135" i="2"/>
  <c r="AX135" i="2"/>
  <c r="AW135" i="2"/>
  <c r="AV135" i="2"/>
  <c r="AU135" i="2"/>
  <c r="AT135" i="2"/>
  <c r="AS135" i="2"/>
  <c r="AR135" i="2"/>
  <c r="AP135" i="2"/>
  <c r="AO135" i="2"/>
  <c r="AN135" i="2"/>
  <c r="AM135" i="2"/>
  <c r="AL135" i="2"/>
  <c r="AK135" i="2"/>
  <c r="AJ135" i="2"/>
  <c r="AH135" i="2"/>
  <c r="AG135" i="2"/>
  <c r="AF135" i="2"/>
  <c r="AE135" i="2"/>
  <c r="AD135" i="2"/>
  <c r="AC135" i="2"/>
  <c r="AB135" i="2"/>
  <c r="Z135" i="2"/>
  <c r="Y135" i="2"/>
  <c r="X135" i="2"/>
  <c r="W135" i="2"/>
  <c r="V135" i="2"/>
  <c r="U135" i="2"/>
  <c r="R135" i="2"/>
  <c r="Q135" i="2"/>
  <c r="P135" i="2"/>
  <c r="O135" i="2"/>
  <c r="N135" i="2"/>
  <c r="M135" i="2"/>
  <c r="J135" i="2"/>
  <c r="I135" i="2"/>
  <c r="H135" i="2"/>
  <c r="G135" i="2"/>
  <c r="F135" i="2"/>
  <c r="E135" i="2"/>
  <c r="CH134" i="2"/>
  <c r="CG134" i="2"/>
  <c r="CF134" i="2"/>
  <c r="CE134" i="2"/>
  <c r="CD134" i="2"/>
  <c r="CC134" i="2"/>
  <c r="BZ134" i="2"/>
  <c r="BY134" i="2"/>
  <c r="BX134" i="2"/>
  <c r="BW134" i="2"/>
  <c r="BV134" i="2"/>
  <c r="BV141" i="2" s="1"/>
  <c r="Y40" i="3" s="1"/>
  <c r="BU134" i="2"/>
  <c r="BR134" i="2"/>
  <c r="BQ134" i="2"/>
  <c r="BP134" i="2"/>
  <c r="BO134" i="2"/>
  <c r="BN134" i="2"/>
  <c r="BM134" i="2"/>
  <c r="BJ134" i="2"/>
  <c r="BI134" i="2"/>
  <c r="BH134" i="2"/>
  <c r="BG134" i="2"/>
  <c r="BF134" i="2"/>
  <c r="BE134" i="2"/>
  <c r="BB134" i="2"/>
  <c r="BA134" i="2"/>
  <c r="AZ134" i="2"/>
  <c r="AY134" i="2"/>
  <c r="AX134" i="2"/>
  <c r="AW134" i="2"/>
  <c r="AT134" i="2"/>
  <c r="AS134" i="2"/>
  <c r="AR134" i="2"/>
  <c r="AQ134" i="2"/>
  <c r="AP134" i="2"/>
  <c r="AO134" i="2"/>
  <c r="AL134" i="2"/>
  <c r="AK134" i="2"/>
  <c r="AJ134" i="2"/>
  <c r="AI134" i="2"/>
  <c r="AH134" i="2"/>
  <c r="AG134" i="2"/>
  <c r="AD134" i="2"/>
  <c r="AC134" i="2"/>
  <c r="AB134" i="2"/>
  <c r="AA134" i="2"/>
  <c r="Z134" i="2"/>
  <c r="Y134" i="2"/>
  <c r="V134" i="2"/>
  <c r="U134" i="2"/>
  <c r="T134" i="2"/>
  <c r="S134" i="2"/>
  <c r="R134" i="2"/>
  <c r="Q134" i="2"/>
  <c r="N134" i="2"/>
  <c r="M134" i="2"/>
  <c r="L134" i="2"/>
  <c r="K134" i="2"/>
  <c r="J134" i="2"/>
  <c r="I134" i="2"/>
  <c r="F134" i="2"/>
  <c r="E134" i="2"/>
  <c r="D134" i="2"/>
  <c r="C134" i="2"/>
  <c r="CH133" i="2"/>
  <c r="CG133" i="2"/>
  <c r="CG141" i="2" s="1"/>
  <c r="CC133" i="2"/>
  <c r="CB133" i="2"/>
  <c r="CA133" i="2"/>
  <c r="BZ133" i="2"/>
  <c r="BY133" i="2"/>
  <c r="BV133" i="2"/>
  <c r="BU133" i="2"/>
  <c r="BT133" i="2"/>
  <c r="BS133" i="2"/>
  <c r="BR133" i="2"/>
  <c r="BQ133" i="2"/>
  <c r="BN133" i="2"/>
  <c r="BM133" i="2"/>
  <c r="BL133" i="2"/>
  <c r="BJ133" i="2"/>
  <c r="BI133" i="2"/>
  <c r="BF133" i="2"/>
  <c r="BE133" i="2"/>
  <c r="BD133" i="2"/>
  <c r="BB133" i="2"/>
  <c r="BA133" i="2"/>
  <c r="BA141" i="2" s="1"/>
  <c r="R40" i="3" s="1"/>
  <c r="AX133" i="2"/>
  <c r="AW133" i="2"/>
  <c r="AV133" i="2"/>
  <c r="AU133" i="2"/>
  <c r="AT133" i="2"/>
  <c r="AS133" i="2"/>
  <c r="AP133" i="2"/>
  <c r="AO133" i="2"/>
  <c r="AN133" i="2"/>
  <c r="AN141" i="2" s="1"/>
  <c r="AM133" i="2"/>
  <c r="AL133" i="2"/>
  <c r="AK133" i="2"/>
  <c r="AH133" i="2"/>
  <c r="AG133" i="2"/>
  <c r="AF133" i="2"/>
  <c r="AE133" i="2"/>
  <c r="AE141" i="2" s="1"/>
  <c r="AD133" i="2"/>
  <c r="AC133" i="2"/>
  <c r="AC141" i="2" s="1"/>
  <c r="J40" i="3" s="1"/>
  <c r="Z133" i="2"/>
  <c r="Y133" i="2"/>
  <c r="X133" i="2"/>
  <c r="W133" i="2"/>
  <c r="V133" i="2"/>
  <c r="U133" i="2"/>
  <c r="U141" i="2" s="1"/>
  <c r="Q133" i="2"/>
  <c r="P133" i="2"/>
  <c r="N133" i="2"/>
  <c r="M133" i="2"/>
  <c r="M141" i="2" s="1"/>
  <c r="I133" i="2"/>
  <c r="H133" i="2"/>
  <c r="F133" i="2"/>
  <c r="E133" i="2"/>
  <c r="E141" i="2" s="1"/>
  <c r="B40" i="3" s="1"/>
  <c r="O128" i="2"/>
  <c r="C126" i="2"/>
  <c r="AC123" i="2"/>
  <c r="C122" i="2"/>
  <c r="C121" i="2"/>
  <c r="H117" i="2"/>
  <c r="H116" i="2"/>
  <c r="C116" i="2"/>
  <c r="C117" i="2" s="1"/>
  <c r="G111" i="2"/>
  <c r="G112" i="2" s="1"/>
  <c r="C111" i="2"/>
  <c r="C108" i="2"/>
  <c r="D106" i="2" s="1"/>
  <c r="D108" i="2" s="1"/>
  <c r="E106" i="2" s="1"/>
  <c r="E108" i="2" s="1"/>
  <c r="B36" i="3" s="1"/>
  <c r="C106" i="2"/>
  <c r="C99" i="2"/>
  <c r="CH81" i="2"/>
  <c r="CG81" i="2"/>
  <c r="CF81" i="2"/>
  <c r="AC27" i="3" s="1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Z79" i="2"/>
  <c r="BN79" i="2"/>
  <c r="BB79" i="2"/>
  <c r="AP79" i="2"/>
  <c r="AD79" i="2"/>
  <c r="R79" i="2"/>
  <c r="F79" i="2"/>
  <c r="CE78" i="2"/>
  <c r="BG78" i="2"/>
  <c r="AI78" i="2"/>
  <c r="K78" i="2"/>
  <c r="CH77" i="2"/>
  <c r="CG77" i="2"/>
  <c r="CF77" i="2"/>
  <c r="CE77" i="2"/>
  <c r="CD77" i="2"/>
  <c r="CC77" i="2"/>
  <c r="BZ77" i="2"/>
  <c r="BY77" i="2"/>
  <c r="BX77" i="2"/>
  <c r="BW77" i="2"/>
  <c r="BV77" i="2"/>
  <c r="BU77" i="2"/>
  <c r="BS77" i="2"/>
  <c r="BR77" i="2"/>
  <c r="BQ77" i="2"/>
  <c r="BP77" i="2"/>
  <c r="BO77" i="2"/>
  <c r="BN77" i="2"/>
  <c r="BM77" i="2"/>
  <c r="BK77" i="2"/>
  <c r="BJ77" i="2"/>
  <c r="BI77" i="2"/>
  <c r="BH77" i="2"/>
  <c r="BG77" i="2"/>
  <c r="BF77" i="2"/>
  <c r="BE77" i="2"/>
  <c r="BC77" i="2"/>
  <c r="BB77" i="2"/>
  <c r="BA77" i="2"/>
  <c r="AZ77" i="2"/>
  <c r="AY77" i="2"/>
  <c r="AX77" i="2"/>
  <c r="AW77" i="2"/>
  <c r="AU77" i="2"/>
  <c r="AT77" i="2"/>
  <c r="AS77" i="2"/>
  <c r="AR77" i="2"/>
  <c r="AQ77" i="2"/>
  <c r="AP77" i="2"/>
  <c r="AO77" i="2"/>
  <c r="AL77" i="2"/>
  <c r="AK77" i="2"/>
  <c r="AJ77" i="2"/>
  <c r="AI77" i="2"/>
  <c r="AH77" i="2"/>
  <c r="AG77" i="2"/>
  <c r="AD77" i="2"/>
  <c r="AC77" i="2"/>
  <c r="AB77" i="2"/>
  <c r="AA77" i="2"/>
  <c r="Z77" i="2"/>
  <c r="Y77" i="2"/>
  <c r="V77" i="2"/>
  <c r="U77" i="2"/>
  <c r="T77" i="2"/>
  <c r="S77" i="2"/>
  <c r="R77" i="2"/>
  <c r="Q77" i="2"/>
  <c r="N77" i="2"/>
  <c r="M77" i="2"/>
  <c r="L77" i="2"/>
  <c r="K77" i="2"/>
  <c r="J77" i="2"/>
  <c r="I77" i="2"/>
  <c r="G77" i="2"/>
  <c r="F77" i="2"/>
  <c r="E77" i="2"/>
  <c r="D77" i="2"/>
  <c r="C77" i="2"/>
  <c r="CH76" i="2"/>
  <c r="CG76" i="2"/>
  <c r="CF76" i="2"/>
  <c r="CE76" i="2"/>
  <c r="CD76" i="2"/>
  <c r="CC76" i="2"/>
  <c r="BZ76" i="2"/>
  <c r="BY76" i="2"/>
  <c r="BX76" i="2"/>
  <c r="BW76" i="2"/>
  <c r="BV76" i="2"/>
  <c r="BU76" i="2"/>
  <c r="BR76" i="2"/>
  <c r="BQ76" i="2"/>
  <c r="BP76" i="2"/>
  <c r="BO76" i="2"/>
  <c r="BN76" i="2"/>
  <c r="BM76" i="2"/>
  <c r="BJ76" i="2"/>
  <c r="BI76" i="2"/>
  <c r="BH76" i="2"/>
  <c r="BG76" i="2"/>
  <c r="BF76" i="2"/>
  <c r="BE76" i="2"/>
  <c r="BB76" i="2"/>
  <c r="BA76" i="2"/>
  <c r="AZ76" i="2"/>
  <c r="AY76" i="2"/>
  <c r="AX76" i="2"/>
  <c r="AW76" i="2"/>
  <c r="AT76" i="2"/>
  <c r="AS76" i="2"/>
  <c r="AR76" i="2"/>
  <c r="AQ76" i="2"/>
  <c r="AP76" i="2"/>
  <c r="AO76" i="2"/>
  <c r="AL76" i="2"/>
  <c r="AK76" i="2"/>
  <c r="AJ76" i="2"/>
  <c r="AI76" i="2"/>
  <c r="AH76" i="2"/>
  <c r="AG76" i="2"/>
  <c r="AD76" i="2"/>
  <c r="AC76" i="2"/>
  <c r="AB76" i="2"/>
  <c r="AA76" i="2"/>
  <c r="Z76" i="2"/>
  <c r="Y76" i="2"/>
  <c r="V76" i="2"/>
  <c r="U76" i="2"/>
  <c r="T76" i="2"/>
  <c r="S76" i="2"/>
  <c r="R76" i="2"/>
  <c r="Q76" i="2"/>
  <c r="N76" i="2"/>
  <c r="M76" i="2"/>
  <c r="L76" i="2"/>
  <c r="K76" i="2"/>
  <c r="J76" i="2"/>
  <c r="I76" i="2"/>
  <c r="F76" i="2"/>
  <c r="E76" i="2"/>
  <c r="D76" i="2"/>
  <c r="C76" i="2"/>
  <c r="CH75" i="2"/>
  <c r="CG75" i="2"/>
  <c r="CF75" i="2"/>
  <c r="CE75" i="2"/>
  <c r="CD75" i="2"/>
  <c r="CC75" i="2"/>
  <c r="BZ75" i="2"/>
  <c r="BY75" i="2"/>
  <c r="BX75" i="2"/>
  <c r="BW75" i="2"/>
  <c r="BV75" i="2"/>
  <c r="BU75" i="2"/>
  <c r="BR75" i="2"/>
  <c r="BQ75" i="2"/>
  <c r="BP75" i="2"/>
  <c r="BO75" i="2"/>
  <c r="BN75" i="2"/>
  <c r="BM75" i="2"/>
  <c r="BJ75" i="2"/>
  <c r="BI75" i="2"/>
  <c r="BH75" i="2"/>
  <c r="BG75" i="2"/>
  <c r="BF75" i="2"/>
  <c r="BE75" i="2"/>
  <c r="BC75" i="2"/>
  <c r="BB75" i="2"/>
  <c r="BA75" i="2"/>
  <c r="AZ75" i="2"/>
  <c r="AY75" i="2"/>
  <c r="AX75" i="2"/>
  <c r="AW75" i="2"/>
  <c r="AU75" i="2"/>
  <c r="AT75" i="2"/>
  <c r="AS75" i="2"/>
  <c r="AR75" i="2"/>
  <c r="AQ75" i="2"/>
  <c r="AP75" i="2"/>
  <c r="AO75" i="2"/>
  <c r="AM75" i="2"/>
  <c r="AL75" i="2"/>
  <c r="AK75" i="2"/>
  <c r="AJ75" i="2"/>
  <c r="AI75" i="2"/>
  <c r="AH75" i="2"/>
  <c r="AG75" i="2"/>
  <c r="AE75" i="2"/>
  <c r="AD75" i="2"/>
  <c r="AC75" i="2"/>
  <c r="AB75" i="2"/>
  <c r="AA75" i="2"/>
  <c r="Z75" i="2"/>
  <c r="Y75" i="2"/>
  <c r="V75" i="2"/>
  <c r="U75" i="2"/>
  <c r="T75" i="2"/>
  <c r="S75" i="2"/>
  <c r="R75" i="2"/>
  <c r="Q75" i="2"/>
  <c r="N75" i="2"/>
  <c r="M75" i="2"/>
  <c r="L75" i="2"/>
  <c r="K75" i="2"/>
  <c r="J75" i="2"/>
  <c r="I75" i="2"/>
  <c r="F75" i="2"/>
  <c r="E75" i="2"/>
  <c r="D75" i="2"/>
  <c r="C75" i="2"/>
  <c r="CH74" i="2"/>
  <c r="CG74" i="2"/>
  <c r="CF74" i="2"/>
  <c r="CE74" i="2"/>
  <c r="CD74" i="2"/>
  <c r="CC74" i="2"/>
  <c r="BZ74" i="2"/>
  <c r="BY74" i="2"/>
  <c r="BX74" i="2"/>
  <c r="BW74" i="2"/>
  <c r="BV74" i="2"/>
  <c r="BU74" i="2"/>
  <c r="BR74" i="2"/>
  <c r="BQ74" i="2"/>
  <c r="BP74" i="2"/>
  <c r="BO74" i="2"/>
  <c r="BN74" i="2"/>
  <c r="BM74" i="2"/>
  <c r="BJ74" i="2"/>
  <c r="BI74" i="2"/>
  <c r="BH74" i="2"/>
  <c r="BG74" i="2"/>
  <c r="BF74" i="2"/>
  <c r="BE74" i="2"/>
  <c r="BB74" i="2"/>
  <c r="BA74" i="2"/>
  <c r="AZ74" i="2"/>
  <c r="AY74" i="2"/>
  <c r="AX74" i="2"/>
  <c r="AW74" i="2"/>
  <c r="AT74" i="2"/>
  <c r="AS74" i="2"/>
  <c r="AR74" i="2"/>
  <c r="AQ74" i="2"/>
  <c r="AP74" i="2"/>
  <c r="AO74" i="2"/>
  <c r="AL74" i="2"/>
  <c r="AK74" i="2"/>
  <c r="AJ74" i="2"/>
  <c r="AI74" i="2"/>
  <c r="AH74" i="2"/>
  <c r="AG74" i="2"/>
  <c r="AD74" i="2"/>
  <c r="AC74" i="2"/>
  <c r="AB74" i="2"/>
  <c r="AA74" i="2"/>
  <c r="Z74" i="2"/>
  <c r="Y74" i="2"/>
  <c r="V74" i="2"/>
  <c r="U74" i="2"/>
  <c r="T74" i="2"/>
  <c r="S74" i="2"/>
  <c r="R74" i="2"/>
  <c r="Q74" i="2"/>
  <c r="N74" i="2"/>
  <c r="M74" i="2"/>
  <c r="L74" i="2"/>
  <c r="K74" i="2"/>
  <c r="J74" i="2"/>
  <c r="I74" i="2"/>
  <c r="F74" i="2"/>
  <c r="E74" i="2"/>
  <c r="D74" i="2"/>
  <c r="C74" i="2"/>
  <c r="CH73" i="2"/>
  <c r="CG73" i="2"/>
  <c r="CF73" i="2"/>
  <c r="CE73" i="2"/>
  <c r="CD73" i="2"/>
  <c r="CC73" i="2"/>
  <c r="CA73" i="2"/>
  <c r="BZ73" i="2"/>
  <c r="BY73" i="2"/>
  <c r="BX73" i="2"/>
  <c r="BW73" i="2"/>
  <c r="BV73" i="2"/>
  <c r="BU73" i="2"/>
  <c r="BR73" i="2"/>
  <c r="BQ73" i="2"/>
  <c r="BP73" i="2"/>
  <c r="BO73" i="2"/>
  <c r="BN73" i="2"/>
  <c r="BM73" i="2"/>
  <c r="BJ73" i="2"/>
  <c r="BI73" i="2"/>
  <c r="BH73" i="2"/>
  <c r="BG73" i="2"/>
  <c r="BF73" i="2"/>
  <c r="BE73" i="2"/>
  <c r="BB73" i="2"/>
  <c r="BA73" i="2"/>
  <c r="AZ73" i="2"/>
  <c r="AY73" i="2"/>
  <c r="AX73" i="2"/>
  <c r="AW73" i="2"/>
  <c r="AT73" i="2"/>
  <c r="AS73" i="2"/>
  <c r="AR73" i="2"/>
  <c r="AQ73" i="2"/>
  <c r="AP73" i="2"/>
  <c r="AO73" i="2"/>
  <c r="AM73" i="2"/>
  <c r="AL73" i="2"/>
  <c r="AK73" i="2"/>
  <c r="AJ73" i="2"/>
  <c r="AI73" i="2"/>
  <c r="AH73" i="2"/>
  <c r="AG73" i="2"/>
  <c r="AE73" i="2"/>
  <c r="AD73" i="2"/>
  <c r="AC73" i="2"/>
  <c r="AB73" i="2"/>
  <c r="AA73" i="2"/>
  <c r="Z73" i="2"/>
  <c r="Y73" i="2"/>
  <c r="W73" i="2"/>
  <c r="V73" i="2"/>
  <c r="U73" i="2"/>
  <c r="T73" i="2"/>
  <c r="S73" i="2"/>
  <c r="R73" i="2"/>
  <c r="Q73" i="2"/>
  <c r="O73" i="2"/>
  <c r="N73" i="2"/>
  <c r="M73" i="2"/>
  <c r="L73" i="2"/>
  <c r="K73" i="2"/>
  <c r="J73" i="2"/>
  <c r="I73" i="2"/>
  <c r="F73" i="2"/>
  <c r="E73" i="2"/>
  <c r="D73" i="2"/>
  <c r="C73" i="2"/>
  <c r="CH72" i="2"/>
  <c r="CG72" i="2"/>
  <c r="CF72" i="2"/>
  <c r="CE72" i="2"/>
  <c r="CD72" i="2"/>
  <c r="CC72" i="2"/>
  <c r="BZ72" i="2"/>
  <c r="BY72" i="2"/>
  <c r="BX72" i="2"/>
  <c r="BW72" i="2"/>
  <c r="BV72" i="2"/>
  <c r="BU72" i="2"/>
  <c r="BR72" i="2"/>
  <c r="BQ72" i="2"/>
  <c r="BP72" i="2"/>
  <c r="BO72" i="2"/>
  <c r="BN72" i="2"/>
  <c r="BM72" i="2"/>
  <c r="BJ72" i="2"/>
  <c r="BI72" i="2"/>
  <c r="BH72" i="2"/>
  <c r="BG72" i="2"/>
  <c r="BF72" i="2"/>
  <c r="BE72" i="2"/>
  <c r="BB72" i="2"/>
  <c r="BA72" i="2"/>
  <c r="AZ72" i="2"/>
  <c r="AY72" i="2"/>
  <c r="AX72" i="2"/>
  <c r="AW72" i="2"/>
  <c r="AT72" i="2"/>
  <c r="AS72" i="2"/>
  <c r="AR72" i="2"/>
  <c r="AQ72" i="2"/>
  <c r="AP72" i="2"/>
  <c r="AO72" i="2"/>
  <c r="AL72" i="2"/>
  <c r="AK72" i="2"/>
  <c r="AJ72" i="2"/>
  <c r="AI72" i="2"/>
  <c r="AH72" i="2"/>
  <c r="AG72" i="2"/>
  <c r="AD72" i="2"/>
  <c r="AC72" i="2"/>
  <c r="AB72" i="2"/>
  <c r="AA72" i="2"/>
  <c r="Z72" i="2"/>
  <c r="Y72" i="2"/>
  <c r="V72" i="2"/>
  <c r="U72" i="2"/>
  <c r="T72" i="2"/>
  <c r="S72" i="2"/>
  <c r="R72" i="2"/>
  <c r="Q72" i="2"/>
  <c r="N72" i="2"/>
  <c r="M72" i="2"/>
  <c r="L72" i="2"/>
  <c r="K72" i="2"/>
  <c r="J72" i="2"/>
  <c r="I72" i="2"/>
  <c r="F72" i="2"/>
  <c r="E72" i="2"/>
  <c r="D72" i="2"/>
  <c r="C72" i="2"/>
  <c r="CH71" i="2"/>
  <c r="CG71" i="2"/>
  <c r="CF71" i="2"/>
  <c r="CE71" i="2"/>
  <c r="CD71" i="2"/>
  <c r="CC71" i="2"/>
  <c r="CA71" i="2"/>
  <c r="BZ71" i="2"/>
  <c r="BY71" i="2"/>
  <c r="BX71" i="2"/>
  <c r="BW71" i="2"/>
  <c r="BV71" i="2"/>
  <c r="BU71" i="2"/>
  <c r="BS71" i="2"/>
  <c r="BR71" i="2"/>
  <c r="BQ71" i="2"/>
  <c r="BP71" i="2"/>
  <c r="BO71" i="2"/>
  <c r="BN71" i="2"/>
  <c r="BM71" i="2"/>
  <c r="BK71" i="2"/>
  <c r="BJ71" i="2"/>
  <c r="BI71" i="2"/>
  <c r="BH71" i="2"/>
  <c r="BG71" i="2"/>
  <c r="BF71" i="2"/>
  <c r="BE71" i="2"/>
  <c r="BB71" i="2"/>
  <c r="BA71" i="2"/>
  <c r="AZ71" i="2"/>
  <c r="AY71" i="2"/>
  <c r="AX71" i="2"/>
  <c r="AW71" i="2"/>
  <c r="AT71" i="2"/>
  <c r="AS71" i="2"/>
  <c r="AR71" i="2"/>
  <c r="AQ71" i="2"/>
  <c r="AP71" i="2"/>
  <c r="AO71" i="2"/>
  <c r="AL71" i="2"/>
  <c r="AK71" i="2"/>
  <c r="AJ71" i="2"/>
  <c r="AI71" i="2"/>
  <c r="AH71" i="2"/>
  <c r="AG71" i="2"/>
  <c r="AD71" i="2"/>
  <c r="AC71" i="2"/>
  <c r="AB71" i="2"/>
  <c r="AA71" i="2"/>
  <c r="Z71" i="2"/>
  <c r="Y71" i="2"/>
  <c r="W71" i="2"/>
  <c r="V71" i="2"/>
  <c r="U71" i="2"/>
  <c r="T71" i="2"/>
  <c r="S71" i="2"/>
  <c r="R71" i="2"/>
  <c r="Q71" i="2"/>
  <c r="O71" i="2"/>
  <c r="N71" i="2"/>
  <c r="M71" i="2"/>
  <c r="L71" i="2"/>
  <c r="K71" i="2"/>
  <c r="J71" i="2"/>
  <c r="I71" i="2"/>
  <c r="G71" i="2"/>
  <c r="F71" i="2"/>
  <c r="E71" i="2"/>
  <c r="D71" i="2"/>
  <c r="C71" i="2"/>
  <c r="BO66" i="2"/>
  <c r="BN66" i="2"/>
  <c r="AI66" i="2"/>
  <c r="AH66" i="2"/>
  <c r="C66" i="2"/>
  <c r="AV64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Y57" i="2"/>
  <c r="X57" i="2"/>
  <c r="X20" i="4" s="1"/>
  <c r="X22" i="4" s="1"/>
  <c r="W57" i="2"/>
  <c r="W20" i="4" s="1"/>
  <c r="W22" i="4" s="1"/>
  <c r="V57" i="2"/>
  <c r="U57" i="2"/>
  <c r="T57" i="2"/>
  <c r="S57" i="2"/>
  <c r="S20" i="4" s="1"/>
  <c r="S22" i="4" s="1"/>
  <c r="R57" i="2"/>
  <c r="Q57" i="2"/>
  <c r="P57" i="2"/>
  <c r="P20" i="4" s="1"/>
  <c r="P22" i="4" s="1"/>
  <c r="O57" i="2"/>
  <c r="O20" i="4" s="1"/>
  <c r="O22" i="4" s="1"/>
  <c r="N57" i="2"/>
  <c r="M57" i="2"/>
  <c r="M20" i="4" s="1"/>
  <c r="M22" i="4" s="1"/>
  <c r="L57" i="2"/>
  <c r="K57" i="2"/>
  <c r="K20" i="4" s="1"/>
  <c r="K22" i="4" s="1"/>
  <c r="J57" i="2"/>
  <c r="I57" i="2"/>
  <c r="H57" i="2"/>
  <c r="H20" i="4" s="1"/>
  <c r="H22" i="4" s="1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Y14" i="4" s="1"/>
  <c r="Y16" i="4" s="1"/>
  <c r="X54" i="2"/>
  <c r="W54" i="2"/>
  <c r="V54" i="2"/>
  <c r="V14" i="4" s="1"/>
  <c r="V16" i="4" s="1"/>
  <c r="U54" i="2"/>
  <c r="U14" i="4" s="1"/>
  <c r="U16" i="4" s="1"/>
  <c r="T54" i="2"/>
  <c r="S54" i="2"/>
  <c r="R54" i="2"/>
  <c r="Q54" i="2"/>
  <c r="Q14" i="4" s="1"/>
  <c r="Q16" i="4" s="1"/>
  <c r="P54" i="2"/>
  <c r="O54" i="2"/>
  <c r="N54" i="2"/>
  <c r="N14" i="4" s="1"/>
  <c r="N16" i="4" s="1"/>
  <c r="M54" i="2"/>
  <c r="M14" i="4" s="1"/>
  <c r="M16" i="4" s="1"/>
  <c r="L54" i="2"/>
  <c r="K54" i="2"/>
  <c r="J54" i="2"/>
  <c r="I54" i="2"/>
  <c r="I14" i="4" s="1"/>
  <c r="I16" i="4" s="1"/>
  <c r="H54" i="2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G47" i="2"/>
  <c r="CF47" i="2"/>
  <c r="CE47" i="2"/>
  <c r="CE64" i="2" s="1"/>
  <c r="CD47" i="2"/>
  <c r="CC47" i="2"/>
  <c r="CB47" i="2"/>
  <c r="CA47" i="2"/>
  <c r="CA64" i="2" s="1"/>
  <c r="BZ47" i="2"/>
  <c r="BZ64" i="2" s="1"/>
  <c r="BY47" i="2"/>
  <c r="BX47" i="2"/>
  <c r="BW47" i="2"/>
  <c r="BW64" i="2" s="1"/>
  <c r="BV47" i="2"/>
  <c r="BU47" i="2"/>
  <c r="BT47" i="2"/>
  <c r="BT64" i="2" s="1"/>
  <c r="BS47" i="2"/>
  <c r="BR47" i="2"/>
  <c r="BR64" i="2" s="1"/>
  <c r="BQ47" i="2"/>
  <c r="BP47" i="2"/>
  <c r="BO47" i="2"/>
  <c r="BO64" i="2" s="1"/>
  <c r="BN47" i="2"/>
  <c r="BM47" i="2"/>
  <c r="BL47" i="2"/>
  <c r="BL64" i="2" s="1"/>
  <c r="BK47" i="2"/>
  <c r="BK64" i="2" s="1"/>
  <c r="BJ47" i="2"/>
  <c r="BI47" i="2"/>
  <c r="BH47" i="2"/>
  <c r="BG47" i="2"/>
  <c r="BG64" i="2" s="1"/>
  <c r="BF47" i="2"/>
  <c r="BE47" i="2"/>
  <c r="BD47" i="2"/>
  <c r="BD64" i="2" s="1"/>
  <c r="BC47" i="2"/>
  <c r="BC64" i="2" s="1"/>
  <c r="BB47" i="2"/>
  <c r="BB64" i="2" s="1"/>
  <c r="BA47" i="2"/>
  <c r="AZ47" i="2"/>
  <c r="AY47" i="2"/>
  <c r="AY64" i="2" s="1"/>
  <c r="AX47" i="2"/>
  <c r="AW47" i="2"/>
  <c r="AV47" i="2"/>
  <c r="AU47" i="2"/>
  <c r="AU64" i="2" s="1"/>
  <c r="AT47" i="2"/>
  <c r="AT64" i="2" s="1"/>
  <c r="AS47" i="2"/>
  <c r="AR47" i="2"/>
  <c r="AQ47" i="2"/>
  <c r="AQ64" i="2" s="1"/>
  <c r="AP47" i="2"/>
  <c r="AO47" i="2"/>
  <c r="AN47" i="2"/>
  <c r="AN64" i="2" s="1"/>
  <c r="AM47" i="2"/>
  <c r="AM64" i="2" s="1"/>
  <c r="AL47" i="2"/>
  <c r="AL64" i="2" s="1"/>
  <c r="AK47" i="2"/>
  <c r="AJ47" i="2"/>
  <c r="AI47" i="2"/>
  <c r="AI64" i="2" s="1"/>
  <c r="AH47" i="2"/>
  <c r="AG47" i="2"/>
  <c r="AF47" i="2"/>
  <c r="AF64" i="2" s="1"/>
  <c r="AE47" i="2"/>
  <c r="AE64" i="2" s="1"/>
  <c r="AD47" i="2"/>
  <c r="AD64" i="2" s="1"/>
  <c r="AC47" i="2"/>
  <c r="AB47" i="2"/>
  <c r="AA47" i="2"/>
  <c r="AA64" i="2" s="1"/>
  <c r="Z47" i="2"/>
  <c r="Y47" i="2"/>
  <c r="X47" i="2"/>
  <c r="W47" i="2"/>
  <c r="V47" i="2"/>
  <c r="U47" i="2"/>
  <c r="T47" i="2"/>
  <c r="S47" i="2"/>
  <c r="S64" i="2" s="1"/>
  <c r="R47" i="2"/>
  <c r="Q47" i="2"/>
  <c r="P47" i="2"/>
  <c r="O47" i="2"/>
  <c r="N47" i="2"/>
  <c r="M47" i="2"/>
  <c r="L47" i="2"/>
  <c r="K47" i="2"/>
  <c r="K64" i="2" s="1"/>
  <c r="J47" i="2"/>
  <c r="I47" i="2"/>
  <c r="H47" i="2"/>
  <c r="G47" i="2"/>
  <c r="F47" i="2"/>
  <c r="E47" i="2"/>
  <c r="D47" i="2"/>
  <c r="C47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H37" i="2"/>
  <c r="CG37" i="2"/>
  <c r="CF37" i="2"/>
  <c r="CE37" i="2"/>
  <c r="CD37" i="2"/>
  <c r="CC37" i="2"/>
  <c r="BZ37" i="2"/>
  <c r="BY37" i="2"/>
  <c r="BX37" i="2"/>
  <c r="BW37" i="2"/>
  <c r="BV37" i="2"/>
  <c r="BU37" i="2"/>
  <c r="BS37" i="2"/>
  <c r="BR37" i="2"/>
  <c r="BQ37" i="2"/>
  <c r="BP37" i="2"/>
  <c r="BO37" i="2"/>
  <c r="BN37" i="2"/>
  <c r="BM37" i="2"/>
  <c r="BK37" i="2"/>
  <c r="BJ37" i="2"/>
  <c r="BI37" i="2"/>
  <c r="BH37" i="2"/>
  <c r="BG37" i="2"/>
  <c r="BF37" i="2"/>
  <c r="BE37" i="2"/>
  <c r="BC37" i="2"/>
  <c r="BB37" i="2"/>
  <c r="BA37" i="2"/>
  <c r="AZ37" i="2"/>
  <c r="AY37" i="2"/>
  <c r="AX37" i="2"/>
  <c r="AW37" i="2"/>
  <c r="AU37" i="2"/>
  <c r="AT37" i="2"/>
  <c r="AS37" i="2"/>
  <c r="AR37" i="2"/>
  <c r="AQ37" i="2"/>
  <c r="AP37" i="2"/>
  <c r="AO37" i="2"/>
  <c r="AL37" i="2"/>
  <c r="AK37" i="2"/>
  <c r="AJ37" i="2"/>
  <c r="AI37" i="2"/>
  <c r="AH37" i="2"/>
  <c r="AG37" i="2"/>
  <c r="AD37" i="2"/>
  <c r="AC37" i="2"/>
  <c r="AB37" i="2"/>
  <c r="AA37" i="2"/>
  <c r="Z37" i="2"/>
  <c r="Y37" i="2"/>
  <c r="V37" i="2"/>
  <c r="U37" i="2"/>
  <c r="T37" i="2"/>
  <c r="S37" i="2"/>
  <c r="R37" i="2"/>
  <c r="Q37" i="2"/>
  <c r="N37" i="2"/>
  <c r="M37" i="2"/>
  <c r="L37" i="2"/>
  <c r="K37" i="2"/>
  <c r="J37" i="2"/>
  <c r="I37" i="2"/>
  <c r="G37" i="2"/>
  <c r="F37" i="2"/>
  <c r="E37" i="2"/>
  <c r="D37" i="2"/>
  <c r="C37" i="2"/>
  <c r="CH36" i="2"/>
  <c r="CG36" i="2"/>
  <c r="CF36" i="2"/>
  <c r="CE36" i="2"/>
  <c r="CD36" i="2"/>
  <c r="CC36" i="2"/>
  <c r="BZ36" i="2"/>
  <c r="BY36" i="2"/>
  <c r="BX36" i="2"/>
  <c r="BW36" i="2"/>
  <c r="BV36" i="2"/>
  <c r="BU36" i="2"/>
  <c r="BR36" i="2"/>
  <c r="BQ36" i="2"/>
  <c r="BP36" i="2"/>
  <c r="BO36" i="2"/>
  <c r="BN36" i="2"/>
  <c r="BM36" i="2"/>
  <c r="BJ36" i="2"/>
  <c r="BI36" i="2"/>
  <c r="BH36" i="2"/>
  <c r="BG36" i="2"/>
  <c r="BF36" i="2"/>
  <c r="BE36" i="2"/>
  <c r="BB36" i="2"/>
  <c r="BA36" i="2"/>
  <c r="AZ36" i="2"/>
  <c r="AY36" i="2"/>
  <c r="AX36" i="2"/>
  <c r="AW36" i="2"/>
  <c r="AT36" i="2"/>
  <c r="AS36" i="2"/>
  <c r="AR36" i="2"/>
  <c r="AQ36" i="2"/>
  <c r="AP36" i="2"/>
  <c r="AO36" i="2"/>
  <c r="AL36" i="2"/>
  <c r="AK36" i="2"/>
  <c r="AJ36" i="2"/>
  <c r="AI36" i="2"/>
  <c r="AH36" i="2"/>
  <c r="AG36" i="2"/>
  <c r="AD36" i="2"/>
  <c r="AC36" i="2"/>
  <c r="AB36" i="2"/>
  <c r="AA36" i="2"/>
  <c r="Z36" i="2"/>
  <c r="Y36" i="2"/>
  <c r="V36" i="2"/>
  <c r="U36" i="2"/>
  <c r="T36" i="2"/>
  <c r="S36" i="2"/>
  <c r="R36" i="2"/>
  <c r="Q36" i="2"/>
  <c r="N36" i="2"/>
  <c r="M36" i="2"/>
  <c r="L36" i="2"/>
  <c r="K36" i="2"/>
  <c r="J36" i="2"/>
  <c r="I36" i="2"/>
  <c r="F36" i="2"/>
  <c r="E36" i="2"/>
  <c r="D36" i="2"/>
  <c r="C36" i="2"/>
  <c r="CH35" i="2"/>
  <c r="CG35" i="2"/>
  <c r="CF35" i="2"/>
  <c r="CE35" i="2"/>
  <c r="CD35" i="2"/>
  <c r="CC35" i="2"/>
  <c r="CA35" i="2"/>
  <c r="BZ35" i="2"/>
  <c r="BY35" i="2"/>
  <c r="BX35" i="2"/>
  <c r="BW35" i="2"/>
  <c r="BV35" i="2"/>
  <c r="BU35" i="2"/>
  <c r="BS35" i="2"/>
  <c r="BR35" i="2"/>
  <c r="BQ35" i="2"/>
  <c r="BP35" i="2"/>
  <c r="BO35" i="2"/>
  <c r="BN35" i="2"/>
  <c r="BM35" i="2"/>
  <c r="BK35" i="2"/>
  <c r="BJ35" i="2"/>
  <c r="BI35" i="2"/>
  <c r="BH35" i="2"/>
  <c r="BG35" i="2"/>
  <c r="BF35" i="2"/>
  <c r="BE35" i="2"/>
  <c r="BB35" i="2"/>
  <c r="BA35" i="2"/>
  <c r="AZ35" i="2"/>
  <c r="AY35" i="2"/>
  <c r="AX35" i="2"/>
  <c r="AW35" i="2"/>
  <c r="AT35" i="2"/>
  <c r="AS35" i="2"/>
  <c r="AR35" i="2"/>
  <c r="AQ35" i="2"/>
  <c r="AP35" i="2"/>
  <c r="AO35" i="2"/>
  <c r="AL35" i="2"/>
  <c r="AK35" i="2"/>
  <c r="AJ35" i="2"/>
  <c r="AI35" i="2"/>
  <c r="AH35" i="2"/>
  <c r="AG35" i="2"/>
  <c r="AD35" i="2"/>
  <c r="AC35" i="2"/>
  <c r="AB35" i="2"/>
  <c r="AA35" i="2"/>
  <c r="Z35" i="2"/>
  <c r="Y35" i="2"/>
  <c r="W35" i="2"/>
  <c r="V35" i="2"/>
  <c r="U35" i="2"/>
  <c r="T35" i="2"/>
  <c r="S35" i="2"/>
  <c r="R35" i="2"/>
  <c r="Q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CH34" i="2"/>
  <c r="CG34" i="2"/>
  <c r="CF34" i="2"/>
  <c r="CE34" i="2"/>
  <c r="CD34" i="2"/>
  <c r="CC34" i="2"/>
  <c r="BZ34" i="2"/>
  <c r="BY34" i="2"/>
  <c r="BX34" i="2"/>
  <c r="BW34" i="2"/>
  <c r="BV34" i="2"/>
  <c r="BU34" i="2"/>
  <c r="BR34" i="2"/>
  <c r="BQ34" i="2"/>
  <c r="BP34" i="2"/>
  <c r="BO34" i="2"/>
  <c r="BN34" i="2"/>
  <c r="BM34" i="2"/>
  <c r="BJ34" i="2"/>
  <c r="BI34" i="2"/>
  <c r="BH34" i="2"/>
  <c r="BG34" i="2"/>
  <c r="BF34" i="2"/>
  <c r="BE34" i="2"/>
  <c r="BB34" i="2"/>
  <c r="BA34" i="2"/>
  <c r="AZ34" i="2"/>
  <c r="AY34" i="2"/>
  <c r="AX34" i="2"/>
  <c r="AW34" i="2"/>
  <c r="AT34" i="2"/>
  <c r="AS34" i="2"/>
  <c r="AR34" i="2"/>
  <c r="AQ34" i="2"/>
  <c r="AP34" i="2"/>
  <c r="AO34" i="2"/>
  <c r="AL34" i="2"/>
  <c r="AK34" i="2"/>
  <c r="AJ34" i="2"/>
  <c r="AI34" i="2"/>
  <c r="AH34" i="2"/>
  <c r="AG34" i="2"/>
  <c r="AD34" i="2"/>
  <c r="AC34" i="2"/>
  <c r="AB34" i="2"/>
  <c r="AA34" i="2"/>
  <c r="Z34" i="2"/>
  <c r="Y34" i="2"/>
  <c r="V34" i="2"/>
  <c r="U34" i="2"/>
  <c r="T34" i="2"/>
  <c r="S34" i="2"/>
  <c r="R34" i="2"/>
  <c r="Q34" i="2"/>
  <c r="N34" i="2"/>
  <c r="M34" i="2"/>
  <c r="L34" i="2"/>
  <c r="K34" i="2"/>
  <c r="J34" i="2"/>
  <c r="I34" i="2"/>
  <c r="F34" i="2"/>
  <c r="E34" i="2"/>
  <c r="D34" i="2"/>
  <c r="C34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CH32" i="2"/>
  <c r="CG32" i="2"/>
  <c r="CF32" i="2"/>
  <c r="CE32" i="2"/>
  <c r="CD32" i="2"/>
  <c r="CC32" i="2"/>
  <c r="BZ32" i="2"/>
  <c r="BY32" i="2"/>
  <c r="BX32" i="2"/>
  <c r="BW32" i="2"/>
  <c r="BV32" i="2"/>
  <c r="BU32" i="2"/>
  <c r="BR32" i="2"/>
  <c r="BQ32" i="2"/>
  <c r="BP32" i="2"/>
  <c r="BO32" i="2"/>
  <c r="BN32" i="2"/>
  <c r="BM32" i="2"/>
  <c r="BJ32" i="2"/>
  <c r="BI32" i="2"/>
  <c r="BH32" i="2"/>
  <c r="BG32" i="2"/>
  <c r="BF32" i="2"/>
  <c r="BE32" i="2"/>
  <c r="BB32" i="2"/>
  <c r="BA32" i="2"/>
  <c r="AZ32" i="2"/>
  <c r="AY32" i="2"/>
  <c r="AX32" i="2"/>
  <c r="AW32" i="2"/>
  <c r="AT32" i="2"/>
  <c r="AS32" i="2"/>
  <c r="AR32" i="2"/>
  <c r="AQ32" i="2"/>
  <c r="AP32" i="2"/>
  <c r="AO32" i="2"/>
  <c r="AL32" i="2"/>
  <c r="AK32" i="2"/>
  <c r="AJ32" i="2"/>
  <c r="AI32" i="2"/>
  <c r="AH32" i="2"/>
  <c r="AG32" i="2"/>
  <c r="AD32" i="2"/>
  <c r="AC32" i="2"/>
  <c r="AB32" i="2"/>
  <c r="AA32" i="2"/>
  <c r="Z32" i="2"/>
  <c r="Y32" i="2"/>
  <c r="V32" i="2"/>
  <c r="U32" i="2"/>
  <c r="T32" i="2"/>
  <c r="S32" i="2"/>
  <c r="R32" i="2"/>
  <c r="Q32" i="2"/>
  <c r="N32" i="2"/>
  <c r="M32" i="2"/>
  <c r="L32" i="2"/>
  <c r="K32" i="2"/>
  <c r="J32" i="2"/>
  <c r="I32" i="2"/>
  <c r="F32" i="2"/>
  <c r="E32" i="2"/>
  <c r="D32" i="2"/>
  <c r="C32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CH30" i="2"/>
  <c r="CG30" i="2"/>
  <c r="CF30" i="2"/>
  <c r="CE30" i="2"/>
  <c r="CD30" i="2"/>
  <c r="CC30" i="2"/>
  <c r="BZ30" i="2"/>
  <c r="BY30" i="2"/>
  <c r="BX30" i="2"/>
  <c r="BW30" i="2"/>
  <c r="BV30" i="2"/>
  <c r="BU30" i="2"/>
  <c r="BR30" i="2"/>
  <c r="BQ30" i="2"/>
  <c r="BP30" i="2"/>
  <c r="BO30" i="2"/>
  <c r="BN30" i="2"/>
  <c r="BM30" i="2"/>
  <c r="BJ30" i="2"/>
  <c r="BI30" i="2"/>
  <c r="BH30" i="2"/>
  <c r="BG30" i="2"/>
  <c r="BF30" i="2"/>
  <c r="BE30" i="2"/>
  <c r="BB30" i="2"/>
  <c r="BA30" i="2"/>
  <c r="AZ30" i="2"/>
  <c r="AY30" i="2"/>
  <c r="AX30" i="2"/>
  <c r="AW30" i="2"/>
  <c r="AT30" i="2"/>
  <c r="AS30" i="2"/>
  <c r="AR30" i="2"/>
  <c r="AQ30" i="2"/>
  <c r="AP30" i="2"/>
  <c r="AO30" i="2"/>
  <c r="AL30" i="2"/>
  <c r="AK30" i="2"/>
  <c r="AJ30" i="2"/>
  <c r="AI30" i="2"/>
  <c r="AH30" i="2"/>
  <c r="AG30" i="2"/>
  <c r="AD30" i="2"/>
  <c r="AC30" i="2"/>
  <c r="AB30" i="2"/>
  <c r="AA30" i="2"/>
  <c r="Z30" i="2"/>
  <c r="Y30" i="2"/>
  <c r="V30" i="2"/>
  <c r="U30" i="2"/>
  <c r="T30" i="2"/>
  <c r="S30" i="2"/>
  <c r="R30" i="2"/>
  <c r="Q30" i="2"/>
  <c r="N30" i="2"/>
  <c r="M30" i="2"/>
  <c r="L30" i="2"/>
  <c r="K30" i="2"/>
  <c r="J30" i="2"/>
  <c r="I30" i="2"/>
  <c r="F30" i="2"/>
  <c r="E30" i="2"/>
  <c r="D30" i="2"/>
  <c r="C30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CH28" i="2"/>
  <c r="CG28" i="2"/>
  <c r="CF28" i="2"/>
  <c r="CE28" i="2"/>
  <c r="CD28" i="2"/>
  <c r="CC28" i="2"/>
  <c r="BZ28" i="2"/>
  <c r="BY28" i="2"/>
  <c r="BX28" i="2"/>
  <c r="BW28" i="2"/>
  <c r="BV28" i="2"/>
  <c r="BU28" i="2"/>
  <c r="BR28" i="2"/>
  <c r="BQ28" i="2"/>
  <c r="BP28" i="2"/>
  <c r="BO28" i="2"/>
  <c r="BN28" i="2"/>
  <c r="BM28" i="2"/>
  <c r="BJ28" i="2"/>
  <c r="BI28" i="2"/>
  <c r="BH28" i="2"/>
  <c r="BG28" i="2"/>
  <c r="BF28" i="2"/>
  <c r="BE28" i="2"/>
  <c r="BB28" i="2"/>
  <c r="BA28" i="2"/>
  <c r="AZ28" i="2"/>
  <c r="AY28" i="2"/>
  <c r="AX28" i="2"/>
  <c r="AW28" i="2"/>
  <c r="AT28" i="2"/>
  <c r="AS28" i="2"/>
  <c r="AR28" i="2"/>
  <c r="AQ28" i="2"/>
  <c r="AP28" i="2"/>
  <c r="AO28" i="2"/>
  <c r="AL28" i="2"/>
  <c r="AK28" i="2"/>
  <c r="AJ28" i="2"/>
  <c r="AI28" i="2"/>
  <c r="AH28" i="2"/>
  <c r="AG28" i="2"/>
  <c r="AD28" i="2"/>
  <c r="AC28" i="2"/>
  <c r="AB28" i="2"/>
  <c r="AA28" i="2"/>
  <c r="Z28" i="2"/>
  <c r="Y28" i="2"/>
  <c r="V28" i="2"/>
  <c r="U28" i="2"/>
  <c r="T28" i="2"/>
  <c r="S28" i="2"/>
  <c r="R28" i="2"/>
  <c r="Q28" i="2"/>
  <c r="N28" i="2"/>
  <c r="M28" i="2"/>
  <c r="L28" i="2"/>
  <c r="K28" i="2"/>
  <c r="J28" i="2"/>
  <c r="I28" i="2"/>
  <c r="F28" i="2"/>
  <c r="E28" i="2"/>
  <c r="D28" i="2"/>
  <c r="C28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H26" i="2"/>
  <c r="CG26" i="2"/>
  <c r="CF26" i="2"/>
  <c r="CE26" i="2"/>
  <c r="CD26" i="2"/>
  <c r="CC26" i="2"/>
  <c r="BZ26" i="2"/>
  <c r="BY26" i="2"/>
  <c r="BX26" i="2"/>
  <c r="BW26" i="2"/>
  <c r="BV26" i="2"/>
  <c r="BU26" i="2"/>
  <c r="BR26" i="2"/>
  <c r="BQ26" i="2"/>
  <c r="BP26" i="2"/>
  <c r="BO26" i="2"/>
  <c r="BN26" i="2"/>
  <c r="BM26" i="2"/>
  <c r="BJ26" i="2"/>
  <c r="BI26" i="2"/>
  <c r="BH26" i="2"/>
  <c r="BG26" i="2"/>
  <c r="BF26" i="2"/>
  <c r="BE26" i="2"/>
  <c r="BB26" i="2"/>
  <c r="BA26" i="2"/>
  <c r="AZ26" i="2"/>
  <c r="AY26" i="2"/>
  <c r="AX26" i="2"/>
  <c r="AW26" i="2"/>
  <c r="AT26" i="2"/>
  <c r="AS26" i="2"/>
  <c r="AR26" i="2"/>
  <c r="AQ26" i="2"/>
  <c r="AP26" i="2"/>
  <c r="AO26" i="2"/>
  <c r="AL26" i="2"/>
  <c r="AK26" i="2"/>
  <c r="AJ26" i="2"/>
  <c r="AI26" i="2"/>
  <c r="AH26" i="2"/>
  <c r="AG26" i="2"/>
  <c r="AD26" i="2"/>
  <c r="AC26" i="2"/>
  <c r="AB26" i="2"/>
  <c r="AA26" i="2"/>
  <c r="Z26" i="2"/>
  <c r="Y26" i="2"/>
  <c r="V26" i="2"/>
  <c r="U26" i="2"/>
  <c r="T26" i="2"/>
  <c r="S26" i="2"/>
  <c r="R26" i="2"/>
  <c r="Q26" i="2"/>
  <c r="N26" i="2"/>
  <c r="M26" i="2"/>
  <c r="L26" i="2"/>
  <c r="K26" i="2"/>
  <c r="J26" i="2"/>
  <c r="I26" i="2"/>
  <c r="F26" i="2"/>
  <c r="E26" i="2"/>
  <c r="D26" i="2"/>
  <c r="C26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H24" i="2"/>
  <c r="CG24" i="2"/>
  <c r="CF24" i="2"/>
  <c r="CE24" i="2"/>
  <c r="CD24" i="2"/>
  <c r="CC24" i="2"/>
  <c r="BZ24" i="2"/>
  <c r="BY24" i="2"/>
  <c r="BX24" i="2"/>
  <c r="BW24" i="2"/>
  <c r="BV24" i="2"/>
  <c r="BU24" i="2"/>
  <c r="BR24" i="2"/>
  <c r="BQ24" i="2"/>
  <c r="BP24" i="2"/>
  <c r="BO24" i="2"/>
  <c r="BN24" i="2"/>
  <c r="BM24" i="2"/>
  <c r="BJ24" i="2"/>
  <c r="BI24" i="2"/>
  <c r="BH24" i="2"/>
  <c r="BG24" i="2"/>
  <c r="BF24" i="2"/>
  <c r="BE24" i="2"/>
  <c r="BB24" i="2"/>
  <c r="BA24" i="2"/>
  <c r="AZ24" i="2"/>
  <c r="AY24" i="2"/>
  <c r="AX24" i="2"/>
  <c r="AW24" i="2"/>
  <c r="AT24" i="2"/>
  <c r="AS24" i="2"/>
  <c r="AR24" i="2"/>
  <c r="AQ24" i="2"/>
  <c r="AP24" i="2"/>
  <c r="AO24" i="2"/>
  <c r="AL24" i="2"/>
  <c r="AK24" i="2"/>
  <c r="AJ24" i="2"/>
  <c r="AI24" i="2"/>
  <c r="AH24" i="2"/>
  <c r="AG24" i="2"/>
  <c r="AD24" i="2"/>
  <c r="AC24" i="2"/>
  <c r="AB24" i="2"/>
  <c r="AA24" i="2"/>
  <c r="Z24" i="2"/>
  <c r="Y24" i="2"/>
  <c r="V24" i="2"/>
  <c r="U24" i="2"/>
  <c r="T24" i="2"/>
  <c r="S24" i="2"/>
  <c r="R24" i="2"/>
  <c r="Q24" i="2"/>
  <c r="N24" i="2"/>
  <c r="M24" i="2"/>
  <c r="L24" i="2"/>
  <c r="K24" i="2"/>
  <c r="J24" i="2"/>
  <c r="I24" i="2"/>
  <c r="F24" i="2"/>
  <c r="E24" i="2"/>
  <c r="D24" i="2"/>
  <c r="C24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H18" i="2"/>
  <c r="CC18" i="2"/>
  <c r="CB18" i="2"/>
  <c r="CA18" i="2"/>
  <c r="BZ18" i="2"/>
  <c r="BU18" i="2"/>
  <c r="BT18" i="2"/>
  <c r="BS18" i="2"/>
  <c r="BR18" i="2"/>
  <c r="BM18" i="2"/>
  <c r="BL18" i="2"/>
  <c r="BK18" i="2"/>
  <c r="V14" i="3" s="1"/>
  <c r="BJ18" i="2"/>
  <c r="BE18" i="2"/>
  <c r="BD18" i="2"/>
  <c r="BC18" i="2"/>
  <c r="BB18" i="2"/>
  <c r="AW18" i="2"/>
  <c r="AV18" i="2"/>
  <c r="AU18" i="2"/>
  <c r="AT18" i="2"/>
  <c r="AO18" i="2"/>
  <c r="AN18" i="2"/>
  <c r="AM18" i="2"/>
  <c r="N14" i="3" s="1"/>
  <c r="AL18" i="2"/>
  <c r="AG18" i="2"/>
  <c r="AF18" i="2"/>
  <c r="AE18" i="2"/>
  <c r="AD18" i="2"/>
  <c r="Y18" i="2"/>
  <c r="X18" i="2"/>
  <c r="W18" i="2"/>
  <c r="V18" i="2"/>
  <c r="Q18" i="2"/>
  <c r="P18" i="2"/>
  <c r="O18" i="2"/>
  <c r="F14" i="3" s="1"/>
  <c r="N18" i="2"/>
  <c r="I18" i="2"/>
  <c r="H18" i="2"/>
  <c r="G18" i="2"/>
  <c r="F18" i="2"/>
  <c r="CG17" i="2"/>
  <c r="CF17" i="2"/>
  <c r="CE17" i="2"/>
  <c r="CD17" i="2"/>
  <c r="BY17" i="2"/>
  <c r="BX17" i="2"/>
  <c r="BW17" i="2"/>
  <c r="BV17" i="2"/>
  <c r="BQ17" i="2"/>
  <c r="BP17" i="2"/>
  <c r="BO17" i="2"/>
  <c r="BN17" i="2"/>
  <c r="BI17" i="2"/>
  <c r="BH17" i="2"/>
  <c r="BG17" i="2"/>
  <c r="BF17" i="2"/>
  <c r="BA17" i="2"/>
  <c r="AZ17" i="2"/>
  <c r="AY17" i="2"/>
  <c r="AX17" i="2"/>
  <c r="AS17" i="2"/>
  <c r="AR17" i="2"/>
  <c r="AQ17" i="2"/>
  <c r="AP17" i="2"/>
  <c r="AK17" i="2"/>
  <c r="AJ17" i="2"/>
  <c r="AI17" i="2"/>
  <c r="AH17" i="2"/>
  <c r="AC17" i="2"/>
  <c r="AB17" i="2"/>
  <c r="AA17" i="2"/>
  <c r="Z17" i="2"/>
  <c r="U17" i="2"/>
  <c r="T17" i="2"/>
  <c r="S17" i="2"/>
  <c r="R17" i="2"/>
  <c r="M17" i="2"/>
  <c r="L17" i="2"/>
  <c r="K17" i="2"/>
  <c r="J17" i="2"/>
  <c r="E17" i="2"/>
  <c r="D17" i="2"/>
  <c r="C17" i="2"/>
  <c r="CH16" i="2"/>
  <c r="CC16" i="2"/>
  <c r="CB16" i="2"/>
  <c r="CA16" i="2"/>
  <c r="BZ16" i="2"/>
  <c r="BU16" i="2"/>
  <c r="BT16" i="2"/>
  <c r="BS16" i="2"/>
  <c r="BR16" i="2"/>
  <c r="BM16" i="2"/>
  <c r="BL16" i="2"/>
  <c r="BK16" i="2"/>
  <c r="BJ16" i="2"/>
  <c r="BE16" i="2"/>
  <c r="BD16" i="2"/>
  <c r="BC16" i="2"/>
  <c r="BB16" i="2"/>
  <c r="AW16" i="2"/>
  <c r="AV16" i="2"/>
  <c r="AU16" i="2"/>
  <c r="AT16" i="2"/>
  <c r="AO16" i="2"/>
  <c r="AN16" i="2"/>
  <c r="AM16" i="2"/>
  <c r="AL16" i="2"/>
  <c r="AJ16" i="2"/>
  <c r="AG16" i="2"/>
  <c r="AF16" i="2"/>
  <c r="AE16" i="2"/>
  <c r="AD16" i="2"/>
  <c r="AB16" i="2"/>
  <c r="Y16" i="2"/>
  <c r="X16" i="2"/>
  <c r="W16" i="2"/>
  <c r="V16" i="2"/>
  <c r="T16" i="2"/>
  <c r="Q16" i="2"/>
  <c r="P16" i="2"/>
  <c r="O16" i="2"/>
  <c r="N16" i="2"/>
  <c r="L16" i="2"/>
  <c r="I16" i="2"/>
  <c r="H16" i="2"/>
  <c r="G16" i="2"/>
  <c r="F16" i="2"/>
  <c r="D16" i="2"/>
  <c r="C16" i="2"/>
  <c r="CH15" i="2"/>
  <c r="CG15" i="2"/>
  <c r="CF15" i="2"/>
  <c r="AC12" i="3" s="1"/>
  <c r="CE15" i="2"/>
  <c r="CD15" i="2"/>
  <c r="CC15" i="2"/>
  <c r="CB15" i="2"/>
  <c r="CA15" i="2"/>
  <c r="BZ15" i="2"/>
  <c r="BY15" i="2"/>
  <c r="BX15" i="2"/>
  <c r="BW15" i="2"/>
  <c r="Z12" i="3" s="1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U12" i="3" s="1"/>
  <c r="BG15" i="2"/>
  <c r="BF15" i="2"/>
  <c r="BE15" i="2"/>
  <c r="BD15" i="2"/>
  <c r="BC15" i="2"/>
  <c r="BB15" i="2"/>
  <c r="BA15" i="2"/>
  <c r="AZ15" i="2"/>
  <c r="AY15" i="2"/>
  <c r="R12" i="3" s="1"/>
  <c r="AX15" i="2"/>
  <c r="AW15" i="2"/>
  <c r="AV15" i="2"/>
  <c r="AU15" i="2"/>
  <c r="AT15" i="2"/>
  <c r="AS15" i="2"/>
  <c r="P12" i="3" s="1"/>
  <c r="AR15" i="2"/>
  <c r="AQ15" i="2"/>
  <c r="AP15" i="2"/>
  <c r="AO15" i="2"/>
  <c r="AN15" i="2"/>
  <c r="AM15" i="2"/>
  <c r="AL15" i="2"/>
  <c r="AK15" i="2"/>
  <c r="AJ15" i="2"/>
  <c r="M12" i="3" s="1"/>
  <c r="AI15" i="2"/>
  <c r="AH15" i="2"/>
  <c r="AG15" i="2"/>
  <c r="AF15" i="2"/>
  <c r="AE15" i="2"/>
  <c r="AD15" i="2"/>
  <c r="AC15" i="2"/>
  <c r="AB15" i="2"/>
  <c r="AA15" i="2"/>
  <c r="J12" i="3" s="1"/>
  <c r="Z15" i="2"/>
  <c r="Y15" i="2"/>
  <c r="X15" i="2"/>
  <c r="W15" i="2"/>
  <c r="V15" i="2"/>
  <c r="U15" i="2"/>
  <c r="H12" i="3" s="1"/>
  <c r="T15" i="2"/>
  <c r="S15" i="2"/>
  <c r="C12" i="1" s="1"/>
  <c r="R15" i="2"/>
  <c r="Q15" i="2"/>
  <c r="P15" i="2"/>
  <c r="O15" i="2"/>
  <c r="N15" i="2"/>
  <c r="M15" i="2"/>
  <c r="L15" i="2"/>
  <c r="E12" i="3" s="1"/>
  <c r="K15" i="2"/>
  <c r="J15" i="2"/>
  <c r="I15" i="2"/>
  <c r="H15" i="2"/>
  <c r="G15" i="2"/>
  <c r="F15" i="2"/>
  <c r="E15" i="2"/>
  <c r="D15" i="2"/>
  <c r="C15" i="2"/>
  <c r="B12" i="3" s="1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CH8" i="2"/>
  <c r="CG8" i="2"/>
  <c r="CG12" i="2" s="1"/>
  <c r="CF8" i="2"/>
  <c r="CE8" i="2"/>
  <c r="CE12" i="2" s="1"/>
  <c r="CD8" i="2"/>
  <c r="CD12" i="2" s="1"/>
  <c r="CC8" i="2"/>
  <c r="CB8" i="2"/>
  <c r="CA8" i="2"/>
  <c r="BZ8" i="2"/>
  <c r="BY8" i="2"/>
  <c r="BY12" i="2" s="1"/>
  <c r="BX8" i="2"/>
  <c r="BX12" i="2" s="1"/>
  <c r="BW8" i="2"/>
  <c r="BV8" i="2"/>
  <c r="BV12" i="2" s="1"/>
  <c r="BU8" i="2"/>
  <c r="BT8" i="2"/>
  <c r="BS8" i="2"/>
  <c r="BR8" i="2"/>
  <c r="BQ8" i="2"/>
  <c r="BP8" i="2"/>
  <c r="BP12" i="2" s="1"/>
  <c r="BO8" i="2"/>
  <c r="BO12" i="2" s="1"/>
  <c r="BN8" i="2"/>
  <c r="W5" i="3" s="1"/>
  <c r="BM8" i="2"/>
  <c r="BL8" i="2"/>
  <c r="BK8" i="2"/>
  <c r="BJ8" i="2"/>
  <c r="BI8" i="2"/>
  <c r="BI12" i="2" s="1"/>
  <c r="BH8" i="2"/>
  <c r="BG8" i="2"/>
  <c r="BG12" i="2" s="1"/>
  <c r="CH7" i="2"/>
  <c r="CG7" i="2"/>
  <c r="CF7" i="2"/>
  <c r="CE7" i="2"/>
  <c r="CD7" i="2"/>
  <c r="CC7" i="2"/>
  <c r="CB7" i="2"/>
  <c r="CA7" i="2"/>
  <c r="BZ7" i="2"/>
  <c r="AA3" i="3" s="1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S3" i="3" s="1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K3" i="3" s="1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C3" i="3" s="1"/>
  <c r="E7" i="2"/>
  <c r="D7" i="2"/>
  <c r="C7" i="2"/>
  <c r="B44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12" i="1"/>
  <c r="B12" i="1"/>
  <c r="I8" i="1"/>
  <c r="I41" i="5" s="1"/>
  <c r="I7" i="1"/>
  <c r="I6" i="1"/>
  <c r="I5" i="1"/>
  <c r="I3" i="1"/>
  <c r="AA6" i="3" l="1"/>
  <c r="W7" i="3"/>
  <c r="C8" i="3"/>
  <c r="K8" i="3"/>
  <c r="S8" i="3"/>
  <c r="AA8" i="3"/>
  <c r="H120" i="2"/>
  <c r="I116" i="2" s="1"/>
  <c r="CC66" i="2"/>
  <c r="BU66" i="2"/>
  <c r="BM66" i="2"/>
  <c r="BE66" i="2"/>
  <c r="AW66" i="2"/>
  <c r="AO66" i="2"/>
  <c r="AG66" i="2"/>
  <c r="Y66" i="2"/>
  <c r="Q66" i="2"/>
  <c r="I66" i="2"/>
  <c r="CB66" i="2"/>
  <c r="BT66" i="2"/>
  <c r="BL66" i="2"/>
  <c r="BD66" i="2"/>
  <c r="AV66" i="2"/>
  <c r="AN66" i="2"/>
  <c r="AF66" i="2"/>
  <c r="X66" i="2"/>
  <c r="P66" i="2"/>
  <c r="H66" i="2"/>
  <c r="CA66" i="2"/>
  <c r="BS66" i="2"/>
  <c r="BK66" i="2"/>
  <c r="BC66" i="2"/>
  <c r="AU66" i="2"/>
  <c r="AM66" i="2"/>
  <c r="AE66" i="2"/>
  <c r="W66" i="2"/>
  <c r="O66" i="2"/>
  <c r="G66" i="2"/>
  <c r="CH66" i="2"/>
  <c r="BZ66" i="2"/>
  <c r="BR66" i="2"/>
  <c r="BJ66" i="2"/>
  <c r="BB66" i="2"/>
  <c r="AT66" i="2"/>
  <c r="AL66" i="2"/>
  <c r="AD66" i="2"/>
  <c r="V66" i="2"/>
  <c r="N66" i="2"/>
  <c r="F66" i="2"/>
  <c r="CG66" i="2"/>
  <c r="BY66" i="2"/>
  <c r="BQ66" i="2"/>
  <c r="BI66" i="2"/>
  <c r="BA66" i="2"/>
  <c r="AS66" i="2"/>
  <c r="AK66" i="2"/>
  <c r="AC66" i="2"/>
  <c r="U66" i="2"/>
  <c r="M66" i="2"/>
  <c r="E66" i="2"/>
  <c r="CF66" i="2"/>
  <c r="BX66" i="2"/>
  <c r="BP66" i="2"/>
  <c r="BH66" i="2"/>
  <c r="AZ66" i="2"/>
  <c r="AR66" i="2"/>
  <c r="AJ66" i="2"/>
  <c r="AB66" i="2"/>
  <c r="T66" i="2"/>
  <c r="L66" i="2"/>
  <c r="D66" i="2"/>
  <c r="G76" i="2"/>
  <c r="G74" i="2"/>
  <c r="G72" i="2"/>
  <c r="O76" i="2"/>
  <c r="O74" i="2"/>
  <c r="O72" i="2"/>
  <c r="W76" i="2"/>
  <c r="W74" i="2"/>
  <c r="W72" i="2"/>
  <c r="W78" i="2"/>
  <c r="AE76" i="2"/>
  <c r="AE74" i="2"/>
  <c r="AE72" i="2"/>
  <c r="AM76" i="2"/>
  <c r="AM74" i="2"/>
  <c r="AM72" i="2"/>
  <c r="AU76" i="2"/>
  <c r="AU74" i="2"/>
  <c r="AU72" i="2"/>
  <c r="AU78" i="2"/>
  <c r="BC76" i="2"/>
  <c r="BC74" i="2"/>
  <c r="BC72" i="2"/>
  <c r="BK76" i="2"/>
  <c r="BK74" i="2"/>
  <c r="BK72" i="2"/>
  <c r="BS78" i="2"/>
  <c r="BS76" i="2"/>
  <c r="BS74" i="2"/>
  <c r="BS72" i="2"/>
  <c r="CA76" i="2"/>
  <c r="CA74" i="2"/>
  <c r="CA72" i="2"/>
  <c r="C16" i="11"/>
  <c r="C133" i="2"/>
  <c r="C141" i="2" s="1"/>
  <c r="K16" i="11"/>
  <c r="K133" i="2"/>
  <c r="K141" i="2" s="1"/>
  <c r="S16" i="11"/>
  <c r="S133" i="2"/>
  <c r="S141" i="2" s="1"/>
  <c r="AA16" i="11"/>
  <c r="AA133" i="2"/>
  <c r="AA141" i="2" s="1"/>
  <c r="AI16" i="11"/>
  <c r="AI133" i="2"/>
  <c r="AI141" i="2" s="1"/>
  <c r="AQ16" i="11"/>
  <c r="AQ133" i="2"/>
  <c r="AQ141" i="2" s="1"/>
  <c r="AY16" i="11"/>
  <c r="AY133" i="2"/>
  <c r="AY141" i="2" s="1"/>
  <c r="BG16" i="11"/>
  <c r="BG133" i="2"/>
  <c r="BG141" i="2" s="1"/>
  <c r="CE16" i="11"/>
  <c r="CE133" i="2"/>
  <c r="CE141" i="2" s="1"/>
  <c r="H76" i="2"/>
  <c r="H74" i="2"/>
  <c r="H72" i="2"/>
  <c r="H37" i="2"/>
  <c r="H77" i="2"/>
  <c r="H75" i="2"/>
  <c r="H73" i="2"/>
  <c r="H71" i="2"/>
  <c r="P76" i="2"/>
  <c r="P74" i="2"/>
  <c r="P72" i="2"/>
  <c r="P37" i="2"/>
  <c r="P35" i="2"/>
  <c r="P77" i="2"/>
  <c r="P75" i="2"/>
  <c r="P73" i="2"/>
  <c r="P71" i="2"/>
  <c r="X76" i="2"/>
  <c r="X74" i="2"/>
  <c r="X72" i="2"/>
  <c r="X37" i="2"/>
  <c r="X35" i="2"/>
  <c r="X77" i="2"/>
  <c r="X75" i="2"/>
  <c r="X73" i="2"/>
  <c r="X71" i="2"/>
  <c r="AF76" i="2"/>
  <c r="AF74" i="2"/>
  <c r="AF72" i="2"/>
  <c r="AF37" i="2"/>
  <c r="AF35" i="2"/>
  <c r="AF77" i="2"/>
  <c r="AF75" i="2"/>
  <c r="AF73" i="2"/>
  <c r="AF71" i="2"/>
  <c r="AN76" i="2"/>
  <c r="AN74" i="2"/>
  <c r="AN72" i="2"/>
  <c r="AN37" i="2"/>
  <c r="AN35" i="2"/>
  <c r="AN77" i="2"/>
  <c r="AN75" i="2"/>
  <c r="AN73" i="2"/>
  <c r="AN71" i="2"/>
  <c r="AV76" i="2"/>
  <c r="AV74" i="2"/>
  <c r="AV72" i="2"/>
  <c r="AV37" i="2"/>
  <c r="AV35" i="2"/>
  <c r="AV77" i="2"/>
  <c r="AV75" i="2"/>
  <c r="AV73" i="2"/>
  <c r="AV71" i="2"/>
  <c r="BD76" i="2"/>
  <c r="BD74" i="2"/>
  <c r="BD72" i="2"/>
  <c r="BD37" i="2"/>
  <c r="BD35" i="2"/>
  <c r="BD77" i="2"/>
  <c r="BD75" i="2"/>
  <c r="BD73" i="2"/>
  <c r="BD71" i="2"/>
  <c r="BL76" i="2"/>
  <c r="BL74" i="2"/>
  <c r="BL72" i="2"/>
  <c r="BL37" i="2"/>
  <c r="BL35" i="2"/>
  <c r="BL77" i="2"/>
  <c r="BL75" i="2"/>
  <c r="BL73" i="2"/>
  <c r="BL71" i="2"/>
  <c r="BT76" i="2"/>
  <c r="BT74" i="2"/>
  <c r="BT72" i="2"/>
  <c r="BT37" i="2"/>
  <c r="BT35" i="2"/>
  <c r="BT77" i="2"/>
  <c r="BT75" i="2"/>
  <c r="BT73" i="2"/>
  <c r="BT71" i="2"/>
  <c r="CB76" i="2"/>
  <c r="CB74" i="2"/>
  <c r="CB72" i="2"/>
  <c r="CB37" i="2"/>
  <c r="CB35" i="2"/>
  <c r="CB77" i="2"/>
  <c r="CB75" i="2"/>
  <c r="CB73" i="2"/>
  <c r="CB71" i="2"/>
  <c r="T16" i="11"/>
  <c r="T133" i="2"/>
  <c r="T141" i="2" s="1"/>
  <c r="G40" i="3" s="1"/>
  <c r="AB16" i="11"/>
  <c r="AB133" i="2"/>
  <c r="AB141" i="2" s="1"/>
  <c r="AJ16" i="11"/>
  <c r="AJ133" i="2"/>
  <c r="AJ141" i="2" s="1"/>
  <c r="AR16" i="11"/>
  <c r="AR133" i="2"/>
  <c r="AR141" i="2" s="1"/>
  <c r="O40" i="3" s="1"/>
  <c r="AZ16" i="11"/>
  <c r="AZ133" i="2"/>
  <c r="AZ141" i="2" s="1"/>
  <c r="BH16" i="11"/>
  <c r="BH133" i="2"/>
  <c r="BH141" i="2" s="1"/>
  <c r="BP16" i="11"/>
  <c r="BP133" i="2"/>
  <c r="BP141" i="2" s="1"/>
  <c r="W40" i="3" s="1"/>
  <c r="BX16" i="11"/>
  <c r="BX133" i="2"/>
  <c r="BX141" i="2" s="1"/>
  <c r="CF16" i="11"/>
  <c r="CF133" i="2"/>
  <c r="CF141" i="2" s="1"/>
  <c r="J66" i="2"/>
  <c r="AP66" i="2"/>
  <c r="BV66" i="2"/>
  <c r="C100" i="2"/>
  <c r="C101" i="2" s="1"/>
  <c r="AP141" i="2"/>
  <c r="BN141" i="2"/>
  <c r="BW133" i="2"/>
  <c r="BW141" i="2" s="1"/>
  <c r="K66" i="2"/>
  <c r="AQ66" i="2"/>
  <c r="BO133" i="2"/>
  <c r="BO141" i="2" s="1"/>
  <c r="BY141" i="2"/>
  <c r="Z40" i="3" s="1"/>
  <c r="B8" i="1"/>
  <c r="B41" i="5" s="1"/>
  <c r="D3" i="1"/>
  <c r="F3" i="1"/>
  <c r="H3" i="1"/>
  <c r="G5" i="1"/>
  <c r="BR12" i="2"/>
  <c r="CH12" i="2"/>
  <c r="C12" i="3"/>
  <c r="K12" i="3"/>
  <c r="J16" i="2"/>
  <c r="R16" i="2"/>
  <c r="Z16" i="2"/>
  <c r="I13" i="3" s="1"/>
  <c r="AH16" i="2"/>
  <c r="AP16" i="2"/>
  <c r="AX16" i="2"/>
  <c r="BF16" i="2"/>
  <c r="BN16" i="2"/>
  <c r="BV16" i="2"/>
  <c r="Y13" i="3" s="1"/>
  <c r="CD16" i="2"/>
  <c r="F17" i="2"/>
  <c r="N17" i="2"/>
  <c r="V17" i="2"/>
  <c r="AD17" i="2"/>
  <c r="AL17" i="2"/>
  <c r="AT17" i="2"/>
  <c r="BB17" i="2"/>
  <c r="S13" i="3" s="1"/>
  <c r="BJ17" i="2"/>
  <c r="BR17" i="2"/>
  <c r="BZ17" i="2"/>
  <c r="CH17" i="2"/>
  <c r="J18" i="2"/>
  <c r="R18" i="2"/>
  <c r="Z18" i="2"/>
  <c r="I14" i="3" s="1"/>
  <c r="AH18" i="2"/>
  <c r="AP18" i="2"/>
  <c r="AX18" i="2"/>
  <c r="Q14" i="3" s="1"/>
  <c r="BF18" i="2"/>
  <c r="BN18" i="2"/>
  <c r="BV18" i="2"/>
  <c r="H14" i="1" s="1"/>
  <c r="CD18" i="2"/>
  <c r="BC35" i="2"/>
  <c r="G36" i="2"/>
  <c r="O36" i="2"/>
  <c r="W36" i="2"/>
  <c r="AE36" i="2"/>
  <c r="AM36" i="2"/>
  <c r="AU36" i="2"/>
  <c r="BC36" i="2"/>
  <c r="BK36" i="2"/>
  <c r="BS36" i="2"/>
  <c r="CA36" i="2"/>
  <c r="AM37" i="2"/>
  <c r="R66" i="2"/>
  <c r="AX66" i="2"/>
  <c r="CD66" i="2"/>
  <c r="BC71" i="2"/>
  <c r="G73" i="2"/>
  <c r="BS73" i="2"/>
  <c r="W75" i="2"/>
  <c r="AM77" i="2"/>
  <c r="L133" i="2"/>
  <c r="L141" i="2" s="1"/>
  <c r="G141" i="2"/>
  <c r="O141" i="2"/>
  <c r="B3" i="3"/>
  <c r="B3" i="1"/>
  <c r="J3" i="3"/>
  <c r="R3" i="3"/>
  <c r="Z3" i="3"/>
  <c r="V5" i="3"/>
  <c r="BS12" i="2"/>
  <c r="CA12" i="2"/>
  <c r="Z6" i="3"/>
  <c r="V7" i="3"/>
  <c r="B8" i="3"/>
  <c r="C8" i="1"/>
  <c r="C41" i="5" s="1"/>
  <c r="J8" i="3"/>
  <c r="R8" i="3"/>
  <c r="Z8" i="3"/>
  <c r="K16" i="2"/>
  <c r="S16" i="2"/>
  <c r="AA16" i="2"/>
  <c r="AI16" i="2"/>
  <c r="AQ16" i="2"/>
  <c r="AY16" i="2"/>
  <c r="BG16" i="2"/>
  <c r="BO16" i="2"/>
  <c r="BW16" i="2"/>
  <c r="CE16" i="2"/>
  <c r="G17" i="2"/>
  <c r="O17" i="2"/>
  <c r="F13" i="3" s="1"/>
  <c r="W17" i="2"/>
  <c r="AE17" i="2"/>
  <c r="AM17" i="2"/>
  <c r="N13" i="3" s="1"/>
  <c r="AU17" i="2"/>
  <c r="BC17" i="2"/>
  <c r="BK17" i="2"/>
  <c r="V13" i="3" s="1"/>
  <c r="BS17" i="2"/>
  <c r="CA17" i="2"/>
  <c r="AA13" i="3" s="1"/>
  <c r="C18" i="2"/>
  <c r="K18" i="2"/>
  <c r="S18" i="2"/>
  <c r="AA18" i="2"/>
  <c r="AI18" i="2"/>
  <c r="AQ18" i="2"/>
  <c r="AY18" i="2"/>
  <c r="BG18" i="2"/>
  <c r="BO18" i="2"/>
  <c r="BW18" i="2"/>
  <c r="CE18" i="2"/>
  <c r="G24" i="2"/>
  <c r="O24" i="2"/>
  <c r="W24" i="2"/>
  <c r="AE24" i="2"/>
  <c r="AM24" i="2"/>
  <c r="AU24" i="2"/>
  <c r="BC24" i="2"/>
  <c r="BK24" i="2"/>
  <c r="BS24" i="2"/>
  <c r="CA24" i="2"/>
  <c r="G26" i="2"/>
  <c r="O26" i="2"/>
  <c r="W26" i="2"/>
  <c r="AE26" i="2"/>
  <c r="AM26" i="2"/>
  <c r="AU26" i="2"/>
  <c r="BC26" i="2"/>
  <c r="BK26" i="2"/>
  <c r="BS26" i="2"/>
  <c r="CA26" i="2"/>
  <c r="G28" i="2"/>
  <c r="O28" i="2"/>
  <c r="W28" i="2"/>
  <c r="AE28" i="2"/>
  <c r="AM28" i="2"/>
  <c r="AU28" i="2"/>
  <c r="BC28" i="2"/>
  <c r="BK28" i="2"/>
  <c r="BS28" i="2"/>
  <c r="CA28" i="2"/>
  <c r="G30" i="2"/>
  <c r="O30" i="2"/>
  <c r="W30" i="2"/>
  <c r="AE30" i="2"/>
  <c r="AM30" i="2"/>
  <c r="AU30" i="2"/>
  <c r="BC30" i="2"/>
  <c r="BK30" i="2"/>
  <c r="BS30" i="2"/>
  <c r="CA30" i="2"/>
  <c r="G32" i="2"/>
  <c r="O32" i="2"/>
  <c r="W32" i="2"/>
  <c r="AE32" i="2"/>
  <c r="AM32" i="2"/>
  <c r="AU32" i="2"/>
  <c r="BC32" i="2"/>
  <c r="BK32" i="2"/>
  <c r="BS32" i="2"/>
  <c r="CA32" i="2"/>
  <c r="G34" i="2"/>
  <c r="O34" i="2"/>
  <c r="W34" i="2"/>
  <c r="AE34" i="2"/>
  <c r="AM34" i="2"/>
  <c r="AU34" i="2"/>
  <c r="BC34" i="2"/>
  <c r="BK34" i="2"/>
  <c r="BS34" i="2"/>
  <c r="CA34" i="2"/>
  <c r="AU35" i="2"/>
  <c r="H36" i="2"/>
  <c r="P36" i="2"/>
  <c r="X36" i="2"/>
  <c r="AF36" i="2"/>
  <c r="AN36" i="2"/>
  <c r="AV36" i="2"/>
  <c r="BD36" i="2"/>
  <c r="BL36" i="2"/>
  <c r="BT36" i="2"/>
  <c r="CB36" i="2"/>
  <c r="AE37" i="2"/>
  <c r="S66" i="2"/>
  <c r="AY66" i="2"/>
  <c r="CE66" i="2"/>
  <c r="AU71" i="2"/>
  <c r="BK73" i="2"/>
  <c r="O75" i="2"/>
  <c r="CA75" i="2"/>
  <c r="AE77" i="2"/>
  <c r="BF141" i="2"/>
  <c r="M3" i="3"/>
  <c r="U3" i="3"/>
  <c r="AC3" i="3"/>
  <c r="BL12" i="2"/>
  <c r="BL42" i="2" s="1"/>
  <c r="Y5" i="3"/>
  <c r="CB12" i="2"/>
  <c r="U6" i="3"/>
  <c r="AC6" i="3"/>
  <c r="Y7" i="3"/>
  <c r="E8" i="3"/>
  <c r="M8" i="3"/>
  <c r="U8" i="3"/>
  <c r="AC8" i="3"/>
  <c r="AR16" i="2"/>
  <c r="AZ16" i="2"/>
  <c r="BH16" i="2"/>
  <c r="BP16" i="2"/>
  <c r="BX16" i="2"/>
  <c r="CF16" i="2"/>
  <c r="I13" i="1" s="1"/>
  <c r="H17" i="2"/>
  <c r="P17" i="2"/>
  <c r="X17" i="2"/>
  <c r="AN17" i="2"/>
  <c r="AV17" i="2"/>
  <c r="F13" i="1" s="1"/>
  <c r="BD17" i="2"/>
  <c r="BL17" i="2"/>
  <c r="BT17" i="2"/>
  <c r="H13" i="1" s="1"/>
  <c r="CB17" i="2"/>
  <c r="D18" i="2"/>
  <c r="L18" i="2"/>
  <c r="T18" i="2"/>
  <c r="AB18" i="2"/>
  <c r="AJ18" i="2"/>
  <c r="AR18" i="2"/>
  <c r="AZ18" i="2"/>
  <c r="BH18" i="2"/>
  <c r="U14" i="3" s="1"/>
  <c r="BP18" i="2"/>
  <c r="BX18" i="2"/>
  <c r="CF18" i="2"/>
  <c r="H24" i="2"/>
  <c r="P24" i="2"/>
  <c r="X24" i="2"/>
  <c r="AF24" i="2"/>
  <c r="AN24" i="2"/>
  <c r="AV24" i="2"/>
  <c r="BD24" i="2"/>
  <c r="BL24" i="2"/>
  <c r="BT24" i="2"/>
  <c r="CB24" i="2"/>
  <c r="H26" i="2"/>
  <c r="P26" i="2"/>
  <c r="X26" i="2"/>
  <c r="AF26" i="2"/>
  <c r="AN26" i="2"/>
  <c r="AV26" i="2"/>
  <c r="BD26" i="2"/>
  <c r="BL26" i="2"/>
  <c r="BT26" i="2"/>
  <c r="CB26" i="2"/>
  <c r="H28" i="2"/>
  <c r="P28" i="2"/>
  <c r="X28" i="2"/>
  <c r="AF28" i="2"/>
  <c r="AN28" i="2"/>
  <c r="AV28" i="2"/>
  <c r="BD28" i="2"/>
  <c r="BL28" i="2"/>
  <c r="BT28" i="2"/>
  <c r="CB28" i="2"/>
  <c r="H30" i="2"/>
  <c r="P30" i="2"/>
  <c r="X30" i="2"/>
  <c r="AF30" i="2"/>
  <c r="AN30" i="2"/>
  <c r="AV30" i="2"/>
  <c r="BD30" i="2"/>
  <c r="BL30" i="2"/>
  <c r="BT30" i="2"/>
  <c r="CB30" i="2"/>
  <c r="H32" i="2"/>
  <c r="P32" i="2"/>
  <c r="X32" i="2"/>
  <c r="AF32" i="2"/>
  <c r="AN32" i="2"/>
  <c r="AV32" i="2"/>
  <c r="BD32" i="2"/>
  <c r="BL32" i="2"/>
  <c r="BT32" i="2"/>
  <c r="CB32" i="2"/>
  <c r="H34" i="2"/>
  <c r="P34" i="2"/>
  <c r="X34" i="2"/>
  <c r="AF34" i="2"/>
  <c r="AN34" i="2"/>
  <c r="AV34" i="2"/>
  <c r="BD34" i="2"/>
  <c r="BL34" i="2"/>
  <c r="BT34" i="2"/>
  <c r="CB34" i="2"/>
  <c r="AM35" i="2"/>
  <c r="W37" i="2"/>
  <c r="BS64" i="2"/>
  <c r="Z66" i="2"/>
  <c r="BF66" i="2"/>
  <c r="AM71" i="2"/>
  <c r="BC73" i="2"/>
  <c r="G75" i="2"/>
  <c r="BS75" i="2"/>
  <c r="W77" i="2"/>
  <c r="AV141" i="2"/>
  <c r="E3" i="3"/>
  <c r="H3" i="3"/>
  <c r="P3" i="3"/>
  <c r="X3" i="3"/>
  <c r="BM12" i="2"/>
  <c r="BU12" i="2"/>
  <c r="BU90" i="2" s="1"/>
  <c r="AB5" i="3"/>
  <c r="X6" i="3"/>
  <c r="AB7" i="3"/>
  <c r="H8" i="3"/>
  <c r="P8" i="3"/>
  <c r="X8" i="3"/>
  <c r="E16" i="2"/>
  <c r="M16" i="2"/>
  <c r="E13" i="3" s="1"/>
  <c r="U16" i="2"/>
  <c r="AC16" i="2"/>
  <c r="AK16" i="2"/>
  <c r="AS16" i="2"/>
  <c r="BA16" i="2"/>
  <c r="BQ16" i="2"/>
  <c r="BY16" i="2"/>
  <c r="I17" i="2"/>
  <c r="Q17" i="2"/>
  <c r="Y17" i="2"/>
  <c r="AG17" i="2"/>
  <c r="AO17" i="2"/>
  <c r="AW17" i="2"/>
  <c r="BE17" i="2"/>
  <c r="BM17" i="2"/>
  <c r="BU17" i="2"/>
  <c r="E18" i="2"/>
  <c r="M18" i="2"/>
  <c r="U18" i="2"/>
  <c r="AC18" i="2"/>
  <c r="AK18" i="2"/>
  <c r="AS18" i="2"/>
  <c r="BA18" i="2"/>
  <c r="F14" i="1" s="1"/>
  <c r="BI18" i="2"/>
  <c r="G14" i="1" s="1"/>
  <c r="BQ18" i="2"/>
  <c r="BY18" i="2"/>
  <c r="CG18" i="2"/>
  <c r="AE35" i="2"/>
  <c r="O37" i="2"/>
  <c r="CA37" i="2"/>
  <c r="AA66" i="2"/>
  <c r="BG66" i="2"/>
  <c r="AE71" i="2"/>
  <c r="AU73" i="2"/>
  <c r="BK75" i="2"/>
  <c r="O77" i="2"/>
  <c r="CA77" i="2"/>
  <c r="D133" i="2"/>
  <c r="D141" i="2" s="1"/>
  <c r="AM141" i="2"/>
  <c r="AW141" i="2"/>
  <c r="E64" i="2"/>
  <c r="M64" i="2"/>
  <c r="U64" i="2"/>
  <c r="AC64" i="2"/>
  <c r="AK64" i="2"/>
  <c r="AS64" i="2"/>
  <c r="BA64" i="2"/>
  <c r="BI64" i="2"/>
  <c r="BI91" i="2" s="1"/>
  <c r="BQ64" i="2"/>
  <c r="BY64" i="2"/>
  <c r="CG64" i="2"/>
  <c r="C26" i="3"/>
  <c r="K26" i="3"/>
  <c r="S26" i="3"/>
  <c r="AA26" i="3"/>
  <c r="G27" i="3"/>
  <c r="O27" i="3"/>
  <c r="W27" i="3"/>
  <c r="W141" i="2"/>
  <c r="AF141" i="2"/>
  <c r="K40" i="3" s="1"/>
  <c r="AO141" i="2"/>
  <c r="N40" i="3" s="1"/>
  <c r="AX141" i="2"/>
  <c r="Q40" i="3" s="1"/>
  <c r="BQ141" i="2"/>
  <c r="F64" i="2"/>
  <c r="F91" i="2" s="1"/>
  <c r="N64" i="2"/>
  <c r="V64" i="2"/>
  <c r="V91" i="2" s="1"/>
  <c r="BJ64" i="2"/>
  <c r="BJ91" i="2" s="1"/>
  <c r="CH64" i="2"/>
  <c r="X141" i="2"/>
  <c r="AG141" i="2"/>
  <c r="BI141" i="2"/>
  <c r="CA141" i="2"/>
  <c r="D23" i="4"/>
  <c r="E23" i="4" s="1"/>
  <c r="F23" i="4" s="1"/>
  <c r="G23" i="4" s="1"/>
  <c r="H141" i="2"/>
  <c r="C40" i="3" s="1"/>
  <c r="P141" i="2"/>
  <c r="Y141" i="2"/>
  <c r="AH141" i="2"/>
  <c r="BS141" i="2"/>
  <c r="G16" i="11"/>
  <c r="O16" i="11"/>
  <c r="W16" i="11"/>
  <c r="AE16" i="11"/>
  <c r="AM16" i="11"/>
  <c r="AU16" i="11"/>
  <c r="BC16" i="11"/>
  <c r="BK16" i="11"/>
  <c r="BS16" i="11"/>
  <c r="CA16" i="11"/>
  <c r="H64" i="2"/>
  <c r="P64" i="2"/>
  <c r="X64" i="2"/>
  <c r="O14" i="4"/>
  <c r="O16" i="4" s="1"/>
  <c r="W14" i="4"/>
  <c r="W16" i="4" s="1"/>
  <c r="I20" i="4"/>
  <c r="I22" i="4" s="1"/>
  <c r="Q20" i="4"/>
  <c r="Q22" i="4" s="1"/>
  <c r="Y20" i="4"/>
  <c r="Y22" i="4" s="1"/>
  <c r="D26" i="3"/>
  <c r="L26" i="3"/>
  <c r="T26" i="3"/>
  <c r="AB26" i="3"/>
  <c r="H27" i="3"/>
  <c r="P27" i="3"/>
  <c r="X27" i="3"/>
  <c r="I141" i="2"/>
  <c r="Q141" i="2"/>
  <c r="F40" i="3" s="1"/>
  <c r="Z141" i="2"/>
  <c r="I40" i="3" s="1"/>
  <c r="AS141" i="2"/>
  <c r="BK133" i="2"/>
  <c r="BK141" i="2" s="1"/>
  <c r="CC141" i="2"/>
  <c r="I64" i="2"/>
  <c r="Q64" i="2"/>
  <c r="Y64" i="2"/>
  <c r="I19" i="3" s="1"/>
  <c r="AG64" i="2"/>
  <c r="AO64" i="2"/>
  <c r="AW64" i="2"/>
  <c r="BE64" i="2"/>
  <c r="BM64" i="2"/>
  <c r="BU64" i="2"/>
  <c r="CC64" i="2"/>
  <c r="H14" i="4"/>
  <c r="H16" i="4" s="1"/>
  <c r="P14" i="4"/>
  <c r="P16" i="4" s="1"/>
  <c r="X14" i="4"/>
  <c r="X16" i="4" s="1"/>
  <c r="J20" i="4"/>
  <c r="J22" i="4" s="1"/>
  <c r="R20" i="4"/>
  <c r="R22" i="4" s="1"/>
  <c r="Z20" i="4"/>
  <c r="Z22" i="4" s="1"/>
  <c r="G26" i="3"/>
  <c r="O26" i="3"/>
  <c r="W26" i="3"/>
  <c r="C27" i="3"/>
  <c r="K27" i="3"/>
  <c r="S27" i="3"/>
  <c r="AA27" i="3"/>
  <c r="G115" i="2"/>
  <c r="H111" i="2" s="1"/>
  <c r="J133" i="2"/>
  <c r="J141" i="2" s="1"/>
  <c r="R133" i="2"/>
  <c r="R141" i="2" s="1"/>
  <c r="AK141" i="2"/>
  <c r="BC133" i="2"/>
  <c r="BC141" i="2" s="1"/>
  <c r="CD133" i="2"/>
  <c r="CD141" i="2" s="1"/>
  <c r="Z64" i="2"/>
  <c r="AH64" i="2"/>
  <c r="AP64" i="2"/>
  <c r="AX64" i="2"/>
  <c r="BF64" i="2"/>
  <c r="BN64" i="2"/>
  <c r="BN91" i="2" s="1"/>
  <c r="BV64" i="2"/>
  <c r="CD64" i="2"/>
  <c r="CD91" i="2" s="1"/>
  <c r="AU141" i="2"/>
  <c r="BD141" i="2"/>
  <c r="S40" i="3" s="1"/>
  <c r="BL141" i="2"/>
  <c r="BT141" i="2"/>
  <c r="CB141" i="2"/>
  <c r="AA40" i="3" s="1"/>
  <c r="AZ4" i="11"/>
  <c r="E16" i="11"/>
  <c r="M16" i="11"/>
  <c r="U16" i="11"/>
  <c r="AC16" i="11"/>
  <c r="AK16" i="11"/>
  <c r="AS16" i="11"/>
  <c r="BA16" i="11"/>
  <c r="BI16" i="11"/>
  <c r="BQ16" i="11"/>
  <c r="BY16" i="11"/>
  <c r="CG16" i="11"/>
  <c r="F104" i="12"/>
  <c r="F106" i="12" s="1"/>
  <c r="N104" i="12"/>
  <c r="N105" i="12" s="1"/>
  <c r="V104" i="12"/>
  <c r="V105" i="12" s="1"/>
  <c r="AD104" i="12"/>
  <c r="AD105" i="12" s="1"/>
  <c r="AL104" i="12"/>
  <c r="AL105" i="12" s="1"/>
  <c r="AT104" i="12"/>
  <c r="BB104" i="12"/>
  <c r="BB105" i="12" s="1"/>
  <c r="BJ104" i="12"/>
  <c r="BJ105" i="12" s="1"/>
  <c r="BR104" i="12"/>
  <c r="BR105" i="12" s="1"/>
  <c r="BZ104" i="12"/>
  <c r="BZ105" i="12" s="1"/>
  <c r="CH104" i="12"/>
  <c r="CH105" i="12" s="1"/>
  <c r="BE141" i="2"/>
  <c r="BM141" i="2"/>
  <c r="V40" i="3" s="1"/>
  <c r="BU141" i="2"/>
  <c r="F16" i="11"/>
  <c r="N16" i="11"/>
  <c r="V16" i="11"/>
  <c r="AD16" i="11"/>
  <c r="AL16" i="11"/>
  <c r="AT16" i="11"/>
  <c r="BB16" i="11"/>
  <c r="BJ16" i="11"/>
  <c r="BR16" i="11"/>
  <c r="BZ16" i="11"/>
  <c r="CH16" i="11"/>
  <c r="G104" i="12"/>
  <c r="G106" i="12" s="1"/>
  <c r="W104" i="12"/>
  <c r="AE104" i="12"/>
  <c r="AM104" i="12"/>
  <c r="AU104" i="12"/>
  <c r="BC104" i="12"/>
  <c r="BK104" i="12"/>
  <c r="BS104" i="12"/>
  <c r="B28" i="13"/>
  <c r="B103" i="12"/>
  <c r="B29" i="13"/>
  <c r="I104" i="12"/>
  <c r="I106" i="12" s="1"/>
  <c r="Q104" i="12"/>
  <c r="Y104" i="12"/>
  <c r="AG104" i="12"/>
  <c r="AO104" i="12"/>
  <c r="AW104" i="12"/>
  <c r="BE104" i="12"/>
  <c r="BM104" i="12"/>
  <c r="BU104" i="12"/>
  <c r="CC104" i="12"/>
  <c r="D8" i="13"/>
  <c r="D17" i="4"/>
  <c r="E17" i="4" s="1"/>
  <c r="F17" i="4" s="1"/>
  <c r="BV42" i="2"/>
  <c r="BV90" i="2"/>
  <c r="CB42" i="2"/>
  <c r="CB90" i="2"/>
  <c r="BM90" i="2"/>
  <c r="BM42" i="2"/>
  <c r="CD90" i="2"/>
  <c r="CD92" i="2" s="1"/>
  <c r="CD42" i="2"/>
  <c r="BO90" i="2"/>
  <c r="BO42" i="2"/>
  <c r="CE90" i="2"/>
  <c r="CE42" i="2"/>
  <c r="BP90" i="2"/>
  <c r="BP42" i="2"/>
  <c r="BX90" i="2"/>
  <c r="BX42" i="2"/>
  <c r="P91" i="2"/>
  <c r="BD91" i="2"/>
  <c r="Y19" i="3"/>
  <c r="BT91" i="2"/>
  <c r="H19" i="1"/>
  <c r="BY90" i="2"/>
  <c r="BY42" i="2"/>
  <c r="BR90" i="2"/>
  <c r="BR42" i="2"/>
  <c r="CH42" i="2"/>
  <c r="CH90" i="2"/>
  <c r="BL90" i="2"/>
  <c r="BG90" i="2"/>
  <c r="BG42" i="2"/>
  <c r="H91" i="2"/>
  <c r="X91" i="2"/>
  <c r="D19" i="1"/>
  <c r="BL91" i="2"/>
  <c r="BI90" i="2"/>
  <c r="BI42" i="2"/>
  <c r="CG90" i="2"/>
  <c r="CG42" i="2"/>
  <c r="BS90" i="2"/>
  <c r="BS42" i="2"/>
  <c r="CA90" i="2"/>
  <c r="CA42" i="2"/>
  <c r="G3" i="3"/>
  <c r="O3" i="3"/>
  <c r="W3" i="3"/>
  <c r="AA5" i="3"/>
  <c r="W6" i="3"/>
  <c r="AA7" i="3"/>
  <c r="G8" i="3"/>
  <c r="O8" i="3"/>
  <c r="W8" i="3"/>
  <c r="BJ12" i="2"/>
  <c r="BZ12" i="2"/>
  <c r="G12" i="3"/>
  <c r="O12" i="3"/>
  <c r="W12" i="3"/>
  <c r="C13" i="3"/>
  <c r="K13" i="3"/>
  <c r="C14" i="3"/>
  <c r="K14" i="3"/>
  <c r="S14" i="3"/>
  <c r="AA14" i="3"/>
  <c r="D64" i="2"/>
  <c r="L64" i="2"/>
  <c r="T64" i="2"/>
  <c r="AB64" i="2"/>
  <c r="AJ64" i="2"/>
  <c r="AR64" i="2"/>
  <c r="AZ64" i="2"/>
  <c r="BH64" i="2"/>
  <c r="BP64" i="2"/>
  <c r="W19" i="3" s="1"/>
  <c r="BX64" i="2"/>
  <c r="CF64" i="2"/>
  <c r="AF91" i="2"/>
  <c r="Q13" i="3"/>
  <c r="N91" i="2"/>
  <c r="K19" i="3"/>
  <c r="AD91" i="2"/>
  <c r="AL91" i="2"/>
  <c r="AT91" i="2"/>
  <c r="S19" i="3"/>
  <c r="BB91" i="2"/>
  <c r="BR91" i="2"/>
  <c r="BZ91" i="2"/>
  <c r="CH91" i="2"/>
  <c r="B6" i="13"/>
  <c r="B32" i="11"/>
  <c r="B47" i="11" s="1"/>
  <c r="C6" i="13" s="1"/>
  <c r="B37" i="11"/>
  <c r="B42" i="11" s="1"/>
  <c r="AR26" i="4"/>
  <c r="Q19" i="3"/>
  <c r="AV91" i="2"/>
  <c r="AG91" i="2"/>
  <c r="X12" i="3"/>
  <c r="D13" i="3"/>
  <c r="L13" i="3"/>
  <c r="T13" i="3"/>
  <c r="AB13" i="3"/>
  <c r="D14" i="3"/>
  <c r="L14" i="3"/>
  <c r="T14" i="3"/>
  <c r="AB14" i="3"/>
  <c r="G64" i="2"/>
  <c r="O64" i="2"/>
  <c r="W64" i="2"/>
  <c r="H19" i="3" s="1"/>
  <c r="AE91" i="2"/>
  <c r="N19" i="3"/>
  <c r="AM91" i="2"/>
  <c r="BC91" i="2"/>
  <c r="V19" i="3"/>
  <c r="BS91" i="2"/>
  <c r="AU91" i="2"/>
  <c r="S12" i="3"/>
  <c r="AA12" i="3"/>
  <c r="G13" i="3"/>
  <c r="O13" i="3"/>
  <c r="W13" i="3"/>
  <c r="BK91" i="2"/>
  <c r="BK12" i="2"/>
  <c r="U91" i="2"/>
  <c r="BA91" i="2"/>
  <c r="CG91" i="2"/>
  <c r="C3" i="1"/>
  <c r="E3" i="1"/>
  <c r="E12" i="1"/>
  <c r="E14" i="1"/>
  <c r="BN12" i="2"/>
  <c r="F8" i="1"/>
  <c r="F41" i="5" s="1"/>
  <c r="F12" i="1"/>
  <c r="F3" i="3"/>
  <c r="N3" i="3"/>
  <c r="V3" i="3"/>
  <c r="Z5" i="3"/>
  <c r="V6" i="3"/>
  <c r="Z7" i="3"/>
  <c r="F8" i="3"/>
  <c r="N8" i="3"/>
  <c r="V8" i="3"/>
  <c r="BW12" i="2"/>
  <c r="F12" i="3"/>
  <c r="N12" i="3"/>
  <c r="V12" i="3"/>
  <c r="B13" i="3"/>
  <c r="J13" i="3"/>
  <c r="R13" i="3"/>
  <c r="Z13" i="3"/>
  <c r="B14" i="3"/>
  <c r="J14" i="3"/>
  <c r="R14" i="3"/>
  <c r="Z14" i="3"/>
  <c r="I91" i="2"/>
  <c r="Q91" i="2"/>
  <c r="AO91" i="2"/>
  <c r="AW91" i="2"/>
  <c r="T19" i="3"/>
  <c r="BE91" i="2"/>
  <c r="BM91" i="2"/>
  <c r="BU91" i="2"/>
  <c r="AB19" i="3"/>
  <c r="CC91" i="2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CA91" i="2"/>
  <c r="E91" i="2"/>
  <c r="AC91" i="2"/>
  <c r="AK91" i="2"/>
  <c r="X19" i="3"/>
  <c r="BQ91" i="2"/>
  <c r="AN91" i="2"/>
  <c r="BT12" i="2"/>
  <c r="D8" i="1"/>
  <c r="D41" i="5" s="1"/>
  <c r="D12" i="1"/>
  <c r="D13" i="1"/>
  <c r="CC12" i="2"/>
  <c r="E8" i="1"/>
  <c r="E41" i="5" s="1"/>
  <c r="E13" i="1"/>
  <c r="G3" i="1"/>
  <c r="G6" i="1"/>
  <c r="G7" i="1"/>
  <c r="G8" i="1"/>
  <c r="G41" i="5" s="1"/>
  <c r="G12" i="1"/>
  <c r="G13" i="1"/>
  <c r="I3" i="3"/>
  <c r="Q3" i="3"/>
  <c r="Y3" i="3"/>
  <c r="U5" i="3"/>
  <c r="AC5" i="3"/>
  <c r="Y6" i="3"/>
  <c r="U7" i="3"/>
  <c r="AC7" i="3"/>
  <c r="I8" i="3"/>
  <c r="Q8" i="3"/>
  <c r="Y8" i="3"/>
  <c r="BH12" i="2"/>
  <c r="CF12" i="2"/>
  <c r="I12" i="3"/>
  <c r="Q12" i="3"/>
  <c r="Y12" i="3"/>
  <c r="M13" i="3"/>
  <c r="U13" i="3"/>
  <c r="AC13" i="3"/>
  <c r="E14" i="3"/>
  <c r="M14" i="3"/>
  <c r="AC14" i="3"/>
  <c r="J64" i="2"/>
  <c r="D19" i="3" s="1"/>
  <c r="R64" i="2"/>
  <c r="Z91" i="2"/>
  <c r="AH91" i="2"/>
  <c r="O19" i="3"/>
  <c r="AP91" i="2"/>
  <c r="AX91" i="2"/>
  <c r="BF91" i="2"/>
  <c r="BV91" i="2"/>
  <c r="CB64" i="2"/>
  <c r="M91" i="2"/>
  <c r="P19" i="3"/>
  <c r="AS91" i="2"/>
  <c r="BY91" i="2"/>
  <c r="C14" i="1"/>
  <c r="H5" i="1"/>
  <c r="H6" i="1"/>
  <c r="H7" i="1"/>
  <c r="H8" i="1"/>
  <c r="H41" i="5" s="1"/>
  <c r="H12" i="1"/>
  <c r="D3" i="3"/>
  <c r="L3" i="3"/>
  <c r="T3" i="3"/>
  <c r="AB3" i="3"/>
  <c r="X5" i="3"/>
  <c r="AB6" i="3"/>
  <c r="X7" i="3"/>
  <c r="D8" i="3"/>
  <c r="L8" i="3"/>
  <c r="T8" i="3"/>
  <c r="AB8" i="3"/>
  <c r="BQ12" i="2"/>
  <c r="D12" i="3"/>
  <c r="L12" i="3"/>
  <c r="T12" i="3"/>
  <c r="AB12" i="3"/>
  <c r="H13" i="3"/>
  <c r="P13" i="3"/>
  <c r="X13" i="3"/>
  <c r="H14" i="3"/>
  <c r="P14" i="3"/>
  <c r="X14" i="3"/>
  <c r="C64" i="2"/>
  <c r="K91" i="2"/>
  <c r="S91" i="2"/>
  <c r="J19" i="3"/>
  <c r="AA91" i="2"/>
  <c r="AI91" i="2"/>
  <c r="AQ91" i="2"/>
  <c r="AY91" i="2"/>
  <c r="BG91" i="2"/>
  <c r="BO91" i="2"/>
  <c r="Z19" i="3"/>
  <c r="BW91" i="2"/>
  <c r="CE91" i="2"/>
  <c r="L14" i="4"/>
  <c r="L16" i="4" s="1"/>
  <c r="T14" i="4"/>
  <c r="T16" i="4" s="1"/>
  <c r="N20" i="4"/>
  <c r="N22" i="4" s="1"/>
  <c r="V20" i="4"/>
  <c r="V22" i="4" s="1"/>
  <c r="B20" i="13"/>
  <c r="B39" i="11"/>
  <c r="B44" i="11" s="1"/>
  <c r="B34" i="11"/>
  <c r="BA32" i="4"/>
  <c r="H26" i="3"/>
  <c r="P26" i="3"/>
  <c r="X26" i="3"/>
  <c r="D27" i="3"/>
  <c r="L27" i="3"/>
  <c r="T27" i="3"/>
  <c r="AB27" i="3"/>
  <c r="F106" i="2"/>
  <c r="F108" i="2" s="1"/>
  <c r="G106" i="2" s="1"/>
  <c r="G108" i="2" s="1"/>
  <c r="H106" i="2" s="1"/>
  <c r="H108" i="2" s="1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F26" i="3"/>
  <c r="N26" i="3"/>
  <c r="V26" i="3"/>
  <c r="B27" i="3"/>
  <c r="J27" i="3"/>
  <c r="R27" i="3"/>
  <c r="Z27" i="3"/>
  <c r="G14" i="4"/>
  <c r="G16" i="4" s="1"/>
  <c r="I26" i="3"/>
  <c r="Q26" i="3"/>
  <c r="Y26" i="3"/>
  <c r="E27" i="3"/>
  <c r="M27" i="3"/>
  <c r="U27" i="3"/>
  <c r="B13" i="13"/>
  <c r="B38" i="11"/>
  <c r="B43" i="11" s="1"/>
  <c r="B33" i="11"/>
  <c r="J14" i="4"/>
  <c r="J16" i="4" s="1"/>
  <c r="R14" i="4"/>
  <c r="R16" i="4" s="1"/>
  <c r="L20" i="4"/>
  <c r="L22" i="4" s="1"/>
  <c r="T20" i="4"/>
  <c r="T22" i="4" s="1"/>
  <c r="B26" i="3"/>
  <c r="J26" i="3"/>
  <c r="R26" i="3"/>
  <c r="Z26" i="3"/>
  <c r="F27" i="3"/>
  <c r="N27" i="3"/>
  <c r="V27" i="3"/>
  <c r="K14" i="4"/>
  <c r="K16" i="4" s="1"/>
  <c r="S14" i="4"/>
  <c r="S16" i="4" s="1"/>
  <c r="U20" i="4"/>
  <c r="U22" i="4" s="1"/>
  <c r="E26" i="3"/>
  <c r="M26" i="3"/>
  <c r="U26" i="3"/>
  <c r="AC26" i="3"/>
  <c r="I27" i="3"/>
  <c r="Q27" i="3"/>
  <c r="Y27" i="3"/>
  <c r="H112" i="2"/>
  <c r="H115" i="2"/>
  <c r="C120" i="2"/>
  <c r="D116" i="2" s="1"/>
  <c r="C112" i="2"/>
  <c r="C115" i="2" s="1"/>
  <c r="D111" i="2" s="1"/>
  <c r="C124" i="2"/>
  <c r="C84" i="2" s="1"/>
  <c r="I117" i="2"/>
  <c r="I120" i="2" s="1"/>
  <c r="J116" i="2" s="1"/>
  <c r="F141" i="2"/>
  <c r="N141" i="2"/>
  <c r="E40" i="3" s="1"/>
  <c r="V141" i="2"/>
  <c r="AD141" i="2"/>
  <c r="AL141" i="2"/>
  <c r="M40" i="3" s="1"/>
  <c r="AT141" i="2"/>
  <c r="BB141" i="2"/>
  <c r="BJ141" i="2"/>
  <c r="U40" i="3" s="1"/>
  <c r="BR141" i="2"/>
  <c r="BZ141" i="2"/>
  <c r="CH141" i="2"/>
  <c r="C127" i="2"/>
  <c r="H23" i="4"/>
  <c r="I23" i="4" s="1"/>
  <c r="J23" i="4" s="1"/>
  <c r="K23" i="4" s="1"/>
  <c r="L23" i="4" s="1"/>
  <c r="M23" i="4" s="1"/>
  <c r="G17" i="4"/>
  <c r="H17" i="4" s="1"/>
  <c r="I17" i="4" s="1"/>
  <c r="C159" i="2"/>
  <c r="B11" i="7"/>
  <c r="B10" i="7"/>
  <c r="B9" i="7"/>
  <c r="B12" i="7"/>
  <c r="AK4" i="11"/>
  <c r="AN5" i="11"/>
  <c r="M4" i="11"/>
  <c r="R4" i="11"/>
  <c r="AS4" i="11"/>
  <c r="J4" i="11"/>
  <c r="AP4" i="11"/>
  <c r="BT5" i="11"/>
  <c r="U4" i="11"/>
  <c r="BH4" i="11"/>
  <c r="BP4" i="11"/>
  <c r="AV5" i="11"/>
  <c r="Z4" i="11"/>
  <c r="CA4" i="11"/>
  <c r="AC4" i="11"/>
  <c r="H5" i="11"/>
  <c r="AH4" i="11"/>
  <c r="AA5" i="11"/>
  <c r="E4" i="11"/>
  <c r="I4" i="11"/>
  <c r="Q4" i="11"/>
  <c r="Y4" i="11"/>
  <c r="AG4" i="11"/>
  <c r="AO4" i="11"/>
  <c r="AY4" i="11"/>
  <c r="BX4" i="11"/>
  <c r="X5" i="11"/>
  <c r="BL5" i="11"/>
  <c r="H16" i="11"/>
  <c r="P16" i="11"/>
  <c r="X16" i="11"/>
  <c r="AF16" i="11"/>
  <c r="AN16" i="11"/>
  <c r="AV16" i="11"/>
  <c r="BD16" i="11"/>
  <c r="BL16" i="11"/>
  <c r="BT16" i="11"/>
  <c r="CB16" i="11"/>
  <c r="C4" i="11"/>
  <c r="K4" i="11"/>
  <c r="S4" i="11"/>
  <c r="AA4" i="11"/>
  <c r="AI4" i="11"/>
  <c r="AQ4" i="11"/>
  <c r="BC4" i="11"/>
  <c r="CF4" i="11"/>
  <c r="AF5" i="11"/>
  <c r="CB5" i="11"/>
  <c r="D4" i="11"/>
  <c r="L4" i="11"/>
  <c r="T4" i="11"/>
  <c r="AB4" i="11"/>
  <c r="AJ4" i="11"/>
  <c r="AR4" i="11"/>
  <c r="BE4" i="11"/>
  <c r="C5" i="11"/>
  <c r="AI5" i="11"/>
  <c r="F4" i="11"/>
  <c r="N4" i="11"/>
  <c r="V4" i="11"/>
  <c r="AD4" i="11"/>
  <c r="AL4" i="11"/>
  <c r="AT4" i="11"/>
  <c r="BK4" i="11"/>
  <c r="K5" i="11"/>
  <c r="AQ5" i="11"/>
  <c r="G4" i="11"/>
  <c r="O4" i="11"/>
  <c r="W4" i="11"/>
  <c r="AE4" i="11"/>
  <c r="AM4" i="11"/>
  <c r="AU4" i="11"/>
  <c r="P5" i="11"/>
  <c r="CD4" i="11"/>
  <c r="BV4" i="11"/>
  <c r="BN4" i="11"/>
  <c r="BF4" i="11"/>
  <c r="AX4" i="11"/>
  <c r="CC4" i="11"/>
  <c r="BU4" i="11"/>
  <c r="BM4" i="11"/>
  <c r="CB4" i="11"/>
  <c r="BT4" i="11"/>
  <c r="BL4" i="11"/>
  <c r="BD4" i="11"/>
  <c r="AV4" i="11"/>
  <c r="CH4" i="11"/>
  <c r="BZ4" i="11"/>
  <c r="BR4" i="11"/>
  <c r="BJ4" i="11"/>
  <c r="BB4" i="11"/>
  <c r="CG4" i="11"/>
  <c r="BY4" i="11"/>
  <c r="BQ4" i="11"/>
  <c r="BI4" i="11"/>
  <c r="BA4" i="11"/>
  <c r="CE4" i="11"/>
  <c r="BW4" i="11"/>
  <c r="BO4" i="11"/>
  <c r="BG4" i="11"/>
  <c r="CH5" i="11"/>
  <c r="BZ5" i="11"/>
  <c r="BR5" i="11"/>
  <c r="BJ5" i="11"/>
  <c r="BB5" i="11"/>
  <c r="AT5" i="11"/>
  <c r="AL5" i="11"/>
  <c r="AD5" i="11"/>
  <c r="V5" i="11"/>
  <c r="N5" i="11"/>
  <c r="F5" i="11"/>
  <c r="CG5" i="11"/>
  <c r="BY5" i="11"/>
  <c r="BQ5" i="11"/>
  <c r="BI5" i="11"/>
  <c r="BA5" i="11"/>
  <c r="AS5" i="11"/>
  <c r="AK5" i="11"/>
  <c r="AC5" i="11"/>
  <c r="U5" i="11"/>
  <c r="M5" i="11"/>
  <c r="E5" i="11"/>
  <c r="CF5" i="11"/>
  <c r="BX5" i="11"/>
  <c r="BP5" i="11"/>
  <c r="BH5" i="11"/>
  <c r="AZ5" i="11"/>
  <c r="AR5" i="11"/>
  <c r="AJ5" i="11"/>
  <c r="AB5" i="11"/>
  <c r="T5" i="11"/>
  <c r="L5" i="11"/>
  <c r="D5" i="11"/>
  <c r="CE5" i="11"/>
  <c r="BW5" i="11"/>
  <c r="BO5" i="11"/>
  <c r="BG5" i="11"/>
  <c r="AY5" i="11"/>
  <c r="CD5" i="11"/>
  <c r="BV5" i="11"/>
  <c r="BN5" i="11"/>
  <c r="BF5" i="11"/>
  <c r="AX5" i="11"/>
  <c r="AP5" i="11"/>
  <c r="AH5" i="11"/>
  <c r="Z5" i="11"/>
  <c r="R5" i="11"/>
  <c r="J5" i="11"/>
  <c r="CC5" i="11"/>
  <c r="BU5" i="11"/>
  <c r="BM5" i="11"/>
  <c r="BE5" i="11"/>
  <c r="AW5" i="11"/>
  <c r="AO5" i="11"/>
  <c r="AG5" i="11"/>
  <c r="Y5" i="11"/>
  <c r="Q5" i="11"/>
  <c r="I5" i="11"/>
  <c r="CA5" i="11"/>
  <c r="BS5" i="11"/>
  <c r="BK5" i="11"/>
  <c r="BC5" i="11"/>
  <c r="AU5" i="11"/>
  <c r="AM5" i="11"/>
  <c r="AE5" i="11"/>
  <c r="W5" i="11"/>
  <c r="O5" i="11"/>
  <c r="G5" i="11"/>
  <c r="H4" i="11"/>
  <c r="P4" i="11"/>
  <c r="X4" i="11"/>
  <c r="AF4" i="11"/>
  <c r="AN4" i="11"/>
  <c r="AW4" i="11"/>
  <c r="BS4" i="11"/>
  <c r="S5" i="11"/>
  <c r="BD5" i="11"/>
  <c r="C20" i="11"/>
  <c r="C82" i="2" s="1"/>
  <c r="C24" i="11"/>
  <c r="D22" i="11" s="1"/>
  <c r="M104" i="12"/>
  <c r="D19" i="12"/>
  <c r="U105" i="12"/>
  <c r="U106" i="12" s="1"/>
  <c r="U107" i="12" s="1"/>
  <c r="AC105" i="12"/>
  <c r="AC106" i="12" s="1"/>
  <c r="AC107" i="12" s="1"/>
  <c r="AK105" i="12"/>
  <c r="AK106" i="12" s="1"/>
  <c r="AK107" i="12" s="1"/>
  <c r="AS105" i="12"/>
  <c r="AS106" i="12" s="1"/>
  <c r="AS107" i="12" s="1"/>
  <c r="BA104" i="12"/>
  <c r="G19" i="12"/>
  <c r="BI105" i="12"/>
  <c r="BI106" i="12" s="1"/>
  <c r="BI107" i="12" s="1"/>
  <c r="BQ105" i="12"/>
  <c r="BQ106" i="12" s="1"/>
  <c r="BQ107" i="12" s="1"/>
  <c r="BY105" i="12"/>
  <c r="BY106" i="12" s="1"/>
  <c r="BY107" i="12" s="1"/>
  <c r="CG104" i="12"/>
  <c r="J19" i="12"/>
  <c r="I107" i="12"/>
  <c r="W105" i="12"/>
  <c r="W106" i="12" s="1"/>
  <c r="W107" i="12" s="1"/>
  <c r="AE105" i="12"/>
  <c r="AE106" i="12" s="1"/>
  <c r="AE107" i="12" s="1"/>
  <c r="AM105" i="12"/>
  <c r="AM106" i="12" s="1"/>
  <c r="AM107" i="12" s="1"/>
  <c r="AU105" i="12"/>
  <c r="AU106" i="12" s="1"/>
  <c r="BC105" i="12"/>
  <c r="BC106" i="12"/>
  <c r="BC107" i="12" s="1"/>
  <c r="BK105" i="12"/>
  <c r="BK106" i="12"/>
  <c r="BK107" i="12" s="1"/>
  <c r="BS105" i="12"/>
  <c r="BS106" i="12"/>
  <c r="BS107" i="12" s="1"/>
  <c r="Q105" i="12"/>
  <c r="Q106" i="12"/>
  <c r="Q107" i="12" s="1"/>
  <c r="C27" i="11"/>
  <c r="D25" i="11" s="1"/>
  <c r="B18" i="12"/>
  <c r="B62" i="12" s="1"/>
  <c r="O105" i="12"/>
  <c r="O106" i="12"/>
  <c r="O107" i="12" s="1"/>
  <c r="B16" i="12"/>
  <c r="F19" i="12"/>
  <c r="H104" i="12"/>
  <c r="H106" i="12" s="1"/>
  <c r="H107" i="12" s="1"/>
  <c r="P104" i="12"/>
  <c r="D20" i="12"/>
  <c r="X104" i="12"/>
  <c r="E20" i="12"/>
  <c r="AF104" i="12"/>
  <c r="AN104" i="12"/>
  <c r="G20" i="12"/>
  <c r="AV104" i="12"/>
  <c r="BD104" i="12"/>
  <c r="BL104" i="12"/>
  <c r="H20" i="12"/>
  <c r="BT104" i="12"/>
  <c r="I20" i="12"/>
  <c r="CA105" i="12"/>
  <c r="CA106" i="12"/>
  <c r="BB106" i="12"/>
  <c r="BB107" i="12" s="1"/>
  <c r="I19" i="12"/>
  <c r="BJ106" i="12"/>
  <c r="B17" i="12"/>
  <c r="B61" i="12" s="1"/>
  <c r="K107" i="12"/>
  <c r="AA107" i="12"/>
  <c r="AQ107" i="12"/>
  <c r="BR106" i="12"/>
  <c r="BR107" i="12" s="1"/>
  <c r="D29" i="13"/>
  <c r="Y105" i="12"/>
  <c r="Y106" i="12"/>
  <c r="Y107" i="12" s="1"/>
  <c r="AG105" i="12"/>
  <c r="AG106" i="12"/>
  <c r="AG107" i="12" s="1"/>
  <c r="AO105" i="12"/>
  <c r="AO106" i="12"/>
  <c r="AO107" i="12" s="1"/>
  <c r="AW105" i="12"/>
  <c r="AW106" i="12" s="1"/>
  <c r="AW107" i="12" s="1"/>
  <c r="BE105" i="12"/>
  <c r="BE106" i="12" s="1"/>
  <c r="BE107" i="12" s="1"/>
  <c r="BM105" i="12"/>
  <c r="BM106" i="12" s="1"/>
  <c r="BM107" i="12" s="1"/>
  <c r="BU105" i="12"/>
  <c r="BU106" i="12" s="1"/>
  <c r="BU107" i="12" s="1"/>
  <c r="CC105" i="12"/>
  <c r="CC106" i="12" s="1"/>
  <c r="CC107" i="12" s="1"/>
  <c r="N106" i="12"/>
  <c r="BZ106" i="12"/>
  <c r="BZ107" i="12" s="1"/>
  <c r="C19" i="12"/>
  <c r="C20" i="12"/>
  <c r="B102" i="12"/>
  <c r="J104" i="12"/>
  <c r="J106" i="12" s="1"/>
  <c r="J107" i="12" s="1"/>
  <c r="R104" i="12"/>
  <c r="Z104" i="12"/>
  <c r="AH105" i="12"/>
  <c r="AH106" i="12"/>
  <c r="AH107" i="12" s="1"/>
  <c r="AP105" i="12"/>
  <c r="AP106" i="12" s="1"/>
  <c r="AP107" i="12" s="1"/>
  <c r="AX105" i="12"/>
  <c r="AX106" i="12" s="1"/>
  <c r="AX107" i="12" s="1"/>
  <c r="BF105" i="12"/>
  <c r="BF106" i="12" s="1"/>
  <c r="BF107" i="12" s="1"/>
  <c r="BN105" i="12"/>
  <c r="BN106" i="12" s="1"/>
  <c r="BN107" i="12" s="1"/>
  <c r="BV105" i="12"/>
  <c r="BV106" i="12" s="1"/>
  <c r="BV107" i="12" s="1"/>
  <c r="CD105" i="12"/>
  <c r="CD106" i="12"/>
  <c r="CD107" i="12" s="1"/>
  <c r="E107" i="12"/>
  <c r="V106" i="12"/>
  <c r="V107" i="12" s="1"/>
  <c r="CH106" i="12"/>
  <c r="CH107" i="12" s="1"/>
  <c r="C106" i="12"/>
  <c r="S106" i="12"/>
  <c r="S107" i="12" s="1"/>
  <c r="AA106" i="12"/>
  <c r="AI106" i="12"/>
  <c r="AI107" i="12" s="1"/>
  <c r="AQ106" i="12"/>
  <c r="BO106" i="12"/>
  <c r="BO107" i="12" s="1"/>
  <c r="BW106" i="12"/>
  <c r="BW107" i="12" s="1"/>
  <c r="CE106" i="12"/>
  <c r="CE107" i="12" s="1"/>
  <c r="F107" i="12"/>
  <c r="N107" i="12"/>
  <c r="BJ107" i="12"/>
  <c r="AY105" i="12"/>
  <c r="AY106" i="12" s="1"/>
  <c r="AY107" i="12" s="1"/>
  <c r="AD106" i="12"/>
  <c r="AD107" i="12" s="1"/>
  <c r="E19" i="12"/>
  <c r="D104" i="12"/>
  <c r="D106" i="12" s="1"/>
  <c r="D107" i="12" s="1"/>
  <c r="L104" i="12"/>
  <c r="T104" i="12"/>
  <c r="AB104" i="12"/>
  <c r="AJ104" i="12"/>
  <c r="AR104" i="12"/>
  <c r="AZ104" i="12"/>
  <c r="H19" i="12"/>
  <c r="BH104" i="12"/>
  <c r="BP104" i="12"/>
  <c r="BX104" i="12"/>
  <c r="CF104" i="12"/>
  <c r="G107" i="12"/>
  <c r="AU107" i="12"/>
  <c r="CA107" i="12"/>
  <c r="BG105" i="12"/>
  <c r="BG106" i="12" s="1"/>
  <c r="BG107" i="12" s="1"/>
  <c r="AL106" i="12"/>
  <c r="AL107" i="12" s="1"/>
  <c r="CB104" i="12"/>
  <c r="D7" i="13"/>
  <c r="D28" i="13" s="1"/>
  <c r="C153" i="2" l="1"/>
  <c r="C102" i="2"/>
  <c r="D99" i="2" s="1"/>
  <c r="AZ22" i="2"/>
  <c r="AZ21" i="2"/>
  <c r="AZ20" i="2"/>
  <c r="AZ19" i="2"/>
  <c r="AZ39" i="2" s="1"/>
  <c r="AZ93" i="2" s="1"/>
  <c r="C13" i="1"/>
  <c r="B13" i="1"/>
  <c r="D14" i="1"/>
  <c r="T40" i="3"/>
  <c r="F40" i="1"/>
  <c r="Y91" i="2"/>
  <c r="CH92" i="2"/>
  <c r="X40" i="3"/>
  <c r="G40" i="1"/>
  <c r="G14" i="3"/>
  <c r="BV92" i="2"/>
  <c r="W14" i="3"/>
  <c r="C125" i="2"/>
  <c r="D121" i="2" s="1"/>
  <c r="B49" i="11"/>
  <c r="C20" i="13" s="1"/>
  <c r="C24" i="13" s="1"/>
  <c r="BG92" i="2"/>
  <c r="P40" i="3"/>
  <c r="E40" i="1"/>
  <c r="H40" i="3"/>
  <c r="C40" i="1"/>
  <c r="I14" i="1"/>
  <c r="Y14" i="3"/>
  <c r="D40" i="3"/>
  <c r="B40" i="1"/>
  <c r="J17" i="4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BI92" i="2"/>
  <c r="BU42" i="2"/>
  <c r="N23" i="4"/>
  <c r="O23" i="4" s="1"/>
  <c r="P23" i="4" s="1"/>
  <c r="Q23" i="4" s="1"/>
  <c r="R23" i="4" s="1"/>
  <c r="S23" i="4" s="1"/>
  <c r="AT105" i="12"/>
  <c r="AT106" i="12"/>
  <c r="AT107" i="12" s="1"/>
  <c r="L19" i="3"/>
  <c r="B14" i="1"/>
  <c r="O14" i="3"/>
  <c r="AB40" i="3"/>
  <c r="H40" i="1"/>
  <c r="L40" i="3"/>
  <c r="D40" i="1"/>
  <c r="BP105" i="12"/>
  <c r="BP106" i="12" s="1"/>
  <c r="BP107" i="12" s="1"/>
  <c r="L105" i="12"/>
  <c r="D21" i="12"/>
  <c r="D115" i="2"/>
  <c r="E111" i="2" s="1"/>
  <c r="D112" i="2"/>
  <c r="J117" i="2"/>
  <c r="J120" i="2" s="1"/>
  <c r="K116" i="2" s="1"/>
  <c r="AV105" i="12"/>
  <c r="G21" i="12"/>
  <c r="X105" i="12"/>
  <c r="X106" i="12"/>
  <c r="E21" i="12"/>
  <c r="B60" i="12"/>
  <c r="B63" i="12" s="1"/>
  <c r="B12" i="12"/>
  <c r="CG105" i="12"/>
  <c r="CG106" i="12" s="1"/>
  <c r="CG107" i="12" s="1"/>
  <c r="BA106" i="12"/>
  <c r="BA107" i="12" s="1"/>
  <c r="BA105" i="12"/>
  <c r="I70" i="2"/>
  <c r="I68" i="2"/>
  <c r="I69" i="2"/>
  <c r="I67" i="2"/>
  <c r="CE69" i="2"/>
  <c r="CE67" i="2"/>
  <c r="CE70" i="2"/>
  <c r="CE68" i="2"/>
  <c r="BQ22" i="2"/>
  <c r="BQ20" i="2"/>
  <c r="BQ21" i="2"/>
  <c r="BQ19" i="2"/>
  <c r="AM21" i="2"/>
  <c r="AM19" i="2"/>
  <c r="AM22" i="2"/>
  <c r="AM20" i="2"/>
  <c r="C21" i="2"/>
  <c r="C19" i="2"/>
  <c r="C22" i="2"/>
  <c r="C20" i="2"/>
  <c r="AP22" i="2"/>
  <c r="AP20" i="2"/>
  <c r="AP21" i="2"/>
  <c r="AP19" i="2"/>
  <c r="D122" i="2"/>
  <c r="Y9" i="3"/>
  <c r="Y17" i="3"/>
  <c r="BT42" i="2"/>
  <c r="BT90" i="2"/>
  <c r="BT92" i="2" s="1"/>
  <c r="H17" i="1"/>
  <c r="H9" i="1"/>
  <c r="D91" i="2"/>
  <c r="CC70" i="2"/>
  <c r="CC68" i="2"/>
  <c r="CC69" i="2"/>
  <c r="CC67" i="2"/>
  <c r="BD21" i="2"/>
  <c r="BD19" i="2"/>
  <c r="BD39" i="2" s="1"/>
  <c r="BD93" i="2" s="1"/>
  <c r="BD22" i="2"/>
  <c r="BD20" i="2"/>
  <c r="AR22" i="2"/>
  <c r="AR20" i="2"/>
  <c r="AR21" i="2"/>
  <c r="AR19" i="2"/>
  <c r="M22" i="2"/>
  <c r="M20" i="2"/>
  <c r="M21" i="2"/>
  <c r="M19" i="2"/>
  <c r="W17" i="3"/>
  <c r="W9" i="3"/>
  <c r="BN90" i="2"/>
  <c r="BN92" i="2" s="1"/>
  <c r="BN42" i="2"/>
  <c r="U19" i="3"/>
  <c r="BH91" i="2"/>
  <c r="G19" i="1"/>
  <c r="BS92" i="2"/>
  <c r="BU92" i="2"/>
  <c r="BO92" i="2"/>
  <c r="C23" i="12"/>
  <c r="B20" i="12"/>
  <c r="M105" i="12"/>
  <c r="M106" i="12" s="1"/>
  <c r="M107" i="12" s="1"/>
  <c r="AF21" i="2"/>
  <c r="AF19" i="2"/>
  <c r="AF22" i="2"/>
  <c r="AF20" i="2"/>
  <c r="AM70" i="2"/>
  <c r="AM68" i="2"/>
  <c r="AM69" i="2"/>
  <c r="AM67" i="2"/>
  <c r="Y70" i="2"/>
  <c r="Y68" i="2"/>
  <c r="Y69" i="2"/>
  <c r="Y67" i="2"/>
  <c r="J70" i="2"/>
  <c r="J68" i="2"/>
  <c r="J69" i="2"/>
  <c r="J67" i="2"/>
  <c r="BV70" i="2"/>
  <c r="BV68" i="2"/>
  <c r="BV69" i="2"/>
  <c r="BV67" i="2"/>
  <c r="L69" i="2"/>
  <c r="L67" i="2"/>
  <c r="L68" i="2"/>
  <c r="L70" i="2"/>
  <c r="BX69" i="2"/>
  <c r="BX67" i="2"/>
  <c r="BX68" i="2"/>
  <c r="BX70" i="2"/>
  <c r="BA69" i="2"/>
  <c r="BA67" i="2"/>
  <c r="BA70" i="2"/>
  <c r="BA68" i="2"/>
  <c r="AD69" i="2"/>
  <c r="AD67" i="2"/>
  <c r="AD70" i="2"/>
  <c r="AD68" i="2"/>
  <c r="BG19" i="2"/>
  <c r="BG39" i="2" s="1"/>
  <c r="BG22" i="2"/>
  <c r="BG20" i="2"/>
  <c r="BG21" i="2"/>
  <c r="CG22" i="2"/>
  <c r="CG20" i="2"/>
  <c r="CG21" i="2"/>
  <c r="CG19" i="2"/>
  <c r="CG39" i="2" s="1"/>
  <c r="BL21" i="2"/>
  <c r="BL19" i="2"/>
  <c r="BL22" i="2"/>
  <c r="BL20" i="2"/>
  <c r="BN22" i="2"/>
  <c r="BN20" i="2"/>
  <c r="BN21" i="2"/>
  <c r="BN19" i="2"/>
  <c r="BN39" i="2" s="1"/>
  <c r="W20" i="2"/>
  <c r="W21" i="2"/>
  <c r="W19" i="2"/>
  <c r="W22" i="2"/>
  <c r="AD21" i="2"/>
  <c r="AD19" i="2"/>
  <c r="AD22" i="2"/>
  <c r="AD20" i="2"/>
  <c r="AJ22" i="2"/>
  <c r="AJ20" i="2"/>
  <c r="AJ21" i="2"/>
  <c r="AJ19" i="2"/>
  <c r="BC22" i="2"/>
  <c r="BC21" i="2"/>
  <c r="BC19" i="2"/>
  <c r="BC20" i="2"/>
  <c r="Q21" i="2"/>
  <c r="Q19" i="2"/>
  <c r="Q22" i="2"/>
  <c r="Q20" i="2"/>
  <c r="Z22" i="2"/>
  <c r="Z20" i="2"/>
  <c r="Z21" i="2"/>
  <c r="Z19" i="2"/>
  <c r="Z39" i="2" s="1"/>
  <c r="Z93" i="2" s="1"/>
  <c r="AS22" i="2"/>
  <c r="AS20" i="2"/>
  <c r="AS21" i="2"/>
  <c r="AS19" i="2"/>
  <c r="B19" i="3"/>
  <c r="C91" i="2"/>
  <c r="B19" i="1"/>
  <c r="AZ91" i="2"/>
  <c r="F19" i="1"/>
  <c r="W70" i="2"/>
  <c r="W68" i="2"/>
  <c r="W69" i="2"/>
  <c r="W67" i="2"/>
  <c r="BF70" i="2"/>
  <c r="BF68" i="2"/>
  <c r="BF69" i="2"/>
  <c r="BF67" i="2"/>
  <c r="AK69" i="2"/>
  <c r="AK67" i="2"/>
  <c r="AK70" i="2"/>
  <c r="AK68" i="2"/>
  <c r="AX22" i="2"/>
  <c r="AX20" i="2"/>
  <c r="AX21" i="2"/>
  <c r="AX19" i="2"/>
  <c r="AE70" i="2"/>
  <c r="AE68" i="2"/>
  <c r="AE69" i="2"/>
  <c r="AE67" i="2"/>
  <c r="D69" i="2"/>
  <c r="D67" i="2"/>
  <c r="D68" i="2"/>
  <c r="D70" i="2"/>
  <c r="AS69" i="2"/>
  <c r="AS67" i="2"/>
  <c r="AS70" i="2"/>
  <c r="AS68" i="2"/>
  <c r="CH69" i="2"/>
  <c r="CH67" i="2"/>
  <c r="CH70" i="2"/>
  <c r="CH68" i="2"/>
  <c r="AE22" i="2"/>
  <c r="AE21" i="2"/>
  <c r="AE19" i="2"/>
  <c r="AE20" i="2"/>
  <c r="CA22" i="2"/>
  <c r="CA21" i="2"/>
  <c r="CA19" i="2"/>
  <c r="CA39" i="2" s="1"/>
  <c r="CA20" i="2"/>
  <c r="C40" i="4"/>
  <c r="C41" i="4" s="1"/>
  <c r="C42" i="4" s="1"/>
  <c r="C21" i="12"/>
  <c r="AU70" i="2"/>
  <c r="AU68" i="2"/>
  <c r="AU69" i="2"/>
  <c r="AU67" i="2"/>
  <c r="CD70" i="2"/>
  <c r="CD68" i="2"/>
  <c r="CD69" i="2"/>
  <c r="CD67" i="2"/>
  <c r="BI69" i="2"/>
  <c r="BI67" i="2"/>
  <c r="BI70" i="2"/>
  <c r="BI68" i="2"/>
  <c r="BV22" i="2"/>
  <c r="BV20" i="2"/>
  <c r="BV21" i="2"/>
  <c r="BV19" i="2"/>
  <c r="AQ21" i="2"/>
  <c r="AQ19" i="2"/>
  <c r="AQ22" i="2"/>
  <c r="AQ20" i="2"/>
  <c r="AV70" i="2"/>
  <c r="AV68" i="2"/>
  <c r="AV69" i="2"/>
  <c r="AV67" i="2"/>
  <c r="AC40" i="3"/>
  <c r="I40" i="1"/>
  <c r="AR91" i="2"/>
  <c r="AO70" i="2"/>
  <c r="AO68" i="2"/>
  <c r="AO69" i="2"/>
  <c r="AO67" i="2"/>
  <c r="E69" i="2"/>
  <c r="E67" i="2"/>
  <c r="E70" i="2"/>
  <c r="E68" i="2"/>
  <c r="BW21" i="2"/>
  <c r="BW19" i="2"/>
  <c r="BW22" i="2"/>
  <c r="BW20" i="2"/>
  <c r="BJ21" i="2"/>
  <c r="BJ19" i="2"/>
  <c r="BJ22" i="2"/>
  <c r="BJ20" i="2"/>
  <c r="CB21" i="2"/>
  <c r="CB19" i="2"/>
  <c r="CB22" i="2"/>
  <c r="CB20" i="2"/>
  <c r="CD22" i="2"/>
  <c r="CD20" i="2"/>
  <c r="CD21" i="2"/>
  <c r="CD19" i="2"/>
  <c r="G20" i="2"/>
  <c r="G22" i="2"/>
  <c r="G21" i="2"/>
  <c r="G19" i="2"/>
  <c r="N21" i="2"/>
  <c r="N19" i="2"/>
  <c r="N22" i="2"/>
  <c r="N20" i="2"/>
  <c r="T22" i="2"/>
  <c r="T20" i="2"/>
  <c r="T21" i="2"/>
  <c r="T19" i="2"/>
  <c r="AI22" i="2"/>
  <c r="AI20" i="2"/>
  <c r="AI21" i="2"/>
  <c r="AI19" i="2"/>
  <c r="X70" i="2"/>
  <c r="X68" i="2"/>
  <c r="X67" i="2"/>
  <c r="X69" i="2"/>
  <c r="E22" i="2"/>
  <c r="E20" i="2"/>
  <c r="E21" i="2"/>
  <c r="E19" i="2"/>
  <c r="BP22" i="2"/>
  <c r="BP20" i="2"/>
  <c r="BP21" i="2"/>
  <c r="BP19" i="2"/>
  <c r="AK22" i="2"/>
  <c r="AK20" i="2"/>
  <c r="AK21" i="2"/>
  <c r="AK19" i="2"/>
  <c r="D117" i="2"/>
  <c r="D120" i="2"/>
  <c r="E116" i="2" s="1"/>
  <c r="B87" i="11"/>
  <c r="B84" i="11"/>
  <c r="B81" i="11"/>
  <c r="B78" i="11"/>
  <c r="B55" i="11"/>
  <c r="B90" i="11"/>
  <c r="B67" i="11"/>
  <c r="B64" i="11"/>
  <c r="B61" i="11"/>
  <c r="B58" i="11"/>
  <c r="B79" i="11"/>
  <c r="B76" i="11"/>
  <c r="B73" i="11"/>
  <c r="B70" i="11"/>
  <c r="B71" i="11"/>
  <c r="B68" i="11"/>
  <c r="B65" i="11"/>
  <c r="B62" i="11"/>
  <c r="B53" i="11"/>
  <c r="B83" i="11"/>
  <c r="B80" i="11"/>
  <c r="B77" i="11"/>
  <c r="B74" i="11"/>
  <c r="B92" i="11"/>
  <c r="B89" i="11"/>
  <c r="B86" i="11"/>
  <c r="B48" i="11"/>
  <c r="C13" i="13" s="1"/>
  <c r="B88" i="11"/>
  <c r="B82" i="11"/>
  <c r="B60" i="11"/>
  <c r="B56" i="11"/>
  <c r="B75" i="11"/>
  <c r="B69" i="11"/>
  <c r="B63" i="11"/>
  <c r="B59" i="11"/>
  <c r="B91" i="11"/>
  <c r="B85" i="11"/>
  <c r="B54" i="11"/>
  <c r="B57" i="11"/>
  <c r="B72" i="11"/>
  <c r="B66" i="11"/>
  <c r="C36" i="3"/>
  <c r="I106" i="2"/>
  <c r="I108" i="2" s="1"/>
  <c r="J106" i="2" s="1"/>
  <c r="J108" i="2" s="1"/>
  <c r="K106" i="2" s="1"/>
  <c r="K108" i="2" s="1"/>
  <c r="AB17" i="3"/>
  <c r="AB9" i="3"/>
  <c r="CC90" i="2"/>
  <c r="CC92" i="2" s="1"/>
  <c r="CC42" i="2"/>
  <c r="W91" i="2"/>
  <c r="M19" i="3"/>
  <c r="AJ91" i="2"/>
  <c r="E19" i="1"/>
  <c r="BE21" i="2"/>
  <c r="BE19" i="2"/>
  <c r="BE22" i="2"/>
  <c r="BE20" i="2"/>
  <c r="CF22" i="2"/>
  <c r="CF20" i="2"/>
  <c r="CF21" i="2"/>
  <c r="CF19" i="2"/>
  <c r="AN105" i="12"/>
  <c r="AN106" i="12" s="1"/>
  <c r="AN107" i="12" s="1"/>
  <c r="D23" i="11"/>
  <c r="D24" i="11" s="1"/>
  <c r="E22" i="11" s="1"/>
  <c r="BO22" i="2"/>
  <c r="BO20" i="2"/>
  <c r="BO21" i="2"/>
  <c r="BO19" i="2"/>
  <c r="O22" i="2"/>
  <c r="O21" i="2"/>
  <c r="O19" i="2"/>
  <c r="O20" i="2"/>
  <c r="I21" i="2"/>
  <c r="I19" i="2"/>
  <c r="I22" i="2"/>
  <c r="I20" i="2"/>
  <c r="T23" i="4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AR105" i="12"/>
  <c r="AR106" i="12" s="1"/>
  <c r="AR107" i="12" s="1"/>
  <c r="BC70" i="2"/>
  <c r="BC68" i="2"/>
  <c r="BC69" i="2"/>
  <c r="BC67" i="2"/>
  <c r="AY69" i="2"/>
  <c r="AY67" i="2"/>
  <c r="AY70" i="2"/>
  <c r="AY68" i="2"/>
  <c r="BQ69" i="2"/>
  <c r="BQ67" i="2"/>
  <c r="BQ70" i="2"/>
  <c r="BQ68" i="2"/>
  <c r="BD70" i="2"/>
  <c r="BD68" i="2"/>
  <c r="BD69" i="2"/>
  <c r="BD67" i="2"/>
  <c r="AW70" i="2"/>
  <c r="AW68" i="2"/>
  <c r="AW69" i="2"/>
  <c r="AW67" i="2"/>
  <c r="AH70" i="2"/>
  <c r="AH68" i="2"/>
  <c r="AH69" i="2"/>
  <c r="AH67" i="2"/>
  <c r="BG69" i="2"/>
  <c r="BG67" i="2"/>
  <c r="BG70" i="2"/>
  <c r="BG68" i="2"/>
  <c r="AJ69" i="2"/>
  <c r="AJ67" i="2"/>
  <c r="AJ70" i="2"/>
  <c r="AJ68" i="2"/>
  <c r="M69" i="2"/>
  <c r="M67" i="2"/>
  <c r="M70" i="2"/>
  <c r="M68" i="2"/>
  <c r="BY69" i="2"/>
  <c r="BY67" i="2"/>
  <c r="BY70" i="2"/>
  <c r="BY68" i="2"/>
  <c r="BB69" i="2"/>
  <c r="BB67" i="2"/>
  <c r="BB70" i="2"/>
  <c r="BB68" i="2"/>
  <c r="CE22" i="2"/>
  <c r="CE20" i="2"/>
  <c r="CE21" i="2"/>
  <c r="CE19" i="2"/>
  <c r="BR21" i="2"/>
  <c r="BR19" i="2"/>
  <c r="BR22" i="2"/>
  <c r="BR20" i="2"/>
  <c r="BM21" i="2"/>
  <c r="BM19" i="2"/>
  <c r="BM22" i="2"/>
  <c r="BM20" i="2"/>
  <c r="C21" i="11"/>
  <c r="D19" i="11" s="1"/>
  <c r="AQ69" i="2"/>
  <c r="AQ67" i="2"/>
  <c r="AQ70" i="2"/>
  <c r="AQ68" i="2"/>
  <c r="F21" i="2"/>
  <c r="F19" i="2"/>
  <c r="F22" i="2"/>
  <c r="F20" i="2"/>
  <c r="L22" i="2"/>
  <c r="L20" i="2"/>
  <c r="L21" i="2"/>
  <c r="L19" i="2"/>
  <c r="AA19" i="2"/>
  <c r="AA22" i="2"/>
  <c r="AA20" i="2"/>
  <c r="AA21" i="2"/>
  <c r="BX22" i="2"/>
  <c r="BX20" i="2"/>
  <c r="BX21" i="2"/>
  <c r="BX19" i="2"/>
  <c r="AA69" i="2"/>
  <c r="AA67" i="2"/>
  <c r="AA70" i="2"/>
  <c r="AA68" i="2"/>
  <c r="BH22" i="2"/>
  <c r="BH20" i="2"/>
  <c r="BH21" i="2"/>
  <c r="BH19" i="2"/>
  <c r="R22" i="2"/>
  <c r="R20" i="2"/>
  <c r="R21" i="2"/>
  <c r="R19" i="2"/>
  <c r="P12" i="8"/>
  <c r="P13" i="8"/>
  <c r="P14" i="8"/>
  <c r="P16" i="8"/>
  <c r="P8" i="8"/>
  <c r="P9" i="8"/>
  <c r="P11" i="8"/>
  <c r="P5" i="8"/>
  <c r="P10" i="8"/>
  <c r="P15" i="8"/>
  <c r="P7" i="8"/>
  <c r="P4" i="8"/>
  <c r="BA10" i="2"/>
  <c r="AS10" i="2"/>
  <c r="AK10" i="2"/>
  <c r="AC10" i="2"/>
  <c r="U10" i="2"/>
  <c r="M10" i="2"/>
  <c r="E10" i="2"/>
  <c r="BF10" i="2"/>
  <c r="AO10" i="2"/>
  <c r="I10" i="2"/>
  <c r="BD10" i="2"/>
  <c r="AF10" i="2"/>
  <c r="G10" i="2"/>
  <c r="AZ10" i="2"/>
  <c r="AR10" i="2"/>
  <c r="AJ10" i="2"/>
  <c r="AB10" i="2"/>
  <c r="T10" i="2"/>
  <c r="L10" i="2"/>
  <c r="D10" i="2"/>
  <c r="AP10" i="2"/>
  <c r="R10" i="2"/>
  <c r="BE10" i="2"/>
  <c r="AG10" i="2"/>
  <c r="Q10" i="2"/>
  <c r="AV10" i="2"/>
  <c r="X10" i="2"/>
  <c r="AM10" i="2"/>
  <c r="AY10" i="2"/>
  <c r="R7" i="3" s="1"/>
  <c r="AQ10" i="2"/>
  <c r="AI10" i="2"/>
  <c r="AA10" i="2"/>
  <c r="J7" i="3" s="1"/>
  <c r="S10" i="2"/>
  <c r="K10" i="2"/>
  <c r="C10" i="2"/>
  <c r="AX10" i="2"/>
  <c r="AH10" i="2"/>
  <c r="Z10" i="2"/>
  <c r="J10" i="2"/>
  <c r="AW10" i="2"/>
  <c r="Y10" i="2"/>
  <c r="AN10" i="2"/>
  <c r="P10" i="2"/>
  <c r="H10" i="2"/>
  <c r="BC10" i="2"/>
  <c r="W10" i="2"/>
  <c r="AU10" i="2"/>
  <c r="BB10" i="2"/>
  <c r="AT10" i="2"/>
  <c r="AL10" i="2"/>
  <c r="AD10" i="2"/>
  <c r="V10" i="2"/>
  <c r="N10" i="2"/>
  <c r="F10" i="2"/>
  <c r="C7" i="3" s="1"/>
  <c r="AE10" i="2"/>
  <c r="O10" i="2"/>
  <c r="F7" i="3" s="1"/>
  <c r="CB91" i="2"/>
  <c r="CB92" i="2" s="1"/>
  <c r="G19" i="3"/>
  <c r="R91" i="2"/>
  <c r="Z9" i="3"/>
  <c r="Z17" i="3"/>
  <c r="BW90" i="2"/>
  <c r="BW92" i="2" s="1"/>
  <c r="BW42" i="2"/>
  <c r="F19" i="3"/>
  <c r="O91" i="2"/>
  <c r="AA19" i="3"/>
  <c r="AB91" i="2"/>
  <c r="BL92" i="2"/>
  <c r="BM92" i="2"/>
  <c r="AW21" i="2"/>
  <c r="AW19" i="2"/>
  <c r="AW22" i="2"/>
  <c r="AW20" i="2"/>
  <c r="BU70" i="2"/>
  <c r="BU68" i="2"/>
  <c r="BU69" i="2"/>
  <c r="BU67" i="2"/>
  <c r="BH69" i="2"/>
  <c r="BH67" i="2"/>
  <c r="BH70" i="2"/>
  <c r="BH68" i="2"/>
  <c r="N69" i="2"/>
  <c r="N67" i="2"/>
  <c r="N70" i="2"/>
  <c r="N68" i="2"/>
  <c r="BZ69" i="2"/>
  <c r="BZ67" i="2"/>
  <c r="BZ70" i="2"/>
  <c r="BZ68" i="2"/>
  <c r="AV21" i="2"/>
  <c r="AV19" i="2"/>
  <c r="AV22" i="2"/>
  <c r="AV20" i="2"/>
  <c r="AT21" i="2"/>
  <c r="AT19" i="2"/>
  <c r="AT22" i="2"/>
  <c r="AT20" i="2"/>
  <c r="AF70" i="2"/>
  <c r="AF68" i="2"/>
  <c r="AF67" i="2"/>
  <c r="AF69" i="2"/>
  <c r="AC22" i="2"/>
  <c r="AC20" i="2"/>
  <c r="AC21" i="2"/>
  <c r="AC19" i="2"/>
  <c r="O11" i="8"/>
  <c r="O5" i="8"/>
  <c r="O12" i="8"/>
  <c r="O13" i="8"/>
  <c r="O6" i="8"/>
  <c r="Q6" i="8" s="1"/>
  <c r="R6" i="8" s="1"/>
  <c r="O2" i="8"/>
  <c r="Q2" i="8" s="1"/>
  <c r="R2" i="8" s="1"/>
  <c r="O15" i="8"/>
  <c r="O7" i="8"/>
  <c r="O16" i="8"/>
  <c r="O8" i="8"/>
  <c r="O3" i="8"/>
  <c r="Q3" i="8" s="1"/>
  <c r="R3" i="8" s="1"/>
  <c r="O10" i="8"/>
  <c r="O4" i="8"/>
  <c r="O14" i="8"/>
  <c r="O9" i="8"/>
  <c r="BE9" i="2"/>
  <c r="AW9" i="2"/>
  <c r="AO9" i="2"/>
  <c r="AG9" i="2"/>
  <c r="Y9" i="2"/>
  <c r="Q9" i="2"/>
  <c r="I9" i="2"/>
  <c r="AS9" i="2"/>
  <c r="AZ9" i="2"/>
  <c r="T9" i="2"/>
  <c r="AY9" i="2"/>
  <c r="BD9" i="2"/>
  <c r="AV9" i="2"/>
  <c r="AN9" i="2"/>
  <c r="AF9" i="2"/>
  <c r="X9" i="2"/>
  <c r="P9" i="2"/>
  <c r="H9" i="2"/>
  <c r="BB9" i="2"/>
  <c r="AL9" i="2"/>
  <c r="V9" i="2"/>
  <c r="F9" i="2"/>
  <c r="AC9" i="2"/>
  <c r="U9" i="2"/>
  <c r="AJ9" i="2"/>
  <c r="D9" i="2"/>
  <c r="AI9" i="2"/>
  <c r="C9" i="2"/>
  <c r="BC9" i="2"/>
  <c r="AU9" i="2"/>
  <c r="AM9" i="2"/>
  <c r="N6" i="3" s="1"/>
  <c r="AE9" i="2"/>
  <c r="W9" i="2"/>
  <c r="O9" i="2"/>
  <c r="G9" i="2"/>
  <c r="AT9" i="2"/>
  <c r="AD9" i="2"/>
  <c r="N9" i="2"/>
  <c r="BA9" i="2"/>
  <c r="AK9" i="2"/>
  <c r="M9" i="2"/>
  <c r="E9" i="2"/>
  <c r="AR9" i="2"/>
  <c r="AB9" i="2"/>
  <c r="L9" i="2"/>
  <c r="AA9" i="2"/>
  <c r="J6" i="3" s="1"/>
  <c r="K9" i="2"/>
  <c r="AQ9" i="2"/>
  <c r="BF9" i="2"/>
  <c r="AX9" i="2"/>
  <c r="AP9" i="2"/>
  <c r="AH9" i="2"/>
  <c r="Z9" i="2"/>
  <c r="R9" i="2"/>
  <c r="G6" i="3" s="1"/>
  <c r="J9" i="2"/>
  <c r="S9" i="2"/>
  <c r="D100" i="2"/>
  <c r="D101" i="2" s="1"/>
  <c r="D102" i="2" s="1"/>
  <c r="E99" i="2" s="1"/>
  <c r="D20" i="13"/>
  <c r="BP91" i="2"/>
  <c r="BP92" i="2" s="1"/>
  <c r="BJ42" i="2"/>
  <c r="BJ90" i="2"/>
  <c r="BJ92" i="2" s="1"/>
  <c r="CB105" i="12"/>
  <c r="CB106" i="12" s="1"/>
  <c r="CB107" i="12" s="1"/>
  <c r="BH106" i="12"/>
  <c r="BH105" i="12"/>
  <c r="H21" i="12"/>
  <c r="B104" i="12"/>
  <c r="BT105" i="12"/>
  <c r="I21" i="12"/>
  <c r="Q70" i="2"/>
  <c r="Q68" i="2"/>
  <c r="Q69" i="2"/>
  <c r="Q67" i="2"/>
  <c r="BY22" i="2"/>
  <c r="BY20" i="2"/>
  <c r="BY21" i="2"/>
  <c r="BY19" i="2"/>
  <c r="AL21" i="2"/>
  <c r="AL19" i="2"/>
  <c r="AL22" i="2"/>
  <c r="AL20" i="2"/>
  <c r="Y21" i="2"/>
  <c r="Y19" i="2"/>
  <c r="Y22" i="2"/>
  <c r="Y20" i="2"/>
  <c r="X21" i="2"/>
  <c r="X19" i="2"/>
  <c r="X22" i="2"/>
  <c r="X20" i="2"/>
  <c r="R70" i="2"/>
  <c r="R68" i="2"/>
  <c r="R69" i="2"/>
  <c r="R67" i="2"/>
  <c r="CF69" i="2"/>
  <c r="CF67" i="2"/>
  <c r="CF68" i="2"/>
  <c r="CF70" i="2"/>
  <c r="BB21" i="2"/>
  <c r="BB19" i="2"/>
  <c r="BB22" i="2"/>
  <c r="BB20" i="2"/>
  <c r="AB22" i="2"/>
  <c r="AB20" i="2"/>
  <c r="AB21" i="2"/>
  <c r="AB19" i="2"/>
  <c r="BL105" i="12"/>
  <c r="BL106" i="12" s="1"/>
  <c r="BL107" i="12" s="1"/>
  <c r="C27" i="4"/>
  <c r="C28" i="4" s="1"/>
  <c r="Z70" i="2"/>
  <c r="Z68" i="2"/>
  <c r="Z69" i="2"/>
  <c r="Z67" i="2"/>
  <c r="H21" i="2"/>
  <c r="H19" i="2"/>
  <c r="H22" i="2"/>
  <c r="H20" i="2"/>
  <c r="G70" i="2"/>
  <c r="G68" i="2"/>
  <c r="G69" i="2"/>
  <c r="G67" i="2"/>
  <c r="BE70" i="2"/>
  <c r="BE68" i="2"/>
  <c r="BE69" i="2"/>
  <c r="BE67" i="2"/>
  <c r="AP70" i="2"/>
  <c r="AP68" i="2"/>
  <c r="AP69" i="2"/>
  <c r="AP67" i="2"/>
  <c r="BO69" i="2"/>
  <c r="BO67" i="2"/>
  <c r="BO70" i="2"/>
  <c r="BO68" i="2"/>
  <c r="AR69" i="2"/>
  <c r="AR67" i="2"/>
  <c r="AR70" i="2"/>
  <c r="AR68" i="2"/>
  <c r="U69" i="2"/>
  <c r="U67" i="2"/>
  <c r="U70" i="2"/>
  <c r="U68" i="2"/>
  <c r="CG69" i="2"/>
  <c r="CG67" i="2"/>
  <c r="CG70" i="2"/>
  <c r="CG68" i="2"/>
  <c r="BJ69" i="2"/>
  <c r="BJ67" i="2"/>
  <c r="BJ70" i="2"/>
  <c r="BJ68" i="2"/>
  <c r="BA22" i="2"/>
  <c r="BA20" i="2"/>
  <c r="BA21" i="2"/>
  <c r="BA19" i="2"/>
  <c r="BZ21" i="2"/>
  <c r="BZ19" i="2"/>
  <c r="BZ22" i="2"/>
  <c r="BZ20" i="2"/>
  <c r="BU21" i="2"/>
  <c r="BU19" i="2"/>
  <c r="BU22" i="2"/>
  <c r="BU20" i="2"/>
  <c r="P70" i="2"/>
  <c r="P68" i="2"/>
  <c r="P69" i="2"/>
  <c r="P67" i="2"/>
  <c r="K69" i="2"/>
  <c r="K67" i="2"/>
  <c r="K70" i="2"/>
  <c r="K68" i="2"/>
  <c r="AI69" i="2"/>
  <c r="AI67" i="2"/>
  <c r="AI70" i="2"/>
  <c r="AI68" i="2"/>
  <c r="D22" i="2"/>
  <c r="D20" i="2"/>
  <c r="D21" i="2"/>
  <c r="D19" i="2"/>
  <c r="S21" i="2"/>
  <c r="S22" i="2"/>
  <c r="S20" i="2"/>
  <c r="S19" i="2"/>
  <c r="AY21" i="2"/>
  <c r="AY22" i="2"/>
  <c r="AY20" i="2"/>
  <c r="AY19" i="2"/>
  <c r="AH22" i="2"/>
  <c r="AH20" i="2"/>
  <c r="AH21" i="2"/>
  <c r="AH19" i="2"/>
  <c r="U22" i="2"/>
  <c r="U20" i="2"/>
  <c r="U21" i="2"/>
  <c r="U19" i="2"/>
  <c r="I111" i="2"/>
  <c r="D13" i="13"/>
  <c r="R19" i="3"/>
  <c r="J91" i="2"/>
  <c r="AC17" i="3"/>
  <c r="AC9" i="3"/>
  <c r="CF90" i="2"/>
  <c r="CF42" i="2"/>
  <c r="I17" i="1"/>
  <c r="I9" i="1"/>
  <c r="V17" i="3"/>
  <c r="V9" i="3"/>
  <c r="BK90" i="2"/>
  <c r="BK92" i="2" s="1"/>
  <c r="BK42" i="2"/>
  <c r="G91" i="2"/>
  <c r="C10" i="13"/>
  <c r="C27" i="13"/>
  <c r="C19" i="3"/>
  <c r="AC19" i="3"/>
  <c r="CF91" i="2"/>
  <c r="I19" i="1"/>
  <c r="T91" i="2"/>
  <c r="CA92" i="2"/>
  <c r="BY92" i="2"/>
  <c r="CE92" i="2"/>
  <c r="AG21" i="2"/>
  <c r="AG19" i="2"/>
  <c r="AG22" i="2"/>
  <c r="AG20" i="2"/>
  <c r="AN21" i="2"/>
  <c r="AN19" i="2"/>
  <c r="AN22" i="2"/>
  <c r="AN20" i="2"/>
  <c r="BN70" i="2"/>
  <c r="BN68" i="2"/>
  <c r="BN69" i="2"/>
  <c r="BN67" i="2"/>
  <c r="BP69" i="2"/>
  <c r="BP67" i="2"/>
  <c r="BP68" i="2"/>
  <c r="BP70" i="2"/>
  <c r="V69" i="2"/>
  <c r="V67" i="2"/>
  <c r="V70" i="2"/>
  <c r="V68" i="2"/>
  <c r="BF22" i="2"/>
  <c r="BF20" i="2"/>
  <c r="BF21" i="2"/>
  <c r="BF19" i="2"/>
  <c r="J22" i="2"/>
  <c r="J20" i="2"/>
  <c r="J21" i="2"/>
  <c r="J19" i="2"/>
  <c r="AZ105" i="12"/>
  <c r="AZ106" i="12" s="1"/>
  <c r="AZ107" i="12" s="1"/>
  <c r="B19" i="12"/>
  <c r="P105" i="12"/>
  <c r="P106" i="12" s="1"/>
  <c r="P107" i="12" s="1"/>
  <c r="AG70" i="2"/>
  <c r="AG68" i="2"/>
  <c r="AG69" i="2"/>
  <c r="AG67" i="2"/>
  <c r="T69" i="2"/>
  <c r="T67" i="2"/>
  <c r="T68" i="2"/>
  <c r="T70" i="2"/>
  <c r="AL69" i="2"/>
  <c r="AL67" i="2"/>
  <c r="AL70" i="2"/>
  <c r="AL68" i="2"/>
  <c r="BT21" i="2"/>
  <c r="BT19" i="2"/>
  <c r="BT22" i="2"/>
  <c r="BT20" i="2"/>
  <c r="V21" i="2"/>
  <c r="V19" i="2"/>
  <c r="V22" i="2"/>
  <c r="V20" i="2"/>
  <c r="BL70" i="2"/>
  <c r="BL68" i="2"/>
  <c r="BL69" i="2"/>
  <c r="BL67" i="2"/>
  <c r="AN70" i="2"/>
  <c r="AN68" i="2"/>
  <c r="AN67" i="2"/>
  <c r="AN69" i="2"/>
  <c r="P21" i="2"/>
  <c r="P19" i="2"/>
  <c r="P22" i="2"/>
  <c r="P20" i="2"/>
  <c r="AB69" i="2"/>
  <c r="AB67" i="2"/>
  <c r="AB70" i="2"/>
  <c r="AB68" i="2"/>
  <c r="AT69" i="2"/>
  <c r="AT67" i="2"/>
  <c r="AT70" i="2"/>
  <c r="AT68" i="2"/>
  <c r="F21" i="12"/>
  <c r="AJ105" i="12"/>
  <c r="F22" i="12" s="1"/>
  <c r="AF105" i="12"/>
  <c r="AF106" i="12"/>
  <c r="AF107" i="12" s="1"/>
  <c r="D27" i="11"/>
  <c r="E25" i="11" s="1"/>
  <c r="D26" i="11"/>
  <c r="BK70" i="2"/>
  <c r="BK68" i="2"/>
  <c r="BK69" i="2"/>
  <c r="BK67" i="2"/>
  <c r="CF105" i="12"/>
  <c r="J22" i="12" s="1"/>
  <c r="J21" i="12"/>
  <c r="AB105" i="12"/>
  <c r="AB106" i="12" s="1"/>
  <c r="AB107" i="12" s="1"/>
  <c r="Z105" i="12"/>
  <c r="Z106" i="12" s="1"/>
  <c r="Z107" i="12" s="1"/>
  <c r="C107" i="12"/>
  <c r="C24" i="12" s="1"/>
  <c r="BD105" i="12"/>
  <c r="BD106" i="12"/>
  <c r="BD107" i="12" s="1"/>
  <c r="S69" i="2"/>
  <c r="S67" i="2"/>
  <c r="S70" i="2"/>
  <c r="S68" i="2"/>
  <c r="BS70" i="2"/>
  <c r="BS68" i="2"/>
  <c r="BS69" i="2"/>
  <c r="BS67" i="2"/>
  <c r="BX105" i="12"/>
  <c r="BX106" i="12" s="1"/>
  <c r="BX107" i="12" s="1"/>
  <c r="T106" i="12"/>
  <c r="T107" i="12" s="1"/>
  <c r="T105" i="12"/>
  <c r="R105" i="12"/>
  <c r="R106" i="12" s="1"/>
  <c r="R107" i="12" s="1"/>
  <c r="BS20" i="2"/>
  <c r="BS21" i="2"/>
  <c r="BS19" i="2"/>
  <c r="BS22" i="2"/>
  <c r="O70" i="2"/>
  <c r="O68" i="2"/>
  <c r="O69" i="2"/>
  <c r="O67" i="2"/>
  <c r="CA70" i="2"/>
  <c r="CA68" i="2"/>
  <c r="CA69" i="2"/>
  <c r="CA67" i="2"/>
  <c r="BM70" i="2"/>
  <c r="BM68" i="2"/>
  <c r="BM69" i="2"/>
  <c r="BM67" i="2"/>
  <c r="AX70" i="2"/>
  <c r="AX68" i="2"/>
  <c r="AX69" i="2"/>
  <c r="AX67" i="2"/>
  <c r="BW69" i="2"/>
  <c r="BW67" i="2"/>
  <c r="BW70" i="2"/>
  <c r="BW68" i="2"/>
  <c r="AZ69" i="2"/>
  <c r="AZ67" i="2"/>
  <c r="AZ68" i="2"/>
  <c r="AZ70" i="2"/>
  <c r="AC69" i="2"/>
  <c r="AC67" i="2"/>
  <c r="AC70" i="2"/>
  <c r="AC68" i="2"/>
  <c r="F69" i="2"/>
  <c r="F67" i="2"/>
  <c r="F70" i="2"/>
  <c r="F68" i="2"/>
  <c r="BR69" i="2"/>
  <c r="BR67" i="2"/>
  <c r="BR70" i="2"/>
  <c r="BR68" i="2"/>
  <c r="BI22" i="2"/>
  <c r="BI20" i="2"/>
  <c r="BI21" i="2"/>
  <c r="BI19" i="2"/>
  <c r="CH21" i="2"/>
  <c r="CH19" i="2"/>
  <c r="CH22" i="2"/>
  <c r="CH20" i="2"/>
  <c r="CC21" i="2"/>
  <c r="CC19" i="2"/>
  <c r="CC22" i="2"/>
  <c r="CC20" i="2"/>
  <c r="AU20" i="2"/>
  <c r="AU22" i="2"/>
  <c r="AU21" i="2"/>
  <c r="AU19" i="2"/>
  <c r="BK20" i="2"/>
  <c r="BK21" i="2"/>
  <c r="BK19" i="2"/>
  <c r="BK22" i="2"/>
  <c r="C69" i="2"/>
  <c r="C67" i="2"/>
  <c r="C70" i="2"/>
  <c r="C68" i="2"/>
  <c r="CB70" i="2"/>
  <c r="CB68" i="2"/>
  <c r="CB69" i="2"/>
  <c r="CB67" i="2"/>
  <c r="K22" i="2"/>
  <c r="K20" i="2"/>
  <c r="K21" i="2"/>
  <c r="K19" i="2"/>
  <c r="AO21" i="2"/>
  <c r="AO19" i="2"/>
  <c r="AO22" i="2"/>
  <c r="AO20" i="2"/>
  <c r="H70" i="2"/>
  <c r="H68" i="2"/>
  <c r="H67" i="2"/>
  <c r="H69" i="2"/>
  <c r="BT70" i="2"/>
  <c r="BT68" i="2"/>
  <c r="BT67" i="2"/>
  <c r="BT69" i="2"/>
  <c r="N10" i="8"/>
  <c r="Q10" i="8" s="1"/>
  <c r="R10" i="8" s="1"/>
  <c r="N4" i="8"/>
  <c r="N11" i="8"/>
  <c r="Q11" i="8" s="1"/>
  <c r="R11" i="8" s="1"/>
  <c r="N5" i="8"/>
  <c r="Q5" i="8" s="1"/>
  <c r="R5" i="8" s="1"/>
  <c r="N12" i="8"/>
  <c r="Q12" i="8" s="1"/>
  <c r="R12" i="8" s="1"/>
  <c r="N14" i="8"/>
  <c r="Q14" i="8" s="1"/>
  <c r="R14" i="8" s="1"/>
  <c r="N15" i="8"/>
  <c r="N7" i="8"/>
  <c r="N9" i="8"/>
  <c r="N8" i="8"/>
  <c r="Q8" i="8" s="1"/>
  <c r="R8" i="8" s="1"/>
  <c r="N13" i="8"/>
  <c r="Q13" i="8" s="1"/>
  <c r="R13" i="8" s="1"/>
  <c r="N16" i="8"/>
  <c r="BA8" i="2"/>
  <c r="BA12" i="2" s="1"/>
  <c r="AS8" i="2"/>
  <c r="AK8" i="2"/>
  <c r="AC8" i="2"/>
  <c r="AC12" i="2" s="1"/>
  <c r="U8" i="2"/>
  <c r="M8" i="2"/>
  <c r="E8" i="2"/>
  <c r="E12" i="2" s="1"/>
  <c r="AH8" i="2"/>
  <c r="AH12" i="2" s="1"/>
  <c r="AW8" i="2"/>
  <c r="Q8" i="2"/>
  <c r="Q12" i="2" s="1"/>
  <c r="AV8" i="2"/>
  <c r="AF8" i="2"/>
  <c r="AF12" i="2" s="1"/>
  <c r="AM8" i="2"/>
  <c r="AZ8" i="2"/>
  <c r="AR8" i="2"/>
  <c r="AR12" i="2" s="1"/>
  <c r="AJ8" i="2"/>
  <c r="AB8" i="2"/>
  <c r="AB12" i="2" s="1"/>
  <c r="T8" i="2"/>
  <c r="T12" i="2" s="1"/>
  <c r="L8" i="2"/>
  <c r="D8" i="2"/>
  <c r="D12" i="2" s="1"/>
  <c r="AP8" i="2"/>
  <c r="R8" i="2"/>
  <c r="BE8" i="2"/>
  <c r="AG8" i="2"/>
  <c r="I8" i="2"/>
  <c r="BD8" i="2"/>
  <c r="BD12" i="2" s="1"/>
  <c r="X8" i="2"/>
  <c r="BC8" i="2"/>
  <c r="BC12" i="2" s="1"/>
  <c r="W8" i="2"/>
  <c r="AY8" i="2"/>
  <c r="AQ8" i="2"/>
  <c r="AI8" i="2"/>
  <c r="AI12" i="2" s="1"/>
  <c r="AA8" i="2"/>
  <c r="S8" i="2"/>
  <c r="S12" i="2" s="1"/>
  <c r="K8" i="2"/>
  <c r="K12" i="2" s="1"/>
  <c r="C8" i="2"/>
  <c r="BF8" i="2"/>
  <c r="AX8" i="2"/>
  <c r="AX12" i="2" s="1"/>
  <c r="Z8" i="2"/>
  <c r="Z12" i="2" s="1"/>
  <c r="J8" i="2"/>
  <c r="J12" i="2" s="1"/>
  <c r="AO8" i="2"/>
  <c r="AO12" i="2" s="1"/>
  <c r="Y8" i="2"/>
  <c r="Y12" i="2" s="1"/>
  <c r="AN8" i="2"/>
  <c r="AN12" i="2" s="1"/>
  <c r="P8" i="2"/>
  <c r="H8" i="2"/>
  <c r="H12" i="2" s="1"/>
  <c r="AU8" i="2"/>
  <c r="AU12" i="2" s="1"/>
  <c r="O8" i="2"/>
  <c r="BB8" i="2"/>
  <c r="AT8" i="2"/>
  <c r="AT12" i="2" s="1"/>
  <c r="AL8" i="2"/>
  <c r="AL12" i="2" s="1"/>
  <c r="AD8" i="2"/>
  <c r="V8" i="2"/>
  <c r="V12" i="2" s="1"/>
  <c r="N8" i="2"/>
  <c r="N12" i="2" s="1"/>
  <c r="F8" i="2"/>
  <c r="AE8" i="2"/>
  <c r="AE12" i="2" s="1"/>
  <c r="G8" i="2"/>
  <c r="G12" i="2" s="1"/>
  <c r="C129" i="2"/>
  <c r="C83" i="2" s="1"/>
  <c r="X17" i="3"/>
  <c r="X9" i="3"/>
  <c r="BQ90" i="2"/>
  <c r="BQ92" i="2" s="1"/>
  <c r="BQ42" i="2"/>
  <c r="U17" i="3"/>
  <c r="U9" i="3"/>
  <c r="BH90" i="2"/>
  <c r="BH92" i="2" s="1"/>
  <c r="G17" i="1"/>
  <c r="G9" i="1"/>
  <c r="BH42" i="2"/>
  <c r="B10" i="13"/>
  <c r="B27" i="13"/>
  <c r="D6" i="13"/>
  <c r="BX91" i="2"/>
  <c r="BX92" i="2" s="1"/>
  <c r="E19" i="3"/>
  <c r="L91" i="2"/>
  <c r="C19" i="1"/>
  <c r="AA17" i="3"/>
  <c r="AA9" i="3"/>
  <c r="BZ90" i="2"/>
  <c r="BZ92" i="2" s="1"/>
  <c r="BZ42" i="2"/>
  <c r="CG92" i="2"/>
  <c r="BR92" i="2"/>
  <c r="AN39" i="2" l="1"/>
  <c r="AN93" i="2" s="1"/>
  <c r="D124" i="2"/>
  <c r="I22" i="12"/>
  <c r="O39" i="2"/>
  <c r="AO39" i="2"/>
  <c r="AO93" i="2" s="1"/>
  <c r="CC39" i="2"/>
  <c r="CC41" i="2" s="1"/>
  <c r="AJ106" i="12"/>
  <c r="AH39" i="2"/>
  <c r="AH93" i="2" s="1"/>
  <c r="S39" i="2"/>
  <c r="S93" i="2" s="1"/>
  <c r="C130" i="2"/>
  <c r="D126" i="2" s="1"/>
  <c r="AB39" i="2"/>
  <c r="AB93" i="2" s="1"/>
  <c r="AC39" i="2"/>
  <c r="AC93" i="2" s="1"/>
  <c r="AA39" i="2"/>
  <c r="BO39" i="2"/>
  <c r="CF39" i="2"/>
  <c r="CF41" i="2" s="1"/>
  <c r="BV39" i="2"/>
  <c r="BV41" i="2" s="1"/>
  <c r="BV147" i="2" s="1"/>
  <c r="B21" i="12"/>
  <c r="AR39" i="2"/>
  <c r="AR93" i="2" s="1"/>
  <c r="BQ39" i="2"/>
  <c r="P6" i="3"/>
  <c r="S7" i="3"/>
  <c r="L7" i="3"/>
  <c r="BH39" i="2"/>
  <c r="BH41" i="2" s="1"/>
  <c r="BX39" i="2"/>
  <c r="L39" i="2"/>
  <c r="BP39" i="2"/>
  <c r="T39" i="2"/>
  <c r="T93" i="2" s="1"/>
  <c r="G39" i="2"/>
  <c r="G93" i="2" s="1"/>
  <c r="E100" i="2"/>
  <c r="CC147" i="2"/>
  <c r="AL90" i="2"/>
  <c r="AL92" i="2" s="1"/>
  <c r="L93" i="2"/>
  <c r="K117" i="2"/>
  <c r="K120" i="2"/>
  <c r="L116" i="2" s="1"/>
  <c r="AB90" i="2"/>
  <c r="AB92" i="2" s="1"/>
  <c r="AB41" i="2"/>
  <c r="AB147" i="2" s="1"/>
  <c r="CF106" i="12"/>
  <c r="AQ12" i="2"/>
  <c r="K5" i="3"/>
  <c r="AD12" i="2"/>
  <c r="AN90" i="2"/>
  <c r="AN92" i="2" s="1"/>
  <c r="AN41" i="2"/>
  <c r="AN147" i="2" s="1"/>
  <c r="K90" i="2"/>
  <c r="K92" i="2" s="1"/>
  <c r="I5" i="3"/>
  <c r="D5" i="1"/>
  <c r="X12" i="2"/>
  <c r="E5" i="3"/>
  <c r="L12" i="2"/>
  <c r="C5" i="1"/>
  <c r="Q5" i="3"/>
  <c r="AV12" i="2"/>
  <c r="F5" i="1"/>
  <c r="AK12" i="2"/>
  <c r="Q15" i="8"/>
  <c r="R15" i="8" s="1"/>
  <c r="BK39" i="2"/>
  <c r="BS39" i="2"/>
  <c r="E26" i="11"/>
  <c r="E27" i="11" s="1"/>
  <c r="F25" i="11" s="1"/>
  <c r="P39" i="2"/>
  <c r="P93" i="2" s="1"/>
  <c r="BT39" i="2"/>
  <c r="U39" i="2"/>
  <c r="AY39" i="2"/>
  <c r="D39" i="2"/>
  <c r="D93" i="2" s="1"/>
  <c r="BA39" i="2"/>
  <c r="BA93" i="2" s="1"/>
  <c r="BB39" i="2"/>
  <c r="Y39" i="2"/>
  <c r="Y93" i="2" s="1"/>
  <c r="F6" i="3"/>
  <c r="J15" i="3"/>
  <c r="AA93" i="2"/>
  <c r="BM39" i="2"/>
  <c r="BE39" i="2"/>
  <c r="Q39" i="2"/>
  <c r="Q93" i="2" s="1"/>
  <c r="BL39" i="2"/>
  <c r="B68" i="12"/>
  <c r="B64" i="12"/>
  <c r="B65" i="12" s="1"/>
  <c r="G22" i="12"/>
  <c r="BD90" i="2"/>
  <c r="BD92" i="2" s="1"/>
  <c r="BD41" i="2"/>
  <c r="BD147" i="2" s="1"/>
  <c r="BH93" i="2"/>
  <c r="BV93" i="2"/>
  <c r="BG93" i="2"/>
  <c r="BG41" i="2"/>
  <c r="BG147" i="2" s="1"/>
  <c r="BQ93" i="2"/>
  <c r="AO90" i="2"/>
  <c r="AO92" i="2" s="1"/>
  <c r="AO41" i="2"/>
  <c r="AO147" i="2" s="1"/>
  <c r="H6" i="3"/>
  <c r="I6" i="3"/>
  <c r="D6" i="1"/>
  <c r="T7" i="3"/>
  <c r="CF93" i="2"/>
  <c r="E117" i="2"/>
  <c r="E120" i="2" s="1"/>
  <c r="F116" i="2" s="1"/>
  <c r="AE39" i="2"/>
  <c r="AE93" i="2" s="1"/>
  <c r="W15" i="3"/>
  <c r="BN93" i="2"/>
  <c r="CG93" i="2"/>
  <c r="CG41" i="2"/>
  <c r="CG147" i="2" s="1"/>
  <c r="D125" i="2"/>
  <c r="E121" i="2" s="1"/>
  <c r="BH147" i="2"/>
  <c r="P5" i="3"/>
  <c r="AS12" i="2"/>
  <c r="M6" i="3"/>
  <c r="E6" i="1"/>
  <c r="D127" i="2"/>
  <c r="D129" i="2" s="1"/>
  <c r="D83" i="2" s="1"/>
  <c r="E115" i="2"/>
  <c r="E112" i="2"/>
  <c r="J5" i="3"/>
  <c r="AA12" i="2"/>
  <c r="BU39" i="2"/>
  <c r="D27" i="13"/>
  <c r="D10" i="13"/>
  <c r="G90" i="2"/>
  <c r="G92" i="2" s="1"/>
  <c r="G41" i="2"/>
  <c r="G147" i="2" s="1"/>
  <c r="S5" i="3"/>
  <c r="BB12" i="2"/>
  <c r="J90" i="2"/>
  <c r="J92" i="2" s="1"/>
  <c r="AI90" i="2"/>
  <c r="AI92" i="2" s="1"/>
  <c r="L5" i="3"/>
  <c r="AG12" i="2"/>
  <c r="M5" i="3"/>
  <c r="AJ12" i="2"/>
  <c r="E5" i="1"/>
  <c r="AH41" i="2"/>
  <c r="AH147" i="2" s="1"/>
  <c r="AH90" i="2"/>
  <c r="AH92" i="2" s="1"/>
  <c r="AH42" i="2"/>
  <c r="Q16" i="8"/>
  <c r="R16" i="8" s="1"/>
  <c r="K39" i="2"/>
  <c r="K93" i="2" s="1"/>
  <c r="AU39" i="2"/>
  <c r="AU93" i="2" s="1"/>
  <c r="J39" i="2"/>
  <c r="J93" i="2" s="1"/>
  <c r="H22" i="12"/>
  <c r="D6" i="3"/>
  <c r="AT39" i="2"/>
  <c r="AT93" i="2" s="1"/>
  <c r="AW39" i="2"/>
  <c r="AW93" i="2" s="1"/>
  <c r="G7" i="3"/>
  <c r="I39" i="2"/>
  <c r="CB39" i="2"/>
  <c r="BW39" i="2"/>
  <c r="BC39" i="2"/>
  <c r="BC93" i="2" s="1"/>
  <c r="C39" i="2"/>
  <c r="D22" i="12"/>
  <c r="B105" i="12"/>
  <c r="S41" i="2"/>
  <c r="S147" i="2" s="1"/>
  <c r="S90" i="2"/>
  <c r="S92" i="2" s="1"/>
  <c r="C6" i="3"/>
  <c r="O7" i="3"/>
  <c r="H7" i="3"/>
  <c r="BR39" i="2"/>
  <c r="AD39" i="2"/>
  <c r="AF39" i="2"/>
  <c r="AF93" i="2" s="1"/>
  <c r="BN41" i="2"/>
  <c r="E23" i="12"/>
  <c r="X107" i="12"/>
  <c r="E24" i="12" s="1"/>
  <c r="L106" i="12"/>
  <c r="T90" i="2"/>
  <c r="T92" i="2" s="1"/>
  <c r="T41" i="2"/>
  <c r="T147" i="2" s="1"/>
  <c r="BO93" i="2"/>
  <c r="BO41" i="2"/>
  <c r="BO147" i="2" s="1"/>
  <c r="C33" i="4"/>
  <c r="C35" i="4" s="1"/>
  <c r="C36" i="4" s="1"/>
  <c r="AW12" i="2"/>
  <c r="F5" i="3"/>
  <c r="O12" i="2"/>
  <c r="AR41" i="2"/>
  <c r="AR147" i="2" s="1"/>
  <c r="AR90" i="2"/>
  <c r="AR92" i="2" s="1"/>
  <c r="X39" i="2"/>
  <c r="AL39" i="2"/>
  <c r="AL93" i="2" s="1"/>
  <c r="H23" i="12"/>
  <c r="BH107" i="12"/>
  <c r="H24" i="12" s="1"/>
  <c r="C5" i="3"/>
  <c r="F12" i="2"/>
  <c r="AU90" i="2"/>
  <c r="AU92" i="2" s="1"/>
  <c r="AU41" i="2"/>
  <c r="AU147" i="2" s="1"/>
  <c r="AX90" i="2"/>
  <c r="AX92" i="2" s="1"/>
  <c r="R5" i="3"/>
  <c r="AY12" i="2"/>
  <c r="G5" i="3"/>
  <c r="R12" i="2"/>
  <c r="AZ12" i="2"/>
  <c r="M12" i="2"/>
  <c r="Q4" i="8"/>
  <c r="R4" i="8" s="1"/>
  <c r="C85" i="2"/>
  <c r="CH39" i="2"/>
  <c r="AC15" i="3" s="1"/>
  <c r="AG39" i="2"/>
  <c r="CF92" i="2"/>
  <c r="C29" i="4"/>
  <c r="E6" i="3"/>
  <c r="C6" i="1"/>
  <c r="K6" i="3"/>
  <c r="Q6" i="3"/>
  <c r="F6" i="1"/>
  <c r="N7" i="3"/>
  <c r="R39" i="2"/>
  <c r="D20" i="11"/>
  <c r="D82" i="2" s="1"/>
  <c r="AK39" i="2"/>
  <c r="AK93" i="2" s="1"/>
  <c r="E39" i="2"/>
  <c r="E93" i="2" s="1"/>
  <c r="AI39" i="2"/>
  <c r="AI93" i="2" s="1"/>
  <c r="CD39" i="2"/>
  <c r="AB15" i="3" s="1"/>
  <c r="AX39" i="2"/>
  <c r="AX93" i="2" s="1"/>
  <c r="AP39" i="2"/>
  <c r="E22" i="12"/>
  <c r="Y90" i="2"/>
  <c r="Y92" i="2" s="1"/>
  <c r="Y42" i="2"/>
  <c r="Y41" i="2"/>
  <c r="Y147" i="2" s="1"/>
  <c r="T6" i="3"/>
  <c r="BX93" i="2"/>
  <c r="BX41" i="2"/>
  <c r="BX147" i="2" s="1"/>
  <c r="BP93" i="2"/>
  <c r="BP41" i="2"/>
  <c r="BP147" i="2" s="1"/>
  <c r="D5" i="3"/>
  <c r="I12" i="2"/>
  <c r="Z90" i="2"/>
  <c r="Z92" i="2" s="1"/>
  <c r="Z41" i="2"/>
  <c r="Z147" i="2" s="1"/>
  <c r="T5" i="3"/>
  <c r="BE12" i="2"/>
  <c r="V39" i="2"/>
  <c r="V93" i="2" s="1"/>
  <c r="BQ41" i="2"/>
  <c r="H90" i="2"/>
  <c r="H92" i="2" s="1"/>
  <c r="W12" i="2"/>
  <c r="O5" i="3"/>
  <c r="AP12" i="2"/>
  <c r="N5" i="3"/>
  <c r="AM12" i="2"/>
  <c r="H5" i="3"/>
  <c r="U12" i="2"/>
  <c r="Q9" i="8"/>
  <c r="R9" i="8" s="1"/>
  <c r="CF147" i="2"/>
  <c r="I112" i="2"/>
  <c r="I115" i="2"/>
  <c r="J111" i="2" s="1"/>
  <c r="BZ39" i="2"/>
  <c r="H39" i="2"/>
  <c r="H93" i="2" s="1"/>
  <c r="BY39" i="2"/>
  <c r="B6" i="3"/>
  <c r="B6" i="1"/>
  <c r="L6" i="3"/>
  <c r="K7" i="3"/>
  <c r="B7" i="3"/>
  <c r="B7" i="1"/>
  <c r="I7" i="3"/>
  <c r="D7" i="1"/>
  <c r="E7" i="3"/>
  <c r="C7" i="1"/>
  <c r="CE39" i="2"/>
  <c r="F15" i="3"/>
  <c r="O93" i="2"/>
  <c r="E23" i="11"/>
  <c r="CA93" i="2"/>
  <c r="CA41" i="2"/>
  <c r="CA147" i="2" s="1"/>
  <c r="AS39" i="2"/>
  <c r="AJ39" i="2"/>
  <c r="Q90" i="2"/>
  <c r="Q92" i="2" s="1"/>
  <c r="Q41" i="2"/>
  <c r="Q147" i="2" s="1"/>
  <c r="CC93" i="2"/>
  <c r="B106" i="12"/>
  <c r="B107" i="12" s="1"/>
  <c r="D153" i="2"/>
  <c r="M7" i="3"/>
  <c r="E7" i="1"/>
  <c r="AT90" i="2"/>
  <c r="AT92" i="2" s="1"/>
  <c r="AT41" i="2"/>
  <c r="AT147" i="2" s="1"/>
  <c r="BA90" i="2"/>
  <c r="BA92" i="2" s="1"/>
  <c r="BA41" i="2"/>
  <c r="BA147" i="2" s="1"/>
  <c r="AE90" i="2"/>
  <c r="AE92" i="2" s="1"/>
  <c r="AE41" i="2"/>
  <c r="AE147" i="2" s="1"/>
  <c r="E90" i="2"/>
  <c r="E92" i="2" s="1"/>
  <c r="F23" i="12"/>
  <c r="AJ107" i="12"/>
  <c r="F24" i="12" s="1"/>
  <c r="N90" i="2"/>
  <c r="N92" i="2" s="1"/>
  <c r="BF12" i="2"/>
  <c r="V90" i="2"/>
  <c r="V92" i="2" s="1"/>
  <c r="V41" i="2"/>
  <c r="V147" i="2" s="1"/>
  <c r="P12" i="2"/>
  <c r="B5" i="3"/>
  <c r="B5" i="1"/>
  <c r="C12" i="2"/>
  <c r="BC90" i="2"/>
  <c r="BC92" i="2" s="1"/>
  <c r="D90" i="2"/>
  <c r="D92" i="2" s="1"/>
  <c r="D41" i="2"/>
  <c r="D147" i="2" s="1"/>
  <c r="AF90" i="2"/>
  <c r="AF92" i="2" s="1"/>
  <c r="AC90" i="2"/>
  <c r="AC92" i="2" s="1"/>
  <c r="AC41" i="2"/>
  <c r="AC147" i="2" s="1"/>
  <c r="AC42" i="2"/>
  <c r="Q7" i="8"/>
  <c r="R7" i="8" s="1"/>
  <c r="BI39" i="2"/>
  <c r="D84" i="2"/>
  <c r="BF39" i="2"/>
  <c r="BF93" i="2" s="1"/>
  <c r="BT106" i="12"/>
  <c r="O6" i="3"/>
  <c r="S6" i="3"/>
  <c r="R6" i="3"/>
  <c r="AV39" i="2"/>
  <c r="Q7" i="3"/>
  <c r="F7" i="1"/>
  <c r="D7" i="3"/>
  <c r="P7" i="3"/>
  <c r="F39" i="2"/>
  <c r="D36" i="3"/>
  <c r="L106" i="2"/>
  <c r="L108" i="2" s="1"/>
  <c r="M106" i="2" s="1"/>
  <c r="B36" i="1"/>
  <c r="N39" i="2"/>
  <c r="N93" i="2" s="1"/>
  <c r="BJ39" i="2"/>
  <c r="AQ39" i="2"/>
  <c r="AQ93" i="2" s="1"/>
  <c r="W39" i="2"/>
  <c r="W93" i="2" s="1"/>
  <c r="M39" i="2"/>
  <c r="M93" i="2" s="1"/>
  <c r="AM39" i="2"/>
  <c r="AV106" i="12"/>
  <c r="G15" i="1" l="1"/>
  <c r="G42" i="5" s="1"/>
  <c r="AX41" i="2"/>
  <c r="AX147" i="2" s="1"/>
  <c r="D42" i="2"/>
  <c r="U15" i="3"/>
  <c r="D33" i="4"/>
  <c r="D35" i="4" s="1"/>
  <c r="D85" i="2"/>
  <c r="F117" i="2"/>
  <c r="F120" i="2" s="1"/>
  <c r="G116" i="2" s="1"/>
  <c r="G15" i="3"/>
  <c r="R93" i="2"/>
  <c r="C15" i="3"/>
  <c r="F93" i="2"/>
  <c r="Q15" i="3"/>
  <c r="AV93" i="2"/>
  <c r="F15" i="1"/>
  <c r="F42" i="5" s="1"/>
  <c r="D40" i="4"/>
  <c r="D41" i="4" s="1"/>
  <c r="D42" i="4" s="1"/>
  <c r="BC41" i="2"/>
  <c r="N9" i="3"/>
  <c r="AM90" i="2"/>
  <c r="AM92" i="2" s="1"/>
  <c r="AM41" i="2"/>
  <c r="AM42" i="2" s="1"/>
  <c r="BQ147" i="2"/>
  <c r="Z42" i="2"/>
  <c r="C45" i="4"/>
  <c r="C46" i="4" s="1"/>
  <c r="CH93" i="2"/>
  <c r="CH41" i="2"/>
  <c r="BR93" i="2"/>
  <c r="BR41" i="2"/>
  <c r="BR147" i="2" s="1"/>
  <c r="G42" i="2"/>
  <c r="E122" i="2"/>
  <c r="E124" i="2" s="1"/>
  <c r="E84" i="2" s="1"/>
  <c r="BM93" i="2"/>
  <c r="BM41" i="2"/>
  <c r="BM147" i="2" s="1"/>
  <c r="Y15" i="3"/>
  <c r="BT93" i="2"/>
  <c r="H15" i="1"/>
  <c r="H42" i="5" s="1"/>
  <c r="BT41" i="2"/>
  <c r="I9" i="3"/>
  <c r="X90" i="2"/>
  <c r="X92" i="2" s="1"/>
  <c r="X41" i="2"/>
  <c r="D9" i="1"/>
  <c r="AN42" i="2"/>
  <c r="E15" i="3"/>
  <c r="V15" i="3"/>
  <c r="BK93" i="2"/>
  <c r="BK41" i="2"/>
  <c r="C94" i="2"/>
  <c r="C87" i="2"/>
  <c r="AX42" i="2"/>
  <c r="T42" i="2"/>
  <c r="K15" i="3"/>
  <c r="AD93" i="2"/>
  <c r="B22" i="12"/>
  <c r="B66" i="12" s="1"/>
  <c r="B67" i="12" s="1"/>
  <c r="B69" i="12" s="1"/>
  <c r="AI41" i="2"/>
  <c r="F111" i="2"/>
  <c r="AK90" i="2"/>
  <c r="AK92" i="2" s="1"/>
  <c r="AK41" i="2"/>
  <c r="AK147" i="2" s="1"/>
  <c r="K17" i="3"/>
  <c r="K9" i="3"/>
  <c r="AD41" i="2"/>
  <c r="AD90" i="2"/>
  <c r="AD92" i="2" s="1"/>
  <c r="L117" i="2"/>
  <c r="L120" i="2"/>
  <c r="M116" i="2" s="1"/>
  <c r="P90" i="2"/>
  <c r="P92" i="2" s="1"/>
  <c r="P41" i="2"/>
  <c r="P147" i="2" s="1"/>
  <c r="T9" i="3"/>
  <c r="BE90" i="2"/>
  <c r="BE92" i="2" s="1"/>
  <c r="BE41" i="2"/>
  <c r="BE42" i="2" s="1"/>
  <c r="D36" i="4"/>
  <c r="J112" i="2"/>
  <c r="J115" i="2" s="1"/>
  <c r="K111" i="2" s="1"/>
  <c r="M15" i="3"/>
  <c r="AJ93" i="2"/>
  <c r="E15" i="1"/>
  <c r="O9" i="3"/>
  <c r="AP41" i="2"/>
  <c r="AP42" i="2" s="1"/>
  <c r="AP90" i="2"/>
  <c r="AP92" i="2" s="1"/>
  <c r="D23" i="12"/>
  <c r="L107" i="12"/>
  <c r="D24" i="12" s="1"/>
  <c r="B15" i="3"/>
  <c r="C93" i="2"/>
  <c r="B15" i="1"/>
  <c r="Z15" i="3"/>
  <c r="BW93" i="2"/>
  <c r="BW41" i="2"/>
  <c r="P9" i="3"/>
  <c r="AS90" i="2"/>
  <c r="AS92" i="2" s="1"/>
  <c r="AS41" i="2"/>
  <c r="AS42" i="2" s="1"/>
  <c r="X15" i="3"/>
  <c r="BL93" i="2"/>
  <c r="BL41" i="2"/>
  <c r="BL147" i="2" s="1"/>
  <c r="E9" i="3"/>
  <c r="L90" i="2"/>
  <c r="L92" i="2" s="1"/>
  <c r="C9" i="1"/>
  <c r="L41" i="2"/>
  <c r="E17" i="3" s="1"/>
  <c r="BY93" i="2"/>
  <c r="BY41" i="2"/>
  <c r="BY147" i="2" s="1"/>
  <c r="V42" i="2"/>
  <c r="O15" i="3"/>
  <c r="AP93" i="2"/>
  <c r="AF41" i="2"/>
  <c r="P15" i="3"/>
  <c r="AS93" i="2"/>
  <c r="B9" i="3"/>
  <c r="C41" i="2"/>
  <c r="C90" i="2"/>
  <c r="C92" i="2" s="1"/>
  <c r="B9" i="1"/>
  <c r="C42" i="2"/>
  <c r="BA42" i="2"/>
  <c r="CE93" i="2"/>
  <c r="CE41" i="2"/>
  <c r="CE147" i="2" s="1"/>
  <c r="L15" i="3"/>
  <c r="AG93" i="2"/>
  <c r="M90" i="2"/>
  <c r="M92" i="2" s="1"/>
  <c r="M41" i="2"/>
  <c r="M147" i="2" s="1"/>
  <c r="AR42" i="2"/>
  <c r="AW90" i="2"/>
  <c r="AW92" i="2" s="1"/>
  <c r="AW42" i="2"/>
  <c r="AW41" i="2"/>
  <c r="AW147" i="2" s="1"/>
  <c r="CB93" i="2"/>
  <c r="CB41" i="2"/>
  <c r="CB147" i="2" s="1"/>
  <c r="M9" i="3"/>
  <c r="AJ41" i="2"/>
  <c r="AJ90" i="2"/>
  <c r="AJ92" i="2" s="1"/>
  <c r="AJ42" i="2"/>
  <c r="E9" i="1"/>
  <c r="Q17" i="3"/>
  <c r="Q9" i="3"/>
  <c r="AV90" i="2"/>
  <c r="AV92" i="2" s="1"/>
  <c r="F9" i="1"/>
  <c r="AV41" i="2"/>
  <c r="AV42" i="2" s="1"/>
  <c r="AQ41" i="2"/>
  <c r="AQ147" i="2" s="1"/>
  <c r="AQ90" i="2"/>
  <c r="AQ92" i="2" s="1"/>
  <c r="AL41" i="2"/>
  <c r="E101" i="2"/>
  <c r="H9" i="3"/>
  <c r="U90" i="2"/>
  <c r="U92" i="2" s="1"/>
  <c r="U41" i="2"/>
  <c r="U42" i="2" s="1"/>
  <c r="J9" i="3"/>
  <c r="AA90" i="2"/>
  <c r="AA92" i="2" s="1"/>
  <c r="AA41" i="2"/>
  <c r="AA42" i="2" s="1"/>
  <c r="C15" i="1"/>
  <c r="G23" i="12"/>
  <c r="AV107" i="12"/>
  <c r="G24" i="12" s="1"/>
  <c r="AT42" i="2"/>
  <c r="C9" i="3"/>
  <c r="F90" i="2"/>
  <c r="F92" i="2" s="1"/>
  <c r="F41" i="2"/>
  <c r="F42" i="2" s="1"/>
  <c r="N15" i="3"/>
  <c r="AM93" i="2"/>
  <c r="I23" i="12"/>
  <c r="BT107" i="12"/>
  <c r="I24" i="12" s="1"/>
  <c r="BI93" i="2"/>
  <c r="BI41" i="2"/>
  <c r="BF90" i="2"/>
  <c r="BF92" i="2" s="1"/>
  <c r="BF41" i="2"/>
  <c r="BF147" i="2" s="1"/>
  <c r="E41" i="2"/>
  <c r="W90" i="2"/>
  <c r="W92" i="2" s="1"/>
  <c r="W42" i="2"/>
  <c r="W41" i="2"/>
  <c r="W147" i="2" s="1"/>
  <c r="D9" i="3"/>
  <c r="I90" i="2"/>
  <c r="I92" i="2" s="1"/>
  <c r="I41" i="2"/>
  <c r="D27" i="4"/>
  <c r="D28" i="4" s="1"/>
  <c r="D45" i="4" s="1"/>
  <c r="AZ41" i="2"/>
  <c r="AZ147" i="2" s="1"/>
  <c r="AZ90" i="2"/>
  <c r="AZ92" i="2" s="1"/>
  <c r="D15" i="3"/>
  <c r="I93" i="2"/>
  <c r="J41" i="2"/>
  <c r="BD42" i="2"/>
  <c r="T15" i="3"/>
  <c r="BE93" i="2"/>
  <c r="R15" i="3"/>
  <c r="AY93" i="2"/>
  <c r="F27" i="11"/>
  <c r="G25" i="11" s="1"/>
  <c r="F26" i="11"/>
  <c r="J23" i="12"/>
  <c r="CF107" i="12"/>
  <c r="J24" i="12" s="1"/>
  <c r="F9" i="3"/>
  <c r="O90" i="2"/>
  <c r="O92" i="2" s="1"/>
  <c r="O42" i="2"/>
  <c r="O41" i="2"/>
  <c r="S15" i="3"/>
  <c r="BB93" i="2"/>
  <c r="AE42" i="2"/>
  <c r="CD93" i="2"/>
  <c r="CD41" i="2"/>
  <c r="R17" i="3"/>
  <c r="R9" i="3"/>
  <c r="AY41" i="2"/>
  <c r="AY42" i="2" s="1"/>
  <c r="AY90" i="2"/>
  <c r="AY92" i="2" s="1"/>
  <c r="AO42" i="2"/>
  <c r="BJ93" i="2"/>
  <c r="BJ41" i="2"/>
  <c r="BJ147" i="2" s="1"/>
  <c r="N41" i="2"/>
  <c r="Q42" i="2"/>
  <c r="E24" i="11"/>
  <c r="F22" i="11" s="1"/>
  <c r="AA15" i="3"/>
  <c r="BZ93" i="2"/>
  <c r="BZ41" i="2"/>
  <c r="H41" i="2"/>
  <c r="D21" i="11"/>
  <c r="E19" i="11" s="1"/>
  <c r="G9" i="3"/>
  <c r="R90" i="2"/>
  <c r="R92" i="2" s="1"/>
  <c r="R41" i="2"/>
  <c r="R42" i="2" s="1"/>
  <c r="AU42" i="2"/>
  <c r="I15" i="3"/>
  <c r="X93" i="2"/>
  <c r="D15" i="1"/>
  <c r="W16" i="3"/>
  <c r="BN147" i="2"/>
  <c r="S42" i="2"/>
  <c r="L9" i="3"/>
  <c r="AG90" i="2"/>
  <c r="AG92" i="2" s="1"/>
  <c r="AG41" i="2"/>
  <c r="L17" i="3" s="1"/>
  <c r="S9" i="3"/>
  <c r="BB90" i="2"/>
  <c r="BB92" i="2" s="1"/>
  <c r="BB41" i="2"/>
  <c r="S17" i="3" s="1"/>
  <c r="BU93" i="2"/>
  <c r="BU41" i="2"/>
  <c r="BU147" i="2" s="1"/>
  <c r="D130" i="2"/>
  <c r="E126" i="2" s="1"/>
  <c r="I15" i="1"/>
  <c r="I42" i="5" s="1"/>
  <c r="H15" i="3"/>
  <c r="U93" i="2"/>
  <c r="BS93" i="2"/>
  <c r="BS41" i="2"/>
  <c r="BS147" i="2" s="1"/>
  <c r="K41" i="2"/>
  <c r="AB42" i="2"/>
  <c r="B17" i="1" l="1"/>
  <c r="E17" i="1"/>
  <c r="J17" i="3"/>
  <c r="G117" i="2"/>
  <c r="G120" i="2" s="1"/>
  <c r="K112" i="2"/>
  <c r="K115" i="2" s="1"/>
  <c r="E40" i="4"/>
  <c r="E41" i="4" s="1"/>
  <c r="B30" i="3"/>
  <c r="E20" i="11"/>
  <c r="E82" i="2" s="1"/>
  <c r="O147" i="2"/>
  <c r="F16" i="3"/>
  <c r="J147" i="2"/>
  <c r="J42" i="2"/>
  <c r="D17" i="3"/>
  <c r="E153" i="2"/>
  <c r="B33" i="3"/>
  <c r="B23" i="12"/>
  <c r="O17" i="3"/>
  <c r="Y16" i="3"/>
  <c r="BT147" i="2"/>
  <c r="H16" i="1"/>
  <c r="H43" i="5" s="1"/>
  <c r="AM147" i="2"/>
  <c r="N16" i="3"/>
  <c r="BC147" i="2"/>
  <c r="BC42" i="2"/>
  <c r="E102" i="2"/>
  <c r="AL147" i="2"/>
  <c r="AL42" i="2"/>
  <c r="Z16" i="3"/>
  <c r="BW147" i="2"/>
  <c r="F112" i="2"/>
  <c r="F115" i="2"/>
  <c r="CH147" i="2"/>
  <c r="AC16" i="3"/>
  <c r="I16" i="1"/>
  <c r="I43" i="5" s="1"/>
  <c r="H147" i="2"/>
  <c r="H42" i="2"/>
  <c r="N147" i="2"/>
  <c r="N42" i="2"/>
  <c r="CD147" i="2"/>
  <c r="AB16" i="3"/>
  <c r="BI147" i="2"/>
  <c r="G16" i="1"/>
  <c r="G43" i="5" s="1"/>
  <c r="U16" i="3"/>
  <c r="C16" i="3"/>
  <c r="F147" i="2"/>
  <c r="AQ42" i="2"/>
  <c r="P16" i="3"/>
  <c r="AS147" i="2"/>
  <c r="T16" i="3"/>
  <c r="BE147" i="2"/>
  <c r="P42" i="2"/>
  <c r="AK42" i="2"/>
  <c r="C152" i="2"/>
  <c r="C156" i="2" s="1"/>
  <c r="D151" i="2" s="1"/>
  <c r="BK147" i="2"/>
  <c r="V16" i="3"/>
  <c r="I16" i="3"/>
  <c r="X147" i="2"/>
  <c r="D16" i="1"/>
  <c r="D43" i="5" s="1"/>
  <c r="E125" i="2"/>
  <c r="G26" i="11"/>
  <c r="G27" i="11" s="1"/>
  <c r="H25" i="11" s="1"/>
  <c r="AF147" i="2"/>
  <c r="AF42" i="2"/>
  <c r="L147" i="2"/>
  <c r="E16" i="3"/>
  <c r="C16" i="1"/>
  <c r="C43" i="5" s="1"/>
  <c r="E101" i="5"/>
  <c r="E42" i="5"/>
  <c r="M117" i="2"/>
  <c r="M120" i="2" s="1"/>
  <c r="N116" i="2" s="1"/>
  <c r="D17" i="1"/>
  <c r="D46" i="4"/>
  <c r="E42" i="4"/>
  <c r="BB42" i="2"/>
  <c r="D16" i="3"/>
  <c r="I147" i="2"/>
  <c r="C42" i="5"/>
  <c r="C101" i="5"/>
  <c r="B16" i="3"/>
  <c r="C147" i="2"/>
  <c r="B16" i="1"/>
  <c r="B43" i="5" s="1"/>
  <c r="C17" i="1"/>
  <c r="B42" i="5"/>
  <c r="B101" i="5"/>
  <c r="AI147" i="2"/>
  <c r="AI42" i="2"/>
  <c r="N17" i="3"/>
  <c r="D94" i="2"/>
  <c r="D95" i="2" s="1"/>
  <c r="D96" i="2" s="1"/>
  <c r="D87" i="2"/>
  <c r="D152" i="2" s="1"/>
  <c r="G16" i="3"/>
  <c r="R147" i="2"/>
  <c r="F17" i="3"/>
  <c r="H16" i="3"/>
  <c r="U147" i="2"/>
  <c r="AJ147" i="2"/>
  <c r="M16" i="3"/>
  <c r="E16" i="1"/>
  <c r="E43" i="5" s="1"/>
  <c r="I42" i="2"/>
  <c r="Q16" i="3"/>
  <c r="AV147" i="2"/>
  <c r="F16" i="1"/>
  <c r="F43" i="5" s="1"/>
  <c r="L42" i="2"/>
  <c r="P17" i="3"/>
  <c r="C95" i="2"/>
  <c r="C96" i="2" s="1"/>
  <c r="X42" i="2"/>
  <c r="K147" i="2"/>
  <c r="K42" i="2"/>
  <c r="L16" i="3"/>
  <c r="AG147" i="2"/>
  <c r="E147" i="2"/>
  <c r="E42" i="2"/>
  <c r="C17" i="3"/>
  <c r="J16" i="3"/>
  <c r="AA147" i="2"/>
  <c r="M17" i="3"/>
  <c r="B17" i="3"/>
  <c r="O16" i="3"/>
  <c r="AP147" i="2"/>
  <c r="T17" i="3"/>
  <c r="K16" i="3"/>
  <c r="AD147" i="2"/>
  <c r="D29" i="4"/>
  <c r="I17" i="3"/>
  <c r="S16" i="3"/>
  <c r="BB147" i="2"/>
  <c r="AA16" i="3"/>
  <c r="BZ147" i="2"/>
  <c r="E127" i="2"/>
  <c r="E129" i="2" s="1"/>
  <c r="E83" i="2" s="1"/>
  <c r="F23" i="11"/>
  <c r="F24" i="11"/>
  <c r="G22" i="11" s="1"/>
  <c r="AG42" i="2"/>
  <c r="D42" i="5"/>
  <c r="D101" i="5"/>
  <c r="G17" i="3"/>
  <c r="R16" i="3"/>
  <c r="AY147" i="2"/>
  <c r="AZ42" i="2"/>
  <c r="BF42" i="2"/>
  <c r="H17" i="3"/>
  <c r="F17" i="1"/>
  <c r="M42" i="2"/>
  <c r="B24" i="12"/>
  <c r="AD42" i="2"/>
  <c r="X16" i="3"/>
  <c r="E33" i="4" l="1"/>
  <c r="E35" i="4" s="1"/>
  <c r="E36" i="4" s="1"/>
  <c r="B29" i="3"/>
  <c r="L111" i="2"/>
  <c r="H26" i="11"/>
  <c r="G23" i="11"/>
  <c r="G24" i="11" s="1"/>
  <c r="H22" i="11" s="1"/>
  <c r="E27" i="4"/>
  <c r="E28" i="4" s="1"/>
  <c r="E45" i="4" s="1"/>
  <c r="E46" i="4" s="1"/>
  <c r="E85" i="2"/>
  <c r="B28" i="3"/>
  <c r="E21" i="11"/>
  <c r="F19" i="11" s="1"/>
  <c r="N117" i="2"/>
  <c r="N120" i="2" s="1"/>
  <c r="O116" i="2" s="1"/>
  <c r="F121" i="2"/>
  <c r="D156" i="2"/>
  <c r="E151" i="2" s="1"/>
  <c r="B34" i="3"/>
  <c r="F99" i="2"/>
  <c r="E130" i="2"/>
  <c r="F126" i="2" s="1"/>
  <c r="C148" i="2"/>
  <c r="D146" i="2" s="1"/>
  <c r="C161" i="2"/>
  <c r="B38" i="3" l="1"/>
  <c r="H23" i="11"/>
  <c r="H24" i="11" s="1"/>
  <c r="I22" i="11" s="1"/>
  <c r="O117" i="2"/>
  <c r="O120" i="2" s="1"/>
  <c r="P116" i="2" s="1"/>
  <c r="F20" i="11"/>
  <c r="F82" i="2" s="1"/>
  <c r="L112" i="2"/>
  <c r="L115" i="2" s="1"/>
  <c r="M111" i="2" s="1"/>
  <c r="D159" i="2"/>
  <c r="D161" i="2" s="1"/>
  <c r="D148" i="2"/>
  <c r="E146" i="2" s="1"/>
  <c r="E94" i="2"/>
  <c r="E95" i="2" s="1"/>
  <c r="E96" i="2" s="1"/>
  <c r="E87" i="2"/>
  <c r="B20" i="3"/>
  <c r="H27" i="11"/>
  <c r="I25" i="11" s="1"/>
  <c r="F122" i="2"/>
  <c r="F124" i="2" s="1"/>
  <c r="F84" i="2" s="1"/>
  <c r="F100" i="2"/>
  <c r="F101" i="2" s="1"/>
  <c r="F127" i="2"/>
  <c r="F129" i="2" s="1"/>
  <c r="F83" i="2" s="1"/>
  <c r="E29" i="4"/>
  <c r="F153" i="2" l="1"/>
  <c r="F40" i="4"/>
  <c r="F41" i="4" s="1"/>
  <c r="F42" i="4" s="1"/>
  <c r="F33" i="4"/>
  <c r="F35" i="4" s="1"/>
  <c r="F36" i="4" s="1"/>
  <c r="P117" i="2"/>
  <c r="P120" i="2" s="1"/>
  <c r="Q116" i="2" s="1"/>
  <c r="F27" i="4"/>
  <c r="F28" i="4" s="1"/>
  <c r="F45" i="4" s="1"/>
  <c r="F46" i="4" s="1"/>
  <c r="F85" i="2"/>
  <c r="B23" i="3"/>
  <c r="M112" i="2"/>
  <c r="M115" i="2" s="1"/>
  <c r="N111" i="2" s="1"/>
  <c r="F102" i="2"/>
  <c r="G99" i="2" s="1"/>
  <c r="F125" i="2"/>
  <c r="G121" i="2" s="1"/>
  <c r="F130" i="2"/>
  <c r="G126" i="2" s="1"/>
  <c r="E159" i="2"/>
  <c r="E148" i="2"/>
  <c r="E152" i="2"/>
  <c r="E156" i="2" s="1"/>
  <c r="B21" i="3"/>
  <c r="F21" i="11"/>
  <c r="G19" i="11" s="1"/>
  <c r="I26" i="11"/>
  <c r="I27" i="11"/>
  <c r="J25" i="11" s="1"/>
  <c r="I23" i="11"/>
  <c r="I24" i="11"/>
  <c r="J22" i="11" s="1"/>
  <c r="N112" i="2" l="1"/>
  <c r="N115" i="2"/>
  <c r="O111" i="2" s="1"/>
  <c r="Q117" i="2"/>
  <c r="Q120" i="2" s="1"/>
  <c r="R116" i="2" s="1"/>
  <c r="G122" i="2"/>
  <c r="G124" i="2"/>
  <c r="G84" i="2" s="1"/>
  <c r="G100" i="2"/>
  <c r="F94" i="2"/>
  <c r="F95" i="2" s="1"/>
  <c r="F96" i="2" s="1"/>
  <c r="F87" i="2"/>
  <c r="J26" i="11"/>
  <c r="G20" i="11"/>
  <c r="G82" i="2" s="1"/>
  <c r="F29" i="4"/>
  <c r="J23" i="11"/>
  <c r="J24" i="11" s="1"/>
  <c r="K22" i="11" s="1"/>
  <c r="B42" i="3"/>
  <c r="F146" i="2"/>
  <c r="G127" i="2"/>
  <c r="F151" i="2"/>
  <c r="B43" i="3"/>
  <c r="E161" i="2"/>
  <c r="B45" i="3" s="1"/>
  <c r="G125" i="2" l="1"/>
  <c r="H121" i="2" s="1"/>
  <c r="H122" i="2"/>
  <c r="R117" i="2"/>
  <c r="R120" i="2" s="1"/>
  <c r="S116" i="2" s="1"/>
  <c r="G27" i="4"/>
  <c r="G28" i="4" s="1"/>
  <c r="G29" i="4" s="1"/>
  <c r="G40" i="4"/>
  <c r="G41" i="4" s="1"/>
  <c r="G42" i="4" s="1"/>
  <c r="G129" i="2"/>
  <c r="G83" i="2" s="1"/>
  <c r="G85" i="2" s="1"/>
  <c r="G21" i="11"/>
  <c r="H19" i="11" s="1"/>
  <c r="G101" i="2"/>
  <c r="K23" i="11"/>
  <c r="O112" i="2"/>
  <c r="O115" i="2" s="1"/>
  <c r="P111" i="2" s="1"/>
  <c r="F152" i="2"/>
  <c r="F156" i="2" s="1"/>
  <c r="G151" i="2" s="1"/>
  <c r="F159" i="2"/>
  <c r="F148" i="2"/>
  <c r="G146" i="2" s="1"/>
  <c r="J27" i="11"/>
  <c r="K25" i="11" s="1"/>
  <c r="G130" i="2" l="1"/>
  <c r="H126" i="2" s="1"/>
  <c r="H124" i="2"/>
  <c r="H84" i="2" s="1"/>
  <c r="F161" i="2"/>
  <c r="P112" i="2"/>
  <c r="P115" i="2"/>
  <c r="Q111" i="2" s="1"/>
  <c r="G94" i="2"/>
  <c r="G95" i="2" s="1"/>
  <c r="G96" i="2" s="1"/>
  <c r="G87" i="2"/>
  <c r="S117" i="2"/>
  <c r="S120" i="2"/>
  <c r="T116" i="2" s="1"/>
  <c r="H127" i="2"/>
  <c r="H129" i="2" s="1"/>
  <c r="H83" i="2" s="1"/>
  <c r="H33" i="4" s="1"/>
  <c r="H35" i="4" s="1"/>
  <c r="K24" i="11"/>
  <c r="L22" i="11" s="1"/>
  <c r="K26" i="11"/>
  <c r="K27" i="11" s="1"/>
  <c r="L25" i="11" s="1"/>
  <c r="H20" i="11"/>
  <c r="H82" i="2" s="1"/>
  <c r="G153" i="2"/>
  <c r="G148" i="2"/>
  <c r="H146" i="2" s="1"/>
  <c r="G159" i="2"/>
  <c r="G33" i="4"/>
  <c r="G35" i="4" s="1"/>
  <c r="G36" i="4" s="1"/>
  <c r="G45" i="4"/>
  <c r="G46" i="4" s="1"/>
  <c r="G102" i="2"/>
  <c r="H99" i="2" s="1"/>
  <c r="H40" i="4" l="1"/>
  <c r="H41" i="4" s="1"/>
  <c r="H42" i="4" s="1"/>
  <c r="C30" i="3"/>
  <c r="H125" i="2"/>
  <c r="I121" i="2" s="1"/>
  <c r="L26" i="11"/>
  <c r="L27" i="11" s="1"/>
  <c r="M25" i="11" s="1"/>
  <c r="H100" i="2"/>
  <c r="H101" i="2"/>
  <c r="T117" i="2"/>
  <c r="T120" i="2" s="1"/>
  <c r="U116" i="2" s="1"/>
  <c r="H27" i="4"/>
  <c r="H28" i="4" s="1"/>
  <c r="H85" i="2"/>
  <c r="C28" i="3"/>
  <c r="H130" i="2"/>
  <c r="H21" i="11"/>
  <c r="I19" i="11" s="1"/>
  <c r="G152" i="2"/>
  <c r="G156" i="2" s="1"/>
  <c r="H151" i="2" s="1"/>
  <c r="C29" i="3"/>
  <c r="H36" i="4"/>
  <c r="Q112" i="2"/>
  <c r="Q115" i="2" s="1"/>
  <c r="R111" i="2" s="1"/>
  <c r="H148" i="2"/>
  <c r="L23" i="11"/>
  <c r="L24" i="11" s="1"/>
  <c r="M22" i="11" s="1"/>
  <c r="I122" i="2"/>
  <c r="H102" i="2" l="1"/>
  <c r="C34" i="3"/>
  <c r="I99" i="2"/>
  <c r="I20" i="11"/>
  <c r="I82" i="2" s="1"/>
  <c r="R112" i="2"/>
  <c r="R115" i="2" s="1"/>
  <c r="S111" i="2" s="1"/>
  <c r="H159" i="2"/>
  <c r="C42" i="3"/>
  <c r="I146" i="2"/>
  <c r="U117" i="2"/>
  <c r="U120" i="2"/>
  <c r="V116" i="2" s="1"/>
  <c r="I126" i="2"/>
  <c r="C38" i="3"/>
  <c r="I124" i="2"/>
  <c r="I84" i="2" s="1"/>
  <c r="M26" i="11"/>
  <c r="M23" i="11"/>
  <c r="M24" i="11" s="1"/>
  <c r="N22" i="11" s="1"/>
  <c r="H45" i="4"/>
  <c r="H46" i="4" s="1"/>
  <c r="H29" i="4"/>
  <c r="H153" i="2"/>
  <c r="C33" i="3"/>
  <c r="G161" i="2"/>
  <c r="H94" i="2"/>
  <c r="H95" i="2" s="1"/>
  <c r="H96" i="2" s="1"/>
  <c r="H87" i="2"/>
  <c r="C20" i="3"/>
  <c r="N23" i="11" l="1"/>
  <c r="N24" i="11" s="1"/>
  <c r="O22" i="11" s="1"/>
  <c r="S112" i="2"/>
  <c r="S115" i="2" s="1"/>
  <c r="T111" i="2" s="1"/>
  <c r="I127" i="2"/>
  <c r="C23" i="3"/>
  <c r="H152" i="2"/>
  <c r="H156" i="2" s="1"/>
  <c r="C21" i="3"/>
  <c r="V117" i="2"/>
  <c r="V120" i="2" s="1"/>
  <c r="W116" i="2" s="1"/>
  <c r="I148" i="2"/>
  <c r="J146" i="2" s="1"/>
  <c r="I100" i="2"/>
  <c r="I40" i="4"/>
  <c r="I41" i="4" s="1"/>
  <c r="I42" i="4" s="1"/>
  <c r="M27" i="11"/>
  <c r="N25" i="11" s="1"/>
  <c r="I27" i="4"/>
  <c r="I28" i="4" s="1"/>
  <c r="I29" i="4" s="1"/>
  <c r="I21" i="11"/>
  <c r="J19" i="11" s="1"/>
  <c r="I125" i="2"/>
  <c r="J121" i="2" s="1"/>
  <c r="W117" i="2" l="1"/>
  <c r="W120" i="2" s="1"/>
  <c r="X116" i="2" s="1"/>
  <c r="T112" i="2"/>
  <c r="T115" i="2" s="1"/>
  <c r="U111" i="2" s="1"/>
  <c r="O23" i="11"/>
  <c r="I129" i="2"/>
  <c r="I83" i="2" s="1"/>
  <c r="I101" i="2"/>
  <c r="I102" i="2" s="1"/>
  <c r="J99" i="2" s="1"/>
  <c r="N26" i="11"/>
  <c r="J148" i="2"/>
  <c r="K146" i="2" s="1"/>
  <c r="J122" i="2"/>
  <c r="J124" i="2" s="1"/>
  <c r="H161" i="2"/>
  <c r="C45" i="3" s="1"/>
  <c r="C43" i="3"/>
  <c r="I151" i="2"/>
  <c r="J20" i="11"/>
  <c r="J82" i="2" s="1"/>
  <c r="U112" i="2" l="1"/>
  <c r="U115" i="2" s="1"/>
  <c r="V111" i="2" s="1"/>
  <c r="J84" i="2"/>
  <c r="J125" i="2"/>
  <c r="K121" i="2" s="1"/>
  <c r="X117" i="2"/>
  <c r="X120" i="2" s="1"/>
  <c r="Y116" i="2" s="1"/>
  <c r="J27" i="4"/>
  <c r="J28" i="4" s="1"/>
  <c r="N27" i="11"/>
  <c r="O25" i="11" s="1"/>
  <c r="I130" i="2"/>
  <c r="J126" i="2" s="1"/>
  <c r="K148" i="2"/>
  <c r="I159" i="2"/>
  <c r="I153" i="2"/>
  <c r="J100" i="2"/>
  <c r="J101" i="2" s="1"/>
  <c r="I33" i="4"/>
  <c r="I35" i="4" s="1"/>
  <c r="I85" i="2"/>
  <c r="J21" i="11"/>
  <c r="K19" i="11" s="1"/>
  <c r="O24" i="11"/>
  <c r="P22" i="11" s="1"/>
  <c r="Y117" i="2" l="1"/>
  <c r="Y120" i="2" s="1"/>
  <c r="Z116" i="2" s="1"/>
  <c r="J153" i="2"/>
  <c r="V112" i="2"/>
  <c r="V115" i="2" s="1"/>
  <c r="W111" i="2" s="1"/>
  <c r="J102" i="2"/>
  <c r="K99" i="2" s="1"/>
  <c r="J29" i="4"/>
  <c r="K20" i="11"/>
  <c r="K82" i="2" s="1"/>
  <c r="K21" i="11"/>
  <c r="L19" i="11" s="1"/>
  <c r="J40" i="4"/>
  <c r="J41" i="4" s="1"/>
  <c r="J42" i="4" s="1"/>
  <c r="J127" i="2"/>
  <c r="J130" i="2" s="1"/>
  <c r="K126" i="2" s="1"/>
  <c r="J129" i="2"/>
  <c r="J83" i="2" s="1"/>
  <c r="I94" i="2"/>
  <c r="I95" i="2" s="1"/>
  <c r="I96" i="2" s="1"/>
  <c r="I87" i="2"/>
  <c r="K122" i="2"/>
  <c r="K124" i="2" s="1"/>
  <c r="K84" i="2" s="1"/>
  <c r="K40" i="4" s="1"/>
  <c r="K41" i="4" s="1"/>
  <c r="D42" i="3"/>
  <c r="L146" i="2"/>
  <c r="B42" i="1"/>
  <c r="P23" i="11"/>
  <c r="P24" i="11"/>
  <c r="Q22" i="11" s="1"/>
  <c r="O26" i="11"/>
  <c r="I36" i="4"/>
  <c r="I45" i="4"/>
  <c r="I46" i="4" s="1"/>
  <c r="W112" i="2" l="1"/>
  <c r="W115" i="2"/>
  <c r="Z117" i="2"/>
  <c r="Z120" i="2"/>
  <c r="AA116" i="2" s="1"/>
  <c r="D30" i="3"/>
  <c r="Q23" i="11"/>
  <c r="Q24" i="11"/>
  <c r="R22" i="11" s="1"/>
  <c r="K125" i="2"/>
  <c r="B30" i="1"/>
  <c r="I152" i="2"/>
  <c r="L20" i="11"/>
  <c r="L82" i="2" s="1"/>
  <c r="K127" i="2"/>
  <c r="K130" i="2" s="1"/>
  <c r="L126" i="2" s="1"/>
  <c r="K129" i="2"/>
  <c r="K83" i="2" s="1"/>
  <c r="K33" i="4" s="1"/>
  <c r="K35" i="4" s="1"/>
  <c r="B52" i="5"/>
  <c r="B71" i="5"/>
  <c r="K27" i="4"/>
  <c r="K28" i="4" s="1"/>
  <c r="D28" i="3"/>
  <c r="B28" i="1"/>
  <c r="K100" i="2"/>
  <c r="K101" i="2" s="1"/>
  <c r="K42" i="4"/>
  <c r="L148" i="2"/>
  <c r="M146" i="2" s="1"/>
  <c r="O27" i="11"/>
  <c r="P25" i="11" s="1"/>
  <c r="J33" i="4"/>
  <c r="J35" i="4" s="1"/>
  <c r="J45" i="4" s="1"/>
  <c r="J46" i="4" s="1"/>
  <c r="J85" i="2"/>
  <c r="D29" i="3" l="1"/>
  <c r="K85" i="2"/>
  <c r="K94" i="2" s="1"/>
  <c r="K95" i="2" s="1"/>
  <c r="K96" i="2" s="1"/>
  <c r="K45" i="4"/>
  <c r="K46" i="4" s="1"/>
  <c r="K153" i="2"/>
  <c r="B33" i="1"/>
  <c r="D33" i="3"/>
  <c r="R24" i="11"/>
  <c r="S22" i="11" s="1"/>
  <c r="R23" i="11"/>
  <c r="P26" i="11"/>
  <c r="P27" i="11" s="1"/>
  <c r="Q25" i="11" s="1"/>
  <c r="AA117" i="2"/>
  <c r="AA120" i="2"/>
  <c r="AB116" i="2" s="1"/>
  <c r="L27" i="4"/>
  <c r="L28" i="4" s="1"/>
  <c r="I156" i="2"/>
  <c r="J151" i="2" s="1"/>
  <c r="I161" i="2"/>
  <c r="J36" i="4"/>
  <c r="K36" i="4" s="1"/>
  <c r="K102" i="2"/>
  <c r="L127" i="2"/>
  <c r="L129" i="2"/>
  <c r="L83" i="2" s="1"/>
  <c r="L21" i="11"/>
  <c r="M19" i="11" s="1"/>
  <c r="K29" i="4"/>
  <c r="L29" i="4" s="1"/>
  <c r="X111" i="2"/>
  <c r="K87" i="2"/>
  <c r="K152" i="2" s="1"/>
  <c r="J94" i="2"/>
  <c r="J95" i="2" s="1"/>
  <c r="J96" i="2" s="1"/>
  <c r="J87" i="2"/>
  <c r="D20" i="3"/>
  <c r="B20" i="1"/>
  <c r="B46" i="5" s="1"/>
  <c r="M148" i="2"/>
  <c r="N146" i="2" s="1"/>
  <c r="B29" i="1"/>
  <c r="L121" i="2"/>
  <c r="D38" i="3"/>
  <c r="B38" i="1"/>
  <c r="L130" i="2" l="1"/>
  <c r="M126" i="2" s="1"/>
  <c r="J159" i="2"/>
  <c r="J152" i="2"/>
  <c r="J156" i="2" s="1"/>
  <c r="K151" i="2" s="1"/>
  <c r="B21" i="1"/>
  <c r="D21" i="3"/>
  <c r="S23" i="11"/>
  <c r="S24" i="11" s="1"/>
  <c r="T22" i="11" s="1"/>
  <c r="L33" i="4"/>
  <c r="L35" i="4" s="1"/>
  <c r="L36" i="4" s="1"/>
  <c r="N148" i="2"/>
  <c r="AB117" i="2"/>
  <c r="AB120" i="2" s="1"/>
  <c r="AC116" i="2" s="1"/>
  <c r="Q26" i="11"/>
  <c r="Q27" i="11"/>
  <c r="R25" i="11" s="1"/>
  <c r="M20" i="11"/>
  <c r="M82" i="2" s="1"/>
  <c r="D23" i="3"/>
  <c r="B23" i="1"/>
  <c r="N160" i="2"/>
  <c r="L122" i="2"/>
  <c r="L124" i="2" s="1"/>
  <c r="L84" i="2" s="1"/>
  <c r="M107" i="2"/>
  <c r="M127" i="2"/>
  <c r="M129" i="2" s="1"/>
  <c r="M83" i="2" s="1"/>
  <c r="D34" i="3"/>
  <c r="L99" i="2"/>
  <c r="B34" i="1"/>
  <c r="X112" i="2"/>
  <c r="X115" i="2"/>
  <c r="Y111" i="2" s="1"/>
  <c r="AC117" i="2" l="1"/>
  <c r="AC120" i="2"/>
  <c r="AD116" i="2" s="1"/>
  <c r="M33" i="4"/>
  <c r="M35" i="4" s="1"/>
  <c r="L40" i="4"/>
  <c r="L41" i="4" s="1"/>
  <c r="L42" i="4" s="1"/>
  <c r="L85" i="2"/>
  <c r="T23" i="11"/>
  <c r="K156" i="2"/>
  <c r="K159" i="2"/>
  <c r="K161" i="2" s="1"/>
  <c r="E42" i="3"/>
  <c r="O146" i="2"/>
  <c r="E44" i="3"/>
  <c r="C44" i="1"/>
  <c r="Y112" i="2"/>
  <c r="Y115" i="2"/>
  <c r="Z111" i="2" s="1"/>
  <c r="M27" i="4"/>
  <c r="M28" i="4" s="1"/>
  <c r="M130" i="2"/>
  <c r="N126" i="2" s="1"/>
  <c r="R26" i="11"/>
  <c r="R27" i="11" s="1"/>
  <c r="S25" i="11" s="1"/>
  <c r="E35" i="3"/>
  <c r="M154" i="2"/>
  <c r="C35" i="1"/>
  <c r="M108" i="2"/>
  <c r="N106" i="2" s="1"/>
  <c r="N108" i="2" s="1"/>
  <c r="J161" i="2"/>
  <c r="M36" i="4"/>
  <c r="M21" i="11"/>
  <c r="N19" i="11" s="1"/>
  <c r="L100" i="2"/>
  <c r="L125" i="2"/>
  <c r="M121" i="2" s="1"/>
  <c r="O148" i="2" l="1"/>
  <c r="P146" i="2" s="1"/>
  <c r="D45" i="3"/>
  <c r="B45" i="1"/>
  <c r="N20" i="11"/>
  <c r="N82" i="2" s="1"/>
  <c r="M122" i="2"/>
  <c r="M124" i="2" s="1"/>
  <c r="M84" i="2" s="1"/>
  <c r="Z112" i="2"/>
  <c r="Z115" i="2" s="1"/>
  <c r="AA111" i="2" s="1"/>
  <c r="T24" i="11"/>
  <c r="U22" i="11" s="1"/>
  <c r="L45" i="4"/>
  <c r="L46" i="4" s="1"/>
  <c r="E36" i="3"/>
  <c r="O106" i="2"/>
  <c r="O108" i="2" s="1"/>
  <c r="P106" i="2" s="1"/>
  <c r="P108" i="2" s="1"/>
  <c r="Q106" i="2" s="1"/>
  <c r="Q108" i="2" s="1"/>
  <c r="L101" i="2"/>
  <c r="M29" i="4"/>
  <c r="S26" i="11"/>
  <c r="L94" i="2"/>
  <c r="L95" i="2" s="1"/>
  <c r="L96" i="2" s="1"/>
  <c r="L87" i="2"/>
  <c r="AD117" i="2"/>
  <c r="AD120" i="2" s="1"/>
  <c r="AE116" i="2" s="1"/>
  <c r="D43" i="3"/>
  <c r="L151" i="2"/>
  <c r="B43" i="1"/>
  <c r="N127" i="2"/>
  <c r="E38" i="3" s="1"/>
  <c r="M125" i="2" l="1"/>
  <c r="N121" i="2" s="1"/>
  <c r="N122" i="2"/>
  <c r="N124" i="2"/>
  <c r="N84" i="2" s="1"/>
  <c r="N40" i="4" s="1"/>
  <c r="N41" i="4" s="1"/>
  <c r="AA112" i="2"/>
  <c r="AA115" i="2" s="1"/>
  <c r="AB111" i="2" s="1"/>
  <c r="AE117" i="2"/>
  <c r="AE120" i="2" s="1"/>
  <c r="AF116" i="2" s="1"/>
  <c r="N21" i="11"/>
  <c r="O19" i="11" s="1"/>
  <c r="N27" i="4"/>
  <c r="N28" i="4" s="1"/>
  <c r="N29" i="4" s="1"/>
  <c r="E28" i="3"/>
  <c r="L152" i="2"/>
  <c r="M40" i="4"/>
  <c r="M41" i="4" s="1"/>
  <c r="E30" i="3"/>
  <c r="M85" i="2"/>
  <c r="F36" i="3"/>
  <c r="R106" i="2"/>
  <c r="R108" i="2" s="1"/>
  <c r="S106" i="2" s="1"/>
  <c r="S108" i="2" s="1"/>
  <c r="T106" i="2" s="1"/>
  <c r="T108" i="2" s="1"/>
  <c r="N129" i="2"/>
  <c r="P148" i="2"/>
  <c r="Q146" i="2" s="1"/>
  <c r="B72" i="5"/>
  <c r="B50" i="5"/>
  <c r="B100" i="5"/>
  <c r="B102" i="5" s="1"/>
  <c r="B103" i="5" s="1"/>
  <c r="L153" i="2"/>
  <c r="L159" i="2"/>
  <c r="S27" i="11"/>
  <c r="T25" i="11" s="1"/>
  <c r="U24" i="11"/>
  <c r="V22" i="11" s="1"/>
  <c r="U23" i="11"/>
  <c r="L102" i="2"/>
  <c r="M99" i="2" s="1"/>
  <c r="L156" i="2" l="1"/>
  <c r="M151" i="2" s="1"/>
  <c r="N125" i="2"/>
  <c r="O121" i="2" s="1"/>
  <c r="AF117" i="2"/>
  <c r="AF120" i="2" s="1"/>
  <c r="AG116" i="2" s="1"/>
  <c r="AB112" i="2"/>
  <c r="AB115" i="2" s="1"/>
  <c r="AC111" i="2" s="1"/>
  <c r="M159" i="2"/>
  <c r="O122" i="2"/>
  <c r="O124" i="2" s="1"/>
  <c r="O84" i="2" s="1"/>
  <c r="V23" i="11"/>
  <c r="V24" i="11" s="1"/>
  <c r="W22" i="11" s="1"/>
  <c r="T26" i="11"/>
  <c r="T27" i="11" s="1"/>
  <c r="U25" i="11" s="1"/>
  <c r="M94" i="2"/>
  <c r="M95" i="2" s="1"/>
  <c r="M96" i="2" s="1"/>
  <c r="M87" i="2"/>
  <c r="L161" i="2"/>
  <c r="G36" i="3"/>
  <c r="U106" i="2"/>
  <c r="U108" i="2" s="1"/>
  <c r="V106" i="2" s="1"/>
  <c r="V108" i="2" s="1"/>
  <c r="W106" i="2" s="1"/>
  <c r="W108" i="2" s="1"/>
  <c r="N83" i="2"/>
  <c r="N130" i="2"/>
  <c r="O126" i="2" s="1"/>
  <c r="M100" i="2"/>
  <c r="Q148" i="2"/>
  <c r="M42" i="4"/>
  <c r="N42" i="4" s="1"/>
  <c r="M45" i="4"/>
  <c r="M46" i="4" s="1"/>
  <c r="O20" i="11"/>
  <c r="O82" i="2" s="1"/>
  <c r="O40" i="4" l="1"/>
  <c r="O41" i="4" s="1"/>
  <c r="W23" i="11"/>
  <c r="W24" i="11" s="1"/>
  <c r="X22" i="11" s="1"/>
  <c r="AC112" i="2"/>
  <c r="AC115" i="2" s="1"/>
  <c r="AD111" i="2" s="1"/>
  <c r="AG117" i="2"/>
  <c r="AG120" i="2" s="1"/>
  <c r="AH116" i="2" s="1"/>
  <c r="U26" i="11"/>
  <c r="U27" i="11" s="1"/>
  <c r="V25" i="11" s="1"/>
  <c r="H36" i="3"/>
  <c r="X106" i="2"/>
  <c r="X108" i="2" s="1"/>
  <c r="Y106" i="2" s="1"/>
  <c r="C36" i="1"/>
  <c r="M152" i="2"/>
  <c r="R146" i="2"/>
  <c r="F42" i="3"/>
  <c r="O127" i="2"/>
  <c r="O129" i="2" s="1"/>
  <c r="O83" i="2" s="1"/>
  <c r="O42" i="4"/>
  <c r="M101" i="2"/>
  <c r="N33" i="4"/>
  <c r="N35" i="4" s="1"/>
  <c r="E29" i="3"/>
  <c r="N85" i="2"/>
  <c r="O125" i="2"/>
  <c r="P121" i="2" s="1"/>
  <c r="O27" i="4"/>
  <c r="O28" i="4" s="1"/>
  <c r="O21" i="11"/>
  <c r="P19" i="11" s="1"/>
  <c r="O33" i="4" l="1"/>
  <c r="O35" i="4" s="1"/>
  <c r="O85" i="2"/>
  <c r="AD112" i="2"/>
  <c r="AD115" i="2" s="1"/>
  <c r="AE111" i="2" s="1"/>
  <c r="V26" i="11"/>
  <c r="V27" i="11" s="1"/>
  <c r="W25" i="11" s="1"/>
  <c r="AH117" i="2"/>
  <c r="AH120" i="2" s="1"/>
  <c r="AI116" i="2" s="1"/>
  <c r="X23" i="11"/>
  <c r="X24" i="11"/>
  <c r="Y22" i="11" s="1"/>
  <c r="R148" i="2"/>
  <c r="S146" i="2" s="1"/>
  <c r="N36" i="4"/>
  <c r="O36" i="4" s="1"/>
  <c r="N45" i="4"/>
  <c r="N46" i="4" s="1"/>
  <c r="M153" i="2"/>
  <c r="M161" i="2" s="1"/>
  <c r="P122" i="2"/>
  <c r="P124" i="2" s="1"/>
  <c r="P84" i="2" s="1"/>
  <c r="O45" i="4"/>
  <c r="O29" i="4"/>
  <c r="N94" i="2"/>
  <c r="N95" i="2" s="1"/>
  <c r="N96" i="2" s="1"/>
  <c r="N87" i="2"/>
  <c r="E20" i="3"/>
  <c r="O130" i="2"/>
  <c r="P126" i="2" s="1"/>
  <c r="P20" i="11"/>
  <c r="P82" i="2" s="1"/>
  <c r="M156" i="2"/>
  <c r="N151" i="2" s="1"/>
  <c r="M102" i="2"/>
  <c r="N99" i="2" s="1"/>
  <c r="O46" i="4" l="1"/>
  <c r="AI117" i="2"/>
  <c r="AI120" i="2" s="1"/>
  <c r="AJ116" i="2" s="1"/>
  <c r="P40" i="4"/>
  <c r="P41" i="4" s="1"/>
  <c r="P42" i="4" s="1"/>
  <c r="W26" i="11"/>
  <c r="W27" i="11" s="1"/>
  <c r="X25" i="11" s="1"/>
  <c r="AE112" i="2"/>
  <c r="AE115" i="2" s="1"/>
  <c r="AF111" i="2" s="1"/>
  <c r="P127" i="2"/>
  <c r="P125" i="2"/>
  <c r="Q121" i="2" s="1"/>
  <c r="N159" i="2"/>
  <c r="Y23" i="11"/>
  <c r="O94" i="2"/>
  <c r="O95" i="2" s="1"/>
  <c r="O96" i="2" s="1"/>
  <c r="O87" i="2"/>
  <c r="S148" i="2"/>
  <c r="T146" i="2" s="1"/>
  <c r="P21" i="11"/>
  <c r="Q19" i="11" s="1"/>
  <c r="N100" i="2"/>
  <c r="P27" i="4"/>
  <c r="P28" i="4" s="1"/>
  <c r="N152" i="2"/>
  <c r="E21" i="3"/>
  <c r="E23" i="3"/>
  <c r="P130" i="2" l="1"/>
  <c r="Q126" i="2" s="1"/>
  <c r="Q127" i="2" s="1"/>
  <c r="F38" i="3" s="1"/>
  <c r="P129" i="2"/>
  <c r="P83" i="2" s="1"/>
  <c r="P85" i="2" s="1"/>
  <c r="AF112" i="2"/>
  <c r="AF115" i="2"/>
  <c r="AG111" i="2" s="1"/>
  <c r="X26" i="11"/>
  <c r="X27" i="11" s="1"/>
  <c r="Y25" i="11" s="1"/>
  <c r="AJ117" i="2"/>
  <c r="AJ120" i="2" s="1"/>
  <c r="AK116" i="2" s="1"/>
  <c r="Q122" i="2"/>
  <c r="Q124" i="2" s="1"/>
  <c r="P94" i="2"/>
  <c r="P95" i="2" s="1"/>
  <c r="P96" i="2" s="1"/>
  <c r="P87" i="2"/>
  <c r="P152" i="2" s="1"/>
  <c r="N101" i="2"/>
  <c r="T148" i="2"/>
  <c r="P33" i="4"/>
  <c r="P35" i="4" s="1"/>
  <c r="P36" i="4" s="1"/>
  <c r="Y24" i="11"/>
  <c r="Z22" i="11" s="1"/>
  <c r="O152" i="2"/>
  <c r="P29" i="4"/>
  <c r="Q20" i="11"/>
  <c r="Q82" i="2" s="1"/>
  <c r="Q84" i="2" l="1"/>
  <c r="Q125" i="2"/>
  <c r="R121" i="2" s="1"/>
  <c r="Q129" i="2"/>
  <c r="Q83" i="2" s="1"/>
  <c r="G42" i="3"/>
  <c r="U146" i="2"/>
  <c r="R122" i="2"/>
  <c r="R124" i="2" s="1"/>
  <c r="R84" i="2" s="1"/>
  <c r="Q27" i="4"/>
  <c r="Q28" i="4" s="1"/>
  <c r="Q29" i="4" s="1"/>
  <c r="Q85" i="2"/>
  <c r="F28" i="3"/>
  <c r="N153" i="2"/>
  <c r="E33" i="3"/>
  <c r="N102" i="2"/>
  <c r="Q130" i="2"/>
  <c r="R126" i="2" s="1"/>
  <c r="Q40" i="4"/>
  <c r="Q41" i="4" s="1"/>
  <c r="Q42" i="4" s="1"/>
  <c r="F30" i="3"/>
  <c r="Q21" i="11"/>
  <c r="R19" i="11" s="1"/>
  <c r="AG112" i="2"/>
  <c r="AG115" i="2" s="1"/>
  <c r="AH111" i="2" s="1"/>
  <c r="Y26" i="11"/>
  <c r="Y27" i="11"/>
  <c r="Z25" i="11" s="1"/>
  <c r="P45" i="4"/>
  <c r="P46" i="4" s="1"/>
  <c r="Z23" i="11"/>
  <c r="AK117" i="2"/>
  <c r="AK120" i="2" s="1"/>
  <c r="AL116" i="2" s="1"/>
  <c r="AH112" i="2" l="1"/>
  <c r="AH115" i="2" s="1"/>
  <c r="AI111" i="2" s="1"/>
  <c r="R40" i="4"/>
  <c r="R41" i="4" s="1"/>
  <c r="N156" i="2"/>
  <c r="N161" i="2"/>
  <c r="E45" i="3" s="1"/>
  <c r="Z24" i="11"/>
  <c r="AA22" i="11" s="1"/>
  <c r="R125" i="2"/>
  <c r="S121" i="2" s="1"/>
  <c r="Q94" i="2"/>
  <c r="Q95" i="2" s="1"/>
  <c r="Q96" i="2" s="1"/>
  <c r="Q87" i="2"/>
  <c r="F20" i="3"/>
  <c r="R20" i="11"/>
  <c r="R82" i="2" s="1"/>
  <c r="R42" i="4"/>
  <c r="U148" i="2"/>
  <c r="V146" i="2" s="1"/>
  <c r="Z26" i="11"/>
  <c r="AL117" i="2"/>
  <c r="AL120" i="2" s="1"/>
  <c r="AM116" i="2" s="1"/>
  <c r="E34" i="3"/>
  <c r="O99" i="2"/>
  <c r="R127" i="2"/>
  <c r="Q33" i="4"/>
  <c r="Q35" i="4" s="1"/>
  <c r="Q36" i="4" s="1"/>
  <c r="F29" i="3"/>
  <c r="R21" i="11" l="1"/>
  <c r="S19" i="11" s="1"/>
  <c r="AI112" i="2"/>
  <c r="AI115" i="2" s="1"/>
  <c r="E43" i="3"/>
  <c r="O151" i="2"/>
  <c r="S20" i="11"/>
  <c r="S82" i="2" s="1"/>
  <c r="Q152" i="2"/>
  <c r="F21" i="3"/>
  <c r="F23" i="3"/>
  <c r="R129" i="2"/>
  <c r="R83" i="2" s="1"/>
  <c r="V148" i="2"/>
  <c r="W146" i="2" s="1"/>
  <c r="O100" i="2"/>
  <c r="O101" i="2"/>
  <c r="Q45" i="4"/>
  <c r="Q46" i="4" s="1"/>
  <c r="AM117" i="2"/>
  <c r="AM120" i="2" s="1"/>
  <c r="AN116" i="2" s="1"/>
  <c r="S122" i="2"/>
  <c r="S124" i="2" s="1"/>
  <c r="S84" i="2" s="1"/>
  <c r="Z27" i="11"/>
  <c r="AA25" i="11" s="1"/>
  <c r="R27" i="4"/>
  <c r="R28" i="4" s="1"/>
  <c r="AA23" i="11"/>
  <c r="O102" i="2" l="1"/>
  <c r="P99" i="2" s="1"/>
  <c r="S40" i="4"/>
  <c r="S41" i="4" s="1"/>
  <c r="S42" i="4" s="1"/>
  <c r="P100" i="2"/>
  <c r="P101" i="2"/>
  <c r="P153" i="2" s="1"/>
  <c r="AN117" i="2"/>
  <c r="AN120" i="2" s="1"/>
  <c r="AO116" i="2" s="1"/>
  <c r="AJ111" i="2"/>
  <c r="S27" i="4"/>
  <c r="S28" i="4" s="1"/>
  <c r="S21" i="11"/>
  <c r="T19" i="11" s="1"/>
  <c r="R29" i="4"/>
  <c r="O159" i="2"/>
  <c r="AA24" i="11"/>
  <c r="AB22" i="11" s="1"/>
  <c r="S125" i="2"/>
  <c r="T121" i="2" s="1"/>
  <c r="R33" i="4"/>
  <c r="R35" i="4" s="1"/>
  <c r="R36" i="4" s="1"/>
  <c r="AA26" i="11"/>
  <c r="O153" i="2"/>
  <c r="O156" i="2" s="1"/>
  <c r="P151" i="2" s="1"/>
  <c r="R85" i="2"/>
  <c r="W148" i="2"/>
  <c r="R130" i="2"/>
  <c r="S126" i="2" s="1"/>
  <c r="P102" i="2" l="1"/>
  <c r="Q99" i="2" s="1"/>
  <c r="S29" i="4"/>
  <c r="AO117" i="2"/>
  <c r="AO120" i="2" s="1"/>
  <c r="AP116" i="2" s="1"/>
  <c r="Q100" i="2"/>
  <c r="R94" i="2"/>
  <c r="R95" i="2" s="1"/>
  <c r="R96" i="2" s="1"/>
  <c r="R87" i="2"/>
  <c r="H42" i="3"/>
  <c r="X146" i="2"/>
  <c r="C42" i="1"/>
  <c r="AB23" i="11"/>
  <c r="T20" i="11"/>
  <c r="T82" i="2" s="1"/>
  <c r="T122" i="2"/>
  <c r="T124" i="2" s="1"/>
  <c r="T84" i="2" s="1"/>
  <c r="AA27" i="11"/>
  <c r="AB25" i="11" s="1"/>
  <c r="P156" i="2"/>
  <c r="Q151" i="2" s="1"/>
  <c r="P159" i="2"/>
  <c r="P161" i="2" s="1"/>
  <c r="R45" i="4"/>
  <c r="R46" i="4" s="1"/>
  <c r="S127" i="2"/>
  <c r="S129" i="2"/>
  <c r="S83" i="2" s="1"/>
  <c r="O161" i="2"/>
  <c r="AJ112" i="2"/>
  <c r="AJ115" i="2" s="1"/>
  <c r="AK111" i="2" s="1"/>
  <c r="S130" i="2" l="1"/>
  <c r="T126" i="2" s="1"/>
  <c r="T127" i="2"/>
  <c r="G38" i="3" s="1"/>
  <c r="T129" i="2"/>
  <c r="T83" i="2" s="1"/>
  <c r="T33" i="4" s="1"/>
  <c r="T35" i="4" s="1"/>
  <c r="T40" i="4"/>
  <c r="T41" i="4" s="1"/>
  <c r="T42" i="4" s="1"/>
  <c r="G30" i="3"/>
  <c r="AK112" i="2"/>
  <c r="AK115" i="2" s="1"/>
  <c r="AL111" i="2" s="1"/>
  <c r="AP117" i="2"/>
  <c r="AP120" i="2" s="1"/>
  <c r="AQ116" i="2" s="1"/>
  <c r="S33" i="4"/>
  <c r="S35" i="4" s="1"/>
  <c r="S85" i="2"/>
  <c r="G29" i="3"/>
  <c r="R152" i="2"/>
  <c r="C52" i="5"/>
  <c r="C71" i="5"/>
  <c r="X148" i="2"/>
  <c r="Y146" i="2" s="1"/>
  <c r="Q101" i="2"/>
  <c r="Q102" i="2" s="1"/>
  <c r="T27" i="4"/>
  <c r="T28" i="4" s="1"/>
  <c r="T85" i="2"/>
  <c r="G28" i="3"/>
  <c r="T21" i="11"/>
  <c r="U19" i="11" s="1"/>
  <c r="AB26" i="11"/>
  <c r="AB27" i="11"/>
  <c r="AC25" i="11" s="1"/>
  <c r="T125" i="2"/>
  <c r="U121" i="2" s="1"/>
  <c r="AB24" i="11"/>
  <c r="AC22" i="11" s="1"/>
  <c r="Q159" i="2"/>
  <c r="F34" i="3" l="1"/>
  <c r="R99" i="2"/>
  <c r="T94" i="2"/>
  <c r="T95" i="2" s="1"/>
  <c r="T96" i="2" s="1"/>
  <c r="T87" i="2"/>
  <c r="T152" i="2" s="1"/>
  <c r="S94" i="2"/>
  <c r="S95" i="2" s="1"/>
  <c r="S96" i="2" s="1"/>
  <c r="S87" i="2"/>
  <c r="G20" i="3"/>
  <c r="T45" i="4"/>
  <c r="T29" i="4"/>
  <c r="S45" i="4"/>
  <c r="S46" i="4" s="1"/>
  <c r="S36" i="4"/>
  <c r="T36" i="4" s="1"/>
  <c r="AC23" i="11"/>
  <c r="AC24" i="11"/>
  <c r="AD22" i="11" s="1"/>
  <c r="U122" i="2"/>
  <c r="U124" i="2"/>
  <c r="U84" i="2" s="1"/>
  <c r="Q153" i="2"/>
  <c r="Q156" i="2" s="1"/>
  <c r="F33" i="3"/>
  <c r="AQ117" i="2"/>
  <c r="AQ120" i="2" s="1"/>
  <c r="AR116" i="2" s="1"/>
  <c r="Y148" i="2"/>
  <c r="Z146" i="2" s="1"/>
  <c r="T130" i="2"/>
  <c r="U126" i="2" s="1"/>
  <c r="AL112" i="2"/>
  <c r="AL115" i="2" s="1"/>
  <c r="AM111" i="2" s="1"/>
  <c r="AC26" i="11"/>
  <c r="AC27" i="11" s="1"/>
  <c r="AD25" i="11" s="1"/>
  <c r="U20" i="11"/>
  <c r="U82" i="2" s="1"/>
  <c r="T46" i="4" l="1"/>
  <c r="U125" i="2"/>
  <c r="V121" i="2" s="1"/>
  <c r="AM112" i="2"/>
  <c r="AM115" i="2" s="1"/>
  <c r="AN111" i="2" s="1"/>
  <c r="AD26" i="11"/>
  <c r="V122" i="2"/>
  <c r="S152" i="2"/>
  <c r="G21" i="3"/>
  <c r="G23" i="3"/>
  <c r="AD23" i="11"/>
  <c r="U40" i="4"/>
  <c r="U41" i="4" s="1"/>
  <c r="U42" i="4" s="1"/>
  <c r="Q161" i="2"/>
  <c r="F45" i="3" s="1"/>
  <c r="U27" i="4"/>
  <c r="U28" i="4" s="1"/>
  <c r="U29" i="4" s="1"/>
  <c r="R100" i="2"/>
  <c r="R101" i="2" s="1"/>
  <c r="AR117" i="2"/>
  <c r="AR120" i="2" s="1"/>
  <c r="AS116" i="2" s="1"/>
  <c r="U127" i="2"/>
  <c r="F43" i="3"/>
  <c r="R151" i="2"/>
  <c r="Z148" i="2"/>
  <c r="U21" i="11"/>
  <c r="V19" i="11" s="1"/>
  <c r="R153" i="2" l="1"/>
  <c r="AN112" i="2"/>
  <c r="AN115" i="2" s="1"/>
  <c r="AO111" i="2" s="1"/>
  <c r="V124" i="2"/>
  <c r="V84" i="2" s="1"/>
  <c r="R156" i="2"/>
  <c r="S151" i="2" s="1"/>
  <c r="R159" i="2"/>
  <c r="R161" i="2" s="1"/>
  <c r="R102" i="2"/>
  <c r="S99" i="2" s="1"/>
  <c r="U129" i="2"/>
  <c r="U83" i="2" s="1"/>
  <c r="AD27" i="11"/>
  <c r="AE25" i="11" s="1"/>
  <c r="AS117" i="2"/>
  <c r="AS120" i="2" s="1"/>
  <c r="AT116" i="2" s="1"/>
  <c r="V20" i="11"/>
  <c r="V82" i="2" s="1"/>
  <c r="I42" i="3"/>
  <c r="AA146" i="2"/>
  <c r="AD24" i="11"/>
  <c r="AE22" i="11" s="1"/>
  <c r="AA148" i="2" l="1"/>
  <c r="AB146" i="2" s="1"/>
  <c r="V27" i="4"/>
  <c r="V28" i="4" s="1"/>
  <c r="V21" i="11"/>
  <c r="W19" i="11" s="1"/>
  <c r="V40" i="4"/>
  <c r="V41" i="4" s="1"/>
  <c r="V42" i="4" s="1"/>
  <c r="S100" i="2"/>
  <c r="S101" i="2" s="1"/>
  <c r="U33" i="4"/>
  <c r="U35" i="4" s="1"/>
  <c r="U85" i="2"/>
  <c r="U130" i="2"/>
  <c r="V126" i="2" s="1"/>
  <c r="S159" i="2"/>
  <c r="V125" i="2"/>
  <c r="W121" i="2" s="1"/>
  <c r="AO112" i="2"/>
  <c r="AO115" i="2" s="1"/>
  <c r="AP111" i="2" s="1"/>
  <c r="AT117" i="2"/>
  <c r="AT120" i="2" s="1"/>
  <c r="AU116" i="2" s="1"/>
  <c r="AE23" i="11"/>
  <c r="AE24" i="11" s="1"/>
  <c r="AF22" i="11" s="1"/>
  <c r="AE26" i="11"/>
  <c r="S153" i="2" l="1"/>
  <c r="S156" i="2" s="1"/>
  <c r="T151" i="2" s="1"/>
  <c r="AP112" i="2"/>
  <c r="AP115" i="2" s="1"/>
  <c r="AQ111" i="2" s="1"/>
  <c r="W20" i="11"/>
  <c r="W82" i="2" s="1"/>
  <c r="S102" i="2"/>
  <c r="T99" i="2" s="1"/>
  <c r="AF23" i="11"/>
  <c r="AF24" i="11"/>
  <c r="AG22" i="11" s="1"/>
  <c r="V29" i="4"/>
  <c r="AU117" i="2"/>
  <c r="AU120" i="2" s="1"/>
  <c r="AV116" i="2" s="1"/>
  <c r="U36" i="4"/>
  <c r="U45" i="4"/>
  <c r="U46" i="4" s="1"/>
  <c r="W122" i="2"/>
  <c r="W124" i="2"/>
  <c r="W84" i="2" s="1"/>
  <c r="V127" i="2"/>
  <c r="V129" i="2" s="1"/>
  <c r="V83" i="2" s="1"/>
  <c r="AB148" i="2"/>
  <c r="AC146" i="2" s="1"/>
  <c r="AE27" i="11"/>
  <c r="AF25" i="11" s="1"/>
  <c r="S161" i="2"/>
  <c r="U94" i="2"/>
  <c r="U95" i="2" s="1"/>
  <c r="U96" i="2" s="1"/>
  <c r="U87" i="2"/>
  <c r="V130" i="2" l="1"/>
  <c r="W126" i="2" s="1"/>
  <c r="W125" i="2"/>
  <c r="X121" i="2"/>
  <c r="W127" i="2"/>
  <c r="H38" i="3" s="1"/>
  <c r="AV117" i="2"/>
  <c r="AV120" i="2" s="1"/>
  <c r="AW116" i="2" s="1"/>
  <c r="AQ112" i="2"/>
  <c r="AQ115" i="2" s="1"/>
  <c r="AR111" i="2" s="1"/>
  <c r="W27" i="4"/>
  <c r="W28" i="4" s="1"/>
  <c r="W29" i="4" s="1"/>
  <c r="H28" i="3"/>
  <c r="C28" i="1"/>
  <c r="V33" i="4"/>
  <c r="V35" i="4" s="1"/>
  <c r="V45" i="4" s="1"/>
  <c r="V46" i="4" s="1"/>
  <c r="V85" i="2"/>
  <c r="AG23" i="11"/>
  <c r="AG24" i="11"/>
  <c r="AH22" i="11" s="1"/>
  <c r="U152" i="2"/>
  <c r="W21" i="11"/>
  <c r="X19" i="11" s="1"/>
  <c r="AF26" i="11"/>
  <c r="W40" i="4"/>
  <c r="W41" i="4" s="1"/>
  <c r="W42" i="4" s="1"/>
  <c r="H30" i="3"/>
  <c r="C30" i="1"/>
  <c r="AC148" i="2"/>
  <c r="T100" i="2"/>
  <c r="T159" i="2"/>
  <c r="AW117" i="2" l="1"/>
  <c r="AW120" i="2" s="1"/>
  <c r="AX116" i="2" s="1"/>
  <c r="AH23" i="11"/>
  <c r="T101" i="2"/>
  <c r="V94" i="2"/>
  <c r="V95" i="2" s="1"/>
  <c r="V96" i="2" s="1"/>
  <c r="V87" i="2"/>
  <c r="X20" i="11"/>
  <c r="X82" i="2" s="1"/>
  <c r="W130" i="2"/>
  <c r="AR112" i="2"/>
  <c r="AR115" i="2" s="1"/>
  <c r="AS111" i="2" s="1"/>
  <c r="W129" i="2"/>
  <c r="W83" i="2" s="1"/>
  <c r="AF27" i="11"/>
  <c r="AG25" i="11" s="1"/>
  <c r="J42" i="3"/>
  <c r="AD146" i="2"/>
  <c r="V36" i="4"/>
  <c r="X122" i="2"/>
  <c r="X124" i="2"/>
  <c r="X84" i="2" s="1"/>
  <c r="X125" i="2" l="1"/>
  <c r="Y121" i="2" s="1"/>
  <c r="Y122" i="2"/>
  <c r="Y124" i="2" s="1"/>
  <c r="AS112" i="2"/>
  <c r="AS115" i="2" s="1"/>
  <c r="AT111" i="2" s="1"/>
  <c r="AX117" i="2"/>
  <c r="AX120" i="2" s="1"/>
  <c r="AY116" i="2" s="1"/>
  <c r="X40" i="4"/>
  <c r="X41" i="4" s="1"/>
  <c r="X42" i="4" s="1"/>
  <c r="AD148" i="2"/>
  <c r="AE146" i="2" s="1"/>
  <c r="T153" i="2"/>
  <c r="G33" i="3"/>
  <c r="X27" i="4"/>
  <c r="X28" i="4" s="1"/>
  <c r="X21" i="11"/>
  <c r="Y19" i="11" s="1"/>
  <c r="AG26" i="11"/>
  <c r="AG27" i="11" s="1"/>
  <c r="AH25" i="11" s="1"/>
  <c r="X126" i="2"/>
  <c r="C38" i="1"/>
  <c r="AH24" i="11"/>
  <c r="AI22" i="11" s="1"/>
  <c r="W33" i="4"/>
  <c r="W35" i="4" s="1"/>
  <c r="W45" i="4" s="1"/>
  <c r="W46" i="4" s="1"/>
  <c r="H29" i="3"/>
  <c r="W85" i="2"/>
  <c r="C29" i="1"/>
  <c r="V152" i="2"/>
  <c r="T102" i="2"/>
  <c r="AY117" i="2" l="1"/>
  <c r="AY120" i="2" s="1"/>
  <c r="AZ116" i="2" s="1"/>
  <c r="AT112" i="2"/>
  <c r="AT115" i="2"/>
  <c r="AU111" i="2" s="1"/>
  <c r="AH26" i="11"/>
  <c r="AH27" i="11"/>
  <c r="AI25" i="11" s="1"/>
  <c r="Y84" i="2"/>
  <c r="Y125" i="2"/>
  <c r="Z121" i="2" s="1"/>
  <c r="Y20" i="11"/>
  <c r="Y82" i="2" s="1"/>
  <c r="X127" i="2"/>
  <c r="X129" i="2"/>
  <c r="X83" i="2" s="1"/>
  <c r="AE148" i="2"/>
  <c r="AF146" i="2" s="1"/>
  <c r="AI23" i="11"/>
  <c r="W36" i="4"/>
  <c r="T156" i="2"/>
  <c r="T161" i="2"/>
  <c r="G45" i="3" s="1"/>
  <c r="G34" i="3"/>
  <c r="U99" i="2"/>
  <c r="W94" i="2"/>
  <c r="W95" i="2" s="1"/>
  <c r="W96" i="2" s="1"/>
  <c r="W87" i="2"/>
  <c r="H20" i="3"/>
  <c r="C20" i="1"/>
  <c r="C46" i="5" s="1"/>
  <c r="X29" i="4"/>
  <c r="AZ117" i="2" l="1"/>
  <c r="AZ120" i="2"/>
  <c r="BA116" i="2" s="1"/>
  <c r="Y40" i="4"/>
  <c r="Y41" i="4" s="1"/>
  <c r="Y42" i="4" s="1"/>
  <c r="AI26" i="11"/>
  <c r="Z122" i="2"/>
  <c r="Z124" i="2" s="1"/>
  <c r="Z84" i="2" s="1"/>
  <c r="Z40" i="4" s="1"/>
  <c r="Z41" i="4" s="1"/>
  <c r="X130" i="2"/>
  <c r="Y126" i="2" s="1"/>
  <c r="AU112" i="2"/>
  <c r="AU115" i="2" s="1"/>
  <c r="AF148" i="2"/>
  <c r="G43" i="3"/>
  <c r="U151" i="2"/>
  <c r="X33" i="4"/>
  <c r="X35" i="4" s="1"/>
  <c r="X45" i="4" s="1"/>
  <c r="X46" i="4" s="1"/>
  <c r="X85" i="2"/>
  <c r="X36" i="4"/>
  <c r="W152" i="2"/>
  <c r="H21" i="3"/>
  <c r="C21" i="1"/>
  <c r="Y107" i="2"/>
  <c r="C23" i="1"/>
  <c r="Z160" i="2"/>
  <c r="H23" i="3"/>
  <c r="AI24" i="11"/>
  <c r="AJ22" i="11" s="1"/>
  <c r="Y21" i="11"/>
  <c r="Z19" i="11" s="1"/>
  <c r="U100" i="2"/>
  <c r="U101" i="2"/>
  <c r="Y27" i="4"/>
  <c r="Y28" i="4" s="1"/>
  <c r="U102" i="2" l="1"/>
  <c r="V99" i="2" s="1"/>
  <c r="V100" i="2"/>
  <c r="K42" i="3"/>
  <c r="AG146" i="2"/>
  <c r="X94" i="2"/>
  <c r="X95" i="2" s="1"/>
  <c r="X96" i="2" s="1"/>
  <c r="X87" i="2"/>
  <c r="AI27" i="11"/>
  <c r="AJ25" i="11" s="1"/>
  <c r="I44" i="3"/>
  <c r="D44" i="1"/>
  <c r="Z20" i="11"/>
  <c r="Z82" i="2" s="1"/>
  <c r="I30" i="3"/>
  <c r="U153" i="2"/>
  <c r="Y154" i="2"/>
  <c r="I35" i="3"/>
  <c r="D35" i="1"/>
  <c r="Y108" i="2"/>
  <c r="Z106" i="2" s="1"/>
  <c r="Z108" i="2" s="1"/>
  <c r="Y127" i="2"/>
  <c r="Y129" i="2" s="1"/>
  <c r="Y83" i="2" s="1"/>
  <c r="Z42" i="4"/>
  <c r="Z125" i="2"/>
  <c r="AA121" i="2" s="1"/>
  <c r="BA117" i="2"/>
  <c r="BA120" i="2" s="1"/>
  <c r="BB116" i="2" s="1"/>
  <c r="AJ23" i="11"/>
  <c r="AV111" i="2"/>
  <c r="Y29" i="4"/>
  <c r="U156" i="2"/>
  <c r="V151" i="2" s="1"/>
  <c r="U159" i="2"/>
  <c r="Y33" i="4" l="1"/>
  <c r="Y35" i="4" s="1"/>
  <c r="Y85" i="2"/>
  <c r="BB117" i="2"/>
  <c r="BB120" i="2" s="1"/>
  <c r="BC116" i="2" s="1"/>
  <c r="V159" i="2"/>
  <c r="AG148" i="2"/>
  <c r="AH146" i="2" s="1"/>
  <c r="Z27" i="4"/>
  <c r="Z28" i="4" s="1"/>
  <c r="I28" i="3"/>
  <c r="AV112" i="2"/>
  <c r="AV115" i="2" s="1"/>
  <c r="AW111" i="2" s="1"/>
  <c r="AJ26" i="11"/>
  <c r="Y130" i="2"/>
  <c r="Z126" i="2" s="1"/>
  <c r="X152" i="2"/>
  <c r="V101" i="2"/>
  <c r="V102" i="2" s="1"/>
  <c r="W99" i="2" s="1"/>
  <c r="AJ24" i="11"/>
  <c r="AK22" i="11" s="1"/>
  <c r="AA122" i="2"/>
  <c r="I36" i="3"/>
  <c r="AA106" i="2"/>
  <c r="AA108" i="2" s="1"/>
  <c r="AB106" i="2" s="1"/>
  <c r="AB108" i="2" s="1"/>
  <c r="AC106" i="2" s="1"/>
  <c r="AC108" i="2" s="1"/>
  <c r="U161" i="2"/>
  <c r="Z21" i="11"/>
  <c r="AA19" i="11" s="1"/>
  <c r="BC117" i="2" l="1"/>
  <c r="BC120" i="2" s="1"/>
  <c r="BD116" i="2" s="1"/>
  <c r="AW112" i="2"/>
  <c r="AW115" i="2" s="1"/>
  <c r="AX111" i="2" s="1"/>
  <c r="W100" i="2"/>
  <c r="Z127" i="2"/>
  <c r="I38" i="3" s="1"/>
  <c r="Z129" i="2"/>
  <c r="Z83" i="2" s="1"/>
  <c r="AA124" i="2"/>
  <c r="AA84" i="2" s="1"/>
  <c r="V153" i="2"/>
  <c r="V156" i="2" s="1"/>
  <c r="W151" i="2" s="1"/>
  <c r="AH148" i="2"/>
  <c r="AI146" i="2" s="1"/>
  <c r="Y94" i="2"/>
  <c r="Y95" i="2" s="1"/>
  <c r="Y96" i="2" s="1"/>
  <c r="Y87" i="2"/>
  <c r="AK23" i="11"/>
  <c r="AK24" i="11" s="1"/>
  <c r="AL22" i="11" s="1"/>
  <c r="Z29" i="4"/>
  <c r="AJ27" i="11"/>
  <c r="AK25" i="11" s="1"/>
  <c r="AA20" i="11"/>
  <c r="AA82" i="2" s="1"/>
  <c r="J36" i="3"/>
  <c r="AD106" i="2"/>
  <c r="AD108" i="2" s="1"/>
  <c r="AE106" i="2" s="1"/>
  <c r="AE108" i="2" s="1"/>
  <c r="AF106" i="2" s="1"/>
  <c r="AF108" i="2" s="1"/>
  <c r="Y45" i="4"/>
  <c r="Y46" i="4" s="1"/>
  <c r="Y36" i="4"/>
  <c r="V161" i="2" l="1"/>
  <c r="BD117" i="2"/>
  <c r="BD120" i="2" s="1"/>
  <c r="BE116" i="2" s="1"/>
  <c r="W101" i="2"/>
  <c r="Z33" i="4"/>
  <c r="Z35" i="4" s="1"/>
  <c r="Z45" i="4" s="1"/>
  <c r="Z46" i="4" s="1"/>
  <c r="I29" i="3"/>
  <c r="Z85" i="2"/>
  <c r="AA40" i="4"/>
  <c r="AA41" i="4" s="1"/>
  <c r="AA42" i="4" s="1"/>
  <c r="AK26" i="11"/>
  <c r="K36" i="3"/>
  <c r="AG106" i="2"/>
  <c r="AG108" i="2" s="1"/>
  <c r="AH106" i="2" s="1"/>
  <c r="AH108" i="2" s="1"/>
  <c r="AI106" i="2" s="1"/>
  <c r="AI108" i="2" s="1"/>
  <c r="W159" i="2"/>
  <c r="AX112" i="2"/>
  <c r="AX115" i="2" s="1"/>
  <c r="AY111" i="2" s="1"/>
  <c r="AA21" i="11"/>
  <c r="AB19" i="11" s="1"/>
  <c r="AA29" i="4"/>
  <c r="Z130" i="2"/>
  <c r="AA126" i="2" s="1"/>
  <c r="AL23" i="11"/>
  <c r="AL24" i="11" s="1"/>
  <c r="AM22" i="11" s="1"/>
  <c r="AA27" i="4"/>
  <c r="AA28" i="4" s="1"/>
  <c r="Y152" i="2"/>
  <c r="AI148" i="2"/>
  <c r="AA125" i="2"/>
  <c r="AB121" i="2" s="1"/>
  <c r="AY112" i="2" l="1"/>
  <c r="AY115" i="2" s="1"/>
  <c r="AZ111" i="2" s="1"/>
  <c r="BE117" i="2"/>
  <c r="BE120" i="2" s="1"/>
  <c r="BF116" i="2" s="1"/>
  <c r="Z94" i="2"/>
  <c r="Z95" i="2" s="1"/>
  <c r="Z96" i="2" s="1"/>
  <c r="Z87" i="2"/>
  <c r="I20" i="3"/>
  <c r="AB122" i="2"/>
  <c r="AB124" i="2" s="1"/>
  <c r="AB84" i="2" s="1"/>
  <c r="AA127" i="2"/>
  <c r="AA129" i="2"/>
  <c r="AA83" i="2" s="1"/>
  <c r="Z36" i="4"/>
  <c r="W153" i="2"/>
  <c r="W156" i="2" s="1"/>
  <c r="C33" i="1"/>
  <c r="H33" i="3"/>
  <c r="L36" i="3"/>
  <c r="AJ106" i="2"/>
  <c r="AJ108" i="2" s="1"/>
  <c r="AK106" i="2" s="1"/>
  <c r="D36" i="1"/>
  <c r="L42" i="3"/>
  <c r="AJ146" i="2"/>
  <c r="D42" i="1"/>
  <c r="D52" i="5" s="1"/>
  <c r="AM23" i="11"/>
  <c r="AM24" i="11"/>
  <c r="AN22" i="11" s="1"/>
  <c r="AB20" i="11"/>
  <c r="AB82" i="2" s="1"/>
  <c r="AK27" i="11"/>
  <c r="AL25" i="11" s="1"/>
  <c r="W161" i="2"/>
  <c r="W102" i="2"/>
  <c r="AA130" i="2" l="1"/>
  <c r="AB126" i="2" s="1"/>
  <c r="AB40" i="4"/>
  <c r="AB41" i="4" s="1"/>
  <c r="AB42" i="4" s="1"/>
  <c r="BF117" i="2"/>
  <c r="BF120" i="2"/>
  <c r="BG116" i="2" s="1"/>
  <c r="AB127" i="2"/>
  <c r="AB129" i="2" s="1"/>
  <c r="AZ112" i="2"/>
  <c r="AZ115" i="2" s="1"/>
  <c r="BA111" i="2" s="1"/>
  <c r="AA33" i="4"/>
  <c r="AA35" i="4" s="1"/>
  <c r="AA45" i="4" s="1"/>
  <c r="AA46" i="4" s="1"/>
  <c r="AA85" i="2"/>
  <c r="Z152" i="2"/>
  <c r="I21" i="3"/>
  <c r="I23" i="3"/>
  <c r="H34" i="3"/>
  <c r="X99" i="2"/>
  <c r="C34" i="1"/>
  <c r="AB125" i="2"/>
  <c r="AC121" i="2" s="1"/>
  <c r="AB27" i="4"/>
  <c r="AB28" i="4" s="1"/>
  <c r="AJ148" i="2"/>
  <c r="AK146" i="2" s="1"/>
  <c r="AB21" i="11"/>
  <c r="AC19" i="11" s="1"/>
  <c r="AN23" i="11"/>
  <c r="AN24" i="11" s="1"/>
  <c r="AO22" i="11" s="1"/>
  <c r="H45" i="3"/>
  <c r="C45" i="1"/>
  <c r="AL27" i="11"/>
  <c r="AM25" i="11" s="1"/>
  <c r="AL26" i="11"/>
  <c r="H43" i="3"/>
  <c r="X151" i="2"/>
  <c r="C43" i="1"/>
  <c r="AA36" i="4" l="1"/>
  <c r="BA112" i="2"/>
  <c r="BA115" i="2" s="1"/>
  <c r="BB111" i="2" s="1"/>
  <c r="AB83" i="2"/>
  <c r="AB130" i="2"/>
  <c r="AC126" i="2" s="1"/>
  <c r="AM26" i="11"/>
  <c r="AM27" i="11" s="1"/>
  <c r="AN25" i="11" s="1"/>
  <c r="X100" i="2"/>
  <c r="X101" i="2" s="1"/>
  <c r="BG117" i="2"/>
  <c r="BG120" i="2" s="1"/>
  <c r="BH116" i="2" s="1"/>
  <c r="AA94" i="2"/>
  <c r="AA95" i="2" s="1"/>
  <c r="AA96" i="2" s="1"/>
  <c r="AA87" i="2"/>
  <c r="AO23" i="11"/>
  <c r="AO24" i="11"/>
  <c r="AP22" i="11" s="1"/>
  <c r="AC20" i="11"/>
  <c r="AC82" i="2" s="1"/>
  <c r="AC21" i="11"/>
  <c r="AD19" i="11" s="1"/>
  <c r="AB29" i="4"/>
  <c r="C50" i="5"/>
  <c r="C100" i="5"/>
  <c r="C102" i="5" s="1"/>
  <c r="C103" i="5" s="1"/>
  <c r="C72" i="5"/>
  <c r="X159" i="2"/>
  <c r="AK148" i="2"/>
  <c r="AL146" i="2" s="1"/>
  <c r="AC122" i="2"/>
  <c r="AC124" i="2"/>
  <c r="AC84" i="2" s="1"/>
  <c r="AC125" i="2" l="1"/>
  <c r="AD121" i="2" s="1"/>
  <c r="AD122" i="2"/>
  <c r="AD124" i="2"/>
  <c r="AD84" i="2" s="1"/>
  <c r="X153" i="2"/>
  <c r="X156" i="2" s="1"/>
  <c r="Y151" i="2" s="1"/>
  <c r="BB112" i="2"/>
  <c r="BB115" i="2"/>
  <c r="BC111" i="2" s="1"/>
  <c r="AA152" i="2"/>
  <c r="X102" i="2"/>
  <c r="Y99" i="2" s="1"/>
  <c r="AN26" i="11"/>
  <c r="AC27" i="4"/>
  <c r="AC28" i="4" s="1"/>
  <c r="J28" i="3"/>
  <c r="AC127" i="2"/>
  <c r="J38" i="3" s="1"/>
  <c r="AL148" i="2"/>
  <c r="AP23" i="11"/>
  <c r="BH117" i="2"/>
  <c r="BH120" i="2" s="1"/>
  <c r="BI116" i="2" s="1"/>
  <c r="AB33" i="4"/>
  <c r="AB35" i="4" s="1"/>
  <c r="AB85" i="2"/>
  <c r="AD20" i="11"/>
  <c r="AD82" i="2" s="1"/>
  <c r="AD21" i="11"/>
  <c r="AE19" i="11" s="1"/>
  <c r="AC40" i="4"/>
  <c r="AC41" i="4" s="1"/>
  <c r="AC42" i="4" s="1"/>
  <c r="J30" i="3"/>
  <c r="AD125" i="2" l="1"/>
  <c r="AE121" i="2" s="1"/>
  <c r="BI117" i="2"/>
  <c r="BI120" i="2" s="1"/>
  <c r="BJ116" i="2" s="1"/>
  <c r="AE122" i="2"/>
  <c r="AE124" i="2"/>
  <c r="AE84" i="2" s="1"/>
  <c r="AN27" i="11"/>
  <c r="AO25" i="11" s="1"/>
  <c r="BC112" i="2"/>
  <c r="BC115" i="2" s="1"/>
  <c r="BD111" i="2" s="1"/>
  <c r="Y159" i="2"/>
  <c r="AB94" i="2"/>
  <c r="AB95" i="2" s="1"/>
  <c r="AB96" i="2" s="1"/>
  <c r="AB87" i="2"/>
  <c r="AC29" i="4"/>
  <c r="AC129" i="2"/>
  <c r="AC83" i="2" s="1"/>
  <c r="Y100" i="2"/>
  <c r="Y101" i="2" s="1"/>
  <c r="AB36" i="4"/>
  <c r="AB45" i="4"/>
  <c r="AB46" i="4" s="1"/>
  <c r="AD40" i="4"/>
  <c r="AD41" i="4" s="1"/>
  <c r="AD42" i="4" s="1"/>
  <c r="M42" i="3"/>
  <c r="AM146" i="2"/>
  <c r="AE20" i="11"/>
  <c r="AE82" i="2" s="1"/>
  <c r="AE21" i="11"/>
  <c r="AF19" i="11" s="1"/>
  <c r="X161" i="2"/>
  <c r="AD27" i="4"/>
  <c r="AD28" i="4" s="1"/>
  <c r="AP24" i="11"/>
  <c r="AQ22" i="11" s="1"/>
  <c r="AE125" i="2" l="1"/>
  <c r="AF121" i="2" s="1"/>
  <c r="Y153" i="2"/>
  <c r="Y156" i="2" s="1"/>
  <c r="Z151" i="2" s="1"/>
  <c r="AF122" i="2"/>
  <c r="BD112" i="2"/>
  <c r="BD115" i="2"/>
  <c r="BE111" i="2" s="1"/>
  <c r="BJ117" i="2"/>
  <c r="BJ120" i="2" s="1"/>
  <c r="BK116" i="2" s="1"/>
  <c r="AO26" i="11"/>
  <c r="AO27" i="11"/>
  <c r="AP25" i="11" s="1"/>
  <c r="AF20" i="11"/>
  <c r="AF82" i="2" s="1"/>
  <c r="Y102" i="2"/>
  <c r="Z99" i="2" s="1"/>
  <c r="AE27" i="4"/>
  <c r="AE28" i="4" s="1"/>
  <c r="AE40" i="4"/>
  <c r="AE41" i="4" s="1"/>
  <c r="AE42" i="4" s="1"/>
  <c r="AC33" i="4"/>
  <c r="AC35" i="4" s="1"/>
  <c r="AC45" i="4" s="1"/>
  <c r="AC46" i="4" s="1"/>
  <c r="AC85" i="2"/>
  <c r="J29" i="3"/>
  <c r="Y161" i="2"/>
  <c r="AQ23" i="11"/>
  <c r="AM148" i="2"/>
  <c r="AN146" i="2" s="1"/>
  <c r="AD29" i="4"/>
  <c r="AE29" i="4" s="1"/>
  <c r="AB152" i="2"/>
  <c r="AC130" i="2"/>
  <c r="AD126" i="2" s="1"/>
  <c r="BK117" i="2" l="1"/>
  <c r="BK120" i="2" s="1"/>
  <c r="BL116" i="2" s="1"/>
  <c r="Z100" i="2"/>
  <c r="Z101" i="2" s="1"/>
  <c r="AF27" i="4"/>
  <c r="AF28" i="4" s="1"/>
  <c r="AF124" i="2"/>
  <c r="AF84" i="2" s="1"/>
  <c r="BE112" i="2"/>
  <c r="BE115" i="2" s="1"/>
  <c r="BF111" i="2" s="1"/>
  <c r="AD127" i="2"/>
  <c r="AD129" i="2" s="1"/>
  <c r="AP26" i="11"/>
  <c r="AC94" i="2"/>
  <c r="AC95" i="2" s="1"/>
  <c r="AC96" i="2" s="1"/>
  <c r="AC87" i="2"/>
  <c r="J20" i="3"/>
  <c r="K28" i="3"/>
  <c r="AC36" i="4"/>
  <c r="AF21" i="11"/>
  <c r="AG19" i="11" s="1"/>
  <c r="AQ24" i="11"/>
  <c r="AR22" i="11" s="1"/>
  <c r="AN148" i="2"/>
  <c r="AO146" i="2" s="1"/>
  <c r="Z159" i="2"/>
  <c r="AF125" i="2" l="1"/>
  <c r="AG121" i="2" s="1"/>
  <c r="Z153" i="2"/>
  <c r="Z156" i="2" s="1"/>
  <c r="I33" i="3"/>
  <c r="AD83" i="2"/>
  <c r="AD130" i="2"/>
  <c r="AE126" i="2" s="1"/>
  <c r="BL117" i="2"/>
  <c r="BL120" i="2" s="1"/>
  <c r="BM116" i="2" s="1"/>
  <c r="Z102" i="2"/>
  <c r="AG20" i="11"/>
  <c r="AG82" i="2" s="1"/>
  <c r="AR23" i="11"/>
  <c r="J23" i="3"/>
  <c r="AG122" i="2"/>
  <c r="AG124" i="2"/>
  <c r="AG84" i="2" s="1"/>
  <c r="AF29" i="4"/>
  <c r="AO148" i="2"/>
  <c r="BF112" i="2"/>
  <c r="BF115" i="2" s="1"/>
  <c r="BG111" i="2" s="1"/>
  <c r="AF40" i="4"/>
  <c r="AF41" i="4" s="1"/>
  <c r="AF42" i="4" s="1"/>
  <c r="K30" i="3"/>
  <c r="AC152" i="2"/>
  <c r="J21" i="3"/>
  <c r="Z161" i="2"/>
  <c r="I45" i="3" s="1"/>
  <c r="AP27" i="11"/>
  <c r="AQ25" i="11" s="1"/>
  <c r="AG125" i="2" l="1"/>
  <c r="AH121" i="2" s="1"/>
  <c r="BG112" i="2"/>
  <c r="BG115" i="2" s="1"/>
  <c r="BM117" i="2"/>
  <c r="BM120" i="2" s="1"/>
  <c r="BN116" i="2" s="1"/>
  <c r="N42" i="3"/>
  <c r="AP146" i="2"/>
  <c r="AH122" i="2"/>
  <c r="AH124" i="2" s="1"/>
  <c r="AH84" i="2" s="1"/>
  <c r="AR24" i="11"/>
  <c r="AS22" i="11" s="1"/>
  <c r="AD33" i="4"/>
  <c r="AD35" i="4" s="1"/>
  <c r="AD85" i="2"/>
  <c r="AG40" i="4"/>
  <c r="AG41" i="4" s="1"/>
  <c r="AG21" i="11"/>
  <c r="AH19" i="11" s="1"/>
  <c r="AG42" i="4"/>
  <c r="AG27" i="4"/>
  <c r="AG28" i="4" s="1"/>
  <c r="AG29" i="4" s="1"/>
  <c r="AE127" i="2"/>
  <c r="AE129" i="2" s="1"/>
  <c r="AE83" i="2" s="1"/>
  <c r="AQ26" i="11"/>
  <c r="AQ27" i="11"/>
  <c r="AR25" i="11" s="1"/>
  <c r="I34" i="3"/>
  <c r="AA99" i="2"/>
  <c r="I43" i="3"/>
  <c r="AA151" i="2"/>
  <c r="BN117" i="2" l="1"/>
  <c r="BN120" i="2"/>
  <c r="BO116" i="2" s="1"/>
  <c r="AE33" i="4"/>
  <c r="AE35" i="4" s="1"/>
  <c r="AE45" i="4" s="1"/>
  <c r="AE85" i="2"/>
  <c r="BH111" i="2"/>
  <c r="AA100" i="2"/>
  <c r="AA101" i="2" s="1"/>
  <c r="AH40" i="4"/>
  <c r="AH41" i="4" s="1"/>
  <c r="AH42" i="4" s="1"/>
  <c r="AP148" i="2"/>
  <c r="AQ146" i="2" s="1"/>
  <c r="AD94" i="2"/>
  <c r="AD95" i="2" s="1"/>
  <c r="AD96" i="2" s="1"/>
  <c r="AD87" i="2"/>
  <c r="AH20" i="11"/>
  <c r="AH82" i="2" s="1"/>
  <c r="AE130" i="2"/>
  <c r="AF126" i="2" s="1"/>
  <c r="AR26" i="11"/>
  <c r="AR27" i="11" s="1"/>
  <c r="AS25" i="11" s="1"/>
  <c r="AD45" i="4"/>
  <c r="AD46" i="4" s="1"/>
  <c r="AE46" i="4" s="1"/>
  <c r="AD36" i="4"/>
  <c r="AS23" i="11"/>
  <c r="AS24" i="11"/>
  <c r="AT22" i="11" s="1"/>
  <c r="AH125" i="2"/>
  <c r="AI121" i="2" s="1"/>
  <c r="AA159" i="2"/>
  <c r="AE36" i="4" l="1"/>
  <c r="AA153" i="2"/>
  <c r="AA156" i="2" s="1"/>
  <c r="AB151" i="2" s="1"/>
  <c r="AH27" i="4"/>
  <c r="AH28" i="4" s="1"/>
  <c r="AS26" i="11"/>
  <c r="AE94" i="2"/>
  <c r="AE95" i="2" s="1"/>
  <c r="AE96" i="2" s="1"/>
  <c r="AE87" i="2"/>
  <c r="AE152" i="2" s="1"/>
  <c r="BH112" i="2"/>
  <c r="BH115" i="2" s="1"/>
  <c r="BI111" i="2" s="1"/>
  <c r="AT23" i="11"/>
  <c r="AD152" i="2"/>
  <c r="AF127" i="2"/>
  <c r="K38" i="3" s="1"/>
  <c r="AA102" i="2"/>
  <c r="AB99" i="2" s="1"/>
  <c r="BO117" i="2"/>
  <c r="BO120" i="2" s="1"/>
  <c r="BP116" i="2" s="1"/>
  <c r="AA161" i="2"/>
  <c r="AI122" i="2"/>
  <c r="AI124" i="2" s="1"/>
  <c r="AI84" i="2" s="1"/>
  <c r="AH21" i="11"/>
  <c r="AI19" i="11" s="1"/>
  <c r="AQ148" i="2"/>
  <c r="AR146" i="2" s="1"/>
  <c r="BI112" i="2" l="1"/>
  <c r="BI115" i="2" s="1"/>
  <c r="BJ111" i="2" s="1"/>
  <c r="AI40" i="4"/>
  <c r="AI41" i="4" s="1"/>
  <c r="AI42" i="4" s="1"/>
  <c r="D30" i="1"/>
  <c r="L30" i="3"/>
  <c r="AI125" i="2"/>
  <c r="AH29" i="4"/>
  <c r="AI20" i="11"/>
  <c r="AI82" i="2" s="1"/>
  <c r="AB159" i="2"/>
  <c r="AT24" i="11"/>
  <c r="AU22" i="11" s="1"/>
  <c r="BP117" i="2"/>
  <c r="BP120" i="2" s="1"/>
  <c r="BQ116" i="2" s="1"/>
  <c r="AB100" i="2"/>
  <c r="AR148" i="2"/>
  <c r="AF129" i="2"/>
  <c r="AF83" i="2" s="1"/>
  <c r="AS27" i="11"/>
  <c r="AT25" i="11" s="1"/>
  <c r="AF130" i="2" l="1"/>
  <c r="AG126" i="2" s="1"/>
  <c r="BJ112" i="2"/>
  <c r="BJ115" i="2" s="1"/>
  <c r="BK111" i="2" s="1"/>
  <c r="AG127" i="2"/>
  <c r="AI21" i="11"/>
  <c r="AJ19" i="11" s="1"/>
  <c r="AB101" i="2"/>
  <c r="BQ117" i="2"/>
  <c r="BQ120" i="2" s="1"/>
  <c r="BR116" i="2" s="1"/>
  <c r="AF33" i="4"/>
  <c r="AF35" i="4" s="1"/>
  <c r="AF85" i="2"/>
  <c r="K29" i="3"/>
  <c r="AI27" i="4"/>
  <c r="AI28" i="4" s="1"/>
  <c r="D28" i="1"/>
  <c r="L28" i="3"/>
  <c r="AT26" i="11"/>
  <c r="AT27" i="11" s="1"/>
  <c r="AU25" i="11" s="1"/>
  <c r="AI29" i="4"/>
  <c r="O42" i="3"/>
  <c r="AS146" i="2"/>
  <c r="AU23" i="11"/>
  <c r="AU24" i="11"/>
  <c r="AV22" i="11" s="1"/>
  <c r="AJ121" i="2"/>
  <c r="BR117" i="2" l="1"/>
  <c r="BR120" i="2" s="1"/>
  <c r="BS116" i="2" s="1"/>
  <c r="AU26" i="11"/>
  <c r="AU27" i="11" s="1"/>
  <c r="AV25" i="11" s="1"/>
  <c r="BK112" i="2"/>
  <c r="BK115" i="2" s="1"/>
  <c r="BL111" i="2" s="1"/>
  <c r="AJ20" i="11"/>
  <c r="AJ82" i="2" s="1"/>
  <c r="AG129" i="2"/>
  <c r="AG83" i="2" s="1"/>
  <c r="AF94" i="2"/>
  <c r="AF95" i="2" s="1"/>
  <c r="AF96" i="2" s="1"/>
  <c r="AF87" i="2"/>
  <c r="K20" i="3"/>
  <c r="AJ122" i="2"/>
  <c r="AJ124" i="2" s="1"/>
  <c r="AJ84" i="2" s="1"/>
  <c r="AV23" i="11"/>
  <c r="AV24" i="11"/>
  <c r="AW22" i="11" s="1"/>
  <c r="AF45" i="4"/>
  <c r="AF46" i="4" s="1"/>
  <c r="AF36" i="4"/>
  <c r="AS148" i="2"/>
  <c r="AT146" i="2" s="1"/>
  <c r="AB153" i="2"/>
  <c r="AB102" i="2"/>
  <c r="AC99" i="2" s="1"/>
  <c r="AJ21" i="11" l="1"/>
  <c r="AK19" i="11" s="1"/>
  <c r="AG130" i="2"/>
  <c r="AH126" i="2" s="1"/>
  <c r="AH127" i="2" s="1"/>
  <c r="AJ125" i="2"/>
  <c r="AK121" i="2" s="1"/>
  <c r="BL112" i="2"/>
  <c r="BL115" i="2" s="1"/>
  <c r="BM111" i="2" s="1"/>
  <c r="BS117" i="2"/>
  <c r="BS120" i="2" s="1"/>
  <c r="BT116" i="2" s="1"/>
  <c r="AJ40" i="4"/>
  <c r="AJ41" i="4" s="1"/>
  <c r="AJ42" i="4" s="1"/>
  <c r="AK20" i="11"/>
  <c r="AK82" i="2" s="1"/>
  <c r="AF152" i="2"/>
  <c r="K21" i="3"/>
  <c r="AV26" i="11"/>
  <c r="AV27" i="11" s="1"/>
  <c r="AW25" i="11" s="1"/>
  <c r="AC100" i="2"/>
  <c r="AC101" i="2"/>
  <c r="AW23" i="11"/>
  <c r="AW24" i="11" s="1"/>
  <c r="AX22" i="11" s="1"/>
  <c r="K23" i="3"/>
  <c r="AK122" i="2"/>
  <c r="AK124" i="2" s="1"/>
  <c r="AK84" i="2" s="1"/>
  <c r="AB156" i="2"/>
  <c r="AC151" i="2" s="1"/>
  <c r="AB161" i="2"/>
  <c r="AT148" i="2"/>
  <c r="AU146" i="2" s="1"/>
  <c r="AG33" i="4"/>
  <c r="AG35" i="4" s="1"/>
  <c r="AG45" i="4" s="1"/>
  <c r="AG46" i="4" s="1"/>
  <c r="AG85" i="2"/>
  <c r="AJ27" i="4"/>
  <c r="AJ28" i="4" s="1"/>
  <c r="AH129" i="2" l="1"/>
  <c r="AH83" i="2" s="1"/>
  <c r="AC102" i="2"/>
  <c r="AK21" i="11"/>
  <c r="AL19" i="11" s="1"/>
  <c r="AK40" i="4"/>
  <c r="AK41" i="4" s="1"/>
  <c r="J34" i="3"/>
  <c r="AD99" i="2"/>
  <c r="AX23" i="11"/>
  <c r="AW26" i="11"/>
  <c r="BT117" i="2"/>
  <c r="BT120" i="2" s="1"/>
  <c r="BU116" i="2" s="1"/>
  <c r="AC159" i="2"/>
  <c r="AK42" i="4"/>
  <c r="AC153" i="2"/>
  <c r="AC156" i="2" s="1"/>
  <c r="J33" i="3"/>
  <c r="AK125" i="2"/>
  <c r="AL121" i="2" s="1"/>
  <c r="AH33" i="4"/>
  <c r="AH35" i="4" s="1"/>
  <c r="AH45" i="4" s="1"/>
  <c r="AH46" i="4" s="1"/>
  <c r="AH85" i="2"/>
  <c r="AU148" i="2"/>
  <c r="AL20" i="11"/>
  <c r="AL82" i="2" s="1"/>
  <c r="BM112" i="2"/>
  <c r="BM115" i="2" s="1"/>
  <c r="BN111" i="2" s="1"/>
  <c r="AG94" i="2"/>
  <c r="AG95" i="2" s="1"/>
  <c r="AG96" i="2" s="1"/>
  <c r="AG87" i="2"/>
  <c r="AG36" i="4"/>
  <c r="AJ29" i="4"/>
  <c r="AK27" i="4"/>
  <c r="AK28" i="4" s="1"/>
  <c r="AL21" i="11" l="1"/>
  <c r="AM19" i="11" s="1"/>
  <c r="AH130" i="2"/>
  <c r="AI126" i="2" s="1"/>
  <c r="BU117" i="2"/>
  <c r="BU120" i="2" s="1"/>
  <c r="BV116" i="2" s="1"/>
  <c r="AK29" i="4"/>
  <c r="AX24" i="11"/>
  <c r="AY22" i="11" s="1"/>
  <c r="AD100" i="2"/>
  <c r="AD151" i="2"/>
  <c r="J43" i="3"/>
  <c r="AH36" i="4"/>
  <c r="AL122" i="2"/>
  <c r="AL27" i="4"/>
  <c r="AL28" i="4" s="1"/>
  <c r="M28" i="3"/>
  <c r="BN112" i="2"/>
  <c r="BN115" i="2" s="1"/>
  <c r="BO111" i="2" s="1"/>
  <c r="AM20" i="11"/>
  <c r="AM82" i="2" s="1"/>
  <c r="AM21" i="11"/>
  <c r="AN19" i="11" s="1"/>
  <c r="AG152" i="2"/>
  <c r="P42" i="3"/>
  <c r="AV146" i="2"/>
  <c r="E42" i="1"/>
  <c r="AH94" i="2"/>
  <c r="AH95" i="2" s="1"/>
  <c r="AH96" i="2" s="1"/>
  <c r="AH87" i="2"/>
  <c r="AH152" i="2" s="1"/>
  <c r="AC161" i="2"/>
  <c r="J45" i="3" s="1"/>
  <c r="AW27" i="11"/>
  <c r="AX25" i="11" s="1"/>
  <c r="AD101" i="2" l="1"/>
  <c r="AD102" i="2" s="1"/>
  <c r="AE99" i="2" s="1"/>
  <c r="AE100" i="2" s="1"/>
  <c r="AE101" i="2" s="1"/>
  <c r="AI127" i="2"/>
  <c r="AI129" i="2" s="1"/>
  <c r="AI83" i="2" s="1"/>
  <c r="BO112" i="2"/>
  <c r="BO115" i="2" s="1"/>
  <c r="BP111" i="2" s="1"/>
  <c r="BV117" i="2"/>
  <c r="BV120" i="2"/>
  <c r="BW116" i="2" s="1"/>
  <c r="AY23" i="11"/>
  <c r="AY24" i="11" s="1"/>
  <c r="AZ22" i="11" s="1"/>
  <c r="AL29" i="4"/>
  <c r="AD153" i="2"/>
  <c r="AX26" i="11"/>
  <c r="AX27" i="11" s="1"/>
  <c r="AY25" i="11" s="1"/>
  <c r="AN20" i="11"/>
  <c r="AN82" i="2" s="1"/>
  <c r="AL124" i="2"/>
  <c r="AL84" i="2" s="1"/>
  <c r="AM27" i="4"/>
  <c r="AM28" i="4" s="1"/>
  <c r="AD156" i="2"/>
  <c r="AE151" i="2" s="1"/>
  <c r="AD159" i="2"/>
  <c r="E52" i="5"/>
  <c r="D71" i="5"/>
  <c r="AV148" i="2"/>
  <c r="AW146" i="2" s="1"/>
  <c r="AI85" i="2" l="1"/>
  <c r="L29" i="3"/>
  <c r="AI33" i="4"/>
  <c r="AI35" i="4" s="1"/>
  <c r="D29" i="1"/>
  <c r="AM29" i="4"/>
  <c r="AN29" i="4" s="1"/>
  <c r="L38" i="3"/>
  <c r="AI130" i="2"/>
  <c r="AZ23" i="11"/>
  <c r="AE153" i="2"/>
  <c r="BP112" i="2"/>
  <c r="BP115" i="2" s="1"/>
  <c r="BQ111" i="2" s="1"/>
  <c r="AE156" i="2"/>
  <c r="AF151" i="2" s="1"/>
  <c r="AE159" i="2"/>
  <c r="AL40" i="4"/>
  <c r="AL41" i="4" s="1"/>
  <c r="AL42" i="4" s="1"/>
  <c r="M30" i="3"/>
  <c r="BW117" i="2"/>
  <c r="BW120" i="2" s="1"/>
  <c r="BX116" i="2" s="1"/>
  <c r="AL125" i="2"/>
  <c r="AM121" i="2" s="1"/>
  <c r="AY26" i="11"/>
  <c r="AY27" i="11"/>
  <c r="AZ25" i="11" s="1"/>
  <c r="AW148" i="2"/>
  <c r="AX146" i="2" s="1"/>
  <c r="AE102" i="2"/>
  <c r="AF99" i="2" s="1"/>
  <c r="AN27" i="4"/>
  <c r="AN28" i="4" s="1"/>
  <c r="AN21" i="11"/>
  <c r="AO19" i="11" s="1"/>
  <c r="AD161" i="2"/>
  <c r="AI45" i="4" l="1"/>
  <c r="AI46" i="4" s="1"/>
  <c r="AI36" i="4"/>
  <c r="D38" i="1"/>
  <c r="AJ126" i="2"/>
  <c r="AJ127" i="2" s="1"/>
  <c r="AI94" i="2"/>
  <c r="AI95" i="2" s="1"/>
  <c r="AI96" i="2" s="1"/>
  <c r="AI87" i="2"/>
  <c r="L20" i="3"/>
  <c r="D20" i="1"/>
  <c r="D46" i="5" s="1"/>
  <c r="BX117" i="2"/>
  <c r="BX120" i="2" s="1"/>
  <c r="BY116" i="2" s="1"/>
  <c r="BQ112" i="2"/>
  <c r="BQ115" i="2" s="1"/>
  <c r="BR111" i="2" s="1"/>
  <c r="AF159" i="2"/>
  <c r="AO20" i="11"/>
  <c r="AO82" i="2" s="1"/>
  <c r="AO21" i="11"/>
  <c r="AP19" i="11" s="1"/>
  <c r="AX148" i="2"/>
  <c r="AZ26" i="11"/>
  <c r="AF100" i="2"/>
  <c r="AF101" i="2"/>
  <c r="AM122" i="2"/>
  <c r="AM124" i="2"/>
  <c r="AM84" i="2" s="1"/>
  <c r="AE161" i="2"/>
  <c r="AZ24" i="11"/>
  <c r="BA22" i="11" s="1"/>
  <c r="AK107" i="2" l="1"/>
  <c r="L23" i="3"/>
  <c r="D23" i="1"/>
  <c r="AL160" i="2"/>
  <c r="AI152" i="2"/>
  <c r="D21" i="1"/>
  <c r="L21" i="3"/>
  <c r="AJ129" i="2"/>
  <c r="AJ83" i="2" s="1"/>
  <c r="AJ33" i="4" s="1"/>
  <c r="AJ35" i="4" s="1"/>
  <c r="AF102" i="2"/>
  <c r="AM125" i="2"/>
  <c r="AN121" i="2" s="1"/>
  <c r="K34" i="3"/>
  <c r="AG99" i="2"/>
  <c r="BR112" i="2"/>
  <c r="BR115" i="2"/>
  <c r="BS111" i="2" s="1"/>
  <c r="AN122" i="2"/>
  <c r="BY117" i="2"/>
  <c r="BY120" i="2" s="1"/>
  <c r="BZ116" i="2" s="1"/>
  <c r="AM40" i="4"/>
  <c r="AM41" i="4" s="1"/>
  <c r="AM42" i="4" s="1"/>
  <c r="AP20" i="11"/>
  <c r="AP82" i="2" s="1"/>
  <c r="AO27" i="4"/>
  <c r="AO28" i="4" s="1"/>
  <c r="N28" i="3"/>
  <c r="AF153" i="2"/>
  <c r="AF156" i="2" s="1"/>
  <c r="K33" i="3"/>
  <c r="AZ27" i="11"/>
  <c r="BA25" i="11" s="1"/>
  <c r="Q42" i="3"/>
  <c r="AY146" i="2"/>
  <c r="BA23" i="11"/>
  <c r="M44" i="3" l="1"/>
  <c r="E44" i="1"/>
  <c r="AN124" i="2"/>
  <c r="AN84" i="2" s="1"/>
  <c r="AJ130" i="2"/>
  <c r="AK126" i="2" s="1"/>
  <c r="AK127" i="2" s="1"/>
  <c r="AJ85" i="2"/>
  <c r="AJ87" i="2" s="1"/>
  <c r="M35" i="3"/>
  <c r="AK154" i="2"/>
  <c r="E35" i="1"/>
  <c r="AK108" i="2"/>
  <c r="AL106" i="2" s="1"/>
  <c r="AL108" i="2" s="1"/>
  <c r="BZ117" i="2"/>
  <c r="BZ120" i="2" s="1"/>
  <c r="CA116" i="2" s="1"/>
  <c r="AP27" i="4"/>
  <c r="AP28" i="4" s="1"/>
  <c r="AN40" i="4"/>
  <c r="AN41" i="4" s="1"/>
  <c r="AN42" i="4" s="1"/>
  <c r="K43" i="3"/>
  <c r="AG151" i="2"/>
  <c r="BS112" i="2"/>
  <c r="BS115" i="2"/>
  <c r="AF161" i="2"/>
  <c r="K45" i="3" s="1"/>
  <c r="BA26" i="11"/>
  <c r="BA27" i="11" s="1"/>
  <c r="BB25" i="11" s="1"/>
  <c r="AJ94" i="2"/>
  <c r="AJ95" i="2" s="1"/>
  <c r="AJ96" i="2" s="1"/>
  <c r="AY148" i="2"/>
  <c r="AZ146" i="2" s="1"/>
  <c r="AJ45" i="4"/>
  <c r="AJ46" i="4" s="1"/>
  <c r="AJ36" i="4"/>
  <c r="AO29" i="4"/>
  <c r="AG100" i="2"/>
  <c r="AG101" i="2" s="1"/>
  <c r="BA24" i="11"/>
  <c r="BB22" i="11" s="1"/>
  <c r="AP21" i="11"/>
  <c r="AQ19" i="11" s="1"/>
  <c r="AK129" i="2" l="1"/>
  <c r="AK83" i="2" s="1"/>
  <c r="AM106" i="2"/>
  <c r="AM108" i="2" s="1"/>
  <c r="AN106" i="2" s="1"/>
  <c r="AN108" i="2" s="1"/>
  <c r="AO106" i="2" s="1"/>
  <c r="AO108" i="2" s="1"/>
  <c r="M36" i="3"/>
  <c r="AN125" i="2"/>
  <c r="AO121" i="2" s="1"/>
  <c r="AO122" i="2" s="1"/>
  <c r="AO124" i="2" s="1"/>
  <c r="AG153" i="2"/>
  <c r="AO84" i="2"/>
  <c r="AO125" i="2"/>
  <c r="AP121" i="2" s="1"/>
  <c r="BB26" i="11"/>
  <c r="BB27" i="11" s="1"/>
  <c r="BC25" i="11" s="1"/>
  <c r="CA117" i="2"/>
  <c r="CA120" i="2" s="1"/>
  <c r="CB116" i="2" s="1"/>
  <c r="AK33" i="4"/>
  <c r="AK35" i="4" s="1"/>
  <c r="AK45" i="4" s="1"/>
  <c r="AK46" i="4" s="1"/>
  <c r="AK85" i="2"/>
  <c r="AG156" i="2"/>
  <c r="AH151" i="2" s="1"/>
  <c r="AG159" i="2"/>
  <c r="AG161" i="2" s="1"/>
  <c r="AG102" i="2"/>
  <c r="AH99" i="2" s="1"/>
  <c r="AJ152" i="2"/>
  <c r="AK130" i="2"/>
  <c r="AL126" i="2" s="1"/>
  <c r="AQ20" i="11"/>
  <c r="AQ82" i="2" s="1"/>
  <c r="BT111" i="2"/>
  <c r="BB23" i="11"/>
  <c r="AZ148" i="2"/>
  <c r="BA146" i="2" s="1"/>
  <c r="AP29" i="4"/>
  <c r="N36" i="3" l="1"/>
  <c r="AP106" i="2"/>
  <c r="AP108" i="2" s="1"/>
  <c r="AQ106" i="2" s="1"/>
  <c r="AQ108" i="2" s="1"/>
  <c r="AR106" i="2" s="1"/>
  <c r="AR108" i="2" s="1"/>
  <c r="BC26" i="11"/>
  <c r="BC27" i="11"/>
  <c r="BD25" i="11" s="1"/>
  <c r="CB117" i="2"/>
  <c r="CB120" i="2" s="1"/>
  <c r="CC116" i="2" s="1"/>
  <c r="AK94" i="2"/>
  <c r="AK95" i="2" s="1"/>
  <c r="AK96" i="2" s="1"/>
  <c r="AK87" i="2"/>
  <c r="AP122" i="2"/>
  <c r="AP124" i="2" s="1"/>
  <c r="AP84" i="2" s="1"/>
  <c r="BT112" i="2"/>
  <c r="BT115" i="2" s="1"/>
  <c r="BU111" i="2" s="1"/>
  <c r="AK36" i="4"/>
  <c r="AO40" i="4"/>
  <c r="AO41" i="4" s="1"/>
  <c r="AO42" i="4" s="1"/>
  <c r="N30" i="3"/>
  <c r="AH100" i="2"/>
  <c r="AH101" i="2" s="1"/>
  <c r="AQ21" i="11"/>
  <c r="AR19" i="11" s="1"/>
  <c r="AQ27" i="4"/>
  <c r="AQ28" i="4" s="1"/>
  <c r="AQ29" i="4" s="1"/>
  <c r="AL127" i="2"/>
  <c r="M38" i="3" s="1"/>
  <c r="AH159" i="2"/>
  <c r="BA148" i="2"/>
  <c r="BB24" i="11"/>
  <c r="BC22" i="11" s="1"/>
  <c r="O36" i="3" l="1"/>
  <c r="AS106" i="2"/>
  <c r="AS108" i="2" s="1"/>
  <c r="AT106" i="2" s="1"/>
  <c r="AT108" i="2" s="1"/>
  <c r="AU106" i="2" s="1"/>
  <c r="AU108" i="2" s="1"/>
  <c r="AP40" i="4"/>
  <c r="AP41" i="4" s="1"/>
  <c r="BU112" i="2"/>
  <c r="BU115" i="2"/>
  <c r="BV111" i="2" s="1"/>
  <c r="AH153" i="2"/>
  <c r="AH156" i="2" s="1"/>
  <c r="AI151" i="2" s="1"/>
  <c r="CC117" i="2"/>
  <c r="CC120" i="2" s="1"/>
  <c r="CD116" i="2" s="1"/>
  <c r="AR20" i="11"/>
  <c r="AR82" i="2" s="1"/>
  <c r="AK152" i="2"/>
  <c r="AP125" i="2"/>
  <c r="AQ121" i="2" s="1"/>
  <c r="R42" i="3"/>
  <c r="BB146" i="2"/>
  <c r="AH102" i="2"/>
  <c r="AI99" i="2" s="1"/>
  <c r="AL129" i="2"/>
  <c r="AL83" i="2" s="1"/>
  <c r="BD26" i="11"/>
  <c r="BD27" i="11" s="1"/>
  <c r="BE25" i="11" s="1"/>
  <c r="BC23" i="11"/>
  <c r="BC24" i="11"/>
  <c r="BD22" i="11" s="1"/>
  <c r="AP42" i="4"/>
  <c r="P36" i="3" l="1"/>
  <c r="E36" i="1"/>
  <c r="AV106" i="2"/>
  <c r="AV108" i="2" s="1"/>
  <c r="AW106" i="2" s="1"/>
  <c r="AL130" i="2"/>
  <c r="AM126" i="2" s="1"/>
  <c r="CD117" i="2"/>
  <c r="CD120" i="2" s="1"/>
  <c r="CE116" i="2" s="1"/>
  <c r="AH161" i="2"/>
  <c r="BV112" i="2"/>
  <c r="BV115" i="2" s="1"/>
  <c r="BW111" i="2" s="1"/>
  <c r="AR27" i="4"/>
  <c r="AR28" i="4" s="1"/>
  <c r="O28" i="3"/>
  <c r="BE26" i="11"/>
  <c r="BE27" i="11"/>
  <c r="BF25" i="11" s="1"/>
  <c r="AI159" i="2"/>
  <c r="AR21" i="11"/>
  <c r="AS19" i="11" s="1"/>
  <c r="AQ122" i="2"/>
  <c r="AQ124" i="2" s="1"/>
  <c r="AQ84" i="2" s="1"/>
  <c r="AM127" i="2"/>
  <c r="AM129" i="2" s="1"/>
  <c r="AM83" i="2" s="1"/>
  <c r="BB148" i="2"/>
  <c r="BC146" i="2" s="1"/>
  <c r="AI100" i="2"/>
  <c r="AI101" i="2" s="1"/>
  <c r="BD23" i="11"/>
  <c r="BD24" i="11" s="1"/>
  <c r="BE22" i="11" s="1"/>
  <c r="AL33" i="4"/>
  <c r="AL35" i="4" s="1"/>
  <c r="AL85" i="2"/>
  <c r="M29" i="3"/>
  <c r="AQ125" i="2" l="1"/>
  <c r="AR121" i="2" s="1"/>
  <c r="AR122" i="2"/>
  <c r="AR124" i="2" s="1"/>
  <c r="AR84" i="2" s="1"/>
  <c r="AI153" i="2"/>
  <c r="AI156" i="2" s="1"/>
  <c r="D33" i="1"/>
  <c r="L33" i="3"/>
  <c r="BW112" i="2"/>
  <c r="BW115" i="2" s="1"/>
  <c r="BX111" i="2" s="1"/>
  <c r="AM33" i="4"/>
  <c r="AM35" i="4" s="1"/>
  <c r="AM45" i="4" s="1"/>
  <c r="AM85" i="2"/>
  <c r="CE117" i="2"/>
  <c r="CE120" i="2" s="1"/>
  <c r="CF116" i="2" s="1"/>
  <c r="AQ40" i="4"/>
  <c r="AQ41" i="4" s="1"/>
  <c r="AQ42" i="4" s="1"/>
  <c r="AL94" i="2"/>
  <c r="AL95" i="2" s="1"/>
  <c r="AL96" i="2" s="1"/>
  <c r="AL87" i="2"/>
  <c r="M20" i="3"/>
  <c r="BC148" i="2"/>
  <c r="BD146" i="2" s="1"/>
  <c r="AM130" i="2"/>
  <c r="AN126" i="2" s="1"/>
  <c r="AL45" i="4"/>
  <c r="AL46" i="4" s="1"/>
  <c r="AL36" i="4"/>
  <c r="BE23" i="11"/>
  <c r="BE24" i="11"/>
  <c r="BF22" i="11" s="1"/>
  <c r="BF26" i="11"/>
  <c r="BF27" i="11" s="1"/>
  <c r="BG25" i="11" s="1"/>
  <c r="AR29" i="4"/>
  <c r="AI161" i="2"/>
  <c r="AS20" i="11"/>
  <c r="AS82" i="2" s="1"/>
  <c r="AI102" i="2"/>
  <c r="AM36" i="4" l="1"/>
  <c r="AM46" i="4"/>
  <c r="BG26" i="11"/>
  <c r="AR40" i="4"/>
  <c r="AR41" i="4" s="1"/>
  <c r="AR42" i="4" s="1"/>
  <c r="O30" i="3"/>
  <c r="CF117" i="2"/>
  <c r="CF120" i="2" s="1"/>
  <c r="CG116" i="2" s="1"/>
  <c r="BD148" i="2"/>
  <c r="AL152" i="2"/>
  <c r="M21" i="3"/>
  <c r="L43" i="3"/>
  <c r="AJ151" i="2"/>
  <c r="D43" i="1"/>
  <c r="AS27" i="4"/>
  <c r="AS28" i="4" s="1"/>
  <c r="AS29" i="4" s="1"/>
  <c r="L45" i="3"/>
  <c r="D45" i="1"/>
  <c r="M23" i="3"/>
  <c r="AM94" i="2"/>
  <c r="AM95" i="2" s="1"/>
  <c r="AM96" i="2" s="1"/>
  <c r="AM87" i="2"/>
  <c r="BX112" i="2"/>
  <c r="BX115" i="2" s="1"/>
  <c r="BY111" i="2" s="1"/>
  <c r="AS21" i="11"/>
  <c r="AT19" i="11" s="1"/>
  <c r="AN127" i="2"/>
  <c r="AN129" i="2" s="1"/>
  <c r="AR125" i="2"/>
  <c r="AS121" i="2" s="1"/>
  <c r="L34" i="3"/>
  <c r="AJ99" i="2"/>
  <c r="D34" i="1"/>
  <c r="BF23" i="11"/>
  <c r="CG117" i="2" l="1"/>
  <c r="CG120" i="2"/>
  <c r="CH116" i="2" s="1"/>
  <c r="AN83" i="2"/>
  <c r="AN130" i="2"/>
  <c r="AO126" i="2" s="1"/>
  <c r="BY112" i="2"/>
  <c r="BY115" i="2" s="1"/>
  <c r="BZ111" i="2" s="1"/>
  <c r="AS122" i="2"/>
  <c r="AM152" i="2"/>
  <c r="BF24" i="11"/>
  <c r="BG22" i="11" s="1"/>
  <c r="D50" i="5"/>
  <c r="D100" i="5"/>
  <c r="D102" i="5" s="1"/>
  <c r="D103" i="5" s="1"/>
  <c r="S42" i="3"/>
  <c r="BE146" i="2"/>
  <c r="AJ100" i="2"/>
  <c r="AJ101" i="2" s="1"/>
  <c r="AJ159" i="2"/>
  <c r="AT20" i="11"/>
  <c r="AT82" i="2" s="1"/>
  <c r="BG27" i="11"/>
  <c r="BH25" i="11" s="1"/>
  <c r="AS124" i="2" l="1"/>
  <c r="AS84" i="2" s="1"/>
  <c r="AS40" i="4" s="1"/>
  <c r="AS41" i="4" s="1"/>
  <c r="AS42" i="4" s="1"/>
  <c r="AJ102" i="2"/>
  <c r="AK99" i="2" s="1"/>
  <c r="AK100" i="2"/>
  <c r="AK101" i="2"/>
  <c r="AK153" i="2" s="1"/>
  <c r="BZ112" i="2"/>
  <c r="BZ115" i="2"/>
  <c r="CA111" i="2" s="1"/>
  <c r="AJ153" i="2"/>
  <c r="AJ156" i="2" s="1"/>
  <c r="AK151" i="2" s="1"/>
  <c r="AT27" i="4"/>
  <c r="AT28" i="4" s="1"/>
  <c r="AT21" i="11"/>
  <c r="AU19" i="11" s="1"/>
  <c r="BE148" i="2"/>
  <c r="BF146" i="2" s="1"/>
  <c r="AO127" i="2"/>
  <c r="N38" i="3" s="1"/>
  <c r="AN33" i="4"/>
  <c r="AN35" i="4" s="1"/>
  <c r="AN85" i="2"/>
  <c r="CH117" i="2"/>
  <c r="CH120" i="2" s="1"/>
  <c r="BH26" i="11"/>
  <c r="BG23" i="11"/>
  <c r="AK102" i="2" l="1"/>
  <c r="AL99" i="2" s="1"/>
  <c r="AJ161" i="2"/>
  <c r="AS125" i="2"/>
  <c r="AT121" i="2" s="1"/>
  <c r="AL100" i="2"/>
  <c r="AU20" i="11"/>
  <c r="AU82" i="2" s="1"/>
  <c r="AN45" i="4"/>
  <c r="AN46" i="4" s="1"/>
  <c r="AN36" i="4"/>
  <c r="AK156" i="2"/>
  <c r="AL151" i="2" s="1"/>
  <c r="AK159" i="2"/>
  <c r="AK161" i="2" s="1"/>
  <c r="CA112" i="2"/>
  <c r="CA115" i="2"/>
  <c r="CB111" i="2" s="1"/>
  <c r="AN94" i="2"/>
  <c r="AN95" i="2" s="1"/>
  <c r="AN96" i="2" s="1"/>
  <c r="AN87" i="2"/>
  <c r="AT29" i="4"/>
  <c r="AO129" i="2"/>
  <c r="AO83" i="2" s="1"/>
  <c r="BG24" i="11"/>
  <c r="BH22" i="11" s="1"/>
  <c r="BF148" i="2"/>
  <c r="BG146" i="2" s="1"/>
  <c r="BH27" i="11"/>
  <c r="BI25" i="11" s="1"/>
  <c r="AT122" i="2" l="1"/>
  <c r="AT124" i="2"/>
  <c r="AT84" i="2" s="1"/>
  <c r="AT40" i="4" s="1"/>
  <c r="AT41" i="4" s="1"/>
  <c r="AT42" i="4" s="1"/>
  <c r="AN152" i="2"/>
  <c r="AU21" i="11"/>
  <c r="AV19" i="11" s="1"/>
  <c r="AO33" i="4"/>
  <c r="AO35" i="4" s="1"/>
  <c r="AO45" i="4" s="1"/>
  <c r="AO46" i="4" s="1"/>
  <c r="AO85" i="2"/>
  <c r="N29" i="3"/>
  <c r="CB112" i="2"/>
  <c r="CB115" i="2"/>
  <c r="CC111" i="2" s="1"/>
  <c r="AL101" i="2"/>
  <c r="BH23" i="11"/>
  <c r="BH24" i="11" s="1"/>
  <c r="BI22" i="11" s="1"/>
  <c r="BI26" i="11"/>
  <c r="BG148" i="2"/>
  <c r="AU27" i="4"/>
  <c r="AU28" i="4" s="1"/>
  <c r="P28" i="3"/>
  <c r="E28" i="1"/>
  <c r="AL159" i="2"/>
  <c r="AO130" i="2"/>
  <c r="AP126" i="2" s="1"/>
  <c r="AT125" i="2" l="1"/>
  <c r="AU121" i="2" s="1"/>
  <c r="BI23" i="11"/>
  <c r="AL153" i="2"/>
  <c r="AL156" i="2" s="1"/>
  <c r="M33" i="3"/>
  <c r="AO36" i="4"/>
  <c r="T42" i="3"/>
  <c r="BH146" i="2"/>
  <c r="F42" i="1"/>
  <c r="F52" i="5" s="1"/>
  <c r="AV20" i="11"/>
  <c r="AV82" i="2" s="1"/>
  <c r="AP127" i="2"/>
  <c r="AP129" i="2" s="1"/>
  <c r="AP83" i="2" s="1"/>
  <c r="AU29" i="4"/>
  <c r="CC112" i="2"/>
  <c r="CC115" i="2" s="1"/>
  <c r="CD111" i="2" s="1"/>
  <c r="BI27" i="11"/>
  <c r="BJ25" i="11" s="1"/>
  <c r="AO94" i="2"/>
  <c r="AO95" i="2" s="1"/>
  <c r="AO96" i="2" s="1"/>
  <c r="AO87" i="2"/>
  <c r="N20" i="3"/>
  <c r="AL102" i="2"/>
  <c r="AU122" i="2" l="1"/>
  <c r="CD112" i="2"/>
  <c r="CD115" i="2" s="1"/>
  <c r="CE111" i="2" s="1"/>
  <c r="AP33" i="4"/>
  <c r="AP35" i="4" s="1"/>
  <c r="AP45" i="4" s="1"/>
  <c r="AP46" i="4" s="1"/>
  <c r="AP85" i="2"/>
  <c r="AV21" i="11"/>
  <c r="AW19" i="11" s="1"/>
  <c r="M34" i="3"/>
  <c r="AM99" i="2"/>
  <c r="AP130" i="2"/>
  <c r="AQ126" i="2" s="1"/>
  <c r="M43" i="3"/>
  <c r="AM151" i="2"/>
  <c r="N23" i="3"/>
  <c r="BI24" i="11"/>
  <c r="BJ22" i="11" s="1"/>
  <c r="AL161" i="2"/>
  <c r="M45" i="3" s="1"/>
  <c r="AV27" i="4"/>
  <c r="AV28" i="4" s="1"/>
  <c r="AO152" i="2"/>
  <c r="N21" i="3"/>
  <c r="BJ26" i="11"/>
  <c r="BH148" i="2"/>
  <c r="BI146" i="2" s="1"/>
  <c r="AV29" i="4"/>
  <c r="AP36" i="4" l="1"/>
  <c r="AU124" i="2"/>
  <c r="AU84" i="2" s="1"/>
  <c r="CE112" i="2"/>
  <c r="CE115" i="2" s="1"/>
  <c r="AM159" i="2"/>
  <c r="AP94" i="2"/>
  <c r="AP95" i="2" s="1"/>
  <c r="AP96" i="2" s="1"/>
  <c r="AP87" i="2"/>
  <c r="BI148" i="2"/>
  <c r="BJ146" i="2" s="1"/>
  <c r="AM100" i="2"/>
  <c r="AM101" i="2"/>
  <c r="AW20" i="11"/>
  <c r="AW82" i="2" s="1"/>
  <c r="AQ127" i="2"/>
  <c r="AQ130" i="2" s="1"/>
  <c r="AR126" i="2" s="1"/>
  <c r="AQ129" i="2"/>
  <c r="AQ83" i="2" s="1"/>
  <c r="BJ23" i="11"/>
  <c r="BJ24" i="11"/>
  <c r="BK22" i="11" s="1"/>
  <c r="BJ27" i="11"/>
  <c r="BK25" i="11" s="1"/>
  <c r="AU40" i="4" l="1"/>
  <c r="AU41" i="4" s="1"/>
  <c r="AU42" i="4" s="1"/>
  <c r="E30" i="1"/>
  <c r="P30" i="3"/>
  <c r="AW21" i="11"/>
  <c r="AX19" i="11" s="1"/>
  <c r="AM102" i="2"/>
  <c r="AN99" i="2" s="1"/>
  <c r="AU125" i="2"/>
  <c r="AV121" i="2" s="1"/>
  <c r="AN100" i="2"/>
  <c r="CF111" i="2"/>
  <c r="BJ148" i="2"/>
  <c r="AM161" i="2"/>
  <c r="AX20" i="11"/>
  <c r="AX82" i="2" s="1"/>
  <c r="AX21" i="11"/>
  <c r="AY19" i="11" s="1"/>
  <c r="AP152" i="2"/>
  <c r="AM153" i="2"/>
  <c r="AM156" i="2" s="1"/>
  <c r="AN151" i="2" s="1"/>
  <c r="AW27" i="4"/>
  <c r="AW28" i="4" s="1"/>
  <c r="BK23" i="11"/>
  <c r="BK24" i="11"/>
  <c r="BL22" i="11" s="1"/>
  <c r="AR127" i="2"/>
  <c r="O38" i="3" s="1"/>
  <c r="BK26" i="11"/>
  <c r="BK27" i="11"/>
  <c r="BL25" i="11" s="1"/>
  <c r="AQ33" i="4"/>
  <c r="AQ35" i="4" s="1"/>
  <c r="AQ85" i="2"/>
  <c r="AN101" i="2" l="1"/>
  <c r="AN153" i="2" s="1"/>
  <c r="AN156" i="2" s="1"/>
  <c r="AO151" i="2" s="1"/>
  <c r="AV122" i="2"/>
  <c r="BL26" i="11"/>
  <c r="BL27" i="11" s="1"/>
  <c r="BM25" i="11" s="1"/>
  <c r="AY20" i="11"/>
  <c r="AY82" i="2" s="1"/>
  <c r="AX27" i="4"/>
  <c r="AX28" i="4" s="1"/>
  <c r="AQ94" i="2"/>
  <c r="AQ95" i="2" s="1"/>
  <c r="AQ96" i="2" s="1"/>
  <c r="AQ87" i="2"/>
  <c r="AW29" i="4"/>
  <c r="AX29" i="4" s="1"/>
  <c r="CF112" i="2"/>
  <c r="CF115" i="2" s="1"/>
  <c r="CG111" i="2" s="1"/>
  <c r="AR129" i="2"/>
  <c r="AN159" i="2"/>
  <c r="AN161" i="2" s="1"/>
  <c r="BL23" i="11"/>
  <c r="BL24" i="11" s="1"/>
  <c r="BM22" i="11" s="1"/>
  <c r="AQ45" i="4"/>
  <c r="AQ46" i="4" s="1"/>
  <c r="AQ36" i="4"/>
  <c r="Q28" i="3"/>
  <c r="BK146" i="2"/>
  <c r="U42" i="3"/>
  <c r="AY21" i="11" l="1"/>
  <c r="AZ19" i="11" s="1"/>
  <c r="AV124" i="2"/>
  <c r="AV84" i="2" s="1"/>
  <c r="AN102" i="2"/>
  <c r="AO99" i="2" s="1"/>
  <c r="AO100" i="2" s="1"/>
  <c r="AO101" i="2" s="1"/>
  <c r="AO153" i="2" s="1"/>
  <c r="AO156" i="2" s="1"/>
  <c r="BM23" i="11"/>
  <c r="CG112" i="2"/>
  <c r="CG115" i="2" s="1"/>
  <c r="CH111" i="2" s="1"/>
  <c r="BM26" i="11"/>
  <c r="AY27" i="4"/>
  <c r="AY28" i="4" s="1"/>
  <c r="AO159" i="2"/>
  <c r="AR83" i="2"/>
  <c r="AR130" i="2"/>
  <c r="AS126" i="2" s="1"/>
  <c r="AQ152" i="2"/>
  <c r="AZ20" i="11"/>
  <c r="AZ82" i="2" s="1"/>
  <c r="BK148" i="2"/>
  <c r="BL146" i="2" s="1"/>
  <c r="AO161" i="2" l="1"/>
  <c r="N45" i="3" s="1"/>
  <c r="N33" i="3"/>
  <c r="AV125" i="2"/>
  <c r="AW121" i="2" s="1"/>
  <c r="AV40" i="4"/>
  <c r="AV41" i="4" s="1"/>
  <c r="AV42" i="4" s="1"/>
  <c r="AO102" i="2"/>
  <c r="AP99" i="2" s="1"/>
  <c r="CH112" i="2"/>
  <c r="CH115" i="2" s="1"/>
  <c r="AR33" i="4"/>
  <c r="AR35" i="4" s="1"/>
  <c r="AR85" i="2"/>
  <c r="O29" i="3"/>
  <c r="BL148" i="2"/>
  <c r="BM146" i="2" s="1"/>
  <c r="N43" i="3"/>
  <c r="AP151" i="2"/>
  <c r="AZ27" i="4"/>
  <c r="AZ28" i="4" s="1"/>
  <c r="AS127" i="2"/>
  <c r="BM24" i="11"/>
  <c r="BN22" i="11" s="1"/>
  <c r="AZ21" i="11"/>
  <c r="BA19" i="11" s="1"/>
  <c r="AY29" i="4"/>
  <c r="BM27" i="11"/>
  <c r="BN25" i="11" s="1"/>
  <c r="N34" i="3" l="1"/>
  <c r="AW122" i="2"/>
  <c r="BM148" i="2"/>
  <c r="AP100" i="2"/>
  <c r="AP101" i="2" s="1"/>
  <c r="AS129" i="2"/>
  <c r="AS83" i="2" s="1"/>
  <c r="AR94" i="2"/>
  <c r="AR95" i="2" s="1"/>
  <c r="AR96" i="2" s="1"/>
  <c r="AR87" i="2"/>
  <c r="O20" i="3"/>
  <c r="BN26" i="11"/>
  <c r="BN27" i="11"/>
  <c r="BO25" i="11" s="1"/>
  <c r="AZ29" i="4"/>
  <c r="AR45" i="4"/>
  <c r="AR46" i="4" s="1"/>
  <c r="AR36" i="4"/>
  <c r="AP159" i="2"/>
  <c r="BN23" i="11"/>
  <c r="BA20" i="11"/>
  <c r="BA82" i="2" s="1"/>
  <c r="AW124" i="2" l="1"/>
  <c r="AW84" i="2" s="1"/>
  <c r="AP153" i="2"/>
  <c r="AP156" i="2" s="1"/>
  <c r="AQ151" i="2" s="1"/>
  <c r="AP102" i="2"/>
  <c r="AQ99" i="2" s="1"/>
  <c r="AS33" i="4"/>
  <c r="AS35" i="4" s="1"/>
  <c r="AS45" i="4" s="1"/>
  <c r="AS46" i="4" s="1"/>
  <c r="AS85" i="2"/>
  <c r="BN146" i="2"/>
  <c r="V42" i="3"/>
  <c r="AR152" i="2"/>
  <c r="O21" i="3"/>
  <c r="BN24" i="11"/>
  <c r="BO22" i="11" s="1"/>
  <c r="O23" i="3"/>
  <c r="BO26" i="11"/>
  <c r="BA27" i="4"/>
  <c r="BA28" i="4" s="1"/>
  <c r="R28" i="3"/>
  <c r="BA21" i="11"/>
  <c r="BB19" i="11" s="1"/>
  <c r="AS130" i="2"/>
  <c r="AT126" i="2" s="1"/>
  <c r="AW40" i="4" l="1"/>
  <c r="AW41" i="4" s="1"/>
  <c r="AW42" i="4" s="1"/>
  <c r="AS36" i="4"/>
  <c r="AW125" i="2"/>
  <c r="AX121" i="2" s="1"/>
  <c r="AT127" i="2"/>
  <c r="AQ101" i="2"/>
  <c r="AQ102" i="2" s="1"/>
  <c r="AR99" i="2" s="1"/>
  <c r="AQ100" i="2"/>
  <c r="AS94" i="2"/>
  <c r="AS95" i="2" s="1"/>
  <c r="AS96" i="2" s="1"/>
  <c r="AS87" i="2"/>
  <c r="BN148" i="2"/>
  <c r="BO146" i="2" s="1"/>
  <c r="BO23" i="11"/>
  <c r="BO24" i="11" s="1"/>
  <c r="BP22" i="11" s="1"/>
  <c r="BA29" i="4"/>
  <c r="BB20" i="11"/>
  <c r="BB82" i="2" s="1"/>
  <c r="AQ159" i="2"/>
  <c r="BO27" i="11"/>
  <c r="BP25" i="11" s="1"/>
  <c r="AP161" i="2"/>
  <c r="BB21" i="11" l="1"/>
  <c r="BC19" i="11" s="1"/>
  <c r="AX122" i="2"/>
  <c r="AX124" i="2" s="1"/>
  <c r="AX84" i="2" s="1"/>
  <c r="BP23" i="11"/>
  <c r="AR100" i="2"/>
  <c r="AR101" i="2" s="1"/>
  <c r="BC20" i="11"/>
  <c r="BC82" i="2" s="1"/>
  <c r="AT129" i="2"/>
  <c r="AT83" i="2" s="1"/>
  <c r="AQ153" i="2"/>
  <c r="AQ156" i="2" s="1"/>
  <c r="AR151" i="2" s="1"/>
  <c r="BO148" i="2"/>
  <c r="BP146" i="2" s="1"/>
  <c r="BP26" i="11"/>
  <c r="AS152" i="2"/>
  <c r="BB27" i="4"/>
  <c r="BB28" i="4" s="1"/>
  <c r="AX125" i="2" l="1"/>
  <c r="AY121" i="2" s="1"/>
  <c r="AX40" i="4"/>
  <c r="AX41" i="4" s="1"/>
  <c r="AX42" i="4" s="1"/>
  <c r="Q30" i="3"/>
  <c r="BC21" i="11"/>
  <c r="BD19" i="11" s="1"/>
  <c r="AR153" i="2"/>
  <c r="AR156" i="2" s="1"/>
  <c r="AR102" i="2"/>
  <c r="O33" i="3"/>
  <c r="BP24" i="11"/>
  <c r="BQ22" i="11" s="1"/>
  <c r="AR159" i="2"/>
  <c r="AQ161" i="2"/>
  <c r="BD20" i="11"/>
  <c r="BD82" i="2" s="1"/>
  <c r="AT33" i="4"/>
  <c r="AT35" i="4" s="1"/>
  <c r="AT85" i="2"/>
  <c r="BC27" i="4"/>
  <c r="BC28" i="4" s="1"/>
  <c r="BP148" i="2"/>
  <c r="BB29" i="4"/>
  <c r="BP27" i="11"/>
  <c r="BQ25" i="11" s="1"/>
  <c r="AT130" i="2"/>
  <c r="AU126" i="2" s="1"/>
  <c r="BC29" i="4" l="1"/>
  <c r="AR161" i="2"/>
  <c r="O45" i="3" s="1"/>
  <c r="AY122" i="2"/>
  <c r="AY124" i="2" s="1"/>
  <c r="AY84" i="2" s="1"/>
  <c r="AY125" i="2"/>
  <c r="AZ121" i="2" s="1"/>
  <c r="AT45" i="4"/>
  <c r="AT46" i="4" s="1"/>
  <c r="AT36" i="4"/>
  <c r="BD21" i="11"/>
  <c r="BE19" i="11" s="1"/>
  <c r="AU127" i="2"/>
  <c r="P38" i="3" s="1"/>
  <c r="O43" i="3"/>
  <c r="AS151" i="2"/>
  <c r="O34" i="3"/>
  <c r="AS99" i="2"/>
  <c r="W42" i="3"/>
  <c r="BQ146" i="2"/>
  <c r="BQ26" i="11"/>
  <c r="BD27" i="4"/>
  <c r="BD28" i="4" s="1"/>
  <c r="BD29" i="4" s="1"/>
  <c r="S28" i="3"/>
  <c r="BQ23" i="11"/>
  <c r="AT94" i="2"/>
  <c r="AT95" i="2" s="1"/>
  <c r="AT96" i="2" s="1"/>
  <c r="AT87" i="2"/>
  <c r="AZ122" i="2" l="1"/>
  <c r="AZ124" i="2"/>
  <c r="AZ84" i="2" s="1"/>
  <c r="AZ40" i="4" s="1"/>
  <c r="AZ41" i="4" s="1"/>
  <c r="AZ125" i="2"/>
  <c r="BA121" i="2" s="1"/>
  <c r="AY40" i="4"/>
  <c r="AY41" i="4" s="1"/>
  <c r="AY42" i="4" s="1"/>
  <c r="AS100" i="2"/>
  <c r="AS159" i="2"/>
  <c r="BQ24" i="11"/>
  <c r="BR22" i="11" s="1"/>
  <c r="BQ148" i="2"/>
  <c r="BR146" i="2" s="1"/>
  <c r="AU129" i="2"/>
  <c r="AU83" i="2" s="1"/>
  <c r="AT152" i="2"/>
  <c r="BQ27" i="11"/>
  <c r="BR25" i="11" s="1"/>
  <c r="BE20" i="11"/>
  <c r="BE82" i="2" s="1"/>
  <c r="BE21" i="11" l="1"/>
  <c r="BF19" i="11" s="1"/>
  <c r="BA122" i="2"/>
  <c r="BA124" i="2" s="1"/>
  <c r="BA84" i="2" s="1"/>
  <c r="BA125" i="2"/>
  <c r="BB121" i="2" s="1"/>
  <c r="AZ42" i="4"/>
  <c r="BR23" i="11"/>
  <c r="BR24" i="11" s="1"/>
  <c r="BS22" i="11" s="1"/>
  <c r="AS101" i="2"/>
  <c r="BE27" i="4"/>
  <c r="BE28" i="4" s="1"/>
  <c r="AU33" i="4"/>
  <c r="AU35" i="4" s="1"/>
  <c r="AU85" i="2"/>
  <c r="E29" i="1"/>
  <c r="P29" i="3"/>
  <c r="BF20" i="11"/>
  <c r="BF82" i="2" s="1"/>
  <c r="AU130" i="2"/>
  <c r="BR148" i="2"/>
  <c r="BS146" i="2" s="1"/>
  <c r="BR26" i="11"/>
  <c r="BB122" i="2" l="1"/>
  <c r="BB124" i="2" s="1"/>
  <c r="BB84" i="2" s="1"/>
  <c r="BB40" i="4" s="1"/>
  <c r="BB41" i="4" s="1"/>
  <c r="BB125" i="2"/>
  <c r="BC121" i="2" s="1"/>
  <c r="BA40" i="4"/>
  <c r="BA41" i="4" s="1"/>
  <c r="BA42" i="4" s="1"/>
  <c r="R30" i="3"/>
  <c r="BS23" i="11"/>
  <c r="BS24" i="11" s="1"/>
  <c r="BT22" i="11" s="1"/>
  <c r="BF21" i="11"/>
  <c r="BG19" i="11" s="1"/>
  <c r="BR27" i="11"/>
  <c r="BS25" i="11" s="1"/>
  <c r="AS153" i="2"/>
  <c r="BS148" i="2"/>
  <c r="BF27" i="4"/>
  <c r="BF28" i="4" s="1"/>
  <c r="BE29" i="4"/>
  <c r="BF29" i="4" s="1"/>
  <c r="AU94" i="2"/>
  <c r="AU95" i="2" s="1"/>
  <c r="AU96" i="2" s="1"/>
  <c r="AU87" i="2"/>
  <c r="P20" i="3"/>
  <c r="E20" i="1"/>
  <c r="E46" i="5" s="1"/>
  <c r="AU45" i="4"/>
  <c r="AU46" i="4" s="1"/>
  <c r="AU36" i="4"/>
  <c r="AV126" i="2"/>
  <c r="E38" i="1"/>
  <c r="AS102" i="2"/>
  <c r="AT99" i="2" s="1"/>
  <c r="BC122" i="2" l="1"/>
  <c r="BC124" i="2"/>
  <c r="BC84" i="2" s="1"/>
  <c r="BC40" i="4" s="1"/>
  <c r="BC41" i="4" s="1"/>
  <c r="BB42" i="4"/>
  <c r="BT23" i="11"/>
  <c r="BT24" i="11"/>
  <c r="BU22" i="11" s="1"/>
  <c r="AT100" i="2"/>
  <c r="AT101" i="2" s="1"/>
  <c r="BS26" i="11"/>
  <c r="BS27" i="11" s="1"/>
  <c r="BT25" i="11" s="1"/>
  <c r="BG20" i="11"/>
  <c r="BG82" i="2" s="1"/>
  <c r="AW107" i="2"/>
  <c r="E23" i="1"/>
  <c r="AX160" i="2"/>
  <c r="P23" i="3"/>
  <c r="X42" i="3"/>
  <c r="BT146" i="2"/>
  <c r="G42" i="1"/>
  <c r="AU152" i="2"/>
  <c r="P21" i="3"/>
  <c r="E21" i="1"/>
  <c r="AV127" i="2"/>
  <c r="AV129" i="2"/>
  <c r="AV83" i="2" s="1"/>
  <c r="AS156" i="2"/>
  <c r="AT151" i="2" s="1"/>
  <c r="AS161" i="2"/>
  <c r="BC42" i="4" l="1"/>
  <c r="AT102" i="2"/>
  <c r="AU99" i="2" s="1"/>
  <c r="BG21" i="11"/>
  <c r="BH19" i="11" s="1"/>
  <c r="BC125" i="2"/>
  <c r="BD121" i="2" s="1"/>
  <c r="BT26" i="11"/>
  <c r="BT27" i="11" s="1"/>
  <c r="BU25" i="11" s="1"/>
  <c r="AU100" i="2"/>
  <c r="BH20" i="11"/>
  <c r="BH82" i="2" s="1"/>
  <c r="AT153" i="2"/>
  <c r="AT156" i="2"/>
  <c r="AU151" i="2" s="1"/>
  <c r="AT159" i="2"/>
  <c r="AT161" i="2" s="1"/>
  <c r="Q44" i="3"/>
  <c r="F44" i="1"/>
  <c r="AV33" i="4"/>
  <c r="AV35" i="4" s="1"/>
  <c r="AV85" i="2"/>
  <c r="E71" i="5"/>
  <c r="G52" i="5"/>
  <c r="AW154" i="2"/>
  <c r="Q35" i="3"/>
  <c r="F35" i="1"/>
  <c r="AW108" i="2"/>
  <c r="AX106" i="2" s="1"/>
  <c r="AX108" i="2" s="1"/>
  <c r="BU23" i="11"/>
  <c r="BU24" i="11" s="1"/>
  <c r="BV22" i="11" s="1"/>
  <c r="AV130" i="2"/>
  <c r="AW126" i="2" s="1"/>
  <c r="BT148" i="2"/>
  <c r="BU146" i="2" s="1"/>
  <c r="BG27" i="4"/>
  <c r="BG28" i="4" s="1"/>
  <c r="T28" i="3"/>
  <c r="F28" i="1"/>
  <c r="BD122" i="2" l="1"/>
  <c r="BD124" i="2"/>
  <c r="BD84" i="2" s="1"/>
  <c r="BV23" i="11"/>
  <c r="AU101" i="2"/>
  <c r="AV45" i="4"/>
  <c r="AV46" i="4" s="1"/>
  <c r="AV36" i="4"/>
  <c r="BU26" i="11"/>
  <c r="BU27" i="11" s="1"/>
  <c r="BV25" i="11" s="1"/>
  <c r="AU159" i="2"/>
  <c r="BU148" i="2"/>
  <c r="BV146" i="2" s="1"/>
  <c r="AW127" i="2"/>
  <c r="Q36" i="3"/>
  <c r="AY106" i="2"/>
  <c r="AY108" i="2" s="1"/>
  <c r="AZ106" i="2" s="1"/>
  <c r="AZ108" i="2" s="1"/>
  <c r="BA106" i="2" s="1"/>
  <c r="BA108" i="2" s="1"/>
  <c r="BH27" i="4"/>
  <c r="BH28" i="4" s="1"/>
  <c r="BG29" i="4"/>
  <c r="AV94" i="2"/>
  <c r="AV95" i="2" s="1"/>
  <c r="AV96" i="2" s="1"/>
  <c r="AV87" i="2"/>
  <c r="BH21" i="11"/>
  <c r="BI19" i="11" s="1"/>
  <c r="BD40" i="4" l="1"/>
  <c r="BD41" i="4" s="1"/>
  <c r="BD42" i="4" s="1"/>
  <c r="S30" i="3"/>
  <c r="BH29" i="4"/>
  <c r="BD125" i="2"/>
  <c r="BE121" i="2" s="1"/>
  <c r="BV26" i="11"/>
  <c r="BV27" i="11"/>
  <c r="BW25" i="11" s="1"/>
  <c r="BI20" i="11"/>
  <c r="BI82" i="2" s="1"/>
  <c r="AV152" i="2"/>
  <c r="AU153" i="2"/>
  <c r="AU156" i="2" s="1"/>
  <c r="E33" i="1"/>
  <c r="P33" i="3"/>
  <c r="BV148" i="2"/>
  <c r="AW129" i="2"/>
  <c r="AW83" i="2" s="1"/>
  <c r="BV24" i="11"/>
  <c r="BW22" i="11" s="1"/>
  <c r="R36" i="3"/>
  <c r="BB106" i="2"/>
  <c r="BB108" i="2" s="1"/>
  <c r="BC106" i="2" s="1"/>
  <c r="BC108" i="2" s="1"/>
  <c r="BD106" i="2" s="1"/>
  <c r="BD108" i="2" s="1"/>
  <c r="AU102" i="2"/>
  <c r="BE122" i="2" l="1"/>
  <c r="BE124" i="2" s="1"/>
  <c r="BE84" i="2" s="1"/>
  <c r="BE40" i="4" s="1"/>
  <c r="BE41" i="4" s="1"/>
  <c r="BE42" i="4" s="1"/>
  <c r="AU161" i="2"/>
  <c r="E45" i="1" s="1"/>
  <c r="BI21" i="11"/>
  <c r="BJ19" i="11" s="1"/>
  <c r="BJ20" i="11"/>
  <c r="BJ82" i="2" s="1"/>
  <c r="U28" i="3" s="1"/>
  <c r="P45" i="3"/>
  <c r="P34" i="3"/>
  <c r="AV99" i="2"/>
  <c r="E34" i="1"/>
  <c r="AW33" i="4"/>
  <c r="AW35" i="4" s="1"/>
  <c r="AW85" i="2"/>
  <c r="P43" i="3"/>
  <c r="AV151" i="2"/>
  <c r="E43" i="1"/>
  <c r="BW26" i="11"/>
  <c r="BW27" i="11" s="1"/>
  <c r="BX25" i="11" s="1"/>
  <c r="BW23" i="11"/>
  <c r="BW24" i="11" s="1"/>
  <c r="BX22" i="11" s="1"/>
  <c r="S36" i="3"/>
  <c r="BE106" i="2"/>
  <c r="BE108" i="2" s="1"/>
  <c r="BF106" i="2" s="1"/>
  <c r="BF108" i="2" s="1"/>
  <c r="BG106" i="2" s="1"/>
  <c r="BG108" i="2" s="1"/>
  <c r="Y42" i="3"/>
  <c r="BW146" i="2"/>
  <c r="BI27" i="4"/>
  <c r="BI28" i="4" s="1"/>
  <c r="AW130" i="2"/>
  <c r="AX126" i="2" s="1"/>
  <c r="BE125" i="2" l="1"/>
  <c r="BF121" i="2" s="1"/>
  <c r="BX26" i="11"/>
  <c r="BX23" i="11"/>
  <c r="T36" i="3"/>
  <c r="BH106" i="2"/>
  <c r="BH108" i="2" s="1"/>
  <c r="BI106" i="2" s="1"/>
  <c r="F36" i="1"/>
  <c r="AW94" i="2"/>
  <c r="AW95" i="2" s="1"/>
  <c r="AW96" i="2" s="1"/>
  <c r="AW87" i="2"/>
  <c r="AV159" i="2"/>
  <c r="AW45" i="4"/>
  <c r="AW46" i="4" s="1"/>
  <c r="AW36" i="4"/>
  <c r="BI29" i="4"/>
  <c r="BW148" i="2"/>
  <c r="BX146" i="2" s="1"/>
  <c r="AV100" i="2"/>
  <c r="AV101" i="2"/>
  <c r="E100" i="5"/>
  <c r="E102" i="5" s="1"/>
  <c r="E103" i="5" s="1"/>
  <c r="E50" i="5"/>
  <c r="D72" i="5"/>
  <c r="BJ27" i="4"/>
  <c r="BJ28" i="4" s="1"/>
  <c r="AX127" i="2"/>
  <c r="Q38" i="3" s="1"/>
  <c r="AX129" i="2"/>
  <c r="AX83" i="2" s="1"/>
  <c r="BJ21" i="11"/>
  <c r="BK19" i="11" s="1"/>
  <c r="AV102" i="2" l="1"/>
  <c r="AW99" i="2" s="1"/>
  <c r="BF122" i="2"/>
  <c r="BF124" i="2" s="1"/>
  <c r="BF84" i="2" s="1"/>
  <c r="AW100" i="2"/>
  <c r="AW101" i="2" s="1"/>
  <c r="BK20" i="11"/>
  <c r="BK82" i="2" s="1"/>
  <c r="BJ29" i="4"/>
  <c r="BX148" i="2"/>
  <c r="BY146" i="2" s="1"/>
  <c r="AW152" i="2"/>
  <c r="BX24" i="11"/>
  <c r="BY22" i="11" s="1"/>
  <c r="AX33" i="4"/>
  <c r="AX35" i="4" s="1"/>
  <c r="AX45" i="4" s="1"/>
  <c r="AX46" i="4" s="1"/>
  <c r="AX85" i="2"/>
  <c r="Q29" i="3"/>
  <c r="BX27" i="11"/>
  <c r="BY25" i="11" s="1"/>
  <c r="AV153" i="2"/>
  <c r="AV156" i="2" s="1"/>
  <c r="AW151" i="2" s="1"/>
  <c r="AX36" i="4"/>
  <c r="AX130" i="2"/>
  <c r="AY126" i="2" s="1"/>
  <c r="BF125" i="2" l="1"/>
  <c r="BG121" i="2" s="1"/>
  <c r="BF40" i="4"/>
  <c r="BF41" i="4" s="1"/>
  <c r="BF42" i="4" s="1"/>
  <c r="AW153" i="2"/>
  <c r="AW156" i="2" s="1"/>
  <c r="AX151" i="2" s="1"/>
  <c r="AY127" i="2"/>
  <c r="BK27" i="4"/>
  <c r="BK28" i="4" s="1"/>
  <c r="BK21" i="11"/>
  <c r="BL19" i="11" s="1"/>
  <c r="BY26" i="11"/>
  <c r="BY27" i="11" s="1"/>
  <c r="BZ25" i="11" s="1"/>
  <c r="BY23" i="11"/>
  <c r="BY24" i="11" s="1"/>
  <c r="BZ22" i="11" s="1"/>
  <c r="BY148" i="2"/>
  <c r="AW102" i="2"/>
  <c r="AX99" i="2" s="1"/>
  <c r="AW159" i="2"/>
  <c r="AV161" i="2"/>
  <c r="AX94" i="2"/>
  <c r="AX95" i="2" s="1"/>
  <c r="AX96" i="2" s="1"/>
  <c r="AX87" i="2"/>
  <c r="Q20" i="3"/>
  <c r="BG122" i="2" l="1"/>
  <c r="AX159" i="2"/>
  <c r="BZ23" i="11"/>
  <c r="BZ24" i="11" s="1"/>
  <c r="CA22" i="11" s="1"/>
  <c r="Z42" i="3"/>
  <c r="BZ146" i="2"/>
  <c r="Q23" i="3"/>
  <c r="AY129" i="2"/>
  <c r="AY83" i="2" s="1"/>
  <c r="BZ26" i="11"/>
  <c r="AX152" i="2"/>
  <c r="Q21" i="3"/>
  <c r="AW161" i="2"/>
  <c r="BK29" i="4"/>
  <c r="AX100" i="2"/>
  <c r="AX101" i="2" s="1"/>
  <c r="BL20" i="11"/>
  <c r="BL82" i="2" s="1"/>
  <c r="BG124" i="2" l="1"/>
  <c r="BG84" i="2" s="1"/>
  <c r="AX153" i="2"/>
  <c r="AX161" i="2" s="1"/>
  <c r="Q45" i="3" s="1"/>
  <c r="Q33" i="3"/>
  <c r="CA23" i="11"/>
  <c r="AX156" i="2"/>
  <c r="BZ148" i="2"/>
  <c r="CA146" i="2" s="1"/>
  <c r="BL27" i="4"/>
  <c r="BL28" i="4" s="1"/>
  <c r="AX102" i="2"/>
  <c r="BZ27" i="11"/>
  <c r="CA25" i="11" s="1"/>
  <c r="BL21" i="11"/>
  <c r="BM19" i="11" s="1"/>
  <c r="AY33" i="4"/>
  <c r="AY35" i="4" s="1"/>
  <c r="AY85" i="2"/>
  <c r="AY130" i="2"/>
  <c r="AZ126" i="2" s="1"/>
  <c r="BG40" i="4" l="1"/>
  <c r="BG41" i="4" s="1"/>
  <c r="BG42" i="4" s="1"/>
  <c r="F30" i="1"/>
  <c r="T30" i="3"/>
  <c r="BG125" i="2"/>
  <c r="BH121" i="2" s="1"/>
  <c r="AY94" i="2"/>
  <c r="AY95" i="2" s="1"/>
  <c r="AY96" i="2" s="1"/>
  <c r="AY87" i="2"/>
  <c r="AY45" i="4"/>
  <c r="AY46" i="4" s="1"/>
  <c r="AY36" i="4"/>
  <c r="BL29" i="4"/>
  <c r="CA24" i="11"/>
  <c r="CB22" i="11" s="1"/>
  <c r="CA26" i="11"/>
  <c r="Q43" i="3"/>
  <c r="AY151" i="2"/>
  <c r="BM20" i="11"/>
  <c r="BM82" i="2" s="1"/>
  <c r="AZ127" i="2"/>
  <c r="AZ129" i="2" s="1"/>
  <c r="AZ83" i="2" s="1"/>
  <c r="Q34" i="3"/>
  <c r="AY99" i="2"/>
  <c r="CA148" i="2"/>
  <c r="CB146" i="2" s="1"/>
  <c r="BH122" i="2" l="1"/>
  <c r="BH124" i="2" s="1"/>
  <c r="BH84" i="2" s="1"/>
  <c r="BH40" i="4" s="1"/>
  <c r="BH41" i="4" s="1"/>
  <c r="BH42" i="4" s="1"/>
  <c r="AZ130" i="2"/>
  <c r="BA126" i="2" s="1"/>
  <c r="AY152" i="2"/>
  <c r="BM27" i="4"/>
  <c r="BM28" i="4" s="1"/>
  <c r="BM29" i="4" s="1"/>
  <c r="V28" i="3"/>
  <c r="CA27" i="11"/>
  <c r="CB25" i="11" s="1"/>
  <c r="CB23" i="11"/>
  <c r="AZ33" i="4"/>
  <c r="AZ35" i="4" s="1"/>
  <c r="AZ45" i="4" s="1"/>
  <c r="AZ46" i="4" s="1"/>
  <c r="AZ85" i="2"/>
  <c r="CB148" i="2"/>
  <c r="BM21" i="11"/>
  <c r="BN19" i="11" s="1"/>
  <c r="AY159" i="2"/>
  <c r="AY100" i="2"/>
  <c r="AY101" i="2" s="1"/>
  <c r="BH125" i="2" l="1"/>
  <c r="BI121" i="2" s="1"/>
  <c r="AY153" i="2"/>
  <c r="AY156" i="2"/>
  <c r="AZ151" i="2" s="1"/>
  <c r="AA42" i="3"/>
  <c r="CC146" i="2"/>
  <c r="AY102" i="2"/>
  <c r="AZ99" i="2" s="1"/>
  <c r="CB26" i="11"/>
  <c r="CB24" i="11"/>
  <c r="CC22" i="11" s="1"/>
  <c r="BA127" i="2"/>
  <c r="R38" i="3" s="1"/>
  <c r="AZ94" i="2"/>
  <c r="AZ95" i="2" s="1"/>
  <c r="AZ96" i="2" s="1"/>
  <c r="AZ87" i="2"/>
  <c r="AZ36" i="4"/>
  <c r="AY161" i="2"/>
  <c r="BN20" i="11"/>
  <c r="BN82" i="2" s="1"/>
  <c r="BN21" i="11"/>
  <c r="BO19" i="11" s="1"/>
  <c r="BI122" i="2" l="1"/>
  <c r="BI124" i="2"/>
  <c r="BI84" i="2" s="1"/>
  <c r="AZ100" i="2"/>
  <c r="AZ101" i="2" s="1"/>
  <c r="AZ152" i="2"/>
  <c r="CC148" i="2"/>
  <c r="CD146" i="2" s="1"/>
  <c r="BN27" i="4"/>
  <c r="BN28" i="4" s="1"/>
  <c r="AZ159" i="2"/>
  <c r="CC23" i="11"/>
  <c r="CC24" i="11"/>
  <c r="CD22" i="11" s="1"/>
  <c r="BA129" i="2"/>
  <c r="BA83" i="2" s="1"/>
  <c r="BO20" i="11"/>
  <c r="BO82" i="2" s="1"/>
  <c r="BO21" i="11"/>
  <c r="BP19" i="11" s="1"/>
  <c r="CB27" i="11"/>
  <c r="CC25" i="11" s="1"/>
  <c r="BI125" i="2" l="1"/>
  <c r="BJ121" i="2" s="1"/>
  <c r="BI40" i="4"/>
  <c r="BI41" i="4" s="1"/>
  <c r="BI42" i="4" s="1"/>
  <c r="AZ153" i="2"/>
  <c r="AZ156" i="2" s="1"/>
  <c r="BA151" i="2" s="1"/>
  <c r="BA33" i="4"/>
  <c r="BA35" i="4" s="1"/>
  <c r="BA85" i="2"/>
  <c r="R29" i="3"/>
  <c r="CD23" i="11"/>
  <c r="BN29" i="4"/>
  <c r="AZ102" i="2"/>
  <c r="BA99" i="2" s="1"/>
  <c r="AZ161" i="2"/>
  <c r="CC26" i="11"/>
  <c r="CC27" i="11"/>
  <c r="CD25" i="11" s="1"/>
  <c r="BP20" i="11"/>
  <c r="BP82" i="2" s="1"/>
  <c r="CD148" i="2"/>
  <c r="CE146" i="2" s="1"/>
  <c r="BA130" i="2"/>
  <c r="BB126" i="2" s="1"/>
  <c r="BO27" i="4"/>
  <c r="BO28" i="4" s="1"/>
  <c r="BO29" i="4" l="1"/>
  <c r="BJ122" i="2"/>
  <c r="BJ124" i="2"/>
  <c r="BJ84" i="2" s="1"/>
  <c r="CE148" i="2"/>
  <c r="BP21" i="11"/>
  <c r="BQ19" i="11" s="1"/>
  <c r="BA94" i="2"/>
  <c r="BA95" i="2" s="1"/>
  <c r="BA96" i="2" s="1"/>
  <c r="BA87" i="2"/>
  <c r="R20" i="3"/>
  <c r="CD26" i="11"/>
  <c r="CD27" i="11" s="1"/>
  <c r="CE25" i="11" s="1"/>
  <c r="BA45" i="4"/>
  <c r="BA46" i="4" s="1"/>
  <c r="BA36" i="4"/>
  <c r="BP27" i="4"/>
  <c r="BP28" i="4" s="1"/>
  <c r="W28" i="3"/>
  <c r="BB129" i="2"/>
  <c r="BB83" i="2" s="1"/>
  <c r="BB127" i="2"/>
  <c r="BA100" i="2"/>
  <c r="BA101" i="2"/>
  <c r="CD24" i="11"/>
  <c r="CE22" i="11" s="1"/>
  <c r="BA159" i="2"/>
  <c r="BJ40" i="4" l="1"/>
  <c r="BJ41" i="4" s="1"/>
  <c r="BJ42" i="4" s="1"/>
  <c r="U30" i="3"/>
  <c r="BJ125" i="2"/>
  <c r="BK121" i="2" s="1"/>
  <c r="BA102" i="2"/>
  <c r="BB130" i="2"/>
  <c r="BC126" i="2" s="1"/>
  <c r="BC127" i="2"/>
  <c r="BC129" i="2" s="1"/>
  <c r="BC83" i="2" s="1"/>
  <c r="R34" i="3"/>
  <c r="BB99" i="2"/>
  <c r="CE26" i="11"/>
  <c r="R23" i="3"/>
  <c r="BA153" i="2"/>
  <c r="R33" i="3"/>
  <c r="BQ20" i="11"/>
  <c r="BQ82" i="2" s="1"/>
  <c r="CE23" i="11"/>
  <c r="CE24" i="11" s="1"/>
  <c r="CF22" i="11" s="1"/>
  <c r="BB46" i="4"/>
  <c r="AB42" i="3"/>
  <c r="CF146" i="2"/>
  <c r="H42" i="1"/>
  <c r="H52" i="5" s="1"/>
  <c r="BB33" i="4"/>
  <c r="BB35" i="4" s="1"/>
  <c r="BB45" i="4" s="1"/>
  <c r="BB85" i="2"/>
  <c r="BA152" i="2"/>
  <c r="BA161" i="2" s="1"/>
  <c r="R45" i="3" s="1"/>
  <c r="R21" i="3"/>
  <c r="BP29" i="4"/>
  <c r="BK122" i="2" l="1"/>
  <c r="BK124" i="2"/>
  <c r="BK84" i="2" s="1"/>
  <c r="BK40" i="4" s="1"/>
  <c r="BK41" i="4" s="1"/>
  <c r="BK42" i="4" s="1"/>
  <c r="BK125" i="2"/>
  <c r="BL121" i="2" s="1"/>
  <c r="BB36" i="4"/>
  <c r="CF23" i="11"/>
  <c r="CF24" i="11" s="1"/>
  <c r="CG22" i="11" s="1"/>
  <c r="BC33" i="4"/>
  <c r="BC35" i="4" s="1"/>
  <c r="BC45" i="4" s="1"/>
  <c r="BC46" i="4" s="1"/>
  <c r="BC85" i="2"/>
  <c r="BB100" i="2"/>
  <c r="BB94" i="2"/>
  <c r="BB95" i="2" s="1"/>
  <c r="BB96" i="2" s="1"/>
  <c r="BB87" i="2"/>
  <c r="BQ21" i="11"/>
  <c r="BR19" i="11" s="1"/>
  <c r="BQ27" i="4"/>
  <c r="BQ28" i="4" s="1"/>
  <c r="BC130" i="2"/>
  <c r="BD126" i="2" s="1"/>
  <c r="BA156" i="2"/>
  <c r="CF148" i="2"/>
  <c r="CG146" i="2" s="1"/>
  <c r="CE27" i="11"/>
  <c r="CF25" i="11" s="1"/>
  <c r="BL122" i="2" l="1"/>
  <c r="CG23" i="11"/>
  <c r="BB101" i="2"/>
  <c r="BC94" i="2"/>
  <c r="BC95" i="2" s="1"/>
  <c r="BC96" i="2" s="1"/>
  <c r="BC87" i="2"/>
  <c r="BC152" i="2" s="1"/>
  <c r="BD127" i="2"/>
  <c r="S38" i="3" s="1"/>
  <c r="BB152" i="2"/>
  <c r="BC36" i="4"/>
  <c r="BQ29" i="4"/>
  <c r="BR20" i="11"/>
  <c r="BR82" i="2" s="1"/>
  <c r="R43" i="3"/>
  <c r="BB151" i="2"/>
  <c r="CF26" i="11"/>
  <c r="CG148" i="2"/>
  <c r="CH146" i="2" s="1"/>
  <c r="BD129" i="2" l="1"/>
  <c r="BD83" i="2" s="1"/>
  <c r="BL124" i="2"/>
  <c r="BL84" i="2" s="1"/>
  <c r="BB159" i="2"/>
  <c r="BB161" i="2" s="1"/>
  <c r="CF27" i="11"/>
  <c r="CG25" i="11" s="1"/>
  <c r="BD130" i="2"/>
  <c r="BE126" i="2" s="1"/>
  <c r="CG24" i="11"/>
  <c r="CH22" i="11" s="1"/>
  <c r="BB153" i="2"/>
  <c r="BB156" i="2" s="1"/>
  <c r="BC151" i="2" s="1"/>
  <c r="BR27" i="4"/>
  <c r="BR28" i="4" s="1"/>
  <c r="BR29" i="4" s="1"/>
  <c r="BD33" i="4"/>
  <c r="BD35" i="4" s="1"/>
  <c r="BD45" i="4" s="1"/>
  <c r="BD46" i="4" s="1"/>
  <c r="BD85" i="2"/>
  <c r="S29" i="3"/>
  <c r="BB102" i="2"/>
  <c r="BC99" i="2" s="1"/>
  <c r="CH148" i="2"/>
  <c r="BR21" i="11"/>
  <c r="BS19" i="11" s="1"/>
  <c r="BL40" i="4" l="1"/>
  <c r="BL41" i="4" s="1"/>
  <c r="BL42" i="4" s="1"/>
  <c r="BL125" i="2"/>
  <c r="BM121" i="2" s="1"/>
  <c r="BD36" i="4"/>
  <c r="AC42" i="3"/>
  <c r="I42" i="1"/>
  <c r="BE127" i="2"/>
  <c r="BC159" i="2"/>
  <c r="BD94" i="2"/>
  <c r="BD95" i="2" s="1"/>
  <c r="BD96" i="2" s="1"/>
  <c r="BD87" i="2"/>
  <c r="S20" i="3"/>
  <c r="BS20" i="11"/>
  <c r="BS82" i="2" s="1"/>
  <c r="CH23" i="11"/>
  <c r="CH24" i="11"/>
  <c r="BC102" i="2"/>
  <c r="BD99" i="2" s="1"/>
  <c r="BC100" i="2"/>
  <c r="BC101" i="2"/>
  <c r="CG26" i="11"/>
  <c r="CG27" i="11" s="1"/>
  <c r="CH25" i="11" s="1"/>
  <c r="BM122" i="2" l="1"/>
  <c r="BM124" i="2" s="1"/>
  <c r="BM84" i="2" s="1"/>
  <c r="CH26" i="11"/>
  <c r="BD100" i="2"/>
  <c r="BD101" i="2"/>
  <c r="BD153" i="2" s="1"/>
  <c r="BD152" i="2"/>
  <c r="S21" i="3"/>
  <c r="S23" i="3"/>
  <c r="F71" i="5"/>
  <c r="I52" i="5"/>
  <c r="BE129" i="2"/>
  <c r="BE83" i="2" s="1"/>
  <c r="BS27" i="4"/>
  <c r="BS28" i="4" s="1"/>
  <c r="X28" i="3"/>
  <c r="G28" i="1"/>
  <c r="BS21" i="11"/>
  <c r="BT19" i="11" s="1"/>
  <c r="BC153" i="2"/>
  <c r="BC156" i="2" s="1"/>
  <c r="BD151" i="2" s="1"/>
  <c r="BD102" i="2" l="1"/>
  <c r="S33" i="3"/>
  <c r="BM125" i="2"/>
  <c r="BN121" i="2" s="1"/>
  <c r="BM40" i="4"/>
  <c r="BM41" i="4" s="1"/>
  <c r="BM42" i="4" s="1"/>
  <c r="V30" i="3"/>
  <c r="S34" i="3"/>
  <c r="BE99" i="2"/>
  <c r="BD156" i="2"/>
  <c r="BD159" i="2"/>
  <c r="BD161" i="2" s="1"/>
  <c r="S45" i="3" s="1"/>
  <c r="BC161" i="2"/>
  <c r="BS29" i="4"/>
  <c r="BE33" i="4"/>
  <c r="BE35" i="4" s="1"/>
  <c r="BE85" i="2"/>
  <c r="BE130" i="2"/>
  <c r="BF126" i="2" s="1"/>
  <c r="BT20" i="11"/>
  <c r="BT82" i="2" s="1"/>
  <c r="CH27" i="11"/>
  <c r="C53" i="11" s="1"/>
  <c r="BN122" i="2" l="1"/>
  <c r="BN124" i="2"/>
  <c r="BN84" i="2" s="1"/>
  <c r="BN40" i="4" s="1"/>
  <c r="BN41" i="4" s="1"/>
  <c r="BN42" i="4" s="1"/>
  <c r="D53" i="11"/>
  <c r="C54" i="11"/>
  <c r="BE45" i="4"/>
  <c r="BE46" i="4" s="1"/>
  <c r="BE36" i="4"/>
  <c r="BT27" i="4"/>
  <c r="BT28" i="4" s="1"/>
  <c r="BT29" i="4" s="1"/>
  <c r="BF127" i="2"/>
  <c r="BF129" i="2" s="1"/>
  <c r="BF83" i="2" s="1"/>
  <c r="BE100" i="2"/>
  <c r="BE101" i="2" s="1"/>
  <c r="BE94" i="2"/>
  <c r="BE95" i="2" s="1"/>
  <c r="BE96" i="2" s="1"/>
  <c r="BE87" i="2"/>
  <c r="S43" i="3"/>
  <c r="BE151" i="2"/>
  <c r="BT21" i="11"/>
  <c r="BU19" i="11" s="1"/>
  <c r="BN125" i="2" l="1"/>
  <c r="BO121" i="2" s="1"/>
  <c r="BE102" i="2"/>
  <c r="BF99" i="2" s="1"/>
  <c r="BF33" i="4"/>
  <c r="BF35" i="4" s="1"/>
  <c r="BF45" i="4" s="1"/>
  <c r="BF85" i="2"/>
  <c r="BF100" i="2"/>
  <c r="BF36" i="4"/>
  <c r="BF46" i="4"/>
  <c r="BF130" i="2"/>
  <c r="BG126" i="2" s="1"/>
  <c r="BE153" i="2"/>
  <c r="D54" i="11"/>
  <c r="C55" i="11" s="1"/>
  <c r="BE159" i="2"/>
  <c r="BE152" i="2"/>
  <c r="BE156" i="2" s="1"/>
  <c r="BF151" i="2" s="1"/>
  <c r="BU20" i="11"/>
  <c r="BU82" i="2" s="1"/>
  <c r="BE161" i="2" l="1"/>
  <c r="BF101" i="2"/>
  <c r="BF153" i="2" s="1"/>
  <c r="BO122" i="2"/>
  <c r="BO124" i="2" s="1"/>
  <c r="BO84" i="2" s="1"/>
  <c r="BO40" i="4" s="1"/>
  <c r="BO41" i="4" s="1"/>
  <c r="BO42" i="4" s="1"/>
  <c r="D55" i="11"/>
  <c r="BG127" i="2"/>
  <c r="T38" i="3" s="1"/>
  <c r="BF159" i="2"/>
  <c r="BU27" i="4"/>
  <c r="BU28" i="4" s="1"/>
  <c r="BF94" i="2"/>
  <c r="BF95" i="2" s="1"/>
  <c r="BF96" i="2" s="1"/>
  <c r="BF87" i="2"/>
  <c r="BU21" i="11"/>
  <c r="BV19" i="11" s="1"/>
  <c r="BO125" i="2" l="1"/>
  <c r="BP121" i="2" s="1"/>
  <c r="BF102" i="2"/>
  <c r="BG99" i="2" s="1"/>
  <c r="BG100" i="2" s="1"/>
  <c r="BG101" i="2" s="1"/>
  <c r="BG153" i="2" s="1"/>
  <c r="F33" i="1"/>
  <c r="T33" i="3"/>
  <c r="BG129" i="2"/>
  <c r="BG83" i="2" s="1"/>
  <c r="C56" i="11"/>
  <c r="BG130" i="2"/>
  <c r="BV20" i="11"/>
  <c r="BV82" i="2" s="1"/>
  <c r="BV21" i="11"/>
  <c r="BW19" i="11" s="1"/>
  <c r="BU29" i="4"/>
  <c r="BF152" i="2"/>
  <c r="BF156" i="2" s="1"/>
  <c r="BG151" i="2" s="1"/>
  <c r="BG102" i="2" l="1"/>
  <c r="BP122" i="2"/>
  <c r="BP124" i="2" s="1"/>
  <c r="BH126" i="2"/>
  <c r="F38" i="1"/>
  <c r="BG33" i="4"/>
  <c r="BG35" i="4" s="1"/>
  <c r="BG85" i="2"/>
  <c r="F29" i="1"/>
  <c r="T29" i="3"/>
  <c r="D56" i="11"/>
  <c r="C57" i="11" s="1"/>
  <c r="BW20" i="11"/>
  <c r="BW82" i="2" s="1"/>
  <c r="T34" i="3"/>
  <c r="BH99" i="2"/>
  <c r="F34" i="1"/>
  <c r="BG159" i="2"/>
  <c r="BF161" i="2"/>
  <c r="BV27" i="4"/>
  <c r="BV28" i="4" s="1"/>
  <c r="BV29" i="4" s="1"/>
  <c r="Y28" i="3"/>
  <c r="BP84" i="2" l="1"/>
  <c r="BP125" i="2"/>
  <c r="BQ121" i="2" s="1"/>
  <c r="D57" i="11"/>
  <c r="C58" i="11" s="1"/>
  <c r="BH127" i="2"/>
  <c r="BH129" i="2" s="1"/>
  <c r="BH83" i="2" s="1"/>
  <c r="BG94" i="2"/>
  <c r="BG95" i="2" s="1"/>
  <c r="BG96" i="2" s="1"/>
  <c r="BG87" i="2"/>
  <c r="F20" i="1"/>
  <c r="F46" i="5" s="1"/>
  <c r="T20" i="3"/>
  <c r="BH100" i="2"/>
  <c r="BH101" i="2" s="1"/>
  <c r="BW27" i="4"/>
  <c r="BW28" i="4" s="1"/>
  <c r="BG45" i="4"/>
  <c r="BG46" i="4" s="1"/>
  <c r="BG36" i="4"/>
  <c r="BW21" i="11"/>
  <c r="BX19" i="11" s="1"/>
  <c r="BQ122" i="2" l="1"/>
  <c r="BQ124" i="2"/>
  <c r="BQ84" i="2" s="1"/>
  <c r="BQ40" i="4" s="1"/>
  <c r="BQ41" i="4" s="1"/>
  <c r="W30" i="3"/>
  <c r="BP40" i="4"/>
  <c r="BP41" i="4" s="1"/>
  <c r="BP42" i="4" s="1"/>
  <c r="BH33" i="4"/>
  <c r="BH35" i="4" s="1"/>
  <c r="BH45" i="4" s="1"/>
  <c r="BH46" i="4" s="1"/>
  <c r="BH85" i="2"/>
  <c r="BH153" i="2"/>
  <c r="D58" i="11"/>
  <c r="C59" i="11" s="1"/>
  <c r="BG152" i="2"/>
  <c r="T21" i="3"/>
  <c r="F21" i="1"/>
  <c r="BH102" i="2"/>
  <c r="BI99" i="2" s="1"/>
  <c r="BX20" i="11"/>
  <c r="BX82" i="2" s="1"/>
  <c r="BX21" i="11"/>
  <c r="BY19" i="11" s="1"/>
  <c r="BH130" i="2"/>
  <c r="BI126" i="2" s="1"/>
  <c r="BI107" i="2"/>
  <c r="F23" i="1"/>
  <c r="T23" i="3"/>
  <c r="BJ160" i="2"/>
  <c r="BW29" i="4"/>
  <c r="BQ42" i="4" l="1"/>
  <c r="BH36" i="4"/>
  <c r="BQ125" i="2"/>
  <c r="BR121" i="2" s="1"/>
  <c r="D59" i="11"/>
  <c r="C60" i="11"/>
  <c r="BY20" i="11"/>
  <c r="BY82" i="2" s="1"/>
  <c r="Z28" i="3" s="1"/>
  <c r="BI127" i="2"/>
  <c r="BX27" i="4"/>
  <c r="BX28" i="4" s="1"/>
  <c r="BH94" i="2"/>
  <c r="BH95" i="2" s="1"/>
  <c r="BH96" i="2" s="1"/>
  <c r="BH87" i="2"/>
  <c r="BG156" i="2"/>
  <c r="BG161" i="2"/>
  <c r="U44" i="3"/>
  <c r="G44" i="1"/>
  <c r="BI100" i="2"/>
  <c r="BI101" i="2" s="1"/>
  <c r="U35" i="3"/>
  <c r="BI154" i="2"/>
  <c r="G35" i="1"/>
  <c r="BI108" i="2"/>
  <c r="BJ106" i="2" s="1"/>
  <c r="BJ108" i="2" s="1"/>
  <c r="BR122" i="2" l="1"/>
  <c r="BR124" i="2"/>
  <c r="BR84" i="2" s="1"/>
  <c r="BI153" i="2"/>
  <c r="BI129" i="2"/>
  <c r="BI83" i="2" s="1"/>
  <c r="BY21" i="11"/>
  <c r="BZ19" i="11" s="1"/>
  <c r="U36" i="3"/>
  <c r="BK106" i="2"/>
  <c r="BK108" i="2" s="1"/>
  <c r="BL106" i="2" s="1"/>
  <c r="BL108" i="2" s="1"/>
  <c r="BM106" i="2" s="1"/>
  <c r="BM108" i="2" s="1"/>
  <c r="BY27" i="4"/>
  <c r="BY28" i="4" s="1"/>
  <c r="BX29" i="4"/>
  <c r="D60" i="11"/>
  <c r="C61" i="11" s="1"/>
  <c r="BI102" i="2"/>
  <c r="BJ99" i="2" s="1"/>
  <c r="T45" i="3"/>
  <c r="F45" i="1"/>
  <c r="T43" i="3"/>
  <c r="BH151" i="2"/>
  <c r="F43" i="1"/>
  <c r="F50" i="5" s="1"/>
  <c r="BH152" i="2"/>
  <c r="BR40" i="4" l="1"/>
  <c r="BR41" i="4" s="1"/>
  <c r="BR42" i="4" s="1"/>
  <c r="BY29" i="4"/>
  <c r="BR125" i="2"/>
  <c r="BS121" i="2" s="1"/>
  <c r="V36" i="3"/>
  <c r="BN106" i="2"/>
  <c r="BN108" i="2" s="1"/>
  <c r="BO106" i="2" s="1"/>
  <c r="BO108" i="2" s="1"/>
  <c r="BP106" i="2" s="1"/>
  <c r="BP108" i="2" s="1"/>
  <c r="BI33" i="4"/>
  <c r="BI35" i="4" s="1"/>
  <c r="BI85" i="2"/>
  <c r="D61" i="11"/>
  <c r="C62" i="11" s="1"/>
  <c r="BZ20" i="11"/>
  <c r="BZ82" i="2" s="1"/>
  <c r="BH156" i="2"/>
  <c r="BI151" i="2" s="1"/>
  <c r="BH159" i="2"/>
  <c r="BH161" i="2" s="1"/>
  <c r="BJ100" i="2"/>
  <c r="BJ101" i="2" s="1"/>
  <c r="BI130" i="2"/>
  <c r="BJ126" i="2" s="1"/>
  <c r="BJ102" i="2" l="1"/>
  <c r="BS122" i="2"/>
  <c r="BS124" i="2" s="1"/>
  <c r="BS84" i="2" s="1"/>
  <c r="BS125" i="2"/>
  <c r="BT121" i="2" s="1"/>
  <c r="D62" i="11"/>
  <c r="C63" i="11" s="1"/>
  <c r="U34" i="3"/>
  <c r="BK99" i="2"/>
  <c r="BI45" i="4"/>
  <c r="BI46" i="4" s="1"/>
  <c r="BI36" i="4"/>
  <c r="BI94" i="2"/>
  <c r="BI95" i="2" s="1"/>
  <c r="BI96" i="2" s="1"/>
  <c r="BI87" i="2"/>
  <c r="BJ127" i="2"/>
  <c r="U38" i="3" s="1"/>
  <c r="W36" i="3"/>
  <c r="BQ106" i="2"/>
  <c r="BQ108" i="2" s="1"/>
  <c r="BR106" i="2" s="1"/>
  <c r="BR108" i="2" s="1"/>
  <c r="BS106" i="2" s="1"/>
  <c r="BS108" i="2" s="1"/>
  <c r="BI159" i="2"/>
  <c r="BZ27" i="4"/>
  <c r="BZ28" i="4" s="1"/>
  <c r="BZ21" i="11"/>
  <c r="CA19" i="11" s="1"/>
  <c r="BJ153" i="2"/>
  <c r="U33" i="3"/>
  <c r="BT122" i="2" l="1"/>
  <c r="BT124" i="2"/>
  <c r="BT84" i="2" s="1"/>
  <c r="BT40" i="4" s="1"/>
  <c r="BT41" i="4" s="1"/>
  <c r="BT42" i="4" s="1"/>
  <c r="BS40" i="4"/>
  <c r="BS41" i="4" s="1"/>
  <c r="BS42" i="4" s="1"/>
  <c r="G30" i="1"/>
  <c r="X30" i="3"/>
  <c r="D63" i="11"/>
  <c r="C64" i="11" s="1"/>
  <c r="BJ130" i="2"/>
  <c r="BK126" i="2" s="1"/>
  <c r="BI152" i="2"/>
  <c r="BI156" i="2" s="1"/>
  <c r="BJ151" i="2" s="1"/>
  <c r="BZ29" i="4"/>
  <c r="BK100" i="2"/>
  <c r="BK101" i="2"/>
  <c r="BJ129" i="2"/>
  <c r="BJ83" i="2" s="1"/>
  <c r="X36" i="3"/>
  <c r="BT106" i="2"/>
  <c r="BT108" i="2" s="1"/>
  <c r="BU106" i="2" s="1"/>
  <c r="G36" i="1"/>
  <c r="CA20" i="11"/>
  <c r="CA82" i="2" s="1"/>
  <c r="BT125" i="2" l="1"/>
  <c r="BU121" i="2" s="1"/>
  <c r="D64" i="11"/>
  <c r="C65" i="11" s="1"/>
  <c r="BK153" i="2"/>
  <c r="BK102" i="2"/>
  <c r="BL99" i="2" s="1"/>
  <c r="BJ159" i="2"/>
  <c r="BK127" i="2"/>
  <c r="BK129" i="2" s="1"/>
  <c r="CA21" i="11"/>
  <c r="CB19" i="11" s="1"/>
  <c r="CA27" i="4"/>
  <c r="CA28" i="4" s="1"/>
  <c r="CA29" i="4" s="1"/>
  <c r="BI161" i="2"/>
  <c r="BJ33" i="4"/>
  <c r="BJ35" i="4" s="1"/>
  <c r="BJ85" i="2"/>
  <c r="U29" i="3"/>
  <c r="BU122" i="2" l="1"/>
  <c r="D65" i="11"/>
  <c r="C66" i="11" s="1"/>
  <c r="BK83" i="2"/>
  <c r="BK130" i="2"/>
  <c r="BL126" i="2" s="1"/>
  <c r="CB20" i="11"/>
  <c r="CB82" i="2" s="1"/>
  <c r="BJ45" i="4"/>
  <c r="BJ46" i="4" s="1"/>
  <c r="BJ36" i="4"/>
  <c r="BJ94" i="2"/>
  <c r="BJ95" i="2" s="1"/>
  <c r="BJ96" i="2" s="1"/>
  <c r="BJ87" i="2"/>
  <c r="U20" i="3"/>
  <c r="BL100" i="2"/>
  <c r="BL101" i="2" s="1"/>
  <c r="BU124" i="2" l="1"/>
  <c r="BU84" i="2" s="1"/>
  <c r="BL153" i="2"/>
  <c r="D66" i="11"/>
  <c r="C67" i="11" s="1"/>
  <c r="U23" i="3"/>
  <c r="BL127" i="2"/>
  <c r="BL129" i="2"/>
  <c r="BL83" i="2" s="1"/>
  <c r="BK33" i="4"/>
  <c r="BK35" i="4" s="1"/>
  <c r="BK45" i="4" s="1"/>
  <c r="BK46" i="4" s="1"/>
  <c r="BK85" i="2"/>
  <c r="BL102" i="2"/>
  <c r="BM99" i="2" s="1"/>
  <c r="BK36" i="4"/>
  <c r="CB27" i="4"/>
  <c r="CB28" i="4" s="1"/>
  <c r="AA28" i="3"/>
  <c r="CB21" i="11"/>
  <c r="CC19" i="11" s="1"/>
  <c r="BJ152" i="2"/>
  <c r="U21" i="3"/>
  <c r="BL130" i="2" l="1"/>
  <c r="BM126" i="2" s="1"/>
  <c r="BU40" i="4"/>
  <c r="BU41" i="4" s="1"/>
  <c r="BU42" i="4" s="1"/>
  <c r="BU125" i="2"/>
  <c r="BV121" i="2" s="1"/>
  <c r="BM127" i="2"/>
  <c r="V38" i="3" s="1"/>
  <c r="D67" i="11"/>
  <c r="C68" i="11"/>
  <c r="BL33" i="4"/>
  <c r="BL35" i="4" s="1"/>
  <c r="BL45" i="4" s="1"/>
  <c r="BL46" i="4" s="1"/>
  <c r="BL85" i="2"/>
  <c r="CB29" i="4"/>
  <c r="BL36" i="4"/>
  <c r="BM100" i="2"/>
  <c r="BM101" i="2" s="1"/>
  <c r="BJ156" i="2"/>
  <c r="BJ161" i="2"/>
  <c r="U45" i="3" s="1"/>
  <c r="BK94" i="2"/>
  <c r="BK95" i="2" s="1"/>
  <c r="BK96" i="2" s="1"/>
  <c r="BK87" i="2"/>
  <c r="CC20" i="11"/>
  <c r="CC82" i="2" s="1"/>
  <c r="CC21" i="11"/>
  <c r="CD19" i="11" s="1"/>
  <c r="BV122" i="2" l="1"/>
  <c r="BV124" i="2" s="1"/>
  <c r="BV84" i="2" s="1"/>
  <c r="BM153" i="2"/>
  <c r="V33" i="3"/>
  <c r="BL94" i="2"/>
  <c r="BL95" i="2" s="1"/>
  <c r="BL96" i="2" s="1"/>
  <c r="BL87" i="2"/>
  <c r="BL152" i="2" s="1"/>
  <c r="CC29" i="4"/>
  <c r="CC27" i="4"/>
  <c r="CC28" i="4" s="1"/>
  <c r="BM102" i="2"/>
  <c r="D68" i="11"/>
  <c r="C69" i="11" s="1"/>
  <c r="BM129" i="2"/>
  <c r="BM83" i="2" s="1"/>
  <c r="U43" i="3"/>
  <c r="BK151" i="2"/>
  <c r="CD20" i="11"/>
  <c r="CD82" i="2" s="1"/>
  <c r="BK152" i="2"/>
  <c r="BV125" i="2" l="1"/>
  <c r="BW121" i="2" s="1"/>
  <c r="CD21" i="11"/>
  <c r="CE19" i="11" s="1"/>
  <c r="BV40" i="4"/>
  <c r="BV41" i="4" s="1"/>
  <c r="BV42" i="4" s="1"/>
  <c r="Y30" i="3"/>
  <c r="D69" i="11"/>
  <c r="C70" i="11" s="1"/>
  <c r="BN99" i="2"/>
  <c r="V34" i="3"/>
  <c r="BM33" i="4"/>
  <c r="BM35" i="4" s="1"/>
  <c r="BM85" i="2"/>
  <c r="V29" i="3"/>
  <c r="CD27" i="4"/>
  <c r="CD28" i="4" s="1"/>
  <c r="CD29" i="4" s="1"/>
  <c r="BK156" i="2"/>
  <c r="BL151" i="2" s="1"/>
  <c r="BK159" i="2"/>
  <c r="BK161" i="2" s="1"/>
  <c r="CE20" i="11"/>
  <c r="CE82" i="2" s="1"/>
  <c r="AB28" i="3" s="1"/>
  <c r="BM130" i="2"/>
  <c r="BN126" i="2" s="1"/>
  <c r="BW122" i="2" l="1"/>
  <c r="BW124" i="2" s="1"/>
  <c r="BW84" i="2" s="1"/>
  <c r="BW40" i="4" s="1"/>
  <c r="BW41" i="4" s="1"/>
  <c r="BW42" i="4" s="1"/>
  <c r="D70" i="11"/>
  <c r="C71" i="11" s="1"/>
  <c r="BM45" i="4"/>
  <c r="BM46" i="4" s="1"/>
  <c r="BM36" i="4"/>
  <c r="BN100" i="2"/>
  <c r="BN101" i="2" s="1"/>
  <c r="CE27" i="4"/>
  <c r="CE28" i="4" s="1"/>
  <c r="H28" i="1"/>
  <c r="BL156" i="2"/>
  <c r="BM151" i="2" s="1"/>
  <c r="BL159" i="2"/>
  <c r="BL161" i="2" s="1"/>
  <c r="BN127" i="2"/>
  <c r="BN129" i="2"/>
  <c r="BN83" i="2" s="1"/>
  <c r="CE21" i="11"/>
  <c r="CF19" i="11" s="1"/>
  <c r="BM94" i="2"/>
  <c r="BM95" i="2" s="1"/>
  <c r="BM96" i="2" s="1"/>
  <c r="BM87" i="2"/>
  <c r="V20" i="3"/>
  <c r="BN130" i="2" l="1"/>
  <c r="BO126" i="2" s="1"/>
  <c r="BW125" i="2"/>
  <c r="BX121" i="2" s="1"/>
  <c r="BN153" i="2"/>
  <c r="BO127" i="2"/>
  <c r="BO129" i="2" s="1"/>
  <c r="BO83" i="2" s="1"/>
  <c r="D71" i="11"/>
  <c r="C72" i="11" s="1"/>
  <c r="BM152" i="2"/>
  <c r="BM156" i="2" s="1"/>
  <c r="V21" i="3"/>
  <c r="BN102" i="2"/>
  <c r="BO99" i="2" s="1"/>
  <c r="BN33" i="4"/>
  <c r="BN35" i="4" s="1"/>
  <c r="BN45" i="4" s="1"/>
  <c r="BN46" i="4" s="1"/>
  <c r="BN85" i="2"/>
  <c r="V23" i="3"/>
  <c r="CF20" i="11"/>
  <c r="CF82" i="2" s="1"/>
  <c r="BM159" i="2"/>
  <c r="BM161" i="2" s="1"/>
  <c r="V45" i="3" s="1"/>
  <c r="CE29" i="4"/>
  <c r="BX122" i="2" l="1"/>
  <c r="BX124" i="2"/>
  <c r="BX84" i="2" s="1"/>
  <c r="BX40" i="4" s="1"/>
  <c r="BX41" i="4" s="1"/>
  <c r="BX42" i="4" s="1"/>
  <c r="BO33" i="4"/>
  <c r="BO35" i="4" s="1"/>
  <c r="BO45" i="4" s="1"/>
  <c r="BO46" i="4" s="1"/>
  <c r="BO85" i="2"/>
  <c r="D72" i="11"/>
  <c r="C73" i="11" s="1"/>
  <c r="V43" i="3"/>
  <c r="BN151" i="2"/>
  <c r="BO100" i="2"/>
  <c r="BO130" i="2"/>
  <c r="BP126" i="2" s="1"/>
  <c r="BN36" i="4"/>
  <c r="BO36" i="4" s="1"/>
  <c r="CF21" i="11"/>
  <c r="CG19" i="11" s="1"/>
  <c r="CF27" i="4"/>
  <c r="CF28" i="4" s="1"/>
  <c r="BN94" i="2"/>
  <c r="BN95" i="2" s="1"/>
  <c r="BN96" i="2" s="1"/>
  <c r="BN87" i="2"/>
  <c r="BX125" i="2" l="1"/>
  <c r="BY121" i="2" s="1"/>
  <c r="D73" i="11"/>
  <c r="C74" i="11" s="1"/>
  <c r="BO101" i="2"/>
  <c r="BP127" i="2"/>
  <c r="W38" i="3" s="1"/>
  <c r="CG20" i="11"/>
  <c r="CG82" i="2" s="1"/>
  <c r="BO94" i="2"/>
  <c r="BO95" i="2" s="1"/>
  <c r="BO96" i="2" s="1"/>
  <c r="BO87" i="2"/>
  <c r="BO152" i="2" s="1"/>
  <c r="BN156" i="2"/>
  <c r="BO151" i="2" s="1"/>
  <c r="BN159" i="2"/>
  <c r="BN152" i="2"/>
  <c r="CF29" i="4"/>
  <c r="BN161" i="2" l="1"/>
  <c r="BY122" i="2"/>
  <c r="BY124" i="2"/>
  <c r="BY84" i="2" s="1"/>
  <c r="CG27" i="4"/>
  <c r="CG28" i="4" s="1"/>
  <c r="CG29" i="4" s="1"/>
  <c r="BO159" i="2"/>
  <c r="BO161" i="2" s="1"/>
  <c r="D74" i="11"/>
  <c r="C75" i="11" s="1"/>
  <c r="BP129" i="2"/>
  <c r="BP83" i="2" s="1"/>
  <c r="CG21" i="11"/>
  <c r="CH19" i="11" s="1"/>
  <c r="BO153" i="2"/>
  <c r="BO156" i="2" s="1"/>
  <c r="BP151" i="2" s="1"/>
  <c r="BO102" i="2"/>
  <c r="BP99" i="2" s="1"/>
  <c r="BY125" i="2" l="1"/>
  <c r="BZ121" i="2" s="1"/>
  <c r="BZ122" i="2" s="1"/>
  <c r="BY40" i="4"/>
  <c r="BY41" i="4" s="1"/>
  <c r="BY42" i="4" s="1"/>
  <c r="Z30" i="3"/>
  <c r="BP159" i="2"/>
  <c r="D75" i="11"/>
  <c r="C76" i="11" s="1"/>
  <c r="CH20" i="11"/>
  <c r="CH82" i="2" s="1"/>
  <c r="BP100" i="2"/>
  <c r="BP101" i="2" s="1"/>
  <c r="BZ124" i="2"/>
  <c r="BZ84" i="2" s="1"/>
  <c r="BP130" i="2"/>
  <c r="BQ126" i="2" s="1"/>
  <c r="BP33" i="4"/>
  <c r="BP35" i="4" s="1"/>
  <c r="BP85" i="2"/>
  <c r="W29" i="3"/>
  <c r="BP102" i="2" l="1"/>
  <c r="W34" i="3"/>
  <c r="BQ99" i="2"/>
  <c r="D76" i="11"/>
  <c r="C77" i="11" s="1"/>
  <c r="BP153" i="2"/>
  <c r="W33" i="3"/>
  <c r="CH27" i="4"/>
  <c r="CH28" i="4" s="1"/>
  <c r="AC28" i="3"/>
  <c r="I28" i="1"/>
  <c r="BP94" i="2"/>
  <c r="BP95" i="2" s="1"/>
  <c r="BP96" i="2" s="1"/>
  <c r="BP87" i="2"/>
  <c r="W20" i="3"/>
  <c r="BZ40" i="4"/>
  <c r="BZ41" i="4" s="1"/>
  <c r="BZ42" i="4" s="1"/>
  <c r="BP45" i="4"/>
  <c r="BP46" i="4" s="1"/>
  <c r="BP36" i="4"/>
  <c r="CH21" i="11"/>
  <c r="BQ127" i="2"/>
  <c r="BZ125" i="2"/>
  <c r="CA121" i="2" s="1"/>
  <c r="BQ129" i="2" l="1"/>
  <c r="BQ83" i="2" s="1"/>
  <c r="BQ33" i="4" s="1"/>
  <c r="BQ35" i="4" s="1"/>
  <c r="BQ45" i="4" s="1"/>
  <c r="BQ46" i="4" s="1"/>
  <c r="D77" i="11"/>
  <c r="C78" i="11"/>
  <c r="CH29" i="4"/>
  <c r="BP152" i="2"/>
  <c r="W21" i="3"/>
  <c r="BQ85" i="2"/>
  <c r="W23" i="3"/>
  <c r="CA122" i="2"/>
  <c r="BQ100" i="2"/>
  <c r="BQ101" i="2" s="1"/>
  <c r="BQ130" i="2" l="1"/>
  <c r="BR126" i="2" s="1"/>
  <c r="BR127" i="2" s="1"/>
  <c r="BR129" i="2" s="1"/>
  <c r="BR83" i="2" s="1"/>
  <c r="BQ153" i="2"/>
  <c r="BR33" i="4"/>
  <c r="BR35" i="4" s="1"/>
  <c r="BR45" i="4" s="1"/>
  <c r="BR46" i="4" s="1"/>
  <c r="BR85" i="2"/>
  <c r="BR130" i="2"/>
  <c r="BS126" i="2" s="1"/>
  <c r="BQ102" i="2"/>
  <c r="BR99" i="2" s="1"/>
  <c r="CA124" i="2"/>
  <c r="CA84" i="2" s="1"/>
  <c r="BQ36" i="4"/>
  <c r="D78" i="11"/>
  <c r="C79" i="11" s="1"/>
  <c r="BQ94" i="2"/>
  <c r="BQ95" i="2" s="1"/>
  <c r="BQ96" i="2" s="1"/>
  <c r="BQ87" i="2"/>
  <c r="BP156" i="2"/>
  <c r="BP161" i="2"/>
  <c r="W45" i="3" s="1"/>
  <c r="CA125" i="2" l="1"/>
  <c r="CB121" i="2" s="1"/>
  <c r="BR36" i="4"/>
  <c r="D79" i="11"/>
  <c r="C80" i="11" s="1"/>
  <c r="CA40" i="4"/>
  <c r="CA41" i="4" s="1"/>
  <c r="CA42" i="4" s="1"/>
  <c r="CB122" i="2"/>
  <c r="CB124" i="2" s="1"/>
  <c r="CB84" i="2" s="1"/>
  <c r="AA30" i="3" s="1"/>
  <c r="BR94" i="2"/>
  <c r="BR95" i="2" s="1"/>
  <c r="BR96" i="2" s="1"/>
  <c r="BR87" i="2"/>
  <c r="BR152" i="2" s="1"/>
  <c r="BQ152" i="2"/>
  <c r="W43" i="3"/>
  <c r="BQ151" i="2"/>
  <c r="BR100" i="2"/>
  <c r="BR101" i="2"/>
  <c r="BS127" i="2"/>
  <c r="X38" i="3" s="1"/>
  <c r="BR102" i="2" l="1"/>
  <c r="BS99" i="2" s="1"/>
  <c r="CB125" i="2"/>
  <c r="CC121" i="2" s="1"/>
  <c r="BS100" i="2"/>
  <c r="BS101" i="2"/>
  <c r="BS153" i="2" s="1"/>
  <c r="CC122" i="2"/>
  <c r="CC124" i="2" s="1"/>
  <c r="D80" i="11"/>
  <c r="C81" i="11" s="1"/>
  <c r="BR153" i="2"/>
  <c r="X33" i="3"/>
  <c r="CB40" i="4"/>
  <c r="CB41" i="4" s="1"/>
  <c r="CB42" i="4" s="1"/>
  <c r="BQ156" i="2"/>
  <c r="BR151" i="2" s="1"/>
  <c r="BQ159" i="2"/>
  <c r="BQ161" i="2" s="1"/>
  <c r="BS129" i="2"/>
  <c r="BS83" i="2" s="1"/>
  <c r="BS130" i="2" l="1"/>
  <c r="BS102" i="2"/>
  <c r="G33" i="1"/>
  <c r="X34" i="3"/>
  <c r="BT99" i="2"/>
  <c r="G34" i="1"/>
  <c r="D81" i="11"/>
  <c r="C82" i="11" s="1"/>
  <c r="CC84" i="2"/>
  <c r="CC125" i="2"/>
  <c r="CD121" i="2" s="1"/>
  <c r="BT126" i="2"/>
  <c r="G38" i="1"/>
  <c r="BS33" i="4"/>
  <c r="BS35" i="4" s="1"/>
  <c r="BS85" i="2"/>
  <c r="G29" i="1"/>
  <c r="X29" i="3"/>
  <c r="BR156" i="2"/>
  <c r="BS151" i="2" s="1"/>
  <c r="BR159" i="2"/>
  <c r="BR161" i="2" s="1"/>
  <c r="D82" i="11" l="1"/>
  <c r="C83" i="11" s="1"/>
  <c r="BS159" i="2"/>
  <c r="CC40" i="4"/>
  <c r="CC41" i="4" s="1"/>
  <c r="CC42" i="4" s="1"/>
  <c r="BS94" i="2"/>
  <c r="BS95" i="2" s="1"/>
  <c r="BS96" i="2" s="1"/>
  <c r="BS87" i="2"/>
  <c r="X20" i="3"/>
  <c r="G20" i="1"/>
  <c r="G46" i="5" s="1"/>
  <c r="CD122" i="2"/>
  <c r="BS45" i="4"/>
  <c r="BS46" i="4" s="1"/>
  <c r="BS36" i="4"/>
  <c r="BT100" i="2"/>
  <c r="BT101" i="2"/>
  <c r="BT127" i="2"/>
  <c r="BT129" i="2"/>
  <c r="BT83" i="2" s="1"/>
  <c r="BT102" i="2" l="1"/>
  <c r="BU99" i="2" s="1"/>
  <c r="BU100" i="2"/>
  <c r="BU101" i="2" s="1"/>
  <c r="D83" i="11"/>
  <c r="C84" i="11"/>
  <c r="BT33" i="4"/>
  <c r="BT35" i="4" s="1"/>
  <c r="BT45" i="4" s="1"/>
  <c r="BT46" i="4" s="1"/>
  <c r="BT85" i="2"/>
  <c r="CD124" i="2"/>
  <c r="CD84" i="2" s="1"/>
  <c r="BU107" i="2"/>
  <c r="BV160" i="2"/>
  <c r="X23" i="3"/>
  <c r="G23" i="1"/>
  <c r="BT153" i="2"/>
  <c r="BT130" i="2"/>
  <c r="BU126" i="2" s="1"/>
  <c r="BT36" i="4"/>
  <c r="BS152" i="2"/>
  <c r="BS156" i="2" s="1"/>
  <c r="X21" i="3"/>
  <c r="G21" i="1"/>
  <c r="BU153" i="2" l="1"/>
  <c r="Y35" i="3"/>
  <c r="BU154" i="2"/>
  <c r="H35" i="1"/>
  <c r="BU108" i="2"/>
  <c r="BV106" i="2" s="1"/>
  <c r="BV108" i="2" s="1"/>
  <c r="CD40" i="4"/>
  <c r="CD41" i="4" s="1"/>
  <c r="CD42" i="4" s="1"/>
  <c r="X43" i="3"/>
  <c r="BT151" i="2"/>
  <c r="G43" i="1"/>
  <c r="D84" i="11"/>
  <c r="C85" i="11" s="1"/>
  <c r="BS161" i="2"/>
  <c r="BU127" i="2"/>
  <c r="CD125" i="2"/>
  <c r="CE121" i="2" s="1"/>
  <c r="BT94" i="2"/>
  <c r="BT95" i="2" s="1"/>
  <c r="BT96" i="2" s="1"/>
  <c r="BT87" i="2"/>
  <c r="BU102" i="2"/>
  <c r="BV99" i="2" s="1"/>
  <c r="Y44" i="3"/>
  <c r="H44" i="1"/>
  <c r="E72" i="5" l="1"/>
  <c r="G50" i="5"/>
  <c r="BU129" i="2"/>
  <c r="BU83" i="2" s="1"/>
  <c r="BV100" i="2"/>
  <c r="BT152" i="2"/>
  <c r="BT156" i="2"/>
  <c r="BU151" i="2" s="1"/>
  <c r="BT159" i="2"/>
  <c r="BT161" i="2" s="1"/>
  <c r="X45" i="3"/>
  <c r="G45" i="1"/>
  <c r="CE122" i="2"/>
  <c r="CE124" i="2" s="1"/>
  <c r="D85" i="11"/>
  <c r="C86" i="11"/>
  <c r="Y36" i="3"/>
  <c r="BW106" i="2"/>
  <c r="BW108" i="2" s="1"/>
  <c r="BX106" i="2" s="1"/>
  <c r="BX108" i="2" s="1"/>
  <c r="BY106" i="2" s="1"/>
  <c r="BY108" i="2" s="1"/>
  <c r="CE84" i="2" l="1"/>
  <c r="CE125" i="2"/>
  <c r="BV101" i="2"/>
  <c r="D86" i="11"/>
  <c r="C87" i="11" s="1"/>
  <c r="BU33" i="4"/>
  <c r="BU35" i="4" s="1"/>
  <c r="BU85" i="2"/>
  <c r="BU159" i="2"/>
  <c r="Z36" i="3"/>
  <c r="BZ106" i="2"/>
  <c r="BZ108" i="2" s="1"/>
  <c r="CA106" i="2" s="1"/>
  <c r="CA108" i="2" s="1"/>
  <c r="CB106" i="2" s="1"/>
  <c r="CB108" i="2" s="1"/>
  <c r="BU130" i="2"/>
  <c r="BV126" i="2" s="1"/>
  <c r="D87" i="11" l="1"/>
  <c r="C88" i="11" s="1"/>
  <c r="BV127" i="2"/>
  <c r="Y38" i="3" s="1"/>
  <c r="BU94" i="2"/>
  <c r="BU95" i="2" s="1"/>
  <c r="BU96" i="2" s="1"/>
  <c r="BU87" i="2"/>
  <c r="BU45" i="4"/>
  <c r="BU46" i="4" s="1"/>
  <c r="BU36" i="4"/>
  <c r="AA36" i="3"/>
  <c r="CC106" i="2"/>
  <c r="CC108" i="2" s="1"/>
  <c r="CD106" i="2" s="1"/>
  <c r="CD108" i="2" s="1"/>
  <c r="CE106" i="2" s="1"/>
  <c r="CE108" i="2" s="1"/>
  <c r="BV153" i="2"/>
  <c r="Y33" i="3"/>
  <c r="CF121" i="2"/>
  <c r="CE40" i="4"/>
  <c r="CE41" i="4" s="1"/>
  <c r="CE42" i="4" s="1"/>
  <c r="AB30" i="3"/>
  <c r="H30" i="1"/>
  <c r="BV102" i="2"/>
  <c r="D88" i="11" l="1"/>
  <c r="C89" i="11" s="1"/>
  <c r="Y34" i="3"/>
  <c r="BW99" i="2"/>
  <c r="BV129" i="2"/>
  <c r="BV83" i="2" s="1"/>
  <c r="BU152" i="2"/>
  <c r="AB36" i="3"/>
  <c r="CF106" i="2"/>
  <c r="CF108" i="2" s="1"/>
  <c r="CG106" i="2" s="1"/>
  <c r="H36" i="1"/>
  <c r="CF122" i="2"/>
  <c r="CF124" i="2" s="1"/>
  <c r="CF84" i="2" s="1"/>
  <c r="CF40" i="4" l="1"/>
  <c r="CF41" i="4" s="1"/>
  <c r="CF42" i="4" s="1"/>
  <c r="BV33" i="4"/>
  <c r="BV35" i="4" s="1"/>
  <c r="BV85" i="2"/>
  <c r="Y29" i="3"/>
  <c r="CF125" i="2"/>
  <c r="CG121" i="2" s="1"/>
  <c r="BW100" i="2"/>
  <c r="BW101" i="2" s="1"/>
  <c r="BV130" i="2"/>
  <c r="BW126" i="2" s="1"/>
  <c r="C90" i="11"/>
  <c r="D89" i="11"/>
  <c r="BU156" i="2"/>
  <c r="BV151" i="2" s="1"/>
  <c r="BU161" i="2"/>
  <c r="BW153" i="2" l="1"/>
  <c r="BW127" i="2"/>
  <c r="BW129" i="2" s="1"/>
  <c r="BW83" i="2" s="1"/>
  <c r="CG122" i="2"/>
  <c r="CG124" i="2" s="1"/>
  <c r="CG84" i="2" s="1"/>
  <c r="BV45" i="4"/>
  <c r="BV46" i="4" s="1"/>
  <c r="BV36" i="4"/>
  <c r="BV159" i="2"/>
  <c r="D90" i="11"/>
  <c r="C91" i="11" s="1"/>
  <c r="BV94" i="2"/>
  <c r="BV95" i="2" s="1"/>
  <c r="BV96" i="2" s="1"/>
  <c r="BV87" i="2"/>
  <c r="Y20" i="3"/>
  <c r="BW102" i="2"/>
  <c r="BX99" i="2" s="1"/>
  <c r="D91" i="11" l="1"/>
  <c r="C92" i="11" s="1"/>
  <c r="D92" i="11" s="1"/>
  <c r="D93" i="11" s="1"/>
  <c r="CG40" i="4"/>
  <c r="CG41" i="4" s="1"/>
  <c r="CG42" i="4" s="1"/>
  <c r="BW33" i="4"/>
  <c r="BW35" i="4" s="1"/>
  <c r="BW45" i="4" s="1"/>
  <c r="BW46" i="4" s="1"/>
  <c r="BW85" i="2"/>
  <c r="BW130" i="2"/>
  <c r="BX126" i="2" s="1"/>
  <c r="Y23" i="3"/>
  <c r="CG125" i="2"/>
  <c r="CH121" i="2" s="1"/>
  <c r="BX100" i="2"/>
  <c r="BX101" i="2" s="1"/>
  <c r="BV152" i="2"/>
  <c r="BV156" i="2" s="1"/>
  <c r="Y21" i="3"/>
  <c r="BX153" i="2" l="1"/>
  <c r="BX127" i="2"/>
  <c r="BX129" i="2" s="1"/>
  <c r="BX83" i="2" s="1"/>
  <c r="BW151" i="2"/>
  <c r="Y43" i="3"/>
  <c r="BV161" i="2"/>
  <c r="Y45" i="3" s="1"/>
  <c r="BX102" i="2"/>
  <c r="BY99" i="2" s="1"/>
  <c r="CH122" i="2"/>
  <c r="B16" i="13" s="1"/>
  <c r="CH124" i="2"/>
  <c r="CH84" i="2" s="1"/>
  <c r="BW36" i="4"/>
  <c r="BW94" i="2"/>
  <c r="BW95" i="2" s="1"/>
  <c r="BW96" i="2" s="1"/>
  <c r="BW87" i="2"/>
  <c r="BX33" i="4" l="1"/>
  <c r="BX35" i="4" s="1"/>
  <c r="BX45" i="4" s="1"/>
  <c r="BX46" i="4" s="1"/>
  <c r="BX85" i="2"/>
  <c r="CH40" i="4"/>
  <c r="CH41" i="4" s="1"/>
  <c r="CH42" i="4" s="1"/>
  <c r="AC30" i="3"/>
  <c r="I30" i="1"/>
  <c r="BX130" i="2"/>
  <c r="BY126" i="2" s="1"/>
  <c r="BX36" i="4"/>
  <c r="CH125" i="2"/>
  <c r="BW152" i="2"/>
  <c r="BW156" i="2" s="1"/>
  <c r="BX151" i="2" s="1"/>
  <c r="B17" i="13"/>
  <c r="BY100" i="2"/>
  <c r="BW159" i="2"/>
  <c r="BY101" i="2" l="1"/>
  <c r="E53" i="11"/>
  <c r="BW161" i="2"/>
  <c r="BX94" i="2"/>
  <c r="BX95" i="2" s="1"/>
  <c r="BX96" i="2" s="1"/>
  <c r="BX87" i="2"/>
  <c r="BX159" i="2"/>
  <c r="BY127" i="2"/>
  <c r="Z38" i="3" s="1"/>
  <c r="BY153" i="2" l="1"/>
  <c r="Z33" i="3"/>
  <c r="BY129" i="2"/>
  <c r="BY83" i="2" s="1"/>
  <c r="F53" i="11"/>
  <c r="G53" i="11"/>
  <c r="BX152" i="2"/>
  <c r="BX156" i="2" s="1"/>
  <c r="BY151" i="2" s="1"/>
  <c r="BY102" i="2"/>
  <c r="BY130" i="2" l="1"/>
  <c r="BZ126" i="2" s="1"/>
  <c r="BY159" i="2"/>
  <c r="E54" i="11"/>
  <c r="BY33" i="4"/>
  <c r="BY35" i="4" s="1"/>
  <c r="BY85" i="2"/>
  <c r="Z29" i="3"/>
  <c r="Z34" i="3"/>
  <c r="BZ99" i="2"/>
  <c r="BX161" i="2"/>
  <c r="BY94" i="2" l="1"/>
  <c r="BY95" i="2" s="1"/>
  <c r="BY96" i="2" s="1"/>
  <c r="BY87" i="2"/>
  <c r="Z20" i="3"/>
  <c r="F54" i="11"/>
  <c r="G54" i="11" s="1"/>
  <c r="BZ127" i="2"/>
  <c r="BZ129" i="2" s="1"/>
  <c r="BY45" i="4"/>
  <c r="BY46" i="4" s="1"/>
  <c r="BY36" i="4"/>
  <c r="BZ100" i="2"/>
  <c r="BZ83" i="2" l="1"/>
  <c r="BZ130" i="2"/>
  <c r="CA126" i="2" s="1"/>
  <c r="BZ101" i="2"/>
  <c r="E55" i="11"/>
  <c r="BY152" i="2"/>
  <c r="Z21" i="3"/>
  <c r="Z23" i="3"/>
  <c r="F55" i="11" l="1"/>
  <c r="BZ153" i="2"/>
  <c r="CA127" i="2"/>
  <c r="CA129" i="2" s="1"/>
  <c r="CA83" i="2" s="1"/>
  <c r="BZ102" i="2"/>
  <c r="CA99" i="2" s="1"/>
  <c r="BY156" i="2"/>
  <c r="BY161" i="2"/>
  <c r="Z45" i="3" s="1"/>
  <c r="BZ33" i="4"/>
  <c r="BZ35" i="4" s="1"/>
  <c r="BZ85" i="2"/>
  <c r="CA130" i="2" l="1"/>
  <c r="CB126" i="2" s="1"/>
  <c r="BZ45" i="4"/>
  <c r="BZ46" i="4" s="1"/>
  <c r="BZ36" i="4"/>
  <c r="CA33" i="4"/>
  <c r="CA35" i="4" s="1"/>
  <c r="CA45" i="4" s="1"/>
  <c r="CA85" i="2"/>
  <c r="BZ94" i="2"/>
  <c r="BZ95" i="2" s="1"/>
  <c r="BZ96" i="2" s="1"/>
  <c r="BZ87" i="2"/>
  <c r="BZ151" i="2"/>
  <c r="Z43" i="3"/>
  <c r="CA100" i="2"/>
  <c r="CA101" i="2" s="1"/>
  <c r="G55" i="11"/>
  <c r="E56" i="11"/>
  <c r="CA153" i="2" l="1"/>
  <c r="CA94" i="2"/>
  <c r="CA95" i="2" s="1"/>
  <c r="CA96" i="2" s="1"/>
  <c r="CA87" i="2"/>
  <c r="CA152" i="2" s="1"/>
  <c r="CA46" i="4"/>
  <c r="CA36" i="4"/>
  <c r="CA102" i="2"/>
  <c r="CB99" i="2" s="1"/>
  <c r="BZ159" i="2"/>
  <c r="CB127" i="2"/>
  <c r="AA38" i="3" s="1"/>
  <c r="F56" i="11"/>
  <c r="G56" i="11"/>
  <c r="E57" i="11" s="1"/>
  <c r="BZ152" i="2"/>
  <c r="BZ156" i="2" s="1"/>
  <c r="CA151" i="2" s="1"/>
  <c r="CB129" i="2" l="1"/>
  <c r="CB83" i="2" s="1"/>
  <c r="CA156" i="2"/>
  <c r="CB151" i="2" s="1"/>
  <c r="CA159" i="2"/>
  <c r="CA161" i="2" s="1"/>
  <c r="F57" i="11"/>
  <c r="G57" i="11" s="1"/>
  <c r="E58" i="11" s="1"/>
  <c r="CB100" i="2"/>
  <c r="CB101" i="2" s="1"/>
  <c r="CB33" i="4"/>
  <c r="CB35" i="4" s="1"/>
  <c r="CB45" i="4" s="1"/>
  <c r="CB46" i="4" s="1"/>
  <c r="CB85" i="2"/>
  <c r="AA29" i="3"/>
  <c r="CB130" i="2"/>
  <c r="CC126" i="2" s="1"/>
  <c r="BZ161" i="2"/>
  <c r="CB153" i="2" l="1"/>
  <c r="AA33" i="3"/>
  <c r="F58" i="11"/>
  <c r="CC127" i="2"/>
  <c r="CC129" i="2" s="1"/>
  <c r="CC83" i="2" s="1"/>
  <c r="CB102" i="2"/>
  <c r="CB94" i="2"/>
  <c r="CB95" i="2" s="1"/>
  <c r="CB96" i="2" s="1"/>
  <c r="CB87" i="2"/>
  <c r="AA20" i="3"/>
  <c r="CB36" i="4"/>
  <c r="CB159" i="2"/>
  <c r="CC130" i="2" l="1"/>
  <c r="CD126" i="2" s="1"/>
  <c r="CC33" i="4"/>
  <c r="CC35" i="4" s="1"/>
  <c r="CC45" i="4" s="1"/>
  <c r="CC46" i="4" s="1"/>
  <c r="CC85" i="2"/>
  <c r="AA23" i="3"/>
  <c r="CB152" i="2"/>
  <c r="CB156" i="2" s="1"/>
  <c r="AA21" i="3"/>
  <c r="G58" i="11"/>
  <c r="E59" i="11" s="1"/>
  <c r="CB161" i="2"/>
  <c r="AA45" i="3" s="1"/>
  <c r="AA34" i="3"/>
  <c r="CC99" i="2"/>
  <c r="F59" i="11" l="1"/>
  <c r="AA43" i="3"/>
  <c r="CC151" i="2"/>
  <c r="CC94" i="2"/>
  <c r="CC95" i="2" s="1"/>
  <c r="CC96" i="2" s="1"/>
  <c r="CC87" i="2"/>
  <c r="CD127" i="2"/>
  <c r="CD129" i="2"/>
  <c r="CD83" i="2" s="1"/>
  <c r="CC36" i="4"/>
  <c r="CC100" i="2"/>
  <c r="CC101" i="2" s="1"/>
  <c r="CD130" i="2" l="1"/>
  <c r="CE126" i="2" s="1"/>
  <c r="CE127" i="2"/>
  <c r="AB38" i="3" s="1"/>
  <c r="CC153" i="2"/>
  <c r="CC102" i="2"/>
  <c r="CD99" i="2" s="1"/>
  <c r="CD33" i="4"/>
  <c r="CD35" i="4" s="1"/>
  <c r="CD45" i="4" s="1"/>
  <c r="CD46" i="4" s="1"/>
  <c r="CD85" i="2"/>
  <c r="CC159" i="2"/>
  <c r="G59" i="11"/>
  <c r="E60" i="11" s="1"/>
  <c r="CC152" i="2"/>
  <c r="CC156" i="2" l="1"/>
  <c r="CD151" i="2" s="1"/>
  <c r="CE129" i="2"/>
  <c r="CE83" i="2" s="1"/>
  <c r="AB29" i="3" s="1"/>
  <c r="CD36" i="4"/>
  <c r="CD159" i="2"/>
  <c r="F60" i="11"/>
  <c r="H29" i="1"/>
  <c r="CE33" i="4"/>
  <c r="CE35" i="4" s="1"/>
  <c r="CE45" i="4" s="1"/>
  <c r="CE46" i="4" s="1"/>
  <c r="CE85" i="2"/>
  <c r="H20" i="1" s="1"/>
  <c r="H46" i="5" s="1"/>
  <c r="CC161" i="2"/>
  <c r="CD94" i="2"/>
  <c r="CD95" i="2" s="1"/>
  <c r="CD96" i="2" s="1"/>
  <c r="CD87" i="2"/>
  <c r="CD100" i="2"/>
  <c r="CE130" i="2"/>
  <c r="AB20" i="3" l="1"/>
  <c r="CD101" i="2"/>
  <c r="CD102" i="2" s="1"/>
  <c r="CE99" i="2" s="1"/>
  <c r="CE100" i="2" s="1"/>
  <c r="CE101" i="2" s="1"/>
  <c r="CD153" i="2"/>
  <c r="CD152" i="2"/>
  <c r="CD161" i="2" s="1"/>
  <c r="AB21" i="3"/>
  <c r="H21" i="1"/>
  <c r="G60" i="11"/>
  <c r="E61" i="11" s="1"/>
  <c r="CE36" i="4"/>
  <c r="CF126" i="2"/>
  <c r="H38" i="1"/>
  <c r="CE94" i="2"/>
  <c r="CE95" i="2" s="1"/>
  <c r="CE96" i="2" s="1"/>
  <c r="CG107" i="2" s="1"/>
  <c r="CE87" i="2"/>
  <c r="CE152" i="2" s="1"/>
  <c r="F61" i="11" l="1"/>
  <c r="G61" i="11" s="1"/>
  <c r="CE153" i="2"/>
  <c r="AB33" i="3"/>
  <c r="H33" i="1"/>
  <c r="CD156" i="2"/>
  <c r="CE151" i="2" s="1"/>
  <c r="CH160" i="2"/>
  <c r="AC35" i="3"/>
  <c r="CG154" i="2"/>
  <c r="I35" i="1"/>
  <c r="CG108" i="2"/>
  <c r="CH106" i="2" s="1"/>
  <c r="CH108" i="2" s="1"/>
  <c r="H23" i="1"/>
  <c r="CE102" i="2"/>
  <c r="CF127" i="2"/>
  <c r="CF129" i="2" s="1"/>
  <c r="AB23" i="3"/>
  <c r="CF83" i="2" l="1"/>
  <c r="CF130" i="2"/>
  <c r="CG126" i="2" s="1"/>
  <c r="CE156" i="2"/>
  <c r="CE159" i="2"/>
  <c r="CE161" i="2" s="1"/>
  <c r="AB34" i="3"/>
  <c r="CF99" i="2"/>
  <c r="H34" i="1"/>
  <c r="AC36" i="3"/>
  <c r="I36" i="1"/>
  <c r="AC44" i="3"/>
  <c r="I44" i="1"/>
  <c r="E62" i="11"/>
  <c r="AB45" i="3" l="1"/>
  <c r="H45" i="1"/>
  <c r="CF100" i="2"/>
  <c r="CF101" i="2" s="1"/>
  <c r="F62" i="11"/>
  <c r="AB43" i="3"/>
  <c r="CF151" i="2"/>
  <c r="H43" i="1"/>
  <c r="H50" i="5" s="1"/>
  <c r="CG127" i="2"/>
  <c r="CF33" i="4"/>
  <c r="CF35" i="4" s="1"/>
  <c r="CF85" i="2"/>
  <c r="CF153" i="2" l="1"/>
  <c r="CF45" i="4"/>
  <c r="CF46" i="4" s="1"/>
  <c r="CF36" i="4"/>
  <c r="CG129" i="2"/>
  <c r="CG83" i="2" s="1"/>
  <c r="CF102" i="2"/>
  <c r="CG99" i="2" s="1"/>
  <c r="G62" i="11"/>
  <c r="E63" i="11" s="1"/>
  <c r="CF94" i="2"/>
  <c r="CF95" i="2" s="1"/>
  <c r="CF96" i="2" s="1"/>
  <c r="CF87" i="2"/>
  <c r="CF159" i="2"/>
  <c r="F63" i="11" l="1"/>
  <c r="CG33" i="4"/>
  <c r="CG35" i="4" s="1"/>
  <c r="CG45" i="4" s="1"/>
  <c r="CG46" i="4" s="1"/>
  <c r="CG85" i="2"/>
  <c r="CF152" i="2"/>
  <c r="CF156" i="2" s="1"/>
  <c r="CG151" i="2" s="1"/>
  <c r="CG130" i="2"/>
  <c r="CH126" i="2" s="1"/>
  <c r="CG100" i="2"/>
  <c r="CG101" i="2" l="1"/>
  <c r="CG102" i="2" s="1"/>
  <c r="CH99" i="2" s="1"/>
  <c r="CG94" i="2"/>
  <c r="CG95" i="2" s="1"/>
  <c r="CG96" i="2" s="1"/>
  <c r="CG87" i="2"/>
  <c r="G63" i="11"/>
  <c r="E64" i="11" s="1"/>
  <c r="CG159" i="2"/>
  <c r="CF161" i="2"/>
  <c r="CH127" i="2"/>
  <c r="CG36" i="4"/>
  <c r="CH100" i="2" l="1"/>
  <c r="CH101" i="2"/>
  <c r="CG153" i="2"/>
  <c r="CG152" i="2"/>
  <c r="CG156" i="2" s="1"/>
  <c r="CH151" i="2" s="1"/>
  <c r="F64" i="11"/>
  <c r="AC38" i="3"/>
  <c r="B23" i="13"/>
  <c r="CH129" i="2"/>
  <c r="CH83" i="2" s="1"/>
  <c r="CH153" i="2" l="1"/>
  <c r="I33" i="1"/>
  <c r="AC33" i="3"/>
  <c r="CH102" i="2"/>
  <c r="CH130" i="2"/>
  <c r="I38" i="1" s="1"/>
  <c r="D23" i="13"/>
  <c r="D24" i="13" s="1"/>
  <c r="B24" i="13"/>
  <c r="B31" i="13" s="1"/>
  <c r="B30" i="13"/>
  <c r="CH159" i="2"/>
  <c r="CH33" i="4"/>
  <c r="CH35" i="4" s="1"/>
  <c r="CH85" i="2"/>
  <c r="I29" i="1"/>
  <c r="AC29" i="3"/>
  <c r="G64" i="11"/>
  <c r="E65" i="11" s="1"/>
  <c r="CG161" i="2"/>
  <c r="I34" i="1" l="1"/>
  <c r="AC34" i="3"/>
  <c r="F65" i="11"/>
  <c r="G65" i="11" s="1"/>
  <c r="E66" i="11" s="1"/>
  <c r="CH45" i="4"/>
  <c r="CH46" i="4" s="1"/>
  <c r="CH36" i="4"/>
  <c r="CH94" i="2"/>
  <c r="CH95" i="2" s="1"/>
  <c r="CH96" i="2" s="1"/>
  <c r="CH87" i="2"/>
  <c r="AC20" i="3"/>
  <c r="I20" i="1"/>
  <c r="I46" i="5" s="1"/>
  <c r="F66" i="11" l="1"/>
  <c r="G66" i="11" s="1"/>
  <c r="CH152" i="2"/>
  <c r="I21" i="1"/>
  <c r="AC21" i="3"/>
  <c r="AC23" i="3"/>
  <c r="I23" i="1"/>
  <c r="CH156" i="2" l="1"/>
  <c r="CH161" i="2"/>
  <c r="E67" i="11"/>
  <c r="F67" i="11" l="1"/>
  <c r="AC45" i="3"/>
  <c r="I45" i="1"/>
  <c r="AC43" i="3"/>
  <c r="I43" i="1"/>
  <c r="F72" i="5" l="1"/>
  <c r="I50" i="5"/>
  <c r="G67" i="11"/>
  <c r="E68" i="11" s="1"/>
  <c r="F68" i="11" l="1"/>
  <c r="G68" i="11" s="1"/>
  <c r="E69" i="11" s="1"/>
  <c r="F69" i="11" l="1"/>
  <c r="G69" i="11" s="1"/>
  <c r="E70" i="11" l="1"/>
  <c r="F70" i="11" l="1"/>
  <c r="G70" i="11" l="1"/>
  <c r="E71" i="11" s="1"/>
  <c r="F71" i="11" l="1"/>
  <c r="G71" i="11" l="1"/>
  <c r="E72" i="11" s="1"/>
  <c r="F72" i="11" l="1"/>
  <c r="G72" i="11"/>
  <c r="E73" i="11" s="1"/>
  <c r="F73" i="11" l="1"/>
  <c r="G73" i="11" s="1"/>
  <c r="E74" i="11" l="1"/>
  <c r="F74" i="11" l="1"/>
  <c r="G74" i="11" s="1"/>
  <c r="E75" i="11" s="1"/>
  <c r="F75" i="11" l="1"/>
  <c r="G75" i="11"/>
  <c r="E76" i="11" l="1"/>
  <c r="F76" i="11"/>
  <c r="G76" i="11" l="1"/>
  <c r="E77" i="11" s="1"/>
  <c r="F77" i="11" l="1"/>
  <c r="G77" i="11" s="1"/>
  <c r="E78" i="11" s="1"/>
  <c r="F78" i="11" l="1"/>
  <c r="G78" i="11"/>
  <c r="E79" i="11" l="1"/>
  <c r="F79" i="11"/>
  <c r="G79" i="11" l="1"/>
  <c r="E80" i="11" s="1"/>
  <c r="F80" i="11" l="1"/>
  <c r="G80" i="11" s="1"/>
  <c r="E81" i="11" s="1"/>
  <c r="F81" i="11" l="1"/>
  <c r="G81" i="11" s="1"/>
  <c r="E82" i="11" l="1"/>
  <c r="F82" i="11" l="1"/>
  <c r="G82" i="11" l="1"/>
  <c r="E83" i="11" s="1"/>
  <c r="F83" i="11" l="1"/>
  <c r="G83" i="11" l="1"/>
  <c r="E84" i="11" s="1"/>
  <c r="F84" i="11" l="1"/>
  <c r="G84" i="11" l="1"/>
  <c r="E85" i="11" s="1"/>
  <c r="F85" i="11" l="1"/>
  <c r="G85" i="11" s="1"/>
  <c r="E86" i="11" l="1"/>
  <c r="F86" i="11" l="1"/>
  <c r="G86" i="11" s="1"/>
  <c r="E87" i="11" s="1"/>
  <c r="F87" i="11" l="1"/>
  <c r="G87" i="11" l="1"/>
  <c r="E88" i="11" s="1"/>
  <c r="F88" i="11" l="1"/>
  <c r="G88" i="11" l="1"/>
  <c r="E89" i="11" s="1"/>
  <c r="F89" i="11" l="1"/>
  <c r="G89" i="11" s="1"/>
  <c r="E90" i="11" s="1"/>
  <c r="F90" i="11" l="1"/>
  <c r="G90" i="11" l="1"/>
  <c r="E91" i="11" s="1"/>
  <c r="F91" i="11" l="1"/>
  <c r="G91" i="11"/>
  <c r="E92" i="11" l="1"/>
  <c r="F92" i="1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sharedStrings.xml><?xml version="1.0" encoding="utf-8"?>
<sst xmlns="http://schemas.openxmlformats.org/spreadsheetml/2006/main" count="1256" uniqueCount="720">
  <si>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</si>
  <si>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</si>
  <si>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</si>
  <si>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</si>
  <si>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</si>
  <si>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</si>
  <si>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</si>
  <si>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</si>
  <si>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</si>
  <si>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</si>
  <si>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</si>
  <si>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</si>
  <si>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</si>
  <si>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</si>
  <si>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</si>
  <si>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</si>
  <si>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</si>
  <si>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</si>
  <si>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</si>
  <si>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</si>
  <si>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</si>
  <si>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</si>
  <si>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</si>
  <si>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</si>
  <si>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</si>
  <si>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</si>
  <si>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</si>
  <si>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</si>
  <si>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</si>
  <si>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</si>
  <si>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</si>
  <si>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</si>
  <si>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</si>
  <si>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</si>
  <si>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</si>
  <si>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</si>
  <si>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</si>
  <si>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</si>
  <si>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</si>
  <si>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</si>
  <si>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</si>
  <si>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</si>
  <si>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</si>
  <si>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</si>
  <si>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</si>
  <si>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</si>
  <si>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</si>
  <si>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</si>
  <si>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</si>
  <si>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</si>
  <si>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</si>
  <si>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</si>
  <si>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</si>
  <si>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</si>
  <si>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</si>
  <si>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</si>
  <si>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</si>
  <si>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</si>
  <si>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</si>
  <si>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</si>
  <si>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</si>
  <si>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</si>
  <si>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</si>
  <si>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</si>
  <si>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</si>
  <si>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</si>
  <si>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</si>
  <si>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</si>
  <si>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</si>
  <si>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</si>
  <si>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</si>
  <si>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</si>
  <si>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</si>
  <si>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</si>
  <si>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</si>
  <si>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</si>
  <si>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</si>
  <si>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</si>
  <si>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</si>
  <si>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</si>
  <si>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</si>
  <si>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</si>
  <si>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</si>
  <si>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</si>
  <si>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</si>
  <si>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</si>
  <si>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Klump/Scott Outsourced PM/Site (3rd Party)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</si>
  <si>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</si>
  <si>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</si>
  <si>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</si>
  <si>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</si>
  <si>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</si>
  <si>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</si>
  <si>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</si>
  <si>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</si>
  <si>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</si>
  <si>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</si>
  <si>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</si>
  <si>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</si>
  <si>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</si>
  <si>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</si>
  <si>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</si>
  <si>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</si>
  <si>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</si>
  <si>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</si>
  <si>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</si>
  <si>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</si>
  <si>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</si>
  <si>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</si>
  <si>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</si>
  <si>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</si>
  <si>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</si>
  <si>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</si>
  <si>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</si>
  <si>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</si>
  <si>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</si>
  <si>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</si>
  <si>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</si>
  <si>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</si>
  <si>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</si>
  <si>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</si>
  <si>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</si>
  <si>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</si>
  <si>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</si>
  <si>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</si>
  <si>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</si>
  <si>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</si>
  <si>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</si>
  <si>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</si>
  <si>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</si>
  <si>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</si>
  <si>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</si>
  <si>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</si>
  <si>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</si>
  <si>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</si>
  <si>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</si>
  <si>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</si>
  <si>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</si>
  <si>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</si>
  <si>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</si>
  <si>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</si>
  <si>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</si>
  <si>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</si>
  <si>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</si>
  <si>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</si>
  <si>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</si>
  <si>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</si>
  <si>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</si>
  <si>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</si>
  <si>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</si>
  <si>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</si>
  <si>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</si>
  <si>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</si>
  <si>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</si>
  <si>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</si>
  <si>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</si>
  <si>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</si>
  <si>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</si>
  <si>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</si>
  <si>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</si>
  <si>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</si>
  <si>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</si>
  <si>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</si>
  <si>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</si>
  <si>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</si>
  <si>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</si>
  <si>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</si>
  <si>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</si>
  <si>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</si>
  <si>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</si>
  <si>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</si>
  <si>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</si>
  <si>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</si>
  <si>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</si>
  <si>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</si>
  <si>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</si>
  <si>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</si>
  <si>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</si>
  <si>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</si>
  <si>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</si>
  <si>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</si>
  <si>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</si>
  <si>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</si>
  <si>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</si>
  <si>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</si>
  <si>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</si>
  <si>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</si>
  <si>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</si>
  <si>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</si>
  <si>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</si>
  <si>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</si>
  <si>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</si>
  <si>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</si>
  <si>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</si>
  <si>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</si>
  <si>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</si>
  <si>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</si>
  <si>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</si>
  <si>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</si>
  <si>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</si>
  <si>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</si>
  <si>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</si>
  <si>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</si>
  <si>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</si>
  <si>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</si>
  <si>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</si>
  <si>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</si>
  <si>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</si>
  <si>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</si>
  <si>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</si>
  <si>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</si>
  <si>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</si>
  <si>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</si>
  <si>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</si>
  <si>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</si>
  <si>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</si>
  <si>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</si>
  <si>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</si>
  <si>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</si>
  <si>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</si>
  <si>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</si>
  <si>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</si>
  <si>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</si>
  <si>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</si>
  <si>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</si>
  <si>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</si>
  <si>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</si>
  <si>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</si>
  <si>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</si>
  <si>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</si>
  <si>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</si>
  <si>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</si>
  <si>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</si>
  <si>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</si>
  <si>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</si>
  <si>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</si>
  <si>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</si>
  <si>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</si>
  <si>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</si>
  <si>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</si>
  <si>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</si>
  <si>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</si>
  <si>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</si>
  <si>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</si>
  <si>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</si>
  <si>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</si>
  <si>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</si>
  <si>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</si>
  <si>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</si>
  <si>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</si>
  <si>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</si>
  <si>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</si>
  <si>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</si>
  <si>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</si>
  <si>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</si>
  <si>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</si>
  <si>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</si>
  <si>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</si>
  <si>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</si>
  <si>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</si>
  <si>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</si>
  <si>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</si>
  <si>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</si>
  <si>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</si>
  <si>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</si>
  <si>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</si>
  <si>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</si>
  <si>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</si>
  <si>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</si>
  <si>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</si>
  <si>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</si>
  <si>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</si>
  <si>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Active</t>
  </si>
  <si>
    <t>GMP</t>
  </si>
  <si>
    <t>Type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</si>
  <si>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</si>
  <si>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</si>
  <si>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</si>
  <si>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</si>
  <si>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</si>
  <si>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</si>
  <si>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</si>
  <si>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</si>
  <si>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</si>
  <si>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Yes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</si>
  <si>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</si>
  <si>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</si>
  <si>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</si>
  <si>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</si>
  <si>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</si>
  <si>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</si>
  <si>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</si>
  <si>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</si>
  <si>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</si>
  <si>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</si>
  <si>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</si>
  <si>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</si>
  <si>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</si>
  <si>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</si>
  <si>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</si>
  <si>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</si>
  <si>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</si>
  <si>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</si>
  <si>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</si>
  <si>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</si>
  <si>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</si>
  <si>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</si>
  <si>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</si>
  <si>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</si>
  <si>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</si>
  <si>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</si>
  <si>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</si>
  <si>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</si>
  <si>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</si>
  <si>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</si>
  <si>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</si>
  <si>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</si>
  <si>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</si>
  <si>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</si>
  <si>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</si>
  <si>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</si>
  <si>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</si>
  <si>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</si>
  <si>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</si>
  <si>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</si>
  <si>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</si>
  <si>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</si>
  <si>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</si>
  <si>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</si>
  <si>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</si>
  <si>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</si>
  <si>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</si>
  <si>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</si>
  <si>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</si>
  <si>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</si>
  <si>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</si>
  <si>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</si>
  <si>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</si>
  <si>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</si>
  <si>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</si>
  <si>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</si>
  <si>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</si>
  <si>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</si>
  <si>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</si>
  <si>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</si>
  <si>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</si>
  <si>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</si>
  <si>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</si>
  <si>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</si>
  <si>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</si>
  <si>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</si>
  <si>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</si>
  <si>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</si>
  <si>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</si>
  <si>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</si>
  <si>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</si>
  <si>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</si>
  <si>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</si>
  <si>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</si>
  <si>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</si>
  <si>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</si>
  <si>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</si>
  <si>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</si>
  <si>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</si>
  <si>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</si>
  <si>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</si>
  <si>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</si>
  <si>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</si>
  <si>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</si>
  <si>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</si>
  <si>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</si>
  <si>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</si>
  <si>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</si>
  <si>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</si>
  <si>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</si>
  <si>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</si>
  <si>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</si>
  <si>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</si>
  <si>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</si>
  <si>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</si>
  <si>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</si>
  <si>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</si>
  <si>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</si>
  <si>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</si>
  <si>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</si>
  <si>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</si>
  <si>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</si>
  <si>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</si>
  <si>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</si>
  <si>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</si>
  <si>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</si>
  <si>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</si>
  <si>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</si>
  <si>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</si>
  <si>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</si>
  <si>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</si>
  <si>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</si>
  <si>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</si>
  <si>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</si>
  <si>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</si>
  <si>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</si>
  <si>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</si>
  <si>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</si>
  <si>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</si>
  <si>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</si>
  <si>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</si>
  <si>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</si>
  <si>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</si>
  <si>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</si>
  <si>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</si>
  <si>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</si>
  <si>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</si>
  <si>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</si>
  <si>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</si>
  <si>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</si>
  <si>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</si>
  <si>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</si>
  <si>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</si>
  <si>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</si>
  <si>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</si>
  <si>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</si>
  <si>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</si>
  <si>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</si>
  <si>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</si>
  <si>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</si>
  <si>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</si>
  <si>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</si>
  <si>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</si>
  <si>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</si>
  <si>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</si>
  <si>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</si>
  <si>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</si>
  <si>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</si>
  <si>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</si>
  <si>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</si>
  <si>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</si>
  <si>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</si>
  <si>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</si>
  <si>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</si>
  <si>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</si>
  <si>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</si>
  <si>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</si>
  <si>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</si>
  <si>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</si>
  <si>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</si>
  <si>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</si>
  <si>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</si>
  <si>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</si>
  <si>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</si>
  <si>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</si>
  <si>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</si>
  <si>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</si>
  <si>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</si>
  <si>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</si>
  <si>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</si>
  <si>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</si>
  <si>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</si>
  <si>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</si>
  <si>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</si>
  <si>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</si>
  <si>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</si>
  <si>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</si>
  <si>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Start Month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</si>
  <si>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</si>
  <si>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</si>
  <si>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</si>
  <si>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</si>
  <si>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</si>
  <si>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</si>
  <si>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</si>
  <si>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</si>
  <si>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</si>
  <si>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</si>
  <si>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</si>
  <si>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</si>
  <si>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Name</t>
  </si>
  <si>
    <t>Role</t>
  </si>
  <si>
    <t>Annual Salary</t>
  </si>
  <si>
    <t>Monthly Cost</t>
  </si>
  <si>
    <t>Consult %</t>
  </si>
  <si>
    <t>LV Alloc %</t>
  </si>
  <si>
    <t>Category</t>
  </si>
  <si>
    <t>Kim Moreno</t>
  </si>
  <si>
    <t>Project Coordinator/Admin</t>
  </si>
  <si>
    <t>GC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</si>
  <si>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</si>
  <si>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</si>
  <si>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</si>
  <si>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</si>
  <si>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</si>
  <si>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</si>
  <si>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</si>
  <si>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</si>
  <si>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</si>
  <si>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</si>
  <si>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</si>
  <si>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</si>
  <si>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Henry Vera</t>
  </si>
  <si>
    <t>Asst Project Manager</t>
  </si>
  <si>
    <t>Dorian Puentes</t>
  </si>
  <si>
    <t>Roy Torries</t>
  </si>
  <si>
    <t>Lucy Mohler</t>
  </si>
  <si>
    <t>Francis APM</t>
  </si>
  <si>
    <t>Brisa Sanchez</t>
  </si>
  <si>
    <t>Project Coordinator</t>
  </si>
  <si>
    <t>Alina Akopian</t>
  </si>
  <si>
    <t>Mike Savaikie</t>
  </si>
  <si>
    <t>Senior Superintendent</t>
  </si>
  <si>
    <t>Daniel Carrillo</t>
  </si>
  <si>
    <t>Alex Gottlieb</t>
  </si>
  <si>
    <t>Steve Garcia</t>
  </si>
  <si>
    <t>Acama Sr Super</t>
  </si>
  <si>
    <t>Reseda Sr Super</t>
  </si>
  <si>
    <t>Nick Donald</t>
  </si>
  <si>
    <t>Site Superintendent</t>
  </si>
  <si>
    <t>Logan Terriquez</t>
  </si>
  <si>
    <t>Denny Asst Super</t>
  </si>
  <si>
    <t>Asst Superintendent</t>
  </si>
  <si>
    <t>Lexington Asst Super</t>
  </si>
  <si>
    <t>Acama Asst Super</t>
  </si>
  <si>
    <t>Ivan Delgado</t>
  </si>
  <si>
    <t>Field Engineer</t>
  </si>
  <si>
    <t>Jonah Dobkin</t>
  </si>
  <si>
    <t>Carlos Rocha</t>
  </si>
  <si>
    <t>Laborer</t>
  </si>
  <si>
    <t>Devis Tejada</t>
  </si>
  <si>
    <t>Acama Laborer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</si>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</sst>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&quot;$&quot;#,##0"/>
  </numFmts>
  <fonts count="42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  <font>
      <sz val="10"/>
      <color rgb="FF2D2D2D"/>
      <name val="Aptos"/>
    </font>
    <font>
      <b/>
      <sz val="10"/>
      <color rgb="FFFFFFFF"/>
      <name val="Aptos"/>
    </font>
    <font>
      <sz val="10"/>
      <color rgb="FF2D2D2D"/>
      <name val="Aptos"/>
    </font>
    <font>
      <b/>
      <sz val="10"/>
      <color rgb="FF0B1833"/>
      <name val="Aptos"/>
    </font>
  </fonts>
  <fills count="3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FF0B1833"/>
      </patternFill>
    </fill>
    <fill>
      <patternFill patternType="solid">
        <fgColor rgb="FFF5F5F5"/>
      </patternFill>
    </fill>
    <fill>
      <patternFill patternType="solid">
        <fgColor rgb="FFE2E7F0"/>
      </patternFill>
    </fill>
  </fills>
  <borders count="11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9"/>
  </cellStyleXfs>
  <cellXfs count="221">
    <xf numFmtId="0" fontId="0" fillId="0" borderId="0" xfId="0" applyBorder="1"/>
    <xf numFmtId="0" fontId="0" fillId="2" borderId="0" xfId="0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2" fillId="4" borderId="0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 applyBorder="1"/>
    <xf numFmtId="0" fontId="7" fillId="4" borderId="0" xfId="0" applyFont="1" applyFill="1" applyBorder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 applyBorder="1"/>
    <xf numFmtId="164" fontId="5" fillId="2" borderId="0" xfId="0" applyNumberFormat="1" applyFont="1" applyFill="1" applyBorder="1"/>
    <xf numFmtId="0" fontId="10" fillId="2" borderId="0" xfId="0" applyFont="1" applyFill="1" applyBorder="1"/>
    <xf numFmtId="0" fontId="10" fillId="0" borderId="0" xfId="0" applyFont="1" applyBorder="1"/>
    <xf numFmtId="17" fontId="2" fillId="3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2" fillId="3" borderId="0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 applyBorder="1"/>
    <xf numFmtId="0" fontId="14" fillId="2" borderId="0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0" fillId="8" borderId="0" xfId="0" applyFill="1" applyBorder="1"/>
    <xf numFmtId="0" fontId="4" fillId="8" borderId="0" xfId="0" applyFont="1" applyFill="1" applyBorder="1"/>
    <xf numFmtId="0" fontId="10" fillId="8" borderId="0" xfId="0" applyFont="1" applyFill="1" applyBorder="1"/>
    <xf numFmtId="164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 applyBorder="1"/>
    <xf numFmtId="164" fontId="4" fillId="5" borderId="0" xfId="0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 applyBorder="1"/>
    <xf numFmtId="164" fontId="5" fillId="8" borderId="0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15" fillId="0" borderId="0" xfId="0" applyFont="1" applyBorder="1"/>
    <xf numFmtId="0" fontId="2" fillId="8" borderId="0" xfId="0" applyFont="1" applyFill="1" applyBorder="1" applyAlignment="1">
      <alignment horizontal="center" wrapText="1"/>
    </xf>
    <xf numFmtId="0" fontId="15" fillId="8" borderId="0" xfId="0" applyFont="1" applyFill="1" applyBorder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164" fontId="18" fillId="0" borderId="0" xfId="0" applyNumberFormat="1" applyFont="1" applyBorder="1"/>
    <xf numFmtId="0" fontId="19" fillId="0" borderId="0" xfId="0" applyFont="1" applyBorder="1"/>
    <xf numFmtId="0" fontId="9" fillId="2" borderId="0" xfId="0" applyFont="1" applyFill="1" applyBorder="1"/>
    <xf numFmtId="164" fontId="20" fillId="2" borderId="0" xfId="0" applyNumberFormat="1" applyFont="1" applyFill="1" applyBorder="1"/>
    <xf numFmtId="164" fontId="13" fillId="5" borderId="1" xfId="0" applyNumberFormat="1" applyFont="1" applyFill="1" applyBorder="1"/>
    <xf numFmtId="164" fontId="13" fillId="2" borderId="0" xfId="0" applyNumberFormat="1" applyFont="1" applyFill="1" applyBorder="1"/>
    <xf numFmtId="0" fontId="21" fillId="2" borderId="0" xfId="0" applyFont="1" applyFill="1" applyBorder="1"/>
    <xf numFmtId="164" fontId="21" fillId="2" borderId="0" xfId="0" applyNumberFormat="1" applyFont="1" applyFill="1" applyBorder="1"/>
    <xf numFmtId="0" fontId="22" fillId="2" borderId="0" xfId="0" applyFont="1" applyFill="1" applyBorder="1"/>
    <xf numFmtId="17" fontId="11" fillId="2" borderId="0" xfId="0" applyNumberFormat="1" applyFont="1" applyFill="1" applyBorder="1"/>
    <xf numFmtId="0" fontId="23" fillId="2" borderId="0" xfId="0" applyFont="1" applyFill="1" applyBorder="1"/>
    <xf numFmtId="17" fontId="13" fillId="2" borderId="0" xfId="0" applyNumberFormat="1" applyFont="1" applyFill="1" applyBorder="1"/>
    <xf numFmtId="10" fontId="20" fillId="2" borderId="0" xfId="0" applyNumberFormat="1" applyFont="1" applyFill="1" applyBorder="1"/>
    <xf numFmtId="10" fontId="24" fillId="10" borderId="0" xfId="0" applyNumberFormat="1" applyFont="1" applyFill="1" applyBorder="1"/>
    <xf numFmtId="10" fontId="11" fillId="2" borderId="0" xfId="0" applyNumberFormat="1" applyFont="1" applyFill="1" applyBorder="1"/>
    <xf numFmtId="164" fontId="24" fillId="10" borderId="0" xfId="0" applyNumberFormat="1" applyFont="1" applyFill="1" applyBorder="1"/>
    <xf numFmtId="164" fontId="11" fillId="2" borderId="0" xfId="0" applyNumberFormat="1" applyFont="1" applyFill="1" applyBorder="1"/>
    <xf numFmtId="3" fontId="24" fillId="2" borderId="0" xfId="0" applyNumberFormat="1" applyFont="1" applyFill="1" applyBorder="1"/>
    <xf numFmtId="3" fontId="24" fillId="10" borderId="0" xfId="0" applyNumberFormat="1" applyFont="1" applyFill="1" applyBorder="1"/>
    <xf numFmtId="3" fontId="11" fillId="2" borderId="0" xfId="0" applyNumberFormat="1" applyFont="1" applyFill="1" applyBorder="1"/>
    <xf numFmtId="164" fontId="24" fillId="2" borderId="0" xfId="0" applyNumberFormat="1" applyFont="1" applyFill="1" applyBorder="1"/>
    <xf numFmtId="0" fontId="20" fillId="2" borderId="0" xfId="0" applyFont="1" applyFill="1" applyBorder="1"/>
    <xf numFmtId="0" fontId="2" fillId="4" borderId="0" xfId="0" applyFont="1" applyFill="1" applyBorder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 applyAlignment="1">
      <alignment horizontal="center"/>
    </xf>
    <xf numFmtId="10" fontId="8" fillId="2" borderId="0" xfId="0" applyNumberFormat="1" applyFont="1" applyFill="1" applyBorder="1"/>
    <xf numFmtId="164" fontId="13" fillId="10" borderId="0" xfId="0" applyNumberFormat="1" applyFont="1" applyFill="1" applyBorder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 applyBorder="1"/>
    <xf numFmtId="0" fontId="24" fillId="2" borderId="0" xfId="0" applyFont="1" applyFill="1" applyBorder="1"/>
    <xf numFmtId="164" fontId="25" fillId="2" borderId="0" xfId="0" applyNumberFormat="1" applyFont="1" applyFill="1" applyBorder="1"/>
    <xf numFmtId="0" fontId="8" fillId="0" borderId="0" xfId="0" applyFont="1" applyBorder="1"/>
    <xf numFmtId="10" fontId="24" fillId="0" borderId="0" xfId="0" applyNumberFormat="1" applyFont="1" applyBorder="1"/>
    <xf numFmtId="0" fontId="2" fillId="0" borderId="0" xfId="0" applyFont="1" applyBorder="1"/>
    <xf numFmtId="10" fontId="11" fillId="0" borderId="0" xfId="0" applyNumberFormat="1" applyFont="1" applyBorder="1"/>
    <xf numFmtId="0" fontId="24" fillId="10" borderId="0" xfId="0" applyFont="1" applyFill="1" applyBorder="1"/>
    <xf numFmtId="0" fontId="26" fillId="0" borderId="0" xfId="0" applyFont="1" applyBorder="1"/>
    <xf numFmtId="164" fontId="11" fillId="0" borderId="0" xfId="0" applyNumberFormat="1" applyFont="1" applyBorder="1"/>
    <xf numFmtId="0" fontId="18" fillId="4" borderId="0" xfId="0" applyFont="1" applyFill="1" applyBorder="1"/>
    <xf numFmtId="0" fontId="18" fillId="0" borderId="0" xfId="0" applyFont="1" applyBorder="1"/>
    <xf numFmtId="4" fontId="18" fillId="0" borderId="0" xfId="0" applyNumberFormat="1" applyFont="1" applyBorder="1"/>
    <xf numFmtId="0" fontId="27" fillId="11" borderId="0" xfId="0" applyFont="1" applyFill="1" applyBorder="1"/>
    <xf numFmtId="0" fontId="18" fillId="12" borderId="5" xfId="0" applyFont="1" applyFill="1" applyBorder="1"/>
    <xf numFmtId="164" fontId="18" fillId="12" borderId="5" xfId="0" applyNumberFormat="1" applyFont="1" applyFill="1" applyBorder="1" applyAlignment="1">
      <alignment horizontal="right"/>
    </xf>
    <xf numFmtId="0" fontId="18" fillId="8" borderId="5" xfId="0" applyFont="1" applyFill="1" applyBorder="1"/>
    <xf numFmtId="164" fontId="18" fillId="8" borderId="5" xfId="0" applyNumberFormat="1" applyFont="1" applyFill="1" applyBorder="1" applyAlignment="1">
      <alignment horizontal="right"/>
    </xf>
    <xf numFmtId="3" fontId="18" fillId="12" borderId="5" xfId="0" applyNumberFormat="1" applyFont="1" applyFill="1" applyBorder="1" applyAlignment="1">
      <alignment horizontal="right"/>
    </xf>
    <xf numFmtId="164" fontId="24" fillId="0" borderId="0" xfId="0" applyNumberFormat="1" applyFont="1" applyBorder="1"/>
    <xf numFmtId="0" fontId="24" fillId="0" borderId="0" xfId="0" applyFont="1" applyBorder="1"/>
    <xf numFmtId="0" fontId="11" fillId="0" borderId="0" xfId="0" applyFont="1" applyBorder="1"/>
    <xf numFmtId="166" fontId="11" fillId="0" borderId="0" xfId="0" applyNumberFormat="1" applyFont="1" applyBorder="1"/>
    <xf numFmtId="0" fontId="13" fillId="0" borderId="0" xfId="0" applyFont="1" applyBorder="1"/>
    <xf numFmtId="164" fontId="13" fillId="0" borderId="0" xfId="0" applyNumberFormat="1" applyFont="1" applyBorder="1"/>
    <xf numFmtId="0" fontId="21" fillId="0" borderId="0" xfId="0" applyFont="1" applyBorder="1"/>
    <xf numFmtId="164" fontId="21" fillId="0" borderId="0" xfId="0" applyNumberFormat="1" applyFont="1" applyBorder="1"/>
    <xf numFmtId="167" fontId="0" fillId="0" borderId="0" xfId="0" applyNumberFormat="1" applyBorder="1"/>
    <xf numFmtId="0" fontId="28" fillId="0" borderId="0" xfId="0" applyFont="1" applyBorder="1"/>
    <xf numFmtId="0" fontId="29" fillId="0" borderId="0" xfId="0" applyFont="1" applyBorder="1"/>
    <xf numFmtId="164" fontId="3" fillId="0" borderId="6" xfId="0" applyNumberFormat="1" applyFont="1" applyBorder="1"/>
    <xf numFmtId="0" fontId="30" fillId="0" borderId="0" xfId="0" applyFont="1" applyBorder="1"/>
    <xf numFmtId="0" fontId="31" fillId="4" borderId="0" xfId="0" applyFont="1" applyFill="1" applyBorder="1"/>
    <xf numFmtId="3" fontId="18" fillId="0" borderId="0" xfId="0" applyNumberFormat="1" applyFont="1" applyBorder="1"/>
    <xf numFmtId="0" fontId="31" fillId="13" borderId="0" xfId="0" applyFont="1" applyFill="1" applyBorder="1"/>
    <xf numFmtId="0" fontId="28" fillId="14" borderId="0" xfId="0" applyFont="1" applyFill="1" applyBorder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7" xfId="0" applyFont="1" applyFill="1" applyBorder="1"/>
    <xf numFmtId="164" fontId="3" fillId="16" borderId="7" xfId="0" applyNumberFormat="1" applyFont="1" applyFill="1" applyBorder="1"/>
    <xf numFmtId="0" fontId="31" fillId="17" borderId="0" xfId="0" applyFont="1" applyFill="1" applyBorder="1"/>
    <xf numFmtId="0" fontId="3" fillId="15" borderId="0" xfId="0" applyFont="1" applyFill="1" applyBorder="1"/>
    <xf numFmtId="0" fontId="32" fillId="0" borderId="0" xfId="0" applyFont="1" applyBorder="1"/>
    <xf numFmtId="3" fontId="3" fillId="15" borderId="0" xfId="0" applyNumberFormat="1" applyFont="1" applyFill="1" applyBorder="1"/>
    <xf numFmtId="164" fontId="3" fillId="15" borderId="0" xfId="0" applyNumberFormat="1" applyFont="1" applyFill="1" applyBorder="1"/>
    <xf numFmtId="0" fontId="31" fillId="18" borderId="0" xfId="0" applyFont="1" applyFill="1" applyBorder="1"/>
    <xf numFmtId="0" fontId="3" fillId="19" borderId="0" xfId="0" applyFont="1" applyFill="1" applyBorder="1"/>
    <xf numFmtId="0" fontId="33" fillId="0" borderId="0" xfId="0" applyFont="1" applyBorder="1"/>
    <xf numFmtId="164" fontId="3" fillId="19" borderId="0" xfId="0" applyNumberFormat="1" applyFont="1" applyFill="1" applyBorder="1"/>
    <xf numFmtId="0" fontId="31" fillId="20" borderId="0" xfId="0" applyFont="1" applyFill="1" applyBorder="1"/>
    <xf numFmtId="0" fontId="3" fillId="21" borderId="0" xfId="0" applyFont="1" applyFill="1" applyBorder="1"/>
    <xf numFmtId="164" fontId="3" fillId="21" borderId="0" xfId="0" applyNumberFormat="1" applyFont="1" applyFill="1" applyBorder="1"/>
    <xf numFmtId="0" fontId="31" fillId="22" borderId="0" xfId="0" applyFont="1" applyFill="1" applyBorder="1"/>
    <xf numFmtId="0" fontId="3" fillId="16" borderId="0" xfId="0" applyFont="1" applyFill="1" applyBorder="1"/>
    <xf numFmtId="164" fontId="3" fillId="16" borderId="0" xfId="0" applyNumberFormat="1" applyFont="1" applyFill="1" applyBorder="1"/>
    <xf numFmtId="0" fontId="16" fillId="0" borderId="0" xfId="0" applyFont="1" applyBorder="1"/>
    <xf numFmtId="0" fontId="31" fillId="3" borderId="0" xfId="0" applyFont="1" applyFill="1" applyBorder="1"/>
    <xf numFmtId="0" fontId="31" fillId="23" borderId="0" xfId="0" applyFont="1" applyFill="1" applyBorder="1"/>
    <xf numFmtId="165" fontId="18" fillId="0" borderId="0" xfId="0" applyNumberFormat="1" applyFont="1" applyBorder="1"/>
    <xf numFmtId="0" fontId="27" fillId="3" borderId="0" xfId="0" applyFont="1" applyFill="1" applyBorder="1"/>
    <xf numFmtId="0" fontId="34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/>
    <xf numFmtId="164" fontId="4" fillId="0" borderId="0" xfId="0" applyNumberFormat="1" applyFont="1" applyBorder="1"/>
    <xf numFmtId="164" fontId="34" fillId="0" borderId="0" xfId="0" applyNumberFormat="1" applyFont="1" applyBorder="1"/>
    <xf numFmtId="0" fontId="35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8" xfId="0" applyFont="1" applyBorder="1"/>
    <xf numFmtId="0" fontId="3" fillId="0" borderId="8" xfId="0" applyFont="1" applyBorder="1" applyAlignment="1">
      <alignment horizontal="center"/>
    </xf>
    <xf numFmtId="0" fontId="27" fillId="24" borderId="0" xfId="0" applyFont="1" applyFill="1" applyBorder="1"/>
    <xf numFmtId="164" fontId="27" fillId="24" borderId="0" xfId="0" applyNumberFormat="1" applyFont="1" applyFill="1" applyBorder="1"/>
    <xf numFmtId="0" fontId="18" fillId="12" borderId="0" xfId="0" applyFont="1" applyFill="1" applyBorder="1"/>
    <xf numFmtId="164" fontId="18" fillId="12" borderId="0" xfId="0" applyNumberFormat="1" applyFont="1" applyFill="1" applyBorder="1"/>
    <xf numFmtId="0" fontId="5" fillId="0" borderId="6" xfId="0" applyFont="1" applyBorder="1"/>
    <xf numFmtId="164" fontId="5" fillId="0" borderId="6" xfId="0" applyNumberFormat="1" applyFont="1" applyBorder="1"/>
    <xf numFmtId="164" fontId="27" fillId="11" borderId="0" xfId="0" applyNumberFormat="1" applyFont="1" applyFill="1" applyBorder="1"/>
    <xf numFmtId="0" fontId="18" fillId="15" borderId="0" xfId="0" applyFont="1" applyFill="1" applyBorder="1"/>
    <xf numFmtId="164" fontId="18" fillId="15" borderId="0" xfId="0" applyNumberFormat="1" applyFont="1" applyFill="1" applyBorder="1"/>
    <xf numFmtId="0" fontId="29" fillId="15" borderId="0" xfId="0" applyFont="1" applyFill="1" applyBorder="1"/>
    <xf numFmtId="164" fontId="29" fillId="15" borderId="0" xfId="0" applyNumberFormat="1" applyFont="1" applyFill="1" applyBorder="1"/>
    <xf numFmtId="0" fontId="27" fillId="25" borderId="6" xfId="0" applyFont="1" applyFill="1" applyBorder="1"/>
    <xf numFmtId="164" fontId="27" fillId="25" borderId="6" xfId="0" applyNumberFormat="1" applyFont="1" applyFill="1" applyBorder="1"/>
    <xf numFmtId="0" fontId="18" fillId="19" borderId="0" xfId="0" applyFont="1" applyFill="1" applyBorder="1"/>
    <xf numFmtId="164" fontId="18" fillId="19" borderId="0" xfId="0" applyNumberFormat="1" applyFont="1" applyFill="1" applyBorder="1"/>
    <xf numFmtId="0" fontId="18" fillId="25" borderId="0" xfId="0" applyFont="1" applyFill="1" applyBorder="1"/>
    <xf numFmtId="164" fontId="18" fillId="25" borderId="0" xfId="0" applyNumberFormat="1" applyFont="1" applyFill="1" applyBorder="1"/>
    <xf numFmtId="164" fontId="29" fillId="0" borderId="0" xfId="0" applyNumberFormat="1" applyFont="1" applyBorder="1"/>
    <xf numFmtId="0" fontId="27" fillId="26" borderId="0" xfId="0" applyFont="1" applyFill="1" applyBorder="1"/>
    <xf numFmtId="164" fontId="27" fillId="26" borderId="0" xfId="0" applyNumberFormat="1" applyFont="1" applyFill="1" applyBorder="1"/>
    <xf numFmtId="0" fontId="18" fillId="0" borderId="6" xfId="0" applyFont="1" applyBorder="1"/>
    <xf numFmtId="164" fontId="18" fillId="0" borderId="6" xfId="0" applyNumberFormat="1" applyFont="1" applyBorder="1"/>
    <xf numFmtId="0" fontId="18" fillId="26" borderId="0" xfId="0" applyFont="1" applyFill="1" applyBorder="1"/>
    <xf numFmtId="164" fontId="18" fillId="26" borderId="0" xfId="0" applyNumberFormat="1" applyFont="1" applyFill="1" applyBorder="1"/>
    <xf numFmtId="0" fontId="18" fillId="21" borderId="0" xfId="0" applyFont="1" applyFill="1" applyBorder="1"/>
    <xf numFmtId="164" fontId="18" fillId="21" borderId="0" xfId="0" applyNumberFormat="1" applyFont="1" applyFill="1" applyBorder="1"/>
    <xf numFmtId="0" fontId="29" fillId="21" borderId="0" xfId="0" applyFont="1" applyFill="1" applyBorder="1"/>
    <xf numFmtId="164" fontId="29" fillId="21" borderId="0" xfId="0" applyNumberFormat="1" applyFont="1" applyFill="1" applyBorder="1"/>
    <xf numFmtId="0" fontId="36" fillId="0" borderId="0" xfId="0" applyFont="1" applyBorder="1"/>
    <xf numFmtId="0" fontId="37" fillId="0" borderId="0" xfId="0" applyFont="1" applyBorder="1"/>
    <xf numFmtId="0" fontId="39" fillId="27" borderId="10" xfId="0" applyFont="1" applyFill="1" applyBorder="1" applyAlignment="1">
      <alignment horizontal="left" vertical="center"/>
    </xf>
    <xf numFmtId="0" fontId="39" fillId="27" borderId="10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left" vertical="center"/>
    </xf>
    <xf numFmtId="168" fontId="40" fillId="0" borderId="10" xfId="0" applyNumberFormat="1" applyFont="1" applyBorder="1" applyAlignment="1">
      <alignment horizontal="right" vertical="center"/>
    </xf>
    <xf numFmtId="1" fontId="40" fillId="0" borderId="10" xfId="0" applyNumberFormat="1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10" fontId="40" fillId="0" borderId="10" xfId="0" applyNumberFormat="1" applyFont="1" applyBorder="1" applyAlignment="1">
      <alignment horizontal="right" vertical="center"/>
    </xf>
    <xf numFmtId="0" fontId="0" fillId="0" borderId="9" xfId="0"/>
    <xf numFmtId="0" fontId="40" fillId="28" borderId="10" xfId="0" applyFont="1" applyFill="1" applyBorder="1" applyAlignment="1">
      <alignment horizontal="left" vertical="center"/>
    </xf>
    <xf numFmtId="168" fontId="40" fillId="28" borderId="10" xfId="0" applyNumberFormat="1" applyFont="1" applyFill="1" applyBorder="1" applyAlignment="1">
      <alignment horizontal="right" vertical="center"/>
    </xf>
    <xf numFmtId="1" fontId="40" fillId="28" borderId="10" xfId="0" applyNumberFormat="1" applyFont="1" applyFill="1" applyBorder="1" applyAlignment="1">
      <alignment horizontal="center" vertical="center"/>
    </xf>
    <xf numFmtId="0" fontId="40" fillId="28" borderId="10" xfId="0" applyFont="1" applyFill="1" applyBorder="1" applyAlignment="1">
      <alignment horizontal="center" vertical="center"/>
    </xf>
    <xf numFmtId="10" fontId="40" fillId="28" borderId="10" xfId="0" applyNumberFormat="1" applyFont="1" applyFill="1" applyBorder="1" applyAlignment="1">
      <alignment horizontal="right" vertical="center"/>
    </xf>
    <xf numFmtId="0" fontId="38" fillId="0" borderId="9" xfId="0" applyFont="1" applyAlignment="1">
      <alignment horizontal="left" vertical="center"/>
    </xf>
    <xf numFmtId="168" fontId="38" fillId="0" borderId="9" xfId="0" applyNumberFormat="1" applyFont="1" applyAlignment="1">
      <alignment horizontal="right" vertical="center"/>
    </xf>
    <xf numFmtId="1" fontId="38" fillId="0" borderId="9" xfId="0" applyNumberFormat="1" applyFont="1" applyAlignment="1">
      <alignment horizontal="center" vertical="center"/>
    </xf>
    <xf numFmtId="0" fontId="38" fillId="0" borderId="9" xfId="0" applyFont="1" applyAlignment="1">
      <alignment horizontal="center" vertical="center"/>
    </xf>
    <xf numFmtId="10" fontId="38" fillId="0" borderId="9" xfId="0" applyNumberFormat="1" applyFont="1" applyAlignment="1">
      <alignment horizontal="right" vertical="center"/>
    </xf>
    <xf numFmtId="0" fontId="41" fillId="29" borderId="10" xfId="0" applyFont="1" applyFill="1" applyBorder="1" applyAlignment="1">
      <alignment horizontal="left" vertical="center"/>
    </xf>
    <xf numFmtId="0" fontId="41" fillId="29" borderId="10" xfId="0" applyFont="1" applyFill="1" applyBorder="1" applyAlignment="1">
      <alignment horizontal="center" vertical="center"/>
    </xf>
    <xf numFmtId="168" fontId="41" fillId="29" borderId="10" xfId="0" applyNumberFormat="1" applyFont="1" applyFill="1" applyBorder="1" applyAlignment="1">
      <alignment horizontal="center" vertical="center"/>
    </xf>
    <xf numFmtId="1" fontId="41" fillId="29" borderId="10" xfId="0" applyNumberFormat="1" applyFont="1" applyFill="1" applyBorder="1" applyAlignment="1">
      <alignment horizontal="center" vertical="center"/>
    </xf>
    <xf numFmtId="10" fontId="41" fillId="29" borderId="10" xfId="0" applyNumberFormat="1" applyFont="1" applyFill="1" applyBorder="1" applyAlignment="1">
      <alignment horizontal="center" vertical="center"/>
    </xf>
    <xf numFmtId="0" fontId="1" fillId="2" borderId="9" xfId="0" applyFont="1" applyFill="1"/>
    <xf numFmtId="0" fontId="0" fillId="0" borderId="0" xfId="0" applyBorder="1"/>
    <xf numFmtId="0" fontId="1" fillId="0" borderId="9" xfId="0" applyFont="1"/>
    <xf numFmtId="0" fontId="33" fillId="0" borderId="9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13" sqref="P13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17" t="s">
        <v>0</v>
      </c>
      <c r="B1" s="218"/>
      <c r="C1" s="218"/>
      <c r="D1" s="218"/>
      <c r="E1" s="218"/>
      <c r="F1" s="1"/>
      <c r="G1" s="1"/>
      <c r="H1" s="1"/>
      <c r="I1" s="1"/>
    </row>
    <row r="2" spans="1:9" ht="15" customHeight="1" x14ac:dyDescent="0.2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15" customHeight="1" x14ac:dyDescent="0.25">
      <c r="A3" s="4" t="s">
        <v>9</v>
      </c>
      <c r="B3" s="5">
        <f>Model!C7+Model!D7+Model!E7+Model!F7+Model!G7+Model!H7+Model!I7+Model!J7+Model!K7</f>
        <v>55364827.355295479</v>
      </c>
      <c r="C3" s="5">
        <f>Model!L7+Model!M7+Model!N7+Model!O7+Model!P7+Model!Q7+Model!R7+Model!S7+Model!T7+Model!U7+Model!V7+Model!W7</f>
        <v>100224083.97129053</v>
      </c>
      <c r="D3" s="5">
        <f>Model!X7+Model!Y7+Model!Z7+Model!AA7+Model!AB7+Model!AC7+Model!AD7+Model!AE7+Model!AF7+Model!AG7+Model!AH7+Model!AI7</f>
        <v>52988676.793636002</v>
      </c>
      <c r="E3" s="5">
        <f>Model!AJ7+Model!AK7+Model!AL7+Model!AM7+Model!AN7+Model!AO7+Model!AP7+Model!AQ7+Model!AR7+Model!AS7+Model!AT7+Model!AU7</f>
        <v>32893826.824765999</v>
      </c>
      <c r="F3" s="5">
        <f>Model!AV7+Model!AW7+Model!AX7+Model!AY7+Model!AZ7+Model!BA7+Model!BB7+Model!BC7+Model!BD7+Model!BE7+Model!BF7+Model!BG7</f>
        <v>13258749.920151999</v>
      </c>
      <c r="G3" s="5">
        <f>Model!BH7+Model!BI7+Model!BJ7+Model!BK7+Model!BL7+Model!BM7+Model!BN7+Model!BO7+Model!BP7+Model!BQ7+Model!BR7+Model!BS7</f>
        <v>0</v>
      </c>
      <c r="H3" s="5">
        <f>Model!BT7+Model!BU7+Model!BV7+Model!BW7+Model!BX7+Model!BY7+Model!BZ7+Model!CA7+Model!CB7+Model!CC7+Model!CD7+Model!CE7</f>
        <v>0</v>
      </c>
      <c r="I3" s="5">
        <f>Model!CF7+Model!CG7+Model!CH7</f>
        <v>0</v>
      </c>
    </row>
    <row r="4" spans="1:9" ht="15" customHeight="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11</v>
      </c>
      <c r="B5" s="8">
        <f>Model!C8+Model!D8+Model!E8+Model!F8+Model!G8+Model!H8+Model!I8+Model!J8+Model!K8</f>
        <v>2353950.4831980513</v>
      </c>
      <c r="C5" s="8">
        <f>Model!L8+Model!M8+Model!N8+Model!O8+Model!P8+Model!Q8+Model!R8+Model!S8+Model!T8+Model!U8+Model!V8+Model!W8</f>
        <v>4207326.0763392849</v>
      </c>
      <c r="D5" s="8">
        <f>Model!X8+Model!Y8+Model!Z8+Model!AA8+Model!AB8+Model!AC8+Model!AD8+Model!AE8+Model!AF8+Model!AG8+Model!AH8+Model!AI8</f>
        <v>3248268.9392451295</v>
      </c>
      <c r="E5" s="8">
        <f>Model!AJ8+Model!AK8+Model!AL8+Model!AM8+Model!AN8+Model!AO8+Model!AP8+Model!AQ8+Model!AR8+Model!AS8+Model!AT8+Model!AU8</f>
        <v>1615745.2668019482</v>
      </c>
      <c r="F5" s="8">
        <f>Model!AV8+Model!AW8+Model!AX8+Model!AY8+Model!AZ8+Model!BA8+Model!BB8+Model!BC8+Model!BD8+Model!BE8+Model!BF8+Model!BG8</f>
        <v>802253.00714285718</v>
      </c>
      <c r="G5" s="8">
        <f>Model!BH8+Model!BI8+Model!BJ8+Model!BK8+Model!BL8+Model!BM8+Model!BN8+Model!BO8+Model!BP8+Model!BQ8+Model!BR8+Model!BS8</f>
        <v>0</v>
      </c>
      <c r="H5" s="8">
        <f>Model!BT8+Model!BU8+Model!BV8+Model!BW8+Model!BX8+Model!BY8+Model!BZ8+Model!CA8+Model!CB8+Model!CC8+Model!CD8+Model!CE8</f>
        <v>0</v>
      </c>
      <c r="I5" s="8">
        <f>Model!CF8+Model!CG8+Model!CH8</f>
        <v>0</v>
      </c>
    </row>
    <row r="6" spans="1:9" ht="15" customHeight="1" x14ac:dyDescent="0.25">
      <c r="A6" s="7" t="s">
        <v>12</v>
      </c>
      <c r="B6" s="8">
        <f>Model!C9+Model!D9+Model!E9+Model!F9+Model!G9+Model!H9+Model!I9+Model!J9+Model!K9</f>
        <v>2578874.5002044174</v>
      </c>
      <c r="C6" s="8">
        <f>Model!L9+Model!M9+Model!N9+Model!O9+Model!P9+Model!Q9+Model!R9+Model!S9+Model!T9+Model!U9+Model!V9+Model!W9</f>
        <v>4759127.5652301628</v>
      </c>
      <c r="D6" s="8">
        <f>Model!X9+Model!Y9+Model!Z9+Model!AA9+Model!AB9+Model!AC9+Model!AD9+Model!AE9+Model!AF9+Model!AG9+Model!AH9+Model!AI9</f>
        <v>2682868.8216211465</v>
      </c>
      <c r="E6" s="8">
        <f>Model!AJ9+Model!AK9+Model!AL9+Model!AM9+Model!AN9+Model!AO9+Model!AP9+Model!AQ9+Model!AR9+Model!AS9+Model!AT9+Model!AU9</f>
        <v>1670684.3246847903</v>
      </c>
      <c r="F6" s="8">
        <f>Model!AV9+Model!AW9+Model!AX9+Model!AY9+Model!AZ9+Model!BA9+Model!BB9+Model!BC9+Model!BD9+Model!BE9+Model!BF9+Model!BG9</f>
        <v>714133.6375394999</v>
      </c>
      <c r="G6" s="8">
        <f>Model!BH9+Model!BI9+Model!BJ9+Model!BK9+Model!BL9+Model!BM9+Model!BN9+Model!BO9+Model!BP9+Model!BQ9+Model!BR9+Model!BS9</f>
        <v>0</v>
      </c>
      <c r="H6" s="8">
        <f>Model!BT9+Model!BU9+Model!BV9+Model!BW9+Model!BX9+Model!BY9+Model!BZ9+Model!CA9+Model!CB9+Model!CC9+Model!CD9+Model!CE9</f>
        <v>0</v>
      </c>
      <c r="I6" s="8">
        <f>Model!CF9+Model!CG9+Model!CH9</f>
        <v>0</v>
      </c>
    </row>
    <row r="7" spans="1:9" ht="15" customHeight="1" x14ac:dyDescent="0.25">
      <c r="A7" s="7" t="s">
        <v>13</v>
      </c>
      <c r="B7" s="8">
        <f>Model!C10+Model!D10+Model!E10+Model!F10+Model!G10+Model!H10+Model!I10+Model!J10+Model!K10</f>
        <v>665443.41210768407</v>
      </c>
      <c r="C7" s="8">
        <f>Model!L10+Model!M10+Model!N10+Model!O10+Model!P10+Model!Q10+Model!R10+Model!S10+Model!T10+Model!U10+Model!V10+Model!W10</f>
        <v>1301931.4410714288</v>
      </c>
      <c r="D7" s="8">
        <f>Model!X10+Model!Y10+Model!Z10+Model!AA10+Model!AB10+Model!AC10+Model!AD10+Model!AE10+Model!AF10+Model!AG10+Model!AH10+Model!AI10</f>
        <v>1082756.3130817099</v>
      </c>
      <c r="E7" s="8">
        <f>Model!AJ10+Model!AK10+Model!AL10+Model!AM10+Model!AN10+Model!AO10+Model!AP10+Model!AQ10+Model!AR10+Model!AS10+Model!AT10+Model!AU10</f>
        <v>538581.7556006494</v>
      </c>
      <c r="F7" s="8">
        <f>Model!AV10+Model!AW10+Model!AX10+Model!AY10+Model!AZ10+Model!BA10+Model!BB10+Model!BC10+Model!BD10+Model!BE10+Model!BF10+Model!BG10</f>
        <v>267417.6690476191</v>
      </c>
      <c r="G7" s="8">
        <f>Model!BH10+Model!BI10+Model!BJ10+Model!BK10+Model!BL10+Model!BM10+Model!BN10+Model!BO10+Model!BP10+Model!BQ10+Model!BR10+Model!BS10</f>
        <v>0</v>
      </c>
      <c r="H7" s="8">
        <f>Model!BT10+Model!BU10+Model!BV10+Model!BW10+Model!BX10+Model!BY10+Model!BZ10+Model!CA10+Model!CB10+Model!CC10+Model!CD10+Model!CE10</f>
        <v>0</v>
      </c>
      <c r="I7" s="8">
        <f>Model!CF10+Model!CG10+Model!CH10</f>
        <v>0</v>
      </c>
    </row>
    <row r="8" spans="1:9" ht="15" customHeight="1" x14ac:dyDescent="0.25">
      <c r="A8" s="7" t="s">
        <v>14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15</v>
      </c>
      <c r="B9" s="10">
        <f>Model!C12+Model!D12+Model!E12+Model!F12+Model!G12+Model!H12+Model!I12+Model!J12+Model!K12</f>
        <v>7003806.0155101521</v>
      </c>
      <c r="C9" s="10">
        <f>Model!L12+Model!M12+Model!N12+Model!O12+Model!P12+Model!Q12+Model!R12+Model!S12+Model!T12+Model!U12+Model!V12+Model!W12</f>
        <v>10947386.632640876</v>
      </c>
      <c r="D9" s="10">
        <f>Model!X12+Model!Y12+Model!Z12+Model!AA12+Model!AB12+Model!AC12+Model!AD12+Model!AE12+Model!AF12+Model!AG12+Model!AH12+Model!AI12</f>
        <v>7634213.5539479852</v>
      </c>
      <c r="E9" s="10">
        <f>Model!AJ12+Model!AK12+Model!AL12+Model!AM12+Model!AN12+Model!AO12+Model!AP12+Model!AQ12+Model!AR12+Model!AS12+Model!AT12+Model!AU12</f>
        <v>3825011.3470873879</v>
      </c>
      <c r="F9" s="10">
        <f>Model!AV12+Model!AW12+Model!AX12+Model!AY12+Model!AZ12+Model!BA12+Model!BB12+Model!BC12+Model!BD12+Model!BE12+Model!BF12+Model!BG12</f>
        <v>1783804.3137299761</v>
      </c>
      <c r="G9" s="10">
        <f>Model!BH12+Model!BI12+Model!BJ12+Model!BK12+Model!BL12+Model!BM12+Model!BN12+Model!BO12+Model!BP12+Model!BQ12+Model!BR12+Model!BS12</f>
        <v>0</v>
      </c>
      <c r="H9" s="10">
        <f>Model!BT12+Model!BU12+Model!BV12+Model!BW12+Model!BX12+Model!BY12+Model!BZ12+Model!CA12+Model!CB12+Model!CC12+Model!CD12+Model!CE12</f>
        <v>0</v>
      </c>
      <c r="I9" s="10">
        <f>Model!CF12+Model!CG12+Model!CH12</f>
        <v>0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16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17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18</v>
      </c>
      <c r="B13" s="8">
        <f>Model!C16+Model!C17+Model!D16+Model!D17+Model!E16+Model!E17+Model!F16+Model!F17+Model!G16+Model!G17+Model!H16+Model!H17+Model!I16+Model!I17+Model!J16+Model!J17+Model!K16+Model!K17</f>
        <v>-2286041.6666666665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-3757500.0000000009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-3797500.0000000009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-3797500.0000000009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-3797500.0000000009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-3797500.0000000009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-3797500.0000000009</v>
      </c>
      <c r="I13" s="8">
        <f>Model!CF16+Model!CF17+Model!CG16+Model!CG17+Model!CH16+Model!CH17</f>
        <v>-949375</v>
      </c>
    </row>
    <row r="14" spans="1:9" ht="15" customHeight="1" x14ac:dyDescent="0.25">
      <c r="A14" s="7" t="s">
        <v>19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20</v>
      </c>
      <c r="B15" s="10">
        <f>Model!C39+Model!D39+Model!E39+Model!F39+Model!G39+Model!H39+Model!I39+Model!J39+Model!K39</f>
        <v>-4469956.0008666664</v>
      </c>
      <c r="C15" s="10">
        <f>Model!L39+Model!M39+Model!N39+Model!O39+Model!P39+Model!Q39+Model!R39+Model!S39+Model!T39+Model!U39+Model!V39+Model!W39</f>
        <v>-7578929.7279999983</v>
      </c>
      <c r="D15" s="10">
        <f>Model!X39+Model!Y39+Model!Z39+Model!AA39+Model!AB39+Model!AC39+Model!AD39+Model!AE39+Model!AF39+Model!AG39+Model!AH39+Model!AI39</f>
        <v>-7101298.1870599976</v>
      </c>
      <c r="E15" s="10">
        <f>Model!AJ39+Model!AK39+Model!AL39+Model!AM39+Model!AN39+Model!AO39+Model!AP39+Model!AQ39+Model!AR39+Model!AS39+Model!AT39+Model!AU39</f>
        <v>-5630343.850001201</v>
      </c>
      <c r="F15" s="10">
        <f>Model!AV39+Model!AW39+Model!AX39+Model!AY39+Model!AZ39+Model!BA39+Model!BB39+Model!BC39+Model!BD39+Model!BE39+Model!BF39+Model!BG39</f>
        <v>-5638576.4770012228</v>
      </c>
      <c r="G15" s="10">
        <f>Model!BH39+Model!BI39+Model!BJ39+Model!BK39+Model!BL39+Model!BM39+Model!BN39+Model!BO39+Model!BP39+Model!BQ39+Model!BR39+Model!BS39</f>
        <v>-5646973.7565412503</v>
      </c>
      <c r="H15" s="10">
        <f>Model!BT39+Model!BU39+Model!BV39+Model!BW39+Model!BX39+Model!BY39+Model!BZ39+Model!CA39+Model!CB39+Model!CC39+Model!CD39+Model!CE39</f>
        <v>-5655538.9816720728</v>
      </c>
      <c r="I15" s="10">
        <f>Model!CF39+Model!CG39+Model!CH39</f>
        <v>-1414422.7090653977</v>
      </c>
    </row>
    <row r="16" spans="1:9" ht="15" customHeight="1" x14ac:dyDescent="0.25">
      <c r="A16" s="13" t="s">
        <v>21</v>
      </c>
      <c r="B16" s="14">
        <f>Model!C41+Model!D41+Model!E41+Model!F41+Model!G41+Model!H41+Model!I41+Model!J41+Model!K41</f>
        <v>2533850.0146434857</v>
      </c>
      <c r="C16" s="14">
        <f>Model!L41+Model!M41+Model!N41+Model!O41+Model!P41+Model!Q41+Model!R41+Model!S41+Model!T41+Model!U41+Model!V41+Model!W41</f>
        <v>3368456.9046408772</v>
      </c>
      <c r="D16" s="14">
        <f>Model!X41+Model!Y41+Model!Z41+Model!AA41+Model!AB41+Model!AC41+Model!AD41+Model!AE41+Model!AF41+Model!AG41+Model!AH41+Model!AI41</f>
        <v>532915.3668879855</v>
      </c>
      <c r="E16" s="14">
        <f>Model!AJ41+Model!AK41+Model!AL41+Model!AM41+Model!AN41+Model!AO41+Model!AP41+Model!AQ41+Model!AR41+Model!AS41+Model!AT41+Model!AU41</f>
        <v>-1805332.5029138124</v>
      </c>
      <c r="F16" s="14">
        <f>Model!AV41+Model!AW41+Model!AX41+Model!AY41+Model!AZ41+Model!BA41+Model!BB41+Model!BC41+Model!BD41+Model!BE41+Model!BF41+Model!BG41</f>
        <v>-3854772.1632712483</v>
      </c>
      <c r="G16" s="14">
        <f>Model!BH41+Model!BI41+Model!BJ41+Model!BK41+Model!BL41+Model!BM41+Model!BN41+Model!BO41+Model!BP41+Model!BQ41+Model!BR41+Model!BS41</f>
        <v>-5646973.7565412503</v>
      </c>
      <c r="H16" s="14">
        <f>Model!BT41+Model!BU41+Model!BV41+Model!BW41+Model!BX41+Model!BY41+Model!BZ41+Model!CA41+Model!CB41+Model!CC41+Model!CD41+Model!CE41</f>
        <v>-5655538.9816720728</v>
      </c>
      <c r="I16" s="14">
        <f>Model!CF41+Model!CG41+Model!CH41</f>
        <v>-1414422.7090653977</v>
      </c>
    </row>
    <row r="17" spans="1:9" ht="15" customHeight="1" x14ac:dyDescent="0.25">
      <c r="A17" s="7" t="s">
        <v>22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0.36178186674962071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0.30769507076670155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6.9806190660253634E-2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-0.47198095354370906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-2.1609837657645476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5">
        <f>IF((Model!CF12+Model!CG12+Model!CH12)&lt;&gt;0,(Model!CF41+Model!CG41+Model!CH41)/(Model!CF12+Model!CG12+Model!CH12),0)</f>
        <v>0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23</v>
      </c>
      <c r="B19" s="17">
        <f>Model!C64+Model!D64+Model!E64+Model!F64+Model!G64+Model!H64+Model!I64+Model!J64+Model!K64</f>
        <v>913541.32</v>
      </c>
      <c r="C19" s="17">
        <f>Model!L64+Model!M64+Model!N64+Model!O64+Model!P64+Model!Q64+Model!R64+Model!S64+Model!T64+Model!U64+Model!V64+Model!W64</f>
        <v>599023.02000000014</v>
      </c>
      <c r="D19" s="17">
        <f>Model!X64+Model!Y64+Model!Z64+Model!AA64+Model!AB64+Model!AC64+Model!AD64+Model!AE64+Model!AF64+Model!AG64+Model!AH64+Model!AI64</f>
        <v>258671.05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24</v>
      </c>
      <c r="B20" s="8">
        <f>Model!C85+Model!D85+Model!E85+Model!F85+Model!G85+Model!H85+Model!I85+Model!J85+Model!K85</f>
        <v>-1325148.1200000001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25</v>
      </c>
      <c r="B21" s="14">
        <f>Model!C87+Model!D87+Model!E87+Model!F87+Model!G87+Model!H87+Model!I87+Model!J87+Model!K87</f>
        <v>-411606.79999999993</v>
      </c>
      <c r="C21" s="14">
        <f>Model!L87+Model!M87+Model!N87+Model!O87+Model!P87+Model!Q87+Model!R87+Model!S87+Model!T87+Model!U87+Model!V87+Model!W87</f>
        <v>-769122.98</v>
      </c>
      <c r="D21" s="14">
        <f>Model!X87+Model!Y87+Model!Z87+Model!AA87+Model!AB87+Model!AC87+Model!AD87+Model!AE87+Model!AF87+Model!AG87+Model!AH87+Model!AI87</f>
        <v>-1114927.8700000001</v>
      </c>
      <c r="E21" s="14">
        <f>Model!AJ87+Model!AK87+Model!AL87+Model!AM87+Model!AN87+Model!AO87+Model!AP87+Model!AQ87+Model!AR87+Model!AS87+Model!AT87+Model!AU87</f>
        <v>-1379160.8983999998</v>
      </c>
      <c r="F21" s="14">
        <f>Model!AV87+Model!AW87+Model!AX87+Model!AY87+Model!AZ87+Model!BA87+Model!BB87+Model!BC87+Model!BD87+Model!BE87+Model!BF87+Model!BG87</f>
        <v>-1384834.1163679999</v>
      </c>
      <c r="G21" s="14">
        <f>Model!BH87+Model!BI87+Model!BJ87+Model!BK87+Model!BL87+Model!BM87+Model!BN87+Model!BO87+Model!BP87+Model!BQ87+Model!BR87+Model!BS87</f>
        <v>-1271345.2786953603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26</v>
      </c>
      <c r="B23" s="14">
        <f>Model!C96+Model!D96+Model!E96+Model!F96+Model!G96+Model!H96+Model!I96+Model!J96+Model!K96</f>
        <v>2122243.2146434858</v>
      </c>
      <c r="C23" s="14">
        <f>Model!L96+Model!M96+Model!N96+Model!O96+Model!P96+Model!Q96+Model!R96+Model!S96+Model!T96+Model!U96+Model!V96+Model!W96</f>
        <v>2599333.9246408753</v>
      </c>
      <c r="D23" s="14">
        <f>Model!X96+Model!Y96+Model!Z96+Model!AA96+Model!AB96+Model!AC96+Model!AD96+Model!AE96+Model!AF96+Model!AG96+Model!AH96+Model!AI96</f>
        <v>-582012.5031120145</v>
      </c>
      <c r="E23" s="14">
        <f>Model!AJ96+Model!AK96+Model!AL96+Model!AM96+Model!AN96+Model!AO96+Model!AP96+Model!AQ96+Model!AR96+Model!AS96+Model!AT96+Model!AU96</f>
        <v>-3184493.401313812</v>
      </c>
      <c r="F23" s="14">
        <f>Model!AV96+Model!AW96+Model!AX96+Model!AY96+Model!AZ96+Model!BA96+Model!BB96+Model!BC96+Model!BD96+Model!BE96+Model!BF96+Model!BG96</f>
        <v>-5239606.2796392478</v>
      </c>
      <c r="G23" s="14">
        <f>Model!BH96+Model!BI96+Model!BJ96+Model!BK96+Model!BL96+Model!BM96+Model!BN96+Model!BO96+Model!BP96+Model!BQ96+Model!BR96+Model!BS96</f>
        <v>-6918319.0352366101</v>
      </c>
      <c r="H23" s="14">
        <f>Model!BT96+Model!BU96+Model!BV96+Model!BW96+Model!BX96+Model!BY96+Model!BZ96+Model!CA96+Model!CB96+Model!CC96+Model!CD96+Model!CE96</f>
        <v>-6763540.1963413404</v>
      </c>
      <c r="I23" s="14">
        <f>Model!CF96+Model!CG96+Model!CH96</f>
        <v>-1668368.3941796292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27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28</v>
      </c>
      <c r="B26" s="8">
        <f>Model!C80+Model!D80+Model!E80+Model!F80+Model!G80+Model!H80+Model!I80+Model!J80+Model!K80</f>
        <v>-171223.12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29</v>
      </c>
      <c r="B27" s="8">
        <f>Model!C81+Model!D81+Model!E81+Model!F81+Model!G81+Model!H81+Model!I81+Model!J81+Model!K81</f>
        <v>-120000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30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31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32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33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34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35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36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37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500000</v>
      </c>
      <c r="F36" s="8">
        <f>Model!BG108</f>
        <v>500000</v>
      </c>
      <c r="G36" s="8">
        <f>Model!BS108</f>
        <v>500000</v>
      </c>
      <c r="H36" s="8">
        <f>Model!CE108</f>
        <v>500000</v>
      </c>
      <c r="I36" s="8">
        <f>Model!CH108</f>
        <v>500000</v>
      </c>
    </row>
    <row r="37" spans="1:9" ht="15" customHeight="1" x14ac:dyDescent="0.25">
      <c r="A37" s="7" t="s">
        <v>38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39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40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41</v>
      </c>
      <c r="B42" s="19">
        <f>Model!K148</f>
        <v>3559392.0146434852</v>
      </c>
      <c r="C42" s="19">
        <f>Model!W148</f>
        <v>6927848.9192843623</v>
      </c>
      <c r="D42" s="19">
        <f>Model!AI148</f>
        <v>7460764.2861723471</v>
      </c>
      <c r="E42" s="19">
        <f>Model!AU148</f>
        <v>5655431.783258535</v>
      </c>
      <c r="F42" s="19">
        <f>Model!BG148</f>
        <v>1800659.6199872864</v>
      </c>
      <c r="G42" s="19">
        <f>Model!BS148</f>
        <v>-3846314.1365539627</v>
      </c>
      <c r="H42" s="19">
        <f>Model!CE148</f>
        <v>-9501853.1182260383</v>
      </c>
      <c r="I42" s="19">
        <f>Model!CH148</f>
        <v>-10916275.827291438</v>
      </c>
    </row>
    <row r="43" spans="1:9" ht="15" customHeight="1" x14ac:dyDescent="0.25">
      <c r="A43" s="18" t="s">
        <v>42</v>
      </c>
      <c r="B43" s="19">
        <f>Model!K156</f>
        <v>-563619.79999999993</v>
      </c>
      <c r="C43" s="19">
        <f>Model!W156</f>
        <v>-3078712.0232854439</v>
      </c>
      <c r="D43" s="19">
        <f>Model!AI156</f>
        <v>-4443639.8932854431</v>
      </c>
      <c r="E43" s="19">
        <f>Model!AU156</f>
        <v>-5822800.7916854415</v>
      </c>
      <c r="F43" s="19">
        <f>Model!BG156</f>
        <v>-7207634.9080534428</v>
      </c>
      <c r="G43" s="19">
        <f>Model!BS156</f>
        <v>-8478980.1867488027</v>
      </c>
      <c r="H43" s="19">
        <f>Model!CE156</f>
        <v>-9586981.4014180731</v>
      </c>
      <c r="I43" s="19">
        <f>Model!CH156</f>
        <v>-9840927.0865323059</v>
      </c>
    </row>
    <row r="44" spans="1:9" ht="15" customHeight="1" x14ac:dyDescent="0.25">
      <c r="A44" s="18" t="s">
        <v>43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-636672.96439304575</v>
      </c>
      <c r="D44" s="19">
        <f>Model!X160+Model!Y160+Model!Z160+Model!AA160+Model!AB160+Model!AC160+Model!AD160+Model!AE160+Model!AF160+Model!AG160+Model!AH160+Model!AI160</f>
        <v>-779800.17739226262</v>
      </c>
      <c r="E44" s="19">
        <f>Model!AJ160+Model!AK160+Model!AL160+Model!AM160+Model!AN160+Model!AO160+Model!AP160+Model!AQ160+Model!AR160+Model!AS160+Model!AT160+Model!AU160</f>
        <v>0</v>
      </c>
      <c r="F44" s="19">
        <f>Model!AV160+Model!AW160+Model!AX160+Model!AY160+Model!AZ160+Model!BA160+Model!BB160+Model!BC160+Model!BD160+Model!BE160+Model!BF160+Model!BG160</f>
        <v>0</v>
      </c>
      <c r="G44" s="19">
        <f>Model!BH160+Model!BI160+Model!BJ160+Model!BK160+Model!BL160+Model!BM160+Model!BN160+Model!BO160+Model!BP160+Model!BQ160+Model!BR160+Model!BS160</f>
        <v>0</v>
      </c>
      <c r="H44" s="19">
        <f>Model!BT160+Model!BU160+Model!BV160+Model!BW160+Model!BX160+Model!BY160+Model!BZ160+Model!CA160+Model!CB160+Model!CC160+Model!CD160+Model!CE160</f>
        <v>0</v>
      </c>
      <c r="I44" s="19">
        <f>Model!CF160+Model!CG160+Model!CH160</f>
        <v>0</v>
      </c>
    </row>
    <row r="45" spans="1:9" ht="15" customHeight="1" x14ac:dyDescent="0.25">
      <c r="A45" s="20" t="s">
        <v>44</v>
      </c>
      <c r="B45" s="21">
        <f>Model!K161</f>
        <v>2995772.2146434854</v>
      </c>
      <c r="C45" s="21">
        <f>Model!W161</f>
        <v>3849136.8959989185</v>
      </c>
      <c r="D45" s="21">
        <f>Model!AI161</f>
        <v>3017124.3928869041</v>
      </c>
      <c r="E45" s="21">
        <f>Model!AU161</f>
        <v>-167369.0084269066</v>
      </c>
      <c r="F45" s="21">
        <f>Model!BG161</f>
        <v>-5406975.2880661562</v>
      </c>
      <c r="G45" s="21">
        <f>Model!BS161</f>
        <v>-12325294.323302764</v>
      </c>
      <c r="H45" s="21">
        <f>Model!CE161</f>
        <v>-19088834.519644111</v>
      </c>
      <c r="I45" s="21">
        <f>Model!CH161</f>
        <v>-20757202.913823742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6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50" sqref="E150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17" t="s">
        <v>45</v>
      </c>
      <c r="B1" s="218"/>
      <c r="C1" s="218"/>
      <c r="D1" s="218"/>
      <c r="E1" s="218"/>
      <c r="F1" s="218"/>
      <c r="G1" s="218"/>
      <c r="H1" s="218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46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47</v>
      </c>
      <c r="B5" s="26"/>
      <c r="C5" s="27" t="s">
        <v>48</v>
      </c>
      <c r="D5" s="26"/>
      <c r="E5" s="26"/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6"/>
      <c r="L5" s="26"/>
      <c r="M5" s="26"/>
      <c r="N5" s="26"/>
      <c r="O5" s="27" t="s">
        <v>54</v>
      </c>
      <c r="P5" s="26"/>
      <c r="Q5" s="26"/>
      <c r="R5" s="27" t="s">
        <v>55</v>
      </c>
      <c r="S5" s="26"/>
      <c r="T5" s="26"/>
      <c r="U5" s="27" t="s">
        <v>56</v>
      </c>
      <c r="V5" s="26"/>
      <c r="W5" s="26"/>
      <c r="X5" s="26"/>
      <c r="Y5" s="26"/>
      <c r="Z5" s="26"/>
      <c r="AA5" s="26"/>
      <c r="AB5" s="26"/>
      <c r="AC5" s="27" t="s">
        <v>57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9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6146867.6452472936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6499383.3238940286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7250006.9061082443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8007219.6011101725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7842679.5858293623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8141892.7343703257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8372307.683830536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8524636.9275988732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9318701.1218200922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9398493.8026127145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9385096.962197721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8629629.318337284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8096992.0874159997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8012876.7672809986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7814501.6478399998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7442459.6337219998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7086495.2842640001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6672855.2409630008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6223765.8339849999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5559276.5383620001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3458324.4702149997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3407772.1144419997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3343852.4738270002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1882173.3662159999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1636485.4975040001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1541245.7800079999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1097345.1601199999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983123.66653599998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872045.12498400011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765805.07537600002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665850.92983200005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3"/>
    </row>
    <row r="8" spans="1:87" ht="15" customHeight="1" x14ac:dyDescent="0.25">
      <c r="A8" s="7" t="s">
        <v>58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259012.60880681814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277385.6680600649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335001.40969967528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385738.74579951295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352843.97079951293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352843.97079951293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352843.97079951293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352843.97079951293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422654.73622159084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422654.73622159084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486837.60310470773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385759.78816964279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288627.46004464285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288627.46004464285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300877.46004464285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276377.46004464279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276377.46004464279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276377.46004464279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299698.34234983759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271429.63699269475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317059.08650568174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224290.57849025971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328921.53952922072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158024.3031655844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196607.62215909088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133588.20113636364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133588.20113636364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133588.20113636364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133588.20113636364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133588.20113636364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243815.72548701297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63777.435714285712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63777.435714285712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63777.435714285712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63777.435714285712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63777.435714285712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63777.435714285712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63777.435714285712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63777.435714285712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63777.435714285712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63777.435714285712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63777.435714285712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63777.435714285712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3"/>
    </row>
    <row r="9" spans="1:87" ht="15" customHeight="1" x14ac:dyDescent="0.25">
      <c r="A9" s="7" t="s">
        <v>59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284392.41540511017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300701.98819964257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335430.51432481315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387816.3492396751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362851.24707165064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376694.71254797763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387355.14446293871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394402.8448645582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431141.20449979318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434832.91132217908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498395.956854927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448391.41083216318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374617.32871973369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370725.62965504621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370370.39685623371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344334.57720954053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327865.44740507135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308727.88046663231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311271.08728664363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275579.84714824188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214717.70687849267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162678.47236765176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266318.32370122644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160003.64837845368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157664.78126882628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193290.77922738553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141004.15868250484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138410.18219174509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135147.4219770146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131244.06126358925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126738.13421615257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231903.67996604706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87081.072949928552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85359.082185642852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82837.322377499979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79592.326448357126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75714.020582571422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71307.637549071413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66491.803378285695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61383.230777571422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56104.37242349999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50770.027700357132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45485.429377071421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40346.243607214281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35430.916636714283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131507.62905878571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3"/>
    </row>
    <row r="10" spans="1:87" ht="15" customHeight="1" x14ac:dyDescent="0.25">
      <c r="A10" s="7" t="s">
        <v>60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72949.843560606067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79074.196645021657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98279.443858225117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114259.17255817101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106442.166308171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106442.166308171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106442.166308171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106442.166308171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129712.42144886364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129712.42144886364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151106.71040990262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111444.28876488097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92125.82001488097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92125.82001488097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92125.82001488097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92125.82001488097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92125.82001488097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92125.82001488097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99899.447449945903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90476.545664231613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105686.3621685606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74763.526163419912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109640.51317640694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52674.767721861477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52674.767721861477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65535.874053030304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44529.400378787883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44529.400378787883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44529.400378787883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44529.400378787883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44529.400378787883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81271.908495670999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21259.14523809524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21259.14523809524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21259.14523809524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21259.14523809524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21259.14523809524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21259.14523809524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21259.14523809524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21259.14523809524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21259.14523809524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21259.14523809524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21259.14523809524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21259.14523809524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21259.14523809524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54826.216666666674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3"/>
    </row>
    <row r="11" spans="1:87" ht="15" customHeight="1" x14ac:dyDescent="0.25">
      <c r="A11" s="7" t="s">
        <v>61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15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616354.86777253426</v>
      </c>
      <c r="H12" s="10">
        <f t="shared" si="0"/>
        <v>657161.85290472908</v>
      </c>
      <c r="I12" s="10">
        <f t="shared" si="0"/>
        <v>1210771.1928827134</v>
      </c>
      <c r="J12" s="10">
        <f t="shared" si="0"/>
        <v>1206765.3425973591</v>
      </c>
      <c r="K12" s="10">
        <f t="shared" si="0"/>
        <v>822137.38417933451</v>
      </c>
      <c r="L12" s="10">
        <f t="shared" si="0"/>
        <v>835980.84965566162</v>
      </c>
      <c r="M12" s="10">
        <f t="shared" si="0"/>
        <v>846641.28157062258</v>
      </c>
      <c r="N12" s="10">
        <f t="shared" si="0"/>
        <v>853688.98197224212</v>
      </c>
      <c r="O12" s="10">
        <f t="shared" si="0"/>
        <v>1662509.9121702476</v>
      </c>
      <c r="P12" s="10">
        <f t="shared" si="0"/>
        <v>987200.06899263361</v>
      </c>
      <c r="Q12" s="10">
        <f t="shared" si="0"/>
        <v>1136340.2703695372</v>
      </c>
      <c r="R12" s="10">
        <f t="shared" si="0"/>
        <v>945595.48776668694</v>
      </c>
      <c r="S12" s="10">
        <f t="shared" si="0"/>
        <v>755370.60877925751</v>
      </c>
      <c r="T12" s="10">
        <f t="shared" si="0"/>
        <v>751478.90971457004</v>
      </c>
      <c r="U12" s="10">
        <f t="shared" si="0"/>
        <v>763373.67691575759</v>
      </c>
      <c r="V12" s="10">
        <f t="shared" si="0"/>
        <v>712837.85726906429</v>
      </c>
      <c r="W12" s="10">
        <f t="shared" si="0"/>
        <v>696368.72746459511</v>
      </c>
      <c r="X12" s="10">
        <f t="shared" si="0"/>
        <v>677231.16052615608</v>
      </c>
      <c r="Y12" s="10">
        <f t="shared" si="0"/>
        <v>710868.87708642706</v>
      </c>
      <c r="Z12" s="10">
        <f t="shared" si="0"/>
        <v>637486.02980516828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637463.15555273497</v>
      </c>
      <c r="AH12" s="10">
        <f t="shared" si="0"/>
        <v>461732.57702133141</v>
      </c>
      <c r="AI12" s="10">
        <f t="shared" ref="AI12:BN12" si="1">AI8+AI9+AI10+AI11</f>
        <v>704880.37640685413</v>
      </c>
      <c r="AJ12" s="10">
        <f t="shared" si="1"/>
        <v>370702.71926589956</v>
      </c>
      <c r="AK12" s="10">
        <f t="shared" si="1"/>
        <v>368363.85215627216</v>
      </c>
      <c r="AL12" s="10">
        <f t="shared" si="1"/>
        <v>455434.27543950675</v>
      </c>
      <c r="AM12" s="10">
        <f t="shared" si="1"/>
        <v>319121.76019765635</v>
      </c>
      <c r="AN12" s="10">
        <f t="shared" si="1"/>
        <v>316527.78370689659</v>
      </c>
      <c r="AO12" s="10">
        <f t="shared" si="1"/>
        <v>313265.02349216613</v>
      </c>
      <c r="AP12" s="10">
        <f t="shared" si="1"/>
        <v>309361.66277874075</v>
      </c>
      <c r="AQ12" s="10">
        <f t="shared" si="1"/>
        <v>304855.7357313041</v>
      </c>
      <c r="AR12" s="10">
        <f t="shared" si="1"/>
        <v>556991.31394873105</v>
      </c>
      <c r="AS12" s="10">
        <f t="shared" si="1"/>
        <v>172117.65390230948</v>
      </c>
      <c r="AT12" s="10">
        <f t="shared" si="1"/>
        <v>170395.66313802381</v>
      </c>
      <c r="AU12" s="10">
        <f t="shared" si="1"/>
        <v>167873.90332988091</v>
      </c>
      <c r="AV12" s="10">
        <f t="shared" si="1"/>
        <v>164628.9074007381</v>
      </c>
      <c r="AW12" s="10">
        <f t="shared" si="1"/>
        <v>160750.60153495235</v>
      </c>
      <c r="AX12" s="10">
        <f t="shared" si="1"/>
        <v>156344.21850145236</v>
      </c>
      <c r="AY12" s="10">
        <f t="shared" si="1"/>
        <v>151528.38433066662</v>
      </c>
      <c r="AZ12" s="10">
        <f t="shared" si="1"/>
        <v>146419.81172995237</v>
      </c>
      <c r="BA12" s="10">
        <f t="shared" si="1"/>
        <v>141140.95337588096</v>
      </c>
      <c r="BB12" s="10">
        <f t="shared" si="1"/>
        <v>135806.6086527381</v>
      </c>
      <c r="BC12" s="10">
        <f t="shared" si="1"/>
        <v>130522.01032945237</v>
      </c>
      <c r="BD12" s="10">
        <f t="shared" si="1"/>
        <v>125382.82455959523</v>
      </c>
      <c r="BE12" s="10">
        <f t="shared" si="1"/>
        <v>120467.49758909523</v>
      </c>
      <c r="BF12" s="10">
        <f t="shared" si="1"/>
        <v>350812.49572545238</v>
      </c>
      <c r="BG12" s="10">
        <f t="shared" si="1"/>
        <v>0</v>
      </c>
      <c r="BH12" s="10">
        <f t="shared" si="1"/>
        <v>0</v>
      </c>
      <c r="BI12" s="10">
        <f t="shared" si="1"/>
        <v>0</v>
      </c>
      <c r="BJ12" s="10">
        <f t="shared" si="1"/>
        <v>0</v>
      </c>
      <c r="BK12" s="10">
        <f t="shared" si="1"/>
        <v>0</v>
      </c>
      <c r="BL12" s="10">
        <f t="shared" si="1"/>
        <v>0</v>
      </c>
      <c r="BM12" s="10">
        <f t="shared" si="1"/>
        <v>0</v>
      </c>
      <c r="BN12" s="10">
        <f t="shared" si="1"/>
        <v>0</v>
      </c>
      <c r="BO12" s="10">
        <f t="shared" ref="BO12:CT12" si="2">BO8+BO9+BO10+BO11</f>
        <v>0</v>
      </c>
      <c r="BP12" s="10">
        <f t="shared" si="2"/>
        <v>0</v>
      </c>
      <c r="BQ12" s="10">
        <f t="shared" si="2"/>
        <v>0</v>
      </c>
      <c r="BR12" s="10">
        <f t="shared" si="2"/>
        <v>0</v>
      </c>
      <c r="BS12" s="10">
        <f t="shared" si="2"/>
        <v>0</v>
      </c>
      <c r="BT12" s="10">
        <f t="shared" si="2"/>
        <v>0</v>
      </c>
      <c r="BU12" s="10">
        <f t="shared" si="2"/>
        <v>0</v>
      </c>
      <c r="BV12" s="10">
        <f t="shared" si="2"/>
        <v>0</v>
      </c>
      <c r="BW12" s="10">
        <f t="shared" si="2"/>
        <v>0</v>
      </c>
      <c r="BX12" s="10">
        <f t="shared" si="2"/>
        <v>0</v>
      </c>
      <c r="BY12" s="10">
        <f t="shared" si="2"/>
        <v>0</v>
      </c>
      <c r="BZ12" s="10">
        <f t="shared" si="2"/>
        <v>0</v>
      </c>
      <c r="CA12" s="10">
        <f t="shared" si="2"/>
        <v>0</v>
      </c>
      <c r="CB12" s="10">
        <f t="shared" si="2"/>
        <v>0</v>
      </c>
      <c r="CC12" s="10">
        <f t="shared" si="2"/>
        <v>0</v>
      </c>
      <c r="CD12" s="10">
        <f t="shared" si="2"/>
        <v>0</v>
      </c>
      <c r="CE12" s="10">
        <f t="shared" si="2"/>
        <v>0</v>
      </c>
      <c r="CF12" s="10">
        <f t="shared" si="2"/>
        <v>0</v>
      </c>
      <c r="CG12" s="10">
        <f t="shared" si="2"/>
        <v>0</v>
      </c>
      <c r="CH12" s="10">
        <f t="shared" si="2"/>
        <v>0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62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63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+IF(AND(1&gt;=Personnel!$E$30,Personnel!$G$30="Yes"),Personnel!$D$30,0)+IF(AND(1&gt;=Personnel!$E$31,Personnel!$G$31="Yes"),Personnel!$D$31,0)+IF(AND(1&gt;=Personnel!$E$32,Personnel!$G$32="Yes"),Personnel!$D$32,0)+IF(AND(1&gt;=Personnel!$E$33,Personnel!$G$33="Yes"),Personnel!$D$33,0))</f>
        <v>-174041.66666666669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+IF(AND(2&gt;=Personnel!$E$30,Personnel!$G$30="Yes"),Personnel!$D$30,0)+IF(AND(2&gt;=Personnel!$E$31,Personnel!$G$31="Yes"),Personnel!$D$31,0)+IF(AND(2&gt;=Personnel!$E$32,Personnel!$G$32="Yes"),Personnel!$D$32,0)+IF(AND(2&gt;=Personnel!$E$33,Personnel!$G$33="Yes"),Personnel!$D$33,0))</f>
        <v>-198625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+IF(AND(3&gt;=Personnel!$E$30,Personnel!$G$30="Yes"),Personnel!$D$30,0)+IF(AND(3&gt;=Personnel!$E$31,Personnel!$G$31="Yes"),Personnel!$D$31,0)+IF(AND(3&gt;=Personnel!$E$32,Personnel!$G$32="Yes"),Personnel!$D$32,0)+IF(AND(3&gt;=Personnel!$E$33,Personnel!$G$33="Yes"),Personnel!$D$33,0))</f>
        <v>-223625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+IF(AND(4&gt;=Personnel!$E$30,Personnel!$G$30="Yes"),Personnel!$D$30,0)+IF(AND(4&gt;=Personnel!$E$31,Personnel!$G$31="Yes"),Personnel!$D$31,0)+IF(AND(4&gt;=Personnel!$E$32,Personnel!$G$32="Yes"),Personnel!$D$32,0)+IF(AND(4&gt;=Personnel!$E$33,Personnel!$G$33="Yes"),Personnel!$D$33,0))</f>
        <v>-234458.33333333334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+IF(AND(5&gt;=Personnel!$E$30,Personnel!$G$30="Yes"),Personnel!$D$30,0)+IF(AND(5&gt;=Personnel!$E$31,Personnel!$G$31="Yes"),Personnel!$D$31,0)+IF(AND(5&gt;=Personnel!$E$32,Personnel!$G$32="Yes"),Personnel!$D$32,0)+IF(AND(5&gt;=Personnel!$E$33,Personnel!$G$33="Yes"),Personnel!$D$33,0))</f>
        <v>-234458.33333333334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+IF(AND(6&gt;=Personnel!$E$30,Personnel!$G$30="Yes"),Personnel!$D$30,0)+IF(AND(6&gt;=Personnel!$E$31,Personnel!$G$31="Yes"),Personnel!$D$31,0)+IF(AND(6&gt;=Personnel!$E$32,Personnel!$G$32="Yes"),Personnel!$D$32,0)+IF(AND(6&gt;=Personnel!$E$33,Personnel!$G$33="Yes"),Personnel!$D$33,0))</f>
        <v>-234458.33333333334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+IF(AND(7&gt;=Personnel!$E$30,Personnel!$G$30="Yes"),Personnel!$D$30,0)+IF(AND(7&gt;=Personnel!$E$31,Personnel!$G$31="Yes"),Personnel!$D$31,0)+IF(AND(7&gt;=Personnel!$E$32,Personnel!$G$32="Yes"),Personnel!$D$32,0)+IF(AND(7&gt;=Personnel!$E$33,Personnel!$G$33="Yes"),Personnel!$D$33,0))</f>
        <v>-255291.66666666666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+IF(AND(8&gt;=Personnel!$E$30,Personnel!$G$30="Yes"),Personnel!$D$30,0)+IF(AND(8&gt;=Personnel!$E$31,Personnel!$G$31="Yes"),Personnel!$D$31,0)+IF(AND(8&gt;=Personnel!$E$32,Personnel!$G$32="Yes"),Personnel!$D$32,0)+IF(AND(8&gt;=Personnel!$E$33,Personnel!$G$33="Yes"),Personnel!$D$33,0))</f>
        <v>-285291.66666666663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+IF(AND(9&gt;=Personnel!$E$30,Personnel!$G$30="Yes"),Personnel!$D$30,0)+IF(AND(9&gt;=Personnel!$E$31,Personnel!$G$31="Yes"),Personnel!$D$31,0)+IF(AND(9&gt;=Personnel!$E$32,Personnel!$G$32="Yes"),Personnel!$D$32,0)+IF(AND(9&gt;=Personnel!$E$33,Personnel!$G$33="Yes"),Personnel!$D$33,0))</f>
        <v>-285291.66666666663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+IF(AND(10&gt;=Personnel!$E$30,Personnel!$G$30="Yes"),Personnel!$D$30,0)+IF(AND(10&gt;=Personnel!$E$31,Personnel!$G$31="Yes"),Personnel!$D$31,0)+IF(AND(10&gt;=Personnel!$E$32,Personnel!$G$32="Yes"),Personnel!$D$32,0)+IF(AND(10&gt;=Personnel!$E$33,Personnel!$G$33="Yes"),Personnel!$D$33,0))</f>
        <v>-285291.66666666663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+IF(AND(11&gt;=Personnel!$E$30,Personnel!$G$30="Yes"),Personnel!$D$30,0)+IF(AND(11&gt;=Personnel!$E$31,Personnel!$G$31="Yes"),Personnel!$D$31,0)+IF(AND(11&gt;=Personnel!$E$32,Personnel!$G$32="Yes"),Personnel!$D$32,0)+IF(AND(11&gt;=Personnel!$E$33,Personnel!$G$33="Yes"),Personnel!$D$33,0))</f>
        <v>-285291.66666666663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+IF(AND(12&gt;=Personnel!$E$30,Personnel!$G$30="Yes"),Personnel!$D$30,0)+IF(AND(12&gt;=Personnel!$E$31,Personnel!$G$31="Yes"),Personnel!$D$31,0)+IF(AND(12&gt;=Personnel!$E$32,Personnel!$G$32="Yes"),Personnel!$D$32,0)+IF(AND(12&gt;=Personnel!$E$33,Personnel!$G$33="Yes"),Personnel!$D$33,0))</f>
        <v>-285291.66666666663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+IF(AND(13&gt;=Personnel!$E$30,Personnel!$G$30="Yes"),Personnel!$D$30,0)+IF(AND(13&gt;=Personnel!$E$31,Personnel!$G$31="Yes"),Personnel!$D$31,0)+IF(AND(13&gt;=Personnel!$E$32,Personnel!$G$32="Yes"),Personnel!$D$32,0)+IF(AND(13&gt;=Personnel!$E$33,Personnel!$G$33="Yes"),Personnel!$D$33,0))</f>
        <v>-298625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+IF(AND(14&gt;=Personnel!$E$30,Personnel!$G$30="Yes"),Personnel!$D$30,0)+IF(AND(14&gt;=Personnel!$E$31,Personnel!$G$31="Yes"),Personnel!$D$31,0)+IF(AND(14&gt;=Personnel!$E$32,Personnel!$G$32="Yes"),Personnel!$D$32,0)+IF(AND(14&gt;=Personnel!$E$33,Personnel!$G$33="Yes"),Personnel!$D$33,0))</f>
        <v>-298625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+IF(AND(15&gt;=Personnel!$E$30,Personnel!$G$30="Yes"),Personnel!$D$30,0)+IF(AND(15&gt;=Personnel!$E$31,Personnel!$G$31="Yes"),Personnel!$D$31,0)+IF(AND(15&gt;=Personnel!$E$32,Personnel!$G$32="Yes"),Personnel!$D$32,0)+IF(AND(15&gt;=Personnel!$E$33,Personnel!$G$33="Yes"),Personnel!$D$33,0))</f>
        <v>-298625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+IF(AND(16&gt;=Personnel!$E$30,Personnel!$G$30="Yes"),Personnel!$D$30,0)+IF(AND(16&gt;=Personnel!$E$31,Personnel!$G$31="Yes"),Personnel!$D$31,0)+IF(AND(16&gt;=Personnel!$E$32,Personnel!$G$32="Yes"),Personnel!$D$32,0)+IF(AND(16&gt;=Personnel!$E$33,Personnel!$G$33="Yes"),Personnel!$D$33,0))</f>
        <v>-298625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+IF(AND(17&gt;=Personnel!$E$30,Personnel!$G$30="Yes"),Personnel!$D$30,0)+IF(AND(17&gt;=Personnel!$E$31,Personnel!$G$31="Yes"),Personnel!$D$31,0)+IF(AND(17&gt;=Personnel!$E$32,Personnel!$G$32="Yes"),Personnel!$D$32,0)+IF(AND(17&gt;=Personnel!$E$33,Personnel!$G$33="Yes"),Personnel!$D$33,0))</f>
        <v>-298625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+IF(AND(18&gt;=Personnel!$E$30,Personnel!$G$30="Yes"),Personnel!$D$30,0)+IF(AND(18&gt;=Personnel!$E$31,Personnel!$G$31="Yes"),Personnel!$D$31,0)+IF(AND(18&gt;=Personnel!$E$32,Personnel!$G$32="Yes"),Personnel!$D$32,0)+IF(AND(18&gt;=Personnel!$E$33,Personnel!$G$33="Yes"),Personnel!$D$33,0))</f>
        <v>-298625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+IF(AND(19&gt;=Personnel!$E$30,Personnel!$G$30="Yes"),Personnel!$D$30,0)+IF(AND(19&gt;=Personnel!$E$31,Personnel!$G$31="Yes"),Personnel!$D$31,0)+IF(AND(19&gt;=Personnel!$E$32,Personnel!$G$32="Yes"),Personnel!$D$32,0)+IF(AND(19&gt;=Personnel!$E$33,Personnel!$G$33="Yes"),Personnel!$D$33,0))</f>
        <v>-298625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+IF(AND(20&gt;=Personnel!$E$30,Personnel!$G$30="Yes"),Personnel!$D$30,0)+IF(AND(20&gt;=Personnel!$E$31,Personnel!$G$31="Yes"),Personnel!$D$31,0)+IF(AND(20&gt;=Personnel!$E$32,Personnel!$G$32="Yes"),Personnel!$D$32,0)+IF(AND(20&gt;=Personnel!$E$33,Personnel!$G$33="Yes"),Personnel!$D$33,0))</f>
        <v>-298625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+IF(AND(21&gt;=Personnel!$E$30,Personnel!$G$30="Yes"),Personnel!$D$30,0)+IF(AND(21&gt;=Personnel!$E$31,Personnel!$G$31="Yes"),Personnel!$D$31,0)+IF(AND(21&gt;=Personnel!$E$32,Personnel!$G$32="Yes"),Personnel!$D$32,0)+IF(AND(21&gt;=Personnel!$E$33,Personnel!$G$33="Yes"),Personnel!$D$33,0))</f>
        <v>-298625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+IF(AND(22&gt;=Personnel!$E$30,Personnel!$G$30="Yes"),Personnel!$D$30,0)+IF(AND(22&gt;=Personnel!$E$31,Personnel!$G$31="Yes"),Personnel!$D$31,0)+IF(AND(22&gt;=Personnel!$E$32,Personnel!$G$32="Yes"),Personnel!$D$32,0)+IF(AND(22&gt;=Personnel!$E$33,Personnel!$G$33="Yes"),Personnel!$D$33,0))</f>
        <v>-298625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+IF(AND(23&gt;=Personnel!$E$30,Personnel!$G$30="Yes"),Personnel!$D$30,0)+IF(AND(23&gt;=Personnel!$E$31,Personnel!$G$31="Yes"),Personnel!$D$31,0)+IF(AND(23&gt;=Personnel!$E$32,Personnel!$G$32="Yes"),Personnel!$D$32,0)+IF(AND(23&gt;=Personnel!$E$33,Personnel!$G$33="Yes"),Personnel!$D$33,0))</f>
        <v>-298625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+IF(AND(24&gt;=Personnel!$E$30,Personnel!$G$30="Yes"),Personnel!$D$30,0)+IF(AND(24&gt;=Personnel!$E$31,Personnel!$G$31="Yes"),Personnel!$D$31,0)+IF(AND(24&gt;=Personnel!$E$32,Personnel!$G$32="Yes"),Personnel!$D$32,0)+IF(AND(24&gt;=Personnel!$E$33,Personnel!$G$33="Yes"),Personnel!$D$33,0))</f>
        <v>-298625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+IF(AND(25&gt;=Personnel!$E$30,Personnel!$G$30="Yes"),Personnel!$D$30,0)+IF(AND(25&gt;=Personnel!$E$31,Personnel!$G$31="Yes"),Personnel!$D$31,0)+IF(AND(25&gt;=Personnel!$E$32,Personnel!$G$32="Yes"),Personnel!$D$32,0)+IF(AND(25&gt;=Personnel!$E$33,Personnel!$G$33="Yes"),Personnel!$D$33,0))</f>
        <v>-298625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+IF(AND(26&gt;=Personnel!$E$30,Personnel!$G$30="Yes"),Personnel!$D$30,0)+IF(AND(26&gt;=Personnel!$E$31,Personnel!$G$31="Yes"),Personnel!$D$31,0)+IF(AND(26&gt;=Personnel!$E$32,Personnel!$G$32="Yes"),Personnel!$D$32,0)+IF(AND(26&gt;=Personnel!$E$33,Personnel!$G$33="Yes"),Personnel!$D$33,0))</f>
        <v>-298625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+IF(AND(27&gt;=Personnel!$E$30,Personnel!$G$30="Yes"),Personnel!$D$30,0)+IF(AND(27&gt;=Personnel!$E$31,Personnel!$G$31="Yes"),Personnel!$D$31,0)+IF(AND(27&gt;=Personnel!$E$32,Personnel!$G$32="Yes"),Personnel!$D$32,0)+IF(AND(27&gt;=Personnel!$E$33,Personnel!$G$33="Yes"),Personnel!$D$33,0))</f>
        <v>-298625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+IF(AND(28&gt;=Personnel!$E$30,Personnel!$G$30="Yes"),Personnel!$D$30,0)+IF(AND(28&gt;=Personnel!$E$31,Personnel!$G$31="Yes"),Personnel!$D$31,0)+IF(AND(28&gt;=Personnel!$E$32,Personnel!$G$32="Yes"),Personnel!$D$32,0)+IF(AND(28&gt;=Personnel!$E$33,Personnel!$G$33="Yes"),Personnel!$D$33,0))</f>
        <v>-298625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+IF(AND(29&gt;=Personnel!$E$30,Personnel!$G$30="Yes"),Personnel!$D$30,0)+IF(AND(29&gt;=Personnel!$E$31,Personnel!$G$31="Yes"),Personnel!$D$31,0)+IF(AND(29&gt;=Personnel!$E$32,Personnel!$G$32="Yes"),Personnel!$D$32,0)+IF(AND(29&gt;=Personnel!$E$33,Personnel!$G$33="Yes"),Personnel!$D$33,0))</f>
        <v>-298625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+IF(AND(30&gt;=Personnel!$E$30,Personnel!$G$30="Yes"),Personnel!$D$30,0)+IF(AND(30&gt;=Personnel!$E$31,Personnel!$G$31="Yes"),Personnel!$D$31,0)+IF(AND(30&gt;=Personnel!$E$32,Personnel!$G$32="Yes"),Personnel!$D$32,0)+IF(AND(30&gt;=Personnel!$E$33,Personnel!$G$33="Yes"),Personnel!$D$33,0))</f>
        <v>-298625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+IF(AND(31&gt;=Personnel!$E$30,Personnel!$G$30="Yes"),Personnel!$D$30,0)+IF(AND(31&gt;=Personnel!$E$31,Personnel!$G$31="Yes"),Personnel!$D$31,0)+IF(AND(31&gt;=Personnel!$E$32,Personnel!$G$32="Yes"),Personnel!$D$32,0)+IF(AND(31&gt;=Personnel!$E$33,Personnel!$G$33="Yes"),Personnel!$D$33,0))</f>
        <v>-298625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+IF(AND(32&gt;=Personnel!$E$30,Personnel!$G$30="Yes"),Personnel!$D$30,0)+IF(AND(32&gt;=Personnel!$E$31,Personnel!$G$31="Yes"),Personnel!$D$31,0)+IF(AND(32&gt;=Personnel!$E$32,Personnel!$G$32="Yes"),Personnel!$D$32,0)+IF(AND(32&gt;=Personnel!$E$33,Personnel!$G$33="Yes"),Personnel!$D$33,0))</f>
        <v>-298625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+IF(AND(33&gt;=Personnel!$E$30,Personnel!$G$30="Yes"),Personnel!$D$30,0)+IF(AND(33&gt;=Personnel!$E$31,Personnel!$G$31="Yes"),Personnel!$D$31,0)+IF(AND(33&gt;=Personnel!$E$32,Personnel!$G$32="Yes"),Personnel!$D$32,0)+IF(AND(33&gt;=Personnel!$E$33,Personnel!$G$33="Yes"),Personnel!$D$33,0))</f>
        <v>-298625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+IF(AND(34&gt;=Personnel!$E$30,Personnel!$G$30="Yes"),Personnel!$D$30,0)+IF(AND(34&gt;=Personnel!$E$31,Personnel!$G$31="Yes"),Personnel!$D$31,0)+IF(AND(34&gt;=Personnel!$E$32,Personnel!$G$32="Yes"),Personnel!$D$32,0)+IF(AND(34&gt;=Personnel!$E$33,Personnel!$G$33="Yes"),Personnel!$D$33,0))</f>
        <v>-298625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+IF(AND(35&gt;=Personnel!$E$30,Personnel!$G$30="Yes"),Personnel!$D$30,0)+IF(AND(35&gt;=Personnel!$E$31,Personnel!$G$31="Yes"),Personnel!$D$31,0)+IF(AND(35&gt;=Personnel!$E$32,Personnel!$G$32="Yes"),Personnel!$D$32,0)+IF(AND(35&gt;=Personnel!$E$33,Personnel!$G$33="Yes"),Personnel!$D$33,0))</f>
        <v>-298625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+IF(AND(36&gt;=Personnel!$E$30,Personnel!$G$30="Yes"),Personnel!$D$30,0)+IF(AND(36&gt;=Personnel!$E$31,Personnel!$G$31="Yes"),Personnel!$D$31,0)+IF(AND(36&gt;=Personnel!$E$32,Personnel!$G$32="Yes"),Personnel!$D$32,0)+IF(AND(36&gt;=Personnel!$E$33,Personnel!$G$33="Yes"),Personnel!$D$33,0))</f>
        <v>-298625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+IF(AND(37&gt;=Personnel!$E$30,Personnel!$G$30="Yes"),Personnel!$D$30,0)+IF(AND(37&gt;=Personnel!$E$31,Personnel!$G$31="Yes"),Personnel!$D$31,0)+IF(AND(37&gt;=Personnel!$E$32,Personnel!$G$32="Yes"),Personnel!$D$32,0)+IF(AND(37&gt;=Personnel!$E$33,Personnel!$G$33="Yes"),Personnel!$D$33,0))</f>
        <v>-298625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+IF(AND(38&gt;=Personnel!$E$30,Personnel!$G$30="Yes"),Personnel!$D$30,0)+IF(AND(38&gt;=Personnel!$E$31,Personnel!$G$31="Yes"),Personnel!$D$31,0)+IF(AND(38&gt;=Personnel!$E$32,Personnel!$G$32="Yes"),Personnel!$D$32,0)+IF(AND(38&gt;=Personnel!$E$33,Personnel!$G$33="Yes"),Personnel!$D$33,0))</f>
        <v>-298625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+IF(AND(39&gt;=Personnel!$E$30,Personnel!$G$30="Yes"),Personnel!$D$30,0)+IF(AND(39&gt;=Personnel!$E$31,Personnel!$G$31="Yes"),Personnel!$D$31,0)+IF(AND(39&gt;=Personnel!$E$32,Personnel!$G$32="Yes"),Personnel!$D$32,0)+IF(AND(39&gt;=Personnel!$E$33,Personnel!$G$33="Yes"),Personnel!$D$33,0))</f>
        <v>-298625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+IF(AND(40&gt;=Personnel!$E$30,Personnel!$G$30="Yes"),Personnel!$D$30,0)+IF(AND(40&gt;=Personnel!$E$31,Personnel!$G$31="Yes"),Personnel!$D$31,0)+IF(AND(40&gt;=Personnel!$E$32,Personnel!$G$32="Yes"),Personnel!$D$32,0)+IF(AND(40&gt;=Personnel!$E$33,Personnel!$G$33="Yes"),Personnel!$D$33,0))</f>
        <v>-298625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+IF(AND(41&gt;=Personnel!$E$30,Personnel!$G$30="Yes"),Personnel!$D$30,0)+IF(AND(41&gt;=Personnel!$E$31,Personnel!$G$31="Yes"),Personnel!$D$31,0)+IF(AND(41&gt;=Personnel!$E$32,Personnel!$G$32="Yes"),Personnel!$D$32,0)+IF(AND(41&gt;=Personnel!$E$33,Personnel!$G$33="Yes"),Personnel!$D$33,0))</f>
        <v>-298625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+IF(AND(42&gt;=Personnel!$E$30,Personnel!$G$30="Yes"),Personnel!$D$30,0)+IF(AND(42&gt;=Personnel!$E$31,Personnel!$G$31="Yes"),Personnel!$D$31,0)+IF(AND(42&gt;=Personnel!$E$32,Personnel!$G$32="Yes"),Personnel!$D$32,0)+IF(AND(42&gt;=Personnel!$E$33,Personnel!$G$33="Yes"),Personnel!$D$33,0))</f>
        <v>-298625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+IF(AND(43&gt;=Personnel!$E$30,Personnel!$G$30="Yes"),Personnel!$D$30,0)+IF(AND(43&gt;=Personnel!$E$31,Personnel!$G$31="Yes"),Personnel!$D$31,0)+IF(AND(43&gt;=Personnel!$E$32,Personnel!$G$32="Yes"),Personnel!$D$32,0)+IF(AND(43&gt;=Personnel!$E$33,Personnel!$G$33="Yes"),Personnel!$D$33,0))</f>
        <v>-298625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+IF(AND(44&gt;=Personnel!$E$30,Personnel!$G$30="Yes"),Personnel!$D$30,0)+IF(AND(44&gt;=Personnel!$E$31,Personnel!$G$31="Yes"),Personnel!$D$31,0)+IF(AND(44&gt;=Personnel!$E$32,Personnel!$G$32="Yes"),Personnel!$D$32,0)+IF(AND(44&gt;=Personnel!$E$33,Personnel!$G$33="Yes"),Personnel!$D$33,0))</f>
        <v>-298625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+IF(AND(45&gt;=Personnel!$E$30,Personnel!$G$30="Yes"),Personnel!$D$30,0)+IF(AND(45&gt;=Personnel!$E$31,Personnel!$G$31="Yes"),Personnel!$D$31,0)+IF(AND(45&gt;=Personnel!$E$32,Personnel!$G$32="Yes"),Personnel!$D$32,0)+IF(AND(45&gt;=Personnel!$E$33,Personnel!$G$33="Yes"),Personnel!$D$33,0))</f>
        <v>-298625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+IF(AND(46&gt;=Personnel!$E$30,Personnel!$G$30="Yes"),Personnel!$D$30,0)+IF(AND(46&gt;=Personnel!$E$31,Personnel!$G$31="Yes"),Personnel!$D$31,0)+IF(AND(46&gt;=Personnel!$E$32,Personnel!$G$32="Yes"),Personnel!$D$32,0)+IF(AND(46&gt;=Personnel!$E$33,Personnel!$G$33="Yes"),Personnel!$D$33,0))</f>
        <v>-298625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+IF(AND(47&gt;=Personnel!$E$30,Personnel!$G$30="Yes"),Personnel!$D$30,0)+IF(AND(47&gt;=Personnel!$E$31,Personnel!$G$31="Yes"),Personnel!$D$31,0)+IF(AND(47&gt;=Personnel!$E$32,Personnel!$G$32="Yes"),Personnel!$D$32,0)+IF(AND(47&gt;=Personnel!$E$33,Personnel!$G$33="Yes"),Personnel!$D$33,0))</f>
        <v>-298625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+IF(AND(48&gt;=Personnel!$E$30,Personnel!$G$30="Yes"),Personnel!$D$30,0)+IF(AND(48&gt;=Personnel!$E$31,Personnel!$G$31="Yes"),Personnel!$D$31,0)+IF(AND(48&gt;=Personnel!$E$32,Personnel!$G$32="Yes"),Personnel!$D$32,0)+IF(AND(48&gt;=Personnel!$E$33,Personnel!$G$33="Yes"),Personnel!$D$33,0))</f>
        <v>-298625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+IF(AND(49&gt;=Personnel!$E$30,Personnel!$G$30="Yes"),Personnel!$D$30,0)+IF(AND(49&gt;=Personnel!$E$31,Personnel!$G$31="Yes"),Personnel!$D$31,0)+IF(AND(49&gt;=Personnel!$E$32,Personnel!$G$32="Yes"),Personnel!$D$32,0)+IF(AND(49&gt;=Personnel!$E$33,Personnel!$G$33="Yes"),Personnel!$D$33,0))</f>
        <v>-298625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+IF(AND(50&gt;=Personnel!$E$30,Personnel!$G$30="Yes"),Personnel!$D$30,0)+IF(AND(50&gt;=Personnel!$E$31,Personnel!$G$31="Yes"),Personnel!$D$31,0)+IF(AND(50&gt;=Personnel!$E$32,Personnel!$G$32="Yes"),Personnel!$D$32,0)+IF(AND(50&gt;=Personnel!$E$33,Personnel!$G$33="Yes"),Personnel!$D$33,0))</f>
        <v>-298625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+IF(AND(51&gt;=Personnel!$E$30,Personnel!$G$30="Yes"),Personnel!$D$30,0)+IF(AND(51&gt;=Personnel!$E$31,Personnel!$G$31="Yes"),Personnel!$D$31,0)+IF(AND(51&gt;=Personnel!$E$32,Personnel!$G$32="Yes"),Personnel!$D$32,0)+IF(AND(51&gt;=Personnel!$E$33,Personnel!$G$33="Yes"),Personnel!$D$33,0))</f>
        <v>-298625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+IF(AND(52&gt;=Personnel!$E$30,Personnel!$G$30="Yes"),Personnel!$D$30,0)+IF(AND(52&gt;=Personnel!$E$31,Personnel!$G$31="Yes"),Personnel!$D$31,0)+IF(AND(52&gt;=Personnel!$E$32,Personnel!$G$32="Yes"),Personnel!$D$32,0)+IF(AND(52&gt;=Personnel!$E$33,Personnel!$G$33="Yes"),Personnel!$D$33,0))</f>
        <v>-298625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+IF(AND(53&gt;=Personnel!$E$30,Personnel!$G$30="Yes"),Personnel!$D$30,0)+IF(AND(53&gt;=Personnel!$E$31,Personnel!$G$31="Yes"),Personnel!$D$31,0)+IF(AND(53&gt;=Personnel!$E$32,Personnel!$G$32="Yes"),Personnel!$D$32,0)+IF(AND(53&gt;=Personnel!$E$33,Personnel!$G$33="Yes"),Personnel!$D$33,0))</f>
        <v>-298625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+IF(AND(54&gt;=Personnel!$E$30,Personnel!$G$30="Yes"),Personnel!$D$30,0)+IF(AND(54&gt;=Personnel!$E$31,Personnel!$G$31="Yes"),Personnel!$D$31,0)+IF(AND(54&gt;=Personnel!$E$32,Personnel!$G$32="Yes"),Personnel!$D$32,0)+IF(AND(54&gt;=Personnel!$E$33,Personnel!$G$33="Yes"),Personnel!$D$33,0))</f>
        <v>-298625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+IF(AND(55&gt;=Personnel!$E$30,Personnel!$G$30="Yes"),Personnel!$D$30,0)+IF(AND(55&gt;=Personnel!$E$31,Personnel!$G$31="Yes"),Personnel!$D$31,0)+IF(AND(55&gt;=Personnel!$E$32,Personnel!$G$32="Yes"),Personnel!$D$32,0)+IF(AND(55&gt;=Personnel!$E$33,Personnel!$G$33="Yes"),Personnel!$D$33,0))</f>
        <v>-298625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+IF(AND(56&gt;=Personnel!$E$30,Personnel!$G$30="Yes"),Personnel!$D$30,0)+IF(AND(56&gt;=Personnel!$E$31,Personnel!$G$31="Yes"),Personnel!$D$31,0)+IF(AND(56&gt;=Personnel!$E$32,Personnel!$G$32="Yes"),Personnel!$D$32,0)+IF(AND(56&gt;=Personnel!$E$33,Personnel!$G$33="Yes"),Personnel!$D$33,0))</f>
        <v>-298625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+IF(AND(57&gt;=Personnel!$E$30,Personnel!$G$30="Yes"),Personnel!$D$30,0)+IF(AND(57&gt;=Personnel!$E$31,Personnel!$G$31="Yes"),Personnel!$D$31,0)+IF(AND(57&gt;=Personnel!$E$32,Personnel!$G$32="Yes"),Personnel!$D$32,0)+IF(AND(57&gt;=Personnel!$E$33,Personnel!$G$33="Yes"),Personnel!$D$33,0))</f>
        <v>-298625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+IF(AND(58&gt;=Personnel!$E$30,Personnel!$G$30="Yes"),Personnel!$D$30,0)+IF(AND(58&gt;=Personnel!$E$31,Personnel!$G$31="Yes"),Personnel!$D$31,0)+IF(AND(58&gt;=Personnel!$E$32,Personnel!$G$32="Yes"),Personnel!$D$32,0)+IF(AND(58&gt;=Personnel!$E$33,Personnel!$G$33="Yes"),Personnel!$D$33,0))</f>
        <v>-298625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+IF(AND(59&gt;=Personnel!$E$30,Personnel!$G$30="Yes"),Personnel!$D$30,0)+IF(AND(59&gt;=Personnel!$E$31,Personnel!$G$31="Yes"),Personnel!$D$31,0)+IF(AND(59&gt;=Personnel!$E$32,Personnel!$G$32="Yes"),Personnel!$D$32,0)+IF(AND(59&gt;=Personnel!$E$33,Personnel!$G$33="Yes"),Personnel!$D$33,0))</f>
        <v>-298625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+IF(AND(60&gt;=Personnel!$E$30,Personnel!$G$30="Yes"),Personnel!$D$30,0)+IF(AND(60&gt;=Personnel!$E$31,Personnel!$G$31="Yes"),Personnel!$D$31,0)+IF(AND(60&gt;=Personnel!$E$32,Personnel!$G$32="Yes"),Personnel!$D$32,0)+IF(AND(60&gt;=Personnel!$E$33,Personnel!$G$33="Yes"),Personnel!$D$33,0))</f>
        <v>-298625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+IF(AND(61&gt;=Personnel!$E$30,Personnel!$G$30="Yes"),Personnel!$D$30,0)+IF(AND(61&gt;=Personnel!$E$31,Personnel!$G$31="Yes"),Personnel!$D$31,0)+IF(AND(61&gt;=Personnel!$E$32,Personnel!$G$32="Yes"),Personnel!$D$32,0)+IF(AND(61&gt;=Personnel!$E$33,Personnel!$G$33="Yes"),Personnel!$D$33,0))</f>
        <v>-298625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+IF(AND(62&gt;=Personnel!$E$30,Personnel!$G$30="Yes"),Personnel!$D$30,0)+IF(AND(62&gt;=Personnel!$E$31,Personnel!$G$31="Yes"),Personnel!$D$31,0)+IF(AND(62&gt;=Personnel!$E$32,Personnel!$G$32="Yes"),Personnel!$D$32,0)+IF(AND(62&gt;=Personnel!$E$33,Personnel!$G$33="Yes"),Personnel!$D$33,0))</f>
        <v>-298625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+IF(AND(63&gt;=Personnel!$E$30,Personnel!$G$30="Yes"),Personnel!$D$30,0)+IF(AND(63&gt;=Personnel!$E$31,Personnel!$G$31="Yes"),Personnel!$D$31,0)+IF(AND(63&gt;=Personnel!$E$32,Personnel!$G$32="Yes"),Personnel!$D$32,0)+IF(AND(63&gt;=Personnel!$E$33,Personnel!$G$33="Yes"),Personnel!$D$33,0))</f>
        <v>-298625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+IF(AND(64&gt;=Personnel!$E$30,Personnel!$G$30="Yes"),Personnel!$D$30,0)+IF(AND(64&gt;=Personnel!$E$31,Personnel!$G$31="Yes"),Personnel!$D$31,0)+IF(AND(64&gt;=Personnel!$E$32,Personnel!$G$32="Yes"),Personnel!$D$32,0)+IF(AND(64&gt;=Personnel!$E$33,Personnel!$G$33="Yes"),Personnel!$D$33,0))</f>
        <v>-298625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+IF(AND(65&gt;=Personnel!$E$30,Personnel!$G$30="Yes"),Personnel!$D$30,0)+IF(AND(65&gt;=Personnel!$E$31,Personnel!$G$31="Yes"),Personnel!$D$31,0)+IF(AND(65&gt;=Personnel!$E$32,Personnel!$G$32="Yes"),Personnel!$D$32,0)+IF(AND(65&gt;=Personnel!$E$33,Personnel!$G$33="Yes"),Personnel!$D$33,0))</f>
        <v>-298625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+IF(AND(66&gt;=Personnel!$E$30,Personnel!$G$30="Yes"),Personnel!$D$30,0)+IF(AND(66&gt;=Personnel!$E$31,Personnel!$G$31="Yes"),Personnel!$D$31,0)+IF(AND(66&gt;=Personnel!$E$32,Personnel!$G$32="Yes"),Personnel!$D$32,0)+IF(AND(66&gt;=Personnel!$E$33,Personnel!$G$33="Yes"),Personnel!$D$33,0))</f>
        <v>-298625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+IF(AND(67&gt;=Personnel!$E$30,Personnel!$G$30="Yes"),Personnel!$D$30,0)+IF(AND(67&gt;=Personnel!$E$31,Personnel!$G$31="Yes"),Personnel!$D$31,0)+IF(AND(67&gt;=Personnel!$E$32,Personnel!$G$32="Yes"),Personnel!$D$32,0)+IF(AND(67&gt;=Personnel!$E$33,Personnel!$G$33="Yes"),Personnel!$D$33,0))</f>
        <v>-298625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+IF(AND(68&gt;=Personnel!$E$30,Personnel!$G$30="Yes"),Personnel!$D$30,0)+IF(AND(68&gt;=Personnel!$E$31,Personnel!$G$31="Yes"),Personnel!$D$31,0)+IF(AND(68&gt;=Personnel!$E$32,Personnel!$G$32="Yes"),Personnel!$D$32,0)+IF(AND(68&gt;=Personnel!$E$33,Personnel!$G$33="Yes"),Personnel!$D$33,0))</f>
        <v>-298625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+IF(AND(69&gt;=Personnel!$E$30,Personnel!$G$30="Yes"),Personnel!$D$30,0)+IF(AND(69&gt;=Personnel!$E$31,Personnel!$G$31="Yes"),Personnel!$D$31,0)+IF(AND(69&gt;=Personnel!$E$32,Personnel!$G$32="Yes"),Personnel!$D$32,0)+IF(AND(69&gt;=Personnel!$E$33,Personnel!$G$33="Yes"),Personnel!$D$33,0))</f>
        <v>-298625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+IF(AND(70&gt;=Personnel!$E$30,Personnel!$G$30="Yes"),Personnel!$D$30,0)+IF(AND(70&gt;=Personnel!$E$31,Personnel!$G$31="Yes"),Personnel!$D$31,0)+IF(AND(70&gt;=Personnel!$E$32,Personnel!$G$32="Yes"),Personnel!$D$32,0)+IF(AND(70&gt;=Personnel!$E$33,Personnel!$G$33="Yes"),Personnel!$D$33,0))</f>
        <v>-298625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+IF(AND(71&gt;=Personnel!$E$30,Personnel!$G$30="Yes"),Personnel!$D$30,0)+IF(AND(71&gt;=Personnel!$E$31,Personnel!$G$31="Yes"),Personnel!$D$31,0)+IF(AND(71&gt;=Personnel!$E$32,Personnel!$G$32="Yes"),Personnel!$D$32,0)+IF(AND(71&gt;=Personnel!$E$33,Personnel!$G$33="Yes"),Personnel!$D$33,0))</f>
        <v>-298625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+IF(AND(72&gt;=Personnel!$E$30,Personnel!$G$30="Yes"),Personnel!$D$30,0)+IF(AND(72&gt;=Personnel!$E$31,Personnel!$G$31="Yes"),Personnel!$D$31,0)+IF(AND(72&gt;=Personnel!$E$32,Personnel!$G$32="Yes"),Personnel!$D$32,0)+IF(AND(72&gt;=Personnel!$E$33,Personnel!$G$33="Yes"),Personnel!$D$33,0))</f>
        <v>-298625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+IF(AND(73&gt;=Personnel!$E$30,Personnel!$G$30="Yes"),Personnel!$D$30,0)+IF(AND(73&gt;=Personnel!$E$31,Personnel!$G$31="Yes"),Personnel!$D$31,0)+IF(AND(73&gt;=Personnel!$E$32,Personnel!$G$32="Yes"),Personnel!$D$32,0)+IF(AND(73&gt;=Personnel!$E$33,Personnel!$G$33="Yes"),Personnel!$D$33,0))</f>
        <v>-298625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+IF(AND(74&gt;=Personnel!$E$30,Personnel!$G$30="Yes"),Personnel!$D$30,0)+IF(AND(74&gt;=Personnel!$E$31,Personnel!$G$31="Yes"),Personnel!$D$31,0)+IF(AND(74&gt;=Personnel!$E$32,Personnel!$G$32="Yes"),Personnel!$D$32,0)+IF(AND(74&gt;=Personnel!$E$33,Personnel!$G$33="Yes"),Personnel!$D$33,0))</f>
        <v>-298625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+IF(AND(75&gt;=Personnel!$E$30,Personnel!$G$30="Yes"),Personnel!$D$30,0)+IF(AND(75&gt;=Personnel!$E$31,Personnel!$G$31="Yes"),Personnel!$D$31,0)+IF(AND(75&gt;=Personnel!$E$32,Personnel!$G$32="Yes"),Personnel!$D$32,0)+IF(AND(75&gt;=Personnel!$E$33,Personnel!$G$33="Yes"),Personnel!$D$33,0))</f>
        <v>-298625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+IF(AND(76&gt;=Personnel!$E$30,Personnel!$G$30="Yes"),Personnel!$D$30,0)+IF(AND(76&gt;=Personnel!$E$31,Personnel!$G$31="Yes"),Personnel!$D$31,0)+IF(AND(76&gt;=Personnel!$E$32,Personnel!$G$32="Yes"),Personnel!$D$32,0)+IF(AND(76&gt;=Personnel!$E$33,Personnel!$G$33="Yes"),Personnel!$D$33,0))</f>
        <v>-298625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+IF(AND(77&gt;=Personnel!$E$30,Personnel!$G$30="Yes"),Personnel!$D$30,0)+IF(AND(77&gt;=Personnel!$E$31,Personnel!$G$31="Yes"),Personnel!$D$31,0)+IF(AND(77&gt;=Personnel!$E$32,Personnel!$G$32="Yes"),Personnel!$D$32,0)+IF(AND(77&gt;=Personnel!$E$33,Personnel!$G$33="Yes"),Personnel!$D$33,0))</f>
        <v>-298625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+IF(AND(78&gt;=Personnel!$E$30,Personnel!$G$30="Yes"),Personnel!$D$30,0)+IF(AND(78&gt;=Personnel!$E$31,Personnel!$G$31="Yes"),Personnel!$D$31,0)+IF(AND(78&gt;=Personnel!$E$32,Personnel!$G$32="Yes"),Personnel!$D$32,0)+IF(AND(78&gt;=Personnel!$E$33,Personnel!$G$33="Yes"),Personnel!$D$33,0))</f>
        <v>-298625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+IF(AND(79&gt;=Personnel!$E$30,Personnel!$G$30="Yes"),Personnel!$D$30,0)+IF(AND(79&gt;=Personnel!$E$31,Personnel!$G$31="Yes"),Personnel!$D$31,0)+IF(AND(79&gt;=Personnel!$E$32,Personnel!$G$32="Yes"),Personnel!$D$32,0)+IF(AND(79&gt;=Personnel!$E$33,Personnel!$G$33="Yes"),Personnel!$D$33,0))</f>
        <v>-298625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+IF(AND(80&gt;=Personnel!$E$30,Personnel!$G$30="Yes"),Personnel!$D$30,0)+IF(AND(80&gt;=Personnel!$E$31,Personnel!$G$31="Yes"),Personnel!$D$31,0)+IF(AND(80&gt;=Personnel!$E$32,Personnel!$G$32="Yes"),Personnel!$D$32,0)+IF(AND(80&gt;=Personnel!$E$33,Personnel!$G$33="Yes"),Personnel!$D$33,0))</f>
        <v>-298625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+IF(AND(81&gt;=Personnel!$E$30,Personnel!$G$30="Yes"),Personnel!$D$30,0)+IF(AND(81&gt;=Personnel!$E$31,Personnel!$G$31="Yes"),Personnel!$D$31,0)+IF(AND(81&gt;=Personnel!$E$32,Personnel!$G$32="Yes"),Personnel!$D$32,0)+IF(AND(81&gt;=Personnel!$E$33,Personnel!$G$33="Yes"),Personnel!$D$33,0))</f>
        <v>-298625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+IF(AND(82&gt;=Personnel!$E$30,Personnel!$G$30="Yes"),Personnel!$D$30,0)+IF(AND(82&gt;=Personnel!$E$31,Personnel!$G$31="Yes"),Personnel!$D$31,0)+IF(AND(82&gt;=Personnel!$E$32,Personnel!$G$32="Yes"),Personnel!$D$32,0)+IF(AND(82&gt;=Personnel!$E$33,Personnel!$G$33="Yes"),Personnel!$D$33,0))</f>
        <v>-298625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+IF(AND(83&gt;=Personnel!$E$30,Personnel!$G$30="Yes"),Personnel!$D$30,0)+IF(AND(83&gt;=Personnel!$E$31,Personnel!$G$31="Yes"),Personnel!$D$31,0)+IF(AND(83&gt;=Personnel!$E$32,Personnel!$G$32="Yes"),Personnel!$D$32,0)+IF(AND(83&gt;=Personnel!$E$33,Personnel!$G$33="Yes"),Personnel!$D$33,0))</f>
        <v>-298625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+IF(AND(84&gt;=Personnel!$E$30,Personnel!$G$30="Yes"),Personnel!$D$30,0)+IF(AND(84&gt;=Personnel!$E$31,Personnel!$G$31="Yes"),Personnel!$D$31,0)+IF(AND(84&gt;=Personnel!$E$32,Personnel!$G$32="Yes"),Personnel!$D$32,0)+IF(AND(84&gt;=Personnel!$E$33,Personnel!$G$33="Yes"),Personnel!$D$33,0))</f>
        <v>-298625</v>
      </c>
      <c r="CI16" s="23"/>
    </row>
    <row r="17" spans="1:87" ht="15" customHeight="1" x14ac:dyDescent="0.25">
      <c r="A17" s="7" t="s">
        <v>64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65</v>
      </c>
      <c r="B18" s="22"/>
      <c r="C18" s="8">
        <f>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</f>
        <v>-61750</v>
      </c>
      <c r="D18" s="8">
        <f>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</f>
        <v>-61750</v>
      </c>
      <c r="E18" s="8">
        <f>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</f>
        <v>-61750</v>
      </c>
      <c r="F18" s="8">
        <f>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</f>
        <v>-61750</v>
      </c>
      <c r="G18" s="8">
        <f>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</f>
        <v>-61750</v>
      </c>
      <c r="H18" s="8">
        <f>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</f>
        <v>-61750</v>
      </c>
      <c r="I18" s="8">
        <f>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</f>
        <v>-61750</v>
      </c>
      <c r="J18" s="8">
        <f>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</f>
        <v>-61750</v>
      </c>
      <c r="K18" s="8">
        <f>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</f>
        <v>-61750</v>
      </c>
      <c r="L18" s="8">
        <f>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</f>
        <v>-61750</v>
      </c>
      <c r="M18" s="8">
        <f>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</f>
        <v>-61750</v>
      </c>
      <c r="N18" s="8">
        <f>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</f>
        <v>-61750</v>
      </c>
      <c r="O18" s="8">
        <f>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</f>
        <v>-61750</v>
      </c>
      <c r="P18" s="8">
        <f>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</f>
        <v>-61750</v>
      </c>
      <c r="Q18" s="8">
        <f>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</f>
        <v>-61750</v>
      </c>
      <c r="R18" s="8">
        <f>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</f>
        <v>-61750</v>
      </c>
      <c r="S18" s="8">
        <f>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</f>
        <v>-61750</v>
      </c>
      <c r="T18" s="8">
        <f>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</f>
        <v>-61750</v>
      </c>
      <c r="U18" s="8">
        <f>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</f>
        <v>-61750</v>
      </c>
      <c r="V18" s="8">
        <f>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</f>
        <v>-61750</v>
      </c>
      <c r="W18" s="8">
        <f>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</f>
        <v>-61750</v>
      </c>
      <c r="X18" s="8">
        <f>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</f>
        <v>-61750</v>
      </c>
      <c r="Y18" s="8">
        <f>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</f>
        <v>-61750</v>
      </c>
      <c r="Z18" s="8">
        <f>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</f>
        <v>-61750</v>
      </c>
      <c r="AA18" s="8">
        <f>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</f>
        <v>-61750</v>
      </c>
      <c r="AB18" s="8">
        <f>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</f>
        <v>-61750</v>
      </c>
      <c r="AC18" s="8">
        <f>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</f>
        <v>-61750</v>
      </c>
      <c r="AD18" s="8">
        <f>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</f>
        <v>-61750</v>
      </c>
      <c r="AE18" s="8">
        <f>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</f>
        <v>-61750</v>
      </c>
      <c r="AF18" s="8">
        <f>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</f>
        <v>-61750</v>
      </c>
      <c r="AG18" s="8">
        <f>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</f>
        <v>-61750</v>
      </c>
      <c r="AH18" s="8">
        <f>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</f>
        <v>-61750</v>
      </c>
      <c r="AI18" s="8">
        <f>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</f>
        <v>-61750</v>
      </c>
      <c r="AJ18" s="8">
        <f>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</f>
        <v>-61750</v>
      </c>
      <c r="AK18" s="8">
        <f>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</f>
        <v>-61750</v>
      </c>
      <c r="AL18" s="8">
        <f>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</f>
        <v>-61750</v>
      </c>
      <c r="AM18" s="8">
        <f>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</f>
        <v>-61750</v>
      </c>
      <c r="AN18" s="8">
        <f>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</f>
        <v>-61750</v>
      </c>
      <c r="AO18" s="8">
        <f>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</f>
        <v>-61750</v>
      </c>
      <c r="AP18" s="8">
        <f>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</f>
        <v>-61750</v>
      </c>
      <c r="AQ18" s="8">
        <f>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</f>
        <v>-61750</v>
      </c>
      <c r="AR18" s="8">
        <f>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</f>
        <v>-61750</v>
      </c>
      <c r="AS18" s="8">
        <f>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</f>
        <v>-61750</v>
      </c>
      <c r="AT18" s="8">
        <f>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</f>
        <v>-61750</v>
      </c>
      <c r="AU18" s="8">
        <f>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</f>
        <v>-61750</v>
      </c>
      <c r="AV18" s="8">
        <f>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</f>
        <v>-61750</v>
      </c>
      <c r="AW18" s="8">
        <f>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</f>
        <v>-61750</v>
      </c>
      <c r="AX18" s="8">
        <f>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</f>
        <v>-61750</v>
      </c>
      <c r="AY18" s="8">
        <f>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</f>
        <v>-61750</v>
      </c>
      <c r="AZ18" s="8">
        <f>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</f>
        <v>-61750</v>
      </c>
      <c r="BA18" s="8">
        <f>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</f>
        <v>-61750</v>
      </c>
      <c r="BB18" s="8">
        <f>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</f>
        <v>-61750</v>
      </c>
      <c r="BC18" s="8">
        <f>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</f>
        <v>-61750</v>
      </c>
      <c r="BD18" s="8">
        <f>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</f>
        <v>-61750</v>
      </c>
      <c r="BE18" s="8">
        <f>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</f>
        <v>-61750</v>
      </c>
      <c r="BF18" s="8">
        <f>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</f>
        <v>-61750</v>
      </c>
      <c r="BG18" s="8">
        <f>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</f>
        <v>-61750</v>
      </c>
      <c r="BH18" s="8">
        <f>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</f>
        <v>-61750</v>
      </c>
      <c r="BI18" s="8">
        <f>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</f>
        <v>-61750</v>
      </c>
      <c r="BJ18" s="8">
        <f>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</f>
        <v>-61750</v>
      </c>
      <c r="BK18" s="8">
        <f>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</f>
        <v>-61750</v>
      </c>
      <c r="BL18" s="8">
        <f>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</f>
        <v>-61750</v>
      </c>
      <c r="BM18" s="8">
        <f>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</f>
        <v>-61750</v>
      </c>
      <c r="BN18" s="8">
        <f>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</f>
        <v>-61750</v>
      </c>
      <c r="BO18" s="8">
        <f>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</f>
        <v>-61750</v>
      </c>
      <c r="BP18" s="8">
        <f>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</f>
        <v>-61750</v>
      </c>
      <c r="BQ18" s="8">
        <f>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</f>
        <v>-61750</v>
      </c>
      <c r="BR18" s="8">
        <f>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</f>
        <v>-61750</v>
      </c>
      <c r="BS18" s="8">
        <f>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</f>
        <v>-61750</v>
      </c>
      <c r="BT18" s="8">
        <f>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</f>
        <v>-61750</v>
      </c>
      <c r="BU18" s="8">
        <f>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</f>
        <v>-61750</v>
      </c>
      <c r="BV18" s="8">
        <f>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</f>
        <v>-61750</v>
      </c>
      <c r="BW18" s="8">
        <f>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</f>
        <v>-61750</v>
      </c>
      <c r="BX18" s="8">
        <f>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</f>
        <v>-61750</v>
      </c>
      <c r="BY18" s="8">
        <f>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</f>
        <v>-61750</v>
      </c>
      <c r="BZ18" s="8">
        <f>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</f>
        <v>-61750</v>
      </c>
      <c r="CA18" s="8">
        <f>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</f>
        <v>-61750</v>
      </c>
      <c r="CB18" s="8">
        <f>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</f>
        <v>-61750</v>
      </c>
      <c r="CC18" s="8">
        <f>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</f>
        <v>-61750</v>
      </c>
      <c r="CD18" s="8">
        <f>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</f>
        <v>-61750</v>
      </c>
      <c r="CE18" s="8">
        <f>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</f>
        <v>-61750</v>
      </c>
      <c r="CF18" s="8">
        <f>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</f>
        <v>-61750</v>
      </c>
      <c r="CG18" s="8">
        <f>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</f>
        <v>-61750</v>
      </c>
      <c r="CH18" s="8">
        <f>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</f>
        <v>-61750</v>
      </c>
      <c r="CI18" s="23"/>
    </row>
    <row r="19" spans="1:87" ht="15" customHeight="1" x14ac:dyDescent="0.25">
      <c r="A19" s="7" t="s">
        <v>66</v>
      </c>
      <c r="B19" s="22"/>
      <c r="C19" s="8">
        <f>-Helpers!C4*Assumptions!$B$20</f>
        <v>-15327.083333333338</v>
      </c>
      <c r="D19" s="8">
        <f>-Helpers!D4*Assumptions!$B$20</f>
        <v>-17047.916666666668</v>
      </c>
      <c r="E19" s="8">
        <f>-Helpers!E4*Assumptions!$B$20</f>
        <v>-18797.916666666664</v>
      </c>
      <c r="F19" s="8">
        <f>-Helpers!F4*Assumptions!$B$20</f>
        <v>-19556.250000000004</v>
      </c>
      <c r="G19" s="8">
        <f>-Helpers!G4*Assumptions!$B$20</f>
        <v>-19556.250000000004</v>
      </c>
      <c r="H19" s="8">
        <f>-Helpers!H4*Assumptions!$B$20</f>
        <v>-19556.250000000004</v>
      </c>
      <c r="I19" s="8">
        <f>-Helpers!I4*Assumptions!$B$20</f>
        <v>-21014.583333333328</v>
      </c>
      <c r="J19" s="8">
        <f>-Helpers!J4*Assumptions!$B$20</f>
        <v>-23114.583333333325</v>
      </c>
      <c r="K19" s="8">
        <f>-Helpers!K4*Assumptions!$B$20</f>
        <v>-23114.583333333325</v>
      </c>
      <c r="L19" s="8">
        <f>-Helpers!L4*Assumptions!$B$20</f>
        <v>-23114.583333333325</v>
      </c>
      <c r="M19" s="8">
        <f>-Helpers!M4*Assumptions!$B$20</f>
        <v>-23114.583333333325</v>
      </c>
      <c r="N19" s="8">
        <f>-Helpers!N4*Assumptions!$B$20</f>
        <v>-23114.583333333325</v>
      </c>
      <c r="O19" s="8">
        <f>-Helpers!O4*Assumptions!$B$20</f>
        <v>-24047.916666666661</v>
      </c>
      <c r="P19" s="8">
        <f>-Helpers!P4*Assumptions!$B$20</f>
        <v>-24047.916666666661</v>
      </c>
      <c r="Q19" s="8">
        <f>-Helpers!Q4*Assumptions!$B$20</f>
        <v>-24047.916666666661</v>
      </c>
      <c r="R19" s="8">
        <f>-Helpers!R4*Assumptions!$B$20</f>
        <v>-24047.916666666661</v>
      </c>
      <c r="S19" s="8">
        <f>-Helpers!S4*Assumptions!$B$20</f>
        <v>-24047.916666666661</v>
      </c>
      <c r="T19" s="8">
        <f>-Helpers!T4*Assumptions!$B$20</f>
        <v>-24047.916666666661</v>
      </c>
      <c r="U19" s="8">
        <f>-Helpers!U4*Assumptions!$B$20</f>
        <v>-24047.916666666661</v>
      </c>
      <c r="V19" s="8">
        <f>-Helpers!V4*Assumptions!$B$20</f>
        <v>-24047.916666666661</v>
      </c>
      <c r="W19" s="8">
        <f>-Helpers!W4*Assumptions!$B$20</f>
        <v>-24047.916666666661</v>
      </c>
      <c r="X19" s="8">
        <f>-Helpers!X4*Assumptions!$B$20</f>
        <v>-24047.916666666661</v>
      </c>
      <c r="Y19" s="8">
        <f>-Helpers!Y4*Assumptions!$B$20</f>
        <v>-24047.916666666661</v>
      </c>
      <c r="Z19" s="8">
        <f>-Helpers!Z4*Assumptions!$B$20</f>
        <v>-24047.916666666661</v>
      </c>
      <c r="AA19" s="8">
        <f>-Helpers!AA4*Assumptions!$B$20</f>
        <v>-24047.916666666661</v>
      </c>
      <c r="AB19" s="8">
        <f>-Helpers!AB4*Assumptions!$B$20</f>
        <v>-24047.916666666661</v>
      </c>
      <c r="AC19" s="8">
        <f>-Helpers!AC4*Assumptions!$B$20</f>
        <v>-24047.916666666661</v>
      </c>
      <c r="AD19" s="8">
        <f>-Helpers!AD4*Assumptions!$B$20</f>
        <v>-24047.916666666661</v>
      </c>
      <c r="AE19" s="8">
        <f>-Helpers!AE4*Assumptions!$B$20</f>
        <v>-24047.916666666661</v>
      </c>
      <c r="AF19" s="8">
        <f>-Helpers!AF4*Assumptions!$B$20</f>
        <v>-24047.916666666661</v>
      </c>
      <c r="AG19" s="8">
        <f>-Helpers!AG4*Assumptions!$B$20</f>
        <v>-24047.916666666661</v>
      </c>
      <c r="AH19" s="8">
        <f>-Helpers!AH4*Assumptions!$B$20</f>
        <v>-24047.916666666661</v>
      </c>
      <c r="AI19" s="8">
        <f>-Helpers!AI4*Assumptions!$B$20</f>
        <v>-24047.916666666661</v>
      </c>
      <c r="AJ19" s="8">
        <f>-Helpers!AJ4*Assumptions!$B$20</f>
        <v>-24047.916666666661</v>
      </c>
      <c r="AK19" s="8">
        <f>-Helpers!AK4*Assumptions!$B$20</f>
        <v>-24047.916666666661</v>
      </c>
      <c r="AL19" s="8">
        <f>-Helpers!AL4*Assumptions!$B$20</f>
        <v>-24047.916666666661</v>
      </c>
      <c r="AM19" s="8">
        <f>-Helpers!AM4*Assumptions!$B$20</f>
        <v>-24047.916666666661</v>
      </c>
      <c r="AN19" s="8">
        <f>-Helpers!AN4*Assumptions!$B$20</f>
        <v>-24047.916666666661</v>
      </c>
      <c r="AO19" s="8">
        <f>-Helpers!AO4*Assumptions!$B$20</f>
        <v>-24047.916666666661</v>
      </c>
      <c r="AP19" s="8">
        <f>-Helpers!AP4*Assumptions!$B$20</f>
        <v>-24047.916666666661</v>
      </c>
      <c r="AQ19" s="8">
        <f>-Helpers!AQ4*Assumptions!$B$20</f>
        <v>-24047.916666666661</v>
      </c>
      <c r="AR19" s="8">
        <f>-Helpers!AR4*Assumptions!$B$20</f>
        <v>-24047.916666666661</v>
      </c>
      <c r="AS19" s="8">
        <f>-Helpers!AS4*Assumptions!$B$20</f>
        <v>-24047.916666666661</v>
      </c>
      <c r="AT19" s="8">
        <f>-Helpers!AT4*Assumptions!$B$20</f>
        <v>-24047.916666666661</v>
      </c>
      <c r="AU19" s="8">
        <f>-Helpers!AU4*Assumptions!$B$20</f>
        <v>-24047.916666666661</v>
      </c>
      <c r="AV19" s="8">
        <f>-Helpers!AV4*Assumptions!$B$20</f>
        <v>-24047.916666666661</v>
      </c>
      <c r="AW19" s="8">
        <f>-Helpers!AW4*Assumptions!$B$20</f>
        <v>-24047.916666666661</v>
      </c>
      <c r="AX19" s="8">
        <f>-Helpers!AX4*Assumptions!$B$20</f>
        <v>-24047.916666666661</v>
      </c>
      <c r="AY19" s="8">
        <f>-Helpers!AY4*Assumptions!$B$20</f>
        <v>-24047.916666666661</v>
      </c>
      <c r="AZ19" s="8">
        <f>-Helpers!AZ4*Assumptions!$B$20</f>
        <v>-24047.916666666661</v>
      </c>
      <c r="BA19" s="8">
        <f>-Helpers!BA4*Assumptions!$B$20</f>
        <v>-24047.916666666661</v>
      </c>
      <c r="BB19" s="8">
        <f>-Helpers!BB4*Assumptions!$B$20</f>
        <v>-24047.916666666661</v>
      </c>
      <c r="BC19" s="8">
        <f>-Helpers!BC4*Assumptions!$B$20</f>
        <v>-24047.916666666661</v>
      </c>
      <c r="BD19" s="8">
        <f>-Helpers!BD4*Assumptions!$B$20</f>
        <v>-24047.916666666661</v>
      </c>
      <c r="BE19" s="8">
        <f>-Helpers!BE4*Assumptions!$B$20</f>
        <v>-24047.916666666661</v>
      </c>
      <c r="BF19" s="8">
        <f>-Helpers!BF4*Assumptions!$B$20</f>
        <v>-24047.916666666661</v>
      </c>
      <c r="BG19" s="8">
        <f>-Helpers!BG4*Assumptions!$B$20</f>
        <v>-24047.916666666661</v>
      </c>
      <c r="BH19" s="8">
        <f>-Helpers!BH4*Assumptions!$B$20</f>
        <v>-24047.916666666661</v>
      </c>
      <c r="BI19" s="8">
        <f>-Helpers!BI4*Assumptions!$B$20</f>
        <v>-24047.916666666661</v>
      </c>
      <c r="BJ19" s="8">
        <f>-Helpers!BJ4*Assumptions!$B$20</f>
        <v>-24047.916666666661</v>
      </c>
      <c r="BK19" s="8">
        <f>-Helpers!BK4*Assumptions!$B$20</f>
        <v>-24047.916666666661</v>
      </c>
      <c r="BL19" s="8">
        <f>-Helpers!BL4*Assumptions!$B$20</f>
        <v>-24047.916666666661</v>
      </c>
      <c r="BM19" s="8">
        <f>-Helpers!BM4*Assumptions!$B$20</f>
        <v>-24047.916666666661</v>
      </c>
      <c r="BN19" s="8">
        <f>-Helpers!BN4*Assumptions!$B$20</f>
        <v>-24047.916666666661</v>
      </c>
      <c r="BO19" s="8">
        <f>-Helpers!BO4*Assumptions!$B$20</f>
        <v>-24047.916666666661</v>
      </c>
      <c r="BP19" s="8">
        <f>-Helpers!BP4*Assumptions!$B$20</f>
        <v>-24047.916666666661</v>
      </c>
      <c r="BQ19" s="8">
        <f>-Helpers!BQ4*Assumptions!$B$20</f>
        <v>-24047.916666666661</v>
      </c>
      <c r="BR19" s="8">
        <f>-Helpers!BR4*Assumptions!$B$20</f>
        <v>-24047.916666666661</v>
      </c>
      <c r="BS19" s="8">
        <f>-Helpers!BS4*Assumptions!$B$20</f>
        <v>-24047.916666666661</v>
      </c>
      <c r="BT19" s="8">
        <f>-Helpers!BT4*Assumptions!$B$20</f>
        <v>-24047.916666666661</v>
      </c>
      <c r="BU19" s="8">
        <f>-Helpers!BU4*Assumptions!$B$20</f>
        <v>-24047.916666666661</v>
      </c>
      <c r="BV19" s="8">
        <f>-Helpers!BV4*Assumptions!$B$20</f>
        <v>-24047.916666666661</v>
      </c>
      <c r="BW19" s="8">
        <f>-Helpers!BW4*Assumptions!$B$20</f>
        <v>-24047.916666666661</v>
      </c>
      <c r="BX19" s="8">
        <f>-Helpers!BX4*Assumptions!$B$20</f>
        <v>-24047.916666666661</v>
      </c>
      <c r="BY19" s="8">
        <f>-Helpers!BY4*Assumptions!$B$20</f>
        <v>-24047.916666666661</v>
      </c>
      <c r="BZ19" s="8">
        <f>-Helpers!BZ4*Assumptions!$B$20</f>
        <v>-24047.916666666661</v>
      </c>
      <c r="CA19" s="8">
        <f>-Helpers!CA4*Assumptions!$B$20</f>
        <v>-24047.916666666661</v>
      </c>
      <c r="CB19" s="8">
        <f>-Helpers!CB4*Assumptions!$B$20</f>
        <v>-24047.916666666661</v>
      </c>
      <c r="CC19" s="8">
        <f>-Helpers!CC4*Assumptions!$B$20</f>
        <v>-24047.916666666661</v>
      </c>
      <c r="CD19" s="8">
        <f>-Helpers!CD4*Assumptions!$B$20</f>
        <v>-24047.916666666661</v>
      </c>
      <c r="CE19" s="8">
        <f>-Helpers!CE4*Assumptions!$B$20</f>
        <v>-24047.916666666661</v>
      </c>
      <c r="CF19" s="8">
        <f>-Helpers!CF4*Assumptions!$B$20</f>
        <v>-24047.916666666661</v>
      </c>
      <c r="CG19" s="8">
        <f>-Helpers!CG4*Assumptions!$B$20</f>
        <v>-24047.916666666661</v>
      </c>
      <c r="CH19" s="8">
        <f>-Helpers!CH4*Assumptions!$B$20</f>
        <v>-24047.916666666661</v>
      </c>
      <c r="CI19" s="23"/>
    </row>
    <row r="20" spans="1:87" ht="15" customHeight="1" x14ac:dyDescent="0.25">
      <c r="A20" s="7" t="s">
        <v>67</v>
      </c>
      <c r="B20" s="22"/>
      <c r="C20" s="8">
        <f>-Helpers!C4*Assumptions!$B$21</f>
        <v>-1094.791666666667</v>
      </c>
      <c r="D20" s="8">
        <f>-Helpers!D4*Assumptions!$B$21</f>
        <v>-1217.7083333333335</v>
      </c>
      <c r="E20" s="8">
        <f>-Helpers!E4*Assumptions!$B$21</f>
        <v>-1342.7083333333333</v>
      </c>
      <c r="F20" s="8">
        <f>-Helpers!F4*Assumptions!$B$21</f>
        <v>-1396.875</v>
      </c>
      <c r="G20" s="8">
        <f>-Helpers!G4*Assumptions!$B$21</f>
        <v>-1396.875</v>
      </c>
      <c r="H20" s="8">
        <f>-Helpers!H4*Assumptions!$B$21</f>
        <v>-1396.875</v>
      </c>
      <c r="I20" s="8">
        <f>-Helpers!I4*Assumptions!$B$21</f>
        <v>-1501.0416666666663</v>
      </c>
      <c r="J20" s="8">
        <f>-Helpers!J4*Assumptions!$B$21</f>
        <v>-1651.0416666666661</v>
      </c>
      <c r="K20" s="8">
        <f>-Helpers!K4*Assumptions!$B$21</f>
        <v>-1651.0416666666661</v>
      </c>
      <c r="L20" s="8">
        <f>-Helpers!L4*Assumptions!$B$21</f>
        <v>-1651.0416666666661</v>
      </c>
      <c r="M20" s="8">
        <f>-Helpers!M4*Assumptions!$B$21</f>
        <v>-1651.0416666666661</v>
      </c>
      <c r="N20" s="8">
        <f>-Helpers!N4*Assumptions!$B$21</f>
        <v>-1651.0416666666661</v>
      </c>
      <c r="O20" s="8">
        <f>-Helpers!O4*Assumptions!$B$21</f>
        <v>-1717.7083333333328</v>
      </c>
      <c r="P20" s="8">
        <f>-Helpers!P4*Assumptions!$B$21</f>
        <v>-1717.7083333333328</v>
      </c>
      <c r="Q20" s="8">
        <f>-Helpers!Q4*Assumptions!$B$21</f>
        <v>-1717.7083333333328</v>
      </c>
      <c r="R20" s="8">
        <f>-Helpers!R4*Assumptions!$B$21</f>
        <v>-1717.7083333333328</v>
      </c>
      <c r="S20" s="8">
        <f>-Helpers!S4*Assumptions!$B$21</f>
        <v>-1717.7083333333328</v>
      </c>
      <c r="T20" s="8">
        <f>-Helpers!T4*Assumptions!$B$21</f>
        <v>-1717.7083333333328</v>
      </c>
      <c r="U20" s="8">
        <f>-Helpers!U4*Assumptions!$B$21</f>
        <v>-1717.7083333333328</v>
      </c>
      <c r="V20" s="8">
        <f>-Helpers!V4*Assumptions!$B$21</f>
        <v>-1717.7083333333328</v>
      </c>
      <c r="W20" s="8">
        <f>-Helpers!W4*Assumptions!$B$21</f>
        <v>-1717.7083333333328</v>
      </c>
      <c r="X20" s="8">
        <f>-Helpers!X4*Assumptions!$B$21</f>
        <v>-1717.7083333333328</v>
      </c>
      <c r="Y20" s="8">
        <f>-Helpers!Y4*Assumptions!$B$21</f>
        <v>-1717.7083333333328</v>
      </c>
      <c r="Z20" s="8">
        <f>-Helpers!Z4*Assumptions!$B$21</f>
        <v>-1717.7083333333328</v>
      </c>
      <c r="AA20" s="8">
        <f>-Helpers!AA4*Assumptions!$B$21</f>
        <v>-1717.7083333333328</v>
      </c>
      <c r="AB20" s="8">
        <f>-Helpers!AB4*Assumptions!$B$21</f>
        <v>-1717.7083333333328</v>
      </c>
      <c r="AC20" s="8">
        <f>-Helpers!AC4*Assumptions!$B$21</f>
        <v>-1717.7083333333328</v>
      </c>
      <c r="AD20" s="8">
        <f>-Helpers!AD4*Assumptions!$B$21</f>
        <v>-1717.7083333333328</v>
      </c>
      <c r="AE20" s="8">
        <f>-Helpers!AE4*Assumptions!$B$21</f>
        <v>-1717.7083333333328</v>
      </c>
      <c r="AF20" s="8">
        <f>-Helpers!AF4*Assumptions!$B$21</f>
        <v>-1717.7083333333328</v>
      </c>
      <c r="AG20" s="8">
        <f>-Helpers!AG4*Assumptions!$B$21</f>
        <v>-1717.7083333333328</v>
      </c>
      <c r="AH20" s="8">
        <f>-Helpers!AH4*Assumptions!$B$21</f>
        <v>-1717.7083333333328</v>
      </c>
      <c r="AI20" s="8">
        <f>-Helpers!AI4*Assumptions!$B$21</f>
        <v>-1717.7083333333328</v>
      </c>
      <c r="AJ20" s="8">
        <f>-Helpers!AJ4*Assumptions!$B$21</f>
        <v>-1717.7083333333328</v>
      </c>
      <c r="AK20" s="8">
        <f>-Helpers!AK4*Assumptions!$B$21</f>
        <v>-1717.7083333333328</v>
      </c>
      <c r="AL20" s="8">
        <f>-Helpers!AL4*Assumptions!$B$21</f>
        <v>-1717.7083333333328</v>
      </c>
      <c r="AM20" s="8">
        <f>-Helpers!AM4*Assumptions!$B$21</f>
        <v>-1717.7083333333328</v>
      </c>
      <c r="AN20" s="8">
        <f>-Helpers!AN4*Assumptions!$B$21</f>
        <v>-1717.7083333333328</v>
      </c>
      <c r="AO20" s="8">
        <f>-Helpers!AO4*Assumptions!$B$21</f>
        <v>-1717.7083333333328</v>
      </c>
      <c r="AP20" s="8">
        <f>-Helpers!AP4*Assumptions!$B$21</f>
        <v>-1717.7083333333328</v>
      </c>
      <c r="AQ20" s="8">
        <f>-Helpers!AQ4*Assumptions!$B$21</f>
        <v>-1717.7083333333328</v>
      </c>
      <c r="AR20" s="8">
        <f>-Helpers!AR4*Assumptions!$B$21</f>
        <v>-1717.7083333333328</v>
      </c>
      <c r="AS20" s="8">
        <f>-Helpers!AS4*Assumptions!$B$21</f>
        <v>-1717.7083333333328</v>
      </c>
      <c r="AT20" s="8">
        <f>-Helpers!AT4*Assumptions!$B$21</f>
        <v>-1717.7083333333328</v>
      </c>
      <c r="AU20" s="8">
        <f>-Helpers!AU4*Assumptions!$B$21</f>
        <v>-1717.7083333333328</v>
      </c>
      <c r="AV20" s="8">
        <f>-Helpers!AV4*Assumptions!$B$21</f>
        <v>-1717.7083333333328</v>
      </c>
      <c r="AW20" s="8">
        <f>-Helpers!AW4*Assumptions!$B$21</f>
        <v>-1717.7083333333328</v>
      </c>
      <c r="AX20" s="8">
        <f>-Helpers!AX4*Assumptions!$B$21</f>
        <v>-1717.7083333333328</v>
      </c>
      <c r="AY20" s="8">
        <f>-Helpers!AY4*Assumptions!$B$21</f>
        <v>-1717.7083333333328</v>
      </c>
      <c r="AZ20" s="8">
        <f>-Helpers!AZ4*Assumptions!$B$21</f>
        <v>-1717.7083333333328</v>
      </c>
      <c r="BA20" s="8">
        <f>-Helpers!BA4*Assumptions!$B$21</f>
        <v>-1717.7083333333328</v>
      </c>
      <c r="BB20" s="8">
        <f>-Helpers!BB4*Assumptions!$B$21</f>
        <v>-1717.7083333333328</v>
      </c>
      <c r="BC20" s="8">
        <f>-Helpers!BC4*Assumptions!$B$21</f>
        <v>-1717.7083333333328</v>
      </c>
      <c r="BD20" s="8">
        <f>-Helpers!BD4*Assumptions!$B$21</f>
        <v>-1717.7083333333328</v>
      </c>
      <c r="BE20" s="8">
        <f>-Helpers!BE4*Assumptions!$B$21</f>
        <v>-1717.7083333333328</v>
      </c>
      <c r="BF20" s="8">
        <f>-Helpers!BF4*Assumptions!$B$21</f>
        <v>-1717.7083333333328</v>
      </c>
      <c r="BG20" s="8">
        <f>-Helpers!BG4*Assumptions!$B$21</f>
        <v>-1717.7083333333328</v>
      </c>
      <c r="BH20" s="8">
        <f>-Helpers!BH4*Assumptions!$B$21</f>
        <v>-1717.7083333333328</v>
      </c>
      <c r="BI20" s="8">
        <f>-Helpers!BI4*Assumptions!$B$21</f>
        <v>-1717.7083333333328</v>
      </c>
      <c r="BJ20" s="8">
        <f>-Helpers!BJ4*Assumptions!$B$21</f>
        <v>-1717.7083333333328</v>
      </c>
      <c r="BK20" s="8">
        <f>-Helpers!BK4*Assumptions!$B$21</f>
        <v>-1717.7083333333328</v>
      </c>
      <c r="BL20" s="8">
        <f>-Helpers!BL4*Assumptions!$B$21</f>
        <v>-1717.7083333333328</v>
      </c>
      <c r="BM20" s="8">
        <f>-Helpers!BM4*Assumptions!$B$21</f>
        <v>-1717.7083333333328</v>
      </c>
      <c r="BN20" s="8">
        <f>-Helpers!BN4*Assumptions!$B$21</f>
        <v>-1717.7083333333328</v>
      </c>
      <c r="BO20" s="8">
        <f>-Helpers!BO4*Assumptions!$B$21</f>
        <v>-1717.7083333333328</v>
      </c>
      <c r="BP20" s="8">
        <f>-Helpers!BP4*Assumptions!$B$21</f>
        <v>-1717.7083333333328</v>
      </c>
      <c r="BQ20" s="8">
        <f>-Helpers!BQ4*Assumptions!$B$21</f>
        <v>-1717.7083333333328</v>
      </c>
      <c r="BR20" s="8">
        <f>-Helpers!BR4*Assumptions!$B$21</f>
        <v>-1717.7083333333328</v>
      </c>
      <c r="BS20" s="8">
        <f>-Helpers!BS4*Assumptions!$B$21</f>
        <v>-1717.7083333333328</v>
      </c>
      <c r="BT20" s="8">
        <f>-Helpers!BT4*Assumptions!$B$21</f>
        <v>-1717.7083333333328</v>
      </c>
      <c r="BU20" s="8">
        <f>-Helpers!BU4*Assumptions!$B$21</f>
        <v>-1717.7083333333328</v>
      </c>
      <c r="BV20" s="8">
        <f>-Helpers!BV4*Assumptions!$B$21</f>
        <v>-1717.7083333333328</v>
      </c>
      <c r="BW20" s="8">
        <f>-Helpers!BW4*Assumptions!$B$21</f>
        <v>-1717.7083333333328</v>
      </c>
      <c r="BX20" s="8">
        <f>-Helpers!BX4*Assumptions!$B$21</f>
        <v>-1717.7083333333328</v>
      </c>
      <c r="BY20" s="8">
        <f>-Helpers!BY4*Assumptions!$B$21</f>
        <v>-1717.7083333333328</v>
      </c>
      <c r="BZ20" s="8">
        <f>-Helpers!BZ4*Assumptions!$B$21</f>
        <v>-1717.7083333333328</v>
      </c>
      <c r="CA20" s="8">
        <f>-Helpers!CA4*Assumptions!$B$21</f>
        <v>-1717.7083333333328</v>
      </c>
      <c r="CB20" s="8">
        <f>-Helpers!CB4*Assumptions!$B$21</f>
        <v>-1717.7083333333328</v>
      </c>
      <c r="CC20" s="8">
        <f>-Helpers!CC4*Assumptions!$B$21</f>
        <v>-1717.7083333333328</v>
      </c>
      <c r="CD20" s="8">
        <f>-Helpers!CD4*Assumptions!$B$21</f>
        <v>-1717.7083333333328</v>
      </c>
      <c r="CE20" s="8">
        <f>-Helpers!CE4*Assumptions!$B$21</f>
        <v>-1717.7083333333328</v>
      </c>
      <c r="CF20" s="8">
        <f>-Helpers!CF4*Assumptions!$B$21</f>
        <v>-1717.7083333333328</v>
      </c>
      <c r="CG20" s="8">
        <f>-Helpers!CG4*Assumptions!$B$21</f>
        <v>-1717.7083333333328</v>
      </c>
      <c r="CH20" s="8">
        <f>-Helpers!CH4*Assumptions!$B$21</f>
        <v>-1717.7083333333328</v>
      </c>
      <c r="CI20" s="23"/>
    </row>
    <row r="21" spans="1:87" ht="15" customHeight="1" x14ac:dyDescent="0.25">
      <c r="A21" s="7" t="s">
        <v>68</v>
      </c>
      <c r="B21" s="22"/>
      <c r="C21" s="8">
        <f>-Helpers!C4*Assumptions!$B$22</f>
        <v>-15327.083333333338</v>
      </c>
      <c r="D21" s="8">
        <f>-Helpers!D4*Assumptions!$B$22</f>
        <v>-17047.916666666668</v>
      </c>
      <c r="E21" s="8">
        <f>-Helpers!E4*Assumptions!$B$22</f>
        <v>-18797.916666666664</v>
      </c>
      <c r="F21" s="8">
        <f>-Helpers!F4*Assumptions!$B$22</f>
        <v>-19556.250000000004</v>
      </c>
      <c r="G21" s="8">
        <f>-Helpers!G4*Assumptions!$B$22</f>
        <v>-19556.250000000004</v>
      </c>
      <c r="H21" s="8">
        <f>-Helpers!H4*Assumptions!$B$22</f>
        <v>-19556.250000000004</v>
      </c>
      <c r="I21" s="8">
        <f>-Helpers!I4*Assumptions!$B$22</f>
        <v>-21014.583333333328</v>
      </c>
      <c r="J21" s="8">
        <f>-Helpers!J4*Assumptions!$B$22</f>
        <v>-23114.583333333325</v>
      </c>
      <c r="K21" s="8">
        <f>-Helpers!K4*Assumptions!$B$22</f>
        <v>-23114.583333333325</v>
      </c>
      <c r="L21" s="8">
        <f>-Helpers!L4*Assumptions!$B$22</f>
        <v>-23114.583333333325</v>
      </c>
      <c r="M21" s="8">
        <f>-Helpers!M4*Assumptions!$B$22</f>
        <v>-23114.583333333325</v>
      </c>
      <c r="N21" s="8">
        <f>-Helpers!N4*Assumptions!$B$22</f>
        <v>-23114.583333333325</v>
      </c>
      <c r="O21" s="8">
        <f>-Helpers!O4*Assumptions!$B$22</f>
        <v>-24047.916666666661</v>
      </c>
      <c r="P21" s="8">
        <f>-Helpers!P4*Assumptions!$B$22</f>
        <v>-24047.916666666661</v>
      </c>
      <c r="Q21" s="8">
        <f>-Helpers!Q4*Assumptions!$B$22</f>
        <v>-24047.916666666661</v>
      </c>
      <c r="R21" s="8">
        <f>-Helpers!R4*Assumptions!$B$22</f>
        <v>-24047.916666666661</v>
      </c>
      <c r="S21" s="8">
        <f>-Helpers!S4*Assumptions!$B$22</f>
        <v>-24047.916666666661</v>
      </c>
      <c r="T21" s="8">
        <f>-Helpers!T4*Assumptions!$B$22</f>
        <v>-24047.916666666661</v>
      </c>
      <c r="U21" s="8">
        <f>-Helpers!U4*Assumptions!$B$22</f>
        <v>-24047.916666666661</v>
      </c>
      <c r="V21" s="8">
        <f>-Helpers!V4*Assumptions!$B$22</f>
        <v>-24047.916666666661</v>
      </c>
      <c r="W21" s="8">
        <f>-Helpers!W4*Assumptions!$B$22</f>
        <v>-24047.916666666661</v>
      </c>
      <c r="X21" s="8">
        <f>-Helpers!X4*Assumptions!$B$22</f>
        <v>-24047.916666666661</v>
      </c>
      <c r="Y21" s="8">
        <f>-Helpers!Y4*Assumptions!$B$22</f>
        <v>-24047.916666666661</v>
      </c>
      <c r="Z21" s="8">
        <f>-Helpers!Z4*Assumptions!$B$22</f>
        <v>-24047.916666666661</v>
      </c>
      <c r="AA21" s="8">
        <f>-Helpers!AA4*Assumptions!$B$22</f>
        <v>-24047.916666666661</v>
      </c>
      <c r="AB21" s="8">
        <f>-Helpers!AB4*Assumptions!$B$22</f>
        <v>-24047.916666666661</v>
      </c>
      <c r="AC21" s="8">
        <f>-Helpers!AC4*Assumptions!$B$22</f>
        <v>-24047.916666666661</v>
      </c>
      <c r="AD21" s="8">
        <f>-Helpers!AD4*Assumptions!$B$22</f>
        <v>-24047.916666666661</v>
      </c>
      <c r="AE21" s="8">
        <f>-Helpers!AE4*Assumptions!$B$22</f>
        <v>-24047.916666666661</v>
      </c>
      <c r="AF21" s="8">
        <f>-Helpers!AF4*Assumptions!$B$22</f>
        <v>-24047.916666666661</v>
      </c>
      <c r="AG21" s="8">
        <f>-Helpers!AG4*Assumptions!$B$22</f>
        <v>-24047.916666666661</v>
      </c>
      <c r="AH21" s="8">
        <f>-Helpers!AH4*Assumptions!$B$22</f>
        <v>-24047.916666666661</v>
      </c>
      <c r="AI21" s="8">
        <f>-Helpers!AI4*Assumptions!$B$22</f>
        <v>-24047.916666666661</v>
      </c>
      <c r="AJ21" s="8">
        <f>-Helpers!AJ4*Assumptions!$B$22</f>
        <v>-24047.916666666661</v>
      </c>
      <c r="AK21" s="8">
        <f>-Helpers!AK4*Assumptions!$B$22</f>
        <v>-24047.916666666661</v>
      </c>
      <c r="AL21" s="8">
        <f>-Helpers!AL4*Assumptions!$B$22</f>
        <v>-24047.916666666661</v>
      </c>
      <c r="AM21" s="8">
        <f>-Helpers!AM4*Assumptions!$B$22</f>
        <v>-24047.916666666661</v>
      </c>
      <c r="AN21" s="8">
        <f>-Helpers!AN4*Assumptions!$B$22</f>
        <v>-24047.916666666661</v>
      </c>
      <c r="AO21" s="8">
        <f>-Helpers!AO4*Assumptions!$B$22</f>
        <v>-24047.916666666661</v>
      </c>
      <c r="AP21" s="8">
        <f>-Helpers!AP4*Assumptions!$B$22</f>
        <v>-24047.916666666661</v>
      </c>
      <c r="AQ21" s="8">
        <f>-Helpers!AQ4*Assumptions!$B$22</f>
        <v>-24047.916666666661</v>
      </c>
      <c r="AR21" s="8">
        <f>-Helpers!AR4*Assumptions!$B$22</f>
        <v>-24047.916666666661</v>
      </c>
      <c r="AS21" s="8">
        <f>-Helpers!AS4*Assumptions!$B$22</f>
        <v>-24047.916666666661</v>
      </c>
      <c r="AT21" s="8">
        <f>-Helpers!AT4*Assumptions!$B$22</f>
        <v>-24047.916666666661</v>
      </c>
      <c r="AU21" s="8">
        <f>-Helpers!AU4*Assumptions!$B$22</f>
        <v>-24047.916666666661</v>
      </c>
      <c r="AV21" s="8">
        <f>-Helpers!AV4*Assumptions!$B$22</f>
        <v>-24047.916666666661</v>
      </c>
      <c r="AW21" s="8">
        <f>-Helpers!AW4*Assumptions!$B$22</f>
        <v>-24047.916666666661</v>
      </c>
      <c r="AX21" s="8">
        <f>-Helpers!AX4*Assumptions!$B$22</f>
        <v>-24047.916666666661</v>
      </c>
      <c r="AY21" s="8">
        <f>-Helpers!AY4*Assumptions!$B$22</f>
        <v>-24047.916666666661</v>
      </c>
      <c r="AZ21" s="8">
        <f>-Helpers!AZ4*Assumptions!$B$22</f>
        <v>-24047.916666666661</v>
      </c>
      <c r="BA21" s="8">
        <f>-Helpers!BA4*Assumptions!$B$22</f>
        <v>-24047.916666666661</v>
      </c>
      <c r="BB21" s="8">
        <f>-Helpers!BB4*Assumptions!$B$22</f>
        <v>-24047.916666666661</v>
      </c>
      <c r="BC21" s="8">
        <f>-Helpers!BC4*Assumptions!$B$22</f>
        <v>-24047.916666666661</v>
      </c>
      <c r="BD21" s="8">
        <f>-Helpers!BD4*Assumptions!$B$22</f>
        <v>-24047.916666666661</v>
      </c>
      <c r="BE21" s="8">
        <f>-Helpers!BE4*Assumptions!$B$22</f>
        <v>-24047.916666666661</v>
      </c>
      <c r="BF21" s="8">
        <f>-Helpers!BF4*Assumptions!$B$22</f>
        <v>-24047.916666666661</v>
      </c>
      <c r="BG21" s="8">
        <f>-Helpers!BG4*Assumptions!$B$22</f>
        <v>-24047.916666666661</v>
      </c>
      <c r="BH21" s="8">
        <f>-Helpers!BH4*Assumptions!$B$22</f>
        <v>-24047.916666666661</v>
      </c>
      <c r="BI21" s="8">
        <f>-Helpers!BI4*Assumptions!$B$22</f>
        <v>-24047.916666666661</v>
      </c>
      <c r="BJ21" s="8">
        <f>-Helpers!BJ4*Assumptions!$B$22</f>
        <v>-24047.916666666661</v>
      </c>
      <c r="BK21" s="8">
        <f>-Helpers!BK4*Assumptions!$B$22</f>
        <v>-24047.916666666661</v>
      </c>
      <c r="BL21" s="8">
        <f>-Helpers!BL4*Assumptions!$B$22</f>
        <v>-24047.916666666661</v>
      </c>
      <c r="BM21" s="8">
        <f>-Helpers!BM4*Assumptions!$B$22</f>
        <v>-24047.916666666661</v>
      </c>
      <c r="BN21" s="8">
        <f>-Helpers!BN4*Assumptions!$B$22</f>
        <v>-24047.916666666661</v>
      </c>
      <c r="BO21" s="8">
        <f>-Helpers!BO4*Assumptions!$B$22</f>
        <v>-24047.916666666661</v>
      </c>
      <c r="BP21" s="8">
        <f>-Helpers!BP4*Assumptions!$B$22</f>
        <v>-24047.916666666661</v>
      </c>
      <c r="BQ21" s="8">
        <f>-Helpers!BQ4*Assumptions!$B$22</f>
        <v>-24047.916666666661</v>
      </c>
      <c r="BR21" s="8">
        <f>-Helpers!BR4*Assumptions!$B$22</f>
        <v>-24047.916666666661</v>
      </c>
      <c r="BS21" s="8">
        <f>-Helpers!BS4*Assumptions!$B$22</f>
        <v>-24047.916666666661</v>
      </c>
      <c r="BT21" s="8">
        <f>-Helpers!BT4*Assumptions!$B$22</f>
        <v>-24047.916666666661</v>
      </c>
      <c r="BU21" s="8">
        <f>-Helpers!BU4*Assumptions!$B$22</f>
        <v>-24047.916666666661</v>
      </c>
      <c r="BV21" s="8">
        <f>-Helpers!BV4*Assumptions!$B$22</f>
        <v>-24047.916666666661</v>
      </c>
      <c r="BW21" s="8">
        <f>-Helpers!BW4*Assumptions!$B$22</f>
        <v>-24047.916666666661</v>
      </c>
      <c r="BX21" s="8">
        <f>-Helpers!BX4*Assumptions!$B$22</f>
        <v>-24047.916666666661</v>
      </c>
      <c r="BY21" s="8">
        <f>-Helpers!BY4*Assumptions!$B$22</f>
        <v>-24047.916666666661</v>
      </c>
      <c r="BZ21" s="8">
        <f>-Helpers!BZ4*Assumptions!$B$22</f>
        <v>-24047.916666666661</v>
      </c>
      <c r="CA21" s="8">
        <f>-Helpers!CA4*Assumptions!$B$22</f>
        <v>-24047.916666666661</v>
      </c>
      <c r="CB21" s="8">
        <f>-Helpers!CB4*Assumptions!$B$22</f>
        <v>-24047.916666666661</v>
      </c>
      <c r="CC21" s="8">
        <f>-Helpers!CC4*Assumptions!$B$22</f>
        <v>-24047.916666666661</v>
      </c>
      <c r="CD21" s="8">
        <f>-Helpers!CD4*Assumptions!$B$22</f>
        <v>-24047.916666666661</v>
      </c>
      <c r="CE21" s="8">
        <f>-Helpers!CE4*Assumptions!$B$22</f>
        <v>-24047.916666666661</v>
      </c>
      <c r="CF21" s="8">
        <f>-Helpers!CF4*Assumptions!$B$22</f>
        <v>-24047.916666666661</v>
      </c>
      <c r="CG21" s="8">
        <f>-Helpers!CG4*Assumptions!$B$22</f>
        <v>-24047.916666666661</v>
      </c>
      <c r="CH21" s="8">
        <f>-Helpers!CH4*Assumptions!$B$22</f>
        <v>-24047.916666666661</v>
      </c>
      <c r="CI21" s="23"/>
    </row>
    <row r="22" spans="1:87" ht="15" customHeight="1" x14ac:dyDescent="0.25">
      <c r="A22" s="7" t="s">
        <v>69</v>
      </c>
      <c r="B22" s="22"/>
      <c r="C22" s="8">
        <f>-Helpers!C4*Assumptions!$B$23</f>
        <v>-4379.1666666666679</v>
      </c>
      <c r="D22" s="8">
        <f>-Helpers!D4*Assumptions!$B$23</f>
        <v>-4870.8333333333339</v>
      </c>
      <c r="E22" s="8">
        <f>-Helpers!E4*Assumptions!$B$23</f>
        <v>-5370.833333333333</v>
      </c>
      <c r="F22" s="8">
        <f>-Helpers!F4*Assumptions!$B$23</f>
        <v>-5587.5</v>
      </c>
      <c r="G22" s="8">
        <f>-Helpers!G4*Assumptions!$B$23</f>
        <v>-5587.5</v>
      </c>
      <c r="H22" s="8">
        <f>-Helpers!H4*Assumptions!$B$23</f>
        <v>-5587.5</v>
      </c>
      <c r="I22" s="8">
        <f>-Helpers!I4*Assumptions!$B$23</f>
        <v>-6004.1666666666652</v>
      </c>
      <c r="J22" s="8">
        <f>-Helpers!J4*Assumptions!$B$23</f>
        <v>-6604.1666666666642</v>
      </c>
      <c r="K22" s="8">
        <f>-Helpers!K4*Assumptions!$B$23</f>
        <v>-6604.1666666666642</v>
      </c>
      <c r="L22" s="8">
        <f>-Helpers!L4*Assumptions!$B$23</f>
        <v>-6604.1666666666642</v>
      </c>
      <c r="M22" s="8">
        <f>-Helpers!M4*Assumptions!$B$23</f>
        <v>-6604.1666666666642</v>
      </c>
      <c r="N22" s="8">
        <f>-Helpers!N4*Assumptions!$B$23</f>
        <v>-6604.1666666666642</v>
      </c>
      <c r="O22" s="8">
        <f>-Helpers!O4*Assumptions!$B$23</f>
        <v>-6870.8333333333312</v>
      </c>
      <c r="P22" s="8">
        <f>-Helpers!P4*Assumptions!$B$23</f>
        <v>-6870.8333333333312</v>
      </c>
      <c r="Q22" s="8">
        <f>-Helpers!Q4*Assumptions!$B$23</f>
        <v>-6870.8333333333312</v>
      </c>
      <c r="R22" s="8">
        <f>-Helpers!R4*Assumptions!$B$23</f>
        <v>-6870.8333333333312</v>
      </c>
      <c r="S22" s="8">
        <f>-Helpers!S4*Assumptions!$B$23</f>
        <v>-6870.8333333333312</v>
      </c>
      <c r="T22" s="8">
        <f>-Helpers!T4*Assumptions!$B$23</f>
        <v>-6870.8333333333312</v>
      </c>
      <c r="U22" s="8">
        <f>-Helpers!U4*Assumptions!$B$23</f>
        <v>-6870.8333333333312</v>
      </c>
      <c r="V22" s="8">
        <f>-Helpers!V4*Assumptions!$B$23</f>
        <v>-6870.8333333333312</v>
      </c>
      <c r="W22" s="8">
        <f>-Helpers!W4*Assumptions!$B$23</f>
        <v>-6870.8333333333312</v>
      </c>
      <c r="X22" s="8">
        <f>-Helpers!X4*Assumptions!$B$23</f>
        <v>-6870.8333333333312</v>
      </c>
      <c r="Y22" s="8">
        <f>-Helpers!Y4*Assumptions!$B$23</f>
        <v>-6870.8333333333312</v>
      </c>
      <c r="Z22" s="8">
        <f>-Helpers!Z4*Assumptions!$B$23</f>
        <v>-6870.8333333333312</v>
      </c>
      <c r="AA22" s="8">
        <f>-Helpers!AA4*Assumptions!$B$23</f>
        <v>-6870.8333333333312</v>
      </c>
      <c r="AB22" s="8">
        <f>-Helpers!AB4*Assumptions!$B$23</f>
        <v>-6870.8333333333312</v>
      </c>
      <c r="AC22" s="8">
        <f>-Helpers!AC4*Assumptions!$B$23</f>
        <v>-6870.8333333333312</v>
      </c>
      <c r="AD22" s="8">
        <f>-Helpers!AD4*Assumptions!$B$23</f>
        <v>-6870.8333333333312</v>
      </c>
      <c r="AE22" s="8">
        <f>-Helpers!AE4*Assumptions!$B$23</f>
        <v>-6870.8333333333312</v>
      </c>
      <c r="AF22" s="8">
        <f>-Helpers!AF4*Assumptions!$B$23</f>
        <v>-6870.8333333333312</v>
      </c>
      <c r="AG22" s="8">
        <f>-Helpers!AG4*Assumptions!$B$23</f>
        <v>-6870.8333333333312</v>
      </c>
      <c r="AH22" s="8">
        <f>-Helpers!AH4*Assumptions!$B$23</f>
        <v>-6870.8333333333312</v>
      </c>
      <c r="AI22" s="8">
        <f>-Helpers!AI4*Assumptions!$B$23</f>
        <v>-6870.8333333333312</v>
      </c>
      <c r="AJ22" s="8">
        <f>-Helpers!AJ4*Assumptions!$B$23</f>
        <v>-6870.8333333333312</v>
      </c>
      <c r="AK22" s="8">
        <f>-Helpers!AK4*Assumptions!$B$23</f>
        <v>-6870.8333333333312</v>
      </c>
      <c r="AL22" s="8">
        <f>-Helpers!AL4*Assumptions!$B$23</f>
        <v>-6870.8333333333312</v>
      </c>
      <c r="AM22" s="8">
        <f>-Helpers!AM4*Assumptions!$B$23</f>
        <v>-6870.8333333333312</v>
      </c>
      <c r="AN22" s="8">
        <f>-Helpers!AN4*Assumptions!$B$23</f>
        <v>-6870.8333333333312</v>
      </c>
      <c r="AO22" s="8">
        <f>-Helpers!AO4*Assumptions!$B$23</f>
        <v>-6870.8333333333312</v>
      </c>
      <c r="AP22" s="8">
        <f>-Helpers!AP4*Assumptions!$B$23</f>
        <v>-6870.8333333333312</v>
      </c>
      <c r="AQ22" s="8">
        <f>-Helpers!AQ4*Assumptions!$B$23</f>
        <v>-6870.8333333333312</v>
      </c>
      <c r="AR22" s="8">
        <f>-Helpers!AR4*Assumptions!$B$23</f>
        <v>-6870.8333333333312</v>
      </c>
      <c r="AS22" s="8">
        <f>-Helpers!AS4*Assumptions!$B$23</f>
        <v>-6870.8333333333312</v>
      </c>
      <c r="AT22" s="8">
        <f>-Helpers!AT4*Assumptions!$B$23</f>
        <v>-6870.8333333333312</v>
      </c>
      <c r="AU22" s="8">
        <f>-Helpers!AU4*Assumptions!$B$23</f>
        <v>-6870.8333333333312</v>
      </c>
      <c r="AV22" s="8">
        <f>-Helpers!AV4*Assumptions!$B$23</f>
        <v>-6870.8333333333312</v>
      </c>
      <c r="AW22" s="8">
        <f>-Helpers!AW4*Assumptions!$B$23</f>
        <v>-6870.8333333333312</v>
      </c>
      <c r="AX22" s="8">
        <f>-Helpers!AX4*Assumptions!$B$23</f>
        <v>-6870.8333333333312</v>
      </c>
      <c r="AY22" s="8">
        <f>-Helpers!AY4*Assumptions!$B$23</f>
        <v>-6870.8333333333312</v>
      </c>
      <c r="AZ22" s="8">
        <f>-Helpers!AZ4*Assumptions!$B$23</f>
        <v>-6870.8333333333312</v>
      </c>
      <c r="BA22" s="8">
        <f>-Helpers!BA4*Assumptions!$B$23</f>
        <v>-6870.8333333333312</v>
      </c>
      <c r="BB22" s="8">
        <f>-Helpers!BB4*Assumptions!$B$23</f>
        <v>-6870.8333333333312</v>
      </c>
      <c r="BC22" s="8">
        <f>-Helpers!BC4*Assumptions!$B$23</f>
        <v>-6870.8333333333312</v>
      </c>
      <c r="BD22" s="8">
        <f>-Helpers!BD4*Assumptions!$B$23</f>
        <v>-6870.8333333333312</v>
      </c>
      <c r="BE22" s="8">
        <f>-Helpers!BE4*Assumptions!$B$23</f>
        <v>-6870.8333333333312</v>
      </c>
      <c r="BF22" s="8">
        <f>-Helpers!BF4*Assumptions!$B$23</f>
        <v>-6870.8333333333312</v>
      </c>
      <c r="BG22" s="8">
        <f>-Helpers!BG4*Assumptions!$B$23</f>
        <v>-6870.8333333333312</v>
      </c>
      <c r="BH22" s="8">
        <f>-Helpers!BH4*Assumptions!$B$23</f>
        <v>-6870.8333333333312</v>
      </c>
      <c r="BI22" s="8">
        <f>-Helpers!BI4*Assumptions!$B$23</f>
        <v>-6870.8333333333312</v>
      </c>
      <c r="BJ22" s="8">
        <f>-Helpers!BJ4*Assumptions!$B$23</f>
        <v>-6870.8333333333312</v>
      </c>
      <c r="BK22" s="8">
        <f>-Helpers!BK4*Assumptions!$B$23</f>
        <v>-6870.8333333333312</v>
      </c>
      <c r="BL22" s="8">
        <f>-Helpers!BL4*Assumptions!$B$23</f>
        <v>-6870.8333333333312</v>
      </c>
      <c r="BM22" s="8">
        <f>-Helpers!BM4*Assumptions!$B$23</f>
        <v>-6870.8333333333312</v>
      </c>
      <c r="BN22" s="8">
        <f>-Helpers!BN4*Assumptions!$B$23</f>
        <v>-6870.8333333333312</v>
      </c>
      <c r="BO22" s="8">
        <f>-Helpers!BO4*Assumptions!$B$23</f>
        <v>-6870.8333333333312</v>
      </c>
      <c r="BP22" s="8">
        <f>-Helpers!BP4*Assumptions!$B$23</f>
        <v>-6870.8333333333312</v>
      </c>
      <c r="BQ22" s="8">
        <f>-Helpers!BQ4*Assumptions!$B$23</f>
        <v>-6870.8333333333312</v>
      </c>
      <c r="BR22" s="8">
        <f>-Helpers!BR4*Assumptions!$B$23</f>
        <v>-6870.8333333333312</v>
      </c>
      <c r="BS22" s="8">
        <f>-Helpers!BS4*Assumptions!$B$23</f>
        <v>-6870.8333333333312</v>
      </c>
      <c r="BT22" s="8">
        <f>-Helpers!BT4*Assumptions!$B$23</f>
        <v>-6870.8333333333312</v>
      </c>
      <c r="BU22" s="8">
        <f>-Helpers!BU4*Assumptions!$B$23</f>
        <v>-6870.8333333333312</v>
      </c>
      <c r="BV22" s="8">
        <f>-Helpers!BV4*Assumptions!$B$23</f>
        <v>-6870.8333333333312</v>
      </c>
      <c r="BW22" s="8">
        <f>-Helpers!BW4*Assumptions!$B$23</f>
        <v>-6870.8333333333312</v>
      </c>
      <c r="BX22" s="8">
        <f>-Helpers!BX4*Assumptions!$B$23</f>
        <v>-6870.8333333333312</v>
      </c>
      <c r="BY22" s="8">
        <f>-Helpers!BY4*Assumptions!$B$23</f>
        <v>-6870.8333333333312</v>
      </c>
      <c r="BZ22" s="8">
        <f>-Helpers!BZ4*Assumptions!$B$23</f>
        <v>-6870.8333333333312</v>
      </c>
      <c r="CA22" s="8">
        <f>-Helpers!CA4*Assumptions!$B$23</f>
        <v>-6870.8333333333312</v>
      </c>
      <c r="CB22" s="8">
        <f>-Helpers!CB4*Assumptions!$B$23</f>
        <v>-6870.8333333333312</v>
      </c>
      <c r="CC22" s="8">
        <f>-Helpers!CC4*Assumptions!$B$23</f>
        <v>-6870.8333333333312</v>
      </c>
      <c r="CD22" s="8">
        <f>-Helpers!CD4*Assumptions!$B$23</f>
        <v>-6870.8333333333312</v>
      </c>
      <c r="CE22" s="8">
        <f>-Helpers!CE4*Assumptions!$B$23</f>
        <v>-6870.8333333333312</v>
      </c>
      <c r="CF22" s="8">
        <f>-Helpers!CF4*Assumptions!$B$23</f>
        <v>-6870.8333333333312</v>
      </c>
      <c r="CG22" s="8">
        <f>-Helpers!CG4*Assumptions!$B$23</f>
        <v>-6870.8333333333312</v>
      </c>
      <c r="CH22" s="8">
        <f>-Helpers!CH4*Assumptions!$B$23</f>
        <v>-6870.8333333333312</v>
      </c>
      <c r="CI22" s="23"/>
    </row>
    <row r="23" spans="1:87" ht="15" customHeight="1" x14ac:dyDescent="0.25">
      <c r="A23" s="7" t="s">
        <v>70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71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72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73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74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75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76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77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78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79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80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81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82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83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84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85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20</v>
      </c>
      <c r="B39" s="28"/>
      <c r="C39" s="10">
        <f t="shared" ref="C39:AH39" si="3">C15+C16+C17+C18+C19+C20+C21+C22+C23+SUM(C24:C38)+C40</f>
        <v>-322236.47500000003</v>
      </c>
      <c r="D39" s="10">
        <f t="shared" si="3"/>
        <v>-350876.05833333335</v>
      </c>
      <c r="E39" s="10">
        <f t="shared" si="3"/>
        <v>-380001.05833333335</v>
      </c>
      <c r="F39" s="10">
        <f t="shared" si="3"/>
        <v>-710588.40686666674</v>
      </c>
      <c r="G39" s="10">
        <f t="shared" si="3"/>
        <v>-437621.89166666666</v>
      </c>
      <c r="H39" s="10">
        <f t="shared" si="3"/>
        <v>-437621.89166666666</v>
      </c>
      <c r="I39" s="10">
        <f t="shared" si="3"/>
        <v>-679975.57200000004</v>
      </c>
      <c r="J39" s="10">
        <f t="shared" si="3"/>
        <v>-654191.9219999999</v>
      </c>
      <c r="K39" s="10">
        <f t="shared" si="3"/>
        <v>-496842.72499999992</v>
      </c>
      <c r="L39" s="10">
        <f t="shared" si="3"/>
        <v>-496842.72499999992</v>
      </c>
      <c r="M39" s="10">
        <f t="shared" si="3"/>
        <v>-496842.72499999992</v>
      </c>
      <c r="N39" s="10">
        <f t="shared" si="3"/>
        <v>-496842.72499999992</v>
      </c>
      <c r="O39" s="10">
        <f t="shared" si="3"/>
        <v>-1984195.7503333334</v>
      </c>
      <c r="P39" s="10">
        <f t="shared" si="3"/>
        <v>-513025.72533333331</v>
      </c>
      <c r="Q39" s="10">
        <f t="shared" si="3"/>
        <v>-513025.72533333331</v>
      </c>
      <c r="R39" s="10">
        <f t="shared" si="3"/>
        <v>-513025.72533333331</v>
      </c>
      <c r="S39" s="10">
        <f t="shared" si="3"/>
        <v>-513025.72533333331</v>
      </c>
      <c r="T39" s="10">
        <f t="shared" si="3"/>
        <v>-513025.72533333331</v>
      </c>
      <c r="U39" s="10">
        <f t="shared" si="3"/>
        <v>-513025.72533333331</v>
      </c>
      <c r="V39" s="10">
        <f t="shared" si="3"/>
        <v>-513025.72533333331</v>
      </c>
      <c r="W39" s="10">
        <f t="shared" si="3"/>
        <v>-513025.72533333331</v>
      </c>
      <c r="X39" s="10">
        <f t="shared" si="3"/>
        <v>-513025.72533333331</v>
      </c>
      <c r="Y39" s="10">
        <f t="shared" si="3"/>
        <v>-513025.72533333331</v>
      </c>
      <c r="Z39" s="10">
        <f t="shared" si="3"/>
        <v>-513025.72533333331</v>
      </c>
      <c r="AA39" s="10">
        <f t="shared" si="3"/>
        <v>-468688.38567333331</v>
      </c>
      <c r="AB39" s="10">
        <f t="shared" si="3"/>
        <v>-468688.38567333331</v>
      </c>
      <c r="AC39" s="10">
        <f t="shared" si="3"/>
        <v>-1812713.9256733332</v>
      </c>
      <c r="AD39" s="10">
        <f t="shared" si="3"/>
        <v>-468688.38567333331</v>
      </c>
      <c r="AE39" s="10">
        <f t="shared" si="3"/>
        <v>-468688.38567333331</v>
      </c>
      <c r="AF39" s="10">
        <f t="shared" si="3"/>
        <v>-468688.38567333331</v>
      </c>
      <c r="AG39" s="10">
        <f t="shared" si="3"/>
        <v>-468688.38567333331</v>
      </c>
      <c r="AH39" s="10">
        <f t="shared" si="3"/>
        <v>-468688.38567333331</v>
      </c>
      <c r="AI39" s="10">
        <f t="shared" ref="AI39:BN39" si="4">AI15+AI16+AI17+AI18+AI19+AI20+AI21+AI22+AI23+SUM(AI24:AI38)+AI40</f>
        <v>-468688.38567333331</v>
      </c>
      <c r="AJ39" s="10">
        <f t="shared" si="4"/>
        <v>-468688.38567333331</v>
      </c>
      <c r="AK39" s="10">
        <f t="shared" si="4"/>
        <v>-468688.38567333331</v>
      </c>
      <c r="AL39" s="10">
        <f t="shared" si="4"/>
        <v>-468688.38567333331</v>
      </c>
      <c r="AM39" s="10">
        <f t="shared" si="4"/>
        <v>-469364.29922013334</v>
      </c>
      <c r="AN39" s="10">
        <f t="shared" si="4"/>
        <v>-469364.29922013334</v>
      </c>
      <c r="AO39" s="10">
        <f t="shared" si="4"/>
        <v>-469364.29922013334</v>
      </c>
      <c r="AP39" s="10">
        <f t="shared" si="4"/>
        <v>-469364.29922013334</v>
      </c>
      <c r="AQ39" s="10">
        <f t="shared" si="4"/>
        <v>-469364.29922013334</v>
      </c>
      <c r="AR39" s="10">
        <f t="shared" si="4"/>
        <v>-469364.29922013334</v>
      </c>
      <c r="AS39" s="10">
        <f t="shared" si="4"/>
        <v>-469364.29922013334</v>
      </c>
      <c r="AT39" s="10">
        <f t="shared" si="4"/>
        <v>-469364.29922013334</v>
      </c>
      <c r="AU39" s="10">
        <f t="shared" si="4"/>
        <v>-469364.29922013334</v>
      </c>
      <c r="AV39" s="10">
        <f t="shared" si="4"/>
        <v>-469364.29922013334</v>
      </c>
      <c r="AW39" s="10">
        <f t="shared" si="4"/>
        <v>-469364.29922013334</v>
      </c>
      <c r="AX39" s="10">
        <f t="shared" si="4"/>
        <v>-469364.29922013334</v>
      </c>
      <c r="AY39" s="10">
        <f t="shared" si="4"/>
        <v>-470053.73103786935</v>
      </c>
      <c r="AZ39" s="10">
        <f t="shared" si="4"/>
        <v>-470053.73103786935</v>
      </c>
      <c r="BA39" s="10">
        <f t="shared" si="4"/>
        <v>-470053.73103786935</v>
      </c>
      <c r="BB39" s="10">
        <f t="shared" si="4"/>
        <v>-470053.73103786935</v>
      </c>
      <c r="BC39" s="10">
        <f t="shared" si="4"/>
        <v>-470053.73103786935</v>
      </c>
      <c r="BD39" s="10">
        <f t="shared" si="4"/>
        <v>-470053.73103786935</v>
      </c>
      <c r="BE39" s="10">
        <f t="shared" si="4"/>
        <v>-470053.73103786935</v>
      </c>
      <c r="BF39" s="10">
        <f t="shared" si="4"/>
        <v>-470053.73103786935</v>
      </c>
      <c r="BG39" s="10">
        <f t="shared" si="4"/>
        <v>-470053.73103786935</v>
      </c>
      <c r="BH39" s="10">
        <f t="shared" si="4"/>
        <v>-470053.73103786935</v>
      </c>
      <c r="BI39" s="10">
        <f t="shared" si="4"/>
        <v>-470053.73103786935</v>
      </c>
      <c r="BJ39" s="10">
        <f t="shared" si="4"/>
        <v>-470053.73103786935</v>
      </c>
      <c r="BK39" s="10">
        <f t="shared" si="4"/>
        <v>-470756.95149196009</v>
      </c>
      <c r="BL39" s="10">
        <f t="shared" si="4"/>
        <v>-470756.95149196009</v>
      </c>
      <c r="BM39" s="10">
        <f t="shared" si="4"/>
        <v>-470756.95149196009</v>
      </c>
      <c r="BN39" s="10">
        <f t="shared" si="4"/>
        <v>-470756.95149196009</v>
      </c>
      <c r="BO39" s="10">
        <f t="shared" ref="BO39:CT39" si="5">BO15+BO16+BO17+BO18+BO19+BO20+BO21+BO22+BO23+SUM(BO24:BO38)+BO40</f>
        <v>-470756.95149196009</v>
      </c>
      <c r="BP39" s="10">
        <f t="shared" si="5"/>
        <v>-470756.95149196009</v>
      </c>
      <c r="BQ39" s="10">
        <f t="shared" si="5"/>
        <v>-470756.95149196009</v>
      </c>
      <c r="BR39" s="10">
        <f t="shared" si="5"/>
        <v>-470756.95149196009</v>
      </c>
      <c r="BS39" s="10">
        <f t="shared" si="5"/>
        <v>-470756.95149196009</v>
      </c>
      <c r="BT39" s="10">
        <f t="shared" si="5"/>
        <v>-470756.95149196009</v>
      </c>
      <c r="BU39" s="10">
        <f t="shared" si="5"/>
        <v>-470756.95149196009</v>
      </c>
      <c r="BV39" s="10">
        <f t="shared" si="5"/>
        <v>-470756.95149196009</v>
      </c>
      <c r="BW39" s="10">
        <f t="shared" si="5"/>
        <v>-471474.2363551326</v>
      </c>
      <c r="BX39" s="10">
        <f t="shared" si="5"/>
        <v>-471474.2363551326</v>
      </c>
      <c r="BY39" s="10">
        <f t="shared" si="5"/>
        <v>-471474.2363551326</v>
      </c>
      <c r="BZ39" s="10">
        <f t="shared" si="5"/>
        <v>-471474.2363551326</v>
      </c>
      <c r="CA39" s="10">
        <f t="shared" si="5"/>
        <v>-471474.2363551326</v>
      </c>
      <c r="CB39" s="10">
        <f t="shared" si="5"/>
        <v>-471474.2363551326</v>
      </c>
      <c r="CC39" s="10">
        <f t="shared" si="5"/>
        <v>-471474.2363551326</v>
      </c>
      <c r="CD39" s="10">
        <f t="shared" si="5"/>
        <v>-471474.2363551326</v>
      </c>
      <c r="CE39" s="10">
        <f t="shared" si="5"/>
        <v>-471474.2363551326</v>
      </c>
      <c r="CF39" s="10">
        <f t="shared" si="5"/>
        <v>-471474.2363551326</v>
      </c>
      <c r="CG39" s="10">
        <f t="shared" si="5"/>
        <v>-471474.2363551326</v>
      </c>
      <c r="CH39" s="10">
        <f t="shared" si="5"/>
        <v>-471474.2363551326</v>
      </c>
      <c r="CI39" s="23"/>
    </row>
    <row r="40" spans="1:87" ht="15" customHeight="1" x14ac:dyDescent="0.25">
      <c r="A40" s="22" t="s">
        <v>86</v>
      </c>
      <c r="B40" s="22"/>
      <c r="C40" s="22">
        <v>0</v>
      </c>
      <c r="D40" s="22">
        <v>0</v>
      </c>
      <c r="E40" s="22">
        <v>0</v>
      </c>
      <c r="F40" s="22">
        <v>0</v>
      </c>
      <c r="G40" s="22">
        <v>-45000</v>
      </c>
      <c r="H40" s="22">
        <v>-45000</v>
      </c>
      <c r="I40" s="22">
        <v>-45000</v>
      </c>
      <c r="J40" s="22">
        <v>-45000</v>
      </c>
      <c r="K40" s="22">
        <v>-45000</v>
      </c>
      <c r="L40" s="22">
        <v>-45000</v>
      </c>
      <c r="M40" s="22">
        <v>-45000</v>
      </c>
      <c r="N40" s="22">
        <v>-45000</v>
      </c>
      <c r="O40" s="22">
        <v>-45000</v>
      </c>
      <c r="P40" s="22">
        <v>-45000</v>
      </c>
      <c r="Q40" s="22">
        <v>-45000</v>
      </c>
      <c r="R40" s="22">
        <v>-45000</v>
      </c>
      <c r="S40" s="22">
        <v>-45000</v>
      </c>
      <c r="T40" s="22">
        <v>-45000</v>
      </c>
      <c r="U40" s="22">
        <v>-45000</v>
      </c>
      <c r="V40" s="22">
        <v>-45000</v>
      </c>
      <c r="W40" s="22">
        <v>-45000</v>
      </c>
      <c r="X40" s="22">
        <v>-45000</v>
      </c>
      <c r="Y40" s="22">
        <v>-45000</v>
      </c>
      <c r="Z40" s="22">
        <v>-45000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0</v>
      </c>
      <c r="AZ40" s="22">
        <v>0</v>
      </c>
      <c r="BA40" s="22">
        <v>0</v>
      </c>
      <c r="BB40" s="22">
        <v>0</v>
      </c>
      <c r="BC40" s="22">
        <v>0</v>
      </c>
      <c r="BD40" s="22">
        <v>0</v>
      </c>
      <c r="BE40" s="22">
        <v>0</v>
      </c>
      <c r="BF40" s="22">
        <v>0</v>
      </c>
      <c r="BG40" s="22">
        <v>0</v>
      </c>
      <c r="BH40" s="22">
        <v>0</v>
      </c>
      <c r="BI40" s="22">
        <v>0</v>
      </c>
      <c r="BJ40" s="22">
        <v>0</v>
      </c>
      <c r="BK40" s="22">
        <v>0</v>
      </c>
      <c r="BL40" s="22">
        <v>0</v>
      </c>
      <c r="BM40" s="22">
        <v>0</v>
      </c>
      <c r="BN40" s="22">
        <v>0</v>
      </c>
      <c r="BO40" s="22">
        <v>0</v>
      </c>
      <c r="BP40" s="22">
        <v>0</v>
      </c>
      <c r="BQ40" s="22">
        <v>0</v>
      </c>
      <c r="BR40" s="22">
        <v>0</v>
      </c>
      <c r="BS40" s="22">
        <v>0</v>
      </c>
      <c r="BT40" s="22">
        <v>0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2">
        <v>0</v>
      </c>
      <c r="CA40" s="22">
        <v>0</v>
      </c>
      <c r="CB40" s="22">
        <v>0</v>
      </c>
      <c r="CC40" s="22">
        <v>0</v>
      </c>
      <c r="CD40" s="22">
        <v>0</v>
      </c>
      <c r="CE40" s="22">
        <v>0</v>
      </c>
      <c r="CF40" s="22">
        <v>0</v>
      </c>
      <c r="CG40" s="22">
        <v>0</v>
      </c>
      <c r="CH40" s="22">
        <v>0</v>
      </c>
      <c r="CI40" s="23"/>
    </row>
    <row r="41" spans="1:87" ht="15" customHeight="1" x14ac:dyDescent="0.25">
      <c r="A41" s="13" t="s">
        <v>21</v>
      </c>
      <c r="B41" s="29"/>
      <c r="C41" s="14">
        <f t="shared" ref="C41:AH41" si="6">C12+C39</f>
        <v>96363.248849917843</v>
      </c>
      <c r="D41" s="14">
        <f t="shared" si="6"/>
        <v>76651.167940785759</v>
      </c>
      <c r="E41" s="14">
        <f t="shared" si="6"/>
        <v>53829.111679148045</v>
      </c>
      <c r="F41" s="14">
        <f t="shared" si="6"/>
        <v>500069.84817029687</v>
      </c>
      <c r="G41" s="14">
        <f t="shared" si="6"/>
        <v>178732.97610586759</v>
      </c>
      <c r="H41" s="14">
        <f t="shared" si="6"/>
        <v>219539.96123806242</v>
      </c>
      <c r="I41" s="14">
        <f t="shared" si="6"/>
        <v>530795.62088271335</v>
      </c>
      <c r="J41" s="14">
        <f t="shared" si="6"/>
        <v>552573.42059735919</v>
      </c>
      <c r="K41" s="14">
        <f t="shared" si="6"/>
        <v>325294.65917933459</v>
      </c>
      <c r="L41" s="14">
        <f t="shared" si="6"/>
        <v>339138.1246556617</v>
      </c>
      <c r="M41" s="14">
        <f t="shared" si="6"/>
        <v>349798.55657062266</v>
      </c>
      <c r="N41" s="14">
        <f t="shared" si="6"/>
        <v>356846.2569722422</v>
      </c>
      <c r="O41" s="14">
        <f t="shared" si="6"/>
        <v>-321685.83816308575</v>
      </c>
      <c r="P41" s="14">
        <f t="shared" si="6"/>
        <v>474174.3436593003</v>
      </c>
      <c r="Q41" s="14">
        <f t="shared" si="6"/>
        <v>623314.54503620393</v>
      </c>
      <c r="R41" s="14">
        <f t="shared" si="6"/>
        <v>432569.76243335364</v>
      </c>
      <c r="S41" s="14">
        <f t="shared" si="6"/>
        <v>242344.88344592421</v>
      </c>
      <c r="T41" s="14">
        <f t="shared" si="6"/>
        <v>238453.18438123673</v>
      </c>
      <c r="U41" s="14">
        <f t="shared" si="6"/>
        <v>250347.95158242428</v>
      </c>
      <c r="V41" s="14">
        <f t="shared" si="6"/>
        <v>199812.13193573098</v>
      </c>
      <c r="W41" s="14">
        <f t="shared" si="6"/>
        <v>183343.0021312618</v>
      </c>
      <c r="X41" s="14">
        <f t="shared" si="6"/>
        <v>164205.43519282277</v>
      </c>
      <c r="Y41" s="14">
        <f t="shared" si="6"/>
        <v>197843.15175309376</v>
      </c>
      <c r="Z41" s="14">
        <f t="shared" si="6"/>
        <v>124460.30447183497</v>
      </c>
      <c r="AA41" s="14">
        <f t="shared" si="6"/>
        <v>152309.52459762548</v>
      </c>
      <c r="AB41" s="14">
        <f t="shared" si="6"/>
        <v>264.41074567096075</v>
      </c>
      <c r="AC41" s="14">
        <f t="shared" si="6"/>
        <v>-641846.22660830524</v>
      </c>
      <c r="AD41" s="14">
        <f t="shared" si="6"/>
        <v>44048.249606242636</v>
      </c>
      <c r="AE41" s="14">
        <f t="shared" si="6"/>
        <v>46161.300918579509</v>
      </c>
      <c r="AF41" s="14">
        <f t="shared" si="6"/>
        <v>47458.264249499945</v>
      </c>
      <c r="AG41" s="14">
        <f t="shared" si="6"/>
        <v>168774.76987940166</v>
      </c>
      <c r="AH41" s="14">
        <f t="shared" si="6"/>
        <v>-6955.8086520018987</v>
      </c>
      <c r="AI41" s="14">
        <f t="shared" ref="AI41:BN41" si="7">AI12+AI39</f>
        <v>236191.99073352083</v>
      </c>
      <c r="AJ41" s="14">
        <f t="shared" si="7"/>
        <v>-97985.666407433746</v>
      </c>
      <c r="AK41" s="14">
        <f t="shared" si="7"/>
        <v>-100324.53351706115</v>
      </c>
      <c r="AL41" s="14">
        <f t="shared" si="7"/>
        <v>-13254.110233826563</v>
      </c>
      <c r="AM41" s="14">
        <f t="shared" si="7"/>
        <v>-150242.53902247699</v>
      </c>
      <c r="AN41" s="14">
        <f t="shared" si="7"/>
        <v>-152836.51551323675</v>
      </c>
      <c r="AO41" s="14">
        <f t="shared" si="7"/>
        <v>-156099.27572796721</v>
      </c>
      <c r="AP41" s="14">
        <f t="shared" si="7"/>
        <v>-160002.63644139259</v>
      </c>
      <c r="AQ41" s="14">
        <f t="shared" si="7"/>
        <v>-164508.56348882924</v>
      </c>
      <c r="AR41" s="14">
        <f t="shared" si="7"/>
        <v>87627.014728597715</v>
      </c>
      <c r="AS41" s="14">
        <f t="shared" si="7"/>
        <v>-297246.64531782386</v>
      </c>
      <c r="AT41" s="14">
        <f t="shared" si="7"/>
        <v>-298968.63608210953</v>
      </c>
      <c r="AU41" s="14">
        <f t="shared" si="7"/>
        <v>-301490.39589025243</v>
      </c>
      <c r="AV41" s="14">
        <f t="shared" si="7"/>
        <v>-304735.39181939524</v>
      </c>
      <c r="AW41" s="14">
        <f t="shared" si="7"/>
        <v>-308613.69768518099</v>
      </c>
      <c r="AX41" s="14">
        <f t="shared" si="7"/>
        <v>-313020.08071868098</v>
      </c>
      <c r="AY41" s="14">
        <f t="shared" si="7"/>
        <v>-318525.34670720273</v>
      </c>
      <c r="AZ41" s="14">
        <f t="shared" si="7"/>
        <v>-323633.91930791701</v>
      </c>
      <c r="BA41" s="14">
        <f t="shared" si="7"/>
        <v>-328912.7776619884</v>
      </c>
      <c r="BB41" s="14">
        <f t="shared" si="7"/>
        <v>-334247.12238513125</v>
      </c>
      <c r="BC41" s="14">
        <f t="shared" si="7"/>
        <v>-339531.72070841701</v>
      </c>
      <c r="BD41" s="14">
        <f t="shared" si="7"/>
        <v>-344670.90647827415</v>
      </c>
      <c r="BE41" s="14">
        <f t="shared" si="7"/>
        <v>-349586.23344877409</v>
      </c>
      <c r="BF41" s="14">
        <f t="shared" si="7"/>
        <v>-119241.23531241697</v>
      </c>
      <c r="BG41" s="14">
        <f t="shared" si="7"/>
        <v>-470053.73103786935</v>
      </c>
      <c r="BH41" s="14">
        <f t="shared" si="7"/>
        <v>-470053.73103786935</v>
      </c>
      <c r="BI41" s="14">
        <f t="shared" si="7"/>
        <v>-470053.73103786935</v>
      </c>
      <c r="BJ41" s="14">
        <f t="shared" si="7"/>
        <v>-470053.73103786935</v>
      </c>
      <c r="BK41" s="14">
        <f t="shared" si="7"/>
        <v>-470756.95149196009</v>
      </c>
      <c r="BL41" s="14">
        <f t="shared" si="7"/>
        <v>-470756.95149196009</v>
      </c>
      <c r="BM41" s="14">
        <f t="shared" si="7"/>
        <v>-470756.95149196009</v>
      </c>
      <c r="BN41" s="14">
        <f t="shared" si="7"/>
        <v>-470756.95149196009</v>
      </c>
      <c r="BO41" s="14">
        <f t="shared" ref="BO41:CH41" si="8">BO12+BO39</f>
        <v>-470756.95149196009</v>
      </c>
      <c r="BP41" s="14">
        <f t="shared" si="8"/>
        <v>-470756.95149196009</v>
      </c>
      <c r="BQ41" s="14">
        <f t="shared" si="8"/>
        <v>-470756.95149196009</v>
      </c>
      <c r="BR41" s="14">
        <f t="shared" si="8"/>
        <v>-470756.95149196009</v>
      </c>
      <c r="BS41" s="14">
        <f t="shared" si="8"/>
        <v>-470756.95149196009</v>
      </c>
      <c r="BT41" s="14">
        <f t="shared" si="8"/>
        <v>-470756.95149196009</v>
      </c>
      <c r="BU41" s="14">
        <f t="shared" si="8"/>
        <v>-470756.95149196009</v>
      </c>
      <c r="BV41" s="14">
        <f t="shared" si="8"/>
        <v>-470756.95149196009</v>
      </c>
      <c r="BW41" s="14">
        <f t="shared" si="8"/>
        <v>-471474.2363551326</v>
      </c>
      <c r="BX41" s="14">
        <f t="shared" si="8"/>
        <v>-471474.2363551326</v>
      </c>
      <c r="BY41" s="14">
        <f t="shared" si="8"/>
        <v>-471474.2363551326</v>
      </c>
      <c r="BZ41" s="14">
        <f t="shared" si="8"/>
        <v>-471474.2363551326</v>
      </c>
      <c r="CA41" s="14">
        <f t="shared" si="8"/>
        <v>-471474.2363551326</v>
      </c>
      <c r="CB41" s="14">
        <f t="shared" si="8"/>
        <v>-471474.2363551326</v>
      </c>
      <c r="CC41" s="14">
        <f t="shared" si="8"/>
        <v>-471474.2363551326</v>
      </c>
      <c r="CD41" s="14">
        <f t="shared" si="8"/>
        <v>-471474.2363551326</v>
      </c>
      <c r="CE41" s="14">
        <f t="shared" si="8"/>
        <v>-471474.2363551326</v>
      </c>
      <c r="CF41" s="14">
        <f t="shared" si="8"/>
        <v>-471474.2363551326</v>
      </c>
      <c r="CG41" s="14">
        <f t="shared" si="8"/>
        <v>-471474.2363551326</v>
      </c>
      <c r="CH41" s="14">
        <f t="shared" si="8"/>
        <v>-471474.2363551326</v>
      </c>
      <c r="CI41" s="23"/>
    </row>
    <row r="42" spans="1:87" ht="15" customHeight="1" x14ac:dyDescent="0.25">
      <c r="A42" s="7" t="s">
        <v>22</v>
      </c>
      <c r="B42" s="22"/>
      <c r="C42" s="30">
        <f t="shared" ref="C42:AH42" si="9">IF(C12&lt;&gt;0,C41/C12,0)</f>
        <v>0.23020380415842634</v>
      </c>
      <c r="D42" s="30">
        <f t="shared" si="9"/>
        <v>0.17928955919087844</v>
      </c>
      <c r="E42" s="30">
        <f t="shared" si="9"/>
        <v>0.12407876491761596</v>
      </c>
      <c r="F42" s="30">
        <f t="shared" si="9"/>
        <v>0.41305615857303085</v>
      </c>
      <c r="G42" s="30">
        <f t="shared" si="9"/>
        <v>0.28998388014975324</v>
      </c>
      <c r="H42" s="30">
        <f t="shared" si="9"/>
        <v>0.33407289280056529</v>
      </c>
      <c r="I42" s="30">
        <f t="shared" si="9"/>
        <v>0.43839465623471535</v>
      </c>
      <c r="J42" s="30">
        <f t="shared" si="9"/>
        <v>0.45789632921346413</v>
      </c>
      <c r="K42" s="30">
        <f t="shared" si="9"/>
        <v>0.39566946527318775</v>
      </c>
      <c r="L42" s="30">
        <f t="shared" si="9"/>
        <v>0.40567690611017204</v>
      </c>
      <c r="M42" s="30">
        <f t="shared" si="9"/>
        <v>0.41316028899713442</v>
      </c>
      <c r="N42" s="30">
        <f t="shared" si="9"/>
        <v>0.41800499304540062</v>
      </c>
      <c r="O42" s="30">
        <f t="shared" si="9"/>
        <v>-0.19349408734842108</v>
      </c>
      <c r="P42" s="30">
        <f t="shared" si="9"/>
        <v>0.48032243772345051</v>
      </c>
      <c r="Q42" s="30">
        <f t="shared" si="9"/>
        <v>0.54852807850724361</v>
      </c>
      <c r="R42" s="30">
        <f t="shared" si="9"/>
        <v>0.45745751542765867</v>
      </c>
      <c r="S42" s="30">
        <f t="shared" si="9"/>
        <v>0.32082911438343348</v>
      </c>
      <c r="T42" s="30">
        <f t="shared" si="9"/>
        <v>0.31731187834906377</v>
      </c>
      <c r="U42" s="30">
        <f t="shared" si="9"/>
        <v>0.32794941606304762</v>
      </c>
      <c r="V42" s="30">
        <f t="shared" si="9"/>
        <v>0.28030516322635607</v>
      </c>
      <c r="W42" s="30">
        <f t="shared" si="9"/>
        <v>0.26328437062186044</v>
      </c>
      <c r="X42" s="30">
        <f t="shared" si="9"/>
        <v>0.24246585916874805</v>
      </c>
      <c r="Y42" s="30">
        <f t="shared" si="9"/>
        <v>0.27831173670730291</v>
      </c>
      <c r="Z42" s="30">
        <f t="shared" si="9"/>
        <v>0.19523612856249284</v>
      </c>
      <c r="AA42" s="30">
        <f t="shared" si="9"/>
        <v>0.2452657602843922</v>
      </c>
      <c r="AB42" s="30">
        <f t="shared" si="9"/>
        <v>5.6383232532152894E-4</v>
      </c>
      <c r="AC42" s="30">
        <f t="shared" si="9"/>
        <v>-0.54817997551801811</v>
      </c>
      <c r="AD42" s="30">
        <f t="shared" si="9"/>
        <v>8.5908137970724066E-2</v>
      </c>
      <c r="AE42" s="30">
        <f t="shared" si="9"/>
        <v>8.9659763074049437E-2</v>
      </c>
      <c r="AF42" s="30">
        <f t="shared" si="9"/>
        <v>9.194724843529492E-2</v>
      </c>
      <c r="AG42" s="30">
        <f t="shared" si="9"/>
        <v>0.2647600389281472</v>
      </c>
      <c r="AH42" s="30">
        <f t="shared" si="9"/>
        <v>-1.5064582830335037E-2</v>
      </c>
      <c r="AI42" s="30">
        <f t="shared" ref="AI42:BN42" si="10">IF(AI12&lt;&gt;0,AI41/AI12,0)</f>
        <v>0.33508095648444008</v>
      </c>
      <c r="AJ42" s="30">
        <f t="shared" si="10"/>
        <v>-0.26432411016966423</v>
      </c>
      <c r="AK42" s="30">
        <f t="shared" si="10"/>
        <v>-0.27235173302102444</v>
      </c>
      <c r="AL42" s="30">
        <f t="shared" si="10"/>
        <v>-2.9102136023987167E-2</v>
      </c>
      <c r="AM42" s="30">
        <f t="shared" si="10"/>
        <v>-0.47080004487760529</v>
      </c>
      <c r="AN42" s="30">
        <f t="shared" si="10"/>
        <v>-0.48285339670138633</v>
      </c>
      <c r="AO42" s="30">
        <f t="shared" si="10"/>
        <v>-0.49829781182663951</v>
      </c>
      <c r="AP42" s="30">
        <f t="shared" si="10"/>
        <v>-0.51720253571247587</v>
      </c>
      <c r="AQ42" s="30">
        <f t="shared" si="10"/>
        <v>-0.53962758185998172</v>
      </c>
      <c r="AR42" s="30">
        <f t="shared" si="10"/>
        <v>0.15732204889763046</v>
      </c>
      <c r="AS42" s="30">
        <f t="shared" si="10"/>
        <v>-1.7269968453470501</v>
      </c>
      <c r="AT42" s="30">
        <f t="shared" si="10"/>
        <v>-1.7545554304392073</v>
      </c>
      <c r="AU42" s="30">
        <f t="shared" si="10"/>
        <v>-1.7959336734894893</v>
      </c>
      <c r="AV42" s="30">
        <f t="shared" si="10"/>
        <v>-1.8510442463036658</v>
      </c>
      <c r="AW42" s="30">
        <f t="shared" si="10"/>
        <v>-1.9198291934110023</v>
      </c>
      <c r="AX42" s="30">
        <f t="shared" si="10"/>
        <v>-2.0021212406762148</v>
      </c>
      <c r="AY42" s="30">
        <f t="shared" si="10"/>
        <v>-2.1020836994613088</v>
      </c>
      <c r="AZ42" s="30">
        <f t="shared" si="10"/>
        <v>-2.2103150897694595</v>
      </c>
      <c r="BA42" s="30">
        <f t="shared" si="10"/>
        <v>-2.3303851206534012</v>
      </c>
      <c r="BB42" s="30">
        <f t="shared" si="10"/>
        <v>-2.4611992428130796</v>
      </c>
      <c r="BC42" s="30">
        <f t="shared" si="10"/>
        <v>-2.6013368921563527</v>
      </c>
      <c r="BD42" s="30">
        <f t="shared" si="10"/>
        <v>-2.7489483323487414</v>
      </c>
      <c r="BE42" s="30">
        <f t="shared" si="10"/>
        <v>-2.9019132998112411</v>
      </c>
      <c r="BF42" s="30">
        <f t="shared" si="10"/>
        <v>-0.33990019387945569</v>
      </c>
      <c r="BG42" s="30">
        <f t="shared" si="10"/>
        <v>0</v>
      </c>
      <c r="BH42" s="30">
        <f t="shared" si="10"/>
        <v>0</v>
      </c>
      <c r="BI42" s="30">
        <f t="shared" si="10"/>
        <v>0</v>
      </c>
      <c r="BJ42" s="30">
        <f t="shared" si="10"/>
        <v>0</v>
      </c>
      <c r="BK42" s="30">
        <f t="shared" si="10"/>
        <v>0</v>
      </c>
      <c r="BL42" s="30">
        <f t="shared" si="10"/>
        <v>0</v>
      </c>
      <c r="BM42" s="30">
        <f t="shared" si="10"/>
        <v>0</v>
      </c>
      <c r="BN42" s="30">
        <f t="shared" si="10"/>
        <v>0</v>
      </c>
      <c r="BO42" s="30">
        <f t="shared" ref="BO42:CT42" si="11">IF(BO12&lt;&gt;0,BO41/BO12,0)</f>
        <v>0</v>
      </c>
      <c r="BP42" s="30">
        <f t="shared" si="11"/>
        <v>0</v>
      </c>
      <c r="BQ42" s="30">
        <f t="shared" si="11"/>
        <v>0</v>
      </c>
      <c r="BR42" s="30">
        <f t="shared" si="11"/>
        <v>0</v>
      </c>
      <c r="BS42" s="30">
        <f t="shared" si="11"/>
        <v>0</v>
      </c>
      <c r="BT42" s="30">
        <f t="shared" si="11"/>
        <v>0</v>
      </c>
      <c r="BU42" s="30">
        <f t="shared" si="11"/>
        <v>0</v>
      </c>
      <c r="BV42" s="30">
        <f t="shared" si="11"/>
        <v>0</v>
      </c>
      <c r="BW42" s="30">
        <f t="shared" si="11"/>
        <v>0</v>
      </c>
      <c r="BX42" s="30">
        <f t="shared" si="11"/>
        <v>0</v>
      </c>
      <c r="BY42" s="30">
        <f t="shared" si="11"/>
        <v>0</v>
      </c>
      <c r="BZ42" s="30">
        <f t="shared" si="11"/>
        <v>0</v>
      </c>
      <c r="CA42" s="30">
        <f t="shared" si="11"/>
        <v>0</v>
      </c>
      <c r="CB42" s="30">
        <f t="shared" si="11"/>
        <v>0</v>
      </c>
      <c r="CC42" s="30">
        <f t="shared" si="11"/>
        <v>0</v>
      </c>
      <c r="CD42" s="30">
        <f t="shared" si="11"/>
        <v>0</v>
      </c>
      <c r="CE42" s="30">
        <f t="shared" si="11"/>
        <v>0</v>
      </c>
      <c r="CF42" s="30">
        <f t="shared" si="11"/>
        <v>0</v>
      </c>
      <c r="CG42" s="30">
        <f t="shared" si="11"/>
        <v>0</v>
      </c>
      <c r="CH42" s="30">
        <f t="shared" si="11"/>
        <v>0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87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23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88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89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90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91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92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93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94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95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6315.79</v>
      </c>
      <c r="H54" s="8">
        <f>IF(Projects!$G$11="Yes",6315.79,0)</f>
        <v>6315.79</v>
      </c>
      <c r="I54" s="8">
        <f>IF(Projects!$G$11="Yes",6315.79,0)</f>
        <v>6315.79</v>
      </c>
      <c r="J54" s="8">
        <f>IF(Projects!$G$11="Yes",6315.79,0)</f>
        <v>6315.79</v>
      </c>
      <c r="K54" s="8">
        <f>IF(Projects!$G$11="Yes",6315.79,0)</f>
        <v>6315.79</v>
      </c>
      <c r="L54" s="8">
        <f>IF(Projects!$G$11="Yes",6315.79,0)</f>
        <v>6315.79</v>
      </c>
      <c r="M54" s="8">
        <f>IF(Projects!$G$11="Yes",6315.79,0)</f>
        <v>6315.79</v>
      </c>
      <c r="N54" s="8">
        <f>IF(Projects!$G$11="Yes",6315.79,0)</f>
        <v>6315.79</v>
      </c>
      <c r="O54" s="8">
        <f>IF(Projects!$G$11="Yes",6315.79,0)</f>
        <v>6315.79</v>
      </c>
      <c r="P54" s="8">
        <f>IF(Projects!$G$11="Yes",6315.79,0)</f>
        <v>6315.79</v>
      </c>
      <c r="Q54" s="8">
        <f>IF(Projects!$G$11="Yes",6315.79,0)</f>
        <v>6315.79</v>
      </c>
      <c r="R54" s="8">
        <f>IF(Projects!$G$11="Yes",6315.79,0)</f>
        <v>6315.79</v>
      </c>
      <c r="S54" s="8">
        <f>IF(Projects!$G$11="Yes",6315.79,0)</f>
        <v>6315.79</v>
      </c>
      <c r="T54" s="8">
        <f>IF(Projects!$G$11="Yes",6315.79,0)</f>
        <v>6315.79</v>
      </c>
      <c r="U54" s="8">
        <f>IF(Projects!$G$11="Yes",6315.79,0)</f>
        <v>6315.79</v>
      </c>
      <c r="V54" s="8">
        <f>IF(Projects!$G$11="Yes",6315.79,0)</f>
        <v>6315.79</v>
      </c>
      <c r="W54" s="8">
        <f>IF(Projects!$G$11="Yes",6315.79,0)</f>
        <v>6315.79</v>
      </c>
      <c r="X54" s="8">
        <f>IF(Projects!$G$11="Yes",6315.79,0)</f>
        <v>6315.79</v>
      </c>
      <c r="Y54" s="8">
        <f>IF(Projects!$G$11="Yes",6315.79,0)</f>
        <v>6315.79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96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6315.79</v>
      </c>
      <c r="H55" s="8">
        <f>IF(Projects!$G$11="Yes",6315.79,0)</f>
        <v>6315.79</v>
      </c>
      <c r="I55" s="8">
        <f>IF(Projects!$G$11="Yes",6315.79,0)</f>
        <v>6315.79</v>
      </c>
      <c r="J55" s="8">
        <f>IF(Projects!$G$11="Yes",6315.79,0)</f>
        <v>6315.79</v>
      </c>
      <c r="K55" s="8">
        <f>IF(Projects!$G$11="Yes",6315.79,0)</f>
        <v>6315.79</v>
      </c>
      <c r="L55" s="8">
        <f>IF(Projects!$G$11="Yes",6315.79,0)</f>
        <v>6315.79</v>
      </c>
      <c r="M55" s="8">
        <f>IF(Projects!$G$11="Yes",6315.79,0)</f>
        <v>6315.79</v>
      </c>
      <c r="N55" s="8">
        <f>IF(Projects!$G$11="Yes",6315.79,0)</f>
        <v>6315.79</v>
      </c>
      <c r="O55" s="8">
        <f>IF(Projects!$G$11="Yes",6315.79,0)</f>
        <v>6315.79</v>
      </c>
      <c r="P55" s="8">
        <f>IF(Projects!$G$11="Yes",6315.79,0)</f>
        <v>6315.79</v>
      </c>
      <c r="Q55" s="8">
        <f>IF(Projects!$G$11="Yes",6315.79,0)</f>
        <v>6315.79</v>
      </c>
      <c r="R55" s="8">
        <f>IF(Projects!$G$11="Yes",6315.79,0)</f>
        <v>6315.79</v>
      </c>
      <c r="S55" s="8">
        <f>IF(Projects!$G$11="Yes",6315.79,0)</f>
        <v>6315.79</v>
      </c>
      <c r="T55" s="8">
        <f>IF(Projects!$G$11="Yes",6315.79,0)</f>
        <v>6315.79</v>
      </c>
      <c r="U55" s="8">
        <f>IF(Projects!$G$11="Yes",6315.79,0)</f>
        <v>6315.79</v>
      </c>
      <c r="V55" s="8">
        <f>IF(Projects!$G$11="Yes",6315.79,0)</f>
        <v>6315.79</v>
      </c>
      <c r="W55" s="8">
        <f>IF(Projects!$G$11="Yes",6315.79,0)</f>
        <v>6315.79</v>
      </c>
      <c r="X55" s="8">
        <f>IF(Projects!$G$11="Yes",6315.79,0)</f>
        <v>6315.79</v>
      </c>
      <c r="Y55" s="8">
        <f>IF(Projects!$G$11="Yes",6315.79,0)</f>
        <v>6315.79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97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253980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98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6315.79</v>
      </c>
      <c r="I57" s="8">
        <f>IF(Projects!$G$12="Yes",6315.79,0)</f>
        <v>6315.79</v>
      </c>
      <c r="J57" s="8">
        <f>IF(Projects!$G$12="Yes",6315.79,0)</f>
        <v>6315.79</v>
      </c>
      <c r="K57" s="8">
        <f>IF(Projects!$G$12="Yes",6315.79,0)</f>
        <v>6315.79</v>
      </c>
      <c r="L57" s="8">
        <f>IF(Projects!$G$12="Yes",6315.79,0)</f>
        <v>6315.79</v>
      </c>
      <c r="M57" s="8">
        <f>IF(Projects!$G$12="Yes",6315.79,0)</f>
        <v>6315.79</v>
      </c>
      <c r="N57" s="8">
        <f>IF(Projects!$G$12="Yes",6315.79,0)</f>
        <v>6315.79</v>
      </c>
      <c r="O57" s="8">
        <f>IF(Projects!$G$12="Yes",6315.79,0)</f>
        <v>6315.79</v>
      </c>
      <c r="P57" s="8">
        <f>IF(Projects!$G$12="Yes",6315.79,0)</f>
        <v>6315.79</v>
      </c>
      <c r="Q57" s="8">
        <f>IF(Projects!$G$12="Yes",6315.79,0)</f>
        <v>6315.79</v>
      </c>
      <c r="R57" s="8">
        <f>IF(Projects!$G$12="Yes",6315.79,0)</f>
        <v>6315.79</v>
      </c>
      <c r="S57" s="8">
        <f>IF(Projects!$G$12="Yes",6315.79,0)</f>
        <v>6315.79</v>
      </c>
      <c r="T57" s="8">
        <f>IF(Projects!$G$12="Yes",6315.79,0)</f>
        <v>6315.79</v>
      </c>
      <c r="U57" s="8">
        <f>IF(Projects!$G$12="Yes",6315.79,0)</f>
        <v>6315.79</v>
      </c>
      <c r="V57" s="8">
        <f>IF(Projects!$G$12="Yes",6315.79,0)</f>
        <v>6315.79</v>
      </c>
      <c r="W57" s="8">
        <f>IF(Projects!$G$12="Yes",6315.79,0)</f>
        <v>6315.79</v>
      </c>
      <c r="X57" s="8">
        <f>IF(Projects!$G$12="Yes",6315.79,0)</f>
        <v>6315.79</v>
      </c>
      <c r="Y57" s="8">
        <f>IF(Projects!$G$12="Yes",6315.79,0)</f>
        <v>6315.79</v>
      </c>
      <c r="Z57" s="8">
        <f>IF(Projects!$G$12="Yes",6315.79,0)</f>
        <v>6315.79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99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4736.84</v>
      </c>
      <c r="I58" s="8">
        <f>IF(Projects!$G$12="Yes",4736.84,0)</f>
        <v>4736.84</v>
      </c>
      <c r="J58" s="8">
        <f>IF(Projects!$G$12="Yes",4736.84,0)</f>
        <v>4736.84</v>
      </c>
      <c r="K58" s="8">
        <f>IF(Projects!$G$12="Yes",4736.84,0)</f>
        <v>4736.84</v>
      </c>
      <c r="L58" s="8">
        <f>IF(Projects!$G$12="Yes",4736.84,0)</f>
        <v>4736.84</v>
      </c>
      <c r="M58" s="8">
        <f>IF(Projects!$G$12="Yes",4736.84,0)</f>
        <v>4736.84</v>
      </c>
      <c r="N58" s="8">
        <f>IF(Projects!$G$12="Yes",4736.84,0)</f>
        <v>4736.84</v>
      </c>
      <c r="O58" s="8">
        <f>IF(Projects!$G$12="Yes",4736.84,0)</f>
        <v>4736.84</v>
      </c>
      <c r="P58" s="8">
        <f>IF(Projects!$G$12="Yes",4736.84,0)</f>
        <v>4736.84</v>
      </c>
      <c r="Q58" s="8">
        <f>IF(Projects!$G$12="Yes",4736.84,0)</f>
        <v>4736.84</v>
      </c>
      <c r="R58" s="8">
        <f>IF(Projects!$G$12="Yes",4736.84,0)</f>
        <v>4736.84</v>
      </c>
      <c r="S58" s="8">
        <f>IF(Projects!$G$12="Yes",4736.84,0)</f>
        <v>4736.84</v>
      </c>
      <c r="T58" s="8">
        <f>IF(Projects!$G$12="Yes",4736.84,0)</f>
        <v>4736.84</v>
      </c>
      <c r="U58" s="8">
        <f>IF(Projects!$G$12="Yes",4736.84,0)</f>
        <v>4736.84</v>
      </c>
      <c r="V58" s="8">
        <f>IF(Projects!$G$12="Yes",4736.84,0)</f>
        <v>4736.84</v>
      </c>
      <c r="W58" s="8">
        <f>IF(Projects!$G$12="Yes",4736.84,0)</f>
        <v>4736.84</v>
      </c>
      <c r="X58" s="8">
        <f>IF(Projects!$G$12="Yes",4736.84,0)</f>
        <v>4736.84</v>
      </c>
      <c r="Y58" s="8">
        <f>IF(Projects!$G$12="Yes",4736.84,0)</f>
        <v>4736.84</v>
      </c>
      <c r="Z58" s="8">
        <f>IF(Projects!$G$12="Yes",4736.84,0)</f>
        <v>4736.84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100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181745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101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102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103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104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105</v>
      </c>
      <c r="B64" s="28"/>
      <c r="C64" s="32">
        <f t="shared" ref="C64:AH64" si="12">SUM(C47:C63)</f>
        <v>43614.58</v>
      </c>
      <c r="D64" s="32">
        <f t="shared" si="12"/>
        <v>43614.58</v>
      </c>
      <c r="E64" s="32">
        <f t="shared" si="12"/>
        <v>43614.58</v>
      </c>
      <c r="F64" s="32">
        <f t="shared" si="12"/>
        <v>43614.58</v>
      </c>
      <c r="G64" s="32">
        <f t="shared" si="12"/>
        <v>310226.16000000003</v>
      </c>
      <c r="H64" s="32">
        <f t="shared" si="12"/>
        <v>248210.46000000002</v>
      </c>
      <c r="I64" s="32">
        <f t="shared" si="12"/>
        <v>66465.460000000006</v>
      </c>
      <c r="J64" s="32">
        <f t="shared" si="12"/>
        <v>57090.460000000006</v>
      </c>
      <c r="K64" s="32">
        <f t="shared" si="12"/>
        <v>57090.460000000006</v>
      </c>
      <c r="L64" s="32">
        <f t="shared" si="12"/>
        <v>57090.460000000006</v>
      </c>
      <c r="M64" s="32">
        <f t="shared" si="12"/>
        <v>57090.460000000006</v>
      </c>
      <c r="N64" s="32">
        <f t="shared" si="12"/>
        <v>57090.460000000006</v>
      </c>
      <c r="O64" s="32">
        <f t="shared" si="12"/>
        <v>57090.460000000006</v>
      </c>
      <c r="P64" s="32">
        <f t="shared" si="12"/>
        <v>57090.460000000006</v>
      </c>
      <c r="Q64" s="32">
        <f t="shared" si="12"/>
        <v>57090.460000000006</v>
      </c>
      <c r="R64" s="32">
        <f t="shared" si="12"/>
        <v>33184.210000000006</v>
      </c>
      <c r="S64" s="32">
        <f t="shared" si="12"/>
        <v>33184.210000000006</v>
      </c>
      <c r="T64" s="32">
        <f t="shared" si="12"/>
        <v>33184.210000000006</v>
      </c>
      <c r="U64" s="32">
        <f t="shared" si="12"/>
        <v>33184.210000000006</v>
      </c>
      <c r="V64" s="32">
        <f t="shared" si="12"/>
        <v>33184.210000000006</v>
      </c>
      <c r="W64" s="32">
        <f t="shared" si="12"/>
        <v>90559.209999999977</v>
      </c>
      <c r="X64" s="32">
        <f t="shared" si="12"/>
        <v>33184.210000000006</v>
      </c>
      <c r="Y64" s="32">
        <f t="shared" si="12"/>
        <v>33184.210000000006</v>
      </c>
      <c r="Z64" s="32">
        <f t="shared" si="12"/>
        <v>77927.62999999999</v>
      </c>
      <c r="AA64" s="32">
        <f t="shared" si="12"/>
        <v>9500</v>
      </c>
      <c r="AB64" s="32">
        <f t="shared" si="12"/>
        <v>9500</v>
      </c>
      <c r="AC64" s="32">
        <f t="shared" si="12"/>
        <v>66875</v>
      </c>
      <c r="AD64" s="32">
        <f t="shared" si="12"/>
        <v>9500</v>
      </c>
      <c r="AE64" s="32">
        <f t="shared" si="12"/>
        <v>9500</v>
      </c>
      <c r="AF64" s="32">
        <f t="shared" si="12"/>
        <v>9500</v>
      </c>
      <c r="AG64" s="32">
        <f t="shared" si="12"/>
        <v>0</v>
      </c>
      <c r="AH64" s="32">
        <f t="shared" si="12"/>
        <v>0</v>
      </c>
      <c r="AI64" s="32">
        <f t="shared" ref="AI64:BN64" si="13">SUM(AI47:AI63)</f>
        <v>0</v>
      </c>
      <c r="AJ64" s="32">
        <f t="shared" si="13"/>
        <v>0</v>
      </c>
      <c r="AK64" s="32">
        <f t="shared" si="13"/>
        <v>0</v>
      </c>
      <c r="AL64" s="32">
        <f t="shared" si="13"/>
        <v>0</v>
      </c>
      <c r="AM64" s="32">
        <f t="shared" si="13"/>
        <v>0</v>
      </c>
      <c r="AN64" s="32">
        <f t="shared" si="13"/>
        <v>0</v>
      </c>
      <c r="AO64" s="32">
        <f t="shared" si="13"/>
        <v>0</v>
      </c>
      <c r="AP64" s="32">
        <f t="shared" si="13"/>
        <v>0</v>
      </c>
      <c r="AQ64" s="32">
        <f t="shared" si="13"/>
        <v>0</v>
      </c>
      <c r="AR64" s="32">
        <f t="shared" si="13"/>
        <v>81683</v>
      </c>
      <c r="AS64" s="32">
        <f t="shared" si="13"/>
        <v>0</v>
      </c>
      <c r="AT64" s="32">
        <f t="shared" si="13"/>
        <v>0</v>
      </c>
      <c r="AU64" s="32">
        <f t="shared" si="13"/>
        <v>81682</v>
      </c>
      <c r="AV64" s="32">
        <f t="shared" si="13"/>
        <v>0</v>
      </c>
      <c r="AW64" s="32">
        <f t="shared" si="13"/>
        <v>0</v>
      </c>
      <c r="AX64" s="32">
        <f t="shared" si="13"/>
        <v>81682</v>
      </c>
      <c r="AY64" s="32">
        <f t="shared" si="13"/>
        <v>0</v>
      </c>
      <c r="AZ64" s="32">
        <f t="shared" si="13"/>
        <v>0</v>
      </c>
      <c r="BA64" s="32">
        <f t="shared" si="13"/>
        <v>933521</v>
      </c>
      <c r="BB64" s="32">
        <f t="shared" si="13"/>
        <v>0</v>
      </c>
      <c r="BC64" s="32">
        <f t="shared" si="13"/>
        <v>0</v>
      </c>
      <c r="BD64" s="32">
        <f t="shared" si="13"/>
        <v>130878</v>
      </c>
      <c r="BE64" s="32">
        <f t="shared" si="13"/>
        <v>0</v>
      </c>
      <c r="BF64" s="32">
        <f t="shared" si="13"/>
        <v>0</v>
      </c>
      <c r="BG64" s="32">
        <f t="shared" si="13"/>
        <v>130876</v>
      </c>
      <c r="BH64" s="32">
        <f t="shared" si="13"/>
        <v>0</v>
      </c>
      <c r="BI64" s="32">
        <f t="shared" si="13"/>
        <v>0</v>
      </c>
      <c r="BJ64" s="32">
        <f t="shared" si="13"/>
        <v>130876</v>
      </c>
      <c r="BK64" s="32">
        <f t="shared" si="13"/>
        <v>0</v>
      </c>
      <c r="BL64" s="32">
        <f t="shared" si="13"/>
        <v>0</v>
      </c>
      <c r="BM64" s="32">
        <f t="shared" si="13"/>
        <v>130876</v>
      </c>
      <c r="BN64" s="32">
        <f t="shared" si="13"/>
        <v>0</v>
      </c>
      <c r="BO64" s="32">
        <f t="shared" ref="BO64:CT64" si="14">SUM(BO47:BO63)</f>
        <v>0</v>
      </c>
      <c r="BP64" s="32">
        <f t="shared" si="14"/>
        <v>142406</v>
      </c>
      <c r="BQ64" s="32">
        <f t="shared" si="14"/>
        <v>0</v>
      </c>
      <c r="BR64" s="32">
        <f t="shared" si="14"/>
        <v>0</v>
      </c>
      <c r="BS64" s="32">
        <f t="shared" si="14"/>
        <v>142402</v>
      </c>
      <c r="BT64" s="32">
        <f t="shared" si="14"/>
        <v>0</v>
      </c>
      <c r="BU64" s="32">
        <f t="shared" si="14"/>
        <v>0</v>
      </c>
      <c r="BV64" s="32">
        <f t="shared" si="14"/>
        <v>142402</v>
      </c>
      <c r="BW64" s="32">
        <f t="shared" si="14"/>
        <v>0</v>
      </c>
      <c r="BX64" s="32">
        <f t="shared" si="14"/>
        <v>0</v>
      </c>
      <c r="BY64" s="32">
        <f t="shared" si="14"/>
        <v>215558</v>
      </c>
      <c r="BZ64" s="32">
        <f t="shared" si="14"/>
        <v>0</v>
      </c>
      <c r="CA64" s="32">
        <f t="shared" si="14"/>
        <v>0</v>
      </c>
      <c r="CB64" s="32">
        <f t="shared" si="14"/>
        <v>231017</v>
      </c>
      <c r="CC64" s="32">
        <f t="shared" si="14"/>
        <v>0</v>
      </c>
      <c r="CD64" s="32">
        <f t="shared" si="14"/>
        <v>0</v>
      </c>
      <c r="CE64" s="32">
        <f t="shared" si="14"/>
        <v>231016</v>
      </c>
      <c r="CF64" s="32">
        <f t="shared" si="14"/>
        <v>0</v>
      </c>
      <c r="CG64" s="32">
        <f t="shared" si="14"/>
        <v>0</v>
      </c>
      <c r="CH64" s="32">
        <f t="shared" si="14"/>
        <v>231016</v>
      </c>
      <c r="CI64" s="23"/>
    </row>
    <row r="65" spans="1:87" ht="15" customHeight="1" x14ac:dyDescent="0.25">
      <c r="A65" s="6" t="s">
        <v>24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106</v>
      </c>
      <c r="B66" s="22"/>
      <c r="C66" s="8">
        <f>-(IF(AND(1&gt;=Personnel!$E$36,Personnel!$G$36="Yes"),Personnel!$D$36*(1-Personnel!$I$36),0)+IF(AND(1&gt;=Personnel!$E$37,Personnel!$G$37="Yes"),Personnel!$D$37*(1-Personnel!$I$37),0)+IF(AND(1&gt;=Personnel!$E$38,Personnel!$G$38="Yes"),Personnel!$D$38*(1-Personnel!$I$38),0)+IF(AND(1&gt;=Personnel!$E$39,Personnel!$G$39="Yes"),Personnel!$D$39*(1-Personnel!$I$39),0)+IF(AND(1&gt;=Personnel!$E$40,Personnel!$G$40="Yes"),Personnel!$D$40*(1-Personnel!$I$40),0)+IF(AND(1&gt;=Personnel!$E$41,Personnel!$G$41="Yes"),Personnel!$D$41*(1-Personnel!$I$41),0)+IF(AND(1&gt;=Personnel!$E$42,Personnel!$G$42="Yes"),Personnel!$D$42*(1-Personnel!$I$42),0))</f>
        <v>-87166.666666666672</v>
      </c>
      <c r="D66" s="8">
        <f>-(IF(AND(2&gt;=Personnel!$E$36,Personnel!$G$36="Yes"),Personnel!$D$36*(1-Personnel!$I$36),0)+IF(AND(2&gt;=Personnel!$E$37,Personnel!$G$37="Yes"),Personnel!$D$37*(1-Personnel!$I$37),0)+IF(AND(2&gt;=Personnel!$E$38,Personnel!$G$38="Yes"),Personnel!$D$38*(1-Personnel!$I$38),0)+IF(AND(2&gt;=Personnel!$E$39,Personnel!$G$39="Yes"),Personnel!$D$39*(1-Personnel!$I$39),0)+IF(AND(2&gt;=Personnel!$E$40,Personnel!$G$40="Yes"),Personnel!$D$40*(1-Personnel!$I$40),0)+IF(AND(2&gt;=Personnel!$E$41,Personnel!$G$41="Yes"),Personnel!$D$41*(1-Personnel!$I$41),0)+IF(AND(2&gt;=Personnel!$E$42,Personnel!$G$42="Yes"),Personnel!$D$42*(1-Personnel!$I$42),0))</f>
        <v>-87166.666666666672</v>
      </c>
      <c r="E66" s="8">
        <f>-(IF(AND(3&gt;=Personnel!$E$36,Personnel!$G$36="Yes"),Personnel!$D$36*(1-Personnel!$I$36),0)+IF(AND(3&gt;=Personnel!$E$37,Personnel!$G$37="Yes"),Personnel!$D$37*(1-Personnel!$I$37),0)+IF(AND(3&gt;=Personnel!$E$38,Personnel!$G$38="Yes"),Personnel!$D$38*(1-Personnel!$I$38),0)+IF(AND(3&gt;=Personnel!$E$39,Personnel!$G$39="Yes"),Personnel!$D$39*(1-Personnel!$I$39),0)+IF(AND(3&gt;=Personnel!$E$40,Personnel!$G$40="Yes"),Personnel!$D$40*(1-Personnel!$I$40),0)+IF(AND(3&gt;=Personnel!$E$41,Personnel!$G$41="Yes"),Personnel!$D$41*(1-Personnel!$I$41),0)+IF(AND(3&gt;=Personnel!$E$42,Personnel!$G$42="Yes"),Personnel!$D$42*(1-Personnel!$I$42),0))</f>
        <v>-87166.666666666672</v>
      </c>
      <c r="F66" s="8">
        <f>-(IF(AND(4&gt;=Personnel!$E$36,Personnel!$G$36="Yes"),Personnel!$D$36*(1-Personnel!$I$36),0)+IF(AND(4&gt;=Personnel!$E$37,Personnel!$G$37="Yes"),Personnel!$D$37*(1-Personnel!$I$37),0)+IF(AND(4&gt;=Personnel!$E$38,Personnel!$G$38="Yes"),Personnel!$D$38*(1-Personnel!$I$38),0)+IF(AND(4&gt;=Personnel!$E$39,Personnel!$G$39="Yes"),Personnel!$D$39*(1-Personnel!$I$39),0)+IF(AND(4&gt;=Personnel!$E$40,Personnel!$G$40="Yes"),Personnel!$D$40*(1-Personnel!$I$40),0)+IF(AND(4&gt;=Personnel!$E$41,Personnel!$G$41="Yes"),Personnel!$D$41*(1-Personnel!$I$41),0)+IF(AND(4&gt;=Personnel!$E$42,Personnel!$G$42="Yes"),Personnel!$D$42*(1-Personnel!$I$42),0))</f>
        <v>-87166.666666666672</v>
      </c>
      <c r="G66" s="8">
        <f>-(IF(AND(5&gt;=Personnel!$E$36,Personnel!$G$36="Yes"),Personnel!$D$36*(1-Personnel!$I$36),0)+IF(AND(5&gt;=Personnel!$E$37,Personnel!$G$37="Yes"),Personnel!$D$37*(1-Personnel!$I$37),0)+IF(AND(5&gt;=Personnel!$E$38,Personnel!$G$38="Yes"),Personnel!$D$38*(1-Personnel!$I$38),0)+IF(AND(5&gt;=Personnel!$E$39,Personnel!$G$39="Yes"),Personnel!$D$39*(1-Personnel!$I$39),0)+IF(AND(5&gt;=Personnel!$E$40,Personnel!$G$40="Yes"),Personnel!$D$40*(1-Personnel!$I$40),0)+IF(AND(5&gt;=Personnel!$E$41,Personnel!$G$41="Yes"),Personnel!$D$41*(1-Personnel!$I$41),0)+IF(AND(5&gt;=Personnel!$E$42,Personnel!$G$42="Yes"),Personnel!$D$42*(1-Personnel!$I$42),0))</f>
        <v>-87166.666666666672</v>
      </c>
      <c r="H66" s="8">
        <f>-(IF(AND(6&gt;=Personnel!$E$36,Personnel!$G$36="Yes"),Personnel!$D$36*(1-Personnel!$I$36),0)+IF(AND(6&gt;=Personnel!$E$37,Personnel!$G$37="Yes"),Personnel!$D$37*(1-Personnel!$I$37),0)+IF(AND(6&gt;=Personnel!$E$38,Personnel!$G$38="Yes"),Personnel!$D$38*(1-Personnel!$I$38),0)+IF(AND(6&gt;=Personnel!$E$39,Personnel!$G$39="Yes"),Personnel!$D$39*(1-Personnel!$I$39),0)+IF(AND(6&gt;=Personnel!$E$40,Personnel!$G$40="Yes"),Personnel!$D$40*(1-Personnel!$I$40),0)+IF(AND(6&gt;=Personnel!$E$41,Personnel!$G$41="Yes"),Personnel!$D$41*(1-Personnel!$I$41),0)+IF(AND(6&gt;=Personnel!$E$42,Personnel!$G$42="Yes"),Personnel!$D$42*(1-Personnel!$I$42),0))</f>
        <v>-87166.666666666672</v>
      </c>
      <c r="I66" s="8">
        <f>-(IF(AND(7&gt;=Personnel!$E$36,Personnel!$G$36="Yes"),Personnel!$D$36*(1-Personnel!$I$36),0)+IF(AND(7&gt;=Personnel!$E$37,Personnel!$G$37="Yes"),Personnel!$D$37*(1-Personnel!$I$37),0)+IF(AND(7&gt;=Personnel!$E$38,Personnel!$G$38="Yes"),Personnel!$D$38*(1-Personnel!$I$38),0)+IF(AND(7&gt;=Personnel!$E$39,Personnel!$G$39="Yes"),Personnel!$D$39*(1-Personnel!$I$39),0)+IF(AND(7&gt;=Personnel!$E$40,Personnel!$G$40="Yes"),Personnel!$D$40*(1-Personnel!$I$40),0)+IF(AND(7&gt;=Personnel!$E$41,Personnel!$G$41="Yes"),Personnel!$D$41*(1-Personnel!$I$41),0)+IF(AND(7&gt;=Personnel!$E$42,Personnel!$G$42="Yes"),Personnel!$D$42*(1-Personnel!$I$42),0))</f>
        <v>-87166.666666666672</v>
      </c>
      <c r="J66" s="8">
        <f>-(IF(AND(8&gt;=Personnel!$E$36,Personnel!$G$36="Yes"),Personnel!$D$36*(1-Personnel!$I$36),0)+IF(AND(8&gt;=Personnel!$E$37,Personnel!$G$37="Yes"),Personnel!$D$37*(1-Personnel!$I$37),0)+IF(AND(8&gt;=Personnel!$E$38,Personnel!$G$38="Yes"),Personnel!$D$38*(1-Personnel!$I$38),0)+IF(AND(8&gt;=Personnel!$E$39,Personnel!$G$39="Yes"),Personnel!$D$39*(1-Personnel!$I$39),0)+IF(AND(8&gt;=Personnel!$E$40,Personnel!$G$40="Yes"),Personnel!$D$40*(1-Personnel!$I$40),0)+IF(AND(8&gt;=Personnel!$E$41,Personnel!$G$41="Yes"),Personnel!$D$41*(1-Personnel!$I$41),0)+IF(AND(8&gt;=Personnel!$E$42,Personnel!$G$42="Yes"),Personnel!$D$42*(1-Personnel!$I$42),0))</f>
        <v>-87166.666666666672</v>
      </c>
      <c r="K66" s="8">
        <f>-(IF(AND(9&gt;=Personnel!$E$36,Personnel!$G$36="Yes"),Personnel!$D$36*(1-Personnel!$I$36),0)+IF(AND(9&gt;=Personnel!$E$37,Personnel!$G$37="Yes"),Personnel!$D$37*(1-Personnel!$I$37),0)+IF(AND(9&gt;=Personnel!$E$38,Personnel!$G$38="Yes"),Personnel!$D$38*(1-Personnel!$I$38),0)+IF(AND(9&gt;=Personnel!$E$39,Personnel!$G$39="Yes"),Personnel!$D$39*(1-Personnel!$I$39),0)+IF(AND(9&gt;=Personnel!$E$40,Personnel!$G$40="Yes"),Personnel!$D$40*(1-Personnel!$I$40),0)+IF(AND(9&gt;=Personnel!$E$41,Personnel!$G$41="Yes"),Personnel!$D$41*(1-Personnel!$I$41),0)+IF(AND(9&gt;=Personnel!$E$42,Personnel!$G$42="Yes"),Personnel!$D$42*(1-Personnel!$I$42),0))</f>
        <v>-87166.666666666672</v>
      </c>
      <c r="L66" s="8">
        <f>-(IF(AND(10&gt;=Personnel!$E$36,Personnel!$G$36="Yes"),Personnel!$D$36*(1-Personnel!$I$36),0)+IF(AND(10&gt;=Personnel!$E$37,Personnel!$G$37="Yes"),Personnel!$D$37*(1-Personnel!$I$37),0)+IF(AND(10&gt;=Personnel!$E$38,Personnel!$G$38="Yes"),Personnel!$D$38*(1-Personnel!$I$38),0)+IF(AND(10&gt;=Personnel!$E$39,Personnel!$G$39="Yes"),Personnel!$D$39*(1-Personnel!$I$39),0)+IF(AND(10&gt;=Personnel!$E$40,Personnel!$G$40="Yes"),Personnel!$D$40*(1-Personnel!$I$40),0)+IF(AND(10&gt;=Personnel!$E$41,Personnel!$G$41="Yes"),Personnel!$D$41*(1-Personnel!$I$41),0)+IF(AND(10&gt;=Personnel!$E$42,Personnel!$G$42="Yes"),Personnel!$D$42*(1-Personnel!$I$42),0))</f>
        <v>-87166.666666666672</v>
      </c>
      <c r="M66" s="8">
        <f>-(IF(AND(11&gt;=Personnel!$E$36,Personnel!$G$36="Yes"),Personnel!$D$36*(1-Personnel!$I$36),0)+IF(AND(11&gt;=Personnel!$E$37,Personnel!$G$37="Yes"),Personnel!$D$37*(1-Personnel!$I$37),0)+IF(AND(11&gt;=Personnel!$E$38,Personnel!$G$38="Yes"),Personnel!$D$38*(1-Personnel!$I$38),0)+IF(AND(11&gt;=Personnel!$E$39,Personnel!$G$39="Yes"),Personnel!$D$39*(1-Personnel!$I$39),0)+IF(AND(11&gt;=Personnel!$E$40,Personnel!$G$40="Yes"),Personnel!$D$40*(1-Personnel!$I$40),0)+IF(AND(11&gt;=Personnel!$E$41,Personnel!$G$41="Yes"),Personnel!$D$41*(1-Personnel!$I$41),0)+IF(AND(11&gt;=Personnel!$E$42,Personnel!$G$42="Yes"),Personnel!$D$42*(1-Personnel!$I$42),0))</f>
        <v>-87166.666666666672</v>
      </c>
      <c r="N66" s="8">
        <f>-(IF(AND(12&gt;=Personnel!$E$36,Personnel!$G$36="Yes"),Personnel!$D$36*(1-Personnel!$I$36),0)+IF(AND(12&gt;=Personnel!$E$37,Personnel!$G$37="Yes"),Personnel!$D$37*(1-Personnel!$I$37),0)+IF(AND(12&gt;=Personnel!$E$38,Personnel!$G$38="Yes"),Personnel!$D$38*(1-Personnel!$I$38),0)+IF(AND(12&gt;=Personnel!$E$39,Personnel!$G$39="Yes"),Personnel!$D$39*(1-Personnel!$I$39),0)+IF(AND(12&gt;=Personnel!$E$40,Personnel!$G$40="Yes"),Personnel!$D$40*(1-Personnel!$I$40),0)+IF(AND(12&gt;=Personnel!$E$41,Personnel!$G$41="Yes"),Personnel!$D$41*(1-Personnel!$I$41),0)+IF(AND(12&gt;=Personnel!$E$42,Personnel!$G$42="Yes"),Personnel!$D$42*(1-Personnel!$I$42),0))</f>
        <v>-87166.666666666672</v>
      </c>
      <c r="O66" s="8">
        <f>-(IF(AND(13&gt;=Personnel!$E$36,Personnel!$G$36="Yes"),Personnel!$D$36*(1-Personnel!$I$36),0)+IF(AND(13&gt;=Personnel!$E$37,Personnel!$G$37="Yes"),Personnel!$D$37*(1-Personnel!$I$37),0)+IF(AND(13&gt;=Personnel!$E$38,Personnel!$G$38="Yes"),Personnel!$D$38*(1-Personnel!$I$38),0)+IF(AND(13&gt;=Personnel!$E$39,Personnel!$G$39="Yes"),Personnel!$D$39*(1-Personnel!$I$39),0)+IF(AND(13&gt;=Personnel!$E$40,Personnel!$G$40="Yes"),Personnel!$D$40*(1-Personnel!$I$40),0)+IF(AND(13&gt;=Personnel!$E$41,Personnel!$G$41="Yes"),Personnel!$D$41*(1-Personnel!$I$41),0)+IF(AND(13&gt;=Personnel!$E$42,Personnel!$G$42="Yes"),Personnel!$D$42*(1-Personnel!$I$42),0))</f>
        <v>-87166.666666666672</v>
      </c>
      <c r="P66" s="8">
        <f>-(IF(AND(14&gt;=Personnel!$E$36,Personnel!$G$36="Yes"),Personnel!$D$36*(1-Personnel!$I$36),0)+IF(AND(14&gt;=Personnel!$E$37,Personnel!$G$37="Yes"),Personnel!$D$37*(1-Personnel!$I$37),0)+IF(AND(14&gt;=Personnel!$E$38,Personnel!$G$38="Yes"),Personnel!$D$38*(1-Personnel!$I$38),0)+IF(AND(14&gt;=Personnel!$E$39,Personnel!$G$39="Yes"),Personnel!$D$39*(1-Personnel!$I$39),0)+IF(AND(14&gt;=Personnel!$E$40,Personnel!$G$40="Yes"),Personnel!$D$40*(1-Personnel!$I$40),0)+IF(AND(14&gt;=Personnel!$E$41,Personnel!$G$41="Yes"),Personnel!$D$41*(1-Personnel!$I$41),0)+IF(AND(14&gt;=Personnel!$E$42,Personnel!$G$42="Yes"),Personnel!$D$42*(1-Personnel!$I$42),0))</f>
        <v>-87166.666666666672</v>
      </c>
      <c r="Q66" s="8">
        <f>-(IF(AND(15&gt;=Personnel!$E$36,Personnel!$G$36="Yes"),Personnel!$D$36*(1-Personnel!$I$36),0)+IF(AND(15&gt;=Personnel!$E$37,Personnel!$G$37="Yes"),Personnel!$D$37*(1-Personnel!$I$37),0)+IF(AND(15&gt;=Personnel!$E$38,Personnel!$G$38="Yes"),Personnel!$D$38*(1-Personnel!$I$38),0)+IF(AND(15&gt;=Personnel!$E$39,Personnel!$G$39="Yes"),Personnel!$D$39*(1-Personnel!$I$39),0)+IF(AND(15&gt;=Personnel!$E$40,Personnel!$G$40="Yes"),Personnel!$D$40*(1-Personnel!$I$40),0)+IF(AND(15&gt;=Personnel!$E$41,Personnel!$G$41="Yes"),Personnel!$D$41*(1-Personnel!$I$41),0)+IF(AND(15&gt;=Personnel!$E$42,Personnel!$G$42="Yes"),Personnel!$D$42*(1-Personnel!$I$42),0))</f>
        <v>-87166.666666666672</v>
      </c>
      <c r="R66" s="8">
        <f>-(IF(AND(16&gt;=Personnel!$E$36,Personnel!$G$36="Yes"),Personnel!$D$36*(1-Personnel!$I$36),0)+IF(AND(16&gt;=Personnel!$E$37,Personnel!$G$37="Yes"),Personnel!$D$37*(1-Personnel!$I$37),0)+IF(AND(16&gt;=Personnel!$E$38,Personnel!$G$38="Yes"),Personnel!$D$38*(1-Personnel!$I$38),0)+IF(AND(16&gt;=Personnel!$E$39,Personnel!$G$39="Yes"),Personnel!$D$39*(1-Personnel!$I$39),0)+IF(AND(16&gt;=Personnel!$E$40,Personnel!$G$40="Yes"),Personnel!$D$40*(1-Personnel!$I$40),0)+IF(AND(16&gt;=Personnel!$E$41,Personnel!$G$41="Yes"),Personnel!$D$41*(1-Personnel!$I$41),0)+IF(AND(16&gt;=Personnel!$E$42,Personnel!$G$42="Yes"),Personnel!$D$42*(1-Personnel!$I$42),0))</f>
        <v>-87166.666666666672</v>
      </c>
      <c r="S66" s="8">
        <f>-(IF(AND(17&gt;=Personnel!$E$36,Personnel!$G$36="Yes"),Personnel!$D$36*(1-Personnel!$I$36),0)+IF(AND(17&gt;=Personnel!$E$37,Personnel!$G$37="Yes"),Personnel!$D$37*(1-Personnel!$I$37),0)+IF(AND(17&gt;=Personnel!$E$38,Personnel!$G$38="Yes"),Personnel!$D$38*(1-Personnel!$I$38),0)+IF(AND(17&gt;=Personnel!$E$39,Personnel!$G$39="Yes"),Personnel!$D$39*(1-Personnel!$I$39),0)+IF(AND(17&gt;=Personnel!$E$40,Personnel!$G$40="Yes"),Personnel!$D$40*(1-Personnel!$I$40),0)+IF(AND(17&gt;=Personnel!$E$41,Personnel!$G$41="Yes"),Personnel!$D$41*(1-Personnel!$I$41),0)+IF(AND(17&gt;=Personnel!$E$42,Personnel!$G$42="Yes"),Personnel!$D$42*(1-Personnel!$I$42),0))</f>
        <v>-87166.666666666672</v>
      </c>
      <c r="T66" s="8">
        <f>-(IF(AND(18&gt;=Personnel!$E$36,Personnel!$G$36="Yes"),Personnel!$D$36*(1-Personnel!$I$36),0)+IF(AND(18&gt;=Personnel!$E$37,Personnel!$G$37="Yes"),Personnel!$D$37*(1-Personnel!$I$37),0)+IF(AND(18&gt;=Personnel!$E$38,Personnel!$G$38="Yes"),Personnel!$D$38*(1-Personnel!$I$38),0)+IF(AND(18&gt;=Personnel!$E$39,Personnel!$G$39="Yes"),Personnel!$D$39*(1-Personnel!$I$39),0)+IF(AND(18&gt;=Personnel!$E$40,Personnel!$G$40="Yes"),Personnel!$D$40*(1-Personnel!$I$40),0)+IF(AND(18&gt;=Personnel!$E$41,Personnel!$G$41="Yes"),Personnel!$D$41*(1-Personnel!$I$41),0)+IF(AND(18&gt;=Personnel!$E$42,Personnel!$G$42="Yes"),Personnel!$D$42*(1-Personnel!$I$42),0))</f>
        <v>-87166.666666666672</v>
      </c>
      <c r="U66" s="8">
        <f>-(IF(AND(19&gt;=Personnel!$E$36,Personnel!$G$36="Yes"),Personnel!$D$36*(1-Personnel!$I$36),0)+IF(AND(19&gt;=Personnel!$E$37,Personnel!$G$37="Yes"),Personnel!$D$37*(1-Personnel!$I$37),0)+IF(AND(19&gt;=Personnel!$E$38,Personnel!$G$38="Yes"),Personnel!$D$38*(1-Personnel!$I$38),0)+IF(AND(19&gt;=Personnel!$E$39,Personnel!$G$39="Yes"),Personnel!$D$39*(1-Personnel!$I$39),0)+IF(AND(19&gt;=Personnel!$E$40,Personnel!$G$40="Yes"),Personnel!$D$40*(1-Personnel!$I$40),0)+IF(AND(19&gt;=Personnel!$E$41,Personnel!$G$41="Yes"),Personnel!$D$41*(1-Personnel!$I$41),0)+IF(AND(19&gt;=Personnel!$E$42,Personnel!$G$42="Yes"),Personnel!$D$42*(1-Personnel!$I$42),0))</f>
        <v>-87166.666666666672</v>
      </c>
      <c r="V66" s="8">
        <f>-(IF(AND(20&gt;=Personnel!$E$36,Personnel!$G$36="Yes"),Personnel!$D$36*(1-Personnel!$I$36),0)+IF(AND(20&gt;=Personnel!$E$37,Personnel!$G$37="Yes"),Personnel!$D$37*(1-Personnel!$I$37),0)+IF(AND(20&gt;=Personnel!$E$38,Personnel!$G$38="Yes"),Personnel!$D$38*(1-Personnel!$I$38),0)+IF(AND(20&gt;=Personnel!$E$39,Personnel!$G$39="Yes"),Personnel!$D$39*(1-Personnel!$I$39),0)+IF(AND(20&gt;=Personnel!$E$40,Personnel!$G$40="Yes"),Personnel!$D$40*(1-Personnel!$I$40),0)+IF(AND(20&gt;=Personnel!$E$41,Personnel!$G$41="Yes"),Personnel!$D$41*(1-Personnel!$I$41),0)+IF(AND(20&gt;=Personnel!$E$42,Personnel!$G$42="Yes"),Personnel!$D$42*(1-Personnel!$I$42),0))</f>
        <v>-87166.666666666672</v>
      </c>
      <c r="W66" s="8">
        <f>-(IF(AND(21&gt;=Personnel!$E$36,Personnel!$G$36="Yes"),Personnel!$D$36*(1-Personnel!$I$36),0)+IF(AND(21&gt;=Personnel!$E$37,Personnel!$G$37="Yes"),Personnel!$D$37*(1-Personnel!$I$37),0)+IF(AND(21&gt;=Personnel!$E$38,Personnel!$G$38="Yes"),Personnel!$D$38*(1-Personnel!$I$38),0)+IF(AND(21&gt;=Personnel!$E$39,Personnel!$G$39="Yes"),Personnel!$D$39*(1-Personnel!$I$39),0)+IF(AND(21&gt;=Personnel!$E$40,Personnel!$G$40="Yes"),Personnel!$D$40*(1-Personnel!$I$40),0)+IF(AND(21&gt;=Personnel!$E$41,Personnel!$G$41="Yes"),Personnel!$D$41*(1-Personnel!$I$41),0)+IF(AND(21&gt;=Personnel!$E$42,Personnel!$G$42="Yes"),Personnel!$D$42*(1-Personnel!$I$42),0))</f>
        <v>-87166.666666666672</v>
      </c>
      <c r="X66" s="8">
        <f>-(IF(AND(22&gt;=Personnel!$E$36,Personnel!$G$36="Yes"),Personnel!$D$36*(1-Personnel!$I$36),0)+IF(AND(22&gt;=Personnel!$E$37,Personnel!$G$37="Yes"),Personnel!$D$37*(1-Personnel!$I$37),0)+IF(AND(22&gt;=Personnel!$E$38,Personnel!$G$38="Yes"),Personnel!$D$38*(1-Personnel!$I$38),0)+IF(AND(22&gt;=Personnel!$E$39,Personnel!$G$39="Yes"),Personnel!$D$39*(1-Personnel!$I$39),0)+IF(AND(22&gt;=Personnel!$E$40,Personnel!$G$40="Yes"),Personnel!$D$40*(1-Personnel!$I$40),0)+IF(AND(22&gt;=Personnel!$E$41,Personnel!$G$41="Yes"),Personnel!$D$41*(1-Personnel!$I$41),0)+IF(AND(22&gt;=Personnel!$E$42,Personnel!$G$42="Yes"),Personnel!$D$42*(1-Personnel!$I$42),0))</f>
        <v>-87166.666666666672</v>
      </c>
      <c r="Y66" s="8">
        <f>-(IF(AND(23&gt;=Personnel!$E$36,Personnel!$G$36="Yes"),Personnel!$D$36*(1-Personnel!$I$36),0)+IF(AND(23&gt;=Personnel!$E$37,Personnel!$G$37="Yes"),Personnel!$D$37*(1-Personnel!$I$37),0)+IF(AND(23&gt;=Personnel!$E$38,Personnel!$G$38="Yes"),Personnel!$D$38*(1-Personnel!$I$38),0)+IF(AND(23&gt;=Personnel!$E$39,Personnel!$G$39="Yes"),Personnel!$D$39*(1-Personnel!$I$39),0)+IF(AND(23&gt;=Personnel!$E$40,Personnel!$G$40="Yes"),Personnel!$D$40*(1-Personnel!$I$40),0)+IF(AND(23&gt;=Personnel!$E$41,Personnel!$G$41="Yes"),Personnel!$D$41*(1-Personnel!$I$41),0)+IF(AND(23&gt;=Personnel!$E$42,Personnel!$G$42="Yes"),Personnel!$D$42*(1-Personnel!$I$42),0))</f>
        <v>-87166.666666666672</v>
      </c>
      <c r="Z66" s="8">
        <f>-(IF(AND(24&gt;=Personnel!$E$36,Personnel!$G$36="Yes"),Personnel!$D$36*(1-Personnel!$I$36),0)+IF(AND(24&gt;=Personnel!$E$37,Personnel!$G$37="Yes"),Personnel!$D$37*(1-Personnel!$I$37),0)+IF(AND(24&gt;=Personnel!$E$38,Personnel!$G$38="Yes"),Personnel!$D$38*(1-Personnel!$I$38),0)+IF(AND(24&gt;=Personnel!$E$39,Personnel!$G$39="Yes"),Personnel!$D$39*(1-Personnel!$I$39),0)+IF(AND(24&gt;=Personnel!$E$40,Personnel!$G$40="Yes"),Personnel!$D$40*(1-Personnel!$I$40),0)+IF(AND(24&gt;=Personnel!$E$41,Personnel!$G$41="Yes"),Personnel!$D$41*(1-Personnel!$I$41),0)+IF(AND(24&gt;=Personnel!$E$42,Personnel!$G$42="Yes"),Personnel!$D$42*(1-Personnel!$I$42),0))</f>
        <v>-87166.666666666672</v>
      </c>
      <c r="AA66" s="8">
        <f>-(IF(AND(25&gt;=Personnel!$E$36,Personnel!$G$36="Yes"),Personnel!$D$36*(1-Personnel!$I$36),0)+IF(AND(25&gt;=Personnel!$E$37,Personnel!$G$37="Yes"),Personnel!$D$37*(1-Personnel!$I$37),0)+IF(AND(25&gt;=Personnel!$E$38,Personnel!$G$38="Yes"),Personnel!$D$38*(1-Personnel!$I$38),0)+IF(AND(25&gt;=Personnel!$E$39,Personnel!$G$39="Yes"),Personnel!$D$39*(1-Personnel!$I$39),0)+IF(AND(25&gt;=Personnel!$E$40,Personnel!$G$40="Yes"),Personnel!$D$40*(1-Personnel!$I$40),0)+IF(AND(25&gt;=Personnel!$E$41,Personnel!$G$41="Yes"),Personnel!$D$41*(1-Personnel!$I$41),0)+IF(AND(25&gt;=Personnel!$E$42,Personnel!$G$42="Yes"),Personnel!$D$42*(1-Personnel!$I$42),0))</f>
        <v>-87166.666666666672</v>
      </c>
      <c r="AB66" s="8">
        <f>-(IF(AND(26&gt;=Personnel!$E$36,Personnel!$G$36="Yes"),Personnel!$D$36*(1-Personnel!$I$36),0)+IF(AND(26&gt;=Personnel!$E$37,Personnel!$G$37="Yes"),Personnel!$D$37*(1-Personnel!$I$37),0)+IF(AND(26&gt;=Personnel!$E$38,Personnel!$G$38="Yes"),Personnel!$D$38*(1-Personnel!$I$38),0)+IF(AND(26&gt;=Personnel!$E$39,Personnel!$G$39="Yes"),Personnel!$D$39*(1-Personnel!$I$39),0)+IF(AND(26&gt;=Personnel!$E$40,Personnel!$G$40="Yes"),Personnel!$D$40*(1-Personnel!$I$40),0)+IF(AND(26&gt;=Personnel!$E$41,Personnel!$G$41="Yes"),Personnel!$D$41*(1-Personnel!$I$41),0)+IF(AND(26&gt;=Personnel!$E$42,Personnel!$G$42="Yes"),Personnel!$D$42*(1-Personnel!$I$42),0))</f>
        <v>-87166.666666666672</v>
      </c>
      <c r="AC66" s="8">
        <f>-(IF(AND(27&gt;=Personnel!$E$36,Personnel!$G$36="Yes"),Personnel!$D$36*(1-Personnel!$I$36),0)+IF(AND(27&gt;=Personnel!$E$37,Personnel!$G$37="Yes"),Personnel!$D$37*(1-Personnel!$I$37),0)+IF(AND(27&gt;=Personnel!$E$38,Personnel!$G$38="Yes"),Personnel!$D$38*(1-Personnel!$I$38),0)+IF(AND(27&gt;=Personnel!$E$39,Personnel!$G$39="Yes"),Personnel!$D$39*(1-Personnel!$I$39),0)+IF(AND(27&gt;=Personnel!$E$40,Personnel!$G$40="Yes"),Personnel!$D$40*(1-Personnel!$I$40),0)+IF(AND(27&gt;=Personnel!$E$41,Personnel!$G$41="Yes"),Personnel!$D$41*(1-Personnel!$I$41),0)+IF(AND(27&gt;=Personnel!$E$42,Personnel!$G$42="Yes"),Personnel!$D$42*(1-Personnel!$I$42),0))</f>
        <v>-87166.666666666672</v>
      </c>
      <c r="AD66" s="8">
        <f>-(IF(AND(28&gt;=Personnel!$E$36,Personnel!$G$36="Yes"),Personnel!$D$36*(1-Personnel!$I$36),0)+IF(AND(28&gt;=Personnel!$E$37,Personnel!$G$37="Yes"),Personnel!$D$37*(1-Personnel!$I$37),0)+IF(AND(28&gt;=Personnel!$E$38,Personnel!$G$38="Yes"),Personnel!$D$38*(1-Personnel!$I$38),0)+IF(AND(28&gt;=Personnel!$E$39,Personnel!$G$39="Yes"),Personnel!$D$39*(1-Personnel!$I$39),0)+IF(AND(28&gt;=Personnel!$E$40,Personnel!$G$40="Yes"),Personnel!$D$40*(1-Personnel!$I$40),0)+IF(AND(28&gt;=Personnel!$E$41,Personnel!$G$41="Yes"),Personnel!$D$41*(1-Personnel!$I$41),0)+IF(AND(28&gt;=Personnel!$E$42,Personnel!$G$42="Yes"),Personnel!$D$42*(1-Personnel!$I$42),0))</f>
        <v>-87166.666666666672</v>
      </c>
      <c r="AE66" s="8">
        <f>-(IF(AND(29&gt;=Personnel!$E$36,Personnel!$G$36="Yes"),Personnel!$D$36*(1-Personnel!$I$36),0)+IF(AND(29&gt;=Personnel!$E$37,Personnel!$G$37="Yes"),Personnel!$D$37*(1-Personnel!$I$37),0)+IF(AND(29&gt;=Personnel!$E$38,Personnel!$G$38="Yes"),Personnel!$D$38*(1-Personnel!$I$38),0)+IF(AND(29&gt;=Personnel!$E$39,Personnel!$G$39="Yes"),Personnel!$D$39*(1-Personnel!$I$39),0)+IF(AND(29&gt;=Personnel!$E$40,Personnel!$G$40="Yes"),Personnel!$D$40*(1-Personnel!$I$40),0)+IF(AND(29&gt;=Personnel!$E$41,Personnel!$G$41="Yes"),Personnel!$D$41*(1-Personnel!$I$41),0)+IF(AND(29&gt;=Personnel!$E$42,Personnel!$G$42="Yes"),Personnel!$D$42*(1-Personnel!$I$42),0))</f>
        <v>-87166.666666666672</v>
      </c>
      <c r="AF66" s="8">
        <f>-(IF(AND(30&gt;=Personnel!$E$36,Personnel!$G$36="Yes"),Personnel!$D$36*(1-Personnel!$I$36),0)+IF(AND(30&gt;=Personnel!$E$37,Personnel!$G$37="Yes"),Personnel!$D$37*(1-Personnel!$I$37),0)+IF(AND(30&gt;=Personnel!$E$38,Personnel!$G$38="Yes"),Personnel!$D$38*(1-Personnel!$I$38),0)+IF(AND(30&gt;=Personnel!$E$39,Personnel!$G$39="Yes"),Personnel!$D$39*(1-Personnel!$I$39),0)+IF(AND(30&gt;=Personnel!$E$40,Personnel!$G$40="Yes"),Personnel!$D$40*(1-Personnel!$I$40),0)+IF(AND(30&gt;=Personnel!$E$41,Personnel!$G$41="Yes"),Personnel!$D$41*(1-Personnel!$I$41),0)+IF(AND(30&gt;=Personnel!$E$42,Personnel!$G$42="Yes"),Personnel!$D$42*(1-Personnel!$I$42),0))</f>
        <v>-87166.666666666672</v>
      </c>
      <c r="AG66" s="8">
        <f>-(IF(AND(31&gt;=Personnel!$E$36,Personnel!$G$36="Yes"),Personnel!$D$36*(1-Personnel!$I$36),0)+IF(AND(31&gt;=Personnel!$E$37,Personnel!$G$37="Yes"),Personnel!$D$37*(1-Personnel!$I$37),0)+IF(AND(31&gt;=Personnel!$E$38,Personnel!$G$38="Yes"),Personnel!$D$38*(1-Personnel!$I$38),0)+IF(AND(31&gt;=Personnel!$E$39,Personnel!$G$39="Yes"),Personnel!$D$39*(1-Personnel!$I$39),0)+IF(AND(31&gt;=Personnel!$E$40,Personnel!$G$40="Yes"),Personnel!$D$40*(1-Personnel!$I$40),0)+IF(AND(31&gt;=Personnel!$E$41,Personnel!$G$41="Yes"),Personnel!$D$41*(1-Personnel!$I$41),0)+IF(AND(31&gt;=Personnel!$E$42,Personnel!$G$42="Yes"),Personnel!$D$42*(1-Personnel!$I$42),0))</f>
        <v>-87166.666666666672</v>
      </c>
      <c r="AH66" s="8">
        <f>-(IF(AND(32&gt;=Personnel!$E$36,Personnel!$G$36="Yes"),Personnel!$D$36*(1-Personnel!$I$36),0)+IF(AND(32&gt;=Personnel!$E$37,Personnel!$G$37="Yes"),Personnel!$D$37*(1-Personnel!$I$37),0)+IF(AND(32&gt;=Personnel!$E$38,Personnel!$G$38="Yes"),Personnel!$D$38*(1-Personnel!$I$38),0)+IF(AND(32&gt;=Personnel!$E$39,Personnel!$G$39="Yes"),Personnel!$D$39*(1-Personnel!$I$39),0)+IF(AND(32&gt;=Personnel!$E$40,Personnel!$G$40="Yes"),Personnel!$D$40*(1-Personnel!$I$40),0)+IF(AND(32&gt;=Personnel!$E$41,Personnel!$G$41="Yes"),Personnel!$D$41*(1-Personnel!$I$41),0)+IF(AND(32&gt;=Personnel!$E$42,Personnel!$G$42="Yes"),Personnel!$D$42*(1-Personnel!$I$42),0))</f>
        <v>-87166.666666666672</v>
      </c>
      <c r="AI66" s="8">
        <f>-(IF(AND(33&gt;=Personnel!$E$36,Personnel!$G$36="Yes"),Personnel!$D$36*(1-Personnel!$I$36),0)+IF(AND(33&gt;=Personnel!$E$37,Personnel!$G$37="Yes"),Personnel!$D$37*(1-Personnel!$I$37),0)+IF(AND(33&gt;=Personnel!$E$38,Personnel!$G$38="Yes"),Personnel!$D$38*(1-Personnel!$I$38),0)+IF(AND(33&gt;=Personnel!$E$39,Personnel!$G$39="Yes"),Personnel!$D$39*(1-Personnel!$I$39),0)+IF(AND(33&gt;=Personnel!$E$40,Personnel!$G$40="Yes"),Personnel!$D$40*(1-Personnel!$I$40),0)+IF(AND(33&gt;=Personnel!$E$41,Personnel!$G$41="Yes"),Personnel!$D$41*(1-Personnel!$I$41),0)+IF(AND(33&gt;=Personnel!$E$42,Personnel!$G$42="Yes"),Personnel!$D$42*(1-Personnel!$I$42),0))</f>
        <v>-87166.666666666672</v>
      </c>
      <c r="AJ66" s="8">
        <f>-(IF(AND(34&gt;=Personnel!$E$36,Personnel!$G$36="Yes"),Personnel!$D$36*(1-Personnel!$I$36),0)+IF(AND(34&gt;=Personnel!$E$37,Personnel!$G$37="Yes"),Personnel!$D$37*(1-Personnel!$I$37),0)+IF(AND(34&gt;=Personnel!$E$38,Personnel!$G$38="Yes"),Personnel!$D$38*(1-Personnel!$I$38),0)+IF(AND(34&gt;=Personnel!$E$39,Personnel!$G$39="Yes"),Personnel!$D$39*(1-Personnel!$I$39),0)+IF(AND(34&gt;=Personnel!$E$40,Personnel!$G$40="Yes"),Personnel!$D$40*(1-Personnel!$I$40),0)+IF(AND(34&gt;=Personnel!$E$41,Personnel!$G$41="Yes"),Personnel!$D$41*(1-Personnel!$I$41),0)+IF(AND(34&gt;=Personnel!$E$42,Personnel!$G$42="Yes"),Personnel!$D$42*(1-Personnel!$I$42),0))</f>
        <v>-87166.666666666672</v>
      </c>
      <c r="AK66" s="8">
        <f>-(IF(AND(35&gt;=Personnel!$E$36,Personnel!$G$36="Yes"),Personnel!$D$36*(1-Personnel!$I$36),0)+IF(AND(35&gt;=Personnel!$E$37,Personnel!$G$37="Yes"),Personnel!$D$37*(1-Personnel!$I$37),0)+IF(AND(35&gt;=Personnel!$E$38,Personnel!$G$38="Yes"),Personnel!$D$38*(1-Personnel!$I$38),0)+IF(AND(35&gt;=Personnel!$E$39,Personnel!$G$39="Yes"),Personnel!$D$39*(1-Personnel!$I$39),0)+IF(AND(35&gt;=Personnel!$E$40,Personnel!$G$40="Yes"),Personnel!$D$40*(1-Personnel!$I$40),0)+IF(AND(35&gt;=Personnel!$E$41,Personnel!$G$41="Yes"),Personnel!$D$41*(1-Personnel!$I$41),0)+IF(AND(35&gt;=Personnel!$E$42,Personnel!$G$42="Yes"),Personnel!$D$42*(1-Personnel!$I$42),0))</f>
        <v>-87166.666666666672</v>
      </c>
      <c r="AL66" s="8">
        <f>-(IF(AND(36&gt;=Personnel!$E$36,Personnel!$G$36="Yes"),Personnel!$D$36*(1-Personnel!$I$36),0)+IF(AND(36&gt;=Personnel!$E$37,Personnel!$G$37="Yes"),Personnel!$D$37*(1-Personnel!$I$37),0)+IF(AND(36&gt;=Personnel!$E$38,Personnel!$G$38="Yes"),Personnel!$D$38*(1-Personnel!$I$38),0)+IF(AND(36&gt;=Personnel!$E$39,Personnel!$G$39="Yes"),Personnel!$D$39*(1-Personnel!$I$39),0)+IF(AND(36&gt;=Personnel!$E$40,Personnel!$G$40="Yes"),Personnel!$D$40*(1-Personnel!$I$40),0)+IF(AND(36&gt;=Personnel!$E$41,Personnel!$G$41="Yes"),Personnel!$D$41*(1-Personnel!$I$41),0)+IF(AND(36&gt;=Personnel!$E$42,Personnel!$G$42="Yes"),Personnel!$D$42*(1-Personnel!$I$42),0))</f>
        <v>-87166.666666666672</v>
      </c>
      <c r="AM66" s="8">
        <f>-(IF(AND(37&gt;=Personnel!$E$36,Personnel!$G$36="Yes"),Personnel!$D$36*(1-Personnel!$I$36),0)+IF(AND(37&gt;=Personnel!$E$37,Personnel!$G$37="Yes"),Personnel!$D$37*(1-Personnel!$I$37),0)+IF(AND(37&gt;=Personnel!$E$38,Personnel!$G$38="Yes"),Personnel!$D$38*(1-Personnel!$I$38),0)+IF(AND(37&gt;=Personnel!$E$39,Personnel!$G$39="Yes"),Personnel!$D$39*(1-Personnel!$I$39),0)+IF(AND(37&gt;=Personnel!$E$40,Personnel!$G$40="Yes"),Personnel!$D$40*(1-Personnel!$I$40),0)+IF(AND(37&gt;=Personnel!$E$41,Personnel!$G$41="Yes"),Personnel!$D$41*(1-Personnel!$I$41),0)+IF(AND(37&gt;=Personnel!$E$42,Personnel!$G$42="Yes"),Personnel!$D$42*(1-Personnel!$I$42),0))</f>
        <v>-87166.666666666672</v>
      </c>
      <c r="AN66" s="8">
        <f>-(IF(AND(38&gt;=Personnel!$E$36,Personnel!$G$36="Yes"),Personnel!$D$36*(1-Personnel!$I$36),0)+IF(AND(38&gt;=Personnel!$E$37,Personnel!$G$37="Yes"),Personnel!$D$37*(1-Personnel!$I$37),0)+IF(AND(38&gt;=Personnel!$E$38,Personnel!$G$38="Yes"),Personnel!$D$38*(1-Personnel!$I$38),0)+IF(AND(38&gt;=Personnel!$E$39,Personnel!$G$39="Yes"),Personnel!$D$39*(1-Personnel!$I$39),0)+IF(AND(38&gt;=Personnel!$E$40,Personnel!$G$40="Yes"),Personnel!$D$40*(1-Personnel!$I$40),0)+IF(AND(38&gt;=Personnel!$E$41,Personnel!$G$41="Yes"),Personnel!$D$41*(1-Personnel!$I$41),0)+IF(AND(38&gt;=Personnel!$E$42,Personnel!$G$42="Yes"),Personnel!$D$42*(1-Personnel!$I$42),0))</f>
        <v>-87166.666666666672</v>
      </c>
      <c r="AO66" s="8">
        <f>-(IF(AND(39&gt;=Personnel!$E$36,Personnel!$G$36="Yes"),Personnel!$D$36*(1-Personnel!$I$36),0)+IF(AND(39&gt;=Personnel!$E$37,Personnel!$G$37="Yes"),Personnel!$D$37*(1-Personnel!$I$37),0)+IF(AND(39&gt;=Personnel!$E$38,Personnel!$G$38="Yes"),Personnel!$D$38*(1-Personnel!$I$38),0)+IF(AND(39&gt;=Personnel!$E$39,Personnel!$G$39="Yes"),Personnel!$D$39*(1-Personnel!$I$39),0)+IF(AND(39&gt;=Personnel!$E$40,Personnel!$G$40="Yes"),Personnel!$D$40*(1-Personnel!$I$40),0)+IF(AND(39&gt;=Personnel!$E$41,Personnel!$G$41="Yes"),Personnel!$D$41*(1-Personnel!$I$41),0)+IF(AND(39&gt;=Personnel!$E$42,Personnel!$G$42="Yes"),Personnel!$D$42*(1-Personnel!$I$42),0))</f>
        <v>-87166.666666666672</v>
      </c>
      <c r="AP66" s="8">
        <f>-(IF(AND(40&gt;=Personnel!$E$36,Personnel!$G$36="Yes"),Personnel!$D$36*(1-Personnel!$I$36),0)+IF(AND(40&gt;=Personnel!$E$37,Personnel!$G$37="Yes"),Personnel!$D$37*(1-Personnel!$I$37),0)+IF(AND(40&gt;=Personnel!$E$38,Personnel!$G$38="Yes"),Personnel!$D$38*(1-Personnel!$I$38),0)+IF(AND(40&gt;=Personnel!$E$39,Personnel!$G$39="Yes"),Personnel!$D$39*(1-Personnel!$I$39),0)+IF(AND(40&gt;=Personnel!$E$40,Personnel!$G$40="Yes"),Personnel!$D$40*(1-Personnel!$I$40),0)+IF(AND(40&gt;=Personnel!$E$41,Personnel!$G$41="Yes"),Personnel!$D$41*(1-Personnel!$I$41),0)+IF(AND(40&gt;=Personnel!$E$42,Personnel!$G$42="Yes"),Personnel!$D$42*(1-Personnel!$I$42),0))</f>
        <v>-87166.666666666672</v>
      </c>
      <c r="AQ66" s="8">
        <f>-(IF(AND(41&gt;=Personnel!$E$36,Personnel!$G$36="Yes"),Personnel!$D$36*(1-Personnel!$I$36),0)+IF(AND(41&gt;=Personnel!$E$37,Personnel!$G$37="Yes"),Personnel!$D$37*(1-Personnel!$I$37),0)+IF(AND(41&gt;=Personnel!$E$38,Personnel!$G$38="Yes"),Personnel!$D$38*(1-Personnel!$I$38),0)+IF(AND(41&gt;=Personnel!$E$39,Personnel!$G$39="Yes"),Personnel!$D$39*(1-Personnel!$I$39),0)+IF(AND(41&gt;=Personnel!$E$40,Personnel!$G$40="Yes"),Personnel!$D$40*(1-Personnel!$I$40),0)+IF(AND(41&gt;=Personnel!$E$41,Personnel!$G$41="Yes"),Personnel!$D$41*(1-Personnel!$I$41),0)+IF(AND(41&gt;=Personnel!$E$42,Personnel!$G$42="Yes"),Personnel!$D$42*(1-Personnel!$I$42),0))</f>
        <v>-87166.666666666672</v>
      </c>
      <c r="AR66" s="8">
        <f>-(IF(AND(42&gt;=Personnel!$E$36,Personnel!$G$36="Yes"),Personnel!$D$36*(1-Personnel!$I$36),0)+IF(AND(42&gt;=Personnel!$E$37,Personnel!$G$37="Yes"),Personnel!$D$37*(1-Personnel!$I$37),0)+IF(AND(42&gt;=Personnel!$E$38,Personnel!$G$38="Yes"),Personnel!$D$38*(1-Personnel!$I$38),0)+IF(AND(42&gt;=Personnel!$E$39,Personnel!$G$39="Yes"),Personnel!$D$39*(1-Personnel!$I$39),0)+IF(AND(42&gt;=Personnel!$E$40,Personnel!$G$40="Yes"),Personnel!$D$40*(1-Personnel!$I$40),0)+IF(AND(42&gt;=Personnel!$E$41,Personnel!$G$41="Yes"),Personnel!$D$41*(1-Personnel!$I$41),0)+IF(AND(42&gt;=Personnel!$E$42,Personnel!$G$42="Yes"),Personnel!$D$42*(1-Personnel!$I$42),0))</f>
        <v>-87166.666666666672</v>
      </c>
      <c r="AS66" s="8">
        <f>-(IF(AND(43&gt;=Personnel!$E$36,Personnel!$G$36="Yes"),Personnel!$D$36*(1-Personnel!$I$36),0)+IF(AND(43&gt;=Personnel!$E$37,Personnel!$G$37="Yes"),Personnel!$D$37*(1-Personnel!$I$37),0)+IF(AND(43&gt;=Personnel!$E$38,Personnel!$G$38="Yes"),Personnel!$D$38*(1-Personnel!$I$38),0)+IF(AND(43&gt;=Personnel!$E$39,Personnel!$G$39="Yes"),Personnel!$D$39*(1-Personnel!$I$39),0)+IF(AND(43&gt;=Personnel!$E$40,Personnel!$G$40="Yes"),Personnel!$D$40*(1-Personnel!$I$40),0)+IF(AND(43&gt;=Personnel!$E$41,Personnel!$G$41="Yes"),Personnel!$D$41*(1-Personnel!$I$41),0)+IF(AND(43&gt;=Personnel!$E$42,Personnel!$G$42="Yes"),Personnel!$D$42*(1-Personnel!$I$42),0))</f>
        <v>-87166.666666666672</v>
      </c>
      <c r="AT66" s="8">
        <f>-(IF(AND(44&gt;=Personnel!$E$36,Personnel!$G$36="Yes"),Personnel!$D$36*(1-Personnel!$I$36),0)+IF(AND(44&gt;=Personnel!$E$37,Personnel!$G$37="Yes"),Personnel!$D$37*(1-Personnel!$I$37),0)+IF(AND(44&gt;=Personnel!$E$38,Personnel!$G$38="Yes"),Personnel!$D$38*(1-Personnel!$I$38),0)+IF(AND(44&gt;=Personnel!$E$39,Personnel!$G$39="Yes"),Personnel!$D$39*(1-Personnel!$I$39),0)+IF(AND(44&gt;=Personnel!$E$40,Personnel!$G$40="Yes"),Personnel!$D$40*(1-Personnel!$I$40),0)+IF(AND(44&gt;=Personnel!$E$41,Personnel!$G$41="Yes"),Personnel!$D$41*(1-Personnel!$I$41),0)+IF(AND(44&gt;=Personnel!$E$42,Personnel!$G$42="Yes"),Personnel!$D$42*(1-Personnel!$I$42),0))</f>
        <v>-87166.666666666672</v>
      </c>
      <c r="AU66" s="8">
        <f>-(IF(AND(45&gt;=Personnel!$E$36,Personnel!$G$36="Yes"),Personnel!$D$36*(1-Personnel!$I$36),0)+IF(AND(45&gt;=Personnel!$E$37,Personnel!$G$37="Yes"),Personnel!$D$37*(1-Personnel!$I$37),0)+IF(AND(45&gt;=Personnel!$E$38,Personnel!$G$38="Yes"),Personnel!$D$38*(1-Personnel!$I$38),0)+IF(AND(45&gt;=Personnel!$E$39,Personnel!$G$39="Yes"),Personnel!$D$39*(1-Personnel!$I$39),0)+IF(AND(45&gt;=Personnel!$E$40,Personnel!$G$40="Yes"),Personnel!$D$40*(1-Personnel!$I$40),0)+IF(AND(45&gt;=Personnel!$E$41,Personnel!$G$41="Yes"),Personnel!$D$41*(1-Personnel!$I$41),0)+IF(AND(45&gt;=Personnel!$E$42,Personnel!$G$42="Yes"),Personnel!$D$42*(1-Personnel!$I$42),0))</f>
        <v>-87166.666666666672</v>
      </c>
      <c r="AV66" s="8">
        <f>-(IF(AND(46&gt;=Personnel!$E$36,Personnel!$G$36="Yes"),Personnel!$D$36*(1-Personnel!$I$36),0)+IF(AND(46&gt;=Personnel!$E$37,Personnel!$G$37="Yes"),Personnel!$D$37*(1-Personnel!$I$37),0)+IF(AND(46&gt;=Personnel!$E$38,Personnel!$G$38="Yes"),Personnel!$D$38*(1-Personnel!$I$38),0)+IF(AND(46&gt;=Personnel!$E$39,Personnel!$G$39="Yes"),Personnel!$D$39*(1-Personnel!$I$39),0)+IF(AND(46&gt;=Personnel!$E$40,Personnel!$G$40="Yes"),Personnel!$D$40*(1-Personnel!$I$40),0)+IF(AND(46&gt;=Personnel!$E$41,Personnel!$G$41="Yes"),Personnel!$D$41*(1-Personnel!$I$41),0)+IF(AND(46&gt;=Personnel!$E$42,Personnel!$G$42="Yes"),Personnel!$D$42*(1-Personnel!$I$42),0))</f>
        <v>-87166.666666666672</v>
      </c>
      <c r="AW66" s="8">
        <f>-(IF(AND(47&gt;=Personnel!$E$36,Personnel!$G$36="Yes"),Personnel!$D$36*(1-Personnel!$I$36),0)+IF(AND(47&gt;=Personnel!$E$37,Personnel!$G$37="Yes"),Personnel!$D$37*(1-Personnel!$I$37),0)+IF(AND(47&gt;=Personnel!$E$38,Personnel!$G$38="Yes"),Personnel!$D$38*(1-Personnel!$I$38),0)+IF(AND(47&gt;=Personnel!$E$39,Personnel!$G$39="Yes"),Personnel!$D$39*(1-Personnel!$I$39),0)+IF(AND(47&gt;=Personnel!$E$40,Personnel!$G$40="Yes"),Personnel!$D$40*(1-Personnel!$I$40),0)+IF(AND(47&gt;=Personnel!$E$41,Personnel!$G$41="Yes"),Personnel!$D$41*(1-Personnel!$I$41),0)+IF(AND(47&gt;=Personnel!$E$42,Personnel!$G$42="Yes"),Personnel!$D$42*(1-Personnel!$I$42),0))</f>
        <v>-87166.666666666672</v>
      </c>
      <c r="AX66" s="8">
        <f>-(IF(AND(48&gt;=Personnel!$E$36,Personnel!$G$36="Yes"),Personnel!$D$36*(1-Personnel!$I$36),0)+IF(AND(48&gt;=Personnel!$E$37,Personnel!$G$37="Yes"),Personnel!$D$37*(1-Personnel!$I$37),0)+IF(AND(48&gt;=Personnel!$E$38,Personnel!$G$38="Yes"),Personnel!$D$38*(1-Personnel!$I$38),0)+IF(AND(48&gt;=Personnel!$E$39,Personnel!$G$39="Yes"),Personnel!$D$39*(1-Personnel!$I$39),0)+IF(AND(48&gt;=Personnel!$E$40,Personnel!$G$40="Yes"),Personnel!$D$40*(1-Personnel!$I$40),0)+IF(AND(48&gt;=Personnel!$E$41,Personnel!$G$41="Yes"),Personnel!$D$41*(1-Personnel!$I$41),0)+IF(AND(48&gt;=Personnel!$E$42,Personnel!$G$42="Yes"),Personnel!$D$42*(1-Personnel!$I$42),0))</f>
        <v>-87166.666666666672</v>
      </c>
      <c r="AY66" s="8">
        <f>-(IF(AND(49&gt;=Personnel!$E$36,Personnel!$G$36="Yes"),Personnel!$D$36*(1-Personnel!$I$36),0)+IF(AND(49&gt;=Personnel!$E$37,Personnel!$G$37="Yes"),Personnel!$D$37*(1-Personnel!$I$37),0)+IF(AND(49&gt;=Personnel!$E$38,Personnel!$G$38="Yes"),Personnel!$D$38*(1-Personnel!$I$38),0)+IF(AND(49&gt;=Personnel!$E$39,Personnel!$G$39="Yes"),Personnel!$D$39*(1-Personnel!$I$39),0)+IF(AND(49&gt;=Personnel!$E$40,Personnel!$G$40="Yes"),Personnel!$D$40*(1-Personnel!$I$40),0)+IF(AND(49&gt;=Personnel!$E$41,Personnel!$G$41="Yes"),Personnel!$D$41*(1-Personnel!$I$41),0)+IF(AND(49&gt;=Personnel!$E$42,Personnel!$G$42="Yes"),Personnel!$D$42*(1-Personnel!$I$42),0))</f>
        <v>-87166.666666666672</v>
      </c>
      <c r="AZ66" s="8">
        <f>-(IF(AND(50&gt;=Personnel!$E$36,Personnel!$G$36="Yes"),Personnel!$D$36*(1-Personnel!$I$36),0)+IF(AND(50&gt;=Personnel!$E$37,Personnel!$G$37="Yes"),Personnel!$D$37*(1-Personnel!$I$37),0)+IF(AND(50&gt;=Personnel!$E$38,Personnel!$G$38="Yes"),Personnel!$D$38*(1-Personnel!$I$38),0)+IF(AND(50&gt;=Personnel!$E$39,Personnel!$G$39="Yes"),Personnel!$D$39*(1-Personnel!$I$39),0)+IF(AND(50&gt;=Personnel!$E$40,Personnel!$G$40="Yes"),Personnel!$D$40*(1-Personnel!$I$40),0)+IF(AND(50&gt;=Personnel!$E$41,Personnel!$G$41="Yes"),Personnel!$D$41*(1-Personnel!$I$41),0)+IF(AND(50&gt;=Personnel!$E$42,Personnel!$G$42="Yes"),Personnel!$D$42*(1-Personnel!$I$42),0))</f>
        <v>-87166.666666666672</v>
      </c>
      <c r="BA66" s="8">
        <f>-(IF(AND(51&gt;=Personnel!$E$36,Personnel!$G$36="Yes"),Personnel!$D$36*(1-Personnel!$I$36),0)+IF(AND(51&gt;=Personnel!$E$37,Personnel!$G$37="Yes"),Personnel!$D$37*(1-Personnel!$I$37),0)+IF(AND(51&gt;=Personnel!$E$38,Personnel!$G$38="Yes"),Personnel!$D$38*(1-Personnel!$I$38),0)+IF(AND(51&gt;=Personnel!$E$39,Personnel!$G$39="Yes"),Personnel!$D$39*(1-Personnel!$I$39),0)+IF(AND(51&gt;=Personnel!$E$40,Personnel!$G$40="Yes"),Personnel!$D$40*(1-Personnel!$I$40),0)+IF(AND(51&gt;=Personnel!$E$41,Personnel!$G$41="Yes"),Personnel!$D$41*(1-Personnel!$I$41),0)+IF(AND(51&gt;=Personnel!$E$42,Personnel!$G$42="Yes"),Personnel!$D$42*(1-Personnel!$I$42),0))</f>
        <v>-87166.666666666672</v>
      </c>
      <c r="BB66" s="8">
        <f>-(IF(AND(52&gt;=Personnel!$E$36,Personnel!$G$36="Yes"),Personnel!$D$36*(1-Personnel!$I$36),0)+IF(AND(52&gt;=Personnel!$E$37,Personnel!$G$37="Yes"),Personnel!$D$37*(1-Personnel!$I$37),0)+IF(AND(52&gt;=Personnel!$E$38,Personnel!$G$38="Yes"),Personnel!$D$38*(1-Personnel!$I$38),0)+IF(AND(52&gt;=Personnel!$E$39,Personnel!$G$39="Yes"),Personnel!$D$39*(1-Personnel!$I$39),0)+IF(AND(52&gt;=Personnel!$E$40,Personnel!$G$40="Yes"),Personnel!$D$40*(1-Personnel!$I$40),0)+IF(AND(52&gt;=Personnel!$E$41,Personnel!$G$41="Yes"),Personnel!$D$41*(1-Personnel!$I$41),0)+IF(AND(52&gt;=Personnel!$E$42,Personnel!$G$42="Yes"),Personnel!$D$42*(1-Personnel!$I$42),0))</f>
        <v>-87166.666666666672</v>
      </c>
      <c r="BC66" s="8">
        <f>-(IF(AND(53&gt;=Personnel!$E$36,Personnel!$G$36="Yes"),Personnel!$D$36*(1-Personnel!$I$36),0)+IF(AND(53&gt;=Personnel!$E$37,Personnel!$G$37="Yes"),Personnel!$D$37*(1-Personnel!$I$37),0)+IF(AND(53&gt;=Personnel!$E$38,Personnel!$G$38="Yes"),Personnel!$D$38*(1-Personnel!$I$38),0)+IF(AND(53&gt;=Personnel!$E$39,Personnel!$G$39="Yes"),Personnel!$D$39*(1-Personnel!$I$39),0)+IF(AND(53&gt;=Personnel!$E$40,Personnel!$G$40="Yes"),Personnel!$D$40*(1-Personnel!$I$40),0)+IF(AND(53&gt;=Personnel!$E$41,Personnel!$G$41="Yes"),Personnel!$D$41*(1-Personnel!$I$41),0)+IF(AND(53&gt;=Personnel!$E$42,Personnel!$G$42="Yes"),Personnel!$D$42*(1-Personnel!$I$42),0))</f>
        <v>-87166.666666666672</v>
      </c>
      <c r="BD66" s="8">
        <f>-(IF(AND(54&gt;=Personnel!$E$36,Personnel!$G$36="Yes"),Personnel!$D$36*(1-Personnel!$I$36),0)+IF(AND(54&gt;=Personnel!$E$37,Personnel!$G$37="Yes"),Personnel!$D$37*(1-Personnel!$I$37),0)+IF(AND(54&gt;=Personnel!$E$38,Personnel!$G$38="Yes"),Personnel!$D$38*(1-Personnel!$I$38),0)+IF(AND(54&gt;=Personnel!$E$39,Personnel!$G$39="Yes"),Personnel!$D$39*(1-Personnel!$I$39),0)+IF(AND(54&gt;=Personnel!$E$40,Personnel!$G$40="Yes"),Personnel!$D$40*(1-Personnel!$I$40),0)+IF(AND(54&gt;=Personnel!$E$41,Personnel!$G$41="Yes"),Personnel!$D$41*(1-Personnel!$I$41),0)+IF(AND(54&gt;=Personnel!$E$42,Personnel!$G$42="Yes"),Personnel!$D$42*(1-Personnel!$I$42),0))</f>
        <v>-87166.666666666672</v>
      </c>
      <c r="BE66" s="8">
        <f>-(IF(AND(55&gt;=Personnel!$E$36,Personnel!$G$36="Yes"),Personnel!$D$36*(1-Personnel!$I$36),0)+IF(AND(55&gt;=Personnel!$E$37,Personnel!$G$37="Yes"),Personnel!$D$37*(1-Personnel!$I$37),0)+IF(AND(55&gt;=Personnel!$E$38,Personnel!$G$38="Yes"),Personnel!$D$38*(1-Personnel!$I$38),0)+IF(AND(55&gt;=Personnel!$E$39,Personnel!$G$39="Yes"),Personnel!$D$39*(1-Personnel!$I$39),0)+IF(AND(55&gt;=Personnel!$E$40,Personnel!$G$40="Yes"),Personnel!$D$40*(1-Personnel!$I$40),0)+IF(AND(55&gt;=Personnel!$E$41,Personnel!$G$41="Yes"),Personnel!$D$41*(1-Personnel!$I$41),0)+IF(AND(55&gt;=Personnel!$E$42,Personnel!$G$42="Yes"),Personnel!$D$42*(1-Personnel!$I$42),0))</f>
        <v>-87166.666666666672</v>
      </c>
      <c r="BF66" s="8">
        <f>-(IF(AND(56&gt;=Personnel!$E$36,Personnel!$G$36="Yes"),Personnel!$D$36*(1-Personnel!$I$36),0)+IF(AND(56&gt;=Personnel!$E$37,Personnel!$G$37="Yes"),Personnel!$D$37*(1-Personnel!$I$37),0)+IF(AND(56&gt;=Personnel!$E$38,Personnel!$G$38="Yes"),Personnel!$D$38*(1-Personnel!$I$38),0)+IF(AND(56&gt;=Personnel!$E$39,Personnel!$G$39="Yes"),Personnel!$D$39*(1-Personnel!$I$39),0)+IF(AND(56&gt;=Personnel!$E$40,Personnel!$G$40="Yes"),Personnel!$D$40*(1-Personnel!$I$40),0)+IF(AND(56&gt;=Personnel!$E$41,Personnel!$G$41="Yes"),Personnel!$D$41*(1-Personnel!$I$41),0)+IF(AND(56&gt;=Personnel!$E$42,Personnel!$G$42="Yes"),Personnel!$D$42*(1-Personnel!$I$42),0))</f>
        <v>-87166.666666666672</v>
      </c>
      <c r="BG66" s="8">
        <f>-(IF(AND(57&gt;=Personnel!$E$36,Personnel!$G$36="Yes"),Personnel!$D$36*(1-Personnel!$I$36),0)+IF(AND(57&gt;=Personnel!$E$37,Personnel!$G$37="Yes"),Personnel!$D$37*(1-Personnel!$I$37),0)+IF(AND(57&gt;=Personnel!$E$38,Personnel!$G$38="Yes"),Personnel!$D$38*(1-Personnel!$I$38),0)+IF(AND(57&gt;=Personnel!$E$39,Personnel!$G$39="Yes"),Personnel!$D$39*(1-Personnel!$I$39),0)+IF(AND(57&gt;=Personnel!$E$40,Personnel!$G$40="Yes"),Personnel!$D$40*(1-Personnel!$I$40),0)+IF(AND(57&gt;=Personnel!$E$41,Personnel!$G$41="Yes"),Personnel!$D$41*(1-Personnel!$I$41),0)+IF(AND(57&gt;=Personnel!$E$42,Personnel!$G$42="Yes"),Personnel!$D$42*(1-Personnel!$I$42),0))</f>
        <v>-87166.666666666672</v>
      </c>
      <c r="BH66" s="8">
        <f>-(IF(AND(58&gt;=Personnel!$E$36,Personnel!$G$36="Yes"),Personnel!$D$36*(1-Personnel!$I$36),0)+IF(AND(58&gt;=Personnel!$E$37,Personnel!$G$37="Yes"),Personnel!$D$37*(1-Personnel!$I$37),0)+IF(AND(58&gt;=Personnel!$E$38,Personnel!$G$38="Yes"),Personnel!$D$38*(1-Personnel!$I$38),0)+IF(AND(58&gt;=Personnel!$E$39,Personnel!$G$39="Yes"),Personnel!$D$39*(1-Personnel!$I$39),0)+IF(AND(58&gt;=Personnel!$E$40,Personnel!$G$40="Yes"),Personnel!$D$40*(1-Personnel!$I$40),0)+IF(AND(58&gt;=Personnel!$E$41,Personnel!$G$41="Yes"),Personnel!$D$41*(1-Personnel!$I$41),0)+IF(AND(58&gt;=Personnel!$E$42,Personnel!$G$42="Yes"),Personnel!$D$42*(1-Personnel!$I$42),0))</f>
        <v>-87166.666666666672</v>
      </c>
      <c r="BI66" s="8">
        <f>-(IF(AND(59&gt;=Personnel!$E$36,Personnel!$G$36="Yes"),Personnel!$D$36*(1-Personnel!$I$36),0)+IF(AND(59&gt;=Personnel!$E$37,Personnel!$G$37="Yes"),Personnel!$D$37*(1-Personnel!$I$37),0)+IF(AND(59&gt;=Personnel!$E$38,Personnel!$G$38="Yes"),Personnel!$D$38*(1-Personnel!$I$38),0)+IF(AND(59&gt;=Personnel!$E$39,Personnel!$G$39="Yes"),Personnel!$D$39*(1-Personnel!$I$39),0)+IF(AND(59&gt;=Personnel!$E$40,Personnel!$G$40="Yes"),Personnel!$D$40*(1-Personnel!$I$40),0)+IF(AND(59&gt;=Personnel!$E$41,Personnel!$G$41="Yes"),Personnel!$D$41*(1-Personnel!$I$41),0)+IF(AND(59&gt;=Personnel!$E$42,Personnel!$G$42="Yes"),Personnel!$D$42*(1-Personnel!$I$42),0))</f>
        <v>-87166.666666666672</v>
      </c>
      <c r="BJ66" s="8">
        <f>-(IF(AND(60&gt;=Personnel!$E$36,Personnel!$G$36="Yes"),Personnel!$D$36*(1-Personnel!$I$36),0)+IF(AND(60&gt;=Personnel!$E$37,Personnel!$G$37="Yes"),Personnel!$D$37*(1-Personnel!$I$37),0)+IF(AND(60&gt;=Personnel!$E$38,Personnel!$G$38="Yes"),Personnel!$D$38*(1-Personnel!$I$38),0)+IF(AND(60&gt;=Personnel!$E$39,Personnel!$G$39="Yes"),Personnel!$D$39*(1-Personnel!$I$39),0)+IF(AND(60&gt;=Personnel!$E$40,Personnel!$G$40="Yes"),Personnel!$D$40*(1-Personnel!$I$40),0)+IF(AND(60&gt;=Personnel!$E$41,Personnel!$G$41="Yes"),Personnel!$D$41*(1-Personnel!$I$41),0)+IF(AND(60&gt;=Personnel!$E$42,Personnel!$G$42="Yes"),Personnel!$D$42*(1-Personnel!$I$42),0))</f>
        <v>-87166.666666666672</v>
      </c>
      <c r="BK66" s="8">
        <f>-(IF(AND(61&gt;=Personnel!$E$36,Personnel!$G$36="Yes"),Personnel!$D$36*(1-Personnel!$I$36),0)+IF(AND(61&gt;=Personnel!$E$37,Personnel!$G$37="Yes"),Personnel!$D$37*(1-Personnel!$I$37),0)+IF(AND(61&gt;=Personnel!$E$38,Personnel!$G$38="Yes"),Personnel!$D$38*(1-Personnel!$I$38),0)+IF(AND(61&gt;=Personnel!$E$39,Personnel!$G$39="Yes"),Personnel!$D$39*(1-Personnel!$I$39),0)+IF(AND(61&gt;=Personnel!$E$40,Personnel!$G$40="Yes"),Personnel!$D$40*(1-Personnel!$I$40),0)+IF(AND(61&gt;=Personnel!$E$41,Personnel!$G$41="Yes"),Personnel!$D$41*(1-Personnel!$I$41),0)+IF(AND(61&gt;=Personnel!$E$42,Personnel!$G$42="Yes"),Personnel!$D$42*(1-Personnel!$I$42),0))</f>
        <v>-87166.666666666672</v>
      </c>
      <c r="BL66" s="8">
        <f>-(IF(AND(62&gt;=Personnel!$E$36,Personnel!$G$36="Yes"),Personnel!$D$36*(1-Personnel!$I$36),0)+IF(AND(62&gt;=Personnel!$E$37,Personnel!$G$37="Yes"),Personnel!$D$37*(1-Personnel!$I$37),0)+IF(AND(62&gt;=Personnel!$E$38,Personnel!$G$38="Yes"),Personnel!$D$38*(1-Personnel!$I$38),0)+IF(AND(62&gt;=Personnel!$E$39,Personnel!$G$39="Yes"),Personnel!$D$39*(1-Personnel!$I$39),0)+IF(AND(62&gt;=Personnel!$E$40,Personnel!$G$40="Yes"),Personnel!$D$40*(1-Personnel!$I$40),0)+IF(AND(62&gt;=Personnel!$E$41,Personnel!$G$41="Yes"),Personnel!$D$41*(1-Personnel!$I$41),0)+IF(AND(62&gt;=Personnel!$E$42,Personnel!$G$42="Yes"),Personnel!$D$42*(1-Personnel!$I$42),0))</f>
        <v>-87166.666666666672</v>
      </c>
      <c r="BM66" s="8">
        <f>-(IF(AND(63&gt;=Personnel!$E$36,Personnel!$G$36="Yes"),Personnel!$D$36*(1-Personnel!$I$36),0)+IF(AND(63&gt;=Personnel!$E$37,Personnel!$G$37="Yes"),Personnel!$D$37*(1-Personnel!$I$37),0)+IF(AND(63&gt;=Personnel!$E$38,Personnel!$G$38="Yes"),Personnel!$D$38*(1-Personnel!$I$38),0)+IF(AND(63&gt;=Personnel!$E$39,Personnel!$G$39="Yes"),Personnel!$D$39*(1-Personnel!$I$39),0)+IF(AND(63&gt;=Personnel!$E$40,Personnel!$G$40="Yes"),Personnel!$D$40*(1-Personnel!$I$40),0)+IF(AND(63&gt;=Personnel!$E$41,Personnel!$G$41="Yes"),Personnel!$D$41*(1-Personnel!$I$41),0)+IF(AND(63&gt;=Personnel!$E$42,Personnel!$G$42="Yes"),Personnel!$D$42*(1-Personnel!$I$42),0))</f>
        <v>-87166.666666666672</v>
      </c>
      <c r="BN66" s="8">
        <f>-(IF(AND(64&gt;=Personnel!$E$36,Personnel!$G$36="Yes"),Personnel!$D$36*(1-Personnel!$I$36),0)+IF(AND(64&gt;=Personnel!$E$37,Personnel!$G$37="Yes"),Personnel!$D$37*(1-Personnel!$I$37),0)+IF(AND(64&gt;=Personnel!$E$38,Personnel!$G$38="Yes"),Personnel!$D$38*(1-Personnel!$I$38),0)+IF(AND(64&gt;=Personnel!$E$39,Personnel!$G$39="Yes"),Personnel!$D$39*(1-Personnel!$I$39),0)+IF(AND(64&gt;=Personnel!$E$40,Personnel!$G$40="Yes"),Personnel!$D$40*(1-Personnel!$I$40),0)+IF(AND(64&gt;=Personnel!$E$41,Personnel!$G$41="Yes"),Personnel!$D$41*(1-Personnel!$I$41),0)+IF(AND(64&gt;=Personnel!$E$42,Personnel!$G$42="Yes"),Personnel!$D$42*(1-Personnel!$I$42),0))</f>
        <v>-87166.666666666672</v>
      </c>
      <c r="BO66" s="8">
        <f>-(IF(AND(65&gt;=Personnel!$E$36,Personnel!$G$36="Yes"),Personnel!$D$36*(1-Personnel!$I$36),0)+IF(AND(65&gt;=Personnel!$E$37,Personnel!$G$37="Yes"),Personnel!$D$37*(1-Personnel!$I$37),0)+IF(AND(65&gt;=Personnel!$E$38,Personnel!$G$38="Yes"),Personnel!$D$38*(1-Personnel!$I$38),0)+IF(AND(65&gt;=Personnel!$E$39,Personnel!$G$39="Yes"),Personnel!$D$39*(1-Personnel!$I$39),0)+IF(AND(65&gt;=Personnel!$E$40,Personnel!$G$40="Yes"),Personnel!$D$40*(1-Personnel!$I$40),0)+IF(AND(65&gt;=Personnel!$E$41,Personnel!$G$41="Yes"),Personnel!$D$41*(1-Personnel!$I$41),0)+IF(AND(65&gt;=Personnel!$E$42,Personnel!$G$42="Yes"),Personnel!$D$42*(1-Personnel!$I$42),0))</f>
        <v>-87166.666666666672</v>
      </c>
      <c r="BP66" s="8">
        <f>-(IF(AND(66&gt;=Personnel!$E$36,Personnel!$G$36="Yes"),Personnel!$D$36*(1-Personnel!$I$36),0)+IF(AND(66&gt;=Personnel!$E$37,Personnel!$G$37="Yes"),Personnel!$D$37*(1-Personnel!$I$37),0)+IF(AND(66&gt;=Personnel!$E$38,Personnel!$G$38="Yes"),Personnel!$D$38*(1-Personnel!$I$38),0)+IF(AND(66&gt;=Personnel!$E$39,Personnel!$G$39="Yes"),Personnel!$D$39*(1-Personnel!$I$39),0)+IF(AND(66&gt;=Personnel!$E$40,Personnel!$G$40="Yes"),Personnel!$D$40*(1-Personnel!$I$40),0)+IF(AND(66&gt;=Personnel!$E$41,Personnel!$G$41="Yes"),Personnel!$D$41*(1-Personnel!$I$41),0)+IF(AND(66&gt;=Personnel!$E$42,Personnel!$G$42="Yes"),Personnel!$D$42*(1-Personnel!$I$42),0))</f>
        <v>-87166.666666666672</v>
      </c>
      <c r="BQ66" s="8">
        <f>-(IF(AND(67&gt;=Personnel!$E$36,Personnel!$G$36="Yes"),Personnel!$D$36*(1-Personnel!$I$36),0)+IF(AND(67&gt;=Personnel!$E$37,Personnel!$G$37="Yes"),Personnel!$D$37*(1-Personnel!$I$37),0)+IF(AND(67&gt;=Personnel!$E$38,Personnel!$G$38="Yes"),Personnel!$D$38*(1-Personnel!$I$38),0)+IF(AND(67&gt;=Personnel!$E$39,Personnel!$G$39="Yes"),Personnel!$D$39*(1-Personnel!$I$39),0)+IF(AND(67&gt;=Personnel!$E$40,Personnel!$G$40="Yes"),Personnel!$D$40*(1-Personnel!$I$40),0)+IF(AND(67&gt;=Personnel!$E$41,Personnel!$G$41="Yes"),Personnel!$D$41*(1-Personnel!$I$41),0)+IF(AND(67&gt;=Personnel!$E$42,Personnel!$G$42="Yes"),Personnel!$D$42*(1-Personnel!$I$42),0))</f>
        <v>-87166.666666666672</v>
      </c>
      <c r="BR66" s="8">
        <f>-(IF(AND(68&gt;=Personnel!$E$36,Personnel!$G$36="Yes"),Personnel!$D$36*(1-Personnel!$I$36),0)+IF(AND(68&gt;=Personnel!$E$37,Personnel!$G$37="Yes"),Personnel!$D$37*(1-Personnel!$I$37),0)+IF(AND(68&gt;=Personnel!$E$38,Personnel!$G$38="Yes"),Personnel!$D$38*(1-Personnel!$I$38),0)+IF(AND(68&gt;=Personnel!$E$39,Personnel!$G$39="Yes"),Personnel!$D$39*(1-Personnel!$I$39),0)+IF(AND(68&gt;=Personnel!$E$40,Personnel!$G$40="Yes"),Personnel!$D$40*(1-Personnel!$I$40),0)+IF(AND(68&gt;=Personnel!$E$41,Personnel!$G$41="Yes"),Personnel!$D$41*(1-Personnel!$I$41),0)+IF(AND(68&gt;=Personnel!$E$42,Personnel!$G$42="Yes"),Personnel!$D$42*(1-Personnel!$I$42),0))</f>
        <v>-87166.666666666672</v>
      </c>
      <c r="BS66" s="8">
        <f>-(IF(AND(69&gt;=Personnel!$E$36,Personnel!$G$36="Yes"),Personnel!$D$36*(1-Personnel!$I$36),0)+IF(AND(69&gt;=Personnel!$E$37,Personnel!$G$37="Yes"),Personnel!$D$37*(1-Personnel!$I$37),0)+IF(AND(69&gt;=Personnel!$E$38,Personnel!$G$38="Yes"),Personnel!$D$38*(1-Personnel!$I$38),0)+IF(AND(69&gt;=Personnel!$E$39,Personnel!$G$39="Yes"),Personnel!$D$39*(1-Personnel!$I$39),0)+IF(AND(69&gt;=Personnel!$E$40,Personnel!$G$40="Yes"),Personnel!$D$40*(1-Personnel!$I$40),0)+IF(AND(69&gt;=Personnel!$E$41,Personnel!$G$41="Yes"),Personnel!$D$41*(1-Personnel!$I$41),0)+IF(AND(69&gt;=Personnel!$E$42,Personnel!$G$42="Yes"),Personnel!$D$42*(1-Personnel!$I$42),0))</f>
        <v>-87166.666666666672</v>
      </c>
      <c r="BT66" s="8">
        <f>-(IF(AND(70&gt;=Personnel!$E$36,Personnel!$G$36="Yes"),Personnel!$D$36*(1-Personnel!$I$36),0)+IF(AND(70&gt;=Personnel!$E$37,Personnel!$G$37="Yes"),Personnel!$D$37*(1-Personnel!$I$37),0)+IF(AND(70&gt;=Personnel!$E$38,Personnel!$G$38="Yes"),Personnel!$D$38*(1-Personnel!$I$38),0)+IF(AND(70&gt;=Personnel!$E$39,Personnel!$G$39="Yes"),Personnel!$D$39*(1-Personnel!$I$39),0)+IF(AND(70&gt;=Personnel!$E$40,Personnel!$G$40="Yes"),Personnel!$D$40*(1-Personnel!$I$40),0)+IF(AND(70&gt;=Personnel!$E$41,Personnel!$G$41="Yes"),Personnel!$D$41*(1-Personnel!$I$41),0)+IF(AND(70&gt;=Personnel!$E$42,Personnel!$G$42="Yes"),Personnel!$D$42*(1-Personnel!$I$42),0))</f>
        <v>-87166.666666666672</v>
      </c>
      <c r="BU66" s="8">
        <f>-(IF(AND(71&gt;=Personnel!$E$36,Personnel!$G$36="Yes"),Personnel!$D$36*(1-Personnel!$I$36),0)+IF(AND(71&gt;=Personnel!$E$37,Personnel!$G$37="Yes"),Personnel!$D$37*(1-Personnel!$I$37),0)+IF(AND(71&gt;=Personnel!$E$38,Personnel!$G$38="Yes"),Personnel!$D$38*(1-Personnel!$I$38),0)+IF(AND(71&gt;=Personnel!$E$39,Personnel!$G$39="Yes"),Personnel!$D$39*(1-Personnel!$I$39),0)+IF(AND(71&gt;=Personnel!$E$40,Personnel!$G$40="Yes"),Personnel!$D$40*(1-Personnel!$I$40),0)+IF(AND(71&gt;=Personnel!$E$41,Personnel!$G$41="Yes"),Personnel!$D$41*(1-Personnel!$I$41),0)+IF(AND(71&gt;=Personnel!$E$42,Personnel!$G$42="Yes"),Personnel!$D$42*(1-Personnel!$I$42),0))</f>
        <v>-87166.666666666672</v>
      </c>
      <c r="BV66" s="8">
        <f>-(IF(AND(72&gt;=Personnel!$E$36,Personnel!$G$36="Yes"),Personnel!$D$36*(1-Personnel!$I$36),0)+IF(AND(72&gt;=Personnel!$E$37,Personnel!$G$37="Yes"),Personnel!$D$37*(1-Personnel!$I$37),0)+IF(AND(72&gt;=Personnel!$E$38,Personnel!$G$38="Yes"),Personnel!$D$38*(1-Personnel!$I$38),0)+IF(AND(72&gt;=Personnel!$E$39,Personnel!$G$39="Yes"),Personnel!$D$39*(1-Personnel!$I$39),0)+IF(AND(72&gt;=Personnel!$E$40,Personnel!$G$40="Yes"),Personnel!$D$40*(1-Personnel!$I$40),0)+IF(AND(72&gt;=Personnel!$E$41,Personnel!$G$41="Yes"),Personnel!$D$41*(1-Personnel!$I$41),0)+IF(AND(72&gt;=Personnel!$E$42,Personnel!$G$42="Yes"),Personnel!$D$42*(1-Personnel!$I$42),0))</f>
        <v>-87166.666666666672</v>
      </c>
      <c r="BW66" s="8">
        <f>-(IF(AND(73&gt;=Personnel!$E$36,Personnel!$G$36="Yes"),Personnel!$D$36*(1-Personnel!$I$36),0)+IF(AND(73&gt;=Personnel!$E$37,Personnel!$G$37="Yes"),Personnel!$D$37*(1-Personnel!$I$37),0)+IF(AND(73&gt;=Personnel!$E$38,Personnel!$G$38="Yes"),Personnel!$D$38*(1-Personnel!$I$38),0)+IF(AND(73&gt;=Personnel!$E$39,Personnel!$G$39="Yes"),Personnel!$D$39*(1-Personnel!$I$39),0)+IF(AND(73&gt;=Personnel!$E$40,Personnel!$G$40="Yes"),Personnel!$D$40*(1-Personnel!$I$40),0)+IF(AND(73&gt;=Personnel!$E$41,Personnel!$G$41="Yes"),Personnel!$D$41*(1-Personnel!$I$41),0)+IF(AND(73&gt;=Personnel!$E$42,Personnel!$G$42="Yes"),Personnel!$D$42*(1-Personnel!$I$42),0))</f>
        <v>-87166.666666666672</v>
      </c>
      <c r="BX66" s="8">
        <f>-(IF(AND(74&gt;=Personnel!$E$36,Personnel!$G$36="Yes"),Personnel!$D$36*(1-Personnel!$I$36),0)+IF(AND(74&gt;=Personnel!$E$37,Personnel!$G$37="Yes"),Personnel!$D$37*(1-Personnel!$I$37),0)+IF(AND(74&gt;=Personnel!$E$38,Personnel!$G$38="Yes"),Personnel!$D$38*(1-Personnel!$I$38),0)+IF(AND(74&gt;=Personnel!$E$39,Personnel!$G$39="Yes"),Personnel!$D$39*(1-Personnel!$I$39),0)+IF(AND(74&gt;=Personnel!$E$40,Personnel!$G$40="Yes"),Personnel!$D$40*(1-Personnel!$I$40),0)+IF(AND(74&gt;=Personnel!$E$41,Personnel!$G$41="Yes"),Personnel!$D$41*(1-Personnel!$I$41),0)+IF(AND(74&gt;=Personnel!$E$42,Personnel!$G$42="Yes"),Personnel!$D$42*(1-Personnel!$I$42),0))</f>
        <v>-87166.666666666672</v>
      </c>
      <c r="BY66" s="8">
        <f>-(IF(AND(75&gt;=Personnel!$E$36,Personnel!$G$36="Yes"),Personnel!$D$36*(1-Personnel!$I$36),0)+IF(AND(75&gt;=Personnel!$E$37,Personnel!$G$37="Yes"),Personnel!$D$37*(1-Personnel!$I$37),0)+IF(AND(75&gt;=Personnel!$E$38,Personnel!$G$38="Yes"),Personnel!$D$38*(1-Personnel!$I$38),0)+IF(AND(75&gt;=Personnel!$E$39,Personnel!$G$39="Yes"),Personnel!$D$39*(1-Personnel!$I$39),0)+IF(AND(75&gt;=Personnel!$E$40,Personnel!$G$40="Yes"),Personnel!$D$40*(1-Personnel!$I$40),0)+IF(AND(75&gt;=Personnel!$E$41,Personnel!$G$41="Yes"),Personnel!$D$41*(1-Personnel!$I$41),0)+IF(AND(75&gt;=Personnel!$E$42,Personnel!$G$42="Yes"),Personnel!$D$42*(1-Personnel!$I$42),0))</f>
        <v>-87166.666666666672</v>
      </c>
      <c r="BZ66" s="8">
        <f>-(IF(AND(76&gt;=Personnel!$E$36,Personnel!$G$36="Yes"),Personnel!$D$36*(1-Personnel!$I$36),0)+IF(AND(76&gt;=Personnel!$E$37,Personnel!$G$37="Yes"),Personnel!$D$37*(1-Personnel!$I$37),0)+IF(AND(76&gt;=Personnel!$E$38,Personnel!$G$38="Yes"),Personnel!$D$38*(1-Personnel!$I$38),0)+IF(AND(76&gt;=Personnel!$E$39,Personnel!$G$39="Yes"),Personnel!$D$39*(1-Personnel!$I$39),0)+IF(AND(76&gt;=Personnel!$E$40,Personnel!$G$40="Yes"),Personnel!$D$40*(1-Personnel!$I$40),0)+IF(AND(76&gt;=Personnel!$E$41,Personnel!$G$41="Yes"),Personnel!$D$41*(1-Personnel!$I$41),0)+IF(AND(76&gt;=Personnel!$E$42,Personnel!$G$42="Yes"),Personnel!$D$42*(1-Personnel!$I$42),0))</f>
        <v>-87166.666666666672</v>
      </c>
      <c r="CA66" s="8">
        <f>-(IF(AND(77&gt;=Personnel!$E$36,Personnel!$G$36="Yes"),Personnel!$D$36*(1-Personnel!$I$36),0)+IF(AND(77&gt;=Personnel!$E$37,Personnel!$G$37="Yes"),Personnel!$D$37*(1-Personnel!$I$37),0)+IF(AND(77&gt;=Personnel!$E$38,Personnel!$G$38="Yes"),Personnel!$D$38*(1-Personnel!$I$38),0)+IF(AND(77&gt;=Personnel!$E$39,Personnel!$G$39="Yes"),Personnel!$D$39*(1-Personnel!$I$39),0)+IF(AND(77&gt;=Personnel!$E$40,Personnel!$G$40="Yes"),Personnel!$D$40*(1-Personnel!$I$40),0)+IF(AND(77&gt;=Personnel!$E$41,Personnel!$G$41="Yes"),Personnel!$D$41*(1-Personnel!$I$41),0)+IF(AND(77&gt;=Personnel!$E$42,Personnel!$G$42="Yes"),Personnel!$D$42*(1-Personnel!$I$42),0))</f>
        <v>-87166.666666666672</v>
      </c>
      <c r="CB66" s="8">
        <f>-(IF(AND(78&gt;=Personnel!$E$36,Personnel!$G$36="Yes"),Personnel!$D$36*(1-Personnel!$I$36),0)+IF(AND(78&gt;=Personnel!$E$37,Personnel!$G$37="Yes"),Personnel!$D$37*(1-Personnel!$I$37),0)+IF(AND(78&gt;=Personnel!$E$38,Personnel!$G$38="Yes"),Personnel!$D$38*(1-Personnel!$I$38),0)+IF(AND(78&gt;=Personnel!$E$39,Personnel!$G$39="Yes"),Personnel!$D$39*(1-Personnel!$I$39),0)+IF(AND(78&gt;=Personnel!$E$40,Personnel!$G$40="Yes"),Personnel!$D$40*(1-Personnel!$I$40),0)+IF(AND(78&gt;=Personnel!$E$41,Personnel!$G$41="Yes"),Personnel!$D$41*(1-Personnel!$I$41),0)+IF(AND(78&gt;=Personnel!$E$42,Personnel!$G$42="Yes"),Personnel!$D$42*(1-Personnel!$I$42),0))</f>
        <v>-87166.666666666672</v>
      </c>
      <c r="CC66" s="8">
        <f>-(IF(AND(79&gt;=Personnel!$E$36,Personnel!$G$36="Yes"),Personnel!$D$36*(1-Personnel!$I$36),0)+IF(AND(79&gt;=Personnel!$E$37,Personnel!$G$37="Yes"),Personnel!$D$37*(1-Personnel!$I$37),0)+IF(AND(79&gt;=Personnel!$E$38,Personnel!$G$38="Yes"),Personnel!$D$38*(1-Personnel!$I$38),0)+IF(AND(79&gt;=Personnel!$E$39,Personnel!$G$39="Yes"),Personnel!$D$39*(1-Personnel!$I$39),0)+IF(AND(79&gt;=Personnel!$E$40,Personnel!$G$40="Yes"),Personnel!$D$40*(1-Personnel!$I$40),0)+IF(AND(79&gt;=Personnel!$E$41,Personnel!$G$41="Yes"),Personnel!$D$41*(1-Personnel!$I$41),0)+IF(AND(79&gt;=Personnel!$E$42,Personnel!$G$42="Yes"),Personnel!$D$42*(1-Personnel!$I$42),0))</f>
        <v>-87166.666666666672</v>
      </c>
      <c r="CD66" s="8">
        <f>-(IF(AND(80&gt;=Personnel!$E$36,Personnel!$G$36="Yes"),Personnel!$D$36*(1-Personnel!$I$36),0)+IF(AND(80&gt;=Personnel!$E$37,Personnel!$G$37="Yes"),Personnel!$D$37*(1-Personnel!$I$37),0)+IF(AND(80&gt;=Personnel!$E$38,Personnel!$G$38="Yes"),Personnel!$D$38*(1-Personnel!$I$38),0)+IF(AND(80&gt;=Personnel!$E$39,Personnel!$G$39="Yes"),Personnel!$D$39*(1-Personnel!$I$39),0)+IF(AND(80&gt;=Personnel!$E$40,Personnel!$G$40="Yes"),Personnel!$D$40*(1-Personnel!$I$40),0)+IF(AND(80&gt;=Personnel!$E$41,Personnel!$G$41="Yes"),Personnel!$D$41*(1-Personnel!$I$41),0)+IF(AND(80&gt;=Personnel!$E$42,Personnel!$G$42="Yes"),Personnel!$D$42*(1-Personnel!$I$42),0))</f>
        <v>-87166.666666666672</v>
      </c>
      <c r="CE66" s="8">
        <f>-(IF(AND(81&gt;=Personnel!$E$36,Personnel!$G$36="Yes"),Personnel!$D$36*(1-Personnel!$I$36),0)+IF(AND(81&gt;=Personnel!$E$37,Personnel!$G$37="Yes"),Personnel!$D$37*(1-Personnel!$I$37),0)+IF(AND(81&gt;=Personnel!$E$38,Personnel!$G$38="Yes"),Personnel!$D$38*(1-Personnel!$I$38),0)+IF(AND(81&gt;=Personnel!$E$39,Personnel!$G$39="Yes"),Personnel!$D$39*(1-Personnel!$I$39),0)+IF(AND(81&gt;=Personnel!$E$40,Personnel!$G$40="Yes"),Personnel!$D$40*(1-Personnel!$I$40),0)+IF(AND(81&gt;=Personnel!$E$41,Personnel!$G$41="Yes"),Personnel!$D$41*(1-Personnel!$I$41),0)+IF(AND(81&gt;=Personnel!$E$42,Personnel!$G$42="Yes"),Personnel!$D$42*(1-Personnel!$I$42),0))</f>
        <v>-87166.666666666672</v>
      </c>
      <c r="CF66" s="8">
        <f>-(IF(AND(82&gt;=Personnel!$E$36,Personnel!$G$36="Yes"),Personnel!$D$36*(1-Personnel!$I$36),0)+IF(AND(82&gt;=Personnel!$E$37,Personnel!$G$37="Yes"),Personnel!$D$37*(1-Personnel!$I$37),0)+IF(AND(82&gt;=Personnel!$E$38,Personnel!$G$38="Yes"),Personnel!$D$38*(1-Personnel!$I$38),0)+IF(AND(82&gt;=Personnel!$E$39,Personnel!$G$39="Yes"),Personnel!$D$39*(1-Personnel!$I$39),0)+IF(AND(82&gt;=Personnel!$E$40,Personnel!$G$40="Yes"),Personnel!$D$40*(1-Personnel!$I$40),0)+IF(AND(82&gt;=Personnel!$E$41,Personnel!$G$41="Yes"),Personnel!$D$41*(1-Personnel!$I$41),0)+IF(AND(82&gt;=Personnel!$E$42,Personnel!$G$42="Yes"),Personnel!$D$42*(1-Personnel!$I$42),0))</f>
        <v>-87166.666666666672</v>
      </c>
      <c r="CG66" s="8">
        <f>-(IF(AND(83&gt;=Personnel!$E$36,Personnel!$G$36="Yes"),Personnel!$D$36*(1-Personnel!$I$36),0)+IF(AND(83&gt;=Personnel!$E$37,Personnel!$G$37="Yes"),Personnel!$D$37*(1-Personnel!$I$37),0)+IF(AND(83&gt;=Personnel!$E$38,Personnel!$G$38="Yes"),Personnel!$D$38*(1-Personnel!$I$38),0)+IF(AND(83&gt;=Personnel!$E$39,Personnel!$G$39="Yes"),Personnel!$D$39*(1-Personnel!$I$39),0)+IF(AND(83&gt;=Personnel!$E$40,Personnel!$G$40="Yes"),Personnel!$D$40*(1-Personnel!$I$40),0)+IF(AND(83&gt;=Personnel!$E$41,Personnel!$G$41="Yes"),Personnel!$D$41*(1-Personnel!$I$41),0)+IF(AND(83&gt;=Personnel!$E$42,Personnel!$G$42="Yes"),Personnel!$D$42*(1-Personnel!$I$42),0))</f>
        <v>-87166.666666666672</v>
      </c>
      <c r="CH66" s="8">
        <f>-(IF(AND(84&gt;=Personnel!$E$36,Personnel!$G$36="Yes"),Personnel!$D$36*(1-Personnel!$I$36),0)+IF(AND(84&gt;=Personnel!$E$37,Personnel!$G$37="Yes"),Personnel!$D$37*(1-Personnel!$I$37),0)+IF(AND(84&gt;=Personnel!$E$38,Personnel!$G$38="Yes"),Personnel!$D$38*(1-Personnel!$I$38),0)+IF(AND(84&gt;=Personnel!$E$39,Personnel!$G$39="Yes"),Personnel!$D$39*(1-Personnel!$I$39),0)+IF(AND(84&gt;=Personnel!$E$40,Personnel!$G$40="Yes"),Personnel!$D$40*(1-Personnel!$I$40),0)+IF(AND(84&gt;=Personnel!$E$41,Personnel!$G$41="Yes"),Personnel!$D$41*(1-Personnel!$I$41),0)+IF(AND(84&gt;=Personnel!$E$42,Personnel!$G$42="Yes"),Personnel!$D$42*(1-Personnel!$I$42),0))</f>
        <v>-87166.666666666672</v>
      </c>
      <c r="CI66" s="23"/>
    </row>
    <row r="67" spans="1:87" ht="15" customHeight="1" x14ac:dyDescent="0.25">
      <c r="A67" s="7" t="s">
        <v>107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108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109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110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111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112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113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114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115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116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117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118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119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120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121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122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123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124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125</v>
      </c>
      <c r="B85" s="28"/>
      <c r="C85" s="10">
        <f t="shared" ref="C85:AH85" si="15">C66+C67+C68+C69+C70+SUM(C71:C84)</f>
        <v>-109991.66666666667</v>
      </c>
      <c r="D85" s="10">
        <f t="shared" si="15"/>
        <v>-109991.66666666667</v>
      </c>
      <c r="E85" s="10">
        <f t="shared" si="15"/>
        <v>-109991.66666666667</v>
      </c>
      <c r="F85" s="10">
        <f t="shared" si="15"/>
        <v>-132991.66666666669</v>
      </c>
      <c r="G85" s="10">
        <f t="shared" si="15"/>
        <v>-265762.75666666665</v>
      </c>
      <c r="H85" s="10">
        <f t="shared" si="15"/>
        <v>-245443.69666666666</v>
      </c>
      <c r="I85" s="10">
        <f t="shared" si="15"/>
        <v>-109991.66666666667</v>
      </c>
      <c r="J85" s="10">
        <f t="shared" si="15"/>
        <v>-109991.66666666667</v>
      </c>
      <c r="K85" s="10">
        <f t="shared" si="15"/>
        <v>-130991.66666666667</v>
      </c>
      <c r="L85" s="10">
        <f t="shared" si="15"/>
        <v>-109991.66666666667</v>
      </c>
      <c r="M85" s="10">
        <f t="shared" si="15"/>
        <v>-109991.66666666667</v>
      </c>
      <c r="N85" s="10">
        <f t="shared" si="15"/>
        <v>-109991.66666666667</v>
      </c>
      <c r="O85" s="10">
        <f t="shared" si="15"/>
        <v>-110365.66666666667</v>
      </c>
      <c r="P85" s="10">
        <f t="shared" si="15"/>
        <v>-110365.66666666667</v>
      </c>
      <c r="Q85" s="10">
        <f t="shared" si="15"/>
        <v>-110365.66666666667</v>
      </c>
      <c r="R85" s="10">
        <f t="shared" si="15"/>
        <v>-133825.66666666669</v>
      </c>
      <c r="S85" s="10">
        <f t="shared" si="15"/>
        <v>-110365.66666666667</v>
      </c>
      <c r="T85" s="10">
        <f t="shared" si="15"/>
        <v>-110365.66666666667</v>
      </c>
      <c r="U85" s="10">
        <f t="shared" si="15"/>
        <v>-110365.66666666667</v>
      </c>
      <c r="V85" s="10">
        <f t="shared" si="15"/>
        <v>-110365.66666666667</v>
      </c>
      <c r="W85" s="10">
        <f t="shared" si="15"/>
        <v>-131785.66666666669</v>
      </c>
      <c r="X85" s="10">
        <f t="shared" si="15"/>
        <v>-110365.66666666667</v>
      </c>
      <c r="Y85" s="10">
        <f t="shared" si="15"/>
        <v>-110365.66666666667</v>
      </c>
      <c r="Z85" s="10">
        <f t="shared" si="15"/>
        <v>-110365.66666666667</v>
      </c>
      <c r="AA85" s="10">
        <f t="shared" si="15"/>
        <v>-110747.14666666667</v>
      </c>
      <c r="AB85" s="10">
        <f t="shared" si="15"/>
        <v>-110747.14666666667</v>
      </c>
      <c r="AC85" s="10">
        <f t="shared" si="15"/>
        <v>-110747.14666666667</v>
      </c>
      <c r="AD85" s="10">
        <f t="shared" si="15"/>
        <v>-134676.34666666668</v>
      </c>
      <c r="AE85" s="10">
        <f t="shared" si="15"/>
        <v>-110747.14666666667</v>
      </c>
      <c r="AF85" s="10">
        <f t="shared" si="15"/>
        <v>-110747.14666666667</v>
      </c>
      <c r="AG85" s="10">
        <f t="shared" si="15"/>
        <v>-110747.14666666667</v>
      </c>
      <c r="AH85" s="10">
        <f t="shared" si="15"/>
        <v>-110747.14666666667</v>
      </c>
      <c r="AI85" s="10">
        <f t="shared" ref="AI85:BN85" si="16">AI66+AI67+AI68+AI69+AI70+SUM(AI71:AI84)</f>
        <v>-132595.54666666669</v>
      </c>
      <c r="AJ85" s="10">
        <f t="shared" si="16"/>
        <v>-110747.14666666667</v>
      </c>
      <c r="AK85" s="10">
        <f t="shared" si="16"/>
        <v>-110747.14666666667</v>
      </c>
      <c r="AL85" s="10">
        <f t="shared" si="16"/>
        <v>-110747.14666666667</v>
      </c>
      <c r="AM85" s="10">
        <f t="shared" si="16"/>
        <v>-111136.25626666668</v>
      </c>
      <c r="AN85" s="10">
        <f t="shared" si="16"/>
        <v>-111136.25626666668</v>
      </c>
      <c r="AO85" s="10">
        <f t="shared" si="16"/>
        <v>-111136.25626666668</v>
      </c>
      <c r="AP85" s="10">
        <f t="shared" si="16"/>
        <v>-135544.04026666668</v>
      </c>
      <c r="AQ85" s="10">
        <f t="shared" si="16"/>
        <v>-111136.25626666668</v>
      </c>
      <c r="AR85" s="10">
        <f t="shared" si="16"/>
        <v>-192819.25626666669</v>
      </c>
      <c r="AS85" s="10">
        <f t="shared" si="16"/>
        <v>-111136.25626666668</v>
      </c>
      <c r="AT85" s="10">
        <f t="shared" si="16"/>
        <v>-111136.25626666668</v>
      </c>
      <c r="AU85" s="10">
        <f t="shared" si="16"/>
        <v>-215103.62426666665</v>
      </c>
      <c r="AV85" s="10">
        <f t="shared" si="16"/>
        <v>-111136.25626666668</v>
      </c>
      <c r="AW85" s="10">
        <f t="shared" si="16"/>
        <v>-111136.25626666668</v>
      </c>
      <c r="AX85" s="10">
        <f t="shared" si="16"/>
        <v>-192818.25626666669</v>
      </c>
      <c r="AY85" s="10">
        <f t="shared" si="16"/>
        <v>-111533.14805866667</v>
      </c>
      <c r="AZ85" s="10">
        <f t="shared" si="16"/>
        <v>-111533.14805866667</v>
      </c>
      <c r="BA85" s="10">
        <f t="shared" si="16"/>
        <v>-1045054.1480586666</v>
      </c>
      <c r="BB85" s="10">
        <f t="shared" si="16"/>
        <v>-136429.08773866668</v>
      </c>
      <c r="BC85" s="10">
        <f t="shared" si="16"/>
        <v>-111533.14805866667</v>
      </c>
      <c r="BD85" s="10">
        <f t="shared" si="16"/>
        <v>-242411.14805866667</v>
      </c>
      <c r="BE85" s="10">
        <f t="shared" si="16"/>
        <v>-111533.14805866667</v>
      </c>
      <c r="BF85" s="10">
        <f t="shared" si="16"/>
        <v>-111533.14805866667</v>
      </c>
      <c r="BG85" s="10">
        <f t="shared" si="16"/>
        <v>-265140.22341866669</v>
      </c>
      <c r="BH85" s="10">
        <f t="shared" si="16"/>
        <v>-111533.14805866667</v>
      </c>
      <c r="BI85" s="10">
        <f t="shared" si="16"/>
        <v>-111533.14805866667</v>
      </c>
      <c r="BJ85" s="10">
        <f t="shared" si="16"/>
        <v>-242409.14805866667</v>
      </c>
      <c r="BK85" s="10">
        <f t="shared" si="16"/>
        <v>-111937.97768650667</v>
      </c>
      <c r="BL85" s="10">
        <f t="shared" si="16"/>
        <v>-111937.97768650667</v>
      </c>
      <c r="BM85" s="10">
        <f t="shared" si="16"/>
        <v>-242813.9776865067</v>
      </c>
      <c r="BN85" s="10">
        <f t="shared" si="16"/>
        <v>-137331.83616010667</v>
      </c>
      <c r="BO85" s="10">
        <f t="shared" ref="BO85:CT85" si="17">BO66+BO67+BO68+BO69+BO70+SUM(BO71:BO84)</f>
        <v>-111937.97768650667</v>
      </c>
      <c r="BP85" s="10">
        <f t="shared" si="17"/>
        <v>-202830.45768650665</v>
      </c>
      <c r="BQ85" s="10">
        <f t="shared" si="17"/>
        <v>-111937.97768650667</v>
      </c>
      <c r="BR85" s="10">
        <f t="shared" si="17"/>
        <v>-111937.97768650667</v>
      </c>
      <c r="BS85" s="10">
        <f t="shared" si="17"/>
        <v>-209763.67455370666</v>
      </c>
      <c r="BT85" s="10">
        <f t="shared" si="17"/>
        <v>-111937.97768650667</v>
      </c>
      <c r="BU85" s="10">
        <f t="shared" si="17"/>
        <v>-111937.97768650667</v>
      </c>
      <c r="BV85" s="10">
        <f t="shared" si="17"/>
        <v>-186577.97768650667</v>
      </c>
      <c r="BW85" s="10">
        <f t="shared" si="17"/>
        <v>-112350.90390690346</v>
      </c>
      <c r="BX85" s="10">
        <f t="shared" si="17"/>
        <v>-112350.90390690346</v>
      </c>
      <c r="BY85" s="10">
        <f t="shared" si="17"/>
        <v>-260146.90390690346</v>
      </c>
      <c r="BZ85" s="10">
        <f t="shared" si="17"/>
        <v>-138252.63954997546</v>
      </c>
      <c r="CA85" s="10">
        <f t="shared" si="17"/>
        <v>-112350.90390690346</v>
      </c>
      <c r="CB85" s="10">
        <f t="shared" si="17"/>
        <v>-266868.90390690346</v>
      </c>
      <c r="CC85" s="10">
        <f t="shared" si="17"/>
        <v>-112350.90390690346</v>
      </c>
      <c r="CD85" s="10">
        <f t="shared" si="17"/>
        <v>-112350.90390690346</v>
      </c>
      <c r="CE85" s="10">
        <f t="shared" si="17"/>
        <v>-290517.31471144746</v>
      </c>
      <c r="CF85" s="10">
        <f t="shared" si="17"/>
        <v>-112350.90390690346</v>
      </c>
      <c r="CG85" s="10">
        <f t="shared" si="17"/>
        <v>-112350.90390690346</v>
      </c>
      <c r="CH85" s="10">
        <f t="shared" si="17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25</v>
      </c>
      <c r="B87" s="29"/>
      <c r="C87" s="14">
        <f t="shared" ref="C87:AH87" si="18">C64+C85</f>
        <v>-66377.08666666667</v>
      </c>
      <c r="D87" s="14">
        <f t="shared" si="18"/>
        <v>-66377.08666666667</v>
      </c>
      <c r="E87" s="14">
        <f t="shared" si="18"/>
        <v>-66377.08666666667</v>
      </c>
      <c r="F87" s="14">
        <f t="shared" si="18"/>
        <v>-89377.086666666684</v>
      </c>
      <c r="G87" s="14">
        <f t="shared" si="18"/>
        <v>44463.403333333379</v>
      </c>
      <c r="H87" s="14">
        <f t="shared" si="18"/>
        <v>2766.7633333333652</v>
      </c>
      <c r="I87" s="14">
        <f t="shared" si="18"/>
        <v>-43526.206666666665</v>
      </c>
      <c r="J87" s="14">
        <f t="shared" si="18"/>
        <v>-52901.206666666665</v>
      </c>
      <c r="K87" s="14">
        <f t="shared" si="18"/>
        <v>-73901.206666666665</v>
      </c>
      <c r="L87" s="14">
        <f t="shared" si="18"/>
        <v>-52901.206666666665</v>
      </c>
      <c r="M87" s="14">
        <f t="shared" si="18"/>
        <v>-52901.206666666665</v>
      </c>
      <c r="N87" s="14">
        <f t="shared" si="18"/>
        <v>-52901.206666666665</v>
      </c>
      <c r="O87" s="14">
        <f t="shared" si="18"/>
        <v>-53275.206666666665</v>
      </c>
      <c r="P87" s="14">
        <f t="shared" si="18"/>
        <v>-53275.206666666665</v>
      </c>
      <c r="Q87" s="14">
        <f t="shared" si="18"/>
        <v>-53275.206666666665</v>
      </c>
      <c r="R87" s="14">
        <f t="shared" si="18"/>
        <v>-100641.45666666668</v>
      </c>
      <c r="S87" s="14">
        <f t="shared" si="18"/>
        <v>-77181.456666666665</v>
      </c>
      <c r="T87" s="14">
        <f t="shared" si="18"/>
        <v>-77181.456666666665</v>
      </c>
      <c r="U87" s="14">
        <f t="shared" si="18"/>
        <v>-77181.456666666665</v>
      </c>
      <c r="V87" s="14">
        <f t="shared" si="18"/>
        <v>-77181.456666666665</v>
      </c>
      <c r="W87" s="14">
        <f t="shared" si="18"/>
        <v>-41226.456666666709</v>
      </c>
      <c r="X87" s="14">
        <f t="shared" si="18"/>
        <v>-77181.456666666665</v>
      </c>
      <c r="Y87" s="14">
        <f t="shared" si="18"/>
        <v>-77181.456666666665</v>
      </c>
      <c r="Z87" s="14">
        <f t="shared" si="18"/>
        <v>-32438.036666666681</v>
      </c>
      <c r="AA87" s="14">
        <f t="shared" si="18"/>
        <v>-101247.14666666667</v>
      </c>
      <c r="AB87" s="14">
        <f t="shared" si="18"/>
        <v>-101247.14666666667</v>
      </c>
      <c r="AC87" s="14">
        <f t="shared" si="18"/>
        <v>-43872.146666666667</v>
      </c>
      <c r="AD87" s="14">
        <f t="shared" si="18"/>
        <v>-125176.34666666668</v>
      </c>
      <c r="AE87" s="14">
        <f t="shared" si="18"/>
        <v>-101247.14666666667</v>
      </c>
      <c r="AF87" s="14">
        <f t="shared" si="18"/>
        <v>-101247.14666666667</v>
      </c>
      <c r="AG87" s="14">
        <f t="shared" si="18"/>
        <v>-110747.14666666667</v>
      </c>
      <c r="AH87" s="14">
        <f t="shared" si="18"/>
        <v>-110747.14666666667</v>
      </c>
      <c r="AI87" s="14">
        <f t="shared" ref="AI87:BN87" si="19">AI64+AI85</f>
        <v>-132595.54666666669</v>
      </c>
      <c r="AJ87" s="14">
        <f t="shared" si="19"/>
        <v>-110747.14666666667</v>
      </c>
      <c r="AK87" s="14">
        <f t="shared" si="19"/>
        <v>-110747.14666666667</v>
      </c>
      <c r="AL87" s="14">
        <f t="shared" si="19"/>
        <v>-110747.14666666667</v>
      </c>
      <c r="AM87" s="14">
        <f t="shared" si="19"/>
        <v>-111136.25626666668</v>
      </c>
      <c r="AN87" s="14">
        <f t="shared" si="19"/>
        <v>-111136.25626666668</v>
      </c>
      <c r="AO87" s="14">
        <f t="shared" si="19"/>
        <v>-111136.25626666668</v>
      </c>
      <c r="AP87" s="14">
        <f t="shared" si="19"/>
        <v>-135544.04026666668</v>
      </c>
      <c r="AQ87" s="14">
        <f t="shared" si="19"/>
        <v>-111136.25626666668</v>
      </c>
      <c r="AR87" s="14">
        <f t="shared" si="19"/>
        <v>-111136.25626666669</v>
      </c>
      <c r="AS87" s="14">
        <f t="shared" si="19"/>
        <v>-111136.25626666668</v>
      </c>
      <c r="AT87" s="14">
        <f t="shared" si="19"/>
        <v>-111136.25626666668</v>
      </c>
      <c r="AU87" s="14">
        <f t="shared" si="19"/>
        <v>-133421.62426666665</v>
      </c>
      <c r="AV87" s="14">
        <f t="shared" si="19"/>
        <v>-111136.25626666668</v>
      </c>
      <c r="AW87" s="14">
        <f t="shared" si="19"/>
        <v>-111136.25626666668</v>
      </c>
      <c r="AX87" s="14">
        <f t="shared" si="19"/>
        <v>-111136.25626666669</v>
      </c>
      <c r="AY87" s="14">
        <f t="shared" si="19"/>
        <v>-111533.14805866667</v>
      </c>
      <c r="AZ87" s="14">
        <f t="shared" si="19"/>
        <v>-111533.14805866667</v>
      </c>
      <c r="BA87" s="14">
        <f t="shared" si="19"/>
        <v>-111533.14805866661</v>
      </c>
      <c r="BB87" s="14">
        <f t="shared" si="19"/>
        <v>-136429.08773866668</v>
      </c>
      <c r="BC87" s="14">
        <f t="shared" si="19"/>
        <v>-111533.14805866667</v>
      </c>
      <c r="BD87" s="14">
        <f t="shared" si="19"/>
        <v>-111533.14805866667</v>
      </c>
      <c r="BE87" s="14">
        <f t="shared" si="19"/>
        <v>-111533.14805866667</v>
      </c>
      <c r="BF87" s="14">
        <f t="shared" si="19"/>
        <v>-111533.14805866667</v>
      </c>
      <c r="BG87" s="14">
        <f t="shared" si="19"/>
        <v>-134264.22341866669</v>
      </c>
      <c r="BH87" s="14">
        <f t="shared" si="19"/>
        <v>-111533.14805866667</v>
      </c>
      <c r="BI87" s="14">
        <f t="shared" si="19"/>
        <v>-111533.14805866667</v>
      </c>
      <c r="BJ87" s="14">
        <f t="shared" si="19"/>
        <v>-111533.14805866667</v>
      </c>
      <c r="BK87" s="14">
        <f t="shared" si="19"/>
        <v>-111937.97768650667</v>
      </c>
      <c r="BL87" s="14">
        <f t="shared" si="19"/>
        <v>-111937.97768650667</v>
      </c>
      <c r="BM87" s="14">
        <f t="shared" si="19"/>
        <v>-111937.9776865067</v>
      </c>
      <c r="BN87" s="14">
        <f t="shared" si="19"/>
        <v>-137331.83616010667</v>
      </c>
      <c r="BO87" s="14">
        <f t="shared" ref="BO87:CH87" si="20">BO64+BO85</f>
        <v>-111937.97768650667</v>
      </c>
      <c r="BP87" s="14">
        <f t="shared" si="20"/>
        <v>-60424.457686506648</v>
      </c>
      <c r="BQ87" s="14">
        <f t="shared" si="20"/>
        <v>-111937.97768650667</v>
      </c>
      <c r="BR87" s="14">
        <f t="shared" si="20"/>
        <v>-111937.97768650667</v>
      </c>
      <c r="BS87" s="14">
        <f t="shared" si="20"/>
        <v>-67361.67455370666</v>
      </c>
      <c r="BT87" s="14">
        <f t="shared" si="20"/>
        <v>-111937.97768650667</v>
      </c>
      <c r="BU87" s="14">
        <f t="shared" si="20"/>
        <v>-111937.97768650667</v>
      </c>
      <c r="BV87" s="14">
        <f t="shared" si="20"/>
        <v>-44175.977686506667</v>
      </c>
      <c r="BW87" s="14">
        <f t="shared" si="20"/>
        <v>-112350.90390690346</v>
      </c>
      <c r="BX87" s="14">
        <f t="shared" si="20"/>
        <v>-112350.90390690346</v>
      </c>
      <c r="BY87" s="14">
        <f t="shared" si="20"/>
        <v>-44588.903906903462</v>
      </c>
      <c r="BZ87" s="14">
        <f t="shared" si="20"/>
        <v>-138252.63954997546</v>
      </c>
      <c r="CA87" s="14">
        <f t="shared" si="20"/>
        <v>-112350.90390690346</v>
      </c>
      <c r="CB87" s="14">
        <f t="shared" si="20"/>
        <v>-35851.903906903462</v>
      </c>
      <c r="CC87" s="14">
        <f t="shared" si="20"/>
        <v>-112350.90390690346</v>
      </c>
      <c r="CD87" s="14">
        <f t="shared" si="20"/>
        <v>-112350.90390690346</v>
      </c>
      <c r="CE87" s="14">
        <f t="shared" si="20"/>
        <v>-59501.314711447456</v>
      </c>
      <c r="CF87" s="14">
        <f t="shared" si="20"/>
        <v>-112350.90390690346</v>
      </c>
      <c r="CG87" s="14">
        <f t="shared" si="20"/>
        <v>-112350.90390690346</v>
      </c>
      <c r="CH87" s="14">
        <f t="shared" si="20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126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10</v>
      </c>
      <c r="B90" s="22"/>
      <c r="C90" s="8">
        <f t="shared" ref="C90:AH90" si="21">C12</f>
        <v>418599.72384991788</v>
      </c>
      <c r="D90" s="8">
        <f t="shared" si="21"/>
        <v>427527.22627411911</v>
      </c>
      <c r="E90" s="8">
        <f t="shared" si="21"/>
        <v>433830.17001248139</v>
      </c>
      <c r="F90" s="8">
        <f t="shared" si="21"/>
        <v>1210658.2550369636</v>
      </c>
      <c r="G90" s="8">
        <f t="shared" si="21"/>
        <v>616354.86777253426</v>
      </c>
      <c r="H90" s="8">
        <f t="shared" si="21"/>
        <v>657161.85290472908</v>
      </c>
      <c r="I90" s="8">
        <f t="shared" si="21"/>
        <v>1210771.1928827134</v>
      </c>
      <c r="J90" s="8">
        <f t="shared" si="21"/>
        <v>1206765.3425973591</v>
      </c>
      <c r="K90" s="8">
        <f t="shared" si="21"/>
        <v>822137.38417933451</v>
      </c>
      <c r="L90" s="8">
        <f t="shared" si="21"/>
        <v>835980.84965566162</v>
      </c>
      <c r="M90" s="8">
        <f t="shared" si="21"/>
        <v>846641.28157062258</v>
      </c>
      <c r="N90" s="8">
        <f t="shared" si="21"/>
        <v>853688.98197224212</v>
      </c>
      <c r="O90" s="8">
        <f t="shared" si="21"/>
        <v>1662509.9121702476</v>
      </c>
      <c r="P90" s="8">
        <f t="shared" si="21"/>
        <v>987200.06899263361</v>
      </c>
      <c r="Q90" s="8">
        <f t="shared" si="21"/>
        <v>1136340.2703695372</v>
      </c>
      <c r="R90" s="8">
        <f t="shared" si="21"/>
        <v>945595.48776668694</v>
      </c>
      <c r="S90" s="8">
        <f t="shared" si="21"/>
        <v>755370.60877925751</v>
      </c>
      <c r="T90" s="8">
        <f t="shared" si="21"/>
        <v>751478.90971457004</v>
      </c>
      <c r="U90" s="8">
        <f t="shared" si="21"/>
        <v>763373.67691575759</v>
      </c>
      <c r="V90" s="8">
        <f t="shared" si="21"/>
        <v>712837.85726906429</v>
      </c>
      <c r="W90" s="8">
        <f t="shared" si="21"/>
        <v>696368.72746459511</v>
      </c>
      <c r="X90" s="8">
        <f t="shared" si="21"/>
        <v>677231.16052615608</v>
      </c>
      <c r="Y90" s="8">
        <f t="shared" si="21"/>
        <v>710868.87708642706</v>
      </c>
      <c r="Z90" s="8">
        <f t="shared" si="21"/>
        <v>637486.02980516828</v>
      </c>
      <c r="AA90" s="8">
        <f t="shared" si="21"/>
        <v>620997.91027095879</v>
      </c>
      <c r="AB90" s="8">
        <f t="shared" si="21"/>
        <v>468952.79641900427</v>
      </c>
      <c r="AC90" s="8">
        <f t="shared" si="21"/>
        <v>1170867.699065028</v>
      </c>
      <c r="AD90" s="8">
        <f t="shared" si="21"/>
        <v>512736.63527957594</v>
      </c>
      <c r="AE90" s="8">
        <f t="shared" si="21"/>
        <v>514849.68659191282</v>
      </c>
      <c r="AF90" s="8">
        <f t="shared" si="21"/>
        <v>516146.64992283325</v>
      </c>
      <c r="AG90" s="8">
        <f t="shared" si="21"/>
        <v>637463.15555273497</v>
      </c>
      <c r="AH90" s="8">
        <f t="shared" si="21"/>
        <v>461732.57702133141</v>
      </c>
      <c r="AI90" s="8">
        <f t="shared" ref="AI90:BN90" si="22">AI12</f>
        <v>704880.37640685413</v>
      </c>
      <c r="AJ90" s="8">
        <f t="shared" si="22"/>
        <v>370702.71926589956</v>
      </c>
      <c r="AK90" s="8">
        <f t="shared" si="22"/>
        <v>368363.85215627216</v>
      </c>
      <c r="AL90" s="8">
        <f t="shared" si="22"/>
        <v>455434.27543950675</v>
      </c>
      <c r="AM90" s="8">
        <f t="shared" si="22"/>
        <v>319121.76019765635</v>
      </c>
      <c r="AN90" s="8">
        <f t="shared" si="22"/>
        <v>316527.78370689659</v>
      </c>
      <c r="AO90" s="8">
        <f t="shared" si="22"/>
        <v>313265.02349216613</v>
      </c>
      <c r="AP90" s="8">
        <f t="shared" si="22"/>
        <v>309361.66277874075</v>
      </c>
      <c r="AQ90" s="8">
        <f t="shared" si="22"/>
        <v>304855.7357313041</v>
      </c>
      <c r="AR90" s="8">
        <f t="shared" si="22"/>
        <v>556991.31394873105</v>
      </c>
      <c r="AS90" s="8">
        <f t="shared" si="22"/>
        <v>172117.65390230948</v>
      </c>
      <c r="AT90" s="8">
        <f t="shared" si="22"/>
        <v>170395.66313802381</v>
      </c>
      <c r="AU90" s="8">
        <f t="shared" si="22"/>
        <v>167873.90332988091</v>
      </c>
      <c r="AV90" s="8">
        <f t="shared" si="22"/>
        <v>164628.9074007381</v>
      </c>
      <c r="AW90" s="8">
        <f t="shared" si="22"/>
        <v>160750.60153495235</v>
      </c>
      <c r="AX90" s="8">
        <f t="shared" si="22"/>
        <v>156344.21850145236</v>
      </c>
      <c r="AY90" s="8">
        <f t="shared" si="22"/>
        <v>151528.38433066662</v>
      </c>
      <c r="AZ90" s="8">
        <f t="shared" si="22"/>
        <v>146419.81172995237</v>
      </c>
      <c r="BA90" s="8">
        <f t="shared" si="22"/>
        <v>141140.95337588096</v>
      </c>
      <c r="BB90" s="8">
        <f t="shared" si="22"/>
        <v>135806.6086527381</v>
      </c>
      <c r="BC90" s="8">
        <f t="shared" si="22"/>
        <v>130522.01032945237</v>
      </c>
      <c r="BD90" s="8">
        <f t="shared" si="22"/>
        <v>125382.82455959523</v>
      </c>
      <c r="BE90" s="8">
        <f t="shared" si="22"/>
        <v>120467.49758909523</v>
      </c>
      <c r="BF90" s="8">
        <f t="shared" si="22"/>
        <v>350812.49572545238</v>
      </c>
      <c r="BG90" s="8">
        <f t="shared" si="22"/>
        <v>0</v>
      </c>
      <c r="BH90" s="8">
        <f t="shared" si="22"/>
        <v>0</v>
      </c>
      <c r="BI90" s="8">
        <f t="shared" si="22"/>
        <v>0</v>
      </c>
      <c r="BJ90" s="8">
        <f t="shared" si="22"/>
        <v>0</v>
      </c>
      <c r="BK90" s="8">
        <f t="shared" si="22"/>
        <v>0</v>
      </c>
      <c r="BL90" s="8">
        <f t="shared" si="22"/>
        <v>0</v>
      </c>
      <c r="BM90" s="8">
        <f t="shared" si="22"/>
        <v>0</v>
      </c>
      <c r="BN90" s="8">
        <f t="shared" si="22"/>
        <v>0</v>
      </c>
      <c r="BO90" s="8">
        <f t="shared" ref="BO90:CH90" si="23">BO12</f>
        <v>0</v>
      </c>
      <c r="BP90" s="8">
        <f t="shared" si="23"/>
        <v>0</v>
      </c>
      <c r="BQ90" s="8">
        <f t="shared" si="23"/>
        <v>0</v>
      </c>
      <c r="BR90" s="8">
        <f t="shared" si="23"/>
        <v>0</v>
      </c>
      <c r="BS90" s="8">
        <f t="shared" si="23"/>
        <v>0</v>
      </c>
      <c r="BT90" s="8">
        <f t="shared" si="23"/>
        <v>0</v>
      </c>
      <c r="BU90" s="8">
        <f t="shared" si="23"/>
        <v>0</v>
      </c>
      <c r="BV90" s="8">
        <f t="shared" si="23"/>
        <v>0</v>
      </c>
      <c r="BW90" s="8">
        <f t="shared" si="23"/>
        <v>0</v>
      </c>
      <c r="BX90" s="8">
        <f t="shared" si="23"/>
        <v>0</v>
      </c>
      <c r="BY90" s="8">
        <f t="shared" si="23"/>
        <v>0</v>
      </c>
      <c r="BZ90" s="8">
        <f t="shared" si="23"/>
        <v>0</v>
      </c>
      <c r="CA90" s="8">
        <f t="shared" si="23"/>
        <v>0</v>
      </c>
      <c r="CB90" s="8">
        <f t="shared" si="23"/>
        <v>0</v>
      </c>
      <c r="CC90" s="8">
        <f t="shared" si="23"/>
        <v>0</v>
      </c>
      <c r="CD90" s="8">
        <f t="shared" si="23"/>
        <v>0</v>
      </c>
      <c r="CE90" s="8">
        <f t="shared" si="23"/>
        <v>0</v>
      </c>
      <c r="CF90" s="8">
        <f t="shared" si="23"/>
        <v>0</v>
      </c>
      <c r="CG90" s="8">
        <f t="shared" si="23"/>
        <v>0</v>
      </c>
      <c r="CH90" s="8">
        <f t="shared" si="23"/>
        <v>0</v>
      </c>
      <c r="CI90" s="23"/>
    </row>
    <row r="91" spans="1:87" ht="15" customHeight="1" x14ac:dyDescent="0.25">
      <c r="A91" s="16" t="s">
        <v>23</v>
      </c>
      <c r="B91" s="22"/>
      <c r="C91" s="8">
        <f t="shared" ref="C91:AH91" si="24">C64</f>
        <v>43614.58</v>
      </c>
      <c r="D91" s="8">
        <f t="shared" si="24"/>
        <v>43614.58</v>
      </c>
      <c r="E91" s="8">
        <f t="shared" si="24"/>
        <v>43614.58</v>
      </c>
      <c r="F91" s="8">
        <f t="shared" si="24"/>
        <v>43614.58</v>
      </c>
      <c r="G91" s="8">
        <f t="shared" si="24"/>
        <v>310226.16000000003</v>
      </c>
      <c r="H91" s="8">
        <f t="shared" si="24"/>
        <v>248210.46000000002</v>
      </c>
      <c r="I91" s="8">
        <f t="shared" si="24"/>
        <v>66465.460000000006</v>
      </c>
      <c r="J91" s="8">
        <f t="shared" si="24"/>
        <v>57090.460000000006</v>
      </c>
      <c r="K91" s="8">
        <f t="shared" si="24"/>
        <v>57090.460000000006</v>
      </c>
      <c r="L91" s="8">
        <f t="shared" si="24"/>
        <v>57090.460000000006</v>
      </c>
      <c r="M91" s="8">
        <f t="shared" si="24"/>
        <v>57090.460000000006</v>
      </c>
      <c r="N91" s="8">
        <f t="shared" si="24"/>
        <v>57090.460000000006</v>
      </c>
      <c r="O91" s="8">
        <f t="shared" si="24"/>
        <v>57090.460000000006</v>
      </c>
      <c r="P91" s="8">
        <f t="shared" si="24"/>
        <v>57090.460000000006</v>
      </c>
      <c r="Q91" s="8">
        <f t="shared" si="24"/>
        <v>57090.460000000006</v>
      </c>
      <c r="R91" s="8">
        <f t="shared" si="24"/>
        <v>33184.210000000006</v>
      </c>
      <c r="S91" s="8">
        <f t="shared" si="24"/>
        <v>33184.210000000006</v>
      </c>
      <c r="T91" s="8">
        <f t="shared" si="24"/>
        <v>33184.210000000006</v>
      </c>
      <c r="U91" s="8">
        <f t="shared" si="24"/>
        <v>33184.210000000006</v>
      </c>
      <c r="V91" s="8">
        <f t="shared" si="24"/>
        <v>33184.210000000006</v>
      </c>
      <c r="W91" s="8">
        <f t="shared" si="24"/>
        <v>90559.209999999977</v>
      </c>
      <c r="X91" s="8">
        <f t="shared" si="24"/>
        <v>33184.210000000006</v>
      </c>
      <c r="Y91" s="8">
        <f t="shared" si="24"/>
        <v>33184.210000000006</v>
      </c>
      <c r="Z91" s="8">
        <f t="shared" si="24"/>
        <v>77927.62999999999</v>
      </c>
      <c r="AA91" s="8">
        <f t="shared" si="24"/>
        <v>9500</v>
      </c>
      <c r="AB91" s="8">
        <f t="shared" si="24"/>
        <v>9500</v>
      </c>
      <c r="AC91" s="8">
        <f t="shared" si="24"/>
        <v>66875</v>
      </c>
      <c r="AD91" s="8">
        <f t="shared" si="24"/>
        <v>9500</v>
      </c>
      <c r="AE91" s="8">
        <f t="shared" si="24"/>
        <v>9500</v>
      </c>
      <c r="AF91" s="8">
        <f t="shared" si="24"/>
        <v>9500</v>
      </c>
      <c r="AG91" s="8">
        <f t="shared" si="24"/>
        <v>0</v>
      </c>
      <c r="AH91" s="8">
        <f t="shared" si="24"/>
        <v>0</v>
      </c>
      <c r="AI91" s="8">
        <f t="shared" ref="AI91:BN91" si="25">AI64</f>
        <v>0</v>
      </c>
      <c r="AJ91" s="8">
        <f t="shared" si="25"/>
        <v>0</v>
      </c>
      <c r="AK91" s="8">
        <f t="shared" si="25"/>
        <v>0</v>
      </c>
      <c r="AL91" s="8">
        <f t="shared" si="25"/>
        <v>0</v>
      </c>
      <c r="AM91" s="8">
        <f t="shared" si="25"/>
        <v>0</v>
      </c>
      <c r="AN91" s="8">
        <f t="shared" si="25"/>
        <v>0</v>
      </c>
      <c r="AO91" s="8">
        <f t="shared" si="25"/>
        <v>0</v>
      </c>
      <c r="AP91" s="8">
        <f t="shared" si="25"/>
        <v>0</v>
      </c>
      <c r="AQ91" s="8">
        <f t="shared" si="25"/>
        <v>0</v>
      </c>
      <c r="AR91" s="8">
        <f t="shared" si="25"/>
        <v>81683</v>
      </c>
      <c r="AS91" s="8">
        <f t="shared" si="25"/>
        <v>0</v>
      </c>
      <c r="AT91" s="8">
        <f t="shared" si="25"/>
        <v>0</v>
      </c>
      <c r="AU91" s="8">
        <f t="shared" si="25"/>
        <v>81682</v>
      </c>
      <c r="AV91" s="8">
        <f t="shared" si="25"/>
        <v>0</v>
      </c>
      <c r="AW91" s="8">
        <f t="shared" si="25"/>
        <v>0</v>
      </c>
      <c r="AX91" s="8">
        <f t="shared" si="25"/>
        <v>81682</v>
      </c>
      <c r="AY91" s="8">
        <f t="shared" si="25"/>
        <v>0</v>
      </c>
      <c r="AZ91" s="8">
        <f t="shared" si="25"/>
        <v>0</v>
      </c>
      <c r="BA91" s="8">
        <f t="shared" si="25"/>
        <v>933521</v>
      </c>
      <c r="BB91" s="8">
        <f t="shared" si="25"/>
        <v>0</v>
      </c>
      <c r="BC91" s="8">
        <f t="shared" si="25"/>
        <v>0</v>
      </c>
      <c r="BD91" s="8">
        <f t="shared" si="25"/>
        <v>130878</v>
      </c>
      <c r="BE91" s="8">
        <f t="shared" si="25"/>
        <v>0</v>
      </c>
      <c r="BF91" s="8">
        <f t="shared" si="25"/>
        <v>0</v>
      </c>
      <c r="BG91" s="8">
        <f t="shared" si="25"/>
        <v>130876</v>
      </c>
      <c r="BH91" s="8">
        <f t="shared" si="25"/>
        <v>0</v>
      </c>
      <c r="BI91" s="8">
        <f t="shared" si="25"/>
        <v>0</v>
      </c>
      <c r="BJ91" s="8">
        <f t="shared" si="25"/>
        <v>130876</v>
      </c>
      <c r="BK91" s="8">
        <f t="shared" si="25"/>
        <v>0</v>
      </c>
      <c r="BL91" s="8">
        <f t="shared" si="25"/>
        <v>0</v>
      </c>
      <c r="BM91" s="8">
        <f t="shared" si="25"/>
        <v>130876</v>
      </c>
      <c r="BN91" s="8">
        <f t="shared" si="25"/>
        <v>0</v>
      </c>
      <c r="BO91" s="8">
        <f t="shared" ref="BO91:CH91" si="26">BO64</f>
        <v>0</v>
      </c>
      <c r="BP91" s="8">
        <f t="shared" si="26"/>
        <v>142406</v>
      </c>
      <c r="BQ91" s="8">
        <f t="shared" si="26"/>
        <v>0</v>
      </c>
      <c r="BR91" s="8">
        <f t="shared" si="26"/>
        <v>0</v>
      </c>
      <c r="BS91" s="8">
        <f t="shared" si="26"/>
        <v>142402</v>
      </c>
      <c r="BT91" s="8">
        <f t="shared" si="26"/>
        <v>0</v>
      </c>
      <c r="BU91" s="8">
        <f t="shared" si="26"/>
        <v>0</v>
      </c>
      <c r="BV91" s="8">
        <f t="shared" si="26"/>
        <v>142402</v>
      </c>
      <c r="BW91" s="8">
        <f t="shared" si="26"/>
        <v>0</v>
      </c>
      <c r="BX91" s="8">
        <f t="shared" si="26"/>
        <v>0</v>
      </c>
      <c r="BY91" s="8">
        <f t="shared" si="26"/>
        <v>215558</v>
      </c>
      <c r="BZ91" s="8">
        <f t="shared" si="26"/>
        <v>0</v>
      </c>
      <c r="CA91" s="8">
        <f t="shared" si="26"/>
        <v>0</v>
      </c>
      <c r="CB91" s="8">
        <f t="shared" si="26"/>
        <v>231017</v>
      </c>
      <c r="CC91" s="8">
        <f t="shared" si="26"/>
        <v>0</v>
      </c>
      <c r="CD91" s="8">
        <f t="shared" si="26"/>
        <v>0</v>
      </c>
      <c r="CE91" s="8">
        <f t="shared" si="26"/>
        <v>231016</v>
      </c>
      <c r="CF91" s="8">
        <f t="shared" si="26"/>
        <v>0</v>
      </c>
      <c r="CG91" s="8">
        <f t="shared" si="26"/>
        <v>0</v>
      </c>
      <c r="CH91" s="8">
        <f t="shared" si="26"/>
        <v>231016</v>
      </c>
      <c r="CI91" s="23"/>
    </row>
    <row r="92" spans="1:87" ht="15" customHeight="1" x14ac:dyDescent="0.25">
      <c r="A92" s="9" t="s">
        <v>127</v>
      </c>
      <c r="B92" s="28"/>
      <c r="C92" s="10">
        <f t="shared" ref="C92:AH92" si="27">C90+C91</f>
        <v>462214.30384991789</v>
      </c>
      <c r="D92" s="10">
        <f t="shared" si="27"/>
        <v>471141.80627411912</v>
      </c>
      <c r="E92" s="10">
        <f t="shared" si="27"/>
        <v>477444.75001248141</v>
      </c>
      <c r="F92" s="10">
        <f t="shared" si="27"/>
        <v>1254272.8350369637</v>
      </c>
      <c r="G92" s="10">
        <f t="shared" si="27"/>
        <v>926581.02777253429</v>
      </c>
      <c r="H92" s="10">
        <f t="shared" si="27"/>
        <v>905372.31290472904</v>
      </c>
      <c r="I92" s="10">
        <f t="shared" si="27"/>
        <v>1277236.6528827134</v>
      </c>
      <c r="J92" s="10">
        <f t="shared" si="27"/>
        <v>1263855.8025973591</v>
      </c>
      <c r="K92" s="10">
        <f t="shared" si="27"/>
        <v>879227.84417933447</v>
      </c>
      <c r="L92" s="10">
        <f t="shared" si="27"/>
        <v>893071.30965566158</v>
      </c>
      <c r="M92" s="10">
        <f t="shared" si="27"/>
        <v>903731.74157062254</v>
      </c>
      <c r="N92" s="10">
        <f t="shared" si="27"/>
        <v>910779.44197224209</v>
      </c>
      <c r="O92" s="10">
        <f t="shared" si="27"/>
        <v>1719600.3721702476</v>
      </c>
      <c r="P92" s="10">
        <f t="shared" si="27"/>
        <v>1044290.5289926336</v>
      </c>
      <c r="Q92" s="10">
        <f t="shared" si="27"/>
        <v>1193430.7303695371</v>
      </c>
      <c r="R92" s="10">
        <f t="shared" si="27"/>
        <v>978779.69776668691</v>
      </c>
      <c r="S92" s="10">
        <f t="shared" si="27"/>
        <v>788554.81877925748</v>
      </c>
      <c r="T92" s="10">
        <f t="shared" si="27"/>
        <v>784663.11971457</v>
      </c>
      <c r="U92" s="10">
        <f t="shared" si="27"/>
        <v>796557.88691575755</v>
      </c>
      <c r="V92" s="10">
        <f t="shared" si="27"/>
        <v>746022.06726906425</v>
      </c>
      <c r="W92" s="10">
        <f t="shared" si="27"/>
        <v>786927.93746459507</v>
      </c>
      <c r="X92" s="10">
        <f t="shared" si="27"/>
        <v>710415.37052615604</v>
      </c>
      <c r="Y92" s="10">
        <f t="shared" si="27"/>
        <v>744053.08708642703</v>
      </c>
      <c r="Z92" s="10">
        <f t="shared" si="27"/>
        <v>715413.65980516828</v>
      </c>
      <c r="AA92" s="10">
        <f t="shared" si="27"/>
        <v>630497.91027095879</v>
      </c>
      <c r="AB92" s="10">
        <f t="shared" si="27"/>
        <v>478452.79641900427</v>
      </c>
      <c r="AC92" s="10">
        <f t="shared" si="27"/>
        <v>1237742.699065028</v>
      </c>
      <c r="AD92" s="10">
        <f t="shared" si="27"/>
        <v>522236.63527957594</v>
      </c>
      <c r="AE92" s="10">
        <f t="shared" si="27"/>
        <v>524349.68659191276</v>
      </c>
      <c r="AF92" s="10">
        <f t="shared" si="27"/>
        <v>525646.64992283331</v>
      </c>
      <c r="AG92" s="10">
        <f t="shared" si="27"/>
        <v>637463.15555273497</v>
      </c>
      <c r="AH92" s="10">
        <f t="shared" si="27"/>
        <v>461732.57702133141</v>
      </c>
      <c r="AI92" s="10">
        <f t="shared" ref="AI92:BN92" si="28">AI90+AI91</f>
        <v>704880.37640685413</v>
      </c>
      <c r="AJ92" s="10">
        <f t="shared" si="28"/>
        <v>370702.71926589956</v>
      </c>
      <c r="AK92" s="10">
        <f t="shared" si="28"/>
        <v>368363.85215627216</v>
      </c>
      <c r="AL92" s="10">
        <f t="shared" si="28"/>
        <v>455434.27543950675</v>
      </c>
      <c r="AM92" s="10">
        <f t="shared" si="28"/>
        <v>319121.76019765635</v>
      </c>
      <c r="AN92" s="10">
        <f t="shared" si="28"/>
        <v>316527.78370689659</v>
      </c>
      <c r="AO92" s="10">
        <f t="shared" si="28"/>
        <v>313265.02349216613</v>
      </c>
      <c r="AP92" s="10">
        <f t="shared" si="28"/>
        <v>309361.66277874075</v>
      </c>
      <c r="AQ92" s="10">
        <f t="shared" si="28"/>
        <v>304855.7357313041</v>
      </c>
      <c r="AR92" s="10">
        <f t="shared" si="28"/>
        <v>638674.31394873105</v>
      </c>
      <c r="AS92" s="10">
        <f t="shared" si="28"/>
        <v>172117.65390230948</v>
      </c>
      <c r="AT92" s="10">
        <f t="shared" si="28"/>
        <v>170395.66313802381</v>
      </c>
      <c r="AU92" s="10">
        <f t="shared" si="28"/>
        <v>249555.90332988091</v>
      </c>
      <c r="AV92" s="10">
        <f t="shared" si="28"/>
        <v>164628.9074007381</v>
      </c>
      <c r="AW92" s="10">
        <f t="shared" si="28"/>
        <v>160750.60153495235</v>
      </c>
      <c r="AX92" s="10">
        <f t="shared" si="28"/>
        <v>238026.21850145236</v>
      </c>
      <c r="AY92" s="10">
        <f t="shared" si="28"/>
        <v>151528.38433066662</v>
      </c>
      <c r="AZ92" s="10">
        <f t="shared" si="28"/>
        <v>146419.81172995237</v>
      </c>
      <c r="BA92" s="10">
        <f t="shared" si="28"/>
        <v>1074661.9533758811</v>
      </c>
      <c r="BB92" s="10">
        <f t="shared" si="28"/>
        <v>135806.6086527381</v>
      </c>
      <c r="BC92" s="10">
        <f t="shared" si="28"/>
        <v>130522.01032945237</v>
      </c>
      <c r="BD92" s="10">
        <f t="shared" si="28"/>
        <v>256260.82455959523</v>
      </c>
      <c r="BE92" s="10">
        <f t="shared" si="28"/>
        <v>120467.49758909523</v>
      </c>
      <c r="BF92" s="10">
        <f t="shared" si="28"/>
        <v>350812.49572545238</v>
      </c>
      <c r="BG92" s="10">
        <f t="shared" si="28"/>
        <v>130876</v>
      </c>
      <c r="BH92" s="10">
        <f t="shared" si="28"/>
        <v>0</v>
      </c>
      <c r="BI92" s="10">
        <f t="shared" si="28"/>
        <v>0</v>
      </c>
      <c r="BJ92" s="10">
        <f t="shared" si="28"/>
        <v>130876</v>
      </c>
      <c r="BK92" s="10">
        <f t="shared" si="28"/>
        <v>0</v>
      </c>
      <c r="BL92" s="10">
        <f t="shared" si="28"/>
        <v>0</v>
      </c>
      <c r="BM92" s="10">
        <f t="shared" si="28"/>
        <v>130876</v>
      </c>
      <c r="BN92" s="10">
        <f t="shared" si="28"/>
        <v>0</v>
      </c>
      <c r="BO92" s="10">
        <f t="shared" ref="BO92:CT92" si="29">BO90+BO91</f>
        <v>0</v>
      </c>
      <c r="BP92" s="10">
        <f t="shared" si="29"/>
        <v>142406</v>
      </c>
      <c r="BQ92" s="10">
        <f t="shared" si="29"/>
        <v>0</v>
      </c>
      <c r="BR92" s="10">
        <f t="shared" si="29"/>
        <v>0</v>
      </c>
      <c r="BS92" s="10">
        <f t="shared" si="29"/>
        <v>142402</v>
      </c>
      <c r="BT92" s="10">
        <f t="shared" si="29"/>
        <v>0</v>
      </c>
      <c r="BU92" s="10">
        <f t="shared" si="29"/>
        <v>0</v>
      </c>
      <c r="BV92" s="10">
        <f t="shared" si="29"/>
        <v>142402</v>
      </c>
      <c r="BW92" s="10">
        <f t="shared" si="29"/>
        <v>0</v>
      </c>
      <c r="BX92" s="10">
        <f t="shared" si="29"/>
        <v>0</v>
      </c>
      <c r="BY92" s="10">
        <f t="shared" si="29"/>
        <v>215558</v>
      </c>
      <c r="BZ92" s="10">
        <f t="shared" si="29"/>
        <v>0</v>
      </c>
      <c r="CA92" s="10">
        <f t="shared" si="29"/>
        <v>0</v>
      </c>
      <c r="CB92" s="10">
        <f t="shared" si="29"/>
        <v>231017</v>
      </c>
      <c r="CC92" s="10">
        <f t="shared" si="29"/>
        <v>0</v>
      </c>
      <c r="CD92" s="10">
        <f t="shared" si="29"/>
        <v>0</v>
      </c>
      <c r="CE92" s="10">
        <f t="shared" si="29"/>
        <v>231016</v>
      </c>
      <c r="CF92" s="10">
        <f t="shared" si="29"/>
        <v>0</v>
      </c>
      <c r="CG92" s="10">
        <f t="shared" si="29"/>
        <v>0</v>
      </c>
      <c r="CH92" s="10">
        <f t="shared" si="29"/>
        <v>231016</v>
      </c>
      <c r="CI92" s="23"/>
    </row>
    <row r="93" spans="1:87" ht="15" customHeight="1" x14ac:dyDescent="0.25">
      <c r="A93" s="16" t="s">
        <v>16</v>
      </c>
      <c r="B93" s="22"/>
      <c r="C93" s="8">
        <f t="shared" ref="C93:AH93" si="30">C39</f>
        <v>-322236.47500000003</v>
      </c>
      <c r="D93" s="8">
        <f t="shared" si="30"/>
        <v>-350876.05833333335</v>
      </c>
      <c r="E93" s="8">
        <f t="shared" si="30"/>
        <v>-380001.05833333335</v>
      </c>
      <c r="F93" s="8">
        <f t="shared" si="30"/>
        <v>-710588.40686666674</v>
      </c>
      <c r="G93" s="8">
        <f t="shared" si="30"/>
        <v>-437621.89166666666</v>
      </c>
      <c r="H93" s="8">
        <f t="shared" si="30"/>
        <v>-437621.89166666666</v>
      </c>
      <c r="I93" s="8">
        <f t="shared" si="30"/>
        <v>-679975.57200000004</v>
      </c>
      <c r="J93" s="8">
        <f t="shared" si="30"/>
        <v>-654191.9219999999</v>
      </c>
      <c r="K93" s="8">
        <f t="shared" si="30"/>
        <v>-496842.72499999992</v>
      </c>
      <c r="L93" s="8">
        <f t="shared" si="30"/>
        <v>-496842.72499999992</v>
      </c>
      <c r="M93" s="8">
        <f t="shared" si="30"/>
        <v>-496842.72499999992</v>
      </c>
      <c r="N93" s="8">
        <f t="shared" si="30"/>
        <v>-496842.72499999992</v>
      </c>
      <c r="O93" s="8">
        <f t="shared" si="30"/>
        <v>-1984195.7503333334</v>
      </c>
      <c r="P93" s="8">
        <f t="shared" si="30"/>
        <v>-513025.72533333331</v>
      </c>
      <c r="Q93" s="8">
        <f t="shared" si="30"/>
        <v>-513025.72533333331</v>
      </c>
      <c r="R93" s="8">
        <f t="shared" si="30"/>
        <v>-513025.72533333331</v>
      </c>
      <c r="S93" s="8">
        <f t="shared" si="30"/>
        <v>-513025.72533333331</v>
      </c>
      <c r="T93" s="8">
        <f t="shared" si="30"/>
        <v>-513025.72533333331</v>
      </c>
      <c r="U93" s="8">
        <f t="shared" si="30"/>
        <v>-513025.72533333331</v>
      </c>
      <c r="V93" s="8">
        <f t="shared" si="30"/>
        <v>-513025.72533333331</v>
      </c>
      <c r="W93" s="8">
        <f t="shared" si="30"/>
        <v>-513025.72533333331</v>
      </c>
      <c r="X93" s="8">
        <f t="shared" si="30"/>
        <v>-513025.72533333331</v>
      </c>
      <c r="Y93" s="8">
        <f t="shared" si="30"/>
        <v>-513025.72533333331</v>
      </c>
      <c r="Z93" s="8">
        <f t="shared" si="30"/>
        <v>-513025.72533333331</v>
      </c>
      <c r="AA93" s="8">
        <f t="shared" si="30"/>
        <v>-468688.38567333331</v>
      </c>
      <c r="AB93" s="8">
        <f t="shared" si="30"/>
        <v>-468688.38567333331</v>
      </c>
      <c r="AC93" s="8">
        <f t="shared" si="30"/>
        <v>-1812713.9256733332</v>
      </c>
      <c r="AD93" s="8">
        <f t="shared" si="30"/>
        <v>-468688.38567333331</v>
      </c>
      <c r="AE93" s="8">
        <f t="shared" si="30"/>
        <v>-468688.38567333331</v>
      </c>
      <c r="AF93" s="8">
        <f t="shared" si="30"/>
        <v>-468688.38567333331</v>
      </c>
      <c r="AG93" s="8">
        <f t="shared" si="30"/>
        <v>-468688.38567333331</v>
      </c>
      <c r="AH93" s="8">
        <f t="shared" si="30"/>
        <v>-468688.38567333331</v>
      </c>
      <c r="AI93" s="8">
        <f t="shared" ref="AI93:BN93" si="31">AI39</f>
        <v>-468688.38567333331</v>
      </c>
      <c r="AJ93" s="8">
        <f t="shared" si="31"/>
        <v>-468688.38567333331</v>
      </c>
      <c r="AK93" s="8">
        <f t="shared" si="31"/>
        <v>-468688.38567333331</v>
      </c>
      <c r="AL93" s="8">
        <f t="shared" si="31"/>
        <v>-468688.38567333331</v>
      </c>
      <c r="AM93" s="8">
        <f t="shared" si="31"/>
        <v>-469364.29922013334</v>
      </c>
      <c r="AN93" s="8">
        <f t="shared" si="31"/>
        <v>-469364.29922013334</v>
      </c>
      <c r="AO93" s="8">
        <f t="shared" si="31"/>
        <v>-469364.29922013334</v>
      </c>
      <c r="AP93" s="8">
        <f t="shared" si="31"/>
        <v>-469364.29922013334</v>
      </c>
      <c r="AQ93" s="8">
        <f t="shared" si="31"/>
        <v>-469364.29922013334</v>
      </c>
      <c r="AR93" s="8">
        <f t="shared" si="31"/>
        <v>-469364.29922013334</v>
      </c>
      <c r="AS93" s="8">
        <f t="shared" si="31"/>
        <v>-469364.29922013334</v>
      </c>
      <c r="AT93" s="8">
        <f t="shared" si="31"/>
        <v>-469364.29922013334</v>
      </c>
      <c r="AU93" s="8">
        <f t="shared" si="31"/>
        <v>-469364.29922013334</v>
      </c>
      <c r="AV93" s="8">
        <f t="shared" si="31"/>
        <v>-469364.29922013334</v>
      </c>
      <c r="AW93" s="8">
        <f t="shared" si="31"/>
        <v>-469364.29922013334</v>
      </c>
      <c r="AX93" s="8">
        <f t="shared" si="31"/>
        <v>-469364.29922013334</v>
      </c>
      <c r="AY93" s="8">
        <f t="shared" si="31"/>
        <v>-470053.73103786935</v>
      </c>
      <c r="AZ93" s="8">
        <f t="shared" si="31"/>
        <v>-470053.73103786935</v>
      </c>
      <c r="BA93" s="8">
        <f t="shared" si="31"/>
        <v>-470053.73103786935</v>
      </c>
      <c r="BB93" s="8">
        <f t="shared" si="31"/>
        <v>-470053.73103786935</v>
      </c>
      <c r="BC93" s="8">
        <f t="shared" si="31"/>
        <v>-470053.73103786935</v>
      </c>
      <c r="BD93" s="8">
        <f t="shared" si="31"/>
        <v>-470053.73103786935</v>
      </c>
      <c r="BE93" s="8">
        <f t="shared" si="31"/>
        <v>-470053.73103786935</v>
      </c>
      <c r="BF93" s="8">
        <f t="shared" si="31"/>
        <v>-470053.73103786935</v>
      </c>
      <c r="BG93" s="8">
        <f t="shared" si="31"/>
        <v>-470053.73103786935</v>
      </c>
      <c r="BH93" s="8">
        <f t="shared" si="31"/>
        <v>-470053.73103786935</v>
      </c>
      <c r="BI93" s="8">
        <f t="shared" si="31"/>
        <v>-470053.73103786935</v>
      </c>
      <c r="BJ93" s="8">
        <f t="shared" si="31"/>
        <v>-470053.73103786935</v>
      </c>
      <c r="BK93" s="8">
        <f t="shared" si="31"/>
        <v>-470756.95149196009</v>
      </c>
      <c r="BL93" s="8">
        <f t="shared" si="31"/>
        <v>-470756.95149196009</v>
      </c>
      <c r="BM93" s="8">
        <f t="shared" si="31"/>
        <v>-470756.95149196009</v>
      </c>
      <c r="BN93" s="8">
        <f t="shared" si="31"/>
        <v>-470756.95149196009</v>
      </c>
      <c r="BO93" s="8">
        <f t="shared" ref="BO93:CH93" si="32">BO39</f>
        <v>-470756.95149196009</v>
      </c>
      <c r="BP93" s="8">
        <f t="shared" si="32"/>
        <v>-470756.95149196009</v>
      </c>
      <c r="BQ93" s="8">
        <f t="shared" si="32"/>
        <v>-470756.95149196009</v>
      </c>
      <c r="BR93" s="8">
        <f t="shared" si="32"/>
        <v>-470756.95149196009</v>
      </c>
      <c r="BS93" s="8">
        <f t="shared" si="32"/>
        <v>-470756.95149196009</v>
      </c>
      <c r="BT93" s="8">
        <f t="shared" si="32"/>
        <v>-470756.95149196009</v>
      </c>
      <c r="BU93" s="8">
        <f t="shared" si="32"/>
        <v>-470756.95149196009</v>
      </c>
      <c r="BV93" s="8">
        <f t="shared" si="32"/>
        <v>-470756.95149196009</v>
      </c>
      <c r="BW93" s="8">
        <f t="shared" si="32"/>
        <v>-471474.2363551326</v>
      </c>
      <c r="BX93" s="8">
        <f t="shared" si="32"/>
        <v>-471474.2363551326</v>
      </c>
      <c r="BY93" s="8">
        <f t="shared" si="32"/>
        <v>-471474.2363551326</v>
      </c>
      <c r="BZ93" s="8">
        <f t="shared" si="32"/>
        <v>-471474.2363551326</v>
      </c>
      <c r="CA93" s="8">
        <f t="shared" si="32"/>
        <v>-471474.2363551326</v>
      </c>
      <c r="CB93" s="8">
        <f t="shared" si="32"/>
        <v>-471474.2363551326</v>
      </c>
      <c r="CC93" s="8">
        <f t="shared" si="32"/>
        <v>-471474.2363551326</v>
      </c>
      <c r="CD93" s="8">
        <f t="shared" si="32"/>
        <v>-471474.2363551326</v>
      </c>
      <c r="CE93" s="8">
        <f t="shared" si="32"/>
        <v>-471474.2363551326</v>
      </c>
      <c r="CF93" s="8">
        <f t="shared" si="32"/>
        <v>-471474.2363551326</v>
      </c>
      <c r="CG93" s="8">
        <f t="shared" si="32"/>
        <v>-471474.2363551326</v>
      </c>
      <c r="CH93" s="8">
        <f t="shared" si="32"/>
        <v>-471474.2363551326</v>
      </c>
      <c r="CI93" s="23"/>
    </row>
    <row r="94" spans="1:87" ht="15" customHeight="1" x14ac:dyDescent="0.25">
      <c r="A94" s="16" t="s">
        <v>24</v>
      </c>
      <c r="B94" s="22"/>
      <c r="C94" s="8">
        <f t="shared" ref="C94:AH94" si="33">C85</f>
        <v>-109991.66666666667</v>
      </c>
      <c r="D94" s="8">
        <f t="shared" si="33"/>
        <v>-109991.66666666667</v>
      </c>
      <c r="E94" s="8">
        <f t="shared" si="33"/>
        <v>-109991.66666666667</v>
      </c>
      <c r="F94" s="8">
        <f t="shared" si="33"/>
        <v>-132991.66666666669</v>
      </c>
      <c r="G94" s="8">
        <f t="shared" si="33"/>
        <v>-265762.75666666665</v>
      </c>
      <c r="H94" s="8">
        <f t="shared" si="33"/>
        <v>-245443.69666666666</v>
      </c>
      <c r="I94" s="8">
        <f t="shared" si="33"/>
        <v>-109991.66666666667</v>
      </c>
      <c r="J94" s="8">
        <f t="shared" si="33"/>
        <v>-109991.66666666667</v>
      </c>
      <c r="K94" s="8">
        <f t="shared" si="33"/>
        <v>-130991.66666666667</v>
      </c>
      <c r="L94" s="8">
        <f t="shared" si="33"/>
        <v>-109991.66666666667</v>
      </c>
      <c r="M94" s="8">
        <f t="shared" si="33"/>
        <v>-109991.66666666667</v>
      </c>
      <c r="N94" s="8">
        <f t="shared" si="33"/>
        <v>-109991.66666666667</v>
      </c>
      <c r="O94" s="8">
        <f t="shared" si="33"/>
        <v>-110365.66666666667</v>
      </c>
      <c r="P94" s="8">
        <f t="shared" si="33"/>
        <v>-110365.66666666667</v>
      </c>
      <c r="Q94" s="8">
        <f t="shared" si="33"/>
        <v>-110365.66666666667</v>
      </c>
      <c r="R94" s="8">
        <f t="shared" si="33"/>
        <v>-133825.66666666669</v>
      </c>
      <c r="S94" s="8">
        <f t="shared" si="33"/>
        <v>-110365.66666666667</v>
      </c>
      <c r="T94" s="8">
        <f t="shared" si="33"/>
        <v>-110365.66666666667</v>
      </c>
      <c r="U94" s="8">
        <f t="shared" si="33"/>
        <v>-110365.66666666667</v>
      </c>
      <c r="V94" s="8">
        <f t="shared" si="33"/>
        <v>-110365.66666666667</v>
      </c>
      <c r="W94" s="8">
        <f t="shared" si="33"/>
        <v>-131785.66666666669</v>
      </c>
      <c r="X94" s="8">
        <f t="shared" si="33"/>
        <v>-110365.66666666667</v>
      </c>
      <c r="Y94" s="8">
        <f t="shared" si="33"/>
        <v>-110365.66666666667</v>
      </c>
      <c r="Z94" s="8">
        <f t="shared" si="33"/>
        <v>-110365.66666666667</v>
      </c>
      <c r="AA94" s="8">
        <f t="shared" si="33"/>
        <v>-110747.14666666667</v>
      </c>
      <c r="AB94" s="8">
        <f t="shared" si="33"/>
        <v>-110747.14666666667</v>
      </c>
      <c r="AC94" s="8">
        <f t="shared" si="33"/>
        <v>-110747.14666666667</v>
      </c>
      <c r="AD94" s="8">
        <f t="shared" si="33"/>
        <v>-134676.34666666668</v>
      </c>
      <c r="AE94" s="8">
        <f t="shared" si="33"/>
        <v>-110747.14666666667</v>
      </c>
      <c r="AF94" s="8">
        <f t="shared" si="33"/>
        <v>-110747.14666666667</v>
      </c>
      <c r="AG94" s="8">
        <f t="shared" si="33"/>
        <v>-110747.14666666667</v>
      </c>
      <c r="AH94" s="8">
        <f t="shared" si="33"/>
        <v>-110747.14666666667</v>
      </c>
      <c r="AI94" s="8">
        <f t="shared" ref="AI94:BN94" si="34">AI85</f>
        <v>-132595.54666666669</v>
      </c>
      <c r="AJ94" s="8">
        <f t="shared" si="34"/>
        <v>-110747.14666666667</v>
      </c>
      <c r="AK94" s="8">
        <f t="shared" si="34"/>
        <v>-110747.14666666667</v>
      </c>
      <c r="AL94" s="8">
        <f t="shared" si="34"/>
        <v>-110747.14666666667</v>
      </c>
      <c r="AM94" s="8">
        <f t="shared" si="34"/>
        <v>-111136.25626666668</v>
      </c>
      <c r="AN94" s="8">
        <f t="shared" si="34"/>
        <v>-111136.25626666668</v>
      </c>
      <c r="AO94" s="8">
        <f t="shared" si="34"/>
        <v>-111136.25626666668</v>
      </c>
      <c r="AP94" s="8">
        <f t="shared" si="34"/>
        <v>-135544.04026666668</v>
      </c>
      <c r="AQ94" s="8">
        <f t="shared" si="34"/>
        <v>-111136.25626666668</v>
      </c>
      <c r="AR94" s="8">
        <f t="shared" si="34"/>
        <v>-192819.25626666669</v>
      </c>
      <c r="AS94" s="8">
        <f t="shared" si="34"/>
        <v>-111136.25626666668</v>
      </c>
      <c r="AT94" s="8">
        <f t="shared" si="34"/>
        <v>-111136.25626666668</v>
      </c>
      <c r="AU94" s="8">
        <f t="shared" si="34"/>
        <v>-215103.62426666665</v>
      </c>
      <c r="AV94" s="8">
        <f t="shared" si="34"/>
        <v>-111136.25626666668</v>
      </c>
      <c r="AW94" s="8">
        <f t="shared" si="34"/>
        <v>-111136.25626666668</v>
      </c>
      <c r="AX94" s="8">
        <f t="shared" si="34"/>
        <v>-192818.25626666669</v>
      </c>
      <c r="AY94" s="8">
        <f t="shared" si="34"/>
        <v>-111533.14805866667</v>
      </c>
      <c r="AZ94" s="8">
        <f t="shared" si="34"/>
        <v>-111533.14805866667</v>
      </c>
      <c r="BA94" s="8">
        <f t="shared" si="34"/>
        <v>-1045054.1480586666</v>
      </c>
      <c r="BB94" s="8">
        <f t="shared" si="34"/>
        <v>-136429.08773866668</v>
      </c>
      <c r="BC94" s="8">
        <f t="shared" si="34"/>
        <v>-111533.14805866667</v>
      </c>
      <c r="BD94" s="8">
        <f t="shared" si="34"/>
        <v>-242411.14805866667</v>
      </c>
      <c r="BE94" s="8">
        <f t="shared" si="34"/>
        <v>-111533.14805866667</v>
      </c>
      <c r="BF94" s="8">
        <f t="shared" si="34"/>
        <v>-111533.14805866667</v>
      </c>
      <c r="BG94" s="8">
        <f t="shared" si="34"/>
        <v>-265140.22341866669</v>
      </c>
      <c r="BH94" s="8">
        <f t="shared" si="34"/>
        <v>-111533.14805866667</v>
      </c>
      <c r="BI94" s="8">
        <f t="shared" si="34"/>
        <v>-111533.14805866667</v>
      </c>
      <c r="BJ94" s="8">
        <f t="shared" si="34"/>
        <v>-242409.14805866667</v>
      </c>
      <c r="BK94" s="8">
        <f t="shared" si="34"/>
        <v>-111937.97768650667</v>
      </c>
      <c r="BL94" s="8">
        <f t="shared" si="34"/>
        <v>-111937.97768650667</v>
      </c>
      <c r="BM94" s="8">
        <f t="shared" si="34"/>
        <v>-242813.9776865067</v>
      </c>
      <c r="BN94" s="8">
        <f t="shared" si="34"/>
        <v>-137331.83616010667</v>
      </c>
      <c r="BO94" s="8">
        <f t="shared" ref="BO94:CH94" si="35">BO85</f>
        <v>-111937.97768650667</v>
      </c>
      <c r="BP94" s="8">
        <f t="shared" si="35"/>
        <v>-202830.45768650665</v>
      </c>
      <c r="BQ94" s="8">
        <f t="shared" si="35"/>
        <v>-111937.97768650667</v>
      </c>
      <c r="BR94" s="8">
        <f t="shared" si="35"/>
        <v>-111937.97768650667</v>
      </c>
      <c r="BS94" s="8">
        <f t="shared" si="35"/>
        <v>-209763.67455370666</v>
      </c>
      <c r="BT94" s="8">
        <f t="shared" si="35"/>
        <v>-111937.97768650667</v>
      </c>
      <c r="BU94" s="8">
        <f t="shared" si="35"/>
        <v>-111937.97768650667</v>
      </c>
      <c r="BV94" s="8">
        <f t="shared" si="35"/>
        <v>-186577.97768650667</v>
      </c>
      <c r="BW94" s="8">
        <f t="shared" si="35"/>
        <v>-112350.90390690346</v>
      </c>
      <c r="BX94" s="8">
        <f t="shared" si="35"/>
        <v>-112350.90390690346</v>
      </c>
      <c r="BY94" s="8">
        <f t="shared" si="35"/>
        <v>-260146.90390690346</v>
      </c>
      <c r="BZ94" s="8">
        <f t="shared" si="35"/>
        <v>-138252.63954997546</v>
      </c>
      <c r="CA94" s="8">
        <f t="shared" si="35"/>
        <v>-112350.90390690346</v>
      </c>
      <c r="CB94" s="8">
        <f t="shared" si="35"/>
        <v>-266868.90390690346</v>
      </c>
      <c r="CC94" s="8">
        <f t="shared" si="35"/>
        <v>-112350.90390690346</v>
      </c>
      <c r="CD94" s="8">
        <f t="shared" si="35"/>
        <v>-112350.90390690346</v>
      </c>
      <c r="CE94" s="8">
        <f t="shared" si="35"/>
        <v>-290517.31471144746</v>
      </c>
      <c r="CF94" s="8">
        <f t="shared" si="35"/>
        <v>-112350.90390690346</v>
      </c>
      <c r="CG94" s="8">
        <f t="shared" si="35"/>
        <v>-112350.90390690346</v>
      </c>
      <c r="CH94" s="8">
        <f t="shared" si="35"/>
        <v>-260259.87730042427</v>
      </c>
      <c r="CI94" s="23"/>
    </row>
    <row r="95" spans="1:87" ht="15" customHeight="1" x14ac:dyDescent="0.25">
      <c r="A95" s="9" t="s">
        <v>128</v>
      </c>
      <c r="B95" s="28"/>
      <c r="C95" s="10">
        <f t="shared" ref="C95:AH95" si="36">C93+C94</f>
        <v>-432228.14166666672</v>
      </c>
      <c r="D95" s="10">
        <f t="shared" si="36"/>
        <v>-460867.72500000003</v>
      </c>
      <c r="E95" s="10">
        <f t="shared" si="36"/>
        <v>-489992.72500000003</v>
      </c>
      <c r="F95" s="10">
        <f t="shared" si="36"/>
        <v>-843580.07353333337</v>
      </c>
      <c r="G95" s="10">
        <f t="shared" si="36"/>
        <v>-703384.64833333332</v>
      </c>
      <c r="H95" s="10">
        <f t="shared" si="36"/>
        <v>-683065.58833333338</v>
      </c>
      <c r="I95" s="10">
        <f t="shared" si="36"/>
        <v>-789967.23866666667</v>
      </c>
      <c r="J95" s="10">
        <f t="shared" si="36"/>
        <v>-764183.58866666653</v>
      </c>
      <c r="K95" s="10">
        <f t="shared" si="36"/>
        <v>-627834.3916666666</v>
      </c>
      <c r="L95" s="10">
        <f t="shared" si="36"/>
        <v>-606834.3916666666</v>
      </c>
      <c r="M95" s="10">
        <f t="shared" si="36"/>
        <v>-606834.3916666666</v>
      </c>
      <c r="N95" s="10">
        <f t="shared" si="36"/>
        <v>-606834.3916666666</v>
      </c>
      <c r="O95" s="10">
        <f t="shared" si="36"/>
        <v>-2094561.4170000001</v>
      </c>
      <c r="P95" s="10">
        <f t="shared" si="36"/>
        <v>-623391.39199999999</v>
      </c>
      <c r="Q95" s="10">
        <f t="shared" si="36"/>
        <v>-623391.39199999999</v>
      </c>
      <c r="R95" s="10">
        <f t="shared" si="36"/>
        <v>-646851.39199999999</v>
      </c>
      <c r="S95" s="10">
        <f t="shared" si="36"/>
        <v>-623391.39199999999</v>
      </c>
      <c r="T95" s="10">
        <f t="shared" si="36"/>
        <v>-623391.39199999999</v>
      </c>
      <c r="U95" s="10">
        <f t="shared" si="36"/>
        <v>-623391.39199999999</v>
      </c>
      <c r="V95" s="10">
        <f t="shared" si="36"/>
        <v>-623391.39199999999</v>
      </c>
      <c r="W95" s="10">
        <f t="shared" si="36"/>
        <v>-644811.39199999999</v>
      </c>
      <c r="X95" s="10">
        <f t="shared" si="36"/>
        <v>-623391.39199999999</v>
      </c>
      <c r="Y95" s="10">
        <f t="shared" si="36"/>
        <v>-623391.39199999999</v>
      </c>
      <c r="Z95" s="10">
        <f t="shared" si="36"/>
        <v>-623391.39199999999</v>
      </c>
      <c r="AA95" s="10">
        <f t="shared" si="36"/>
        <v>-579435.53233999992</v>
      </c>
      <c r="AB95" s="10">
        <f t="shared" si="36"/>
        <v>-579435.53233999992</v>
      </c>
      <c r="AC95" s="10">
        <f t="shared" si="36"/>
        <v>-1923461.07234</v>
      </c>
      <c r="AD95" s="10">
        <f t="shared" si="36"/>
        <v>-603364.73233999999</v>
      </c>
      <c r="AE95" s="10">
        <f t="shared" si="36"/>
        <v>-579435.53233999992</v>
      </c>
      <c r="AF95" s="10">
        <f t="shared" si="36"/>
        <v>-579435.53233999992</v>
      </c>
      <c r="AG95" s="10">
        <f t="shared" si="36"/>
        <v>-579435.53233999992</v>
      </c>
      <c r="AH95" s="10">
        <f t="shared" si="36"/>
        <v>-579435.53233999992</v>
      </c>
      <c r="AI95" s="10">
        <f t="shared" ref="AI95:BN95" si="37">AI93+AI94</f>
        <v>-601283.93234000006</v>
      </c>
      <c r="AJ95" s="10">
        <f t="shared" si="37"/>
        <v>-579435.53233999992</v>
      </c>
      <c r="AK95" s="10">
        <f t="shared" si="37"/>
        <v>-579435.53233999992</v>
      </c>
      <c r="AL95" s="10">
        <f t="shared" si="37"/>
        <v>-579435.53233999992</v>
      </c>
      <c r="AM95" s="10">
        <f t="shared" si="37"/>
        <v>-580500.55548680003</v>
      </c>
      <c r="AN95" s="10">
        <f t="shared" si="37"/>
        <v>-580500.55548680003</v>
      </c>
      <c r="AO95" s="10">
        <f t="shared" si="37"/>
        <v>-580500.55548680003</v>
      </c>
      <c r="AP95" s="10">
        <f t="shared" si="37"/>
        <v>-604908.33948680002</v>
      </c>
      <c r="AQ95" s="10">
        <f t="shared" si="37"/>
        <v>-580500.55548680003</v>
      </c>
      <c r="AR95" s="10">
        <f t="shared" si="37"/>
        <v>-662183.55548680003</v>
      </c>
      <c r="AS95" s="10">
        <f t="shared" si="37"/>
        <v>-580500.55548680003</v>
      </c>
      <c r="AT95" s="10">
        <f t="shared" si="37"/>
        <v>-580500.55548680003</v>
      </c>
      <c r="AU95" s="10">
        <f t="shared" si="37"/>
        <v>-684467.92348679993</v>
      </c>
      <c r="AV95" s="10">
        <f t="shared" si="37"/>
        <v>-580500.55548680003</v>
      </c>
      <c r="AW95" s="10">
        <f t="shared" si="37"/>
        <v>-580500.55548680003</v>
      </c>
      <c r="AX95" s="10">
        <f t="shared" si="37"/>
        <v>-662182.55548680003</v>
      </c>
      <c r="AY95" s="10">
        <f t="shared" si="37"/>
        <v>-581586.87909653597</v>
      </c>
      <c r="AZ95" s="10">
        <f t="shared" si="37"/>
        <v>-581586.87909653597</v>
      </c>
      <c r="BA95" s="10">
        <f t="shared" si="37"/>
        <v>-1515107.879096536</v>
      </c>
      <c r="BB95" s="10">
        <f t="shared" si="37"/>
        <v>-606482.81877653603</v>
      </c>
      <c r="BC95" s="10">
        <f t="shared" si="37"/>
        <v>-581586.87909653597</v>
      </c>
      <c r="BD95" s="10">
        <f t="shared" si="37"/>
        <v>-712464.87909653597</v>
      </c>
      <c r="BE95" s="10">
        <f t="shared" si="37"/>
        <v>-581586.87909653597</v>
      </c>
      <c r="BF95" s="10">
        <f t="shared" si="37"/>
        <v>-581586.87909653597</v>
      </c>
      <c r="BG95" s="10">
        <f t="shared" si="37"/>
        <v>-735193.9544565361</v>
      </c>
      <c r="BH95" s="10">
        <f t="shared" si="37"/>
        <v>-581586.87909653597</v>
      </c>
      <c r="BI95" s="10">
        <f t="shared" si="37"/>
        <v>-581586.87909653597</v>
      </c>
      <c r="BJ95" s="10">
        <f t="shared" si="37"/>
        <v>-712462.87909653597</v>
      </c>
      <c r="BK95" s="10">
        <f t="shared" si="37"/>
        <v>-582694.92917846679</v>
      </c>
      <c r="BL95" s="10">
        <f t="shared" si="37"/>
        <v>-582694.92917846679</v>
      </c>
      <c r="BM95" s="10">
        <f t="shared" si="37"/>
        <v>-713570.92917846679</v>
      </c>
      <c r="BN95" s="10">
        <f t="shared" si="37"/>
        <v>-608088.78765206679</v>
      </c>
      <c r="BO95" s="10">
        <f t="shared" ref="BO95:CT95" si="38">BO93+BO94</f>
        <v>-582694.92917846679</v>
      </c>
      <c r="BP95" s="10">
        <f t="shared" si="38"/>
        <v>-673587.40917846677</v>
      </c>
      <c r="BQ95" s="10">
        <f t="shared" si="38"/>
        <v>-582694.92917846679</v>
      </c>
      <c r="BR95" s="10">
        <f t="shared" si="38"/>
        <v>-582694.92917846679</v>
      </c>
      <c r="BS95" s="10">
        <f t="shared" si="38"/>
        <v>-680520.62604566675</v>
      </c>
      <c r="BT95" s="10">
        <f t="shared" si="38"/>
        <v>-582694.92917846679</v>
      </c>
      <c r="BU95" s="10">
        <f t="shared" si="38"/>
        <v>-582694.92917846679</v>
      </c>
      <c r="BV95" s="10">
        <f t="shared" si="38"/>
        <v>-657334.92917846679</v>
      </c>
      <c r="BW95" s="10">
        <f t="shared" si="38"/>
        <v>-583825.14026203612</v>
      </c>
      <c r="BX95" s="10">
        <f t="shared" si="38"/>
        <v>-583825.14026203612</v>
      </c>
      <c r="BY95" s="10">
        <f t="shared" si="38"/>
        <v>-731621.14026203612</v>
      </c>
      <c r="BZ95" s="10">
        <f t="shared" si="38"/>
        <v>-609726.87590510806</v>
      </c>
      <c r="CA95" s="10">
        <f t="shared" si="38"/>
        <v>-583825.14026203612</v>
      </c>
      <c r="CB95" s="10">
        <f t="shared" si="38"/>
        <v>-738343.14026203612</v>
      </c>
      <c r="CC95" s="10">
        <f t="shared" si="38"/>
        <v>-583825.14026203612</v>
      </c>
      <c r="CD95" s="10">
        <f t="shared" si="38"/>
        <v>-583825.14026203612</v>
      </c>
      <c r="CE95" s="10">
        <f t="shared" si="38"/>
        <v>-761991.55106658</v>
      </c>
      <c r="CF95" s="10">
        <f t="shared" si="38"/>
        <v>-583825.14026203612</v>
      </c>
      <c r="CG95" s="10">
        <f t="shared" si="38"/>
        <v>-583825.14026203612</v>
      </c>
      <c r="CH95" s="10">
        <f t="shared" si="38"/>
        <v>-731734.11365555692</v>
      </c>
      <c r="CI95" s="23"/>
    </row>
    <row r="96" spans="1:87" ht="15" customHeight="1" x14ac:dyDescent="0.25">
      <c r="A96" s="13" t="s">
        <v>26</v>
      </c>
      <c r="B96" s="29"/>
      <c r="C96" s="14">
        <f t="shared" ref="C96:AH96" si="39">C92+C95</f>
        <v>29986.162183251174</v>
      </c>
      <c r="D96" s="14">
        <f t="shared" si="39"/>
        <v>10274.081274119089</v>
      </c>
      <c r="E96" s="14">
        <f t="shared" si="39"/>
        <v>-12547.974987518624</v>
      </c>
      <c r="F96" s="14">
        <f t="shared" si="39"/>
        <v>410692.76150363032</v>
      </c>
      <c r="G96" s="14">
        <f t="shared" si="39"/>
        <v>223196.37943920097</v>
      </c>
      <c r="H96" s="14">
        <f t="shared" si="39"/>
        <v>222306.72457139567</v>
      </c>
      <c r="I96" s="14">
        <f t="shared" si="39"/>
        <v>487269.41421604669</v>
      </c>
      <c r="J96" s="14">
        <f t="shared" si="39"/>
        <v>499672.21393069252</v>
      </c>
      <c r="K96" s="14">
        <f t="shared" si="39"/>
        <v>251393.45251266786</v>
      </c>
      <c r="L96" s="14">
        <f t="shared" si="39"/>
        <v>286236.91798899497</v>
      </c>
      <c r="M96" s="14">
        <f t="shared" si="39"/>
        <v>296897.34990395594</v>
      </c>
      <c r="N96" s="14">
        <f t="shared" si="39"/>
        <v>303945.05030557548</v>
      </c>
      <c r="O96" s="14">
        <f t="shared" si="39"/>
        <v>-374961.04482975253</v>
      </c>
      <c r="P96" s="14">
        <f t="shared" si="39"/>
        <v>420899.13699263358</v>
      </c>
      <c r="Q96" s="14">
        <f t="shared" si="39"/>
        <v>570039.33836953714</v>
      </c>
      <c r="R96" s="14">
        <f t="shared" si="39"/>
        <v>331928.30576668691</v>
      </c>
      <c r="S96" s="14">
        <f t="shared" si="39"/>
        <v>165163.42677925748</v>
      </c>
      <c r="T96" s="14">
        <f t="shared" si="39"/>
        <v>161271.72771457001</v>
      </c>
      <c r="U96" s="14">
        <f t="shared" si="39"/>
        <v>173166.49491575756</v>
      </c>
      <c r="V96" s="14">
        <f t="shared" si="39"/>
        <v>122630.67526906426</v>
      </c>
      <c r="W96" s="14">
        <f t="shared" si="39"/>
        <v>142116.54546459508</v>
      </c>
      <c r="X96" s="14">
        <f t="shared" si="39"/>
        <v>87023.978526156046</v>
      </c>
      <c r="Y96" s="14">
        <f t="shared" si="39"/>
        <v>120661.69508642703</v>
      </c>
      <c r="Z96" s="14">
        <f t="shared" si="39"/>
        <v>92022.267805168289</v>
      </c>
      <c r="AA96" s="14">
        <f t="shared" si="39"/>
        <v>51062.377930958872</v>
      </c>
      <c r="AB96" s="14">
        <f t="shared" si="39"/>
        <v>-100982.73592099565</v>
      </c>
      <c r="AC96" s="14">
        <f t="shared" si="39"/>
        <v>-685718.37327497196</v>
      </c>
      <c r="AD96" s="14">
        <f t="shared" si="39"/>
        <v>-81128.097060424043</v>
      </c>
      <c r="AE96" s="14">
        <f t="shared" si="39"/>
        <v>-55085.845748087158</v>
      </c>
      <c r="AF96" s="14">
        <f t="shared" si="39"/>
        <v>-53788.882417166606</v>
      </c>
      <c r="AG96" s="14">
        <f t="shared" si="39"/>
        <v>58027.623212735052</v>
      </c>
      <c r="AH96" s="14">
        <f t="shared" si="39"/>
        <v>-117702.95531866851</v>
      </c>
      <c r="AI96" s="14">
        <f t="shared" ref="AI96:BN96" si="40">AI92+AI95</f>
        <v>103596.44406685408</v>
      </c>
      <c r="AJ96" s="14">
        <f t="shared" si="40"/>
        <v>-208732.81307410036</v>
      </c>
      <c r="AK96" s="14">
        <f t="shared" si="40"/>
        <v>-211071.68018372776</v>
      </c>
      <c r="AL96" s="14">
        <f t="shared" si="40"/>
        <v>-124001.25690049317</v>
      </c>
      <c r="AM96" s="14">
        <f t="shared" si="40"/>
        <v>-261378.79528914369</v>
      </c>
      <c r="AN96" s="14">
        <f t="shared" si="40"/>
        <v>-263972.77177990344</v>
      </c>
      <c r="AO96" s="14">
        <f t="shared" si="40"/>
        <v>-267235.5319946339</v>
      </c>
      <c r="AP96" s="14">
        <f t="shared" si="40"/>
        <v>-295546.67670805927</v>
      </c>
      <c r="AQ96" s="14">
        <f t="shared" si="40"/>
        <v>-275644.81975549593</v>
      </c>
      <c r="AR96" s="14">
        <f t="shared" si="40"/>
        <v>-23509.241538068978</v>
      </c>
      <c r="AS96" s="14">
        <f t="shared" si="40"/>
        <v>-408382.90158449055</v>
      </c>
      <c r="AT96" s="14">
        <f t="shared" si="40"/>
        <v>-410104.89234877622</v>
      </c>
      <c r="AU96" s="14">
        <f t="shared" si="40"/>
        <v>-434912.02015691902</v>
      </c>
      <c r="AV96" s="14">
        <f t="shared" si="40"/>
        <v>-415871.64808606193</v>
      </c>
      <c r="AW96" s="14">
        <f t="shared" si="40"/>
        <v>-419749.95395184768</v>
      </c>
      <c r="AX96" s="14">
        <f t="shared" si="40"/>
        <v>-424156.33698534768</v>
      </c>
      <c r="AY96" s="14">
        <f t="shared" si="40"/>
        <v>-430058.49476586934</v>
      </c>
      <c r="AZ96" s="14">
        <f t="shared" si="40"/>
        <v>-435167.06736658362</v>
      </c>
      <c r="BA96" s="14">
        <f t="shared" si="40"/>
        <v>-440445.92572065489</v>
      </c>
      <c r="BB96" s="14">
        <f t="shared" si="40"/>
        <v>-470676.21012379794</v>
      </c>
      <c r="BC96" s="14">
        <f t="shared" si="40"/>
        <v>-451064.86876708362</v>
      </c>
      <c r="BD96" s="14">
        <f t="shared" si="40"/>
        <v>-456204.05453694076</v>
      </c>
      <c r="BE96" s="14">
        <f t="shared" si="40"/>
        <v>-461119.3815074407</v>
      </c>
      <c r="BF96" s="14">
        <f t="shared" si="40"/>
        <v>-230774.38337108359</v>
      </c>
      <c r="BG96" s="14">
        <f t="shared" si="40"/>
        <v>-604317.9544565361</v>
      </c>
      <c r="BH96" s="14">
        <f t="shared" si="40"/>
        <v>-581586.87909653597</v>
      </c>
      <c r="BI96" s="14">
        <f t="shared" si="40"/>
        <v>-581586.87909653597</v>
      </c>
      <c r="BJ96" s="14">
        <f t="shared" si="40"/>
        <v>-581586.87909653597</v>
      </c>
      <c r="BK96" s="14">
        <f t="shared" si="40"/>
        <v>-582694.92917846679</v>
      </c>
      <c r="BL96" s="14">
        <f t="shared" si="40"/>
        <v>-582694.92917846679</v>
      </c>
      <c r="BM96" s="14">
        <f t="shared" si="40"/>
        <v>-582694.92917846679</v>
      </c>
      <c r="BN96" s="14">
        <f t="shared" si="40"/>
        <v>-608088.78765206679</v>
      </c>
      <c r="BO96" s="14">
        <f t="shared" ref="BO96:CT96" si="41">BO92+BO95</f>
        <v>-582694.92917846679</v>
      </c>
      <c r="BP96" s="14">
        <f t="shared" si="41"/>
        <v>-531181.40917846677</v>
      </c>
      <c r="BQ96" s="14">
        <f t="shared" si="41"/>
        <v>-582694.92917846679</v>
      </c>
      <c r="BR96" s="14">
        <f t="shared" si="41"/>
        <v>-582694.92917846679</v>
      </c>
      <c r="BS96" s="14">
        <f t="shared" si="41"/>
        <v>-538118.62604566675</v>
      </c>
      <c r="BT96" s="14">
        <f t="shared" si="41"/>
        <v>-582694.92917846679</v>
      </c>
      <c r="BU96" s="14">
        <f t="shared" si="41"/>
        <v>-582694.92917846679</v>
      </c>
      <c r="BV96" s="14">
        <f t="shared" si="41"/>
        <v>-514932.92917846679</v>
      </c>
      <c r="BW96" s="14">
        <f t="shared" si="41"/>
        <v>-583825.14026203612</v>
      </c>
      <c r="BX96" s="14">
        <f t="shared" si="41"/>
        <v>-583825.14026203612</v>
      </c>
      <c r="BY96" s="14">
        <f t="shared" si="41"/>
        <v>-516063.14026203612</v>
      </c>
      <c r="BZ96" s="14">
        <f t="shared" si="41"/>
        <v>-609726.87590510806</v>
      </c>
      <c r="CA96" s="14">
        <f t="shared" si="41"/>
        <v>-583825.14026203612</v>
      </c>
      <c r="CB96" s="14">
        <f t="shared" si="41"/>
        <v>-507326.14026203612</v>
      </c>
      <c r="CC96" s="14">
        <f t="shared" si="41"/>
        <v>-583825.14026203612</v>
      </c>
      <c r="CD96" s="14">
        <f t="shared" si="41"/>
        <v>-583825.14026203612</v>
      </c>
      <c r="CE96" s="14">
        <f t="shared" si="41"/>
        <v>-530975.55106658</v>
      </c>
      <c r="CF96" s="14">
        <f t="shared" si="41"/>
        <v>-583825.14026203612</v>
      </c>
      <c r="CG96" s="14">
        <f t="shared" si="41"/>
        <v>-583825.14026203612</v>
      </c>
      <c r="CH96" s="14">
        <f t="shared" si="41"/>
        <v>-500718.11365555692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129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130</v>
      </c>
      <c r="B99" s="22"/>
      <c r="C99" s="8">
        <f>Assumptions!$B$33</f>
        <v>1615485</v>
      </c>
      <c r="D99" s="8">
        <f t="shared" ref="D99:AI99" si="42">C102</f>
        <v>1615485</v>
      </c>
      <c r="E99" s="8">
        <f t="shared" si="42"/>
        <v>1615485</v>
      </c>
      <c r="F99" s="8">
        <f t="shared" si="42"/>
        <v>1676065.6875</v>
      </c>
      <c r="G99" s="8">
        <f t="shared" si="42"/>
        <v>1676065.6875</v>
      </c>
      <c r="H99" s="8">
        <f t="shared" si="42"/>
        <v>1676065.6875</v>
      </c>
      <c r="I99" s="8">
        <f t="shared" si="42"/>
        <v>1738918.1507812501</v>
      </c>
      <c r="J99" s="8">
        <f t="shared" si="42"/>
        <v>1608918.1507812501</v>
      </c>
      <c r="K99" s="8">
        <f t="shared" si="42"/>
        <v>1478918.1507812501</v>
      </c>
      <c r="L99" s="8">
        <f t="shared" si="42"/>
        <v>1404377.581435547</v>
      </c>
      <c r="M99" s="8">
        <f t="shared" si="42"/>
        <v>1274377.581435547</v>
      </c>
      <c r="N99" s="8">
        <f t="shared" si="42"/>
        <v>1144377.581435547</v>
      </c>
      <c r="O99" s="8">
        <f t="shared" si="42"/>
        <v>1057291.74073938</v>
      </c>
      <c r="P99" s="8">
        <f t="shared" si="42"/>
        <v>927291.74073938001</v>
      </c>
      <c r="Q99" s="8">
        <f t="shared" si="42"/>
        <v>797291.74073938001</v>
      </c>
      <c r="R99" s="8">
        <f t="shared" si="42"/>
        <v>697190.18101710675</v>
      </c>
      <c r="S99" s="8">
        <f t="shared" si="42"/>
        <v>567190.18101710675</v>
      </c>
      <c r="T99" s="8">
        <f t="shared" si="42"/>
        <v>437190.18101710675</v>
      </c>
      <c r="U99" s="8">
        <f t="shared" si="42"/>
        <v>323584.81280524825</v>
      </c>
      <c r="V99" s="8">
        <f t="shared" si="42"/>
        <v>193584.81280524825</v>
      </c>
      <c r="W99" s="8">
        <f t="shared" si="42"/>
        <v>63584.81280524825</v>
      </c>
      <c r="X99" s="8">
        <f t="shared" si="42"/>
        <v>0</v>
      </c>
      <c r="Y99" s="8">
        <f t="shared" si="42"/>
        <v>0</v>
      </c>
      <c r="Z99" s="8">
        <f t="shared" si="42"/>
        <v>0</v>
      </c>
      <c r="AA99" s="8">
        <f t="shared" si="42"/>
        <v>0</v>
      </c>
      <c r="AB99" s="8">
        <f t="shared" si="42"/>
        <v>0</v>
      </c>
      <c r="AC99" s="8">
        <f t="shared" si="42"/>
        <v>0</v>
      </c>
      <c r="AD99" s="8">
        <f t="shared" si="42"/>
        <v>0</v>
      </c>
      <c r="AE99" s="8">
        <f t="shared" si="42"/>
        <v>0</v>
      </c>
      <c r="AF99" s="8">
        <f t="shared" si="42"/>
        <v>0</v>
      </c>
      <c r="AG99" s="8">
        <f t="shared" si="42"/>
        <v>0</v>
      </c>
      <c r="AH99" s="8">
        <f t="shared" si="42"/>
        <v>0</v>
      </c>
      <c r="AI99" s="8">
        <f t="shared" si="42"/>
        <v>0</v>
      </c>
      <c r="AJ99" s="8">
        <f t="shared" ref="AJ99:BO99" si="43">AI102</f>
        <v>0</v>
      </c>
      <c r="AK99" s="8">
        <f t="shared" si="43"/>
        <v>0</v>
      </c>
      <c r="AL99" s="8">
        <f t="shared" si="43"/>
        <v>0</v>
      </c>
      <c r="AM99" s="8">
        <f t="shared" si="43"/>
        <v>0</v>
      </c>
      <c r="AN99" s="8">
        <f t="shared" si="43"/>
        <v>0</v>
      </c>
      <c r="AO99" s="8">
        <f t="shared" si="43"/>
        <v>0</v>
      </c>
      <c r="AP99" s="8">
        <f t="shared" si="43"/>
        <v>0</v>
      </c>
      <c r="AQ99" s="8">
        <f t="shared" si="43"/>
        <v>0</v>
      </c>
      <c r="AR99" s="8">
        <f t="shared" si="43"/>
        <v>0</v>
      </c>
      <c r="AS99" s="8">
        <f t="shared" si="43"/>
        <v>0</v>
      </c>
      <c r="AT99" s="8">
        <f t="shared" si="43"/>
        <v>0</v>
      </c>
      <c r="AU99" s="8">
        <f t="shared" si="43"/>
        <v>0</v>
      </c>
      <c r="AV99" s="8">
        <f t="shared" si="43"/>
        <v>0</v>
      </c>
      <c r="AW99" s="8">
        <f t="shared" si="43"/>
        <v>0</v>
      </c>
      <c r="AX99" s="8">
        <f t="shared" si="43"/>
        <v>0</v>
      </c>
      <c r="AY99" s="8">
        <f t="shared" si="43"/>
        <v>0</v>
      </c>
      <c r="AZ99" s="8">
        <f t="shared" si="43"/>
        <v>0</v>
      </c>
      <c r="BA99" s="8">
        <f t="shared" si="43"/>
        <v>0</v>
      </c>
      <c r="BB99" s="8">
        <f t="shared" si="43"/>
        <v>0</v>
      </c>
      <c r="BC99" s="8">
        <f t="shared" si="43"/>
        <v>0</v>
      </c>
      <c r="BD99" s="8">
        <f t="shared" si="43"/>
        <v>0</v>
      </c>
      <c r="BE99" s="8">
        <f t="shared" si="43"/>
        <v>0</v>
      </c>
      <c r="BF99" s="8">
        <f t="shared" si="43"/>
        <v>0</v>
      </c>
      <c r="BG99" s="8">
        <f t="shared" si="43"/>
        <v>0</v>
      </c>
      <c r="BH99" s="8">
        <f t="shared" si="43"/>
        <v>0</v>
      </c>
      <c r="BI99" s="8">
        <f t="shared" si="43"/>
        <v>0</v>
      </c>
      <c r="BJ99" s="8">
        <f t="shared" si="43"/>
        <v>0</v>
      </c>
      <c r="BK99" s="8">
        <f t="shared" si="43"/>
        <v>0</v>
      </c>
      <c r="BL99" s="8">
        <f t="shared" si="43"/>
        <v>0</v>
      </c>
      <c r="BM99" s="8">
        <f t="shared" si="43"/>
        <v>0</v>
      </c>
      <c r="BN99" s="8">
        <f t="shared" si="43"/>
        <v>0</v>
      </c>
      <c r="BO99" s="8">
        <f t="shared" si="43"/>
        <v>0</v>
      </c>
      <c r="BP99" s="8">
        <f t="shared" ref="BP99:CH99" si="44">BO102</f>
        <v>0</v>
      </c>
      <c r="BQ99" s="8">
        <f t="shared" si="44"/>
        <v>0</v>
      </c>
      <c r="BR99" s="8">
        <f t="shared" si="44"/>
        <v>0</v>
      </c>
      <c r="BS99" s="8">
        <f t="shared" si="44"/>
        <v>0</v>
      </c>
      <c r="BT99" s="8">
        <f t="shared" si="44"/>
        <v>0</v>
      </c>
      <c r="BU99" s="8">
        <f t="shared" si="44"/>
        <v>0</v>
      </c>
      <c r="BV99" s="8">
        <f t="shared" si="44"/>
        <v>0</v>
      </c>
      <c r="BW99" s="8">
        <f t="shared" si="44"/>
        <v>0</v>
      </c>
      <c r="BX99" s="8">
        <f t="shared" si="44"/>
        <v>0</v>
      </c>
      <c r="BY99" s="8">
        <f t="shared" si="44"/>
        <v>0</v>
      </c>
      <c r="BZ99" s="8">
        <f t="shared" si="44"/>
        <v>0</v>
      </c>
      <c r="CA99" s="8">
        <f t="shared" si="44"/>
        <v>0</v>
      </c>
      <c r="CB99" s="8">
        <f t="shared" si="44"/>
        <v>0</v>
      </c>
      <c r="CC99" s="8">
        <f t="shared" si="44"/>
        <v>0</v>
      </c>
      <c r="CD99" s="8">
        <f t="shared" si="44"/>
        <v>0</v>
      </c>
      <c r="CE99" s="8">
        <f t="shared" si="44"/>
        <v>0</v>
      </c>
      <c r="CF99" s="8">
        <f t="shared" si="44"/>
        <v>0</v>
      </c>
      <c r="CG99" s="8">
        <f t="shared" si="44"/>
        <v>0</v>
      </c>
      <c r="CH99" s="8">
        <f t="shared" si="44"/>
        <v>0</v>
      </c>
      <c r="CI99" s="23"/>
    </row>
    <row r="100" spans="1:87" ht="15" customHeight="1" x14ac:dyDescent="0.25">
      <c r="A100" s="7" t="s">
        <v>131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132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133</v>
      </c>
      <c r="B102" s="28"/>
      <c r="C102" s="32">
        <f t="shared" ref="C102:AH102" si="45">MAX(0,C99+C100+C101)</f>
        <v>1615485</v>
      </c>
      <c r="D102" s="32">
        <f t="shared" si="45"/>
        <v>1615485</v>
      </c>
      <c r="E102" s="32">
        <f t="shared" si="45"/>
        <v>1676065.6875</v>
      </c>
      <c r="F102" s="32">
        <f t="shared" si="45"/>
        <v>1676065.6875</v>
      </c>
      <c r="G102" s="32">
        <f t="shared" si="45"/>
        <v>1676065.6875</v>
      </c>
      <c r="H102" s="32">
        <f t="shared" si="45"/>
        <v>1738918.1507812501</v>
      </c>
      <c r="I102" s="32">
        <f t="shared" si="45"/>
        <v>1608918.1507812501</v>
      </c>
      <c r="J102" s="32">
        <f t="shared" si="45"/>
        <v>1478918.1507812501</v>
      </c>
      <c r="K102" s="32">
        <f t="shared" si="45"/>
        <v>1404377.581435547</v>
      </c>
      <c r="L102" s="32">
        <f t="shared" si="45"/>
        <v>1274377.581435547</v>
      </c>
      <c r="M102" s="32">
        <f t="shared" si="45"/>
        <v>1144377.581435547</v>
      </c>
      <c r="N102" s="32">
        <f t="shared" si="45"/>
        <v>1057291.74073938</v>
      </c>
      <c r="O102" s="32">
        <f t="shared" si="45"/>
        <v>927291.74073938001</v>
      </c>
      <c r="P102" s="32">
        <f t="shared" si="45"/>
        <v>797291.74073938001</v>
      </c>
      <c r="Q102" s="32">
        <f t="shared" si="45"/>
        <v>697190.18101710675</v>
      </c>
      <c r="R102" s="32">
        <f t="shared" si="45"/>
        <v>567190.18101710675</v>
      </c>
      <c r="S102" s="32">
        <f t="shared" si="45"/>
        <v>437190.18101710675</v>
      </c>
      <c r="T102" s="32">
        <f t="shared" si="45"/>
        <v>323584.81280524825</v>
      </c>
      <c r="U102" s="32">
        <f t="shared" si="45"/>
        <v>193584.81280524825</v>
      </c>
      <c r="V102" s="32">
        <f t="shared" si="45"/>
        <v>63584.81280524825</v>
      </c>
      <c r="W102" s="32">
        <f t="shared" si="45"/>
        <v>0</v>
      </c>
      <c r="X102" s="32">
        <f t="shared" si="45"/>
        <v>0</v>
      </c>
      <c r="Y102" s="32">
        <f t="shared" si="45"/>
        <v>0</v>
      </c>
      <c r="Z102" s="32">
        <f t="shared" si="45"/>
        <v>0</v>
      </c>
      <c r="AA102" s="32">
        <f t="shared" si="45"/>
        <v>0</v>
      </c>
      <c r="AB102" s="32">
        <f t="shared" si="45"/>
        <v>0</v>
      </c>
      <c r="AC102" s="32">
        <f t="shared" si="45"/>
        <v>0</v>
      </c>
      <c r="AD102" s="32">
        <f t="shared" si="45"/>
        <v>0</v>
      </c>
      <c r="AE102" s="32">
        <f t="shared" si="45"/>
        <v>0</v>
      </c>
      <c r="AF102" s="32">
        <f t="shared" si="45"/>
        <v>0</v>
      </c>
      <c r="AG102" s="32">
        <f t="shared" si="45"/>
        <v>0</v>
      </c>
      <c r="AH102" s="32">
        <f t="shared" si="45"/>
        <v>0</v>
      </c>
      <c r="AI102" s="32">
        <f t="shared" ref="AI102:BN102" si="46">MAX(0,AI99+AI100+AI101)</f>
        <v>0</v>
      </c>
      <c r="AJ102" s="32">
        <f t="shared" si="46"/>
        <v>0</v>
      </c>
      <c r="AK102" s="32">
        <f t="shared" si="46"/>
        <v>0</v>
      </c>
      <c r="AL102" s="32">
        <f t="shared" si="46"/>
        <v>0</v>
      </c>
      <c r="AM102" s="32">
        <f t="shared" si="46"/>
        <v>0</v>
      </c>
      <c r="AN102" s="32">
        <f t="shared" si="46"/>
        <v>0</v>
      </c>
      <c r="AO102" s="32">
        <f t="shared" si="46"/>
        <v>0</v>
      </c>
      <c r="AP102" s="32">
        <f t="shared" si="46"/>
        <v>0</v>
      </c>
      <c r="AQ102" s="32">
        <f t="shared" si="46"/>
        <v>0</v>
      </c>
      <c r="AR102" s="32">
        <f t="shared" si="46"/>
        <v>0</v>
      </c>
      <c r="AS102" s="32">
        <f t="shared" si="46"/>
        <v>0</v>
      </c>
      <c r="AT102" s="32">
        <f t="shared" si="46"/>
        <v>0</v>
      </c>
      <c r="AU102" s="32">
        <f t="shared" si="46"/>
        <v>0</v>
      </c>
      <c r="AV102" s="32">
        <f t="shared" si="46"/>
        <v>0</v>
      </c>
      <c r="AW102" s="32">
        <f t="shared" si="46"/>
        <v>0</v>
      </c>
      <c r="AX102" s="32">
        <f t="shared" si="46"/>
        <v>0</v>
      </c>
      <c r="AY102" s="32">
        <f t="shared" si="46"/>
        <v>0</v>
      </c>
      <c r="AZ102" s="32">
        <f t="shared" si="46"/>
        <v>0</v>
      </c>
      <c r="BA102" s="32">
        <f t="shared" si="46"/>
        <v>0</v>
      </c>
      <c r="BB102" s="32">
        <f t="shared" si="46"/>
        <v>0</v>
      </c>
      <c r="BC102" s="32">
        <f t="shared" si="46"/>
        <v>0</v>
      </c>
      <c r="BD102" s="32">
        <f t="shared" si="46"/>
        <v>0</v>
      </c>
      <c r="BE102" s="32">
        <f t="shared" si="46"/>
        <v>0</v>
      </c>
      <c r="BF102" s="32">
        <f t="shared" si="46"/>
        <v>0</v>
      </c>
      <c r="BG102" s="32">
        <f t="shared" si="46"/>
        <v>0</v>
      </c>
      <c r="BH102" s="32">
        <f t="shared" si="46"/>
        <v>0</v>
      </c>
      <c r="BI102" s="32">
        <f t="shared" si="46"/>
        <v>0</v>
      </c>
      <c r="BJ102" s="32">
        <f t="shared" si="46"/>
        <v>0</v>
      </c>
      <c r="BK102" s="32">
        <f t="shared" si="46"/>
        <v>0</v>
      </c>
      <c r="BL102" s="32">
        <f t="shared" si="46"/>
        <v>0</v>
      </c>
      <c r="BM102" s="32">
        <f t="shared" si="46"/>
        <v>0</v>
      </c>
      <c r="BN102" s="32">
        <f t="shared" si="46"/>
        <v>0</v>
      </c>
      <c r="BO102" s="32">
        <f t="shared" ref="BO102:CT102" si="47">MAX(0,BO99+BO100+BO101)</f>
        <v>0</v>
      </c>
      <c r="BP102" s="32">
        <f t="shared" si="47"/>
        <v>0</v>
      </c>
      <c r="BQ102" s="32">
        <f t="shared" si="47"/>
        <v>0</v>
      </c>
      <c r="BR102" s="32">
        <f t="shared" si="47"/>
        <v>0</v>
      </c>
      <c r="BS102" s="32">
        <f t="shared" si="47"/>
        <v>0</v>
      </c>
      <c r="BT102" s="32">
        <f t="shared" si="47"/>
        <v>0</v>
      </c>
      <c r="BU102" s="32">
        <f t="shared" si="47"/>
        <v>0</v>
      </c>
      <c r="BV102" s="32">
        <f t="shared" si="47"/>
        <v>0</v>
      </c>
      <c r="BW102" s="32">
        <f t="shared" si="47"/>
        <v>0</v>
      </c>
      <c r="BX102" s="32">
        <f t="shared" si="47"/>
        <v>0</v>
      </c>
      <c r="BY102" s="32">
        <f t="shared" si="47"/>
        <v>0</v>
      </c>
      <c r="BZ102" s="32">
        <f t="shared" si="47"/>
        <v>0</v>
      </c>
      <c r="CA102" s="32">
        <f t="shared" si="47"/>
        <v>0</v>
      </c>
      <c r="CB102" s="32">
        <f t="shared" si="47"/>
        <v>0</v>
      </c>
      <c r="CC102" s="32">
        <f t="shared" si="47"/>
        <v>0</v>
      </c>
      <c r="CD102" s="32">
        <f t="shared" si="47"/>
        <v>0</v>
      </c>
      <c r="CE102" s="32">
        <f t="shared" si="47"/>
        <v>0</v>
      </c>
      <c r="CF102" s="32">
        <f t="shared" si="47"/>
        <v>0</v>
      </c>
      <c r="CG102" s="32">
        <f t="shared" si="47"/>
        <v>0</v>
      </c>
      <c r="CH102" s="32">
        <f t="shared" si="47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134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130</v>
      </c>
      <c r="B106" s="22"/>
      <c r="C106" s="8">
        <f>Assumptions!$B$41</f>
        <v>1000000</v>
      </c>
      <c r="D106" s="8">
        <f t="shared" ref="D106:AI106" si="48">C108</f>
        <v>1000000</v>
      </c>
      <c r="E106" s="8">
        <f t="shared" si="48"/>
        <v>1000000</v>
      </c>
      <c r="F106" s="8">
        <f t="shared" si="48"/>
        <v>1000000</v>
      </c>
      <c r="G106" s="8">
        <f t="shared" si="48"/>
        <v>1000000</v>
      </c>
      <c r="H106" s="8">
        <f t="shared" si="48"/>
        <v>1000000</v>
      </c>
      <c r="I106" s="8">
        <f t="shared" si="48"/>
        <v>1000000</v>
      </c>
      <c r="J106" s="8">
        <f t="shared" si="48"/>
        <v>1000000</v>
      </c>
      <c r="K106" s="8">
        <f t="shared" si="48"/>
        <v>1000000</v>
      </c>
      <c r="L106" s="8">
        <f t="shared" si="48"/>
        <v>1000000</v>
      </c>
      <c r="M106" s="8">
        <f t="shared" si="48"/>
        <v>1000000</v>
      </c>
      <c r="N106" s="8">
        <f t="shared" si="48"/>
        <v>750000</v>
      </c>
      <c r="O106" s="8">
        <f t="shared" si="48"/>
        <v>750000</v>
      </c>
      <c r="P106" s="8">
        <f t="shared" si="48"/>
        <v>750000</v>
      </c>
      <c r="Q106" s="8">
        <f t="shared" si="48"/>
        <v>750000</v>
      </c>
      <c r="R106" s="8">
        <f t="shared" si="48"/>
        <v>750000</v>
      </c>
      <c r="S106" s="8">
        <f t="shared" si="48"/>
        <v>750000</v>
      </c>
      <c r="T106" s="8">
        <f t="shared" si="48"/>
        <v>750000</v>
      </c>
      <c r="U106" s="8">
        <f t="shared" si="48"/>
        <v>750000</v>
      </c>
      <c r="V106" s="8">
        <f t="shared" si="48"/>
        <v>750000</v>
      </c>
      <c r="W106" s="8">
        <f t="shared" si="48"/>
        <v>750000</v>
      </c>
      <c r="X106" s="8">
        <f t="shared" si="48"/>
        <v>750000</v>
      </c>
      <c r="Y106" s="8">
        <f t="shared" si="48"/>
        <v>750000</v>
      </c>
      <c r="Z106" s="8">
        <f t="shared" si="48"/>
        <v>500000</v>
      </c>
      <c r="AA106" s="8">
        <f t="shared" si="48"/>
        <v>500000</v>
      </c>
      <c r="AB106" s="8">
        <f t="shared" si="48"/>
        <v>500000</v>
      </c>
      <c r="AC106" s="8">
        <f t="shared" si="48"/>
        <v>500000</v>
      </c>
      <c r="AD106" s="8">
        <f t="shared" si="48"/>
        <v>500000</v>
      </c>
      <c r="AE106" s="8">
        <f t="shared" si="48"/>
        <v>500000</v>
      </c>
      <c r="AF106" s="8">
        <f t="shared" si="48"/>
        <v>500000</v>
      </c>
      <c r="AG106" s="8">
        <f t="shared" si="48"/>
        <v>500000</v>
      </c>
      <c r="AH106" s="8">
        <f t="shared" si="48"/>
        <v>500000</v>
      </c>
      <c r="AI106" s="8">
        <f t="shared" si="48"/>
        <v>500000</v>
      </c>
      <c r="AJ106" s="8">
        <f t="shared" ref="AJ106:BO106" si="49">AI108</f>
        <v>500000</v>
      </c>
      <c r="AK106" s="8">
        <f t="shared" si="49"/>
        <v>500000</v>
      </c>
      <c r="AL106" s="8">
        <f t="shared" si="49"/>
        <v>500000</v>
      </c>
      <c r="AM106" s="8">
        <f t="shared" si="49"/>
        <v>500000</v>
      </c>
      <c r="AN106" s="8">
        <f t="shared" si="49"/>
        <v>500000</v>
      </c>
      <c r="AO106" s="8">
        <f t="shared" si="49"/>
        <v>500000</v>
      </c>
      <c r="AP106" s="8">
        <f t="shared" si="49"/>
        <v>500000</v>
      </c>
      <c r="AQ106" s="8">
        <f t="shared" si="49"/>
        <v>500000</v>
      </c>
      <c r="AR106" s="8">
        <f t="shared" si="49"/>
        <v>500000</v>
      </c>
      <c r="AS106" s="8">
        <f t="shared" si="49"/>
        <v>500000</v>
      </c>
      <c r="AT106" s="8">
        <f t="shared" si="49"/>
        <v>500000</v>
      </c>
      <c r="AU106" s="8">
        <f t="shared" si="49"/>
        <v>500000</v>
      </c>
      <c r="AV106" s="8">
        <f t="shared" si="49"/>
        <v>500000</v>
      </c>
      <c r="AW106" s="8">
        <f t="shared" si="49"/>
        <v>500000</v>
      </c>
      <c r="AX106" s="8">
        <f t="shared" si="49"/>
        <v>500000</v>
      </c>
      <c r="AY106" s="8">
        <f t="shared" si="49"/>
        <v>500000</v>
      </c>
      <c r="AZ106" s="8">
        <f t="shared" si="49"/>
        <v>500000</v>
      </c>
      <c r="BA106" s="8">
        <f t="shared" si="49"/>
        <v>500000</v>
      </c>
      <c r="BB106" s="8">
        <f t="shared" si="49"/>
        <v>500000</v>
      </c>
      <c r="BC106" s="8">
        <f t="shared" si="49"/>
        <v>500000</v>
      </c>
      <c r="BD106" s="8">
        <f t="shared" si="49"/>
        <v>500000</v>
      </c>
      <c r="BE106" s="8">
        <f t="shared" si="49"/>
        <v>500000</v>
      </c>
      <c r="BF106" s="8">
        <f t="shared" si="49"/>
        <v>500000</v>
      </c>
      <c r="BG106" s="8">
        <f t="shared" si="49"/>
        <v>500000</v>
      </c>
      <c r="BH106" s="8">
        <f t="shared" si="49"/>
        <v>500000</v>
      </c>
      <c r="BI106" s="8">
        <f t="shared" si="49"/>
        <v>500000</v>
      </c>
      <c r="BJ106" s="8">
        <f t="shared" si="49"/>
        <v>500000</v>
      </c>
      <c r="BK106" s="8">
        <f t="shared" si="49"/>
        <v>500000</v>
      </c>
      <c r="BL106" s="8">
        <f t="shared" si="49"/>
        <v>500000</v>
      </c>
      <c r="BM106" s="8">
        <f t="shared" si="49"/>
        <v>500000</v>
      </c>
      <c r="BN106" s="8">
        <f t="shared" si="49"/>
        <v>500000</v>
      </c>
      <c r="BO106" s="8">
        <f t="shared" si="49"/>
        <v>500000</v>
      </c>
      <c r="BP106" s="8">
        <f t="shared" ref="BP106:CH106" si="50">BO108</f>
        <v>500000</v>
      </c>
      <c r="BQ106" s="8">
        <f t="shared" si="50"/>
        <v>500000</v>
      </c>
      <c r="BR106" s="8">
        <f t="shared" si="50"/>
        <v>500000</v>
      </c>
      <c r="BS106" s="8">
        <f t="shared" si="50"/>
        <v>500000</v>
      </c>
      <c r="BT106" s="8">
        <f t="shared" si="50"/>
        <v>500000</v>
      </c>
      <c r="BU106" s="8">
        <f t="shared" si="50"/>
        <v>500000</v>
      </c>
      <c r="BV106" s="8">
        <f t="shared" si="50"/>
        <v>500000</v>
      </c>
      <c r="BW106" s="8">
        <f t="shared" si="50"/>
        <v>500000</v>
      </c>
      <c r="BX106" s="8">
        <f t="shared" si="50"/>
        <v>500000</v>
      </c>
      <c r="BY106" s="8">
        <f t="shared" si="50"/>
        <v>500000</v>
      </c>
      <c r="BZ106" s="8">
        <f t="shared" si="50"/>
        <v>500000</v>
      </c>
      <c r="CA106" s="8">
        <f t="shared" si="50"/>
        <v>500000</v>
      </c>
      <c r="CB106" s="8">
        <f t="shared" si="50"/>
        <v>500000</v>
      </c>
      <c r="CC106" s="8">
        <f t="shared" si="50"/>
        <v>500000</v>
      </c>
      <c r="CD106" s="8">
        <f t="shared" si="50"/>
        <v>500000</v>
      </c>
      <c r="CE106" s="8">
        <f t="shared" si="50"/>
        <v>500000</v>
      </c>
      <c r="CF106" s="8">
        <f t="shared" si="50"/>
        <v>500000</v>
      </c>
      <c r="CG106" s="8">
        <f t="shared" si="50"/>
        <v>500000</v>
      </c>
      <c r="CH106" s="8">
        <f t="shared" si="50"/>
        <v>500000</v>
      </c>
      <c r="CI106" s="23"/>
    </row>
    <row r="107" spans="1:87" ht="15" customHeight="1" x14ac:dyDescent="0.25">
      <c r="A107" s="7" t="s">
        <v>135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s="34" customFormat="1" ht="15" customHeight="1" x14ac:dyDescent="0.25">
      <c r="A108" s="33" t="s">
        <v>133</v>
      </c>
      <c r="B108" s="28"/>
      <c r="C108" s="32">
        <f t="shared" ref="C108:AH108" si="51">MAX(0,C106+C107)</f>
        <v>1000000</v>
      </c>
      <c r="D108" s="32">
        <f t="shared" si="51"/>
        <v>1000000</v>
      </c>
      <c r="E108" s="32">
        <f t="shared" si="51"/>
        <v>1000000</v>
      </c>
      <c r="F108" s="32">
        <f t="shared" si="51"/>
        <v>1000000</v>
      </c>
      <c r="G108" s="32">
        <f t="shared" si="51"/>
        <v>1000000</v>
      </c>
      <c r="H108" s="32">
        <f t="shared" si="51"/>
        <v>1000000</v>
      </c>
      <c r="I108" s="32">
        <f t="shared" si="51"/>
        <v>1000000</v>
      </c>
      <c r="J108" s="32">
        <f t="shared" si="51"/>
        <v>1000000</v>
      </c>
      <c r="K108" s="32">
        <f t="shared" si="51"/>
        <v>1000000</v>
      </c>
      <c r="L108" s="32">
        <f t="shared" si="51"/>
        <v>1000000</v>
      </c>
      <c r="M108" s="32">
        <f t="shared" si="51"/>
        <v>750000</v>
      </c>
      <c r="N108" s="32">
        <f t="shared" si="51"/>
        <v>750000</v>
      </c>
      <c r="O108" s="32">
        <f t="shared" si="51"/>
        <v>750000</v>
      </c>
      <c r="P108" s="32">
        <f t="shared" si="51"/>
        <v>750000</v>
      </c>
      <c r="Q108" s="32">
        <f t="shared" si="51"/>
        <v>750000</v>
      </c>
      <c r="R108" s="32">
        <f t="shared" si="51"/>
        <v>750000</v>
      </c>
      <c r="S108" s="32">
        <f t="shared" si="51"/>
        <v>750000</v>
      </c>
      <c r="T108" s="32">
        <f t="shared" si="51"/>
        <v>750000</v>
      </c>
      <c r="U108" s="32">
        <f t="shared" si="51"/>
        <v>750000</v>
      </c>
      <c r="V108" s="32">
        <f t="shared" si="51"/>
        <v>750000</v>
      </c>
      <c r="W108" s="32">
        <f t="shared" si="51"/>
        <v>750000</v>
      </c>
      <c r="X108" s="32">
        <f t="shared" si="51"/>
        <v>750000</v>
      </c>
      <c r="Y108" s="32">
        <f t="shared" si="51"/>
        <v>500000</v>
      </c>
      <c r="Z108" s="32">
        <f t="shared" si="51"/>
        <v>500000</v>
      </c>
      <c r="AA108" s="32">
        <f t="shared" si="51"/>
        <v>500000</v>
      </c>
      <c r="AB108" s="32">
        <f t="shared" si="51"/>
        <v>500000</v>
      </c>
      <c r="AC108" s="32">
        <f t="shared" si="51"/>
        <v>500000</v>
      </c>
      <c r="AD108" s="32">
        <f t="shared" si="51"/>
        <v>500000</v>
      </c>
      <c r="AE108" s="32">
        <f t="shared" si="51"/>
        <v>500000</v>
      </c>
      <c r="AF108" s="32">
        <f t="shared" si="51"/>
        <v>500000</v>
      </c>
      <c r="AG108" s="32">
        <f t="shared" si="51"/>
        <v>500000</v>
      </c>
      <c r="AH108" s="32">
        <f t="shared" si="51"/>
        <v>500000</v>
      </c>
      <c r="AI108" s="32">
        <f t="shared" ref="AI108:BN108" si="52">MAX(0,AI106+AI107)</f>
        <v>500000</v>
      </c>
      <c r="AJ108" s="32">
        <f t="shared" si="52"/>
        <v>500000</v>
      </c>
      <c r="AK108" s="32">
        <f t="shared" si="52"/>
        <v>500000</v>
      </c>
      <c r="AL108" s="32">
        <f t="shared" si="52"/>
        <v>500000</v>
      </c>
      <c r="AM108" s="32">
        <f t="shared" si="52"/>
        <v>500000</v>
      </c>
      <c r="AN108" s="32">
        <f t="shared" si="52"/>
        <v>500000</v>
      </c>
      <c r="AO108" s="32">
        <f t="shared" si="52"/>
        <v>500000</v>
      </c>
      <c r="AP108" s="32">
        <f t="shared" si="52"/>
        <v>500000</v>
      </c>
      <c r="AQ108" s="32">
        <f t="shared" si="52"/>
        <v>500000</v>
      </c>
      <c r="AR108" s="32">
        <f t="shared" si="52"/>
        <v>500000</v>
      </c>
      <c r="AS108" s="32">
        <f t="shared" si="52"/>
        <v>500000</v>
      </c>
      <c r="AT108" s="32">
        <f t="shared" si="52"/>
        <v>500000</v>
      </c>
      <c r="AU108" s="32">
        <f t="shared" si="52"/>
        <v>500000</v>
      </c>
      <c r="AV108" s="32">
        <f t="shared" si="52"/>
        <v>500000</v>
      </c>
      <c r="AW108" s="32">
        <f t="shared" si="52"/>
        <v>500000</v>
      </c>
      <c r="AX108" s="32">
        <f t="shared" si="52"/>
        <v>500000</v>
      </c>
      <c r="AY108" s="32">
        <f t="shared" si="52"/>
        <v>500000</v>
      </c>
      <c r="AZ108" s="32">
        <f t="shared" si="52"/>
        <v>500000</v>
      </c>
      <c r="BA108" s="32">
        <f t="shared" si="52"/>
        <v>500000</v>
      </c>
      <c r="BB108" s="32">
        <f t="shared" si="52"/>
        <v>500000</v>
      </c>
      <c r="BC108" s="32">
        <f t="shared" si="52"/>
        <v>500000</v>
      </c>
      <c r="BD108" s="32">
        <f t="shared" si="52"/>
        <v>500000</v>
      </c>
      <c r="BE108" s="32">
        <f t="shared" si="52"/>
        <v>500000</v>
      </c>
      <c r="BF108" s="32">
        <f t="shared" si="52"/>
        <v>500000</v>
      </c>
      <c r="BG108" s="32">
        <f t="shared" si="52"/>
        <v>500000</v>
      </c>
      <c r="BH108" s="32">
        <f t="shared" si="52"/>
        <v>500000</v>
      </c>
      <c r="BI108" s="32">
        <f t="shared" si="52"/>
        <v>500000</v>
      </c>
      <c r="BJ108" s="32">
        <f t="shared" si="52"/>
        <v>500000</v>
      </c>
      <c r="BK108" s="32">
        <f t="shared" si="52"/>
        <v>500000</v>
      </c>
      <c r="BL108" s="32">
        <f t="shared" si="52"/>
        <v>500000</v>
      </c>
      <c r="BM108" s="32">
        <f t="shared" si="52"/>
        <v>500000</v>
      </c>
      <c r="BN108" s="32">
        <f t="shared" si="52"/>
        <v>500000</v>
      </c>
      <c r="BO108" s="32">
        <f t="shared" ref="BO108:CT108" si="53">MAX(0,BO106+BO107)</f>
        <v>500000</v>
      </c>
      <c r="BP108" s="32">
        <f t="shared" si="53"/>
        <v>500000</v>
      </c>
      <c r="BQ108" s="32">
        <f t="shared" si="53"/>
        <v>500000</v>
      </c>
      <c r="BR108" s="32">
        <f t="shared" si="53"/>
        <v>500000</v>
      </c>
      <c r="BS108" s="32">
        <f t="shared" si="53"/>
        <v>500000</v>
      </c>
      <c r="BT108" s="32">
        <f t="shared" si="53"/>
        <v>500000</v>
      </c>
      <c r="BU108" s="32">
        <f t="shared" si="53"/>
        <v>500000</v>
      </c>
      <c r="BV108" s="32">
        <f t="shared" si="53"/>
        <v>500000</v>
      </c>
      <c r="BW108" s="32">
        <f t="shared" si="53"/>
        <v>500000</v>
      </c>
      <c r="BX108" s="32">
        <f t="shared" si="53"/>
        <v>500000</v>
      </c>
      <c r="BY108" s="32">
        <f t="shared" si="53"/>
        <v>500000</v>
      </c>
      <c r="BZ108" s="32">
        <f t="shared" si="53"/>
        <v>500000</v>
      </c>
      <c r="CA108" s="32">
        <f t="shared" si="53"/>
        <v>500000</v>
      </c>
      <c r="CB108" s="32">
        <f t="shared" si="53"/>
        <v>500000</v>
      </c>
      <c r="CC108" s="32">
        <f t="shared" si="53"/>
        <v>500000</v>
      </c>
      <c r="CD108" s="32">
        <f t="shared" si="53"/>
        <v>500000</v>
      </c>
      <c r="CE108" s="32">
        <f t="shared" si="53"/>
        <v>500000</v>
      </c>
      <c r="CF108" s="32">
        <f t="shared" si="53"/>
        <v>500000</v>
      </c>
      <c r="CG108" s="32">
        <f t="shared" si="53"/>
        <v>500000</v>
      </c>
      <c r="CH108" s="32">
        <f t="shared" si="53"/>
        <v>500000</v>
      </c>
      <c r="CI108" s="23"/>
    </row>
    <row r="109" spans="1:87" ht="16.5" customHeight="1" x14ac:dyDescent="0.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6"/>
    </row>
    <row r="110" spans="1:87" ht="15" customHeight="1" x14ac:dyDescent="0.25">
      <c r="A110" s="2" t="s">
        <v>136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137</v>
      </c>
      <c r="B111" s="7"/>
      <c r="C111" s="37">
        <f>IF(AND(Projects!$G$11="Yes",Projects!$C$11&lt;=1),Assumptions!$B$60,0)</f>
        <v>0</v>
      </c>
      <c r="D111" s="37">
        <f>IF(AND(Projects!$G$11="Yes",2=Projects!$C$11),Assumptions!$B$60,C115)</f>
        <v>0</v>
      </c>
      <c r="E111" s="37">
        <f>IF(AND(Projects!$G$11="Yes",3=Projects!$C$11),Assumptions!$B$60,D115)</f>
        <v>0</v>
      </c>
      <c r="F111" s="37">
        <f>IF(AND(Projects!$G$11="Yes",4=Projects!$C$11),Assumptions!$B$60,E115)</f>
        <v>0</v>
      </c>
      <c r="G111" s="37">
        <f>IF(AND(Projects!$G$11="Yes",5=Projects!$C$11),Assumptions!$B$60,F115)</f>
        <v>0</v>
      </c>
      <c r="H111" s="37">
        <f>IF(AND(Projects!$G$11="Yes",6=Projects!$C$11),Assumptions!$B$60,G115)</f>
        <v>0</v>
      </c>
      <c r="I111" s="37">
        <f>IF(AND(Projects!$G$11="Yes",7=Projects!$C$11),Assumptions!$B$60,H115)</f>
        <v>0</v>
      </c>
      <c r="J111" s="37">
        <f>IF(AND(Projects!$G$11="Yes",8=Projects!$C$11),Assumptions!$B$60,I115)</f>
        <v>0</v>
      </c>
      <c r="K111" s="37">
        <f>IF(AND(Projects!$G$11="Yes",9=Projects!$C$11),Assumptions!$B$60,J115)</f>
        <v>0</v>
      </c>
      <c r="L111" s="37">
        <f>IF(AND(Projects!$G$11="Yes",10=Projects!$C$11),Assumptions!$B$60,K115)</f>
        <v>0</v>
      </c>
      <c r="M111" s="37">
        <f>IF(AND(Projects!$G$11="Yes",11=Projects!$C$11),Assumptions!$B$60,L115)</f>
        <v>0</v>
      </c>
      <c r="N111" s="37">
        <f>IF(AND(Projects!$G$11="Yes",12=Projects!$C$11),Assumptions!$B$60,M115)</f>
        <v>0</v>
      </c>
      <c r="O111" s="37">
        <f>IF(AND(Projects!$G$11="Yes",13=Projects!$C$11),Assumptions!$B$60,N115)</f>
        <v>0</v>
      </c>
      <c r="P111" s="37">
        <f>IF(AND(Projects!$G$11="Yes",14=Projects!$C$11),Assumptions!$B$60,O115)</f>
        <v>0</v>
      </c>
      <c r="Q111" s="37">
        <f>IF(AND(Projects!$G$11="Yes",15=Projects!$C$11),Assumptions!$B$60,P115)</f>
        <v>0</v>
      </c>
      <c r="R111" s="37">
        <f>IF(AND(Projects!$G$11="Yes",16=Projects!$C$11),Assumptions!$B$60,Q115)</f>
        <v>0</v>
      </c>
      <c r="S111" s="37">
        <f>IF(AND(Projects!$G$11="Yes",17=Projects!$C$11),Assumptions!$B$60,R115)</f>
        <v>0</v>
      </c>
      <c r="T111" s="37">
        <f>IF(AND(Projects!$G$11="Yes",18=Projects!$C$11),Assumptions!$B$60,S115)</f>
        <v>0</v>
      </c>
      <c r="U111" s="37">
        <f>IF(AND(Projects!$G$11="Yes",19=Projects!$C$11),Assumptions!$B$60,T115)</f>
        <v>0</v>
      </c>
      <c r="V111" s="37">
        <f>IF(AND(Projects!$G$11="Yes",20=Projects!$C$11),Assumptions!$B$60,U115)</f>
        <v>0</v>
      </c>
      <c r="W111" s="37">
        <f>IF(AND(Projects!$G$11="Yes",21=Projects!$C$11),Assumptions!$B$60,V115)</f>
        <v>0</v>
      </c>
      <c r="X111" s="37">
        <f>IF(AND(Projects!$G$11="Yes",22=Projects!$C$11),Assumptions!$B$60,W115)</f>
        <v>0</v>
      </c>
      <c r="Y111" s="37">
        <f>IF(AND(Projects!$G$11="Yes",23=Projects!$C$11),Assumptions!$B$60,X115)</f>
        <v>0</v>
      </c>
      <c r="Z111" s="37">
        <f>IF(AND(Projects!$G$11="Yes",24=Projects!$C$11),Assumptions!$B$60,Y115)</f>
        <v>0</v>
      </c>
      <c r="AA111" s="37">
        <f>IF(AND(Projects!$G$11="Yes",25=Projects!$C$11),Assumptions!$B$60,Z115)</f>
        <v>0</v>
      </c>
      <c r="AB111" s="37">
        <f>IF(AND(Projects!$G$11="Yes",26=Projects!$C$11),Assumptions!$B$60,AA115)</f>
        <v>0</v>
      </c>
      <c r="AC111" s="37">
        <f>IF(AND(Projects!$G$11="Yes",27=Projects!$C$11),Assumptions!$B$60,AB115)</f>
        <v>0</v>
      </c>
      <c r="AD111" s="37">
        <f>IF(AND(Projects!$G$11="Yes",28=Projects!$C$11),Assumptions!$B$60,AC115)</f>
        <v>0</v>
      </c>
      <c r="AE111" s="37">
        <f>IF(AND(Projects!$G$11="Yes",29=Projects!$C$11),Assumptions!$B$60,AD115)</f>
        <v>0</v>
      </c>
      <c r="AF111" s="37">
        <f>IF(AND(Projects!$G$11="Yes",30=Projects!$C$11),Assumptions!$B$60,AE115)</f>
        <v>0</v>
      </c>
      <c r="AG111" s="37">
        <f>IF(AND(Projects!$G$11="Yes",31=Projects!$C$11),Assumptions!$B$60,AF115)</f>
        <v>0</v>
      </c>
      <c r="AH111" s="37">
        <f>IF(AND(Projects!$G$11="Yes",32=Projects!$C$11),Assumptions!$B$60,AG115)</f>
        <v>0</v>
      </c>
      <c r="AI111" s="37">
        <f>IF(AND(Projects!$G$11="Yes",33=Projects!$C$11),Assumptions!$B$60,AH115)</f>
        <v>0</v>
      </c>
      <c r="AJ111" s="37">
        <f>IF(AND(Projects!$G$11="Yes",34=Projects!$C$11),Assumptions!$B$60,AI115)</f>
        <v>0</v>
      </c>
      <c r="AK111" s="37">
        <f>IF(AND(Projects!$G$11="Yes",35=Projects!$C$11),Assumptions!$B$60,AJ115)</f>
        <v>0</v>
      </c>
      <c r="AL111" s="37">
        <f>IF(AND(Projects!$G$11="Yes",36=Projects!$C$11),Assumptions!$B$60,AK115)</f>
        <v>0</v>
      </c>
      <c r="AM111" s="37">
        <f>IF(AND(Projects!$G$11="Yes",37=Projects!$C$11),Assumptions!$B$60,AL115)</f>
        <v>0</v>
      </c>
      <c r="AN111" s="37">
        <f>IF(AND(Projects!$G$11="Yes",38=Projects!$C$11),Assumptions!$B$60,AM115)</f>
        <v>0</v>
      </c>
      <c r="AO111" s="37">
        <f>IF(AND(Projects!$G$11="Yes",39=Projects!$C$11),Assumptions!$B$60,AN115)</f>
        <v>0</v>
      </c>
      <c r="AP111" s="37">
        <f>IF(AND(Projects!$G$11="Yes",40=Projects!$C$11),Assumptions!$B$60,AO115)</f>
        <v>0</v>
      </c>
      <c r="AQ111" s="37">
        <f>IF(AND(Projects!$G$11="Yes",41=Projects!$C$11),Assumptions!$B$60,AP115)</f>
        <v>0</v>
      </c>
      <c r="AR111" s="37">
        <f>IF(AND(Projects!$G$11="Yes",42=Projects!$C$11),Assumptions!$B$60,AQ115)</f>
        <v>0</v>
      </c>
      <c r="AS111" s="37">
        <f>IF(AND(Projects!$G$11="Yes",43=Projects!$C$11),Assumptions!$B$60,AR115)</f>
        <v>0</v>
      </c>
      <c r="AT111" s="37">
        <f>IF(AND(Projects!$G$11="Yes",44=Projects!$C$11),Assumptions!$B$60,AS115)</f>
        <v>0</v>
      </c>
      <c r="AU111" s="37">
        <f>IF(AND(Projects!$G$11="Yes",45=Projects!$C$11),Assumptions!$B$60,AT115)</f>
        <v>0</v>
      </c>
      <c r="AV111" s="37">
        <f>IF(AND(Projects!$G$11="Yes",46=Projects!$C$11),Assumptions!$B$60,AU115)</f>
        <v>0</v>
      </c>
      <c r="AW111" s="37">
        <f>IF(AND(Projects!$G$11="Yes",47=Projects!$C$11),Assumptions!$B$60,AV115)</f>
        <v>0</v>
      </c>
      <c r="AX111" s="37">
        <f>IF(AND(Projects!$G$11="Yes",48=Projects!$C$11),Assumptions!$B$60,AW115)</f>
        <v>0</v>
      </c>
      <c r="AY111" s="37">
        <f>IF(AND(Projects!$G$11="Yes",49=Projects!$C$11),Assumptions!$B$60,AX115)</f>
        <v>0</v>
      </c>
      <c r="AZ111" s="37">
        <f>IF(AND(Projects!$G$11="Yes",50=Projects!$C$11),Assumptions!$B$60,AY115)</f>
        <v>0</v>
      </c>
      <c r="BA111" s="37">
        <f>IF(AND(Projects!$G$11="Yes",51=Projects!$C$11),Assumptions!$B$60,AZ115)</f>
        <v>0</v>
      </c>
      <c r="BB111" s="37">
        <f>IF(AND(Projects!$G$11="Yes",52=Projects!$C$11),Assumptions!$B$60,BA115)</f>
        <v>0</v>
      </c>
      <c r="BC111" s="37">
        <f>IF(AND(Projects!$G$11="Yes",53=Projects!$C$11),Assumptions!$B$60,BB115)</f>
        <v>0</v>
      </c>
      <c r="BD111" s="37">
        <f>IF(AND(Projects!$G$11="Yes",54=Projects!$C$11),Assumptions!$B$60,BC115)</f>
        <v>0</v>
      </c>
      <c r="BE111" s="37">
        <f>IF(AND(Projects!$G$11="Yes",55=Projects!$C$11),Assumptions!$B$60,BD115)</f>
        <v>0</v>
      </c>
      <c r="BF111" s="37">
        <f>IF(AND(Projects!$G$11="Yes",56=Projects!$C$11),Assumptions!$B$60,BE115)</f>
        <v>0</v>
      </c>
      <c r="BG111" s="37">
        <f>IF(AND(Projects!$G$11="Yes",57=Projects!$C$11),Assumptions!$B$60,BF115)</f>
        <v>0</v>
      </c>
      <c r="BH111" s="37">
        <f>IF(AND(Projects!$G$11="Yes",58=Projects!$C$11),Assumptions!$B$60,BG115)</f>
        <v>0</v>
      </c>
      <c r="BI111" s="37">
        <f>IF(AND(Projects!$G$11="Yes",59=Projects!$C$11),Assumptions!$B$60,BH115)</f>
        <v>0</v>
      </c>
      <c r="BJ111" s="37">
        <f>IF(AND(Projects!$G$11="Yes",60=Projects!$C$11),Assumptions!$B$60,BI115)</f>
        <v>0</v>
      </c>
      <c r="BK111" s="37">
        <f>IF(AND(Projects!$G$11="Yes",61=Projects!$C$11),Assumptions!$B$60,BJ115)</f>
        <v>0</v>
      </c>
      <c r="BL111" s="37">
        <f>IF(AND(Projects!$G$11="Yes",62=Projects!$C$11),Assumptions!$B$60,BK115)</f>
        <v>0</v>
      </c>
      <c r="BM111" s="37">
        <f>IF(AND(Projects!$G$11="Yes",63=Projects!$C$11),Assumptions!$B$60,BL115)</f>
        <v>0</v>
      </c>
      <c r="BN111" s="37">
        <f>IF(AND(Projects!$G$11="Yes",64=Projects!$C$11),Assumptions!$B$60,BM115)</f>
        <v>0</v>
      </c>
      <c r="BO111" s="37">
        <f>IF(AND(Projects!$G$11="Yes",65=Projects!$C$11),Assumptions!$B$60,BN115)</f>
        <v>0</v>
      </c>
      <c r="BP111" s="37">
        <f>IF(AND(Projects!$G$11="Yes",66=Projects!$C$11),Assumptions!$B$60,BO115)</f>
        <v>0</v>
      </c>
      <c r="BQ111" s="37">
        <f>IF(AND(Projects!$G$11="Yes",67=Projects!$C$11),Assumptions!$B$60,BP115)</f>
        <v>0</v>
      </c>
      <c r="BR111" s="37">
        <f>IF(AND(Projects!$G$11="Yes",68=Projects!$C$11),Assumptions!$B$60,BQ115)</f>
        <v>0</v>
      </c>
      <c r="BS111" s="37">
        <f>IF(AND(Projects!$G$11="Yes",69=Projects!$C$11),Assumptions!$B$60,BR115)</f>
        <v>0</v>
      </c>
      <c r="BT111" s="37">
        <f>IF(AND(Projects!$G$11="Yes",70=Projects!$C$11),Assumptions!$B$60,BS115)</f>
        <v>0</v>
      </c>
      <c r="BU111" s="37">
        <f>IF(AND(Projects!$G$11="Yes",71=Projects!$C$11),Assumptions!$B$60,BT115)</f>
        <v>0</v>
      </c>
      <c r="BV111" s="37">
        <f>IF(AND(Projects!$G$11="Yes",72=Projects!$C$11),Assumptions!$B$60,BU115)</f>
        <v>0</v>
      </c>
      <c r="BW111" s="37">
        <f>IF(AND(Projects!$G$11="Yes",73=Projects!$C$11),Assumptions!$B$60,BV115)</f>
        <v>0</v>
      </c>
      <c r="BX111" s="37">
        <f>IF(AND(Projects!$G$11="Yes",74=Projects!$C$11),Assumptions!$B$60,BW115)</f>
        <v>0</v>
      </c>
      <c r="BY111" s="37">
        <f>IF(AND(Projects!$G$11="Yes",75=Projects!$C$11),Assumptions!$B$60,BX115)</f>
        <v>0</v>
      </c>
      <c r="BZ111" s="37">
        <f>IF(AND(Projects!$G$11="Yes",76=Projects!$C$11),Assumptions!$B$60,BY115)</f>
        <v>0</v>
      </c>
      <c r="CA111" s="37">
        <f>IF(AND(Projects!$G$11="Yes",77=Projects!$C$11),Assumptions!$B$60,BZ115)</f>
        <v>0</v>
      </c>
      <c r="CB111" s="37">
        <f>IF(AND(Projects!$G$11="Yes",78=Projects!$C$11),Assumptions!$B$60,CA115)</f>
        <v>0</v>
      </c>
      <c r="CC111" s="37">
        <f>IF(AND(Projects!$G$11="Yes",79=Projects!$C$11),Assumptions!$B$60,CB115)</f>
        <v>0</v>
      </c>
      <c r="CD111" s="37">
        <f>IF(AND(Projects!$G$11="Yes",80=Projects!$C$11),Assumptions!$B$60,CC115)</f>
        <v>0</v>
      </c>
      <c r="CE111" s="37">
        <f>IF(AND(Projects!$G$11="Yes",81=Projects!$C$11),Assumptions!$B$60,CD115)</f>
        <v>0</v>
      </c>
      <c r="CF111" s="37">
        <f>IF(AND(Projects!$G$11="Yes",82=Projects!$C$11),Assumptions!$B$60,CE115)</f>
        <v>0</v>
      </c>
      <c r="CG111" s="37">
        <f>IF(AND(Projects!$G$11="Yes",83=Projects!$C$11),Assumptions!$B$60,CF115)</f>
        <v>0</v>
      </c>
      <c r="CH111" s="37">
        <f>IF(AND(Projects!$G$11="Yes",84=Projects!$C$11),Assumptions!$B$60,CG115)</f>
        <v>0</v>
      </c>
      <c r="CI111" s="23"/>
    </row>
    <row r="112" spans="1:87" ht="15" customHeight="1" x14ac:dyDescent="0.25">
      <c r="A112" s="7" t="s">
        <v>138</v>
      </c>
      <c r="B112" s="7"/>
      <c r="C112" s="37">
        <f>IF(AND(MOD(1,3)=0,C111&gt;0),C111*Assumptions!$B$59,0)</f>
        <v>0</v>
      </c>
      <c r="D112" s="37">
        <f>IF(AND(MOD(2,3)=0,D111&gt;0),D111*Assumptions!$B$59,0)</f>
        <v>0</v>
      </c>
      <c r="E112" s="37">
        <f>IF(AND(MOD(3,3)=0,E111&gt;0),E111*Assumptions!$B$59,0)</f>
        <v>0</v>
      </c>
      <c r="F112" s="37">
        <f>IF(AND(MOD(4,3)=0,F111&gt;0),F111*Assumptions!$B$59,0)</f>
        <v>0</v>
      </c>
      <c r="G112" s="37">
        <f>IF(AND(MOD(5,3)=0,G111&gt;0),G111*Assumptions!$B$59,0)</f>
        <v>0</v>
      </c>
      <c r="H112" s="37">
        <f>IF(AND(MOD(6,3)=0,H111&gt;0),H111*Assumptions!$B$59,0)</f>
        <v>0</v>
      </c>
      <c r="I112" s="37">
        <f>IF(AND(MOD(7,3)=0,I111&gt;0),I111*Assumptions!$B$59,0)</f>
        <v>0</v>
      </c>
      <c r="J112" s="37">
        <f>IF(AND(MOD(8,3)=0,J111&gt;0),J111*Assumptions!$B$59,0)</f>
        <v>0</v>
      </c>
      <c r="K112" s="37">
        <f>IF(AND(MOD(9,3)=0,K111&gt;0),K111*Assumptions!$B$59,0)</f>
        <v>0</v>
      </c>
      <c r="L112" s="37">
        <f>IF(AND(MOD(10,3)=0,L111&gt;0),L111*Assumptions!$B$59,0)</f>
        <v>0</v>
      </c>
      <c r="M112" s="37">
        <f>IF(AND(MOD(11,3)=0,M111&gt;0),M111*Assumptions!$B$59,0)</f>
        <v>0</v>
      </c>
      <c r="N112" s="37">
        <f>IF(AND(MOD(12,3)=0,N111&gt;0),N111*Assumptions!$B$59,0)</f>
        <v>0</v>
      </c>
      <c r="O112" s="37">
        <f>IF(AND(MOD(13,3)=0,O111&gt;0),O111*Assumptions!$B$59,0)</f>
        <v>0</v>
      </c>
      <c r="P112" s="37">
        <f>IF(AND(MOD(14,3)=0,P111&gt;0),P111*Assumptions!$B$59,0)</f>
        <v>0</v>
      </c>
      <c r="Q112" s="37">
        <f>IF(AND(MOD(15,3)=0,Q111&gt;0),Q111*Assumptions!$B$59,0)</f>
        <v>0</v>
      </c>
      <c r="R112" s="37">
        <f>IF(AND(MOD(16,3)=0,R111&gt;0),R111*Assumptions!$B$59,0)</f>
        <v>0</v>
      </c>
      <c r="S112" s="37">
        <f>IF(AND(MOD(17,3)=0,S111&gt;0),S111*Assumptions!$B$59,0)</f>
        <v>0</v>
      </c>
      <c r="T112" s="37">
        <f>IF(AND(MOD(18,3)=0,T111&gt;0),T111*Assumptions!$B$59,0)</f>
        <v>0</v>
      </c>
      <c r="U112" s="37">
        <f>IF(AND(MOD(19,3)=0,U111&gt;0),U111*Assumptions!$B$59,0)</f>
        <v>0</v>
      </c>
      <c r="V112" s="37">
        <f>IF(AND(MOD(20,3)=0,V111&gt;0),V111*Assumptions!$B$59,0)</f>
        <v>0</v>
      </c>
      <c r="W112" s="37">
        <f>IF(AND(MOD(21,3)=0,W111&gt;0),W111*Assumptions!$B$59,0)</f>
        <v>0</v>
      </c>
      <c r="X112" s="37">
        <f>IF(AND(MOD(22,3)=0,X111&gt;0),X111*Assumptions!$B$59,0)</f>
        <v>0</v>
      </c>
      <c r="Y112" s="37">
        <f>IF(AND(MOD(23,3)=0,Y111&gt;0),Y111*Assumptions!$B$59,0)</f>
        <v>0</v>
      </c>
      <c r="Z112" s="37">
        <f>IF(AND(MOD(24,3)=0,Z111&gt;0),Z111*Assumptions!$B$59,0)</f>
        <v>0</v>
      </c>
      <c r="AA112" s="37">
        <f>IF(AND(MOD(25,3)=0,AA111&gt;0),AA111*Assumptions!$B$59,0)</f>
        <v>0</v>
      </c>
      <c r="AB112" s="37">
        <f>IF(AND(MOD(26,3)=0,AB111&gt;0),AB111*Assumptions!$B$59,0)</f>
        <v>0</v>
      </c>
      <c r="AC112" s="37">
        <f>IF(AND(MOD(27,3)=0,AC111&gt;0),AC111*Assumptions!$B$59,0)</f>
        <v>0</v>
      </c>
      <c r="AD112" s="37">
        <f>IF(AND(MOD(28,3)=0,AD111&gt;0),AD111*Assumptions!$B$59,0)</f>
        <v>0</v>
      </c>
      <c r="AE112" s="37">
        <f>IF(AND(MOD(29,3)=0,AE111&gt;0),AE111*Assumptions!$B$59,0)</f>
        <v>0</v>
      </c>
      <c r="AF112" s="37">
        <f>IF(AND(MOD(30,3)=0,AF111&gt;0),AF111*Assumptions!$B$59,0)</f>
        <v>0</v>
      </c>
      <c r="AG112" s="37">
        <f>IF(AND(MOD(31,3)=0,AG111&gt;0),AG111*Assumptions!$B$59,0)</f>
        <v>0</v>
      </c>
      <c r="AH112" s="37">
        <f>IF(AND(MOD(32,3)=0,AH111&gt;0),AH111*Assumptions!$B$59,0)</f>
        <v>0</v>
      </c>
      <c r="AI112" s="37">
        <f>IF(AND(MOD(33,3)=0,AI111&gt;0),AI111*Assumptions!$B$59,0)</f>
        <v>0</v>
      </c>
      <c r="AJ112" s="37">
        <f>IF(AND(MOD(34,3)=0,AJ111&gt;0),AJ111*Assumptions!$B$59,0)</f>
        <v>0</v>
      </c>
      <c r="AK112" s="37">
        <f>IF(AND(MOD(35,3)=0,AK111&gt;0),AK111*Assumptions!$B$59,0)</f>
        <v>0</v>
      </c>
      <c r="AL112" s="37">
        <f>IF(AND(MOD(36,3)=0,AL111&gt;0),AL111*Assumptions!$B$59,0)</f>
        <v>0</v>
      </c>
      <c r="AM112" s="37">
        <f>IF(AND(MOD(37,3)=0,AM111&gt;0),AM111*Assumptions!$B$59,0)</f>
        <v>0</v>
      </c>
      <c r="AN112" s="37">
        <f>IF(AND(MOD(38,3)=0,AN111&gt;0),AN111*Assumptions!$B$59,0)</f>
        <v>0</v>
      </c>
      <c r="AO112" s="37">
        <f>IF(AND(MOD(39,3)=0,AO111&gt;0),AO111*Assumptions!$B$59,0)</f>
        <v>0</v>
      </c>
      <c r="AP112" s="37">
        <f>IF(AND(MOD(40,3)=0,AP111&gt;0),AP111*Assumptions!$B$59,0)</f>
        <v>0</v>
      </c>
      <c r="AQ112" s="37">
        <f>IF(AND(MOD(41,3)=0,AQ111&gt;0),AQ111*Assumptions!$B$59,0)</f>
        <v>0</v>
      </c>
      <c r="AR112" s="37">
        <f>IF(AND(MOD(42,3)=0,AR111&gt;0),AR111*Assumptions!$B$59,0)</f>
        <v>0</v>
      </c>
      <c r="AS112" s="37">
        <f>IF(AND(MOD(43,3)=0,AS111&gt;0),AS111*Assumptions!$B$59,0)</f>
        <v>0</v>
      </c>
      <c r="AT112" s="37">
        <f>IF(AND(MOD(44,3)=0,AT111&gt;0),AT111*Assumptions!$B$59,0)</f>
        <v>0</v>
      </c>
      <c r="AU112" s="37">
        <f>IF(AND(MOD(45,3)=0,AU111&gt;0),AU111*Assumptions!$B$59,0)</f>
        <v>0</v>
      </c>
      <c r="AV112" s="37">
        <f>IF(AND(MOD(46,3)=0,AV111&gt;0),AV111*Assumptions!$B$59,0)</f>
        <v>0</v>
      </c>
      <c r="AW112" s="37">
        <f>IF(AND(MOD(47,3)=0,AW111&gt;0),AW111*Assumptions!$B$59,0)</f>
        <v>0</v>
      </c>
      <c r="AX112" s="37">
        <f>IF(AND(MOD(48,3)=0,AX111&gt;0),AX111*Assumptions!$B$59,0)</f>
        <v>0</v>
      </c>
      <c r="AY112" s="37">
        <f>IF(AND(MOD(49,3)=0,AY111&gt;0),AY111*Assumptions!$B$59,0)</f>
        <v>0</v>
      </c>
      <c r="AZ112" s="37">
        <f>IF(AND(MOD(50,3)=0,AZ111&gt;0),AZ111*Assumptions!$B$59,0)</f>
        <v>0</v>
      </c>
      <c r="BA112" s="37">
        <f>IF(AND(MOD(51,3)=0,BA111&gt;0),BA111*Assumptions!$B$59,0)</f>
        <v>0</v>
      </c>
      <c r="BB112" s="37">
        <f>IF(AND(MOD(52,3)=0,BB111&gt;0),BB111*Assumptions!$B$59,0)</f>
        <v>0</v>
      </c>
      <c r="BC112" s="37">
        <f>IF(AND(MOD(53,3)=0,BC111&gt;0),BC111*Assumptions!$B$59,0)</f>
        <v>0</v>
      </c>
      <c r="BD112" s="37">
        <f>IF(AND(MOD(54,3)=0,BD111&gt;0),BD111*Assumptions!$B$59,0)</f>
        <v>0</v>
      </c>
      <c r="BE112" s="37">
        <f>IF(AND(MOD(55,3)=0,BE111&gt;0),BE111*Assumptions!$B$59,0)</f>
        <v>0</v>
      </c>
      <c r="BF112" s="37">
        <f>IF(AND(MOD(56,3)=0,BF111&gt;0),BF111*Assumptions!$B$59,0)</f>
        <v>0</v>
      </c>
      <c r="BG112" s="37">
        <f>IF(AND(MOD(57,3)=0,BG111&gt;0),BG111*Assumptions!$B$59,0)</f>
        <v>0</v>
      </c>
      <c r="BH112" s="37">
        <f>IF(AND(MOD(58,3)=0,BH111&gt;0),BH111*Assumptions!$B$59,0)</f>
        <v>0</v>
      </c>
      <c r="BI112" s="37">
        <f>IF(AND(MOD(59,3)=0,BI111&gt;0),BI111*Assumptions!$B$59,0)</f>
        <v>0</v>
      </c>
      <c r="BJ112" s="37">
        <f>IF(AND(MOD(60,3)=0,BJ111&gt;0),BJ111*Assumptions!$B$59,0)</f>
        <v>0</v>
      </c>
      <c r="BK112" s="37">
        <f>IF(AND(MOD(61,3)=0,BK111&gt;0),BK111*Assumptions!$B$59,0)</f>
        <v>0</v>
      </c>
      <c r="BL112" s="37">
        <f>IF(AND(MOD(62,3)=0,BL111&gt;0),BL111*Assumptions!$B$59,0)</f>
        <v>0</v>
      </c>
      <c r="BM112" s="37">
        <f>IF(AND(MOD(63,3)=0,BM111&gt;0),BM111*Assumptions!$B$59,0)</f>
        <v>0</v>
      </c>
      <c r="BN112" s="37">
        <f>IF(AND(MOD(64,3)=0,BN111&gt;0),BN111*Assumptions!$B$59,0)</f>
        <v>0</v>
      </c>
      <c r="BO112" s="37">
        <f>IF(AND(MOD(65,3)=0,BO111&gt;0),BO111*Assumptions!$B$59,0)</f>
        <v>0</v>
      </c>
      <c r="BP112" s="37">
        <f>IF(AND(MOD(66,3)=0,BP111&gt;0),BP111*Assumptions!$B$59,0)</f>
        <v>0</v>
      </c>
      <c r="BQ112" s="37">
        <f>IF(AND(MOD(67,3)=0,BQ111&gt;0),BQ111*Assumptions!$B$59,0)</f>
        <v>0</v>
      </c>
      <c r="BR112" s="37">
        <f>IF(AND(MOD(68,3)=0,BR111&gt;0),BR111*Assumptions!$B$59,0)</f>
        <v>0</v>
      </c>
      <c r="BS112" s="37">
        <f>IF(AND(MOD(69,3)=0,BS111&gt;0),BS111*Assumptions!$B$59,0)</f>
        <v>0</v>
      </c>
      <c r="BT112" s="37">
        <f>IF(AND(MOD(70,3)=0,BT111&gt;0),BT111*Assumptions!$B$59,0)</f>
        <v>0</v>
      </c>
      <c r="BU112" s="37">
        <f>IF(AND(MOD(71,3)=0,BU111&gt;0),BU111*Assumptions!$B$59,0)</f>
        <v>0</v>
      </c>
      <c r="BV112" s="37">
        <f>IF(AND(MOD(72,3)=0,BV111&gt;0),BV111*Assumptions!$B$59,0)</f>
        <v>0</v>
      </c>
      <c r="BW112" s="37">
        <f>IF(AND(MOD(73,3)=0,BW111&gt;0),BW111*Assumptions!$B$59,0)</f>
        <v>0</v>
      </c>
      <c r="BX112" s="37">
        <f>IF(AND(MOD(74,3)=0,BX111&gt;0),BX111*Assumptions!$B$59,0)</f>
        <v>0</v>
      </c>
      <c r="BY112" s="37">
        <f>IF(AND(MOD(75,3)=0,BY111&gt;0),BY111*Assumptions!$B$59,0)</f>
        <v>0</v>
      </c>
      <c r="BZ112" s="37">
        <f>IF(AND(MOD(76,3)=0,BZ111&gt;0),BZ111*Assumptions!$B$59,0)</f>
        <v>0</v>
      </c>
      <c r="CA112" s="37">
        <f>IF(AND(MOD(77,3)=0,CA111&gt;0),CA111*Assumptions!$B$59,0)</f>
        <v>0</v>
      </c>
      <c r="CB112" s="37">
        <f>IF(AND(MOD(78,3)=0,CB111&gt;0),CB111*Assumptions!$B$59,0)</f>
        <v>0</v>
      </c>
      <c r="CC112" s="37">
        <f>IF(AND(MOD(79,3)=0,CC111&gt;0),CC111*Assumptions!$B$59,0)</f>
        <v>0</v>
      </c>
      <c r="CD112" s="37">
        <f>IF(AND(MOD(80,3)=0,CD111&gt;0),CD111*Assumptions!$B$59,0)</f>
        <v>0</v>
      </c>
      <c r="CE112" s="37">
        <f>IF(AND(MOD(81,3)=0,CE111&gt;0),CE111*Assumptions!$B$59,0)</f>
        <v>0</v>
      </c>
      <c r="CF112" s="37">
        <f>IF(AND(MOD(82,3)=0,CF111&gt;0),CF111*Assumptions!$B$59,0)</f>
        <v>0</v>
      </c>
      <c r="CG112" s="37">
        <f>IF(AND(MOD(83,3)=0,CG111&gt;0),CG111*Assumptions!$B$59,0)</f>
        <v>0</v>
      </c>
      <c r="CH112" s="37">
        <f>IF(AND(MOD(84,3)=0,CH111&gt;0),CH111*Assumptions!$B$59,0)</f>
        <v>0</v>
      </c>
      <c r="CI112" s="23"/>
    </row>
    <row r="113" spans="1:87" ht="15" customHeight="1" x14ac:dyDescent="0.25">
      <c r="A113" s="7" t="s">
        <v>139</v>
      </c>
      <c r="B113" s="7"/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37">
        <v>0</v>
      </c>
      <c r="AH113" s="37">
        <v>0</v>
      </c>
      <c r="AI113" s="37">
        <v>0</v>
      </c>
      <c r="AJ113" s="37">
        <v>0</v>
      </c>
      <c r="AK113" s="37">
        <v>0</v>
      </c>
      <c r="AL113" s="37">
        <v>0</v>
      </c>
      <c r="AM113" s="37">
        <v>0</v>
      </c>
      <c r="AN113" s="37">
        <v>0</v>
      </c>
      <c r="AO113" s="37">
        <v>0</v>
      </c>
      <c r="AP113" s="37">
        <v>0</v>
      </c>
      <c r="AQ113" s="37">
        <v>0</v>
      </c>
      <c r="AR113" s="37">
        <v>0</v>
      </c>
      <c r="AS113" s="37">
        <v>0</v>
      </c>
      <c r="AT113" s="37">
        <v>0</v>
      </c>
      <c r="AU113" s="37">
        <v>0</v>
      </c>
      <c r="AV113" s="37">
        <v>0</v>
      </c>
      <c r="AW113" s="37">
        <v>0</v>
      </c>
      <c r="AX113" s="37">
        <v>0</v>
      </c>
      <c r="AY113" s="37">
        <v>0</v>
      </c>
      <c r="AZ113" s="37">
        <v>0</v>
      </c>
      <c r="BA113" s="37">
        <v>0</v>
      </c>
      <c r="BB113" s="37">
        <v>0</v>
      </c>
      <c r="BC113" s="37">
        <v>0</v>
      </c>
      <c r="BD113" s="37">
        <v>0</v>
      </c>
      <c r="BE113" s="37">
        <v>0</v>
      </c>
      <c r="BF113" s="37">
        <v>0</v>
      </c>
      <c r="BG113" s="37">
        <v>0</v>
      </c>
      <c r="BH113" s="37">
        <v>0</v>
      </c>
      <c r="BI113" s="37">
        <v>0</v>
      </c>
      <c r="BJ113" s="37">
        <v>0</v>
      </c>
      <c r="BK113" s="37">
        <v>0</v>
      </c>
      <c r="BL113" s="37">
        <v>0</v>
      </c>
      <c r="BM113" s="37">
        <v>0</v>
      </c>
      <c r="BN113" s="37">
        <v>0</v>
      </c>
      <c r="BO113" s="37">
        <v>0</v>
      </c>
      <c r="BP113" s="37">
        <v>0</v>
      </c>
      <c r="BQ113" s="37">
        <v>0</v>
      </c>
      <c r="BR113" s="37">
        <v>0</v>
      </c>
      <c r="BS113" s="37">
        <v>0</v>
      </c>
      <c r="BT113" s="37">
        <v>0</v>
      </c>
      <c r="BU113" s="37">
        <v>0</v>
      </c>
      <c r="BV113" s="37">
        <v>0</v>
      </c>
      <c r="BW113" s="37">
        <v>0</v>
      </c>
      <c r="BX113" s="37">
        <v>0</v>
      </c>
      <c r="BY113" s="37">
        <v>0</v>
      </c>
      <c r="BZ113" s="37">
        <v>0</v>
      </c>
      <c r="CA113" s="37">
        <v>0</v>
      </c>
      <c r="CB113" s="37">
        <v>0</v>
      </c>
      <c r="CC113" s="37">
        <v>0</v>
      </c>
      <c r="CD113" s="37">
        <v>0</v>
      </c>
      <c r="CE113" s="37">
        <v>0</v>
      </c>
      <c r="CF113" s="37">
        <v>0</v>
      </c>
      <c r="CG113" s="37">
        <v>0</v>
      </c>
      <c r="CH113" s="37">
        <v>0</v>
      </c>
      <c r="CI113" s="23"/>
    </row>
    <row r="114" spans="1:87" ht="15" customHeight="1" x14ac:dyDescent="0.25">
      <c r="A114" s="38" t="s">
        <v>140</v>
      </c>
      <c r="B114" s="38"/>
      <c r="C114" s="39">
        <v>0</v>
      </c>
      <c r="D114" s="39">
        <v>0</v>
      </c>
      <c r="E114" s="39">
        <v>0</v>
      </c>
      <c r="F114" s="39">
        <v>0</v>
      </c>
      <c r="G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  <c r="AA114" s="39">
        <v>0</v>
      </c>
      <c r="AB114" s="39">
        <v>0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39">
        <v>0</v>
      </c>
      <c r="AI114" s="39">
        <v>0</v>
      </c>
      <c r="AJ114" s="39">
        <v>0</v>
      </c>
      <c r="AK114" s="39">
        <v>0</v>
      </c>
      <c r="AL114" s="39">
        <v>0</v>
      </c>
      <c r="AM114" s="39">
        <v>0</v>
      </c>
      <c r="AN114" s="39">
        <v>0</v>
      </c>
      <c r="AO114" s="39">
        <v>0</v>
      </c>
      <c r="AP114" s="39">
        <v>0</v>
      </c>
      <c r="AQ114" s="39">
        <v>0</v>
      </c>
      <c r="AR114" s="39">
        <v>0</v>
      </c>
      <c r="AS114" s="39">
        <v>0</v>
      </c>
      <c r="AT114" s="39">
        <v>0</v>
      </c>
      <c r="AU114" s="39">
        <v>0</v>
      </c>
      <c r="AV114" s="39">
        <v>0</v>
      </c>
      <c r="AW114" s="39">
        <v>0</v>
      </c>
      <c r="AX114" s="39">
        <v>0</v>
      </c>
      <c r="AY114" s="39">
        <v>0</v>
      </c>
      <c r="AZ114" s="39">
        <v>0</v>
      </c>
      <c r="BA114" s="39">
        <v>0</v>
      </c>
      <c r="BB114" s="39">
        <v>0</v>
      </c>
      <c r="BC114" s="39">
        <v>0</v>
      </c>
      <c r="BD114" s="39">
        <v>0</v>
      </c>
      <c r="BE114" s="39">
        <v>0</v>
      </c>
      <c r="BF114" s="39">
        <v>0</v>
      </c>
      <c r="BG114" s="39">
        <v>0</v>
      </c>
      <c r="BH114" s="39">
        <v>0</v>
      </c>
      <c r="BI114" s="39">
        <v>0</v>
      </c>
      <c r="BJ114" s="39">
        <v>0</v>
      </c>
      <c r="BK114" s="39">
        <v>0</v>
      </c>
      <c r="BL114" s="39">
        <v>0</v>
      </c>
      <c r="BM114" s="39">
        <v>0</v>
      </c>
      <c r="BN114" s="39">
        <v>0</v>
      </c>
      <c r="BO114" s="39">
        <v>0</v>
      </c>
      <c r="BP114" s="39">
        <v>0</v>
      </c>
      <c r="BQ114" s="39">
        <v>0</v>
      </c>
      <c r="BR114" s="39">
        <v>0</v>
      </c>
      <c r="BS114" s="39">
        <v>0</v>
      </c>
      <c r="BT114" s="39">
        <v>0</v>
      </c>
      <c r="BU114" s="39">
        <v>0</v>
      </c>
      <c r="BV114" s="39">
        <v>0</v>
      </c>
      <c r="BW114" s="39">
        <v>0</v>
      </c>
      <c r="BX114" s="39">
        <v>0</v>
      </c>
      <c r="BY114" s="39">
        <v>0</v>
      </c>
      <c r="BZ114" s="39">
        <v>0</v>
      </c>
      <c r="CA114" s="39">
        <v>0</v>
      </c>
      <c r="CB114" s="39">
        <v>0</v>
      </c>
      <c r="CC114" s="39">
        <v>0</v>
      </c>
      <c r="CD114" s="39">
        <v>0</v>
      </c>
      <c r="CE114" s="39">
        <v>0</v>
      </c>
      <c r="CF114" s="39">
        <v>0</v>
      </c>
      <c r="CG114" s="39">
        <v>0</v>
      </c>
      <c r="CH114" s="39">
        <v>0</v>
      </c>
      <c r="CI114" s="23"/>
    </row>
    <row r="115" spans="1:87" ht="15" customHeight="1" x14ac:dyDescent="0.25">
      <c r="A115" s="40" t="s">
        <v>141</v>
      </c>
      <c r="B115" s="41"/>
      <c r="C115" s="42">
        <f t="shared" ref="C115:AH115" si="54">MAX(0,C111+C112+C113+C114)</f>
        <v>0</v>
      </c>
      <c r="D115" s="42">
        <f t="shared" si="54"/>
        <v>0</v>
      </c>
      <c r="E115" s="42">
        <f t="shared" si="54"/>
        <v>0</v>
      </c>
      <c r="F115" s="42">
        <f t="shared" si="54"/>
        <v>0</v>
      </c>
      <c r="G115" s="42">
        <f t="shared" si="54"/>
        <v>0</v>
      </c>
      <c r="H115" s="42">
        <f t="shared" si="54"/>
        <v>0</v>
      </c>
      <c r="I115" s="42">
        <f t="shared" si="54"/>
        <v>0</v>
      </c>
      <c r="J115" s="42">
        <f t="shared" si="54"/>
        <v>0</v>
      </c>
      <c r="K115" s="42">
        <f t="shared" si="54"/>
        <v>0</v>
      </c>
      <c r="L115" s="42">
        <f t="shared" si="54"/>
        <v>0</v>
      </c>
      <c r="M115" s="42">
        <f t="shared" si="54"/>
        <v>0</v>
      </c>
      <c r="N115" s="42">
        <f t="shared" si="54"/>
        <v>0</v>
      </c>
      <c r="O115" s="42">
        <f t="shared" si="54"/>
        <v>0</v>
      </c>
      <c r="P115" s="42">
        <f t="shared" si="54"/>
        <v>0</v>
      </c>
      <c r="Q115" s="42">
        <f t="shared" si="54"/>
        <v>0</v>
      </c>
      <c r="R115" s="42">
        <f t="shared" si="54"/>
        <v>0</v>
      </c>
      <c r="S115" s="42">
        <f t="shared" si="54"/>
        <v>0</v>
      </c>
      <c r="T115" s="42">
        <f t="shared" si="54"/>
        <v>0</v>
      </c>
      <c r="U115" s="42">
        <f t="shared" si="54"/>
        <v>0</v>
      </c>
      <c r="V115" s="42">
        <f t="shared" si="54"/>
        <v>0</v>
      </c>
      <c r="W115" s="42">
        <f t="shared" si="54"/>
        <v>0</v>
      </c>
      <c r="X115" s="42">
        <f t="shared" si="54"/>
        <v>0</v>
      </c>
      <c r="Y115" s="42">
        <f t="shared" si="54"/>
        <v>0</v>
      </c>
      <c r="Z115" s="42">
        <f t="shared" si="54"/>
        <v>0</v>
      </c>
      <c r="AA115" s="42">
        <f t="shared" si="54"/>
        <v>0</v>
      </c>
      <c r="AB115" s="42">
        <f t="shared" si="54"/>
        <v>0</v>
      </c>
      <c r="AC115" s="42">
        <f t="shared" si="54"/>
        <v>0</v>
      </c>
      <c r="AD115" s="42">
        <f t="shared" si="54"/>
        <v>0</v>
      </c>
      <c r="AE115" s="42">
        <f t="shared" si="54"/>
        <v>0</v>
      </c>
      <c r="AF115" s="42">
        <f t="shared" si="54"/>
        <v>0</v>
      </c>
      <c r="AG115" s="42">
        <f t="shared" si="54"/>
        <v>0</v>
      </c>
      <c r="AH115" s="42">
        <f t="shared" si="54"/>
        <v>0</v>
      </c>
      <c r="AI115" s="42">
        <f t="shared" ref="AI115:BN115" si="55">MAX(0,AI111+AI112+AI113+AI114)</f>
        <v>0</v>
      </c>
      <c r="AJ115" s="42">
        <f t="shared" si="55"/>
        <v>0</v>
      </c>
      <c r="AK115" s="42">
        <f t="shared" si="55"/>
        <v>0</v>
      </c>
      <c r="AL115" s="42">
        <f t="shared" si="55"/>
        <v>0</v>
      </c>
      <c r="AM115" s="42">
        <f t="shared" si="55"/>
        <v>0</v>
      </c>
      <c r="AN115" s="42">
        <f t="shared" si="55"/>
        <v>0</v>
      </c>
      <c r="AO115" s="42">
        <f t="shared" si="55"/>
        <v>0</v>
      </c>
      <c r="AP115" s="42">
        <f t="shared" si="55"/>
        <v>0</v>
      </c>
      <c r="AQ115" s="42">
        <f t="shared" si="55"/>
        <v>0</v>
      </c>
      <c r="AR115" s="42">
        <f t="shared" si="55"/>
        <v>0</v>
      </c>
      <c r="AS115" s="42">
        <f t="shared" si="55"/>
        <v>0</v>
      </c>
      <c r="AT115" s="42">
        <f t="shared" si="55"/>
        <v>0</v>
      </c>
      <c r="AU115" s="42">
        <f t="shared" si="55"/>
        <v>0</v>
      </c>
      <c r="AV115" s="42">
        <f t="shared" si="55"/>
        <v>0</v>
      </c>
      <c r="AW115" s="42">
        <f t="shared" si="55"/>
        <v>0</v>
      </c>
      <c r="AX115" s="42">
        <f t="shared" si="55"/>
        <v>0</v>
      </c>
      <c r="AY115" s="42">
        <f t="shared" si="55"/>
        <v>0</v>
      </c>
      <c r="AZ115" s="42">
        <f t="shared" si="55"/>
        <v>0</v>
      </c>
      <c r="BA115" s="42">
        <f t="shared" si="55"/>
        <v>0</v>
      </c>
      <c r="BB115" s="42">
        <f t="shared" si="55"/>
        <v>0</v>
      </c>
      <c r="BC115" s="42">
        <f t="shared" si="55"/>
        <v>0</v>
      </c>
      <c r="BD115" s="42">
        <f t="shared" si="55"/>
        <v>0</v>
      </c>
      <c r="BE115" s="42">
        <f t="shared" si="55"/>
        <v>0</v>
      </c>
      <c r="BF115" s="42">
        <f t="shared" si="55"/>
        <v>0</v>
      </c>
      <c r="BG115" s="42">
        <f t="shared" si="55"/>
        <v>0</v>
      </c>
      <c r="BH115" s="42">
        <f t="shared" si="55"/>
        <v>0</v>
      </c>
      <c r="BI115" s="42">
        <f t="shared" si="55"/>
        <v>0</v>
      </c>
      <c r="BJ115" s="42">
        <f t="shared" si="55"/>
        <v>0</v>
      </c>
      <c r="BK115" s="42">
        <f t="shared" si="55"/>
        <v>0</v>
      </c>
      <c r="BL115" s="42">
        <f t="shared" si="55"/>
        <v>0</v>
      </c>
      <c r="BM115" s="42">
        <f t="shared" si="55"/>
        <v>0</v>
      </c>
      <c r="BN115" s="42">
        <f t="shared" si="55"/>
        <v>0</v>
      </c>
      <c r="BO115" s="42">
        <f t="shared" ref="BO115:CT115" si="56">MAX(0,BO111+BO112+BO113+BO114)</f>
        <v>0</v>
      </c>
      <c r="BP115" s="42">
        <f t="shared" si="56"/>
        <v>0</v>
      </c>
      <c r="BQ115" s="42">
        <f t="shared" si="56"/>
        <v>0</v>
      </c>
      <c r="BR115" s="42">
        <f t="shared" si="56"/>
        <v>0</v>
      </c>
      <c r="BS115" s="42">
        <f t="shared" si="56"/>
        <v>0</v>
      </c>
      <c r="BT115" s="42">
        <f t="shared" si="56"/>
        <v>0</v>
      </c>
      <c r="BU115" s="42">
        <f t="shared" si="56"/>
        <v>0</v>
      </c>
      <c r="BV115" s="42">
        <f t="shared" si="56"/>
        <v>0</v>
      </c>
      <c r="BW115" s="42">
        <f t="shared" si="56"/>
        <v>0</v>
      </c>
      <c r="BX115" s="42">
        <f t="shared" si="56"/>
        <v>0</v>
      </c>
      <c r="BY115" s="42">
        <f t="shared" si="56"/>
        <v>0</v>
      </c>
      <c r="BZ115" s="42">
        <f t="shared" si="56"/>
        <v>0</v>
      </c>
      <c r="CA115" s="42">
        <f t="shared" si="56"/>
        <v>0</v>
      </c>
      <c r="CB115" s="42">
        <f t="shared" si="56"/>
        <v>0</v>
      </c>
      <c r="CC115" s="42">
        <f t="shared" si="56"/>
        <v>0</v>
      </c>
      <c r="CD115" s="42">
        <f t="shared" si="56"/>
        <v>0</v>
      </c>
      <c r="CE115" s="42">
        <f t="shared" si="56"/>
        <v>0</v>
      </c>
      <c r="CF115" s="42">
        <f t="shared" si="56"/>
        <v>0</v>
      </c>
      <c r="CG115" s="42">
        <f t="shared" si="56"/>
        <v>0</v>
      </c>
      <c r="CH115" s="42">
        <f t="shared" si="56"/>
        <v>0</v>
      </c>
      <c r="CI115" s="23"/>
    </row>
    <row r="116" spans="1:87" ht="15" customHeight="1" x14ac:dyDescent="0.25">
      <c r="A116" s="7" t="s">
        <v>142</v>
      </c>
      <c r="B116" s="7"/>
      <c r="C116" s="37">
        <f>IF(AND(Projects!$G$12="Yes",Projects!$C$12&lt;=1),Assumptions!$B$61,0)</f>
        <v>0</v>
      </c>
      <c r="D116" s="37">
        <f>IF(AND(Projects!$G$12="Yes",2=Projects!$C$12),Assumptions!$B$61,C120)</f>
        <v>0</v>
      </c>
      <c r="E116" s="37">
        <f>IF(AND(Projects!$G$12="Yes",3=Projects!$C$12),Assumptions!$B$61,D120)</f>
        <v>0</v>
      </c>
      <c r="F116" s="37">
        <f>IF(AND(Projects!$G$12="Yes",4=Projects!$C$12),Assumptions!$B$61,E120)</f>
        <v>0</v>
      </c>
      <c r="G116" s="37">
        <f>IF(AND(Projects!$G$12="Yes",5=Projects!$C$12),Assumptions!$B$61,F120)</f>
        <v>0</v>
      </c>
      <c r="H116" s="37">
        <f>IF(AND(Projects!$G$12="Yes",6=Projects!$C$12),Assumptions!$B$61,G120)</f>
        <v>0</v>
      </c>
      <c r="I116" s="37">
        <f>IF(AND(Projects!$G$12="Yes",7=Projects!$C$12),Assumptions!$B$61,H120)</f>
        <v>0</v>
      </c>
      <c r="J116" s="37">
        <f>IF(AND(Projects!$G$12="Yes",8=Projects!$C$12),Assumptions!$B$61,I120)</f>
        <v>0</v>
      </c>
      <c r="K116" s="37">
        <f>IF(AND(Projects!$G$12="Yes",9=Projects!$C$12),Assumptions!$B$61,J120)</f>
        <v>0</v>
      </c>
      <c r="L116" s="37">
        <f>IF(AND(Projects!$G$12="Yes",10=Projects!$C$12),Assumptions!$B$61,K120)</f>
        <v>0</v>
      </c>
      <c r="M116" s="37">
        <f>IF(AND(Projects!$G$12="Yes",11=Projects!$C$12),Assumptions!$B$61,L120)</f>
        <v>0</v>
      </c>
      <c r="N116" s="37">
        <f>IF(AND(Projects!$G$12="Yes",12=Projects!$C$12),Assumptions!$B$61,M120)</f>
        <v>0</v>
      </c>
      <c r="O116" s="37">
        <f>IF(AND(Projects!$G$12="Yes",13=Projects!$C$12),Assumptions!$B$61,N120)</f>
        <v>0</v>
      </c>
      <c r="P116" s="37">
        <f>IF(AND(Projects!$G$12="Yes",14=Projects!$C$12),Assumptions!$B$61,O120)</f>
        <v>0</v>
      </c>
      <c r="Q116" s="37">
        <f>IF(AND(Projects!$G$12="Yes",15=Projects!$C$12),Assumptions!$B$61,P120)</f>
        <v>0</v>
      </c>
      <c r="R116" s="37">
        <f>IF(AND(Projects!$G$12="Yes",16=Projects!$C$12),Assumptions!$B$61,Q120)</f>
        <v>0</v>
      </c>
      <c r="S116" s="37">
        <f>IF(AND(Projects!$G$12="Yes",17=Projects!$C$12),Assumptions!$B$61,R120)</f>
        <v>0</v>
      </c>
      <c r="T116" s="37">
        <f>IF(AND(Projects!$G$12="Yes",18=Projects!$C$12),Assumptions!$B$61,S120)</f>
        <v>0</v>
      </c>
      <c r="U116" s="37">
        <f>IF(AND(Projects!$G$12="Yes",19=Projects!$C$12),Assumptions!$B$61,T120)</f>
        <v>0</v>
      </c>
      <c r="V116" s="37">
        <f>IF(AND(Projects!$G$12="Yes",20=Projects!$C$12),Assumptions!$B$61,U120)</f>
        <v>0</v>
      </c>
      <c r="W116" s="37">
        <f>IF(AND(Projects!$G$12="Yes",21=Projects!$C$12),Assumptions!$B$61,V120)</f>
        <v>0</v>
      </c>
      <c r="X116" s="37">
        <f>IF(AND(Projects!$G$12="Yes",22=Projects!$C$12),Assumptions!$B$61,W120)</f>
        <v>0</v>
      </c>
      <c r="Y116" s="37">
        <f>IF(AND(Projects!$G$12="Yes",23=Projects!$C$12),Assumptions!$B$61,X120)</f>
        <v>0</v>
      </c>
      <c r="Z116" s="37">
        <f>IF(AND(Projects!$G$12="Yes",24=Projects!$C$12),Assumptions!$B$61,Y120)</f>
        <v>0</v>
      </c>
      <c r="AA116" s="37">
        <f>IF(AND(Projects!$G$12="Yes",25=Projects!$C$12),Assumptions!$B$61,Z120)</f>
        <v>0</v>
      </c>
      <c r="AB116" s="37">
        <f>IF(AND(Projects!$G$12="Yes",26=Projects!$C$12),Assumptions!$B$61,AA120)</f>
        <v>0</v>
      </c>
      <c r="AC116" s="37">
        <f>IF(AND(Projects!$G$12="Yes",27=Projects!$C$12),Assumptions!$B$61,AB120)</f>
        <v>0</v>
      </c>
      <c r="AD116" s="37">
        <f>IF(AND(Projects!$G$12="Yes",28=Projects!$C$12),Assumptions!$B$61,AC120)</f>
        <v>0</v>
      </c>
      <c r="AE116" s="37">
        <f>IF(AND(Projects!$G$12="Yes",29=Projects!$C$12),Assumptions!$B$61,AD120)</f>
        <v>0</v>
      </c>
      <c r="AF116" s="37">
        <f>IF(AND(Projects!$G$12="Yes",30=Projects!$C$12),Assumptions!$B$61,AE120)</f>
        <v>0</v>
      </c>
      <c r="AG116" s="37">
        <f>IF(AND(Projects!$G$12="Yes",31=Projects!$C$12),Assumptions!$B$61,AF120)</f>
        <v>0</v>
      </c>
      <c r="AH116" s="37">
        <f>IF(AND(Projects!$G$12="Yes",32=Projects!$C$12),Assumptions!$B$61,AG120)</f>
        <v>0</v>
      </c>
      <c r="AI116" s="37">
        <f>IF(AND(Projects!$G$12="Yes",33=Projects!$C$12),Assumptions!$B$61,AH120)</f>
        <v>0</v>
      </c>
      <c r="AJ116" s="37">
        <f>IF(AND(Projects!$G$12="Yes",34=Projects!$C$12),Assumptions!$B$61,AI120)</f>
        <v>0</v>
      </c>
      <c r="AK116" s="37">
        <f>IF(AND(Projects!$G$12="Yes",35=Projects!$C$12),Assumptions!$B$61,AJ120)</f>
        <v>0</v>
      </c>
      <c r="AL116" s="37">
        <f>IF(AND(Projects!$G$12="Yes",36=Projects!$C$12),Assumptions!$B$61,AK120)</f>
        <v>0</v>
      </c>
      <c r="AM116" s="37">
        <f>IF(AND(Projects!$G$12="Yes",37=Projects!$C$12),Assumptions!$B$61,AL120)</f>
        <v>0</v>
      </c>
      <c r="AN116" s="37">
        <f>IF(AND(Projects!$G$12="Yes",38=Projects!$C$12),Assumptions!$B$61,AM120)</f>
        <v>0</v>
      </c>
      <c r="AO116" s="37">
        <f>IF(AND(Projects!$G$12="Yes",39=Projects!$C$12),Assumptions!$B$61,AN120)</f>
        <v>0</v>
      </c>
      <c r="AP116" s="37">
        <f>IF(AND(Projects!$G$12="Yes",40=Projects!$C$12),Assumptions!$B$61,AO120)</f>
        <v>0</v>
      </c>
      <c r="AQ116" s="37">
        <f>IF(AND(Projects!$G$12="Yes",41=Projects!$C$12),Assumptions!$B$61,AP120)</f>
        <v>0</v>
      </c>
      <c r="AR116" s="37">
        <f>IF(AND(Projects!$G$12="Yes",42=Projects!$C$12),Assumptions!$B$61,AQ120)</f>
        <v>0</v>
      </c>
      <c r="AS116" s="37">
        <f>IF(AND(Projects!$G$12="Yes",43=Projects!$C$12),Assumptions!$B$61,AR120)</f>
        <v>0</v>
      </c>
      <c r="AT116" s="37">
        <f>IF(AND(Projects!$G$12="Yes",44=Projects!$C$12),Assumptions!$B$61,AS120)</f>
        <v>0</v>
      </c>
      <c r="AU116" s="37">
        <f>IF(AND(Projects!$G$12="Yes",45=Projects!$C$12),Assumptions!$B$61,AT120)</f>
        <v>0</v>
      </c>
      <c r="AV116" s="37">
        <f>IF(AND(Projects!$G$12="Yes",46=Projects!$C$12),Assumptions!$B$61,AU120)</f>
        <v>0</v>
      </c>
      <c r="AW116" s="37">
        <f>IF(AND(Projects!$G$12="Yes",47=Projects!$C$12),Assumptions!$B$61,AV120)</f>
        <v>0</v>
      </c>
      <c r="AX116" s="37">
        <f>IF(AND(Projects!$G$12="Yes",48=Projects!$C$12),Assumptions!$B$61,AW120)</f>
        <v>0</v>
      </c>
      <c r="AY116" s="37">
        <f>IF(AND(Projects!$G$12="Yes",49=Projects!$C$12),Assumptions!$B$61,AX120)</f>
        <v>0</v>
      </c>
      <c r="AZ116" s="37">
        <f>IF(AND(Projects!$G$12="Yes",50=Projects!$C$12),Assumptions!$B$61,AY120)</f>
        <v>0</v>
      </c>
      <c r="BA116" s="37">
        <f>IF(AND(Projects!$G$12="Yes",51=Projects!$C$12),Assumptions!$B$61,AZ120)</f>
        <v>0</v>
      </c>
      <c r="BB116" s="37">
        <f>IF(AND(Projects!$G$12="Yes",52=Projects!$C$12),Assumptions!$B$61,BA120)</f>
        <v>0</v>
      </c>
      <c r="BC116" s="37">
        <f>IF(AND(Projects!$G$12="Yes",53=Projects!$C$12),Assumptions!$B$61,BB120)</f>
        <v>0</v>
      </c>
      <c r="BD116" s="37">
        <f>IF(AND(Projects!$G$12="Yes",54=Projects!$C$12),Assumptions!$B$61,BC120)</f>
        <v>0</v>
      </c>
      <c r="BE116" s="37">
        <f>IF(AND(Projects!$G$12="Yes",55=Projects!$C$12),Assumptions!$B$61,BD120)</f>
        <v>0</v>
      </c>
      <c r="BF116" s="37">
        <f>IF(AND(Projects!$G$12="Yes",56=Projects!$C$12),Assumptions!$B$61,BE120)</f>
        <v>0</v>
      </c>
      <c r="BG116" s="37">
        <f>IF(AND(Projects!$G$12="Yes",57=Projects!$C$12),Assumptions!$B$61,BF120)</f>
        <v>0</v>
      </c>
      <c r="BH116" s="37">
        <f>IF(AND(Projects!$G$12="Yes",58=Projects!$C$12),Assumptions!$B$61,BG120)</f>
        <v>0</v>
      </c>
      <c r="BI116" s="37">
        <f>IF(AND(Projects!$G$12="Yes",59=Projects!$C$12),Assumptions!$B$61,BH120)</f>
        <v>0</v>
      </c>
      <c r="BJ116" s="37">
        <f>IF(AND(Projects!$G$12="Yes",60=Projects!$C$12),Assumptions!$B$61,BI120)</f>
        <v>0</v>
      </c>
      <c r="BK116" s="37">
        <f>IF(AND(Projects!$G$12="Yes",61=Projects!$C$12),Assumptions!$B$61,BJ120)</f>
        <v>0</v>
      </c>
      <c r="BL116" s="37">
        <f>IF(AND(Projects!$G$12="Yes",62=Projects!$C$12),Assumptions!$B$61,BK120)</f>
        <v>0</v>
      </c>
      <c r="BM116" s="37">
        <f>IF(AND(Projects!$G$12="Yes",63=Projects!$C$12),Assumptions!$B$61,BL120)</f>
        <v>0</v>
      </c>
      <c r="BN116" s="37">
        <f>IF(AND(Projects!$G$12="Yes",64=Projects!$C$12),Assumptions!$B$61,BM120)</f>
        <v>0</v>
      </c>
      <c r="BO116" s="37">
        <f>IF(AND(Projects!$G$12="Yes",65=Projects!$C$12),Assumptions!$B$61,BN120)</f>
        <v>0</v>
      </c>
      <c r="BP116" s="37">
        <f>IF(AND(Projects!$G$12="Yes",66=Projects!$C$12),Assumptions!$B$61,BO120)</f>
        <v>0</v>
      </c>
      <c r="BQ116" s="37">
        <f>IF(AND(Projects!$G$12="Yes",67=Projects!$C$12),Assumptions!$B$61,BP120)</f>
        <v>0</v>
      </c>
      <c r="BR116" s="37">
        <f>IF(AND(Projects!$G$12="Yes",68=Projects!$C$12),Assumptions!$B$61,BQ120)</f>
        <v>0</v>
      </c>
      <c r="BS116" s="37">
        <f>IF(AND(Projects!$G$12="Yes",69=Projects!$C$12),Assumptions!$B$61,BR120)</f>
        <v>0</v>
      </c>
      <c r="BT116" s="37">
        <f>IF(AND(Projects!$G$12="Yes",70=Projects!$C$12),Assumptions!$B$61,BS120)</f>
        <v>0</v>
      </c>
      <c r="BU116" s="37">
        <f>IF(AND(Projects!$G$12="Yes",71=Projects!$C$12),Assumptions!$B$61,BT120)</f>
        <v>0</v>
      </c>
      <c r="BV116" s="37">
        <f>IF(AND(Projects!$G$12="Yes",72=Projects!$C$12),Assumptions!$B$61,BU120)</f>
        <v>0</v>
      </c>
      <c r="BW116" s="37">
        <f>IF(AND(Projects!$G$12="Yes",73=Projects!$C$12),Assumptions!$B$61,BV120)</f>
        <v>0</v>
      </c>
      <c r="BX116" s="37">
        <f>IF(AND(Projects!$G$12="Yes",74=Projects!$C$12),Assumptions!$B$61,BW120)</f>
        <v>0</v>
      </c>
      <c r="BY116" s="37">
        <f>IF(AND(Projects!$G$12="Yes",75=Projects!$C$12),Assumptions!$B$61,BX120)</f>
        <v>0</v>
      </c>
      <c r="BZ116" s="37">
        <f>IF(AND(Projects!$G$12="Yes",76=Projects!$C$12),Assumptions!$B$61,BY120)</f>
        <v>0</v>
      </c>
      <c r="CA116" s="37">
        <f>IF(AND(Projects!$G$12="Yes",77=Projects!$C$12),Assumptions!$B$61,BZ120)</f>
        <v>0</v>
      </c>
      <c r="CB116" s="37">
        <f>IF(AND(Projects!$G$12="Yes",78=Projects!$C$12),Assumptions!$B$61,CA120)</f>
        <v>0</v>
      </c>
      <c r="CC116" s="37">
        <f>IF(AND(Projects!$G$12="Yes",79=Projects!$C$12),Assumptions!$B$61,CB120)</f>
        <v>0</v>
      </c>
      <c r="CD116" s="37">
        <f>IF(AND(Projects!$G$12="Yes",80=Projects!$C$12),Assumptions!$B$61,CC120)</f>
        <v>0</v>
      </c>
      <c r="CE116" s="37">
        <f>IF(AND(Projects!$G$12="Yes",81=Projects!$C$12),Assumptions!$B$61,CD120)</f>
        <v>0</v>
      </c>
      <c r="CF116" s="37">
        <f>IF(AND(Projects!$G$12="Yes",82=Projects!$C$12),Assumptions!$B$61,CE120)</f>
        <v>0</v>
      </c>
      <c r="CG116" s="37">
        <f>IF(AND(Projects!$G$12="Yes",83=Projects!$C$12),Assumptions!$B$61,CF120)</f>
        <v>0</v>
      </c>
      <c r="CH116" s="37">
        <f>IF(AND(Projects!$G$12="Yes",84=Projects!$C$12),Assumptions!$B$61,CG120)</f>
        <v>0</v>
      </c>
      <c r="CI116" s="23"/>
    </row>
    <row r="117" spans="1:87" ht="15" customHeight="1" x14ac:dyDescent="0.25">
      <c r="A117" s="7" t="s">
        <v>143</v>
      </c>
      <c r="B117" s="7"/>
      <c r="C117" s="37">
        <f>IF(AND(MOD(1,3)=0,C116&gt;0),C116*Assumptions!$B$59,0)</f>
        <v>0</v>
      </c>
      <c r="D117" s="37">
        <f>IF(AND(MOD(2,3)=0,D116&gt;0),D116*Assumptions!$B$59,0)</f>
        <v>0</v>
      </c>
      <c r="E117" s="37">
        <f>IF(AND(MOD(3,3)=0,E116&gt;0),E116*Assumptions!$B$59,0)</f>
        <v>0</v>
      </c>
      <c r="F117" s="37">
        <f>IF(AND(MOD(4,3)=0,F116&gt;0),F116*Assumptions!$B$59,0)</f>
        <v>0</v>
      </c>
      <c r="G117" s="37">
        <f>IF(AND(MOD(5,3)=0,G116&gt;0),G116*Assumptions!$B$59,0)</f>
        <v>0</v>
      </c>
      <c r="H117" s="37">
        <f>IF(AND(MOD(6,3)=0,H116&gt;0),H116*Assumptions!$B$59,0)</f>
        <v>0</v>
      </c>
      <c r="I117" s="37">
        <f>IF(AND(MOD(7,3)=0,I116&gt;0),I116*Assumptions!$B$59,0)</f>
        <v>0</v>
      </c>
      <c r="J117" s="37">
        <f>IF(AND(MOD(8,3)=0,J116&gt;0),J116*Assumptions!$B$59,0)</f>
        <v>0</v>
      </c>
      <c r="K117" s="37">
        <f>IF(AND(MOD(9,3)=0,K116&gt;0),K116*Assumptions!$B$59,0)</f>
        <v>0</v>
      </c>
      <c r="L117" s="37">
        <f>IF(AND(MOD(10,3)=0,L116&gt;0),L116*Assumptions!$B$59,0)</f>
        <v>0</v>
      </c>
      <c r="M117" s="37">
        <f>IF(AND(MOD(11,3)=0,M116&gt;0),M116*Assumptions!$B$59,0)</f>
        <v>0</v>
      </c>
      <c r="N117" s="37">
        <f>IF(AND(MOD(12,3)=0,N116&gt;0),N116*Assumptions!$B$59,0)</f>
        <v>0</v>
      </c>
      <c r="O117" s="37">
        <f>IF(AND(MOD(13,3)=0,O116&gt;0),O116*Assumptions!$B$59,0)</f>
        <v>0</v>
      </c>
      <c r="P117" s="37">
        <f>IF(AND(MOD(14,3)=0,P116&gt;0),P116*Assumptions!$B$59,0)</f>
        <v>0</v>
      </c>
      <c r="Q117" s="37">
        <f>IF(AND(MOD(15,3)=0,Q116&gt;0),Q116*Assumptions!$B$59,0)</f>
        <v>0</v>
      </c>
      <c r="R117" s="37">
        <f>IF(AND(MOD(16,3)=0,R116&gt;0),R116*Assumptions!$B$59,0)</f>
        <v>0</v>
      </c>
      <c r="S117" s="37">
        <f>IF(AND(MOD(17,3)=0,S116&gt;0),S116*Assumptions!$B$59,0)</f>
        <v>0</v>
      </c>
      <c r="T117" s="37">
        <f>IF(AND(MOD(18,3)=0,T116&gt;0),T116*Assumptions!$B$59,0)</f>
        <v>0</v>
      </c>
      <c r="U117" s="37">
        <f>IF(AND(MOD(19,3)=0,U116&gt;0),U116*Assumptions!$B$59,0)</f>
        <v>0</v>
      </c>
      <c r="V117" s="37">
        <f>IF(AND(MOD(20,3)=0,V116&gt;0),V116*Assumptions!$B$59,0)</f>
        <v>0</v>
      </c>
      <c r="W117" s="37">
        <f>IF(AND(MOD(21,3)=0,W116&gt;0),W116*Assumptions!$B$59,0)</f>
        <v>0</v>
      </c>
      <c r="X117" s="37">
        <f>IF(AND(MOD(22,3)=0,X116&gt;0),X116*Assumptions!$B$59,0)</f>
        <v>0</v>
      </c>
      <c r="Y117" s="37">
        <f>IF(AND(MOD(23,3)=0,Y116&gt;0),Y116*Assumptions!$B$59,0)</f>
        <v>0</v>
      </c>
      <c r="Z117" s="37">
        <f>IF(AND(MOD(24,3)=0,Z116&gt;0),Z116*Assumptions!$B$59,0)</f>
        <v>0</v>
      </c>
      <c r="AA117" s="37">
        <f>IF(AND(MOD(25,3)=0,AA116&gt;0),AA116*Assumptions!$B$59,0)</f>
        <v>0</v>
      </c>
      <c r="AB117" s="37">
        <f>IF(AND(MOD(26,3)=0,AB116&gt;0),AB116*Assumptions!$B$59,0)</f>
        <v>0</v>
      </c>
      <c r="AC117" s="37">
        <f>IF(AND(MOD(27,3)=0,AC116&gt;0),AC116*Assumptions!$B$59,0)</f>
        <v>0</v>
      </c>
      <c r="AD117" s="37">
        <f>IF(AND(MOD(28,3)=0,AD116&gt;0),AD116*Assumptions!$B$59,0)</f>
        <v>0</v>
      </c>
      <c r="AE117" s="37">
        <f>IF(AND(MOD(29,3)=0,AE116&gt;0),AE116*Assumptions!$B$59,0)</f>
        <v>0</v>
      </c>
      <c r="AF117" s="37">
        <f>IF(AND(MOD(30,3)=0,AF116&gt;0),AF116*Assumptions!$B$59,0)</f>
        <v>0</v>
      </c>
      <c r="AG117" s="37">
        <f>IF(AND(MOD(31,3)=0,AG116&gt;0),AG116*Assumptions!$B$59,0)</f>
        <v>0</v>
      </c>
      <c r="AH117" s="37">
        <f>IF(AND(MOD(32,3)=0,AH116&gt;0),AH116*Assumptions!$B$59,0)</f>
        <v>0</v>
      </c>
      <c r="AI117" s="37">
        <f>IF(AND(MOD(33,3)=0,AI116&gt;0),AI116*Assumptions!$B$59,0)</f>
        <v>0</v>
      </c>
      <c r="AJ117" s="37">
        <f>IF(AND(MOD(34,3)=0,AJ116&gt;0),AJ116*Assumptions!$B$59,0)</f>
        <v>0</v>
      </c>
      <c r="AK117" s="37">
        <f>IF(AND(MOD(35,3)=0,AK116&gt;0),AK116*Assumptions!$B$59,0)</f>
        <v>0</v>
      </c>
      <c r="AL117" s="37">
        <f>IF(AND(MOD(36,3)=0,AL116&gt;0),AL116*Assumptions!$B$59,0)</f>
        <v>0</v>
      </c>
      <c r="AM117" s="37">
        <f>IF(AND(MOD(37,3)=0,AM116&gt;0),AM116*Assumptions!$B$59,0)</f>
        <v>0</v>
      </c>
      <c r="AN117" s="37">
        <f>IF(AND(MOD(38,3)=0,AN116&gt;0),AN116*Assumptions!$B$59,0)</f>
        <v>0</v>
      </c>
      <c r="AO117" s="37">
        <f>IF(AND(MOD(39,3)=0,AO116&gt;0),AO116*Assumptions!$B$59,0)</f>
        <v>0</v>
      </c>
      <c r="AP117" s="37">
        <f>IF(AND(MOD(40,3)=0,AP116&gt;0),AP116*Assumptions!$B$59,0)</f>
        <v>0</v>
      </c>
      <c r="AQ117" s="37">
        <f>IF(AND(MOD(41,3)=0,AQ116&gt;0),AQ116*Assumptions!$B$59,0)</f>
        <v>0</v>
      </c>
      <c r="AR117" s="37">
        <f>IF(AND(MOD(42,3)=0,AR116&gt;0),AR116*Assumptions!$B$59,0)</f>
        <v>0</v>
      </c>
      <c r="AS117" s="37">
        <f>IF(AND(MOD(43,3)=0,AS116&gt;0),AS116*Assumptions!$B$59,0)</f>
        <v>0</v>
      </c>
      <c r="AT117" s="37">
        <f>IF(AND(MOD(44,3)=0,AT116&gt;0),AT116*Assumptions!$B$59,0)</f>
        <v>0</v>
      </c>
      <c r="AU117" s="37">
        <f>IF(AND(MOD(45,3)=0,AU116&gt;0),AU116*Assumptions!$B$59,0)</f>
        <v>0</v>
      </c>
      <c r="AV117" s="37">
        <f>IF(AND(MOD(46,3)=0,AV116&gt;0),AV116*Assumptions!$B$59,0)</f>
        <v>0</v>
      </c>
      <c r="AW117" s="37">
        <f>IF(AND(MOD(47,3)=0,AW116&gt;0),AW116*Assumptions!$B$59,0)</f>
        <v>0</v>
      </c>
      <c r="AX117" s="37">
        <f>IF(AND(MOD(48,3)=0,AX116&gt;0),AX116*Assumptions!$B$59,0)</f>
        <v>0</v>
      </c>
      <c r="AY117" s="37">
        <f>IF(AND(MOD(49,3)=0,AY116&gt;0),AY116*Assumptions!$B$59,0)</f>
        <v>0</v>
      </c>
      <c r="AZ117" s="37">
        <f>IF(AND(MOD(50,3)=0,AZ116&gt;0),AZ116*Assumptions!$B$59,0)</f>
        <v>0</v>
      </c>
      <c r="BA117" s="37">
        <f>IF(AND(MOD(51,3)=0,BA116&gt;0),BA116*Assumptions!$B$59,0)</f>
        <v>0</v>
      </c>
      <c r="BB117" s="37">
        <f>IF(AND(MOD(52,3)=0,BB116&gt;0),BB116*Assumptions!$B$59,0)</f>
        <v>0</v>
      </c>
      <c r="BC117" s="37">
        <f>IF(AND(MOD(53,3)=0,BC116&gt;0),BC116*Assumptions!$B$59,0)</f>
        <v>0</v>
      </c>
      <c r="BD117" s="37">
        <f>IF(AND(MOD(54,3)=0,BD116&gt;0),BD116*Assumptions!$B$59,0)</f>
        <v>0</v>
      </c>
      <c r="BE117" s="37">
        <f>IF(AND(MOD(55,3)=0,BE116&gt;0),BE116*Assumptions!$B$59,0)</f>
        <v>0</v>
      </c>
      <c r="BF117" s="37">
        <f>IF(AND(MOD(56,3)=0,BF116&gt;0),BF116*Assumptions!$B$59,0)</f>
        <v>0</v>
      </c>
      <c r="BG117" s="37">
        <f>IF(AND(MOD(57,3)=0,BG116&gt;0),BG116*Assumptions!$B$59,0)</f>
        <v>0</v>
      </c>
      <c r="BH117" s="37">
        <f>IF(AND(MOD(58,3)=0,BH116&gt;0),BH116*Assumptions!$B$59,0)</f>
        <v>0</v>
      </c>
      <c r="BI117" s="37">
        <f>IF(AND(MOD(59,3)=0,BI116&gt;0),BI116*Assumptions!$B$59,0)</f>
        <v>0</v>
      </c>
      <c r="BJ117" s="37">
        <f>IF(AND(MOD(60,3)=0,BJ116&gt;0),BJ116*Assumptions!$B$59,0)</f>
        <v>0</v>
      </c>
      <c r="BK117" s="37">
        <f>IF(AND(MOD(61,3)=0,BK116&gt;0),BK116*Assumptions!$B$59,0)</f>
        <v>0</v>
      </c>
      <c r="BL117" s="37">
        <f>IF(AND(MOD(62,3)=0,BL116&gt;0),BL116*Assumptions!$B$59,0)</f>
        <v>0</v>
      </c>
      <c r="BM117" s="37">
        <f>IF(AND(MOD(63,3)=0,BM116&gt;0),BM116*Assumptions!$B$59,0)</f>
        <v>0</v>
      </c>
      <c r="BN117" s="37">
        <f>IF(AND(MOD(64,3)=0,BN116&gt;0),BN116*Assumptions!$B$59,0)</f>
        <v>0</v>
      </c>
      <c r="BO117" s="37">
        <f>IF(AND(MOD(65,3)=0,BO116&gt;0),BO116*Assumptions!$B$59,0)</f>
        <v>0</v>
      </c>
      <c r="BP117" s="37">
        <f>IF(AND(MOD(66,3)=0,BP116&gt;0),BP116*Assumptions!$B$59,0)</f>
        <v>0</v>
      </c>
      <c r="BQ117" s="37">
        <f>IF(AND(MOD(67,3)=0,BQ116&gt;0),BQ116*Assumptions!$B$59,0)</f>
        <v>0</v>
      </c>
      <c r="BR117" s="37">
        <f>IF(AND(MOD(68,3)=0,BR116&gt;0),BR116*Assumptions!$B$59,0)</f>
        <v>0</v>
      </c>
      <c r="BS117" s="37">
        <f>IF(AND(MOD(69,3)=0,BS116&gt;0),BS116*Assumptions!$B$59,0)</f>
        <v>0</v>
      </c>
      <c r="BT117" s="37">
        <f>IF(AND(MOD(70,3)=0,BT116&gt;0),BT116*Assumptions!$B$59,0)</f>
        <v>0</v>
      </c>
      <c r="BU117" s="37">
        <f>IF(AND(MOD(71,3)=0,BU116&gt;0),BU116*Assumptions!$B$59,0)</f>
        <v>0</v>
      </c>
      <c r="BV117" s="37">
        <f>IF(AND(MOD(72,3)=0,BV116&gt;0),BV116*Assumptions!$B$59,0)</f>
        <v>0</v>
      </c>
      <c r="BW117" s="37">
        <f>IF(AND(MOD(73,3)=0,BW116&gt;0),BW116*Assumptions!$B$59,0)</f>
        <v>0</v>
      </c>
      <c r="BX117" s="37">
        <f>IF(AND(MOD(74,3)=0,BX116&gt;0),BX116*Assumptions!$B$59,0)</f>
        <v>0</v>
      </c>
      <c r="BY117" s="37">
        <f>IF(AND(MOD(75,3)=0,BY116&gt;0),BY116*Assumptions!$B$59,0)</f>
        <v>0</v>
      </c>
      <c r="BZ117" s="37">
        <f>IF(AND(MOD(76,3)=0,BZ116&gt;0),BZ116*Assumptions!$B$59,0)</f>
        <v>0</v>
      </c>
      <c r="CA117" s="37">
        <f>IF(AND(MOD(77,3)=0,CA116&gt;0),CA116*Assumptions!$B$59,0)</f>
        <v>0</v>
      </c>
      <c r="CB117" s="37">
        <f>IF(AND(MOD(78,3)=0,CB116&gt;0),CB116*Assumptions!$B$59,0)</f>
        <v>0</v>
      </c>
      <c r="CC117" s="37">
        <f>IF(AND(MOD(79,3)=0,CC116&gt;0),CC116*Assumptions!$B$59,0)</f>
        <v>0</v>
      </c>
      <c r="CD117" s="37">
        <f>IF(AND(MOD(80,3)=0,CD116&gt;0),CD116*Assumptions!$B$59,0)</f>
        <v>0</v>
      </c>
      <c r="CE117" s="37">
        <f>IF(AND(MOD(81,3)=0,CE116&gt;0),CE116*Assumptions!$B$59,0)</f>
        <v>0</v>
      </c>
      <c r="CF117" s="37">
        <f>IF(AND(MOD(82,3)=0,CF116&gt;0),CF116*Assumptions!$B$59,0)</f>
        <v>0</v>
      </c>
      <c r="CG117" s="37">
        <f>IF(AND(MOD(83,3)=0,CG116&gt;0),CG116*Assumptions!$B$59,0)</f>
        <v>0</v>
      </c>
      <c r="CH117" s="37">
        <f>IF(AND(MOD(84,3)=0,CH116&gt;0),CH116*Assumptions!$B$59,0)</f>
        <v>0</v>
      </c>
      <c r="CI117" s="23"/>
    </row>
    <row r="118" spans="1:87" ht="15" customHeight="1" x14ac:dyDescent="0.25">
      <c r="A118" s="7" t="s">
        <v>144</v>
      </c>
      <c r="B118" s="7"/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37">
        <v>0</v>
      </c>
      <c r="P118" s="37">
        <v>0</v>
      </c>
      <c r="Q118" s="37">
        <v>0</v>
      </c>
      <c r="R118" s="37">
        <v>0</v>
      </c>
      <c r="S118" s="37">
        <v>0</v>
      </c>
      <c r="T118" s="37">
        <v>0</v>
      </c>
      <c r="U118" s="37">
        <v>0</v>
      </c>
      <c r="V118" s="37">
        <v>0</v>
      </c>
      <c r="W118" s="37">
        <v>0</v>
      </c>
      <c r="X118" s="37">
        <v>0</v>
      </c>
      <c r="Y118" s="37">
        <v>0</v>
      </c>
      <c r="Z118" s="37">
        <v>0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7">
        <v>0</v>
      </c>
      <c r="AG118" s="37">
        <v>0</v>
      </c>
      <c r="AH118" s="37">
        <v>0</v>
      </c>
      <c r="AI118" s="37">
        <v>0</v>
      </c>
      <c r="AJ118" s="37">
        <v>0</v>
      </c>
      <c r="AK118" s="37">
        <v>0</v>
      </c>
      <c r="AL118" s="37">
        <v>0</v>
      </c>
      <c r="AM118" s="37">
        <v>0</v>
      </c>
      <c r="AN118" s="37">
        <v>0</v>
      </c>
      <c r="AO118" s="37">
        <v>0</v>
      </c>
      <c r="AP118" s="37">
        <v>0</v>
      </c>
      <c r="AQ118" s="37">
        <v>0</v>
      </c>
      <c r="AR118" s="37">
        <v>0</v>
      </c>
      <c r="AS118" s="37">
        <v>0</v>
      </c>
      <c r="AT118" s="37">
        <v>0</v>
      </c>
      <c r="AU118" s="37">
        <v>0</v>
      </c>
      <c r="AV118" s="37">
        <v>0</v>
      </c>
      <c r="AW118" s="37">
        <v>0</v>
      </c>
      <c r="AX118" s="37">
        <v>0</v>
      </c>
      <c r="AY118" s="37">
        <v>0</v>
      </c>
      <c r="AZ118" s="37">
        <v>0</v>
      </c>
      <c r="BA118" s="37">
        <v>0</v>
      </c>
      <c r="BB118" s="37">
        <v>0</v>
      </c>
      <c r="BC118" s="37">
        <v>0</v>
      </c>
      <c r="BD118" s="37">
        <v>0</v>
      </c>
      <c r="BE118" s="37">
        <v>0</v>
      </c>
      <c r="BF118" s="37">
        <v>0</v>
      </c>
      <c r="BG118" s="37">
        <v>0</v>
      </c>
      <c r="BH118" s="37">
        <v>0</v>
      </c>
      <c r="BI118" s="37">
        <v>0</v>
      </c>
      <c r="BJ118" s="37">
        <v>0</v>
      </c>
      <c r="BK118" s="37">
        <v>0</v>
      </c>
      <c r="BL118" s="37">
        <v>0</v>
      </c>
      <c r="BM118" s="37">
        <v>0</v>
      </c>
      <c r="BN118" s="37">
        <v>0</v>
      </c>
      <c r="BO118" s="37">
        <v>0</v>
      </c>
      <c r="BP118" s="37">
        <v>0</v>
      </c>
      <c r="BQ118" s="37">
        <v>0</v>
      </c>
      <c r="BR118" s="37">
        <v>0</v>
      </c>
      <c r="BS118" s="37">
        <v>0</v>
      </c>
      <c r="BT118" s="37">
        <v>0</v>
      </c>
      <c r="BU118" s="37">
        <v>0</v>
      </c>
      <c r="BV118" s="37">
        <v>0</v>
      </c>
      <c r="BW118" s="37">
        <v>0</v>
      </c>
      <c r="BX118" s="37">
        <v>0</v>
      </c>
      <c r="BY118" s="37">
        <v>0</v>
      </c>
      <c r="BZ118" s="37">
        <v>0</v>
      </c>
      <c r="CA118" s="37">
        <v>0</v>
      </c>
      <c r="CB118" s="37">
        <v>0</v>
      </c>
      <c r="CC118" s="37">
        <v>0</v>
      </c>
      <c r="CD118" s="37">
        <v>0</v>
      </c>
      <c r="CE118" s="37">
        <v>0</v>
      </c>
      <c r="CF118" s="37">
        <v>0</v>
      </c>
      <c r="CG118" s="37">
        <v>0</v>
      </c>
      <c r="CH118" s="37">
        <v>0</v>
      </c>
      <c r="CI118" s="23"/>
    </row>
    <row r="119" spans="1:87" ht="15" customHeight="1" x14ac:dyDescent="0.25">
      <c r="A119" s="38" t="s">
        <v>145</v>
      </c>
      <c r="B119" s="38"/>
      <c r="C119" s="39">
        <v>0</v>
      </c>
      <c r="D119" s="39">
        <v>0</v>
      </c>
      <c r="E119" s="39">
        <v>0</v>
      </c>
      <c r="F119" s="39">
        <v>0</v>
      </c>
      <c r="G119" s="39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39">
        <v>0</v>
      </c>
      <c r="Z119" s="39">
        <v>0</v>
      </c>
      <c r="AA119" s="39">
        <v>0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39">
        <v>0</v>
      </c>
      <c r="AI119" s="39">
        <v>0</v>
      </c>
      <c r="AJ119" s="39">
        <v>0</v>
      </c>
      <c r="AK119" s="39">
        <v>0</v>
      </c>
      <c r="AL119" s="39">
        <v>0</v>
      </c>
      <c r="AM119" s="39">
        <v>0</v>
      </c>
      <c r="AN119" s="39">
        <v>0</v>
      </c>
      <c r="AO119" s="39">
        <v>0</v>
      </c>
      <c r="AP119" s="39">
        <v>0</v>
      </c>
      <c r="AQ119" s="39">
        <v>0</v>
      </c>
      <c r="AR119" s="39">
        <v>0</v>
      </c>
      <c r="AS119" s="39">
        <v>0</v>
      </c>
      <c r="AT119" s="39">
        <v>0</v>
      </c>
      <c r="AU119" s="39">
        <v>0</v>
      </c>
      <c r="AV119" s="39">
        <v>0</v>
      </c>
      <c r="AW119" s="39">
        <v>0</v>
      </c>
      <c r="AX119" s="39">
        <v>0</v>
      </c>
      <c r="AY119" s="39">
        <v>0</v>
      </c>
      <c r="AZ119" s="39">
        <v>0</v>
      </c>
      <c r="BA119" s="39">
        <v>0</v>
      </c>
      <c r="BB119" s="39">
        <v>0</v>
      </c>
      <c r="BC119" s="39">
        <v>0</v>
      </c>
      <c r="BD119" s="39">
        <v>0</v>
      </c>
      <c r="BE119" s="39">
        <v>0</v>
      </c>
      <c r="BF119" s="39">
        <v>0</v>
      </c>
      <c r="BG119" s="39">
        <v>0</v>
      </c>
      <c r="BH119" s="39">
        <v>0</v>
      </c>
      <c r="BI119" s="39">
        <v>0</v>
      </c>
      <c r="BJ119" s="39">
        <v>0</v>
      </c>
      <c r="BK119" s="39">
        <v>0</v>
      </c>
      <c r="BL119" s="39">
        <v>0</v>
      </c>
      <c r="BM119" s="39">
        <v>0</v>
      </c>
      <c r="BN119" s="39">
        <v>0</v>
      </c>
      <c r="BO119" s="39">
        <v>0</v>
      </c>
      <c r="BP119" s="39">
        <v>0</v>
      </c>
      <c r="BQ119" s="39">
        <v>0</v>
      </c>
      <c r="BR119" s="39">
        <v>0</v>
      </c>
      <c r="BS119" s="39">
        <v>0</v>
      </c>
      <c r="BT119" s="39">
        <v>0</v>
      </c>
      <c r="BU119" s="39">
        <v>0</v>
      </c>
      <c r="BV119" s="39">
        <v>0</v>
      </c>
      <c r="BW119" s="39">
        <v>0</v>
      </c>
      <c r="BX119" s="39">
        <v>0</v>
      </c>
      <c r="BY119" s="39">
        <v>0</v>
      </c>
      <c r="BZ119" s="39">
        <v>0</v>
      </c>
      <c r="CA119" s="39">
        <v>0</v>
      </c>
      <c r="CB119" s="39">
        <v>0</v>
      </c>
      <c r="CC119" s="39">
        <v>0</v>
      </c>
      <c r="CD119" s="39">
        <v>0</v>
      </c>
      <c r="CE119" s="39">
        <v>0</v>
      </c>
      <c r="CF119" s="39">
        <v>0</v>
      </c>
      <c r="CG119" s="39">
        <v>0</v>
      </c>
      <c r="CH119" s="39">
        <v>0</v>
      </c>
      <c r="CI119" s="23"/>
    </row>
    <row r="120" spans="1:87" ht="15" customHeight="1" x14ac:dyDescent="0.25">
      <c r="A120" s="40" t="s">
        <v>146</v>
      </c>
      <c r="B120" s="41"/>
      <c r="C120" s="42">
        <f t="shared" ref="C120:AH120" si="57">MAX(0,C116+C117+C118+C119)</f>
        <v>0</v>
      </c>
      <c r="D120" s="42">
        <f t="shared" si="57"/>
        <v>0</v>
      </c>
      <c r="E120" s="42">
        <f t="shared" si="57"/>
        <v>0</v>
      </c>
      <c r="F120" s="42">
        <f t="shared" si="57"/>
        <v>0</v>
      </c>
      <c r="G120" s="42">
        <f t="shared" si="57"/>
        <v>0</v>
      </c>
      <c r="H120" s="42">
        <f t="shared" si="57"/>
        <v>0</v>
      </c>
      <c r="I120" s="42">
        <f t="shared" si="57"/>
        <v>0</v>
      </c>
      <c r="J120" s="42">
        <f t="shared" si="57"/>
        <v>0</v>
      </c>
      <c r="K120" s="42">
        <f t="shared" si="57"/>
        <v>0</v>
      </c>
      <c r="L120" s="42">
        <f t="shared" si="57"/>
        <v>0</v>
      </c>
      <c r="M120" s="42">
        <f t="shared" si="57"/>
        <v>0</v>
      </c>
      <c r="N120" s="42">
        <f t="shared" si="57"/>
        <v>0</v>
      </c>
      <c r="O120" s="42">
        <f t="shared" si="57"/>
        <v>0</v>
      </c>
      <c r="P120" s="42">
        <f t="shared" si="57"/>
        <v>0</v>
      </c>
      <c r="Q120" s="42">
        <f t="shared" si="57"/>
        <v>0</v>
      </c>
      <c r="R120" s="42">
        <f t="shared" si="57"/>
        <v>0</v>
      </c>
      <c r="S120" s="42">
        <f t="shared" si="57"/>
        <v>0</v>
      </c>
      <c r="T120" s="42">
        <f t="shared" si="57"/>
        <v>0</v>
      </c>
      <c r="U120" s="42">
        <f t="shared" si="57"/>
        <v>0</v>
      </c>
      <c r="V120" s="42">
        <f t="shared" si="57"/>
        <v>0</v>
      </c>
      <c r="W120" s="42">
        <f t="shared" si="57"/>
        <v>0</v>
      </c>
      <c r="X120" s="42">
        <f t="shared" si="57"/>
        <v>0</v>
      </c>
      <c r="Y120" s="42">
        <f t="shared" si="57"/>
        <v>0</v>
      </c>
      <c r="Z120" s="42">
        <f t="shared" si="57"/>
        <v>0</v>
      </c>
      <c r="AA120" s="42">
        <f t="shared" si="57"/>
        <v>0</v>
      </c>
      <c r="AB120" s="42">
        <f t="shared" si="57"/>
        <v>0</v>
      </c>
      <c r="AC120" s="42">
        <f t="shared" si="57"/>
        <v>0</v>
      </c>
      <c r="AD120" s="42">
        <f t="shared" si="57"/>
        <v>0</v>
      </c>
      <c r="AE120" s="42">
        <f t="shared" si="57"/>
        <v>0</v>
      </c>
      <c r="AF120" s="42">
        <f t="shared" si="57"/>
        <v>0</v>
      </c>
      <c r="AG120" s="42">
        <f t="shared" si="57"/>
        <v>0</v>
      </c>
      <c r="AH120" s="42">
        <f t="shared" si="57"/>
        <v>0</v>
      </c>
      <c r="AI120" s="42">
        <f t="shared" ref="AI120:BN120" si="58">MAX(0,AI116+AI117+AI118+AI119)</f>
        <v>0</v>
      </c>
      <c r="AJ120" s="42">
        <f t="shared" si="58"/>
        <v>0</v>
      </c>
      <c r="AK120" s="42">
        <f t="shared" si="58"/>
        <v>0</v>
      </c>
      <c r="AL120" s="42">
        <f t="shared" si="58"/>
        <v>0</v>
      </c>
      <c r="AM120" s="42">
        <f t="shared" si="58"/>
        <v>0</v>
      </c>
      <c r="AN120" s="42">
        <f t="shared" si="58"/>
        <v>0</v>
      </c>
      <c r="AO120" s="42">
        <f t="shared" si="58"/>
        <v>0</v>
      </c>
      <c r="AP120" s="42">
        <f t="shared" si="58"/>
        <v>0</v>
      </c>
      <c r="AQ120" s="42">
        <f t="shared" si="58"/>
        <v>0</v>
      </c>
      <c r="AR120" s="42">
        <f t="shared" si="58"/>
        <v>0</v>
      </c>
      <c r="AS120" s="42">
        <f t="shared" si="58"/>
        <v>0</v>
      </c>
      <c r="AT120" s="42">
        <f t="shared" si="58"/>
        <v>0</v>
      </c>
      <c r="AU120" s="42">
        <f t="shared" si="58"/>
        <v>0</v>
      </c>
      <c r="AV120" s="42">
        <f t="shared" si="58"/>
        <v>0</v>
      </c>
      <c r="AW120" s="42">
        <f t="shared" si="58"/>
        <v>0</v>
      </c>
      <c r="AX120" s="42">
        <f t="shared" si="58"/>
        <v>0</v>
      </c>
      <c r="AY120" s="42">
        <f t="shared" si="58"/>
        <v>0</v>
      </c>
      <c r="AZ120" s="42">
        <f t="shared" si="58"/>
        <v>0</v>
      </c>
      <c r="BA120" s="42">
        <f t="shared" si="58"/>
        <v>0</v>
      </c>
      <c r="BB120" s="42">
        <f t="shared" si="58"/>
        <v>0</v>
      </c>
      <c r="BC120" s="42">
        <f t="shared" si="58"/>
        <v>0</v>
      </c>
      <c r="BD120" s="42">
        <f t="shared" si="58"/>
        <v>0</v>
      </c>
      <c r="BE120" s="42">
        <f t="shared" si="58"/>
        <v>0</v>
      </c>
      <c r="BF120" s="42">
        <f t="shared" si="58"/>
        <v>0</v>
      </c>
      <c r="BG120" s="42">
        <f t="shared" si="58"/>
        <v>0</v>
      </c>
      <c r="BH120" s="42">
        <f t="shared" si="58"/>
        <v>0</v>
      </c>
      <c r="BI120" s="42">
        <f t="shared" si="58"/>
        <v>0</v>
      </c>
      <c r="BJ120" s="42">
        <f t="shared" si="58"/>
        <v>0</v>
      </c>
      <c r="BK120" s="42">
        <f t="shared" si="58"/>
        <v>0</v>
      </c>
      <c r="BL120" s="42">
        <f t="shared" si="58"/>
        <v>0</v>
      </c>
      <c r="BM120" s="42">
        <f t="shared" si="58"/>
        <v>0</v>
      </c>
      <c r="BN120" s="42">
        <f t="shared" si="58"/>
        <v>0</v>
      </c>
      <c r="BO120" s="42">
        <f t="shared" ref="BO120:CT120" si="59">MAX(0,BO116+BO117+BO118+BO119)</f>
        <v>0</v>
      </c>
      <c r="BP120" s="42">
        <f t="shared" si="59"/>
        <v>0</v>
      </c>
      <c r="BQ120" s="42">
        <f t="shared" si="59"/>
        <v>0</v>
      </c>
      <c r="BR120" s="42">
        <f t="shared" si="59"/>
        <v>0</v>
      </c>
      <c r="BS120" s="42">
        <f t="shared" si="59"/>
        <v>0</v>
      </c>
      <c r="BT120" s="42">
        <f t="shared" si="59"/>
        <v>0</v>
      </c>
      <c r="BU120" s="42">
        <f t="shared" si="59"/>
        <v>0</v>
      </c>
      <c r="BV120" s="42">
        <f t="shared" si="59"/>
        <v>0</v>
      </c>
      <c r="BW120" s="42">
        <f t="shared" si="59"/>
        <v>0</v>
      </c>
      <c r="BX120" s="42">
        <f t="shared" si="59"/>
        <v>0</v>
      </c>
      <c r="BY120" s="42">
        <f t="shared" si="59"/>
        <v>0</v>
      </c>
      <c r="BZ120" s="42">
        <f t="shared" si="59"/>
        <v>0</v>
      </c>
      <c r="CA120" s="42">
        <f t="shared" si="59"/>
        <v>0</v>
      </c>
      <c r="CB120" s="42">
        <f t="shared" si="59"/>
        <v>0</v>
      </c>
      <c r="CC120" s="42">
        <f t="shared" si="59"/>
        <v>0</v>
      </c>
      <c r="CD120" s="42">
        <f t="shared" si="59"/>
        <v>0</v>
      </c>
      <c r="CE120" s="42">
        <f t="shared" si="59"/>
        <v>0</v>
      </c>
      <c r="CF120" s="42">
        <f t="shared" si="59"/>
        <v>0</v>
      </c>
      <c r="CG120" s="42">
        <f t="shared" si="59"/>
        <v>0</v>
      </c>
      <c r="CH120" s="42">
        <f t="shared" si="59"/>
        <v>0</v>
      </c>
      <c r="CI120" s="23"/>
    </row>
    <row r="121" spans="1:87" ht="15" customHeight="1" x14ac:dyDescent="0.25">
      <c r="A121" s="43" t="s">
        <v>147</v>
      </c>
      <c r="B121" s="43"/>
      <c r="C121" s="44">
        <f>IF(Projects!$G$14="Yes",Assumptions!$B$75,0)</f>
        <v>264927.15000000002</v>
      </c>
      <c r="D121" s="44">
        <f>C125</f>
        <v>264927.15000000002</v>
      </c>
      <c r="E121" s="44">
        <f>IF(Projects!$G$14="Yes",D125+176618.1,D125)</f>
        <v>441545.25</v>
      </c>
      <c r="F121" s="44">
        <f>E125</f>
        <v>458103.19687500002</v>
      </c>
      <c r="G121" s="44">
        <f>F125</f>
        <v>458103.19687500002</v>
      </c>
      <c r="H121" s="44">
        <f>IF(Projects!$G$14="Yes",G125+176618.1,G125)</f>
        <v>634721.296875</v>
      </c>
      <c r="I121" s="44">
        <f>H125</f>
        <v>658523.34550781245</v>
      </c>
      <c r="J121" s="44">
        <f>I125</f>
        <v>658523.34550781245</v>
      </c>
      <c r="K121" s="44">
        <f>J125</f>
        <v>658523.34550781245</v>
      </c>
      <c r="L121" s="44">
        <f>IF(Projects!$G$14="Yes",K125+88309.05,K125)</f>
        <v>771527.02096435544</v>
      </c>
      <c r="M121" s="44">
        <f>L125</f>
        <v>771527.02096435544</v>
      </c>
      <c r="N121" s="44">
        <f>M125</f>
        <v>771527.02096435544</v>
      </c>
      <c r="O121" s="44">
        <f>N125</f>
        <v>800459.28425051877</v>
      </c>
      <c r="P121" s="44">
        <f>O125</f>
        <v>800459.28425051877</v>
      </c>
      <c r="Q121" s="44">
        <f>IF(Projects!$G$14="Yes",P125+88309.05,P125)</f>
        <v>888768.33425051882</v>
      </c>
      <c r="R121" s="44">
        <f>Q125</f>
        <v>922097.14678491326</v>
      </c>
      <c r="S121" s="44">
        <f>R125</f>
        <v>922097.14678491326</v>
      </c>
      <c r="T121" s="44">
        <f>S125</f>
        <v>922097.14678491326</v>
      </c>
      <c r="U121" s="44">
        <f>T125</f>
        <v>956675.78978934756</v>
      </c>
      <c r="V121" s="44">
        <f>U125</f>
        <v>956675.78978934756</v>
      </c>
      <c r="W121" s="44">
        <f>IF(Projects!$G$14="Yes",V125+88309.05,V125)</f>
        <v>1044984.8397893476</v>
      </c>
      <c r="X121" s="44">
        <f>W125</f>
        <v>1084171.7712814482</v>
      </c>
      <c r="Y121" s="44">
        <f>X125</f>
        <v>1084171.7712814482</v>
      </c>
      <c r="Z121" s="44">
        <f>Y125</f>
        <v>1084171.7712814482</v>
      </c>
      <c r="AA121" s="44">
        <f>Z125</f>
        <v>1124828.2127045025</v>
      </c>
      <c r="AB121" s="44">
        <f>AA125</f>
        <v>1124828.2127045025</v>
      </c>
      <c r="AC121" s="44">
        <f>IF(Projects!$G$14="Yes",AB125+Assumptions!$B$76,AB125)</f>
        <v>2007918.7127045025</v>
      </c>
      <c r="AD121" s="44">
        <f t="shared" ref="AD121:BI121" si="60">AC125</f>
        <v>283215.66443092143</v>
      </c>
      <c r="AE121" s="44">
        <f t="shared" si="60"/>
        <v>283215.66443092143</v>
      </c>
      <c r="AF121" s="44">
        <f t="shared" si="60"/>
        <v>283215.66443092143</v>
      </c>
      <c r="AG121" s="44">
        <f t="shared" si="60"/>
        <v>293836.251847081</v>
      </c>
      <c r="AH121" s="44">
        <f t="shared" si="60"/>
        <v>293836.251847081</v>
      </c>
      <c r="AI121" s="44">
        <f t="shared" si="60"/>
        <v>293836.251847081</v>
      </c>
      <c r="AJ121" s="44">
        <f t="shared" si="60"/>
        <v>304855.11129134655</v>
      </c>
      <c r="AK121" s="44">
        <f t="shared" si="60"/>
        <v>304855.11129134655</v>
      </c>
      <c r="AL121" s="44">
        <f t="shared" si="60"/>
        <v>304855.11129134655</v>
      </c>
      <c r="AM121" s="44">
        <f t="shared" si="60"/>
        <v>316287.17796477204</v>
      </c>
      <c r="AN121" s="44">
        <f t="shared" si="60"/>
        <v>316287.17796477204</v>
      </c>
      <c r="AO121" s="44">
        <f t="shared" si="60"/>
        <v>316287.17796477204</v>
      </c>
      <c r="AP121" s="44">
        <f t="shared" si="60"/>
        <v>328147.94713845098</v>
      </c>
      <c r="AQ121" s="44">
        <f t="shared" si="60"/>
        <v>328147.94713845098</v>
      </c>
      <c r="AR121" s="44">
        <f t="shared" si="60"/>
        <v>328147.94713845098</v>
      </c>
      <c r="AS121" s="44">
        <f t="shared" si="60"/>
        <v>340453.49515614292</v>
      </c>
      <c r="AT121" s="44">
        <f t="shared" si="60"/>
        <v>340453.49515614292</v>
      </c>
      <c r="AU121" s="44">
        <f t="shared" si="60"/>
        <v>340453.49515614292</v>
      </c>
      <c r="AV121" s="44">
        <f t="shared" si="60"/>
        <v>353220.50122449826</v>
      </c>
      <c r="AW121" s="44">
        <f t="shared" si="60"/>
        <v>353220.50122449826</v>
      </c>
      <c r="AX121" s="44">
        <f t="shared" si="60"/>
        <v>353220.50122449826</v>
      </c>
      <c r="AY121" s="44">
        <f t="shared" si="60"/>
        <v>366466.27002041694</v>
      </c>
      <c r="AZ121" s="44">
        <f t="shared" si="60"/>
        <v>366466.27002041694</v>
      </c>
      <c r="BA121" s="44">
        <f t="shared" si="60"/>
        <v>366466.27002041694</v>
      </c>
      <c r="BB121" s="44">
        <f t="shared" si="60"/>
        <v>380208.75514618255</v>
      </c>
      <c r="BC121" s="44">
        <f t="shared" si="60"/>
        <v>380208.75514618255</v>
      </c>
      <c r="BD121" s="44">
        <f t="shared" si="60"/>
        <v>380208.75514618255</v>
      </c>
      <c r="BE121" s="44">
        <f t="shared" si="60"/>
        <v>394466.5834641644</v>
      </c>
      <c r="BF121" s="44">
        <f t="shared" si="60"/>
        <v>394466.5834641644</v>
      </c>
      <c r="BG121" s="44">
        <f t="shared" si="60"/>
        <v>394466.5834641644</v>
      </c>
      <c r="BH121" s="44">
        <f t="shared" si="60"/>
        <v>409259.08034407056</v>
      </c>
      <c r="BI121" s="44">
        <f t="shared" si="60"/>
        <v>409259.08034407056</v>
      </c>
      <c r="BJ121" s="44">
        <f t="shared" ref="BJ121:CH121" si="61">BI125</f>
        <v>409259.08034407056</v>
      </c>
      <c r="BK121" s="44">
        <f t="shared" si="61"/>
        <v>424606.29585697321</v>
      </c>
      <c r="BL121" s="44">
        <f t="shared" si="61"/>
        <v>424606.29585697321</v>
      </c>
      <c r="BM121" s="44">
        <f t="shared" si="61"/>
        <v>424606.29585697321</v>
      </c>
      <c r="BN121" s="44">
        <f t="shared" si="61"/>
        <v>440529.03195160971</v>
      </c>
      <c r="BO121" s="44">
        <f t="shared" si="61"/>
        <v>440529.03195160971</v>
      </c>
      <c r="BP121" s="44">
        <f t="shared" si="61"/>
        <v>440529.03195160971</v>
      </c>
      <c r="BQ121" s="44">
        <f t="shared" si="61"/>
        <v>457048.87064979505</v>
      </c>
      <c r="BR121" s="44">
        <f t="shared" si="61"/>
        <v>457048.87064979505</v>
      </c>
      <c r="BS121" s="44">
        <f t="shared" si="61"/>
        <v>457048.87064979505</v>
      </c>
      <c r="BT121" s="44">
        <f t="shared" si="61"/>
        <v>474188.20329916239</v>
      </c>
      <c r="BU121" s="44">
        <f t="shared" si="61"/>
        <v>474188.20329916239</v>
      </c>
      <c r="BV121" s="44">
        <f t="shared" si="61"/>
        <v>474188.20329916239</v>
      </c>
      <c r="BW121" s="44">
        <f t="shared" si="61"/>
        <v>491970.26092288096</v>
      </c>
      <c r="BX121" s="44">
        <f t="shared" si="61"/>
        <v>491970.26092288096</v>
      </c>
      <c r="BY121" s="44">
        <f t="shared" si="61"/>
        <v>491970.26092288096</v>
      </c>
      <c r="BZ121" s="44">
        <f t="shared" si="61"/>
        <v>510419.14570748899</v>
      </c>
      <c r="CA121" s="44">
        <f t="shared" si="61"/>
        <v>510419.14570748899</v>
      </c>
      <c r="CB121" s="44">
        <f t="shared" si="61"/>
        <v>510419.14570748899</v>
      </c>
      <c r="CC121" s="44">
        <f t="shared" si="61"/>
        <v>529559.86367151979</v>
      </c>
      <c r="CD121" s="44">
        <f t="shared" si="61"/>
        <v>529559.86367151979</v>
      </c>
      <c r="CE121" s="44">
        <f t="shared" si="61"/>
        <v>529559.86367151979</v>
      </c>
      <c r="CF121" s="44">
        <f t="shared" si="61"/>
        <v>549418.35855920182</v>
      </c>
      <c r="CG121" s="44">
        <f t="shared" si="61"/>
        <v>549418.35855920182</v>
      </c>
      <c r="CH121" s="44">
        <f t="shared" si="61"/>
        <v>549418.35855920182</v>
      </c>
      <c r="CI121" s="23"/>
    </row>
    <row r="122" spans="1:87" ht="15" customHeight="1" x14ac:dyDescent="0.25">
      <c r="A122" s="43" t="s">
        <v>148</v>
      </c>
      <c r="B122" s="43"/>
      <c r="C122" s="44">
        <f>IF(AND(MOD(1,3)=0,C121&gt;0),C121*Assumptions!$B$59,0)</f>
        <v>0</v>
      </c>
      <c r="D122" s="44">
        <f>IF(AND(MOD(2,3)=0,D121&gt;0),D121*Assumptions!$B$59,0)</f>
        <v>0</v>
      </c>
      <c r="E122" s="44">
        <f>IF(AND(MOD(3,3)=0,E121&gt;0),E121*Assumptions!$B$59,0)</f>
        <v>16557.946874999998</v>
      </c>
      <c r="F122" s="44">
        <f>IF(AND(MOD(4,3)=0,F121&gt;0),F121*Assumptions!$B$59,0)</f>
        <v>0</v>
      </c>
      <c r="G122" s="44">
        <f>IF(AND(MOD(5,3)=0,G121&gt;0),G121*Assumptions!$B$59,0)</f>
        <v>0</v>
      </c>
      <c r="H122" s="44">
        <f>IF(AND(MOD(6,3)=0,H121&gt;0),H121*Assumptions!$B$59,0)</f>
        <v>23802.048632812501</v>
      </c>
      <c r="I122" s="44">
        <f>IF(AND(MOD(7,3)=0,I121&gt;0),I121*Assumptions!$B$59,0)</f>
        <v>0</v>
      </c>
      <c r="J122" s="44">
        <f>IF(AND(MOD(8,3)=0,J121&gt;0),J121*Assumptions!$B$59,0)</f>
        <v>0</v>
      </c>
      <c r="K122" s="44">
        <f>IF(AND(MOD(9,3)=0,K121&gt;0),K121*Assumptions!$B$59,0)</f>
        <v>24694.625456542966</v>
      </c>
      <c r="L122" s="44">
        <f>IF(AND(MOD(10,3)=0,L121&gt;0),L121*Assumptions!$B$59,0)</f>
        <v>0</v>
      </c>
      <c r="M122" s="44">
        <f>IF(AND(MOD(11,3)=0,M121&gt;0),M121*Assumptions!$B$59,0)</f>
        <v>0</v>
      </c>
      <c r="N122" s="44">
        <f>IF(AND(MOD(12,3)=0,N121&gt;0),N121*Assumptions!$B$59,0)</f>
        <v>28932.263286163328</v>
      </c>
      <c r="O122" s="44">
        <f>IF(AND(MOD(13,3)=0,O121&gt;0),O121*Assumptions!$B$59,0)</f>
        <v>0</v>
      </c>
      <c r="P122" s="44">
        <f>IF(AND(MOD(14,3)=0,P121&gt;0),P121*Assumptions!$B$59,0)</f>
        <v>0</v>
      </c>
      <c r="Q122" s="44">
        <f>IF(AND(MOD(15,3)=0,Q121&gt;0),Q121*Assumptions!$B$59,0)</f>
        <v>33328.812534394456</v>
      </c>
      <c r="R122" s="44">
        <f>IF(AND(MOD(16,3)=0,R121&gt;0),R121*Assumptions!$B$59,0)</f>
        <v>0</v>
      </c>
      <c r="S122" s="44">
        <f>IF(AND(MOD(17,3)=0,S121&gt;0),S121*Assumptions!$B$59,0)</f>
        <v>0</v>
      </c>
      <c r="T122" s="44">
        <f>IF(AND(MOD(18,3)=0,T121&gt;0),T121*Assumptions!$B$59,0)</f>
        <v>34578.643004434249</v>
      </c>
      <c r="U122" s="44">
        <f>IF(AND(MOD(19,3)=0,U121&gt;0),U121*Assumptions!$B$59,0)</f>
        <v>0</v>
      </c>
      <c r="V122" s="44">
        <f>IF(AND(MOD(20,3)=0,V121&gt;0),V121*Assumptions!$B$59,0)</f>
        <v>0</v>
      </c>
      <c r="W122" s="44">
        <f>IF(AND(MOD(21,3)=0,W121&gt;0),W121*Assumptions!$B$59,0)</f>
        <v>39186.931492100535</v>
      </c>
      <c r="X122" s="44">
        <f>IF(AND(MOD(22,3)=0,X121&gt;0),X121*Assumptions!$B$59,0)</f>
        <v>0</v>
      </c>
      <c r="Y122" s="44">
        <f>IF(AND(MOD(23,3)=0,Y121&gt;0),Y121*Assumptions!$B$59,0)</f>
        <v>0</v>
      </c>
      <c r="Z122" s="44">
        <f>IF(AND(MOD(24,3)=0,Z121&gt;0),Z121*Assumptions!$B$59,0)</f>
        <v>40656.441423054304</v>
      </c>
      <c r="AA122" s="44">
        <f>IF(AND(MOD(25,3)=0,AA121&gt;0),AA121*Assumptions!$B$59,0)</f>
        <v>0</v>
      </c>
      <c r="AB122" s="44">
        <f>IF(AND(MOD(26,3)=0,AB121&gt;0),AB121*Assumptions!$B$59,0)</f>
        <v>0</v>
      </c>
      <c r="AC122" s="44">
        <f>IF(AND(MOD(27,3)=0,AC121&gt;0),AC121*Assumptions!$B$59,0)</f>
        <v>75296.951726418847</v>
      </c>
      <c r="AD122" s="44">
        <f>IF(AND(MOD(28,3)=0,AD121&gt;0),AD121*Assumptions!$B$59,0)</f>
        <v>0</v>
      </c>
      <c r="AE122" s="44">
        <f>IF(AND(MOD(29,3)=0,AE121&gt;0),AE121*Assumptions!$B$59,0)</f>
        <v>0</v>
      </c>
      <c r="AF122" s="44">
        <f>IF(AND(MOD(30,3)=0,AF121&gt;0),AF121*Assumptions!$B$59,0)</f>
        <v>10620.587416159553</v>
      </c>
      <c r="AG122" s="44">
        <f>IF(AND(MOD(31,3)=0,AG121&gt;0),AG121*Assumptions!$B$59,0)</f>
        <v>0</v>
      </c>
      <c r="AH122" s="44">
        <f>IF(AND(MOD(32,3)=0,AH121&gt;0),AH121*Assumptions!$B$59,0)</f>
        <v>0</v>
      </c>
      <c r="AI122" s="44">
        <f>IF(AND(MOD(33,3)=0,AI121&gt;0),AI121*Assumptions!$B$59,0)</f>
        <v>11018.859444265538</v>
      </c>
      <c r="AJ122" s="44">
        <f>IF(AND(MOD(34,3)=0,AJ121&gt;0),AJ121*Assumptions!$B$59,0)</f>
        <v>0</v>
      </c>
      <c r="AK122" s="44">
        <f>IF(AND(MOD(35,3)=0,AK121&gt;0),AK121*Assumptions!$B$59,0)</f>
        <v>0</v>
      </c>
      <c r="AL122" s="44">
        <f>IF(AND(MOD(36,3)=0,AL121&gt;0),AL121*Assumptions!$B$59,0)</f>
        <v>11432.066673425496</v>
      </c>
      <c r="AM122" s="44">
        <f>IF(AND(MOD(37,3)=0,AM121&gt;0),AM121*Assumptions!$B$59,0)</f>
        <v>0</v>
      </c>
      <c r="AN122" s="44">
        <f>IF(AND(MOD(38,3)=0,AN121&gt;0),AN121*Assumptions!$B$59,0)</f>
        <v>0</v>
      </c>
      <c r="AO122" s="44">
        <f>IF(AND(MOD(39,3)=0,AO121&gt;0),AO121*Assumptions!$B$59,0)</f>
        <v>11860.769173678951</v>
      </c>
      <c r="AP122" s="44">
        <f>IF(AND(MOD(40,3)=0,AP121&gt;0),AP121*Assumptions!$B$59,0)</f>
        <v>0</v>
      </c>
      <c r="AQ122" s="44">
        <f>IF(AND(MOD(41,3)=0,AQ121&gt;0),AQ121*Assumptions!$B$59,0)</f>
        <v>0</v>
      </c>
      <c r="AR122" s="44">
        <f>IF(AND(MOD(42,3)=0,AR121&gt;0),AR121*Assumptions!$B$59,0)</f>
        <v>12305.548017691912</v>
      </c>
      <c r="AS122" s="44">
        <f>IF(AND(MOD(43,3)=0,AS121&gt;0),AS121*Assumptions!$B$59,0)</f>
        <v>0</v>
      </c>
      <c r="AT122" s="44">
        <f>IF(AND(MOD(44,3)=0,AT121&gt;0),AT121*Assumptions!$B$59,0)</f>
        <v>0</v>
      </c>
      <c r="AU122" s="44">
        <f>IF(AND(MOD(45,3)=0,AU121&gt;0),AU121*Assumptions!$B$59,0)</f>
        <v>12767.006068355358</v>
      </c>
      <c r="AV122" s="44">
        <f>IF(AND(MOD(46,3)=0,AV121&gt;0),AV121*Assumptions!$B$59,0)</f>
        <v>0</v>
      </c>
      <c r="AW122" s="44">
        <f>IF(AND(MOD(47,3)=0,AW121&gt;0),AW121*Assumptions!$B$59,0)</f>
        <v>0</v>
      </c>
      <c r="AX122" s="44">
        <f>IF(AND(MOD(48,3)=0,AX121&gt;0),AX121*Assumptions!$B$59,0)</f>
        <v>13245.768795918684</v>
      </c>
      <c r="AY122" s="44">
        <f>IF(AND(MOD(49,3)=0,AY121&gt;0),AY121*Assumptions!$B$59,0)</f>
        <v>0</v>
      </c>
      <c r="AZ122" s="44">
        <f>IF(AND(MOD(50,3)=0,AZ121&gt;0),AZ121*Assumptions!$B$59,0)</f>
        <v>0</v>
      </c>
      <c r="BA122" s="44">
        <f>IF(AND(MOD(51,3)=0,BA121&gt;0),BA121*Assumptions!$B$59,0)</f>
        <v>13742.485125765636</v>
      </c>
      <c r="BB122" s="44">
        <f>IF(AND(MOD(52,3)=0,BB121&gt;0),BB121*Assumptions!$B$59,0)</f>
        <v>0</v>
      </c>
      <c r="BC122" s="44">
        <f>IF(AND(MOD(53,3)=0,BC121&gt;0),BC121*Assumptions!$B$59,0)</f>
        <v>0</v>
      </c>
      <c r="BD122" s="44">
        <f>IF(AND(MOD(54,3)=0,BD121&gt;0),BD121*Assumptions!$B$59,0)</f>
        <v>14257.828317981845</v>
      </c>
      <c r="BE122" s="44">
        <f>IF(AND(MOD(55,3)=0,BE121&gt;0),BE121*Assumptions!$B$59,0)</f>
        <v>0</v>
      </c>
      <c r="BF122" s="44">
        <f>IF(AND(MOD(56,3)=0,BF121&gt;0),BF121*Assumptions!$B$59,0)</f>
        <v>0</v>
      </c>
      <c r="BG122" s="44">
        <f>IF(AND(MOD(57,3)=0,BG121&gt;0),BG121*Assumptions!$B$59,0)</f>
        <v>14792.496879906164</v>
      </c>
      <c r="BH122" s="44">
        <f>IF(AND(MOD(58,3)=0,BH121&gt;0),BH121*Assumptions!$B$59,0)</f>
        <v>0</v>
      </c>
      <c r="BI122" s="44">
        <f>IF(AND(MOD(59,3)=0,BI121&gt;0),BI121*Assumptions!$B$59,0)</f>
        <v>0</v>
      </c>
      <c r="BJ122" s="44">
        <f>IF(AND(MOD(60,3)=0,BJ121&gt;0),BJ121*Assumptions!$B$59,0)</f>
        <v>15347.215512902645</v>
      </c>
      <c r="BK122" s="44">
        <f>IF(AND(MOD(61,3)=0,BK121&gt;0),BK121*Assumptions!$B$59,0)</f>
        <v>0</v>
      </c>
      <c r="BL122" s="44">
        <f>IF(AND(MOD(62,3)=0,BL121&gt;0),BL121*Assumptions!$B$59,0)</f>
        <v>0</v>
      </c>
      <c r="BM122" s="44">
        <f>IF(AND(MOD(63,3)=0,BM121&gt;0),BM121*Assumptions!$B$59,0)</f>
        <v>15922.736094636495</v>
      </c>
      <c r="BN122" s="44">
        <f>IF(AND(MOD(64,3)=0,BN121&gt;0),BN121*Assumptions!$B$59,0)</f>
        <v>0</v>
      </c>
      <c r="BO122" s="44">
        <f>IF(AND(MOD(65,3)=0,BO121&gt;0),BO121*Assumptions!$B$59,0)</f>
        <v>0</v>
      </c>
      <c r="BP122" s="44">
        <f>IF(AND(MOD(66,3)=0,BP121&gt;0),BP121*Assumptions!$B$59,0)</f>
        <v>16519.838698185362</v>
      </c>
      <c r="BQ122" s="44">
        <f>IF(AND(MOD(67,3)=0,BQ121&gt;0),BQ121*Assumptions!$B$59,0)</f>
        <v>0</v>
      </c>
      <c r="BR122" s="44">
        <f>IF(AND(MOD(68,3)=0,BR121&gt;0),BR121*Assumptions!$B$59,0)</f>
        <v>0</v>
      </c>
      <c r="BS122" s="44">
        <f>IF(AND(MOD(69,3)=0,BS121&gt;0),BS121*Assumptions!$B$59,0)</f>
        <v>17139.332649367312</v>
      </c>
      <c r="BT122" s="44">
        <f>IF(AND(MOD(70,3)=0,BT121&gt;0),BT121*Assumptions!$B$59,0)</f>
        <v>0</v>
      </c>
      <c r="BU122" s="44">
        <f>IF(AND(MOD(71,3)=0,BU121&gt;0),BU121*Assumptions!$B$59,0)</f>
        <v>0</v>
      </c>
      <c r="BV122" s="44">
        <f>IF(AND(MOD(72,3)=0,BV121&gt;0),BV121*Assumptions!$B$59,0)</f>
        <v>17782.057623718589</v>
      </c>
      <c r="BW122" s="44">
        <f>IF(AND(MOD(73,3)=0,BW121&gt;0),BW121*Assumptions!$B$59,0)</f>
        <v>0</v>
      </c>
      <c r="BX122" s="44">
        <f>IF(AND(MOD(74,3)=0,BX121&gt;0),BX121*Assumptions!$B$59,0)</f>
        <v>0</v>
      </c>
      <c r="BY122" s="44">
        <f>IF(AND(MOD(75,3)=0,BY121&gt;0),BY121*Assumptions!$B$59,0)</f>
        <v>18448.884784608035</v>
      </c>
      <c r="BZ122" s="44">
        <f>IF(AND(MOD(76,3)=0,BZ121&gt;0),BZ121*Assumptions!$B$59,0)</f>
        <v>0</v>
      </c>
      <c r="CA122" s="44">
        <f>IF(AND(MOD(77,3)=0,CA121&gt;0),CA121*Assumptions!$B$59,0)</f>
        <v>0</v>
      </c>
      <c r="CB122" s="44">
        <f>IF(AND(MOD(78,3)=0,CB121&gt;0),CB121*Assumptions!$B$59,0)</f>
        <v>19140.717964030835</v>
      </c>
      <c r="CC122" s="44">
        <f>IF(AND(MOD(79,3)=0,CC121&gt;0),CC121*Assumptions!$B$59,0)</f>
        <v>0</v>
      </c>
      <c r="CD122" s="44">
        <f>IF(AND(MOD(80,3)=0,CD121&gt;0),CD121*Assumptions!$B$59,0)</f>
        <v>0</v>
      </c>
      <c r="CE122" s="44">
        <f>IF(AND(MOD(81,3)=0,CE121&gt;0),CE121*Assumptions!$B$59,0)</f>
        <v>19858.494887681991</v>
      </c>
      <c r="CF122" s="44">
        <f>IF(AND(MOD(82,3)=0,CF121&gt;0),CF121*Assumptions!$B$59,0)</f>
        <v>0</v>
      </c>
      <c r="CG122" s="44">
        <f>IF(AND(MOD(83,3)=0,CG121&gt;0),CG121*Assumptions!$B$59,0)</f>
        <v>0</v>
      </c>
      <c r="CH122" s="44">
        <f>IF(AND(MOD(84,3)=0,CH121&gt;0),CH121*Assumptions!$B$59,0)</f>
        <v>20603.188445970067</v>
      </c>
      <c r="CI122" s="23"/>
    </row>
    <row r="123" spans="1:87" ht="15" customHeight="1" x14ac:dyDescent="0.25">
      <c r="A123" s="43" t="s">
        <v>149</v>
      </c>
      <c r="B123" s="43"/>
      <c r="C123" s="44">
        <v>0</v>
      </c>
      <c r="D123" s="44">
        <v>0</v>
      </c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4">
        <v>0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>
        <v>0</v>
      </c>
      <c r="AA123" s="44">
        <v>0</v>
      </c>
      <c r="AB123" s="44">
        <v>0</v>
      </c>
      <c r="AC123" s="44">
        <f>IF(Projects!$G$14="Yes",Assumptions!$B$77,0)</f>
        <v>-1800000</v>
      </c>
      <c r="AD123" s="44">
        <v>0</v>
      </c>
      <c r="AE123" s="44">
        <v>0</v>
      </c>
      <c r="AF123" s="44">
        <v>0</v>
      </c>
      <c r="AG123" s="44">
        <v>0</v>
      </c>
      <c r="AH123" s="44">
        <v>0</v>
      </c>
      <c r="AI123" s="44">
        <v>0</v>
      </c>
      <c r="AJ123" s="44">
        <v>0</v>
      </c>
      <c r="AK123" s="44">
        <v>0</v>
      </c>
      <c r="AL123" s="44">
        <v>0</v>
      </c>
      <c r="AM123" s="44">
        <v>0</v>
      </c>
      <c r="AN123" s="44">
        <v>0</v>
      </c>
      <c r="AO123" s="44">
        <v>0</v>
      </c>
      <c r="AP123" s="44">
        <v>0</v>
      </c>
      <c r="AQ123" s="44">
        <v>0</v>
      </c>
      <c r="AR123" s="44">
        <v>0</v>
      </c>
      <c r="AS123" s="44">
        <v>0</v>
      </c>
      <c r="AT123" s="44">
        <v>0</v>
      </c>
      <c r="AU123" s="44">
        <v>0</v>
      </c>
      <c r="AV123" s="44">
        <v>0</v>
      </c>
      <c r="AW123" s="44">
        <v>0</v>
      </c>
      <c r="AX123" s="44">
        <v>0</v>
      </c>
      <c r="AY123" s="44">
        <v>0</v>
      </c>
      <c r="AZ123" s="44">
        <v>0</v>
      </c>
      <c r="BA123" s="44">
        <v>0</v>
      </c>
      <c r="BB123" s="44">
        <v>0</v>
      </c>
      <c r="BC123" s="44">
        <v>0</v>
      </c>
      <c r="BD123" s="44">
        <v>0</v>
      </c>
      <c r="BE123" s="44">
        <v>0</v>
      </c>
      <c r="BF123" s="44">
        <v>0</v>
      </c>
      <c r="BG123" s="44">
        <v>0</v>
      </c>
      <c r="BH123" s="44">
        <v>0</v>
      </c>
      <c r="BI123" s="44">
        <v>0</v>
      </c>
      <c r="BJ123" s="44">
        <v>0</v>
      </c>
      <c r="BK123" s="44">
        <v>0</v>
      </c>
      <c r="BL123" s="44">
        <v>0</v>
      </c>
      <c r="BM123" s="44">
        <v>0</v>
      </c>
      <c r="BN123" s="44">
        <v>0</v>
      </c>
      <c r="BO123" s="44">
        <v>0</v>
      </c>
      <c r="BP123" s="44">
        <v>0</v>
      </c>
      <c r="BQ123" s="44">
        <v>0</v>
      </c>
      <c r="BR123" s="44">
        <v>0</v>
      </c>
      <c r="BS123" s="44">
        <v>0</v>
      </c>
      <c r="BT123" s="44">
        <v>0</v>
      </c>
      <c r="BU123" s="44">
        <v>0</v>
      </c>
      <c r="BV123" s="44">
        <v>0</v>
      </c>
      <c r="BW123" s="44">
        <v>0</v>
      </c>
      <c r="BX123" s="44">
        <v>0</v>
      </c>
      <c r="BY123" s="44">
        <v>0</v>
      </c>
      <c r="BZ123" s="44">
        <v>0</v>
      </c>
      <c r="CA123" s="44">
        <v>0</v>
      </c>
      <c r="CB123" s="44">
        <v>0</v>
      </c>
      <c r="CC123" s="44">
        <v>0</v>
      </c>
      <c r="CD123" s="44">
        <v>0</v>
      </c>
      <c r="CE123" s="44">
        <v>0</v>
      </c>
      <c r="CF123" s="44">
        <v>0</v>
      </c>
      <c r="CG123" s="44">
        <v>0</v>
      </c>
      <c r="CH123" s="44">
        <v>0</v>
      </c>
      <c r="CI123" s="23"/>
    </row>
    <row r="124" spans="1:87" ht="15" customHeight="1" x14ac:dyDescent="0.25">
      <c r="A124" s="45" t="s">
        <v>150</v>
      </c>
      <c r="B124" s="45"/>
      <c r="C124" s="46">
        <f>-MIN(C121+C122+C123,MAX(0,C62-Helpers!C26))</f>
        <v>0</v>
      </c>
      <c r="D124" s="46">
        <f>-MIN(D121+D122+D123,MAX(0,D62-Helpers!D26))</f>
        <v>0</v>
      </c>
      <c r="E124" s="46">
        <f>-MIN(E121+E122+E123,MAX(0,E62-Helpers!E26))</f>
        <v>0</v>
      </c>
      <c r="F124" s="46">
        <f>-MIN(F121+F122+F123,MAX(0,F62-Helpers!F26))</f>
        <v>0</v>
      </c>
      <c r="G124" s="46">
        <f>-MIN(G121+G122+G123,MAX(0,G62-Helpers!G26))</f>
        <v>0</v>
      </c>
      <c r="H124" s="46">
        <f>-MIN(H121+H122+H123,MAX(0,H62-Helpers!H26))</f>
        <v>0</v>
      </c>
      <c r="I124" s="46">
        <f>-MIN(I121+I122+I123,MAX(0,I62-Helpers!I26))</f>
        <v>0</v>
      </c>
      <c r="J124" s="46">
        <f>-MIN(J121+J122+J123,MAX(0,J62-Helpers!J26))</f>
        <v>0</v>
      </c>
      <c r="K124" s="46">
        <f>-MIN(K121+K122+K123,MAX(0,K62-Helpers!K26))</f>
        <v>0</v>
      </c>
      <c r="L124" s="46">
        <f>-MIN(L121+L122+L123,MAX(0,L62-Helpers!L26))</f>
        <v>0</v>
      </c>
      <c r="M124" s="46">
        <f>-MIN(M121+M122+M123,MAX(0,M62-Helpers!M26))</f>
        <v>0</v>
      </c>
      <c r="N124" s="46">
        <f>-MIN(N121+N122+N123,MAX(0,N62-Helpers!N26))</f>
        <v>0</v>
      </c>
      <c r="O124" s="46">
        <f>-MIN(O121+O122+O123,MAX(0,O62-Helpers!O26))</f>
        <v>0</v>
      </c>
      <c r="P124" s="46">
        <f>-MIN(P121+P122+P123,MAX(0,P62-Helpers!P26))</f>
        <v>0</v>
      </c>
      <c r="Q124" s="46">
        <f>-MIN(Q121+Q122+Q123,MAX(0,Q62-Helpers!Q26))</f>
        <v>0</v>
      </c>
      <c r="R124" s="46">
        <f>-MIN(R121+R122+R123,MAX(0,R62-Helpers!R26))</f>
        <v>0</v>
      </c>
      <c r="S124" s="46">
        <f>-MIN(S121+S122+S123,MAX(0,S62-Helpers!S26))</f>
        <v>0</v>
      </c>
      <c r="T124" s="46">
        <f>-MIN(T121+T122+T123,MAX(0,T62-Helpers!T26))</f>
        <v>0</v>
      </c>
      <c r="U124" s="46">
        <f>-MIN(U121+U122+U123,MAX(0,U62-Helpers!U26))</f>
        <v>0</v>
      </c>
      <c r="V124" s="46">
        <f>-MIN(V121+V122+V123,MAX(0,V62-Helpers!V26))</f>
        <v>0</v>
      </c>
      <c r="W124" s="46">
        <f>-MIN(W121+W122+W123,MAX(0,W62-Helpers!W26))</f>
        <v>0</v>
      </c>
      <c r="X124" s="46">
        <f>-MIN(X121+X122+X123,MAX(0,X62-Helpers!X26))</f>
        <v>0</v>
      </c>
      <c r="Y124" s="46">
        <f>-MIN(Y121+Y122+Y123,MAX(0,Y62-Helpers!Y26))</f>
        <v>0</v>
      </c>
      <c r="Z124" s="46">
        <f>-MIN(Z121+Z122+Z123,MAX(0,Z62-Helpers!Z26))</f>
        <v>0</v>
      </c>
      <c r="AA124" s="46">
        <f>-MIN(AA121+AA122+AA123,MAX(0,AA62-Helpers!AA26))</f>
        <v>0</v>
      </c>
      <c r="AB124" s="46">
        <f>-MIN(AB121+AB122+AB123,MAX(0,AB62-Helpers!AB26))</f>
        <v>0</v>
      </c>
      <c r="AC124" s="46">
        <f>-MIN(AC121+AC122+AC123,MAX(0,AC62-Helpers!AC26))</f>
        <v>0</v>
      </c>
      <c r="AD124" s="46">
        <f>-MIN(AD121+AD122+AD123,MAX(0,AD62-Helpers!AD26))</f>
        <v>0</v>
      </c>
      <c r="AE124" s="46">
        <f>-MIN(AE121+AE122+AE123,MAX(0,AE62-Helpers!AE26))</f>
        <v>0</v>
      </c>
      <c r="AF124" s="46">
        <f>-MIN(AF121+AF122+AF123,MAX(0,AF62-Helpers!AF26))</f>
        <v>0</v>
      </c>
      <c r="AG124" s="46">
        <f>-MIN(AG121+AG122+AG123,MAX(0,AG62-Helpers!AG26))</f>
        <v>0</v>
      </c>
      <c r="AH124" s="46">
        <f>-MIN(AH121+AH122+AH123,MAX(0,AH62-Helpers!AH26))</f>
        <v>0</v>
      </c>
      <c r="AI124" s="46">
        <f>-MIN(AI121+AI122+AI123,MAX(0,AI62-Helpers!AI26))</f>
        <v>0</v>
      </c>
      <c r="AJ124" s="46">
        <f>-MIN(AJ121+AJ122+AJ123,MAX(0,AJ62-Helpers!AJ26))</f>
        <v>0</v>
      </c>
      <c r="AK124" s="46">
        <f>-MIN(AK121+AK122+AK123,MAX(0,AK62-Helpers!AK26))</f>
        <v>0</v>
      </c>
      <c r="AL124" s="46">
        <f>-MIN(AL121+AL122+AL123,MAX(0,AL62-Helpers!AL26))</f>
        <v>0</v>
      </c>
      <c r="AM124" s="46">
        <f>-MIN(AM121+AM122+AM123,MAX(0,AM62-Helpers!AM26))</f>
        <v>0</v>
      </c>
      <c r="AN124" s="46">
        <f>-MIN(AN121+AN122+AN123,MAX(0,AN62-Helpers!AN26))</f>
        <v>0</v>
      </c>
      <c r="AO124" s="46">
        <f>-MIN(AO121+AO122+AO123,MAX(0,AO62-Helpers!AO26))</f>
        <v>0</v>
      </c>
      <c r="AP124" s="46">
        <f>-MIN(AP121+AP122+AP123,MAX(0,AP62-Helpers!AP26))</f>
        <v>0</v>
      </c>
      <c r="AQ124" s="46">
        <f>-MIN(AQ121+AQ122+AQ123,MAX(0,AQ62-Helpers!AQ26))</f>
        <v>0</v>
      </c>
      <c r="AR124" s="46">
        <f>-MIN(AR121+AR122+AR123,MAX(0,AR62-Helpers!AR26))</f>
        <v>0</v>
      </c>
      <c r="AS124" s="46">
        <f>-MIN(AS121+AS122+AS123,MAX(0,AS62-Helpers!AS26))</f>
        <v>0</v>
      </c>
      <c r="AT124" s="46">
        <f>-MIN(AT121+AT122+AT123,MAX(0,AT62-Helpers!AT26))</f>
        <v>0</v>
      </c>
      <c r="AU124" s="46">
        <f>-MIN(AU121+AU122+AU123,MAX(0,AU62-Helpers!AU26))</f>
        <v>0</v>
      </c>
      <c r="AV124" s="46">
        <f>-MIN(AV121+AV122+AV123,MAX(0,AV62-Helpers!AV26))</f>
        <v>0</v>
      </c>
      <c r="AW124" s="46">
        <f>-MIN(AW121+AW122+AW123,MAX(0,AW62-Helpers!AW26))</f>
        <v>0</v>
      </c>
      <c r="AX124" s="46">
        <f>-MIN(AX121+AX122+AX123,MAX(0,AX62-Helpers!AX26))</f>
        <v>0</v>
      </c>
      <c r="AY124" s="46">
        <f>-MIN(AY121+AY122+AY123,MAX(0,AY62-Helpers!AY26))</f>
        <v>0</v>
      </c>
      <c r="AZ124" s="46">
        <f>-MIN(AZ121+AZ122+AZ123,MAX(0,AZ62-Helpers!AZ26))</f>
        <v>0</v>
      </c>
      <c r="BA124" s="46">
        <f>-MIN(BA121+BA122+BA123,MAX(0,BA62-Helpers!BA26))</f>
        <v>0</v>
      </c>
      <c r="BB124" s="46">
        <f>-MIN(BB121+BB122+BB123,MAX(0,BB62-Helpers!BB26))</f>
        <v>0</v>
      </c>
      <c r="BC124" s="46">
        <f>-MIN(BC121+BC122+BC123,MAX(0,BC62-Helpers!BC26))</f>
        <v>0</v>
      </c>
      <c r="BD124" s="46">
        <f>-MIN(BD121+BD122+BD123,MAX(0,BD62-Helpers!BD26))</f>
        <v>0</v>
      </c>
      <c r="BE124" s="46">
        <f>-MIN(BE121+BE122+BE123,MAX(0,BE62-Helpers!BE26))</f>
        <v>0</v>
      </c>
      <c r="BF124" s="46">
        <f>-MIN(BF121+BF122+BF123,MAX(0,BF62-Helpers!BF26))</f>
        <v>0</v>
      </c>
      <c r="BG124" s="46">
        <f>-MIN(BG121+BG122+BG123,MAX(0,BG62-Helpers!BG26))</f>
        <v>0</v>
      </c>
      <c r="BH124" s="46">
        <f>-MIN(BH121+BH122+BH123,MAX(0,BH62-Helpers!BH26))</f>
        <v>0</v>
      </c>
      <c r="BI124" s="46">
        <f>-MIN(BI121+BI122+BI123,MAX(0,BI62-Helpers!BI26))</f>
        <v>0</v>
      </c>
      <c r="BJ124" s="46">
        <f>-MIN(BJ121+BJ122+BJ123,MAX(0,BJ62-Helpers!BJ26))</f>
        <v>0</v>
      </c>
      <c r="BK124" s="46">
        <f>-MIN(BK121+BK122+BK123,MAX(0,BK62-Helpers!BK26))</f>
        <v>0</v>
      </c>
      <c r="BL124" s="46">
        <f>-MIN(BL121+BL122+BL123,MAX(0,BL62-Helpers!BL26))</f>
        <v>0</v>
      </c>
      <c r="BM124" s="46">
        <f>-MIN(BM121+BM122+BM123,MAX(0,BM62-Helpers!BM26))</f>
        <v>0</v>
      </c>
      <c r="BN124" s="46">
        <f>-MIN(BN121+BN122+BN123,MAX(0,BN62-Helpers!BN26))</f>
        <v>0</v>
      </c>
      <c r="BO124" s="46">
        <f>-MIN(BO121+BO122+BO123,MAX(0,BO62-Helpers!BO26))</f>
        <v>0</v>
      </c>
      <c r="BP124" s="46">
        <f>-MIN(BP121+BP122+BP123,MAX(0,BP62-Helpers!BP26))</f>
        <v>0</v>
      </c>
      <c r="BQ124" s="46">
        <f>-MIN(BQ121+BQ122+BQ123,MAX(0,BQ62-Helpers!BQ26))</f>
        <v>0</v>
      </c>
      <c r="BR124" s="46">
        <f>-MIN(BR121+BR122+BR123,MAX(0,BR62-Helpers!BR26))</f>
        <v>0</v>
      </c>
      <c r="BS124" s="46">
        <f>-MIN(BS121+BS122+BS123,MAX(0,BS62-Helpers!BS26))</f>
        <v>0</v>
      </c>
      <c r="BT124" s="46">
        <f>-MIN(BT121+BT122+BT123,MAX(0,BT62-Helpers!BT26))</f>
        <v>0</v>
      </c>
      <c r="BU124" s="46">
        <f>-MIN(BU121+BU122+BU123,MAX(0,BU62-Helpers!BU26))</f>
        <v>0</v>
      </c>
      <c r="BV124" s="46">
        <f>-MIN(BV121+BV122+BV123,MAX(0,BV62-Helpers!BV26))</f>
        <v>0</v>
      </c>
      <c r="BW124" s="46">
        <f>-MIN(BW121+BW122+BW123,MAX(0,BW62-Helpers!BW26))</f>
        <v>0</v>
      </c>
      <c r="BX124" s="46">
        <f>-MIN(BX121+BX122+BX123,MAX(0,BX62-Helpers!BX26))</f>
        <v>0</v>
      </c>
      <c r="BY124" s="46">
        <f>-MIN(BY121+BY122+BY123,MAX(0,BY62-Helpers!BY26))</f>
        <v>0</v>
      </c>
      <c r="BZ124" s="46">
        <f>-MIN(BZ121+BZ122+BZ123,MAX(0,BZ62-Helpers!BZ26))</f>
        <v>0</v>
      </c>
      <c r="CA124" s="46">
        <f>-MIN(CA121+CA122+CA123,MAX(0,CA62-Helpers!CA26))</f>
        <v>0</v>
      </c>
      <c r="CB124" s="46">
        <f>-MIN(CB121+CB122+CB123,MAX(0,CB62-Helpers!CB26))</f>
        <v>0</v>
      </c>
      <c r="CC124" s="46">
        <f>-MIN(CC121+CC122+CC123,MAX(0,CC62-Helpers!CC26))</f>
        <v>0</v>
      </c>
      <c r="CD124" s="46">
        <f>-MIN(CD121+CD122+CD123,MAX(0,CD62-Helpers!CD26))</f>
        <v>0</v>
      </c>
      <c r="CE124" s="46">
        <f>-MIN(CE121+CE122+CE123,MAX(0,CE62-Helpers!CE26))</f>
        <v>0</v>
      </c>
      <c r="CF124" s="46">
        <f>-MIN(CF121+CF122+CF123,MAX(0,CF62-Helpers!CF26))</f>
        <v>0</v>
      </c>
      <c r="CG124" s="46">
        <f>-MIN(CG121+CG122+CG123,MAX(0,CG62-Helpers!CG26))</f>
        <v>0</v>
      </c>
      <c r="CH124" s="46">
        <f>-MIN(CH121+CH122+CH123,MAX(0,CH62-Helpers!CH26))</f>
        <v>0</v>
      </c>
      <c r="CI124" s="23"/>
    </row>
    <row r="125" spans="1:87" ht="15" customHeight="1" x14ac:dyDescent="0.25">
      <c r="A125" s="40" t="s">
        <v>151</v>
      </c>
      <c r="B125" s="41"/>
      <c r="C125" s="42">
        <f t="shared" ref="C125:AH125" si="62">MAX(0,C121+C122+C123+C124)</f>
        <v>264927.15000000002</v>
      </c>
      <c r="D125" s="42">
        <f t="shared" si="62"/>
        <v>264927.15000000002</v>
      </c>
      <c r="E125" s="42">
        <f t="shared" si="62"/>
        <v>458103.19687500002</v>
      </c>
      <c r="F125" s="42">
        <f t="shared" si="62"/>
        <v>458103.19687500002</v>
      </c>
      <c r="G125" s="42">
        <f t="shared" si="62"/>
        <v>458103.19687500002</v>
      </c>
      <c r="H125" s="42">
        <f t="shared" si="62"/>
        <v>658523.34550781245</v>
      </c>
      <c r="I125" s="42">
        <f t="shared" si="62"/>
        <v>658523.34550781245</v>
      </c>
      <c r="J125" s="42">
        <f t="shared" si="62"/>
        <v>658523.34550781245</v>
      </c>
      <c r="K125" s="42">
        <f t="shared" si="62"/>
        <v>683217.97096435539</v>
      </c>
      <c r="L125" s="42">
        <f t="shared" si="62"/>
        <v>771527.02096435544</v>
      </c>
      <c r="M125" s="42">
        <f t="shared" si="62"/>
        <v>771527.02096435544</v>
      </c>
      <c r="N125" s="42">
        <f t="shared" si="62"/>
        <v>800459.28425051877</v>
      </c>
      <c r="O125" s="42">
        <f t="shared" si="62"/>
        <v>800459.28425051877</v>
      </c>
      <c r="P125" s="42">
        <f t="shared" si="62"/>
        <v>800459.28425051877</v>
      </c>
      <c r="Q125" s="42">
        <f t="shared" si="62"/>
        <v>922097.14678491326</v>
      </c>
      <c r="R125" s="42">
        <f t="shared" si="62"/>
        <v>922097.14678491326</v>
      </c>
      <c r="S125" s="42">
        <f t="shared" si="62"/>
        <v>922097.14678491326</v>
      </c>
      <c r="T125" s="42">
        <f t="shared" si="62"/>
        <v>956675.78978934756</v>
      </c>
      <c r="U125" s="42">
        <f t="shared" si="62"/>
        <v>956675.78978934756</v>
      </c>
      <c r="V125" s="42">
        <f t="shared" si="62"/>
        <v>956675.78978934756</v>
      </c>
      <c r="W125" s="42">
        <f t="shared" si="62"/>
        <v>1084171.7712814482</v>
      </c>
      <c r="X125" s="42">
        <f t="shared" si="62"/>
        <v>1084171.7712814482</v>
      </c>
      <c r="Y125" s="42">
        <f t="shared" si="62"/>
        <v>1084171.7712814482</v>
      </c>
      <c r="Z125" s="42">
        <f t="shared" si="62"/>
        <v>1124828.2127045025</v>
      </c>
      <c r="AA125" s="42">
        <f t="shared" si="62"/>
        <v>1124828.2127045025</v>
      </c>
      <c r="AB125" s="42">
        <f t="shared" si="62"/>
        <v>1124828.2127045025</v>
      </c>
      <c r="AC125" s="42">
        <f t="shared" si="62"/>
        <v>283215.66443092143</v>
      </c>
      <c r="AD125" s="42">
        <f t="shared" si="62"/>
        <v>283215.66443092143</v>
      </c>
      <c r="AE125" s="42">
        <f t="shared" si="62"/>
        <v>283215.66443092143</v>
      </c>
      <c r="AF125" s="42">
        <f t="shared" si="62"/>
        <v>293836.251847081</v>
      </c>
      <c r="AG125" s="42">
        <f t="shared" si="62"/>
        <v>293836.251847081</v>
      </c>
      <c r="AH125" s="42">
        <f t="shared" si="62"/>
        <v>293836.251847081</v>
      </c>
      <c r="AI125" s="42">
        <f t="shared" ref="AI125:BN125" si="63">MAX(0,AI121+AI122+AI123+AI124)</f>
        <v>304855.11129134655</v>
      </c>
      <c r="AJ125" s="42">
        <f t="shared" si="63"/>
        <v>304855.11129134655</v>
      </c>
      <c r="AK125" s="42">
        <f t="shared" si="63"/>
        <v>304855.11129134655</v>
      </c>
      <c r="AL125" s="42">
        <f t="shared" si="63"/>
        <v>316287.17796477204</v>
      </c>
      <c r="AM125" s="42">
        <f t="shared" si="63"/>
        <v>316287.17796477204</v>
      </c>
      <c r="AN125" s="42">
        <f t="shared" si="63"/>
        <v>316287.17796477204</v>
      </c>
      <c r="AO125" s="42">
        <f t="shared" si="63"/>
        <v>328147.94713845098</v>
      </c>
      <c r="AP125" s="42">
        <f t="shared" si="63"/>
        <v>328147.94713845098</v>
      </c>
      <c r="AQ125" s="42">
        <f t="shared" si="63"/>
        <v>328147.94713845098</v>
      </c>
      <c r="AR125" s="42">
        <f t="shared" si="63"/>
        <v>340453.49515614292</v>
      </c>
      <c r="AS125" s="42">
        <f t="shared" si="63"/>
        <v>340453.49515614292</v>
      </c>
      <c r="AT125" s="42">
        <f t="shared" si="63"/>
        <v>340453.49515614292</v>
      </c>
      <c r="AU125" s="42">
        <f t="shared" si="63"/>
        <v>353220.50122449826</v>
      </c>
      <c r="AV125" s="42">
        <f t="shared" si="63"/>
        <v>353220.50122449826</v>
      </c>
      <c r="AW125" s="42">
        <f t="shared" si="63"/>
        <v>353220.50122449826</v>
      </c>
      <c r="AX125" s="42">
        <f t="shared" si="63"/>
        <v>366466.27002041694</v>
      </c>
      <c r="AY125" s="42">
        <f t="shared" si="63"/>
        <v>366466.27002041694</v>
      </c>
      <c r="AZ125" s="42">
        <f t="shared" si="63"/>
        <v>366466.27002041694</v>
      </c>
      <c r="BA125" s="42">
        <f t="shared" si="63"/>
        <v>380208.75514618255</v>
      </c>
      <c r="BB125" s="42">
        <f t="shared" si="63"/>
        <v>380208.75514618255</v>
      </c>
      <c r="BC125" s="42">
        <f t="shared" si="63"/>
        <v>380208.75514618255</v>
      </c>
      <c r="BD125" s="42">
        <f t="shared" si="63"/>
        <v>394466.5834641644</v>
      </c>
      <c r="BE125" s="42">
        <f t="shared" si="63"/>
        <v>394466.5834641644</v>
      </c>
      <c r="BF125" s="42">
        <f t="shared" si="63"/>
        <v>394466.5834641644</v>
      </c>
      <c r="BG125" s="42">
        <f t="shared" si="63"/>
        <v>409259.08034407056</v>
      </c>
      <c r="BH125" s="42">
        <f t="shared" si="63"/>
        <v>409259.08034407056</v>
      </c>
      <c r="BI125" s="42">
        <f t="shared" si="63"/>
        <v>409259.08034407056</v>
      </c>
      <c r="BJ125" s="42">
        <f t="shared" si="63"/>
        <v>424606.29585697321</v>
      </c>
      <c r="BK125" s="42">
        <f t="shared" si="63"/>
        <v>424606.29585697321</v>
      </c>
      <c r="BL125" s="42">
        <f t="shared" si="63"/>
        <v>424606.29585697321</v>
      </c>
      <c r="BM125" s="42">
        <f t="shared" si="63"/>
        <v>440529.03195160971</v>
      </c>
      <c r="BN125" s="42">
        <f t="shared" si="63"/>
        <v>440529.03195160971</v>
      </c>
      <c r="BO125" s="42">
        <f t="shared" ref="BO125:CT125" si="64">MAX(0,BO121+BO122+BO123+BO124)</f>
        <v>440529.03195160971</v>
      </c>
      <c r="BP125" s="42">
        <f t="shared" si="64"/>
        <v>457048.87064979505</v>
      </c>
      <c r="BQ125" s="42">
        <f t="shared" si="64"/>
        <v>457048.87064979505</v>
      </c>
      <c r="BR125" s="42">
        <f t="shared" si="64"/>
        <v>457048.87064979505</v>
      </c>
      <c r="BS125" s="42">
        <f t="shared" si="64"/>
        <v>474188.20329916239</v>
      </c>
      <c r="BT125" s="42">
        <f t="shared" si="64"/>
        <v>474188.20329916239</v>
      </c>
      <c r="BU125" s="42">
        <f t="shared" si="64"/>
        <v>474188.20329916239</v>
      </c>
      <c r="BV125" s="42">
        <f t="shared" si="64"/>
        <v>491970.26092288096</v>
      </c>
      <c r="BW125" s="42">
        <f t="shared" si="64"/>
        <v>491970.26092288096</v>
      </c>
      <c r="BX125" s="42">
        <f t="shared" si="64"/>
        <v>491970.26092288096</v>
      </c>
      <c r="BY125" s="42">
        <f t="shared" si="64"/>
        <v>510419.14570748899</v>
      </c>
      <c r="BZ125" s="42">
        <f t="shared" si="64"/>
        <v>510419.14570748899</v>
      </c>
      <c r="CA125" s="42">
        <f t="shared" si="64"/>
        <v>510419.14570748899</v>
      </c>
      <c r="CB125" s="42">
        <f t="shared" si="64"/>
        <v>529559.86367151979</v>
      </c>
      <c r="CC125" s="42">
        <f t="shared" si="64"/>
        <v>529559.86367151979</v>
      </c>
      <c r="CD125" s="42">
        <f t="shared" si="64"/>
        <v>529559.86367151979</v>
      </c>
      <c r="CE125" s="42">
        <f t="shared" si="64"/>
        <v>549418.35855920182</v>
      </c>
      <c r="CF125" s="42">
        <f t="shared" si="64"/>
        <v>549418.35855920182</v>
      </c>
      <c r="CG125" s="42">
        <f t="shared" si="64"/>
        <v>549418.35855920182</v>
      </c>
      <c r="CH125" s="42">
        <f t="shared" si="64"/>
        <v>570021.54700517189</v>
      </c>
      <c r="CI125" s="23"/>
    </row>
    <row r="126" spans="1:87" ht="15" customHeight="1" x14ac:dyDescent="0.25">
      <c r="A126" s="43" t="s">
        <v>152</v>
      </c>
      <c r="B126" s="43"/>
      <c r="C126" s="44">
        <f>IF(Projects!$G$13="Yes",Assumptions!$B$71,0)</f>
        <v>1134000</v>
      </c>
      <c r="D126" s="44">
        <f>C130+IF(AND(Projects!$G$13="Yes",2&lt;=Assumptions!$B$73),Assumptions!$B$72,0)</f>
        <v>1184000</v>
      </c>
      <c r="E126" s="44">
        <f>D130+IF(AND(Projects!$G$13="Yes",3&lt;=Assumptions!$B$73),Assumptions!$B$72,0)</f>
        <v>1234000</v>
      </c>
      <c r="F126" s="44">
        <f>E130+IF(AND(Projects!$G$13="Yes",4&lt;=Assumptions!$B$73),Assumptions!$B$72,0)</f>
        <v>1330275</v>
      </c>
      <c r="G126" s="44">
        <f>F130+IF(AND(Projects!$G$13="Yes",5&lt;=Assumptions!$B$73),Assumptions!$B$72,0)</f>
        <v>1380275</v>
      </c>
      <c r="H126" s="44">
        <f>G130+IF(AND(Projects!$G$13="Yes",6&lt;=Assumptions!$B$73),Assumptions!$B$72,0)</f>
        <v>1430275</v>
      </c>
      <c r="I126" s="44">
        <f>H130+IF(AND(Projects!$G$13="Yes",7&lt;=Assumptions!$B$73),Assumptions!$B$72,0)</f>
        <v>1533910.3125</v>
      </c>
      <c r="J126" s="44">
        <f>I130+IF(AND(Projects!$G$13="Yes",8&lt;=Assumptions!$B$73),Assumptions!$B$72,0)</f>
        <v>1583910.3125</v>
      </c>
      <c r="K126" s="44">
        <f>J130+IF(AND(Projects!$G$13="Yes",9&lt;=Assumptions!$B$73),Assumptions!$B$72,0)</f>
        <v>1633910.3125</v>
      </c>
      <c r="L126" s="44">
        <f>K130+IF(AND(Projects!$G$13="Yes",10&lt;=Assumptions!$B$73),Assumptions!$B$72,0)</f>
        <v>1745181.94921875</v>
      </c>
      <c r="M126" s="44">
        <f>L130+IF(AND(Projects!$G$13="Yes",11&lt;=Assumptions!$B$73),Assumptions!$B$72,0)</f>
        <v>1795181.94921875</v>
      </c>
      <c r="N126" s="44">
        <f>M130+IF(AND(Projects!$G$13="Yes",12&lt;=Assumptions!$B$73),Assumptions!$B$72,0)</f>
        <v>1845181.94921875</v>
      </c>
      <c r="O126" s="44">
        <f>N130+IF(AND(Projects!$G$13="Yes",13&lt;=Assumptions!$B$73),Assumptions!$B$72,0)</f>
        <v>1964376.272314453</v>
      </c>
      <c r="P126" s="44">
        <f>O130+IF(AND(Projects!$G$13="Yes",14&lt;=Assumptions!$B$73),Assumptions!$B$72,0)</f>
        <v>564376.27231445303</v>
      </c>
      <c r="Q126" s="44">
        <f>P130+IF(AND(Projects!$G$13="Yes",15&lt;=Assumptions!$B$73),Assumptions!$B$72,0)</f>
        <v>564376.27231445303</v>
      </c>
      <c r="R126" s="44">
        <f>Q130+IF(AND(Projects!$G$13="Yes",16&lt;=Assumptions!$B$73),Assumptions!$B$72,0)</f>
        <v>585540.38252624497</v>
      </c>
      <c r="S126" s="44">
        <f>R130+IF(AND(Projects!$G$13="Yes",17&lt;=Assumptions!$B$73),Assumptions!$B$72,0)</f>
        <v>585540.38252624497</v>
      </c>
      <c r="T126" s="44">
        <f>S130+IF(AND(Projects!$G$13="Yes",18&lt;=Assumptions!$B$73),Assumptions!$B$72,0)</f>
        <v>585540.38252624497</v>
      </c>
      <c r="U126" s="44">
        <f>T130+IF(AND(Projects!$G$13="Yes",19&lt;=Assumptions!$B$73),Assumptions!$B$72,0)</f>
        <v>607498.14687097911</v>
      </c>
      <c r="V126" s="44">
        <f>U130+IF(AND(Projects!$G$13="Yes",20&lt;=Assumptions!$B$73),Assumptions!$B$72,0)</f>
        <v>607498.14687097911</v>
      </c>
      <c r="W126" s="44">
        <f>V130+IF(AND(Projects!$G$13="Yes",21&lt;=Assumptions!$B$73),Assumptions!$B$72,0)</f>
        <v>607498.14687097911</v>
      </c>
      <c r="X126" s="44">
        <f>W130+IF(AND(Projects!$G$13="Yes",22&lt;=Assumptions!$B$73),Assumptions!$B$72,0)</f>
        <v>630279.32737864088</v>
      </c>
      <c r="Y126" s="44">
        <f>X130+IF(AND(Projects!$G$13="Yes",23&lt;=Assumptions!$B$73),Assumptions!$B$72,0)</f>
        <v>630279.32737864088</v>
      </c>
      <c r="Z126" s="44">
        <f>Y130+IF(AND(Projects!$G$13="Yes",24&lt;=Assumptions!$B$73),Assumptions!$B$72,0)</f>
        <v>630279.32737864088</v>
      </c>
      <c r="AA126" s="44">
        <f>Z130+IF(AND(Projects!$G$13="Yes",25&lt;=Assumptions!$B$73),Assumptions!$B$72,0)</f>
        <v>653914.80215533986</v>
      </c>
      <c r="AB126" s="44">
        <f>AA130+IF(AND(Projects!$G$13="Yes",26&lt;=Assumptions!$B$73),Assumptions!$B$72,0)</f>
        <v>653914.80215533986</v>
      </c>
      <c r="AC126" s="44">
        <f>AB130+IF(AND(Projects!$G$13="Yes",27&lt;=Assumptions!$B$73),Assumptions!$B$72,0)</f>
        <v>653914.80215533986</v>
      </c>
      <c r="AD126" s="44">
        <f>AC130+IF(AND(Projects!$G$13="Yes",28&lt;=Assumptions!$B$73),Assumptions!$B$72,0)</f>
        <v>678436.60723616509</v>
      </c>
      <c r="AE126" s="44">
        <f>AD130+IF(AND(Projects!$G$13="Yes",29&lt;=Assumptions!$B$73),Assumptions!$B$72,0)</f>
        <v>678436.60723616509</v>
      </c>
      <c r="AF126" s="44">
        <f>AE130+IF(AND(Projects!$G$13="Yes",30&lt;=Assumptions!$B$73),Assumptions!$B$72,0)</f>
        <v>678436.60723616509</v>
      </c>
      <c r="AG126" s="44">
        <f>AF130+IF(AND(Projects!$G$13="Yes",31&lt;=Assumptions!$B$73),Assumptions!$B$72,0)</f>
        <v>703877.98000752123</v>
      </c>
      <c r="AH126" s="44">
        <f>AG130+IF(AND(Projects!$G$13="Yes",32&lt;=Assumptions!$B$73),Assumptions!$B$72,0)</f>
        <v>703877.98000752123</v>
      </c>
      <c r="AI126" s="44">
        <f>AH130+IF(AND(Projects!$G$13="Yes",33&lt;=Assumptions!$B$73),Assumptions!$B$72,0)</f>
        <v>703877.98000752123</v>
      </c>
      <c r="AJ126" s="44">
        <f>AI130+IF(AND(Projects!$G$13="Yes",34&lt;=Assumptions!$B$73),Assumptions!$B$72,0)</f>
        <v>730273.40425780322</v>
      </c>
      <c r="AK126" s="44">
        <f>AJ130+IF(AND(Projects!$G$13="Yes",35&lt;=Assumptions!$B$73),Assumptions!$B$72,0)</f>
        <v>730273.40425780322</v>
      </c>
      <c r="AL126" s="44">
        <f>AK130+IF(AND(Projects!$G$13="Yes",36&lt;=Assumptions!$B$73),Assumptions!$B$72,0)</f>
        <v>730273.40425780322</v>
      </c>
      <c r="AM126" s="44">
        <f>AL130+IF(AND(Projects!$G$13="Yes",37&lt;=Assumptions!$B$73),Assumptions!$B$72,0)</f>
        <v>757658.65691747086</v>
      </c>
      <c r="AN126" s="44">
        <f>AM130+IF(AND(Projects!$G$13="Yes",38&lt;=Assumptions!$B$73),Assumptions!$B$72,0)</f>
        <v>757658.65691747086</v>
      </c>
      <c r="AO126" s="44">
        <f>AN130+IF(AND(Projects!$G$13="Yes",39&lt;=Assumptions!$B$73),Assumptions!$B$72,0)</f>
        <v>757658.65691747086</v>
      </c>
      <c r="AP126" s="44">
        <f>AO130+IF(AND(Projects!$G$13="Yes",40&lt;=Assumptions!$B$73),Assumptions!$B$72,0)</f>
        <v>786070.85655187606</v>
      </c>
      <c r="AQ126" s="44">
        <f>AP130+IF(AND(Projects!$G$13="Yes",41&lt;=Assumptions!$B$73),Assumptions!$B$72,0)</f>
        <v>786070.85655187606</v>
      </c>
      <c r="AR126" s="44">
        <f>AQ130+IF(AND(Projects!$G$13="Yes",42&lt;=Assumptions!$B$73),Assumptions!$B$72,0)</f>
        <v>786070.85655187606</v>
      </c>
      <c r="AS126" s="44">
        <f>AR130+IF(AND(Projects!$G$13="Yes",43&lt;=Assumptions!$B$73),Assumptions!$B$72,0)</f>
        <v>815548.5136725714</v>
      </c>
      <c r="AT126" s="44">
        <f>AS130+IF(AND(Projects!$G$13="Yes",44&lt;=Assumptions!$B$73),Assumptions!$B$72,0)</f>
        <v>815548.5136725714</v>
      </c>
      <c r="AU126" s="44">
        <f>AT130+IF(AND(Projects!$G$13="Yes",45&lt;=Assumptions!$B$73),Assumptions!$B$72,0)</f>
        <v>815548.5136725714</v>
      </c>
      <c r="AV126" s="44">
        <f>AU130+IF(AND(Projects!$G$13="Yes",46&lt;=Assumptions!$B$73),Assumptions!$B$72,0)</f>
        <v>846131.58293529286</v>
      </c>
      <c r="AW126" s="44">
        <f>AV130+IF(AND(Projects!$G$13="Yes",47&lt;=Assumptions!$B$73),Assumptions!$B$72,0)</f>
        <v>846131.58293529286</v>
      </c>
      <c r="AX126" s="44">
        <f>AW130+IF(AND(Projects!$G$13="Yes",48&lt;=Assumptions!$B$73),Assumptions!$B$72,0)</f>
        <v>846131.58293529286</v>
      </c>
      <c r="AY126" s="44">
        <f>AX130+IF(AND(Projects!$G$13="Yes",49&lt;=Assumptions!$B$73),Assumptions!$B$72,0)</f>
        <v>877861.51729536639</v>
      </c>
      <c r="AZ126" s="44">
        <f>AY130+IF(AND(Projects!$G$13="Yes",50&lt;=Assumptions!$B$73),Assumptions!$B$72,0)</f>
        <v>877861.51729536639</v>
      </c>
      <c r="BA126" s="44">
        <f>AZ130+IF(AND(Projects!$G$13="Yes",51&lt;=Assumptions!$B$73),Assumptions!$B$72,0)</f>
        <v>877861.51729536639</v>
      </c>
      <c r="BB126" s="44">
        <f>BA130+IF(AND(Projects!$G$13="Yes",52&lt;=Assumptions!$B$73),Assumptions!$B$72,0)</f>
        <v>661610.02419394255</v>
      </c>
      <c r="BC126" s="44">
        <f>BB130+IF(AND(Projects!$G$13="Yes",53&lt;=Assumptions!$B$73),Assumptions!$B$72,0)</f>
        <v>661610.02419394255</v>
      </c>
      <c r="BD126" s="44">
        <f>BC130+IF(AND(Projects!$G$13="Yes",54&lt;=Assumptions!$B$73),Assumptions!$B$72,0)</f>
        <v>661610.02419394255</v>
      </c>
      <c r="BE126" s="44">
        <f>BD130+IF(AND(Projects!$G$13="Yes",55&lt;=Assumptions!$B$73),Assumptions!$B$72,0)</f>
        <v>614720.40010121535</v>
      </c>
      <c r="BF126" s="44">
        <f>BE130+IF(AND(Projects!$G$13="Yes",56&lt;=Assumptions!$B$73),Assumptions!$B$72,0)</f>
        <v>614720.40010121535</v>
      </c>
      <c r="BG126" s="44">
        <f>BF130+IF(AND(Projects!$G$13="Yes",57&lt;=Assumptions!$B$73),Assumptions!$B$72,0)</f>
        <v>614720.40010121535</v>
      </c>
      <c r="BH126" s="44">
        <f>BG130+IF(AND(Projects!$G$13="Yes",58&lt;=Assumptions!$B$73),Assumptions!$B$72,0)</f>
        <v>566072.41510501096</v>
      </c>
      <c r="BI126" s="44">
        <f>BH130+IF(AND(Projects!$G$13="Yes",59&lt;=Assumptions!$B$73),Assumptions!$B$72,0)</f>
        <v>566072.41510501096</v>
      </c>
      <c r="BJ126" s="44">
        <f>BI130+IF(AND(Projects!$G$13="Yes",60&lt;=Assumptions!$B$73),Assumptions!$B$72,0)</f>
        <v>566072.41510501096</v>
      </c>
      <c r="BK126" s="44">
        <f>BJ130+IF(AND(Projects!$G$13="Yes",61&lt;=Assumptions!$B$73),Assumptions!$B$72,0)</f>
        <v>515600.13067144889</v>
      </c>
      <c r="BL126" s="44">
        <f>BK130+IF(AND(Projects!$G$13="Yes",62&lt;=Assumptions!$B$73),Assumptions!$B$72,0)</f>
        <v>515600.13067144889</v>
      </c>
      <c r="BM126" s="44">
        <f>BL130+IF(AND(Projects!$G$13="Yes",63&lt;=Assumptions!$B$73),Assumptions!$B$72,0)</f>
        <v>515600.13067144889</v>
      </c>
      <c r="BN126" s="44">
        <f>BM130+IF(AND(Projects!$G$13="Yes",64&lt;=Assumptions!$B$73),Assumptions!$B$72,0)</f>
        <v>463235.13557162823</v>
      </c>
      <c r="BO126" s="44">
        <f>BN130+IF(AND(Projects!$G$13="Yes",65&lt;=Assumptions!$B$73),Assumptions!$B$72,0)</f>
        <v>463235.13557162823</v>
      </c>
      <c r="BP126" s="44">
        <f>BO130+IF(AND(Projects!$G$13="Yes",66&lt;=Assumptions!$B$73),Assumptions!$B$72,0)</f>
        <v>463235.13557162823</v>
      </c>
      <c r="BQ126" s="44">
        <f>BP130+IF(AND(Projects!$G$13="Yes",67&lt;=Assumptions!$B$73),Assumptions!$B$72,0)</f>
        <v>405963.45315556426</v>
      </c>
      <c r="BR126" s="44">
        <f>BQ130+IF(AND(Projects!$G$13="Yes",68&lt;=Assumptions!$B$73),Assumptions!$B$72,0)</f>
        <v>405963.45315556426</v>
      </c>
      <c r="BS126" s="44">
        <f>BR130+IF(AND(Projects!$G$13="Yes",69&lt;=Assumptions!$B$73),Assumptions!$B$72,0)</f>
        <v>405963.45315556426</v>
      </c>
      <c r="BT126" s="44">
        <f>BS130+IF(AND(Projects!$G$13="Yes",70&lt;=Assumptions!$B$73),Assumptions!$B$72,0)</f>
        <v>346547.08264889789</v>
      </c>
      <c r="BU126" s="44">
        <f>BT130+IF(AND(Projects!$G$13="Yes",71&lt;=Assumptions!$B$73),Assumptions!$B$72,0)</f>
        <v>346547.08264889789</v>
      </c>
      <c r="BV126" s="44">
        <f>BU130+IF(AND(Projects!$G$13="Yes",72&lt;=Assumptions!$B$73),Assumptions!$B$72,0)</f>
        <v>346547.08264889789</v>
      </c>
      <c r="BW126" s="44">
        <f>BV130+IF(AND(Projects!$G$13="Yes",73&lt;=Assumptions!$B$73),Assumptions!$B$72,0)</f>
        <v>284902.59824823157</v>
      </c>
      <c r="BX126" s="44">
        <f>BW130+IF(AND(Projects!$G$13="Yes",74&lt;=Assumptions!$B$73),Assumptions!$B$72,0)</f>
        <v>284902.59824823157</v>
      </c>
      <c r="BY126" s="44">
        <f>BX130+IF(AND(Projects!$G$13="Yes",75&lt;=Assumptions!$B$73),Assumptions!$B$72,0)</f>
        <v>284902.59824823157</v>
      </c>
      <c r="BZ126" s="44">
        <f>BY130+IF(AND(Projects!$G$13="Yes",76&lt;=Assumptions!$B$73),Assumptions!$B$72,0)</f>
        <v>220946.44568254024</v>
      </c>
      <c r="CA126" s="44">
        <f>BZ130+IF(AND(Projects!$G$13="Yes",77&lt;=Assumptions!$B$73),Assumptions!$B$72,0)</f>
        <v>220946.44568254024</v>
      </c>
      <c r="CB126" s="44">
        <f>CA130+IF(AND(Projects!$G$13="Yes",78&lt;=Assumptions!$B$73),Assumptions!$B$72,0)</f>
        <v>220946.44568254024</v>
      </c>
      <c r="CC126" s="44">
        <f>CB130+IF(AND(Projects!$G$13="Yes",79&lt;=Assumptions!$B$73),Assumptions!$B$72,0)</f>
        <v>147868.9373956355</v>
      </c>
      <c r="CD126" s="44">
        <f>CC130+IF(AND(Projects!$G$13="Yes",80&lt;=Assumptions!$B$73),Assumptions!$B$72,0)</f>
        <v>147868.9373956355</v>
      </c>
      <c r="CE126" s="44">
        <f>CD130+IF(AND(Projects!$G$13="Yes",81&lt;=Assumptions!$B$73),Assumptions!$B$72,0)</f>
        <v>147868.9373956355</v>
      </c>
      <c r="CF126" s="44">
        <f>CE130+IF(AND(Projects!$G$13="Yes",82&lt;=Assumptions!$B$73),Assumptions!$B$72,0)</f>
        <v>72052.022547971836</v>
      </c>
      <c r="CG126" s="44">
        <f>CF130+IF(AND(Projects!$G$13="Yes",83&lt;=Assumptions!$B$73),Assumptions!$B$72,0)</f>
        <v>72052.022547971836</v>
      </c>
      <c r="CH126" s="44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3" t="s">
        <v>153</v>
      </c>
      <c r="B127" s="43"/>
      <c r="C127" s="44">
        <f>IF(AND(MOD(1,3)=0,C126&gt;0),C126*Assumptions!$B$59,0)</f>
        <v>0</v>
      </c>
      <c r="D127" s="44">
        <f>IF(AND(MOD(2,3)=0,D126&gt;0),D126*Assumptions!$B$59,0)</f>
        <v>0</v>
      </c>
      <c r="E127" s="44">
        <f>IF(AND(MOD(3,3)=0,E126&gt;0),E126*Assumptions!$B$59,0)</f>
        <v>46275</v>
      </c>
      <c r="F127" s="44">
        <f>IF(AND(MOD(4,3)=0,F126&gt;0),F126*Assumptions!$B$59,0)</f>
        <v>0</v>
      </c>
      <c r="G127" s="44">
        <f>IF(AND(MOD(5,3)=0,G126&gt;0),G126*Assumptions!$B$59,0)</f>
        <v>0</v>
      </c>
      <c r="H127" s="44">
        <f>IF(AND(MOD(6,3)=0,H126&gt;0),H126*Assumptions!$B$59,0)</f>
        <v>53635.3125</v>
      </c>
      <c r="I127" s="44">
        <f>IF(AND(MOD(7,3)=0,I126&gt;0),I126*Assumptions!$B$59,0)</f>
        <v>0</v>
      </c>
      <c r="J127" s="44">
        <f>IF(AND(MOD(8,3)=0,J126&gt;0),J126*Assumptions!$B$59,0)</f>
        <v>0</v>
      </c>
      <c r="K127" s="44">
        <f>IF(AND(MOD(9,3)=0,K126&gt;0),K126*Assumptions!$B$59,0)</f>
        <v>61271.63671875</v>
      </c>
      <c r="L127" s="44">
        <f>IF(AND(MOD(10,3)=0,L126&gt;0),L126*Assumptions!$B$59,0)</f>
        <v>0</v>
      </c>
      <c r="M127" s="44">
        <f>IF(AND(MOD(11,3)=0,M126&gt;0),M126*Assumptions!$B$59,0)</f>
        <v>0</v>
      </c>
      <c r="N127" s="44">
        <f>IF(AND(MOD(12,3)=0,N126&gt;0),N126*Assumptions!$B$59,0)</f>
        <v>69194.323095703119</v>
      </c>
      <c r="O127" s="44">
        <f>IF(AND(MOD(13,3)=0,O126&gt;0),O126*Assumptions!$B$59,0)</f>
        <v>0</v>
      </c>
      <c r="P127" s="44">
        <f>IF(AND(MOD(14,3)=0,P126&gt;0),P126*Assumptions!$B$59,0)</f>
        <v>0</v>
      </c>
      <c r="Q127" s="44">
        <f>IF(AND(MOD(15,3)=0,Q126&gt;0),Q126*Assumptions!$B$59,0)</f>
        <v>21164.110211791987</v>
      </c>
      <c r="R127" s="44">
        <f>IF(AND(MOD(16,3)=0,R126&gt;0),R126*Assumptions!$B$59,0)</f>
        <v>0</v>
      </c>
      <c r="S127" s="44">
        <f>IF(AND(MOD(17,3)=0,S126&gt;0),S126*Assumptions!$B$59,0)</f>
        <v>0</v>
      </c>
      <c r="T127" s="44">
        <f>IF(AND(MOD(18,3)=0,T126&gt;0),T126*Assumptions!$B$59,0)</f>
        <v>21957.764344734187</v>
      </c>
      <c r="U127" s="44">
        <f>IF(AND(MOD(19,3)=0,U126&gt;0),U126*Assumptions!$B$59,0)</f>
        <v>0</v>
      </c>
      <c r="V127" s="44">
        <f>IF(AND(MOD(20,3)=0,V126&gt;0),V126*Assumptions!$B$59,0)</f>
        <v>0</v>
      </c>
      <c r="W127" s="44">
        <f>IF(AND(MOD(21,3)=0,W126&gt;0),W126*Assumptions!$B$59,0)</f>
        <v>22781.180507661717</v>
      </c>
      <c r="X127" s="44">
        <f>IF(AND(MOD(22,3)=0,X126&gt;0),X126*Assumptions!$B$59,0)</f>
        <v>0</v>
      </c>
      <c r="Y127" s="44">
        <f>IF(AND(MOD(23,3)=0,Y126&gt;0),Y126*Assumptions!$B$59,0)</f>
        <v>0</v>
      </c>
      <c r="Z127" s="44">
        <f>IF(AND(MOD(24,3)=0,Z126&gt;0),Z126*Assumptions!$B$59,0)</f>
        <v>23635.474776699033</v>
      </c>
      <c r="AA127" s="44">
        <f>IF(AND(MOD(25,3)=0,AA126&gt;0),AA126*Assumptions!$B$59,0)</f>
        <v>0</v>
      </c>
      <c r="AB127" s="44">
        <f>IF(AND(MOD(26,3)=0,AB126&gt;0),AB126*Assumptions!$B$59,0)</f>
        <v>0</v>
      </c>
      <c r="AC127" s="44">
        <f>IF(AND(MOD(27,3)=0,AC126&gt;0),AC126*Assumptions!$B$59,0)</f>
        <v>24521.805080825245</v>
      </c>
      <c r="AD127" s="44">
        <f>IF(AND(MOD(28,3)=0,AD126&gt;0),AD126*Assumptions!$B$59,0)</f>
        <v>0</v>
      </c>
      <c r="AE127" s="44">
        <f>IF(AND(MOD(29,3)=0,AE126&gt;0),AE126*Assumptions!$B$59,0)</f>
        <v>0</v>
      </c>
      <c r="AF127" s="44">
        <f>IF(AND(MOD(30,3)=0,AF126&gt;0),AF126*Assumptions!$B$59,0)</f>
        <v>25441.372771356189</v>
      </c>
      <c r="AG127" s="44">
        <f>IF(AND(MOD(31,3)=0,AG126&gt;0),AG126*Assumptions!$B$59,0)</f>
        <v>0</v>
      </c>
      <c r="AH127" s="44">
        <f>IF(AND(MOD(32,3)=0,AH126&gt;0),AH126*Assumptions!$B$59,0)</f>
        <v>0</v>
      </c>
      <c r="AI127" s="44">
        <f>IF(AND(MOD(33,3)=0,AI126&gt;0),AI126*Assumptions!$B$59,0)</f>
        <v>26395.424250282045</v>
      </c>
      <c r="AJ127" s="44">
        <f>IF(AND(MOD(34,3)=0,AJ126&gt;0),AJ126*Assumptions!$B$59,0)</f>
        <v>0</v>
      </c>
      <c r="AK127" s="44">
        <f>IF(AND(MOD(35,3)=0,AK126&gt;0),AK126*Assumptions!$B$59,0)</f>
        <v>0</v>
      </c>
      <c r="AL127" s="44">
        <f>IF(AND(MOD(36,3)=0,AL126&gt;0),AL126*Assumptions!$B$59,0)</f>
        <v>27385.252659667622</v>
      </c>
      <c r="AM127" s="44">
        <f>IF(AND(MOD(37,3)=0,AM126&gt;0),AM126*Assumptions!$B$59,0)</f>
        <v>0</v>
      </c>
      <c r="AN127" s="44">
        <f>IF(AND(MOD(38,3)=0,AN126&gt;0),AN126*Assumptions!$B$59,0)</f>
        <v>0</v>
      </c>
      <c r="AO127" s="44">
        <f>IF(AND(MOD(39,3)=0,AO126&gt;0),AO126*Assumptions!$B$59,0)</f>
        <v>28412.199634405155</v>
      </c>
      <c r="AP127" s="44">
        <f>IF(AND(MOD(40,3)=0,AP126&gt;0),AP126*Assumptions!$B$59,0)</f>
        <v>0</v>
      </c>
      <c r="AQ127" s="44">
        <f>IF(AND(MOD(41,3)=0,AQ126&gt;0),AQ126*Assumptions!$B$59,0)</f>
        <v>0</v>
      </c>
      <c r="AR127" s="44">
        <f>IF(AND(MOD(42,3)=0,AR126&gt;0),AR126*Assumptions!$B$59,0)</f>
        <v>29477.657120695352</v>
      </c>
      <c r="AS127" s="44">
        <f>IF(AND(MOD(43,3)=0,AS126&gt;0),AS126*Assumptions!$B$59,0)</f>
        <v>0</v>
      </c>
      <c r="AT127" s="44">
        <f>IF(AND(MOD(44,3)=0,AT126&gt;0),AT126*Assumptions!$B$59,0)</f>
        <v>0</v>
      </c>
      <c r="AU127" s="44">
        <f>IF(AND(MOD(45,3)=0,AU126&gt;0),AU126*Assumptions!$B$59,0)</f>
        <v>30583.069262721427</v>
      </c>
      <c r="AV127" s="44">
        <f>IF(AND(MOD(46,3)=0,AV126&gt;0),AV126*Assumptions!$B$59,0)</f>
        <v>0</v>
      </c>
      <c r="AW127" s="44">
        <f>IF(AND(MOD(47,3)=0,AW126&gt;0),AW126*Assumptions!$B$59,0)</f>
        <v>0</v>
      </c>
      <c r="AX127" s="44">
        <f>IF(AND(MOD(48,3)=0,AX126&gt;0),AX126*Assumptions!$B$59,0)</f>
        <v>31729.934360073479</v>
      </c>
      <c r="AY127" s="44">
        <f>IF(AND(MOD(49,3)=0,AY126&gt;0),AY126*Assumptions!$B$59,0)</f>
        <v>0</v>
      </c>
      <c r="AZ127" s="44">
        <f>IF(AND(MOD(50,3)=0,AZ126&gt;0),AZ126*Assumptions!$B$59,0)</f>
        <v>0</v>
      </c>
      <c r="BA127" s="44">
        <f>IF(AND(MOD(51,3)=0,BA126&gt;0),BA126*Assumptions!$B$59,0)</f>
        <v>32919.806898576237</v>
      </c>
      <c r="BB127" s="44">
        <f>IF(AND(MOD(52,3)=0,BB126&gt;0),BB126*Assumptions!$B$59,0)</f>
        <v>0</v>
      </c>
      <c r="BC127" s="44">
        <f>IF(AND(MOD(53,3)=0,BC126&gt;0),BC126*Assumptions!$B$59,0)</f>
        <v>0</v>
      </c>
      <c r="BD127" s="44">
        <f>IF(AND(MOD(54,3)=0,BD126&gt;0),BD126*Assumptions!$B$59,0)</f>
        <v>24810.375907272846</v>
      </c>
      <c r="BE127" s="44">
        <f>IF(AND(MOD(55,3)=0,BE126&gt;0),BE126*Assumptions!$B$59,0)</f>
        <v>0</v>
      </c>
      <c r="BF127" s="44">
        <f>IF(AND(MOD(56,3)=0,BF126&gt;0),BF126*Assumptions!$B$59,0)</f>
        <v>0</v>
      </c>
      <c r="BG127" s="44">
        <f>IF(AND(MOD(57,3)=0,BG126&gt;0),BG126*Assumptions!$B$59,0)</f>
        <v>23052.015003795575</v>
      </c>
      <c r="BH127" s="44">
        <f>IF(AND(MOD(58,3)=0,BH126&gt;0),BH126*Assumptions!$B$59,0)</f>
        <v>0</v>
      </c>
      <c r="BI127" s="44">
        <f>IF(AND(MOD(59,3)=0,BI126&gt;0),BI126*Assumptions!$B$59,0)</f>
        <v>0</v>
      </c>
      <c r="BJ127" s="44">
        <f>IF(AND(MOD(60,3)=0,BJ126&gt;0),BJ126*Assumptions!$B$59,0)</f>
        <v>21227.71556643791</v>
      </c>
      <c r="BK127" s="44">
        <f>IF(AND(MOD(61,3)=0,BK126&gt;0),BK126*Assumptions!$B$59,0)</f>
        <v>0</v>
      </c>
      <c r="BL127" s="44">
        <f>IF(AND(MOD(62,3)=0,BL126&gt;0),BL126*Assumptions!$B$59,0)</f>
        <v>0</v>
      </c>
      <c r="BM127" s="44">
        <f>IF(AND(MOD(63,3)=0,BM126&gt;0),BM126*Assumptions!$B$59,0)</f>
        <v>19335.004900179334</v>
      </c>
      <c r="BN127" s="44">
        <f>IF(AND(MOD(64,3)=0,BN126&gt;0),BN126*Assumptions!$B$59,0)</f>
        <v>0</v>
      </c>
      <c r="BO127" s="44">
        <f>IF(AND(MOD(65,3)=0,BO126&gt;0),BO126*Assumptions!$B$59,0)</f>
        <v>0</v>
      </c>
      <c r="BP127" s="44">
        <f>IF(AND(MOD(66,3)=0,BP126&gt;0),BP126*Assumptions!$B$59,0)</f>
        <v>17371.317583936059</v>
      </c>
      <c r="BQ127" s="44">
        <f>IF(AND(MOD(67,3)=0,BQ126&gt;0),BQ126*Assumptions!$B$59,0)</f>
        <v>0</v>
      </c>
      <c r="BR127" s="44">
        <f>IF(AND(MOD(68,3)=0,BR126&gt;0),BR126*Assumptions!$B$59,0)</f>
        <v>0</v>
      </c>
      <c r="BS127" s="44">
        <f>IF(AND(MOD(69,3)=0,BS126&gt;0),BS126*Assumptions!$B$59,0)</f>
        <v>15223.629493333659</v>
      </c>
      <c r="BT127" s="44">
        <f>IF(AND(MOD(70,3)=0,BT126&gt;0),BT126*Assumptions!$B$59,0)</f>
        <v>0</v>
      </c>
      <c r="BU127" s="44">
        <f>IF(AND(MOD(71,3)=0,BU126&gt;0),BU126*Assumptions!$B$59,0)</f>
        <v>0</v>
      </c>
      <c r="BV127" s="44">
        <f>IF(AND(MOD(72,3)=0,BV126&gt;0),BV126*Assumptions!$B$59,0)</f>
        <v>12995.51559933367</v>
      </c>
      <c r="BW127" s="44">
        <f>IF(AND(MOD(73,3)=0,BW126&gt;0),BW126*Assumptions!$B$59,0)</f>
        <v>0</v>
      </c>
      <c r="BX127" s="44">
        <f>IF(AND(MOD(74,3)=0,BX126&gt;0),BX126*Assumptions!$B$59,0)</f>
        <v>0</v>
      </c>
      <c r="BY127" s="44">
        <f>IF(AND(MOD(75,3)=0,BY126&gt;0),BY126*Assumptions!$B$59,0)</f>
        <v>10683.847434308684</v>
      </c>
      <c r="BZ127" s="44">
        <f>IF(AND(MOD(76,3)=0,BZ126&gt;0),BZ126*Assumptions!$B$59,0)</f>
        <v>0</v>
      </c>
      <c r="CA127" s="44">
        <f>IF(AND(MOD(77,3)=0,CA126&gt;0),CA126*Assumptions!$B$59,0)</f>
        <v>0</v>
      </c>
      <c r="CB127" s="44">
        <f>IF(AND(MOD(78,3)=0,CB126&gt;0),CB126*Assumptions!$B$59,0)</f>
        <v>8285.4917130952581</v>
      </c>
      <c r="CC127" s="44">
        <f>IF(AND(MOD(79,3)=0,CC126&gt;0),CC126*Assumptions!$B$59,0)</f>
        <v>0</v>
      </c>
      <c r="CD127" s="44">
        <f>IF(AND(MOD(80,3)=0,CD126&gt;0),CD126*Assumptions!$B$59,0)</f>
        <v>0</v>
      </c>
      <c r="CE127" s="44">
        <f>IF(AND(MOD(81,3)=0,CE126&gt;0),CE126*Assumptions!$B$59,0)</f>
        <v>5545.0851523363308</v>
      </c>
      <c r="CF127" s="44">
        <f>IF(AND(MOD(82,3)=0,CF126&gt;0),CF126*Assumptions!$B$59,0)</f>
        <v>0</v>
      </c>
      <c r="CG127" s="44">
        <f>IF(AND(MOD(83,3)=0,CG126&gt;0),CG126*Assumptions!$B$59,0)</f>
        <v>0</v>
      </c>
      <c r="CH127" s="44">
        <f>IF(AND(MOD(84,3)=0,CH126&gt;0),CH126*Assumptions!$B$59,0)</f>
        <v>2701.9508455489436</v>
      </c>
      <c r="CI127" s="23"/>
    </row>
    <row r="128" spans="1:87" ht="15" customHeight="1" x14ac:dyDescent="0.25">
      <c r="A128" s="43" t="s">
        <v>154</v>
      </c>
      <c r="B128" s="43"/>
      <c r="C128" s="44">
        <v>0</v>
      </c>
      <c r="D128" s="44">
        <v>0</v>
      </c>
      <c r="E128" s="44">
        <v>0</v>
      </c>
      <c r="F128" s="44">
        <v>0</v>
      </c>
      <c r="G128" s="44">
        <v>0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f>IF(Projects!$G$13="Yes",Assumptions!$B$74,0)</f>
        <v>-1450000</v>
      </c>
      <c r="P128" s="44">
        <v>0</v>
      </c>
      <c r="Q128" s="44">
        <v>0</v>
      </c>
      <c r="R128" s="44">
        <v>0</v>
      </c>
      <c r="S128" s="44">
        <v>0</v>
      </c>
      <c r="T128" s="44">
        <v>0</v>
      </c>
      <c r="U128" s="44">
        <v>0</v>
      </c>
      <c r="V128" s="44">
        <v>0</v>
      </c>
      <c r="W128" s="44">
        <v>0</v>
      </c>
      <c r="X128" s="44">
        <v>0</v>
      </c>
      <c r="Y128" s="44">
        <v>0</v>
      </c>
      <c r="Z128" s="44">
        <v>0</v>
      </c>
      <c r="AA128" s="44">
        <v>0</v>
      </c>
      <c r="AB128" s="44">
        <v>0</v>
      </c>
      <c r="AC128" s="44">
        <v>0</v>
      </c>
      <c r="AD128" s="44">
        <v>0</v>
      </c>
      <c r="AE128" s="44">
        <v>0</v>
      </c>
      <c r="AF128" s="44">
        <v>0</v>
      </c>
      <c r="AG128" s="44">
        <v>0</v>
      </c>
      <c r="AH128" s="44">
        <v>0</v>
      </c>
      <c r="AI128" s="44">
        <v>0</v>
      </c>
      <c r="AJ128" s="44">
        <v>0</v>
      </c>
      <c r="AK128" s="44">
        <v>0</v>
      </c>
      <c r="AL128" s="44">
        <v>0</v>
      </c>
      <c r="AM128" s="44">
        <v>0</v>
      </c>
      <c r="AN128" s="44">
        <v>0</v>
      </c>
      <c r="AO128" s="44">
        <v>0</v>
      </c>
      <c r="AP128" s="44">
        <v>0</v>
      </c>
      <c r="AQ128" s="44">
        <v>0</v>
      </c>
      <c r="AR128" s="44">
        <v>0</v>
      </c>
      <c r="AS128" s="44">
        <v>0</v>
      </c>
      <c r="AT128" s="44">
        <v>0</v>
      </c>
      <c r="AU128" s="44">
        <v>0</v>
      </c>
      <c r="AV128" s="44">
        <v>0</v>
      </c>
      <c r="AW128" s="44">
        <v>0</v>
      </c>
      <c r="AX128" s="44">
        <v>0</v>
      </c>
      <c r="AY128" s="44">
        <v>0</v>
      </c>
      <c r="AZ128" s="44">
        <v>0</v>
      </c>
      <c r="BA128" s="44">
        <v>0</v>
      </c>
      <c r="BB128" s="44">
        <v>0</v>
      </c>
      <c r="BC128" s="44">
        <v>0</v>
      </c>
      <c r="BD128" s="44">
        <v>0</v>
      </c>
      <c r="BE128" s="44">
        <v>0</v>
      </c>
      <c r="BF128" s="44">
        <v>0</v>
      </c>
      <c r="BG128" s="44">
        <v>0</v>
      </c>
      <c r="BH128" s="44">
        <v>0</v>
      </c>
      <c r="BI128" s="44">
        <v>0</v>
      </c>
      <c r="BJ128" s="44">
        <v>0</v>
      </c>
      <c r="BK128" s="44">
        <v>0</v>
      </c>
      <c r="BL128" s="44">
        <v>0</v>
      </c>
      <c r="BM128" s="44">
        <v>0</v>
      </c>
      <c r="BN128" s="44">
        <v>0</v>
      </c>
      <c r="BO128" s="44">
        <v>0</v>
      </c>
      <c r="BP128" s="44">
        <v>0</v>
      </c>
      <c r="BQ128" s="44">
        <v>0</v>
      </c>
      <c r="BR128" s="44">
        <v>0</v>
      </c>
      <c r="BS128" s="44">
        <v>0</v>
      </c>
      <c r="BT128" s="44">
        <v>0</v>
      </c>
      <c r="BU128" s="44">
        <v>0</v>
      </c>
      <c r="BV128" s="44">
        <v>0</v>
      </c>
      <c r="BW128" s="44">
        <v>0</v>
      </c>
      <c r="BX128" s="44">
        <v>0</v>
      </c>
      <c r="BY128" s="44">
        <v>0</v>
      </c>
      <c r="BZ128" s="44">
        <v>0</v>
      </c>
      <c r="CA128" s="44">
        <v>0</v>
      </c>
      <c r="CB128" s="44">
        <v>0</v>
      </c>
      <c r="CC128" s="44">
        <v>0</v>
      </c>
      <c r="CD128" s="44">
        <v>0</v>
      </c>
      <c r="CE128" s="44">
        <v>0</v>
      </c>
      <c r="CF128" s="44">
        <v>0</v>
      </c>
      <c r="CG128" s="44">
        <v>0</v>
      </c>
      <c r="CH128" s="44">
        <v>0</v>
      </c>
      <c r="CI128" s="23"/>
    </row>
    <row r="129" spans="1:89" ht="15" customHeight="1" x14ac:dyDescent="0.25">
      <c r="A129" s="45" t="s">
        <v>155</v>
      </c>
      <c r="B129" s="45"/>
      <c r="C129" s="46">
        <f>-MIN(C126+C127+C128,MAX(0,C61-Helpers!C23))</f>
        <v>0</v>
      </c>
      <c r="D129" s="46">
        <f>-MIN(D126+D127+D128,MAX(0,D61-Helpers!D23))</f>
        <v>0</v>
      </c>
      <c r="E129" s="46">
        <f>-MIN(E126+E127+E128,MAX(0,E61-Helpers!E23))</f>
        <v>0</v>
      </c>
      <c r="F129" s="46">
        <f>-MIN(F126+F127+F128,MAX(0,F61-Helpers!F23))</f>
        <v>0</v>
      </c>
      <c r="G129" s="46">
        <f>-MIN(G126+G127+G128,MAX(0,G61-Helpers!G23))</f>
        <v>0</v>
      </c>
      <c r="H129" s="46">
        <f>-MIN(H126+H127+H128,MAX(0,H61-Helpers!H23))</f>
        <v>0</v>
      </c>
      <c r="I129" s="46">
        <f>-MIN(I126+I127+I128,MAX(0,I61-Helpers!I23))</f>
        <v>0</v>
      </c>
      <c r="J129" s="46">
        <f>-MIN(J126+J127+J128,MAX(0,J61-Helpers!J23))</f>
        <v>0</v>
      </c>
      <c r="K129" s="46">
        <f>-MIN(K126+K127+K128,MAX(0,K61-Helpers!K23))</f>
        <v>0</v>
      </c>
      <c r="L129" s="46">
        <f>-MIN(L126+L127+L128,MAX(0,L61-Helpers!L23))</f>
        <v>0</v>
      </c>
      <c r="M129" s="46">
        <f>-MIN(M126+M127+M128,MAX(0,M61-Helpers!M23))</f>
        <v>0</v>
      </c>
      <c r="N129" s="46">
        <f>-MIN(N126+N127+N128,MAX(0,N61-Helpers!N23))</f>
        <v>0</v>
      </c>
      <c r="O129" s="46">
        <f>-MIN(O126+O127+O128,MAX(0,O61-Helpers!O23))</f>
        <v>0</v>
      </c>
      <c r="P129" s="46">
        <f>-MIN(P126+P127+P128,MAX(0,P61-Helpers!P23))</f>
        <v>0</v>
      </c>
      <c r="Q129" s="46">
        <f>-MIN(Q126+Q127+Q128,MAX(0,Q61-Helpers!Q23))</f>
        <v>0</v>
      </c>
      <c r="R129" s="46">
        <f>-MIN(R126+R127+R128,MAX(0,R61-Helpers!R23))</f>
        <v>0</v>
      </c>
      <c r="S129" s="46">
        <f>-MIN(S126+S127+S128,MAX(0,S61-Helpers!S23))</f>
        <v>0</v>
      </c>
      <c r="T129" s="46">
        <f>-MIN(T126+T127+T128,MAX(0,T61-Helpers!T23))</f>
        <v>0</v>
      </c>
      <c r="U129" s="46">
        <f>-MIN(U126+U127+U128,MAX(0,U61-Helpers!U23))</f>
        <v>0</v>
      </c>
      <c r="V129" s="46">
        <f>-MIN(V126+V127+V128,MAX(0,V61-Helpers!V23))</f>
        <v>0</v>
      </c>
      <c r="W129" s="46">
        <f>-MIN(W126+W127+W128,MAX(0,W61-Helpers!W23))</f>
        <v>0</v>
      </c>
      <c r="X129" s="46">
        <f>-MIN(X126+X127+X128,MAX(0,X61-Helpers!X23))</f>
        <v>0</v>
      </c>
      <c r="Y129" s="46">
        <f>-MIN(Y126+Y127+Y128,MAX(0,Y61-Helpers!Y23))</f>
        <v>0</v>
      </c>
      <c r="Z129" s="46">
        <f>-MIN(Z126+Z127+Z128,MAX(0,Z61-Helpers!Z23))</f>
        <v>0</v>
      </c>
      <c r="AA129" s="46">
        <f>-MIN(AA126+AA127+AA128,MAX(0,AA61-Helpers!AA23))</f>
        <v>0</v>
      </c>
      <c r="AB129" s="46">
        <f>-MIN(AB126+AB127+AB128,MAX(0,AB61-Helpers!AB23))</f>
        <v>0</v>
      </c>
      <c r="AC129" s="46">
        <f>-MIN(AC126+AC127+AC128,MAX(0,AC61-Helpers!AC23))</f>
        <v>0</v>
      </c>
      <c r="AD129" s="46">
        <f>-MIN(AD126+AD127+AD128,MAX(0,AD61-Helpers!AD23))</f>
        <v>0</v>
      </c>
      <c r="AE129" s="46">
        <f>-MIN(AE126+AE127+AE128,MAX(0,AE61-Helpers!AE23))</f>
        <v>0</v>
      </c>
      <c r="AF129" s="46">
        <f>-MIN(AF126+AF127+AF128,MAX(0,AF61-Helpers!AF23))</f>
        <v>0</v>
      </c>
      <c r="AG129" s="46">
        <f>-MIN(AG126+AG127+AG128,MAX(0,AG61-Helpers!AG23))</f>
        <v>0</v>
      </c>
      <c r="AH129" s="46">
        <f>-MIN(AH126+AH127+AH128,MAX(0,AH61-Helpers!AH23))</f>
        <v>0</v>
      </c>
      <c r="AI129" s="46">
        <f>-MIN(AI126+AI127+AI128,MAX(0,AI61-Helpers!AI23))</f>
        <v>0</v>
      </c>
      <c r="AJ129" s="46">
        <f>-MIN(AJ126+AJ127+AJ128,MAX(0,AJ61-Helpers!AJ23))</f>
        <v>0</v>
      </c>
      <c r="AK129" s="46">
        <f>-MIN(AK126+AK127+AK128,MAX(0,AK61-Helpers!AK23))</f>
        <v>0</v>
      </c>
      <c r="AL129" s="46">
        <f>-MIN(AL126+AL127+AL128,MAX(0,AL61-Helpers!AL23))</f>
        <v>0</v>
      </c>
      <c r="AM129" s="46">
        <f>-MIN(AM126+AM127+AM128,MAX(0,AM61-Helpers!AM23))</f>
        <v>0</v>
      </c>
      <c r="AN129" s="46">
        <f>-MIN(AN126+AN127+AN128,MAX(0,AN61-Helpers!AN23))</f>
        <v>0</v>
      </c>
      <c r="AO129" s="46">
        <f>-MIN(AO126+AO127+AO128,MAX(0,AO61-Helpers!AO23))</f>
        <v>0</v>
      </c>
      <c r="AP129" s="46">
        <f>-MIN(AP126+AP127+AP128,MAX(0,AP61-Helpers!AP23))</f>
        <v>0</v>
      </c>
      <c r="AQ129" s="46">
        <f>-MIN(AQ126+AQ127+AQ128,MAX(0,AQ61-Helpers!AQ23))</f>
        <v>0</v>
      </c>
      <c r="AR129" s="46">
        <f>-MIN(AR126+AR127+AR128,MAX(0,AR61-Helpers!AR23))</f>
        <v>0</v>
      </c>
      <c r="AS129" s="46">
        <f>-MIN(AS126+AS127+AS128,MAX(0,AS61-Helpers!AS23))</f>
        <v>0</v>
      </c>
      <c r="AT129" s="46">
        <f>-MIN(AT126+AT127+AT128,MAX(0,AT61-Helpers!AT23))</f>
        <v>0</v>
      </c>
      <c r="AU129" s="46">
        <f>-MIN(AU126+AU127+AU128,MAX(0,AU61-Helpers!AU23))</f>
        <v>0</v>
      </c>
      <c r="AV129" s="46">
        <f>-MIN(AV126+AV127+AV128,MAX(0,AV61-Helpers!AV23))</f>
        <v>0</v>
      </c>
      <c r="AW129" s="46">
        <f>-MIN(AW126+AW127+AW128,MAX(0,AW61-Helpers!AW23))</f>
        <v>0</v>
      </c>
      <c r="AX129" s="46">
        <f>-MIN(AX126+AX127+AX128,MAX(0,AX61-Helpers!AX23))</f>
        <v>0</v>
      </c>
      <c r="AY129" s="46">
        <f>-MIN(AY126+AY127+AY128,MAX(0,AY61-Helpers!AY23))</f>
        <v>0</v>
      </c>
      <c r="AZ129" s="46">
        <f>-MIN(AZ126+AZ127+AZ128,MAX(0,AZ61-Helpers!AZ23))</f>
        <v>0</v>
      </c>
      <c r="BA129" s="46">
        <f>-MIN(BA126+BA127+BA128,MAX(0,BA61-Helpers!BA23))</f>
        <v>-249171.30000000005</v>
      </c>
      <c r="BB129" s="46">
        <f>-MIN(BB126+BB127+BB128,MAX(0,BB61-Helpers!BB23))</f>
        <v>0</v>
      </c>
      <c r="BC129" s="46">
        <f>-MIN(BC126+BC127+BC128,MAX(0,BC61-Helpers!BC23))</f>
        <v>0</v>
      </c>
      <c r="BD129" s="46">
        <f>-MIN(BD126+BD127+BD128,MAX(0,BD61-Helpers!BD23))</f>
        <v>-71700</v>
      </c>
      <c r="BE129" s="46">
        <f>-MIN(BE126+BE127+BE128,MAX(0,BE61-Helpers!BE23))</f>
        <v>0</v>
      </c>
      <c r="BF129" s="46">
        <f>-MIN(BF126+BF127+BF128,MAX(0,BF61-Helpers!BF23))</f>
        <v>0</v>
      </c>
      <c r="BG129" s="46">
        <f>-MIN(BG126+BG127+BG128,MAX(0,BG61-Helpers!BG23))</f>
        <v>-71700</v>
      </c>
      <c r="BH129" s="46">
        <f>-MIN(BH126+BH127+BH128,MAX(0,BH61-Helpers!BH23))</f>
        <v>0</v>
      </c>
      <c r="BI129" s="46">
        <f>-MIN(BI126+BI127+BI128,MAX(0,BI61-Helpers!BI23))</f>
        <v>0</v>
      </c>
      <c r="BJ129" s="46">
        <f>-MIN(BJ126+BJ127+BJ128,MAX(0,BJ61-Helpers!BJ23))</f>
        <v>-71700</v>
      </c>
      <c r="BK129" s="46">
        <f>-MIN(BK126+BK127+BK128,MAX(0,BK61-Helpers!BK23))</f>
        <v>0</v>
      </c>
      <c r="BL129" s="46">
        <f>-MIN(BL126+BL127+BL128,MAX(0,BL61-Helpers!BL23))</f>
        <v>0</v>
      </c>
      <c r="BM129" s="46">
        <f>-MIN(BM126+BM127+BM128,MAX(0,BM61-Helpers!BM23))</f>
        <v>-71700</v>
      </c>
      <c r="BN129" s="46">
        <f>-MIN(BN126+BN127+BN128,MAX(0,BN61-Helpers!BN23))</f>
        <v>0</v>
      </c>
      <c r="BO129" s="46">
        <f>-MIN(BO126+BO127+BO128,MAX(0,BO61-Helpers!BO23))</f>
        <v>0</v>
      </c>
      <c r="BP129" s="46">
        <f>-MIN(BP126+BP127+BP128,MAX(0,BP61-Helpers!BP23))</f>
        <v>-74643</v>
      </c>
      <c r="BQ129" s="46">
        <f>-MIN(BQ126+BQ127+BQ128,MAX(0,BQ61-Helpers!BQ23))</f>
        <v>0</v>
      </c>
      <c r="BR129" s="46">
        <f>-MIN(BR126+BR127+BR128,MAX(0,BR61-Helpers!BR23))</f>
        <v>0</v>
      </c>
      <c r="BS129" s="46">
        <f>-MIN(BS126+BS127+BS128,MAX(0,BS61-Helpers!BS23))</f>
        <v>-74640</v>
      </c>
      <c r="BT129" s="46">
        <f>-MIN(BT126+BT127+BT128,MAX(0,BT61-Helpers!BT23))</f>
        <v>0</v>
      </c>
      <c r="BU129" s="46">
        <f>-MIN(BU126+BU127+BU128,MAX(0,BU61-Helpers!BU23))</f>
        <v>0</v>
      </c>
      <c r="BV129" s="46">
        <f>-MIN(BV126+BV127+BV128,MAX(0,BV61-Helpers!BV23))</f>
        <v>-74640</v>
      </c>
      <c r="BW129" s="46">
        <f>-MIN(BW126+BW127+BW128,MAX(0,BW61-Helpers!BW23))</f>
        <v>0</v>
      </c>
      <c r="BX129" s="46">
        <f>-MIN(BX126+BX127+BX128,MAX(0,BX61-Helpers!BX23))</f>
        <v>0</v>
      </c>
      <c r="BY129" s="46">
        <f>-MIN(BY126+BY127+BY128,MAX(0,BY61-Helpers!BY23))</f>
        <v>-74640</v>
      </c>
      <c r="BZ129" s="46">
        <f>-MIN(BZ126+BZ127+BZ128,MAX(0,BZ61-Helpers!BZ23))</f>
        <v>0</v>
      </c>
      <c r="CA129" s="46">
        <f>-MIN(CA126+CA127+CA128,MAX(0,CA61-Helpers!CA23))</f>
        <v>0</v>
      </c>
      <c r="CB129" s="46">
        <f>-MIN(CB126+CB127+CB128,MAX(0,CB61-Helpers!CB23))</f>
        <v>-81363</v>
      </c>
      <c r="CC129" s="46">
        <f>-MIN(CC126+CC127+CC128,MAX(0,CC61-Helpers!CC23))</f>
        <v>0</v>
      </c>
      <c r="CD129" s="46">
        <f>-MIN(CD126+CD127+CD128,MAX(0,CD61-Helpers!CD23))</f>
        <v>0</v>
      </c>
      <c r="CE129" s="46">
        <f>-MIN(CE126+CE127+CE128,MAX(0,CE61-Helpers!CE23))</f>
        <v>-81362</v>
      </c>
      <c r="CF129" s="46">
        <f>-MIN(CF126+CF127+CF128,MAX(0,CF61-Helpers!CF23))</f>
        <v>0</v>
      </c>
      <c r="CG129" s="46">
        <f>-MIN(CG126+CG127+CG128,MAX(0,CG61-Helpers!CG23))</f>
        <v>0</v>
      </c>
      <c r="CH129" s="46">
        <f>-MIN(CH126+CH127+CH128,MAX(0,CH61-Helpers!CH23))</f>
        <v>-74753.973393520777</v>
      </c>
      <c r="CI129" s="23"/>
    </row>
    <row r="130" spans="1:89" s="34" customFormat="1" ht="13.5" customHeight="1" x14ac:dyDescent="0.25">
      <c r="A130" s="47" t="s">
        <v>156</v>
      </c>
      <c r="B130" s="48"/>
      <c r="C130" s="49">
        <f t="shared" ref="C130:AH130" si="65">MAX(0,C126+C127+C128+C129)</f>
        <v>1134000</v>
      </c>
      <c r="D130" s="49">
        <f t="shared" si="65"/>
        <v>1184000</v>
      </c>
      <c r="E130" s="49">
        <f t="shared" si="65"/>
        <v>1280275</v>
      </c>
      <c r="F130" s="49">
        <f t="shared" si="65"/>
        <v>1330275</v>
      </c>
      <c r="G130" s="49">
        <f t="shared" si="65"/>
        <v>1380275</v>
      </c>
      <c r="H130" s="49">
        <f t="shared" si="65"/>
        <v>1483910.3125</v>
      </c>
      <c r="I130" s="49">
        <f t="shared" si="65"/>
        <v>1533910.3125</v>
      </c>
      <c r="J130" s="49">
        <f t="shared" si="65"/>
        <v>1583910.3125</v>
      </c>
      <c r="K130" s="49">
        <f t="shared" si="65"/>
        <v>1695181.94921875</v>
      </c>
      <c r="L130" s="49">
        <f t="shared" si="65"/>
        <v>1745181.94921875</v>
      </c>
      <c r="M130" s="49">
        <f t="shared" si="65"/>
        <v>1795181.94921875</v>
      </c>
      <c r="N130" s="49">
        <f t="shared" si="65"/>
        <v>1914376.272314453</v>
      </c>
      <c r="O130" s="49">
        <f t="shared" si="65"/>
        <v>514376.27231445303</v>
      </c>
      <c r="P130" s="49">
        <f t="shared" si="65"/>
        <v>564376.27231445303</v>
      </c>
      <c r="Q130" s="49">
        <f t="shared" si="65"/>
        <v>585540.38252624497</v>
      </c>
      <c r="R130" s="49">
        <f t="shared" si="65"/>
        <v>585540.38252624497</v>
      </c>
      <c r="S130" s="49">
        <f t="shared" si="65"/>
        <v>585540.38252624497</v>
      </c>
      <c r="T130" s="49">
        <f t="shared" si="65"/>
        <v>607498.14687097911</v>
      </c>
      <c r="U130" s="49">
        <f t="shared" si="65"/>
        <v>607498.14687097911</v>
      </c>
      <c r="V130" s="49">
        <f t="shared" si="65"/>
        <v>607498.14687097911</v>
      </c>
      <c r="W130" s="49">
        <f t="shared" si="65"/>
        <v>630279.32737864088</v>
      </c>
      <c r="X130" s="49">
        <f t="shared" si="65"/>
        <v>630279.32737864088</v>
      </c>
      <c r="Y130" s="49">
        <f t="shared" si="65"/>
        <v>630279.32737864088</v>
      </c>
      <c r="Z130" s="49">
        <f t="shared" si="65"/>
        <v>653914.80215533986</v>
      </c>
      <c r="AA130" s="49">
        <f t="shared" si="65"/>
        <v>653914.80215533986</v>
      </c>
      <c r="AB130" s="49">
        <f t="shared" si="65"/>
        <v>653914.80215533986</v>
      </c>
      <c r="AC130" s="49">
        <f t="shared" si="65"/>
        <v>678436.60723616509</v>
      </c>
      <c r="AD130" s="49">
        <f t="shared" si="65"/>
        <v>678436.60723616509</v>
      </c>
      <c r="AE130" s="49">
        <f t="shared" si="65"/>
        <v>678436.60723616509</v>
      </c>
      <c r="AF130" s="49">
        <f t="shared" si="65"/>
        <v>703877.98000752123</v>
      </c>
      <c r="AG130" s="49">
        <f t="shared" si="65"/>
        <v>703877.98000752123</v>
      </c>
      <c r="AH130" s="49">
        <f t="shared" si="65"/>
        <v>703877.98000752123</v>
      </c>
      <c r="AI130" s="49">
        <f t="shared" ref="AI130:BN130" si="66">MAX(0,AI126+AI127+AI128+AI129)</f>
        <v>730273.40425780322</v>
      </c>
      <c r="AJ130" s="49">
        <f t="shared" si="66"/>
        <v>730273.40425780322</v>
      </c>
      <c r="AK130" s="49">
        <f t="shared" si="66"/>
        <v>730273.40425780322</v>
      </c>
      <c r="AL130" s="49">
        <f t="shared" si="66"/>
        <v>757658.65691747086</v>
      </c>
      <c r="AM130" s="49">
        <f t="shared" si="66"/>
        <v>757658.65691747086</v>
      </c>
      <c r="AN130" s="49">
        <f t="shared" si="66"/>
        <v>757658.65691747086</v>
      </c>
      <c r="AO130" s="49">
        <f t="shared" si="66"/>
        <v>786070.85655187606</v>
      </c>
      <c r="AP130" s="49">
        <f t="shared" si="66"/>
        <v>786070.85655187606</v>
      </c>
      <c r="AQ130" s="49">
        <f t="shared" si="66"/>
        <v>786070.85655187606</v>
      </c>
      <c r="AR130" s="49">
        <f t="shared" si="66"/>
        <v>815548.5136725714</v>
      </c>
      <c r="AS130" s="49">
        <f t="shared" si="66"/>
        <v>815548.5136725714</v>
      </c>
      <c r="AT130" s="49">
        <f t="shared" si="66"/>
        <v>815548.5136725714</v>
      </c>
      <c r="AU130" s="49">
        <f t="shared" si="66"/>
        <v>846131.58293529286</v>
      </c>
      <c r="AV130" s="49">
        <f t="shared" si="66"/>
        <v>846131.58293529286</v>
      </c>
      <c r="AW130" s="49">
        <f t="shared" si="66"/>
        <v>846131.58293529286</v>
      </c>
      <c r="AX130" s="49">
        <f t="shared" si="66"/>
        <v>877861.51729536639</v>
      </c>
      <c r="AY130" s="49">
        <f t="shared" si="66"/>
        <v>877861.51729536639</v>
      </c>
      <c r="AZ130" s="49">
        <f t="shared" si="66"/>
        <v>877861.51729536639</v>
      </c>
      <c r="BA130" s="49">
        <f t="shared" si="66"/>
        <v>661610.02419394255</v>
      </c>
      <c r="BB130" s="49">
        <f t="shared" si="66"/>
        <v>661610.02419394255</v>
      </c>
      <c r="BC130" s="49">
        <f t="shared" si="66"/>
        <v>661610.02419394255</v>
      </c>
      <c r="BD130" s="49">
        <f t="shared" si="66"/>
        <v>614720.40010121535</v>
      </c>
      <c r="BE130" s="49">
        <f t="shared" si="66"/>
        <v>614720.40010121535</v>
      </c>
      <c r="BF130" s="49">
        <f t="shared" si="66"/>
        <v>614720.40010121535</v>
      </c>
      <c r="BG130" s="49">
        <f t="shared" si="66"/>
        <v>566072.41510501096</v>
      </c>
      <c r="BH130" s="49">
        <f t="shared" si="66"/>
        <v>566072.41510501096</v>
      </c>
      <c r="BI130" s="49">
        <f t="shared" si="66"/>
        <v>566072.41510501096</v>
      </c>
      <c r="BJ130" s="49">
        <f t="shared" si="66"/>
        <v>515600.13067144889</v>
      </c>
      <c r="BK130" s="49">
        <f t="shared" si="66"/>
        <v>515600.13067144889</v>
      </c>
      <c r="BL130" s="49">
        <f t="shared" si="66"/>
        <v>515600.13067144889</v>
      </c>
      <c r="BM130" s="49">
        <f t="shared" si="66"/>
        <v>463235.13557162823</v>
      </c>
      <c r="BN130" s="49">
        <f t="shared" si="66"/>
        <v>463235.13557162823</v>
      </c>
      <c r="BO130" s="49">
        <f t="shared" ref="BO130:CT130" si="67">MAX(0,BO126+BO127+BO128+BO129)</f>
        <v>463235.13557162823</v>
      </c>
      <c r="BP130" s="49">
        <f t="shared" si="67"/>
        <v>405963.45315556426</v>
      </c>
      <c r="BQ130" s="49">
        <f t="shared" si="67"/>
        <v>405963.45315556426</v>
      </c>
      <c r="BR130" s="49">
        <f t="shared" si="67"/>
        <v>405963.45315556426</v>
      </c>
      <c r="BS130" s="49">
        <f t="shared" si="67"/>
        <v>346547.08264889789</v>
      </c>
      <c r="BT130" s="49">
        <f t="shared" si="67"/>
        <v>346547.08264889789</v>
      </c>
      <c r="BU130" s="49">
        <f t="shared" si="67"/>
        <v>346547.08264889789</v>
      </c>
      <c r="BV130" s="49">
        <f t="shared" si="67"/>
        <v>284902.59824823157</v>
      </c>
      <c r="BW130" s="49">
        <f t="shared" si="67"/>
        <v>284902.59824823157</v>
      </c>
      <c r="BX130" s="49">
        <f t="shared" si="67"/>
        <v>284902.59824823157</v>
      </c>
      <c r="BY130" s="49">
        <f t="shared" si="67"/>
        <v>220946.44568254024</v>
      </c>
      <c r="BZ130" s="49">
        <f t="shared" si="67"/>
        <v>220946.44568254024</v>
      </c>
      <c r="CA130" s="49">
        <f t="shared" si="67"/>
        <v>220946.44568254024</v>
      </c>
      <c r="CB130" s="49">
        <f t="shared" si="67"/>
        <v>147868.9373956355</v>
      </c>
      <c r="CC130" s="49">
        <f t="shared" si="67"/>
        <v>147868.9373956355</v>
      </c>
      <c r="CD130" s="49">
        <f t="shared" si="67"/>
        <v>147868.9373956355</v>
      </c>
      <c r="CE130" s="49">
        <f t="shared" si="67"/>
        <v>72052.022547971836</v>
      </c>
      <c r="CF130" s="49">
        <f t="shared" si="67"/>
        <v>72052.022547971836</v>
      </c>
      <c r="CG130" s="49">
        <f t="shared" si="67"/>
        <v>72052.022547971836</v>
      </c>
      <c r="CH130" s="49">
        <f t="shared" si="67"/>
        <v>0</v>
      </c>
      <c r="CI130" s="23"/>
    </row>
    <row r="131" spans="1:89" ht="16.5" customHeight="1" x14ac:dyDescent="0.25">
      <c r="A131" s="50"/>
      <c r="B131" s="35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36"/>
    </row>
    <row r="132" spans="1:89" ht="15" customHeight="1" x14ac:dyDescent="0.25">
      <c r="A132" s="52" t="s">
        <v>157</v>
      </c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23"/>
    </row>
    <row r="133" spans="1:89" ht="15" customHeight="1" x14ac:dyDescent="0.25">
      <c r="A133" s="7" t="s">
        <v>158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</row>
    <row r="134" spans="1:89" ht="15" customHeight="1" x14ac:dyDescent="0.25">
      <c r="A134" s="7" t="s">
        <v>159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</row>
    <row r="135" spans="1:89" ht="15" customHeight="1" x14ac:dyDescent="0.25">
      <c r="A135" s="7" t="s">
        <v>49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3"/>
      <c r="CK135" s="53"/>
    </row>
    <row r="136" spans="1:89" ht="15" customHeight="1" x14ac:dyDescent="0.25">
      <c r="A136" s="7" t="s">
        <v>160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3"/>
      <c r="CK136" s="53"/>
    </row>
    <row r="137" spans="1:89" ht="15" customHeight="1" x14ac:dyDescent="0.25">
      <c r="A137" s="7" t="s">
        <v>161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3"/>
      <c r="CK137" s="53"/>
    </row>
    <row r="138" spans="1:89" ht="15" customHeight="1" x14ac:dyDescent="0.25">
      <c r="A138" s="7" t="s">
        <v>53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3"/>
      <c r="CK138" s="53"/>
    </row>
    <row r="139" spans="1:89" ht="15" customHeight="1" x14ac:dyDescent="0.25">
      <c r="A139" s="7" t="s">
        <v>54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3"/>
      <c r="CK139" s="53"/>
    </row>
    <row r="140" spans="1:89" ht="15" customHeight="1" x14ac:dyDescent="0.25">
      <c r="A140" s="7" t="s">
        <v>57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3"/>
      <c r="CK140" s="53"/>
    </row>
    <row r="141" spans="1:89" ht="15" customHeight="1" x14ac:dyDescent="0.25">
      <c r="A141" s="9" t="s">
        <v>162</v>
      </c>
      <c r="B141" s="28"/>
      <c r="C141" s="10">
        <f t="shared" ref="C141:AH141" si="68">SUM(C133:C140)</f>
        <v>24716840.3468768</v>
      </c>
      <c r="D141" s="10">
        <f t="shared" si="68"/>
        <v>22881539.176573537</v>
      </c>
      <c r="E141" s="10">
        <f t="shared" si="68"/>
        <v>20879271.912436187</v>
      </c>
      <c r="F141" s="10">
        <f t="shared" si="68"/>
        <v>60836243.104082987</v>
      </c>
      <c r="G141" s="10">
        <f t="shared" si="68"/>
        <v>57578778.6797034</v>
      </c>
      <c r="H141" s="10">
        <f t="shared" si="68"/>
        <v>54117067.973172709</v>
      </c>
      <c r="I141" s="10">
        <f t="shared" si="68"/>
        <v>79352933.496734113</v>
      </c>
      <c r="J141" s="10">
        <f t="shared" si="68"/>
        <v>95588363.965789929</v>
      </c>
      <c r="K141" s="10">
        <f t="shared" si="68"/>
        <v>90239873.755658567</v>
      </c>
      <c r="L141" s="10">
        <f t="shared" si="68"/>
        <v>84604000.439778298</v>
      </c>
      <c r="M141" s="10">
        <f t="shared" si="68"/>
        <v>78720266.974022105</v>
      </c>
      <c r="N141" s="10">
        <f t="shared" si="68"/>
        <v>72635646.38755329</v>
      </c>
      <c r="O141" s="10">
        <f t="shared" si="68"/>
        <v>110943455.0816887</v>
      </c>
      <c r="P141" s="10">
        <f t="shared" si="68"/>
        <v>103793457.32488425</v>
      </c>
      <c r="Q141" s="10">
        <f t="shared" si="68"/>
        <v>96517203.05507499</v>
      </c>
      <c r="R141" s="10">
        <f t="shared" si="68"/>
        <v>89832380.402736992</v>
      </c>
      <c r="S141" s="10">
        <f t="shared" si="68"/>
        <v>83021753.709655985</v>
      </c>
      <c r="T141" s="10">
        <f t="shared" si="68"/>
        <v>76187589.600928992</v>
      </c>
      <c r="U141" s="10">
        <f t="shared" si="68"/>
        <v>69427945.700481981</v>
      </c>
      <c r="V141" s="10">
        <f t="shared" si="68"/>
        <v>62831519.462921992</v>
      </c>
      <c r="W141" s="10">
        <f t="shared" si="68"/>
        <v>56473335.557831988</v>
      </c>
      <c r="X141" s="10">
        <f t="shared" si="68"/>
        <v>50412135.689663991</v>
      </c>
      <c r="Y141" s="10">
        <f t="shared" si="68"/>
        <v>44689514.450514987</v>
      </c>
      <c r="Z141" s="10">
        <f t="shared" si="68"/>
        <v>39330314.060103998</v>
      </c>
      <c r="AA141" s="10">
        <f t="shared" si="68"/>
        <v>34344660.929919995</v>
      </c>
      <c r="AB141" s="10">
        <f t="shared" si="68"/>
        <v>30015781.278079994</v>
      </c>
      <c r="AC141" s="10">
        <f t="shared" si="68"/>
        <v>67115910.942615986</v>
      </c>
      <c r="AD141" s="10">
        <f t="shared" si="68"/>
        <v>63678669.505812995</v>
      </c>
      <c r="AE141" s="10">
        <f t="shared" si="68"/>
        <v>60195756.503802985</v>
      </c>
      <c r="AF141" s="10">
        <f t="shared" si="68"/>
        <v>56684810.890850991</v>
      </c>
      <c r="AG141" s="10">
        <f t="shared" si="68"/>
        <v>53163021.419371992</v>
      </c>
      <c r="AH141" s="10">
        <f t="shared" si="68"/>
        <v>49646883.209601</v>
      </c>
      <c r="AI141" s="10">
        <f t="shared" ref="AI141:BN141" si="69">SUM(AI133:AI140)</f>
        <v>46152166.879777998</v>
      </c>
      <c r="AJ141" s="10">
        <f t="shared" si="69"/>
        <v>42693842.409563005</v>
      </c>
      <c r="AK141" s="10">
        <f t="shared" si="69"/>
        <v>39286070.295121007</v>
      </c>
      <c r="AL141" s="10">
        <f t="shared" si="69"/>
        <v>35942217.821294002</v>
      </c>
      <c r="AM141" s="10">
        <f t="shared" si="69"/>
        <v>32894612.367548011</v>
      </c>
      <c r="AN141" s="10">
        <f t="shared" si="69"/>
        <v>29903009.833158009</v>
      </c>
      <c r="AO141" s="10">
        <f t="shared" si="69"/>
        <v>26981928.712532006</v>
      </c>
      <c r="AP141" s="10">
        <f t="shared" si="69"/>
        <v>24145214.967326008</v>
      </c>
      <c r="AQ141" s="10">
        <f t="shared" si="69"/>
        <v>21405892.487426009</v>
      </c>
      <c r="AR141" s="10">
        <f t="shared" si="69"/>
        <v>18775979.790616009</v>
      </c>
      <c r="AS141" s="10">
        <f t="shared" si="69"/>
        <v>16893987.491480004</v>
      </c>
      <c r="AT141" s="10">
        <f t="shared" si="69"/>
        <v>15049033.294064002</v>
      </c>
      <c r="AU141" s="10">
        <f t="shared" si="69"/>
        <v>13258584.501624003</v>
      </c>
      <c r="AV141" s="10">
        <f t="shared" si="69"/>
        <v>11538273.165056005</v>
      </c>
      <c r="AW141" s="10">
        <f t="shared" si="69"/>
        <v>9901787.6675520036</v>
      </c>
      <c r="AX141" s="10">
        <f t="shared" si="69"/>
        <v>8360541.8875440042</v>
      </c>
      <c r="AY141" s="10">
        <f t="shared" si="69"/>
        <v>6923385.716280004</v>
      </c>
      <c r="AZ141" s="10">
        <f t="shared" si="69"/>
        <v>5596646.4124560058</v>
      </c>
      <c r="BA141" s="10">
        <f t="shared" si="69"/>
        <v>4384004.5383200068</v>
      </c>
      <c r="BB141" s="10">
        <f t="shared" si="69"/>
        <v>3286659.3782000076</v>
      </c>
      <c r="BC141" s="10">
        <f t="shared" si="69"/>
        <v>2303535.7116640056</v>
      </c>
      <c r="BD141" s="10">
        <f t="shared" si="69"/>
        <v>1431490.5866800072</v>
      </c>
      <c r="BE141" s="10">
        <f t="shared" si="69"/>
        <v>665685.51130400575</v>
      </c>
      <c r="BF141" s="10">
        <f t="shared" si="69"/>
        <v>-165.41852799557415</v>
      </c>
      <c r="BG141" s="10">
        <f t="shared" si="69"/>
        <v>0</v>
      </c>
      <c r="BH141" s="10">
        <f t="shared" si="69"/>
        <v>0</v>
      </c>
      <c r="BI141" s="10">
        <f t="shared" si="69"/>
        <v>0</v>
      </c>
      <c r="BJ141" s="10">
        <f t="shared" si="69"/>
        <v>0</v>
      </c>
      <c r="BK141" s="10">
        <f t="shared" si="69"/>
        <v>0</v>
      </c>
      <c r="BL141" s="10">
        <f t="shared" si="69"/>
        <v>0</v>
      </c>
      <c r="BM141" s="10">
        <f t="shared" si="69"/>
        <v>0</v>
      </c>
      <c r="BN141" s="10">
        <f t="shared" si="69"/>
        <v>0</v>
      </c>
      <c r="BO141" s="10">
        <f t="shared" ref="BO141:CT141" si="70">SUM(BO133:BO140)</f>
        <v>0</v>
      </c>
      <c r="BP141" s="10">
        <f t="shared" si="70"/>
        <v>0</v>
      </c>
      <c r="BQ141" s="10">
        <f t="shared" si="70"/>
        <v>0</v>
      </c>
      <c r="BR141" s="10">
        <f t="shared" si="70"/>
        <v>0</v>
      </c>
      <c r="BS141" s="10">
        <f t="shared" si="70"/>
        <v>0</v>
      </c>
      <c r="BT141" s="10">
        <f t="shared" si="70"/>
        <v>0</v>
      </c>
      <c r="BU141" s="10">
        <f t="shared" si="70"/>
        <v>0</v>
      </c>
      <c r="BV141" s="10">
        <f t="shared" si="70"/>
        <v>0</v>
      </c>
      <c r="BW141" s="10">
        <f t="shared" si="70"/>
        <v>0</v>
      </c>
      <c r="BX141" s="10">
        <f t="shared" si="70"/>
        <v>0</v>
      </c>
      <c r="BY141" s="10">
        <f t="shared" si="70"/>
        <v>0</v>
      </c>
      <c r="BZ141" s="10">
        <f t="shared" si="70"/>
        <v>0</v>
      </c>
      <c r="CA141" s="10">
        <f t="shared" si="70"/>
        <v>0</v>
      </c>
      <c r="CB141" s="10">
        <f t="shared" si="70"/>
        <v>0</v>
      </c>
      <c r="CC141" s="10">
        <f t="shared" si="70"/>
        <v>0</v>
      </c>
      <c r="CD141" s="10">
        <f t="shared" si="70"/>
        <v>0</v>
      </c>
      <c r="CE141" s="10">
        <f t="shared" si="70"/>
        <v>0</v>
      </c>
      <c r="CF141" s="10">
        <f t="shared" si="70"/>
        <v>0</v>
      </c>
      <c r="CG141" s="10">
        <f t="shared" si="70"/>
        <v>0</v>
      </c>
      <c r="CH141" s="10">
        <f t="shared" si="70"/>
        <v>0</v>
      </c>
      <c r="CI141" s="23"/>
      <c r="CJ141" s="53"/>
      <c r="CK141" s="53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3"/>
      <c r="CK142" s="53"/>
    </row>
    <row r="143" spans="1:89" s="34" customFormat="1" ht="15" customHeight="1" x14ac:dyDescent="0.25">
      <c r="A143" s="26" t="s">
        <v>163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3"/>
      <c r="CK143" s="53"/>
    </row>
    <row r="144" spans="1:89" ht="8.2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36"/>
      <c r="CJ144" s="55"/>
      <c r="CK144" s="55"/>
    </row>
    <row r="145" spans="1:89" ht="15" customHeight="1" x14ac:dyDescent="0.25">
      <c r="A145" s="6" t="s">
        <v>164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3"/>
      <c r="CK145" s="53"/>
    </row>
    <row r="146" spans="1:89" ht="15" customHeight="1" x14ac:dyDescent="0.25">
      <c r="A146" s="7" t="s">
        <v>165</v>
      </c>
      <c r="B146" s="22"/>
      <c r="C146" s="8">
        <f>Assumptions!$B$29</f>
        <v>1025542</v>
      </c>
      <c r="D146" s="8">
        <f t="shared" ref="D146:AI146" si="71">C148</f>
        <v>1121905.2488499179</v>
      </c>
      <c r="E146" s="8">
        <f t="shared" si="71"/>
        <v>1198556.4167907038</v>
      </c>
      <c r="F146" s="8">
        <f t="shared" si="71"/>
        <v>1252385.5284698517</v>
      </c>
      <c r="G146" s="8">
        <f t="shared" si="71"/>
        <v>1752455.3766401485</v>
      </c>
      <c r="H146" s="8">
        <f t="shared" si="71"/>
        <v>1931188.3527460161</v>
      </c>
      <c r="I146" s="8">
        <f t="shared" si="71"/>
        <v>2150728.3139840784</v>
      </c>
      <c r="J146" s="8">
        <f t="shared" si="71"/>
        <v>2681523.9348667916</v>
      </c>
      <c r="K146" s="8">
        <f t="shared" si="71"/>
        <v>3234097.3554641507</v>
      </c>
      <c r="L146" s="8">
        <f t="shared" si="71"/>
        <v>3559392.0146434852</v>
      </c>
      <c r="M146" s="8">
        <f t="shared" si="71"/>
        <v>3898530.1392991468</v>
      </c>
      <c r="N146" s="8">
        <f t="shared" si="71"/>
        <v>4248328.6958697699</v>
      </c>
      <c r="O146" s="8">
        <f t="shared" si="71"/>
        <v>4605174.952842012</v>
      </c>
      <c r="P146" s="8">
        <f t="shared" si="71"/>
        <v>4283489.1146789268</v>
      </c>
      <c r="Q146" s="8">
        <f t="shared" si="71"/>
        <v>4757663.4583382271</v>
      </c>
      <c r="R146" s="8">
        <f t="shared" si="71"/>
        <v>5380978.0033744313</v>
      </c>
      <c r="S146" s="8">
        <f t="shared" si="71"/>
        <v>5813547.7658077851</v>
      </c>
      <c r="T146" s="8">
        <f t="shared" si="71"/>
        <v>6055892.6492537092</v>
      </c>
      <c r="U146" s="8">
        <f t="shared" si="71"/>
        <v>6294345.8336349456</v>
      </c>
      <c r="V146" s="8">
        <f t="shared" si="71"/>
        <v>6544693.7852173699</v>
      </c>
      <c r="W146" s="8">
        <f t="shared" si="71"/>
        <v>6744505.9171531005</v>
      </c>
      <c r="X146" s="8">
        <f t="shared" si="71"/>
        <v>6927848.9192843623</v>
      </c>
      <c r="Y146" s="8">
        <f t="shared" si="71"/>
        <v>7092054.3544771848</v>
      </c>
      <c r="Z146" s="8">
        <f t="shared" si="71"/>
        <v>7289897.5062302789</v>
      </c>
      <c r="AA146" s="8">
        <f t="shared" si="71"/>
        <v>7414357.8107021134</v>
      </c>
      <c r="AB146" s="8">
        <f t="shared" si="71"/>
        <v>7566667.3352997387</v>
      </c>
      <c r="AC146" s="8">
        <f t="shared" si="71"/>
        <v>7566931.7460454097</v>
      </c>
      <c r="AD146" s="8">
        <f t="shared" si="71"/>
        <v>6925085.5194371045</v>
      </c>
      <c r="AE146" s="8">
        <f t="shared" si="71"/>
        <v>6969133.7690433469</v>
      </c>
      <c r="AF146" s="8">
        <f t="shared" si="71"/>
        <v>7015295.069961926</v>
      </c>
      <c r="AG146" s="8">
        <f t="shared" si="71"/>
        <v>7062753.3342114259</v>
      </c>
      <c r="AH146" s="8">
        <f t="shared" si="71"/>
        <v>7231528.1040908275</v>
      </c>
      <c r="AI146" s="8">
        <f t="shared" si="71"/>
        <v>7224572.2954388261</v>
      </c>
      <c r="AJ146" s="8">
        <f t="shared" ref="AJ146:BO146" si="72">AI148</f>
        <v>7460764.2861723471</v>
      </c>
      <c r="AK146" s="8">
        <f t="shared" si="72"/>
        <v>7362778.6197649138</v>
      </c>
      <c r="AL146" s="8">
        <f t="shared" si="72"/>
        <v>7262454.086247853</v>
      </c>
      <c r="AM146" s="8">
        <f t="shared" si="72"/>
        <v>7249199.9760140264</v>
      </c>
      <c r="AN146" s="8">
        <f t="shared" si="72"/>
        <v>7098957.4369915491</v>
      </c>
      <c r="AO146" s="8">
        <f t="shared" si="72"/>
        <v>6946120.9214783125</v>
      </c>
      <c r="AP146" s="8">
        <f t="shared" si="72"/>
        <v>6790021.6457503457</v>
      </c>
      <c r="AQ146" s="8">
        <f t="shared" si="72"/>
        <v>6630019.0093089528</v>
      </c>
      <c r="AR146" s="8">
        <f t="shared" si="72"/>
        <v>6465510.4458201239</v>
      </c>
      <c r="AS146" s="8">
        <f t="shared" si="72"/>
        <v>6553137.4605487213</v>
      </c>
      <c r="AT146" s="8">
        <f t="shared" si="72"/>
        <v>6255890.8152308976</v>
      </c>
      <c r="AU146" s="8">
        <f t="shared" si="72"/>
        <v>5956922.1791487876</v>
      </c>
      <c r="AV146" s="8">
        <f t="shared" si="72"/>
        <v>5655431.783258535</v>
      </c>
      <c r="AW146" s="8">
        <f t="shared" si="72"/>
        <v>5350696.3914391398</v>
      </c>
      <c r="AX146" s="8">
        <f t="shared" si="72"/>
        <v>5042082.6937539587</v>
      </c>
      <c r="AY146" s="8">
        <f t="shared" si="72"/>
        <v>4729062.6130352775</v>
      </c>
      <c r="AZ146" s="8">
        <f t="shared" si="72"/>
        <v>4410537.266328075</v>
      </c>
      <c r="BA146" s="8">
        <f t="shared" si="72"/>
        <v>4086903.3470201581</v>
      </c>
      <c r="BB146" s="8">
        <f t="shared" si="72"/>
        <v>3757990.5693581696</v>
      </c>
      <c r="BC146" s="8">
        <f t="shared" si="72"/>
        <v>3423743.4469730384</v>
      </c>
      <c r="BD146" s="8">
        <f t="shared" si="72"/>
        <v>3084211.7262646211</v>
      </c>
      <c r="BE146" s="8">
        <f t="shared" si="72"/>
        <v>2739540.819786347</v>
      </c>
      <c r="BF146" s="8">
        <f t="shared" si="72"/>
        <v>2389954.5863375729</v>
      </c>
      <c r="BG146" s="8">
        <f t="shared" si="72"/>
        <v>2270713.3510251557</v>
      </c>
      <c r="BH146" s="8">
        <f t="shared" si="72"/>
        <v>1800659.6199872864</v>
      </c>
      <c r="BI146" s="8">
        <f t="shared" si="72"/>
        <v>1330605.888949417</v>
      </c>
      <c r="BJ146" s="8">
        <f t="shared" si="72"/>
        <v>860552.15791154769</v>
      </c>
      <c r="BK146" s="8">
        <f t="shared" si="72"/>
        <v>390498.42687367834</v>
      </c>
      <c r="BL146" s="8">
        <f t="shared" si="72"/>
        <v>-80258.52461828175</v>
      </c>
      <c r="BM146" s="8">
        <f t="shared" si="72"/>
        <v>-551015.47611024184</v>
      </c>
      <c r="BN146" s="8">
        <f t="shared" si="72"/>
        <v>-1021772.4276022019</v>
      </c>
      <c r="BO146" s="8">
        <f t="shared" si="72"/>
        <v>-1492529.379094162</v>
      </c>
      <c r="BP146" s="8">
        <f t="shared" ref="BP146:CH146" si="73">BO148</f>
        <v>-1963286.3305861221</v>
      </c>
      <c r="BQ146" s="8">
        <f t="shared" si="73"/>
        <v>-2434043.2820780822</v>
      </c>
      <c r="BR146" s="8">
        <f t="shared" si="73"/>
        <v>-2904800.2335700421</v>
      </c>
      <c r="BS146" s="8">
        <f t="shared" si="73"/>
        <v>-3375557.1850620024</v>
      </c>
      <c r="BT146" s="8">
        <f t="shared" si="73"/>
        <v>-3846314.1365539627</v>
      </c>
      <c r="BU146" s="8">
        <f t="shared" si="73"/>
        <v>-4317071.088045923</v>
      </c>
      <c r="BV146" s="8">
        <f t="shared" si="73"/>
        <v>-4787828.0395378834</v>
      </c>
      <c r="BW146" s="8">
        <f t="shared" si="73"/>
        <v>-5258584.9910298437</v>
      </c>
      <c r="BX146" s="8">
        <f t="shared" si="73"/>
        <v>-5730059.2273849761</v>
      </c>
      <c r="BY146" s="8">
        <f t="shared" si="73"/>
        <v>-6201533.4637401085</v>
      </c>
      <c r="BZ146" s="8">
        <f t="shared" si="73"/>
        <v>-6673007.700095241</v>
      </c>
      <c r="CA146" s="8">
        <f t="shared" si="73"/>
        <v>-7144481.9364503734</v>
      </c>
      <c r="CB146" s="8">
        <f t="shared" si="73"/>
        <v>-7615956.1728055058</v>
      </c>
      <c r="CC146" s="8">
        <f t="shared" si="73"/>
        <v>-8087430.4091606382</v>
      </c>
      <c r="CD146" s="8">
        <f t="shared" si="73"/>
        <v>-8558904.6455157716</v>
      </c>
      <c r="CE146" s="8">
        <f t="shared" si="73"/>
        <v>-9030378.8818709049</v>
      </c>
      <c r="CF146" s="8">
        <f t="shared" si="73"/>
        <v>-9501853.1182260383</v>
      </c>
      <c r="CG146" s="8">
        <f t="shared" si="73"/>
        <v>-9973327.3545811716</v>
      </c>
      <c r="CH146" s="8">
        <f t="shared" si="73"/>
        <v>-10444801.590936305</v>
      </c>
      <c r="CI146" s="23"/>
      <c r="CJ146" s="53"/>
      <c r="CK146" s="53"/>
    </row>
    <row r="147" spans="1:89" ht="15" customHeight="1" x14ac:dyDescent="0.25">
      <c r="A147" s="7" t="s">
        <v>166</v>
      </c>
      <c r="B147" s="22"/>
      <c r="C147" s="8">
        <f t="shared" ref="C147:AH147" si="74">C41</f>
        <v>96363.248849917843</v>
      </c>
      <c r="D147" s="8">
        <f t="shared" si="74"/>
        <v>76651.167940785759</v>
      </c>
      <c r="E147" s="8">
        <f t="shared" si="74"/>
        <v>53829.111679148045</v>
      </c>
      <c r="F147" s="8">
        <f t="shared" si="74"/>
        <v>500069.84817029687</v>
      </c>
      <c r="G147" s="8">
        <f t="shared" si="74"/>
        <v>178732.97610586759</v>
      </c>
      <c r="H147" s="8">
        <f t="shared" si="74"/>
        <v>219539.96123806242</v>
      </c>
      <c r="I147" s="8">
        <f t="shared" si="74"/>
        <v>530795.62088271335</v>
      </c>
      <c r="J147" s="8">
        <f t="shared" si="74"/>
        <v>552573.42059735919</v>
      </c>
      <c r="K147" s="8">
        <f t="shared" si="74"/>
        <v>325294.65917933459</v>
      </c>
      <c r="L147" s="8">
        <f t="shared" si="74"/>
        <v>339138.1246556617</v>
      </c>
      <c r="M147" s="8">
        <f t="shared" si="74"/>
        <v>349798.55657062266</v>
      </c>
      <c r="N147" s="8">
        <f t="shared" si="74"/>
        <v>356846.2569722422</v>
      </c>
      <c r="O147" s="8">
        <f t="shared" si="74"/>
        <v>-321685.83816308575</v>
      </c>
      <c r="P147" s="8">
        <f t="shared" si="74"/>
        <v>474174.3436593003</v>
      </c>
      <c r="Q147" s="8">
        <f t="shared" si="74"/>
        <v>623314.54503620393</v>
      </c>
      <c r="R147" s="8">
        <f t="shared" si="74"/>
        <v>432569.76243335364</v>
      </c>
      <c r="S147" s="8">
        <f t="shared" si="74"/>
        <v>242344.88344592421</v>
      </c>
      <c r="T147" s="8">
        <f t="shared" si="74"/>
        <v>238453.18438123673</v>
      </c>
      <c r="U147" s="8">
        <f t="shared" si="74"/>
        <v>250347.95158242428</v>
      </c>
      <c r="V147" s="8">
        <f t="shared" si="74"/>
        <v>199812.13193573098</v>
      </c>
      <c r="W147" s="8">
        <f t="shared" si="74"/>
        <v>183343.0021312618</v>
      </c>
      <c r="X147" s="8">
        <f t="shared" si="74"/>
        <v>164205.43519282277</v>
      </c>
      <c r="Y147" s="8">
        <f t="shared" si="74"/>
        <v>197843.15175309376</v>
      </c>
      <c r="Z147" s="8">
        <f t="shared" si="74"/>
        <v>124460.30447183497</v>
      </c>
      <c r="AA147" s="8">
        <f t="shared" si="74"/>
        <v>152309.52459762548</v>
      </c>
      <c r="AB147" s="8">
        <f t="shared" si="74"/>
        <v>264.41074567096075</v>
      </c>
      <c r="AC147" s="8">
        <f t="shared" si="74"/>
        <v>-641846.22660830524</v>
      </c>
      <c r="AD147" s="8">
        <f t="shared" si="74"/>
        <v>44048.249606242636</v>
      </c>
      <c r="AE147" s="8">
        <f t="shared" si="74"/>
        <v>46161.300918579509</v>
      </c>
      <c r="AF147" s="8">
        <f t="shared" si="74"/>
        <v>47458.264249499945</v>
      </c>
      <c r="AG147" s="8">
        <f t="shared" si="74"/>
        <v>168774.76987940166</v>
      </c>
      <c r="AH147" s="8">
        <f t="shared" si="74"/>
        <v>-6955.8086520018987</v>
      </c>
      <c r="AI147" s="8">
        <f t="shared" ref="AI147:BN147" si="75">AI41</f>
        <v>236191.99073352083</v>
      </c>
      <c r="AJ147" s="8">
        <f t="shared" si="75"/>
        <v>-97985.666407433746</v>
      </c>
      <c r="AK147" s="8">
        <f t="shared" si="75"/>
        <v>-100324.53351706115</v>
      </c>
      <c r="AL147" s="8">
        <f t="shared" si="75"/>
        <v>-13254.110233826563</v>
      </c>
      <c r="AM147" s="8">
        <f t="shared" si="75"/>
        <v>-150242.53902247699</v>
      </c>
      <c r="AN147" s="8">
        <f t="shared" si="75"/>
        <v>-152836.51551323675</v>
      </c>
      <c r="AO147" s="8">
        <f t="shared" si="75"/>
        <v>-156099.27572796721</v>
      </c>
      <c r="AP147" s="8">
        <f t="shared" si="75"/>
        <v>-160002.63644139259</v>
      </c>
      <c r="AQ147" s="8">
        <f t="shared" si="75"/>
        <v>-164508.56348882924</v>
      </c>
      <c r="AR147" s="8">
        <f t="shared" si="75"/>
        <v>87627.014728597715</v>
      </c>
      <c r="AS147" s="8">
        <f t="shared" si="75"/>
        <v>-297246.64531782386</v>
      </c>
      <c r="AT147" s="8">
        <f t="shared" si="75"/>
        <v>-298968.63608210953</v>
      </c>
      <c r="AU147" s="8">
        <f t="shared" si="75"/>
        <v>-301490.39589025243</v>
      </c>
      <c r="AV147" s="8">
        <f t="shared" si="75"/>
        <v>-304735.39181939524</v>
      </c>
      <c r="AW147" s="8">
        <f t="shared" si="75"/>
        <v>-308613.69768518099</v>
      </c>
      <c r="AX147" s="8">
        <f t="shared" si="75"/>
        <v>-313020.08071868098</v>
      </c>
      <c r="AY147" s="8">
        <f t="shared" si="75"/>
        <v>-318525.34670720273</v>
      </c>
      <c r="AZ147" s="8">
        <f t="shared" si="75"/>
        <v>-323633.91930791701</v>
      </c>
      <c r="BA147" s="8">
        <f t="shared" si="75"/>
        <v>-328912.7776619884</v>
      </c>
      <c r="BB147" s="8">
        <f t="shared" si="75"/>
        <v>-334247.12238513125</v>
      </c>
      <c r="BC147" s="8">
        <f t="shared" si="75"/>
        <v>-339531.72070841701</v>
      </c>
      <c r="BD147" s="8">
        <f t="shared" si="75"/>
        <v>-344670.90647827415</v>
      </c>
      <c r="BE147" s="8">
        <f t="shared" si="75"/>
        <v>-349586.23344877409</v>
      </c>
      <c r="BF147" s="8">
        <f t="shared" si="75"/>
        <v>-119241.23531241697</v>
      </c>
      <c r="BG147" s="8">
        <f t="shared" si="75"/>
        <v>-470053.73103786935</v>
      </c>
      <c r="BH147" s="8">
        <f t="shared" si="75"/>
        <v>-470053.73103786935</v>
      </c>
      <c r="BI147" s="8">
        <f t="shared" si="75"/>
        <v>-470053.73103786935</v>
      </c>
      <c r="BJ147" s="8">
        <f t="shared" si="75"/>
        <v>-470053.73103786935</v>
      </c>
      <c r="BK147" s="8">
        <f t="shared" si="75"/>
        <v>-470756.95149196009</v>
      </c>
      <c r="BL147" s="8">
        <f t="shared" si="75"/>
        <v>-470756.95149196009</v>
      </c>
      <c r="BM147" s="8">
        <f t="shared" si="75"/>
        <v>-470756.95149196009</v>
      </c>
      <c r="BN147" s="8">
        <f t="shared" si="75"/>
        <v>-470756.95149196009</v>
      </c>
      <c r="BO147" s="8">
        <f t="shared" ref="BO147:CH147" si="76">BO41</f>
        <v>-470756.95149196009</v>
      </c>
      <c r="BP147" s="8">
        <f t="shared" si="76"/>
        <v>-470756.95149196009</v>
      </c>
      <c r="BQ147" s="8">
        <f t="shared" si="76"/>
        <v>-470756.95149196009</v>
      </c>
      <c r="BR147" s="8">
        <f t="shared" si="76"/>
        <v>-470756.95149196009</v>
      </c>
      <c r="BS147" s="8">
        <f t="shared" si="76"/>
        <v>-470756.95149196009</v>
      </c>
      <c r="BT147" s="8">
        <f t="shared" si="76"/>
        <v>-470756.95149196009</v>
      </c>
      <c r="BU147" s="8">
        <f t="shared" si="76"/>
        <v>-470756.95149196009</v>
      </c>
      <c r="BV147" s="8">
        <f t="shared" si="76"/>
        <v>-470756.95149196009</v>
      </c>
      <c r="BW147" s="8">
        <f t="shared" si="76"/>
        <v>-471474.2363551326</v>
      </c>
      <c r="BX147" s="8">
        <f t="shared" si="76"/>
        <v>-471474.2363551326</v>
      </c>
      <c r="BY147" s="8">
        <f t="shared" si="76"/>
        <v>-471474.2363551326</v>
      </c>
      <c r="BZ147" s="8">
        <f t="shared" si="76"/>
        <v>-471474.2363551326</v>
      </c>
      <c r="CA147" s="8">
        <f t="shared" si="76"/>
        <v>-471474.2363551326</v>
      </c>
      <c r="CB147" s="8">
        <f t="shared" si="76"/>
        <v>-471474.2363551326</v>
      </c>
      <c r="CC147" s="8">
        <f t="shared" si="76"/>
        <v>-471474.2363551326</v>
      </c>
      <c r="CD147" s="8">
        <f t="shared" si="76"/>
        <v>-471474.2363551326</v>
      </c>
      <c r="CE147" s="8">
        <f t="shared" si="76"/>
        <v>-471474.2363551326</v>
      </c>
      <c r="CF147" s="8">
        <f t="shared" si="76"/>
        <v>-471474.2363551326</v>
      </c>
      <c r="CG147" s="8">
        <f t="shared" si="76"/>
        <v>-471474.2363551326</v>
      </c>
      <c r="CH147" s="8">
        <f t="shared" si="76"/>
        <v>-471474.2363551326</v>
      </c>
      <c r="CI147" s="23"/>
      <c r="CJ147" s="53"/>
      <c r="CK147" s="53"/>
    </row>
    <row r="148" spans="1:89" ht="15" customHeight="1" x14ac:dyDescent="0.25">
      <c r="A148" s="56" t="s">
        <v>41</v>
      </c>
      <c r="B148" s="57"/>
      <c r="C148" s="58">
        <f t="shared" ref="C148:AH148" si="77">C146+C147</f>
        <v>1121905.2488499179</v>
      </c>
      <c r="D148" s="58">
        <f t="shared" si="77"/>
        <v>1198556.4167907038</v>
      </c>
      <c r="E148" s="58">
        <f t="shared" si="77"/>
        <v>1252385.5284698517</v>
      </c>
      <c r="F148" s="58">
        <f t="shared" si="77"/>
        <v>1752455.3766401485</v>
      </c>
      <c r="G148" s="58">
        <f t="shared" si="77"/>
        <v>1931188.3527460161</v>
      </c>
      <c r="H148" s="58">
        <f t="shared" si="77"/>
        <v>2150728.3139840784</v>
      </c>
      <c r="I148" s="58">
        <f t="shared" si="77"/>
        <v>2681523.9348667916</v>
      </c>
      <c r="J148" s="58">
        <f t="shared" si="77"/>
        <v>3234097.3554641507</v>
      </c>
      <c r="K148" s="58">
        <f t="shared" si="77"/>
        <v>3559392.0146434852</v>
      </c>
      <c r="L148" s="58">
        <f t="shared" si="77"/>
        <v>3898530.1392991468</v>
      </c>
      <c r="M148" s="58">
        <f t="shared" si="77"/>
        <v>4248328.6958697699</v>
      </c>
      <c r="N148" s="58">
        <f t="shared" si="77"/>
        <v>4605174.952842012</v>
      </c>
      <c r="O148" s="58">
        <f t="shared" si="77"/>
        <v>4283489.1146789268</v>
      </c>
      <c r="P148" s="58">
        <f t="shared" si="77"/>
        <v>4757663.4583382271</v>
      </c>
      <c r="Q148" s="58">
        <f t="shared" si="77"/>
        <v>5380978.0033744313</v>
      </c>
      <c r="R148" s="58">
        <f t="shared" si="77"/>
        <v>5813547.7658077851</v>
      </c>
      <c r="S148" s="58">
        <f t="shared" si="77"/>
        <v>6055892.6492537092</v>
      </c>
      <c r="T148" s="58">
        <f t="shared" si="77"/>
        <v>6294345.8336349456</v>
      </c>
      <c r="U148" s="58">
        <f t="shared" si="77"/>
        <v>6544693.7852173699</v>
      </c>
      <c r="V148" s="58">
        <f t="shared" si="77"/>
        <v>6744505.9171531005</v>
      </c>
      <c r="W148" s="58">
        <f t="shared" si="77"/>
        <v>6927848.9192843623</v>
      </c>
      <c r="X148" s="58">
        <f t="shared" si="77"/>
        <v>7092054.3544771848</v>
      </c>
      <c r="Y148" s="58">
        <f t="shared" si="77"/>
        <v>7289897.5062302789</v>
      </c>
      <c r="Z148" s="58">
        <f t="shared" si="77"/>
        <v>7414357.8107021134</v>
      </c>
      <c r="AA148" s="58">
        <f t="shared" si="77"/>
        <v>7566667.3352997387</v>
      </c>
      <c r="AB148" s="58">
        <f t="shared" si="77"/>
        <v>7566931.7460454097</v>
      </c>
      <c r="AC148" s="58">
        <f t="shared" si="77"/>
        <v>6925085.5194371045</v>
      </c>
      <c r="AD148" s="58">
        <f t="shared" si="77"/>
        <v>6969133.7690433469</v>
      </c>
      <c r="AE148" s="58">
        <f t="shared" si="77"/>
        <v>7015295.069961926</v>
      </c>
      <c r="AF148" s="58">
        <f t="shared" si="77"/>
        <v>7062753.3342114259</v>
      </c>
      <c r="AG148" s="58">
        <f t="shared" si="77"/>
        <v>7231528.1040908275</v>
      </c>
      <c r="AH148" s="58">
        <f t="shared" si="77"/>
        <v>7224572.2954388261</v>
      </c>
      <c r="AI148" s="58">
        <f t="shared" ref="AI148:BN148" si="78">AI146+AI147</f>
        <v>7460764.2861723471</v>
      </c>
      <c r="AJ148" s="58">
        <f t="shared" si="78"/>
        <v>7362778.6197649138</v>
      </c>
      <c r="AK148" s="58">
        <f t="shared" si="78"/>
        <v>7262454.086247853</v>
      </c>
      <c r="AL148" s="58">
        <f t="shared" si="78"/>
        <v>7249199.9760140264</v>
      </c>
      <c r="AM148" s="58">
        <f t="shared" si="78"/>
        <v>7098957.4369915491</v>
      </c>
      <c r="AN148" s="58">
        <f t="shared" si="78"/>
        <v>6946120.9214783125</v>
      </c>
      <c r="AO148" s="58">
        <f t="shared" si="78"/>
        <v>6790021.6457503457</v>
      </c>
      <c r="AP148" s="58">
        <f t="shared" si="78"/>
        <v>6630019.0093089528</v>
      </c>
      <c r="AQ148" s="58">
        <f t="shared" si="78"/>
        <v>6465510.4458201239</v>
      </c>
      <c r="AR148" s="58">
        <f t="shared" si="78"/>
        <v>6553137.4605487213</v>
      </c>
      <c r="AS148" s="58">
        <f t="shared" si="78"/>
        <v>6255890.8152308976</v>
      </c>
      <c r="AT148" s="58">
        <f t="shared" si="78"/>
        <v>5956922.1791487876</v>
      </c>
      <c r="AU148" s="58">
        <f t="shared" si="78"/>
        <v>5655431.783258535</v>
      </c>
      <c r="AV148" s="58">
        <f t="shared" si="78"/>
        <v>5350696.3914391398</v>
      </c>
      <c r="AW148" s="58">
        <f t="shared" si="78"/>
        <v>5042082.6937539587</v>
      </c>
      <c r="AX148" s="58">
        <f t="shared" si="78"/>
        <v>4729062.6130352775</v>
      </c>
      <c r="AY148" s="58">
        <f t="shared" si="78"/>
        <v>4410537.266328075</v>
      </c>
      <c r="AZ148" s="58">
        <f t="shared" si="78"/>
        <v>4086903.3470201581</v>
      </c>
      <c r="BA148" s="58">
        <f t="shared" si="78"/>
        <v>3757990.5693581696</v>
      </c>
      <c r="BB148" s="58">
        <f t="shared" si="78"/>
        <v>3423743.4469730384</v>
      </c>
      <c r="BC148" s="58">
        <f t="shared" si="78"/>
        <v>3084211.7262646211</v>
      </c>
      <c r="BD148" s="58">
        <f t="shared" si="78"/>
        <v>2739540.819786347</v>
      </c>
      <c r="BE148" s="58">
        <f t="shared" si="78"/>
        <v>2389954.5863375729</v>
      </c>
      <c r="BF148" s="58">
        <f t="shared" si="78"/>
        <v>2270713.3510251557</v>
      </c>
      <c r="BG148" s="58">
        <f t="shared" si="78"/>
        <v>1800659.6199872864</v>
      </c>
      <c r="BH148" s="58">
        <f t="shared" si="78"/>
        <v>1330605.888949417</v>
      </c>
      <c r="BI148" s="58">
        <f t="shared" si="78"/>
        <v>860552.15791154769</v>
      </c>
      <c r="BJ148" s="58">
        <f t="shared" si="78"/>
        <v>390498.42687367834</v>
      </c>
      <c r="BK148" s="58">
        <f t="shared" si="78"/>
        <v>-80258.52461828175</v>
      </c>
      <c r="BL148" s="58">
        <f t="shared" si="78"/>
        <v>-551015.47611024184</v>
      </c>
      <c r="BM148" s="58">
        <f t="shared" si="78"/>
        <v>-1021772.4276022019</v>
      </c>
      <c r="BN148" s="58">
        <f t="shared" si="78"/>
        <v>-1492529.379094162</v>
      </c>
      <c r="BO148" s="58">
        <f t="shared" ref="BO148:CT148" si="79">BO146+BO147</f>
        <v>-1963286.3305861221</v>
      </c>
      <c r="BP148" s="58">
        <f t="shared" si="79"/>
        <v>-2434043.2820780822</v>
      </c>
      <c r="BQ148" s="58">
        <f t="shared" si="79"/>
        <v>-2904800.2335700421</v>
      </c>
      <c r="BR148" s="58">
        <f t="shared" si="79"/>
        <v>-3375557.1850620024</v>
      </c>
      <c r="BS148" s="58">
        <f t="shared" si="79"/>
        <v>-3846314.1365539627</v>
      </c>
      <c r="BT148" s="58">
        <f t="shared" si="79"/>
        <v>-4317071.088045923</v>
      </c>
      <c r="BU148" s="58">
        <f t="shared" si="79"/>
        <v>-4787828.0395378834</v>
      </c>
      <c r="BV148" s="58">
        <f t="shared" si="79"/>
        <v>-5258584.9910298437</v>
      </c>
      <c r="BW148" s="58">
        <f t="shared" si="79"/>
        <v>-5730059.2273849761</v>
      </c>
      <c r="BX148" s="58">
        <f t="shared" si="79"/>
        <v>-6201533.4637401085</v>
      </c>
      <c r="BY148" s="58">
        <f t="shared" si="79"/>
        <v>-6673007.700095241</v>
      </c>
      <c r="BZ148" s="58">
        <f t="shared" si="79"/>
        <v>-7144481.9364503734</v>
      </c>
      <c r="CA148" s="58">
        <f t="shared" si="79"/>
        <v>-7615956.1728055058</v>
      </c>
      <c r="CB148" s="58">
        <f t="shared" si="79"/>
        <v>-8087430.4091606382</v>
      </c>
      <c r="CC148" s="58">
        <f t="shared" si="79"/>
        <v>-8558904.6455157716</v>
      </c>
      <c r="CD148" s="58">
        <f t="shared" si="79"/>
        <v>-9030378.8818709049</v>
      </c>
      <c r="CE148" s="58">
        <f t="shared" si="79"/>
        <v>-9501853.1182260383</v>
      </c>
      <c r="CF148" s="58">
        <f t="shared" si="79"/>
        <v>-9973327.3545811716</v>
      </c>
      <c r="CG148" s="58">
        <f t="shared" si="79"/>
        <v>-10444801.590936305</v>
      </c>
      <c r="CH148" s="58">
        <f t="shared" si="79"/>
        <v>-10916275.827291438</v>
      </c>
      <c r="CI148" s="23"/>
      <c r="CJ148" s="53"/>
      <c r="CK148" s="53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3"/>
      <c r="CK149" s="53"/>
    </row>
    <row r="150" spans="1:89" ht="15" customHeight="1" x14ac:dyDescent="0.25">
      <c r="A150" s="6" t="s">
        <v>167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3"/>
      <c r="CK150" s="53"/>
    </row>
    <row r="151" spans="1:89" ht="15" customHeight="1" x14ac:dyDescent="0.25">
      <c r="A151" s="7" t="s">
        <v>168</v>
      </c>
      <c r="B151" s="22"/>
      <c r="C151" s="8">
        <f>Assumptions!$B$30</f>
        <v>237987</v>
      </c>
      <c r="D151" s="8">
        <f t="shared" ref="D151:AI151" si="80">C156</f>
        <v>171609.91333333333</v>
      </c>
      <c r="E151" s="8">
        <f t="shared" si="80"/>
        <v>105232.82666666666</v>
      </c>
      <c r="F151" s="8">
        <f t="shared" si="80"/>
        <v>38855.739999999991</v>
      </c>
      <c r="G151" s="8">
        <f t="shared" si="80"/>
        <v>-50521.346666666694</v>
      </c>
      <c r="H151" s="8">
        <f t="shared" si="80"/>
        <v>-6057.9433333333145</v>
      </c>
      <c r="I151" s="8">
        <f t="shared" si="80"/>
        <v>-3291.1799999999494</v>
      </c>
      <c r="J151" s="8">
        <f t="shared" si="80"/>
        <v>-176817.3866666666</v>
      </c>
      <c r="K151" s="8">
        <f t="shared" si="80"/>
        <v>-359718.59333333327</v>
      </c>
      <c r="L151" s="8">
        <f t="shared" si="80"/>
        <v>-563619.79999999993</v>
      </c>
      <c r="M151" s="8">
        <f t="shared" si="80"/>
        <v>-746521.0066666666</v>
      </c>
      <c r="N151" s="8">
        <f t="shared" si="80"/>
        <v>-1179422.2133333334</v>
      </c>
      <c r="O151" s="8">
        <f t="shared" si="80"/>
        <v>-1362323.42</v>
      </c>
      <c r="P151" s="8">
        <f t="shared" si="80"/>
        <v>-1545598.6266666665</v>
      </c>
      <c r="Q151" s="8">
        <f t="shared" si="80"/>
        <v>-1728873.833333333</v>
      </c>
      <c r="R151" s="8">
        <f t="shared" si="80"/>
        <v>-1912149.0399999996</v>
      </c>
      <c r="S151" s="8">
        <f t="shared" si="80"/>
        <v>-2142790.4966666661</v>
      </c>
      <c r="T151" s="8">
        <f t="shared" si="80"/>
        <v>-2349971.9533333327</v>
      </c>
      <c r="U151" s="8">
        <f t="shared" si="80"/>
        <v>-2557153.4099999992</v>
      </c>
      <c r="V151" s="8">
        <f t="shared" si="80"/>
        <v>-2764334.8666666658</v>
      </c>
      <c r="W151" s="8">
        <f t="shared" si="80"/>
        <v>-2971516.3233333323</v>
      </c>
      <c r="X151" s="8">
        <f t="shared" si="80"/>
        <v>-3078712.0232854439</v>
      </c>
      <c r="Y151" s="8">
        <f t="shared" si="80"/>
        <v>-3155893.4799521104</v>
      </c>
      <c r="Z151" s="8">
        <f t="shared" si="80"/>
        <v>-3483074.936618777</v>
      </c>
      <c r="AA151" s="8">
        <f t="shared" si="80"/>
        <v>-3515512.9732854436</v>
      </c>
      <c r="AB151" s="8">
        <f t="shared" si="80"/>
        <v>-3616760.1199521101</v>
      </c>
      <c r="AC151" s="8">
        <f t="shared" si="80"/>
        <v>-3718007.2666187766</v>
      </c>
      <c r="AD151" s="8">
        <f t="shared" si="80"/>
        <v>-3761879.4132854431</v>
      </c>
      <c r="AE151" s="8">
        <f t="shared" si="80"/>
        <v>-3887055.7599521098</v>
      </c>
      <c r="AF151" s="8">
        <f t="shared" si="80"/>
        <v>-3988302.9066187763</v>
      </c>
      <c r="AG151" s="8">
        <f t="shared" si="80"/>
        <v>-4089550.0532854428</v>
      </c>
      <c r="AH151" s="8">
        <f t="shared" si="80"/>
        <v>-4200297.1999521097</v>
      </c>
      <c r="AI151" s="8">
        <f t="shared" si="80"/>
        <v>-4311044.3466187762</v>
      </c>
      <c r="AJ151" s="8">
        <f t="shared" ref="AJ151:BO151" si="81">AI156</f>
        <v>-4443639.8932854431</v>
      </c>
      <c r="AK151" s="8">
        <f t="shared" si="81"/>
        <v>-4554387.0399521096</v>
      </c>
      <c r="AL151" s="8">
        <f t="shared" si="81"/>
        <v>-4665134.1866187761</v>
      </c>
      <c r="AM151" s="8">
        <f t="shared" si="81"/>
        <v>-4775881.3332854426</v>
      </c>
      <c r="AN151" s="8">
        <f t="shared" si="81"/>
        <v>-4887017.5895521091</v>
      </c>
      <c r="AO151" s="8">
        <f t="shared" si="81"/>
        <v>-4998153.8458187757</v>
      </c>
      <c r="AP151" s="8">
        <f t="shared" si="81"/>
        <v>-5109290.1020854423</v>
      </c>
      <c r="AQ151" s="8">
        <f t="shared" si="81"/>
        <v>-5244834.1423521088</v>
      </c>
      <c r="AR151" s="8">
        <f t="shared" si="81"/>
        <v>-5355970.3986187754</v>
      </c>
      <c r="AS151" s="8">
        <f t="shared" si="81"/>
        <v>-5467106.654885442</v>
      </c>
      <c r="AT151" s="8">
        <f t="shared" si="81"/>
        <v>-5578242.9111521086</v>
      </c>
      <c r="AU151" s="8">
        <f t="shared" si="81"/>
        <v>-5689379.1674187751</v>
      </c>
      <c r="AV151" s="8">
        <f t="shared" si="81"/>
        <v>-5822800.7916854415</v>
      </c>
      <c r="AW151" s="8">
        <f t="shared" si="81"/>
        <v>-5933937.0479521081</v>
      </c>
      <c r="AX151" s="8">
        <f t="shared" si="81"/>
        <v>-6045073.3042187747</v>
      </c>
      <c r="AY151" s="8">
        <f t="shared" si="81"/>
        <v>-6156209.5604854412</v>
      </c>
      <c r="AZ151" s="8">
        <f t="shared" si="81"/>
        <v>-6267742.7085441081</v>
      </c>
      <c r="BA151" s="8">
        <f t="shared" si="81"/>
        <v>-6379275.8566027749</v>
      </c>
      <c r="BB151" s="8">
        <f t="shared" si="81"/>
        <v>-6490809.0046614418</v>
      </c>
      <c r="BC151" s="8">
        <f t="shared" si="81"/>
        <v>-6627238.0924001085</v>
      </c>
      <c r="BD151" s="8">
        <f t="shared" si="81"/>
        <v>-6738771.2404587753</v>
      </c>
      <c r="BE151" s="8">
        <f t="shared" si="81"/>
        <v>-6850304.3885174422</v>
      </c>
      <c r="BF151" s="8">
        <f t="shared" si="81"/>
        <v>-6961837.536576109</v>
      </c>
      <c r="BG151" s="8">
        <f t="shared" si="81"/>
        <v>-7073370.6846347759</v>
      </c>
      <c r="BH151" s="8">
        <f t="shared" si="81"/>
        <v>-7207634.9080534428</v>
      </c>
      <c r="BI151" s="8">
        <f t="shared" si="81"/>
        <v>-7319168.0561121097</v>
      </c>
      <c r="BJ151" s="8">
        <f t="shared" si="81"/>
        <v>-7430701.2041707765</v>
      </c>
      <c r="BK151" s="8">
        <f t="shared" si="81"/>
        <v>-7542234.3522294434</v>
      </c>
      <c r="BL151" s="8">
        <f t="shared" si="81"/>
        <v>-7654172.3299159501</v>
      </c>
      <c r="BM151" s="8">
        <f t="shared" si="81"/>
        <v>-7766110.3076024568</v>
      </c>
      <c r="BN151" s="8">
        <f t="shared" si="81"/>
        <v>-7878048.2852889635</v>
      </c>
      <c r="BO151" s="8">
        <f t="shared" si="81"/>
        <v>-8015380.1214490701</v>
      </c>
      <c r="BP151" s="8">
        <f t="shared" ref="BP151:CH151" si="82">BO156</f>
        <v>-8127318.0991355767</v>
      </c>
      <c r="BQ151" s="8">
        <f t="shared" si="82"/>
        <v>-8187742.556822083</v>
      </c>
      <c r="BR151" s="8">
        <f t="shared" si="82"/>
        <v>-8299680.5345085897</v>
      </c>
      <c r="BS151" s="8">
        <f t="shared" si="82"/>
        <v>-8411618.5121950954</v>
      </c>
      <c r="BT151" s="8">
        <f t="shared" si="82"/>
        <v>-8478980.1867488027</v>
      </c>
      <c r="BU151" s="8">
        <f t="shared" si="82"/>
        <v>-8590918.1644353084</v>
      </c>
      <c r="BV151" s="8">
        <f t="shared" si="82"/>
        <v>-8702856.1421218142</v>
      </c>
      <c r="BW151" s="8">
        <f t="shared" si="82"/>
        <v>-8747032.11980832</v>
      </c>
      <c r="BX151" s="8">
        <f t="shared" si="82"/>
        <v>-8859383.0237152241</v>
      </c>
      <c r="BY151" s="8">
        <f t="shared" si="82"/>
        <v>-8971733.9276221283</v>
      </c>
      <c r="BZ151" s="8">
        <f t="shared" si="82"/>
        <v>-9016322.8315290324</v>
      </c>
      <c r="CA151" s="8">
        <f t="shared" si="82"/>
        <v>-9154575.4710790087</v>
      </c>
      <c r="CB151" s="8">
        <f t="shared" si="82"/>
        <v>-9266926.3749859128</v>
      </c>
      <c r="CC151" s="8">
        <f t="shared" si="82"/>
        <v>-9302778.278892817</v>
      </c>
      <c r="CD151" s="8">
        <f t="shared" si="82"/>
        <v>-9415129.1827997211</v>
      </c>
      <c r="CE151" s="8">
        <f t="shared" si="82"/>
        <v>-9527480.0867066253</v>
      </c>
      <c r="CF151" s="8">
        <f t="shared" si="82"/>
        <v>-9586981.4014180731</v>
      </c>
      <c r="CG151" s="8">
        <f t="shared" si="82"/>
        <v>-9699332.3053249773</v>
      </c>
      <c r="CH151" s="8">
        <f t="shared" si="82"/>
        <v>-9811683.2092318814</v>
      </c>
      <c r="CI151" s="23"/>
      <c r="CJ151" s="53"/>
      <c r="CK151" s="53"/>
    </row>
    <row r="152" spans="1:89" ht="15" customHeight="1" x14ac:dyDescent="0.25">
      <c r="A152" s="7" t="s">
        <v>169</v>
      </c>
      <c r="B152" s="22"/>
      <c r="C152" s="8">
        <f t="shared" ref="C152:AH152" si="83">C87</f>
        <v>-66377.08666666667</v>
      </c>
      <c r="D152" s="8">
        <f t="shared" si="83"/>
        <v>-66377.08666666667</v>
      </c>
      <c r="E152" s="8">
        <f t="shared" si="83"/>
        <v>-66377.08666666667</v>
      </c>
      <c r="F152" s="8">
        <f t="shared" si="83"/>
        <v>-89377.086666666684</v>
      </c>
      <c r="G152" s="8">
        <f t="shared" si="83"/>
        <v>44463.403333333379</v>
      </c>
      <c r="H152" s="8">
        <f t="shared" si="83"/>
        <v>2766.7633333333652</v>
      </c>
      <c r="I152" s="8">
        <f t="shared" si="83"/>
        <v>-43526.206666666665</v>
      </c>
      <c r="J152" s="8">
        <f t="shared" si="83"/>
        <v>-52901.206666666665</v>
      </c>
      <c r="K152" s="8">
        <f t="shared" si="83"/>
        <v>-73901.206666666665</v>
      </c>
      <c r="L152" s="8">
        <f t="shared" si="83"/>
        <v>-52901.206666666665</v>
      </c>
      <c r="M152" s="8">
        <f t="shared" si="83"/>
        <v>-52901.206666666665</v>
      </c>
      <c r="N152" s="8">
        <f t="shared" si="83"/>
        <v>-52901.206666666665</v>
      </c>
      <c r="O152" s="8">
        <f t="shared" si="83"/>
        <v>-53275.206666666665</v>
      </c>
      <c r="P152" s="8">
        <f t="shared" si="83"/>
        <v>-53275.206666666665</v>
      </c>
      <c r="Q152" s="8">
        <f t="shared" si="83"/>
        <v>-53275.206666666665</v>
      </c>
      <c r="R152" s="8">
        <f t="shared" si="83"/>
        <v>-100641.45666666668</v>
      </c>
      <c r="S152" s="8">
        <f t="shared" si="83"/>
        <v>-77181.456666666665</v>
      </c>
      <c r="T152" s="8">
        <f t="shared" si="83"/>
        <v>-77181.456666666665</v>
      </c>
      <c r="U152" s="8">
        <f t="shared" si="83"/>
        <v>-77181.456666666665</v>
      </c>
      <c r="V152" s="8">
        <f t="shared" si="83"/>
        <v>-77181.456666666665</v>
      </c>
      <c r="W152" s="8">
        <f t="shared" si="83"/>
        <v>-41226.456666666709</v>
      </c>
      <c r="X152" s="8">
        <f t="shared" si="83"/>
        <v>-77181.456666666665</v>
      </c>
      <c r="Y152" s="8">
        <f t="shared" si="83"/>
        <v>-77181.456666666665</v>
      </c>
      <c r="Z152" s="8">
        <f t="shared" si="83"/>
        <v>-32438.036666666681</v>
      </c>
      <c r="AA152" s="8">
        <f t="shared" si="83"/>
        <v>-101247.14666666667</v>
      </c>
      <c r="AB152" s="8">
        <f t="shared" si="83"/>
        <v>-101247.14666666667</v>
      </c>
      <c r="AC152" s="8">
        <f t="shared" si="83"/>
        <v>-43872.146666666667</v>
      </c>
      <c r="AD152" s="8">
        <f t="shared" si="83"/>
        <v>-125176.34666666668</v>
      </c>
      <c r="AE152" s="8">
        <f t="shared" si="83"/>
        <v>-101247.14666666667</v>
      </c>
      <c r="AF152" s="8">
        <f t="shared" si="83"/>
        <v>-101247.14666666667</v>
      </c>
      <c r="AG152" s="8">
        <f t="shared" si="83"/>
        <v>-110747.14666666667</v>
      </c>
      <c r="AH152" s="8">
        <f t="shared" si="83"/>
        <v>-110747.14666666667</v>
      </c>
      <c r="AI152" s="8">
        <f t="shared" ref="AI152:BN152" si="84">AI87</f>
        <v>-132595.54666666669</v>
      </c>
      <c r="AJ152" s="8">
        <f t="shared" si="84"/>
        <v>-110747.14666666667</v>
      </c>
      <c r="AK152" s="8">
        <f t="shared" si="84"/>
        <v>-110747.14666666667</v>
      </c>
      <c r="AL152" s="8">
        <f t="shared" si="84"/>
        <v>-110747.14666666667</v>
      </c>
      <c r="AM152" s="8">
        <f t="shared" si="84"/>
        <v>-111136.25626666668</v>
      </c>
      <c r="AN152" s="8">
        <f t="shared" si="84"/>
        <v>-111136.25626666668</v>
      </c>
      <c r="AO152" s="8">
        <f t="shared" si="84"/>
        <v>-111136.25626666668</v>
      </c>
      <c r="AP152" s="8">
        <f t="shared" si="84"/>
        <v>-135544.04026666668</v>
      </c>
      <c r="AQ152" s="8">
        <f t="shared" si="84"/>
        <v>-111136.25626666668</v>
      </c>
      <c r="AR152" s="8">
        <f t="shared" si="84"/>
        <v>-111136.25626666669</v>
      </c>
      <c r="AS152" s="8">
        <f t="shared" si="84"/>
        <v>-111136.25626666668</v>
      </c>
      <c r="AT152" s="8">
        <f t="shared" si="84"/>
        <v>-111136.25626666668</v>
      </c>
      <c r="AU152" s="8">
        <f t="shared" si="84"/>
        <v>-133421.62426666665</v>
      </c>
      <c r="AV152" s="8">
        <f t="shared" si="84"/>
        <v>-111136.25626666668</v>
      </c>
      <c r="AW152" s="8">
        <f t="shared" si="84"/>
        <v>-111136.25626666668</v>
      </c>
      <c r="AX152" s="8">
        <f t="shared" si="84"/>
        <v>-111136.25626666669</v>
      </c>
      <c r="AY152" s="8">
        <f t="shared" si="84"/>
        <v>-111533.14805866667</v>
      </c>
      <c r="AZ152" s="8">
        <f t="shared" si="84"/>
        <v>-111533.14805866667</v>
      </c>
      <c r="BA152" s="8">
        <f t="shared" si="84"/>
        <v>-111533.14805866661</v>
      </c>
      <c r="BB152" s="8">
        <f t="shared" si="84"/>
        <v>-136429.08773866668</v>
      </c>
      <c r="BC152" s="8">
        <f t="shared" si="84"/>
        <v>-111533.14805866667</v>
      </c>
      <c r="BD152" s="8">
        <f t="shared" si="84"/>
        <v>-111533.14805866667</v>
      </c>
      <c r="BE152" s="8">
        <f t="shared" si="84"/>
        <v>-111533.14805866667</v>
      </c>
      <c r="BF152" s="8">
        <f t="shared" si="84"/>
        <v>-111533.14805866667</v>
      </c>
      <c r="BG152" s="8">
        <f t="shared" si="84"/>
        <v>-134264.22341866669</v>
      </c>
      <c r="BH152" s="8">
        <f t="shared" si="84"/>
        <v>-111533.14805866667</v>
      </c>
      <c r="BI152" s="8">
        <f t="shared" si="84"/>
        <v>-111533.14805866667</v>
      </c>
      <c r="BJ152" s="8">
        <f t="shared" si="84"/>
        <v>-111533.14805866667</v>
      </c>
      <c r="BK152" s="8">
        <f t="shared" si="84"/>
        <v>-111937.97768650667</v>
      </c>
      <c r="BL152" s="8">
        <f t="shared" si="84"/>
        <v>-111937.97768650667</v>
      </c>
      <c r="BM152" s="8">
        <f t="shared" si="84"/>
        <v>-111937.9776865067</v>
      </c>
      <c r="BN152" s="8">
        <f t="shared" si="84"/>
        <v>-137331.83616010667</v>
      </c>
      <c r="BO152" s="8">
        <f t="shared" ref="BO152:CH152" si="85">BO87</f>
        <v>-111937.97768650667</v>
      </c>
      <c r="BP152" s="8">
        <f t="shared" si="85"/>
        <v>-60424.457686506648</v>
      </c>
      <c r="BQ152" s="8">
        <f t="shared" si="85"/>
        <v>-111937.97768650667</v>
      </c>
      <c r="BR152" s="8">
        <f t="shared" si="85"/>
        <v>-111937.97768650667</v>
      </c>
      <c r="BS152" s="8">
        <f t="shared" si="85"/>
        <v>-67361.67455370666</v>
      </c>
      <c r="BT152" s="8">
        <f t="shared" si="85"/>
        <v>-111937.97768650667</v>
      </c>
      <c r="BU152" s="8">
        <f t="shared" si="85"/>
        <v>-111937.97768650667</v>
      </c>
      <c r="BV152" s="8">
        <f t="shared" si="85"/>
        <v>-44175.977686506667</v>
      </c>
      <c r="BW152" s="8">
        <f t="shared" si="85"/>
        <v>-112350.90390690346</v>
      </c>
      <c r="BX152" s="8">
        <f t="shared" si="85"/>
        <v>-112350.90390690346</v>
      </c>
      <c r="BY152" s="8">
        <f t="shared" si="85"/>
        <v>-44588.903906903462</v>
      </c>
      <c r="BZ152" s="8">
        <f t="shared" si="85"/>
        <v>-138252.63954997546</v>
      </c>
      <c r="CA152" s="8">
        <f t="shared" si="85"/>
        <v>-112350.90390690346</v>
      </c>
      <c r="CB152" s="8">
        <f t="shared" si="85"/>
        <v>-35851.903906903462</v>
      </c>
      <c r="CC152" s="8">
        <f t="shared" si="85"/>
        <v>-112350.90390690346</v>
      </c>
      <c r="CD152" s="8">
        <f t="shared" si="85"/>
        <v>-112350.90390690346</v>
      </c>
      <c r="CE152" s="8">
        <f t="shared" si="85"/>
        <v>-59501.314711447456</v>
      </c>
      <c r="CF152" s="8">
        <f t="shared" si="85"/>
        <v>-112350.90390690346</v>
      </c>
      <c r="CG152" s="8">
        <f t="shared" si="85"/>
        <v>-112350.90390690346</v>
      </c>
      <c r="CH152" s="8">
        <f t="shared" si="85"/>
        <v>-29243.877300424268</v>
      </c>
      <c r="CI152" s="23"/>
      <c r="CJ152" s="53"/>
      <c r="CK152" s="53"/>
    </row>
    <row r="153" spans="1:89" ht="15" customHeight="1" x14ac:dyDescent="0.25">
      <c r="A153" s="7" t="s">
        <v>170</v>
      </c>
      <c r="B153" s="22"/>
      <c r="C153" s="8">
        <f t="shared" ref="C153:AH153" si="86">C101</f>
        <v>0</v>
      </c>
      <c r="D153" s="8">
        <f t="shared" si="86"/>
        <v>0</v>
      </c>
      <c r="E153" s="8">
        <f t="shared" si="86"/>
        <v>0</v>
      </c>
      <c r="F153" s="8">
        <f t="shared" si="86"/>
        <v>0</v>
      </c>
      <c r="G153" s="8">
        <f t="shared" si="86"/>
        <v>0</v>
      </c>
      <c r="H153" s="8">
        <f t="shared" si="86"/>
        <v>0</v>
      </c>
      <c r="I153" s="8">
        <f t="shared" si="86"/>
        <v>-130000</v>
      </c>
      <c r="J153" s="8">
        <f t="shared" si="86"/>
        <v>-130000</v>
      </c>
      <c r="K153" s="8">
        <f t="shared" si="86"/>
        <v>-130000</v>
      </c>
      <c r="L153" s="8">
        <f t="shared" si="86"/>
        <v>-130000</v>
      </c>
      <c r="M153" s="8">
        <f t="shared" si="86"/>
        <v>-130000</v>
      </c>
      <c r="N153" s="8">
        <f t="shared" si="86"/>
        <v>-130000</v>
      </c>
      <c r="O153" s="8">
        <f t="shared" si="86"/>
        <v>-130000</v>
      </c>
      <c r="P153" s="8">
        <f t="shared" si="86"/>
        <v>-130000</v>
      </c>
      <c r="Q153" s="8">
        <f t="shared" si="86"/>
        <v>-130000</v>
      </c>
      <c r="R153" s="8">
        <f t="shared" si="86"/>
        <v>-130000</v>
      </c>
      <c r="S153" s="8">
        <f t="shared" si="86"/>
        <v>-130000</v>
      </c>
      <c r="T153" s="8">
        <f t="shared" si="86"/>
        <v>-130000</v>
      </c>
      <c r="U153" s="8">
        <f t="shared" si="86"/>
        <v>-130000</v>
      </c>
      <c r="V153" s="8">
        <f t="shared" si="86"/>
        <v>-130000</v>
      </c>
      <c r="W153" s="8">
        <f t="shared" si="86"/>
        <v>-65969.24328544506</v>
      </c>
      <c r="X153" s="8">
        <f t="shared" si="86"/>
        <v>0</v>
      </c>
      <c r="Y153" s="8">
        <f t="shared" si="86"/>
        <v>0</v>
      </c>
      <c r="Z153" s="8">
        <f t="shared" si="86"/>
        <v>0</v>
      </c>
      <c r="AA153" s="8">
        <f t="shared" si="86"/>
        <v>0</v>
      </c>
      <c r="AB153" s="8">
        <f t="shared" si="86"/>
        <v>0</v>
      </c>
      <c r="AC153" s="8">
        <f t="shared" si="86"/>
        <v>0</v>
      </c>
      <c r="AD153" s="8">
        <f t="shared" si="86"/>
        <v>0</v>
      </c>
      <c r="AE153" s="8">
        <f t="shared" si="86"/>
        <v>0</v>
      </c>
      <c r="AF153" s="8">
        <f t="shared" si="86"/>
        <v>0</v>
      </c>
      <c r="AG153" s="8">
        <f t="shared" si="86"/>
        <v>0</v>
      </c>
      <c r="AH153" s="8">
        <f t="shared" si="86"/>
        <v>0</v>
      </c>
      <c r="AI153" s="8">
        <f t="shared" ref="AI153:BN153" si="87">AI101</f>
        <v>0</v>
      </c>
      <c r="AJ153" s="8">
        <f t="shared" si="87"/>
        <v>0</v>
      </c>
      <c r="AK153" s="8">
        <f t="shared" si="87"/>
        <v>0</v>
      </c>
      <c r="AL153" s="8">
        <f t="shared" si="87"/>
        <v>0</v>
      </c>
      <c r="AM153" s="8">
        <f t="shared" si="87"/>
        <v>0</v>
      </c>
      <c r="AN153" s="8">
        <f t="shared" si="87"/>
        <v>0</v>
      </c>
      <c r="AO153" s="8">
        <f t="shared" si="87"/>
        <v>0</v>
      </c>
      <c r="AP153" s="8">
        <f t="shared" si="87"/>
        <v>0</v>
      </c>
      <c r="AQ153" s="8">
        <f t="shared" si="87"/>
        <v>0</v>
      </c>
      <c r="AR153" s="8">
        <f t="shared" si="87"/>
        <v>0</v>
      </c>
      <c r="AS153" s="8">
        <f t="shared" si="87"/>
        <v>0</v>
      </c>
      <c r="AT153" s="8">
        <f t="shared" si="87"/>
        <v>0</v>
      </c>
      <c r="AU153" s="8">
        <f t="shared" si="87"/>
        <v>0</v>
      </c>
      <c r="AV153" s="8">
        <f t="shared" si="87"/>
        <v>0</v>
      </c>
      <c r="AW153" s="8">
        <f t="shared" si="87"/>
        <v>0</v>
      </c>
      <c r="AX153" s="8">
        <f t="shared" si="87"/>
        <v>0</v>
      </c>
      <c r="AY153" s="8">
        <f t="shared" si="87"/>
        <v>0</v>
      </c>
      <c r="AZ153" s="8">
        <f t="shared" si="87"/>
        <v>0</v>
      </c>
      <c r="BA153" s="8">
        <f t="shared" si="87"/>
        <v>0</v>
      </c>
      <c r="BB153" s="8">
        <f t="shared" si="87"/>
        <v>0</v>
      </c>
      <c r="BC153" s="8">
        <f t="shared" si="87"/>
        <v>0</v>
      </c>
      <c r="BD153" s="8">
        <f t="shared" si="87"/>
        <v>0</v>
      </c>
      <c r="BE153" s="8">
        <f t="shared" si="87"/>
        <v>0</v>
      </c>
      <c r="BF153" s="8">
        <f t="shared" si="87"/>
        <v>0</v>
      </c>
      <c r="BG153" s="8">
        <f t="shared" si="87"/>
        <v>0</v>
      </c>
      <c r="BH153" s="8">
        <f t="shared" si="87"/>
        <v>0</v>
      </c>
      <c r="BI153" s="8">
        <f t="shared" si="87"/>
        <v>0</v>
      </c>
      <c r="BJ153" s="8">
        <f t="shared" si="87"/>
        <v>0</v>
      </c>
      <c r="BK153" s="8">
        <f t="shared" si="87"/>
        <v>0</v>
      </c>
      <c r="BL153" s="8">
        <f t="shared" si="87"/>
        <v>0</v>
      </c>
      <c r="BM153" s="8">
        <f t="shared" si="87"/>
        <v>0</v>
      </c>
      <c r="BN153" s="8">
        <f t="shared" si="87"/>
        <v>0</v>
      </c>
      <c r="BO153" s="8">
        <f t="shared" ref="BO153:CH153" si="88">BO101</f>
        <v>0</v>
      </c>
      <c r="BP153" s="8">
        <f t="shared" si="88"/>
        <v>0</v>
      </c>
      <c r="BQ153" s="8">
        <f t="shared" si="88"/>
        <v>0</v>
      </c>
      <c r="BR153" s="8">
        <f t="shared" si="88"/>
        <v>0</v>
      </c>
      <c r="BS153" s="8">
        <f t="shared" si="88"/>
        <v>0</v>
      </c>
      <c r="BT153" s="8">
        <f t="shared" si="88"/>
        <v>0</v>
      </c>
      <c r="BU153" s="8">
        <f t="shared" si="88"/>
        <v>0</v>
      </c>
      <c r="BV153" s="8">
        <f t="shared" si="88"/>
        <v>0</v>
      </c>
      <c r="BW153" s="8">
        <f t="shared" si="88"/>
        <v>0</v>
      </c>
      <c r="BX153" s="8">
        <f t="shared" si="88"/>
        <v>0</v>
      </c>
      <c r="BY153" s="8">
        <f t="shared" si="88"/>
        <v>0</v>
      </c>
      <c r="BZ153" s="8">
        <f t="shared" si="88"/>
        <v>0</v>
      </c>
      <c r="CA153" s="8">
        <f t="shared" si="88"/>
        <v>0</v>
      </c>
      <c r="CB153" s="8">
        <f t="shared" si="88"/>
        <v>0</v>
      </c>
      <c r="CC153" s="8">
        <f t="shared" si="88"/>
        <v>0</v>
      </c>
      <c r="CD153" s="8">
        <f t="shared" si="88"/>
        <v>0</v>
      </c>
      <c r="CE153" s="8">
        <f t="shared" si="88"/>
        <v>0</v>
      </c>
      <c r="CF153" s="8">
        <f t="shared" si="88"/>
        <v>0</v>
      </c>
      <c r="CG153" s="8">
        <f t="shared" si="88"/>
        <v>0</v>
      </c>
      <c r="CH153" s="8">
        <f t="shared" si="88"/>
        <v>0</v>
      </c>
      <c r="CI153" s="23"/>
      <c r="CJ153" s="53"/>
      <c r="CK153" s="53"/>
    </row>
    <row r="154" spans="1:89" ht="15" customHeight="1" x14ac:dyDescent="0.25">
      <c r="A154" s="7" t="s">
        <v>171</v>
      </c>
      <c r="B154" s="22"/>
      <c r="C154" s="8">
        <f t="shared" ref="C154:AH154" si="89">C107</f>
        <v>0</v>
      </c>
      <c r="D154" s="8">
        <f t="shared" si="89"/>
        <v>0</v>
      </c>
      <c r="E154" s="8">
        <f t="shared" si="89"/>
        <v>0</v>
      </c>
      <c r="F154" s="8">
        <f t="shared" si="89"/>
        <v>0</v>
      </c>
      <c r="G154" s="8">
        <f t="shared" si="89"/>
        <v>0</v>
      </c>
      <c r="H154" s="8">
        <f t="shared" si="89"/>
        <v>0</v>
      </c>
      <c r="I154" s="8">
        <f t="shared" si="89"/>
        <v>0</v>
      </c>
      <c r="J154" s="8">
        <f t="shared" si="89"/>
        <v>0</v>
      </c>
      <c r="K154" s="8">
        <f t="shared" si="89"/>
        <v>0</v>
      </c>
      <c r="L154" s="8">
        <f t="shared" si="89"/>
        <v>0</v>
      </c>
      <c r="M154" s="8">
        <f t="shared" si="89"/>
        <v>-250000</v>
      </c>
      <c r="N154" s="8">
        <f t="shared" si="89"/>
        <v>0</v>
      </c>
      <c r="O154" s="8">
        <f t="shared" si="89"/>
        <v>0</v>
      </c>
      <c r="P154" s="8">
        <f t="shared" si="89"/>
        <v>0</v>
      </c>
      <c r="Q154" s="8">
        <f t="shared" si="89"/>
        <v>0</v>
      </c>
      <c r="R154" s="8">
        <f t="shared" si="89"/>
        <v>0</v>
      </c>
      <c r="S154" s="8">
        <f t="shared" si="89"/>
        <v>0</v>
      </c>
      <c r="T154" s="8">
        <f t="shared" si="89"/>
        <v>0</v>
      </c>
      <c r="U154" s="8">
        <f t="shared" si="89"/>
        <v>0</v>
      </c>
      <c r="V154" s="8">
        <f t="shared" si="89"/>
        <v>0</v>
      </c>
      <c r="W154" s="8">
        <f t="shared" si="89"/>
        <v>0</v>
      </c>
      <c r="X154" s="8">
        <f t="shared" si="89"/>
        <v>0</v>
      </c>
      <c r="Y154" s="8">
        <f t="shared" si="89"/>
        <v>-250000</v>
      </c>
      <c r="Z154" s="8">
        <f t="shared" si="89"/>
        <v>0</v>
      </c>
      <c r="AA154" s="8">
        <f t="shared" si="89"/>
        <v>0</v>
      </c>
      <c r="AB154" s="8">
        <f t="shared" si="89"/>
        <v>0</v>
      </c>
      <c r="AC154" s="8">
        <f t="shared" si="89"/>
        <v>0</v>
      </c>
      <c r="AD154" s="8">
        <f t="shared" si="89"/>
        <v>0</v>
      </c>
      <c r="AE154" s="8">
        <f t="shared" si="89"/>
        <v>0</v>
      </c>
      <c r="AF154" s="8">
        <f t="shared" si="89"/>
        <v>0</v>
      </c>
      <c r="AG154" s="8">
        <f t="shared" si="89"/>
        <v>0</v>
      </c>
      <c r="AH154" s="8">
        <f t="shared" si="89"/>
        <v>0</v>
      </c>
      <c r="AI154" s="8">
        <f t="shared" ref="AI154:BN154" si="90">AI107</f>
        <v>0</v>
      </c>
      <c r="AJ154" s="8">
        <f t="shared" si="90"/>
        <v>0</v>
      </c>
      <c r="AK154" s="8">
        <f t="shared" si="90"/>
        <v>0</v>
      </c>
      <c r="AL154" s="8">
        <f t="shared" si="90"/>
        <v>0</v>
      </c>
      <c r="AM154" s="8">
        <f t="shared" si="90"/>
        <v>0</v>
      </c>
      <c r="AN154" s="8">
        <f t="shared" si="90"/>
        <v>0</v>
      </c>
      <c r="AO154" s="8">
        <f t="shared" si="90"/>
        <v>0</v>
      </c>
      <c r="AP154" s="8">
        <f t="shared" si="90"/>
        <v>0</v>
      </c>
      <c r="AQ154" s="8">
        <f t="shared" si="90"/>
        <v>0</v>
      </c>
      <c r="AR154" s="8">
        <f t="shared" si="90"/>
        <v>0</v>
      </c>
      <c r="AS154" s="8">
        <f t="shared" si="90"/>
        <v>0</v>
      </c>
      <c r="AT154" s="8">
        <f t="shared" si="90"/>
        <v>0</v>
      </c>
      <c r="AU154" s="8">
        <f t="shared" si="90"/>
        <v>0</v>
      </c>
      <c r="AV154" s="8">
        <f t="shared" si="90"/>
        <v>0</v>
      </c>
      <c r="AW154" s="8">
        <f t="shared" si="90"/>
        <v>0</v>
      </c>
      <c r="AX154" s="8">
        <f t="shared" si="90"/>
        <v>0</v>
      </c>
      <c r="AY154" s="8">
        <f t="shared" si="90"/>
        <v>0</v>
      </c>
      <c r="AZ154" s="8">
        <f t="shared" si="90"/>
        <v>0</v>
      </c>
      <c r="BA154" s="8">
        <f t="shared" si="90"/>
        <v>0</v>
      </c>
      <c r="BB154" s="8">
        <f t="shared" si="90"/>
        <v>0</v>
      </c>
      <c r="BC154" s="8">
        <f t="shared" si="90"/>
        <v>0</v>
      </c>
      <c r="BD154" s="8">
        <f t="shared" si="90"/>
        <v>0</v>
      </c>
      <c r="BE154" s="8">
        <f t="shared" si="90"/>
        <v>0</v>
      </c>
      <c r="BF154" s="8">
        <f t="shared" si="90"/>
        <v>0</v>
      </c>
      <c r="BG154" s="8">
        <f t="shared" si="90"/>
        <v>0</v>
      </c>
      <c r="BH154" s="8">
        <f t="shared" si="90"/>
        <v>0</v>
      </c>
      <c r="BI154" s="8">
        <f t="shared" si="90"/>
        <v>0</v>
      </c>
      <c r="BJ154" s="8">
        <f t="shared" si="90"/>
        <v>0</v>
      </c>
      <c r="BK154" s="8">
        <f t="shared" si="90"/>
        <v>0</v>
      </c>
      <c r="BL154" s="8">
        <f t="shared" si="90"/>
        <v>0</v>
      </c>
      <c r="BM154" s="8">
        <f t="shared" si="90"/>
        <v>0</v>
      </c>
      <c r="BN154" s="8">
        <f t="shared" si="90"/>
        <v>0</v>
      </c>
      <c r="BO154" s="8">
        <f t="shared" ref="BO154:CH154" si="91">BO107</f>
        <v>0</v>
      </c>
      <c r="BP154" s="8">
        <f t="shared" si="91"/>
        <v>0</v>
      </c>
      <c r="BQ154" s="8">
        <f t="shared" si="91"/>
        <v>0</v>
      </c>
      <c r="BR154" s="8">
        <f t="shared" si="91"/>
        <v>0</v>
      </c>
      <c r="BS154" s="8">
        <f t="shared" si="91"/>
        <v>0</v>
      </c>
      <c r="BT154" s="8">
        <f t="shared" si="91"/>
        <v>0</v>
      </c>
      <c r="BU154" s="8">
        <f t="shared" si="91"/>
        <v>0</v>
      </c>
      <c r="BV154" s="8">
        <f t="shared" si="91"/>
        <v>0</v>
      </c>
      <c r="BW154" s="8">
        <f t="shared" si="91"/>
        <v>0</v>
      </c>
      <c r="BX154" s="8">
        <f t="shared" si="91"/>
        <v>0</v>
      </c>
      <c r="BY154" s="8">
        <f t="shared" si="91"/>
        <v>0</v>
      </c>
      <c r="BZ154" s="8">
        <f t="shared" si="91"/>
        <v>0</v>
      </c>
      <c r="CA154" s="8">
        <f t="shared" si="91"/>
        <v>0</v>
      </c>
      <c r="CB154" s="8">
        <f t="shared" si="91"/>
        <v>0</v>
      </c>
      <c r="CC154" s="8">
        <f t="shared" si="91"/>
        <v>0</v>
      </c>
      <c r="CD154" s="8">
        <f t="shared" si="91"/>
        <v>0</v>
      </c>
      <c r="CE154" s="8">
        <f t="shared" si="91"/>
        <v>0</v>
      </c>
      <c r="CF154" s="8">
        <f t="shared" si="91"/>
        <v>0</v>
      </c>
      <c r="CG154" s="8">
        <f t="shared" si="91"/>
        <v>0</v>
      </c>
      <c r="CH154" s="8">
        <f t="shared" si="91"/>
        <v>0</v>
      </c>
      <c r="CI154" s="23"/>
      <c r="CJ154" s="53"/>
      <c r="CK154" s="53"/>
    </row>
    <row r="155" spans="1:89" ht="15" customHeight="1" x14ac:dyDescent="0.25">
      <c r="A155" s="7" t="s">
        <v>172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3"/>
      <c r="CK155" s="53"/>
    </row>
    <row r="156" spans="1:89" ht="15" customHeight="1" x14ac:dyDescent="0.25">
      <c r="A156" s="56" t="s">
        <v>42</v>
      </c>
      <c r="B156" s="57"/>
      <c r="C156" s="58">
        <f t="shared" ref="C156:AH156" si="92">C151+C152+C153+C154+C155</f>
        <v>171609.91333333333</v>
      </c>
      <c r="D156" s="58">
        <f t="shared" si="92"/>
        <v>105232.82666666666</v>
      </c>
      <c r="E156" s="58">
        <f t="shared" si="92"/>
        <v>38855.739999999991</v>
      </c>
      <c r="F156" s="58">
        <f t="shared" si="92"/>
        <v>-50521.346666666694</v>
      </c>
      <c r="G156" s="58">
        <f t="shared" si="92"/>
        <v>-6057.9433333333145</v>
      </c>
      <c r="H156" s="58">
        <f t="shared" si="92"/>
        <v>-3291.1799999999494</v>
      </c>
      <c r="I156" s="58">
        <f t="shared" si="92"/>
        <v>-176817.3866666666</v>
      </c>
      <c r="J156" s="58">
        <f t="shared" si="92"/>
        <v>-359718.59333333327</v>
      </c>
      <c r="K156" s="58">
        <f t="shared" si="92"/>
        <v>-563619.79999999993</v>
      </c>
      <c r="L156" s="58">
        <f t="shared" si="92"/>
        <v>-746521.0066666666</v>
      </c>
      <c r="M156" s="58">
        <f t="shared" si="92"/>
        <v>-1179422.2133333334</v>
      </c>
      <c r="N156" s="58">
        <f t="shared" si="92"/>
        <v>-1362323.42</v>
      </c>
      <c r="O156" s="58">
        <f t="shared" si="92"/>
        <v>-1545598.6266666665</v>
      </c>
      <c r="P156" s="58">
        <f t="shared" si="92"/>
        <v>-1728873.833333333</v>
      </c>
      <c r="Q156" s="58">
        <f t="shared" si="92"/>
        <v>-1912149.0399999996</v>
      </c>
      <c r="R156" s="58">
        <f t="shared" si="92"/>
        <v>-2142790.4966666661</v>
      </c>
      <c r="S156" s="58">
        <f t="shared" si="92"/>
        <v>-2349971.9533333327</v>
      </c>
      <c r="T156" s="58">
        <f t="shared" si="92"/>
        <v>-2557153.4099999992</v>
      </c>
      <c r="U156" s="58">
        <f t="shared" si="92"/>
        <v>-2764334.8666666658</v>
      </c>
      <c r="V156" s="58">
        <f t="shared" si="92"/>
        <v>-2971516.3233333323</v>
      </c>
      <c r="W156" s="58">
        <f t="shared" si="92"/>
        <v>-3078712.0232854439</v>
      </c>
      <c r="X156" s="58">
        <f t="shared" si="92"/>
        <v>-3155893.4799521104</v>
      </c>
      <c r="Y156" s="58">
        <f t="shared" si="92"/>
        <v>-3483074.936618777</v>
      </c>
      <c r="Z156" s="58">
        <f t="shared" si="92"/>
        <v>-3515512.9732854436</v>
      </c>
      <c r="AA156" s="58">
        <f t="shared" si="92"/>
        <v>-3616760.1199521101</v>
      </c>
      <c r="AB156" s="58">
        <f t="shared" si="92"/>
        <v>-3718007.2666187766</v>
      </c>
      <c r="AC156" s="58">
        <f t="shared" si="92"/>
        <v>-3761879.4132854431</v>
      </c>
      <c r="AD156" s="58">
        <f t="shared" si="92"/>
        <v>-3887055.7599521098</v>
      </c>
      <c r="AE156" s="58">
        <f t="shared" si="92"/>
        <v>-3988302.9066187763</v>
      </c>
      <c r="AF156" s="58">
        <f t="shared" si="92"/>
        <v>-4089550.0532854428</v>
      </c>
      <c r="AG156" s="58">
        <f t="shared" si="92"/>
        <v>-4200297.1999521097</v>
      </c>
      <c r="AH156" s="58">
        <f t="shared" si="92"/>
        <v>-4311044.3466187762</v>
      </c>
      <c r="AI156" s="58">
        <f t="shared" ref="AI156:BN156" si="93">AI151+AI152+AI153+AI154+AI155</f>
        <v>-4443639.8932854431</v>
      </c>
      <c r="AJ156" s="58">
        <f t="shared" si="93"/>
        <v>-4554387.0399521096</v>
      </c>
      <c r="AK156" s="58">
        <f t="shared" si="93"/>
        <v>-4665134.1866187761</v>
      </c>
      <c r="AL156" s="58">
        <f t="shared" si="93"/>
        <v>-4775881.3332854426</v>
      </c>
      <c r="AM156" s="58">
        <f t="shared" si="93"/>
        <v>-4887017.5895521091</v>
      </c>
      <c r="AN156" s="58">
        <f t="shared" si="93"/>
        <v>-4998153.8458187757</v>
      </c>
      <c r="AO156" s="58">
        <f t="shared" si="93"/>
        <v>-5109290.1020854423</v>
      </c>
      <c r="AP156" s="58">
        <f t="shared" si="93"/>
        <v>-5244834.1423521088</v>
      </c>
      <c r="AQ156" s="58">
        <f t="shared" si="93"/>
        <v>-5355970.3986187754</v>
      </c>
      <c r="AR156" s="58">
        <f t="shared" si="93"/>
        <v>-5467106.654885442</v>
      </c>
      <c r="AS156" s="58">
        <f t="shared" si="93"/>
        <v>-5578242.9111521086</v>
      </c>
      <c r="AT156" s="58">
        <f t="shared" si="93"/>
        <v>-5689379.1674187751</v>
      </c>
      <c r="AU156" s="58">
        <f t="shared" si="93"/>
        <v>-5822800.7916854415</v>
      </c>
      <c r="AV156" s="58">
        <f t="shared" si="93"/>
        <v>-5933937.0479521081</v>
      </c>
      <c r="AW156" s="58">
        <f t="shared" si="93"/>
        <v>-6045073.3042187747</v>
      </c>
      <c r="AX156" s="58">
        <f t="shared" si="93"/>
        <v>-6156209.5604854412</v>
      </c>
      <c r="AY156" s="58">
        <f t="shared" si="93"/>
        <v>-6267742.7085441081</v>
      </c>
      <c r="AZ156" s="58">
        <f t="shared" si="93"/>
        <v>-6379275.8566027749</v>
      </c>
      <c r="BA156" s="58">
        <f t="shared" si="93"/>
        <v>-6490809.0046614418</v>
      </c>
      <c r="BB156" s="58">
        <f t="shared" si="93"/>
        <v>-6627238.0924001085</v>
      </c>
      <c r="BC156" s="58">
        <f t="shared" si="93"/>
        <v>-6738771.2404587753</v>
      </c>
      <c r="BD156" s="58">
        <f t="shared" si="93"/>
        <v>-6850304.3885174422</v>
      </c>
      <c r="BE156" s="58">
        <f t="shared" si="93"/>
        <v>-6961837.536576109</v>
      </c>
      <c r="BF156" s="58">
        <f t="shared" si="93"/>
        <v>-7073370.6846347759</v>
      </c>
      <c r="BG156" s="58">
        <f t="shared" si="93"/>
        <v>-7207634.9080534428</v>
      </c>
      <c r="BH156" s="58">
        <f t="shared" si="93"/>
        <v>-7319168.0561121097</v>
      </c>
      <c r="BI156" s="58">
        <f t="shared" si="93"/>
        <v>-7430701.2041707765</v>
      </c>
      <c r="BJ156" s="58">
        <f t="shared" si="93"/>
        <v>-7542234.3522294434</v>
      </c>
      <c r="BK156" s="58">
        <f t="shared" si="93"/>
        <v>-7654172.3299159501</v>
      </c>
      <c r="BL156" s="58">
        <f t="shared" si="93"/>
        <v>-7766110.3076024568</v>
      </c>
      <c r="BM156" s="58">
        <f t="shared" si="93"/>
        <v>-7878048.2852889635</v>
      </c>
      <c r="BN156" s="58">
        <f t="shared" si="93"/>
        <v>-8015380.1214490701</v>
      </c>
      <c r="BO156" s="58">
        <f t="shared" ref="BO156:CT156" si="94">BO151+BO152+BO153+BO154+BO155</f>
        <v>-8127318.0991355767</v>
      </c>
      <c r="BP156" s="58">
        <f t="shared" si="94"/>
        <v>-8187742.556822083</v>
      </c>
      <c r="BQ156" s="58">
        <f t="shared" si="94"/>
        <v>-8299680.5345085897</v>
      </c>
      <c r="BR156" s="58">
        <f t="shared" si="94"/>
        <v>-8411618.5121950954</v>
      </c>
      <c r="BS156" s="58">
        <f t="shared" si="94"/>
        <v>-8478980.1867488027</v>
      </c>
      <c r="BT156" s="58">
        <f t="shared" si="94"/>
        <v>-8590918.1644353084</v>
      </c>
      <c r="BU156" s="58">
        <f t="shared" si="94"/>
        <v>-8702856.1421218142</v>
      </c>
      <c r="BV156" s="58">
        <f t="shared" si="94"/>
        <v>-8747032.11980832</v>
      </c>
      <c r="BW156" s="58">
        <f t="shared" si="94"/>
        <v>-8859383.0237152241</v>
      </c>
      <c r="BX156" s="58">
        <f t="shared" si="94"/>
        <v>-8971733.9276221283</v>
      </c>
      <c r="BY156" s="58">
        <f t="shared" si="94"/>
        <v>-9016322.8315290324</v>
      </c>
      <c r="BZ156" s="58">
        <f t="shared" si="94"/>
        <v>-9154575.4710790087</v>
      </c>
      <c r="CA156" s="58">
        <f t="shared" si="94"/>
        <v>-9266926.3749859128</v>
      </c>
      <c r="CB156" s="58">
        <f t="shared" si="94"/>
        <v>-9302778.278892817</v>
      </c>
      <c r="CC156" s="58">
        <f t="shared" si="94"/>
        <v>-9415129.1827997211</v>
      </c>
      <c r="CD156" s="58">
        <f t="shared" si="94"/>
        <v>-9527480.0867066253</v>
      </c>
      <c r="CE156" s="58">
        <f t="shared" si="94"/>
        <v>-9586981.4014180731</v>
      </c>
      <c r="CF156" s="58">
        <f t="shared" si="94"/>
        <v>-9699332.3053249773</v>
      </c>
      <c r="CG156" s="58">
        <f t="shared" si="94"/>
        <v>-9811683.2092318814</v>
      </c>
      <c r="CH156" s="58">
        <f t="shared" si="94"/>
        <v>-9840927.0865323059</v>
      </c>
      <c r="CI156" s="23"/>
      <c r="CJ156" s="53"/>
      <c r="CK156" s="53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3"/>
      <c r="CK157" s="53"/>
    </row>
    <row r="158" spans="1:89" ht="15" customHeight="1" x14ac:dyDescent="0.25">
      <c r="A158" s="6" t="s">
        <v>173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3"/>
      <c r="CK158" s="53"/>
    </row>
    <row r="159" spans="1:89" ht="15" customHeight="1" x14ac:dyDescent="0.25">
      <c r="A159" s="7" t="s">
        <v>174</v>
      </c>
      <c r="B159" s="22"/>
      <c r="C159" s="8">
        <f t="shared" ref="C159:AH159" si="95">C146+C151</f>
        <v>1263529</v>
      </c>
      <c r="D159" s="8">
        <f t="shared" si="95"/>
        <v>1293515.1621832512</v>
      </c>
      <c r="E159" s="8">
        <f t="shared" si="95"/>
        <v>1303789.2434573704</v>
      </c>
      <c r="F159" s="8">
        <f t="shared" si="95"/>
        <v>1291241.2684698517</v>
      </c>
      <c r="G159" s="8">
        <f t="shared" si="95"/>
        <v>1701934.0299734818</v>
      </c>
      <c r="H159" s="8">
        <f t="shared" si="95"/>
        <v>1925130.4094126828</v>
      </c>
      <c r="I159" s="8">
        <f t="shared" si="95"/>
        <v>2147437.1339840782</v>
      </c>
      <c r="J159" s="8">
        <f t="shared" si="95"/>
        <v>2504706.5482001249</v>
      </c>
      <c r="K159" s="8">
        <f t="shared" si="95"/>
        <v>2874378.7621308174</v>
      </c>
      <c r="L159" s="8">
        <f t="shared" si="95"/>
        <v>2995772.2146434854</v>
      </c>
      <c r="M159" s="8">
        <f t="shared" si="95"/>
        <v>3152009.13263248</v>
      </c>
      <c r="N159" s="8">
        <f t="shared" si="95"/>
        <v>3068906.4825364365</v>
      </c>
      <c r="O159" s="8">
        <f t="shared" si="95"/>
        <v>3242851.5328420121</v>
      </c>
      <c r="P159" s="8">
        <f t="shared" si="95"/>
        <v>2737890.4880122603</v>
      </c>
      <c r="Q159" s="8">
        <f t="shared" si="95"/>
        <v>3028789.6250048941</v>
      </c>
      <c r="R159" s="8">
        <f t="shared" si="95"/>
        <v>3468828.9633744317</v>
      </c>
      <c r="S159" s="8">
        <f t="shared" si="95"/>
        <v>3670757.269141119</v>
      </c>
      <c r="T159" s="8">
        <f t="shared" si="95"/>
        <v>3705920.6959203766</v>
      </c>
      <c r="U159" s="8">
        <f t="shared" si="95"/>
        <v>3737192.4236349463</v>
      </c>
      <c r="V159" s="8">
        <f t="shared" si="95"/>
        <v>3780358.9185507041</v>
      </c>
      <c r="W159" s="8">
        <f t="shared" si="95"/>
        <v>3772989.5938197682</v>
      </c>
      <c r="X159" s="8">
        <f t="shared" si="95"/>
        <v>3849136.8959989185</v>
      </c>
      <c r="Y159" s="8">
        <f t="shared" si="95"/>
        <v>3936160.8745250744</v>
      </c>
      <c r="Z159" s="8">
        <f t="shared" si="95"/>
        <v>3806822.5696115019</v>
      </c>
      <c r="AA159" s="8">
        <f t="shared" si="95"/>
        <v>3898844.8374166698</v>
      </c>
      <c r="AB159" s="8">
        <f t="shared" si="95"/>
        <v>3949907.2153476286</v>
      </c>
      <c r="AC159" s="8">
        <f t="shared" si="95"/>
        <v>3848924.4794266331</v>
      </c>
      <c r="AD159" s="8">
        <f t="shared" si="95"/>
        <v>3163206.1061516614</v>
      </c>
      <c r="AE159" s="8">
        <f t="shared" si="95"/>
        <v>3082078.0090912371</v>
      </c>
      <c r="AF159" s="8">
        <f t="shared" si="95"/>
        <v>3026992.1633431497</v>
      </c>
      <c r="AG159" s="8">
        <f t="shared" si="95"/>
        <v>2973203.2809259831</v>
      </c>
      <c r="AH159" s="8">
        <f t="shared" si="95"/>
        <v>3031230.9041387178</v>
      </c>
      <c r="AI159" s="8">
        <f t="shared" ref="AI159:BN159" si="96">AI146+AI151</f>
        <v>2913527.9488200499</v>
      </c>
      <c r="AJ159" s="8">
        <f t="shared" si="96"/>
        <v>3017124.3928869041</v>
      </c>
      <c r="AK159" s="8">
        <f t="shared" si="96"/>
        <v>2808391.5798128042</v>
      </c>
      <c r="AL159" s="8">
        <f t="shared" si="96"/>
        <v>2597319.8996290769</v>
      </c>
      <c r="AM159" s="8">
        <f t="shared" si="96"/>
        <v>2473318.6427285839</v>
      </c>
      <c r="AN159" s="8">
        <f t="shared" si="96"/>
        <v>2211939.84743944</v>
      </c>
      <c r="AO159" s="8">
        <f t="shared" si="96"/>
        <v>1947967.0756595368</v>
      </c>
      <c r="AP159" s="8">
        <f t="shared" si="96"/>
        <v>1680731.5436649034</v>
      </c>
      <c r="AQ159" s="8">
        <f t="shared" si="96"/>
        <v>1385184.866956844</v>
      </c>
      <c r="AR159" s="8">
        <f t="shared" si="96"/>
        <v>1109540.0472013485</v>
      </c>
      <c r="AS159" s="8">
        <f t="shared" si="96"/>
        <v>1086030.8056632793</v>
      </c>
      <c r="AT159" s="8">
        <f t="shared" si="96"/>
        <v>677647.90407878906</v>
      </c>
      <c r="AU159" s="8">
        <f t="shared" si="96"/>
        <v>267543.01173001248</v>
      </c>
      <c r="AV159" s="8">
        <f t="shared" si="96"/>
        <v>-167369.00842690654</v>
      </c>
      <c r="AW159" s="8">
        <f t="shared" si="96"/>
        <v>-583240.65651296824</v>
      </c>
      <c r="AX159" s="8">
        <f t="shared" si="96"/>
        <v>-1002990.610464816</v>
      </c>
      <c r="AY159" s="8">
        <f t="shared" si="96"/>
        <v>-1427146.9474501638</v>
      </c>
      <c r="AZ159" s="8">
        <f t="shared" si="96"/>
        <v>-1857205.4422160331</v>
      </c>
      <c r="BA159" s="8">
        <f t="shared" si="96"/>
        <v>-2292372.5095826169</v>
      </c>
      <c r="BB159" s="8">
        <f t="shared" si="96"/>
        <v>-2732818.4353032722</v>
      </c>
      <c r="BC159" s="8">
        <f t="shared" si="96"/>
        <v>-3203494.6454270701</v>
      </c>
      <c r="BD159" s="8">
        <f t="shared" si="96"/>
        <v>-3654559.5141941542</v>
      </c>
      <c r="BE159" s="8">
        <f t="shared" si="96"/>
        <v>-4110763.5687310952</v>
      </c>
      <c r="BF159" s="8">
        <f t="shared" si="96"/>
        <v>-4571882.9502385361</v>
      </c>
      <c r="BG159" s="8">
        <f t="shared" si="96"/>
        <v>-4802657.3336096201</v>
      </c>
      <c r="BH159" s="8">
        <f t="shared" si="96"/>
        <v>-5406975.2880661562</v>
      </c>
      <c r="BI159" s="8">
        <f t="shared" si="96"/>
        <v>-5988562.1671626922</v>
      </c>
      <c r="BJ159" s="8">
        <f t="shared" si="96"/>
        <v>-6570149.0462592291</v>
      </c>
      <c r="BK159" s="8">
        <f t="shared" si="96"/>
        <v>-7151735.925355765</v>
      </c>
      <c r="BL159" s="8">
        <f t="shared" si="96"/>
        <v>-7734430.8545342321</v>
      </c>
      <c r="BM159" s="8">
        <f t="shared" si="96"/>
        <v>-8317125.7837126981</v>
      </c>
      <c r="BN159" s="8">
        <f t="shared" si="96"/>
        <v>-8899820.7128911652</v>
      </c>
      <c r="BO159" s="8">
        <f t="shared" ref="BO159:CH159" si="97">BO146+BO151</f>
        <v>-9507909.500543233</v>
      </c>
      <c r="BP159" s="8">
        <f t="shared" si="97"/>
        <v>-10090604.429721698</v>
      </c>
      <c r="BQ159" s="8">
        <f t="shared" si="97"/>
        <v>-10621785.838900166</v>
      </c>
      <c r="BR159" s="8">
        <f t="shared" si="97"/>
        <v>-11204480.768078633</v>
      </c>
      <c r="BS159" s="8">
        <f t="shared" si="97"/>
        <v>-11787175.697257098</v>
      </c>
      <c r="BT159" s="8">
        <f t="shared" si="97"/>
        <v>-12325294.323302764</v>
      </c>
      <c r="BU159" s="8">
        <f t="shared" si="97"/>
        <v>-12907989.252481231</v>
      </c>
      <c r="BV159" s="8">
        <f t="shared" si="97"/>
        <v>-13490684.181659698</v>
      </c>
      <c r="BW159" s="8">
        <f t="shared" si="97"/>
        <v>-14005617.110838164</v>
      </c>
      <c r="BX159" s="8">
        <f t="shared" si="97"/>
        <v>-14589442.251100201</v>
      </c>
      <c r="BY159" s="8">
        <f t="shared" si="97"/>
        <v>-15173267.391362237</v>
      </c>
      <c r="BZ159" s="8">
        <f t="shared" si="97"/>
        <v>-15689330.531624272</v>
      </c>
      <c r="CA159" s="8">
        <f t="shared" si="97"/>
        <v>-16299057.407529382</v>
      </c>
      <c r="CB159" s="8">
        <f t="shared" si="97"/>
        <v>-16882882.547791418</v>
      </c>
      <c r="CC159" s="8">
        <f t="shared" si="97"/>
        <v>-17390208.688053455</v>
      </c>
      <c r="CD159" s="8">
        <f t="shared" si="97"/>
        <v>-17974033.828315493</v>
      </c>
      <c r="CE159" s="8">
        <f t="shared" si="97"/>
        <v>-18557858.96857753</v>
      </c>
      <c r="CF159" s="8">
        <f t="shared" si="97"/>
        <v>-19088834.519644111</v>
      </c>
      <c r="CG159" s="8">
        <f t="shared" si="97"/>
        <v>-19672659.659906149</v>
      </c>
      <c r="CH159" s="8">
        <f t="shared" si="97"/>
        <v>-20256484.800168186</v>
      </c>
      <c r="CI159" s="23"/>
      <c r="CJ159" s="53"/>
      <c r="CK159" s="53"/>
    </row>
    <row r="160" spans="1:89" ht="15" customHeight="1" x14ac:dyDescent="0.25">
      <c r="A160" s="7" t="s">
        <v>43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-636672.96439304575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-779800.17739226262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0</v>
      </c>
      <c r="CI160" s="23"/>
      <c r="CJ160" s="53"/>
      <c r="CK160" s="53"/>
    </row>
    <row r="161" spans="1:89" ht="15" customHeight="1" x14ac:dyDescent="0.25">
      <c r="A161" s="56" t="s">
        <v>44</v>
      </c>
      <c r="B161" s="57"/>
      <c r="C161" s="58">
        <f t="shared" ref="C161:AH161" si="98">C159+C147+C152+C153+C154+C155+C160</f>
        <v>1293515.1621832512</v>
      </c>
      <c r="D161" s="58">
        <f t="shared" si="98"/>
        <v>1303789.2434573702</v>
      </c>
      <c r="E161" s="58">
        <f t="shared" si="98"/>
        <v>1291241.2684698517</v>
      </c>
      <c r="F161" s="58">
        <f t="shared" si="98"/>
        <v>1701934.029973482</v>
      </c>
      <c r="G161" s="58">
        <f t="shared" si="98"/>
        <v>1925130.4094126828</v>
      </c>
      <c r="H161" s="58">
        <f t="shared" si="98"/>
        <v>2147437.1339840782</v>
      </c>
      <c r="I161" s="58">
        <f t="shared" si="98"/>
        <v>2504706.5482001249</v>
      </c>
      <c r="J161" s="58">
        <f t="shared" si="98"/>
        <v>2874378.7621308174</v>
      </c>
      <c r="K161" s="58">
        <f t="shared" si="98"/>
        <v>2995772.2146434854</v>
      </c>
      <c r="L161" s="58">
        <f t="shared" si="98"/>
        <v>3152009.1326324805</v>
      </c>
      <c r="M161" s="58">
        <f t="shared" si="98"/>
        <v>3068906.4825364361</v>
      </c>
      <c r="N161" s="58">
        <f t="shared" si="98"/>
        <v>2606178.5684489664</v>
      </c>
      <c r="O161" s="58">
        <f t="shared" si="98"/>
        <v>2737890.4880122598</v>
      </c>
      <c r="P161" s="58">
        <f t="shared" si="98"/>
        <v>3028789.6250048941</v>
      </c>
      <c r="Q161" s="58">
        <f t="shared" si="98"/>
        <v>3468828.9633744317</v>
      </c>
      <c r="R161" s="58">
        <f t="shared" si="98"/>
        <v>3670757.269141119</v>
      </c>
      <c r="S161" s="58">
        <f t="shared" si="98"/>
        <v>3705920.6959203766</v>
      </c>
      <c r="T161" s="58">
        <f t="shared" si="98"/>
        <v>3737192.4236349468</v>
      </c>
      <c r="U161" s="58">
        <f t="shared" si="98"/>
        <v>3780358.9185507041</v>
      </c>
      <c r="V161" s="58">
        <f t="shared" si="98"/>
        <v>3772989.5938197686</v>
      </c>
      <c r="W161" s="58">
        <f t="shared" si="98"/>
        <v>3849136.8959989185</v>
      </c>
      <c r="X161" s="58">
        <f t="shared" si="98"/>
        <v>3936160.8745250748</v>
      </c>
      <c r="Y161" s="58">
        <f t="shared" si="98"/>
        <v>3806822.5696115014</v>
      </c>
      <c r="Z161" s="58">
        <f t="shared" si="98"/>
        <v>3119044.6600244078</v>
      </c>
      <c r="AA161" s="58">
        <f t="shared" si="98"/>
        <v>3949907.215347629</v>
      </c>
      <c r="AB161" s="58">
        <f t="shared" si="98"/>
        <v>3848924.4794266331</v>
      </c>
      <c r="AC161" s="58">
        <f t="shared" si="98"/>
        <v>3163206.1061516614</v>
      </c>
      <c r="AD161" s="58">
        <f t="shared" si="98"/>
        <v>3082078.0090912376</v>
      </c>
      <c r="AE161" s="58">
        <f t="shared" si="98"/>
        <v>3026992.1633431502</v>
      </c>
      <c r="AF161" s="58">
        <f t="shared" si="98"/>
        <v>2973203.2809259831</v>
      </c>
      <c r="AG161" s="58">
        <f t="shared" si="98"/>
        <v>3031230.9041387183</v>
      </c>
      <c r="AH161" s="58">
        <f t="shared" si="98"/>
        <v>2913527.9488200494</v>
      </c>
      <c r="AI161" s="58">
        <f t="shared" ref="AI161:BN161" si="99">AI159+AI147+AI152+AI153+AI154+AI155+AI160</f>
        <v>3017124.3928869041</v>
      </c>
      <c r="AJ161" s="58">
        <f t="shared" si="99"/>
        <v>2808391.5798128038</v>
      </c>
      <c r="AK161" s="58">
        <f t="shared" si="99"/>
        <v>2597319.8996290765</v>
      </c>
      <c r="AL161" s="58">
        <f t="shared" si="99"/>
        <v>2473318.6427285839</v>
      </c>
      <c r="AM161" s="58">
        <f t="shared" si="99"/>
        <v>2211939.8474394404</v>
      </c>
      <c r="AN161" s="58">
        <f t="shared" si="99"/>
        <v>1947967.0756595368</v>
      </c>
      <c r="AO161" s="58">
        <f t="shared" si="99"/>
        <v>1680731.5436649029</v>
      </c>
      <c r="AP161" s="58">
        <f t="shared" si="99"/>
        <v>1385184.866956844</v>
      </c>
      <c r="AQ161" s="58">
        <f t="shared" si="99"/>
        <v>1109540.0472013482</v>
      </c>
      <c r="AR161" s="58">
        <f t="shared" si="99"/>
        <v>1086030.8056632797</v>
      </c>
      <c r="AS161" s="58">
        <f t="shared" si="99"/>
        <v>677647.90407878871</v>
      </c>
      <c r="AT161" s="58">
        <f t="shared" si="99"/>
        <v>267543.01173001283</v>
      </c>
      <c r="AU161" s="58">
        <f t="shared" si="99"/>
        <v>-167369.0084269066</v>
      </c>
      <c r="AV161" s="58">
        <f t="shared" si="99"/>
        <v>-583240.65651296847</v>
      </c>
      <c r="AW161" s="58">
        <f t="shared" si="99"/>
        <v>-1002990.6104648159</v>
      </c>
      <c r="AX161" s="58">
        <f t="shared" si="99"/>
        <v>-1427146.9474501638</v>
      </c>
      <c r="AY161" s="58">
        <f t="shared" si="99"/>
        <v>-1857205.4422160331</v>
      </c>
      <c r="AZ161" s="58">
        <f t="shared" si="99"/>
        <v>-2292372.5095826169</v>
      </c>
      <c r="BA161" s="58">
        <f t="shared" si="99"/>
        <v>-2732818.4353032717</v>
      </c>
      <c r="BB161" s="58">
        <f t="shared" si="99"/>
        <v>-3203494.6454270701</v>
      </c>
      <c r="BC161" s="58">
        <f t="shared" si="99"/>
        <v>-3654559.5141941542</v>
      </c>
      <c r="BD161" s="58">
        <f t="shared" si="99"/>
        <v>-4110763.5687310952</v>
      </c>
      <c r="BE161" s="58">
        <f t="shared" si="99"/>
        <v>-4571882.9502385361</v>
      </c>
      <c r="BF161" s="58">
        <f t="shared" si="99"/>
        <v>-4802657.3336096201</v>
      </c>
      <c r="BG161" s="58">
        <f t="shared" si="99"/>
        <v>-5406975.2880661562</v>
      </c>
      <c r="BH161" s="58">
        <f t="shared" si="99"/>
        <v>-5988562.1671626922</v>
      </c>
      <c r="BI161" s="58">
        <f t="shared" si="99"/>
        <v>-6570149.0462592281</v>
      </c>
      <c r="BJ161" s="58">
        <f t="shared" si="99"/>
        <v>-7151735.925355765</v>
      </c>
      <c r="BK161" s="58">
        <f t="shared" si="99"/>
        <v>-7734430.8545342321</v>
      </c>
      <c r="BL161" s="58">
        <f t="shared" si="99"/>
        <v>-8317125.7837126991</v>
      </c>
      <c r="BM161" s="58">
        <f t="shared" si="99"/>
        <v>-8899820.7128911652</v>
      </c>
      <c r="BN161" s="58">
        <f t="shared" si="99"/>
        <v>-9507909.5005432311</v>
      </c>
      <c r="BO161" s="58">
        <f t="shared" ref="BO161:CT161" si="100">BO159+BO147+BO152+BO153+BO154+BO155+BO160</f>
        <v>-10090604.429721698</v>
      </c>
      <c r="BP161" s="58">
        <f t="shared" si="100"/>
        <v>-10621785.838900164</v>
      </c>
      <c r="BQ161" s="58">
        <f t="shared" si="100"/>
        <v>-11204480.768078631</v>
      </c>
      <c r="BR161" s="58">
        <f t="shared" si="100"/>
        <v>-11787175.697257098</v>
      </c>
      <c r="BS161" s="58">
        <f t="shared" si="100"/>
        <v>-12325294.323302764</v>
      </c>
      <c r="BT161" s="58">
        <f t="shared" si="100"/>
        <v>-12907989.25248123</v>
      </c>
      <c r="BU161" s="58">
        <f t="shared" si="100"/>
        <v>-13490684.181659697</v>
      </c>
      <c r="BV161" s="58">
        <f t="shared" si="100"/>
        <v>-14005617.110838164</v>
      </c>
      <c r="BW161" s="58">
        <f t="shared" si="100"/>
        <v>-14589442.251100201</v>
      </c>
      <c r="BX161" s="58">
        <f t="shared" si="100"/>
        <v>-15173267.391362239</v>
      </c>
      <c r="BY161" s="58">
        <f t="shared" si="100"/>
        <v>-15689330.531624274</v>
      </c>
      <c r="BZ161" s="58">
        <f t="shared" si="100"/>
        <v>-16299057.407529382</v>
      </c>
      <c r="CA161" s="58">
        <f t="shared" si="100"/>
        <v>-16882882.547791418</v>
      </c>
      <c r="CB161" s="58">
        <f t="shared" si="100"/>
        <v>-17390208.688053455</v>
      </c>
      <c r="CC161" s="58">
        <f t="shared" si="100"/>
        <v>-17974033.828315493</v>
      </c>
      <c r="CD161" s="58">
        <f t="shared" si="100"/>
        <v>-18557858.96857753</v>
      </c>
      <c r="CE161" s="58">
        <f t="shared" si="100"/>
        <v>-19088834.519644111</v>
      </c>
      <c r="CF161" s="58">
        <f t="shared" si="100"/>
        <v>-19672659.659906149</v>
      </c>
      <c r="CG161" s="58">
        <f t="shared" si="100"/>
        <v>-20256484.800168186</v>
      </c>
      <c r="CH161" s="58">
        <f t="shared" si="100"/>
        <v>-20757202.913823742</v>
      </c>
      <c r="CI161" s="23"/>
      <c r="CJ161" s="53"/>
      <c r="CK161" s="53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3"/>
      <c r="CK162" s="53"/>
    </row>
    <row r="163" spans="1:89" ht="15" customHeight="1" x14ac:dyDescent="0.25">
      <c r="A163" s="59" t="s">
        <v>175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3"/>
      <c r="CK163" s="53"/>
    </row>
    <row r="164" spans="1:89" ht="15" customHeight="1" x14ac:dyDescent="0.25">
      <c r="A164" s="60" t="s">
        <v>176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3"/>
      <c r="CK164" s="53"/>
    </row>
    <row r="165" spans="1:89" ht="15" customHeight="1" x14ac:dyDescent="0.25">
      <c r="A165" s="61" t="s">
        <v>177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3"/>
      <c r="CK165" s="53"/>
    </row>
    <row r="166" spans="1:89" ht="15" customHeight="1" x14ac:dyDescent="0.25">
      <c r="A166" s="61" t="s">
        <v>178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3"/>
      <c r="CK166" s="53"/>
    </row>
    <row r="167" spans="1:89" ht="15" customHeight="1" x14ac:dyDescent="0.25">
      <c r="A167" s="61" t="s">
        <v>179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3"/>
      <c r="CK167" s="53"/>
    </row>
    <row r="168" spans="1:89" ht="15" customHeight="1" x14ac:dyDescent="0.2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3"/>
      <c r="CF168" s="53"/>
      <c r="CG168" s="53"/>
      <c r="CH168" s="53"/>
      <c r="CI168" s="53"/>
      <c r="CJ168" s="53"/>
      <c r="CK168" s="53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21" sqref="J21"/>
    </sheetView>
  </sheetViews>
  <sheetFormatPr defaultColWidth="8.7109375" defaultRowHeight="15" customHeight="1" x14ac:dyDescent="0.25"/>
  <cols>
    <col min="1" max="1" width="30" customWidth="1"/>
    <col min="2" max="29" width="14.7109375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17" t="s">
        <v>180</v>
      </c>
      <c r="B1" s="218"/>
      <c r="C1" s="218"/>
      <c r="D1" s="218"/>
      <c r="E1" s="21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181</v>
      </c>
      <c r="C2" s="3" t="s">
        <v>182</v>
      </c>
      <c r="D2" s="3" t="s">
        <v>183</v>
      </c>
      <c r="E2" s="3" t="s">
        <v>184</v>
      </c>
      <c r="F2" s="3" t="s">
        <v>185</v>
      </c>
      <c r="G2" s="3" t="s">
        <v>186</v>
      </c>
      <c r="H2" s="3" t="s">
        <v>187</v>
      </c>
      <c r="I2" s="3" t="s">
        <v>188</v>
      </c>
      <c r="J2" s="3" t="s">
        <v>189</v>
      </c>
      <c r="K2" s="3" t="s">
        <v>190</v>
      </c>
      <c r="L2" s="3" t="s">
        <v>191</v>
      </c>
      <c r="M2" s="3" t="s">
        <v>192</v>
      </c>
      <c r="N2" s="3" t="s">
        <v>193</v>
      </c>
      <c r="O2" s="3" t="s">
        <v>194</v>
      </c>
      <c r="P2" s="3" t="s">
        <v>195</v>
      </c>
      <c r="Q2" s="3" t="s">
        <v>196</v>
      </c>
      <c r="R2" s="3" t="s">
        <v>197</v>
      </c>
      <c r="S2" s="3" t="s">
        <v>198</v>
      </c>
      <c r="T2" s="3" t="s">
        <v>199</v>
      </c>
      <c r="U2" s="3" t="s">
        <v>200</v>
      </c>
      <c r="V2" s="3" t="s">
        <v>201</v>
      </c>
      <c r="W2" s="3" t="s">
        <v>202</v>
      </c>
      <c r="X2" s="3" t="s">
        <v>203</v>
      </c>
      <c r="Y2" s="3" t="s">
        <v>204</v>
      </c>
      <c r="Z2" s="3" t="s">
        <v>205</v>
      </c>
      <c r="AA2" s="3" t="s">
        <v>206</v>
      </c>
      <c r="AB2" s="3" t="s">
        <v>207</v>
      </c>
      <c r="AC2" s="3" t="s">
        <v>208</v>
      </c>
    </row>
    <row r="3" spans="1:29" ht="15" customHeight="1" x14ac:dyDescent="0.25">
      <c r="A3" s="4" t="s">
        <v>9</v>
      </c>
      <c r="B3" s="62">
        <f>Model!C7+Model!D7+Model!E7</f>
        <v>13885253.699266504</v>
      </c>
      <c r="C3" s="62">
        <f>Model!F7+Model!G7+Model!H7</f>
        <v>18379667.562981192</v>
      </c>
      <c r="D3" s="62">
        <f>Model!I7+Model!J7+Model!K7</f>
        <v>23099906.093047779</v>
      </c>
      <c r="E3" s="62">
        <f>Model!L7+Model!M7+Model!N7</f>
        <v>25038837.345799737</v>
      </c>
      <c r="F3" s="62">
        <f>Model!O7+Model!P7+Model!Q7</f>
        <v>28102291.886630528</v>
      </c>
      <c r="G3" s="62">
        <f>Model!R7+Model!S7+Model!T7</f>
        <v>24739498.173034284</v>
      </c>
      <c r="H3" s="62">
        <f>Model!U7+Model!V7+Model!W7</f>
        <v>22343456.565825999</v>
      </c>
      <c r="I3" s="62">
        <f>Model!X7+Model!Y7+Model!Z7</f>
        <v>18455897.613310002</v>
      </c>
      <c r="J3" s="62">
        <f>Model!AA7+Model!AB7+Model!AC7</f>
        <v>13569035.117488001</v>
      </c>
      <c r="K3" s="62">
        <f>Model!AD7+Model!AE7+Model!AF7</f>
        <v>10431100.051765</v>
      </c>
      <c r="L3" s="62">
        <f>Model!AG7+Model!AH7+Model!AI7</f>
        <v>10532644.011073001</v>
      </c>
      <c r="M3" s="62">
        <f>Model!AJ7+Model!AK7+Model!AL7</f>
        <v>10209949.058483999</v>
      </c>
      <c r="N3" s="62">
        <f>Model!AM7+Model!AN7+Model!AO7</f>
        <v>8960352.4882939979</v>
      </c>
      <c r="O3" s="62">
        <f>Model!AP7+Model!AQ7+Model!AR7</f>
        <v>8205948.9219159996</v>
      </c>
      <c r="P3" s="62">
        <f>Model!AS7+Model!AT7+Model!AU7</f>
        <v>5517576.3560720002</v>
      </c>
      <c r="Q3" s="62">
        <f>Model!AV7+Model!AW7+Model!AX7</f>
        <v>4898042.6140799997</v>
      </c>
      <c r="R3" s="62">
        <f>Model!AY7+Model!AZ7+Model!BA7</f>
        <v>3976537.3492240002</v>
      </c>
      <c r="S3" s="62">
        <f>Model!BB7+Model!BC7+Model!BD7</f>
        <v>2952513.9516399996</v>
      </c>
      <c r="T3" s="62">
        <f>Model!BE7+Model!BF7+Model!BG7</f>
        <v>1431656.0052080001</v>
      </c>
      <c r="U3" s="62">
        <f>Model!BH7+Model!BI7+Model!BJ7</f>
        <v>0</v>
      </c>
      <c r="V3" s="62">
        <f>Model!BK7+Model!BL7+Model!BM7</f>
        <v>0</v>
      </c>
      <c r="W3" s="62">
        <f>Model!BN7+Model!BO7+Model!BP7</f>
        <v>0</v>
      </c>
      <c r="X3" s="62">
        <f>Model!BQ7+Model!BR7+Model!BS7</f>
        <v>0</v>
      </c>
      <c r="Y3" s="62">
        <f>Model!BT7+Model!BU7+Model!BV7</f>
        <v>0</v>
      </c>
      <c r="Z3" s="62">
        <f>Model!BW7+Model!BX7+Model!BY7</f>
        <v>0</v>
      </c>
      <c r="AA3" s="62">
        <f>Model!BZ7+Model!CA7+Model!CB7</f>
        <v>0</v>
      </c>
      <c r="AB3" s="62">
        <f>Model!CC7+Model!CD7+Model!CE7</f>
        <v>0</v>
      </c>
      <c r="AC3" s="62">
        <f>Model!CF7+Model!CG7+Model!CH7</f>
        <v>0</v>
      </c>
    </row>
    <row r="4" spans="1:29" ht="15" customHeight="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11</v>
      </c>
      <c r="B5" s="8">
        <f>Model!C8+Model!D8+Model!E8</f>
        <v>508276.35353084409</v>
      </c>
      <c r="C5" s="8">
        <f>Model!F8+Model!G8+Model!H8</f>
        <v>772090.00336850644</v>
      </c>
      <c r="D5" s="8">
        <f>Model!I8+Model!J8+Model!K8</f>
        <v>1073584.1262987012</v>
      </c>
      <c r="E5" s="8">
        <f>Model!L8+Model!M8+Model!N8</f>
        <v>1058531.9123985388</v>
      </c>
      <c r="F5" s="8">
        <f>Model!O8+Model!P8+Model!Q8</f>
        <v>1332147.0755478893</v>
      </c>
      <c r="G5" s="8">
        <f>Model!R8+Model!S8+Model!T8</f>
        <v>963014.7082589285</v>
      </c>
      <c r="H5" s="8">
        <f>Model!U8+Model!V8+Model!W8</f>
        <v>853632.38013392838</v>
      </c>
      <c r="I5" s="8">
        <f>Model!X8+Model!Y8+Model!Z8</f>
        <v>847505.43938717525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870271.20452516223</v>
      </c>
      <c r="M5" s="8">
        <f>Model!AJ8+Model!AK8+Model!AL8</f>
        <v>512656.22849025967</v>
      </c>
      <c r="N5" s="8">
        <f>Model!AM8+Model!AN8+Model!AO8</f>
        <v>400764.60340909089</v>
      </c>
      <c r="O5" s="8">
        <f>Model!AP8+Model!AQ8+Model!AR8</f>
        <v>510992.12775974022</v>
      </c>
      <c r="P5" s="8">
        <f>Model!AS8+Model!AT8+Model!AU8</f>
        <v>191332.30714285714</v>
      </c>
      <c r="Q5" s="8">
        <f>Model!AV8+Model!AW8+Model!AX8</f>
        <v>191332.30714285714</v>
      </c>
      <c r="R5" s="8">
        <f>Model!AY8+Model!AZ8+Model!BA8</f>
        <v>191332.30714285714</v>
      </c>
      <c r="S5" s="8">
        <f>Model!BB8+Model!BC8+Model!BD8</f>
        <v>191332.30714285714</v>
      </c>
      <c r="T5" s="8">
        <f>Model!BE8+Model!BF8+Model!BG8</f>
        <v>228256.0857142857</v>
      </c>
      <c r="U5" s="8">
        <f>Model!BH8+Model!BI8+Model!BJ8</f>
        <v>0</v>
      </c>
      <c r="V5" s="8">
        <f>Model!BK8+Model!BL8+Model!BM8</f>
        <v>0</v>
      </c>
      <c r="W5" s="8">
        <f>Model!BN8+Model!BO8+Model!BP8</f>
        <v>0</v>
      </c>
      <c r="X5" s="8">
        <f>Model!BQ8+Model!BR8+Model!BS8</f>
        <v>0</v>
      </c>
      <c r="Y5" s="8">
        <f>Model!BT8+Model!BU8+Model!BV8</f>
        <v>0</v>
      </c>
      <c r="Z5" s="8">
        <f>Model!BW8+Model!BX8+Model!BY8</f>
        <v>0</v>
      </c>
      <c r="AA5" s="8">
        <f>Model!BZ8+Model!CA8+Model!CB8</f>
        <v>0</v>
      </c>
      <c r="AB5" s="8">
        <f>Model!CC8+Model!CD8+Model!CE8</f>
        <v>0</v>
      </c>
      <c r="AC5" s="8">
        <f>Model!CF8+Model!CG8+Model!CH8</f>
        <v>0</v>
      </c>
    </row>
    <row r="6" spans="1:29" ht="15" customHeight="1" x14ac:dyDescent="0.25">
      <c r="A6" s="7" t="s">
        <v>12</v>
      </c>
      <c r="B6" s="8">
        <f>Model!C9+Model!D9+Model!E9</f>
        <v>642418.39355372626</v>
      </c>
      <c r="C6" s="8">
        <f>Model!F9+Model!G9+Model!H9</f>
        <v>850357.99601455196</v>
      </c>
      <c r="D6" s="8">
        <f>Model!I9+Model!J9+Model!K9</f>
        <v>1086098.1106361388</v>
      </c>
      <c r="E6" s="8">
        <f>Model!L9+Model!M9+Model!N9</f>
        <v>1158452.7018754745</v>
      </c>
      <c r="F6" s="8">
        <f>Model!O9+Model!P9+Model!Q9</f>
        <v>1364370.0726768994</v>
      </c>
      <c r="G6" s="8">
        <f>Model!R9+Model!S9+Model!T9</f>
        <v>1193734.3692069431</v>
      </c>
      <c r="H6" s="8">
        <f>Model!U9+Model!V9+Model!W9</f>
        <v>1042570.4214708456</v>
      </c>
      <c r="I6" s="8">
        <f>Model!X9+Model!Y9+Model!Z9</f>
        <v>895578.81490151794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643714.50294737087</v>
      </c>
      <c r="M6" s="8">
        <f>Model!AJ9+Model!AK9+Model!AL9</f>
        <v>510959.20887466549</v>
      </c>
      <c r="N6" s="8">
        <f>Model!AM9+Model!AN9+Model!AO9</f>
        <v>414561.76285126456</v>
      </c>
      <c r="O6" s="8">
        <f>Model!AP9+Model!AQ9+Model!AR9</f>
        <v>489885.87544578884</v>
      </c>
      <c r="P6" s="8">
        <f>Model!AS9+Model!AT9+Model!AU9</f>
        <v>255277.47751307138</v>
      </c>
      <c r="Q6" s="8">
        <f>Model!AV9+Model!AW9+Model!AX9</f>
        <v>226613.98457999993</v>
      </c>
      <c r="R6" s="8">
        <f>Model!AY9+Model!AZ9+Model!BA9</f>
        <v>183979.40657935711</v>
      </c>
      <c r="S6" s="8">
        <f>Model!BB9+Model!BC9+Model!BD9</f>
        <v>136601.70068464283</v>
      </c>
      <c r="T6" s="8">
        <f>Model!BE9+Model!BF9+Model!BG9</f>
        <v>166938.54569549998</v>
      </c>
      <c r="U6" s="8">
        <f>Model!BH9+Model!BI9+Model!BJ9</f>
        <v>0</v>
      </c>
      <c r="V6" s="8">
        <f>Model!BK9+Model!BL9+Model!BM9</f>
        <v>0</v>
      </c>
      <c r="W6" s="8">
        <f>Model!BN9+Model!BO9+Model!BP9</f>
        <v>0</v>
      </c>
      <c r="X6" s="8">
        <f>Model!BQ9+Model!BR9+Model!BS9</f>
        <v>0</v>
      </c>
      <c r="Y6" s="8">
        <f>Model!BT9+Model!BU9+Model!BV9</f>
        <v>0</v>
      </c>
      <c r="Z6" s="8">
        <f>Model!BW9+Model!BX9+Model!BY9</f>
        <v>0</v>
      </c>
      <c r="AA6" s="8">
        <f>Model!BZ9+Model!CA9+Model!CB9</f>
        <v>0</v>
      </c>
      <c r="AB6" s="8">
        <f>Model!CC9+Model!CD9+Model!CE9</f>
        <v>0</v>
      </c>
      <c r="AC6" s="8">
        <f>Model!CF9+Model!CG9+Model!CH9</f>
        <v>0</v>
      </c>
    </row>
    <row r="7" spans="1:29" ht="15" customHeight="1" x14ac:dyDescent="0.25">
      <c r="A7" s="7" t="s">
        <v>13</v>
      </c>
      <c r="B7" s="8">
        <f>Model!C10+Model!D10+Model!E10</f>
        <v>129262.37305194806</v>
      </c>
      <c r="C7" s="8">
        <f>Model!F10+Model!G10+Model!H10</f>
        <v>217200.25633116887</v>
      </c>
      <c r="D7" s="8">
        <f>Model!I10+Model!J10+Model!K10</f>
        <v>318980.78272456711</v>
      </c>
      <c r="E7" s="8">
        <f>Model!L10+Model!M10+Model!N10</f>
        <v>319326.498924513</v>
      </c>
      <c r="F7" s="8">
        <f>Model!O10+Model!P10+Model!Q10</f>
        <v>410531.55330762989</v>
      </c>
      <c r="G7" s="8">
        <f>Model!R10+Model!S10+Model!T10</f>
        <v>295695.92879464291</v>
      </c>
      <c r="H7" s="8">
        <f>Model!U10+Model!V10+Model!W10</f>
        <v>276377.46004464291</v>
      </c>
      <c r="I7" s="8">
        <f>Model!X10+Model!Y10+Model!Z10</f>
        <v>282501.81312905846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290090.40150838741</v>
      </c>
      <c r="M7" s="8">
        <f>Model!AJ10+Model!AK10+Model!AL10</f>
        <v>170885.40949675324</v>
      </c>
      <c r="N7" s="8">
        <f>Model!AM10+Model!AN10+Model!AO10</f>
        <v>133588.20113636364</v>
      </c>
      <c r="O7" s="8">
        <f>Model!AP10+Model!AQ10+Model!AR10</f>
        <v>170330.70925324678</v>
      </c>
      <c r="P7" s="8">
        <f>Model!AS10+Model!AT10+Model!AU10</f>
        <v>63777.435714285719</v>
      </c>
      <c r="Q7" s="8">
        <f>Model!AV10+Model!AW10+Model!AX10</f>
        <v>63777.435714285719</v>
      </c>
      <c r="R7" s="8">
        <f>Model!AY10+Model!AZ10+Model!BA10</f>
        <v>63777.435714285719</v>
      </c>
      <c r="S7" s="8">
        <f>Model!BB10+Model!BC10+Model!BD10</f>
        <v>63777.435714285719</v>
      </c>
      <c r="T7" s="8">
        <f>Model!BE10+Model!BF10+Model!BG10</f>
        <v>76085.361904761914</v>
      </c>
      <c r="U7" s="8">
        <f>Model!BH10+Model!BI10+Model!BJ10</f>
        <v>0</v>
      </c>
      <c r="V7" s="8">
        <f>Model!BK10+Model!BL10+Model!BM10</f>
        <v>0</v>
      </c>
      <c r="W7" s="8">
        <f>Model!BN10+Model!BO10+Model!BP10</f>
        <v>0</v>
      </c>
      <c r="X7" s="8">
        <f>Model!BQ10+Model!BR10+Model!BS10</f>
        <v>0</v>
      </c>
      <c r="Y7" s="8">
        <f>Model!BT10+Model!BU10+Model!BV10</f>
        <v>0</v>
      </c>
      <c r="Z7" s="8">
        <f>Model!BW10+Model!BX10+Model!BY10</f>
        <v>0</v>
      </c>
      <c r="AA7" s="8">
        <f>Model!BZ10+Model!CA10+Model!CB10</f>
        <v>0</v>
      </c>
      <c r="AB7" s="8">
        <f>Model!CC10+Model!CD10+Model!CE10</f>
        <v>0</v>
      </c>
      <c r="AC7" s="8">
        <f>Model!CF10+Model!CG10+Model!CH10</f>
        <v>0</v>
      </c>
    </row>
    <row r="8" spans="1:29" ht="15" customHeight="1" x14ac:dyDescent="0.25">
      <c r="A8" s="7" t="s">
        <v>14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15</v>
      </c>
      <c r="B9" s="10">
        <f>Model!C12+Model!D12+Model!E12</f>
        <v>1279957.1201365185</v>
      </c>
      <c r="C9" s="10">
        <f>Model!F12+Model!G12+Model!H12</f>
        <v>2484174.9757142272</v>
      </c>
      <c r="D9" s="10">
        <f>Model!I12+Model!J12+Model!K12</f>
        <v>3239673.9196594073</v>
      </c>
      <c r="E9" s="10">
        <f>Model!L12+Model!M12+Model!N12</f>
        <v>2536311.1131985262</v>
      </c>
      <c r="F9" s="10">
        <f>Model!O12+Model!P12+Model!Q12</f>
        <v>3786050.2515324187</v>
      </c>
      <c r="G9" s="10">
        <f>Model!R12+Model!S12+Model!T12</f>
        <v>2452445.0062605143</v>
      </c>
      <c r="H9" s="10">
        <f>Model!U12+Model!V12+Model!W12</f>
        <v>2172580.2616494168</v>
      </c>
      <c r="I9" s="10">
        <f>Model!X12+Model!Y12+Model!Z12</f>
        <v>2025586.0674177513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1804076.1089809206</v>
      </c>
      <c r="M9" s="10">
        <f>Model!AJ12+Model!AK12+Model!AL12</f>
        <v>1194500.8468616786</v>
      </c>
      <c r="N9" s="10">
        <f>Model!AM12+Model!AN12+Model!AO12</f>
        <v>948914.56739671901</v>
      </c>
      <c r="O9" s="10">
        <f>Model!AP12+Model!AQ12+Model!AR12</f>
        <v>1171208.7124587758</v>
      </c>
      <c r="P9" s="10">
        <f>Model!AS12+Model!AT12+Model!AU12</f>
        <v>510387.2203702142</v>
      </c>
      <c r="Q9" s="10">
        <f>Model!AV12+Model!AW12+Model!AX12</f>
        <v>481723.72743714281</v>
      </c>
      <c r="R9" s="10">
        <f>Model!AY12+Model!AZ12+Model!BA12</f>
        <v>439089.14943649992</v>
      </c>
      <c r="S9" s="10">
        <f>Model!BB12+Model!BC12+Model!BD12</f>
        <v>391711.4435417857</v>
      </c>
      <c r="T9" s="10">
        <f>Model!BE12+Model!BF12+Model!BG12</f>
        <v>471279.99331454758</v>
      </c>
      <c r="U9" s="10">
        <f>Model!BH12+Model!BI12+Model!BJ12</f>
        <v>0</v>
      </c>
      <c r="V9" s="10">
        <f>Model!BK12+Model!BL12+Model!BM12</f>
        <v>0</v>
      </c>
      <c r="W9" s="10">
        <f>Model!BN12+Model!BO12+Model!BP12</f>
        <v>0</v>
      </c>
      <c r="X9" s="10">
        <f>Model!BQ12+Model!BR12+Model!BS12</f>
        <v>0</v>
      </c>
      <c r="Y9" s="10">
        <f>Model!BT12+Model!BU12+Model!BV12</f>
        <v>0</v>
      </c>
      <c r="Z9" s="10">
        <f>Model!BW12+Model!BX12+Model!BY12</f>
        <v>0</v>
      </c>
      <c r="AA9" s="10">
        <f>Model!BZ12+Model!CA12+Model!CB12</f>
        <v>0</v>
      </c>
      <c r="AB9" s="10">
        <f>Model!CC12+Model!CD12+Model!CE12</f>
        <v>0</v>
      </c>
      <c r="AC9" s="10">
        <f>Model!CF12+Model!CG12+Model!CH12</f>
        <v>0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16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17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18</v>
      </c>
      <c r="B13" s="8">
        <f>Model!C16+Model!D16+Model!E16+Model!C17+Model!D17+Model!E17</f>
        <v>-649791.66666666686</v>
      </c>
      <c r="C13" s="8">
        <f>Model!F16+Model!G16+Model!H16+Model!F17+Model!G17+Model!H17</f>
        <v>-756875.00000000012</v>
      </c>
      <c r="D13" s="8">
        <f>Model!I16+Model!J16+Model!K16+Model!I17+Model!J17+Model!K17</f>
        <v>-879375</v>
      </c>
      <c r="E13" s="8">
        <f>Model!L16+Model!M16+Model!N16+Model!L17+Model!M17+Model!N17</f>
        <v>-909375</v>
      </c>
      <c r="F13" s="8">
        <f>Model!O16+Model!P16+Model!Q16+Model!O17+Model!P17+Model!Q17</f>
        <v>-949375.00000000012</v>
      </c>
      <c r="G13" s="8">
        <f>Model!R16+Model!S16+Model!T16+Model!R17+Model!S17+Model!T17</f>
        <v>-949375.00000000012</v>
      </c>
      <c r="H13" s="8">
        <f>Model!U16+Model!V16+Model!W16+Model!U17+Model!V17+Model!W17</f>
        <v>-949375.00000000012</v>
      </c>
      <c r="I13" s="8">
        <f>Model!X16+Model!Y16+Model!Z16+Model!X17+Model!Y17+Model!Z17</f>
        <v>-949375.00000000012</v>
      </c>
      <c r="J13" s="8">
        <f>Model!AA16+Model!AB16+Model!AC16+Model!AA17+Model!AB17+Model!AC17</f>
        <v>-949375.00000000012</v>
      </c>
      <c r="K13" s="8">
        <f>Model!AD16+Model!AE16+Model!AF16+Model!AD17+Model!AE17+Model!AF17</f>
        <v>-949375.00000000012</v>
      </c>
      <c r="L13" s="8">
        <f>Model!AG16+Model!AH16+Model!AI16+Model!AG17+Model!AH17+Model!AI17</f>
        <v>-949375.00000000012</v>
      </c>
      <c r="M13" s="8">
        <f>Model!AJ16+Model!AK16+Model!AL16+Model!AJ17+Model!AK17+Model!AL17</f>
        <v>-949375.00000000012</v>
      </c>
      <c r="N13" s="8">
        <f>Model!AM16+Model!AN16+Model!AO16+Model!AM17+Model!AN17+Model!AO17</f>
        <v>-949375.00000000012</v>
      </c>
      <c r="O13" s="8">
        <f>Model!AP16+Model!AQ16+Model!AR16+Model!AP17+Model!AQ17+Model!AR17</f>
        <v>-949375.00000000012</v>
      </c>
      <c r="P13" s="8">
        <f>Model!AS16+Model!AT16+Model!AU16+Model!AS17+Model!AT17+Model!AU17</f>
        <v>-949375.00000000012</v>
      </c>
      <c r="Q13" s="8">
        <f>Model!AV16+Model!AW16+Model!AX16+Model!AV17+Model!AW17+Model!AX17</f>
        <v>-949375.00000000012</v>
      </c>
      <c r="R13" s="8">
        <f>Model!AY16+Model!AZ16+Model!BA16+Model!AY17+Model!AZ17+Model!BA17</f>
        <v>-949375.00000000012</v>
      </c>
      <c r="S13" s="8">
        <f>Model!BB16+Model!BC16+Model!BD16+Model!BB17+Model!BC17+Model!BD17</f>
        <v>-949375.00000000012</v>
      </c>
      <c r="T13" s="8">
        <f>Model!BE16+Model!BF16+Model!BG16+Model!BE17+Model!BF17+Model!BG17</f>
        <v>-949375.00000000012</v>
      </c>
      <c r="U13" s="8">
        <f>Model!BH16+Model!BI16+Model!BJ16+Model!BH17+Model!BI17+Model!BJ17</f>
        <v>-949375.00000000012</v>
      </c>
      <c r="V13" s="8">
        <f>Model!BK16+Model!BL16+Model!BM16+Model!BK17+Model!BL17+Model!BM17</f>
        <v>-949375.00000000012</v>
      </c>
      <c r="W13" s="8">
        <f>Model!BN16+Model!BO16+Model!BP16+Model!BN17+Model!BO17+Model!BP17</f>
        <v>-949375.00000000012</v>
      </c>
      <c r="X13" s="8">
        <f>Model!BQ16+Model!BR16+Model!BS16+Model!BQ17+Model!BR17+Model!BS17</f>
        <v>-949375.00000000012</v>
      </c>
      <c r="Y13" s="8">
        <f>Model!BT16+Model!BU16+Model!BV16+Model!BT17+Model!BU17+Model!BV17</f>
        <v>-949375.00000000012</v>
      </c>
      <c r="Z13" s="8">
        <f>Model!BW16+Model!BX16+Model!BY16+Model!BW17+Model!BX17+Model!BY17</f>
        <v>-949375.00000000012</v>
      </c>
      <c r="AA13" s="8">
        <f>Model!BZ16+Model!CA16+Model!CB16+Model!BZ17+Model!CA17+Model!CB17</f>
        <v>-949375.00000000012</v>
      </c>
      <c r="AB13" s="8">
        <f>Model!CC16+Model!CD16+Model!CE16+Model!CC17+Model!CD17+Model!CE17</f>
        <v>-949375.00000000012</v>
      </c>
      <c r="AC13" s="8">
        <f>Model!CF16+Model!CG16+Model!CH16+Model!CF17+Model!CG17+Model!CH17</f>
        <v>-949375.00000000012</v>
      </c>
    </row>
    <row r="14" spans="1:29" ht="15" customHeight="1" x14ac:dyDescent="0.25">
      <c r="A14" s="7" t="s">
        <v>19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20</v>
      </c>
      <c r="B15" s="10">
        <f>Model!C39+Model!D39+Model!E39</f>
        <v>-1053113.5916666668</v>
      </c>
      <c r="C15" s="10">
        <f>Model!F39+Model!G39+Model!H39</f>
        <v>-1585832.1902000001</v>
      </c>
      <c r="D15" s="10">
        <f>Model!I39+Model!J39+Model!K39</f>
        <v>-1831010.2189999998</v>
      </c>
      <c r="E15" s="10">
        <f>Model!L39+Model!M39+Model!N39</f>
        <v>-1490528.1749999998</v>
      </c>
      <c r="F15" s="10">
        <f>Model!O39+Model!P39+Model!Q39</f>
        <v>-3010247.2010000004</v>
      </c>
      <c r="G15" s="10">
        <f>Model!R39+Model!S39+Model!T39</f>
        <v>-1539077.176</v>
      </c>
      <c r="H15" s="10">
        <f>Model!U39+Model!V39+Model!W39</f>
        <v>-1539077.176</v>
      </c>
      <c r="I15" s="10">
        <f>Model!X39+Model!Y39+Model!Z39</f>
        <v>-1539077.176</v>
      </c>
      <c r="J15" s="10">
        <f>Model!AA39+Model!AB39+Model!AC39</f>
        <v>-2750090.6970199998</v>
      </c>
      <c r="K15" s="10">
        <f>Model!AD39+Model!AE39+Model!AF39</f>
        <v>-1406065.1570199998</v>
      </c>
      <c r="L15" s="10">
        <f>Model!AG39+Model!AH39+Model!AI39</f>
        <v>-1406065.1570199998</v>
      </c>
      <c r="M15" s="10">
        <f>Model!AJ39+Model!AK39+Model!AL39</f>
        <v>-1406065.1570199998</v>
      </c>
      <c r="N15" s="10">
        <f>Model!AM39+Model!AN39+Model!AO39</f>
        <v>-1408092.8976604</v>
      </c>
      <c r="O15" s="10">
        <f>Model!AP39+Model!AQ39+Model!AR39</f>
        <v>-1408092.8976604</v>
      </c>
      <c r="P15" s="10">
        <f>Model!AS39+Model!AT39+Model!AU39</f>
        <v>-1408092.8976604</v>
      </c>
      <c r="Q15" s="10">
        <f>Model!AV39+Model!AW39+Model!AX39</f>
        <v>-1408092.8976604</v>
      </c>
      <c r="R15" s="10">
        <f>Model!AY39+Model!AZ39+Model!BA39</f>
        <v>-1410161.1931136081</v>
      </c>
      <c r="S15" s="10">
        <f>Model!BB39+Model!BC39+Model!BD39</f>
        <v>-1410161.1931136081</v>
      </c>
      <c r="T15" s="10">
        <f>Model!BE39+Model!BF39+Model!BG39</f>
        <v>-1410161.1931136081</v>
      </c>
      <c r="U15" s="10">
        <f>Model!BH39+Model!BI39+Model!BJ39</f>
        <v>-1410161.1931136081</v>
      </c>
      <c r="V15" s="10">
        <f>Model!BK39+Model!BL39+Model!BM39</f>
        <v>-1412270.8544758803</v>
      </c>
      <c r="W15" s="10">
        <f>Model!BN39+Model!BO39+Model!BP39</f>
        <v>-1412270.8544758803</v>
      </c>
      <c r="X15" s="10">
        <f>Model!BQ39+Model!BR39+Model!BS39</f>
        <v>-1412270.8544758803</v>
      </c>
      <c r="Y15" s="10">
        <f>Model!BT39+Model!BU39+Model!BV39</f>
        <v>-1412270.8544758803</v>
      </c>
      <c r="Z15" s="10">
        <f>Model!BW39+Model!BX39+Model!BY39</f>
        <v>-1414422.7090653977</v>
      </c>
      <c r="AA15" s="10">
        <f>Model!BZ39+Model!CA39+Model!CB39</f>
        <v>-1414422.7090653977</v>
      </c>
      <c r="AB15" s="10">
        <f>Model!CC39+Model!CD39+Model!CE39</f>
        <v>-1414422.7090653977</v>
      </c>
      <c r="AC15" s="10">
        <f>Model!CF39+Model!CG39+Model!CH39</f>
        <v>-1414422.7090653977</v>
      </c>
    </row>
    <row r="16" spans="1:29" ht="15" customHeight="1" x14ac:dyDescent="0.25">
      <c r="A16" s="13" t="s">
        <v>21</v>
      </c>
      <c r="B16" s="14">
        <f>Model!C41+Model!D41+Model!E41</f>
        <v>226843.52846985165</v>
      </c>
      <c r="C16" s="14">
        <f>Model!F41+Model!G41+Model!H41</f>
        <v>898342.78551422688</v>
      </c>
      <c r="D16" s="14">
        <f>Model!I41+Model!J41+Model!K41</f>
        <v>1408663.7006594071</v>
      </c>
      <c r="E16" s="14">
        <f>Model!L41+Model!M41+Model!N41</f>
        <v>1045782.9381985266</v>
      </c>
      <c r="F16" s="14">
        <f>Model!O41+Model!P41+Model!Q41</f>
        <v>775803.05053241854</v>
      </c>
      <c r="G16" s="14">
        <f>Model!R41+Model!S41+Model!T41</f>
        <v>913367.83026051451</v>
      </c>
      <c r="H16" s="14">
        <f>Model!U41+Model!V41+Model!W41</f>
        <v>633503.08564941701</v>
      </c>
      <c r="I16" s="14">
        <f>Model!X41+Model!Y41+Model!Z41</f>
        <v>486508.8914177515</v>
      </c>
      <c r="J16" s="14">
        <f>Model!AA41+Model!AB41+Model!AC41</f>
        <v>-489272.2912650088</v>
      </c>
      <c r="K16" s="14">
        <f>Model!AD41+Model!AE41+Model!AF41</f>
        <v>137667.81477432209</v>
      </c>
      <c r="L16" s="14">
        <f>Model!AG41+Model!AH41+Model!AI41</f>
        <v>398010.95196092059</v>
      </c>
      <c r="M16" s="14">
        <f>Model!AJ41+Model!AK41+Model!AL41</f>
        <v>-211564.31015832146</v>
      </c>
      <c r="N16" s="14">
        <f>Model!AM41+Model!AN41+Model!AO41</f>
        <v>-459178.33026368095</v>
      </c>
      <c r="O16" s="14">
        <f>Model!AP41+Model!AQ41+Model!AR41</f>
        <v>-236884.18520162412</v>
      </c>
      <c r="P16" s="14">
        <f>Model!AS41+Model!AT41+Model!AU41</f>
        <v>-897705.67729018582</v>
      </c>
      <c r="Q16" s="14">
        <f>Model!AV41+Model!AW41+Model!AX41</f>
        <v>-926369.17022325727</v>
      </c>
      <c r="R16" s="14">
        <f>Model!AY41+Model!AZ41+Model!BA41</f>
        <v>-971072.04367710813</v>
      </c>
      <c r="S16" s="14">
        <f>Model!BB41+Model!BC41+Model!BD41</f>
        <v>-1018449.7495718224</v>
      </c>
      <c r="T16" s="14">
        <f>Model!BE41+Model!BF41+Model!BG41</f>
        <v>-938881.19979906036</v>
      </c>
      <c r="U16" s="14">
        <f>Model!BH41+Model!BI41+Model!BJ41</f>
        <v>-1410161.1931136081</v>
      </c>
      <c r="V16" s="14">
        <f>Model!BK41+Model!BL41+Model!BM41</f>
        <v>-1412270.8544758803</v>
      </c>
      <c r="W16" s="14">
        <f>Model!BN41+Model!BO41+Model!BP41</f>
        <v>-1412270.8544758803</v>
      </c>
      <c r="X16" s="14">
        <f>Model!BQ41+Model!BR41+Model!BS41</f>
        <v>-1412270.8544758803</v>
      </c>
      <c r="Y16" s="14">
        <f>Model!BT41+Model!BU41+Model!BV41</f>
        <v>-1412270.8544758803</v>
      </c>
      <c r="Z16" s="14">
        <f>Model!BW41+Model!BX41+Model!BY41</f>
        <v>-1414422.7090653977</v>
      </c>
      <c r="AA16" s="14">
        <f>Model!BZ41+Model!CA41+Model!CB41</f>
        <v>-1414422.7090653977</v>
      </c>
      <c r="AB16" s="14">
        <f>Model!CC41+Model!CD41+Model!CE41</f>
        <v>-1414422.7090653977</v>
      </c>
      <c r="AC16" s="14">
        <f>Model!CF41+Model!CG41+Model!CH41</f>
        <v>-1414422.7090653977</v>
      </c>
    </row>
    <row r="17" spans="1:29" ht="15" customHeight="1" x14ac:dyDescent="0.25">
      <c r="A17" s="7" t="s">
        <v>22</v>
      </c>
      <c r="B17" s="15">
        <f>IF((Model!C12+Model!D12+Model!E12)&lt;&gt;0,(Model!C41+Model!D41+Model!E41)/(Model!C12+Model!D12+Model!E12),0)</f>
        <v>0.17722744371753393</v>
      </c>
      <c r="C17" s="15">
        <f>IF((Model!F12+Model!G12+Model!H12)&lt;&gt;0,(Model!F41+Model!G41+Model!H41)/(Model!F12+Model!G12+Model!H12),0)</f>
        <v>0.36162621163831005</v>
      </c>
      <c r="D17" s="15">
        <f>IF((Model!I12+Model!J12+Model!K12)&lt;&gt;0,(Model!I41+Model!J41+Model!K41)/(Model!I12+Model!J12+Model!K12),0)</f>
        <v>0.43481650795506677</v>
      </c>
      <c r="E17" s="15">
        <f>IF((Model!L12+Model!M12+Model!N12)&lt;&gt;0,(Model!L41+Model!M41+Model!N41)/(Model!L12+Model!M12+Model!N12),0)</f>
        <v>0.41232439220742767</v>
      </c>
      <c r="F17" s="15">
        <f>IF((Model!O12+Model!P12+Model!Q12)&lt;&gt;0,(Model!O41+Model!P41+Model!Q41)/(Model!O12+Model!P12+Model!Q12),0)</f>
        <v>0.20491092272703174</v>
      </c>
      <c r="G17" s="15">
        <f>IF((Model!R12+Model!S12+Model!T12)&lt;&gt;0,(Model!R41+Model!S41+Model!T41)/(Model!R12+Model!S12+Model!T12),0)</f>
        <v>0.37243152361374127</v>
      </c>
      <c r="H17" s="15">
        <f>IF((Model!U12+Model!V12+Model!W12)&lt;&gt;0,(Model!U41+Model!V41+Model!W41)/(Model!U12+Model!V12+Model!W12),0)</f>
        <v>0.29159018740622417</v>
      </c>
      <c r="I17" s="15">
        <f>IF((Model!X12+Model!Y12+Model!Z12)&lt;&gt;0,(Model!X41+Model!Y41+Model!Z41)/(Model!X12+Model!Y12+Model!Z12),0)</f>
        <v>0.24018179194822395</v>
      </c>
      <c r="J17" s="15">
        <f>IF((Model!AA12+Model!AB12+Model!AC12)&lt;&gt;0,(Model!AA41+Model!AB41+Model!AC41)/(Model!AA12+Model!AB12+Model!AC12),0)</f>
        <v>-0.21641379511930253</v>
      </c>
      <c r="K17" s="15">
        <f>IF((Model!AD12+Model!AE12+Model!AF12)&lt;&gt;0,(Model!AD41+Model!AE41+Model!AF41)/(Model!AD12+Model!AE12+Model!AF12),0)</f>
        <v>8.917851551379842E-2</v>
      </c>
      <c r="L17" s="15">
        <f>IF((Model!AG12+Model!AH12+Model!AI12)&lt;&gt;0,(Model!AG41+Model!AH41+Model!AI41)/(Model!AG12+Model!AH12+Model!AI12),0)</f>
        <v>0.22061760586461479</v>
      </c>
      <c r="M17" s="15">
        <f>IF((Model!AJ12+Model!AK12+Model!AL12)&lt;&gt;0,(Model!AJ41+Model!AK41+Model!AL41)/(Model!AJ12+Model!AK12+Model!AL12),0)</f>
        <v>-0.17711524501147571</v>
      </c>
      <c r="N17" s="15">
        <f>IF((Model!AM12+Model!AN12+Model!AO12)&lt;&gt;0,(Model!AM41+Model!AN41+Model!AO41)/(Model!AM12+Model!AN12+Model!AO12),0)</f>
        <v>-0.48389849417467024</v>
      </c>
      <c r="O17" s="15">
        <f>IF((Model!AP12+Model!AQ12+Model!AR12)&lt;&gt;0,(Model!AP41+Model!AQ41+Model!AR41)/(Model!AP12+Model!AQ12+Model!AR12),0)</f>
        <v>-0.20225616722430415</v>
      </c>
      <c r="P17" s="15">
        <f>IF((Model!AS12+Model!AT12+Model!AU12)&lt;&gt;0,(Model!AS41+Model!AT41+Model!AU41)/(Model!AS12+Model!AT12+Model!AU12),0)</f>
        <v>-1.7588717770774638</v>
      </c>
      <c r="Q17" s="15">
        <f>IF((Model!AV12+Model!AW12+Model!AX12)&lt;&gt;0,(Model!AV41+Model!AW41+Model!AX41)/(Model!AV12+Model!AW12+Model!AX12),0)</f>
        <v>-1.9230299805901372</v>
      </c>
      <c r="R17" s="15">
        <f>IF((Model!AY12+Model!AZ12+Model!BA12)&lt;&gt;0,(Model!AY41+Model!AZ41+Model!BA41)/(Model!AY12+Model!AZ12+Model!BA12),0)</f>
        <v>-2.2115601010030024</v>
      </c>
      <c r="S17" s="15">
        <f>IF((Model!BB12+Model!BC12+Model!BD12)&lt;&gt;0,(Model!BB41+Model!BC41+Model!BD41)/(Model!BB12+Model!BC12+Model!BD12),0)</f>
        <v>-2.5999999907155624</v>
      </c>
      <c r="T17" s="15">
        <f>IF((Model!BE12+Model!BF12+Model!BG12)&lt;&gt;0,(Model!BE41+Model!BF41+Model!BG41)/(Model!BE12+Model!BF12+Model!BG12),0)</f>
        <v>-1.9921940526179318</v>
      </c>
      <c r="U17" s="15">
        <f>IF((Model!BH12+Model!BI12+Model!BJ12)&lt;&gt;0,(Model!BH41+Model!BI41+Model!BJ41)/(Model!BH12+Model!BI12+Model!BJ12),0)</f>
        <v>0</v>
      </c>
      <c r="V17" s="15">
        <f>IF((Model!BK12+Model!BL12+Model!BM12)&lt;&gt;0,(Model!BK41+Model!BL41+Model!BM41)/(Model!BK12+Model!BL12+Model!BM12),0)</f>
        <v>0</v>
      </c>
      <c r="W17" s="15">
        <f>IF((Model!BN12+Model!BO12+Model!BP12)&lt;&gt;0,(Model!BN41+Model!BO41+Model!BP41)/(Model!BN12+Model!BO12+Model!BP12),0)</f>
        <v>0</v>
      </c>
      <c r="X17" s="15">
        <f>IF((Model!BQ12+Model!BR12+Model!BS12)&lt;&gt;0,(Model!BQ41+Model!BR41+Model!BS41)/(Model!BQ12+Model!BR12+Model!BS12),0)</f>
        <v>0</v>
      </c>
      <c r="Y17" s="15">
        <f>IF((Model!BT12+Model!BU12+Model!BV12)&lt;&gt;0,(Model!BT41+Model!BU41+Model!BV41)/(Model!BT12+Model!BU12+Model!BV12),0)</f>
        <v>0</v>
      </c>
      <c r="Z17" s="15">
        <f>IF((Model!BW12+Model!BX12+Model!BY12)&lt;&gt;0,(Model!BW41+Model!BX41+Model!BY41)/(Model!BW12+Model!BX12+Model!BY12),0)</f>
        <v>0</v>
      </c>
      <c r="AA17" s="15">
        <f>IF((Model!BZ12+Model!CA12+Model!CB12)&lt;&gt;0,(Model!BZ41+Model!CA41+Model!CB41)/(Model!BZ12+Model!CA12+Model!CB12),0)</f>
        <v>0</v>
      </c>
      <c r="AB17" s="15">
        <f>IF((Model!CC12+Model!CD12+Model!CE12)&lt;&gt;0,(Model!CC41+Model!CD41+Model!CE41)/(Model!CC12+Model!CD12+Model!CE12),0)</f>
        <v>0</v>
      </c>
      <c r="AC17" s="15">
        <f>IF((Model!CF12+Model!CG12+Model!CH12)&lt;&gt;0,(Model!CF41+Model!CG41+Model!CH41)/(Model!CF12+Model!CG12+Model!CH12),0)</f>
        <v>0</v>
      </c>
    </row>
    <row r="18" spans="1:29" s="63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4" t="s">
        <v>23</v>
      </c>
      <c r="B19" s="17">
        <f>Model!C64+Model!D64+Model!E64</f>
        <v>130843.74</v>
      </c>
      <c r="C19" s="17">
        <f>Model!F64+Model!G64+Model!H64</f>
        <v>602051.20000000007</v>
      </c>
      <c r="D19" s="17">
        <f>Model!I64+Model!J64+Model!K64</f>
        <v>180646.38</v>
      </c>
      <c r="E19" s="17">
        <f>Model!L64+Model!M64+Model!N64</f>
        <v>171271.38</v>
      </c>
      <c r="F19" s="17">
        <f>Model!O64+Model!P64+Model!Q64</f>
        <v>171271.38</v>
      </c>
      <c r="G19" s="17">
        <f>Model!R64+Model!S64+Model!T64</f>
        <v>99552.630000000019</v>
      </c>
      <c r="H19" s="17">
        <f>Model!U64+Model!V64+Model!W64</f>
        <v>156927.63</v>
      </c>
      <c r="I19" s="17">
        <f>Model!X64+Model!Y64+Model!Z64</f>
        <v>144296.04999999999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24</v>
      </c>
      <c r="B20" s="8">
        <f>Model!C85+Model!D85+Model!E85</f>
        <v>-329975</v>
      </c>
      <c r="C20" s="8">
        <f>Model!F85+Model!G85+Model!H85</f>
        <v>-644198.12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25</v>
      </c>
      <c r="B21" s="14">
        <f>Model!C87+Model!D87+Model!E87</f>
        <v>-199131.26</v>
      </c>
      <c r="C21" s="14">
        <f>Model!F87+Model!G87+Model!H87</f>
        <v>-42146.91999999994</v>
      </c>
      <c r="D21" s="14">
        <f>Model!I87+Model!J87+Model!K87</f>
        <v>-170328.62</v>
      </c>
      <c r="E21" s="14">
        <f>Model!L87+Model!M87+Model!N87</f>
        <v>-158703.62</v>
      </c>
      <c r="F21" s="14">
        <f>Model!O87+Model!P87+Model!Q87</f>
        <v>-159825.62</v>
      </c>
      <c r="G21" s="14">
        <f>Model!R87+Model!S87+Model!T87</f>
        <v>-255004.37</v>
      </c>
      <c r="H21" s="14">
        <f>Model!U87+Model!V87+Model!W87</f>
        <v>-195589.37000000005</v>
      </c>
      <c r="I21" s="14">
        <f>Model!X87+Model!Y87+Model!Z87</f>
        <v>-186800.95</v>
      </c>
      <c r="J21" s="14">
        <f>Model!AA87+Model!AB87+Model!AC87</f>
        <v>-246366.44</v>
      </c>
      <c r="K21" s="14">
        <f>Model!AD87+Model!AE87+Model!AF87</f>
        <v>-327670.64</v>
      </c>
      <c r="L21" s="14">
        <f>Model!AG87+Model!AH87+Model!AI87</f>
        <v>-354089.84</v>
      </c>
      <c r="M21" s="14">
        <f>Model!AJ87+Model!AK87+Model!AL87</f>
        <v>-332241.44</v>
      </c>
      <c r="N21" s="14">
        <f>Model!AM87+Model!AN87+Model!AO87</f>
        <v>-333408.76880000002</v>
      </c>
      <c r="O21" s="14">
        <f>Model!AP87+Model!AQ87+Model!AR87</f>
        <v>-357816.55280000006</v>
      </c>
      <c r="P21" s="14">
        <f>Model!AS87+Model!AT87+Model!AU87</f>
        <v>-355694.13679999998</v>
      </c>
      <c r="Q21" s="14">
        <f>Model!AV87+Model!AW87+Model!AX87</f>
        <v>-333408.76880000008</v>
      </c>
      <c r="R21" s="14">
        <f>Model!AY87+Model!AZ87+Model!BA87</f>
        <v>-334599.44417599996</v>
      </c>
      <c r="S21" s="14">
        <f>Model!BB87+Model!BC87+Model!BD87</f>
        <v>-359495.38385600003</v>
      </c>
      <c r="T21" s="14">
        <f>Model!BE87+Model!BF87+Model!BG87</f>
        <v>-357330.51953600004</v>
      </c>
      <c r="U21" s="14">
        <f>Model!BH87+Model!BI87+Model!BJ87</f>
        <v>-334599.44417600002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26</v>
      </c>
      <c r="B23" s="14">
        <f>Model!C96+Model!D96+Model!E96</f>
        <v>27712.268469851639</v>
      </c>
      <c r="C23" s="14">
        <f>Model!F96+Model!G96+Model!H96</f>
        <v>856195.86551422696</v>
      </c>
      <c r="D23" s="14">
        <f>Model!I96+Model!J96+Model!K96</f>
        <v>1238335.0806594072</v>
      </c>
      <c r="E23" s="14">
        <f>Model!L96+Model!M96+Model!N96</f>
        <v>887079.31819852639</v>
      </c>
      <c r="F23" s="14">
        <f>Model!O96+Model!P96+Model!Q96</f>
        <v>615977.43053241819</v>
      </c>
      <c r="G23" s="14">
        <f>Model!R96+Model!S96+Model!T96</f>
        <v>658363.4602605144</v>
      </c>
      <c r="H23" s="14">
        <f>Model!U96+Model!V96+Model!W96</f>
        <v>437913.7156494169</v>
      </c>
      <c r="I23" s="14">
        <f>Model!X96+Model!Y96+Model!Z96</f>
        <v>299707.94141775137</v>
      </c>
      <c r="J23" s="14">
        <f>Model!AA96+Model!AB96+Model!AC96</f>
        <v>-735638.73126500868</v>
      </c>
      <c r="K23" s="14">
        <f>Model!AD96+Model!AE96+Model!AF96</f>
        <v>-190002.82522567781</v>
      </c>
      <c r="L23" s="14">
        <f>Model!AG96+Model!AH96+Model!AI96</f>
        <v>43921.111960920622</v>
      </c>
      <c r="M23" s="14">
        <f>Model!AJ96+Model!AK96+Model!AL96</f>
        <v>-543805.75015832135</v>
      </c>
      <c r="N23" s="14">
        <f>Model!AM96+Model!AN96+Model!AO96</f>
        <v>-792587.09906368097</v>
      </c>
      <c r="O23" s="14">
        <f>Model!AP96+Model!AQ96+Model!AR96</f>
        <v>-594700.73800162412</v>
      </c>
      <c r="P23" s="14">
        <f>Model!AS96+Model!AT96+Model!AU96</f>
        <v>-1253399.8140901858</v>
      </c>
      <c r="Q23" s="14">
        <f>Model!AV96+Model!AW96+Model!AX96</f>
        <v>-1259777.9390232572</v>
      </c>
      <c r="R23" s="14">
        <f>Model!AY96+Model!AZ96+Model!BA96</f>
        <v>-1305671.487853108</v>
      </c>
      <c r="S23" s="14">
        <f>Model!BB96+Model!BC96+Model!BD96</f>
        <v>-1377945.1334278223</v>
      </c>
      <c r="T23" s="14">
        <f>Model!BE96+Model!BF96+Model!BG96</f>
        <v>-1296211.7193350603</v>
      </c>
      <c r="U23" s="14">
        <f>Model!BH96+Model!BI96+Model!BJ96</f>
        <v>-1744760.6372896079</v>
      </c>
      <c r="V23" s="14">
        <f>Model!BK96+Model!BL96+Model!BM96</f>
        <v>-1748084.7875354004</v>
      </c>
      <c r="W23" s="14">
        <f>Model!BN96+Model!BO96+Model!BP96</f>
        <v>-1721965.1260090002</v>
      </c>
      <c r="X23" s="14">
        <f>Model!BQ96+Model!BR96+Model!BS96</f>
        <v>-1703508.4844026002</v>
      </c>
      <c r="Y23" s="14">
        <f>Model!BT96+Model!BU96+Model!BV96</f>
        <v>-1680322.7875354004</v>
      </c>
      <c r="Z23" s="14">
        <f>Model!BW96+Model!BX96+Model!BY96</f>
        <v>-1683713.4207861084</v>
      </c>
      <c r="AA23" s="14">
        <f>Model!BZ96+Model!CA96+Model!CB96</f>
        <v>-1700878.1564291804</v>
      </c>
      <c r="AB23" s="14">
        <f>Model!CC96+Model!CD96+Model!CE96</f>
        <v>-1698625.8315906522</v>
      </c>
      <c r="AC23" s="14">
        <f>Model!CF96+Model!CG96+Model!CH96</f>
        <v>-1668368.3941796292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28</v>
      </c>
      <c r="B26" s="8">
        <f>Model!C80+Model!D80+Model!E80</f>
        <v>0</v>
      </c>
      <c r="C26" s="8">
        <f>Model!F80+Model!G80+Model!H80</f>
        <v>-171223.12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29</v>
      </c>
      <c r="B27" s="8">
        <f>Model!C81+Model!D81+Model!E81</f>
        <v>0</v>
      </c>
      <c r="C27" s="8">
        <f>Model!F81+Model!G81+Model!H81</f>
        <v>-120000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30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31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32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33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34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35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36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37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500000</v>
      </c>
      <c r="N36" s="8">
        <f>Model!AO108</f>
        <v>500000</v>
      </c>
      <c r="O36" s="8">
        <f>Model!AR108</f>
        <v>500000</v>
      </c>
      <c r="P36" s="8">
        <f>Model!AU108</f>
        <v>500000</v>
      </c>
      <c r="Q36" s="8">
        <f>Model!AX108</f>
        <v>500000</v>
      </c>
      <c r="R36" s="8">
        <f>Model!BA108</f>
        <v>500000</v>
      </c>
      <c r="S36" s="8">
        <f>Model!BD108</f>
        <v>500000</v>
      </c>
      <c r="T36" s="8">
        <f>Model!BG108</f>
        <v>500000</v>
      </c>
      <c r="U36" s="8">
        <f>Model!BJ108</f>
        <v>500000</v>
      </c>
      <c r="V36" s="8">
        <f>Model!BM108</f>
        <v>500000</v>
      </c>
      <c r="W36" s="8">
        <f>Model!BP108</f>
        <v>500000</v>
      </c>
      <c r="X36" s="8">
        <f>Model!BS108</f>
        <v>500000</v>
      </c>
      <c r="Y36" s="8">
        <f>Model!BV108</f>
        <v>500000</v>
      </c>
      <c r="Z36" s="8">
        <f>Model!BY108</f>
        <v>500000</v>
      </c>
      <c r="AA36" s="8">
        <f>Model!CB108</f>
        <v>500000</v>
      </c>
      <c r="AB36" s="8">
        <f>Model!CE108</f>
        <v>500000</v>
      </c>
      <c r="AC36" s="8">
        <f>Model!CH108</f>
        <v>500000</v>
      </c>
    </row>
    <row r="37" spans="1:29" ht="15" customHeight="1" x14ac:dyDescent="0.25">
      <c r="A37" s="7" t="s">
        <v>38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39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40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41</v>
      </c>
      <c r="B42" s="19">
        <f>Model!E148</f>
        <v>1252385.5284698517</v>
      </c>
      <c r="C42" s="19">
        <f>Model!H148</f>
        <v>2150728.3139840784</v>
      </c>
      <c r="D42" s="19">
        <f>Model!K148</f>
        <v>3559392.0146434852</v>
      </c>
      <c r="E42" s="19">
        <f>Model!N148</f>
        <v>4605174.952842012</v>
      </c>
      <c r="F42" s="19">
        <f>Model!Q148</f>
        <v>5380978.0033744313</v>
      </c>
      <c r="G42" s="19">
        <f>Model!T148</f>
        <v>6294345.8336349456</v>
      </c>
      <c r="H42" s="19">
        <f>Model!W148</f>
        <v>6927848.9192843623</v>
      </c>
      <c r="I42" s="19">
        <f>Model!Z148</f>
        <v>7414357.8107021134</v>
      </c>
      <c r="J42" s="19">
        <f>Model!AC148</f>
        <v>6925085.5194371045</v>
      </c>
      <c r="K42" s="19">
        <f>Model!AF148</f>
        <v>7062753.3342114259</v>
      </c>
      <c r="L42" s="19">
        <f>Model!AI148</f>
        <v>7460764.2861723471</v>
      </c>
      <c r="M42" s="19">
        <f>Model!AL148</f>
        <v>7249199.9760140264</v>
      </c>
      <c r="N42" s="19">
        <f>Model!AO148</f>
        <v>6790021.6457503457</v>
      </c>
      <c r="O42" s="19">
        <f>Model!AR148</f>
        <v>6553137.4605487213</v>
      </c>
      <c r="P42" s="19">
        <f>Model!AU148</f>
        <v>5655431.783258535</v>
      </c>
      <c r="Q42" s="19">
        <f>Model!AX148</f>
        <v>4729062.6130352775</v>
      </c>
      <c r="R42" s="19">
        <f>Model!BA148</f>
        <v>3757990.5693581696</v>
      </c>
      <c r="S42" s="19">
        <f>Model!BD148</f>
        <v>2739540.819786347</v>
      </c>
      <c r="T42" s="19">
        <f>Model!BG148</f>
        <v>1800659.6199872864</v>
      </c>
      <c r="U42" s="19">
        <f>Model!BJ148</f>
        <v>390498.42687367834</v>
      </c>
      <c r="V42" s="19">
        <f>Model!BM148</f>
        <v>-1021772.4276022019</v>
      </c>
      <c r="W42" s="19">
        <f>Model!BP148</f>
        <v>-2434043.2820780822</v>
      </c>
      <c r="X42" s="19">
        <f>Model!BS148</f>
        <v>-3846314.1365539627</v>
      </c>
      <c r="Y42" s="19">
        <f>Model!BV148</f>
        <v>-5258584.9910298437</v>
      </c>
      <c r="Z42" s="19">
        <f>Model!BY148</f>
        <v>-6673007.700095241</v>
      </c>
      <c r="AA42" s="19">
        <f>Model!CB148</f>
        <v>-8087430.4091606382</v>
      </c>
      <c r="AB42" s="19">
        <f>Model!CE148</f>
        <v>-9501853.1182260383</v>
      </c>
      <c r="AC42" s="19">
        <f>Model!CH148</f>
        <v>-10916275.827291438</v>
      </c>
    </row>
    <row r="43" spans="1:29" ht="15" customHeight="1" x14ac:dyDescent="0.25">
      <c r="A43" s="18" t="s">
        <v>42</v>
      </c>
      <c r="B43" s="19">
        <f>Model!E156</f>
        <v>38855.739999999991</v>
      </c>
      <c r="C43" s="19">
        <f>Model!H156</f>
        <v>-3291.1799999999494</v>
      </c>
      <c r="D43" s="19">
        <f>Model!K156</f>
        <v>-563619.79999999993</v>
      </c>
      <c r="E43" s="19">
        <f>Model!N156</f>
        <v>-1362323.42</v>
      </c>
      <c r="F43" s="19">
        <f>Model!Q156</f>
        <v>-1912149.0399999996</v>
      </c>
      <c r="G43" s="19">
        <f>Model!T156</f>
        <v>-2557153.4099999992</v>
      </c>
      <c r="H43" s="19">
        <f>Model!W156</f>
        <v>-3078712.0232854439</v>
      </c>
      <c r="I43" s="19">
        <f>Model!Z156</f>
        <v>-3515512.9732854436</v>
      </c>
      <c r="J43" s="19">
        <f>Model!AC156</f>
        <v>-3761879.4132854431</v>
      </c>
      <c r="K43" s="19">
        <f>Model!AF156</f>
        <v>-4089550.0532854428</v>
      </c>
      <c r="L43" s="19">
        <f>Model!AI156</f>
        <v>-4443639.8932854431</v>
      </c>
      <c r="M43" s="19">
        <f>Model!AL156</f>
        <v>-4775881.3332854426</v>
      </c>
      <c r="N43" s="19">
        <f>Model!AO156</f>
        <v>-5109290.1020854423</v>
      </c>
      <c r="O43" s="19">
        <f>Model!AR156</f>
        <v>-5467106.654885442</v>
      </c>
      <c r="P43" s="19">
        <f>Model!AU156</f>
        <v>-5822800.7916854415</v>
      </c>
      <c r="Q43" s="19">
        <f>Model!AX156</f>
        <v>-6156209.5604854412</v>
      </c>
      <c r="R43" s="19">
        <f>Model!BA156</f>
        <v>-6490809.0046614418</v>
      </c>
      <c r="S43" s="19">
        <f>Model!BD156</f>
        <v>-6850304.3885174422</v>
      </c>
      <c r="T43" s="19">
        <f>Model!BG156</f>
        <v>-7207634.9080534428</v>
      </c>
      <c r="U43" s="19">
        <f>Model!BJ156</f>
        <v>-7542234.3522294434</v>
      </c>
      <c r="V43" s="19">
        <f>Model!BM156</f>
        <v>-7878048.2852889635</v>
      </c>
      <c r="W43" s="19">
        <f>Model!BP156</f>
        <v>-8187742.556822083</v>
      </c>
      <c r="X43" s="19">
        <f>Model!BS156</f>
        <v>-8478980.1867488027</v>
      </c>
      <c r="Y43" s="19">
        <f>Model!BV156</f>
        <v>-8747032.11980832</v>
      </c>
      <c r="Z43" s="19">
        <f>Model!BY156</f>
        <v>-9016322.8315290324</v>
      </c>
      <c r="AA43" s="19">
        <f>Model!CB156</f>
        <v>-9302778.278892817</v>
      </c>
      <c r="AB43" s="19">
        <f>Model!CE156</f>
        <v>-9586981.4014180731</v>
      </c>
      <c r="AC43" s="19">
        <f>Model!CH156</f>
        <v>-9840927.0865323059</v>
      </c>
    </row>
    <row r="44" spans="1:29" ht="15" customHeight="1" x14ac:dyDescent="0.25">
      <c r="A44" s="18" t="s">
        <v>43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-636672.96439304575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-779800.17739226262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0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0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0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0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0</v>
      </c>
    </row>
    <row r="45" spans="1:29" ht="15" customHeight="1" x14ac:dyDescent="0.25">
      <c r="A45" s="20" t="s">
        <v>44</v>
      </c>
      <c r="B45" s="21">
        <f>Model!E161</f>
        <v>1291241.2684698517</v>
      </c>
      <c r="C45" s="21">
        <f>Model!H161</f>
        <v>2147437.1339840782</v>
      </c>
      <c r="D45" s="21">
        <f>Model!K161</f>
        <v>2995772.2146434854</v>
      </c>
      <c r="E45" s="21">
        <f>Model!N161</f>
        <v>2606178.5684489664</v>
      </c>
      <c r="F45" s="21">
        <f>Model!Q161</f>
        <v>3468828.9633744317</v>
      </c>
      <c r="G45" s="21">
        <f>Model!T161</f>
        <v>3737192.4236349468</v>
      </c>
      <c r="H45" s="21">
        <f>Model!W161</f>
        <v>3849136.8959989185</v>
      </c>
      <c r="I45" s="21">
        <f>Model!Z161</f>
        <v>3119044.6600244078</v>
      </c>
      <c r="J45" s="21">
        <f>Model!AC161</f>
        <v>3163206.1061516614</v>
      </c>
      <c r="K45" s="21">
        <f>Model!AF161</f>
        <v>2973203.2809259831</v>
      </c>
      <c r="L45" s="21">
        <f>Model!AI161</f>
        <v>3017124.3928869041</v>
      </c>
      <c r="M45" s="21">
        <f>Model!AL161</f>
        <v>2473318.6427285839</v>
      </c>
      <c r="N45" s="21">
        <f>Model!AO161</f>
        <v>1680731.5436649029</v>
      </c>
      <c r="O45" s="21">
        <f>Model!AR161</f>
        <v>1086030.8056632797</v>
      </c>
      <c r="P45" s="21">
        <f>Model!AU161</f>
        <v>-167369.0084269066</v>
      </c>
      <c r="Q45" s="21">
        <f>Model!AX161</f>
        <v>-1427146.9474501638</v>
      </c>
      <c r="R45" s="21">
        <f>Model!BA161</f>
        <v>-2732818.4353032717</v>
      </c>
      <c r="S45" s="21">
        <f>Model!BD161</f>
        <v>-4110763.5687310952</v>
      </c>
      <c r="T45" s="21">
        <f>Model!BG161</f>
        <v>-5406975.2880661562</v>
      </c>
      <c r="U45" s="21">
        <f>Model!BJ161</f>
        <v>-7151735.925355765</v>
      </c>
      <c r="V45" s="21">
        <f>Model!BM161</f>
        <v>-8899820.7128911652</v>
      </c>
      <c r="W45" s="21">
        <f>Model!BP161</f>
        <v>-10621785.838900164</v>
      </c>
      <c r="X45" s="21">
        <f>Model!BS161</f>
        <v>-12325294.323302764</v>
      </c>
      <c r="Y45" s="21">
        <f>Model!BV161</f>
        <v>-14005617.110838164</v>
      </c>
      <c r="Z45" s="21">
        <f>Model!BY161</f>
        <v>-15689330.531624274</v>
      </c>
      <c r="AA45" s="21">
        <f>Model!CB161</f>
        <v>-17390208.688053455</v>
      </c>
      <c r="AB45" s="21">
        <f>Model!CE161</f>
        <v>-19088834.519644111</v>
      </c>
      <c r="AC45" s="21">
        <f>Model!CH161</f>
        <v>-20757202.913823742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17" t="s">
        <v>209</v>
      </c>
      <c r="B1" s="218"/>
      <c r="C1" s="218"/>
      <c r="D1" s="218"/>
      <c r="E1" s="218"/>
      <c r="F1" s="21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210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211</v>
      </c>
      <c r="B4" s="1"/>
      <c r="C4" s="65">
        <f>Model!C52</f>
        <v>9375</v>
      </c>
      <c r="D4" s="65">
        <f>Model!D52</f>
        <v>9375</v>
      </c>
      <c r="E4" s="65">
        <f>Model!E52</f>
        <v>9375</v>
      </c>
      <c r="F4" s="65">
        <f>Model!F52</f>
        <v>9375</v>
      </c>
      <c r="G4" s="65">
        <f>Model!G52</f>
        <v>9375</v>
      </c>
      <c r="H4" s="65">
        <f>Model!H52</f>
        <v>9375</v>
      </c>
      <c r="I4" s="65">
        <f>Model!I52</f>
        <v>9375</v>
      </c>
      <c r="J4" s="65">
        <f>Model!J52</f>
        <v>0</v>
      </c>
      <c r="K4" s="65">
        <f>Model!K52</f>
        <v>0</v>
      </c>
      <c r="L4" s="65">
        <f>Model!L52</f>
        <v>0</v>
      </c>
      <c r="M4" s="65">
        <f>Model!M52</f>
        <v>0</v>
      </c>
      <c r="N4" s="65">
        <f>Model!N52</f>
        <v>0</v>
      </c>
      <c r="O4" s="65">
        <f>Model!O52</f>
        <v>0</v>
      </c>
      <c r="P4" s="65">
        <f>Model!P52</f>
        <v>0</v>
      </c>
      <c r="Q4" s="65">
        <f>Model!Q52</f>
        <v>0</v>
      </c>
      <c r="R4" s="65">
        <f>Model!R52</f>
        <v>0</v>
      </c>
      <c r="S4" s="65">
        <f>Model!S52</f>
        <v>0</v>
      </c>
      <c r="T4" s="65">
        <f>Model!T52</f>
        <v>0</v>
      </c>
      <c r="U4" s="65">
        <f>Model!U52</f>
        <v>0</v>
      </c>
      <c r="V4" s="65">
        <f>Model!V52</f>
        <v>0</v>
      </c>
      <c r="W4" s="65">
        <f>Model!W52</f>
        <v>0</v>
      </c>
      <c r="X4" s="65">
        <f>Model!X52</f>
        <v>0</v>
      </c>
      <c r="Y4" s="65">
        <f>Model!Y52</f>
        <v>0</v>
      </c>
      <c r="Z4" s="65">
        <f>Model!Z52</f>
        <v>0</v>
      </c>
      <c r="AA4" s="65">
        <f>Model!AA52</f>
        <v>0</v>
      </c>
      <c r="AB4" s="65">
        <f>Model!AB52</f>
        <v>0</v>
      </c>
      <c r="AC4" s="65">
        <f>Model!AC52</f>
        <v>0</v>
      </c>
      <c r="AD4" s="65">
        <f>Model!AD52</f>
        <v>0</v>
      </c>
      <c r="AE4" s="65">
        <f>Model!AE52</f>
        <v>0</v>
      </c>
      <c r="AF4" s="65">
        <f>Model!AF52</f>
        <v>0</v>
      </c>
      <c r="AG4" s="65">
        <f>Model!AG52</f>
        <v>0</v>
      </c>
      <c r="AH4" s="65">
        <f>Model!AH52</f>
        <v>0</v>
      </c>
      <c r="AI4" s="65">
        <f>Model!AI52</f>
        <v>0</v>
      </c>
      <c r="AJ4" s="65">
        <f>Model!AJ52</f>
        <v>0</v>
      </c>
      <c r="AK4" s="65">
        <f>Model!AK52</f>
        <v>0</v>
      </c>
      <c r="AL4" s="65">
        <f>Model!AL52</f>
        <v>0</v>
      </c>
      <c r="AM4" s="65">
        <f>Model!AM52</f>
        <v>0</v>
      </c>
      <c r="AN4" s="65">
        <f>Model!AN52</f>
        <v>0</v>
      </c>
      <c r="AO4" s="65">
        <f>Model!AO52</f>
        <v>0</v>
      </c>
      <c r="AP4" s="65">
        <f>Model!AP52</f>
        <v>0</v>
      </c>
      <c r="AQ4" s="65">
        <f>Model!AQ52</f>
        <v>0</v>
      </c>
      <c r="AR4" s="65">
        <f>Model!AR52</f>
        <v>0</v>
      </c>
      <c r="AS4" s="65">
        <f>Model!AS52</f>
        <v>0</v>
      </c>
      <c r="AT4" s="65">
        <f>Model!AT52</f>
        <v>0</v>
      </c>
      <c r="AU4" s="65">
        <f>Model!AU52</f>
        <v>0</v>
      </c>
      <c r="AV4" s="65">
        <f>Model!AV52</f>
        <v>0</v>
      </c>
      <c r="AW4" s="65">
        <f>Model!AW52</f>
        <v>0</v>
      </c>
      <c r="AX4" s="65">
        <f>Model!AX52</f>
        <v>0</v>
      </c>
      <c r="AY4" s="65">
        <f>Model!AY52</f>
        <v>0</v>
      </c>
      <c r="AZ4" s="65">
        <f>Model!AZ52</f>
        <v>0</v>
      </c>
      <c r="BA4" s="65">
        <f>Model!BA52</f>
        <v>0</v>
      </c>
      <c r="BB4" s="65">
        <f>Model!BB52</f>
        <v>0</v>
      </c>
      <c r="BC4" s="65">
        <f>Model!BC52</f>
        <v>0</v>
      </c>
      <c r="BD4" s="65">
        <f>Model!BD52</f>
        <v>0</v>
      </c>
      <c r="BE4" s="65">
        <f>Model!BE52</f>
        <v>0</v>
      </c>
      <c r="BF4" s="65">
        <f>Model!BF52</f>
        <v>0</v>
      </c>
      <c r="BG4" s="65">
        <f>Model!BG52</f>
        <v>0</v>
      </c>
      <c r="BH4" s="65">
        <f>Model!BH52</f>
        <v>0</v>
      </c>
      <c r="BI4" s="65">
        <f>Model!BI52</f>
        <v>0</v>
      </c>
      <c r="BJ4" s="65">
        <f>Model!BJ52</f>
        <v>0</v>
      </c>
      <c r="BK4" s="65">
        <f>Model!BK52</f>
        <v>0</v>
      </c>
      <c r="BL4" s="65">
        <f>Model!BL52</f>
        <v>0</v>
      </c>
      <c r="BM4" s="65">
        <f>Model!BM52</f>
        <v>0</v>
      </c>
      <c r="BN4" s="65">
        <f>Model!BN52</f>
        <v>0</v>
      </c>
      <c r="BO4" s="65">
        <f>Model!BO52</f>
        <v>0</v>
      </c>
      <c r="BP4" s="65">
        <f>Model!BP52</f>
        <v>0</v>
      </c>
      <c r="BQ4" s="65">
        <f>Model!BQ52</f>
        <v>0</v>
      </c>
      <c r="BR4" s="65">
        <f>Model!BR52</f>
        <v>0</v>
      </c>
      <c r="BS4" s="65">
        <f>Model!BS52</f>
        <v>0</v>
      </c>
      <c r="BT4" s="65">
        <f>Model!BT52</f>
        <v>0</v>
      </c>
      <c r="BU4" s="65">
        <f>Model!BU52</f>
        <v>0</v>
      </c>
      <c r="BV4" s="65">
        <f>Model!BV52</f>
        <v>0</v>
      </c>
      <c r="BW4" s="65">
        <f>Model!BW52</f>
        <v>0</v>
      </c>
      <c r="BX4" s="65">
        <f>Model!BX52</f>
        <v>0</v>
      </c>
      <c r="BY4" s="65">
        <f>Model!BY52</f>
        <v>0</v>
      </c>
      <c r="BZ4" s="65">
        <f>Model!BZ52</f>
        <v>0</v>
      </c>
      <c r="CA4" s="65">
        <f>Model!CA52</f>
        <v>0</v>
      </c>
      <c r="CB4" s="65">
        <f>Model!CB52</f>
        <v>0</v>
      </c>
      <c r="CC4" s="65">
        <f>Model!CC52</f>
        <v>0</v>
      </c>
      <c r="CD4" s="65">
        <f>Model!CD52</f>
        <v>0</v>
      </c>
      <c r="CE4" s="65">
        <f>Model!CE52</f>
        <v>0</v>
      </c>
      <c r="CF4" s="65">
        <f>Model!CF52</f>
        <v>0</v>
      </c>
      <c r="CG4" s="65">
        <f>Model!CG52</f>
        <v>0</v>
      </c>
      <c r="CH4" s="65">
        <f>Model!CH52</f>
        <v>0</v>
      </c>
    </row>
    <row r="5" spans="1:86" ht="15" customHeight="1" x14ac:dyDescent="0.25">
      <c r="A5" s="28" t="s">
        <v>212</v>
      </c>
      <c r="B5" s="28"/>
      <c r="C5" s="66">
        <f t="shared" ref="C5:AH5" si="0">C4</f>
        <v>9375</v>
      </c>
      <c r="D5" s="66">
        <f t="shared" si="0"/>
        <v>9375</v>
      </c>
      <c r="E5" s="66">
        <f t="shared" si="0"/>
        <v>9375</v>
      </c>
      <c r="F5" s="66">
        <f t="shared" si="0"/>
        <v>9375</v>
      </c>
      <c r="G5" s="66">
        <f t="shared" si="0"/>
        <v>9375</v>
      </c>
      <c r="H5" s="66">
        <f t="shared" si="0"/>
        <v>9375</v>
      </c>
      <c r="I5" s="66">
        <f t="shared" si="0"/>
        <v>9375</v>
      </c>
      <c r="J5" s="66">
        <f t="shared" si="0"/>
        <v>0</v>
      </c>
      <c r="K5" s="66">
        <f t="shared" si="0"/>
        <v>0</v>
      </c>
      <c r="L5" s="66">
        <f t="shared" si="0"/>
        <v>0</v>
      </c>
      <c r="M5" s="66">
        <f t="shared" si="0"/>
        <v>0</v>
      </c>
      <c r="N5" s="66">
        <f t="shared" si="0"/>
        <v>0</v>
      </c>
      <c r="O5" s="66">
        <f t="shared" si="0"/>
        <v>0</v>
      </c>
      <c r="P5" s="66">
        <f t="shared" si="0"/>
        <v>0</v>
      </c>
      <c r="Q5" s="66">
        <f t="shared" si="0"/>
        <v>0</v>
      </c>
      <c r="R5" s="66">
        <f t="shared" si="0"/>
        <v>0</v>
      </c>
      <c r="S5" s="66">
        <f t="shared" si="0"/>
        <v>0</v>
      </c>
      <c r="T5" s="66">
        <f t="shared" si="0"/>
        <v>0</v>
      </c>
      <c r="U5" s="66">
        <f t="shared" si="0"/>
        <v>0</v>
      </c>
      <c r="V5" s="66">
        <f t="shared" si="0"/>
        <v>0</v>
      </c>
      <c r="W5" s="66">
        <f t="shared" si="0"/>
        <v>0</v>
      </c>
      <c r="X5" s="66">
        <f t="shared" si="0"/>
        <v>0</v>
      </c>
      <c r="Y5" s="66">
        <f t="shared" si="0"/>
        <v>0</v>
      </c>
      <c r="Z5" s="66">
        <f t="shared" si="0"/>
        <v>0</v>
      </c>
      <c r="AA5" s="66">
        <f t="shared" si="0"/>
        <v>0</v>
      </c>
      <c r="AB5" s="66">
        <f t="shared" si="0"/>
        <v>0</v>
      </c>
      <c r="AC5" s="66">
        <f t="shared" si="0"/>
        <v>0</v>
      </c>
      <c r="AD5" s="66">
        <f t="shared" si="0"/>
        <v>0</v>
      </c>
      <c r="AE5" s="66">
        <f t="shared" si="0"/>
        <v>0</v>
      </c>
      <c r="AF5" s="66">
        <f t="shared" si="0"/>
        <v>0</v>
      </c>
      <c r="AG5" s="66">
        <f t="shared" si="0"/>
        <v>0</v>
      </c>
      <c r="AH5" s="66">
        <f t="shared" si="0"/>
        <v>0</v>
      </c>
      <c r="AI5" s="66">
        <f t="shared" ref="AI5:BN5" si="1">AI4</f>
        <v>0</v>
      </c>
      <c r="AJ5" s="66">
        <f t="shared" si="1"/>
        <v>0</v>
      </c>
      <c r="AK5" s="66">
        <f t="shared" si="1"/>
        <v>0</v>
      </c>
      <c r="AL5" s="66">
        <f t="shared" si="1"/>
        <v>0</v>
      </c>
      <c r="AM5" s="66">
        <f t="shared" si="1"/>
        <v>0</v>
      </c>
      <c r="AN5" s="66">
        <f t="shared" si="1"/>
        <v>0</v>
      </c>
      <c r="AO5" s="66">
        <f t="shared" si="1"/>
        <v>0</v>
      </c>
      <c r="AP5" s="66">
        <f t="shared" si="1"/>
        <v>0</v>
      </c>
      <c r="AQ5" s="66">
        <f t="shared" si="1"/>
        <v>0</v>
      </c>
      <c r="AR5" s="66">
        <f t="shared" si="1"/>
        <v>0</v>
      </c>
      <c r="AS5" s="66">
        <f t="shared" si="1"/>
        <v>0</v>
      </c>
      <c r="AT5" s="66">
        <f t="shared" si="1"/>
        <v>0</v>
      </c>
      <c r="AU5" s="66">
        <f t="shared" si="1"/>
        <v>0</v>
      </c>
      <c r="AV5" s="66">
        <f t="shared" si="1"/>
        <v>0</v>
      </c>
      <c r="AW5" s="66">
        <f t="shared" si="1"/>
        <v>0</v>
      </c>
      <c r="AX5" s="66">
        <f t="shared" si="1"/>
        <v>0</v>
      </c>
      <c r="AY5" s="66">
        <f t="shared" si="1"/>
        <v>0</v>
      </c>
      <c r="AZ5" s="66">
        <f t="shared" si="1"/>
        <v>0</v>
      </c>
      <c r="BA5" s="66">
        <f t="shared" si="1"/>
        <v>0</v>
      </c>
      <c r="BB5" s="66">
        <f t="shared" si="1"/>
        <v>0</v>
      </c>
      <c r="BC5" s="66">
        <f t="shared" si="1"/>
        <v>0</v>
      </c>
      <c r="BD5" s="66">
        <f t="shared" si="1"/>
        <v>0</v>
      </c>
      <c r="BE5" s="66">
        <f t="shared" si="1"/>
        <v>0</v>
      </c>
      <c r="BF5" s="66">
        <f t="shared" si="1"/>
        <v>0</v>
      </c>
      <c r="BG5" s="66">
        <f t="shared" si="1"/>
        <v>0</v>
      </c>
      <c r="BH5" s="66">
        <f t="shared" si="1"/>
        <v>0</v>
      </c>
      <c r="BI5" s="66">
        <f t="shared" si="1"/>
        <v>0</v>
      </c>
      <c r="BJ5" s="66">
        <f t="shared" si="1"/>
        <v>0</v>
      </c>
      <c r="BK5" s="66">
        <f t="shared" si="1"/>
        <v>0</v>
      </c>
      <c r="BL5" s="66">
        <f t="shared" si="1"/>
        <v>0</v>
      </c>
      <c r="BM5" s="66">
        <f t="shared" si="1"/>
        <v>0</v>
      </c>
      <c r="BN5" s="66">
        <f t="shared" si="1"/>
        <v>0</v>
      </c>
      <c r="BO5" s="66">
        <f t="shared" ref="BO5:CT5" si="2">BO4</f>
        <v>0</v>
      </c>
      <c r="BP5" s="66">
        <f t="shared" si="2"/>
        <v>0</v>
      </c>
      <c r="BQ5" s="66">
        <f t="shared" si="2"/>
        <v>0</v>
      </c>
      <c r="BR5" s="66">
        <f t="shared" si="2"/>
        <v>0</v>
      </c>
      <c r="BS5" s="66">
        <f t="shared" si="2"/>
        <v>0</v>
      </c>
      <c r="BT5" s="66">
        <f t="shared" si="2"/>
        <v>0</v>
      </c>
      <c r="BU5" s="66">
        <f t="shared" si="2"/>
        <v>0</v>
      </c>
      <c r="BV5" s="66">
        <f t="shared" si="2"/>
        <v>0</v>
      </c>
      <c r="BW5" s="66">
        <f t="shared" si="2"/>
        <v>0</v>
      </c>
      <c r="BX5" s="66">
        <f t="shared" si="2"/>
        <v>0</v>
      </c>
      <c r="BY5" s="66">
        <f t="shared" si="2"/>
        <v>0</v>
      </c>
      <c r="BZ5" s="66">
        <f t="shared" si="2"/>
        <v>0</v>
      </c>
      <c r="CA5" s="66">
        <f t="shared" si="2"/>
        <v>0</v>
      </c>
      <c r="CB5" s="66">
        <f t="shared" si="2"/>
        <v>0</v>
      </c>
      <c r="CC5" s="66">
        <f t="shared" si="2"/>
        <v>0</v>
      </c>
      <c r="CD5" s="66">
        <f t="shared" si="2"/>
        <v>0</v>
      </c>
      <c r="CE5" s="66">
        <f t="shared" si="2"/>
        <v>0</v>
      </c>
      <c r="CF5" s="66">
        <f t="shared" si="2"/>
        <v>0</v>
      </c>
      <c r="CG5" s="66">
        <f t="shared" si="2"/>
        <v>0</v>
      </c>
      <c r="CH5" s="66">
        <f t="shared" si="2"/>
        <v>0</v>
      </c>
    </row>
    <row r="6" spans="1:86" ht="15" customHeight="1" x14ac:dyDescent="0.25">
      <c r="A6" s="59" t="s">
        <v>213</v>
      </c>
      <c r="B6" s="1"/>
      <c r="C6" s="67">
        <f>C5</f>
        <v>9375</v>
      </c>
      <c r="D6" s="67">
        <f t="shared" ref="D6:AI6" si="3">C6+D5</f>
        <v>18750</v>
      </c>
      <c r="E6" s="67">
        <f t="shared" si="3"/>
        <v>28125</v>
      </c>
      <c r="F6" s="67">
        <f t="shared" si="3"/>
        <v>37500</v>
      </c>
      <c r="G6" s="67">
        <f t="shared" si="3"/>
        <v>46875</v>
      </c>
      <c r="H6" s="67">
        <f t="shared" si="3"/>
        <v>56250</v>
      </c>
      <c r="I6" s="67">
        <f t="shared" si="3"/>
        <v>65625</v>
      </c>
      <c r="J6" s="67">
        <f t="shared" si="3"/>
        <v>65625</v>
      </c>
      <c r="K6" s="67">
        <f t="shared" si="3"/>
        <v>65625</v>
      </c>
      <c r="L6" s="67">
        <f t="shared" si="3"/>
        <v>65625</v>
      </c>
      <c r="M6" s="67">
        <f t="shared" si="3"/>
        <v>65625</v>
      </c>
      <c r="N6" s="67">
        <f t="shared" si="3"/>
        <v>65625</v>
      </c>
      <c r="O6" s="67">
        <f t="shared" si="3"/>
        <v>65625</v>
      </c>
      <c r="P6" s="67">
        <f t="shared" si="3"/>
        <v>65625</v>
      </c>
      <c r="Q6" s="67">
        <f t="shared" si="3"/>
        <v>65625</v>
      </c>
      <c r="R6" s="67">
        <f t="shared" si="3"/>
        <v>65625</v>
      </c>
      <c r="S6" s="67">
        <f t="shared" si="3"/>
        <v>65625</v>
      </c>
      <c r="T6" s="67">
        <f t="shared" si="3"/>
        <v>65625</v>
      </c>
      <c r="U6" s="67">
        <f t="shared" si="3"/>
        <v>65625</v>
      </c>
      <c r="V6" s="67">
        <f t="shared" si="3"/>
        <v>65625</v>
      </c>
      <c r="W6" s="67">
        <f t="shared" si="3"/>
        <v>65625</v>
      </c>
      <c r="X6" s="67">
        <f t="shared" si="3"/>
        <v>65625</v>
      </c>
      <c r="Y6" s="67">
        <f t="shared" si="3"/>
        <v>65625</v>
      </c>
      <c r="Z6" s="67">
        <f t="shared" si="3"/>
        <v>65625</v>
      </c>
      <c r="AA6" s="67">
        <f t="shared" si="3"/>
        <v>65625</v>
      </c>
      <c r="AB6" s="67">
        <f t="shared" si="3"/>
        <v>65625</v>
      </c>
      <c r="AC6" s="67">
        <f t="shared" si="3"/>
        <v>65625</v>
      </c>
      <c r="AD6" s="67">
        <f t="shared" si="3"/>
        <v>65625</v>
      </c>
      <c r="AE6" s="67">
        <f t="shared" si="3"/>
        <v>65625</v>
      </c>
      <c r="AF6" s="67">
        <f t="shared" si="3"/>
        <v>65625</v>
      </c>
      <c r="AG6" s="67">
        <f t="shared" si="3"/>
        <v>65625</v>
      </c>
      <c r="AH6" s="67">
        <f t="shared" si="3"/>
        <v>65625</v>
      </c>
      <c r="AI6" s="67">
        <f t="shared" si="3"/>
        <v>65625</v>
      </c>
      <c r="AJ6" s="67">
        <f t="shared" ref="AJ6:BO6" si="4">AI6+AJ5</f>
        <v>65625</v>
      </c>
      <c r="AK6" s="67">
        <f t="shared" si="4"/>
        <v>65625</v>
      </c>
      <c r="AL6" s="67">
        <f t="shared" si="4"/>
        <v>65625</v>
      </c>
      <c r="AM6" s="67">
        <f t="shared" si="4"/>
        <v>65625</v>
      </c>
      <c r="AN6" s="67">
        <f t="shared" si="4"/>
        <v>65625</v>
      </c>
      <c r="AO6" s="67">
        <f t="shared" si="4"/>
        <v>65625</v>
      </c>
      <c r="AP6" s="67">
        <f t="shared" si="4"/>
        <v>65625</v>
      </c>
      <c r="AQ6" s="67">
        <f t="shared" si="4"/>
        <v>65625</v>
      </c>
      <c r="AR6" s="67">
        <f t="shared" si="4"/>
        <v>65625</v>
      </c>
      <c r="AS6" s="67">
        <f t="shared" si="4"/>
        <v>65625</v>
      </c>
      <c r="AT6" s="67">
        <f t="shared" si="4"/>
        <v>65625</v>
      </c>
      <c r="AU6" s="67">
        <f t="shared" si="4"/>
        <v>65625</v>
      </c>
      <c r="AV6" s="67">
        <f t="shared" si="4"/>
        <v>65625</v>
      </c>
      <c r="AW6" s="67">
        <f t="shared" si="4"/>
        <v>65625</v>
      </c>
      <c r="AX6" s="67">
        <f t="shared" si="4"/>
        <v>65625</v>
      </c>
      <c r="AY6" s="67">
        <f t="shared" si="4"/>
        <v>65625</v>
      </c>
      <c r="AZ6" s="67">
        <f t="shared" si="4"/>
        <v>65625</v>
      </c>
      <c r="BA6" s="67">
        <f t="shared" si="4"/>
        <v>65625</v>
      </c>
      <c r="BB6" s="67">
        <f t="shared" si="4"/>
        <v>65625</v>
      </c>
      <c r="BC6" s="67">
        <f t="shared" si="4"/>
        <v>65625</v>
      </c>
      <c r="BD6" s="67">
        <f t="shared" si="4"/>
        <v>65625</v>
      </c>
      <c r="BE6" s="67">
        <f t="shared" si="4"/>
        <v>65625</v>
      </c>
      <c r="BF6" s="67">
        <f t="shared" si="4"/>
        <v>65625</v>
      </c>
      <c r="BG6" s="67">
        <f t="shared" si="4"/>
        <v>65625</v>
      </c>
      <c r="BH6" s="67">
        <f t="shared" si="4"/>
        <v>65625</v>
      </c>
      <c r="BI6" s="67">
        <f t="shared" si="4"/>
        <v>65625</v>
      </c>
      <c r="BJ6" s="67">
        <f t="shared" si="4"/>
        <v>65625</v>
      </c>
      <c r="BK6" s="67">
        <f t="shared" si="4"/>
        <v>65625</v>
      </c>
      <c r="BL6" s="67">
        <f t="shared" si="4"/>
        <v>65625</v>
      </c>
      <c r="BM6" s="67">
        <f t="shared" si="4"/>
        <v>65625</v>
      </c>
      <c r="BN6" s="67">
        <f t="shared" si="4"/>
        <v>65625</v>
      </c>
      <c r="BO6" s="67">
        <f t="shared" si="4"/>
        <v>65625</v>
      </c>
      <c r="BP6" s="67">
        <f t="shared" ref="BP6:CU6" si="5">BO6+BP5</f>
        <v>65625</v>
      </c>
      <c r="BQ6" s="67">
        <f t="shared" si="5"/>
        <v>65625</v>
      </c>
      <c r="BR6" s="67">
        <f t="shared" si="5"/>
        <v>65625</v>
      </c>
      <c r="BS6" s="67">
        <f t="shared" si="5"/>
        <v>65625</v>
      </c>
      <c r="BT6" s="67">
        <f t="shared" si="5"/>
        <v>65625</v>
      </c>
      <c r="BU6" s="67">
        <f t="shared" si="5"/>
        <v>65625</v>
      </c>
      <c r="BV6" s="67">
        <f t="shared" si="5"/>
        <v>65625</v>
      </c>
      <c r="BW6" s="67">
        <f t="shared" si="5"/>
        <v>65625</v>
      </c>
      <c r="BX6" s="67">
        <f t="shared" si="5"/>
        <v>65625</v>
      </c>
      <c r="BY6" s="67">
        <f t="shared" si="5"/>
        <v>65625</v>
      </c>
      <c r="BZ6" s="67">
        <f t="shared" si="5"/>
        <v>65625</v>
      </c>
      <c r="CA6" s="67">
        <f t="shared" si="5"/>
        <v>65625</v>
      </c>
      <c r="CB6" s="67">
        <f t="shared" si="5"/>
        <v>65625</v>
      </c>
      <c r="CC6" s="67">
        <f t="shared" si="5"/>
        <v>65625</v>
      </c>
      <c r="CD6" s="67">
        <f t="shared" si="5"/>
        <v>65625</v>
      </c>
      <c r="CE6" s="67">
        <f t="shared" si="5"/>
        <v>65625</v>
      </c>
      <c r="CF6" s="67">
        <f t="shared" si="5"/>
        <v>65625</v>
      </c>
      <c r="CG6" s="67">
        <f t="shared" si="5"/>
        <v>65625</v>
      </c>
      <c r="CH6" s="67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214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211</v>
      </c>
      <c r="B9" s="1"/>
      <c r="C9" s="65">
        <f>Model!C48+Model!C49+Model!C50+Model!C51</f>
        <v>23906.25</v>
      </c>
      <c r="D9" s="65">
        <f>Model!D48+Model!D49+Model!D50+Model!D51</f>
        <v>23906.25</v>
      </c>
      <c r="E9" s="65">
        <f>Model!E48+Model!E49+Model!E50+Model!E51</f>
        <v>23906.25</v>
      </c>
      <c r="F9" s="65">
        <f>Model!F48+Model!F49+Model!F50+Model!F51</f>
        <v>23906.25</v>
      </c>
      <c r="G9" s="65">
        <f>Model!G48+Model!G49+Model!G50+Model!G51</f>
        <v>23906.25</v>
      </c>
      <c r="H9" s="65">
        <f>Model!H48+Model!H49+Model!H50+Model!H51</f>
        <v>23906.25</v>
      </c>
      <c r="I9" s="65">
        <f>Model!I48+Model!I49+Model!I50+Model!I51</f>
        <v>23906.25</v>
      </c>
      <c r="J9" s="65">
        <f>Model!J48+Model!J49+Model!J50+Model!J51</f>
        <v>23906.25</v>
      </c>
      <c r="K9" s="65">
        <f>Model!K48+Model!K49+Model!K50+Model!K51</f>
        <v>23906.25</v>
      </c>
      <c r="L9" s="65">
        <f>Model!L48+Model!L49+Model!L50+Model!L51</f>
        <v>23906.25</v>
      </c>
      <c r="M9" s="65">
        <f>Model!M48+Model!M49+Model!M50+Model!M51</f>
        <v>23906.25</v>
      </c>
      <c r="N9" s="65">
        <f>Model!N48+Model!N49+Model!N50+Model!N51</f>
        <v>23906.25</v>
      </c>
      <c r="O9" s="65">
        <f>Model!O48+Model!O49+Model!O50+Model!O51</f>
        <v>23906.25</v>
      </c>
      <c r="P9" s="65">
        <f>Model!P48+Model!P49+Model!P50+Model!P51</f>
        <v>23906.25</v>
      </c>
      <c r="Q9" s="65">
        <f>Model!Q48+Model!Q49+Model!Q50+Model!Q51</f>
        <v>23906.25</v>
      </c>
      <c r="R9" s="65">
        <f>Model!R48+Model!R49+Model!R50+Model!R51</f>
        <v>0</v>
      </c>
      <c r="S9" s="65">
        <f>Model!S48+Model!S49+Model!S50+Model!S51</f>
        <v>0</v>
      </c>
      <c r="T9" s="65">
        <f>Model!T48+Model!T49+Model!T50+Model!T51</f>
        <v>0</v>
      </c>
      <c r="U9" s="65">
        <f>Model!U48+Model!U49+Model!U50+Model!U51</f>
        <v>0</v>
      </c>
      <c r="V9" s="65">
        <f>Model!V48+Model!V49+Model!V50+Model!V51</f>
        <v>0</v>
      </c>
      <c r="W9" s="65">
        <f>Model!W48+Model!W49+Model!W50+Model!W51</f>
        <v>57375</v>
      </c>
      <c r="X9" s="65">
        <f>Model!X48+Model!X49+Model!X50+Model!X51</f>
        <v>0</v>
      </c>
      <c r="Y9" s="65">
        <f>Model!Y48+Model!Y49+Model!Y50+Model!Y51</f>
        <v>0</v>
      </c>
      <c r="Z9" s="65">
        <f>Model!Z48+Model!Z49+Model!Z50+Model!Z51</f>
        <v>57375</v>
      </c>
      <c r="AA9" s="65">
        <f>Model!AA48+Model!AA49+Model!AA50+Model!AA51</f>
        <v>0</v>
      </c>
      <c r="AB9" s="65">
        <f>Model!AB48+Model!AB49+Model!AB50+Model!AB51</f>
        <v>0</v>
      </c>
      <c r="AC9" s="65">
        <f>Model!AC48+Model!AC49+Model!AC50+Model!AC51</f>
        <v>57375</v>
      </c>
      <c r="AD9" s="65">
        <f>Model!AD48+Model!AD49+Model!AD50+Model!AD51</f>
        <v>0</v>
      </c>
      <c r="AE9" s="65">
        <f>Model!AE48+Model!AE49+Model!AE50+Model!AE51</f>
        <v>0</v>
      </c>
      <c r="AF9" s="65">
        <f>Model!AF48+Model!AF49+Model!AF50+Model!AF51</f>
        <v>0</v>
      </c>
      <c r="AG9" s="65">
        <f>Model!AG48+Model!AG49+Model!AG50+Model!AG51</f>
        <v>0</v>
      </c>
      <c r="AH9" s="65">
        <f>Model!AH48+Model!AH49+Model!AH50+Model!AH51</f>
        <v>0</v>
      </c>
      <c r="AI9" s="65">
        <f>Model!AI48+Model!AI49+Model!AI50+Model!AI51</f>
        <v>0</v>
      </c>
      <c r="AJ9" s="65">
        <f>Model!AJ48+Model!AJ49+Model!AJ50+Model!AJ51</f>
        <v>0</v>
      </c>
      <c r="AK9" s="65">
        <f>Model!AK48+Model!AK49+Model!AK50+Model!AK51</f>
        <v>0</v>
      </c>
      <c r="AL9" s="65">
        <f>Model!AL48+Model!AL49+Model!AL50+Model!AL51</f>
        <v>0</v>
      </c>
      <c r="AM9" s="65">
        <f>Model!AM48+Model!AM49+Model!AM50+Model!AM51</f>
        <v>0</v>
      </c>
      <c r="AN9" s="65">
        <f>Model!AN48+Model!AN49+Model!AN50+Model!AN51</f>
        <v>0</v>
      </c>
      <c r="AO9" s="65">
        <f>Model!AO48+Model!AO49+Model!AO50+Model!AO51</f>
        <v>0</v>
      </c>
      <c r="AP9" s="65">
        <f>Model!AP48+Model!AP49+Model!AP50+Model!AP51</f>
        <v>0</v>
      </c>
      <c r="AQ9" s="65">
        <f>Model!AQ48+Model!AQ49+Model!AQ50+Model!AQ51</f>
        <v>0</v>
      </c>
      <c r="AR9" s="65">
        <f>Model!AR48+Model!AR49+Model!AR50+Model!AR51</f>
        <v>0</v>
      </c>
      <c r="AS9" s="65">
        <f>Model!AS48+Model!AS49+Model!AS50+Model!AS51</f>
        <v>0</v>
      </c>
      <c r="AT9" s="65">
        <f>Model!AT48+Model!AT49+Model!AT50+Model!AT51</f>
        <v>0</v>
      </c>
      <c r="AU9" s="65">
        <f>Model!AU48+Model!AU49+Model!AU50+Model!AU51</f>
        <v>0</v>
      </c>
      <c r="AV9" s="65">
        <f>Model!AV48+Model!AV49+Model!AV50+Model!AV51</f>
        <v>0</v>
      </c>
      <c r="AW9" s="65">
        <f>Model!AW48+Model!AW49+Model!AW50+Model!AW51</f>
        <v>0</v>
      </c>
      <c r="AX9" s="65">
        <f>Model!AX48+Model!AX49+Model!AX50+Model!AX51</f>
        <v>0</v>
      </c>
      <c r="AY9" s="65">
        <f>Model!AY48+Model!AY49+Model!AY50+Model!AY51</f>
        <v>0</v>
      </c>
      <c r="AZ9" s="65">
        <f>Model!AZ48+Model!AZ49+Model!AZ50+Model!AZ51</f>
        <v>0</v>
      </c>
      <c r="BA9" s="65">
        <f>Model!BA48+Model!BA49+Model!BA50+Model!BA51</f>
        <v>0</v>
      </c>
      <c r="BB9" s="65">
        <f>Model!BB48+Model!BB49+Model!BB50+Model!BB51</f>
        <v>0</v>
      </c>
      <c r="BC9" s="65">
        <f>Model!BC48+Model!BC49+Model!BC50+Model!BC51</f>
        <v>0</v>
      </c>
      <c r="BD9" s="65">
        <f>Model!BD48+Model!BD49+Model!BD50+Model!BD51</f>
        <v>0</v>
      </c>
      <c r="BE9" s="65">
        <f>Model!BE48+Model!BE49+Model!BE50+Model!BE51</f>
        <v>0</v>
      </c>
      <c r="BF9" s="65">
        <f>Model!BF48+Model!BF49+Model!BF50+Model!BF51</f>
        <v>0</v>
      </c>
      <c r="BG9" s="65">
        <f>Model!BG48+Model!BG49+Model!BG50+Model!BG51</f>
        <v>0</v>
      </c>
      <c r="BH9" s="65">
        <f>Model!BH48+Model!BH49+Model!BH50+Model!BH51</f>
        <v>0</v>
      </c>
      <c r="BI9" s="65">
        <f>Model!BI48+Model!BI49+Model!BI50+Model!BI51</f>
        <v>0</v>
      </c>
      <c r="BJ9" s="65">
        <f>Model!BJ48+Model!BJ49+Model!BJ50+Model!BJ51</f>
        <v>0</v>
      </c>
      <c r="BK9" s="65">
        <f>Model!BK48+Model!BK49+Model!BK50+Model!BK51</f>
        <v>0</v>
      </c>
      <c r="BL9" s="65">
        <f>Model!BL48+Model!BL49+Model!BL50+Model!BL51</f>
        <v>0</v>
      </c>
      <c r="BM9" s="65">
        <f>Model!BM48+Model!BM49+Model!BM50+Model!BM51</f>
        <v>0</v>
      </c>
      <c r="BN9" s="65">
        <f>Model!BN48+Model!BN49+Model!BN50+Model!BN51</f>
        <v>0</v>
      </c>
      <c r="BO9" s="65">
        <f>Model!BO48+Model!BO49+Model!BO50+Model!BO51</f>
        <v>0</v>
      </c>
      <c r="BP9" s="65">
        <f>Model!BP48+Model!BP49+Model!BP50+Model!BP51</f>
        <v>0</v>
      </c>
      <c r="BQ9" s="65">
        <f>Model!BQ48+Model!BQ49+Model!BQ50+Model!BQ51</f>
        <v>0</v>
      </c>
      <c r="BR9" s="65">
        <f>Model!BR48+Model!BR49+Model!BR50+Model!BR51</f>
        <v>0</v>
      </c>
      <c r="BS9" s="65">
        <f>Model!BS48+Model!BS49+Model!BS50+Model!BS51</f>
        <v>0</v>
      </c>
      <c r="BT9" s="65">
        <f>Model!BT48+Model!BT49+Model!BT50+Model!BT51</f>
        <v>0</v>
      </c>
      <c r="BU9" s="65">
        <f>Model!BU48+Model!BU49+Model!BU50+Model!BU51</f>
        <v>0</v>
      </c>
      <c r="BV9" s="65">
        <f>Model!BV48+Model!BV49+Model!BV50+Model!BV51</f>
        <v>0</v>
      </c>
      <c r="BW9" s="65">
        <f>Model!BW48+Model!BW49+Model!BW50+Model!BW51</f>
        <v>0</v>
      </c>
      <c r="BX9" s="65">
        <f>Model!BX48+Model!BX49+Model!BX50+Model!BX51</f>
        <v>0</v>
      </c>
      <c r="BY9" s="65">
        <f>Model!BY48+Model!BY49+Model!BY50+Model!BY51</f>
        <v>0</v>
      </c>
      <c r="BZ9" s="65">
        <f>Model!BZ48+Model!BZ49+Model!BZ50+Model!BZ51</f>
        <v>0</v>
      </c>
      <c r="CA9" s="65">
        <f>Model!CA48+Model!CA49+Model!CA50+Model!CA51</f>
        <v>0</v>
      </c>
      <c r="CB9" s="65">
        <f>Model!CB48+Model!CB49+Model!CB50+Model!CB51</f>
        <v>0</v>
      </c>
      <c r="CC9" s="65">
        <f>Model!CC48+Model!CC49+Model!CC50+Model!CC51</f>
        <v>0</v>
      </c>
      <c r="CD9" s="65">
        <f>Model!CD48+Model!CD49+Model!CD50+Model!CD51</f>
        <v>0</v>
      </c>
      <c r="CE9" s="65">
        <f>Model!CE48+Model!CE49+Model!CE50+Model!CE51</f>
        <v>0</v>
      </c>
      <c r="CF9" s="65">
        <f>Model!CF48+Model!CF49+Model!CF50+Model!CF51</f>
        <v>0</v>
      </c>
      <c r="CG9" s="65">
        <f>Model!CG48+Model!CG49+Model!CG50+Model!CG51</f>
        <v>0</v>
      </c>
      <c r="CH9" s="65">
        <f>Model!CH48+Model!CH49+Model!CH50+Model!CH51</f>
        <v>0</v>
      </c>
    </row>
    <row r="10" spans="1:86" ht="15" customHeight="1" x14ac:dyDescent="0.25">
      <c r="A10" s="28" t="s">
        <v>212</v>
      </c>
      <c r="B10" s="28"/>
      <c r="C10" s="66">
        <f t="shared" ref="C10:AH10" si="6">C9</f>
        <v>23906.25</v>
      </c>
      <c r="D10" s="66">
        <f t="shared" si="6"/>
        <v>23906.25</v>
      </c>
      <c r="E10" s="66">
        <f t="shared" si="6"/>
        <v>23906.25</v>
      </c>
      <c r="F10" s="66">
        <f t="shared" si="6"/>
        <v>23906.25</v>
      </c>
      <c r="G10" s="66">
        <f t="shared" si="6"/>
        <v>23906.25</v>
      </c>
      <c r="H10" s="66">
        <f t="shared" si="6"/>
        <v>23906.25</v>
      </c>
      <c r="I10" s="66">
        <f t="shared" si="6"/>
        <v>23906.25</v>
      </c>
      <c r="J10" s="66">
        <f t="shared" si="6"/>
        <v>23906.25</v>
      </c>
      <c r="K10" s="66">
        <f t="shared" si="6"/>
        <v>23906.25</v>
      </c>
      <c r="L10" s="66">
        <f t="shared" si="6"/>
        <v>23906.25</v>
      </c>
      <c r="M10" s="66">
        <f t="shared" si="6"/>
        <v>23906.25</v>
      </c>
      <c r="N10" s="66">
        <f t="shared" si="6"/>
        <v>23906.25</v>
      </c>
      <c r="O10" s="66">
        <f t="shared" si="6"/>
        <v>23906.25</v>
      </c>
      <c r="P10" s="66">
        <f t="shared" si="6"/>
        <v>23906.25</v>
      </c>
      <c r="Q10" s="66">
        <f t="shared" si="6"/>
        <v>23906.25</v>
      </c>
      <c r="R10" s="66">
        <f t="shared" si="6"/>
        <v>0</v>
      </c>
      <c r="S10" s="66">
        <f t="shared" si="6"/>
        <v>0</v>
      </c>
      <c r="T10" s="66">
        <f t="shared" si="6"/>
        <v>0</v>
      </c>
      <c r="U10" s="66">
        <f t="shared" si="6"/>
        <v>0</v>
      </c>
      <c r="V10" s="66">
        <f t="shared" si="6"/>
        <v>0</v>
      </c>
      <c r="W10" s="66">
        <f t="shared" si="6"/>
        <v>57375</v>
      </c>
      <c r="X10" s="66">
        <f t="shared" si="6"/>
        <v>0</v>
      </c>
      <c r="Y10" s="66">
        <f t="shared" si="6"/>
        <v>0</v>
      </c>
      <c r="Z10" s="66">
        <f t="shared" si="6"/>
        <v>57375</v>
      </c>
      <c r="AA10" s="66">
        <f t="shared" si="6"/>
        <v>0</v>
      </c>
      <c r="AB10" s="66">
        <f t="shared" si="6"/>
        <v>0</v>
      </c>
      <c r="AC10" s="66">
        <f t="shared" si="6"/>
        <v>57375</v>
      </c>
      <c r="AD10" s="66">
        <f t="shared" si="6"/>
        <v>0</v>
      </c>
      <c r="AE10" s="66">
        <f t="shared" si="6"/>
        <v>0</v>
      </c>
      <c r="AF10" s="66">
        <f t="shared" si="6"/>
        <v>0</v>
      </c>
      <c r="AG10" s="66">
        <f t="shared" si="6"/>
        <v>0</v>
      </c>
      <c r="AH10" s="66">
        <f t="shared" si="6"/>
        <v>0</v>
      </c>
      <c r="AI10" s="66">
        <f t="shared" ref="AI10:BN10" si="7">AI9</f>
        <v>0</v>
      </c>
      <c r="AJ10" s="66">
        <f t="shared" si="7"/>
        <v>0</v>
      </c>
      <c r="AK10" s="66">
        <f t="shared" si="7"/>
        <v>0</v>
      </c>
      <c r="AL10" s="66">
        <f t="shared" si="7"/>
        <v>0</v>
      </c>
      <c r="AM10" s="66">
        <f t="shared" si="7"/>
        <v>0</v>
      </c>
      <c r="AN10" s="66">
        <f t="shared" si="7"/>
        <v>0</v>
      </c>
      <c r="AO10" s="66">
        <f t="shared" si="7"/>
        <v>0</v>
      </c>
      <c r="AP10" s="66">
        <f t="shared" si="7"/>
        <v>0</v>
      </c>
      <c r="AQ10" s="66">
        <f t="shared" si="7"/>
        <v>0</v>
      </c>
      <c r="AR10" s="66">
        <f t="shared" si="7"/>
        <v>0</v>
      </c>
      <c r="AS10" s="66">
        <f t="shared" si="7"/>
        <v>0</v>
      </c>
      <c r="AT10" s="66">
        <f t="shared" si="7"/>
        <v>0</v>
      </c>
      <c r="AU10" s="66">
        <f t="shared" si="7"/>
        <v>0</v>
      </c>
      <c r="AV10" s="66">
        <f t="shared" si="7"/>
        <v>0</v>
      </c>
      <c r="AW10" s="66">
        <f t="shared" si="7"/>
        <v>0</v>
      </c>
      <c r="AX10" s="66">
        <f t="shared" si="7"/>
        <v>0</v>
      </c>
      <c r="AY10" s="66">
        <f t="shared" si="7"/>
        <v>0</v>
      </c>
      <c r="AZ10" s="66">
        <f t="shared" si="7"/>
        <v>0</v>
      </c>
      <c r="BA10" s="66">
        <f t="shared" si="7"/>
        <v>0</v>
      </c>
      <c r="BB10" s="66">
        <f t="shared" si="7"/>
        <v>0</v>
      </c>
      <c r="BC10" s="66">
        <f t="shared" si="7"/>
        <v>0</v>
      </c>
      <c r="BD10" s="66">
        <f t="shared" si="7"/>
        <v>0</v>
      </c>
      <c r="BE10" s="66">
        <f t="shared" si="7"/>
        <v>0</v>
      </c>
      <c r="BF10" s="66">
        <f t="shared" si="7"/>
        <v>0</v>
      </c>
      <c r="BG10" s="66">
        <f t="shared" si="7"/>
        <v>0</v>
      </c>
      <c r="BH10" s="66">
        <f t="shared" si="7"/>
        <v>0</v>
      </c>
      <c r="BI10" s="66">
        <f t="shared" si="7"/>
        <v>0</v>
      </c>
      <c r="BJ10" s="66">
        <f t="shared" si="7"/>
        <v>0</v>
      </c>
      <c r="BK10" s="66">
        <f t="shared" si="7"/>
        <v>0</v>
      </c>
      <c r="BL10" s="66">
        <f t="shared" si="7"/>
        <v>0</v>
      </c>
      <c r="BM10" s="66">
        <f t="shared" si="7"/>
        <v>0</v>
      </c>
      <c r="BN10" s="66">
        <f t="shared" si="7"/>
        <v>0</v>
      </c>
      <c r="BO10" s="66">
        <f t="shared" ref="BO10:CT10" si="8">BO9</f>
        <v>0</v>
      </c>
      <c r="BP10" s="66">
        <f t="shared" si="8"/>
        <v>0</v>
      </c>
      <c r="BQ10" s="66">
        <f t="shared" si="8"/>
        <v>0</v>
      </c>
      <c r="BR10" s="66">
        <f t="shared" si="8"/>
        <v>0</v>
      </c>
      <c r="BS10" s="66">
        <f t="shared" si="8"/>
        <v>0</v>
      </c>
      <c r="BT10" s="66">
        <f t="shared" si="8"/>
        <v>0</v>
      </c>
      <c r="BU10" s="66">
        <f t="shared" si="8"/>
        <v>0</v>
      </c>
      <c r="BV10" s="66">
        <f t="shared" si="8"/>
        <v>0</v>
      </c>
      <c r="BW10" s="66">
        <f t="shared" si="8"/>
        <v>0</v>
      </c>
      <c r="BX10" s="66">
        <f t="shared" si="8"/>
        <v>0</v>
      </c>
      <c r="BY10" s="66">
        <f t="shared" si="8"/>
        <v>0</v>
      </c>
      <c r="BZ10" s="66">
        <f t="shared" si="8"/>
        <v>0</v>
      </c>
      <c r="CA10" s="66">
        <f t="shared" si="8"/>
        <v>0</v>
      </c>
      <c r="CB10" s="66">
        <f t="shared" si="8"/>
        <v>0</v>
      </c>
      <c r="CC10" s="66">
        <f t="shared" si="8"/>
        <v>0</v>
      </c>
      <c r="CD10" s="66">
        <f t="shared" si="8"/>
        <v>0</v>
      </c>
      <c r="CE10" s="66">
        <f t="shared" si="8"/>
        <v>0</v>
      </c>
      <c r="CF10" s="66">
        <f t="shared" si="8"/>
        <v>0</v>
      </c>
      <c r="CG10" s="66">
        <f t="shared" si="8"/>
        <v>0</v>
      </c>
      <c r="CH10" s="66">
        <f t="shared" si="8"/>
        <v>0</v>
      </c>
    </row>
    <row r="11" spans="1:86" ht="15" customHeight="1" x14ac:dyDescent="0.25">
      <c r="A11" s="59" t="s">
        <v>213</v>
      </c>
      <c r="B11" s="1"/>
      <c r="C11" s="67">
        <f>C10</f>
        <v>23906.25</v>
      </c>
      <c r="D11" s="67">
        <f t="shared" ref="D11:AI11" si="9">C11+D10</f>
        <v>47812.5</v>
      </c>
      <c r="E11" s="67">
        <f t="shared" si="9"/>
        <v>71718.75</v>
      </c>
      <c r="F11" s="67">
        <f t="shared" si="9"/>
        <v>95625</v>
      </c>
      <c r="G11" s="67">
        <f t="shared" si="9"/>
        <v>119531.25</v>
      </c>
      <c r="H11" s="67">
        <f t="shared" si="9"/>
        <v>143437.5</v>
      </c>
      <c r="I11" s="67">
        <f t="shared" si="9"/>
        <v>167343.75</v>
      </c>
      <c r="J11" s="67">
        <f t="shared" si="9"/>
        <v>191250</v>
      </c>
      <c r="K11" s="67">
        <f t="shared" si="9"/>
        <v>215156.25</v>
      </c>
      <c r="L11" s="67">
        <f t="shared" si="9"/>
        <v>239062.5</v>
      </c>
      <c r="M11" s="67">
        <f t="shared" si="9"/>
        <v>262968.75</v>
      </c>
      <c r="N11" s="67">
        <f t="shared" si="9"/>
        <v>286875</v>
      </c>
      <c r="O11" s="67">
        <f t="shared" si="9"/>
        <v>310781.25</v>
      </c>
      <c r="P11" s="67">
        <f t="shared" si="9"/>
        <v>334687.5</v>
      </c>
      <c r="Q11" s="67">
        <f t="shared" si="9"/>
        <v>358593.75</v>
      </c>
      <c r="R11" s="67">
        <f t="shared" si="9"/>
        <v>358593.75</v>
      </c>
      <c r="S11" s="67">
        <f t="shared" si="9"/>
        <v>358593.75</v>
      </c>
      <c r="T11" s="67">
        <f t="shared" si="9"/>
        <v>358593.75</v>
      </c>
      <c r="U11" s="67">
        <f t="shared" si="9"/>
        <v>358593.75</v>
      </c>
      <c r="V11" s="67">
        <f t="shared" si="9"/>
        <v>358593.75</v>
      </c>
      <c r="W11" s="67">
        <f t="shared" si="9"/>
        <v>415968.75</v>
      </c>
      <c r="X11" s="67">
        <f t="shared" si="9"/>
        <v>415968.75</v>
      </c>
      <c r="Y11" s="67">
        <f t="shared" si="9"/>
        <v>415968.75</v>
      </c>
      <c r="Z11" s="67">
        <f t="shared" si="9"/>
        <v>473343.75</v>
      </c>
      <c r="AA11" s="67">
        <f t="shared" si="9"/>
        <v>473343.75</v>
      </c>
      <c r="AB11" s="67">
        <f t="shared" si="9"/>
        <v>473343.75</v>
      </c>
      <c r="AC11" s="67">
        <f t="shared" si="9"/>
        <v>530718.75</v>
      </c>
      <c r="AD11" s="67">
        <f t="shared" si="9"/>
        <v>530718.75</v>
      </c>
      <c r="AE11" s="67">
        <f t="shared" si="9"/>
        <v>530718.75</v>
      </c>
      <c r="AF11" s="67">
        <f t="shared" si="9"/>
        <v>530718.75</v>
      </c>
      <c r="AG11" s="67">
        <f t="shared" si="9"/>
        <v>530718.75</v>
      </c>
      <c r="AH11" s="67">
        <f t="shared" si="9"/>
        <v>530718.75</v>
      </c>
      <c r="AI11" s="67">
        <f t="shared" si="9"/>
        <v>530718.75</v>
      </c>
      <c r="AJ11" s="67">
        <f t="shared" ref="AJ11:BO11" si="10">AI11+AJ10</f>
        <v>530718.75</v>
      </c>
      <c r="AK11" s="67">
        <f t="shared" si="10"/>
        <v>530718.75</v>
      </c>
      <c r="AL11" s="67">
        <f t="shared" si="10"/>
        <v>530718.75</v>
      </c>
      <c r="AM11" s="67">
        <f t="shared" si="10"/>
        <v>530718.75</v>
      </c>
      <c r="AN11" s="67">
        <f t="shared" si="10"/>
        <v>530718.75</v>
      </c>
      <c r="AO11" s="67">
        <f t="shared" si="10"/>
        <v>530718.75</v>
      </c>
      <c r="AP11" s="67">
        <f t="shared" si="10"/>
        <v>530718.75</v>
      </c>
      <c r="AQ11" s="67">
        <f t="shared" si="10"/>
        <v>530718.75</v>
      </c>
      <c r="AR11" s="67">
        <f t="shared" si="10"/>
        <v>530718.75</v>
      </c>
      <c r="AS11" s="67">
        <f t="shared" si="10"/>
        <v>530718.75</v>
      </c>
      <c r="AT11" s="67">
        <f t="shared" si="10"/>
        <v>530718.75</v>
      </c>
      <c r="AU11" s="67">
        <f t="shared" si="10"/>
        <v>530718.75</v>
      </c>
      <c r="AV11" s="67">
        <f t="shared" si="10"/>
        <v>530718.75</v>
      </c>
      <c r="AW11" s="67">
        <f t="shared" si="10"/>
        <v>530718.75</v>
      </c>
      <c r="AX11" s="67">
        <f t="shared" si="10"/>
        <v>530718.75</v>
      </c>
      <c r="AY11" s="67">
        <f t="shared" si="10"/>
        <v>530718.75</v>
      </c>
      <c r="AZ11" s="67">
        <f t="shared" si="10"/>
        <v>530718.75</v>
      </c>
      <c r="BA11" s="67">
        <f t="shared" si="10"/>
        <v>530718.75</v>
      </c>
      <c r="BB11" s="67">
        <f t="shared" si="10"/>
        <v>530718.75</v>
      </c>
      <c r="BC11" s="67">
        <f t="shared" si="10"/>
        <v>530718.75</v>
      </c>
      <c r="BD11" s="67">
        <f t="shared" si="10"/>
        <v>530718.75</v>
      </c>
      <c r="BE11" s="67">
        <f t="shared" si="10"/>
        <v>530718.75</v>
      </c>
      <c r="BF11" s="67">
        <f t="shared" si="10"/>
        <v>530718.75</v>
      </c>
      <c r="BG11" s="67">
        <f t="shared" si="10"/>
        <v>530718.75</v>
      </c>
      <c r="BH11" s="67">
        <f t="shared" si="10"/>
        <v>530718.75</v>
      </c>
      <c r="BI11" s="67">
        <f t="shared" si="10"/>
        <v>530718.75</v>
      </c>
      <c r="BJ11" s="67">
        <f t="shared" si="10"/>
        <v>530718.75</v>
      </c>
      <c r="BK11" s="67">
        <f t="shared" si="10"/>
        <v>530718.75</v>
      </c>
      <c r="BL11" s="67">
        <f t="shared" si="10"/>
        <v>530718.75</v>
      </c>
      <c r="BM11" s="67">
        <f t="shared" si="10"/>
        <v>530718.75</v>
      </c>
      <c r="BN11" s="67">
        <f t="shared" si="10"/>
        <v>530718.75</v>
      </c>
      <c r="BO11" s="67">
        <f t="shared" si="10"/>
        <v>530718.75</v>
      </c>
      <c r="BP11" s="67">
        <f t="shared" ref="BP11:CU11" si="11">BO11+BP10</f>
        <v>530718.75</v>
      </c>
      <c r="BQ11" s="67">
        <f t="shared" si="11"/>
        <v>530718.75</v>
      </c>
      <c r="BR11" s="67">
        <f t="shared" si="11"/>
        <v>530718.75</v>
      </c>
      <c r="BS11" s="67">
        <f t="shared" si="11"/>
        <v>530718.75</v>
      </c>
      <c r="BT11" s="67">
        <f t="shared" si="11"/>
        <v>530718.75</v>
      </c>
      <c r="BU11" s="67">
        <f t="shared" si="11"/>
        <v>530718.75</v>
      </c>
      <c r="BV11" s="67">
        <f t="shared" si="11"/>
        <v>530718.75</v>
      </c>
      <c r="BW11" s="67">
        <f t="shared" si="11"/>
        <v>530718.75</v>
      </c>
      <c r="BX11" s="67">
        <f t="shared" si="11"/>
        <v>530718.75</v>
      </c>
      <c r="BY11" s="67">
        <f t="shared" si="11"/>
        <v>530718.75</v>
      </c>
      <c r="BZ11" s="67">
        <f t="shared" si="11"/>
        <v>530718.75</v>
      </c>
      <c r="CA11" s="67">
        <f t="shared" si="11"/>
        <v>530718.75</v>
      </c>
      <c r="CB11" s="67">
        <f t="shared" si="11"/>
        <v>530718.75</v>
      </c>
      <c r="CC11" s="67">
        <f t="shared" si="11"/>
        <v>530718.75</v>
      </c>
      <c r="CD11" s="67">
        <f t="shared" si="11"/>
        <v>530718.75</v>
      </c>
      <c r="CE11" s="67">
        <f t="shared" si="11"/>
        <v>530718.75</v>
      </c>
      <c r="CF11" s="67">
        <f t="shared" si="11"/>
        <v>530718.75</v>
      </c>
      <c r="CG11" s="67">
        <f t="shared" si="11"/>
        <v>530718.75</v>
      </c>
      <c r="CH11" s="67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211</v>
      </c>
      <c r="B14" s="1"/>
      <c r="C14" s="65">
        <f>Model!C54+Model!C55+Model!C56</f>
        <v>0</v>
      </c>
      <c r="D14" s="65">
        <f>Model!D54+Model!D55+Model!D56</f>
        <v>0</v>
      </c>
      <c r="E14" s="65">
        <f>Model!E54+Model!E55+Model!E56</f>
        <v>0</v>
      </c>
      <c r="F14" s="65">
        <f>Model!F54+Model!F55+Model!F56</f>
        <v>0</v>
      </c>
      <c r="G14" s="65">
        <f>Model!G54+Model!G55+Model!G56</f>
        <v>266611.58</v>
      </c>
      <c r="H14" s="65">
        <f>Model!H54+Model!H55+Model!H56</f>
        <v>12631.58</v>
      </c>
      <c r="I14" s="65">
        <f>Model!I54+Model!I55+Model!I56</f>
        <v>12631.58</v>
      </c>
      <c r="J14" s="65">
        <f>Model!J54+Model!J55+Model!J56</f>
        <v>12631.58</v>
      </c>
      <c r="K14" s="65">
        <f>Model!K54+Model!K55+Model!K56</f>
        <v>12631.58</v>
      </c>
      <c r="L14" s="65">
        <f>Model!L54+Model!L55+Model!L56</f>
        <v>12631.58</v>
      </c>
      <c r="M14" s="65">
        <f>Model!M54+Model!M55+Model!M56</f>
        <v>12631.58</v>
      </c>
      <c r="N14" s="65">
        <f>Model!N54+Model!N55+Model!N56</f>
        <v>12631.58</v>
      </c>
      <c r="O14" s="65">
        <f>Model!O54+Model!O55+Model!O56</f>
        <v>12631.58</v>
      </c>
      <c r="P14" s="65">
        <f>Model!P54+Model!P55+Model!P56</f>
        <v>12631.58</v>
      </c>
      <c r="Q14" s="65">
        <f>Model!Q54+Model!Q55+Model!Q56</f>
        <v>12631.58</v>
      </c>
      <c r="R14" s="65">
        <f>Model!R54+Model!R55+Model!R56</f>
        <v>12631.58</v>
      </c>
      <c r="S14" s="65">
        <f>Model!S54+Model!S55+Model!S56</f>
        <v>12631.58</v>
      </c>
      <c r="T14" s="65">
        <f>Model!T54+Model!T55+Model!T56</f>
        <v>12631.58</v>
      </c>
      <c r="U14" s="65">
        <f>Model!U54+Model!U55+Model!U56</f>
        <v>12631.58</v>
      </c>
      <c r="V14" s="65">
        <f>Model!V54+Model!V55+Model!V56</f>
        <v>12631.58</v>
      </c>
      <c r="W14" s="65">
        <f>Model!W54+Model!W55+Model!W56</f>
        <v>12631.58</v>
      </c>
      <c r="X14" s="65">
        <f>Model!X54+Model!X55+Model!X56</f>
        <v>12631.58</v>
      </c>
      <c r="Y14" s="65">
        <f>Model!Y54+Model!Y55+Model!Y56</f>
        <v>12631.58</v>
      </c>
      <c r="Z14" s="65">
        <f>Model!Z54+Model!Z55+Model!Z56</f>
        <v>0</v>
      </c>
      <c r="AA14" s="65">
        <f>Model!AA54+Model!AA55+Model!AA56</f>
        <v>0</v>
      </c>
      <c r="AB14" s="65">
        <f>Model!AB54+Model!AB55+Model!AB56</f>
        <v>0</v>
      </c>
      <c r="AC14" s="65">
        <f>Model!AC54+Model!AC55+Model!AC56</f>
        <v>0</v>
      </c>
      <c r="AD14" s="65">
        <f>Model!AD54+Model!AD55+Model!AD56</f>
        <v>0</v>
      </c>
      <c r="AE14" s="65">
        <f>Model!AE54+Model!AE55+Model!AE56</f>
        <v>0</v>
      </c>
      <c r="AF14" s="65">
        <f>Model!AF54+Model!AF55+Model!AF56</f>
        <v>0</v>
      </c>
      <c r="AG14" s="65">
        <f>Model!AG54+Model!AG55+Model!AG56</f>
        <v>0</v>
      </c>
      <c r="AH14" s="65">
        <f>Model!AH54+Model!AH55+Model!AH56</f>
        <v>0</v>
      </c>
      <c r="AI14" s="65">
        <f>Model!AI54+Model!AI55+Model!AI56</f>
        <v>0</v>
      </c>
      <c r="AJ14" s="65">
        <f>Model!AJ54+Model!AJ55+Model!AJ56</f>
        <v>0</v>
      </c>
      <c r="AK14" s="65">
        <f>Model!AK54+Model!AK55+Model!AK56</f>
        <v>0</v>
      </c>
      <c r="AL14" s="65">
        <f>Model!AL54+Model!AL55+Model!AL56</f>
        <v>0</v>
      </c>
      <c r="AM14" s="65">
        <f>Model!AM54+Model!AM55+Model!AM56</f>
        <v>0</v>
      </c>
      <c r="AN14" s="65">
        <f>Model!AN54+Model!AN55+Model!AN56</f>
        <v>0</v>
      </c>
      <c r="AO14" s="65">
        <f>Model!AO54+Model!AO55+Model!AO56</f>
        <v>0</v>
      </c>
      <c r="AP14" s="65">
        <f>Model!AP54+Model!AP55+Model!AP56</f>
        <v>0</v>
      </c>
      <c r="AQ14" s="65">
        <f>Model!AQ54+Model!AQ55+Model!AQ56</f>
        <v>0</v>
      </c>
      <c r="AR14" s="65">
        <f>Model!AR54+Model!AR55+Model!AR56</f>
        <v>0</v>
      </c>
      <c r="AS14" s="65">
        <f>Model!AS54+Model!AS55+Model!AS56</f>
        <v>0</v>
      </c>
      <c r="AT14" s="65">
        <f>Model!AT54+Model!AT55+Model!AT56</f>
        <v>0</v>
      </c>
      <c r="AU14" s="65">
        <f>Model!AU54+Model!AU55+Model!AU56</f>
        <v>0</v>
      </c>
      <c r="AV14" s="65">
        <f>Model!AV54+Model!AV55+Model!AV56</f>
        <v>0</v>
      </c>
      <c r="AW14" s="65">
        <f>Model!AW54+Model!AW55+Model!AW56</f>
        <v>0</v>
      </c>
      <c r="AX14" s="65">
        <f>Model!AX54+Model!AX55+Model!AX56</f>
        <v>0</v>
      </c>
      <c r="AY14" s="65">
        <f>Model!AY54+Model!AY55+Model!AY56</f>
        <v>0</v>
      </c>
      <c r="AZ14" s="65">
        <f>Model!AZ54+Model!AZ55+Model!AZ56</f>
        <v>0</v>
      </c>
      <c r="BA14" s="65">
        <f>Model!BA54+Model!BA55+Model!BA56</f>
        <v>0</v>
      </c>
      <c r="BB14" s="65">
        <f>Model!BB54+Model!BB55+Model!BB56</f>
        <v>0</v>
      </c>
      <c r="BC14" s="65">
        <f>Model!BC54+Model!BC55+Model!BC56</f>
        <v>0</v>
      </c>
      <c r="BD14" s="65">
        <f>Model!BD54+Model!BD55+Model!BD56</f>
        <v>0</v>
      </c>
      <c r="BE14" s="65">
        <f>Model!BE54+Model!BE55+Model!BE56</f>
        <v>0</v>
      </c>
      <c r="BF14" s="65">
        <f>Model!BF54+Model!BF55+Model!BF56</f>
        <v>0</v>
      </c>
      <c r="BG14" s="65">
        <f>Model!BG54+Model!BG55+Model!BG56</f>
        <v>0</v>
      </c>
      <c r="BH14" s="65">
        <f>Model!BH54+Model!BH55+Model!BH56</f>
        <v>0</v>
      </c>
      <c r="BI14" s="65">
        <f>Model!BI54+Model!BI55+Model!BI56</f>
        <v>0</v>
      </c>
      <c r="BJ14" s="65">
        <f>Model!BJ54+Model!BJ55+Model!BJ56</f>
        <v>0</v>
      </c>
      <c r="BK14" s="65">
        <f>Model!BK54+Model!BK55+Model!BK56</f>
        <v>0</v>
      </c>
      <c r="BL14" s="65">
        <f>Model!BL54+Model!BL55+Model!BL56</f>
        <v>0</v>
      </c>
      <c r="BM14" s="65">
        <f>Model!BM54+Model!BM55+Model!BM56</f>
        <v>0</v>
      </c>
      <c r="BN14" s="65">
        <f>Model!BN54+Model!BN55+Model!BN56</f>
        <v>0</v>
      </c>
      <c r="BO14" s="65">
        <f>Model!BO54+Model!BO55+Model!BO56</f>
        <v>0</v>
      </c>
      <c r="BP14" s="65">
        <f>Model!BP54+Model!BP55+Model!BP56</f>
        <v>0</v>
      </c>
      <c r="BQ14" s="65">
        <f>Model!BQ54+Model!BQ55+Model!BQ56</f>
        <v>0</v>
      </c>
      <c r="BR14" s="65">
        <f>Model!BR54+Model!BR55+Model!BR56</f>
        <v>0</v>
      </c>
      <c r="BS14" s="65">
        <f>Model!BS54+Model!BS55+Model!BS56</f>
        <v>0</v>
      </c>
      <c r="BT14" s="65">
        <f>Model!BT54+Model!BT55+Model!BT56</f>
        <v>0</v>
      </c>
      <c r="BU14" s="65">
        <f>Model!BU54+Model!BU55+Model!BU56</f>
        <v>0</v>
      </c>
      <c r="BV14" s="65">
        <f>Model!BV54+Model!BV55+Model!BV56</f>
        <v>0</v>
      </c>
      <c r="BW14" s="65">
        <f>Model!BW54+Model!BW55+Model!BW56</f>
        <v>0</v>
      </c>
      <c r="BX14" s="65">
        <f>Model!BX54+Model!BX55+Model!BX56</f>
        <v>0</v>
      </c>
      <c r="BY14" s="65">
        <f>Model!BY54+Model!BY55+Model!BY56</f>
        <v>0</v>
      </c>
      <c r="BZ14" s="65">
        <f>Model!BZ54+Model!BZ55+Model!BZ56</f>
        <v>0</v>
      </c>
      <c r="CA14" s="65">
        <f>Model!CA54+Model!CA55+Model!CA56</f>
        <v>0</v>
      </c>
      <c r="CB14" s="65">
        <f>Model!CB54+Model!CB55+Model!CB56</f>
        <v>0</v>
      </c>
      <c r="CC14" s="65">
        <f>Model!CC54+Model!CC55+Model!CC56</f>
        <v>0</v>
      </c>
      <c r="CD14" s="65">
        <f>Model!CD54+Model!CD55+Model!CD56</f>
        <v>0</v>
      </c>
      <c r="CE14" s="65">
        <f>Model!CE54+Model!CE55+Model!CE56</f>
        <v>0</v>
      </c>
      <c r="CF14" s="65">
        <f>Model!CF54+Model!CF55+Model!CF56</f>
        <v>0</v>
      </c>
      <c r="CG14" s="65">
        <f>Model!CG54+Model!CG55+Model!CG56</f>
        <v>0</v>
      </c>
      <c r="CH14" s="65">
        <f>Model!CH54+Model!CH55+Model!CH56</f>
        <v>0</v>
      </c>
    </row>
    <row r="15" spans="1:86" ht="15" customHeight="1" x14ac:dyDescent="0.25">
      <c r="A15" s="68" t="s">
        <v>215</v>
      </c>
      <c r="B15" s="1"/>
      <c r="C15" s="69">
        <v>0</v>
      </c>
      <c r="D15" s="69">
        <v>0</v>
      </c>
      <c r="E15" s="69">
        <v>0</v>
      </c>
      <c r="F15" s="69">
        <v>0</v>
      </c>
      <c r="G15" s="69">
        <f>IF(Projects!$G$11="Yes",-155771,0)</f>
        <v>-155771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69">
        <v>0</v>
      </c>
      <c r="P15" s="69">
        <v>0</v>
      </c>
      <c r="Q15" s="69">
        <v>0</v>
      </c>
      <c r="R15" s="69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0</v>
      </c>
      <c r="Z15" s="69">
        <v>0</v>
      </c>
      <c r="AA15" s="69">
        <v>0</v>
      </c>
      <c r="AB15" s="69">
        <v>0</v>
      </c>
      <c r="AC15" s="69">
        <v>0</v>
      </c>
      <c r="AD15" s="69">
        <v>0</v>
      </c>
      <c r="AE15" s="69">
        <v>0</v>
      </c>
      <c r="AF15" s="69">
        <v>0</v>
      </c>
      <c r="AG15" s="69">
        <v>0</v>
      </c>
      <c r="AH15" s="69">
        <v>0</v>
      </c>
      <c r="AI15" s="69">
        <v>0</v>
      </c>
      <c r="AJ15" s="69">
        <v>0</v>
      </c>
      <c r="AK15" s="69">
        <v>0</v>
      </c>
      <c r="AL15" s="69">
        <v>0</v>
      </c>
      <c r="AM15" s="69">
        <v>0</v>
      </c>
      <c r="AN15" s="69">
        <v>0</v>
      </c>
      <c r="AO15" s="69">
        <v>0</v>
      </c>
      <c r="AP15" s="69">
        <v>0</v>
      </c>
      <c r="AQ15" s="69">
        <v>0</v>
      </c>
      <c r="AR15" s="69">
        <v>0</v>
      </c>
      <c r="AS15" s="69">
        <v>0</v>
      </c>
      <c r="AT15" s="69">
        <v>0</v>
      </c>
      <c r="AU15" s="69">
        <v>0</v>
      </c>
      <c r="AV15" s="69">
        <v>0</v>
      </c>
      <c r="AW15" s="69">
        <v>0</v>
      </c>
      <c r="AX15" s="69">
        <v>0</v>
      </c>
      <c r="AY15" s="69">
        <v>0</v>
      </c>
      <c r="AZ15" s="69">
        <v>0</v>
      </c>
      <c r="BA15" s="69">
        <v>0</v>
      </c>
      <c r="BB15" s="69">
        <v>0</v>
      </c>
      <c r="BC15" s="69">
        <v>0</v>
      </c>
      <c r="BD15" s="69">
        <v>0</v>
      </c>
      <c r="BE15" s="69">
        <v>0</v>
      </c>
      <c r="BF15" s="69">
        <v>0</v>
      </c>
      <c r="BG15" s="69">
        <v>0</v>
      </c>
      <c r="BH15" s="69">
        <v>0</v>
      </c>
      <c r="BI15" s="69">
        <v>0</v>
      </c>
      <c r="BJ15" s="69">
        <v>0</v>
      </c>
      <c r="BK15" s="69">
        <v>0</v>
      </c>
      <c r="BL15" s="69">
        <v>0</v>
      </c>
      <c r="BM15" s="69">
        <v>0</v>
      </c>
      <c r="BN15" s="69">
        <v>0</v>
      </c>
      <c r="BO15" s="69">
        <v>0</v>
      </c>
      <c r="BP15" s="69">
        <v>0</v>
      </c>
      <c r="BQ15" s="69">
        <v>0</v>
      </c>
      <c r="BR15" s="69">
        <v>0</v>
      </c>
      <c r="BS15" s="69">
        <v>0</v>
      </c>
      <c r="BT15" s="69">
        <v>0</v>
      </c>
      <c r="BU15" s="69">
        <v>0</v>
      </c>
      <c r="BV15" s="69">
        <v>0</v>
      </c>
      <c r="BW15" s="69">
        <v>0</v>
      </c>
      <c r="BX15" s="69">
        <v>0</v>
      </c>
      <c r="BY15" s="69">
        <v>0</v>
      </c>
      <c r="BZ15" s="69">
        <v>0</v>
      </c>
      <c r="CA15" s="69">
        <v>0</v>
      </c>
      <c r="CB15" s="69">
        <v>0</v>
      </c>
      <c r="CC15" s="69">
        <v>0</v>
      </c>
      <c r="CD15" s="69">
        <v>0</v>
      </c>
      <c r="CE15" s="69">
        <v>0</v>
      </c>
      <c r="CF15" s="69">
        <v>0</v>
      </c>
      <c r="CG15" s="69">
        <v>0</v>
      </c>
      <c r="CH15" s="69">
        <v>0</v>
      </c>
    </row>
    <row r="16" spans="1:86" ht="15" customHeight="1" x14ac:dyDescent="0.25">
      <c r="A16" s="28" t="s">
        <v>212</v>
      </c>
      <c r="B16" s="28"/>
      <c r="C16" s="66">
        <f t="shared" ref="C16:AH16" si="12">C14+C15</f>
        <v>0</v>
      </c>
      <c r="D16" s="66">
        <f t="shared" si="12"/>
        <v>0</v>
      </c>
      <c r="E16" s="66">
        <f t="shared" si="12"/>
        <v>0</v>
      </c>
      <c r="F16" s="66">
        <f t="shared" si="12"/>
        <v>0</v>
      </c>
      <c r="G16" s="66">
        <f t="shared" si="12"/>
        <v>110840.58000000002</v>
      </c>
      <c r="H16" s="66">
        <f t="shared" si="12"/>
        <v>12631.58</v>
      </c>
      <c r="I16" s="66">
        <f t="shared" si="12"/>
        <v>12631.58</v>
      </c>
      <c r="J16" s="66">
        <f t="shared" si="12"/>
        <v>12631.58</v>
      </c>
      <c r="K16" s="66">
        <f t="shared" si="12"/>
        <v>12631.58</v>
      </c>
      <c r="L16" s="66">
        <f t="shared" si="12"/>
        <v>12631.58</v>
      </c>
      <c r="M16" s="66">
        <f t="shared" si="12"/>
        <v>12631.58</v>
      </c>
      <c r="N16" s="66">
        <f t="shared" si="12"/>
        <v>12631.58</v>
      </c>
      <c r="O16" s="66">
        <f t="shared" si="12"/>
        <v>12631.58</v>
      </c>
      <c r="P16" s="66">
        <f t="shared" si="12"/>
        <v>12631.58</v>
      </c>
      <c r="Q16" s="66">
        <f t="shared" si="12"/>
        <v>12631.58</v>
      </c>
      <c r="R16" s="66">
        <f t="shared" si="12"/>
        <v>12631.58</v>
      </c>
      <c r="S16" s="66">
        <f t="shared" si="12"/>
        <v>12631.58</v>
      </c>
      <c r="T16" s="66">
        <f t="shared" si="12"/>
        <v>12631.58</v>
      </c>
      <c r="U16" s="66">
        <f t="shared" si="12"/>
        <v>12631.58</v>
      </c>
      <c r="V16" s="66">
        <f t="shared" si="12"/>
        <v>12631.58</v>
      </c>
      <c r="W16" s="66">
        <f t="shared" si="12"/>
        <v>12631.58</v>
      </c>
      <c r="X16" s="66">
        <f t="shared" si="12"/>
        <v>12631.58</v>
      </c>
      <c r="Y16" s="66">
        <f t="shared" si="12"/>
        <v>12631.58</v>
      </c>
      <c r="Z16" s="66">
        <f t="shared" si="12"/>
        <v>0</v>
      </c>
      <c r="AA16" s="66">
        <f t="shared" si="12"/>
        <v>0</v>
      </c>
      <c r="AB16" s="66">
        <f t="shared" si="12"/>
        <v>0</v>
      </c>
      <c r="AC16" s="66">
        <f t="shared" si="12"/>
        <v>0</v>
      </c>
      <c r="AD16" s="66">
        <f t="shared" si="12"/>
        <v>0</v>
      </c>
      <c r="AE16" s="66">
        <f t="shared" si="12"/>
        <v>0</v>
      </c>
      <c r="AF16" s="66">
        <f t="shared" si="12"/>
        <v>0</v>
      </c>
      <c r="AG16" s="66">
        <f t="shared" si="12"/>
        <v>0</v>
      </c>
      <c r="AH16" s="66">
        <f t="shared" si="12"/>
        <v>0</v>
      </c>
      <c r="AI16" s="66">
        <f t="shared" ref="AI16:BN16" si="13">AI14+AI15</f>
        <v>0</v>
      </c>
      <c r="AJ16" s="66">
        <f t="shared" si="13"/>
        <v>0</v>
      </c>
      <c r="AK16" s="66">
        <f t="shared" si="13"/>
        <v>0</v>
      </c>
      <c r="AL16" s="66">
        <f t="shared" si="13"/>
        <v>0</v>
      </c>
      <c r="AM16" s="66">
        <f t="shared" si="13"/>
        <v>0</v>
      </c>
      <c r="AN16" s="66">
        <f t="shared" si="13"/>
        <v>0</v>
      </c>
      <c r="AO16" s="66">
        <f t="shared" si="13"/>
        <v>0</v>
      </c>
      <c r="AP16" s="66">
        <f t="shared" si="13"/>
        <v>0</v>
      </c>
      <c r="AQ16" s="66">
        <f t="shared" si="13"/>
        <v>0</v>
      </c>
      <c r="AR16" s="66">
        <f t="shared" si="13"/>
        <v>0</v>
      </c>
      <c r="AS16" s="66">
        <f t="shared" si="13"/>
        <v>0</v>
      </c>
      <c r="AT16" s="66">
        <f t="shared" si="13"/>
        <v>0</v>
      </c>
      <c r="AU16" s="66">
        <f t="shared" si="13"/>
        <v>0</v>
      </c>
      <c r="AV16" s="66">
        <f t="shared" si="13"/>
        <v>0</v>
      </c>
      <c r="AW16" s="66">
        <f t="shared" si="13"/>
        <v>0</v>
      </c>
      <c r="AX16" s="66">
        <f t="shared" si="13"/>
        <v>0</v>
      </c>
      <c r="AY16" s="66">
        <f t="shared" si="13"/>
        <v>0</v>
      </c>
      <c r="AZ16" s="66">
        <f t="shared" si="13"/>
        <v>0</v>
      </c>
      <c r="BA16" s="66">
        <f t="shared" si="13"/>
        <v>0</v>
      </c>
      <c r="BB16" s="66">
        <f t="shared" si="13"/>
        <v>0</v>
      </c>
      <c r="BC16" s="66">
        <f t="shared" si="13"/>
        <v>0</v>
      </c>
      <c r="BD16" s="66">
        <f t="shared" si="13"/>
        <v>0</v>
      </c>
      <c r="BE16" s="66">
        <f t="shared" si="13"/>
        <v>0</v>
      </c>
      <c r="BF16" s="66">
        <f t="shared" si="13"/>
        <v>0</v>
      </c>
      <c r="BG16" s="66">
        <f t="shared" si="13"/>
        <v>0</v>
      </c>
      <c r="BH16" s="66">
        <f t="shared" si="13"/>
        <v>0</v>
      </c>
      <c r="BI16" s="66">
        <f t="shared" si="13"/>
        <v>0</v>
      </c>
      <c r="BJ16" s="66">
        <f t="shared" si="13"/>
        <v>0</v>
      </c>
      <c r="BK16" s="66">
        <f t="shared" si="13"/>
        <v>0</v>
      </c>
      <c r="BL16" s="66">
        <f t="shared" si="13"/>
        <v>0</v>
      </c>
      <c r="BM16" s="66">
        <f t="shared" si="13"/>
        <v>0</v>
      </c>
      <c r="BN16" s="66">
        <f t="shared" si="13"/>
        <v>0</v>
      </c>
      <c r="BO16" s="66">
        <f t="shared" ref="BO16:CT16" si="14">BO14+BO15</f>
        <v>0</v>
      </c>
      <c r="BP16" s="66">
        <f t="shared" si="14"/>
        <v>0</v>
      </c>
      <c r="BQ16" s="66">
        <f t="shared" si="14"/>
        <v>0</v>
      </c>
      <c r="BR16" s="66">
        <f t="shared" si="14"/>
        <v>0</v>
      </c>
      <c r="BS16" s="66">
        <f t="shared" si="14"/>
        <v>0</v>
      </c>
      <c r="BT16" s="66">
        <f t="shared" si="14"/>
        <v>0</v>
      </c>
      <c r="BU16" s="66">
        <f t="shared" si="14"/>
        <v>0</v>
      </c>
      <c r="BV16" s="66">
        <f t="shared" si="14"/>
        <v>0</v>
      </c>
      <c r="BW16" s="66">
        <f t="shared" si="14"/>
        <v>0</v>
      </c>
      <c r="BX16" s="66">
        <f t="shared" si="14"/>
        <v>0</v>
      </c>
      <c r="BY16" s="66">
        <f t="shared" si="14"/>
        <v>0</v>
      </c>
      <c r="BZ16" s="66">
        <f t="shared" si="14"/>
        <v>0</v>
      </c>
      <c r="CA16" s="66">
        <f t="shared" si="14"/>
        <v>0</v>
      </c>
      <c r="CB16" s="66">
        <f t="shared" si="14"/>
        <v>0</v>
      </c>
      <c r="CC16" s="66">
        <f t="shared" si="14"/>
        <v>0</v>
      </c>
      <c r="CD16" s="66">
        <f t="shared" si="14"/>
        <v>0</v>
      </c>
      <c r="CE16" s="66">
        <f t="shared" si="14"/>
        <v>0</v>
      </c>
      <c r="CF16" s="66">
        <f t="shared" si="14"/>
        <v>0</v>
      </c>
      <c r="CG16" s="66">
        <f t="shared" si="14"/>
        <v>0</v>
      </c>
      <c r="CH16" s="66">
        <f t="shared" si="14"/>
        <v>0</v>
      </c>
    </row>
    <row r="17" spans="1:86" ht="15" customHeight="1" x14ac:dyDescent="0.25">
      <c r="A17" s="59" t="s">
        <v>213</v>
      </c>
      <c r="B17" s="1"/>
      <c r="C17" s="67">
        <f>C16</f>
        <v>0</v>
      </c>
      <c r="D17" s="67">
        <f t="shared" ref="D17:AI17" si="15">C17+D16</f>
        <v>0</v>
      </c>
      <c r="E17" s="67">
        <f t="shared" si="15"/>
        <v>0</v>
      </c>
      <c r="F17" s="67">
        <f t="shared" si="15"/>
        <v>0</v>
      </c>
      <c r="G17" s="67">
        <f t="shared" si="15"/>
        <v>110840.58000000002</v>
      </c>
      <c r="H17" s="67">
        <f t="shared" si="15"/>
        <v>123472.16000000002</v>
      </c>
      <c r="I17" s="67">
        <f t="shared" si="15"/>
        <v>136103.74000000002</v>
      </c>
      <c r="J17" s="67">
        <f t="shared" si="15"/>
        <v>148735.32</v>
      </c>
      <c r="K17" s="67">
        <f t="shared" si="15"/>
        <v>161366.9</v>
      </c>
      <c r="L17" s="67">
        <f t="shared" si="15"/>
        <v>173998.47999999998</v>
      </c>
      <c r="M17" s="67">
        <f t="shared" si="15"/>
        <v>186630.05999999997</v>
      </c>
      <c r="N17" s="67">
        <f t="shared" si="15"/>
        <v>199261.63999999996</v>
      </c>
      <c r="O17" s="67">
        <f t="shared" si="15"/>
        <v>211893.21999999994</v>
      </c>
      <c r="P17" s="67">
        <f t="shared" si="15"/>
        <v>224524.79999999993</v>
      </c>
      <c r="Q17" s="67">
        <f t="shared" si="15"/>
        <v>237156.37999999992</v>
      </c>
      <c r="R17" s="67">
        <f t="shared" si="15"/>
        <v>249787.9599999999</v>
      </c>
      <c r="S17" s="67">
        <f t="shared" si="15"/>
        <v>262419.53999999992</v>
      </c>
      <c r="T17" s="67">
        <f t="shared" si="15"/>
        <v>275051.11999999994</v>
      </c>
      <c r="U17" s="67">
        <f t="shared" si="15"/>
        <v>287682.69999999995</v>
      </c>
      <c r="V17" s="67">
        <f t="shared" si="15"/>
        <v>300314.27999999997</v>
      </c>
      <c r="W17" s="67">
        <f t="shared" si="15"/>
        <v>312945.86</v>
      </c>
      <c r="X17" s="67">
        <f t="shared" si="15"/>
        <v>325577.44</v>
      </c>
      <c r="Y17" s="67">
        <f t="shared" si="15"/>
        <v>338209.02</v>
      </c>
      <c r="Z17" s="67">
        <f t="shared" si="15"/>
        <v>338209.02</v>
      </c>
      <c r="AA17" s="67">
        <f t="shared" si="15"/>
        <v>338209.02</v>
      </c>
      <c r="AB17" s="67">
        <f t="shared" si="15"/>
        <v>338209.02</v>
      </c>
      <c r="AC17" s="67">
        <f t="shared" si="15"/>
        <v>338209.02</v>
      </c>
      <c r="AD17" s="67">
        <f t="shared" si="15"/>
        <v>338209.02</v>
      </c>
      <c r="AE17" s="67">
        <f t="shared" si="15"/>
        <v>338209.02</v>
      </c>
      <c r="AF17" s="67">
        <f t="shared" si="15"/>
        <v>338209.02</v>
      </c>
      <c r="AG17" s="67">
        <f t="shared" si="15"/>
        <v>338209.02</v>
      </c>
      <c r="AH17" s="67">
        <f t="shared" si="15"/>
        <v>338209.02</v>
      </c>
      <c r="AI17" s="67">
        <f t="shared" si="15"/>
        <v>338209.02</v>
      </c>
      <c r="AJ17" s="67">
        <f t="shared" ref="AJ17:BO17" si="16">AI17+AJ16</f>
        <v>338209.02</v>
      </c>
      <c r="AK17" s="67">
        <f t="shared" si="16"/>
        <v>338209.02</v>
      </c>
      <c r="AL17" s="67">
        <f t="shared" si="16"/>
        <v>338209.02</v>
      </c>
      <c r="AM17" s="67">
        <f t="shared" si="16"/>
        <v>338209.02</v>
      </c>
      <c r="AN17" s="67">
        <f t="shared" si="16"/>
        <v>338209.02</v>
      </c>
      <c r="AO17" s="67">
        <f t="shared" si="16"/>
        <v>338209.02</v>
      </c>
      <c r="AP17" s="67">
        <f t="shared" si="16"/>
        <v>338209.02</v>
      </c>
      <c r="AQ17" s="67">
        <f t="shared" si="16"/>
        <v>338209.02</v>
      </c>
      <c r="AR17" s="67">
        <f t="shared" si="16"/>
        <v>338209.02</v>
      </c>
      <c r="AS17" s="67">
        <f t="shared" si="16"/>
        <v>338209.02</v>
      </c>
      <c r="AT17" s="67">
        <f t="shared" si="16"/>
        <v>338209.02</v>
      </c>
      <c r="AU17" s="67">
        <f t="shared" si="16"/>
        <v>338209.02</v>
      </c>
      <c r="AV17" s="67">
        <f t="shared" si="16"/>
        <v>338209.02</v>
      </c>
      <c r="AW17" s="67">
        <f t="shared" si="16"/>
        <v>338209.02</v>
      </c>
      <c r="AX17" s="67">
        <f t="shared" si="16"/>
        <v>338209.02</v>
      </c>
      <c r="AY17" s="67">
        <f t="shared" si="16"/>
        <v>338209.02</v>
      </c>
      <c r="AZ17" s="67">
        <f t="shared" si="16"/>
        <v>338209.02</v>
      </c>
      <c r="BA17" s="67">
        <f t="shared" si="16"/>
        <v>338209.02</v>
      </c>
      <c r="BB17" s="67">
        <f t="shared" si="16"/>
        <v>338209.02</v>
      </c>
      <c r="BC17" s="67">
        <f t="shared" si="16"/>
        <v>338209.02</v>
      </c>
      <c r="BD17" s="67">
        <f t="shared" si="16"/>
        <v>338209.02</v>
      </c>
      <c r="BE17" s="67">
        <f t="shared" si="16"/>
        <v>338209.02</v>
      </c>
      <c r="BF17" s="67">
        <f t="shared" si="16"/>
        <v>338209.02</v>
      </c>
      <c r="BG17" s="67">
        <f t="shared" si="16"/>
        <v>338209.02</v>
      </c>
      <c r="BH17" s="67">
        <f t="shared" si="16"/>
        <v>338209.02</v>
      </c>
      <c r="BI17" s="67">
        <f t="shared" si="16"/>
        <v>338209.02</v>
      </c>
      <c r="BJ17" s="67">
        <f t="shared" si="16"/>
        <v>338209.02</v>
      </c>
      <c r="BK17" s="67">
        <f t="shared" si="16"/>
        <v>338209.02</v>
      </c>
      <c r="BL17" s="67">
        <f t="shared" si="16"/>
        <v>338209.02</v>
      </c>
      <c r="BM17" s="67">
        <f t="shared" si="16"/>
        <v>338209.02</v>
      </c>
      <c r="BN17" s="67">
        <f t="shared" si="16"/>
        <v>338209.02</v>
      </c>
      <c r="BO17" s="67">
        <f t="shared" si="16"/>
        <v>338209.02</v>
      </c>
      <c r="BP17" s="67">
        <f t="shared" ref="BP17:CU17" si="17">BO17+BP16</f>
        <v>338209.02</v>
      </c>
      <c r="BQ17" s="67">
        <f t="shared" si="17"/>
        <v>338209.02</v>
      </c>
      <c r="BR17" s="67">
        <f t="shared" si="17"/>
        <v>338209.02</v>
      </c>
      <c r="BS17" s="67">
        <f t="shared" si="17"/>
        <v>338209.02</v>
      </c>
      <c r="BT17" s="67">
        <f t="shared" si="17"/>
        <v>338209.02</v>
      </c>
      <c r="BU17" s="67">
        <f t="shared" si="17"/>
        <v>338209.02</v>
      </c>
      <c r="BV17" s="67">
        <f t="shared" si="17"/>
        <v>338209.02</v>
      </c>
      <c r="BW17" s="67">
        <f t="shared" si="17"/>
        <v>338209.02</v>
      </c>
      <c r="BX17" s="67">
        <f t="shared" si="17"/>
        <v>338209.02</v>
      </c>
      <c r="BY17" s="67">
        <f t="shared" si="17"/>
        <v>338209.02</v>
      </c>
      <c r="BZ17" s="67">
        <f t="shared" si="17"/>
        <v>338209.02</v>
      </c>
      <c r="CA17" s="67">
        <f t="shared" si="17"/>
        <v>338209.02</v>
      </c>
      <c r="CB17" s="67">
        <f t="shared" si="17"/>
        <v>338209.02</v>
      </c>
      <c r="CC17" s="67">
        <f t="shared" si="17"/>
        <v>338209.02</v>
      </c>
      <c r="CD17" s="67">
        <f t="shared" si="17"/>
        <v>338209.02</v>
      </c>
      <c r="CE17" s="67">
        <f t="shared" si="17"/>
        <v>338209.02</v>
      </c>
      <c r="CF17" s="67">
        <f t="shared" si="17"/>
        <v>338209.02</v>
      </c>
      <c r="CG17" s="67">
        <f t="shared" si="17"/>
        <v>338209.02</v>
      </c>
      <c r="CH17" s="67">
        <f t="shared" si="17"/>
        <v>338209.02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51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211</v>
      </c>
      <c r="B20" s="1"/>
      <c r="C20" s="65">
        <f>Model!C57+Model!C58+Model!C59</f>
        <v>0</v>
      </c>
      <c r="D20" s="65">
        <f>Model!D57+Model!D58+Model!D59</f>
        <v>0</v>
      </c>
      <c r="E20" s="65">
        <f>Model!E57+Model!E58+Model!E59</f>
        <v>0</v>
      </c>
      <c r="F20" s="65">
        <f>Model!F57+Model!F58+Model!F59</f>
        <v>0</v>
      </c>
      <c r="G20" s="65">
        <f>Model!G57+Model!G58+Model!G59</f>
        <v>0</v>
      </c>
      <c r="H20" s="65">
        <f>Model!H57+Model!H58+Model!H59</f>
        <v>192797.63</v>
      </c>
      <c r="I20" s="65">
        <f>Model!I57+Model!I58+Model!I59</f>
        <v>11052.630000000001</v>
      </c>
      <c r="J20" s="65">
        <f>Model!J57+Model!J58+Model!J59</f>
        <v>11052.630000000001</v>
      </c>
      <c r="K20" s="65">
        <f>Model!K57+Model!K58+Model!K59</f>
        <v>11052.630000000001</v>
      </c>
      <c r="L20" s="65">
        <f>Model!L57+Model!L58+Model!L59</f>
        <v>11052.630000000001</v>
      </c>
      <c r="M20" s="65">
        <f>Model!M57+Model!M58+Model!M59</f>
        <v>11052.630000000001</v>
      </c>
      <c r="N20" s="65">
        <f>Model!N57+Model!N58+Model!N59</f>
        <v>11052.630000000001</v>
      </c>
      <c r="O20" s="65">
        <f>Model!O57+Model!O58+Model!O59</f>
        <v>11052.630000000001</v>
      </c>
      <c r="P20" s="65">
        <f>Model!P57+Model!P58+Model!P59</f>
        <v>11052.630000000001</v>
      </c>
      <c r="Q20" s="65">
        <f>Model!Q57+Model!Q58+Model!Q59</f>
        <v>11052.630000000001</v>
      </c>
      <c r="R20" s="65">
        <f>Model!R57+Model!R58+Model!R59</f>
        <v>11052.630000000001</v>
      </c>
      <c r="S20" s="65">
        <f>Model!S57+Model!S58+Model!S59</f>
        <v>11052.630000000001</v>
      </c>
      <c r="T20" s="65">
        <f>Model!T57+Model!T58+Model!T59</f>
        <v>11052.630000000001</v>
      </c>
      <c r="U20" s="65">
        <f>Model!U57+Model!U58+Model!U59</f>
        <v>11052.630000000001</v>
      </c>
      <c r="V20" s="65">
        <f>Model!V57+Model!V58+Model!V59</f>
        <v>11052.630000000001</v>
      </c>
      <c r="W20" s="65">
        <f>Model!W57+Model!W58+Model!W59</f>
        <v>11052.630000000001</v>
      </c>
      <c r="X20" s="65">
        <f>Model!X57+Model!X58+Model!X59</f>
        <v>11052.630000000001</v>
      </c>
      <c r="Y20" s="65">
        <f>Model!Y57+Model!Y58+Model!Y59</f>
        <v>11052.630000000001</v>
      </c>
      <c r="Z20" s="65">
        <f>Model!Z57+Model!Z58+Model!Z59</f>
        <v>11052.630000000001</v>
      </c>
      <c r="AA20" s="65">
        <f>Model!AA57+Model!AA58+Model!AA59</f>
        <v>0</v>
      </c>
      <c r="AB20" s="65">
        <f>Model!AB57+Model!AB58+Model!AB59</f>
        <v>0</v>
      </c>
      <c r="AC20" s="65">
        <f>Model!AC57+Model!AC58+Model!AC59</f>
        <v>0</v>
      </c>
      <c r="AD20" s="65">
        <f>Model!AD57+Model!AD58+Model!AD59</f>
        <v>0</v>
      </c>
      <c r="AE20" s="65">
        <f>Model!AE57+Model!AE58+Model!AE59</f>
        <v>0</v>
      </c>
      <c r="AF20" s="65">
        <f>Model!AF57+Model!AF58+Model!AF59</f>
        <v>0</v>
      </c>
      <c r="AG20" s="65">
        <f>Model!AG57+Model!AG58+Model!AG59</f>
        <v>0</v>
      </c>
      <c r="AH20" s="65">
        <f>Model!AH57+Model!AH58+Model!AH59</f>
        <v>0</v>
      </c>
      <c r="AI20" s="65">
        <f>Model!AI57+Model!AI58+Model!AI59</f>
        <v>0</v>
      </c>
      <c r="AJ20" s="65">
        <f>Model!AJ57+Model!AJ58+Model!AJ59</f>
        <v>0</v>
      </c>
      <c r="AK20" s="65">
        <f>Model!AK57+Model!AK58+Model!AK59</f>
        <v>0</v>
      </c>
      <c r="AL20" s="65">
        <f>Model!AL57+Model!AL58+Model!AL59</f>
        <v>0</v>
      </c>
      <c r="AM20" s="65">
        <f>Model!AM57+Model!AM58+Model!AM59</f>
        <v>0</v>
      </c>
      <c r="AN20" s="65">
        <f>Model!AN57+Model!AN58+Model!AN59</f>
        <v>0</v>
      </c>
      <c r="AO20" s="65">
        <f>Model!AO57+Model!AO58+Model!AO59</f>
        <v>0</v>
      </c>
      <c r="AP20" s="65">
        <f>Model!AP57+Model!AP58+Model!AP59</f>
        <v>0</v>
      </c>
      <c r="AQ20" s="65">
        <f>Model!AQ57+Model!AQ58+Model!AQ59</f>
        <v>0</v>
      </c>
      <c r="AR20" s="65">
        <f>Model!AR57+Model!AR58+Model!AR59</f>
        <v>0</v>
      </c>
      <c r="AS20" s="65">
        <f>Model!AS57+Model!AS58+Model!AS59</f>
        <v>0</v>
      </c>
      <c r="AT20" s="65">
        <f>Model!AT57+Model!AT58+Model!AT59</f>
        <v>0</v>
      </c>
      <c r="AU20" s="65">
        <f>Model!AU57+Model!AU58+Model!AU59</f>
        <v>0</v>
      </c>
      <c r="AV20" s="65">
        <f>Model!AV57+Model!AV58+Model!AV59</f>
        <v>0</v>
      </c>
      <c r="AW20" s="65">
        <f>Model!AW57+Model!AW58+Model!AW59</f>
        <v>0</v>
      </c>
      <c r="AX20" s="65">
        <f>Model!AX57+Model!AX58+Model!AX59</f>
        <v>0</v>
      </c>
      <c r="AY20" s="65">
        <f>Model!AY57+Model!AY58+Model!AY59</f>
        <v>0</v>
      </c>
      <c r="AZ20" s="65">
        <f>Model!AZ57+Model!AZ58+Model!AZ59</f>
        <v>0</v>
      </c>
      <c r="BA20" s="65">
        <f>Model!BA57+Model!BA58+Model!BA59</f>
        <v>0</v>
      </c>
      <c r="BB20" s="65">
        <f>Model!BB57+Model!BB58+Model!BB59</f>
        <v>0</v>
      </c>
      <c r="BC20" s="65">
        <f>Model!BC57+Model!BC58+Model!BC59</f>
        <v>0</v>
      </c>
      <c r="BD20" s="65">
        <f>Model!BD57+Model!BD58+Model!BD59</f>
        <v>0</v>
      </c>
      <c r="BE20" s="65">
        <f>Model!BE57+Model!BE58+Model!BE59</f>
        <v>0</v>
      </c>
      <c r="BF20" s="65">
        <f>Model!BF57+Model!BF58+Model!BF59</f>
        <v>0</v>
      </c>
      <c r="BG20" s="65">
        <f>Model!BG57+Model!BG58+Model!BG59</f>
        <v>0</v>
      </c>
      <c r="BH20" s="65">
        <f>Model!BH57+Model!BH58+Model!BH59</f>
        <v>0</v>
      </c>
      <c r="BI20" s="65">
        <f>Model!BI57+Model!BI58+Model!BI59</f>
        <v>0</v>
      </c>
      <c r="BJ20" s="65">
        <f>Model!BJ57+Model!BJ58+Model!BJ59</f>
        <v>0</v>
      </c>
      <c r="BK20" s="65">
        <f>Model!BK57+Model!BK58+Model!BK59</f>
        <v>0</v>
      </c>
      <c r="BL20" s="65">
        <f>Model!BL57+Model!BL58+Model!BL59</f>
        <v>0</v>
      </c>
      <c r="BM20" s="65">
        <f>Model!BM57+Model!BM58+Model!BM59</f>
        <v>0</v>
      </c>
      <c r="BN20" s="65">
        <f>Model!BN57+Model!BN58+Model!BN59</f>
        <v>0</v>
      </c>
      <c r="BO20" s="65">
        <f>Model!BO57+Model!BO58+Model!BO59</f>
        <v>0</v>
      </c>
      <c r="BP20" s="65">
        <f>Model!BP57+Model!BP58+Model!BP59</f>
        <v>0</v>
      </c>
      <c r="BQ20" s="65">
        <f>Model!BQ57+Model!BQ58+Model!BQ59</f>
        <v>0</v>
      </c>
      <c r="BR20" s="65">
        <f>Model!BR57+Model!BR58+Model!BR59</f>
        <v>0</v>
      </c>
      <c r="BS20" s="65">
        <f>Model!BS57+Model!BS58+Model!BS59</f>
        <v>0</v>
      </c>
      <c r="BT20" s="65">
        <f>Model!BT57+Model!BT58+Model!BT59</f>
        <v>0</v>
      </c>
      <c r="BU20" s="65">
        <f>Model!BU57+Model!BU58+Model!BU59</f>
        <v>0</v>
      </c>
      <c r="BV20" s="65">
        <f>Model!BV57+Model!BV58+Model!BV59</f>
        <v>0</v>
      </c>
      <c r="BW20" s="65">
        <f>Model!BW57+Model!BW58+Model!BW59</f>
        <v>0</v>
      </c>
      <c r="BX20" s="65">
        <f>Model!BX57+Model!BX58+Model!BX59</f>
        <v>0</v>
      </c>
      <c r="BY20" s="65">
        <f>Model!BY57+Model!BY58+Model!BY59</f>
        <v>0</v>
      </c>
      <c r="BZ20" s="65">
        <f>Model!BZ57+Model!BZ58+Model!BZ59</f>
        <v>0</v>
      </c>
      <c r="CA20" s="65">
        <f>Model!CA57+Model!CA58+Model!CA59</f>
        <v>0</v>
      </c>
      <c r="CB20" s="65">
        <f>Model!CB57+Model!CB58+Model!CB59</f>
        <v>0</v>
      </c>
      <c r="CC20" s="65">
        <f>Model!CC57+Model!CC58+Model!CC59</f>
        <v>0</v>
      </c>
      <c r="CD20" s="65">
        <f>Model!CD57+Model!CD58+Model!CD59</f>
        <v>0</v>
      </c>
      <c r="CE20" s="65">
        <f>Model!CE57+Model!CE58+Model!CE59</f>
        <v>0</v>
      </c>
      <c r="CF20" s="65">
        <f>Model!CF57+Model!CF58+Model!CF59</f>
        <v>0</v>
      </c>
      <c r="CG20" s="65">
        <f>Model!CG57+Model!CG58+Model!CG59</f>
        <v>0</v>
      </c>
      <c r="CH20" s="65">
        <f>Model!CH57+Model!CH58+Model!CH59</f>
        <v>0</v>
      </c>
    </row>
    <row r="21" spans="1:86" ht="15" customHeight="1" x14ac:dyDescent="0.25">
      <c r="A21" s="68" t="s">
        <v>215</v>
      </c>
      <c r="B21" s="1"/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f>IF(Projects!$G$12="Yes",-135452,0)</f>
        <v>-135452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69">
        <v>0</v>
      </c>
      <c r="R21" s="69">
        <v>0</v>
      </c>
      <c r="S21" s="69">
        <v>0</v>
      </c>
      <c r="T21" s="69">
        <v>0</v>
      </c>
      <c r="U21" s="69">
        <v>0</v>
      </c>
      <c r="V21" s="69">
        <v>0</v>
      </c>
      <c r="W21" s="69">
        <v>0</v>
      </c>
      <c r="X21" s="69">
        <v>0</v>
      </c>
      <c r="Y21" s="69">
        <v>0</v>
      </c>
      <c r="Z21" s="69">
        <v>0</v>
      </c>
      <c r="AA21" s="69">
        <v>0</v>
      </c>
      <c r="AB21" s="69">
        <v>0</v>
      </c>
      <c r="AC21" s="69">
        <v>0</v>
      </c>
      <c r="AD21" s="69">
        <v>0</v>
      </c>
      <c r="AE21" s="69">
        <v>0</v>
      </c>
      <c r="AF21" s="69">
        <v>0</v>
      </c>
      <c r="AG21" s="69">
        <v>0</v>
      </c>
      <c r="AH21" s="69">
        <v>0</v>
      </c>
      <c r="AI21" s="69">
        <v>0</v>
      </c>
      <c r="AJ21" s="69">
        <v>0</v>
      </c>
      <c r="AK21" s="69">
        <v>0</v>
      </c>
      <c r="AL21" s="69">
        <v>0</v>
      </c>
      <c r="AM21" s="69">
        <v>0</v>
      </c>
      <c r="AN21" s="69">
        <v>0</v>
      </c>
      <c r="AO21" s="69">
        <v>0</v>
      </c>
      <c r="AP21" s="69">
        <v>0</v>
      </c>
      <c r="AQ21" s="69">
        <v>0</v>
      </c>
      <c r="AR21" s="69">
        <v>0</v>
      </c>
      <c r="AS21" s="69">
        <v>0</v>
      </c>
      <c r="AT21" s="69">
        <v>0</v>
      </c>
      <c r="AU21" s="69">
        <v>0</v>
      </c>
      <c r="AV21" s="69">
        <v>0</v>
      </c>
      <c r="AW21" s="69">
        <v>0</v>
      </c>
      <c r="AX21" s="69">
        <v>0</v>
      </c>
      <c r="AY21" s="69">
        <v>0</v>
      </c>
      <c r="AZ21" s="69">
        <v>0</v>
      </c>
      <c r="BA21" s="69">
        <v>0</v>
      </c>
      <c r="BB21" s="69">
        <v>0</v>
      </c>
      <c r="BC21" s="69">
        <v>0</v>
      </c>
      <c r="BD21" s="69">
        <v>0</v>
      </c>
      <c r="BE21" s="69">
        <v>0</v>
      </c>
      <c r="BF21" s="69">
        <v>0</v>
      </c>
      <c r="BG21" s="69">
        <v>0</v>
      </c>
      <c r="BH21" s="69">
        <v>0</v>
      </c>
      <c r="BI21" s="69">
        <v>0</v>
      </c>
      <c r="BJ21" s="69">
        <v>0</v>
      </c>
      <c r="BK21" s="69">
        <v>0</v>
      </c>
      <c r="BL21" s="69">
        <v>0</v>
      </c>
      <c r="BM21" s="69">
        <v>0</v>
      </c>
      <c r="BN21" s="69">
        <v>0</v>
      </c>
      <c r="BO21" s="69">
        <v>0</v>
      </c>
      <c r="BP21" s="69">
        <v>0</v>
      </c>
      <c r="BQ21" s="69">
        <v>0</v>
      </c>
      <c r="BR21" s="69">
        <v>0</v>
      </c>
      <c r="BS21" s="69">
        <v>0</v>
      </c>
      <c r="BT21" s="69">
        <v>0</v>
      </c>
      <c r="BU21" s="69">
        <v>0</v>
      </c>
      <c r="BV21" s="69">
        <v>0</v>
      </c>
      <c r="BW21" s="69">
        <v>0</v>
      </c>
      <c r="BX21" s="69">
        <v>0</v>
      </c>
      <c r="BY21" s="69">
        <v>0</v>
      </c>
      <c r="BZ21" s="69">
        <v>0</v>
      </c>
      <c r="CA21" s="69">
        <v>0</v>
      </c>
      <c r="CB21" s="69">
        <v>0</v>
      </c>
      <c r="CC21" s="69">
        <v>0</v>
      </c>
      <c r="CD21" s="69">
        <v>0</v>
      </c>
      <c r="CE21" s="69">
        <v>0</v>
      </c>
      <c r="CF21" s="69">
        <v>0</v>
      </c>
      <c r="CG21" s="69">
        <v>0</v>
      </c>
      <c r="CH21" s="69">
        <v>0</v>
      </c>
    </row>
    <row r="22" spans="1:86" ht="15" customHeight="1" x14ac:dyDescent="0.25">
      <c r="A22" s="28" t="s">
        <v>212</v>
      </c>
      <c r="B22" s="28"/>
      <c r="C22" s="66">
        <f t="shared" ref="C22:AH22" si="18">C20+C21</f>
        <v>0</v>
      </c>
      <c r="D22" s="66">
        <f t="shared" si="18"/>
        <v>0</v>
      </c>
      <c r="E22" s="66">
        <f t="shared" si="18"/>
        <v>0</v>
      </c>
      <c r="F22" s="66">
        <f t="shared" si="18"/>
        <v>0</v>
      </c>
      <c r="G22" s="66">
        <f t="shared" si="18"/>
        <v>0</v>
      </c>
      <c r="H22" s="66">
        <f t="shared" si="18"/>
        <v>57345.630000000005</v>
      </c>
      <c r="I22" s="66">
        <f t="shared" si="18"/>
        <v>11052.630000000001</v>
      </c>
      <c r="J22" s="66">
        <f t="shared" si="18"/>
        <v>11052.630000000001</v>
      </c>
      <c r="K22" s="66">
        <f t="shared" si="18"/>
        <v>11052.630000000001</v>
      </c>
      <c r="L22" s="66">
        <f t="shared" si="18"/>
        <v>11052.630000000001</v>
      </c>
      <c r="M22" s="66">
        <f t="shared" si="18"/>
        <v>11052.630000000001</v>
      </c>
      <c r="N22" s="66">
        <f t="shared" si="18"/>
        <v>11052.630000000001</v>
      </c>
      <c r="O22" s="66">
        <f t="shared" si="18"/>
        <v>11052.630000000001</v>
      </c>
      <c r="P22" s="66">
        <f t="shared" si="18"/>
        <v>11052.630000000001</v>
      </c>
      <c r="Q22" s="66">
        <f t="shared" si="18"/>
        <v>11052.630000000001</v>
      </c>
      <c r="R22" s="66">
        <f t="shared" si="18"/>
        <v>11052.630000000001</v>
      </c>
      <c r="S22" s="66">
        <f t="shared" si="18"/>
        <v>11052.630000000001</v>
      </c>
      <c r="T22" s="66">
        <f t="shared" si="18"/>
        <v>11052.630000000001</v>
      </c>
      <c r="U22" s="66">
        <f t="shared" si="18"/>
        <v>11052.630000000001</v>
      </c>
      <c r="V22" s="66">
        <f t="shared" si="18"/>
        <v>11052.630000000001</v>
      </c>
      <c r="W22" s="66">
        <f t="shared" si="18"/>
        <v>11052.630000000001</v>
      </c>
      <c r="X22" s="66">
        <f t="shared" si="18"/>
        <v>11052.630000000001</v>
      </c>
      <c r="Y22" s="66">
        <f t="shared" si="18"/>
        <v>11052.630000000001</v>
      </c>
      <c r="Z22" s="66">
        <f t="shared" si="18"/>
        <v>11052.630000000001</v>
      </c>
      <c r="AA22" s="66">
        <f t="shared" si="18"/>
        <v>0</v>
      </c>
      <c r="AB22" s="66">
        <f t="shared" si="18"/>
        <v>0</v>
      </c>
      <c r="AC22" s="66">
        <f t="shared" si="18"/>
        <v>0</v>
      </c>
      <c r="AD22" s="66">
        <f t="shared" si="18"/>
        <v>0</v>
      </c>
      <c r="AE22" s="66">
        <f t="shared" si="18"/>
        <v>0</v>
      </c>
      <c r="AF22" s="66">
        <f t="shared" si="18"/>
        <v>0</v>
      </c>
      <c r="AG22" s="66">
        <f t="shared" si="18"/>
        <v>0</v>
      </c>
      <c r="AH22" s="66">
        <f t="shared" si="18"/>
        <v>0</v>
      </c>
      <c r="AI22" s="66">
        <f t="shared" ref="AI22:BN22" si="19">AI20+AI21</f>
        <v>0</v>
      </c>
      <c r="AJ22" s="66">
        <f t="shared" si="19"/>
        <v>0</v>
      </c>
      <c r="AK22" s="66">
        <f t="shared" si="19"/>
        <v>0</v>
      </c>
      <c r="AL22" s="66">
        <f t="shared" si="19"/>
        <v>0</v>
      </c>
      <c r="AM22" s="66">
        <f t="shared" si="19"/>
        <v>0</v>
      </c>
      <c r="AN22" s="66">
        <f t="shared" si="19"/>
        <v>0</v>
      </c>
      <c r="AO22" s="66">
        <f t="shared" si="19"/>
        <v>0</v>
      </c>
      <c r="AP22" s="66">
        <f t="shared" si="19"/>
        <v>0</v>
      </c>
      <c r="AQ22" s="66">
        <f t="shared" si="19"/>
        <v>0</v>
      </c>
      <c r="AR22" s="66">
        <f t="shared" si="19"/>
        <v>0</v>
      </c>
      <c r="AS22" s="66">
        <f t="shared" si="19"/>
        <v>0</v>
      </c>
      <c r="AT22" s="66">
        <f t="shared" si="19"/>
        <v>0</v>
      </c>
      <c r="AU22" s="66">
        <f t="shared" si="19"/>
        <v>0</v>
      </c>
      <c r="AV22" s="66">
        <f t="shared" si="19"/>
        <v>0</v>
      </c>
      <c r="AW22" s="66">
        <f t="shared" si="19"/>
        <v>0</v>
      </c>
      <c r="AX22" s="66">
        <f t="shared" si="19"/>
        <v>0</v>
      </c>
      <c r="AY22" s="66">
        <f t="shared" si="19"/>
        <v>0</v>
      </c>
      <c r="AZ22" s="66">
        <f t="shared" si="19"/>
        <v>0</v>
      </c>
      <c r="BA22" s="66">
        <f t="shared" si="19"/>
        <v>0</v>
      </c>
      <c r="BB22" s="66">
        <f t="shared" si="19"/>
        <v>0</v>
      </c>
      <c r="BC22" s="66">
        <f t="shared" si="19"/>
        <v>0</v>
      </c>
      <c r="BD22" s="66">
        <f t="shared" si="19"/>
        <v>0</v>
      </c>
      <c r="BE22" s="66">
        <f t="shared" si="19"/>
        <v>0</v>
      </c>
      <c r="BF22" s="66">
        <f t="shared" si="19"/>
        <v>0</v>
      </c>
      <c r="BG22" s="66">
        <f t="shared" si="19"/>
        <v>0</v>
      </c>
      <c r="BH22" s="66">
        <f t="shared" si="19"/>
        <v>0</v>
      </c>
      <c r="BI22" s="66">
        <f t="shared" si="19"/>
        <v>0</v>
      </c>
      <c r="BJ22" s="66">
        <f t="shared" si="19"/>
        <v>0</v>
      </c>
      <c r="BK22" s="66">
        <f t="shared" si="19"/>
        <v>0</v>
      </c>
      <c r="BL22" s="66">
        <f t="shared" si="19"/>
        <v>0</v>
      </c>
      <c r="BM22" s="66">
        <f t="shared" si="19"/>
        <v>0</v>
      </c>
      <c r="BN22" s="66">
        <f t="shared" si="19"/>
        <v>0</v>
      </c>
      <c r="BO22" s="66">
        <f t="shared" ref="BO22:CT22" si="20">BO20+BO21</f>
        <v>0</v>
      </c>
      <c r="BP22" s="66">
        <f t="shared" si="20"/>
        <v>0</v>
      </c>
      <c r="BQ22" s="66">
        <f t="shared" si="20"/>
        <v>0</v>
      </c>
      <c r="BR22" s="66">
        <f t="shared" si="20"/>
        <v>0</v>
      </c>
      <c r="BS22" s="66">
        <f t="shared" si="20"/>
        <v>0</v>
      </c>
      <c r="BT22" s="66">
        <f t="shared" si="20"/>
        <v>0</v>
      </c>
      <c r="BU22" s="66">
        <f t="shared" si="20"/>
        <v>0</v>
      </c>
      <c r="BV22" s="66">
        <f t="shared" si="20"/>
        <v>0</v>
      </c>
      <c r="BW22" s="66">
        <f t="shared" si="20"/>
        <v>0</v>
      </c>
      <c r="BX22" s="66">
        <f t="shared" si="20"/>
        <v>0</v>
      </c>
      <c r="BY22" s="66">
        <f t="shared" si="20"/>
        <v>0</v>
      </c>
      <c r="BZ22" s="66">
        <f t="shared" si="20"/>
        <v>0</v>
      </c>
      <c r="CA22" s="66">
        <f t="shared" si="20"/>
        <v>0</v>
      </c>
      <c r="CB22" s="66">
        <f t="shared" si="20"/>
        <v>0</v>
      </c>
      <c r="CC22" s="66">
        <f t="shared" si="20"/>
        <v>0</v>
      </c>
      <c r="CD22" s="66">
        <f t="shared" si="20"/>
        <v>0</v>
      </c>
      <c r="CE22" s="66">
        <f t="shared" si="20"/>
        <v>0</v>
      </c>
      <c r="CF22" s="66">
        <f t="shared" si="20"/>
        <v>0</v>
      </c>
      <c r="CG22" s="66">
        <f t="shared" si="20"/>
        <v>0</v>
      </c>
      <c r="CH22" s="66">
        <f t="shared" si="20"/>
        <v>0</v>
      </c>
    </row>
    <row r="23" spans="1:86" ht="15" customHeight="1" x14ac:dyDescent="0.25">
      <c r="A23" s="59" t="s">
        <v>213</v>
      </c>
      <c r="B23" s="1"/>
      <c r="C23" s="67">
        <f>C22</f>
        <v>0</v>
      </c>
      <c r="D23" s="67">
        <f t="shared" ref="D23:AI23" si="21">C23+D22</f>
        <v>0</v>
      </c>
      <c r="E23" s="67">
        <f t="shared" si="21"/>
        <v>0</v>
      </c>
      <c r="F23" s="67">
        <f t="shared" si="21"/>
        <v>0</v>
      </c>
      <c r="G23" s="67">
        <f t="shared" si="21"/>
        <v>0</v>
      </c>
      <c r="H23" s="67">
        <f t="shared" si="21"/>
        <v>57345.630000000005</v>
      </c>
      <c r="I23" s="67">
        <f t="shared" si="21"/>
        <v>68398.260000000009</v>
      </c>
      <c r="J23" s="67">
        <f t="shared" si="21"/>
        <v>79450.890000000014</v>
      </c>
      <c r="K23" s="67">
        <f t="shared" si="21"/>
        <v>90503.520000000019</v>
      </c>
      <c r="L23" s="67">
        <f t="shared" si="21"/>
        <v>101556.15000000002</v>
      </c>
      <c r="M23" s="67">
        <f t="shared" si="21"/>
        <v>112608.78000000003</v>
      </c>
      <c r="N23" s="67">
        <f t="shared" si="21"/>
        <v>123661.41000000003</v>
      </c>
      <c r="O23" s="67">
        <f t="shared" si="21"/>
        <v>134714.04000000004</v>
      </c>
      <c r="P23" s="67">
        <f t="shared" si="21"/>
        <v>145766.67000000004</v>
      </c>
      <c r="Q23" s="67">
        <f t="shared" si="21"/>
        <v>156819.30000000005</v>
      </c>
      <c r="R23" s="67">
        <f t="shared" si="21"/>
        <v>167871.93000000005</v>
      </c>
      <c r="S23" s="67">
        <f t="shared" si="21"/>
        <v>178924.56000000006</v>
      </c>
      <c r="T23" s="67">
        <f t="shared" si="21"/>
        <v>189977.19000000006</v>
      </c>
      <c r="U23" s="67">
        <f t="shared" si="21"/>
        <v>201029.82000000007</v>
      </c>
      <c r="V23" s="67">
        <f t="shared" si="21"/>
        <v>212082.45000000007</v>
      </c>
      <c r="W23" s="67">
        <f t="shared" si="21"/>
        <v>223135.08000000007</v>
      </c>
      <c r="X23" s="67">
        <f t="shared" si="21"/>
        <v>234187.71000000008</v>
      </c>
      <c r="Y23" s="67">
        <f t="shared" si="21"/>
        <v>245240.34000000008</v>
      </c>
      <c r="Z23" s="67">
        <f t="shared" si="21"/>
        <v>256292.97000000009</v>
      </c>
      <c r="AA23" s="67">
        <f t="shared" si="21"/>
        <v>256292.97000000009</v>
      </c>
      <c r="AB23" s="67">
        <f t="shared" si="21"/>
        <v>256292.97000000009</v>
      </c>
      <c r="AC23" s="67">
        <f t="shared" si="21"/>
        <v>256292.97000000009</v>
      </c>
      <c r="AD23" s="67">
        <f t="shared" si="21"/>
        <v>256292.97000000009</v>
      </c>
      <c r="AE23" s="67">
        <f t="shared" si="21"/>
        <v>256292.97000000009</v>
      </c>
      <c r="AF23" s="67">
        <f t="shared" si="21"/>
        <v>256292.97000000009</v>
      </c>
      <c r="AG23" s="67">
        <f t="shared" si="21"/>
        <v>256292.97000000009</v>
      </c>
      <c r="AH23" s="67">
        <f t="shared" si="21"/>
        <v>256292.97000000009</v>
      </c>
      <c r="AI23" s="67">
        <f t="shared" si="21"/>
        <v>256292.97000000009</v>
      </c>
      <c r="AJ23" s="67">
        <f t="shared" ref="AJ23:BO23" si="22">AI23+AJ22</f>
        <v>256292.97000000009</v>
      </c>
      <c r="AK23" s="67">
        <f t="shared" si="22"/>
        <v>256292.97000000009</v>
      </c>
      <c r="AL23" s="67">
        <f t="shared" si="22"/>
        <v>256292.97000000009</v>
      </c>
      <c r="AM23" s="67">
        <f t="shared" si="22"/>
        <v>256292.97000000009</v>
      </c>
      <c r="AN23" s="67">
        <f t="shared" si="22"/>
        <v>256292.97000000009</v>
      </c>
      <c r="AO23" s="67">
        <f t="shared" si="22"/>
        <v>256292.97000000009</v>
      </c>
      <c r="AP23" s="67">
        <f t="shared" si="22"/>
        <v>256292.97000000009</v>
      </c>
      <c r="AQ23" s="67">
        <f t="shared" si="22"/>
        <v>256292.97000000009</v>
      </c>
      <c r="AR23" s="67">
        <f t="shared" si="22"/>
        <v>256292.97000000009</v>
      </c>
      <c r="AS23" s="67">
        <f t="shared" si="22"/>
        <v>256292.97000000009</v>
      </c>
      <c r="AT23" s="67">
        <f t="shared" si="22"/>
        <v>256292.97000000009</v>
      </c>
      <c r="AU23" s="67">
        <f t="shared" si="22"/>
        <v>256292.97000000009</v>
      </c>
      <c r="AV23" s="67">
        <f t="shared" si="22"/>
        <v>256292.97000000009</v>
      </c>
      <c r="AW23" s="67">
        <f t="shared" si="22"/>
        <v>256292.97000000009</v>
      </c>
      <c r="AX23" s="67">
        <f t="shared" si="22"/>
        <v>256292.97000000009</v>
      </c>
      <c r="AY23" s="67">
        <f t="shared" si="22"/>
        <v>256292.97000000009</v>
      </c>
      <c r="AZ23" s="67">
        <f t="shared" si="22"/>
        <v>256292.97000000009</v>
      </c>
      <c r="BA23" s="67">
        <f t="shared" si="22"/>
        <v>256292.97000000009</v>
      </c>
      <c r="BB23" s="67">
        <f t="shared" si="22"/>
        <v>256292.97000000009</v>
      </c>
      <c r="BC23" s="67">
        <f t="shared" si="22"/>
        <v>256292.97000000009</v>
      </c>
      <c r="BD23" s="67">
        <f t="shared" si="22"/>
        <v>256292.97000000009</v>
      </c>
      <c r="BE23" s="67">
        <f t="shared" si="22"/>
        <v>256292.97000000009</v>
      </c>
      <c r="BF23" s="67">
        <f t="shared" si="22"/>
        <v>256292.97000000009</v>
      </c>
      <c r="BG23" s="67">
        <f t="shared" si="22"/>
        <v>256292.97000000009</v>
      </c>
      <c r="BH23" s="67">
        <f t="shared" si="22"/>
        <v>256292.97000000009</v>
      </c>
      <c r="BI23" s="67">
        <f t="shared" si="22"/>
        <v>256292.97000000009</v>
      </c>
      <c r="BJ23" s="67">
        <f t="shared" si="22"/>
        <v>256292.97000000009</v>
      </c>
      <c r="BK23" s="67">
        <f t="shared" si="22"/>
        <v>256292.97000000009</v>
      </c>
      <c r="BL23" s="67">
        <f t="shared" si="22"/>
        <v>256292.97000000009</v>
      </c>
      <c r="BM23" s="67">
        <f t="shared" si="22"/>
        <v>256292.97000000009</v>
      </c>
      <c r="BN23" s="67">
        <f t="shared" si="22"/>
        <v>256292.97000000009</v>
      </c>
      <c r="BO23" s="67">
        <f t="shared" si="22"/>
        <v>256292.97000000009</v>
      </c>
      <c r="BP23" s="67">
        <f t="shared" ref="BP23:CU23" si="23">BO23+BP22</f>
        <v>256292.97000000009</v>
      </c>
      <c r="BQ23" s="67">
        <f t="shared" si="23"/>
        <v>256292.97000000009</v>
      </c>
      <c r="BR23" s="67">
        <f t="shared" si="23"/>
        <v>256292.97000000009</v>
      </c>
      <c r="BS23" s="67">
        <f t="shared" si="23"/>
        <v>256292.97000000009</v>
      </c>
      <c r="BT23" s="67">
        <f t="shared" si="23"/>
        <v>256292.97000000009</v>
      </c>
      <c r="BU23" s="67">
        <f t="shared" si="23"/>
        <v>256292.97000000009</v>
      </c>
      <c r="BV23" s="67">
        <f t="shared" si="23"/>
        <v>256292.97000000009</v>
      </c>
      <c r="BW23" s="67">
        <f t="shared" si="23"/>
        <v>256292.97000000009</v>
      </c>
      <c r="BX23" s="67">
        <f t="shared" si="23"/>
        <v>256292.97000000009</v>
      </c>
      <c r="BY23" s="67">
        <f t="shared" si="23"/>
        <v>256292.97000000009</v>
      </c>
      <c r="BZ23" s="67">
        <f t="shared" si="23"/>
        <v>256292.97000000009</v>
      </c>
      <c r="CA23" s="67">
        <f t="shared" si="23"/>
        <v>256292.97000000009</v>
      </c>
      <c r="CB23" s="67">
        <f t="shared" si="23"/>
        <v>256292.97000000009</v>
      </c>
      <c r="CC23" s="67">
        <f t="shared" si="23"/>
        <v>256292.97000000009</v>
      </c>
      <c r="CD23" s="67">
        <f t="shared" si="23"/>
        <v>256292.97000000009</v>
      </c>
      <c r="CE23" s="67">
        <f t="shared" si="23"/>
        <v>256292.97000000009</v>
      </c>
      <c r="CF23" s="67">
        <f t="shared" si="23"/>
        <v>256292.97000000009</v>
      </c>
      <c r="CG23" s="67">
        <f t="shared" si="23"/>
        <v>256292.97000000009</v>
      </c>
      <c r="CH23" s="67">
        <f t="shared" si="23"/>
        <v>256292.97000000009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49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211</v>
      </c>
      <c r="B26" s="1"/>
      <c r="C26" s="65">
        <f>Model!C60</f>
        <v>0</v>
      </c>
      <c r="D26" s="65">
        <f>Model!D60</f>
        <v>0</v>
      </c>
      <c r="E26" s="65">
        <f>Model!E60</f>
        <v>0</v>
      </c>
      <c r="F26" s="65">
        <f>Model!F60</f>
        <v>0</v>
      </c>
      <c r="G26" s="65">
        <f>Model!G60</f>
        <v>0</v>
      </c>
      <c r="H26" s="65">
        <f>Model!H60</f>
        <v>0</v>
      </c>
      <c r="I26" s="65">
        <f>Model!I60</f>
        <v>0</v>
      </c>
      <c r="J26" s="65">
        <f>Model!J60</f>
        <v>0</v>
      </c>
      <c r="K26" s="65">
        <f>Model!K60</f>
        <v>0</v>
      </c>
      <c r="L26" s="65">
        <f>Model!L60</f>
        <v>0</v>
      </c>
      <c r="M26" s="65">
        <f>Model!M60</f>
        <v>0</v>
      </c>
      <c r="N26" s="65">
        <f>Model!N60</f>
        <v>0</v>
      </c>
      <c r="O26" s="65">
        <f>Model!O60</f>
        <v>0</v>
      </c>
      <c r="P26" s="65">
        <f>Model!P60</f>
        <v>0</v>
      </c>
      <c r="Q26" s="65">
        <f>Model!Q60</f>
        <v>0</v>
      </c>
      <c r="R26" s="65">
        <f>Model!R60</f>
        <v>0</v>
      </c>
      <c r="S26" s="65">
        <f>Model!S60</f>
        <v>0</v>
      </c>
      <c r="T26" s="65">
        <f>Model!T60</f>
        <v>0</v>
      </c>
      <c r="U26" s="65">
        <f>Model!U60</f>
        <v>0</v>
      </c>
      <c r="V26" s="65">
        <f>Model!V60</f>
        <v>0</v>
      </c>
      <c r="W26" s="65">
        <f>Model!W60</f>
        <v>0</v>
      </c>
      <c r="X26" s="65">
        <f>Model!X60</f>
        <v>0</v>
      </c>
      <c r="Y26" s="65">
        <f>Model!Y60</f>
        <v>0</v>
      </c>
      <c r="Z26" s="65">
        <f>Model!Z60</f>
        <v>0</v>
      </c>
      <c r="AA26" s="65">
        <f>Model!AA60</f>
        <v>0</v>
      </c>
      <c r="AB26" s="65">
        <f>Model!AB60</f>
        <v>0</v>
      </c>
      <c r="AC26" s="65">
        <f>Model!AC60</f>
        <v>0</v>
      </c>
      <c r="AD26" s="65">
        <f>Model!AD60</f>
        <v>0</v>
      </c>
      <c r="AE26" s="65">
        <f>Model!AE60</f>
        <v>0</v>
      </c>
      <c r="AF26" s="65">
        <f>Model!AF60</f>
        <v>0</v>
      </c>
      <c r="AG26" s="65">
        <f>Model!AG60</f>
        <v>0</v>
      </c>
      <c r="AH26" s="65">
        <f>Model!AH60</f>
        <v>0</v>
      </c>
      <c r="AI26" s="65">
        <f>Model!AI60</f>
        <v>0</v>
      </c>
      <c r="AJ26" s="65">
        <f>Model!AJ60</f>
        <v>0</v>
      </c>
      <c r="AK26" s="65">
        <f>Model!AK60</f>
        <v>0</v>
      </c>
      <c r="AL26" s="65">
        <f>Model!AL60</f>
        <v>0</v>
      </c>
      <c r="AM26" s="65">
        <f>Model!AM60</f>
        <v>0</v>
      </c>
      <c r="AN26" s="65">
        <f>Model!AN60</f>
        <v>0</v>
      </c>
      <c r="AO26" s="65">
        <f>Model!AO60</f>
        <v>0</v>
      </c>
      <c r="AP26" s="65">
        <f>Model!AP60</f>
        <v>0</v>
      </c>
      <c r="AQ26" s="65">
        <f>Model!AQ60</f>
        <v>0</v>
      </c>
      <c r="AR26" s="65">
        <f>Model!AR60</f>
        <v>81683</v>
      </c>
      <c r="AS26" s="65">
        <f>Model!AS60</f>
        <v>0</v>
      </c>
      <c r="AT26" s="65">
        <f>Model!AT60</f>
        <v>0</v>
      </c>
      <c r="AU26" s="65">
        <f>Model!AU60</f>
        <v>81682</v>
      </c>
      <c r="AV26" s="65">
        <f>Model!AV60</f>
        <v>0</v>
      </c>
      <c r="AW26" s="65">
        <f>Model!AW60</f>
        <v>0</v>
      </c>
      <c r="AX26" s="65">
        <f>Model!AX60</f>
        <v>81682</v>
      </c>
      <c r="AY26" s="65">
        <f>Model!AY60</f>
        <v>0</v>
      </c>
      <c r="AZ26" s="65">
        <f>Model!AZ60</f>
        <v>0</v>
      </c>
      <c r="BA26" s="65">
        <f>Model!BA60</f>
        <v>81682</v>
      </c>
      <c r="BB26" s="65">
        <f>Model!BB60</f>
        <v>0</v>
      </c>
      <c r="BC26" s="65">
        <f>Model!BC60</f>
        <v>0</v>
      </c>
      <c r="BD26" s="65">
        <f>Model!BD60</f>
        <v>59178</v>
      </c>
      <c r="BE26" s="65">
        <f>Model!BE60</f>
        <v>0</v>
      </c>
      <c r="BF26" s="65">
        <f>Model!BF60</f>
        <v>0</v>
      </c>
      <c r="BG26" s="65">
        <f>Model!BG60</f>
        <v>59176</v>
      </c>
      <c r="BH26" s="65">
        <f>Model!BH60</f>
        <v>0</v>
      </c>
      <c r="BI26" s="65">
        <f>Model!BI60</f>
        <v>0</v>
      </c>
      <c r="BJ26" s="65">
        <f>Model!BJ60</f>
        <v>59176</v>
      </c>
      <c r="BK26" s="65">
        <f>Model!BK60</f>
        <v>0</v>
      </c>
      <c r="BL26" s="65">
        <f>Model!BL60</f>
        <v>0</v>
      </c>
      <c r="BM26" s="65">
        <f>Model!BM60</f>
        <v>59176</v>
      </c>
      <c r="BN26" s="65">
        <f>Model!BN60</f>
        <v>0</v>
      </c>
      <c r="BO26" s="65">
        <f>Model!BO60</f>
        <v>0</v>
      </c>
      <c r="BP26" s="65">
        <f>Model!BP60</f>
        <v>67763</v>
      </c>
      <c r="BQ26" s="65">
        <f>Model!BQ60</f>
        <v>0</v>
      </c>
      <c r="BR26" s="65">
        <f>Model!BR60</f>
        <v>0</v>
      </c>
      <c r="BS26" s="65">
        <f>Model!BS60</f>
        <v>67762</v>
      </c>
      <c r="BT26" s="65">
        <f>Model!BT60</f>
        <v>0</v>
      </c>
      <c r="BU26" s="65">
        <f>Model!BU60</f>
        <v>0</v>
      </c>
      <c r="BV26" s="65">
        <f>Model!BV60</f>
        <v>67762</v>
      </c>
      <c r="BW26" s="65">
        <f>Model!BW60</f>
        <v>0</v>
      </c>
      <c r="BX26" s="65">
        <f>Model!BX60</f>
        <v>0</v>
      </c>
      <c r="BY26" s="65">
        <f>Model!BY60</f>
        <v>67762</v>
      </c>
      <c r="BZ26" s="65">
        <f>Model!BZ60</f>
        <v>0</v>
      </c>
      <c r="CA26" s="65">
        <f>Model!CA60</f>
        <v>0</v>
      </c>
      <c r="CB26" s="65">
        <f>Model!CB60</f>
        <v>76499</v>
      </c>
      <c r="CC26" s="65">
        <f>Model!CC60</f>
        <v>0</v>
      </c>
      <c r="CD26" s="65">
        <f>Model!CD60</f>
        <v>0</v>
      </c>
      <c r="CE26" s="65">
        <f>Model!CE60</f>
        <v>76499</v>
      </c>
      <c r="CF26" s="65">
        <f>Model!CF60</f>
        <v>0</v>
      </c>
      <c r="CG26" s="65">
        <f>Model!CG60</f>
        <v>0</v>
      </c>
      <c r="CH26" s="65">
        <f>Model!CH60</f>
        <v>76499</v>
      </c>
    </row>
    <row r="27" spans="1:86" ht="15" customHeight="1" x14ac:dyDescent="0.25">
      <c r="A27" s="68" t="s">
        <v>215</v>
      </c>
      <c r="B27" s="1"/>
      <c r="C27" s="69">
        <f>Model!C82</f>
        <v>0</v>
      </c>
      <c r="D27" s="69">
        <f>Model!D82</f>
        <v>0</v>
      </c>
      <c r="E27" s="69">
        <f>Model!E82</f>
        <v>0</v>
      </c>
      <c r="F27" s="69">
        <f>Model!F82</f>
        <v>0</v>
      </c>
      <c r="G27" s="69">
        <f>Model!G82</f>
        <v>0</v>
      </c>
      <c r="H27" s="69">
        <f>Model!H82</f>
        <v>0</v>
      </c>
      <c r="I27" s="69">
        <f>Model!I82</f>
        <v>0</v>
      </c>
      <c r="J27" s="69">
        <f>Model!J82</f>
        <v>0</v>
      </c>
      <c r="K27" s="69">
        <f>Model!K82</f>
        <v>0</v>
      </c>
      <c r="L27" s="69">
        <f>Model!L82</f>
        <v>0</v>
      </c>
      <c r="M27" s="69">
        <f>Model!M82</f>
        <v>0</v>
      </c>
      <c r="N27" s="69">
        <f>Model!N82</f>
        <v>0</v>
      </c>
      <c r="O27" s="69">
        <f>Model!O82</f>
        <v>0</v>
      </c>
      <c r="P27" s="69">
        <f>Model!P82</f>
        <v>0</v>
      </c>
      <c r="Q27" s="69">
        <f>Model!Q82</f>
        <v>0</v>
      </c>
      <c r="R27" s="69">
        <f>Model!R82</f>
        <v>0</v>
      </c>
      <c r="S27" s="69">
        <f>Model!S82</f>
        <v>0</v>
      </c>
      <c r="T27" s="69">
        <f>Model!T82</f>
        <v>0</v>
      </c>
      <c r="U27" s="69">
        <f>Model!U82</f>
        <v>0</v>
      </c>
      <c r="V27" s="69">
        <f>Model!V82</f>
        <v>0</v>
      </c>
      <c r="W27" s="69">
        <f>Model!W82</f>
        <v>0</v>
      </c>
      <c r="X27" s="69">
        <f>Model!X82</f>
        <v>0</v>
      </c>
      <c r="Y27" s="69">
        <f>Model!Y82</f>
        <v>0</v>
      </c>
      <c r="Z27" s="69">
        <f>Model!Z82</f>
        <v>0</v>
      </c>
      <c r="AA27" s="69">
        <f>Model!AA82</f>
        <v>0</v>
      </c>
      <c r="AB27" s="69">
        <f>Model!AB82</f>
        <v>0</v>
      </c>
      <c r="AC27" s="69">
        <f>Model!AC82</f>
        <v>0</v>
      </c>
      <c r="AD27" s="69">
        <f>Model!AD82</f>
        <v>0</v>
      </c>
      <c r="AE27" s="69">
        <f>Model!AE82</f>
        <v>0</v>
      </c>
      <c r="AF27" s="69">
        <f>Model!AF82</f>
        <v>0</v>
      </c>
      <c r="AG27" s="69">
        <f>Model!AG82</f>
        <v>0</v>
      </c>
      <c r="AH27" s="69">
        <f>Model!AH82</f>
        <v>0</v>
      </c>
      <c r="AI27" s="69">
        <f>Model!AI82</f>
        <v>0</v>
      </c>
      <c r="AJ27" s="69">
        <f>Model!AJ82</f>
        <v>0</v>
      </c>
      <c r="AK27" s="69">
        <f>Model!AK82</f>
        <v>0</v>
      </c>
      <c r="AL27" s="69">
        <f>Model!AL82</f>
        <v>0</v>
      </c>
      <c r="AM27" s="69">
        <f>Model!AM82</f>
        <v>0</v>
      </c>
      <c r="AN27" s="69">
        <f>Model!AN82</f>
        <v>0</v>
      </c>
      <c r="AO27" s="69">
        <f>Model!AO82</f>
        <v>0</v>
      </c>
      <c r="AP27" s="69">
        <f>Model!AP82</f>
        <v>0</v>
      </c>
      <c r="AQ27" s="69">
        <f>Model!AQ82</f>
        <v>0</v>
      </c>
      <c r="AR27" s="69">
        <f>Model!AR82</f>
        <v>-81683</v>
      </c>
      <c r="AS27" s="69">
        <f>Model!AS82</f>
        <v>0</v>
      </c>
      <c r="AT27" s="69">
        <f>Model!AT82</f>
        <v>0</v>
      </c>
      <c r="AU27" s="69">
        <f>Model!AU82</f>
        <v>-81682</v>
      </c>
      <c r="AV27" s="69">
        <f>Model!AV82</f>
        <v>0</v>
      </c>
      <c r="AW27" s="69">
        <f>Model!AW82</f>
        <v>0</v>
      </c>
      <c r="AX27" s="69">
        <f>Model!AX82</f>
        <v>-81682</v>
      </c>
      <c r="AY27" s="69">
        <f>Model!AY82</f>
        <v>0</v>
      </c>
      <c r="AZ27" s="69">
        <f>Model!AZ82</f>
        <v>0</v>
      </c>
      <c r="BA27" s="69">
        <f>Model!BA82</f>
        <v>-81682</v>
      </c>
      <c r="BB27" s="69">
        <f>Model!BB82</f>
        <v>0</v>
      </c>
      <c r="BC27" s="69">
        <f>Model!BC82</f>
        <v>0</v>
      </c>
      <c r="BD27" s="69">
        <f>Model!BD82</f>
        <v>-59178</v>
      </c>
      <c r="BE27" s="69">
        <f>Model!BE82</f>
        <v>0</v>
      </c>
      <c r="BF27" s="69">
        <f>Model!BF82</f>
        <v>0</v>
      </c>
      <c r="BG27" s="69">
        <f>Model!BG82</f>
        <v>-59176</v>
      </c>
      <c r="BH27" s="69">
        <f>Model!BH82</f>
        <v>0</v>
      </c>
      <c r="BI27" s="69">
        <f>Model!BI82</f>
        <v>0</v>
      </c>
      <c r="BJ27" s="69">
        <f>Model!BJ82</f>
        <v>-59176</v>
      </c>
      <c r="BK27" s="69">
        <f>Model!BK82</f>
        <v>0</v>
      </c>
      <c r="BL27" s="69">
        <f>Model!BL82</f>
        <v>0</v>
      </c>
      <c r="BM27" s="69">
        <f>Model!BM82</f>
        <v>-59176</v>
      </c>
      <c r="BN27" s="69">
        <f>Model!BN82</f>
        <v>0</v>
      </c>
      <c r="BO27" s="69">
        <f>Model!BO82</f>
        <v>0</v>
      </c>
      <c r="BP27" s="69">
        <f>Model!BP82</f>
        <v>-16249.479999999981</v>
      </c>
      <c r="BQ27" s="69">
        <f>Model!BQ82</f>
        <v>0</v>
      </c>
      <c r="BR27" s="69">
        <f>Model!BR82</f>
        <v>0</v>
      </c>
      <c r="BS27" s="69">
        <f>Model!BS82</f>
        <v>0</v>
      </c>
      <c r="BT27" s="69">
        <f>Model!BT82</f>
        <v>0</v>
      </c>
      <c r="BU27" s="69">
        <f>Model!BU82</f>
        <v>0</v>
      </c>
      <c r="BV27" s="69">
        <f>Model!BV82</f>
        <v>0</v>
      </c>
      <c r="BW27" s="69">
        <f>Model!BW82</f>
        <v>0</v>
      </c>
      <c r="BX27" s="69">
        <f>Model!BX82</f>
        <v>0</v>
      </c>
      <c r="BY27" s="69">
        <f>Model!BY82</f>
        <v>0</v>
      </c>
      <c r="BZ27" s="69">
        <f>Model!BZ82</f>
        <v>0</v>
      </c>
      <c r="CA27" s="69">
        <f>Model!CA82</f>
        <v>0</v>
      </c>
      <c r="CB27" s="69">
        <f>Model!CB82</f>
        <v>0</v>
      </c>
      <c r="CC27" s="69">
        <f>Model!CC82</f>
        <v>0</v>
      </c>
      <c r="CD27" s="69">
        <f>Model!CD82</f>
        <v>0</v>
      </c>
      <c r="CE27" s="69">
        <f>Model!CE82</f>
        <v>0</v>
      </c>
      <c r="CF27" s="69">
        <f>Model!CF82</f>
        <v>0</v>
      </c>
      <c r="CG27" s="69">
        <f>Model!CG82</f>
        <v>0</v>
      </c>
      <c r="CH27" s="69">
        <f>Model!CH82</f>
        <v>0</v>
      </c>
    </row>
    <row r="28" spans="1:86" ht="15" customHeight="1" x14ac:dyDescent="0.25">
      <c r="A28" s="28" t="s">
        <v>212</v>
      </c>
      <c r="B28" s="28"/>
      <c r="C28" s="66">
        <f t="shared" ref="C28:AH28" si="24">C26+C27</f>
        <v>0</v>
      </c>
      <c r="D28" s="66">
        <f t="shared" si="24"/>
        <v>0</v>
      </c>
      <c r="E28" s="66">
        <f t="shared" si="24"/>
        <v>0</v>
      </c>
      <c r="F28" s="66">
        <f t="shared" si="24"/>
        <v>0</v>
      </c>
      <c r="G28" s="66">
        <f t="shared" si="24"/>
        <v>0</v>
      </c>
      <c r="H28" s="66">
        <f t="shared" si="24"/>
        <v>0</v>
      </c>
      <c r="I28" s="66">
        <f t="shared" si="24"/>
        <v>0</v>
      </c>
      <c r="J28" s="66">
        <f t="shared" si="24"/>
        <v>0</v>
      </c>
      <c r="K28" s="66">
        <f t="shared" si="24"/>
        <v>0</v>
      </c>
      <c r="L28" s="66">
        <f t="shared" si="24"/>
        <v>0</v>
      </c>
      <c r="M28" s="66">
        <f t="shared" si="24"/>
        <v>0</v>
      </c>
      <c r="N28" s="66">
        <f t="shared" si="24"/>
        <v>0</v>
      </c>
      <c r="O28" s="66">
        <f t="shared" si="24"/>
        <v>0</v>
      </c>
      <c r="P28" s="66">
        <f t="shared" si="24"/>
        <v>0</v>
      </c>
      <c r="Q28" s="66">
        <f t="shared" si="24"/>
        <v>0</v>
      </c>
      <c r="R28" s="66">
        <f t="shared" si="24"/>
        <v>0</v>
      </c>
      <c r="S28" s="66">
        <f t="shared" si="24"/>
        <v>0</v>
      </c>
      <c r="T28" s="66">
        <f t="shared" si="24"/>
        <v>0</v>
      </c>
      <c r="U28" s="66">
        <f t="shared" si="24"/>
        <v>0</v>
      </c>
      <c r="V28" s="66">
        <f t="shared" si="24"/>
        <v>0</v>
      </c>
      <c r="W28" s="66">
        <f t="shared" si="24"/>
        <v>0</v>
      </c>
      <c r="X28" s="66">
        <f t="shared" si="24"/>
        <v>0</v>
      </c>
      <c r="Y28" s="66">
        <f t="shared" si="24"/>
        <v>0</v>
      </c>
      <c r="Z28" s="66">
        <f t="shared" si="24"/>
        <v>0</v>
      </c>
      <c r="AA28" s="66">
        <f t="shared" si="24"/>
        <v>0</v>
      </c>
      <c r="AB28" s="66">
        <f t="shared" si="24"/>
        <v>0</v>
      </c>
      <c r="AC28" s="66">
        <f t="shared" si="24"/>
        <v>0</v>
      </c>
      <c r="AD28" s="66">
        <f t="shared" si="24"/>
        <v>0</v>
      </c>
      <c r="AE28" s="66">
        <f t="shared" si="24"/>
        <v>0</v>
      </c>
      <c r="AF28" s="66">
        <f t="shared" si="24"/>
        <v>0</v>
      </c>
      <c r="AG28" s="66">
        <f t="shared" si="24"/>
        <v>0</v>
      </c>
      <c r="AH28" s="66">
        <f t="shared" si="24"/>
        <v>0</v>
      </c>
      <c r="AI28" s="66">
        <f t="shared" ref="AI28:BN28" si="25">AI26+AI27</f>
        <v>0</v>
      </c>
      <c r="AJ28" s="66">
        <f t="shared" si="25"/>
        <v>0</v>
      </c>
      <c r="AK28" s="66">
        <f t="shared" si="25"/>
        <v>0</v>
      </c>
      <c r="AL28" s="66">
        <f t="shared" si="25"/>
        <v>0</v>
      </c>
      <c r="AM28" s="66">
        <f t="shared" si="25"/>
        <v>0</v>
      </c>
      <c r="AN28" s="66">
        <f t="shared" si="25"/>
        <v>0</v>
      </c>
      <c r="AO28" s="66">
        <f t="shared" si="25"/>
        <v>0</v>
      </c>
      <c r="AP28" s="66">
        <f t="shared" si="25"/>
        <v>0</v>
      </c>
      <c r="AQ28" s="66">
        <f t="shared" si="25"/>
        <v>0</v>
      </c>
      <c r="AR28" s="66">
        <f t="shared" si="25"/>
        <v>0</v>
      </c>
      <c r="AS28" s="66">
        <f t="shared" si="25"/>
        <v>0</v>
      </c>
      <c r="AT28" s="66">
        <f t="shared" si="25"/>
        <v>0</v>
      </c>
      <c r="AU28" s="66">
        <f t="shared" si="25"/>
        <v>0</v>
      </c>
      <c r="AV28" s="66">
        <f t="shared" si="25"/>
        <v>0</v>
      </c>
      <c r="AW28" s="66">
        <f t="shared" si="25"/>
        <v>0</v>
      </c>
      <c r="AX28" s="66">
        <f t="shared" si="25"/>
        <v>0</v>
      </c>
      <c r="AY28" s="66">
        <f t="shared" si="25"/>
        <v>0</v>
      </c>
      <c r="AZ28" s="66">
        <f t="shared" si="25"/>
        <v>0</v>
      </c>
      <c r="BA28" s="66">
        <f t="shared" si="25"/>
        <v>0</v>
      </c>
      <c r="BB28" s="66">
        <f t="shared" si="25"/>
        <v>0</v>
      </c>
      <c r="BC28" s="66">
        <f t="shared" si="25"/>
        <v>0</v>
      </c>
      <c r="BD28" s="66">
        <f t="shared" si="25"/>
        <v>0</v>
      </c>
      <c r="BE28" s="66">
        <f t="shared" si="25"/>
        <v>0</v>
      </c>
      <c r="BF28" s="66">
        <f t="shared" si="25"/>
        <v>0</v>
      </c>
      <c r="BG28" s="66">
        <f t="shared" si="25"/>
        <v>0</v>
      </c>
      <c r="BH28" s="66">
        <f t="shared" si="25"/>
        <v>0</v>
      </c>
      <c r="BI28" s="66">
        <f t="shared" si="25"/>
        <v>0</v>
      </c>
      <c r="BJ28" s="66">
        <f t="shared" si="25"/>
        <v>0</v>
      </c>
      <c r="BK28" s="66">
        <f t="shared" si="25"/>
        <v>0</v>
      </c>
      <c r="BL28" s="66">
        <f t="shared" si="25"/>
        <v>0</v>
      </c>
      <c r="BM28" s="66">
        <f t="shared" si="25"/>
        <v>0</v>
      </c>
      <c r="BN28" s="66">
        <f t="shared" si="25"/>
        <v>0</v>
      </c>
      <c r="BO28" s="66">
        <f t="shared" ref="BO28:CT28" si="26">BO26+BO27</f>
        <v>0</v>
      </c>
      <c r="BP28" s="66">
        <f t="shared" si="26"/>
        <v>51513.520000000019</v>
      </c>
      <c r="BQ28" s="66">
        <f t="shared" si="26"/>
        <v>0</v>
      </c>
      <c r="BR28" s="66">
        <f t="shared" si="26"/>
        <v>0</v>
      </c>
      <c r="BS28" s="66">
        <f t="shared" si="26"/>
        <v>67762</v>
      </c>
      <c r="BT28" s="66">
        <f t="shared" si="26"/>
        <v>0</v>
      </c>
      <c r="BU28" s="66">
        <f t="shared" si="26"/>
        <v>0</v>
      </c>
      <c r="BV28" s="66">
        <f t="shared" si="26"/>
        <v>67762</v>
      </c>
      <c r="BW28" s="66">
        <f t="shared" si="26"/>
        <v>0</v>
      </c>
      <c r="BX28" s="66">
        <f t="shared" si="26"/>
        <v>0</v>
      </c>
      <c r="BY28" s="66">
        <f t="shared" si="26"/>
        <v>67762</v>
      </c>
      <c r="BZ28" s="66">
        <f t="shared" si="26"/>
        <v>0</v>
      </c>
      <c r="CA28" s="66">
        <f t="shared" si="26"/>
        <v>0</v>
      </c>
      <c r="CB28" s="66">
        <f t="shared" si="26"/>
        <v>76499</v>
      </c>
      <c r="CC28" s="66">
        <f t="shared" si="26"/>
        <v>0</v>
      </c>
      <c r="CD28" s="66">
        <f t="shared" si="26"/>
        <v>0</v>
      </c>
      <c r="CE28" s="66">
        <f t="shared" si="26"/>
        <v>76499</v>
      </c>
      <c r="CF28" s="66">
        <f t="shared" si="26"/>
        <v>0</v>
      </c>
      <c r="CG28" s="66">
        <f t="shared" si="26"/>
        <v>0</v>
      </c>
      <c r="CH28" s="66">
        <f t="shared" si="26"/>
        <v>76499</v>
      </c>
    </row>
    <row r="29" spans="1:86" ht="15" customHeight="1" x14ac:dyDescent="0.25">
      <c r="A29" s="59" t="s">
        <v>213</v>
      </c>
      <c r="B29" s="1"/>
      <c r="C29" s="67">
        <f>C28</f>
        <v>0</v>
      </c>
      <c r="D29" s="67">
        <f t="shared" ref="D29:AI29" si="27">C29+D28</f>
        <v>0</v>
      </c>
      <c r="E29" s="67">
        <f t="shared" si="27"/>
        <v>0</v>
      </c>
      <c r="F29" s="67">
        <f t="shared" si="27"/>
        <v>0</v>
      </c>
      <c r="G29" s="67">
        <f t="shared" si="27"/>
        <v>0</v>
      </c>
      <c r="H29" s="67">
        <f t="shared" si="27"/>
        <v>0</v>
      </c>
      <c r="I29" s="67">
        <f t="shared" si="27"/>
        <v>0</v>
      </c>
      <c r="J29" s="67">
        <f t="shared" si="27"/>
        <v>0</v>
      </c>
      <c r="K29" s="67">
        <f t="shared" si="27"/>
        <v>0</v>
      </c>
      <c r="L29" s="67">
        <f t="shared" si="27"/>
        <v>0</v>
      </c>
      <c r="M29" s="67">
        <f t="shared" si="27"/>
        <v>0</v>
      </c>
      <c r="N29" s="67">
        <f t="shared" si="27"/>
        <v>0</v>
      </c>
      <c r="O29" s="67">
        <f t="shared" si="27"/>
        <v>0</v>
      </c>
      <c r="P29" s="67">
        <f t="shared" si="27"/>
        <v>0</v>
      </c>
      <c r="Q29" s="67">
        <f t="shared" si="27"/>
        <v>0</v>
      </c>
      <c r="R29" s="67">
        <f t="shared" si="27"/>
        <v>0</v>
      </c>
      <c r="S29" s="67">
        <f t="shared" si="27"/>
        <v>0</v>
      </c>
      <c r="T29" s="67">
        <f t="shared" si="27"/>
        <v>0</v>
      </c>
      <c r="U29" s="67">
        <f t="shared" si="27"/>
        <v>0</v>
      </c>
      <c r="V29" s="67">
        <f t="shared" si="27"/>
        <v>0</v>
      </c>
      <c r="W29" s="67">
        <f t="shared" si="27"/>
        <v>0</v>
      </c>
      <c r="X29" s="67">
        <f t="shared" si="27"/>
        <v>0</v>
      </c>
      <c r="Y29" s="67">
        <f t="shared" si="27"/>
        <v>0</v>
      </c>
      <c r="Z29" s="67">
        <f t="shared" si="27"/>
        <v>0</v>
      </c>
      <c r="AA29" s="67">
        <f t="shared" si="27"/>
        <v>0</v>
      </c>
      <c r="AB29" s="67">
        <f t="shared" si="27"/>
        <v>0</v>
      </c>
      <c r="AC29" s="67">
        <f t="shared" si="27"/>
        <v>0</v>
      </c>
      <c r="AD29" s="67">
        <f t="shared" si="27"/>
        <v>0</v>
      </c>
      <c r="AE29" s="67">
        <f t="shared" si="27"/>
        <v>0</v>
      </c>
      <c r="AF29" s="67">
        <f t="shared" si="27"/>
        <v>0</v>
      </c>
      <c r="AG29" s="67">
        <f t="shared" si="27"/>
        <v>0</v>
      </c>
      <c r="AH29" s="67">
        <f t="shared" si="27"/>
        <v>0</v>
      </c>
      <c r="AI29" s="67">
        <f t="shared" si="27"/>
        <v>0</v>
      </c>
      <c r="AJ29" s="67">
        <f t="shared" ref="AJ29:BO29" si="28">AI29+AJ28</f>
        <v>0</v>
      </c>
      <c r="AK29" s="67">
        <f t="shared" si="28"/>
        <v>0</v>
      </c>
      <c r="AL29" s="67">
        <f t="shared" si="28"/>
        <v>0</v>
      </c>
      <c r="AM29" s="67">
        <f t="shared" si="28"/>
        <v>0</v>
      </c>
      <c r="AN29" s="67">
        <f t="shared" si="28"/>
        <v>0</v>
      </c>
      <c r="AO29" s="67">
        <f t="shared" si="28"/>
        <v>0</v>
      </c>
      <c r="AP29" s="67">
        <f t="shared" si="28"/>
        <v>0</v>
      </c>
      <c r="AQ29" s="67">
        <f t="shared" si="28"/>
        <v>0</v>
      </c>
      <c r="AR29" s="67">
        <f t="shared" si="28"/>
        <v>0</v>
      </c>
      <c r="AS29" s="67">
        <f t="shared" si="28"/>
        <v>0</v>
      </c>
      <c r="AT29" s="67">
        <f t="shared" si="28"/>
        <v>0</v>
      </c>
      <c r="AU29" s="67">
        <f t="shared" si="28"/>
        <v>0</v>
      </c>
      <c r="AV29" s="67">
        <f t="shared" si="28"/>
        <v>0</v>
      </c>
      <c r="AW29" s="67">
        <f t="shared" si="28"/>
        <v>0</v>
      </c>
      <c r="AX29" s="67">
        <f t="shared" si="28"/>
        <v>0</v>
      </c>
      <c r="AY29" s="67">
        <f t="shared" si="28"/>
        <v>0</v>
      </c>
      <c r="AZ29" s="67">
        <f t="shared" si="28"/>
        <v>0</v>
      </c>
      <c r="BA29" s="67">
        <f t="shared" si="28"/>
        <v>0</v>
      </c>
      <c r="BB29" s="67">
        <f t="shared" si="28"/>
        <v>0</v>
      </c>
      <c r="BC29" s="67">
        <f t="shared" si="28"/>
        <v>0</v>
      </c>
      <c r="BD29" s="67">
        <f t="shared" si="28"/>
        <v>0</v>
      </c>
      <c r="BE29" s="67">
        <f t="shared" si="28"/>
        <v>0</v>
      </c>
      <c r="BF29" s="67">
        <f t="shared" si="28"/>
        <v>0</v>
      </c>
      <c r="BG29" s="67">
        <f t="shared" si="28"/>
        <v>0</v>
      </c>
      <c r="BH29" s="67">
        <f t="shared" si="28"/>
        <v>0</v>
      </c>
      <c r="BI29" s="67">
        <f t="shared" si="28"/>
        <v>0</v>
      </c>
      <c r="BJ29" s="67">
        <f t="shared" si="28"/>
        <v>0</v>
      </c>
      <c r="BK29" s="67">
        <f t="shared" si="28"/>
        <v>0</v>
      </c>
      <c r="BL29" s="67">
        <f t="shared" si="28"/>
        <v>0</v>
      </c>
      <c r="BM29" s="67">
        <f t="shared" si="28"/>
        <v>0</v>
      </c>
      <c r="BN29" s="67">
        <f t="shared" si="28"/>
        <v>0</v>
      </c>
      <c r="BO29" s="67">
        <f t="shared" si="28"/>
        <v>0</v>
      </c>
      <c r="BP29" s="67">
        <f t="shared" ref="BP29:CU29" si="29">BO29+BP28</f>
        <v>51513.520000000019</v>
      </c>
      <c r="BQ29" s="67">
        <f t="shared" si="29"/>
        <v>51513.520000000019</v>
      </c>
      <c r="BR29" s="67">
        <f t="shared" si="29"/>
        <v>51513.520000000019</v>
      </c>
      <c r="BS29" s="67">
        <f t="shared" si="29"/>
        <v>119275.52000000002</v>
      </c>
      <c r="BT29" s="67">
        <f t="shared" si="29"/>
        <v>119275.52000000002</v>
      </c>
      <c r="BU29" s="67">
        <f t="shared" si="29"/>
        <v>119275.52000000002</v>
      </c>
      <c r="BV29" s="67">
        <f t="shared" si="29"/>
        <v>187037.52000000002</v>
      </c>
      <c r="BW29" s="67">
        <f t="shared" si="29"/>
        <v>187037.52000000002</v>
      </c>
      <c r="BX29" s="67">
        <f t="shared" si="29"/>
        <v>187037.52000000002</v>
      </c>
      <c r="BY29" s="67">
        <f t="shared" si="29"/>
        <v>254799.52000000002</v>
      </c>
      <c r="BZ29" s="67">
        <f t="shared" si="29"/>
        <v>254799.52000000002</v>
      </c>
      <c r="CA29" s="67">
        <f t="shared" si="29"/>
        <v>254799.52000000002</v>
      </c>
      <c r="CB29" s="67">
        <f t="shared" si="29"/>
        <v>331298.52</v>
      </c>
      <c r="CC29" s="67">
        <f t="shared" si="29"/>
        <v>331298.52</v>
      </c>
      <c r="CD29" s="67">
        <f t="shared" si="29"/>
        <v>331298.52</v>
      </c>
      <c r="CE29" s="67">
        <f t="shared" si="29"/>
        <v>407797.52</v>
      </c>
      <c r="CF29" s="67">
        <f t="shared" si="29"/>
        <v>407797.52</v>
      </c>
      <c r="CG29" s="67">
        <f t="shared" si="29"/>
        <v>407797.52</v>
      </c>
      <c r="CH29" s="67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54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211</v>
      </c>
      <c r="B32" s="1"/>
      <c r="C32" s="65">
        <f>Model!C61</f>
        <v>0</v>
      </c>
      <c r="D32" s="65">
        <f>Model!D61</f>
        <v>0</v>
      </c>
      <c r="E32" s="65">
        <f>Model!E61</f>
        <v>0</v>
      </c>
      <c r="F32" s="65">
        <f>Model!F61</f>
        <v>0</v>
      </c>
      <c r="G32" s="65">
        <f>Model!G61</f>
        <v>0</v>
      </c>
      <c r="H32" s="65">
        <f>Model!H61</f>
        <v>0</v>
      </c>
      <c r="I32" s="65">
        <f>Model!I61</f>
        <v>0</v>
      </c>
      <c r="J32" s="65">
        <f>Model!J61</f>
        <v>0</v>
      </c>
      <c r="K32" s="65">
        <f>Model!K61</f>
        <v>0</v>
      </c>
      <c r="L32" s="65">
        <f>Model!L61</f>
        <v>0</v>
      </c>
      <c r="M32" s="65">
        <f>Model!M61</f>
        <v>0</v>
      </c>
      <c r="N32" s="65">
        <f>Model!N61</f>
        <v>0</v>
      </c>
      <c r="O32" s="65">
        <f>Model!O61</f>
        <v>0</v>
      </c>
      <c r="P32" s="65">
        <f>Model!P61</f>
        <v>0</v>
      </c>
      <c r="Q32" s="65">
        <f>Model!Q61</f>
        <v>0</v>
      </c>
      <c r="R32" s="65">
        <f>Model!R61</f>
        <v>0</v>
      </c>
      <c r="S32" s="65">
        <f>Model!S61</f>
        <v>0</v>
      </c>
      <c r="T32" s="65">
        <f>Model!T61</f>
        <v>0</v>
      </c>
      <c r="U32" s="65">
        <f>Model!U61</f>
        <v>0</v>
      </c>
      <c r="V32" s="65">
        <f>Model!V61</f>
        <v>0</v>
      </c>
      <c r="W32" s="65">
        <f>Model!W61</f>
        <v>0</v>
      </c>
      <c r="X32" s="65">
        <f>Model!X61</f>
        <v>0</v>
      </c>
      <c r="Y32" s="65">
        <f>Model!Y61</f>
        <v>0</v>
      </c>
      <c r="Z32" s="65">
        <f>Model!Z61</f>
        <v>0</v>
      </c>
      <c r="AA32" s="65">
        <f>Model!AA61</f>
        <v>0</v>
      </c>
      <c r="AB32" s="65">
        <f>Model!AB61</f>
        <v>0</v>
      </c>
      <c r="AC32" s="65">
        <f>Model!AC61</f>
        <v>0</v>
      </c>
      <c r="AD32" s="65">
        <f>Model!AD61</f>
        <v>0</v>
      </c>
      <c r="AE32" s="65">
        <f>Model!AE61</f>
        <v>0</v>
      </c>
      <c r="AF32" s="65">
        <f>Model!AF61</f>
        <v>0</v>
      </c>
      <c r="AG32" s="65">
        <f>Model!AG61</f>
        <v>0</v>
      </c>
      <c r="AH32" s="65">
        <f>Model!AH61</f>
        <v>0</v>
      </c>
      <c r="AI32" s="65">
        <f>Model!AI61</f>
        <v>0</v>
      </c>
      <c r="AJ32" s="65">
        <f>Model!AJ61</f>
        <v>0</v>
      </c>
      <c r="AK32" s="65">
        <f>Model!AK61</f>
        <v>0</v>
      </c>
      <c r="AL32" s="65">
        <f>Model!AL61</f>
        <v>0</v>
      </c>
      <c r="AM32" s="65">
        <f>Model!AM61</f>
        <v>0</v>
      </c>
      <c r="AN32" s="65">
        <f>Model!AN61</f>
        <v>0</v>
      </c>
      <c r="AO32" s="65">
        <f>Model!AO61</f>
        <v>0</v>
      </c>
      <c r="AP32" s="65">
        <f>Model!AP61</f>
        <v>0</v>
      </c>
      <c r="AQ32" s="65">
        <f>Model!AQ61</f>
        <v>0</v>
      </c>
      <c r="AR32" s="65">
        <f>Model!AR61</f>
        <v>0</v>
      </c>
      <c r="AS32" s="65">
        <f>Model!AS61</f>
        <v>0</v>
      </c>
      <c r="AT32" s="65">
        <f>Model!AT61</f>
        <v>0</v>
      </c>
      <c r="AU32" s="65">
        <f>Model!AU61</f>
        <v>0</v>
      </c>
      <c r="AV32" s="65">
        <f>Model!AV61</f>
        <v>0</v>
      </c>
      <c r="AW32" s="65">
        <f>Model!AW61</f>
        <v>0</v>
      </c>
      <c r="AX32" s="65">
        <f>Model!AX61</f>
        <v>0</v>
      </c>
      <c r="AY32" s="65">
        <f>Model!AY61</f>
        <v>0</v>
      </c>
      <c r="AZ32" s="65">
        <f>Model!AZ61</f>
        <v>0</v>
      </c>
      <c r="BA32" s="65">
        <f>Model!BA61</f>
        <v>851839</v>
      </c>
      <c r="BB32" s="65">
        <f>Model!BB61</f>
        <v>0</v>
      </c>
      <c r="BC32" s="65">
        <f>Model!BC61</f>
        <v>0</v>
      </c>
      <c r="BD32" s="65">
        <f>Model!BD61</f>
        <v>71700</v>
      </c>
      <c r="BE32" s="65">
        <f>Model!BE61</f>
        <v>0</v>
      </c>
      <c r="BF32" s="65">
        <f>Model!BF61</f>
        <v>0</v>
      </c>
      <c r="BG32" s="65">
        <f>Model!BG61</f>
        <v>71700</v>
      </c>
      <c r="BH32" s="65">
        <f>Model!BH61</f>
        <v>0</v>
      </c>
      <c r="BI32" s="65">
        <f>Model!BI61</f>
        <v>0</v>
      </c>
      <c r="BJ32" s="65">
        <f>Model!BJ61</f>
        <v>71700</v>
      </c>
      <c r="BK32" s="65">
        <f>Model!BK61</f>
        <v>0</v>
      </c>
      <c r="BL32" s="65">
        <f>Model!BL61</f>
        <v>0</v>
      </c>
      <c r="BM32" s="65">
        <f>Model!BM61</f>
        <v>71700</v>
      </c>
      <c r="BN32" s="65">
        <f>Model!BN61</f>
        <v>0</v>
      </c>
      <c r="BO32" s="65">
        <f>Model!BO61</f>
        <v>0</v>
      </c>
      <c r="BP32" s="65">
        <f>Model!BP61</f>
        <v>74643</v>
      </c>
      <c r="BQ32" s="65">
        <f>Model!BQ61</f>
        <v>0</v>
      </c>
      <c r="BR32" s="65">
        <f>Model!BR61</f>
        <v>0</v>
      </c>
      <c r="BS32" s="65">
        <f>Model!BS61</f>
        <v>74640</v>
      </c>
      <c r="BT32" s="65">
        <f>Model!BT61</f>
        <v>0</v>
      </c>
      <c r="BU32" s="65">
        <f>Model!BU61</f>
        <v>0</v>
      </c>
      <c r="BV32" s="65">
        <f>Model!BV61</f>
        <v>74640</v>
      </c>
      <c r="BW32" s="65">
        <f>Model!BW61</f>
        <v>0</v>
      </c>
      <c r="BX32" s="65">
        <f>Model!BX61</f>
        <v>0</v>
      </c>
      <c r="BY32" s="65">
        <f>Model!BY61</f>
        <v>74640</v>
      </c>
      <c r="BZ32" s="65">
        <f>Model!BZ61</f>
        <v>0</v>
      </c>
      <c r="CA32" s="65">
        <f>Model!CA61</f>
        <v>0</v>
      </c>
      <c r="CB32" s="65">
        <f>Model!CB61</f>
        <v>81363</v>
      </c>
      <c r="CC32" s="65">
        <f>Model!CC61</f>
        <v>0</v>
      </c>
      <c r="CD32" s="65">
        <f>Model!CD61</f>
        <v>0</v>
      </c>
      <c r="CE32" s="65">
        <f>Model!CE61</f>
        <v>81362</v>
      </c>
      <c r="CF32" s="65">
        <f>Model!CF61</f>
        <v>0</v>
      </c>
      <c r="CG32" s="65">
        <f>Model!CG61</f>
        <v>0</v>
      </c>
      <c r="CH32" s="65">
        <f>Model!CH61</f>
        <v>81362</v>
      </c>
    </row>
    <row r="33" spans="1:86" ht="15" customHeight="1" x14ac:dyDescent="0.25">
      <c r="A33" s="68" t="s">
        <v>215</v>
      </c>
      <c r="B33" s="1"/>
      <c r="C33" s="69">
        <f>Model!C83</f>
        <v>0</v>
      </c>
      <c r="D33" s="69">
        <f>Model!D83</f>
        <v>0</v>
      </c>
      <c r="E33" s="69">
        <f>Model!E83</f>
        <v>0</v>
      </c>
      <c r="F33" s="69">
        <f>Model!F83</f>
        <v>0</v>
      </c>
      <c r="G33" s="69">
        <f>Model!G83</f>
        <v>0</v>
      </c>
      <c r="H33" s="69">
        <f>Model!H83</f>
        <v>0</v>
      </c>
      <c r="I33" s="69">
        <f>Model!I83</f>
        <v>0</v>
      </c>
      <c r="J33" s="69">
        <f>Model!J83</f>
        <v>0</v>
      </c>
      <c r="K33" s="69">
        <f>Model!K83</f>
        <v>0</v>
      </c>
      <c r="L33" s="69">
        <f>Model!L83</f>
        <v>0</v>
      </c>
      <c r="M33" s="69">
        <f>Model!M83</f>
        <v>0</v>
      </c>
      <c r="N33" s="69">
        <f>Model!N83</f>
        <v>0</v>
      </c>
      <c r="O33" s="69">
        <f>Model!O83</f>
        <v>0</v>
      </c>
      <c r="P33" s="69">
        <f>Model!P83</f>
        <v>0</v>
      </c>
      <c r="Q33" s="69">
        <f>Model!Q83</f>
        <v>0</v>
      </c>
      <c r="R33" s="69">
        <f>Model!R83</f>
        <v>0</v>
      </c>
      <c r="S33" s="69">
        <f>Model!S83</f>
        <v>0</v>
      </c>
      <c r="T33" s="69">
        <f>Model!T83</f>
        <v>0</v>
      </c>
      <c r="U33" s="69">
        <f>Model!U83</f>
        <v>0</v>
      </c>
      <c r="V33" s="69">
        <f>Model!V83</f>
        <v>0</v>
      </c>
      <c r="W33" s="69">
        <f>Model!W83</f>
        <v>0</v>
      </c>
      <c r="X33" s="69">
        <f>Model!X83</f>
        <v>0</v>
      </c>
      <c r="Y33" s="69">
        <f>Model!Y83</f>
        <v>0</v>
      </c>
      <c r="Z33" s="69">
        <f>Model!Z83</f>
        <v>0</v>
      </c>
      <c r="AA33" s="69">
        <f>Model!AA83</f>
        <v>0</v>
      </c>
      <c r="AB33" s="69">
        <f>Model!AB83</f>
        <v>0</v>
      </c>
      <c r="AC33" s="69">
        <f>Model!AC83</f>
        <v>0</v>
      </c>
      <c r="AD33" s="69">
        <f>Model!AD83</f>
        <v>0</v>
      </c>
      <c r="AE33" s="69">
        <f>Model!AE83</f>
        <v>0</v>
      </c>
      <c r="AF33" s="69">
        <f>Model!AF83</f>
        <v>0</v>
      </c>
      <c r="AG33" s="69">
        <f>Model!AG83</f>
        <v>0</v>
      </c>
      <c r="AH33" s="69">
        <f>Model!AH83</f>
        <v>0</v>
      </c>
      <c r="AI33" s="69">
        <f>Model!AI83</f>
        <v>0</v>
      </c>
      <c r="AJ33" s="69">
        <f>Model!AJ83</f>
        <v>0</v>
      </c>
      <c r="AK33" s="69">
        <f>Model!AK83</f>
        <v>0</v>
      </c>
      <c r="AL33" s="69">
        <f>Model!AL83</f>
        <v>0</v>
      </c>
      <c r="AM33" s="69">
        <f>Model!AM83</f>
        <v>0</v>
      </c>
      <c r="AN33" s="69">
        <f>Model!AN83</f>
        <v>0</v>
      </c>
      <c r="AO33" s="69">
        <f>Model!AO83</f>
        <v>0</v>
      </c>
      <c r="AP33" s="69">
        <f>Model!AP83</f>
        <v>0</v>
      </c>
      <c r="AQ33" s="69">
        <f>Model!AQ83</f>
        <v>0</v>
      </c>
      <c r="AR33" s="69">
        <f>Model!AR83</f>
        <v>0</v>
      </c>
      <c r="AS33" s="69">
        <f>Model!AS83</f>
        <v>0</v>
      </c>
      <c r="AT33" s="69">
        <f>Model!AT83</f>
        <v>0</v>
      </c>
      <c r="AU33" s="69">
        <f>Model!AU83</f>
        <v>0</v>
      </c>
      <c r="AV33" s="69">
        <f>Model!AV83</f>
        <v>0</v>
      </c>
      <c r="AW33" s="69">
        <f>Model!AW83</f>
        <v>0</v>
      </c>
      <c r="AX33" s="69">
        <f>Model!AX83</f>
        <v>0</v>
      </c>
      <c r="AY33" s="69">
        <f>Model!AY83</f>
        <v>0</v>
      </c>
      <c r="AZ33" s="69">
        <f>Model!AZ83</f>
        <v>0</v>
      </c>
      <c r="BA33" s="69">
        <f>Model!BA83</f>
        <v>-851839</v>
      </c>
      <c r="BB33" s="69">
        <f>Model!BB83</f>
        <v>0</v>
      </c>
      <c r="BC33" s="69">
        <f>Model!BC83</f>
        <v>0</v>
      </c>
      <c r="BD33" s="69">
        <f>Model!BD83</f>
        <v>-71700</v>
      </c>
      <c r="BE33" s="69">
        <f>Model!BE83</f>
        <v>0</v>
      </c>
      <c r="BF33" s="69">
        <f>Model!BF83</f>
        <v>0</v>
      </c>
      <c r="BG33" s="69">
        <f>Model!BG83</f>
        <v>-71700</v>
      </c>
      <c r="BH33" s="69">
        <f>Model!BH83</f>
        <v>0</v>
      </c>
      <c r="BI33" s="69">
        <f>Model!BI83</f>
        <v>0</v>
      </c>
      <c r="BJ33" s="69">
        <f>Model!BJ83</f>
        <v>-71700</v>
      </c>
      <c r="BK33" s="69">
        <f>Model!BK83</f>
        <v>0</v>
      </c>
      <c r="BL33" s="69">
        <f>Model!BL83</f>
        <v>0</v>
      </c>
      <c r="BM33" s="69">
        <f>Model!BM83</f>
        <v>-71700</v>
      </c>
      <c r="BN33" s="69">
        <f>Model!BN83</f>
        <v>0</v>
      </c>
      <c r="BO33" s="69">
        <f>Model!BO83</f>
        <v>0</v>
      </c>
      <c r="BP33" s="69">
        <f>Model!BP83</f>
        <v>-74643</v>
      </c>
      <c r="BQ33" s="69">
        <f>Model!BQ83</f>
        <v>0</v>
      </c>
      <c r="BR33" s="69">
        <f>Model!BR83</f>
        <v>0</v>
      </c>
      <c r="BS33" s="69">
        <f>Model!BS83</f>
        <v>-74640</v>
      </c>
      <c r="BT33" s="69">
        <f>Model!BT83</f>
        <v>0</v>
      </c>
      <c r="BU33" s="69">
        <f>Model!BU83</f>
        <v>0</v>
      </c>
      <c r="BV33" s="69">
        <f>Model!BV83</f>
        <v>-74640</v>
      </c>
      <c r="BW33" s="69">
        <f>Model!BW83</f>
        <v>0</v>
      </c>
      <c r="BX33" s="69">
        <f>Model!BX83</f>
        <v>0</v>
      </c>
      <c r="BY33" s="69">
        <f>Model!BY83</f>
        <v>-74640</v>
      </c>
      <c r="BZ33" s="69">
        <f>Model!BZ83</f>
        <v>0</v>
      </c>
      <c r="CA33" s="69">
        <f>Model!CA83</f>
        <v>0</v>
      </c>
      <c r="CB33" s="69">
        <f>Model!CB83</f>
        <v>-81363</v>
      </c>
      <c r="CC33" s="69">
        <f>Model!CC83</f>
        <v>0</v>
      </c>
      <c r="CD33" s="69">
        <f>Model!CD83</f>
        <v>0</v>
      </c>
      <c r="CE33" s="69">
        <f>Model!CE83</f>
        <v>-81362</v>
      </c>
      <c r="CF33" s="69">
        <f>Model!CF83</f>
        <v>0</v>
      </c>
      <c r="CG33" s="69">
        <f>Model!CG83</f>
        <v>0</v>
      </c>
      <c r="CH33" s="69">
        <f>Model!CH83</f>
        <v>-74753.973393520777</v>
      </c>
    </row>
    <row r="34" spans="1:86" ht="15" customHeight="1" x14ac:dyDescent="0.25">
      <c r="A34" s="68" t="s">
        <v>38</v>
      </c>
      <c r="B34" s="1"/>
      <c r="C34" s="69">
        <f>Model!C155</f>
        <v>0</v>
      </c>
      <c r="D34" s="69">
        <f>Model!D155</f>
        <v>0</v>
      </c>
      <c r="E34" s="69">
        <f>Model!E155</f>
        <v>0</v>
      </c>
      <c r="F34" s="69">
        <f>Model!F155</f>
        <v>0</v>
      </c>
      <c r="G34" s="69">
        <f>Model!G155</f>
        <v>0</v>
      </c>
      <c r="H34" s="69">
        <f>Model!H155</f>
        <v>0</v>
      </c>
      <c r="I34" s="69">
        <f>Model!I155</f>
        <v>0</v>
      </c>
      <c r="J34" s="69">
        <f>Model!J155</f>
        <v>0</v>
      </c>
      <c r="K34" s="69">
        <f>Model!K155</f>
        <v>0</v>
      </c>
      <c r="L34" s="69">
        <f>Model!L155</f>
        <v>0</v>
      </c>
      <c r="M34" s="69">
        <f>Model!M155</f>
        <v>0</v>
      </c>
      <c r="N34" s="69">
        <f>Model!N155</f>
        <v>0</v>
      </c>
      <c r="O34" s="69">
        <f>Model!O155</f>
        <v>0</v>
      </c>
      <c r="P34" s="69">
        <f>Model!P155</f>
        <v>0</v>
      </c>
      <c r="Q34" s="69">
        <f>Model!Q155</f>
        <v>0</v>
      </c>
      <c r="R34" s="69">
        <f>Model!R155</f>
        <v>0</v>
      </c>
      <c r="S34" s="69">
        <f>Model!S155</f>
        <v>0</v>
      </c>
      <c r="T34" s="69">
        <f>Model!T155</f>
        <v>0</v>
      </c>
      <c r="U34" s="69">
        <f>Model!U155</f>
        <v>0</v>
      </c>
      <c r="V34" s="69">
        <f>Model!V155</f>
        <v>0</v>
      </c>
      <c r="W34" s="69">
        <f>Model!W155</f>
        <v>0</v>
      </c>
      <c r="X34" s="69">
        <f>Model!X155</f>
        <v>0</v>
      </c>
      <c r="Y34" s="69">
        <f>Model!Y155</f>
        <v>0</v>
      </c>
      <c r="Z34" s="69">
        <f>Model!Z155</f>
        <v>0</v>
      </c>
      <c r="AA34" s="69">
        <f>Model!AA155</f>
        <v>0</v>
      </c>
      <c r="AB34" s="69">
        <f>Model!AB155</f>
        <v>0</v>
      </c>
      <c r="AC34" s="69">
        <f>Model!AC155</f>
        <v>0</v>
      </c>
      <c r="AD34" s="69">
        <f>Model!AD155</f>
        <v>0</v>
      </c>
      <c r="AE34" s="69">
        <f>Model!AE155</f>
        <v>0</v>
      </c>
      <c r="AF34" s="69">
        <f>Model!AF155</f>
        <v>0</v>
      </c>
      <c r="AG34" s="69">
        <f>Model!AG155</f>
        <v>0</v>
      </c>
      <c r="AH34" s="69">
        <f>Model!AH155</f>
        <v>0</v>
      </c>
      <c r="AI34" s="69">
        <f>Model!AI155</f>
        <v>0</v>
      </c>
      <c r="AJ34" s="69">
        <f>Model!AJ155</f>
        <v>0</v>
      </c>
      <c r="AK34" s="69">
        <f>Model!AK155</f>
        <v>0</v>
      </c>
      <c r="AL34" s="69">
        <f>Model!AL155</f>
        <v>0</v>
      </c>
      <c r="AM34" s="69">
        <f>Model!AM155</f>
        <v>0</v>
      </c>
      <c r="AN34" s="69">
        <f>Model!AN155</f>
        <v>0</v>
      </c>
      <c r="AO34" s="69">
        <f>Model!AO155</f>
        <v>0</v>
      </c>
      <c r="AP34" s="69">
        <f>Model!AP155</f>
        <v>0</v>
      </c>
      <c r="AQ34" s="69">
        <f>Model!AQ155</f>
        <v>0</v>
      </c>
      <c r="AR34" s="69">
        <f>Model!AR155</f>
        <v>0</v>
      </c>
      <c r="AS34" s="69">
        <f>Model!AS155</f>
        <v>0</v>
      </c>
      <c r="AT34" s="69">
        <f>Model!AT155</f>
        <v>0</v>
      </c>
      <c r="AU34" s="69">
        <f>Model!AU155</f>
        <v>0</v>
      </c>
      <c r="AV34" s="69">
        <f>Model!AV155</f>
        <v>0</v>
      </c>
      <c r="AW34" s="69">
        <f>Model!AW155</f>
        <v>0</v>
      </c>
      <c r="AX34" s="69">
        <f>Model!AX155</f>
        <v>0</v>
      </c>
      <c r="AY34" s="69">
        <f>Model!AY155</f>
        <v>0</v>
      </c>
      <c r="AZ34" s="69">
        <f>Model!AZ155</f>
        <v>0</v>
      </c>
      <c r="BA34" s="69">
        <f>Model!BA155</f>
        <v>0</v>
      </c>
      <c r="BB34" s="69">
        <f>Model!BB155</f>
        <v>0</v>
      </c>
      <c r="BC34" s="69">
        <f>Model!BC155</f>
        <v>0</v>
      </c>
      <c r="BD34" s="69">
        <f>Model!BD155</f>
        <v>0</v>
      </c>
      <c r="BE34" s="69">
        <f>Model!BE155</f>
        <v>0</v>
      </c>
      <c r="BF34" s="69">
        <f>Model!BF155</f>
        <v>0</v>
      </c>
      <c r="BG34" s="69">
        <f>Model!BG155</f>
        <v>0</v>
      </c>
      <c r="BH34" s="69">
        <f>Model!BH155</f>
        <v>0</v>
      </c>
      <c r="BI34" s="69">
        <f>Model!BI155</f>
        <v>0</v>
      </c>
      <c r="BJ34" s="69">
        <f>Model!BJ155</f>
        <v>0</v>
      </c>
      <c r="BK34" s="69">
        <f>Model!BK155</f>
        <v>0</v>
      </c>
      <c r="BL34" s="69">
        <f>Model!BL155</f>
        <v>0</v>
      </c>
      <c r="BM34" s="69">
        <f>Model!BM155</f>
        <v>0</v>
      </c>
      <c r="BN34" s="69">
        <f>Model!BN155</f>
        <v>0</v>
      </c>
      <c r="BO34" s="69">
        <f>Model!BO155</f>
        <v>0</v>
      </c>
      <c r="BP34" s="69">
        <f>Model!BP155</f>
        <v>0</v>
      </c>
      <c r="BQ34" s="69">
        <f>Model!BQ155</f>
        <v>0</v>
      </c>
      <c r="BR34" s="69">
        <f>Model!BR155</f>
        <v>0</v>
      </c>
      <c r="BS34" s="69">
        <f>Model!BS155</f>
        <v>0</v>
      </c>
      <c r="BT34" s="69">
        <f>Model!BT155</f>
        <v>0</v>
      </c>
      <c r="BU34" s="69">
        <f>Model!BU155</f>
        <v>0</v>
      </c>
      <c r="BV34" s="69">
        <f>Model!BV155</f>
        <v>0</v>
      </c>
      <c r="BW34" s="69">
        <f>Model!BW155</f>
        <v>0</v>
      </c>
      <c r="BX34" s="69">
        <f>Model!BX155</f>
        <v>0</v>
      </c>
      <c r="BY34" s="69">
        <f>Model!BY155</f>
        <v>0</v>
      </c>
      <c r="BZ34" s="69">
        <f>Model!BZ155</f>
        <v>0</v>
      </c>
      <c r="CA34" s="69">
        <f>Model!CA155</f>
        <v>0</v>
      </c>
      <c r="CB34" s="69">
        <f>Model!CB155</f>
        <v>0</v>
      </c>
      <c r="CC34" s="69">
        <f>Model!CC155</f>
        <v>0</v>
      </c>
      <c r="CD34" s="69">
        <f>Model!CD155</f>
        <v>0</v>
      </c>
      <c r="CE34" s="69">
        <f>Model!CE155</f>
        <v>0</v>
      </c>
      <c r="CF34" s="69">
        <f>Model!CF155</f>
        <v>0</v>
      </c>
      <c r="CG34" s="69">
        <f>Model!CG155</f>
        <v>0</v>
      </c>
      <c r="CH34" s="69">
        <f>Model!CH155</f>
        <v>0</v>
      </c>
    </row>
    <row r="35" spans="1:86" ht="15" customHeight="1" x14ac:dyDescent="0.25">
      <c r="A35" s="28" t="s">
        <v>212</v>
      </c>
      <c r="B35" s="28"/>
      <c r="C35" s="66">
        <f t="shared" ref="C35:AH35" si="30">C32+C33+C34</f>
        <v>0</v>
      </c>
      <c r="D35" s="66">
        <f t="shared" si="30"/>
        <v>0</v>
      </c>
      <c r="E35" s="66">
        <f t="shared" si="30"/>
        <v>0</v>
      </c>
      <c r="F35" s="66">
        <f t="shared" si="30"/>
        <v>0</v>
      </c>
      <c r="G35" s="66">
        <f t="shared" si="30"/>
        <v>0</v>
      </c>
      <c r="H35" s="66">
        <f t="shared" si="30"/>
        <v>0</v>
      </c>
      <c r="I35" s="66">
        <f t="shared" si="30"/>
        <v>0</v>
      </c>
      <c r="J35" s="66">
        <f t="shared" si="30"/>
        <v>0</v>
      </c>
      <c r="K35" s="66">
        <f t="shared" si="30"/>
        <v>0</v>
      </c>
      <c r="L35" s="66">
        <f t="shared" si="30"/>
        <v>0</v>
      </c>
      <c r="M35" s="66">
        <f t="shared" si="30"/>
        <v>0</v>
      </c>
      <c r="N35" s="66">
        <f t="shared" si="30"/>
        <v>0</v>
      </c>
      <c r="O35" s="66">
        <f t="shared" si="30"/>
        <v>0</v>
      </c>
      <c r="P35" s="66">
        <f t="shared" si="30"/>
        <v>0</v>
      </c>
      <c r="Q35" s="66">
        <f t="shared" si="30"/>
        <v>0</v>
      </c>
      <c r="R35" s="66">
        <f t="shared" si="30"/>
        <v>0</v>
      </c>
      <c r="S35" s="66">
        <f t="shared" si="30"/>
        <v>0</v>
      </c>
      <c r="T35" s="66">
        <f t="shared" si="30"/>
        <v>0</v>
      </c>
      <c r="U35" s="66">
        <f t="shared" si="30"/>
        <v>0</v>
      </c>
      <c r="V35" s="66">
        <f t="shared" si="30"/>
        <v>0</v>
      </c>
      <c r="W35" s="66">
        <f t="shared" si="30"/>
        <v>0</v>
      </c>
      <c r="X35" s="66">
        <f t="shared" si="30"/>
        <v>0</v>
      </c>
      <c r="Y35" s="66">
        <f t="shared" si="30"/>
        <v>0</v>
      </c>
      <c r="Z35" s="66">
        <f t="shared" si="30"/>
        <v>0</v>
      </c>
      <c r="AA35" s="66">
        <f t="shared" si="30"/>
        <v>0</v>
      </c>
      <c r="AB35" s="66">
        <f t="shared" si="30"/>
        <v>0</v>
      </c>
      <c r="AC35" s="66">
        <f t="shared" si="30"/>
        <v>0</v>
      </c>
      <c r="AD35" s="66">
        <f t="shared" si="30"/>
        <v>0</v>
      </c>
      <c r="AE35" s="66">
        <f t="shared" si="30"/>
        <v>0</v>
      </c>
      <c r="AF35" s="66">
        <f t="shared" si="30"/>
        <v>0</v>
      </c>
      <c r="AG35" s="66">
        <f t="shared" si="30"/>
        <v>0</v>
      </c>
      <c r="AH35" s="66">
        <f t="shared" si="30"/>
        <v>0</v>
      </c>
      <c r="AI35" s="66">
        <f t="shared" ref="AI35:BN35" si="31">AI32+AI33+AI34</f>
        <v>0</v>
      </c>
      <c r="AJ35" s="66">
        <f t="shared" si="31"/>
        <v>0</v>
      </c>
      <c r="AK35" s="66">
        <f t="shared" si="31"/>
        <v>0</v>
      </c>
      <c r="AL35" s="66">
        <f t="shared" si="31"/>
        <v>0</v>
      </c>
      <c r="AM35" s="66">
        <f t="shared" si="31"/>
        <v>0</v>
      </c>
      <c r="AN35" s="66">
        <f t="shared" si="31"/>
        <v>0</v>
      </c>
      <c r="AO35" s="66">
        <f t="shared" si="31"/>
        <v>0</v>
      </c>
      <c r="AP35" s="66">
        <f t="shared" si="31"/>
        <v>0</v>
      </c>
      <c r="AQ35" s="66">
        <f t="shared" si="31"/>
        <v>0</v>
      </c>
      <c r="AR35" s="66">
        <f t="shared" si="31"/>
        <v>0</v>
      </c>
      <c r="AS35" s="66">
        <f t="shared" si="31"/>
        <v>0</v>
      </c>
      <c r="AT35" s="66">
        <f t="shared" si="31"/>
        <v>0</v>
      </c>
      <c r="AU35" s="66">
        <f t="shared" si="31"/>
        <v>0</v>
      </c>
      <c r="AV35" s="66">
        <f t="shared" si="31"/>
        <v>0</v>
      </c>
      <c r="AW35" s="66">
        <f t="shared" si="31"/>
        <v>0</v>
      </c>
      <c r="AX35" s="66">
        <f t="shared" si="31"/>
        <v>0</v>
      </c>
      <c r="AY35" s="66">
        <f t="shared" si="31"/>
        <v>0</v>
      </c>
      <c r="AZ35" s="66">
        <f t="shared" si="31"/>
        <v>0</v>
      </c>
      <c r="BA35" s="66">
        <f t="shared" si="31"/>
        <v>0</v>
      </c>
      <c r="BB35" s="66">
        <f t="shared" si="31"/>
        <v>0</v>
      </c>
      <c r="BC35" s="66">
        <f t="shared" si="31"/>
        <v>0</v>
      </c>
      <c r="BD35" s="66">
        <f t="shared" si="31"/>
        <v>0</v>
      </c>
      <c r="BE35" s="66">
        <f t="shared" si="31"/>
        <v>0</v>
      </c>
      <c r="BF35" s="66">
        <f t="shared" si="31"/>
        <v>0</v>
      </c>
      <c r="BG35" s="66">
        <f t="shared" si="31"/>
        <v>0</v>
      </c>
      <c r="BH35" s="66">
        <f t="shared" si="31"/>
        <v>0</v>
      </c>
      <c r="BI35" s="66">
        <f t="shared" si="31"/>
        <v>0</v>
      </c>
      <c r="BJ35" s="66">
        <f t="shared" si="31"/>
        <v>0</v>
      </c>
      <c r="BK35" s="66">
        <f t="shared" si="31"/>
        <v>0</v>
      </c>
      <c r="BL35" s="66">
        <f t="shared" si="31"/>
        <v>0</v>
      </c>
      <c r="BM35" s="66">
        <f t="shared" si="31"/>
        <v>0</v>
      </c>
      <c r="BN35" s="66">
        <f t="shared" si="31"/>
        <v>0</v>
      </c>
      <c r="BO35" s="66">
        <f t="shared" ref="BO35:CT35" si="32">BO32+BO33+BO34</f>
        <v>0</v>
      </c>
      <c r="BP35" s="66">
        <f t="shared" si="32"/>
        <v>0</v>
      </c>
      <c r="BQ35" s="66">
        <f t="shared" si="32"/>
        <v>0</v>
      </c>
      <c r="BR35" s="66">
        <f t="shared" si="32"/>
        <v>0</v>
      </c>
      <c r="BS35" s="66">
        <f t="shared" si="32"/>
        <v>0</v>
      </c>
      <c r="BT35" s="66">
        <f t="shared" si="32"/>
        <v>0</v>
      </c>
      <c r="BU35" s="66">
        <f t="shared" si="32"/>
        <v>0</v>
      </c>
      <c r="BV35" s="66">
        <f t="shared" si="32"/>
        <v>0</v>
      </c>
      <c r="BW35" s="66">
        <f t="shared" si="32"/>
        <v>0</v>
      </c>
      <c r="BX35" s="66">
        <f t="shared" si="32"/>
        <v>0</v>
      </c>
      <c r="BY35" s="66">
        <f t="shared" si="32"/>
        <v>0</v>
      </c>
      <c r="BZ35" s="66">
        <f t="shared" si="32"/>
        <v>0</v>
      </c>
      <c r="CA35" s="66">
        <f t="shared" si="32"/>
        <v>0</v>
      </c>
      <c r="CB35" s="66">
        <f t="shared" si="32"/>
        <v>0</v>
      </c>
      <c r="CC35" s="66">
        <f t="shared" si="32"/>
        <v>0</v>
      </c>
      <c r="CD35" s="66">
        <f t="shared" si="32"/>
        <v>0</v>
      </c>
      <c r="CE35" s="66">
        <f t="shared" si="32"/>
        <v>0</v>
      </c>
      <c r="CF35" s="66">
        <f t="shared" si="32"/>
        <v>0</v>
      </c>
      <c r="CG35" s="66">
        <f t="shared" si="32"/>
        <v>0</v>
      </c>
      <c r="CH35" s="66">
        <f t="shared" si="32"/>
        <v>6608.0266064792231</v>
      </c>
    </row>
    <row r="36" spans="1:86" ht="15" customHeight="1" x14ac:dyDescent="0.25">
      <c r="A36" s="59" t="s">
        <v>213</v>
      </c>
      <c r="B36" s="1"/>
      <c r="C36" s="67">
        <f>C35</f>
        <v>0</v>
      </c>
      <c r="D36" s="67">
        <f t="shared" ref="D36:AI36" si="33">C36+D35</f>
        <v>0</v>
      </c>
      <c r="E36" s="67">
        <f t="shared" si="33"/>
        <v>0</v>
      </c>
      <c r="F36" s="67">
        <f t="shared" si="33"/>
        <v>0</v>
      </c>
      <c r="G36" s="67">
        <f t="shared" si="33"/>
        <v>0</v>
      </c>
      <c r="H36" s="67">
        <f t="shared" si="33"/>
        <v>0</v>
      </c>
      <c r="I36" s="67">
        <f t="shared" si="33"/>
        <v>0</v>
      </c>
      <c r="J36" s="67">
        <f t="shared" si="33"/>
        <v>0</v>
      </c>
      <c r="K36" s="67">
        <f t="shared" si="33"/>
        <v>0</v>
      </c>
      <c r="L36" s="67">
        <f t="shared" si="33"/>
        <v>0</v>
      </c>
      <c r="M36" s="67">
        <f t="shared" si="33"/>
        <v>0</v>
      </c>
      <c r="N36" s="67">
        <f t="shared" si="33"/>
        <v>0</v>
      </c>
      <c r="O36" s="67">
        <f t="shared" si="33"/>
        <v>0</v>
      </c>
      <c r="P36" s="67">
        <f t="shared" si="33"/>
        <v>0</v>
      </c>
      <c r="Q36" s="67">
        <f t="shared" si="33"/>
        <v>0</v>
      </c>
      <c r="R36" s="67">
        <f t="shared" si="33"/>
        <v>0</v>
      </c>
      <c r="S36" s="67">
        <f t="shared" si="33"/>
        <v>0</v>
      </c>
      <c r="T36" s="67">
        <f t="shared" si="33"/>
        <v>0</v>
      </c>
      <c r="U36" s="67">
        <f t="shared" si="33"/>
        <v>0</v>
      </c>
      <c r="V36" s="67">
        <f t="shared" si="33"/>
        <v>0</v>
      </c>
      <c r="W36" s="67">
        <f t="shared" si="33"/>
        <v>0</v>
      </c>
      <c r="X36" s="67">
        <f t="shared" si="33"/>
        <v>0</v>
      </c>
      <c r="Y36" s="67">
        <f t="shared" si="33"/>
        <v>0</v>
      </c>
      <c r="Z36" s="67">
        <f t="shared" si="33"/>
        <v>0</v>
      </c>
      <c r="AA36" s="67">
        <f t="shared" si="33"/>
        <v>0</v>
      </c>
      <c r="AB36" s="67">
        <f t="shared" si="33"/>
        <v>0</v>
      </c>
      <c r="AC36" s="67">
        <f t="shared" si="33"/>
        <v>0</v>
      </c>
      <c r="AD36" s="67">
        <f t="shared" si="33"/>
        <v>0</v>
      </c>
      <c r="AE36" s="67">
        <f t="shared" si="33"/>
        <v>0</v>
      </c>
      <c r="AF36" s="67">
        <f t="shared" si="33"/>
        <v>0</v>
      </c>
      <c r="AG36" s="67">
        <f t="shared" si="33"/>
        <v>0</v>
      </c>
      <c r="AH36" s="67">
        <f t="shared" si="33"/>
        <v>0</v>
      </c>
      <c r="AI36" s="67">
        <f t="shared" si="33"/>
        <v>0</v>
      </c>
      <c r="AJ36" s="67">
        <f t="shared" ref="AJ36:BO36" si="34">AI36+AJ35</f>
        <v>0</v>
      </c>
      <c r="AK36" s="67">
        <f t="shared" si="34"/>
        <v>0</v>
      </c>
      <c r="AL36" s="67">
        <f t="shared" si="34"/>
        <v>0</v>
      </c>
      <c r="AM36" s="67">
        <f t="shared" si="34"/>
        <v>0</v>
      </c>
      <c r="AN36" s="67">
        <f t="shared" si="34"/>
        <v>0</v>
      </c>
      <c r="AO36" s="67">
        <f t="shared" si="34"/>
        <v>0</v>
      </c>
      <c r="AP36" s="67">
        <f t="shared" si="34"/>
        <v>0</v>
      </c>
      <c r="AQ36" s="67">
        <f t="shared" si="34"/>
        <v>0</v>
      </c>
      <c r="AR36" s="67">
        <f t="shared" si="34"/>
        <v>0</v>
      </c>
      <c r="AS36" s="67">
        <f t="shared" si="34"/>
        <v>0</v>
      </c>
      <c r="AT36" s="67">
        <f t="shared" si="34"/>
        <v>0</v>
      </c>
      <c r="AU36" s="67">
        <f t="shared" si="34"/>
        <v>0</v>
      </c>
      <c r="AV36" s="67">
        <f t="shared" si="34"/>
        <v>0</v>
      </c>
      <c r="AW36" s="67">
        <f t="shared" si="34"/>
        <v>0</v>
      </c>
      <c r="AX36" s="67">
        <f t="shared" si="34"/>
        <v>0</v>
      </c>
      <c r="AY36" s="67">
        <f t="shared" si="34"/>
        <v>0</v>
      </c>
      <c r="AZ36" s="67">
        <f t="shared" si="34"/>
        <v>0</v>
      </c>
      <c r="BA36" s="67">
        <f t="shared" si="34"/>
        <v>0</v>
      </c>
      <c r="BB36" s="67">
        <f t="shared" si="34"/>
        <v>0</v>
      </c>
      <c r="BC36" s="67">
        <f t="shared" si="34"/>
        <v>0</v>
      </c>
      <c r="BD36" s="67">
        <f t="shared" si="34"/>
        <v>0</v>
      </c>
      <c r="BE36" s="67">
        <f t="shared" si="34"/>
        <v>0</v>
      </c>
      <c r="BF36" s="67">
        <f t="shared" si="34"/>
        <v>0</v>
      </c>
      <c r="BG36" s="67">
        <f t="shared" si="34"/>
        <v>0</v>
      </c>
      <c r="BH36" s="67">
        <f t="shared" si="34"/>
        <v>0</v>
      </c>
      <c r="BI36" s="67">
        <f t="shared" si="34"/>
        <v>0</v>
      </c>
      <c r="BJ36" s="67">
        <f t="shared" si="34"/>
        <v>0</v>
      </c>
      <c r="BK36" s="67">
        <f t="shared" si="34"/>
        <v>0</v>
      </c>
      <c r="BL36" s="67">
        <f t="shared" si="34"/>
        <v>0</v>
      </c>
      <c r="BM36" s="67">
        <f t="shared" si="34"/>
        <v>0</v>
      </c>
      <c r="BN36" s="67">
        <f t="shared" si="34"/>
        <v>0</v>
      </c>
      <c r="BO36" s="67">
        <f t="shared" si="34"/>
        <v>0</v>
      </c>
      <c r="BP36" s="67">
        <f t="shared" ref="BP36:CU36" si="35">BO36+BP35</f>
        <v>0</v>
      </c>
      <c r="BQ36" s="67">
        <f t="shared" si="35"/>
        <v>0</v>
      </c>
      <c r="BR36" s="67">
        <f t="shared" si="35"/>
        <v>0</v>
      </c>
      <c r="BS36" s="67">
        <f t="shared" si="35"/>
        <v>0</v>
      </c>
      <c r="BT36" s="67">
        <f t="shared" si="35"/>
        <v>0</v>
      </c>
      <c r="BU36" s="67">
        <f t="shared" si="35"/>
        <v>0</v>
      </c>
      <c r="BV36" s="67">
        <f t="shared" si="35"/>
        <v>0</v>
      </c>
      <c r="BW36" s="67">
        <f t="shared" si="35"/>
        <v>0</v>
      </c>
      <c r="BX36" s="67">
        <f t="shared" si="35"/>
        <v>0</v>
      </c>
      <c r="BY36" s="67">
        <f t="shared" si="35"/>
        <v>0</v>
      </c>
      <c r="BZ36" s="67">
        <f t="shared" si="35"/>
        <v>0</v>
      </c>
      <c r="CA36" s="67">
        <f t="shared" si="35"/>
        <v>0</v>
      </c>
      <c r="CB36" s="67">
        <f t="shared" si="35"/>
        <v>0</v>
      </c>
      <c r="CC36" s="67">
        <f t="shared" si="35"/>
        <v>0</v>
      </c>
      <c r="CD36" s="67">
        <f t="shared" si="35"/>
        <v>0</v>
      </c>
      <c r="CE36" s="67">
        <f t="shared" si="35"/>
        <v>0</v>
      </c>
      <c r="CF36" s="67">
        <f t="shared" si="35"/>
        <v>0</v>
      </c>
      <c r="CG36" s="67">
        <f t="shared" si="35"/>
        <v>0</v>
      </c>
      <c r="CH36" s="67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57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211</v>
      </c>
      <c r="B39" s="1"/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0</v>
      </c>
      <c r="AH39" s="65">
        <v>0</v>
      </c>
      <c r="AI39" s="65">
        <v>0</v>
      </c>
      <c r="AJ39" s="65">
        <v>0</v>
      </c>
      <c r="AK39" s="65">
        <v>0</v>
      </c>
      <c r="AL39" s="65">
        <v>0</v>
      </c>
      <c r="AM39" s="65">
        <v>0</v>
      </c>
      <c r="AN39" s="65">
        <v>0</v>
      </c>
      <c r="AO39" s="65">
        <v>0</v>
      </c>
      <c r="AP39" s="65">
        <v>0</v>
      </c>
      <c r="AQ39" s="65">
        <v>0</v>
      </c>
      <c r="AR39" s="65">
        <v>0</v>
      </c>
      <c r="AS39" s="65">
        <v>0</v>
      </c>
      <c r="AT39" s="65">
        <v>0</v>
      </c>
      <c r="AU39" s="65">
        <v>0</v>
      </c>
      <c r="AV39" s="65">
        <v>0</v>
      </c>
      <c r="AW39" s="65">
        <v>0</v>
      </c>
      <c r="AX39" s="65">
        <v>0</v>
      </c>
      <c r="AY39" s="65">
        <v>0</v>
      </c>
      <c r="AZ39" s="65">
        <v>0</v>
      </c>
      <c r="BA39" s="65">
        <v>0</v>
      </c>
      <c r="BB39" s="65">
        <v>0</v>
      </c>
      <c r="BC39" s="65">
        <v>0</v>
      </c>
      <c r="BD39" s="65">
        <v>0</v>
      </c>
      <c r="BE39" s="65"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0</v>
      </c>
      <c r="BK39" s="65">
        <v>0</v>
      </c>
      <c r="BL39" s="65">
        <v>0</v>
      </c>
      <c r="BM39" s="65">
        <v>0</v>
      </c>
      <c r="BN39" s="65">
        <v>0</v>
      </c>
      <c r="BO39" s="65">
        <v>0</v>
      </c>
      <c r="BP39" s="65">
        <v>0</v>
      </c>
      <c r="BQ39" s="65">
        <v>0</v>
      </c>
      <c r="BR39" s="65">
        <v>0</v>
      </c>
      <c r="BS39" s="65">
        <v>0</v>
      </c>
      <c r="BT39" s="65">
        <v>0</v>
      </c>
      <c r="BU39" s="65">
        <v>0</v>
      </c>
      <c r="BV39" s="65">
        <v>0</v>
      </c>
      <c r="BW39" s="65">
        <v>0</v>
      </c>
      <c r="BX39" s="65">
        <v>0</v>
      </c>
      <c r="BY39" s="65">
        <v>0</v>
      </c>
      <c r="BZ39" s="65">
        <v>0</v>
      </c>
      <c r="CA39" s="65">
        <v>0</v>
      </c>
      <c r="CB39" s="65">
        <v>0</v>
      </c>
      <c r="CC39" s="65">
        <v>0</v>
      </c>
      <c r="CD39" s="65">
        <v>0</v>
      </c>
      <c r="CE39" s="65">
        <v>0</v>
      </c>
      <c r="CF39" s="65">
        <v>0</v>
      </c>
      <c r="CG39" s="65">
        <v>0</v>
      </c>
      <c r="CH39" s="65">
        <v>0</v>
      </c>
    </row>
    <row r="40" spans="1:86" ht="15" customHeight="1" x14ac:dyDescent="0.25">
      <c r="A40" s="68" t="s">
        <v>215</v>
      </c>
      <c r="B40" s="1"/>
      <c r="C40" s="69">
        <f>Model!C84</f>
        <v>0</v>
      </c>
      <c r="D40" s="69">
        <f>Model!D84</f>
        <v>0</v>
      </c>
      <c r="E40" s="69">
        <f>Model!E84</f>
        <v>0</v>
      </c>
      <c r="F40" s="69">
        <f>Model!F84</f>
        <v>0</v>
      </c>
      <c r="G40" s="69">
        <f>Model!G84</f>
        <v>0</v>
      </c>
      <c r="H40" s="69">
        <f>Model!H84</f>
        <v>0</v>
      </c>
      <c r="I40" s="69">
        <f>Model!I84</f>
        <v>0</v>
      </c>
      <c r="J40" s="69">
        <f>Model!J84</f>
        <v>0</v>
      </c>
      <c r="K40" s="69">
        <f>Model!K84</f>
        <v>0</v>
      </c>
      <c r="L40" s="69">
        <f>Model!L84</f>
        <v>0</v>
      </c>
      <c r="M40" s="69">
        <f>Model!M84</f>
        <v>0</v>
      </c>
      <c r="N40" s="69">
        <f>Model!N84</f>
        <v>0</v>
      </c>
      <c r="O40" s="69">
        <f>Model!O84</f>
        <v>0</v>
      </c>
      <c r="P40" s="69">
        <f>Model!P84</f>
        <v>0</v>
      </c>
      <c r="Q40" s="69">
        <f>Model!Q84</f>
        <v>0</v>
      </c>
      <c r="R40" s="69">
        <f>Model!R84</f>
        <v>0</v>
      </c>
      <c r="S40" s="69">
        <f>Model!S84</f>
        <v>0</v>
      </c>
      <c r="T40" s="69">
        <f>Model!T84</f>
        <v>0</v>
      </c>
      <c r="U40" s="69">
        <f>Model!U84</f>
        <v>0</v>
      </c>
      <c r="V40" s="69">
        <f>Model!V84</f>
        <v>0</v>
      </c>
      <c r="W40" s="69">
        <f>Model!W84</f>
        <v>0</v>
      </c>
      <c r="X40" s="69">
        <f>Model!X84</f>
        <v>0</v>
      </c>
      <c r="Y40" s="69">
        <f>Model!Y84</f>
        <v>0</v>
      </c>
      <c r="Z40" s="69">
        <f>Model!Z84</f>
        <v>0</v>
      </c>
      <c r="AA40" s="69">
        <f>Model!AA84</f>
        <v>0</v>
      </c>
      <c r="AB40" s="69">
        <f>Model!AB84</f>
        <v>0</v>
      </c>
      <c r="AC40" s="69">
        <f>Model!AC84</f>
        <v>0</v>
      </c>
      <c r="AD40" s="69">
        <f>Model!AD84</f>
        <v>0</v>
      </c>
      <c r="AE40" s="69">
        <f>Model!AE84</f>
        <v>0</v>
      </c>
      <c r="AF40" s="69">
        <f>Model!AF84</f>
        <v>0</v>
      </c>
      <c r="AG40" s="69">
        <f>Model!AG84</f>
        <v>0</v>
      </c>
      <c r="AH40" s="69">
        <f>Model!AH84</f>
        <v>0</v>
      </c>
      <c r="AI40" s="69">
        <f>Model!AI84</f>
        <v>0</v>
      </c>
      <c r="AJ40" s="69">
        <f>Model!AJ84</f>
        <v>0</v>
      </c>
      <c r="AK40" s="69">
        <f>Model!AK84</f>
        <v>0</v>
      </c>
      <c r="AL40" s="69">
        <f>Model!AL84</f>
        <v>0</v>
      </c>
      <c r="AM40" s="69">
        <f>Model!AM84</f>
        <v>0</v>
      </c>
      <c r="AN40" s="69">
        <f>Model!AN84</f>
        <v>0</v>
      </c>
      <c r="AO40" s="69">
        <f>Model!AO84</f>
        <v>0</v>
      </c>
      <c r="AP40" s="69">
        <f>Model!AP84</f>
        <v>0</v>
      </c>
      <c r="AQ40" s="69">
        <f>Model!AQ84</f>
        <v>0</v>
      </c>
      <c r="AR40" s="69">
        <f>Model!AR84</f>
        <v>0</v>
      </c>
      <c r="AS40" s="69">
        <f>Model!AS84</f>
        <v>0</v>
      </c>
      <c r="AT40" s="69">
        <f>Model!AT84</f>
        <v>0</v>
      </c>
      <c r="AU40" s="69">
        <f>Model!AU84</f>
        <v>0</v>
      </c>
      <c r="AV40" s="69">
        <f>Model!AV84</f>
        <v>0</v>
      </c>
      <c r="AW40" s="69">
        <f>Model!AW84</f>
        <v>0</v>
      </c>
      <c r="AX40" s="69">
        <f>Model!AX84</f>
        <v>0</v>
      </c>
      <c r="AY40" s="69">
        <f>Model!AY84</f>
        <v>0</v>
      </c>
      <c r="AZ40" s="69">
        <f>Model!AZ84</f>
        <v>0</v>
      </c>
      <c r="BA40" s="69">
        <f>Model!BA84</f>
        <v>0</v>
      </c>
      <c r="BB40" s="69">
        <f>Model!BB84</f>
        <v>0</v>
      </c>
      <c r="BC40" s="69">
        <f>Model!BC84</f>
        <v>0</v>
      </c>
      <c r="BD40" s="69">
        <f>Model!BD84</f>
        <v>0</v>
      </c>
      <c r="BE40" s="69">
        <f>Model!BE84</f>
        <v>0</v>
      </c>
      <c r="BF40" s="69">
        <f>Model!BF84</f>
        <v>0</v>
      </c>
      <c r="BG40" s="69">
        <f>Model!BG84</f>
        <v>0</v>
      </c>
      <c r="BH40" s="69">
        <f>Model!BH84</f>
        <v>0</v>
      </c>
      <c r="BI40" s="69">
        <f>Model!BI84</f>
        <v>0</v>
      </c>
      <c r="BJ40" s="69">
        <f>Model!BJ84</f>
        <v>0</v>
      </c>
      <c r="BK40" s="69">
        <f>Model!BK84</f>
        <v>0</v>
      </c>
      <c r="BL40" s="69">
        <f>Model!BL84</f>
        <v>0</v>
      </c>
      <c r="BM40" s="69">
        <f>Model!BM84</f>
        <v>0</v>
      </c>
      <c r="BN40" s="69">
        <f>Model!BN84</f>
        <v>0</v>
      </c>
      <c r="BO40" s="69">
        <f>Model!BO84</f>
        <v>0</v>
      </c>
      <c r="BP40" s="69">
        <f>Model!BP84</f>
        <v>0</v>
      </c>
      <c r="BQ40" s="69">
        <f>Model!BQ84</f>
        <v>0</v>
      </c>
      <c r="BR40" s="69">
        <f>Model!BR84</f>
        <v>0</v>
      </c>
      <c r="BS40" s="69">
        <f>Model!BS84</f>
        <v>0</v>
      </c>
      <c r="BT40" s="69">
        <f>Model!BT84</f>
        <v>0</v>
      </c>
      <c r="BU40" s="69">
        <f>Model!BU84</f>
        <v>0</v>
      </c>
      <c r="BV40" s="69">
        <f>Model!BV84</f>
        <v>0</v>
      </c>
      <c r="BW40" s="69">
        <f>Model!BW84</f>
        <v>0</v>
      </c>
      <c r="BX40" s="69">
        <f>Model!BX84</f>
        <v>0</v>
      </c>
      <c r="BY40" s="69">
        <f>Model!BY84</f>
        <v>-73156</v>
      </c>
      <c r="BZ40" s="69">
        <f>Model!BZ84</f>
        <v>0</v>
      </c>
      <c r="CA40" s="69">
        <f>Model!CA84</f>
        <v>0</v>
      </c>
      <c r="CB40" s="69">
        <f>Model!CB84</f>
        <v>-73155</v>
      </c>
      <c r="CC40" s="69">
        <f>Model!CC84</f>
        <v>0</v>
      </c>
      <c r="CD40" s="69">
        <f>Model!CD84</f>
        <v>0</v>
      </c>
      <c r="CE40" s="69">
        <f>Model!CE84</f>
        <v>-73155</v>
      </c>
      <c r="CF40" s="69">
        <f>Model!CF84</f>
        <v>0</v>
      </c>
      <c r="CG40" s="69">
        <f>Model!CG84</f>
        <v>0</v>
      </c>
      <c r="CH40" s="69">
        <f>Model!CH84</f>
        <v>-73155</v>
      </c>
    </row>
    <row r="41" spans="1:86" ht="15" customHeight="1" x14ac:dyDescent="0.25">
      <c r="A41" s="28" t="s">
        <v>212</v>
      </c>
      <c r="B41" s="28"/>
      <c r="C41" s="66">
        <f t="shared" ref="C41:AH41" si="36">C39+C40</f>
        <v>0</v>
      </c>
      <c r="D41" s="66">
        <f t="shared" si="36"/>
        <v>0</v>
      </c>
      <c r="E41" s="66">
        <f t="shared" si="36"/>
        <v>0</v>
      </c>
      <c r="F41" s="66">
        <f t="shared" si="36"/>
        <v>0</v>
      </c>
      <c r="G41" s="66">
        <f t="shared" si="36"/>
        <v>0</v>
      </c>
      <c r="H41" s="66">
        <f t="shared" si="36"/>
        <v>0</v>
      </c>
      <c r="I41" s="66">
        <f t="shared" si="36"/>
        <v>0</v>
      </c>
      <c r="J41" s="66">
        <f t="shared" si="36"/>
        <v>0</v>
      </c>
      <c r="K41" s="66">
        <f t="shared" si="36"/>
        <v>0</v>
      </c>
      <c r="L41" s="66">
        <f t="shared" si="36"/>
        <v>0</v>
      </c>
      <c r="M41" s="66">
        <f t="shared" si="36"/>
        <v>0</v>
      </c>
      <c r="N41" s="66">
        <f t="shared" si="36"/>
        <v>0</v>
      </c>
      <c r="O41" s="66">
        <f t="shared" si="36"/>
        <v>0</v>
      </c>
      <c r="P41" s="66">
        <f t="shared" si="36"/>
        <v>0</v>
      </c>
      <c r="Q41" s="66">
        <f t="shared" si="36"/>
        <v>0</v>
      </c>
      <c r="R41" s="66">
        <f t="shared" si="36"/>
        <v>0</v>
      </c>
      <c r="S41" s="66">
        <f t="shared" si="36"/>
        <v>0</v>
      </c>
      <c r="T41" s="66">
        <f t="shared" si="36"/>
        <v>0</v>
      </c>
      <c r="U41" s="66">
        <f t="shared" si="36"/>
        <v>0</v>
      </c>
      <c r="V41" s="66">
        <f t="shared" si="36"/>
        <v>0</v>
      </c>
      <c r="W41" s="66">
        <f t="shared" si="36"/>
        <v>0</v>
      </c>
      <c r="X41" s="66">
        <f t="shared" si="36"/>
        <v>0</v>
      </c>
      <c r="Y41" s="66">
        <f t="shared" si="36"/>
        <v>0</v>
      </c>
      <c r="Z41" s="66">
        <f t="shared" si="36"/>
        <v>0</v>
      </c>
      <c r="AA41" s="66">
        <f t="shared" si="36"/>
        <v>0</v>
      </c>
      <c r="AB41" s="66">
        <f t="shared" si="36"/>
        <v>0</v>
      </c>
      <c r="AC41" s="66">
        <f t="shared" si="36"/>
        <v>0</v>
      </c>
      <c r="AD41" s="66">
        <f t="shared" si="36"/>
        <v>0</v>
      </c>
      <c r="AE41" s="66">
        <f t="shared" si="36"/>
        <v>0</v>
      </c>
      <c r="AF41" s="66">
        <f t="shared" si="36"/>
        <v>0</v>
      </c>
      <c r="AG41" s="66">
        <f t="shared" si="36"/>
        <v>0</v>
      </c>
      <c r="AH41" s="66">
        <f t="shared" si="36"/>
        <v>0</v>
      </c>
      <c r="AI41" s="66">
        <f t="shared" ref="AI41:BN41" si="37">AI39+AI40</f>
        <v>0</v>
      </c>
      <c r="AJ41" s="66">
        <f t="shared" si="37"/>
        <v>0</v>
      </c>
      <c r="AK41" s="66">
        <f t="shared" si="37"/>
        <v>0</v>
      </c>
      <c r="AL41" s="66">
        <f t="shared" si="37"/>
        <v>0</v>
      </c>
      <c r="AM41" s="66">
        <f t="shared" si="37"/>
        <v>0</v>
      </c>
      <c r="AN41" s="66">
        <f t="shared" si="37"/>
        <v>0</v>
      </c>
      <c r="AO41" s="66">
        <f t="shared" si="37"/>
        <v>0</v>
      </c>
      <c r="AP41" s="66">
        <f t="shared" si="37"/>
        <v>0</v>
      </c>
      <c r="AQ41" s="66">
        <f t="shared" si="37"/>
        <v>0</v>
      </c>
      <c r="AR41" s="66">
        <f t="shared" si="37"/>
        <v>0</v>
      </c>
      <c r="AS41" s="66">
        <f t="shared" si="37"/>
        <v>0</v>
      </c>
      <c r="AT41" s="66">
        <f t="shared" si="37"/>
        <v>0</v>
      </c>
      <c r="AU41" s="66">
        <f t="shared" si="37"/>
        <v>0</v>
      </c>
      <c r="AV41" s="66">
        <f t="shared" si="37"/>
        <v>0</v>
      </c>
      <c r="AW41" s="66">
        <f t="shared" si="37"/>
        <v>0</v>
      </c>
      <c r="AX41" s="66">
        <f t="shared" si="37"/>
        <v>0</v>
      </c>
      <c r="AY41" s="66">
        <f t="shared" si="37"/>
        <v>0</v>
      </c>
      <c r="AZ41" s="66">
        <f t="shared" si="37"/>
        <v>0</v>
      </c>
      <c r="BA41" s="66">
        <f t="shared" si="37"/>
        <v>0</v>
      </c>
      <c r="BB41" s="66">
        <f t="shared" si="37"/>
        <v>0</v>
      </c>
      <c r="BC41" s="66">
        <f t="shared" si="37"/>
        <v>0</v>
      </c>
      <c r="BD41" s="66">
        <f t="shared" si="37"/>
        <v>0</v>
      </c>
      <c r="BE41" s="66">
        <f t="shared" si="37"/>
        <v>0</v>
      </c>
      <c r="BF41" s="66">
        <f t="shared" si="37"/>
        <v>0</v>
      </c>
      <c r="BG41" s="66">
        <f t="shared" si="37"/>
        <v>0</v>
      </c>
      <c r="BH41" s="66">
        <f t="shared" si="37"/>
        <v>0</v>
      </c>
      <c r="BI41" s="66">
        <f t="shared" si="37"/>
        <v>0</v>
      </c>
      <c r="BJ41" s="66">
        <f t="shared" si="37"/>
        <v>0</v>
      </c>
      <c r="BK41" s="66">
        <f t="shared" si="37"/>
        <v>0</v>
      </c>
      <c r="BL41" s="66">
        <f t="shared" si="37"/>
        <v>0</v>
      </c>
      <c r="BM41" s="66">
        <f t="shared" si="37"/>
        <v>0</v>
      </c>
      <c r="BN41" s="66">
        <f t="shared" si="37"/>
        <v>0</v>
      </c>
      <c r="BO41" s="66">
        <f t="shared" ref="BO41:CT41" si="38">BO39+BO40</f>
        <v>0</v>
      </c>
      <c r="BP41" s="66">
        <f t="shared" si="38"/>
        <v>0</v>
      </c>
      <c r="BQ41" s="66">
        <f t="shared" si="38"/>
        <v>0</v>
      </c>
      <c r="BR41" s="66">
        <f t="shared" si="38"/>
        <v>0</v>
      </c>
      <c r="BS41" s="66">
        <f t="shared" si="38"/>
        <v>0</v>
      </c>
      <c r="BT41" s="66">
        <f t="shared" si="38"/>
        <v>0</v>
      </c>
      <c r="BU41" s="66">
        <f t="shared" si="38"/>
        <v>0</v>
      </c>
      <c r="BV41" s="66">
        <f t="shared" si="38"/>
        <v>0</v>
      </c>
      <c r="BW41" s="66">
        <f t="shared" si="38"/>
        <v>0</v>
      </c>
      <c r="BX41" s="66">
        <f t="shared" si="38"/>
        <v>0</v>
      </c>
      <c r="BY41" s="66">
        <f t="shared" si="38"/>
        <v>-73156</v>
      </c>
      <c r="BZ41" s="66">
        <f t="shared" si="38"/>
        <v>0</v>
      </c>
      <c r="CA41" s="66">
        <f t="shared" si="38"/>
        <v>0</v>
      </c>
      <c r="CB41" s="66">
        <f t="shared" si="38"/>
        <v>-73155</v>
      </c>
      <c r="CC41" s="66">
        <f t="shared" si="38"/>
        <v>0</v>
      </c>
      <c r="CD41" s="66">
        <f t="shared" si="38"/>
        <v>0</v>
      </c>
      <c r="CE41" s="66">
        <f t="shared" si="38"/>
        <v>-73155</v>
      </c>
      <c r="CF41" s="66">
        <f t="shared" si="38"/>
        <v>0</v>
      </c>
      <c r="CG41" s="66">
        <f t="shared" si="38"/>
        <v>0</v>
      </c>
      <c r="CH41" s="66">
        <f t="shared" si="38"/>
        <v>-73155</v>
      </c>
    </row>
    <row r="42" spans="1:86" ht="15" customHeight="1" x14ac:dyDescent="0.25">
      <c r="A42" s="59" t="s">
        <v>213</v>
      </c>
      <c r="B42" s="1"/>
      <c r="C42" s="67">
        <f>C41</f>
        <v>0</v>
      </c>
      <c r="D42" s="67">
        <f t="shared" ref="D42:AI42" si="39">C42+D41</f>
        <v>0</v>
      </c>
      <c r="E42" s="67">
        <f t="shared" si="39"/>
        <v>0</v>
      </c>
      <c r="F42" s="67">
        <f t="shared" si="39"/>
        <v>0</v>
      </c>
      <c r="G42" s="67">
        <f t="shared" si="39"/>
        <v>0</v>
      </c>
      <c r="H42" s="67">
        <f t="shared" si="39"/>
        <v>0</v>
      </c>
      <c r="I42" s="67">
        <f t="shared" si="39"/>
        <v>0</v>
      </c>
      <c r="J42" s="67">
        <f t="shared" si="39"/>
        <v>0</v>
      </c>
      <c r="K42" s="67">
        <f t="shared" si="39"/>
        <v>0</v>
      </c>
      <c r="L42" s="67">
        <f t="shared" si="39"/>
        <v>0</v>
      </c>
      <c r="M42" s="67">
        <f t="shared" si="39"/>
        <v>0</v>
      </c>
      <c r="N42" s="67">
        <f t="shared" si="39"/>
        <v>0</v>
      </c>
      <c r="O42" s="67">
        <f t="shared" si="39"/>
        <v>0</v>
      </c>
      <c r="P42" s="67">
        <f t="shared" si="39"/>
        <v>0</v>
      </c>
      <c r="Q42" s="67">
        <f t="shared" si="39"/>
        <v>0</v>
      </c>
      <c r="R42" s="67">
        <f t="shared" si="39"/>
        <v>0</v>
      </c>
      <c r="S42" s="67">
        <f t="shared" si="39"/>
        <v>0</v>
      </c>
      <c r="T42" s="67">
        <f t="shared" si="39"/>
        <v>0</v>
      </c>
      <c r="U42" s="67">
        <f t="shared" si="39"/>
        <v>0</v>
      </c>
      <c r="V42" s="67">
        <f t="shared" si="39"/>
        <v>0</v>
      </c>
      <c r="W42" s="67">
        <f t="shared" si="39"/>
        <v>0</v>
      </c>
      <c r="X42" s="67">
        <f t="shared" si="39"/>
        <v>0</v>
      </c>
      <c r="Y42" s="67">
        <f t="shared" si="39"/>
        <v>0</v>
      </c>
      <c r="Z42" s="67">
        <f t="shared" si="39"/>
        <v>0</v>
      </c>
      <c r="AA42" s="67">
        <f t="shared" si="39"/>
        <v>0</v>
      </c>
      <c r="AB42" s="67">
        <f t="shared" si="39"/>
        <v>0</v>
      </c>
      <c r="AC42" s="67">
        <f t="shared" si="39"/>
        <v>0</v>
      </c>
      <c r="AD42" s="67">
        <f t="shared" si="39"/>
        <v>0</v>
      </c>
      <c r="AE42" s="67">
        <f t="shared" si="39"/>
        <v>0</v>
      </c>
      <c r="AF42" s="67">
        <f t="shared" si="39"/>
        <v>0</v>
      </c>
      <c r="AG42" s="67">
        <f t="shared" si="39"/>
        <v>0</v>
      </c>
      <c r="AH42" s="67">
        <f t="shared" si="39"/>
        <v>0</v>
      </c>
      <c r="AI42" s="67">
        <f t="shared" si="39"/>
        <v>0</v>
      </c>
      <c r="AJ42" s="67">
        <f t="shared" ref="AJ42:BO42" si="40">AI42+AJ41</f>
        <v>0</v>
      </c>
      <c r="AK42" s="67">
        <f t="shared" si="40"/>
        <v>0</v>
      </c>
      <c r="AL42" s="67">
        <f t="shared" si="40"/>
        <v>0</v>
      </c>
      <c r="AM42" s="67">
        <f t="shared" si="40"/>
        <v>0</v>
      </c>
      <c r="AN42" s="67">
        <f t="shared" si="40"/>
        <v>0</v>
      </c>
      <c r="AO42" s="67">
        <f t="shared" si="40"/>
        <v>0</v>
      </c>
      <c r="AP42" s="67">
        <f t="shared" si="40"/>
        <v>0</v>
      </c>
      <c r="AQ42" s="67">
        <f t="shared" si="40"/>
        <v>0</v>
      </c>
      <c r="AR42" s="67">
        <f t="shared" si="40"/>
        <v>0</v>
      </c>
      <c r="AS42" s="67">
        <f t="shared" si="40"/>
        <v>0</v>
      </c>
      <c r="AT42" s="67">
        <f t="shared" si="40"/>
        <v>0</v>
      </c>
      <c r="AU42" s="67">
        <f t="shared" si="40"/>
        <v>0</v>
      </c>
      <c r="AV42" s="67">
        <f t="shared" si="40"/>
        <v>0</v>
      </c>
      <c r="AW42" s="67">
        <f t="shared" si="40"/>
        <v>0</v>
      </c>
      <c r="AX42" s="67">
        <f t="shared" si="40"/>
        <v>0</v>
      </c>
      <c r="AY42" s="67">
        <f t="shared" si="40"/>
        <v>0</v>
      </c>
      <c r="AZ42" s="67">
        <f t="shared" si="40"/>
        <v>0</v>
      </c>
      <c r="BA42" s="67">
        <f t="shared" si="40"/>
        <v>0</v>
      </c>
      <c r="BB42" s="67">
        <f t="shared" si="40"/>
        <v>0</v>
      </c>
      <c r="BC42" s="67">
        <f t="shared" si="40"/>
        <v>0</v>
      </c>
      <c r="BD42" s="67">
        <f t="shared" si="40"/>
        <v>0</v>
      </c>
      <c r="BE42" s="67">
        <f t="shared" si="40"/>
        <v>0</v>
      </c>
      <c r="BF42" s="67">
        <f t="shared" si="40"/>
        <v>0</v>
      </c>
      <c r="BG42" s="67">
        <f t="shared" si="40"/>
        <v>0</v>
      </c>
      <c r="BH42" s="67">
        <f t="shared" si="40"/>
        <v>0</v>
      </c>
      <c r="BI42" s="67">
        <f t="shared" si="40"/>
        <v>0</v>
      </c>
      <c r="BJ42" s="67">
        <f t="shared" si="40"/>
        <v>0</v>
      </c>
      <c r="BK42" s="67">
        <f t="shared" si="40"/>
        <v>0</v>
      </c>
      <c r="BL42" s="67">
        <f t="shared" si="40"/>
        <v>0</v>
      </c>
      <c r="BM42" s="67">
        <f t="shared" si="40"/>
        <v>0</v>
      </c>
      <c r="BN42" s="67">
        <f t="shared" si="40"/>
        <v>0</v>
      </c>
      <c r="BO42" s="67">
        <f t="shared" si="40"/>
        <v>0</v>
      </c>
      <c r="BP42" s="67">
        <f t="shared" ref="BP42:CU42" si="41">BO42+BP41</f>
        <v>0</v>
      </c>
      <c r="BQ42" s="67">
        <f t="shared" si="41"/>
        <v>0</v>
      </c>
      <c r="BR42" s="67">
        <f t="shared" si="41"/>
        <v>0</v>
      </c>
      <c r="BS42" s="67">
        <f t="shared" si="41"/>
        <v>0</v>
      </c>
      <c r="BT42" s="67">
        <f t="shared" si="41"/>
        <v>0</v>
      </c>
      <c r="BU42" s="67">
        <f t="shared" si="41"/>
        <v>0</v>
      </c>
      <c r="BV42" s="67">
        <f t="shared" si="41"/>
        <v>0</v>
      </c>
      <c r="BW42" s="67">
        <f t="shared" si="41"/>
        <v>0</v>
      </c>
      <c r="BX42" s="67">
        <f t="shared" si="41"/>
        <v>0</v>
      </c>
      <c r="BY42" s="67">
        <f t="shared" si="41"/>
        <v>-73156</v>
      </c>
      <c r="BZ42" s="67">
        <f t="shared" si="41"/>
        <v>-73156</v>
      </c>
      <c r="CA42" s="67">
        <f t="shared" si="41"/>
        <v>-73156</v>
      </c>
      <c r="CB42" s="67">
        <f t="shared" si="41"/>
        <v>-146311</v>
      </c>
      <c r="CC42" s="67">
        <f t="shared" si="41"/>
        <v>-146311</v>
      </c>
      <c r="CD42" s="67">
        <f t="shared" si="41"/>
        <v>-146311</v>
      </c>
      <c r="CE42" s="67">
        <f t="shared" si="41"/>
        <v>-219466</v>
      </c>
      <c r="CF42" s="67">
        <f t="shared" si="41"/>
        <v>-219466</v>
      </c>
      <c r="CG42" s="67">
        <f t="shared" si="41"/>
        <v>-219466</v>
      </c>
      <c r="CH42" s="67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216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217</v>
      </c>
      <c r="B45" s="28"/>
      <c r="C45" s="66">
        <f t="shared" ref="C45:AH45" si="42">C5+C10+C16+C22+C28+C35+C41</f>
        <v>33281.25</v>
      </c>
      <c r="D45" s="66">
        <f t="shared" si="42"/>
        <v>33281.25</v>
      </c>
      <c r="E45" s="66">
        <f t="shared" si="42"/>
        <v>33281.25</v>
      </c>
      <c r="F45" s="66">
        <f t="shared" si="42"/>
        <v>33281.25</v>
      </c>
      <c r="G45" s="66">
        <f t="shared" si="42"/>
        <v>144121.83000000002</v>
      </c>
      <c r="H45" s="66">
        <f t="shared" si="42"/>
        <v>103258.46</v>
      </c>
      <c r="I45" s="66">
        <f t="shared" si="42"/>
        <v>56965.460000000006</v>
      </c>
      <c r="J45" s="66">
        <f t="shared" si="42"/>
        <v>47590.460000000006</v>
      </c>
      <c r="K45" s="66">
        <f t="shared" si="42"/>
        <v>47590.460000000006</v>
      </c>
      <c r="L45" s="66">
        <f t="shared" si="42"/>
        <v>47590.460000000006</v>
      </c>
      <c r="M45" s="66">
        <f t="shared" si="42"/>
        <v>47590.460000000006</v>
      </c>
      <c r="N45" s="66">
        <f t="shared" si="42"/>
        <v>47590.460000000006</v>
      </c>
      <c r="O45" s="66">
        <f t="shared" si="42"/>
        <v>47590.460000000006</v>
      </c>
      <c r="P45" s="66">
        <f t="shared" si="42"/>
        <v>47590.460000000006</v>
      </c>
      <c r="Q45" s="66">
        <f t="shared" si="42"/>
        <v>47590.460000000006</v>
      </c>
      <c r="R45" s="66">
        <f t="shared" si="42"/>
        <v>23684.21</v>
      </c>
      <c r="S45" s="66">
        <f t="shared" si="42"/>
        <v>23684.21</v>
      </c>
      <c r="T45" s="66">
        <f t="shared" si="42"/>
        <v>23684.21</v>
      </c>
      <c r="U45" s="66">
        <f t="shared" si="42"/>
        <v>23684.21</v>
      </c>
      <c r="V45" s="66">
        <f t="shared" si="42"/>
        <v>23684.21</v>
      </c>
      <c r="W45" s="66">
        <f t="shared" si="42"/>
        <v>81059.210000000006</v>
      </c>
      <c r="X45" s="66">
        <f t="shared" si="42"/>
        <v>23684.21</v>
      </c>
      <c r="Y45" s="66">
        <f t="shared" si="42"/>
        <v>23684.21</v>
      </c>
      <c r="Z45" s="66">
        <f t="shared" si="42"/>
        <v>68427.63</v>
      </c>
      <c r="AA45" s="66">
        <f t="shared" si="42"/>
        <v>0</v>
      </c>
      <c r="AB45" s="66">
        <f t="shared" si="42"/>
        <v>0</v>
      </c>
      <c r="AC45" s="66">
        <f t="shared" si="42"/>
        <v>57375</v>
      </c>
      <c r="AD45" s="66">
        <f t="shared" si="42"/>
        <v>0</v>
      </c>
      <c r="AE45" s="66">
        <f t="shared" si="42"/>
        <v>0</v>
      </c>
      <c r="AF45" s="66">
        <f t="shared" si="42"/>
        <v>0</v>
      </c>
      <c r="AG45" s="66">
        <f t="shared" si="42"/>
        <v>0</v>
      </c>
      <c r="AH45" s="66">
        <f t="shared" si="42"/>
        <v>0</v>
      </c>
      <c r="AI45" s="66">
        <f t="shared" ref="AI45:BN45" si="43">AI5+AI10+AI16+AI22+AI28+AI35+AI41</f>
        <v>0</v>
      </c>
      <c r="AJ45" s="66">
        <f t="shared" si="43"/>
        <v>0</v>
      </c>
      <c r="AK45" s="66">
        <f t="shared" si="43"/>
        <v>0</v>
      </c>
      <c r="AL45" s="66">
        <f t="shared" si="43"/>
        <v>0</v>
      </c>
      <c r="AM45" s="66">
        <f t="shared" si="43"/>
        <v>0</v>
      </c>
      <c r="AN45" s="66">
        <f t="shared" si="43"/>
        <v>0</v>
      </c>
      <c r="AO45" s="66">
        <f t="shared" si="43"/>
        <v>0</v>
      </c>
      <c r="AP45" s="66">
        <f t="shared" si="43"/>
        <v>0</v>
      </c>
      <c r="AQ45" s="66">
        <f t="shared" si="43"/>
        <v>0</v>
      </c>
      <c r="AR45" s="66">
        <f t="shared" si="43"/>
        <v>0</v>
      </c>
      <c r="AS45" s="66">
        <f t="shared" si="43"/>
        <v>0</v>
      </c>
      <c r="AT45" s="66">
        <f t="shared" si="43"/>
        <v>0</v>
      </c>
      <c r="AU45" s="66">
        <f t="shared" si="43"/>
        <v>0</v>
      </c>
      <c r="AV45" s="66">
        <f t="shared" si="43"/>
        <v>0</v>
      </c>
      <c r="AW45" s="66">
        <f t="shared" si="43"/>
        <v>0</v>
      </c>
      <c r="AX45" s="66">
        <f t="shared" si="43"/>
        <v>0</v>
      </c>
      <c r="AY45" s="66">
        <f t="shared" si="43"/>
        <v>0</v>
      </c>
      <c r="AZ45" s="66">
        <f t="shared" si="43"/>
        <v>0</v>
      </c>
      <c r="BA45" s="66">
        <f t="shared" si="43"/>
        <v>0</v>
      </c>
      <c r="BB45" s="66">
        <f t="shared" si="43"/>
        <v>0</v>
      </c>
      <c r="BC45" s="66">
        <f t="shared" si="43"/>
        <v>0</v>
      </c>
      <c r="BD45" s="66">
        <f t="shared" si="43"/>
        <v>0</v>
      </c>
      <c r="BE45" s="66">
        <f t="shared" si="43"/>
        <v>0</v>
      </c>
      <c r="BF45" s="66">
        <f t="shared" si="43"/>
        <v>0</v>
      </c>
      <c r="BG45" s="66">
        <f t="shared" si="43"/>
        <v>0</v>
      </c>
      <c r="BH45" s="66">
        <f t="shared" si="43"/>
        <v>0</v>
      </c>
      <c r="BI45" s="66">
        <f t="shared" si="43"/>
        <v>0</v>
      </c>
      <c r="BJ45" s="66">
        <f t="shared" si="43"/>
        <v>0</v>
      </c>
      <c r="BK45" s="66">
        <f t="shared" si="43"/>
        <v>0</v>
      </c>
      <c r="BL45" s="66">
        <f t="shared" si="43"/>
        <v>0</v>
      </c>
      <c r="BM45" s="66">
        <f t="shared" si="43"/>
        <v>0</v>
      </c>
      <c r="BN45" s="66">
        <f t="shared" si="43"/>
        <v>0</v>
      </c>
      <c r="BO45" s="66">
        <f t="shared" ref="BO45:CH45" si="44">BO5+BO10+BO16+BO22+BO28+BO35+BO41</f>
        <v>0</v>
      </c>
      <c r="BP45" s="66">
        <f t="shared" si="44"/>
        <v>51513.520000000019</v>
      </c>
      <c r="BQ45" s="66">
        <f t="shared" si="44"/>
        <v>0</v>
      </c>
      <c r="BR45" s="66">
        <f t="shared" si="44"/>
        <v>0</v>
      </c>
      <c r="BS45" s="66">
        <f t="shared" si="44"/>
        <v>67762</v>
      </c>
      <c r="BT45" s="66">
        <f t="shared" si="44"/>
        <v>0</v>
      </c>
      <c r="BU45" s="66">
        <f t="shared" si="44"/>
        <v>0</v>
      </c>
      <c r="BV45" s="66">
        <f t="shared" si="44"/>
        <v>67762</v>
      </c>
      <c r="BW45" s="66">
        <f t="shared" si="44"/>
        <v>0</v>
      </c>
      <c r="BX45" s="66">
        <f t="shared" si="44"/>
        <v>0</v>
      </c>
      <c r="BY45" s="66">
        <f t="shared" si="44"/>
        <v>-5394</v>
      </c>
      <c r="BZ45" s="66">
        <f t="shared" si="44"/>
        <v>0</v>
      </c>
      <c r="CA45" s="66">
        <f t="shared" si="44"/>
        <v>0</v>
      </c>
      <c r="CB45" s="66">
        <f t="shared" si="44"/>
        <v>3344</v>
      </c>
      <c r="CC45" s="66">
        <f t="shared" si="44"/>
        <v>0</v>
      </c>
      <c r="CD45" s="66">
        <f t="shared" si="44"/>
        <v>0</v>
      </c>
      <c r="CE45" s="66">
        <f t="shared" si="44"/>
        <v>3344</v>
      </c>
      <c r="CF45" s="66">
        <f t="shared" si="44"/>
        <v>0</v>
      </c>
      <c r="CG45" s="66">
        <f t="shared" si="44"/>
        <v>0</v>
      </c>
      <c r="CH45" s="66">
        <f t="shared" si="44"/>
        <v>9952.0266064792231</v>
      </c>
    </row>
    <row r="46" spans="1:86" ht="15" customHeight="1" x14ac:dyDescent="0.25">
      <c r="A46" s="70" t="s">
        <v>218</v>
      </c>
      <c r="B46" s="1"/>
      <c r="C46" s="67">
        <f>C45</f>
        <v>33281.25</v>
      </c>
      <c r="D46" s="67">
        <f t="shared" ref="D46:AI46" si="45">C46+D45</f>
        <v>66562.5</v>
      </c>
      <c r="E46" s="67">
        <f t="shared" si="45"/>
        <v>99843.75</v>
      </c>
      <c r="F46" s="67">
        <f t="shared" si="45"/>
        <v>133125</v>
      </c>
      <c r="G46" s="67">
        <f t="shared" si="45"/>
        <v>277246.83</v>
      </c>
      <c r="H46" s="67">
        <f t="shared" si="45"/>
        <v>380505.29000000004</v>
      </c>
      <c r="I46" s="67">
        <f t="shared" si="45"/>
        <v>437470.75000000006</v>
      </c>
      <c r="J46" s="67">
        <f t="shared" si="45"/>
        <v>485061.21000000008</v>
      </c>
      <c r="K46" s="67">
        <f t="shared" si="45"/>
        <v>532651.67000000004</v>
      </c>
      <c r="L46" s="67">
        <f t="shared" si="45"/>
        <v>580242.13</v>
      </c>
      <c r="M46" s="67">
        <f t="shared" si="45"/>
        <v>627832.59</v>
      </c>
      <c r="N46" s="67">
        <f t="shared" si="45"/>
        <v>675423.04999999993</v>
      </c>
      <c r="O46" s="67">
        <f t="shared" si="45"/>
        <v>723013.50999999989</v>
      </c>
      <c r="P46" s="67">
        <f t="shared" si="45"/>
        <v>770603.96999999986</v>
      </c>
      <c r="Q46" s="67">
        <f t="shared" si="45"/>
        <v>818194.42999999982</v>
      </c>
      <c r="R46" s="67">
        <f t="shared" si="45"/>
        <v>841878.63999999978</v>
      </c>
      <c r="S46" s="67">
        <f t="shared" si="45"/>
        <v>865562.84999999974</v>
      </c>
      <c r="T46" s="67">
        <f t="shared" si="45"/>
        <v>889247.05999999971</v>
      </c>
      <c r="U46" s="67">
        <f t="shared" si="45"/>
        <v>912931.26999999967</v>
      </c>
      <c r="V46" s="67">
        <f t="shared" si="45"/>
        <v>936615.47999999963</v>
      </c>
      <c r="W46" s="67">
        <f t="shared" si="45"/>
        <v>1017674.6899999996</v>
      </c>
      <c r="X46" s="67">
        <f t="shared" si="45"/>
        <v>1041358.8999999996</v>
      </c>
      <c r="Y46" s="67">
        <f t="shared" si="45"/>
        <v>1065043.1099999996</v>
      </c>
      <c r="Z46" s="67">
        <f t="shared" si="45"/>
        <v>1133470.7399999998</v>
      </c>
      <c r="AA46" s="67">
        <f t="shared" si="45"/>
        <v>1133470.7399999998</v>
      </c>
      <c r="AB46" s="67">
        <f t="shared" si="45"/>
        <v>1133470.7399999998</v>
      </c>
      <c r="AC46" s="67">
        <f t="shared" si="45"/>
        <v>1190845.7399999998</v>
      </c>
      <c r="AD46" s="67">
        <f t="shared" si="45"/>
        <v>1190845.7399999998</v>
      </c>
      <c r="AE46" s="67">
        <f t="shared" si="45"/>
        <v>1190845.7399999998</v>
      </c>
      <c r="AF46" s="67">
        <f t="shared" si="45"/>
        <v>1190845.7399999998</v>
      </c>
      <c r="AG46" s="67">
        <f t="shared" si="45"/>
        <v>1190845.7399999998</v>
      </c>
      <c r="AH46" s="67">
        <f t="shared" si="45"/>
        <v>1190845.7399999998</v>
      </c>
      <c r="AI46" s="67">
        <f t="shared" si="45"/>
        <v>1190845.7399999998</v>
      </c>
      <c r="AJ46" s="67">
        <f t="shared" ref="AJ46:BO46" si="46">AI46+AJ45</f>
        <v>1190845.7399999998</v>
      </c>
      <c r="AK46" s="67">
        <f t="shared" si="46"/>
        <v>1190845.7399999998</v>
      </c>
      <c r="AL46" s="67">
        <f t="shared" si="46"/>
        <v>1190845.7399999998</v>
      </c>
      <c r="AM46" s="67">
        <f t="shared" si="46"/>
        <v>1190845.7399999998</v>
      </c>
      <c r="AN46" s="67">
        <f t="shared" si="46"/>
        <v>1190845.7399999998</v>
      </c>
      <c r="AO46" s="67">
        <f t="shared" si="46"/>
        <v>1190845.7399999998</v>
      </c>
      <c r="AP46" s="67">
        <f t="shared" si="46"/>
        <v>1190845.7399999998</v>
      </c>
      <c r="AQ46" s="67">
        <f t="shared" si="46"/>
        <v>1190845.7399999998</v>
      </c>
      <c r="AR46" s="67">
        <f t="shared" si="46"/>
        <v>1190845.7399999998</v>
      </c>
      <c r="AS46" s="67">
        <f t="shared" si="46"/>
        <v>1190845.7399999998</v>
      </c>
      <c r="AT46" s="67">
        <f t="shared" si="46"/>
        <v>1190845.7399999998</v>
      </c>
      <c r="AU46" s="67">
        <f t="shared" si="46"/>
        <v>1190845.7399999998</v>
      </c>
      <c r="AV46" s="67">
        <f t="shared" si="46"/>
        <v>1190845.7399999998</v>
      </c>
      <c r="AW46" s="67">
        <f t="shared" si="46"/>
        <v>1190845.7399999998</v>
      </c>
      <c r="AX46" s="67">
        <f t="shared" si="46"/>
        <v>1190845.7399999998</v>
      </c>
      <c r="AY46" s="67">
        <f t="shared" si="46"/>
        <v>1190845.7399999998</v>
      </c>
      <c r="AZ46" s="67">
        <f t="shared" si="46"/>
        <v>1190845.7399999998</v>
      </c>
      <c r="BA46" s="67">
        <f t="shared" si="46"/>
        <v>1190845.7399999998</v>
      </c>
      <c r="BB46" s="67">
        <f t="shared" si="46"/>
        <v>1190845.7399999998</v>
      </c>
      <c r="BC46" s="67">
        <f t="shared" si="46"/>
        <v>1190845.7399999998</v>
      </c>
      <c r="BD46" s="67">
        <f t="shared" si="46"/>
        <v>1190845.7399999998</v>
      </c>
      <c r="BE46" s="67">
        <f t="shared" si="46"/>
        <v>1190845.7399999998</v>
      </c>
      <c r="BF46" s="67">
        <f t="shared" si="46"/>
        <v>1190845.7399999998</v>
      </c>
      <c r="BG46" s="67">
        <f t="shared" si="46"/>
        <v>1190845.7399999998</v>
      </c>
      <c r="BH46" s="67">
        <f t="shared" si="46"/>
        <v>1190845.7399999998</v>
      </c>
      <c r="BI46" s="67">
        <f t="shared" si="46"/>
        <v>1190845.7399999998</v>
      </c>
      <c r="BJ46" s="67">
        <f t="shared" si="46"/>
        <v>1190845.7399999998</v>
      </c>
      <c r="BK46" s="67">
        <f t="shared" si="46"/>
        <v>1190845.7399999998</v>
      </c>
      <c r="BL46" s="67">
        <f t="shared" si="46"/>
        <v>1190845.7399999998</v>
      </c>
      <c r="BM46" s="67">
        <f t="shared" si="46"/>
        <v>1190845.7399999998</v>
      </c>
      <c r="BN46" s="67">
        <f t="shared" si="46"/>
        <v>1190845.7399999998</v>
      </c>
      <c r="BO46" s="67">
        <f t="shared" si="46"/>
        <v>1190845.7399999998</v>
      </c>
      <c r="BP46" s="67">
        <f t="shared" ref="BP46:CU46" si="47">BO46+BP45</f>
        <v>1242359.2599999998</v>
      </c>
      <c r="BQ46" s="67">
        <f t="shared" si="47"/>
        <v>1242359.2599999998</v>
      </c>
      <c r="BR46" s="67">
        <f t="shared" si="47"/>
        <v>1242359.2599999998</v>
      </c>
      <c r="BS46" s="67">
        <f t="shared" si="47"/>
        <v>1310121.2599999998</v>
      </c>
      <c r="BT46" s="67">
        <f t="shared" si="47"/>
        <v>1310121.2599999998</v>
      </c>
      <c r="BU46" s="67">
        <f t="shared" si="47"/>
        <v>1310121.2599999998</v>
      </c>
      <c r="BV46" s="67">
        <f t="shared" si="47"/>
        <v>1377883.2599999998</v>
      </c>
      <c r="BW46" s="67">
        <f t="shared" si="47"/>
        <v>1377883.2599999998</v>
      </c>
      <c r="BX46" s="67">
        <f t="shared" si="47"/>
        <v>1377883.2599999998</v>
      </c>
      <c r="BY46" s="67">
        <f t="shared" si="47"/>
        <v>1372489.2599999998</v>
      </c>
      <c r="BZ46" s="67">
        <f t="shared" si="47"/>
        <v>1372489.2599999998</v>
      </c>
      <c r="CA46" s="67">
        <f t="shared" si="47"/>
        <v>1372489.2599999998</v>
      </c>
      <c r="CB46" s="67">
        <f t="shared" si="47"/>
        <v>1375833.2599999998</v>
      </c>
      <c r="CC46" s="67">
        <f t="shared" si="47"/>
        <v>1375833.2599999998</v>
      </c>
      <c r="CD46" s="67">
        <f t="shared" si="47"/>
        <v>1375833.2599999998</v>
      </c>
      <c r="CE46" s="67">
        <f t="shared" si="47"/>
        <v>1379177.2599999998</v>
      </c>
      <c r="CF46" s="67">
        <f t="shared" si="47"/>
        <v>1379177.2599999998</v>
      </c>
      <c r="CG46" s="67">
        <f t="shared" si="47"/>
        <v>1379177.2599999998</v>
      </c>
      <c r="CH46" s="67">
        <f t="shared" si="47"/>
        <v>1389129.286606479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59" t="s">
        <v>219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220</v>
      </c>
      <c r="B49" s="71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221</v>
      </c>
      <c r="B50" s="71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222</v>
      </c>
      <c r="B51" s="71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223</v>
      </c>
      <c r="B52" s="71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224</v>
      </c>
      <c r="B53" s="71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225</v>
      </c>
      <c r="B54" s="71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226</v>
      </c>
      <c r="B55" s="72" t="s">
        <v>227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59" t="s">
        <v>228</v>
      </c>
      <c r="B56" s="73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17" t="s">
        <v>229</v>
      </c>
      <c r="B1" s="218"/>
      <c r="C1" s="218"/>
      <c r="D1" s="218"/>
      <c r="E1" s="218"/>
      <c r="F1" s="218"/>
      <c r="G1" s="218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230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231</v>
      </c>
      <c r="B4" s="6" t="s">
        <v>232</v>
      </c>
      <c r="C4" s="6" t="s">
        <v>233</v>
      </c>
      <c r="D4" s="6" t="s">
        <v>234</v>
      </c>
      <c r="E4" s="6" t="s">
        <v>235</v>
      </c>
      <c r="F4" s="6" t="s">
        <v>236</v>
      </c>
      <c r="G4" s="6" t="s">
        <v>237</v>
      </c>
      <c r="H4" s="1"/>
      <c r="I4" s="1"/>
    </row>
    <row r="5" spans="1:9" ht="15" customHeight="1" x14ac:dyDescent="0.25">
      <c r="A5" s="16" t="s">
        <v>238</v>
      </c>
      <c r="B5" s="74">
        <f>Assumptions!B4</f>
        <v>0.06</v>
      </c>
      <c r="C5" s="75">
        <v>0.06</v>
      </c>
      <c r="D5" s="76">
        <v>0.04</v>
      </c>
      <c r="E5" s="76">
        <v>0.08</v>
      </c>
      <c r="F5" s="16" t="s">
        <v>239</v>
      </c>
      <c r="G5" s="60" t="s">
        <v>240</v>
      </c>
      <c r="H5" s="1"/>
      <c r="I5" s="1"/>
    </row>
    <row r="6" spans="1:9" ht="15" customHeight="1" x14ac:dyDescent="0.25">
      <c r="A6" s="16" t="s">
        <v>241</v>
      </c>
      <c r="B6" s="74">
        <f>Assumptions!B5</f>
        <v>0.06</v>
      </c>
      <c r="C6" s="75">
        <v>0.06</v>
      </c>
      <c r="D6" s="76">
        <v>0.04</v>
      </c>
      <c r="E6" s="76">
        <v>0.08</v>
      </c>
      <c r="F6" s="16" t="s">
        <v>239</v>
      </c>
      <c r="G6" s="60" t="s">
        <v>240</v>
      </c>
      <c r="H6" s="1"/>
      <c r="I6" s="1"/>
    </row>
    <row r="7" spans="1:9" ht="15" customHeight="1" x14ac:dyDescent="0.25">
      <c r="A7" s="16" t="s">
        <v>242</v>
      </c>
      <c r="B7" s="74">
        <f>Assumptions!B6</f>
        <v>0.02</v>
      </c>
      <c r="C7" s="75">
        <v>0.02</v>
      </c>
      <c r="D7" s="76">
        <v>0.01</v>
      </c>
      <c r="E7" s="76">
        <v>0.03</v>
      </c>
      <c r="F7" s="16" t="s">
        <v>239</v>
      </c>
      <c r="G7" s="60" t="s">
        <v>243</v>
      </c>
      <c r="H7" s="1"/>
      <c r="I7" s="1"/>
    </row>
    <row r="8" spans="1:9" ht="15" customHeight="1" x14ac:dyDescent="0.25">
      <c r="A8" s="16" t="s">
        <v>244</v>
      </c>
      <c r="B8" s="74">
        <f>Assumptions!B8</f>
        <v>9.1999999999999998E-2</v>
      </c>
      <c r="C8" s="75">
        <v>9.1999999999999998E-2</v>
      </c>
      <c r="D8" s="76">
        <v>7.0000000000000007E-2</v>
      </c>
      <c r="E8" s="76">
        <v>0.12</v>
      </c>
      <c r="F8" s="16" t="s">
        <v>239</v>
      </c>
      <c r="G8" s="60" t="s">
        <v>245</v>
      </c>
      <c r="H8" s="1"/>
      <c r="I8" s="1"/>
    </row>
    <row r="9" spans="1:9" ht="15" customHeight="1" x14ac:dyDescent="0.25">
      <c r="A9" s="16" t="s">
        <v>246</v>
      </c>
      <c r="B9" s="74">
        <f>Assumptions!B26</f>
        <v>0.02</v>
      </c>
      <c r="C9" s="75">
        <v>0.02</v>
      </c>
      <c r="D9" s="76">
        <v>0</v>
      </c>
      <c r="E9" s="76">
        <v>0.04</v>
      </c>
      <c r="F9" s="16" t="s">
        <v>239</v>
      </c>
      <c r="G9" s="60" t="s">
        <v>247</v>
      </c>
      <c r="H9" s="1"/>
      <c r="I9" s="1"/>
    </row>
    <row r="10" spans="1:9" ht="15" customHeight="1" x14ac:dyDescent="0.25">
      <c r="A10" s="16" t="s">
        <v>248</v>
      </c>
      <c r="B10" s="74">
        <f>Assumptions!B15</f>
        <v>1.4999999999999999E-2</v>
      </c>
      <c r="C10" s="75">
        <v>1.4999999999999999E-2</v>
      </c>
      <c r="D10" s="76">
        <v>0.01</v>
      </c>
      <c r="E10" s="76">
        <v>0.02</v>
      </c>
      <c r="F10" s="16" t="s">
        <v>239</v>
      </c>
      <c r="G10" s="60" t="s">
        <v>249</v>
      </c>
      <c r="H10" s="1"/>
      <c r="I10" s="1"/>
    </row>
    <row r="11" spans="1:9" ht="15" customHeight="1" x14ac:dyDescent="0.25">
      <c r="A11" s="16" t="s">
        <v>250</v>
      </c>
      <c r="B11" s="74">
        <f>Assumptions!B16</f>
        <v>7.4000000000000003E-3</v>
      </c>
      <c r="C11" s="75">
        <v>7.4000000000000003E-3</v>
      </c>
      <c r="D11" s="76">
        <v>5.0000000000000001E-3</v>
      </c>
      <c r="E11" s="76">
        <v>1.4999999999999999E-2</v>
      </c>
      <c r="F11" s="16" t="s">
        <v>239</v>
      </c>
      <c r="G11" s="60" t="s">
        <v>251</v>
      </c>
      <c r="H11" s="1"/>
      <c r="I11" s="1"/>
    </row>
    <row r="12" spans="1:9" ht="15" customHeight="1" x14ac:dyDescent="0.25">
      <c r="A12" s="16" t="s">
        <v>252</v>
      </c>
      <c r="B12" s="74">
        <f>Assumptions!B17</f>
        <v>3.2500000000000001E-2</v>
      </c>
      <c r="C12" s="75">
        <v>3.2500000000000001E-2</v>
      </c>
      <c r="D12" s="76">
        <v>0.02</v>
      </c>
      <c r="E12" s="76">
        <v>0.05</v>
      </c>
      <c r="F12" s="16" t="s">
        <v>239</v>
      </c>
      <c r="G12" s="60" t="s">
        <v>253</v>
      </c>
      <c r="H12" s="1"/>
      <c r="I12" s="1"/>
    </row>
    <row r="13" spans="1:9" ht="15" customHeight="1" x14ac:dyDescent="0.25">
      <c r="A13" s="16" t="s">
        <v>254</v>
      </c>
      <c r="B13" s="74">
        <f>Assumptions!B34</f>
        <v>0.15</v>
      </c>
      <c r="C13" s="75">
        <v>0.15</v>
      </c>
      <c r="D13" s="76">
        <v>0.1</v>
      </c>
      <c r="E13" s="76">
        <v>0.2</v>
      </c>
      <c r="F13" s="16" t="s">
        <v>239</v>
      </c>
      <c r="G13" s="60" t="s">
        <v>255</v>
      </c>
      <c r="H13" s="1"/>
      <c r="I13" s="1"/>
    </row>
    <row r="14" spans="1:9" ht="15" customHeight="1" x14ac:dyDescent="0.25">
      <c r="A14" s="16" t="s">
        <v>256</v>
      </c>
      <c r="B14" s="65">
        <f>Assumptions!B36</f>
        <v>130000</v>
      </c>
      <c r="C14" s="77">
        <v>130000</v>
      </c>
      <c r="D14" s="78">
        <v>100000</v>
      </c>
      <c r="E14" s="78">
        <v>175000</v>
      </c>
      <c r="F14" s="16" t="s">
        <v>257</v>
      </c>
      <c r="G14" s="60" t="s">
        <v>258</v>
      </c>
      <c r="H14" s="1"/>
      <c r="I14" s="1"/>
    </row>
    <row r="15" spans="1:9" ht="15" customHeight="1" x14ac:dyDescent="0.25">
      <c r="A15" s="16" t="s">
        <v>259</v>
      </c>
      <c r="B15" s="74">
        <f>Assumptions!B58</f>
        <v>0.15</v>
      </c>
      <c r="C15" s="75">
        <v>0.15</v>
      </c>
      <c r="D15" s="76">
        <v>0.1</v>
      </c>
      <c r="E15" s="76">
        <v>0.2</v>
      </c>
      <c r="F15" s="16" t="s">
        <v>239</v>
      </c>
      <c r="G15" s="60" t="s">
        <v>260</v>
      </c>
      <c r="H15" s="1"/>
      <c r="I15" s="1"/>
    </row>
    <row r="16" spans="1:9" ht="15" customHeight="1" x14ac:dyDescent="0.25">
      <c r="A16" s="16" t="s">
        <v>261</v>
      </c>
      <c r="B16" s="74">
        <f>Assumptions!B47</f>
        <v>0.01</v>
      </c>
      <c r="C16" s="75">
        <v>0.01</v>
      </c>
      <c r="D16" s="76">
        <v>5.0000000000000001E-3</v>
      </c>
      <c r="E16" s="76">
        <v>0.02</v>
      </c>
      <c r="F16" s="16" t="s">
        <v>239</v>
      </c>
      <c r="G16" s="60" t="s">
        <v>262</v>
      </c>
      <c r="H16" s="1"/>
      <c r="I16" s="1"/>
    </row>
    <row r="17" spans="1:9" ht="15" customHeight="1" x14ac:dyDescent="0.25">
      <c r="A17" s="16" t="s">
        <v>263</v>
      </c>
      <c r="B17" s="74">
        <f>Assumptions!B48</f>
        <v>0.03</v>
      </c>
      <c r="C17" s="75">
        <v>0.03</v>
      </c>
      <c r="D17" s="76">
        <v>0.02</v>
      </c>
      <c r="E17" s="76">
        <v>0.05</v>
      </c>
      <c r="F17" s="16" t="s">
        <v>239</v>
      </c>
      <c r="G17" s="60" t="s">
        <v>264</v>
      </c>
      <c r="H17" s="1"/>
      <c r="I17" s="1"/>
    </row>
    <row r="18" spans="1:9" ht="15" customHeight="1" x14ac:dyDescent="0.25">
      <c r="A18" s="16" t="s">
        <v>265</v>
      </c>
      <c r="B18" s="79">
        <v>10</v>
      </c>
      <c r="C18" s="80">
        <v>10</v>
      </c>
      <c r="D18" s="81">
        <v>5</v>
      </c>
      <c r="E18" s="81">
        <v>15</v>
      </c>
      <c r="F18" s="16" t="s">
        <v>266</v>
      </c>
      <c r="G18" s="60" t="s">
        <v>267</v>
      </c>
      <c r="H18" s="1"/>
      <c r="I18" s="1"/>
    </row>
    <row r="19" spans="1:9" ht="15" customHeight="1" x14ac:dyDescent="0.25">
      <c r="A19" s="16" t="s">
        <v>268</v>
      </c>
      <c r="B19" s="82">
        <v>18700</v>
      </c>
      <c r="C19" s="77">
        <v>18700</v>
      </c>
      <c r="D19" s="78">
        <v>15000</v>
      </c>
      <c r="E19" s="78">
        <v>25000</v>
      </c>
      <c r="F19" s="16" t="s">
        <v>257</v>
      </c>
      <c r="G19" s="60" t="s">
        <v>269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270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271</v>
      </c>
      <c r="B23" s="6" t="s">
        <v>272</v>
      </c>
      <c r="C23" s="6" t="s">
        <v>273</v>
      </c>
      <c r="D23" s="6" t="s">
        <v>274</v>
      </c>
      <c r="E23" s="6" t="s">
        <v>275</v>
      </c>
      <c r="F23" s="6" t="s">
        <v>276</v>
      </c>
      <c r="G23" s="6" t="s">
        <v>277</v>
      </c>
      <c r="H23" s="1"/>
      <c r="I23" s="1"/>
    </row>
    <row r="24" spans="1:9" ht="15" customHeight="1" x14ac:dyDescent="0.25">
      <c r="A24" s="16" t="s">
        <v>210</v>
      </c>
      <c r="B24" s="83" t="str">
        <f>Projects!$G$2</f>
        <v>Yes</v>
      </c>
      <c r="C24" s="82">
        <v>5321971</v>
      </c>
      <c r="D24" s="16" t="s">
        <v>278</v>
      </c>
      <c r="E24" s="16" t="s">
        <v>279</v>
      </c>
      <c r="F24" s="16" t="s">
        <v>280</v>
      </c>
      <c r="G24" s="16" t="s">
        <v>280</v>
      </c>
      <c r="H24" s="1"/>
      <c r="I24" s="1"/>
    </row>
    <row r="25" spans="1:9" ht="15" customHeight="1" x14ac:dyDescent="0.25">
      <c r="A25" s="16" t="s">
        <v>214</v>
      </c>
      <c r="B25" s="83" t="str">
        <f>Projects!$G$3</f>
        <v>Yes</v>
      </c>
      <c r="C25" s="82">
        <v>19982132</v>
      </c>
      <c r="D25" s="16" t="s">
        <v>278</v>
      </c>
      <c r="E25" s="16" t="s">
        <v>281</v>
      </c>
      <c r="F25" s="16" t="s">
        <v>280</v>
      </c>
      <c r="G25" s="16" t="s">
        <v>280</v>
      </c>
      <c r="H25" s="1"/>
      <c r="I25" s="1"/>
    </row>
    <row r="26" spans="1:9" ht="15" customHeight="1" x14ac:dyDescent="0.25">
      <c r="A26" s="16" t="s">
        <v>158</v>
      </c>
      <c r="B26" s="83" t="str">
        <f>Projects!$G$4</f>
        <v>Yes</v>
      </c>
      <c r="C26" s="82">
        <v>11673185</v>
      </c>
      <c r="D26" s="16" t="s">
        <v>282</v>
      </c>
      <c r="E26" s="16" t="s">
        <v>283</v>
      </c>
      <c r="F26" s="16" t="s">
        <v>280</v>
      </c>
      <c r="G26" s="16" t="s">
        <v>284</v>
      </c>
      <c r="H26" s="1"/>
      <c r="I26" s="1"/>
    </row>
    <row r="27" spans="1:9" ht="15" customHeight="1" x14ac:dyDescent="0.25">
      <c r="A27" s="16" t="s">
        <v>159</v>
      </c>
      <c r="B27" s="83" t="str">
        <f>Projects!$G$5</f>
        <v>Yes</v>
      </c>
      <c r="C27" s="82">
        <v>13492534</v>
      </c>
      <c r="D27" s="16" t="s">
        <v>282</v>
      </c>
      <c r="E27" s="16" t="s">
        <v>283</v>
      </c>
      <c r="F27" s="16" t="s">
        <v>280</v>
      </c>
      <c r="G27" s="16" t="s">
        <v>284</v>
      </c>
      <c r="H27" s="1"/>
      <c r="I27" s="1"/>
    </row>
    <row r="28" spans="1:9" ht="15" customHeight="1" x14ac:dyDescent="0.25">
      <c r="A28" s="16" t="s">
        <v>285</v>
      </c>
      <c r="B28" s="83" t="str">
        <f>Projects!$G$6</f>
        <v>Yes</v>
      </c>
      <c r="C28" s="82">
        <v>4052747</v>
      </c>
      <c r="D28" s="16" t="s">
        <v>282</v>
      </c>
      <c r="E28" s="16" t="s">
        <v>286</v>
      </c>
      <c r="F28" s="16" t="s">
        <v>280</v>
      </c>
      <c r="G28" s="16" t="s">
        <v>284</v>
      </c>
      <c r="H28" s="1"/>
      <c r="I28" s="1"/>
    </row>
    <row r="29" spans="1:9" ht="15" customHeight="1" x14ac:dyDescent="0.25">
      <c r="A29" s="16" t="s">
        <v>49</v>
      </c>
      <c r="B29" s="83" t="str">
        <f>Projects!$G$7</f>
        <v>Yes</v>
      </c>
      <c r="C29" s="82">
        <v>42968448</v>
      </c>
      <c r="D29" s="16" t="s">
        <v>278</v>
      </c>
      <c r="E29" s="16" t="s">
        <v>287</v>
      </c>
      <c r="F29" s="16" t="s">
        <v>284</v>
      </c>
      <c r="G29" s="16" t="s">
        <v>284</v>
      </c>
      <c r="H29" s="1"/>
      <c r="I29" s="1"/>
    </row>
    <row r="30" spans="1:9" ht="15" customHeight="1" x14ac:dyDescent="0.25">
      <c r="A30" s="16" t="s">
        <v>160</v>
      </c>
      <c r="B30" s="83" t="str">
        <f>Projects!$G$8</f>
        <v>Yes</v>
      </c>
      <c r="C30" s="82">
        <v>13625772</v>
      </c>
      <c r="D30" s="16" t="s">
        <v>282</v>
      </c>
      <c r="E30" s="16" t="s">
        <v>286</v>
      </c>
      <c r="F30" s="16" t="s">
        <v>280</v>
      </c>
      <c r="G30" s="16" t="s">
        <v>284</v>
      </c>
      <c r="H30" s="1"/>
      <c r="I30" s="1"/>
    </row>
    <row r="31" spans="1:9" ht="15" customHeight="1" x14ac:dyDescent="0.25">
      <c r="A31" s="16" t="s">
        <v>161</v>
      </c>
      <c r="B31" s="83" t="str">
        <f>Projects!$G$9</f>
        <v>Yes</v>
      </c>
      <c r="C31" s="82">
        <v>15844883</v>
      </c>
      <c r="D31" s="16" t="s">
        <v>282</v>
      </c>
      <c r="E31" s="16" t="s">
        <v>288</v>
      </c>
      <c r="F31" s="16" t="s">
        <v>280</v>
      </c>
      <c r="G31" s="16" t="s">
        <v>284</v>
      </c>
      <c r="H31" s="1"/>
      <c r="I31" s="1"/>
    </row>
    <row r="32" spans="1:9" ht="15" customHeight="1" x14ac:dyDescent="0.25">
      <c r="A32" s="16" t="s">
        <v>53</v>
      </c>
      <c r="B32" s="83" t="str">
        <f>Projects!$G$10</f>
        <v>Yes</v>
      </c>
      <c r="C32" s="82">
        <v>21263405</v>
      </c>
      <c r="D32" s="16" t="s">
        <v>282</v>
      </c>
      <c r="E32" s="16" t="s">
        <v>286</v>
      </c>
      <c r="F32" s="16" t="s">
        <v>280</v>
      </c>
      <c r="G32" s="16" t="s">
        <v>284</v>
      </c>
      <c r="H32" s="1"/>
      <c r="I32" s="1"/>
    </row>
    <row r="33" spans="1:9" ht="15" customHeight="1" x14ac:dyDescent="0.25">
      <c r="A33" s="16" t="s">
        <v>50</v>
      </c>
      <c r="B33" s="83" t="str">
        <f>Projects!$G$11</f>
        <v>Yes</v>
      </c>
      <c r="C33" s="82">
        <v>9577109</v>
      </c>
      <c r="D33" s="16" t="s">
        <v>278</v>
      </c>
      <c r="E33" s="16" t="s">
        <v>286</v>
      </c>
      <c r="F33" s="16" t="s">
        <v>284</v>
      </c>
      <c r="G33" s="16" t="s">
        <v>280</v>
      </c>
      <c r="H33" s="1"/>
      <c r="I33" s="1"/>
    </row>
    <row r="34" spans="1:9" ht="15" customHeight="1" x14ac:dyDescent="0.25">
      <c r="A34" s="16" t="s">
        <v>51</v>
      </c>
      <c r="B34" s="83" t="str">
        <f>Projects!$G$12</f>
        <v>Yes</v>
      </c>
      <c r="C34" s="82">
        <v>7545203</v>
      </c>
      <c r="D34" s="16" t="s">
        <v>278</v>
      </c>
      <c r="E34" s="16" t="s">
        <v>286</v>
      </c>
      <c r="F34" s="16" t="s">
        <v>284</v>
      </c>
      <c r="G34" s="16" t="s">
        <v>280</v>
      </c>
      <c r="H34" s="1"/>
      <c r="I34" s="1"/>
    </row>
    <row r="35" spans="1:9" ht="15" customHeight="1" x14ac:dyDescent="0.25">
      <c r="A35" s="16" t="s">
        <v>54</v>
      </c>
      <c r="B35" s="83" t="str">
        <f>Projects!$G$13</f>
        <v>Yes</v>
      </c>
      <c r="C35" s="82">
        <v>45266770</v>
      </c>
      <c r="D35" s="16" t="s">
        <v>278</v>
      </c>
      <c r="E35" s="16" t="s">
        <v>288</v>
      </c>
      <c r="F35" s="16" t="s">
        <v>284</v>
      </c>
      <c r="G35" s="16" t="s">
        <v>284</v>
      </c>
      <c r="H35" s="1"/>
      <c r="I35" s="1"/>
    </row>
    <row r="36" spans="1:9" ht="15" customHeight="1" x14ac:dyDescent="0.25">
      <c r="A36" s="16" t="s">
        <v>57</v>
      </c>
      <c r="B36" s="83" t="str">
        <f>Projects!$G$14</f>
        <v>Yes</v>
      </c>
      <c r="C36" s="82">
        <v>41354632</v>
      </c>
      <c r="D36" s="16" t="s">
        <v>278</v>
      </c>
      <c r="E36" s="16" t="s">
        <v>288</v>
      </c>
      <c r="F36" s="16" t="s">
        <v>284</v>
      </c>
      <c r="G36" s="16" t="s">
        <v>284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289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290</v>
      </c>
      <c r="B40" s="84" t="s">
        <v>1</v>
      </c>
      <c r="C40" s="84" t="s">
        <v>2</v>
      </c>
      <c r="D40" s="84" t="s">
        <v>3</v>
      </c>
      <c r="E40" s="84" t="s">
        <v>4</v>
      </c>
      <c r="F40" s="84" t="s">
        <v>5</v>
      </c>
      <c r="G40" s="84" t="s">
        <v>6</v>
      </c>
      <c r="H40" s="84" t="s">
        <v>7</v>
      </c>
      <c r="I40" s="84" t="s">
        <v>8</v>
      </c>
    </row>
    <row r="41" spans="1:9" ht="15" customHeight="1" x14ac:dyDescent="0.25">
      <c r="A41" s="28" t="s">
        <v>15</v>
      </c>
      <c r="B41" s="66">
        <f>'Annual Summary'!B8</f>
        <v>1405537.6199999999</v>
      </c>
      <c r="C41" s="66">
        <f>'Annual Summary'!C8</f>
        <v>679001.54999999993</v>
      </c>
      <c r="D41" s="66">
        <f>'Annual Summary'!D8</f>
        <v>620319.48</v>
      </c>
      <c r="E41" s="66">
        <f>'Annual Summary'!E8</f>
        <v>0</v>
      </c>
      <c r="F41" s="66">
        <f>'Annual Summary'!F8</f>
        <v>0</v>
      </c>
      <c r="G41" s="66">
        <f>'Annual Summary'!G8</f>
        <v>0</v>
      </c>
      <c r="H41" s="66">
        <f>'Annual Summary'!H8</f>
        <v>0</v>
      </c>
      <c r="I41" s="66">
        <f>'Annual Summary'!I8</f>
        <v>0</v>
      </c>
    </row>
    <row r="42" spans="1:9" ht="15" customHeight="1" x14ac:dyDescent="0.25">
      <c r="A42" s="85" t="s">
        <v>21</v>
      </c>
      <c r="B42" s="86">
        <f>'Annual Summary'!B15</f>
        <v>-4469956.0008666664</v>
      </c>
      <c r="C42" s="86">
        <f>'Annual Summary'!C15</f>
        <v>-7578929.7279999983</v>
      </c>
      <c r="D42" s="86">
        <f>'Annual Summary'!D15</f>
        <v>-7101298.1870599976</v>
      </c>
      <c r="E42" s="86">
        <f>'Annual Summary'!E15</f>
        <v>-5630343.850001201</v>
      </c>
      <c r="F42" s="86">
        <f>'Annual Summary'!F15</f>
        <v>-5638576.4770012228</v>
      </c>
      <c r="G42" s="86">
        <f>'Annual Summary'!G15</f>
        <v>-5646973.7565412503</v>
      </c>
      <c r="H42" s="86">
        <f>'Annual Summary'!H15</f>
        <v>-5655538.9816720728</v>
      </c>
      <c r="I42" s="86">
        <f>'Annual Summary'!I15</f>
        <v>-1414422.7090653977</v>
      </c>
    </row>
    <row r="43" spans="1:9" ht="15" customHeight="1" x14ac:dyDescent="0.25">
      <c r="A43" s="16" t="s">
        <v>22</v>
      </c>
      <c r="B43" s="74">
        <f>'Annual Summary'!B16</f>
        <v>2533850.0146434857</v>
      </c>
      <c r="C43" s="74">
        <f>'Annual Summary'!C16</f>
        <v>3368456.9046408772</v>
      </c>
      <c r="D43" s="74">
        <f>'Annual Summary'!D16</f>
        <v>532915.3668879855</v>
      </c>
      <c r="E43" s="74">
        <f>'Annual Summary'!E16</f>
        <v>-1805332.5029138124</v>
      </c>
      <c r="F43" s="74">
        <f>'Annual Summary'!F16</f>
        <v>-3854772.1632712483</v>
      </c>
      <c r="G43" s="74">
        <f>'Annual Summary'!G16</f>
        <v>-5646973.7565412503</v>
      </c>
      <c r="H43" s="74">
        <f>'Annual Summary'!H16</f>
        <v>-5655538.9816720728</v>
      </c>
      <c r="I43" s="74">
        <f>'Annual Summary'!I16</f>
        <v>-1414422.7090653977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23</v>
      </c>
      <c r="B45" s="66">
        <f>'Annual Summary'!B18</f>
        <v>0</v>
      </c>
      <c r="C45" s="66">
        <f>'Annual Summary'!C18</f>
        <v>0</v>
      </c>
      <c r="D45" s="66">
        <f>'Annual Summary'!D18</f>
        <v>0</v>
      </c>
      <c r="E45" s="66">
        <f>'Annual Summary'!E18</f>
        <v>0</v>
      </c>
      <c r="F45" s="66">
        <f>'Annual Summary'!F18</f>
        <v>0</v>
      </c>
      <c r="G45" s="66">
        <f>'Annual Summary'!G18</f>
        <v>0</v>
      </c>
      <c r="H45" s="66">
        <f>'Annual Summary'!H18</f>
        <v>0</v>
      </c>
      <c r="I45" s="66">
        <f>'Annual Summary'!I18</f>
        <v>0</v>
      </c>
    </row>
    <row r="46" spans="1:9" ht="15" customHeight="1" x14ac:dyDescent="0.25">
      <c r="A46" s="85" t="s">
        <v>25</v>
      </c>
      <c r="B46" s="86">
        <f>'Annual Summary'!B20</f>
        <v>-1325148.1200000001</v>
      </c>
      <c r="C46" s="86">
        <f>'Annual Summary'!C20</f>
        <v>-1368146.0000000002</v>
      </c>
      <c r="D46" s="86">
        <f>'Annual Summary'!D20</f>
        <v>-1373598.9200000002</v>
      </c>
      <c r="E46" s="86">
        <f>'Annual Summary'!E20</f>
        <v>-1542525.8983999998</v>
      </c>
      <c r="F46" s="86">
        <f>'Annual Summary'!F20</f>
        <v>-2661791.1163680004</v>
      </c>
      <c r="G46" s="86">
        <f>'Annual Summary'!G20</f>
        <v>-1817905.2786953603</v>
      </c>
      <c r="H46" s="86">
        <f>'Annual Summary'!H20</f>
        <v>-1927994.2146692672</v>
      </c>
      <c r="I46" s="86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5" t="s">
        <v>26</v>
      </c>
      <c r="B48" s="86">
        <f>'Annual Summary'!B22</f>
        <v>0</v>
      </c>
      <c r="C48" s="86">
        <f>'Annual Summary'!C22</f>
        <v>0</v>
      </c>
      <c r="D48" s="86">
        <f>'Annual Summary'!D22</f>
        <v>0</v>
      </c>
      <c r="E48" s="86">
        <f>'Annual Summary'!E22</f>
        <v>0</v>
      </c>
      <c r="F48" s="86">
        <f>'Annual Summary'!F22</f>
        <v>0</v>
      </c>
      <c r="G48" s="86">
        <f>'Annual Summary'!G22</f>
        <v>0</v>
      </c>
      <c r="H48" s="86">
        <f>'Annual Summary'!H22</f>
        <v>0</v>
      </c>
      <c r="I48" s="86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7" t="s">
        <v>44</v>
      </c>
      <c r="B50" s="88">
        <f>'Annual Summary'!B43</f>
        <v>-563619.79999999993</v>
      </c>
      <c r="C50" s="88">
        <f>'Annual Summary'!C43</f>
        <v>-3078712.0232854439</v>
      </c>
      <c r="D50" s="88">
        <f>'Annual Summary'!D43</f>
        <v>-4443639.8932854431</v>
      </c>
      <c r="E50" s="88">
        <f>'Annual Summary'!E43</f>
        <v>-5822800.7916854415</v>
      </c>
      <c r="F50" s="88">
        <f>'Annual Summary'!F43</f>
        <v>-7207634.9080534428</v>
      </c>
      <c r="G50" s="88">
        <f>'Annual Summary'!G43</f>
        <v>-8478980.1867488027</v>
      </c>
      <c r="H50" s="88">
        <f>'Annual Summary'!H43</f>
        <v>-9586981.4014180731</v>
      </c>
      <c r="I50" s="88">
        <f>'Annual Summary'!I43</f>
        <v>-9840927.0865323059</v>
      </c>
    </row>
    <row r="51" spans="1:9" ht="15" customHeight="1" x14ac:dyDescent="0.25">
      <c r="A51" s="87" t="s">
        <v>41</v>
      </c>
      <c r="B51" s="88">
        <f>'Annual Summary'!B41</f>
        <v>0</v>
      </c>
      <c r="C51" s="88">
        <f>'Annual Summary'!C41</f>
        <v>0</v>
      </c>
      <c r="D51" s="88">
        <f>'Annual Summary'!D41</f>
        <v>0</v>
      </c>
      <c r="E51" s="88">
        <f>'Annual Summary'!E41</f>
        <v>0</v>
      </c>
      <c r="F51" s="88">
        <f>'Annual Summary'!F41</f>
        <v>0</v>
      </c>
      <c r="G51" s="88">
        <f>'Annual Summary'!G41</f>
        <v>0</v>
      </c>
      <c r="H51" s="88">
        <f>'Annual Summary'!H41</f>
        <v>0</v>
      </c>
      <c r="I51" s="88">
        <f>'Annual Summary'!I41</f>
        <v>0</v>
      </c>
    </row>
    <row r="52" spans="1:9" ht="15" customHeight="1" x14ac:dyDescent="0.25">
      <c r="A52" s="87" t="s">
        <v>42</v>
      </c>
      <c r="B52" s="88">
        <f>'Annual Summary'!B42</f>
        <v>3559392.0146434852</v>
      </c>
      <c r="C52" s="88">
        <f>'Annual Summary'!C42</f>
        <v>6927848.9192843623</v>
      </c>
      <c r="D52" s="88">
        <f>'Annual Summary'!D42</f>
        <v>7460764.2861723471</v>
      </c>
      <c r="E52" s="88">
        <f>'Annual Summary'!E42</f>
        <v>5655431.783258535</v>
      </c>
      <c r="F52" s="88">
        <f>'Annual Summary'!F42</f>
        <v>1800659.6199872864</v>
      </c>
      <c r="G52" s="88">
        <f>'Annual Summary'!G42</f>
        <v>-3846314.1365539627</v>
      </c>
      <c r="H52" s="88">
        <f>'Annual Summary'!H42</f>
        <v>-9501853.1182260383</v>
      </c>
      <c r="I52" s="88">
        <f>'Annual Summary'!I42</f>
        <v>-10916275.827291438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162</v>
      </c>
      <c r="B54" s="65">
        <f>'Annual Summary'!B39</f>
        <v>0</v>
      </c>
      <c r="C54" s="65">
        <f>'Annual Summary'!C39</f>
        <v>0</v>
      </c>
      <c r="D54" s="65">
        <f>'Annual Summary'!D39</f>
        <v>0</v>
      </c>
      <c r="E54" s="65">
        <f>'Annual Summary'!E39</f>
        <v>0</v>
      </c>
      <c r="F54" s="65">
        <f>'Annual Summary'!F39</f>
        <v>0</v>
      </c>
      <c r="G54" s="65">
        <f>'Annual Summary'!G39</f>
        <v>0</v>
      </c>
      <c r="H54" s="65">
        <f>'Annual Summary'!H39</f>
        <v>0</v>
      </c>
      <c r="I54" s="65">
        <f>'Annual Summary'!I39</f>
        <v>0</v>
      </c>
    </row>
    <row r="55" spans="1:9" ht="15" customHeight="1" x14ac:dyDescent="0.25">
      <c r="A55" s="16" t="s">
        <v>291</v>
      </c>
      <c r="B55" s="65">
        <f>'Annual Summary'!B37</f>
        <v>0</v>
      </c>
      <c r="C55" s="65">
        <f>'Annual Summary'!C37</f>
        <v>0</v>
      </c>
      <c r="D55" s="65">
        <f>'Annual Summary'!D37</f>
        <v>0</v>
      </c>
      <c r="E55" s="65">
        <f>'Annual Summary'!E37</f>
        <v>0</v>
      </c>
      <c r="F55" s="65">
        <f>'Annual Summary'!F37</f>
        <v>0</v>
      </c>
      <c r="G55" s="65">
        <f>'Annual Summary'!G37</f>
        <v>0</v>
      </c>
      <c r="H55" s="65">
        <f>'Annual Summary'!H37</f>
        <v>0</v>
      </c>
      <c r="I55" s="65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292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0" t="s">
        <v>293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89" t="s">
        <v>294</v>
      </c>
      <c r="B60" s="90">
        <v>7.0000000000000007E-2</v>
      </c>
      <c r="C60" s="90">
        <v>0.08</v>
      </c>
      <c r="D60" s="90">
        <v>9.1999999999999998E-2</v>
      </c>
      <c r="E60" s="90">
        <v>0.1</v>
      </c>
      <c r="F60" s="90">
        <v>0.12</v>
      </c>
      <c r="G60" s="1"/>
      <c r="H60" s="1"/>
      <c r="I60" s="1"/>
    </row>
    <row r="61" spans="1:9" ht="15" customHeight="1" x14ac:dyDescent="0.25">
      <c r="A61" s="91">
        <v>0.1</v>
      </c>
      <c r="B61" s="78">
        <v>21535794</v>
      </c>
      <c r="C61" s="78">
        <v>21353287</v>
      </c>
      <c r="D61" s="78">
        <v>21138321</v>
      </c>
      <c r="E61" s="78">
        <v>20997399</v>
      </c>
      <c r="F61" s="78">
        <v>20653180</v>
      </c>
      <c r="G61" s="1"/>
      <c r="H61" s="1"/>
      <c r="I61" s="1"/>
    </row>
    <row r="62" spans="1:9" ht="15" customHeight="1" x14ac:dyDescent="0.25">
      <c r="A62" s="91">
        <v>0.12</v>
      </c>
      <c r="B62" s="78">
        <v>25408618</v>
      </c>
      <c r="C62" s="78">
        <v>25196879</v>
      </c>
      <c r="D62" s="78">
        <v>24947405</v>
      </c>
      <c r="E62" s="78">
        <v>24783816</v>
      </c>
      <c r="F62" s="78">
        <v>24384077</v>
      </c>
      <c r="G62" s="1"/>
      <c r="H62" s="1"/>
      <c r="I62" s="1"/>
    </row>
    <row r="63" spans="1:9" ht="15" customHeight="1" x14ac:dyDescent="0.25">
      <c r="A63" s="91">
        <v>0.14000000000000001</v>
      </c>
      <c r="B63" s="78">
        <v>29153414</v>
      </c>
      <c r="C63" s="78">
        <v>28914451</v>
      </c>
      <c r="D63" s="92">
        <v>28632817</v>
      </c>
      <c r="E63" s="78">
        <v>28448089</v>
      </c>
      <c r="F63" s="78">
        <v>27996532</v>
      </c>
      <c r="G63" s="1"/>
      <c r="H63" s="1"/>
      <c r="I63" s="1"/>
    </row>
    <row r="64" spans="1:9" ht="15" customHeight="1" x14ac:dyDescent="0.25">
      <c r="A64" s="91">
        <v>0.16</v>
      </c>
      <c r="B64" s="78">
        <v>32776428</v>
      </c>
      <c r="C64" s="78">
        <v>32512102</v>
      </c>
      <c r="D64" s="78">
        <v>32200484</v>
      </c>
      <c r="E64" s="78">
        <v>31996037</v>
      </c>
      <c r="F64" s="78">
        <v>31496099</v>
      </c>
      <c r="G64" s="1"/>
      <c r="H64" s="1"/>
      <c r="I64" s="1"/>
    </row>
    <row r="65" spans="1:9" ht="15" customHeight="1" x14ac:dyDescent="0.25">
      <c r="A65" s="91">
        <v>0.18</v>
      </c>
      <c r="B65" s="78">
        <v>36283506</v>
      </c>
      <c r="C65" s="78">
        <v>35995542</v>
      </c>
      <c r="D65" s="78">
        <v>35655961</v>
      </c>
      <c r="E65" s="78">
        <v>35433111</v>
      </c>
      <c r="F65" s="78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295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296</v>
      </c>
      <c r="B69" s="6" t="s">
        <v>297</v>
      </c>
      <c r="C69" s="6" t="s">
        <v>298</v>
      </c>
      <c r="D69" s="6" t="s">
        <v>299</v>
      </c>
      <c r="E69" s="6" t="s">
        <v>300</v>
      </c>
      <c r="F69" s="6" t="s">
        <v>301</v>
      </c>
      <c r="G69" s="1"/>
      <c r="H69" s="1"/>
      <c r="I69" s="1"/>
    </row>
    <row r="70" spans="1:9" ht="15" customHeight="1" x14ac:dyDescent="0.25">
      <c r="A70" s="16" t="s">
        <v>302</v>
      </c>
      <c r="B70" s="82">
        <f>'Annual Summary'!B41</f>
        <v>0</v>
      </c>
      <c r="C70" s="78">
        <f>'Annual Summary'!C41</f>
        <v>0</v>
      </c>
      <c r="D70" s="78">
        <f>'Annual Summary'!E41</f>
        <v>0</v>
      </c>
      <c r="E70" s="78">
        <f>'Annual Summary'!G41</f>
        <v>0</v>
      </c>
      <c r="F70" s="78">
        <f>'Annual Summary'!I41</f>
        <v>0</v>
      </c>
      <c r="G70" s="1"/>
      <c r="H70" s="1"/>
      <c r="I70" s="1"/>
    </row>
    <row r="71" spans="1:9" ht="15" customHeight="1" x14ac:dyDescent="0.25">
      <c r="A71" s="16" t="s">
        <v>303</v>
      </c>
      <c r="B71" s="82">
        <f>'Annual Summary'!B42</f>
        <v>3559392.0146434852</v>
      </c>
      <c r="C71" s="78">
        <f>'Annual Summary'!C42</f>
        <v>6927848.9192843623</v>
      </c>
      <c r="D71" s="78">
        <f>'Annual Summary'!E42</f>
        <v>5655431.783258535</v>
      </c>
      <c r="E71" s="78">
        <f>'Annual Summary'!G42</f>
        <v>-3846314.1365539627</v>
      </c>
      <c r="F71" s="78">
        <f>'Annual Summary'!I42</f>
        <v>-10916275.827291438</v>
      </c>
      <c r="G71" s="1"/>
      <c r="H71" s="1"/>
      <c r="I71" s="1"/>
    </row>
    <row r="72" spans="1:9" ht="15" customHeight="1" x14ac:dyDescent="0.25">
      <c r="A72" s="87" t="s">
        <v>304</v>
      </c>
      <c r="B72" s="93">
        <f>'Annual Summary'!B43</f>
        <v>-563619.79999999993</v>
      </c>
      <c r="C72" s="94">
        <f>'Annual Summary'!C43</f>
        <v>-3078712.0232854439</v>
      </c>
      <c r="D72" s="94">
        <f>'Annual Summary'!E43</f>
        <v>-5822800.7916854415</v>
      </c>
      <c r="E72" s="94">
        <f>'Annual Summary'!G43</f>
        <v>-8478980.1867488027</v>
      </c>
      <c r="F72" s="94">
        <f>'Annual Summary'!I43</f>
        <v>-9840927.0865323059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305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271</v>
      </c>
      <c r="B76" s="6" t="s">
        <v>306</v>
      </c>
      <c r="C76" s="6" t="s">
        <v>307</v>
      </c>
      <c r="D76" s="6" t="s">
        <v>308</v>
      </c>
      <c r="E76" s="6" t="s">
        <v>309</v>
      </c>
      <c r="F76" s="6" t="s">
        <v>310</v>
      </c>
      <c r="G76" s="1"/>
      <c r="H76" s="1"/>
      <c r="I76" s="1"/>
    </row>
    <row r="77" spans="1:9" ht="15" customHeight="1" x14ac:dyDescent="0.25">
      <c r="A77" s="16" t="s">
        <v>50</v>
      </c>
      <c r="B77" s="69">
        <v>95771</v>
      </c>
      <c r="C77" s="69">
        <v>60000</v>
      </c>
      <c r="D77" s="69">
        <v>0</v>
      </c>
      <c r="E77" s="67">
        <v>155771</v>
      </c>
      <c r="F77" s="60" t="s">
        <v>311</v>
      </c>
      <c r="G77" s="1"/>
      <c r="H77" s="1"/>
      <c r="I77" s="1"/>
    </row>
    <row r="78" spans="1:9" ht="15" customHeight="1" x14ac:dyDescent="0.25">
      <c r="A78" s="16" t="s">
        <v>51</v>
      </c>
      <c r="B78" s="69">
        <v>75452</v>
      </c>
      <c r="C78" s="69">
        <v>60000</v>
      </c>
      <c r="D78" s="69">
        <v>0</v>
      </c>
      <c r="E78" s="67">
        <v>135452</v>
      </c>
      <c r="F78" s="60" t="s">
        <v>311</v>
      </c>
      <c r="G78" s="1"/>
      <c r="H78" s="1"/>
      <c r="I78" s="1"/>
    </row>
    <row r="79" spans="1:9" ht="15" customHeight="1" x14ac:dyDescent="0.25">
      <c r="A79" s="16" t="s">
        <v>49</v>
      </c>
      <c r="B79" s="69">
        <v>579684</v>
      </c>
      <c r="C79" s="69">
        <v>150000</v>
      </c>
      <c r="D79" s="69">
        <v>0</v>
      </c>
      <c r="E79" s="67">
        <v>729684</v>
      </c>
      <c r="F79" s="60" t="s">
        <v>312</v>
      </c>
      <c r="G79" s="1"/>
      <c r="H79" s="1"/>
      <c r="I79" s="1"/>
    </row>
    <row r="80" spans="1:9" ht="15" customHeight="1" x14ac:dyDescent="0.25">
      <c r="A80" s="16" t="s">
        <v>54</v>
      </c>
      <c r="B80" s="69">
        <v>602668</v>
      </c>
      <c r="C80" s="69">
        <v>150000</v>
      </c>
      <c r="D80" s="69">
        <v>1450000</v>
      </c>
      <c r="E80" s="67">
        <v>752668</v>
      </c>
      <c r="F80" s="60" t="s">
        <v>312</v>
      </c>
      <c r="G80" s="1"/>
      <c r="H80" s="1"/>
      <c r="I80" s="1"/>
    </row>
    <row r="81" spans="1:9" ht="15" customHeight="1" x14ac:dyDescent="0.25">
      <c r="A81" s="16" t="s">
        <v>57</v>
      </c>
      <c r="B81" s="69">
        <v>563546</v>
      </c>
      <c r="C81" s="69">
        <v>150000</v>
      </c>
      <c r="D81" s="69">
        <v>0</v>
      </c>
      <c r="E81" s="67">
        <v>713546</v>
      </c>
      <c r="F81" s="60" t="s">
        <v>313</v>
      </c>
      <c r="G81" s="1"/>
      <c r="H81" s="1"/>
      <c r="I81" s="1"/>
    </row>
    <row r="82" spans="1:9" ht="15" customHeight="1" x14ac:dyDescent="0.25">
      <c r="A82" s="28" t="s">
        <v>314</v>
      </c>
      <c r="B82" s="66">
        <v>1917121</v>
      </c>
      <c r="C82" s="66">
        <v>570000</v>
      </c>
      <c r="D82" s="66">
        <v>1450000</v>
      </c>
      <c r="E82" s="66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315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316</v>
      </c>
      <c r="B86" s="82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317</v>
      </c>
      <c r="B87" s="95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318</v>
      </c>
      <c r="B88" s="75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1</v>
      </c>
      <c r="C89" s="6" t="s">
        <v>2</v>
      </c>
      <c r="D89" s="6" t="s">
        <v>3</v>
      </c>
      <c r="E89" s="6" t="s">
        <v>4</v>
      </c>
      <c r="F89" s="6" t="s">
        <v>319</v>
      </c>
      <c r="G89" s="1"/>
      <c r="H89" s="1"/>
      <c r="I89" s="1"/>
    </row>
    <row r="90" spans="1:9" ht="15" customHeight="1" x14ac:dyDescent="0.25">
      <c r="A90" s="68" t="s">
        <v>320</v>
      </c>
      <c r="B90" s="69">
        <v>0</v>
      </c>
      <c r="C90" s="69">
        <v>-956261</v>
      </c>
      <c r="D90" s="69">
        <v>-1465718</v>
      </c>
      <c r="E90" s="69">
        <v>-967911</v>
      </c>
      <c r="F90" s="69">
        <v>-3389890</v>
      </c>
      <c r="G90" s="1"/>
      <c r="H90" s="1"/>
      <c r="I90" s="1"/>
    </row>
    <row r="91" spans="1:9" ht="15" customHeight="1" x14ac:dyDescent="0.25">
      <c r="A91" s="83" t="s">
        <v>321</v>
      </c>
      <c r="B91" s="65">
        <v>0</v>
      </c>
      <c r="C91" s="65">
        <v>-441351</v>
      </c>
      <c r="D91" s="65">
        <v>-676485</v>
      </c>
      <c r="E91" s="65">
        <v>-446728</v>
      </c>
      <c r="F91" s="65">
        <v>-1564564</v>
      </c>
      <c r="G91" s="1"/>
      <c r="H91" s="1"/>
      <c r="I91" s="1"/>
    </row>
    <row r="92" spans="1:9" ht="15" customHeight="1" x14ac:dyDescent="0.25">
      <c r="A92" s="28" t="s">
        <v>322</v>
      </c>
      <c r="B92" s="66">
        <v>0</v>
      </c>
      <c r="C92" s="66">
        <v>514910</v>
      </c>
      <c r="D92" s="66">
        <v>789233</v>
      </c>
      <c r="E92" s="66">
        <v>521183</v>
      </c>
      <c r="F92" s="66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323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0" t="s">
        <v>324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1</v>
      </c>
      <c r="C97" s="6" t="s">
        <v>2</v>
      </c>
      <c r="D97" s="6" t="s">
        <v>3</v>
      </c>
      <c r="E97" s="6" t="s">
        <v>4</v>
      </c>
      <c r="F97" s="1"/>
      <c r="G97" s="1"/>
      <c r="H97" s="1"/>
      <c r="I97" s="1"/>
    </row>
    <row r="98" spans="1:9" ht="15" customHeight="1" x14ac:dyDescent="0.25">
      <c r="A98" s="16" t="s">
        <v>325</v>
      </c>
      <c r="B98" s="78">
        <f>'Annual Summary'!B39</f>
        <v>0</v>
      </c>
      <c r="C98" s="78">
        <f>'Annual Summary'!C39</f>
        <v>0</v>
      </c>
      <c r="D98" s="78">
        <f>'Annual Summary'!D39</f>
        <v>0</v>
      </c>
      <c r="E98" s="78">
        <f>'Annual Summary'!E39</f>
        <v>0</v>
      </c>
      <c r="F98" s="1"/>
      <c r="G98" s="1"/>
      <c r="H98" s="1"/>
      <c r="I98" s="1"/>
    </row>
    <row r="99" spans="1:9" ht="15" customHeight="1" x14ac:dyDescent="0.25">
      <c r="A99" s="68" t="s">
        <v>326</v>
      </c>
      <c r="B99" s="69">
        <f>B98*0.025</f>
        <v>0</v>
      </c>
      <c r="C99" s="69">
        <f>C98*0.025</f>
        <v>0</v>
      </c>
      <c r="D99" s="69">
        <f>D98*0.025</f>
        <v>0</v>
      </c>
      <c r="E99" s="69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327</v>
      </c>
      <c r="B100" s="78">
        <f>'Annual Summary'!B43</f>
        <v>-563619.79999999993</v>
      </c>
      <c r="C100" s="78">
        <f>'Annual Summary'!C43</f>
        <v>-3078712.0232854439</v>
      </c>
      <c r="D100" s="78">
        <f>'Annual Summary'!D43</f>
        <v>-4443639.8932854431</v>
      </c>
      <c r="E100" s="78">
        <f>'Annual Summary'!E43</f>
        <v>-5822800.7916854415</v>
      </c>
      <c r="F100" s="1"/>
      <c r="G100" s="1"/>
      <c r="H100" s="1"/>
      <c r="I100" s="1"/>
    </row>
    <row r="101" spans="1:9" ht="15" customHeight="1" x14ac:dyDescent="0.25">
      <c r="A101" s="16" t="s">
        <v>328</v>
      </c>
      <c r="B101" s="78">
        <f>'Annual Summary'!B15*0.05</f>
        <v>-223497.80004333332</v>
      </c>
      <c r="C101" s="78">
        <f>'Annual Summary'!C15*0.05</f>
        <v>-378946.48639999994</v>
      </c>
      <c r="D101" s="78">
        <f>'Annual Summary'!D15*0.05</f>
        <v>-355064.90935299988</v>
      </c>
      <c r="E101" s="78">
        <f>'Annual Summary'!E15*0.05</f>
        <v>-281517.19250006007</v>
      </c>
      <c r="F101" s="1"/>
      <c r="G101" s="1"/>
      <c r="H101" s="1"/>
      <c r="I101" s="1"/>
    </row>
    <row r="102" spans="1:9" ht="15" customHeight="1" x14ac:dyDescent="0.25">
      <c r="A102" s="16" t="s">
        <v>329</v>
      </c>
      <c r="B102" s="78">
        <f>B100+B101</f>
        <v>-787117.60004333325</v>
      </c>
      <c r="C102" s="78">
        <f>C100+C101</f>
        <v>-3457658.5096854437</v>
      </c>
      <c r="D102" s="78">
        <f>D100+D101</f>
        <v>-4798704.8026384432</v>
      </c>
      <c r="E102" s="78">
        <f>E100+E101</f>
        <v>-6104317.9841855019</v>
      </c>
      <c r="F102" s="1"/>
      <c r="G102" s="1"/>
      <c r="H102" s="1"/>
      <c r="I102" s="1"/>
    </row>
    <row r="103" spans="1:9" ht="15" customHeight="1" x14ac:dyDescent="0.25">
      <c r="A103" s="28" t="s">
        <v>330</v>
      </c>
      <c r="B103" s="66">
        <f>B102-B99</f>
        <v>-787117.60004333325</v>
      </c>
      <c r="C103" s="66">
        <f>C102-C99</f>
        <v>-3457658.5096854437</v>
      </c>
      <c r="D103" s="66">
        <f>D102-D99</f>
        <v>-4798704.8026384432</v>
      </c>
      <c r="E103" s="66">
        <f>E102-E99</f>
        <v>-6104317.9841855019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331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332</v>
      </c>
      <c r="B107" s="82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333</v>
      </c>
      <c r="B108" s="95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334</v>
      </c>
      <c r="B109" s="67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335</v>
      </c>
      <c r="B110" s="96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336</v>
      </c>
      <c r="B111" s="66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59" t="s">
        <v>337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2</v>
      </c>
      <c r="C114" s="6" t="s">
        <v>3</v>
      </c>
      <c r="D114" s="6" t="s">
        <v>4</v>
      </c>
      <c r="E114" s="6" t="s">
        <v>5</v>
      </c>
      <c r="F114" s="6" t="s">
        <v>319</v>
      </c>
      <c r="G114" s="1"/>
      <c r="H114" s="1"/>
      <c r="I114" s="1"/>
    </row>
    <row r="115" spans="1:9" ht="15" customHeight="1" x14ac:dyDescent="0.25">
      <c r="A115" s="16" t="s">
        <v>338</v>
      </c>
      <c r="B115" s="78">
        <v>0</v>
      </c>
      <c r="C115" s="78">
        <v>1896887</v>
      </c>
      <c r="D115" s="78">
        <v>1379554</v>
      </c>
      <c r="E115" s="78">
        <v>172444</v>
      </c>
      <c r="F115" s="67">
        <v>3448885</v>
      </c>
      <c r="G115" s="1"/>
      <c r="H115" s="1"/>
      <c r="I115" s="1"/>
    </row>
    <row r="116" spans="1:9" ht="15" customHeight="1" x14ac:dyDescent="0.25">
      <c r="A116" s="16" t="s">
        <v>339</v>
      </c>
      <c r="B116" s="78">
        <v>0</v>
      </c>
      <c r="C116" s="78">
        <v>603555</v>
      </c>
      <c r="D116" s="78">
        <v>948444</v>
      </c>
      <c r="E116" s="78">
        <v>172444</v>
      </c>
      <c r="F116" s="67">
        <v>1724443</v>
      </c>
      <c r="G116" s="1"/>
      <c r="H116" s="1"/>
      <c r="I116" s="1"/>
    </row>
    <row r="117" spans="1:9" ht="15" customHeight="1" x14ac:dyDescent="0.25">
      <c r="A117" s="28" t="s">
        <v>340</v>
      </c>
      <c r="B117" s="66">
        <v>0</v>
      </c>
      <c r="C117" s="66">
        <v>2500442</v>
      </c>
      <c r="D117" s="66">
        <v>2327998</v>
      </c>
      <c r="E117" s="66">
        <v>344888</v>
      </c>
      <c r="F117" s="66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0" t="s">
        <v>341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342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0" t="s">
        <v>343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344</v>
      </c>
      <c r="C124" s="6" t="s">
        <v>345</v>
      </c>
      <c r="D124" s="6" t="s">
        <v>237</v>
      </c>
      <c r="E124" s="1"/>
      <c r="F124" s="1"/>
      <c r="G124" s="1"/>
      <c r="H124" s="1"/>
      <c r="I124" s="1"/>
    </row>
    <row r="125" spans="1:9" ht="15" customHeight="1" x14ac:dyDescent="0.25">
      <c r="A125" s="16" t="s">
        <v>346</v>
      </c>
      <c r="B125" s="82">
        <v>1450000</v>
      </c>
      <c r="C125" s="25" t="s">
        <v>347</v>
      </c>
      <c r="D125" s="60" t="s">
        <v>348</v>
      </c>
      <c r="E125" s="1"/>
      <c r="F125" s="1"/>
      <c r="G125" s="1"/>
      <c r="H125" s="1"/>
      <c r="I125" s="1"/>
    </row>
    <row r="126" spans="1:9" ht="15" customHeight="1" x14ac:dyDescent="0.25">
      <c r="A126" s="16" t="s">
        <v>349</v>
      </c>
      <c r="B126" s="69">
        <v>-1450000</v>
      </c>
      <c r="C126" s="25" t="s">
        <v>350</v>
      </c>
      <c r="D126" s="60" t="s">
        <v>351</v>
      </c>
      <c r="E126" s="1"/>
      <c r="F126" s="1"/>
      <c r="G126" s="1"/>
      <c r="H126" s="1"/>
      <c r="I126" s="1"/>
    </row>
    <row r="127" spans="1:9" ht="15" customHeight="1" x14ac:dyDescent="0.25">
      <c r="A127" s="16" t="s">
        <v>352</v>
      </c>
      <c r="B127" s="1"/>
      <c r="C127" s="25" t="s">
        <v>353</v>
      </c>
      <c r="D127" s="60" t="s">
        <v>354</v>
      </c>
      <c r="E127" s="1"/>
      <c r="F127" s="1"/>
      <c r="G127" s="1"/>
      <c r="H127" s="1"/>
      <c r="I127" s="1"/>
    </row>
    <row r="128" spans="1:9" ht="15" customHeight="1" x14ac:dyDescent="0.25">
      <c r="A128" s="28" t="s">
        <v>355</v>
      </c>
      <c r="B128" s="66">
        <v>0</v>
      </c>
      <c r="C128" s="28" t="s">
        <v>356</v>
      </c>
      <c r="D128" s="28" t="s">
        <v>357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358</v>
      </c>
      <c r="B130" s="97">
        <v>362885</v>
      </c>
      <c r="C130" s="25" t="s">
        <v>359</v>
      </c>
      <c r="D130" s="60" t="s">
        <v>360</v>
      </c>
      <c r="E130" s="1"/>
      <c r="F130" s="1"/>
      <c r="G130" s="1"/>
      <c r="H130" s="1"/>
      <c r="I130" s="1"/>
    </row>
    <row r="131" spans="1:9" ht="15" customHeight="1" x14ac:dyDescent="0.25">
      <c r="A131" s="28" t="s">
        <v>361</v>
      </c>
      <c r="B131" s="66">
        <v>1812885</v>
      </c>
      <c r="C131" s="28" t="s">
        <v>362</v>
      </c>
      <c r="D131" s="28" t="s">
        <v>363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364</v>
      </c>
      <c r="B1" s="3" t="s">
        <v>365</v>
      </c>
      <c r="C1" s="3" t="s">
        <v>366</v>
      </c>
      <c r="D1" s="3" t="s">
        <v>367</v>
      </c>
      <c r="E1" s="3" t="s">
        <v>368</v>
      </c>
      <c r="F1" s="3" t="s">
        <v>369</v>
      </c>
      <c r="G1" s="3" t="s">
        <v>370</v>
      </c>
      <c r="H1" s="3" t="s">
        <v>371</v>
      </c>
      <c r="I1" s="3" t="s">
        <v>372</v>
      </c>
      <c r="J1" s="3" t="s">
        <v>373</v>
      </c>
      <c r="K1" s="3" t="s">
        <v>374</v>
      </c>
      <c r="L1" s="3" t="s">
        <v>375</v>
      </c>
      <c r="M1" s="3" t="s">
        <v>376</v>
      </c>
      <c r="N1" s="3" t="s">
        <v>377</v>
      </c>
      <c r="O1" s="3" t="s">
        <v>378</v>
      </c>
      <c r="P1" s="3" t="s">
        <v>379</v>
      </c>
      <c r="Q1" s="3" t="s">
        <v>380</v>
      </c>
      <c r="R1" s="3" t="s">
        <v>381</v>
      </c>
      <c r="S1" s="3" t="s">
        <v>382</v>
      </c>
      <c r="T1" s="3" t="s">
        <v>383</v>
      </c>
      <c r="U1" s="3" t="s">
        <v>384</v>
      </c>
      <c r="V1" s="3" t="s">
        <v>385</v>
      </c>
      <c r="W1" s="3" t="s">
        <v>386</v>
      </c>
      <c r="X1" s="3" t="s">
        <v>387</v>
      </c>
      <c r="Y1" s="3" t="s">
        <v>388</v>
      </c>
      <c r="Z1" s="3" t="s">
        <v>389</v>
      </c>
      <c r="AA1" s="3" t="s">
        <v>390</v>
      </c>
      <c r="AB1" s="3" t="s">
        <v>391</v>
      </c>
      <c r="AC1" s="3" t="s">
        <v>392</v>
      </c>
      <c r="AD1" s="3" t="s">
        <v>393</v>
      </c>
      <c r="AE1" s="3" t="s">
        <v>394</v>
      </c>
      <c r="AF1" s="3" t="s">
        <v>395</v>
      </c>
      <c r="AG1" s="3" t="s">
        <v>396</v>
      </c>
      <c r="AH1" s="3" t="s">
        <v>397</v>
      </c>
      <c r="AI1" s="3" t="s">
        <v>398</v>
      </c>
      <c r="AJ1" s="3" t="s">
        <v>399</v>
      </c>
      <c r="AK1" s="3" t="s">
        <v>400</v>
      </c>
      <c r="AL1" s="3" t="s">
        <v>401</v>
      </c>
      <c r="AM1" s="3" t="s">
        <v>402</v>
      </c>
      <c r="AN1" s="3" t="s">
        <v>403</v>
      </c>
      <c r="AO1" s="3" t="s">
        <v>404</v>
      </c>
    </row>
    <row r="2" spans="1:41" ht="15" customHeight="1" x14ac:dyDescent="0.25">
      <c r="A2" s="98" t="s">
        <v>405</v>
      </c>
      <c r="B2" s="99">
        <v>1.6101000000000001E-2</v>
      </c>
      <c r="C2" s="99">
        <v>1.8518E-2</v>
      </c>
      <c r="D2" s="99">
        <v>2.1087000000000002E-2</v>
      </c>
      <c r="E2" s="99">
        <v>2.3772999999999999E-2</v>
      </c>
      <c r="F2" s="99">
        <v>2.6535E-2</v>
      </c>
      <c r="G2" s="99">
        <v>2.9322999999999998E-2</v>
      </c>
      <c r="H2" s="99">
        <v>3.2081999999999999E-2</v>
      </c>
      <c r="I2" s="99">
        <v>3.4751999999999998E-2</v>
      </c>
      <c r="J2" s="99">
        <v>3.7268999999999997E-2</v>
      </c>
      <c r="K2" s="99">
        <v>3.9572000000000003E-2</v>
      </c>
      <c r="L2" s="99">
        <v>4.1598999999999997E-2</v>
      </c>
      <c r="M2" s="99">
        <v>4.3295E-2</v>
      </c>
      <c r="N2" s="99">
        <v>4.4613E-2</v>
      </c>
      <c r="O2" s="99">
        <v>4.5512999999999998E-2</v>
      </c>
      <c r="P2" s="99">
        <v>4.5969999999999997E-2</v>
      </c>
      <c r="Q2" s="99">
        <v>4.5969999999999997E-2</v>
      </c>
      <c r="R2" s="99">
        <v>4.5512999999999998E-2</v>
      </c>
      <c r="S2" s="99">
        <v>4.4613E-2</v>
      </c>
      <c r="T2" s="99">
        <v>4.3295E-2</v>
      </c>
      <c r="U2" s="99">
        <v>4.1598999999999997E-2</v>
      </c>
      <c r="V2" s="99">
        <v>3.9572000000000003E-2</v>
      </c>
      <c r="W2" s="99">
        <v>3.7268999999999997E-2</v>
      </c>
      <c r="X2" s="99">
        <v>3.4751999999999998E-2</v>
      </c>
      <c r="Y2" s="99">
        <v>3.2081999999999999E-2</v>
      </c>
      <c r="Z2" s="99">
        <v>2.9322999999999998E-2</v>
      </c>
      <c r="AA2" s="99">
        <v>2.6535E-2</v>
      </c>
      <c r="AB2" s="99">
        <v>2.3772999999999999E-2</v>
      </c>
      <c r="AC2" s="99">
        <v>2.1087000000000002E-2</v>
      </c>
      <c r="AD2" s="99">
        <v>1.8518E-2</v>
      </c>
      <c r="AE2" s="99">
        <v>1.6101000000000001E-2</v>
      </c>
    </row>
    <row r="3" spans="1:41" ht="15" customHeight="1" x14ac:dyDescent="0.25">
      <c r="A3" s="98" t="s">
        <v>406</v>
      </c>
      <c r="B3" s="99">
        <v>2.0497000000000001E-2</v>
      </c>
      <c r="C3" s="99">
        <v>2.4336E-2</v>
      </c>
      <c r="D3" s="99">
        <v>2.8445000000000002E-2</v>
      </c>
      <c r="E3" s="99">
        <v>3.2735E-2</v>
      </c>
      <c r="F3" s="99">
        <v>3.7087000000000002E-2</v>
      </c>
      <c r="G3" s="99">
        <v>4.1368000000000002E-2</v>
      </c>
      <c r="H3" s="99">
        <v>4.5428000000000003E-2</v>
      </c>
      <c r="I3" s="99">
        <v>4.9113999999999998E-2</v>
      </c>
      <c r="J3" s="99">
        <v>5.2277999999999998E-2</v>
      </c>
      <c r="K3" s="99">
        <v>5.4782999999999998E-2</v>
      </c>
      <c r="L3" s="99">
        <v>5.6520000000000001E-2</v>
      </c>
      <c r="M3" s="99">
        <v>5.7409000000000002E-2</v>
      </c>
      <c r="N3" s="99">
        <v>5.7409000000000002E-2</v>
      </c>
      <c r="O3" s="99">
        <v>5.6520000000000001E-2</v>
      </c>
      <c r="P3" s="99">
        <v>5.4782999999999998E-2</v>
      </c>
      <c r="Q3" s="99">
        <v>5.2277999999999998E-2</v>
      </c>
      <c r="R3" s="99">
        <v>4.9113999999999998E-2</v>
      </c>
      <c r="S3" s="99">
        <v>4.5428000000000003E-2</v>
      </c>
      <c r="T3" s="99">
        <v>4.1368000000000002E-2</v>
      </c>
      <c r="U3" s="99">
        <v>3.7087000000000002E-2</v>
      </c>
      <c r="V3" s="99">
        <v>3.2735E-2</v>
      </c>
      <c r="W3" s="99">
        <v>2.8445000000000002E-2</v>
      </c>
      <c r="X3" s="99">
        <v>2.4336E-2</v>
      </c>
      <c r="Y3" s="99">
        <v>2.0497000000000001E-2</v>
      </c>
    </row>
    <row r="4" spans="1:41" ht="15" customHeight="1" x14ac:dyDescent="0.25">
      <c r="A4" s="98" t="s">
        <v>407</v>
      </c>
      <c r="B4" s="99">
        <v>2.6516999999999999E-2</v>
      </c>
      <c r="C4" s="99">
        <v>3.2760999999999998E-2</v>
      </c>
      <c r="D4" s="99">
        <v>3.9482000000000003E-2</v>
      </c>
      <c r="E4" s="99">
        <v>4.6412000000000002E-2</v>
      </c>
      <c r="F4" s="99">
        <v>5.3218000000000001E-2</v>
      </c>
      <c r="G4" s="99">
        <v>5.9521999999999999E-2</v>
      </c>
      <c r="H4" s="99">
        <v>6.4936999999999995E-2</v>
      </c>
      <c r="I4" s="99">
        <v>6.9103999999999999E-2</v>
      </c>
      <c r="J4" s="99">
        <v>7.1732000000000004E-2</v>
      </c>
      <c r="K4" s="99">
        <v>7.263E-2</v>
      </c>
      <c r="L4" s="99">
        <v>7.1732000000000004E-2</v>
      </c>
      <c r="M4" s="99">
        <v>6.9103999999999999E-2</v>
      </c>
      <c r="N4" s="99">
        <v>6.4936999999999995E-2</v>
      </c>
      <c r="O4" s="99">
        <v>5.9521999999999999E-2</v>
      </c>
      <c r="P4" s="99">
        <v>5.3218000000000001E-2</v>
      </c>
      <c r="Q4" s="99">
        <v>4.6412000000000002E-2</v>
      </c>
      <c r="R4" s="99">
        <v>3.9482000000000003E-2</v>
      </c>
      <c r="S4" s="99">
        <v>3.2760999999999998E-2</v>
      </c>
      <c r="T4" s="99">
        <v>2.6516999999999999E-2</v>
      </c>
    </row>
    <row r="5" spans="1:41" ht="15" customHeight="1" x14ac:dyDescent="0.25">
      <c r="A5" s="100" t="s">
        <v>408</v>
      </c>
    </row>
    <row r="6" spans="1:41" ht="15" customHeight="1" x14ac:dyDescent="0.25">
      <c r="A6" s="98" t="s">
        <v>210</v>
      </c>
      <c r="B6" s="99">
        <v>0.176029532991649</v>
      </c>
      <c r="C6" s="99">
        <v>0.16281853697000101</v>
      </c>
      <c r="D6" s="99">
        <v>0.14826708720117601</v>
      </c>
      <c r="E6" s="99">
        <v>0.1329235511272</v>
      </c>
      <c r="F6" s="99">
        <v>0.117325543887316</v>
      </c>
      <c r="G6" s="99">
        <v>0.10194975090498599</v>
      </c>
      <c r="H6" s="99">
        <v>8.7222680190674196E-2</v>
      </c>
      <c r="I6" s="99">
        <v>7.3463316726999003E-2</v>
      </c>
    </row>
    <row r="7" spans="1:41" ht="15" customHeight="1" x14ac:dyDescent="0.25">
      <c r="A7" s="98" t="s">
        <v>214</v>
      </c>
      <c r="B7" s="99">
        <v>7.2508633961636093E-2</v>
      </c>
      <c r="C7" s="99">
        <v>7.5983023342903494E-2</v>
      </c>
      <c r="D7" s="99">
        <v>7.8392210710273399E-2</v>
      </c>
      <c r="E7" s="99">
        <v>7.9625237520631401E-2</v>
      </c>
      <c r="F7" s="99">
        <v>7.9625237520631401E-2</v>
      </c>
      <c r="G7" s="99">
        <v>7.8392210710273399E-2</v>
      </c>
      <c r="H7" s="99">
        <v>7.5983023342903494E-2</v>
      </c>
      <c r="I7" s="99">
        <v>7.2508633961636093E-2</v>
      </c>
      <c r="J7" s="99">
        <v>6.8120223581464398E-2</v>
      </c>
      <c r="K7" s="99">
        <v>6.3007808707471705E-2</v>
      </c>
      <c r="L7" s="99">
        <v>5.7376662644419499E-2</v>
      </c>
      <c r="M7" s="99">
        <v>5.1438993606013998E-2</v>
      </c>
      <c r="N7" s="99">
        <v>4.5402848860594501E-2</v>
      </c>
      <c r="O7" s="99">
        <v>3.9452696986088602E-2</v>
      </c>
      <c r="P7" s="99">
        <v>3.3753588815378897E-2</v>
      </c>
      <c r="Q7" s="99">
        <v>2.842896572768E-2</v>
      </c>
    </row>
    <row r="8" spans="1:41" ht="15" customHeight="1" x14ac:dyDescent="0.25">
      <c r="A8" s="98" t="s">
        <v>158</v>
      </c>
      <c r="B8" s="99">
        <v>6.2255798827366399E-2</v>
      </c>
      <c r="C8" s="99">
        <v>6.9630381784405795E-2</v>
      </c>
      <c r="D8" s="99">
        <v>7.5964989448169706E-2</v>
      </c>
      <c r="E8" s="99">
        <v>8.0839654293027405E-2</v>
      </c>
      <c r="F8" s="99">
        <v>8.3913956959762698E-2</v>
      </c>
      <c r="G8" s="99">
        <v>8.4964460686828197E-2</v>
      </c>
      <c r="H8" s="99">
        <v>8.3913956959762698E-2</v>
      </c>
      <c r="I8" s="99">
        <v>8.0839654293027405E-2</v>
      </c>
      <c r="J8" s="99">
        <v>7.5964989448169706E-2</v>
      </c>
      <c r="K8" s="99">
        <v>6.9630381784405795E-2</v>
      </c>
      <c r="L8" s="99">
        <v>6.2255798827366399E-2</v>
      </c>
      <c r="M8" s="99">
        <v>5.4293963230029899E-2</v>
      </c>
      <c r="N8" s="99">
        <v>4.6187069211584102E-2</v>
      </c>
      <c r="O8" s="99">
        <v>3.8324668822265998E-2</v>
      </c>
      <c r="P8" s="99">
        <v>3.1020275423828E-2</v>
      </c>
    </row>
    <row r="9" spans="1:41" ht="15" customHeight="1" x14ac:dyDescent="0.25">
      <c r="A9" s="98" t="s">
        <v>159</v>
      </c>
      <c r="B9" s="99">
        <v>6.2255798827366399E-2</v>
      </c>
      <c r="C9" s="99">
        <v>6.9630381784405795E-2</v>
      </c>
      <c r="D9" s="99">
        <v>7.5964989448169706E-2</v>
      </c>
      <c r="E9" s="99">
        <v>8.0839654293027405E-2</v>
      </c>
      <c r="F9" s="99">
        <v>8.3913956959762698E-2</v>
      </c>
      <c r="G9" s="99">
        <v>8.4964460686828197E-2</v>
      </c>
      <c r="H9" s="99">
        <v>8.3913956959762698E-2</v>
      </c>
      <c r="I9" s="99">
        <v>8.0839654293027405E-2</v>
      </c>
      <c r="J9" s="99">
        <v>7.5964989448169706E-2</v>
      </c>
      <c r="K9" s="99">
        <v>6.9630381784405795E-2</v>
      </c>
      <c r="L9" s="99">
        <v>6.2255798827366399E-2</v>
      </c>
      <c r="M9" s="99">
        <v>5.4293963230029899E-2</v>
      </c>
      <c r="N9" s="99">
        <v>4.6187069211584102E-2</v>
      </c>
      <c r="O9" s="99">
        <v>3.8324668822265998E-2</v>
      </c>
      <c r="P9" s="99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19" t="s">
        <v>409</v>
      </c>
      <c r="B1" s="218"/>
      <c r="C1" s="218"/>
      <c r="D1" s="218"/>
    </row>
    <row r="3" spans="1:4" ht="15" customHeight="1" x14ac:dyDescent="0.25">
      <c r="A3" s="6" t="s">
        <v>410</v>
      </c>
      <c r="B3" s="6"/>
      <c r="C3" s="6"/>
      <c r="D3" s="6"/>
    </row>
    <row r="4" spans="1:4" ht="15" customHeight="1" x14ac:dyDescent="0.25">
      <c r="A4" s="98" t="s">
        <v>411</v>
      </c>
      <c r="B4" s="99">
        <v>0.06</v>
      </c>
    </row>
    <row r="5" spans="1:4" ht="15" customHeight="1" x14ac:dyDescent="0.25">
      <c r="A5" s="98" t="s">
        <v>241</v>
      </c>
      <c r="B5" s="99">
        <v>0.06</v>
      </c>
    </row>
    <row r="6" spans="1:4" ht="15" customHeight="1" x14ac:dyDescent="0.25">
      <c r="A6" s="98" t="s">
        <v>412</v>
      </c>
      <c r="B6" s="99">
        <v>0.02</v>
      </c>
    </row>
    <row r="7" spans="1:4" ht="15" customHeight="1" x14ac:dyDescent="0.25">
      <c r="A7" s="98" t="s">
        <v>413</v>
      </c>
      <c r="B7" s="101">
        <f>B4+B5+B6</f>
        <v>0.13999999999999999</v>
      </c>
    </row>
    <row r="8" spans="1:4" ht="15" customHeight="1" x14ac:dyDescent="0.25">
      <c r="A8" s="98" t="s">
        <v>244</v>
      </c>
      <c r="B8" s="99">
        <v>9.1999999999999998E-2</v>
      </c>
    </row>
    <row r="9" spans="1:4" ht="15" customHeight="1" x14ac:dyDescent="0.25">
      <c r="A9" s="98" t="s">
        <v>414</v>
      </c>
      <c r="B9" s="101">
        <f>B7/(1+B7+B8)</f>
        <v>0.11363636363636363</v>
      </c>
    </row>
    <row r="10" spans="1:4" ht="15" customHeight="1" x14ac:dyDescent="0.25">
      <c r="A10" s="98" t="s">
        <v>415</v>
      </c>
      <c r="B10" s="101">
        <f>B4/(1+B7+B8)</f>
        <v>4.8701298701298697E-2</v>
      </c>
    </row>
    <row r="11" spans="1:4" ht="15" customHeight="1" x14ac:dyDescent="0.25">
      <c r="A11" s="98" t="s">
        <v>416</v>
      </c>
      <c r="B11" s="101">
        <f>B5/(1+B7+B8)</f>
        <v>4.8701298701298697E-2</v>
      </c>
    </row>
    <row r="12" spans="1:4" ht="15" customHeight="1" x14ac:dyDescent="0.25">
      <c r="A12" s="98" t="s">
        <v>417</v>
      </c>
      <c r="B12" s="101">
        <f>B6/(1+B7+B8)</f>
        <v>1.6233766233766236E-2</v>
      </c>
    </row>
    <row r="14" spans="1:4" ht="15" customHeight="1" x14ac:dyDescent="0.25">
      <c r="A14" s="6" t="s">
        <v>418</v>
      </c>
      <c r="B14" s="6"/>
      <c r="C14" s="6"/>
      <c r="D14" s="6"/>
    </row>
    <row r="15" spans="1:4" ht="15" customHeight="1" x14ac:dyDescent="0.25">
      <c r="A15" s="98" t="s">
        <v>248</v>
      </c>
      <c r="B15" s="99">
        <v>1.4999999999999999E-2</v>
      </c>
    </row>
    <row r="16" spans="1:4" ht="15" customHeight="1" x14ac:dyDescent="0.25">
      <c r="A16" s="98" t="s">
        <v>250</v>
      </c>
      <c r="B16" s="99">
        <v>7.4000000000000003E-3</v>
      </c>
    </row>
    <row r="17" spans="1:4" ht="15" customHeight="1" x14ac:dyDescent="0.25">
      <c r="A17" s="98" t="s">
        <v>252</v>
      </c>
      <c r="B17" s="99">
        <v>3.2500000000000001E-2</v>
      </c>
    </row>
    <row r="19" spans="1:4" ht="15" customHeight="1" x14ac:dyDescent="0.25">
      <c r="A19" s="6" t="s">
        <v>419</v>
      </c>
      <c r="B19" s="6"/>
      <c r="C19" s="6"/>
      <c r="D19" s="6"/>
    </row>
    <row r="20" spans="1:4" ht="15" customHeight="1" x14ac:dyDescent="0.25">
      <c r="A20" s="98" t="s">
        <v>420</v>
      </c>
      <c r="B20" s="99">
        <v>7.0000000000000007E-2</v>
      </c>
    </row>
    <row r="21" spans="1:4" ht="15" customHeight="1" x14ac:dyDescent="0.25">
      <c r="A21" s="98" t="s">
        <v>421</v>
      </c>
      <c r="B21" s="99">
        <v>5.0000000000000001E-3</v>
      </c>
    </row>
    <row r="22" spans="1:4" ht="15" customHeight="1" x14ac:dyDescent="0.25">
      <c r="A22" s="98" t="s">
        <v>422</v>
      </c>
      <c r="B22" s="99">
        <v>7.0000000000000007E-2</v>
      </c>
    </row>
    <row r="23" spans="1:4" ht="15" customHeight="1" x14ac:dyDescent="0.25">
      <c r="A23" s="98" t="s">
        <v>423</v>
      </c>
      <c r="B23" s="99">
        <v>0.02</v>
      </c>
    </row>
    <row r="25" spans="1:4" ht="15" customHeight="1" x14ac:dyDescent="0.25">
      <c r="A25" s="6" t="s">
        <v>424</v>
      </c>
      <c r="B25" s="6"/>
      <c r="C25" s="6"/>
      <c r="D25" s="6"/>
    </row>
    <row r="26" spans="1:4" ht="15" customHeight="1" x14ac:dyDescent="0.25">
      <c r="A26" s="98" t="s">
        <v>425</v>
      </c>
      <c r="B26" s="75">
        <v>0.02</v>
      </c>
    </row>
    <row r="28" spans="1:4" ht="15" customHeight="1" x14ac:dyDescent="0.25">
      <c r="A28" s="6" t="s">
        <v>426</v>
      </c>
      <c r="B28" s="6"/>
      <c r="C28" s="6"/>
      <c r="D28" s="6"/>
    </row>
    <row r="29" spans="1:4" ht="15" customHeight="1" x14ac:dyDescent="0.25">
      <c r="A29" s="98" t="s">
        <v>427</v>
      </c>
      <c r="B29" s="77">
        <v>1025542</v>
      </c>
    </row>
    <row r="30" spans="1:4" ht="15" customHeight="1" x14ac:dyDescent="0.25">
      <c r="A30" s="98" t="s">
        <v>428</v>
      </c>
      <c r="B30" s="77">
        <v>237987</v>
      </c>
    </row>
    <row r="32" spans="1:4" ht="15" customHeight="1" x14ac:dyDescent="0.25">
      <c r="A32" s="6" t="s">
        <v>429</v>
      </c>
      <c r="B32" s="6"/>
      <c r="C32" s="6"/>
      <c r="D32" s="6"/>
    </row>
    <row r="33" spans="1:4" ht="15" customHeight="1" x14ac:dyDescent="0.25">
      <c r="A33" s="98" t="s">
        <v>430</v>
      </c>
      <c r="B33" s="77">
        <v>1615485</v>
      </c>
    </row>
    <row r="34" spans="1:4" ht="15" customHeight="1" x14ac:dyDescent="0.25">
      <c r="A34" s="98" t="s">
        <v>431</v>
      </c>
      <c r="B34" s="99">
        <v>0.15</v>
      </c>
    </row>
    <row r="35" spans="1:4" ht="15" customHeight="1" x14ac:dyDescent="0.25">
      <c r="A35" s="98" t="s">
        <v>432</v>
      </c>
      <c r="B35" s="101">
        <f>B34/4</f>
        <v>3.7499999999999999E-2</v>
      </c>
    </row>
    <row r="36" spans="1:4" ht="15" customHeight="1" x14ac:dyDescent="0.25">
      <c r="A36" s="98" t="s">
        <v>433</v>
      </c>
      <c r="B36" s="77">
        <v>130000</v>
      </c>
    </row>
    <row r="37" spans="1:4" ht="15" customHeight="1" x14ac:dyDescent="0.25">
      <c r="A37" s="98" t="s">
        <v>434</v>
      </c>
      <c r="B37" s="102">
        <v>7</v>
      </c>
    </row>
    <row r="38" spans="1:4" ht="15" customHeight="1" x14ac:dyDescent="0.25">
      <c r="A38" s="103" t="s">
        <v>435</v>
      </c>
    </row>
    <row r="40" spans="1:4" ht="15" customHeight="1" x14ac:dyDescent="0.25">
      <c r="A40" s="6" t="s">
        <v>436</v>
      </c>
      <c r="B40" s="6"/>
      <c r="C40" s="6"/>
      <c r="D40" s="6"/>
    </row>
    <row r="41" spans="1:4" ht="15" customHeight="1" x14ac:dyDescent="0.25">
      <c r="A41" s="98" t="s">
        <v>437</v>
      </c>
      <c r="B41" s="77">
        <v>1000000</v>
      </c>
    </row>
    <row r="42" spans="1:4" ht="15" customHeight="1" x14ac:dyDescent="0.25">
      <c r="A42" s="98" t="s">
        <v>438</v>
      </c>
      <c r="B42" s="104">
        <f>B41*0.25</f>
        <v>250000</v>
      </c>
    </row>
    <row r="43" spans="1:4" ht="15" customHeight="1" x14ac:dyDescent="0.25">
      <c r="A43" s="98" t="s">
        <v>439</v>
      </c>
      <c r="B43" s="77">
        <v>1000000</v>
      </c>
    </row>
    <row r="44" spans="1:4" ht="15" customHeight="1" x14ac:dyDescent="0.25">
      <c r="A44" s="103" t="s">
        <v>440</v>
      </c>
    </row>
    <row r="46" spans="1:4" ht="15" customHeight="1" x14ac:dyDescent="0.25">
      <c r="A46" s="6" t="s">
        <v>441</v>
      </c>
      <c r="B46" s="6"/>
      <c r="C46" s="6"/>
      <c r="D46" s="6"/>
    </row>
    <row r="47" spans="1:4" ht="15" customHeight="1" x14ac:dyDescent="0.25">
      <c r="A47" s="98" t="s">
        <v>442</v>
      </c>
      <c r="B47" s="99">
        <v>0.01</v>
      </c>
    </row>
    <row r="48" spans="1:4" ht="15" customHeight="1" x14ac:dyDescent="0.25">
      <c r="A48" s="98" t="s">
        <v>443</v>
      </c>
      <c r="B48" s="99">
        <v>0.03</v>
      </c>
    </row>
    <row r="50" spans="1:4" ht="15" customHeight="1" x14ac:dyDescent="0.25">
      <c r="A50" s="6" t="s">
        <v>444</v>
      </c>
      <c r="B50" s="6"/>
      <c r="C50" s="105"/>
      <c r="D50" s="6"/>
    </row>
    <row r="51" spans="1:4" ht="15" customHeight="1" x14ac:dyDescent="0.25">
      <c r="A51" s="98" t="s">
        <v>50</v>
      </c>
      <c r="B51" s="77">
        <v>2000000</v>
      </c>
    </row>
    <row r="52" spans="1:4" ht="15" customHeight="1" x14ac:dyDescent="0.25">
      <c r="A52" s="98" t="s">
        <v>51</v>
      </c>
      <c r="B52" s="77">
        <v>2000000</v>
      </c>
    </row>
    <row r="53" spans="1:4" ht="15" customHeight="1" x14ac:dyDescent="0.25">
      <c r="A53" s="98" t="s">
        <v>49</v>
      </c>
      <c r="B53" s="77">
        <v>5000000</v>
      </c>
      <c r="C53" s="106"/>
    </row>
    <row r="54" spans="1:4" ht="15" customHeight="1" x14ac:dyDescent="0.25">
      <c r="A54" s="98" t="s">
        <v>54</v>
      </c>
      <c r="B54" s="77">
        <v>5000000</v>
      </c>
      <c r="C54" s="106"/>
    </row>
    <row r="55" spans="1:4" ht="15" customHeight="1" x14ac:dyDescent="0.25">
      <c r="A55" s="98" t="s">
        <v>57</v>
      </c>
      <c r="B55" s="77">
        <v>5000000</v>
      </c>
      <c r="C55" s="106"/>
    </row>
    <row r="57" spans="1:4" ht="15" customHeight="1" x14ac:dyDescent="0.25">
      <c r="A57" s="6" t="s">
        <v>445</v>
      </c>
      <c r="B57" s="6"/>
      <c r="C57" s="6"/>
      <c r="D57" s="6"/>
    </row>
    <row r="58" spans="1:4" ht="15" customHeight="1" x14ac:dyDescent="0.25">
      <c r="A58" s="98" t="s">
        <v>446</v>
      </c>
      <c r="B58" s="99">
        <v>0.15</v>
      </c>
    </row>
    <row r="59" spans="1:4" ht="15" customHeight="1" x14ac:dyDescent="0.25">
      <c r="A59" s="98" t="s">
        <v>447</v>
      </c>
      <c r="B59" s="101">
        <f>B58/4</f>
        <v>3.7499999999999999E-2</v>
      </c>
    </row>
    <row r="60" spans="1:4" ht="15" customHeight="1" x14ac:dyDescent="0.25">
      <c r="A60" s="98" t="s">
        <v>448</v>
      </c>
      <c r="B60" s="77">
        <v>0</v>
      </c>
    </row>
    <row r="61" spans="1:4" ht="15" customHeight="1" x14ac:dyDescent="0.25">
      <c r="A61" s="98" t="s">
        <v>449</v>
      </c>
      <c r="B61" s="77">
        <v>0</v>
      </c>
    </row>
    <row r="62" spans="1:4" ht="15" customHeight="1" x14ac:dyDescent="0.25">
      <c r="A62" s="98" t="s">
        <v>450</v>
      </c>
      <c r="B62" s="77">
        <v>1784000</v>
      </c>
    </row>
    <row r="63" spans="1:4" ht="15" customHeight="1" x14ac:dyDescent="0.25">
      <c r="A63" s="98" t="s">
        <v>451</v>
      </c>
      <c r="B63" s="77">
        <v>1766181</v>
      </c>
    </row>
    <row r="64" spans="1:4" ht="15" customHeight="1" x14ac:dyDescent="0.25">
      <c r="A64" s="103" t="s">
        <v>452</v>
      </c>
    </row>
    <row r="66" spans="1:2" ht="15" customHeight="1" x14ac:dyDescent="0.25">
      <c r="A66" s="4" t="s">
        <v>88</v>
      </c>
    </row>
    <row r="67" spans="1:2" ht="15" customHeight="1" x14ac:dyDescent="0.25">
      <c r="A67" s="106" t="s">
        <v>453</v>
      </c>
      <c r="B67" s="107">
        <v>833.33</v>
      </c>
    </row>
    <row r="68" spans="1:2" ht="15" customHeight="1" x14ac:dyDescent="0.25">
      <c r="A68" s="106" t="s">
        <v>454</v>
      </c>
      <c r="B68" s="106">
        <v>5</v>
      </c>
    </row>
    <row r="70" spans="1:2" ht="15" customHeight="1" x14ac:dyDescent="0.25">
      <c r="A70" s="108" t="s">
        <v>455</v>
      </c>
      <c r="B70" s="108"/>
    </row>
    <row r="71" spans="1:2" ht="15" customHeight="1" x14ac:dyDescent="0.25">
      <c r="A71" s="109" t="s">
        <v>456</v>
      </c>
      <c r="B71" s="110">
        <v>1134000</v>
      </c>
    </row>
    <row r="72" spans="1:2" ht="15" customHeight="1" x14ac:dyDescent="0.25">
      <c r="A72" s="111" t="s">
        <v>457</v>
      </c>
      <c r="B72" s="112">
        <v>50000</v>
      </c>
    </row>
    <row r="73" spans="1:2" ht="15" customHeight="1" x14ac:dyDescent="0.25">
      <c r="A73" s="109" t="s">
        <v>458</v>
      </c>
      <c r="B73" s="113">
        <v>14</v>
      </c>
    </row>
    <row r="74" spans="1:2" ht="15" customHeight="1" x14ac:dyDescent="0.25">
      <c r="A74" s="111" t="s">
        <v>154</v>
      </c>
      <c r="B74" s="112">
        <v>-1450000</v>
      </c>
    </row>
    <row r="75" spans="1:2" ht="15" customHeight="1" x14ac:dyDescent="0.25">
      <c r="A75" s="109" t="s">
        <v>459</v>
      </c>
      <c r="B75" s="110">
        <v>264927.15000000002</v>
      </c>
    </row>
    <row r="76" spans="1:2" ht="15" customHeight="1" x14ac:dyDescent="0.25">
      <c r="A76" s="111" t="s">
        <v>460</v>
      </c>
      <c r="B76" s="112">
        <v>883090.5</v>
      </c>
    </row>
    <row r="77" spans="1:2" ht="15" customHeight="1" x14ac:dyDescent="0.25">
      <c r="A77" s="109" t="s">
        <v>149</v>
      </c>
      <c r="B77" s="110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1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271</v>
      </c>
      <c r="B1" s="26" t="s">
        <v>461</v>
      </c>
      <c r="C1" s="26" t="s">
        <v>462</v>
      </c>
      <c r="D1" s="26" t="s">
        <v>275</v>
      </c>
      <c r="E1" s="26" t="s">
        <v>364</v>
      </c>
      <c r="F1" s="26" t="s">
        <v>463</v>
      </c>
      <c r="G1" s="26" t="s">
        <v>272</v>
      </c>
      <c r="H1" s="26" t="s">
        <v>464</v>
      </c>
      <c r="I1" s="26" t="s">
        <v>465</v>
      </c>
      <c r="J1" s="26" t="s">
        <v>466</v>
      </c>
      <c r="K1" s="26" t="s">
        <v>277</v>
      </c>
      <c r="L1" s="26" t="s">
        <v>274</v>
      </c>
      <c r="N1" s="26" t="s">
        <v>467</v>
      </c>
      <c r="O1" s="26" t="s">
        <v>468</v>
      </c>
      <c r="P1" s="26" t="s">
        <v>469</v>
      </c>
      <c r="Q1" s="26" t="s">
        <v>470</v>
      </c>
      <c r="R1" s="26" t="s">
        <v>471</v>
      </c>
      <c r="S1" s="26" t="s">
        <v>472</v>
      </c>
    </row>
    <row r="2" spans="1:19" ht="15" customHeight="1" x14ac:dyDescent="0.25">
      <c r="A2" s="98" t="s">
        <v>210</v>
      </c>
      <c r="B2" s="114">
        <v>7126075</v>
      </c>
      <c r="C2" s="115">
        <v>1</v>
      </c>
      <c r="D2" s="115">
        <v>8</v>
      </c>
      <c r="E2" s="115">
        <v>2</v>
      </c>
      <c r="F2" s="115" t="s">
        <v>280</v>
      </c>
      <c r="G2" s="115" t="s">
        <v>284</v>
      </c>
      <c r="H2" s="115">
        <v>0</v>
      </c>
      <c r="I2" s="101">
        <f>IF(H2=1,Assumptions!$B$16,IF(H2=2,Assumptions!$B$17,0))</f>
        <v>0</v>
      </c>
      <c r="J2" s="115" t="s">
        <v>280</v>
      </c>
      <c r="K2" s="115" t="s">
        <v>280</v>
      </c>
      <c r="L2" s="115" t="s">
        <v>473</v>
      </c>
      <c r="N2" s="114">
        <v>194932</v>
      </c>
      <c r="O2" s="114">
        <f>B2*Assumptions!$B$11</f>
        <v>347049.1071428571</v>
      </c>
      <c r="P2" s="114">
        <v>46323</v>
      </c>
      <c r="Q2" s="114">
        <f t="shared" ref="Q2:Q16" si="0">N2+O2+P2</f>
        <v>588304.10714285704</v>
      </c>
      <c r="R2" s="114">
        <f t="shared" ref="R2:R16" si="1">Q2*0.05</f>
        <v>29415.205357142855</v>
      </c>
      <c r="S2" s="98">
        <f t="shared" ref="S2:S16" si="2">C2+D2-1</f>
        <v>8</v>
      </c>
    </row>
    <row r="3" spans="1:19" ht="15" customHeight="1" x14ac:dyDescent="0.25">
      <c r="A3" s="98" t="s">
        <v>214</v>
      </c>
      <c r="B3" s="114">
        <v>20176449</v>
      </c>
      <c r="C3" s="115">
        <v>1</v>
      </c>
      <c r="D3" s="115">
        <v>16</v>
      </c>
      <c r="E3" s="115">
        <v>2</v>
      </c>
      <c r="F3" s="115" t="s">
        <v>280</v>
      </c>
      <c r="G3" s="115" t="s">
        <v>284</v>
      </c>
      <c r="H3" s="115">
        <v>0</v>
      </c>
      <c r="I3" s="101">
        <f>IF(H3=1,Assumptions!$B$16,IF(H3=2,Assumptions!$B$17,0))</f>
        <v>0</v>
      </c>
      <c r="J3" s="115" t="s">
        <v>280</v>
      </c>
      <c r="K3" s="115" t="s">
        <v>280</v>
      </c>
      <c r="L3" s="115" t="s">
        <v>473</v>
      </c>
      <c r="N3" s="114">
        <v>888067</v>
      </c>
      <c r="O3" s="114">
        <f>B3*Assumptions!$B$11</f>
        <v>982619.26948051935</v>
      </c>
      <c r="P3" s="114">
        <v>176626</v>
      </c>
      <c r="Q3" s="114">
        <f t="shared" si="0"/>
        <v>2047312.2694805195</v>
      </c>
      <c r="R3" s="114">
        <f t="shared" si="1"/>
        <v>102365.61347402597</v>
      </c>
      <c r="S3" s="98">
        <f t="shared" si="2"/>
        <v>16</v>
      </c>
    </row>
    <row r="4" spans="1:19" ht="15" customHeight="1" x14ac:dyDescent="0.25">
      <c r="A4" s="98" t="s">
        <v>158</v>
      </c>
      <c r="B4" s="114">
        <v>11929880</v>
      </c>
      <c r="C4" s="115">
        <v>1</v>
      </c>
      <c r="D4" s="115">
        <v>15</v>
      </c>
      <c r="E4" s="115">
        <v>3</v>
      </c>
      <c r="F4" s="115" t="s">
        <v>284</v>
      </c>
      <c r="G4" s="115" t="s">
        <v>284</v>
      </c>
      <c r="H4" s="115">
        <v>1</v>
      </c>
      <c r="I4" s="101">
        <f>IF(H4=1,Assumptions!$B$16,IF(H4=2,Assumptions!$B$17,0))</f>
        <v>7.4000000000000003E-3</v>
      </c>
      <c r="J4" s="115" t="s">
        <v>280</v>
      </c>
      <c r="K4" s="115" t="s">
        <v>284</v>
      </c>
      <c r="L4" s="115" t="s">
        <v>474</v>
      </c>
      <c r="N4" s="114">
        <f>B4*Assumptions!$B$10</f>
        <v>581000.64935064933</v>
      </c>
      <c r="O4" s="114">
        <f>B4*Assumptions!$B$11</f>
        <v>581000.64935064933</v>
      </c>
      <c r="P4" s="114">
        <f>B4*Assumptions!$B$12</f>
        <v>193666.88311688314</v>
      </c>
      <c r="Q4" s="114">
        <f t="shared" si="0"/>
        <v>1355668.1818181819</v>
      </c>
      <c r="R4" s="114">
        <f t="shared" si="1"/>
        <v>67783.409090909103</v>
      </c>
      <c r="S4" s="98">
        <f t="shared" si="2"/>
        <v>15</v>
      </c>
    </row>
    <row r="5" spans="1:19" ht="15" customHeight="1" x14ac:dyDescent="0.25">
      <c r="A5" s="98" t="s">
        <v>159</v>
      </c>
      <c r="B5" s="114">
        <v>14427884</v>
      </c>
      <c r="C5" s="115">
        <v>1</v>
      </c>
      <c r="D5" s="115">
        <v>15</v>
      </c>
      <c r="E5" s="115">
        <v>3</v>
      </c>
      <c r="F5" s="115" t="s">
        <v>284</v>
      </c>
      <c r="G5" s="115" t="s">
        <v>284</v>
      </c>
      <c r="H5" s="115">
        <v>1</v>
      </c>
      <c r="I5" s="101">
        <f>IF(H5=1,Assumptions!$B$16,IF(H5=2,Assumptions!$B$17,0))</f>
        <v>7.4000000000000003E-3</v>
      </c>
      <c r="J5" s="115" t="s">
        <v>280</v>
      </c>
      <c r="K5" s="115" t="s">
        <v>284</v>
      </c>
      <c r="L5" s="115" t="s">
        <v>474</v>
      </c>
      <c r="N5" s="114">
        <f>B5*Assumptions!$B$10</f>
        <v>702656.68831168825</v>
      </c>
      <c r="O5" s="114">
        <f>B5*Assumptions!$B$11</f>
        <v>702656.68831168825</v>
      </c>
      <c r="P5" s="114">
        <f>B5*Assumptions!$B$12</f>
        <v>234218.89610389614</v>
      </c>
      <c r="Q5" s="114">
        <f t="shared" si="0"/>
        <v>1639532.2727272727</v>
      </c>
      <c r="R5" s="114">
        <f t="shared" si="1"/>
        <v>81976.613636363647</v>
      </c>
      <c r="S5" s="98">
        <f t="shared" si="2"/>
        <v>15</v>
      </c>
    </row>
    <row r="6" spans="1:19" ht="15" customHeight="1" x14ac:dyDescent="0.25">
      <c r="A6" s="98" t="s">
        <v>285</v>
      </c>
      <c r="B6" s="114">
        <v>3623245</v>
      </c>
      <c r="C6" s="115">
        <v>1</v>
      </c>
      <c r="D6" s="115">
        <v>19</v>
      </c>
      <c r="E6" s="115">
        <v>3</v>
      </c>
      <c r="F6" s="115" t="s">
        <v>280</v>
      </c>
      <c r="G6" s="115" t="s">
        <v>284</v>
      </c>
      <c r="H6" s="115">
        <v>0</v>
      </c>
      <c r="I6" s="101">
        <f>IF(H6=1,Assumptions!$B$16,IF(H6=2,Assumptions!$B$17,0))</f>
        <v>0</v>
      </c>
      <c r="J6" s="115" t="s">
        <v>280</v>
      </c>
      <c r="K6" s="115" t="s">
        <v>284</v>
      </c>
      <c r="L6" s="115" t="s">
        <v>474</v>
      </c>
      <c r="N6" s="114">
        <v>245000</v>
      </c>
      <c r="O6" s="114">
        <f>B6*Assumptions!$B$11</f>
        <v>176456.737012987</v>
      </c>
      <c r="P6" s="114">
        <v>0</v>
      </c>
      <c r="Q6" s="114">
        <f t="shared" si="0"/>
        <v>421456.73701298703</v>
      </c>
      <c r="R6" s="114">
        <f t="shared" si="1"/>
        <v>21072.836850649353</v>
      </c>
      <c r="S6" s="98">
        <f t="shared" si="2"/>
        <v>19</v>
      </c>
    </row>
    <row r="7" spans="1:19" ht="15" customHeight="1" x14ac:dyDescent="0.25">
      <c r="A7" s="98" t="s">
        <v>49</v>
      </c>
      <c r="B7" s="114">
        <v>42968448</v>
      </c>
      <c r="C7" s="115">
        <v>4</v>
      </c>
      <c r="D7" s="115">
        <v>30</v>
      </c>
      <c r="E7" s="115">
        <v>1</v>
      </c>
      <c r="F7" s="115" t="s">
        <v>284</v>
      </c>
      <c r="G7" s="115" t="s">
        <v>284</v>
      </c>
      <c r="H7" s="115">
        <v>1</v>
      </c>
      <c r="I7" s="101">
        <f>IF(H7=1,Assumptions!$B$16,IF(H7=2,Assumptions!$B$17,0))</f>
        <v>7.4000000000000003E-3</v>
      </c>
      <c r="J7" s="115" t="s">
        <v>284</v>
      </c>
      <c r="K7" s="115" t="s">
        <v>284</v>
      </c>
      <c r="L7" s="115" t="s">
        <v>473</v>
      </c>
      <c r="N7" s="114">
        <f>B7*Assumptions!$B$10</f>
        <v>2092619.2207792206</v>
      </c>
      <c r="O7" s="114">
        <f>B7*Assumptions!$B$11</f>
        <v>2092619.2207792206</v>
      </c>
      <c r="P7" s="114">
        <f>B7*Assumptions!$B$12</f>
        <v>697539.74025974039</v>
      </c>
      <c r="Q7" s="114">
        <f t="shared" si="0"/>
        <v>4882778.1818181816</v>
      </c>
      <c r="R7" s="114">
        <f t="shared" si="1"/>
        <v>244138.90909090909</v>
      </c>
      <c r="S7" s="98">
        <f t="shared" si="2"/>
        <v>33</v>
      </c>
    </row>
    <row r="8" spans="1:19" ht="15" customHeight="1" x14ac:dyDescent="0.25">
      <c r="A8" s="98" t="s">
        <v>160</v>
      </c>
      <c r="B8" s="114">
        <v>13625772</v>
      </c>
      <c r="C8" s="115">
        <v>7</v>
      </c>
      <c r="D8" s="115">
        <v>19</v>
      </c>
      <c r="E8" s="115">
        <v>3</v>
      </c>
      <c r="F8" s="115" t="s">
        <v>284</v>
      </c>
      <c r="G8" s="115" t="s">
        <v>284</v>
      </c>
      <c r="H8" s="115">
        <v>1</v>
      </c>
      <c r="I8" s="101">
        <f>IF(H8=1,Assumptions!$B$16,IF(H8=2,Assumptions!$B$17,0))</f>
        <v>7.4000000000000003E-3</v>
      </c>
      <c r="J8" s="115" t="s">
        <v>280</v>
      </c>
      <c r="K8" s="115" t="s">
        <v>284</v>
      </c>
      <c r="L8" s="115" t="s">
        <v>474</v>
      </c>
      <c r="N8" s="114">
        <f>B8*Assumptions!$B$10</f>
        <v>663592.79220779217</v>
      </c>
      <c r="O8" s="114">
        <f>B8*Assumptions!$B$11</f>
        <v>663592.79220779217</v>
      </c>
      <c r="P8" s="114">
        <f>B8*Assumptions!$B$12</f>
        <v>221197.59740259743</v>
      </c>
      <c r="Q8" s="114">
        <f t="shared" si="0"/>
        <v>1548383.1818181816</v>
      </c>
      <c r="R8" s="114">
        <f t="shared" si="1"/>
        <v>77419.159090909088</v>
      </c>
      <c r="S8" s="98">
        <f t="shared" si="2"/>
        <v>25</v>
      </c>
    </row>
    <row r="9" spans="1:19" ht="15" customHeight="1" x14ac:dyDescent="0.25">
      <c r="A9" s="98" t="s">
        <v>161</v>
      </c>
      <c r="B9" s="114">
        <v>15844883</v>
      </c>
      <c r="C9" s="115">
        <v>7</v>
      </c>
      <c r="D9" s="115">
        <v>30</v>
      </c>
      <c r="E9" s="115">
        <v>1</v>
      </c>
      <c r="F9" s="115" t="s">
        <v>284</v>
      </c>
      <c r="G9" s="115" t="s">
        <v>284</v>
      </c>
      <c r="H9" s="115">
        <v>1</v>
      </c>
      <c r="I9" s="101">
        <f>IF(H9=1,Assumptions!$B$16,IF(H9=2,Assumptions!$B$17,0))</f>
        <v>7.4000000000000003E-3</v>
      </c>
      <c r="J9" s="115" t="s">
        <v>280</v>
      </c>
      <c r="K9" s="115" t="s">
        <v>284</v>
      </c>
      <c r="L9" s="115" t="s">
        <v>474</v>
      </c>
      <c r="N9" s="114">
        <f>B9*Assumptions!$B$10</f>
        <v>771666.37987012975</v>
      </c>
      <c r="O9" s="114">
        <f>B9*Assumptions!$B$11</f>
        <v>771666.37987012975</v>
      </c>
      <c r="P9" s="114">
        <f>B9*Assumptions!$B$12</f>
        <v>257222.12662337665</v>
      </c>
      <c r="Q9" s="114">
        <f t="shared" si="0"/>
        <v>1800554.8863636362</v>
      </c>
      <c r="R9" s="114">
        <f t="shared" si="1"/>
        <v>90027.744318181823</v>
      </c>
      <c r="S9" s="98">
        <f t="shared" si="2"/>
        <v>36</v>
      </c>
    </row>
    <row r="10" spans="1:19" ht="15" customHeight="1" x14ac:dyDescent="0.25">
      <c r="A10" s="98" t="s">
        <v>53</v>
      </c>
      <c r="B10" s="114">
        <v>21263405</v>
      </c>
      <c r="C10" s="115">
        <v>8</v>
      </c>
      <c r="D10" s="115">
        <v>24</v>
      </c>
      <c r="E10" s="115">
        <v>2</v>
      </c>
      <c r="F10" s="115" t="s">
        <v>284</v>
      </c>
      <c r="G10" s="115" t="s">
        <v>284</v>
      </c>
      <c r="H10" s="115">
        <v>1</v>
      </c>
      <c r="I10" s="101">
        <f>IF(H10=1,Assumptions!$B$16,IF(H10=2,Assumptions!$B$17,0))</f>
        <v>7.4000000000000003E-3</v>
      </c>
      <c r="J10" s="115" t="s">
        <v>280</v>
      </c>
      <c r="K10" s="115" t="s">
        <v>284</v>
      </c>
      <c r="L10" s="115" t="s">
        <v>474</v>
      </c>
      <c r="N10" s="114">
        <f>B10*Assumptions!$B$10</f>
        <v>1035555.4383116883</v>
      </c>
      <c r="O10" s="114">
        <f>B10*Assumptions!$B$11</f>
        <v>1035555.4383116883</v>
      </c>
      <c r="P10" s="114">
        <f>B10*Assumptions!$B$12</f>
        <v>345185.14610389614</v>
      </c>
      <c r="Q10" s="114">
        <f t="shared" si="0"/>
        <v>2416296.0227272725</v>
      </c>
      <c r="R10" s="114">
        <f t="shared" si="1"/>
        <v>120814.80113636363</v>
      </c>
      <c r="S10" s="98">
        <f t="shared" si="2"/>
        <v>31</v>
      </c>
    </row>
    <row r="11" spans="1:19" ht="15" customHeight="1" x14ac:dyDescent="0.25">
      <c r="A11" s="98" t="s">
        <v>50</v>
      </c>
      <c r="B11" s="114">
        <v>9577109</v>
      </c>
      <c r="C11" s="115">
        <v>5</v>
      </c>
      <c r="D11" s="115">
        <v>19</v>
      </c>
      <c r="E11" s="115">
        <v>3</v>
      </c>
      <c r="F11" s="115" t="s">
        <v>280</v>
      </c>
      <c r="G11" s="115" t="s">
        <v>284</v>
      </c>
      <c r="H11" s="115">
        <v>0</v>
      </c>
      <c r="I11" s="101">
        <f>IF(H11=1,Assumptions!$B$16,IF(H11=2,Assumptions!$B$17,0))</f>
        <v>0</v>
      </c>
      <c r="J11" s="115" t="s">
        <v>284</v>
      </c>
      <c r="K11" s="115" t="s">
        <v>280</v>
      </c>
      <c r="L11" s="115" t="s">
        <v>473</v>
      </c>
      <c r="N11" s="114">
        <f>B11*Assumptions!$B$10</f>
        <v>466417.64610389608</v>
      </c>
      <c r="O11" s="114">
        <f>B11*Assumptions!$B$11</f>
        <v>466417.64610389608</v>
      </c>
      <c r="P11" s="114">
        <f>B11*Assumptions!$B$12</f>
        <v>155472.54870129871</v>
      </c>
      <c r="Q11" s="114">
        <f t="shared" si="0"/>
        <v>1088307.8409090908</v>
      </c>
      <c r="R11" s="114">
        <f t="shared" si="1"/>
        <v>54415.392045454544</v>
      </c>
      <c r="S11" s="98">
        <f t="shared" si="2"/>
        <v>23</v>
      </c>
    </row>
    <row r="12" spans="1:19" ht="15" customHeight="1" x14ac:dyDescent="0.25">
      <c r="A12" s="98" t="s">
        <v>51</v>
      </c>
      <c r="B12" s="114">
        <v>7545203</v>
      </c>
      <c r="C12" s="115">
        <v>6</v>
      </c>
      <c r="D12" s="115">
        <v>19</v>
      </c>
      <c r="E12" s="115">
        <v>3</v>
      </c>
      <c r="F12" s="115" t="s">
        <v>280</v>
      </c>
      <c r="G12" s="115" t="s">
        <v>284</v>
      </c>
      <c r="H12" s="115">
        <v>0</v>
      </c>
      <c r="I12" s="101">
        <f>IF(H12=1,Assumptions!$B$16,IF(H12=2,Assumptions!$B$17,0))</f>
        <v>0</v>
      </c>
      <c r="J12" s="115" t="s">
        <v>284</v>
      </c>
      <c r="K12" s="115" t="s">
        <v>280</v>
      </c>
      <c r="L12" s="115" t="s">
        <v>473</v>
      </c>
      <c r="N12" s="114">
        <f>B12*Assumptions!$B$10</f>
        <v>367461.18506493501</v>
      </c>
      <c r="O12" s="114">
        <f>B12*Assumptions!$B$11</f>
        <v>367461.18506493501</v>
      </c>
      <c r="P12" s="114">
        <f>B12*Assumptions!$B$12</f>
        <v>122487.0616883117</v>
      </c>
      <c r="Q12" s="114">
        <f t="shared" si="0"/>
        <v>857409.43181818177</v>
      </c>
      <c r="R12" s="114">
        <f t="shared" si="1"/>
        <v>42870.471590909088</v>
      </c>
      <c r="S12" s="98">
        <f t="shared" si="2"/>
        <v>24</v>
      </c>
    </row>
    <row r="13" spans="1:19" ht="15" customHeight="1" x14ac:dyDescent="0.25">
      <c r="A13" s="98" t="s">
        <v>54</v>
      </c>
      <c r="B13" s="114">
        <v>45266770</v>
      </c>
      <c r="C13" s="115">
        <v>13</v>
      </c>
      <c r="D13" s="115">
        <v>30</v>
      </c>
      <c r="E13" s="115">
        <v>1</v>
      </c>
      <c r="F13" s="115" t="s">
        <v>284</v>
      </c>
      <c r="G13" s="115" t="s">
        <v>284</v>
      </c>
      <c r="H13" s="115">
        <v>2</v>
      </c>
      <c r="I13" s="101">
        <f>IF(H13=1,Assumptions!$B$16,IF(H13=2,Assumptions!$B$17,0))</f>
        <v>3.2500000000000001E-2</v>
      </c>
      <c r="J13" s="115" t="s">
        <v>284</v>
      </c>
      <c r="K13" s="115" t="s">
        <v>284</v>
      </c>
      <c r="L13" s="115" t="s">
        <v>473</v>
      </c>
      <c r="N13" s="114">
        <f>B13*Assumptions!$B$10</f>
        <v>2204550.487012987</v>
      </c>
      <c r="O13" s="114">
        <f>B13*Assumptions!$B$11</f>
        <v>2204550.487012987</v>
      </c>
      <c r="P13" s="114">
        <f>B13*Assumptions!$B$12</f>
        <v>734850.16233766242</v>
      </c>
      <c r="Q13" s="114">
        <f t="shared" si="0"/>
        <v>5143951.1363636367</v>
      </c>
      <c r="R13" s="114">
        <f t="shared" si="1"/>
        <v>257197.55681818185</v>
      </c>
      <c r="S13" s="98">
        <f t="shared" si="2"/>
        <v>42</v>
      </c>
    </row>
    <row r="14" spans="1:19" ht="15" customHeight="1" x14ac:dyDescent="0.25">
      <c r="A14" s="98" t="s">
        <v>57</v>
      </c>
      <c r="B14" s="114">
        <v>41354632</v>
      </c>
      <c r="C14" s="115">
        <v>27</v>
      </c>
      <c r="D14" s="115">
        <v>30</v>
      </c>
      <c r="E14" s="115">
        <v>1</v>
      </c>
      <c r="F14" s="115" t="s">
        <v>284</v>
      </c>
      <c r="G14" s="115" t="s">
        <v>284</v>
      </c>
      <c r="H14" s="115">
        <v>2</v>
      </c>
      <c r="I14" s="101">
        <f>IF(H14=1,Assumptions!$B$16,IF(H14=2,Assumptions!$B$17,0))</f>
        <v>3.2500000000000001E-2</v>
      </c>
      <c r="J14" s="115" t="s">
        <v>284</v>
      </c>
      <c r="K14" s="115" t="s">
        <v>284</v>
      </c>
      <c r="L14" s="115" t="s">
        <v>473</v>
      </c>
      <c r="N14" s="114">
        <f>B14*Assumptions!$B$10</f>
        <v>2014024.2857142854</v>
      </c>
      <c r="O14" s="114">
        <f>B14*Assumptions!$B$11</f>
        <v>2014024.2857142854</v>
      </c>
      <c r="P14" s="114">
        <f>B14*Assumptions!$B$12</f>
        <v>671341.42857142864</v>
      </c>
      <c r="Q14" s="114">
        <f t="shared" si="0"/>
        <v>4699390</v>
      </c>
      <c r="R14" s="114">
        <f t="shared" si="1"/>
        <v>234969.5</v>
      </c>
      <c r="S14" s="98">
        <f t="shared" si="2"/>
        <v>56</v>
      </c>
    </row>
    <row r="15" spans="1:19" ht="15" customHeight="1" x14ac:dyDescent="0.25">
      <c r="A15" s="98" t="s">
        <v>55</v>
      </c>
      <c r="B15" s="114">
        <v>15179956</v>
      </c>
      <c r="C15" s="115">
        <v>16</v>
      </c>
      <c r="D15" s="115">
        <v>19</v>
      </c>
      <c r="E15" s="115">
        <v>3</v>
      </c>
      <c r="F15" s="115" t="s">
        <v>284</v>
      </c>
      <c r="G15" s="115" t="s">
        <v>280</v>
      </c>
      <c r="H15" s="115">
        <v>2</v>
      </c>
      <c r="I15" s="101">
        <f>IF(H15=1,Assumptions!$B$16,IF(H15=2,Assumptions!$B$17,0))</f>
        <v>3.2500000000000001E-2</v>
      </c>
      <c r="J15" s="115" t="s">
        <v>280</v>
      </c>
      <c r="K15" s="115" t="s">
        <v>284</v>
      </c>
      <c r="L15" s="115" t="s">
        <v>474</v>
      </c>
      <c r="N15" s="114">
        <f>B15*Assumptions!$B$10</f>
        <v>739283.57142857136</v>
      </c>
      <c r="O15" s="114">
        <f>B15*Assumptions!$B$11</f>
        <v>739283.57142857136</v>
      </c>
      <c r="P15" s="114">
        <f>B15*Assumptions!$B$12</f>
        <v>246427.85714285716</v>
      </c>
      <c r="Q15" s="114">
        <f t="shared" si="0"/>
        <v>1724995</v>
      </c>
      <c r="R15" s="114">
        <f t="shared" si="1"/>
        <v>86249.75</v>
      </c>
      <c r="S15" s="98">
        <f t="shared" si="2"/>
        <v>34</v>
      </c>
    </row>
    <row r="16" spans="1:19" ht="15" customHeight="1" x14ac:dyDescent="0.25">
      <c r="A16" s="98" t="s">
        <v>56</v>
      </c>
      <c r="B16" s="114">
        <v>15179956</v>
      </c>
      <c r="C16" s="115">
        <v>19</v>
      </c>
      <c r="D16" s="115">
        <v>19</v>
      </c>
      <c r="E16" s="115">
        <v>3</v>
      </c>
      <c r="F16" s="115" t="s">
        <v>284</v>
      </c>
      <c r="G16" s="115" t="s">
        <v>280</v>
      </c>
      <c r="H16" s="115">
        <v>2</v>
      </c>
      <c r="I16" s="101">
        <f>IF(H16=1,Assumptions!$B$16,IF(H16=2,Assumptions!$B$17,0))</f>
        <v>3.2500000000000001E-2</v>
      </c>
      <c r="J16" s="115" t="s">
        <v>280</v>
      </c>
      <c r="K16" s="115" t="s">
        <v>284</v>
      </c>
      <c r="L16" s="115" t="s">
        <v>474</v>
      </c>
      <c r="N16" s="114">
        <f>B16*Assumptions!$B$10</f>
        <v>739283.57142857136</v>
      </c>
      <c r="O16" s="114">
        <f>B16*Assumptions!$B$11</f>
        <v>739283.57142857136</v>
      </c>
      <c r="P16" s="114">
        <f>B16*Assumptions!$B$12</f>
        <v>246427.85714285716</v>
      </c>
      <c r="Q16" s="114">
        <f t="shared" si="0"/>
        <v>1724995</v>
      </c>
      <c r="R16" s="114">
        <f t="shared" si="1"/>
        <v>86249.75</v>
      </c>
      <c r="S16" s="98">
        <f t="shared" si="2"/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K50"/>
  <sheetViews>
    <sheetView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 customHeight="1" x14ac:dyDescent="0.25"/>
  <cols>
    <col min="1" max="1" width="30" customWidth="1"/>
    <col min="2" max="2" width="26" customWidth="1"/>
    <col min="3" max="4" width="14" customWidth="1"/>
    <col min="5" max="5" width="11" customWidth="1"/>
    <col min="6" max="7" width="10" customWidth="1"/>
    <col min="8" max="8" width="11" customWidth="1"/>
    <col min="9" max="9" width="12" customWidth="1"/>
    <col min="10" max="10" width="13" customWidth="1"/>
  </cols>
  <sheetData>
    <row r="1" spans="1:11" ht="20.100000000000001" customHeight="1" x14ac:dyDescent="0.25">
      <c r="A1" s="194" t="s">
        <v>475</v>
      </c>
      <c r="B1" s="194" t="s">
        <v>476</v>
      </c>
      <c r="C1" s="195" t="s">
        <v>477</v>
      </c>
      <c r="D1" s="195" t="s">
        <v>478</v>
      </c>
      <c r="E1" s="195" t="s">
        <v>462</v>
      </c>
      <c r="F1" s="195" t="s">
        <v>274</v>
      </c>
      <c r="G1" s="195" t="s">
        <v>272</v>
      </c>
      <c r="H1" s="195" t="s">
        <v>479</v>
      </c>
      <c r="I1" s="195" t="s">
        <v>480</v>
      </c>
      <c r="J1" s="195" t="s">
        <v>481</v>
      </c>
    </row>
    <row r="2" spans="1:11" ht="15" customHeight="1" x14ac:dyDescent="0.25">
      <c r="A2" s="196" t="s">
        <v>482</v>
      </c>
      <c r="B2" s="196" t="s">
        <v>483</v>
      </c>
      <c r="C2" s="197">
        <v>70000</v>
      </c>
      <c r="D2" s="197">
        <f t="shared" ref="D2:D33" si="0">C2/12</f>
        <v>5833.333333333333</v>
      </c>
      <c r="E2" s="198">
        <v>1</v>
      </c>
      <c r="F2" s="199" t="s">
        <v>484</v>
      </c>
      <c r="G2" s="199" t="s">
        <v>284</v>
      </c>
      <c r="H2" s="200">
        <v>0</v>
      </c>
      <c r="I2" s="200">
        <v>0</v>
      </c>
      <c r="J2" s="196" t="s">
        <v>485</v>
      </c>
      <c r="K2" s="201"/>
    </row>
    <row r="3" spans="1:11" ht="15" customHeight="1" x14ac:dyDescent="0.25">
      <c r="A3" s="202" t="s">
        <v>486</v>
      </c>
      <c r="B3" s="202" t="s">
        <v>487</v>
      </c>
      <c r="C3" s="203">
        <v>80000</v>
      </c>
      <c r="D3" s="203">
        <f t="shared" si="0"/>
        <v>6666.666666666667</v>
      </c>
      <c r="E3" s="204">
        <v>1</v>
      </c>
      <c r="F3" s="205" t="s">
        <v>484</v>
      </c>
      <c r="G3" s="205" t="s">
        <v>284</v>
      </c>
      <c r="H3" s="206">
        <v>0.5</v>
      </c>
      <c r="I3" s="206">
        <v>0</v>
      </c>
      <c r="J3" s="202" t="s">
        <v>485</v>
      </c>
      <c r="K3" s="201"/>
    </row>
    <row r="4" spans="1:11" ht="15" customHeight="1" x14ac:dyDescent="0.25">
      <c r="A4" s="196" t="s">
        <v>488</v>
      </c>
      <c r="B4" s="196" t="s">
        <v>487</v>
      </c>
      <c r="C4" s="197">
        <v>25000</v>
      </c>
      <c r="D4" s="197">
        <f t="shared" si="0"/>
        <v>2083.3333333333335</v>
      </c>
      <c r="E4" s="198">
        <v>1</v>
      </c>
      <c r="F4" s="199" t="s">
        <v>484</v>
      </c>
      <c r="G4" s="199" t="s">
        <v>284</v>
      </c>
      <c r="H4" s="200">
        <v>0.5</v>
      </c>
      <c r="I4" s="200">
        <v>0</v>
      </c>
      <c r="J4" s="196" t="s">
        <v>485</v>
      </c>
      <c r="K4" s="201"/>
    </row>
    <row r="5" spans="1:11" ht="15" customHeight="1" x14ac:dyDescent="0.25">
      <c r="A5" s="202" t="s">
        <v>489</v>
      </c>
      <c r="B5" s="202" t="s">
        <v>490</v>
      </c>
      <c r="C5" s="203">
        <v>19000</v>
      </c>
      <c r="D5" s="203">
        <f t="shared" si="0"/>
        <v>1583.3333333333333</v>
      </c>
      <c r="E5" s="204">
        <v>1</v>
      </c>
      <c r="F5" s="205" t="s">
        <v>484</v>
      </c>
      <c r="G5" s="205" t="s">
        <v>284</v>
      </c>
      <c r="H5" s="206">
        <v>0</v>
      </c>
      <c r="I5" s="206">
        <v>0</v>
      </c>
      <c r="J5" s="202" t="s">
        <v>485</v>
      </c>
      <c r="K5" s="201"/>
    </row>
    <row r="6" spans="1:11" ht="15" customHeight="1" x14ac:dyDescent="0.25">
      <c r="A6" s="196" t="s">
        <v>491</v>
      </c>
      <c r="B6" s="196" t="s">
        <v>490</v>
      </c>
      <c r="C6" s="197">
        <v>20000</v>
      </c>
      <c r="D6" s="197">
        <f t="shared" si="0"/>
        <v>1666.6666666666667</v>
      </c>
      <c r="E6" s="198">
        <v>1</v>
      </c>
      <c r="F6" s="199" t="s">
        <v>484</v>
      </c>
      <c r="G6" s="199" t="s">
        <v>284</v>
      </c>
      <c r="H6" s="200">
        <v>0</v>
      </c>
      <c r="I6" s="200">
        <v>0</v>
      </c>
      <c r="J6" s="196" t="s">
        <v>485</v>
      </c>
      <c r="K6" s="201"/>
    </row>
    <row r="7" spans="1:11" ht="15" customHeight="1" x14ac:dyDescent="0.25">
      <c r="A7" s="196" t="s">
        <v>492</v>
      </c>
      <c r="B7" s="196" t="s">
        <v>487</v>
      </c>
      <c r="C7" s="197">
        <v>320000</v>
      </c>
      <c r="D7" s="197">
        <f t="shared" si="0"/>
        <v>26666.666666666668</v>
      </c>
      <c r="E7" s="198">
        <v>1</v>
      </c>
      <c r="F7" s="199" t="s">
        <v>484</v>
      </c>
      <c r="G7" s="199" t="s">
        <v>284</v>
      </c>
      <c r="H7" s="200">
        <v>0.5</v>
      </c>
      <c r="I7" s="200">
        <v>0</v>
      </c>
      <c r="J7" s="196" t="s">
        <v>493</v>
      </c>
      <c r="K7" s="201"/>
    </row>
    <row r="8" spans="1:11" ht="15" customHeight="1" x14ac:dyDescent="0.25">
      <c r="A8" s="202" t="s">
        <v>494</v>
      </c>
      <c r="B8" s="202" t="s">
        <v>487</v>
      </c>
      <c r="C8" s="203">
        <v>225000</v>
      </c>
      <c r="D8" s="203">
        <f t="shared" si="0"/>
        <v>18750</v>
      </c>
      <c r="E8" s="204">
        <v>1</v>
      </c>
      <c r="F8" s="205" t="s">
        <v>484</v>
      </c>
      <c r="G8" s="205" t="s">
        <v>284</v>
      </c>
      <c r="H8" s="206">
        <v>0.5</v>
      </c>
      <c r="I8" s="206">
        <v>0</v>
      </c>
      <c r="J8" s="202" t="s">
        <v>493</v>
      </c>
      <c r="K8" s="201"/>
    </row>
    <row r="9" spans="1:11" ht="15" customHeight="1" x14ac:dyDescent="0.25">
      <c r="A9" s="196" t="s">
        <v>495</v>
      </c>
      <c r="B9" s="196" t="s">
        <v>490</v>
      </c>
      <c r="C9" s="197">
        <v>171000</v>
      </c>
      <c r="D9" s="197">
        <f t="shared" si="0"/>
        <v>14250</v>
      </c>
      <c r="E9" s="198">
        <v>1</v>
      </c>
      <c r="F9" s="199" t="s">
        <v>484</v>
      </c>
      <c r="G9" s="199" t="s">
        <v>284</v>
      </c>
      <c r="H9" s="200">
        <v>0</v>
      </c>
      <c r="I9" s="200">
        <v>0</v>
      </c>
      <c r="J9" s="196" t="s">
        <v>493</v>
      </c>
      <c r="K9" s="201"/>
    </row>
    <row r="10" spans="1:11" ht="15" customHeight="1" x14ac:dyDescent="0.25">
      <c r="A10" s="202" t="s">
        <v>496</v>
      </c>
      <c r="B10" s="202" t="s">
        <v>490</v>
      </c>
      <c r="C10" s="203">
        <v>180000</v>
      </c>
      <c r="D10" s="203">
        <f t="shared" si="0"/>
        <v>15000</v>
      </c>
      <c r="E10" s="204">
        <v>1</v>
      </c>
      <c r="F10" s="205" t="s">
        <v>484</v>
      </c>
      <c r="G10" s="205" t="s">
        <v>284</v>
      </c>
      <c r="H10" s="206">
        <v>0</v>
      </c>
      <c r="I10" s="206">
        <v>0</v>
      </c>
      <c r="J10" s="202" t="s">
        <v>493</v>
      </c>
      <c r="K10" s="201"/>
    </row>
    <row r="11" spans="1:11" ht="15" customHeight="1" x14ac:dyDescent="0.25">
      <c r="A11" s="196" t="s">
        <v>497</v>
      </c>
      <c r="B11" s="196" t="s">
        <v>498</v>
      </c>
      <c r="C11" s="197">
        <v>105000</v>
      </c>
      <c r="D11" s="197">
        <f t="shared" si="0"/>
        <v>8750</v>
      </c>
      <c r="E11" s="198">
        <v>3</v>
      </c>
      <c r="F11" s="199" t="s">
        <v>484</v>
      </c>
      <c r="G11" s="199" t="s">
        <v>284</v>
      </c>
      <c r="H11" s="200">
        <v>0</v>
      </c>
      <c r="I11" s="200">
        <v>0</v>
      </c>
      <c r="J11" s="196" t="s">
        <v>493</v>
      </c>
      <c r="K11" s="201"/>
    </row>
    <row r="12" spans="1:11" ht="15" customHeight="1" x14ac:dyDescent="0.25">
      <c r="A12" s="202" t="s">
        <v>499</v>
      </c>
      <c r="B12" s="202" t="s">
        <v>498</v>
      </c>
      <c r="C12" s="203">
        <v>145000</v>
      </c>
      <c r="D12" s="203">
        <f t="shared" si="0"/>
        <v>12083.333333333334</v>
      </c>
      <c r="E12" s="204">
        <v>1</v>
      </c>
      <c r="F12" s="205" t="s">
        <v>484</v>
      </c>
      <c r="G12" s="205" t="s">
        <v>284</v>
      </c>
      <c r="H12" s="206">
        <v>0</v>
      </c>
      <c r="I12" s="206">
        <v>0</v>
      </c>
      <c r="J12" s="202" t="s">
        <v>493</v>
      </c>
      <c r="K12" s="201"/>
    </row>
    <row r="13" spans="1:11" ht="15" customHeight="1" x14ac:dyDescent="0.25">
      <c r="A13" s="196" t="s">
        <v>500</v>
      </c>
      <c r="B13" s="196" t="s">
        <v>498</v>
      </c>
      <c r="C13" s="197">
        <v>185000</v>
      </c>
      <c r="D13" s="197">
        <f t="shared" si="0"/>
        <v>15416.666666666666</v>
      </c>
      <c r="E13" s="198">
        <v>1</v>
      </c>
      <c r="F13" s="199" t="s">
        <v>484</v>
      </c>
      <c r="G13" s="199" t="s">
        <v>284</v>
      </c>
      <c r="H13" s="200">
        <v>0</v>
      </c>
      <c r="I13" s="200">
        <v>0</v>
      </c>
      <c r="J13" s="196" t="s">
        <v>493</v>
      </c>
      <c r="K13" s="201"/>
    </row>
    <row r="14" spans="1:11" ht="15" customHeight="1" x14ac:dyDescent="0.25">
      <c r="A14" s="202" t="s">
        <v>501</v>
      </c>
      <c r="B14" s="202" t="s">
        <v>498</v>
      </c>
      <c r="C14" s="203">
        <v>125000</v>
      </c>
      <c r="D14" s="203">
        <f t="shared" si="0"/>
        <v>10416.666666666666</v>
      </c>
      <c r="E14" s="204">
        <v>2</v>
      </c>
      <c r="F14" s="205" t="s">
        <v>484</v>
      </c>
      <c r="G14" s="205" t="s">
        <v>284</v>
      </c>
      <c r="H14" s="206">
        <v>0</v>
      </c>
      <c r="I14" s="206">
        <v>0</v>
      </c>
      <c r="J14" s="202" t="s">
        <v>493</v>
      </c>
      <c r="K14" s="201"/>
    </row>
    <row r="15" spans="1:11" ht="15" customHeight="1" x14ac:dyDescent="0.25">
      <c r="A15" s="196" t="s">
        <v>502</v>
      </c>
      <c r="B15" s="196" t="s">
        <v>498</v>
      </c>
      <c r="C15" s="197">
        <v>130000</v>
      </c>
      <c r="D15" s="197">
        <f t="shared" si="0"/>
        <v>10833.333333333334</v>
      </c>
      <c r="E15" s="198">
        <v>4</v>
      </c>
      <c r="F15" s="199" t="s">
        <v>484</v>
      </c>
      <c r="G15" s="199" t="s">
        <v>284</v>
      </c>
      <c r="H15" s="200">
        <v>0</v>
      </c>
      <c r="I15" s="200">
        <v>0</v>
      </c>
      <c r="J15" s="196" t="s">
        <v>493</v>
      </c>
      <c r="K15" s="201"/>
    </row>
    <row r="16" spans="1:11" ht="15" customHeight="1" x14ac:dyDescent="0.25">
      <c r="A16" s="202" t="s">
        <v>503</v>
      </c>
      <c r="B16" s="202" t="s">
        <v>504</v>
      </c>
      <c r="C16" s="203">
        <v>90000</v>
      </c>
      <c r="D16" s="203">
        <f t="shared" si="0"/>
        <v>7500</v>
      </c>
      <c r="E16" s="204">
        <v>3</v>
      </c>
      <c r="F16" s="205" t="s">
        <v>484</v>
      </c>
      <c r="G16" s="205" t="s">
        <v>284</v>
      </c>
      <c r="H16" s="206">
        <v>0</v>
      </c>
      <c r="I16" s="206">
        <v>0</v>
      </c>
      <c r="J16" s="202" t="s">
        <v>493</v>
      </c>
      <c r="K16" s="201"/>
    </row>
    <row r="17" spans="1:11" ht="15" customHeight="1" x14ac:dyDescent="0.25">
      <c r="A17" s="196" t="s">
        <v>505</v>
      </c>
      <c r="B17" s="196" t="s">
        <v>483</v>
      </c>
      <c r="C17" s="197">
        <v>97500</v>
      </c>
      <c r="D17" s="197">
        <f t="shared" si="0"/>
        <v>8125</v>
      </c>
      <c r="E17" s="198">
        <v>1</v>
      </c>
      <c r="F17" s="199" t="s">
        <v>484</v>
      </c>
      <c r="G17" s="199" t="s">
        <v>284</v>
      </c>
      <c r="H17" s="200">
        <v>0</v>
      </c>
      <c r="I17" s="200">
        <v>0</v>
      </c>
      <c r="J17" s="196" t="s">
        <v>493</v>
      </c>
      <c r="K17" s="201"/>
    </row>
    <row r="18" spans="1:11" ht="15" customHeight="1" x14ac:dyDescent="0.25">
      <c r="A18" s="202" t="s">
        <v>506</v>
      </c>
      <c r="B18" s="202" t="s">
        <v>507</v>
      </c>
      <c r="C18" s="203">
        <v>150000</v>
      </c>
      <c r="D18" s="203">
        <f t="shared" si="0"/>
        <v>12500</v>
      </c>
      <c r="E18" s="204">
        <v>1</v>
      </c>
      <c r="F18" s="205" t="s">
        <v>484</v>
      </c>
      <c r="G18" s="205" t="s">
        <v>284</v>
      </c>
      <c r="H18" s="206">
        <v>0</v>
      </c>
      <c r="I18" s="206">
        <v>0</v>
      </c>
      <c r="J18" s="202" t="s">
        <v>493</v>
      </c>
      <c r="K18" s="201"/>
    </row>
    <row r="19" spans="1:11" ht="15" customHeight="1" x14ac:dyDescent="0.25">
      <c r="A19" s="196" t="s">
        <v>508</v>
      </c>
      <c r="B19" s="196" t="s">
        <v>507</v>
      </c>
      <c r="C19" s="197">
        <v>150000</v>
      </c>
      <c r="D19" s="197">
        <f t="shared" si="0"/>
        <v>12500</v>
      </c>
      <c r="E19" s="198">
        <v>1</v>
      </c>
      <c r="F19" s="199" t="s">
        <v>484</v>
      </c>
      <c r="G19" s="199" t="s">
        <v>284</v>
      </c>
      <c r="H19" s="200">
        <v>0</v>
      </c>
      <c r="I19" s="200">
        <v>0</v>
      </c>
      <c r="J19" s="196" t="s">
        <v>493</v>
      </c>
      <c r="K19" s="201"/>
    </row>
    <row r="20" spans="1:11" ht="15" customHeight="1" x14ac:dyDescent="0.25">
      <c r="A20" s="202" t="s">
        <v>509</v>
      </c>
      <c r="B20" s="202" t="s">
        <v>507</v>
      </c>
      <c r="C20" s="203">
        <v>110000</v>
      </c>
      <c r="D20" s="203">
        <f t="shared" si="0"/>
        <v>9166.6666666666661</v>
      </c>
      <c r="E20" s="204">
        <v>1</v>
      </c>
      <c r="F20" s="205" t="s">
        <v>484</v>
      </c>
      <c r="G20" s="205" t="s">
        <v>284</v>
      </c>
      <c r="H20" s="206">
        <v>0</v>
      </c>
      <c r="I20" s="206">
        <v>0</v>
      </c>
      <c r="J20" s="202" t="s">
        <v>493</v>
      </c>
      <c r="K20" s="201"/>
    </row>
    <row r="21" spans="1:11" ht="15" customHeight="1" x14ac:dyDescent="0.25">
      <c r="A21" s="196" t="s">
        <v>510</v>
      </c>
      <c r="B21" s="196" t="s">
        <v>507</v>
      </c>
      <c r="C21" s="197">
        <v>170000</v>
      </c>
      <c r="D21" s="197">
        <f t="shared" si="0"/>
        <v>14166.666666666666</v>
      </c>
      <c r="E21" s="198">
        <v>2</v>
      </c>
      <c r="F21" s="199" t="s">
        <v>484</v>
      </c>
      <c r="G21" s="199" t="s">
        <v>284</v>
      </c>
      <c r="H21" s="200">
        <v>0</v>
      </c>
      <c r="I21" s="200">
        <v>0</v>
      </c>
      <c r="J21" s="196" t="s">
        <v>493</v>
      </c>
      <c r="K21" s="201"/>
    </row>
    <row r="22" spans="1:11" ht="15" customHeight="1" x14ac:dyDescent="0.25">
      <c r="A22" s="202" t="s">
        <v>511</v>
      </c>
      <c r="B22" s="202" t="s">
        <v>507</v>
      </c>
      <c r="C22" s="203">
        <v>160000</v>
      </c>
      <c r="D22" s="203">
        <f t="shared" si="0"/>
        <v>13333.333333333334</v>
      </c>
      <c r="E22" s="204">
        <v>8</v>
      </c>
      <c r="F22" s="205" t="s">
        <v>484</v>
      </c>
      <c r="G22" s="205" t="s">
        <v>284</v>
      </c>
      <c r="H22" s="206">
        <v>0</v>
      </c>
      <c r="I22" s="206">
        <v>0</v>
      </c>
      <c r="J22" s="202" t="s">
        <v>493</v>
      </c>
      <c r="K22" s="201"/>
    </row>
    <row r="23" spans="1:11" ht="15" customHeight="1" x14ac:dyDescent="0.25">
      <c r="A23" s="196" t="s">
        <v>512</v>
      </c>
      <c r="B23" s="196" t="s">
        <v>507</v>
      </c>
      <c r="C23" s="197">
        <v>160000</v>
      </c>
      <c r="D23" s="197">
        <f t="shared" si="0"/>
        <v>13333.333333333334</v>
      </c>
      <c r="E23" s="198">
        <v>13</v>
      </c>
      <c r="F23" s="199" t="s">
        <v>484</v>
      </c>
      <c r="G23" s="199" t="s">
        <v>284</v>
      </c>
      <c r="H23" s="200">
        <v>0</v>
      </c>
      <c r="I23" s="200">
        <v>0</v>
      </c>
      <c r="J23" s="196" t="s">
        <v>493</v>
      </c>
      <c r="K23" s="201"/>
    </row>
    <row r="24" spans="1:11" ht="15" customHeight="1" x14ac:dyDescent="0.25">
      <c r="A24" s="202" t="s">
        <v>513</v>
      </c>
      <c r="B24" s="202" t="s">
        <v>514</v>
      </c>
      <c r="C24" s="203">
        <v>75000</v>
      </c>
      <c r="D24" s="203">
        <f t="shared" si="0"/>
        <v>6250</v>
      </c>
      <c r="E24" s="204">
        <v>1</v>
      </c>
      <c r="F24" s="205" t="s">
        <v>484</v>
      </c>
      <c r="G24" s="205" t="s">
        <v>284</v>
      </c>
      <c r="H24" s="206">
        <v>0</v>
      </c>
      <c r="I24" s="206">
        <v>0</v>
      </c>
      <c r="J24" s="202" t="s">
        <v>493</v>
      </c>
      <c r="K24" s="201"/>
    </row>
    <row r="25" spans="1:11" ht="15" customHeight="1" x14ac:dyDescent="0.25">
      <c r="A25" s="196" t="s">
        <v>515</v>
      </c>
      <c r="B25" s="196" t="s">
        <v>514</v>
      </c>
      <c r="C25" s="197">
        <v>105000</v>
      </c>
      <c r="D25" s="197">
        <f t="shared" si="0"/>
        <v>8750</v>
      </c>
      <c r="E25" s="198">
        <v>3</v>
      </c>
      <c r="F25" s="199" t="s">
        <v>484</v>
      </c>
      <c r="G25" s="199" t="s">
        <v>284</v>
      </c>
      <c r="H25" s="200">
        <v>0</v>
      </c>
      <c r="I25" s="200">
        <v>0</v>
      </c>
      <c r="J25" s="196" t="s">
        <v>493</v>
      </c>
      <c r="K25" s="201"/>
    </row>
    <row r="26" spans="1:11" x14ac:dyDescent="0.25">
      <c r="A26" s="202" t="s">
        <v>516</v>
      </c>
      <c r="B26" s="202" t="s">
        <v>517</v>
      </c>
      <c r="C26" s="203">
        <v>125000</v>
      </c>
      <c r="D26" s="203">
        <f t="shared" si="0"/>
        <v>10416.666666666666</v>
      </c>
      <c r="E26" s="204">
        <v>7</v>
      </c>
      <c r="F26" s="205" t="s">
        <v>484</v>
      </c>
      <c r="G26" s="205" t="s">
        <v>284</v>
      </c>
      <c r="H26" s="206">
        <v>0</v>
      </c>
      <c r="I26" s="206">
        <v>0</v>
      </c>
      <c r="J26" s="202" t="s">
        <v>493</v>
      </c>
      <c r="K26" s="201"/>
    </row>
    <row r="27" spans="1:11" ht="15" customHeight="1" x14ac:dyDescent="0.25">
      <c r="A27" s="196" t="s">
        <v>518</v>
      </c>
      <c r="B27" s="196" t="s">
        <v>517</v>
      </c>
      <c r="C27" s="197">
        <v>125000</v>
      </c>
      <c r="D27" s="197">
        <f t="shared" si="0"/>
        <v>10416.666666666666</v>
      </c>
      <c r="E27" s="198">
        <v>7</v>
      </c>
      <c r="F27" s="199" t="s">
        <v>484</v>
      </c>
      <c r="G27" s="199" t="s">
        <v>284</v>
      </c>
      <c r="H27" s="200">
        <v>0</v>
      </c>
      <c r="I27" s="200">
        <v>0</v>
      </c>
      <c r="J27" s="196" t="s">
        <v>493</v>
      </c>
      <c r="K27" s="201"/>
    </row>
    <row r="28" spans="1:11" ht="15" customHeight="1" x14ac:dyDescent="0.25">
      <c r="A28" s="202" t="s">
        <v>519</v>
      </c>
      <c r="B28" s="202" t="s">
        <v>517</v>
      </c>
      <c r="C28" s="203">
        <v>125000</v>
      </c>
      <c r="D28" s="203">
        <f t="shared" si="0"/>
        <v>10416.666666666666</v>
      </c>
      <c r="E28" s="204">
        <v>8</v>
      </c>
      <c r="F28" s="205" t="s">
        <v>484</v>
      </c>
      <c r="G28" s="205" t="s">
        <v>284</v>
      </c>
      <c r="H28" s="206">
        <v>0</v>
      </c>
      <c r="I28" s="206">
        <v>0</v>
      </c>
      <c r="J28" s="202" t="s">
        <v>493</v>
      </c>
      <c r="K28" s="201"/>
    </row>
    <row r="29" spans="1:11" ht="15" customHeight="1" x14ac:dyDescent="0.25">
      <c r="A29" s="196" t="s">
        <v>520</v>
      </c>
      <c r="B29" s="196" t="s">
        <v>521</v>
      </c>
      <c r="C29" s="197">
        <v>65000</v>
      </c>
      <c r="D29" s="197">
        <f t="shared" si="0"/>
        <v>5416.666666666667</v>
      </c>
      <c r="E29" s="198">
        <v>1</v>
      </c>
      <c r="F29" s="199" t="s">
        <v>484</v>
      </c>
      <c r="G29" s="199" t="s">
        <v>284</v>
      </c>
      <c r="H29" s="200">
        <v>0</v>
      </c>
      <c r="I29" s="200">
        <v>0</v>
      </c>
      <c r="J29" s="196" t="s">
        <v>493</v>
      </c>
      <c r="K29" s="201"/>
    </row>
    <row r="30" spans="1:11" ht="15" customHeight="1" x14ac:dyDescent="0.25">
      <c r="A30" s="202" t="s">
        <v>522</v>
      </c>
      <c r="B30" s="202" t="s">
        <v>521</v>
      </c>
      <c r="C30" s="203">
        <v>90000</v>
      </c>
      <c r="D30" s="203">
        <f t="shared" si="0"/>
        <v>7500</v>
      </c>
      <c r="E30" s="204">
        <v>1</v>
      </c>
      <c r="F30" s="205" t="s">
        <v>484</v>
      </c>
      <c r="G30" s="205" t="s">
        <v>284</v>
      </c>
      <c r="H30" s="206">
        <v>0</v>
      </c>
      <c r="I30" s="206">
        <v>0</v>
      </c>
      <c r="J30" s="202" t="s">
        <v>493</v>
      </c>
      <c r="K30" s="201"/>
    </row>
    <row r="31" spans="1:11" ht="15" customHeight="1" x14ac:dyDescent="0.25">
      <c r="A31" s="196" t="s">
        <v>523</v>
      </c>
      <c r="B31" s="196" t="s">
        <v>524</v>
      </c>
      <c r="C31" s="197">
        <v>70000</v>
      </c>
      <c r="D31" s="197">
        <f t="shared" si="0"/>
        <v>5833.333333333333</v>
      </c>
      <c r="E31" s="198">
        <v>1</v>
      </c>
      <c r="F31" s="199" t="s">
        <v>484</v>
      </c>
      <c r="G31" s="199" t="s">
        <v>284</v>
      </c>
      <c r="H31" s="200">
        <v>0</v>
      </c>
      <c r="I31" s="200">
        <v>0</v>
      </c>
      <c r="J31" s="196" t="s">
        <v>493</v>
      </c>
      <c r="K31" s="201"/>
    </row>
    <row r="32" spans="1:11" ht="15" customHeight="1" x14ac:dyDescent="0.25">
      <c r="A32" s="202" t="s">
        <v>525</v>
      </c>
      <c r="B32" s="202" t="s">
        <v>524</v>
      </c>
      <c r="C32" s="203">
        <v>55000</v>
      </c>
      <c r="D32" s="203">
        <f t="shared" si="0"/>
        <v>4583.333333333333</v>
      </c>
      <c r="E32" s="204">
        <v>1</v>
      </c>
      <c r="F32" s="205" t="s">
        <v>484</v>
      </c>
      <c r="G32" s="205" t="s">
        <v>284</v>
      </c>
      <c r="H32" s="206">
        <v>0</v>
      </c>
      <c r="I32" s="206">
        <v>0</v>
      </c>
      <c r="J32" s="202" t="s">
        <v>493</v>
      </c>
      <c r="K32" s="201"/>
    </row>
    <row r="33" spans="1:11" ht="15" customHeight="1" x14ac:dyDescent="0.25">
      <c r="A33" s="196" t="s">
        <v>526</v>
      </c>
      <c r="B33" s="196" t="s">
        <v>524</v>
      </c>
      <c r="C33" s="197">
        <v>75000</v>
      </c>
      <c r="D33" s="197">
        <f t="shared" si="0"/>
        <v>6250</v>
      </c>
      <c r="E33" s="198">
        <v>8</v>
      </c>
      <c r="F33" s="199" t="s">
        <v>484</v>
      </c>
      <c r="G33" s="199" t="s">
        <v>284</v>
      </c>
      <c r="H33" s="200">
        <v>0</v>
      </c>
      <c r="I33" s="200">
        <v>0</v>
      </c>
      <c r="J33" s="196" t="s">
        <v>493</v>
      </c>
      <c r="K33" s="201"/>
    </row>
    <row r="34" spans="1:11" ht="15" customHeight="1" x14ac:dyDescent="0.25">
      <c r="A34" s="207"/>
      <c r="B34" s="207"/>
      <c r="C34" s="208"/>
      <c r="D34" s="208"/>
      <c r="E34" s="209"/>
      <c r="F34" s="210"/>
      <c r="G34" s="210"/>
      <c r="H34" s="211"/>
      <c r="I34" s="211"/>
      <c r="J34" s="207"/>
      <c r="K34" s="201"/>
    </row>
    <row r="35" spans="1:11" x14ac:dyDescent="0.25">
      <c r="A35" s="212" t="s">
        <v>527</v>
      </c>
      <c r="B35" s="213"/>
      <c r="C35" s="214"/>
      <c r="D35" s="214"/>
      <c r="E35" s="215"/>
      <c r="F35" s="213"/>
      <c r="G35" s="213"/>
      <c r="H35" s="216"/>
      <c r="I35" s="216"/>
      <c r="J35" s="213"/>
      <c r="K35" s="201"/>
    </row>
    <row r="36" spans="1:11" x14ac:dyDescent="0.25">
      <c r="A36" s="196" t="s">
        <v>528</v>
      </c>
      <c r="B36" s="196" t="s">
        <v>529</v>
      </c>
      <c r="C36" s="197">
        <v>400000</v>
      </c>
      <c r="D36" s="197">
        <f t="shared" ref="D36:D42" si="1">C36/12</f>
        <v>33333.333333333336</v>
      </c>
      <c r="E36" s="198">
        <v>1</v>
      </c>
      <c r="F36" s="199" t="s">
        <v>530</v>
      </c>
      <c r="G36" s="199" t="s">
        <v>284</v>
      </c>
      <c r="H36" s="200">
        <v>1</v>
      </c>
      <c r="I36" s="200">
        <v>0.5</v>
      </c>
      <c r="J36" s="196" t="s">
        <v>531</v>
      </c>
      <c r="K36" s="201"/>
    </row>
    <row r="37" spans="1:11" x14ac:dyDescent="0.25">
      <c r="A37" s="202" t="s">
        <v>532</v>
      </c>
      <c r="B37" s="202" t="s">
        <v>529</v>
      </c>
      <c r="C37" s="203">
        <v>400000</v>
      </c>
      <c r="D37" s="203">
        <f t="shared" si="1"/>
        <v>33333.333333333336</v>
      </c>
      <c r="E37" s="204">
        <v>1</v>
      </c>
      <c r="F37" s="205" t="s">
        <v>530</v>
      </c>
      <c r="G37" s="205" t="s">
        <v>284</v>
      </c>
      <c r="H37" s="206">
        <v>1</v>
      </c>
      <c r="I37" s="206">
        <v>0.2</v>
      </c>
      <c r="J37" s="202" t="s">
        <v>531</v>
      </c>
      <c r="K37" s="201"/>
    </row>
    <row r="38" spans="1:11" x14ac:dyDescent="0.25">
      <c r="A38" s="196" t="s">
        <v>533</v>
      </c>
      <c r="B38" s="196" t="s">
        <v>534</v>
      </c>
      <c r="C38" s="197">
        <v>222000</v>
      </c>
      <c r="D38" s="197">
        <f t="shared" si="1"/>
        <v>18500</v>
      </c>
      <c r="E38" s="198">
        <v>1</v>
      </c>
      <c r="F38" s="199" t="s">
        <v>530</v>
      </c>
      <c r="G38" s="199" t="s">
        <v>284</v>
      </c>
      <c r="H38" s="200">
        <v>1</v>
      </c>
      <c r="I38" s="200">
        <v>0.5</v>
      </c>
      <c r="J38" s="196" t="s">
        <v>531</v>
      </c>
      <c r="K38" s="201"/>
    </row>
    <row r="39" spans="1:11" x14ac:dyDescent="0.25">
      <c r="A39" s="202" t="s">
        <v>535</v>
      </c>
      <c r="B39" s="202" t="s">
        <v>536</v>
      </c>
      <c r="C39" s="203">
        <v>115000</v>
      </c>
      <c r="D39" s="203">
        <f t="shared" si="1"/>
        <v>9583.3333333333339</v>
      </c>
      <c r="E39" s="204">
        <v>1</v>
      </c>
      <c r="F39" s="205" t="s">
        <v>530</v>
      </c>
      <c r="G39" s="205" t="s">
        <v>284</v>
      </c>
      <c r="H39" s="206">
        <v>1</v>
      </c>
      <c r="I39" s="206">
        <v>0</v>
      </c>
      <c r="J39" s="202" t="s">
        <v>531</v>
      </c>
      <c r="K39" s="201"/>
    </row>
    <row r="40" spans="1:11" x14ac:dyDescent="0.25">
      <c r="A40" s="196" t="s">
        <v>537</v>
      </c>
      <c r="B40" s="196" t="s">
        <v>538</v>
      </c>
      <c r="C40" s="197">
        <v>250000</v>
      </c>
      <c r="D40" s="197">
        <f t="shared" si="1"/>
        <v>20833.333333333332</v>
      </c>
      <c r="E40" s="198">
        <v>1</v>
      </c>
      <c r="F40" s="199" t="s">
        <v>530</v>
      </c>
      <c r="G40" s="199" t="s">
        <v>284</v>
      </c>
      <c r="H40" s="200">
        <v>0</v>
      </c>
      <c r="I40" s="200">
        <v>0.2</v>
      </c>
      <c r="J40" s="196" t="s">
        <v>531</v>
      </c>
      <c r="K40" s="201"/>
    </row>
    <row r="41" spans="1:11" x14ac:dyDescent="0.25">
      <c r="A41" s="202" t="s">
        <v>539</v>
      </c>
      <c r="B41" s="202" t="s">
        <v>540</v>
      </c>
      <c r="C41" s="203">
        <v>150000</v>
      </c>
      <c r="D41" s="203">
        <f t="shared" si="1"/>
        <v>12500</v>
      </c>
      <c r="E41" s="204">
        <v>1</v>
      </c>
      <c r="F41" s="205" t="s">
        <v>530</v>
      </c>
      <c r="G41" s="205" t="s">
        <v>284</v>
      </c>
      <c r="H41" s="206">
        <v>0</v>
      </c>
      <c r="I41" s="206">
        <v>0.75</v>
      </c>
      <c r="J41" s="202" t="s">
        <v>531</v>
      </c>
      <c r="K41" s="201"/>
    </row>
    <row r="42" spans="1:11" x14ac:dyDescent="0.25">
      <c r="A42" s="196" t="s">
        <v>541</v>
      </c>
      <c r="B42" s="196" t="s">
        <v>542</v>
      </c>
      <c r="C42" s="197">
        <v>250000</v>
      </c>
      <c r="D42" s="197">
        <f t="shared" si="1"/>
        <v>20833.333333333332</v>
      </c>
      <c r="E42" s="198">
        <v>1</v>
      </c>
      <c r="F42" s="199" t="s">
        <v>530</v>
      </c>
      <c r="G42" s="199" t="s">
        <v>284</v>
      </c>
      <c r="H42" s="200">
        <v>0</v>
      </c>
      <c r="I42" s="200">
        <v>0.75</v>
      </c>
      <c r="J42" s="196" t="s">
        <v>531</v>
      </c>
      <c r="K42" s="201"/>
    </row>
    <row r="43" spans="1:11" x14ac:dyDescent="0.25">
      <c r="A43" s="201"/>
      <c r="B43" s="201"/>
      <c r="C43" s="201"/>
      <c r="D43" s="201"/>
      <c r="E43" s="201"/>
      <c r="F43" s="201"/>
      <c r="G43" s="201"/>
      <c r="H43" s="201"/>
      <c r="I43" s="201"/>
      <c r="J43" s="201"/>
      <c r="K43" s="201"/>
    </row>
    <row r="44" spans="1:11" x14ac:dyDescent="0.25">
      <c r="A44" s="201"/>
      <c r="B44" s="201"/>
      <c r="C44" s="201"/>
      <c r="D44" s="201"/>
      <c r="E44" s="201"/>
      <c r="F44" s="201"/>
      <c r="G44" s="201"/>
      <c r="H44" s="201"/>
      <c r="I44" s="201"/>
      <c r="J44" s="201"/>
      <c r="K44" s="201"/>
    </row>
    <row r="45" spans="1:11" x14ac:dyDescent="0.25">
      <c r="A45" s="201"/>
      <c r="B45" s="201"/>
      <c r="C45" s="201"/>
      <c r="D45" s="201"/>
      <c r="E45" s="201"/>
      <c r="F45" s="201"/>
      <c r="G45" s="201"/>
      <c r="H45" s="201"/>
      <c r="I45" s="201"/>
      <c r="J45" s="201"/>
      <c r="K45" s="201"/>
    </row>
    <row r="46" spans="1:11" x14ac:dyDescent="0.25">
      <c r="A46" s="201"/>
      <c r="B46" s="201"/>
      <c r="C46" s="201"/>
      <c r="D46" s="201"/>
      <c r="E46" s="201"/>
      <c r="F46" s="201"/>
      <c r="G46" s="201"/>
      <c r="H46" s="201"/>
      <c r="I46" s="201"/>
      <c r="J46" s="201"/>
      <c r="K46" s="201"/>
    </row>
    <row r="47" spans="1:1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</row>
    <row r="48" spans="1:1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</row>
    <row r="49" spans="1:1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</row>
    <row r="50" spans="1:1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543</v>
      </c>
      <c r="B1" s="2" t="s">
        <v>544</v>
      </c>
    </row>
    <row r="2" spans="1:2" ht="15" customHeight="1" x14ac:dyDescent="0.25">
      <c r="A2" s="116">
        <v>1</v>
      </c>
      <c r="B2" s="117">
        <f>(1+Assumptions!$B$26)^INT((A2-1)/12)</f>
        <v>1</v>
      </c>
    </row>
    <row r="3" spans="1:2" ht="15" customHeight="1" x14ac:dyDescent="0.25">
      <c r="A3" s="116">
        <v>2</v>
      </c>
      <c r="B3" s="117">
        <f>(1+Assumptions!$B$26)^INT((A3-1)/12)</f>
        <v>1</v>
      </c>
    </row>
    <row r="4" spans="1:2" ht="15" customHeight="1" x14ac:dyDescent="0.25">
      <c r="A4" s="116">
        <v>3</v>
      </c>
      <c r="B4" s="117">
        <f>(1+Assumptions!$B$26)^INT((A4-1)/12)</f>
        <v>1</v>
      </c>
    </row>
    <row r="5" spans="1:2" ht="15" customHeight="1" x14ac:dyDescent="0.25">
      <c r="A5" s="116">
        <v>4</v>
      </c>
      <c r="B5" s="117">
        <f>(1+Assumptions!$B$26)^INT((A5-1)/12)</f>
        <v>1</v>
      </c>
    </row>
    <row r="6" spans="1:2" ht="15" customHeight="1" x14ac:dyDescent="0.25">
      <c r="A6" s="116">
        <v>5</v>
      </c>
      <c r="B6" s="117">
        <f>(1+Assumptions!$B$26)^INT((A6-1)/12)</f>
        <v>1</v>
      </c>
    </row>
    <row r="7" spans="1:2" ht="15" customHeight="1" x14ac:dyDescent="0.25">
      <c r="A7" s="116">
        <v>6</v>
      </c>
      <c r="B7" s="117">
        <f>(1+Assumptions!$B$26)^INT((A7-1)/12)</f>
        <v>1</v>
      </c>
    </row>
    <row r="8" spans="1:2" ht="15" customHeight="1" x14ac:dyDescent="0.25">
      <c r="A8" s="116">
        <v>7</v>
      </c>
      <c r="B8" s="117">
        <f>(1+Assumptions!$B$26)^INT((A8-1)/12)</f>
        <v>1</v>
      </c>
    </row>
    <row r="9" spans="1:2" ht="15" customHeight="1" x14ac:dyDescent="0.25">
      <c r="A9" s="116">
        <v>8</v>
      </c>
      <c r="B9" s="117">
        <f>(1+Assumptions!$B$26)^INT((A9-1)/12)</f>
        <v>1</v>
      </c>
    </row>
    <row r="10" spans="1:2" ht="15" customHeight="1" x14ac:dyDescent="0.25">
      <c r="A10" s="116">
        <v>9</v>
      </c>
      <c r="B10" s="117">
        <f>(1+Assumptions!$B$26)^INT((A10-1)/12)</f>
        <v>1</v>
      </c>
    </row>
    <row r="11" spans="1:2" ht="15" customHeight="1" x14ac:dyDescent="0.25">
      <c r="A11" s="116">
        <v>10</v>
      </c>
      <c r="B11" s="117">
        <f>(1+Assumptions!$B$26)^INT((A11-1)/12)</f>
        <v>1</v>
      </c>
    </row>
    <row r="12" spans="1:2" ht="15" customHeight="1" x14ac:dyDescent="0.25">
      <c r="A12" s="116">
        <v>11</v>
      </c>
      <c r="B12" s="117">
        <f>(1+Assumptions!$B$26)^INT((A12-1)/12)</f>
        <v>1</v>
      </c>
    </row>
    <row r="13" spans="1:2" ht="15" customHeight="1" x14ac:dyDescent="0.25">
      <c r="A13" s="116">
        <v>12</v>
      </c>
      <c r="B13" s="117">
        <f>(1+Assumptions!$B$26)^INT((A13-1)/12)</f>
        <v>1</v>
      </c>
    </row>
    <row r="14" spans="1:2" ht="15" customHeight="1" x14ac:dyDescent="0.25">
      <c r="A14" s="116">
        <v>13</v>
      </c>
      <c r="B14" s="117">
        <f>(1+Assumptions!$B$26)^INT((A14-1)/12)</f>
        <v>1.02</v>
      </c>
    </row>
    <row r="15" spans="1:2" ht="15" customHeight="1" x14ac:dyDescent="0.25">
      <c r="A15" s="116">
        <v>14</v>
      </c>
      <c r="B15" s="117">
        <f>(1+Assumptions!$B$26)^INT((A15-1)/12)</f>
        <v>1.02</v>
      </c>
    </row>
    <row r="16" spans="1:2" ht="15" customHeight="1" x14ac:dyDescent="0.25">
      <c r="A16" s="116">
        <v>15</v>
      </c>
      <c r="B16" s="117">
        <f>(1+Assumptions!$B$26)^INT((A16-1)/12)</f>
        <v>1.02</v>
      </c>
    </row>
    <row r="17" spans="1:2" ht="15" customHeight="1" x14ac:dyDescent="0.25">
      <c r="A17" s="116">
        <v>16</v>
      </c>
      <c r="B17" s="117">
        <f>(1+Assumptions!$B$26)^INT((A17-1)/12)</f>
        <v>1.02</v>
      </c>
    </row>
    <row r="18" spans="1:2" ht="15" customHeight="1" x14ac:dyDescent="0.25">
      <c r="A18" s="116">
        <v>17</v>
      </c>
      <c r="B18" s="117">
        <f>(1+Assumptions!$B$26)^INT((A18-1)/12)</f>
        <v>1.02</v>
      </c>
    </row>
    <row r="19" spans="1:2" ht="15" customHeight="1" x14ac:dyDescent="0.25">
      <c r="A19" s="116">
        <v>18</v>
      </c>
      <c r="B19" s="117">
        <f>(1+Assumptions!$B$26)^INT((A19-1)/12)</f>
        <v>1.02</v>
      </c>
    </row>
    <row r="20" spans="1:2" ht="15" customHeight="1" x14ac:dyDescent="0.25">
      <c r="A20" s="116">
        <v>19</v>
      </c>
      <c r="B20" s="117">
        <f>(1+Assumptions!$B$26)^INT((A20-1)/12)</f>
        <v>1.02</v>
      </c>
    </row>
    <row r="21" spans="1:2" ht="15" customHeight="1" x14ac:dyDescent="0.25">
      <c r="A21" s="116">
        <v>20</v>
      </c>
      <c r="B21" s="117">
        <f>(1+Assumptions!$B$26)^INT((A21-1)/12)</f>
        <v>1.02</v>
      </c>
    </row>
    <row r="22" spans="1:2" ht="15" customHeight="1" x14ac:dyDescent="0.25">
      <c r="A22" s="116">
        <v>21</v>
      </c>
      <c r="B22" s="117">
        <f>(1+Assumptions!$B$26)^INT((A22-1)/12)</f>
        <v>1.02</v>
      </c>
    </row>
    <row r="23" spans="1:2" ht="15" customHeight="1" x14ac:dyDescent="0.25">
      <c r="A23" s="116">
        <v>22</v>
      </c>
      <c r="B23" s="117">
        <f>(1+Assumptions!$B$26)^INT((A23-1)/12)</f>
        <v>1.02</v>
      </c>
    </row>
    <row r="24" spans="1:2" ht="15" customHeight="1" x14ac:dyDescent="0.25">
      <c r="A24" s="116">
        <v>23</v>
      </c>
      <c r="B24" s="117">
        <f>(1+Assumptions!$B$26)^INT((A24-1)/12)</f>
        <v>1.02</v>
      </c>
    </row>
    <row r="25" spans="1:2" ht="15" customHeight="1" x14ac:dyDescent="0.25">
      <c r="A25" s="116">
        <v>24</v>
      </c>
      <c r="B25" s="117">
        <f>(1+Assumptions!$B$26)^INT((A25-1)/12)</f>
        <v>1.02</v>
      </c>
    </row>
    <row r="26" spans="1:2" ht="15" customHeight="1" x14ac:dyDescent="0.25">
      <c r="A26" s="116">
        <v>25</v>
      </c>
      <c r="B26" s="117">
        <f>(1+Assumptions!$B$26)^INT((A26-1)/12)</f>
        <v>1.0404</v>
      </c>
    </row>
    <row r="27" spans="1:2" ht="15" customHeight="1" x14ac:dyDescent="0.25">
      <c r="A27" s="116">
        <v>26</v>
      </c>
      <c r="B27" s="117">
        <f>(1+Assumptions!$B$26)^INT((A27-1)/12)</f>
        <v>1.0404</v>
      </c>
    </row>
    <row r="28" spans="1:2" ht="15" customHeight="1" x14ac:dyDescent="0.25">
      <c r="A28" s="116">
        <v>27</v>
      </c>
      <c r="B28" s="117">
        <f>(1+Assumptions!$B$26)^INT((A28-1)/12)</f>
        <v>1.0404</v>
      </c>
    </row>
    <row r="29" spans="1:2" ht="15" customHeight="1" x14ac:dyDescent="0.25">
      <c r="A29" s="116">
        <v>28</v>
      </c>
      <c r="B29" s="117">
        <f>(1+Assumptions!$B$26)^INT((A29-1)/12)</f>
        <v>1.0404</v>
      </c>
    </row>
    <row r="30" spans="1:2" ht="15" customHeight="1" x14ac:dyDescent="0.25">
      <c r="A30" s="116">
        <v>29</v>
      </c>
      <c r="B30" s="117">
        <f>(1+Assumptions!$B$26)^INT((A30-1)/12)</f>
        <v>1.0404</v>
      </c>
    </row>
    <row r="31" spans="1:2" ht="15" customHeight="1" x14ac:dyDescent="0.25">
      <c r="A31" s="116">
        <v>30</v>
      </c>
      <c r="B31" s="117">
        <f>(1+Assumptions!$B$26)^INT((A31-1)/12)</f>
        <v>1.0404</v>
      </c>
    </row>
    <row r="32" spans="1:2" ht="15" customHeight="1" x14ac:dyDescent="0.25">
      <c r="A32" s="116">
        <v>31</v>
      </c>
      <c r="B32" s="117">
        <f>(1+Assumptions!$B$26)^INT((A32-1)/12)</f>
        <v>1.0404</v>
      </c>
    </row>
    <row r="33" spans="1:2" ht="15" customHeight="1" x14ac:dyDescent="0.25">
      <c r="A33" s="116">
        <v>32</v>
      </c>
      <c r="B33" s="117">
        <f>(1+Assumptions!$B$26)^INT((A33-1)/12)</f>
        <v>1.0404</v>
      </c>
    </row>
    <row r="34" spans="1:2" ht="15" customHeight="1" x14ac:dyDescent="0.25">
      <c r="A34" s="116">
        <v>33</v>
      </c>
      <c r="B34" s="117">
        <f>(1+Assumptions!$B$26)^INT((A34-1)/12)</f>
        <v>1.0404</v>
      </c>
    </row>
    <row r="35" spans="1:2" ht="15" customHeight="1" x14ac:dyDescent="0.25">
      <c r="A35" s="116">
        <v>34</v>
      </c>
      <c r="B35" s="117">
        <f>(1+Assumptions!$B$26)^INT((A35-1)/12)</f>
        <v>1.0404</v>
      </c>
    </row>
    <row r="36" spans="1:2" ht="15" customHeight="1" x14ac:dyDescent="0.25">
      <c r="A36" s="116">
        <v>35</v>
      </c>
      <c r="B36" s="117">
        <f>(1+Assumptions!$B$26)^INT((A36-1)/12)</f>
        <v>1.0404</v>
      </c>
    </row>
    <row r="37" spans="1:2" ht="15" customHeight="1" x14ac:dyDescent="0.25">
      <c r="A37" s="116">
        <v>36</v>
      </c>
      <c r="B37" s="117">
        <f>(1+Assumptions!$B$26)^INT((A37-1)/12)</f>
        <v>1.0404</v>
      </c>
    </row>
    <row r="38" spans="1:2" ht="15" customHeight="1" x14ac:dyDescent="0.25">
      <c r="A38" s="116">
        <v>37</v>
      </c>
      <c r="B38" s="117">
        <f>(1+Assumptions!$B$26)^INT((A38-1)/12)</f>
        <v>1.0612079999999999</v>
      </c>
    </row>
    <row r="39" spans="1:2" ht="15" customHeight="1" x14ac:dyDescent="0.25">
      <c r="A39" s="116">
        <v>38</v>
      </c>
      <c r="B39" s="117">
        <f>(1+Assumptions!$B$26)^INT((A39-1)/12)</f>
        <v>1.0612079999999999</v>
      </c>
    </row>
    <row r="40" spans="1:2" ht="15" customHeight="1" x14ac:dyDescent="0.25">
      <c r="A40" s="116">
        <v>39</v>
      </c>
      <c r="B40" s="117">
        <f>(1+Assumptions!$B$26)^INT((A40-1)/12)</f>
        <v>1.0612079999999999</v>
      </c>
    </row>
    <row r="41" spans="1:2" ht="15" customHeight="1" x14ac:dyDescent="0.25">
      <c r="A41" s="116">
        <v>40</v>
      </c>
      <c r="B41" s="117">
        <f>(1+Assumptions!$B$26)^INT((A41-1)/12)</f>
        <v>1.0612079999999999</v>
      </c>
    </row>
    <row r="42" spans="1:2" ht="15" customHeight="1" x14ac:dyDescent="0.25">
      <c r="A42" s="116">
        <v>41</v>
      </c>
      <c r="B42" s="117">
        <f>(1+Assumptions!$B$26)^INT((A42-1)/12)</f>
        <v>1.0612079999999999</v>
      </c>
    </row>
    <row r="43" spans="1:2" ht="15" customHeight="1" x14ac:dyDescent="0.25">
      <c r="A43" s="116">
        <v>42</v>
      </c>
      <c r="B43" s="117">
        <f>(1+Assumptions!$B$26)^INT((A43-1)/12)</f>
        <v>1.0612079999999999</v>
      </c>
    </row>
    <row r="44" spans="1:2" ht="15" customHeight="1" x14ac:dyDescent="0.25">
      <c r="A44" s="116">
        <v>43</v>
      </c>
      <c r="B44" s="117">
        <f>(1+Assumptions!$B$26)^INT((A44-1)/12)</f>
        <v>1.0612079999999999</v>
      </c>
    </row>
    <row r="45" spans="1:2" ht="15" customHeight="1" x14ac:dyDescent="0.25">
      <c r="A45" s="116">
        <v>44</v>
      </c>
      <c r="B45" s="117">
        <f>(1+Assumptions!$B$26)^INT((A45-1)/12)</f>
        <v>1.0612079999999999</v>
      </c>
    </row>
    <row r="46" spans="1:2" ht="15" customHeight="1" x14ac:dyDescent="0.25">
      <c r="A46" s="116">
        <v>45</v>
      </c>
      <c r="B46" s="117">
        <f>(1+Assumptions!$B$26)^INT((A46-1)/12)</f>
        <v>1.0612079999999999</v>
      </c>
    </row>
    <row r="47" spans="1:2" ht="15" customHeight="1" x14ac:dyDescent="0.25">
      <c r="A47" s="116">
        <v>46</v>
      </c>
      <c r="B47" s="117">
        <f>(1+Assumptions!$B$26)^INT((A47-1)/12)</f>
        <v>1.0612079999999999</v>
      </c>
    </row>
    <row r="48" spans="1:2" ht="15" customHeight="1" x14ac:dyDescent="0.25">
      <c r="A48" s="116">
        <v>47</v>
      </c>
      <c r="B48" s="117">
        <f>(1+Assumptions!$B$26)^INT((A48-1)/12)</f>
        <v>1.0612079999999999</v>
      </c>
    </row>
    <row r="49" spans="1:2" ht="15" customHeight="1" x14ac:dyDescent="0.25">
      <c r="A49" s="116">
        <v>48</v>
      </c>
      <c r="B49" s="117">
        <f>(1+Assumptions!$B$26)^INT((A49-1)/12)</f>
        <v>1.0612079999999999</v>
      </c>
    </row>
    <row r="50" spans="1:2" ht="15" customHeight="1" x14ac:dyDescent="0.25">
      <c r="A50" s="116">
        <v>49</v>
      </c>
      <c r="B50" s="117">
        <f>(1+Assumptions!$B$26)^INT((A50-1)/12)</f>
        <v>1.08243216</v>
      </c>
    </row>
    <row r="51" spans="1:2" ht="15" customHeight="1" x14ac:dyDescent="0.25">
      <c r="A51" s="116">
        <v>50</v>
      </c>
      <c r="B51" s="117">
        <f>(1+Assumptions!$B$26)^INT((A51-1)/12)</f>
        <v>1.08243216</v>
      </c>
    </row>
    <row r="52" spans="1:2" ht="15" customHeight="1" x14ac:dyDescent="0.25">
      <c r="A52" s="116">
        <v>51</v>
      </c>
      <c r="B52" s="117">
        <f>(1+Assumptions!$B$26)^INT((A52-1)/12)</f>
        <v>1.08243216</v>
      </c>
    </row>
    <row r="53" spans="1:2" ht="15" customHeight="1" x14ac:dyDescent="0.25">
      <c r="A53" s="116">
        <v>52</v>
      </c>
      <c r="B53" s="117">
        <f>(1+Assumptions!$B$26)^INT((A53-1)/12)</f>
        <v>1.08243216</v>
      </c>
    </row>
    <row r="54" spans="1:2" ht="15" customHeight="1" x14ac:dyDescent="0.25">
      <c r="A54" s="116">
        <v>53</v>
      </c>
      <c r="B54" s="117">
        <f>(1+Assumptions!$B$26)^INT((A54-1)/12)</f>
        <v>1.08243216</v>
      </c>
    </row>
    <row r="55" spans="1:2" ht="15" customHeight="1" x14ac:dyDescent="0.25">
      <c r="A55" s="116">
        <v>54</v>
      </c>
      <c r="B55" s="117">
        <f>(1+Assumptions!$B$26)^INT((A55-1)/12)</f>
        <v>1.08243216</v>
      </c>
    </row>
    <row r="56" spans="1:2" ht="15" customHeight="1" x14ac:dyDescent="0.25">
      <c r="A56" s="116">
        <v>55</v>
      </c>
      <c r="B56" s="117">
        <f>(1+Assumptions!$B$26)^INT((A56-1)/12)</f>
        <v>1.08243216</v>
      </c>
    </row>
    <row r="57" spans="1:2" ht="15" customHeight="1" x14ac:dyDescent="0.25">
      <c r="A57" s="116">
        <v>56</v>
      </c>
      <c r="B57" s="117">
        <f>(1+Assumptions!$B$26)^INT((A57-1)/12)</f>
        <v>1.08243216</v>
      </c>
    </row>
    <row r="58" spans="1:2" ht="15" customHeight="1" x14ac:dyDescent="0.25">
      <c r="A58" s="116">
        <v>57</v>
      </c>
      <c r="B58" s="117">
        <f>(1+Assumptions!$B$26)^INT((A58-1)/12)</f>
        <v>1.08243216</v>
      </c>
    </row>
    <row r="59" spans="1:2" ht="15" customHeight="1" x14ac:dyDescent="0.25">
      <c r="A59" s="116">
        <v>58</v>
      </c>
      <c r="B59" s="117">
        <f>(1+Assumptions!$B$26)^INT((A59-1)/12)</f>
        <v>1.08243216</v>
      </c>
    </row>
    <row r="60" spans="1:2" ht="15" customHeight="1" x14ac:dyDescent="0.25">
      <c r="A60" s="116">
        <v>59</v>
      </c>
      <c r="B60" s="117">
        <f>(1+Assumptions!$B$26)^INT((A60-1)/12)</f>
        <v>1.08243216</v>
      </c>
    </row>
    <row r="61" spans="1:2" ht="15" customHeight="1" x14ac:dyDescent="0.25">
      <c r="A61" s="116">
        <v>60</v>
      </c>
      <c r="B61" s="117">
        <f>(1+Assumptions!$B$26)^INT((A61-1)/12)</f>
        <v>1.08243216</v>
      </c>
    </row>
    <row r="62" spans="1:2" ht="15" customHeight="1" x14ac:dyDescent="0.25">
      <c r="A62" s="116">
        <v>61</v>
      </c>
      <c r="B62" s="117">
        <f>(1+Assumptions!$B$26)^INT((A62-1)/12)</f>
        <v>1.1040808032</v>
      </c>
    </row>
    <row r="63" spans="1:2" ht="15" customHeight="1" x14ac:dyDescent="0.25">
      <c r="A63" s="116">
        <v>62</v>
      </c>
      <c r="B63" s="117">
        <f>(1+Assumptions!$B$26)^INT((A63-1)/12)</f>
        <v>1.1040808032</v>
      </c>
    </row>
    <row r="64" spans="1:2" ht="15" customHeight="1" x14ac:dyDescent="0.25">
      <c r="A64" s="116">
        <v>63</v>
      </c>
      <c r="B64" s="117">
        <f>(1+Assumptions!$B$26)^INT((A64-1)/12)</f>
        <v>1.1040808032</v>
      </c>
    </row>
    <row r="65" spans="1:2" ht="15" customHeight="1" x14ac:dyDescent="0.25">
      <c r="A65" s="116">
        <v>64</v>
      </c>
      <c r="B65" s="117">
        <f>(1+Assumptions!$B$26)^INT((A65-1)/12)</f>
        <v>1.1040808032</v>
      </c>
    </row>
    <row r="66" spans="1:2" ht="15" customHeight="1" x14ac:dyDescent="0.25">
      <c r="A66" s="116">
        <v>65</v>
      </c>
      <c r="B66" s="117">
        <f>(1+Assumptions!$B$26)^INT((A66-1)/12)</f>
        <v>1.1040808032</v>
      </c>
    </row>
    <row r="67" spans="1:2" ht="15" customHeight="1" x14ac:dyDescent="0.25">
      <c r="A67" s="116">
        <v>66</v>
      </c>
      <c r="B67" s="117">
        <f>(1+Assumptions!$B$26)^INT((A67-1)/12)</f>
        <v>1.1040808032</v>
      </c>
    </row>
    <row r="68" spans="1:2" ht="15" customHeight="1" x14ac:dyDescent="0.25">
      <c r="A68" s="116">
        <v>67</v>
      </c>
      <c r="B68" s="117">
        <f>(1+Assumptions!$B$26)^INT((A68-1)/12)</f>
        <v>1.1040808032</v>
      </c>
    </row>
    <row r="69" spans="1:2" ht="15" customHeight="1" x14ac:dyDescent="0.25">
      <c r="A69" s="116">
        <v>68</v>
      </c>
      <c r="B69" s="117">
        <f>(1+Assumptions!$B$26)^INT((A69-1)/12)</f>
        <v>1.1040808032</v>
      </c>
    </row>
    <row r="70" spans="1:2" ht="15" customHeight="1" x14ac:dyDescent="0.25">
      <c r="A70" s="116">
        <v>69</v>
      </c>
      <c r="B70" s="117">
        <f>(1+Assumptions!$B$26)^INT((A70-1)/12)</f>
        <v>1.1040808032</v>
      </c>
    </row>
    <row r="71" spans="1:2" ht="15" customHeight="1" x14ac:dyDescent="0.25">
      <c r="A71" s="116">
        <v>70</v>
      </c>
      <c r="B71" s="117">
        <f>(1+Assumptions!$B$26)^INT((A71-1)/12)</f>
        <v>1.1040808032</v>
      </c>
    </row>
    <row r="72" spans="1:2" ht="15" customHeight="1" x14ac:dyDescent="0.25">
      <c r="A72" s="116">
        <v>71</v>
      </c>
      <c r="B72" s="117">
        <f>(1+Assumptions!$B$26)^INT((A72-1)/12)</f>
        <v>1.1040808032</v>
      </c>
    </row>
    <row r="73" spans="1:2" ht="15" customHeight="1" x14ac:dyDescent="0.25">
      <c r="A73" s="116">
        <v>72</v>
      </c>
      <c r="B73" s="117">
        <f>(1+Assumptions!$B$26)^INT((A73-1)/12)</f>
        <v>1.1040808032</v>
      </c>
    </row>
    <row r="74" spans="1:2" ht="15" customHeight="1" x14ac:dyDescent="0.25">
      <c r="A74" s="116">
        <v>73</v>
      </c>
      <c r="B74" s="117">
        <f>(1+Assumptions!$B$26)^INT((A74-1)/12)</f>
        <v>1.1261624192640001</v>
      </c>
    </row>
    <row r="75" spans="1:2" ht="15" customHeight="1" x14ac:dyDescent="0.25">
      <c r="A75" s="116">
        <v>74</v>
      </c>
      <c r="B75" s="117">
        <f>(1+Assumptions!$B$26)^INT((A75-1)/12)</f>
        <v>1.1261624192640001</v>
      </c>
    </row>
    <row r="76" spans="1:2" ht="15" customHeight="1" x14ac:dyDescent="0.25">
      <c r="A76" s="116">
        <v>75</v>
      </c>
      <c r="B76" s="117">
        <f>(1+Assumptions!$B$26)^INT((A76-1)/12)</f>
        <v>1.1261624192640001</v>
      </c>
    </row>
    <row r="77" spans="1:2" ht="15" customHeight="1" x14ac:dyDescent="0.25">
      <c r="A77" s="116">
        <v>76</v>
      </c>
      <c r="B77" s="117">
        <f>(1+Assumptions!$B$26)^INT((A77-1)/12)</f>
        <v>1.1261624192640001</v>
      </c>
    </row>
    <row r="78" spans="1:2" ht="15" customHeight="1" x14ac:dyDescent="0.25">
      <c r="A78" s="116">
        <v>77</v>
      </c>
      <c r="B78" s="117">
        <f>(1+Assumptions!$B$26)^INT((A78-1)/12)</f>
        <v>1.1261624192640001</v>
      </c>
    </row>
    <row r="79" spans="1:2" ht="15" customHeight="1" x14ac:dyDescent="0.25">
      <c r="A79" s="116">
        <v>78</v>
      </c>
      <c r="B79" s="117">
        <f>(1+Assumptions!$B$26)^INT((A79-1)/12)</f>
        <v>1.1261624192640001</v>
      </c>
    </row>
    <row r="80" spans="1:2" ht="15" customHeight="1" x14ac:dyDescent="0.25">
      <c r="A80" s="116">
        <v>79</v>
      </c>
      <c r="B80" s="117">
        <f>(1+Assumptions!$B$26)^INT((A80-1)/12)</f>
        <v>1.1261624192640001</v>
      </c>
    </row>
    <row r="81" spans="1:2" ht="15" customHeight="1" x14ac:dyDescent="0.25">
      <c r="A81" s="116">
        <v>80</v>
      </c>
      <c r="B81" s="117">
        <f>(1+Assumptions!$B$26)^INT((A81-1)/12)</f>
        <v>1.1261624192640001</v>
      </c>
    </row>
    <row r="82" spans="1:2" ht="15" customHeight="1" x14ac:dyDescent="0.25">
      <c r="A82" s="116">
        <v>81</v>
      </c>
      <c r="B82" s="117">
        <f>(1+Assumptions!$B$26)^INT((A82-1)/12)</f>
        <v>1.1261624192640001</v>
      </c>
    </row>
    <row r="83" spans="1:2" ht="15" customHeight="1" x14ac:dyDescent="0.25">
      <c r="A83" s="116">
        <v>82</v>
      </c>
      <c r="B83" s="117">
        <f>(1+Assumptions!$B$26)^INT((A83-1)/12)</f>
        <v>1.1261624192640001</v>
      </c>
    </row>
    <row r="84" spans="1:2" ht="15" customHeight="1" x14ac:dyDescent="0.25">
      <c r="A84" s="116">
        <v>83</v>
      </c>
      <c r="B84" s="117">
        <f>(1+Assumptions!$B$26)^INT((A84-1)/12)</f>
        <v>1.1261624192640001</v>
      </c>
    </row>
    <row r="85" spans="1:2" ht="15" customHeight="1" x14ac:dyDescent="0.25">
      <c r="A85" s="116">
        <v>84</v>
      </c>
      <c r="B85" s="117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93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19" t="s">
        <v>545</v>
      </c>
      <c r="B1" s="218"/>
      <c r="C1" s="218"/>
      <c r="D1" s="218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8" t="s">
        <v>46</v>
      </c>
      <c r="C3" s="116">
        <v>1</v>
      </c>
      <c r="D3" s="116">
        <v>2</v>
      </c>
      <c r="E3" s="116">
        <v>3</v>
      </c>
      <c r="F3" s="116">
        <v>4</v>
      </c>
      <c r="G3" s="116">
        <v>5</v>
      </c>
      <c r="H3" s="116">
        <v>6</v>
      </c>
      <c r="I3" s="116">
        <v>7</v>
      </c>
      <c r="J3" s="116">
        <v>8</v>
      </c>
      <c r="K3" s="116">
        <v>9</v>
      </c>
      <c r="L3" s="116">
        <v>10</v>
      </c>
      <c r="M3" s="116">
        <v>11</v>
      </c>
      <c r="N3" s="116">
        <v>12</v>
      </c>
      <c r="O3" s="116">
        <v>13</v>
      </c>
      <c r="P3" s="116">
        <v>14</v>
      </c>
      <c r="Q3" s="116">
        <v>15</v>
      </c>
      <c r="R3" s="116">
        <v>16</v>
      </c>
      <c r="S3" s="116">
        <v>17</v>
      </c>
      <c r="T3" s="116">
        <v>18</v>
      </c>
      <c r="U3" s="116">
        <v>19</v>
      </c>
      <c r="V3" s="116">
        <v>20</v>
      </c>
      <c r="W3" s="116">
        <v>21</v>
      </c>
      <c r="X3" s="116">
        <v>22</v>
      </c>
      <c r="Y3" s="116">
        <v>23</v>
      </c>
      <c r="Z3" s="116">
        <v>24</v>
      </c>
      <c r="AA3" s="116">
        <v>25</v>
      </c>
      <c r="AB3" s="116">
        <v>26</v>
      </c>
      <c r="AC3" s="116">
        <v>27</v>
      </c>
      <c r="AD3" s="116">
        <v>28</v>
      </c>
      <c r="AE3" s="116">
        <v>29</v>
      </c>
      <c r="AF3" s="116">
        <v>30</v>
      </c>
      <c r="AG3" s="116">
        <v>31</v>
      </c>
      <c r="AH3" s="116">
        <v>32</v>
      </c>
      <c r="AI3" s="116">
        <v>33</v>
      </c>
      <c r="AJ3" s="116">
        <v>34</v>
      </c>
      <c r="AK3" s="116">
        <v>35</v>
      </c>
      <c r="AL3" s="116">
        <v>36</v>
      </c>
      <c r="AM3" s="116">
        <v>37</v>
      </c>
      <c r="AN3" s="116">
        <v>38</v>
      </c>
      <c r="AO3" s="116">
        <v>39</v>
      </c>
      <c r="AP3" s="116">
        <v>40</v>
      </c>
      <c r="AQ3" s="116">
        <v>41</v>
      </c>
      <c r="AR3" s="116">
        <v>42</v>
      </c>
      <c r="AS3" s="116">
        <v>43</v>
      </c>
      <c r="AT3" s="116">
        <v>44</v>
      </c>
      <c r="AU3" s="116">
        <v>45</v>
      </c>
      <c r="AV3" s="116">
        <v>46</v>
      </c>
      <c r="AW3" s="116">
        <v>47</v>
      </c>
      <c r="AX3" s="116">
        <v>48</v>
      </c>
      <c r="AY3" s="116">
        <v>49</v>
      </c>
      <c r="AZ3" s="116">
        <v>50</v>
      </c>
      <c r="BA3" s="116">
        <v>51</v>
      </c>
      <c r="BB3" s="116">
        <v>52</v>
      </c>
      <c r="BC3" s="116">
        <v>53</v>
      </c>
      <c r="BD3" s="116">
        <v>54</v>
      </c>
      <c r="BE3" s="116">
        <v>55</v>
      </c>
      <c r="BF3" s="116">
        <v>56</v>
      </c>
      <c r="BG3" s="116">
        <v>57</v>
      </c>
      <c r="BH3" s="116">
        <v>58</v>
      </c>
      <c r="BI3" s="116">
        <v>59</v>
      </c>
      <c r="BJ3" s="116">
        <v>60</v>
      </c>
      <c r="BK3" s="116">
        <v>61</v>
      </c>
      <c r="BL3" s="116">
        <v>62</v>
      </c>
      <c r="BM3" s="116">
        <v>63</v>
      </c>
      <c r="BN3" s="116">
        <v>64</v>
      </c>
      <c r="BO3" s="116">
        <v>65</v>
      </c>
      <c r="BP3" s="116">
        <v>66</v>
      </c>
      <c r="BQ3" s="116">
        <v>67</v>
      </c>
      <c r="BR3" s="116">
        <v>68</v>
      </c>
      <c r="BS3" s="116">
        <v>69</v>
      </c>
      <c r="BT3" s="116">
        <v>70</v>
      </c>
      <c r="BU3" s="116">
        <v>71</v>
      </c>
      <c r="BV3" s="116">
        <v>72</v>
      </c>
      <c r="BW3" s="116">
        <v>73</v>
      </c>
      <c r="BX3" s="116">
        <v>74</v>
      </c>
      <c r="BY3" s="116">
        <v>75</v>
      </c>
      <c r="BZ3" s="116">
        <v>76</v>
      </c>
      <c r="CA3" s="116">
        <v>77</v>
      </c>
      <c r="CB3" s="116">
        <v>78</v>
      </c>
      <c r="CC3" s="116">
        <v>79</v>
      </c>
      <c r="CD3" s="116">
        <v>80</v>
      </c>
      <c r="CE3" s="116">
        <v>81</v>
      </c>
      <c r="CF3" s="116">
        <v>82</v>
      </c>
      <c r="CG3" s="116">
        <v>83</v>
      </c>
      <c r="CH3" s="116">
        <v>84</v>
      </c>
    </row>
    <row r="4" spans="1:86" ht="15" customHeight="1" x14ac:dyDescent="0.25">
      <c r="A4" s="98" t="s">
        <v>546</v>
      </c>
      <c r="C4" s="104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</f>
        <v>218958.33333333337</v>
      </c>
      <c r="D4" s="104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</f>
        <v>243541.66666666669</v>
      </c>
      <c r="E4" s="104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</f>
        <v>268541.66666666663</v>
      </c>
      <c r="F4" s="104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</f>
        <v>279375</v>
      </c>
      <c r="G4" s="104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</f>
        <v>279375</v>
      </c>
      <c r="H4" s="104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</f>
        <v>279375</v>
      </c>
      <c r="I4" s="104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</f>
        <v>300208.33333333326</v>
      </c>
      <c r="J4" s="104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</f>
        <v>330208.3333333332</v>
      </c>
      <c r="K4" s="104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</f>
        <v>330208.3333333332</v>
      </c>
      <c r="L4" s="104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</f>
        <v>330208.3333333332</v>
      </c>
      <c r="M4" s="104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</f>
        <v>330208.3333333332</v>
      </c>
      <c r="N4" s="104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</f>
        <v>330208.3333333332</v>
      </c>
      <c r="O4" s="104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</f>
        <v>343541.66666666657</v>
      </c>
      <c r="P4" s="104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</f>
        <v>343541.66666666657</v>
      </c>
      <c r="Q4" s="104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</f>
        <v>343541.66666666657</v>
      </c>
      <c r="R4" s="104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</f>
        <v>343541.66666666657</v>
      </c>
      <c r="S4" s="104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</f>
        <v>343541.66666666657</v>
      </c>
      <c r="T4" s="104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</f>
        <v>343541.66666666657</v>
      </c>
      <c r="U4" s="104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</f>
        <v>343541.66666666657</v>
      </c>
      <c r="V4" s="104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</f>
        <v>343541.66666666657</v>
      </c>
      <c r="W4" s="104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</f>
        <v>343541.66666666657</v>
      </c>
      <c r="X4" s="104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</f>
        <v>343541.66666666657</v>
      </c>
      <c r="Y4" s="104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</f>
        <v>343541.66666666657</v>
      </c>
      <c r="Z4" s="104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</f>
        <v>343541.66666666657</v>
      </c>
      <c r="AA4" s="104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</f>
        <v>343541.66666666657</v>
      </c>
      <c r="AB4" s="104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</f>
        <v>343541.66666666657</v>
      </c>
      <c r="AC4" s="104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</f>
        <v>343541.66666666657</v>
      </c>
      <c r="AD4" s="104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</f>
        <v>343541.66666666657</v>
      </c>
      <c r="AE4" s="104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</f>
        <v>343541.66666666657</v>
      </c>
      <c r="AF4" s="104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</f>
        <v>343541.66666666657</v>
      </c>
      <c r="AG4" s="104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</f>
        <v>343541.66666666657</v>
      </c>
      <c r="AH4" s="104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</f>
        <v>343541.66666666657</v>
      </c>
      <c r="AI4" s="104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</f>
        <v>343541.66666666657</v>
      </c>
      <c r="AJ4" s="104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</f>
        <v>343541.66666666657</v>
      </c>
      <c r="AK4" s="104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</f>
        <v>343541.66666666657</v>
      </c>
      <c r="AL4" s="104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</f>
        <v>343541.66666666657</v>
      </c>
      <c r="AM4" s="104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</f>
        <v>343541.66666666657</v>
      </c>
      <c r="AN4" s="104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</f>
        <v>343541.66666666657</v>
      </c>
      <c r="AO4" s="104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</f>
        <v>343541.66666666657</v>
      </c>
      <c r="AP4" s="104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</f>
        <v>343541.66666666657</v>
      </c>
      <c r="AQ4" s="104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</f>
        <v>343541.66666666657</v>
      </c>
      <c r="AR4" s="104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</f>
        <v>343541.66666666657</v>
      </c>
      <c r="AS4" s="104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</f>
        <v>343541.66666666657</v>
      </c>
      <c r="AT4" s="104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</f>
        <v>343541.66666666657</v>
      </c>
      <c r="AU4" s="104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</f>
        <v>343541.66666666657</v>
      </c>
      <c r="AV4" s="104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</f>
        <v>343541.66666666657</v>
      </c>
      <c r="AW4" s="104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</f>
        <v>343541.66666666657</v>
      </c>
      <c r="AX4" s="104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</f>
        <v>343541.66666666657</v>
      </c>
      <c r="AY4" s="104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</f>
        <v>343541.66666666657</v>
      </c>
      <c r="AZ4" s="104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</f>
        <v>343541.66666666657</v>
      </c>
      <c r="BA4" s="104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</f>
        <v>343541.66666666657</v>
      </c>
      <c r="BB4" s="104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</f>
        <v>343541.66666666657</v>
      </c>
      <c r="BC4" s="104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</f>
        <v>343541.66666666657</v>
      </c>
      <c r="BD4" s="104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</f>
        <v>343541.66666666657</v>
      </c>
      <c r="BE4" s="104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</f>
        <v>343541.66666666657</v>
      </c>
      <c r="BF4" s="104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</f>
        <v>343541.66666666657</v>
      </c>
      <c r="BG4" s="104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</f>
        <v>343541.66666666657</v>
      </c>
      <c r="BH4" s="104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</f>
        <v>343541.66666666657</v>
      </c>
      <c r="BI4" s="104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</f>
        <v>343541.66666666657</v>
      </c>
      <c r="BJ4" s="104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</f>
        <v>343541.66666666657</v>
      </c>
      <c r="BK4" s="104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</f>
        <v>343541.66666666657</v>
      </c>
      <c r="BL4" s="104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</f>
        <v>343541.66666666657</v>
      </c>
      <c r="BM4" s="104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</f>
        <v>343541.66666666657</v>
      </c>
      <c r="BN4" s="104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</f>
        <v>343541.66666666657</v>
      </c>
      <c r="BO4" s="104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</f>
        <v>343541.66666666657</v>
      </c>
      <c r="BP4" s="104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</f>
        <v>343541.66666666657</v>
      </c>
      <c r="BQ4" s="104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</f>
        <v>343541.66666666657</v>
      </c>
      <c r="BR4" s="104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</f>
        <v>343541.66666666657</v>
      </c>
      <c r="BS4" s="104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</f>
        <v>343541.66666666657</v>
      </c>
      <c r="BT4" s="104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</f>
        <v>343541.66666666657</v>
      </c>
      <c r="BU4" s="104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</f>
        <v>343541.66666666657</v>
      </c>
      <c r="BV4" s="104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</f>
        <v>343541.66666666657</v>
      </c>
      <c r="BW4" s="104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</f>
        <v>343541.66666666657</v>
      </c>
      <c r="BX4" s="104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</f>
        <v>343541.66666666657</v>
      </c>
      <c r="BY4" s="104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</f>
        <v>343541.66666666657</v>
      </c>
      <c r="BZ4" s="104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</f>
        <v>343541.66666666657</v>
      </c>
      <c r="CA4" s="104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</f>
        <v>343541.66666666657</v>
      </c>
      <c r="CB4" s="104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</f>
        <v>343541.66666666657</v>
      </c>
      <c r="CC4" s="104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</f>
        <v>343541.66666666657</v>
      </c>
      <c r="CD4" s="104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</f>
        <v>343541.66666666657</v>
      </c>
      <c r="CE4" s="104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</f>
        <v>343541.66666666657</v>
      </c>
      <c r="CF4" s="104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</f>
        <v>343541.66666666657</v>
      </c>
      <c r="CG4" s="104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</f>
        <v>343541.66666666657</v>
      </c>
      <c r="CH4" s="104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</f>
        <v>343541.66666666657</v>
      </c>
    </row>
    <row r="5" spans="1:86" ht="15" customHeight="1" x14ac:dyDescent="0.25">
      <c r="A5" s="98" t="s">
        <v>547</v>
      </c>
      <c r="C5" s="104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</f>
        <v>25000</v>
      </c>
      <c r="D5" s="104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</f>
        <v>25000</v>
      </c>
      <c r="E5" s="104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</f>
        <v>25000</v>
      </c>
      <c r="F5" s="104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</f>
        <v>25000</v>
      </c>
      <c r="G5" s="104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</f>
        <v>25000</v>
      </c>
      <c r="H5" s="104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</f>
        <v>25000</v>
      </c>
      <c r="I5" s="104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</f>
        <v>25000</v>
      </c>
      <c r="J5" s="104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</f>
        <v>25000</v>
      </c>
      <c r="K5" s="104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</f>
        <v>25000</v>
      </c>
      <c r="L5" s="104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</f>
        <v>25000</v>
      </c>
      <c r="M5" s="104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</f>
        <v>25000</v>
      </c>
      <c r="N5" s="104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</f>
        <v>25000</v>
      </c>
      <c r="O5" s="104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</f>
        <v>25000</v>
      </c>
      <c r="P5" s="104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</f>
        <v>25000</v>
      </c>
      <c r="Q5" s="104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</f>
        <v>25000</v>
      </c>
      <c r="R5" s="104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</f>
        <v>25000</v>
      </c>
      <c r="S5" s="104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</f>
        <v>25000</v>
      </c>
      <c r="T5" s="104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</f>
        <v>25000</v>
      </c>
      <c r="U5" s="104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</f>
        <v>25000</v>
      </c>
      <c r="V5" s="104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</f>
        <v>25000</v>
      </c>
      <c r="W5" s="104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</f>
        <v>25000</v>
      </c>
      <c r="X5" s="104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</f>
        <v>25000</v>
      </c>
      <c r="Y5" s="104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</f>
        <v>25000</v>
      </c>
      <c r="Z5" s="104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</f>
        <v>25000</v>
      </c>
      <c r="AA5" s="104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</f>
        <v>25000</v>
      </c>
      <c r="AB5" s="104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</f>
        <v>25000</v>
      </c>
      <c r="AC5" s="104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</f>
        <v>25000</v>
      </c>
      <c r="AD5" s="104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</f>
        <v>25000</v>
      </c>
      <c r="AE5" s="104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</f>
        <v>25000</v>
      </c>
      <c r="AF5" s="104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</f>
        <v>25000</v>
      </c>
      <c r="AG5" s="104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</f>
        <v>25000</v>
      </c>
      <c r="AH5" s="104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</f>
        <v>25000</v>
      </c>
      <c r="AI5" s="104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</f>
        <v>25000</v>
      </c>
      <c r="AJ5" s="104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</f>
        <v>25000</v>
      </c>
      <c r="AK5" s="104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</f>
        <v>25000</v>
      </c>
      <c r="AL5" s="104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</f>
        <v>25000</v>
      </c>
      <c r="AM5" s="104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</f>
        <v>25000</v>
      </c>
      <c r="AN5" s="104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</f>
        <v>25000</v>
      </c>
      <c r="AO5" s="104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</f>
        <v>25000</v>
      </c>
      <c r="AP5" s="104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</f>
        <v>25000</v>
      </c>
      <c r="AQ5" s="104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</f>
        <v>25000</v>
      </c>
      <c r="AR5" s="104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</f>
        <v>25000</v>
      </c>
      <c r="AS5" s="104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</f>
        <v>25000</v>
      </c>
      <c r="AT5" s="104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</f>
        <v>25000</v>
      </c>
      <c r="AU5" s="104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</f>
        <v>25000</v>
      </c>
      <c r="AV5" s="104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</f>
        <v>25000</v>
      </c>
      <c r="AW5" s="104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</f>
        <v>25000</v>
      </c>
      <c r="AX5" s="104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</f>
        <v>25000</v>
      </c>
      <c r="AY5" s="104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</f>
        <v>25000</v>
      </c>
      <c r="AZ5" s="104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</f>
        <v>25000</v>
      </c>
      <c r="BA5" s="104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</f>
        <v>25000</v>
      </c>
      <c r="BB5" s="104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</f>
        <v>25000</v>
      </c>
      <c r="BC5" s="104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</f>
        <v>25000</v>
      </c>
      <c r="BD5" s="104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</f>
        <v>25000</v>
      </c>
      <c r="BE5" s="104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</f>
        <v>25000</v>
      </c>
      <c r="BF5" s="104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</f>
        <v>25000</v>
      </c>
      <c r="BG5" s="104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</f>
        <v>25000</v>
      </c>
      <c r="BH5" s="104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</f>
        <v>25000</v>
      </c>
      <c r="BI5" s="104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</f>
        <v>25000</v>
      </c>
      <c r="BJ5" s="104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</f>
        <v>25000</v>
      </c>
      <c r="BK5" s="104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</f>
        <v>25000</v>
      </c>
      <c r="BL5" s="104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</f>
        <v>25000</v>
      </c>
      <c r="BM5" s="104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</f>
        <v>25000</v>
      </c>
      <c r="BN5" s="104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</f>
        <v>25000</v>
      </c>
      <c r="BO5" s="104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</f>
        <v>25000</v>
      </c>
      <c r="BP5" s="104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</f>
        <v>25000</v>
      </c>
      <c r="BQ5" s="104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</f>
        <v>25000</v>
      </c>
      <c r="BR5" s="104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</f>
        <v>25000</v>
      </c>
      <c r="BS5" s="104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</f>
        <v>25000</v>
      </c>
      <c r="BT5" s="104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</f>
        <v>25000</v>
      </c>
      <c r="BU5" s="104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</f>
        <v>25000</v>
      </c>
      <c r="BV5" s="104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</f>
        <v>25000</v>
      </c>
      <c r="BW5" s="104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</f>
        <v>25000</v>
      </c>
      <c r="BX5" s="104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</f>
        <v>25000</v>
      </c>
      <c r="BY5" s="104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</f>
        <v>25000</v>
      </c>
      <c r="BZ5" s="104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</f>
        <v>25000</v>
      </c>
      <c r="CA5" s="104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</f>
        <v>25000</v>
      </c>
      <c r="CB5" s="104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</f>
        <v>25000</v>
      </c>
      <c r="CC5" s="104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</f>
        <v>25000</v>
      </c>
      <c r="CD5" s="104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</f>
        <v>25000</v>
      </c>
      <c r="CE5" s="104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</f>
        <v>25000</v>
      </c>
      <c r="CF5" s="104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</f>
        <v>25000</v>
      </c>
      <c r="CG5" s="104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</f>
        <v>25000</v>
      </c>
      <c r="CH5" s="104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</f>
        <v>25000</v>
      </c>
    </row>
    <row r="7" spans="1:86" ht="15" customHeight="1" x14ac:dyDescent="0.25">
      <c r="A7" s="100" t="s">
        <v>548</v>
      </c>
    </row>
    <row r="8" spans="1:86" ht="15" customHeight="1" x14ac:dyDescent="0.25">
      <c r="A8" s="98" t="s">
        <v>158</v>
      </c>
      <c r="C8" s="104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4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4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4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4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4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4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4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4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4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4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4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4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4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4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4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4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4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4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4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4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4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4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4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4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4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4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4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4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4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4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4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4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4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4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4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4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4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4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4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4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4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4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4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4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4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4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4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4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4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4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4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4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4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4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4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4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4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4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4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4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4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4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4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4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4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4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4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4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4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4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4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4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4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4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4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4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4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4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4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4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4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4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4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8" t="s">
        <v>159</v>
      </c>
      <c r="C9" s="104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4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4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4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4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4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4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4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4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4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4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4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4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4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4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4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4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4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4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4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4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4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4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4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4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4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4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4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4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4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4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4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4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4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4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4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4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4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4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4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4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4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4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4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4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4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4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4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4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4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4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4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4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4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4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4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4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4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4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4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4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4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4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4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4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4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4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4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4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4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4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4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4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4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4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4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4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4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4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4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4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4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4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4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8" t="s">
        <v>49</v>
      </c>
      <c r="C10" s="104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4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4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4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4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4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4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4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4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4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4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4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4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4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4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4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4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4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4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4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4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4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4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4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4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4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4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4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4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4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4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4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4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4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4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4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4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4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4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4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4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4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4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4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4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4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4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4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4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4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4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4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4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4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4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4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4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4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4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4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4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4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4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4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4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4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4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4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4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4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4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4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4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4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4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4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4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4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4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4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4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4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4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4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8" t="s">
        <v>160</v>
      </c>
      <c r="C11" s="104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4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4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4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4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4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4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4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4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4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4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4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4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4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4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4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4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4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4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4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4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4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4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4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4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4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4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4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4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4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4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4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4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4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4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4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4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4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4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4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4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4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4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4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4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4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4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4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4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4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4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4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4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4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4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4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4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4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4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4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4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4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4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4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4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4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4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4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4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4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4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4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4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4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4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4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4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4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4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4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4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4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4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4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8" t="s">
        <v>161</v>
      </c>
      <c r="C12" s="104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4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4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4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4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4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4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4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4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4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4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4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4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4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4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4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4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4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4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4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4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4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4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4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4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4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4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4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4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4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4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4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4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4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4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4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4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4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4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4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4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4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4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4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4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4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4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4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4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4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4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4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4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4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4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4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4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4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4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4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4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4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4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4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4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4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4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4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4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4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4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4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4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4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4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4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4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4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4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4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4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4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4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4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8" t="s">
        <v>53</v>
      </c>
      <c r="C13" s="104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4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4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4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4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4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4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4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4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4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4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4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4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4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4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4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4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4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4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4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4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4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4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4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4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4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4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4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4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4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4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4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4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4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4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4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4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4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4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4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4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4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4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4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4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4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4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4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4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4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4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4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4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4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4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4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4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4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4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4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4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4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4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4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4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4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4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4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4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4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4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4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4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4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4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4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4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4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4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4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4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4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4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4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8" t="s">
        <v>54</v>
      </c>
      <c r="C14" s="104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4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4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4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4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4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4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4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4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4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4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4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4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4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4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4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4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4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4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4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4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4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4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4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4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4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4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4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4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4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4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4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4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4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4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4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4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4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4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4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4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4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4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4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4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4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4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4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4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4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4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4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4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4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4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4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4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4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4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4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4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4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4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4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4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4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4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4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4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4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4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4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4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4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4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4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4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4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4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4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4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4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4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4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8" t="s">
        <v>57</v>
      </c>
      <c r="C15" s="104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4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4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4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4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4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4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4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4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4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4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4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4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4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4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4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4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4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4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4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4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4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4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4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4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4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4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4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4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4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4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4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4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4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4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4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4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4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4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4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4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4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4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4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4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4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4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4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4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4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4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4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4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4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4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4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4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4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4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4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4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4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4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4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4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4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4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4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4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4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4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4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4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4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4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4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4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4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4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4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4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4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4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4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8" t="s">
        <v>162</v>
      </c>
      <c r="C16" s="119">
        <f t="shared" ref="C16:AH16" si="0">SUM(C8:C15)</f>
        <v>24716840.3468768</v>
      </c>
      <c r="D16" s="119">
        <f t="shared" si="0"/>
        <v>22881539.176573537</v>
      </c>
      <c r="E16" s="119">
        <f t="shared" si="0"/>
        <v>20879271.912436187</v>
      </c>
      <c r="F16" s="119">
        <f t="shared" si="0"/>
        <v>60836243.104082987</v>
      </c>
      <c r="G16" s="119">
        <f t="shared" si="0"/>
        <v>57578778.6797034</v>
      </c>
      <c r="H16" s="119">
        <f t="shared" si="0"/>
        <v>54117067.973172709</v>
      </c>
      <c r="I16" s="119">
        <f t="shared" si="0"/>
        <v>79352933.496734113</v>
      </c>
      <c r="J16" s="119">
        <f t="shared" si="0"/>
        <v>95588363.965789929</v>
      </c>
      <c r="K16" s="119">
        <f t="shared" si="0"/>
        <v>90239873.755658567</v>
      </c>
      <c r="L16" s="119">
        <f t="shared" si="0"/>
        <v>84604000.439778298</v>
      </c>
      <c r="M16" s="119">
        <f t="shared" si="0"/>
        <v>78720266.974022105</v>
      </c>
      <c r="N16" s="119">
        <f t="shared" si="0"/>
        <v>72635646.38755329</v>
      </c>
      <c r="O16" s="119">
        <f t="shared" si="0"/>
        <v>110943455.0816887</v>
      </c>
      <c r="P16" s="119">
        <f t="shared" si="0"/>
        <v>103793457.32488425</v>
      </c>
      <c r="Q16" s="119">
        <f t="shared" si="0"/>
        <v>96517203.05507499</v>
      </c>
      <c r="R16" s="119">
        <f t="shared" si="0"/>
        <v>89832380.402736992</v>
      </c>
      <c r="S16" s="119">
        <f t="shared" si="0"/>
        <v>83021753.709655985</v>
      </c>
      <c r="T16" s="119">
        <f t="shared" si="0"/>
        <v>76187589.600928992</v>
      </c>
      <c r="U16" s="119">
        <f t="shared" si="0"/>
        <v>69427945.700481981</v>
      </c>
      <c r="V16" s="119">
        <f t="shared" si="0"/>
        <v>62831519.462921992</v>
      </c>
      <c r="W16" s="119">
        <f t="shared" si="0"/>
        <v>56473335.557831988</v>
      </c>
      <c r="X16" s="119">
        <f t="shared" si="0"/>
        <v>50412135.689663991</v>
      </c>
      <c r="Y16" s="119">
        <f t="shared" si="0"/>
        <v>44689514.450514987</v>
      </c>
      <c r="Z16" s="119">
        <f t="shared" si="0"/>
        <v>39330314.060103998</v>
      </c>
      <c r="AA16" s="119">
        <f t="shared" si="0"/>
        <v>34344660.929919995</v>
      </c>
      <c r="AB16" s="119">
        <f t="shared" si="0"/>
        <v>30015781.278079994</v>
      </c>
      <c r="AC16" s="119">
        <f t="shared" si="0"/>
        <v>67115910.942615986</v>
      </c>
      <c r="AD16" s="119">
        <f t="shared" si="0"/>
        <v>63678669.505812995</v>
      </c>
      <c r="AE16" s="119">
        <f t="shared" si="0"/>
        <v>60195756.503802985</v>
      </c>
      <c r="AF16" s="119">
        <f t="shared" si="0"/>
        <v>56684810.890850991</v>
      </c>
      <c r="AG16" s="119">
        <f t="shared" si="0"/>
        <v>53163021.419371992</v>
      </c>
      <c r="AH16" s="119">
        <f t="shared" si="0"/>
        <v>49646883.209601</v>
      </c>
      <c r="AI16" s="119">
        <f t="shared" ref="AI16:BN16" si="1">SUM(AI8:AI15)</f>
        <v>46152166.879777998</v>
      </c>
      <c r="AJ16" s="119">
        <f t="shared" si="1"/>
        <v>42693842.409563005</v>
      </c>
      <c r="AK16" s="119">
        <f t="shared" si="1"/>
        <v>39286070.295121007</v>
      </c>
      <c r="AL16" s="119">
        <f t="shared" si="1"/>
        <v>35942217.821294002</v>
      </c>
      <c r="AM16" s="119">
        <f t="shared" si="1"/>
        <v>32894612.367548011</v>
      </c>
      <c r="AN16" s="119">
        <f t="shared" si="1"/>
        <v>29903009.833158009</v>
      </c>
      <c r="AO16" s="119">
        <f t="shared" si="1"/>
        <v>26981928.712532006</v>
      </c>
      <c r="AP16" s="119">
        <f t="shared" si="1"/>
        <v>24145214.967326008</v>
      </c>
      <c r="AQ16" s="119">
        <f t="shared" si="1"/>
        <v>21405892.487426009</v>
      </c>
      <c r="AR16" s="119">
        <f t="shared" si="1"/>
        <v>18775979.790616009</v>
      </c>
      <c r="AS16" s="119">
        <f t="shared" si="1"/>
        <v>16893987.491480004</v>
      </c>
      <c r="AT16" s="119">
        <f t="shared" si="1"/>
        <v>15049033.294064002</v>
      </c>
      <c r="AU16" s="119">
        <f t="shared" si="1"/>
        <v>13258584.501624003</v>
      </c>
      <c r="AV16" s="119">
        <f t="shared" si="1"/>
        <v>11538273.165056005</v>
      </c>
      <c r="AW16" s="119">
        <f t="shared" si="1"/>
        <v>9901787.6675520036</v>
      </c>
      <c r="AX16" s="119">
        <f t="shared" si="1"/>
        <v>8360541.8875440042</v>
      </c>
      <c r="AY16" s="119">
        <f t="shared" si="1"/>
        <v>6923385.716280004</v>
      </c>
      <c r="AZ16" s="119">
        <f t="shared" si="1"/>
        <v>5596646.4124560058</v>
      </c>
      <c r="BA16" s="119">
        <f t="shared" si="1"/>
        <v>4384004.5383200068</v>
      </c>
      <c r="BB16" s="119">
        <f t="shared" si="1"/>
        <v>3286659.3782000076</v>
      </c>
      <c r="BC16" s="119">
        <f t="shared" si="1"/>
        <v>2303535.7116640056</v>
      </c>
      <c r="BD16" s="119">
        <f t="shared" si="1"/>
        <v>1431490.5866800072</v>
      </c>
      <c r="BE16" s="119">
        <f t="shared" si="1"/>
        <v>665685.51130400575</v>
      </c>
      <c r="BF16" s="119">
        <f t="shared" si="1"/>
        <v>-165.41852799557415</v>
      </c>
      <c r="BG16" s="119">
        <f t="shared" si="1"/>
        <v>0</v>
      </c>
      <c r="BH16" s="119">
        <f t="shared" si="1"/>
        <v>0</v>
      </c>
      <c r="BI16" s="119">
        <f t="shared" si="1"/>
        <v>0</v>
      </c>
      <c r="BJ16" s="119">
        <f t="shared" si="1"/>
        <v>0</v>
      </c>
      <c r="BK16" s="119">
        <f t="shared" si="1"/>
        <v>0</v>
      </c>
      <c r="BL16" s="119">
        <f t="shared" si="1"/>
        <v>0</v>
      </c>
      <c r="BM16" s="119">
        <f t="shared" si="1"/>
        <v>0</v>
      </c>
      <c r="BN16" s="119">
        <f t="shared" si="1"/>
        <v>0</v>
      </c>
      <c r="BO16" s="119">
        <f t="shared" ref="BO16:CT16" si="2">SUM(BO8:BO15)</f>
        <v>0</v>
      </c>
      <c r="BP16" s="119">
        <f t="shared" si="2"/>
        <v>0</v>
      </c>
      <c r="BQ16" s="119">
        <f t="shared" si="2"/>
        <v>0</v>
      </c>
      <c r="BR16" s="119">
        <f t="shared" si="2"/>
        <v>0</v>
      </c>
      <c r="BS16" s="119">
        <f t="shared" si="2"/>
        <v>0</v>
      </c>
      <c r="BT16" s="119">
        <f t="shared" si="2"/>
        <v>0</v>
      </c>
      <c r="BU16" s="119">
        <f t="shared" si="2"/>
        <v>0</v>
      </c>
      <c r="BV16" s="119">
        <f t="shared" si="2"/>
        <v>0</v>
      </c>
      <c r="BW16" s="119">
        <f t="shared" si="2"/>
        <v>0</v>
      </c>
      <c r="BX16" s="119">
        <f t="shared" si="2"/>
        <v>0</v>
      </c>
      <c r="BY16" s="119">
        <f t="shared" si="2"/>
        <v>0</v>
      </c>
      <c r="BZ16" s="119">
        <f t="shared" si="2"/>
        <v>0</v>
      </c>
      <c r="CA16" s="119">
        <f t="shared" si="2"/>
        <v>0</v>
      </c>
      <c r="CB16" s="119">
        <f t="shared" si="2"/>
        <v>0</v>
      </c>
      <c r="CC16" s="119">
        <f t="shared" si="2"/>
        <v>0</v>
      </c>
      <c r="CD16" s="119">
        <f t="shared" si="2"/>
        <v>0</v>
      </c>
      <c r="CE16" s="119">
        <f t="shared" si="2"/>
        <v>0</v>
      </c>
      <c r="CF16" s="119">
        <f t="shared" si="2"/>
        <v>0</v>
      </c>
      <c r="CG16" s="119">
        <f t="shared" si="2"/>
        <v>0</v>
      </c>
      <c r="CH16" s="119">
        <f t="shared" si="2"/>
        <v>0</v>
      </c>
    </row>
    <row r="18" spans="1:86" ht="15" customHeight="1" x14ac:dyDescent="0.25">
      <c r="A18" s="6" t="s">
        <v>549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8" t="s">
        <v>550</v>
      </c>
      <c r="C19" s="104">
        <f>IF(Projects!$G$7="Yes",Projects!$B$7*Assumptions!$B$47+Assumptions!$B$53*Assumptions!$B$48,0)</f>
        <v>579684.48</v>
      </c>
      <c r="D19" s="104">
        <f t="shared" ref="D19:AI19" si="3">C21</f>
        <v>579684.48</v>
      </c>
      <c r="E19" s="104">
        <f t="shared" si="3"/>
        <v>579684.48</v>
      </c>
      <c r="F19" s="104">
        <f t="shared" si="3"/>
        <v>579684.48</v>
      </c>
      <c r="G19" s="104">
        <f t="shared" si="3"/>
        <v>579684.48</v>
      </c>
      <c r="H19" s="104">
        <f t="shared" si="3"/>
        <v>579684.48</v>
      </c>
      <c r="I19" s="104">
        <f t="shared" si="3"/>
        <v>579684.48</v>
      </c>
      <c r="J19" s="104">
        <f t="shared" si="3"/>
        <v>579684.48</v>
      </c>
      <c r="K19" s="104">
        <f t="shared" si="3"/>
        <v>579684.48</v>
      </c>
      <c r="L19" s="104">
        <f t="shared" si="3"/>
        <v>579684.48</v>
      </c>
      <c r="M19" s="104">
        <f t="shared" si="3"/>
        <v>579684.48</v>
      </c>
      <c r="N19" s="104">
        <f t="shared" si="3"/>
        <v>579684.48</v>
      </c>
      <c r="O19" s="104">
        <f t="shared" si="3"/>
        <v>579684.48</v>
      </c>
      <c r="P19" s="104">
        <f t="shared" si="3"/>
        <v>579684.48</v>
      </c>
      <c r="Q19" s="104">
        <f t="shared" si="3"/>
        <v>579684.48</v>
      </c>
      <c r="R19" s="104">
        <f t="shared" si="3"/>
        <v>579684.48</v>
      </c>
      <c r="S19" s="104">
        <f t="shared" si="3"/>
        <v>579684.48</v>
      </c>
      <c r="T19" s="104">
        <f t="shared" si="3"/>
        <v>579684.48</v>
      </c>
      <c r="U19" s="104">
        <f t="shared" si="3"/>
        <v>579684.48</v>
      </c>
      <c r="V19" s="104">
        <f t="shared" si="3"/>
        <v>579684.48</v>
      </c>
      <c r="W19" s="104">
        <f t="shared" si="3"/>
        <v>579684.48</v>
      </c>
      <c r="X19" s="104">
        <f t="shared" si="3"/>
        <v>579684.48</v>
      </c>
      <c r="Y19" s="104">
        <f t="shared" si="3"/>
        <v>579684.48</v>
      </c>
      <c r="Z19" s="104">
        <f t="shared" si="3"/>
        <v>579684.48</v>
      </c>
      <c r="AA19" s="104">
        <f t="shared" si="3"/>
        <v>579684.48</v>
      </c>
      <c r="AB19" s="104">
        <f t="shared" si="3"/>
        <v>579684.48</v>
      </c>
      <c r="AC19" s="104">
        <f t="shared" si="3"/>
        <v>579684.48</v>
      </c>
      <c r="AD19" s="104">
        <f t="shared" si="3"/>
        <v>579684.48</v>
      </c>
      <c r="AE19" s="104">
        <f t="shared" si="3"/>
        <v>579684.48</v>
      </c>
      <c r="AF19" s="104">
        <f t="shared" si="3"/>
        <v>579684.48</v>
      </c>
      <c r="AG19" s="104">
        <f t="shared" si="3"/>
        <v>579684.48</v>
      </c>
      <c r="AH19" s="104">
        <f t="shared" si="3"/>
        <v>579684.48</v>
      </c>
      <c r="AI19" s="104">
        <f t="shared" si="3"/>
        <v>579684.48</v>
      </c>
      <c r="AJ19" s="104">
        <f t="shared" ref="AJ19:BO19" si="4">AI21</f>
        <v>579684.48</v>
      </c>
      <c r="AK19" s="104">
        <f t="shared" si="4"/>
        <v>579684.48</v>
      </c>
      <c r="AL19" s="104">
        <f t="shared" si="4"/>
        <v>579684.48</v>
      </c>
      <c r="AM19" s="104">
        <f t="shared" si="4"/>
        <v>579684.48</v>
      </c>
      <c r="AN19" s="104">
        <f t="shared" si="4"/>
        <v>579684.48</v>
      </c>
      <c r="AO19" s="104">
        <f t="shared" si="4"/>
        <v>579684.48</v>
      </c>
      <c r="AP19" s="104">
        <f t="shared" si="4"/>
        <v>579684.48</v>
      </c>
      <c r="AQ19" s="104">
        <f t="shared" si="4"/>
        <v>579684.48</v>
      </c>
      <c r="AR19" s="104">
        <f t="shared" si="4"/>
        <v>579684.48</v>
      </c>
      <c r="AS19" s="104">
        <f t="shared" si="4"/>
        <v>498001.48</v>
      </c>
      <c r="AT19" s="104">
        <f t="shared" si="4"/>
        <v>498001.48</v>
      </c>
      <c r="AU19" s="104">
        <f t="shared" si="4"/>
        <v>498001.48</v>
      </c>
      <c r="AV19" s="104">
        <f t="shared" si="4"/>
        <v>416319.48</v>
      </c>
      <c r="AW19" s="104">
        <f t="shared" si="4"/>
        <v>416319.48</v>
      </c>
      <c r="AX19" s="104">
        <f t="shared" si="4"/>
        <v>416319.48</v>
      </c>
      <c r="AY19" s="104">
        <f t="shared" si="4"/>
        <v>334637.48</v>
      </c>
      <c r="AZ19" s="104">
        <f t="shared" si="4"/>
        <v>334637.48</v>
      </c>
      <c r="BA19" s="104">
        <f t="shared" si="4"/>
        <v>334637.48</v>
      </c>
      <c r="BB19" s="104">
        <f t="shared" si="4"/>
        <v>252955.47999999998</v>
      </c>
      <c r="BC19" s="104">
        <f t="shared" si="4"/>
        <v>252955.47999999998</v>
      </c>
      <c r="BD19" s="104">
        <f t="shared" si="4"/>
        <v>252955.47999999998</v>
      </c>
      <c r="BE19" s="104">
        <f t="shared" si="4"/>
        <v>193777.47999999998</v>
      </c>
      <c r="BF19" s="104">
        <f t="shared" si="4"/>
        <v>193777.47999999998</v>
      </c>
      <c r="BG19" s="104">
        <f t="shared" si="4"/>
        <v>193777.47999999998</v>
      </c>
      <c r="BH19" s="104">
        <f t="shared" si="4"/>
        <v>134601.47999999998</v>
      </c>
      <c r="BI19" s="104">
        <f t="shared" si="4"/>
        <v>134601.47999999998</v>
      </c>
      <c r="BJ19" s="104">
        <f t="shared" si="4"/>
        <v>134601.47999999998</v>
      </c>
      <c r="BK19" s="104">
        <f t="shared" si="4"/>
        <v>75425.479999999981</v>
      </c>
      <c r="BL19" s="104">
        <f t="shared" si="4"/>
        <v>75425.479999999981</v>
      </c>
      <c r="BM19" s="104">
        <f t="shared" si="4"/>
        <v>75425.479999999981</v>
      </c>
      <c r="BN19" s="104">
        <f t="shared" si="4"/>
        <v>16249.479999999981</v>
      </c>
      <c r="BO19" s="104">
        <f t="shared" si="4"/>
        <v>16249.479999999981</v>
      </c>
      <c r="BP19" s="104">
        <f t="shared" ref="BP19:CH19" si="5">BO21</f>
        <v>16249.479999999981</v>
      </c>
      <c r="BQ19" s="104">
        <f t="shared" si="5"/>
        <v>0</v>
      </c>
      <c r="BR19" s="104">
        <f t="shared" si="5"/>
        <v>0</v>
      </c>
      <c r="BS19" s="104">
        <f t="shared" si="5"/>
        <v>0</v>
      </c>
      <c r="BT19" s="104">
        <f t="shared" si="5"/>
        <v>0</v>
      </c>
      <c r="BU19" s="104">
        <f t="shared" si="5"/>
        <v>0</v>
      </c>
      <c r="BV19" s="104">
        <f t="shared" si="5"/>
        <v>0</v>
      </c>
      <c r="BW19" s="104">
        <f t="shared" si="5"/>
        <v>0</v>
      </c>
      <c r="BX19" s="104">
        <f t="shared" si="5"/>
        <v>0</v>
      </c>
      <c r="BY19" s="104">
        <f t="shared" si="5"/>
        <v>0</v>
      </c>
      <c r="BZ19" s="104">
        <f t="shared" si="5"/>
        <v>0</v>
      </c>
      <c r="CA19" s="104">
        <f t="shared" si="5"/>
        <v>0</v>
      </c>
      <c r="CB19" s="104">
        <f t="shared" si="5"/>
        <v>0</v>
      </c>
      <c r="CC19" s="104">
        <f t="shared" si="5"/>
        <v>0</v>
      </c>
      <c r="CD19" s="104">
        <f t="shared" si="5"/>
        <v>0</v>
      </c>
      <c r="CE19" s="104">
        <f t="shared" si="5"/>
        <v>0</v>
      </c>
      <c r="CF19" s="104">
        <f t="shared" si="5"/>
        <v>0</v>
      </c>
      <c r="CG19" s="104">
        <f t="shared" si="5"/>
        <v>0</v>
      </c>
      <c r="CH19" s="104">
        <f t="shared" si="5"/>
        <v>0</v>
      </c>
    </row>
    <row r="20" spans="1:86" ht="15" customHeight="1" x14ac:dyDescent="0.25">
      <c r="A20" s="120" t="s">
        <v>551</v>
      </c>
      <c r="C20" s="121">
        <f>MIN(C19,Model!C60)</f>
        <v>0</v>
      </c>
      <c r="D20" s="121">
        <f>MIN(D19,Model!D60)</f>
        <v>0</v>
      </c>
      <c r="E20" s="121">
        <f>MIN(E19,Model!E60)</f>
        <v>0</v>
      </c>
      <c r="F20" s="121">
        <f>MIN(F19,Model!F60)</f>
        <v>0</v>
      </c>
      <c r="G20" s="121">
        <f>MIN(G19,Model!G60)</f>
        <v>0</v>
      </c>
      <c r="H20" s="121">
        <f>MIN(H19,Model!H60)</f>
        <v>0</v>
      </c>
      <c r="I20" s="121">
        <f>MIN(I19,Model!I60)</f>
        <v>0</v>
      </c>
      <c r="J20" s="121">
        <f>MIN(J19,Model!J60)</f>
        <v>0</v>
      </c>
      <c r="K20" s="121">
        <f>MIN(K19,Model!K60)</f>
        <v>0</v>
      </c>
      <c r="L20" s="121">
        <f>MIN(L19,Model!L60)</f>
        <v>0</v>
      </c>
      <c r="M20" s="121">
        <f>MIN(M19,Model!M60)</f>
        <v>0</v>
      </c>
      <c r="N20" s="121">
        <f>MIN(N19,Model!N60)</f>
        <v>0</v>
      </c>
      <c r="O20" s="121">
        <f>MIN(O19,Model!O60)</f>
        <v>0</v>
      </c>
      <c r="P20" s="121">
        <f>MIN(P19,Model!P60)</f>
        <v>0</v>
      </c>
      <c r="Q20" s="121">
        <f>MIN(Q19,Model!Q60)</f>
        <v>0</v>
      </c>
      <c r="R20" s="121">
        <f>MIN(R19,Model!R60)</f>
        <v>0</v>
      </c>
      <c r="S20" s="121">
        <f>MIN(S19,Model!S60)</f>
        <v>0</v>
      </c>
      <c r="T20" s="121">
        <f>MIN(T19,Model!T60)</f>
        <v>0</v>
      </c>
      <c r="U20" s="121">
        <f>MIN(U19,Model!U60)</f>
        <v>0</v>
      </c>
      <c r="V20" s="121">
        <f>MIN(V19,Model!V60)</f>
        <v>0</v>
      </c>
      <c r="W20" s="121">
        <f>MIN(W19,Model!W60)</f>
        <v>0</v>
      </c>
      <c r="X20" s="121">
        <f>MIN(X19,Model!X60)</f>
        <v>0</v>
      </c>
      <c r="Y20" s="121">
        <f>MIN(Y19,Model!Y60)</f>
        <v>0</v>
      </c>
      <c r="Z20" s="121">
        <f>MIN(Z19,Model!Z60)</f>
        <v>0</v>
      </c>
      <c r="AA20" s="121">
        <f>MIN(AA19,Model!AA60)</f>
        <v>0</v>
      </c>
      <c r="AB20" s="121">
        <f>MIN(AB19,Model!AB60)</f>
        <v>0</v>
      </c>
      <c r="AC20" s="121">
        <f>MIN(AC19,Model!AC60)</f>
        <v>0</v>
      </c>
      <c r="AD20" s="121">
        <f>MIN(AD19,Model!AD60)</f>
        <v>0</v>
      </c>
      <c r="AE20" s="121">
        <f>MIN(AE19,Model!AE60)</f>
        <v>0</v>
      </c>
      <c r="AF20" s="121">
        <f>MIN(AF19,Model!AF60)</f>
        <v>0</v>
      </c>
      <c r="AG20" s="121">
        <f>MIN(AG19,Model!AG60)</f>
        <v>0</v>
      </c>
      <c r="AH20" s="121">
        <f>MIN(AH19,Model!AH60)</f>
        <v>0</v>
      </c>
      <c r="AI20" s="121">
        <f>MIN(AI19,Model!AI60)</f>
        <v>0</v>
      </c>
      <c r="AJ20" s="121">
        <f>MIN(AJ19,Model!AJ60)</f>
        <v>0</v>
      </c>
      <c r="AK20" s="121">
        <f>MIN(AK19,Model!AK60)</f>
        <v>0</v>
      </c>
      <c r="AL20" s="121">
        <f>MIN(AL19,Model!AL60)</f>
        <v>0</v>
      </c>
      <c r="AM20" s="121">
        <f>MIN(AM19,Model!AM60)</f>
        <v>0</v>
      </c>
      <c r="AN20" s="121">
        <f>MIN(AN19,Model!AN60)</f>
        <v>0</v>
      </c>
      <c r="AO20" s="121">
        <f>MIN(AO19,Model!AO60)</f>
        <v>0</v>
      </c>
      <c r="AP20" s="121">
        <f>MIN(AP19,Model!AP60)</f>
        <v>0</v>
      </c>
      <c r="AQ20" s="121">
        <f>MIN(AQ19,Model!AQ60)</f>
        <v>0</v>
      </c>
      <c r="AR20" s="121">
        <f>MIN(AR19,Model!AR60)</f>
        <v>81683</v>
      </c>
      <c r="AS20" s="121">
        <f>MIN(AS19,Model!AS60)</f>
        <v>0</v>
      </c>
      <c r="AT20" s="121">
        <f>MIN(AT19,Model!AT60)</f>
        <v>0</v>
      </c>
      <c r="AU20" s="121">
        <f>MIN(AU19,Model!AU60)</f>
        <v>81682</v>
      </c>
      <c r="AV20" s="121">
        <f>MIN(AV19,Model!AV60)</f>
        <v>0</v>
      </c>
      <c r="AW20" s="121">
        <f>MIN(AW19,Model!AW60)</f>
        <v>0</v>
      </c>
      <c r="AX20" s="121">
        <f>MIN(AX19,Model!AX60)</f>
        <v>81682</v>
      </c>
      <c r="AY20" s="121">
        <f>MIN(AY19,Model!AY60)</f>
        <v>0</v>
      </c>
      <c r="AZ20" s="121">
        <f>MIN(AZ19,Model!AZ60)</f>
        <v>0</v>
      </c>
      <c r="BA20" s="121">
        <f>MIN(BA19,Model!BA60)</f>
        <v>81682</v>
      </c>
      <c r="BB20" s="121">
        <f>MIN(BB19,Model!BB60)</f>
        <v>0</v>
      </c>
      <c r="BC20" s="121">
        <f>MIN(BC19,Model!BC60)</f>
        <v>0</v>
      </c>
      <c r="BD20" s="121">
        <f>MIN(BD19,Model!BD60)</f>
        <v>59178</v>
      </c>
      <c r="BE20" s="121">
        <f>MIN(BE19,Model!BE60)</f>
        <v>0</v>
      </c>
      <c r="BF20" s="121">
        <f>MIN(BF19,Model!BF60)</f>
        <v>0</v>
      </c>
      <c r="BG20" s="121">
        <f>MIN(BG19,Model!BG60)</f>
        <v>59176</v>
      </c>
      <c r="BH20" s="121">
        <f>MIN(BH19,Model!BH60)</f>
        <v>0</v>
      </c>
      <c r="BI20" s="121">
        <f>MIN(BI19,Model!BI60)</f>
        <v>0</v>
      </c>
      <c r="BJ20" s="121">
        <f>MIN(BJ19,Model!BJ60)</f>
        <v>59176</v>
      </c>
      <c r="BK20" s="121">
        <f>MIN(BK19,Model!BK60)</f>
        <v>0</v>
      </c>
      <c r="BL20" s="121">
        <f>MIN(BL19,Model!BL60)</f>
        <v>0</v>
      </c>
      <c r="BM20" s="121">
        <f>MIN(BM19,Model!BM60)</f>
        <v>59176</v>
      </c>
      <c r="BN20" s="121">
        <f>MIN(BN19,Model!BN60)</f>
        <v>0</v>
      </c>
      <c r="BO20" s="121">
        <f>MIN(BO19,Model!BO60)</f>
        <v>0</v>
      </c>
      <c r="BP20" s="121">
        <f>MIN(BP19,Model!BP60)</f>
        <v>16249.479999999981</v>
      </c>
      <c r="BQ20" s="121">
        <f>MIN(BQ19,Model!BQ60)</f>
        <v>0</v>
      </c>
      <c r="BR20" s="121">
        <f>MIN(BR19,Model!BR60)</f>
        <v>0</v>
      </c>
      <c r="BS20" s="121">
        <f>MIN(BS19,Model!BS60)</f>
        <v>0</v>
      </c>
      <c r="BT20" s="121">
        <f>MIN(BT19,Model!BT60)</f>
        <v>0</v>
      </c>
      <c r="BU20" s="121">
        <f>MIN(BU19,Model!BU60)</f>
        <v>0</v>
      </c>
      <c r="BV20" s="121">
        <f>MIN(BV19,Model!BV60)</f>
        <v>0</v>
      </c>
      <c r="BW20" s="121">
        <f>MIN(BW19,Model!BW60)</f>
        <v>0</v>
      </c>
      <c r="BX20" s="121">
        <f>MIN(BX19,Model!BX60)</f>
        <v>0</v>
      </c>
      <c r="BY20" s="121">
        <f>MIN(BY19,Model!BY60)</f>
        <v>0</v>
      </c>
      <c r="BZ20" s="121">
        <f>MIN(BZ19,Model!BZ60)</f>
        <v>0</v>
      </c>
      <c r="CA20" s="121">
        <f>MIN(CA19,Model!CA60)</f>
        <v>0</v>
      </c>
      <c r="CB20" s="121">
        <f>MIN(CB19,Model!CB60)</f>
        <v>0</v>
      </c>
      <c r="CC20" s="121">
        <f>MIN(CC19,Model!CC60)</f>
        <v>0</v>
      </c>
      <c r="CD20" s="121">
        <f>MIN(CD19,Model!CD60)</f>
        <v>0</v>
      </c>
      <c r="CE20" s="121">
        <f>MIN(CE19,Model!CE60)</f>
        <v>0</v>
      </c>
      <c r="CF20" s="121">
        <f>MIN(CF19,Model!CF60)</f>
        <v>0</v>
      </c>
      <c r="CG20" s="121">
        <f>MIN(CG19,Model!CG60)</f>
        <v>0</v>
      </c>
      <c r="CH20" s="121">
        <f>MIN(CH19,Model!CH60)</f>
        <v>0</v>
      </c>
    </row>
    <row r="21" spans="1:86" ht="15" customHeight="1" x14ac:dyDescent="0.25">
      <c r="A21" s="118" t="s">
        <v>552</v>
      </c>
      <c r="C21" s="119">
        <f t="shared" ref="C21:AH21" si="6">MAX(0,C19-C20)</f>
        <v>579684.48</v>
      </c>
      <c r="D21" s="119">
        <f t="shared" si="6"/>
        <v>579684.48</v>
      </c>
      <c r="E21" s="119">
        <f t="shared" si="6"/>
        <v>579684.48</v>
      </c>
      <c r="F21" s="119">
        <f t="shared" si="6"/>
        <v>579684.48</v>
      </c>
      <c r="G21" s="119">
        <f t="shared" si="6"/>
        <v>579684.48</v>
      </c>
      <c r="H21" s="119">
        <f t="shared" si="6"/>
        <v>579684.48</v>
      </c>
      <c r="I21" s="119">
        <f t="shared" si="6"/>
        <v>579684.48</v>
      </c>
      <c r="J21" s="119">
        <f t="shared" si="6"/>
        <v>579684.48</v>
      </c>
      <c r="K21" s="119">
        <f t="shared" si="6"/>
        <v>579684.48</v>
      </c>
      <c r="L21" s="119">
        <f t="shared" si="6"/>
        <v>579684.48</v>
      </c>
      <c r="M21" s="119">
        <f t="shared" si="6"/>
        <v>579684.48</v>
      </c>
      <c r="N21" s="119">
        <f t="shared" si="6"/>
        <v>579684.48</v>
      </c>
      <c r="O21" s="119">
        <f t="shared" si="6"/>
        <v>579684.48</v>
      </c>
      <c r="P21" s="119">
        <f t="shared" si="6"/>
        <v>579684.48</v>
      </c>
      <c r="Q21" s="119">
        <f t="shared" si="6"/>
        <v>579684.48</v>
      </c>
      <c r="R21" s="119">
        <f t="shared" si="6"/>
        <v>579684.48</v>
      </c>
      <c r="S21" s="119">
        <f t="shared" si="6"/>
        <v>579684.48</v>
      </c>
      <c r="T21" s="119">
        <f t="shared" si="6"/>
        <v>579684.48</v>
      </c>
      <c r="U21" s="119">
        <f t="shared" si="6"/>
        <v>579684.48</v>
      </c>
      <c r="V21" s="119">
        <f t="shared" si="6"/>
        <v>579684.48</v>
      </c>
      <c r="W21" s="119">
        <f t="shared" si="6"/>
        <v>579684.48</v>
      </c>
      <c r="X21" s="119">
        <f t="shared" si="6"/>
        <v>579684.48</v>
      </c>
      <c r="Y21" s="119">
        <f t="shared" si="6"/>
        <v>579684.48</v>
      </c>
      <c r="Z21" s="119">
        <f t="shared" si="6"/>
        <v>579684.48</v>
      </c>
      <c r="AA21" s="119">
        <f t="shared" si="6"/>
        <v>579684.48</v>
      </c>
      <c r="AB21" s="119">
        <f t="shared" si="6"/>
        <v>579684.48</v>
      </c>
      <c r="AC21" s="119">
        <f t="shared" si="6"/>
        <v>579684.48</v>
      </c>
      <c r="AD21" s="119">
        <f t="shared" si="6"/>
        <v>579684.48</v>
      </c>
      <c r="AE21" s="119">
        <f t="shared" si="6"/>
        <v>579684.48</v>
      </c>
      <c r="AF21" s="119">
        <f t="shared" si="6"/>
        <v>579684.48</v>
      </c>
      <c r="AG21" s="119">
        <f t="shared" si="6"/>
        <v>579684.48</v>
      </c>
      <c r="AH21" s="119">
        <f t="shared" si="6"/>
        <v>579684.48</v>
      </c>
      <c r="AI21" s="119">
        <f t="shared" ref="AI21:BN21" si="7">MAX(0,AI19-AI20)</f>
        <v>579684.48</v>
      </c>
      <c r="AJ21" s="119">
        <f t="shared" si="7"/>
        <v>579684.48</v>
      </c>
      <c r="AK21" s="119">
        <f t="shared" si="7"/>
        <v>579684.48</v>
      </c>
      <c r="AL21" s="119">
        <f t="shared" si="7"/>
        <v>579684.48</v>
      </c>
      <c r="AM21" s="119">
        <f t="shared" si="7"/>
        <v>579684.48</v>
      </c>
      <c r="AN21" s="119">
        <f t="shared" si="7"/>
        <v>579684.48</v>
      </c>
      <c r="AO21" s="119">
        <f t="shared" si="7"/>
        <v>579684.48</v>
      </c>
      <c r="AP21" s="119">
        <f t="shared" si="7"/>
        <v>579684.48</v>
      </c>
      <c r="AQ21" s="119">
        <f t="shared" si="7"/>
        <v>579684.48</v>
      </c>
      <c r="AR21" s="119">
        <f t="shared" si="7"/>
        <v>498001.48</v>
      </c>
      <c r="AS21" s="119">
        <f t="shared" si="7"/>
        <v>498001.48</v>
      </c>
      <c r="AT21" s="119">
        <f t="shared" si="7"/>
        <v>498001.48</v>
      </c>
      <c r="AU21" s="119">
        <f t="shared" si="7"/>
        <v>416319.48</v>
      </c>
      <c r="AV21" s="119">
        <f t="shared" si="7"/>
        <v>416319.48</v>
      </c>
      <c r="AW21" s="119">
        <f t="shared" si="7"/>
        <v>416319.48</v>
      </c>
      <c r="AX21" s="119">
        <f t="shared" si="7"/>
        <v>334637.48</v>
      </c>
      <c r="AY21" s="119">
        <f t="shared" si="7"/>
        <v>334637.48</v>
      </c>
      <c r="AZ21" s="119">
        <f t="shared" si="7"/>
        <v>334637.48</v>
      </c>
      <c r="BA21" s="119">
        <f t="shared" si="7"/>
        <v>252955.47999999998</v>
      </c>
      <c r="BB21" s="119">
        <f t="shared" si="7"/>
        <v>252955.47999999998</v>
      </c>
      <c r="BC21" s="119">
        <f t="shared" si="7"/>
        <v>252955.47999999998</v>
      </c>
      <c r="BD21" s="119">
        <f t="shared" si="7"/>
        <v>193777.47999999998</v>
      </c>
      <c r="BE21" s="119">
        <f t="shared" si="7"/>
        <v>193777.47999999998</v>
      </c>
      <c r="BF21" s="119">
        <f t="shared" si="7"/>
        <v>193777.47999999998</v>
      </c>
      <c r="BG21" s="119">
        <f t="shared" si="7"/>
        <v>134601.47999999998</v>
      </c>
      <c r="BH21" s="119">
        <f t="shared" si="7"/>
        <v>134601.47999999998</v>
      </c>
      <c r="BI21" s="119">
        <f t="shared" si="7"/>
        <v>134601.47999999998</v>
      </c>
      <c r="BJ21" s="119">
        <f t="shared" si="7"/>
        <v>75425.479999999981</v>
      </c>
      <c r="BK21" s="119">
        <f t="shared" si="7"/>
        <v>75425.479999999981</v>
      </c>
      <c r="BL21" s="119">
        <f t="shared" si="7"/>
        <v>75425.479999999981</v>
      </c>
      <c r="BM21" s="119">
        <f t="shared" si="7"/>
        <v>16249.479999999981</v>
      </c>
      <c r="BN21" s="119">
        <f t="shared" si="7"/>
        <v>16249.479999999981</v>
      </c>
      <c r="BO21" s="119">
        <f t="shared" ref="BO21:CT21" si="8">MAX(0,BO19-BO20)</f>
        <v>16249.479999999981</v>
      </c>
      <c r="BP21" s="119">
        <f t="shared" si="8"/>
        <v>0</v>
      </c>
      <c r="BQ21" s="119">
        <f t="shared" si="8"/>
        <v>0</v>
      </c>
      <c r="BR21" s="119">
        <f t="shared" si="8"/>
        <v>0</v>
      </c>
      <c r="BS21" s="119">
        <f t="shared" si="8"/>
        <v>0</v>
      </c>
      <c r="BT21" s="119">
        <f t="shared" si="8"/>
        <v>0</v>
      </c>
      <c r="BU21" s="119">
        <f t="shared" si="8"/>
        <v>0</v>
      </c>
      <c r="BV21" s="119">
        <f t="shared" si="8"/>
        <v>0</v>
      </c>
      <c r="BW21" s="119">
        <f t="shared" si="8"/>
        <v>0</v>
      </c>
      <c r="BX21" s="119">
        <f t="shared" si="8"/>
        <v>0</v>
      </c>
      <c r="BY21" s="119">
        <f t="shared" si="8"/>
        <v>0</v>
      </c>
      <c r="BZ21" s="119">
        <f t="shared" si="8"/>
        <v>0</v>
      </c>
      <c r="CA21" s="119">
        <f t="shared" si="8"/>
        <v>0</v>
      </c>
      <c r="CB21" s="119">
        <f t="shared" si="8"/>
        <v>0</v>
      </c>
      <c r="CC21" s="119">
        <f t="shared" si="8"/>
        <v>0</v>
      </c>
      <c r="CD21" s="119">
        <f t="shared" si="8"/>
        <v>0</v>
      </c>
      <c r="CE21" s="119">
        <f t="shared" si="8"/>
        <v>0</v>
      </c>
      <c r="CF21" s="119">
        <f t="shared" si="8"/>
        <v>0</v>
      </c>
      <c r="CG21" s="119">
        <f t="shared" si="8"/>
        <v>0</v>
      </c>
      <c r="CH21" s="119">
        <f t="shared" si="8"/>
        <v>0</v>
      </c>
    </row>
    <row r="22" spans="1:86" ht="15" customHeight="1" x14ac:dyDescent="0.25">
      <c r="A22" s="98" t="s">
        <v>553</v>
      </c>
      <c r="C22" s="104">
        <f>IF(Projects!$G$13="Yes",Projects!$B$13*Assumptions!$B$47+Assumptions!$B$54*Assumptions!$B$48,0)</f>
        <v>602667.69999999995</v>
      </c>
      <c r="D22" s="104">
        <f t="shared" ref="D22:AI22" si="9">C24</f>
        <v>602667.69999999995</v>
      </c>
      <c r="E22" s="104">
        <f t="shared" si="9"/>
        <v>602667.69999999995</v>
      </c>
      <c r="F22" s="104">
        <f t="shared" si="9"/>
        <v>602667.69999999995</v>
      </c>
      <c r="G22" s="104">
        <f t="shared" si="9"/>
        <v>602667.69999999995</v>
      </c>
      <c r="H22" s="104">
        <f t="shared" si="9"/>
        <v>602667.69999999995</v>
      </c>
      <c r="I22" s="104">
        <f t="shared" si="9"/>
        <v>602667.69999999995</v>
      </c>
      <c r="J22" s="104">
        <f t="shared" si="9"/>
        <v>602667.69999999995</v>
      </c>
      <c r="K22" s="104">
        <f t="shared" si="9"/>
        <v>602667.69999999995</v>
      </c>
      <c r="L22" s="104">
        <f t="shared" si="9"/>
        <v>602667.69999999995</v>
      </c>
      <c r="M22" s="104">
        <f t="shared" si="9"/>
        <v>602667.69999999995</v>
      </c>
      <c r="N22" s="104">
        <f t="shared" si="9"/>
        <v>602667.69999999995</v>
      </c>
      <c r="O22" s="104">
        <f t="shared" si="9"/>
        <v>602667.69999999995</v>
      </c>
      <c r="P22" s="104">
        <f t="shared" si="9"/>
        <v>602667.69999999995</v>
      </c>
      <c r="Q22" s="104">
        <f t="shared" si="9"/>
        <v>602667.69999999995</v>
      </c>
      <c r="R22" s="104">
        <f t="shared" si="9"/>
        <v>602667.69999999995</v>
      </c>
      <c r="S22" s="104">
        <f t="shared" si="9"/>
        <v>602667.69999999995</v>
      </c>
      <c r="T22" s="104">
        <f t="shared" si="9"/>
        <v>602667.69999999995</v>
      </c>
      <c r="U22" s="104">
        <f t="shared" si="9"/>
        <v>602667.69999999995</v>
      </c>
      <c r="V22" s="104">
        <f t="shared" si="9"/>
        <v>602667.69999999995</v>
      </c>
      <c r="W22" s="104">
        <f t="shared" si="9"/>
        <v>602667.69999999995</v>
      </c>
      <c r="X22" s="104">
        <f t="shared" si="9"/>
        <v>602667.69999999995</v>
      </c>
      <c r="Y22" s="104">
        <f t="shared" si="9"/>
        <v>602667.69999999995</v>
      </c>
      <c r="Z22" s="104">
        <f t="shared" si="9"/>
        <v>602667.69999999995</v>
      </c>
      <c r="AA22" s="104">
        <f t="shared" si="9"/>
        <v>602667.69999999995</v>
      </c>
      <c r="AB22" s="104">
        <f t="shared" si="9"/>
        <v>602667.69999999995</v>
      </c>
      <c r="AC22" s="104">
        <f t="shared" si="9"/>
        <v>602667.69999999995</v>
      </c>
      <c r="AD22" s="104">
        <f t="shared" si="9"/>
        <v>602667.69999999995</v>
      </c>
      <c r="AE22" s="104">
        <f t="shared" si="9"/>
        <v>602667.69999999995</v>
      </c>
      <c r="AF22" s="104">
        <f t="shared" si="9"/>
        <v>602667.69999999995</v>
      </c>
      <c r="AG22" s="104">
        <f t="shared" si="9"/>
        <v>602667.69999999995</v>
      </c>
      <c r="AH22" s="104">
        <f t="shared" si="9"/>
        <v>602667.69999999995</v>
      </c>
      <c r="AI22" s="104">
        <f t="shared" si="9"/>
        <v>602667.69999999995</v>
      </c>
      <c r="AJ22" s="104">
        <f t="shared" ref="AJ22:BO22" si="10">AI24</f>
        <v>602667.69999999995</v>
      </c>
      <c r="AK22" s="104">
        <f t="shared" si="10"/>
        <v>602667.69999999995</v>
      </c>
      <c r="AL22" s="104">
        <f t="shared" si="10"/>
        <v>602667.69999999995</v>
      </c>
      <c r="AM22" s="104">
        <f t="shared" si="10"/>
        <v>602667.69999999995</v>
      </c>
      <c r="AN22" s="104">
        <f t="shared" si="10"/>
        <v>602667.69999999995</v>
      </c>
      <c r="AO22" s="104">
        <f t="shared" si="10"/>
        <v>602667.69999999995</v>
      </c>
      <c r="AP22" s="104">
        <f t="shared" si="10"/>
        <v>602667.69999999995</v>
      </c>
      <c r="AQ22" s="104">
        <f t="shared" si="10"/>
        <v>602667.69999999995</v>
      </c>
      <c r="AR22" s="104">
        <f t="shared" si="10"/>
        <v>602667.69999999995</v>
      </c>
      <c r="AS22" s="104">
        <f t="shared" si="10"/>
        <v>602667.69999999995</v>
      </c>
      <c r="AT22" s="104">
        <f t="shared" si="10"/>
        <v>602667.69999999995</v>
      </c>
      <c r="AU22" s="104">
        <f t="shared" si="10"/>
        <v>602667.69999999995</v>
      </c>
      <c r="AV22" s="104">
        <f t="shared" si="10"/>
        <v>602667.69999999995</v>
      </c>
      <c r="AW22" s="104">
        <f t="shared" si="10"/>
        <v>602667.69999999995</v>
      </c>
      <c r="AX22" s="104">
        <f t="shared" si="10"/>
        <v>602667.69999999995</v>
      </c>
      <c r="AY22" s="104">
        <f t="shared" si="10"/>
        <v>602667.69999999995</v>
      </c>
      <c r="AZ22" s="104">
        <f t="shared" si="10"/>
        <v>602667.69999999995</v>
      </c>
      <c r="BA22" s="104">
        <f t="shared" si="10"/>
        <v>602667.69999999995</v>
      </c>
      <c r="BB22" s="104">
        <f t="shared" si="10"/>
        <v>0</v>
      </c>
      <c r="BC22" s="104">
        <f t="shared" si="10"/>
        <v>0</v>
      </c>
      <c r="BD22" s="104">
        <f t="shared" si="10"/>
        <v>0</v>
      </c>
      <c r="BE22" s="104">
        <f t="shared" si="10"/>
        <v>0</v>
      </c>
      <c r="BF22" s="104">
        <f t="shared" si="10"/>
        <v>0</v>
      </c>
      <c r="BG22" s="104">
        <f t="shared" si="10"/>
        <v>0</v>
      </c>
      <c r="BH22" s="104">
        <f t="shared" si="10"/>
        <v>0</v>
      </c>
      <c r="BI22" s="104">
        <f t="shared" si="10"/>
        <v>0</v>
      </c>
      <c r="BJ22" s="104">
        <f t="shared" si="10"/>
        <v>0</v>
      </c>
      <c r="BK22" s="104">
        <f t="shared" si="10"/>
        <v>0</v>
      </c>
      <c r="BL22" s="104">
        <f t="shared" si="10"/>
        <v>0</v>
      </c>
      <c r="BM22" s="104">
        <f t="shared" si="10"/>
        <v>0</v>
      </c>
      <c r="BN22" s="104">
        <f t="shared" si="10"/>
        <v>0</v>
      </c>
      <c r="BO22" s="104">
        <f t="shared" si="10"/>
        <v>0</v>
      </c>
      <c r="BP22" s="104">
        <f t="shared" ref="BP22:CH22" si="11">BO24</f>
        <v>0</v>
      </c>
      <c r="BQ22" s="104">
        <f t="shared" si="11"/>
        <v>0</v>
      </c>
      <c r="BR22" s="104">
        <f t="shared" si="11"/>
        <v>0</v>
      </c>
      <c r="BS22" s="104">
        <f t="shared" si="11"/>
        <v>0</v>
      </c>
      <c r="BT22" s="104">
        <f t="shared" si="11"/>
        <v>0</v>
      </c>
      <c r="BU22" s="104">
        <f t="shared" si="11"/>
        <v>0</v>
      </c>
      <c r="BV22" s="104">
        <f t="shared" si="11"/>
        <v>0</v>
      </c>
      <c r="BW22" s="104">
        <f t="shared" si="11"/>
        <v>0</v>
      </c>
      <c r="BX22" s="104">
        <f t="shared" si="11"/>
        <v>0</v>
      </c>
      <c r="BY22" s="104">
        <f t="shared" si="11"/>
        <v>0</v>
      </c>
      <c r="BZ22" s="104">
        <f t="shared" si="11"/>
        <v>0</v>
      </c>
      <c r="CA22" s="104">
        <f t="shared" si="11"/>
        <v>0</v>
      </c>
      <c r="CB22" s="104">
        <f t="shared" si="11"/>
        <v>0</v>
      </c>
      <c r="CC22" s="104">
        <f t="shared" si="11"/>
        <v>0</v>
      </c>
      <c r="CD22" s="104">
        <f t="shared" si="11"/>
        <v>0</v>
      </c>
      <c r="CE22" s="104">
        <f t="shared" si="11"/>
        <v>0</v>
      </c>
      <c r="CF22" s="104">
        <f t="shared" si="11"/>
        <v>0</v>
      </c>
      <c r="CG22" s="104">
        <f t="shared" si="11"/>
        <v>0</v>
      </c>
      <c r="CH22" s="104">
        <f t="shared" si="11"/>
        <v>0</v>
      </c>
    </row>
    <row r="23" spans="1:86" ht="15" customHeight="1" x14ac:dyDescent="0.25">
      <c r="A23" s="120" t="s">
        <v>554</v>
      </c>
      <c r="C23" s="121">
        <f>MIN(C22,Model!C61)</f>
        <v>0</v>
      </c>
      <c r="D23" s="121">
        <f>MIN(D22,Model!D61)</f>
        <v>0</v>
      </c>
      <c r="E23" s="121">
        <f>MIN(E22,Model!E61)</f>
        <v>0</v>
      </c>
      <c r="F23" s="121">
        <f>MIN(F22,Model!F61)</f>
        <v>0</v>
      </c>
      <c r="G23" s="121">
        <f>MIN(G22,Model!G61)</f>
        <v>0</v>
      </c>
      <c r="H23" s="121">
        <f>MIN(H22,Model!H61)</f>
        <v>0</v>
      </c>
      <c r="I23" s="121">
        <f>MIN(I22,Model!I61)</f>
        <v>0</v>
      </c>
      <c r="J23" s="121">
        <f>MIN(J22,Model!J61)</f>
        <v>0</v>
      </c>
      <c r="K23" s="121">
        <f>MIN(K22,Model!K61)</f>
        <v>0</v>
      </c>
      <c r="L23" s="121">
        <f>MIN(L22,Model!L61)</f>
        <v>0</v>
      </c>
      <c r="M23" s="121">
        <f>MIN(M22,Model!M61)</f>
        <v>0</v>
      </c>
      <c r="N23" s="121">
        <f>MIN(N22,Model!N61)</f>
        <v>0</v>
      </c>
      <c r="O23" s="121">
        <f>MIN(O22,Model!O61)</f>
        <v>0</v>
      </c>
      <c r="P23" s="121">
        <f>MIN(P22,Model!P61)</f>
        <v>0</v>
      </c>
      <c r="Q23" s="121">
        <f>MIN(Q22,Model!Q61)</f>
        <v>0</v>
      </c>
      <c r="R23" s="121">
        <f>MIN(R22,Model!R61)</f>
        <v>0</v>
      </c>
      <c r="S23" s="121">
        <f>MIN(S22,Model!S61)</f>
        <v>0</v>
      </c>
      <c r="T23" s="121">
        <f>MIN(T22,Model!T61)</f>
        <v>0</v>
      </c>
      <c r="U23" s="121">
        <f>MIN(U22,Model!U61)</f>
        <v>0</v>
      </c>
      <c r="V23" s="121">
        <f>MIN(V22,Model!V61)</f>
        <v>0</v>
      </c>
      <c r="W23" s="121">
        <f>MIN(W22,Model!W61)</f>
        <v>0</v>
      </c>
      <c r="X23" s="121">
        <f>MIN(X22,Model!X61)</f>
        <v>0</v>
      </c>
      <c r="Y23" s="121">
        <f>MIN(Y22,Model!Y61)</f>
        <v>0</v>
      </c>
      <c r="Z23" s="121">
        <f>MIN(Z22,Model!Z61)</f>
        <v>0</v>
      </c>
      <c r="AA23" s="121">
        <f>MIN(AA22,Model!AA61)</f>
        <v>0</v>
      </c>
      <c r="AB23" s="121">
        <f>MIN(AB22,Model!AB61)</f>
        <v>0</v>
      </c>
      <c r="AC23" s="121">
        <f>MIN(AC22,Model!AC61)</f>
        <v>0</v>
      </c>
      <c r="AD23" s="121">
        <f>MIN(AD22,Model!AD61)</f>
        <v>0</v>
      </c>
      <c r="AE23" s="121">
        <f>MIN(AE22,Model!AE61)</f>
        <v>0</v>
      </c>
      <c r="AF23" s="121">
        <f>MIN(AF22,Model!AF61)</f>
        <v>0</v>
      </c>
      <c r="AG23" s="121">
        <f>MIN(AG22,Model!AG61)</f>
        <v>0</v>
      </c>
      <c r="AH23" s="121">
        <f>MIN(AH22,Model!AH61)</f>
        <v>0</v>
      </c>
      <c r="AI23" s="121">
        <f>MIN(AI22,Model!AI61)</f>
        <v>0</v>
      </c>
      <c r="AJ23" s="121">
        <f>MIN(AJ22,Model!AJ61)</f>
        <v>0</v>
      </c>
      <c r="AK23" s="121">
        <f>MIN(AK22,Model!AK61)</f>
        <v>0</v>
      </c>
      <c r="AL23" s="121">
        <f>MIN(AL22,Model!AL61)</f>
        <v>0</v>
      </c>
      <c r="AM23" s="121">
        <f>MIN(AM22,Model!AM61)</f>
        <v>0</v>
      </c>
      <c r="AN23" s="121">
        <f>MIN(AN22,Model!AN61)</f>
        <v>0</v>
      </c>
      <c r="AO23" s="121">
        <f>MIN(AO22,Model!AO61)</f>
        <v>0</v>
      </c>
      <c r="AP23" s="121">
        <f>MIN(AP22,Model!AP61)</f>
        <v>0</v>
      </c>
      <c r="AQ23" s="121">
        <f>MIN(AQ22,Model!AQ61)</f>
        <v>0</v>
      </c>
      <c r="AR23" s="121">
        <f>MIN(AR22,Model!AR61)</f>
        <v>0</v>
      </c>
      <c r="AS23" s="121">
        <f>MIN(AS22,Model!AS61)</f>
        <v>0</v>
      </c>
      <c r="AT23" s="121">
        <f>MIN(AT22,Model!AT61)</f>
        <v>0</v>
      </c>
      <c r="AU23" s="121">
        <f>MIN(AU22,Model!AU61)</f>
        <v>0</v>
      </c>
      <c r="AV23" s="121">
        <f>MIN(AV22,Model!AV61)</f>
        <v>0</v>
      </c>
      <c r="AW23" s="121">
        <f>MIN(AW22,Model!AW61)</f>
        <v>0</v>
      </c>
      <c r="AX23" s="121">
        <f>MIN(AX22,Model!AX61)</f>
        <v>0</v>
      </c>
      <c r="AY23" s="121">
        <f>MIN(AY22,Model!AY61)</f>
        <v>0</v>
      </c>
      <c r="AZ23" s="121">
        <f>MIN(AZ22,Model!AZ61)</f>
        <v>0</v>
      </c>
      <c r="BA23" s="121">
        <f>MIN(BA22,Model!BA61)</f>
        <v>602667.69999999995</v>
      </c>
      <c r="BB23" s="121">
        <f>MIN(BB22,Model!BB61)</f>
        <v>0</v>
      </c>
      <c r="BC23" s="121">
        <f>MIN(BC22,Model!BC61)</f>
        <v>0</v>
      </c>
      <c r="BD23" s="121">
        <f>MIN(BD22,Model!BD61)</f>
        <v>0</v>
      </c>
      <c r="BE23" s="121">
        <f>MIN(BE22,Model!BE61)</f>
        <v>0</v>
      </c>
      <c r="BF23" s="121">
        <f>MIN(BF22,Model!BF61)</f>
        <v>0</v>
      </c>
      <c r="BG23" s="121">
        <f>MIN(BG22,Model!BG61)</f>
        <v>0</v>
      </c>
      <c r="BH23" s="121">
        <f>MIN(BH22,Model!BH61)</f>
        <v>0</v>
      </c>
      <c r="BI23" s="121">
        <f>MIN(BI22,Model!BI61)</f>
        <v>0</v>
      </c>
      <c r="BJ23" s="121">
        <f>MIN(BJ22,Model!BJ61)</f>
        <v>0</v>
      </c>
      <c r="BK23" s="121">
        <f>MIN(BK22,Model!BK61)</f>
        <v>0</v>
      </c>
      <c r="BL23" s="121">
        <f>MIN(BL22,Model!BL61)</f>
        <v>0</v>
      </c>
      <c r="BM23" s="121">
        <f>MIN(BM22,Model!BM61)</f>
        <v>0</v>
      </c>
      <c r="BN23" s="121">
        <f>MIN(BN22,Model!BN61)</f>
        <v>0</v>
      </c>
      <c r="BO23" s="121">
        <f>MIN(BO22,Model!BO61)</f>
        <v>0</v>
      </c>
      <c r="BP23" s="121">
        <f>MIN(BP22,Model!BP61)</f>
        <v>0</v>
      </c>
      <c r="BQ23" s="121">
        <f>MIN(BQ22,Model!BQ61)</f>
        <v>0</v>
      </c>
      <c r="BR23" s="121">
        <f>MIN(BR22,Model!BR61)</f>
        <v>0</v>
      </c>
      <c r="BS23" s="121">
        <f>MIN(BS22,Model!BS61)</f>
        <v>0</v>
      </c>
      <c r="BT23" s="121">
        <f>MIN(BT22,Model!BT61)</f>
        <v>0</v>
      </c>
      <c r="BU23" s="121">
        <f>MIN(BU22,Model!BU61)</f>
        <v>0</v>
      </c>
      <c r="BV23" s="121">
        <f>MIN(BV22,Model!BV61)</f>
        <v>0</v>
      </c>
      <c r="BW23" s="121">
        <f>MIN(BW22,Model!BW61)</f>
        <v>0</v>
      </c>
      <c r="BX23" s="121">
        <f>MIN(BX22,Model!BX61)</f>
        <v>0</v>
      </c>
      <c r="BY23" s="121">
        <f>MIN(BY22,Model!BY61)</f>
        <v>0</v>
      </c>
      <c r="BZ23" s="121">
        <f>MIN(BZ22,Model!BZ61)</f>
        <v>0</v>
      </c>
      <c r="CA23" s="121">
        <f>MIN(CA22,Model!CA61)</f>
        <v>0</v>
      </c>
      <c r="CB23" s="121">
        <f>MIN(CB22,Model!CB61)</f>
        <v>0</v>
      </c>
      <c r="CC23" s="121">
        <f>MIN(CC22,Model!CC61)</f>
        <v>0</v>
      </c>
      <c r="CD23" s="121">
        <f>MIN(CD22,Model!CD61)</f>
        <v>0</v>
      </c>
      <c r="CE23" s="121">
        <f>MIN(CE22,Model!CE61)</f>
        <v>0</v>
      </c>
      <c r="CF23" s="121">
        <f>MIN(CF22,Model!CF61)</f>
        <v>0</v>
      </c>
      <c r="CG23" s="121">
        <f>MIN(CG22,Model!CG61)</f>
        <v>0</v>
      </c>
      <c r="CH23" s="121">
        <f>MIN(CH22,Model!CH61)</f>
        <v>0</v>
      </c>
    </row>
    <row r="24" spans="1:86" ht="15" customHeight="1" x14ac:dyDescent="0.25">
      <c r="A24" s="118" t="s">
        <v>555</v>
      </c>
      <c r="C24" s="119">
        <f t="shared" ref="C24:AH24" si="12">MAX(0,C22-C23)</f>
        <v>602667.69999999995</v>
      </c>
      <c r="D24" s="119">
        <f t="shared" si="12"/>
        <v>602667.69999999995</v>
      </c>
      <c r="E24" s="119">
        <f t="shared" si="12"/>
        <v>602667.69999999995</v>
      </c>
      <c r="F24" s="119">
        <f t="shared" si="12"/>
        <v>602667.69999999995</v>
      </c>
      <c r="G24" s="119">
        <f t="shared" si="12"/>
        <v>602667.69999999995</v>
      </c>
      <c r="H24" s="119">
        <f t="shared" si="12"/>
        <v>602667.69999999995</v>
      </c>
      <c r="I24" s="119">
        <f t="shared" si="12"/>
        <v>602667.69999999995</v>
      </c>
      <c r="J24" s="119">
        <f t="shared" si="12"/>
        <v>602667.69999999995</v>
      </c>
      <c r="K24" s="119">
        <f t="shared" si="12"/>
        <v>602667.69999999995</v>
      </c>
      <c r="L24" s="119">
        <f t="shared" si="12"/>
        <v>602667.69999999995</v>
      </c>
      <c r="M24" s="119">
        <f t="shared" si="12"/>
        <v>602667.69999999995</v>
      </c>
      <c r="N24" s="119">
        <f t="shared" si="12"/>
        <v>602667.69999999995</v>
      </c>
      <c r="O24" s="119">
        <f t="shared" si="12"/>
        <v>602667.69999999995</v>
      </c>
      <c r="P24" s="119">
        <f t="shared" si="12"/>
        <v>602667.69999999995</v>
      </c>
      <c r="Q24" s="119">
        <f t="shared" si="12"/>
        <v>602667.69999999995</v>
      </c>
      <c r="R24" s="119">
        <f t="shared" si="12"/>
        <v>602667.69999999995</v>
      </c>
      <c r="S24" s="119">
        <f t="shared" si="12"/>
        <v>602667.69999999995</v>
      </c>
      <c r="T24" s="119">
        <f t="shared" si="12"/>
        <v>602667.69999999995</v>
      </c>
      <c r="U24" s="119">
        <f t="shared" si="12"/>
        <v>602667.69999999995</v>
      </c>
      <c r="V24" s="119">
        <f t="shared" si="12"/>
        <v>602667.69999999995</v>
      </c>
      <c r="W24" s="119">
        <f t="shared" si="12"/>
        <v>602667.69999999995</v>
      </c>
      <c r="X24" s="119">
        <f t="shared" si="12"/>
        <v>602667.69999999995</v>
      </c>
      <c r="Y24" s="119">
        <f t="shared" si="12"/>
        <v>602667.69999999995</v>
      </c>
      <c r="Z24" s="119">
        <f t="shared" si="12"/>
        <v>602667.69999999995</v>
      </c>
      <c r="AA24" s="119">
        <f t="shared" si="12"/>
        <v>602667.69999999995</v>
      </c>
      <c r="AB24" s="119">
        <f t="shared" si="12"/>
        <v>602667.69999999995</v>
      </c>
      <c r="AC24" s="119">
        <f t="shared" si="12"/>
        <v>602667.69999999995</v>
      </c>
      <c r="AD24" s="119">
        <f t="shared" si="12"/>
        <v>602667.69999999995</v>
      </c>
      <c r="AE24" s="119">
        <f t="shared" si="12"/>
        <v>602667.69999999995</v>
      </c>
      <c r="AF24" s="119">
        <f t="shared" si="12"/>
        <v>602667.69999999995</v>
      </c>
      <c r="AG24" s="119">
        <f t="shared" si="12"/>
        <v>602667.69999999995</v>
      </c>
      <c r="AH24" s="119">
        <f t="shared" si="12"/>
        <v>602667.69999999995</v>
      </c>
      <c r="AI24" s="119">
        <f t="shared" ref="AI24:BN24" si="13">MAX(0,AI22-AI23)</f>
        <v>602667.69999999995</v>
      </c>
      <c r="AJ24" s="119">
        <f t="shared" si="13"/>
        <v>602667.69999999995</v>
      </c>
      <c r="AK24" s="119">
        <f t="shared" si="13"/>
        <v>602667.69999999995</v>
      </c>
      <c r="AL24" s="119">
        <f t="shared" si="13"/>
        <v>602667.69999999995</v>
      </c>
      <c r="AM24" s="119">
        <f t="shared" si="13"/>
        <v>602667.69999999995</v>
      </c>
      <c r="AN24" s="119">
        <f t="shared" si="13"/>
        <v>602667.69999999995</v>
      </c>
      <c r="AO24" s="119">
        <f t="shared" si="13"/>
        <v>602667.69999999995</v>
      </c>
      <c r="AP24" s="119">
        <f t="shared" si="13"/>
        <v>602667.69999999995</v>
      </c>
      <c r="AQ24" s="119">
        <f t="shared" si="13"/>
        <v>602667.69999999995</v>
      </c>
      <c r="AR24" s="119">
        <f t="shared" si="13"/>
        <v>602667.69999999995</v>
      </c>
      <c r="AS24" s="119">
        <f t="shared" si="13"/>
        <v>602667.69999999995</v>
      </c>
      <c r="AT24" s="119">
        <f t="shared" si="13"/>
        <v>602667.69999999995</v>
      </c>
      <c r="AU24" s="119">
        <f t="shared" si="13"/>
        <v>602667.69999999995</v>
      </c>
      <c r="AV24" s="119">
        <f t="shared" si="13"/>
        <v>602667.69999999995</v>
      </c>
      <c r="AW24" s="119">
        <f t="shared" si="13"/>
        <v>602667.69999999995</v>
      </c>
      <c r="AX24" s="119">
        <f t="shared" si="13"/>
        <v>602667.69999999995</v>
      </c>
      <c r="AY24" s="119">
        <f t="shared" si="13"/>
        <v>602667.69999999995</v>
      </c>
      <c r="AZ24" s="119">
        <f t="shared" si="13"/>
        <v>602667.69999999995</v>
      </c>
      <c r="BA24" s="119">
        <f t="shared" si="13"/>
        <v>0</v>
      </c>
      <c r="BB24" s="119">
        <f t="shared" si="13"/>
        <v>0</v>
      </c>
      <c r="BC24" s="119">
        <f t="shared" si="13"/>
        <v>0</v>
      </c>
      <c r="BD24" s="119">
        <f t="shared" si="13"/>
        <v>0</v>
      </c>
      <c r="BE24" s="119">
        <f t="shared" si="13"/>
        <v>0</v>
      </c>
      <c r="BF24" s="119">
        <f t="shared" si="13"/>
        <v>0</v>
      </c>
      <c r="BG24" s="119">
        <f t="shared" si="13"/>
        <v>0</v>
      </c>
      <c r="BH24" s="119">
        <f t="shared" si="13"/>
        <v>0</v>
      </c>
      <c r="BI24" s="119">
        <f t="shared" si="13"/>
        <v>0</v>
      </c>
      <c r="BJ24" s="119">
        <f t="shared" si="13"/>
        <v>0</v>
      </c>
      <c r="BK24" s="119">
        <f t="shared" si="13"/>
        <v>0</v>
      </c>
      <c r="BL24" s="119">
        <f t="shared" si="13"/>
        <v>0</v>
      </c>
      <c r="BM24" s="119">
        <f t="shared" si="13"/>
        <v>0</v>
      </c>
      <c r="BN24" s="119">
        <f t="shared" si="13"/>
        <v>0</v>
      </c>
      <c r="BO24" s="119">
        <f t="shared" ref="BO24:CT24" si="14">MAX(0,BO22-BO23)</f>
        <v>0</v>
      </c>
      <c r="BP24" s="119">
        <f t="shared" si="14"/>
        <v>0</v>
      </c>
      <c r="BQ24" s="119">
        <f t="shared" si="14"/>
        <v>0</v>
      </c>
      <c r="BR24" s="119">
        <f t="shared" si="14"/>
        <v>0</v>
      </c>
      <c r="BS24" s="119">
        <f t="shared" si="14"/>
        <v>0</v>
      </c>
      <c r="BT24" s="119">
        <f t="shared" si="14"/>
        <v>0</v>
      </c>
      <c r="BU24" s="119">
        <f t="shared" si="14"/>
        <v>0</v>
      </c>
      <c r="BV24" s="119">
        <f t="shared" si="14"/>
        <v>0</v>
      </c>
      <c r="BW24" s="119">
        <f t="shared" si="14"/>
        <v>0</v>
      </c>
      <c r="BX24" s="119">
        <f t="shared" si="14"/>
        <v>0</v>
      </c>
      <c r="BY24" s="119">
        <f t="shared" si="14"/>
        <v>0</v>
      </c>
      <c r="BZ24" s="119">
        <f t="shared" si="14"/>
        <v>0</v>
      </c>
      <c r="CA24" s="119">
        <f t="shared" si="14"/>
        <v>0</v>
      </c>
      <c r="CB24" s="119">
        <f t="shared" si="14"/>
        <v>0</v>
      </c>
      <c r="CC24" s="119">
        <f t="shared" si="14"/>
        <v>0</v>
      </c>
      <c r="CD24" s="119">
        <f t="shared" si="14"/>
        <v>0</v>
      </c>
      <c r="CE24" s="119">
        <f t="shared" si="14"/>
        <v>0</v>
      </c>
      <c r="CF24" s="119">
        <f t="shared" si="14"/>
        <v>0</v>
      </c>
      <c r="CG24" s="119">
        <f t="shared" si="14"/>
        <v>0</v>
      </c>
      <c r="CH24" s="119">
        <f t="shared" si="14"/>
        <v>0</v>
      </c>
    </row>
    <row r="25" spans="1:86" ht="15" customHeight="1" x14ac:dyDescent="0.25">
      <c r="A25" t="s">
        <v>556</v>
      </c>
      <c r="B25" t="s">
        <v>557</v>
      </c>
      <c r="C25" s="122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558</v>
      </c>
      <c r="C26" s="122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559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8" t="s">
        <v>560</v>
      </c>
      <c r="B30" s="108"/>
      <c r="C30" s="108"/>
      <c r="D30" s="108"/>
      <c r="E30" s="108"/>
      <c r="F30" s="108"/>
      <c r="G30" s="108"/>
      <c r="H30" s="108"/>
      <c r="I30" s="108"/>
    </row>
    <row r="31" spans="1:86" ht="15" customHeight="1" x14ac:dyDescent="0.25">
      <c r="A31" s="123" t="s">
        <v>561</v>
      </c>
    </row>
    <row r="32" spans="1:86" ht="15" customHeight="1" x14ac:dyDescent="0.25">
      <c r="A32" s="124" t="s">
        <v>49</v>
      </c>
      <c r="B32" s="62">
        <f>LOOKUP(2,1/(Model!C60:CH60&gt;0),Model!C60:CH60)</f>
        <v>76499</v>
      </c>
    </row>
    <row r="33" spans="1:2" ht="15" customHeight="1" x14ac:dyDescent="0.25">
      <c r="A33" s="124" t="s">
        <v>57</v>
      </c>
      <c r="B33" s="62">
        <f>LOOKUP(2,1/(Model!C62:CH62&gt;0),Model!C62:CH62)</f>
        <v>73155</v>
      </c>
    </row>
    <row r="34" spans="1:2" ht="15" customHeight="1" x14ac:dyDescent="0.25">
      <c r="A34" s="124" t="s">
        <v>54</v>
      </c>
      <c r="B34" s="62">
        <f>LOOKUP(2,1/(Model!C61:CH61&gt;0),Model!C61:CH61)</f>
        <v>81362</v>
      </c>
    </row>
    <row r="36" spans="1:2" ht="15" customHeight="1" x14ac:dyDescent="0.25">
      <c r="A36" s="123" t="s">
        <v>562</v>
      </c>
    </row>
    <row r="37" spans="1:2" ht="15" customHeight="1" x14ac:dyDescent="0.25">
      <c r="A37" s="124" t="s">
        <v>49</v>
      </c>
      <c r="B37" s="106">
        <f>SUMPRODUCT((Model!C60:CH60&gt;0)*1)</f>
        <v>15</v>
      </c>
    </row>
    <row r="38" spans="1:2" ht="15" customHeight="1" x14ac:dyDescent="0.25">
      <c r="A38" s="124" t="s">
        <v>57</v>
      </c>
      <c r="B38" s="106">
        <f>SUMPRODUCT((Model!C62:CH62&gt;0)*1)</f>
        <v>4</v>
      </c>
    </row>
    <row r="39" spans="1:2" ht="15" customHeight="1" x14ac:dyDescent="0.25">
      <c r="A39" s="124" t="s">
        <v>54</v>
      </c>
      <c r="B39" s="106">
        <f>SUMPRODUCT((Model!C61:CH61&gt;0)*1)</f>
        <v>12</v>
      </c>
    </row>
    <row r="41" spans="1:2" ht="15" customHeight="1" x14ac:dyDescent="0.25">
      <c r="A41" s="123" t="s">
        <v>563</v>
      </c>
    </row>
    <row r="42" spans="1:2" ht="15" customHeight="1" x14ac:dyDescent="0.25">
      <c r="A42" s="124" t="s">
        <v>49</v>
      </c>
      <c r="B42" s="106">
        <f>40-B37</f>
        <v>25</v>
      </c>
    </row>
    <row r="43" spans="1:2" ht="15" customHeight="1" x14ac:dyDescent="0.25">
      <c r="A43" s="124" t="s">
        <v>57</v>
      </c>
      <c r="B43" s="106">
        <f>40-B38</f>
        <v>36</v>
      </c>
    </row>
    <row r="44" spans="1:2" ht="15" customHeight="1" x14ac:dyDescent="0.25">
      <c r="A44" s="124" t="s">
        <v>54</v>
      </c>
      <c r="B44" s="106">
        <f>40-B39</f>
        <v>28</v>
      </c>
    </row>
    <row r="46" spans="1:2" ht="15" customHeight="1" x14ac:dyDescent="0.25">
      <c r="A46" s="123" t="s">
        <v>564</v>
      </c>
    </row>
    <row r="47" spans="1:2" ht="15" customHeight="1" x14ac:dyDescent="0.25">
      <c r="A47" s="124" t="s">
        <v>49</v>
      </c>
      <c r="B47" s="62">
        <f>B32*B42</f>
        <v>1912475</v>
      </c>
    </row>
    <row r="48" spans="1:2" ht="15" customHeight="1" x14ac:dyDescent="0.25">
      <c r="A48" s="124" t="s">
        <v>57</v>
      </c>
      <c r="B48" s="62">
        <f>B33*B43</f>
        <v>2633580</v>
      </c>
    </row>
    <row r="49" spans="1:7" ht="15" customHeight="1" x14ac:dyDescent="0.25">
      <c r="A49" s="124" t="s">
        <v>54</v>
      </c>
      <c r="B49" s="62">
        <f>B34*B44</f>
        <v>2278136</v>
      </c>
    </row>
    <row r="51" spans="1:7" ht="15" customHeight="1" x14ac:dyDescent="0.25">
      <c r="A51" s="108" t="s">
        <v>565</v>
      </c>
      <c r="B51" s="108"/>
      <c r="C51" s="108"/>
      <c r="D51" s="108"/>
      <c r="E51" s="108"/>
      <c r="F51" s="108"/>
      <c r="G51" s="108"/>
    </row>
    <row r="52" spans="1:7" ht="15" customHeight="1" x14ac:dyDescent="0.25">
      <c r="A52" s="123" t="s">
        <v>566</v>
      </c>
      <c r="B52" s="123" t="s">
        <v>567</v>
      </c>
      <c r="C52" s="123" t="s">
        <v>568</v>
      </c>
      <c r="D52" s="123" t="s">
        <v>569</v>
      </c>
      <c r="E52" s="123" t="s">
        <v>570</v>
      </c>
      <c r="F52" s="123" t="s">
        <v>571</v>
      </c>
      <c r="G52" s="123" t="s">
        <v>572</v>
      </c>
    </row>
    <row r="53" spans="1:7" ht="15" customHeight="1" x14ac:dyDescent="0.25">
      <c r="A53" s="106">
        <v>1</v>
      </c>
      <c r="B53" s="62">
        <f t="shared" ref="B53:B92" si="21">$B$33</f>
        <v>73155</v>
      </c>
      <c r="C53" s="62">
        <f>CH27</f>
        <v>270925.32000000007</v>
      </c>
      <c r="D53" s="62">
        <f t="shared" ref="D53:D92" si="22">MIN(C53,B53)</f>
        <v>73155</v>
      </c>
      <c r="E53" s="62">
        <f>Model!CH125</f>
        <v>570021.54700517189</v>
      </c>
      <c r="F53" s="62">
        <f>E53*Assumptions!$B$59</f>
        <v>21375.808012693946</v>
      </c>
      <c r="G53" s="62">
        <f t="shared" ref="G53:G92" si="23">MIN(E53+F53,MAX(0,B53-D53))</f>
        <v>0</v>
      </c>
    </row>
    <row r="54" spans="1:7" ht="15" customHeight="1" x14ac:dyDescent="0.25">
      <c r="A54" s="106">
        <v>2</v>
      </c>
      <c r="B54" s="62">
        <f t="shared" si="21"/>
        <v>73155</v>
      </c>
      <c r="C54" s="62">
        <f t="shared" ref="C54:C92" si="24">MAX(0,C53-D53)</f>
        <v>197770.32000000007</v>
      </c>
      <c r="D54" s="62">
        <f t="shared" si="22"/>
        <v>73155</v>
      </c>
      <c r="E54" s="62">
        <f t="shared" ref="E54:E92" si="25">MAX(0,E53+F53-G53)</f>
        <v>591397.35501786578</v>
      </c>
      <c r="F54" s="62">
        <f>E54*Assumptions!$B$59</f>
        <v>22177.400813169967</v>
      </c>
      <c r="G54" s="62">
        <f t="shared" si="23"/>
        <v>0</v>
      </c>
    </row>
    <row r="55" spans="1:7" ht="15" customHeight="1" x14ac:dyDescent="0.25">
      <c r="A55" s="106">
        <v>3</v>
      </c>
      <c r="B55" s="62">
        <f t="shared" si="21"/>
        <v>73155</v>
      </c>
      <c r="C55" s="62">
        <f t="shared" si="24"/>
        <v>124615.32000000007</v>
      </c>
      <c r="D55" s="62">
        <f t="shared" si="22"/>
        <v>73155</v>
      </c>
      <c r="E55" s="62">
        <f t="shared" si="25"/>
        <v>613574.75583103579</v>
      </c>
      <c r="F55" s="62">
        <f>E55*Assumptions!$B$59</f>
        <v>23009.05334366384</v>
      </c>
      <c r="G55" s="62">
        <f t="shared" si="23"/>
        <v>0</v>
      </c>
    </row>
    <row r="56" spans="1:7" ht="15" customHeight="1" x14ac:dyDescent="0.25">
      <c r="A56" s="106">
        <v>4</v>
      </c>
      <c r="B56" s="62">
        <f t="shared" si="21"/>
        <v>73155</v>
      </c>
      <c r="C56" s="62">
        <f t="shared" si="24"/>
        <v>51460.320000000065</v>
      </c>
      <c r="D56" s="62">
        <f t="shared" si="22"/>
        <v>51460.320000000065</v>
      </c>
      <c r="E56" s="62">
        <f t="shared" si="25"/>
        <v>636583.80917469959</v>
      </c>
      <c r="F56" s="62">
        <f>E56*Assumptions!$B$59</f>
        <v>23871.892844051235</v>
      </c>
      <c r="G56" s="62">
        <f t="shared" si="23"/>
        <v>21694.679999999935</v>
      </c>
    </row>
    <row r="57" spans="1:7" ht="15" customHeight="1" x14ac:dyDescent="0.25">
      <c r="A57" s="106">
        <v>5</v>
      </c>
      <c r="B57" s="62">
        <f t="shared" si="21"/>
        <v>73155</v>
      </c>
      <c r="C57" s="62">
        <f t="shared" si="24"/>
        <v>0</v>
      </c>
      <c r="D57" s="62">
        <f t="shared" si="22"/>
        <v>0</v>
      </c>
      <c r="E57" s="62">
        <f t="shared" si="25"/>
        <v>638761.0220187509</v>
      </c>
      <c r="F57" s="62">
        <f>E57*Assumptions!$B$59</f>
        <v>23953.538325703157</v>
      </c>
      <c r="G57" s="62">
        <f t="shared" si="23"/>
        <v>73155</v>
      </c>
    </row>
    <row r="58" spans="1:7" ht="15" customHeight="1" x14ac:dyDescent="0.25">
      <c r="A58" s="106">
        <v>6</v>
      </c>
      <c r="B58" s="62">
        <f t="shared" si="21"/>
        <v>73155</v>
      </c>
      <c r="C58" s="62">
        <f t="shared" si="24"/>
        <v>0</v>
      </c>
      <c r="D58" s="62">
        <f t="shared" si="22"/>
        <v>0</v>
      </c>
      <c r="E58" s="62">
        <f t="shared" si="25"/>
        <v>589559.56034445402</v>
      </c>
      <c r="F58" s="62">
        <f>E58*Assumptions!$B$59</f>
        <v>22108.483512917024</v>
      </c>
      <c r="G58" s="62">
        <f t="shared" si="23"/>
        <v>73155</v>
      </c>
    </row>
    <row r="59" spans="1:7" ht="15" customHeight="1" x14ac:dyDescent="0.25">
      <c r="A59" s="106">
        <v>7</v>
      </c>
      <c r="B59" s="62">
        <f t="shared" si="21"/>
        <v>73155</v>
      </c>
      <c r="C59" s="62">
        <f t="shared" si="24"/>
        <v>0</v>
      </c>
      <c r="D59" s="62">
        <f t="shared" si="22"/>
        <v>0</v>
      </c>
      <c r="E59" s="62">
        <f t="shared" si="25"/>
        <v>538513.04385737109</v>
      </c>
      <c r="F59" s="62">
        <f>E59*Assumptions!$B$59</f>
        <v>20194.239144651416</v>
      </c>
      <c r="G59" s="62">
        <f t="shared" si="23"/>
        <v>73155</v>
      </c>
    </row>
    <row r="60" spans="1:7" ht="15" customHeight="1" x14ac:dyDescent="0.25">
      <c r="A60" s="106">
        <v>8</v>
      </c>
      <c r="B60" s="62">
        <f t="shared" si="21"/>
        <v>73155</v>
      </c>
      <c r="C60" s="62">
        <f t="shared" si="24"/>
        <v>0</v>
      </c>
      <c r="D60" s="62">
        <f t="shared" si="22"/>
        <v>0</v>
      </c>
      <c r="E60" s="62">
        <f t="shared" si="25"/>
        <v>485552.28300202254</v>
      </c>
      <c r="F60" s="62">
        <f>E60*Assumptions!$B$59</f>
        <v>18208.210612575844</v>
      </c>
      <c r="G60" s="62">
        <f t="shared" si="23"/>
        <v>73155</v>
      </c>
    </row>
    <row r="61" spans="1:7" ht="15" customHeight="1" x14ac:dyDescent="0.25">
      <c r="A61" s="106">
        <v>9</v>
      </c>
      <c r="B61" s="62">
        <f t="shared" si="21"/>
        <v>73155</v>
      </c>
      <c r="C61" s="62">
        <f t="shared" si="24"/>
        <v>0</v>
      </c>
      <c r="D61" s="62">
        <f t="shared" si="22"/>
        <v>0</v>
      </c>
      <c r="E61" s="62">
        <f t="shared" si="25"/>
        <v>430605.49361459841</v>
      </c>
      <c r="F61" s="62">
        <f>E61*Assumptions!$B$59</f>
        <v>16147.706010547439</v>
      </c>
      <c r="G61" s="62">
        <f t="shared" si="23"/>
        <v>73155</v>
      </c>
    </row>
    <row r="62" spans="1:7" ht="15" customHeight="1" x14ac:dyDescent="0.25">
      <c r="A62" s="106">
        <v>10</v>
      </c>
      <c r="B62" s="62">
        <f t="shared" si="21"/>
        <v>73155</v>
      </c>
      <c r="C62" s="62">
        <f t="shared" si="24"/>
        <v>0</v>
      </c>
      <c r="D62" s="62">
        <f t="shared" si="22"/>
        <v>0</v>
      </c>
      <c r="E62" s="62">
        <f t="shared" si="25"/>
        <v>373598.19962514588</v>
      </c>
      <c r="F62" s="62">
        <f>E62*Assumptions!$B$59</f>
        <v>14009.932485942971</v>
      </c>
      <c r="G62" s="62">
        <f t="shared" si="23"/>
        <v>73155</v>
      </c>
    </row>
    <row r="63" spans="1:7" ht="15" customHeight="1" x14ac:dyDescent="0.25">
      <c r="A63" s="106">
        <v>11</v>
      </c>
      <c r="B63" s="62">
        <f t="shared" si="21"/>
        <v>73155</v>
      </c>
      <c r="C63" s="62">
        <f t="shared" si="24"/>
        <v>0</v>
      </c>
      <c r="D63" s="62">
        <f t="shared" si="22"/>
        <v>0</v>
      </c>
      <c r="E63" s="62">
        <f t="shared" si="25"/>
        <v>314453.13211108884</v>
      </c>
      <c r="F63" s="62">
        <f>E63*Assumptions!$B$59</f>
        <v>11791.992454165831</v>
      </c>
      <c r="G63" s="62">
        <f t="shared" si="23"/>
        <v>73155</v>
      </c>
    </row>
    <row r="64" spans="1:7" ht="15" customHeight="1" x14ac:dyDescent="0.25">
      <c r="A64" s="106">
        <v>12</v>
      </c>
      <c r="B64" s="62">
        <f t="shared" si="21"/>
        <v>73155</v>
      </c>
      <c r="C64" s="62">
        <f t="shared" si="24"/>
        <v>0</v>
      </c>
      <c r="D64" s="62">
        <f t="shared" si="22"/>
        <v>0</v>
      </c>
      <c r="E64" s="62">
        <f t="shared" si="25"/>
        <v>253090.12456525466</v>
      </c>
      <c r="F64" s="62">
        <f>E64*Assumptions!$B$59</f>
        <v>9490.8796711970499</v>
      </c>
      <c r="G64" s="62">
        <f t="shared" si="23"/>
        <v>73155</v>
      </c>
    </row>
    <row r="65" spans="1:7" ht="15" customHeight="1" x14ac:dyDescent="0.25">
      <c r="A65" s="106">
        <v>13</v>
      </c>
      <c r="B65" s="62">
        <f t="shared" si="21"/>
        <v>73155</v>
      </c>
      <c r="C65" s="62">
        <f t="shared" si="24"/>
        <v>0</v>
      </c>
      <c r="D65" s="62">
        <f t="shared" si="22"/>
        <v>0</v>
      </c>
      <c r="E65" s="62">
        <f t="shared" si="25"/>
        <v>189426.0042364517</v>
      </c>
      <c r="F65" s="62">
        <f>E65*Assumptions!$B$59</f>
        <v>7103.4751588669387</v>
      </c>
      <c r="G65" s="62">
        <f t="shared" si="23"/>
        <v>73155</v>
      </c>
    </row>
    <row r="66" spans="1:7" ht="15" customHeight="1" x14ac:dyDescent="0.25">
      <c r="A66" s="106">
        <v>14</v>
      </c>
      <c r="B66" s="62">
        <f t="shared" si="21"/>
        <v>73155</v>
      </c>
      <c r="C66" s="62">
        <f t="shared" si="24"/>
        <v>0</v>
      </c>
      <c r="D66" s="62">
        <f t="shared" si="22"/>
        <v>0</v>
      </c>
      <c r="E66" s="62">
        <f t="shared" si="25"/>
        <v>123374.47939531863</v>
      </c>
      <c r="F66" s="62">
        <f>E66*Assumptions!$B$59</f>
        <v>4626.5429773244487</v>
      </c>
      <c r="G66" s="62">
        <f t="shared" si="23"/>
        <v>73155</v>
      </c>
    </row>
    <row r="67" spans="1:7" ht="15" customHeight="1" x14ac:dyDescent="0.25">
      <c r="A67" s="106">
        <v>15</v>
      </c>
      <c r="B67" s="62">
        <f t="shared" si="21"/>
        <v>73155</v>
      </c>
      <c r="C67" s="62">
        <f t="shared" si="24"/>
        <v>0</v>
      </c>
      <c r="D67" s="62">
        <f t="shared" si="22"/>
        <v>0</v>
      </c>
      <c r="E67" s="62">
        <f t="shared" si="25"/>
        <v>54846.022372643085</v>
      </c>
      <c r="F67" s="62">
        <f>E67*Assumptions!$B$59</f>
        <v>2056.7258389741155</v>
      </c>
      <c r="G67" s="62">
        <f t="shared" si="23"/>
        <v>56902.748211617203</v>
      </c>
    </row>
    <row r="68" spans="1:7" ht="15" customHeight="1" x14ac:dyDescent="0.25">
      <c r="A68" s="106">
        <v>16</v>
      </c>
      <c r="B68" s="62">
        <f t="shared" si="21"/>
        <v>73155</v>
      </c>
      <c r="C68" s="62">
        <f t="shared" si="24"/>
        <v>0</v>
      </c>
      <c r="D68" s="62">
        <f t="shared" si="22"/>
        <v>0</v>
      </c>
      <c r="E68" s="62">
        <f t="shared" si="25"/>
        <v>0</v>
      </c>
      <c r="F68" s="62">
        <f>E68*Assumptions!$B$59</f>
        <v>0</v>
      </c>
      <c r="G68" s="62">
        <f t="shared" si="23"/>
        <v>0</v>
      </c>
    </row>
    <row r="69" spans="1:7" ht="15" customHeight="1" x14ac:dyDescent="0.25">
      <c r="A69" s="106">
        <v>17</v>
      </c>
      <c r="B69" s="62">
        <f t="shared" si="21"/>
        <v>73155</v>
      </c>
      <c r="C69" s="62">
        <f t="shared" si="24"/>
        <v>0</v>
      </c>
      <c r="D69" s="62">
        <f t="shared" si="22"/>
        <v>0</v>
      </c>
      <c r="E69" s="62">
        <f t="shared" si="25"/>
        <v>0</v>
      </c>
      <c r="F69" s="62">
        <f>E69*Assumptions!$B$59</f>
        <v>0</v>
      </c>
      <c r="G69" s="62">
        <f t="shared" si="23"/>
        <v>0</v>
      </c>
    </row>
    <row r="70" spans="1:7" ht="15" customHeight="1" x14ac:dyDescent="0.25">
      <c r="A70" s="106">
        <v>18</v>
      </c>
      <c r="B70" s="62">
        <f t="shared" si="21"/>
        <v>73155</v>
      </c>
      <c r="C70" s="62">
        <f t="shared" si="24"/>
        <v>0</v>
      </c>
      <c r="D70" s="62">
        <f t="shared" si="22"/>
        <v>0</v>
      </c>
      <c r="E70" s="62">
        <f t="shared" si="25"/>
        <v>0</v>
      </c>
      <c r="F70" s="62">
        <f>E70*Assumptions!$B$59</f>
        <v>0</v>
      </c>
      <c r="G70" s="62">
        <f t="shared" si="23"/>
        <v>0</v>
      </c>
    </row>
    <row r="71" spans="1:7" ht="15" customHeight="1" x14ac:dyDescent="0.25">
      <c r="A71" s="106">
        <v>19</v>
      </c>
      <c r="B71" s="62">
        <f t="shared" si="21"/>
        <v>73155</v>
      </c>
      <c r="C71" s="62">
        <f t="shared" si="24"/>
        <v>0</v>
      </c>
      <c r="D71" s="62">
        <f t="shared" si="22"/>
        <v>0</v>
      </c>
      <c r="E71" s="62">
        <f t="shared" si="25"/>
        <v>0</v>
      </c>
      <c r="F71" s="62">
        <f>E71*Assumptions!$B$59</f>
        <v>0</v>
      </c>
      <c r="G71" s="62">
        <f t="shared" si="23"/>
        <v>0</v>
      </c>
    </row>
    <row r="72" spans="1:7" ht="15" customHeight="1" x14ac:dyDescent="0.25">
      <c r="A72" s="106">
        <v>20</v>
      </c>
      <c r="B72" s="62">
        <f t="shared" si="21"/>
        <v>73155</v>
      </c>
      <c r="C72" s="62">
        <f t="shared" si="24"/>
        <v>0</v>
      </c>
      <c r="D72" s="62">
        <f t="shared" si="22"/>
        <v>0</v>
      </c>
      <c r="E72" s="62">
        <f t="shared" si="25"/>
        <v>0</v>
      </c>
      <c r="F72" s="62">
        <f>E72*Assumptions!$B$59</f>
        <v>0</v>
      </c>
      <c r="G72" s="62">
        <f t="shared" si="23"/>
        <v>0</v>
      </c>
    </row>
    <row r="73" spans="1:7" ht="15" customHeight="1" x14ac:dyDescent="0.25">
      <c r="A73" s="106">
        <v>21</v>
      </c>
      <c r="B73" s="62">
        <f t="shared" si="21"/>
        <v>73155</v>
      </c>
      <c r="C73" s="62">
        <f t="shared" si="24"/>
        <v>0</v>
      </c>
      <c r="D73" s="62">
        <f t="shared" si="22"/>
        <v>0</v>
      </c>
      <c r="E73" s="62">
        <f t="shared" si="25"/>
        <v>0</v>
      </c>
      <c r="F73" s="62">
        <f>E73*Assumptions!$B$59</f>
        <v>0</v>
      </c>
      <c r="G73" s="62">
        <f t="shared" si="23"/>
        <v>0</v>
      </c>
    </row>
    <row r="74" spans="1:7" ht="15" customHeight="1" x14ac:dyDescent="0.25">
      <c r="A74" s="106">
        <v>22</v>
      </c>
      <c r="B74" s="62">
        <f t="shared" si="21"/>
        <v>73155</v>
      </c>
      <c r="C74" s="62">
        <f t="shared" si="24"/>
        <v>0</v>
      </c>
      <c r="D74" s="62">
        <f t="shared" si="22"/>
        <v>0</v>
      </c>
      <c r="E74" s="62">
        <f t="shared" si="25"/>
        <v>0</v>
      </c>
      <c r="F74" s="62">
        <f>E74*Assumptions!$B$59</f>
        <v>0</v>
      </c>
      <c r="G74" s="62">
        <f t="shared" si="23"/>
        <v>0</v>
      </c>
    </row>
    <row r="75" spans="1:7" ht="15" customHeight="1" x14ac:dyDescent="0.25">
      <c r="A75" s="106">
        <v>23</v>
      </c>
      <c r="B75" s="62">
        <f t="shared" si="21"/>
        <v>73155</v>
      </c>
      <c r="C75" s="62">
        <f t="shared" si="24"/>
        <v>0</v>
      </c>
      <c r="D75" s="62">
        <f t="shared" si="22"/>
        <v>0</v>
      </c>
      <c r="E75" s="62">
        <f t="shared" si="25"/>
        <v>0</v>
      </c>
      <c r="F75" s="62">
        <f>E75*Assumptions!$B$59</f>
        <v>0</v>
      </c>
      <c r="G75" s="62">
        <f t="shared" si="23"/>
        <v>0</v>
      </c>
    </row>
    <row r="76" spans="1:7" ht="15" customHeight="1" x14ac:dyDescent="0.25">
      <c r="A76" s="106">
        <v>24</v>
      </c>
      <c r="B76" s="62">
        <f t="shared" si="21"/>
        <v>73155</v>
      </c>
      <c r="C76" s="62">
        <f t="shared" si="24"/>
        <v>0</v>
      </c>
      <c r="D76" s="62">
        <f t="shared" si="22"/>
        <v>0</v>
      </c>
      <c r="E76" s="62">
        <f t="shared" si="25"/>
        <v>0</v>
      </c>
      <c r="F76" s="62">
        <f>E76*Assumptions!$B$59</f>
        <v>0</v>
      </c>
      <c r="G76" s="62">
        <f t="shared" si="23"/>
        <v>0</v>
      </c>
    </row>
    <row r="77" spans="1:7" ht="15" customHeight="1" x14ac:dyDescent="0.25">
      <c r="A77" s="106">
        <v>25</v>
      </c>
      <c r="B77" s="62">
        <f t="shared" si="21"/>
        <v>73155</v>
      </c>
      <c r="C77" s="62">
        <f t="shared" si="24"/>
        <v>0</v>
      </c>
      <c r="D77" s="62">
        <f t="shared" si="22"/>
        <v>0</v>
      </c>
      <c r="E77" s="62">
        <f t="shared" si="25"/>
        <v>0</v>
      </c>
      <c r="F77" s="62">
        <f>E77*Assumptions!$B$59</f>
        <v>0</v>
      </c>
      <c r="G77" s="62">
        <f t="shared" si="23"/>
        <v>0</v>
      </c>
    </row>
    <row r="78" spans="1:7" ht="15" customHeight="1" x14ac:dyDescent="0.25">
      <c r="A78" s="106">
        <v>26</v>
      </c>
      <c r="B78" s="62">
        <f t="shared" si="21"/>
        <v>73155</v>
      </c>
      <c r="C78" s="62">
        <f t="shared" si="24"/>
        <v>0</v>
      </c>
      <c r="D78" s="62">
        <f t="shared" si="22"/>
        <v>0</v>
      </c>
      <c r="E78" s="62">
        <f t="shared" si="25"/>
        <v>0</v>
      </c>
      <c r="F78" s="62">
        <f>E78*Assumptions!$B$59</f>
        <v>0</v>
      </c>
      <c r="G78" s="62">
        <f t="shared" si="23"/>
        <v>0</v>
      </c>
    </row>
    <row r="79" spans="1:7" ht="15" customHeight="1" x14ac:dyDescent="0.25">
      <c r="A79" s="106">
        <v>27</v>
      </c>
      <c r="B79" s="62">
        <f t="shared" si="21"/>
        <v>73155</v>
      </c>
      <c r="C79" s="62">
        <f t="shared" si="24"/>
        <v>0</v>
      </c>
      <c r="D79" s="62">
        <f t="shared" si="22"/>
        <v>0</v>
      </c>
      <c r="E79" s="62">
        <f t="shared" si="25"/>
        <v>0</v>
      </c>
      <c r="F79" s="62">
        <f>E79*Assumptions!$B$59</f>
        <v>0</v>
      </c>
      <c r="G79" s="62">
        <f t="shared" si="23"/>
        <v>0</v>
      </c>
    </row>
    <row r="80" spans="1:7" ht="15" customHeight="1" x14ac:dyDescent="0.25">
      <c r="A80" s="106">
        <v>28</v>
      </c>
      <c r="B80" s="62">
        <f t="shared" si="21"/>
        <v>73155</v>
      </c>
      <c r="C80" s="62">
        <f t="shared" si="24"/>
        <v>0</v>
      </c>
      <c r="D80" s="62">
        <f t="shared" si="22"/>
        <v>0</v>
      </c>
      <c r="E80" s="62">
        <f t="shared" si="25"/>
        <v>0</v>
      </c>
      <c r="F80" s="62">
        <f>E80*Assumptions!$B$59</f>
        <v>0</v>
      </c>
      <c r="G80" s="62">
        <f t="shared" si="23"/>
        <v>0</v>
      </c>
    </row>
    <row r="81" spans="1:7" ht="15" customHeight="1" x14ac:dyDescent="0.25">
      <c r="A81" s="106">
        <v>29</v>
      </c>
      <c r="B81" s="62">
        <f t="shared" si="21"/>
        <v>73155</v>
      </c>
      <c r="C81" s="62">
        <f t="shared" si="24"/>
        <v>0</v>
      </c>
      <c r="D81" s="62">
        <f t="shared" si="22"/>
        <v>0</v>
      </c>
      <c r="E81" s="62">
        <f t="shared" si="25"/>
        <v>0</v>
      </c>
      <c r="F81" s="62">
        <f>E81*Assumptions!$B$59</f>
        <v>0</v>
      </c>
      <c r="G81" s="62">
        <f t="shared" si="23"/>
        <v>0</v>
      </c>
    </row>
    <row r="82" spans="1:7" ht="15" customHeight="1" x14ac:dyDescent="0.25">
      <c r="A82" s="106">
        <v>30</v>
      </c>
      <c r="B82" s="62">
        <f t="shared" si="21"/>
        <v>73155</v>
      </c>
      <c r="C82" s="62">
        <f t="shared" si="24"/>
        <v>0</v>
      </c>
      <c r="D82" s="62">
        <f t="shared" si="22"/>
        <v>0</v>
      </c>
      <c r="E82" s="62">
        <f t="shared" si="25"/>
        <v>0</v>
      </c>
      <c r="F82" s="62">
        <f>E82*Assumptions!$B$59</f>
        <v>0</v>
      </c>
      <c r="G82" s="62">
        <f t="shared" si="23"/>
        <v>0</v>
      </c>
    </row>
    <row r="83" spans="1:7" ht="15" customHeight="1" x14ac:dyDescent="0.25">
      <c r="A83" s="106">
        <v>31</v>
      </c>
      <c r="B83" s="62">
        <f t="shared" si="21"/>
        <v>73155</v>
      </c>
      <c r="C83" s="62">
        <f t="shared" si="24"/>
        <v>0</v>
      </c>
      <c r="D83" s="62">
        <f t="shared" si="22"/>
        <v>0</v>
      </c>
      <c r="E83" s="62">
        <f t="shared" si="25"/>
        <v>0</v>
      </c>
      <c r="F83" s="62">
        <f>E83*Assumptions!$B$59</f>
        <v>0</v>
      </c>
      <c r="G83" s="62">
        <f t="shared" si="23"/>
        <v>0</v>
      </c>
    </row>
    <row r="84" spans="1:7" ht="15" customHeight="1" x14ac:dyDescent="0.25">
      <c r="A84" s="106">
        <v>32</v>
      </c>
      <c r="B84" s="62">
        <f t="shared" si="21"/>
        <v>73155</v>
      </c>
      <c r="C84" s="62">
        <f t="shared" si="24"/>
        <v>0</v>
      </c>
      <c r="D84" s="62">
        <f t="shared" si="22"/>
        <v>0</v>
      </c>
      <c r="E84" s="62">
        <f t="shared" si="25"/>
        <v>0</v>
      </c>
      <c r="F84" s="62">
        <f>E84*Assumptions!$B$59</f>
        <v>0</v>
      </c>
      <c r="G84" s="62">
        <f t="shared" si="23"/>
        <v>0</v>
      </c>
    </row>
    <row r="85" spans="1:7" ht="15" customHeight="1" x14ac:dyDescent="0.25">
      <c r="A85" s="106">
        <v>33</v>
      </c>
      <c r="B85" s="62">
        <f t="shared" si="21"/>
        <v>73155</v>
      </c>
      <c r="C85" s="62">
        <f t="shared" si="24"/>
        <v>0</v>
      </c>
      <c r="D85" s="62">
        <f t="shared" si="22"/>
        <v>0</v>
      </c>
      <c r="E85" s="62">
        <f t="shared" si="25"/>
        <v>0</v>
      </c>
      <c r="F85" s="62">
        <f>E85*Assumptions!$B$59</f>
        <v>0</v>
      </c>
      <c r="G85" s="62">
        <f t="shared" si="23"/>
        <v>0</v>
      </c>
    </row>
    <row r="86" spans="1:7" ht="15" customHeight="1" x14ac:dyDescent="0.25">
      <c r="A86" s="106">
        <v>34</v>
      </c>
      <c r="B86" s="62">
        <f t="shared" si="21"/>
        <v>73155</v>
      </c>
      <c r="C86" s="62">
        <f t="shared" si="24"/>
        <v>0</v>
      </c>
      <c r="D86" s="62">
        <f t="shared" si="22"/>
        <v>0</v>
      </c>
      <c r="E86" s="62">
        <f t="shared" si="25"/>
        <v>0</v>
      </c>
      <c r="F86" s="62">
        <f>E86*Assumptions!$B$59</f>
        <v>0</v>
      </c>
      <c r="G86" s="62">
        <f t="shared" si="23"/>
        <v>0</v>
      </c>
    </row>
    <row r="87" spans="1:7" ht="15" customHeight="1" x14ac:dyDescent="0.25">
      <c r="A87" s="106">
        <v>35</v>
      </c>
      <c r="B87" s="62">
        <f t="shared" si="21"/>
        <v>73155</v>
      </c>
      <c r="C87" s="62">
        <f t="shared" si="24"/>
        <v>0</v>
      </c>
      <c r="D87" s="62">
        <f t="shared" si="22"/>
        <v>0</v>
      </c>
      <c r="E87" s="62">
        <f t="shared" si="25"/>
        <v>0</v>
      </c>
      <c r="F87" s="62">
        <f>E87*Assumptions!$B$59</f>
        <v>0</v>
      </c>
      <c r="G87" s="62">
        <f t="shared" si="23"/>
        <v>0</v>
      </c>
    </row>
    <row r="88" spans="1:7" ht="15" customHeight="1" x14ac:dyDescent="0.25">
      <c r="A88" s="106">
        <v>36</v>
      </c>
      <c r="B88" s="62">
        <f t="shared" si="21"/>
        <v>73155</v>
      </c>
      <c r="C88" s="62">
        <f t="shared" si="24"/>
        <v>0</v>
      </c>
      <c r="D88" s="62">
        <f t="shared" si="22"/>
        <v>0</v>
      </c>
      <c r="E88" s="62">
        <f t="shared" si="25"/>
        <v>0</v>
      </c>
      <c r="F88" s="62">
        <f>E88*Assumptions!$B$59</f>
        <v>0</v>
      </c>
      <c r="G88" s="62">
        <f t="shared" si="23"/>
        <v>0</v>
      </c>
    </row>
    <row r="89" spans="1:7" ht="15" customHeight="1" x14ac:dyDescent="0.25">
      <c r="A89" s="106">
        <v>37</v>
      </c>
      <c r="B89" s="62">
        <f t="shared" si="21"/>
        <v>73155</v>
      </c>
      <c r="C89" s="62">
        <f t="shared" si="24"/>
        <v>0</v>
      </c>
      <c r="D89" s="62">
        <f t="shared" si="22"/>
        <v>0</v>
      </c>
      <c r="E89" s="62">
        <f t="shared" si="25"/>
        <v>0</v>
      </c>
      <c r="F89" s="62">
        <f>E89*Assumptions!$B$59</f>
        <v>0</v>
      </c>
      <c r="G89" s="62">
        <f t="shared" si="23"/>
        <v>0</v>
      </c>
    </row>
    <row r="90" spans="1:7" ht="15" customHeight="1" x14ac:dyDescent="0.25">
      <c r="A90" s="106">
        <v>38</v>
      </c>
      <c r="B90" s="62">
        <f t="shared" si="21"/>
        <v>73155</v>
      </c>
      <c r="C90" s="62">
        <f t="shared" si="24"/>
        <v>0</v>
      </c>
      <c r="D90" s="62">
        <f t="shared" si="22"/>
        <v>0</v>
      </c>
      <c r="E90" s="62">
        <f t="shared" si="25"/>
        <v>0</v>
      </c>
      <c r="F90" s="62">
        <f>E90*Assumptions!$B$59</f>
        <v>0</v>
      </c>
      <c r="G90" s="62">
        <f t="shared" si="23"/>
        <v>0</v>
      </c>
    </row>
    <row r="91" spans="1:7" ht="15" customHeight="1" x14ac:dyDescent="0.25">
      <c r="A91" s="106">
        <v>39</v>
      </c>
      <c r="B91" s="62">
        <f t="shared" si="21"/>
        <v>73155</v>
      </c>
      <c r="C91" s="62">
        <f t="shared" si="24"/>
        <v>0</v>
      </c>
      <c r="D91" s="62">
        <f t="shared" si="22"/>
        <v>0</v>
      </c>
      <c r="E91" s="62">
        <f t="shared" si="25"/>
        <v>0</v>
      </c>
      <c r="F91" s="62">
        <f>E91*Assumptions!$B$59</f>
        <v>0</v>
      </c>
      <c r="G91" s="62">
        <f t="shared" si="23"/>
        <v>0</v>
      </c>
    </row>
    <row r="92" spans="1:7" ht="15" customHeight="1" x14ac:dyDescent="0.25">
      <c r="A92" s="106">
        <v>40</v>
      </c>
      <c r="B92" s="62">
        <f t="shared" si="21"/>
        <v>73155</v>
      </c>
      <c r="C92" s="62">
        <f t="shared" si="24"/>
        <v>0</v>
      </c>
      <c r="D92" s="62">
        <f t="shared" si="22"/>
        <v>0</v>
      </c>
      <c r="E92" s="62">
        <f t="shared" si="25"/>
        <v>0</v>
      </c>
      <c r="F92" s="62">
        <f>E92*Assumptions!$B$59</f>
        <v>0</v>
      </c>
      <c r="G92" s="62">
        <f t="shared" si="23"/>
        <v>0</v>
      </c>
    </row>
    <row r="93" spans="1:7" ht="15" customHeight="1" x14ac:dyDescent="0.25">
      <c r="A93" s="123" t="s">
        <v>573</v>
      </c>
      <c r="D93" s="125">
        <f>SUM(D53:D92)</f>
        <v>270925.32000000007</v>
      </c>
      <c r="F93" s="125">
        <f>SUM(F53:F92)</f>
        <v>240125.88120644525</v>
      </c>
      <c r="G93" s="125">
        <f>SUM(G53:G92)</f>
        <v>810147.42821161717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26" t="s">
        <v>574</v>
      </c>
    </row>
    <row r="2" spans="1:11" ht="15" customHeight="1" x14ac:dyDescent="0.25">
      <c r="A2" s="106" t="s">
        <v>272</v>
      </c>
      <c r="B2" s="4" t="s">
        <v>280</v>
      </c>
    </row>
    <row r="4" spans="1:11" ht="15" customHeight="1" x14ac:dyDescent="0.25">
      <c r="A4" s="127" t="s">
        <v>575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</row>
    <row r="5" spans="1:11" ht="15" customHeight="1" x14ac:dyDescent="0.25">
      <c r="A5" s="106" t="s">
        <v>576</v>
      </c>
      <c r="B5" s="106" t="s">
        <v>574</v>
      </c>
    </row>
    <row r="6" spans="1:11" ht="15" customHeight="1" x14ac:dyDescent="0.25">
      <c r="A6" s="106" t="s">
        <v>577</v>
      </c>
      <c r="B6" s="106" t="s">
        <v>578</v>
      </c>
    </row>
    <row r="7" spans="1:11" ht="15" customHeight="1" x14ac:dyDescent="0.25">
      <c r="A7" s="106" t="s">
        <v>579</v>
      </c>
      <c r="B7" s="128">
        <v>60</v>
      </c>
    </row>
    <row r="8" spans="1:11" ht="15" customHeight="1" x14ac:dyDescent="0.25">
      <c r="A8" s="106" t="s">
        <v>580</v>
      </c>
      <c r="B8" s="106" t="s">
        <v>581</v>
      </c>
    </row>
    <row r="9" spans="1:11" ht="15" customHeight="1" x14ac:dyDescent="0.25">
      <c r="A9" s="106" t="s">
        <v>582</v>
      </c>
      <c r="B9" s="62">
        <v>1400000</v>
      </c>
    </row>
    <row r="10" spans="1:11" ht="15" customHeight="1" x14ac:dyDescent="0.25">
      <c r="A10" s="106" t="s">
        <v>583</v>
      </c>
      <c r="B10" s="62">
        <v>1609391</v>
      </c>
    </row>
    <row r="11" spans="1:11" ht="15" customHeight="1" x14ac:dyDescent="0.25">
      <c r="A11" s="106" t="s">
        <v>584</v>
      </c>
      <c r="B11" s="62">
        <v>3419763</v>
      </c>
    </row>
    <row r="12" spans="1:11" ht="15" customHeight="1" x14ac:dyDescent="0.25">
      <c r="A12" s="106" t="s">
        <v>470</v>
      </c>
      <c r="B12" s="5">
        <f>B16</f>
        <v>9009665</v>
      </c>
    </row>
    <row r="14" spans="1:11" ht="15" customHeight="1" x14ac:dyDescent="0.25">
      <c r="A14" s="129" t="s">
        <v>585</v>
      </c>
      <c r="B14" s="129"/>
      <c r="C14" s="129"/>
      <c r="D14" s="129"/>
      <c r="E14" s="129"/>
      <c r="F14" s="129"/>
      <c r="G14" s="129"/>
      <c r="H14" s="129"/>
      <c r="I14" s="129"/>
      <c r="J14" s="129"/>
      <c r="K14" s="129"/>
    </row>
    <row r="15" spans="1:11" ht="15" customHeight="1" x14ac:dyDescent="0.25">
      <c r="B15" s="130" t="s">
        <v>319</v>
      </c>
      <c r="C15" s="130" t="s">
        <v>1</v>
      </c>
      <c r="D15" s="130" t="s">
        <v>2</v>
      </c>
      <c r="E15" s="130" t="s">
        <v>3</v>
      </c>
      <c r="F15" s="130" t="s">
        <v>4</v>
      </c>
      <c r="G15" s="130" t="s">
        <v>5</v>
      </c>
      <c r="H15" s="130" t="s">
        <v>6</v>
      </c>
      <c r="I15" s="130" t="s">
        <v>7</v>
      </c>
      <c r="J15" s="130" t="s">
        <v>8</v>
      </c>
    </row>
    <row r="16" spans="1:11" ht="15" customHeight="1" x14ac:dyDescent="0.25">
      <c r="A16" s="106" t="s">
        <v>470</v>
      </c>
      <c r="B16" s="5">
        <f t="shared" ref="B16:B24" si="0">C16+D16+E16+F16+G16+H16+I16+J16</f>
        <v>9009665</v>
      </c>
      <c r="C16" s="62">
        <f t="shared" ref="C16:C24" si="1">SUM(C99:K99)</f>
        <v>0</v>
      </c>
      <c r="D16" s="62">
        <f t="shared" ref="D16:D24" si="2">SUM(L99:W99)</f>
        <v>1084381.6599999999</v>
      </c>
      <c r="E16" s="62">
        <f t="shared" ref="E16:E24" si="3">SUM(X99:AI99)</f>
        <v>3698017.3899999997</v>
      </c>
      <c r="F16" s="62">
        <f t="shared" ref="F16:F24" si="4">SUM(AJ99:AU99)</f>
        <v>2427299.0100000002</v>
      </c>
      <c r="G16" s="62">
        <f t="shared" ref="G16:G24" si="5">SUM(AV99:BG99)</f>
        <v>1369332.42</v>
      </c>
      <c r="H16" s="62">
        <f t="shared" ref="H16:H24" si="6">SUM(BH99:BS99)</f>
        <v>430634.52</v>
      </c>
      <c r="I16" s="62">
        <f t="shared" ref="I16:I24" si="7">SUM(BT99:CE99)</f>
        <v>0</v>
      </c>
      <c r="J16" s="62">
        <f t="shared" ref="J16:J24" si="8">SUM(CF99:CH99)</f>
        <v>0</v>
      </c>
    </row>
    <row r="17" spans="1:11" ht="15" customHeight="1" x14ac:dyDescent="0.25">
      <c r="A17" s="106" t="s">
        <v>586</v>
      </c>
      <c r="B17" s="5">
        <f t="shared" si="0"/>
        <v>-1500039</v>
      </c>
      <c r="C17" s="62">
        <f t="shared" si="1"/>
        <v>0</v>
      </c>
      <c r="D17" s="62">
        <f t="shared" si="2"/>
        <v>-202088</v>
      </c>
      <c r="E17" s="62">
        <f t="shared" si="3"/>
        <v>-397927</v>
      </c>
      <c r="F17" s="62">
        <f t="shared" si="4"/>
        <v>-450012</v>
      </c>
      <c r="G17" s="62">
        <f t="shared" si="5"/>
        <v>-450012</v>
      </c>
      <c r="H17" s="62">
        <f t="shared" si="6"/>
        <v>0</v>
      </c>
      <c r="I17" s="62">
        <f t="shared" si="7"/>
        <v>0</v>
      </c>
      <c r="J17" s="62">
        <f t="shared" si="8"/>
        <v>0</v>
      </c>
    </row>
    <row r="18" spans="1:11" ht="15" customHeight="1" x14ac:dyDescent="0.25">
      <c r="A18" s="106" t="s">
        <v>587</v>
      </c>
      <c r="B18" s="5">
        <f t="shared" si="0"/>
        <v>-456000</v>
      </c>
      <c r="C18" s="62">
        <f t="shared" si="1"/>
        <v>0</v>
      </c>
      <c r="D18" s="62">
        <f t="shared" si="2"/>
        <v>-114000</v>
      </c>
      <c r="E18" s="62">
        <f t="shared" si="3"/>
        <v>-114000</v>
      </c>
      <c r="F18" s="62">
        <f t="shared" si="4"/>
        <v>-114000</v>
      </c>
      <c r="G18" s="62">
        <f t="shared" si="5"/>
        <v>-114000</v>
      </c>
      <c r="H18" s="62">
        <f t="shared" si="6"/>
        <v>0</v>
      </c>
      <c r="I18" s="62">
        <f t="shared" si="7"/>
        <v>0</v>
      </c>
      <c r="J18" s="62">
        <f t="shared" si="8"/>
        <v>0</v>
      </c>
    </row>
    <row r="19" spans="1:11" ht="15" customHeight="1" x14ac:dyDescent="0.25">
      <c r="A19" s="131" t="s">
        <v>588</v>
      </c>
      <c r="B19" s="132">
        <f t="shared" si="0"/>
        <v>7053626</v>
      </c>
      <c r="C19" s="132">
        <f t="shared" si="1"/>
        <v>0</v>
      </c>
      <c r="D19" s="132">
        <f t="shared" si="2"/>
        <v>768293.65999999992</v>
      </c>
      <c r="E19" s="132">
        <f t="shared" si="3"/>
        <v>3186090.3899999997</v>
      </c>
      <c r="F19" s="132">
        <f t="shared" si="4"/>
        <v>1863287.0100000002</v>
      </c>
      <c r="G19" s="132">
        <f t="shared" si="5"/>
        <v>805320.42000000016</v>
      </c>
      <c r="H19" s="132">
        <f t="shared" si="6"/>
        <v>430634.52</v>
      </c>
      <c r="I19" s="132">
        <f t="shared" si="7"/>
        <v>0</v>
      </c>
      <c r="J19" s="132">
        <f t="shared" si="8"/>
        <v>0</v>
      </c>
    </row>
    <row r="20" spans="1:11" ht="15" customHeight="1" x14ac:dyDescent="0.25">
      <c r="A20" s="106" t="s">
        <v>589</v>
      </c>
      <c r="B20" s="5">
        <f t="shared" si="0"/>
        <v>563192.61699999997</v>
      </c>
      <c r="C20" s="62">
        <f t="shared" si="1"/>
        <v>0</v>
      </c>
      <c r="D20" s="62">
        <f t="shared" si="2"/>
        <v>93581.82</v>
      </c>
      <c r="E20" s="62">
        <f t="shared" si="3"/>
        <v>150000</v>
      </c>
      <c r="F20" s="62">
        <f t="shared" si="4"/>
        <v>148450.302</v>
      </c>
      <c r="G20" s="62">
        <f t="shared" si="5"/>
        <v>136933.242</v>
      </c>
      <c r="H20" s="62">
        <f t="shared" si="6"/>
        <v>34227.253000000004</v>
      </c>
      <c r="I20" s="62">
        <f t="shared" si="7"/>
        <v>0</v>
      </c>
      <c r="J20" s="62">
        <f t="shared" si="8"/>
        <v>0</v>
      </c>
    </row>
    <row r="21" spans="1:11" ht="15" customHeight="1" x14ac:dyDescent="0.25">
      <c r="A21" s="131" t="s">
        <v>590</v>
      </c>
      <c r="B21" s="132">
        <f t="shared" si="0"/>
        <v>6490433.3829999994</v>
      </c>
      <c r="C21" s="132">
        <f t="shared" si="1"/>
        <v>0</v>
      </c>
      <c r="D21" s="132">
        <f t="shared" si="2"/>
        <v>674711.83999999985</v>
      </c>
      <c r="E21" s="132">
        <f t="shared" si="3"/>
        <v>3036090.3899999997</v>
      </c>
      <c r="F21" s="132">
        <f t="shared" si="4"/>
        <v>1714836.7080000001</v>
      </c>
      <c r="G21" s="132">
        <f t="shared" si="5"/>
        <v>668387.17799999996</v>
      </c>
      <c r="H21" s="132">
        <f t="shared" si="6"/>
        <v>396407.26699999999</v>
      </c>
      <c r="I21" s="132">
        <f t="shared" si="7"/>
        <v>0</v>
      </c>
      <c r="J21" s="132">
        <f t="shared" si="8"/>
        <v>0</v>
      </c>
    </row>
    <row r="22" spans="1:11" ht="15" customHeight="1" x14ac:dyDescent="0.25">
      <c r="A22" s="106" t="s">
        <v>591</v>
      </c>
      <c r="B22" s="5">
        <f t="shared" si="0"/>
        <v>2951665.926</v>
      </c>
      <c r="C22" s="62">
        <f t="shared" si="1"/>
        <v>0</v>
      </c>
      <c r="D22" s="62">
        <f t="shared" si="2"/>
        <v>269884.73600000003</v>
      </c>
      <c r="E22" s="62">
        <f t="shared" si="3"/>
        <v>1335772.7319999998</v>
      </c>
      <c r="F22" s="62">
        <f t="shared" si="4"/>
        <v>813611.23549999995</v>
      </c>
      <c r="G22" s="62">
        <f t="shared" si="5"/>
        <v>334193.58899999998</v>
      </c>
      <c r="H22" s="62">
        <f t="shared" si="6"/>
        <v>198203.6335</v>
      </c>
      <c r="I22" s="62">
        <f t="shared" si="7"/>
        <v>0</v>
      </c>
      <c r="J22" s="62">
        <f t="shared" si="8"/>
        <v>0</v>
      </c>
    </row>
    <row r="23" spans="1:11" ht="15" customHeight="1" x14ac:dyDescent="0.25">
      <c r="A23" s="106" t="s">
        <v>592</v>
      </c>
      <c r="B23" s="5">
        <f t="shared" si="0"/>
        <v>3538767.4570000004</v>
      </c>
      <c r="C23" s="62">
        <f t="shared" si="1"/>
        <v>0</v>
      </c>
      <c r="D23" s="62">
        <f t="shared" si="2"/>
        <v>404827.10399999993</v>
      </c>
      <c r="E23" s="62">
        <f t="shared" si="3"/>
        <v>1700317.6580000001</v>
      </c>
      <c r="F23" s="62">
        <f t="shared" si="4"/>
        <v>901225.47249999992</v>
      </c>
      <c r="G23" s="62">
        <f t="shared" si="5"/>
        <v>334193.58899999998</v>
      </c>
      <c r="H23" s="62">
        <f t="shared" si="6"/>
        <v>198203.6335</v>
      </c>
      <c r="I23" s="62">
        <f t="shared" si="7"/>
        <v>0</v>
      </c>
      <c r="J23" s="62">
        <f t="shared" si="8"/>
        <v>0</v>
      </c>
    </row>
    <row r="24" spans="1:11" ht="15" customHeight="1" x14ac:dyDescent="0.25">
      <c r="A24" s="133" t="s">
        <v>593</v>
      </c>
      <c r="B24" s="134">
        <f t="shared" si="0"/>
        <v>4101960.074</v>
      </c>
      <c r="C24" s="134">
        <f t="shared" si="1"/>
        <v>0</v>
      </c>
      <c r="D24" s="134">
        <f t="shared" si="2"/>
        <v>498408.924</v>
      </c>
      <c r="E24" s="134">
        <f t="shared" si="3"/>
        <v>1850317.6580000001</v>
      </c>
      <c r="F24" s="134">
        <f t="shared" si="4"/>
        <v>1049675.7745000001</v>
      </c>
      <c r="G24" s="134">
        <f t="shared" si="5"/>
        <v>471126.83100000001</v>
      </c>
      <c r="H24" s="134">
        <f t="shared" si="6"/>
        <v>232430.88650000002</v>
      </c>
      <c r="I24" s="134">
        <f t="shared" si="7"/>
        <v>0</v>
      </c>
      <c r="J24" s="134">
        <f t="shared" si="8"/>
        <v>0</v>
      </c>
    </row>
    <row r="26" spans="1:11" ht="15" customHeight="1" x14ac:dyDescent="0.25">
      <c r="A26" s="135" t="s">
        <v>594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</row>
    <row r="27" spans="1:11" ht="15" customHeight="1" x14ac:dyDescent="0.25">
      <c r="A27" s="136" t="s">
        <v>595</v>
      </c>
      <c r="B27" s="136" t="s">
        <v>596</v>
      </c>
      <c r="C27" s="136" t="s">
        <v>597</v>
      </c>
      <c r="D27" s="136" t="s">
        <v>582</v>
      </c>
      <c r="E27" s="136" t="s">
        <v>598</v>
      </c>
    </row>
    <row r="28" spans="1:11" ht="15" customHeight="1" x14ac:dyDescent="0.25">
      <c r="A28" s="106" t="s">
        <v>599</v>
      </c>
      <c r="B28" s="128">
        <v>6</v>
      </c>
      <c r="C28" s="106" t="s">
        <v>600</v>
      </c>
      <c r="D28" s="62">
        <v>1400000</v>
      </c>
      <c r="E28" s="137" t="s">
        <v>601</v>
      </c>
    </row>
    <row r="29" spans="1:11" ht="15" customHeight="1" x14ac:dyDescent="0.25">
      <c r="A29" s="106" t="s">
        <v>602</v>
      </c>
      <c r="B29" s="128">
        <v>18</v>
      </c>
      <c r="C29" s="106" t="s">
        <v>603</v>
      </c>
      <c r="D29" s="62">
        <v>1400000</v>
      </c>
      <c r="E29" s="137" t="s">
        <v>604</v>
      </c>
    </row>
    <row r="30" spans="1:11" ht="15" customHeight="1" x14ac:dyDescent="0.25">
      <c r="A30" s="106" t="s">
        <v>605</v>
      </c>
      <c r="B30" s="128">
        <v>18</v>
      </c>
      <c r="C30" s="106" t="s">
        <v>606</v>
      </c>
      <c r="D30" s="62">
        <v>1400000</v>
      </c>
      <c r="E30" s="137" t="s">
        <v>607</v>
      </c>
    </row>
    <row r="31" spans="1:11" ht="15" customHeight="1" x14ac:dyDescent="0.25">
      <c r="A31" s="106" t="s">
        <v>608</v>
      </c>
      <c r="B31" s="128">
        <v>18</v>
      </c>
      <c r="C31" s="106" t="s">
        <v>609</v>
      </c>
      <c r="D31" s="62">
        <v>1400000</v>
      </c>
      <c r="E31" s="137" t="s">
        <v>610</v>
      </c>
    </row>
    <row r="32" spans="1:11" ht="15" customHeight="1" x14ac:dyDescent="0.25">
      <c r="A32" s="136" t="s">
        <v>319</v>
      </c>
      <c r="B32" s="138">
        <v>60</v>
      </c>
      <c r="C32" s="136" t="s">
        <v>611</v>
      </c>
      <c r="D32" s="139">
        <v>1400000</v>
      </c>
    </row>
    <row r="34" spans="1:11" ht="15" customHeight="1" x14ac:dyDescent="0.25">
      <c r="A34" s="140" t="s">
        <v>612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</row>
    <row r="35" spans="1:11" ht="15" customHeight="1" x14ac:dyDescent="0.25">
      <c r="A35" s="141" t="s">
        <v>613</v>
      </c>
      <c r="B35" s="141" t="s">
        <v>614</v>
      </c>
      <c r="C35" s="141" t="s">
        <v>615</v>
      </c>
      <c r="D35" s="141" t="s">
        <v>616</v>
      </c>
      <c r="E35" s="141" t="s">
        <v>617</v>
      </c>
      <c r="F35" s="141" t="s">
        <v>237</v>
      </c>
    </row>
    <row r="36" spans="1:11" ht="15" customHeight="1" x14ac:dyDescent="0.25">
      <c r="A36" s="106" t="s">
        <v>618</v>
      </c>
      <c r="B36" s="106" t="s">
        <v>619</v>
      </c>
      <c r="C36" s="106" t="s">
        <v>620</v>
      </c>
      <c r="D36" s="62">
        <v>14000</v>
      </c>
      <c r="E36" s="62">
        <v>840000</v>
      </c>
      <c r="F36" s="142" t="s">
        <v>621</v>
      </c>
    </row>
    <row r="37" spans="1:11" ht="15" customHeight="1" x14ac:dyDescent="0.25">
      <c r="A37" s="106" t="s">
        <v>622</v>
      </c>
      <c r="B37" s="106" t="s">
        <v>623</v>
      </c>
      <c r="C37" s="106" t="s">
        <v>624</v>
      </c>
      <c r="D37" s="62">
        <v>96563</v>
      </c>
      <c r="E37" s="62">
        <v>5793808</v>
      </c>
      <c r="F37" s="142" t="s">
        <v>625</v>
      </c>
    </row>
    <row r="38" spans="1:11" ht="15" customHeight="1" x14ac:dyDescent="0.25">
      <c r="A38" s="106" t="s">
        <v>626</v>
      </c>
      <c r="B38" s="106" t="s">
        <v>627</v>
      </c>
      <c r="C38" s="106" t="s">
        <v>628</v>
      </c>
      <c r="D38" s="62">
        <v>5400</v>
      </c>
      <c r="E38" s="62">
        <v>324000</v>
      </c>
      <c r="F38" s="142" t="s">
        <v>629</v>
      </c>
    </row>
    <row r="39" spans="1:11" ht="15" customHeight="1" x14ac:dyDescent="0.25">
      <c r="A39" s="106" t="s">
        <v>630</v>
      </c>
      <c r="B39" s="106" t="s">
        <v>619</v>
      </c>
      <c r="C39" s="106" t="s">
        <v>631</v>
      </c>
      <c r="D39" s="62">
        <v>34198</v>
      </c>
      <c r="E39" s="62">
        <v>2051858</v>
      </c>
      <c r="F39" s="142" t="s">
        <v>632</v>
      </c>
    </row>
    <row r="40" spans="1:11" ht="15" customHeight="1" x14ac:dyDescent="0.25">
      <c r="A40" s="141" t="s">
        <v>470</v>
      </c>
      <c r="D40" s="143">
        <v>150161</v>
      </c>
      <c r="E40" s="143">
        <v>9009665</v>
      </c>
    </row>
    <row r="42" spans="1:11" ht="15" customHeight="1" x14ac:dyDescent="0.25">
      <c r="A42" s="144" t="s">
        <v>633</v>
      </c>
      <c r="B42" s="144"/>
      <c r="C42" s="144"/>
      <c r="D42" s="144"/>
      <c r="E42" s="144"/>
      <c r="F42" s="144"/>
      <c r="G42" s="144"/>
      <c r="H42" s="144"/>
      <c r="I42" s="144"/>
      <c r="J42" s="144"/>
      <c r="K42" s="144"/>
    </row>
    <row r="43" spans="1:11" ht="15" customHeight="1" x14ac:dyDescent="0.25">
      <c r="A43" s="145" t="s">
        <v>476</v>
      </c>
      <c r="B43" s="145" t="s">
        <v>634</v>
      </c>
      <c r="C43" s="145" t="s">
        <v>635</v>
      </c>
      <c r="D43" s="145" t="s">
        <v>636</v>
      </c>
      <c r="E43" s="145" t="s">
        <v>637</v>
      </c>
      <c r="F43" s="145" t="s">
        <v>638</v>
      </c>
      <c r="G43" s="145" t="s">
        <v>639</v>
      </c>
    </row>
    <row r="44" spans="1:11" ht="15" customHeight="1" x14ac:dyDescent="0.25">
      <c r="A44" s="106" t="s">
        <v>640</v>
      </c>
      <c r="B44" s="62">
        <v>125000</v>
      </c>
      <c r="C44" s="62">
        <v>10417</v>
      </c>
      <c r="D44" s="106" t="s">
        <v>375</v>
      </c>
      <c r="E44" s="106" t="s">
        <v>641</v>
      </c>
      <c r="F44" s="106">
        <v>47</v>
      </c>
      <c r="G44" s="62">
        <f>C44*F44</f>
        <v>489599</v>
      </c>
    </row>
    <row r="45" spans="1:11" ht="15" customHeight="1" x14ac:dyDescent="0.25">
      <c r="A45" s="106" t="s">
        <v>504</v>
      </c>
      <c r="B45" s="62">
        <v>90000</v>
      </c>
      <c r="C45" s="62">
        <v>7500</v>
      </c>
      <c r="D45" s="106" t="s">
        <v>378</v>
      </c>
      <c r="E45" s="106" t="s">
        <v>641</v>
      </c>
      <c r="F45" s="106">
        <v>44</v>
      </c>
      <c r="G45" s="62">
        <f>C45*F45</f>
        <v>330000</v>
      </c>
    </row>
    <row r="46" spans="1:11" ht="15" customHeight="1" x14ac:dyDescent="0.25">
      <c r="A46" s="106" t="s">
        <v>642</v>
      </c>
      <c r="B46" s="62">
        <v>110000</v>
      </c>
      <c r="C46" s="62">
        <v>9167</v>
      </c>
      <c r="D46" s="106" t="s">
        <v>383</v>
      </c>
      <c r="E46" s="106" t="s">
        <v>641</v>
      </c>
      <c r="F46" s="106">
        <v>39</v>
      </c>
      <c r="G46" s="62">
        <f>C46*F46</f>
        <v>357513</v>
      </c>
    </row>
    <row r="47" spans="1:11" ht="15" customHeight="1" x14ac:dyDescent="0.25">
      <c r="A47" s="106" t="s">
        <v>643</v>
      </c>
      <c r="B47" s="62">
        <v>125000</v>
      </c>
      <c r="C47" s="62">
        <v>10417</v>
      </c>
      <c r="D47" s="106" t="s">
        <v>391</v>
      </c>
      <c r="E47" s="106" t="s">
        <v>641</v>
      </c>
      <c r="F47" s="106">
        <v>31</v>
      </c>
      <c r="G47" s="62">
        <f>C47*F47</f>
        <v>322927</v>
      </c>
    </row>
    <row r="48" spans="1:11" ht="15" customHeight="1" x14ac:dyDescent="0.25">
      <c r="A48" s="145" t="s">
        <v>644</v>
      </c>
      <c r="G48" s="146">
        <f>SUM(G44:G47)</f>
        <v>1500039</v>
      </c>
    </row>
    <row r="50" spans="1:11" ht="15" customHeight="1" x14ac:dyDescent="0.25">
      <c r="A50" s="147" t="s">
        <v>645</v>
      </c>
      <c r="B50" s="147"/>
      <c r="C50" s="147"/>
      <c r="D50" s="147"/>
      <c r="E50" s="147"/>
      <c r="F50" s="147"/>
      <c r="G50" s="147"/>
      <c r="H50" s="147"/>
      <c r="I50" s="147"/>
      <c r="J50" s="147"/>
      <c r="K50" s="147"/>
    </row>
    <row r="51" spans="1:11" ht="15" customHeight="1" x14ac:dyDescent="0.25">
      <c r="A51" s="148" t="s">
        <v>646</v>
      </c>
      <c r="B51" s="148" t="s">
        <v>647</v>
      </c>
      <c r="C51" s="148" t="s">
        <v>635</v>
      </c>
      <c r="D51" s="148" t="s">
        <v>648</v>
      </c>
      <c r="E51" s="148" t="s">
        <v>319</v>
      </c>
    </row>
    <row r="52" spans="1:11" ht="15" customHeight="1" x14ac:dyDescent="0.25">
      <c r="A52" s="106" t="s">
        <v>649</v>
      </c>
      <c r="B52" s="62">
        <v>40000</v>
      </c>
      <c r="C52" s="62">
        <v>3333</v>
      </c>
      <c r="D52" s="106">
        <v>4</v>
      </c>
      <c r="E52" s="62">
        <v>160000</v>
      </c>
    </row>
    <row r="53" spans="1:11" ht="15" customHeight="1" x14ac:dyDescent="0.25">
      <c r="A53" s="106" t="s">
        <v>116</v>
      </c>
      <c r="B53" s="62">
        <v>20000</v>
      </c>
      <c r="C53" s="62">
        <v>1667</v>
      </c>
      <c r="D53" s="106">
        <v>4</v>
      </c>
      <c r="E53" s="62">
        <v>80000</v>
      </c>
    </row>
    <row r="54" spans="1:11" ht="15" customHeight="1" x14ac:dyDescent="0.25">
      <c r="A54" s="106" t="s">
        <v>650</v>
      </c>
      <c r="B54" s="62">
        <v>30000</v>
      </c>
      <c r="C54" s="62">
        <v>2500</v>
      </c>
      <c r="D54" s="106">
        <v>4</v>
      </c>
      <c r="E54" s="62">
        <v>120000</v>
      </c>
    </row>
    <row r="55" spans="1:11" ht="15" customHeight="1" x14ac:dyDescent="0.25">
      <c r="A55" s="106" t="s">
        <v>651</v>
      </c>
      <c r="B55" s="62">
        <v>24000</v>
      </c>
      <c r="C55" s="62">
        <v>2000</v>
      </c>
      <c r="D55" s="106">
        <v>4</v>
      </c>
      <c r="E55" s="62">
        <v>96000</v>
      </c>
    </row>
    <row r="56" spans="1:11" ht="15" customHeight="1" x14ac:dyDescent="0.25">
      <c r="A56" s="148" t="s">
        <v>652</v>
      </c>
      <c r="E56" s="149">
        <v>456000</v>
      </c>
    </row>
    <row r="57" spans="1:11" ht="15" customHeight="1" x14ac:dyDescent="0.25">
      <c r="A57" s="150" t="s">
        <v>653</v>
      </c>
    </row>
    <row r="59" spans="1:11" ht="15" customHeight="1" x14ac:dyDescent="0.25">
      <c r="A59" s="151" t="s">
        <v>654</v>
      </c>
      <c r="B59" s="151"/>
      <c r="C59" s="151"/>
      <c r="D59" s="151"/>
      <c r="E59" s="151"/>
      <c r="F59" s="151"/>
      <c r="G59" s="151"/>
      <c r="H59" s="151"/>
      <c r="I59" s="151"/>
      <c r="J59" s="151"/>
      <c r="K59" s="151"/>
    </row>
    <row r="60" spans="1:11" ht="15" customHeight="1" x14ac:dyDescent="0.25">
      <c r="A60" s="106" t="s">
        <v>655</v>
      </c>
      <c r="B60" s="62">
        <f>B16</f>
        <v>9009665</v>
      </c>
    </row>
    <row r="61" spans="1:11" ht="15" customHeight="1" x14ac:dyDescent="0.25">
      <c r="A61" s="106" t="s">
        <v>586</v>
      </c>
      <c r="B61" s="62">
        <f>B17</f>
        <v>-1500039</v>
      </c>
    </row>
    <row r="62" spans="1:11" ht="15" customHeight="1" x14ac:dyDescent="0.25">
      <c r="A62" s="106" t="s">
        <v>587</v>
      </c>
      <c r="B62" s="62">
        <f>B18</f>
        <v>-456000</v>
      </c>
    </row>
    <row r="63" spans="1:11" ht="15" customHeight="1" x14ac:dyDescent="0.25">
      <c r="A63" s="136" t="s">
        <v>588</v>
      </c>
      <c r="B63" s="139">
        <f>B60+B61+B62</f>
        <v>7053626</v>
      </c>
    </row>
    <row r="64" spans="1:11" ht="15" customHeight="1" x14ac:dyDescent="0.25">
      <c r="A64" s="106" t="s">
        <v>656</v>
      </c>
      <c r="B64" s="62">
        <f>-B20</f>
        <v>-563192.61699999997</v>
      </c>
    </row>
    <row r="65" spans="1:11" ht="15" customHeight="1" x14ac:dyDescent="0.25">
      <c r="A65" s="136" t="s">
        <v>590</v>
      </c>
      <c r="B65" s="139">
        <f>B63+B64</f>
        <v>6490433.3830000004</v>
      </c>
    </row>
    <row r="66" spans="1:11" ht="15" customHeight="1" x14ac:dyDescent="0.25">
      <c r="A66" s="106" t="s">
        <v>657</v>
      </c>
      <c r="B66" s="62">
        <f>-B22</f>
        <v>-2951665.926</v>
      </c>
    </row>
    <row r="67" spans="1:11" ht="15" customHeight="1" x14ac:dyDescent="0.25">
      <c r="A67" s="136" t="s">
        <v>592</v>
      </c>
      <c r="B67" s="139">
        <f>B65+B66</f>
        <v>3538767.4570000004</v>
      </c>
    </row>
    <row r="68" spans="1:11" ht="15" customHeight="1" x14ac:dyDescent="0.25">
      <c r="A68" s="106" t="s">
        <v>589</v>
      </c>
      <c r="B68" s="62">
        <f>B20</f>
        <v>563192.61699999997</v>
      </c>
    </row>
    <row r="69" spans="1:11" ht="15" customHeight="1" x14ac:dyDescent="0.25">
      <c r="A69" s="136" t="s">
        <v>593</v>
      </c>
      <c r="B69" s="139">
        <f>B67+B68</f>
        <v>4101960.0740000005</v>
      </c>
    </row>
    <row r="71" spans="1:11" ht="15" customHeight="1" x14ac:dyDescent="0.25">
      <c r="A71" s="140" t="s">
        <v>658</v>
      </c>
      <c r="B71" s="140"/>
      <c r="C71" s="140"/>
      <c r="D71" s="140"/>
      <c r="E71" s="140"/>
      <c r="F71" s="140"/>
      <c r="G71" s="140"/>
      <c r="H71" s="140"/>
      <c r="I71" s="140"/>
      <c r="J71" s="140"/>
      <c r="K71" s="140"/>
    </row>
    <row r="72" spans="1:11" ht="15" customHeight="1" x14ac:dyDescent="0.25">
      <c r="A72" s="141" t="s">
        <v>475</v>
      </c>
      <c r="B72" s="141" t="s">
        <v>476</v>
      </c>
      <c r="C72" s="141" t="s">
        <v>659</v>
      </c>
    </row>
    <row r="73" spans="1:11" ht="31.5" customHeight="1" x14ac:dyDescent="0.25">
      <c r="A73" s="4" t="s">
        <v>535</v>
      </c>
      <c r="B73" s="106" t="s">
        <v>660</v>
      </c>
      <c r="C73" s="220" t="s">
        <v>661</v>
      </c>
      <c r="D73" s="218"/>
      <c r="E73" s="218"/>
      <c r="F73" s="218"/>
      <c r="G73" s="218"/>
    </row>
    <row r="74" spans="1:11" ht="31.5" customHeight="1" x14ac:dyDescent="0.25">
      <c r="A74" s="4" t="s">
        <v>528</v>
      </c>
      <c r="B74" s="106" t="s">
        <v>662</v>
      </c>
      <c r="C74" s="220" t="s">
        <v>663</v>
      </c>
      <c r="D74" s="218"/>
      <c r="E74" s="218"/>
      <c r="F74" s="218"/>
      <c r="G74" s="218"/>
    </row>
    <row r="75" spans="1:11" ht="31.5" customHeight="1" x14ac:dyDescent="0.25">
      <c r="A75" s="4" t="s">
        <v>537</v>
      </c>
      <c r="B75" s="106" t="s">
        <v>664</v>
      </c>
      <c r="C75" s="220" t="s">
        <v>665</v>
      </c>
      <c r="D75" s="218"/>
      <c r="E75" s="218"/>
      <c r="F75" s="218"/>
      <c r="G75" s="218"/>
    </row>
    <row r="76" spans="1:11" ht="31.5" customHeight="1" x14ac:dyDescent="0.25">
      <c r="A76" s="4" t="s">
        <v>541</v>
      </c>
      <c r="B76" s="106" t="s">
        <v>666</v>
      </c>
      <c r="C76" s="220" t="s">
        <v>667</v>
      </c>
      <c r="D76" s="218"/>
      <c r="E76" s="218"/>
      <c r="F76" s="218"/>
      <c r="G76" s="218"/>
    </row>
    <row r="77" spans="1:11" ht="31.5" customHeight="1" x14ac:dyDescent="0.25">
      <c r="A77" s="4" t="s">
        <v>539</v>
      </c>
      <c r="B77" s="106" t="s">
        <v>666</v>
      </c>
      <c r="C77" s="220" t="s">
        <v>668</v>
      </c>
      <c r="D77" s="218"/>
      <c r="E77" s="218"/>
      <c r="F77" s="218"/>
      <c r="G77" s="218"/>
    </row>
    <row r="78" spans="1:11" ht="31.5" customHeight="1" x14ac:dyDescent="0.25">
      <c r="A78" s="4" t="s">
        <v>533</v>
      </c>
      <c r="B78" s="106" t="s">
        <v>669</v>
      </c>
      <c r="C78" s="220" t="s">
        <v>670</v>
      </c>
      <c r="D78" s="218"/>
      <c r="E78" s="218"/>
      <c r="F78" s="218"/>
      <c r="G78" s="218"/>
    </row>
    <row r="80" spans="1:11" ht="15" customHeight="1" x14ac:dyDescent="0.25">
      <c r="A80" s="152" t="s">
        <v>671</v>
      </c>
      <c r="B80" s="152"/>
      <c r="C80" s="152"/>
      <c r="D80" s="152"/>
      <c r="E80" s="152"/>
      <c r="F80" s="152"/>
      <c r="G80" s="152"/>
      <c r="H80" s="152"/>
      <c r="I80" s="152"/>
      <c r="J80" s="152"/>
      <c r="K80" s="152"/>
    </row>
    <row r="81" spans="1:11" ht="27.75" customHeight="1" x14ac:dyDescent="0.25">
      <c r="A81" s="4" t="s">
        <v>672</v>
      </c>
      <c r="B81" s="220" t="s">
        <v>673</v>
      </c>
      <c r="C81" s="218"/>
      <c r="D81" s="218"/>
      <c r="E81" s="218"/>
      <c r="F81" s="218"/>
      <c r="G81" s="218"/>
    </row>
    <row r="82" spans="1:11" ht="27.75" customHeight="1" x14ac:dyDescent="0.25">
      <c r="A82" s="4" t="s">
        <v>674</v>
      </c>
      <c r="B82" s="220" t="s">
        <v>675</v>
      </c>
      <c r="C82" s="218"/>
      <c r="D82" s="218"/>
      <c r="E82" s="218"/>
      <c r="F82" s="218"/>
      <c r="G82" s="218"/>
    </row>
    <row r="83" spans="1:11" ht="27.75" customHeight="1" x14ac:dyDescent="0.25">
      <c r="A83" s="4" t="s">
        <v>676</v>
      </c>
      <c r="B83" s="220" t="s">
        <v>677</v>
      </c>
      <c r="C83" s="218"/>
      <c r="D83" s="218"/>
      <c r="E83" s="218"/>
      <c r="F83" s="218"/>
      <c r="G83" s="218"/>
    </row>
    <row r="84" spans="1:11" ht="27.75" customHeight="1" x14ac:dyDescent="0.25">
      <c r="A84" s="4" t="s">
        <v>678</v>
      </c>
      <c r="B84" s="220" t="s">
        <v>679</v>
      </c>
      <c r="C84" s="218"/>
      <c r="D84" s="218"/>
      <c r="E84" s="218"/>
      <c r="F84" s="218"/>
      <c r="G84" s="218"/>
    </row>
    <row r="85" spans="1:11" ht="27.75" customHeight="1" x14ac:dyDescent="0.25">
      <c r="A85" s="4" t="s">
        <v>680</v>
      </c>
      <c r="B85" s="220" t="s">
        <v>681</v>
      </c>
      <c r="C85" s="218"/>
      <c r="D85" s="218"/>
      <c r="E85" s="218"/>
      <c r="F85" s="218"/>
      <c r="G85" s="218"/>
    </row>
    <row r="86" spans="1:11" ht="27.75" customHeight="1" x14ac:dyDescent="0.25">
      <c r="A86" s="4" t="s">
        <v>682</v>
      </c>
      <c r="B86" s="220" t="s">
        <v>683</v>
      </c>
      <c r="C86" s="218"/>
      <c r="D86" s="218"/>
      <c r="E86" s="218"/>
      <c r="F86" s="218"/>
      <c r="G86" s="218"/>
    </row>
    <row r="87" spans="1:11" ht="27.75" customHeight="1" x14ac:dyDescent="0.25">
      <c r="A87" s="4" t="s">
        <v>684</v>
      </c>
      <c r="B87" s="220" t="s">
        <v>685</v>
      </c>
      <c r="C87" s="218"/>
      <c r="D87" s="218"/>
      <c r="E87" s="218"/>
      <c r="F87" s="218"/>
      <c r="G87" s="218"/>
    </row>
    <row r="88" spans="1:11" ht="27.75" customHeight="1" x14ac:dyDescent="0.25">
      <c r="A88" s="4" t="s">
        <v>686</v>
      </c>
      <c r="B88" s="220" t="s">
        <v>687</v>
      </c>
      <c r="C88" s="218"/>
      <c r="D88" s="218"/>
      <c r="E88" s="218"/>
      <c r="F88" s="218"/>
      <c r="G88" s="218"/>
    </row>
    <row r="89" spans="1:11" ht="27.75" customHeight="1" x14ac:dyDescent="0.25">
      <c r="A89" s="4" t="s">
        <v>688</v>
      </c>
      <c r="B89" s="220" t="s">
        <v>689</v>
      </c>
      <c r="C89" s="218"/>
      <c r="D89" s="218"/>
      <c r="E89" s="218"/>
      <c r="F89" s="218"/>
      <c r="G89" s="218"/>
    </row>
    <row r="90" spans="1:11" ht="27.75" customHeight="1" x14ac:dyDescent="0.25">
      <c r="A90" s="4" t="s">
        <v>690</v>
      </c>
      <c r="B90" s="220" t="s">
        <v>691</v>
      </c>
      <c r="C90" s="218"/>
      <c r="D90" s="218"/>
      <c r="E90" s="218"/>
      <c r="F90" s="218"/>
      <c r="G90" s="218"/>
    </row>
    <row r="91" spans="1:11" x14ac:dyDescent="0.25">
      <c r="A91" t="s">
        <v>692</v>
      </c>
      <c r="B91" t="s">
        <v>693</v>
      </c>
    </row>
    <row r="93" spans="1:11" ht="15" customHeight="1" x14ac:dyDescent="0.25">
      <c r="A93" s="135" t="s">
        <v>694</v>
      </c>
      <c r="B93" s="135"/>
      <c r="C93" s="135"/>
      <c r="D93" s="135"/>
      <c r="E93" s="135"/>
      <c r="F93" s="135"/>
      <c r="G93" s="135"/>
      <c r="H93" s="135"/>
      <c r="I93" s="135"/>
      <c r="J93" s="135"/>
      <c r="K93" s="135"/>
    </row>
    <row r="94" spans="1:11" ht="15" customHeight="1" x14ac:dyDescent="0.25">
      <c r="A94" s="106" t="s">
        <v>695</v>
      </c>
      <c r="B94" s="153">
        <v>0.1</v>
      </c>
    </row>
    <row r="95" spans="1:11" ht="15" customHeight="1" x14ac:dyDescent="0.25">
      <c r="A95" s="106" t="s">
        <v>696</v>
      </c>
      <c r="B95" s="153">
        <v>150000</v>
      </c>
    </row>
    <row r="96" spans="1:11" x14ac:dyDescent="0.25">
      <c r="A96" t="s">
        <v>697</v>
      </c>
      <c r="B96" t="s">
        <v>698</v>
      </c>
    </row>
    <row r="97" spans="1:86" ht="15" customHeight="1" x14ac:dyDescent="0.25">
      <c r="A97" s="154" t="s">
        <v>699</v>
      </c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  <c r="AK97" s="155"/>
      <c r="AL97" s="155"/>
      <c r="AM97" s="155"/>
      <c r="AN97" s="155"/>
      <c r="AO97" s="155"/>
      <c r="AP97" s="155"/>
      <c r="AQ97" s="155"/>
      <c r="AR97" s="155"/>
      <c r="AS97" s="155"/>
      <c r="AT97" s="155"/>
      <c r="AU97" s="155"/>
      <c r="AV97" s="155"/>
      <c r="AW97" s="155"/>
      <c r="AX97" s="155"/>
      <c r="AY97" s="155"/>
      <c r="AZ97" s="155"/>
      <c r="BA97" s="155"/>
      <c r="BB97" s="155"/>
      <c r="BC97" s="155"/>
      <c r="BD97" s="155"/>
      <c r="BE97" s="155"/>
      <c r="BF97" s="155"/>
      <c r="BG97" s="155"/>
      <c r="BH97" s="155"/>
      <c r="BI97" s="155"/>
      <c r="BJ97" s="155"/>
      <c r="BK97" s="155"/>
      <c r="BL97" s="155"/>
      <c r="BM97" s="155"/>
      <c r="BN97" s="155"/>
      <c r="BO97" s="155"/>
      <c r="BP97" s="155"/>
      <c r="BQ97" s="155"/>
      <c r="BR97" s="155"/>
      <c r="BS97" s="155"/>
      <c r="BT97" s="155"/>
      <c r="BU97" s="155"/>
      <c r="BV97" s="155"/>
      <c r="BW97" s="155"/>
      <c r="BX97" s="155"/>
      <c r="BY97" s="155"/>
      <c r="BZ97" s="155"/>
      <c r="CA97" s="155"/>
      <c r="CB97" s="155"/>
      <c r="CC97" s="155"/>
      <c r="CD97" s="155"/>
      <c r="CE97" s="155"/>
      <c r="CF97" s="155"/>
      <c r="CG97" s="155"/>
      <c r="CH97" s="155"/>
    </row>
    <row r="98" spans="1:86" ht="15" customHeight="1" x14ac:dyDescent="0.25">
      <c r="A98" s="155"/>
      <c r="C98" s="156">
        <v>1</v>
      </c>
      <c r="D98" s="156">
        <v>2</v>
      </c>
      <c r="E98" s="156">
        <v>3</v>
      </c>
      <c r="F98" s="156">
        <v>4</v>
      </c>
      <c r="G98" s="156">
        <v>5</v>
      </c>
      <c r="H98" s="156">
        <v>6</v>
      </c>
      <c r="I98" s="156">
        <v>7</v>
      </c>
      <c r="J98" s="156">
        <v>8</v>
      </c>
      <c r="K98" s="156">
        <v>9</v>
      </c>
      <c r="L98" s="156">
        <v>10</v>
      </c>
      <c r="M98" s="156">
        <v>11</v>
      </c>
      <c r="N98" s="156">
        <v>12</v>
      </c>
      <c r="O98" s="156">
        <v>13</v>
      </c>
      <c r="P98" s="156">
        <v>14</v>
      </c>
      <c r="Q98" s="156">
        <v>15</v>
      </c>
      <c r="R98" s="156">
        <v>16</v>
      </c>
      <c r="S98" s="156">
        <v>17</v>
      </c>
      <c r="T98" s="156">
        <v>18</v>
      </c>
      <c r="U98" s="156">
        <v>19</v>
      </c>
      <c r="V98" s="156">
        <v>20</v>
      </c>
      <c r="W98" s="156">
        <v>21</v>
      </c>
      <c r="X98" s="156">
        <v>22</v>
      </c>
      <c r="Y98" s="156">
        <v>23</v>
      </c>
      <c r="Z98" s="156">
        <v>24</v>
      </c>
      <c r="AA98" s="156">
        <v>25</v>
      </c>
      <c r="AB98" s="156">
        <v>26</v>
      </c>
      <c r="AC98" s="156">
        <v>27</v>
      </c>
      <c r="AD98" s="156">
        <v>28</v>
      </c>
      <c r="AE98" s="156">
        <v>29</v>
      </c>
      <c r="AF98" s="156">
        <v>30</v>
      </c>
      <c r="AG98" s="156">
        <v>31</v>
      </c>
      <c r="AH98" s="156">
        <v>32</v>
      </c>
      <c r="AI98" s="156">
        <v>33</v>
      </c>
      <c r="AJ98" s="156">
        <v>34</v>
      </c>
      <c r="AK98" s="156">
        <v>35</v>
      </c>
      <c r="AL98" s="156">
        <v>36</v>
      </c>
      <c r="AM98" s="156">
        <v>37</v>
      </c>
      <c r="AN98" s="156">
        <v>38</v>
      </c>
      <c r="AO98" s="156">
        <v>39</v>
      </c>
      <c r="AP98" s="156">
        <v>40</v>
      </c>
      <c r="AQ98" s="156">
        <v>41</v>
      </c>
      <c r="AR98" s="156">
        <v>42</v>
      </c>
      <c r="AS98" s="156">
        <v>43</v>
      </c>
      <c r="AT98" s="156">
        <v>44</v>
      </c>
      <c r="AU98" s="156">
        <v>45</v>
      </c>
      <c r="AV98" s="156">
        <v>46</v>
      </c>
      <c r="AW98" s="156">
        <v>47</v>
      </c>
      <c r="AX98" s="156">
        <v>48</v>
      </c>
      <c r="AY98" s="156">
        <v>49</v>
      </c>
      <c r="AZ98" s="156">
        <v>50</v>
      </c>
      <c r="BA98" s="156">
        <v>51</v>
      </c>
      <c r="BB98" s="156">
        <v>52</v>
      </c>
      <c r="BC98" s="156">
        <v>53</v>
      </c>
      <c r="BD98" s="156">
        <v>54</v>
      </c>
      <c r="BE98" s="156">
        <v>55</v>
      </c>
      <c r="BF98" s="156">
        <v>56</v>
      </c>
      <c r="BG98" s="156">
        <v>57</v>
      </c>
      <c r="BH98" s="156">
        <v>58</v>
      </c>
      <c r="BI98" s="156">
        <v>59</v>
      </c>
      <c r="BJ98" s="156">
        <v>60</v>
      </c>
      <c r="BK98" s="156">
        <v>61</v>
      </c>
      <c r="BL98" s="156">
        <v>62</v>
      </c>
      <c r="BM98" s="156">
        <v>63</v>
      </c>
      <c r="BN98" s="156">
        <v>64</v>
      </c>
      <c r="BO98" s="156">
        <v>65</v>
      </c>
      <c r="BP98" s="156">
        <v>66</v>
      </c>
      <c r="BQ98" s="156">
        <v>67</v>
      </c>
      <c r="BR98" s="156">
        <v>68</v>
      </c>
      <c r="BS98" s="156">
        <v>69</v>
      </c>
      <c r="BT98" s="156">
        <v>70</v>
      </c>
      <c r="BU98" s="156">
        <v>71</v>
      </c>
      <c r="BV98" s="156">
        <v>72</v>
      </c>
      <c r="BW98" s="156">
        <v>73</v>
      </c>
      <c r="BX98" s="156">
        <v>74</v>
      </c>
      <c r="BY98" s="156">
        <v>75</v>
      </c>
      <c r="BZ98" s="156">
        <v>76</v>
      </c>
      <c r="CA98" s="156">
        <v>77</v>
      </c>
      <c r="CB98" s="156">
        <v>78</v>
      </c>
      <c r="CC98" s="156">
        <v>79</v>
      </c>
      <c r="CD98" s="156">
        <v>80</v>
      </c>
      <c r="CE98" s="156">
        <v>81</v>
      </c>
      <c r="CF98" s="156">
        <v>82</v>
      </c>
      <c r="CG98" s="156">
        <v>83</v>
      </c>
      <c r="CH98" s="156">
        <v>84</v>
      </c>
    </row>
    <row r="99" spans="1:86" ht="15" customHeight="1" x14ac:dyDescent="0.25">
      <c r="A99" s="156" t="s">
        <v>470</v>
      </c>
      <c r="B99" s="157">
        <f t="shared" ref="B99:B105" si="9">SUM(C99:CH99)</f>
        <v>9009664.9999999981</v>
      </c>
      <c r="C99" s="155"/>
      <c r="D99" s="155"/>
      <c r="E99" s="155"/>
      <c r="F99" s="155"/>
      <c r="G99" s="155"/>
      <c r="H99" s="155"/>
      <c r="I99" s="155"/>
      <c r="J99" s="155"/>
      <c r="K99" s="155"/>
      <c r="L99" s="158">
        <v>45050.36</v>
      </c>
      <c r="M99" s="158">
        <v>45050.36</v>
      </c>
      <c r="N99" s="158">
        <v>45050.36</v>
      </c>
      <c r="O99" s="158">
        <v>45050.36</v>
      </c>
      <c r="P99" s="158">
        <v>45050.36</v>
      </c>
      <c r="Q99" s="158">
        <v>45050.36</v>
      </c>
      <c r="R99" s="158">
        <v>70944.52</v>
      </c>
      <c r="S99" s="158">
        <v>96838.68</v>
      </c>
      <c r="T99" s="158">
        <v>122732.84</v>
      </c>
      <c r="U99" s="158">
        <v>148626.99</v>
      </c>
      <c r="V99" s="158">
        <v>174521.16</v>
      </c>
      <c r="W99" s="158">
        <v>200415.31</v>
      </c>
      <c r="X99" s="158">
        <v>226309.46</v>
      </c>
      <c r="Y99" s="158">
        <v>252203.62</v>
      </c>
      <c r="Z99" s="158">
        <v>278097.78999999998</v>
      </c>
      <c r="AA99" s="158">
        <v>303991.94</v>
      </c>
      <c r="AB99" s="158">
        <v>329886.11</v>
      </c>
      <c r="AC99" s="158">
        <v>400830.61</v>
      </c>
      <c r="AD99" s="158">
        <v>311512.01</v>
      </c>
      <c r="AE99" s="158">
        <v>312294.13</v>
      </c>
      <c r="AF99" s="158">
        <v>313076.23</v>
      </c>
      <c r="AG99" s="158">
        <v>313858.34000000003</v>
      </c>
      <c r="AH99" s="158">
        <v>314640.44</v>
      </c>
      <c r="AI99" s="158">
        <v>341316.71</v>
      </c>
      <c r="AJ99" s="158">
        <v>316204.67</v>
      </c>
      <c r="AK99" s="158">
        <v>291092.62</v>
      </c>
      <c r="AL99" s="158">
        <v>265980.57</v>
      </c>
      <c r="AM99" s="158">
        <v>240868.51</v>
      </c>
      <c r="AN99" s="158">
        <v>215756.47</v>
      </c>
      <c r="AO99" s="158">
        <v>190644.42</v>
      </c>
      <c r="AP99" s="158">
        <v>165532.35999999999</v>
      </c>
      <c r="AQ99" s="158">
        <v>140420.32</v>
      </c>
      <c r="AR99" s="158">
        <v>115308.27</v>
      </c>
      <c r="AS99" s="158">
        <v>196095.1</v>
      </c>
      <c r="AT99" s="158">
        <v>170200.95</v>
      </c>
      <c r="AU99" s="158">
        <v>119194.75</v>
      </c>
      <c r="AV99" s="158">
        <v>118412.64</v>
      </c>
      <c r="AW99" s="158">
        <v>117630.52</v>
      </c>
      <c r="AX99" s="158">
        <v>116848.42</v>
      </c>
      <c r="AY99" s="158">
        <v>116066.31</v>
      </c>
      <c r="AZ99" s="158">
        <v>115284.2</v>
      </c>
      <c r="BA99" s="158">
        <v>114502.09</v>
      </c>
      <c r="BB99" s="158">
        <v>113719.98</v>
      </c>
      <c r="BC99" s="158">
        <v>112937.87</v>
      </c>
      <c r="BD99" s="158">
        <v>112155.76</v>
      </c>
      <c r="BE99" s="158">
        <v>111373.65</v>
      </c>
      <c r="BF99" s="158">
        <v>110591.54</v>
      </c>
      <c r="BG99" s="158">
        <v>109809.44</v>
      </c>
      <c r="BH99" s="158">
        <v>109027.32</v>
      </c>
      <c r="BI99" s="158">
        <v>108245.21</v>
      </c>
      <c r="BJ99" s="158">
        <v>213361.99</v>
      </c>
      <c r="BK99" s="155"/>
      <c r="BL99" s="155"/>
      <c r="BM99" s="155"/>
      <c r="BN99" s="155"/>
      <c r="BO99" s="155"/>
      <c r="BP99" s="155"/>
      <c r="BQ99" s="155"/>
      <c r="BR99" s="155"/>
      <c r="BS99" s="155"/>
      <c r="BT99" s="155"/>
      <c r="BU99" s="155"/>
      <c r="BV99" s="155"/>
      <c r="BW99" s="155"/>
      <c r="BX99" s="155"/>
      <c r="BY99" s="155"/>
      <c r="BZ99" s="155"/>
      <c r="CA99" s="155"/>
      <c r="CB99" s="155"/>
      <c r="CC99" s="155"/>
      <c r="CD99" s="155"/>
      <c r="CE99" s="155"/>
      <c r="CF99" s="155"/>
      <c r="CG99" s="155"/>
      <c r="CH99" s="155"/>
    </row>
    <row r="100" spans="1:86" ht="15" customHeight="1" x14ac:dyDescent="0.25">
      <c r="A100" s="156" t="s">
        <v>586</v>
      </c>
      <c r="B100" s="157">
        <f t="shared" si="9"/>
        <v>-1500039</v>
      </c>
      <c r="C100" s="155">
        <v>0</v>
      </c>
      <c r="D100" s="155">
        <v>0</v>
      </c>
      <c r="E100" s="155">
        <v>0</v>
      </c>
      <c r="F100" s="155">
        <v>0</v>
      </c>
      <c r="G100" s="155">
        <v>0</v>
      </c>
      <c r="H100" s="155">
        <v>0</v>
      </c>
      <c r="I100" s="155">
        <v>0</v>
      </c>
      <c r="J100" s="155">
        <v>0</v>
      </c>
      <c r="K100" s="155">
        <v>0</v>
      </c>
      <c r="L100" s="158">
        <v>0</v>
      </c>
      <c r="M100" s="158">
        <v>-10417</v>
      </c>
      <c r="N100" s="158">
        <v>-10417</v>
      </c>
      <c r="O100" s="158">
        <v>-10417</v>
      </c>
      <c r="P100" s="158">
        <v>-17917</v>
      </c>
      <c r="Q100" s="158">
        <v>-17917</v>
      </c>
      <c r="R100" s="158">
        <v>-17917</v>
      </c>
      <c r="S100" s="158">
        <v>-17917</v>
      </c>
      <c r="T100" s="158">
        <v>-17917</v>
      </c>
      <c r="U100" s="158">
        <v>-27084</v>
      </c>
      <c r="V100" s="158">
        <v>-27084</v>
      </c>
      <c r="W100" s="158">
        <v>-27084</v>
      </c>
      <c r="X100" s="158">
        <v>-27084</v>
      </c>
      <c r="Y100" s="158">
        <v>-27084</v>
      </c>
      <c r="Z100" s="158">
        <v>-27084</v>
      </c>
      <c r="AA100" s="158">
        <v>-27084</v>
      </c>
      <c r="AB100" s="158">
        <v>-27084</v>
      </c>
      <c r="AC100" s="158">
        <v>-37501</v>
      </c>
      <c r="AD100" s="158">
        <v>-37501</v>
      </c>
      <c r="AE100" s="158">
        <v>-37501</v>
      </c>
      <c r="AF100" s="158">
        <v>-37501</v>
      </c>
      <c r="AG100" s="158">
        <v>-37501</v>
      </c>
      <c r="AH100" s="158">
        <v>-37501</v>
      </c>
      <c r="AI100" s="158">
        <v>-37501</v>
      </c>
      <c r="AJ100" s="158">
        <v>-37501</v>
      </c>
      <c r="AK100" s="158">
        <v>-37501</v>
      </c>
      <c r="AL100" s="158">
        <v>-37501</v>
      </c>
      <c r="AM100" s="158">
        <v>-37501</v>
      </c>
      <c r="AN100" s="158">
        <v>-37501</v>
      </c>
      <c r="AO100" s="158">
        <v>-37501</v>
      </c>
      <c r="AP100" s="158">
        <v>-37501</v>
      </c>
      <c r="AQ100" s="158">
        <v>-37501</v>
      </c>
      <c r="AR100" s="158">
        <v>-37501</v>
      </c>
      <c r="AS100" s="158">
        <v>-37501</v>
      </c>
      <c r="AT100" s="158">
        <v>-37501</v>
      </c>
      <c r="AU100" s="158">
        <v>-37501</v>
      </c>
      <c r="AV100" s="158">
        <v>-37501</v>
      </c>
      <c r="AW100" s="158">
        <v>-37501</v>
      </c>
      <c r="AX100" s="158">
        <v>-37501</v>
      </c>
      <c r="AY100" s="158">
        <v>-37501</v>
      </c>
      <c r="AZ100" s="158">
        <v>-37501</v>
      </c>
      <c r="BA100" s="158">
        <v>-37501</v>
      </c>
      <c r="BB100" s="158">
        <v>-37501</v>
      </c>
      <c r="BC100" s="158">
        <v>-37501</v>
      </c>
      <c r="BD100" s="158">
        <v>-37501</v>
      </c>
      <c r="BE100" s="158">
        <v>-37501</v>
      </c>
      <c r="BF100" s="158">
        <v>-37501</v>
      </c>
      <c r="BG100" s="158">
        <v>-37501</v>
      </c>
      <c r="BH100" s="155">
        <v>0</v>
      </c>
      <c r="BI100" s="155">
        <v>0</v>
      </c>
      <c r="BJ100" s="155">
        <v>0</v>
      </c>
      <c r="BK100" s="155">
        <v>0</v>
      </c>
      <c r="BL100" s="155">
        <v>0</v>
      </c>
      <c r="BM100" s="155">
        <v>0</v>
      </c>
      <c r="BN100" s="155">
        <v>0</v>
      </c>
      <c r="BO100" s="155">
        <v>0</v>
      </c>
      <c r="BP100" s="155">
        <v>0</v>
      </c>
      <c r="BQ100" s="155">
        <v>0</v>
      </c>
      <c r="BR100" s="155">
        <v>0</v>
      </c>
      <c r="BS100" s="155">
        <v>0</v>
      </c>
      <c r="BT100" s="155">
        <v>0</v>
      </c>
      <c r="BU100" s="155">
        <v>0</v>
      </c>
      <c r="BV100" s="155">
        <v>0</v>
      </c>
      <c r="BW100" s="155">
        <v>0</v>
      </c>
      <c r="BX100" s="155">
        <v>0</v>
      </c>
      <c r="BY100" s="155">
        <v>0</v>
      </c>
      <c r="BZ100" s="155">
        <v>0</v>
      </c>
      <c r="CA100" s="155">
        <v>0</v>
      </c>
      <c r="CB100" s="155">
        <v>0</v>
      </c>
      <c r="CC100" s="155">
        <v>0</v>
      </c>
      <c r="CD100" s="155">
        <v>0</v>
      </c>
      <c r="CE100" s="155">
        <v>0</v>
      </c>
      <c r="CF100" s="155">
        <v>0</v>
      </c>
      <c r="CG100" s="155">
        <v>0</v>
      </c>
      <c r="CH100" s="155"/>
    </row>
    <row r="101" spans="1:86" ht="15" customHeight="1" x14ac:dyDescent="0.25">
      <c r="A101" s="156" t="s">
        <v>587</v>
      </c>
      <c r="B101" s="157">
        <f t="shared" si="9"/>
        <v>-456000</v>
      </c>
      <c r="C101" s="155"/>
      <c r="D101" s="155"/>
      <c r="E101" s="155"/>
      <c r="F101" s="155"/>
      <c r="G101" s="155"/>
      <c r="H101" s="155"/>
      <c r="I101" s="155"/>
      <c r="J101" s="155"/>
      <c r="K101" s="155"/>
      <c r="L101" s="158">
        <v>-9500</v>
      </c>
      <c r="M101" s="158">
        <v>-9500</v>
      </c>
      <c r="N101" s="158">
        <v>-9500</v>
      </c>
      <c r="O101" s="158">
        <v>-9500</v>
      </c>
      <c r="P101" s="158">
        <v>-9500</v>
      </c>
      <c r="Q101" s="158">
        <v>-9500</v>
      </c>
      <c r="R101" s="158">
        <v>-9500</v>
      </c>
      <c r="S101" s="158">
        <v>-9500</v>
      </c>
      <c r="T101" s="158">
        <v>-9500</v>
      </c>
      <c r="U101" s="158">
        <v>-9500</v>
      </c>
      <c r="V101" s="158">
        <v>-9500</v>
      </c>
      <c r="W101" s="158">
        <v>-9500</v>
      </c>
      <c r="X101" s="158">
        <v>-9500</v>
      </c>
      <c r="Y101" s="158">
        <v>-9500</v>
      </c>
      <c r="Z101" s="158">
        <v>-9500</v>
      </c>
      <c r="AA101" s="158">
        <v>-9500</v>
      </c>
      <c r="AB101" s="158">
        <v>-9500</v>
      </c>
      <c r="AC101" s="158">
        <v>-9500</v>
      </c>
      <c r="AD101" s="158">
        <v>-9500</v>
      </c>
      <c r="AE101" s="158">
        <v>-9500</v>
      </c>
      <c r="AF101" s="158">
        <v>-9500</v>
      </c>
      <c r="AG101" s="158">
        <v>-9500</v>
      </c>
      <c r="AH101" s="158">
        <v>-9500</v>
      </c>
      <c r="AI101" s="158">
        <v>-9500</v>
      </c>
      <c r="AJ101" s="158">
        <v>-9500</v>
      </c>
      <c r="AK101" s="158">
        <v>-9500</v>
      </c>
      <c r="AL101" s="158">
        <v>-9500</v>
      </c>
      <c r="AM101" s="158">
        <v>-9500</v>
      </c>
      <c r="AN101" s="158">
        <v>-9500</v>
      </c>
      <c r="AO101" s="158">
        <v>-9500</v>
      </c>
      <c r="AP101" s="158">
        <v>-9500</v>
      </c>
      <c r="AQ101" s="158">
        <v>-9500</v>
      </c>
      <c r="AR101" s="158">
        <v>-9500</v>
      </c>
      <c r="AS101" s="158">
        <v>-9500</v>
      </c>
      <c r="AT101" s="158">
        <v>-9500</v>
      </c>
      <c r="AU101" s="158">
        <v>-9500</v>
      </c>
      <c r="AV101" s="158">
        <v>-9500</v>
      </c>
      <c r="AW101" s="158">
        <v>-9500</v>
      </c>
      <c r="AX101" s="158">
        <v>-9500</v>
      </c>
      <c r="AY101" s="158">
        <v>-9500</v>
      </c>
      <c r="AZ101" s="158">
        <v>-9500</v>
      </c>
      <c r="BA101" s="158">
        <v>-9500</v>
      </c>
      <c r="BB101" s="158">
        <v>-9500</v>
      </c>
      <c r="BC101" s="158">
        <v>-9500</v>
      </c>
      <c r="BD101" s="158">
        <v>-9500</v>
      </c>
      <c r="BE101" s="158">
        <v>-9500</v>
      </c>
      <c r="BF101" s="158">
        <v>-9500</v>
      </c>
      <c r="BG101" s="158">
        <v>-9500</v>
      </c>
      <c r="BH101" s="155"/>
      <c r="BI101" s="155"/>
      <c r="BJ101" s="155"/>
      <c r="BK101" s="155"/>
      <c r="BL101" s="155"/>
      <c r="BM101" s="155"/>
      <c r="BN101" s="155"/>
      <c r="BO101" s="155"/>
      <c r="BP101" s="155"/>
      <c r="BQ101" s="155"/>
      <c r="BR101" s="155"/>
      <c r="BS101" s="155"/>
      <c r="BT101" s="155"/>
      <c r="BU101" s="155"/>
      <c r="BV101" s="155"/>
      <c r="BW101" s="155"/>
      <c r="BX101" s="155"/>
      <c r="BY101" s="155"/>
      <c r="BZ101" s="155"/>
      <c r="CA101" s="155"/>
      <c r="CB101" s="155"/>
      <c r="CC101" s="155"/>
      <c r="CD101" s="155"/>
      <c r="CE101" s="155"/>
      <c r="CF101" s="155"/>
      <c r="CG101" s="155"/>
      <c r="CH101" s="155"/>
    </row>
    <row r="102" spans="1:86" ht="15" customHeight="1" x14ac:dyDescent="0.25">
      <c r="A102" s="156" t="s">
        <v>588</v>
      </c>
      <c r="B102" s="157">
        <f t="shared" si="9"/>
        <v>7053625.9999999991</v>
      </c>
      <c r="C102" s="159">
        <f t="shared" ref="C102:AH102" si="10">C99+C100+C101</f>
        <v>0</v>
      </c>
      <c r="D102" s="159">
        <f t="shared" si="10"/>
        <v>0</v>
      </c>
      <c r="E102" s="159">
        <f t="shared" si="10"/>
        <v>0</v>
      </c>
      <c r="F102" s="159">
        <f t="shared" si="10"/>
        <v>0</v>
      </c>
      <c r="G102" s="159">
        <f t="shared" si="10"/>
        <v>0</v>
      </c>
      <c r="H102" s="159">
        <f t="shared" si="10"/>
        <v>0</v>
      </c>
      <c r="I102" s="159">
        <f t="shared" si="10"/>
        <v>0</v>
      </c>
      <c r="J102" s="159">
        <f t="shared" si="10"/>
        <v>0</v>
      </c>
      <c r="K102" s="159">
        <f t="shared" si="10"/>
        <v>0</v>
      </c>
      <c r="L102" s="159">
        <f t="shared" si="10"/>
        <v>35550.36</v>
      </c>
      <c r="M102" s="159">
        <f t="shared" si="10"/>
        <v>25133.360000000001</v>
      </c>
      <c r="N102" s="159">
        <f t="shared" si="10"/>
        <v>25133.360000000001</v>
      </c>
      <c r="O102" s="159">
        <f t="shared" si="10"/>
        <v>25133.360000000001</v>
      </c>
      <c r="P102" s="159">
        <f t="shared" si="10"/>
        <v>17633.36</v>
      </c>
      <c r="Q102" s="159">
        <f t="shared" si="10"/>
        <v>17633.36</v>
      </c>
      <c r="R102" s="159">
        <f t="shared" si="10"/>
        <v>43527.520000000004</v>
      </c>
      <c r="S102" s="159">
        <f t="shared" si="10"/>
        <v>69421.679999999993</v>
      </c>
      <c r="T102" s="159">
        <f t="shared" si="10"/>
        <v>95315.839999999997</v>
      </c>
      <c r="U102" s="159">
        <f t="shared" si="10"/>
        <v>112042.98999999999</v>
      </c>
      <c r="V102" s="159">
        <f t="shared" si="10"/>
        <v>137937.16</v>
      </c>
      <c r="W102" s="159">
        <f t="shared" si="10"/>
        <v>163831.31</v>
      </c>
      <c r="X102" s="159">
        <f t="shared" si="10"/>
        <v>189725.46</v>
      </c>
      <c r="Y102" s="159">
        <f t="shared" si="10"/>
        <v>215619.62</v>
      </c>
      <c r="Z102" s="159">
        <f t="shared" si="10"/>
        <v>241513.78999999998</v>
      </c>
      <c r="AA102" s="159">
        <f t="shared" si="10"/>
        <v>267407.94</v>
      </c>
      <c r="AB102" s="159">
        <f t="shared" si="10"/>
        <v>293302.11</v>
      </c>
      <c r="AC102" s="159">
        <f t="shared" si="10"/>
        <v>353829.61</v>
      </c>
      <c r="AD102" s="159">
        <f t="shared" si="10"/>
        <v>264511.01</v>
      </c>
      <c r="AE102" s="159">
        <f t="shared" si="10"/>
        <v>265293.13</v>
      </c>
      <c r="AF102" s="159">
        <f t="shared" si="10"/>
        <v>266075.23</v>
      </c>
      <c r="AG102" s="159">
        <f t="shared" si="10"/>
        <v>266857.34000000003</v>
      </c>
      <c r="AH102" s="159">
        <f t="shared" si="10"/>
        <v>267639.44</v>
      </c>
      <c r="AI102" s="159">
        <f t="shared" ref="AI102:BN102" si="11">AI99+AI100+AI101</f>
        <v>294315.71000000002</v>
      </c>
      <c r="AJ102" s="159">
        <f t="shared" si="11"/>
        <v>269203.67</v>
      </c>
      <c r="AK102" s="159">
        <f t="shared" si="11"/>
        <v>244091.62</v>
      </c>
      <c r="AL102" s="159">
        <f t="shared" si="11"/>
        <v>218979.57</v>
      </c>
      <c r="AM102" s="159">
        <f t="shared" si="11"/>
        <v>193867.51</v>
      </c>
      <c r="AN102" s="159">
        <f t="shared" si="11"/>
        <v>168755.47</v>
      </c>
      <c r="AO102" s="159">
        <f t="shared" si="11"/>
        <v>143643.42000000001</v>
      </c>
      <c r="AP102" s="159">
        <f t="shared" si="11"/>
        <v>118531.35999999999</v>
      </c>
      <c r="AQ102" s="159">
        <f t="shared" si="11"/>
        <v>93419.32</v>
      </c>
      <c r="AR102" s="159">
        <f t="shared" si="11"/>
        <v>68307.27</v>
      </c>
      <c r="AS102" s="159">
        <f t="shared" si="11"/>
        <v>149094.1</v>
      </c>
      <c r="AT102" s="159">
        <f t="shared" si="11"/>
        <v>123199.95000000001</v>
      </c>
      <c r="AU102" s="159">
        <f t="shared" si="11"/>
        <v>72193.75</v>
      </c>
      <c r="AV102" s="159">
        <f t="shared" si="11"/>
        <v>71411.64</v>
      </c>
      <c r="AW102" s="159">
        <f t="shared" si="11"/>
        <v>70629.52</v>
      </c>
      <c r="AX102" s="159">
        <f t="shared" si="11"/>
        <v>69847.42</v>
      </c>
      <c r="AY102" s="159">
        <f t="shared" si="11"/>
        <v>69065.31</v>
      </c>
      <c r="AZ102" s="159">
        <f t="shared" si="11"/>
        <v>68283.199999999997</v>
      </c>
      <c r="BA102" s="159">
        <f t="shared" si="11"/>
        <v>67501.09</v>
      </c>
      <c r="BB102" s="159">
        <f t="shared" si="11"/>
        <v>66718.98</v>
      </c>
      <c r="BC102" s="159">
        <f t="shared" si="11"/>
        <v>65936.87</v>
      </c>
      <c r="BD102" s="159">
        <f t="shared" si="11"/>
        <v>65154.759999999995</v>
      </c>
      <c r="BE102" s="159">
        <f t="shared" si="11"/>
        <v>64372.649999999994</v>
      </c>
      <c r="BF102" s="159">
        <f t="shared" si="11"/>
        <v>63590.539999999994</v>
      </c>
      <c r="BG102" s="159">
        <f t="shared" si="11"/>
        <v>62808.44</v>
      </c>
      <c r="BH102" s="159">
        <f t="shared" si="11"/>
        <v>109027.32</v>
      </c>
      <c r="BI102" s="159">
        <f t="shared" si="11"/>
        <v>108245.21</v>
      </c>
      <c r="BJ102" s="159">
        <f t="shared" si="11"/>
        <v>213361.99</v>
      </c>
      <c r="BK102" s="159">
        <f t="shared" si="11"/>
        <v>0</v>
      </c>
      <c r="BL102" s="159">
        <f t="shared" si="11"/>
        <v>0</v>
      </c>
      <c r="BM102" s="159">
        <f t="shared" si="11"/>
        <v>0</v>
      </c>
      <c r="BN102" s="159">
        <f t="shared" si="11"/>
        <v>0</v>
      </c>
      <c r="BO102" s="159">
        <f t="shared" ref="BO102:CT102" si="12">BO99+BO100+BO101</f>
        <v>0</v>
      </c>
      <c r="BP102" s="159">
        <f t="shared" si="12"/>
        <v>0</v>
      </c>
      <c r="BQ102" s="159">
        <f t="shared" si="12"/>
        <v>0</v>
      </c>
      <c r="BR102" s="159">
        <f t="shared" si="12"/>
        <v>0</v>
      </c>
      <c r="BS102" s="159">
        <f t="shared" si="12"/>
        <v>0</v>
      </c>
      <c r="BT102" s="159">
        <f t="shared" si="12"/>
        <v>0</v>
      </c>
      <c r="BU102" s="159">
        <f t="shared" si="12"/>
        <v>0</v>
      </c>
      <c r="BV102" s="159">
        <f t="shared" si="12"/>
        <v>0</v>
      </c>
      <c r="BW102" s="159">
        <f t="shared" si="12"/>
        <v>0</v>
      </c>
      <c r="BX102" s="159">
        <f t="shared" si="12"/>
        <v>0</v>
      </c>
      <c r="BY102" s="159">
        <f t="shared" si="12"/>
        <v>0</v>
      </c>
      <c r="BZ102" s="159">
        <f t="shared" si="12"/>
        <v>0</v>
      </c>
      <c r="CA102" s="159">
        <f t="shared" si="12"/>
        <v>0</v>
      </c>
      <c r="CB102" s="159">
        <f t="shared" si="12"/>
        <v>0</v>
      </c>
      <c r="CC102" s="159">
        <f t="shared" si="12"/>
        <v>0</v>
      </c>
      <c r="CD102" s="159">
        <f t="shared" si="12"/>
        <v>0</v>
      </c>
      <c r="CE102" s="159">
        <f t="shared" si="12"/>
        <v>0</v>
      </c>
      <c r="CF102" s="159">
        <f t="shared" si="12"/>
        <v>0</v>
      </c>
      <c r="CG102" s="159">
        <f t="shared" si="12"/>
        <v>0</v>
      </c>
      <c r="CH102" s="159">
        <f t="shared" si="12"/>
        <v>0</v>
      </c>
    </row>
    <row r="103" spans="1:86" ht="15" customHeight="1" x14ac:dyDescent="0.25">
      <c r="A103" s="156" t="s">
        <v>589</v>
      </c>
      <c r="B103" s="157">
        <f t="shared" si="9"/>
        <v>563192.61699999985</v>
      </c>
      <c r="C103" s="159">
        <f t="shared" ref="C103:K103" si="13">C99*$B$94</f>
        <v>0</v>
      </c>
      <c r="D103" s="159">
        <f t="shared" si="13"/>
        <v>0</v>
      </c>
      <c r="E103" s="159">
        <f t="shared" si="13"/>
        <v>0</v>
      </c>
      <c r="F103" s="159">
        <f t="shared" si="13"/>
        <v>0</v>
      </c>
      <c r="G103" s="159">
        <f t="shared" si="13"/>
        <v>0</v>
      </c>
      <c r="H103" s="159">
        <f t="shared" si="13"/>
        <v>0</v>
      </c>
      <c r="I103" s="159">
        <f t="shared" si="13"/>
        <v>0</v>
      </c>
      <c r="J103" s="159">
        <f t="shared" si="13"/>
        <v>0</v>
      </c>
      <c r="K103" s="159">
        <f t="shared" si="13"/>
        <v>0</v>
      </c>
      <c r="L103" s="159">
        <f t="shared" ref="L103:AQ103" si="14">MIN(L99*$B$94,12500)</f>
        <v>4505.0360000000001</v>
      </c>
      <c r="M103" s="159">
        <f t="shared" si="14"/>
        <v>4505.0360000000001</v>
      </c>
      <c r="N103" s="159">
        <f t="shared" si="14"/>
        <v>4505.0360000000001</v>
      </c>
      <c r="O103" s="159">
        <f t="shared" si="14"/>
        <v>4505.0360000000001</v>
      </c>
      <c r="P103" s="159">
        <f t="shared" si="14"/>
        <v>4505.0360000000001</v>
      </c>
      <c r="Q103" s="159">
        <f t="shared" si="14"/>
        <v>4505.0360000000001</v>
      </c>
      <c r="R103" s="159">
        <f t="shared" si="14"/>
        <v>7094.4520000000011</v>
      </c>
      <c r="S103" s="159">
        <f t="shared" si="14"/>
        <v>9683.8680000000004</v>
      </c>
      <c r="T103" s="159">
        <f t="shared" si="14"/>
        <v>12273.284</v>
      </c>
      <c r="U103" s="159">
        <f t="shared" si="14"/>
        <v>12500</v>
      </c>
      <c r="V103" s="159">
        <f t="shared" si="14"/>
        <v>12500</v>
      </c>
      <c r="W103" s="159">
        <f t="shared" si="14"/>
        <v>12500</v>
      </c>
      <c r="X103" s="159">
        <f t="shared" si="14"/>
        <v>12500</v>
      </c>
      <c r="Y103" s="159">
        <f t="shared" si="14"/>
        <v>12500</v>
      </c>
      <c r="Z103" s="159">
        <f t="shared" si="14"/>
        <v>12500</v>
      </c>
      <c r="AA103" s="159">
        <f t="shared" si="14"/>
        <v>12500</v>
      </c>
      <c r="AB103" s="159">
        <f t="shared" si="14"/>
        <v>12500</v>
      </c>
      <c r="AC103" s="159">
        <f t="shared" si="14"/>
        <v>12500</v>
      </c>
      <c r="AD103" s="159">
        <f t="shared" si="14"/>
        <v>12500</v>
      </c>
      <c r="AE103" s="159">
        <f t="shared" si="14"/>
        <v>12500</v>
      </c>
      <c r="AF103" s="159">
        <f t="shared" si="14"/>
        <v>12500</v>
      </c>
      <c r="AG103" s="159">
        <f t="shared" si="14"/>
        <v>12500</v>
      </c>
      <c r="AH103" s="159">
        <f t="shared" si="14"/>
        <v>12500</v>
      </c>
      <c r="AI103" s="159">
        <f t="shared" si="14"/>
        <v>12500</v>
      </c>
      <c r="AJ103" s="159">
        <f t="shared" si="14"/>
        <v>12500</v>
      </c>
      <c r="AK103" s="159">
        <f t="shared" si="14"/>
        <v>12500</v>
      </c>
      <c r="AL103" s="159">
        <f t="shared" si="14"/>
        <v>12500</v>
      </c>
      <c r="AM103" s="159">
        <f t="shared" si="14"/>
        <v>12500</v>
      </c>
      <c r="AN103" s="159">
        <f t="shared" si="14"/>
        <v>12500</v>
      </c>
      <c r="AO103" s="159">
        <f t="shared" si="14"/>
        <v>12500</v>
      </c>
      <c r="AP103" s="159">
        <f t="shared" si="14"/>
        <v>12500</v>
      </c>
      <c r="AQ103" s="159">
        <f t="shared" si="14"/>
        <v>12500</v>
      </c>
      <c r="AR103" s="159">
        <f t="shared" ref="AR103:BW103" si="15">MIN(AR99*$B$94,12500)</f>
        <v>11530.827000000001</v>
      </c>
      <c r="AS103" s="159">
        <f t="shared" si="15"/>
        <v>12500</v>
      </c>
      <c r="AT103" s="159">
        <f t="shared" si="15"/>
        <v>12500</v>
      </c>
      <c r="AU103" s="159">
        <f t="shared" si="15"/>
        <v>11919.475</v>
      </c>
      <c r="AV103" s="159">
        <f t="shared" si="15"/>
        <v>11841.264000000001</v>
      </c>
      <c r="AW103" s="159">
        <f t="shared" si="15"/>
        <v>11763.052000000001</v>
      </c>
      <c r="AX103" s="159">
        <f t="shared" si="15"/>
        <v>11684.842000000001</v>
      </c>
      <c r="AY103" s="159">
        <f t="shared" si="15"/>
        <v>11606.631000000001</v>
      </c>
      <c r="AZ103" s="159">
        <f t="shared" si="15"/>
        <v>11528.42</v>
      </c>
      <c r="BA103" s="159">
        <f t="shared" si="15"/>
        <v>11450.209000000001</v>
      </c>
      <c r="BB103" s="159">
        <f t="shared" si="15"/>
        <v>11371.998</v>
      </c>
      <c r="BC103" s="159">
        <f t="shared" si="15"/>
        <v>11293.787</v>
      </c>
      <c r="BD103" s="159">
        <f t="shared" si="15"/>
        <v>11215.576000000001</v>
      </c>
      <c r="BE103" s="159">
        <f t="shared" si="15"/>
        <v>11137.365</v>
      </c>
      <c r="BF103" s="159">
        <f t="shared" si="15"/>
        <v>11059.154</v>
      </c>
      <c r="BG103" s="159">
        <f t="shared" si="15"/>
        <v>10980.944000000001</v>
      </c>
      <c r="BH103" s="159">
        <f t="shared" si="15"/>
        <v>10902.732000000002</v>
      </c>
      <c r="BI103" s="159">
        <f t="shared" si="15"/>
        <v>10824.521000000001</v>
      </c>
      <c r="BJ103" s="159">
        <f t="shared" si="15"/>
        <v>12500</v>
      </c>
      <c r="BK103" s="159">
        <f t="shared" si="15"/>
        <v>0</v>
      </c>
      <c r="BL103" s="159">
        <f t="shared" si="15"/>
        <v>0</v>
      </c>
      <c r="BM103" s="159">
        <f t="shared" si="15"/>
        <v>0</v>
      </c>
      <c r="BN103" s="159">
        <f t="shared" si="15"/>
        <v>0</v>
      </c>
      <c r="BO103" s="159">
        <f t="shared" si="15"/>
        <v>0</v>
      </c>
      <c r="BP103" s="159">
        <f t="shared" si="15"/>
        <v>0</v>
      </c>
      <c r="BQ103" s="159">
        <f t="shared" si="15"/>
        <v>0</v>
      </c>
      <c r="BR103" s="159">
        <f t="shared" si="15"/>
        <v>0</v>
      </c>
      <c r="BS103" s="159">
        <f t="shared" si="15"/>
        <v>0</v>
      </c>
      <c r="BT103" s="159">
        <f t="shared" si="15"/>
        <v>0</v>
      </c>
      <c r="BU103" s="159">
        <f t="shared" si="15"/>
        <v>0</v>
      </c>
      <c r="BV103" s="159">
        <f t="shared" si="15"/>
        <v>0</v>
      </c>
      <c r="BW103" s="159">
        <f t="shared" si="15"/>
        <v>0</v>
      </c>
      <c r="BX103" s="159">
        <f t="shared" ref="BX103:CG103" si="16">MIN(BX99*$B$94,12500)</f>
        <v>0</v>
      </c>
      <c r="BY103" s="159">
        <f t="shared" si="16"/>
        <v>0</v>
      </c>
      <c r="BZ103" s="159">
        <f t="shared" si="16"/>
        <v>0</v>
      </c>
      <c r="CA103" s="159">
        <f t="shared" si="16"/>
        <v>0</v>
      </c>
      <c r="CB103" s="159">
        <f t="shared" si="16"/>
        <v>0</v>
      </c>
      <c r="CC103" s="159">
        <f t="shared" si="16"/>
        <v>0</v>
      </c>
      <c r="CD103" s="159">
        <f t="shared" si="16"/>
        <v>0</v>
      </c>
      <c r="CE103" s="159">
        <f t="shared" si="16"/>
        <v>0</v>
      </c>
      <c r="CF103" s="159">
        <f t="shared" si="16"/>
        <v>0</v>
      </c>
      <c r="CG103" s="159">
        <f t="shared" si="16"/>
        <v>0</v>
      </c>
      <c r="CH103" s="159">
        <f>CH99*$B$94</f>
        <v>0</v>
      </c>
    </row>
    <row r="104" spans="1:86" ht="15" customHeight="1" x14ac:dyDescent="0.25">
      <c r="A104" s="156" t="s">
        <v>590</v>
      </c>
      <c r="B104" s="157">
        <f t="shared" si="9"/>
        <v>6490433.3830000013</v>
      </c>
      <c r="C104" s="159">
        <f t="shared" ref="C104:AH104" si="17">C102-C103</f>
        <v>0</v>
      </c>
      <c r="D104" s="159">
        <f t="shared" si="17"/>
        <v>0</v>
      </c>
      <c r="E104" s="159">
        <f t="shared" si="17"/>
        <v>0</v>
      </c>
      <c r="F104" s="159">
        <f t="shared" si="17"/>
        <v>0</v>
      </c>
      <c r="G104" s="159">
        <f t="shared" si="17"/>
        <v>0</v>
      </c>
      <c r="H104" s="159">
        <f t="shared" si="17"/>
        <v>0</v>
      </c>
      <c r="I104" s="159">
        <f t="shared" si="17"/>
        <v>0</v>
      </c>
      <c r="J104" s="159">
        <f t="shared" si="17"/>
        <v>0</v>
      </c>
      <c r="K104" s="159">
        <f t="shared" si="17"/>
        <v>0</v>
      </c>
      <c r="L104" s="159">
        <f t="shared" si="17"/>
        <v>31045.324000000001</v>
      </c>
      <c r="M104" s="159">
        <f t="shared" si="17"/>
        <v>20628.324000000001</v>
      </c>
      <c r="N104" s="159">
        <f t="shared" si="17"/>
        <v>20628.324000000001</v>
      </c>
      <c r="O104" s="159">
        <f t="shared" si="17"/>
        <v>20628.324000000001</v>
      </c>
      <c r="P104" s="159">
        <f t="shared" si="17"/>
        <v>13128.324000000001</v>
      </c>
      <c r="Q104" s="159">
        <f t="shared" si="17"/>
        <v>13128.324000000001</v>
      </c>
      <c r="R104" s="159">
        <f t="shared" si="17"/>
        <v>36433.067999999999</v>
      </c>
      <c r="S104" s="159">
        <f t="shared" si="17"/>
        <v>59737.811999999991</v>
      </c>
      <c r="T104" s="159">
        <f t="shared" si="17"/>
        <v>83042.555999999997</v>
      </c>
      <c r="U104" s="159">
        <f t="shared" si="17"/>
        <v>99542.989999999991</v>
      </c>
      <c r="V104" s="159">
        <f t="shared" si="17"/>
        <v>125437.16</v>
      </c>
      <c r="W104" s="159">
        <f t="shared" si="17"/>
        <v>151331.31</v>
      </c>
      <c r="X104" s="159">
        <f t="shared" si="17"/>
        <v>177225.46</v>
      </c>
      <c r="Y104" s="159">
        <f t="shared" si="17"/>
        <v>203119.62</v>
      </c>
      <c r="Z104" s="159">
        <f t="shared" si="17"/>
        <v>229013.78999999998</v>
      </c>
      <c r="AA104" s="159">
        <f t="shared" si="17"/>
        <v>254907.94</v>
      </c>
      <c r="AB104" s="159">
        <f t="shared" si="17"/>
        <v>280802.11</v>
      </c>
      <c r="AC104" s="159">
        <f t="shared" si="17"/>
        <v>341329.61</v>
      </c>
      <c r="AD104" s="159">
        <f t="shared" si="17"/>
        <v>252011.01</v>
      </c>
      <c r="AE104" s="159">
        <f t="shared" si="17"/>
        <v>252793.13</v>
      </c>
      <c r="AF104" s="159">
        <f t="shared" si="17"/>
        <v>253575.22999999998</v>
      </c>
      <c r="AG104" s="159">
        <f t="shared" si="17"/>
        <v>254357.34000000003</v>
      </c>
      <c r="AH104" s="159">
        <f t="shared" si="17"/>
        <v>255139.44</v>
      </c>
      <c r="AI104" s="159">
        <f t="shared" ref="AI104:BN104" si="18">AI102-AI103</f>
        <v>281815.71000000002</v>
      </c>
      <c r="AJ104" s="159">
        <f t="shared" si="18"/>
        <v>256703.66999999998</v>
      </c>
      <c r="AK104" s="159">
        <f t="shared" si="18"/>
        <v>231591.62</v>
      </c>
      <c r="AL104" s="159">
        <f t="shared" si="18"/>
        <v>206479.57</v>
      </c>
      <c r="AM104" s="159">
        <f t="shared" si="18"/>
        <v>181367.51</v>
      </c>
      <c r="AN104" s="159">
        <f t="shared" si="18"/>
        <v>156255.47</v>
      </c>
      <c r="AO104" s="159">
        <f t="shared" si="18"/>
        <v>131143.42000000001</v>
      </c>
      <c r="AP104" s="159">
        <f t="shared" si="18"/>
        <v>106031.35999999999</v>
      </c>
      <c r="AQ104" s="159">
        <f t="shared" si="18"/>
        <v>80919.320000000007</v>
      </c>
      <c r="AR104" s="159">
        <f t="shared" si="18"/>
        <v>56776.442999999999</v>
      </c>
      <c r="AS104" s="159">
        <f t="shared" si="18"/>
        <v>136594.1</v>
      </c>
      <c r="AT104" s="159">
        <f t="shared" si="18"/>
        <v>110699.95000000001</v>
      </c>
      <c r="AU104" s="159">
        <f t="shared" si="18"/>
        <v>60274.275000000001</v>
      </c>
      <c r="AV104" s="159">
        <f t="shared" si="18"/>
        <v>59570.375999999997</v>
      </c>
      <c r="AW104" s="159">
        <f t="shared" si="18"/>
        <v>58866.468000000001</v>
      </c>
      <c r="AX104" s="159">
        <f t="shared" si="18"/>
        <v>58162.577999999994</v>
      </c>
      <c r="AY104" s="159">
        <f t="shared" si="18"/>
        <v>57458.678999999996</v>
      </c>
      <c r="AZ104" s="159">
        <f t="shared" si="18"/>
        <v>56754.78</v>
      </c>
      <c r="BA104" s="159">
        <f t="shared" si="18"/>
        <v>56050.880999999994</v>
      </c>
      <c r="BB104" s="159">
        <f t="shared" si="18"/>
        <v>55346.981999999996</v>
      </c>
      <c r="BC104" s="159">
        <f t="shared" si="18"/>
        <v>54643.082999999999</v>
      </c>
      <c r="BD104" s="159">
        <f t="shared" si="18"/>
        <v>53939.183999999994</v>
      </c>
      <c r="BE104" s="159">
        <f t="shared" si="18"/>
        <v>53235.284999999996</v>
      </c>
      <c r="BF104" s="159">
        <f t="shared" si="18"/>
        <v>52531.385999999991</v>
      </c>
      <c r="BG104" s="159">
        <f t="shared" si="18"/>
        <v>51827.495999999999</v>
      </c>
      <c r="BH104" s="159">
        <f t="shared" si="18"/>
        <v>98124.588000000003</v>
      </c>
      <c r="BI104" s="159">
        <f t="shared" si="18"/>
        <v>97420.689000000013</v>
      </c>
      <c r="BJ104" s="159">
        <f t="shared" si="18"/>
        <v>200861.99</v>
      </c>
      <c r="BK104" s="159">
        <f t="shared" si="18"/>
        <v>0</v>
      </c>
      <c r="BL104" s="159">
        <f t="shared" si="18"/>
        <v>0</v>
      </c>
      <c r="BM104" s="159">
        <f t="shared" si="18"/>
        <v>0</v>
      </c>
      <c r="BN104" s="159">
        <f t="shared" si="18"/>
        <v>0</v>
      </c>
      <c r="BO104" s="159">
        <f t="shared" ref="BO104:CT104" si="19">BO102-BO103</f>
        <v>0</v>
      </c>
      <c r="BP104" s="159">
        <f t="shared" si="19"/>
        <v>0</v>
      </c>
      <c r="BQ104" s="159">
        <f t="shared" si="19"/>
        <v>0</v>
      </c>
      <c r="BR104" s="159">
        <f t="shared" si="19"/>
        <v>0</v>
      </c>
      <c r="BS104" s="159">
        <f t="shared" si="19"/>
        <v>0</v>
      </c>
      <c r="BT104" s="159">
        <f t="shared" si="19"/>
        <v>0</v>
      </c>
      <c r="BU104" s="159">
        <f t="shared" si="19"/>
        <v>0</v>
      </c>
      <c r="BV104" s="159">
        <f t="shared" si="19"/>
        <v>0</v>
      </c>
      <c r="BW104" s="159">
        <f t="shared" si="19"/>
        <v>0</v>
      </c>
      <c r="BX104" s="159">
        <f t="shared" si="19"/>
        <v>0</v>
      </c>
      <c r="BY104" s="159">
        <f t="shared" si="19"/>
        <v>0</v>
      </c>
      <c r="BZ104" s="159">
        <f t="shared" si="19"/>
        <v>0</v>
      </c>
      <c r="CA104" s="159">
        <f t="shared" si="19"/>
        <v>0</v>
      </c>
      <c r="CB104" s="159">
        <f t="shared" si="19"/>
        <v>0</v>
      </c>
      <c r="CC104" s="159">
        <f t="shared" si="19"/>
        <v>0</v>
      </c>
      <c r="CD104" s="159">
        <f t="shared" si="19"/>
        <v>0</v>
      </c>
      <c r="CE104" s="159">
        <f t="shared" si="19"/>
        <v>0</v>
      </c>
      <c r="CF104" s="159">
        <f t="shared" si="19"/>
        <v>0</v>
      </c>
      <c r="CG104" s="159">
        <f t="shared" si="19"/>
        <v>0</v>
      </c>
      <c r="CH104" s="159">
        <f t="shared" si="19"/>
        <v>0</v>
      </c>
    </row>
    <row r="105" spans="1:86" ht="15" customHeight="1" x14ac:dyDescent="0.25">
      <c r="A105" s="156" t="s">
        <v>591</v>
      </c>
      <c r="B105" s="157">
        <f t="shared" si="9"/>
        <v>2951665.9260000009</v>
      </c>
      <c r="C105" s="159">
        <v>0</v>
      </c>
      <c r="D105" s="159">
        <v>0</v>
      </c>
      <c r="E105" s="159">
        <v>0</v>
      </c>
      <c r="F105" s="159">
        <v>0</v>
      </c>
      <c r="G105" s="159">
        <v>0</v>
      </c>
      <c r="H105" s="159">
        <v>0</v>
      </c>
      <c r="I105" s="159">
        <v>0</v>
      </c>
      <c r="J105" s="159">
        <v>0</v>
      </c>
      <c r="K105" s="159">
        <v>0</v>
      </c>
      <c r="L105" s="159">
        <f t="shared" ref="L105:Z105" si="20">MAX(0,L104)*0.4</f>
        <v>12418.1296</v>
      </c>
      <c r="M105" s="159">
        <f t="shared" si="20"/>
        <v>8251.3296000000009</v>
      </c>
      <c r="N105" s="159">
        <f t="shared" si="20"/>
        <v>8251.3296000000009</v>
      </c>
      <c r="O105" s="159">
        <f t="shared" si="20"/>
        <v>8251.3296000000009</v>
      </c>
      <c r="P105" s="159">
        <f t="shared" si="20"/>
        <v>5251.3296000000009</v>
      </c>
      <c r="Q105" s="159">
        <f t="shared" si="20"/>
        <v>5251.3296000000009</v>
      </c>
      <c r="R105" s="159">
        <f t="shared" si="20"/>
        <v>14573.227200000001</v>
      </c>
      <c r="S105" s="159">
        <f t="shared" si="20"/>
        <v>23895.124799999998</v>
      </c>
      <c r="T105" s="159">
        <f t="shared" si="20"/>
        <v>33217.022400000002</v>
      </c>
      <c r="U105" s="159">
        <f t="shared" si="20"/>
        <v>39817.195999999996</v>
      </c>
      <c r="V105" s="159">
        <f t="shared" si="20"/>
        <v>50174.864000000001</v>
      </c>
      <c r="W105" s="159">
        <f t="shared" si="20"/>
        <v>60532.524000000005</v>
      </c>
      <c r="X105" s="159">
        <f t="shared" si="20"/>
        <v>70890.183999999994</v>
      </c>
      <c r="Y105" s="159">
        <f t="shared" si="20"/>
        <v>81247.847999999998</v>
      </c>
      <c r="Z105" s="159">
        <f t="shared" si="20"/>
        <v>91605.516000000003</v>
      </c>
      <c r="AA105" s="159">
        <f t="shared" ref="AA105:AM105" si="21">MAX(0,AA104)*0.45</f>
        <v>114708.573</v>
      </c>
      <c r="AB105" s="159">
        <f t="shared" si="21"/>
        <v>126360.9495</v>
      </c>
      <c r="AC105" s="159">
        <f t="shared" si="21"/>
        <v>153598.32449999999</v>
      </c>
      <c r="AD105" s="159">
        <f t="shared" si="21"/>
        <v>113404.95450000001</v>
      </c>
      <c r="AE105" s="159">
        <f t="shared" si="21"/>
        <v>113756.90850000001</v>
      </c>
      <c r="AF105" s="159">
        <f t="shared" si="21"/>
        <v>114108.8535</v>
      </c>
      <c r="AG105" s="159">
        <f t="shared" si="21"/>
        <v>114460.80300000001</v>
      </c>
      <c r="AH105" s="159">
        <f t="shared" si="21"/>
        <v>114812.74800000001</v>
      </c>
      <c r="AI105" s="159">
        <f t="shared" si="21"/>
        <v>126817.06950000001</v>
      </c>
      <c r="AJ105" s="159">
        <f t="shared" si="21"/>
        <v>115516.65149999999</v>
      </c>
      <c r="AK105" s="159">
        <f t="shared" si="21"/>
        <v>104216.22900000001</v>
      </c>
      <c r="AL105" s="159">
        <f t="shared" si="21"/>
        <v>92915.806500000006</v>
      </c>
      <c r="AM105" s="159">
        <f t="shared" si="21"/>
        <v>81615.37950000001</v>
      </c>
      <c r="AN105" s="159">
        <f t="shared" ref="AN105:CG105" si="22">MAX(0,AN104)*0.5</f>
        <v>78127.735000000001</v>
      </c>
      <c r="AO105" s="159">
        <f t="shared" si="22"/>
        <v>65571.710000000006</v>
      </c>
      <c r="AP105" s="159">
        <f t="shared" si="22"/>
        <v>53015.679999999993</v>
      </c>
      <c r="AQ105" s="159">
        <f t="shared" si="22"/>
        <v>40459.660000000003</v>
      </c>
      <c r="AR105" s="159">
        <f t="shared" si="22"/>
        <v>28388.2215</v>
      </c>
      <c r="AS105" s="159">
        <f t="shared" si="22"/>
        <v>68297.05</v>
      </c>
      <c r="AT105" s="159">
        <f t="shared" si="22"/>
        <v>55349.975000000006</v>
      </c>
      <c r="AU105" s="159">
        <f t="shared" si="22"/>
        <v>30137.137500000001</v>
      </c>
      <c r="AV105" s="159">
        <f t="shared" si="22"/>
        <v>29785.187999999998</v>
      </c>
      <c r="AW105" s="159">
        <f t="shared" si="22"/>
        <v>29433.234</v>
      </c>
      <c r="AX105" s="159">
        <f t="shared" si="22"/>
        <v>29081.288999999997</v>
      </c>
      <c r="AY105" s="159">
        <f t="shared" si="22"/>
        <v>28729.339499999998</v>
      </c>
      <c r="AZ105" s="159">
        <f t="shared" si="22"/>
        <v>28377.39</v>
      </c>
      <c r="BA105" s="159">
        <f t="shared" si="22"/>
        <v>28025.440499999997</v>
      </c>
      <c r="BB105" s="159">
        <f t="shared" si="22"/>
        <v>27673.490999999998</v>
      </c>
      <c r="BC105" s="159">
        <f t="shared" si="22"/>
        <v>27321.541499999999</v>
      </c>
      <c r="BD105" s="159">
        <f t="shared" si="22"/>
        <v>26969.591999999997</v>
      </c>
      <c r="BE105" s="159">
        <f t="shared" si="22"/>
        <v>26617.642499999998</v>
      </c>
      <c r="BF105" s="159">
        <f t="shared" si="22"/>
        <v>26265.692999999996</v>
      </c>
      <c r="BG105" s="159">
        <f t="shared" si="22"/>
        <v>25913.748</v>
      </c>
      <c r="BH105" s="159">
        <f t="shared" si="22"/>
        <v>49062.294000000002</v>
      </c>
      <c r="BI105" s="159">
        <f t="shared" si="22"/>
        <v>48710.344500000007</v>
      </c>
      <c r="BJ105" s="159">
        <f t="shared" si="22"/>
        <v>100430.995</v>
      </c>
      <c r="BK105" s="159">
        <f t="shared" si="22"/>
        <v>0</v>
      </c>
      <c r="BL105" s="159">
        <f t="shared" si="22"/>
        <v>0</v>
      </c>
      <c r="BM105" s="159">
        <f t="shared" si="22"/>
        <v>0</v>
      </c>
      <c r="BN105" s="159">
        <f t="shared" si="22"/>
        <v>0</v>
      </c>
      <c r="BO105" s="159">
        <f t="shared" si="22"/>
        <v>0</v>
      </c>
      <c r="BP105" s="159">
        <f t="shared" si="22"/>
        <v>0</v>
      </c>
      <c r="BQ105" s="159">
        <f t="shared" si="22"/>
        <v>0</v>
      </c>
      <c r="BR105" s="159">
        <f t="shared" si="22"/>
        <v>0</v>
      </c>
      <c r="BS105" s="159">
        <f t="shared" si="22"/>
        <v>0</v>
      </c>
      <c r="BT105" s="159">
        <f t="shared" si="22"/>
        <v>0</v>
      </c>
      <c r="BU105" s="159">
        <f t="shared" si="22"/>
        <v>0</v>
      </c>
      <c r="BV105" s="159">
        <f t="shared" si="22"/>
        <v>0</v>
      </c>
      <c r="BW105" s="159">
        <f t="shared" si="22"/>
        <v>0</v>
      </c>
      <c r="BX105" s="159">
        <f t="shared" si="22"/>
        <v>0</v>
      </c>
      <c r="BY105" s="159">
        <f t="shared" si="22"/>
        <v>0</v>
      </c>
      <c r="BZ105" s="159">
        <f t="shared" si="22"/>
        <v>0</v>
      </c>
      <c r="CA105" s="159">
        <f t="shared" si="22"/>
        <v>0</v>
      </c>
      <c r="CB105" s="159">
        <f t="shared" si="22"/>
        <v>0</v>
      </c>
      <c r="CC105" s="159">
        <f t="shared" si="22"/>
        <v>0</v>
      </c>
      <c r="CD105" s="159">
        <f t="shared" si="22"/>
        <v>0</v>
      </c>
      <c r="CE105" s="159">
        <f t="shared" si="22"/>
        <v>0</v>
      </c>
      <c r="CF105" s="159">
        <f t="shared" si="22"/>
        <v>0</v>
      </c>
      <c r="CG105" s="159">
        <f t="shared" si="22"/>
        <v>0</v>
      </c>
      <c r="CH105" s="159">
        <f>MAX(0,CH104)*$B$95</f>
        <v>0</v>
      </c>
    </row>
    <row r="106" spans="1:86" ht="15" customHeight="1" x14ac:dyDescent="0.25">
      <c r="A106" s="156" t="s">
        <v>592</v>
      </c>
      <c r="B106" s="157">
        <f t="shared" ref="B106:AG106" si="23">B104-B105</f>
        <v>3538767.4570000004</v>
      </c>
      <c r="C106" s="159">
        <f t="shared" si="23"/>
        <v>0</v>
      </c>
      <c r="D106" s="159">
        <f t="shared" si="23"/>
        <v>0</v>
      </c>
      <c r="E106" s="159">
        <f t="shared" si="23"/>
        <v>0</v>
      </c>
      <c r="F106" s="159">
        <f t="shared" si="23"/>
        <v>0</v>
      </c>
      <c r="G106" s="159">
        <f t="shared" si="23"/>
        <v>0</v>
      </c>
      <c r="H106" s="159">
        <f t="shared" si="23"/>
        <v>0</v>
      </c>
      <c r="I106" s="159">
        <f t="shared" si="23"/>
        <v>0</v>
      </c>
      <c r="J106" s="159">
        <f t="shared" si="23"/>
        <v>0</v>
      </c>
      <c r="K106" s="159">
        <f t="shared" si="23"/>
        <v>0</v>
      </c>
      <c r="L106" s="159">
        <f t="shared" si="23"/>
        <v>18627.1944</v>
      </c>
      <c r="M106" s="159">
        <f t="shared" si="23"/>
        <v>12376.9944</v>
      </c>
      <c r="N106" s="159">
        <f t="shared" si="23"/>
        <v>12376.9944</v>
      </c>
      <c r="O106" s="159">
        <f t="shared" si="23"/>
        <v>12376.9944</v>
      </c>
      <c r="P106" s="159">
        <f t="shared" si="23"/>
        <v>7876.9943999999996</v>
      </c>
      <c r="Q106" s="159">
        <f t="shared" si="23"/>
        <v>7876.9943999999996</v>
      </c>
      <c r="R106" s="159">
        <f t="shared" si="23"/>
        <v>21859.840799999998</v>
      </c>
      <c r="S106" s="159">
        <f t="shared" si="23"/>
        <v>35842.687199999993</v>
      </c>
      <c r="T106" s="159">
        <f t="shared" si="23"/>
        <v>49825.533599999995</v>
      </c>
      <c r="U106" s="159">
        <f t="shared" si="23"/>
        <v>59725.793999999994</v>
      </c>
      <c r="V106" s="159">
        <f t="shared" si="23"/>
        <v>75262.296000000002</v>
      </c>
      <c r="W106" s="159">
        <f t="shared" si="23"/>
        <v>90798.785999999993</v>
      </c>
      <c r="X106" s="159">
        <f t="shared" si="23"/>
        <v>106335.276</v>
      </c>
      <c r="Y106" s="159">
        <f t="shared" si="23"/>
        <v>121871.772</v>
      </c>
      <c r="Z106" s="159">
        <f t="shared" si="23"/>
        <v>137408.27399999998</v>
      </c>
      <c r="AA106" s="159">
        <f t="shared" si="23"/>
        <v>140199.367</v>
      </c>
      <c r="AB106" s="159">
        <f t="shared" si="23"/>
        <v>154441.1605</v>
      </c>
      <c r="AC106" s="159">
        <f t="shared" si="23"/>
        <v>187731.2855</v>
      </c>
      <c r="AD106" s="159">
        <f t="shared" si="23"/>
        <v>138606.05550000002</v>
      </c>
      <c r="AE106" s="159">
        <f t="shared" si="23"/>
        <v>139036.22149999999</v>
      </c>
      <c r="AF106" s="159">
        <f t="shared" si="23"/>
        <v>139466.37649999998</v>
      </c>
      <c r="AG106" s="159">
        <f t="shared" si="23"/>
        <v>139896.53700000001</v>
      </c>
      <c r="AH106" s="159">
        <f t="shared" ref="AH106:BM106" si="24">AH104-AH105</f>
        <v>140326.69199999998</v>
      </c>
      <c r="AI106" s="159">
        <f t="shared" si="24"/>
        <v>154998.64050000001</v>
      </c>
      <c r="AJ106" s="159">
        <f t="shared" si="24"/>
        <v>141187.01850000001</v>
      </c>
      <c r="AK106" s="159">
        <f t="shared" si="24"/>
        <v>127375.39099999999</v>
      </c>
      <c r="AL106" s="159">
        <f t="shared" si="24"/>
        <v>113563.7635</v>
      </c>
      <c r="AM106" s="159">
        <f t="shared" si="24"/>
        <v>99752.130499999999</v>
      </c>
      <c r="AN106" s="159">
        <f t="shared" si="24"/>
        <v>78127.735000000001</v>
      </c>
      <c r="AO106" s="159">
        <f t="shared" si="24"/>
        <v>65571.710000000006</v>
      </c>
      <c r="AP106" s="159">
        <f t="shared" si="24"/>
        <v>53015.679999999993</v>
      </c>
      <c r="AQ106" s="159">
        <f t="shared" si="24"/>
        <v>40459.660000000003</v>
      </c>
      <c r="AR106" s="159">
        <f t="shared" si="24"/>
        <v>28388.2215</v>
      </c>
      <c r="AS106" s="159">
        <f t="shared" si="24"/>
        <v>68297.05</v>
      </c>
      <c r="AT106" s="159">
        <f t="shared" si="24"/>
        <v>55349.975000000006</v>
      </c>
      <c r="AU106" s="159">
        <f t="shared" si="24"/>
        <v>30137.137500000001</v>
      </c>
      <c r="AV106" s="159">
        <f t="shared" si="24"/>
        <v>29785.187999999998</v>
      </c>
      <c r="AW106" s="159">
        <f t="shared" si="24"/>
        <v>29433.234</v>
      </c>
      <c r="AX106" s="159">
        <f t="shared" si="24"/>
        <v>29081.288999999997</v>
      </c>
      <c r="AY106" s="159">
        <f t="shared" si="24"/>
        <v>28729.339499999998</v>
      </c>
      <c r="AZ106" s="159">
        <f t="shared" si="24"/>
        <v>28377.39</v>
      </c>
      <c r="BA106" s="159">
        <f t="shared" si="24"/>
        <v>28025.440499999997</v>
      </c>
      <c r="BB106" s="159">
        <f t="shared" si="24"/>
        <v>27673.490999999998</v>
      </c>
      <c r="BC106" s="159">
        <f t="shared" si="24"/>
        <v>27321.541499999999</v>
      </c>
      <c r="BD106" s="159">
        <f t="shared" si="24"/>
        <v>26969.591999999997</v>
      </c>
      <c r="BE106" s="159">
        <f t="shared" si="24"/>
        <v>26617.642499999998</v>
      </c>
      <c r="BF106" s="159">
        <f t="shared" si="24"/>
        <v>26265.692999999996</v>
      </c>
      <c r="BG106" s="159">
        <f t="shared" si="24"/>
        <v>25913.748</v>
      </c>
      <c r="BH106" s="159">
        <f t="shared" si="24"/>
        <v>49062.294000000002</v>
      </c>
      <c r="BI106" s="159">
        <f t="shared" si="24"/>
        <v>48710.344500000007</v>
      </c>
      <c r="BJ106" s="159">
        <f t="shared" si="24"/>
        <v>100430.995</v>
      </c>
      <c r="BK106" s="159">
        <f t="shared" si="24"/>
        <v>0</v>
      </c>
      <c r="BL106" s="159">
        <f t="shared" si="24"/>
        <v>0</v>
      </c>
      <c r="BM106" s="159">
        <f t="shared" si="24"/>
        <v>0</v>
      </c>
      <c r="BN106" s="159">
        <f t="shared" ref="BN106:CS106" si="25">BN104-BN105</f>
        <v>0</v>
      </c>
      <c r="BO106" s="159">
        <f t="shared" si="25"/>
        <v>0</v>
      </c>
      <c r="BP106" s="159">
        <f t="shared" si="25"/>
        <v>0</v>
      </c>
      <c r="BQ106" s="159">
        <f t="shared" si="25"/>
        <v>0</v>
      </c>
      <c r="BR106" s="159">
        <f t="shared" si="25"/>
        <v>0</v>
      </c>
      <c r="BS106" s="159">
        <f t="shared" si="25"/>
        <v>0</v>
      </c>
      <c r="BT106" s="159">
        <f t="shared" si="25"/>
        <v>0</v>
      </c>
      <c r="BU106" s="159">
        <f t="shared" si="25"/>
        <v>0</v>
      </c>
      <c r="BV106" s="159">
        <f t="shared" si="25"/>
        <v>0</v>
      </c>
      <c r="BW106" s="159">
        <f t="shared" si="25"/>
        <v>0</v>
      </c>
      <c r="BX106" s="159">
        <f t="shared" si="25"/>
        <v>0</v>
      </c>
      <c r="BY106" s="159">
        <f t="shared" si="25"/>
        <v>0</v>
      </c>
      <c r="BZ106" s="159">
        <f t="shared" si="25"/>
        <v>0</v>
      </c>
      <c r="CA106" s="159">
        <f t="shared" si="25"/>
        <v>0</v>
      </c>
      <c r="CB106" s="159">
        <f t="shared" si="25"/>
        <v>0</v>
      </c>
      <c r="CC106" s="159">
        <f t="shared" si="25"/>
        <v>0</v>
      </c>
      <c r="CD106" s="159">
        <f t="shared" si="25"/>
        <v>0</v>
      </c>
      <c r="CE106" s="159">
        <f t="shared" si="25"/>
        <v>0</v>
      </c>
      <c r="CF106" s="159">
        <f t="shared" si="25"/>
        <v>0</v>
      </c>
      <c r="CG106" s="159">
        <f t="shared" si="25"/>
        <v>0</v>
      </c>
      <c r="CH106" s="159">
        <f t="shared" si="25"/>
        <v>0</v>
      </c>
    </row>
    <row r="107" spans="1:86" ht="15" customHeight="1" x14ac:dyDescent="0.25">
      <c r="A107" s="156" t="s">
        <v>593</v>
      </c>
      <c r="B107" s="157">
        <f t="shared" ref="B107:AG107" si="26">B103+B106</f>
        <v>4101960.074</v>
      </c>
      <c r="C107" s="159">
        <f t="shared" si="26"/>
        <v>0</v>
      </c>
      <c r="D107" s="159">
        <f t="shared" si="26"/>
        <v>0</v>
      </c>
      <c r="E107" s="159">
        <f t="shared" si="26"/>
        <v>0</v>
      </c>
      <c r="F107" s="159">
        <f t="shared" si="26"/>
        <v>0</v>
      </c>
      <c r="G107" s="159">
        <f t="shared" si="26"/>
        <v>0</v>
      </c>
      <c r="H107" s="159">
        <f t="shared" si="26"/>
        <v>0</v>
      </c>
      <c r="I107" s="159">
        <f t="shared" si="26"/>
        <v>0</v>
      </c>
      <c r="J107" s="159">
        <f t="shared" si="26"/>
        <v>0</v>
      </c>
      <c r="K107" s="159">
        <f t="shared" si="26"/>
        <v>0</v>
      </c>
      <c r="L107" s="159">
        <f t="shared" si="26"/>
        <v>23132.2304</v>
      </c>
      <c r="M107" s="159">
        <f t="shared" si="26"/>
        <v>16882.0304</v>
      </c>
      <c r="N107" s="159">
        <f t="shared" si="26"/>
        <v>16882.0304</v>
      </c>
      <c r="O107" s="159">
        <f t="shared" si="26"/>
        <v>16882.0304</v>
      </c>
      <c r="P107" s="159">
        <f t="shared" si="26"/>
        <v>12382.0304</v>
      </c>
      <c r="Q107" s="159">
        <f t="shared" si="26"/>
        <v>12382.0304</v>
      </c>
      <c r="R107" s="159">
        <f t="shared" si="26"/>
        <v>28954.292799999999</v>
      </c>
      <c r="S107" s="159">
        <f t="shared" si="26"/>
        <v>45526.555199999995</v>
      </c>
      <c r="T107" s="159">
        <f t="shared" si="26"/>
        <v>62098.817599999995</v>
      </c>
      <c r="U107" s="159">
        <f t="shared" si="26"/>
        <v>72225.793999999994</v>
      </c>
      <c r="V107" s="159">
        <f t="shared" si="26"/>
        <v>87762.296000000002</v>
      </c>
      <c r="W107" s="159">
        <f t="shared" si="26"/>
        <v>103298.78599999999</v>
      </c>
      <c r="X107" s="159">
        <f t="shared" si="26"/>
        <v>118835.276</v>
      </c>
      <c r="Y107" s="159">
        <f t="shared" si="26"/>
        <v>134371.772</v>
      </c>
      <c r="Z107" s="159">
        <f t="shared" si="26"/>
        <v>149908.27399999998</v>
      </c>
      <c r="AA107" s="159">
        <f t="shared" si="26"/>
        <v>152699.367</v>
      </c>
      <c r="AB107" s="159">
        <f t="shared" si="26"/>
        <v>166941.1605</v>
      </c>
      <c r="AC107" s="159">
        <f t="shared" si="26"/>
        <v>200231.2855</v>
      </c>
      <c r="AD107" s="159">
        <f t="shared" si="26"/>
        <v>151106.05550000002</v>
      </c>
      <c r="AE107" s="159">
        <f t="shared" si="26"/>
        <v>151536.22149999999</v>
      </c>
      <c r="AF107" s="159">
        <f t="shared" si="26"/>
        <v>151966.37649999998</v>
      </c>
      <c r="AG107" s="159">
        <f t="shared" si="26"/>
        <v>152396.53700000001</v>
      </c>
      <c r="AH107" s="159">
        <f t="shared" ref="AH107:BM107" si="27">AH103+AH106</f>
        <v>152826.69199999998</v>
      </c>
      <c r="AI107" s="159">
        <f t="shared" si="27"/>
        <v>167498.64050000001</v>
      </c>
      <c r="AJ107" s="159">
        <f t="shared" si="27"/>
        <v>153687.01850000001</v>
      </c>
      <c r="AK107" s="159">
        <f t="shared" si="27"/>
        <v>139875.391</v>
      </c>
      <c r="AL107" s="159">
        <f t="shared" si="27"/>
        <v>126063.7635</v>
      </c>
      <c r="AM107" s="159">
        <f t="shared" si="27"/>
        <v>112252.1305</v>
      </c>
      <c r="AN107" s="159">
        <f t="shared" si="27"/>
        <v>90627.735000000001</v>
      </c>
      <c r="AO107" s="159">
        <f t="shared" si="27"/>
        <v>78071.710000000006</v>
      </c>
      <c r="AP107" s="159">
        <f t="shared" si="27"/>
        <v>65515.679999999993</v>
      </c>
      <c r="AQ107" s="159">
        <f t="shared" si="27"/>
        <v>52959.66</v>
      </c>
      <c r="AR107" s="159">
        <f t="shared" si="27"/>
        <v>39919.048500000004</v>
      </c>
      <c r="AS107" s="159">
        <f t="shared" si="27"/>
        <v>80797.05</v>
      </c>
      <c r="AT107" s="159">
        <f t="shared" si="27"/>
        <v>67849.975000000006</v>
      </c>
      <c r="AU107" s="159">
        <f t="shared" si="27"/>
        <v>42056.612500000003</v>
      </c>
      <c r="AV107" s="159">
        <f t="shared" si="27"/>
        <v>41626.451999999997</v>
      </c>
      <c r="AW107" s="159">
        <f t="shared" si="27"/>
        <v>41196.286</v>
      </c>
      <c r="AX107" s="159">
        <f t="shared" si="27"/>
        <v>40766.130999999994</v>
      </c>
      <c r="AY107" s="159">
        <f t="shared" si="27"/>
        <v>40335.970499999996</v>
      </c>
      <c r="AZ107" s="159">
        <f t="shared" si="27"/>
        <v>39905.81</v>
      </c>
      <c r="BA107" s="159">
        <f t="shared" si="27"/>
        <v>39475.6495</v>
      </c>
      <c r="BB107" s="159">
        <f t="shared" si="27"/>
        <v>39045.489000000001</v>
      </c>
      <c r="BC107" s="159">
        <f t="shared" si="27"/>
        <v>38615.328500000003</v>
      </c>
      <c r="BD107" s="159">
        <f t="shared" si="27"/>
        <v>38185.167999999998</v>
      </c>
      <c r="BE107" s="159">
        <f t="shared" si="27"/>
        <v>37755.0075</v>
      </c>
      <c r="BF107" s="159">
        <f t="shared" si="27"/>
        <v>37324.846999999994</v>
      </c>
      <c r="BG107" s="159">
        <f t="shared" si="27"/>
        <v>36894.692000000003</v>
      </c>
      <c r="BH107" s="159">
        <f t="shared" si="27"/>
        <v>59965.026000000005</v>
      </c>
      <c r="BI107" s="159">
        <f t="shared" si="27"/>
        <v>59534.865500000007</v>
      </c>
      <c r="BJ107" s="159">
        <f t="shared" si="27"/>
        <v>112930.995</v>
      </c>
      <c r="BK107" s="159">
        <f t="shared" si="27"/>
        <v>0</v>
      </c>
      <c r="BL107" s="159">
        <f t="shared" si="27"/>
        <v>0</v>
      </c>
      <c r="BM107" s="159">
        <f t="shared" si="27"/>
        <v>0</v>
      </c>
      <c r="BN107" s="159">
        <f t="shared" ref="BN107:CS107" si="28">BN103+BN106</f>
        <v>0</v>
      </c>
      <c r="BO107" s="159">
        <f t="shared" si="28"/>
        <v>0</v>
      </c>
      <c r="BP107" s="159">
        <f t="shared" si="28"/>
        <v>0</v>
      </c>
      <c r="BQ107" s="159">
        <f t="shared" si="28"/>
        <v>0</v>
      </c>
      <c r="BR107" s="159">
        <f t="shared" si="28"/>
        <v>0</v>
      </c>
      <c r="BS107" s="159">
        <f t="shared" si="28"/>
        <v>0</v>
      </c>
      <c r="BT107" s="159">
        <f t="shared" si="28"/>
        <v>0</v>
      </c>
      <c r="BU107" s="159">
        <f t="shared" si="28"/>
        <v>0</v>
      </c>
      <c r="BV107" s="159">
        <f t="shared" si="28"/>
        <v>0</v>
      </c>
      <c r="BW107" s="159">
        <f t="shared" si="28"/>
        <v>0</v>
      </c>
      <c r="BX107" s="159">
        <f t="shared" si="28"/>
        <v>0</v>
      </c>
      <c r="BY107" s="159">
        <f t="shared" si="28"/>
        <v>0</v>
      </c>
      <c r="BZ107" s="159">
        <f t="shared" si="28"/>
        <v>0</v>
      </c>
      <c r="CA107" s="159">
        <f t="shared" si="28"/>
        <v>0</v>
      </c>
      <c r="CB107" s="159">
        <f t="shared" si="28"/>
        <v>0</v>
      </c>
      <c r="CC107" s="159">
        <f t="shared" si="28"/>
        <v>0</v>
      </c>
      <c r="CD107" s="159">
        <f t="shared" si="28"/>
        <v>0</v>
      </c>
      <c r="CE107" s="159">
        <f t="shared" si="28"/>
        <v>0</v>
      </c>
      <c r="CF107" s="159">
        <f t="shared" si="28"/>
        <v>0</v>
      </c>
      <c r="CG107" s="159">
        <f t="shared" si="28"/>
        <v>0</v>
      </c>
      <c r="CH107" s="159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C78:G78"/>
    <mergeCell ref="B83:G83"/>
    <mergeCell ref="B88:G88"/>
    <mergeCell ref="C75:G75"/>
    <mergeCell ref="C74:G74"/>
    <mergeCell ref="B86:G86"/>
    <mergeCell ref="B82:G82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0" t="s">
        <v>700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</row>
    <row r="2" spans="1:86" ht="15" customHeight="1" x14ac:dyDescent="0.25">
      <c r="A2" s="106"/>
      <c r="B2" s="106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</row>
    <row r="3" spans="1:86" ht="15" customHeight="1" x14ac:dyDescent="0.25">
      <c r="A3" s="162"/>
      <c r="B3" s="163" t="s">
        <v>701</v>
      </c>
      <c r="C3" s="163" t="s">
        <v>702</v>
      </c>
      <c r="D3" s="163" t="s">
        <v>703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</row>
    <row r="4" spans="1:86" ht="15" customHeight="1" x14ac:dyDescent="0.25">
      <c r="A4" s="106"/>
      <c r="B4" s="62"/>
      <c r="C4" s="62"/>
      <c r="D4" s="62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6"/>
      <c r="CC4" s="106"/>
      <c r="CD4" s="106"/>
      <c r="CE4" s="106"/>
      <c r="CF4" s="106"/>
      <c r="CG4" s="106"/>
      <c r="CH4" s="106"/>
    </row>
    <row r="5" spans="1:86" ht="15" customHeight="1" x14ac:dyDescent="0.25">
      <c r="A5" s="164" t="s">
        <v>49</v>
      </c>
      <c r="B5" s="165"/>
      <c r="C5" s="165"/>
      <c r="D5" s="165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</row>
    <row r="6" spans="1:86" ht="15" customHeight="1" x14ac:dyDescent="0.25">
      <c r="A6" s="166" t="s">
        <v>704</v>
      </c>
      <c r="B6" s="167">
        <f>SUM(Model!C60:CH60)</f>
        <v>1063981</v>
      </c>
      <c r="C6" s="167">
        <f>Helpers!B47</f>
        <v>1912475</v>
      </c>
      <c r="D6" s="167">
        <f>B6+C6</f>
        <v>2976456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</row>
    <row r="7" spans="1:86" ht="15" customHeight="1" x14ac:dyDescent="0.25">
      <c r="A7" s="106" t="s">
        <v>705</v>
      </c>
      <c r="B7" s="62">
        <f>-Projects!$B$7*Assumptions!$B$47</f>
        <v>-429684.47999999998</v>
      </c>
      <c r="C7" s="62">
        <v>0</v>
      </c>
      <c r="D7" s="62">
        <f>B7+C7</f>
        <v>-429684.47999999998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</row>
    <row r="8" spans="1:86" ht="15" customHeight="1" x14ac:dyDescent="0.25">
      <c r="A8" s="166" t="s">
        <v>706</v>
      </c>
      <c r="B8" s="167">
        <f>-Assumptions!$B$53*Assumptions!$B$48</f>
        <v>-150000</v>
      </c>
      <c r="C8" s="167">
        <v>0</v>
      </c>
      <c r="D8" s="167">
        <f>B8+C8</f>
        <v>-150000</v>
      </c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</row>
    <row r="9" spans="1:86" ht="15" customHeight="1" x14ac:dyDescent="0.25">
      <c r="A9" s="106" t="s">
        <v>571</v>
      </c>
      <c r="B9" s="62">
        <v>0</v>
      </c>
      <c r="C9" s="62">
        <v>0</v>
      </c>
      <c r="D9" s="62">
        <f>B9+C9</f>
        <v>0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</row>
    <row r="10" spans="1:86" ht="15" customHeight="1" x14ac:dyDescent="0.25">
      <c r="A10" s="136" t="s">
        <v>707</v>
      </c>
      <c r="B10" s="139">
        <f>SUM(B6:B9)</f>
        <v>484296.52</v>
      </c>
      <c r="C10" s="139">
        <f>SUM(C6:C9)</f>
        <v>1912475</v>
      </c>
      <c r="D10" s="139">
        <f>SUM(D6:D9)</f>
        <v>2396771.52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</row>
    <row r="11" spans="1:86" ht="15" customHeight="1" x14ac:dyDescent="0.25">
      <c r="A11" s="168"/>
      <c r="B11" s="169"/>
      <c r="C11" s="169"/>
      <c r="D11" s="169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</row>
    <row r="12" spans="1:86" ht="15" customHeight="1" x14ac:dyDescent="0.25">
      <c r="A12" s="108" t="s">
        <v>708</v>
      </c>
      <c r="B12" s="108"/>
      <c r="C12" s="170"/>
      <c r="D12" s="170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</row>
    <row r="13" spans="1:86" ht="15" customHeight="1" x14ac:dyDescent="0.25">
      <c r="A13" s="166" t="s">
        <v>704</v>
      </c>
      <c r="B13" s="167">
        <f>SUM(Model!C62:CH62)</f>
        <v>292621</v>
      </c>
      <c r="C13" s="167">
        <f>Helpers!B48</f>
        <v>2633580</v>
      </c>
      <c r="D13" s="167">
        <f>B13+C13</f>
        <v>2926201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</row>
    <row r="14" spans="1:86" ht="15" customHeight="1" x14ac:dyDescent="0.25">
      <c r="A14" s="171" t="s">
        <v>705</v>
      </c>
      <c r="B14" s="172">
        <f>-Projects!$B$14*Assumptions!$B$47</f>
        <v>-413546.32</v>
      </c>
      <c r="C14" s="172">
        <v>0</v>
      </c>
      <c r="D14" s="172">
        <f>B14+C14</f>
        <v>-413546.32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</row>
    <row r="15" spans="1:86" ht="15" customHeight="1" x14ac:dyDescent="0.25">
      <c r="A15" s="166" t="s">
        <v>706</v>
      </c>
      <c r="B15" s="167">
        <f>-Assumptions!$B$55*Assumptions!$B$48</f>
        <v>-150000</v>
      </c>
      <c r="C15" s="167">
        <v>0</v>
      </c>
      <c r="D15" s="167">
        <f>B15+C15</f>
        <v>-150000</v>
      </c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</row>
    <row r="16" spans="1:86" ht="15" customHeight="1" x14ac:dyDescent="0.25">
      <c r="A16" s="171" t="s">
        <v>571</v>
      </c>
      <c r="B16" s="172">
        <f>-SUM(Model!C122:CH122)</f>
        <v>-603840.54700517165</v>
      </c>
      <c r="C16" s="172">
        <f>-Helpers!F93</f>
        <v>-240125.88120644525</v>
      </c>
      <c r="D16" s="172">
        <f>B16+C16</f>
        <v>-843966.42821161693</v>
      </c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6"/>
      <c r="CG16" s="106"/>
      <c r="CH16" s="106"/>
    </row>
    <row r="17" spans="1:86" ht="15" customHeight="1" x14ac:dyDescent="0.25">
      <c r="A17" s="4" t="s">
        <v>707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</row>
    <row r="18" spans="1:86" ht="15" customHeight="1" x14ac:dyDescent="0.25">
      <c r="A18" s="173"/>
      <c r="B18" s="174"/>
      <c r="C18" s="174"/>
      <c r="D18" s="174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</row>
    <row r="19" spans="1:86" ht="15" customHeight="1" x14ac:dyDescent="0.25">
      <c r="A19" s="175" t="s">
        <v>54</v>
      </c>
      <c r="B19" s="176"/>
      <c r="C19" s="176"/>
      <c r="D19" s="176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</row>
    <row r="20" spans="1:86" ht="15" customHeight="1" x14ac:dyDescent="0.25">
      <c r="A20" s="177" t="s">
        <v>704</v>
      </c>
      <c r="B20" s="178">
        <f>SUM(Model!C61:CH61)</f>
        <v>1681289</v>
      </c>
      <c r="C20" s="178">
        <f>Helpers!B49</f>
        <v>2278136</v>
      </c>
      <c r="D20" s="178">
        <f>B20+C20</f>
        <v>3959425</v>
      </c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</row>
    <row r="21" spans="1:86" ht="15" customHeight="1" x14ac:dyDescent="0.25">
      <c r="A21" s="179" t="s">
        <v>705</v>
      </c>
      <c r="B21" s="180">
        <f>-Projects!$B$13*Assumptions!$B$47</f>
        <v>-452667.7</v>
      </c>
      <c r="C21" s="180">
        <v>0</v>
      </c>
      <c r="D21" s="180">
        <f>B21+C21</f>
        <v>-452667.7</v>
      </c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  <c r="CH21" s="106"/>
    </row>
    <row r="22" spans="1:86" ht="15" customHeight="1" x14ac:dyDescent="0.25">
      <c r="A22" s="177" t="s">
        <v>706</v>
      </c>
      <c r="B22" s="178">
        <f>-Assumptions!$B$54*Assumptions!$B$48</f>
        <v>-150000</v>
      </c>
      <c r="C22" s="178">
        <v>0</v>
      </c>
      <c r="D22" s="178">
        <f>B22+C22</f>
        <v>-150000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</row>
    <row r="23" spans="1:86" ht="15" customHeight="1" x14ac:dyDescent="0.25">
      <c r="A23" s="106" t="s">
        <v>571</v>
      </c>
      <c r="B23" s="62">
        <f>-SUM(Model!C127:CH127)</f>
        <v>-738013.27339352097</v>
      </c>
      <c r="C23" s="62">
        <v>0</v>
      </c>
      <c r="D23" s="62">
        <f>B23+C23</f>
        <v>-738013.27339352097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</row>
    <row r="24" spans="1:86" ht="15" customHeight="1" x14ac:dyDescent="0.25">
      <c r="A24" s="141" t="s">
        <v>707</v>
      </c>
      <c r="B24" s="143">
        <f>SUM(B20:B23)</f>
        <v>340608.02660647908</v>
      </c>
      <c r="C24" s="143">
        <f>SUM(C20:C23)</f>
        <v>2278136</v>
      </c>
      <c r="D24" s="143">
        <f>SUM(D20:D23)</f>
        <v>2618744.0266064787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</row>
    <row r="25" spans="1:86" ht="15" customHeight="1" x14ac:dyDescent="0.25">
      <c r="A25" s="124"/>
      <c r="B25" s="181"/>
      <c r="C25" s="181"/>
      <c r="D25" s="181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</row>
    <row r="26" spans="1:86" ht="15" customHeight="1" x14ac:dyDescent="0.25">
      <c r="A26" s="182" t="s">
        <v>709</v>
      </c>
      <c r="B26" s="183"/>
      <c r="C26" s="183"/>
      <c r="D26" s="183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</row>
    <row r="27" spans="1:86" ht="15" customHeight="1" x14ac:dyDescent="0.25">
      <c r="A27" s="184" t="s">
        <v>710</v>
      </c>
      <c r="B27" s="185">
        <f t="shared" ref="B27:D31" si="0">B6+B13+B20</f>
        <v>3037891</v>
      </c>
      <c r="C27" s="185">
        <f t="shared" si="0"/>
        <v>6824191</v>
      </c>
      <c r="D27" s="185">
        <f t="shared" si="0"/>
        <v>9862082</v>
      </c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  <c r="CF27" s="106"/>
      <c r="CG27" s="106"/>
      <c r="CH27" s="106"/>
    </row>
    <row r="28" spans="1:86" ht="15" customHeight="1" x14ac:dyDescent="0.25">
      <c r="A28" s="106" t="s">
        <v>711</v>
      </c>
      <c r="B28" s="62">
        <f t="shared" si="0"/>
        <v>-1295898.5</v>
      </c>
      <c r="C28" s="62">
        <f t="shared" si="0"/>
        <v>0</v>
      </c>
      <c r="D28" s="62">
        <f t="shared" si="0"/>
        <v>-1295898.5</v>
      </c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</row>
    <row r="29" spans="1:86" ht="15" customHeight="1" x14ac:dyDescent="0.25">
      <c r="A29" s="186" t="s">
        <v>712</v>
      </c>
      <c r="B29" s="187">
        <f t="shared" si="0"/>
        <v>-450000</v>
      </c>
      <c r="C29" s="187">
        <f t="shared" si="0"/>
        <v>0</v>
      </c>
      <c r="D29" s="187">
        <f t="shared" si="0"/>
        <v>-450000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</row>
    <row r="30" spans="1:86" ht="15" customHeight="1" x14ac:dyDescent="0.25">
      <c r="A30" s="188" t="s">
        <v>713</v>
      </c>
      <c r="B30" s="189">
        <f t="shared" si="0"/>
        <v>-1341853.8203986925</v>
      </c>
      <c r="C30" s="189">
        <f t="shared" si="0"/>
        <v>-240125.88120644525</v>
      </c>
      <c r="D30" s="189">
        <f t="shared" si="0"/>
        <v>-1581979.7016051379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</row>
    <row r="31" spans="1:86" ht="15" customHeight="1" x14ac:dyDescent="0.25">
      <c r="A31" s="4" t="s">
        <v>714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</row>
    <row r="32" spans="1:86" ht="15" customHeight="1" x14ac:dyDescent="0.25">
      <c r="A32" s="190"/>
      <c r="B32" s="191"/>
      <c r="C32" s="191"/>
      <c r="D32" s="191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  <c r="CF32" s="106"/>
      <c r="CG32" s="106"/>
      <c r="CH32" s="106"/>
    </row>
    <row r="33" spans="1:86" ht="15" customHeight="1" x14ac:dyDescent="0.25">
      <c r="A33" s="124"/>
      <c r="B33" s="181"/>
      <c r="C33" s="181"/>
      <c r="D33" s="181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</row>
    <row r="34" spans="1:86" ht="15" customHeight="1" x14ac:dyDescent="0.25">
      <c r="A34" s="190"/>
      <c r="B34" s="191"/>
      <c r="C34" s="191"/>
      <c r="D34" s="191"/>
    </row>
    <row r="35" spans="1:86" ht="15" customHeight="1" x14ac:dyDescent="0.25">
      <c r="A35" s="168"/>
      <c r="B35" s="169"/>
      <c r="C35" s="169"/>
      <c r="D35" s="169"/>
    </row>
    <row r="37" spans="1:86" ht="15" customHeight="1" x14ac:dyDescent="0.25">
      <c r="A37" s="192"/>
    </row>
    <row r="38" spans="1:86" ht="15" customHeight="1" x14ac:dyDescent="0.25">
      <c r="A38" s="193"/>
    </row>
    <row r="39" spans="1:86" ht="15" customHeight="1" x14ac:dyDescent="0.25">
      <c r="A39" s="193"/>
    </row>
    <row r="40" spans="1:86" ht="15" customHeight="1" x14ac:dyDescent="0.25">
      <c r="A40" s="193" t="s">
        <v>715</v>
      </c>
    </row>
    <row r="41" spans="1:86" ht="15" customHeight="1" x14ac:dyDescent="0.25">
      <c r="A41" s="193" t="s">
        <v>716</v>
      </c>
    </row>
    <row r="42" spans="1:86" ht="15" customHeight="1" x14ac:dyDescent="0.25">
      <c r="A42" s="193" t="s">
        <v>717</v>
      </c>
    </row>
    <row r="43" spans="1:86" ht="15" customHeight="1" x14ac:dyDescent="0.25">
      <c r="A43" s="193" t="s">
        <v>718</v>
      </c>
    </row>
    <row r="44" spans="1:86" ht="15" customHeight="1" x14ac:dyDescent="0.25">
      <c r="A44" s="193" t="s">
        <v>719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2026-04-28T12:30:31Z</dcterms:modified>
  <dc:language>en-US</dc:language>
</cp:coreProperties>
</file>