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Scenario H</author>
  </authors>
  <commentList>
    <comment ref="A39" authorId="0">
      <text>
        <r>
          <rPr>
            <sz val="10"/>
            <rFont val="Arial"/>
            <family val="2"/>
          </rPr>
          <t xml:space="preserve"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<sst xmlns="http://schemas.openxmlformats.org/spreadsheetml/2006/main" count="1408" uniqueCount="753">
  <si>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</si>
  <si>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</si>
  <si>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</si>
  <si>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</si>
  <si>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</si>
  <si>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</si>
  <si>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</si>
  <si>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</si>
  <si>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</si>
  <si>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</si>
  <si>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</si>
  <si>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</si>
  <si>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</si>
  <si>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</si>
  <si>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</si>
  <si>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</si>
  <si>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</si>
  <si>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</si>
  <si>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</si>
  <si>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</si>
  <si>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</si>
  <si>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</si>
  <si>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</si>
  <si>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</si>
  <si>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</si>
  <si>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</si>
  <si>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</si>
  <si>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</si>
  <si>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</si>
  <si>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</si>
  <si>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</si>
  <si>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</si>
  <si>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</si>
  <si>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</si>
  <si>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</si>
  <si>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</si>
  <si>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</si>
  <si>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</si>
  <si>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</si>
  <si>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</si>
  <si>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</si>
  <si>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</si>
  <si>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</si>
  <si>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</si>
  <si>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</si>
  <si>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</si>
  <si>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</si>
  <si>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</si>
  <si>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</si>
  <si>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</si>
  <si>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</si>
  <si>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</si>
  <si>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</si>
  <si>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</si>
  <si>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</si>
  <si>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</si>
  <si>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</si>
  <si>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</si>
  <si>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</si>
  <si>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</si>
  <si>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</si>
  <si>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</si>
  <si>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</si>
  <si>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</si>
  <si>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</si>
  <si>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</si>
  <si>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</si>
  <si>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</si>
  <si>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</si>
  <si>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</si>
  <si>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</si>
  <si>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</si>
  <si>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</si>
  <si>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</si>
  <si>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</si>
  <si>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</si>
  <si>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</si>
  <si>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</si>
  <si>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</si>
  <si>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</si>
  <si>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</si>
  <si>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</si>
  <si>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</si>
  <si>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</si>
  <si>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</si>
  <si>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</si>
  <si>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</si>
  <si>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</si>
  <si>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</si>
  <si>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</si>
  <si>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</si>
  <si>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</si>
  <si>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</si>
  <si>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</si>
  <si>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</si>
  <si>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</si>
  <si>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</si>
  <si>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</si>
  <si>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</si>
  <si>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</si>
  <si>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</si>
  <si>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</si>
  <si>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</si>
  <si>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</si>
  <si>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</si>
  <si>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</si>
  <si>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</si>
  <si>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</si>
  <si>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</si>
  <si>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</si>
  <si>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</si>
  <si>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</si>
  <si>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</si>
  <si>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</si>
  <si>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</si>
  <si>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</si>
  <si>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</si>
  <si>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</si>
  <si>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</si>
  <si>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</si>
  <si>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</si>
  <si>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</si>
  <si>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</si>
  <si>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</si>
  <si>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</si>
  <si>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</si>
  <si>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</si>
  <si>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</si>
  <si>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</si>
  <si>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</si>
  <si>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</si>
  <si>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</si>
  <si>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</si>
  <si>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</si>
  <si>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</si>
  <si>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</si>
  <si>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</si>
  <si>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</si>
  <si>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</si>
  <si>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</si>
  <si>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</si>
  <si>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</si>
  <si>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</si>
  <si>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</si>
  <si>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</si>
  <si>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</si>
  <si>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</si>
  <si>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</si>
  <si>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</si>
  <si>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</si>
  <si>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</si>
  <si>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</si>
  <si>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</si>
  <si>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</si>
  <si>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</si>
  <si>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</si>
  <si>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</si>
  <si>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</si>
  <si>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</si>
  <si>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</si>
  <si>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</si>
  <si>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</si>
  <si>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</si>
  <si>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</si>
  <si>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</si>
  <si>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</si>
  <si>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</si>
  <si>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</si>
  <si>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</si>
  <si>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</si>
  <si>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</si>
  <si>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</si>
  <si>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</si>
  <si>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</si>
  <si>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</si>
  <si>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</si>
  <si>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</si>
  <si>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</si>
  <si>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</si>
  <si>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</si>
  <si>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</si>
  <si>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</si>
  <si>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</si>
  <si>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</si>
  <si>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</si>
  <si>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</si>
  <si>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</si>
  <si>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</si>
  <si>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</si>
  <si>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</si>
  <si>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</si>
  <si>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</si>
  <si>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</si>
  <si>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</si>
  <si>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</si>
  <si>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</si>
  <si>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</si>
  <si>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</si>
  <si>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</si>
  <si>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</si>
  <si>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</si>
  <si>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</si>
  <si>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</si>
  <si>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</si>
  <si>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</si>
  <si>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</si>
  <si>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</si>
  <si>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</si>
  <si>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</si>
  <si>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</si>
  <si>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</si>
  <si>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</si>
  <si>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</si>
  <si>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</si>
  <si>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</si>
  <si>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</si>
  <si>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</si>
  <si>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</si>
  <si>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</si>
  <si>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</si>
  <si>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</si>
  <si>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</si>
  <si>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</si>
  <si>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</si>
  <si>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</si>
  <si>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</si>
  <si>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</si>
  <si>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</si>
  <si>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</si>
  <si>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</si>
  <si>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</si>
  <si>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</si>
  <si>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</si>
  <si>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</si>
  <si>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</si>
  <si>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</si>
  <si>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</si>
  <si>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</si>
  <si>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</si>
  <si>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</si>
  <si>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</si>
  <si>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</si>
  <si>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</si>
  <si>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</si>
  <si>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</si>
  <si>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</si>
  <si>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</si>
  <si>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</si>
  <si>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</si>
  <si>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</si>
  <si>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</si>
  <si>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</si>
  <si>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</si>
  <si>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</si>
  <si>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</si>
  <si>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</si>
  <si>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</si>
  <si>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</si>
  <si>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</si>
  <si>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</si>
  <si>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</si>
  <si>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</si>
  <si>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</si>
  <si>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</si>
  <si>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</si>
  <si>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</si>
  <si>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</si>
  <si>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</si>
  <si>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</si>
  <si>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</si>
  <si>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</si>
  <si>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</si>
  <si>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</si>
  <si>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</si>
  <si>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</si>
  <si>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</si>
  <si>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</si>
  <si>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</si>
  <si>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</si>
  <si>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</si>
  <si>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</si>
  <si>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</si>
  <si>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</si>
  <si>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</si>
  <si>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</si>
  <si>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</si>
  <si>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</si>
  <si>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</si>
  <si>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</si>
  <si>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</si>
  <si>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</si>
  <si>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</si>
  <si>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</si>
  <si>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</si>
  <si>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</si>
  <si>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</si>
  <si>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</si>
  <si>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</si>
  <si>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</si>
  <si>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</si>
  <si>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</si>
  <si>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</si>
  <si>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</si>
  <si>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</si>
  <si>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</si>
  <si>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</si>
  <si>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</si>
  <si>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</si>
  <si>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</si>
  <si>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</si>
  <si>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</si>
  <si>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</si>
  <si>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</si>
  <si>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</si>
  <si>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</si>
  <si>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</si>
  <si>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</si>
  <si>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</si>
  <si>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</si>
  <si>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</si>
  <si>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</si>
  <si>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</si>
  <si>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</si>
  <si>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</si>
  <si>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</si>
  <si>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</si>
  <si>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</si>
  <si>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</si>
  <si>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</si>
  <si>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</si>
  <si>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</si>
  <si>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</si>
  <si>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</si>
  <si>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</si>
  <si>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</si>
  <si>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</si>
  <si>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</si>
  <si>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</si>
  <si>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</si>
  <si>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</si>
  <si>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</si>
  <si>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</si>
  <si>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</si>
  <si>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</si>
  <si>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</si>
  <si>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</si>
  <si>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</si>
  <si>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</si>
  <si>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</si>
  <si>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</si>
  <si>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</si>
  <si>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</si>
  <si>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</si>
  <si>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</si>
  <si>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</si>
  <si>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</si>
  <si>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</si>
  <si>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</si>
  <si>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</si>
  <si>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</si>
  <si>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</si>
  <si>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</si>
  <si>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</si>
  <si>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</si>
  <si>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</si>
  <si>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</si>
  <si>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</si>
  <si>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</si>
  <si>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</si>
  <si>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</si>
  <si>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</si>
  <si>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</si>
  <si>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</si>
  <si>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</si>
  <si>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</si>
  <si>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</si>
  <si>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</si>
  <si>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</si>
  <si>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</si>
  <si>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</si>
  <si>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</si>
  <si>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</si>
  <si>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</si>
  <si>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</si>
  <si>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</si>
  <si>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</si>
  <si>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</si>
  <si>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</si>
  <si>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</si>
  <si>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</si>
  <si>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</si>
  <si>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</si>
  <si>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</si>
  <si>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</si>
  <si>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</si>
  <si>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</si>
  <si>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</si>
  <si>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</si>
  <si>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</si>
  <si>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</si>
  <si>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</si>
  <si>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</si>
  <si>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</si>
  <si>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</si>
  <si>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</si>
  <si>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</si>
  <si>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</si>
  <si>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</si>
  <si>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</si>
  <si>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</si>
  <si>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</si>
  <si>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</si>
  <si>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</si>
  <si>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</si>
  <si>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</si>
  <si>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</si>
  <si>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</si>
  <si>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</si>
  <si>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</si>
  <si>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</si>
  <si>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</si>
  <si>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</si>
  <si>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</si>
  <si>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</si>
  <si>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</si>
  <si>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</si>
  <si>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</si>
  <si>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</si>
  <si>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</si>
  <si>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</si>
  <si>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</si>
  <si>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</si>
  <si>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</si>
  <si>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</si>
  <si>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</si>
  <si>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</si>
  <si>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</si>
  <si>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</si>
  <si>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</si>
  <si>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</si>
  <si>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</si>
  <si>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</si>
  <si>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</si>
  <si>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</si>
  <si>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</si>
  <si>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</si>
  <si>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</si>
  <si>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</si>
  <si>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</si>
  <si>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</si>
  <si>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</si>
  <si>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</si>
  <si>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</si>
  <si>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</si>
  <si>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</si>
  <si>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</si>
  <si>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</si>
  <si>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</si>
  <si>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</si>
  <si>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</si>
  <si>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</si>
  <si>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</si>
  <si>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</si>
  <si>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</si>
  <si>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</si>
  <si>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</si>
  <si>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</si>
  <si>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</si>
  <si>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</si>
  <si>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</si>
  <si>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</si>
  <si>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</si>
  <si>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</si>
  <si>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</si>
  <si>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BD-01</t>
  </si>
  <si>
    <t xml:space="preserve">BD-02</t>
  </si>
  <si>
    <t xml:space="preserve">BD-03</t>
  </si>
  <si>
    <t xml:space="preserve">BD-04</t>
  </si>
  <si>
    <t xml:space="preserve">BD-05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</si>
  <si>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</si>
  <si>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</si>
  <si>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</si>
  <si>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</si>
  <si>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</si>
  <si>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</si>
  <si>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</si>
  <si>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</si>
  <si>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</si>
  <si>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</si>
  <si>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</si>
  <si>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</si>
  <si>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</si>
  <si>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</si>
  <si>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</si>
  <si>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</si>
  <si>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</si>
  <si>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</si>
  <si>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</si>
  <si>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</si>
  <si>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</si>
  <si>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</si>
  <si>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</si>
  <si>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</si>
  <si>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</si>
  <si>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</si>
  <si>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</si>
  <si>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</si>
  <si>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</si>
  <si>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</si>
  <si>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</si>
  <si>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</si>
  <si>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</si>
  <si>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</si>
  <si>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</si>
  <si>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</si>
  <si>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</si>
  <si>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</si>
  <si>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</si>
  <si>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</si>
  <si>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</si>
  <si>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</si>
  <si>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</si>
  <si>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</si>
  <si>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</si>
  <si>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</si>
  <si>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</si>
  <si>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</si>
  <si>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</si>
  <si>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</si>
  <si>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</si>
  <si>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</si>
  <si>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</si>
  <si>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</si>
  <si>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</si>
  <si>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</si>
  <si>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</si>
  <si>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</si>
  <si>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</si>
  <si>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</si>
  <si>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</si>
  <si>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</si>
  <si>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</si>
  <si>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</si>
  <si>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</si>
  <si>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</si>
  <si>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</si>
  <si>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</si>
  <si>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</si>
  <si>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</si>
  <si>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</si>
  <si>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</si>
  <si>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</si>
  <si>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</si>
  <si>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Dir of 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</si>
  <si>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</si>
  <si>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</si>
  <si>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</si>
  <si>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</si>
  <si>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</si>
  <si>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</si>
  <si>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</si>
  <si>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</si>
  <si>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</si>
  <si>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</si>
  <si>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</si>
  <si>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</si>
  <si>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</si>
  <si>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</si>
  <si>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</si>
  <si>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</si>
  <si>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</si>
  <si>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</si>
  <si>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</si>
  <si>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</si>
  <si>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</si>
  <si>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</si>
  <si>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</si>
  <si>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</si>
  <si>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</si>
  <si>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</si>
  <si>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</si>
  <si>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</si>
  <si>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</si>
  <si>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</si>
  <si>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</si>
  <si>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</si>
  <si>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</si>
  <si>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</si>
  <si>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</si>
  <si>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</si>
  <si>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</si>
  <si>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</si>
  <si>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</si>
  <si>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BD PIPELINE (Scenario H)</t>
  </si>
  <si>
    <t xml:space="preserve">BD Construction Billing</t>
  </si>
  <si>
    <t xml:space="preserve">BD Supervision Revenue</t>
  </si>
  <si>
    <t xml:space="preserve">BD GC-CM Fee Revenue</t>
  </si>
  <si>
    <t xml:space="preserve">BD Admin Revenue</t>
  </si>
  <si>
    <t xml:space="preserve">Taggart BD Bonus (allocated to LV)</t>
  </si>
  <si>
    <t xml:space="preserve">Monthly Bonus Cost</t>
  </si>
  <si>
    <t xml:space="preserve">FY2027: $60K | FY2028: $90K | FY2029: $150K | FY2030: $150K | FY2031: $150K | FY2032: $150K | Total: $750K</t>
  </si>
  <si>
    <t xml:space="preserve">BD PIPELINE PHASE 2 (Scenario I Extension)</t>
  </si>
  <si>
    <t xml:space="preserve">BD Phase 2 Billing</t>
  </si>
  <si>
    <t xml:space="preserve">BD Phase 2 Supervision</t>
  </si>
  <si>
    <t xml:space="preserve">BD Phase 2 GC-CM Fee</t>
  </si>
  <si>
    <t xml:space="preserve">BD Phase 2 Admin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</si>
  <si>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</si>
  <si>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</si>
  <si>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</si>
  <si>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</si>
  <si>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</si>
  <si>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</si>
  <si>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</si>
  <si>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</si>
  <si>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</si>
  <si>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</si>
  <si>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</si>
  <si>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</si>
  <si>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</si>
  <si>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</si>
  <si>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</si>
  <si>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</si>
  <si>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</si>
  <si>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(40/45/50%)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</si>
  <si>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</si>
  <si>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</si>
  <si>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</si>
  <si>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</si>
  <si>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</si>
  <si>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</si>
  <si>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</si>
  <si>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</si>
  <si>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</si>
  <si>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</si>
  <si>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</si>
  <si>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</si>
  <si>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</si>
  <si>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</si>
  <si>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</si>
  <si>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</si>
  <si>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</si>
  <si>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</si>
  <si>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</si>
  <si>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</si>
  <si>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</si>
  <si>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</si>
  <si>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</si>
  <si>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</si>
  <si>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</si>
  <si>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</si>
  <si>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</si>
  <si>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</si>
  <si>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</si>
  <si>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</si>
  <si>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</si>
  <si>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</si>
  <si>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</si>
  <si>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</si>
  <si>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</si>
  <si>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</si>
  <si>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</si>
  <si>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</si>
  <si>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</si>
  <si>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</si>
  <si>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</si>
  <si>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</si>
  <si>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</si>
  <si>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</si>
  <si>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</si>
  <si>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</si>
  <si>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</si>
  <si>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</si>
  <si>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Project Manager 1</t>
  </si>
  <si>
    <t xml:space="preserve">Mo 57</t>
  </si>
  <si>
    <t xml:space="preserve">Project Coordinator</t>
  </si>
  <si>
    <t xml:space="preserve">Accountant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</si>
  <si>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</si>
  <si>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</si>
  <si>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</si>
  <si>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</si>
  <si>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</si>
  <si>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</si>
  <si>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</si>
  <si>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</si>
  <si>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</si>
  <si>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</si>
  <si>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</si>
  <si>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</si>
  <si>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</si>
  <si>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</si>
  <si>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Bonus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</si>
  <si>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</si>
  <si>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</si>
  <si>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</si>
  <si>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</si>
  <si>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</si>
  <si>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</si>
  <si>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</si>
  <si>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</si>
  <si>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</si>
  <si>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</si>
  <si>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</si>
  <si>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</si>
  <si>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</si>
  <si>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</si>
  <si>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</si>
  <si>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</si>
  <si>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</si>
  <si>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</si>
  <si>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</si>
  <si>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</si>
  <si>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</si>
  <si>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</si>
  <si>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</si>
  <si>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</si>
  <si>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</si>
  <si>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bonus: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</si>
  <si>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</si>
  <si>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</si>
  <si>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</si>
  <si>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</si>
  <si>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</si>
  <si>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</si>
  <si>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</si>
  <si>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</si>
  <si>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</si>
  <si>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</si>
  <si>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</si>
  <si>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</si>
  <si>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</si>
  <si>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Bonus Rates</t>
  </si>
  <si>
    <t xml:space="preserve">40% (1-20) / 45% (21-40) / 50% (41-60)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</si>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</sst>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  <numFmt numFmtId="173" formatCode="#,##0;\(#,##0\);\-"/>
    <numFmt numFmtId="174" formatCode="#,##0;\(#,##0\);\-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rial"/>
      <family val="2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2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8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8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94436487.6250868</v>
      </c>
      <c r="D3" s="7" t="n">
        <f aca="false">Model!X7+Model!Y7+Model!Z7+Model!AA7+Model!AB7+Model!AC7+Model!AD7+Model!AE7+Model!AF7+Model!AG7+Model!AH7+Model!AI7</f>
        <v>100999523.678054</v>
      </c>
      <c r="E3" s="7" t="n">
        <f aca="false">Model!AJ7+Model!AK7+Model!AL7+Model!AM7+Model!AN7+Model!AO7+Model!AP7+Model!AQ7+Model!AR7+Model!AS7+Model!AT7+Model!AU7</f>
        <v>93823049.824766</v>
      </c>
      <c r="F3" s="7" t="n">
        <f aca="false">Model!AV7+Model!AW7+Model!AX7+Model!AY7+Model!AZ7+Model!BA7+Model!BB7+Model!BC7+Model!BD7+Model!BE7+Model!BF7+Model!BG7</f>
        <v>99347667.920152</v>
      </c>
      <c r="G3" s="7" t="n">
        <f aca="false">Model!BH7+Model!BI7+Model!BJ7+Model!BK7+Model!BL7+Model!BM7+Model!BN7+Model!BO7+Model!BP7+Model!BQ7+Model!BR7+Model!BS7</f>
        <v>95907690</v>
      </c>
      <c r="H3" s="7" t="n">
        <f aca="false">Model!BT7+Model!BU7+Model!BV7+Model!BW7+Model!BX7+Model!BY7+Model!BZ7+Model!CA7+Model!CB7+Model!CC7+Model!CD7+Model!CE7</f>
        <v>96452928</v>
      </c>
      <c r="I3" s="7" t="n">
        <f aca="false">Model!CF7+Model!CG7+Model!CH7</f>
        <v>23761779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4127652.3807224</v>
      </c>
      <c r="D5" s="10" t="n">
        <f aca="false">Model!X8+Model!Y8+Model!Z8+Model!AA8+Model!AB8+Model!AC8+Model!AD8+Model!AE8+Model!AF8+Model!AG8+Model!AH8+Model!AI8</f>
        <v>5237930.93843344</v>
      </c>
      <c r="E5" s="10" t="n">
        <f aca="false">Model!AJ8+Model!AK8+Model!AL8+Model!AM8+Model!AN8+Model!AO8+Model!AP8+Model!AQ8+Model!AR8+Model!AS8+Model!AT8+Model!AU8</f>
        <v>4727758.25381493</v>
      </c>
      <c r="F5" s="10" t="n">
        <f aca="false">Model!AV8+Model!AW8+Model!AX8+Model!AY8+Model!AZ8+Model!BA8+Model!BB8+Model!BC8+Model!BD8+Model!BE8+Model!BF8+Model!BG8</f>
        <v>4827415.34480519</v>
      </c>
      <c r="G5" s="10" t="n">
        <f aca="false">Model!BH8+Model!BI8+Model!BJ8+Model!BK8+Model!BL8+Model!BM8+Model!BN8+Model!BO8+Model!BP8+Model!BQ8+Model!BR8+Model!BS8</f>
        <v>4675324.67532468</v>
      </c>
      <c r="H5" s="10" t="n">
        <f aca="false">Model!BT8+Model!BU8+Model!BV8+Model!BW8+Model!BX8+Model!BY8+Model!BZ8+Model!CA8+Model!CB8+Model!CC8+Model!CD8+Model!CE8</f>
        <v>4704545.45454545</v>
      </c>
      <c r="I5" s="10" t="n">
        <f aca="false">Model!CF8+Model!CG8+Model!CH8</f>
        <v>1161525.97402597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4489027.26349833</v>
      </c>
      <c r="D6" s="10" t="n">
        <f aca="false">Model!X9+Model!Y9+Model!Z9+Model!AA9+Model!AB9+Model!AC9+Model!AD9+Model!AE9+Model!AF9+Model!AG9+Model!AH9+Model!AI9</f>
        <v>4862455.94533204</v>
      </c>
      <c r="E6" s="10" t="n">
        <f aca="false">Model!AJ9+Model!AK9+Model!AL9+Model!AM9+Model!AN9+Model!AO9+Model!AP9+Model!AQ9+Model!AR9+Model!AS9+Model!AT9+Model!AU9</f>
        <v>4679585.06413284</v>
      </c>
      <c r="F6" s="10" t="n">
        <f aca="false">Model!AV9+Model!AW9+Model!AX9+Model!AY9+Model!AZ9+Model!BA9+Model!BB9+Model!BC9+Model!BD9+Model!BE9+Model!BF9+Model!BG9</f>
        <v>4814026.75929275</v>
      </c>
      <c r="G6" s="10" t="n">
        <f aca="false">Model!BH9+Model!BI9+Model!BJ9+Model!BK9+Model!BL9+Model!BM9+Model!BN9+Model!BO9+Model!BP9+Model!BQ9+Model!BR9+Model!BS9</f>
        <v>4671053.83928571</v>
      </c>
      <c r="H6" s="10" t="n">
        <f aca="false">Model!BT9+Model!BU9+Model!BV9+Model!BW9+Model!BX9+Model!BY9+Model!BZ9+Model!CA9+Model!CB9+Model!CC9+Model!CD9+Model!CE9</f>
        <v>4703585.14285714</v>
      </c>
      <c r="I6" s="10" t="n">
        <f aca="false">Model!CF9+Model!CG9+Model!CH9</f>
        <v>1172419.96996753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1275373.54253247</v>
      </c>
      <c r="D7" s="10" t="n">
        <f aca="false">Model!X10+Model!Y10+Model!Z10+Model!AA10+Model!AB10+Model!AC10+Model!AD10+Model!AE10+Model!AF10+Model!AG10+Model!AH10+Model!AI10</f>
        <v>1745976.97947781</v>
      </c>
      <c r="E7" s="10" t="n">
        <f aca="false">Model!AJ10+Model!AK10+Model!AL10+Model!AM10+Model!AN10+Model!AO10+Model!AP10+Model!AQ10+Model!AR10+Model!AS10+Model!AT10+Model!AU10</f>
        <v>1575919.41793831</v>
      </c>
      <c r="F7" s="10" t="n">
        <f aca="false">Model!AV10+Model!AW10+Model!AX10+Model!AY10+Model!AZ10+Model!BA10+Model!BB10+Model!BC10+Model!BD10+Model!BE10+Model!BF10+Model!BG10</f>
        <v>1609138.4482684</v>
      </c>
      <c r="G7" s="10" t="n">
        <f aca="false">Model!BH10+Model!BI10+Model!BJ10+Model!BK10+Model!BL10+Model!BM10+Model!BN10+Model!BO10+Model!BP10+Model!BQ10+Model!BR10+Model!BS10</f>
        <v>1558441.55844156</v>
      </c>
      <c r="H7" s="10" t="n">
        <f aca="false">Model!BT10+Model!BU10+Model!BV10+Model!BW10+Model!BX10+Model!BY10+Model!BZ10+Model!CA10+Model!CB10+Model!CC10+Model!CD10+Model!CE10</f>
        <v>1568181.81818182</v>
      </c>
      <c r="I7" s="10" t="n">
        <f aca="false">Model!CF10+Model!CG10+Model!CH10</f>
        <v>387175.324675325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10571054.7367532</v>
      </c>
      <c r="D9" s="12" t="n">
        <f aca="false">Model!X12+Model!Y12+Model!Z12+Model!AA12+Model!AB12+Model!AC12+Model!AD12+Model!AE12+Model!AF12+Model!AG12+Model!AH12+Model!AI12</f>
        <v>12466683.3432433</v>
      </c>
      <c r="E9" s="12" t="n">
        <f aca="false">Model!AJ12+Model!AK12+Model!AL12+Model!AM12+Model!AN12+Model!AO12+Model!AP12+Model!AQ12+Model!AR12+Model!AS12+Model!AT12+Model!AU12</f>
        <v>10983262.7358861</v>
      </c>
      <c r="F9" s="12" t="n">
        <f aca="false">Model!AV12+Model!AW12+Model!AX12+Model!AY12+Model!AZ12+Model!BA12+Model!BB12+Model!BC12+Model!BD12+Model!BE12+Model!BF12+Model!BG12</f>
        <v>11250580.5523663</v>
      </c>
      <c r="G9" s="12" t="n">
        <f aca="false">Model!BH12+Model!BI12+Model!BJ12+Model!BK12+Model!BL12+Model!BM12+Model!BN12+Model!BO12+Model!BP12+Model!BQ12+Model!BR12+Model!BS12</f>
        <v>10904820.0730519</v>
      </c>
      <c r="H9" s="12" t="n">
        <f aca="false">Model!BT12+Model!BU12+Model!BV12+Model!BW12+Model!BX12+Model!BY12+Model!BZ12+Model!CA12+Model!CB12+Model!CC12+Model!CD12+Model!CE12</f>
        <v>10976312.4155844</v>
      </c>
      <c r="I9" s="12" t="n">
        <f aca="false">Model!CF12+Model!CG12+Model!CH12</f>
        <v>2721121.26866883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-657750</v>
      </c>
      <c r="C14" s="10" t="n">
        <f aca="false">Model!L18+Model!M18+Model!N18+Model!O18+Model!P18+Model!Q18+Model!R18+Model!S18+Model!T18+Model!U18+Model!V18+Model!W18</f>
        <v>-890155</v>
      </c>
      <c r="D14" s="10" t="n">
        <f aca="false">Model!X18+Model!Y18+Model!Z18+Model!AA18+Model!AB18+Model!AC18+Model!AD18+Model!AE18+Model!AF18+Model!AG18+Model!AH18+Model!AI18</f>
        <v>-907958.1</v>
      </c>
      <c r="E14" s="10" t="n">
        <f aca="false">Model!AJ18+Model!AK18+Model!AL18+Model!AM18+Model!AN18+Model!AO18+Model!AP18+Model!AQ18+Model!AR18+Model!AS18+Model!AT18+Model!AU18</f>
        <v>-926117.262</v>
      </c>
      <c r="F14" s="10" t="n">
        <f aca="false">Model!AV18+Model!AW18+Model!AX18+Model!AY18+Model!AZ18+Model!BA18+Model!BB18+Model!BC18+Model!BD18+Model!BE18+Model!BF18+Model!BG18</f>
        <v>-944639.60724</v>
      </c>
      <c r="G14" s="10" t="n">
        <f aca="false">Model!BH18+Model!BI18+Model!BJ18+Model!BK18+Model!BL18+Model!BM18+Model!BN18+Model!BO18+Model!BP18+Model!BQ18+Model!BR18+Model!BS18</f>
        <v>-963532.3993848</v>
      </c>
      <c r="H14" s="10" t="n">
        <f aca="false">Model!BT18+Model!BU18+Model!BV18+Model!BW18+Model!BX18+Model!BY18+Model!BZ18+Model!CA18+Model!CB18+Model!CC18+Model!CD18+Model!CE18</f>
        <v>-982803.047372496</v>
      </c>
      <c r="I14" s="10" t="n">
        <f aca="false">Model!CF18+Model!CG18+Model!CH18</f>
        <v>-246911.110423632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-4234726.8442</v>
      </c>
      <c r="C15" s="12" t="n">
        <f aca="false">Model!L39+Model!M39+Model!N39+Model!O39+Model!P39+Model!Q39+Model!R39+Model!S39+Model!T39+Model!U39+Model!V39+Model!W39</f>
        <v>-6459215.2157</v>
      </c>
      <c r="D15" s="12" t="n">
        <f aca="false">Model!X39+Model!Y39+Model!Z39+Model!AA39+Model!AB39+Model!AC39+Model!AD39+Model!AE39+Model!AF39+Model!AG39+Model!AH39+Model!AI39</f>
        <v>-6446293.794514</v>
      </c>
      <c r="E15" s="12" t="n">
        <f aca="false">Model!AJ39+Model!AK39+Model!AL39+Model!AM39+Model!AN39+Model!AO39+Model!AP39+Model!AQ39+Model!AR39+Model!AS39+Model!AT39+Model!AU39</f>
        <v>-5109215.77960428</v>
      </c>
      <c r="F15" s="12" t="n">
        <f aca="false">Model!AV39+Model!AW39+Model!AX39+Model!AY39+Model!AZ39+Model!BA39+Model!BB39+Model!BC39+Model!BD39+Model!BE39+Model!BF39+Model!BG39</f>
        <v>-5158902.25519637</v>
      </c>
      <c r="G15" s="12" t="n">
        <f aca="false">Model!BH39+Model!BI39+Model!BJ39+Model!BK39+Model!BL39+Model!BM39+Model!BN39+Model!BO39+Model!BP39+Model!BQ39+Model!BR39+Model!BS39</f>
        <v>-5197342.46030029</v>
      </c>
      <c r="H15" s="12" t="n">
        <f aca="false">Model!BT39+Model!BU39+Model!BV39+Model!BW39+Model!BX39+Model!BY39+Model!BZ39+Model!CA39+Model!CB39+Model!CC39+Model!CD39+Model!CE39</f>
        <v>-5140551.4695063</v>
      </c>
      <c r="I15" s="12" t="n">
        <f aca="false">Model!CF39+Model!CG39+Model!CH39</f>
        <v>-1274100.50219124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2209628.6951103</v>
      </c>
      <c r="C16" s="16" t="n">
        <f aca="false">Model!L41+Model!M41+Model!N41+Model!O41+Model!P41+Model!Q41+Model!R41+Model!S41+Model!T41+Model!U41+Model!V41+Model!W41</f>
        <v>4111839.5210532</v>
      </c>
      <c r="D16" s="16" t="n">
        <f aca="false">Model!X41+Model!Y41+Model!Z41+Model!AA41+Model!AB41+Model!AC41+Model!AD41+Model!AE41+Model!AF41+Model!AG41+Model!AH41+Model!AI41</f>
        <v>6020389.5487293</v>
      </c>
      <c r="E16" s="16" t="n">
        <f aca="false">Model!AJ41+Model!AK41+Model!AL41+Model!AM41+Model!AN41+Model!AO41+Model!AP41+Model!AQ41+Model!AR41+Model!AS41+Model!AT41+Model!AU41</f>
        <v>5874046.95628181</v>
      </c>
      <c r="F16" s="16" t="n">
        <f aca="false">Model!AV41+Model!AW41+Model!AX41+Model!AY41+Model!AZ41+Model!BA41+Model!BB41+Model!BC41+Model!BD41+Model!BE41+Model!BF41+Model!BG41</f>
        <v>6091678.29716997</v>
      </c>
      <c r="G16" s="16" t="n">
        <f aca="false">Model!BH41+Model!BI41+Model!BJ41+Model!BK41+Model!BL41+Model!BM41+Model!BN41+Model!BO41+Model!BP41+Model!BQ41+Model!BR41+Model!BS41</f>
        <v>5707477.61275165</v>
      </c>
      <c r="H16" s="16" t="n">
        <f aca="false">Model!BT41+Model!BU41+Model!BV41+Model!BW41+Model!BX41+Model!BY41+Model!BZ41+Model!CA41+Model!CB41+Model!CC41+Model!CD41+Model!CE41</f>
        <v>5835760.94607812</v>
      </c>
      <c r="I16" s="16" t="n">
        <f aca="false">Model!CF41+Model!CG41+Model!CH41</f>
        <v>1447020.76647759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0.342878148424875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0.388971547631596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0.482918301762452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0.53481803153896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0.541454573727638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0.523390351653395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0.531668626504505</v>
      </c>
      <c r="I17" s="17" t="n">
        <f aca="false">IF((Model!CF12+Model!CG12+Model!CH12)&lt;&gt;0,(Model!CF41+Model!CG41+Model!CH41)/(Model!CF12+Model!CG12+Model!CH12),0)</f>
        <v>0.531773715173479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314812.5</v>
      </c>
      <c r="D19" s="19" t="n">
        <f aca="false">Model!X64+Model!Y64+Model!Z64+Model!AA64+Model!AB64+Model!AC64+Model!AD64+Model!AE64+Model!AF64+Model!AG64+Model!AH64+Model!AI64</f>
        <v>200250</v>
      </c>
      <c r="E19" s="19" t="n">
        <f aca="false">Model!AJ64+Model!AK64+Model!AL64+Model!AM64+Model!AN64+Model!AO64+Model!AP64+Model!AQ64+Model!AR64+Model!AS64+Model!AT64+Model!AU64</f>
        <v>163365</v>
      </c>
      <c r="F19" s="19" t="n">
        <f aca="false">Model!AV64+Model!AW64+Model!AX64+Model!AY64+Model!AZ64+Model!BA64+Model!BB64+Model!BC64+Model!BD64+Model!BE64+Model!BF64+Model!BG64</f>
        <v>1276957</v>
      </c>
      <c r="G19" s="19" t="n">
        <f aca="false">Model!BH64+Model!BI64+Model!BJ64+Model!BK64+Model!BL64+Model!BM64+Model!BN64+Model!BO64+Model!BP64+Model!BQ64+Model!BR64+Model!BS64</f>
        <v>546560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-928831.25</v>
      </c>
      <c r="C20" s="10" t="n">
        <f aca="false">Model!L85+Model!M85+Model!N85+Model!O85+Model!P85+Model!Q85+Model!R85+Model!S85+Model!T85+Model!U85+Model!V85+Model!W85</f>
        <v>-1242351.625</v>
      </c>
      <c r="D20" s="10" t="n">
        <f aca="false">Model!X85+Model!Y85+Model!Z85+Model!AA85+Model!AB85+Model!AC85+Model!AD85+Model!AE85+Model!AF85+Model!AG85+Model!AH85+Model!AI85</f>
        <v>-1267198.6575</v>
      </c>
      <c r="E20" s="10" t="n">
        <f aca="false">Model!AJ85+Model!AK85+Model!AL85+Model!AM85+Model!AN85+Model!AO85+Model!AP85+Model!AQ85+Model!AR85+Model!AS85+Model!AT85+Model!AU85</f>
        <v>-1455907.63065</v>
      </c>
      <c r="F20" s="10" t="n">
        <f aca="false">Model!AV85+Model!AW85+Model!AX85+Model!AY85+Model!AZ85+Model!BA85+Model!BB85+Model!BC85+Model!BD85+Model!BE85+Model!BF85+Model!BG85</f>
        <v>-2595350.483263</v>
      </c>
      <c r="G20" s="10" t="n">
        <f aca="false">Model!BH85+Model!BI85+Model!BJ85+Model!BK85+Model!BL85+Model!BM85+Model!BN85+Model!BO85+Model!BP85+Model!BQ85+Model!BR85+Model!BS85</f>
        <v>-1772045.83292826</v>
      </c>
      <c r="H20" s="10" t="n">
        <f aca="false">Model!BT85+Model!BU85+Model!BV85+Model!BW85+Model!BX85+Model!BY85+Model!BZ85+Model!CA85+Model!CB85+Model!CC85+Model!CD85+Model!CE85</f>
        <v>-1903127.57998683</v>
      </c>
      <c r="I20" s="10" t="n">
        <f aca="false">Model!CF85+Model!CG85+Model!CH85</f>
        <v>-480063.540440317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-558383.35</v>
      </c>
      <c r="C21" s="16" t="n">
        <f aca="false">Model!L87+Model!M87+Model!N87+Model!O87+Model!P87+Model!Q87+Model!R87+Model!S87+Model!T87+Model!U87+Model!V87+Model!W87</f>
        <v>-927539.125</v>
      </c>
      <c r="D21" s="16" t="n">
        <f aca="false">Model!X87+Model!Y87+Model!Z87+Model!AA87+Model!AB87+Model!AC87+Model!AD87+Model!AE87+Model!AF87+Model!AG87+Model!AH87+Model!AI87</f>
        <v>-1066948.6575</v>
      </c>
      <c r="E21" s="16" t="n">
        <f aca="false">Model!AJ87+Model!AK87+Model!AL87+Model!AM87+Model!AN87+Model!AO87+Model!AP87+Model!AQ87+Model!AR87+Model!AS87+Model!AT87+Model!AU87</f>
        <v>-1292542.63065</v>
      </c>
      <c r="F21" s="16" t="n">
        <f aca="false">Model!AV87+Model!AW87+Model!AX87+Model!AY87+Model!AZ87+Model!BA87+Model!BB87+Model!BC87+Model!BD87+Model!BE87+Model!BF87+Model!BG87</f>
        <v>-1318393.483263</v>
      </c>
      <c r="G21" s="16" t="n">
        <f aca="false">Model!BH87+Model!BI87+Model!BJ87+Model!BK87+Model!BL87+Model!BM87+Model!BN87+Model!BO87+Model!BP87+Model!BQ87+Model!BR87+Model!BS87</f>
        <v>-1225485.83292826</v>
      </c>
      <c r="H21" s="16" t="n">
        <f aca="false">Model!BT87+Model!BU87+Model!BV87+Model!BW87+Model!BX87+Model!BY87+Model!BZ87+Model!CA87+Model!CB87+Model!CC87+Model!CD87+Model!CE87</f>
        <v>-1083134.57998683</v>
      </c>
      <c r="I21" s="16" t="n">
        <f aca="false">Model!CF87+Model!CG87+Model!CH87</f>
        <v>-249047.540440317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3184300.3960532</v>
      </c>
      <c r="D23" s="16" t="n">
        <f aca="false">Model!X96+Model!Y96+Model!Z96+Model!AA96+Model!AB96+Model!AC96+Model!AD96+Model!AE96+Model!AF96+Model!AG96+Model!AH96+Model!AI96</f>
        <v>4953440.8912293</v>
      </c>
      <c r="E23" s="16" t="n">
        <f aca="false">Model!AJ96+Model!AK96+Model!AL96+Model!AM96+Model!AN96+Model!AO96+Model!AP96+Model!AQ96+Model!AR96+Model!AS96+Model!AT96+Model!AU96</f>
        <v>4581504.32563181</v>
      </c>
      <c r="F23" s="16" t="n">
        <f aca="false">Model!AV96+Model!AW96+Model!AX96+Model!AY96+Model!AZ96+Model!BA96+Model!BB96+Model!BC96+Model!BD96+Model!BE96+Model!BF96+Model!BG96</f>
        <v>4773284.81390697</v>
      </c>
      <c r="G23" s="16" t="n">
        <f aca="false">Model!BH96+Model!BI96+Model!BJ96+Model!BK96+Model!BL96+Model!BM96+Model!BN96+Model!BO96+Model!BP96+Model!BQ96+Model!BR96+Model!BS96</f>
        <v>4481991.77982339</v>
      </c>
      <c r="H23" s="16" t="n">
        <f aca="false">Model!BT96+Model!BU96+Model!BV96+Model!BW96+Model!BX96+Model!BY96+Model!BZ96+Model!CA96+Model!CB96+Model!CC96+Model!CD96+Model!CE96</f>
        <v>4752626.36609129</v>
      </c>
      <c r="I23" s="16" t="n">
        <f aca="false">Model!CF96+Model!CG96+Model!CH96</f>
        <v>1197973.22603728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-250000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0</v>
      </c>
      <c r="G36" s="10" t="n">
        <f aca="false">Model!BS108</f>
        <v>0</v>
      </c>
      <c r="H36" s="10" t="n">
        <f aca="false">Model!CE108</f>
        <v>0</v>
      </c>
      <c r="I36" s="10" t="n">
        <f aca="false">Model!CH108</f>
        <v>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3861544.3851103</v>
      </c>
      <c r="C42" s="21" t="n">
        <f aca="false">Model!W148</f>
        <v>7973383.90616351</v>
      </c>
      <c r="D42" s="21" t="n">
        <f aca="false">Model!AI148</f>
        <v>13993773.4548928</v>
      </c>
      <c r="E42" s="21" t="n">
        <f aca="false">Model!AU148</f>
        <v>19867820.4111746</v>
      </c>
      <c r="F42" s="21" t="n">
        <f aca="false">Model!BG148</f>
        <v>25959498.7083446</v>
      </c>
      <c r="G42" s="21" t="n">
        <f aca="false">Model!BS148</f>
        <v>31666976.3210962</v>
      </c>
      <c r="H42" s="21" t="n">
        <f aca="false">Model!CE148</f>
        <v>37502737.2671744</v>
      </c>
      <c r="I42" s="21" t="n">
        <f aca="false">Model!CH148</f>
        <v>38949758.033652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-496752.19</v>
      </c>
      <c r="C43" s="21" t="n">
        <f aca="false">Model!W156</f>
        <v>-3170260.55828545</v>
      </c>
      <c r="D43" s="21" t="n">
        <f aca="false">Model!AI156</f>
        <v>-4487209.21578545</v>
      </c>
      <c r="E43" s="21" t="n">
        <f aca="false">Model!AU156</f>
        <v>-6029751.84643545</v>
      </c>
      <c r="F43" s="21" t="n">
        <f aca="false">Model!BG156</f>
        <v>-7598145.32969845</v>
      </c>
      <c r="G43" s="21" t="n">
        <f aca="false">Model!BS156</f>
        <v>-8823631.16262671</v>
      </c>
      <c r="H43" s="21" t="n">
        <f aca="false">Model!CE156</f>
        <v>-9906765.74261354</v>
      </c>
      <c r="I43" s="21" t="n">
        <f aca="false">Model!CH156</f>
        <v>-10155813.2830539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-955290.118815961</v>
      </c>
      <c r="E44" s="21" t="n">
        <f aca="false">Model!AJ160+Model!AK160+Model!AL160+Model!AM160+Model!AN160+Model!AO160+Model!AP160+Model!AQ160+Model!AR160+Model!AS160+Model!AT160+Model!AU160</f>
        <v>-1486032.26736879</v>
      </c>
      <c r="F44" s="21" t="n">
        <f aca="false">Model!AV160+Model!AW160+Model!AX160+Model!AY160+Model!AZ160+Model!BA160+Model!BB160+Model!BC160+Model!BD160+Model!BE160+Model!BF160+Model!BG160</f>
        <v>-1374451.29768954</v>
      </c>
      <c r="G44" s="21" t="n">
        <f aca="false">Model!BH160+Model!BI160+Model!BJ160+Model!BK160+Model!BL160+Model!BM160+Model!BN160+Model!BO160+Model!BP160+Model!BQ160+Model!BR160+Model!BS160</f>
        <v>-1431985.44417209</v>
      </c>
      <c r="H44" s="21" t="n">
        <f aca="false">Model!BT160+Model!BU160+Model!BV160+Model!BW160+Model!BX160+Model!BY160+Model!BZ160+Model!CA160+Model!CB160+Model!CC160+Model!CD160+Model!CE160</f>
        <v>-1344597.53394702</v>
      </c>
      <c r="I44" s="21" t="n">
        <f aca="false">Model!CF160+Model!CG160+Model!CH160</f>
        <v>-1425787.90982739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4803123.34787806</v>
      </c>
      <c r="D45" s="23" t="n">
        <f aca="false">Model!AI161</f>
        <v>9506564.23910736</v>
      </c>
      <c r="E45" s="23" t="n">
        <f aca="false">Model!AU161</f>
        <v>13838068.5647392</v>
      </c>
      <c r="F45" s="23" t="n">
        <f aca="false">Model!BG161</f>
        <v>18361353.3786461</v>
      </c>
      <c r="G45" s="23" t="n">
        <f aca="false">Model!BS161</f>
        <v>22843345.1584695</v>
      </c>
      <c r="H45" s="23" t="n">
        <f aca="false">Model!CE161</f>
        <v>27595971.5245608</v>
      </c>
      <c r="I45" s="23" t="n">
        <f aca="false">Model!CH161</f>
        <v>27368156.8407707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7918296.09189598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7560335.250135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8075367.153194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8193941.592646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8146580.23756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8523514.90509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8519750.868168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8451553.239149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8718366.390411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8619238.130184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8181095.65184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8655814.335464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8008332.436803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8151909.00201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8202609.612952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8558600.471479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8521869.209771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8410384.329823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8627165.470215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8099682.114442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7986352.473827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7756249.833278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7742375.53439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7668557.120626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7698000.745206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7689169.4799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8095765.69681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7131888.366216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7615406.197416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7712436.79244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7814661.336568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7915584.497504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8323099.780008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8331594.171264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8335027.303824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8330177.874136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8708399.16012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8313785.666536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8621249.124984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8532154.075376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8382429.929832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7739505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8148939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7727298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8089773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7680546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8130981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7807581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8184648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7848534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8211084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7859112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8284584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7934610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8284584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7859112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8211084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7848534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8264199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7905864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8249427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7819782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8169876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7807581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8225304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7807581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8169876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7819782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7772121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387897.01544237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290764.68731737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327290.661343344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339540.661343344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315040.661343344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351566.635369318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351566.635369318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351566.635369318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388092.609395292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421272.249005682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354912.969784903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455216.379525162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455216.379525162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455216.379525162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455216.379525162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543520.125466721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450751.617451299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555382.57849026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464842.484983766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377180.147321429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452289.440340909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360049.240097403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360049.240097403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396575.214123377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367354.434902597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367354.434902597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557939.10211039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304848.864285714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341374.838311688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377900.812337662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341374.838311688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341374.838311688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377900.812337662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414426.786363636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377900.812337662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377900.812337662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458257.955194805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385206.007142857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421731.981168831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465563.15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515128.000649351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350649.350649351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438311.688311688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350649.350649351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431006.493506493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343344.155844156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423701.298701299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350649.350649351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423701.298701299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350649.350649351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423701.298701299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350649.350649351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431006.493506493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357954.545454545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438311.688311688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350649.350649351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423701.298701299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350649.350649351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431006.493506493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357954.545454545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438311.688311688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350649.350649351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423701.298701299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350649.350649351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438311.688311688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350649.350649351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423701.298701299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350649.350649351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387175.324675325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415007.526978953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349788.238033843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373616.824457839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388971.519302615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376911.585666331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394350.933108872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394176.785296734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391021.537850238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403365.977478431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431959.325828318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378508.483891948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400471.929481695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370515.38059884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377158.12752806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379503.853845993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447751.98204083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394274.792984535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493747.768506421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442977.623216116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374741.786138956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444607.7435131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358852.467935752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358210.556380057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391321.230418573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356157.502010342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355748.912625243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521314.086621891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329965.614346032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352336.163354474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393351.377572305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361554.948201604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366224.282757896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385078.480081539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421997.457599065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385630.321686662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385405.956839084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439430.80529776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384647.551130318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398872.727373448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438581.803812039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488524.676948396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358077.747564935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420851.885551948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357512.975649351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418114.497564935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355349.936688312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412715.841720779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361227.367694805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415198.811688312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363122.108766234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416421.905844156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363611.512987013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419822.474025974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367104.521103896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427127.668831169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363611.512987013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416421.905844156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363122.108766234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418879.336850649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365774.551948052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425501.086850649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361791.862012987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414515.366883117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361227.367694805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424385.006493506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361227.367694805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414515.366883117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361791.862012987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396112.741071429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112156.69785579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92838.22910579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105013.553781115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105013.553781115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105013.553781115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117188.878456439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117188.878456439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117188.878456439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129364.203131764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140424.083001894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118304.323261634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151738.793175054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151738.793175054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151738.793175054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151738.793175054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181173.375155574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150250.539150433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185127.52616342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154947.494994589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125726.71577381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150763.146780303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120016.413365801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120016.413365801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132191.738041126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122451.478300866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122451.478300866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185979.700703463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101616.288095238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113791.612770563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125966.937445887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113791.612770563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113791.612770563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125966.937445887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138142.262121212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125966.937445887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125966.937445887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152752.651731602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128402.002380952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140577.327056277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155187.716666667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171709.333549784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116883.116883117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146103.896103896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116883.116883117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143668.831168831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114448.051948052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141233.766233766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116883.116883117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141233.766233766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116883.116883117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141233.766233766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116883.116883117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143668.831168831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119318.181818182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146103.896103896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116883.116883117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141233.766233766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116883.116883117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143668.831168831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119318.181818182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146103.896103896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116883.116883117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141233.766233766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116883.116883117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146103.896103896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116883.116883117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141233.766233766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116883.116883117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129058.441558442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915061.240277114</v>
      </c>
      <c r="S12" s="12" t="n">
        <f aca="false">S8+S9+S10+S11</f>
        <v>733391.154457004</v>
      </c>
      <c r="T12" s="12" t="n">
        <f aca="false">T8+T9+T10+T11</f>
        <v>805921.039582298</v>
      </c>
      <c r="U12" s="12" t="n">
        <f aca="false">U8+U9+U10+U11</f>
        <v>833525.734427074</v>
      </c>
      <c r="V12" s="12" t="n">
        <f aca="false">V8+V9+V10+V11</f>
        <v>796965.80079079</v>
      </c>
      <c r="W12" s="12" t="n">
        <f aca="false">W8+W9+W10+W11</f>
        <v>863106.446934629</v>
      </c>
      <c r="X12" s="12" t="n">
        <f aca="false">X8+X9+X10+X11</f>
        <v>862932.299122491</v>
      </c>
      <c r="Y12" s="12" t="n">
        <f aca="false">Y8+Y9+Y10+Y11</f>
        <v>859777.051675995</v>
      </c>
      <c r="Z12" s="12" t="n">
        <f aca="false">Z8+Z9+Z10+Z11</f>
        <v>920822.790005487</v>
      </c>
      <c r="AA12" s="12" t="n">
        <f aca="false">AA8+AA9+AA10+AA11</f>
        <v>993655.657835894</v>
      </c>
      <c r="AB12" s="12" t="n">
        <f aca="false">AB8+AB9+AB10+AB11</f>
        <v>851725.776938485</v>
      </c>
      <c r="AC12" s="12" t="n">
        <f aca="false">AC8+AC9+AC10+AC11</f>
        <v>1627746.58218191</v>
      </c>
      <c r="AD12" s="12" t="n">
        <f aca="false">AD8+AD9+AD10+AD11</f>
        <v>977470.553299057</v>
      </c>
      <c r="AE12" s="12" t="n">
        <f aca="false">AE8+AE9+AE10+AE11</f>
        <v>984113.300228276</v>
      </c>
      <c r="AF12" s="12" t="n">
        <f aca="false">AF8+AF9+AF10+AF11</f>
        <v>986459.02654621</v>
      </c>
      <c r="AG12" s="12" t="n">
        <f aca="false">AG8+AG9+AG10+AG11</f>
        <v>1172445.48266312</v>
      </c>
      <c r="AH12" s="12" t="n">
        <f aca="false">AH8+AH9+AH10+AH11</f>
        <v>995276.949586266</v>
      </c>
      <c r="AI12" s="12" t="n">
        <f aca="false">AI8+AI9+AI10+AI11</f>
        <v>1234257.8731601</v>
      </c>
      <c r="AJ12" s="12" t="n">
        <f aca="false">AJ8+AJ9+AJ10+AJ11</f>
        <v>1062767.60319447</v>
      </c>
      <c r="AK12" s="12" t="n">
        <f aca="false">AK8+AK9+AK10+AK11</f>
        <v>877648.649234194</v>
      </c>
      <c r="AL12" s="12" t="n">
        <f aca="false">AL8+AL9+AL10+AL11</f>
        <v>1047660.33063431</v>
      </c>
      <c r="AM12" s="12" t="n">
        <f aca="false">AM8+AM9+AM10+AM11</f>
        <v>838918.121398955</v>
      </c>
      <c r="AN12" s="12" t="n">
        <f aca="false">AN8+AN9+AN10+AN11</f>
        <v>838276.20984326</v>
      </c>
      <c r="AO12" s="12" t="n">
        <f aca="false">AO8+AO9+AO10+AO11</f>
        <v>920088.182583075</v>
      </c>
      <c r="AP12" s="12" t="n">
        <f aca="false">AP8+AP9+AP10+AP11</f>
        <v>845963.415213806</v>
      </c>
      <c r="AQ12" s="12" t="n">
        <f aca="false">AQ8+AQ9+AQ10+AQ11</f>
        <v>845554.825828707</v>
      </c>
      <c r="AR12" s="12" t="n">
        <f aca="false">AR8+AR9+AR10+AR11</f>
        <v>1265232.88943574</v>
      </c>
      <c r="AS12" s="12" t="n">
        <f aca="false">AS8+AS9+AS10+AS11</f>
        <v>736430.766726985</v>
      </c>
      <c r="AT12" s="12" t="n">
        <f aca="false">AT8+AT9+AT10+AT11</f>
        <v>807502.614436725</v>
      </c>
      <c r="AU12" s="12" t="n">
        <f aca="false">AU8+AU9+AU10+AU11</f>
        <v>897219.127355855</v>
      </c>
      <c r="AV12" s="12" t="n">
        <f aca="false">AV8+AV9+AV10+AV11</f>
        <v>816721.399283855</v>
      </c>
      <c r="AW12" s="12" t="n">
        <f aca="false">AW8+AW9+AW10+AW11</f>
        <v>821390.733840147</v>
      </c>
      <c r="AX12" s="12" t="n">
        <f aca="false">AX8+AX9+AX10+AX11</f>
        <v>888946.229865089</v>
      </c>
      <c r="AY12" s="12" t="n">
        <f aca="false">AY8+AY9+AY10+AY11</f>
        <v>974566.506083913</v>
      </c>
      <c r="AZ12" s="12" t="n">
        <f aca="false">AZ8+AZ9+AZ10+AZ11</f>
        <v>889498.071470212</v>
      </c>
      <c r="BA12" s="12" t="n">
        <f aca="false">BA8+BA9+BA10+BA11</f>
        <v>889273.706622634</v>
      </c>
      <c r="BB12" s="12" t="n">
        <f aca="false">BB8+BB9+BB10+BB11</f>
        <v>1050441.41222417</v>
      </c>
      <c r="BC12" s="12" t="n">
        <f aca="false">BC8+BC9+BC10+BC11</f>
        <v>898255.560654128</v>
      </c>
      <c r="BD12" s="12" t="n">
        <f aca="false">BD8+BD9+BD10+BD11</f>
        <v>961182.035598556</v>
      </c>
      <c r="BE12" s="12" t="n">
        <f aca="false">BE8+BE9+BE10+BE11</f>
        <v>1059332.67047871</v>
      </c>
      <c r="BF12" s="12" t="n">
        <f aca="false">BF8+BF9+BF10+BF11</f>
        <v>1175362.01114753</v>
      </c>
      <c r="BG12" s="12" t="n">
        <f aca="false">BG8+BG9+BG10+BG11</f>
        <v>825610.215097403</v>
      </c>
      <c r="BH12" s="12" t="n">
        <f aca="false">BH8+BH9+BH10+BH11</f>
        <v>1005267.46996753</v>
      </c>
      <c r="BI12" s="12" t="n">
        <f aca="false">BI8+BI9+BI10+BI11</f>
        <v>825045.443181818</v>
      </c>
      <c r="BJ12" s="12" t="n">
        <f aca="false">BJ8+BJ9+BJ10+BJ11</f>
        <v>992789.82224026</v>
      </c>
      <c r="BK12" s="12" t="n">
        <f aca="false">BK8+BK9+BK10+BK11</f>
        <v>813142.14448052</v>
      </c>
      <c r="BL12" s="12" t="n">
        <f aca="false">BL8+BL9+BL10+BL11</f>
        <v>977650.906655844</v>
      </c>
      <c r="BM12" s="12" t="n">
        <f aca="false">BM8+BM9+BM10+BM11</f>
        <v>828759.835227273</v>
      </c>
      <c r="BN12" s="12" t="n">
        <f aca="false">BN8+BN9+BN10+BN11</f>
        <v>980133.876623377</v>
      </c>
      <c r="BO12" s="12" t="n">
        <f aca="false">BO8+BO9+BO10+BO11</f>
        <v>830654.576298701</v>
      </c>
      <c r="BP12" s="12" t="n">
        <f aca="false">BP8+BP9+BP10+BP11</f>
        <v>981356.970779221</v>
      </c>
      <c r="BQ12" s="12" t="n">
        <f aca="false">BQ8+BQ9+BQ10+BQ11</f>
        <v>831143.980519481</v>
      </c>
      <c r="BR12" s="12" t="n">
        <f aca="false">BR8+BR9+BR10+BR11</f>
        <v>994497.798701299</v>
      </c>
      <c r="BS12" s="12" t="n">
        <f aca="false">BS8+BS9+BS10+BS11</f>
        <v>844377.248376623</v>
      </c>
      <c r="BT12" s="12" t="n">
        <f aca="false">BT8+BT9+BT10+BT11</f>
        <v>1011543.25324675</v>
      </c>
      <c r="BU12" s="12" t="n">
        <f aca="false">BU8+BU9+BU10+BU11</f>
        <v>831143.98051948</v>
      </c>
      <c r="BV12" s="12" t="n">
        <f aca="false">BV8+BV9+BV10+BV11</f>
        <v>981356.970779221</v>
      </c>
      <c r="BW12" s="12" t="n">
        <f aca="false">BW8+BW9+BW10+BW11</f>
        <v>830654.576298701</v>
      </c>
      <c r="BX12" s="12" t="n">
        <f aca="false">BX8+BX9+BX10+BX11</f>
        <v>993554.661525974</v>
      </c>
      <c r="BY12" s="12" t="n">
        <f aca="false">BY8+BY9+BY10+BY11</f>
        <v>843047.279220779</v>
      </c>
      <c r="BZ12" s="12" t="n">
        <f aca="false">BZ8+BZ9+BZ10+BZ11</f>
        <v>1009916.67126623</v>
      </c>
      <c r="CA12" s="12" t="n">
        <f aca="false">CA8+CA9+CA10+CA11</f>
        <v>829324.329545455</v>
      </c>
      <c r="CB12" s="12" t="n">
        <f aca="false">CB8+CB9+CB10+CB11</f>
        <v>979450.431818182</v>
      </c>
      <c r="CC12" s="12" t="n">
        <f aca="false">CC8+CC9+CC10+CC11</f>
        <v>828759.835227273</v>
      </c>
      <c r="CD12" s="12" t="n">
        <f aca="false">CD8+CD9+CD10+CD11</f>
        <v>1008800.59090909</v>
      </c>
      <c r="CE12" s="12" t="n">
        <f aca="false">CE8+CE9+CE10+CE11</f>
        <v>828759.835227273</v>
      </c>
      <c r="CF12" s="12" t="n">
        <f aca="false">CF8+CF9+CF10+CF11</f>
        <v>979450.431818182</v>
      </c>
      <c r="CG12" s="12" t="n">
        <f aca="false">CG8+CG9+CG10+CG11</f>
        <v>829324.329545455</v>
      </c>
      <c r="CH12" s="12" t="n">
        <f aca="false">CH8+CH9+CH10+CH11</f>
        <v>912346.507305195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-73083.3333333333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-73083.3333333333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-73083.3333333333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-73083.3333333333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-73083.3333333333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-73083.3333333333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-73083.3333333333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-73083.3333333333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-73083.3333333333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-73083.3333333333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-73083.3333333333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-73083.3333333333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-74545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-74545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-74545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-74545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-74545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-74545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-74545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-74545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-74545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-74545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-74545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-74545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-76035.9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-76035.9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-76035.9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-76035.9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-76035.9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-76035.9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-76035.9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-76035.9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-76035.9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-76035.9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-76035.9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-76035.9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-77556.618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-77556.618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-77556.618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-77556.618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-77556.618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-77556.618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-77556.618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-77556.618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-77556.618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-77556.618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-77556.618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-77556.618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-79107.75036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-79107.75036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-79107.75036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-79107.75036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-79107.75036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-79107.75036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-79107.75036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-79107.75036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-79107.75036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-79107.75036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-79107.75036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-79107.75036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-80689.9053672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-80689.9053672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-80689.9053672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-80689.9053672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-80689.9053672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-80689.9053672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-80689.9053672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-80689.9053672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-80689.9053672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-80689.9053672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-80689.9053672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-80689.9053672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-82303.703474544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-82303.703474544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-82303.703474544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-82303.703474544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-82303.703474544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-82303.703474544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-82303.703474544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-82303.703474544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-82303.703474544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-82303.703474544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-82303.703474544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-82303.703474544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C15+C16+C17+C18+C19+C20+C21+C22+C23+SUM(C24:C38)+Helpers!C103</f>
        <v>-328758.698333333</v>
      </c>
      <c r="D39" s="12" t="n">
        <f aca="false">D15+D16+D17+D18+D19+D20+D21+D22+D23+SUM(D24:D38)+Helpers!D103</f>
        <v>-370989.948333333</v>
      </c>
      <c r="E39" s="12" t="n">
        <f aca="false">E15+E16+E17+E18+E19+E20+E21+E22+E23+SUM(E24:E38)+Helpers!E103</f>
        <v>-405939.948333333</v>
      </c>
      <c r="F39" s="12" t="n">
        <f aca="false">F15+F16+F17+F18+F19+F20+F21+F22+F23+SUM(F24:F38)+Helpers!F103</f>
        <v>-723906.463533333</v>
      </c>
      <c r="G39" s="12" t="n">
        <f aca="false">G15+G16+G17+G18+G19+G20+G21+G22+G23+SUM(G24:G38)+Helpers!G103</f>
        <v>-405939.948333333</v>
      </c>
      <c r="H39" s="12" t="n">
        <f aca="false">H15+H16+H17+H18+H19+H20+H21+H22+H23+SUM(H24:H38)+Helpers!H103</f>
        <v>-405939.948333333</v>
      </c>
      <c r="I39" s="12" t="n">
        <f aca="false">I15+I16+I17+I18+I19+I20+I21+I22+I23+SUM(I24:I38)+Helpers!I103</f>
        <v>-624022.795333333</v>
      </c>
      <c r="J39" s="12" t="n">
        <f aca="false">J15+J16+J17+J18+J19+J20+J21+J22+J23+SUM(J24:J38)+Helpers!J103</f>
        <v>-563289.145333333</v>
      </c>
      <c r="K39" s="12" t="n">
        <f aca="false">K15+K16+K17+K18+K19+K20+K21+K22+K23+SUM(K24:K38)+Helpers!K103</f>
        <v>-405939.948333333</v>
      </c>
      <c r="L39" s="12" t="n">
        <f aca="false">L15+L16+L17+L18+L19+L20+L21+L22+L23+SUM(L24:L38)+Helpers!L103</f>
        <v>-405939.948333333</v>
      </c>
      <c r="M39" s="12" t="n">
        <f aca="false">M15+M16+M17+M18+M19+M20+M21+M22+M23+SUM(M24:M38)+Helpers!M103</f>
        <v>-405939.948333333</v>
      </c>
      <c r="N39" s="12" t="n">
        <f aca="false">N15+N16+N17+N18+N19+N20+N21+N22+N23+SUM(N24:N38)+Helpers!N103</f>
        <v>-435939.948333333</v>
      </c>
      <c r="O39" s="12" t="n">
        <f aca="false">O15+O16+O17+O18+O19+O20+O21+O22+O23+SUM(O24:O38)+Helpers!O103</f>
        <v>-1880083.9523</v>
      </c>
      <c r="P39" s="12" t="n">
        <f aca="false">P15+P16+P17+P18+P19+P20+P21+P22+P23+SUM(P24:P38)+Helpers!P103</f>
        <v>-408913.9273</v>
      </c>
      <c r="Q39" s="12" t="n">
        <f aca="false">Q15+Q16+Q17+Q18+Q19+Q20+Q21+Q22+Q23+SUM(Q24:Q38)+Helpers!Q103</f>
        <v>-438913.9273</v>
      </c>
      <c r="R39" s="12" t="n">
        <f aca="false">R15+R16+R17+R18+R19+R20+R21+R22+R23+SUM(R24:R38)+Helpers!R103</f>
        <v>-408913.9273</v>
      </c>
      <c r="S39" s="12" t="n">
        <f aca="false">S15+S16+S17+S18+S19+S20+S21+S22+S23+SUM(S24:S38)+Helpers!S103</f>
        <v>-408913.9273</v>
      </c>
      <c r="T39" s="12" t="n">
        <f aca="false">T15+T16+T17+T18+T19+T20+T21+T22+T23+SUM(T24:T38)+Helpers!T103</f>
        <v>-438913.9273</v>
      </c>
      <c r="U39" s="12" t="n">
        <f aca="false">U15+U16+U17+U18+U19+U20+U21+U22+U23+SUM(U24:U38)+Helpers!U103</f>
        <v>-408913.9273</v>
      </c>
      <c r="V39" s="12" t="n">
        <f aca="false">V15+V16+V17+V18+V19+V20+V21+V22+V23+SUM(V24:V38)+Helpers!V103</f>
        <v>-408913.9273</v>
      </c>
      <c r="W39" s="12" t="n">
        <f aca="false">W15+W16+W17+W18+W19+W20+W21+W22+W23+SUM(W24:W38)+Helpers!W103</f>
        <v>-408913.9273</v>
      </c>
      <c r="X39" s="12" t="n">
        <f aca="false">X15+X16+X17+X18+X19+X20+X21+X22+X23+SUM(X24:X38)+Helpers!X103</f>
        <v>-438913.9273</v>
      </c>
      <c r="Y39" s="12" t="n">
        <f aca="false">Y15+Y16+Y17+Y18+Y19+Y20+Y21+Y22+Y23+SUM(Y24:Y38)+Helpers!Y103</f>
        <v>-408913.9273</v>
      </c>
      <c r="Z39" s="12" t="n">
        <f aca="false">Z15+Z16+Z17+Z18+Z19+Z20+Z21+Z22+Z23+SUM(Z24:Z38)+Helpers!Z103</f>
        <v>-408913.9273</v>
      </c>
      <c r="AA39" s="12" t="n">
        <f aca="false">AA15+AA16+AA17+AA18+AA19+AA20+AA21+AA22+AA23+SUM(AA24:AA38)+Helpers!AA103</f>
        <v>-441947.385846</v>
      </c>
      <c r="AB39" s="12" t="n">
        <f aca="false">AB15+AB16+AB17+AB18+AB19+AB20+AB21+AB22+AB23+SUM(AB24:AB38)+Helpers!AB103</f>
        <v>-411947.385846</v>
      </c>
      <c r="AC39" s="12" t="n">
        <f aca="false">AC15+AC16+AC17+AC18+AC19+AC20+AC21+AC22+AC23+SUM(AC24:AC38)+Helpers!AC103</f>
        <v>-1755972.925846</v>
      </c>
      <c r="AD39" s="12" t="n">
        <f aca="false">AD15+AD16+AD17+AD18+AD19+AD20+AD21+AD22+AD23+SUM(AD24:AD38)+Helpers!AD103</f>
        <v>-447947.385846</v>
      </c>
      <c r="AE39" s="12" t="n">
        <f aca="false">AE15+AE16+AE17+AE18+AE19+AE20+AE21+AE22+AE23+SUM(AE24:AE38)+Helpers!AE103</f>
        <v>-411947.385846</v>
      </c>
      <c r="AF39" s="12" t="n">
        <f aca="false">AF15+AF16+AF17+AF18+AF19+AF20+AF21+AF22+AF23+SUM(AF24:AF38)+Helpers!AF103</f>
        <v>-411947.385846</v>
      </c>
      <c r="AG39" s="12" t="n">
        <f aca="false">AG15+AG16+AG17+AG18+AG19+AG20+AG21+AG22+AG23+SUM(AG24:AG38)+Helpers!AG103</f>
        <v>-447947.385846</v>
      </c>
      <c r="AH39" s="12" t="n">
        <f aca="false">AH15+AH16+AH17+AH18+AH19+AH20+AH21+AH22+AH23+SUM(AH24:AH38)+Helpers!AH103</f>
        <v>-411947.385846</v>
      </c>
      <c r="AI39" s="12" t="n">
        <f aca="false">AI15+AI16+AI17+AI18+AI19+AI20+AI21+AI22+AI23+SUM(AI24:AI38)+Helpers!AI103</f>
        <v>-447947.385846</v>
      </c>
      <c r="AJ39" s="12" t="n">
        <f aca="false">AJ15+AJ16+AJ17+AJ18+AJ19+AJ20+AJ21+AJ22+AJ23+SUM(AJ24:AJ38)+Helpers!AJ103</f>
        <v>-411947.385846</v>
      </c>
      <c r="AK39" s="12" t="n">
        <f aca="false">AK15+AK16+AK17+AK18+AK19+AK20+AK21+AK22+AK23+SUM(AK24:AK38)+Helpers!AK103</f>
        <v>-441947.385846</v>
      </c>
      <c r="AL39" s="12" t="n">
        <f aca="false">AL15+AL16+AL17+AL18+AL19+AL20+AL21+AL22+AL23+SUM(AL24:AL38)+Helpers!AL103</f>
        <v>-411947.385846</v>
      </c>
      <c r="AM39" s="12" t="n">
        <f aca="false">AM15+AM16+AM17+AM18+AM19+AM20+AM21+AM22+AM23+SUM(AM24:AM38)+Helpers!AM103</f>
        <v>-427041.51356292</v>
      </c>
      <c r="AN39" s="12" t="n">
        <f aca="false">AN15+AN16+AN17+AN18+AN19+AN20+AN21+AN22+AN23+SUM(AN24:AN38)+Helpers!AN103</f>
        <v>-415041.51356292</v>
      </c>
      <c r="AO39" s="12" t="n">
        <f aca="false">AO15+AO16+AO17+AO18+AO19+AO20+AO21+AO22+AO23+SUM(AO24:AO38)+Helpers!AO103</f>
        <v>-415041.51356292</v>
      </c>
      <c r="AP39" s="12" t="n">
        <f aca="false">AP15+AP16+AP17+AP18+AP19+AP20+AP21+AP22+AP23+SUM(AP24:AP38)+Helpers!AP103</f>
        <v>-415041.51356292</v>
      </c>
      <c r="AQ39" s="12" t="n">
        <f aca="false">AQ15+AQ16+AQ17+AQ18+AQ19+AQ20+AQ21+AQ22+AQ23+SUM(AQ24:AQ38)+Helpers!AQ103</f>
        <v>-445041.51356292</v>
      </c>
      <c r="AR39" s="12" t="n">
        <f aca="false">AR15+AR16+AR17+AR18+AR19+AR20+AR21+AR22+AR23+SUM(AR24:AR38)+Helpers!AR103</f>
        <v>-415041.51356292</v>
      </c>
      <c r="AS39" s="12" t="n">
        <f aca="false">AS15+AS16+AS17+AS18+AS19+AS20+AS21+AS22+AS23+SUM(AS24:AS38)+Helpers!AS103</f>
        <v>-451041.51356292</v>
      </c>
      <c r="AT39" s="12" t="n">
        <f aca="false">AT15+AT16+AT17+AT18+AT19+AT20+AT21+AT22+AT23+SUM(AT24:AT38)+Helpers!AT103</f>
        <v>-415041.51356292</v>
      </c>
      <c r="AU39" s="12" t="n">
        <f aca="false">AU15+AU16+AU17+AU18+AU19+AU20+AU21+AU22+AU23+SUM(AU24:AU38)+Helpers!AU103</f>
        <v>-445041.51356292</v>
      </c>
      <c r="AV39" s="12" t="n">
        <f aca="false">AV15+AV16+AV17+AV18+AV19+AV20+AV21+AV22+AV23+SUM(AV24:AV38)+Helpers!AV103</f>
        <v>-415041.51356292</v>
      </c>
      <c r="AW39" s="12" t="n">
        <f aca="false">AW15+AW16+AW17+AW18+AW19+AW20+AW21+AW22+AW23+SUM(AW24:AW38)+Helpers!AW103</f>
        <v>-445041.51356292</v>
      </c>
      <c r="AX39" s="12" t="n">
        <f aca="false">AX15+AX16+AX17+AX18+AX19+AX20+AX21+AX22+AX23+SUM(AX24:AX38)+Helpers!AX103</f>
        <v>-415041.51356292</v>
      </c>
      <c r="AY39" s="12" t="n">
        <f aca="false">AY15+AY16+AY17+AY18+AY19+AY20+AY21+AY22+AY23+SUM(AY24:AY38)+Helpers!AY103</f>
        <v>-442197.523834178</v>
      </c>
      <c r="AZ39" s="12" t="n">
        <f aca="false">AZ15+AZ16+AZ17+AZ18+AZ19+AZ20+AZ21+AZ22+AZ23+SUM(AZ24:AZ38)+Helpers!AZ103</f>
        <v>-418197.523834178</v>
      </c>
      <c r="BA39" s="12" t="n">
        <f aca="false">BA15+BA16+BA17+BA18+BA19+BA20+BA21+BA22+BA23+SUM(BA24:BA38)+Helpers!BA103</f>
        <v>-418197.523834178</v>
      </c>
      <c r="BB39" s="12" t="n">
        <f aca="false">BB15+BB16+BB17+BB18+BB19+BB20+BB21+BB22+BB23+SUM(BB24:BB38)+Helpers!BB103</f>
        <v>-418197.523834178</v>
      </c>
      <c r="BC39" s="12" t="n">
        <f aca="false">BC15+BC16+BC17+BC18+BC19+BC20+BC21+BC22+BC23+SUM(BC24:BC38)+Helpers!BC103</f>
        <v>-454197.523834178</v>
      </c>
      <c r="BD39" s="12" t="n">
        <f aca="false">BD15+BD16+BD17+BD18+BD19+BD20+BD21+BD22+BD23+SUM(BD24:BD38)+Helpers!BD103</f>
        <v>-418197.523834178</v>
      </c>
      <c r="BE39" s="12" t="n">
        <f aca="false">BE15+BE16+BE17+BE18+BE19+BE20+BE21+BE22+BE23+SUM(BE24:BE38)+Helpers!BE103</f>
        <v>-448197.523834178</v>
      </c>
      <c r="BF39" s="12" t="n">
        <f aca="false">BF15+BF16+BF17+BF18+BF19+BF20+BF21+BF22+BF23+SUM(BF24:BF38)+Helpers!BF103</f>
        <v>-418197.523834178</v>
      </c>
      <c r="BG39" s="12" t="n">
        <f aca="false">BG15+BG16+BG17+BG18+BG19+BG20+BG21+BG22+BG23+SUM(BG24:BG38)+Helpers!BG103</f>
        <v>-448197.523834178</v>
      </c>
      <c r="BH39" s="12" t="n">
        <f aca="false">BH15+BH16+BH17+BH18+BH19+BH20+BH21+BH22+BH23+SUM(BH24:BH38)+Helpers!BH103</f>
        <v>-418197.523834178</v>
      </c>
      <c r="BI39" s="12" t="n">
        <f aca="false">BI15+BI16+BI17+BI18+BI19+BI20+BI21+BI22+BI23+SUM(BI24:BI38)+Helpers!BI103</f>
        <v>-454197.523834178</v>
      </c>
      <c r="BJ39" s="12" t="n">
        <f aca="false">BJ15+BJ16+BJ17+BJ18+BJ19+BJ20+BJ21+BJ22+BJ23+SUM(BJ24:BJ38)+Helpers!BJ103</f>
        <v>-418197.523834178</v>
      </c>
      <c r="BK39" s="12" t="n">
        <f aca="false">BK15+BK16+BK17+BK18+BK19+BK20+BK21+BK22+BK23+SUM(BK24:BK38)+Helpers!BK103</f>
        <v>-439416.654310862</v>
      </c>
      <c r="BL39" s="12" t="n">
        <f aca="false">BL15+BL16+BL17+BL18+BL19+BL20+BL21+BL22+BL23+SUM(BL24:BL38)+Helpers!BL103</f>
        <v>-421416.654310862</v>
      </c>
      <c r="BM39" s="12" t="n">
        <f aca="false">BM15+BM16+BM17+BM18+BM19+BM20+BM21+BM22+BM23+SUM(BM24:BM38)+Helpers!BM103</f>
        <v>-421416.654310862</v>
      </c>
      <c r="BN39" s="12" t="n">
        <f aca="false">BN15+BN16+BN17+BN18+BN19+BN20+BN21+BN22+BN23+SUM(BN24:BN38)+Helpers!BN103</f>
        <v>-421416.654310862</v>
      </c>
      <c r="BO39" s="12" t="n">
        <f aca="false">BO15+BO16+BO17+BO18+BO19+BO20+BO21+BO22+BO23+SUM(BO24:BO38)+Helpers!BO103</f>
        <v>-457416.654310862</v>
      </c>
      <c r="BP39" s="12" t="n">
        <f aca="false">BP15+BP16+BP17+BP18+BP19+BP20+BP21+BP22+BP23+SUM(BP24:BP38)+Helpers!BP103</f>
        <v>-421416.654310862</v>
      </c>
      <c r="BQ39" s="12" t="n">
        <f aca="false">BQ15+BQ16+BQ17+BQ18+BQ19+BQ20+BQ21+BQ22+BQ23+SUM(BQ24:BQ38)+Helpers!BQ103</f>
        <v>-451416.654310862</v>
      </c>
      <c r="BR39" s="12" t="n">
        <f aca="false">BR15+BR16+BR17+BR18+BR19+BR20+BR21+BR22+BR23+SUM(BR24:BR38)+Helpers!BR103</f>
        <v>-421416.654310862</v>
      </c>
      <c r="BS39" s="12" t="n">
        <f aca="false">BS15+BS16+BS17+BS18+BS19+BS20+BS21+BS22+BS23+SUM(BS24:BS38)+Helpers!BS103</f>
        <v>-451416.654310862</v>
      </c>
      <c r="BT39" s="12" t="n">
        <f aca="false">BT15+BT16+BT17+BT18+BT19+BT20+BT21+BT22+BT23+SUM(BT24:BT38)+Helpers!BT103</f>
        <v>-421416.654310862</v>
      </c>
      <c r="BU39" s="12" t="n">
        <f aca="false">BU15+BU16+BU17+BU18+BU19+BU20+BU21+BU22+BU23+SUM(BU24:BU38)+Helpers!BU103</f>
        <v>-457416.654310862</v>
      </c>
      <c r="BV39" s="12" t="n">
        <f aca="false">BV15+BV16+BV17+BV18+BV19+BV20+BV21+BV22+BV23+SUM(BV24:BV38)+Helpers!BV103</f>
        <v>-421416.654310862</v>
      </c>
      <c r="BW39" s="12" t="n">
        <f aca="false">BW15+BW16+BW17+BW18+BW19+BW20+BW21+BW22+BW23+SUM(BW24:BW38)+Helpers!BW103</f>
        <v>-442700.167397079</v>
      </c>
      <c r="BX39" s="12" t="n">
        <f aca="false">BX15+BX16+BX17+BX18+BX19+BX20+BX21+BX22+BX23+SUM(BX24:BX38)+Helpers!BX103</f>
        <v>-424700.167397079</v>
      </c>
      <c r="BY39" s="12" t="n">
        <f aca="false">BY15+BY16+BY17+BY18+BY19+BY20+BY21+BY22+BY23+SUM(BY24:BY38)+Helpers!BY103</f>
        <v>-424700.167397079</v>
      </c>
      <c r="BZ39" s="12" t="n">
        <f aca="false">BZ15+BZ16+BZ17+BZ18+BZ19+BZ20+BZ21+BZ22+BZ23+SUM(BZ24:BZ38)+Helpers!BZ103</f>
        <v>-424700.167397079</v>
      </c>
      <c r="CA39" s="12" t="n">
        <f aca="false">CA15+CA16+CA17+CA18+CA19+CA20+CA21+CA22+CA23+SUM(CA24:CA38)+Helpers!CA103</f>
        <v>-424700.167397079</v>
      </c>
      <c r="CB39" s="12" t="n">
        <f aca="false">CB15+CB16+CB17+CB18+CB19+CB20+CB21+CB22+CB23+SUM(CB24:CB38)+Helpers!CB103</f>
        <v>-424700.167397079</v>
      </c>
      <c r="CC39" s="12" t="n">
        <f aca="false">CC15+CC16+CC17+CC18+CC19+CC20+CC21+CC22+CC23+SUM(CC24:CC38)+Helpers!CC103</f>
        <v>-424700.167397079</v>
      </c>
      <c r="CD39" s="12" t="n">
        <f aca="false">CD15+CD16+CD17+CD18+CD19+CD20+CD21+CD22+CD23+SUM(CD24:CD38)+Helpers!CD103</f>
        <v>-424700.167397079</v>
      </c>
      <c r="CE39" s="12" t="n">
        <f aca="false">CE15+CE16+CE17+CE18+CE19+CE20+CE21+CE22+CE23+SUM(CE24:CE38)+Helpers!CE103</f>
        <v>-424700.167397079</v>
      </c>
      <c r="CF39" s="12" t="n">
        <f aca="false">CF15+CF16+CF17+CF18+CF19+CF20+CF21+CF22+CF23+SUM(CF24:CF38)+Helpers!CF103</f>
        <v>-424700.167397079</v>
      </c>
      <c r="CG39" s="12" t="n">
        <f aca="false">CG15+CG16+CG17+CG18+CG19+CG20+CG21+CG22+CG23+SUM(CG24:CG38)+Helpers!CG103</f>
        <v>-424700.167397079</v>
      </c>
      <c r="CH39" s="12" t="n">
        <f aca="false">CH15+CH16+CH17+CH18+CH19+CH20+CH21+CH22+CH23+SUM(CH24:CH38)+Helpers!CH103</f>
        <v>-424700.167397079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66687.2086787023</v>
      </c>
      <c r="D41" s="16" t="n">
        <f aca="false">D12+D39</f>
        <v>34172.293614881</v>
      </c>
      <c r="E41" s="16" t="n">
        <f aca="false">E12+E39</f>
        <v>6502.36763621948</v>
      </c>
      <c r="F41" s="16" t="n">
        <f aca="false">F12+F39</f>
        <v>466502.427596377</v>
      </c>
      <c r="G41" s="16" t="n">
        <f aca="false">G12+G39</f>
        <v>148589.09331542</v>
      </c>
      <c r="H41" s="16" t="n">
        <f aca="false">H12+H39</f>
        <v>154237.021718898</v>
      </c>
      <c r="I41" s="16" t="n">
        <f aca="false">I12+I39</f>
        <v>486022.210377636</v>
      </c>
      <c r="J41" s="16" t="n">
        <f aca="false">J12+J39</f>
        <v>534372.091829295</v>
      </c>
      <c r="K41" s="16" t="n">
        <f aca="false">K12+K39</f>
        <v>312543.980342874</v>
      </c>
      <c r="L41" s="16" t="n">
        <f aca="false">L12+L39</f>
        <v>321631.439500752</v>
      </c>
      <c r="M41" s="16" t="n">
        <f aca="false">M12+M39</f>
        <v>328131.350937816</v>
      </c>
      <c r="N41" s="16" t="n">
        <f aca="false">N12+N39</f>
        <v>301882.620938278</v>
      </c>
      <c r="O41" s="16" t="n">
        <f aca="false">O12+O39</f>
        <v>-335640.991969663</v>
      </c>
      <c r="P41" s="16" t="n">
        <f aca="false">P12+P39</f>
        <v>459283.397906424</v>
      </c>
      <c r="Q41" s="16" t="n">
        <f aca="false">Q12+Q39</f>
        <v>572063.85107069</v>
      </c>
      <c r="R41" s="16" t="n">
        <f aca="false">R12+R39</f>
        <v>506147.312977114</v>
      </c>
      <c r="S41" s="16" t="n">
        <f aca="false">S12+S39</f>
        <v>324477.227157004</v>
      </c>
      <c r="T41" s="16" t="n">
        <f aca="false">T12+T39</f>
        <v>367007.112282298</v>
      </c>
      <c r="U41" s="16" t="n">
        <f aca="false">U12+U39</f>
        <v>424611.807127074</v>
      </c>
      <c r="V41" s="16" t="n">
        <f aca="false">V12+V39</f>
        <v>388051.87349079</v>
      </c>
      <c r="W41" s="16" t="n">
        <f aca="false">W12+W39</f>
        <v>454192.519634629</v>
      </c>
      <c r="X41" s="16" t="n">
        <f aca="false">X12+X39</f>
        <v>424018.371822491</v>
      </c>
      <c r="Y41" s="16" t="n">
        <f aca="false">Y12+Y39</f>
        <v>450863.124375995</v>
      </c>
      <c r="Z41" s="16" t="n">
        <f aca="false">Z12+Z39</f>
        <v>511908.862705487</v>
      </c>
      <c r="AA41" s="16" t="n">
        <f aca="false">AA12+AA39</f>
        <v>551708.271989894</v>
      </c>
      <c r="AB41" s="16" t="n">
        <f aca="false">AB12+AB39</f>
        <v>439778.391092485</v>
      </c>
      <c r="AC41" s="16" t="n">
        <f aca="false">AC12+AC39</f>
        <v>-128226.343664089</v>
      </c>
      <c r="AD41" s="16" t="n">
        <f aca="false">AD12+AD39</f>
        <v>529523.167453056</v>
      </c>
      <c r="AE41" s="16" t="n">
        <f aca="false">AE12+AE39</f>
        <v>572165.914382276</v>
      </c>
      <c r="AF41" s="16" t="n">
        <f aca="false">AF12+AF39</f>
        <v>574511.64070021</v>
      </c>
      <c r="AG41" s="16" t="n">
        <f aca="false">AG12+AG39</f>
        <v>724498.096817125</v>
      </c>
      <c r="AH41" s="16" t="n">
        <f aca="false">AH12+AH39</f>
        <v>583329.563740266</v>
      </c>
      <c r="AI41" s="16" t="n">
        <f aca="false">AI12+AI39</f>
        <v>786310.487314101</v>
      </c>
      <c r="AJ41" s="16" t="n">
        <f aca="false">AJ12+AJ39</f>
        <v>650820.217348471</v>
      </c>
      <c r="AK41" s="16" t="n">
        <f aca="false">AK12+AK39</f>
        <v>435701.263388194</v>
      </c>
      <c r="AL41" s="16" t="n">
        <f aca="false">AL12+AL39</f>
        <v>635712.944788312</v>
      </c>
      <c r="AM41" s="16" t="n">
        <f aca="false">AM12+AM39</f>
        <v>411876.607836035</v>
      </c>
      <c r="AN41" s="16" t="n">
        <f aca="false">AN12+AN39</f>
        <v>423234.69628034</v>
      </c>
      <c r="AO41" s="16" t="n">
        <f aca="false">AO12+AO39</f>
        <v>505046.669020155</v>
      </c>
      <c r="AP41" s="16" t="n">
        <f aca="false">AP12+AP39</f>
        <v>430921.901650886</v>
      </c>
      <c r="AQ41" s="16" t="n">
        <f aca="false">AQ12+AQ39</f>
        <v>400513.312265787</v>
      </c>
      <c r="AR41" s="16" t="n">
        <f aca="false">AR12+AR39</f>
        <v>850191.375872824</v>
      </c>
      <c r="AS41" s="16" t="n">
        <f aca="false">AS12+AS39</f>
        <v>285389.253164065</v>
      </c>
      <c r="AT41" s="16" t="n">
        <f aca="false">AT12+AT39</f>
        <v>392461.100873805</v>
      </c>
      <c r="AU41" s="16" t="n">
        <f aca="false">AU12+AU39</f>
        <v>452177.613792935</v>
      </c>
      <c r="AV41" s="16" t="n">
        <f aca="false">AV12+AV39</f>
        <v>401679.885720935</v>
      </c>
      <c r="AW41" s="16" t="n">
        <f aca="false">AW12+AW39</f>
        <v>376349.220277227</v>
      </c>
      <c r="AX41" s="16" t="n">
        <f aca="false">AX12+AX39</f>
        <v>473904.716302169</v>
      </c>
      <c r="AY41" s="16" t="n">
        <f aca="false">AY12+AY39</f>
        <v>532368.982249735</v>
      </c>
      <c r="AZ41" s="16" t="n">
        <f aca="false">AZ12+AZ39</f>
        <v>471300.547636034</v>
      </c>
      <c r="BA41" s="16" t="n">
        <f aca="false">BA12+BA39</f>
        <v>471076.182788456</v>
      </c>
      <c r="BB41" s="16" t="n">
        <f aca="false">BB12+BB39</f>
        <v>632243.888389988</v>
      </c>
      <c r="BC41" s="16" t="n">
        <f aca="false">BC12+BC39</f>
        <v>444058.036819949</v>
      </c>
      <c r="BD41" s="16" t="n">
        <f aca="false">BD12+BD39</f>
        <v>542984.511764378</v>
      </c>
      <c r="BE41" s="16" t="n">
        <f aca="false">BE12+BE39</f>
        <v>611135.146644527</v>
      </c>
      <c r="BF41" s="16" t="n">
        <f aca="false">BF12+BF39</f>
        <v>757164.487313352</v>
      </c>
      <c r="BG41" s="16" t="n">
        <f aca="false">BG12+BG39</f>
        <v>377412.691263224</v>
      </c>
      <c r="BH41" s="16" t="n">
        <f aca="false">BH12+BH39</f>
        <v>587069.946133354</v>
      </c>
      <c r="BI41" s="16" t="n">
        <f aca="false">BI12+BI39</f>
        <v>370847.91934764</v>
      </c>
      <c r="BJ41" s="16" t="n">
        <f aca="false">BJ12+BJ39</f>
        <v>574592.298406081</v>
      </c>
      <c r="BK41" s="16" t="n">
        <f aca="false">BK12+BK39</f>
        <v>373725.490169657</v>
      </c>
      <c r="BL41" s="16" t="n">
        <f aca="false">BL12+BL39</f>
        <v>556234.252344982</v>
      </c>
      <c r="BM41" s="16" t="n">
        <f aca="false">BM12+BM39</f>
        <v>407343.180916411</v>
      </c>
      <c r="BN41" s="16" t="n">
        <f aca="false">BN12+BN39</f>
        <v>558717.222312514</v>
      </c>
      <c r="BO41" s="16" t="n">
        <f aca="false">BO12+BO39</f>
        <v>373237.921987839</v>
      </c>
      <c r="BP41" s="16" t="n">
        <f aca="false">BP12+BP39</f>
        <v>559940.316468359</v>
      </c>
      <c r="BQ41" s="16" t="n">
        <f aca="false">BQ12+BQ39</f>
        <v>379727.326208618</v>
      </c>
      <c r="BR41" s="16" t="n">
        <f aca="false">BR12+BR39</f>
        <v>573081.144390437</v>
      </c>
      <c r="BS41" s="16" t="n">
        <f aca="false">BS12+BS39</f>
        <v>392960.594065761</v>
      </c>
      <c r="BT41" s="16" t="n">
        <f aca="false">BT12+BT39</f>
        <v>590126.598935891</v>
      </c>
      <c r="BU41" s="16" t="n">
        <f aca="false">BU12+BU39</f>
        <v>373727.326208618</v>
      </c>
      <c r="BV41" s="16" t="n">
        <f aca="false">BV12+BV39</f>
        <v>559940.316468359</v>
      </c>
      <c r="BW41" s="16" t="n">
        <f aca="false">BW12+BW39</f>
        <v>387954.408901622</v>
      </c>
      <c r="BX41" s="16" t="n">
        <f aca="false">BX12+BX39</f>
        <v>568854.494128895</v>
      </c>
      <c r="BY41" s="16" t="n">
        <f aca="false">BY12+BY39</f>
        <v>418347.1118237</v>
      </c>
      <c r="BZ41" s="16" t="n">
        <f aca="false">BZ12+BZ39</f>
        <v>585216.503869155</v>
      </c>
      <c r="CA41" s="16" t="n">
        <f aca="false">CA12+CA39</f>
        <v>404624.162148375</v>
      </c>
      <c r="CB41" s="16" t="n">
        <f aca="false">CB12+CB39</f>
        <v>554750.264421102</v>
      </c>
      <c r="CC41" s="16" t="n">
        <f aca="false">CC12+CC39</f>
        <v>404059.667830194</v>
      </c>
      <c r="CD41" s="16" t="n">
        <f aca="false">CD12+CD39</f>
        <v>584100.423512012</v>
      </c>
      <c r="CE41" s="16" t="n">
        <f aca="false">CE12+CE39</f>
        <v>404059.667830193</v>
      </c>
      <c r="CF41" s="16" t="n">
        <f aca="false">CF12+CF39</f>
        <v>554750.264421102</v>
      </c>
      <c r="CG41" s="16" t="n">
        <f aca="false">CG12+CG39</f>
        <v>404624.162148375</v>
      </c>
      <c r="CH41" s="16" t="n">
        <f aca="false">CH12+CH39</f>
        <v>487646.339908116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0.168638004582186</v>
      </c>
      <c r="D42" s="32" t="n">
        <f aca="false">IF(D12&lt;&gt;0,D41/D12,0)</f>
        <v>0.0843422463321464</v>
      </c>
      <c r="E42" s="32" t="n">
        <f aca="false">IF(E12&lt;&gt;0,E41/E12,0)</f>
        <v>0.0157655201332433</v>
      </c>
      <c r="F42" s="32" t="n">
        <f aca="false">IF(F12&lt;&gt;0,F41/F12,0)</f>
        <v>0.391884192963026</v>
      </c>
      <c r="G42" s="32" t="n">
        <f aca="false">IF(G12&lt;&gt;0,G41/G12,0)</f>
        <v>0.267955476008303</v>
      </c>
      <c r="H42" s="32" t="n">
        <f aca="false">IF(H12&lt;&gt;0,H41/H12,0)</f>
        <v>0.275336241874629</v>
      </c>
      <c r="I42" s="32" t="n">
        <f aca="false">IF(I12&lt;&gt;0,I41/I12,0)</f>
        <v>0.437840094660257</v>
      </c>
      <c r="J42" s="32" t="n">
        <f aca="false">IF(J12&lt;&gt;0,J41/J12,0)</f>
        <v>0.486827878891494</v>
      </c>
      <c r="K42" s="32" t="n">
        <f aca="false">IF(K12&lt;&gt;0,K41/K12,0)</f>
        <v>0.43500483151896</v>
      </c>
      <c r="L42" s="32" t="n">
        <f aca="false">IF(L12&lt;&gt;0,L41/L12,0)</f>
        <v>0.442061693022618</v>
      </c>
      <c r="M42" s="32" t="n">
        <f aca="false">IF(M12&lt;&gt;0,M41/M12,0)</f>
        <v>0.447002016375812</v>
      </c>
      <c r="N42" s="32" t="n">
        <f aca="false">IF(N12&lt;&gt;0,N41/N12,0)</f>
        <v>0.409153411010862</v>
      </c>
      <c r="O42" s="32" t="n">
        <f aca="false">IF(O12&lt;&gt;0,O41/O12,0)</f>
        <v>-0.217321714424386</v>
      </c>
      <c r="P42" s="32" t="n">
        <f aca="false">IF(P12&lt;&gt;0,P41/P12,0)</f>
        <v>0.529008077509596</v>
      </c>
      <c r="Q42" s="32" t="n">
        <f aca="false">IF(Q12&lt;&gt;0,Q41/Q12,0)</f>
        <v>0.565852052646141</v>
      </c>
      <c r="R42" s="32" t="n">
        <f aca="false">IF(R12&lt;&gt;0,R41/R12,0)</f>
        <v>0.553129441723304</v>
      </c>
      <c r="S42" s="32" t="n">
        <f aca="false">IF(S12&lt;&gt;0,S41/S12,0)</f>
        <v>0.442434061530567</v>
      </c>
      <c r="T42" s="32" t="n">
        <f aca="false">IF(T12&lt;&gt;0,T41/T12,0)</f>
        <v>0.45538842424627</v>
      </c>
      <c r="U42" s="32" t="n">
        <f aca="false">IF(U12&lt;&gt;0,U41/U12,0)</f>
        <v>0.509416553789946</v>
      </c>
      <c r="V42" s="32" t="n">
        <f aca="false">IF(V12&lt;&gt;0,V41/V12,0)</f>
        <v>0.486911575259246</v>
      </c>
      <c r="W42" s="32" t="n">
        <f aca="false">IF(W12&lt;&gt;0,W41/W12,0)</f>
        <v>0.526230016294884</v>
      </c>
      <c r="X42" s="32" t="n">
        <f aca="false">IF(X12&lt;&gt;0,X41/X12,0)</f>
        <v>0.49136922126298</v>
      </c>
      <c r="Y42" s="32" t="n">
        <f aca="false">IF(Y12&lt;&gt;0,Y41/Y12,0)</f>
        <v>0.524395392383538</v>
      </c>
      <c r="Z42" s="32" t="n">
        <f aca="false">IF(Z12&lt;&gt;0,Z41/Z12,0)</f>
        <v>0.555925492137783</v>
      </c>
      <c r="AA42" s="32" t="n">
        <f aca="false">IF(AA12&lt;&gt;0,AA41/AA12,0)</f>
        <v>0.555230846459902</v>
      </c>
      <c r="AB42" s="32" t="n">
        <f aca="false">IF(AB12&lt;&gt;0,AB41/AB12,0)</f>
        <v>0.516338008077273</v>
      </c>
      <c r="AC42" s="32" t="n">
        <f aca="false">IF(AC12&lt;&gt;0,AC41/AC12,0)</f>
        <v>-0.0787753726948136</v>
      </c>
      <c r="AD42" s="32" t="n">
        <f aca="false">IF(AD12&lt;&gt;0,AD41/AD12,0)</f>
        <v>0.541727999545219</v>
      </c>
      <c r="AE42" s="32" t="n">
        <f aca="false">IF(AE12&lt;&gt;0,AE41/AE12,0)</f>
        <v>0.581402481045176</v>
      </c>
      <c r="AF42" s="32" t="n">
        <f aca="false">IF(AF12&lt;&gt;0,AF41/AF12,0)</f>
        <v>0.582397874863277</v>
      </c>
      <c r="AG42" s="32" t="n">
        <f aca="false">IF(AG12&lt;&gt;0,AG41/AG12,0)</f>
        <v>0.61793755661157</v>
      </c>
      <c r="AH42" s="32" t="n">
        <f aca="false">IF(AH12&lt;&gt;0,AH41/AH12,0)</f>
        <v>0.586097732880034</v>
      </c>
      <c r="AI42" s="32" t="n">
        <f aca="false">IF(AI12&lt;&gt;0,AI41/AI12,0)</f>
        <v>0.63707147785972</v>
      </c>
      <c r="AJ42" s="32" t="n">
        <f aca="false">IF(AJ12&lt;&gt;0,AJ41/AJ12,0)</f>
        <v>0.612382439389602</v>
      </c>
      <c r="AK42" s="32" t="n">
        <f aca="false">IF(AK12&lt;&gt;0,AK41/AK12,0)</f>
        <v>0.496441558667437</v>
      </c>
      <c r="AL42" s="32" t="n">
        <f aca="false">IF(AL12&lt;&gt;0,AL41/AL12,0)</f>
        <v>0.606792990246577</v>
      </c>
      <c r="AM42" s="32" t="n">
        <f aca="false">IF(AM12&lt;&gt;0,AM41/AM12,0)</f>
        <v>0.490961629424814</v>
      </c>
      <c r="AN42" s="32" t="n">
        <f aca="false">IF(AN12&lt;&gt;0,AN41/AN12,0)</f>
        <v>0.504886923081685</v>
      </c>
      <c r="AO42" s="32" t="n">
        <f aca="false">IF(AO12&lt;&gt;0,AO41/AO12,0)</f>
        <v>0.548911157191778</v>
      </c>
      <c r="AP42" s="32" t="n">
        <f aca="false">IF(AP12&lt;&gt;0,AP41/AP12,0)</f>
        <v>0.509385978047261</v>
      </c>
      <c r="AQ42" s="32" t="n">
        <f aca="false">IF(AQ12&lt;&gt;0,AQ41/AQ12,0)</f>
        <v>0.473669240635288</v>
      </c>
      <c r="AR42" s="32" t="n">
        <f aca="false">IF(AR12&lt;&gt;0,AR41/AR12,0)</f>
        <v>0.671964333974897</v>
      </c>
      <c r="AS42" s="32" t="n">
        <f aca="false">IF(AS12&lt;&gt;0,AS41/AS12,0)</f>
        <v>0.387530323362857</v>
      </c>
      <c r="AT42" s="32" t="n">
        <f aca="false">IF(AT12&lt;&gt;0,AT41/AT12,0)</f>
        <v>0.486018365584571</v>
      </c>
      <c r="AU42" s="32" t="n">
        <f aca="false">IF(AU12&lt;&gt;0,AU41/AU12,0)</f>
        <v>0.503976787839469</v>
      </c>
      <c r="AV42" s="32" t="n">
        <f aca="false">IF(AV12&lt;&gt;0,AV41/AV12,0)</f>
        <v>0.491819959747779</v>
      </c>
      <c r="AW42" s="32" t="n">
        <f aca="false">IF(AW12&lt;&gt;0,AW41/AW12,0)</f>
        <v>0.45818537362569</v>
      </c>
      <c r="AX42" s="32" t="n">
        <f aca="false">IF(AX12&lt;&gt;0,AX41/AX12,0)</f>
        <v>0.533108415763337</v>
      </c>
      <c r="AY42" s="32" t="n">
        <f aca="false">IF(AY12&lt;&gt;0,AY41/AY12,0)</f>
        <v>0.54626234220684</v>
      </c>
      <c r="AZ42" s="32" t="n">
        <f aca="false">IF(AZ12&lt;&gt;0,AZ41/AZ12,0)</f>
        <v>0.529849993780247</v>
      </c>
      <c r="BA42" s="32" t="n">
        <f aca="false">IF(BA12&lt;&gt;0,BA41/BA12,0)</f>
        <v>0.529731374356667</v>
      </c>
      <c r="BB42" s="32" t="n">
        <f aca="false">IF(BB12&lt;&gt;0,BB41/BB12,0)</f>
        <v>0.601884008981803</v>
      </c>
      <c r="BC42" s="32" t="n">
        <f aca="false">IF(BC12&lt;&gt;0,BC41/BC12,0)</f>
        <v>0.494356012109268</v>
      </c>
      <c r="BD42" s="32" t="n">
        <f aca="false">IF(BD12&lt;&gt;0,BD41/BD12,0)</f>
        <v>0.564913295977536</v>
      </c>
      <c r="BE42" s="32" t="n">
        <f aca="false">IF(BE12&lt;&gt;0,BE41/BE12,0)</f>
        <v>0.576905785760727</v>
      </c>
      <c r="BF42" s="32" t="n">
        <f aca="false">IF(BF12&lt;&gt;0,BF41/BF12,0)</f>
        <v>0.644196834789748</v>
      </c>
      <c r="BG42" s="32" t="n">
        <f aca="false">IF(BG12&lt;&gt;0,BG41/BG12,0)</f>
        <v>0.457131809129443</v>
      </c>
      <c r="BH42" s="32" t="n">
        <f aca="false">IF(BH12&lt;&gt;0,BH41/BH12,0)</f>
        <v>0.583993776454653</v>
      </c>
      <c r="BI42" s="32" t="n">
        <f aca="false">IF(BI12&lt;&gt;0,BI41/BI12,0)</f>
        <v>0.449487870531653</v>
      </c>
      <c r="BJ42" s="32" t="n">
        <f aca="false">IF(BJ12&lt;&gt;0,BJ41/BJ12,0)</f>
        <v>0.578765299093716</v>
      </c>
      <c r="BK42" s="32" t="n">
        <f aca="false">IF(BK12&lt;&gt;0,BK41/BK12,0)</f>
        <v>0.459606592410007</v>
      </c>
      <c r="BL42" s="32" t="n">
        <f aca="false">IF(BL12&lt;&gt;0,BL41/BL12,0)</f>
        <v>0.568949763722553</v>
      </c>
      <c r="BM42" s="32" t="n">
        <f aca="false">IF(BM12&lt;&gt;0,BM41/BM12,0)</f>
        <v>0.491509317418482</v>
      </c>
      <c r="BN42" s="32" t="n">
        <f aca="false">IF(BN12&lt;&gt;0,BN41/BN12,0)</f>
        <v>0.57004174188666</v>
      </c>
      <c r="BO42" s="32" t="n">
        <f aca="false">IF(BO12&lt;&gt;0,BO41/BO12,0)</f>
        <v>0.449329881081187</v>
      </c>
      <c r="BP42" s="32" t="n">
        <f aca="false">IF(BP12&lt;&gt;0,BP41/BP12,0)</f>
        <v>0.570577611553269</v>
      </c>
      <c r="BQ42" s="32" t="n">
        <f aca="false">IF(BQ12&lt;&gt;0,BQ41/BQ12,0)</f>
        <v>0.456873099136544</v>
      </c>
      <c r="BR42" s="32" t="n">
        <f aca="false">IF(BR12&lt;&gt;0,BR41/BR12,0)</f>
        <v>0.576251797780564</v>
      </c>
      <c r="BS42" s="32" t="n">
        <f aca="false">IF(BS12&lt;&gt;0,BS41/BS12,0)</f>
        <v>0.465385104609648</v>
      </c>
      <c r="BT42" s="32" t="n">
        <f aca="false">IF(BT12&lt;&gt;0,BT41/BT12,0)</f>
        <v>0.583392353259992</v>
      </c>
      <c r="BU42" s="32" t="n">
        <f aca="false">IF(BU12&lt;&gt;0,BU41/BU12,0)</f>
        <v>0.449654133300745</v>
      </c>
      <c r="BV42" s="32" t="n">
        <f aca="false">IF(BV12&lt;&gt;0,BV41/BV12,0)</f>
        <v>0.570577611553269</v>
      </c>
      <c r="BW42" s="32" t="n">
        <f aca="false">IF(BW12&lt;&gt;0,BW41/BW12,0)</f>
        <v>0.467046615971588</v>
      </c>
      <c r="BX42" s="32" t="n">
        <f aca="false">IF(BX12&lt;&gt;0,BX41/BX12,0)</f>
        <v>0.572544738761737</v>
      </c>
      <c r="BY42" s="32" t="n">
        <f aca="false">IF(BY12&lt;&gt;0,BY41/BY12,0)</f>
        <v>0.496232088205509</v>
      </c>
      <c r="BZ42" s="32" t="n">
        <f aca="false">IF(BZ12&lt;&gt;0,BZ41/BZ12,0)</f>
        <v>0.579470089483135</v>
      </c>
      <c r="CA42" s="32" t="n">
        <f aca="false">IF(CA12&lt;&gt;0,CA41/CA12,0)</f>
        <v>0.487896167679231</v>
      </c>
      <c r="CB42" s="32" t="n">
        <f aca="false">IF(CB12&lt;&gt;0,CB41/CB12,0)</f>
        <v>0.566389320377657</v>
      </c>
      <c r="CC42" s="32" t="n">
        <f aca="false">IF(CC12&lt;&gt;0,CC41/CC12,0)</f>
        <v>0.487547357696681</v>
      </c>
      <c r="CD42" s="32" t="n">
        <f aca="false">IF(CD12&lt;&gt;0,CD41/CD12,0)</f>
        <v>0.579004838791424</v>
      </c>
      <c r="CE42" s="32" t="n">
        <f aca="false">IF(CE12&lt;&gt;0,CE41/CE12,0)</f>
        <v>0.487547357696681</v>
      </c>
      <c r="CF42" s="32" t="n">
        <f aca="false">IF(CF12&lt;&gt;0,CF41/CF12,0)</f>
        <v>0.566389320377657</v>
      </c>
      <c r="CG42" s="32" t="n">
        <f aca="false">IF(CG12&lt;&gt;0,CG41/CG12,0)</f>
        <v>0.487896167679231</v>
      </c>
      <c r="CH42" s="32" t="n">
        <f aca="false">IF(CH12&lt;&gt;0,CH41/CH12,0)</f>
        <v>0.534496856187328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102</v>
      </c>
      <c r="B62" s="9"/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73156</v>
      </c>
      <c r="BZ62" s="10" t="n">
        <v>0</v>
      </c>
      <c r="CA62" s="10" t="n">
        <v>0</v>
      </c>
      <c r="CB62" s="10" t="n">
        <f aca="false">IF(Projects!$G$14="Yes",73155,0)</f>
        <v>73155</v>
      </c>
      <c r="CC62" s="10" t="n">
        <v>0</v>
      </c>
      <c r="CD62" s="10" t="n">
        <v>0</v>
      </c>
      <c r="CE62" s="10" t="n">
        <f aca="false">IF(Projects!$G$14="Yes",73155,0)</f>
        <v>73155</v>
      </c>
      <c r="CF62" s="10" t="n">
        <v>0</v>
      </c>
      <c r="CG62" s="10" t="n">
        <v>0</v>
      </c>
      <c r="CH62" s="10" t="n">
        <f aca="false">IF(Projects!$G$14="Yes",73155,0)</f>
        <v>73155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0</v>
      </c>
      <c r="M63" s="10" t="n">
        <f aca="false">IF(Uplifters!$B$2="Yes",Uplifters!M107,0)</f>
        <v>0</v>
      </c>
      <c r="N63" s="10" t="n">
        <f aca="false">IF(Uplifters!$B$2="Yes",Uplifters!N107,0)</f>
        <v>0</v>
      </c>
      <c r="O63" s="10" t="n">
        <f aca="false">IF(Uplifters!$B$2="Yes",Uplifters!O107,0)</f>
        <v>0</v>
      </c>
      <c r="P63" s="10" t="n">
        <f aca="false">IF(Uplifters!$B$2="Yes",Uplifters!P107,0)</f>
        <v>0</v>
      </c>
      <c r="Q63" s="10" t="n">
        <f aca="false">IF(Uplifters!$B$2="Yes",Uplifters!Q107,0)</f>
        <v>0</v>
      </c>
      <c r="R63" s="10" t="n">
        <f aca="false">IF(Uplifters!$B$2="Yes",Uplifters!R107,0)</f>
        <v>0</v>
      </c>
      <c r="S63" s="10" t="n">
        <f aca="false">IF(Uplifters!$B$2="Yes",Uplifters!S107,0)</f>
        <v>0</v>
      </c>
      <c r="T63" s="10" t="n">
        <f aca="false">IF(Uplifters!$B$2="Yes",Uplifters!T107,0)</f>
        <v>0</v>
      </c>
      <c r="U63" s="10" t="n">
        <f aca="false">IF(Uplifters!$B$2="Yes",Uplifters!U107,0)</f>
        <v>0</v>
      </c>
      <c r="V63" s="10" t="n">
        <f aca="false">IF(Uplifters!$B$2="Yes",Uplifters!V107,0)</f>
        <v>0</v>
      </c>
      <c r="W63" s="10" t="n">
        <f aca="false">IF(Uplifters!$B$2="Yes",Uplifters!W107,0)</f>
        <v>0</v>
      </c>
      <c r="X63" s="10" t="n">
        <f aca="false">IF(Uplifters!$B$2="Yes",Uplifters!X107,0)</f>
        <v>0</v>
      </c>
      <c r="Y63" s="10" t="n">
        <f aca="false">IF(Uplifters!$B$2="Yes",Uplifters!Y107,0)</f>
        <v>0</v>
      </c>
      <c r="Z63" s="10" t="n">
        <f aca="false">IF(Uplifters!$B$2="Yes",Uplifters!Z107,0)</f>
        <v>0</v>
      </c>
      <c r="AA63" s="10" t="n">
        <f aca="false">IF(Uplifters!$B$2="Yes",Uplifters!AA107,0)</f>
        <v>0</v>
      </c>
      <c r="AB63" s="10" t="n">
        <f aca="false">IF(Uplifters!$B$2="Yes",Uplifters!AB107,0)</f>
        <v>0</v>
      </c>
      <c r="AC63" s="10" t="n">
        <f aca="false">IF(Uplifters!$B$2="Yes",Uplifters!AC107,0)</f>
        <v>0</v>
      </c>
      <c r="AD63" s="10" t="n">
        <f aca="false">IF(Uplifters!$B$2="Yes",Uplifters!AD107,0)</f>
        <v>0</v>
      </c>
      <c r="AE63" s="10" t="n">
        <f aca="false">IF(Uplifters!$B$2="Yes",Uplifters!AE107,0)</f>
        <v>0</v>
      </c>
      <c r="AF63" s="10" t="n">
        <f aca="false">IF(Uplifters!$B$2="Yes",Uplifters!AF107,0)</f>
        <v>0</v>
      </c>
      <c r="AG63" s="10" t="n">
        <f aca="false">IF(Uplifters!$B$2="Yes",Uplifters!AG107,0)</f>
        <v>0</v>
      </c>
      <c r="AH63" s="10" t="n">
        <f aca="false">IF(Uplifters!$B$2="Yes",Uplifters!AH107,0)</f>
        <v>0</v>
      </c>
      <c r="AI63" s="10" t="n">
        <f aca="false">IF(Uplifters!$B$2="Yes",Uplifters!AI107,0)</f>
        <v>0</v>
      </c>
      <c r="AJ63" s="10" t="n">
        <f aca="false">IF(Uplifters!$B$2="Yes",Uplifters!AJ107,0)</f>
        <v>0</v>
      </c>
      <c r="AK63" s="10" t="n">
        <f aca="false">IF(Uplifters!$B$2="Yes",Uplifters!AK107,0)</f>
        <v>0</v>
      </c>
      <c r="AL63" s="10" t="n">
        <f aca="false">IF(Uplifters!$B$2="Yes",Uplifters!AL107,0)</f>
        <v>0</v>
      </c>
      <c r="AM63" s="10" t="n">
        <f aca="false">IF(Uplifters!$B$2="Yes",Uplifters!AM107,0)</f>
        <v>0</v>
      </c>
      <c r="AN63" s="10" t="n">
        <f aca="false">IF(Uplifters!$B$2="Yes",Uplifters!AN107,0)</f>
        <v>0</v>
      </c>
      <c r="AO63" s="10" t="n">
        <f aca="false">IF(Uplifters!$B$2="Yes",Uplifters!AO107,0)</f>
        <v>0</v>
      </c>
      <c r="AP63" s="10" t="n">
        <f aca="false">IF(Uplifters!$B$2="Yes",Uplifters!AP107,0)</f>
        <v>0</v>
      </c>
      <c r="AQ63" s="10" t="n">
        <f aca="false">IF(Uplifters!$B$2="Yes",Uplifters!AQ107,0)</f>
        <v>0</v>
      </c>
      <c r="AR63" s="10" t="n">
        <f aca="false">IF(Uplifters!$B$2="Yes",Uplifters!AR107,0)</f>
        <v>0</v>
      </c>
      <c r="AS63" s="10" t="n">
        <f aca="false">IF(Uplifters!$B$2="Yes",Uplifters!AS107,0)</f>
        <v>0</v>
      </c>
      <c r="AT63" s="10" t="n">
        <f aca="false">IF(Uplifters!$B$2="Yes",Uplifters!AT107,0)</f>
        <v>0</v>
      </c>
      <c r="AU63" s="10" t="n">
        <f aca="false">IF(Uplifters!$B$2="Yes",Uplifters!AU107,0)</f>
        <v>0</v>
      </c>
      <c r="AV63" s="10" t="n">
        <f aca="false">IF(Uplifters!$B$2="Yes",Uplifters!AV107,0)</f>
        <v>0</v>
      </c>
      <c r="AW63" s="10" t="n">
        <f aca="false">IF(Uplifters!$B$2="Yes",Uplifters!AW107,0)</f>
        <v>0</v>
      </c>
      <c r="AX63" s="10" t="n">
        <f aca="false">IF(Uplifters!$B$2="Yes",Uplifters!AX107,0)</f>
        <v>0</v>
      </c>
      <c r="AY63" s="10" t="n">
        <f aca="false">IF(Uplifters!$B$2="Yes",Uplifters!AY107,0)</f>
        <v>0</v>
      </c>
      <c r="AZ63" s="10" t="n">
        <f aca="false">IF(Uplifters!$B$2="Yes",Uplifters!AZ107,0)</f>
        <v>0</v>
      </c>
      <c r="BA63" s="10" t="n">
        <f aca="false">IF(Uplifters!$B$2="Yes",Uplifters!BA107,0)</f>
        <v>0</v>
      </c>
      <c r="BB63" s="10" t="n">
        <f aca="false">IF(Uplifters!$B$2="Yes",Uplifters!BB107,0)</f>
        <v>0</v>
      </c>
      <c r="BC63" s="10" t="n">
        <f aca="false">IF(Uplifters!$B$2="Yes",Uplifters!BC107,0)</f>
        <v>0</v>
      </c>
      <c r="BD63" s="10" t="n">
        <f aca="false">IF(Uplifters!$B$2="Yes",Uplifters!BD107,0)</f>
        <v>0</v>
      </c>
      <c r="BE63" s="10" t="n">
        <f aca="false">IF(Uplifters!$B$2="Yes",Uplifters!BE107,0)</f>
        <v>0</v>
      </c>
      <c r="BF63" s="10" t="n">
        <f aca="false">IF(Uplifters!$B$2="Yes",Uplifters!BF107,0)</f>
        <v>0</v>
      </c>
      <c r="BG63" s="10" t="n">
        <f aca="false">IF(Uplifters!$B$2="Yes",Uplifters!BG107,0)</f>
        <v>0</v>
      </c>
      <c r="BH63" s="10" t="n">
        <f aca="false">IF(Uplifters!$B$2="Yes",Uplifters!BH107,0)</f>
        <v>0</v>
      </c>
      <c r="BI63" s="10" t="n">
        <f aca="false">IF(Uplifters!$B$2="Yes",Uplifters!BI107,0)</f>
        <v>0</v>
      </c>
      <c r="BJ63" s="10" t="n">
        <f aca="false">IF(Uplifters!$B$2="Yes",Uplifters!BJ107,0)</f>
        <v>0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33406.25</v>
      </c>
      <c r="M64" s="34" t="n">
        <f aca="false">SUM(M47:M63)</f>
        <v>33406.25</v>
      </c>
      <c r="N64" s="34" t="n">
        <f aca="false">SUM(N47:N63)</f>
        <v>33406.25</v>
      </c>
      <c r="O64" s="34" t="n">
        <f aca="false">SUM(O47:O63)</f>
        <v>33406.25</v>
      </c>
      <c r="P64" s="34" t="n">
        <f aca="false">SUM(P47:P63)</f>
        <v>33406.25</v>
      </c>
      <c r="Q64" s="34" t="n">
        <f aca="false">SUM(Q47:Q63)</f>
        <v>33406.25</v>
      </c>
      <c r="R64" s="34" t="n">
        <f aca="false">SUM(R47:R63)</f>
        <v>9500</v>
      </c>
      <c r="S64" s="34" t="n">
        <f aca="false">SUM(S47:S63)</f>
        <v>9500</v>
      </c>
      <c r="T64" s="34" t="n">
        <f aca="false">SUM(T47:T63)</f>
        <v>9500</v>
      </c>
      <c r="U64" s="34" t="n">
        <f aca="false">SUM(U47:U63)</f>
        <v>9500</v>
      </c>
      <c r="V64" s="34" t="n">
        <f aca="false">SUM(V47:V63)</f>
        <v>9500</v>
      </c>
      <c r="W64" s="34" t="n">
        <f aca="false">SUM(W47:W63)</f>
        <v>66875</v>
      </c>
      <c r="X64" s="34" t="n">
        <f aca="false">SUM(X47:X63)</f>
        <v>9500</v>
      </c>
      <c r="Y64" s="34" t="n">
        <f aca="false">SUM(Y47:Y63)</f>
        <v>9500</v>
      </c>
      <c r="Z64" s="34" t="n">
        <f aca="false">SUM(Z47:Z63)</f>
        <v>66875</v>
      </c>
      <c r="AA64" s="34" t="n">
        <f aca="false">SUM(AA47:AA63)</f>
        <v>9500</v>
      </c>
      <c r="AB64" s="34" t="n">
        <f aca="false">SUM(AB47:AB63)</f>
        <v>9500</v>
      </c>
      <c r="AC64" s="34" t="n">
        <f aca="false">SUM(AC47:AC63)</f>
        <v>66875</v>
      </c>
      <c r="AD64" s="34" t="n">
        <f aca="false">SUM(AD47:AD63)</f>
        <v>9500</v>
      </c>
      <c r="AE64" s="34" t="n">
        <f aca="false">SUM(AE47:AE63)</f>
        <v>9500</v>
      </c>
      <c r="AF64" s="34" t="n">
        <f aca="false">SUM(AF47:AF63)</f>
        <v>9500</v>
      </c>
      <c r="AG64" s="34" t="n">
        <f aca="false">SUM(AG47:AG63)</f>
        <v>0</v>
      </c>
      <c r="AH64" s="34" t="n">
        <f aca="false">SUM(AH47:AH63)</f>
        <v>0</v>
      </c>
      <c r="AI64" s="34" t="n">
        <f aca="false">SUM(AI47:AI63)</f>
        <v>0</v>
      </c>
      <c r="AJ64" s="34" t="n">
        <f aca="false">SUM(AJ47:AJ63)</f>
        <v>0</v>
      </c>
      <c r="AK64" s="34" t="n">
        <f aca="false">SUM(AK47:AK63)</f>
        <v>0</v>
      </c>
      <c r="AL64" s="34" t="n">
        <f aca="false">SUM(AL47:AL63)</f>
        <v>0</v>
      </c>
      <c r="AM64" s="34" t="n">
        <f aca="false">SUM(AM47:AM63)</f>
        <v>0</v>
      </c>
      <c r="AN64" s="34" t="n">
        <f aca="false">SUM(AN47:AN63)</f>
        <v>0</v>
      </c>
      <c r="AO64" s="34" t="n">
        <f aca="false">SUM(AO47:AO63)</f>
        <v>0</v>
      </c>
      <c r="AP64" s="34" t="n">
        <f aca="false">SUM(AP47:AP63)</f>
        <v>0</v>
      </c>
      <c r="AQ64" s="34" t="n">
        <f aca="false">SUM(AQ47:AQ63)</f>
        <v>0</v>
      </c>
      <c r="AR64" s="34" t="n">
        <f aca="false">SUM(AR47:AR63)</f>
        <v>81683</v>
      </c>
      <c r="AS64" s="34" t="n">
        <f aca="false">SUM(AS47:AS63)</f>
        <v>0</v>
      </c>
      <c r="AT64" s="34" t="n">
        <f aca="false">SUM(AT47:AT63)</f>
        <v>0</v>
      </c>
      <c r="AU64" s="34" t="n">
        <f aca="false">SUM(AU47:AU63)</f>
        <v>81682</v>
      </c>
      <c r="AV64" s="34" t="n">
        <f aca="false">SUM(AV47:AV63)</f>
        <v>0</v>
      </c>
      <c r="AW64" s="34" t="n">
        <f aca="false">SUM(AW47:AW63)</f>
        <v>0</v>
      </c>
      <c r="AX64" s="34" t="n">
        <f aca="false">SUM(AX47:AX63)</f>
        <v>81682</v>
      </c>
      <c r="AY64" s="34" t="n">
        <f aca="false">SUM(AY47:AY63)</f>
        <v>0</v>
      </c>
      <c r="AZ64" s="34" t="n">
        <f aca="false">SUM(AZ47:AZ63)</f>
        <v>0</v>
      </c>
      <c r="BA64" s="34" t="n">
        <f aca="false">SUM(BA47:BA63)</f>
        <v>933521</v>
      </c>
      <c r="BB64" s="34" t="n">
        <f aca="false">SUM(BB47:BB63)</f>
        <v>0</v>
      </c>
      <c r="BC64" s="34" t="n">
        <f aca="false">SUM(BC47:BC63)</f>
        <v>0</v>
      </c>
      <c r="BD64" s="34" t="n">
        <f aca="false">SUM(BD47:BD63)</f>
        <v>130878</v>
      </c>
      <c r="BE64" s="34" t="n">
        <f aca="false">SUM(BE47:BE63)</f>
        <v>0</v>
      </c>
      <c r="BF64" s="34" t="n">
        <f aca="false">SUM(BF47:BF63)</f>
        <v>0</v>
      </c>
      <c r="BG64" s="34" t="n">
        <f aca="false">SUM(BG47:BG63)</f>
        <v>130876</v>
      </c>
      <c r="BH64" s="34" t="n">
        <f aca="false">SUM(BH47:BH63)</f>
        <v>0</v>
      </c>
      <c r="BI64" s="34" t="n">
        <f aca="false">SUM(BI47:BI63)</f>
        <v>0</v>
      </c>
      <c r="BJ64" s="34" t="n">
        <f aca="false">SUM(BJ47:BJ63)</f>
        <v>130876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-75833.3333333333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-75833.3333333333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-75833.3333333333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-75833.3333333333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-75833.3333333333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-75833.3333333333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-75833.3333333333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-75833.3333333333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-75833.3333333333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-75833.3333333333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-75833.3333333333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-75833.3333333333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-77350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-77350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-77350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-77350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-77350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-77350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-77350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-77350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-77350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-77350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-77350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-77350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-78897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-78897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-78897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-78897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-78897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-78897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-78897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-78897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-78897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-78897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-78897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-78897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-80474.94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-80474.94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-80474.94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-80474.94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-80474.94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-80474.94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-80474.94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-80474.94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-80474.94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-80474.94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-80474.94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-80474.94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-82084.4388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-82084.4388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-82084.4388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-82084.4388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-82084.4388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-82084.4388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-82084.4388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-82084.4388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-82084.4388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-82084.4388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-82084.4388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-82084.4388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-83726.127576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-83726.127576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-83726.127576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-83726.127576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-83726.127576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-83726.127576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-83726.127576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-83726.127576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-83726.127576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-83726.127576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-83726.127576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-83726.127576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-85400.65012752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-85400.65012752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-85400.65012752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-85400.65012752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-85400.65012752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-85400.65012752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-85400.65012752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-85400.65012752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-85400.65012752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-85400.65012752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-85400.65012752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-85400.65012752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-98314.5833333333</v>
      </c>
      <c r="D85" s="12" t="n">
        <f aca="false">D66+D67+D68+D69+D70+SUM(D71:D84)</f>
        <v>-98314.5833333333</v>
      </c>
      <c r="E85" s="12" t="n">
        <f aca="false">E66+E67+E68+E69+E70+SUM(E71:E84)</f>
        <v>-98314.5833333333</v>
      </c>
      <c r="F85" s="12" t="n">
        <f aca="false">F66+F67+F68+F69+F70+SUM(F71:F84)</f>
        <v>-121314.583333333</v>
      </c>
      <c r="G85" s="12" t="n">
        <f aca="false">G66+G67+G68+G69+G70+SUM(G71:G84)</f>
        <v>-98314.5833333333</v>
      </c>
      <c r="H85" s="12" t="n">
        <f aca="false">H66+H67+H68+H69+H70+SUM(H71:H84)</f>
        <v>-98314.5833333333</v>
      </c>
      <c r="I85" s="12" t="n">
        <f aca="false">I66+I67+I68+I69+I70+SUM(I71:I84)</f>
        <v>-98314.5833333333</v>
      </c>
      <c r="J85" s="12" t="n">
        <f aca="false">J66+J67+J68+J69+J70+SUM(J71:J84)</f>
        <v>-98314.5833333333</v>
      </c>
      <c r="K85" s="12" t="n">
        <f aca="false">K66+K67+K68+K69+K70+SUM(K71:K84)</f>
        <v>-119314.583333333</v>
      </c>
      <c r="L85" s="12" t="n">
        <f aca="false">L66+L67+L68+L69+L70+SUM(L71:L84)</f>
        <v>-98314.5833333333</v>
      </c>
      <c r="M85" s="12" t="n">
        <f aca="false">M66+M67+M68+M69+M70+SUM(M71:M84)</f>
        <v>-98314.5833333333</v>
      </c>
      <c r="N85" s="12" t="n">
        <f aca="false">N66+N67+N68+N69+N70+SUM(N71:N84)</f>
        <v>-98314.5833333333</v>
      </c>
      <c r="O85" s="12" t="n">
        <f aca="false">O66+O67+O68+O69+O70+SUM(O71:O84)</f>
        <v>-100280.875</v>
      </c>
      <c r="P85" s="12" t="n">
        <f aca="false">P66+P67+P68+P69+P70+SUM(P71:P84)</f>
        <v>-100280.875</v>
      </c>
      <c r="Q85" s="12" t="n">
        <f aca="false">Q66+Q67+Q68+Q69+Q70+SUM(Q71:Q84)</f>
        <v>-100280.875</v>
      </c>
      <c r="R85" s="12" t="n">
        <f aca="false">R66+R67+R68+R69+R70+SUM(R71:R84)</f>
        <v>-123740.875</v>
      </c>
      <c r="S85" s="12" t="n">
        <f aca="false">S66+S67+S68+S69+S70+SUM(S71:S84)</f>
        <v>-100280.875</v>
      </c>
      <c r="T85" s="12" t="n">
        <f aca="false">T66+T67+T68+T69+T70+SUM(T71:T84)</f>
        <v>-100280.875</v>
      </c>
      <c r="U85" s="12" t="n">
        <f aca="false">U66+U67+U68+U69+U70+SUM(U71:U84)</f>
        <v>-100280.875</v>
      </c>
      <c r="V85" s="12" t="n">
        <f aca="false">V66+V67+V68+V69+V70+SUM(V71:V84)</f>
        <v>-100280.875</v>
      </c>
      <c r="W85" s="12" t="n">
        <f aca="false">W66+W67+W68+W69+W70+SUM(W71:W84)</f>
        <v>-121700.875</v>
      </c>
      <c r="X85" s="12" t="n">
        <f aca="false">X66+X67+X68+X69+X70+SUM(X71:X84)</f>
        <v>-100280.875</v>
      </c>
      <c r="Y85" s="12" t="n">
        <f aca="false">Y66+Y67+Y68+Y69+Y70+SUM(Y71:Y84)</f>
        <v>-100280.875</v>
      </c>
      <c r="Z85" s="12" t="n">
        <f aca="false">Z66+Z67+Z68+Z69+Z70+SUM(Z71:Z84)</f>
        <v>-100280.875</v>
      </c>
      <c r="AA85" s="12" t="n">
        <f aca="false">AA66+AA67+AA68+AA69+AA70+SUM(AA71:AA84)</f>
        <v>-102286.4925</v>
      </c>
      <c r="AB85" s="12" t="n">
        <f aca="false">AB66+AB67+AB68+AB69+AB70+SUM(AB71:AB84)</f>
        <v>-102286.4925</v>
      </c>
      <c r="AC85" s="12" t="n">
        <f aca="false">AC66+AC67+AC68+AC69+AC70+SUM(AC71:AC84)</f>
        <v>-102286.4925</v>
      </c>
      <c r="AD85" s="12" t="n">
        <f aca="false">AD66+AD67+AD68+AD69+AD70+SUM(AD71:AD84)</f>
        <v>-126215.6925</v>
      </c>
      <c r="AE85" s="12" t="n">
        <f aca="false">AE66+AE67+AE68+AE69+AE70+SUM(AE71:AE84)</f>
        <v>-102286.4925</v>
      </c>
      <c r="AF85" s="12" t="n">
        <f aca="false">AF66+AF67+AF68+AF69+AF70+SUM(AF71:AF84)</f>
        <v>-102286.4925</v>
      </c>
      <c r="AG85" s="12" t="n">
        <f aca="false">AG66+AG67+AG68+AG69+AG70+SUM(AG71:AG84)</f>
        <v>-102286.4925</v>
      </c>
      <c r="AH85" s="12" t="n">
        <f aca="false">AH66+AH67+AH68+AH69+AH70+SUM(AH71:AH84)</f>
        <v>-102286.4925</v>
      </c>
      <c r="AI85" s="12" t="n">
        <f aca="false">AI66+AI67+AI68+AI69+AI70+SUM(AI71:AI84)</f>
        <v>-124134.8925</v>
      </c>
      <c r="AJ85" s="12" t="n">
        <f aca="false">AJ66+AJ67+AJ68+AJ69+AJ70+SUM(AJ71:AJ84)</f>
        <v>-102286.4925</v>
      </c>
      <c r="AK85" s="12" t="n">
        <f aca="false">AK66+AK67+AK68+AK69+AK70+SUM(AK71:AK84)</f>
        <v>-102286.4925</v>
      </c>
      <c r="AL85" s="12" t="n">
        <f aca="false">AL66+AL67+AL68+AL69+AL70+SUM(AL71:AL84)</f>
        <v>-102286.4925</v>
      </c>
      <c r="AM85" s="12" t="n">
        <f aca="false">AM66+AM67+AM68+AM69+AM70+SUM(AM71:AM84)</f>
        <v>-104332.22235</v>
      </c>
      <c r="AN85" s="12" t="n">
        <f aca="false">AN66+AN67+AN68+AN69+AN70+SUM(AN71:AN84)</f>
        <v>-104332.22235</v>
      </c>
      <c r="AO85" s="12" t="n">
        <f aca="false">AO66+AO67+AO68+AO69+AO70+SUM(AO71:AO84)</f>
        <v>-104332.22235</v>
      </c>
      <c r="AP85" s="12" t="n">
        <f aca="false">AP66+AP67+AP68+AP69+AP70+SUM(AP71:AP84)</f>
        <v>-128740.00635</v>
      </c>
      <c r="AQ85" s="12" t="n">
        <f aca="false">AQ66+AQ67+AQ68+AQ69+AQ70+SUM(AQ71:AQ84)</f>
        <v>-104332.22235</v>
      </c>
      <c r="AR85" s="12" t="n">
        <f aca="false">AR66+AR67+AR68+AR69+AR70+SUM(AR71:AR84)</f>
        <v>-186015.22235</v>
      </c>
      <c r="AS85" s="12" t="n">
        <f aca="false">AS66+AS67+AS68+AS69+AS70+SUM(AS71:AS84)</f>
        <v>-104332.22235</v>
      </c>
      <c r="AT85" s="12" t="n">
        <f aca="false">AT66+AT67+AT68+AT69+AT70+SUM(AT71:AT84)</f>
        <v>-104332.22235</v>
      </c>
      <c r="AU85" s="12" t="n">
        <f aca="false">AU66+AU67+AU68+AU69+AU70+SUM(AU71:AU84)</f>
        <v>-208299.59035</v>
      </c>
      <c r="AV85" s="12" t="n">
        <f aca="false">AV66+AV67+AV68+AV69+AV70+SUM(AV71:AV84)</f>
        <v>-104332.22235</v>
      </c>
      <c r="AW85" s="12" t="n">
        <f aca="false">AW66+AW67+AW68+AW69+AW70+SUM(AW71:AW84)</f>
        <v>-104332.22235</v>
      </c>
      <c r="AX85" s="12" t="n">
        <f aca="false">AX66+AX67+AX68+AX69+AX70+SUM(AX71:AX84)</f>
        <v>-186014.22235</v>
      </c>
      <c r="AY85" s="12" t="n">
        <f aca="false">AY66+AY67+AY68+AY69+AY70+SUM(AY71:AY84)</f>
        <v>-106418.866797</v>
      </c>
      <c r="AZ85" s="12" t="n">
        <f aca="false">AZ66+AZ67+AZ68+AZ69+AZ70+SUM(AZ71:AZ84)</f>
        <v>-106418.866797</v>
      </c>
      <c r="BA85" s="12" t="n">
        <f aca="false">BA66+BA67+BA68+BA69+BA70+SUM(BA71:BA84)</f>
        <v>-1039939.866797</v>
      </c>
      <c r="BB85" s="12" t="n">
        <f aca="false">BB66+BB67+BB68+BB69+BB70+SUM(BB71:BB84)</f>
        <v>-131314.806477</v>
      </c>
      <c r="BC85" s="12" t="n">
        <f aca="false">BC66+BC67+BC68+BC69+BC70+SUM(BC71:BC84)</f>
        <v>-106418.866797</v>
      </c>
      <c r="BD85" s="12" t="n">
        <f aca="false">BD66+BD67+BD68+BD69+BD70+SUM(BD71:BD84)</f>
        <v>-237296.866797</v>
      </c>
      <c r="BE85" s="12" t="n">
        <f aca="false">BE66+BE67+BE68+BE69+BE70+SUM(BE71:BE84)</f>
        <v>-106418.866797</v>
      </c>
      <c r="BF85" s="12" t="n">
        <f aca="false">BF66+BF67+BF68+BF69+BF70+SUM(BF71:BF84)</f>
        <v>-106418.866797</v>
      </c>
      <c r="BG85" s="12" t="n">
        <f aca="false">BG66+BG67+BG68+BG69+BG70+SUM(BG71:BG84)</f>
        <v>-260025.942157</v>
      </c>
      <c r="BH85" s="12" t="n">
        <f aca="false">BH66+BH67+BH68+BH69+BH70+SUM(BH71:BH84)</f>
        <v>-106418.866797</v>
      </c>
      <c r="BI85" s="12" t="n">
        <f aca="false">BI66+BI67+BI68+BI69+BI70+SUM(BI71:BI84)</f>
        <v>-106418.866797</v>
      </c>
      <c r="BJ85" s="12" t="n">
        <f aca="false">BJ66+BJ67+BJ68+BJ69+BJ70+SUM(BJ71:BJ84)</f>
        <v>-237294.866797</v>
      </c>
      <c r="BK85" s="12" t="n">
        <f aca="false">BK66+BK67+BK68+BK69+BK70+SUM(BK71:BK84)</f>
        <v>-108547.24413294</v>
      </c>
      <c r="BL85" s="12" t="n">
        <f aca="false">BL66+BL67+BL68+BL69+BL70+SUM(BL71:BL84)</f>
        <v>-108547.24413294</v>
      </c>
      <c r="BM85" s="12" t="n">
        <f aca="false">BM66+BM67+BM68+BM69+BM70+SUM(BM71:BM84)</f>
        <v>-239423.24413294</v>
      </c>
      <c r="BN85" s="12" t="n">
        <f aca="false">BN66+BN67+BN68+BN69+BN70+SUM(BN71:BN84)</f>
        <v>-133941.10260654</v>
      </c>
      <c r="BO85" s="12" t="n">
        <f aca="false">BO66+BO67+BO68+BO69+BO70+SUM(BO71:BO84)</f>
        <v>-108547.24413294</v>
      </c>
      <c r="BP85" s="12" t="n">
        <f aca="false">BP66+BP67+BP68+BP69+BP70+SUM(BP71:BP84)</f>
        <v>-199439.72413294</v>
      </c>
      <c r="BQ85" s="12" t="n">
        <f aca="false">BQ66+BQ67+BQ68+BQ69+BQ70+SUM(BQ71:BQ84)</f>
        <v>-108547.24413294</v>
      </c>
      <c r="BR85" s="12" t="n">
        <f aca="false">BR66+BR67+BR68+BR69+BR70+SUM(BR71:BR84)</f>
        <v>-108547.24413294</v>
      </c>
      <c r="BS85" s="12" t="n">
        <f aca="false">BS66+BS67+BS68+BS69+BS70+SUM(BS71:BS84)</f>
        <v>-206372.94100014</v>
      </c>
      <c r="BT85" s="12" t="n">
        <f aca="false">BT66+BT67+BT68+BT69+BT70+SUM(BT71:BT84)</f>
        <v>-108547.24413294</v>
      </c>
      <c r="BU85" s="12" t="n">
        <f aca="false">BU66+BU67+BU68+BU69+BU70+SUM(BU71:BU84)</f>
        <v>-108547.24413294</v>
      </c>
      <c r="BV85" s="12" t="n">
        <f aca="false">BV66+BV67+BV68+BV69+BV70+SUM(BV71:BV84)</f>
        <v>-183187.24413294</v>
      </c>
      <c r="BW85" s="12" t="n">
        <f aca="false">BW66+BW67+BW68+BW69+BW70+SUM(BW71:BW84)</f>
        <v>-110718.189015599</v>
      </c>
      <c r="BX85" s="12" t="n">
        <f aca="false">BX66+BX67+BX68+BX69+BX70+SUM(BX71:BX84)</f>
        <v>-110718.189015599</v>
      </c>
      <c r="BY85" s="12" t="n">
        <f aca="false">BY66+BY67+BY68+BY69+BY70+SUM(BY71:BY84)</f>
        <v>-258514.189015599</v>
      </c>
      <c r="BZ85" s="12" t="n">
        <f aca="false">BZ66+BZ67+BZ68+BZ69+BZ70+SUM(BZ71:BZ84)</f>
        <v>-136619.924658671</v>
      </c>
      <c r="CA85" s="12" t="n">
        <f aca="false">CA66+CA67+CA68+CA69+CA70+SUM(CA71:CA84)</f>
        <v>-110718.189015599</v>
      </c>
      <c r="CB85" s="12" t="n">
        <f aca="false">CB66+CB67+CB68+CB69+CB70+SUM(CB71:CB84)</f>
        <v>-265236.189015599</v>
      </c>
      <c r="CC85" s="12" t="n">
        <f aca="false">CC66+CC67+CC68+CC69+CC70+SUM(CC71:CC84)</f>
        <v>-110718.189015599</v>
      </c>
      <c r="CD85" s="12" t="n">
        <f aca="false">CD66+CD67+CD68+CD69+CD70+SUM(CD71:CD84)</f>
        <v>-110718.189015599</v>
      </c>
      <c r="CE85" s="12" t="n">
        <f aca="false">CE66+CE67+CE68+CE69+CE70+SUM(CE71:CE84)</f>
        <v>-288884.599820143</v>
      </c>
      <c r="CF85" s="12" t="n">
        <f aca="false">CF66+CF67+CF68+CF69+CF70+SUM(CF71:CF84)</f>
        <v>-110718.189015599</v>
      </c>
      <c r="CG85" s="12" t="n">
        <f aca="false">CG66+CG67+CG68+CG69+CG70+SUM(CG71:CG84)</f>
        <v>-110718.189015599</v>
      </c>
      <c r="CH85" s="12" t="n">
        <f aca="false">CH66+CH67+CH68+CH69+CH70+SUM(CH71:CH84)</f>
        <v>-258627.16240912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-54700.0033333333</v>
      </c>
      <c r="D87" s="16" t="n">
        <f aca="false">D64+D85</f>
        <v>-54700.0033333333</v>
      </c>
      <c r="E87" s="16" t="n">
        <f aca="false">E64+E85</f>
        <v>-54700.0033333333</v>
      </c>
      <c r="F87" s="16" t="n">
        <f aca="false">F64+F85</f>
        <v>-77700.0033333333</v>
      </c>
      <c r="G87" s="16" t="n">
        <f aca="false">G64+G85</f>
        <v>-54700.0033333333</v>
      </c>
      <c r="H87" s="16" t="n">
        <f aca="false">H64+H85</f>
        <v>-55533.3333333333</v>
      </c>
      <c r="I87" s="16" t="n">
        <f aca="false">I64+I85</f>
        <v>-55533.3333333333</v>
      </c>
      <c r="J87" s="16" t="n">
        <f aca="false">J64+J85</f>
        <v>-64908.3333333333</v>
      </c>
      <c r="K87" s="16" t="n">
        <f aca="false">K64+K85</f>
        <v>-85908.3333333333</v>
      </c>
      <c r="L87" s="16" t="n">
        <f aca="false">L64+L85</f>
        <v>-64908.3333333333</v>
      </c>
      <c r="M87" s="16" t="n">
        <f aca="false">M64+M85</f>
        <v>-64908.3333333333</v>
      </c>
      <c r="N87" s="16" t="n">
        <f aca="false">N64+N85</f>
        <v>-64908.3333333333</v>
      </c>
      <c r="O87" s="16" t="n">
        <f aca="false">O64+O85</f>
        <v>-66874.625</v>
      </c>
      <c r="P87" s="16" t="n">
        <f aca="false">P64+P85</f>
        <v>-66874.625</v>
      </c>
      <c r="Q87" s="16" t="n">
        <f aca="false">Q64+Q85</f>
        <v>-66874.625</v>
      </c>
      <c r="R87" s="16" t="n">
        <f aca="false">R64+R85</f>
        <v>-114240.875</v>
      </c>
      <c r="S87" s="16" t="n">
        <f aca="false">S64+S85</f>
        <v>-90780.875</v>
      </c>
      <c r="T87" s="16" t="n">
        <f aca="false">T64+T85</f>
        <v>-90780.875</v>
      </c>
      <c r="U87" s="16" t="n">
        <f aca="false">U64+U85</f>
        <v>-90780.875</v>
      </c>
      <c r="V87" s="16" t="n">
        <f aca="false">V64+V85</f>
        <v>-90780.875</v>
      </c>
      <c r="W87" s="16" t="n">
        <f aca="false">W64+W85</f>
        <v>-54825.875</v>
      </c>
      <c r="X87" s="16" t="n">
        <f aca="false">X64+X85</f>
        <v>-90780.875</v>
      </c>
      <c r="Y87" s="16" t="n">
        <f aca="false">Y64+Y85</f>
        <v>-90780.875</v>
      </c>
      <c r="Z87" s="16" t="n">
        <f aca="false">Z64+Z85</f>
        <v>-33405.875</v>
      </c>
      <c r="AA87" s="16" t="n">
        <f aca="false">AA64+AA85</f>
        <v>-92786.4925</v>
      </c>
      <c r="AB87" s="16" t="n">
        <f aca="false">AB64+AB85</f>
        <v>-92786.4925</v>
      </c>
      <c r="AC87" s="16" t="n">
        <f aca="false">AC64+AC85</f>
        <v>-35411.4925</v>
      </c>
      <c r="AD87" s="16" t="n">
        <f aca="false">AD64+AD85</f>
        <v>-116715.6925</v>
      </c>
      <c r="AE87" s="16" t="n">
        <f aca="false">AE64+AE85</f>
        <v>-92786.4925</v>
      </c>
      <c r="AF87" s="16" t="n">
        <f aca="false">AF64+AF85</f>
        <v>-92786.4925</v>
      </c>
      <c r="AG87" s="16" t="n">
        <f aca="false">AG64+AG85</f>
        <v>-102286.4925</v>
      </c>
      <c r="AH87" s="16" t="n">
        <f aca="false">AH64+AH85</f>
        <v>-102286.4925</v>
      </c>
      <c r="AI87" s="16" t="n">
        <f aca="false">AI64+AI85</f>
        <v>-124134.8925</v>
      </c>
      <c r="AJ87" s="16" t="n">
        <f aca="false">AJ64+AJ85</f>
        <v>-102286.4925</v>
      </c>
      <c r="AK87" s="16" t="n">
        <f aca="false">AK64+AK85</f>
        <v>-102286.4925</v>
      </c>
      <c r="AL87" s="16" t="n">
        <f aca="false">AL64+AL85</f>
        <v>-102286.4925</v>
      </c>
      <c r="AM87" s="16" t="n">
        <f aca="false">AM64+AM85</f>
        <v>-104332.22235</v>
      </c>
      <c r="AN87" s="16" t="n">
        <f aca="false">AN64+AN85</f>
        <v>-104332.22235</v>
      </c>
      <c r="AO87" s="16" t="n">
        <f aca="false">AO64+AO85</f>
        <v>-104332.22235</v>
      </c>
      <c r="AP87" s="16" t="n">
        <f aca="false">AP64+AP85</f>
        <v>-128740.00635</v>
      </c>
      <c r="AQ87" s="16" t="n">
        <f aca="false">AQ64+AQ85</f>
        <v>-104332.22235</v>
      </c>
      <c r="AR87" s="16" t="n">
        <f aca="false">AR64+AR85</f>
        <v>-104332.22235</v>
      </c>
      <c r="AS87" s="16" t="n">
        <f aca="false">AS64+AS85</f>
        <v>-104332.22235</v>
      </c>
      <c r="AT87" s="16" t="n">
        <f aca="false">AT64+AT85</f>
        <v>-104332.22235</v>
      </c>
      <c r="AU87" s="16" t="n">
        <f aca="false">AU64+AU85</f>
        <v>-126617.59035</v>
      </c>
      <c r="AV87" s="16" t="n">
        <f aca="false">AV64+AV85</f>
        <v>-104332.22235</v>
      </c>
      <c r="AW87" s="16" t="n">
        <f aca="false">AW64+AW85</f>
        <v>-104332.22235</v>
      </c>
      <c r="AX87" s="16" t="n">
        <f aca="false">AX64+AX85</f>
        <v>-104332.22235</v>
      </c>
      <c r="AY87" s="16" t="n">
        <f aca="false">AY64+AY85</f>
        <v>-106418.866797</v>
      </c>
      <c r="AZ87" s="16" t="n">
        <f aca="false">AZ64+AZ85</f>
        <v>-106418.866797</v>
      </c>
      <c r="BA87" s="16" t="n">
        <f aca="false">BA64+BA85</f>
        <v>-106418.866797</v>
      </c>
      <c r="BB87" s="16" t="n">
        <f aca="false">BB64+BB85</f>
        <v>-131314.806477</v>
      </c>
      <c r="BC87" s="16" t="n">
        <f aca="false">BC64+BC85</f>
        <v>-106418.866797</v>
      </c>
      <c r="BD87" s="16" t="n">
        <f aca="false">BD64+BD85</f>
        <v>-106418.866797</v>
      </c>
      <c r="BE87" s="16" t="n">
        <f aca="false">BE64+BE85</f>
        <v>-106418.866797</v>
      </c>
      <c r="BF87" s="16" t="n">
        <f aca="false">BF64+BF85</f>
        <v>-106418.866797</v>
      </c>
      <c r="BG87" s="16" t="n">
        <f aca="false">BG64+BG85</f>
        <v>-129149.942157</v>
      </c>
      <c r="BH87" s="16" t="n">
        <f aca="false">BH64+BH85</f>
        <v>-106418.866797</v>
      </c>
      <c r="BI87" s="16" t="n">
        <f aca="false">BI64+BI85</f>
        <v>-106418.866797</v>
      </c>
      <c r="BJ87" s="16" t="n">
        <f aca="false">BJ64+BJ85</f>
        <v>-106418.866797</v>
      </c>
      <c r="BK87" s="16" t="n">
        <f aca="false">BK64+BK85</f>
        <v>-108547.24413294</v>
      </c>
      <c r="BL87" s="16" t="n">
        <f aca="false">BL64+BL85</f>
        <v>-108547.24413294</v>
      </c>
      <c r="BM87" s="16" t="n">
        <f aca="false">BM64+BM85</f>
        <v>-108547.24413294</v>
      </c>
      <c r="BN87" s="16" t="n">
        <f aca="false">BN64+BN85</f>
        <v>-133941.10260654</v>
      </c>
      <c r="BO87" s="16" t="n">
        <f aca="false">BO64+BO85</f>
        <v>-108547.24413294</v>
      </c>
      <c r="BP87" s="16" t="n">
        <f aca="false">BP64+BP85</f>
        <v>-57033.72413294</v>
      </c>
      <c r="BQ87" s="16" t="n">
        <f aca="false">BQ64+BQ85</f>
        <v>-108547.24413294</v>
      </c>
      <c r="BR87" s="16" t="n">
        <f aca="false">BR64+BR85</f>
        <v>-108547.24413294</v>
      </c>
      <c r="BS87" s="16" t="n">
        <f aca="false">BS64+BS85</f>
        <v>-63970.94100014</v>
      </c>
      <c r="BT87" s="16" t="n">
        <f aca="false">BT64+BT85</f>
        <v>-108547.24413294</v>
      </c>
      <c r="BU87" s="16" t="n">
        <f aca="false">BU64+BU85</f>
        <v>-108547.24413294</v>
      </c>
      <c r="BV87" s="16" t="n">
        <f aca="false">BV64+BV85</f>
        <v>-40785.24413294</v>
      </c>
      <c r="BW87" s="16" t="n">
        <f aca="false">BW64+BW85</f>
        <v>-110718.189015599</v>
      </c>
      <c r="BX87" s="16" t="n">
        <f aca="false">BX64+BX85</f>
        <v>-110718.189015599</v>
      </c>
      <c r="BY87" s="16" t="n">
        <f aca="false">BY64+BY85</f>
        <v>-42956.1890155988</v>
      </c>
      <c r="BZ87" s="16" t="n">
        <f aca="false">BZ64+BZ85</f>
        <v>-136619.924658671</v>
      </c>
      <c r="CA87" s="16" t="n">
        <f aca="false">CA64+CA85</f>
        <v>-110718.189015599</v>
      </c>
      <c r="CB87" s="16" t="n">
        <f aca="false">CB64+CB85</f>
        <v>-34219.1890155989</v>
      </c>
      <c r="CC87" s="16" t="n">
        <f aca="false">CC64+CC85</f>
        <v>-110718.189015599</v>
      </c>
      <c r="CD87" s="16" t="n">
        <f aca="false">CD64+CD85</f>
        <v>-110718.189015599</v>
      </c>
      <c r="CE87" s="16" t="n">
        <f aca="false">CE64+CE85</f>
        <v>-57868.5998201428</v>
      </c>
      <c r="CF87" s="16" t="n">
        <f aca="false">CF64+CF85</f>
        <v>-110718.189015599</v>
      </c>
      <c r="CG87" s="16" t="n">
        <f aca="false">CG64+CG85</f>
        <v>-110718.189015599</v>
      </c>
      <c r="CH87" s="16" t="n">
        <f aca="false">CH64+CH85</f>
        <v>-27611.1624091196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915061.240277114</v>
      </c>
      <c r="S90" s="10" t="n">
        <f aca="false">S12</f>
        <v>733391.154457004</v>
      </c>
      <c r="T90" s="10" t="n">
        <f aca="false">T12</f>
        <v>805921.039582298</v>
      </c>
      <c r="U90" s="10" t="n">
        <f aca="false">U12</f>
        <v>833525.734427074</v>
      </c>
      <c r="V90" s="10" t="n">
        <f aca="false">V12</f>
        <v>796965.80079079</v>
      </c>
      <c r="W90" s="10" t="n">
        <f aca="false">W12</f>
        <v>863106.446934629</v>
      </c>
      <c r="X90" s="10" t="n">
        <f aca="false">X12</f>
        <v>862932.299122491</v>
      </c>
      <c r="Y90" s="10" t="n">
        <f aca="false">Y12</f>
        <v>859777.051675995</v>
      </c>
      <c r="Z90" s="10" t="n">
        <f aca="false">Z12</f>
        <v>920822.790005487</v>
      </c>
      <c r="AA90" s="10" t="n">
        <f aca="false">AA12</f>
        <v>993655.657835894</v>
      </c>
      <c r="AB90" s="10" t="n">
        <f aca="false">AB12</f>
        <v>851725.776938485</v>
      </c>
      <c r="AC90" s="10" t="n">
        <f aca="false">AC12</f>
        <v>1627746.58218191</v>
      </c>
      <c r="AD90" s="10" t="n">
        <f aca="false">AD12</f>
        <v>977470.553299057</v>
      </c>
      <c r="AE90" s="10" t="n">
        <f aca="false">AE12</f>
        <v>984113.300228276</v>
      </c>
      <c r="AF90" s="10" t="n">
        <f aca="false">AF12</f>
        <v>986459.02654621</v>
      </c>
      <c r="AG90" s="10" t="n">
        <f aca="false">AG12</f>
        <v>1172445.48266312</v>
      </c>
      <c r="AH90" s="10" t="n">
        <f aca="false">AH12</f>
        <v>995276.949586266</v>
      </c>
      <c r="AI90" s="10" t="n">
        <f aca="false">AI12</f>
        <v>1234257.8731601</v>
      </c>
      <c r="AJ90" s="10" t="n">
        <f aca="false">AJ12</f>
        <v>1062767.60319447</v>
      </c>
      <c r="AK90" s="10" t="n">
        <f aca="false">AK12</f>
        <v>877648.649234194</v>
      </c>
      <c r="AL90" s="10" t="n">
        <f aca="false">AL12</f>
        <v>1047660.33063431</v>
      </c>
      <c r="AM90" s="10" t="n">
        <f aca="false">AM12</f>
        <v>838918.121398955</v>
      </c>
      <c r="AN90" s="10" t="n">
        <f aca="false">AN12</f>
        <v>838276.20984326</v>
      </c>
      <c r="AO90" s="10" t="n">
        <f aca="false">AO12</f>
        <v>920088.182583075</v>
      </c>
      <c r="AP90" s="10" t="n">
        <f aca="false">AP12</f>
        <v>845963.415213806</v>
      </c>
      <c r="AQ90" s="10" t="n">
        <f aca="false">AQ12</f>
        <v>845554.825828707</v>
      </c>
      <c r="AR90" s="10" t="n">
        <f aca="false">AR12</f>
        <v>1265232.88943574</v>
      </c>
      <c r="AS90" s="10" t="n">
        <f aca="false">AS12</f>
        <v>736430.766726985</v>
      </c>
      <c r="AT90" s="10" t="n">
        <f aca="false">AT12</f>
        <v>807502.614436725</v>
      </c>
      <c r="AU90" s="10" t="n">
        <f aca="false">AU12</f>
        <v>897219.127355855</v>
      </c>
      <c r="AV90" s="10" t="n">
        <f aca="false">AV12</f>
        <v>816721.399283855</v>
      </c>
      <c r="AW90" s="10" t="n">
        <f aca="false">AW12</f>
        <v>821390.733840147</v>
      </c>
      <c r="AX90" s="10" t="n">
        <f aca="false">AX12</f>
        <v>888946.229865089</v>
      </c>
      <c r="AY90" s="10" t="n">
        <f aca="false">AY12</f>
        <v>974566.506083913</v>
      </c>
      <c r="AZ90" s="10" t="n">
        <f aca="false">AZ12</f>
        <v>889498.071470212</v>
      </c>
      <c r="BA90" s="10" t="n">
        <f aca="false">BA12</f>
        <v>889273.706622634</v>
      </c>
      <c r="BB90" s="10" t="n">
        <f aca="false">BB12</f>
        <v>1050441.41222417</v>
      </c>
      <c r="BC90" s="10" t="n">
        <f aca="false">BC12</f>
        <v>898255.560654128</v>
      </c>
      <c r="BD90" s="10" t="n">
        <f aca="false">BD12</f>
        <v>961182.035598556</v>
      </c>
      <c r="BE90" s="10" t="n">
        <f aca="false">BE12</f>
        <v>1059332.67047871</v>
      </c>
      <c r="BF90" s="10" t="n">
        <f aca="false">BF12</f>
        <v>1175362.01114753</v>
      </c>
      <c r="BG90" s="10" t="n">
        <f aca="false">BG12</f>
        <v>825610.215097403</v>
      </c>
      <c r="BH90" s="10" t="n">
        <f aca="false">BH12</f>
        <v>1005267.46996753</v>
      </c>
      <c r="BI90" s="10" t="n">
        <f aca="false">BI12</f>
        <v>825045.443181818</v>
      </c>
      <c r="BJ90" s="10" t="n">
        <f aca="false">BJ12</f>
        <v>992789.82224026</v>
      </c>
      <c r="BK90" s="10" t="n">
        <f aca="false">BK12</f>
        <v>813142.14448052</v>
      </c>
      <c r="BL90" s="10" t="n">
        <f aca="false">BL12</f>
        <v>977650.906655844</v>
      </c>
      <c r="BM90" s="10" t="n">
        <f aca="false">BM12</f>
        <v>828759.835227273</v>
      </c>
      <c r="BN90" s="10" t="n">
        <f aca="false">BN12</f>
        <v>980133.876623377</v>
      </c>
      <c r="BO90" s="10" t="n">
        <f aca="false">BO12</f>
        <v>830654.576298701</v>
      </c>
      <c r="BP90" s="10" t="n">
        <f aca="false">BP12</f>
        <v>981356.970779221</v>
      </c>
      <c r="BQ90" s="10" t="n">
        <f aca="false">BQ12</f>
        <v>831143.980519481</v>
      </c>
      <c r="BR90" s="10" t="n">
        <f aca="false">BR12</f>
        <v>994497.798701299</v>
      </c>
      <c r="BS90" s="10" t="n">
        <f aca="false">BS12</f>
        <v>844377.248376623</v>
      </c>
      <c r="BT90" s="10" t="n">
        <f aca="false">BT12</f>
        <v>1011543.25324675</v>
      </c>
      <c r="BU90" s="10" t="n">
        <f aca="false">BU12</f>
        <v>831143.98051948</v>
      </c>
      <c r="BV90" s="10" t="n">
        <f aca="false">BV12</f>
        <v>981356.970779221</v>
      </c>
      <c r="BW90" s="10" t="n">
        <f aca="false">BW12</f>
        <v>830654.576298701</v>
      </c>
      <c r="BX90" s="10" t="n">
        <f aca="false">BX12</f>
        <v>993554.661525974</v>
      </c>
      <c r="BY90" s="10" t="n">
        <f aca="false">BY12</f>
        <v>843047.279220779</v>
      </c>
      <c r="BZ90" s="10" t="n">
        <f aca="false">BZ12</f>
        <v>1009916.67126623</v>
      </c>
      <c r="CA90" s="10" t="n">
        <f aca="false">CA12</f>
        <v>829324.329545455</v>
      </c>
      <c r="CB90" s="10" t="n">
        <f aca="false">CB12</f>
        <v>979450.431818182</v>
      </c>
      <c r="CC90" s="10" t="n">
        <f aca="false">CC12</f>
        <v>828759.835227273</v>
      </c>
      <c r="CD90" s="10" t="n">
        <f aca="false">CD12</f>
        <v>1008800.59090909</v>
      </c>
      <c r="CE90" s="10" t="n">
        <f aca="false">CE12</f>
        <v>828759.835227273</v>
      </c>
      <c r="CF90" s="10" t="n">
        <f aca="false">CF12</f>
        <v>979450.431818182</v>
      </c>
      <c r="CG90" s="10" t="n">
        <f aca="false">CG12</f>
        <v>829324.329545455</v>
      </c>
      <c r="CH90" s="10" t="n">
        <f aca="false">CH12</f>
        <v>912346.507305195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33406.25</v>
      </c>
      <c r="M91" s="10" t="n">
        <f aca="false">M64</f>
        <v>33406.25</v>
      </c>
      <c r="N91" s="10" t="n">
        <f aca="false">N64</f>
        <v>33406.25</v>
      </c>
      <c r="O91" s="10" t="n">
        <f aca="false">O64</f>
        <v>33406.25</v>
      </c>
      <c r="P91" s="10" t="n">
        <f aca="false">P64</f>
        <v>33406.25</v>
      </c>
      <c r="Q91" s="10" t="n">
        <f aca="false">Q64</f>
        <v>33406.25</v>
      </c>
      <c r="R91" s="10" t="n">
        <f aca="false">R64</f>
        <v>9500</v>
      </c>
      <c r="S91" s="10" t="n">
        <f aca="false">S64</f>
        <v>9500</v>
      </c>
      <c r="T91" s="10" t="n">
        <f aca="false">T64</f>
        <v>9500</v>
      </c>
      <c r="U91" s="10" t="n">
        <f aca="false">U64</f>
        <v>9500</v>
      </c>
      <c r="V91" s="10" t="n">
        <f aca="false">V64</f>
        <v>9500</v>
      </c>
      <c r="W91" s="10" t="n">
        <f aca="false">W64</f>
        <v>66875</v>
      </c>
      <c r="X91" s="10" t="n">
        <f aca="false">X64</f>
        <v>9500</v>
      </c>
      <c r="Y91" s="10" t="n">
        <f aca="false">Y64</f>
        <v>9500</v>
      </c>
      <c r="Z91" s="10" t="n">
        <f aca="false">Z64</f>
        <v>66875</v>
      </c>
      <c r="AA91" s="10" t="n">
        <f aca="false">AA64</f>
        <v>9500</v>
      </c>
      <c r="AB91" s="10" t="n">
        <f aca="false">AB64</f>
        <v>9500</v>
      </c>
      <c r="AC91" s="10" t="n">
        <f aca="false">AC64</f>
        <v>66875</v>
      </c>
      <c r="AD91" s="10" t="n">
        <f aca="false">AD64</f>
        <v>9500</v>
      </c>
      <c r="AE91" s="10" t="n">
        <f aca="false">AE64</f>
        <v>9500</v>
      </c>
      <c r="AF91" s="10" t="n">
        <f aca="false">AF64</f>
        <v>9500</v>
      </c>
      <c r="AG91" s="10" t="n">
        <f aca="false">AG64</f>
        <v>0</v>
      </c>
      <c r="AH91" s="10" t="n">
        <f aca="false">AH64</f>
        <v>0</v>
      </c>
      <c r="AI91" s="10" t="n">
        <f aca="false">AI64</f>
        <v>0</v>
      </c>
      <c r="AJ91" s="10" t="n">
        <f aca="false">AJ64</f>
        <v>0</v>
      </c>
      <c r="AK91" s="10" t="n">
        <f aca="false">AK64</f>
        <v>0</v>
      </c>
      <c r="AL91" s="10" t="n">
        <f aca="false">AL64</f>
        <v>0</v>
      </c>
      <c r="AM91" s="10" t="n">
        <f aca="false">AM64</f>
        <v>0</v>
      </c>
      <c r="AN91" s="10" t="n">
        <f aca="false">AN64</f>
        <v>0</v>
      </c>
      <c r="AO91" s="10" t="n">
        <f aca="false">AO64</f>
        <v>0</v>
      </c>
      <c r="AP91" s="10" t="n">
        <f aca="false">AP64</f>
        <v>0</v>
      </c>
      <c r="AQ91" s="10" t="n">
        <f aca="false">AQ64</f>
        <v>0</v>
      </c>
      <c r="AR91" s="10" t="n">
        <f aca="false">AR64</f>
        <v>81683</v>
      </c>
      <c r="AS91" s="10" t="n">
        <f aca="false">AS64</f>
        <v>0</v>
      </c>
      <c r="AT91" s="10" t="n">
        <f aca="false">AT64</f>
        <v>0</v>
      </c>
      <c r="AU91" s="10" t="n">
        <f aca="false">AU64</f>
        <v>81682</v>
      </c>
      <c r="AV91" s="10" t="n">
        <f aca="false">AV64</f>
        <v>0</v>
      </c>
      <c r="AW91" s="10" t="n">
        <f aca="false">AW64</f>
        <v>0</v>
      </c>
      <c r="AX91" s="10" t="n">
        <f aca="false">AX64</f>
        <v>81682</v>
      </c>
      <c r="AY91" s="10" t="n">
        <f aca="false">AY64</f>
        <v>0</v>
      </c>
      <c r="AZ91" s="10" t="n">
        <f aca="false">AZ64</f>
        <v>0</v>
      </c>
      <c r="BA91" s="10" t="n">
        <f aca="false">BA64</f>
        <v>933521</v>
      </c>
      <c r="BB91" s="10" t="n">
        <f aca="false">BB64</f>
        <v>0</v>
      </c>
      <c r="BC91" s="10" t="n">
        <f aca="false">BC64</f>
        <v>0</v>
      </c>
      <c r="BD91" s="10" t="n">
        <f aca="false">BD64</f>
        <v>130878</v>
      </c>
      <c r="BE91" s="10" t="n">
        <f aca="false">BE64</f>
        <v>0</v>
      </c>
      <c r="BF91" s="10" t="n">
        <f aca="false">BF64</f>
        <v>0</v>
      </c>
      <c r="BG91" s="10" t="n">
        <f aca="false">BG64</f>
        <v>130876</v>
      </c>
      <c r="BH91" s="10" t="n">
        <f aca="false">BH64</f>
        <v>0</v>
      </c>
      <c r="BI91" s="10" t="n">
        <f aca="false">BI64</f>
        <v>0</v>
      </c>
      <c r="BJ91" s="10" t="n">
        <f aca="false">BJ64</f>
        <v>130876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760977.637834085</v>
      </c>
      <c r="M92" s="12" t="n">
        <f aca="false">M90+M91</f>
        <v>767477.549271149</v>
      </c>
      <c r="N92" s="12" t="n">
        <f aca="false">N90+N91</f>
        <v>771228.819271611</v>
      </c>
      <c r="O92" s="12" t="n">
        <f aca="false">O90+O91</f>
        <v>1577849.21033034</v>
      </c>
      <c r="P92" s="12" t="n">
        <f aca="false">P90+P91</f>
        <v>901603.575206424</v>
      </c>
      <c r="Q92" s="12" t="n">
        <f aca="false">Q90+Q91</f>
        <v>1044384.02837069</v>
      </c>
      <c r="R92" s="12" t="n">
        <f aca="false">R90+R91</f>
        <v>924561.240277114</v>
      </c>
      <c r="S92" s="12" t="n">
        <f aca="false">S90+S91</f>
        <v>742891.154457004</v>
      </c>
      <c r="T92" s="12" t="n">
        <f aca="false">T90+T91</f>
        <v>815421.039582298</v>
      </c>
      <c r="U92" s="12" t="n">
        <f aca="false">U90+U91</f>
        <v>843025.734427074</v>
      </c>
      <c r="V92" s="12" t="n">
        <f aca="false">V90+V91</f>
        <v>806465.80079079</v>
      </c>
      <c r="W92" s="12" t="n">
        <f aca="false">W90+W91</f>
        <v>929981.446934629</v>
      </c>
      <c r="X92" s="12" t="n">
        <f aca="false">X90+X91</f>
        <v>872432.299122491</v>
      </c>
      <c r="Y92" s="12" t="n">
        <f aca="false">Y90+Y91</f>
        <v>869277.051675995</v>
      </c>
      <c r="Z92" s="12" t="n">
        <f aca="false">Z90+Z91</f>
        <v>987697.790005487</v>
      </c>
      <c r="AA92" s="12" t="n">
        <f aca="false">AA90+AA91</f>
        <v>1003155.65783589</v>
      </c>
      <c r="AB92" s="12" t="n">
        <f aca="false">AB90+AB91</f>
        <v>861225.776938485</v>
      </c>
      <c r="AC92" s="12" t="n">
        <f aca="false">AC90+AC91</f>
        <v>1694621.58218191</v>
      </c>
      <c r="AD92" s="12" t="n">
        <f aca="false">AD90+AD91</f>
        <v>986970.553299057</v>
      </c>
      <c r="AE92" s="12" t="n">
        <f aca="false">AE90+AE91</f>
        <v>993613.300228276</v>
      </c>
      <c r="AF92" s="12" t="n">
        <f aca="false">AF90+AF91</f>
        <v>995959.02654621</v>
      </c>
      <c r="AG92" s="12" t="n">
        <f aca="false">AG90+AG91</f>
        <v>1172445.48266312</v>
      </c>
      <c r="AH92" s="12" t="n">
        <f aca="false">AH90+AH91</f>
        <v>995276.949586266</v>
      </c>
      <c r="AI92" s="12" t="n">
        <f aca="false">AI90+AI91</f>
        <v>1234257.8731601</v>
      </c>
      <c r="AJ92" s="12" t="n">
        <f aca="false">AJ90+AJ91</f>
        <v>1062767.60319447</v>
      </c>
      <c r="AK92" s="12" t="n">
        <f aca="false">AK90+AK91</f>
        <v>877648.649234194</v>
      </c>
      <c r="AL92" s="12" t="n">
        <f aca="false">AL90+AL91</f>
        <v>1047660.33063431</v>
      </c>
      <c r="AM92" s="12" t="n">
        <f aca="false">AM90+AM91</f>
        <v>838918.121398955</v>
      </c>
      <c r="AN92" s="12" t="n">
        <f aca="false">AN90+AN91</f>
        <v>838276.20984326</v>
      </c>
      <c r="AO92" s="12" t="n">
        <f aca="false">AO90+AO91</f>
        <v>920088.182583075</v>
      </c>
      <c r="AP92" s="12" t="n">
        <f aca="false">AP90+AP91</f>
        <v>845963.415213806</v>
      </c>
      <c r="AQ92" s="12" t="n">
        <f aca="false">AQ90+AQ91</f>
        <v>845554.825828707</v>
      </c>
      <c r="AR92" s="12" t="n">
        <f aca="false">AR90+AR91</f>
        <v>1346915.88943574</v>
      </c>
      <c r="AS92" s="12" t="n">
        <f aca="false">AS90+AS91</f>
        <v>736430.766726985</v>
      </c>
      <c r="AT92" s="12" t="n">
        <f aca="false">AT90+AT91</f>
        <v>807502.614436725</v>
      </c>
      <c r="AU92" s="12" t="n">
        <f aca="false">AU90+AU91</f>
        <v>978901.127355855</v>
      </c>
      <c r="AV92" s="12" t="n">
        <f aca="false">AV90+AV91</f>
        <v>816721.399283855</v>
      </c>
      <c r="AW92" s="12" t="n">
        <f aca="false">AW90+AW91</f>
        <v>821390.733840147</v>
      </c>
      <c r="AX92" s="12" t="n">
        <f aca="false">AX90+AX91</f>
        <v>970628.229865089</v>
      </c>
      <c r="AY92" s="12" t="n">
        <f aca="false">AY90+AY91</f>
        <v>974566.506083913</v>
      </c>
      <c r="AZ92" s="12" t="n">
        <f aca="false">AZ90+AZ91</f>
        <v>889498.071470212</v>
      </c>
      <c r="BA92" s="12" t="n">
        <f aca="false">BA90+BA91</f>
        <v>1822794.70662263</v>
      </c>
      <c r="BB92" s="12" t="n">
        <f aca="false">BB90+BB91</f>
        <v>1050441.41222417</v>
      </c>
      <c r="BC92" s="12" t="n">
        <f aca="false">BC90+BC91</f>
        <v>898255.560654128</v>
      </c>
      <c r="BD92" s="12" t="n">
        <f aca="false">BD90+BD91</f>
        <v>1092060.03559856</v>
      </c>
      <c r="BE92" s="12" t="n">
        <f aca="false">BE90+BE91</f>
        <v>1059332.67047871</v>
      </c>
      <c r="BF92" s="12" t="n">
        <f aca="false">BF90+BF91</f>
        <v>1175362.01114753</v>
      </c>
      <c r="BG92" s="12" t="n">
        <f aca="false">BG90+BG91</f>
        <v>956486.215097403</v>
      </c>
      <c r="BH92" s="12" t="n">
        <f aca="false">BH90+BH91</f>
        <v>1005267.46996753</v>
      </c>
      <c r="BI92" s="12" t="n">
        <f aca="false">BI90+BI91</f>
        <v>825045.443181818</v>
      </c>
      <c r="BJ92" s="12" t="n">
        <f aca="false">BJ90+BJ91</f>
        <v>1123665.82224026</v>
      </c>
      <c r="BK92" s="12" t="n">
        <f aca="false">BK90+BK91</f>
        <v>813142.14448052</v>
      </c>
      <c r="BL92" s="12" t="n">
        <f aca="false">BL90+BL91</f>
        <v>977650.906655844</v>
      </c>
      <c r="BM92" s="12" t="n">
        <f aca="false">BM90+BM91</f>
        <v>959635.835227273</v>
      </c>
      <c r="BN92" s="12" t="n">
        <f aca="false">BN90+BN91</f>
        <v>980133.876623377</v>
      </c>
      <c r="BO92" s="12" t="n">
        <f aca="false">BO90+BO91</f>
        <v>830654.576298701</v>
      </c>
      <c r="BP92" s="12" t="n">
        <f aca="false">BP90+BP91</f>
        <v>1123762.97077922</v>
      </c>
      <c r="BQ92" s="12" t="n">
        <f aca="false">BQ90+BQ91</f>
        <v>831143.980519481</v>
      </c>
      <c r="BR92" s="12" t="n">
        <f aca="false">BR90+BR91</f>
        <v>994497.798701299</v>
      </c>
      <c r="BS92" s="12" t="n">
        <f aca="false">BS90+BS91</f>
        <v>986779.248376623</v>
      </c>
      <c r="BT92" s="12" t="n">
        <f aca="false">BT90+BT91</f>
        <v>1011543.25324675</v>
      </c>
      <c r="BU92" s="12" t="n">
        <f aca="false">BU90+BU91</f>
        <v>831143.98051948</v>
      </c>
      <c r="BV92" s="12" t="n">
        <f aca="false">BV90+BV91</f>
        <v>1123758.97077922</v>
      </c>
      <c r="BW92" s="12" t="n">
        <f aca="false">BW90+BW91</f>
        <v>830654.576298701</v>
      </c>
      <c r="BX92" s="12" t="n">
        <f aca="false">BX90+BX91</f>
        <v>993554.661525974</v>
      </c>
      <c r="BY92" s="12" t="n">
        <f aca="false">BY90+BY91</f>
        <v>1058605.27922078</v>
      </c>
      <c r="BZ92" s="12" t="n">
        <f aca="false">BZ90+BZ91</f>
        <v>1009916.67126623</v>
      </c>
      <c r="CA92" s="12" t="n">
        <f aca="false">CA90+CA91</f>
        <v>829324.329545455</v>
      </c>
      <c r="CB92" s="12" t="n">
        <f aca="false">CB90+CB91</f>
        <v>1210467.43181818</v>
      </c>
      <c r="CC92" s="12" t="n">
        <f aca="false">CC90+CC91</f>
        <v>828759.835227273</v>
      </c>
      <c r="CD92" s="12" t="n">
        <f aca="false">CD90+CD91</f>
        <v>1008800.59090909</v>
      </c>
      <c r="CE92" s="12" t="n">
        <f aca="false">CE90+CE91</f>
        <v>1059775.83522727</v>
      </c>
      <c r="CF92" s="12" t="n">
        <f aca="false">CF90+CF91</f>
        <v>979450.431818182</v>
      </c>
      <c r="CG92" s="12" t="n">
        <f aca="false">CG90+CG91</f>
        <v>829324.329545455</v>
      </c>
      <c r="CH92" s="12" t="n">
        <f aca="false">CH90+CH91</f>
        <v>1143362.50730519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-328758.698333333</v>
      </c>
      <c r="D93" s="10" t="n">
        <f aca="false">D39</f>
        <v>-370989.948333333</v>
      </c>
      <c r="E93" s="10" t="n">
        <f aca="false">E39</f>
        <v>-405939.948333333</v>
      </c>
      <c r="F93" s="10" t="n">
        <f aca="false">F39</f>
        <v>-723906.463533333</v>
      </c>
      <c r="G93" s="10" t="n">
        <f aca="false">G39</f>
        <v>-405939.948333333</v>
      </c>
      <c r="H93" s="10" t="n">
        <f aca="false">H39</f>
        <v>-405939.948333333</v>
      </c>
      <c r="I93" s="10" t="n">
        <f aca="false">I39</f>
        <v>-624022.795333333</v>
      </c>
      <c r="J93" s="10" t="n">
        <f aca="false">J39</f>
        <v>-563289.145333333</v>
      </c>
      <c r="K93" s="10" t="n">
        <f aca="false">K39</f>
        <v>-405939.948333333</v>
      </c>
      <c r="L93" s="10" t="n">
        <f aca="false">L39</f>
        <v>-405939.948333333</v>
      </c>
      <c r="M93" s="10" t="n">
        <f aca="false">M39</f>
        <v>-405939.948333333</v>
      </c>
      <c r="N93" s="10" t="n">
        <f aca="false">N39</f>
        <v>-435939.948333333</v>
      </c>
      <c r="O93" s="10" t="n">
        <f aca="false">O39</f>
        <v>-1880083.9523</v>
      </c>
      <c r="P93" s="10" t="n">
        <f aca="false">P39</f>
        <v>-408913.9273</v>
      </c>
      <c r="Q93" s="10" t="n">
        <f aca="false">Q39</f>
        <v>-438913.9273</v>
      </c>
      <c r="R93" s="10" t="n">
        <f aca="false">R39</f>
        <v>-408913.9273</v>
      </c>
      <c r="S93" s="10" t="n">
        <f aca="false">S39</f>
        <v>-408913.9273</v>
      </c>
      <c r="T93" s="10" t="n">
        <f aca="false">T39</f>
        <v>-438913.9273</v>
      </c>
      <c r="U93" s="10" t="n">
        <f aca="false">U39</f>
        <v>-408913.9273</v>
      </c>
      <c r="V93" s="10" t="n">
        <f aca="false">V39</f>
        <v>-408913.9273</v>
      </c>
      <c r="W93" s="10" t="n">
        <f aca="false">W39</f>
        <v>-408913.9273</v>
      </c>
      <c r="X93" s="10" t="n">
        <f aca="false">X39</f>
        <v>-438913.9273</v>
      </c>
      <c r="Y93" s="10" t="n">
        <f aca="false">Y39</f>
        <v>-408913.9273</v>
      </c>
      <c r="Z93" s="10" t="n">
        <f aca="false">Z39</f>
        <v>-408913.9273</v>
      </c>
      <c r="AA93" s="10" t="n">
        <f aca="false">AA39</f>
        <v>-441947.385846</v>
      </c>
      <c r="AB93" s="10" t="n">
        <f aca="false">AB39</f>
        <v>-411947.385846</v>
      </c>
      <c r="AC93" s="10" t="n">
        <f aca="false">AC39</f>
        <v>-1755972.925846</v>
      </c>
      <c r="AD93" s="10" t="n">
        <f aca="false">AD39</f>
        <v>-447947.385846</v>
      </c>
      <c r="AE93" s="10" t="n">
        <f aca="false">AE39</f>
        <v>-411947.385846</v>
      </c>
      <c r="AF93" s="10" t="n">
        <f aca="false">AF39</f>
        <v>-411947.385846</v>
      </c>
      <c r="AG93" s="10" t="n">
        <f aca="false">AG39</f>
        <v>-447947.385846</v>
      </c>
      <c r="AH93" s="10" t="n">
        <f aca="false">AH39</f>
        <v>-411947.385846</v>
      </c>
      <c r="AI93" s="10" t="n">
        <f aca="false">AI39</f>
        <v>-447947.385846</v>
      </c>
      <c r="AJ93" s="10" t="n">
        <f aca="false">AJ39</f>
        <v>-411947.385846</v>
      </c>
      <c r="AK93" s="10" t="n">
        <f aca="false">AK39</f>
        <v>-441947.385846</v>
      </c>
      <c r="AL93" s="10" t="n">
        <f aca="false">AL39</f>
        <v>-411947.385846</v>
      </c>
      <c r="AM93" s="10" t="n">
        <f aca="false">AM39</f>
        <v>-427041.51356292</v>
      </c>
      <c r="AN93" s="10" t="n">
        <f aca="false">AN39</f>
        <v>-415041.51356292</v>
      </c>
      <c r="AO93" s="10" t="n">
        <f aca="false">AO39</f>
        <v>-415041.51356292</v>
      </c>
      <c r="AP93" s="10" t="n">
        <f aca="false">AP39</f>
        <v>-415041.51356292</v>
      </c>
      <c r="AQ93" s="10" t="n">
        <f aca="false">AQ39</f>
        <v>-445041.51356292</v>
      </c>
      <c r="AR93" s="10" t="n">
        <f aca="false">AR39</f>
        <v>-415041.51356292</v>
      </c>
      <c r="AS93" s="10" t="n">
        <f aca="false">AS39</f>
        <v>-451041.51356292</v>
      </c>
      <c r="AT93" s="10" t="n">
        <f aca="false">AT39</f>
        <v>-415041.51356292</v>
      </c>
      <c r="AU93" s="10" t="n">
        <f aca="false">AU39</f>
        <v>-445041.51356292</v>
      </c>
      <c r="AV93" s="10" t="n">
        <f aca="false">AV39</f>
        <v>-415041.51356292</v>
      </c>
      <c r="AW93" s="10" t="n">
        <f aca="false">AW39</f>
        <v>-445041.51356292</v>
      </c>
      <c r="AX93" s="10" t="n">
        <f aca="false">AX39</f>
        <v>-415041.51356292</v>
      </c>
      <c r="AY93" s="10" t="n">
        <f aca="false">AY39</f>
        <v>-442197.523834178</v>
      </c>
      <c r="AZ93" s="10" t="n">
        <f aca="false">AZ39</f>
        <v>-418197.523834178</v>
      </c>
      <c r="BA93" s="10" t="n">
        <f aca="false">BA39</f>
        <v>-418197.523834178</v>
      </c>
      <c r="BB93" s="10" t="n">
        <f aca="false">BB39</f>
        <v>-418197.523834178</v>
      </c>
      <c r="BC93" s="10" t="n">
        <f aca="false">BC39</f>
        <v>-454197.523834178</v>
      </c>
      <c r="BD93" s="10" t="n">
        <f aca="false">BD39</f>
        <v>-418197.523834178</v>
      </c>
      <c r="BE93" s="10" t="n">
        <f aca="false">BE39</f>
        <v>-448197.523834178</v>
      </c>
      <c r="BF93" s="10" t="n">
        <f aca="false">BF39</f>
        <v>-418197.523834178</v>
      </c>
      <c r="BG93" s="10" t="n">
        <f aca="false">BG39</f>
        <v>-448197.523834178</v>
      </c>
      <c r="BH93" s="10" t="n">
        <f aca="false">BH39</f>
        <v>-418197.523834178</v>
      </c>
      <c r="BI93" s="10" t="n">
        <f aca="false">BI39</f>
        <v>-454197.523834178</v>
      </c>
      <c r="BJ93" s="10" t="n">
        <f aca="false">BJ39</f>
        <v>-418197.523834178</v>
      </c>
      <c r="BK93" s="10" t="n">
        <f aca="false">BK39</f>
        <v>-439416.654310862</v>
      </c>
      <c r="BL93" s="10" t="n">
        <f aca="false">BL39</f>
        <v>-421416.654310862</v>
      </c>
      <c r="BM93" s="10" t="n">
        <f aca="false">BM39</f>
        <v>-421416.654310862</v>
      </c>
      <c r="BN93" s="10" t="n">
        <f aca="false">BN39</f>
        <v>-421416.654310862</v>
      </c>
      <c r="BO93" s="10" t="n">
        <f aca="false">BO39</f>
        <v>-457416.654310862</v>
      </c>
      <c r="BP93" s="10" t="n">
        <f aca="false">BP39</f>
        <v>-421416.654310862</v>
      </c>
      <c r="BQ93" s="10" t="n">
        <f aca="false">BQ39</f>
        <v>-451416.654310862</v>
      </c>
      <c r="BR93" s="10" t="n">
        <f aca="false">BR39</f>
        <v>-421416.654310862</v>
      </c>
      <c r="BS93" s="10" t="n">
        <f aca="false">BS39</f>
        <v>-451416.654310862</v>
      </c>
      <c r="BT93" s="10" t="n">
        <f aca="false">BT39</f>
        <v>-421416.654310862</v>
      </c>
      <c r="BU93" s="10" t="n">
        <f aca="false">BU39</f>
        <v>-457416.654310862</v>
      </c>
      <c r="BV93" s="10" t="n">
        <f aca="false">BV39</f>
        <v>-421416.654310862</v>
      </c>
      <c r="BW93" s="10" t="n">
        <f aca="false">BW39</f>
        <v>-442700.167397079</v>
      </c>
      <c r="BX93" s="10" t="n">
        <f aca="false">BX39</f>
        <v>-424700.167397079</v>
      </c>
      <c r="BY93" s="10" t="n">
        <f aca="false">BY39</f>
        <v>-424700.167397079</v>
      </c>
      <c r="BZ93" s="10" t="n">
        <f aca="false">BZ39</f>
        <v>-424700.167397079</v>
      </c>
      <c r="CA93" s="10" t="n">
        <f aca="false">CA39</f>
        <v>-424700.167397079</v>
      </c>
      <c r="CB93" s="10" t="n">
        <f aca="false">CB39</f>
        <v>-424700.167397079</v>
      </c>
      <c r="CC93" s="10" t="n">
        <f aca="false">CC39</f>
        <v>-424700.167397079</v>
      </c>
      <c r="CD93" s="10" t="n">
        <f aca="false">CD39</f>
        <v>-424700.167397079</v>
      </c>
      <c r="CE93" s="10" t="n">
        <f aca="false">CE39</f>
        <v>-424700.167397079</v>
      </c>
      <c r="CF93" s="10" t="n">
        <f aca="false">CF39</f>
        <v>-424700.167397079</v>
      </c>
      <c r="CG93" s="10" t="n">
        <f aca="false">CG39</f>
        <v>-424700.167397079</v>
      </c>
      <c r="CH93" s="10" t="n">
        <f aca="false">CH39</f>
        <v>-424700.167397079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-98314.5833333333</v>
      </c>
      <c r="D94" s="10" t="n">
        <f aca="false">D85</f>
        <v>-98314.5833333333</v>
      </c>
      <c r="E94" s="10" t="n">
        <f aca="false">E85</f>
        <v>-98314.5833333333</v>
      </c>
      <c r="F94" s="10" t="n">
        <f aca="false">F85</f>
        <v>-121314.583333333</v>
      </c>
      <c r="G94" s="10" t="n">
        <f aca="false">G85</f>
        <v>-98314.5833333333</v>
      </c>
      <c r="H94" s="10" t="n">
        <f aca="false">H85</f>
        <v>-98314.5833333333</v>
      </c>
      <c r="I94" s="10" t="n">
        <f aca="false">I85</f>
        <v>-98314.5833333333</v>
      </c>
      <c r="J94" s="10" t="n">
        <f aca="false">J85</f>
        <v>-98314.5833333333</v>
      </c>
      <c r="K94" s="10" t="n">
        <f aca="false">K85</f>
        <v>-119314.583333333</v>
      </c>
      <c r="L94" s="10" t="n">
        <f aca="false">L85</f>
        <v>-98314.5833333333</v>
      </c>
      <c r="M94" s="10" t="n">
        <f aca="false">M85</f>
        <v>-98314.5833333333</v>
      </c>
      <c r="N94" s="10" t="n">
        <f aca="false">N85</f>
        <v>-98314.5833333333</v>
      </c>
      <c r="O94" s="10" t="n">
        <f aca="false">O85</f>
        <v>-100280.875</v>
      </c>
      <c r="P94" s="10" t="n">
        <f aca="false">P85</f>
        <v>-100280.875</v>
      </c>
      <c r="Q94" s="10" t="n">
        <f aca="false">Q85</f>
        <v>-100280.875</v>
      </c>
      <c r="R94" s="10" t="n">
        <f aca="false">R85</f>
        <v>-123740.875</v>
      </c>
      <c r="S94" s="10" t="n">
        <f aca="false">S85</f>
        <v>-100280.875</v>
      </c>
      <c r="T94" s="10" t="n">
        <f aca="false">T85</f>
        <v>-100280.875</v>
      </c>
      <c r="U94" s="10" t="n">
        <f aca="false">U85</f>
        <v>-100280.875</v>
      </c>
      <c r="V94" s="10" t="n">
        <f aca="false">V85</f>
        <v>-100280.875</v>
      </c>
      <c r="W94" s="10" t="n">
        <f aca="false">W85</f>
        <v>-121700.875</v>
      </c>
      <c r="X94" s="10" t="n">
        <f aca="false">X85</f>
        <v>-100280.875</v>
      </c>
      <c r="Y94" s="10" t="n">
        <f aca="false">Y85</f>
        <v>-100280.875</v>
      </c>
      <c r="Z94" s="10" t="n">
        <f aca="false">Z85</f>
        <v>-100280.875</v>
      </c>
      <c r="AA94" s="10" t="n">
        <f aca="false">AA85</f>
        <v>-102286.4925</v>
      </c>
      <c r="AB94" s="10" t="n">
        <f aca="false">AB85</f>
        <v>-102286.4925</v>
      </c>
      <c r="AC94" s="10" t="n">
        <f aca="false">AC85</f>
        <v>-102286.4925</v>
      </c>
      <c r="AD94" s="10" t="n">
        <f aca="false">AD85</f>
        <v>-126215.6925</v>
      </c>
      <c r="AE94" s="10" t="n">
        <f aca="false">AE85</f>
        <v>-102286.4925</v>
      </c>
      <c r="AF94" s="10" t="n">
        <f aca="false">AF85</f>
        <v>-102286.4925</v>
      </c>
      <c r="AG94" s="10" t="n">
        <f aca="false">AG85</f>
        <v>-102286.4925</v>
      </c>
      <c r="AH94" s="10" t="n">
        <f aca="false">AH85</f>
        <v>-102286.4925</v>
      </c>
      <c r="AI94" s="10" t="n">
        <f aca="false">AI85</f>
        <v>-124134.8925</v>
      </c>
      <c r="AJ94" s="10" t="n">
        <f aca="false">AJ85</f>
        <v>-102286.4925</v>
      </c>
      <c r="AK94" s="10" t="n">
        <f aca="false">AK85</f>
        <v>-102286.4925</v>
      </c>
      <c r="AL94" s="10" t="n">
        <f aca="false">AL85</f>
        <v>-102286.4925</v>
      </c>
      <c r="AM94" s="10" t="n">
        <f aca="false">AM85</f>
        <v>-104332.22235</v>
      </c>
      <c r="AN94" s="10" t="n">
        <f aca="false">AN85</f>
        <v>-104332.22235</v>
      </c>
      <c r="AO94" s="10" t="n">
        <f aca="false">AO85</f>
        <v>-104332.22235</v>
      </c>
      <c r="AP94" s="10" t="n">
        <f aca="false">AP85</f>
        <v>-128740.00635</v>
      </c>
      <c r="AQ94" s="10" t="n">
        <f aca="false">AQ85</f>
        <v>-104332.22235</v>
      </c>
      <c r="AR94" s="10" t="n">
        <f aca="false">AR85</f>
        <v>-186015.22235</v>
      </c>
      <c r="AS94" s="10" t="n">
        <f aca="false">AS85</f>
        <v>-104332.22235</v>
      </c>
      <c r="AT94" s="10" t="n">
        <f aca="false">AT85</f>
        <v>-104332.22235</v>
      </c>
      <c r="AU94" s="10" t="n">
        <f aca="false">AU85</f>
        <v>-208299.59035</v>
      </c>
      <c r="AV94" s="10" t="n">
        <f aca="false">AV85</f>
        <v>-104332.22235</v>
      </c>
      <c r="AW94" s="10" t="n">
        <f aca="false">AW85</f>
        <v>-104332.22235</v>
      </c>
      <c r="AX94" s="10" t="n">
        <f aca="false">AX85</f>
        <v>-186014.22235</v>
      </c>
      <c r="AY94" s="10" t="n">
        <f aca="false">AY85</f>
        <v>-106418.866797</v>
      </c>
      <c r="AZ94" s="10" t="n">
        <f aca="false">AZ85</f>
        <v>-106418.866797</v>
      </c>
      <c r="BA94" s="10" t="n">
        <f aca="false">BA85</f>
        <v>-1039939.866797</v>
      </c>
      <c r="BB94" s="10" t="n">
        <f aca="false">BB85</f>
        <v>-131314.806477</v>
      </c>
      <c r="BC94" s="10" t="n">
        <f aca="false">BC85</f>
        <v>-106418.866797</v>
      </c>
      <c r="BD94" s="10" t="n">
        <f aca="false">BD85</f>
        <v>-237296.866797</v>
      </c>
      <c r="BE94" s="10" t="n">
        <f aca="false">BE85</f>
        <v>-106418.866797</v>
      </c>
      <c r="BF94" s="10" t="n">
        <f aca="false">BF85</f>
        <v>-106418.866797</v>
      </c>
      <c r="BG94" s="10" t="n">
        <f aca="false">BG85</f>
        <v>-260025.942157</v>
      </c>
      <c r="BH94" s="10" t="n">
        <f aca="false">BH85</f>
        <v>-106418.866797</v>
      </c>
      <c r="BI94" s="10" t="n">
        <f aca="false">BI85</f>
        <v>-106418.866797</v>
      </c>
      <c r="BJ94" s="10" t="n">
        <f aca="false">BJ85</f>
        <v>-237294.866797</v>
      </c>
      <c r="BK94" s="10" t="n">
        <f aca="false">BK85</f>
        <v>-108547.24413294</v>
      </c>
      <c r="BL94" s="10" t="n">
        <f aca="false">BL85</f>
        <v>-108547.24413294</v>
      </c>
      <c r="BM94" s="10" t="n">
        <f aca="false">BM85</f>
        <v>-239423.24413294</v>
      </c>
      <c r="BN94" s="10" t="n">
        <f aca="false">BN85</f>
        <v>-133941.10260654</v>
      </c>
      <c r="BO94" s="10" t="n">
        <f aca="false">BO85</f>
        <v>-108547.24413294</v>
      </c>
      <c r="BP94" s="10" t="n">
        <f aca="false">BP85</f>
        <v>-199439.72413294</v>
      </c>
      <c r="BQ94" s="10" t="n">
        <f aca="false">BQ85</f>
        <v>-108547.24413294</v>
      </c>
      <c r="BR94" s="10" t="n">
        <f aca="false">BR85</f>
        <v>-108547.24413294</v>
      </c>
      <c r="BS94" s="10" t="n">
        <f aca="false">BS85</f>
        <v>-206372.94100014</v>
      </c>
      <c r="BT94" s="10" t="n">
        <f aca="false">BT85</f>
        <v>-108547.24413294</v>
      </c>
      <c r="BU94" s="10" t="n">
        <f aca="false">BU85</f>
        <v>-108547.24413294</v>
      </c>
      <c r="BV94" s="10" t="n">
        <f aca="false">BV85</f>
        <v>-183187.24413294</v>
      </c>
      <c r="BW94" s="10" t="n">
        <f aca="false">BW85</f>
        <v>-110718.189015599</v>
      </c>
      <c r="BX94" s="10" t="n">
        <f aca="false">BX85</f>
        <v>-110718.189015599</v>
      </c>
      <c r="BY94" s="10" t="n">
        <f aca="false">BY85</f>
        <v>-258514.189015599</v>
      </c>
      <c r="BZ94" s="10" t="n">
        <f aca="false">BZ85</f>
        <v>-136619.924658671</v>
      </c>
      <c r="CA94" s="10" t="n">
        <f aca="false">CA85</f>
        <v>-110718.189015599</v>
      </c>
      <c r="CB94" s="10" t="n">
        <f aca="false">CB85</f>
        <v>-265236.189015599</v>
      </c>
      <c r="CC94" s="10" t="n">
        <f aca="false">CC85</f>
        <v>-110718.189015599</v>
      </c>
      <c r="CD94" s="10" t="n">
        <f aca="false">CD85</f>
        <v>-110718.189015599</v>
      </c>
      <c r="CE94" s="10" t="n">
        <f aca="false">CE85</f>
        <v>-288884.599820143</v>
      </c>
      <c r="CF94" s="10" t="n">
        <f aca="false">CF85</f>
        <v>-110718.189015599</v>
      </c>
      <c r="CG94" s="10" t="n">
        <f aca="false">CG85</f>
        <v>-110718.189015599</v>
      </c>
      <c r="CH94" s="10" t="n">
        <f aca="false">CH85</f>
        <v>-258627.16240912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-534254.531666667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-539194.8023</v>
      </c>
      <c r="R95" s="12" t="n">
        <f aca="false">R93+R94</f>
        <v>-532654.8023</v>
      </c>
      <c r="S95" s="12" t="n">
        <f aca="false">S93+S94</f>
        <v>-509194.8023</v>
      </c>
      <c r="T95" s="12" t="n">
        <f aca="false">T93+T94</f>
        <v>-539194.8023</v>
      </c>
      <c r="U95" s="12" t="n">
        <f aca="false">U93+U94</f>
        <v>-509194.8023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-539194.8023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-544233.878346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-574163.078346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-550233.878346</v>
      </c>
      <c r="AH95" s="12" t="n">
        <f aca="false">AH93+AH94</f>
        <v>-514233.878346</v>
      </c>
      <c r="AI95" s="12" t="n">
        <f aca="false">AI93+AI94</f>
        <v>-572082.278346</v>
      </c>
      <c r="AJ95" s="12" t="n">
        <f aca="false">AJ93+AJ94</f>
        <v>-514233.878346</v>
      </c>
      <c r="AK95" s="12" t="n">
        <f aca="false">AK93+AK94</f>
        <v>-544233.878346</v>
      </c>
      <c r="AL95" s="12" t="n">
        <f aca="false">AL93+AL94</f>
        <v>-514233.878346</v>
      </c>
      <c r="AM95" s="12" t="n">
        <f aca="false">AM93+AM94</f>
        <v>-531373.73591292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-549373.73591292</v>
      </c>
      <c r="AR95" s="12" t="n">
        <f aca="false">AR93+AR94</f>
        <v>-601056.73591292</v>
      </c>
      <c r="AS95" s="12" t="n">
        <f aca="false">AS93+AS94</f>
        <v>-555373.73591292</v>
      </c>
      <c r="AT95" s="12" t="n">
        <f aca="false">AT93+AT94</f>
        <v>-519373.73591292</v>
      </c>
      <c r="AU95" s="12" t="n">
        <f aca="false">AU93+AU94</f>
        <v>-653341.10391292</v>
      </c>
      <c r="AV95" s="12" t="n">
        <f aca="false">AV93+AV94</f>
        <v>-519373.73591292</v>
      </c>
      <c r="AW95" s="12" t="n">
        <f aca="false">AW93+AW94</f>
        <v>-549373.73591292</v>
      </c>
      <c r="AX95" s="12" t="n">
        <f aca="false">AX93+AX94</f>
        <v>-601055.73591292</v>
      </c>
      <c r="AY95" s="12" t="n">
        <f aca="false">AY93+AY94</f>
        <v>-548616.390631178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-560616.390631178</v>
      </c>
      <c r="BD95" s="12" t="n">
        <f aca="false">BD93+BD94</f>
        <v>-655494.390631178</v>
      </c>
      <c r="BE95" s="12" t="n">
        <f aca="false">BE93+BE94</f>
        <v>-554616.390631178</v>
      </c>
      <c r="BF95" s="12" t="n">
        <f aca="false">BF93+BF94</f>
        <v>-524616.390631178</v>
      </c>
      <c r="BG95" s="12" t="n">
        <f aca="false">BG93+BG94</f>
        <v>-708223.465991179</v>
      </c>
      <c r="BH95" s="12" t="n">
        <f aca="false">BH93+BH94</f>
        <v>-524616.390631178</v>
      </c>
      <c r="BI95" s="12" t="n">
        <f aca="false">BI93+BI94</f>
        <v>-560616.390631178</v>
      </c>
      <c r="BJ95" s="12" t="n">
        <f aca="false">BJ93+BJ94</f>
        <v>-655492.390631178</v>
      </c>
      <c r="BK95" s="12" t="n">
        <f aca="false">BK93+BK94</f>
        <v>-547963.898443802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-565963.898443802</v>
      </c>
      <c r="BP95" s="12" t="n">
        <f aca="false">BP93+BP94</f>
        <v>-620856.378443802</v>
      </c>
      <c r="BQ95" s="12" t="n">
        <f aca="false">BQ93+BQ94</f>
        <v>-559963.898443802</v>
      </c>
      <c r="BR95" s="12" t="n">
        <f aca="false">BR93+BR94</f>
        <v>-529963.898443802</v>
      </c>
      <c r="BS95" s="12" t="n">
        <f aca="false">BS93+BS94</f>
        <v>-657789.595311002</v>
      </c>
      <c r="BT95" s="12" t="n">
        <f aca="false">BT93+BT94</f>
        <v>-529963.898443802</v>
      </c>
      <c r="BU95" s="12" t="n">
        <f aca="false">BU93+BU94</f>
        <v>-565963.898443802</v>
      </c>
      <c r="BV95" s="12" t="n">
        <f aca="false">BV93+BV94</f>
        <v>-604603.898443802</v>
      </c>
      <c r="BW95" s="12" t="n">
        <f aca="false">BW93+BW94</f>
        <v>-553418.356412678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11987.2053453689</v>
      </c>
      <c r="D96" s="16" t="n">
        <f aca="false">D92+D95</f>
        <v>-20527.7097184524</v>
      </c>
      <c r="E96" s="16" t="n">
        <f aca="false">E92+E95</f>
        <v>-48197.6356971139</v>
      </c>
      <c r="F96" s="16" t="n">
        <f aca="false">F92+F95</f>
        <v>388802.424263044</v>
      </c>
      <c r="G96" s="16" t="n">
        <f aca="false">G92+G95</f>
        <v>93889.0899820864</v>
      </c>
      <c r="H96" s="16" t="n">
        <f aca="false">H92+H95</f>
        <v>98703.6883855648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</v>
      </c>
      <c r="L96" s="16" t="n">
        <f aca="false">L92+L95</f>
        <v>256723.106167418</v>
      </c>
      <c r="M96" s="16" t="n">
        <f aca="false">M92+M95</f>
        <v>263223.017604482</v>
      </c>
      <c r="N96" s="16" t="n">
        <f aca="false">N92+N95</f>
        <v>236974.287604944</v>
      </c>
      <c r="O96" s="16" t="n">
        <f aca="false">O92+O95</f>
        <v>-402515.616969663</v>
      </c>
      <c r="P96" s="16" t="n">
        <f aca="false">P92+P95</f>
        <v>392408.772906424</v>
      </c>
      <c r="Q96" s="16" t="n">
        <f aca="false">Q92+Q95</f>
        <v>505189.22607069</v>
      </c>
      <c r="R96" s="16" t="n">
        <f aca="false">R92+R95</f>
        <v>391906.437977114</v>
      </c>
      <c r="S96" s="16" t="n">
        <f aca="false">S92+S95</f>
        <v>233696.352157003</v>
      </c>
      <c r="T96" s="16" t="n">
        <f aca="false">T92+T95</f>
        <v>276226.237282298</v>
      </c>
      <c r="U96" s="16" t="n">
        <f aca="false">U92+U95</f>
        <v>333830.932127074</v>
      </c>
      <c r="V96" s="16" t="n">
        <f aca="false">V92+V95</f>
        <v>297270.99849079</v>
      </c>
      <c r="W96" s="16" t="n">
        <f aca="false">W92+W95</f>
        <v>399366.644634629</v>
      </c>
      <c r="X96" s="16" t="n">
        <f aca="false">X92+X95</f>
        <v>333237.496822491</v>
      </c>
      <c r="Y96" s="16" t="n">
        <f aca="false">Y92+Y95</f>
        <v>360082.249375995</v>
      </c>
      <c r="Z96" s="16" t="n">
        <f aca="false">Z92+Z95</f>
        <v>478502.987705487</v>
      </c>
      <c r="AA96" s="16" t="n">
        <f aca="false">AA92+AA95</f>
        <v>458921.779489894</v>
      </c>
      <c r="AB96" s="16" t="n">
        <f aca="false">AB92+AB95</f>
        <v>346991.898592485</v>
      </c>
      <c r="AC96" s="16" t="n">
        <f aca="false">AC92+AC95</f>
        <v>-163637.836164089</v>
      </c>
      <c r="AD96" s="16" t="n">
        <f aca="false">AD92+AD95</f>
        <v>412807.474953056</v>
      </c>
      <c r="AE96" s="16" t="n">
        <f aca="false">AE92+AE95</f>
        <v>479379.421882276</v>
      </c>
      <c r="AF96" s="16" t="n">
        <f aca="false">AF92+AF95</f>
        <v>481725.14820021</v>
      </c>
      <c r="AG96" s="16" t="n">
        <f aca="false">AG92+AG95</f>
        <v>622211.604317125</v>
      </c>
      <c r="AH96" s="16" t="n">
        <f aca="false">AH92+AH95</f>
        <v>481043.071240266</v>
      </c>
      <c r="AI96" s="16" t="n">
        <f aca="false">AI92+AI95</f>
        <v>662175.594814101</v>
      </c>
      <c r="AJ96" s="16" t="n">
        <f aca="false">AJ92+AJ95</f>
        <v>548533.724848471</v>
      </c>
      <c r="AK96" s="16" t="n">
        <f aca="false">AK92+AK95</f>
        <v>333414.770888194</v>
      </c>
      <c r="AL96" s="16" t="n">
        <f aca="false">AL92+AL95</f>
        <v>533426.452288312</v>
      </c>
      <c r="AM96" s="16" t="n">
        <f aca="false">AM92+AM95</f>
        <v>307544.385486035</v>
      </c>
      <c r="AN96" s="16" t="n">
        <f aca="false">AN92+AN95</f>
        <v>318902.47393034</v>
      </c>
      <c r="AO96" s="16" t="n">
        <f aca="false">AO92+AO95</f>
        <v>400714.446670155</v>
      </c>
      <c r="AP96" s="16" t="n">
        <f aca="false">AP92+AP95</f>
        <v>302181.895300886</v>
      </c>
      <c r="AQ96" s="16" t="n">
        <f aca="false">AQ92+AQ95</f>
        <v>296181.089915787</v>
      </c>
      <c r="AR96" s="16" t="n">
        <f aca="false">AR92+AR95</f>
        <v>745859.153522824</v>
      </c>
      <c r="AS96" s="16" t="n">
        <f aca="false">AS92+AS95</f>
        <v>181057.030814065</v>
      </c>
      <c r="AT96" s="16" t="n">
        <f aca="false">AT92+AT95</f>
        <v>288128.878523805</v>
      </c>
      <c r="AU96" s="16" t="n">
        <f aca="false">AU92+AU95</f>
        <v>325560.023442935</v>
      </c>
      <c r="AV96" s="16" t="n">
        <f aca="false">AV92+AV95</f>
        <v>297347.663370935</v>
      </c>
      <c r="AW96" s="16" t="n">
        <f aca="false">AW92+AW95</f>
        <v>272016.997927227</v>
      </c>
      <c r="AX96" s="16" t="n">
        <f aca="false">AX92+AX95</f>
        <v>369572.493952169</v>
      </c>
      <c r="AY96" s="16" t="n">
        <f aca="false">AY92+AY95</f>
        <v>425950.115452735</v>
      </c>
      <c r="AZ96" s="16" t="n">
        <f aca="false">AZ92+AZ95</f>
        <v>364881.680839034</v>
      </c>
      <c r="BA96" s="16" t="n">
        <f aca="false">BA92+BA95</f>
        <v>364657.315991456</v>
      </c>
      <c r="BB96" s="16" t="n">
        <f aca="false">BB92+BB95</f>
        <v>500929.081912988</v>
      </c>
      <c r="BC96" s="16" t="n">
        <f aca="false">BC92+BC95</f>
        <v>337639.170022949</v>
      </c>
      <c r="BD96" s="16" t="n">
        <f aca="false">BD92+BD95</f>
        <v>436565.644967378</v>
      </c>
      <c r="BE96" s="16" t="n">
        <f aca="false">BE92+BE95</f>
        <v>504716.279847527</v>
      </c>
      <c r="BF96" s="16" t="n">
        <f aca="false">BF92+BF95</f>
        <v>650745.620516352</v>
      </c>
      <c r="BG96" s="16" t="n">
        <f aca="false">BG92+BG95</f>
        <v>248262.749106224</v>
      </c>
      <c r="BH96" s="16" t="n">
        <f aca="false">BH92+BH95</f>
        <v>480651.079336354</v>
      </c>
      <c r="BI96" s="16" t="n">
        <f aca="false">BI92+BI95</f>
        <v>264429.05255064</v>
      </c>
      <c r="BJ96" s="16" t="n">
        <f aca="false">BJ92+BJ95</f>
        <v>468173.431609081</v>
      </c>
      <c r="BK96" s="16" t="n">
        <f aca="false">BK92+BK95</f>
        <v>265178.246036717</v>
      </c>
      <c r="BL96" s="16" t="n">
        <f aca="false">BL92+BL95</f>
        <v>447687.008212042</v>
      </c>
      <c r="BM96" s="16" t="n">
        <f aca="false">BM92+BM95</f>
        <v>298795.936783471</v>
      </c>
      <c r="BN96" s="16" t="n">
        <f aca="false">BN92+BN95</f>
        <v>424776.119705974</v>
      </c>
      <c r="BO96" s="16" t="n">
        <f aca="false">BO92+BO95</f>
        <v>264690.677854899</v>
      </c>
      <c r="BP96" s="16" t="n">
        <f aca="false">BP92+BP95</f>
        <v>502906.592335419</v>
      </c>
      <c r="BQ96" s="16" t="n">
        <f aca="false">BQ92+BQ95</f>
        <v>271180.082075679</v>
      </c>
      <c r="BR96" s="16" t="n">
        <f aca="false">BR92+BR95</f>
        <v>464533.900257497</v>
      </c>
      <c r="BS96" s="16" t="n">
        <f aca="false">BS92+BS95</f>
        <v>328989.653065621</v>
      </c>
      <c r="BT96" s="16" t="n">
        <f aca="false">BT92+BT95</f>
        <v>481579.354802951</v>
      </c>
      <c r="BU96" s="16" t="n">
        <f aca="false">BU92+BU95</f>
        <v>265180.082075678</v>
      </c>
      <c r="BV96" s="16" t="n">
        <f aca="false">BV92+BV95</f>
        <v>519155.072335419</v>
      </c>
      <c r="BW96" s="16" t="n">
        <f aca="false">BW92+BW95</f>
        <v>277236.219886023</v>
      </c>
      <c r="BX96" s="16" t="n">
        <f aca="false">BX92+BX95</f>
        <v>458136.305113296</v>
      </c>
      <c r="BY96" s="16" t="n">
        <f aca="false">BY92+BY95</f>
        <v>375390.922808101</v>
      </c>
      <c r="BZ96" s="16" t="n">
        <f aca="false">BZ92+BZ95</f>
        <v>448596.579210484</v>
      </c>
      <c r="CA96" s="16" t="n">
        <f aca="false">CA92+CA95</f>
        <v>293905.973132776</v>
      </c>
      <c r="CB96" s="16" t="n">
        <f aca="false">CB92+CB95</f>
        <v>520531.075405504</v>
      </c>
      <c r="CC96" s="16" t="n">
        <f aca="false">CC92+CC95</f>
        <v>293341.478814595</v>
      </c>
      <c r="CD96" s="16" t="n">
        <f aca="false">CD92+CD95</f>
        <v>473382.234496413</v>
      </c>
      <c r="CE96" s="16" t="n">
        <f aca="false">CE92+CE95</f>
        <v>346191.06801005</v>
      </c>
      <c r="CF96" s="16" t="n">
        <f aca="false">CF92+CF95</f>
        <v>444032.075405504</v>
      </c>
      <c r="CG96" s="16" t="n">
        <f aca="false">CG92+CG95</f>
        <v>293905.973132776</v>
      </c>
      <c r="CH96" s="16" t="n">
        <f aca="false">CH92+CH95</f>
        <v>460035.177498996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0</v>
      </c>
      <c r="AY106" s="10" t="n">
        <f aca="false">AX108</f>
        <v>0</v>
      </c>
      <c r="AZ106" s="10" t="n">
        <f aca="false">AY108</f>
        <v>0</v>
      </c>
      <c r="BA106" s="10" t="n">
        <f aca="false">AZ108</f>
        <v>0</v>
      </c>
      <c r="BB106" s="10" t="n">
        <f aca="false">BA108</f>
        <v>0</v>
      </c>
      <c r="BC106" s="10" t="n">
        <f aca="false">BB108</f>
        <v>0</v>
      </c>
      <c r="BD106" s="10" t="n">
        <f aca="false">BC108</f>
        <v>0</v>
      </c>
      <c r="BE106" s="10" t="n">
        <f aca="false">BD108</f>
        <v>0</v>
      </c>
      <c r="BF106" s="10" t="n">
        <f aca="false">BE108</f>
        <v>0</v>
      </c>
      <c r="BG106" s="10" t="n">
        <f aca="false">BF108</f>
        <v>0</v>
      </c>
      <c r="BH106" s="10" t="n">
        <f aca="false">BG108</f>
        <v>0</v>
      </c>
      <c r="BI106" s="10" t="n">
        <f aca="false">BH108</f>
        <v>0</v>
      </c>
      <c r="BJ106" s="10" t="n">
        <f aca="false">BI108</f>
        <v>0</v>
      </c>
      <c r="BK106" s="10" t="n">
        <f aca="false">BJ108</f>
        <v>0</v>
      </c>
      <c r="BL106" s="10" t="n">
        <f aca="false">BK108</f>
        <v>0</v>
      </c>
      <c r="BM106" s="10" t="n">
        <f aca="false">BL108</f>
        <v>0</v>
      </c>
      <c r="BN106" s="10" t="n">
        <f aca="false">BM108</f>
        <v>0</v>
      </c>
      <c r="BO106" s="10" t="n">
        <f aca="false">BN108</f>
        <v>0</v>
      </c>
      <c r="BP106" s="10" t="n">
        <f aca="false">BO108</f>
        <v>0</v>
      </c>
      <c r="BQ106" s="10" t="n">
        <f aca="false">BP108</f>
        <v>0</v>
      </c>
      <c r="BR106" s="10" t="n">
        <f aca="false">BQ108</f>
        <v>0</v>
      </c>
      <c r="BS106" s="10" t="n">
        <f aca="false">BR108</f>
        <v>0</v>
      </c>
      <c r="BT106" s="10" t="n">
        <f aca="false">BS108</f>
        <v>0</v>
      </c>
      <c r="BU106" s="10" t="n">
        <f aca="false">BT108</f>
        <v>0</v>
      </c>
      <c r="BV106" s="10" t="n">
        <f aca="false">BU108</f>
        <v>0</v>
      </c>
      <c r="BW106" s="10" t="n">
        <f aca="false">BV108</f>
        <v>0</v>
      </c>
      <c r="BX106" s="10" t="n">
        <f aca="false">BW108</f>
        <v>0</v>
      </c>
      <c r="BY106" s="10" t="n">
        <f aca="false">BX108</f>
        <v>0</v>
      </c>
      <c r="BZ106" s="10" t="n">
        <f aca="false">BY108</f>
        <v>0</v>
      </c>
      <c r="CA106" s="10" t="n">
        <f aca="false">BZ108</f>
        <v>0</v>
      </c>
      <c r="CB106" s="10" t="n">
        <f aca="false">CA108</f>
        <v>0</v>
      </c>
      <c r="CC106" s="10" t="n">
        <f aca="false">CB108</f>
        <v>0</v>
      </c>
      <c r="CD106" s="10" t="n">
        <f aca="false">CC108</f>
        <v>0</v>
      </c>
      <c r="CE106" s="10" t="n">
        <f aca="false">CD108</f>
        <v>0</v>
      </c>
      <c r="CF106" s="10" t="n">
        <f aca="false">CE108</f>
        <v>0</v>
      </c>
      <c r="CG106" s="10" t="n">
        <f aca="false">CF108</f>
        <v>0</v>
      </c>
      <c r="CH106" s="10" t="n">
        <f aca="false">CG108</f>
        <v>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-250000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0</v>
      </c>
      <c r="AX108" s="34" t="n">
        <f aca="false">MAX(0,AX106+AX107)</f>
        <v>0</v>
      </c>
      <c r="AY108" s="34" t="n">
        <f aca="false">MAX(0,AY106+AY107)</f>
        <v>0</v>
      </c>
      <c r="AZ108" s="34" t="n">
        <f aca="false">MAX(0,AZ106+AZ107)</f>
        <v>0</v>
      </c>
      <c r="BA108" s="34" t="n">
        <f aca="false">MAX(0,BA106+BA107)</f>
        <v>0</v>
      </c>
      <c r="BB108" s="34" t="n">
        <f aca="false">MAX(0,BB106+BB107)</f>
        <v>0</v>
      </c>
      <c r="BC108" s="34" t="n">
        <f aca="false">MAX(0,BC106+BC107)</f>
        <v>0</v>
      </c>
      <c r="BD108" s="34" t="n">
        <f aca="false">MAX(0,BD106+BD107)</f>
        <v>0</v>
      </c>
      <c r="BE108" s="34" t="n">
        <f aca="false">MAX(0,BE106+BE107)</f>
        <v>0</v>
      </c>
      <c r="BF108" s="34" t="n">
        <f aca="false">MAX(0,BF106+BF107)</f>
        <v>0</v>
      </c>
      <c r="BG108" s="34" t="n">
        <f aca="false">MAX(0,BG106+BG107)</f>
        <v>0</v>
      </c>
      <c r="BH108" s="34" t="n">
        <f aca="false">MAX(0,BH106+BH107)</f>
        <v>0</v>
      </c>
      <c r="BI108" s="34" t="n">
        <f aca="false">MAX(0,BI106+BI107)</f>
        <v>0</v>
      </c>
      <c r="BJ108" s="34" t="n">
        <f aca="false">MAX(0,BJ106+BJ107)</f>
        <v>0</v>
      </c>
      <c r="BK108" s="34" t="n">
        <f aca="false">MAX(0,BK106+BK107)</f>
        <v>0</v>
      </c>
      <c r="BL108" s="34" t="n">
        <f aca="false">MAX(0,BL106+BL107)</f>
        <v>0</v>
      </c>
      <c r="BM108" s="34" t="n">
        <f aca="false">MAX(0,BM106+BM107)</f>
        <v>0</v>
      </c>
      <c r="BN108" s="34" t="n">
        <f aca="false">MAX(0,BN106+BN107)</f>
        <v>0</v>
      </c>
      <c r="BO108" s="34" t="n">
        <f aca="false">MAX(0,BO106+BO107)</f>
        <v>0</v>
      </c>
      <c r="BP108" s="34" t="n">
        <f aca="false">MAX(0,BP106+BP107)</f>
        <v>0</v>
      </c>
      <c r="BQ108" s="34" t="n">
        <f aca="false">MAX(0,BQ106+BQ107)</f>
        <v>0</v>
      </c>
      <c r="BR108" s="34" t="n">
        <f aca="false">MAX(0,BR106+BR107)</f>
        <v>0</v>
      </c>
      <c r="BS108" s="34" t="n">
        <f aca="false">MAX(0,BS106+BS107)</f>
        <v>0</v>
      </c>
      <c r="BT108" s="34" t="n">
        <f aca="false">MAX(0,BT106+BT107)</f>
        <v>0</v>
      </c>
      <c r="BU108" s="34" t="n">
        <f aca="false">MAX(0,BU106+BU107)</f>
        <v>0</v>
      </c>
      <c r="BV108" s="34" t="n">
        <f aca="false">MAX(0,BV106+BV107)</f>
        <v>0</v>
      </c>
      <c r="BW108" s="34" t="n">
        <f aca="false">MAX(0,BW106+BW107)</f>
        <v>0</v>
      </c>
      <c r="BX108" s="34" t="n">
        <f aca="false">MAX(0,BX106+BX107)</f>
        <v>0</v>
      </c>
      <c r="BY108" s="34" t="n">
        <f aca="false">MAX(0,BY106+BY107)</f>
        <v>0</v>
      </c>
      <c r="BZ108" s="34" t="n">
        <f aca="false">MAX(0,BZ106+BZ107)</f>
        <v>0</v>
      </c>
      <c r="CA108" s="34" t="n">
        <f aca="false">MAX(0,CA106+CA107)</f>
        <v>0</v>
      </c>
      <c r="CB108" s="34" t="n">
        <f aca="false">MAX(0,CB106+CB107)</f>
        <v>0</v>
      </c>
      <c r="CC108" s="34" t="n">
        <f aca="false">MAX(0,CC106+CC107)</f>
        <v>0</v>
      </c>
      <c r="CD108" s="34" t="n">
        <f aca="false">MAX(0,CD106+CD107)</f>
        <v>0</v>
      </c>
      <c r="CE108" s="34" t="n">
        <f aca="false">MAX(0,CE106+CE107)</f>
        <v>0</v>
      </c>
      <c r="CF108" s="34" t="n">
        <f aca="false">MAX(0,CF106+CF107)</f>
        <v>0</v>
      </c>
      <c r="CG108" s="34" t="n">
        <f aca="false">MAX(0,CG106+CG107)</f>
        <v>0</v>
      </c>
      <c r="CH108" s="34" t="n">
        <f aca="false">MAX(0,CH106+CH107)</f>
        <v>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1718602.8986787</v>
      </c>
      <c r="E146" s="10" t="n">
        <f aca="false">D148</f>
        <v>1752775.19229358</v>
      </c>
      <c r="F146" s="10" t="n">
        <f aca="false">E148</f>
        <v>1759277.5599298</v>
      </c>
      <c r="G146" s="10" t="n">
        <f aca="false">F148</f>
        <v>2225779.98752618</v>
      </c>
      <c r="H146" s="10" t="n">
        <f aca="false">G148</f>
        <v>2374369.0808416</v>
      </c>
      <c r="I146" s="10" t="n">
        <f aca="false">H148</f>
        <v>2528606.1025605</v>
      </c>
      <c r="J146" s="10" t="n">
        <f aca="false">I148</f>
        <v>3014628.31293813</v>
      </c>
      <c r="K146" s="10" t="n">
        <f aca="false">J148</f>
        <v>3549000.40476743</v>
      </c>
      <c r="L146" s="10" t="n">
        <f aca="false">K148</f>
        <v>3861544.3851103</v>
      </c>
      <c r="M146" s="10" t="n">
        <f aca="false">L148</f>
        <v>4183175.82461106</v>
      </c>
      <c r="N146" s="10" t="n">
        <f aca="false">M148</f>
        <v>4511307.17554887</v>
      </c>
      <c r="O146" s="10" t="n">
        <f aca="false">N148</f>
        <v>4813189.79648715</v>
      </c>
      <c r="P146" s="10" t="n">
        <f aca="false">O148</f>
        <v>4477548.80451749</v>
      </c>
      <c r="Q146" s="10" t="n">
        <f aca="false">P148</f>
        <v>4936832.20242391</v>
      </c>
      <c r="R146" s="10" t="n">
        <f aca="false">Q148</f>
        <v>5508896.0534946</v>
      </c>
      <c r="S146" s="10" t="n">
        <f aca="false">R148</f>
        <v>6015043.36647171</v>
      </c>
      <c r="T146" s="10" t="n">
        <f aca="false">S148</f>
        <v>6339520.59362872</v>
      </c>
      <c r="U146" s="10" t="n">
        <f aca="false">T148</f>
        <v>6706527.70591101</v>
      </c>
      <c r="V146" s="10" t="n">
        <f aca="false">U148</f>
        <v>7131139.51303809</v>
      </c>
      <c r="W146" s="10" t="n">
        <f aca="false">V148</f>
        <v>7519191.38652888</v>
      </c>
      <c r="X146" s="10" t="n">
        <f aca="false">W148</f>
        <v>7973383.90616351</v>
      </c>
      <c r="Y146" s="10" t="n">
        <f aca="false">X148</f>
        <v>8397402.277986</v>
      </c>
      <c r="Z146" s="10" t="n">
        <f aca="false">Y148</f>
        <v>8848265.402362</v>
      </c>
      <c r="AA146" s="10" t="n">
        <f aca="false">Z148</f>
        <v>9360174.26506748</v>
      </c>
      <c r="AB146" s="10" t="n">
        <f aca="false">AA148</f>
        <v>9911882.53705738</v>
      </c>
      <c r="AC146" s="10" t="n">
        <f aca="false">AB148</f>
        <v>10351660.9281499</v>
      </c>
      <c r="AD146" s="10" t="n">
        <f aca="false">AC148</f>
        <v>10223434.5844858</v>
      </c>
      <c r="AE146" s="10" t="n">
        <f aca="false">AD148</f>
        <v>10752957.7519388</v>
      </c>
      <c r="AF146" s="10" t="n">
        <f aca="false">AE148</f>
        <v>11325123.6663211</v>
      </c>
      <c r="AG146" s="10" t="n">
        <f aca="false">AF148</f>
        <v>11899635.3070213</v>
      </c>
      <c r="AH146" s="10" t="n">
        <f aca="false">AG148</f>
        <v>12624133.4038384</v>
      </c>
      <c r="AI146" s="10" t="n">
        <f aca="false">AH148</f>
        <v>13207462.9675787</v>
      </c>
      <c r="AJ146" s="10" t="n">
        <f aca="false">AI148</f>
        <v>13993773.4548928</v>
      </c>
      <c r="AK146" s="10" t="n">
        <f aca="false">AJ148</f>
        <v>14644593.6722413</v>
      </c>
      <c r="AL146" s="10" t="n">
        <f aca="false">AK148</f>
        <v>15080294.9356295</v>
      </c>
      <c r="AM146" s="10" t="n">
        <f aca="false">AL148</f>
        <v>15716007.8804178</v>
      </c>
      <c r="AN146" s="10" t="n">
        <f aca="false">AM148</f>
        <v>16127884.4882538</v>
      </c>
      <c r="AO146" s="10" t="n">
        <f aca="false">AN148</f>
        <v>16551119.1845342</v>
      </c>
      <c r="AP146" s="10" t="n">
        <f aca="false">AO148</f>
        <v>17056165.8535543</v>
      </c>
      <c r="AQ146" s="10" t="n">
        <f aca="false">AP148</f>
        <v>17487087.7552052</v>
      </c>
      <c r="AR146" s="10" t="n">
        <f aca="false">AQ148</f>
        <v>17887601.067471</v>
      </c>
      <c r="AS146" s="10" t="n">
        <f aca="false">AR148</f>
        <v>18737792.4433438</v>
      </c>
      <c r="AT146" s="10" t="n">
        <f aca="false">AS148</f>
        <v>19023181.6965079</v>
      </c>
      <c r="AU146" s="10" t="n">
        <f aca="false">AT148</f>
        <v>19415642.7973817</v>
      </c>
      <c r="AV146" s="10" t="n">
        <f aca="false">AU148</f>
        <v>19867820.4111746</v>
      </c>
      <c r="AW146" s="10" t="n">
        <f aca="false">AV148</f>
        <v>20269500.2968956</v>
      </c>
      <c r="AX146" s="10" t="n">
        <f aca="false">AW148</f>
        <v>20645849.5171728</v>
      </c>
      <c r="AY146" s="10" t="n">
        <f aca="false">AX148</f>
        <v>21119754.2334749</v>
      </c>
      <c r="AZ146" s="10" t="n">
        <f aca="false">AY148</f>
        <v>21652123.2157247</v>
      </c>
      <c r="BA146" s="10" t="n">
        <f aca="false">AZ148</f>
        <v>22123423.7633607</v>
      </c>
      <c r="BB146" s="10" t="n">
        <f aca="false">BA148</f>
        <v>22594499.9461492</v>
      </c>
      <c r="BC146" s="10" t="n">
        <f aca="false">BB148</f>
        <v>23226743.8345392</v>
      </c>
      <c r="BD146" s="10" t="n">
        <f aca="false">BC148</f>
        <v>23670801.8713591</v>
      </c>
      <c r="BE146" s="10" t="n">
        <f aca="false">BD148</f>
        <v>24213786.3831235</v>
      </c>
      <c r="BF146" s="10" t="n">
        <f aca="false">BE148</f>
        <v>24824921.529768</v>
      </c>
      <c r="BG146" s="10" t="n">
        <f aca="false">BF148</f>
        <v>25582086.0170814</v>
      </c>
      <c r="BH146" s="10" t="n">
        <f aca="false">BG148</f>
        <v>25959498.7083446</v>
      </c>
      <c r="BI146" s="10" t="n">
        <f aca="false">BH148</f>
        <v>26546568.6544779</v>
      </c>
      <c r="BJ146" s="10" t="n">
        <f aca="false">BI148</f>
        <v>26917416.5738256</v>
      </c>
      <c r="BK146" s="10" t="n">
        <f aca="false">BJ148</f>
        <v>27492008.8722317</v>
      </c>
      <c r="BL146" s="10" t="n">
        <f aca="false">BK148</f>
        <v>27865734.3624013</v>
      </c>
      <c r="BM146" s="10" t="n">
        <f aca="false">BL148</f>
        <v>28421968.6147463</v>
      </c>
      <c r="BN146" s="10" t="n">
        <f aca="false">BM148</f>
        <v>28829311.7956627</v>
      </c>
      <c r="BO146" s="10" t="n">
        <f aca="false">BN148</f>
        <v>29388029.0179752</v>
      </c>
      <c r="BP146" s="10" t="n">
        <f aca="false">BO148</f>
        <v>29761266.9399631</v>
      </c>
      <c r="BQ146" s="10" t="n">
        <f aca="false">BP148</f>
        <v>30321207.2564314</v>
      </c>
      <c r="BR146" s="10" t="n">
        <f aca="false">BQ148</f>
        <v>30700934.58264</v>
      </c>
      <c r="BS146" s="10" t="n">
        <f aca="false">BR148</f>
        <v>31274015.7270305</v>
      </c>
      <c r="BT146" s="10" t="n">
        <f aca="false">BS148</f>
        <v>31666976.3210962</v>
      </c>
      <c r="BU146" s="10" t="n">
        <f aca="false">BT148</f>
        <v>32257102.9200321</v>
      </c>
      <c r="BV146" s="10" t="n">
        <f aca="false">BU148</f>
        <v>32630830.2462407</v>
      </c>
      <c r="BW146" s="10" t="n">
        <f aca="false">BV148</f>
        <v>33190770.5627091</v>
      </c>
      <c r="BX146" s="10" t="n">
        <f aca="false">BW148</f>
        <v>33578724.9716107</v>
      </c>
      <c r="BY146" s="10" t="n">
        <f aca="false">BX148</f>
        <v>34147579.4657396</v>
      </c>
      <c r="BZ146" s="10" t="n">
        <f aca="false">BY148</f>
        <v>34565926.5775633</v>
      </c>
      <c r="CA146" s="10" t="n">
        <f aca="false">BZ148</f>
        <v>35151143.0814325</v>
      </c>
      <c r="CB146" s="10" t="n">
        <f aca="false">CA148</f>
        <v>35555767.2435809</v>
      </c>
      <c r="CC146" s="10" t="n">
        <f aca="false">CB148</f>
        <v>36110517.508002</v>
      </c>
      <c r="CD146" s="10" t="n">
        <f aca="false">CC148</f>
        <v>36514577.1758322</v>
      </c>
      <c r="CE146" s="10" t="n">
        <f aca="false">CD148</f>
        <v>37098677.5993442</v>
      </c>
      <c r="CF146" s="10" t="n">
        <f aca="false">CE148</f>
        <v>37502737.2671744</v>
      </c>
      <c r="CG146" s="10" t="n">
        <f aca="false">CF148</f>
        <v>38057487.5315955</v>
      </c>
      <c r="CH146" s="10" t="n">
        <f aca="false">CG148</f>
        <v>38462111.6937438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66687.2086787023</v>
      </c>
      <c r="D147" s="10" t="n">
        <f aca="false">D41</f>
        <v>34172.293614881</v>
      </c>
      <c r="E147" s="10" t="n">
        <f aca="false">E41</f>
        <v>6502.36763621948</v>
      </c>
      <c r="F147" s="10" t="n">
        <f aca="false">F41</f>
        <v>466502.427596377</v>
      </c>
      <c r="G147" s="10" t="n">
        <f aca="false">G41</f>
        <v>148589.09331542</v>
      </c>
      <c r="H147" s="10" t="n">
        <f aca="false">H41</f>
        <v>154237.021718898</v>
      </c>
      <c r="I147" s="10" t="n">
        <f aca="false">I41</f>
        <v>486022.210377636</v>
      </c>
      <c r="J147" s="10" t="n">
        <f aca="false">J41</f>
        <v>534372.091829295</v>
      </c>
      <c r="K147" s="10" t="n">
        <f aca="false">K41</f>
        <v>312543.980342874</v>
      </c>
      <c r="L147" s="10" t="n">
        <f aca="false">L41</f>
        <v>321631.439500752</v>
      </c>
      <c r="M147" s="10" t="n">
        <f aca="false">M41</f>
        <v>328131.350937816</v>
      </c>
      <c r="N147" s="10" t="n">
        <f aca="false">N41</f>
        <v>301882.620938278</v>
      </c>
      <c r="O147" s="10" t="n">
        <f aca="false">O41</f>
        <v>-335640.991969663</v>
      </c>
      <c r="P147" s="10" t="n">
        <f aca="false">P41</f>
        <v>459283.397906424</v>
      </c>
      <c r="Q147" s="10" t="n">
        <f aca="false">Q41</f>
        <v>572063.85107069</v>
      </c>
      <c r="R147" s="10" t="n">
        <f aca="false">R41</f>
        <v>506147.312977114</v>
      </c>
      <c r="S147" s="10" t="n">
        <f aca="false">S41</f>
        <v>324477.227157004</v>
      </c>
      <c r="T147" s="10" t="n">
        <f aca="false">T41</f>
        <v>367007.112282298</v>
      </c>
      <c r="U147" s="10" t="n">
        <f aca="false">U41</f>
        <v>424611.807127074</v>
      </c>
      <c r="V147" s="10" t="n">
        <f aca="false">V41</f>
        <v>388051.87349079</v>
      </c>
      <c r="W147" s="10" t="n">
        <f aca="false">W41</f>
        <v>454192.519634629</v>
      </c>
      <c r="X147" s="10" t="n">
        <f aca="false">X41</f>
        <v>424018.371822491</v>
      </c>
      <c r="Y147" s="10" t="n">
        <f aca="false">Y41</f>
        <v>450863.124375995</v>
      </c>
      <c r="Z147" s="10" t="n">
        <f aca="false">Z41</f>
        <v>511908.862705487</v>
      </c>
      <c r="AA147" s="10" t="n">
        <f aca="false">AA41</f>
        <v>551708.271989894</v>
      </c>
      <c r="AB147" s="10" t="n">
        <f aca="false">AB41</f>
        <v>439778.391092485</v>
      </c>
      <c r="AC147" s="10" t="n">
        <f aca="false">AC41</f>
        <v>-128226.343664089</v>
      </c>
      <c r="AD147" s="10" t="n">
        <f aca="false">AD41</f>
        <v>529523.167453056</v>
      </c>
      <c r="AE147" s="10" t="n">
        <f aca="false">AE41</f>
        <v>572165.914382276</v>
      </c>
      <c r="AF147" s="10" t="n">
        <f aca="false">AF41</f>
        <v>574511.64070021</v>
      </c>
      <c r="AG147" s="10" t="n">
        <f aca="false">AG41</f>
        <v>724498.096817125</v>
      </c>
      <c r="AH147" s="10" t="n">
        <f aca="false">AH41</f>
        <v>583329.563740266</v>
      </c>
      <c r="AI147" s="10" t="n">
        <f aca="false">AI41</f>
        <v>786310.487314101</v>
      </c>
      <c r="AJ147" s="10" t="n">
        <f aca="false">AJ41</f>
        <v>650820.217348471</v>
      </c>
      <c r="AK147" s="10" t="n">
        <f aca="false">AK41</f>
        <v>435701.263388194</v>
      </c>
      <c r="AL147" s="10" t="n">
        <f aca="false">AL41</f>
        <v>635712.944788312</v>
      </c>
      <c r="AM147" s="10" t="n">
        <f aca="false">AM41</f>
        <v>411876.607836035</v>
      </c>
      <c r="AN147" s="10" t="n">
        <f aca="false">AN41</f>
        <v>423234.69628034</v>
      </c>
      <c r="AO147" s="10" t="n">
        <f aca="false">AO41</f>
        <v>505046.669020155</v>
      </c>
      <c r="AP147" s="10" t="n">
        <f aca="false">AP41</f>
        <v>430921.901650886</v>
      </c>
      <c r="AQ147" s="10" t="n">
        <f aca="false">AQ41</f>
        <v>400513.312265787</v>
      </c>
      <c r="AR147" s="10" t="n">
        <f aca="false">AR41</f>
        <v>850191.375872824</v>
      </c>
      <c r="AS147" s="10" t="n">
        <f aca="false">AS41</f>
        <v>285389.253164065</v>
      </c>
      <c r="AT147" s="10" t="n">
        <f aca="false">AT41</f>
        <v>392461.100873805</v>
      </c>
      <c r="AU147" s="10" t="n">
        <f aca="false">AU41</f>
        <v>452177.613792935</v>
      </c>
      <c r="AV147" s="10" t="n">
        <f aca="false">AV41</f>
        <v>401679.885720935</v>
      </c>
      <c r="AW147" s="10" t="n">
        <f aca="false">AW41</f>
        <v>376349.220277227</v>
      </c>
      <c r="AX147" s="10" t="n">
        <f aca="false">AX41</f>
        <v>473904.716302169</v>
      </c>
      <c r="AY147" s="10" t="n">
        <f aca="false">AY41</f>
        <v>532368.982249735</v>
      </c>
      <c r="AZ147" s="10" t="n">
        <f aca="false">AZ41</f>
        <v>471300.547636034</v>
      </c>
      <c r="BA147" s="10" t="n">
        <f aca="false">BA41</f>
        <v>471076.182788456</v>
      </c>
      <c r="BB147" s="10" t="n">
        <f aca="false">BB41</f>
        <v>632243.888389988</v>
      </c>
      <c r="BC147" s="10" t="n">
        <f aca="false">BC41</f>
        <v>444058.036819949</v>
      </c>
      <c r="BD147" s="10" t="n">
        <f aca="false">BD41</f>
        <v>542984.511764378</v>
      </c>
      <c r="BE147" s="10" t="n">
        <f aca="false">BE41</f>
        <v>611135.146644527</v>
      </c>
      <c r="BF147" s="10" t="n">
        <f aca="false">BF41</f>
        <v>757164.487313352</v>
      </c>
      <c r="BG147" s="10" t="n">
        <f aca="false">BG41</f>
        <v>377412.691263224</v>
      </c>
      <c r="BH147" s="10" t="n">
        <f aca="false">BH41</f>
        <v>587069.946133354</v>
      </c>
      <c r="BI147" s="10" t="n">
        <f aca="false">BI41</f>
        <v>370847.91934764</v>
      </c>
      <c r="BJ147" s="10" t="n">
        <f aca="false">BJ41</f>
        <v>574592.298406081</v>
      </c>
      <c r="BK147" s="10" t="n">
        <f aca="false">BK41</f>
        <v>373725.490169657</v>
      </c>
      <c r="BL147" s="10" t="n">
        <f aca="false">BL41</f>
        <v>556234.252344982</v>
      </c>
      <c r="BM147" s="10" t="n">
        <f aca="false">BM41</f>
        <v>407343.180916411</v>
      </c>
      <c r="BN147" s="10" t="n">
        <f aca="false">BN41</f>
        <v>558717.222312514</v>
      </c>
      <c r="BO147" s="10" t="n">
        <f aca="false">BO41</f>
        <v>373237.921987839</v>
      </c>
      <c r="BP147" s="10" t="n">
        <f aca="false">BP41</f>
        <v>559940.316468359</v>
      </c>
      <c r="BQ147" s="10" t="n">
        <f aca="false">BQ41</f>
        <v>379727.326208618</v>
      </c>
      <c r="BR147" s="10" t="n">
        <f aca="false">BR41</f>
        <v>573081.144390437</v>
      </c>
      <c r="BS147" s="10" t="n">
        <f aca="false">BS41</f>
        <v>392960.594065761</v>
      </c>
      <c r="BT147" s="10" t="n">
        <f aca="false">BT41</f>
        <v>590126.598935891</v>
      </c>
      <c r="BU147" s="10" t="n">
        <f aca="false">BU41</f>
        <v>373727.326208618</v>
      </c>
      <c r="BV147" s="10" t="n">
        <f aca="false">BV41</f>
        <v>559940.316468359</v>
      </c>
      <c r="BW147" s="10" t="n">
        <f aca="false">BW41</f>
        <v>387954.408901622</v>
      </c>
      <c r="BX147" s="10" t="n">
        <f aca="false">BX41</f>
        <v>568854.494128895</v>
      </c>
      <c r="BY147" s="10" t="n">
        <f aca="false">BY41</f>
        <v>418347.1118237</v>
      </c>
      <c r="BZ147" s="10" t="n">
        <f aca="false">BZ41</f>
        <v>585216.503869155</v>
      </c>
      <c r="CA147" s="10" t="n">
        <f aca="false">CA41</f>
        <v>404624.162148375</v>
      </c>
      <c r="CB147" s="10" t="n">
        <f aca="false">CB41</f>
        <v>554750.264421102</v>
      </c>
      <c r="CC147" s="10" t="n">
        <f aca="false">CC41</f>
        <v>404059.667830194</v>
      </c>
      <c r="CD147" s="10" t="n">
        <f aca="false">CD41</f>
        <v>584100.423512012</v>
      </c>
      <c r="CE147" s="10" t="n">
        <f aca="false">CE41</f>
        <v>404059.667830193</v>
      </c>
      <c r="CF147" s="10" t="n">
        <f aca="false">CF41</f>
        <v>554750.264421102</v>
      </c>
      <c r="CG147" s="10" t="n">
        <f aca="false">CG41</f>
        <v>404624.162148375</v>
      </c>
      <c r="CH147" s="10" t="n">
        <f aca="false">CH41</f>
        <v>487646.339908116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1718602.8986787</v>
      </c>
      <c r="D148" s="61" t="n">
        <f aca="false">D146+D147</f>
        <v>1752775.19229358</v>
      </c>
      <c r="E148" s="61" t="n">
        <f aca="false">E146+E147</f>
        <v>1759277.5599298</v>
      </c>
      <c r="F148" s="61" t="n">
        <f aca="false">F146+F147</f>
        <v>2225779.98752618</v>
      </c>
      <c r="G148" s="61" t="n">
        <f aca="false">G146+G147</f>
        <v>2374369.0808416</v>
      </c>
      <c r="H148" s="61" t="n">
        <f aca="false">H146+H147</f>
        <v>2528606.1025605</v>
      </c>
      <c r="I148" s="61" t="n">
        <f aca="false">I146+I147</f>
        <v>3014628.31293813</v>
      </c>
      <c r="J148" s="61" t="n">
        <f aca="false">J146+J147</f>
        <v>3549000.40476743</v>
      </c>
      <c r="K148" s="61" t="n">
        <f aca="false">K146+K147</f>
        <v>3861544.3851103</v>
      </c>
      <c r="L148" s="61" t="n">
        <f aca="false">L146+L147</f>
        <v>4183175.82461106</v>
      </c>
      <c r="M148" s="61" t="n">
        <f aca="false">M146+M147</f>
        <v>4511307.17554887</v>
      </c>
      <c r="N148" s="61" t="n">
        <f aca="false">N146+N147</f>
        <v>4813189.79648715</v>
      </c>
      <c r="O148" s="61" t="n">
        <f aca="false">O146+O147</f>
        <v>4477548.80451749</v>
      </c>
      <c r="P148" s="61" t="n">
        <f aca="false">P146+P147</f>
        <v>4936832.20242391</v>
      </c>
      <c r="Q148" s="61" t="n">
        <f aca="false">Q146+Q147</f>
        <v>5508896.0534946</v>
      </c>
      <c r="R148" s="61" t="n">
        <f aca="false">R146+R147</f>
        <v>6015043.36647171</v>
      </c>
      <c r="S148" s="61" t="n">
        <f aca="false">S146+S147</f>
        <v>6339520.59362872</v>
      </c>
      <c r="T148" s="61" t="n">
        <f aca="false">T146+T147</f>
        <v>6706527.70591101</v>
      </c>
      <c r="U148" s="61" t="n">
        <f aca="false">U146+U147</f>
        <v>7131139.51303809</v>
      </c>
      <c r="V148" s="61" t="n">
        <f aca="false">V146+V147</f>
        <v>7519191.38652888</v>
      </c>
      <c r="W148" s="61" t="n">
        <f aca="false">W146+W147</f>
        <v>7973383.90616351</v>
      </c>
      <c r="X148" s="61" t="n">
        <f aca="false">X146+X147</f>
        <v>8397402.277986</v>
      </c>
      <c r="Y148" s="61" t="n">
        <f aca="false">Y146+Y147</f>
        <v>8848265.402362</v>
      </c>
      <c r="Z148" s="61" t="n">
        <f aca="false">Z146+Z147</f>
        <v>9360174.26506748</v>
      </c>
      <c r="AA148" s="61" t="n">
        <f aca="false">AA146+AA147</f>
        <v>9911882.53705738</v>
      </c>
      <c r="AB148" s="61" t="n">
        <f aca="false">AB146+AB147</f>
        <v>10351660.9281499</v>
      </c>
      <c r="AC148" s="61" t="n">
        <f aca="false">AC146+AC147</f>
        <v>10223434.5844858</v>
      </c>
      <c r="AD148" s="61" t="n">
        <f aca="false">AD146+AD147</f>
        <v>10752957.7519388</v>
      </c>
      <c r="AE148" s="61" t="n">
        <f aca="false">AE146+AE147</f>
        <v>11325123.6663211</v>
      </c>
      <c r="AF148" s="61" t="n">
        <f aca="false">AF146+AF147</f>
        <v>11899635.3070213</v>
      </c>
      <c r="AG148" s="61" t="n">
        <f aca="false">AG146+AG147</f>
        <v>12624133.4038384</v>
      </c>
      <c r="AH148" s="61" t="n">
        <f aca="false">AH146+AH147</f>
        <v>13207462.9675787</v>
      </c>
      <c r="AI148" s="61" t="n">
        <f aca="false">AI146+AI147</f>
        <v>13993773.4548928</v>
      </c>
      <c r="AJ148" s="61" t="n">
        <f aca="false">AJ146+AJ147</f>
        <v>14644593.6722413</v>
      </c>
      <c r="AK148" s="61" t="n">
        <f aca="false">AK146+AK147</f>
        <v>15080294.9356295</v>
      </c>
      <c r="AL148" s="61" t="n">
        <f aca="false">AL146+AL147</f>
        <v>15716007.8804178</v>
      </c>
      <c r="AM148" s="61" t="n">
        <f aca="false">AM146+AM147</f>
        <v>16127884.4882538</v>
      </c>
      <c r="AN148" s="61" t="n">
        <f aca="false">AN146+AN147</f>
        <v>16551119.1845342</v>
      </c>
      <c r="AO148" s="61" t="n">
        <f aca="false">AO146+AO147</f>
        <v>17056165.8535543</v>
      </c>
      <c r="AP148" s="61" t="n">
        <f aca="false">AP146+AP147</f>
        <v>17487087.7552052</v>
      </c>
      <c r="AQ148" s="61" t="n">
        <f aca="false">AQ146+AQ147</f>
        <v>17887601.067471</v>
      </c>
      <c r="AR148" s="61" t="n">
        <f aca="false">AR146+AR147</f>
        <v>18737792.4433438</v>
      </c>
      <c r="AS148" s="61" t="n">
        <f aca="false">AS146+AS147</f>
        <v>19023181.6965079</v>
      </c>
      <c r="AT148" s="61" t="n">
        <f aca="false">AT146+AT147</f>
        <v>19415642.7973817</v>
      </c>
      <c r="AU148" s="61" t="n">
        <f aca="false">AU146+AU147</f>
        <v>19867820.4111746</v>
      </c>
      <c r="AV148" s="61" t="n">
        <f aca="false">AV146+AV147</f>
        <v>20269500.2968956</v>
      </c>
      <c r="AW148" s="61" t="n">
        <f aca="false">AW146+AW147</f>
        <v>20645849.5171728</v>
      </c>
      <c r="AX148" s="61" t="n">
        <f aca="false">AX146+AX147</f>
        <v>21119754.2334749</v>
      </c>
      <c r="AY148" s="61" t="n">
        <f aca="false">AY146+AY147</f>
        <v>21652123.2157247</v>
      </c>
      <c r="AZ148" s="61" t="n">
        <f aca="false">AZ146+AZ147</f>
        <v>22123423.7633607</v>
      </c>
      <c r="BA148" s="61" t="n">
        <f aca="false">BA146+BA147</f>
        <v>22594499.9461492</v>
      </c>
      <c r="BB148" s="61" t="n">
        <f aca="false">BB146+BB147</f>
        <v>23226743.8345392</v>
      </c>
      <c r="BC148" s="61" t="n">
        <f aca="false">BC146+BC147</f>
        <v>23670801.8713591</v>
      </c>
      <c r="BD148" s="61" t="n">
        <f aca="false">BD146+BD147</f>
        <v>24213786.3831235</v>
      </c>
      <c r="BE148" s="61" t="n">
        <f aca="false">BE146+BE147</f>
        <v>24824921.529768</v>
      </c>
      <c r="BF148" s="61" t="n">
        <f aca="false">BF146+BF147</f>
        <v>25582086.0170814</v>
      </c>
      <c r="BG148" s="61" t="n">
        <f aca="false">BG146+BG147</f>
        <v>25959498.7083446</v>
      </c>
      <c r="BH148" s="61" t="n">
        <f aca="false">BH146+BH147</f>
        <v>26546568.6544779</v>
      </c>
      <c r="BI148" s="61" t="n">
        <f aca="false">BI146+BI147</f>
        <v>26917416.5738256</v>
      </c>
      <c r="BJ148" s="61" t="n">
        <f aca="false">BJ146+BJ147</f>
        <v>27492008.8722317</v>
      </c>
      <c r="BK148" s="61" t="n">
        <f aca="false">BK146+BK147</f>
        <v>27865734.3624013</v>
      </c>
      <c r="BL148" s="61" t="n">
        <f aca="false">BL146+BL147</f>
        <v>28421968.6147463</v>
      </c>
      <c r="BM148" s="61" t="n">
        <f aca="false">BM146+BM147</f>
        <v>28829311.7956627</v>
      </c>
      <c r="BN148" s="61" t="n">
        <f aca="false">BN146+BN147</f>
        <v>29388029.0179752</v>
      </c>
      <c r="BO148" s="61" t="n">
        <f aca="false">BO146+BO147</f>
        <v>29761266.9399631</v>
      </c>
      <c r="BP148" s="61" t="n">
        <f aca="false">BP146+BP147</f>
        <v>30321207.2564314</v>
      </c>
      <c r="BQ148" s="61" t="n">
        <f aca="false">BQ146+BQ147</f>
        <v>30700934.58264</v>
      </c>
      <c r="BR148" s="61" t="n">
        <f aca="false">BR146+BR147</f>
        <v>31274015.7270305</v>
      </c>
      <c r="BS148" s="61" t="n">
        <f aca="false">BS146+BS147</f>
        <v>31666976.3210962</v>
      </c>
      <c r="BT148" s="61" t="n">
        <f aca="false">BT146+BT147</f>
        <v>32257102.9200321</v>
      </c>
      <c r="BU148" s="61" t="n">
        <f aca="false">BU146+BU147</f>
        <v>32630830.2462407</v>
      </c>
      <c r="BV148" s="61" t="n">
        <f aca="false">BV146+BV147</f>
        <v>33190770.5627091</v>
      </c>
      <c r="BW148" s="61" t="n">
        <f aca="false">BW146+BW147</f>
        <v>33578724.9716107</v>
      </c>
      <c r="BX148" s="61" t="n">
        <f aca="false">BX146+BX147</f>
        <v>34147579.4657396</v>
      </c>
      <c r="BY148" s="61" t="n">
        <f aca="false">BY146+BY147</f>
        <v>34565926.5775633</v>
      </c>
      <c r="BZ148" s="61" t="n">
        <f aca="false">BZ146+BZ147</f>
        <v>35151143.0814325</v>
      </c>
      <c r="CA148" s="61" t="n">
        <f aca="false">CA146+CA147</f>
        <v>35555767.2435809</v>
      </c>
      <c r="CB148" s="61" t="n">
        <f aca="false">CB146+CB147</f>
        <v>36110517.508002</v>
      </c>
      <c r="CC148" s="61" t="n">
        <f aca="false">CC146+CC147</f>
        <v>36514577.1758322</v>
      </c>
      <c r="CD148" s="61" t="n">
        <f aca="false">CD146+CD147</f>
        <v>37098677.5993442</v>
      </c>
      <c r="CE148" s="61" t="n">
        <f aca="false">CE146+CE147</f>
        <v>37502737.2671744</v>
      </c>
      <c r="CF148" s="61" t="n">
        <f aca="false">CF146+CF147</f>
        <v>38057487.5315955</v>
      </c>
      <c r="CG148" s="61" t="n">
        <f aca="false">CG146+CG147</f>
        <v>38462111.6937438</v>
      </c>
      <c r="CH148" s="61" t="n">
        <f aca="false">CH146+CH147</f>
        <v>38949758.033652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396931.156666667</v>
      </c>
      <c r="E151" s="10" t="n">
        <f aca="false">D156</f>
        <v>342231.153333333</v>
      </c>
      <c r="F151" s="10" t="n">
        <f aca="false">E156</f>
        <v>287531.15</v>
      </c>
      <c r="G151" s="10" t="n">
        <f aca="false">F156</f>
        <v>209831.146666667</v>
      </c>
      <c r="H151" s="10" t="n">
        <f aca="false">G156</f>
        <v>155131.143333333</v>
      </c>
      <c r="I151" s="10" t="n">
        <f aca="false">H156</f>
        <v>99597.8099999999</v>
      </c>
      <c r="J151" s="10" t="n">
        <f aca="false">I156</f>
        <v>-85935.5233333335</v>
      </c>
      <c r="K151" s="10" t="n">
        <f aca="false">J156</f>
        <v>-280843.856666667</v>
      </c>
      <c r="L151" s="10" t="n">
        <f aca="false">K156</f>
        <v>-496752.19</v>
      </c>
      <c r="M151" s="10" t="n">
        <f aca="false">L156</f>
        <v>-691660.523333334</v>
      </c>
      <c r="N151" s="10" t="n">
        <f aca="false">M156</f>
        <v>-1136568.85666667</v>
      </c>
      <c r="O151" s="10" t="n">
        <f aca="false">N156</f>
        <v>-1331477.19</v>
      </c>
      <c r="P151" s="10" t="n">
        <f aca="false">O156</f>
        <v>-1528351.815</v>
      </c>
      <c r="Q151" s="10" t="n">
        <f aca="false">P156</f>
        <v>-1725226.44</v>
      </c>
      <c r="R151" s="10" t="n">
        <f aca="false">Q156</f>
        <v>-1922101.065</v>
      </c>
      <c r="S151" s="10" t="n">
        <f aca="false">R156</f>
        <v>-2166341.94</v>
      </c>
      <c r="T151" s="10" t="n">
        <f aca="false">S156</f>
        <v>-2387122.815</v>
      </c>
      <c r="U151" s="10" t="n">
        <f aca="false">T156</f>
        <v>-2607903.69</v>
      </c>
      <c r="V151" s="10" t="n">
        <f aca="false">U156</f>
        <v>-2828684.565</v>
      </c>
      <c r="W151" s="10" t="n">
        <f aca="false">V156</f>
        <v>-3049465.44</v>
      </c>
      <c r="X151" s="10" t="n">
        <f aca="false">W156</f>
        <v>-3170260.55828545</v>
      </c>
      <c r="Y151" s="10" t="n">
        <f aca="false">X156</f>
        <v>-3261041.43328545</v>
      </c>
      <c r="Z151" s="10" t="n">
        <f aca="false">Y156</f>
        <v>-3601822.30828545</v>
      </c>
      <c r="AA151" s="10" t="n">
        <f aca="false">Z156</f>
        <v>-3635228.18328545</v>
      </c>
      <c r="AB151" s="10" t="n">
        <f aca="false">AA156</f>
        <v>-3728014.67578545</v>
      </c>
      <c r="AC151" s="10" t="n">
        <f aca="false">AB156</f>
        <v>-3820801.16828545</v>
      </c>
      <c r="AD151" s="10" t="n">
        <f aca="false">AC156</f>
        <v>-3856212.66078545</v>
      </c>
      <c r="AE151" s="10" t="n">
        <f aca="false">AD156</f>
        <v>-3972928.35328545</v>
      </c>
      <c r="AF151" s="10" t="n">
        <f aca="false">AE156</f>
        <v>-4065714.84578545</v>
      </c>
      <c r="AG151" s="10" t="n">
        <f aca="false">AF156</f>
        <v>-4158501.33828545</v>
      </c>
      <c r="AH151" s="10" t="n">
        <f aca="false">AG156</f>
        <v>-4260787.83078545</v>
      </c>
      <c r="AI151" s="10" t="n">
        <f aca="false">AH156</f>
        <v>-4363074.32328545</v>
      </c>
      <c r="AJ151" s="10" t="n">
        <f aca="false">AI156</f>
        <v>-4487209.21578545</v>
      </c>
      <c r="AK151" s="10" t="n">
        <f aca="false">AJ156</f>
        <v>-4589495.70828545</v>
      </c>
      <c r="AL151" s="10" t="n">
        <f aca="false">AK156</f>
        <v>-4941782.20078545</v>
      </c>
      <c r="AM151" s="10" t="n">
        <f aca="false">AL156</f>
        <v>-5044068.69328545</v>
      </c>
      <c r="AN151" s="10" t="n">
        <f aca="false">AM156</f>
        <v>-5148400.91563545</v>
      </c>
      <c r="AO151" s="10" t="n">
        <f aca="false">AN156</f>
        <v>-5252733.13798545</v>
      </c>
      <c r="AP151" s="10" t="n">
        <f aca="false">AO156</f>
        <v>-5357065.36033545</v>
      </c>
      <c r="AQ151" s="10" t="n">
        <f aca="false">AP156</f>
        <v>-5485805.36668545</v>
      </c>
      <c r="AR151" s="10" t="n">
        <f aca="false">AQ156</f>
        <v>-5590137.58903545</v>
      </c>
      <c r="AS151" s="10" t="n">
        <f aca="false">AR156</f>
        <v>-5694469.81138545</v>
      </c>
      <c r="AT151" s="10" t="n">
        <f aca="false">AS156</f>
        <v>-5798802.03373545</v>
      </c>
      <c r="AU151" s="10" t="n">
        <f aca="false">AT156</f>
        <v>-5903134.25608545</v>
      </c>
      <c r="AV151" s="10" t="n">
        <f aca="false">AU156</f>
        <v>-6029751.84643545</v>
      </c>
      <c r="AW151" s="10" t="n">
        <f aca="false">AV156</f>
        <v>-6134084.06878545</v>
      </c>
      <c r="AX151" s="10" t="n">
        <f aca="false">AW156</f>
        <v>-6488416.29113545</v>
      </c>
      <c r="AY151" s="10" t="n">
        <f aca="false">AX156</f>
        <v>-6592748.51348545</v>
      </c>
      <c r="AZ151" s="10" t="n">
        <f aca="false">AY156</f>
        <v>-6699167.38028245</v>
      </c>
      <c r="BA151" s="10" t="n">
        <f aca="false">AZ156</f>
        <v>-6805586.24707945</v>
      </c>
      <c r="BB151" s="10" t="n">
        <f aca="false">BA156</f>
        <v>-6912005.11387645</v>
      </c>
      <c r="BC151" s="10" t="n">
        <f aca="false">BB156</f>
        <v>-7043319.92035345</v>
      </c>
      <c r="BD151" s="10" t="n">
        <f aca="false">BC156</f>
        <v>-7149738.78715045</v>
      </c>
      <c r="BE151" s="10" t="n">
        <f aca="false">BD156</f>
        <v>-7256157.65394745</v>
      </c>
      <c r="BF151" s="10" t="n">
        <f aca="false">BE156</f>
        <v>-7362576.52074445</v>
      </c>
      <c r="BG151" s="10" t="n">
        <f aca="false">BF156</f>
        <v>-7468995.38754145</v>
      </c>
      <c r="BH151" s="10" t="n">
        <f aca="false">BG156</f>
        <v>-7598145.32969845</v>
      </c>
      <c r="BI151" s="10" t="n">
        <f aca="false">BH156</f>
        <v>-7704564.19649545</v>
      </c>
      <c r="BJ151" s="10" t="n">
        <f aca="false">BI156</f>
        <v>-7810983.06329245</v>
      </c>
      <c r="BK151" s="10" t="n">
        <f aca="false">BJ156</f>
        <v>-7917401.93008945</v>
      </c>
      <c r="BL151" s="10" t="n">
        <f aca="false">BK156</f>
        <v>-8025949.17422239</v>
      </c>
      <c r="BM151" s="10" t="n">
        <f aca="false">BL156</f>
        <v>-8134496.41835533</v>
      </c>
      <c r="BN151" s="10" t="n">
        <f aca="false">BM156</f>
        <v>-8243043.66248827</v>
      </c>
      <c r="BO151" s="10" t="n">
        <f aca="false">BN156</f>
        <v>-8376984.76509481</v>
      </c>
      <c r="BP151" s="10" t="n">
        <f aca="false">BO156</f>
        <v>-8485532.00922775</v>
      </c>
      <c r="BQ151" s="10" t="n">
        <f aca="false">BP156</f>
        <v>-8542565.73336069</v>
      </c>
      <c r="BR151" s="10" t="n">
        <f aca="false">BQ156</f>
        <v>-8651112.97749363</v>
      </c>
      <c r="BS151" s="10" t="n">
        <f aca="false">BR156</f>
        <v>-8759660.22162657</v>
      </c>
      <c r="BT151" s="10" t="n">
        <f aca="false">BS156</f>
        <v>-8823631.16262671</v>
      </c>
      <c r="BU151" s="10" t="n">
        <f aca="false">BT156</f>
        <v>-8932178.40675965</v>
      </c>
      <c r="BV151" s="10" t="n">
        <f aca="false">BU156</f>
        <v>-9040725.65089259</v>
      </c>
      <c r="BW151" s="10" t="n">
        <f aca="false">BV156</f>
        <v>-9081510.89502553</v>
      </c>
      <c r="BX151" s="10" t="n">
        <f aca="false">BW156</f>
        <v>-9192229.08404113</v>
      </c>
      <c r="BY151" s="10" t="n">
        <f aca="false">BX156</f>
        <v>-9302947.27305673</v>
      </c>
      <c r="BZ151" s="10" t="n">
        <f aca="false">BY156</f>
        <v>-9345903.46207233</v>
      </c>
      <c r="CA151" s="10" t="n">
        <f aca="false">BZ156</f>
        <v>-9482523.386731</v>
      </c>
      <c r="CB151" s="10" t="n">
        <f aca="false">CA156</f>
        <v>-9593241.5757466</v>
      </c>
      <c r="CC151" s="10" t="n">
        <f aca="false">CB156</f>
        <v>-9627460.7647622</v>
      </c>
      <c r="CD151" s="10" t="n">
        <f aca="false">CC156</f>
        <v>-9738178.95377779</v>
      </c>
      <c r="CE151" s="10" t="n">
        <f aca="false">CD156</f>
        <v>-9848897.14279339</v>
      </c>
      <c r="CF151" s="10" t="n">
        <f aca="false">CE156</f>
        <v>-9906765.74261354</v>
      </c>
      <c r="CG151" s="10" t="n">
        <f aca="false">CF156</f>
        <v>-10017483.9316291</v>
      </c>
      <c r="CH151" s="10" t="n">
        <f aca="false">CG156</f>
        <v>-10128202.1206447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-54700.0033333333</v>
      </c>
      <c r="D152" s="10" t="n">
        <f aca="false">D87</f>
        <v>-54700.0033333333</v>
      </c>
      <c r="E152" s="10" t="n">
        <f aca="false">E87</f>
        <v>-54700.0033333333</v>
      </c>
      <c r="F152" s="10" t="n">
        <f aca="false">F87</f>
        <v>-77700.0033333333</v>
      </c>
      <c r="G152" s="10" t="n">
        <f aca="false">G87</f>
        <v>-54700.0033333333</v>
      </c>
      <c r="H152" s="10" t="n">
        <f aca="false">H87</f>
        <v>-55533.3333333333</v>
      </c>
      <c r="I152" s="10" t="n">
        <f aca="false">I87</f>
        <v>-55533.3333333333</v>
      </c>
      <c r="J152" s="10" t="n">
        <f aca="false">J87</f>
        <v>-64908.3333333333</v>
      </c>
      <c r="K152" s="10" t="n">
        <f aca="false">K87</f>
        <v>-85908.3333333333</v>
      </c>
      <c r="L152" s="10" t="n">
        <f aca="false">L87</f>
        <v>-64908.3333333333</v>
      </c>
      <c r="M152" s="10" t="n">
        <f aca="false">M87</f>
        <v>-64908.3333333333</v>
      </c>
      <c r="N152" s="10" t="n">
        <f aca="false">N87</f>
        <v>-64908.3333333333</v>
      </c>
      <c r="O152" s="10" t="n">
        <f aca="false">O87</f>
        <v>-66874.625</v>
      </c>
      <c r="P152" s="10" t="n">
        <f aca="false">P87</f>
        <v>-66874.625</v>
      </c>
      <c r="Q152" s="10" t="n">
        <f aca="false">Q87</f>
        <v>-66874.625</v>
      </c>
      <c r="R152" s="10" t="n">
        <f aca="false">R87</f>
        <v>-114240.875</v>
      </c>
      <c r="S152" s="10" t="n">
        <f aca="false">S87</f>
        <v>-90780.875</v>
      </c>
      <c r="T152" s="10" t="n">
        <f aca="false">T87</f>
        <v>-90780.875</v>
      </c>
      <c r="U152" s="10" t="n">
        <f aca="false">U87</f>
        <v>-90780.875</v>
      </c>
      <c r="V152" s="10" t="n">
        <f aca="false">V87</f>
        <v>-90780.875</v>
      </c>
      <c r="W152" s="10" t="n">
        <f aca="false">W87</f>
        <v>-54825.875</v>
      </c>
      <c r="X152" s="10" t="n">
        <f aca="false">X87</f>
        <v>-90780.875</v>
      </c>
      <c r="Y152" s="10" t="n">
        <f aca="false">Y87</f>
        <v>-90780.875</v>
      </c>
      <c r="Z152" s="10" t="n">
        <f aca="false">Z87</f>
        <v>-33405.875</v>
      </c>
      <c r="AA152" s="10" t="n">
        <f aca="false">AA87</f>
        <v>-92786.4925</v>
      </c>
      <c r="AB152" s="10" t="n">
        <f aca="false">AB87</f>
        <v>-92786.4925</v>
      </c>
      <c r="AC152" s="10" t="n">
        <f aca="false">AC87</f>
        <v>-35411.4925</v>
      </c>
      <c r="AD152" s="10" t="n">
        <f aca="false">AD87</f>
        <v>-116715.6925</v>
      </c>
      <c r="AE152" s="10" t="n">
        <f aca="false">AE87</f>
        <v>-92786.4925</v>
      </c>
      <c r="AF152" s="10" t="n">
        <f aca="false">AF87</f>
        <v>-92786.4925</v>
      </c>
      <c r="AG152" s="10" t="n">
        <f aca="false">AG87</f>
        <v>-102286.4925</v>
      </c>
      <c r="AH152" s="10" t="n">
        <f aca="false">AH87</f>
        <v>-102286.4925</v>
      </c>
      <c r="AI152" s="10" t="n">
        <f aca="false">AI87</f>
        <v>-124134.8925</v>
      </c>
      <c r="AJ152" s="10" t="n">
        <f aca="false">AJ87</f>
        <v>-102286.4925</v>
      </c>
      <c r="AK152" s="10" t="n">
        <f aca="false">AK87</f>
        <v>-102286.4925</v>
      </c>
      <c r="AL152" s="10" t="n">
        <f aca="false">AL87</f>
        <v>-102286.4925</v>
      </c>
      <c r="AM152" s="10" t="n">
        <f aca="false">AM87</f>
        <v>-104332.22235</v>
      </c>
      <c r="AN152" s="10" t="n">
        <f aca="false">AN87</f>
        <v>-104332.22235</v>
      </c>
      <c r="AO152" s="10" t="n">
        <f aca="false">AO87</f>
        <v>-104332.22235</v>
      </c>
      <c r="AP152" s="10" t="n">
        <f aca="false">AP87</f>
        <v>-128740.00635</v>
      </c>
      <c r="AQ152" s="10" t="n">
        <f aca="false">AQ87</f>
        <v>-104332.22235</v>
      </c>
      <c r="AR152" s="10" t="n">
        <f aca="false">AR87</f>
        <v>-104332.22235</v>
      </c>
      <c r="AS152" s="10" t="n">
        <f aca="false">AS87</f>
        <v>-104332.22235</v>
      </c>
      <c r="AT152" s="10" t="n">
        <f aca="false">AT87</f>
        <v>-104332.22235</v>
      </c>
      <c r="AU152" s="10" t="n">
        <f aca="false">AU87</f>
        <v>-126617.59035</v>
      </c>
      <c r="AV152" s="10" t="n">
        <f aca="false">AV87</f>
        <v>-104332.22235</v>
      </c>
      <c r="AW152" s="10" t="n">
        <f aca="false">AW87</f>
        <v>-104332.22235</v>
      </c>
      <c r="AX152" s="10" t="n">
        <f aca="false">AX87</f>
        <v>-104332.22235</v>
      </c>
      <c r="AY152" s="10" t="n">
        <f aca="false">AY87</f>
        <v>-106418.866797</v>
      </c>
      <c r="AZ152" s="10" t="n">
        <f aca="false">AZ87</f>
        <v>-106418.866797</v>
      </c>
      <c r="BA152" s="10" t="n">
        <f aca="false">BA87</f>
        <v>-106418.866797</v>
      </c>
      <c r="BB152" s="10" t="n">
        <f aca="false">BB87</f>
        <v>-131314.806477</v>
      </c>
      <c r="BC152" s="10" t="n">
        <f aca="false">BC87</f>
        <v>-106418.866797</v>
      </c>
      <c r="BD152" s="10" t="n">
        <f aca="false">BD87</f>
        <v>-106418.866797</v>
      </c>
      <c r="BE152" s="10" t="n">
        <f aca="false">BE87</f>
        <v>-106418.866797</v>
      </c>
      <c r="BF152" s="10" t="n">
        <f aca="false">BF87</f>
        <v>-106418.866797</v>
      </c>
      <c r="BG152" s="10" t="n">
        <f aca="false">BG87</f>
        <v>-129149.942157</v>
      </c>
      <c r="BH152" s="10" t="n">
        <f aca="false">BH87</f>
        <v>-106418.866797</v>
      </c>
      <c r="BI152" s="10" t="n">
        <f aca="false">BI87</f>
        <v>-106418.866797</v>
      </c>
      <c r="BJ152" s="10" t="n">
        <f aca="false">BJ87</f>
        <v>-106418.866797</v>
      </c>
      <c r="BK152" s="10" t="n">
        <f aca="false">BK87</f>
        <v>-108547.24413294</v>
      </c>
      <c r="BL152" s="10" t="n">
        <f aca="false">BL87</f>
        <v>-108547.24413294</v>
      </c>
      <c r="BM152" s="10" t="n">
        <f aca="false">BM87</f>
        <v>-108547.24413294</v>
      </c>
      <c r="BN152" s="10" t="n">
        <f aca="false">BN87</f>
        <v>-133941.10260654</v>
      </c>
      <c r="BO152" s="10" t="n">
        <f aca="false">BO87</f>
        <v>-108547.24413294</v>
      </c>
      <c r="BP152" s="10" t="n">
        <f aca="false">BP87</f>
        <v>-57033.72413294</v>
      </c>
      <c r="BQ152" s="10" t="n">
        <f aca="false">BQ87</f>
        <v>-108547.24413294</v>
      </c>
      <c r="BR152" s="10" t="n">
        <f aca="false">BR87</f>
        <v>-108547.24413294</v>
      </c>
      <c r="BS152" s="10" t="n">
        <f aca="false">BS87</f>
        <v>-63970.94100014</v>
      </c>
      <c r="BT152" s="10" t="n">
        <f aca="false">BT87</f>
        <v>-108547.24413294</v>
      </c>
      <c r="BU152" s="10" t="n">
        <f aca="false">BU87</f>
        <v>-108547.24413294</v>
      </c>
      <c r="BV152" s="10" t="n">
        <f aca="false">BV87</f>
        <v>-40785.24413294</v>
      </c>
      <c r="BW152" s="10" t="n">
        <f aca="false">BW87</f>
        <v>-110718.189015599</v>
      </c>
      <c r="BX152" s="10" t="n">
        <f aca="false">BX87</f>
        <v>-110718.189015599</v>
      </c>
      <c r="BY152" s="10" t="n">
        <f aca="false">BY87</f>
        <v>-42956.1890155988</v>
      </c>
      <c r="BZ152" s="10" t="n">
        <f aca="false">BZ87</f>
        <v>-136619.924658671</v>
      </c>
      <c r="CA152" s="10" t="n">
        <f aca="false">CA87</f>
        <v>-110718.189015599</v>
      </c>
      <c r="CB152" s="10" t="n">
        <f aca="false">CB87</f>
        <v>-34219.1890155989</v>
      </c>
      <c r="CC152" s="10" t="n">
        <f aca="false">CC87</f>
        <v>-110718.189015599</v>
      </c>
      <c r="CD152" s="10" t="n">
        <f aca="false">CD87</f>
        <v>-110718.189015599</v>
      </c>
      <c r="CE152" s="10" t="n">
        <f aca="false">CE87</f>
        <v>-57868.5998201428</v>
      </c>
      <c r="CF152" s="10" t="n">
        <f aca="false">CF87</f>
        <v>-110718.189015599</v>
      </c>
      <c r="CG152" s="10" t="n">
        <f aca="false">CG87</f>
        <v>-110718.189015599</v>
      </c>
      <c r="CH152" s="10" t="n">
        <f aca="false">CH87</f>
        <v>-27611.1624091196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-250000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396931.156666667</v>
      </c>
      <c r="D156" s="61" t="n">
        <f aca="false">D151+D152+D153+D154+D155</f>
        <v>342231.153333333</v>
      </c>
      <c r="E156" s="61" t="n">
        <f aca="false">E151+E152+E153+E154+E155</f>
        <v>287531.15</v>
      </c>
      <c r="F156" s="61" t="n">
        <f aca="false">F151+F152+F153+F154+F155</f>
        <v>209831.146666667</v>
      </c>
      <c r="G156" s="61" t="n">
        <f aca="false">G151+G152+G153+G154+G155</f>
        <v>155131.143333333</v>
      </c>
      <c r="H156" s="61" t="n">
        <f aca="false">H151+H152+H153+H154+H155</f>
        <v>99597.8099999999</v>
      </c>
      <c r="I156" s="61" t="n">
        <f aca="false">I151+I152+I153+I154+I155</f>
        <v>-85935.5233333335</v>
      </c>
      <c r="J156" s="61" t="n">
        <f aca="false">J151+J152+J153+J154+J155</f>
        <v>-280843.856666667</v>
      </c>
      <c r="K156" s="61" t="n">
        <f aca="false">K151+K152+K153+K154+K155</f>
        <v>-496752.19</v>
      </c>
      <c r="L156" s="61" t="n">
        <f aca="false">L151+L152+L153+L154+L155</f>
        <v>-691660.523333334</v>
      </c>
      <c r="M156" s="61" t="n">
        <f aca="false">M151+M152+M153+M154+M155</f>
        <v>-1136568.85666667</v>
      </c>
      <c r="N156" s="61" t="n">
        <f aca="false">N151+N152+N153+N154+N155</f>
        <v>-1331477.19</v>
      </c>
      <c r="O156" s="61" t="n">
        <f aca="false">O151+O152+O153+O154+O155</f>
        <v>-1528351.815</v>
      </c>
      <c r="P156" s="61" t="n">
        <f aca="false">P151+P152+P153+P154+P155</f>
        <v>-1725226.44</v>
      </c>
      <c r="Q156" s="61" t="n">
        <f aca="false">Q151+Q152+Q153+Q154+Q155</f>
        <v>-1922101.065</v>
      </c>
      <c r="R156" s="61" t="n">
        <f aca="false">R151+R152+R153+R154+R155</f>
        <v>-2166341.94</v>
      </c>
      <c r="S156" s="61" t="n">
        <f aca="false">S151+S152+S153+S154+S155</f>
        <v>-2387122.815</v>
      </c>
      <c r="T156" s="61" t="n">
        <f aca="false">T151+T152+T153+T154+T155</f>
        <v>-2607903.69</v>
      </c>
      <c r="U156" s="61" t="n">
        <f aca="false">U151+U152+U153+U154+U155</f>
        <v>-2828684.565</v>
      </c>
      <c r="V156" s="61" t="n">
        <f aca="false">V151+V152+V153+V154+V155</f>
        <v>-3049465.44</v>
      </c>
      <c r="W156" s="61" t="n">
        <f aca="false">W151+W152+W153+W154+W155</f>
        <v>-3170260.55828545</v>
      </c>
      <c r="X156" s="61" t="n">
        <f aca="false">X151+X152+X153+X154+X155</f>
        <v>-3261041.43328545</v>
      </c>
      <c r="Y156" s="61" t="n">
        <f aca="false">Y151+Y152+Y153+Y154+Y155</f>
        <v>-3601822.30828545</v>
      </c>
      <c r="Z156" s="61" t="n">
        <f aca="false">Z151+Z152+Z153+Z154+Z155</f>
        <v>-3635228.18328545</v>
      </c>
      <c r="AA156" s="61" t="n">
        <f aca="false">AA151+AA152+AA153+AA154+AA155</f>
        <v>-3728014.67578545</v>
      </c>
      <c r="AB156" s="61" t="n">
        <f aca="false">AB151+AB152+AB153+AB154+AB155</f>
        <v>-3820801.16828545</v>
      </c>
      <c r="AC156" s="61" t="n">
        <f aca="false">AC151+AC152+AC153+AC154+AC155</f>
        <v>-3856212.66078545</v>
      </c>
      <c r="AD156" s="61" t="n">
        <f aca="false">AD151+AD152+AD153+AD154+AD155</f>
        <v>-3972928.35328545</v>
      </c>
      <c r="AE156" s="61" t="n">
        <f aca="false">AE151+AE152+AE153+AE154+AE155</f>
        <v>-4065714.84578545</v>
      </c>
      <c r="AF156" s="61" t="n">
        <f aca="false">AF151+AF152+AF153+AF154+AF155</f>
        <v>-4158501.33828545</v>
      </c>
      <c r="AG156" s="61" t="n">
        <f aca="false">AG151+AG152+AG153+AG154+AG155</f>
        <v>-4260787.83078545</v>
      </c>
      <c r="AH156" s="61" t="n">
        <f aca="false">AH151+AH152+AH153+AH154+AH155</f>
        <v>-4363074.32328545</v>
      </c>
      <c r="AI156" s="61" t="n">
        <f aca="false">AI151+AI152+AI153+AI154+AI155</f>
        <v>-4487209.21578545</v>
      </c>
      <c r="AJ156" s="61" t="n">
        <f aca="false">AJ151+AJ152+AJ153+AJ154+AJ155</f>
        <v>-4589495.70828545</v>
      </c>
      <c r="AK156" s="61" t="n">
        <f aca="false">AK151+AK152+AK153+AK154+AK155</f>
        <v>-4941782.20078545</v>
      </c>
      <c r="AL156" s="61" t="n">
        <f aca="false">AL151+AL152+AL153+AL154+AL155</f>
        <v>-5044068.69328545</v>
      </c>
      <c r="AM156" s="61" t="n">
        <f aca="false">AM151+AM152+AM153+AM154+AM155</f>
        <v>-5148400.91563545</v>
      </c>
      <c r="AN156" s="61" t="n">
        <f aca="false">AN151+AN152+AN153+AN154+AN155</f>
        <v>-5252733.13798545</v>
      </c>
      <c r="AO156" s="61" t="n">
        <f aca="false">AO151+AO152+AO153+AO154+AO155</f>
        <v>-5357065.36033545</v>
      </c>
      <c r="AP156" s="61" t="n">
        <f aca="false">AP151+AP152+AP153+AP154+AP155</f>
        <v>-5485805.36668545</v>
      </c>
      <c r="AQ156" s="61" t="n">
        <f aca="false">AQ151+AQ152+AQ153+AQ154+AQ155</f>
        <v>-5590137.58903545</v>
      </c>
      <c r="AR156" s="61" t="n">
        <f aca="false">AR151+AR152+AR153+AR154+AR155</f>
        <v>-5694469.81138545</v>
      </c>
      <c r="AS156" s="61" t="n">
        <f aca="false">AS151+AS152+AS153+AS154+AS155</f>
        <v>-5798802.03373545</v>
      </c>
      <c r="AT156" s="61" t="n">
        <f aca="false">AT151+AT152+AT153+AT154+AT155</f>
        <v>-5903134.25608545</v>
      </c>
      <c r="AU156" s="61" t="n">
        <f aca="false">AU151+AU152+AU153+AU154+AU155</f>
        <v>-6029751.84643545</v>
      </c>
      <c r="AV156" s="61" t="n">
        <f aca="false">AV151+AV152+AV153+AV154+AV155</f>
        <v>-6134084.06878545</v>
      </c>
      <c r="AW156" s="61" t="n">
        <f aca="false">AW151+AW152+AW153+AW154+AW155</f>
        <v>-6488416.29113545</v>
      </c>
      <c r="AX156" s="61" t="n">
        <f aca="false">AX151+AX152+AX153+AX154+AX155</f>
        <v>-6592748.51348545</v>
      </c>
      <c r="AY156" s="61" t="n">
        <f aca="false">AY151+AY152+AY153+AY154+AY155</f>
        <v>-6699167.38028245</v>
      </c>
      <c r="AZ156" s="61" t="n">
        <f aca="false">AZ151+AZ152+AZ153+AZ154+AZ155</f>
        <v>-6805586.24707945</v>
      </c>
      <c r="BA156" s="61" t="n">
        <f aca="false">BA151+BA152+BA153+BA154+BA155</f>
        <v>-6912005.11387645</v>
      </c>
      <c r="BB156" s="61" t="n">
        <f aca="false">BB151+BB152+BB153+BB154+BB155</f>
        <v>-7043319.92035345</v>
      </c>
      <c r="BC156" s="61" t="n">
        <f aca="false">BC151+BC152+BC153+BC154+BC155</f>
        <v>-7149738.78715045</v>
      </c>
      <c r="BD156" s="61" t="n">
        <f aca="false">BD151+BD152+BD153+BD154+BD155</f>
        <v>-7256157.65394745</v>
      </c>
      <c r="BE156" s="61" t="n">
        <f aca="false">BE151+BE152+BE153+BE154+BE155</f>
        <v>-7362576.52074445</v>
      </c>
      <c r="BF156" s="61" t="n">
        <f aca="false">BF151+BF152+BF153+BF154+BF155</f>
        <v>-7468995.38754145</v>
      </c>
      <c r="BG156" s="61" t="n">
        <f aca="false">BG151+BG152+BG153+BG154+BG155</f>
        <v>-7598145.32969845</v>
      </c>
      <c r="BH156" s="61" t="n">
        <f aca="false">BH151+BH152+BH153+BH154+BH155</f>
        <v>-7704564.19649545</v>
      </c>
      <c r="BI156" s="61" t="n">
        <f aca="false">BI151+BI152+BI153+BI154+BI155</f>
        <v>-7810983.06329245</v>
      </c>
      <c r="BJ156" s="61" t="n">
        <f aca="false">BJ151+BJ152+BJ153+BJ154+BJ155</f>
        <v>-7917401.93008945</v>
      </c>
      <c r="BK156" s="61" t="n">
        <f aca="false">BK151+BK152+BK153+BK154+BK155</f>
        <v>-8025949.17422239</v>
      </c>
      <c r="BL156" s="61" t="n">
        <f aca="false">BL151+BL152+BL153+BL154+BL155</f>
        <v>-8134496.41835533</v>
      </c>
      <c r="BM156" s="61" t="n">
        <f aca="false">BM151+BM152+BM153+BM154+BM155</f>
        <v>-8243043.66248827</v>
      </c>
      <c r="BN156" s="61" t="n">
        <f aca="false">BN151+BN152+BN153+BN154+BN155</f>
        <v>-8376984.76509481</v>
      </c>
      <c r="BO156" s="61" t="n">
        <f aca="false">BO151+BO152+BO153+BO154+BO155</f>
        <v>-8485532.00922775</v>
      </c>
      <c r="BP156" s="61" t="n">
        <f aca="false">BP151+BP152+BP153+BP154+BP155</f>
        <v>-8542565.73336069</v>
      </c>
      <c r="BQ156" s="61" t="n">
        <f aca="false">BQ151+BQ152+BQ153+BQ154+BQ155</f>
        <v>-8651112.97749363</v>
      </c>
      <c r="BR156" s="61" t="n">
        <f aca="false">BR151+BR152+BR153+BR154+BR155</f>
        <v>-8759660.22162657</v>
      </c>
      <c r="BS156" s="61" t="n">
        <f aca="false">BS151+BS152+BS153+BS154+BS155</f>
        <v>-8823631.16262671</v>
      </c>
      <c r="BT156" s="61" t="n">
        <f aca="false">BT151+BT152+BT153+BT154+BT155</f>
        <v>-8932178.40675965</v>
      </c>
      <c r="BU156" s="61" t="n">
        <f aca="false">BU151+BU152+BU153+BU154+BU155</f>
        <v>-9040725.65089259</v>
      </c>
      <c r="BV156" s="61" t="n">
        <f aca="false">BV151+BV152+BV153+BV154+BV155</f>
        <v>-9081510.89502553</v>
      </c>
      <c r="BW156" s="61" t="n">
        <f aca="false">BW151+BW152+BW153+BW154+BW155</f>
        <v>-9192229.08404113</v>
      </c>
      <c r="BX156" s="61" t="n">
        <f aca="false">BX151+BX152+BX153+BX154+BX155</f>
        <v>-9302947.27305673</v>
      </c>
      <c r="BY156" s="61" t="n">
        <f aca="false">BY151+BY152+BY153+BY154+BY155</f>
        <v>-9345903.46207233</v>
      </c>
      <c r="BZ156" s="61" t="n">
        <f aca="false">BZ151+BZ152+BZ153+BZ154+BZ155</f>
        <v>-9482523.386731</v>
      </c>
      <c r="CA156" s="61" t="n">
        <f aca="false">CA151+CA152+CA153+CA154+CA155</f>
        <v>-9593241.5757466</v>
      </c>
      <c r="CB156" s="61" t="n">
        <f aca="false">CB151+CB152+CB153+CB154+CB155</f>
        <v>-9627460.7647622</v>
      </c>
      <c r="CC156" s="61" t="n">
        <f aca="false">CC151+CC152+CC153+CC154+CC155</f>
        <v>-9738178.95377779</v>
      </c>
      <c r="CD156" s="61" t="n">
        <f aca="false">CD151+CD152+CD153+CD154+CD155</f>
        <v>-9848897.14279339</v>
      </c>
      <c r="CE156" s="61" t="n">
        <f aca="false">CE151+CE152+CE153+CE154+CE155</f>
        <v>-9906765.74261354</v>
      </c>
      <c r="CF156" s="61" t="n">
        <f aca="false">CF151+CF152+CF153+CF154+CF155</f>
        <v>-10017483.9316291</v>
      </c>
      <c r="CG156" s="61" t="n">
        <f aca="false">CG151+CG152+CG153+CG154+CG155</f>
        <v>-10128202.1206447</v>
      </c>
      <c r="CH156" s="61" t="n">
        <f aca="false">CH151+CH152+CH153+CH154+CH155</f>
        <v>-10155813.2830539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3491515.30127772</v>
      </c>
      <c r="N159" s="10" t="n">
        <f aca="false">N146+N151</f>
        <v>3374738.3188822</v>
      </c>
      <c r="O159" s="10" t="n">
        <f aca="false">O146+O151</f>
        <v>3481712.60648715</v>
      </c>
      <c r="P159" s="10" t="n">
        <f aca="false">P146+P151</f>
        <v>2949196.98951749</v>
      </c>
      <c r="Q159" s="10" t="n">
        <f aca="false">Q146+Q151</f>
        <v>3211605.76242391</v>
      </c>
      <c r="R159" s="10" t="n">
        <f aca="false">R146+R151</f>
        <v>3586794.9884946</v>
      </c>
      <c r="S159" s="10" t="n">
        <f aca="false">S146+S151</f>
        <v>3848701.42647171</v>
      </c>
      <c r="T159" s="10" t="n">
        <f aca="false">T146+T151</f>
        <v>3952397.77862872</v>
      </c>
      <c r="U159" s="10" t="n">
        <f aca="false">U146+U151</f>
        <v>4098624.01591101</v>
      </c>
      <c r="V159" s="10" t="n">
        <f aca="false">V146+V151</f>
        <v>4302454.94803809</v>
      </c>
      <c r="W159" s="10" t="n">
        <f aca="false">W146+W151</f>
        <v>4469725.94652888</v>
      </c>
      <c r="X159" s="10" t="n">
        <f aca="false">X146+X151</f>
        <v>4803123.34787806</v>
      </c>
      <c r="Y159" s="10" t="n">
        <f aca="false">Y146+Y151</f>
        <v>5136360.84470055</v>
      </c>
      <c r="Z159" s="10" t="n">
        <f aca="false">Z146+Z151</f>
        <v>5246443.09407655</v>
      </c>
      <c r="AA159" s="10" t="n">
        <f aca="false">AA146+AA151</f>
        <v>5724946.08178204</v>
      </c>
      <c r="AB159" s="10" t="n">
        <f aca="false">AB146+AB151</f>
        <v>6183867.86127193</v>
      </c>
      <c r="AC159" s="10" t="n">
        <f aca="false">AC146+AC151</f>
        <v>6530859.75986441</v>
      </c>
      <c r="AD159" s="10" t="n">
        <f aca="false">AD146+AD151</f>
        <v>6367221.92370033</v>
      </c>
      <c r="AE159" s="10" t="n">
        <f aca="false">AE146+AE151</f>
        <v>6780029.39865338</v>
      </c>
      <c r="AF159" s="10" t="n">
        <f aca="false">AF146+AF151</f>
        <v>7259408.82053566</v>
      </c>
      <c r="AG159" s="10" t="n">
        <f aca="false">AG146+AG151</f>
        <v>7741133.96873587</v>
      </c>
      <c r="AH159" s="10" t="n">
        <f aca="false">AH146+AH151</f>
        <v>8363345.57305299</v>
      </c>
      <c r="AI159" s="10" t="n">
        <f aca="false">AI146+AI151</f>
        <v>8844388.64429326</v>
      </c>
      <c r="AJ159" s="10" t="n">
        <f aca="false">AJ146+AJ151</f>
        <v>9506564.23910736</v>
      </c>
      <c r="AK159" s="10" t="n">
        <f aca="false">AK146+AK151</f>
        <v>10055097.9639558</v>
      </c>
      <c r="AL159" s="10" t="n">
        <f aca="false">AL146+AL151</f>
        <v>10138512.734844</v>
      </c>
      <c r="AM159" s="10" t="n">
        <f aca="false">AM146+AM151</f>
        <v>10671939.1871323</v>
      </c>
      <c r="AN159" s="10" t="n">
        <f aca="false">AN146+AN151</f>
        <v>10979483.5726184</v>
      </c>
      <c r="AO159" s="10" t="n">
        <f aca="false">AO146+AO151</f>
        <v>11298386.0465487</v>
      </c>
      <c r="AP159" s="10" t="n">
        <f aca="false">AP146+AP151</f>
        <v>11699100.4932189</v>
      </c>
      <c r="AQ159" s="10" t="n">
        <f aca="false">AQ146+AQ151</f>
        <v>12001282.3885198</v>
      </c>
      <c r="AR159" s="10" t="n">
        <f aca="false">AR146+AR151</f>
        <v>12297463.4784355</v>
      </c>
      <c r="AS159" s="10" t="n">
        <f aca="false">AS146+AS151</f>
        <v>13043322.6319584</v>
      </c>
      <c r="AT159" s="10" t="n">
        <f aca="false">AT146+AT151</f>
        <v>13224379.6627724</v>
      </c>
      <c r="AU159" s="10" t="n">
        <f aca="false">AU146+AU151</f>
        <v>13512508.5412962</v>
      </c>
      <c r="AV159" s="10" t="n">
        <f aca="false">AV146+AV151</f>
        <v>13838068.5647392</v>
      </c>
      <c r="AW159" s="10" t="n">
        <f aca="false">AW146+AW151</f>
        <v>14135416.2281101</v>
      </c>
      <c r="AX159" s="10" t="n">
        <f aca="false">AX146+AX151</f>
        <v>14157433.2260373</v>
      </c>
      <c r="AY159" s="10" t="n">
        <f aca="false">AY146+AY151</f>
        <v>14527005.7199895</v>
      </c>
      <c r="AZ159" s="10" t="n">
        <f aca="false">AZ146+AZ151</f>
        <v>14952955.8354422</v>
      </c>
      <c r="BA159" s="10" t="n">
        <f aca="false">BA146+BA151</f>
        <v>15317837.5162813</v>
      </c>
      <c r="BB159" s="10" t="n">
        <f aca="false">BB146+BB151</f>
        <v>15682494.8322727</v>
      </c>
      <c r="BC159" s="10" t="n">
        <f aca="false">BC146+BC151</f>
        <v>16183423.9141857</v>
      </c>
      <c r="BD159" s="10" t="n">
        <f aca="false">BD146+BD151</f>
        <v>16521063.0842087</v>
      </c>
      <c r="BE159" s="10" t="n">
        <f aca="false">BE146+BE151</f>
        <v>16957628.729176</v>
      </c>
      <c r="BF159" s="10" t="n">
        <f aca="false">BF146+BF151</f>
        <v>17462345.0090236</v>
      </c>
      <c r="BG159" s="10" t="n">
        <f aca="false">BG146+BG151</f>
        <v>18113090.6295399</v>
      </c>
      <c r="BH159" s="10" t="n">
        <f aca="false">BH146+BH151</f>
        <v>18361353.3786461</v>
      </c>
      <c r="BI159" s="10" t="n">
        <f aca="false">BI146+BI151</f>
        <v>18842004.4579825</v>
      </c>
      <c r="BJ159" s="10" t="n">
        <f aca="false">BJ146+BJ151</f>
        <v>19106433.5105331</v>
      </c>
      <c r="BK159" s="10" t="n">
        <f aca="false">BK146+BK151</f>
        <v>19574606.9421422</v>
      </c>
      <c r="BL159" s="10" t="n">
        <f aca="false">BL146+BL151</f>
        <v>19839785.1881789</v>
      </c>
      <c r="BM159" s="10" t="n">
        <f aca="false">BM146+BM151</f>
        <v>20287472.196391</v>
      </c>
      <c r="BN159" s="10" t="n">
        <f aca="false">BN146+BN151</f>
        <v>20586268.1331744</v>
      </c>
      <c r="BO159" s="10" t="n">
        <f aca="false">BO146+BO151</f>
        <v>21011044.2528804</v>
      </c>
      <c r="BP159" s="10" t="n">
        <f aca="false">BP146+BP151</f>
        <v>21275734.9307353</v>
      </c>
      <c r="BQ159" s="10" t="n">
        <f aca="false">BQ146+BQ151</f>
        <v>21778641.5230707</v>
      </c>
      <c r="BR159" s="10" t="n">
        <f aca="false">BR146+BR151</f>
        <v>22049821.6051464</v>
      </c>
      <c r="BS159" s="10" t="n">
        <f aca="false">BS146+BS151</f>
        <v>22514355.5054039</v>
      </c>
      <c r="BT159" s="10" t="n">
        <f aca="false">BT146+BT151</f>
        <v>22843345.1584695</v>
      </c>
      <c r="BU159" s="10" t="n">
        <f aca="false">BU146+BU151</f>
        <v>23324924.5132725</v>
      </c>
      <c r="BV159" s="10" t="n">
        <f aca="false">BV146+BV151</f>
        <v>23590104.5953482</v>
      </c>
      <c r="BW159" s="10" t="n">
        <f aca="false">BW146+BW151</f>
        <v>24109259.6676836</v>
      </c>
      <c r="BX159" s="10" t="n">
        <f aca="false">BX146+BX151</f>
        <v>24386495.8875696</v>
      </c>
      <c r="BY159" s="10" t="n">
        <f aca="false">BY146+BY151</f>
        <v>24844632.1926829</v>
      </c>
      <c r="BZ159" s="10" t="n">
        <f aca="false">BZ146+BZ151</f>
        <v>25220023.115491</v>
      </c>
      <c r="CA159" s="10" t="n">
        <f aca="false">CA146+CA151</f>
        <v>25668619.6947015</v>
      </c>
      <c r="CB159" s="10" t="n">
        <f aca="false">CB146+CB151</f>
        <v>25962525.6678343</v>
      </c>
      <c r="CC159" s="10" t="n">
        <f aca="false">CC146+CC151</f>
        <v>26483056.7432398</v>
      </c>
      <c r="CD159" s="10" t="n">
        <f aca="false">CD146+CD151</f>
        <v>26776398.2220544</v>
      </c>
      <c r="CE159" s="10" t="n">
        <f aca="false">CE146+CE151</f>
        <v>27249780.4565508</v>
      </c>
      <c r="CF159" s="10" t="n">
        <f aca="false">CF146+CF151</f>
        <v>27595971.5245608</v>
      </c>
      <c r="CG159" s="10" t="n">
        <f aca="false">CG146+CG151</f>
        <v>28040003.5999663</v>
      </c>
      <c r="CH159" s="10" t="n">
        <f aca="false">CH146+CH151</f>
        <v>28333909.5730991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-955290.118815961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-1486032.26736879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-1374451.29768954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-1431985.44417209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-1344597.53394702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-1425787.90982739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3491515.30127772</v>
      </c>
      <c r="M161" s="61" t="n">
        <f aca="false">M159+M147+M152+M153+M154+M155+M160</f>
        <v>3374738.3188822</v>
      </c>
      <c r="N161" s="61" t="n">
        <f aca="false">N159+N147+N152+N153+N154+N155+N160</f>
        <v>2986339.00295406</v>
      </c>
      <c r="O161" s="61" t="n">
        <f aca="false">O159+O147+O152+O153+O154+O155+O160</f>
        <v>2949196.98951749</v>
      </c>
      <c r="P161" s="61" t="n">
        <f aca="false">P159+P147+P152+P153+P154+P155+P160</f>
        <v>3211605.76242391</v>
      </c>
      <c r="Q161" s="61" t="n">
        <f aca="false">Q159+Q147+Q152+Q153+Q154+Q155+Q160</f>
        <v>3586794.9884946</v>
      </c>
      <c r="R161" s="61" t="n">
        <f aca="false">R159+R147+R152+R153+R154+R155+R160</f>
        <v>3848701.42647171</v>
      </c>
      <c r="S161" s="61" t="n">
        <f aca="false">S159+S147+S152+S153+S154+S155+S160</f>
        <v>3952397.77862872</v>
      </c>
      <c r="T161" s="61" t="n">
        <f aca="false">T159+T147+T152+T153+T154+T155+T160</f>
        <v>4098624.01591101</v>
      </c>
      <c r="U161" s="61" t="n">
        <f aca="false">U159+U147+U152+U153+U154+U155+U160</f>
        <v>4302454.94803809</v>
      </c>
      <c r="V161" s="61" t="n">
        <f aca="false">V159+V147+V152+V153+V154+V155+V160</f>
        <v>4469725.94652888</v>
      </c>
      <c r="W161" s="61" t="n">
        <f aca="false">W159+W147+W152+W153+W154+W155+W160</f>
        <v>4803123.34787806</v>
      </c>
      <c r="X161" s="61" t="n">
        <f aca="false">X159+X147+X152+X153+X154+X155+X160</f>
        <v>5136360.84470055</v>
      </c>
      <c r="Y161" s="61" t="n">
        <f aca="false">Y159+Y147+Y152+Y153+Y154+Y155+Y160</f>
        <v>5246443.09407655</v>
      </c>
      <c r="Z161" s="61" t="n">
        <f aca="false">Z159+Z147+Z152+Z153+Z154+Z155+Z160</f>
        <v>4769655.96296608</v>
      </c>
      <c r="AA161" s="61" t="n">
        <f aca="false">AA159+AA147+AA152+AA153+AA154+AA155+AA160</f>
        <v>6183867.86127193</v>
      </c>
      <c r="AB161" s="61" t="n">
        <f aca="false">AB159+AB147+AB152+AB153+AB154+AB155+AB160</f>
        <v>6530859.75986442</v>
      </c>
      <c r="AC161" s="61" t="n">
        <f aca="false">AC159+AC147+AC152+AC153+AC154+AC155+AC160</f>
        <v>6367221.92370033</v>
      </c>
      <c r="AD161" s="61" t="n">
        <f aca="false">AD159+AD147+AD152+AD153+AD154+AD155+AD160</f>
        <v>6780029.39865338</v>
      </c>
      <c r="AE161" s="61" t="n">
        <f aca="false">AE159+AE147+AE152+AE153+AE154+AE155+AE160</f>
        <v>7259408.82053566</v>
      </c>
      <c r="AF161" s="61" t="n">
        <f aca="false">AF159+AF147+AF152+AF153+AF154+AF155+AF160</f>
        <v>7741133.96873587</v>
      </c>
      <c r="AG161" s="61" t="n">
        <f aca="false">AG159+AG147+AG152+AG153+AG154+AG155+AG160</f>
        <v>8363345.57305299</v>
      </c>
      <c r="AH161" s="61" t="n">
        <f aca="false">AH159+AH147+AH152+AH153+AH154+AH155+AH160</f>
        <v>8844388.64429326</v>
      </c>
      <c r="AI161" s="61" t="n">
        <f aca="false">AI159+AI147+AI152+AI153+AI154+AI155+AI160</f>
        <v>9506564.23910736</v>
      </c>
      <c r="AJ161" s="61" t="n">
        <f aca="false">AJ159+AJ147+AJ152+AJ153+AJ154+AJ155+AJ160</f>
        <v>10055097.9639558</v>
      </c>
      <c r="AK161" s="61" t="n">
        <f aca="false">AK159+AK147+AK152+AK153+AK154+AK155+AK160</f>
        <v>10138512.734844</v>
      </c>
      <c r="AL161" s="61" t="n">
        <f aca="false">AL159+AL147+AL152+AL153+AL154+AL155+AL160</f>
        <v>9185906.91976355</v>
      </c>
      <c r="AM161" s="61" t="n">
        <f aca="false">AM159+AM147+AM152+AM153+AM154+AM155+AM160</f>
        <v>10979483.5726184</v>
      </c>
      <c r="AN161" s="61" t="n">
        <f aca="false">AN159+AN147+AN152+AN153+AN154+AN155+AN160</f>
        <v>11298386.0465487</v>
      </c>
      <c r="AO161" s="61" t="n">
        <f aca="false">AO159+AO147+AO152+AO153+AO154+AO155+AO160</f>
        <v>11699100.4932189</v>
      </c>
      <c r="AP161" s="61" t="n">
        <f aca="false">AP159+AP147+AP152+AP153+AP154+AP155+AP160</f>
        <v>12001282.3885198</v>
      </c>
      <c r="AQ161" s="61" t="n">
        <f aca="false">AQ159+AQ147+AQ152+AQ153+AQ154+AQ155+AQ160</f>
        <v>12297463.4784355</v>
      </c>
      <c r="AR161" s="61" t="n">
        <f aca="false">AR159+AR147+AR152+AR153+AR154+AR155+AR160</f>
        <v>13043322.6319584</v>
      </c>
      <c r="AS161" s="61" t="n">
        <f aca="false">AS159+AS147+AS152+AS153+AS154+AS155+AS160</f>
        <v>13224379.6627724</v>
      </c>
      <c r="AT161" s="61" t="n">
        <f aca="false">AT159+AT147+AT152+AT153+AT154+AT155+AT160</f>
        <v>13512508.5412962</v>
      </c>
      <c r="AU161" s="61" t="n">
        <f aca="false">AU159+AU147+AU152+AU153+AU154+AU155+AU160</f>
        <v>13838068.5647392</v>
      </c>
      <c r="AV161" s="61" t="n">
        <f aca="false">AV159+AV147+AV152+AV153+AV154+AV155+AV160</f>
        <v>14135416.2281101</v>
      </c>
      <c r="AW161" s="61" t="n">
        <f aca="false">AW159+AW147+AW152+AW153+AW154+AW155+AW160</f>
        <v>14157433.2260373</v>
      </c>
      <c r="AX161" s="61" t="n">
        <f aca="false">AX159+AX147+AX152+AX153+AX154+AX155+AX160</f>
        <v>13152554.4223</v>
      </c>
      <c r="AY161" s="61" t="n">
        <f aca="false">AY159+AY147+AY152+AY153+AY154+AY155+AY160</f>
        <v>14952955.8354422</v>
      </c>
      <c r="AZ161" s="61" t="n">
        <f aca="false">AZ159+AZ147+AZ152+AZ153+AZ154+AZ155+AZ160</f>
        <v>15317837.5162813</v>
      </c>
      <c r="BA161" s="61" t="n">
        <f aca="false">BA159+BA147+BA152+BA153+BA154+BA155+BA160</f>
        <v>15682494.8322727</v>
      </c>
      <c r="BB161" s="61" t="n">
        <f aca="false">BB159+BB147+BB152+BB153+BB154+BB155+BB160</f>
        <v>16183423.9141857</v>
      </c>
      <c r="BC161" s="61" t="n">
        <f aca="false">BC159+BC147+BC152+BC153+BC154+BC155+BC160</f>
        <v>16521063.0842087</v>
      </c>
      <c r="BD161" s="61" t="n">
        <f aca="false">BD159+BD147+BD152+BD153+BD154+BD155+BD160</f>
        <v>16957628.729176</v>
      </c>
      <c r="BE161" s="61" t="n">
        <f aca="false">BE159+BE147+BE152+BE153+BE154+BE155+BE160</f>
        <v>17462345.0090236</v>
      </c>
      <c r="BF161" s="61" t="n">
        <f aca="false">BF159+BF147+BF152+BF153+BF154+BF155+BF160</f>
        <v>18113090.6295399</v>
      </c>
      <c r="BG161" s="61" t="n">
        <f aca="false">BG159+BG147+BG152+BG153+BG154+BG155+BG160</f>
        <v>18361353.3786461</v>
      </c>
      <c r="BH161" s="61" t="n">
        <f aca="false">BH159+BH147+BH152+BH153+BH154+BH155+BH160</f>
        <v>18842004.4579825</v>
      </c>
      <c r="BI161" s="61" t="n">
        <f aca="false">BI159+BI147+BI152+BI153+BI154+BI155+BI160</f>
        <v>19106433.5105331</v>
      </c>
      <c r="BJ161" s="61" t="n">
        <f aca="false">BJ159+BJ147+BJ152+BJ153+BJ154+BJ155+BJ160</f>
        <v>18142621.4979701</v>
      </c>
      <c r="BK161" s="61" t="n">
        <f aca="false">BK159+BK147+BK152+BK153+BK154+BK155+BK160</f>
        <v>19839785.1881789</v>
      </c>
      <c r="BL161" s="61" t="n">
        <f aca="false">BL159+BL147+BL152+BL153+BL154+BL155+BL160</f>
        <v>20287472.196391</v>
      </c>
      <c r="BM161" s="61" t="n">
        <f aca="false">BM159+BM147+BM152+BM153+BM154+BM155+BM160</f>
        <v>20586268.1331744</v>
      </c>
      <c r="BN161" s="61" t="n">
        <f aca="false">BN159+BN147+BN152+BN153+BN154+BN155+BN160</f>
        <v>21011044.2528804</v>
      </c>
      <c r="BO161" s="61" t="n">
        <f aca="false">BO159+BO147+BO152+BO153+BO154+BO155+BO160</f>
        <v>21275734.9307353</v>
      </c>
      <c r="BP161" s="61" t="n">
        <f aca="false">BP159+BP147+BP152+BP153+BP154+BP155+BP160</f>
        <v>21778641.5230707</v>
      </c>
      <c r="BQ161" s="61" t="n">
        <f aca="false">BQ159+BQ147+BQ152+BQ153+BQ154+BQ155+BQ160</f>
        <v>22049821.6051464</v>
      </c>
      <c r="BR161" s="61" t="n">
        <f aca="false">BR159+BR147+BR152+BR153+BR154+BR155+BR160</f>
        <v>22514355.5054039</v>
      </c>
      <c r="BS161" s="61" t="n">
        <f aca="false">BS159+BS147+BS152+BS153+BS154+BS155+BS160</f>
        <v>22843345.1584695</v>
      </c>
      <c r="BT161" s="61" t="n">
        <f aca="false">BT159+BT147+BT152+BT153+BT154+BT155+BT160</f>
        <v>23324924.5132725</v>
      </c>
      <c r="BU161" s="61" t="n">
        <f aca="false">BU159+BU147+BU152+BU153+BU154+BU155+BU160</f>
        <v>23590104.5953482</v>
      </c>
      <c r="BV161" s="61" t="n">
        <f aca="false">BV159+BV147+BV152+BV153+BV154+BV155+BV160</f>
        <v>22764662.1337366</v>
      </c>
      <c r="BW161" s="61" t="n">
        <f aca="false">BW159+BW147+BW152+BW153+BW154+BW155+BW160</f>
        <v>24386495.8875696</v>
      </c>
      <c r="BX161" s="61" t="n">
        <f aca="false">BX159+BX147+BX152+BX153+BX154+BX155+BX160</f>
        <v>24844632.1926829</v>
      </c>
      <c r="BY161" s="61" t="n">
        <f aca="false">BY159+BY147+BY152+BY153+BY154+BY155+BY160</f>
        <v>25220023.115491</v>
      </c>
      <c r="BZ161" s="61" t="n">
        <f aca="false">BZ159+BZ147+BZ152+BZ153+BZ154+BZ155+BZ160</f>
        <v>25668619.6947015</v>
      </c>
      <c r="CA161" s="61" t="n">
        <f aca="false">CA159+CA147+CA152+CA153+CA154+CA155+CA160</f>
        <v>25962525.6678343</v>
      </c>
      <c r="CB161" s="61" t="n">
        <f aca="false">CB159+CB147+CB152+CB153+CB154+CB155+CB160</f>
        <v>26483056.7432398</v>
      </c>
      <c r="CC161" s="61" t="n">
        <f aca="false">CC159+CC147+CC152+CC153+CC154+CC155+CC160</f>
        <v>26776398.2220544</v>
      </c>
      <c r="CD161" s="61" t="n">
        <f aca="false">CD159+CD147+CD152+CD153+CD154+CD155+CD160</f>
        <v>27249780.4565508</v>
      </c>
      <c r="CE161" s="61" t="n">
        <f aca="false">CE159+CE147+CE152+CE153+CE154+CE155+CE160</f>
        <v>27595971.5245608</v>
      </c>
      <c r="CF161" s="61" t="n">
        <f aca="false">CF159+CF147+CF152+CF153+CF154+CF155+CF160</f>
        <v>28040003.5999663</v>
      </c>
      <c r="CG161" s="61" t="n">
        <f aca="false">CG159+CG147+CG152+CG153+CG154+CG155+CG160</f>
        <v>28333909.5730991</v>
      </c>
      <c r="CH161" s="61" t="n">
        <f aca="false">CH159+CH147+CH152+CH153+CH154+CH155+CH160</f>
        <v>27368156.8407707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23553998.495225</v>
      </c>
      <c r="H3" s="65" t="n">
        <f aca="false">Model!U7+Model!V7+Model!W7</f>
        <v>24864036.735296</v>
      </c>
      <c r="I3" s="65" t="n">
        <f aca="false">Model!X7+Model!Y7+Model!Z7</f>
        <v>25689670.497728</v>
      </c>
      <c r="J3" s="65" t="n">
        <f aca="false">Model!AA7+Model!AB7+Model!AC7</f>
        <v>25456148.117488</v>
      </c>
      <c r="K3" s="65" t="n">
        <f aca="false">Model!AD7+Model!AE7+Model!AF7</f>
        <v>24362851.051765</v>
      </c>
      <c r="L3" s="65" t="n">
        <f aca="false">Model!AG7+Model!AH7+Model!AI7</f>
        <v>25490854.011073</v>
      </c>
      <c r="M3" s="65" t="n">
        <f aca="false">Model!AJ7+Model!AK7+Model!AL7</f>
        <v>24713200.058484</v>
      </c>
      <c r="N3" s="65" t="n">
        <f aca="false">Model!AM7+Model!AN7+Model!AO7</f>
        <v>23167182.488294</v>
      </c>
      <c r="O3" s="65" t="n">
        <f aca="false">Model!AP7+Model!AQ7+Model!AR7</f>
        <v>23482935.921916</v>
      </c>
      <c r="P3" s="65" t="n">
        <f aca="false">Model!AS7+Model!AT7+Model!AU7</f>
        <v>22459731.356072</v>
      </c>
      <c r="Q3" s="65" t="n">
        <f aca="false">Model!AV7+Model!AW7+Model!AX7</f>
        <v>24053345.61408</v>
      </c>
      <c r="R3" s="65" t="n">
        <f aca="false">Model!AY7+Model!AZ7+Model!BA7</f>
        <v>24996799.349224</v>
      </c>
      <c r="S3" s="65" t="n">
        <f aca="false">Model!BB7+Model!BC7+Model!BD7</f>
        <v>25643433.95164</v>
      </c>
      <c r="T3" s="65" t="n">
        <f aca="false">Model!BE7+Model!BF7+Model!BG7</f>
        <v>24654089.005208</v>
      </c>
      <c r="U3" s="65" t="n">
        <f aca="false">Model!BH7+Model!BI7+Model!BJ7</f>
        <v>23966010</v>
      </c>
      <c r="V3" s="65" t="n">
        <f aca="false">Model!BK7+Model!BL7+Model!BM7</f>
        <v>23619108</v>
      </c>
      <c r="W3" s="65" t="n">
        <f aca="false">Model!BN7+Model!BO7+Model!BP7</f>
        <v>24244266</v>
      </c>
      <c r="X3" s="65" t="n">
        <f aca="false">Model!BQ7+Model!BR7+Model!BS7</f>
        <v>24078306</v>
      </c>
      <c r="Y3" s="65" t="n">
        <f aca="false">Model!BT7+Model!BU7+Model!BV7</f>
        <v>24354780</v>
      </c>
      <c r="Z3" s="65" t="n">
        <f aca="false">Model!BW7+Model!BX7+Model!BY7</f>
        <v>24018597</v>
      </c>
      <c r="AA3" s="65" t="n">
        <f aca="false">Model!BZ7+Model!CA7+Model!CB7</f>
        <v>24239085</v>
      </c>
      <c r="AB3" s="65" t="n">
        <f aca="false">Model!CC7+Model!CD7+Model!CE7</f>
        <v>23840466</v>
      </c>
      <c r="AC3" s="65" t="n">
        <f aca="false">Model!CF7+Model!CG7+Model!CH7</f>
        <v>23761779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1005952.36410308</v>
      </c>
      <c r="H5" s="10" t="n">
        <f aca="false">Model!U8+Model!V8+Model!W8</f>
        <v>1006147.95805601</v>
      </c>
      <c r="I5" s="10" t="n">
        <f aca="false">Model!X8+Model!Y8+Model!Z8</f>
        <v>1091225.88013393</v>
      </c>
      <c r="J5" s="10" t="n">
        <f aca="false">Model!AA8+Model!AB8+Model!AC8</f>
        <v>1231401.59831575</v>
      </c>
      <c r="K5" s="10" t="n">
        <f aca="false">Model!AD8+Model!AE8+Model!AF8</f>
        <v>1365649.13857549</v>
      </c>
      <c r="L5" s="10" t="n">
        <f aca="false">Model!AG8+Model!AH8+Model!AI8</f>
        <v>1549654.32140828</v>
      </c>
      <c r="M5" s="10" t="n">
        <f aca="false">Model!AJ8+Model!AK8+Model!AL8</f>
        <v>1294312.0726461</v>
      </c>
      <c r="N5" s="10" t="n">
        <f aca="false">Model!AM8+Model!AN8+Model!AO8</f>
        <v>1116673.69431818</v>
      </c>
      <c r="O5" s="10" t="n">
        <f aca="false">Model!AP8+Model!AQ8+Model!AR8</f>
        <v>1292647.97191558</v>
      </c>
      <c r="P5" s="10" t="n">
        <f aca="false">Model!AS8+Model!AT8+Model!AU8</f>
        <v>1024124.51493506</v>
      </c>
      <c r="Q5" s="10" t="n">
        <f aca="false">Model!AV8+Model!AW8+Model!AX8</f>
        <v>1060650.48896104</v>
      </c>
      <c r="R5" s="10" t="n">
        <f aca="false">Model!AY8+Model!AZ8+Model!BA8</f>
        <v>1170228.41103896</v>
      </c>
      <c r="S5" s="10" t="n">
        <f aca="false">Model!BB8+Model!BC8+Model!BD8</f>
        <v>1265195.94350649</v>
      </c>
      <c r="T5" s="10" t="n">
        <f aca="false">Model!BE8+Model!BF8+Model!BG8</f>
        <v>1331340.5012987</v>
      </c>
      <c r="U5" s="10" t="n">
        <f aca="false">Model!BH8+Model!BI8+Model!BJ8</f>
        <v>1219967.53246753</v>
      </c>
      <c r="V5" s="10" t="n">
        <f aca="false">Model!BK8+Model!BL8+Model!BM8</f>
        <v>1117694.80519481</v>
      </c>
      <c r="W5" s="10" t="n">
        <f aca="false">Model!BN8+Model!BO8+Model!BP8</f>
        <v>1198051.94805195</v>
      </c>
      <c r="X5" s="10" t="n">
        <f aca="false">Model!BQ8+Model!BR8+Model!BS8</f>
        <v>1139610.38961039</v>
      </c>
      <c r="Y5" s="10" t="n">
        <f aca="false">Model!BT8+Model!BU8+Model!BV8</f>
        <v>1212662.33766234</v>
      </c>
      <c r="Z5" s="10" t="n">
        <f aca="false">Model!BW8+Model!BX8+Model!BY8</f>
        <v>1139610.38961039</v>
      </c>
      <c r="AA5" s="10" t="n">
        <f aca="false">Model!BZ8+Model!CA8+Model!CB8</f>
        <v>1212662.33766234</v>
      </c>
      <c r="AB5" s="10" t="n">
        <f aca="false">Model!CC8+Model!CD8+Model!CE8</f>
        <v>1139610.38961039</v>
      </c>
      <c r="AC5" s="10" t="n">
        <f aca="false">Model!CF8+Model!CG8+Model!CH8</f>
        <v>1161525.97402597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1138412.58947064</v>
      </c>
      <c r="H6" s="10" t="n">
        <f aca="false">Model!U9+Model!V9+Model!W9</f>
        <v>1160234.03807782</v>
      </c>
      <c r="I6" s="10" t="n">
        <f aca="false">Model!X9+Model!Y9+Model!Z9</f>
        <v>1188564.3006254</v>
      </c>
      <c r="J6" s="10" t="n">
        <f aca="false">Model!AA9+Model!AB9+Model!AC9</f>
        <v>1210939.73920196</v>
      </c>
      <c r="K6" s="10" t="n">
        <f aca="false">Model!AD9+Model!AE9+Model!AF9</f>
        <v>1127177.36197289</v>
      </c>
      <c r="L6" s="10" t="n">
        <f aca="false">Model!AG9+Model!AH9+Model!AI9</f>
        <v>1335774.54353179</v>
      </c>
      <c r="M6" s="10" t="n">
        <f aca="false">Model!AJ9+Model!AK9+Model!AL9</f>
        <v>1262327.15286817</v>
      </c>
      <c r="N6" s="10" t="n">
        <f aca="false">Model!AM9+Model!AN9+Model!AO9</f>
        <v>1108384.25473438</v>
      </c>
      <c r="O6" s="10" t="n">
        <f aca="false">Model!AP9+Model!AQ9+Model!AR9</f>
        <v>1233220.50125748</v>
      </c>
      <c r="P6" s="10" t="n">
        <f aca="false">Model!AS9+Model!AT9+Model!AU9</f>
        <v>1075653.15527281</v>
      </c>
      <c r="Q6" s="10" t="n">
        <f aca="false">Model!AV9+Model!AW9+Model!AX9</f>
        <v>1112857.71104104</v>
      </c>
      <c r="R6" s="10" t="n">
        <f aca="false">Model!AY9+Model!AZ9+Model!BA9</f>
        <v>1193033.73612481</v>
      </c>
      <c r="S6" s="10" t="n">
        <f aca="false">Model!BB9+Model!BC9+Model!BD9</f>
        <v>1222951.08380153</v>
      </c>
      <c r="T6" s="10" t="n">
        <f aca="false">Model!BE9+Model!BF9+Model!BG9</f>
        <v>1285184.22832537</v>
      </c>
      <c r="U6" s="10" t="n">
        <f aca="false">Model!BH9+Model!BI9+Model!BJ9</f>
        <v>1196479.35876623</v>
      </c>
      <c r="V6" s="10" t="n">
        <f aca="false">Model!BK9+Model!BL9+Model!BM9</f>
        <v>1129293.1461039</v>
      </c>
      <c r="W6" s="10" t="n">
        <f aca="false">Model!BN9+Model!BO9+Model!BP9</f>
        <v>1194742.8262987</v>
      </c>
      <c r="X6" s="10" t="n">
        <f aca="false">Model!BQ9+Model!BR9+Model!BS9</f>
        <v>1150538.50811688</v>
      </c>
      <c r="Y6" s="10" t="n">
        <f aca="false">Model!BT9+Model!BU9+Model!BV9</f>
        <v>1207161.08766234</v>
      </c>
      <c r="Z6" s="10" t="n">
        <f aca="false">Model!BW9+Model!BX9+Model!BY9</f>
        <v>1147775.99756494</v>
      </c>
      <c r="AA6" s="10" t="n">
        <f aca="false">Model!BZ9+Model!CA9+Model!CB9</f>
        <v>1201808.31574675</v>
      </c>
      <c r="AB6" s="10" t="n">
        <f aca="false">Model!CC9+Model!CD9+Model!CE9</f>
        <v>1146839.74188312</v>
      </c>
      <c r="AC6" s="10" t="n">
        <f aca="false">Model!CF9+Model!CG9+Model!CH9</f>
        <v>1172419.96996753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310008.480742695</v>
      </c>
      <c r="H7" s="10" t="n">
        <f aca="false">Model!U10+Model!V10+Model!W10</f>
        <v>327215.986018669</v>
      </c>
      <c r="I7" s="10" t="n">
        <f aca="false">Model!X10+Model!Y10+Model!Z10</f>
        <v>363741.960044643</v>
      </c>
      <c r="J7" s="10" t="n">
        <f aca="false">Model!AA10+Model!AB10+Model!AC10</f>
        <v>410467.199438582</v>
      </c>
      <c r="K7" s="10" t="n">
        <f aca="false">Model!AD10+Model!AE10+Model!AF10</f>
        <v>455216.379525162</v>
      </c>
      <c r="L7" s="10" t="n">
        <f aca="false">Model!AG10+Model!AH10+Model!AI10</f>
        <v>516551.440469426</v>
      </c>
      <c r="M7" s="10" t="n">
        <f aca="false">Model!AJ10+Model!AK10+Model!AL10</f>
        <v>431437.357548701</v>
      </c>
      <c r="N7" s="10" t="n">
        <f aca="false">Model!AM10+Model!AN10+Model!AO10</f>
        <v>372224.564772727</v>
      </c>
      <c r="O7" s="10" t="n">
        <f aca="false">Model!AP10+Model!AQ10+Model!AR10</f>
        <v>430882.657305195</v>
      </c>
      <c r="P7" s="10" t="n">
        <f aca="false">Model!AS10+Model!AT10+Model!AU10</f>
        <v>341374.838311688</v>
      </c>
      <c r="Q7" s="10" t="n">
        <f aca="false">Model!AV10+Model!AW10+Model!AX10</f>
        <v>353550.162987013</v>
      </c>
      <c r="R7" s="10" t="n">
        <f aca="false">Model!AY10+Model!AZ10+Model!BA10</f>
        <v>390076.137012987</v>
      </c>
      <c r="S7" s="10" t="n">
        <f aca="false">Model!BB10+Model!BC10+Model!BD10</f>
        <v>421731.981168831</v>
      </c>
      <c r="T7" s="10" t="n">
        <f aca="false">Model!BE10+Model!BF10+Model!BG10</f>
        <v>443780.167099567</v>
      </c>
      <c r="U7" s="10" t="n">
        <f aca="false">Model!BH10+Model!BI10+Model!BJ10</f>
        <v>406655.844155844</v>
      </c>
      <c r="V7" s="10" t="n">
        <f aca="false">Model!BK10+Model!BL10+Model!BM10</f>
        <v>372564.935064935</v>
      </c>
      <c r="W7" s="10" t="n">
        <f aca="false">Model!BN10+Model!BO10+Model!BP10</f>
        <v>399350.649350649</v>
      </c>
      <c r="X7" s="10" t="n">
        <f aca="false">Model!BQ10+Model!BR10+Model!BS10</f>
        <v>379870.12987013</v>
      </c>
      <c r="Y7" s="10" t="n">
        <f aca="false">Model!BT10+Model!BU10+Model!BV10</f>
        <v>404220.779220779</v>
      </c>
      <c r="Z7" s="10" t="n">
        <f aca="false">Model!BW10+Model!BX10+Model!BY10</f>
        <v>379870.12987013</v>
      </c>
      <c r="AA7" s="10" t="n">
        <f aca="false">Model!BZ10+Model!CA10+Model!CB10</f>
        <v>404220.779220779</v>
      </c>
      <c r="AB7" s="10" t="n">
        <f aca="false">Model!CC10+Model!CD10+Model!CE10</f>
        <v>379870.12987013</v>
      </c>
      <c r="AC7" s="10" t="n">
        <f aca="false">Model!CF10+Model!CG10+Model!CH10</f>
        <v>387175.324675325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2454373.43431642</v>
      </c>
      <c r="H9" s="12" t="n">
        <f aca="false">Model!U12+Model!V12+Model!W12</f>
        <v>2493597.98215249</v>
      </c>
      <c r="I9" s="12" t="n">
        <f aca="false">Model!X12+Model!Y12+Model!Z12</f>
        <v>2643532.14080397</v>
      </c>
      <c r="J9" s="12" t="n">
        <f aca="false">Model!AA12+Model!AB12+Model!AC12</f>
        <v>3473128.01695629</v>
      </c>
      <c r="K9" s="12" t="n">
        <f aca="false">Model!AD12+Model!AE12+Model!AF12</f>
        <v>2948042.88007354</v>
      </c>
      <c r="L9" s="12" t="n">
        <f aca="false">Model!AG12+Model!AH12+Model!AI12</f>
        <v>3401980.30540949</v>
      </c>
      <c r="M9" s="12" t="n">
        <f aca="false">Model!AJ12+Model!AK12+Model!AL12</f>
        <v>2988076.58306298</v>
      </c>
      <c r="N9" s="12" t="n">
        <f aca="false">Model!AM12+Model!AN12+Model!AO12</f>
        <v>2597282.51382529</v>
      </c>
      <c r="O9" s="12" t="n">
        <f aca="false">Model!AP12+Model!AQ12+Model!AR12</f>
        <v>2956751.13047826</v>
      </c>
      <c r="P9" s="12" t="n">
        <f aca="false">Model!AS12+Model!AT12+Model!AU12</f>
        <v>2441152.50851956</v>
      </c>
      <c r="Q9" s="12" t="n">
        <f aca="false">Model!AV12+Model!AW12+Model!AX12</f>
        <v>2527058.36298909</v>
      </c>
      <c r="R9" s="12" t="n">
        <f aca="false">Model!AY12+Model!AZ12+Model!BA12</f>
        <v>2753338.28417676</v>
      </c>
      <c r="S9" s="12" t="n">
        <f aca="false">Model!BB12+Model!BC12+Model!BD12</f>
        <v>2909879.00847685</v>
      </c>
      <c r="T9" s="12" t="n">
        <f aca="false">Model!BE12+Model!BF12+Model!BG12</f>
        <v>3060304.89672364</v>
      </c>
      <c r="U9" s="12" t="n">
        <f aca="false">Model!BH12+Model!BI12+Model!BJ12</f>
        <v>2823102.73538961</v>
      </c>
      <c r="V9" s="12" t="n">
        <f aca="false">Model!BK12+Model!BL12+Model!BM12</f>
        <v>2619552.88636364</v>
      </c>
      <c r="W9" s="12" t="n">
        <f aca="false">Model!BN12+Model!BO12+Model!BP12</f>
        <v>2792145.4237013</v>
      </c>
      <c r="X9" s="12" t="n">
        <f aca="false">Model!BQ12+Model!BR12+Model!BS12</f>
        <v>2670019.0275974</v>
      </c>
      <c r="Y9" s="12" t="n">
        <f aca="false">Model!BT12+Model!BU12+Model!BV12</f>
        <v>2824044.20454545</v>
      </c>
      <c r="Z9" s="12" t="n">
        <f aca="false">Model!BW12+Model!BX12+Model!BY12</f>
        <v>2667256.51704545</v>
      </c>
      <c r="AA9" s="12" t="n">
        <f aca="false">Model!BZ12+Model!CA12+Model!CB12</f>
        <v>2818691.43262987</v>
      </c>
      <c r="AB9" s="12" t="n">
        <f aca="false">Model!CC12+Model!CD12+Model!CE12</f>
        <v>2666320.26136364</v>
      </c>
      <c r="AC9" s="12" t="n">
        <f aca="false">Model!CF12+Model!CG12+Model!CH12</f>
        <v>2721121.26866883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-219250</v>
      </c>
      <c r="C14" s="10" t="n">
        <f aca="false">Model!F18+Model!G18+Model!H18</f>
        <v>-219250</v>
      </c>
      <c r="D14" s="10" t="n">
        <f aca="false">Model!I18+Model!J18+Model!K18</f>
        <v>-219250</v>
      </c>
      <c r="E14" s="10" t="n">
        <f aca="false">Model!L18+Model!M18+Model!N18</f>
        <v>-219250</v>
      </c>
      <c r="F14" s="10" t="n">
        <f aca="false">Model!O18+Model!P18+Model!Q18</f>
        <v>-223635</v>
      </c>
      <c r="G14" s="10" t="n">
        <f aca="false">Model!R18+Model!S18+Model!T18</f>
        <v>-223635</v>
      </c>
      <c r="H14" s="10" t="n">
        <f aca="false">Model!U18+Model!V18+Model!W18</f>
        <v>-223635</v>
      </c>
      <c r="I14" s="10" t="n">
        <f aca="false">Model!X18+Model!Y18+Model!Z18</f>
        <v>-223635</v>
      </c>
      <c r="J14" s="10" t="n">
        <f aca="false">Model!AA18+Model!AB18+Model!AC18</f>
        <v>-228107.7</v>
      </c>
      <c r="K14" s="10" t="n">
        <f aca="false">Model!AD18+Model!AE18+Model!AF18</f>
        <v>-228107.7</v>
      </c>
      <c r="L14" s="10" t="n">
        <f aca="false">Model!AG18+Model!AH18+Model!AI18</f>
        <v>-228107.7</v>
      </c>
      <c r="M14" s="10" t="n">
        <f aca="false">Model!AJ18+Model!AK18+Model!AL18</f>
        <v>-228107.7</v>
      </c>
      <c r="N14" s="10" t="n">
        <f aca="false">Model!AM18+Model!AN18+Model!AO18</f>
        <v>-232669.854</v>
      </c>
      <c r="O14" s="10" t="n">
        <f aca="false">Model!AP18+Model!AQ18+Model!AR18</f>
        <v>-232669.854</v>
      </c>
      <c r="P14" s="10" t="n">
        <f aca="false">Model!AS18+Model!AT18+Model!AU18</f>
        <v>-232669.854</v>
      </c>
      <c r="Q14" s="10" t="n">
        <f aca="false">Model!AV18+Model!AW18+Model!AX18</f>
        <v>-232669.854</v>
      </c>
      <c r="R14" s="10" t="n">
        <f aca="false">Model!AY18+Model!AZ18+Model!BA18</f>
        <v>-237323.25108</v>
      </c>
      <c r="S14" s="10" t="n">
        <f aca="false">Model!BB18+Model!BC18+Model!BD18</f>
        <v>-237323.25108</v>
      </c>
      <c r="T14" s="10" t="n">
        <f aca="false">Model!BE18+Model!BF18+Model!BG18</f>
        <v>-237323.25108</v>
      </c>
      <c r="U14" s="10" t="n">
        <f aca="false">Model!BH18+Model!BI18+Model!BJ18</f>
        <v>-237323.25108</v>
      </c>
      <c r="V14" s="10" t="n">
        <f aca="false">Model!BK18+Model!BL18+Model!BM18</f>
        <v>-242069.7161016</v>
      </c>
      <c r="W14" s="10" t="n">
        <f aca="false">Model!BN18+Model!BO18+Model!BP18</f>
        <v>-242069.7161016</v>
      </c>
      <c r="X14" s="10" t="n">
        <f aca="false">Model!BQ18+Model!BR18+Model!BS18</f>
        <v>-242069.7161016</v>
      </c>
      <c r="Y14" s="10" t="n">
        <f aca="false">Model!BT18+Model!BU18+Model!BV18</f>
        <v>-242069.7161016</v>
      </c>
      <c r="Z14" s="10" t="n">
        <f aca="false">Model!BW18+Model!BX18+Model!BY18</f>
        <v>-246911.110423632</v>
      </c>
      <c r="AA14" s="10" t="n">
        <f aca="false">Model!BZ18+Model!CA18+Model!CB18</f>
        <v>-246911.110423632</v>
      </c>
      <c r="AB14" s="10" t="n">
        <f aca="false">Model!CC18+Model!CD18+Model!CE18</f>
        <v>-246911.110423632</v>
      </c>
      <c r="AC14" s="10" t="n">
        <f aca="false">Model!CF18+Model!CG18+Model!CH18</f>
        <v>-246911.110423632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-1105688.595</v>
      </c>
      <c r="C15" s="12" t="n">
        <f aca="false">Model!F39+Model!G39+Model!H39</f>
        <v>-1535786.3602</v>
      </c>
      <c r="D15" s="12" t="n">
        <f aca="false">Model!I39+Model!J39+Model!K39</f>
        <v>-1593251.889</v>
      </c>
      <c r="E15" s="12" t="n">
        <f aca="false">Model!L39+Model!M39+Model!N39</f>
        <v>-1247819.845</v>
      </c>
      <c r="F15" s="12" t="n">
        <f aca="false">Model!O39+Model!P39+Model!Q39</f>
        <v>-2727911.8069</v>
      </c>
      <c r="G15" s="12" t="n">
        <f aca="false">Model!R39+Model!S39+Model!T39</f>
        <v>-1256741.7819</v>
      </c>
      <c r="H15" s="12" t="n">
        <f aca="false">Model!U39+Model!V39+Model!W39</f>
        <v>-1226741.7819</v>
      </c>
      <c r="I15" s="12" t="n">
        <f aca="false">Model!X39+Model!Y39+Model!Z39</f>
        <v>-1256741.7819</v>
      </c>
      <c r="J15" s="12" t="n">
        <f aca="false">Model!AA39+Model!AB39+Model!AC39</f>
        <v>-2609867.697538</v>
      </c>
      <c r="K15" s="12" t="n">
        <f aca="false">Model!AD39+Model!AE39+Model!AF39</f>
        <v>-1271842.157538</v>
      </c>
      <c r="L15" s="12" t="n">
        <f aca="false">Model!AG39+Model!AH39+Model!AI39</f>
        <v>-1307842.157538</v>
      </c>
      <c r="M15" s="12" t="n">
        <f aca="false">Model!AJ39+Model!AK39+Model!AL39</f>
        <v>-1265842.157538</v>
      </c>
      <c r="N15" s="12" t="n">
        <f aca="false">Model!AM39+Model!AN39+Model!AO39</f>
        <v>-1257124.54068876</v>
      </c>
      <c r="O15" s="12" t="n">
        <f aca="false">Model!AP39+Model!AQ39+Model!AR39</f>
        <v>-1275124.54068876</v>
      </c>
      <c r="P15" s="12" t="n">
        <f aca="false">Model!AS39+Model!AT39+Model!AU39</f>
        <v>-1311124.54068876</v>
      </c>
      <c r="Q15" s="12" t="n">
        <f aca="false">Model!AV39+Model!AW39+Model!AX39</f>
        <v>-1275124.54068876</v>
      </c>
      <c r="R15" s="12" t="n">
        <f aca="false">Model!AY39+Model!AZ39+Model!BA39</f>
        <v>-1278592.57150254</v>
      </c>
      <c r="S15" s="12" t="n">
        <f aca="false">Model!BB39+Model!BC39+Model!BD39</f>
        <v>-1290592.57150254</v>
      </c>
      <c r="T15" s="12" t="n">
        <f aca="false">Model!BE39+Model!BF39+Model!BG39</f>
        <v>-1314592.57150254</v>
      </c>
      <c r="U15" s="12" t="n">
        <f aca="false">Model!BH39+Model!BI39+Model!BJ39</f>
        <v>-1290592.57150254</v>
      </c>
      <c r="V15" s="12" t="n">
        <f aca="false">Model!BK39+Model!BL39+Model!BM39</f>
        <v>-1282249.96293259</v>
      </c>
      <c r="W15" s="12" t="n">
        <f aca="false">Model!BN39+Model!BO39+Model!BP39</f>
        <v>-1300249.96293259</v>
      </c>
      <c r="X15" s="12" t="n">
        <f aca="false">Model!BQ39+Model!BR39+Model!BS39</f>
        <v>-1324249.96293259</v>
      </c>
      <c r="Y15" s="12" t="n">
        <f aca="false">Model!BT39+Model!BU39+Model!BV39</f>
        <v>-1300249.96293259</v>
      </c>
      <c r="Z15" s="12" t="n">
        <f aca="false">Model!BW39+Model!BX39+Model!BY39</f>
        <v>-1292100.50219124</v>
      </c>
      <c r="AA15" s="12" t="n">
        <f aca="false">Model!BZ39+Model!CA39+Model!CB39</f>
        <v>-1274100.50219124</v>
      </c>
      <c r="AB15" s="12" t="n">
        <f aca="false">Model!CC39+Model!CD39+Model!CE39</f>
        <v>-1274100.50219124</v>
      </c>
      <c r="AC15" s="12" t="n">
        <f aca="false">Model!CF39+Model!CG39+Model!CH39</f>
        <v>-1274100.50219124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107361.869929803</v>
      </c>
      <c r="C16" s="16" t="n">
        <f aca="false">Model!F41+Model!G41+Model!H41</f>
        <v>769328.542630695</v>
      </c>
      <c r="D16" s="16" t="n">
        <f aca="false">Model!I41+Model!J41+Model!K41</f>
        <v>1332938.28254981</v>
      </c>
      <c r="E16" s="16" t="n">
        <f aca="false">Model!L41+Model!M41+Model!N41</f>
        <v>951645.411376845</v>
      </c>
      <c r="F16" s="16" t="n">
        <f aca="false">Model!O41+Model!P41+Model!Q41</f>
        <v>695706.25700745</v>
      </c>
      <c r="G16" s="16" t="n">
        <f aca="false">Model!R41+Model!S41+Model!T41</f>
        <v>1197631.65241642</v>
      </c>
      <c r="H16" s="16" t="n">
        <f aca="false">Model!U41+Model!V41+Model!W41</f>
        <v>1266856.20025249</v>
      </c>
      <c r="I16" s="16" t="n">
        <f aca="false">Model!X41+Model!Y41+Model!Z41</f>
        <v>1386790.35890397</v>
      </c>
      <c r="J16" s="16" t="n">
        <f aca="false">Model!AA41+Model!AB41+Model!AC41</f>
        <v>863260.31941829</v>
      </c>
      <c r="K16" s="16" t="n">
        <f aca="false">Model!AD41+Model!AE41+Model!AF41</f>
        <v>1676200.72253554</v>
      </c>
      <c r="L16" s="16" t="n">
        <f aca="false">Model!AG41+Model!AH41+Model!AI41</f>
        <v>2094138.14787149</v>
      </c>
      <c r="M16" s="16" t="n">
        <f aca="false">Model!AJ41+Model!AK41+Model!AL41</f>
        <v>1722234.42552498</v>
      </c>
      <c r="N16" s="16" t="n">
        <f aca="false">Model!AM41+Model!AN41+Model!AO41</f>
        <v>1340157.97313653</v>
      </c>
      <c r="O16" s="16" t="n">
        <f aca="false">Model!AP41+Model!AQ41+Model!AR41</f>
        <v>1681626.5897895</v>
      </c>
      <c r="P16" s="16" t="n">
        <f aca="false">Model!AS41+Model!AT41+Model!AU41</f>
        <v>1130027.9678308</v>
      </c>
      <c r="Q16" s="16" t="n">
        <f aca="false">Model!AV41+Model!AW41+Model!AX41</f>
        <v>1251933.82230033</v>
      </c>
      <c r="R16" s="16" t="n">
        <f aca="false">Model!AY41+Model!AZ41+Model!BA41</f>
        <v>1474745.71267422</v>
      </c>
      <c r="S16" s="16" t="n">
        <f aca="false">Model!BB41+Model!BC41+Model!BD41</f>
        <v>1619286.43697432</v>
      </c>
      <c r="T16" s="16" t="n">
        <f aca="false">Model!BE41+Model!BF41+Model!BG41</f>
        <v>1745712.3252211</v>
      </c>
      <c r="U16" s="16" t="n">
        <f aca="false">Model!BH41+Model!BI41+Model!BJ41</f>
        <v>1532510.16388707</v>
      </c>
      <c r="V16" s="16" t="n">
        <f aca="false">Model!BK41+Model!BL41+Model!BM41</f>
        <v>1337302.92343105</v>
      </c>
      <c r="W16" s="16" t="n">
        <f aca="false">Model!BN41+Model!BO41+Model!BP41</f>
        <v>1491895.46076871</v>
      </c>
      <c r="X16" s="16" t="n">
        <f aca="false">Model!BQ41+Model!BR41+Model!BS41</f>
        <v>1345769.06466482</v>
      </c>
      <c r="Y16" s="16" t="n">
        <f aca="false">Model!BT41+Model!BU41+Model!BV41</f>
        <v>1523794.24161287</v>
      </c>
      <c r="Z16" s="16" t="n">
        <f aca="false">Model!BW41+Model!BX41+Model!BY41</f>
        <v>1375156.01485422</v>
      </c>
      <c r="AA16" s="16" t="n">
        <f aca="false">Model!BZ41+Model!CA41+Model!CB41</f>
        <v>1544590.93043863</v>
      </c>
      <c r="AB16" s="16" t="n">
        <f aca="false">Model!CC41+Model!CD41+Model!CE41</f>
        <v>1392219.7591724</v>
      </c>
      <c r="AC16" s="16" t="n">
        <f aca="false">Model!CF41+Model!CG41+Model!CH41</f>
        <v>1447020.76647759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0.0885056912582904</v>
      </c>
      <c r="C17" s="17" t="n">
        <f aca="false">IF((Model!F12+Model!G12+Model!H12)&lt;&gt;0,(Model!F41+Model!G41+Model!H41)/(Model!F12+Model!G12+Model!H12),0)</f>
        <v>0.333748457261699</v>
      </c>
      <c r="D17" s="17" t="n">
        <f aca="false">IF((Model!I12+Model!J12+Model!K12)&lt;&gt;0,(Model!I41+Model!J41+Model!K41)/(Model!I12+Model!J12+Model!K12),0)</f>
        <v>0.455520046341977</v>
      </c>
      <c r="E17" s="17" t="n">
        <f aca="false">IF((Model!L12+Model!M12+Model!N12)&lt;&gt;0,(Model!L41+Model!M41+Model!N41)/(Model!L12+Model!M12+Model!N12),0)</f>
        <v>0.432671263443588</v>
      </c>
      <c r="F17" s="17" t="n">
        <f aca="false">IF((Model!O12+Model!P12+Model!Q12)&lt;&gt;0,(Model!O41+Model!P41+Model!Q41)/(Model!O12+Model!P12+Model!Q12),0)</f>
        <v>0.203207905794674</v>
      </c>
      <c r="G17" s="17" t="n">
        <f aca="false">IF((Model!R12+Model!S12+Model!T12)&lt;&gt;0,(Model!R41+Model!S41+Model!T41)/(Model!R12+Model!S12+Model!T12),0)</f>
        <v>0.487958203780826</v>
      </c>
      <c r="H17" s="17" t="n">
        <f aca="false">IF((Model!U12+Model!V12+Model!W12)&lt;&gt;0,(Model!U41+Model!V41+Model!W41)/(Model!U12+Model!V12+Model!W12),0)</f>
        <v>0.508043481475283</v>
      </c>
      <c r="I17" s="17" t="n">
        <f aca="false">IF((Model!X12+Model!Y12+Model!Z12)&lt;&gt;0,(Model!X41+Model!Y41+Model!Z41)/(Model!X12+Model!Y12+Model!Z12),0)</f>
        <v>0.524597502522595</v>
      </c>
      <c r="J17" s="17" t="n">
        <f aca="false">IF((Model!AA12+Model!AB12+Model!AC12)&lt;&gt;0,(Model!AA41+Model!AB41+Model!AC41)/(Model!AA12+Model!AB12+Model!AC12),0)</f>
        <v>0.248554131953597</v>
      </c>
      <c r="K17" s="17" t="n">
        <f aca="false">IF((Model!AD12+Model!AE12+Model!AF12)&lt;&gt;0,(Model!AD41+Model!AE41+Model!AF41)/(Model!AD12+Model!AE12+Model!AF12),0)</f>
        <v>0.568580848625149</v>
      </c>
      <c r="L17" s="17" t="n">
        <f aca="false">IF((Model!AG12+Model!AH12+Model!AI12)&lt;&gt;0,(Model!AG41+Model!AH41+Model!AI41)/(Model!AG12+Model!AH12+Model!AI12),0)</f>
        <v>0.615564453604155</v>
      </c>
      <c r="M17" s="17" t="n">
        <f aca="false">IF((Model!AJ12+Model!AK12+Model!AL12)&lt;&gt;0,(Model!AJ41+Model!AK41+Model!AL41)/(Model!AJ12+Model!AK12+Model!AL12),0)</f>
        <v>0.57636890409267</v>
      </c>
      <c r="N17" s="17" t="n">
        <f aca="false">IF((Model!AM12+Model!AN12+Model!AO12)&lt;&gt;0,(Model!AM41+Model!AN41+Model!AO41)/(Model!AM12+Model!AN12+Model!AO12),0)</f>
        <v>0.515984674752512</v>
      </c>
      <c r="O17" s="17" t="n">
        <f aca="false">IF((Model!AP12+Model!AQ12+Model!AR12)&lt;&gt;0,(Model!AP41+Model!AQ41+Model!AR41)/(Model!AP12+Model!AQ12+Model!AR12),0)</f>
        <v>0.568741336548502</v>
      </c>
      <c r="P17" s="17" t="n">
        <f aca="false">IF((Model!AS12+Model!AT12+Model!AU12)&lt;&gt;0,(Model!AS41+Model!AT41+Model!AU41)/(Model!AS12+Model!AT12+Model!AU12),0)</f>
        <v>0.462907566768989</v>
      </c>
      <c r="Q17" s="17" t="n">
        <f aca="false">IF((Model!AV12+Model!AW12+Model!AX12)&lt;&gt;0,(Model!AV41+Model!AW41+Model!AX41)/(Model!AV12+Model!AW12+Model!AX12),0)</f>
        <v>0.495411519035714</v>
      </c>
      <c r="R17" s="17" t="n">
        <f aca="false">IF((Model!AY12+Model!AZ12+Model!BA12)&lt;&gt;0,(Model!AY41+Model!AZ41+Model!BA41)/(Model!AY12+Model!AZ12+Model!BA12),0)</f>
        <v>0.535620966428093</v>
      </c>
      <c r="S17" s="17" t="n">
        <f aca="false">IF((Model!BB12+Model!BC12+Model!BD12)&lt;&gt;0,(Model!BB41+Model!BC41+Model!BD41)/(Model!BB12+Model!BC12+Model!BD12),0)</f>
        <v>0.556478957460817</v>
      </c>
      <c r="T17" s="17" t="n">
        <f aca="false">IF((Model!BE12+Model!BF12+Model!BG12)&lt;&gt;0,(Model!BE41+Model!BF41+Model!BG41)/(Model!BE12+Model!BF12+Model!BG12),0)</f>
        <v>0.570437385859841</v>
      </c>
      <c r="U17" s="17" t="n">
        <f aca="false">IF((Model!BH12+Model!BI12+Model!BJ12)&lt;&gt;0,(Model!BH41+Model!BI41+Model!BJ41)/(Model!BH12+Model!BI12+Model!BJ12),0)</f>
        <v>0.542846048312718</v>
      </c>
      <c r="V17" s="17" t="n">
        <f aca="false">IF((Model!BK12+Model!BL12+Model!BM12)&lt;&gt;0,(Model!BK41+Model!BL41+Model!BM41)/(Model!BK12+Model!BL12+Model!BM12),0)</f>
        <v>0.510508083418558</v>
      </c>
      <c r="W17" s="17" t="n">
        <f aca="false">IF((Model!BN12+Model!BO12+Model!BP12)&lt;&gt;0,(Model!BN41+Model!BO41+Model!BP41)/(Model!BN12+Model!BO12+Model!BP12),0)</f>
        <v>0.534318681292409</v>
      </c>
      <c r="X17" s="17" t="n">
        <f aca="false">IF((Model!BQ12+Model!BR12+Model!BS12)&lt;&gt;0,(Model!BQ41+Model!BR41+Model!BS41)/(Model!BQ12+Model!BR12+Model!BS12),0)</f>
        <v>0.504029765613992</v>
      </c>
      <c r="Y17" s="17" t="n">
        <f aca="false">IF((Model!BT12+Model!BU12+Model!BV12)&lt;&gt;0,(Model!BT41+Model!BU41+Model!BV41)/(Model!BT12+Model!BU12+Model!BV12),0)</f>
        <v>0.539578749921916</v>
      </c>
      <c r="Z17" s="17" t="n">
        <f aca="false">IF((Model!BW12+Model!BX12+Model!BY12)&lt;&gt;0,(Model!BW41+Model!BX41+Model!BY41)/(Model!BW12+Model!BX12+Model!BY12),0)</f>
        <v>0.515569464753803</v>
      </c>
      <c r="AA17" s="17" t="n">
        <f aca="false">IF((Model!BZ12+Model!CA12+Model!CB12)&lt;&gt;0,(Model!BZ41+Model!CA41+Model!CB41)/(Model!BZ12+Model!CA12+Model!CB12),0)</f>
        <v>0.547981560719299</v>
      </c>
      <c r="AB17" s="17" t="n">
        <f aca="false">IF((Model!CC12+Model!CD12+Model!CE12)&lt;&gt;0,(Model!CC41+Model!CD41+Model!CE41)/(Model!CC12+Model!CD12+Model!CE12),0)</f>
        <v>0.522150238043938</v>
      </c>
      <c r="AC17" s="17" t="n">
        <f aca="false">IF((Model!CF12+Model!CG12+Model!CH12)&lt;&gt;0,(Model!CF41+Model!CG41+Model!CH41)/(Model!CF12+Model!CG12+Model!CH12),0)</f>
        <v>0.531773715173479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100218.75</v>
      </c>
      <c r="F19" s="19" t="n">
        <f aca="false">Model!O64+Model!P64+Model!Q64</f>
        <v>100218.75</v>
      </c>
      <c r="G19" s="19" t="n">
        <f aca="false">Model!R64+Model!S64+Model!T64</f>
        <v>28500</v>
      </c>
      <c r="H19" s="19" t="n">
        <f aca="false">Model!U64+Model!V64+Model!W64</f>
        <v>85875</v>
      </c>
      <c r="I19" s="19" t="n">
        <f aca="false">Model!X64+Model!Y64+Model!Z64</f>
        <v>85875</v>
      </c>
      <c r="J19" s="19" t="n">
        <f aca="false">Model!AA64+Model!AB64+Model!AC64</f>
        <v>85875</v>
      </c>
      <c r="K19" s="19" t="n">
        <f aca="false">Model!AD64+Model!AE64+Model!AF64</f>
        <v>28500</v>
      </c>
      <c r="L19" s="19" t="n">
        <f aca="false">Model!AG64+Model!AH64+Model!AI64</f>
        <v>0</v>
      </c>
      <c r="M19" s="19" t="n">
        <f aca="false">Model!AJ64+Model!AK64+Model!AL64</f>
        <v>0</v>
      </c>
      <c r="N19" s="19" t="n">
        <f aca="false">Model!AM64+Model!AN64+Model!AO64</f>
        <v>0</v>
      </c>
      <c r="O19" s="19" t="n">
        <f aca="false">Model!AP64+Model!AQ64+Model!AR64</f>
        <v>81683</v>
      </c>
      <c r="P19" s="19" t="n">
        <f aca="false">Model!AS64+Model!AT64+Model!AU64</f>
        <v>81682</v>
      </c>
      <c r="Q19" s="19" t="n">
        <f aca="false">Model!AV64+Model!AW64+Model!AX64</f>
        <v>81682</v>
      </c>
      <c r="R19" s="19" t="n">
        <f aca="false">Model!AY64+Model!AZ64+Model!BA64</f>
        <v>933521</v>
      </c>
      <c r="S19" s="19" t="n">
        <f aca="false">Model!BB64+Model!BC64+Model!BD64</f>
        <v>130878</v>
      </c>
      <c r="T19" s="19" t="n">
        <f aca="false">Model!BE64+Model!BF64+Model!BG64</f>
        <v>130876</v>
      </c>
      <c r="U19" s="19" t="n">
        <f aca="false">Model!BH64+Model!BI64+Model!BJ64</f>
        <v>130876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-294943.75</v>
      </c>
      <c r="C20" s="10" t="n">
        <f aca="false">Model!F85+Model!G85+Model!H85</f>
        <v>-317943.75</v>
      </c>
      <c r="D20" s="10" t="n">
        <f aca="false">Model!I85+Model!J85+Model!K85</f>
        <v>-315943.75</v>
      </c>
      <c r="E20" s="10" t="n">
        <f aca="false">Model!L85+Model!M85+Model!N85</f>
        <v>-294943.75</v>
      </c>
      <c r="F20" s="10" t="n">
        <f aca="false">Model!O85+Model!P85+Model!Q85</f>
        <v>-300842.625</v>
      </c>
      <c r="G20" s="10" t="n">
        <f aca="false">Model!R85+Model!S85+Model!T85</f>
        <v>-324302.625</v>
      </c>
      <c r="H20" s="10" t="n">
        <f aca="false">Model!U85+Model!V85+Model!W85</f>
        <v>-322262.625</v>
      </c>
      <c r="I20" s="10" t="n">
        <f aca="false">Model!X85+Model!Y85+Model!Z85</f>
        <v>-300842.625</v>
      </c>
      <c r="J20" s="10" t="n">
        <f aca="false">Model!AA85+Model!AB85+Model!AC85</f>
        <v>-306859.4775</v>
      </c>
      <c r="K20" s="10" t="n">
        <f aca="false">Model!AD85+Model!AE85+Model!AF85</f>
        <v>-330788.6775</v>
      </c>
      <c r="L20" s="10" t="n">
        <f aca="false">Model!AG85+Model!AH85+Model!AI85</f>
        <v>-328707.8775</v>
      </c>
      <c r="M20" s="10" t="n">
        <f aca="false">Model!AJ85+Model!AK85+Model!AL85</f>
        <v>-306859.4775</v>
      </c>
      <c r="N20" s="10" t="n">
        <f aca="false">Model!AM85+Model!AN85+Model!AO85</f>
        <v>-312996.66705</v>
      </c>
      <c r="O20" s="10" t="n">
        <f aca="false">Model!AP85+Model!AQ85+Model!AR85</f>
        <v>-419087.45105</v>
      </c>
      <c r="P20" s="10" t="n">
        <f aca="false">Model!AS85+Model!AT85+Model!AU85</f>
        <v>-416964.03505</v>
      </c>
      <c r="Q20" s="10" t="n">
        <f aca="false">Model!AV85+Model!AW85+Model!AX85</f>
        <v>-394678.66705</v>
      </c>
      <c r="R20" s="10" t="n">
        <f aca="false">Model!AY85+Model!AZ85+Model!BA85</f>
        <v>-1252777.600391</v>
      </c>
      <c r="S20" s="10" t="n">
        <f aca="false">Model!BB85+Model!BC85+Model!BD85</f>
        <v>-475030.540071</v>
      </c>
      <c r="T20" s="10" t="n">
        <f aca="false">Model!BE85+Model!BF85+Model!BG85</f>
        <v>-472863.675751</v>
      </c>
      <c r="U20" s="10" t="n">
        <f aca="false">Model!BH85+Model!BI85+Model!BJ85</f>
        <v>-450132.600391</v>
      </c>
      <c r="V20" s="10" t="n">
        <f aca="false">Model!BK85+Model!BL85+Model!BM85</f>
        <v>-456517.73239882</v>
      </c>
      <c r="W20" s="10" t="n">
        <f aca="false">Model!BN85+Model!BO85+Model!BP85</f>
        <v>-441928.07087242</v>
      </c>
      <c r="X20" s="10" t="n">
        <f aca="false">Model!BQ85+Model!BR85+Model!BS85</f>
        <v>-423467.42926602</v>
      </c>
      <c r="Y20" s="10" t="n">
        <f aca="false">Model!BT85+Model!BU85+Model!BV85</f>
        <v>-400281.73239882</v>
      </c>
      <c r="Z20" s="10" t="n">
        <f aca="false">Model!BW85+Model!BX85+Model!BY85</f>
        <v>-479950.567046796</v>
      </c>
      <c r="AA20" s="10" t="n">
        <f aca="false">Model!BZ85+Model!CA85+Model!CB85</f>
        <v>-512574.302689869</v>
      </c>
      <c r="AB20" s="10" t="n">
        <f aca="false">Model!CC85+Model!CD85+Model!CE85</f>
        <v>-510320.977851341</v>
      </c>
      <c r="AC20" s="10" t="n">
        <f aca="false">Model!CF85+Model!CG85+Model!CH85</f>
        <v>-480063.540440317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-164100.01</v>
      </c>
      <c r="C21" s="16" t="n">
        <f aca="false">Model!F87+Model!G87+Model!H87</f>
        <v>-187933.34</v>
      </c>
      <c r="D21" s="16" t="n">
        <f aca="false">Model!I87+Model!J87+Model!K87</f>
        <v>-206350</v>
      </c>
      <c r="E21" s="16" t="n">
        <f aca="false">Model!L87+Model!M87+Model!N87</f>
        <v>-194725</v>
      </c>
      <c r="F21" s="16" t="n">
        <f aca="false">Model!O87+Model!P87+Model!Q87</f>
        <v>-200623.875</v>
      </c>
      <c r="G21" s="16" t="n">
        <f aca="false">Model!R87+Model!S87+Model!T87</f>
        <v>-295802.625</v>
      </c>
      <c r="H21" s="16" t="n">
        <f aca="false">Model!U87+Model!V87+Model!W87</f>
        <v>-236387.625</v>
      </c>
      <c r="I21" s="16" t="n">
        <f aca="false">Model!X87+Model!Y87+Model!Z87</f>
        <v>-214967.625</v>
      </c>
      <c r="J21" s="16" t="n">
        <f aca="false">Model!AA87+Model!AB87+Model!AC87</f>
        <v>-220984.4775</v>
      </c>
      <c r="K21" s="16" t="n">
        <f aca="false">Model!AD87+Model!AE87+Model!AF87</f>
        <v>-302288.6775</v>
      </c>
      <c r="L21" s="16" t="n">
        <f aca="false">Model!AG87+Model!AH87+Model!AI87</f>
        <v>-328707.8775</v>
      </c>
      <c r="M21" s="16" t="n">
        <f aca="false">Model!AJ87+Model!AK87+Model!AL87</f>
        <v>-306859.4775</v>
      </c>
      <c r="N21" s="16" t="n">
        <f aca="false">Model!AM87+Model!AN87+Model!AO87</f>
        <v>-312996.66705</v>
      </c>
      <c r="O21" s="16" t="n">
        <f aca="false">Model!AP87+Model!AQ87+Model!AR87</f>
        <v>-337404.45105</v>
      </c>
      <c r="P21" s="16" t="n">
        <f aca="false">Model!AS87+Model!AT87+Model!AU87</f>
        <v>-335282.03505</v>
      </c>
      <c r="Q21" s="16" t="n">
        <f aca="false">Model!AV87+Model!AW87+Model!AX87</f>
        <v>-312996.66705</v>
      </c>
      <c r="R21" s="16" t="n">
        <f aca="false">Model!AY87+Model!AZ87+Model!BA87</f>
        <v>-319256.600391</v>
      </c>
      <c r="S21" s="16" t="n">
        <f aca="false">Model!BB87+Model!BC87+Model!BD87</f>
        <v>-344152.540071</v>
      </c>
      <c r="T21" s="16" t="n">
        <f aca="false">Model!BE87+Model!BF87+Model!BG87</f>
        <v>-341987.675751</v>
      </c>
      <c r="U21" s="16" t="n">
        <f aca="false">Model!BH87+Model!BI87+Model!BJ87</f>
        <v>-319256.600391</v>
      </c>
      <c r="V21" s="16" t="n">
        <f aca="false">Model!BK87+Model!BL87+Model!BM87</f>
        <v>-325641.73239882</v>
      </c>
      <c r="W21" s="16" t="n">
        <f aca="false">Model!BN87+Model!BO87+Model!BP87</f>
        <v>-299522.07087242</v>
      </c>
      <c r="X21" s="16" t="n">
        <f aca="false">Model!BQ87+Model!BR87+Model!BS87</f>
        <v>-281065.42926602</v>
      </c>
      <c r="Y21" s="16" t="n">
        <f aca="false">Model!BT87+Model!BU87+Model!BV87</f>
        <v>-257879.73239882</v>
      </c>
      <c r="Z21" s="16" t="n">
        <f aca="false">Model!BW87+Model!BX87+Model!BY87</f>
        <v>-264392.567046796</v>
      </c>
      <c r="AA21" s="16" t="n">
        <f aca="false">Model!BZ87+Model!CA87+Model!CB87</f>
        <v>-281557.302689869</v>
      </c>
      <c r="AB21" s="16" t="n">
        <f aca="false">Model!CC87+Model!CD87+Model!CE87</f>
        <v>-279304.977851341</v>
      </c>
      <c r="AC21" s="16" t="n">
        <f aca="false">Model!CF87+Model!CG87+Model!CH87</f>
        <v>-249047.540440317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-56738.1400701973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756920.411376845</v>
      </c>
      <c r="F23" s="16" t="n">
        <f aca="false">Model!O96+Model!P96+Model!Q96</f>
        <v>495082.38200745</v>
      </c>
      <c r="G23" s="16" t="n">
        <f aca="false">Model!R96+Model!S96+Model!T96</f>
        <v>901829.027416415</v>
      </c>
      <c r="H23" s="16" t="n">
        <f aca="false">Model!U96+Model!V96+Model!W96</f>
        <v>1030468.57525249</v>
      </c>
      <c r="I23" s="16" t="n">
        <f aca="false">Model!X96+Model!Y96+Model!Z96</f>
        <v>1171822.73390397</v>
      </c>
      <c r="J23" s="16" t="n">
        <f aca="false">Model!AA96+Model!AB96+Model!AC96</f>
        <v>642275.841918289</v>
      </c>
      <c r="K23" s="16" t="n">
        <f aca="false">Model!AD96+Model!AE96+Model!AF96</f>
        <v>1373912.04503554</v>
      </c>
      <c r="L23" s="16" t="n">
        <f aca="false">Model!AG96+Model!AH96+Model!AI96</f>
        <v>1765430.27037149</v>
      </c>
      <c r="M23" s="16" t="n">
        <f aca="false">Model!AJ96+Model!AK96+Model!AL96</f>
        <v>1415374.94802498</v>
      </c>
      <c r="N23" s="16" t="n">
        <f aca="false">Model!AM96+Model!AN96+Model!AO96</f>
        <v>1027161.30608653</v>
      </c>
      <c r="O23" s="16" t="n">
        <f aca="false">Model!AP96+Model!AQ96+Model!AR96</f>
        <v>1344222.1387395</v>
      </c>
      <c r="P23" s="16" t="n">
        <f aca="false">Model!AS96+Model!AT96+Model!AU96</f>
        <v>794745.932780805</v>
      </c>
      <c r="Q23" s="16" t="n">
        <f aca="false">Model!AV96+Model!AW96+Model!AX96</f>
        <v>938937.155250331</v>
      </c>
      <c r="R23" s="16" t="n">
        <f aca="false">Model!AY96+Model!AZ96+Model!BA96</f>
        <v>1155489.11228322</v>
      </c>
      <c r="S23" s="16" t="n">
        <f aca="false">Model!BB96+Model!BC96+Model!BD96</f>
        <v>1275133.89690332</v>
      </c>
      <c r="T23" s="16" t="n">
        <f aca="false">Model!BE96+Model!BF96+Model!BG96</f>
        <v>1403724.6494701</v>
      </c>
      <c r="U23" s="16" t="n">
        <f aca="false">Model!BH96+Model!BI96+Model!BJ96</f>
        <v>1213253.56349607</v>
      </c>
      <c r="V23" s="16" t="n">
        <f aca="false">Model!BK96+Model!BL96+Model!BM96</f>
        <v>1011661.19103223</v>
      </c>
      <c r="W23" s="16" t="n">
        <f aca="false">Model!BN96+Model!BO96+Model!BP96</f>
        <v>1192373.38989629</v>
      </c>
      <c r="X23" s="16" t="n">
        <f aca="false">Model!BQ96+Model!BR96+Model!BS96</f>
        <v>1064703.6353988</v>
      </c>
      <c r="Y23" s="16" t="n">
        <f aca="false">Model!BT96+Model!BU96+Model!BV96</f>
        <v>1265914.50921405</v>
      </c>
      <c r="Z23" s="16" t="n">
        <f aca="false">Model!BW96+Model!BX96+Model!BY96</f>
        <v>1110763.44780742</v>
      </c>
      <c r="AA23" s="16" t="n">
        <f aca="false">Model!BZ96+Model!CA96+Model!CB96</f>
        <v>1263033.62774876</v>
      </c>
      <c r="AB23" s="16" t="n">
        <f aca="false">Model!CC96+Model!CD96+Model!CE96</f>
        <v>1112914.78132106</v>
      </c>
      <c r="AC23" s="16" t="n">
        <f aca="false">Model!CF96+Model!CG96+Model!CH96</f>
        <v>1197973.22603728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-250000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0</v>
      </c>
      <c r="R36" s="10" t="n">
        <f aca="false">Model!BA108</f>
        <v>0</v>
      </c>
      <c r="S36" s="10" t="n">
        <f aca="false">Model!BD108</f>
        <v>0</v>
      </c>
      <c r="T36" s="10" t="n">
        <f aca="false">Model!BG108</f>
        <v>0</v>
      </c>
      <c r="U36" s="10" t="n">
        <f aca="false">Model!BJ108</f>
        <v>0</v>
      </c>
      <c r="V36" s="10" t="n">
        <f aca="false">Model!BM108</f>
        <v>0</v>
      </c>
      <c r="W36" s="10" t="n">
        <f aca="false">Model!BP108</f>
        <v>0</v>
      </c>
      <c r="X36" s="10" t="n">
        <f aca="false">Model!BS108</f>
        <v>0</v>
      </c>
      <c r="Y36" s="10" t="n">
        <f aca="false">Model!BV108</f>
        <v>0</v>
      </c>
      <c r="Z36" s="10" t="n">
        <f aca="false">Model!BY108</f>
        <v>0</v>
      </c>
      <c r="AA36" s="10" t="n">
        <f aca="false">Model!CB108</f>
        <v>0</v>
      </c>
      <c r="AB36" s="10" t="n">
        <f aca="false">Model!CE108</f>
        <v>0</v>
      </c>
      <c r="AC36" s="10" t="n">
        <f aca="false">Model!CH108</f>
        <v>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1759277.5599298</v>
      </c>
      <c r="C42" s="21" t="n">
        <f aca="false">Model!H148</f>
        <v>2528606.1025605</v>
      </c>
      <c r="D42" s="21" t="n">
        <f aca="false">Model!K148</f>
        <v>3861544.3851103</v>
      </c>
      <c r="E42" s="21" t="n">
        <f aca="false">Model!N148</f>
        <v>4813189.79648715</v>
      </c>
      <c r="F42" s="21" t="n">
        <f aca="false">Model!Q148</f>
        <v>5508896.0534946</v>
      </c>
      <c r="G42" s="21" t="n">
        <f aca="false">Model!T148</f>
        <v>6706527.70591101</v>
      </c>
      <c r="H42" s="21" t="n">
        <f aca="false">Model!W148</f>
        <v>7973383.90616351</v>
      </c>
      <c r="I42" s="21" t="n">
        <f aca="false">Model!Z148</f>
        <v>9360174.26506748</v>
      </c>
      <c r="J42" s="21" t="n">
        <f aca="false">Model!AC148</f>
        <v>10223434.5844858</v>
      </c>
      <c r="K42" s="21" t="n">
        <f aca="false">Model!AF148</f>
        <v>11899635.3070213</v>
      </c>
      <c r="L42" s="21" t="n">
        <f aca="false">Model!AI148</f>
        <v>13993773.4548928</v>
      </c>
      <c r="M42" s="21" t="n">
        <f aca="false">Model!AL148</f>
        <v>15716007.8804178</v>
      </c>
      <c r="N42" s="21" t="n">
        <f aca="false">Model!AO148</f>
        <v>17056165.8535543</v>
      </c>
      <c r="O42" s="21" t="n">
        <f aca="false">Model!AR148</f>
        <v>18737792.4433438</v>
      </c>
      <c r="P42" s="21" t="n">
        <f aca="false">Model!AU148</f>
        <v>19867820.4111746</v>
      </c>
      <c r="Q42" s="21" t="n">
        <f aca="false">Model!AX148</f>
        <v>21119754.2334749</v>
      </c>
      <c r="R42" s="21" t="n">
        <f aca="false">Model!BA148</f>
        <v>22594499.9461492</v>
      </c>
      <c r="S42" s="21" t="n">
        <f aca="false">Model!BD148</f>
        <v>24213786.3831235</v>
      </c>
      <c r="T42" s="21" t="n">
        <f aca="false">Model!BG148</f>
        <v>25959498.7083446</v>
      </c>
      <c r="U42" s="21" t="n">
        <f aca="false">Model!BJ148</f>
        <v>27492008.8722317</v>
      </c>
      <c r="V42" s="21" t="n">
        <f aca="false">Model!BM148</f>
        <v>28829311.7956627</v>
      </c>
      <c r="W42" s="21" t="n">
        <f aca="false">Model!BP148</f>
        <v>30321207.2564314</v>
      </c>
      <c r="X42" s="21" t="n">
        <f aca="false">Model!BS148</f>
        <v>31666976.3210962</v>
      </c>
      <c r="Y42" s="21" t="n">
        <f aca="false">Model!BV148</f>
        <v>33190770.5627091</v>
      </c>
      <c r="Z42" s="21" t="n">
        <f aca="false">Model!BY148</f>
        <v>34565926.5775633</v>
      </c>
      <c r="AA42" s="21" t="n">
        <f aca="false">Model!CB148</f>
        <v>36110517.508002</v>
      </c>
      <c r="AB42" s="21" t="n">
        <f aca="false">Model!CE148</f>
        <v>37502737.2671744</v>
      </c>
      <c r="AC42" s="21" t="n">
        <f aca="false">Model!CH148</f>
        <v>38949758.033652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287531.15</v>
      </c>
      <c r="C43" s="21" t="n">
        <f aca="false">Model!H156</f>
        <v>99597.8099999999</v>
      </c>
      <c r="D43" s="21" t="n">
        <f aca="false">Model!K156</f>
        <v>-496752.19</v>
      </c>
      <c r="E43" s="21" t="n">
        <f aca="false">Model!N156</f>
        <v>-1331477.19</v>
      </c>
      <c r="F43" s="21" t="n">
        <f aca="false">Model!Q156</f>
        <v>-1922101.065</v>
      </c>
      <c r="G43" s="21" t="n">
        <f aca="false">Model!T156</f>
        <v>-2607903.69</v>
      </c>
      <c r="H43" s="21" t="n">
        <f aca="false">Model!W156</f>
        <v>-3170260.55828545</v>
      </c>
      <c r="I43" s="21" t="n">
        <f aca="false">Model!Z156</f>
        <v>-3635228.18328545</v>
      </c>
      <c r="J43" s="21" t="n">
        <f aca="false">Model!AC156</f>
        <v>-3856212.66078545</v>
      </c>
      <c r="K43" s="21" t="n">
        <f aca="false">Model!AF156</f>
        <v>-4158501.33828545</v>
      </c>
      <c r="L43" s="21" t="n">
        <f aca="false">Model!AI156</f>
        <v>-4487209.21578545</v>
      </c>
      <c r="M43" s="21" t="n">
        <f aca="false">Model!AL156</f>
        <v>-5044068.69328545</v>
      </c>
      <c r="N43" s="21" t="n">
        <f aca="false">Model!AO156</f>
        <v>-5357065.36033545</v>
      </c>
      <c r="O43" s="21" t="n">
        <f aca="false">Model!AR156</f>
        <v>-5694469.81138545</v>
      </c>
      <c r="P43" s="21" t="n">
        <f aca="false">Model!AU156</f>
        <v>-6029751.84643545</v>
      </c>
      <c r="Q43" s="21" t="n">
        <f aca="false">Model!AX156</f>
        <v>-6592748.51348545</v>
      </c>
      <c r="R43" s="21" t="n">
        <f aca="false">Model!BA156</f>
        <v>-6912005.11387645</v>
      </c>
      <c r="S43" s="21" t="n">
        <f aca="false">Model!BD156</f>
        <v>-7256157.65394745</v>
      </c>
      <c r="T43" s="21" t="n">
        <f aca="false">Model!BG156</f>
        <v>-7598145.32969845</v>
      </c>
      <c r="U43" s="21" t="n">
        <f aca="false">Model!BJ156</f>
        <v>-7917401.93008945</v>
      </c>
      <c r="V43" s="21" t="n">
        <f aca="false">Model!BM156</f>
        <v>-8243043.66248827</v>
      </c>
      <c r="W43" s="21" t="n">
        <f aca="false">Model!BP156</f>
        <v>-8542565.73336069</v>
      </c>
      <c r="X43" s="21" t="n">
        <f aca="false">Model!BS156</f>
        <v>-8823631.16262671</v>
      </c>
      <c r="Y43" s="21" t="n">
        <f aca="false">Model!BV156</f>
        <v>-9081510.89502553</v>
      </c>
      <c r="Z43" s="21" t="n">
        <f aca="false">Model!BY156</f>
        <v>-9345903.46207233</v>
      </c>
      <c r="AA43" s="21" t="n">
        <f aca="false">Model!CB156</f>
        <v>-9627460.7647622</v>
      </c>
      <c r="AB43" s="21" t="n">
        <f aca="false">Model!CE156</f>
        <v>-9906765.74261354</v>
      </c>
      <c r="AC43" s="21" t="n">
        <f aca="false">Model!CH156</f>
        <v>-10155813.2830539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-955290.118815961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-1486032.26736879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-1374451.29768954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-1431985.44417209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-1344597.53394702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-1425787.90982739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2986339.00295406</v>
      </c>
      <c r="F45" s="23" t="n">
        <f aca="false">Model!Q161</f>
        <v>3586794.9884946</v>
      </c>
      <c r="G45" s="23" t="n">
        <f aca="false">Model!T161</f>
        <v>4098624.01591101</v>
      </c>
      <c r="H45" s="23" t="n">
        <f aca="false">Model!W161</f>
        <v>4803123.34787806</v>
      </c>
      <c r="I45" s="23" t="n">
        <f aca="false">Model!Z161</f>
        <v>4769655.96296608</v>
      </c>
      <c r="J45" s="23" t="n">
        <f aca="false">Model!AC161</f>
        <v>6367221.92370033</v>
      </c>
      <c r="K45" s="23" t="n">
        <f aca="false">Model!AF161</f>
        <v>7741133.96873587</v>
      </c>
      <c r="L45" s="23" t="n">
        <f aca="false">Model!AI161</f>
        <v>9506564.23910736</v>
      </c>
      <c r="M45" s="23" t="n">
        <f aca="false">Model!AL161</f>
        <v>9185906.91976355</v>
      </c>
      <c r="N45" s="23" t="n">
        <f aca="false">Model!AO161</f>
        <v>11699100.4932189</v>
      </c>
      <c r="O45" s="23" t="n">
        <f aca="false">Model!AR161</f>
        <v>13043322.6319584</v>
      </c>
      <c r="P45" s="23" t="n">
        <f aca="false">Model!AU161</f>
        <v>13838068.5647392</v>
      </c>
      <c r="Q45" s="23" t="n">
        <f aca="false">Model!AX161</f>
        <v>13152554.4223</v>
      </c>
      <c r="R45" s="23" t="n">
        <f aca="false">Model!BA161</f>
        <v>15682494.8322727</v>
      </c>
      <c r="S45" s="23" t="n">
        <f aca="false">Model!BD161</f>
        <v>16957628.729176</v>
      </c>
      <c r="T45" s="23" t="n">
        <f aca="false">Model!BG161</f>
        <v>18361353.3786461</v>
      </c>
      <c r="U45" s="23" t="n">
        <f aca="false">Model!BJ161</f>
        <v>18142621.4979701</v>
      </c>
      <c r="V45" s="23" t="n">
        <f aca="false">Model!BM161</f>
        <v>20586268.1331744</v>
      </c>
      <c r="W45" s="23" t="n">
        <f aca="false">Model!BP161</f>
        <v>21778641.5230707</v>
      </c>
      <c r="X45" s="23" t="n">
        <f aca="false">Model!BS161</f>
        <v>22843345.1584695</v>
      </c>
      <c r="Y45" s="23" t="n">
        <f aca="false">Model!BV161</f>
        <v>22764662.1337366</v>
      </c>
      <c r="Z45" s="23" t="n">
        <f aca="false">Model!BY161</f>
        <v>25220023.115491</v>
      </c>
      <c r="AA45" s="23" t="n">
        <f aca="false">Model!CB161</f>
        <v>26483056.7432398</v>
      </c>
      <c r="AB45" s="23" t="n">
        <f aca="false">Model!CE161</f>
        <v>27595971.5245608</v>
      </c>
      <c r="AC45" s="23" t="n">
        <f aca="false">Model!CH161</f>
        <v>27368156.8407707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-4234726.8442</v>
      </c>
      <c r="C42" s="89" t="n">
        <f aca="false">'Annual Summary'!C15</f>
        <v>-6459215.2157</v>
      </c>
      <c r="D42" s="89" t="n">
        <f aca="false">'Annual Summary'!D15</f>
        <v>-6446293.794514</v>
      </c>
      <c r="E42" s="89" t="n">
        <f aca="false">'Annual Summary'!E15</f>
        <v>-5109215.77960428</v>
      </c>
      <c r="F42" s="89" t="n">
        <f aca="false">'Annual Summary'!F15</f>
        <v>-5158902.25519637</v>
      </c>
      <c r="G42" s="89" t="n">
        <f aca="false">'Annual Summary'!G15</f>
        <v>-5197342.46030029</v>
      </c>
      <c r="H42" s="89" t="n">
        <f aca="false">'Annual Summary'!H15</f>
        <v>-5140551.4695063</v>
      </c>
      <c r="I42" s="89" t="n">
        <f aca="false">'Annual Summary'!I15</f>
        <v>-1274100.50219124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2209628.6951103</v>
      </c>
      <c r="C43" s="77" t="n">
        <f aca="false">'Annual Summary'!C16</f>
        <v>4111839.5210532</v>
      </c>
      <c r="D43" s="77" t="n">
        <f aca="false">'Annual Summary'!D16</f>
        <v>6020389.5487293</v>
      </c>
      <c r="E43" s="77" t="n">
        <f aca="false">'Annual Summary'!E16</f>
        <v>5874046.95628181</v>
      </c>
      <c r="F43" s="77" t="n">
        <f aca="false">'Annual Summary'!F16</f>
        <v>6091678.29716997</v>
      </c>
      <c r="G43" s="77" t="n">
        <f aca="false">'Annual Summary'!G16</f>
        <v>5707477.61275165</v>
      </c>
      <c r="H43" s="77" t="n">
        <f aca="false">'Annual Summary'!H16</f>
        <v>5835760.94607812</v>
      </c>
      <c r="I43" s="77" t="n">
        <f aca="false">'Annual Summary'!I16</f>
        <v>1447020.76647759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-928831.25</v>
      </c>
      <c r="C46" s="89" t="n">
        <f aca="false">'Annual Summary'!C20</f>
        <v>-1242351.625</v>
      </c>
      <c r="D46" s="89" t="n">
        <f aca="false">'Annual Summary'!D20</f>
        <v>-1267198.6575</v>
      </c>
      <c r="E46" s="89" t="n">
        <f aca="false">'Annual Summary'!E20</f>
        <v>-1455907.63065</v>
      </c>
      <c r="F46" s="89" t="n">
        <f aca="false">'Annual Summary'!F20</f>
        <v>-2595350.483263</v>
      </c>
      <c r="G46" s="89" t="n">
        <f aca="false">'Annual Summary'!G20</f>
        <v>-1772045.83292826</v>
      </c>
      <c r="H46" s="89" t="n">
        <f aca="false">'Annual Summary'!H20</f>
        <v>-1903127.57998683</v>
      </c>
      <c r="I46" s="89" t="n">
        <f aca="false">'Annual Summary'!I20</f>
        <v>-480063.540440317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-496752.19</v>
      </c>
      <c r="C50" s="91" t="n">
        <f aca="false">'Annual Summary'!C43</f>
        <v>-3170260.55828545</v>
      </c>
      <c r="D50" s="91" t="n">
        <f aca="false">'Annual Summary'!D43</f>
        <v>-4487209.21578545</v>
      </c>
      <c r="E50" s="91" t="n">
        <f aca="false">'Annual Summary'!E43</f>
        <v>-6029751.84643545</v>
      </c>
      <c r="F50" s="91" t="n">
        <f aca="false">'Annual Summary'!F43</f>
        <v>-7598145.32969845</v>
      </c>
      <c r="G50" s="91" t="n">
        <f aca="false">'Annual Summary'!G43</f>
        <v>-8823631.16262671</v>
      </c>
      <c r="H50" s="91" t="n">
        <f aca="false">'Annual Summary'!H43</f>
        <v>-9906765.74261354</v>
      </c>
      <c r="I50" s="91" t="n">
        <f aca="false">'Annual Summary'!I43</f>
        <v>-10155813.2830539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3861544.3851103</v>
      </c>
      <c r="C52" s="91" t="n">
        <f aca="false">'Annual Summary'!C42</f>
        <v>7973383.90616351</v>
      </c>
      <c r="D52" s="91" t="n">
        <f aca="false">'Annual Summary'!D42</f>
        <v>13993773.4548928</v>
      </c>
      <c r="E52" s="91" t="n">
        <f aca="false">'Annual Summary'!E42</f>
        <v>19867820.4111746</v>
      </c>
      <c r="F52" s="91" t="n">
        <f aca="false">'Annual Summary'!F42</f>
        <v>25959498.7083446</v>
      </c>
      <c r="G52" s="91" t="n">
        <f aca="false">'Annual Summary'!G42</f>
        <v>31666976.3210962</v>
      </c>
      <c r="H52" s="91" t="n">
        <f aca="false">'Annual Summary'!H42</f>
        <v>37502737.2671744</v>
      </c>
      <c r="I52" s="91" t="n">
        <f aca="false">'Annual Summary'!I42</f>
        <v>38949758.033652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3861544.3851103</v>
      </c>
      <c r="C71" s="81" t="n">
        <f aca="false">'Annual Summary'!C42</f>
        <v>7973383.90616351</v>
      </c>
      <c r="D71" s="81" t="n">
        <f aca="false">'Annual Summary'!E42</f>
        <v>19867820.4111746</v>
      </c>
      <c r="E71" s="81" t="n">
        <f aca="false">'Annual Summary'!G42</f>
        <v>31666976.3210962</v>
      </c>
      <c r="F71" s="81" t="n">
        <f aca="false">'Annual Summary'!I42</f>
        <v>38949758.033652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-496752.19</v>
      </c>
      <c r="C72" s="97" t="n">
        <f aca="false">'Annual Summary'!C43</f>
        <v>-3170260.55828545</v>
      </c>
      <c r="D72" s="97" t="n">
        <f aca="false">'Annual Summary'!E43</f>
        <v>-6029751.84643545</v>
      </c>
      <c r="E72" s="97" t="n">
        <f aca="false">'Annual Summary'!G43</f>
        <v>-8823631.16262671</v>
      </c>
      <c r="F72" s="97" t="n">
        <f aca="false">'Annual Summary'!I43</f>
        <v>-10155813.2830539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-496752.19</v>
      </c>
      <c r="C100" s="81" t="n">
        <f aca="false">'Annual Summary'!C43</f>
        <v>-3170260.55828545</v>
      </c>
      <c r="D100" s="81" t="n">
        <f aca="false">'Annual Summary'!D43</f>
        <v>-4487209.21578545</v>
      </c>
      <c r="E100" s="81" t="n">
        <f aca="false">'Annual Summary'!E43</f>
        <v>-6029751.84643545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-211736.34221</v>
      </c>
      <c r="C101" s="81" t="n">
        <f aca="false">'Annual Summary'!C15*0.05</f>
        <v>-322960.760785</v>
      </c>
      <c r="D101" s="81" t="n">
        <f aca="false">'Annual Summary'!D15*0.05</f>
        <v>-322314.6897257</v>
      </c>
      <c r="E101" s="81" t="n">
        <f aca="false">'Annual Summary'!E15*0.05</f>
        <v>-255460.788980214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-708488.53221</v>
      </c>
      <c r="C102" s="81" t="n">
        <f aca="false">C100+C101</f>
        <v>-3493221.31907045</v>
      </c>
      <c r="D102" s="81" t="n">
        <f aca="false">D100+D101</f>
        <v>-4809523.90551115</v>
      </c>
      <c r="E102" s="81" t="n">
        <f aca="false">E100+E101</f>
        <v>-6285212.63541566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-708488.53221</v>
      </c>
      <c r="C103" s="69" t="n">
        <f aca="false">C102-C99</f>
        <v>-3493221.31907045</v>
      </c>
      <c r="D103" s="69" t="n">
        <f aca="false">D102-D99</f>
        <v>-4809523.90551115</v>
      </c>
      <c r="E103" s="69" t="n">
        <f aca="false">E102-E99</f>
        <v>-6285212.63541566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28" t="s">
        <v>466</v>
      </c>
      <c r="O1" s="28" t="s">
        <v>467</v>
      </c>
      <c r="P1" s="28" t="s">
        <v>468</v>
      </c>
      <c r="Q1" s="28" t="s">
        <v>469</v>
      </c>
      <c r="R1" s="28" t="s">
        <v>470</v>
      </c>
      <c r="S1" s="28" t="s">
        <v>471</v>
      </c>
    </row>
    <row r="2" customFormat="false" ht="15" hidden="false" customHeight="true" outlineLevel="0" collapsed="false">
      <c r="A2" s="101" t="s">
        <v>209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279</v>
      </c>
      <c r="G2" s="119" t="s">
        <v>283</v>
      </c>
      <c r="H2" s="119" t="n">
        <v>0</v>
      </c>
      <c r="I2" s="105" t="n">
        <f aca="false">IF(H2=1,Assumptions!$B$16,IF(H2=2,Assumptions!$B$17,0))</f>
        <v>0</v>
      </c>
      <c r="J2" s="119" t="s">
        <v>279</v>
      </c>
      <c r="K2" s="119" t="s">
        <v>279</v>
      </c>
      <c r="L2" s="119" t="s">
        <v>472</v>
      </c>
      <c r="N2" s="118" t="n">
        <v>194932</v>
      </c>
      <c r="O2" s="118" t="n">
        <f aca="false">B2*Assumptions!$B$11</f>
        <v>259186.899350649</v>
      </c>
      <c r="P2" s="118" t="n">
        <v>46323</v>
      </c>
      <c r="Q2" s="118" t="n">
        <f aca="false">N2+O2+P2</f>
        <v>500441.899350649</v>
      </c>
      <c r="R2" s="118" t="n">
        <f aca="false">Q2*0.05</f>
        <v>25022.0949675325</v>
      </c>
      <c r="S2" s="101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279</v>
      </c>
      <c r="G3" s="119" t="s">
        <v>283</v>
      </c>
      <c r="H3" s="119" t="n">
        <v>0</v>
      </c>
      <c r="I3" s="105" t="n">
        <f aca="false">IF(H3=1,Assumptions!$B$16,IF(H3=2,Assumptions!$B$17,0))</f>
        <v>0</v>
      </c>
      <c r="J3" s="119" t="s">
        <v>279</v>
      </c>
      <c r="K3" s="119" t="s">
        <v>279</v>
      </c>
      <c r="L3" s="119" t="s">
        <v>472</v>
      </c>
      <c r="N3" s="118" t="n">
        <v>888067</v>
      </c>
      <c r="O3" s="118" t="n">
        <f aca="false">B3*Assumptions!$B$11</f>
        <v>973155.779220779</v>
      </c>
      <c r="P3" s="118" t="n">
        <v>176626</v>
      </c>
      <c r="Q3" s="118" t="n">
        <f aca="false">N3+O3+P3</f>
        <v>2037848.77922078</v>
      </c>
      <c r="R3" s="118" t="n">
        <f aca="false">Q3*0.05</f>
        <v>101892.438961039</v>
      </c>
      <c r="S3" s="101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283</v>
      </c>
      <c r="G4" s="119" t="s">
        <v>283</v>
      </c>
      <c r="H4" s="119" t="n">
        <v>1</v>
      </c>
      <c r="I4" s="105" t="n">
        <f aca="false">IF(H4=1,Assumptions!$B$16,IF(H4=2,Assumptions!$B$17,0))</f>
        <v>0.0074</v>
      </c>
      <c r="J4" s="119" t="s">
        <v>279</v>
      </c>
      <c r="K4" s="119" t="s">
        <v>283</v>
      </c>
      <c r="L4" s="119" t="s">
        <v>473</v>
      </c>
      <c r="N4" s="118" t="n">
        <f aca="false">B4*Assumptions!$B$10</f>
        <v>568499.26948052</v>
      </c>
      <c r="O4" s="118" t="n">
        <f aca="false">B4*Assumptions!$B$11</f>
        <v>568499.26948052</v>
      </c>
      <c r="P4" s="118" t="n">
        <f aca="false">B4*Assumptions!$B$12</f>
        <v>189499.756493507</v>
      </c>
      <c r="Q4" s="118" t="n">
        <f aca="false">N4+O4+P4</f>
        <v>1326498.29545455</v>
      </c>
      <c r="R4" s="118" t="n">
        <f aca="false">Q4*0.05</f>
        <v>66324.9147727273</v>
      </c>
      <c r="S4" s="101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283</v>
      </c>
      <c r="G5" s="119" t="s">
        <v>283</v>
      </c>
      <c r="H5" s="119" t="n">
        <v>1</v>
      </c>
      <c r="I5" s="105" t="n">
        <f aca="false">IF(H5=1,Assumptions!$B$16,IF(H5=2,Assumptions!$B$17,0))</f>
        <v>0.0074</v>
      </c>
      <c r="J5" s="119" t="s">
        <v>279</v>
      </c>
      <c r="K5" s="119" t="s">
        <v>283</v>
      </c>
      <c r="L5" s="119" t="s">
        <v>473</v>
      </c>
      <c r="N5" s="118" t="n">
        <f aca="false">B5*Assumptions!$B$10</f>
        <v>657103.928571429</v>
      </c>
      <c r="O5" s="118" t="n">
        <f aca="false">B5*Assumptions!$B$11</f>
        <v>657103.928571429</v>
      </c>
      <c r="P5" s="118" t="n">
        <f aca="false">B5*Assumptions!$B$12</f>
        <v>219034.642857143</v>
      </c>
      <c r="Q5" s="118" t="n">
        <f aca="false">N5+O5+P5</f>
        <v>1533242.5</v>
      </c>
      <c r="R5" s="118" t="n">
        <f aca="false">Q5*0.05</f>
        <v>76662.125</v>
      </c>
      <c r="S5" s="101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279</v>
      </c>
      <c r="G6" s="119" t="s">
        <v>283</v>
      </c>
      <c r="H6" s="119" t="n">
        <v>0</v>
      </c>
      <c r="I6" s="105" t="n">
        <f aca="false">IF(H6=1,Assumptions!$B$16,IF(H6=2,Assumptions!$B$17,0))</f>
        <v>0</v>
      </c>
      <c r="J6" s="119" t="s">
        <v>279</v>
      </c>
      <c r="K6" s="119" t="s">
        <v>283</v>
      </c>
      <c r="L6" s="119" t="s">
        <v>473</v>
      </c>
      <c r="N6" s="118" t="n">
        <v>245000</v>
      </c>
      <c r="O6" s="118" t="n">
        <f aca="false">B6*Assumptions!$B$11</f>
        <v>197374.042207792</v>
      </c>
      <c r="P6" s="118" t="n">
        <v>0</v>
      </c>
      <c r="Q6" s="118" t="n">
        <f aca="false">N6+O6+P6</f>
        <v>442374.042207792</v>
      </c>
      <c r="R6" s="118" t="n">
        <f aca="false">Q6*0.05</f>
        <v>22118.7021103896</v>
      </c>
      <c r="S6" s="101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283</v>
      </c>
      <c r="G7" s="119" t="s">
        <v>283</v>
      </c>
      <c r="H7" s="119" t="n">
        <v>1</v>
      </c>
      <c r="I7" s="105" t="n">
        <f aca="false">IF(H7=1,Assumptions!$B$16,IF(H7=2,Assumptions!$B$17,0))</f>
        <v>0.0074</v>
      </c>
      <c r="J7" s="119" t="s">
        <v>283</v>
      </c>
      <c r="K7" s="119" t="s">
        <v>283</v>
      </c>
      <c r="L7" s="119" t="s">
        <v>472</v>
      </c>
      <c r="N7" s="118" t="n">
        <f aca="false">B7*Assumptions!$B$10</f>
        <v>2092619.22077922</v>
      </c>
      <c r="O7" s="118" t="n">
        <f aca="false">B7*Assumptions!$B$11</f>
        <v>2092619.22077922</v>
      </c>
      <c r="P7" s="118" t="n">
        <f aca="false">B7*Assumptions!$B$12</f>
        <v>697539.74025974</v>
      </c>
      <c r="Q7" s="118" t="n">
        <f aca="false">N7+O7+P7</f>
        <v>4882778.18181818</v>
      </c>
      <c r="R7" s="118" t="n">
        <f aca="false">Q7*0.05</f>
        <v>244138.909090909</v>
      </c>
      <c r="S7" s="101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283</v>
      </c>
      <c r="G8" s="119" t="s">
        <v>283</v>
      </c>
      <c r="H8" s="119" t="n">
        <v>1</v>
      </c>
      <c r="I8" s="105" t="n">
        <f aca="false">IF(H8=1,Assumptions!$B$16,IF(H8=2,Assumptions!$B$17,0))</f>
        <v>0.0074</v>
      </c>
      <c r="J8" s="119" t="s">
        <v>279</v>
      </c>
      <c r="K8" s="119" t="s">
        <v>283</v>
      </c>
      <c r="L8" s="119" t="s">
        <v>473</v>
      </c>
      <c r="N8" s="118" t="n">
        <f aca="false">B8*Assumptions!$B$10</f>
        <v>663592.792207792</v>
      </c>
      <c r="O8" s="118" t="n">
        <f aca="false">B8*Assumptions!$B$11</f>
        <v>663592.792207792</v>
      </c>
      <c r="P8" s="118" t="n">
        <f aca="false">B8*Assumptions!$B$12</f>
        <v>221197.597402597</v>
      </c>
      <c r="Q8" s="118" t="n">
        <f aca="false">N8+O8+P8</f>
        <v>1548383.18181818</v>
      </c>
      <c r="R8" s="118" t="n">
        <f aca="false">Q8*0.05</f>
        <v>77419.1590909091</v>
      </c>
      <c r="S8" s="101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283</v>
      </c>
      <c r="G9" s="119" t="s">
        <v>283</v>
      </c>
      <c r="H9" s="119" t="n">
        <v>1</v>
      </c>
      <c r="I9" s="105" t="n">
        <f aca="false">IF(H9=1,Assumptions!$B$16,IF(H9=2,Assumptions!$B$17,0))</f>
        <v>0.0074</v>
      </c>
      <c r="J9" s="119" t="s">
        <v>279</v>
      </c>
      <c r="K9" s="119" t="s">
        <v>283</v>
      </c>
      <c r="L9" s="119" t="s">
        <v>473</v>
      </c>
      <c r="N9" s="118" t="n">
        <f aca="false">B9*Assumptions!$B$10</f>
        <v>771666.37987013</v>
      </c>
      <c r="O9" s="118" t="n">
        <f aca="false">B9*Assumptions!$B$11</f>
        <v>771666.37987013</v>
      </c>
      <c r="P9" s="118" t="n">
        <f aca="false">B9*Assumptions!$B$12</f>
        <v>257222.126623377</v>
      </c>
      <c r="Q9" s="118" t="n">
        <f aca="false">N9+O9+P9</f>
        <v>1800554.88636364</v>
      </c>
      <c r="R9" s="118" t="n">
        <f aca="false">Q9*0.05</f>
        <v>90027.7443181818</v>
      </c>
      <c r="S9" s="101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283</v>
      </c>
      <c r="G10" s="119" t="s">
        <v>283</v>
      </c>
      <c r="H10" s="119" t="n">
        <v>1</v>
      </c>
      <c r="I10" s="105" t="n">
        <f aca="false">IF(H10=1,Assumptions!$B$16,IF(H10=2,Assumptions!$B$17,0))</f>
        <v>0.0074</v>
      </c>
      <c r="J10" s="119" t="s">
        <v>279</v>
      </c>
      <c r="K10" s="119" t="s">
        <v>283</v>
      </c>
      <c r="L10" s="119" t="s">
        <v>473</v>
      </c>
      <c r="N10" s="118" t="n">
        <f aca="false">B10*Assumptions!$B$10</f>
        <v>1035555.43831169</v>
      </c>
      <c r="O10" s="118" t="n">
        <f aca="false">B10*Assumptions!$B$11</f>
        <v>1035555.43831169</v>
      </c>
      <c r="P10" s="118" t="n">
        <f aca="false">B10*Assumptions!$B$12</f>
        <v>345185.146103896</v>
      </c>
      <c r="Q10" s="118" t="n">
        <f aca="false">N10+O10+P10</f>
        <v>2416296.02272727</v>
      </c>
      <c r="R10" s="118" t="n">
        <f aca="false">Q10*0.05</f>
        <v>120814.801136364</v>
      </c>
      <c r="S10" s="101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279</v>
      </c>
      <c r="G11" s="119" t="s">
        <v>279</v>
      </c>
      <c r="H11" s="119" t="n">
        <v>0</v>
      </c>
      <c r="I11" s="105" t="n">
        <f aca="false">IF(H11=1,Assumptions!$B$16,IF(H11=2,Assumptions!$B$17,0))</f>
        <v>0</v>
      </c>
      <c r="J11" s="119" t="s">
        <v>283</v>
      </c>
      <c r="K11" s="119" t="s">
        <v>279</v>
      </c>
      <c r="L11" s="119" t="s">
        <v>472</v>
      </c>
      <c r="N11" s="118" t="n">
        <f aca="false">B11*Assumptions!$B$10</f>
        <v>466417.646103896</v>
      </c>
      <c r="O11" s="118" t="n">
        <f aca="false">B11*Assumptions!$B$11</f>
        <v>466417.646103896</v>
      </c>
      <c r="P11" s="118" t="n">
        <f aca="false">B11*Assumptions!$B$12</f>
        <v>155472.548701299</v>
      </c>
      <c r="Q11" s="118" t="n">
        <f aca="false">N11+O11+P11</f>
        <v>1088307.84090909</v>
      </c>
      <c r="R11" s="118" t="n">
        <f aca="false">Q11*0.05</f>
        <v>54415.3920454545</v>
      </c>
      <c r="S11" s="101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279</v>
      </c>
      <c r="G12" s="119" t="s">
        <v>279</v>
      </c>
      <c r="H12" s="119" t="n">
        <v>0</v>
      </c>
      <c r="I12" s="105" t="n">
        <f aca="false">IF(H12=1,Assumptions!$B$16,IF(H12=2,Assumptions!$B$17,0))</f>
        <v>0</v>
      </c>
      <c r="J12" s="119" t="s">
        <v>283</v>
      </c>
      <c r="K12" s="119" t="s">
        <v>279</v>
      </c>
      <c r="L12" s="119" t="s">
        <v>472</v>
      </c>
      <c r="N12" s="118" t="n">
        <f aca="false">B12*Assumptions!$B$10</f>
        <v>367461.185064935</v>
      </c>
      <c r="O12" s="118" t="n">
        <f aca="false">B12*Assumptions!$B$11</f>
        <v>367461.185064935</v>
      </c>
      <c r="P12" s="118" t="n">
        <f aca="false">B12*Assumptions!$B$12</f>
        <v>122487.061688312</v>
      </c>
      <c r="Q12" s="118" t="n">
        <f aca="false">N12+O12+P12</f>
        <v>857409.431818182</v>
      </c>
      <c r="R12" s="118" t="n">
        <f aca="false">Q12*0.05</f>
        <v>42870.4715909091</v>
      </c>
      <c r="S12" s="101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283</v>
      </c>
      <c r="G13" s="119" t="s">
        <v>283</v>
      </c>
      <c r="H13" s="119" t="n">
        <v>2</v>
      </c>
      <c r="I13" s="105" t="n">
        <f aca="false">IF(H13=1,Assumptions!$B$16,IF(H13=2,Assumptions!$B$17,0))</f>
        <v>0.0325</v>
      </c>
      <c r="J13" s="119" t="s">
        <v>283</v>
      </c>
      <c r="K13" s="119" t="s">
        <v>283</v>
      </c>
      <c r="L13" s="119" t="s">
        <v>472</v>
      </c>
      <c r="N13" s="118" t="n">
        <f aca="false">B13*Assumptions!$B$10</f>
        <v>2204550.48701299</v>
      </c>
      <c r="O13" s="118" t="n">
        <f aca="false">B13*Assumptions!$B$11</f>
        <v>2204550.48701299</v>
      </c>
      <c r="P13" s="118" t="n">
        <f aca="false">B13*Assumptions!$B$12</f>
        <v>734850.162337662</v>
      </c>
      <c r="Q13" s="118" t="n">
        <f aca="false">N13+O13+P13</f>
        <v>5143951.13636364</v>
      </c>
      <c r="R13" s="118" t="n">
        <f aca="false">Q13*0.05</f>
        <v>257197.556818182</v>
      </c>
      <c r="S13" s="101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283</v>
      </c>
      <c r="G14" s="119" t="s">
        <v>283</v>
      </c>
      <c r="H14" s="119" t="n">
        <v>2</v>
      </c>
      <c r="I14" s="105" t="n">
        <f aca="false">IF(H14=1,Assumptions!$B$16,IF(H14=2,Assumptions!$B$17,0))</f>
        <v>0.0325</v>
      </c>
      <c r="J14" s="119" t="s">
        <v>283</v>
      </c>
      <c r="K14" s="119" t="s">
        <v>283</v>
      </c>
      <c r="L14" s="119" t="s">
        <v>472</v>
      </c>
      <c r="N14" s="118" t="n">
        <f aca="false">B14*Assumptions!$B$10</f>
        <v>2014024.28571429</v>
      </c>
      <c r="O14" s="118" t="n">
        <f aca="false">B14*Assumptions!$B$11</f>
        <v>2014024.28571429</v>
      </c>
      <c r="P14" s="118" t="n">
        <f aca="false">B14*Assumptions!$B$12</f>
        <v>671341.428571429</v>
      </c>
      <c r="Q14" s="118" t="n">
        <f aca="false">N14+O14+P14</f>
        <v>4699390</v>
      </c>
      <c r="R14" s="118" t="n">
        <f aca="false">Q14*0.05</f>
        <v>234969.5</v>
      </c>
      <c r="S14" s="101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283</v>
      </c>
      <c r="G15" s="119" t="s">
        <v>279</v>
      </c>
      <c r="H15" s="119" t="n">
        <v>2</v>
      </c>
      <c r="I15" s="105" t="n">
        <f aca="false">IF(H15=1,Assumptions!$B$16,IF(H15=2,Assumptions!$B$17,0))</f>
        <v>0.0325</v>
      </c>
      <c r="J15" s="119" t="s">
        <v>279</v>
      </c>
      <c r="K15" s="119" t="s">
        <v>283</v>
      </c>
      <c r="L15" s="119" t="s">
        <v>473</v>
      </c>
      <c r="N15" s="118" t="n">
        <f aca="false">B15*Assumptions!$B$10</f>
        <v>739283.571428571</v>
      </c>
      <c r="O15" s="118" t="n">
        <f aca="false">B15*Assumptions!$B$11</f>
        <v>739283.571428571</v>
      </c>
      <c r="P15" s="118" t="n">
        <f aca="false">B15*Assumptions!$B$12</f>
        <v>246427.857142857</v>
      </c>
      <c r="Q15" s="118" t="n">
        <f aca="false">N15+O15+P15</f>
        <v>1724995</v>
      </c>
      <c r="R15" s="118" t="n">
        <f aca="false">Q15*0.05</f>
        <v>86249.75</v>
      </c>
      <c r="S15" s="101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283</v>
      </c>
      <c r="G16" s="119" t="s">
        <v>279</v>
      </c>
      <c r="H16" s="119" t="n">
        <v>2</v>
      </c>
      <c r="I16" s="105" t="n">
        <f aca="false">IF(H16=1,Assumptions!$B$16,IF(H16=2,Assumptions!$B$17,0))</f>
        <v>0.0325</v>
      </c>
      <c r="J16" s="119" t="s">
        <v>279</v>
      </c>
      <c r="K16" s="119" t="s">
        <v>283</v>
      </c>
      <c r="L16" s="119" t="s">
        <v>473</v>
      </c>
      <c r="N16" s="118" t="n">
        <f aca="false">B16*Assumptions!$B$10</f>
        <v>739283.571428571</v>
      </c>
      <c r="O16" s="118" t="n">
        <f aca="false">B16*Assumptions!$B$11</f>
        <v>739283.571428571</v>
      </c>
      <c r="P16" s="118" t="n">
        <f aca="false">B16*Assumptions!$B$12</f>
        <v>246427.857142857</v>
      </c>
      <c r="Q16" s="118" t="n">
        <f aca="false">N16+O16+P16</f>
        <v>1724995</v>
      </c>
      <c r="R16" s="118" t="n">
        <f aca="false">Q16*0.05</f>
        <v>86249.75</v>
      </c>
      <c r="S16" s="101" t="n">
        <f aca="false">C16+D16-1</f>
        <v>37</v>
      </c>
    </row>
    <row r="17" customFormat="false" ht="15" hidden="false" customHeight="true" outlineLevel="0" collapsed="false">
      <c r="A17" s="101" t="s">
        <v>474</v>
      </c>
      <c r="B17" s="118" t="n">
        <v>18000000</v>
      </c>
      <c r="C17" s="119" t="n">
        <v>16</v>
      </c>
      <c r="D17" s="119" t="n">
        <v>19</v>
      </c>
      <c r="E17" s="119" t="n">
        <v>3</v>
      </c>
      <c r="F17" s="119" t="s">
        <v>279</v>
      </c>
      <c r="G17" s="119" t="s">
        <v>283</v>
      </c>
      <c r="H17" s="119" t="n">
        <v>0</v>
      </c>
      <c r="I17" s="105" t="n">
        <f aca="false">IF(H17=1,Assumptions!$B$16,IF(H17=2,Assumptions!$B$17,0))</f>
        <v>0</v>
      </c>
      <c r="J17" s="119" t="s">
        <v>279</v>
      </c>
      <c r="K17" s="119" t="s">
        <v>279</v>
      </c>
      <c r="L17" s="119" t="s">
        <v>473</v>
      </c>
      <c r="N17" s="118" t="n">
        <f aca="false">B17*Assumptions!$B$10</f>
        <v>876623.376623377</v>
      </c>
      <c r="O17" s="118" t="n">
        <f aca="false">B17*Assumptions!$B$11</f>
        <v>876623.376623377</v>
      </c>
      <c r="P17" s="118" t="n">
        <f aca="false">B17*Assumptions!$B$12</f>
        <v>292207.792207792</v>
      </c>
      <c r="Q17" s="118" t="n">
        <f aca="false">N17+O17+P17</f>
        <v>2045454.54545455</v>
      </c>
      <c r="R17" s="118" t="n">
        <f aca="false">Q17*0.05</f>
        <v>102272.727272727</v>
      </c>
      <c r="S17" s="101" t="n">
        <f aca="false">C17+D17-1</f>
        <v>34</v>
      </c>
    </row>
    <row r="18" customFormat="false" ht="15" hidden="false" customHeight="true" outlineLevel="0" collapsed="false">
      <c r="A18" s="101" t="s">
        <v>475</v>
      </c>
      <c r="B18" s="118" t="n">
        <v>15000000</v>
      </c>
      <c r="C18" s="119" t="n">
        <v>18</v>
      </c>
      <c r="D18" s="119" t="n">
        <v>19</v>
      </c>
      <c r="E18" s="119" t="n">
        <v>3</v>
      </c>
      <c r="F18" s="119" t="s">
        <v>279</v>
      </c>
      <c r="G18" s="119" t="s">
        <v>283</v>
      </c>
      <c r="H18" s="119" t="n">
        <v>0</v>
      </c>
      <c r="I18" s="105" t="n">
        <f aca="false">IF(H18=1,Assumptions!$B$16,IF(H18=2,Assumptions!$B$17,0))</f>
        <v>0</v>
      </c>
      <c r="J18" s="119" t="s">
        <v>279</v>
      </c>
      <c r="K18" s="119" t="s">
        <v>279</v>
      </c>
      <c r="L18" s="119" t="s">
        <v>473</v>
      </c>
      <c r="N18" s="118" t="n">
        <f aca="false">B18*Assumptions!$B$10</f>
        <v>730519.48051948</v>
      </c>
      <c r="O18" s="118" t="n">
        <f aca="false">B18*Assumptions!$B$11</f>
        <v>730519.48051948</v>
      </c>
      <c r="P18" s="118" t="n">
        <f aca="false">B18*Assumptions!$B$12</f>
        <v>243506.493506494</v>
      </c>
      <c r="Q18" s="118" t="n">
        <f aca="false">N18+O18+P18</f>
        <v>1704545.45454545</v>
      </c>
      <c r="R18" s="118" t="n">
        <f aca="false">Q18*0.05</f>
        <v>85227.2727272727</v>
      </c>
      <c r="S18" s="101" t="n">
        <f aca="false">C18+D18-1</f>
        <v>36</v>
      </c>
    </row>
    <row r="19" customFormat="false" ht="15" hidden="false" customHeight="true" outlineLevel="0" collapsed="false">
      <c r="A19" s="101" t="s">
        <v>476</v>
      </c>
      <c r="B19" s="118" t="n">
        <v>15000000</v>
      </c>
      <c r="C19" s="119" t="n">
        <v>21</v>
      </c>
      <c r="D19" s="119" t="n">
        <v>19</v>
      </c>
      <c r="E19" s="119" t="n">
        <v>3</v>
      </c>
      <c r="F19" s="119" t="s">
        <v>279</v>
      </c>
      <c r="G19" s="119" t="s">
        <v>283</v>
      </c>
      <c r="H19" s="119" t="n">
        <v>0</v>
      </c>
      <c r="I19" s="105" t="n">
        <f aca="false">IF(H19=1,Assumptions!$B$16,IF(H19=2,Assumptions!$B$17,0))</f>
        <v>0</v>
      </c>
      <c r="J19" s="119" t="s">
        <v>279</v>
      </c>
      <c r="K19" s="119" t="s">
        <v>279</v>
      </c>
      <c r="L19" s="119" t="s">
        <v>473</v>
      </c>
      <c r="N19" s="118" t="n">
        <f aca="false">B19*Assumptions!$B$10</f>
        <v>730519.48051948</v>
      </c>
      <c r="O19" s="118" t="n">
        <f aca="false">B19*Assumptions!$B$11</f>
        <v>730519.48051948</v>
      </c>
      <c r="P19" s="118" t="n">
        <f aca="false">B19*Assumptions!$B$12</f>
        <v>243506.493506494</v>
      </c>
      <c r="Q19" s="118" t="n">
        <f aca="false">N19+O19+P19</f>
        <v>1704545.45454545</v>
      </c>
      <c r="R19" s="118" t="n">
        <f aca="false">Q19*0.05</f>
        <v>85227.2727272727</v>
      </c>
      <c r="S19" s="101" t="n">
        <f aca="false">C19+D19-1</f>
        <v>39</v>
      </c>
    </row>
    <row r="20" customFormat="false" ht="15" hidden="false" customHeight="true" outlineLevel="0" collapsed="false">
      <c r="A20" s="101" t="s">
        <v>477</v>
      </c>
      <c r="B20" s="118" t="n">
        <v>15000000</v>
      </c>
      <c r="C20" s="119" t="n">
        <v>24</v>
      </c>
      <c r="D20" s="119" t="n">
        <v>19</v>
      </c>
      <c r="E20" s="119" t="n">
        <v>3</v>
      </c>
      <c r="F20" s="119" t="s">
        <v>279</v>
      </c>
      <c r="G20" s="119" t="s">
        <v>283</v>
      </c>
      <c r="H20" s="119" t="n">
        <v>0</v>
      </c>
      <c r="I20" s="105" t="n">
        <f aca="false">IF(H20=1,Assumptions!$B$16,IF(H20=2,Assumptions!$B$17,0))</f>
        <v>0</v>
      </c>
      <c r="J20" s="119" t="s">
        <v>279</v>
      </c>
      <c r="K20" s="119" t="s">
        <v>279</v>
      </c>
      <c r="L20" s="119" t="s">
        <v>473</v>
      </c>
      <c r="N20" s="118" t="n">
        <f aca="false">B20*Assumptions!$B$10</f>
        <v>730519.48051948</v>
      </c>
      <c r="O20" s="118" t="n">
        <f aca="false">B20*Assumptions!$B$11</f>
        <v>730519.48051948</v>
      </c>
      <c r="P20" s="118" t="n">
        <f aca="false">B20*Assumptions!$B$12</f>
        <v>243506.493506494</v>
      </c>
      <c r="Q20" s="118" t="n">
        <f aca="false">N20+O20+P20</f>
        <v>1704545.45454545</v>
      </c>
      <c r="R20" s="118" t="n">
        <f aca="false">Q20*0.05</f>
        <v>85227.2727272727</v>
      </c>
      <c r="S20" s="101" t="n">
        <f aca="false">C20+D20-1</f>
        <v>42</v>
      </c>
    </row>
    <row r="21" customFormat="false" ht="15" hidden="false" customHeight="true" outlineLevel="0" collapsed="false">
      <c r="A21" s="101" t="s">
        <v>478</v>
      </c>
      <c r="B21" s="118" t="n">
        <v>15000000</v>
      </c>
      <c r="C21" s="119" t="n">
        <v>27</v>
      </c>
      <c r="D21" s="119" t="n">
        <v>19</v>
      </c>
      <c r="E21" s="119" t="n">
        <v>3</v>
      </c>
      <c r="F21" s="119" t="s">
        <v>279</v>
      </c>
      <c r="G21" s="119" t="s">
        <v>283</v>
      </c>
      <c r="H21" s="119" t="n">
        <v>0</v>
      </c>
      <c r="I21" s="105" t="n">
        <f aca="false">IF(H21=1,Assumptions!$B$16,IF(H21=2,Assumptions!$B$17,0))</f>
        <v>0</v>
      </c>
      <c r="J21" s="119" t="s">
        <v>279</v>
      </c>
      <c r="K21" s="119" t="s">
        <v>279</v>
      </c>
      <c r="L21" s="119" t="s">
        <v>473</v>
      </c>
      <c r="N21" s="118" t="n">
        <f aca="false">B21*Assumptions!$B$10</f>
        <v>730519.48051948</v>
      </c>
      <c r="O21" s="118" t="n">
        <f aca="false">B21*Assumptions!$B$11</f>
        <v>730519.48051948</v>
      </c>
      <c r="P21" s="118" t="n">
        <f aca="false">B21*Assumptions!$B$12</f>
        <v>243506.493506494</v>
      </c>
      <c r="Q21" s="118" t="n">
        <f aca="false">N21+O21+P21</f>
        <v>1704545.45454545</v>
      </c>
      <c r="R21" s="118" t="n">
        <f aca="false">Q21*0.05</f>
        <v>85227.2727272727</v>
      </c>
      <c r="S21" s="101" t="n">
        <f aca="false">C21+D21-1</f>
        <v>45</v>
      </c>
    </row>
    <row r="22" customFormat="false" ht="15" hidden="false" customHeight="true" outlineLevel="0" collapsed="false">
      <c r="A22" s="101" t="s">
        <v>479</v>
      </c>
      <c r="B22" s="118" t="n">
        <v>15000000</v>
      </c>
      <c r="C22" s="119" t="n">
        <v>31</v>
      </c>
      <c r="D22" s="119" t="n">
        <v>19</v>
      </c>
      <c r="E22" s="119" t="n">
        <v>3</v>
      </c>
      <c r="F22" s="119" t="s">
        <v>279</v>
      </c>
      <c r="G22" s="119" t="s">
        <v>283</v>
      </c>
      <c r="H22" s="119" t="n">
        <v>0</v>
      </c>
      <c r="I22" s="105" t="n">
        <f aca="false">IF(H22=1,Assumptions!$B$16,IF(H22=2,Assumptions!$B$17,0))</f>
        <v>0</v>
      </c>
      <c r="J22" s="119" t="s">
        <v>279</v>
      </c>
      <c r="K22" s="119" t="s">
        <v>279</v>
      </c>
      <c r="L22" s="119" t="s">
        <v>473</v>
      </c>
      <c r="N22" s="118" t="n">
        <f aca="false">B22*Assumptions!$B$10</f>
        <v>730519.48051948</v>
      </c>
      <c r="O22" s="118" t="n">
        <f aca="false">B22*Assumptions!$B$11</f>
        <v>730519.48051948</v>
      </c>
      <c r="P22" s="118" t="n">
        <f aca="false">B22*Assumptions!$B$12</f>
        <v>243506.493506494</v>
      </c>
      <c r="Q22" s="118" t="n">
        <f aca="false">N22+O22+P22</f>
        <v>1704545.45454545</v>
      </c>
      <c r="R22" s="118" t="n">
        <f aca="false">Q22*0.05</f>
        <v>85227.2727272727</v>
      </c>
      <c r="S22" s="101" t="n">
        <f aca="false">C22+D22-1</f>
        <v>49</v>
      </c>
    </row>
    <row r="23" customFormat="false" ht="15" hidden="false" customHeight="true" outlineLevel="0" collapsed="false">
      <c r="A23" s="101" t="s">
        <v>480</v>
      </c>
      <c r="B23" s="118" t="n">
        <v>15000000</v>
      </c>
      <c r="C23" s="119" t="n">
        <v>34</v>
      </c>
      <c r="D23" s="119" t="n">
        <v>19</v>
      </c>
      <c r="E23" s="119" t="n">
        <v>3</v>
      </c>
      <c r="F23" s="119" t="s">
        <v>279</v>
      </c>
      <c r="G23" s="119" t="s">
        <v>283</v>
      </c>
      <c r="H23" s="119" t="n">
        <v>0</v>
      </c>
      <c r="I23" s="105" t="n">
        <f aca="false">IF(H23=1,Assumptions!$B$16,IF(H23=2,Assumptions!$B$17,0))</f>
        <v>0</v>
      </c>
      <c r="J23" s="119" t="s">
        <v>279</v>
      </c>
      <c r="K23" s="119" t="s">
        <v>279</v>
      </c>
      <c r="L23" s="119" t="s">
        <v>473</v>
      </c>
      <c r="N23" s="118" t="n">
        <f aca="false">B23*Assumptions!$B$10</f>
        <v>730519.48051948</v>
      </c>
      <c r="O23" s="118" t="n">
        <f aca="false">B23*Assumptions!$B$11</f>
        <v>730519.48051948</v>
      </c>
      <c r="P23" s="118" t="n">
        <f aca="false">B23*Assumptions!$B$12</f>
        <v>243506.493506494</v>
      </c>
      <c r="Q23" s="118" t="n">
        <f aca="false">N23+O23+P23</f>
        <v>1704545.45454545</v>
      </c>
      <c r="R23" s="118" t="n">
        <f aca="false">Q23*0.05</f>
        <v>85227.2727272727</v>
      </c>
      <c r="S23" s="101" t="n">
        <f aca="false">C23+D23-1</f>
        <v>52</v>
      </c>
    </row>
    <row r="24" customFormat="false" ht="15" hidden="false" customHeight="true" outlineLevel="0" collapsed="false">
      <c r="A24" s="101" t="s">
        <v>481</v>
      </c>
      <c r="B24" s="118" t="n">
        <v>18000000</v>
      </c>
      <c r="C24" s="119" t="n">
        <v>37</v>
      </c>
      <c r="D24" s="119" t="n">
        <v>19</v>
      </c>
      <c r="E24" s="119" t="n">
        <v>3</v>
      </c>
      <c r="F24" s="119" t="s">
        <v>279</v>
      </c>
      <c r="G24" s="119" t="s">
        <v>283</v>
      </c>
      <c r="H24" s="119" t="n">
        <v>0</v>
      </c>
      <c r="I24" s="105" t="n">
        <f aca="false">IF(H24=1,Assumptions!$B$16,IF(H24=2,Assumptions!$B$17,0))</f>
        <v>0</v>
      </c>
      <c r="J24" s="119" t="s">
        <v>279</v>
      </c>
      <c r="K24" s="119" t="s">
        <v>279</v>
      </c>
      <c r="L24" s="119" t="s">
        <v>473</v>
      </c>
      <c r="N24" s="118" t="n">
        <f aca="false">B24*Assumptions!$B$10</f>
        <v>876623.376623377</v>
      </c>
      <c r="O24" s="118" t="n">
        <f aca="false">B24*Assumptions!$B$11</f>
        <v>876623.376623377</v>
      </c>
      <c r="P24" s="118" t="n">
        <f aca="false">B24*Assumptions!$B$12</f>
        <v>292207.792207792</v>
      </c>
      <c r="Q24" s="118" t="n">
        <f aca="false">N24+O24+P24</f>
        <v>2045454.54545455</v>
      </c>
      <c r="R24" s="118" t="n">
        <f aca="false">Q24*0.05</f>
        <v>102272.727272727</v>
      </c>
      <c r="S24" s="101" t="n">
        <f aca="false">C24+D24-1</f>
        <v>55</v>
      </c>
    </row>
    <row r="25" customFormat="false" ht="15" hidden="false" customHeight="true" outlineLevel="0" collapsed="false">
      <c r="A25" s="101" t="s">
        <v>482</v>
      </c>
      <c r="B25" s="118" t="n">
        <v>18000000</v>
      </c>
      <c r="C25" s="119" t="n">
        <v>40</v>
      </c>
      <c r="D25" s="119" t="n">
        <v>19</v>
      </c>
      <c r="E25" s="119" t="n">
        <v>3</v>
      </c>
      <c r="F25" s="119" t="s">
        <v>279</v>
      </c>
      <c r="G25" s="119" t="s">
        <v>283</v>
      </c>
      <c r="H25" s="119" t="n">
        <v>0</v>
      </c>
      <c r="I25" s="105" t="n">
        <f aca="false">IF(H25=1,Assumptions!$B$16,IF(H25=2,Assumptions!$B$17,0))</f>
        <v>0</v>
      </c>
      <c r="J25" s="119" t="s">
        <v>279</v>
      </c>
      <c r="K25" s="119" t="s">
        <v>279</v>
      </c>
      <c r="L25" s="119" t="s">
        <v>473</v>
      </c>
      <c r="N25" s="118" t="n">
        <f aca="false">B25*Assumptions!$B$10</f>
        <v>876623.376623377</v>
      </c>
      <c r="O25" s="118" t="n">
        <f aca="false">B25*Assumptions!$B$11</f>
        <v>876623.376623377</v>
      </c>
      <c r="P25" s="118" t="n">
        <f aca="false">B25*Assumptions!$B$12</f>
        <v>292207.792207792</v>
      </c>
      <c r="Q25" s="118" t="n">
        <f aca="false">N25+O25+P25</f>
        <v>2045454.54545455</v>
      </c>
      <c r="R25" s="118" t="n">
        <f aca="false">Q25*0.05</f>
        <v>102272.727272727</v>
      </c>
      <c r="S25" s="101" t="n">
        <f aca="false">C25+D25-1</f>
        <v>58</v>
      </c>
    </row>
    <row r="26" customFormat="false" ht="15" hidden="false" customHeight="true" outlineLevel="0" collapsed="false">
      <c r="A26" s="101" t="s">
        <v>483</v>
      </c>
      <c r="B26" s="118" t="n">
        <v>18000000</v>
      </c>
      <c r="C26" s="119" t="n">
        <v>42</v>
      </c>
      <c r="D26" s="119" t="n">
        <v>19</v>
      </c>
      <c r="E26" s="119" t="n">
        <v>3</v>
      </c>
      <c r="F26" s="119" t="s">
        <v>279</v>
      </c>
      <c r="G26" s="119" t="s">
        <v>283</v>
      </c>
      <c r="H26" s="119" t="n">
        <v>0</v>
      </c>
      <c r="I26" s="105" t="n">
        <f aca="false">IF(H26=1,Assumptions!$B$16,IF(H26=2,Assumptions!$B$17,0))</f>
        <v>0</v>
      </c>
      <c r="J26" s="119" t="s">
        <v>279</v>
      </c>
      <c r="K26" s="119" t="s">
        <v>279</v>
      </c>
      <c r="L26" s="119" t="s">
        <v>473</v>
      </c>
      <c r="N26" s="118" t="n">
        <f aca="false">B26*Assumptions!$B$10</f>
        <v>876623.376623377</v>
      </c>
      <c r="O26" s="118" t="n">
        <f aca="false">B26*Assumptions!$B$11</f>
        <v>876623.376623377</v>
      </c>
      <c r="P26" s="118" t="n">
        <f aca="false">B26*Assumptions!$B$12</f>
        <v>292207.792207792</v>
      </c>
      <c r="Q26" s="118" t="n">
        <f aca="false">N26+O26+P26</f>
        <v>2045454.54545455</v>
      </c>
      <c r="R26" s="118" t="n">
        <f aca="false">Q26*0.05</f>
        <v>102272.727272727</v>
      </c>
      <c r="S26" s="101" t="n">
        <f aca="false">C26+D26-1</f>
        <v>60</v>
      </c>
    </row>
    <row r="27" customFormat="false" ht="15" hidden="false" customHeight="true" outlineLevel="0" collapsed="false">
      <c r="A27" s="101" t="s">
        <v>484</v>
      </c>
      <c r="B27" s="118" t="n">
        <v>15000000</v>
      </c>
      <c r="C27" s="119" t="n">
        <v>44</v>
      </c>
      <c r="D27" s="119" t="n">
        <v>19</v>
      </c>
      <c r="E27" s="119" t="n">
        <v>3</v>
      </c>
      <c r="F27" s="119" t="s">
        <v>279</v>
      </c>
      <c r="G27" s="119" t="s">
        <v>283</v>
      </c>
      <c r="H27" s="119" t="n">
        <v>0</v>
      </c>
      <c r="I27" s="105" t="n">
        <f aca="false">IF(H27=1,Assumptions!$B$16,IF(H27=2,Assumptions!$B$17,0))</f>
        <v>0</v>
      </c>
      <c r="J27" s="119" t="s">
        <v>279</v>
      </c>
      <c r="K27" s="119" t="s">
        <v>279</v>
      </c>
      <c r="L27" s="119" t="s">
        <v>473</v>
      </c>
      <c r="N27" s="118" t="n">
        <f aca="false">B27*Assumptions!$B$10</f>
        <v>730519.48051948</v>
      </c>
      <c r="O27" s="118" t="n">
        <f aca="false">B27*Assumptions!$B$11</f>
        <v>730519.48051948</v>
      </c>
      <c r="P27" s="118" t="n">
        <f aca="false">B27*Assumptions!$B$12</f>
        <v>243506.493506494</v>
      </c>
      <c r="Q27" s="118" t="n">
        <f aca="false">N27+O27+P27</f>
        <v>1704545.45454545</v>
      </c>
      <c r="R27" s="118" t="n">
        <f aca="false">Q27*0.05</f>
        <v>85227.2727272727</v>
      </c>
      <c r="S27" s="101" t="n">
        <f aca="false">C27+D27-1</f>
        <v>62</v>
      </c>
    </row>
    <row r="28" customFormat="false" ht="15" hidden="false" customHeight="true" outlineLevel="0" collapsed="false">
      <c r="A28" s="101" t="s">
        <v>485</v>
      </c>
      <c r="B28" s="118" t="n">
        <v>15000000</v>
      </c>
      <c r="C28" s="119" t="n">
        <v>46</v>
      </c>
      <c r="D28" s="119" t="n">
        <v>19</v>
      </c>
      <c r="E28" s="119" t="n">
        <v>3</v>
      </c>
      <c r="F28" s="119" t="s">
        <v>279</v>
      </c>
      <c r="G28" s="119" t="s">
        <v>283</v>
      </c>
      <c r="H28" s="119" t="n">
        <v>0</v>
      </c>
      <c r="I28" s="105" t="n">
        <f aca="false">IF(H28=1,Assumptions!$B$16,IF(H28=2,Assumptions!$B$17,0))</f>
        <v>0</v>
      </c>
      <c r="J28" s="119" t="s">
        <v>279</v>
      </c>
      <c r="K28" s="119" t="s">
        <v>279</v>
      </c>
      <c r="L28" s="119" t="s">
        <v>473</v>
      </c>
      <c r="N28" s="118" t="n">
        <f aca="false">B28*Assumptions!$B$10</f>
        <v>730519.48051948</v>
      </c>
      <c r="O28" s="118" t="n">
        <f aca="false">B28*Assumptions!$B$11</f>
        <v>730519.48051948</v>
      </c>
      <c r="P28" s="118" t="n">
        <f aca="false">B28*Assumptions!$B$12</f>
        <v>243506.493506494</v>
      </c>
      <c r="Q28" s="118" t="n">
        <f aca="false">N28+O28+P28</f>
        <v>1704545.45454545</v>
      </c>
      <c r="R28" s="118" t="n">
        <f aca="false">Q28*0.05</f>
        <v>85227.2727272727</v>
      </c>
      <c r="S28" s="101" t="n">
        <f aca="false">C28+D28-1</f>
        <v>64</v>
      </c>
    </row>
    <row r="29" customFormat="false" ht="15" hidden="false" customHeight="true" outlineLevel="0" collapsed="false">
      <c r="A29" s="101" t="s">
        <v>486</v>
      </c>
      <c r="B29" s="118" t="n">
        <v>15000000</v>
      </c>
      <c r="C29" s="119" t="n">
        <v>48</v>
      </c>
      <c r="D29" s="119" t="n">
        <v>19</v>
      </c>
      <c r="E29" s="119" t="n">
        <v>3</v>
      </c>
      <c r="F29" s="119" t="s">
        <v>279</v>
      </c>
      <c r="G29" s="119" t="s">
        <v>283</v>
      </c>
      <c r="H29" s="119" t="n">
        <v>0</v>
      </c>
      <c r="I29" s="105" t="n">
        <f aca="false">IF(H29=1,Assumptions!$B$16,IF(H29=2,Assumptions!$B$17,0))</f>
        <v>0</v>
      </c>
      <c r="J29" s="119" t="s">
        <v>279</v>
      </c>
      <c r="K29" s="119" t="s">
        <v>279</v>
      </c>
      <c r="L29" s="119" t="s">
        <v>473</v>
      </c>
      <c r="N29" s="118" t="n">
        <f aca="false">B29*Assumptions!$B$10</f>
        <v>730519.48051948</v>
      </c>
      <c r="O29" s="118" t="n">
        <f aca="false">B29*Assumptions!$B$11</f>
        <v>730519.48051948</v>
      </c>
      <c r="P29" s="118" t="n">
        <f aca="false">B29*Assumptions!$B$12</f>
        <v>243506.493506494</v>
      </c>
      <c r="Q29" s="118" t="n">
        <f aca="false">N29+O29+P29</f>
        <v>1704545.45454545</v>
      </c>
      <c r="R29" s="118" t="n">
        <f aca="false">Q29*0.05</f>
        <v>85227.2727272727</v>
      </c>
      <c r="S29" s="101" t="n">
        <f aca="false">C29+D29-1</f>
        <v>66</v>
      </c>
    </row>
    <row r="30" customFormat="false" ht="15" hidden="false" customHeight="false" outlineLevel="0" collapsed="false">
      <c r="A30" s="101" t="s">
        <v>487</v>
      </c>
      <c r="B30" s="118" t="n">
        <v>15000000</v>
      </c>
      <c r="C30" s="119" t="n">
        <v>50</v>
      </c>
      <c r="D30" s="119" t="n">
        <v>19</v>
      </c>
      <c r="E30" s="119" t="n">
        <v>3</v>
      </c>
      <c r="F30" s="119" t="s">
        <v>279</v>
      </c>
      <c r="G30" s="119" t="s">
        <v>283</v>
      </c>
      <c r="H30" s="119" t="n">
        <v>0</v>
      </c>
      <c r="I30" s="105" t="n">
        <f aca="false">IF(H30=1,Assumptions!$B$16,IF(H30=2,Assumptions!$B$17,0))</f>
        <v>0</v>
      </c>
      <c r="J30" s="119" t="s">
        <v>279</v>
      </c>
      <c r="K30" s="119" t="s">
        <v>279</v>
      </c>
      <c r="L30" s="119" t="s">
        <v>473</v>
      </c>
      <c r="N30" s="118" t="n">
        <f aca="false">B30*Assumptions!$B$10</f>
        <v>730519.48051948</v>
      </c>
      <c r="O30" s="118" t="n">
        <f aca="false">B30*Assumptions!$B$11</f>
        <v>730519.48051948</v>
      </c>
      <c r="P30" s="118" t="n">
        <f aca="false">B30*Assumptions!$B$12</f>
        <v>243506.493506494</v>
      </c>
      <c r="Q30" s="118" t="n">
        <f aca="false">N30+O30+P30</f>
        <v>1704545.45454545</v>
      </c>
      <c r="R30" s="118" t="n">
        <f aca="false">Q30*0.05</f>
        <v>85227.2727272727</v>
      </c>
      <c r="S30" s="101" t="n">
        <f aca="false">C30+D30-1</f>
        <v>68</v>
      </c>
    </row>
    <row r="31" customFormat="false" ht="15" hidden="false" customHeight="false" outlineLevel="0" collapsed="false">
      <c r="A31" s="101" t="s">
        <v>488</v>
      </c>
      <c r="B31" s="118" t="n">
        <v>18000000</v>
      </c>
      <c r="C31" s="119" t="n">
        <v>52</v>
      </c>
      <c r="D31" s="119" t="n">
        <v>19</v>
      </c>
      <c r="E31" s="119" t="n">
        <v>3</v>
      </c>
      <c r="F31" s="119" t="s">
        <v>279</v>
      </c>
      <c r="G31" s="119" t="s">
        <v>283</v>
      </c>
      <c r="H31" s="119" t="n">
        <v>0</v>
      </c>
      <c r="I31" s="105" t="n">
        <f aca="false">IF(H31=1,Assumptions!$B$16,IF(H31=2,Assumptions!$B$17,0))</f>
        <v>0</v>
      </c>
      <c r="J31" s="119" t="s">
        <v>279</v>
      </c>
      <c r="K31" s="119" t="s">
        <v>279</v>
      </c>
      <c r="L31" s="119" t="s">
        <v>473</v>
      </c>
      <c r="N31" s="118" t="n">
        <f aca="false">B31*Assumptions!$B$10</f>
        <v>876623.376623377</v>
      </c>
      <c r="O31" s="118" t="n">
        <f aca="false">B31*Assumptions!$B$11</f>
        <v>876623.376623377</v>
      </c>
      <c r="P31" s="118" t="n">
        <f aca="false">B31*Assumptions!$B$12</f>
        <v>292207.792207792</v>
      </c>
      <c r="Q31" s="118" t="n">
        <f aca="false">N31+O31+P31</f>
        <v>2045454.54545455</v>
      </c>
      <c r="R31" s="118" t="n">
        <f aca="false">Q31*0.05</f>
        <v>102272.727272727</v>
      </c>
      <c r="S31" s="101" t="n">
        <f aca="false">C31+D31-1</f>
        <v>70</v>
      </c>
    </row>
    <row r="32" customFormat="false" ht="15" hidden="false" customHeight="false" outlineLevel="0" collapsed="false">
      <c r="A32" s="101" t="s">
        <v>489</v>
      </c>
      <c r="B32" s="118" t="n">
        <v>15000000</v>
      </c>
      <c r="C32" s="119" t="n">
        <v>54</v>
      </c>
      <c r="D32" s="119" t="n">
        <v>19</v>
      </c>
      <c r="E32" s="119" t="n">
        <v>3</v>
      </c>
      <c r="F32" s="119" t="s">
        <v>279</v>
      </c>
      <c r="G32" s="119" t="s">
        <v>283</v>
      </c>
      <c r="H32" s="119" t="n">
        <v>0</v>
      </c>
      <c r="I32" s="105" t="n">
        <f aca="false">IF(H32=1,Assumptions!$B$16,IF(H32=2,Assumptions!$B$17,0))</f>
        <v>0</v>
      </c>
      <c r="J32" s="119" t="s">
        <v>279</v>
      </c>
      <c r="K32" s="119" t="s">
        <v>279</v>
      </c>
      <c r="L32" s="119" t="s">
        <v>473</v>
      </c>
      <c r="N32" s="118" t="n">
        <f aca="false">B32*Assumptions!$B$10</f>
        <v>730519.48051948</v>
      </c>
      <c r="O32" s="118" t="n">
        <f aca="false">B32*Assumptions!$B$11</f>
        <v>730519.48051948</v>
      </c>
      <c r="P32" s="118" t="n">
        <f aca="false">B32*Assumptions!$B$12</f>
        <v>243506.493506494</v>
      </c>
      <c r="Q32" s="118" t="n">
        <f aca="false">N32+O32+P32</f>
        <v>1704545.45454545</v>
      </c>
      <c r="R32" s="118" t="n">
        <f aca="false">Q32*0.05</f>
        <v>85227.2727272727</v>
      </c>
      <c r="S32" s="101" t="n">
        <f aca="false">C32+D32-1</f>
        <v>72</v>
      </c>
    </row>
    <row r="33" customFormat="false" ht="15" hidden="false" customHeight="false" outlineLevel="0" collapsed="false">
      <c r="A33" s="101" t="s">
        <v>490</v>
      </c>
      <c r="B33" s="118" t="n">
        <v>15000000</v>
      </c>
      <c r="C33" s="119" t="n">
        <v>56</v>
      </c>
      <c r="D33" s="119" t="n">
        <v>19</v>
      </c>
      <c r="E33" s="119" t="n">
        <v>3</v>
      </c>
      <c r="F33" s="119" t="s">
        <v>279</v>
      </c>
      <c r="G33" s="119" t="s">
        <v>283</v>
      </c>
      <c r="H33" s="119" t="n">
        <v>0</v>
      </c>
      <c r="I33" s="105" t="n">
        <f aca="false">IF(H33=1,Assumptions!$B$16,IF(H33=2,Assumptions!$B$17,0))</f>
        <v>0</v>
      </c>
      <c r="J33" s="119" t="s">
        <v>279</v>
      </c>
      <c r="K33" s="119" t="s">
        <v>279</v>
      </c>
      <c r="L33" s="119" t="s">
        <v>473</v>
      </c>
      <c r="N33" s="118" t="n">
        <f aca="false">B33*Assumptions!$B$10</f>
        <v>730519.48051948</v>
      </c>
      <c r="O33" s="118" t="n">
        <f aca="false">B33*Assumptions!$B$11</f>
        <v>730519.48051948</v>
      </c>
      <c r="P33" s="118" t="n">
        <f aca="false">B33*Assumptions!$B$12</f>
        <v>243506.493506494</v>
      </c>
      <c r="Q33" s="118" t="n">
        <f aca="false">N33+O33+P33</f>
        <v>1704545.45454545</v>
      </c>
      <c r="R33" s="118" t="n">
        <f aca="false">Q33*0.05</f>
        <v>85227.2727272727</v>
      </c>
      <c r="S33" s="101" t="n">
        <f aca="false">C33+D33-1</f>
        <v>74</v>
      </c>
    </row>
    <row r="34" customFormat="false" ht="15" hidden="false" customHeight="false" outlineLevel="0" collapsed="false">
      <c r="A34" s="101" t="s">
        <v>491</v>
      </c>
      <c r="B34" s="118" t="n">
        <v>18000000</v>
      </c>
      <c r="C34" s="119" t="n">
        <v>58</v>
      </c>
      <c r="D34" s="119" t="n">
        <v>19</v>
      </c>
      <c r="E34" s="119" t="n">
        <v>3</v>
      </c>
      <c r="F34" s="119" t="s">
        <v>279</v>
      </c>
      <c r="G34" s="119" t="s">
        <v>283</v>
      </c>
      <c r="H34" s="119" t="n">
        <v>0</v>
      </c>
      <c r="I34" s="105" t="n">
        <f aca="false">IF(H34=1,Assumptions!$B$16,IF(H34=2,Assumptions!$B$17,0))</f>
        <v>0</v>
      </c>
      <c r="J34" s="119" t="s">
        <v>279</v>
      </c>
      <c r="K34" s="119" t="s">
        <v>279</v>
      </c>
      <c r="L34" s="119" t="s">
        <v>473</v>
      </c>
      <c r="N34" s="118" t="n">
        <f aca="false">B34*Assumptions!$B$10</f>
        <v>876623.376623377</v>
      </c>
      <c r="O34" s="118" t="n">
        <f aca="false">B34*Assumptions!$B$11</f>
        <v>876623.376623377</v>
      </c>
      <c r="P34" s="118" t="n">
        <f aca="false">B34*Assumptions!$B$12</f>
        <v>292207.792207792</v>
      </c>
      <c r="Q34" s="118" t="n">
        <f aca="false">N34+O34+P34</f>
        <v>2045454.54545455</v>
      </c>
      <c r="R34" s="118" t="n">
        <f aca="false">Q34*0.05</f>
        <v>102272.727272727</v>
      </c>
      <c r="S34" s="101" t="n">
        <f aca="false">C34+D34-1</f>
        <v>76</v>
      </c>
    </row>
    <row r="35" customFormat="false" ht="15" hidden="false" customHeight="false" outlineLevel="0" collapsed="false">
      <c r="A35" s="101" t="s">
        <v>492</v>
      </c>
      <c r="B35" s="118" t="n">
        <v>15000000</v>
      </c>
      <c r="C35" s="119" t="n">
        <v>60</v>
      </c>
      <c r="D35" s="119" t="n">
        <v>19</v>
      </c>
      <c r="E35" s="119" t="n">
        <v>3</v>
      </c>
      <c r="F35" s="119" t="s">
        <v>279</v>
      </c>
      <c r="G35" s="119" t="s">
        <v>283</v>
      </c>
      <c r="H35" s="119" t="n">
        <v>0</v>
      </c>
      <c r="I35" s="105" t="n">
        <f aca="false">IF(H35=1,Assumptions!$B$16,IF(H35=2,Assumptions!$B$17,0))</f>
        <v>0</v>
      </c>
      <c r="J35" s="119" t="s">
        <v>279</v>
      </c>
      <c r="K35" s="119" t="s">
        <v>279</v>
      </c>
      <c r="L35" s="119" t="s">
        <v>473</v>
      </c>
      <c r="N35" s="118" t="n">
        <f aca="false">B35*Assumptions!$B$10</f>
        <v>730519.48051948</v>
      </c>
      <c r="O35" s="118" t="n">
        <f aca="false">B35*Assumptions!$B$11</f>
        <v>730519.48051948</v>
      </c>
      <c r="P35" s="118" t="n">
        <f aca="false">B35*Assumptions!$B$12</f>
        <v>243506.493506494</v>
      </c>
      <c r="Q35" s="118" t="n">
        <f aca="false">N35+O35+P35</f>
        <v>1704545.45454545</v>
      </c>
      <c r="R35" s="118" t="n">
        <f aca="false">Q35*0.05</f>
        <v>85227.2727272727</v>
      </c>
      <c r="S35" s="101" t="n">
        <f aca="false">C35+D35-1</f>
        <v>78</v>
      </c>
    </row>
    <row r="36" customFormat="false" ht="15" hidden="false" customHeight="false" outlineLevel="0" collapsed="false">
      <c r="A36" s="101" t="s">
        <v>493</v>
      </c>
      <c r="B36" s="118" t="n">
        <v>18000000</v>
      </c>
      <c r="C36" s="119" t="n">
        <v>62</v>
      </c>
      <c r="D36" s="119" t="n">
        <v>19</v>
      </c>
      <c r="E36" s="119" t="n">
        <v>3</v>
      </c>
      <c r="F36" s="119" t="s">
        <v>279</v>
      </c>
      <c r="G36" s="119" t="s">
        <v>283</v>
      </c>
      <c r="H36" s="119" t="n">
        <v>0</v>
      </c>
      <c r="I36" s="105" t="n">
        <f aca="false">IF(H36=1,Assumptions!$B$16,IF(H36=2,Assumptions!$B$17,0))</f>
        <v>0</v>
      </c>
      <c r="J36" s="119" t="s">
        <v>279</v>
      </c>
      <c r="K36" s="119" t="s">
        <v>279</v>
      </c>
      <c r="L36" s="119" t="s">
        <v>473</v>
      </c>
      <c r="N36" s="118" t="n">
        <f aca="false">B36*Assumptions!$B$10</f>
        <v>876623.376623377</v>
      </c>
      <c r="O36" s="118" t="n">
        <f aca="false">B36*Assumptions!$B$11</f>
        <v>876623.376623377</v>
      </c>
      <c r="P36" s="118" t="n">
        <f aca="false">B36*Assumptions!$B$12</f>
        <v>292207.792207792</v>
      </c>
      <c r="Q36" s="118" t="n">
        <f aca="false">N36+O36+P36</f>
        <v>2045454.54545455</v>
      </c>
      <c r="R36" s="118" t="n">
        <f aca="false">Q36*0.05</f>
        <v>102272.727272727</v>
      </c>
      <c r="S36" s="101" t="n">
        <f aca="false">C36+D36-1</f>
        <v>80</v>
      </c>
    </row>
    <row r="37" customFormat="false" ht="15" hidden="false" customHeight="false" outlineLevel="0" collapsed="false">
      <c r="A37" s="101" t="s">
        <v>494</v>
      </c>
      <c r="B37" s="118" t="n">
        <v>15000000</v>
      </c>
      <c r="C37" s="119" t="n">
        <v>64</v>
      </c>
      <c r="D37" s="119" t="n">
        <v>19</v>
      </c>
      <c r="E37" s="119" t="n">
        <v>3</v>
      </c>
      <c r="F37" s="119" t="s">
        <v>279</v>
      </c>
      <c r="G37" s="119" t="s">
        <v>283</v>
      </c>
      <c r="H37" s="119" t="n">
        <v>0</v>
      </c>
      <c r="I37" s="105" t="n">
        <f aca="false">IF(H37=1,Assumptions!$B$16,IF(H37=2,Assumptions!$B$17,0))</f>
        <v>0</v>
      </c>
      <c r="J37" s="119" t="s">
        <v>279</v>
      </c>
      <c r="K37" s="119" t="s">
        <v>279</v>
      </c>
      <c r="L37" s="119" t="s">
        <v>473</v>
      </c>
      <c r="N37" s="118" t="n">
        <f aca="false">B37*Assumptions!$B$10</f>
        <v>730519.48051948</v>
      </c>
      <c r="O37" s="118" t="n">
        <f aca="false">B37*Assumptions!$B$11</f>
        <v>730519.48051948</v>
      </c>
      <c r="P37" s="118" t="n">
        <f aca="false">B37*Assumptions!$B$12</f>
        <v>243506.493506494</v>
      </c>
      <c r="Q37" s="118" t="n">
        <f aca="false">N37+O37+P37</f>
        <v>1704545.45454545</v>
      </c>
      <c r="R37" s="118" t="n">
        <f aca="false">Q37*0.05</f>
        <v>85227.2727272727</v>
      </c>
      <c r="S37" s="101" t="n">
        <f aca="false">C37+D37-1</f>
        <v>82</v>
      </c>
    </row>
    <row r="38" customFormat="false" ht="15" hidden="false" customHeight="false" outlineLevel="0" collapsed="false">
      <c r="A38" s="101" t="s">
        <v>495</v>
      </c>
      <c r="B38" s="118" t="n">
        <v>15000000</v>
      </c>
      <c r="C38" s="119" t="n">
        <v>66</v>
      </c>
      <c r="D38" s="119" t="n">
        <v>19</v>
      </c>
      <c r="E38" s="119" t="n">
        <v>3</v>
      </c>
      <c r="F38" s="119" t="s">
        <v>279</v>
      </c>
      <c r="G38" s="119" t="s">
        <v>283</v>
      </c>
      <c r="H38" s="119" t="n">
        <v>0</v>
      </c>
      <c r="I38" s="105" t="n">
        <f aca="false">IF(H38=1,Assumptions!$B$16,IF(H38=2,Assumptions!$B$17,0))</f>
        <v>0</v>
      </c>
      <c r="J38" s="119" t="s">
        <v>279</v>
      </c>
      <c r="K38" s="119" t="s">
        <v>279</v>
      </c>
      <c r="L38" s="119" t="s">
        <v>473</v>
      </c>
      <c r="N38" s="118" t="n">
        <f aca="false">B38*Assumptions!$B$10</f>
        <v>730519.48051948</v>
      </c>
      <c r="O38" s="118" t="n">
        <f aca="false">B38*Assumptions!$B$11</f>
        <v>730519.48051948</v>
      </c>
      <c r="P38" s="118" t="n">
        <f aca="false">B38*Assumptions!$B$12</f>
        <v>243506.493506494</v>
      </c>
      <c r="Q38" s="118" t="n">
        <f aca="false">N38+O38+P38</f>
        <v>1704545.45454545</v>
      </c>
      <c r="R38" s="118" t="n">
        <f aca="false">Q38*0.05</f>
        <v>85227.2727272727</v>
      </c>
      <c r="S38" s="101" t="n">
        <f aca="false">C38+D38-1</f>
        <v>84</v>
      </c>
    </row>
    <row r="39" customFormat="false" ht="15" hidden="false" customHeight="false" outlineLevel="0" collapsed="false">
      <c r="A39" s="101" t="s">
        <v>496</v>
      </c>
      <c r="B39" s="118" t="n">
        <v>18000000</v>
      </c>
      <c r="C39" s="119" t="n">
        <v>68</v>
      </c>
      <c r="D39" s="119" t="n">
        <v>19</v>
      </c>
      <c r="E39" s="119" t="n">
        <v>3</v>
      </c>
      <c r="F39" s="119" t="s">
        <v>279</v>
      </c>
      <c r="G39" s="119" t="s">
        <v>283</v>
      </c>
      <c r="H39" s="119" t="n">
        <v>0</v>
      </c>
      <c r="I39" s="105" t="n">
        <f aca="false">IF(H39=1,Assumptions!$B$16,IF(H39=2,Assumptions!$B$17,0))</f>
        <v>0</v>
      </c>
      <c r="J39" s="119" t="s">
        <v>279</v>
      </c>
      <c r="K39" s="119" t="s">
        <v>279</v>
      </c>
      <c r="L39" s="119" t="s">
        <v>473</v>
      </c>
      <c r="N39" s="118" t="n">
        <f aca="false">B39*Assumptions!$B$10</f>
        <v>876623.376623377</v>
      </c>
      <c r="O39" s="118" t="n">
        <f aca="false">B39*Assumptions!$B$11</f>
        <v>876623.376623377</v>
      </c>
      <c r="P39" s="118" t="n">
        <f aca="false">B39*Assumptions!$B$12</f>
        <v>292207.792207792</v>
      </c>
      <c r="Q39" s="118" t="n">
        <f aca="false">N39+O39+P39</f>
        <v>2045454.54545455</v>
      </c>
      <c r="R39" s="118" t="n">
        <f aca="false">Q39*0.05</f>
        <v>102272.727272727</v>
      </c>
      <c r="S39" s="101" t="n">
        <f aca="false">C39+D39-1</f>
        <v>86</v>
      </c>
    </row>
    <row r="40" customFormat="false" ht="15" hidden="false" customHeight="false" outlineLevel="0" collapsed="false">
      <c r="A40" s="101" t="s">
        <v>497</v>
      </c>
      <c r="B40" s="118" t="n">
        <v>15000000</v>
      </c>
      <c r="C40" s="119" t="n">
        <v>70</v>
      </c>
      <c r="D40" s="119" t="n">
        <v>19</v>
      </c>
      <c r="E40" s="119" t="n">
        <v>3</v>
      </c>
      <c r="F40" s="119" t="s">
        <v>279</v>
      </c>
      <c r="G40" s="119" t="s">
        <v>283</v>
      </c>
      <c r="H40" s="119" t="n">
        <v>0</v>
      </c>
      <c r="I40" s="105" t="n">
        <f aca="false">IF(H40=1,Assumptions!$B$16,IF(H40=2,Assumptions!$B$17,0))</f>
        <v>0</v>
      </c>
      <c r="J40" s="119" t="s">
        <v>279</v>
      </c>
      <c r="K40" s="119" t="s">
        <v>279</v>
      </c>
      <c r="L40" s="119" t="s">
        <v>473</v>
      </c>
      <c r="N40" s="118" t="n">
        <f aca="false">B40*Assumptions!$B$10</f>
        <v>730519.48051948</v>
      </c>
      <c r="O40" s="118" t="n">
        <f aca="false">B40*Assumptions!$B$11</f>
        <v>730519.48051948</v>
      </c>
      <c r="P40" s="118" t="n">
        <f aca="false">B40*Assumptions!$B$12</f>
        <v>243506.493506494</v>
      </c>
      <c r="Q40" s="118" t="n">
        <f aca="false">N40+O40+P40</f>
        <v>1704545.45454545</v>
      </c>
      <c r="R40" s="118" t="n">
        <f aca="false">Q40*0.05</f>
        <v>85227.2727272727</v>
      </c>
      <c r="S40" s="101" t="n">
        <f aca="false">C40+D40-1</f>
        <v>88</v>
      </c>
    </row>
    <row r="41" customFormat="false" ht="15" hidden="false" customHeight="false" outlineLevel="0" collapsed="false">
      <c r="A41" s="101" t="s">
        <v>498</v>
      </c>
      <c r="B41" s="118" t="n">
        <v>15000000</v>
      </c>
      <c r="C41" s="119" t="n">
        <v>72</v>
      </c>
      <c r="D41" s="119" t="n">
        <v>19</v>
      </c>
      <c r="E41" s="119" t="n">
        <v>3</v>
      </c>
      <c r="F41" s="119" t="s">
        <v>279</v>
      </c>
      <c r="G41" s="119" t="s">
        <v>283</v>
      </c>
      <c r="H41" s="119" t="n">
        <v>0</v>
      </c>
      <c r="I41" s="105" t="n">
        <f aca="false">IF(H41=1,Assumptions!$B$16,IF(H41=2,Assumptions!$B$17,0))</f>
        <v>0</v>
      </c>
      <c r="J41" s="119" t="s">
        <v>279</v>
      </c>
      <c r="K41" s="119" t="s">
        <v>279</v>
      </c>
      <c r="L41" s="119" t="s">
        <v>473</v>
      </c>
      <c r="N41" s="118" t="n">
        <f aca="false">B41*Assumptions!$B$10</f>
        <v>730519.48051948</v>
      </c>
      <c r="O41" s="118" t="n">
        <f aca="false">B41*Assumptions!$B$11</f>
        <v>730519.48051948</v>
      </c>
      <c r="P41" s="118" t="n">
        <f aca="false">B41*Assumptions!$B$12</f>
        <v>243506.493506494</v>
      </c>
      <c r="Q41" s="118" t="n">
        <f aca="false">N41+O41+P41</f>
        <v>1704545.45454545</v>
      </c>
      <c r="R41" s="118" t="n">
        <f aca="false">Q41*0.05</f>
        <v>85227.2727272727</v>
      </c>
      <c r="S41" s="101" t="n">
        <f aca="false">C41+D41-1</f>
        <v>90</v>
      </c>
    </row>
    <row r="42" customFormat="false" ht="15" hidden="false" customHeight="false" outlineLevel="0" collapsed="false">
      <c r="A42" s="101" t="s">
        <v>499</v>
      </c>
      <c r="B42" s="118" t="n">
        <v>18000000</v>
      </c>
      <c r="C42" s="119" t="n">
        <v>74</v>
      </c>
      <c r="D42" s="119" t="n">
        <v>19</v>
      </c>
      <c r="E42" s="119" t="n">
        <v>3</v>
      </c>
      <c r="F42" s="119" t="s">
        <v>279</v>
      </c>
      <c r="G42" s="119" t="s">
        <v>283</v>
      </c>
      <c r="H42" s="119" t="n">
        <v>0</v>
      </c>
      <c r="I42" s="105" t="n">
        <f aca="false">IF(H42=1,Assumptions!$B$16,IF(H42=2,Assumptions!$B$17,0))</f>
        <v>0</v>
      </c>
      <c r="J42" s="119" t="s">
        <v>279</v>
      </c>
      <c r="K42" s="119" t="s">
        <v>279</v>
      </c>
      <c r="L42" s="119" t="s">
        <v>473</v>
      </c>
      <c r="N42" s="118" t="n">
        <f aca="false">B42*Assumptions!$B$10</f>
        <v>876623.376623377</v>
      </c>
      <c r="O42" s="118" t="n">
        <f aca="false">B42*Assumptions!$B$11</f>
        <v>876623.376623377</v>
      </c>
      <c r="P42" s="118" t="n">
        <f aca="false">B42*Assumptions!$B$12</f>
        <v>292207.792207792</v>
      </c>
      <c r="Q42" s="118" t="n">
        <f aca="false">N42+O42+P42</f>
        <v>2045454.54545455</v>
      </c>
      <c r="R42" s="118" t="n">
        <f aca="false">Q42*0.05</f>
        <v>102272.727272727</v>
      </c>
      <c r="S42" s="101" t="n">
        <f aca="false">C42+D42-1</f>
        <v>92</v>
      </c>
    </row>
    <row r="43" customFormat="false" ht="15" hidden="false" customHeight="false" outlineLevel="0" collapsed="false">
      <c r="A43" s="101" t="s">
        <v>500</v>
      </c>
      <c r="B43" s="118" t="n">
        <v>15000000</v>
      </c>
      <c r="C43" s="119" t="n">
        <v>76</v>
      </c>
      <c r="D43" s="119" t="n">
        <v>19</v>
      </c>
      <c r="E43" s="119" t="n">
        <v>3</v>
      </c>
      <c r="F43" s="119" t="s">
        <v>279</v>
      </c>
      <c r="G43" s="119" t="s">
        <v>283</v>
      </c>
      <c r="H43" s="119" t="n">
        <v>0</v>
      </c>
      <c r="I43" s="105" t="n">
        <f aca="false">IF(H43=1,Assumptions!$B$16,IF(H43=2,Assumptions!$B$17,0))</f>
        <v>0</v>
      </c>
      <c r="J43" s="119" t="s">
        <v>279</v>
      </c>
      <c r="K43" s="119" t="s">
        <v>279</v>
      </c>
      <c r="L43" s="119" t="s">
        <v>473</v>
      </c>
      <c r="N43" s="118" t="n">
        <f aca="false">B43*Assumptions!$B$10</f>
        <v>730519.48051948</v>
      </c>
      <c r="O43" s="118" t="n">
        <f aca="false">B43*Assumptions!$B$11</f>
        <v>730519.48051948</v>
      </c>
      <c r="P43" s="118" t="n">
        <f aca="false">B43*Assumptions!$B$12</f>
        <v>243506.493506494</v>
      </c>
      <c r="Q43" s="118" t="n">
        <f aca="false">N43+O43+P43</f>
        <v>1704545.45454545</v>
      </c>
      <c r="R43" s="118" t="n">
        <f aca="false">Q43*0.05</f>
        <v>85227.2727272727</v>
      </c>
      <c r="S43" s="101" t="n">
        <f aca="false">C43+D43-1</f>
        <v>94</v>
      </c>
    </row>
    <row r="44" customFormat="false" ht="15" hidden="false" customHeight="false" outlineLevel="0" collapsed="false">
      <c r="A44" s="101" t="s">
        <v>501</v>
      </c>
      <c r="B44" s="118" t="n">
        <v>15000000</v>
      </c>
      <c r="C44" s="119" t="n">
        <v>78</v>
      </c>
      <c r="D44" s="119" t="n">
        <v>19</v>
      </c>
      <c r="E44" s="119" t="n">
        <v>3</v>
      </c>
      <c r="F44" s="119" t="s">
        <v>279</v>
      </c>
      <c r="G44" s="119" t="s">
        <v>283</v>
      </c>
      <c r="H44" s="119" t="n">
        <v>0</v>
      </c>
      <c r="I44" s="105" t="n">
        <f aca="false">IF(H44=1,Assumptions!$B$16,IF(H44=2,Assumptions!$B$17,0))</f>
        <v>0</v>
      </c>
      <c r="J44" s="119" t="s">
        <v>279</v>
      </c>
      <c r="K44" s="119" t="s">
        <v>279</v>
      </c>
      <c r="L44" s="119" t="s">
        <v>473</v>
      </c>
      <c r="N44" s="118" t="n">
        <f aca="false">B44*Assumptions!$B$10</f>
        <v>730519.48051948</v>
      </c>
      <c r="O44" s="118" t="n">
        <f aca="false">B44*Assumptions!$B$11</f>
        <v>730519.48051948</v>
      </c>
      <c r="P44" s="118" t="n">
        <f aca="false">B44*Assumptions!$B$12</f>
        <v>243506.493506494</v>
      </c>
      <c r="Q44" s="118" t="n">
        <f aca="false">N44+O44+P44</f>
        <v>1704545.45454545</v>
      </c>
      <c r="R44" s="118" t="n">
        <f aca="false">Q44*0.05</f>
        <v>85227.2727272727</v>
      </c>
      <c r="S44" s="101" t="n">
        <f aca="false">C44+D44-1</f>
        <v>96</v>
      </c>
    </row>
    <row r="45" customFormat="false" ht="15" hidden="false" customHeight="false" outlineLevel="0" collapsed="false">
      <c r="A45" s="101" t="s">
        <v>502</v>
      </c>
      <c r="B45" s="118" t="n">
        <v>18000000</v>
      </c>
      <c r="C45" s="119" t="n">
        <v>80</v>
      </c>
      <c r="D45" s="119" t="n">
        <v>19</v>
      </c>
      <c r="E45" s="119" t="n">
        <v>3</v>
      </c>
      <c r="F45" s="119" t="s">
        <v>279</v>
      </c>
      <c r="G45" s="119" t="s">
        <v>283</v>
      </c>
      <c r="H45" s="119" t="n">
        <v>0</v>
      </c>
      <c r="I45" s="105" t="n">
        <f aca="false">IF(H45=1,Assumptions!$B$16,IF(H45=2,Assumptions!$B$17,0))</f>
        <v>0</v>
      </c>
      <c r="J45" s="119" t="s">
        <v>279</v>
      </c>
      <c r="K45" s="119" t="s">
        <v>279</v>
      </c>
      <c r="L45" s="119" t="s">
        <v>473</v>
      </c>
      <c r="N45" s="118" t="n">
        <f aca="false">B45*Assumptions!$B$10</f>
        <v>876623.376623377</v>
      </c>
      <c r="O45" s="118" t="n">
        <f aca="false">B45*Assumptions!$B$11</f>
        <v>876623.376623377</v>
      </c>
      <c r="P45" s="118" t="n">
        <f aca="false">B45*Assumptions!$B$12</f>
        <v>292207.792207792</v>
      </c>
      <c r="Q45" s="118" t="n">
        <f aca="false">N45+O45+P45</f>
        <v>2045454.54545455</v>
      </c>
      <c r="R45" s="118" t="n">
        <f aca="false">Q45*0.05</f>
        <v>102272.727272727</v>
      </c>
      <c r="S45" s="101" t="n">
        <f aca="false">C45+D45-1</f>
        <v>98</v>
      </c>
    </row>
    <row r="46" customFormat="false" ht="15" hidden="false" customHeight="false" outlineLevel="0" collapsed="false">
      <c r="A46" s="101" t="s">
        <v>503</v>
      </c>
      <c r="B46" s="118" t="n">
        <v>15000000</v>
      </c>
      <c r="C46" s="119" t="n">
        <v>82</v>
      </c>
      <c r="D46" s="119" t="n">
        <v>19</v>
      </c>
      <c r="E46" s="119" t="n">
        <v>3</v>
      </c>
      <c r="F46" s="119" t="s">
        <v>279</v>
      </c>
      <c r="G46" s="119" t="s">
        <v>283</v>
      </c>
      <c r="H46" s="119" t="n">
        <v>0</v>
      </c>
      <c r="I46" s="105" t="n">
        <f aca="false">IF(H46=1,Assumptions!$B$16,IF(H46=2,Assumptions!$B$17,0))</f>
        <v>0</v>
      </c>
      <c r="J46" s="119" t="s">
        <v>279</v>
      </c>
      <c r="K46" s="119" t="s">
        <v>279</v>
      </c>
      <c r="L46" s="119" t="s">
        <v>473</v>
      </c>
      <c r="N46" s="118" t="n">
        <f aca="false">B46*Assumptions!$B$10</f>
        <v>730519.48051948</v>
      </c>
      <c r="O46" s="118" t="n">
        <f aca="false">B46*Assumptions!$B$11</f>
        <v>730519.48051948</v>
      </c>
      <c r="P46" s="118" t="n">
        <f aca="false">B46*Assumptions!$B$12</f>
        <v>243506.493506494</v>
      </c>
      <c r="Q46" s="118" t="n">
        <f aca="false">N46+O46+P46</f>
        <v>1704545.45454545</v>
      </c>
      <c r="R46" s="118" t="n">
        <f aca="false">Q46*0.05</f>
        <v>85227.2727272727</v>
      </c>
      <c r="S46" s="101" t="n">
        <f aca="false">C46+D46-1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504</v>
      </c>
      <c r="B1" s="28" t="s">
        <v>505</v>
      </c>
      <c r="C1" s="28" t="s">
        <v>506</v>
      </c>
      <c r="D1" s="28" t="s">
        <v>507</v>
      </c>
      <c r="E1" s="28" t="s">
        <v>461</v>
      </c>
      <c r="F1" s="28" t="s">
        <v>273</v>
      </c>
      <c r="G1" s="28" t="s">
        <v>271</v>
      </c>
      <c r="H1" s="28" t="s">
        <v>508</v>
      </c>
      <c r="I1" s="28" t="s">
        <v>509</v>
      </c>
      <c r="J1" s="1" t="s">
        <v>510</v>
      </c>
    </row>
    <row r="2" customFormat="false" ht="15" hidden="false" customHeight="true" outlineLevel="0" collapsed="false">
      <c r="A2" s="101" t="s">
        <v>511</v>
      </c>
      <c r="B2" s="101" t="s">
        <v>512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513</v>
      </c>
      <c r="G2" s="106" t="s">
        <v>283</v>
      </c>
      <c r="H2" s="102" t="n">
        <v>0.5</v>
      </c>
      <c r="I2" s="105" t="n">
        <v>0</v>
      </c>
      <c r="J2" s="1" t="s">
        <v>514</v>
      </c>
    </row>
    <row r="3" customFormat="false" ht="15" hidden="false" customHeight="true" outlineLevel="0" collapsed="false">
      <c r="A3" s="101" t="s">
        <v>515</v>
      </c>
      <c r="B3" s="101" t="s">
        <v>512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513</v>
      </c>
      <c r="G3" s="106" t="s">
        <v>283</v>
      </c>
      <c r="H3" s="102" t="n">
        <v>0.5</v>
      </c>
      <c r="I3" s="105" t="n">
        <v>0</v>
      </c>
      <c r="J3" s="1" t="s">
        <v>514</v>
      </c>
    </row>
    <row r="4" customFormat="false" ht="15" hidden="false" customHeight="true" outlineLevel="0" collapsed="false">
      <c r="A4" s="101" t="s">
        <v>516</v>
      </c>
      <c r="B4" s="101" t="s">
        <v>517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513</v>
      </c>
      <c r="G4" s="106" t="s">
        <v>283</v>
      </c>
      <c r="H4" s="102" t="n">
        <v>0</v>
      </c>
      <c r="I4" s="105" t="n">
        <v>0</v>
      </c>
      <c r="J4" s="1" t="s">
        <v>514</v>
      </c>
    </row>
    <row r="5" customFormat="false" ht="15" hidden="false" customHeight="true" outlineLevel="0" collapsed="false">
      <c r="A5" s="101" t="s">
        <v>518</v>
      </c>
      <c r="B5" s="101" t="s">
        <v>517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513</v>
      </c>
      <c r="G5" s="106" t="s">
        <v>283</v>
      </c>
      <c r="H5" s="102" t="n">
        <v>0</v>
      </c>
      <c r="I5" s="105" t="n">
        <v>0</v>
      </c>
      <c r="J5" s="1" t="s">
        <v>514</v>
      </c>
    </row>
    <row r="6" customFormat="false" ht="15" hidden="false" customHeight="true" outlineLevel="0" collapsed="false">
      <c r="A6" s="120" t="s">
        <v>519</v>
      </c>
      <c r="B6" s="101" t="s">
        <v>517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513</v>
      </c>
      <c r="G6" s="106" t="s">
        <v>283</v>
      </c>
      <c r="H6" s="102" t="n">
        <v>0</v>
      </c>
      <c r="I6" s="105" t="n">
        <v>0</v>
      </c>
      <c r="J6" s="1" t="s">
        <v>514</v>
      </c>
    </row>
    <row r="7" customFormat="false" ht="15" hidden="false" customHeight="true" outlineLevel="0" collapsed="false">
      <c r="A7" s="101" t="s">
        <v>520</v>
      </c>
      <c r="B7" s="101" t="s">
        <v>521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513</v>
      </c>
      <c r="G7" s="106" t="s">
        <v>283</v>
      </c>
      <c r="H7" s="102" t="n">
        <v>0</v>
      </c>
      <c r="I7" s="105" t="n">
        <v>0</v>
      </c>
      <c r="J7" s="1" t="s">
        <v>514</v>
      </c>
    </row>
    <row r="8" customFormat="false" ht="15" hidden="false" customHeight="true" outlineLevel="0" collapsed="false">
      <c r="A8" s="101" t="s">
        <v>522</v>
      </c>
      <c r="B8" s="101" t="s">
        <v>521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513</v>
      </c>
      <c r="G8" s="106" t="s">
        <v>283</v>
      </c>
      <c r="H8" s="102" t="n">
        <v>0</v>
      </c>
      <c r="I8" s="105" t="n">
        <v>0</v>
      </c>
      <c r="J8" s="1" t="s">
        <v>514</v>
      </c>
    </row>
    <row r="9" customFormat="false" ht="15" hidden="false" customHeight="true" outlineLevel="0" collapsed="false">
      <c r="A9" s="120" t="s">
        <v>523</v>
      </c>
      <c r="B9" s="101" t="s">
        <v>521</v>
      </c>
      <c r="C9" s="118" t="n">
        <v>135000</v>
      </c>
      <c r="D9" s="108" t="n">
        <f aca="false">C9/12</f>
        <v>11250</v>
      </c>
      <c r="E9" s="119" t="n">
        <v>2</v>
      </c>
      <c r="F9" s="101" t="s">
        <v>513</v>
      </c>
      <c r="G9" s="106" t="s">
        <v>283</v>
      </c>
      <c r="H9" s="102" t="n">
        <v>0</v>
      </c>
      <c r="I9" s="105" t="n">
        <v>0</v>
      </c>
      <c r="J9" s="1" t="s">
        <v>514</v>
      </c>
    </row>
    <row r="10" customFormat="false" ht="15" hidden="false" customHeight="true" outlineLevel="0" collapsed="false">
      <c r="A10" s="120" t="s">
        <v>524</v>
      </c>
      <c r="B10" s="101" t="s">
        <v>521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513</v>
      </c>
      <c r="G10" s="106" t="s">
        <v>283</v>
      </c>
      <c r="H10" s="102" t="n">
        <v>0</v>
      </c>
      <c r="I10" s="105" t="n">
        <v>0</v>
      </c>
      <c r="J10" s="1" t="s">
        <v>514</v>
      </c>
    </row>
    <row r="11" customFormat="false" ht="15" hidden="false" customHeight="true" outlineLevel="0" collapsed="false">
      <c r="A11" s="101" t="s">
        <v>525</v>
      </c>
      <c r="B11" s="101" t="s">
        <v>526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513</v>
      </c>
      <c r="G11" s="106" t="s">
        <v>283</v>
      </c>
      <c r="H11" s="102" t="n">
        <v>0</v>
      </c>
      <c r="I11" s="105" t="n">
        <v>0</v>
      </c>
      <c r="J11" s="1" t="s">
        <v>527</v>
      </c>
    </row>
    <row r="12" customFormat="false" ht="15" hidden="false" customHeight="true" outlineLevel="0" collapsed="false">
      <c r="A12" s="101" t="s">
        <v>528</v>
      </c>
      <c r="B12" s="101" t="s">
        <v>526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513</v>
      </c>
      <c r="G12" s="106" t="s">
        <v>283</v>
      </c>
      <c r="H12" s="102" t="n">
        <v>0</v>
      </c>
      <c r="I12" s="105" t="n">
        <v>0</v>
      </c>
      <c r="J12" s="1" t="s">
        <v>527</v>
      </c>
    </row>
    <row r="13" customFormat="false" ht="15" hidden="false" customHeight="true" outlineLevel="0" collapsed="false">
      <c r="A13" s="101" t="s">
        <v>529</v>
      </c>
      <c r="B13" s="101" t="s">
        <v>526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513</v>
      </c>
      <c r="G13" s="106" t="s">
        <v>283</v>
      </c>
      <c r="H13" s="102" t="n">
        <v>0</v>
      </c>
      <c r="I13" s="105" t="n">
        <v>0</v>
      </c>
      <c r="J13" s="1" t="s">
        <v>527</v>
      </c>
    </row>
    <row r="14" customFormat="false" ht="15" hidden="false" customHeight="true" outlineLevel="0" collapsed="false">
      <c r="A14" s="101" t="s">
        <v>530</v>
      </c>
      <c r="B14" s="101" t="s">
        <v>531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513</v>
      </c>
      <c r="G14" s="106" t="s">
        <v>283</v>
      </c>
      <c r="H14" s="102" t="n">
        <v>0</v>
      </c>
      <c r="I14" s="105" t="n">
        <v>0</v>
      </c>
      <c r="J14" s="1" t="s">
        <v>527</v>
      </c>
    </row>
    <row r="15" customFormat="false" ht="15" hidden="false" customHeight="true" outlineLevel="0" collapsed="false">
      <c r="A15" s="120" t="s">
        <v>532</v>
      </c>
      <c r="B15" s="101" t="s">
        <v>531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513</v>
      </c>
      <c r="G15" s="106" t="s">
        <v>283</v>
      </c>
      <c r="H15" s="102" t="n">
        <v>0</v>
      </c>
      <c r="I15" s="105" t="n">
        <v>0</v>
      </c>
      <c r="J15" s="1" t="s">
        <v>527</v>
      </c>
    </row>
    <row r="16" customFormat="false" ht="15" hidden="false" customHeight="true" outlineLevel="0" collapsed="false">
      <c r="A16" s="120" t="s">
        <v>533</v>
      </c>
      <c r="B16" s="101" t="s">
        <v>531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513</v>
      </c>
      <c r="G16" s="106" t="s">
        <v>283</v>
      </c>
      <c r="H16" s="102" t="n">
        <v>0</v>
      </c>
      <c r="I16" s="105" t="n">
        <v>0</v>
      </c>
      <c r="J16" s="1" t="s">
        <v>527</v>
      </c>
    </row>
    <row r="17" customFormat="false" ht="15" hidden="false" customHeight="true" outlineLevel="0" collapsed="false">
      <c r="A17" s="120" t="s">
        <v>534</v>
      </c>
      <c r="B17" s="101" t="s">
        <v>531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513</v>
      </c>
      <c r="G17" s="106" t="s">
        <v>283</v>
      </c>
      <c r="H17" s="102" t="n">
        <v>0</v>
      </c>
      <c r="I17" s="105" t="n">
        <v>0</v>
      </c>
      <c r="J17" s="1" t="s">
        <v>527</v>
      </c>
    </row>
    <row r="18" customFormat="false" ht="15" hidden="false" customHeight="true" outlineLevel="0" collapsed="false">
      <c r="A18" s="120" t="s">
        <v>535</v>
      </c>
      <c r="B18" s="101" t="s">
        <v>531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513</v>
      </c>
      <c r="G18" s="106" t="s">
        <v>283</v>
      </c>
      <c r="H18" s="102" t="n">
        <v>0</v>
      </c>
      <c r="I18" s="105" t="n">
        <v>0</v>
      </c>
      <c r="J18" s="1" t="s">
        <v>527</v>
      </c>
    </row>
    <row r="19" customFormat="false" ht="15" hidden="false" customHeight="true" outlineLevel="0" collapsed="false">
      <c r="A19" s="101" t="s">
        <v>536</v>
      </c>
      <c r="B19" s="101" t="s">
        <v>537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513</v>
      </c>
      <c r="G19" s="106" t="s">
        <v>283</v>
      </c>
      <c r="H19" s="102" t="n">
        <v>0</v>
      </c>
      <c r="I19" s="105" t="n">
        <v>0</v>
      </c>
      <c r="J19" s="1" t="s">
        <v>527</v>
      </c>
    </row>
    <row r="20" customFormat="false" ht="15" hidden="false" customHeight="true" outlineLevel="0" collapsed="false">
      <c r="A20" s="101" t="s">
        <v>538</v>
      </c>
      <c r="B20" s="101" t="s">
        <v>537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513</v>
      </c>
      <c r="G20" s="106" t="s">
        <v>283</v>
      </c>
      <c r="H20" s="102" t="n">
        <v>0</v>
      </c>
      <c r="I20" s="105" t="n">
        <v>0</v>
      </c>
      <c r="J20" s="1" t="s">
        <v>527</v>
      </c>
    </row>
    <row r="21" customFormat="false" ht="15" hidden="false" customHeight="true" outlineLevel="0" collapsed="false">
      <c r="A21" s="101" t="s">
        <v>539</v>
      </c>
      <c r="B21" s="101" t="s">
        <v>540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513</v>
      </c>
      <c r="G21" s="106" t="s">
        <v>283</v>
      </c>
      <c r="H21" s="102" t="n">
        <v>0</v>
      </c>
      <c r="I21" s="105" t="n">
        <v>0</v>
      </c>
      <c r="J21" s="1" t="s">
        <v>527</v>
      </c>
    </row>
    <row r="22" customFormat="false" ht="15" hidden="false" customHeight="true" outlineLevel="0" collapsed="false">
      <c r="A22" s="101" t="s">
        <v>541</v>
      </c>
      <c r="B22" s="101" t="s">
        <v>540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513</v>
      </c>
      <c r="G22" s="106" t="s">
        <v>283</v>
      </c>
      <c r="H22" s="102" t="n">
        <v>0</v>
      </c>
      <c r="I22" s="105" t="n">
        <v>0</v>
      </c>
      <c r="J22" s="1" t="s">
        <v>527</v>
      </c>
    </row>
    <row r="23" customFormat="false" ht="15" hidden="false" customHeight="true" outlineLevel="0" collapsed="false">
      <c r="A23" s="101" t="s">
        <v>542</v>
      </c>
      <c r="B23" s="101" t="s">
        <v>543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513</v>
      </c>
      <c r="G23" s="106" t="s">
        <v>283</v>
      </c>
      <c r="H23" s="102" t="n">
        <v>0</v>
      </c>
      <c r="I23" s="105" t="n">
        <v>0</v>
      </c>
      <c r="J23" s="1" t="s">
        <v>514</v>
      </c>
    </row>
    <row r="24" customFormat="false" ht="15" hidden="false" customHeight="true" outlineLevel="0" collapsed="false">
      <c r="A24" s="101" t="s">
        <v>544</v>
      </c>
      <c r="B24" s="101" t="s">
        <v>543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513</v>
      </c>
      <c r="G24" s="106" t="s">
        <v>283</v>
      </c>
      <c r="H24" s="102" t="n">
        <v>0</v>
      </c>
      <c r="I24" s="105" t="n">
        <v>0</v>
      </c>
      <c r="J24" s="1" t="s">
        <v>514</v>
      </c>
    </row>
    <row r="25" customFormat="false" ht="15" hidden="false" customHeight="true" outlineLevel="0" collapsed="false">
      <c r="A25" s="120" t="s">
        <v>545</v>
      </c>
      <c r="B25" s="101" t="s">
        <v>543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513</v>
      </c>
      <c r="G25" s="106" t="s">
        <v>283</v>
      </c>
      <c r="H25" s="102" t="n">
        <v>0</v>
      </c>
      <c r="I25" s="105" t="n">
        <v>0</v>
      </c>
      <c r="J25" s="1" t="s">
        <v>514</v>
      </c>
    </row>
    <row r="27" customFormat="false" ht="15" hidden="false" customHeight="true" outlineLevel="0" collapsed="false">
      <c r="A27" s="8" t="s">
        <v>546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547</v>
      </c>
      <c r="B28" s="101" t="s">
        <v>548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549</v>
      </c>
      <c r="G28" s="106" t="s">
        <v>283</v>
      </c>
      <c r="H28" s="102" t="n">
        <v>1</v>
      </c>
      <c r="I28" s="78" t="n">
        <v>0.5</v>
      </c>
      <c r="J28" s="1" t="s">
        <v>550</v>
      </c>
    </row>
    <row r="29" customFormat="false" ht="15" hidden="false" customHeight="true" outlineLevel="0" collapsed="false">
      <c r="A29" s="101" t="s">
        <v>551</v>
      </c>
      <c r="B29" s="101" t="s">
        <v>548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549</v>
      </c>
      <c r="G29" s="106" t="s">
        <v>283</v>
      </c>
      <c r="H29" s="102" t="n">
        <v>1</v>
      </c>
      <c r="I29" s="78" t="n">
        <v>0.2</v>
      </c>
      <c r="J29" s="1" t="s">
        <v>550</v>
      </c>
    </row>
    <row r="30" customFormat="false" ht="15" hidden="false" customHeight="true" outlineLevel="0" collapsed="false">
      <c r="A30" s="101" t="s">
        <v>552</v>
      </c>
      <c r="B30" s="101" t="s">
        <v>553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549</v>
      </c>
      <c r="G30" s="106" t="s">
        <v>283</v>
      </c>
      <c r="H30" s="102" t="n">
        <v>1</v>
      </c>
      <c r="I30" s="102" t="n">
        <v>1</v>
      </c>
      <c r="J30" s="1" t="s">
        <v>550</v>
      </c>
    </row>
    <row r="31" customFormat="false" ht="15" hidden="false" customHeight="true" outlineLevel="0" collapsed="false">
      <c r="A31" s="101" t="s">
        <v>554</v>
      </c>
      <c r="B31" s="101" t="s">
        <v>555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549</v>
      </c>
      <c r="G31" s="106" t="s">
        <v>283</v>
      </c>
      <c r="H31" s="102" t="n">
        <v>1</v>
      </c>
      <c r="I31" s="102" t="n">
        <v>0</v>
      </c>
      <c r="J31" s="1" t="s">
        <v>550</v>
      </c>
    </row>
    <row r="32" customFormat="false" ht="15" hidden="false" customHeight="true" outlineLevel="0" collapsed="false">
      <c r="A32" s="101" t="s">
        <v>556</v>
      </c>
      <c r="B32" s="101" t="s">
        <v>557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549</v>
      </c>
      <c r="G32" s="106" t="s">
        <v>283</v>
      </c>
      <c r="H32" s="102" t="n">
        <v>0</v>
      </c>
      <c r="I32" s="78" t="n">
        <v>0.3</v>
      </c>
      <c r="J32" s="1" t="s">
        <v>550</v>
      </c>
    </row>
    <row r="33" customFormat="false" ht="15" hidden="false" customHeight="true" outlineLevel="0" collapsed="false">
      <c r="A33" s="101" t="s">
        <v>558</v>
      </c>
      <c r="B33" s="101" t="s">
        <v>559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549</v>
      </c>
      <c r="G33" s="106" t="s">
        <v>283</v>
      </c>
      <c r="H33" s="102" t="n">
        <v>0</v>
      </c>
      <c r="I33" s="78" t="n">
        <v>0.75</v>
      </c>
      <c r="J33" s="1" t="s">
        <v>550</v>
      </c>
    </row>
    <row r="34" customFormat="false" ht="15" hidden="false" customHeight="true" outlineLevel="0" collapsed="false">
      <c r="A34" s="101" t="s">
        <v>560</v>
      </c>
      <c r="B34" s="101" t="s">
        <v>561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549</v>
      </c>
      <c r="G34" s="106" t="s">
        <v>283</v>
      </c>
      <c r="H34" s="102" t="n">
        <v>0</v>
      </c>
      <c r="I34" s="78" t="n">
        <v>0.75</v>
      </c>
      <c r="J34" s="1" t="s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562</v>
      </c>
      <c r="B1" s="4" t="s">
        <v>563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564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565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566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567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161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568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569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570</v>
      </c>
      <c r="C20" s="126" t="n">
        <f aca="false">MIN(C19,Model!C60)</f>
        <v>0</v>
      </c>
      <c r="D20" s="126" t="n">
        <f aca="false">MIN(D19,Model!D60)</f>
        <v>0</v>
      </c>
      <c r="E20" s="126" t="n">
        <f aca="false">MIN(E19,Model!E60)</f>
        <v>0</v>
      </c>
      <c r="F20" s="126" t="n">
        <f aca="false">MIN(F19,Model!F60)</f>
        <v>0</v>
      </c>
      <c r="G20" s="126" t="n">
        <f aca="false">MIN(G19,Model!G60)</f>
        <v>0</v>
      </c>
      <c r="H20" s="126" t="n">
        <f aca="false">MIN(H19,Model!H60)</f>
        <v>0</v>
      </c>
      <c r="I20" s="126" t="n">
        <f aca="false">MIN(I19,Model!I60)</f>
        <v>0</v>
      </c>
      <c r="J20" s="126" t="n">
        <f aca="false">MIN(J19,Model!J60)</f>
        <v>0</v>
      </c>
      <c r="K20" s="126" t="n">
        <f aca="false">MIN(K19,Model!K60)</f>
        <v>0</v>
      </c>
      <c r="L20" s="126" t="n">
        <f aca="false">MIN(L19,Model!L60)</f>
        <v>0</v>
      </c>
      <c r="M20" s="126" t="n">
        <f aca="false">MIN(M19,Model!M60)</f>
        <v>0</v>
      </c>
      <c r="N20" s="126" t="n">
        <f aca="false">MIN(N19,Model!N60)</f>
        <v>0</v>
      </c>
      <c r="O20" s="126" t="n">
        <f aca="false">MIN(O19,Model!O60)</f>
        <v>0</v>
      </c>
      <c r="P20" s="126" t="n">
        <f aca="false">MIN(P19,Model!P60)</f>
        <v>0</v>
      </c>
      <c r="Q20" s="126" t="n">
        <f aca="false">MIN(Q19,Model!Q60)</f>
        <v>0</v>
      </c>
      <c r="R20" s="126" t="n">
        <f aca="false">MIN(R19,Model!R60)</f>
        <v>0</v>
      </c>
      <c r="S20" s="126" t="n">
        <f aca="false">MIN(S19,Model!S60)</f>
        <v>0</v>
      </c>
      <c r="T20" s="126" t="n">
        <f aca="false">MIN(T19,Model!T60)</f>
        <v>0</v>
      </c>
      <c r="U20" s="126" t="n">
        <f aca="false">MIN(U19,Model!U60)</f>
        <v>0</v>
      </c>
      <c r="V20" s="126" t="n">
        <f aca="false">MIN(V19,Model!V60)</f>
        <v>0</v>
      </c>
      <c r="W20" s="126" t="n">
        <f aca="false">MIN(W19,Model!W60)</f>
        <v>0</v>
      </c>
      <c r="X20" s="126" t="n">
        <f aca="false">MIN(X19,Model!X60)</f>
        <v>0</v>
      </c>
      <c r="Y20" s="126" t="n">
        <f aca="false">MIN(Y19,Model!Y60)</f>
        <v>0</v>
      </c>
      <c r="Z20" s="126" t="n">
        <f aca="false">MIN(Z19,Model!Z60)</f>
        <v>0</v>
      </c>
      <c r="AA20" s="126" t="n">
        <f aca="false">MIN(AA19,Model!AA60)</f>
        <v>0</v>
      </c>
      <c r="AB20" s="126" t="n">
        <f aca="false">MIN(AB19,Model!AB60)</f>
        <v>0</v>
      </c>
      <c r="AC20" s="126" t="n">
        <f aca="false">MIN(AC19,Model!AC60)</f>
        <v>0</v>
      </c>
      <c r="AD20" s="126" t="n">
        <f aca="false">MIN(AD19,Model!AD60)</f>
        <v>0</v>
      </c>
      <c r="AE20" s="126" t="n">
        <f aca="false">MIN(AE19,Model!AE60)</f>
        <v>0</v>
      </c>
      <c r="AF20" s="126" t="n">
        <f aca="false">MIN(AF19,Model!AF60)</f>
        <v>0</v>
      </c>
      <c r="AG20" s="126" t="n">
        <f aca="false">MIN(AG19,Model!AG60)</f>
        <v>0</v>
      </c>
      <c r="AH20" s="126" t="n">
        <f aca="false">MIN(AH19,Model!AH60)</f>
        <v>0</v>
      </c>
      <c r="AI20" s="126" t="n">
        <f aca="false">MIN(AI19,Model!AI60)</f>
        <v>0</v>
      </c>
      <c r="AJ20" s="126" t="n">
        <f aca="false">MIN(AJ19,Model!AJ60)</f>
        <v>0</v>
      </c>
      <c r="AK20" s="126" t="n">
        <f aca="false">MIN(AK19,Model!AK60)</f>
        <v>0</v>
      </c>
      <c r="AL20" s="126" t="n">
        <f aca="false">MIN(AL19,Model!AL60)</f>
        <v>0</v>
      </c>
      <c r="AM20" s="126" t="n">
        <f aca="false">MIN(AM19,Model!AM60)</f>
        <v>0</v>
      </c>
      <c r="AN20" s="126" t="n">
        <f aca="false">MIN(AN19,Model!AN60)</f>
        <v>0</v>
      </c>
      <c r="AO20" s="126" t="n">
        <f aca="false">MIN(AO19,Model!AO60)</f>
        <v>0</v>
      </c>
      <c r="AP20" s="126" t="n">
        <f aca="false">MIN(AP19,Model!AP60)</f>
        <v>0</v>
      </c>
      <c r="AQ20" s="126" t="n">
        <f aca="false">MIN(AQ19,Model!AQ60)</f>
        <v>0</v>
      </c>
      <c r="AR20" s="126" t="n">
        <f aca="false">MIN(AR19,Model!AR60)</f>
        <v>81683</v>
      </c>
      <c r="AS20" s="126" t="n">
        <f aca="false">MIN(AS19,Model!AS60)</f>
        <v>0</v>
      </c>
      <c r="AT20" s="126" t="n">
        <f aca="false">MIN(AT19,Model!AT60)</f>
        <v>0</v>
      </c>
      <c r="AU20" s="126" t="n">
        <f aca="false">MIN(AU19,Model!AU60)</f>
        <v>81682</v>
      </c>
      <c r="AV20" s="126" t="n">
        <f aca="false">MIN(AV19,Model!AV60)</f>
        <v>0</v>
      </c>
      <c r="AW20" s="126" t="n">
        <f aca="false">MIN(AW19,Model!AW60)</f>
        <v>0</v>
      </c>
      <c r="AX20" s="126" t="n">
        <f aca="false">MIN(AX19,Model!AX60)</f>
        <v>81682</v>
      </c>
      <c r="AY20" s="126" t="n">
        <f aca="false">MIN(AY19,Model!AY60)</f>
        <v>0</v>
      </c>
      <c r="AZ20" s="126" t="n">
        <f aca="false">MIN(AZ19,Model!AZ60)</f>
        <v>0</v>
      </c>
      <c r="BA20" s="126" t="n">
        <f aca="false">MIN(BA19,Model!BA60)</f>
        <v>81682</v>
      </c>
      <c r="BB20" s="126" t="n">
        <f aca="false">MIN(BB19,Model!BB60)</f>
        <v>0</v>
      </c>
      <c r="BC20" s="126" t="n">
        <f aca="false">MIN(BC19,Model!BC60)</f>
        <v>0</v>
      </c>
      <c r="BD20" s="126" t="n">
        <f aca="false">MIN(BD19,Model!BD60)</f>
        <v>59178</v>
      </c>
      <c r="BE20" s="126" t="n">
        <f aca="false">MIN(BE19,Model!BE60)</f>
        <v>0</v>
      </c>
      <c r="BF20" s="126" t="n">
        <f aca="false">MIN(BF19,Model!BF60)</f>
        <v>0</v>
      </c>
      <c r="BG20" s="126" t="n">
        <f aca="false">MIN(BG19,Model!BG60)</f>
        <v>59176</v>
      </c>
      <c r="BH20" s="126" t="n">
        <f aca="false">MIN(BH19,Model!BH60)</f>
        <v>0</v>
      </c>
      <c r="BI20" s="126" t="n">
        <f aca="false">MIN(BI19,Model!BI60)</f>
        <v>0</v>
      </c>
      <c r="BJ20" s="126" t="n">
        <f aca="false">MIN(BJ19,Model!BJ60)</f>
        <v>59176</v>
      </c>
      <c r="BK20" s="126" t="n">
        <f aca="false">MIN(BK19,Model!BK60)</f>
        <v>0</v>
      </c>
      <c r="BL20" s="126" t="n">
        <f aca="false">MIN(BL19,Model!BL60)</f>
        <v>0</v>
      </c>
      <c r="BM20" s="126" t="n">
        <f aca="false">MIN(BM19,Model!BM60)</f>
        <v>59176</v>
      </c>
      <c r="BN20" s="126" t="n">
        <f aca="false">MIN(BN19,Model!BN60)</f>
        <v>0</v>
      </c>
      <c r="BO20" s="126" t="n">
        <f aca="false">MIN(BO19,Model!BO60)</f>
        <v>0</v>
      </c>
      <c r="BP20" s="126" t="n">
        <f aca="false">MIN(BP19,Model!BP60)</f>
        <v>16249.48</v>
      </c>
      <c r="BQ20" s="126" t="n">
        <f aca="false">MIN(BQ19,Model!BQ60)</f>
        <v>0</v>
      </c>
      <c r="BR20" s="126" t="n">
        <f aca="false">MIN(BR19,Model!BR60)</f>
        <v>0</v>
      </c>
      <c r="BS20" s="126" t="n">
        <f aca="false">MIN(BS19,Model!BS60)</f>
        <v>0</v>
      </c>
      <c r="BT20" s="126" t="n">
        <f aca="false">MIN(BT19,Model!BT60)</f>
        <v>0</v>
      </c>
      <c r="BU20" s="126" t="n">
        <f aca="false">MIN(BU19,Model!BU60)</f>
        <v>0</v>
      </c>
      <c r="BV20" s="126" t="n">
        <f aca="false">MIN(BV19,Model!BV60)</f>
        <v>0</v>
      </c>
      <c r="BW20" s="126" t="n">
        <f aca="false">MIN(BW19,Model!BW60)</f>
        <v>0</v>
      </c>
      <c r="BX20" s="126" t="n">
        <f aca="false">MIN(BX19,Model!BX60)</f>
        <v>0</v>
      </c>
      <c r="BY20" s="126" t="n">
        <f aca="false">MIN(BY19,Model!BY60)</f>
        <v>0</v>
      </c>
      <c r="BZ20" s="126" t="n">
        <f aca="false">MIN(BZ19,Model!BZ60)</f>
        <v>0</v>
      </c>
      <c r="CA20" s="126" t="n">
        <f aca="false">MIN(CA19,Model!CA60)</f>
        <v>0</v>
      </c>
      <c r="CB20" s="126" t="n">
        <f aca="false">MIN(CB19,Model!CB60)</f>
        <v>0</v>
      </c>
      <c r="CC20" s="126" t="n">
        <f aca="false">MIN(CC19,Model!CC60)</f>
        <v>0</v>
      </c>
      <c r="CD20" s="126" t="n">
        <f aca="false">MIN(CD19,Model!CD60)</f>
        <v>0</v>
      </c>
      <c r="CE20" s="126" t="n">
        <f aca="false">MIN(CE19,Model!CE60)</f>
        <v>0</v>
      </c>
      <c r="CF20" s="126" t="n">
        <f aca="false">MIN(CF19,Model!CF60)</f>
        <v>0</v>
      </c>
      <c r="CG20" s="126" t="n">
        <f aca="false">MIN(CG19,Model!CG60)</f>
        <v>0</v>
      </c>
      <c r="CH20" s="126" t="n">
        <f aca="false">MIN(CH19,Model!CH60)</f>
        <v>0</v>
      </c>
    </row>
    <row r="21" customFormat="false" ht="15" hidden="false" customHeight="true" outlineLevel="0" collapsed="false">
      <c r="A21" s="123" t="s">
        <v>571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572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573</v>
      </c>
      <c r="C23" s="126" t="n">
        <f aca="false">MIN(C22,Model!C61)</f>
        <v>0</v>
      </c>
      <c r="D23" s="126" t="n">
        <f aca="false">MIN(D22,Model!D61)</f>
        <v>0</v>
      </c>
      <c r="E23" s="126" t="n">
        <f aca="false">MIN(E22,Model!E61)</f>
        <v>0</v>
      </c>
      <c r="F23" s="126" t="n">
        <f aca="false">MIN(F22,Model!F61)</f>
        <v>0</v>
      </c>
      <c r="G23" s="126" t="n">
        <f aca="false">MIN(G22,Model!G61)</f>
        <v>0</v>
      </c>
      <c r="H23" s="126" t="n">
        <f aca="false">MIN(H22,Model!H61)</f>
        <v>0</v>
      </c>
      <c r="I23" s="126" t="n">
        <f aca="false">MIN(I22,Model!I61)</f>
        <v>0</v>
      </c>
      <c r="J23" s="126" t="n">
        <f aca="false">MIN(J22,Model!J61)</f>
        <v>0</v>
      </c>
      <c r="K23" s="126" t="n">
        <f aca="false">MIN(K22,Model!K61)</f>
        <v>0</v>
      </c>
      <c r="L23" s="126" t="n">
        <f aca="false">MIN(L22,Model!L61)</f>
        <v>0</v>
      </c>
      <c r="M23" s="126" t="n">
        <f aca="false">MIN(M22,Model!M61)</f>
        <v>0</v>
      </c>
      <c r="N23" s="126" t="n">
        <f aca="false">MIN(N22,Model!N61)</f>
        <v>0</v>
      </c>
      <c r="O23" s="126" t="n">
        <f aca="false">MIN(O22,Model!O61)</f>
        <v>0</v>
      </c>
      <c r="P23" s="126" t="n">
        <f aca="false">MIN(P22,Model!P61)</f>
        <v>0</v>
      </c>
      <c r="Q23" s="126" t="n">
        <f aca="false">MIN(Q22,Model!Q61)</f>
        <v>0</v>
      </c>
      <c r="R23" s="126" t="n">
        <f aca="false">MIN(R22,Model!R61)</f>
        <v>0</v>
      </c>
      <c r="S23" s="126" t="n">
        <f aca="false">MIN(S22,Model!S61)</f>
        <v>0</v>
      </c>
      <c r="T23" s="126" t="n">
        <f aca="false">MIN(T22,Model!T61)</f>
        <v>0</v>
      </c>
      <c r="U23" s="126" t="n">
        <f aca="false">MIN(U22,Model!U61)</f>
        <v>0</v>
      </c>
      <c r="V23" s="126" t="n">
        <f aca="false">MIN(V22,Model!V61)</f>
        <v>0</v>
      </c>
      <c r="W23" s="126" t="n">
        <f aca="false">MIN(W22,Model!W61)</f>
        <v>0</v>
      </c>
      <c r="X23" s="126" t="n">
        <f aca="false">MIN(X22,Model!X61)</f>
        <v>0</v>
      </c>
      <c r="Y23" s="126" t="n">
        <f aca="false">MIN(Y22,Model!Y61)</f>
        <v>0</v>
      </c>
      <c r="Z23" s="126" t="n">
        <f aca="false">MIN(Z22,Model!Z61)</f>
        <v>0</v>
      </c>
      <c r="AA23" s="126" t="n">
        <f aca="false">MIN(AA22,Model!AA61)</f>
        <v>0</v>
      </c>
      <c r="AB23" s="126" t="n">
        <f aca="false">MIN(AB22,Model!AB61)</f>
        <v>0</v>
      </c>
      <c r="AC23" s="126" t="n">
        <f aca="false">MIN(AC22,Model!AC61)</f>
        <v>0</v>
      </c>
      <c r="AD23" s="126" t="n">
        <f aca="false">MIN(AD22,Model!AD61)</f>
        <v>0</v>
      </c>
      <c r="AE23" s="126" t="n">
        <f aca="false">MIN(AE22,Model!AE61)</f>
        <v>0</v>
      </c>
      <c r="AF23" s="126" t="n">
        <f aca="false">MIN(AF22,Model!AF61)</f>
        <v>0</v>
      </c>
      <c r="AG23" s="126" t="n">
        <f aca="false">MIN(AG22,Model!AG61)</f>
        <v>0</v>
      </c>
      <c r="AH23" s="126" t="n">
        <f aca="false">MIN(AH22,Model!AH61)</f>
        <v>0</v>
      </c>
      <c r="AI23" s="126" t="n">
        <f aca="false">MIN(AI22,Model!AI61)</f>
        <v>0</v>
      </c>
      <c r="AJ23" s="126" t="n">
        <f aca="false">MIN(AJ22,Model!AJ61)</f>
        <v>0</v>
      </c>
      <c r="AK23" s="126" t="n">
        <f aca="false">MIN(AK22,Model!AK61)</f>
        <v>0</v>
      </c>
      <c r="AL23" s="126" t="n">
        <f aca="false">MIN(AL22,Model!AL61)</f>
        <v>0</v>
      </c>
      <c r="AM23" s="126" t="n">
        <f aca="false">MIN(AM22,Model!AM61)</f>
        <v>0</v>
      </c>
      <c r="AN23" s="126" t="n">
        <f aca="false">MIN(AN22,Model!AN61)</f>
        <v>0</v>
      </c>
      <c r="AO23" s="126" t="n">
        <f aca="false">MIN(AO22,Model!AO61)</f>
        <v>0</v>
      </c>
      <c r="AP23" s="126" t="n">
        <f aca="false">MIN(AP22,Model!AP61)</f>
        <v>0</v>
      </c>
      <c r="AQ23" s="126" t="n">
        <f aca="false">MIN(AQ22,Model!AQ61)</f>
        <v>0</v>
      </c>
      <c r="AR23" s="126" t="n">
        <f aca="false">MIN(AR22,Model!AR61)</f>
        <v>0</v>
      </c>
      <c r="AS23" s="126" t="n">
        <f aca="false">MIN(AS22,Model!AS61)</f>
        <v>0</v>
      </c>
      <c r="AT23" s="126" t="n">
        <f aca="false">MIN(AT22,Model!AT61)</f>
        <v>0</v>
      </c>
      <c r="AU23" s="126" t="n">
        <f aca="false">MIN(AU22,Model!AU61)</f>
        <v>0</v>
      </c>
      <c r="AV23" s="126" t="n">
        <f aca="false">MIN(AV22,Model!AV61)</f>
        <v>0</v>
      </c>
      <c r="AW23" s="126" t="n">
        <f aca="false">MIN(AW22,Model!AW61)</f>
        <v>0</v>
      </c>
      <c r="AX23" s="126" t="n">
        <f aca="false">MIN(AX22,Model!AX61)</f>
        <v>0</v>
      </c>
      <c r="AY23" s="126" t="n">
        <f aca="false">MIN(AY22,Model!AY61)</f>
        <v>0</v>
      </c>
      <c r="AZ23" s="126" t="n">
        <f aca="false">MIN(AZ22,Model!AZ61)</f>
        <v>0</v>
      </c>
      <c r="BA23" s="126" t="n">
        <f aca="false">MIN(BA22,Model!BA61)</f>
        <v>602667.7</v>
      </c>
      <c r="BB23" s="126" t="n">
        <f aca="false">MIN(BB22,Model!BB61)</f>
        <v>0</v>
      </c>
      <c r="BC23" s="126" t="n">
        <f aca="false">MIN(BC22,Model!BC61)</f>
        <v>0</v>
      </c>
      <c r="BD23" s="126" t="n">
        <f aca="false">MIN(BD22,Model!BD61)</f>
        <v>0</v>
      </c>
      <c r="BE23" s="126" t="n">
        <f aca="false">MIN(BE22,Model!BE61)</f>
        <v>0</v>
      </c>
      <c r="BF23" s="126" t="n">
        <f aca="false">MIN(BF22,Model!BF61)</f>
        <v>0</v>
      </c>
      <c r="BG23" s="126" t="n">
        <f aca="false">MIN(BG22,Model!BG61)</f>
        <v>0</v>
      </c>
      <c r="BH23" s="126" t="n">
        <f aca="false">MIN(BH22,Model!BH61)</f>
        <v>0</v>
      </c>
      <c r="BI23" s="126" t="n">
        <f aca="false">MIN(BI22,Model!BI61)</f>
        <v>0</v>
      </c>
      <c r="BJ23" s="126" t="n">
        <f aca="false">MIN(BJ22,Model!BJ61)</f>
        <v>0</v>
      </c>
      <c r="BK23" s="126" t="n">
        <f aca="false">MIN(BK22,Model!BK61)</f>
        <v>0</v>
      </c>
      <c r="BL23" s="126" t="n">
        <f aca="false">MIN(BL22,Model!BL61)</f>
        <v>0</v>
      </c>
      <c r="BM23" s="126" t="n">
        <f aca="false">MIN(BM22,Model!BM61)</f>
        <v>0</v>
      </c>
      <c r="BN23" s="126" t="n">
        <f aca="false">MIN(BN22,Model!BN61)</f>
        <v>0</v>
      </c>
      <c r="BO23" s="126" t="n">
        <f aca="false">MIN(BO22,Model!BO61)</f>
        <v>0</v>
      </c>
      <c r="BP23" s="126" t="n">
        <f aca="false">MIN(BP22,Model!BP61)</f>
        <v>0</v>
      </c>
      <c r="BQ23" s="126" t="n">
        <f aca="false">MIN(BQ22,Model!BQ61)</f>
        <v>0</v>
      </c>
      <c r="BR23" s="126" t="n">
        <f aca="false">MIN(BR22,Model!BR61)</f>
        <v>0</v>
      </c>
      <c r="BS23" s="126" t="n">
        <f aca="false">MIN(BS22,Model!BS61)</f>
        <v>0</v>
      </c>
      <c r="BT23" s="126" t="n">
        <f aca="false">MIN(BT22,Model!BT61)</f>
        <v>0</v>
      </c>
      <c r="BU23" s="126" t="n">
        <f aca="false">MIN(BU22,Model!BU61)</f>
        <v>0</v>
      </c>
      <c r="BV23" s="126" t="n">
        <f aca="false">MIN(BV22,Model!BV61)</f>
        <v>0</v>
      </c>
      <c r="BW23" s="126" t="n">
        <f aca="false">MIN(BW22,Model!BW61)</f>
        <v>0</v>
      </c>
      <c r="BX23" s="126" t="n">
        <f aca="false">MIN(BX22,Model!BX61)</f>
        <v>0</v>
      </c>
      <c r="BY23" s="126" t="n">
        <f aca="false">MIN(BY22,Model!BY61)</f>
        <v>0</v>
      </c>
      <c r="BZ23" s="126" t="n">
        <f aca="false">MIN(BZ22,Model!BZ61)</f>
        <v>0</v>
      </c>
      <c r="CA23" s="126" t="n">
        <f aca="false">MIN(CA22,Model!CA61)</f>
        <v>0</v>
      </c>
      <c r="CB23" s="126" t="n">
        <f aca="false">MIN(CB22,Model!CB61)</f>
        <v>0</v>
      </c>
      <c r="CC23" s="126" t="n">
        <f aca="false">MIN(CC22,Model!CC61)</f>
        <v>0</v>
      </c>
      <c r="CD23" s="126" t="n">
        <f aca="false">MIN(CD22,Model!CD61)</f>
        <v>0</v>
      </c>
      <c r="CE23" s="126" t="n">
        <f aca="false">MIN(CE22,Model!CE61)</f>
        <v>0</v>
      </c>
      <c r="CF23" s="126" t="n">
        <f aca="false">MIN(CF22,Model!CF61)</f>
        <v>0</v>
      </c>
      <c r="CG23" s="126" t="n">
        <f aca="false">MIN(CG22,Model!CG61)</f>
        <v>0</v>
      </c>
      <c r="CH23" s="126" t="n">
        <f aca="false">MIN(CH22,Model!CH61)</f>
        <v>0</v>
      </c>
    </row>
    <row r="24" customFormat="false" ht="15" hidden="false" customHeight="true" outlineLevel="0" collapsed="false">
      <c r="A24" s="123" t="s">
        <v>574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575</v>
      </c>
      <c r="B25" s="1" t="s">
        <v>576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577</v>
      </c>
      <c r="C26" s="127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578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579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580</v>
      </c>
    </row>
    <row r="32" customFormat="false" ht="15" hidden="false" customHeight="true" outlineLevel="0" collapsed="false">
      <c r="A32" s="129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28" t="s">
        <v>581</v>
      </c>
    </row>
    <row r="37" customFormat="false" ht="15" hidden="false" customHeight="true" outlineLevel="0" collapsed="false">
      <c r="A37" s="129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28" t="s">
        <v>582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583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584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585</v>
      </c>
      <c r="B52" s="128" t="s">
        <v>586</v>
      </c>
      <c r="C52" s="128" t="s">
        <v>587</v>
      </c>
      <c r="D52" s="128" t="s">
        <v>588</v>
      </c>
      <c r="E52" s="128" t="s">
        <v>589</v>
      </c>
      <c r="F52" s="128" t="s">
        <v>590</v>
      </c>
      <c r="G52" s="128" t="s">
        <v>591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592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  <row r="96" customFormat="false" ht="15" hidden="false" customHeight="true" outlineLevel="0" collapsed="false">
      <c r="A96" s="131" t="s">
        <v>593</v>
      </c>
    </row>
    <row r="97" customFormat="false" ht="15" hidden="false" customHeight="true" outlineLevel="0" collapsed="false">
      <c r="A97" s="1" t="s">
        <v>594</v>
      </c>
      <c r="C97" s="1" t="n">
        <f aca="false">IF(AND(Projects!$G$17="Yes",1&gt;=Projects!$C$17,1&lt;Projects!$C$17+Projects!$D$17),Projects!$B$17*INDEX(Curves!$B$4:$AO$4,1,1-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$4:$AO$4,1,1-Projects!$C$24+1),0)+IF(AND(Projects!$G$25="Yes",1&gt;=Projects!$C$25,1&lt;Projects!$C$25+Projects!$D$25),Projects!$B$25*INDEX(Curves!$B$4:$AO$4,1,1-Projects!$C$25+1),0)+IF(AND(Projects!$G$26="Yes",1&gt;=Projects!$C$26,1&lt;Projects!$C$26+Projects!$D$26),Projects!$B$26*INDEX(Curves!$B$4:$AO$4,1,1-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 s="1" t="n">
        <f aca="false">IF(AND(Projects!$G$17="Yes",2&gt;=Projects!$C$17,2&lt;Projects!$C$17+Projects!$D$17),Projects!$B$17*INDEX(Curves!$B$4:$AO$4,1,2-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$4:$AO$4,1,2-Projects!$C$24+1),0)+IF(AND(Projects!$G$25="Yes",2&gt;=Projects!$C$25,2&lt;Projects!$C$25+Projects!$D$25),Projects!$B$25*INDEX(Curves!$B$4:$AO$4,1,2-Projects!$C$25+1),0)+IF(AND(Projects!$G$26="Yes",2&gt;=Projects!$C$26,2&lt;Projects!$C$26+Projects!$D$26),Projects!$B$26*INDEX(Curves!$B$4:$AO$4,1,2-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 s="1" t="n">
        <f aca="false">IF(AND(Projects!$G$17="Yes",3&gt;=Projects!$C$17,3&lt;Projects!$C$17+Projects!$D$17),Projects!$B$17*INDEX(Curves!$B$4:$AO$4,1,3-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$4:$AO$4,1,3-Projects!$C$24+1),0)+IF(AND(Projects!$G$25="Yes",3&gt;=Projects!$C$25,3&lt;Projects!$C$25+Projects!$D$25),Projects!$B$25*INDEX(Curves!$B$4:$AO$4,1,3-Projects!$C$25+1),0)+IF(AND(Projects!$G$26="Yes",3&gt;=Projects!$C$26,3&lt;Projects!$C$26+Projects!$D$26),Projects!$B$26*INDEX(Curves!$B$4:$AO$4,1,3-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 s="1" t="n">
        <f aca="false">IF(AND(Projects!$G$17="Yes",4&gt;=Projects!$C$17,4&lt;Projects!$C$17+Projects!$D$17),Projects!$B$17*INDEX(Curves!$B$4:$AO$4,1,4-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$4:$AO$4,1,4-Projects!$C$24+1),0)+IF(AND(Projects!$G$25="Yes",4&gt;=Projects!$C$25,4&lt;Projects!$C$25+Projects!$D$25),Projects!$B$25*INDEX(Curves!$B$4:$AO$4,1,4-Projects!$C$25+1),0)+IF(AND(Projects!$G$26="Yes",4&gt;=Projects!$C$26,4&lt;Projects!$C$26+Projects!$D$26),Projects!$B$26*INDEX(Curves!$B$4:$AO$4,1,4-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 s="1" t="n">
        <f aca="false">IF(AND(Projects!$G$17="Yes",5&gt;=Projects!$C$17,5&lt;Projects!$C$17+Projects!$D$17),Projects!$B$17*INDEX(Curves!$B$4:$AO$4,1,5-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$4:$AO$4,1,5-Projects!$C$24+1),0)+IF(AND(Projects!$G$25="Yes",5&gt;=Projects!$C$25,5&lt;Projects!$C$25+Projects!$D$25),Projects!$B$25*INDEX(Curves!$B$4:$AO$4,1,5-Projects!$C$25+1),0)+IF(AND(Projects!$G$26="Yes",5&gt;=Projects!$C$26,5&lt;Projects!$C$26+Projects!$D$26),Projects!$B$26*INDEX(Curves!$B$4:$AO$4,1,5-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 s="1" t="n">
        <f aca="false">IF(AND(Projects!$G$17="Yes",6&gt;=Projects!$C$17,6&lt;Projects!$C$17+Projects!$D$17),Projects!$B$17*INDEX(Curves!$B$4:$AO$4,1,6-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$4:$AO$4,1,6-Projects!$C$24+1),0)+IF(AND(Projects!$G$25="Yes",6&gt;=Projects!$C$25,6&lt;Projects!$C$25+Projects!$D$25),Projects!$B$25*INDEX(Curves!$B$4:$AO$4,1,6-Projects!$C$25+1),0)+IF(AND(Projects!$G$26="Yes",6&gt;=Projects!$C$26,6&lt;Projects!$C$26+Projects!$D$26),Projects!$B$26*INDEX(Curves!$B$4:$AO$4,1,6-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 s="1" t="n">
        <f aca="false">IF(AND(Projects!$G$17="Yes",7&gt;=Projects!$C$17,7&lt;Projects!$C$17+Projects!$D$17),Projects!$B$17*INDEX(Curves!$B$4:$AO$4,1,7-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$4:$AO$4,1,7-Projects!$C$24+1),0)+IF(AND(Projects!$G$25="Yes",7&gt;=Projects!$C$25,7&lt;Projects!$C$25+Projects!$D$25),Projects!$B$25*INDEX(Curves!$B$4:$AO$4,1,7-Projects!$C$25+1),0)+IF(AND(Projects!$G$26="Yes",7&gt;=Projects!$C$26,7&lt;Projects!$C$26+Projects!$D$26),Projects!$B$26*INDEX(Curves!$B$4:$AO$4,1,7-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 s="1" t="n">
        <f aca="false">IF(AND(Projects!$G$17="Yes",8&gt;=Projects!$C$17,8&lt;Projects!$C$17+Projects!$D$17),Projects!$B$17*INDEX(Curves!$B$4:$AO$4,1,8-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$4:$AO$4,1,8-Projects!$C$24+1),0)+IF(AND(Projects!$G$25="Yes",8&gt;=Projects!$C$25,8&lt;Projects!$C$25+Projects!$D$25),Projects!$B$25*INDEX(Curves!$B$4:$AO$4,1,8-Projects!$C$25+1),0)+IF(AND(Projects!$G$26="Yes",8&gt;=Projects!$C$26,8&lt;Projects!$C$26+Projects!$D$26),Projects!$B$26*INDEX(Curves!$B$4:$AO$4,1,8-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 s="1" t="n">
        <f aca="false">IF(AND(Projects!$G$17="Yes",9&gt;=Projects!$C$17,9&lt;Projects!$C$17+Projects!$D$17),Projects!$B$17*INDEX(Curves!$B$4:$AO$4,1,9-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$4:$AO$4,1,9-Projects!$C$24+1),0)+IF(AND(Projects!$G$25="Yes",9&gt;=Projects!$C$25,9&lt;Projects!$C$25+Projects!$D$25),Projects!$B$25*INDEX(Curves!$B$4:$AO$4,1,9-Projects!$C$25+1),0)+IF(AND(Projects!$G$26="Yes",9&gt;=Projects!$C$26,9&lt;Projects!$C$26+Projects!$D$26),Projects!$B$26*INDEX(Curves!$B$4:$AO$4,1,9-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 s="1" t="n">
        <f aca="false">IF(AND(Projects!$G$17="Yes",10&gt;=Projects!$C$17,10&lt;Projects!$C$17+Projects!$D$17),Projects!$B$17*INDEX(Curves!$B$4:$AO$4,1,10-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$4:$AO$4,1,10-Projects!$C$24+1),0)+IF(AND(Projects!$G$25="Yes",10&gt;=Projects!$C$25,10&lt;Projects!$C$25+Projects!$D$25),Projects!$B$25*INDEX(Curves!$B$4:$AO$4,1,10-Projects!$C$25+1),0)+IF(AND(Projects!$G$26="Yes",10&gt;=Projects!$C$26,10&lt;Projects!$C$26+Projects!$D$26),Projects!$B$26*INDEX(Curves!$B$4:$AO$4,1,10-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 s="1" t="n">
        <f aca="false">IF(AND(Projects!$G$17="Yes",11&gt;=Projects!$C$17,11&lt;Projects!$C$17+Projects!$D$17),Projects!$B$17*INDEX(Curves!$B$4:$AO$4,1,11-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$4:$AO$4,1,11-Projects!$C$24+1),0)+IF(AND(Projects!$G$25="Yes",11&gt;=Projects!$C$25,11&lt;Projects!$C$25+Projects!$D$25),Projects!$B$25*INDEX(Curves!$B$4:$AO$4,1,11-Projects!$C$25+1),0)+IF(AND(Projects!$G$26="Yes",11&gt;=Projects!$C$26,11&lt;Projects!$C$26+Projects!$D$26),Projects!$B$26*INDEX(Curves!$B$4:$AO$4,1,11-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 s="1" t="n">
        <f aca="false">IF(AND(Projects!$G$17="Yes",12&gt;=Projects!$C$17,12&lt;Projects!$C$17+Projects!$D$17),Projects!$B$17*INDEX(Curves!$B$4:$AO$4,1,12-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$4:$AO$4,1,12-Projects!$C$24+1),0)+IF(AND(Projects!$G$25="Yes",12&gt;=Projects!$C$25,12&lt;Projects!$C$25+Projects!$D$25),Projects!$B$25*INDEX(Curves!$B$4:$AO$4,1,12-Projects!$C$25+1),0)+IF(AND(Projects!$G$26="Yes",12&gt;=Projects!$C$26,12&lt;Projects!$C$26+Projects!$D$26),Projects!$B$26*INDEX(Curves!$B$4:$AO$4,1,12-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 s="1" t="n">
        <f aca="false">IF(AND(Projects!$G$17="Yes",13&gt;=Projects!$C$17,13&lt;Projects!$C$17+Projects!$D$17),Projects!$B$17*INDEX(Curves!$B$4:$AO$4,1,13-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$4:$AO$4,1,13-Projects!$C$24+1),0)+IF(AND(Projects!$G$25="Yes",13&gt;=Projects!$C$25,13&lt;Projects!$C$25+Projects!$D$25),Projects!$B$25*INDEX(Curves!$B$4:$AO$4,1,13-Projects!$C$25+1),0)+IF(AND(Projects!$G$26="Yes",13&gt;=Projects!$C$26,13&lt;Projects!$C$26+Projects!$D$26),Projects!$B$26*INDEX(Curves!$B$4:$AO$4,1,13-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 s="1" t="n">
        <f aca="false">IF(AND(Projects!$G$17="Yes",14&gt;=Projects!$C$17,14&lt;Projects!$C$17+Projects!$D$17),Projects!$B$17*INDEX(Curves!$B$4:$AO$4,1,14-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$4:$AO$4,1,14-Projects!$C$24+1),0)+IF(AND(Projects!$G$25="Yes",14&gt;=Projects!$C$25,14&lt;Projects!$C$25+Projects!$D$25),Projects!$B$25*INDEX(Curves!$B$4:$AO$4,1,14-Projects!$C$25+1),0)+IF(AND(Projects!$G$26="Yes",14&gt;=Projects!$C$26,14&lt;Projects!$C$26+Projects!$D$26),Projects!$B$26*INDEX(Curves!$B$4:$AO$4,1,14-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 s="1" t="n">
        <f aca="false">IF(AND(Projects!$G$17="Yes",15&gt;=Projects!$C$17,15&lt;Projects!$C$17+Projects!$D$17),Projects!$B$17*INDEX(Curves!$B$4:$AO$4,1,15-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$4:$AO$4,1,15-Projects!$C$24+1),0)+IF(AND(Projects!$G$25="Yes",15&gt;=Projects!$C$25,15&lt;Projects!$C$25+Projects!$D$25),Projects!$B$25*INDEX(Curves!$B$4:$AO$4,1,15-Projects!$C$25+1),0)+IF(AND(Projects!$G$26="Yes",15&gt;=Projects!$C$26,15&lt;Projects!$C$26+Projects!$D$26),Projects!$B$26*INDEX(Curves!$B$4:$AO$4,1,15-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 s="1" t="n">
        <f aca="false">IF(AND(Projects!$G$17="Yes",16&gt;=Projects!$C$17,16&lt;Projects!$C$17+Projects!$D$17),Projects!$B$17*INDEX(Curves!$B$4:$AO$4,1,16-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$4:$AO$4,1,16-Projects!$C$24+1),0)+IF(AND(Projects!$G$25="Yes",16&gt;=Projects!$C$25,16&lt;Projects!$C$25+Projects!$D$25),Projects!$B$25*INDEX(Curves!$B$4:$AO$4,1,16-Projects!$C$25+1),0)+IF(AND(Projects!$G$26="Yes",16&gt;=Projects!$C$26,16&lt;Projects!$C$26+Projects!$D$26),Projects!$B$26*INDEX(Curves!$B$4:$AO$4,1,16-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477306</v>
      </c>
      <c r="S97" s="1" t="n">
        <f aca="false">IF(AND(Projects!$G$17="Yes",17&gt;=Projects!$C$17,17&lt;Projects!$C$17+Projects!$D$17),Projects!$B$17*INDEX(Curves!$B$4:$AO$4,1,17-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$4:$AO$4,1,17-Projects!$C$24+1),0)+IF(AND(Projects!$G$25="Yes",17&gt;=Projects!$C$25,17&lt;Projects!$C$25+Projects!$D$25),Projects!$B$25*INDEX(Curves!$B$4:$AO$4,1,17-Projects!$C$25+1),0)+IF(AND(Projects!$G$26="Yes",17&gt;=Projects!$C$26,17&lt;Projects!$C$26+Projects!$D$26),Projects!$B$26*INDEX(Curves!$B$4:$AO$4,1,17-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589698</v>
      </c>
      <c r="T97" s="1" t="n">
        <f aca="false">IF(AND(Projects!$G$17="Yes",18&gt;=Projects!$C$17,18&lt;Projects!$C$17+Projects!$D$17),Projects!$B$17*INDEX(Curves!$B$4:$AO$4,1,18-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$4:$AO$4,1,18-Projects!$C$24+1),0)+IF(AND(Projects!$G$25="Yes",18&gt;=Projects!$C$25,18&lt;Projects!$C$25+Projects!$D$25),Projects!$B$25*INDEX(Curves!$B$4:$AO$4,1,18-Projects!$C$25+1),0)+IF(AND(Projects!$G$26="Yes",18&gt;=Projects!$C$26,18&lt;Projects!$C$26+Projects!$D$26),Projects!$B$26*INDEX(Curves!$B$4:$AO$4,1,18-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1108431</v>
      </c>
      <c r="U97" s="1" t="n">
        <f aca="false">IF(AND(Projects!$G$17="Yes",19&gt;=Projects!$C$17,19&lt;Projects!$C$17+Projects!$D$17),Projects!$B$17*INDEX(Curves!$B$4:$AO$4,1,19-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$4:$AO$4,1,19-Projects!$C$24+1),0)+IF(AND(Projects!$G$25="Yes",19&gt;=Projects!$C$25,19&lt;Projects!$C$25+Projects!$D$25),Projects!$B$25*INDEX(Curves!$B$4:$AO$4,1,19-Projects!$C$25+1),0)+IF(AND(Projects!$G$26="Yes",19&gt;=Projects!$C$26,19&lt;Projects!$C$26+Projects!$D$26),Projects!$B$26*INDEX(Curves!$B$4:$AO$4,1,19-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1326831</v>
      </c>
      <c r="V97" s="1" t="n">
        <f aca="false">IF(AND(Projects!$G$17="Yes",20&gt;=Projects!$C$17,20&lt;Projects!$C$17+Projects!$D$17),Projects!$B$17*INDEX(Curves!$B$4:$AO$4,1,20-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$4:$AO$4,1,20-Projects!$C$24+1),0)+IF(AND(Projects!$G$25="Yes",20&gt;=Projects!$C$25,20&lt;Projects!$C$25+Projects!$D$25),Projects!$B$25*INDEX(Curves!$B$4:$AO$4,1,20-Projects!$C$25+1),0)+IF(AND(Projects!$G$26="Yes",20&gt;=Projects!$C$26,20&lt;Projects!$C$26+Projects!$D$26),Projects!$B$26*INDEX(Curves!$B$4:$AO$4,1,20-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1550154</v>
      </c>
      <c r="W97" s="1" t="n">
        <f aca="false">IF(AND(Projects!$G$17="Yes",21&gt;=Projects!$C$17,21&lt;Projects!$C$17+Projects!$D$17),Projects!$B$17*INDEX(Curves!$B$4:$AO$4,1,21-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$4:$AO$4,1,21-Projects!$C$24+1),0)+IF(AND(Projects!$G$25="Yes",21&gt;=Projects!$C$25,21&lt;Projects!$C$25+Projects!$D$25),Projects!$B$25*INDEX(Curves!$B$4:$AO$4,1,21-Projects!$C$25+1),0)+IF(AND(Projects!$G$26="Yes",21&gt;=Projects!$C$26,21&lt;Projects!$C$26+Projects!$D$26),Projects!$B$26*INDEX(Curves!$B$4:$AO$4,1,21-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2165331</v>
      </c>
      <c r="X97" s="1" t="n">
        <f aca="false">IF(AND(Projects!$G$17="Yes",22&gt;=Projects!$C$17,22&lt;Projects!$C$17+Projects!$D$17),Projects!$B$17*INDEX(Curves!$B$4:$AO$4,1,22-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$4:$AO$4,1,22-Projects!$C$24+1),0)+IF(AND(Projects!$G$25="Yes",22&gt;=Projects!$C$25,22&lt;Projects!$C$25+Projects!$D$25),Projects!$B$25*INDEX(Curves!$B$4:$AO$4,1,22-Projects!$C$25+1),0)+IF(AND(Projects!$G$26="Yes",22&gt;=Projects!$C$26,22&lt;Projects!$C$26+Projects!$D$26),Projects!$B$26*INDEX(Curves!$B$4:$AO$4,1,22-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2458551</v>
      </c>
      <c r="Y97" s="1" t="n">
        <f aca="false">IF(AND(Projects!$G$17="Yes",23&gt;=Projects!$C$17,23&lt;Projects!$C$17+Projects!$D$17),Projects!$B$17*INDEX(Curves!$B$4:$AO$4,1,23-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$4:$AO$4,1,23-Projects!$C$24+1),0)+IF(AND(Projects!$G$25="Yes",23&gt;=Projects!$C$25,23&lt;Projects!$C$25+Projects!$D$25),Projects!$B$25*INDEX(Curves!$B$4:$AO$4,1,23-Projects!$C$25+1),0)+IF(AND(Projects!$G$26="Yes",23&gt;=Projects!$C$26,23&lt;Projects!$C$26+Projects!$D$26),Projects!$B$26*INDEX(Curves!$B$4:$AO$4,1,23-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2728932</v>
      </c>
      <c r="Z97" s="1" t="n">
        <f aca="false">IF(AND(Projects!$G$17="Yes",24&gt;=Projects!$C$17,24&lt;Projects!$C$17+Projects!$D$17),Projects!$B$17*INDEX(Curves!$B$4:$AO$4,1,24-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$4:$AO$4,1,24-Projects!$C$24+1),0)+IF(AND(Projects!$G$25="Yes",24&gt;=Projects!$C$25,24&lt;Projects!$C$25+Projects!$D$25),Projects!$B$25*INDEX(Curves!$B$4:$AO$4,1,24-Projects!$C$25+1),0)+IF(AND(Projects!$G$26="Yes",24&gt;=Projects!$C$26,24&lt;Projects!$C$26+Projects!$D$26),Projects!$B$26*INDEX(Curves!$B$4:$AO$4,1,24-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3359166</v>
      </c>
      <c r="AA97" s="1" t="n">
        <f aca="false">IF(AND(Projects!$G$17="Yes",25&gt;=Projects!$C$17,25&lt;Projects!$C$17+Projects!$D$17),Projects!$B$17*INDEX(Curves!$B$4:$AO$4,1,25-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$4:$AO$4,1,25-Projects!$C$24+1),0)+IF(AND(Projects!$G$25="Yes",25&gt;=Projects!$C$25,25&lt;Projects!$C$25+Projects!$D$25),Projects!$B$25*INDEX(Curves!$B$4:$AO$4,1,25-Projects!$C$25+1),0)+IF(AND(Projects!$G$26="Yes",25&gt;=Projects!$C$26,25&lt;Projects!$C$26+Projects!$D$26),Projects!$B$26*INDEX(Curves!$B$4:$AO$4,1,25-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3633585</v>
      </c>
      <c r="AB97" s="1" t="n">
        <f aca="false">IF(AND(Projects!$G$17="Yes",26&gt;=Projects!$C$17,26&lt;Projects!$C$17+Projects!$D$17),Projects!$B$17*INDEX(Curves!$B$4:$AO$4,1,26-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$4:$AO$4,1,26-Projects!$C$24+1),0)+IF(AND(Projects!$G$25="Yes",26&gt;=Projects!$C$25,26&lt;Projects!$C$25+Projects!$D$25),Projects!$B$25*INDEX(Curves!$B$4:$AO$4,1,26-Projects!$C$25+1),0)+IF(AND(Projects!$G$26="Yes",26&gt;=Projects!$C$26,26&lt;Projects!$C$26+Projects!$D$26),Projects!$B$26*INDEX(Curves!$B$4:$AO$4,1,26-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3852216</v>
      </c>
      <c r="AC97" s="1" t="n">
        <f aca="false">IF(AND(Projects!$G$17="Yes",27&gt;=Projects!$C$17,27&lt;Projects!$C$17+Projects!$D$17),Projects!$B$17*INDEX(Curves!$B$4:$AO$4,1,27-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$4:$AO$4,1,27-Projects!$C$24+1),0)+IF(AND(Projects!$G$25="Yes",27&gt;=Projects!$C$25,27&lt;Projects!$C$25+Projects!$D$25),Projects!$B$25*INDEX(Curves!$B$4:$AO$4,1,27-Projects!$C$25+1),0)+IF(AND(Projects!$G$26="Yes",27&gt;=Projects!$C$26,27&lt;Projects!$C$26+Projects!$D$26),Projects!$B$26*INDEX(Curves!$B$4:$AO$4,1,27-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4401312</v>
      </c>
      <c r="AD97" s="1" t="n">
        <f aca="false">IF(AND(Projects!$G$17="Yes",28&gt;=Projects!$C$17,28&lt;Projects!$C$17+Projects!$D$17),Projects!$B$17*INDEX(Curves!$B$4:$AO$4,1,28-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$4:$AO$4,1,28-Projects!$C$24+1),0)+IF(AND(Projects!$G$25="Yes",28&gt;=Projects!$C$25,28&lt;Projects!$C$25+Projects!$D$25),Projects!$B$25*INDEX(Curves!$B$4:$AO$4,1,28-Projects!$C$25+1),0)+IF(AND(Projects!$G$26="Yes",28&gt;=Projects!$C$26,28&lt;Projects!$C$26+Projects!$D$26),Projects!$B$26*INDEX(Curves!$B$4:$AO$4,1,28-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4571091</v>
      </c>
      <c r="AE97" s="1" t="n">
        <f aca="false">IF(AND(Projects!$G$17="Yes",29&gt;=Projects!$C$17,29&lt;Projects!$C$17+Projects!$D$17),Projects!$B$17*INDEX(Curves!$B$4:$AO$4,1,29-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$4:$AO$4,1,29-Projects!$C$24+1),0)+IF(AND(Projects!$G$25="Yes",29&gt;=Projects!$C$25,29&lt;Projects!$C$25+Projects!$D$25),Projects!$B$25*INDEX(Curves!$B$4:$AO$4,1,29-Projects!$C$25+1),0)+IF(AND(Projects!$G$26="Yes",29&gt;=Projects!$C$26,29&lt;Projects!$C$26+Projects!$D$26),Projects!$B$26*INDEX(Curves!$B$4:$AO$4,1,29-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4668996</v>
      </c>
      <c r="AF97" s="1" t="n">
        <f aca="false">IF(AND(Projects!$G$17="Yes",30&gt;=Projects!$C$17,30&lt;Projects!$C$17+Projects!$D$17),Projects!$B$17*INDEX(Curves!$B$4:$AO$4,1,30-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$4:$AO$4,1,30-Projects!$C$24+1),0)+IF(AND(Projects!$G$25="Yes",30&gt;=Projects!$C$25,30&lt;Projects!$C$25+Projects!$D$25),Projects!$B$25*INDEX(Curves!$B$4:$AO$4,1,30-Projects!$C$25+1),0)+IF(AND(Projects!$G$26="Yes",30&gt;=Projects!$C$26,30&lt;Projects!$C$26+Projects!$D$26),Projects!$B$26*INDEX(Curves!$B$4:$AO$4,1,30-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4691664</v>
      </c>
      <c r="AG97" s="1" t="n">
        <f aca="false">IF(AND(Projects!$G$17="Yes",31&gt;=Projects!$C$17,31&lt;Projects!$C$17+Projects!$D$17),Projects!$B$17*INDEX(Curves!$B$4:$AO$4,1,31-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$4:$AO$4,1,31-Projects!$C$24+1),0)+IF(AND(Projects!$G$25="Yes",31&gt;=Projects!$C$25,31&lt;Projects!$C$25+Projects!$D$25),Projects!$B$25*INDEX(Curves!$B$4:$AO$4,1,31-Projects!$C$25+1),0)+IF(AND(Projects!$G$26="Yes",31&gt;=Projects!$C$26,31&lt;Projects!$C$26+Projects!$D$26),Projects!$B$26*INDEX(Curves!$B$4:$AO$4,1,31-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5036811</v>
      </c>
      <c r="AH97" s="1" t="n">
        <f aca="false">IF(AND(Projects!$G$17="Yes",32&gt;=Projects!$C$17,32&lt;Projects!$C$17+Projects!$D$17),Projects!$B$17*INDEX(Curves!$B$4:$AO$4,1,32-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$4:$AO$4,1,32-Projects!$C$24+1),0)+IF(AND(Projects!$G$25="Yes",32&gt;=Projects!$C$25,32&lt;Projects!$C$25+Projects!$D$25),Projects!$B$25*INDEX(Curves!$B$4:$AO$4,1,32-Projects!$C$25+1),0)+IF(AND(Projects!$G$26="Yes",32&gt;=Projects!$C$26,32&lt;Projects!$C$26+Projects!$D$26),Projects!$B$26*INDEX(Curves!$B$4:$AO$4,1,32-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5005731</v>
      </c>
      <c r="AI97" s="1" t="n">
        <f aca="false">IF(AND(Projects!$G$17="Yes",33&gt;=Projects!$C$17,33&lt;Projects!$C$17+Projects!$D$17),Projects!$B$17*INDEX(Curves!$B$4:$AO$4,1,33-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$4:$AO$4,1,33-Projects!$C$24+1),0)+IF(AND(Projects!$G$25="Yes",33&gt;=Projects!$C$25,33&lt;Projects!$C$25+Projects!$D$25),Projects!$B$25*INDEX(Curves!$B$4:$AO$4,1,33-Projects!$C$25+1),0)+IF(AND(Projects!$G$26="Yes",33&gt;=Projects!$C$26,33&lt;Projects!$C$26+Projects!$D$26),Projects!$B$26*INDEX(Curves!$B$4:$AO$4,1,33-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4915668</v>
      </c>
      <c r="AJ97" s="1" t="n">
        <f aca="false">IF(AND(Projects!$G$17="Yes",34&gt;=Projects!$C$17,34&lt;Projects!$C$17+Projects!$D$17),Projects!$B$17*INDEX(Curves!$B$4:$AO$4,1,34-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$4:$AO$4,1,34-Projects!$C$24+1),0)+IF(AND(Projects!$G$25="Yes",34&gt;=Projects!$C$25,34&lt;Projects!$C$25+Projects!$D$25),Projects!$B$25*INDEX(Curves!$B$4:$AO$4,1,34-Projects!$C$25+1),0)+IF(AND(Projects!$G$26="Yes",34&gt;=Projects!$C$26,34&lt;Projects!$C$26+Projects!$D$26),Projects!$B$26*INDEX(Curves!$B$4:$AO$4,1,34-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5168841</v>
      </c>
      <c r="AK97" s="1" t="n">
        <f aca="false">IF(AND(Projects!$G$17="Yes",35&gt;=Projects!$C$17,35&lt;Projects!$C$17+Projects!$D$17),Projects!$B$17*INDEX(Curves!$B$4:$AO$4,1,35-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$4:$AO$4,1,35-Projects!$C$24+1),0)+IF(AND(Projects!$G$25="Yes",35&gt;=Projects!$C$25,35&lt;Projects!$C$25+Projects!$D$25),Projects!$B$25*INDEX(Curves!$B$4:$AO$4,1,35-Projects!$C$25+1),0)+IF(AND(Projects!$G$26="Yes",35&gt;=Projects!$C$26,35&lt;Projects!$C$26+Projects!$D$26),Projects!$B$26*INDEX(Curves!$B$4:$AO$4,1,35-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4691910</v>
      </c>
      <c r="AL97" s="1" t="n">
        <f aca="false">IF(AND(Projects!$G$17="Yes",36&gt;=Projects!$C$17,36&lt;Projects!$C$17+Projects!$D$17),Projects!$B$17*INDEX(Curves!$B$4:$AO$4,1,36-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$4:$AO$4,1,36-Projects!$C$24+1),0)+IF(AND(Projects!$G$25="Yes",36&gt;=Projects!$C$25,36&lt;Projects!$C$25+Projects!$D$25),Projects!$B$25*INDEX(Curves!$B$4:$AO$4,1,36-Projects!$C$25+1),0)+IF(AND(Projects!$G$26="Yes",36&gt;=Projects!$C$26,36&lt;Projects!$C$26+Projects!$D$26),Projects!$B$26*INDEX(Curves!$B$4:$AO$4,1,36-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4642500</v>
      </c>
      <c r="AM97" s="1" t="n">
        <f aca="false">IF(AND(Projects!$G$17="Yes",37&gt;=Projects!$C$17,37&lt;Projects!$C$17+Projects!$D$17),Projects!$B$17*INDEX(Curves!$B$4:$AO$4,1,37-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$4:$AO$4,1,37-Projects!$C$24+1),0)+IF(AND(Projects!$G$25="Yes",37&gt;=Projects!$C$25,37&lt;Projects!$C$25+Projects!$D$25),Projects!$B$25*INDEX(Curves!$B$4:$AO$4,1,37-Projects!$C$25+1),0)+IF(AND(Projects!$G$26="Yes",37&gt;=Projects!$C$26,37&lt;Projects!$C$26+Projects!$D$26),Projects!$B$26*INDEX(Curves!$B$4:$AO$4,1,37-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4708581</v>
      </c>
      <c r="AN97" s="1" t="n">
        <f aca="false">IF(AND(Projects!$G$17="Yes",38&gt;=Projects!$C$17,38&lt;Projects!$C$17+Projects!$D$17),Projects!$B$17*INDEX(Curves!$B$4:$AO$4,1,38-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$4:$AO$4,1,38-Projects!$C$24+1),0)+IF(AND(Projects!$G$25="Yes",38&gt;=Projects!$C$25,38&lt;Projects!$C$25+Projects!$D$25),Projects!$B$25*INDEX(Curves!$B$4:$AO$4,1,38-Projects!$C$25+1),0)+IF(AND(Projects!$G$26="Yes",38&gt;=Projects!$C$26,38&lt;Projects!$C$26+Projects!$D$26),Projects!$B$26*INDEX(Curves!$B$4:$AO$4,1,38-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4750773</v>
      </c>
      <c r="AO97" s="1" t="n">
        <f aca="false">IF(AND(Projects!$G$17="Yes",39&gt;=Projects!$C$17,39&lt;Projects!$C$17+Projects!$D$17),Projects!$B$17*INDEX(Curves!$B$4:$AO$4,1,39-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$4:$AO$4,1,39-Projects!$C$24+1),0)+IF(AND(Projects!$G$25="Yes",39&gt;=Projects!$C$25,39&lt;Projects!$C$25+Projects!$D$25),Projects!$B$25*INDEX(Curves!$B$4:$AO$4,1,39-Projects!$C$25+1),0)+IF(AND(Projects!$G$26="Yes",39&gt;=Projects!$C$26,39&lt;Projects!$C$26+Projects!$D$26),Projects!$B$26*INDEX(Curves!$B$4:$AO$4,1,39-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4747476</v>
      </c>
      <c r="AP97" s="1" t="n">
        <f aca="false">IF(AND(Projects!$G$17="Yes",40&gt;=Projects!$C$17,40&lt;Projects!$C$17+Projects!$D$17),Projects!$B$17*INDEX(Curves!$B$4:$AO$4,1,40-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$4:$AO$4,1,40-Projects!$C$24+1),0)+IF(AND(Projects!$G$25="Yes",40&gt;=Projects!$C$25,40&lt;Projects!$C$25+Projects!$D$25),Projects!$B$25*INDEX(Curves!$B$4:$AO$4,1,40-Projects!$C$25+1),0)+IF(AND(Projects!$G$26="Yes",40&gt;=Projects!$C$26,40&lt;Projects!$C$26+Projects!$D$26),Projects!$B$26*INDEX(Curves!$B$4:$AO$4,1,40-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4861287</v>
      </c>
      <c r="AQ97" s="1" t="n">
        <f aca="false">IF(AND(Projects!$G$17="Yes",41&gt;=Projects!$C$17,41&lt;Projects!$C$17+Projects!$D$17),Projects!$B$17*INDEX(Curves!$B$4:$AO$4,1,41-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$4:$AO$4,1,41-Projects!$C$24+1),0)+IF(AND(Projects!$G$25="Yes",41&gt;=Projects!$C$25,41&lt;Projects!$C$25+Projects!$D$25),Projects!$B$25*INDEX(Curves!$B$4:$AO$4,1,41-Projects!$C$25+1),0)+IF(AND(Projects!$G$26="Yes",41&gt;=Projects!$C$26,41&lt;Projects!$C$26+Projects!$D$26),Projects!$B$26*INDEX(Curves!$B$4:$AO$4,1,41-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4949847</v>
      </c>
      <c r="AR97" s="1" t="n">
        <f aca="false">IF(AND(Projects!$G$17="Yes",42&gt;=Projects!$C$17,42&lt;Projects!$C$17+Projects!$D$17),Projects!$B$17*INDEX(Curves!$B$4:$AO$4,1,42-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$4:$AO$4,1,42-Projects!$C$24+1),0)+IF(AND(Projects!$G$25="Yes",42&gt;=Projects!$C$25,42&lt;Projects!$C$25+Projects!$D$25),Projects!$B$25*INDEX(Curves!$B$4:$AO$4,1,42-Projects!$C$25+1),0)+IF(AND(Projects!$G$26="Yes",42&gt;=Projects!$C$26,42&lt;Projects!$C$26+Projects!$D$26),Projects!$B$26*INDEX(Curves!$B$4:$AO$4,1,42-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5465853</v>
      </c>
      <c r="AS97" s="1" t="n">
        <f aca="false">IF(AND(Projects!$G$17="Yes",43&gt;=Projects!$C$17,43&lt;Projects!$C$17+Projects!$D$17),Projects!$B$17*INDEX(Curves!$B$4:$AO$4,1,43-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$4:$AO$4,1,43-Projects!$C$24+1),0)+IF(AND(Projects!$G$25="Yes",43&gt;=Projects!$C$25,43&lt;Projects!$C$25+Projects!$D$25),Projects!$B$25*INDEX(Curves!$B$4:$AO$4,1,43-Projects!$C$25+1),0)+IF(AND(Projects!$G$26="Yes",43&gt;=Projects!$C$26,43&lt;Projects!$C$26+Projects!$D$26),Projects!$B$26*INDEX(Curves!$B$4:$AO$4,1,43-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5249715</v>
      </c>
      <c r="AT97" s="1" t="n">
        <f aca="false">IF(AND(Projects!$G$17="Yes",44&gt;=Projects!$C$17,44&lt;Projects!$C$17+Projects!$D$17),Projects!$B$17*INDEX(Curves!$B$4:$AO$4,1,44-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$4:$AO$4,1,44-Projects!$C$24+1),0)+IF(AND(Projects!$G$25="Yes",44&gt;=Projects!$C$25,44&lt;Projects!$C$25+Projects!$D$25),Projects!$B$25*INDEX(Curves!$B$4:$AO$4,1,44-Projects!$C$25+1),0)+IF(AND(Projects!$G$26="Yes",44&gt;=Projects!$C$26,44&lt;Projects!$C$26+Projects!$D$26),Projects!$B$26*INDEX(Curves!$B$4:$AO$4,1,44-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5770452</v>
      </c>
      <c r="AU97" s="1" t="n">
        <f aca="false">IF(AND(Projects!$G$17="Yes",45&gt;=Projects!$C$17,45&lt;Projects!$C$17+Projects!$D$17),Projects!$B$17*INDEX(Curves!$B$4:$AO$4,1,45-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$4:$AO$4,1,45-Projects!$C$24+1),0)+IF(AND(Projects!$G$25="Yes",45&gt;=Projects!$C$25,45&lt;Projects!$C$25+Projects!$D$25),Projects!$B$25*INDEX(Curves!$B$4:$AO$4,1,45-Projects!$C$25+1),0)+IF(AND(Projects!$G$26="Yes",45&gt;=Projects!$C$26,45&lt;Projects!$C$26+Projects!$D$26),Projects!$B$26*INDEX(Curves!$B$4:$AO$4,1,45-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5921988</v>
      </c>
      <c r="AV97" s="1" t="n">
        <f aca="false">IF(AND(Projects!$G$17="Yes",46&gt;=Projects!$C$17,46&lt;Projects!$C$17+Projects!$D$17),Projects!$B$17*INDEX(Curves!$B$4:$AO$4,1,46-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$4:$AO$4,1,46-Projects!$C$24+1),0)+IF(AND(Projects!$G$25="Yes",46&gt;=Projects!$C$25,46&lt;Projects!$C$25+Projects!$D$25),Projects!$B$25*INDEX(Curves!$B$4:$AO$4,1,46-Projects!$C$25+1),0)+IF(AND(Projects!$G$26="Yes",46&gt;=Projects!$C$26,46&lt;Projects!$C$26+Projects!$D$26),Projects!$B$26*INDEX(Curves!$B$4:$AO$4,1,46-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6094350</v>
      </c>
      <c r="AW97" s="1" t="n">
        <f aca="false">IF(AND(Projects!$G$17="Yes",47&gt;=Projects!$C$17,47&lt;Projects!$C$17+Projects!$D$17),Projects!$B$17*INDEX(Curves!$B$4:$AO$4,1,47-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$4:$AO$4,1,47-Projects!$C$24+1),0)+IF(AND(Projects!$G$25="Yes",47&gt;=Projects!$C$25,47&lt;Projects!$C$25+Projects!$D$25),Projects!$B$25*INDEX(Curves!$B$4:$AO$4,1,47-Projects!$C$25+1),0)+IF(AND(Projects!$G$26="Yes",47&gt;=Projects!$C$26,47&lt;Projects!$C$26+Projects!$D$26),Projects!$B$26*INDEX(Curves!$B$4:$AO$4,1,47-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6279099</v>
      </c>
      <c r="AX97" s="1" t="n">
        <f aca="false">IF(AND(Projects!$G$17="Yes",48&gt;=Projects!$C$17,48&lt;Projects!$C$17+Projects!$D$17),Projects!$B$17*INDEX(Curves!$B$4:$AO$4,1,48-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$4:$AO$4,1,48-Projects!$C$24+1),0)+IF(AND(Projects!$G$25="Yes",48&gt;=Projects!$C$25,48&lt;Projects!$C$25+Projects!$D$25),Projects!$B$25*INDEX(Curves!$B$4:$AO$4,1,48-Projects!$C$25+1),0)+IF(AND(Projects!$G$26="Yes",48&gt;=Projects!$C$26,48&lt;Projects!$C$26+Projects!$D$26),Projects!$B$26*INDEX(Curves!$B$4:$AO$4,1,48-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6781854</v>
      </c>
      <c r="AY97" s="1" t="n">
        <f aca="false">IF(AND(Projects!$G$17="Yes",49&gt;=Projects!$C$17,49&lt;Projects!$C$17+Projects!$D$17),Projects!$B$17*INDEX(Curves!$B$4:$AO$4,1,49-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$4:$AO$4,1,49-Projects!$C$24+1),0)+IF(AND(Projects!$G$25="Yes",49&gt;=Projects!$C$25,49&lt;Projects!$C$25+Projects!$D$25),Projects!$B$25*INDEX(Curves!$B$4:$AO$4,1,49-Projects!$C$25+1),0)+IF(AND(Projects!$G$26="Yes",49&gt;=Projects!$C$26,49&lt;Projects!$C$26+Projects!$D$26),Projects!$B$26*INDEX(Curves!$B$4:$AO$4,1,49-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6894438</v>
      </c>
      <c r="AZ97" s="1" t="n">
        <f aca="false">IF(AND(Projects!$G$17="Yes",50&gt;=Projects!$C$17,50&lt;Projects!$C$17+Projects!$D$17),Projects!$B$17*INDEX(Curves!$B$4:$AO$4,1,50-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$4:$AO$4,1,50-Projects!$C$24+1),0)+IF(AND(Projects!$G$25="Yes",50&gt;=Projects!$C$25,50&lt;Projects!$C$25+Projects!$D$25),Projects!$B$25*INDEX(Curves!$B$4:$AO$4,1,50-Projects!$C$25+1),0)+IF(AND(Projects!$G$26="Yes",50&gt;=Projects!$C$26,50&lt;Projects!$C$26+Projects!$D$26),Projects!$B$26*INDEX(Curves!$B$4:$AO$4,1,50-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6610533</v>
      </c>
      <c r="BA97" s="1" t="n">
        <f aca="false">IF(AND(Projects!$G$17="Yes",51&gt;=Projects!$C$17,51&lt;Projects!$C$17+Projects!$D$17),Projects!$B$17*INDEX(Curves!$B$4:$AO$4,1,51-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$4:$AO$4,1,51-Projects!$C$24+1),0)+IF(AND(Projects!$G$25="Yes",51&gt;=Projects!$C$25,51&lt;Projects!$C$25+Projects!$D$25),Projects!$B$25*INDEX(Curves!$B$4:$AO$4,1,51-Projects!$C$25+1),0)+IF(AND(Projects!$G$26="Yes",51&gt;=Projects!$C$26,51&lt;Projects!$C$26+Projects!$D$26),Projects!$B$26*INDEX(Curves!$B$4:$AO$4,1,51-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6626121</v>
      </c>
      <c r="BB97" s="1" t="n">
        <f aca="false">IF(AND(Projects!$G$17="Yes",52&gt;=Projects!$C$17,52&lt;Projects!$C$17+Projects!$D$17),Projects!$B$17*INDEX(Curves!$B$4:$AO$4,1,52-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$4:$AO$4,1,52-Projects!$C$24+1),0)+IF(AND(Projects!$G$25="Yes",52&gt;=Projects!$C$25,52&lt;Projects!$C$25+Projects!$D$25),Projects!$B$25*INDEX(Curves!$B$4:$AO$4,1,52-Projects!$C$25+1),0)+IF(AND(Projects!$G$26="Yes",52&gt;=Projects!$C$26,52&lt;Projects!$C$26+Projects!$D$26),Projects!$B$26*INDEX(Curves!$B$4:$AO$4,1,52-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6541518</v>
      </c>
      <c r="BC97" s="1" t="n">
        <f aca="false">IF(AND(Projects!$G$17="Yes",53&gt;=Projects!$C$17,53&lt;Projects!$C$17+Projects!$D$17),Projects!$B$17*INDEX(Curves!$B$4:$AO$4,1,53-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$4:$AO$4,1,53-Projects!$C$24+1),0)+IF(AND(Projects!$G$25="Yes",53&gt;=Projects!$C$25,53&lt;Projects!$C$25+Projects!$D$25),Projects!$B$25*INDEX(Curves!$B$4:$AO$4,1,53-Projects!$C$25+1),0)+IF(AND(Projects!$G$26="Yes",53&gt;=Projects!$C$26,53&lt;Projects!$C$26+Projects!$D$26),Projects!$B$26*INDEX(Curves!$B$4:$AO$4,1,53-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6044784</v>
      </c>
      <c r="BD97" s="1" t="n">
        <f aca="false">IF(AND(Projects!$G$17="Yes",54&gt;=Projects!$C$17,54&lt;Projects!$C$17+Projects!$D$17),Projects!$B$17*INDEX(Curves!$B$4:$AO$4,1,54-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$4:$AO$4,1,54-Projects!$C$24+1),0)+IF(AND(Projects!$G$25="Yes",54&gt;=Projects!$C$25,54&lt;Projects!$C$25+Projects!$D$25),Projects!$B$25*INDEX(Curves!$B$4:$AO$4,1,54-Projects!$C$25+1),0)+IF(AND(Projects!$G$26="Yes",54&gt;=Projects!$C$26,54&lt;Projects!$C$26+Projects!$D$26),Projects!$B$26*INDEX(Curves!$B$4:$AO$4,1,54-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5842503</v>
      </c>
      <c r="BE97" s="1" t="n">
        <f aca="false">IF(AND(Projects!$G$17="Yes",55&gt;=Projects!$C$17,55&lt;Projects!$C$17+Projects!$D$17),Projects!$B$17*INDEX(Curves!$B$4:$AO$4,1,55-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$4:$AO$4,1,55-Projects!$C$24+1),0)+IF(AND(Projects!$G$25="Yes",55&gt;=Projects!$C$25,55&lt;Projects!$C$25+Projects!$D$25),Projects!$B$25*INDEX(Curves!$B$4:$AO$4,1,55-Projects!$C$25+1),0)+IF(AND(Projects!$G$26="Yes",55&gt;=Projects!$C$26,55&lt;Projects!$C$26+Projects!$D$26),Projects!$B$26*INDEX(Curves!$B$4:$AO$4,1,55-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5546688</v>
      </c>
      <c r="BF97" s="1" t="n">
        <f aca="false">IF(AND(Projects!$G$17="Yes",56&gt;=Projects!$C$17,56&lt;Projects!$C$17+Projects!$D$17),Projects!$B$17*INDEX(Curves!$B$4:$AO$4,1,56-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$4:$AO$4,1,56-Projects!$C$24+1),0)+IF(AND(Projects!$G$25="Yes",56&gt;=Projects!$C$25,56&lt;Projects!$C$25+Projects!$D$25),Projects!$B$25*INDEX(Curves!$B$4:$AO$4,1,56-Projects!$C$25+1),0)+IF(AND(Projects!$G$26="Yes",56&gt;=Projects!$C$26,56&lt;Projects!$C$26+Projects!$D$26),Projects!$B$26*INDEX(Curves!$B$4:$AO$4,1,56-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4794615</v>
      </c>
      <c r="BG97" s="1" t="n">
        <f aca="false">IF(AND(Projects!$G$17="Yes",57&gt;=Projects!$C$17,57&lt;Projects!$C$17+Projects!$D$17),Projects!$B$17*INDEX(Curves!$B$4:$AO$4,1,57-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$4:$AO$4,1,57-Projects!$C$24+1),0)+IF(AND(Projects!$G$25="Yes",57&gt;=Projects!$C$25,57&lt;Projects!$C$25+Projects!$D$25),Projects!$B$25*INDEX(Curves!$B$4:$AO$4,1,57-Projects!$C$25+1),0)+IF(AND(Projects!$G$26="Yes",57&gt;=Projects!$C$26,57&lt;Projects!$C$26+Projects!$D$26),Projects!$B$26*INDEX(Curves!$B$4:$AO$4,1,57-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4443954</v>
      </c>
      <c r="BH97" s="1" t="n">
        <f aca="false">IF(AND(Projects!$G$17="Yes",58&gt;=Projects!$C$17,58&lt;Projects!$C$17+Projects!$D$17),Projects!$B$17*INDEX(Curves!$B$4:$AO$4,1,58-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$4:$AO$4,1,58-Projects!$C$24+1),0)+IF(AND(Projects!$G$25="Yes",58&gt;=Projects!$C$25,58&lt;Projects!$C$25+Projects!$D$25),Projects!$B$25*INDEX(Curves!$B$4:$AO$4,1,58-Projects!$C$25+1),0)+IF(AND(Projects!$G$26="Yes",58&gt;=Projects!$C$26,58&lt;Projects!$C$26+Projects!$D$26),Projects!$B$26*INDEX(Curves!$B$4:$AO$4,1,58-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4036287</v>
      </c>
      <c r="BI97" s="1" t="n">
        <f aca="false">IF(AND(Projects!$G$17="Yes",59&gt;=Projects!$C$17,59&lt;Projects!$C$17+Projects!$D$17),Projects!$B$17*INDEX(Curves!$B$4:$AO$4,1,59-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$4:$AO$4,1,59-Projects!$C$24+1),0)+IF(AND(Projects!$G$25="Yes",59&gt;=Projects!$C$25,59&lt;Projects!$C$25+Projects!$D$25),Projects!$B$25*INDEX(Curves!$B$4:$AO$4,1,59-Projects!$C$25+1),0)+IF(AND(Projects!$G$26="Yes",59&gt;=Projects!$C$26,59&lt;Projects!$C$26+Projects!$D$26),Projects!$B$26*INDEX(Curves!$B$4:$AO$4,1,59-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3215268</v>
      </c>
      <c r="BJ97" s="1" t="n">
        <f aca="false">IF(AND(Projects!$G$17="Yes",60&gt;=Projects!$C$17,60&lt;Projects!$C$17+Projects!$D$17),Projects!$B$17*INDEX(Curves!$B$4:$AO$4,1,60-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$4:$AO$4,1,60-Projects!$C$24+1),0)+IF(AND(Projects!$G$25="Yes",60&gt;=Projects!$C$25,60&lt;Projects!$C$25+Projects!$D$25),Projects!$B$25*INDEX(Curves!$B$4:$AO$4,1,60-Projects!$C$25+1),0)+IF(AND(Projects!$G$26="Yes",60&gt;=Projects!$C$26,60&lt;Projects!$C$26+Projects!$D$26),Projects!$B$26*INDEX(Curves!$B$4:$AO$4,1,60-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2841861</v>
      </c>
      <c r="BK97" s="1" t="n">
        <f aca="false">IF(AND(Projects!$G$17="Yes",61&gt;=Projects!$C$17,61&lt;Projects!$C$17+Projects!$D$17),Projects!$B$17*INDEX(Curves!$B$4:$AO$4,1,61-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$4:$AO$4,1,61-Projects!$C$24+1),0)+IF(AND(Projects!$G$25="Yes",61&gt;=Projects!$C$25,61&lt;Projects!$C$25+Projects!$D$25),Projects!$B$25*INDEX(Curves!$B$4:$AO$4,1,61-Projects!$C$25+1),0)+IF(AND(Projects!$G$26="Yes",61&gt;=Projects!$C$26,61&lt;Projects!$C$26+Projects!$D$26),Projects!$B$26*INDEX(Curves!$B$4:$AO$4,1,61-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2080425</v>
      </c>
      <c r="BL97" s="1" t="n">
        <f aca="false">IF(AND(Projects!$G$17="Yes",62&gt;=Projects!$C$17,62&lt;Projects!$C$17+Projects!$D$17),Projects!$B$17*INDEX(Curves!$B$4:$AO$4,1,62-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$4:$AO$4,1,62-Projects!$C$24+1),0)+IF(AND(Projects!$G$25="Yes",62&gt;=Projects!$C$25,62&lt;Projects!$C$25+Projects!$D$25),Projects!$B$25*INDEX(Curves!$B$4:$AO$4,1,62-Projects!$C$25+1),0)+IF(AND(Projects!$G$26="Yes",62&gt;=Projects!$C$26,62&lt;Projects!$C$26+Projects!$D$26),Projects!$B$26*INDEX(Curves!$B$4:$AO$4,1,62-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1788255</v>
      </c>
      <c r="BM97" s="1" t="n">
        <f aca="false">IF(AND(Projects!$G$17="Yes",63&gt;=Projects!$C$17,63&lt;Projects!$C$17+Projects!$D$17),Projects!$B$17*INDEX(Curves!$B$4:$AO$4,1,63-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$4:$AO$4,1,63-Projects!$C$24+1),0)+IF(AND(Projects!$G$25="Yes",63&gt;=Projects!$C$25,63&lt;Projects!$C$25+Projects!$D$25),Projects!$B$25*INDEX(Curves!$B$4:$AO$4,1,63-Projects!$C$25+1),0)+IF(AND(Projects!$G$26="Yes",63&gt;=Projects!$C$26,63&lt;Projects!$C$26+Projects!$D$26),Projects!$B$26*INDEX(Curves!$B$4:$AO$4,1,63-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1187595</v>
      </c>
      <c r="BN97" s="1" t="n">
        <f aca="false">IF(AND(Projects!$G$17="Yes",64&gt;=Projects!$C$17,64&lt;Projects!$C$17+Projects!$D$17),Projects!$B$17*INDEX(Curves!$B$4:$AO$4,1,64-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$4:$AO$4,1,64-Projects!$C$24+1),0)+IF(AND(Projects!$G$25="Yes",64&gt;=Projects!$C$25,64&lt;Projects!$C$25+Projects!$D$25),Projects!$B$25*INDEX(Curves!$B$4:$AO$4,1,64-Projects!$C$25+1),0)+IF(AND(Projects!$G$26="Yes",64&gt;=Projects!$C$26,64&lt;Projects!$C$26+Projects!$D$26),Projects!$B$26*INDEX(Curves!$B$4:$AO$4,1,64-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989985</v>
      </c>
      <c r="BO97" s="1" t="n">
        <f aca="false">IF(AND(Projects!$G$17="Yes",65&gt;=Projects!$C$17,65&lt;Projects!$C$17+Projects!$D$17),Projects!$B$17*INDEX(Curves!$B$4:$AO$4,1,65-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$4:$AO$4,1,65-Projects!$C$24+1),0)+IF(AND(Projects!$G$25="Yes",65&gt;=Projects!$C$25,65&lt;Projects!$C$25+Projects!$D$25),Projects!$B$25*INDEX(Curves!$B$4:$AO$4,1,65-Projects!$C$25+1),0)+IF(AND(Projects!$G$26="Yes",65&gt;=Projects!$C$26,65&lt;Projects!$C$26+Projects!$D$26),Projects!$B$26*INDEX(Curves!$B$4:$AO$4,1,65-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491415</v>
      </c>
      <c r="BP97" s="1" t="n">
        <f aca="false">IF(AND(Projects!$G$17="Yes",66&gt;=Projects!$C$17,66&lt;Projects!$C$17+Projects!$D$17),Projects!$B$17*INDEX(Curves!$B$4:$AO$4,1,66-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$4:$AO$4,1,66-Projects!$C$24+1),0)+IF(AND(Projects!$G$25="Yes",66&gt;=Projects!$C$25,66&lt;Projects!$C$25+Projects!$D$25),Projects!$B$25*INDEX(Curves!$B$4:$AO$4,1,66-Projects!$C$25+1),0)+IF(AND(Projects!$G$26="Yes",66&gt;=Projects!$C$26,66&lt;Projects!$C$26+Projects!$D$26),Projects!$B$26*INDEX(Curves!$B$4:$AO$4,1,66-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397755</v>
      </c>
      <c r="BQ97" s="1" t="n">
        <f aca="false">IF(AND(Projects!$G$17="Yes",67&gt;=Projects!$C$17,67&lt;Projects!$C$17+Projects!$D$17),Projects!$B$17*INDEX(Curves!$B$4:$AO$4,1,67-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$4:$AO$4,1,67-Projects!$C$24+1),0)+IF(AND(Projects!$G$25="Yes",67&gt;=Projects!$C$25,67&lt;Projects!$C$25+Projects!$D$25),Projects!$B$25*INDEX(Curves!$B$4:$AO$4,1,67-Projects!$C$25+1),0)+IF(AND(Projects!$G$26="Yes",67&gt;=Projects!$C$26,67&lt;Projects!$C$26+Projects!$D$26),Projects!$B$26*INDEX(Curves!$B$4:$AO$4,1,67-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0</v>
      </c>
      <c r="BR97" s="1" t="n">
        <f aca="false">IF(AND(Projects!$G$17="Yes",68&gt;=Projects!$C$17,68&lt;Projects!$C$17+Projects!$D$17),Projects!$B$17*INDEX(Curves!$B$4:$AO$4,1,68-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$4:$AO$4,1,68-Projects!$C$24+1),0)+IF(AND(Projects!$G$25="Yes",68&gt;=Projects!$C$25,68&lt;Projects!$C$25+Projects!$D$25),Projects!$B$25*INDEX(Curves!$B$4:$AO$4,1,68-Projects!$C$25+1),0)+IF(AND(Projects!$G$26="Yes",68&gt;=Projects!$C$26,68&lt;Projects!$C$26+Projects!$D$26),Projects!$B$26*INDEX(Curves!$B$4:$AO$4,1,68-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0</v>
      </c>
      <c r="BS97" s="1" t="n">
        <f aca="false">IF(AND(Projects!$G$17="Yes",69&gt;=Projects!$C$17,69&lt;Projects!$C$17+Projects!$D$17),Projects!$B$17*INDEX(Curves!$B$4:$AO$4,1,69-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$4:$AO$4,1,69-Projects!$C$24+1),0)+IF(AND(Projects!$G$25="Yes",69&gt;=Projects!$C$25,69&lt;Projects!$C$25+Projects!$D$25),Projects!$B$25*INDEX(Curves!$B$4:$AO$4,1,69-Projects!$C$25+1),0)+IF(AND(Projects!$G$26="Yes",69&gt;=Projects!$C$26,69&lt;Projects!$C$26+Projects!$D$26),Projects!$B$26*INDEX(Curves!$B$4:$AO$4,1,69-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0</v>
      </c>
      <c r="BT97" s="1" t="n">
        <f aca="false">IF(AND(Projects!$G$17="Yes",70&gt;=Projects!$C$17,70&lt;Projects!$C$17+Projects!$D$17),Projects!$B$17*INDEX(Curves!$B$4:$AO$4,1,70-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$4:$AO$4,1,70-Projects!$C$24+1),0)+IF(AND(Projects!$G$25="Yes",70&gt;=Projects!$C$25,70&lt;Projects!$C$25+Projects!$D$25),Projects!$B$25*INDEX(Curves!$B$4:$AO$4,1,70-Projects!$C$25+1),0)+IF(AND(Projects!$G$26="Yes",70&gt;=Projects!$C$26,70&lt;Projects!$C$26+Projects!$D$26),Projects!$B$26*INDEX(Curves!$B$4:$AO$4,1,70-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0</v>
      </c>
      <c r="BU97" s="1" t="n">
        <f aca="false">IF(AND(Projects!$G$17="Yes",71&gt;=Projects!$C$17,71&lt;Projects!$C$17+Projects!$D$17),Projects!$B$17*INDEX(Curves!$B$4:$AO$4,1,71-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$4:$AO$4,1,71-Projects!$C$24+1),0)+IF(AND(Projects!$G$25="Yes",71&gt;=Projects!$C$25,71&lt;Projects!$C$25+Projects!$D$25),Projects!$B$25*INDEX(Curves!$B$4:$AO$4,1,71-Projects!$C$25+1),0)+IF(AND(Projects!$G$26="Yes",71&gt;=Projects!$C$26,71&lt;Projects!$C$26+Projects!$D$26),Projects!$B$26*INDEX(Curves!$B$4:$AO$4,1,71-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0</v>
      </c>
      <c r="BV97" s="1" t="n">
        <f aca="false">IF(AND(Projects!$G$17="Yes",72&gt;=Projects!$C$17,72&lt;Projects!$C$17+Projects!$D$17),Projects!$B$17*INDEX(Curves!$B$4:$AO$4,1,72-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$4:$AO$4,1,72-Projects!$C$24+1),0)+IF(AND(Projects!$G$25="Yes",72&gt;=Projects!$C$25,72&lt;Projects!$C$25+Projects!$D$25),Projects!$B$25*INDEX(Curves!$B$4:$AO$4,1,72-Projects!$C$25+1),0)+IF(AND(Projects!$G$26="Yes",72&gt;=Projects!$C$26,72&lt;Projects!$C$26+Projects!$D$26),Projects!$B$26*INDEX(Curves!$B$4:$AO$4,1,72-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0</v>
      </c>
      <c r="BW97" s="1" t="n">
        <f aca="false">IF(AND(Projects!$G$17="Yes",73&gt;=Projects!$C$17,73&lt;Projects!$C$17+Projects!$D$17),Projects!$B$17*INDEX(Curves!$B$4:$AO$4,1,73-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$4:$AO$4,1,73-Projects!$C$24+1),0)+IF(AND(Projects!$G$25="Yes",73&gt;=Projects!$C$25,73&lt;Projects!$C$25+Projects!$D$25),Projects!$B$25*INDEX(Curves!$B$4:$AO$4,1,73-Projects!$C$25+1),0)+IF(AND(Projects!$G$26="Yes",73&gt;=Projects!$C$26,73&lt;Projects!$C$26+Projects!$D$26),Projects!$B$26*INDEX(Curves!$B$4:$AO$4,1,73-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0</v>
      </c>
      <c r="BX97" s="1" t="n">
        <f aca="false">IF(AND(Projects!$G$17="Yes",74&gt;=Projects!$C$17,74&lt;Projects!$C$17+Projects!$D$17),Projects!$B$17*INDEX(Curves!$B$4:$AO$4,1,74-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$4:$AO$4,1,74-Projects!$C$24+1),0)+IF(AND(Projects!$G$25="Yes",74&gt;=Projects!$C$25,74&lt;Projects!$C$25+Projects!$D$25),Projects!$B$25*INDEX(Curves!$B$4:$AO$4,1,74-Projects!$C$25+1),0)+IF(AND(Projects!$G$26="Yes",74&gt;=Projects!$C$26,74&lt;Projects!$C$26+Projects!$D$26),Projects!$B$26*INDEX(Curves!$B$4:$AO$4,1,74-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0</v>
      </c>
      <c r="BY97" s="1" t="n">
        <f aca="false">IF(AND(Projects!$G$17="Yes",75&gt;=Projects!$C$17,75&lt;Projects!$C$17+Projects!$D$17),Projects!$B$17*INDEX(Curves!$B$4:$AO$4,1,75-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$4:$AO$4,1,75-Projects!$C$24+1),0)+IF(AND(Projects!$G$25="Yes",75&gt;=Projects!$C$25,75&lt;Projects!$C$25+Projects!$D$25),Projects!$B$25*INDEX(Curves!$B$4:$AO$4,1,75-Projects!$C$25+1),0)+IF(AND(Projects!$G$26="Yes",75&gt;=Projects!$C$26,75&lt;Projects!$C$26+Projects!$D$26),Projects!$B$26*INDEX(Curves!$B$4:$AO$4,1,75-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0</v>
      </c>
      <c r="BZ97" s="1" t="n">
        <f aca="false">IF(AND(Projects!$G$17="Yes",76&gt;=Projects!$C$17,76&lt;Projects!$C$17+Projects!$D$17),Projects!$B$17*INDEX(Curves!$B$4:$AO$4,1,76-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$4:$AO$4,1,76-Projects!$C$24+1),0)+IF(AND(Projects!$G$25="Yes",76&gt;=Projects!$C$25,76&lt;Projects!$C$25+Projects!$D$25),Projects!$B$25*INDEX(Curves!$B$4:$AO$4,1,76-Projects!$C$25+1),0)+IF(AND(Projects!$G$26="Yes",76&gt;=Projects!$C$26,76&lt;Projects!$C$26+Projects!$D$26),Projects!$B$26*INDEX(Curves!$B$4:$AO$4,1,76-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0</v>
      </c>
      <c r="CA97" s="1" t="n">
        <f aca="false">IF(AND(Projects!$G$17="Yes",77&gt;=Projects!$C$17,77&lt;Projects!$C$17+Projects!$D$17),Projects!$B$17*INDEX(Curves!$B$4:$AO$4,1,77-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$4:$AO$4,1,77-Projects!$C$24+1),0)+IF(AND(Projects!$G$25="Yes",77&gt;=Projects!$C$25,77&lt;Projects!$C$25+Projects!$D$25),Projects!$B$25*INDEX(Curves!$B$4:$AO$4,1,77-Projects!$C$25+1),0)+IF(AND(Projects!$G$26="Yes",77&gt;=Projects!$C$26,77&lt;Projects!$C$26+Projects!$D$26),Projects!$B$26*INDEX(Curves!$B$4:$AO$4,1,77-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0</v>
      </c>
      <c r="CB97" s="1" t="n">
        <f aca="false">IF(AND(Projects!$G$17="Yes",78&gt;=Projects!$C$17,78&lt;Projects!$C$17+Projects!$D$17),Projects!$B$17*INDEX(Curves!$B$4:$AO$4,1,78-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$4:$AO$4,1,78-Projects!$C$24+1),0)+IF(AND(Projects!$G$25="Yes",78&gt;=Projects!$C$25,78&lt;Projects!$C$25+Projects!$D$25),Projects!$B$25*INDEX(Curves!$B$4:$AO$4,1,78-Projects!$C$25+1),0)+IF(AND(Projects!$G$26="Yes",78&gt;=Projects!$C$26,78&lt;Projects!$C$26+Projects!$D$26),Projects!$B$26*INDEX(Curves!$B$4:$AO$4,1,78-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0</v>
      </c>
      <c r="CC97" s="1" t="n">
        <f aca="false">IF(AND(Projects!$G$17="Yes",79&gt;=Projects!$C$17,79&lt;Projects!$C$17+Projects!$D$17),Projects!$B$17*INDEX(Curves!$B$4:$AO$4,1,79-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$4:$AO$4,1,79-Projects!$C$24+1),0)+IF(AND(Projects!$G$25="Yes",79&gt;=Projects!$C$25,79&lt;Projects!$C$25+Projects!$D$25),Projects!$B$25*INDEX(Curves!$B$4:$AO$4,1,79-Projects!$C$25+1),0)+IF(AND(Projects!$G$26="Yes",79&gt;=Projects!$C$26,79&lt;Projects!$C$26+Projects!$D$26),Projects!$B$26*INDEX(Curves!$B$4:$AO$4,1,79-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0</v>
      </c>
      <c r="CD97" s="1" t="n">
        <f aca="false">IF(AND(Projects!$G$17="Yes",80&gt;=Projects!$C$17,80&lt;Projects!$C$17+Projects!$D$17),Projects!$B$17*INDEX(Curves!$B$4:$AO$4,1,80-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$4:$AO$4,1,80-Projects!$C$24+1),0)+IF(AND(Projects!$G$25="Yes",80&gt;=Projects!$C$25,80&lt;Projects!$C$25+Projects!$D$25),Projects!$B$25*INDEX(Curves!$B$4:$AO$4,1,80-Projects!$C$25+1),0)+IF(AND(Projects!$G$26="Yes",80&gt;=Projects!$C$26,80&lt;Projects!$C$26+Projects!$D$26),Projects!$B$26*INDEX(Curves!$B$4:$AO$4,1,80-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0</v>
      </c>
      <c r="CE97" s="1" t="n">
        <f aca="false">IF(AND(Projects!$G$17="Yes",81&gt;=Projects!$C$17,81&lt;Projects!$C$17+Projects!$D$17),Projects!$B$17*INDEX(Curves!$B$4:$AO$4,1,81-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$4:$AO$4,1,81-Projects!$C$24+1),0)+IF(AND(Projects!$G$25="Yes",81&gt;=Projects!$C$25,81&lt;Projects!$C$25+Projects!$D$25),Projects!$B$25*INDEX(Curves!$B$4:$AO$4,1,81-Projects!$C$25+1),0)+IF(AND(Projects!$G$26="Yes",81&gt;=Projects!$C$26,81&lt;Projects!$C$26+Projects!$D$26),Projects!$B$26*INDEX(Curves!$B$4:$AO$4,1,81-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0</v>
      </c>
      <c r="CF97" s="1" t="n">
        <f aca="false">IF(AND(Projects!$G$17="Yes",82&gt;=Projects!$C$17,82&lt;Projects!$C$17+Projects!$D$17),Projects!$B$17*INDEX(Curves!$B$4:$AO$4,1,82-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$4:$AO$4,1,82-Projects!$C$24+1),0)+IF(AND(Projects!$G$25="Yes",82&gt;=Projects!$C$25,82&lt;Projects!$C$25+Projects!$D$25),Projects!$B$25*INDEX(Curves!$B$4:$AO$4,1,82-Projects!$C$25+1),0)+IF(AND(Projects!$G$26="Yes",82&gt;=Projects!$C$26,82&lt;Projects!$C$26+Projects!$D$26),Projects!$B$26*INDEX(Curves!$B$4:$AO$4,1,82-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0</v>
      </c>
      <c r="CG97" s="1" t="n">
        <f aca="false">IF(AND(Projects!$G$17="Yes",83&gt;=Projects!$C$17,83&lt;Projects!$C$17+Projects!$D$17),Projects!$B$17*INDEX(Curves!$B$4:$AO$4,1,83-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$4:$AO$4,1,83-Projects!$C$24+1),0)+IF(AND(Projects!$G$25="Yes",83&gt;=Projects!$C$25,83&lt;Projects!$C$25+Projects!$D$25),Projects!$B$25*INDEX(Curves!$B$4:$AO$4,1,83-Projects!$C$25+1),0)+IF(AND(Projects!$G$26="Yes",83&gt;=Projects!$C$26,83&lt;Projects!$C$26+Projects!$D$26),Projects!$B$26*INDEX(Curves!$B$4:$AO$4,1,83-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0</v>
      </c>
      <c r="CH97" s="1" t="n">
        <f aca="false">IF(AND(Projects!$G$17="Yes",84&gt;=Projects!$C$17,84&lt;Projects!$C$17+Projects!$D$17),Projects!$B$17*INDEX(Curves!$B$4:$AO$4,1,84-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$4:$AO$4,1,84-Projects!$C$24+1),0)+IF(AND(Projects!$G$25="Yes",84&gt;=Projects!$C$25,84&lt;Projects!$C$25+Projects!$D$25),Projects!$B$25*INDEX(Curves!$B$4:$AO$4,1,84-Projects!$C$25+1),0)+IF(AND(Projects!$G$26="Yes",84&gt;=Projects!$C$26,84&lt;Projects!$C$26+Projects!$D$26),Projects!$B$26*INDEX(Curves!$B$4:$AO$4,1,84-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0</v>
      </c>
    </row>
    <row r="98" customFormat="false" ht="15" hidden="false" customHeight="true" outlineLevel="0" collapsed="false">
      <c r="A98" s="1" t="s">
        <v>595</v>
      </c>
      <c r="C98" s="1" t="n">
        <f aca="false"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 s="1" t="n">
        <f aca="false"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 s="1" t="n">
        <f aca="false"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 s="1" t="n">
        <f aca="false"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 s="1" t="n">
        <f aca="false"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 s="1" t="n">
        <f aca="false"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 s="1" t="n">
        <f aca="false"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 s="1" t="n">
        <f aca="false"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 s="1" t="n">
        <f aca="false"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 s="1" t="n">
        <f aca="false"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 s="1" t="n">
        <f aca="false"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 s="1" t="n">
        <f aca="false"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 s="1" t="n">
        <f aca="false"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 s="1" t="n">
        <f aca="false"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 s="1" t="n">
        <f aca="false"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 s="1" t="n">
        <f aca="false"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43831.1688311688</v>
      </c>
      <c r="S98" s="1" t="n">
        <f aca="false"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43831.1688311688</v>
      </c>
      <c r="T98" s="1" t="n">
        <f aca="false"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80357.1428571428</v>
      </c>
      <c r="U98" s="1" t="n">
        <f aca="false"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80357.1428571428</v>
      </c>
      <c r="V98" s="1" t="n">
        <f aca="false"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80357.1428571428</v>
      </c>
      <c r="W98" s="1" t="n">
        <f aca="false"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116883.116883117</v>
      </c>
      <c r="X98" s="1" t="n">
        <f aca="false"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116883.116883117</v>
      </c>
      <c r="Y98" s="1" t="n">
        <f aca="false"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116883.116883117</v>
      </c>
      <c r="Z98" s="1" t="n">
        <f aca="false"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153409.090909091</v>
      </c>
      <c r="AA98" s="1" t="n">
        <f aca="false"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153409.090909091</v>
      </c>
      <c r="AB98" s="1" t="n">
        <f aca="false"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153409.090909091</v>
      </c>
      <c r="AC98" s="1" t="n">
        <f aca="false"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189935.064935065</v>
      </c>
      <c r="AD98" s="1" t="n">
        <f aca="false"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189935.064935065</v>
      </c>
      <c r="AE98" s="1" t="n">
        <f aca="false"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189935.064935065</v>
      </c>
      <c r="AF98" s="1" t="n">
        <f aca="false"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189935.064935065</v>
      </c>
      <c r="AG98" s="1" t="n">
        <f aca="false"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226461.038961039</v>
      </c>
      <c r="AH98" s="1" t="n">
        <f aca="false"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226461.038961039</v>
      </c>
      <c r="AI98" s="1" t="n">
        <f aca="false"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226461.038961039</v>
      </c>
      <c r="AJ98" s="1" t="n">
        <f aca="false"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306818.181818182</v>
      </c>
      <c r="AK98" s="1" t="n">
        <f aca="false"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219155.844155844</v>
      </c>
      <c r="AL98" s="1" t="n">
        <f aca="false"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255681.818181818</v>
      </c>
      <c r="AM98" s="1" t="n">
        <f aca="false"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226461.038961039</v>
      </c>
      <c r="AN98" s="1" t="n">
        <f aca="false"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226461.038961039</v>
      </c>
      <c r="AO98" s="1" t="n">
        <f aca="false"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262987.012987013</v>
      </c>
      <c r="AP98" s="1" t="n">
        <f aca="false"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233766.233766234</v>
      </c>
      <c r="AQ98" s="1" t="n">
        <f aca="false"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233766.233766234</v>
      </c>
      <c r="AR98" s="1" t="n">
        <f aca="false"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314123.376623377</v>
      </c>
      <c r="AS98" s="1" t="n">
        <f aca="false"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241071.428571429</v>
      </c>
      <c r="AT98" s="1" t="n">
        <f aca="false"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277597.402597403</v>
      </c>
      <c r="AU98" s="1" t="n">
        <f aca="false"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314123.376623377</v>
      </c>
      <c r="AV98" s="1" t="n">
        <f aca="false"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277597.402597403</v>
      </c>
      <c r="AW98" s="1" t="n">
        <f aca="false"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277597.402597403</v>
      </c>
      <c r="AX98" s="1" t="n">
        <f aca="false"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314123.376623377</v>
      </c>
      <c r="AY98" s="1" t="n">
        <f aca="false"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350649.350649351</v>
      </c>
      <c r="AZ98" s="1" t="n">
        <f aca="false"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277597.402597403</v>
      </c>
      <c r="BA98" s="1" t="n">
        <f aca="false"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277597.402597403</v>
      </c>
      <c r="BB98" s="1" t="n">
        <f aca="false"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314123.376623377</v>
      </c>
      <c r="BC98" s="1" t="n">
        <f aca="false"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241071.428571429</v>
      </c>
      <c r="BD98" s="1" t="n">
        <f aca="false"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241071.428571429</v>
      </c>
      <c r="BE98" s="1" t="n">
        <f aca="false"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284902.597402597</v>
      </c>
      <c r="BF98" s="1" t="n">
        <f aca="false"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197240.25974026</v>
      </c>
      <c r="BG98" s="1" t="n">
        <f aca="false"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197240.25974026</v>
      </c>
      <c r="BH98" s="1" t="n">
        <f aca="false"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241071.428571429</v>
      </c>
      <c r="BI98" s="1" t="n">
        <f aca="false"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153409.090909091</v>
      </c>
      <c r="BJ98" s="1" t="n">
        <f aca="false"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197240.25974026</v>
      </c>
      <c r="BK98" s="1" t="n">
        <f aca="false"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109577.922077922</v>
      </c>
      <c r="BL98" s="1" t="n">
        <f aca="false"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146103.896103896</v>
      </c>
      <c r="BM98" s="1" t="n">
        <f aca="false"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73051.948051948</v>
      </c>
      <c r="BN98" s="1" t="n">
        <f aca="false"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109577.922077922</v>
      </c>
      <c r="BO98" s="1" t="n">
        <f aca="false"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36525.974025974</v>
      </c>
      <c r="BP98" s="1" t="n">
        <f aca="false"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73051.948051948</v>
      </c>
      <c r="BQ98" s="1" t="n">
        <f aca="false"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0</v>
      </c>
      <c r="BR98" s="1" t="n">
        <f aca="false"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0</v>
      </c>
      <c r="BS98" s="1" t="n">
        <f aca="false"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0</v>
      </c>
      <c r="BT98" s="1" t="n">
        <f aca="false"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0</v>
      </c>
      <c r="BU98" s="1" t="n">
        <f aca="false"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0</v>
      </c>
      <c r="BV98" s="1" t="n">
        <f aca="false"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0</v>
      </c>
      <c r="BW98" s="1" t="n">
        <f aca="false"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0</v>
      </c>
      <c r="BX98" s="1" t="n">
        <f aca="false"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0</v>
      </c>
      <c r="BY98" s="1" t="n">
        <f aca="false"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0</v>
      </c>
      <c r="BZ98" s="1" t="n">
        <f aca="false"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0</v>
      </c>
      <c r="CA98" s="1" t="n">
        <f aca="false"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0</v>
      </c>
      <c r="CB98" s="1" t="n">
        <f aca="false"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0</v>
      </c>
      <c r="CC98" s="1" t="n">
        <f aca="false"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0</v>
      </c>
      <c r="CD98" s="1" t="n">
        <f aca="false"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0</v>
      </c>
      <c r="CE98" s="1" t="n">
        <f aca="false"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0</v>
      </c>
      <c r="CF98" s="1" t="n">
        <f aca="false"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0</v>
      </c>
      <c r="CG98" s="1" t="n">
        <f aca="false"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0</v>
      </c>
      <c r="CH98" s="1" t="n">
        <f aca="false"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0</v>
      </c>
    </row>
    <row r="99" customFormat="false" ht="15" hidden="false" customHeight="true" outlineLevel="0" collapsed="false">
      <c r="A99" s="1" t="s">
        <v>596</v>
      </c>
      <c r="C99" s="1" t="n">
        <f aca="false">IF(AND(Projects!$G$17="Yes",1&gt;=Projects!$C$17,1&lt;Projects!$C$17+Projects!$D$17),IF(1=Projects!$C$17+Projects!$D$17-1,Projects!$B$17*INDEX(Curves!$B$4:$AO$4,1,1-Projects!$C$17+1)*Assumptions!$B$11*0.95+0.05*Projects!$B$17*Assumptions!$B$11,Projects!$B$17*INDEX(Curves!$B$4:$AO$4,1,1-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$4:$AO$4,1,1-Projects!$C$24+1)*Assumptions!$B$11*0.95+0.05*Projects!$B$24*Assumptions!$B$11,Projects!$B$24*INDEX(Curves!$B$4:$AO$4,1,1-Projects!$C$24+1)*Assumptions!$B$11*0.95),0)+IF(AND(Projects!$G$25="Yes",1&gt;=Projects!$C$25,1&lt;Projects!$C$25+Projects!$D$25),IF(1=Projects!$C$25+Projects!$D$25-1,Projects!$B$25*INDEX(Curves!$B$4:$AO$4,1,1-Projects!$C$25+1)*Assumptions!$B$11*0.95+0.05*Projects!$B$25*Assumptions!$B$11,Projects!$B$25*INDEX(Curves!$B$4:$AO$4,1,1-Projects!$C$25+1)*Assumptions!$B$11*0.95),0)+IF(AND(Projects!$G$26="Yes",1&gt;=Projects!$C$26,1&lt;Projects!$C$26+Projects!$D$26),IF(1=Projects!$C$26+Projects!$D$26-1,Projects!$B$26*INDEX(Curves!$B$4:$AO$4,1,1-Projects!$C$26+1)*Assumptions!$B$11*0.95+0.05*Projects!$B$26*Assumptions!$B$11,Projects!$B$26*INDEX(Curves!$B$4:$AO$4,1,1-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 s="1" t="n">
        <f aca="false">IF(AND(Projects!$G$17="Yes",2&gt;=Projects!$C$17,2&lt;Projects!$C$17+Projects!$D$17),IF(2=Projects!$C$17+Projects!$D$17-1,Projects!$B$17*INDEX(Curves!$B$4:$AO$4,1,2-Projects!$C$17+1)*Assumptions!$B$11*0.95+0.05*Projects!$B$17*Assumptions!$B$11,Projects!$B$17*INDEX(Curves!$B$4:$AO$4,1,2-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$4:$AO$4,1,2-Projects!$C$24+1)*Assumptions!$B$11*0.95+0.05*Projects!$B$24*Assumptions!$B$11,Projects!$B$24*INDEX(Curves!$B$4:$AO$4,1,2-Projects!$C$24+1)*Assumptions!$B$11*0.95),0)+IF(AND(Projects!$G$25="Yes",2&gt;=Projects!$C$25,2&lt;Projects!$C$25+Projects!$D$25),IF(2=Projects!$C$25+Projects!$D$25-1,Projects!$B$25*INDEX(Curves!$B$4:$AO$4,1,2-Projects!$C$25+1)*Assumptions!$B$11*0.95+0.05*Projects!$B$25*Assumptions!$B$11,Projects!$B$25*INDEX(Curves!$B$4:$AO$4,1,2-Projects!$C$25+1)*Assumptions!$B$11*0.95),0)+IF(AND(Projects!$G$26="Yes",2&gt;=Projects!$C$26,2&lt;Projects!$C$26+Projects!$D$26),IF(2=Projects!$C$26+Projects!$D$26-1,Projects!$B$26*INDEX(Curves!$B$4:$AO$4,1,2-Projects!$C$26+1)*Assumptions!$B$11*0.95+0.05*Projects!$B$26*Assumptions!$B$11,Projects!$B$26*INDEX(Curves!$B$4:$AO$4,1,2-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 s="1" t="n">
        <f aca="false">IF(AND(Projects!$G$17="Yes",3&gt;=Projects!$C$17,3&lt;Projects!$C$17+Projects!$D$17),IF(3=Projects!$C$17+Projects!$D$17-1,Projects!$B$17*INDEX(Curves!$B$4:$AO$4,1,3-Projects!$C$17+1)*Assumptions!$B$11*0.95+0.05*Projects!$B$17*Assumptions!$B$11,Projects!$B$17*INDEX(Curves!$B$4:$AO$4,1,3-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$4:$AO$4,1,3-Projects!$C$24+1)*Assumptions!$B$11*0.95+0.05*Projects!$B$24*Assumptions!$B$11,Projects!$B$24*INDEX(Curves!$B$4:$AO$4,1,3-Projects!$C$24+1)*Assumptions!$B$11*0.95),0)+IF(AND(Projects!$G$25="Yes",3&gt;=Projects!$C$25,3&lt;Projects!$C$25+Projects!$D$25),IF(3=Projects!$C$25+Projects!$D$25-1,Projects!$B$25*INDEX(Curves!$B$4:$AO$4,1,3-Projects!$C$25+1)*Assumptions!$B$11*0.95+0.05*Projects!$B$25*Assumptions!$B$11,Projects!$B$25*INDEX(Curves!$B$4:$AO$4,1,3-Projects!$C$25+1)*Assumptions!$B$11*0.95),0)+IF(AND(Projects!$G$26="Yes",3&gt;=Projects!$C$26,3&lt;Projects!$C$26+Projects!$D$26),IF(3=Projects!$C$26+Projects!$D$26-1,Projects!$B$26*INDEX(Curves!$B$4:$AO$4,1,3-Projects!$C$26+1)*Assumptions!$B$11*0.95+0.05*Projects!$B$26*Assumptions!$B$11,Projects!$B$26*INDEX(Curves!$B$4:$AO$4,1,3-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 s="1" t="n">
        <f aca="false">IF(AND(Projects!$G$17="Yes",4&gt;=Projects!$C$17,4&lt;Projects!$C$17+Projects!$D$17),IF(4=Projects!$C$17+Projects!$D$17-1,Projects!$B$17*INDEX(Curves!$B$4:$AO$4,1,4-Projects!$C$17+1)*Assumptions!$B$11*0.95+0.05*Projects!$B$17*Assumptions!$B$11,Projects!$B$17*INDEX(Curves!$B$4:$AO$4,1,4-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$4:$AO$4,1,4-Projects!$C$24+1)*Assumptions!$B$11*0.95+0.05*Projects!$B$24*Assumptions!$B$11,Projects!$B$24*INDEX(Curves!$B$4:$AO$4,1,4-Projects!$C$24+1)*Assumptions!$B$11*0.95),0)+IF(AND(Projects!$G$25="Yes",4&gt;=Projects!$C$25,4&lt;Projects!$C$25+Projects!$D$25),IF(4=Projects!$C$25+Projects!$D$25-1,Projects!$B$25*INDEX(Curves!$B$4:$AO$4,1,4-Projects!$C$25+1)*Assumptions!$B$11*0.95+0.05*Projects!$B$25*Assumptions!$B$11,Projects!$B$25*INDEX(Curves!$B$4:$AO$4,1,4-Projects!$C$25+1)*Assumptions!$B$11*0.95),0)+IF(AND(Projects!$G$26="Yes",4&gt;=Projects!$C$26,4&lt;Projects!$C$26+Projects!$D$26),IF(4=Projects!$C$26+Projects!$D$26-1,Projects!$B$26*INDEX(Curves!$B$4:$AO$4,1,4-Projects!$C$26+1)*Assumptions!$B$11*0.95+0.05*Projects!$B$26*Assumptions!$B$11,Projects!$B$26*INDEX(Curves!$B$4:$AO$4,1,4-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 s="1" t="n">
        <f aca="false">IF(AND(Projects!$G$17="Yes",5&gt;=Projects!$C$17,5&lt;Projects!$C$17+Projects!$D$17),IF(5=Projects!$C$17+Projects!$D$17-1,Projects!$B$17*INDEX(Curves!$B$4:$AO$4,1,5-Projects!$C$17+1)*Assumptions!$B$11*0.95+0.05*Projects!$B$17*Assumptions!$B$11,Projects!$B$17*INDEX(Curves!$B$4:$AO$4,1,5-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$4:$AO$4,1,5-Projects!$C$24+1)*Assumptions!$B$11*0.95+0.05*Projects!$B$24*Assumptions!$B$11,Projects!$B$24*INDEX(Curves!$B$4:$AO$4,1,5-Projects!$C$24+1)*Assumptions!$B$11*0.95),0)+IF(AND(Projects!$G$25="Yes",5&gt;=Projects!$C$25,5&lt;Projects!$C$25+Projects!$D$25),IF(5=Projects!$C$25+Projects!$D$25-1,Projects!$B$25*INDEX(Curves!$B$4:$AO$4,1,5-Projects!$C$25+1)*Assumptions!$B$11*0.95+0.05*Projects!$B$25*Assumptions!$B$11,Projects!$B$25*INDEX(Curves!$B$4:$AO$4,1,5-Projects!$C$25+1)*Assumptions!$B$11*0.95),0)+IF(AND(Projects!$G$26="Yes",5&gt;=Projects!$C$26,5&lt;Projects!$C$26+Projects!$D$26),IF(5=Projects!$C$26+Projects!$D$26-1,Projects!$B$26*INDEX(Curves!$B$4:$AO$4,1,5-Projects!$C$26+1)*Assumptions!$B$11*0.95+0.05*Projects!$B$26*Assumptions!$B$11,Projects!$B$26*INDEX(Curves!$B$4:$AO$4,1,5-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 s="1" t="n">
        <f aca="false">IF(AND(Projects!$G$17="Yes",6&gt;=Projects!$C$17,6&lt;Projects!$C$17+Projects!$D$17),IF(6=Projects!$C$17+Projects!$D$17-1,Projects!$B$17*INDEX(Curves!$B$4:$AO$4,1,6-Projects!$C$17+1)*Assumptions!$B$11*0.95+0.05*Projects!$B$17*Assumptions!$B$11,Projects!$B$17*INDEX(Curves!$B$4:$AO$4,1,6-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$4:$AO$4,1,6-Projects!$C$24+1)*Assumptions!$B$11*0.95+0.05*Projects!$B$24*Assumptions!$B$11,Projects!$B$24*INDEX(Curves!$B$4:$AO$4,1,6-Projects!$C$24+1)*Assumptions!$B$11*0.95),0)+IF(AND(Projects!$G$25="Yes",6&gt;=Projects!$C$25,6&lt;Projects!$C$25+Projects!$D$25),IF(6=Projects!$C$25+Projects!$D$25-1,Projects!$B$25*INDEX(Curves!$B$4:$AO$4,1,6-Projects!$C$25+1)*Assumptions!$B$11*0.95+0.05*Projects!$B$25*Assumptions!$B$11,Projects!$B$25*INDEX(Curves!$B$4:$AO$4,1,6-Projects!$C$25+1)*Assumptions!$B$11*0.95),0)+IF(AND(Projects!$G$26="Yes",6&gt;=Projects!$C$26,6&lt;Projects!$C$26+Projects!$D$26),IF(6=Projects!$C$26+Projects!$D$26-1,Projects!$B$26*INDEX(Curves!$B$4:$AO$4,1,6-Projects!$C$26+1)*Assumptions!$B$11*0.95+0.05*Projects!$B$26*Assumptions!$B$11,Projects!$B$26*INDEX(Curves!$B$4:$AO$4,1,6-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 s="1" t="n">
        <f aca="false">IF(AND(Projects!$G$17="Yes",7&gt;=Projects!$C$17,7&lt;Projects!$C$17+Projects!$D$17),IF(7=Projects!$C$17+Projects!$D$17-1,Projects!$B$17*INDEX(Curves!$B$4:$AO$4,1,7-Projects!$C$17+1)*Assumptions!$B$11*0.95+0.05*Projects!$B$17*Assumptions!$B$11,Projects!$B$17*INDEX(Curves!$B$4:$AO$4,1,7-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$4:$AO$4,1,7-Projects!$C$24+1)*Assumptions!$B$11*0.95+0.05*Projects!$B$24*Assumptions!$B$11,Projects!$B$24*INDEX(Curves!$B$4:$AO$4,1,7-Projects!$C$24+1)*Assumptions!$B$11*0.95),0)+IF(AND(Projects!$G$25="Yes",7&gt;=Projects!$C$25,7&lt;Projects!$C$25+Projects!$D$25),IF(7=Projects!$C$25+Projects!$D$25-1,Projects!$B$25*INDEX(Curves!$B$4:$AO$4,1,7-Projects!$C$25+1)*Assumptions!$B$11*0.95+0.05*Projects!$B$25*Assumptions!$B$11,Projects!$B$25*INDEX(Curves!$B$4:$AO$4,1,7-Projects!$C$25+1)*Assumptions!$B$11*0.95),0)+IF(AND(Projects!$G$26="Yes",7&gt;=Projects!$C$26,7&lt;Projects!$C$26+Projects!$D$26),IF(7=Projects!$C$26+Projects!$D$26-1,Projects!$B$26*INDEX(Curves!$B$4:$AO$4,1,7-Projects!$C$26+1)*Assumptions!$B$11*0.95+0.05*Projects!$B$26*Assumptions!$B$11,Projects!$B$26*INDEX(Curves!$B$4:$AO$4,1,7-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 s="1" t="n">
        <f aca="false">IF(AND(Projects!$G$17="Yes",8&gt;=Projects!$C$17,8&lt;Projects!$C$17+Projects!$D$17),IF(8=Projects!$C$17+Projects!$D$17-1,Projects!$B$17*INDEX(Curves!$B$4:$AO$4,1,8-Projects!$C$17+1)*Assumptions!$B$11*0.95+0.05*Projects!$B$17*Assumptions!$B$11,Projects!$B$17*INDEX(Curves!$B$4:$AO$4,1,8-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$4:$AO$4,1,8-Projects!$C$24+1)*Assumptions!$B$11*0.95+0.05*Projects!$B$24*Assumptions!$B$11,Projects!$B$24*INDEX(Curves!$B$4:$AO$4,1,8-Projects!$C$24+1)*Assumptions!$B$11*0.95),0)+IF(AND(Projects!$G$25="Yes",8&gt;=Projects!$C$25,8&lt;Projects!$C$25+Projects!$D$25),IF(8=Projects!$C$25+Projects!$D$25-1,Projects!$B$25*INDEX(Curves!$B$4:$AO$4,1,8-Projects!$C$25+1)*Assumptions!$B$11*0.95+0.05*Projects!$B$25*Assumptions!$B$11,Projects!$B$25*INDEX(Curves!$B$4:$AO$4,1,8-Projects!$C$25+1)*Assumptions!$B$11*0.95),0)+IF(AND(Projects!$G$26="Yes",8&gt;=Projects!$C$26,8&lt;Projects!$C$26+Projects!$D$26),IF(8=Projects!$C$26+Projects!$D$26-1,Projects!$B$26*INDEX(Curves!$B$4:$AO$4,1,8-Projects!$C$26+1)*Assumptions!$B$11*0.95+0.05*Projects!$B$26*Assumptions!$B$11,Projects!$B$26*INDEX(Curves!$B$4:$AO$4,1,8-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 s="1" t="n">
        <f aca="false">IF(AND(Projects!$G$17="Yes",9&gt;=Projects!$C$17,9&lt;Projects!$C$17+Projects!$D$17),IF(9=Projects!$C$17+Projects!$D$17-1,Projects!$B$17*INDEX(Curves!$B$4:$AO$4,1,9-Projects!$C$17+1)*Assumptions!$B$11*0.95+0.05*Projects!$B$17*Assumptions!$B$11,Projects!$B$17*INDEX(Curves!$B$4:$AO$4,1,9-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$4:$AO$4,1,9-Projects!$C$24+1)*Assumptions!$B$11*0.95+0.05*Projects!$B$24*Assumptions!$B$11,Projects!$B$24*INDEX(Curves!$B$4:$AO$4,1,9-Projects!$C$24+1)*Assumptions!$B$11*0.95),0)+IF(AND(Projects!$G$25="Yes",9&gt;=Projects!$C$25,9&lt;Projects!$C$25+Projects!$D$25),IF(9=Projects!$C$25+Projects!$D$25-1,Projects!$B$25*INDEX(Curves!$B$4:$AO$4,1,9-Projects!$C$25+1)*Assumptions!$B$11*0.95+0.05*Projects!$B$25*Assumptions!$B$11,Projects!$B$25*INDEX(Curves!$B$4:$AO$4,1,9-Projects!$C$25+1)*Assumptions!$B$11*0.95),0)+IF(AND(Projects!$G$26="Yes",9&gt;=Projects!$C$26,9&lt;Projects!$C$26+Projects!$D$26),IF(9=Projects!$C$26+Projects!$D$26-1,Projects!$B$26*INDEX(Curves!$B$4:$AO$4,1,9-Projects!$C$26+1)*Assumptions!$B$11*0.95+0.05*Projects!$B$26*Assumptions!$B$11,Projects!$B$26*INDEX(Curves!$B$4:$AO$4,1,9-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 s="1" t="n">
        <f aca="false">IF(AND(Projects!$G$17="Yes",10&gt;=Projects!$C$17,10&lt;Projects!$C$17+Projects!$D$17),IF(10=Projects!$C$17+Projects!$D$17-1,Projects!$B$17*INDEX(Curves!$B$4:$AO$4,1,10-Projects!$C$17+1)*Assumptions!$B$11*0.95+0.05*Projects!$B$17*Assumptions!$B$11,Projects!$B$17*INDEX(Curves!$B$4:$AO$4,1,10-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$4:$AO$4,1,10-Projects!$C$24+1)*Assumptions!$B$11*0.95+0.05*Projects!$B$24*Assumptions!$B$11,Projects!$B$24*INDEX(Curves!$B$4:$AO$4,1,10-Projects!$C$24+1)*Assumptions!$B$11*0.95),0)+IF(AND(Projects!$G$25="Yes",10&gt;=Projects!$C$25,10&lt;Projects!$C$25+Projects!$D$25),IF(10=Projects!$C$25+Projects!$D$25-1,Projects!$B$25*INDEX(Curves!$B$4:$AO$4,1,10-Projects!$C$25+1)*Assumptions!$B$11*0.95+0.05*Projects!$B$25*Assumptions!$B$11,Projects!$B$25*INDEX(Curves!$B$4:$AO$4,1,10-Projects!$C$25+1)*Assumptions!$B$11*0.95),0)+IF(AND(Projects!$G$26="Yes",10&gt;=Projects!$C$26,10&lt;Projects!$C$26+Projects!$D$26),IF(10=Projects!$C$26+Projects!$D$26-1,Projects!$B$26*INDEX(Curves!$B$4:$AO$4,1,10-Projects!$C$26+1)*Assumptions!$B$11*0.95+0.05*Projects!$B$26*Assumptions!$B$11,Projects!$B$26*INDEX(Curves!$B$4:$AO$4,1,10-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 s="1" t="n">
        <f aca="false">IF(AND(Projects!$G$17="Yes",11&gt;=Projects!$C$17,11&lt;Projects!$C$17+Projects!$D$17),IF(11=Projects!$C$17+Projects!$D$17-1,Projects!$B$17*INDEX(Curves!$B$4:$AO$4,1,11-Projects!$C$17+1)*Assumptions!$B$11*0.95+0.05*Projects!$B$17*Assumptions!$B$11,Projects!$B$17*INDEX(Curves!$B$4:$AO$4,1,11-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$4:$AO$4,1,11-Projects!$C$24+1)*Assumptions!$B$11*0.95+0.05*Projects!$B$24*Assumptions!$B$11,Projects!$B$24*INDEX(Curves!$B$4:$AO$4,1,11-Projects!$C$24+1)*Assumptions!$B$11*0.95),0)+IF(AND(Projects!$G$25="Yes",11&gt;=Projects!$C$25,11&lt;Projects!$C$25+Projects!$D$25),IF(11=Projects!$C$25+Projects!$D$25-1,Projects!$B$25*INDEX(Curves!$B$4:$AO$4,1,11-Projects!$C$25+1)*Assumptions!$B$11*0.95+0.05*Projects!$B$25*Assumptions!$B$11,Projects!$B$25*INDEX(Curves!$B$4:$AO$4,1,11-Projects!$C$25+1)*Assumptions!$B$11*0.95),0)+IF(AND(Projects!$G$26="Yes",11&gt;=Projects!$C$26,11&lt;Projects!$C$26+Projects!$D$26),IF(11=Projects!$C$26+Projects!$D$26-1,Projects!$B$26*INDEX(Curves!$B$4:$AO$4,1,11-Projects!$C$26+1)*Assumptions!$B$11*0.95+0.05*Projects!$B$26*Assumptions!$B$11,Projects!$B$26*INDEX(Curves!$B$4:$AO$4,1,11-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 s="1" t="n">
        <f aca="false">IF(AND(Projects!$G$17="Yes",12&gt;=Projects!$C$17,12&lt;Projects!$C$17+Projects!$D$17),IF(12=Projects!$C$17+Projects!$D$17-1,Projects!$B$17*INDEX(Curves!$B$4:$AO$4,1,12-Projects!$C$17+1)*Assumptions!$B$11*0.95+0.05*Projects!$B$17*Assumptions!$B$11,Projects!$B$17*INDEX(Curves!$B$4:$AO$4,1,12-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$4:$AO$4,1,12-Projects!$C$24+1)*Assumptions!$B$11*0.95+0.05*Projects!$B$24*Assumptions!$B$11,Projects!$B$24*INDEX(Curves!$B$4:$AO$4,1,12-Projects!$C$24+1)*Assumptions!$B$11*0.95),0)+IF(AND(Projects!$G$25="Yes",12&gt;=Projects!$C$25,12&lt;Projects!$C$25+Projects!$D$25),IF(12=Projects!$C$25+Projects!$D$25-1,Projects!$B$25*INDEX(Curves!$B$4:$AO$4,1,12-Projects!$C$25+1)*Assumptions!$B$11*0.95+0.05*Projects!$B$25*Assumptions!$B$11,Projects!$B$25*INDEX(Curves!$B$4:$AO$4,1,12-Projects!$C$25+1)*Assumptions!$B$11*0.95),0)+IF(AND(Projects!$G$26="Yes",12&gt;=Projects!$C$26,12&lt;Projects!$C$26+Projects!$D$26),IF(12=Projects!$C$26+Projects!$D$26-1,Projects!$B$26*INDEX(Curves!$B$4:$AO$4,1,12-Projects!$C$26+1)*Assumptions!$B$11*0.95+0.05*Projects!$B$26*Assumptions!$B$11,Projects!$B$26*INDEX(Curves!$B$4:$AO$4,1,12-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 s="1" t="n">
        <f aca="false">IF(AND(Projects!$G$17="Yes",13&gt;=Projects!$C$17,13&lt;Projects!$C$17+Projects!$D$17),IF(13=Projects!$C$17+Projects!$D$17-1,Projects!$B$17*INDEX(Curves!$B$4:$AO$4,1,13-Projects!$C$17+1)*Assumptions!$B$11*0.95+0.05*Projects!$B$17*Assumptions!$B$11,Projects!$B$17*INDEX(Curves!$B$4:$AO$4,1,13-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$4:$AO$4,1,13-Projects!$C$24+1)*Assumptions!$B$11*0.95+0.05*Projects!$B$24*Assumptions!$B$11,Projects!$B$24*INDEX(Curves!$B$4:$AO$4,1,13-Projects!$C$24+1)*Assumptions!$B$11*0.95),0)+IF(AND(Projects!$G$25="Yes",13&gt;=Projects!$C$25,13&lt;Projects!$C$25+Projects!$D$25),IF(13=Projects!$C$25+Projects!$D$25-1,Projects!$B$25*INDEX(Curves!$B$4:$AO$4,1,13-Projects!$C$25+1)*Assumptions!$B$11*0.95+0.05*Projects!$B$25*Assumptions!$B$11,Projects!$B$25*INDEX(Curves!$B$4:$AO$4,1,13-Projects!$C$25+1)*Assumptions!$B$11*0.95),0)+IF(AND(Projects!$G$26="Yes",13&gt;=Projects!$C$26,13&lt;Projects!$C$26+Projects!$D$26),IF(13=Projects!$C$26+Projects!$D$26-1,Projects!$B$26*INDEX(Curves!$B$4:$AO$4,1,13-Projects!$C$26+1)*Assumptions!$B$11*0.95+0.05*Projects!$B$26*Assumptions!$B$11,Projects!$B$26*INDEX(Curves!$B$4:$AO$4,1,13-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 s="1" t="n">
        <f aca="false">IF(AND(Projects!$G$17="Yes",14&gt;=Projects!$C$17,14&lt;Projects!$C$17+Projects!$D$17),IF(14=Projects!$C$17+Projects!$D$17-1,Projects!$B$17*INDEX(Curves!$B$4:$AO$4,1,14-Projects!$C$17+1)*Assumptions!$B$11*0.95+0.05*Projects!$B$17*Assumptions!$B$11,Projects!$B$17*INDEX(Curves!$B$4:$AO$4,1,14-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$4:$AO$4,1,14-Projects!$C$24+1)*Assumptions!$B$11*0.95+0.05*Projects!$B$24*Assumptions!$B$11,Projects!$B$24*INDEX(Curves!$B$4:$AO$4,1,14-Projects!$C$24+1)*Assumptions!$B$11*0.95),0)+IF(AND(Projects!$G$25="Yes",14&gt;=Projects!$C$25,14&lt;Projects!$C$25+Projects!$D$25),IF(14=Projects!$C$25+Projects!$D$25-1,Projects!$B$25*INDEX(Curves!$B$4:$AO$4,1,14-Projects!$C$25+1)*Assumptions!$B$11*0.95+0.05*Projects!$B$25*Assumptions!$B$11,Projects!$B$25*INDEX(Curves!$B$4:$AO$4,1,14-Projects!$C$25+1)*Assumptions!$B$11*0.95),0)+IF(AND(Projects!$G$26="Yes",14&gt;=Projects!$C$26,14&lt;Projects!$C$26+Projects!$D$26),IF(14=Projects!$C$26+Projects!$D$26-1,Projects!$B$26*INDEX(Curves!$B$4:$AO$4,1,14-Projects!$C$26+1)*Assumptions!$B$11*0.95+0.05*Projects!$B$26*Assumptions!$B$11,Projects!$B$26*INDEX(Curves!$B$4:$AO$4,1,14-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 s="1" t="n">
        <f aca="false">IF(AND(Projects!$G$17="Yes",15&gt;=Projects!$C$17,15&lt;Projects!$C$17+Projects!$D$17),IF(15=Projects!$C$17+Projects!$D$17-1,Projects!$B$17*INDEX(Curves!$B$4:$AO$4,1,15-Projects!$C$17+1)*Assumptions!$B$11*0.95+0.05*Projects!$B$17*Assumptions!$B$11,Projects!$B$17*INDEX(Curves!$B$4:$AO$4,1,15-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$4:$AO$4,1,15-Projects!$C$24+1)*Assumptions!$B$11*0.95+0.05*Projects!$B$24*Assumptions!$B$11,Projects!$B$24*INDEX(Curves!$B$4:$AO$4,1,15-Projects!$C$24+1)*Assumptions!$B$11*0.95),0)+IF(AND(Projects!$G$25="Yes",15&gt;=Projects!$C$25,15&lt;Projects!$C$25+Projects!$D$25),IF(15=Projects!$C$25+Projects!$D$25-1,Projects!$B$25*INDEX(Curves!$B$4:$AO$4,1,15-Projects!$C$25+1)*Assumptions!$B$11*0.95+0.05*Projects!$B$25*Assumptions!$B$11,Projects!$B$25*INDEX(Curves!$B$4:$AO$4,1,15-Projects!$C$25+1)*Assumptions!$B$11*0.95),0)+IF(AND(Projects!$G$26="Yes",15&gt;=Projects!$C$26,15&lt;Projects!$C$26+Projects!$D$26),IF(15=Projects!$C$26+Projects!$D$26-1,Projects!$B$26*INDEX(Curves!$B$4:$AO$4,1,15-Projects!$C$26+1)*Assumptions!$B$11*0.95+0.05*Projects!$B$26*Assumptions!$B$11,Projects!$B$26*INDEX(Curves!$B$4:$AO$4,1,15-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 s="1" t="n">
        <f aca="false">IF(AND(Projects!$G$17="Yes",16&gt;=Projects!$C$17,16&lt;Projects!$C$17+Projects!$D$17),IF(16=Projects!$C$17+Projects!$D$17-1,Projects!$B$17*INDEX(Curves!$B$4:$AO$4,1,16-Projects!$C$17+1)*Assumptions!$B$11*0.95+0.05*Projects!$B$17*Assumptions!$B$11,Projects!$B$17*INDEX(Curves!$B$4:$AO$4,1,16-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$4:$AO$4,1,16-Projects!$C$24+1)*Assumptions!$B$11*0.95+0.05*Projects!$B$24*Assumptions!$B$11,Projects!$B$24*INDEX(Curves!$B$4:$AO$4,1,16-Projects!$C$24+1)*Assumptions!$B$11*0.95),0)+IF(AND(Projects!$G$25="Yes",16&gt;=Projects!$C$25,16&lt;Projects!$C$25+Projects!$D$25),IF(16=Projects!$C$25+Projects!$D$25-1,Projects!$B$25*INDEX(Curves!$B$4:$AO$4,1,16-Projects!$C$25+1)*Assumptions!$B$11*0.95+0.05*Projects!$B$25*Assumptions!$B$11,Projects!$B$25*INDEX(Curves!$B$4:$AO$4,1,16-Projects!$C$25+1)*Assumptions!$B$11*0.95),0)+IF(AND(Projects!$G$26="Yes",16&gt;=Projects!$C$26,16&lt;Projects!$C$26+Projects!$D$26),IF(16=Projects!$C$26+Projects!$D$26-1,Projects!$B$26*INDEX(Curves!$B$4:$AO$4,1,16-Projects!$C$26+1)*Assumptions!$B$11*0.95+0.05*Projects!$B$26*Assumptions!$B$11,Projects!$B$26*INDEX(Curves!$B$4:$AO$4,1,16-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22083.150974026</v>
      </c>
      <c r="S99" s="1" t="n">
        <f aca="false">IF(AND(Projects!$G$17="Yes",17&gt;=Projects!$C$17,17&lt;Projects!$C$17+Projects!$D$17),IF(17=Projects!$C$17+Projects!$D$17-1,Projects!$B$17*INDEX(Curves!$B$4:$AO$4,1,17-Projects!$C$17+1)*Assumptions!$B$11*0.95+0.05*Projects!$B$17*Assumptions!$B$11,Projects!$B$17*INDEX(Curves!$B$4:$AO$4,1,17-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$4:$AO$4,1,17-Projects!$C$24+1)*Assumptions!$B$11*0.95+0.05*Projects!$B$24*Assumptions!$B$11,Projects!$B$24*INDEX(Curves!$B$4:$AO$4,1,17-Projects!$C$24+1)*Assumptions!$B$11*0.95),0)+IF(AND(Projects!$G$25="Yes",17&gt;=Projects!$C$25,17&lt;Projects!$C$25+Projects!$D$25),IF(17=Projects!$C$25+Projects!$D$25-1,Projects!$B$25*INDEX(Curves!$B$4:$AO$4,1,17-Projects!$C$25+1)*Assumptions!$B$11*0.95+0.05*Projects!$B$25*Assumptions!$B$11,Projects!$B$25*INDEX(Curves!$B$4:$AO$4,1,17-Projects!$C$25+1)*Assumptions!$B$11*0.95),0)+IF(AND(Projects!$G$26="Yes",17&gt;=Projects!$C$26,17&lt;Projects!$C$26+Projects!$D$26),IF(17=Projects!$C$26+Projects!$D$26-1,Projects!$B$26*INDEX(Curves!$B$4:$AO$4,1,17-Projects!$C$26+1)*Assumptions!$B$11*0.95+0.05*Projects!$B$26*Assumptions!$B$11,Projects!$B$26*INDEX(Curves!$B$4:$AO$4,1,17-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27283.1055194805</v>
      </c>
      <c r="T99" s="1" t="n">
        <f aca="false">IF(AND(Projects!$G$17="Yes",18&gt;=Projects!$C$17,18&lt;Projects!$C$17+Projects!$D$17),IF(18=Projects!$C$17+Projects!$D$17-1,Projects!$B$17*INDEX(Curves!$B$4:$AO$4,1,18-Projects!$C$17+1)*Assumptions!$B$11*0.95+0.05*Projects!$B$17*Assumptions!$B$11,Projects!$B$17*INDEX(Curves!$B$4:$AO$4,1,18-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$4:$AO$4,1,18-Projects!$C$24+1)*Assumptions!$B$11*0.95+0.05*Projects!$B$24*Assumptions!$B$11,Projects!$B$24*INDEX(Curves!$B$4:$AO$4,1,18-Projects!$C$24+1)*Assumptions!$B$11*0.95),0)+IF(AND(Projects!$G$25="Yes",18&gt;=Projects!$C$25,18&lt;Projects!$C$25+Projects!$D$25),IF(18=Projects!$C$25+Projects!$D$25-1,Projects!$B$25*INDEX(Curves!$B$4:$AO$4,1,18-Projects!$C$25+1)*Assumptions!$B$11*0.95+0.05*Projects!$B$25*Assumptions!$B$11,Projects!$B$25*INDEX(Curves!$B$4:$AO$4,1,18-Projects!$C$25+1)*Assumptions!$B$11*0.95),0)+IF(AND(Projects!$G$26="Yes",18&gt;=Projects!$C$26,18&lt;Projects!$C$26+Projects!$D$26),IF(18=Projects!$C$26+Projects!$D$26-1,Projects!$B$26*INDEX(Curves!$B$4:$AO$4,1,18-Projects!$C$26+1)*Assumptions!$B$11*0.95+0.05*Projects!$B$26*Assumptions!$B$11,Projects!$B$26*INDEX(Curves!$B$4:$AO$4,1,18-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51282.9277597403</v>
      </c>
      <c r="U99" s="1" t="n">
        <f aca="false">IF(AND(Projects!$G$17="Yes",19&gt;=Projects!$C$17,19&lt;Projects!$C$17+Projects!$D$17),IF(19=Projects!$C$17+Projects!$D$17-1,Projects!$B$17*INDEX(Curves!$B$4:$AO$4,1,19-Projects!$C$17+1)*Assumptions!$B$11*0.95+0.05*Projects!$B$17*Assumptions!$B$11,Projects!$B$17*INDEX(Curves!$B$4:$AO$4,1,19-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$4:$AO$4,1,19-Projects!$C$24+1)*Assumptions!$B$11*0.95+0.05*Projects!$B$24*Assumptions!$B$11,Projects!$B$24*INDEX(Curves!$B$4:$AO$4,1,19-Projects!$C$24+1)*Assumptions!$B$11*0.95),0)+IF(AND(Projects!$G$25="Yes",19&gt;=Projects!$C$25,19&lt;Projects!$C$25+Projects!$D$25),IF(19=Projects!$C$25+Projects!$D$25-1,Projects!$B$25*INDEX(Curves!$B$4:$AO$4,1,19-Projects!$C$25+1)*Assumptions!$B$11*0.95+0.05*Projects!$B$25*Assumptions!$B$11,Projects!$B$25*INDEX(Curves!$B$4:$AO$4,1,19-Projects!$C$25+1)*Assumptions!$B$11*0.95),0)+IF(AND(Projects!$G$26="Yes",19&gt;=Projects!$C$26,19&lt;Projects!$C$26+Projects!$D$26),IF(19=Projects!$C$26+Projects!$D$26-1,Projects!$B$26*INDEX(Curves!$B$4:$AO$4,1,19-Projects!$C$26+1)*Assumptions!$B$11*0.95+0.05*Projects!$B$26*Assumptions!$B$11,Projects!$B$26*INDEX(Curves!$B$4:$AO$4,1,19-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61387.4732142857</v>
      </c>
      <c r="V99" s="1" t="n">
        <f aca="false">IF(AND(Projects!$G$17="Yes",20&gt;=Projects!$C$17,20&lt;Projects!$C$17+Projects!$D$17),IF(20=Projects!$C$17+Projects!$D$17-1,Projects!$B$17*INDEX(Curves!$B$4:$AO$4,1,20-Projects!$C$17+1)*Assumptions!$B$11*0.95+0.05*Projects!$B$17*Assumptions!$B$11,Projects!$B$17*INDEX(Curves!$B$4:$AO$4,1,20-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$4:$AO$4,1,20-Projects!$C$24+1)*Assumptions!$B$11*0.95+0.05*Projects!$B$24*Assumptions!$B$11,Projects!$B$24*INDEX(Curves!$B$4:$AO$4,1,20-Projects!$C$24+1)*Assumptions!$B$11*0.95),0)+IF(AND(Projects!$G$25="Yes",20&gt;=Projects!$C$25,20&lt;Projects!$C$25+Projects!$D$25),IF(20=Projects!$C$25+Projects!$D$25-1,Projects!$B$25*INDEX(Curves!$B$4:$AO$4,1,20-Projects!$C$25+1)*Assumptions!$B$11*0.95+0.05*Projects!$B$25*Assumptions!$B$11,Projects!$B$25*INDEX(Curves!$B$4:$AO$4,1,20-Projects!$C$25+1)*Assumptions!$B$11*0.95),0)+IF(AND(Projects!$G$26="Yes",20&gt;=Projects!$C$26,20&lt;Projects!$C$26+Projects!$D$26),IF(20=Projects!$C$26+Projects!$D$26-1,Projects!$B$26*INDEX(Curves!$B$4:$AO$4,1,20-Projects!$C$26+1)*Assumptions!$B$11*0.95+0.05*Projects!$B$26*Assumptions!$B$11,Projects!$B$26*INDEX(Curves!$B$4:$AO$4,1,20-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71719.7873376623</v>
      </c>
      <c r="W99" s="1" t="n">
        <f aca="false">IF(AND(Projects!$G$17="Yes",21&gt;=Projects!$C$17,21&lt;Projects!$C$17+Projects!$D$17),IF(21=Projects!$C$17+Projects!$D$17-1,Projects!$B$17*INDEX(Curves!$B$4:$AO$4,1,21-Projects!$C$17+1)*Assumptions!$B$11*0.95+0.05*Projects!$B$17*Assumptions!$B$11,Projects!$B$17*INDEX(Curves!$B$4:$AO$4,1,21-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$4:$AO$4,1,21-Projects!$C$24+1)*Assumptions!$B$11*0.95+0.05*Projects!$B$24*Assumptions!$B$11,Projects!$B$24*INDEX(Curves!$B$4:$AO$4,1,21-Projects!$C$24+1)*Assumptions!$B$11*0.95),0)+IF(AND(Projects!$G$25="Yes",21&gt;=Projects!$C$25,21&lt;Projects!$C$25+Projects!$D$25),IF(21=Projects!$C$25+Projects!$D$25-1,Projects!$B$25*INDEX(Curves!$B$4:$AO$4,1,21-Projects!$C$25+1)*Assumptions!$B$11*0.95+0.05*Projects!$B$25*Assumptions!$B$11,Projects!$B$25*INDEX(Curves!$B$4:$AO$4,1,21-Projects!$C$25+1)*Assumptions!$B$11*0.95),0)+IF(AND(Projects!$G$26="Yes",21&gt;=Projects!$C$26,21&lt;Projects!$C$26+Projects!$D$26),IF(21=Projects!$C$26+Projects!$D$26-1,Projects!$B$26*INDEX(Curves!$B$4:$AO$4,1,21-Projects!$C$26+1)*Assumptions!$B$11*0.95+0.05*Projects!$B$26*Assumptions!$B$11,Projects!$B$26*INDEX(Curves!$B$4:$AO$4,1,21-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100181.710227273</v>
      </c>
      <c r="X99" s="1" t="n">
        <f aca="false">IF(AND(Projects!$G$17="Yes",22&gt;=Projects!$C$17,22&lt;Projects!$C$17+Projects!$D$17),IF(22=Projects!$C$17+Projects!$D$17-1,Projects!$B$17*INDEX(Curves!$B$4:$AO$4,1,22-Projects!$C$17+1)*Assumptions!$B$11*0.95+0.05*Projects!$B$17*Assumptions!$B$11,Projects!$B$17*INDEX(Curves!$B$4:$AO$4,1,22-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$4:$AO$4,1,22-Projects!$C$24+1)*Assumptions!$B$11*0.95+0.05*Projects!$B$24*Assumptions!$B$11,Projects!$B$24*INDEX(Curves!$B$4:$AO$4,1,22-Projects!$C$24+1)*Assumptions!$B$11*0.95),0)+IF(AND(Projects!$G$25="Yes",22&gt;=Projects!$C$25,22&lt;Projects!$C$25+Projects!$D$25),IF(22=Projects!$C$25+Projects!$D$25-1,Projects!$B$25*INDEX(Curves!$B$4:$AO$4,1,22-Projects!$C$25+1)*Assumptions!$B$11*0.95+0.05*Projects!$B$25*Assumptions!$B$11,Projects!$B$25*INDEX(Curves!$B$4:$AO$4,1,22-Projects!$C$25+1)*Assumptions!$B$11*0.95),0)+IF(AND(Projects!$G$26="Yes",22&gt;=Projects!$C$26,22&lt;Projects!$C$26+Projects!$D$26),IF(22=Projects!$C$26+Projects!$D$26-1,Projects!$B$26*INDEX(Curves!$B$4:$AO$4,1,22-Projects!$C$26+1)*Assumptions!$B$11*0.95+0.05*Projects!$B$26*Assumptions!$B$11,Projects!$B$26*INDEX(Curves!$B$4:$AO$4,1,22-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113747.895292208</v>
      </c>
      <c r="Y99" s="1" t="n">
        <f aca="false">IF(AND(Projects!$G$17="Yes",23&gt;=Projects!$C$17,23&lt;Projects!$C$17+Projects!$D$17),IF(23=Projects!$C$17+Projects!$D$17-1,Projects!$B$17*INDEX(Curves!$B$4:$AO$4,1,23-Projects!$C$17+1)*Assumptions!$B$11*0.95+0.05*Projects!$B$17*Assumptions!$B$11,Projects!$B$17*INDEX(Curves!$B$4:$AO$4,1,23-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$4:$AO$4,1,23-Projects!$C$24+1)*Assumptions!$B$11*0.95+0.05*Projects!$B$24*Assumptions!$B$11,Projects!$B$24*INDEX(Curves!$B$4:$AO$4,1,23-Projects!$C$24+1)*Assumptions!$B$11*0.95),0)+IF(AND(Projects!$G$25="Yes",23&gt;=Projects!$C$25,23&lt;Projects!$C$25+Projects!$D$25),IF(23=Projects!$C$25+Projects!$D$25-1,Projects!$B$25*INDEX(Curves!$B$4:$AO$4,1,23-Projects!$C$25+1)*Assumptions!$B$11*0.95+0.05*Projects!$B$25*Assumptions!$B$11,Projects!$B$25*INDEX(Curves!$B$4:$AO$4,1,23-Projects!$C$25+1)*Assumptions!$B$11*0.95),0)+IF(AND(Projects!$G$26="Yes",23&gt;=Projects!$C$26,23&lt;Projects!$C$26+Projects!$D$26),IF(23=Projects!$C$26+Projects!$D$26-1,Projects!$B$26*INDEX(Curves!$B$4:$AO$4,1,23-Projects!$C$26+1)*Assumptions!$B$11*0.95+0.05*Projects!$B$26*Assumptions!$B$11,Projects!$B$26*INDEX(Curves!$B$4:$AO$4,1,23-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126257.405844156</v>
      </c>
      <c r="Z99" s="1" t="n">
        <f aca="false">IF(AND(Projects!$G$17="Yes",24&gt;=Projects!$C$17,24&lt;Projects!$C$17+Projects!$D$17),IF(24=Projects!$C$17+Projects!$D$17-1,Projects!$B$17*INDEX(Curves!$B$4:$AO$4,1,24-Projects!$C$17+1)*Assumptions!$B$11*0.95+0.05*Projects!$B$17*Assumptions!$B$11,Projects!$B$17*INDEX(Curves!$B$4:$AO$4,1,24-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$4:$AO$4,1,24-Projects!$C$24+1)*Assumptions!$B$11*0.95+0.05*Projects!$B$24*Assumptions!$B$11,Projects!$B$24*INDEX(Curves!$B$4:$AO$4,1,24-Projects!$C$24+1)*Assumptions!$B$11*0.95),0)+IF(AND(Projects!$G$25="Yes",24&gt;=Projects!$C$25,24&lt;Projects!$C$25+Projects!$D$25),IF(24=Projects!$C$25+Projects!$D$25-1,Projects!$B$25*INDEX(Curves!$B$4:$AO$4,1,24-Projects!$C$25+1)*Assumptions!$B$11*0.95+0.05*Projects!$B$25*Assumptions!$B$11,Projects!$B$25*INDEX(Curves!$B$4:$AO$4,1,24-Projects!$C$25+1)*Assumptions!$B$11*0.95),0)+IF(AND(Projects!$G$26="Yes",24&gt;=Projects!$C$26,24&lt;Projects!$C$26+Projects!$D$26),IF(24=Projects!$C$26+Projects!$D$26-1,Projects!$B$26*INDEX(Curves!$B$4:$AO$4,1,24-Projects!$C$26+1)*Assumptions!$B$11*0.95+0.05*Projects!$B$26*Assumptions!$B$11,Projects!$B$26*INDEX(Curves!$B$4:$AO$4,1,24-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155415.959415584</v>
      </c>
      <c r="AA99" s="1" t="n">
        <f aca="false">IF(AND(Projects!$G$17="Yes",25&gt;=Projects!$C$17,25&lt;Projects!$C$17+Projects!$D$17),IF(25=Projects!$C$17+Projects!$D$17-1,Projects!$B$17*INDEX(Curves!$B$4:$AO$4,1,25-Projects!$C$17+1)*Assumptions!$B$11*0.95+0.05*Projects!$B$17*Assumptions!$B$11,Projects!$B$17*INDEX(Curves!$B$4:$AO$4,1,25-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$4:$AO$4,1,25-Projects!$C$24+1)*Assumptions!$B$11*0.95+0.05*Projects!$B$24*Assumptions!$B$11,Projects!$B$24*INDEX(Curves!$B$4:$AO$4,1,25-Projects!$C$24+1)*Assumptions!$B$11*0.95),0)+IF(AND(Projects!$G$25="Yes",25&gt;=Projects!$C$25,25&lt;Projects!$C$25+Projects!$D$25),IF(25=Projects!$C$25+Projects!$D$25-1,Projects!$B$25*INDEX(Curves!$B$4:$AO$4,1,25-Projects!$C$25+1)*Assumptions!$B$11*0.95+0.05*Projects!$B$25*Assumptions!$B$11,Projects!$B$25*INDEX(Curves!$B$4:$AO$4,1,25-Projects!$C$25+1)*Assumptions!$B$11*0.95),0)+IF(AND(Projects!$G$26="Yes",25&gt;=Projects!$C$26,25&lt;Projects!$C$26+Projects!$D$26),IF(25=Projects!$C$26+Projects!$D$26-1,Projects!$B$26*INDEX(Curves!$B$4:$AO$4,1,25-Projects!$C$26+1)*Assumptions!$B$11*0.95+0.05*Projects!$B$26*Assumptions!$B$11,Projects!$B$26*INDEX(Curves!$B$4:$AO$4,1,25-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168112.29301948</v>
      </c>
      <c r="AB99" s="1" t="n">
        <f aca="false">IF(AND(Projects!$G$17="Yes",26&gt;=Projects!$C$17,26&lt;Projects!$C$17+Projects!$D$17),IF(26=Projects!$C$17+Projects!$D$17-1,Projects!$B$17*INDEX(Curves!$B$4:$AO$4,1,26-Projects!$C$17+1)*Assumptions!$B$11*0.95+0.05*Projects!$B$17*Assumptions!$B$11,Projects!$B$17*INDEX(Curves!$B$4:$AO$4,1,26-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$4:$AO$4,1,26-Projects!$C$24+1)*Assumptions!$B$11*0.95+0.05*Projects!$B$24*Assumptions!$B$11,Projects!$B$24*INDEX(Curves!$B$4:$AO$4,1,26-Projects!$C$24+1)*Assumptions!$B$11*0.95),0)+IF(AND(Projects!$G$25="Yes",26&gt;=Projects!$C$25,26&lt;Projects!$C$25+Projects!$D$25),IF(26=Projects!$C$25+Projects!$D$25-1,Projects!$B$25*INDEX(Curves!$B$4:$AO$4,1,26-Projects!$C$25+1)*Assumptions!$B$11*0.95+0.05*Projects!$B$25*Assumptions!$B$11,Projects!$B$25*INDEX(Curves!$B$4:$AO$4,1,26-Projects!$C$25+1)*Assumptions!$B$11*0.95),0)+IF(AND(Projects!$G$26="Yes",26&gt;=Projects!$C$26,26&lt;Projects!$C$26+Projects!$D$26),IF(26=Projects!$C$26+Projects!$D$26-1,Projects!$B$26*INDEX(Curves!$B$4:$AO$4,1,26-Projects!$C$26+1)*Assumptions!$B$11*0.95+0.05*Projects!$B$26*Assumptions!$B$11,Projects!$B$26*INDEX(Curves!$B$4:$AO$4,1,26-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178227.525974026</v>
      </c>
      <c r="AC99" s="1" t="n">
        <f aca="false">IF(AND(Projects!$G$17="Yes",27&gt;=Projects!$C$17,27&lt;Projects!$C$17+Projects!$D$17),IF(27=Projects!$C$17+Projects!$D$17-1,Projects!$B$17*INDEX(Curves!$B$4:$AO$4,1,27-Projects!$C$17+1)*Assumptions!$B$11*0.95+0.05*Projects!$B$17*Assumptions!$B$11,Projects!$B$17*INDEX(Curves!$B$4:$AO$4,1,27-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$4:$AO$4,1,27-Projects!$C$24+1)*Assumptions!$B$11*0.95+0.05*Projects!$B$24*Assumptions!$B$11,Projects!$B$24*INDEX(Curves!$B$4:$AO$4,1,27-Projects!$C$24+1)*Assumptions!$B$11*0.95),0)+IF(AND(Projects!$G$25="Yes",27&gt;=Projects!$C$25,27&lt;Projects!$C$25+Projects!$D$25),IF(27=Projects!$C$25+Projects!$D$25-1,Projects!$B$25*INDEX(Curves!$B$4:$AO$4,1,27-Projects!$C$25+1)*Assumptions!$B$11*0.95+0.05*Projects!$B$25*Assumptions!$B$11,Projects!$B$25*INDEX(Curves!$B$4:$AO$4,1,27-Projects!$C$25+1)*Assumptions!$B$11*0.95),0)+IF(AND(Projects!$G$26="Yes",27&gt;=Projects!$C$26,27&lt;Projects!$C$26+Projects!$D$26),IF(27=Projects!$C$26+Projects!$D$26-1,Projects!$B$26*INDEX(Curves!$B$4:$AO$4,1,27-Projects!$C$26+1)*Assumptions!$B$11*0.95+0.05*Projects!$B$26*Assumptions!$B$11,Projects!$B$26*INDEX(Curves!$B$4:$AO$4,1,27-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203632.12987013</v>
      </c>
      <c r="AD99" s="1" t="n">
        <f aca="false">IF(AND(Projects!$G$17="Yes",28&gt;=Projects!$C$17,28&lt;Projects!$C$17+Projects!$D$17),IF(28=Projects!$C$17+Projects!$D$17-1,Projects!$B$17*INDEX(Curves!$B$4:$AO$4,1,28-Projects!$C$17+1)*Assumptions!$B$11*0.95+0.05*Projects!$B$17*Assumptions!$B$11,Projects!$B$17*INDEX(Curves!$B$4:$AO$4,1,28-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$4:$AO$4,1,28-Projects!$C$24+1)*Assumptions!$B$11*0.95+0.05*Projects!$B$24*Assumptions!$B$11,Projects!$B$24*INDEX(Curves!$B$4:$AO$4,1,28-Projects!$C$24+1)*Assumptions!$B$11*0.95),0)+IF(AND(Projects!$G$25="Yes",28&gt;=Projects!$C$25,28&lt;Projects!$C$25+Projects!$D$25),IF(28=Projects!$C$25+Projects!$D$25-1,Projects!$B$25*INDEX(Curves!$B$4:$AO$4,1,28-Projects!$C$25+1)*Assumptions!$B$11*0.95+0.05*Projects!$B$25*Assumptions!$B$11,Projects!$B$25*INDEX(Curves!$B$4:$AO$4,1,28-Projects!$C$25+1)*Assumptions!$B$11*0.95),0)+IF(AND(Projects!$G$26="Yes",28&gt;=Projects!$C$26,28&lt;Projects!$C$26+Projects!$D$26),IF(28=Projects!$C$26+Projects!$D$26-1,Projects!$B$26*INDEX(Curves!$B$4:$AO$4,1,28-Projects!$C$26+1)*Assumptions!$B$11*0.95+0.05*Projects!$B$26*Assumptions!$B$11,Projects!$B$26*INDEX(Curves!$B$4:$AO$4,1,28-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211487.164772727</v>
      </c>
      <c r="AE99" s="1" t="n">
        <f aca="false">IF(AND(Projects!$G$17="Yes",29&gt;=Projects!$C$17,29&lt;Projects!$C$17+Projects!$D$17),IF(29=Projects!$C$17+Projects!$D$17-1,Projects!$B$17*INDEX(Curves!$B$4:$AO$4,1,29-Projects!$C$17+1)*Assumptions!$B$11*0.95+0.05*Projects!$B$17*Assumptions!$B$11,Projects!$B$17*INDEX(Curves!$B$4:$AO$4,1,29-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$4:$AO$4,1,29-Projects!$C$24+1)*Assumptions!$B$11*0.95+0.05*Projects!$B$24*Assumptions!$B$11,Projects!$B$24*INDEX(Curves!$B$4:$AO$4,1,29-Projects!$C$24+1)*Assumptions!$B$11*0.95),0)+IF(AND(Projects!$G$25="Yes",29&gt;=Projects!$C$25,29&lt;Projects!$C$25+Projects!$D$25),IF(29=Projects!$C$25+Projects!$D$25-1,Projects!$B$25*INDEX(Curves!$B$4:$AO$4,1,29-Projects!$C$25+1)*Assumptions!$B$11*0.95+0.05*Projects!$B$25*Assumptions!$B$11,Projects!$B$25*INDEX(Curves!$B$4:$AO$4,1,29-Projects!$C$25+1)*Assumptions!$B$11*0.95),0)+IF(AND(Projects!$G$26="Yes",29&gt;=Projects!$C$26,29&lt;Projects!$C$26+Projects!$D$26),IF(29=Projects!$C$26+Projects!$D$26-1,Projects!$B$26*INDEX(Curves!$B$4:$AO$4,1,29-Projects!$C$26+1)*Assumptions!$B$11*0.95+0.05*Projects!$B$26*Assumptions!$B$11,Projects!$B$26*INDEX(Curves!$B$4:$AO$4,1,29-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216016.86038961</v>
      </c>
      <c r="AF99" s="1" t="n">
        <f aca="false">IF(AND(Projects!$G$17="Yes",30&gt;=Projects!$C$17,30&lt;Projects!$C$17+Projects!$D$17),IF(30=Projects!$C$17+Projects!$D$17-1,Projects!$B$17*INDEX(Curves!$B$4:$AO$4,1,30-Projects!$C$17+1)*Assumptions!$B$11*0.95+0.05*Projects!$B$17*Assumptions!$B$11,Projects!$B$17*INDEX(Curves!$B$4:$AO$4,1,30-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$4:$AO$4,1,30-Projects!$C$24+1)*Assumptions!$B$11*0.95+0.05*Projects!$B$24*Assumptions!$B$11,Projects!$B$24*INDEX(Curves!$B$4:$AO$4,1,30-Projects!$C$24+1)*Assumptions!$B$11*0.95),0)+IF(AND(Projects!$G$25="Yes",30&gt;=Projects!$C$25,30&lt;Projects!$C$25+Projects!$D$25),IF(30=Projects!$C$25+Projects!$D$25-1,Projects!$B$25*INDEX(Curves!$B$4:$AO$4,1,30-Projects!$C$25+1)*Assumptions!$B$11*0.95+0.05*Projects!$B$25*Assumptions!$B$11,Projects!$B$25*INDEX(Curves!$B$4:$AO$4,1,30-Projects!$C$25+1)*Assumptions!$B$11*0.95),0)+IF(AND(Projects!$G$26="Yes",30&gt;=Projects!$C$26,30&lt;Projects!$C$26+Projects!$D$26),IF(30=Projects!$C$26+Projects!$D$26-1,Projects!$B$26*INDEX(Curves!$B$4:$AO$4,1,30-Projects!$C$26+1)*Assumptions!$B$11*0.95+0.05*Projects!$B$26*Assumptions!$B$11,Projects!$B$26*INDEX(Curves!$B$4:$AO$4,1,30-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217065.623376623</v>
      </c>
      <c r="AG99" s="1" t="n">
        <f aca="false">IF(AND(Projects!$G$17="Yes",31&gt;=Projects!$C$17,31&lt;Projects!$C$17+Projects!$D$17),IF(31=Projects!$C$17+Projects!$D$17-1,Projects!$B$17*INDEX(Curves!$B$4:$AO$4,1,31-Projects!$C$17+1)*Assumptions!$B$11*0.95+0.05*Projects!$B$17*Assumptions!$B$11,Projects!$B$17*INDEX(Curves!$B$4:$AO$4,1,31-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$4:$AO$4,1,31-Projects!$C$24+1)*Assumptions!$B$11*0.95+0.05*Projects!$B$24*Assumptions!$B$11,Projects!$B$24*INDEX(Curves!$B$4:$AO$4,1,31-Projects!$C$24+1)*Assumptions!$B$11*0.95),0)+IF(AND(Projects!$G$25="Yes",31&gt;=Projects!$C$25,31&lt;Projects!$C$25+Projects!$D$25),IF(31=Projects!$C$25+Projects!$D$25-1,Projects!$B$25*INDEX(Curves!$B$4:$AO$4,1,31-Projects!$C$25+1)*Assumptions!$B$11*0.95+0.05*Projects!$B$25*Assumptions!$B$11,Projects!$B$25*INDEX(Curves!$B$4:$AO$4,1,31-Projects!$C$25+1)*Assumptions!$B$11*0.95),0)+IF(AND(Projects!$G$26="Yes",31&gt;=Projects!$C$26,31&lt;Projects!$C$26+Projects!$D$26),IF(31=Projects!$C$26+Projects!$D$26-1,Projects!$B$26*INDEX(Curves!$B$4:$AO$4,1,31-Projects!$C$26+1)*Assumptions!$B$11*0.95+0.05*Projects!$B$26*Assumptions!$B$11,Projects!$B$26*INDEX(Curves!$B$4:$AO$4,1,31-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233034.275162338</v>
      </c>
      <c r="AH99" s="1" t="n">
        <f aca="false">IF(AND(Projects!$G$17="Yes",32&gt;=Projects!$C$17,32&lt;Projects!$C$17+Projects!$D$17),IF(32=Projects!$C$17+Projects!$D$17-1,Projects!$B$17*INDEX(Curves!$B$4:$AO$4,1,32-Projects!$C$17+1)*Assumptions!$B$11*0.95+0.05*Projects!$B$17*Assumptions!$B$11,Projects!$B$17*INDEX(Curves!$B$4:$AO$4,1,32-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$4:$AO$4,1,32-Projects!$C$24+1)*Assumptions!$B$11*0.95+0.05*Projects!$B$24*Assumptions!$B$11,Projects!$B$24*INDEX(Curves!$B$4:$AO$4,1,32-Projects!$C$24+1)*Assumptions!$B$11*0.95),0)+IF(AND(Projects!$G$25="Yes",32&gt;=Projects!$C$25,32&lt;Projects!$C$25+Projects!$D$25),IF(32=Projects!$C$25+Projects!$D$25-1,Projects!$B$25*INDEX(Curves!$B$4:$AO$4,1,32-Projects!$C$25+1)*Assumptions!$B$11*0.95+0.05*Projects!$B$25*Assumptions!$B$11,Projects!$B$25*INDEX(Curves!$B$4:$AO$4,1,32-Projects!$C$25+1)*Assumptions!$B$11*0.95),0)+IF(AND(Projects!$G$26="Yes",32&gt;=Projects!$C$26,32&lt;Projects!$C$26+Projects!$D$26),IF(32=Projects!$C$26+Projects!$D$26-1,Projects!$B$26*INDEX(Curves!$B$4:$AO$4,1,32-Projects!$C$26+1)*Assumptions!$B$11*0.95+0.05*Projects!$B$26*Assumptions!$B$11,Projects!$B$26*INDEX(Curves!$B$4:$AO$4,1,32-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231596.320616883</v>
      </c>
      <c r="AI99" s="1" t="n">
        <f aca="false">IF(AND(Projects!$G$17="Yes",33&gt;=Projects!$C$17,33&lt;Projects!$C$17+Projects!$D$17),IF(33=Projects!$C$17+Projects!$D$17-1,Projects!$B$17*INDEX(Curves!$B$4:$AO$4,1,33-Projects!$C$17+1)*Assumptions!$B$11*0.95+0.05*Projects!$B$17*Assumptions!$B$11,Projects!$B$17*INDEX(Curves!$B$4:$AO$4,1,33-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$4:$AO$4,1,33-Projects!$C$24+1)*Assumptions!$B$11*0.95+0.05*Projects!$B$24*Assumptions!$B$11,Projects!$B$24*INDEX(Curves!$B$4:$AO$4,1,33-Projects!$C$24+1)*Assumptions!$B$11*0.95),0)+IF(AND(Projects!$G$25="Yes",33&gt;=Projects!$C$25,33&lt;Projects!$C$25+Projects!$D$25),IF(33=Projects!$C$25+Projects!$D$25-1,Projects!$B$25*INDEX(Curves!$B$4:$AO$4,1,33-Projects!$C$25+1)*Assumptions!$B$11*0.95+0.05*Projects!$B$25*Assumptions!$B$11,Projects!$B$25*INDEX(Curves!$B$4:$AO$4,1,33-Projects!$C$25+1)*Assumptions!$B$11*0.95),0)+IF(AND(Projects!$G$26="Yes",33&gt;=Projects!$C$26,33&lt;Projects!$C$26+Projects!$D$26),IF(33=Projects!$C$26+Projects!$D$26-1,Projects!$B$26*INDEX(Curves!$B$4:$AO$4,1,33-Projects!$C$26+1)*Assumptions!$B$11*0.95+0.05*Projects!$B$26*Assumptions!$B$11,Projects!$B$26*INDEX(Curves!$B$4:$AO$4,1,33-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227429.444805195</v>
      </c>
      <c r="AJ99" s="1" t="n">
        <f aca="false">IF(AND(Projects!$G$17="Yes",34&gt;=Projects!$C$17,34&lt;Projects!$C$17+Projects!$D$17),IF(34=Projects!$C$17+Projects!$D$17-1,Projects!$B$17*INDEX(Curves!$B$4:$AO$4,1,34-Projects!$C$17+1)*Assumptions!$B$11*0.95+0.05*Projects!$B$17*Assumptions!$B$11,Projects!$B$17*INDEX(Curves!$B$4:$AO$4,1,34-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$4:$AO$4,1,34-Projects!$C$24+1)*Assumptions!$B$11*0.95+0.05*Projects!$B$24*Assumptions!$B$11,Projects!$B$24*INDEX(Curves!$B$4:$AO$4,1,34-Projects!$C$24+1)*Assumptions!$B$11*0.95),0)+IF(AND(Projects!$G$25="Yes",34&gt;=Projects!$C$25,34&lt;Projects!$C$25+Projects!$D$25),IF(34=Projects!$C$25+Projects!$D$25-1,Projects!$B$25*INDEX(Curves!$B$4:$AO$4,1,34-Projects!$C$25+1)*Assumptions!$B$11*0.95+0.05*Projects!$B$25*Assumptions!$B$11,Projects!$B$25*INDEX(Curves!$B$4:$AO$4,1,34-Projects!$C$25+1)*Assumptions!$B$11*0.95),0)+IF(AND(Projects!$G$26="Yes",34&gt;=Projects!$C$26,34&lt;Projects!$C$26+Projects!$D$26),IF(34=Projects!$C$26+Projects!$D$26-1,Projects!$B$26*INDEX(Curves!$B$4:$AO$4,1,34-Projects!$C$26+1)*Assumptions!$B$11*0.95+0.05*Projects!$B$26*Assumptions!$B$11,Projects!$B$26*INDEX(Curves!$B$4:$AO$4,1,34-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282973.974837662</v>
      </c>
      <c r="AK99" s="1" t="n">
        <f aca="false">IF(AND(Projects!$G$17="Yes",35&gt;=Projects!$C$17,35&lt;Projects!$C$17+Projects!$D$17),IF(35=Projects!$C$17+Projects!$D$17-1,Projects!$B$17*INDEX(Curves!$B$4:$AO$4,1,35-Projects!$C$17+1)*Assumptions!$B$11*0.95+0.05*Projects!$B$17*Assumptions!$B$11,Projects!$B$17*INDEX(Curves!$B$4:$AO$4,1,35-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$4:$AO$4,1,35-Projects!$C$24+1)*Assumptions!$B$11*0.95+0.05*Projects!$B$24*Assumptions!$B$11,Projects!$B$24*INDEX(Curves!$B$4:$AO$4,1,35-Projects!$C$24+1)*Assumptions!$B$11*0.95),0)+IF(AND(Projects!$G$25="Yes",35&gt;=Projects!$C$25,35&lt;Projects!$C$25+Projects!$D$25),IF(35=Projects!$C$25+Projects!$D$25-1,Projects!$B$25*INDEX(Curves!$B$4:$AO$4,1,35-Projects!$C$25+1)*Assumptions!$B$11*0.95+0.05*Projects!$B$25*Assumptions!$B$11,Projects!$B$25*INDEX(Curves!$B$4:$AO$4,1,35-Projects!$C$25+1)*Assumptions!$B$11*0.95),0)+IF(AND(Projects!$G$26="Yes",35&gt;=Projects!$C$26,35&lt;Projects!$C$26+Projects!$D$26),IF(35=Projects!$C$26+Projects!$D$26-1,Projects!$B$26*INDEX(Curves!$B$4:$AO$4,1,35-Projects!$C$26+1)*Assumptions!$B$11*0.95+0.05*Projects!$B$26*Assumptions!$B$11,Projects!$B$26*INDEX(Curves!$B$4:$AO$4,1,35-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217077.00487013</v>
      </c>
      <c r="AL99" s="1" t="n">
        <f aca="false">IF(AND(Projects!$G$17="Yes",36&gt;=Projects!$C$17,36&lt;Projects!$C$17+Projects!$D$17),IF(36=Projects!$C$17+Projects!$D$17-1,Projects!$B$17*INDEX(Curves!$B$4:$AO$4,1,36-Projects!$C$17+1)*Assumptions!$B$11*0.95+0.05*Projects!$B$17*Assumptions!$B$11,Projects!$B$17*INDEX(Curves!$B$4:$AO$4,1,36-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$4:$AO$4,1,36-Projects!$C$24+1)*Assumptions!$B$11*0.95+0.05*Projects!$B$24*Assumptions!$B$11,Projects!$B$24*INDEX(Curves!$B$4:$AO$4,1,36-Projects!$C$24+1)*Assumptions!$B$11*0.95),0)+IF(AND(Projects!$G$25="Yes",36&gt;=Projects!$C$25,36&lt;Projects!$C$25+Projects!$D$25),IF(36=Projects!$C$25+Projects!$D$25-1,Projects!$B$25*INDEX(Curves!$B$4:$AO$4,1,36-Projects!$C$25+1)*Assumptions!$B$11*0.95+0.05*Projects!$B$25*Assumptions!$B$11,Projects!$B$25*INDEX(Curves!$B$4:$AO$4,1,36-Projects!$C$25+1)*Assumptions!$B$11*0.95),0)+IF(AND(Projects!$G$26="Yes",36&gt;=Projects!$C$26,36&lt;Projects!$C$26+Projects!$D$26),IF(36=Projects!$C$26+Projects!$D$26-1,Projects!$B$26*INDEX(Curves!$B$4:$AO$4,1,36-Projects!$C$26+1)*Assumptions!$B$11*0.95+0.05*Projects!$B$26*Assumptions!$B$11,Projects!$B$26*INDEX(Curves!$B$4:$AO$4,1,36-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251316.964285714</v>
      </c>
      <c r="AM99" s="1" t="n">
        <f aca="false">IF(AND(Projects!$G$17="Yes",37&gt;=Projects!$C$17,37&lt;Projects!$C$17+Projects!$D$17),IF(37=Projects!$C$17+Projects!$D$17-1,Projects!$B$17*INDEX(Curves!$B$4:$AO$4,1,37-Projects!$C$17+1)*Assumptions!$B$11*0.95+0.05*Projects!$B$17*Assumptions!$B$11,Projects!$B$17*INDEX(Curves!$B$4:$AO$4,1,37-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$4:$AO$4,1,37-Projects!$C$24+1)*Assumptions!$B$11*0.95+0.05*Projects!$B$24*Assumptions!$B$11,Projects!$B$24*INDEX(Curves!$B$4:$AO$4,1,37-Projects!$C$24+1)*Assumptions!$B$11*0.95),0)+IF(AND(Projects!$G$25="Yes",37&gt;=Projects!$C$25,37&lt;Projects!$C$25+Projects!$D$25),IF(37=Projects!$C$25+Projects!$D$25-1,Projects!$B$25*INDEX(Curves!$B$4:$AO$4,1,37-Projects!$C$25+1)*Assumptions!$B$11*0.95+0.05*Projects!$B$25*Assumptions!$B$11,Projects!$B$25*INDEX(Curves!$B$4:$AO$4,1,37-Projects!$C$25+1)*Assumptions!$B$11*0.95),0)+IF(AND(Projects!$G$26="Yes",37&gt;=Projects!$C$26,37&lt;Projects!$C$26+Projects!$D$26),IF(37=Projects!$C$26+Projects!$D$26-1,Projects!$B$26*INDEX(Curves!$B$4:$AO$4,1,37-Projects!$C$26+1)*Assumptions!$B$11*0.95+0.05*Projects!$B$26*Assumptions!$B$11,Projects!$B$26*INDEX(Curves!$B$4:$AO$4,1,37-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217848.309253247</v>
      </c>
      <c r="AN99" s="1" t="n">
        <f aca="false">IF(AND(Projects!$G$17="Yes",38&gt;=Projects!$C$17,38&lt;Projects!$C$17+Projects!$D$17),IF(38=Projects!$C$17+Projects!$D$17-1,Projects!$B$17*INDEX(Curves!$B$4:$AO$4,1,38-Projects!$C$17+1)*Assumptions!$B$11*0.95+0.05*Projects!$B$17*Assumptions!$B$11,Projects!$B$17*INDEX(Curves!$B$4:$AO$4,1,38-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$4:$AO$4,1,38-Projects!$C$24+1)*Assumptions!$B$11*0.95+0.05*Projects!$B$24*Assumptions!$B$11,Projects!$B$24*INDEX(Curves!$B$4:$AO$4,1,38-Projects!$C$24+1)*Assumptions!$B$11*0.95),0)+IF(AND(Projects!$G$25="Yes",38&gt;=Projects!$C$25,38&lt;Projects!$C$25+Projects!$D$25),IF(38=Projects!$C$25+Projects!$D$25-1,Projects!$B$25*INDEX(Curves!$B$4:$AO$4,1,38-Projects!$C$25+1)*Assumptions!$B$11*0.95+0.05*Projects!$B$25*Assumptions!$B$11,Projects!$B$25*INDEX(Curves!$B$4:$AO$4,1,38-Projects!$C$25+1)*Assumptions!$B$11*0.95),0)+IF(AND(Projects!$G$26="Yes",38&gt;=Projects!$C$26,38&lt;Projects!$C$26+Projects!$D$26),IF(38=Projects!$C$26+Projects!$D$26-1,Projects!$B$26*INDEX(Curves!$B$4:$AO$4,1,38-Projects!$C$26+1)*Assumptions!$B$11*0.95+0.05*Projects!$B$26*Assumptions!$B$11,Projects!$B$26*INDEX(Curves!$B$4:$AO$4,1,38-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219800.374188312</v>
      </c>
      <c r="AO99" s="1" t="n">
        <f aca="false">IF(AND(Projects!$G$17="Yes",39&gt;=Projects!$C$17,39&lt;Projects!$C$17+Projects!$D$17),IF(39=Projects!$C$17+Projects!$D$17-1,Projects!$B$17*INDEX(Curves!$B$4:$AO$4,1,39-Projects!$C$17+1)*Assumptions!$B$11*0.95+0.05*Projects!$B$17*Assumptions!$B$11,Projects!$B$17*INDEX(Curves!$B$4:$AO$4,1,39-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$4:$AO$4,1,39-Projects!$C$24+1)*Assumptions!$B$11*0.95+0.05*Projects!$B$24*Assumptions!$B$11,Projects!$B$24*INDEX(Curves!$B$4:$AO$4,1,39-Projects!$C$24+1)*Assumptions!$B$11*0.95),0)+IF(AND(Projects!$G$25="Yes",39&gt;=Projects!$C$25,39&lt;Projects!$C$25+Projects!$D$25),IF(39=Projects!$C$25+Projects!$D$25-1,Projects!$B$25*INDEX(Curves!$B$4:$AO$4,1,39-Projects!$C$25+1)*Assumptions!$B$11*0.95+0.05*Projects!$B$25*Assumptions!$B$11,Projects!$B$25*INDEX(Curves!$B$4:$AO$4,1,39-Projects!$C$25+1)*Assumptions!$B$11*0.95),0)+IF(AND(Projects!$G$26="Yes",39&gt;=Projects!$C$26,39&lt;Projects!$C$26+Projects!$D$26),IF(39=Projects!$C$26+Projects!$D$26-1,Projects!$B$26*INDEX(Curves!$B$4:$AO$4,1,39-Projects!$C$26+1)*Assumptions!$B$11*0.95+0.05*Projects!$B$26*Assumptions!$B$11,Projects!$B$26*INDEX(Curves!$B$4:$AO$4,1,39-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256173.808441558</v>
      </c>
      <c r="AP99" s="1" t="n">
        <f aca="false">IF(AND(Projects!$G$17="Yes",40&gt;=Projects!$C$17,40&lt;Projects!$C$17+Projects!$D$17),IF(40=Projects!$C$17+Projects!$D$17-1,Projects!$B$17*INDEX(Curves!$B$4:$AO$4,1,40-Projects!$C$17+1)*Assumptions!$B$11*0.95+0.05*Projects!$B$17*Assumptions!$B$11,Projects!$B$17*INDEX(Curves!$B$4:$AO$4,1,40-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$4:$AO$4,1,40-Projects!$C$24+1)*Assumptions!$B$11*0.95+0.05*Projects!$B$24*Assumptions!$B$11,Projects!$B$24*INDEX(Curves!$B$4:$AO$4,1,40-Projects!$C$24+1)*Assumptions!$B$11*0.95),0)+IF(AND(Projects!$G$25="Yes",40&gt;=Projects!$C$25,40&lt;Projects!$C$25+Projects!$D$25),IF(40=Projects!$C$25+Projects!$D$25-1,Projects!$B$25*INDEX(Curves!$B$4:$AO$4,1,40-Projects!$C$25+1)*Assumptions!$B$11*0.95+0.05*Projects!$B$25*Assumptions!$B$11,Projects!$B$25*INDEX(Curves!$B$4:$AO$4,1,40-Projects!$C$25+1)*Assumptions!$B$11*0.95),0)+IF(AND(Projects!$G$26="Yes",40&gt;=Projects!$C$26,40&lt;Projects!$C$26+Projects!$D$26),IF(40=Projects!$C$26+Projects!$D$26-1,Projects!$B$26*INDEX(Curves!$B$4:$AO$4,1,40-Projects!$C$26+1)*Assumptions!$B$11*0.95+0.05*Projects!$B$26*Assumptions!$B$11,Projects!$B$26*INDEX(Curves!$B$4:$AO$4,1,40-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224913.440746753</v>
      </c>
      <c r="AQ99" s="1" t="n">
        <f aca="false">IF(AND(Projects!$G$17="Yes",41&gt;=Projects!$C$17,41&lt;Projects!$C$17+Projects!$D$17),IF(41=Projects!$C$17+Projects!$D$17-1,Projects!$B$17*INDEX(Curves!$B$4:$AO$4,1,41-Projects!$C$17+1)*Assumptions!$B$11*0.95+0.05*Projects!$B$17*Assumptions!$B$11,Projects!$B$17*INDEX(Curves!$B$4:$AO$4,1,41-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$4:$AO$4,1,41-Projects!$C$24+1)*Assumptions!$B$11*0.95+0.05*Projects!$B$24*Assumptions!$B$11,Projects!$B$24*INDEX(Curves!$B$4:$AO$4,1,41-Projects!$C$24+1)*Assumptions!$B$11*0.95),0)+IF(AND(Projects!$G$25="Yes",41&gt;=Projects!$C$25,41&lt;Projects!$C$25+Projects!$D$25),IF(41=Projects!$C$25+Projects!$D$25-1,Projects!$B$25*INDEX(Curves!$B$4:$AO$4,1,41-Projects!$C$25+1)*Assumptions!$B$11*0.95+0.05*Projects!$B$25*Assumptions!$B$11,Projects!$B$25*INDEX(Curves!$B$4:$AO$4,1,41-Projects!$C$25+1)*Assumptions!$B$11*0.95),0)+IF(AND(Projects!$G$26="Yes",41&gt;=Projects!$C$26,41&lt;Projects!$C$26+Projects!$D$26),IF(41=Projects!$C$26+Projects!$D$26-1,Projects!$B$26*INDEX(Curves!$B$4:$AO$4,1,41-Projects!$C$26+1)*Assumptions!$B$11*0.95+0.05*Projects!$B$26*Assumptions!$B$11,Projects!$B$26*INDEX(Curves!$B$4:$AO$4,1,41-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229010.778409091</v>
      </c>
      <c r="AR99" s="1" t="n">
        <f aca="false">IF(AND(Projects!$G$17="Yes",42&gt;=Projects!$C$17,42&lt;Projects!$C$17+Projects!$D$17),IF(42=Projects!$C$17+Projects!$D$17-1,Projects!$B$17*INDEX(Curves!$B$4:$AO$4,1,42-Projects!$C$17+1)*Assumptions!$B$11*0.95+0.05*Projects!$B$17*Assumptions!$B$11,Projects!$B$17*INDEX(Curves!$B$4:$AO$4,1,42-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$4:$AO$4,1,42-Projects!$C$24+1)*Assumptions!$B$11*0.95+0.05*Projects!$B$24*Assumptions!$B$11,Projects!$B$24*INDEX(Curves!$B$4:$AO$4,1,42-Projects!$C$24+1)*Assumptions!$B$11*0.95),0)+IF(AND(Projects!$G$25="Yes",42&gt;=Projects!$C$25,42&lt;Projects!$C$25+Projects!$D$25),IF(42=Projects!$C$25+Projects!$D$25-1,Projects!$B$25*INDEX(Curves!$B$4:$AO$4,1,42-Projects!$C$25+1)*Assumptions!$B$11*0.95+0.05*Projects!$B$25*Assumptions!$B$11,Projects!$B$25*INDEX(Curves!$B$4:$AO$4,1,42-Projects!$C$25+1)*Assumptions!$B$11*0.95),0)+IF(AND(Projects!$G$26="Yes",42&gt;=Projects!$C$26,42&lt;Projects!$C$26+Projects!$D$26),IF(42=Projects!$C$26+Projects!$D$26-1,Projects!$B$26*INDEX(Curves!$B$4:$AO$4,1,42-Projects!$C$26+1)*Assumptions!$B$11*0.95+0.05*Projects!$B$26*Assumptions!$B$11,Projects!$B$26*INDEX(Curves!$B$4:$AO$4,1,42-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289410.406655844</v>
      </c>
      <c r="AS99" s="1" t="n">
        <f aca="false">IF(AND(Projects!$G$17="Yes",43&gt;=Projects!$C$17,43&lt;Projects!$C$17+Projects!$D$17),IF(43=Projects!$C$17+Projects!$D$17-1,Projects!$B$17*INDEX(Curves!$B$4:$AO$4,1,43-Projects!$C$17+1)*Assumptions!$B$11*0.95+0.05*Projects!$B$17*Assumptions!$B$11,Projects!$B$17*INDEX(Curves!$B$4:$AO$4,1,43-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$4:$AO$4,1,43-Projects!$C$24+1)*Assumptions!$B$11*0.95+0.05*Projects!$B$24*Assumptions!$B$11,Projects!$B$24*INDEX(Curves!$B$4:$AO$4,1,43-Projects!$C$24+1)*Assumptions!$B$11*0.95),0)+IF(AND(Projects!$G$25="Yes",43&gt;=Projects!$C$25,43&lt;Projects!$C$25+Projects!$D$25),IF(43=Projects!$C$25+Projects!$D$25-1,Projects!$B$25*INDEX(Curves!$B$4:$AO$4,1,43-Projects!$C$25+1)*Assumptions!$B$11*0.95+0.05*Projects!$B$25*Assumptions!$B$11,Projects!$B$25*INDEX(Curves!$B$4:$AO$4,1,43-Projects!$C$25+1)*Assumptions!$B$11*0.95),0)+IF(AND(Projects!$G$26="Yes",43&gt;=Projects!$C$26,43&lt;Projects!$C$26+Projects!$D$26),IF(43=Projects!$C$26+Projects!$D$26-1,Projects!$B$26*INDEX(Curves!$B$4:$AO$4,1,43-Projects!$C$26+1)*Assumptions!$B$11*0.95+0.05*Projects!$B$26*Assumptions!$B$11,Projects!$B$26*INDEX(Curves!$B$4:$AO$4,1,43-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242884.541396104</v>
      </c>
      <c r="AT99" s="1" t="n">
        <f aca="false">IF(AND(Projects!$G$17="Yes",44&gt;=Projects!$C$17,44&lt;Projects!$C$17+Projects!$D$17),IF(44=Projects!$C$17+Projects!$D$17-1,Projects!$B$17*INDEX(Curves!$B$4:$AO$4,1,44-Projects!$C$17+1)*Assumptions!$B$11*0.95+0.05*Projects!$B$17*Assumptions!$B$11,Projects!$B$17*INDEX(Curves!$B$4:$AO$4,1,44-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$4:$AO$4,1,44-Projects!$C$24+1)*Assumptions!$B$11*0.95+0.05*Projects!$B$24*Assumptions!$B$11,Projects!$B$24*INDEX(Curves!$B$4:$AO$4,1,44-Projects!$C$24+1)*Assumptions!$B$11*0.95),0)+IF(AND(Projects!$G$25="Yes",44&gt;=Projects!$C$25,44&lt;Projects!$C$25+Projects!$D$25),IF(44=Projects!$C$25+Projects!$D$25-1,Projects!$B$25*INDEX(Curves!$B$4:$AO$4,1,44-Projects!$C$25+1)*Assumptions!$B$11*0.95+0.05*Projects!$B$25*Assumptions!$B$11,Projects!$B$25*INDEX(Curves!$B$4:$AO$4,1,44-Projects!$C$25+1)*Assumptions!$B$11*0.95),0)+IF(AND(Projects!$G$26="Yes",44&gt;=Projects!$C$26,44&lt;Projects!$C$26+Projects!$D$26),IF(44=Projects!$C$26+Projects!$D$26-1,Projects!$B$26*INDEX(Curves!$B$4:$AO$4,1,44-Projects!$C$26+1)*Assumptions!$B$11*0.95+0.05*Projects!$B$26*Assumptions!$B$11,Projects!$B$26*INDEX(Curves!$B$4:$AO$4,1,44-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266977.081168831</v>
      </c>
      <c r="AU99" s="1" t="n">
        <f aca="false">IF(AND(Projects!$G$17="Yes",45&gt;=Projects!$C$17,45&lt;Projects!$C$17+Projects!$D$17),IF(45=Projects!$C$17+Projects!$D$17-1,Projects!$B$17*INDEX(Curves!$B$4:$AO$4,1,45-Projects!$C$17+1)*Assumptions!$B$11*0.95+0.05*Projects!$B$17*Assumptions!$B$11,Projects!$B$17*INDEX(Curves!$B$4:$AO$4,1,45-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$4:$AO$4,1,45-Projects!$C$24+1)*Assumptions!$B$11*0.95+0.05*Projects!$B$24*Assumptions!$B$11,Projects!$B$24*INDEX(Curves!$B$4:$AO$4,1,45-Projects!$C$24+1)*Assumptions!$B$11*0.95),0)+IF(AND(Projects!$G$25="Yes",45&gt;=Projects!$C$25,45&lt;Projects!$C$25+Projects!$D$25),IF(45=Projects!$C$25+Projects!$D$25-1,Projects!$B$25*INDEX(Curves!$B$4:$AO$4,1,45-Projects!$C$25+1)*Assumptions!$B$11*0.95+0.05*Projects!$B$25*Assumptions!$B$11,Projects!$B$25*INDEX(Curves!$B$4:$AO$4,1,45-Projects!$C$25+1)*Assumptions!$B$11*0.95),0)+IF(AND(Projects!$G$26="Yes",45&gt;=Projects!$C$26,45&lt;Projects!$C$26+Projects!$D$26),IF(45=Projects!$C$26+Projects!$D$26-1,Projects!$B$26*INDEX(Curves!$B$4:$AO$4,1,45-Projects!$C$26+1)*Assumptions!$B$11*0.95+0.05*Projects!$B$26*Assumptions!$B$11,Projects!$B$26*INDEX(Curves!$B$4:$AO$4,1,45-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310514.055194805</v>
      </c>
      <c r="AV99" s="1" t="n">
        <f aca="false">IF(AND(Projects!$G$17="Yes",46&gt;=Projects!$C$17,46&lt;Projects!$C$17+Projects!$D$17),IF(46=Projects!$C$17+Projects!$D$17-1,Projects!$B$17*INDEX(Curves!$B$4:$AO$4,1,46-Projects!$C$17+1)*Assumptions!$B$11*0.95+0.05*Projects!$B$17*Assumptions!$B$11,Projects!$B$17*INDEX(Curves!$B$4:$AO$4,1,46-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$4:$AO$4,1,46-Projects!$C$24+1)*Assumptions!$B$11*0.95+0.05*Projects!$B$24*Assumptions!$B$11,Projects!$B$24*INDEX(Curves!$B$4:$AO$4,1,46-Projects!$C$24+1)*Assumptions!$B$11*0.95),0)+IF(AND(Projects!$G$25="Yes",46&gt;=Projects!$C$25,46&lt;Projects!$C$25+Projects!$D$25),IF(46=Projects!$C$25+Projects!$D$25-1,Projects!$B$25*INDEX(Curves!$B$4:$AO$4,1,46-Projects!$C$25+1)*Assumptions!$B$11*0.95+0.05*Projects!$B$25*Assumptions!$B$11,Projects!$B$25*INDEX(Curves!$B$4:$AO$4,1,46-Projects!$C$25+1)*Assumptions!$B$11*0.95),0)+IF(AND(Projects!$G$26="Yes",46&gt;=Projects!$C$26,46&lt;Projects!$C$26+Projects!$D$26),IF(46=Projects!$C$26+Projects!$D$26-1,Projects!$B$26*INDEX(Curves!$B$4:$AO$4,1,46-Projects!$C$26+1)*Assumptions!$B$11*0.95+0.05*Projects!$B$26*Assumptions!$B$11,Projects!$B$26*INDEX(Curves!$B$4:$AO$4,1,46-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281962.621753247</v>
      </c>
      <c r="AW99" s="1" t="n">
        <f aca="false">IF(AND(Projects!$G$17="Yes",47&gt;=Projects!$C$17,47&lt;Projects!$C$17+Projects!$D$17),IF(47=Projects!$C$17+Projects!$D$17-1,Projects!$B$17*INDEX(Curves!$B$4:$AO$4,1,47-Projects!$C$17+1)*Assumptions!$B$11*0.95+0.05*Projects!$B$17*Assumptions!$B$11,Projects!$B$17*INDEX(Curves!$B$4:$AO$4,1,47-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$4:$AO$4,1,47-Projects!$C$24+1)*Assumptions!$B$11*0.95+0.05*Projects!$B$24*Assumptions!$B$11,Projects!$B$24*INDEX(Curves!$B$4:$AO$4,1,47-Projects!$C$24+1)*Assumptions!$B$11*0.95),0)+IF(AND(Projects!$G$25="Yes",47&gt;=Projects!$C$25,47&lt;Projects!$C$25+Projects!$D$25),IF(47=Projects!$C$25+Projects!$D$25-1,Projects!$B$25*INDEX(Curves!$B$4:$AO$4,1,47-Projects!$C$25+1)*Assumptions!$B$11*0.95+0.05*Projects!$B$25*Assumptions!$B$11,Projects!$B$25*INDEX(Curves!$B$4:$AO$4,1,47-Projects!$C$25+1)*Assumptions!$B$11*0.95),0)+IF(AND(Projects!$G$26="Yes",47&gt;=Projects!$C$26,47&lt;Projects!$C$26+Projects!$D$26),IF(47=Projects!$C$26+Projects!$D$26-1,Projects!$B$26*INDEX(Curves!$B$4:$AO$4,1,47-Projects!$C$26+1)*Assumptions!$B$11*0.95+0.05*Projects!$B$26*Assumptions!$B$11,Projects!$B$26*INDEX(Curves!$B$4:$AO$4,1,47-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290510.262175325</v>
      </c>
      <c r="AX99" s="1" t="n">
        <f aca="false">IF(AND(Projects!$G$17="Yes",48&gt;=Projects!$C$17,48&lt;Projects!$C$17+Projects!$D$17),IF(48=Projects!$C$17+Projects!$D$17-1,Projects!$B$17*INDEX(Curves!$B$4:$AO$4,1,48-Projects!$C$17+1)*Assumptions!$B$11*0.95+0.05*Projects!$B$17*Assumptions!$B$11,Projects!$B$17*INDEX(Curves!$B$4:$AO$4,1,48-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$4:$AO$4,1,48-Projects!$C$24+1)*Assumptions!$B$11*0.95+0.05*Projects!$B$24*Assumptions!$B$11,Projects!$B$24*INDEX(Curves!$B$4:$AO$4,1,48-Projects!$C$24+1)*Assumptions!$B$11*0.95),0)+IF(AND(Projects!$G$25="Yes",48&gt;=Projects!$C$25,48&lt;Projects!$C$25+Projects!$D$25),IF(48=Projects!$C$25+Projects!$D$25-1,Projects!$B$25*INDEX(Curves!$B$4:$AO$4,1,48-Projects!$C$25+1)*Assumptions!$B$11*0.95+0.05*Projects!$B$25*Assumptions!$B$11,Projects!$B$25*INDEX(Curves!$B$4:$AO$4,1,48-Projects!$C$25+1)*Assumptions!$B$11*0.95),0)+IF(AND(Projects!$G$26="Yes",48&gt;=Projects!$C$26,48&lt;Projects!$C$26+Projects!$D$26),IF(48=Projects!$C$26+Projects!$D$26-1,Projects!$B$26*INDEX(Curves!$B$4:$AO$4,1,48-Projects!$C$26+1)*Assumptions!$B$11*0.95+0.05*Projects!$B$26*Assumptions!$B$11,Projects!$B$26*INDEX(Curves!$B$4:$AO$4,1,48-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313770.842532468</v>
      </c>
      <c r="AY99" s="1" t="n">
        <f aca="false">IF(AND(Projects!$G$17="Yes",49&gt;=Projects!$C$17,49&lt;Projects!$C$17+Projects!$D$17),IF(49=Projects!$C$17+Projects!$D$17-1,Projects!$B$17*INDEX(Curves!$B$4:$AO$4,1,49-Projects!$C$17+1)*Assumptions!$B$11*0.95+0.05*Projects!$B$17*Assumptions!$B$11,Projects!$B$17*INDEX(Curves!$B$4:$AO$4,1,49-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$4:$AO$4,1,49-Projects!$C$24+1)*Assumptions!$B$11*0.95+0.05*Projects!$B$24*Assumptions!$B$11,Projects!$B$24*INDEX(Curves!$B$4:$AO$4,1,49-Projects!$C$24+1)*Assumptions!$B$11*0.95),0)+IF(AND(Projects!$G$25="Yes",49&gt;=Projects!$C$25,49&lt;Projects!$C$25+Projects!$D$25),IF(49=Projects!$C$25+Projects!$D$25-1,Projects!$B$25*INDEX(Curves!$B$4:$AO$4,1,49-Projects!$C$25+1)*Assumptions!$B$11*0.95+0.05*Projects!$B$25*Assumptions!$B$11,Projects!$B$25*INDEX(Curves!$B$4:$AO$4,1,49-Projects!$C$25+1)*Assumptions!$B$11*0.95),0)+IF(AND(Projects!$G$26="Yes",49&gt;=Projects!$C$26,49&lt;Projects!$C$26+Projects!$D$26),IF(49=Projects!$C$26+Projects!$D$26-1,Projects!$B$26*INDEX(Curves!$B$4:$AO$4,1,49-Projects!$C$26+1)*Assumptions!$B$11*0.95+0.05*Projects!$B$26*Assumptions!$B$11,Projects!$B$26*INDEX(Curves!$B$4:$AO$4,1,49-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355505.654220779</v>
      </c>
      <c r="AZ99" s="1" t="n">
        <f aca="false">IF(AND(Projects!$G$17="Yes",50&gt;=Projects!$C$17,50&lt;Projects!$C$17+Projects!$D$17),IF(50=Projects!$C$17+Projects!$D$17-1,Projects!$B$17*INDEX(Curves!$B$4:$AO$4,1,50-Projects!$C$17+1)*Assumptions!$B$11*0.95+0.05*Projects!$B$17*Assumptions!$B$11,Projects!$B$17*INDEX(Curves!$B$4:$AO$4,1,50-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$4:$AO$4,1,50-Projects!$C$24+1)*Assumptions!$B$11*0.95+0.05*Projects!$B$24*Assumptions!$B$11,Projects!$B$24*INDEX(Curves!$B$4:$AO$4,1,50-Projects!$C$24+1)*Assumptions!$B$11*0.95),0)+IF(AND(Projects!$G$25="Yes",50&gt;=Projects!$C$25,50&lt;Projects!$C$25+Projects!$D$25),IF(50=Projects!$C$25+Projects!$D$25-1,Projects!$B$25*INDEX(Curves!$B$4:$AO$4,1,50-Projects!$C$25+1)*Assumptions!$B$11*0.95+0.05*Projects!$B$25*Assumptions!$B$11,Projects!$B$25*INDEX(Curves!$B$4:$AO$4,1,50-Projects!$C$25+1)*Assumptions!$B$11*0.95),0)+IF(AND(Projects!$G$26="Yes",50&gt;=Projects!$C$26,50&lt;Projects!$C$26+Projects!$D$26),IF(50=Projects!$C$26+Projects!$D$26-1,Projects!$B$26*INDEX(Curves!$B$4:$AO$4,1,50-Projects!$C$26+1)*Assumptions!$B$11*0.95+0.05*Projects!$B$26*Assumptions!$B$11,Projects!$B$26*INDEX(Curves!$B$4:$AO$4,1,50-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305844.465097403</v>
      </c>
      <c r="BA99" s="1" t="n">
        <f aca="false">IF(AND(Projects!$G$17="Yes",51&gt;=Projects!$C$17,51&lt;Projects!$C$17+Projects!$D$17),IF(51=Projects!$C$17+Projects!$D$17-1,Projects!$B$17*INDEX(Curves!$B$4:$AO$4,1,51-Projects!$C$17+1)*Assumptions!$B$11*0.95+0.05*Projects!$B$17*Assumptions!$B$11,Projects!$B$17*INDEX(Curves!$B$4:$AO$4,1,51-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$4:$AO$4,1,51-Projects!$C$24+1)*Assumptions!$B$11*0.95+0.05*Projects!$B$24*Assumptions!$B$11,Projects!$B$24*INDEX(Curves!$B$4:$AO$4,1,51-Projects!$C$24+1)*Assumptions!$B$11*0.95),0)+IF(AND(Projects!$G$25="Yes",51&gt;=Projects!$C$25,51&lt;Projects!$C$25+Projects!$D$25),IF(51=Projects!$C$25+Projects!$D$25-1,Projects!$B$25*INDEX(Curves!$B$4:$AO$4,1,51-Projects!$C$25+1)*Assumptions!$B$11*0.95+0.05*Projects!$B$25*Assumptions!$B$11,Projects!$B$25*INDEX(Curves!$B$4:$AO$4,1,51-Projects!$C$25+1)*Assumptions!$B$11*0.95),0)+IF(AND(Projects!$G$26="Yes",51&gt;=Projects!$C$26,51&lt;Projects!$C$26+Projects!$D$26),IF(51=Projects!$C$26+Projects!$D$26-1,Projects!$B$26*INDEX(Curves!$B$4:$AO$4,1,51-Projects!$C$26+1)*Assumptions!$B$11*0.95+0.05*Projects!$B$26*Assumptions!$B$11,Projects!$B$26*INDEX(Curves!$B$4:$AO$4,1,51-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306565.663149351</v>
      </c>
      <c r="BB99" s="1" t="n">
        <f aca="false">IF(AND(Projects!$G$17="Yes",52&gt;=Projects!$C$17,52&lt;Projects!$C$17+Projects!$D$17),IF(52=Projects!$C$17+Projects!$D$17-1,Projects!$B$17*INDEX(Curves!$B$4:$AO$4,1,52-Projects!$C$17+1)*Assumptions!$B$11*0.95+0.05*Projects!$B$17*Assumptions!$B$11,Projects!$B$17*INDEX(Curves!$B$4:$AO$4,1,52-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$4:$AO$4,1,52-Projects!$C$24+1)*Assumptions!$B$11*0.95+0.05*Projects!$B$24*Assumptions!$B$11,Projects!$B$24*INDEX(Curves!$B$4:$AO$4,1,52-Projects!$C$24+1)*Assumptions!$B$11*0.95),0)+IF(AND(Projects!$G$25="Yes",52&gt;=Projects!$C$25,52&lt;Projects!$C$25+Projects!$D$25),IF(52=Projects!$C$25+Projects!$D$25-1,Projects!$B$25*INDEX(Curves!$B$4:$AO$4,1,52-Projects!$C$25+1)*Assumptions!$B$11*0.95+0.05*Projects!$B$25*Assumptions!$B$11,Projects!$B$25*INDEX(Curves!$B$4:$AO$4,1,52-Projects!$C$25+1)*Assumptions!$B$11*0.95),0)+IF(AND(Projects!$G$26="Yes",52&gt;=Projects!$C$26,52&lt;Projects!$C$26+Projects!$D$26),IF(52=Projects!$C$26+Projects!$D$26-1,Projects!$B$26*INDEX(Curves!$B$4:$AO$4,1,52-Projects!$C$26+1)*Assumptions!$B$11*0.95+0.05*Projects!$B$26*Assumptions!$B$11,Projects!$B$26*INDEX(Curves!$B$4:$AO$4,1,52-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339177.375</v>
      </c>
      <c r="BC99" s="1" t="n">
        <f aca="false">IF(AND(Projects!$G$17="Yes",53&gt;=Projects!$C$17,53&lt;Projects!$C$17+Projects!$D$17),IF(53=Projects!$C$17+Projects!$D$17-1,Projects!$B$17*INDEX(Curves!$B$4:$AO$4,1,53-Projects!$C$17+1)*Assumptions!$B$11*0.95+0.05*Projects!$B$17*Assumptions!$B$11,Projects!$B$17*INDEX(Curves!$B$4:$AO$4,1,53-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$4:$AO$4,1,53-Projects!$C$24+1)*Assumptions!$B$11*0.95+0.05*Projects!$B$24*Assumptions!$B$11,Projects!$B$24*INDEX(Curves!$B$4:$AO$4,1,53-Projects!$C$24+1)*Assumptions!$B$11*0.95),0)+IF(AND(Projects!$G$25="Yes",53&gt;=Projects!$C$25,53&lt;Projects!$C$25+Projects!$D$25),IF(53=Projects!$C$25+Projects!$D$25-1,Projects!$B$25*INDEX(Curves!$B$4:$AO$4,1,53-Projects!$C$25+1)*Assumptions!$B$11*0.95+0.05*Projects!$B$25*Assumptions!$B$11,Projects!$B$25*INDEX(Curves!$B$4:$AO$4,1,53-Projects!$C$25+1)*Assumptions!$B$11*0.95),0)+IF(AND(Projects!$G$26="Yes",53&gt;=Projects!$C$26,53&lt;Projects!$C$26+Projects!$D$26),IF(53=Projects!$C$26+Projects!$D$26-1,Projects!$B$26*INDEX(Curves!$B$4:$AO$4,1,53-Projects!$C$26+1)*Assumptions!$B$11*0.95+0.05*Projects!$B$26*Assumptions!$B$11,Projects!$B$26*INDEX(Curves!$B$4:$AO$4,1,53-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279669.38961039</v>
      </c>
      <c r="BD99" s="1" t="n">
        <f aca="false">IF(AND(Projects!$G$17="Yes",54&gt;=Projects!$C$17,54&lt;Projects!$C$17+Projects!$D$17),IF(54=Projects!$C$17+Projects!$D$17-1,Projects!$B$17*INDEX(Curves!$B$4:$AO$4,1,54-Projects!$C$17+1)*Assumptions!$B$11*0.95+0.05*Projects!$B$17*Assumptions!$B$11,Projects!$B$17*INDEX(Curves!$B$4:$AO$4,1,54-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$4:$AO$4,1,54-Projects!$C$24+1)*Assumptions!$B$11*0.95+0.05*Projects!$B$24*Assumptions!$B$11,Projects!$B$24*INDEX(Curves!$B$4:$AO$4,1,54-Projects!$C$24+1)*Assumptions!$B$11*0.95),0)+IF(AND(Projects!$G$25="Yes",54&gt;=Projects!$C$25,54&lt;Projects!$C$25+Projects!$D$25),IF(54=Projects!$C$25+Projects!$D$25-1,Projects!$B$25*INDEX(Curves!$B$4:$AO$4,1,54-Projects!$C$25+1)*Assumptions!$B$11*0.95+0.05*Projects!$B$25*Assumptions!$B$11,Projects!$B$25*INDEX(Curves!$B$4:$AO$4,1,54-Projects!$C$25+1)*Assumptions!$B$11*0.95),0)+IF(AND(Projects!$G$26="Yes",54&gt;=Projects!$C$26,54&lt;Projects!$C$26+Projects!$D$26),IF(54=Projects!$C$26+Projects!$D$26-1,Projects!$B$26*INDEX(Curves!$B$4:$AO$4,1,54-Projects!$C$26+1)*Assumptions!$B$11*0.95+0.05*Projects!$B$26*Assumptions!$B$11,Projects!$B$26*INDEX(Curves!$B$4:$AO$4,1,54-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270310.609577922</v>
      </c>
      <c r="BE99" s="1" t="n">
        <f aca="false">IF(AND(Projects!$G$17="Yes",55&gt;=Projects!$C$17,55&lt;Projects!$C$17+Projects!$D$17),IF(55=Projects!$C$17+Projects!$D$17-1,Projects!$B$17*INDEX(Curves!$B$4:$AO$4,1,55-Projects!$C$17+1)*Assumptions!$B$11*0.95+0.05*Projects!$B$17*Assumptions!$B$11,Projects!$B$17*INDEX(Curves!$B$4:$AO$4,1,55-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$4:$AO$4,1,55-Projects!$C$24+1)*Assumptions!$B$11*0.95+0.05*Projects!$B$24*Assumptions!$B$11,Projects!$B$24*INDEX(Curves!$B$4:$AO$4,1,55-Projects!$C$24+1)*Assumptions!$B$11*0.95),0)+IF(AND(Projects!$G$25="Yes",55&gt;=Projects!$C$25,55&lt;Projects!$C$25+Projects!$D$25),IF(55=Projects!$C$25+Projects!$D$25-1,Projects!$B$25*INDEX(Curves!$B$4:$AO$4,1,55-Projects!$C$25+1)*Assumptions!$B$11*0.95+0.05*Projects!$B$25*Assumptions!$B$11,Projects!$B$25*INDEX(Curves!$B$4:$AO$4,1,55-Projects!$C$25+1)*Assumptions!$B$11*0.95),0)+IF(AND(Projects!$G$26="Yes",55&gt;=Projects!$C$26,55&lt;Projects!$C$26+Projects!$D$26),IF(55=Projects!$C$26+Projects!$D$26-1,Projects!$B$26*INDEX(Curves!$B$4:$AO$4,1,55-Projects!$C$26+1)*Assumptions!$B$11*0.95+0.05*Projects!$B$26*Assumptions!$B$11,Projects!$B$26*INDEX(Curves!$B$4:$AO$4,1,55-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300455.532467532</v>
      </c>
      <c r="BF99" s="1" t="n">
        <f aca="false">IF(AND(Projects!$G$17="Yes",56&gt;=Projects!$C$17,56&lt;Projects!$C$17+Projects!$D$17),IF(56=Projects!$C$17+Projects!$D$17-1,Projects!$B$17*INDEX(Curves!$B$4:$AO$4,1,56-Projects!$C$17+1)*Assumptions!$B$11*0.95+0.05*Projects!$B$17*Assumptions!$B$11,Projects!$B$17*INDEX(Curves!$B$4:$AO$4,1,56-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$4:$AO$4,1,56-Projects!$C$24+1)*Assumptions!$B$11*0.95+0.05*Projects!$B$24*Assumptions!$B$11,Projects!$B$24*INDEX(Curves!$B$4:$AO$4,1,56-Projects!$C$24+1)*Assumptions!$B$11*0.95),0)+IF(AND(Projects!$G$25="Yes",56&gt;=Projects!$C$25,56&lt;Projects!$C$25+Projects!$D$25),IF(56=Projects!$C$25+Projects!$D$25-1,Projects!$B$25*INDEX(Curves!$B$4:$AO$4,1,56-Projects!$C$25+1)*Assumptions!$B$11*0.95+0.05*Projects!$B$25*Assumptions!$B$11,Projects!$B$25*INDEX(Curves!$B$4:$AO$4,1,56-Projects!$C$25+1)*Assumptions!$B$11*0.95),0)+IF(AND(Projects!$G$26="Yes",56&gt;=Projects!$C$26,56&lt;Projects!$C$26+Projects!$D$26),IF(56=Projects!$C$26+Projects!$D$26-1,Projects!$B$26*INDEX(Curves!$B$4:$AO$4,1,56-Projects!$C$26+1)*Assumptions!$B$11*0.95+0.05*Projects!$B$26*Assumptions!$B$11,Projects!$B$26*INDEX(Curves!$B$4:$AO$4,1,56-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221828.778409091</v>
      </c>
      <c r="BG99" s="1" t="n">
        <f aca="false">IF(AND(Projects!$G$17="Yes",57&gt;=Projects!$C$17,57&lt;Projects!$C$17+Projects!$D$17),IF(57=Projects!$C$17+Projects!$D$17-1,Projects!$B$17*INDEX(Curves!$B$4:$AO$4,1,57-Projects!$C$17+1)*Assumptions!$B$11*0.95+0.05*Projects!$B$17*Assumptions!$B$11,Projects!$B$17*INDEX(Curves!$B$4:$AO$4,1,57-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$4:$AO$4,1,57-Projects!$C$24+1)*Assumptions!$B$11*0.95+0.05*Projects!$B$24*Assumptions!$B$11,Projects!$B$24*INDEX(Curves!$B$4:$AO$4,1,57-Projects!$C$24+1)*Assumptions!$B$11*0.95),0)+IF(AND(Projects!$G$25="Yes",57&gt;=Projects!$C$25,57&lt;Projects!$C$25+Projects!$D$25),IF(57=Projects!$C$25+Projects!$D$25-1,Projects!$B$25*INDEX(Curves!$B$4:$AO$4,1,57-Projects!$C$25+1)*Assumptions!$B$11*0.95+0.05*Projects!$B$25*Assumptions!$B$11,Projects!$B$25*INDEX(Curves!$B$4:$AO$4,1,57-Projects!$C$25+1)*Assumptions!$B$11*0.95),0)+IF(AND(Projects!$G$26="Yes",57&gt;=Projects!$C$26,57&lt;Projects!$C$26+Projects!$D$26),IF(57=Projects!$C$26+Projects!$D$26-1,Projects!$B$26*INDEX(Curves!$B$4:$AO$4,1,57-Projects!$C$26+1)*Assumptions!$B$11*0.95+0.05*Projects!$B$26*Assumptions!$B$11,Projects!$B$26*INDEX(Curves!$B$4:$AO$4,1,57-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205605.01461039</v>
      </c>
      <c r="BH99" s="1" t="n">
        <f aca="false">IF(AND(Projects!$G$17="Yes",58&gt;=Projects!$C$17,58&lt;Projects!$C$17+Projects!$D$17),IF(58=Projects!$C$17+Projects!$D$17-1,Projects!$B$17*INDEX(Curves!$B$4:$AO$4,1,58-Projects!$C$17+1)*Assumptions!$B$11*0.95+0.05*Projects!$B$17*Assumptions!$B$11,Projects!$B$17*INDEX(Curves!$B$4:$AO$4,1,58-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$4:$AO$4,1,58-Projects!$C$24+1)*Assumptions!$B$11*0.95+0.05*Projects!$B$24*Assumptions!$B$11,Projects!$B$24*INDEX(Curves!$B$4:$AO$4,1,58-Projects!$C$24+1)*Assumptions!$B$11*0.95),0)+IF(AND(Projects!$G$25="Yes",58&gt;=Projects!$C$25,58&lt;Projects!$C$25+Projects!$D$25),IF(58=Projects!$C$25+Projects!$D$25-1,Projects!$B$25*INDEX(Curves!$B$4:$AO$4,1,58-Projects!$C$25+1)*Assumptions!$B$11*0.95+0.05*Projects!$B$25*Assumptions!$B$11,Projects!$B$25*INDEX(Curves!$B$4:$AO$4,1,58-Projects!$C$25+1)*Assumptions!$B$11*0.95),0)+IF(AND(Projects!$G$26="Yes",58&gt;=Projects!$C$26,58&lt;Projects!$C$26+Projects!$D$26),IF(58=Projects!$C$26+Projects!$D$26-1,Projects!$B$26*INDEX(Curves!$B$4:$AO$4,1,58-Projects!$C$26+1)*Assumptions!$B$11*0.95+0.05*Projects!$B$26*Assumptions!$B$11,Projects!$B$26*INDEX(Curves!$B$4:$AO$4,1,58-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230574.966720779</v>
      </c>
      <c r="BI99" s="1" t="n">
        <f aca="false">IF(AND(Projects!$G$17="Yes",59&gt;=Projects!$C$17,59&lt;Projects!$C$17+Projects!$D$17),IF(59=Projects!$C$17+Projects!$D$17-1,Projects!$B$17*INDEX(Curves!$B$4:$AO$4,1,59-Projects!$C$17+1)*Assumptions!$B$11*0.95+0.05*Projects!$B$17*Assumptions!$B$11,Projects!$B$17*INDEX(Curves!$B$4:$AO$4,1,59-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$4:$AO$4,1,59-Projects!$C$24+1)*Assumptions!$B$11*0.95+0.05*Projects!$B$24*Assumptions!$B$11,Projects!$B$24*INDEX(Curves!$B$4:$AO$4,1,59-Projects!$C$24+1)*Assumptions!$B$11*0.95),0)+IF(AND(Projects!$G$25="Yes",59&gt;=Projects!$C$25,59&lt;Projects!$C$25+Projects!$D$25),IF(59=Projects!$C$25+Projects!$D$25-1,Projects!$B$25*INDEX(Curves!$B$4:$AO$4,1,59-Projects!$C$25+1)*Assumptions!$B$11*0.95+0.05*Projects!$B$25*Assumptions!$B$11,Projects!$B$25*INDEX(Curves!$B$4:$AO$4,1,59-Projects!$C$25+1)*Assumptions!$B$11*0.95),0)+IF(AND(Projects!$G$26="Yes",59&gt;=Projects!$C$26,59&lt;Projects!$C$26+Projects!$D$26),IF(59=Projects!$C$26+Projects!$D$26-1,Projects!$B$26*INDEX(Curves!$B$4:$AO$4,1,59-Projects!$C$26+1)*Assumptions!$B$11*0.95+0.05*Projects!$B$26*Assumptions!$B$11,Projects!$B$26*INDEX(Curves!$B$4:$AO$4,1,59-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148758.340909091</v>
      </c>
      <c r="BJ99" s="1" t="n">
        <f aca="false">IF(AND(Projects!$G$17="Yes",60&gt;=Projects!$C$17,60&lt;Projects!$C$17+Projects!$D$17),IF(60=Projects!$C$17+Projects!$D$17-1,Projects!$B$17*INDEX(Curves!$B$4:$AO$4,1,60-Projects!$C$17+1)*Assumptions!$B$11*0.95+0.05*Projects!$B$17*Assumptions!$B$11,Projects!$B$17*INDEX(Curves!$B$4:$AO$4,1,60-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$4:$AO$4,1,60-Projects!$C$24+1)*Assumptions!$B$11*0.95+0.05*Projects!$B$24*Assumptions!$B$11,Projects!$B$24*INDEX(Curves!$B$4:$AO$4,1,60-Projects!$C$24+1)*Assumptions!$B$11*0.95),0)+IF(AND(Projects!$G$25="Yes",60&gt;=Projects!$C$25,60&lt;Projects!$C$25+Projects!$D$25),IF(60=Projects!$C$25+Projects!$D$25-1,Projects!$B$25*INDEX(Curves!$B$4:$AO$4,1,60-Projects!$C$25+1)*Assumptions!$B$11*0.95+0.05*Projects!$B$25*Assumptions!$B$11,Projects!$B$25*INDEX(Curves!$B$4:$AO$4,1,60-Projects!$C$25+1)*Assumptions!$B$11*0.95),0)+IF(AND(Projects!$G$26="Yes",60&gt;=Projects!$C$26,60&lt;Projects!$C$26+Projects!$D$26),IF(60=Projects!$C$26+Projects!$D$26-1,Projects!$B$26*INDEX(Curves!$B$4:$AO$4,1,60-Projects!$C$26+1)*Assumptions!$B$11*0.95+0.05*Projects!$B$26*Assumptions!$B$11,Projects!$B$26*INDEX(Curves!$B$4:$AO$4,1,60-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175313.374188312</v>
      </c>
      <c r="BK99" s="1" t="n">
        <f aca="false">IF(AND(Projects!$G$17="Yes",61&gt;=Projects!$C$17,61&lt;Projects!$C$17+Projects!$D$17),IF(61=Projects!$C$17+Projects!$D$17-1,Projects!$B$17*INDEX(Curves!$B$4:$AO$4,1,61-Projects!$C$17+1)*Assumptions!$B$11*0.95+0.05*Projects!$B$17*Assumptions!$B$11,Projects!$B$17*INDEX(Curves!$B$4:$AO$4,1,61-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$4:$AO$4,1,61-Projects!$C$24+1)*Assumptions!$B$11*0.95+0.05*Projects!$B$24*Assumptions!$B$11,Projects!$B$24*INDEX(Curves!$B$4:$AO$4,1,61-Projects!$C$24+1)*Assumptions!$B$11*0.95),0)+IF(AND(Projects!$G$25="Yes",61&gt;=Projects!$C$25,61&lt;Projects!$C$25+Projects!$D$25),IF(61=Projects!$C$25+Projects!$D$25-1,Projects!$B$25*INDEX(Curves!$B$4:$AO$4,1,61-Projects!$C$25+1)*Assumptions!$B$11*0.95+0.05*Projects!$B$25*Assumptions!$B$11,Projects!$B$25*INDEX(Curves!$B$4:$AO$4,1,61-Projects!$C$25+1)*Assumptions!$B$11*0.95),0)+IF(AND(Projects!$G$26="Yes",61&gt;=Projects!$C$26,61&lt;Projects!$C$26+Projects!$D$26),IF(61=Projects!$C$26+Projects!$D$26-1,Projects!$B$26*INDEX(Curves!$B$4:$AO$4,1,61-Projects!$C$26+1)*Assumptions!$B$11*0.95+0.05*Projects!$B$26*Assumptions!$B$11,Projects!$B$26*INDEX(Curves!$B$4:$AO$4,1,61-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96253.4293831169</v>
      </c>
      <c r="BL99" s="1" t="n">
        <f aca="false">IF(AND(Projects!$G$17="Yes",62&gt;=Projects!$C$17,62&lt;Projects!$C$17+Projects!$D$17),IF(62=Projects!$C$17+Projects!$D$17-1,Projects!$B$17*INDEX(Curves!$B$4:$AO$4,1,62-Projects!$C$17+1)*Assumptions!$B$11*0.95+0.05*Projects!$B$17*Assumptions!$B$11,Projects!$B$17*INDEX(Curves!$B$4:$AO$4,1,62-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$4:$AO$4,1,62-Projects!$C$24+1)*Assumptions!$B$11*0.95+0.05*Projects!$B$24*Assumptions!$B$11,Projects!$B$24*INDEX(Curves!$B$4:$AO$4,1,62-Projects!$C$24+1)*Assumptions!$B$11*0.95),0)+IF(AND(Projects!$G$25="Yes",62&gt;=Projects!$C$25,62&lt;Projects!$C$25+Projects!$D$25),IF(62=Projects!$C$25+Projects!$D$25-1,Projects!$B$25*INDEX(Curves!$B$4:$AO$4,1,62-Projects!$C$25+1)*Assumptions!$B$11*0.95+0.05*Projects!$B$25*Assumptions!$B$11,Projects!$B$25*INDEX(Curves!$B$4:$AO$4,1,62-Projects!$C$25+1)*Assumptions!$B$11*0.95),0)+IF(AND(Projects!$G$26="Yes",62&gt;=Projects!$C$26,62&lt;Projects!$C$26+Projects!$D$26),IF(62=Projects!$C$26+Projects!$D$26-1,Projects!$B$26*INDEX(Curves!$B$4:$AO$4,1,62-Projects!$C$26+1)*Assumptions!$B$11*0.95+0.05*Projects!$B$26*Assumptions!$B$11,Projects!$B$26*INDEX(Curves!$B$4:$AO$4,1,62-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119261.79788961</v>
      </c>
      <c r="BM99" s="1" t="n">
        <f aca="false">IF(AND(Projects!$G$17="Yes",63&gt;=Projects!$C$17,63&lt;Projects!$C$17+Projects!$D$17),IF(63=Projects!$C$17+Projects!$D$17-1,Projects!$B$17*INDEX(Curves!$B$4:$AO$4,1,63-Projects!$C$17+1)*Assumptions!$B$11*0.95+0.05*Projects!$B$17*Assumptions!$B$11,Projects!$B$17*INDEX(Curves!$B$4:$AO$4,1,63-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$4:$AO$4,1,63-Projects!$C$24+1)*Assumptions!$B$11*0.95+0.05*Projects!$B$24*Assumptions!$B$11,Projects!$B$24*INDEX(Curves!$B$4:$AO$4,1,63-Projects!$C$24+1)*Assumptions!$B$11*0.95),0)+IF(AND(Projects!$G$25="Yes",63&gt;=Projects!$C$25,63&lt;Projects!$C$25+Projects!$D$25),IF(63=Projects!$C$25+Projects!$D$25-1,Projects!$B$25*INDEX(Curves!$B$4:$AO$4,1,63-Projects!$C$25+1)*Assumptions!$B$11*0.95+0.05*Projects!$B$25*Assumptions!$B$11,Projects!$B$25*INDEX(Curves!$B$4:$AO$4,1,63-Projects!$C$25+1)*Assumptions!$B$11*0.95),0)+IF(AND(Projects!$G$26="Yes",63&gt;=Projects!$C$26,63&lt;Projects!$C$26+Projects!$D$26),IF(63=Projects!$C$26+Projects!$D$26-1,Projects!$B$26*INDEX(Curves!$B$4:$AO$4,1,63-Projects!$C$26+1)*Assumptions!$B$11*0.95+0.05*Projects!$B$26*Assumptions!$B$11,Projects!$B$26*INDEX(Curves!$B$4:$AO$4,1,63-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54945.5478896104</v>
      </c>
      <c r="BN99" s="1" t="n">
        <f aca="false">IF(AND(Projects!$G$17="Yes",64&gt;=Projects!$C$17,64&lt;Projects!$C$17+Projects!$D$17),IF(64=Projects!$C$17+Projects!$D$17-1,Projects!$B$17*INDEX(Curves!$B$4:$AO$4,1,64-Projects!$C$17+1)*Assumptions!$B$11*0.95+0.05*Projects!$B$17*Assumptions!$B$11,Projects!$B$17*INDEX(Curves!$B$4:$AO$4,1,64-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$4:$AO$4,1,64-Projects!$C$24+1)*Assumptions!$B$11*0.95+0.05*Projects!$B$24*Assumptions!$B$11,Projects!$B$24*INDEX(Curves!$B$4:$AO$4,1,64-Projects!$C$24+1)*Assumptions!$B$11*0.95),0)+IF(AND(Projects!$G$25="Yes",64&gt;=Projects!$C$25,64&lt;Projects!$C$25+Projects!$D$25),IF(64=Projects!$C$25+Projects!$D$25-1,Projects!$B$25*INDEX(Curves!$B$4:$AO$4,1,64-Projects!$C$25+1)*Assumptions!$B$11*0.95+0.05*Projects!$B$25*Assumptions!$B$11,Projects!$B$25*INDEX(Curves!$B$4:$AO$4,1,64-Projects!$C$25+1)*Assumptions!$B$11*0.95),0)+IF(AND(Projects!$G$26="Yes",64&gt;=Projects!$C$26,64&lt;Projects!$C$26+Projects!$D$26),IF(64=Projects!$C$26+Projects!$D$26-1,Projects!$B$26*INDEX(Curves!$B$4:$AO$4,1,64-Projects!$C$26+1)*Assumptions!$B$11*0.95+0.05*Projects!$B$26*Assumptions!$B$11,Projects!$B$26*INDEX(Curves!$B$4:$AO$4,1,64-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82328.851461039</v>
      </c>
      <c r="BO99" s="1" t="n">
        <f aca="false">IF(AND(Projects!$G$17="Yes",65&gt;=Projects!$C$17,65&lt;Projects!$C$17+Projects!$D$17),IF(65=Projects!$C$17+Projects!$D$17-1,Projects!$B$17*INDEX(Curves!$B$4:$AO$4,1,65-Projects!$C$17+1)*Assumptions!$B$11*0.95+0.05*Projects!$B$17*Assumptions!$B$11,Projects!$B$17*INDEX(Curves!$B$4:$AO$4,1,65-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$4:$AO$4,1,65-Projects!$C$24+1)*Assumptions!$B$11*0.95+0.05*Projects!$B$24*Assumptions!$B$11,Projects!$B$24*INDEX(Curves!$B$4:$AO$4,1,65-Projects!$C$24+1)*Assumptions!$B$11*0.95),0)+IF(AND(Projects!$G$25="Yes",65&gt;=Projects!$C$25,65&lt;Projects!$C$25+Projects!$D$25),IF(65=Projects!$C$25+Projects!$D$25-1,Projects!$B$25*INDEX(Curves!$B$4:$AO$4,1,65-Projects!$C$25+1)*Assumptions!$B$11*0.95+0.05*Projects!$B$25*Assumptions!$B$11,Projects!$B$25*INDEX(Curves!$B$4:$AO$4,1,65-Projects!$C$25+1)*Assumptions!$B$11*0.95),0)+IF(AND(Projects!$G$26="Yes",65&gt;=Projects!$C$26,65&lt;Projects!$C$26+Projects!$D$26),IF(65=Projects!$C$26+Projects!$D$26-1,Projects!$B$26*INDEX(Curves!$B$4:$AO$4,1,65-Projects!$C$26+1)*Assumptions!$B$11*0.95+0.05*Projects!$B$26*Assumptions!$B$11,Projects!$B$26*INDEX(Curves!$B$4:$AO$4,1,65-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22735.9212662338</v>
      </c>
      <c r="BP99" s="1" t="n">
        <f aca="false">IF(AND(Projects!$G$17="Yes",66&gt;=Projects!$C$17,66&lt;Projects!$C$17+Projects!$D$17),IF(66=Projects!$C$17+Projects!$D$17-1,Projects!$B$17*INDEX(Curves!$B$4:$AO$4,1,66-Projects!$C$17+1)*Assumptions!$B$11*0.95+0.05*Projects!$B$17*Assumptions!$B$11,Projects!$B$17*INDEX(Curves!$B$4:$AO$4,1,66-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$4:$AO$4,1,66-Projects!$C$24+1)*Assumptions!$B$11*0.95+0.05*Projects!$B$24*Assumptions!$B$11,Projects!$B$24*INDEX(Curves!$B$4:$AO$4,1,66-Projects!$C$24+1)*Assumptions!$B$11*0.95),0)+IF(AND(Projects!$G$25="Yes",66&gt;=Projects!$C$25,66&lt;Projects!$C$25+Projects!$D$25),IF(66=Projects!$C$25+Projects!$D$25-1,Projects!$B$25*INDEX(Curves!$B$4:$AO$4,1,66-Projects!$C$25+1)*Assumptions!$B$11*0.95+0.05*Projects!$B$25*Assumptions!$B$11,Projects!$B$25*INDEX(Curves!$B$4:$AO$4,1,66-Projects!$C$25+1)*Assumptions!$B$11*0.95),0)+IF(AND(Projects!$G$26="Yes",66&gt;=Projects!$C$26,66&lt;Projects!$C$26+Projects!$D$26),IF(66=Projects!$C$26+Projects!$D$26-1,Projects!$B$26*INDEX(Curves!$B$4:$AO$4,1,66-Projects!$C$26+1)*Assumptions!$B$11*0.95+0.05*Projects!$B$26*Assumptions!$B$11,Projects!$B$26*INDEX(Curves!$B$4:$AO$4,1,66-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54928.5998376623</v>
      </c>
      <c r="BQ99" s="1" t="n">
        <f aca="false">IF(AND(Projects!$G$17="Yes",67&gt;=Projects!$C$17,67&lt;Projects!$C$17+Projects!$D$17),IF(67=Projects!$C$17+Projects!$D$17-1,Projects!$B$17*INDEX(Curves!$B$4:$AO$4,1,67-Projects!$C$17+1)*Assumptions!$B$11*0.95+0.05*Projects!$B$17*Assumptions!$B$11,Projects!$B$17*INDEX(Curves!$B$4:$AO$4,1,67-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$4:$AO$4,1,67-Projects!$C$24+1)*Assumptions!$B$11*0.95+0.05*Projects!$B$24*Assumptions!$B$11,Projects!$B$24*INDEX(Curves!$B$4:$AO$4,1,67-Projects!$C$24+1)*Assumptions!$B$11*0.95),0)+IF(AND(Projects!$G$25="Yes",67&gt;=Projects!$C$25,67&lt;Projects!$C$25+Projects!$D$25),IF(67=Projects!$C$25+Projects!$D$25-1,Projects!$B$25*INDEX(Curves!$B$4:$AO$4,1,67-Projects!$C$25+1)*Assumptions!$B$11*0.95+0.05*Projects!$B$25*Assumptions!$B$11,Projects!$B$25*INDEX(Curves!$B$4:$AO$4,1,67-Projects!$C$25+1)*Assumptions!$B$11*0.95),0)+IF(AND(Projects!$G$26="Yes",67&gt;=Projects!$C$26,67&lt;Projects!$C$26+Projects!$D$26),IF(67=Projects!$C$26+Projects!$D$26-1,Projects!$B$26*INDEX(Curves!$B$4:$AO$4,1,67-Projects!$C$26+1)*Assumptions!$B$11*0.95+0.05*Projects!$B$26*Assumptions!$B$11,Projects!$B$26*INDEX(Curves!$B$4:$AO$4,1,67-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0</v>
      </c>
      <c r="BR99" s="1" t="n">
        <f aca="false">IF(AND(Projects!$G$17="Yes",68&gt;=Projects!$C$17,68&lt;Projects!$C$17+Projects!$D$17),IF(68=Projects!$C$17+Projects!$D$17-1,Projects!$B$17*INDEX(Curves!$B$4:$AO$4,1,68-Projects!$C$17+1)*Assumptions!$B$11*0.95+0.05*Projects!$B$17*Assumptions!$B$11,Projects!$B$17*INDEX(Curves!$B$4:$AO$4,1,68-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$4:$AO$4,1,68-Projects!$C$24+1)*Assumptions!$B$11*0.95+0.05*Projects!$B$24*Assumptions!$B$11,Projects!$B$24*INDEX(Curves!$B$4:$AO$4,1,68-Projects!$C$24+1)*Assumptions!$B$11*0.95),0)+IF(AND(Projects!$G$25="Yes",68&gt;=Projects!$C$25,68&lt;Projects!$C$25+Projects!$D$25),IF(68=Projects!$C$25+Projects!$D$25-1,Projects!$B$25*INDEX(Curves!$B$4:$AO$4,1,68-Projects!$C$25+1)*Assumptions!$B$11*0.95+0.05*Projects!$B$25*Assumptions!$B$11,Projects!$B$25*INDEX(Curves!$B$4:$AO$4,1,68-Projects!$C$25+1)*Assumptions!$B$11*0.95),0)+IF(AND(Projects!$G$26="Yes",68&gt;=Projects!$C$26,68&lt;Projects!$C$26+Projects!$D$26),IF(68=Projects!$C$26+Projects!$D$26-1,Projects!$B$26*INDEX(Curves!$B$4:$AO$4,1,68-Projects!$C$26+1)*Assumptions!$B$11*0.95+0.05*Projects!$B$26*Assumptions!$B$11,Projects!$B$26*INDEX(Curves!$B$4:$AO$4,1,68-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0</v>
      </c>
      <c r="BS99" s="1" t="n">
        <f aca="false">IF(AND(Projects!$G$17="Yes",69&gt;=Projects!$C$17,69&lt;Projects!$C$17+Projects!$D$17),IF(69=Projects!$C$17+Projects!$D$17-1,Projects!$B$17*INDEX(Curves!$B$4:$AO$4,1,69-Projects!$C$17+1)*Assumptions!$B$11*0.95+0.05*Projects!$B$17*Assumptions!$B$11,Projects!$B$17*INDEX(Curves!$B$4:$AO$4,1,69-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$4:$AO$4,1,69-Projects!$C$24+1)*Assumptions!$B$11*0.95+0.05*Projects!$B$24*Assumptions!$B$11,Projects!$B$24*INDEX(Curves!$B$4:$AO$4,1,69-Projects!$C$24+1)*Assumptions!$B$11*0.95),0)+IF(AND(Projects!$G$25="Yes",69&gt;=Projects!$C$25,69&lt;Projects!$C$25+Projects!$D$25),IF(69=Projects!$C$25+Projects!$D$25-1,Projects!$B$25*INDEX(Curves!$B$4:$AO$4,1,69-Projects!$C$25+1)*Assumptions!$B$11*0.95+0.05*Projects!$B$25*Assumptions!$B$11,Projects!$B$25*INDEX(Curves!$B$4:$AO$4,1,69-Projects!$C$25+1)*Assumptions!$B$11*0.95),0)+IF(AND(Projects!$G$26="Yes",69&gt;=Projects!$C$26,69&lt;Projects!$C$26+Projects!$D$26),IF(69=Projects!$C$26+Projects!$D$26-1,Projects!$B$26*INDEX(Curves!$B$4:$AO$4,1,69-Projects!$C$26+1)*Assumptions!$B$11*0.95+0.05*Projects!$B$26*Assumptions!$B$11,Projects!$B$26*INDEX(Curves!$B$4:$AO$4,1,69-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0</v>
      </c>
      <c r="BT99" s="1" t="n">
        <f aca="false">IF(AND(Projects!$G$17="Yes",70&gt;=Projects!$C$17,70&lt;Projects!$C$17+Projects!$D$17),IF(70=Projects!$C$17+Projects!$D$17-1,Projects!$B$17*INDEX(Curves!$B$4:$AO$4,1,70-Projects!$C$17+1)*Assumptions!$B$11*0.95+0.05*Projects!$B$17*Assumptions!$B$11,Projects!$B$17*INDEX(Curves!$B$4:$AO$4,1,70-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$4:$AO$4,1,70-Projects!$C$24+1)*Assumptions!$B$11*0.95+0.05*Projects!$B$24*Assumptions!$B$11,Projects!$B$24*INDEX(Curves!$B$4:$AO$4,1,70-Projects!$C$24+1)*Assumptions!$B$11*0.95),0)+IF(AND(Projects!$G$25="Yes",70&gt;=Projects!$C$25,70&lt;Projects!$C$25+Projects!$D$25),IF(70=Projects!$C$25+Projects!$D$25-1,Projects!$B$25*INDEX(Curves!$B$4:$AO$4,1,70-Projects!$C$25+1)*Assumptions!$B$11*0.95+0.05*Projects!$B$25*Assumptions!$B$11,Projects!$B$25*INDEX(Curves!$B$4:$AO$4,1,70-Projects!$C$25+1)*Assumptions!$B$11*0.95),0)+IF(AND(Projects!$G$26="Yes",70&gt;=Projects!$C$26,70&lt;Projects!$C$26+Projects!$D$26),IF(70=Projects!$C$26+Projects!$D$26-1,Projects!$B$26*INDEX(Curves!$B$4:$AO$4,1,70-Projects!$C$26+1)*Assumptions!$B$11*0.95+0.05*Projects!$B$26*Assumptions!$B$11,Projects!$B$26*INDEX(Curves!$B$4:$AO$4,1,70-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0</v>
      </c>
      <c r="BU99" s="1" t="n">
        <f aca="false">IF(AND(Projects!$G$17="Yes",71&gt;=Projects!$C$17,71&lt;Projects!$C$17+Projects!$D$17),IF(71=Projects!$C$17+Projects!$D$17-1,Projects!$B$17*INDEX(Curves!$B$4:$AO$4,1,71-Projects!$C$17+1)*Assumptions!$B$11*0.95+0.05*Projects!$B$17*Assumptions!$B$11,Projects!$B$17*INDEX(Curves!$B$4:$AO$4,1,71-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$4:$AO$4,1,71-Projects!$C$24+1)*Assumptions!$B$11*0.95+0.05*Projects!$B$24*Assumptions!$B$11,Projects!$B$24*INDEX(Curves!$B$4:$AO$4,1,71-Projects!$C$24+1)*Assumptions!$B$11*0.95),0)+IF(AND(Projects!$G$25="Yes",71&gt;=Projects!$C$25,71&lt;Projects!$C$25+Projects!$D$25),IF(71=Projects!$C$25+Projects!$D$25-1,Projects!$B$25*INDEX(Curves!$B$4:$AO$4,1,71-Projects!$C$25+1)*Assumptions!$B$11*0.95+0.05*Projects!$B$25*Assumptions!$B$11,Projects!$B$25*INDEX(Curves!$B$4:$AO$4,1,71-Projects!$C$25+1)*Assumptions!$B$11*0.95),0)+IF(AND(Projects!$G$26="Yes",71&gt;=Projects!$C$26,71&lt;Projects!$C$26+Projects!$D$26),IF(71=Projects!$C$26+Projects!$D$26-1,Projects!$B$26*INDEX(Curves!$B$4:$AO$4,1,71-Projects!$C$26+1)*Assumptions!$B$11*0.95+0.05*Projects!$B$26*Assumptions!$B$11,Projects!$B$26*INDEX(Curves!$B$4:$AO$4,1,71-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0</v>
      </c>
      <c r="BV99" s="1" t="n">
        <f aca="false">IF(AND(Projects!$G$17="Yes",72&gt;=Projects!$C$17,72&lt;Projects!$C$17+Projects!$D$17),IF(72=Projects!$C$17+Projects!$D$17-1,Projects!$B$17*INDEX(Curves!$B$4:$AO$4,1,72-Projects!$C$17+1)*Assumptions!$B$11*0.95+0.05*Projects!$B$17*Assumptions!$B$11,Projects!$B$17*INDEX(Curves!$B$4:$AO$4,1,72-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$4:$AO$4,1,72-Projects!$C$24+1)*Assumptions!$B$11*0.95+0.05*Projects!$B$24*Assumptions!$B$11,Projects!$B$24*INDEX(Curves!$B$4:$AO$4,1,72-Projects!$C$24+1)*Assumptions!$B$11*0.95),0)+IF(AND(Projects!$G$25="Yes",72&gt;=Projects!$C$25,72&lt;Projects!$C$25+Projects!$D$25),IF(72=Projects!$C$25+Projects!$D$25-1,Projects!$B$25*INDEX(Curves!$B$4:$AO$4,1,72-Projects!$C$25+1)*Assumptions!$B$11*0.95+0.05*Projects!$B$25*Assumptions!$B$11,Projects!$B$25*INDEX(Curves!$B$4:$AO$4,1,72-Projects!$C$25+1)*Assumptions!$B$11*0.95),0)+IF(AND(Projects!$G$26="Yes",72&gt;=Projects!$C$26,72&lt;Projects!$C$26+Projects!$D$26),IF(72=Projects!$C$26+Projects!$D$26-1,Projects!$B$26*INDEX(Curves!$B$4:$AO$4,1,72-Projects!$C$26+1)*Assumptions!$B$11*0.95+0.05*Projects!$B$26*Assumptions!$B$11,Projects!$B$26*INDEX(Curves!$B$4:$AO$4,1,72-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0</v>
      </c>
      <c r="BW99" s="1" t="n">
        <f aca="false">IF(AND(Projects!$G$17="Yes",73&gt;=Projects!$C$17,73&lt;Projects!$C$17+Projects!$D$17),IF(73=Projects!$C$17+Projects!$D$17-1,Projects!$B$17*INDEX(Curves!$B$4:$AO$4,1,73-Projects!$C$17+1)*Assumptions!$B$11*0.95+0.05*Projects!$B$17*Assumptions!$B$11,Projects!$B$17*INDEX(Curves!$B$4:$AO$4,1,73-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$4:$AO$4,1,73-Projects!$C$24+1)*Assumptions!$B$11*0.95+0.05*Projects!$B$24*Assumptions!$B$11,Projects!$B$24*INDEX(Curves!$B$4:$AO$4,1,73-Projects!$C$24+1)*Assumptions!$B$11*0.95),0)+IF(AND(Projects!$G$25="Yes",73&gt;=Projects!$C$25,73&lt;Projects!$C$25+Projects!$D$25),IF(73=Projects!$C$25+Projects!$D$25-1,Projects!$B$25*INDEX(Curves!$B$4:$AO$4,1,73-Projects!$C$25+1)*Assumptions!$B$11*0.95+0.05*Projects!$B$25*Assumptions!$B$11,Projects!$B$25*INDEX(Curves!$B$4:$AO$4,1,73-Projects!$C$25+1)*Assumptions!$B$11*0.95),0)+IF(AND(Projects!$G$26="Yes",73&gt;=Projects!$C$26,73&lt;Projects!$C$26+Projects!$D$26),IF(73=Projects!$C$26+Projects!$D$26-1,Projects!$B$26*INDEX(Curves!$B$4:$AO$4,1,73-Projects!$C$26+1)*Assumptions!$B$11*0.95+0.05*Projects!$B$26*Assumptions!$B$11,Projects!$B$26*INDEX(Curves!$B$4:$AO$4,1,73-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0</v>
      </c>
      <c r="BX99" s="1" t="n">
        <f aca="false">IF(AND(Projects!$G$17="Yes",74&gt;=Projects!$C$17,74&lt;Projects!$C$17+Projects!$D$17),IF(74=Projects!$C$17+Projects!$D$17-1,Projects!$B$17*INDEX(Curves!$B$4:$AO$4,1,74-Projects!$C$17+1)*Assumptions!$B$11*0.95+0.05*Projects!$B$17*Assumptions!$B$11,Projects!$B$17*INDEX(Curves!$B$4:$AO$4,1,74-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$4:$AO$4,1,74-Projects!$C$24+1)*Assumptions!$B$11*0.95+0.05*Projects!$B$24*Assumptions!$B$11,Projects!$B$24*INDEX(Curves!$B$4:$AO$4,1,74-Projects!$C$24+1)*Assumptions!$B$11*0.95),0)+IF(AND(Projects!$G$25="Yes",74&gt;=Projects!$C$25,74&lt;Projects!$C$25+Projects!$D$25),IF(74=Projects!$C$25+Projects!$D$25-1,Projects!$B$25*INDEX(Curves!$B$4:$AO$4,1,74-Projects!$C$25+1)*Assumptions!$B$11*0.95+0.05*Projects!$B$25*Assumptions!$B$11,Projects!$B$25*INDEX(Curves!$B$4:$AO$4,1,74-Projects!$C$25+1)*Assumptions!$B$11*0.95),0)+IF(AND(Projects!$G$26="Yes",74&gt;=Projects!$C$26,74&lt;Projects!$C$26+Projects!$D$26),IF(74=Projects!$C$26+Projects!$D$26-1,Projects!$B$26*INDEX(Curves!$B$4:$AO$4,1,74-Projects!$C$26+1)*Assumptions!$B$11*0.95+0.05*Projects!$B$26*Assumptions!$B$11,Projects!$B$26*INDEX(Curves!$B$4:$AO$4,1,74-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0</v>
      </c>
      <c r="BY99" s="1" t="n">
        <f aca="false">IF(AND(Projects!$G$17="Yes",75&gt;=Projects!$C$17,75&lt;Projects!$C$17+Projects!$D$17),IF(75=Projects!$C$17+Projects!$D$17-1,Projects!$B$17*INDEX(Curves!$B$4:$AO$4,1,75-Projects!$C$17+1)*Assumptions!$B$11*0.95+0.05*Projects!$B$17*Assumptions!$B$11,Projects!$B$17*INDEX(Curves!$B$4:$AO$4,1,75-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$4:$AO$4,1,75-Projects!$C$24+1)*Assumptions!$B$11*0.95+0.05*Projects!$B$24*Assumptions!$B$11,Projects!$B$24*INDEX(Curves!$B$4:$AO$4,1,75-Projects!$C$24+1)*Assumptions!$B$11*0.95),0)+IF(AND(Projects!$G$25="Yes",75&gt;=Projects!$C$25,75&lt;Projects!$C$25+Projects!$D$25),IF(75=Projects!$C$25+Projects!$D$25-1,Projects!$B$25*INDEX(Curves!$B$4:$AO$4,1,75-Projects!$C$25+1)*Assumptions!$B$11*0.95+0.05*Projects!$B$25*Assumptions!$B$11,Projects!$B$25*INDEX(Curves!$B$4:$AO$4,1,75-Projects!$C$25+1)*Assumptions!$B$11*0.95),0)+IF(AND(Projects!$G$26="Yes",75&gt;=Projects!$C$26,75&lt;Projects!$C$26+Projects!$D$26),IF(75=Projects!$C$26+Projects!$D$26-1,Projects!$B$26*INDEX(Curves!$B$4:$AO$4,1,75-Projects!$C$26+1)*Assumptions!$B$11*0.95+0.05*Projects!$B$26*Assumptions!$B$11,Projects!$B$26*INDEX(Curves!$B$4:$AO$4,1,75-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0</v>
      </c>
      <c r="BZ99" s="1" t="n">
        <f aca="false">IF(AND(Projects!$G$17="Yes",76&gt;=Projects!$C$17,76&lt;Projects!$C$17+Projects!$D$17),IF(76=Projects!$C$17+Projects!$D$17-1,Projects!$B$17*INDEX(Curves!$B$4:$AO$4,1,76-Projects!$C$17+1)*Assumptions!$B$11*0.95+0.05*Projects!$B$17*Assumptions!$B$11,Projects!$B$17*INDEX(Curves!$B$4:$AO$4,1,76-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$4:$AO$4,1,76-Projects!$C$24+1)*Assumptions!$B$11*0.95+0.05*Projects!$B$24*Assumptions!$B$11,Projects!$B$24*INDEX(Curves!$B$4:$AO$4,1,76-Projects!$C$24+1)*Assumptions!$B$11*0.95),0)+IF(AND(Projects!$G$25="Yes",76&gt;=Projects!$C$25,76&lt;Projects!$C$25+Projects!$D$25),IF(76=Projects!$C$25+Projects!$D$25-1,Projects!$B$25*INDEX(Curves!$B$4:$AO$4,1,76-Projects!$C$25+1)*Assumptions!$B$11*0.95+0.05*Projects!$B$25*Assumptions!$B$11,Projects!$B$25*INDEX(Curves!$B$4:$AO$4,1,76-Projects!$C$25+1)*Assumptions!$B$11*0.95),0)+IF(AND(Projects!$G$26="Yes",76&gt;=Projects!$C$26,76&lt;Projects!$C$26+Projects!$D$26),IF(76=Projects!$C$26+Projects!$D$26-1,Projects!$B$26*INDEX(Curves!$B$4:$AO$4,1,76-Projects!$C$26+1)*Assumptions!$B$11*0.95+0.05*Projects!$B$26*Assumptions!$B$11,Projects!$B$26*INDEX(Curves!$B$4:$AO$4,1,76-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0</v>
      </c>
      <c r="CA99" s="1" t="n">
        <f aca="false">IF(AND(Projects!$G$17="Yes",77&gt;=Projects!$C$17,77&lt;Projects!$C$17+Projects!$D$17),IF(77=Projects!$C$17+Projects!$D$17-1,Projects!$B$17*INDEX(Curves!$B$4:$AO$4,1,77-Projects!$C$17+1)*Assumptions!$B$11*0.95+0.05*Projects!$B$17*Assumptions!$B$11,Projects!$B$17*INDEX(Curves!$B$4:$AO$4,1,77-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$4:$AO$4,1,77-Projects!$C$24+1)*Assumptions!$B$11*0.95+0.05*Projects!$B$24*Assumptions!$B$11,Projects!$B$24*INDEX(Curves!$B$4:$AO$4,1,77-Projects!$C$24+1)*Assumptions!$B$11*0.95),0)+IF(AND(Projects!$G$25="Yes",77&gt;=Projects!$C$25,77&lt;Projects!$C$25+Projects!$D$25),IF(77=Projects!$C$25+Projects!$D$25-1,Projects!$B$25*INDEX(Curves!$B$4:$AO$4,1,77-Projects!$C$25+1)*Assumptions!$B$11*0.95+0.05*Projects!$B$25*Assumptions!$B$11,Projects!$B$25*INDEX(Curves!$B$4:$AO$4,1,77-Projects!$C$25+1)*Assumptions!$B$11*0.95),0)+IF(AND(Projects!$G$26="Yes",77&gt;=Projects!$C$26,77&lt;Projects!$C$26+Projects!$D$26),IF(77=Projects!$C$26+Projects!$D$26-1,Projects!$B$26*INDEX(Curves!$B$4:$AO$4,1,77-Projects!$C$26+1)*Assumptions!$B$11*0.95+0.05*Projects!$B$26*Assumptions!$B$11,Projects!$B$26*INDEX(Curves!$B$4:$AO$4,1,77-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0</v>
      </c>
      <c r="CB99" s="1" t="n">
        <f aca="false">IF(AND(Projects!$G$17="Yes",78&gt;=Projects!$C$17,78&lt;Projects!$C$17+Projects!$D$17),IF(78=Projects!$C$17+Projects!$D$17-1,Projects!$B$17*INDEX(Curves!$B$4:$AO$4,1,78-Projects!$C$17+1)*Assumptions!$B$11*0.95+0.05*Projects!$B$17*Assumptions!$B$11,Projects!$B$17*INDEX(Curves!$B$4:$AO$4,1,78-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$4:$AO$4,1,78-Projects!$C$24+1)*Assumptions!$B$11*0.95+0.05*Projects!$B$24*Assumptions!$B$11,Projects!$B$24*INDEX(Curves!$B$4:$AO$4,1,78-Projects!$C$24+1)*Assumptions!$B$11*0.95),0)+IF(AND(Projects!$G$25="Yes",78&gt;=Projects!$C$25,78&lt;Projects!$C$25+Projects!$D$25),IF(78=Projects!$C$25+Projects!$D$25-1,Projects!$B$25*INDEX(Curves!$B$4:$AO$4,1,78-Projects!$C$25+1)*Assumptions!$B$11*0.95+0.05*Projects!$B$25*Assumptions!$B$11,Projects!$B$25*INDEX(Curves!$B$4:$AO$4,1,78-Projects!$C$25+1)*Assumptions!$B$11*0.95),0)+IF(AND(Projects!$G$26="Yes",78&gt;=Projects!$C$26,78&lt;Projects!$C$26+Projects!$D$26),IF(78=Projects!$C$26+Projects!$D$26-1,Projects!$B$26*INDEX(Curves!$B$4:$AO$4,1,78-Projects!$C$26+1)*Assumptions!$B$11*0.95+0.05*Projects!$B$26*Assumptions!$B$11,Projects!$B$26*INDEX(Curves!$B$4:$AO$4,1,78-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0</v>
      </c>
      <c r="CC99" s="1" t="n">
        <f aca="false">IF(AND(Projects!$G$17="Yes",79&gt;=Projects!$C$17,79&lt;Projects!$C$17+Projects!$D$17),IF(79=Projects!$C$17+Projects!$D$17-1,Projects!$B$17*INDEX(Curves!$B$4:$AO$4,1,79-Projects!$C$17+1)*Assumptions!$B$11*0.95+0.05*Projects!$B$17*Assumptions!$B$11,Projects!$B$17*INDEX(Curves!$B$4:$AO$4,1,79-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$4:$AO$4,1,79-Projects!$C$24+1)*Assumptions!$B$11*0.95+0.05*Projects!$B$24*Assumptions!$B$11,Projects!$B$24*INDEX(Curves!$B$4:$AO$4,1,79-Projects!$C$24+1)*Assumptions!$B$11*0.95),0)+IF(AND(Projects!$G$25="Yes",79&gt;=Projects!$C$25,79&lt;Projects!$C$25+Projects!$D$25),IF(79=Projects!$C$25+Projects!$D$25-1,Projects!$B$25*INDEX(Curves!$B$4:$AO$4,1,79-Projects!$C$25+1)*Assumptions!$B$11*0.95+0.05*Projects!$B$25*Assumptions!$B$11,Projects!$B$25*INDEX(Curves!$B$4:$AO$4,1,79-Projects!$C$25+1)*Assumptions!$B$11*0.95),0)+IF(AND(Projects!$G$26="Yes",79&gt;=Projects!$C$26,79&lt;Projects!$C$26+Projects!$D$26),IF(79=Projects!$C$26+Projects!$D$26-1,Projects!$B$26*INDEX(Curves!$B$4:$AO$4,1,79-Projects!$C$26+1)*Assumptions!$B$11*0.95+0.05*Projects!$B$26*Assumptions!$B$11,Projects!$B$26*INDEX(Curves!$B$4:$AO$4,1,79-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0</v>
      </c>
      <c r="CD99" s="1" t="n">
        <f aca="false">IF(AND(Projects!$G$17="Yes",80&gt;=Projects!$C$17,80&lt;Projects!$C$17+Projects!$D$17),IF(80=Projects!$C$17+Projects!$D$17-1,Projects!$B$17*INDEX(Curves!$B$4:$AO$4,1,80-Projects!$C$17+1)*Assumptions!$B$11*0.95+0.05*Projects!$B$17*Assumptions!$B$11,Projects!$B$17*INDEX(Curves!$B$4:$AO$4,1,80-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$4:$AO$4,1,80-Projects!$C$24+1)*Assumptions!$B$11*0.95+0.05*Projects!$B$24*Assumptions!$B$11,Projects!$B$24*INDEX(Curves!$B$4:$AO$4,1,80-Projects!$C$24+1)*Assumptions!$B$11*0.95),0)+IF(AND(Projects!$G$25="Yes",80&gt;=Projects!$C$25,80&lt;Projects!$C$25+Projects!$D$25),IF(80=Projects!$C$25+Projects!$D$25-1,Projects!$B$25*INDEX(Curves!$B$4:$AO$4,1,80-Projects!$C$25+1)*Assumptions!$B$11*0.95+0.05*Projects!$B$25*Assumptions!$B$11,Projects!$B$25*INDEX(Curves!$B$4:$AO$4,1,80-Projects!$C$25+1)*Assumptions!$B$11*0.95),0)+IF(AND(Projects!$G$26="Yes",80&gt;=Projects!$C$26,80&lt;Projects!$C$26+Projects!$D$26),IF(80=Projects!$C$26+Projects!$D$26-1,Projects!$B$26*INDEX(Curves!$B$4:$AO$4,1,80-Projects!$C$26+1)*Assumptions!$B$11*0.95+0.05*Projects!$B$26*Assumptions!$B$11,Projects!$B$26*INDEX(Curves!$B$4:$AO$4,1,80-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0</v>
      </c>
      <c r="CE99" s="1" t="n">
        <f aca="false">IF(AND(Projects!$G$17="Yes",81&gt;=Projects!$C$17,81&lt;Projects!$C$17+Projects!$D$17),IF(81=Projects!$C$17+Projects!$D$17-1,Projects!$B$17*INDEX(Curves!$B$4:$AO$4,1,81-Projects!$C$17+1)*Assumptions!$B$11*0.95+0.05*Projects!$B$17*Assumptions!$B$11,Projects!$B$17*INDEX(Curves!$B$4:$AO$4,1,81-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$4:$AO$4,1,81-Projects!$C$24+1)*Assumptions!$B$11*0.95+0.05*Projects!$B$24*Assumptions!$B$11,Projects!$B$24*INDEX(Curves!$B$4:$AO$4,1,81-Projects!$C$24+1)*Assumptions!$B$11*0.95),0)+IF(AND(Projects!$G$25="Yes",81&gt;=Projects!$C$25,81&lt;Projects!$C$25+Projects!$D$25),IF(81=Projects!$C$25+Projects!$D$25-1,Projects!$B$25*INDEX(Curves!$B$4:$AO$4,1,81-Projects!$C$25+1)*Assumptions!$B$11*0.95+0.05*Projects!$B$25*Assumptions!$B$11,Projects!$B$25*INDEX(Curves!$B$4:$AO$4,1,81-Projects!$C$25+1)*Assumptions!$B$11*0.95),0)+IF(AND(Projects!$G$26="Yes",81&gt;=Projects!$C$26,81&lt;Projects!$C$26+Projects!$D$26),IF(81=Projects!$C$26+Projects!$D$26-1,Projects!$B$26*INDEX(Curves!$B$4:$AO$4,1,81-Projects!$C$26+1)*Assumptions!$B$11*0.95+0.05*Projects!$B$26*Assumptions!$B$11,Projects!$B$26*INDEX(Curves!$B$4:$AO$4,1,81-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0</v>
      </c>
      <c r="CF99" s="1" t="n">
        <f aca="false">IF(AND(Projects!$G$17="Yes",82&gt;=Projects!$C$17,82&lt;Projects!$C$17+Projects!$D$17),IF(82=Projects!$C$17+Projects!$D$17-1,Projects!$B$17*INDEX(Curves!$B$4:$AO$4,1,82-Projects!$C$17+1)*Assumptions!$B$11*0.95+0.05*Projects!$B$17*Assumptions!$B$11,Projects!$B$17*INDEX(Curves!$B$4:$AO$4,1,82-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$4:$AO$4,1,82-Projects!$C$24+1)*Assumptions!$B$11*0.95+0.05*Projects!$B$24*Assumptions!$B$11,Projects!$B$24*INDEX(Curves!$B$4:$AO$4,1,82-Projects!$C$24+1)*Assumptions!$B$11*0.95),0)+IF(AND(Projects!$G$25="Yes",82&gt;=Projects!$C$25,82&lt;Projects!$C$25+Projects!$D$25),IF(82=Projects!$C$25+Projects!$D$25-1,Projects!$B$25*INDEX(Curves!$B$4:$AO$4,1,82-Projects!$C$25+1)*Assumptions!$B$11*0.95+0.05*Projects!$B$25*Assumptions!$B$11,Projects!$B$25*INDEX(Curves!$B$4:$AO$4,1,82-Projects!$C$25+1)*Assumptions!$B$11*0.95),0)+IF(AND(Projects!$G$26="Yes",82&gt;=Projects!$C$26,82&lt;Projects!$C$26+Projects!$D$26),IF(82=Projects!$C$26+Projects!$D$26-1,Projects!$B$26*INDEX(Curves!$B$4:$AO$4,1,82-Projects!$C$26+1)*Assumptions!$B$11*0.95+0.05*Projects!$B$26*Assumptions!$B$11,Projects!$B$26*INDEX(Curves!$B$4:$AO$4,1,82-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0</v>
      </c>
      <c r="CG99" s="1" t="n">
        <f aca="false">IF(AND(Projects!$G$17="Yes",83&gt;=Projects!$C$17,83&lt;Projects!$C$17+Projects!$D$17),IF(83=Projects!$C$17+Projects!$D$17-1,Projects!$B$17*INDEX(Curves!$B$4:$AO$4,1,83-Projects!$C$17+1)*Assumptions!$B$11*0.95+0.05*Projects!$B$17*Assumptions!$B$11,Projects!$B$17*INDEX(Curves!$B$4:$AO$4,1,83-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$4:$AO$4,1,83-Projects!$C$24+1)*Assumptions!$B$11*0.95+0.05*Projects!$B$24*Assumptions!$B$11,Projects!$B$24*INDEX(Curves!$B$4:$AO$4,1,83-Projects!$C$24+1)*Assumptions!$B$11*0.95),0)+IF(AND(Projects!$G$25="Yes",83&gt;=Projects!$C$25,83&lt;Projects!$C$25+Projects!$D$25),IF(83=Projects!$C$25+Projects!$D$25-1,Projects!$B$25*INDEX(Curves!$B$4:$AO$4,1,83-Projects!$C$25+1)*Assumptions!$B$11*0.95+0.05*Projects!$B$25*Assumptions!$B$11,Projects!$B$25*INDEX(Curves!$B$4:$AO$4,1,83-Projects!$C$25+1)*Assumptions!$B$11*0.95),0)+IF(AND(Projects!$G$26="Yes",83&gt;=Projects!$C$26,83&lt;Projects!$C$26+Projects!$D$26),IF(83=Projects!$C$26+Projects!$D$26-1,Projects!$B$26*INDEX(Curves!$B$4:$AO$4,1,83-Projects!$C$26+1)*Assumptions!$B$11*0.95+0.05*Projects!$B$26*Assumptions!$B$11,Projects!$B$26*INDEX(Curves!$B$4:$AO$4,1,83-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0</v>
      </c>
      <c r="CH99" s="1" t="n">
        <f aca="false">IF(AND(Projects!$G$17="Yes",84&gt;=Projects!$C$17,84&lt;Projects!$C$17+Projects!$D$17),IF(84=Projects!$C$17+Projects!$D$17-1,Projects!$B$17*INDEX(Curves!$B$4:$AO$4,1,84-Projects!$C$17+1)*Assumptions!$B$11*0.95+0.05*Projects!$B$17*Assumptions!$B$11,Projects!$B$17*INDEX(Curves!$B$4:$AO$4,1,84-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$4:$AO$4,1,84-Projects!$C$24+1)*Assumptions!$B$11*0.95+0.05*Projects!$B$24*Assumptions!$B$11,Projects!$B$24*INDEX(Curves!$B$4:$AO$4,1,84-Projects!$C$24+1)*Assumptions!$B$11*0.95),0)+IF(AND(Projects!$G$25="Yes",84&gt;=Projects!$C$25,84&lt;Projects!$C$25+Projects!$D$25),IF(84=Projects!$C$25+Projects!$D$25-1,Projects!$B$25*INDEX(Curves!$B$4:$AO$4,1,84-Projects!$C$25+1)*Assumptions!$B$11*0.95+0.05*Projects!$B$25*Assumptions!$B$11,Projects!$B$25*INDEX(Curves!$B$4:$AO$4,1,84-Projects!$C$25+1)*Assumptions!$B$11*0.95),0)+IF(AND(Projects!$G$26="Yes",84&gt;=Projects!$C$26,84&lt;Projects!$C$26+Projects!$D$26),IF(84=Projects!$C$26+Projects!$D$26-1,Projects!$B$26*INDEX(Curves!$B$4:$AO$4,1,84-Projects!$C$26+1)*Assumptions!$B$11*0.95+0.05*Projects!$B$26*Assumptions!$B$11,Projects!$B$26*INDEX(Curves!$B$4:$AO$4,1,84-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0</v>
      </c>
    </row>
    <row r="100" customFormat="false" ht="15" hidden="false" customHeight="true" outlineLevel="0" collapsed="false">
      <c r="A100" s="1" t="s">
        <v>597</v>
      </c>
      <c r="C100" s="1" t="n">
        <f aca="false"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 s="1" t="n">
        <f aca="false"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 s="1" t="n">
        <f aca="false"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 s="1" t="n">
        <f aca="false"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 s="1" t="n">
        <f aca="false"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 s="1" t="n">
        <f aca="false"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 s="1" t="n">
        <f aca="false"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 s="1" t="n">
        <f aca="false"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 s="1" t="n">
        <f aca="false"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 s="1" t="n">
        <f aca="false"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 s="1" t="n">
        <f aca="false"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 s="1" t="n">
        <f aca="false"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 s="1" t="n">
        <f aca="false"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 s="1" t="n">
        <f aca="false"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 s="1" t="n">
        <f aca="false"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 s="1" t="n">
        <f aca="false"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14610.3896103896</v>
      </c>
      <c r="S100" s="1" t="n">
        <f aca="false"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14610.3896103896</v>
      </c>
      <c r="T100" s="1" t="n">
        <f aca="false"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26785.7142857143</v>
      </c>
      <c r="U100" s="1" t="n">
        <f aca="false"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26785.7142857143</v>
      </c>
      <c r="V100" s="1" t="n">
        <f aca="false"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26785.7142857143</v>
      </c>
      <c r="W100" s="1" t="n">
        <f aca="false"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38961.038961039</v>
      </c>
      <c r="X100" s="1" t="n">
        <f aca="false"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38961.038961039</v>
      </c>
      <c r="Y100" s="1" t="n">
        <f aca="false"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38961.038961039</v>
      </c>
      <c r="Z100" s="1" t="n">
        <f aca="false"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51136.3636363636</v>
      </c>
      <c r="AA100" s="1" t="n">
        <f aca="false"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51136.3636363636</v>
      </c>
      <c r="AB100" s="1" t="n">
        <f aca="false"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51136.3636363636</v>
      </c>
      <c r="AC100" s="1" t="n">
        <f aca="false"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63311.6883116883</v>
      </c>
      <c r="AD100" s="1" t="n">
        <f aca="false"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63311.6883116883</v>
      </c>
      <c r="AE100" s="1" t="n">
        <f aca="false"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63311.6883116883</v>
      </c>
      <c r="AF100" s="1" t="n">
        <f aca="false"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63311.6883116883</v>
      </c>
      <c r="AG100" s="1" t="n">
        <f aca="false"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75487.012987013</v>
      </c>
      <c r="AH100" s="1" t="n">
        <f aca="false"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75487.012987013</v>
      </c>
      <c r="AI100" s="1" t="n">
        <f aca="false"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75487.012987013</v>
      </c>
      <c r="AJ100" s="1" t="n">
        <f aca="false"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102272.727272727</v>
      </c>
      <c r="AK100" s="1" t="n">
        <f aca="false"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73051.9480519481</v>
      </c>
      <c r="AL100" s="1" t="n">
        <f aca="false"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85227.2727272727</v>
      </c>
      <c r="AM100" s="1" t="n">
        <f aca="false"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75487.012987013</v>
      </c>
      <c r="AN100" s="1" t="n">
        <f aca="false"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75487.012987013</v>
      </c>
      <c r="AO100" s="1" t="n">
        <f aca="false"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87662.3376623377</v>
      </c>
      <c r="AP100" s="1" t="n">
        <f aca="false"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77922.0779220779</v>
      </c>
      <c r="AQ100" s="1" t="n">
        <f aca="false"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77922.0779220779</v>
      </c>
      <c r="AR100" s="1" t="n">
        <f aca="false"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104707.792207792</v>
      </c>
      <c r="AS100" s="1" t="n">
        <f aca="false"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80357.1428571429</v>
      </c>
      <c r="AT100" s="1" t="n">
        <f aca="false"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92532.4675324675</v>
      </c>
      <c r="AU100" s="1" t="n">
        <f aca="false"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104707.792207792</v>
      </c>
      <c r="AV100" s="1" t="n">
        <f aca="false"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92532.4675324675</v>
      </c>
      <c r="AW100" s="1" t="n">
        <f aca="false"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92532.4675324675</v>
      </c>
      <c r="AX100" s="1" t="n">
        <f aca="false"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104707.792207792</v>
      </c>
      <c r="AY100" s="1" t="n">
        <f aca="false"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116883.116883117</v>
      </c>
      <c r="AZ100" s="1" t="n">
        <f aca="false"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92532.4675324675</v>
      </c>
      <c r="BA100" s="1" t="n">
        <f aca="false"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92532.4675324675</v>
      </c>
      <c r="BB100" s="1" t="n">
        <f aca="false"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104707.792207792</v>
      </c>
      <c r="BC100" s="1" t="n">
        <f aca="false"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80357.1428571429</v>
      </c>
      <c r="BD100" s="1" t="n">
        <f aca="false"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80357.1428571429</v>
      </c>
      <c r="BE100" s="1" t="n">
        <f aca="false"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94967.5324675325</v>
      </c>
      <c r="BF100" s="1" t="n">
        <f aca="false"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65746.7532467532</v>
      </c>
      <c r="BG100" s="1" t="n">
        <f aca="false"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65746.7532467532</v>
      </c>
      <c r="BH100" s="1" t="n">
        <f aca="false"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80357.1428571429</v>
      </c>
      <c r="BI100" s="1" t="n">
        <f aca="false"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51136.3636363636</v>
      </c>
      <c r="BJ100" s="1" t="n">
        <f aca="false"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65746.7532467533</v>
      </c>
      <c r="BK100" s="1" t="n">
        <f aca="false"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36525.974025974</v>
      </c>
      <c r="BL100" s="1" t="n">
        <f aca="false"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48701.2987012987</v>
      </c>
      <c r="BM100" s="1" t="n">
        <f aca="false"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24350.6493506494</v>
      </c>
      <c r="BN100" s="1" t="n">
        <f aca="false"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36525.974025974</v>
      </c>
      <c r="BO100" s="1" t="n">
        <f aca="false"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12175.3246753247</v>
      </c>
      <c r="BP100" s="1" t="n">
        <f aca="false"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24350.6493506494</v>
      </c>
      <c r="BQ100" s="1" t="n">
        <f aca="false"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0</v>
      </c>
      <c r="BR100" s="1" t="n">
        <f aca="false"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0</v>
      </c>
      <c r="BS100" s="1" t="n">
        <f aca="false"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0</v>
      </c>
      <c r="BT100" s="1" t="n">
        <f aca="false"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0</v>
      </c>
      <c r="BU100" s="1" t="n">
        <f aca="false"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0</v>
      </c>
      <c r="BV100" s="1" t="n">
        <f aca="false"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0</v>
      </c>
      <c r="BW100" s="1" t="n">
        <f aca="false"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0</v>
      </c>
      <c r="BX100" s="1" t="n">
        <f aca="false"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0</v>
      </c>
      <c r="BY100" s="1" t="n">
        <f aca="false"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0</v>
      </c>
      <c r="BZ100" s="1" t="n">
        <f aca="false"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0</v>
      </c>
      <c r="CA100" s="1" t="n">
        <f aca="false"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0</v>
      </c>
      <c r="CB100" s="1" t="n">
        <f aca="false"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0</v>
      </c>
      <c r="CC100" s="1" t="n">
        <f aca="false"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0</v>
      </c>
      <c r="CD100" s="1" t="n">
        <f aca="false"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0</v>
      </c>
      <c r="CE100" s="1" t="n">
        <f aca="false"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0</v>
      </c>
      <c r="CF100" s="1" t="n">
        <f aca="false"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0</v>
      </c>
      <c r="CG100" s="1" t="n">
        <f aca="false"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0</v>
      </c>
      <c r="CH100" s="1" t="n">
        <f aca="false"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0</v>
      </c>
    </row>
    <row r="102" customFormat="false" ht="15" hidden="false" customHeight="true" outlineLevel="0" collapsed="false">
      <c r="A102" s="131" t="s">
        <v>598</v>
      </c>
    </row>
    <row r="103" customFormat="false" ht="15" hidden="false" customHeight="true" outlineLevel="0" collapsed="false">
      <c r="A103" s="132" t="s">
        <v>599</v>
      </c>
      <c r="C103" s="133" t="n">
        <v>0</v>
      </c>
      <c r="D103" s="133" t="n">
        <v>0</v>
      </c>
      <c r="E103" s="133" t="n">
        <v>0</v>
      </c>
      <c r="F103" s="133" t="n">
        <v>0</v>
      </c>
      <c r="G103" s="133" t="n">
        <v>0</v>
      </c>
      <c r="H103" s="133" t="n">
        <v>0</v>
      </c>
      <c r="I103" s="133" t="n">
        <v>0</v>
      </c>
      <c r="J103" s="133" t="n">
        <v>0</v>
      </c>
      <c r="K103" s="133" t="n">
        <v>0</v>
      </c>
      <c r="L103" s="133" t="n">
        <v>0</v>
      </c>
      <c r="M103" s="133" t="n">
        <v>0</v>
      </c>
      <c r="N103" s="133" t="n">
        <v>-30000</v>
      </c>
      <c r="O103" s="133" t="n">
        <v>0</v>
      </c>
      <c r="P103" s="133" t="n">
        <v>0</v>
      </c>
      <c r="Q103" s="133" t="n">
        <v>-30000</v>
      </c>
      <c r="R103" s="133" t="n">
        <v>0</v>
      </c>
      <c r="S103" s="133" t="n">
        <v>0</v>
      </c>
      <c r="T103" s="133" t="n">
        <v>-30000</v>
      </c>
      <c r="U103" s="133" t="n">
        <v>0</v>
      </c>
      <c r="V103" s="133" t="n">
        <v>0</v>
      </c>
      <c r="W103" s="133" t="n">
        <v>0</v>
      </c>
      <c r="X103" s="133" t="n">
        <v>-30000</v>
      </c>
      <c r="Y103" s="133" t="n">
        <v>0</v>
      </c>
      <c r="Z103" s="133" t="n">
        <v>0</v>
      </c>
      <c r="AA103" s="133" t="n">
        <v>-30000</v>
      </c>
      <c r="AB103" s="133" t="n">
        <v>0</v>
      </c>
      <c r="AC103" s="133" t="n">
        <v>0</v>
      </c>
      <c r="AD103" s="133" t="n">
        <v>-36000</v>
      </c>
      <c r="AE103" s="133" t="n">
        <v>0</v>
      </c>
      <c r="AF103" s="133" t="n">
        <v>0</v>
      </c>
      <c r="AG103" s="133" t="n">
        <v>-36000</v>
      </c>
      <c r="AH103" s="133" t="n">
        <v>0</v>
      </c>
      <c r="AI103" s="133" t="n">
        <v>-36000</v>
      </c>
      <c r="AJ103" s="133" t="n">
        <v>0</v>
      </c>
      <c r="AK103" s="133" t="n">
        <v>-30000</v>
      </c>
      <c r="AL103" s="133" t="n">
        <v>0</v>
      </c>
      <c r="AM103" s="133" t="n">
        <v>-12000</v>
      </c>
      <c r="AN103" s="133" t="n">
        <v>0</v>
      </c>
      <c r="AO103" s="133" t="n">
        <v>0</v>
      </c>
      <c r="AP103" s="133" t="n">
        <v>0</v>
      </c>
      <c r="AQ103" s="134" t="n">
        <v>-30000</v>
      </c>
      <c r="AR103" s="133" t="n">
        <v>0</v>
      </c>
      <c r="AS103" s="134" t="n">
        <v>-36000</v>
      </c>
      <c r="AT103" s="133" t="n">
        <v>0</v>
      </c>
      <c r="AU103" s="134" t="n">
        <v>-30000</v>
      </c>
      <c r="AV103" s="133" t="n">
        <v>0</v>
      </c>
      <c r="AW103" s="134" t="n">
        <v>-30000</v>
      </c>
      <c r="AX103" s="133" t="n">
        <v>0</v>
      </c>
      <c r="AY103" s="134" t="n">
        <v>-24000</v>
      </c>
      <c r="AZ103" s="133" t="n">
        <v>0</v>
      </c>
      <c r="BA103" s="133" t="n">
        <v>0</v>
      </c>
      <c r="BB103" s="133" t="n">
        <v>0</v>
      </c>
      <c r="BC103" s="134" t="n">
        <v>-36000</v>
      </c>
      <c r="BD103" s="133" t="n">
        <v>0</v>
      </c>
      <c r="BE103" s="134" t="n">
        <v>-30000</v>
      </c>
      <c r="BF103" s="133" t="n">
        <v>0</v>
      </c>
      <c r="BG103" s="134" t="n">
        <v>-30000</v>
      </c>
      <c r="BH103" s="133" t="n">
        <v>0</v>
      </c>
      <c r="BI103" s="134" t="n">
        <v>-36000</v>
      </c>
      <c r="BJ103" s="133" t="n">
        <v>0</v>
      </c>
      <c r="BK103" s="134" t="n">
        <v>-18000</v>
      </c>
      <c r="BL103" s="133" t="n">
        <v>0</v>
      </c>
      <c r="BM103" s="133" t="n">
        <v>0</v>
      </c>
      <c r="BN103" s="133" t="n">
        <v>0</v>
      </c>
      <c r="BO103" s="134" t="n">
        <v>-36000</v>
      </c>
      <c r="BP103" s="133" t="n">
        <v>0</v>
      </c>
      <c r="BQ103" s="134" t="n">
        <v>-30000</v>
      </c>
      <c r="BR103" s="133" t="n">
        <v>0</v>
      </c>
      <c r="BS103" s="134" t="n">
        <v>-30000</v>
      </c>
      <c r="BT103" s="133" t="n">
        <v>0</v>
      </c>
      <c r="BU103" s="134" t="n">
        <v>-36000</v>
      </c>
      <c r="BV103" s="133" t="n">
        <v>0</v>
      </c>
      <c r="BW103" s="134" t="n">
        <v>-18000</v>
      </c>
      <c r="BX103" s="133" t="n">
        <v>0</v>
      </c>
      <c r="BY103" s="133" t="n">
        <v>0</v>
      </c>
      <c r="BZ103" s="133" t="n">
        <v>0</v>
      </c>
      <c r="CA103" s="133" t="n">
        <v>0</v>
      </c>
      <c r="CB103" s="133" t="n">
        <v>0</v>
      </c>
      <c r="CC103" s="133" t="n">
        <v>0</v>
      </c>
      <c r="CD103" s="133" t="n">
        <v>0</v>
      </c>
      <c r="CE103" s="133" t="n">
        <v>0</v>
      </c>
      <c r="CF103" s="133" t="n">
        <v>0</v>
      </c>
      <c r="CG103" s="133" t="n">
        <v>0</v>
      </c>
      <c r="CH103" s="133" t="n">
        <v>0</v>
      </c>
    </row>
    <row r="104" customFormat="false" ht="15" hidden="false" customHeight="true" outlineLevel="0" collapsed="false">
      <c r="A104" s="135" t="s">
        <v>600</v>
      </c>
    </row>
    <row r="106" customFormat="false" ht="15" hidden="false" customHeight="false" outlineLevel="0" collapsed="false">
      <c r="A106" s="136" t="s">
        <v>601</v>
      </c>
    </row>
    <row r="107" customFormat="false" ht="15" hidden="false" customHeight="false" outlineLevel="0" collapsed="false">
      <c r="A107" s="1" t="s">
        <v>602</v>
      </c>
      <c r="C107" s="1" t="n">
        <f aca="false">IF(AND(Projects!$G$30="Yes",1&gt;=Projects!$C$30,1&lt;Projects!$C$30+Projects!$D$30),Projects!$B$30*INDEX(Curves!$B$4:$AO$4,1,1-Projects!$C$30+1),0)+IF(AND(Projects!$G$31="Yes",1&gt;=Projects!$C$31,1&lt;Projects!$C$31+Projects!$D$31),Projects!$B$31*INDEX(Curves!$B$4:$AO$4,1,1-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$4:$AO$4,1,1-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$4:$AO$4,1,1-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$4:$AO$4,1,1-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$4:$AO$4,1,1-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$4:$AO$4,1,1-Projects!$C$45+1),0)+IF(AND(Projects!$G$46="Yes",1&gt;=Projects!$C$46,1&lt;Projects!$C$46+Projects!$D$46),Projects!$B$46*INDEX(Curves!$B$4:$AO$4,1,1-Projects!$C$46+1),0)</f>
        <v>0</v>
      </c>
      <c r="D107" s="1" t="n">
        <f aca="false">IF(AND(Projects!$G$30="Yes",2&gt;=Projects!$C$30,2&lt;Projects!$C$30+Projects!$D$30),Projects!$B$30*INDEX(Curves!$B$4:$AO$4,1,2-Projects!$C$30+1),0)+IF(AND(Projects!$G$31="Yes",2&gt;=Projects!$C$31,2&lt;Projects!$C$31+Projects!$D$31),Projects!$B$31*INDEX(Curves!$B$4:$AO$4,1,2-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$4:$AO$4,1,2-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$4:$AO$4,1,2-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$4:$AO$4,1,2-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$4:$AO$4,1,2-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$4:$AO$4,1,2-Projects!$C$45+1),0)+IF(AND(Projects!$G$46="Yes",2&gt;=Projects!$C$46,2&lt;Projects!$C$46+Projects!$D$46),Projects!$B$46*INDEX(Curves!$B$4:$AO$4,1,2-Projects!$C$46+1),0)</f>
        <v>0</v>
      </c>
      <c r="E107" s="1" t="n">
        <f aca="false">IF(AND(Projects!$G$30="Yes",3&gt;=Projects!$C$30,3&lt;Projects!$C$30+Projects!$D$30),Projects!$B$30*INDEX(Curves!$B$4:$AO$4,1,3-Projects!$C$30+1),0)+IF(AND(Projects!$G$31="Yes",3&gt;=Projects!$C$31,3&lt;Projects!$C$31+Projects!$D$31),Projects!$B$31*INDEX(Curves!$B$4:$AO$4,1,3-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$4:$AO$4,1,3-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$4:$AO$4,1,3-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$4:$AO$4,1,3-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$4:$AO$4,1,3-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$4:$AO$4,1,3-Projects!$C$45+1),0)+IF(AND(Projects!$G$46="Yes",3&gt;=Projects!$C$46,3&lt;Projects!$C$46+Projects!$D$46),Projects!$B$46*INDEX(Curves!$B$4:$AO$4,1,3-Projects!$C$46+1),0)</f>
        <v>0</v>
      </c>
      <c r="F107" s="1" t="n">
        <f aca="false">IF(AND(Projects!$G$30="Yes",4&gt;=Projects!$C$30,4&lt;Projects!$C$30+Projects!$D$30),Projects!$B$30*INDEX(Curves!$B$4:$AO$4,1,4-Projects!$C$30+1),0)+IF(AND(Projects!$G$31="Yes",4&gt;=Projects!$C$31,4&lt;Projects!$C$31+Projects!$D$31),Projects!$B$31*INDEX(Curves!$B$4:$AO$4,1,4-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$4:$AO$4,1,4-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$4:$AO$4,1,4-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$4:$AO$4,1,4-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$4:$AO$4,1,4-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$4:$AO$4,1,4-Projects!$C$45+1),0)+IF(AND(Projects!$G$46="Yes",4&gt;=Projects!$C$46,4&lt;Projects!$C$46+Projects!$D$46),Projects!$B$46*INDEX(Curves!$B$4:$AO$4,1,4-Projects!$C$46+1),0)</f>
        <v>0</v>
      </c>
      <c r="G107" s="1" t="n">
        <f aca="false">IF(AND(Projects!$G$30="Yes",5&gt;=Projects!$C$30,5&lt;Projects!$C$30+Projects!$D$30),Projects!$B$30*INDEX(Curves!$B$4:$AO$4,1,5-Projects!$C$30+1),0)+IF(AND(Projects!$G$31="Yes",5&gt;=Projects!$C$31,5&lt;Projects!$C$31+Projects!$D$31),Projects!$B$31*INDEX(Curves!$B$4:$AO$4,1,5-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$4:$AO$4,1,5-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$4:$AO$4,1,5-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$4:$AO$4,1,5-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$4:$AO$4,1,5-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$4:$AO$4,1,5-Projects!$C$45+1),0)+IF(AND(Projects!$G$46="Yes",5&gt;=Projects!$C$46,5&lt;Projects!$C$46+Projects!$D$46),Projects!$B$46*INDEX(Curves!$B$4:$AO$4,1,5-Projects!$C$46+1),0)</f>
        <v>0</v>
      </c>
      <c r="H107" s="1" t="n">
        <f aca="false">IF(AND(Projects!$G$30="Yes",6&gt;=Projects!$C$30,6&lt;Projects!$C$30+Projects!$D$30),Projects!$B$30*INDEX(Curves!$B$4:$AO$4,1,6-Projects!$C$30+1),0)+IF(AND(Projects!$G$31="Yes",6&gt;=Projects!$C$31,6&lt;Projects!$C$31+Projects!$D$31),Projects!$B$31*INDEX(Curves!$B$4:$AO$4,1,6-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$4:$AO$4,1,6-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$4:$AO$4,1,6-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$4:$AO$4,1,6-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$4:$AO$4,1,6-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$4:$AO$4,1,6-Projects!$C$45+1),0)+IF(AND(Projects!$G$46="Yes",6&gt;=Projects!$C$46,6&lt;Projects!$C$46+Projects!$D$46),Projects!$B$46*INDEX(Curves!$B$4:$AO$4,1,6-Projects!$C$46+1),0)</f>
        <v>0</v>
      </c>
      <c r="I107" s="1" t="n">
        <f aca="false">IF(AND(Projects!$G$30="Yes",7&gt;=Projects!$C$30,7&lt;Projects!$C$30+Projects!$D$30),Projects!$B$30*INDEX(Curves!$B$4:$AO$4,1,7-Projects!$C$30+1),0)+IF(AND(Projects!$G$31="Yes",7&gt;=Projects!$C$31,7&lt;Projects!$C$31+Projects!$D$31),Projects!$B$31*INDEX(Curves!$B$4:$AO$4,1,7-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$4:$AO$4,1,7-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$4:$AO$4,1,7-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$4:$AO$4,1,7-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$4:$AO$4,1,7-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$4:$AO$4,1,7-Projects!$C$45+1),0)+IF(AND(Projects!$G$46="Yes",7&gt;=Projects!$C$46,7&lt;Projects!$C$46+Projects!$D$46),Projects!$B$46*INDEX(Curves!$B$4:$AO$4,1,7-Projects!$C$46+1),0)</f>
        <v>0</v>
      </c>
      <c r="J107" s="1" t="n">
        <f aca="false">IF(AND(Projects!$G$30="Yes",8&gt;=Projects!$C$30,8&lt;Projects!$C$30+Projects!$D$30),Projects!$B$30*INDEX(Curves!$B$4:$AO$4,1,8-Projects!$C$30+1),0)+IF(AND(Projects!$G$31="Yes",8&gt;=Projects!$C$31,8&lt;Projects!$C$31+Projects!$D$31),Projects!$B$31*INDEX(Curves!$B$4:$AO$4,1,8-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$4:$AO$4,1,8-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$4:$AO$4,1,8-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$4:$AO$4,1,8-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$4:$AO$4,1,8-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$4:$AO$4,1,8-Projects!$C$45+1),0)+IF(AND(Projects!$G$46="Yes",8&gt;=Projects!$C$46,8&lt;Projects!$C$46+Projects!$D$46),Projects!$B$46*INDEX(Curves!$B$4:$AO$4,1,8-Projects!$C$46+1),0)</f>
        <v>0</v>
      </c>
      <c r="K107" s="1" t="n">
        <f aca="false">IF(AND(Projects!$G$30="Yes",9&gt;=Projects!$C$30,9&lt;Projects!$C$30+Projects!$D$30),Projects!$B$30*INDEX(Curves!$B$4:$AO$4,1,9-Projects!$C$30+1),0)+IF(AND(Projects!$G$31="Yes",9&gt;=Projects!$C$31,9&lt;Projects!$C$31+Projects!$D$31),Projects!$B$31*INDEX(Curves!$B$4:$AO$4,1,9-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$4:$AO$4,1,9-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$4:$AO$4,1,9-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$4:$AO$4,1,9-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$4:$AO$4,1,9-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$4:$AO$4,1,9-Projects!$C$45+1),0)+IF(AND(Projects!$G$46="Yes",9&gt;=Projects!$C$46,9&lt;Projects!$C$46+Projects!$D$46),Projects!$B$46*INDEX(Curves!$B$4:$AO$4,1,9-Projects!$C$46+1),0)</f>
        <v>0</v>
      </c>
      <c r="L107" s="1" t="n">
        <f aca="false">IF(AND(Projects!$G$30="Yes",10&gt;=Projects!$C$30,10&lt;Projects!$C$30+Projects!$D$30),Projects!$B$30*INDEX(Curves!$B$4:$AO$4,1,10-Projects!$C$30+1),0)+IF(AND(Projects!$G$31="Yes",10&gt;=Projects!$C$31,10&lt;Projects!$C$31+Projects!$D$31),Projects!$B$31*INDEX(Curves!$B$4:$AO$4,1,10-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$4:$AO$4,1,10-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$4:$AO$4,1,10-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$4:$AO$4,1,10-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$4:$AO$4,1,10-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$4:$AO$4,1,10-Projects!$C$45+1),0)+IF(AND(Projects!$G$46="Yes",10&gt;=Projects!$C$46,10&lt;Projects!$C$46+Projects!$D$46),Projects!$B$46*INDEX(Curves!$B$4:$AO$4,1,10-Projects!$C$46+1),0)</f>
        <v>0</v>
      </c>
      <c r="M107" s="1" t="n">
        <f aca="false">IF(AND(Projects!$G$30="Yes",11&gt;=Projects!$C$30,11&lt;Projects!$C$30+Projects!$D$30),Projects!$B$30*INDEX(Curves!$B$4:$AO$4,1,11-Projects!$C$30+1),0)+IF(AND(Projects!$G$31="Yes",11&gt;=Projects!$C$31,11&lt;Projects!$C$31+Projects!$D$31),Projects!$B$31*INDEX(Curves!$B$4:$AO$4,1,11-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$4:$AO$4,1,11-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$4:$AO$4,1,11-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$4:$AO$4,1,11-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$4:$AO$4,1,11-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$4:$AO$4,1,11-Projects!$C$45+1),0)+IF(AND(Projects!$G$46="Yes",11&gt;=Projects!$C$46,11&lt;Projects!$C$46+Projects!$D$46),Projects!$B$46*INDEX(Curves!$B$4:$AO$4,1,11-Projects!$C$46+1),0)</f>
        <v>0</v>
      </c>
      <c r="N107" s="1" t="n">
        <f aca="false">IF(AND(Projects!$G$30="Yes",12&gt;=Projects!$C$30,12&lt;Projects!$C$30+Projects!$D$30),Projects!$B$30*INDEX(Curves!$B$4:$AO$4,1,12-Projects!$C$30+1),0)+IF(AND(Projects!$G$31="Yes",12&gt;=Projects!$C$31,12&lt;Projects!$C$31+Projects!$D$31),Projects!$B$31*INDEX(Curves!$B$4:$AO$4,1,12-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$4:$AO$4,1,12-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$4:$AO$4,1,12-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$4:$AO$4,1,12-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$4:$AO$4,1,12-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$4:$AO$4,1,12-Projects!$C$45+1),0)+IF(AND(Projects!$G$46="Yes",12&gt;=Projects!$C$46,12&lt;Projects!$C$46+Projects!$D$46),Projects!$B$46*INDEX(Curves!$B$4:$AO$4,1,12-Projects!$C$46+1),0)</f>
        <v>0</v>
      </c>
      <c r="O107" s="1" t="n">
        <f aca="false">IF(AND(Projects!$G$30="Yes",13&gt;=Projects!$C$30,13&lt;Projects!$C$30+Projects!$D$30),Projects!$B$30*INDEX(Curves!$B$4:$AO$4,1,13-Projects!$C$30+1),0)+IF(AND(Projects!$G$31="Yes",13&gt;=Projects!$C$31,13&lt;Projects!$C$31+Projects!$D$31),Projects!$B$31*INDEX(Curves!$B$4:$AO$4,1,13-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$4:$AO$4,1,13-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$4:$AO$4,1,13-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$4:$AO$4,1,13-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$4:$AO$4,1,13-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$4:$AO$4,1,13-Projects!$C$45+1),0)+IF(AND(Projects!$G$46="Yes",13&gt;=Projects!$C$46,13&lt;Projects!$C$46+Projects!$D$46),Projects!$B$46*INDEX(Curves!$B$4:$AO$4,1,13-Projects!$C$46+1),0)</f>
        <v>0</v>
      </c>
      <c r="P107" s="1" t="n">
        <f aca="false">IF(AND(Projects!$G$30="Yes",14&gt;=Projects!$C$30,14&lt;Projects!$C$30+Projects!$D$30),Projects!$B$30*INDEX(Curves!$B$4:$AO$4,1,14-Projects!$C$30+1),0)+IF(AND(Projects!$G$31="Yes",14&gt;=Projects!$C$31,14&lt;Projects!$C$31+Projects!$D$31),Projects!$B$31*INDEX(Curves!$B$4:$AO$4,1,14-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$4:$AO$4,1,14-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$4:$AO$4,1,14-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$4:$AO$4,1,14-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$4:$AO$4,1,14-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$4:$AO$4,1,14-Projects!$C$45+1),0)+IF(AND(Projects!$G$46="Yes",14&gt;=Projects!$C$46,14&lt;Projects!$C$46+Projects!$D$46),Projects!$B$46*INDEX(Curves!$B$4:$AO$4,1,14-Projects!$C$46+1),0)</f>
        <v>0</v>
      </c>
      <c r="Q107" s="1" t="n">
        <f aca="false">IF(AND(Projects!$G$30="Yes",15&gt;=Projects!$C$30,15&lt;Projects!$C$30+Projects!$D$30),Projects!$B$30*INDEX(Curves!$B$4:$AO$4,1,15-Projects!$C$30+1),0)+IF(AND(Projects!$G$31="Yes",15&gt;=Projects!$C$31,15&lt;Projects!$C$31+Projects!$D$31),Projects!$B$31*INDEX(Curves!$B$4:$AO$4,1,15-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$4:$AO$4,1,15-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$4:$AO$4,1,15-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$4:$AO$4,1,15-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$4:$AO$4,1,15-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$4:$AO$4,1,15-Projects!$C$45+1),0)+IF(AND(Projects!$G$46="Yes",15&gt;=Projects!$C$46,15&lt;Projects!$C$46+Projects!$D$46),Projects!$B$46*INDEX(Curves!$B$4:$AO$4,1,15-Projects!$C$46+1),0)</f>
        <v>0</v>
      </c>
      <c r="R107" s="1" t="n">
        <f aca="false">IF(AND(Projects!$G$30="Yes",16&gt;=Projects!$C$30,16&lt;Projects!$C$30+Projects!$D$30),Projects!$B$30*INDEX(Curves!$B$4:$AO$4,1,16-Projects!$C$30+1),0)+IF(AND(Projects!$G$31="Yes",16&gt;=Projects!$C$31,16&lt;Projects!$C$31+Projects!$D$31),Projects!$B$31*INDEX(Curves!$B$4:$AO$4,1,16-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$4:$AO$4,1,16-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$4:$AO$4,1,16-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$4:$AO$4,1,16-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$4:$AO$4,1,16-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$4:$AO$4,1,16-Projects!$C$45+1),0)+IF(AND(Projects!$G$46="Yes",16&gt;=Projects!$C$46,16&lt;Projects!$C$46+Projects!$D$46),Projects!$B$46*INDEX(Curves!$B$4:$AO$4,1,16-Projects!$C$46+1),0)</f>
        <v>0</v>
      </c>
      <c r="S107" s="1" t="n">
        <f aca="false">IF(AND(Projects!$G$30="Yes",17&gt;=Projects!$C$30,17&lt;Projects!$C$30+Projects!$D$30),Projects!$B$30*INDEX(Curves!$B$4:$AO$4,1,17-Projects!$C$30+1),0)+IF(AND(Projects!$G$31="Yes",17&gt;=Projects!$C$31,17&lt;Projects!$C$31+Projects!$D$31),Projects!$B$31*INDEX(Curves!$B$4:$AO$4,1,17-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$4:$AO$4,1,17-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$4:$AO$4,1,17-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$4:$AO$4,1,17-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$4:$AO$4,1,17-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$4:$AO$4,1,17-Projects!$C$45+1),0)+IF(AND(Projects!$G$46="Yes",17&gt;=Projects!$C$46,17&lt;Projects!$C$46+Projects!$D$46),Projects!$B$46*INDEX(Curves!$B$4:$AO$4,1,17-Projects!$C$46+1),0)</f>
        <v>0</v>
      </c>
      <c r="T107" s="1" t="n">
        <f aca="false">IF(AND(Projects!$G$30="Yes",18&gt;=Projects!$C$30,18&lt;Projects!$C$30+Projects!$D$30),Projects!$B$30*INDEX(Curves!$B$4:$AO$4,1,18-Projects!$C$30+1),0)+IF(AND(Projects!$G$31="Yes",18&gt;=Projects!$C$31,18&lt;Projects!$C$31+Projects!$D$31),Projects!$B$31*INDEX(Curves!$B$4:$AO$4,1,18-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$4:$AO$4,1,18-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$4:$AO$4,1,18-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$4:$AO$4,1,18-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$4:$AO$4,1,18-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$4:$AO$4,1,18-Projects!$C$45+1),0)+IF(AND(Projects!$G$46="Yes",18&gt;=Projects!$C$46,18&lt;Projects!$C$46+Projects!$D$46),Projects!$B$46*INDEX(Curves!$B$4:$AO$4,1,18-Projects!$C$46+1),0)</f>
        <v>0</v>
      </c>
      <c r="U107" s="1" t="n">
        <f aca="false">IF(AND(Projects!$G$30="Yes",19&gt;=Projects!$C$30,19&lt;Projects!$C$30+Projects!$D$30),Projects!$B$30*INDEX(Curves!$B$4:$AO$4,1,19-Projects!$C$30+1),0)+IF(AND(Projects!$G$31="Yes",19&gt;=Projects!$C$31,19&lt;Projects!$C$31+Projects!$D$31),Projects!$B$31*INDEX(Curves!$B$4:$AO$4,1,19-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$4:$AO$4,1,19-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$4:$AO$4,1,19-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$4:$AO$4,1,19-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$4:$AO$4,1,19-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$4:$AO$4,1,19-Projects!$C$45+1),0)+IF(AND(Projects!$G$46="Yes",19&gt;=Projects!$C$46,19&lt;Projects!$C$46+Projects!$D$46),Projects!$B$46*INDEX(Curves!$B$4:$AO$4,1,19-Projects!$C$46+1),0)</f>
        <v>0</v>
      </c>
      <c r="V107" s="1" t="n">
        <f aca="false">IF(AND(Projects!$G$30="Yes",20&gt;=Projects!$C$30,20&lt;Projects!$C$30+Projects!$D$30),Projects!$B$30*INDEX(Curves!$B$4:$AO$4,1,20-Projects!$C$30+1),0)+IF(AND(Projects!$G$31="Yes",20&gt;=Projects!$C$31,20&lt;Projects!$C$31+Projects!$D$31),Projects!$B$31*INDEX(Curves!$B$4:$AO$4,1,20-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$4:$AO$4,1,20-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$4:$AO$4,1,20-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$4:$AO$4,1,20-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$4:$AO$4,1,20-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$4:$AO$4,1,20-Projects!$C$45+1),0)+IF(AND(Projects!$G$46="Yes",20&gt;=Projects!$C$46,20&lt;Projects!$C$46+Projects!$D$46),Projects!$B$46*INDEX(Curves!$B$4:$AO$4,1,20-Projects!$C$46+1),0)</f>
        <v>0</v>
      </c>
      <c r="W107" s="1" t="n">
        <f aca="false">IF(AND(Projects!$G$30="Yes",21&gt;=Projects!$C$30,21&lt;Projects!$C$30+Projects!$D$30),Projects!$B$30*INDEX(Curves!$B$4:$AO$4,1,21-Projects!$C$30+1),0)+IF(AND(Projects!$G$31="Yes",21&gt;=Projects!$C$31,21&lt;Projects!$C$31+Projects!$D$31),Projects!$B$31*INDEX(Curves!$B$4:$AO$4,1,21-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$4:$AO$4,1,21-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$4:$AO$4,1,21-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$4:$AO$4,1,21-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$4:$AO$4,1,21-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$4:$AO$4,1,21-Projects!$C$45+1),0)+IF(AND(Projects!$G$46="Yes",21&gt;=Projects!$C$46,21&lt;Projects!$C$46+Projects!$D$46),Projects!$B$46*INDEX(Curves!$B$4:$AO$4,1,21-Projects!$C$46+1),0)</f>
        <v>0</v>
      </c>
      <c r="X107" s="1" t="n">
        <f aca="false">IF(AND(Projects!$G$30="Yes",22&gt;=Projects!$C$30,22&lt;Projects!$C$30+Projects!$D$30),Projects!$B$30*INDEX(Curves!$B$4:$AO$4,1,22-Projects!$C$30+1),0)+IF(AND(Projects!$G$31="Yes",22&gt;=Projects!$C$31,22&lt;Projects!$C$31+Projects!$D$31),Projects!$B$31*INDEX(Curves!$B$4:$AO$4,1,22-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$4:$AO$4,1,22-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$4:$AO$4,1,22-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$4:$AO$4,1,22-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$4:$AO$4,1,22-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$4:$AO$4,1,22-Projects!$C$45+1),0)+IF(AND(Projects!$G$46="Yes",22&gt;=Projects!$C$46,22&lt;Projects!$C$46+Projects!$D$46),Projects!$B$46*INDEX(Curves!$B$4:$AO$4,1,22-Projects!$C$46+1),0)</f>
        <v>0</v>
      </c>
      <c r="Y107" s="1" t="n">
        <f aca="false">IF(AND(Projects!$G$30="Yes",23&gt;=Projects!$C$30,23&lt;Projects!$C$30+Projects!$D$30),Projects!$B$30*INDEX(Curves!$B$4:$AO$4,1,23-Projects!$C$30+1),0)+IF(AND(Projects!$G$31="Yes",23&gt;=Projects!$C$31,23&lt;Projects!$C$31+Projects!$D$31),Projects!$B$31*INDEX(Curves!$B$4:$AO$4,1,23-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$4:$AO$4,1,23-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$4:$AO$4,1,23-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$4:$AO$4,1,23-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$4:$AO$4,1,23-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$4:$AO$4,1,23-Projects!$C$45+1),0)+IF(AND(Projects!$G$46="Yes",23&gt;=Projects!$C$46,23&lt;Projects!$C$46+Projects!$D$46),Projects!$B$46*INDEX(Curves!$B$4:$AO$4,1,23-Projects!$C$46+1),0)</f>
        <v>0</v>
      </c>
      <c r="Z107" s="1" t="n">
        <f aca="false">IF(AND(Projects!$G$30="Yes",24&gt;=Projects!$C$30,24&lt;Projects!$C$30+Projects!$D$30),Projects!$B$30*INDEX(Curves!$B$4:$AO$4,1,24-Projects!$C$30+1),0)+IF(AND(Projects!$G$31="Yes",24&gt;=Projects!$C$31,24&lt;Projects!$C$31+Projects!$D$31),Projects!$B$31*INDEX(Curves!$B$4:$AO$4,1,24-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$4:$AO$4,1,24-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$4:$AO$4,1,24-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$4:$AO$4,1,24-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$4:$AO$4,1,24-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$4:$AO$4,1,24-Projects!$C$45+1),0)+IF(AND(Projects!$G$46="Yes",24&gt;=Projects!$C$46,24&lt;Projects!$C$46+Projects!$D$46),Projects!$B$46*INDEX(Curves!$B$4:$AO$4,1,24-Projects!$C$46+1),0)</f>
        <v>0</v>
      </c>
      <c r="AA107" s="1" t="n">
        <f aca="false">IF(AND(Projects!$G$30="Yes",25&gt;=Projects!$C$30,25&lt;Projects!$C$30+Projects!$D$30),Projects!$B$30*INDEX(Curves!$B$4:$AO$4,1,25-Projects!$C$30+1),0)+IF(AND(Projects!$G$31="Yes",25&gt;=Projects!$C$31,25&lt;Projects!$C$31+Projects!$D$31),Projects!$B$31*INDEX(Curves!$B$4:$AO$4,1,25-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$4:$AO$4,1,25-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$4:$AO$4,1,25-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$4:$AO$4,1,25-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$4:$AO$4,1,25-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$4:$AO$4,1,25-Projects!$C$45+1),0)+IF(AND(Projects!$G$46="Yes",25&gt;=Projects!$C$46,25&lt;Projects!$C$46+Projects!$D$46),Projects!$B$46*INDEX(Curves!$B$4:$AO$4,1,25-Projects!$C$46+1),0)</f>
        <v>0</v>
      </c>
      <c r="AB107" s="1" t="n">
        <f aca="false">IF(AND(Projects!$G$30="Yes",26&gt;=Projects!$C$30,26&lt;Projects!$C$30+Projects!$D$30),Projects!$B$30*INDEX(Curves!$B$4:$AO$4,1,26-Projects!$C$30+1),0)+IF(AND(Projects!$G$31="Yes",26&gt;=Projects!$C$31,26&lt;Projects!$C$31+Projects!$D$31),Projects!$B$31*INDEX(Curves!$B$4:$AO$4,1,26-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$4:$AO$4,1,26-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$4:$AO$4,1,26-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$4:$AO$4,1,26-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$4:$AO$4,1,26-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$4:$AO$4,1,26-Projects!$C$45+1),0)+IF(AND(Projects!$G$46="Yes",26&gt;=Projects!$C$46,26&lt;Projects!$C$46+Projects!$D$46),Projects!$B$46*INDEX(Curves!$B$4:$AO$4,1,26-Projects!$C$46+1),0)</f>
        <v>0</v>
      </c>
      <c r="AC107" s="1" t="n">
        <f aca="false">IF(AND(Projects!$G$30="Yes",27&gt;=Projects!$C$30,27&lt;Projects!$C$30+Projects!$D$30),Projects!$B$30*INDEX(Curves!$B$4:$AO$4,1,27-Projects!$C$30+1),0)+IF(AND(Projects!$G$31="Yes",27&gt;=Projects!$C$31,27&lt;Projects!$C$31+Projects!$D$31),Projects!$B$31*INDEX(Curves!$B$4:$AO$4,1,27-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$4:$AO$4,1,27-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$4:$AO$4,1,27-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$4:$AO$4,1,27-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$4:$AO$4,1,27-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$4:$AO$4,1,27-Projects!$C$45+1),0)+IF(AND(Projects!$G$46="Yes",27&gt;=Projects!$C$46,27&lt;Projects!$C$46+Projects!$D$46),Projects!$B$46*INDEX(Curves!$B$4:$AO$4,1,27-Projects!$C$46+1),0)</f>
        <v>0</v>
      </c>
      <c r="AD107" s="1" t="n">
        <f aca="false">IF(AND(Projects!$G$30="Yes",28&gt;=Projects!$C$30,28&lt;Projects!$C$30+Projects!$D$30),Projects!$B$30*INDEX(Curves!$B$4:$AO$4,1,28-Projects!$C$30+1),0)+IF(AND(Projects!$G$31="Yes",28&gt;=Projects!$C$31,28&lt;Projects!$C$31+Projects!$D$31),Projects!$B$31*INDEX(Curves!$B$4:$AO$4,1,28-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$4:$AO$4,1,28-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$4:$AO$4,1,28-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$4:$AO$4,1,28-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$4:$AO$4,1,28-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$4:$AO$4,1,28-Projects!$C$45+1),0)+IF(AND(Projects!$G$46="Yes",28&gt;=Projects!$C$46,28&lt;Projects!$C$46+Projects!$D$46),Projects!$B$46*INDEX(Curves!$B$4:$AO$4,1,28-Projects!$C$46+1),0)</f>
        <v>0</v>
      </c>
      <c r="AE107" s="1" t="n">
        <f aca="false">IF(AND(Projects!$G$30="Yes",29&gt;=Projects!$C$30,29&lt;Projects!$C$30+Projects!$D$30),Projects!$B$30*INDEX(Curves!$B$4:$AO$4,1,29-Projects!$C$30+1),0)+IF(AND(Projects!$G$31="Yes",29&gt;=Projects!$C$31,29&lt;Projects!$C$31+Projects!$D$31),Projects!$B$31*INDEX(Curves!$B$4:$AO$4,1,29-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$4:$AO$4,1,29-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$4:$AO$4,1,29-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$4:$AO$4,1,29-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$4:$AO$4,1,29-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$4:$AO$4,1,29-Projects!$C$45+1),0)+IF(AND(Projects!$G$46="Yes",29&gt;=Projects!$C$46,29&lt;Projects!$C$46+Projects!$D$46),Projects!$B$46*INDEX(Curves!$B$4:$AO$4,1,29-Projects!$C$46+1),0)</f>
        <v>0</v>
      </c>
      <c r="AF107" s="1" t="n">
        <f aca="false">IF(AND(Projects!$G$30="Yes",30&gt;=Projects!$C$30,30&lt;Projects!$C$30+Projects!$D$30),Projects!$B$30*INDEX(Curves!$B$4:$AO$4,1,30-Projects!$C$30+1),0)+IF(AND(Projects!$G$31="Yes",30&gt;=Projects!$C$31,30&lt;Projects!$C$31+Projects!$D$31),Projects!$B$31*INDEX(Curves!$B$4:$AO$4,1,30-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$4:$AO$4,1,30-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$4:$AO$4,1,30-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$4:$AO$4,1,30-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$4:$AO$4,1,30-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$4:$AO$4,1,30-Projects!$C$45+1),0)+IF(AND(Projects!$G$46="Yes",30&gt;=Projects!$C$46,30&lt;Projects!$C$46+Projects!$D$46),Projects!$B$46*INDEX(Curves!$B$4:$AO$4,1,30-Projects!$C$46+1),0)</f>
        <v>0</v>
      </c>
      <c r="AG107" s="1" t="n">
        <f aca="false">IF(AND(Projects!$G$30="Yes",31&gt;=Projects!$C$30,31&lt;Projects!$C$30+Projects!$D$30),Projects!$B$30*INDEX(Curves!$B$4:$AO$4,1,31-Projects!$C$30+1),0)+IF(AND(Projects!$G$31="Yes",31&gt;=Projects!$C$31,31&lt;Projects!$C$31+Projects!$D$31),Projects!$B$31*INDEX(Curves!$B$4:$AO$4,1,31-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$4:$AO$4,1,31-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$4:$AO$4,1,31-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$4:$AO$4,1,31-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$4:$AO$4,1,31-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$4:$AO$4,1,31-Projects!$C$45+1),0)+IF(AND(Projects!$G$46="Yes",31&gt;=Projects!$C$46,31&lt;Projects!$C$46+Projects!$D$46),Projects!$B$46*INDEX(Curves!$B$4:$AO$4,1,31-Projects!$C$46+1),0)</f>
        <v>0</v>
      </c>
      <c r="AH107" s="1" t="n">
        <f aca="false">IF(AND(Projects!$G$30="Yes",32&gt;=Projects!$C$30,32&lt;Projects!$C$30+Projects!$D$30),Projects!$B$30*INDEX(Curves!$B$4:$AO$4,1,32-Projects!$C$30+1),0)+IF(AND(Projects!$G$31="Yes",32&gt;=Projects!$C$31,32&lt;Projects!$C$31+Projects!$D$31),Projects!$B$31*INDEX(Curves!$B$4:$AO$4,1,32-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$4:$AO$4,1,32-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$4:$AO$4,1,32-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$4:$AO$4,1,32-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$4:$AO$4,1,32-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$4:$AO$4,1,32-Projects!$C$45+1),0)+IF(AND(Projects!$G$46="Yes",32&gt;=Projects!$C$46,32&lt;Projects!$C$46+Projects!$D$46),Projects!$B$46*INDEX(Curves!$B$4:$AO$4,1,32-Projects!$C$46+1),0)</f>
        <v>0</v>
      </c>
      <c r="AI107" s="1" t="n">
        <f aca="false">IF(AND(Projects!$G$30="Yes",33&gt;=Projects!$C$30,33&lt;Projects!$C$30+Projects!$D$30),Projects!$B$30*INDEX(Curves!$B$4:$AO$4,1,33-Projects!$C$30+1),0)+IF(AND(Projects!$G$31="Yes",33&gt;=Projects!$C$31,33&lt;Projects!$C$31+Projects!$D$31),Projects!$B$31*INDEX(Curves!$B$4:$AO$4,1,33-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$4:$AO$4,1,33-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$4:$AO$4,1,33-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$4:$AO$4,1,33-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$4:$AO$4,1,33-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$4:$AO$4,1,33-Projects!$C$45+1),0)+IF(AND(Projects!$G$46="Yes",33&gt;=Projects!$C$46,33&lt;Projects!$C$46+Projects!$D$46),Projects!$B$46*INDEX(Curves!$B$4:$AO$4,1,33-Projects!$C$46+1),0)</f>
        <v>0</v>
      </c>
      <c r="AJ107" s="1" t="n">
        <f aca="false">IF(AND(Projects!$G$30="Yes",34&gt;=Projects!$C$30,34&lt;Projects!$C$30+Projects!$D$30),Projects!$B$30*INDEX(Curves!$B$4:$AO$4,1,34-Projects!$C$30+1),0)+IF(AND(Projects!$G$31="Yes",34&gt;=Projects!$C$31,34&lt;Projects!$C$31+Projects!$D$31),Projects!$B$31*INDEX(Curves!$B$4:$AO$4,1,34-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$4:$AO$4,1,34-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$4:$AO$4,1,34-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$4:$AO$4,1,34-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$4:$AO$4,1,34-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$4:$AO$4,1,34-Projects!$C$45+1),0)+IF(AND(Projects!$G$46="Yes",34&gt;=Projects!$C$46,34&lt;Projects!$C$46+Projects!$D$46),Projects!$B$46*INDEX(Curves!$B$4:$AO$4,1,34-Projects!$C$46+1),0)</f>
        <v>0</v>
      </c>
      <c r="AK107" s="1" t="n">
        <f aca="false">IF(AND(Projects!$G$30="Yes",35&gt;=Projects!$C$30,35&lt;Projects!$C$30+Projects!$D$30),Projects!$B$30*INDEX(Curves!$B$4:$AO$4,1,35-Projects!$C$30+1),0)+IF(AND(Projects!$G$31="Yes",35&gt;=Projects!$C$31,35&lt;Projects!$C$31+Projects!$D$31),Projects!$B$31*INDEX(Curves!$B$4:$AO$4,1,35-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$4:$AO$4,1,35-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$4:$AO$4,1,35-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$4:$AO$4,1,35-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$4:$AO$4,1,35-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$4:$AO$4,1,35-Projects!$C$45+1),0)+IF(AND(Projects!$G$46="Yes",35&gt;=Projects!$C$46,35&lt;Projects!$C$46+Projects!$D$46),Projects!$B$46*INDEX(Curves!$B$4:$AO$4,1,35-Projects!$C$46+1),0)</f>
        <v>0</v>
      </c>
      <c r="AL107" s="1" t="n">
        <f aca="false">IF(AND(Projects!$G$30="Yes",36&gt;=Projects!$C$30,36&lt;Projects!$C$30+Projects!$D$30),Projects!$B$30*INDEX(Curves!$B$4:$AO$4,1,36-Projects!$C$30+1),0)+IF(AND(Projects!$G$31="Yes",36&gt;=Projects!$C$31,36&lt;Projects!$C$31+Projects!$D$31),Projects!$B$31*INDEX(Curves!$B$4:$AO$4,1,36-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$4:$AO$4,1,36-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$4:$AO$4,1,36-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$4:$AO$4,1,36-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$4:$AO$4,1,36-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$4:$AO$4,1,36-Projects!$C$45+1),0)+IF(AND(Projects!$G$46="Yes",36&gt;=Projects!$C$46,36&lt;Projects!$C$46+Projects!$D$46),Projects!$B$46*INDEX(Curves!$B$4:$AO$4,1,36-Projects!$C$46+1),0)</f>
        <v>0</v>
      </c>
      <c r="AM107" s="1" t="n">
        <f aca="false">IF(AND(Projects!$G$30="Yes",37&gt;=Projects!$C$30,37&lt;Projects!$C$30+Projects!$D$30),Projects!$B$30*INDEX(Curves!$B$4:$AO$4,1,37-Projects!$C$30+1),0)+IF(AND(Projects!$G$31="Yes",37&gt;=Projects!$C$31,37&lt;Projects!$C$31+Projects!$D$31),Projects!$B$31*INDEX(Curves!$B$4:$AO$4,1,37-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$4:$AO$4,1,37-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$4:$AO$4,1,37-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$4:$AO$4,1,37-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$4:$AO$4,1,37-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$4:$AO$4,1,37-Projects!$C$45+1),0)+IF(AND(Projects!$G$46="Yes",37&gt;=Projects!$C$46,37&lt;Projects!$C$46+Projects!$D$46),Projects!$B$46*INDEX(Curves!$B$4:$AO$4,1,37-Projects!$C$46+1),0)</f>
        <v>0</v>
      </c>
      <c r="AN107" s="1" t="n">
        <f aca="false">IF(AND(Projects!$G$30="Yes",38&gt;=Projects!$C$30,38&lt;Projects!$C$30+Projects!$D$30),Projects!$B$30*INDEX(Curves!$B$4:$AO$4,1,38-Projects!$C$30+1),0)+IF(AND(Projects!$G$31="Yes",38&gt;=Projects!$C$31,38&lt;Projects!$C$31+Projects!$D$31),Projects!$B$31*INDEX(Curves!$B$4:$AO$4,1,38-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$4:$AO$4,1,38-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$4:$AO$4,1,38-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$4:$AO$4,1,38-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$4:$AO$4,1,38-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$4:$AO$4,1,38-Projects!$C$45+1),0)+IF(AND(Projects!$G$46="Yes",38&gt;=Projects!$C$46,38&lt;Projects!$C$46+Projects!$D$46),Projects!$B$46*INDEX(Curves!$B$4:$AO$4,1,38-Projects!$C$46+1),0)</f>
        <v>0</v>
      </c>
      <c r="AO107" s="1" t="n">
        <f aca="false">IF(AND(Projects!$G$30="Yes",39&gt;=Projects!$C$30,39&lt;Projects!$C$30+Projects!$D$30),Projects!$B$30*INDEX(Curves!$B$4:$AO$4,1,39-Projects!$C$30+1),0)+IF(AND(Projects!$G$31="Yes",39&gt;=Projects!$C$31,39&lt;Projects!$C$31+Projects!$D$31),Projects!$B$31*INDEX(Curves!$B$4:$AO$4,1,39-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$4:$AO$4,1,39-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$4:$AO$4,1,39-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$4:$AO$4,1,39-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$4:$AO$4,1,39-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$4:$AO$4,1,39-Projects!$C$45+1),0)+IF(AND(Projects!$G$46="Yes",39&gt;=Projects!$C$46,39&lt;Projects!$C$46+Projects!$D$46),Projects!$B$46*INDEX(Curves!$B$4:$AO$4,1,39-Projects!$C$46+1),0)</f>
        <v>0</v>
      </c>
      <c r="AP107" s="1" t="n">
        <f aca="false">IF(AND(Projects!$G$30="Yes",40&gt;=Projects!$C$30,40&lt;Projects!$C$30+Projects!$D$30),Projects!$B$30*INDEX(Curves!$B$4:$AO$4,1,40-Projects!$C$30+1),0)+IF(AND(Projects!$G$31="Yes",40&gt;=Projects!$C$31,40&lt;Projects!$C$31+Projects!$D$31),Projects!$B$31*INDEX(Curves!$B$4:$AO$4,1,40-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$4:$AO$4,1,40-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$4:$AO$4,1,40-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$4:$AO$4,1,40-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$4:$AO$4,1,40-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$4:$AO$4,1,40-Projects!$C$45+1),0)+IF(AND(Projects!$G$46="Yes",40&gt;=Projects!$C$46,40&lt;Projects!$C$46+Projects!$D$46),Projects!$B$46*INDEX(Curves!$B$4:$AO$4,1,40-Projects!$C$46+1),0)</f>
        <v>0</v>
      </c>
      <c r="AQ107" s="1" t="n">
        <f aca="false">IF(AND(Projects!$G$30="Yes",41&gt;=Projects!$C$30,41&lt;Projects!$C$30+Projects!$D$30),Projects!$B$30*INDEX(Curves!$B$4:$AO$4,1,41-Projects!$C$30+1),0)+IF(AND(Projects!$G$31="Yes",41&gt;=Projects!$C$31,41&lt;Projects!$C$31+Projects!$D$31),Projects!$B$31*INDEX(Curves!$B$4:$AO$4,1,41-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$4:$AO$4,1,41-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$4:$AO$4,1,41-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$4:$AO$4,1,41-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$4:$AO$4,1,41-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$4:$AO$4,1,41-Projects!$C$45+1),0)+IF(AND(Projects!$G$46="Yes",41&gt;=Projects!$C$46,41&lt;Projects!$C$46+Projects!$D$46),Projects!$B$46*INDEX(Curves!$B$4:$AO$4,1,41-Projects!$C$46+1),0)</f>
        <v>0</v>
      </c>
      <c r="AR107" s="1" t="n">
        <f aca="false">IF(AND(Projects!$G$30="Yes",42&gt;=Projects!$C$30,42&lt;Projects!$C$30+Projects!$D$30),Projects!$B$30*INDEX(Curves!$B$4:$AO$4,1,42-Projects!$C$30+1),0)+IF(AND(Projects!$G$31="Yes",42&gt;=Projects!$C$31,42&lt;Projects!$C$31+Projects!$D$31),Projects!$B$31*INDEX(Curves!$B$4:$AO$4,1,42-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$4:$AO$4,1,42-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$4:$AO$4,1,42-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$4:$AO$4,1,42-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$4:$AO$4,1,42-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$4:$AO$4,1,42-Projects!$C$45+1),0)+IF(AND(Projects!$G$46="Yes",42&gt;=Projects!$C$46,42&lt;Projects!$C$46+Projects!$D$46),Projects!$B$46*INDEX(Curves!$B$4:$AO$4,1,42-Projects!$C$46+1),0)</f>
        <v>0</v>
      </c>
      <c r="AS107" s="1" t="n">
        <f aca="false">IF(AND(Projects!$G$30="Yes",43&gt;=Projects!$C$30,43&lt;Projects!$C$30+Projects!$D$30),Projects!$B$30*INDEX(Curves!$B$4:$AO$4,1,43-Projects!$C$30+1),0)+IF(AND(Projects!$G$31="Yes",43&gt;=Projects!$C$31,43&lt;Projects!$C$31+Projects!$D$31),Projects!$B$31*INDEX(Curves!$B$4:$AO$4,1,43-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$4:$AO$4,1,43-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$4:$AO$4,1,43-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$4:$AO$4,1,43-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$4:$AO$4,1,43-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$4:$AO$4,1,43-Projects!$C$45+1),0)+IF(AND(Projects!$G$46="Yes",43&gt;=Projects!$C$46,43&lt;Projects!$C$46+Projects!$D$46),Projects!$B$46*INDEX(Curves!$B$4:$AO$4,1,43-Projects!$C$46+1),0)</f>
        <v>0</v>
      </c>
      <c r="AT107" s="1" t="n">
        <f aca="false">IF(AND(Projects!$G$30="Yes",44&gt;=Projects!$C$30,44&lt;Projects!$C$30+Projects!$D$30),Projects!$B$30*INDEX(Curves!$B$4:$AO$4,1,44-Projects!$C$30+1),0)+IF(AND(Projects!$G$31="Yes",44&gt;=Projects!$C$31,44&lt;Projects!$C$31+Projects!$D$31),Projects!$B$31*INDEX(Curves!$B$4:$AO$4,1,44-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$4:$AO$4,1,44-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$4:$AO$4,1,44-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$4:$AO$4,1,44-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$4:$AO$4,1,44-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$4:$AO$4,1,44-Projects!$C$45+1),0)+IF(AND(Projects!$G$46="Yes",44&gt;=Projects!$C$46,44&lt;Projects!$C$46+Projects!$D$46),Projects!$B$46*INDEX(Curves!$B$4:$AO$4,1,44-Projects!$C$46+1),0)</f>
        <v>0</v>
      </c>
      <c r="AU107" s="1" t="n">
        <f aca="false">IF(AND(Projects!$G$30="Yes",45&gt;=Projects!$C$30,45&lt;Projects!$C$30+Projects!$D$30),Projects!$B$30*INDEX(Curves!$B$4:$AO$4,1,45-Projects!$C$30+1),0)+IF(AND(Projects!$G$31="Yes",45&gt;=Projects!$C$31,45&lt;Projects!$C$31+Projects!$D$31),Projects!$B$31*INDEX(Curves!$B$4:$AO$4,1,45-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$4:$AO$4,1,45-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$4:$AO$4,1,45-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$4:$AO$4,1,45-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$4:$AO$4,1,45-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$4:$AO$4,1,45-Projects!$C$45+1),0)+IF(AND(Projects!$G$46="Yes",45&gt;=Projects!$C$46,45&lt;Projects!$C$46+Projects!$D$46),Projects!$B$46*INDEX(Curves!$B$4:$AO$4,1,45-Projects!$C$46+1),0)</f>
        <v>0</v>
      </c>
      <c r="AV107" s="1" t="n">
        <f aca="false">IF(AND(Projects!$G$30="Yes",46&gt;=Projects!$C$30,46&lt;Projects!$C$30+Projects!$D$30),Projects!$B$30*INDEX(Curves!$B$4:$AO$4,1,46-Projects!$C$30+1),0)+IF(AND(Projects!$G$31="Yes",46&gt;=Projects!$C$31,46&lt;Projects!$C$31+Projects!$D$31),Projects!$B$31*INDEX(Curves!$B$4:$AO$4,1,46-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$4:$AO$4,1,46-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$4:$AO$4,1,46-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$4:$AO$4,1,46-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$4:$AO$4,1,46-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$4:$AO$4,1,46-Projects!$C$45+1),0)+IF(AND(Projects!$G$46="Yes",46&gt;=Projects!$C$46,46&lt;Projects!$C$46+Projects!$D$46),Projects!$B$46*INDEX(Curves!$B$4:$AO$4,1,46-Projects!$C$46+1),0)</f>
        <v>0</v>
      </c>
      <c r="AW107" s="1" t="n">
        <f aca="false">IF(AND(Projects!$G$30="Yes",47&gt;=Projects!$C$30,47&lt;Projects!$C$30+Projects!$D$30),Projects!$B$30*INDEX(Curves!$B$4:$AO$4,1,47-Projects!$C$30+1),0)+IF(AND(Projects!$G$31="Yes",47&gt;=Projects!$C$31,47&lt;Projects!$C$31+Projects!$D$31),Projects!$B$31*INDEX(Curves!$B$4:$AO$4,1,47-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$4:$AO$4,1,47-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$4:$AO$4,1,47-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$4:$AO$4,1,47-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$4:$AO$4,1,47-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$4:$AO$4,1,47-Projects!$C$45+1),0)+IF(AND(Projects!$G$46="Yes",47&gt;=Projects!$C$46,47&lt;Projects!$C$46+Projects!$D$46),Projects!$B$46*INDEX(Curves!$B$4:$AO$4,1,47-Projects!$C$46+1),0)</f>
        <v>0</v>
      </c>
      <c r="AX107" s="1" t="n">
        <f aca="false">IF(AND(Projects!$G$30="Yes",48&gt;=Projects!$C$30,48&lt;Projects!$C$30+Projects!$D$30),Projects!$B$30*INDEX(Curves!$B$4:$AO$4,1,48-Projects!$C$30+1),0)+IF(AND(Projects!$G$31="Yes",48&gt;=Projects!$C$31,48&lt;Projects!$C$31+Projects!$D$31),Projects!$B$31*INDEX(Curves!$B$4:$AO$4,1,48-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$4:$AO$4,1,48-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$4:$AO$4,1,48-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$4:$AO$4,1,48-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$4:$AO$4,1,48-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$4:$AO$4,1,48-Projects!$C$45+1),0)+IF(AND(Projects!$G$46="Yes",48&gt;=Projects!$C$46,48&lt;Projects!$C$46+Projects!$D$46),Projects!$B$46*INDEX(Curves!$B$4:$AO$4,1,48-Projects!$C$46+1),0)</f>
        <v>0</v>
      </c>
      <c r="AY107" s="1" t="n">
        <f aca="false">IF(AND(Projects!$G$30="Yes",49&gt;=Projects!$C$30,49&lt;Projects!$C$30+Projects!$D$30),Projects!$B$30*INDEX(Curves!$B$4:$AO$4,1,49-Projects!$C$30+1),0)+IF(AND(Projects!$G$31="Yes",49&gt;=Projects!$C$31,49&lt;Projects!$C$31+Projects!$D$31),Projects!$B$31*INDEX(Curves!$B$4:$AO$4,1,49-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$4:$AO$4,1,49-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$4:$AO$4,1,49-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$4:$AO$4,1,49-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$4:$AO$4,1,49-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$4:$AO$4,1,49-Projects!$C$45+1),0)+IF(AND(Projects!$G$46="Yes",49&gt;=Projects!$C$46,49&lt;Projects!$C$46+Projects!$D$46),Projects!$B$46*INDEX(Curves!$B$4:$AO$4,1,49-Projects!$C$46+1),0)</f>
        <v>0</v>
      </c>
      <c r="AZ107" s="1" t="n">
        <f aca="false">IF(AND(Projects!$G$30="Yes",50&gt;=Projects!$C$30,50&lt;Projects!$C$30+Projects!$D$30),Projects!$B$30*INDEX(Curves!$B$4:$AO$4,1,50-Projects!$C$30+1),0)+IF(AND(Projects!$G$31="Yes",50&gt;=Projects!$C$31,50&lt;Projects!$C$31+Projects!$D$31),Projects!$B$31*INDEX(Curves!$B$4:$AO$4,1,50-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$4:$AO$4,1,50-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$4:$AO$4,1,50-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$4:$AO$4,1,50-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$4:$AO$4,1,50-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$4:$AO$4,1,50-Projects!$C$45+1),0)+IF(AND(Projects!$G$46="Yes",50&gt;=Projects!$C$46,50&lt;Projects!$C$46+Projects!$D$46),Projects!$B$46*INDEX(Curves!$B$4:$AO$4,1,50-Projects!$C$46+1),0)</f>
        <v>397755</v>
      </c>
      <c r="BA107" s="1" t="n">
        <f aca="false">IF(AND(Projects!$G$30="Yes",51&gt;=Projects!$C$30,51&lt;Projects!$C$30+Projects!$D$30),Projects!$B$30*INDEX(Curves!$B$4:$AO$4,1,51-Projects!$C$30+1),0)+IF(AND(Projects!$G$31="Yes",51&gt;=Projects!$C$31,51&lt;Projects!$C$31+Projects!$D$31),Projects!$B$31*INDEX(Curves!$B$4:$AO$4,1,51-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$4:$AO$4,1,51-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$4:$AO$4,1,51-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$4:$AO$4,1,51-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$4:$AO$4,1,51-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$4:$AO$4,1,51-Projects!$C$45+1),0)+IF(AND(Projects!$G$46="Yes",51&gt;=Projects!$C$46,51&lt;Projects!$C$46+Projects!$D$46),Projects!$B$46*INDEX(Curves!$B$4:$AO$4,1,51-Projects!$C$46+1),0)</f>
        <v>491415</v>
      </c>
      <c r="BB107" s="1" t="n">
        <f aca="false">IF(AND(Projects!$G$30="Yes",52&gt;=Projects!$C$30,52&lt;Projects!$C$30+Projects!$D$30),Projects!$B$30*INDEX(Curves!$B$4:$AO$4,1,52-Projects!$C$30+1),0)+IF(AND(Projects!$G$31="Yes",52&gt;=Projects!$C$31,52&lt;Projects!$C$31+Projects!$D$31),Projects!$B$31*INDEX(Curves!$B$4:$AO$4,1,52-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$4:$AO$4,1,52-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$4:$AO$4,1,52-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$4:$AO$4,1,52-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$4:$AO$4,1,52-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$4:$AO$4,1,52-Projects!$C$45+1),0)+IF(AND(Projects!$G$46="Yes",52&gt;=Projects!$C$46,52&lt;Projects!$C$46+Projects!$D$46),Projects!$B$46*INDEX(Curves!$B$4:$AO$4,1,52-Projects!$C$46+1),0)</f>
        <v>1069536</v>
      </c>
      <c r="BC107" s="1" t="n">
        <f aca="false">IF(AND(Projects!$G$30="Yes",53&gt;=Projects!$C$30,53&lt;Projects!$C$30+Projects!$D$30),Projects!$B$30*INDEX(Curves!$B$4:$AO$4,1,53-Projects!$C$30+1),0)+IF(AND(Projects!$G$31="Yes",53&gt;=Projects!$C$31,53&lt;Projects!$C$31+Projects!$D$31),Projects!$B$31*INDEX(Curves!$B$4:$AO$4,1,53-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$4:$AO$4,1,53-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$4:$AO$4,1,53-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$4:$AO$4,1,53-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$4:$AO$4,1,53-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$4:$AO$4,1,53-Projects!$C$45+1),0)+IF(AND(Projects!$G$46="Yes",53&gt;=Projects!$C$46,53&lt;Projects!$C$46+Projects!$D$46),Projects!$B$46*INDEX(Curves!$B$4:$AO$4,1,53-Projects!$C$46+1),0)</f>
        <v>1285878</v>
      </c>
      <c r="BD107" s="1" t="n">
        <f aca="false">IF(AND(Projects!$G$30="Yes",54&gt;=Projects!$C$30,54&lt;Projects!$C$30+Projects!$D$30),Projects!$B$30*INDEX(Curves!$B$4:$AO$4,1,54-Projects!$C$30+1),0)+IF(AND(Projects!$G$31="Yes",54&gt;=Projects!$C$31,54&lt;Projects!$C$31+Projects!$D$31),Projects!$B$31*INDEX(Curves!$B$4:$AO$4,1,54-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$4:$AO$4,1,54-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$4:$AO$4,1,54-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$4:$AO$4,1,54-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$4:$AO$4,1,54-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$4:$AO$4,1,54-Projects!$C$45+1),0)+IF(AND(Projects!$G$46="Yes",54&gt;=Projects!$C$46,54&lt;Projects!$C$46+Projects!$D$46),Projects!$B$46*INDEX(Curves!$B$4:$AO$4,1,54-Projects!$C$46+1),0)</f>
        <v>1906701</v>
      </c>
      <c r="BE107" s="1" t="n">
        <f aca="false">IF(AND(Projects!$G$30="Yes",55&gt;=Projects!$C$30,55&lt;Projects!$C$30+Projects!$D$30),Projects!$B$30*INDEX(Curves!$B$4:$AO$4,1,55-Projects!$C$30+1),0)+IF(AND(Projects!$G$31="Yes",55&gt;=Projects!$C$31,55&lt;Projects!$C$31+Projects!$D$31),Projects!$B$31*INDEX(Curves!$B$4:$AO$4,1,55-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$4:$AO$4,1,55-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$4:$AO$4,1,55-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$4:$AO$4,1,55-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$4:$AO$4,1,55-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$4:$AO$4,1,55-Projects!$C$45+1),0)+IF(AND(Projects!$G$46="Yes",55&gt;=Projects!$C$46,55&lt;Projects!$C$46+Projects!$D$46),Projects!$B$46*INDEX(Curves!$B$4:$AO$4,1,55-Projects!$C$46+1),0)</f>
        <v>2219661</v>
      </c>
      <c r="BF107" s="1" t="n">
        <f aca="false">IF(AND(Projects!$G$30="Yes",56&gt;=Projects!$C$30,56&lt;Projects!$C$30+Projects!$D$30),Projects!$B$30*INDEX(Curves!$B$4:$AO$4,1,56-Projects!$C$30+1),0)+IF(AND(Projects!$G$31="Yes",56&gt;=Projects!$C$31,56&lt;Projects!$C$31+Projects!$D$31),Projects!$B$31*INDEX(Curves!$B$4:$AO$4,1,56-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$4:$AO$4,1,56-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$4:$AO$4,1,56-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$4:$AO$4,1,56-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$4:$AO$4,1,56-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$4:$AO$4,1,56-Projects!$C$45+1),0)+IF(AND(Projects!$G$46="Yes",56&gt;=Projects!$C$46,56&lt;Projects!$C$46+Projects!$D$46),Projects!$B$46*INDEX(Curves!$B$4:$AO$4,1,56-Projects!$C$46+1),0)</f>
        <v>2921964</v>
      </c>
      <c r="BG107" s="1" t="n">
        <f aca="false">IF(AND(Projects!$G$30="Yes",57&gt;=Projects!$C$30,57&lt;Projects!$C$30+Projects!$D$30),Projects!$B$30*INDEX(Curves!$B$4:$AO$4,1,57-Projects!$C$30+1),0)+IF(AND(Projects!$G$31="Yes",57&gt;=Projects!$C$31,57&lt;Projects!$C$31+Projects!$D$31),Projects!$B$31*INDEX(Curves!$B$4:$AO$4,1,57-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$4:$AO$4,1,57-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$4:$AO$4,1,57-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$4:$AO$4,1,57-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$4:$AO$4,1,57-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$4:$AO$4,1,57-Projects!$C$45+1),0)+IF(AND(Projects!$G$46="Yes",57&gt;=Projects!$C$46,57&lt;Projects!$C$46+Projects!$D$46),Projects!$B$46*INDEX(Curves!$B$4:$AO$4,1,57-Projects!$C$46+1),0)</f>
        <v>3295551</v>
      </c>
      <c r="BH107" s="1" t="n">
        <f aca="false">IF(AND(Projects!$G$30="Yes",58&gt;=Projects!$C$30,58&lt;Projects!$C$30+Projects!$D$30),Projects!$B$30*INDEX(Curves!$B$4:$AO$4,1,58-Projects!$C$30+1),0)+IF(AND(Projects!$G$31="Yes",58&gt;=Projects!$C$31,58&lt;Projects!$C$31+Projects!$D$31),Projects!$B$31*INDEX(Curves!$B$4:$AO$4,1,58-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$4:$AO$4,1,58-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$4:$AO$4,1,58-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$4:$AO$4,1,58-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$4:$AO$4,1,58-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$4:$AO$4,1,58-Projects!$C$45+1),0)+IF(AND(Projects!$G$46="Yes",58&gt;=Projects!$C$46,58&lt;Projects!$C$46+Projects!$D$46),Projects!$B$46*INDEX(Curves!$B$4:$AO$4,1,58-Projects!$C$46+1),0)</f>
        <v>4112652</v>
      </c>
      <c r="BI107" s="1" t="n">
        <f aca="false">IF(AND(Projects!$G$30="Yes",59&gt;=Projects!$C$30,59&lt;Projects!$C$30+Projects!$D$30),Projects!$B$30*INDEX(Curves!$B$4:$AO$4,1,59-Projects!$C$30+1),0)+IF(AND(Projects!$G$31="Yes",59&gt;=Projects!$C$31,59&lt;Projects!$C$31+Projects!$D$31),Projects!$B$31*INDEX(Curves!$B$4:$AO$4,1,59-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$4:$AO$4,1,59-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$4:$AO$4,1,59-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$4:$AO$4,1,59-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$4:$AO$4,1,59-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$4:$AO$4,1,59-Projects!$C$45+1),0)+IF(AND(Projects!$G$46="Yes",59&gt;=Projects!$C$46,59&lt;Projects!$C$46+Projects!$D$46),Projects!$B$46*INDEX(Curves!$B$4:$AO$4,1,59-Projects!$C$46+1),0)</f>
        <v>4512030</v>
      </c>
      <c r="BJ107" s="1" t="n">
        <f aca="false">IF(AND(Projects!$G$30="Yes",60&gt;=Projects!$C$30,60&lt;Projects!$C$30+Projects!$D$30),Projects!$B$30*INDEX(Curves!$B$4:$AO$4,1,60-Projects!$C$30+1),0)+IF(AND(Projects!$G$31="Yes",60&gt;=Projects!$C$31,60&lt;Projects!$C$31+Projects!$D$31),Projects!$B$31*INDEX(Curves!$B$4:$AO$4,1,60-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$4:$AO$4,1,60-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$4:$AO$4,1,60-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$4:$AO$4,1,60-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$4:$AO$4,1,60-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$4:$AO$4,1,60-Projects!$C$45+1),0)+IF(AND(Projects!$G$46="Yes",60&gt;=Projects!$C$46,60&lt;Projects!$C$46+Projects!$D$46),Projects!$B$46*INDEX(Curves!$B$4:$AO$4,1,60-Projects!$C$46+1),0)</f>
        <v>5247912</v>
      </c>
      <c r="BK107" s="1" t="n">
        <f aca="false">IF(AND(Projects!$G$30="Yes",61&gt;=Projects!$C$30,61&lt;Projects!$C$30+Projects!$D$30),Projects!$B$30*INDEX(Curves!$B$4:$AO$4,1,61-Projects!$C$30+1),0)+IF(AND(Projects!$G$31="Yes",61&gt;=Projects!$C$31,61&lt;Projects!$C$31+Projects!$D$31),Projects!$B$31*INDEX(Curves!$B$4:$AO$4,1,61-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$4:$AO$4,1,61-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$4:$AO$4,1,61-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$4:$AO$4,1,61-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$4:$AO$4,1,61-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$4:$AO$4,1,61-Projects!$C$45+1),0)+IF(AND(Projects!$G$46="Yes",61&gt;=Projects!$C$46,61&lt;Projects!$C$46+Projects!$D$46),Projects!$B$46*INDEX(Curves!$B$4:$AO$4,1,61-Projects!$C$46+1),0)</f>
        <v>5600121</v>
      </c>
      <c r="BL107" s="1" t="n">
        <f aca="false">IF(AND(Projects!$G$30="Yes",62&gt;=Projects!$C$30,62&lt;Projects!$C$30+Projects!$D$30),Projects!$B$30*INDEX(Curves!$B$4:$AO$4,1,62-Projects!$C$30+1),0)+IF(AND(Projects!$G$31="Yes",62&gt;=Projects!$C$31,62&lt;Projects!$C$31+Projects!$D$31),Projects!$B$31*INDEX(Curves!$B$4:$AO$4,1,62-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$4:$AO$4,1,62-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$4:$AO$4,1,62-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$4:$AO$4,1,62-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$4:$AO$4,1,62-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$4:$AO$4,1,62-Projects!$C$45+1),0)+IF(AND(Projects!$G$46="Yes",62&gt;=Projects!$C$46,62&lt;Projects!$C$46+Projects!$D$46),Projects!$B$46*INDEX(Curves!$B$4:$AO$4,1,62-Projects!$C$46+1),0)</f>
        <v>6342726</v>
      </c>
      <c r="BM107" s="1" t="n">
        <f aca="false">IF(AND(Projects!$G$30="Yes",63&gt;=Projects!$C$30,63&lt;Projects!$C$30+Projects!$D$30),Projects!$B$30*INDEX(Curves!$B$4:$AO$4,1,63-Projects!$C$30+1),0)+IF(AND(Projects!$G$31="Yes",63&gt;=Projects!$C$31,63&lt;Projects!$C$31+Projects!$D$31),Projects!$B$31*INDEX(Curves!$B$4:$AO$4,1,63-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$4:$AO$4,1,63-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$4:$AO$4,1,63-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$4:$AO$4,1,63-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$4:$AO$4,1,63-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$4:$AO$4,1,63-Projects!$C$45+1),0)+IF(AND(Projects!$G$46="Yes",63&gt;=Projects!$C$46,63&lt;Projects!$C$46+Projects!$D$46),Projects!$B$46*INDEX(Curves!$B$4:$AO$4,1,63-Projects!$C$46+1),0)</f>
        <v>6619986</v>
      </c>
      <c r="BN107" s="1" t="n">
        <f aca="false">IF(AND(Projects!$G$30="Yes",64&gt;=Projects!$C$30,64&lt;Projects!$C$30+Projects!$D$30),Projects!$B$30*INDEX(Curves!$B$4:$AO$4,1,64-Projects!$C$30+1),0)+IF(AND(Projects!$G$31="Yes",64&gt;=Projects!$C$31,64&lt;Projects!$C$31+Projects!$D$31),Projects!$B$31*INDEX(Curves!$B$4:$AO$4,1,64-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$4:$AO$4,1,64-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$4:$AO$4,1,64-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$4:$AO$4,1,64-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$4:$AO$4,1,64-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$4:$AO$4,1,64-Projects!$C$45+1),0)+IF(AND(Projects!$G$46="Yes",64&gt;=Projects!$C$46,64&lt;Projects!$C$46+Projects!$D$46),Projects!$B$46*INDEX(Curves!$B$4:$AO$4,1,64-Projects!$C$46+1),0)</f>
        <v>7194663</v>
      </c>
      <c r="BO107" s="1" t="n">
        <f aca="false">IF(AND(Projects!$G$30="Yes",65&gt;=Projects!$C$30,65&lt;Projects!$C$30+Projects!$D$30),Projects!$B$30*INDEX(Curves!$B$4:$AO$4,1,65-Projects!$C$30+1),0)+IF(AND(Projects!$G$31="Yes",65&gt;=Projects!$C$31,65&lt;Projects!$C$31+Projects!$D$31),Projects!$B$31*INDEX(Curves!$B$4:$AO$4,1,65-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$4:$AO$4,1,65-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$4:$AO$4,1,65-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$4:$AO$4,1,65-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$4:$AO$4,1,65-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$4:$AO$4,1,65-Projects!$C$45+1),0)+IF(AND(Projects!$G$46="Yes",65&gt;=Projects!$C$46,65&lt;Projects!$C$46+Projects!$D$46),Projects!$B$46*INDEX(Curves!$B$4:$AO$4,1,65-Projects!$C$46+1),0)</f>
        <v>7357119</v>
      </c>
      <c r="BP107" s="1" t="n">
        <f aca="false">IF(AND(Projects!$G$30="Yes",66&gt;=Projects!$C$30,66&lt;Projects!$C$30+Projects!$D$30),Projects!$B$30*INDEX(Curves!$B$4:$AO$4,1,66-Projects!$C$30+1),0)+IF(AND(Projects!$G$31="Yes",66&gt;=Projects!$C$31,66&lt;Projects!$C$31+Projects!$D$31),Projects!$B$31*INDEX(Curves!$B$4:$AO$4,1,66-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$4:$AO$4,1,66-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$4:$AO$4,1,66-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$4:$AO$4,1,66-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$4:$AO$4,1,66-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$4:$AO$4,1,66-Projects!$C$45+1),0)+IF(AND(Projects!$G$46="Yes",66&gt;=Projects!$C$46,66&lt;Projects!$C$46+Projects!$D$46),Projects!$B$46*INDEX(Curves!$B$4:$AO$4,1,66-Projects!$C$46+1),0)</f>
        <v>7813329</v>
      </c>
      <c r="BQ107" s="1" t="n">
        <f aca="false">IF(AND(Projects!$G$30="Yes",67&gt;=Projects!$C$30,67&lt;Projects!$C$30+Projects!$D$30),Projects!$B$30*INDEX(Curves!$B$4:$AO$4,1,67-Projects!$C$30+1),0)+IF(AND(Projects!$G$31="Yes",67&gt;=Projects!$C$31,67&lt;Projects!$C$31+Projects!$D$31),Projects!$B$31*INDEX(Curves!$B$4:$AO$4,1,67-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$4:$AO$4,1,67-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$4:$AO$4,1,67-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$4:$AO$4,1,67-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$4:$AO$4,1,67-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$4:$AO$4,1,67-Projects!$C$45+1),0)+IF(AND(Projects!$G$46="Yes",67&gt;=Projects!$C$46,67&lt;Projects!$C$46+Projects!$D$46),Projects!$B$46*INDEX(Curves!$B$4:$AO$4,1,67-Projects!$C$46+1),0)</f>
        <v>7859112</v>
      </c>
      <c r="BR107" s="1" t="n">
        <f aca="false">IF(AND(Projects!$G$30="Yes",68&gt;=Projects!$C$30,68&lt;Projects!$C$30+Projects!$D$30),Projects!$B$30*INDEX(Curves!$B$4:$AO$4,1,68-Projects!$C$30+1),0)+IF(AND(Projects!$G$31="Yes",68&gt;=Projects!$C$31,68&lt;Projects!$C$31+Projects!$D$31),Projects!$B$31*INDEX(Curves!$B$4:$AO$4,1,68-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$4:$AO$4,1,68-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$4:$AO$4,1,68-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$4:$AO$4,1,68-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$4:$AO$4,1,68-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$4:$AO$4,1,68-Projects!$C$45+1),0)+IF(AND(Projects!$G$46="Yes",68&gt;=Projects!$C$46,68&lt;Projects!$C$46+Projects!$D$46),Projects!$B$46*INDEX(Curves!$B$4:$AO$4,1,68-Projects!$C$46+1),0)</f>
        <v>8284584</v>
      </c>
      <c r="BS107" s="1" t="n">
        <f aca="false">IF(AND(Projects!$G$30="Yes",69&gt;=Projects!$C$30,69&lt;Projects!$C$30+Projects!$D$30),Projects!$B$30*INDEX(Curves!$B$4:$AO$4,1,69-Projects!$C$30+1),0)+IF(AND(Projects!$G$31="Yes",69&gt;=Projects!$C$31,69&lt;Projects!$C$31+Projects!$D$31),Projects!$B$31*INDEX(Curves!$B$4:$AO$4,1,69-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$4:$AO$4,1,69-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$4:$AO$4,1,69-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$4:$AO$4,1,69-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$4:$AO$4,1,69-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$4:$AO$4,1,69-Projects!$C$45+1),0)+IF(AND(Projects!$G$46="Yes",69&gt;=Projects!$C$46,69&lt;Projects!$C$46+Projects!$D$46),Projects!$B$46*INDEX(Curves!$B$4:$AO$4,1,69-Projects!$C$46+1),0)</f>
        <v>7934610</v>
      </c>
      <c r="BT107" s="1" t="n">
        <f aca="false">IF(AND(Projects!$G$30="Yes",70&gt;=Projects!$C$30,70&lt;Projects!$C$30+Projects!$D$30),Projects!$B$30*INDEX(Curves!$B$4:$AO$4,1,70-Projects!$C$30+1),0)+IF(AND(Projects!$G$31="Yes",70&gt;=Projects!$C$31,70&lt;Projects!$C$31+Projects!$D$31),Projects!$B$31*INDEX(Curves!$B$4:$AO$4,1,70-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$4:$AO$4,1,70-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$4:$AO$4,1,70-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$4:$AO$4,1,70-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$4:$AO$4,1,70-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$4:$AO$4,1,70-Projects!$C$45+1),0)+IF(AND(Projects!$G$46="Yes",70&gt;=Projects!$C$46,70&lt;Projects!$C$46+Projects!$D$46),Projects!$B$46*INDEX(Curves!$B$4:$AO$4,1,70-Projects!$C$46+1),0)</f>
        <v>8284584</v>
      </c>
      <c r="BU107" s="1" t="n">
        <f aca="false">IF(AND(Projects!$G$30="Yes",71&gt;=Projects!$C$30,71&lt;Projects!$C$30+Projects!$D$30),Projects!$B$30*INDEX(Curves!$B$4:$AO$4,1,71-Projects!$C$30+1),0)+IF(AND(Projects!$G$31="Yes",71&gt;=Projects!$C$31,71&lt;Projects!$C$31+Projects!$D$31),Projects!$B$31*INDEX(Curves!$B$4:$AO$4,1,71-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$4:$AO$4,1,71-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$4:$AO$4,1,71-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$4:$AO$4,1,71-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$4:$AO$4,1,71-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$4:$AO$4,1,71-Projects!$C$45+1),0)+IF(AND(Projects!$G$46="Yes",71&gt;=Projects!$C$46,71&lt;Projects!$C$46+Projects!$D$46),Projects!$B$46*INDEX(Curves!$B$4:$AO$4,1,71-Projects!$C$46+1),0)</f>
        <v>7859112</v>
      </c>
      <c r="BV107" s="1" t="n">
        <f aca="false">IF(AND(Projects!$G$30="Yes",72&gt;=Projects!$C$30,72&lt;Projects!$C$30+Projects!$D$30),Projects!$B$30*INDEX(Curves!$B$4:$AO$4,1,72-Projects!$C$30+1),0)+IF(AND(Projects!$G$31="Yes",72&gt;=Projects!$C$31,72&lt;Projects!$C$31+Projects!$D$31),Projects!$B$31*INDEX(Curves!$B$4:$AO$4,1,72-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$4:$AO$4,1,72-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$4:$AO$4,1,72-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$4:$AO$4,1,72-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$4:$AO$4,1,72-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$4:$AO$4,1,72-Projects!$C$45+1),0)+IF(AND(Projects!$G$46="Yes",72&gt;=Projects!$C$46,72&lt;Projects!$C$46+Projects!$D$46),Projects!$B$46*INDEX(Curves!$B$4:$AO$4,1,72-Projects!$C$46+1),0)</f>
        <v>8211084</v>
      </c>
      <c r="BW107" s="1" t="n">
        <f aca="false">IF(AND(Projects!$G$30="Yes",73&gt;=Projects!$C$30,73&lt;Projects!$C$30+Projects!$D$30),Projects!$B$30*INDEX(Curves!$B$4:$AO$4,1,73-Projects!$C$30+1),0)+IF(AND(Projects!$G$31="Yes",73&gt;=Projects!$C$31,73&lt;Projects!$C$31+Projects!$D$31),Projects!$B$31*INDEX(Curves!$B$4:$AO$4,1,73-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$4:$AO$4,1,73-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$4:$AO$4,1,73-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$4:$AO$4,1,73-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$4:$AO$4,1,73-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$4:$AO$4,1,73-Projects!$C$45+1),0)+IF(AND(Projects!$G$46="Yes",73&gt;=Projects!$C$46,73&lt;Projects!$C$46+Projects!$D$46),Projects!$B$46*INDEX(Curves!$B$4:$AO$4,1,73-Projects!$C$46+1),0)</f>
        <v>7848534</v>
      </c>
      <c r="BX107" s="1" t="n">
        <f aca="false">IF(AND(Projects!$G$30="Yes",74&gt;=Projects!$C$30,74&lt;Projects!$C$30+Projects!$D$30),Projects!$B$30*INDEX(Curves!$B$4:$AO$4,1,74-Projects!$C$30+1),0)+IF(AND(Projects!$G$31="Yes",74&gt;=Projects!$C$31,74&lt;Projects!$C$31+Projects!$D$31),Projects!$B$31*INDEX(Curves!$B$4:$AO$4,1,74-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$4:$AO$4,1,74-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$4:$AO$4,1,74-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$4:$AO$4,1,74-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$4:$AO$4,1,74-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$4:$AO$4,1,74-Projects!$C$45+1),0)+IF(AND(Projects!$G$46="Yes",74&gt;=Projects!$C$46,74&lt;Projects!$C$46+Projects!$D$46),Projects!$B$46*INDEX(Curves!$B$4:$AO$4,1,74-Projects!$C$46+1),0)</f>
        <v>8264199</v>
      </c>
      <c r="BY107" s="1" t="n">
        <f aca="false">IF(AND(Projects!$G$30="Yes",75&gt;=Projects!$C$30,75&lt;Projects!$C$30+Projects!$D$30),Projects!$B$30*INDEX(Curves!$B$4:$AO$4,1,75-Projects!$C$30+1),0)+IF(AND(Projects!$G$31="Yes",75&gt;=Projects!$C$31,75&lt;Projects!$C$31+Projects!$D$31),Projects!$B$31*INDEX(Curves!$B$4:$AO$4,1,75-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$4:$AO$4,1,75-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$4:$AO$4,1,75-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$4:$AO$4,1,75-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$4:$AO$4,1,75-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$4:$AO$4,1,75-Projects!$C$45+1),0)+IF(AND(Projects!$G$46="Yes",75&gt;=Projects!$C$46,75&lt;Projects!$C$46+Projects!$D$46),Projects!$B$46*INDEX(Curves!$B$4:$AO$4,1,75-Projects!$C$46+1),0)</f>
        <v>7905864</v>
      </c>
      <c r="BZ107" s="1" t="n">
        <f aca="false">IF(AND(Projects!$G$30="Yes",76&gt;=Projects!$C$30,76&lt;Projects!$C$30+Projects!$D$30),Projects!$B$30*INDEX(Curves!$B$4:$AO$4,1,76-Projects!$C$30+1),0)+IF(AND(Projects!$G$31="Yes",76&gt;=Projects!$C$31,76&lt;Projects!$C$31+Projects!$D$31),Projects!$B$31*INDEX(Curves!$B$4:$AO$4,1,76-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$4:$AO$4,1,76-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$4:$AO$4,1,76-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$4:$AO$4,1,76-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$4:$AO$4,1,76-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$4:$AO$4,1,76-Projects!$C$45+1),0)+IF(AND(Projects!$G$46="Yes",76&gt;=Projects!$C$46,76&lt;Projects!$C$46+Projects!$D$46),Projects!$B$46*INDEX(Curves!$B$4:$AO$4,1,76-Projects!$C$46+1),0)</f>
        <v>8249427</v>
      </c>
      <c r="CA107" s="1" t="n">
        <f aca="false">IF(AND(Projects!$G$30="Yes",77&gt;=Projects!$C$30,77&lt;Projects!$C$30+Projects!$D$30),Projects!$B$30*INDEX(Curves!$B$4:$AO$4,1,77-Projects!$C$30+1),0)+IF(AND(Projects!$G$31="Yes",77&gt;=Projects!$C$31,77&lt;Projects!$C$31+Projects!$D$31),Projects!$B$31*INDEX(Curves!$B$4:$AO$4,1,77-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$4:$AO$4,1,77-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$4:$AO$4,1,77-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$4:$AO$4,1,77-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$4:$AO$4,1,77-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$4:$AO$4,1,77-Projects!$C$45+1),0)+IF(AND(Projects!$G$46="Yes",77&gt;=Projects!$C$46,77&lt;Projects!$C$46+Projects!$D$46),Projects!$B$46*INDEX(Curves!$B$4:$AO$4,1,77-Projects!$C$46+1),0)</f>
        <v>7819782</v>
      </c>
      <c r="CB107" s="1" t="n">
        <f aca="false">IF(AND(Projects!$G$30="Yes",78&gt;=Projects!$C$30,78&lt;Projects!$C$30+Projects!$D$30),Projects!$B$30*INDEX(Curves!$B$4:$AO$4,1,78-Projects!$C$30+1),0)+IF(AND(Projects!$G$31="Yes",78&gt;=Projects!$C$31,78&lt;Projects!$C$31+Projects!$D$31),Projects!$B$31*INDEX(Curves!$B$4:$AO$4,1,78-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$4:$AO$4,1,78-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$4:$AO$4,1,78-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$4:$AO$4,1,78-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$4:$AO$4,1,78-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$4:$AO$4,1,78-Projects!$C$45+1),0)+IF(AND(Projects!$G$46="Yes",78&gt;=Projects!$C$46,78&lt;Projects!$C$46+Projects!$D$46),Projects!$B$46*INDEX(Curves!$B$4:$AO$4,1,78-Projects!$C$46+1),0)</f>
        <v>8169876</v>
      </c>
      <c r="CC107" s="1" t="n">
        <f aca="false">IF(AND(Projects!$G$30="Yes",79&gt;=Projects!$C$30,79&lt;Projects!$C$30+Projects!$D$30),Projects!$B$30*INDEX(Curves!$B$4:$AO$4,1,79-Projects!$C$30+1),0)+IF(AND(Projects!$G$31="Yes",79&gt;=Projects!$C$31,79&lt;Projects!$C$31+Projects!$D$31),Projects!$B$31*INDEX(Curves!$B$4:$AO$4,1,79-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$4:$AO$4,1,79-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$4:$AO$4,1,79-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$4:$AO$4,1,79-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$4:$AO$4,1,79-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$4:$AO$4,1,79-Projects!$C$45+1),0)+IF(AND(Projects!$G$46="Yes",79&gt;=Projects!$C$46,79&lt;Projects!$C$46+Projects!$D$46),Projects!$B$46*INDEX(Curves!$B$4:$AO$4,1,79-Projects!$C$46+1),0)</f>
        <v>7807581</v>
      </c>
      <c r="CD107" s="1" t="n">
        <f aca="false">IF(AND(Projects!$G$30="Yes",80&gt;=Projects!$C$30,80&lt;Projects!$C$30+Projects!$D$30),Projects!$B$30*INDEX(Curves!$B$4:$AO$4,1,80-Projects!$C$30+1),0)+IF(AND(Projects!$G$31="Yes",80&gt;=Projects!$C$31,80&lt;Projects!$C$31+Projects!$D$31),Projects!$B$31*INDEX(Curves!$B$4:$AO$4,1,80-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$4:$AO$4,1,80-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$4:$AO$4,1,80-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$4:$AO$4,1,80-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$4:$AO$4,1,80-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$4:$AO$4,1,80-Projects!$C$45+1),0)+IF(AND(Projects!$G$46="Yes",80&gt;=Projects!$C$46,80&lt;Projects!$C$46+Projects!$D$46),Projects!$B$46*INDEX(Curves!$B$4:$AO$4,1,80-Projects!$C$46+1),0)</f>
        <v>8225304</v>
      </c>
      <c r="CE107" s="1" t="n">
        <f aca="false">IF(AND(Projects!$G$30="Yes",81&gt;=Projects!$C$30,81&lt;Projects!$C$30+Projects!$D$30),Projects!$B$30*INDEX(Curves!$B$4:$AO$4,1,81-Projects!$C$30+1),0)+IF(AND(Projects!$G$31="Yes",81&gt;=Projects!$C$31,81&lt;Projects!$C$31+Projects!$D$31),Projects!$B$31*INDEX(Curves!$B$4:$AO$4,1,81-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$4:$AO$4,1,81-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$4:$AO$4,1,81-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$4:$AO$4,1,81-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$4:$AO$4,1,81-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$4:$AO$4,1,81-Projects!$C$45+1),0)+IF(AND(Projects!$G$46="Yes",81&gt;=Projects!$C$46,81&lt;Projects!$C$46+Projects!$D$46),Projects!$B$46*INDEX(Curves!$B$4:$AO$4,1,81-Projects!$C$46+1),0)</f>
        <v>7807581</v>
      </c>
      <c r="CF107" s="1" t="n">
        <f aca="false">IF(AND(Projects!$G$30="Yes",82&gt;=Projects!$C$30,82&lt;Projects!$C$30+Projects!$D$30),Projects!$B$30*INDEX(Curves!$B$4:$AO$4,1,82-Projects!$C$30+1),0)+IF(AND(Projects!$G$31="Yes",82&gt;=Projects!$C$31,82&lt;Projects!$C$31+Projects!$D$31),Projects!$B$31*INDEX(Curves!$B$4:$AO$4,1,82-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$4:$AO$4,1,82-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$4:$AO$4,1,82-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$4:$AO$4,1,82-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$4:$AO$4,1,82-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$4:$AO$4,1,82-Projects!$C$45+1),0)+IF(AND(Projects!$G$46="Yes",82&gt;=Projects!$C$46,82&lt;Projects!$C$46+Projects!$D$46),Projects!$B$46*INDEX(Curves!$B$4:$AO$4,1,82-Projects!$C$46+1),0)</f>
        <v>8169876</v>
      </c>
      <c r="CG107" s="1" t="n">
        <f aca="false">IF(AND(Projects!$G$30="Yes",83&gt;=Projects!$C$30,83&lt;Projects!$C$30+Projects!$D$30),Projects!$B$30*INDEX(Curves!$B$4:$AO$4,1,83-Projects!$C$30+1),0)+IF(AND(Projects!$G$31="Yes",83&gt;=Projects!$C$31,83&lt;Projects!$C$31+Projects!$D$31),Projects!$B$31*INDEX(Curves!$B$4:$AO$4,1,83-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$4:$AO$4,1,83-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$4:$AO$4,1,83-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$4:$AO$4,1,83-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$4:$AO$4,1,83-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$4:$AO$4,1,83-Projects!$C$45+1),0)+IF(AND(Projects!$G$46="Yes",83&gt;=Projects!$C$46,83&lt;Projects!$C$46+Projects!$D$46),Projects!$B$46*INDEX(Curves!$B$4:$AO$4,1,83-Projects!$C$46+1),0)</f>
        <v>7819782</v>
      </c>
      <c r="CH107" s="1" t="n">
        <f aca="false">IF(AND(Projects!$G$30="Yes",84&gt;=Projects!$C$30,84&lt;Projects!$C$30+Projects!$D$30),Projects!$B$30*INDEX(Curves!$B$4:$AO$4,1,84-Projects!$C$30+1),0)+IF(AND(Projects!$G$31="Yes",84&gt;=Projects!$C$31,84&lt;Projects!$C$31+Projects!$D$31),Projects!$B$31*INDEX(Curves!$B$4:$AO$4,1,84-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$4:$AO$4,1,84-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$4:$AO$4,1,84-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$4:$AO$4,1,84-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$4:$AO$4,1,84-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$4:$AO$4,1,84-Projects!$C$45+1),0)+IF(AND(Projects!$G$46="Yes",84&gt;=Projects!$C$46,84&lt;Projects!$C$46+Projects!$D$46),Projects!$B$46*INDEX(Curves!$B$4:$AO$4,1,84-Projects!$C$46+1),0)</f>
        <v>7772121</v>
      </c>
    </row>
    <row r="108" customFormat="false" ht="15" hidden="false" customHeight="false" outlineLevel="0" collapsed="false">
      <c r="A108" s="1" t="s">
        <v>603</v>
      </c>
      <c r="C108" s="1" t="n">
        <f aca="false"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 s="1" t="n">
        <f aca="false"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 s="1" t="n">
        <f aca="false"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 s="1" t="n">
        <f aca="false"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 s="1" t="n">
        <f aca="false"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 s="1" t="n">
        <f aca="false"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 s="1" t="n">
        <f aca="false"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 s="1" t="n">
        <f aca="false"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 s="1" t="n">
        <f aca="false"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 s="1" t="n">
        <f aca="false"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 s="1" t="n">
        <f aca="false"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 s="1" t="n">
        <f aca="false"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 s="1" t="n">
        <f aca="false"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 s="1" t="n">
        <f aca="false"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 s="1" t="n">
        <f aca="false"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 s="1" t="n">
        <f aca="false"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 s="1" t="n">
        <f aca="false"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 s="1" t="n">
        <f aca="false"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 s="1" t="n">
        <f aca="false"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 s="1" t="n">
        <f aca="false"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 s="1" t="n">
        <f aca="false"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 s="1" t="n">
        <f aca="false"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 s="1" t="n">
        <f aca="false"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 s="1" t="n">
        <f aca="false"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 s="1" t="n">
        <f aca="false"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 s="1" t="n">
        <f aca="false"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 s="1" t="n">
        <f aca="false"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 s="1" t="n">
        <f aca="false"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 s="1" t="n">
        <f aca="false"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 s="1" t="n">
        <f aca="false"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 s="1" t="n">
        <f aca="false"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 s="1" t="n">
        <f aca="false"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 s="1" t="n">
        <f aca="false"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 s="1" t="n">
        <f aca="false"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 s="1" t="n">
        <f aca="false"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 s="1" t="n">
        <f aca="false"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 s="1" t="n">
        <f aca="false"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 s="1" t="n">
        <f aca="false"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 s="1" t="n">
        <f aca="false"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 s="1" t="n">
        <f aca="false"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 s="1" t="n">
        <f aca="false"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 s="1" t="n">
        <f aca="false"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 s="1" t="n">
        <f aca="false"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 s="1" t="n">
        <f aca="false"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 s="1" t="n">
        <f aca="false"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 s="1" t="n">
        <f aca="false"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 s="1" t="n">
        <f aca="false"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 s="1" t="n">
        <f aca="false"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 s="1" t="n">
        <f aca="false"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 s="1" t="n">
        <f aca="false"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36525.974025974</v>
      </c>
      <c r="BA108" s="1" t="n">
        <f aca="false"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36525.974025974</v>
      </c>
      <c r="BB108" s="1" t="n">
        <f aca="false"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80357.1428571428</v>
      </c>
      <c r="BC108" s="1" t="n">
        <f aca="false"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80357.1428571428</v>
      </c>
      <c r="BD108" s="1" t="n">
        <f aca="false"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116883.116883117</v>
      </c>
      <c r="BE108" s="1" t="n">
        <f aca="false"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116883.116883117</v>
      </c>
      <c r="BF108" s="1" t="n">
        <f aca="false"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153409.090909091</v>
      </c>
      <c r="BG108" s="1" t="n">
        <f aca="false"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153409.090909091</v>
      </c>
      <c r="BH108" s="1" t="n">
        <f aca="false"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197240.25974026</v>
      </c>
      <c r="BI108" s="1" t="n">
        <f aca="false"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197240.25974026</v>
      </c>
      <c r="BJ108" s="1" t="n">
        <f aca="false"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233766.233766234</v>
      </c>
      <c r="BK108" s="1" t="n">
        <f aca="false"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233766.233766234</v>
      </c>
      <c r="BL108" s="1" t="n">
        <f aca="false"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277597.402597403</v>
      </c>
      <c r="BM108" s="1" t="n">
        <f aca="false"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277597.402597403</v>
      </c>
      <c r="BN108" s="1" t="n">
        <f aca="false"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314123.376623377</v>
      </c>
      <c r="BO108" s="1" t="n">
        <f aca="false"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314123.376623377</v>
      </c>
      <c r="BP108" s="1" t="n">
        <f aca="false"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350649.350649351</v>
      </c>
      <c r="BQ108" s="1" t="n">
        <f aca="false"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350649.350649351</v>
      </c>
      <c r="BR108" s="1" t="n">
        <f aca="false"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431006.493506493</v>
      </c>
      <c r="BS108" s="1" t="n">
        <f aca="false"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357954.545454545</v>
      </c>
      <c r="BT108" s="1" t="n">
        <f aca="false"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438311.688311688</v>
      </c>
      <c r="BU108" s="1" t="n">
        <f aca="false"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350649.350649351</v>
      </c>
      <c r="BV108" s="1" t="n">
        <f aca="false"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423701.298701299</v>
      </c>
      <c r="BW108" s="1" t="n">
        <f aca="false"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350649.350649351</v>
      </c>
      <c r="BX108" s="1" t="n">
        <f aca="false"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431006.493506493</v>
      </c>
      <c r="BY108" s="1" t="n">
        <f aca="false"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357954.545454545</v>
      </c>
      <c r="BZ108" s="1" t="n">
        <f aca="false"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438311.688311688</v>
      </c>
      <c r="CA108" s="1" t="n">
        <f aca="false"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350649.350649351</v>
      </c>
      <c r="CB108" s="1" t="n">
        <f aca="false"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423701.298701299</v>
      </c>
      <c r="CC108" s="1" t="n">
        <f aca="false"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350649.350649351</v>
      </c>
      <c r="CD108" s="1" t="n">
        <f aca="false"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438311.688311688</v>
      </c>
      <c r="CE108" s="1" t="n">
        <f aca="false"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350649.350649351</v>
      </c>
      <c r="CF108" s="1" t="n">
        <f aca="false"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423701.298701299</v>
      </c>
      <c r="CG108" s="1" t="n">
        <f aca="false"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350649.350649351</v>
      </c>
      <c r="CH108" s="1" t="n">
        <f aca="false"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387175.324675325</v>
      </c>
    </row>
    <row r="109" customFormat="false" ht="15" hidden="false" customHeight="false" outlineLevel="0" collapsed="false">
      <c r="A109" s="1" t="s">
        <v>604</v>
      </c>
      <c r="C109" s="1" t="n">
        <f aca="false"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$4:$AO$4,1,1-Projects!$C$31+1)*Assumptions!$B$11*0.95+0.05*Projects!$B$31*Assumptions!$B$11,Projects!$B$31*INDEX(Curves!$B$4:$AO$4,1,1-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$4:$AO$4,1,1-Projects!$C$34+1)*Assumptions!$B$11*0.95+0.05*Projects!$B$34*Assumptions!$B$11,Projects!$B$34*INDEX(Curves!$B$4:$AO$4,1,1-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$4:$AO$4,1,1-Projects!$C$36+1)*Assumptions!$B$11*0.95+0.05*Projects!$B$36*Assumptions!$B$11,Projects!$B$36*INDEX(Curves!$B$4:$AO$4,1,1-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$4:$AO$4,1,1-Projects!$C$39+1)*Assumptions!$B$11*0.95+0.05*Projects!$B$39*Assumptions!$B$11,Projects!$B$39*INDEX(Curves!$B$4:$AO$4,1,1-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$4:$AO$4,1,1-Projects!$C$42+1)*Assumptions!$B$11*0.95+0.05*Projects!$B$42*Assumptions!$B$11,Projects!$B$42*INDEX(Curves!$B$4:$AO$4,1,1-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$4:$AO$4,1,1-Projects!$C$45+1)*Assumptions!$B$11*0.95+0.05*Projects!$B$45*Assumptions!$B$11,Projects!$B$45*INDEX(Curves!$B$4:$AO$4,1,1-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 s="1" t="n">
        <f aca="false"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$4:$AO$4,1,2-Projects!$C$31+1)*Assumptions!$B$11*0.95+0.05*Projects!$B$31*Assumptions!$B$11,Projects!$B$31*INDEX(Curves!$B$4:$AO$4,1,2-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$4:$AO$4,1,2-Projects!$C$34+1)*Assumptions!$B$11*0.95+0.05*Projects!$B$34*Assumptions!$B$11,Projects!$B$34*INDEX(Curves!$B$4:$AO$4,1,2-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$4:$AO$4,1,2-Projects!$C$36+1)*Assumptions!$B$11*0.95+0.05*Projects!$B$36*Assumptions!$B$11,Projects!$B$36*INDEX(Curves!$B$4:$AO$4,1,2-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$4:$AO$4,1,2-Projects!$C$39+1)*Assumptions!$B$11*0.95+0.05*Projects!$B$39*Assumptions!$B$11,Projects!$B$39*INDEX(Curves!$B$4:$AO$4,1,2-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$4:$AO$4,1,2-Projects!$C$42+1)*Assumptions!$B$11*0.95+0.05*Projects!$B$42*Assumptions!$B$11,Projects!$B$42*INDEX(Curves!$B$4:$AO$4,1,2-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$4:$AO$4,1,2-Projects!$C$45+1)*Assumptions!$B$11*0.95+0.05*Projects!$B$45*Assumptions!$B$11,Projects!$B$45*INDEX(Curves!$B$4:$AO$4,1,2-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 s="1" t="n">
        <f aca="false"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$4:$AO$4,1,3-Projects!$C$31+1)*Assumptions!$B$11*0.95+0.05*Projects!$B$31*Assumptions!$B$11,Projects!$B$31*INDEX(Curves!$B$4:$AO$4,1,3-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$4:$AO$4,1,3-Projects!$C$34+1)*Assumptions!$B$11*0.95+0.05*Projects!$B$34*Assumptions!$B$11,Projects!$B$34*INDEX(Curves!$B$4:$AO$4,1,3-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$4:$AO$4,1,3-Projects!$C$36+1)*Assumptions!$B$11*0.95+0.05*Projects!$B$36*Assumptions!$B$11,Projects!$B$36*INDEX(Curves!$B$4:$AO$4,1,3-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$4:$AO$4,1,3-Projects!$C$39+1)*Assumptions!$B$11*0.95+0.05*Projects!$B$39*Assumptions!$B$11,Projects!$B$39*INDEX(Curves!$B$4:$AO$4,1,3-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$4:$AO$4,1,3-Projects!$C$42+1)*Assumptions!$B$11*0.95+0.05*Projects!$B$42*Assumptions!$B$11,Projects!$B$42*INDEX(Curves!$B$4:$AO$4,1,3-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$4:$AO$4,1,3-Projects!$C$45+1)*Assumptions!$B$11*0.95+0.05*Projects!$B$45*Assumptions!$B$11,Projects!$B$45*INDEX(Curves!$B$4:$AO$4,1,3-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 s="1" t="n">
        <f aca="false"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$4:$AO$4,1,4-Projects!$C$31+1)*Assumptions!$B$11*0.95+0.05*Projects!$B$31*Assumptions!$B$11,Projects!$B$31*INDEX(Curves!$B$4:$AO$4,1,4-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$4:$AO$4,1,4-Projects!$C$34+1)*Assumptions!$B$11*0.95+0.05*Projects!$B$34*Assumptions!$B$11,Projects!$B$34*INDEX(Curves!$B$4:$AO$4,1,4-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$4:$AO$4,1,4-Projects!$C$36+1)*Assumptions!$B$11*0.95+0.05*Projects!$B$36*Assumptions!$B$11,Projects!$B$36*INDEX(Curves!$B$4:$AO$4,1,4-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$4:$AO$4,1,4-Projects!$C$39+1)*Assumptions!$B$11*0.95+0.05*Projects!$B$39*Assumptions!$B$11,Projects!$B$39*INDEX(Curves!$B$4:$AO$4,1,4-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$4:$AO$4,1,4-Projects!$C$42+1)*Assumptions!$B$11*0.95+0.05*Projects!$B$42*Assumptions!$B$11,Projects!$B$42*INDEX(Curves!$B$4:$AO$4,1,4-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$4:$AO$4,1,4-Projects!$C$45+1)*Assumptions!$B$11*0.95+0.05*Projects!$B$45*Assumptions!$B$11,Projects!$B$45*INDEX(Curves!$B$4:$AO$4,1,4-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 s="1" t="n">
        <f aca="false"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$4:$AO$4,1,5-Projects!$C$31+1)*Assumptions!$B$11*0.95+0.05*Projects!$B$31*Assumptions!$B$11,Projects!$B$31*INDEX(Curves!$B$4:$AO$4,1,5-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$4:$AO$4,1,5-Projects!$C$34+1)*Assumptions!$B$11*0.95+0.05*Projects!$B$34*Assumptions!$B$11,Projects!$B$34*INDEX(Curves!$B$4:$AO$4,1,5-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$4:$AO$4,1,5-Projects!$C$36+1)*Assumptions!$B$11*0.95+0.05*Projects!$B$36*Assumptions!$B$11,Projects!$B$36*INDEX(Curves!$B$4:$AO$4,1,5-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$4:$AO$4,1,5-Projects!$C$39+1)*Assumptions!$B$11*0.95+0.05*Projects!$B$39*Assumptions!$B$11,Projects!$B$39*INDEX(Curves!$B$4:$AO$4,1,5-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$4:$AO$4,1,5-Projects!$C$42+1)*Assumptions!$B$11*0.95+0.05*Projects!$B$42*Assumptions!$B$11,Projects!$B$42*INDEX(Curves!$B$4:$AO$4,1,5-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$4:$AO$4,1,5-Projects!$C$45+1)*Assumptions!$B$11*0.95+0.05*Projects!$B$45*Assumptions!$B$11,Projects!$B$45*INDEX(Curves!$B$4:$AO$4,1,5-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 s="1" t="n">
        <f aca="false"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$4:$AO$4,1,6-Projects!$C$31+1)*Assumptions!$B$11*0.95+0.05*Projects!$B$31*Assumptions!$B$11,Projects!$B$31*INDEX(Curves!$B$4:$AO$4,1,6-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$4:$AO$4,1,6-Projects!$C$34+1)*Assumptions!$B$11*0.95+0.05*Projects!$B$34*Assumptions!$B$11,Projects!$B$34*INDEX(Curves!$B$4:$AO$4,1,6-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$4:$AO$4,1,6-Projects!$C$36+1)*Assumptions!$B$11*0.95+0.05*Projects!$B$36*Assumptions!$B$11,Projects!$B$36*INDEX(Curves!$B$4:$AO$4,1,6-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$4:$AO$4,1,6-Projects!$C$39+1)*Assumptions!$B$11*0.95+0.05*Projects!$B$39*Assumptions!$B$11,Projects!$B$39*INDEX(Curves!$B$4:$AO$4,1,6-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$4:$AO$4,1,6-Projects!$C$42+1)*Assumptions!$B$11*0.95+0.05*Projects!$B$42*Assumptions!$B$11,Projects!$B$42*INDEX(Curves!$B$4:$AO$4,1,6-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$4:$AO$4,1,6-Projects!$C$45+1)*Assumptions!$B$11*0.95+0.05*Projects!$B$45*Assumptions!$B$11,Projects!$B$45*INDEX(Curves!$B$4:$AO$4,1,6-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 s="1" t="n">
        <f aca="false"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$4:$AO$4,1,7-Projects!$C$31+1)*Assumptions!$B$11*0.95+0.05*Projects!$B$31*Assumptions!$B$11,Projects!$B$31*INDEX(Curves!$B$4:$AO$4,1,7-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$4:$AO$4,1,7-Projects!$C$34+1)*Assumptions!$B$11*0.95+0.05*Projects!$B$34*Assumptions!$B$11,Projects!$B$34*INDEX(Curves!$B$4:$AO$4,1,7-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$4:$AO$4,1,7-Projects!$C$36+1)*Assumptions!$B$11*0.95+0.05*Projects!$B$36*Assumptions!$B$11,Projects!$B$36*INDEX(Curves!$B$4:$AO$4,1,7-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$4:$AO$4,1,7-Projects!$C$39+1)*Assumptions!$B$11*0.95+0.05*Projects!$B$39*Assumptions!$B$11,Projects!$B$39*INDEX(Curves!$B$4:$AO$4,1,7-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$4:$AO$4,1,7-Projects!$C$42+1)*Assumptions!$B$11*0.95+0.05*Projects!$B$42*Assumptions!$B$11,Projects!$B$42*INDEX(Curves!$B$4:$AO$4,1,7-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$4:$AO$4,1,7-Projects!$C$45+1)*Assumptions!$B$11*0.95+0.05*Projects!$B$45*Assumptions!$B$11,Projects!$B$45*INDEX(Curves!$B$4:$AO$4,1,7-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 s="1" t="n">
        <f aca="false"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$4:$AO$4,1,8-Projects!$C$31+1)*Assumptions!$B$11*0.95+0.05*Projects!$B$31*Assumptions!$B$11,Projects!$B$31*INDEX(Curves!$B$4:$AO$4,1,8-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$4:$AO$4,1,8-Projects!$C$34+1)*Assumptions!$B$11*0.95+0.05*Projects!$B$34*Assumptions!$B$11,Projects!$B$34*INDEX(Curves!$B$4:$AO$4,1,8-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$4:$AO$4,1,8-Projects!$C$36+1)*Assumptions!$B$11*0.95+0.05*Projects!$B$36*Assumptions!$B$11,Projects!$B$36*INDEX(Curves!$B$4:$AO$4,1,8-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$4:$AO$4,1,8-Projects!$C$39+1)*Assumptions!$B$11*0.95+0.05*Projects!$B$39*Assumptions!$B$11,Projects!$B$39*INDEX(Curves!$B$4:$AO$4,1,8-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$4:$AO$4,1,8-Projects!$C$42+1)*Assumptions!$B$11*0.95+0.05*Projects!$B$42*Assumptions!$B$11,Projects!$B$42*INDEX(Curves!$B$4:$AO$4,1,8-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$4:$AO$4,1,8-Projects!$C$45+1)*Assumptions!$B$11*0.95+0.05*Projects!$B$45*Assumptions!$B$11,Projects!$B$45*INDEX(Curves!$B$4:$AO$4,1,8-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 s="1" t="n">
        <f aca="false"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$4:$AO$4,1,9-Projects!$C$31+1)*Assumptions!$B$11*0.95+0.05*Projects!$B$31*Assumptions!$B$11,Projects!$B$31*INDEX(Curves!$B$4:$AO$4,1,9-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$4:$AO$4,1,9-Projects!$C$34+1)*Assumptions!$B$11*0.95+0.05*Projects!$B$34*Assumptions!$B$11,Projects!$B$34*INDEX(Curves!$B$4:$AO$4,1,9-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$4:$AO$4,1,9-Projects!$C$36+1)*Assumptions!$B$11*0.95+0.05*Projects!$B$36*Assumptions!$B$11,Projects!$B$36*INDEX(Curves!$B$4:$AO$4,1,9-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$4:$AO$4,1,9-Projects!$C$39+1)*Assumptions!$B$11*0.95+0.05*Projects!$B$39*Assumptions!$B$11,Projects!$B$39*INDEX(Curves!$B$4:$AO$4,1,9-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$4:$AO$4,1,9-Projects!$C$42+1)*Assumptions!$B$11*0.95+0.05*Projects!$B$42*Assumptions!$B$11,Projects!$B$42*INDEX(Curves!$B$4:$AO$4,1,9-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$4:$AO$4,1,9-Projects!$C$45+1)*Assumptions!$B$11*0.95+0.05*Projects!$B$45*Assumptions!$B$11,Projects!$B$45*INDEX(Curves!$B$4:$AO$4,1,9-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 s="1" t="n">
        <f aca="false"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$4:$AO$4,1,10-Projects!$C$31+1)*Assumptions!$B$11*0.95+0.05*Projects!$B$31*Assumptions!$B$11,Projects!$B$31*INDEX(Curves!$B$4:$AO$4,1,10-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$4:$AO$4,1,10-Projects!$C$34+1)*Assumptions!$B$11*0.95+0.05*Projects!$B$34*Assumptions!$B$11,Projects!$B$34*INDEX(Curves!$B$4:$AO$4,1,10-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$4:$AO$4,1,10-Projects!$C$36+1)*Assumptions!$B$11*0.95+0.05*Projects!$B$36*Assumptions!$B$11,Projects!$B$36*INDEX(Curves!$B$4:$AO$4,1,10-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$4:$AO$4,1,10-Projects!$C$39+1)*Assumptions!$B$11*0.95+0.05*Projects!$B$39*Assumptions!$B$11,Projects!$B$39*INDEX(Curves!$B$4:$AO$4,1,10-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$4:$AO$4,1,10-Projects!$C$42+1)*Assumptions!$B$11*0.95+0.05*Projects!$B$42*Assumptions!$B$11,Projects!$B$42*INDEX(Curves!$B$4:$AO$4,1,10-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$4:$AO$4,1,10-Projects!$C$45+1)*Assumptions!$B$11*0.95+0.05*Projects!$B$45*Assumptions!$B$11,Projects!$B$45*INDEX(Curves!$B$4:$AO$4,1,10-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 s="1" t="n">
        <f aca="false"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$4:$AO$4,1,11-Projects!$C$31+1)*Assumptions!$B$11*0.95+0.05*Projects!$B$31*Assumptions!$B$11,Projects!$B$31*INDEX(Curves!$B$4:$AO$4,1,11-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$4:$AO$4,1,11-Projects!$C$34+1)*Assumptions!$B$11*0.95+0.05*Projects!$B$34*Assumptions!$B$11,Projects!$B$34*INDEX(Curves!$B$4:$AO$4,1,11-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$4:$AO$4,1,11-Projects!$C$36+1)*Assumptions!$B$11*0.95+0.05*Projects!$B$36*Assumptions!$B$11,Projects!$B$36*INDEX(Curves!$B$4:$AO$4,1,11-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$4:$AO$4,1,11-Projects!$C$39+1)*Assumptions!$B$11*0.95+0.05*Projects!$B$39*Assumptions!$B$11,Projects!$B$39*INDEX(Curves!$B$4:$AO$4,1,11-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$4:$AO$4,1,11-Projects!$C$42+1)*Assumptions!$B$11*0.95+0.05*Projects!$B$42*Assumptions!$B$11,Projects!$B$42*INDEX(Curves!$B$4:$AO$4,1,11-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$4:$AO$4,1,11-Projects!$C$45+1)*Assumptions!$B$11*0.95+0.05*Projects!$B$45*Assumptions!$B$11,Projects!$B$45*INDEX(Curves!$B$4:$AO$4,1,11-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 s="1" t="n">
        <f aca="false"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$4:$AO$4,1,12-Projects!$C$31+1)*Assumptions!$B$11*0.95+0.05*Projects!$B$31*Assumptions!$B$11,Projects!$B$31*INDEX(Curves!$B$4:$AO$4,1,12-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$4:$AO$4,1,12-Projects!$C$34+1)*Assumptions!$B$11*0.95+0.05*Projects!$B$34*Assumptions!$B$11,Projects!$B$34*INDEX(Curves!$B$4:$AO$4,1,12-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$4:$AO$4,1,12-Projects!$C$36+1)*Assumptions!$B$11*0.95+0.05*Projects!$B$36*Assumptions!$B$11,Projects!$B$36*INDEX(Curves!$B$4:$AO$4,1,12-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$4:$AO$4,1,12-Projects!$C$39+1)*Assumptions!$B$11*0.95+0.05*Projects!$B$39*Assumptions!$B$11,Projects!$B$39*INDEX(Curves!$B$4:$AO$4,1,12-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$4:$AO$4,1,12-Projects!$C$42+1)*Assumptions!$B$11*0.95+0.05*Projects!$B$42*Assumptions!$B$11,Projects!$B$42*INDEX(Curves!$B$4:$AO$4,1,12-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$4:$AO$4,1,12-Projects!$C$45+1)*Assumptions!$B$11*0.95+0.05*Projects!$B$45*Assumptions!$B$11,Projects!$B$45*INDEX(Curves!$B$4:$AO$4,1,12-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 s="1" t="n">
        <f aca="false"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$4:$AO$4,1,13-Projects!$C$31+1)*Assumptions!$B$11*0.95+0.05*Projects!$B$31*Assumptions!$B$11,Projects!$B$31*INDEX(Curves!$B$4:$AO$4,1,13-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$4:$AO$4,1,13-Projects!$C$34+1)*Assumptions!$B$11*0.95+0.05*Projects!$B$34*Assumptions!$B$11,Projects!$B$34*INDEX(Curves!$B$4:$AO$4,1,13-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$4:$AO$4,1,13-Projects!$C$36+1)*Assumptions!$B$11*0.95+0.05*Projects!$B$36*Assumptions!$B$11,Projects!$B$36*INDEX(Curves!$B$4:$AO$4,1,13-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$4:$AO$4,1,13-Projects!$C$39+1)*Assumptions!$B$11*0.95+0.05*Projects!$B$39*Assumptions!$B$11,Projects!$B$39*INDEX(Curves!$B$4:$AO$4,1,13-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$4:$AO$4,1,13-Projects!$C$42+1)*Assumptions!$B$11*0.95+0.05*Projects!$B$42*Assumptions!$B$11,Projects!$B$42*INDEX(Curves!$B$4:$AO$4,1,13-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$4:$AO$4,1,13-Projects!$C$45+1)*Assumptions!$B$11*0.95+0.05*Projects!$B$45*Assumptions!$B$11,Projects!$B$45*INDEX(Curves!$B$4:$AO$4,1,13-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 s="1" t="n">
        <f aca="false"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$4:$AO$4,1,14-Projects!$C$31+1)*Assumptions!$B$11*0.95+0.05*Projects!$B$31*Assumptions!$B$11,Projects!$B$31*INDEX(Curves!$B$4:$AO$4,1,14-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$4:$AO$4,1,14-Projects!$C$34+1)*Assumptions!$B$11*0.95+0.05*Projects!$B$34*Assumptions!$B$11,Projects!$B$34*INDEX(Curves!$B$4:$AO$4,1,14-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$4:$AO$4,1,14-Projects!$C$36+1)*Assumptions!$B$11*0.95+0.05*Projects!$B$36*Assumptions!$B$11,Projects!$B$36*INDEX(Curves!$B$4:$AO$4,1,14-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$4:$AO$4,1,14-Projects!$C$39+1)*Assumptions!$B$11*0.95+0.05*Projects!$B$39*Assumptions!$B$11,Projects!$B$39*INDEX(Curves!$B$4:$AO$4,1,14-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$4:$AO$4,1,14-Projects!$C$42+1)*Assumptions!$B$11*0.95+0.05*Projects!$B$42*Assumptions!$B$11,Projects!$B$42*INDEX(Curves!$B$4:$AO$4,1,14-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$4:$AO$4,1,14-Projects!$C$45+1)*Assumptions!$B$11*0.95+0.05*Projects!$B$45*Assumptions!$B$11,Projects!$B$45*INDEX(Curves!$B$4:$AO$4,1,14-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 s="1" t="n">
        <f aca="false"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$4:$AO$4,1,15-Projects!$C$31+1)*Assumptions!$B$11*0.95+0.05*Projects!$B$31*Assumptions!$B$11,Projects!$B$31*INDEX(Curves!$B$4:$AO$4,1,15-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$4:$AO$4,1,15-Projects!$C$34+1)*Assumptions!$B$11*0.95+0.05*Projects!$B$34*Assumptions!$B$11,Projects!$B$34*INDEX(Curves!$B$4:$AO$4,1,15-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$4:$AO$4,1,15-Projects!$C$36+1)*Assumptions!$B$11*0.95+0.05*Projects!$B$36*Assumptions!$B$11,Projects!$B$36*INDEX(Curves!$B$4:$AO$4,1,15-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$4:$AO$4,1,15-Projects!$C$39+1)*Assumptions!$B$11*0.95+0.05*Projects!$B$39*Assumptions!$B$11,Projects!$B$39*INDEX(Curves!$B$4:$AO$4,1,15-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$4:$AO$4,1,15-Projects!$C$42+1)*Assumptions!$B$11*0.95+0.05*Projects!$B$42*Assumptions!$B$11,Projects!$B$42*INDEX(Curves!$B$4:$AO$4,1,15-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$4:$AO$4,1,15-Projects!$C$45+1)*Assumptions!$B$11*0.95+0.05*Projects!$B$45*Assumptions!$B$11,Projects!$B$45*INDEX(Curves!$B$4:$AO$4,1,15-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 s="1" t="n">
        <f aca="false"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$4:$AO$4,1,16-Projects!$C$31+1)*Assumptions!$B$11*0.95+0.05*Projects!$B$31*Assumptions!$B$11,Projects!$B$31*INDEX(Curves!$B$4:$AO$4,1,16-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$4:$AO$4,1,16-Projects!$C$34+1)*Assumptions!$B$11*0.95+0.05*Projects!$B$34*Assumptions!$B$11,Projects!$B$34*INDEX(Curves!$B$4:$AO$4,1,16-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$4:$AO$4,1,16-Projects!$C$36+1)*Assumptions!$B$11*0.95+0.05*Projects!$B$36*Assumptions!$B$11,Projects!$B$36*INDEX(Curves!$B$4:$AO$4,1,16-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$4:$AO$4,1,16-Projects!$C$39+1)*Assumptions!$B$11*0.95+0.05*Projects!$B$39*Assumptions!$B$11,Projects!$B$39*INDEX(Curves!$B$4:$AO$4,1,16-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$4:$AO$4,1,16-Projects!$C$42+1)*Assumptions!$B$11*0.95+0.05*Projects!$B$42*Assumptions!$B$11,Projects!$B$42*INDEX(Curves!$B$4:$AO$4,1,16-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$4:$AO$4,1,16-Projects!$C$45+1)*Assumptions!$B$11*0.95+0.05*Projects!$B$45*Assumptions!$B$11,Projects!$B$45*INDEX(Curves!$B$4:$AO$4,1,16-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 s="1" t="n">
        <f aca="false"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$4:$AO$4,1,17-Projects!$C$31+1)*Assumptions!$B$11*0.95+0.05*Projects!$B$31*Assumptions!$B$11,Projects!$B$31*INDEX(Curves!$B$4:$AO$4,1,17-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$4:$AO$4,1,17-Projects!$C$34+1)*Assumptions!$B$11*0.95+0.05*Projects!$B$34*Assumptions!$B$11,Projects!$B$34*INDEX(Curves!$B$4:$AO$4,1,17-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$4:$AO$4,1,17-Projects!$C$36+1)*Assumptions!$B$11*0.95+0.05*Projects!$B$36*Assumptions!$B$11,Projects!$B$36*INDEX(Curves!$B$4:$AO$4,1,17-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$4:$AO$4,1,17-Projects!$C$39+1)*Assumptions!$B$11*0.95+0.05*Projects!$B$39*Assumptions!$B$11,Projects!$B$39*INDEX(Curves!$B$4:$AO$4,1,17-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$4:$AO$4,1,17-Projects!$C$42+1)*Assumptions!$B$11*0.95+0.05*Projects!$B$42*Assumptions!$B$11,Projects!$B$42*INDEX(Curves!$B$4:$AO$4,1,17-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$4:$AO$4,1,17-Projects!$C$45+1)*Assumptions!$B$11*0.95+0.05*Projects!$B$45*Assumptions!$B$11,Projects!$B$45*INDEX(Curves!$B$4:$AO$4,1,17-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 s="1" t="n">
        <f aca="false"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$4:$AO$4,1,18-Projects!$C$31+1)*Assumptions!$B$11*0.95+0.05*Projects!$B$31*Assumptions!$B$11,Projects!$B$31*INDEX(Curves!$B$4:$AO$4,1,18-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$4:$AO$4,1,18-Projects!$C$34+1)*Assumptions!$B$11*0.95+0.05*Projects!$B$34*Assumptions!$B$11,Projects!$B$34*INDEX(Curves!$B$4:$AO$4,1,18-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$4:$AO$4,1,18-Projects!$C$36+1)*Assumptions!$B$11*0.95+0.05*Projects!$B$36*Assumptions!$B$11,Projects!$B$36*INDEX(Curves!$B$4:$AO$4,1,18-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$4:$AO$4,1,18-Projects!$C$39+1)*Assumptions!$B$11*0.95+0.05*Projects!$B$39*Assumptions!$B$11,Projects!$B$39*INDEX(Curves!$B$4:$AO$4,1,18-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$4:$AO$4,1,18-Projects!$C$42+1)*Assumptions!$B$11*0.95+0.05*Projects!$B$42*Assumptions!$B$11,Projects!$B$42*INDEX(Curves!$B$4:$AO$4,1,18-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$4:$AO$4,1,18-Projects!$C$45+1)*Assumptions!$B$11*0.95+0.05*Projects!$B$45*Assumptions!$B$11,Projects!$B$45*INDEX(Curves!$B$4:$AO$4,1,18-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 s="1" t="n">
        <f aca="false"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$4:$AO$4,1,19-Projects!$C$31+1)*Assumptions!$B$11*0.95+0.05*Projects!$B$31*Assumptions!$B$11,Projects!$B$31*INDEX(Curves!$B$4:$AO$4,1,19-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$4:$AO$4,1,19-Projects!$C$34+1)*Assumptions!$B$11*0.95+0.05*Projects!$B$34*Assumptions!$B$11,Projects!$B$34*INDEX(Curves!$B$4:$AO$4,1,19-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$4:$AO$4,1,19-Projects!$C$36+1)*Assumptions!$B$11*0.95+0.05*Projects!$B$36*Assumptions!$B$11,Projects!$B$36*INDEX(Curves!$B$4:$AO$4,1,19-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$4:$AO$4,1,19-Projects!$C$39+1)*Assumptions!$B$11*0.95+0.05*Projects!$B$39*Assumptions!$B$11,Projects!$B$39*INDEX(Curves!$B$4:$AO$4,1,19-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$4:$AO$4,1,19-Projects!$C$42+1)*Assumptions!$B$11*0.95+0.05*Projects!$B$42*Assumptions!$B$11,Projects!$B$42*INDEX(Curves!$B$4:$AO$4,1,19-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$4:$AO$4,1,19-Projects!$C$45+1)*Assumptions!$B$11*0.95+0.05*Projects!$B$45*Assumptions!$B$11,Projects!$B$45*INDEX(Curves!$B$4:$AO$4,1,19-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 s="1" t="n">
        <f aca="false"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$4:$AO$4,1,20-Projects!$C$31+1)*Assumptions!$B$11*0.95+0.05*Projects!$B$31*Assumptions!$B$11,Projects!$B$31*INDEX(Curves!$B$4:$AO$4,1,20-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$4:$AO$4,1,20-Projects!$C$34+1)*Assumptions!$B$11*0.95+0.05*Projects!$B$34*Assumptions!$B$11,Projects!$B$34*INDEX(Curves!$B$4:$AO$4,1,20-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$4:$AO$4,1,20-Projects!$C$36+1)*Assumptions!$B$11*0.95+0.05*Projects!$B$36*Assumptions!$B$11,Projects!$B$36*INDEX(Curves!$B$4:$AO$4,1,20-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$4:$AO$4,1,20-Projects!$C$39+1)*Assumptions!$B$11*0.95+0.05*Projects!$B$39*Assumptions!$B$11,Projects!$B$39*INDEX(Curves!$B$4:$AO$4,1,20-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$4:$AO$4,1,20-Projects!$C$42+1)*Assumptions!$B$11*0.95+0.05*Projects!$B$42*Assumptions!$B$11,Projects!$B$42*INDEX(Curves!$B$4:$AO$4,1,20-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$4:$AO$4,1,20-Projects!$C$45+1)*Assumptions!$B$11*0.95+0.05*Projects!$B$45*Assumptions!$B$11,Projects!$B$45*INDEX(Curves!$B$4:$AO$4,1,20-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 s="1" t="n">
        <f aca="false"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$4:$AO$4,1,21-Projects!$C$31+1)*Assumptions!$B$11*0.95+0.05*Projects!$B$31*Assumptions!$B$11,Projects!$B$31*INDEX(Curves!$B$4:$AO$4,1,21-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$4:$AO$4,1,21-Projects!$C$34+1)*Assumptions!$B$11*0.95+0.05*Projects!$B$34*Assumptions!$B$11,Projects!$B$34*INDEX(Curves!$B$4:$AO$4,1,21-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$4:$AO$4,1,21-Projects!$C$36+1)*Assumptions!$B$11*0.95+0.05*Projects!$B$36*Assumptions!$B$11,Projects!$B$36*INDEX(Curves!$B$4:$AO$4,1,21-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$4:$AO$4,1,21-Projects!$C$39+1)*Assumptions!$B$11*0.95+0.05*Projects!$B$39*Assumptions!$B$11,Projects!$B$39*INDEX(Curves!$B$4:$AO$4,1,21-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$4:$AO$4,1,21-Projects!$C$42+1)*Assumptions!$B$11*0.95+0.05*Projects!$B$42*Assumptions!$B$11,Projects!$B$42*INDEX(Curves!$B$4:$AO$4,1,21-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$4:$AO$4,1,21-Projects!$C$45+1)*Assumptions!$B$11*0.95+0.05*Projects!$B$45*Assumptions!$B$11,Projects!$B$45*INDEX(Curves!$B$4:$AO$4,1,21-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 s="1" t="n">
        <f aca="false"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$4:$AO$4,1,22-Projects!$C$31+1)*Assumptions!$B$11*0.95+0.05*Projects!$B$31*Assumptions!$B$11,Projects!$B$31*INDEX(Curves!$B$4:$AO$4,1,22-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$4:$AO$4,1,22-Projects!$C$34+1)*Assumptions!$B$11*0.95+0.05*Projects!$B$34*Assumptions!$B$11,Projects!$B$34*INDEX(Curves!$B$4:$AO$4,1,22-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$4:$AO$4,1,22-Projects!$C$36+1)*Assumptions!$B$11*0.95+0.05*Projects!$B$36*Assumptions!$B$11,Projects!$B$36*INDEX(Curves!$B$4:$AO$4,1,22-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$4:$AO$4,1,22-Projects!$C$39+1)*Assumptions!$B$11*0.95+0.05*Projects!$B$39*Assumptions!$B$11,Projects!$B$39*INDEX(Curves!$B$4:$AO$4,1,22-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$4:$AO$4,1,22-Projects!$C$42+1)*Assumptions!$B$11*0.95+0.05*Projects!$B$42*Assumptions!$B$11,Projects!$B$42*INDEX(Curves!$B$4:$AO$4,1,22-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$4:$AO$4,1,22-Projects!$C$45+1)*Assumptions!$B$11*0.95+0.05*Projects!$B$45*Assumptions!$B$11,Projects!$B$45*INDEX(Curves!$B$4:$AO$4,1,22-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 s="1" t="n">
        <f aca="false"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$4:$AO$4,1,23-Projects!$C$31+1)*Assumptions!$B$11*0.95+0.05*Projects!$B$31*Assumptions!$B$11,Projects!$B$31*INDEX(Curves!$B$4:$AO$4,1,23-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$4:$AO$4,1,23-Projects!$C$34+1)*Assumptions!$B$11*0.95+0.05*Projects!$B$34*Assumptions!$B$11,Projects!$B$34*INDEX(Curves!$B$4:$AO$4,1,23-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$4:$AO$4,1,23-Projects!$C$36+1)*Assumptions!$B$11*0.95+0.05*Projects!$B$36*Assumptions!$B$11,Projects!$B$36*INDEX(Curves!$B$4:$AO$4,1,23-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$4:$AO$4,1,23-Projects!$C$39+1)*Assumptions!$B$11*0.95+0.05*Projects!$B$39*Assumptions!$B$11,Projects!$B$39*INDEX(Curves!$B$4:$AO$4,1,23-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$4:$AO$4,1,23-Projects!$C$42+1)*Assumptions!$B$11*0.95+0.05*Projects!$B$42*Assumptions!$B$11,Projects!$B$42*INDEX(Curves!$B$4:$AO$4,1,23-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$4:$AO$4,1,23-Projects!$C$45+1)*Assumptions!$B$11*0.95+0.05*Projects!$B$45*Assumptions!$B$11,Projects!$B$45*INDEX(Curves!$B$4:$AO$4,1,23-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 s="1" t="n">
        <f aca="false"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$4:$AO$4,1,24-Projects!$C$31+1)*Assumptions!$B$11*0.95+0.05*Projects!$B$31*Assumptions!$B$11,Projects!$B$31*INDEX(Curves!$B$4:$AO$4,1,24-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$4:$AO$4,1,24-Projects!$C$34+1)*Assumptions!$B$11*0.95+0.05*Projects!$B$34*Assumptions!$B$11,Projects!$B$34*INDEX(Curves!$B$4:$AO$4,1,24-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$4:$AO$4,1,24-Projects!$C$36+1)*Assumptions!$B$11*0.95+0.05*Projects!$B$36*Assumptions!$B$11,Projects!$B$36*INDEX(Curves!$B$4:$AO$4,1,24-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$4:$AO$4,1,24-Projects!$C$39+1)*Assumptions!$B$11*0.95+0.05*Projects!$B$39*Assumptions!$B$11,Projects!$B$39*INDEX(Curves!$B$4:$AO$4,1,24-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$4:$AO$4,1,24-Projects!$C$42+1)*Assumptions!$B$11*0.95+0.05*Projects!$B$42*Assumptions!$B$11,Projects!$B$42*INDEX(Curves!$B$4:$AO$4,1,24-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$4:$AO$4,1,24-Projects!$C$45+1)*Assumptions!$B$11*0.95+0.05*Projects!$B$45*Assumptions!$B$11,Projects!$B$45*INDEX(Curves!$B$4:$AO$4,1,24-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 s="1" t="n">
        <f aca="false"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$4:$AO$4,1,25-Projects!$C$31+1)*Assumptions!$B$11*0.95+0.05*Projects!$B$31*Assumptions!$B$11,Projects!$B$31*INDEX(Curves!$B$4:$AO$4,1,25-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$4:$AO$4,1,25-Projects!$C$34+1)*Assumptions!$B$11*0.95+0.05*Projects!$B$34*Assumptions!$B$11,Projects!$B$34*INDEX(Curves!$B$4:$AO$4,1,25-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$4:$AO$4,1,25-Projects!$C$36+1)*Assumptions!$B$11*0.95+0.05*Projects!$B$36*Assumptions!$B$11,Projects!$B$36*INDEX(Curves!$B$4:$AO$4,1,25-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$4:$AO$4,1,25-Projects!$C$39+1)*Assumptions!$B$11*0.95+0.05*Projects!$B$39*Assumptions!$B$11,Projects!$B$39*INDEX(Curves!$B$4:$AO$4,1,25-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$4:$AO$4,1,25-Projects!$C$42+1)*Assumptions!$B$11*0.95+0.05*Projects!$B$42*Assumptions!$B$11,Projects!$B$42*INDEX(Curves!$B$4:$AO$4,1,25-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$4:$AO$4,1,25-Projects!$C$45+1)*Assumptions!$B$11*0.95+0.05*Projects!$B$45*Assumptions!$B$11,Projects!$B$45*INDEX(Curves!$B$4:$AO$4,1,25-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 s="1" t="n">
        <f aca="false"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$4:$AO$4,1,26-Projects!$C$31+1)*Assumptions!$B$11*0.95+0.05*Projects!$B$31*Assumptions!$B$11,Projects!$B$31*INDEX(Curves!$B$4:$AO$4,1,26-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$4:$AO$4,1,26-Projects!$C$34+1)*Assumptions!$B$11*0.95+0.05*Projects!$B$34*Assumptions!$B$11,Projects!$B$34*INDEX(Curves!$B$4:$AO$4,1,26-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$4:$AO$4,1,26-Projects!$C$36+1)*Assumptions!$B$11*0.95+0.05*Projects!$B$36*Assumptions!$B$11,Projects!$B$36*INDEX(Curves!$B$4:$AO$4,1,26-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$4:$AO$4,1,26-Projects!$C$39+1)*Assumptions!$B$11*0.95+0.05*Projects!$B$39*Assumptions!$B$11,Projects!$B$39*INDEX(Curves!$B$4:$AO$4,1,26-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$4:$AO$4,1,26-Projects!$C$42+1)*Assumptions!$B$11*0.95+0.05*Projects!$B$42*Assumptions!$B$11,Projects!$B$42*INDEX(Curves!$B$4:$AO$4,1,26-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$4:$AO$4,1,26-Projects!$C$45+1)*Assumptions!$B$11*0.95+0.05*Projects!$B$45*Assumptions!$B$11,Projects!$B$45*INDEX(Curves!$B$4:$AO$4,1,26-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 s="1" t="n">
        <f aca="false"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$4:$AO$4,1,27-Projects!$C$31+1)*Assumptions!$B$11*0.95+0.05*Projects!$B$31*Assumptions!$B$11,Projects!$B$31*INDEX(Curves!$B$4:$AO$4,1,27-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$4:$AO$4,1,27-Projects!$C$34+1)*Assumptions!$B$11*0.95+0.05*Projects!$B$34*Assumptions!$B$11,Projects!$B$34*INDEX(Curves!$B$4:$AO$4,1,27-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$4:$AO$4,1,27-Projects!$C$36+1)*Assumptions!$B$11*0.95+0.05*Projects!$B$36*Assumptions!$B$11,Projects!$B$36*INDEX(Curves!$B$4:$AO$4,1,27-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$4:$AO$4,1,27-Projects!$C$39+1)*Assumptions!$B$11*0.95+0.05*Projects!$B$39*Assumptions!$B$11,Projects!$B$39*INDEX(Curves!$B$4:$AO$4,1,27-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$4:$AO$4,1,27-Projects!$C$42+1)*Assumptions!$B$11*0.95+0.05*Projects!$B$42*Assumptions!$B$11,Projects!$B$42*INDEX(Curves!$B$4:$AO$4,1,27-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$4:$AO$4,1,27-Projects!$C$45+1)*Assumptions!$B$11*0.95+0.05*Projects!$B$45*Assumptions!$B$11,Projects!$B$45*INDEX(Curves!$B$4:$AO$4,1,27-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 s="1" t="n">
        <f aca="false"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$4:$AO$4,1,28-Projects!$C$31+1)*Assumptions!$B$11*0.95+0.05*Projects!$B$31*Assumptions!$B$11,Projects!$B$31*INDEX(Curves!$B$4:$AO$4,1,28-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$4:$AO$4,1,28-Projects!$C$34+1)*Assumptions!$B$11*0.95+0.05*Projects!$B$34*Assumptions!$B$11,Projects!$B$34*INDEX(Curves!$B$4:$AO$4,1,28-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$4:$AO$4,1,28-Projects!$C$36+1)*Assumptions!$B$11*0.95+0.05*Projects!$B$36*Assumptions!$B$11,Projects!$B$36*INDEX(Curves!$B$4:$AO$4,1,28-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$4:$AO$4,1,28-Projects!$C$39+1)*Assumptions!$B$11*0.95+0.05*Projects!$B$39*Assumptions!$B$11,Projects!$B$39*INDEX(Curves!$B$4:$AO$4,1,28-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$4:$AO$4,1,28-Projects!$C$42+1)*Assumptions!$B$11*0.95+0.05*Projects!$B$42*Assumptions!$B$11,Projects!$B$42*INDEX(Curves!$B$4:$AO$4,1,28-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$4:$AO$4,1,28-Projects!$C$45+1)*Assumptions!$B$11*0.95+0.05*Projects!$B$45*Assumptions!$B$11,Projects!$B$45*INDEX(Curves!$B$4:$AO$4,1,28-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 s="1" t="n">
        <f aca="false"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$4:$AO$4,1,29-Projects!$C$31+1)*Assumptions!$B$11*0.95+0.05*Projects!$B$31*Assumptions!$B$11,Projects!$B$31*INDEX(Curves!$B$4:$AO$4,1,29-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$4:$AO$4,1,29-Projects!$C$34+1)*Assumptions!$B$11*0.95+0.05*Projects!$B$34*Assumptions!$B$11,Projects!$B$34*INDEX(Curves!$B$4:$AO$4,1,29-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$4:$AO$4,1,29-Projects!$C$36+1)*Assumptions!$B$11*0.95+0.05*Projects!$B$36*Assumptions!$B$11,Projects!$B$36*INDEX(Curves!$B$4:$AO$4,1,29-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$4:$AO$4,1,29-Projects!$C$39+1)*Assumptions!$B$11*0.95+0.05*Projects!$B$39*Assumptions!$B$11,Projects!$B$39*INDEX(Curves!$B$4:$AO$4,1,29-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$4:$AO$4,1,29-Projects!$C$42+1)*Assumptions!$B$11*0.95+0.05*Projects!$B$42*Assumptions!$B$11,Projects!$B$42*INDEX(Curves!$B$4:$AO$4,1,29-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$4:$AO$4,1,29-Projects!$C$45+1)*Assumptions!$B$11*0.95+0.05*Projects!$B$45*Assumptions!$B$11,Projects!$B$45*INDEX(Curves!$B$4:$AO$4,1,29-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 s="1" t="n">
        <f aca="false"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$4:$AO$4,1,30-Projects!$C$31+1)*Assumptions!$B$11*0.95+0.05*Projects!$B$31*Assumptions!$B$11,Projects!$B$31*INDEX(Curves!$B$4:$AO$4,1,30-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$4:$AO$4,1,30-Projects!$C$34+1)*Assumptions!$B$11*0.95+0.05*Projects!$B$34*Assumptions!$B$11,Projects!$B$34*INDEX(Curves!$B$4:$AO$4,1,30-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$4:$AO$4,1,30-Projects!$C$36+1)*Assumptions!$B$11*0.95+0.05*Projects!$B$36*Assumptions!$B$11,Projects!$B$36*INDEX(Curves!$B$4:$AO$4,1,30-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$4:$AO$4,1,30-Projects!$C$39+1)*Assumptions!$B$11*0.95+0.05*Projects!$B$39*Assumptions!$B$11,Projects!$B$39*INDEX(Curves!$B$4:$AO$4,1,30-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$4:$AO$4,1,30-Projects!$C$42+1)*Assumptions!$B$11*0.95+0.05*Projects!$B$42*Assumptions!$B$11,Projects!$B$42*INDEX(Curves!$B$4:$AO$4,1,30-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$4:$AO$4,1,30-Projects!$C$45+1)*Assumptions!$B$11*0.95+0.05*Projects!$B$45*Assumptions!$B$11,Projects!$B$45*INDEX(Curves!$B$4:$AO$4,1,30-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 s="1" t="n">
        <f aca="false"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$4:$AO$4,1,31-Projects!$C$31+1)*Assumptions!$B$11*0.95+0.05*Projects!$B$31*Assumptions!$B$11,Projects!$B$31*INDEX(Curves!$B$4:$AO$4,1,31-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$4:$AO$4,1,31-Projects!$C$34+1)*Assumptions!$B$11*0.95+0.05*Projects!$B$34*Assumptions!$B$11,Projects!$B$34*INDEX(Curves!$B$4:$AO$4,1,31-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$4:$AO$4,1,31-Projects!$C$36+1)*Assumptions!$B$11*0.95+0.05*Projects!$B$36*Assumptions!$B$11,Projects!$B$36*INDEX(Curves!$B$4:$AO$4,1,31-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$4:$AO$4,1,31-Projects!$C$39+1)*Assumptions!$B$11*0.95+0.05*Projects!$B$39*Assumptions!$B$11,Projects!$B$39*INDEX(Curves!$B$4:$AO$4,1,31-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$4:$AO$4,1,31-Projects!$C$42+1)*Assumptions!$B$11*0.95+0.05*Projects!$B$42*Assumptions!$B$11,Projects!$B$42*INDEX(Curves!$B$4:$AO$4,1,31-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$4:$AO$4,1,31-Projects!$C$45+1)*Assumptions!$B$11*0.95+0.05*Projects!$B$45*Assumptions!$B$11,Projects!$B$45*INDEX(Curves!$B$4:$AO$4,1,31-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 s="1" t="n">
        <f aca="false"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$4:$AO$4,1,32-Projects!$C$31+1)*Assumptions!$B$11*0.95+0.05*Projects!$B$31*Assumptions!$B$11,Projects!$B$31*INDEX(Curves!$B$4:$AO$4,1,32-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$4:$AO$4,1,32-Projects!$C$34+1)*Assumptions!$B$11*0.95+0.05*Projects!$B$34*Assumptions!$B$11,Projects!$B$34*INDEX(Curves!$B$4:$AO$4,1,32-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$4:$AO$4,1,32-Projects!$C$36+1)*Assumptions!$B$11*0.95+0.05*Projects!$B$36*Assumptions!$B$11,Projects!$B$36*INDEX(Curves!$B$4:$AO$4,1,32-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$4:$AO$4,1,32-Projects!$C$39+1)*Assumptions!$B$11*0.95+0.05*Projects!$B$39*Assumptions!$B$11,Projects!$B$39*INDEX(Curves!$B$4:$AO$4,1,32-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$4:$AO$4,1,32-Projects!$C$42+1)*Assumptions!$B$11*0.95+0.05*Projects!$B$42*Assumptions!$B$11,Projects!$B$42*INDEX(Curves!$B$4:$AO$4,1,32-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$4:$AO$4,1,32-Projects!$C$45+1)*Assumptions!$B$11*0.95+0.05*Projects!$B$45*Assumptions!$B$11,Projects!$B$45*INDEX(Curves!$B$4:$AO$4,1,32-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 s="1" t="n">
        <f aca="false"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$4:$AO$4,1,33-Projects!$C$31+1)*Assumptions!$B$11*0.95+0.05*Projects!$B$31*Assumptions!$B$11,Projects!$B$31*INDEX(Curves!$B$4:$AO$4,1,33-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$4:$AO$4,1,33-Projects!$C$34+1)*Assumptions!$B$11*0.95+0.05*Projects!$B$34*Assumptions!$B$11,Projects!$B$34*INDEX(Curves!$B$4:$AO$4,1,33-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$4:$AO$4,1,33-Projects!$C$36+1)*Assumptions!$B$11*0.95+0.05*Projects!$B$36*Assumptions!$B$11,Projects!$B$36*INDEX(Curves!$B$4:$AO$4,1,33-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$4:$AO$4,1,33-Projects!$C$39+1)*Assumptions!$B$11*0.95+0.05*Projects!$B$39*Assumptions!$B$11,Projects!$B$39*INDEX(Curves!$B$4:$AO$4,1,33-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$4:$AO$4,1,33-Projects!$C$42+1)*Assumptions!$B$11*0.95+0.05*Projects!$B$42*Assumptions!$B$11,Projects!$B$42*INDEX(Curves!$B$4:$AO$4,1,33-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$4:$AO$4,1,33-Projects!$C$45+1)*Assumptions!$B$11*0.95+0.05*Projects!$B$45*Assumptions!$B$11,Projects!$B$45*INDEX(Curves!$B$4:$AO$4,1,33-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 s="1" t="n">
        <f aca="false"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$4:$AO$4,1,34-Projects!$C$31+1)*Assumptions!$B$11*0.95+0.05*Projects!$B$31*Assumptions!$B$11,Projects!$B$31*INDEX(Curves!$B$4:$AO$4,1,34-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$4:$AO$4,1,34-Projects!$C$34+1)*Assumptions!$B$11*0.95+0.05*Projects!$B$34*Assumptions!$B$11,Projects!$B$34*INDEX(Curves!$B$4:$AO$4,1,34-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$4:$AO$4,1,34-Projects!$C$36+1)*Assumptions!$B$11*0.95+0.05*Projects!$B$36*Assumptions!$B$11,Projects!$B$36*INDEX(Curves!$B$4:$AO$4,1,34-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$4:$AO$4,1,34-Projects!$C$39+1)*Assumptions!$B$11*0.95+0.05*Projects!$B$39*Assumptions!$B$11,Projects!$B$39*INDEX(Curves!$B$4:$AO$4,1,34-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$4:$AO$4,1,34-Projects!$C$42+1)*Assumptions!$B$11*0.95+0.05*Projects!$B$42*Assumptions!$B$11,Projects!$B$42*INDEX(Curves!$B$4:$AO$4,1,34-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$4:$AO$4,1,34-Projects!$C$45+1)*Assumptions!$B$11*0.95+0.05*Projects!$B$45*Assumptions!$B$11,Projects!$B$45*INDEX(Curves!$B$4:$AO$4,1,34-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 s="1" t="n">
        <f aca="false"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$4:$AO$4,1,35-Projects!$C$31+1)*Assumptions!$B$11*0.95+0.05*Projects!$B$31*Assumptions!$B$11,Projects!$B$31*INDEX(Curves!$B$4:$AO$4,1,35-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$4:$AO$4,1,35-Projects!$C$34+1)*Assumptions!$B$11*0.95+0.05*Projects!$B$34*Assumptions!$B$11,Projects!$B$34*INDEX(Curves!$B$4:$AO$4,1,35-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$4:$AO$4,1,35-Projects!$C$36+1)*Assumptions!$B$11*0.95+0.05*Projects!$B$36*Assumptions!$B$11,Projects!$B$36*INDEX(Curves!$B$4:$AO$4,1,35-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$4:$AO$4,1,35-Projects!$C$39+1)*Assumptions!$B$11*0.95+0.05*Projects!$B$39*Assumptions!$B$11,Projects!$B$39*INDEX(Curves!$B$4:$AO$4,1,35-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$4:$AO$4,1,35-Projects!$C$42+1)*Assumptions!$B$11*0.95+0.05*Projects!$B$42*Assumptions!$B$11,Projects!$B$42*INDEX(Curves!$B$4:$AO$4,1,35-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$4:$AO$4,1,35-Projects!$C$45+1)*Assumptions!$B$11*0.95+0.05*Projects!$B$45*Assumptions!$B$11,Projects!$B$45*INDEX(Curves!$B$4:$AO$4,1,35-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 s="1" t="n">
        <f aca="false"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$4:$AO$4,1,36-Projects!$C$31+1)*Assumptions!$B$11*0.95+0.05*Projects!$B$31*Assumptions!$B$11,Projects!$B$31*INDEX(Curves!$B$4:$AO$4,1,36-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$4:$AO$4,1,36-Projects!$C$34+1)*Assumptions!$B$11*0.95+0.05*Projects!$B$34*Assumptions!$B$11,Projects!$B$34*INDEX(Curves!$B$4:$AO$4,1,36-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$4:$AO$4,1,36-Projects!$C$36+1)*Assumptions!$B$11*0.95+0.05*Projects!$B$36*Assumptions!$B$11,Projects!$B$36*INDEX(Curves!$B$4:$AO$4,1,36-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$4:$AO$4,1,36-Projects!$C$39+1)*Assumptions!$B$11*0.95+0.05*Projects!$B$39*Assumptions!$B$11,Projects!$B$39*INDEX(Curves!$B$4:$AO$4,1,36-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$4:$AO$4,1,36-Projects!$C$42+1)*Assumptions!$B$11*0.95+0.05*Projects!$B$42*Assumptions!$B$11,Projects!$B$42*INDEX(Curves!$B$4:$AO$4,1,36-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$4:$AO$4,1,36-Projects!$C$45+1)*Assumptions!$B$11*0.95+0.05*Projects!$B$45*Assumptions!$B$11,Projects!$B$45*INDEX(Curves!$B$4:$AO$4,1,36-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 s="1" t="n">
        <f aca="false"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$4:$AO$4,1,37-Projects!$C$31+1)*Assumptions!$B$11*0.95+0.05*Projects!$B$31*Assumptions!$B$11,Projects!$B$31*INDEX(Curves!$B$4:$AO$4,1,37-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$4:$AO$4,1,37-Projects!$C$34+1)*Assumptions!$B$11*0.95+0.05*Projects!$B$34*Assumptions!$B$11,Projects!$B$34*INDEX(Curves!$B$4:$AO$4,1,37-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$4:$AO$4,1,37-Projects!$C$36+1)*Assumptions!$B$11*0.95+0.05*Projects!$B$36*Assumptions!$B$11,Projects!$B$36*INDEX(Curves!$B$4:$AO$4,1,37-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$4:$AO$4,1,37-Projects!$C$39+1)*Assumptions!$B$11*0.95+0.05*Projects!$B$39*Assumptions!$B$11,Projects!$B$39*INDEX(Curves!$B$4:$AO$4,1,37-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$4:$AO$4,1,37-Projects!$C$42+1)*Assumptions!$B$11*0.95+0.05*Projects!$B$42*Assumptions!$B$11,Projects!$B$42*INDEX(Curves!$B$4:$AO$4,1,37-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$4:$AO$4,1,37-Projects!$C$45+1)*Assumptions!$B$11*0.95+0.05*Projects!$B$45*Assumptions!$B$11,Projects!$B$45*INDEX(Curves!$B$4:$AO$4,1,37-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 s="1" t="n">
        <f aca="false"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$4:$AO$4,1,38-Projects!$C$31+1)*Assumptions!$B$11*0.95+0.05*Projects!$B$31*Assumptions!$B$11,Projects!$B$31*INDEX(Curves!$B$4:$AO$4,1,38-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$4:$AO$4,1,38-Projects!$C$34+1)*Assumptions!$B$11*0.95+0.05*Projects!$B$34*Assumptions!$B$11,Projects!$B$34*INDEX(Curves!$B$4:$AO$4,1,38-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$4:$AO$4,1,38-Projects!$C$36+1)*Assumptions!$B$11*0.95+0.05*Projects!$B$36*Assumptions!$B$11,Projects!$B$36*INDEX(Curves!$B$4:$AO$4,1,38-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$4:$AO$4,1,38-Projects!$C$39+1)*Assumptions!$B$11*0.95+0.05*Projects!$B$39*Assumptions!$B$11,Projects!$B$39*INDEX(Curves!$B$4:$AO$4,1,38-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$4:$AO$4,1,38-Projects!$C$42+1)*Assumptions!$B$11*0.95+0.05*Projects!$B$42*Assumptions!$B$11,Projects!$B$42*INDEX(Curves!$B$4:$AO$4,1,38-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$4:$AO$4,1,38-Projects!$C$45+1)*Assumptions!$B$11*0.95+0.05*Projects!$B$45*Assumptions!$B$11,Projects!$B$45*INDEX(Curves!$B$4:$AO$4,1,38-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 s="1" t="n">
        <f aca="false"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$4:$AO$4,1,39-Projects!$C$31+1)*Assumptions!$B$11*0.95+0.05*Projects!$B$31*Assumptions!$B$11,Projects!$B$31*INDEX(Curves!$B$4:$AO$4,1,39-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$4:$AO$4,1,39-Projects!$C$34+1)*Assumptions!$B$11*0.95+0.05*Projects!$B$34*Assumptions!$B$11,Projects!$B$34*INDEX(Curves!$B$4:$AO$4,1,39-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$4:$AO$4,1,39-Projects!$C$36+1)*Assumptions!$B$11*0.95+0.05*Projects!$B$36*Assumptions!$B$11,Projects!$B$36*INDEX(Curves!$B$4:$AO$4,1,39-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$4:$AO$4,1,39-Projects!$C$39+1)*Assumptions!$B$11*0.95+0.05*Projects!$B$39*Assumptions!$B$11,Projects!$B$39*INDEX(Curves!$B$4:$AO$4,1,39-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$4:$AO$4,1,39-Projects!$C$42+1)*Assumptions!$B$11*0.95+0.05*Projects!$B$42*Assumptions!$B$11,Projects!$B$42*INDEX(Curves!$B$4:$AO$4,1,39-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$4:$AO$4,1,39-Projects!$C$45+1)*Assumptions!$B$11*0.95+0.05*Projects!$B$45*Assumptions!$B$11,Projects!$B$45*INDEX(Curves!$B$4:$AO$4,1,39-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 s="1" t="n">
        <f aca="false"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$4:$AO$4,1,40-Projects!$C$31+1)*Assumptions!$B$11*0.95+0.05*Projects!$B$31*Assumptions!$B$11,Projects!$B$31*INDEX(Curves!$B$4:$AO$4,1,40-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$4:$AO$4,1,40-Projects!$C$34+1)*Assumptions!$B$11*0.95+0.05*Projects!$B$34*Assumptions!$B$11,Projects!$B$34*INDEX(Curves!$B$4:$AO$4,1,40-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$4:$AO$4,1,40-Projects!$C$36+1)*Assumptions!$B$11*0.95+0.05*Projects!$B$36*Assumptions!$B$11,Projects!$B$36*INDEX(Curves!$B$4:$AO$4,1,40-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$4:$AO$4,1,40-Projects!$C$39+1)*Assumptions!$B$11*0.95+0.05*Projects!$B$39*Assumptions!$B$11,Projects!$B$39*INDEX(Curves!$B$4:$AO$4,1,40-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$4:$AO$4,1,40-Projects!$C$42+1)*Assumptions!$B$11*0.95+0.05*Projects!$B$42*Assumptions!$B$11,Projects!$B$42*INDEX(Curves!$B$4:$AO$4,1,40-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$4:$AO$4,1,40-Projects!$C$45+1)*Assumptions!$B$11*0.95+0.05*Projects!$B$45*Assumptions!$B$11,Projects!$B$45*INDEX(Curves!$B$4:$AO$4,1,40-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 s="1" t="n">
        <f aca="false"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$4:$AO$4,1,41-Projects!$C$31+1)*Assumptions!$B$11*0.95+0.05*Projects!$B$31*Assumptions!$B$11,Projects!$B$31*INDEX(Curves!$B$4:$AO$4,1,41-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$4:$AO$4,1,41-Projects!$C$34+1)*Assumptions!$B$11*0.95+0.05*Projects!$B$34*Assumptions!$B$11,Projects!$B$34*INDEX(Curves!$B$4:$AO$4,1,41-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$4:$AO$4,1,41-Projects!$C$36+1)*Assumptions!$B$11*0.95+0.05*Projects!$B$36*Assumptions!$B$11,Projects!$B$36*INDEX(Curves!$B$4:$AO$4,1,41-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$4:$AO$4,1,41-Projects!$C$39+1)*Assumptions!$B$11*0.95+0.05*Projects!$B$39*Assumptions!$B$11,Projects!$B$39*INDEX(Curves!$B$4:$AO$4,1,41-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$4:$AO$4,1,41-Projects!$C$42+1)*Assumptions!$B$11*0.95+0.05*Projects!$B$42*Assumptions!$B$11,Projects!$B$42*INDEX(Curves!$B$4:$AO$4,1,41-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$4:$AO$4,1,41-Projects!$C$45+1)*Assumptions!$B$11*0.95+0.05*Projects!$B$45*Assumptions!$B$11,Projects!$B$45*INDEX(Curves!$B$4:$AO$4,1,41-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 s="1" t="n">
        <f aca="false"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$4:$AO$4,1,42-Projects!$C$31+1)*Assumptions!$B$11*0.95+0.05*Projects!$B$31*Assumptions!$B$11,Projects!$B$31*INDEX(Curves!$B$4:$AO$4,1,42-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$4:$AO$4,1,42-Projects!$C$34+1)*Assumptions!$B$11*0.95+0.05*Projects!$B$34*Assumptions!$B$11,Projects!$B$34*INDEX(Curves!$B$4:$AO$4,1,42-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$4:$AO$4,1,42-Projects!$C$36+1)*Assumptions!$B$11*0.95+0.05*Projects!$B$36*Assumptions!$B$11,Projects!$B$36*INDEX(Curves!$B$4:$AO$4,1,42-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$4:$AO$4,1,42-Projects!$C$39+1)*Assumptions!$B$11*0.95+0.05*Projects!$B$39*Assumptions!$B$11,Projects!$B$39*INDEX(Curves!$B$4:$AO$4,1,42-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$4:$AO$4,1,42-Projects!$C$42+1)*Assumptions!$B$11*0.95+0.05*Projects!$B$42*Assumptions!$B$11,Projects!$B$42*INDEX(Curves!$B$4:$AO$4,1,42-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$4:$AO$4,1,42-Projects!$C$45+1)*Assumptions!$B$11*0.95+0.05*Projects!$B$45*Assumptions!$B$11,Projects!$B$45*INDEX(Curves!$B$4:$AO$4,1,42-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 s="1" t="n">
        <f aca="false"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$4:$AO$4,1,43-Projects!$C$31+1)*Assumptions!$B$11*0.95+0.05*Projects!$B$31*Assumptions!$B$11,Projects!$B$31*INDEX(Curves!$B$4:$AO$4,1,43-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$4:$AO$4,1,43-Projects!$C$34+1)*Assumptions!$B$11*0.95+0.05*Projects!$B$34*Assumptions!$B$11,Projects!$B$34*INDEX(Curves!$B$4:$AO$4,1,43-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$4:$AO$4,1,43-Projects!$C$36+1)*Assumptions!$B$11*0.95+0.05*Projects!$B$36*Assumptions!$B$11,Projects!$B$36*INDEX(Curves!$B$4:$AO$4,1,43-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$4:$AO$4,1,43-Projects!$C$39+1)*Assumptions!$B$11*0.95+0.05*Projects!$B$39*Assumptions!$B$11,Projects!$B$39*INDEX(Curves!$B$4:$AO$4,1,43-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$4:$AO$4,1,43-Projects!$C$42+1)*Assumptions!$B$11*0.95+0.05*Projects!$B$42*Assumptions!$B$11,Projects!$B$42*INDEX(Curves!$B$4:$AO$4,1,43-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$4:$AO$4,1,43-Projects!$C$45+1)*Assumptions!$B$11*0.95+0.05*Projects!$B$45*Assumptions!$B$11,Projects!$B$45*INDEX(Curves!$B$4:$AO$4,1,43-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 s="1" t="n">
        <f aca="false"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$4:$AO$4,1,44-Projects!$C$31+1)*Assumptions!$B$11*0.95+0.05*Projects!$B$31*Assumptions!$B$11,Projects!$B$31*INDEX(Curves!$B$4:$AO$4,1,44-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$4:$AO$4,1,44-Projects!$C$34+1)*Assumptions!$B$11*0.95+0.05*Projects!$B$34*Assumptions!$B$11,Projects!$B$34*INDEX(Curves!$B$4:$AO$4,1,44-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$4:$AO$4,1,44-Projects!$C$36+1)*Assumptions!$B$11*0.95+0.05*Projects!$B$36*Assumptions!$B$11,Projects!$B$36*INDEX(Curves!$B$4:$AO$4,1,44-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$4:$AO$4,1,44-Projects!$C$39+1)*Assumptions!$B$11*0.95+0.05*Projects!$B$39*Assumptions!$B$11,Projects!$B$39*INDEX(Curves!$B$4:$AO$4,1,44-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$4:$AO$4,1,44-Projects!$C$42+1)*Assumptions!$B$11*0.95+0.05*Projects!$B$42*Assumptions!$B$11,Projects!$B$42*INDEX(Curves!$B$4:$AO$4,1,44-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$4:$AO$4,1,44-Projects!$C$45+1)*Assumptions!$B$11*0.95+0.05*Projects!$B$45*Assumptions!$B$11,Projects!$B$45*INDEX(Curves!$B$4:$AO$4,1,44-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 s="1" t="n">
        <f aca="false"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$4:$AO$4,1,45-Projects!$C$31+1)*Assumptions!$B$11*0.95+0.05*Projects!$B$31*Assumptions!$B$11,Projects!$B$31*INDEX(Curves!$B$4:$AO$4,1,45-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$4:$AO$4,1,45-Projects!$C$34+1)*Assumptions!$B$11*0.95+0.05*Projects!$B$34*Assumptions!$B$11,Projects!$B$34*INDEX(Curves!$B$4:$AO$4,1,45-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$4:$AO$4,1,45-Projects!$C$36+1)*Assumptions!$B$11*0.95+0.05*Projects!$B$36*Assumptions!$B$11,Projects!$B$36*INDEX(Curves!$B$4:$AO$4,1,45-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$4:$AO$4,1,45-Projects!$C$39+1)*Assumptions!$B$11*0.95+0.05*Projects!$B$39*Assumptions!$B$11,Projects!$B$39*INDEX(Curves!$B$4:$AO$4,1,45-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$4:$AO$4,1,45-Projects!$C$42+1)*Assumptions!$B$11*0.95+0.05*Projects!$B$42*Assumptions!$B$11,Projects!$B$42*INDEX(Curves!$B$4:$AO$4,1,45-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$4:$AO$4,1,45-Projects!$C$45+1)*Assumptions!$B$11*0.95+0.05*Projects!$B$45*Assumptions!$B$11,Projects!$B$45*INDEX(Curves!$B$4:$AO$4,1,45-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 s="1" t="n">
        <f aca="false"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$4:$AO$4,1,46-Projects!$C$31+1)*Assumptions!$B$11*0.95+0.05*Projects!$B$31*Assumptions!$B$11,Projects!$B$31*INDEX(Curves!$B$4:$AO$4,1,46-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$4:$AO$4,1,46-Projects!$C$34+1)*Assumptions!$B$11*0.95+0.05*Projects!$B$34*Assumptions!$B$11,Projects!$B$34*INDEX(Curves!$B$4:$AO$4,1,46-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$4:$AO$4,1,46-Projects!$C$36+1)*Assumptions!$B$11*0.95+0.05*Projects!$B$36*Assumptions!$B$11,Projects!$B$36*INDEX(Curves!$B$4:$AO$4,1,46-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$4:$AO$4,1,46-Projects!$C$39+1)*Assumptions!$B$11*0.95+0.05*Projects!$B$39*Assumptions!$B$11,Projects!$B$39*INDEX(Curves!$B$4:$AO$4,1,46-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$4:$AO$4,1,46-Projects!$C$42+1)*Assumptions!$B$11*0.95+0.05*Projects!$B$42*Assumptions!$B$11,Projects!$B$42*INDEX(Curves!$B$4:$AO$4,1,46-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$4:$AO$4,1,46-Projects!$C$45+1)*Assumptions!$B$11*0.95+0.05*Projects!$B$45*Assumptions!$B$11,Projects!$B$45*INDEX(Curves!$B$4:$AO$4,1,46-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 s="1" t="n">
        <f aca="false"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$4:$AO$4,1,47-Projects!$C$31+1)*Assumptions!$B$11*0.95+0.05*Projects!$B$31*Assumptions!$B$11,Projects!$B$31*INDEX(Curves!$B$4:$AO$4,1,47-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$4:$AO$4,1,47-Projects!$C$34+1)*Assumptions!$B$11*0.95+0.05*Projects!$B$34*Assumptions!$B$11,Projects!$B$34*INDEX(Curves!$B$4:$AO$4,1,47-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$4:$AO$4,1,47-Projects!$C$36+1)*Assumptions!$B$11*0.95+0.05*Projects!$B$36*Assumptions!$B$11,Projects!$B$36*INDEX(Curves!$B$4:$AO$4,1,47-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$4:$AO$4,1,47-Projects!$C$39+1)*Assumptions!$B$11*0.95+0.05*Projects!$B$39*Assumptions!$B$11,Projects!$B$39*INDEX(Curves!$B$4:$AO$4,1,47-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$4:$AO$4,1,47-Projects!$C$42+1)*Assumptions!$B$11*0.95+0.05*Projects!$B$42*Assumptions!$B$11,Projects!$B$42*INDEX(Curves!$B$4:$AO$4,1,47-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$4:$AO$4,1,47-Projects!$C$45+1)*Assumptions!$B$11*0.95+0.05*Projects!$B$45*Assumptions!$B$11,Projects!$B$45*INDEX(Curves!$B$4:$AO$4,1,47-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 s="1" t="n">
        <f aca="false"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$4:$AO$4,1,48-Projects!$C$31+1)*Assumptions!$B$11*0.95+0.05*Projects!$B$31*Assumptions!$B$11,Projects!$B$31*INDEX(Curves!$B$4:$AO$4,1,48-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$4:$AO$4,1,48-Projects!$C$34+1)*Assumptions!$B$11*0.95+0.05*Projects!$B$34*Assumptions!$B$11,Projects!$B$34*INDEX(Curves!$B$4:$AO$4,1,48-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$4:$AO$4,1,48-Projects!$C$36+1)*Assumptions!$B$11*0.95+0.05*Projects!$B$36*Assumptions!$B$11,Projects!$B$36*INDEX(Curves!$B$4:$AO$4,1,48-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$4:$AO$4,1,48-Projects!$C$39+1)*Assumptions!$B$11*0.95+0.05*Projects!$B$39*Assumptions!$B$11,Projects!$B$39*INDEX(Curves!$B$4:$AO$4,1,48-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$4:$AO$4,1,48-Projects!$C$42+1)*Assumptions!$B$11*0.95+0.05*Projects!$B$42*Assumptions!$B$11,Projects!$B$42*INDEX(Curves!$B$4:$AO$4,1,48-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$4:$AO$4,1,48-Projects!$C$45+1)*Assumptions!$B$11*0.95+0.05*Projects!$B$45*Assumptions!$B$11,Projects!$B$45*INDEX(Curves!$B$4:$AO$4,1,48-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 s="1" t="n">
        <f aca="false"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$4:$AO$4,1,49-Projects!$C$31+1)*Assumptions!$B$11*0.95+0.05*Projects!$B$31*Assumptions!$B$11,Projects!$B$31*INDEX(Curves!$B$4:$AO$4,1,49-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$4:$AO$4,1,49-Projects!$C$34+1)*Assumptions!$B$11*0.95+0.05*Projects!$B$34*Assumptions!$B$11,Projects!$B$34*INDEX(Curves!$B$4:$AO$4,1,49-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$4:$AO$4,1,49-Projects!$C$36+1)*Assumptions!$B$11*0.95+0.05*Projects!$B$36*Assumptions!$B$11,Projects!$B$36*INDEX(Curves!$B$4:$AO$4,1,49-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$4:$AO$4,1,49-Projects!$C$39+1)*Assumptions!$B$11*0.95+0.05*Projects!$B$39*Assumptions!$B$11,Projects!$B$39*INDEX(Curves!$B$4:$AO$4,1,49-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$4:$AO$4,1,49-Projects!$C$42+1)*Assumptions!$B$11*0.95+0.05*Projects!$B$42*Assumptions!$B$11,Projects!$B$42*INDEX(Curves!$B$4:$AO$4,1,49-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$4:$AO$4,1,49-Projects!$C$45+1)*Assumptions!$B$11*0.95+0.05*Projects!$B$45*Assumptions!$B$11,Projects!$B$45*INDEX(Curves!$B$4:$AO$4,1,49-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 s="1" t="n">
        <f aca="false"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$4:$AO$4,1,50-Projects!$C$31+1)*Assumptions!$B$11*0.95+0.05*Projects!$B$31*Assumptions!$B$11,Projects!$B$31*INDEX(Curves!$B$4:$AO$4,1,50-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$4:$AO$4,1,50-Projects!$C$34+1)*Assumptions!$B$11*0.95+0.05*Projects!$B$34*Assumptions!$B$11,Projects!$B$34*INDEX(Curves!$B$4:$AO$4,1,50-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$4:$AO$4,1,50-Projects!$C$36+1)*Assumptions!$B$11*0.95+0.05*Projects!$B$36*Assumptions!$B$11,Projects!$B$36*INDEX(Curves!$B$4:$AO$4,1,50-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$4:$AO$4,1,50-Projects!$C$39+1)*Assumptions!$B$11*0.95+0.05*Projects!$B$39*Assumptions!$B$11,Projects!$B$39*INDEX(Curves!$B$4:$AO$4,1,50-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$4:$AO$4,1,50-Projects!$C$42+1)*Assumptions!$B$11*0.95+0.05*Projects!$B$42*Assumptions!$B$11,Projects!$B$42*INDEX(Curves!$B$4:$AO$4,1,50-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$4:$AO$4,1,50-Projects!$C$45+1)*Assumptions!$B$11*0.95+0.05*Projects!$B$45*Assumptions!$B$11,Projects!$B$45*INDEX(Curves!$B$4:$AO$4,1,50-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18402.6258116883</v>
      </c>
      <c r="BA109" s="1" t="n">
        <f aca="false"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$4:$AO$4,1,51-Projects!$C$31+1)*Assumptions!$B$11*0.95+0.05*Projects!$B$31*Assumptions!$B$11,Projects!$B$31*INDEX(Curves!$B$4:$AO$4,1,51-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$4:$AO$4,1,51-Projects!$C$34+1)*Assumptions!$B$11*0.95+0.05*Projects!$B$34*Assumptions!$B$11,Projects!$B$34*INDEX(Curves!$B$4:$AO$4,1,51-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$4:$AO$4,1,51-Projects!$C$36+1)*Assumptions!$B$11*0.95+0.05*Projects!$B$36*Assumptions!$B$11,Projects!$B$36*INDEX(Curves!$B$4:$AO$4,1,51-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$4:$AO$4,1,51-Projects!$C$39+1)*Assumptions!$B$11*0.95+0.05*Projects!$B$39*Assumptions!$B$11,Projects!$B$39*INDEX(Curves!$B$4:$AO$4,1,51-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$4:$AO$4,1,51-Projects!$C$42+1)*Assumptions!$B$11*0.95+0.05*Projects!$B$42*Assumptions!$B$11,Projects!$B$42*INDEX(Curves!$B$4:$AO$4,1,51-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$4:$AO$4,1,51-Projects!$C$45+1)*Assumptions!$B$11*0.95+0.05*Projects!$B$45*Assumptions!$B$11,Projects!$B$45*INDEX(Curves!$B$4:$AO$4,1,51-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22735.9212662338</v>
      </c>
      <c r="BB109" s="1" t="n">
        <f aca="false"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$4:$AO$4,1,52-Projects!$C$31+1)*Assumptions!$B$11*0.95+0.05*Projects!$B$31*Assumptions!$B$11,Projects!$B$31*INDEX(Curves!$B$4:$AO$4,1,52-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$4:$AO$4,1,52-Projects!$C$34+1)*Assumptions!$B$11*0.95+0.05*Projects!$B$34*Assumptions!$B$11,Projects!$B$34*INDEX(Curves!$B$4:$AO$4,1,52-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$4:$AO$4,1,52-Projects!$C$36+1)*Assumptions!$B$11*0.95+0.05*Projects!$B$36*Assumptions!$B$11,Projects!$B$36*INDEX(Curves!$B$4:$AO$4,1,52-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$4:$AO$4,1,52-Projects!$C$39+1)*Assumptions!$B$11*0.95+0.05*Projects!$B$39*Assumptions!$B$11,Projects!$B$39*INDEX(Curves!$B$4:$AO$4,1,52-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$4:$AO$4,1,52-Projects!$C$42+1)*Assumptions!$B$11*0.95+0.05*Projects!$B$42*Assumptions!$B$11,Projects!$B$42*INDEX(Curves!$B$4:$AO$4,1,52-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$4:$AO$4,1,52-Projects!$C$45+1)*Assumptions!$B$11*0.95+0.05*Projects!$B$45*Assumptions!$B$11,Projects!$B$45*INDEX(Curves!$B$4:$AO$4,1,52-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49483.4025974026</v>
      </c>
      <c r="BC109" s="1" t="n">
        <f aca="false"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$4:$AO$4,1,53-Projects!$C$31+1)*Assumptions!$B$11*0.95+0.05*Projects!$B$31*Assumptions!$B$11,Projects!$B$31*INDEX(Curves!$B$4:$AO$4,1,53-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$4:$AO$4,1,53-Projects!$C$34+1)*Assumptions!$B$11*0.95+0.05*Projects!$B$34*Assumptions!$B$11,Projects!$B$34*INDEX(Curves!$B$4:$AO$4,1,53-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$4:$AO$4,1,53-Projects!$C$36+1)*Assumptions!$B$11*0.95+0.05*Projects!$B$36*Assumptions!$B$11,Projects!$B$36*INDEX(Curves!$B$4:$AO$4,1,53-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$4:$AO$4,1,53-Projects!$C$39+1)*Assumptions!$B$11*0.95+0.05*Projects!$B$39*Assumptions!$B$11,Projects!$B$39*INDEX(Curves!$B$4:$AO$4,1,53-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$4:$AO$4,1,53-Projects!$C$42+1)*Assumptions!$B$11*0.95+0.05*Projects!$B$42*Assumptions!$B$11,Projects!$B$42*INDEX(Curves!$B$4:$AO$4,1,53-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$4:$AO$4,1,53-Projects!$C$45+1)*Assumptions!$B$11*0.95+0.05*Projects!$B$45*Assumptions!$B$11,Projects!$B$45*INDEX(Curves!$B$4:$AO$4,1,53-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59492.7321428571</v>
      </c>
      <c r="BD109" s="1" t="n">
        <f aca="false"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$4:$AO$4,1,54-Projects!$C$31+1)*Assumptions!$B$11*0.95+0.05*Projects!$B$31*Assumptions!$B$11,Projects!$B$31*INDEX(Curves!$B$4:$AO$4,1,54-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$4:$AO$4,1,54-Projects!$C$34+1)*Assumptions!$B$11*0.95+0.05*Projects!$B$34*Assumptions!$B$11,Projects!$B$34*INDEX(Curves!$B$4:$AO$4,1,54-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$4:$AO$4,1,54-Projects!$C$36+1)*Assumptions!$B$11*0.95+0.05*Projects!$B$36*Assumptions!$B$11,Projects!$B$36*INDEX(Curves!$B$4:$AO$4,1,54-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$4:$AO$4,1,54-Projects!$C$39+1)*Assumptions!$B$11*0.95+0.05*Projects!$B$39*Assumptions!$B$11,Projects!$B$39*INDEX(Curves!$B$4:$AO$4,1,54-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$4:$AO$4,1,54-Projects!$C$42+1)*Assumptions!$B$11*0.95+0.05*Projects!$B$42*Assumptions!$B$11,Projects!$B$42*INDEX(Curves!$B$4:$AO$4,1,54-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$4:$AO$4,1,54-Projects!$C$45+1)*Assumptions!$B$11*0.95+0.05*Projects!$B$45*Assumptions!$B$11,Projects!$B$45*INDEX(Curves!$B$4:$AO$4,1,54-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88215.8741883117</v>
      </c>
      <c r="BE109" s="1" t="n">
        <f aca="false"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$4:$AO$4,1,55-Projects!$C$31+1)*Assumptions!$B$11*0.95+0.05*Projects!$B$31*Assumptions!$B$11,Projects!$B$31*INDEX(Curves!$B$4:$AO$4,1,55-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$4:$AO$4,1,55-Projects!$C$34+1)*Assumptions!$B$11*0.95+0.05*Projects!$B$34*Assumptions!$B$11,Projects!$B$34*INDEX(Curves!$B$4:$AO$4,1,55-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$4:$AO$4,1,55-Projects!$C$36+1)*Assumptions!$B$11*0.95+0.05*Projects!$B$36*Assumptions!$B$11,Projects!$B$36*INDEX(Curves!$B$4:$AO$4,1,55-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$4:$AO$4,1,55-Projects!$C$39+1)*Assumptions!$B$11*0.95+0.05*Projects!$B$39*Assumptions!$B$11,Projects!$B$39*INDEX(Curves!$B$4:$AO$4,1,55-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$4:$AO$4,1,55-Projects!$C$42+1)*Assumptions!$B$11*0.95+0.05*Projects!$B$42*Assumptions!$B$11,Projects!$B$42*INDEX(Curves!$B$4:$AO$4,1,55-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$4:$AO$4,1,55-Projects!$C$45+1)*Assumptions!$B$11*0.95+0.05*Projects!$B$45*Assumptions!$B$11,Projects!$B$45*INDEX(Curves!$B$4:$AO$4,1,55-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102695.354707792</v>
      </c>
      <c r="BF109" s="1" t="n">
        <f aca="false"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$4:$AO$4,1,56-Projects!$C$31+1)*Assumptions!$B$11*0.95+0.05*Projects!$B$31*Assumptions!$B$11,Projects!$B$31*INDEX(Curves!$B$4:$AO$4,1,56-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$4:$AO$4,1,56-Projects!$C$34+1)*Assumptions!$B$11*0.95+0.05*Projects!$B$34*Assumptions!$B$11,Projects!$B$34*INDEX(Curves!$B$4:$AO$4,1,56-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$4:$AO$4,1,56-Projects!$C$36+1)*Assumptions!$B$11*0.95+0.05*Projects!$B$36*Assumptions!$B$11,Projects!$B$36*INDEX(Curves!$B$4:$AO$4,1,56-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$4:$AO$4,1,56-Projects!$C$39+1)*Assumptions!$B$11*0.95+0.05*Projects!$B$39*Assumptions!$B$11,Projects!$B$39*INDEX(Curves!$B$4:$AO$4,1,56-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$4:$AO$4,1,56-Projects!$C$42+1)*Assumptions!$B$11*0.95+0.05*Projects!$B$42*Assumptions!$B$11,Projects!$B$42*INDEX(Curves!$B$4:$AO$4,1,56-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$4:$AO$4,1,56-Projects!$C$45+1)*Assumptions!$B$11*0.95+0.05*Projects!$B$45*Assumptions!$B$11,Projects!$B$45*INDEX(Curves!$B$4:$AO$4,1,56-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135188.269480519</v>
      </c>
      <c r="BG109" s="1" t="n">
        <f aca="false"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$4:$AO$4,1,57-Projects!$C$31+1)*Assumptions!$B$11*0.95+0.05*Projects!$B$31*Assumptions!$B$11,Projects!$B$31*INDEX(Curves!$B$4:$AO$4,1,57-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$4:$AO$4,1,57-Projects!$C$34+1)*Assumptions!$B$11*0.95+0.05*Projects!$B$34*Assumptions!$B$11,Projects!$B$34*INDEX(Curves!$B$4:$AO$4,1,57-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$4:$AO$4,1,57-Projects!$C$36+1)*Assumptions!$B$11*0.95+0.05*Projects!$B$36*Assumptions!$B$11,Projects!$B$36*INDEX(Curves!$B$4:$AO$4,1,57-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$4:$AO$4,1,57-Projects!$C$39+1)*Assumptions!$B$11*0.95+0.05*Projects!$B$39*Assumptions!$B$11,Projects!$B$39*INDEX(Curves!$B$4:$AO$4,1,57-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$4:$AO$4,1,57-Projects!$C$42+1)*Assumptions!$B$11*0.95+0.05*Projects!$B$42*Assumptions!$B$11,Projects!$B$42*INDEX(Curves!$B$4:$AO$4,1,57-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$4:$AO$4,1,57-Projects!$C$45+1)*Assumptions!$B$11*0.95+0.05*Projects!$B$45*Assumptions!$B$11,Projects!$B$45*INDEX(Curves!$B$4:$AO$4,1,57-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152472.732954545</v>
      </c>
      <c r="BH109" s="1" t="n">
        <f aca="false"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$4:$AO$4,1,58-Projects!$C$31+1)*Assumptions!$B$11*0.95+0.05*Projects!$B$31*Assumptions!$B$11,Projects!$B$31*INDEX(Curves!$B$4:$AO$4,1,58-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$4:$AO$4,1,58-Projects!$C$34+1)*Assumptions!$B$11*0.95+0.05*Projects!$B$34*Assumptions!$B$11,Projects!$B$34*INDEX(Curves!$B$4:$AO$4,1,58-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$4:$AO$4,1,58-Projects!$C$36+1)*Assumptions!$B$11*0.95+0.05*Projects!$B$36*Assumptions!$B$11,Projects!$B$36*INDEX(Curves!$B$4:$AO$4,1,58-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$4:$AO$4,1,58-Projects!$C$39+1)*Assumptions!$B$11*0.95+0.05*Projects!$B$39*Assumptions!$B$11,Projects!$B$39*INDEX(Curves!$B$4:$AO$4,1,58-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$4:$AO$4,1,58-Projects!$C$42+1)*Assumptions!$B$11*0.95+0.05*Projects!$B$42*Assumptions!$B$11,Projects!$B$42*INDEX(Curves!$B$4:$AO$4,1,58-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$4:$AO$4,1,58-Projects!$C$45+1)*Assumptions!$B$11*0.95+0.05*Projects!$B$45*Assumptions!$B$11,Projects!$B$45*INDEX(Curves!$B$4:$AO$4,1,58-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190276.918831169</v>
      </c>
      <c r="BI109" s="1" t="n">
        <f aca="false"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$4:$AO$4,1,59-Projects!$C$31+1)*Assumptions!$B$11*0.95+0.05*Projects!$B$31*Assumptions!$B$11,Projects!$B$31*INDEX(Curves!$B$4:$AO$4,1,59-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$4:$AO$4,1,59-Projects!$C$34+1)*Assumptions!$B$11*0.95+0.05*Projects!$B$34*Assumptions!$B$11,Projects!$B$34*INDEX(Curves!$B$4:$AO$4,1,59-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$4:$AO$4,1,59-Projects!$C$36+1)*Assumptions!$B$11*0.95+0.05*Projects!$B$36*Assumptions!$B$11,Projects!$B$36*INDEX(Curves!$B$4:$AO$4,1,59-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$4:$AO$4,1,59-Projects!$C$39+1)*Assumptions!$B$11*0.95+0.05*Projects!$B$39*Assumptions!$B$11,Projects!$B$39*INDEX(Curves!$B$4:$AO$4,1,59-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$4:$AO$4,1,59-Projects!$C$42+1)*Assumptions!$B$11*0.95+0.05*Projects!$B$42*Assumptions!$B$11,Projects!$B$42*INDEX(Curves!$B$4:$AO$4,1,59-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$4:$AO$4,1,59-Projects!$C$45+1)*Assumptions!$B$11*0.95+0.05*Projects!$B$45*Assumptions!$B$11,Projects!$B$45*INDEX(Curves!$B$4:$AO$4,1,59-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208754.63474026</v>
      </c>
      <c r="BJ109" s="1" t="n">
        <f aca="false"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$4:$AO$4,1,60-Projects!$C$31+1)*Assumptions!$B$11*0.95+0.05*Projects!$B$31*Assumptions!$B$11,Projects!$B$31*INDEX(Curves!$B$4:$AO$4,1,60-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$4:$AO$4,1,60-Projects!$C$34+1)*Assumptions!$B$11*0.95+0.05*Projects!$B$34*Assumptions!$B$11,Projects!$B$34*INDEX(Curves!$B$4:$AO$4,1,60-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$4:$AO$4,1,60-Projects!$C$36+1)*Assumptions!$B$11*0.95+0.05*Projects!$B$36*Assumptions!$B$11,Projects!$B$36*INDEX(Curves!$B$4:$AO$4,1,60-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$4:$AO$4,1,60-Projects!$C$39+1)*Assumptions!$B$11*0.95+0.05*Projects!$B$39*Assumptions!$B$11,Projects!$B$39*INDEX(Curves!$B$4:$AO$4,1,60-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$4:$AO$4,1,60-Projects!$C$42+1)*Assumptions!$B$11*0.95+0.05*Projects!$B$42*Assumptions!$B$11,Projects!$B$42*INDEX(Curves!$B$4:$AO$4,1,60-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$4:$AO$4,1,60-Projects!$C$45+1)*Assumptions!$B$11*0.95+0.05*Projects!$B$45*Assumptions!$B$11,Projects!$B$45*INDEX(Curves!$B$4:$AO$4,1,60-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242801.123376623</v>
      </c>
      <c r="BK109" s="1" t="n">
        <f aca="false"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$4:$AO$4,1,61-Projects!$C$31+1)*Assumptions!$B$11*0.95+0.05*Projects!$B$31*Assumptions!$B$11,Projects!$B$31*INDEX(Curves!$B$4:$AO$4,1,61-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$4:$AO$4,1,61-Projects!$C$34+1)*Assumptions!$B$11*0.95+0.05*Projects!$B$34*Assumptions!$B$11,Projects!$B$34*INDEX(Curves!$B$4:$AO$4,1,61-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$4:$AO$4,1,61-Projects!$C$36+1)*Assumptions!$B$11*0.95+0.05*Projects!$B$36*Assumptions!$B$11,Projects!$B$36*INDEX(Curves!$B$4:$AO$4,1,61-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$4:$AO$4,1,61-Projects!$C$39+1)*Assumptions!$B$11*0.95+0.05*Projects!$B$39*Assumptions!$B$11,Projects!$B$39*INDEX(Curves!$B$4:$AO$4,1,61-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$4:$AO$4,1,61-Projects!$C$42+1)*Assumptions!$B$11*0.95+0.05*Projects!$B$42*Assumptions!$B$11,Projects!$B$42*INDEX(Curves!$B$4:$AO$4,1,61-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$4:$AO$4,1,61-Projects!$C$45+1)*Assumptions!$B$11*0.95+0.05*Projects!$B$45*Assumptions!$B$11,Projects!$B$45*INDEX(Curves!$B$4:$AO$4,1,61-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259096.507305195</v>
      </c>
      <c r="BL109" s="1" t="n">
        <f aca="false"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$4:$AO$4,1,62-Projects!$C$31+1)*Assumptions!$B$11*0.95+0.05*Projects!$B$31*Assumptions!$B$11,Projects!$B$31*INDEX(Curves!$B$4:$AO$4,1,62-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$4:$AO$4,1,62-Projects!$C$34+1)*Assumptions!$B$11*0.95+0.05*Projects!$B$34*Assumptions!$B$11,Projects!$B$34*INDEX(Curves!$B$4:$AO$4,1,62-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$4:$AO$4,1,62-Projects!$C$36+1)*Assumptions!$B$11*0.95+0.05*Projects!$B$36*Assumptions!$B$11,Projects!$B$36*INDEX(Curves!$B$4:$AO$4,1,62-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$4:$AO$4,1,62-Projects!$C$39+1)*Assumptions!$B$11*0.95+0.05*Projects!$B$39*Assumptions!$B$11,Projects!$B$39*INDEX(Curves!$B$4:$AO$4,1,62-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$4:$AO$4,1,62-Projects!$C$42+1)*Assumptions!$B$11*0.95+0.05*Projects!$B$42*Assumptions!$B$11,Projects!$B$42*INDEX(Curves!$B$4:$AO$4,1,62-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$4:$AO$4,1,62-Projects!$C$45+1)*Assumptions!$B$11*0.95+0.05*Projects!$B$45*Assumptions!$B$11,Projects!$B$45*INDEX(Curves!$B$4:$AO$4,1,62-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293454.043831169</v>
      </c>
      <c r="BM109" s="1" t="n">
        <f aca="false"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$4:$AO$4,1,63-Projects!$C$31+1)*Assumptions!$B$11*0.95+0.05*Projects!$B$31*Assumptions!$B$11,Projects!$B$31*INDEX(Curves!$B$4:$AO$4,1,63-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$4:$AO$4,1,63-Projects!$C$34+1)*Assumptions!$B$11*0.95+0.05*Projects!$B$34*Assumptions!$B$11,Projects!$B$34*INDEX(Curves!$B$4:$AO$4,1,63-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$4:$AO$4,1,63-Projects!$C$36+1)*Assumptions!$B$11*0.95+0.05*Projects!$B$36*Assumptions!$B$11,Projects!$B$36*INDEX(Curves!$B$4:$AO$4,1,63-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$4:$AO$4,1,63-Projects!$C$39+1)*Assumptions!$B$11*0.95+0.05*Projects!$B$39*Assumptions!$B$11,Projects!$B$39*INDEX(Curves!$B$4:$AO$4,1,63-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$4:$AO$4,1,63-Projects!$C$42+1)*Assumptions!$B$11*0.95+0.05*Projects!$B$42*Assumptions!$B$11,Projects!$B$42*INDEX(Curves!$B$4:$AO$4,1,63-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$4:$AO$4,1,63-Projects!$C$45+1)*Assumptions!$B$11*0.95+0.05*Projects!$B$45*Assumptions!$B$11,Projects!$B$45*INDEX(Curves!$B$4:$AO$4,1,63-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306281.819805195</v>
      </c>
      <c r="BN109" s="1" t="n">
        <f aca="false"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$4:$AO$4,1,64-Projects!$C$31+1)*Assumptions!$B$11*0.95+0.05*Projects!$B$31*Assumptions!$B$11,Projects!$B$31*INDEX(Curves!$B$4:$AO$4,1,64-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$4:$AO$4,1,64-Projects!$C$34+1)*Assumptions!$B$11*0.95+0.05*Projects!$B$34*Assumptions!$B$11,Projects!$B$34*INDEX(Curves!$B$4:$AO$4,1,64-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$4:$AO$4,1,64-Projects!$C$36+1)*Assumptions!$B$11*0.95+0.05*Projects!$B$36*Assumptions!$B$11,Projects!$B$36*INDEX(Curves!$B$4:$AO$4,1,64-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$4:$AO$4,1,64-Projects!$C$39+1)*Assumptions!$B$11*0.95+0.05*Projects!$B$39*Assumptions!$B$11,Projects!$B$39*INDEX(Curves!$B$4:$AO$4,1,64-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$4:$AO$4,1,64-Projects!$C$42+1)*Assumptions!$B$11*0.95+0.05*Projects!$B$42*Assumptions!$B$11,Projects!$B$42*INDEX(Curves!$B$4:$AO$4,1,64-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$4:$AO$4,1,64-Projects!$C$45+1)*Assumptions!$B$11*0.95+0.05*Projects!$B$45*Assumptions!$B$11,Projects!$B$45*INDEX(Curves!$B$4:$AO$4,1,64-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332869.960227273</v>
      </c>
      <c r="BO109" s="1" t="n">
        <f aca="false"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$4:$AO$4,1,65-Projects!$C$31+1)*Assumptions!$B$11*0.95+0.05*Projects!$B$31*Assumptions!$B$11,Projects!$B$31*INDEX(Curves!$B$4:$AO$4,1,65-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$4:$AO$4,1,65-Projects!$C$34+1)*Assumptions!$B$11*0.95+0.05*Projects!$B$34*Assumptions!$B$11,Projects!$B$34*INDEX(Curves!$B$4:$AO$4,1,65-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$4:$AO$4,1,65-Projects!$C$36+1)*Assumptions!$B$11*0.95+0.05*Projects!$B$36*Assumptions!$B$11,Projects!$B$36*INDEX(Curves!$B$4:$AO$4,1,65-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$4:$AO$4,1,65-Projects!$C$39+1)*Assumptions!$B$11*0.95+0.05*Projects!$B$39*Assumptions!$B$11,Projects!$B$39*INDEX(Curves!$B$4:$AO$4,1,65-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$4:$AO$4,1,65-Projects!$C$42+1)*Assumptions!$B$11*0.95+0.05*Projects!$B$42*Assumptions!$B$11,Projects!$B$42*INDEX(Curves!$B$4:$AO$4,1,65-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$4:$AO$4,1,65-Projects!$C$45+1)*Assumptions!$B$11*0.95+0.05*Projects!$B$45*Assumptions!$B$11,Projects!$B$45*INDEX(Curves!$B$4:$AO$4,1,65-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340386.1875</v>
      </c>
      <c r="BP109" s="1" t="n">
        <f aca="false"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$4:$AO$4,1,66-Projects!$C$31+1)*Assumptions!$B$11*0.95+0.05*Projects!$B$31*Assumptions!$B$11,Projects!$B$31*INDEX(Curves!$B$4:$AO$4,1,66-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$4:$AO$4,1,66-Projects!$C$34+1)*Assumptions!$B$11*0.95+0.05*Projects!$B$34*Assumptions!$B$11,Projects!$B$34*INDEX(Curves!$B$4:$AO$4,1,66-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$4:$AO$4,1,66-Projects!$C$36+1)*Assumptions!$B$11*0.95+0.05*Projects!$B$36*Assumptions!$B$11,Projects!$B$36*INDEX(Curves!$B$4:$AO$4,1,66-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$4:$AO$4,1,66-Projects!$C$39+1)*Assumptions!$B$11*0.95+0.05*Projects!$B$39*Assumptions!$B$11,Projects!$B$39*INDEX(Curves!$B$4:$AO$4,1,66-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$4:$AO$4,1,66-Projects!$C$42+1)*Assumptions!$B$11*0.95+0.05*Projects!$B$42*Assumptions!$B$11,Projects!$B$42*INDEX(Curves!$B$4:$AO$4,1,66-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$4:$AO$4,1,66-Projects!$C$45+1)*Assumptions!$B$11*0.95+0.05*Projects!$B$45*Assumptions!$B$11,Projects!$B$45*INDEX(Curves!$B$4:$AO$4,1,66-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361493.306006493</v>
      </c>
      <c r="BQ109" s="1" t="n">
        <f aca="false"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$4:$AO$4,1,67-Projects!$C$31+1)*Assumptions!$B$11*0.95+0.05*Projects!$B$31*Assumptions!$B$11,Projects!$B$31*INDEX(Curves!$B$4:$AO$4,1,67-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$4:$AO$4,1,67-Projects!$C$34+1)*Assumptions!$B$11*0.95+0.05*Projects!$B$34*Assumptions!$B$11,Projects!$B$34*INDEX(Curves!$B$4:$AO$4,1,67-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$4:$AO$4,1,67-Projects!$C$36+1)*Assumptions!$B$11*0.95+0.05*Projects!$B$36*Assumptions!$B$11,Projects!$B$36*INDEX(Curves!$B$4:$AO$4,1,67-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$4:$AO$4,1,67-Projects!$C$39+1)*Assumptions!$B$11*0.95+0.05*Projects!$B$39*Assumptions!$B$11,Projects!$B$39*INDEX(Curves!$B$4:$AO$4,1,67-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$4:$AO$4,1,67-Projects!$C$42+1)*Assumptions!$B$11*0.95+0.05*Projects!$B$42*Assumptions!$B$11,Projects!$B$42*INDEX(Curves!$B$4:$AO$4,1,67-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$4:$AO$4,1,67-Projects!$C$45+1)*Assumptions!$B$11*0.95+0.05*Projects!$B$45*Assumptions!$B$11,Projects!$B$45*INDEX(Curves!$B$4:$AO$4,1,67-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363611.512987013</v>
      </c>
      <c r="BR109" s="1" t="n">
        <f aca="false"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$4:$AO$4,1,68-Projects!$C$31+1)*Assumptions!$B$11*0.95+0.05*Projects!$B$31*Assumptions!$B$11,Projects!$B$31*INDEX(Curves!$B$4:$AO$4,1,68-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$4:$AO$4,1,68-Projects!$C$34+1)*Assumptions!$B$11*0.95+0.05*Projects!$B$34*Assumptions!$B$11,Projects!$B$34*INDEX(Curves!$B$4:$AO$4,1,68-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$4:$AO$4,1,68-Projects!$C$36+1)*Assumptions!$B$11*0.95+0.05*Projects!$B$36*Assumptions!$B$11,Projects!$B$36*INDEX(Curves!$B$4:$AO$4,1,68-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$4:$AO$4,1,68-Projects!$C$39+1)*Assumptions!$B$11*0.95+0.05*Projects!$B$39*Assumptions!$B$11,Projects!$B$39*INDEX(Curves!$B$4:$AO$4,1,68-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$4:$AO$4,1,68-Projects!$C$42+1)*Assumptions!$B$11*0.95+0.05*Projects!$B$42*Assumptions!$B$11,Projects!$B$42*INDEX(Curves!$B$4:$AO$4,1,68-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$4:$AO$4,1,68-Projects!$C$45+1)*Assumptions!$B$11*0.95+0.05*Projects!$B$45*Assumptions!$B$11,Projects!$B$45*INDEX(Curves!$B$4:$AO$4,1,68-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419822.474025974</v>
      </c>
      <c r="BS109" s="1" t="n">
        <f aca="false"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$4:$AO$4,1,69-Projects!$C$31+1)*Assumptions!$B$11*0.95+0.05*Projects!$B$31*Assumptions!$B$11,Projects!$B$31*INDEX(Curves!$B$4:$AO$4,1,69-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$4:$AO$4,1,69-Projects!$C$34+1)*Assumptions!$B$11*0.95+0.05*Projects!$B$34*Assumptions!$B$11,Projects!$B$34*INDEX(Curves!$B$4:$AO$4,1,69-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$4:$AO$4,1,69-Projects!$C$36+1)*Assumptions!$B$11*0.95+0.05*Projects!$B$36*Assumptions!$B$11,Projects!$B$36*INDEX(Curves!$B$4:$AO$4,1,69-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$4:$AO$4,1,69-Projects!$C$39+1)*Assumptions!$B$11*0.95+0.05*Projects!$B$39*Assumptions!$B$11,Projects!$B$39*INDEX(Curves!$B$4:$AO$4,1,69-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$4:$AO$4,1,69-Projects!$C$42+1)*Assumptions!$B$11*0.95+0.05*Projects!$B$42*Assumptions!$B$11,Projects!$B$42*INDEX(Curves!$B$4:$AO$4,1,69-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$4:$AO$4,1,69-Projects!$C$45+1)*Assumptions!$B$11*0.95+0.05*Projects!$B$45*Assumptions!$B$11,Projects!$B$45*INDEX(Curves!$B$4:$AO$4,1,69-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367104.521103896</v>
      </c>
      <c r="BT109" s="1" t="n">
        <f aca="false"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$4:$AO$4,1,70-Projects!$C$31+1)*Assumptions!$B$11*0.95+0.05*Projects!$B$31*Assumptions!$B$11,Projects!$B$31*INDEX(Curves!$B$4:$AO$4,1,70-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$4:$AO$4,1,70-Projects!$C$34+1)*Assumptions!$B$11*0.95+0.05*Projects!$B$34*Assumptions!$B$11,Projects!$B$34*INDEX(Curves!$B$4:$AO$4,1,70-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$4:$AO$4,1,70-Projects!$C$36+1)*Assumptions!$B$11*0.95+0.05*Projects!$B$36*Assumptions!$B$11,Projects!$B$36*INDEX(Curves!$B$4:$AO$4,1,70-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$4:$AO$4,1,70-Projects!$C$39+1)*Assumptions!$B$11*0.95+0.05*Projects!$B$39*Assumptions!$B$11,Projects!$B$39*INDEX(Curves!$B$4:$AO$4,1,70-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$4:$AO$4,1,70-Projects!$C$42+1)*Assumptions!$B$11*0.95+0.05*Projects!$B$42*Assumptions!$B$11,Projects!$B$42*INDEX(Curves!$B$4:$AO$4,1,70-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$4:$AO$4,1,70-Projects!$C$45+1)*Assumptions!$B$11*0.95+0.05*Projects!$B$45*Assumptions!$B$11,Projects!$B$45*INDEX(Curves!$B$4:$AO$4,1,70-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427127.668831169</v>
      </c>
      <c r="BU109" s="1" t="n">
        <f aca="false"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$4:$AO$4,1,71-Projects!$C$31+1)*Assumptions!$B$11*0.95+0.05*Projects!$B$31*Assumptions!$B$11,Projects!$B$31*INDEX(Curves!$B$4:$AO$4,1,71-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$4:$AO$4,1,71-Projects!$C$34+1)*Assumptions!$B$11*0.95+0.05*Projects!$B$34*Assumptions!$B$11,Projects!$B$34*INDEX(Curves!$B$4:$AO$4,1,71-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$4:$AO$4,1,71-Projects!$C$36+1)*Assumptions!$B$11*0.95+0.05*Projects!$B$36*Assumptions!$B$11,Projects!$B$36*INDEX(Curves!$B$4:$AO$4,1,71-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$4:$AO$4,1,71-Projects!$C$39+1)*Assumptions!$B$11*0.95+0.05*Projects!$B$39*Assumptions!$B$11,Projects!$B$39*INDEX(Curves!$B$4:$AO$4,1,71-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$4:$AO$4,1,71-Projects!$C$42+1)*Assumptions!$B$11*0.95+0.05*Projects!$B$42*Assumptions!$B$11,Projects!$B$42*INDEX(Curves!$B$4:$AO$4,1,71-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$4:$AO$4,1,71-Projects!$C$45+1)*Assumptions!$B$11*0.95+0.05*Projects!$B$45*Assumptions!$B$11,Projects!$B$45*INDEX(Curves!$B$4:$AO$4,1,71-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363611.512987013</v>
      </c>
      <c r="BV109" s="1" t="n">
        <f aca="false"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$4:$AO$4,1,72-Projects!$C$31+1)*Assumptions!$B$11*0.95+0.05*Projects!$B$31*Assumptions!$B$11,Projects!$B$31*INDEX(Curves!$B$4:$AO$4,1,72-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$4:$AO$4,1,72-Projects!$C$34+1)*Assumptions!$B$11*0.95+0.05*Projects!$B$34*Assumptions!$B$11,Projects!$B$34*INDEX(Curves!$B$4:$AO$4,1,72-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$4:$AO$4,1,72-Projects!$C$36+1)*Assumptions!$B$11*0.95+0.05*Projects!$B$36*Assumptions!$B$11,Projects!$B$36*INDEX(Curves!$B$4:$AO$4,1,72-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$4:$AO$4,1,72-Projects!$C$39+1)*Assumptions!$B$11*0.95+0.05*Projects!$B$39*Assumptions!$B$11,Projects!$B$39*INDEX(Curves!$B$4:$AO$4,1,72-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$4:$AO$4,1,72-Projects!$C$42+1)*Assumptions!$B$11*0.95+0.05*Projects!$B$42*Assumptions!$B$11,Projects!$B$42*INDEX(Curves!$B$4:$AO$4,1,72-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$4:$AO$4,1,72-Projects!$C$45+1)*Assumptions!$B$11*0.95+0.05*Projects!$B$45*Assumptions!$B$11,Projects!$B$45*INDEX(Curves!$B$4:$AO$4,1,72-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416421.905844156</v>
      </c>
      <c r="BW109" s="1" t="n">
        <f aca="false"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$4:$AO$4,1,73-Projects!$C$31+1)*Assumptions!$B$11*0.95+0.05*Projects!$B$31*Assumptions!$B$11,Projects!$B$31*INDEX(Curves!$B$4:$AO$4,1,73-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$4:$AO$4,1,73-Projects!$C$34+1)*Assumptions!$B$11*0.95+0.05*Projects!$B$34*Assumptions!$B$11,Projects!$B$34*INDEX(Curves!$B$4:$AO$4,1,73-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$4:$AO$4,1,73-Projects!$C$36+1)*Assumptions!$B$11*0.95+0.05*Projects!$B$36*Assumptions!$B$11,Projects!$B$36*INDEX(Curves!$B$4:$AO$4,1,73-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$4:$AO$4,1,73-Projects!$C$39+1)*Assumptions!$B$11*0.95+0.05*Projects!$B$39*Assumptions!$B$11,Projects!$B$39*INDEX(Curves!$B$4:$AO$4,1,73-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$4:$AO$4,1,73-Projects!$C$42+1)*Assumptions!$B$11*0.95+0.05*Projects!$B$42*Assumptions!$B$11,Projects!$B$42*INDEX(Curves!$B$4:$AO$4,1,73-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$4:$AO$4,1,73-Projects!$C$45+1)*Assumptions!$B$11*0.95+0.05*Projects!$B$45*Assumptions!$B$11,Projects!$B$45*INDEX(Curves!$B$4:$AO$4,1,73-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363122.108766234</v>
      </c>
      <c r="BX109" s="1" t="n">
        <f aca="false"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$4:$AO$4,1,74-Projects!$C$31+1)*Assumptions!$B$11*0.95+0.05*Projects!$B$31*Assumptions!$B$11,Projects!$B$31*INDEX(Curves!$B$4:$AO$4,1,74-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$4:$AO$4,1,74-Projects!$C$34+1)*Assumptions!$B$11*0.95+0.05*Projects!$B$34*Assumptions!$B$11,Projects!$B$34*INDEX(Curves!$B$4:$AO$4,1,74-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$4:$AO$4,1,74-Projects!$C$36+1)*Assumptions!$B$11*0.95+0.05*Projects!$B$36*Assumptions!$B$11,Projects!$B$36*INDEX(Curves!$B$4:$AO$4,1,74-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$4:$AO$4,1,74-Projects!$C$39+1)*Assumptions!$B$11*0.95+0.05*Projects!$B$39*Assumptions!$B$11,Projects!$B$39*INDEX(Curves!$B$4:$AO$4,1,74-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$4:$AO$4,1,74-Projects!$C$42+1)*Assumptions!$B$11*0.95+0.05*Projects!$B$42*Assumptions!$B$11,Projects!$B$42*INDEX(Curves!$B$4:$AO$4,1,74-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$4:$AO$4,1,74-Projects!$C$45+1)*Assumptions!$B$11*0.95+0.05*Projects!$B$45*Assumptions!$B$11,Projects!$B$45*INDEX(Curves!$B$4:$AO$4,1,74-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418879.336850649</v>
      </c>
      <c r="BY109" s="1" t="n">
        <f aca="false"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$4:$AO$4,1,75-Projects!$C$31+1)*Assumptions!$B$11*0.95+0.05*Projects!$B$31*Assumptions!$B$11,Projects!$B$31*INDEX(Curves!$B$4:$AO$4,1,75-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$4:$AO$4,1,75-Projects!$C$34+1)*Assumptions!$B$11*0.95+0.05*Projects!$B$34*Assumptions!$B$11,Projects!$B$34*INDEX(Curves!$B$4:$AO$4,1,75-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$4:$AO$4,1,75-Projects!$C$36+1)*Assumptions!$B$11*0.95+0.05*Projects!$B$36*Assumptions!$B$11,Projects!$B$36*INDEX(Curves!$B$4:$AO$4,1,75-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$4:$AO$4,1,75-Projects!$C$39+1)*Assumptions!$B$11*0.95+0.05*Projects!$B$39*Assumptions!$B$11,Projects!$B$39*INDEX(Curves!$B$4:$AO$4,1,75-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$4:$AO$4,1,75-Projects!$C$42+1)*Assumptions!$B$11*0.95+0.05*Projects!$B$42*Assumptions!$B$11,Projects!$B$42*INDEX(Curves!$B$4:$AO$4,1,75-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$4:$AO$4,1,75-Projects!$C$45+1)*Assumptions!$B$11*0.95+0.05*Projects!$B$45*Assumptions!$B$11,Projects!$B$45*INDEX(Curves!$B$4:$AO$4,1,75-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365774.551948052</v>
      </c>
      <c r="BZ109" s="1" t="n">
        <f aca="false"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$4:$AO$4,1,76-Projects!$C$31+1)*Assumptions!$B$11*0.95+0.05*Projects!$B$31*Assumptions!$B$11,Projects!$B$31*INDEX(Curves!$B$4:$AO$4,1,76-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$4:$AO$4,1,76-Projects!$C$34+1)*Assumptions!$B$11*0.95+0.05*Projects!$B$34*Assumptions!$B$11,Projects!$B$34*INDEX(Curves!$B$4:$AO$4,1,76-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$4:$AO$4,1,76-Projects!$C$36+1)*Assumptions!$B$11*0.95+0.05*Projects!$B$36*Assumptions!$B$11,Projects!$B$36*INDEX(Curves!$B$4:$AO$4,1,76-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$4:$AO$4,1,76-Projects!$C$39+1)*Assumptions!$B$11*0.95+0.05*Projects!$B$39*Assumptions!$B$11,Projects!$B$39*INDEX(Curves!$B$4:$AO$4,1,76-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$4:$AO$4,1,76-Projects!$C$42+1)*Assumptions!$B$11*0.95+0.05*Projects!$B$42*Assumptions!$B$11,Projects!$B$42*INDEX(Curves!$B$4:$AO$4,1,76-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$4:$AO$4,1,76-Projects!$C$45+1)*Assumptions!$B$11*0.95+0.05*Projects!$B$45*Assumptions!$B$11,Projects!$B$45*INDEX(Curves!$B$4:$AO$4,1,76-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425501.086850649</v>
      </c>
      <c r="CA109" s="1" t="n">
        <f aca="false"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$4:$AO$4,1,77-Projects!$C$31+1)*Assumptions!$B$11*0.95+0.05*Projects!$B$31*Assumptions!$B$11,Projects!$B$31*INDEX(Curves!$B$4:$AO$4,1,77-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$4:$AO$4,1,77-Projects!$C$34+1)*Assumptions!$B$11*0.95+0.05*Projects!$B$34*Assumptions!$B$11,Projects!$B$34*INDEX(Curves!$B$4:$AO$4,1,77-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$4:$AO$4,1,77-Projects!$C$36+1)*Assumptions!$B$11*0.95+0.05*Projects!$B$36*Assumptions!$B$11,Projects!$B$36*INDEX(Curves!$B$4:$AO$4,1,77-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$4:$AO$4,1,77-Projects!$C$39+1)*Assumptions!$B$11*0.95+0.05*Projects!$B$39*Assumptions!$B$11,Projects!$B$39*INDEX(Curves!$B$4:$AO$4,1,77-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$4:$AO$4,1,77-Projects!$C$42+1)*Assumptions!$B$11*0.95+0.05*Projects!$B$42*Assumptions!$B$11,Projects!$B$42*INDEX(Curves!$B$4:$AO$4,1,77-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$4:$AO$4,1,77-Projects!$C$45+1)*Assumptions!$B$11*0.95+0.05*Projects!$B$45*Assumptions!$B$11,Projects!$B$45*INDEX(Curves!$B$4:$AO$4,1,77-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361791.862012987</v>
      </c>
      <c r="CB109" s="1" t="n">
        <f aca="false"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$4:$AO$4,1,78-Projects!$C$31+1)*Assumptions!$B$11*0.95+0.05*Projects!$B$31*Assumptions!$B$11,Projects!$B$31*INDEX(Curves!$B$4:$AO$4,1,78-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$4:$AO$4,1,78-Projects!$C$34+1)*Assumptions!$B$11*0.95+0.05*Projects!$B$34*Assumptions!$B$11,Projects!$B$34*INDEX(Curves!$B$4:$AO$4,1,78-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$4:$AO$4,1,78-Projects!$C$36+1)*Assumptions!$B$11*0.95+0.05*Projects!$B$36*Assumptions!$B$11,Projects!$B$36*INDEX(Curves!$B$4:$AO$4,1,78-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$4:$AO$4,1,78-Projects!$C$39+1)*Assumptions!$B$11*0.95+0.05*Projects!$B$39*Assumptions!$B$11,Projects!$B$39*INDEX(Curves!$B$4:$AO$4,1,78-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$4:$AO$4,1,78-Projects!$C$42+1)*Assumptions!$B$11*0.95+0.05*Projects!$B$42*Assumptions!$B$11,Projects!$B$42*INDEX(Curves!$B$4:$AO$4,1,78-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$4:$AO$4,1,78-Projects!$C$45+1)*Assumptions!$B$11*0.95+0.05*Projects!$B$45*Assumptions!$B$11,Projects!$B$45*INDEX(Curves!$B$4:$AO$4,1,78-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414515.366883117</v>
      </c>
      <c r="CC109" s="1" t="n">
        <f aca="false"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$4:$AO$4,1,79-Projects!$C$31+1)*Assumptions!$B$11*0.95+0.05*Projects!$B$31*Assumptions!$B$11,Projects!$B$31*INDEX(Curves!$B$4:$AO$4,1,79-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$4:$AO$4,1,79-Projects!$C$34+1)*Assumptions!$B$11*0.95+0.05*Projects!$B$34*Assumptions!$B$11,Projects!$B$34*INDEX(Curves!$B$4:$AO$4,1,79-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$4:$AO$4,1,79-Projects!$C$36+1)*Assumptions!$B$11*0.95+0.05*Projects!$B$36*Assumptions!$B$11,Projects!$B$36*INDEX(Curves!$B$4:$AO$4,1,79-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$4:$AO$4,1,79-Projects!$C$39+1)*Assumptions!$B$11*0.95+0.05*Projects!$B$39*Assumptions!$B$11,Projects!$B$39*INDEX(Curves!$B$4:$AO$4,1,79-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$4:$AO$4,1,79-Projects!$C$42+1)*Assumptions!$B$11*0.95+0.05*Projects!$B$42*Assumptions!$B$11,Projects!$B$42*INDEX(Curves!$B$4:$AO$4,1,79-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$4:$AO$4,1,79-Projects!$C$45+1)*Assumptions!$B$11*0.95+0.05*Projects!$B$45*Assumptions!$B$11,Projects!$B$45*INDEX(Curves!$B$4:$AO$4,1,79-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361227.367694805</v>
      </c>
      <c r="CD109" s="1" t="n">
        <f aca="false"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$4:$AO$4,1,80-Projects!$C$31+1)*Assumptions!$B$11*0.95+0.05*Projects!$B$31*Assumptions!$B$11,Projects!$B$31*INDEX(Curves!$B$4:$AO$4,1,80-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$4:$AO$4,1,80-Projects!$C$34+1)*Assumptions!$B$11*0.95+0.05*Projects!$B$34*Assumptions!$B$11,Projects!$B$34*INDEX(Curves!$B$4:$AO$4,1,80-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$4:$AO$4,1,80-Projects!$C$36+1)*Assumptions!$B$11*0.95+0.05*Projects!$B$36*Assumptions!$B$11,Projects!$B$36*INDEX(Curves!$B$4:$AO$4,1,80-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$4:$AO$4,1,80-Projects!$C$39+1)*Assumptions!$B$11*0.95+0.05*Projects!$B$39*Assumptions!$B$11,Projects!$B$39*INDEX(Curves!$B$4:$AO$4,1,80-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$4:$AO$4,1,80-Projects!$C$42+1)*Assumptions!$B$11*0.95+0.05*Projects!$B$42*Assumptions!$B$11,Projects!$B$42*INDEX(Curves!$B$4:$AO$4,1,80-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$4:$AO$4,1,80-Projects!$C$45+1)*Assumptions!$B$11*0.95+0.05*Projects!$B$45*Assumptions!$B$11,Projects!$B$45*INDEX(Curves!$B$4:$AO$4,1,80-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424385.006493506</v>
      </c>
      <c r="CE109" s="1" t="n">
        <f aca="false"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$4:$AO$4,1,81-Projects!$C$31+1)*Assumptions!$B$11*0.95+0.05*Projects!$B$31*Assumptions!$B$11,Projects!$B$31*INDEX(Curves!$B$4:$AO$4,1,81-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$4:$AO$4,1,81-Projects!$C$34+1)*Assumptions!$B$11*0.95+0.05*Projects!$B$34*Assumptions!$B$11,Projects!$B$34*INDEX(Curves!$B$4:$AO$4,1,81-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$4:$AO$4,1,81-Projects!$C$36+1)*Assumptions!$B$11*0.95+0.05*Projects!$B$36*Assumptions!$B$11,Projects!$B$36*INDEX(Curves!$B$4:$AO$4,1,81-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$4:$AO$4,1,81-Projects!$C$39+1)*Assumptions!$B$11*0.95+0.05*Projects!$B$39*Assumptions!$B$11,Projects!$B$39*INDEX(Curves!$B$4:$AO$4,1,81-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$4:$AO$4,1,81-Projects!$C$42+1)*Assumptions!$B$11*0.95+0.05*Projects!$B$42*Assumptions!$B$11,Projects!$B$42*INDEX(Curves!$B$4:$AO$4,1,81-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$4:$AO$4,1,81-Projects!$C$45+1)*Assumptions!$B$11*0.95+0.05*Projects!$B$45*Assumptions!$B$11,Projects!$B$45*INDEX(Curves!$B$4:$AO$4,1,81-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361227.367694805</v>
      </c>
      <c r="CF109" s="1" t="n">
        <f aca="false"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$4:$AO$4,1,82-Projects!$C$31+1)*Assumptions!$B$11*0.95+0.05*Projects!$B$31*Assumptions!$B$11,Projects!$B$31*INDEX(Curves!$B$4:$AO$4,1,82-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$4:$AO$4,1,82-Projects!$C$34+1)*Assumptions!$B$11*0.95+0.05*Projects!$B$34*Assumptions!$B$11,Projects!$B$34*INDEX(Curves!$B$4:$AO$4,1,82-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$4:$AO$4,1,82-Projects!$C$36+1)*Assumptions!$B$11*0.95+0.05*Projects!$B$36*Assumptions!$B$11,Projects!$B$36*INDEX(Curves!$B$4:$AO$4,1,82-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$4:$AO$4,1,82-Projects!$C$39+1)*Assumptions!$B$11*0.95+0.05*Projects!$B$39*Assumptions!$B$11,Projects!$B$39*INDEX(Curves!$B$4:$AO$4,1,82-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$4:$AO$4,1,82-Projects!$C$42+1)*Assumptions!$B$11*0.95+0.05*Projects!$B$42*Assumptions!$B$11,Projects!$B$42*INDEX(Curves!$B$4:$AO$4,1,82-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$4:$AO$4,1,82-Projects!$C$45+1)*Assumptions!$B$11*0.95+0.05*Projects!$B$45*Assumptions!$B$11,Projects!$B$45*INDEX(Curves!$B$4:$AO$4,1,82-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414515.366883117</v>
      </c>
      <c r="CG109" s="1" t="n">
        <f aca="false"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$4:$AO$4,1,83-Projects!$C$31+1)*Assumptions!$B$11*0.95+0.05*Projects!$B$31*Assumptions!$B$11,Projects!$B$31*INDEX(Curves!$B$4:$AO$4,1,83-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$4:$AO$4,1,83-Projects!$C$34+1)*Assumptions!$B$11*0.95+0.05*Projects!$B$34*Assumptions!$B$11,Projects!$B$34*INDEX(Curves!$B$4:$AO$4,1,83-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$4:$AO$4,1,83-Projects!$C$36+1)*Assumptions!$B$11*0.95+0.05*Projects!$B$36*Assumptions!$B$11,Projects!$B$36*INDEX(Curves!$B$4:$AO$4,1,83-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$4:$AO$4,1,83-Projects!$C$39+1)*Assumptions!$B$11*0.95+0.05*Projects!$B$39*Assumptions!$B$11,Projects!$B$39*INDEX(Curves!$B$4:$AO$4,1,83-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$4:$AO$4,1,83-Projects!$C$42+1)*Assumptions!$B$11*0.95+0.05*Projects!$B$42*Assumptions!$B$11,Projects!$B$42*INDEX(Curves!$B$4:$AO$4,1,83-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$4:$AO$4,1,83-Projects!$C$45+1)*Assumptions!$B$11*0.95+0.05*Projects!$B$45*Assumptions!$B$11,Projects!$B$45*INDEX(Curves!$B$4:$AO$4,1,83-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361791.862012987</v>
      </c>
      <c r="CH109" s="1" t="n">
        <f aca="false"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$4:$AO$4,1,84-Projects!$C$31+1)*Assumptions!$B$11*0.95+0.05*Projects!$B$31*Assumptions!$B$11,Projects!$B$31*INDEX(Curves!$B$4:$AO$4,1,84-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$4:$AO$4,1,84-Projects!$C$34+1)*Assumptions!$B$11*0.95+0.05*Projects!$B$34*Assumptions!$B$11,Projects!$B$34*INDEX(Curves!$B$4:$AO$4,1,84-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$4:$AO$4,1,84-Projects!$C$36+1)*Assumptions!$B$11*0.95+0.05*Projects!$B$36*Assumptions!$B$11,Projects!$B$36*INDEX(Curves!$B$4:$AO$4,1,84-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$4:$AO$4,1,84-Projects!$C$39+1)*Assumptions!$B$11*0.95+0.05*Projects!$B$39*Assumptions!$B$11,Projects!$B$39*INDEX(Curves!$B$4:$AO$4,1,84-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$4:$AO$4,1,84-Projects!$C$42+1)*Assumptions!$B$11*0.95+0.05*Projects!$B$42*Assumptions!$B$11,Projects!$B$42*INDEX(Curves!$B$4:$AO$4,1,84-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$4:$AO$4,1,84-Projects!$C$45+1)*Assumptions!$B$11*0.95+0.05*Projects!$B$45*Assumptions!$B$11,Projects!$B$45*INDEX(Curves!$B$4:$AO$4,1,84-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396112.741071429</v>
      </c>
    </row>
    <row r="110" customFormat="false" ht="15" hidden="false" customHeight="false" outlineLevel="0" collapsed="false">
      <c r="A110" s="1" t="s">
        <v>605</v>
      </c>
      <c r="C110" s="1" t="n">
        <f aca="false"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 s="1" t="n">
        <f aca="false"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 s="1" t="n">
        <f aca="false"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 s="1" t="n">
        <f aca="false"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 s="1" t="n">
        <f aca="false"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 s="1" t="n">
        <f aca="false"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 s="1" t="n">
        <f aca="false"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 s="1" t="n">
        <f aca="false"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 s="1" t="n">
        <f aca="false"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 s="1" t="n">
        <f aca="false"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 s="1" t="n">
        <f aca="false"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 s="1" t="n">
        <f aca="false"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 s="1" t="n">
        <f aca="false"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 s="1" t="n">
        <f aca="false"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 s="1" t="n">
        <f aca="false"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 s="1" t="n">
        <f aca="false"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 s="1" t="n">
        <f aca="false"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 s="1" t="n">
        <f aca="false"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 s="1" t="n">
        <f aca="false"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 s="1" t="n">
        <f aca="false"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 s="1" t="n">
        <f aca="false"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 s="1" t="n">
        <f aca="false"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 s="1" t="n">
        <f aca="false"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 s="1" t="n">
        <f aca="false"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 s="1" t="n">
        <f aca="false"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 s="1" t="n">
        <f aca="false"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 s="1" t="n">
        <f aca="false"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 s="1" t="n">
        <f aca="false"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 s="1" t="n">
        <f aca="false"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 s="1" t="n">
        <f aca="false"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 s="1" t="n">
        <f aca="false"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 s="1" t="n">
        <f aca="false"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 s="1" t="n">
        <f aca="false"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 s="1" t="n">
        <f aca="false"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 s="1" t="n">
        <f aca="false"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 s="1" t="n">
        <f aca="false"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 s="1" t="n">
        <f aca="false"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 s="1" t="n">
        <f aca="false"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 s="1" t="n">
        <f aca="false"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 s="1" t="n">
        <f aca="false"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 s="1" t="n">
        <f aca="false"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 s="1" t="n">
        <f aca="false"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 s="1" t="n">
        <f aca="false"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 s="1" t="n">
        <f aca="false"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 s="1" t="n">
        <f aca="false"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 s="1" t="n">
        <f aca="false"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 s="1" t="n">
        <f aca="false"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 s="1" t="n">
        <f aca="false"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 s="1" t="n">
        <f aca="false"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 s="1" t="n">
        <f aca="false"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12175.3246753247</v>
      </c>
      <c r="BA110" s="1" t="n">
        <f aca="false"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12175.3246753247</v>
      </c>
      <c r="BB110" s="1" t="n">
        <f aca="false"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26785.7142857143</v>
      </c>
      <c r="BC110" s="1" t="n">
        <f aca="false"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26785.7142857143</v>
      </c>
      <c r="BD110" s="1" t="n">
        <f aca="false"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38961.038961039</v>
      </c>
      <c r="BE110" s="1" t="n">
        <f aca="false"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38961.038961039</v>
      </c>
      <c r="BF110" s="1" t="n">
        <f aca="false"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51136.3636363636</v>
      </c>
      <c r="BG110" s="1" t="n">
        <f aca="false"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51136.3636363636</v>
      </c>
      <c r="BH110" s="1" t="n">
        <f aca="false"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65746.7532467532</v>
      </c>
      <c r="BI110" s="1" t="n">
        <f aca="false"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65746.7532467532</v>
      </c>
      <c r="BJ110" s="1" t="n">
        <f aca="false"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77922.0779220779</v>
      </c>
      <c r="BK110" s="1" t="n">
        <f aca="false"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77922.0779220779</v>
      </c>
      <c r="BL110" s="1" t="n">
        <f aca="false"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92532.4675324675</v>
      </c>
      <c r="BM110" s="1" t="n">
        <f aca="false"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92532.4675324675</v>
      </c>
      <c r="BN110" s="1" t="n">
        <f aca="false"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104707.792207792</v>
      </c>
      <c r="BO110" s="1" t="n">
        <f aca="false"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104707.792207792</v>
      </c>
      <c r="BP110" s="1" t="n">
        <f aca="false"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116883.116883117</v>
      </c>
      <c r="BQ110" s="1" t="n">
        <f aca="false"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116883.116883117</v>
      </c>
      <c r="BR110" s="1" t="n">
        <f aca="false"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143668.831168831</v>
      </c>
      <c r="BS110" s="1" t="n">
        <f aca="false"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119318.181818182</v>
      </c>
      <c r="BT110" s="1" t="n">
        <f aca="false"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146103.896103896</v>
      </c>
      <c r="BU110" s="1" t="n">
        <f aca="false"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116883.116883117</v>
      </c>
      <c r="BV110" s="1" t="n">
        <f aca="false"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141233.766233766</v>
      </c>
      <c r="BW110" s="1" t="n">
        <f aca="false"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116883.116883117</v>
      </c>
      <c r="BX110" s="1" t="n">
        <f aca="false"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143668.831168831</v>
      </c>
      <c r="BY110" s="1" t="n">
        <f aca="false"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119318.181818182</v>
      </c>
      <c r="BZ110" s="1" t="n">
        <f aca="false"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146103.896103896</v>
      </c>
      <c r="CA110" s="1" t="n">
        <f aca="false"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116883.116883117</v>
      </c>
      <c r="CB110" s="1" t="n">
        <f aca="false"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141233.766233766</v>
      </c>
      <c r="CC110" s="1" t="n">
        <f aca="false"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116883.116883117</v>
      </c>
      <c r="CD110" s="1" t="n">
        <f aca="false"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146103.896103896</v>
      </c>
      <c r="CE110" s="1" t="n">
        <f aca="false"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116883.116883117</v>
      </c>
      <c r="CF110" s="1" t="n">
        <f aca="false"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141233.766233766</v>
      </c>
      <c r="CG110" s="1" t="n">
        <f aca="false"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116883.116883117</v>
      </c>
      <c r="CH110" s="1" t="n">
        <f aca="false"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129058.441558442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7" t="s">
        <v>606</v>
      </c>
    </row>
    <row r="2" customFormat="false" ht="15" hidden="false" customHeight="true" outlineLevel="0" collapsed="false">
      <c r="A2" s="110" t="s">
        <v>271</v>
      </c>
      <c r="B2" s="6" t="s">
        <v>279</v>
      </c>
    </row>
    <row r="4" customFormat="false" ht="15" hidden="false" customHeight="true" outlineLevel="0" collapsed="false">
      <c r="A4" s="138" t="s">
        <v>607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</row>
    <row r="5" customFormat="false" ht="15" hidden="false" customHeight="true" outlineLevel="0" collapsed="false">
      <c r="A5" s="110" t="s">
        <v>608</v>
      </c>
      <c r="B5" s="110" t="s">
        <v>606</v>
      </c>
    </row>
    <row r="6" customFormat="false" ht="15" hidden="false" customHeight="true" outlineLevel="0" collapsed="false">
      <c r="A6" s="110" t="s">
        <v>609</v>
      </c>
      <c r="B6" s="110" t="s">
        <v>610</v>
      </c>
    </row>
    <row r="7" customFormat="false" ht="15" hidden="false" customHeight="true" outlineLevel="0" collapsed="false">
      <c r="A7" s="110" t="s">
        <v>611</v>
      </c>
      <c r="B7" s="139" t="n">
        <v>60</v>
      </c>
    </row>
    <row r="8" customFormat="false" ht="15" hidden="false" customHeight="true" outlineLevel="0" collapsed="false">
      <c r="A8" s="110" t="s">
        <v>612</v>
      </c>
      <c r="B8" s="110" t="s">
        <v>613</v>
      </c>
    </row>
    <row r="9" customFormat="false" ht="15" hidden="false" customHeight="true" outlineLevel="0" collapsed="false">
      <c r="A9" s="110" t="s">
        <v>614</v>
      </c>
      <c r="B9" s="65" t="n">
        <v>1400000</v>
      </c>
    </row>
    <row r="10" customFormat="false" ht="15" hidden="false" customHeight="true" outlineLevel="0" collapsed="false">
      <c r="A10" s="110" t="s">
        <v>615</v>
      </c>
      <c r="B10" s="65" t="n">
        <v>1609391</v>
      </c>
    </row>
    <row r="11" customFormat="false" ht="15" hidden="false" customHeight="true" outlineLevel="0" collapsed="false">
      <c r="A11" s="110" t="s">
        <v>616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 t="n">
        <f aca="false">B16</f>
        <v>9009665</v>
      </c>
    </row>
    <row r="14" customFormat="false" ht="15" hidden="false" customHeight="true" outlineLevel="0" collapsed="false">
      <c r="A14" s="140" t="s">
        <v>617</v>
      </c>
      <c r="B14" s="140"/>
      <c r="C14" s="140"/>
      <c r="D14" s="140"/>
      <c r="E14" s="140"/>
      <c r="F14" s="140"/>
      <c r="G14" s="140"/>
      <c r="H14" s="140"/>
      <c r="I14" s="140"/>
      <c r="J14" s="140"/>
      <c r="K14" s="140"/>
    </row>
    <row r="15" customFormat="false" ht="15" hidden="false" customHeight="true" outlineLevel="0" collapsed="false">
      <c r="B15" s="141" t="s">
        <v>318</v>
      </c>
      <c r="C15" s="141" t="s">
        <v>1</v>
      </c>
      <c r="D15" s="141" t="s">
        <v>2</v>
      </c>
      <c r="E15" s="141" t="s">
        <v>3</v>
      </c>
      <c r="F15" s="141" t="s">
        <v>4</v>
      </c>
      <c r="G15" s="141" t="s">
        <v>5</v>
      </c>
      <c r="H15" s="141" t="s">
        <v>6</v>
      </c>
      <c r="I15" s="141" t="s">
        <v>7</v>
      </c>
      <c r="J15" s="141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618</v>
      </c>
      <c r="B17" s="7" t="n">
        <f aca="false">C17+D17+E17+F17+G17+H17+I17+J17</f>
        <v>-1500039</v>
      </c>
      <c r="C17" s="65" t="n">
        <f aca="false">SUM(C100:K100)</f>
        <v>0</v>
      </c>
      <c r="D17" s="65" t="n">
        <f aca="false">SUM(L100:W100)</f>
        <v>-202088</v>
      </c>
      <c r="E17" s="65" t="n">
        <f aca="false"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619</v>
      </c>
      <c r="B18" s="7" t="n">
        <f aca="false">C18+D18+E18+F18+G18+H18+I18+J18</f>
        <v>-456000</v>
      </c>
      <c r="C18" s="65" t="n">
        <f aca="false">SUM(C101:K101)</f>
        <v>0</v>
      </c>
      <c r="D18" s="65" t="n">
        <f aca="false">SUM(L101:W101)</f>
        <v>-114000</v>
      </c>
      <c r="E18" s="65" t="n">
        <f aca="false">SUM(X101:AI101)</f>
        <v>-114000</v>
      </c>
      <c r="F18" s="65" t="n">
        <f aca="false">SUM(AJ101:AU101)</f>
        <v>-114000</v>
      </c>
      <c r="G18" s="65" t="n">
        <f aca="false"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42" t="s">
        <v>620</v>
      </c>
      <c r="B19" s="143" t="n">
        <f aca="false">C19+D19+E19+F19+G19+H19+I19+J19</f>
        <v>7053626</v>
      </c>
      <c r="C19" s="143" t="n">
        <f aca="false">SUM(C102:K102)</f>
        <v>0</v>
      </c>
      <c r="D19" s="143" t="n">
        <f aca="false">SUM(L102:W102)</f>
        <v>768293.66</v>
      </c>
      <c r="E19" s="143" t="n">
        <f aca="false">SUM(X102:AI102)</f>
        <v>3186090.39</v>
      </c>
      <c r="F19" s="143" t="n">
        <f aca="false">SUM(AJ102:AU102)</f>
        <v>1863287.01</v>
      </c>
      <c r="G19" s="143" t="n">
        <f aca="false">SUM(AV102:BG102)</f>
        <v>805320.42</v>
      </c>
      <c r="H19" s="143" t="n">
        <f aca="false">SUM(BH102:BS102)</f>
        <v>430634.52</v>
      </c>
      <c r="I19" s="143" t="n">
        <f aca="false">SUM(BT102:CE102)</f>
        <v>0</v>
      </c>
      <c r="J19" s="143" t="n">
        <f aca="false">SUM(CF102:CH102)</f>
        <v>0</v>
      </c>
    </row>
    <row r="20" customFormat="false" ht="15" hidden="false" customHeight="true" outlineLevel="0" collapsed="false">
      <c r="A20" s="110" t="s">
        <v>621</v>
      </c>
      <c r="B20" s="7" t="n">
        <f aca="false">C20+D20+E20+F20+G20+H20+I20+J20</f>
        <v>563192.617</v>
      </c>
      <c r="C20" s="65" t="n">
        <f aca="false">SUM(C103:K103)</f>
        <v>0</v>
      </c>
      <c r="D20" s="65" t="n">
        <f aca="false">SUM(L103:W103)</f>
        <v>93581.82</v>
      </c>
      <c r="E20" s="65" t="n">
        <f aca="false">SUM(X103:AI103)</f>
        <v>150000</v>
      </c>
      <c r="F20" s="65" t="n">
        <f aca="false">SUM(AJ103:AU103)</f>
        <v>148450.302</v>
      </c>
      <c r="G20" s="65" t="n">
        <f aca="false">SUM(AV103:BG103)</f>
        <v>136933.242</v>
      </c>
      <c r="H20" s="65" t="n">
        <f aca="false">SUM(BH103:BS103)</f>
        <v>34227.253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42" t="s">
        <v>622</v>
      </c>
      <c r="B21" s="143" t="n">
        <f aca="false">C21+D21+E21+F21+G21+H21+I21+J21</f>
        <v>6490433.383</v>
      </c>
      <c r="C21" s="143" t="n">
        <f aca="false">SUM(C104:K104)</f>
        <v>0</v>
      </c>
      <c r="D21" s="143" t="n">
        <f aca="false">SUM(L104:W104)</f>
        <v>674711.84</v>
      </c>
      <c r="E21" s="143" t="n">
        <f aca="false">SUM(X104:AI104)</f>
        <v>3036090.39</v>
      </c>
      <c r="F21" s="143" t="n">
        <f aca="false">SUM(AJ104:AU104)</f>
        <v>1714836.708</v>
      </c>
      <c r="G21" s="143" t="n">
        <f aca="false">SUM(AV104:BG104)</f>
        <v>668387.178</v>
      </c>
      <c r="H21" s="143" t="n">
        <f aca="false">SUM(BH104:BS104)</f>
        <v>396407.267</v>
      </c>
      <c r="I21" s="143" t="n">
        <f aca="false">SUM(BT104:CE104)</f>
        <v>0</v>
      </c>
      <c r="J21" s="143" t="n">
        <f aca="false">SUM(CF104:CH104)</f>
        <v>0</v>
      </c>
    </row>
    <row r="22" customFormat="false" ht="15" hidden="false" customHeight="true" outlineLevel="0" collapsed="false">
      <c r="A22" s="110" t="s">
        <v>623</v>
      </c>
      <c r="B22" s="7" t="n">
        <f aca="false">C22+D22+E22+F22+G22+H22+I22+J22</f>
        <v>2951665.926</v>
      </c>
      <c r="C22" s="65" t="n">
        <f aca="false">SUM(C105:K105)</f>
        <v>0</v>
      </c>
      <c r="D22" s="65" t="n">
        <f aca="false">SUM(L105:W105)</f>
        <v>269884.736</v>
      </c>
      <c r="E22" s="65" t="n">
        <f aca="false">SUM(X105:AI105)</f>
        <v>1335772.732</v>
      </c>
      <c r="F22" s="65" t="n">
        <f aca="false">SUM(AJ105:AU105)</f>
        <v>813611.2355</v>
      </c>
      <c r="G22" s="65" t="n">
        <f aca="false">SUM(AV105:BG105)</f>
        <v>334193.589</v>
      </c>
      <c r="H22" s="65" t="n">
        <f aca="false"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624</v>
      </c>
      <c r="B23" s="7" t="n">
        <f aca="false">C23+D23+E23+F23+G23+H23+I23+J23</f>
        <v>3538767.457</v>
      </c>
      <c r="C23" s="65" t="n">
        <f aca="false">SUM(C106:K106)</f>
        <v>0</v>
      </c>
      <c r="D23" s="65" t="n">
        <f aca="false">SUM(L106:W106)</f>
        <v>404827.104</v>
      </c>
      <c r="E23" s="65" t="n">
        <f aca="false">SUM(X106:AI106)</f>
        <v>1700317.658</v>
      </c>
      <c r="F23" s="65" t="n">
        <f aca="false">SUM(AJ106:AU106)</f>
        <v>901225.4725</v>
      </c>
      <c r="G23" s="65" t="n">
        <f aca="false">SUM(AV106:BG106)</f>
        <v>334193.589</v>
      </c>
      <c r="H23" s="65" t="n">
        <f aca="false"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4" t="s">
        <v>625</v>
      </c>
      <c r="B24" s="145" t="n">
        <f aca="false">C24+D24+E24+F24+G24+H24+I24+J24</f>
        <v>4101960.074</v>
      </c>
      <c r="C24" s="145" t="n">
        <f aca="false">SUM(C107:K107)</f>
        <v>0</v>
      </c>
      <c r="D24" s="145" t="n">
        <f aca="false">SUM(L107:W107)</f>
        <v>498408.924</v>
      </c>
      <c r="E24" s="145" t="n">
        <f aca="false">SUM(X107:AI107)</f>
        <v>1850317.658</v>
      </c>
      <c r="F24" s="145" t="n">
        <f aca="false">SUM(AJ107:AU107)</f>
        <v>1049675.7745</v>
      </c>
      <c r="G24" s="145" t="n">
        <f aca="false">SUM(AV107:BG107)</f>
        <v>471126.831</v>
      </c>
      <c r="H24" s="145" t="n">
        <f aca="false">SUM(BH107:BS107)</f>
        <v>232430.8865</v>
      </c>
      <c r="I24" s="145" t="n">
        <f aca="false">SUM(BT107:CE107)</f>
        <v>0</v>
      </c>
      <c r="J24" s="145" t="n">
        <f aca="false">SUM(CF107:CH107)</f>
        <v>0</v>
      </c>
    </row>
    <row r="26" customFormat="false" ht="15" hidden="false" customHeight="true" outlineLevel="0" collapsed="false">
      <c r="A26" s="146" t="s">
        <v>626</v>
      </c>
      <c r="B26" s="146"/>
      <c r="C26" s="146"/>
      <c r="D26" s="146"/>
      <c r="E26" s="146"/>
      <c r="F26" s="146"/>
      <c r="G26" s="146"/>
      <c r="H26" s="146"/>
      <c r="I26" s="146"/>
      <c r="J26" s="146"/>
      <c r="K26" s="146"/>
    </row>
    <row r="27" customFormat="false" ht="15" hidden="false" customHeight="true" outlineLevel="0" collapsed="false">
      <c r="A27" s="147" t="s">
        <v>627</v>
      </c>
      <c r="B27" s="147" t="s">
        <v>628</v>
      </c>
      <c r="C27" s="147" t="s">
        <v>629</v>
      </c>
      <c r="D27" s="147" t="s">
        <v>614</v>
      </c>
      <c r="E27" s="147" t="s">
        <v>630</v>
      </c>
    </row>
    <row r="28" customFormat="false" ht="15" hidden="false" customHeight="true" outlineLevel="0" collapsed="false">
      <c r="A28" s="110" t="s">
        <v>631</v>
      </c>
      <c r="B28" s="139" t="n">
        <v>6</v>
      </c>
      <c r="C28" s="110" t="s">
        <v>632</v>
      </c>
      <c r="D28" s="65" t="n">
        <v>1400000</v>
      </c>
      <c r="E28" s="148" t="s">
        <v>633</v>
      </c>
    </row>
    <row r="29" customFormat="false" ht="15" hidden="false" customHeight="true" outlineLevel="0" collapsed="false">
      <c r="A29" s="110" t="s">
        <v>634</v>
      </c>
      <c r="B29" s="139" t="n">
        <v>18</v>
      </c>
      <c r="C29" s="110" t="s">
        <v>635</v>
      </c>
      <c r="D29" s="65" t="n">
        <v>1400000</v>
      </c>
      <c r="E29" s="148" t="s">
        <v>636</v>
      </c>
    </row>
    <row r="30" customFormat="false" ht="15" hidden="false" customHeight="true" outlineLevel="0" collapsed="false">
      <c r="A30" s="110" t="s">
        <v>637</v>
      </c>
      <c r="B30" s="139" t="n">
        <v>18</v>
      </c>
      <c r="C30" s="110" t="s">
        <v>638</v>
      </c>
      <c r="D30" s="65" t="n">
        <v>1400000</v>
      </c>
      <c r="E30" s="148" t="s">
        <v>639</v>
      </c>
    </row>
    <row r="31" customFormat="false" ht="15" hidden="false" customHeight="true" outlineLevel="0" collapsed="false">
      <c r="A31" s="110" t="s">
        <v>640</v>
      </c>
      <c r="B31" s="139" t="n">
        <v>18</v>
      </c>
      <c r="C31" s="110" t="s">
        <v>641</v>
      </c>
      <c r="D31" s="65" t="n">
        <v>1400000</v>
      </c>
      <c r="E31" s="148" t="s">
        <v>642</v>
      </c>
    </row>
    <row r="32" customFormat="false" ht="15" hidden="false" customHeight="true" outlineLevel="0" collapsed="false">
      <c r="A32" s="147" t="s">
        <v>318</v>
      </c>
      <c r="B32" s="149" t="n">
        <v>60</v>
      </c>
      <c r="C32" s="147" t="s">
        <v>643</v>
      </c>
      <c r="D32" s="150" t="n">
        <v>1400000</v>
      </c>
    </row>
    <row r="34" customFormat="false" ht="15" hidden="false" customHeight="true" outlineLevel="0" collapsed="false">
      <c r="A34" s="151" t="s">
        <v>644</v>
      </c>
      <c r="B34" s="151"/>
      <c r="C34" s="151"/>
      <c r="D34" s="151"/>
      <c r="E34" s="151"/>
      <c r="F34" s="151"/>
      <c r="G34" s="151"/>
      <c r="H34" s="151"/>
      <c r="I34" s="151"/>
      <c r="J34" s="151"/>
      <c r="K34" s="151"/>
    </row>
    <row r="35" customFormat="false" ht="15" hidden="false" customHeight="true" outlineLevel="0" collapsed="false">
      <c r="A35" s="152" t="s">
        <v>645</v>
      </c>
      <c r="B35" s="152" t="s">
        <v>646</v>
      </c>
      <c r="C35" s="152" t="s">
        <v>647</v>
      </c>
      <c r="D35" s="152" t="s">
        <v>648</v>
      </c>
      <c r="E35" s="152" t="s">
        <v>649</v>
      </c>
      <c r="F35" s="152" t="s">
        <v>236</v>
      </c>
    </row>
    <row r="36" customFormat="false" ht="15" hidden="false" customHeight="true" outlineLevel="0" collapsed="false">
      <c r="A36" s="110" t="s">
        <v>650</v>
      </c>
      <c r="B36" s="110" t="s">
        <v>651</v>
      </c>
      <c r="C36" s="110" t="s">
        <v>652</v>
      </c>
      <c r="D36" s="65" t="n">
        <v>14000</v>
      </c>
      <c r="E36" s="65" t="n">
        <v>840000</v>
      </c>
      <c r="F36" s="153" t="s">
        <v>653</v>
      </c>
    </row>
    <row r="37" customFormat="false" ht="15" hidden="false" customHeight="true" outlineLevel="0" collapsed="false">
      <c r="A37" s="110" t="s">
        <v>654</v>
      </c>
      <c r="B37" s="110" t="s">
        <v>655</v>
      </c>
      <c r="C37" s="110" t="s">
        <v>656</v>
      </c>
      <c r="D37" s="65" t="n">
        <v>96563</v>
      </c>
      <c r="E37" s="65" t="n">
        <v>5793808</v>
      </c>
      <c r="F37" s="153" t="s">
        <v>657</v>
      </c>
    </row>
    <row r="38" customFormat="false" ht="15" hidden="false" customHeight="true" outlineLevel="0" collapsed="false">
      <c r="A38" s="110" t="s">
        <v>658</v>
      </c>
      <c r="B38" s="110" t="s">
        <v>659</v>
      </c>
      <c r="C38" s="110" t="s">
        <v>660</v>
      </c>
      <c r="D38" s="65" t="n">
        <v>5400</v>
      </c>
      <c r="E38" s="65" t="n">
        <v>324000</v>
      </c>
      <c r="F38" s="153" t="s">
        <v>661</v>
      </c>
    </row>
    <row r="39" customFormat="false" ht="15" hidden="false" customHeight="true" outlineLevel="0" collapsed="false">
      <c r="A39" s="110" t="s">
        <v>662</v>
      </c>
      <c r="B39" s="110" t="s">
        <v>651</v>
      </c>
      <c r="C39" s="110" t="s">
        <v>663</v>
      </c>
      <c r="D39" s="65" t="n">
        <v>34198</v>
      </c>
      <c r="E39" s="65" t="n">
        <v>2051858</v>
      </c>
      <c r="F39" s="153" t="s">
        <v>664</v>
      </c>
    </row>
    <row r="40" customFormat="false" ht="15" hidden="false" customHeight="true" outlineLevel="0" collapsed="false">
      <c r="A40" s="152" t="s">
        <v>469</v>
      </c>
      <c r="D40" s="154" t="n">
        <v>150161</v>
      </c>
      <c r="E40" s="154" t="n">
        <v>9009665</v>
      </c>
    </row>
    <row r="42" customFormat="false" ht="15" hidden="false" customHeight="true" outlineLevel="0" collapsed="false">
      <c r="A42" s="155" t="s">
        <v>665</v>
      </c>
      <c r="B42" s="155"/>
      <c r="C42" s="155"/>
      <c r="D42" s="155"/>
      <c r="E42" s="155"/>
      <c r="F42" s="155"/>
      <c r="G42" s="155"/>
      <c r="H42" s="155"/>
      <c r="I42" s="155"/>
      <c r="J42" s="155"/>
      <c r="K42" s="155"/>
    </row>
    <row r="43" customFormat="false" ht="15" hidden="false" customHeight="true" outlineLevel="0" collapsed="false">
      <c r="A43" s="156" t="s">
        <v>505</v>
      </c>
      <c r="B43" s="156" t="s">
        <v>666</v>
      </c>
      <c r="C43" s="156" t="s">
        <v>667</v>
      </c>
      <c r="D43" s="156" t="s">
        <v>668</v>
      </c>
      <c r="E43" s="156" t="s">
        <v>669</v>
      </c>
      <c r="F43" s="156" t="s">
        <v>670</v>
      </c>
      <c r="G43" s="156" t="s">
        <v>671</v>
      </c>
    </row>
    <row r="44" customFormat="false" ht="15" hidden="false" customHeight="true" outlineLevel="0" collapsed="false">
      <c r="A44" s="110" t="s">
        <v>672</v>
      </c>
      <c r="B44" s="65" t="n">
        <v>125000</v>
      </c>
      <c r="C44" s="65" t="n">
        <v>10417</v>
      </c>
      <c r="D44" s="110" t="s">
        <v>374</v>
      </c>
      <c r="E44" s="110" t="s">
        <v>673</v>
      </c>
      <c r="F44" s="110" t="n">
        <v>47</v>
      </c>
      <c r="G44" s="65" t="n">
        <f aca="false">C44*F44</f>
        <v>489599</v>
      </c>
    </row>
    <row r="45" customFormat="false" ht="15" hidden="false" customHeight="true" outlineLevel="0" collapsed="false">
      <c r="A45" s="110" t="s">
        <v>674</v>
      </c>
      <c r="B45" s="65" t="n">
        <v>90000</v>
      </c>
      <c r="C45" s="65" t="n">
        <v>7500</v>
      </c>
      <c r="D45" s="110" t="s">
        <v>377</v>
      </c>
      <c r="E45" s="110" t="s">
        <v>673</v>
      </c>
      <c r="F45" s="110" t="n">
        <v>44</v>
      </c>
      <c r="G45" s="65" t="n">
        <f aca="false">C45*F45</f>
        <v>330000</v>
      </c>
    </row>
    <row r="46" customFormat="false" ht="15" hidden="false" customHeight="true" outlineLevel="0" collapsed="false">
      <c r="A46" s="110" t="s">
        <v>675</v>
      </c>
      <c r="B46" s="65" t="n">
        <v>110000</v>
      </c>
      <c r="C46" s="65" t="n">
        <v>9167</v>
      </c>
      <c r="D46" s="110" t="s">
        <v>382</v>
      </c>
      <c r="E46" s="110" t="s">
        <v>673</v>
      </c>
      <c r="F46" s="110" t="n">
        <v>39</v>
      </c>
      <c r="G46" s="65" t="n">
        <f aca="false">C46*F46</f>
        <v>357513</v>
      </c>
    </row>
    <row r="47" customFormat="false" ht="15" hidden="false" customHeight="true" outlineLevel="0" collapsed="false">
      <c r="A47" s="110" t="s">
        <v>676</v>
      </c>
      <c r="B47" s="65" t="n">
        <v>125000</v>
      </c>
      <c r="C47" s="65" t="n">
        <v>10417</v>
      </c>
      <c r="D47" s="110" t="s">
        <v>390</v>
      </c>
      <c r="E47" s="110" t="s">
        <v>673</v>
      </c>
      <c r="F47" s="110" t="n">
        <v>31</v>
      </c>
      <c r="G47" s="65" t="n">
        <f aca="false">C47*F47</f>
        <v>322927</v>
      </c>
    </row>
    <row r="48" customFormat="false" ht="15" hidden="false" customHeight="true" outlineLevel="0" collapsed="false">
      <c r="A48" s="156" t="s">
        <v>677</v>
      </c>
      <c r="G48" s="157" t="n">
        <f aca="false">SUM(G44:G47)</f>
        <v>1500039</v>
      </c>
    </row>
    <row r="50" customFormat="false" ht="15" hidden="false" customHeight="true" outlineLevel="0" collapsed="false">
      <c r="A50" s="158" t="s">
        <v>678</v>
      </c>
      <c r="B50" s="158"/>
      <c r="C50" s="158"/>
      <c r="D50" s="158"/>
      <c r="E50" s="158"/>
      <c r="F50" s="158"/>
      <c r="G50" s="158"/>
      <c r="H50" s="158"/>
      <c r="I50" s="158"/>
      <c r="J50" s="158"/>
      <c r="K50" s="158"/>
    </row>
    <row r="51" customFormat="false" ht="15" hidden="false" customHeight="true" outlineLevel="0" collapsed="false">
      <c r="A51" s="159" t="s">
        <v>679</v>
      </c>
      <c r="B51" s="159" t="s">
        <v>680</v>
      </c>
      <c r="C51" s="159" t="s">
        <v>667</v>
      </c>
      <c r="D51" s="159" t="s">
        <v>681</v>
      </c>
      <c r="E51" s="159" t="s">
        <v>318</v>
      </c>
    </row>
    <row r="52" customFormat="false" ht="15" hidden="false" customHeight="true" outlineLevel="0" collapsed="false">
      <c r="A52" s="110" t="s">
        <v>682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 t="n">
        <v>20000</v>
      </c>
      <c r="C53" s="65" t="n">
        <v>1667</v>
      </c>
      <c r="D53" s="110" t="n">
        <v>4</v>
      </c>
      <c r="E53" s="65" t="n">
        <v>80000</v>
      </c>
    </row>
    <row r="54" customFormat="false" ht="15" hidden="false" customHeight="true" outlineLevel="0" collapsed="false">
      <c r="A54" s="110" t="s">
        <v>683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684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9" t="s">
        <v>685</v>
      </c>
      <c r="E56" s="160" t="n">
        <v>456000</v>
      </c>
    </row>
    <row r="57" customFormat="false" ht="15" hidden="false" customHeight="true" outlineLevel="0" collapsed="false">
      <c r="A57" s="161" t="s">
        <v>686</v>
      </c>
    </row>
    <row r="59" customFormat="false" ht="15" hidden="false" customHeight="true" outlineLevel="0" collapsed="false">
      <c r="A59" s="162" t="s">
        <v>687</v>
      </c>
      <c r="B59" s="162"/>
      <c r="C59" s="162"/>
      <c r="D59" s="162"/>
      <c r="E59" s="162"/>
      <c r="F59" s="162"/>
      <c r="G59" s="162"/>
      <c r="H59" s="162"/>
      <c r="I59" s="162"/>
      <c r="J59" s="162"/>
      <c r="K59" s="162"/>
    </row>
    <row r="60" customFormat="false" ht="15" hidden="false" customHeight="true" outlineLevel="0" collapsed="false">
      <c r="A60" s="110" t="s">
        <v>688</v>
      </c>
      <c r="B60" s="65" t="n">
        <f aca="false">B16</f>
        <v>9009665</v>
      </c>
    </row>
    <row r="61" customFormat="false" ht="15" hidden="false" customHeight="true" outlineLevel="0" collapsed="false">
      <c r="A61" s="110" t="s">
        <v>618</v>
      </c>
      <c r="B61" s="65" t="n">
        <f aca="false">B17</f>
        <v>-1500039</v>
      </c>
    </row>
    <row r="62" customFormat="false" ht="15" hidden="false" customHeight="true" outlineLevel="0" collapsed="false">
      <c r="A62" s="110" t="s">
        <v>619</v>
      </c>
      <c r="B62" s="65" t="n">
        <f aca="false">B18</f>
        <v>-456000</v>
      </c>
    </row>
    <row r="63" customFormat="false" ht="15" hidden="false" customHeight="true" outlineLevel="0" collapsed="false">
      <c r="A63" s="147" t="s">
        <v>620</v>
      </c>
      <c r="B63" s="150" t="n">
        <f aca="false">B60+B61+B62</f>
        <v>7053626</v>
      </c>
    </row>
    <row r="64" customFormat="false" ht="15" hidden="false" customHeight="true" outlineLevel="0" collapsed="false">
      <c r="A64" s="110" t="s">
        <v>689</v>
      </c>
      <c r="B64" s="65" t="n">
        <f aca="false">-B20</f>
        <v>-563192.617</v>
      </c>
    </row>
    <row r="65" customFormat="false" ht="15" hidden="false" customHeight="true" outlineLevel="0" collapsed="false">
      <c r="A65" s="147" t="s">
        <v>622</v>
      </c>
      <c r="B65" s="150" t="n">
        <f aca="false">B63+B64</f>
        <v>6490433.383</v>
      </c>
    </row>
    <row r="66" customFormat="false" ht="15" hidden="false" customHeight="true" outlineLevel="0" collapsed="false">
      <c r="A66" s="110" t="s">
        <v>690</v>
      </c>
      <c r="B66" s="65" t="n">
        <f aca="false">-B22</f>
        <v>-2951665.926</v>
      </c>
    </row>
    <row r="67" customFormat="false" ht="15" hidden="false" customHeight="true" outlineLevel="0" collapsed="false">
      <c r="A67" s="147" t="s">
        <v>624</v>
      </c>
      <c r="B67" s="150" t="n">
        <f aca="false">B65+B66</f>
        <v>3538767.457</v>
      </c>
    </row>
    <row r="68" customFormat="false" ht="15" hidden="false" customHeight="true" outlineLevel="0" collapsed="false">
      <c r="A68" s="110" t="s">
        <v>621</v>
      </c>
      <c r="B68" s="65" t="n">
        <f aca="false">B20</f>
        <v>563192.617</v>
      </c>
    </row>
    <row r="69" customFormat="false" ht="15" hidden="false" customHeight="true" outlineLevel="0" collapsed="false">
      <c r="A69" s="147" t="s">
        <v>625</v>
      </c>
      <c r="B69" s="150" t="n">
        <f aca="false">B67+B68</f>
        <v>4101960.074</v>
      </c>
    </row>
    <row r="71" customFormat="false" ht="15" hidden="false" customHeight="true" outlineLevel="0" collapsed="false">
      <c r="A71" s="151" t="s">
        <v>691</v>
      </c>
      <c r="B71" s="151"/>
      <c r="C71" s="151"/>
      <c r="D71" s="151"/>
      <c r="E71" s="151"/>
      <c r="F71" s="151"/>
      <c r="G71" s="151"/>
      <c r="H71" s="151"/>
      <c r="I71" s="151"/>
      <c r="J71" s="151"/>
      <c r="K71" s="151"/>
    </row>
    <row r="72" customFormat="false" ht="15" hidden="false" customHeight="true" outlineLevel="0" collapsed="false">
      <c r="A72" s="152" t="s">
        <v>504</v>
      </c>
      <c r="B72" s="152" t="s">
        <v>505</v>
      </c>
      <c r="C72" s="152" t="s">
        <v>692</v>
      </c>
    </row>
    <row r="73" customFormat="false" ht="31.5" hidden="false" customHeight="true" outlineLevel="0" collapsed="false">
      <c r="A73" s="6" t="s">
        <v>554</v>
      </c>
      <c r="B73" s="110" t="s">
        <v>693</v>
      </c>
      <c r="C73" s="163" t="s">
        <v>694</v>
      </c>
      <c r="D73" s="163"/>
      <c r="E73" s="163"/>
      <c r="F73" s="163"/>
      <c r="G73" s="163"/>
    </row>
    <row r="74" customFormat="false" ht="31.5" hidden="false" customHeight="true" outlineLevel="0" collapsed="false">
      <c r="A74" s="6" t="s">
        <v>547</v>
      </c>
      <c r="B74" s="110" t="s">
        <v>695</v>
      </c>
      <c r="C74" s="163" t="s">
        <v>696</v>
      </c>
      <c r="D74" s="163"/>
      <c r="E74" s="163"/>
      <c r="F74" s="163"/>
      <c r="G74" s="163"/>
    </row>
    <row r="75" customFormat="false" ht="31.5" hidden="false" customHeight="true" outlineLevel="0" collapsed="false">
      <c r="A75" s="6" t="s">
        <v>556</v>
      </c>
      <c r="B75" s="110" t="s">
        <v>697</v>
      </c>
      <c r="C75" s="163" t="s">
        <v>698</v>
      </c>
      <c r="D75" s="163"/>
      <c r="E75" s="163"/>
      <c r="F75" s="163"/>
      <c r="G75" s="163"/>
    </row>
    <row r="76" customFormat="false" ht="31.5" hidden="false" customHeight="true" outlineLevel="0" collapsed="false">
      <c r="A76" s="6" t="s">
        <v>560</v>
      </c>
      <c r="B76" s="110" t="s">
        <v>699</v>
      </c>
      <c r="C76" s="163" t="s">
        <v>700</v>
      </c>
      <c r="D76" s="163"/>
      <c r="E76" s="163"/>
      <c r="F76" s="163"/>
      <c r="G76" s="163"/>
    </row>
    <row r="77" customFormat="false" ht="31.5" hidden="false" customHeight="true" outlineLevel="0" collapsed="false">
      <c r="A77" s="6" t="s">
        <v>558</v>
      </c>
      <c r="B77" s="110" t="s">
        <v>699</v>
      </c>
      <c r="C77" s="163" t="s">
        <v>701</v>
      </c>
      <c r="D77" s="163"/>
      <c r="E77" s="163"/>
      <c r="F77" s="163"/>
      <c r="G77" s="163"/>
    </row>
    <row r="78" customFormat="false" ht="31.5" hidden="false" customHeight="true" outlineLevel="0" collapsed="false">
      <c r="A78" s="6" t="s">
        <v>552</v>
      </c>
      <c r="B78" s="110" t="s">
        <v>702</v>
      </c>
      <c r="C78" s="163" t="s">
        <v>703</v>
      </c>
      <c r="D78" s="163"/>
      <c r="E78" s="163"/>
      <c r="F78" s="163"/>
      <c r="G78" s="163"/>
    </row>
    <row r="80" customFormat="false" ht="15" hidden="false" customHeight="true" outlineLevel="0" collapsed="false">
      <c r="A80" s="164" t="s">
        <v>704</v>
      </c>
      <c r="B80" s="164"/>
      <c r="C80" s="164"/>
      <c r="D80" s="164"/>
      <c r="E80" s="164"/>
      <c r="F80" s="164"/>
      <c r="G80" s="164"/>
      <c r="H80" s="164"/>
      <c r="I80" s="164"/>
      <c r="J80" s="164"/>
      <c r="K80" s="164"/>
    </row>
    <row r="81" customFormat="false" ht="27.75" hidden="false" customHeight="true" outlineLevel="0" collapsed="false">
      <c r="A81" s="6" t="s">
        <v>705</v>
      </c>
      <c r="B81" s="163" t="s">
        <v>706</v>
      </c>
      <c r="C81" s="163"/>
      <c r="D81" s="163"/>
      <c r="E81" s="163"/>
      <c r="F81" s="163"/>
      <c r="G81" s="163"/>
    </row>
    <row r="82" customFormat="false" ht="27.75" hidden="false" customHeight="true" outlineLevel="0" collapsed="false">
      <c r="A82" s="6" t="s">
        <v>707</v>
      </c>
      <c r="B82" s="163" t="s">
        <v>708</v>
      </c>
      <c r="C82" s="163"/>
      <c r="D82" s="163"/>
      <c r="E82" s="163"/>
      <c r="F82" s="163"/>
      <c r="G82" s="163"/>
    </row>
    <row r="83" customFormat="false" ht="27.75" hidden="false" customHeight="true" outlineLevel="0" collapsed="false">
      <c r="A83" s="6" t="s">
        <v>709</v>
      </c>
      <c r="B83" s="163" t="s">
        <v>710</v>
      </c>
      <c r="C83" s="163"/>
      <c r="D83" s="163"/>
      <c r="E83" s="163"/>
      <c r="F83" s="163"/>
      <c r="G83" s="163"/>
    </row>
    <row r="84" customFormat="false" ht="27.75" hidden="false" customHeight="true" outlineLevel="0" collapsed="false">
      <c r="A84" s="6" t="s">
        <v>711</v>
      </c>
      <c r="B84" s="163" t="s">
        <v>712</v>
      </c>
      <c r="C84" s="163"/>
      <c r="D84" s="163"/>
      <c r="E84" s="163"/>
      <c r="F84" s="163"/>
      <c r="G84" s="163"/>
    </row>
    <row r="85" customFormat="false" ht="27.75" hidden="false" customHeight="true" outlineLevel="0" collapsed="false">
      <c r="A85" s="6" t="s">
        <v>713</v>
      </c>
      <c r="B85" s="163" t="s">
        <v>714</v>
      </c>
      <c r="C85" s="163"/>
      <c r="D85" s="163"/>
      <c r="E85" s="163"/>
      <c r="F85" s="163"/>
      <c r="G85" s="163"/>
    </row>
    <row r="86" customFormat="false" ht="27.75" hidden="false" customHeight="true" outlineLevel="0" collapsed="false">
      <c r="A86" s="6" t="s">
        <v>715</v>
      </c>
      <c r="B86" s="163" t="s">
        <v>716</v>
      </c>
      <c r="C86" s="163"/>
      <c r="D86" s="163"/>
      <c r="E86" s="163"/>
      <c r="F86" s="163"/>
      <c r="G86" s="163"/>
    </row>
    <row r="87" customFormat="false" ht="27.75" hidden="false" customHeight="true" outlineLevel="0" collapsed="false">
      <c r="A87" s="6" t="s">
        <v>717</v>
      </c>
      <c r="B87" s="163" t="s">
        <v>718</v>
      </c>
      <c r="C87" s="163"/>
      <c r="D87" s="163"/>
      <c r="E87" s="163"/>
      <c r="F87" s="163"/>
      <c r="G87" s="163"/>
    </row>
    <row r="88" customFormat="false" ht="27.75" hidden="false" customHeight="true" outlineLevel="0" collapsed="false">
      <c r="A88" s="6" t="s">
        <v>719</v>
      </c>
      <c r="B88" s="163" t="s">
        <v>720</v>
      </c>
      <c r="C88" s="163"/>
      <c r="D88" s="163"/>
      <c r="E88" s="163"/>
      <c r="F88" s="163"/>
      <c r="G88" s="163"/>
    </row>
    <row r="89" customFormat="false" ht="27.75" hidden="false" customHeight="true" outlineLevel="0" collapsed="false">
      <c r="A89" s="6" t="s">
        <v>721</v>
      </c>
      <c r="B89" s="163" t="s">
        <v>722</v>
      </c>
      <c r="C89" s="163"/>
      <c r="D89" s="163"/>
      <c r="E89" s="163"/>
      <c r="F89" s="163"/>
      <c r="G89" s="163"/>
    </row>
    <row r="90" customFormat="false" ht="27.75" hidden="false" customHeight="true" outlineLevel="0" collapsed="false">
      <c r="A90" s="6" t="s">
        <v>723</v>
      </c>
      <c r="B90" s="163" t="s">
        <v>724</v>
      </c>
      <c r="C90" s="163"/>
      <c r="D90" s="163"/>
      <c r="E90" s="163"/>
      <c r="F90" s="163"/>
      <c r="G90" s="163"/>
    </row>
    <row r="91" customFormat="false" ht="15" hidden="false" customHeight="true" outlineLevel="0" collapsed="false">
      <c r="A91" s="1" t="s">
        <v>725</v>
      </c>
      <c r="B91" s="1" t="s">
        <v>726</v>
      </c>
    </row>
    <row r="93" customFormat="false" ht="15" hidden="false" customHeight="true" outlineLevel="0" collapsed="false">
      <c r="A93" s="146" t="s">
        <v>727</v>
      </c>
      <c r="B93" s="146"/>
      <c r="C93" s="146"/>
      <c r="D93" s="146"/>
      <c r="E93" s="146"/>
      <c r="F93" s="146"/>
      <c r="G93" s="146"/>
      <c r="H93" s="146"/>
      <c r="I93" s="146"/>
      <c r="J93" s="146"/>
      <c r="K93" s="146"/>
    </row>
    <row r="94" customFormat="false" ht="15" hidden="false" customHeight="true" outlineLevel="0" collapsed="false">
      <c r="A94" s="110" t="s">
        <v>728</v>
      </c>
      <c r="B94" s="165" t="n">
        <v>0.1</v>
      </c>
    </row>
    <row r="95" customFormat="false" ht="15" hidden="false" customHeight="true" outlineLevel="0" collapsed="false">
      <c r="A95" s="110" t="s">
        <v>729</v>
      </c>
      <c r="B95" s="165" t="n">
        <v>150000</v>
      </c>
    </row>
    <row r="96" customFormat="false" ht="15" hidden="false" customHeight="true" outlineLevel="0" collapsed="false">
      <c r="A96" s="1" t="s">
        <v>730</v>
      </c>
      <c r="B96" s="1" t="s">
        <v>731</v>
      </c>
    </row>
    <row r="97" customFormat="false" ht="15" hidden="false" customHeight="true" outlineLevel="0" collapsed="false">
      <c r="A97" s="166" t="s">
        <v>732</v>
      </c>
      <c r="B97" s="166"/>
      <c r="C97" s="166"/>
      <c r="D97" s="166"/>
      <c r="E97" s="166"/>
      <c r="F97" s="166"/>
      <c r="G97" s="166"/>
      <c r="H97" s="166"/>
      <c r="I97" s="166"/>
      <c r="J97" s="166"/>
      <c r="K97" s="166"/>
      <c r="L97" s="167"/>
      <c r="M97" s="167"/>
      <c r="N97" s="167"/>
      <c r="O97" s="167"/>
      <c r="P97" s="167"/>
      <c r="Q97" s="167"/>
      <c r="R97" s="167"/>
      <c r="S97" s="167"/>
      <c r="T97" s="167"/>
      <c r="U97" s="167"/>
      <c r="V97" s="167"/>
      <c r="W97" s="167"/>
      <c r="X97" s="167"/>
      <c r="Y97" s="167"/>
      <c r="Z97" s="167"/>
      <c r="AA97" s="167"/>
      <c r="AB97" s="167"/>
      <c r="AC97" s="167"/>
      <c r="AD97" s="167"/>
      <c r="AE97" s="167"/>
      <c r="AF97" s="167"/>
      <c r="AG97" s="167"/>
      <c r="AH97" s="167"/>
      <c r="AI97" s="167"/>
      <c r="AJ97" s="167"/>
      <c r="AK97" s="167"/>
      <c r="AL97" s="167"/>
      <c r="AM97" s="167"/>
      <c r="AN97" s="167"/>
      <c r="AO97" s="167"/>
      <c r="AP97" s="167"/>
      <c r="AQ97" s="167"/>
      <c r="AR97" s="167"/>
      <c r="AS97" s="167"/>
      <c r="AT97" s="167"/>
      <c r="AU97" s="167"/>
      <c r="AV97" s="167"/>
      <c r="AW97" s="167"/>
      <c r="AX97" s="167"/>
      <c r="AY97" s="167"/>
      <c r="AZ97" s="167"/>
      <c r="BA97" s="167"/>
      <c r="BB97" s="167"/>
      <c r="BC97" s="167"/>
      <c r="BD97" s="167"/>
      <c r="BE97" s="167"/>
      <c r="BF97" s="167"/>
      <c r="BG97" s="167"/>
      <c r="BH97" s="167"/>
      <c r="BI97" s="167"/>
      <c r="BJ97" s="167"/>
      <c r="BK97" s="167"/>
      <c r="BL97" s="167"/>
      <c r="BM97" s="167"/>
      <c r="BN97" s="167"/>
      <c r="BO97" s="167"/>
      <c r="BP97" s="167"/>
      <c r="BQ97" s="167"/>
      <c r="BR97" s="167"/>
      <c r="BS97" s="167"/>
      <c r="BT97" s="167"/>
      <c r="BU97" s="167"/>
      <c r="BV97" s="167"/>
      <c r="BW97" s="167"/>
      <c r="BX97" s="167"/>
      <c r="BY97" s="167"/>
      <c r="BZ97" s="167"/>
      <c r="CA97" s="167"/>
      <c r="CB97" s="167"/>
      <c r="CC97" s="167"/>
      <c r="CD97" s="167"/>
      <c r="CE97" s="167"/>
      <c r="CF97" s="167"/>
      <c r="CG97" s="167"/>
      <c r="CH97" s="167"/>
    </row>
    <row r="98" customFormat="false" ht="15" hidden="false" customHeight="true" outlineLevel="0" collapsed="false">
      <c r="A98" s="167"/>
      <c r="C98" s="168" t="n">
        <v>1</v>
      </c>
      <c r="D98" s="168" t="n">
        <v>2</v>
      </c>
      <c r="E98" s="168" t="n">
        <v>3</v>
      </c>
      <c r="F98" s="168" t="n">
        <v>4</v>
      </c>
      <c r="G98" s="168" t="n">
        <v>5</v>
      </c>
      <c r="H98" s="168" t="n">
        <v>6</v>
      </c>
      <c r="I98" s="168" t="n">
        <v>7</v>
      </c>
      <c r="J98" s="168" t="n">
        <v>8</v>
      </c>
      <c r="K98" s="168" t="n">
        <v>9</v>
      </c>
      <c r="L98" s="168" t="n">
        <v>10</v>
      </c>
      <c r="M98" s="168" t="n">
        <v>11</v>
      </c>
      <c r="N98" s="168" t="n">
        <v>12</v>
      </c>
      <c r="O98" s="168" t="n">
        <v>13</v>
      </c>
      <c r="P98" s="168" t="n">
        <v>14</v>
      </c>
      <c r="Q98" s="168" t="n">
        <v>15</v>
      </c>
      <c r="R98" s="168" t="n">
        <v>16</v>
      </c>
      <c r="S98" s="168" t="n">
        <v>17</v>
      </c>
      <c r="T98" s="168" t="n">
        <v>18</v>
      </c>
      <c r="U98" s="168" t="n">
        <v>19</v>
      </c>
      <c r="V98" s="168" t="n">
        <v>20</v>
      </c>
      <c r="W98" s="168" t="n">
        <v>21</v>
      </c>
      <c r="X98" s="168" t="n">
        <v>22</v>
      </c>
      <c r="Y98" s="168" t="n">
        <v>23</v>
      </c>
      <c r="Z98" s="168" t="n">
        <v>24</v>
      </c>
      <c r="AA98" s="168" t="n">
        <v>25</v>
      </c>
      <c r="AB98" s="168" t="n">
        <v>26</v>
      </c>
      <c r="AC98" s="168" t="n">
        <v>27</v>
      </c>
      <c r="AD98" s="168" t="n">
        <v>28</v>
      </c>
      <c r="AE98" s="168" t="n">
        <v>29</v>
      </c>
      <c r="AF98" s="168" t="n">
        <v>30</v>
      </c>
      <c r="AG98" s="168" t="n">
        <v>31</v>
      </c>
      <c r="AH98" s="168" t="n">
        <v>32</v>
      </c>
      <c r="AI98" s="168" t="n">
        <v>33</v>
      </c>
      <c r="AJ98" s="168" t="n">
        <v>34</v>
      </c>
      <c r="AK98" s="168" t="n">
        <v>35</v>
      </c>
      <c r="AL98" s="168" t="n">
        <v>36</v>
      </c>
      <c r="AM98" s="168" t="n">
        <v>37</v>
      </c>
      <c r="AN98" s="168" t="n">
        <v>38</v>
      </c>
      <c r="AO98" s="168" t="n">
        <v>39</v>
      </c>
      <c r="AP98" s="168" t="n">
        <v>40</v>
      </c>
      <c r="AQ98" s="168" t="n">
        <v>41</v>
      </c>
      <c r="AR98" s="168" t="n">
        <v>42</v>
      </c>
      <c r="AS98" s="168" t="n">
        <v>43</v>
      </c>
      <c r="AT98" s="168" t="n">
        <v>44</v>
      </c>
      <c r="AU98" s="168" t="n">
        <v>45</v>
      </c>
      <c r="AV98" s="168" t="n">
        <v>46</v>
      </c>
      <c r="AW98" s="168" t="n">
        <v>47</v>
      </c>
      <c r="AX98" s="168" t="n">
        <v>48</v>
      </c>
      <c r="AY98" s="168" t="n">
        <v>49</v>
      </c>
      <c r="AZ98" s="168" t="n">
        <v>50</v>
      </c>
      <c r="BA98" s="168" t="n">
        <v>51</v>
      </c>
      <c r="BB98" s="168" t="n">
        <v>52</v>
      </c>
      <c r="BC98" s="168" t="n">
        <v>53</v>
      </c>
      <c r="BD98" s="168" t="n">
        <v>54</v>
      </c>
      <c r="BE98" s="168" t="n">
        <v>55</v>
      </c>
      <c r="BF98" s="168" t="n">
        <v>56</v>
      </c>
      <c r="BG98" s="168" t="n">
        <v>57</v>
      </c>
      <c r="BH98" s="168" t="n">
        <v>58</v>
      </c>
      <c r="BI98" s="168" t="n">
        <v>59</v>
      </c>
      <c r="BJ98" s="168" t="n">
        <v>60</v>
      </c>
      <c r="BK98" s="168" t="n">
        <v>61</v>
      </c>
      <c r="BL98" s="168" t="n">
        <v>62</v>
      </c>
      <c r="BM98" s="168" t="n">
        <v>63</v>
      </c>
      <c r="BN98" s="168" t="n">
        <v>64</v>
      </c>
      <c r="BO98" s="168" t="n">
        <v>65</v>
      </c>
      <c r="BP98" s="168" t="n">
        <v>66</v>
      </c>
      <c r="BQ98" s="168" t="n">
        <v>67</v>
      </c>
      <c r="BR98" s="168" t="n">
        <v>68</v>
      </c>
      <c r="BS98" s="168" t="n">
        <v>69</v>
      </c>
      <c r="BT98" s="168" t="n">
        <v>70</v>
      </c>
      <c r="BU98" s="168" t="n">
        <v>71</v>
      </c>
      <c r="BV98" s="168" t="n">
        <v>72</v>
      </c>
      <c r="BW98" s="168" t="n">
        <v>73</v>
      </c>
      <c r="BX98" s="168" t="n">
        <v>74</v>
      </c>
      <c r="BY98" s="168" t="n">
        <v>75</v>
      </c>
      <c r="BZ98" s="168" t="n">
        <v>76</v>
      </c>
      <c r="CA98" s="168" t="n">
        <v>77</v>
      </c>
      <c r="CB98" s="168" t="n">
        <v>78</v>
      </c>
      <c r="CC98" s="168" t="n">
        <v>79</v>
      </c>
      <c r="CD98" s="168" t="n">
        <v>80</v>
      </c>
      <c r="CE98" s="168" t="n">
        <v>81</v>
      </c>
      <c r="CF98" s="168" t="n">
        <v>82</v>
      </c>
      <c r="CG98" s="168" t="n">
        <v>83</v>
      </c>
      <c r="CH98" s="168" t="n">
        <v>84</v>
      </c>
    </row>
    <row r="99" customFormat="false" ht="15" hidden="false" customHeight="true" outlineLevel="0" collapsed="false">
      <c r="A99" s="168" t="s">
        <v>469</v>
      </c>
      <c r="B99" s="169" t="n">
        <f aca="false">SUM(C99:CH99)</f>
        <v>9009665</v>
      </c>
      <c r="C99" s="167"/>
      <c r="D99" s="167"/>
      <c r="E99" s="167"/>
      <c r="F99" s="167"/>
      <c r="G99" s="167"/>
      <c r="H99" s="167"/>
      <c r="I99" s="167"/>
      <c r="J99" s="167"/>
      <c r="K99" s="167"/>
      <c r="L99" s="170" t="n">
        <v>45050.36</v>
      </c>
      <c r="M99" s="170" t="n">
        <v>45050.36</v>
      </c>
      <c r="N99" s="170" t="n">
        <v>45050.36</v>
      </c>
      <c r="O99" s="170" t="n">
        <v>45050.36</v>
      </c>
      <c r="P99" s="170" t="n">
        <v>45050.36</v>
      </c>
      <c r="Q99" s="170" t="n">
        <v>45050.36</v>
      </c>
      <c r="R99" s="170" t="n">
        <v>70944.52</v>
      </c>
      <c r="S99" s="170" t="n">
        <v>96838.68</v>
      </c>
      <c r="T99" s="170" t="n">
        <v>122732.84</v>
      </c>
      <c r="U99" s="170" t="n">
        <v>148626.99</v>
      </c>
      <c r="V99" s="170" t="n">
        <v>174521.16</v>
      </c>
      <c r="W99" s="170" t="n">
        <v>200415.31</v>
      </c>
      <c r="X99" s="170" t="n">
        <v>226309.46</v>
      </c>
      <c r="Y99" s="170" t="n">
        <v>252203.62</v>
      </c>
      <c r="Z99" s="170" t="n">
        <v>278097.79</v>
      </c>
      <c r="AA99" s="170" t="n">
        <v>303991.94</v>
      </c>
      <c r="AB99" s="170" t="n">
        <v>329886.11</v>
      </c>
      <c r="AC99" s="170" t="n">
        <v>400830.61</v>
      </c>
      <c r="AD99" s="170" t="n">
        <v>311512.01</v>
      </c>
      <c r="AE99" s="170" t="n">
        <v>312294.13</v>
      </c>
      <c r="AF99" s="170" t="n">
        <v>313076.23</v>
      </c>
      <c r="AG99" s="170" t="n">
        <v>313858.34</v>
      </c>
      <c r="AH99" s="170" t="n">
        <v>314640.44</v>
      </c>
      <c r="AI99" s="170" t="n">
        <v>341316.71</v>
      </c>
      <c r="AJ99" s="170" t="n">
        <v>316204.67</v>
      </c>
      <c r="AK99" s="170" t="n">
        <v>291092.62</v>
      </c>
      <c r="AL99" s="170" t="n">
        <v>265980.57</v>
      </c>
      <c r="AM99" s="170" t="n">
        <v>240868.51</v>
      </c>
      <c r="AN99" s="170" t="n">
        <v>215756.47</v>
      </c>
      <c r="AO99" s="170" t="n">
        <v>190644.42</v>
      </c>
      <c r="AP99" s="170" t="n">
        <v>165532.36</v>
      </c>
      <c r="AQ99" s="170" t="n">
        <v>140420.32</v>
      </c>
      <c r="AR99" s="170" t="n">
        <v>115308.27</v>
      </c>
      <c r="AS99" s="170" t="n">
        <v>196095.1</v>
      </c>
      <c r="AT99" s="170" t="n">
        <v>170200.95</v>
      </c>
      <c r="AU99" s="170" t="n">
        <v>119194.75</v>
      </c>
      <c r="AV99" s="170" t="n">
        <v>118412.64</v>
      </c>
      <c r="AW99" s="170" t="n">
        <v>117630.52</v>
      </c>
      <c r="AX99" s="170" t="n">
        <v>116848.42</v>
      </c>
      <c r="AY99" s="170" t="n">
        <v>116066.31</v>
      </c>
      <c r="AZ99" s="170" t="n">
        <v>115284.2</v>
      </c>
      <c r="BA99" s="170" t="n">
        <v>114502.09</v>
      </c>
      <c r="BB99" s="170" t="n">
        <v>113719.98</v>
      </c>
      <c r="BC99" s="170" t="n">
        <v>112937.87</v>
      </c>
      <c r="BD99" s="170" t="n">
        <v>112155.76</v>
      </c>
      <c r="BE99" s="170" t="n">
        <v>111373.65</v>
      </c>
      <c r="BF99" s="170" t="n">
        <v>110591.54</v>
      </c>
      <c r="BG99" s="170" t="n">
        <v>109809.44</v>
      </c>
      <c r="BH99" s="170" t="n">
        <v>109027.32</v>
      </c>
      <c r="BI99" s="170" t="n">
        <v>108245.21</v>
      </c>
      <c r="BJ99" s="170" t="n">
        <v>213361.99</v>
      </c>
      <c r="BK99" s="167"/>
      <c r="BL99" s="167"/>
      <c r="BM99" s="167"/>
      <c r="BN99" s="167"/>
      <c r="BO99" s="167"/>
      <c r="BP99" s="167"/>
      <c r="BQ99" s="167"/>
      <c r="BR99" s="167"/>
      <c r="BS99" s="167"/>
      <c r="BT99" s="167"/>
      <c r="BU99" s="167"/>
      <c r="BV99" s="167"/>
      <c r="BW99" s="167"/>
      <c r="BX99" s="167"/>
      <c r="BY99" s="167"/>
      <c r="BZ99" s="167"/>
      <c r="CA99" s="167"/>
      <c r="CB99" s="167"/>
      <c r="CC99" s="167"/>
      <c r="CD99" s="167"/>
      <c r="CE99" s="167"/>
      <c r="CF99" s="167"/>
      <c r="CG99" s="167"/>
      <c r="CH99" s="167"/>
    </row>
    <row r="100" customFormat="false" ht="15" hidden="false" customHeight="true" outlineLevel="0" collapsed="false">
      <c r="A100" s="168" t="s">
        <v>618</v>
      </c>
      <c r="B100" s="169" t="n">
        <f aca="false">SUM(C100:CH100)</f>
        <v>-1500039</v>
      </c>
      <c r="C100" s="167" t="n">
        <v>0</v>
      </c>
      <c r="D100" s="167" t="n">
        <v>0</v>
      </c>
      <c r="E100" s="167" t="n">
        <v>0</v>
      </c>
      <c r="F100" s="167" t="n">
        <v>0</v>
      </c>
      <c r="G100" s="167" t="n">
        <v>0</v>
      </c>
      <c r="H100" s="167" t="n">
        <v>0</v>
      </c>
      <c r="I100" s="167" t="n">
        <v>0</v>
      </c>
      <c r="J100" s="167" t="n">
        <v>0</v>
      </c>
      <c r="K100" s="167" t="n">
        <v>0</v>
      </c>
      <c r="L100" s="170" t="n">
        <v>0</v>
      </c>
      <c r="M100" s="170" t="n">
        <v>-10417</v>
      </c>
      <c r="N100" s="170" t="n">
        <v>-10417</v>
      </c>
      <c r="O100" s="170" t="n">
        <v>-10417</v>
      </c>
      <c r="P100" s="170" t="n">
        <v>-17917</v>
      </c>
      <c r="Q100" s="170" t="n">
        <v>-17917</v>
      </c>
      <c r="R100" s="170" t="n">
        <v>-17917</v>
      </c>
      <c r="S100" s="170" t="n">
        <v>-17917</v>
      </c>
      <c r="T100" s="170" t="n">
        <v>-17917</v>
      </c>
      <c r="U100" s="170" t="n">
        <v>-27084</v>
      </c>
      <c r="V100" s="170" t="n">
        <v>-27084</v>
      </c>
      <c r="W100" s="170" t="n">
        <v>-27084</v>
      </c>
      <c r="X100" s="170" t="n">
        <v>-27084</v>
      </c>
      <c r="Y100" s="170" t="n">
        <v>-27084</v>
      </c>
      <c r="Z100" s="170" t="n">
        <v>-27084</v>
      </c>
      <c r="AA100" s="170" t="n">
        <v>-27084</v>
      </c>
      <c r="AB100" s="170" t="n">
        <v>-27084</v>
      </c>
      <c r="AC100" s="170" t="n">
        <v>-37501</v>
      </c>
      <c r="AD100" s="170" t="n">
        <v>-37501</v>
      </c>
      <c r="AE100" s="170" t="n">
        <v>-37501</v>
      </c>
      <c r="AF100" s="170" t="n">
        <v>-37501</v>
      </c>
      <c r="AG100" s="170" t="n">
        <v>-37501</v>
      </c>
      <c r="AH100" s="170" t="n">
        <v>-37501</v>
      </c>
      <c r="AI100" s="170" t="n">
        <v>-37501</v>
      </c>
      <c r="AJ100" s="170" t="n">
        <v>-37501</v>
      </c>
      <c r="AK100" s="170" t="n">
        <v>-37501</v>
      </c>
      <c r="AL100" s="170" t="n">
        <v>-37501</v>
      </c>
      <c r="AM100" s="170" t="n">
        <v>-37501</v>
      </c>
      <c r="AN100" s="170" t="n">
        <v>-37501</v>
      </c>
      <c r="AO100" s="170" t="n">
        <v>-37501</v>
      </c>
      <c r="AP100" s="170" t="n">
        <v>-37501</v>
      </c>
      <c r="AQ100" s="170" t="n">
        <v>-37501</v>
      </c>
      <c r="AR100" s="170" t="n">
        <v>-37501</v>
      </c>
      <c r="AS100" s="170" t="n">
        <v>-37501</v>
      </c>
      <c r="AT100" s="170" t="n">
        <v>-37501</v>
      </c>
      <c r="AU100" s="170" t="n">
        <v>-37501</v>
      </c>
      <c r="AV100" s="170" t="n">
        <v>-37501</v>
      </c>
      <c r="AW100" s="170" t="n">
        <v>-37501</v>
      </c>
      <c r="AX100" s="170" t="n">
        <v>-37501</v>
      </c>
      <c r="AY100" s="170" t="n">
        <v>-37501</v>
      </c>
      <c r="AZ100" s="170" t="n">
        <v>-37501</v>
      </c>
      <c r="BA100" s="170" t="n">
        <v>-37501</v>
      </c>
      <c r="BB100" s="170" t="n">
        <v>-37501</v>
      </c>
      <c r="BC100" s="170" t="n">
        <v>-37501</v>
      </c>
      <c r="BD100" s="170" t="n">
        <v>-37501</v>
      </c>
      <c r="BE100" s="170" t="n">
        <v>-37501</v>
      </c>
      <c r="BF100" s="170" t="n">
        <v>-37501</v>
      </c>
      <c r="BG100" s="170" t="n">
        <v>-37501</v>
      </c>
      <c r="BH100" s="167" t="n">
        <v>0</v>
      </c>
      <c r="BI100" s="167" t="n">
        <v>0</v>
      </c>
      <c r="BJ100" s="167" t="n">
        <v>0</v>
      </c>
      <c r="BK100" s="167" t="n">
        <v>0</v>
      </c>
      <c r="BL100" s="167" t="n">
        <v>0</v>
      </c>
      <c r="BM100" s="167" t="n">
        <v>0</v>
      </c>
      <c r="BN100" s="167" t="n">
        <v>0</v>
      </c>
      <c r="BO100" s="167" t="n">
        <v>0</v>
      </c>
      <c r="BP100" s="167" t="n">
        <v>0</v>
      </c>
      <c r="BQ100" s="167" t="n">
        <v>0</v>
      </c>
      <c r="BR100" s="167" t="n">
        <v>0</v>
      </c>
      <c r="BS100" s="167" t="n">
        <v>0</v>
      </c>
      <c r="BT100" s="167" t="n">
        <v>0</v>
      </c>
      <c r="BU100" s="167" t="n">
        <v>0</v>
      </c>
      <c r="BV100" s="167" t="n">
        <v>0</v>
      </c>
      <c r="BW100" s="167" t="n">
        <v>0</v>
      </c>
      <c r="BX100" s="167" t="n">
        <v>0</v>
      </c>
      <c r="BY100" s="167" t="n">
        <v>0</v>
      </c>
      <c r="BZ100" s="167" t="n">
        <v>0</v>
      </c>
      <c r="CA100" s="167" t="n">
        <v>0</v>
      </c>
      <c r="CB100" s="167" t="n">
        <v>0</v>
      </c>
      <c r="CC100" s="167" t="n">
        <v>0</v>
      </c>
      <c r="CD100" s="167" t="n">
        <v>0</v>
      </c>
      <c r="CE100" s="167" t="n">
        <v>0</v>
      </c>
      <c r="CF100" s="167" t="n">
        <v>0</v>
      </c>
      <c r="CG100" s="167" t="n">
        <v>0</v>
      </c>
      <c r="CH100" s="167"/>
    </row>
    <row r="101" customFormat="false" ht="15" hidden="false" customHeight="true" outlineLevel="0" collapsed="false">
      <c r="A101" s="168" t="s">
        <v>619</v>
      </c>
      <c r="B101" s="169" t="n">
        <f aca="false">SUM(C101:CH101)</f>
        <v>-456000</v>
      </c>
      <c r="C101" s="167"/>
      <c r="D101" s="167"/>
      <c r="E101" s="167"/>
      <c r="F101" s="167"/>
      <c r="G101" s="167"/>
      <c r="H101" s="167"/>
      <c r="I101" s="167"/>
      <c r="J101" s="167"/>
      <c r="K101" s="167"/>
      <c r="L101" s="170" t="n">
        <v>-9500</v>
      </c>
      <c r="M101" s="170" t="n">
        <v>-9500</v>
      </c>
      <c r="N101" s="170" t="n">
        <v>-9500</v>
      </c>
      <c r="O101" s="170" t="n">
        <v>-9500</v>
      </c>
      <c r="P101" s="170" t="n">
        <v>-9500</v>
      </c>
      <c r="Q101" s="170" t="n">
        <v>-9500</v>
      </c>
      <c r="R101" s="170" t="n">
        <v>-9500</v>
      </c>
      <c r="S101" s="170" t="n">
        <v>-9500</v>
      </c>
      <c r="T101" s="170" t="n">
        <v>-9500</v>
      </c>
      <c r="U101" s="170" t="n">
        <v>-9500</v>
      </c>
      <c r="V101" s="170" t="n">
        <v>-9500</v>
      </c>
      <c r="W101" s="170" t="n">
        <v>-9500</v>
      </c>
      <c r="X101" s="170" t="n">
        <v>-9500</v>
      </c>
      <c r="Y101" s="170" t="n">
        <v>-9500</v>
      </c>
      <c r="Z101" s="170" t="n">
        <v>-9500</v>
      </c>
      <c r="AA101" s="170" t="n">
        <v>-9500</v>
      </c>
      <c r="AB101" s="170" t="n">
        <v>-9500</v>
      </c>
      <c r="AC101" s="170" t="n">
        <v>-9500</v>
      </c>
      <c r="AD101" s="170" t="n">
        <v>-9500</v>
      </c>
      <c r="AE101" s="170" t="n">
        <v>-9500</v>
      </c>
      <c r="AF101" s="170" t="n">
        <v>-9500</v>
      </c>
      <c r="AG101" s="170" t="n">
        <v>-9500</v>
      </c>
      <c r="AH101" s="170" t="n">
        <v>-9500</v>
      </c>
      <c r="AI101" s="170" t="n">
        <v>-9500</v>
      </c>
      <c r="AJ101" s="170" t="n">
        <v>-9500</v>
      </c>
      <c r="AK101" s="170" t="n">
        <v>-9500</v>
      </c>
      <c r="AL101" s="170" t="n">
        <v>-9500</v>
      </c>
      <c r="AM101" s="170" t="n">
        <v>-9500</v>
      </c>
      <c r="AN101" s="170" t="n">
        <v>-9500</v>
      </c>
      <c r="AO101" s="170" t="n">
        <v>-9500</v>
      </c>
      <c r="AP101" s="170" t="n">
        <v>-9500</v>
      </c>
      <c r="AQ101" s="170" t="n">
        <v>-9500</v>
      </c>
      <c r="AR101" s="170" t="n">
        <v>-9500</v>
      </c>
      <c r="AS101" s="170" t="n">
        <v>-9500</v>
      </c>
      <c r="AT101" s="170" t="n">
        <v>-9500</v>
      </c>
      <c r="AU101" s="170" t="n">
        <v>-9500</v>
      </c>
      <c r="AV101" s="170" t="n">
        <v>-9500</v>
      </c>
      <c r="AW101" s="170" t="n">
        <v>-9500</v>
      </c>
      <c r="AX101" s="170" t="n">
        <v>-9500</v>
      </c>
      <c r="AY101" s="170" t="n">
        <v>-9500</v>
      </c>
      <c r="AZ101" s="170" t="n">
        <v>-9500</v>
      </c>
      <c r="BA101" s="170" t="n">
        <v>-9500</v>
      </c>
      <c r="BB101" s="170" t="n">
        <v>-9500</v>
      </c>
      <c r="BC101" s="170" t="n">
        <v>-9500</v>
      </c>
      <c r="BD101" s="170" t="n">
        <v>-9500</v>
      </c>
      <c r="BE101" s="170" t="n">
        <v>-9500</v>
      </c>
      <c r="BF101" s="170" t="n">
        <v>-9500</v>
      </c>
      <c r="BG101" s="170" t="n">
        <v>-9500</v>
      </c>
      <c r="BH101" s="167"/>
      <c r="BI101" s="167"/>
      <c r="BJ101" s="167"/>
      <c r="BK101" s="167"/>
      <c r="BL101" s="167"/>
      <c r="BM101" s="167"/>
      <c r="BN101" s="167"/>
      <c r="BO101" s="167"/>
      <c r="BP101" s="167"/>
      <c r="BQ101" s="167"/>
      <c r="BR101" s="167"/>
      <c r="BS101" s="167"/>
      <c r="BT101" s="167"/>
      <c r="BU101" s="167"/>
      <c r="BV101" s="167"/>
      <c r="BW101" s="167"/>
      <c r="BX101" s="167"/>
      <c r="BY101" s="167"/>
      <c r="BZ101" s="167"/>
      <c r="CA101" s="167"/>
      <c r="CB101" s="167"/>
      <c r="CC101" s="167"/>
      <c r="CD101" s="167"/>
      <c r="CE101" s="167"/>
      <c r="CF101" s="167"/>
      <c r="CG101" s="167"/>
      <c r="CH101" s="167"/>
    </row>
    <row r="102" customFormat="false" ht="15" hidden="false" customHeight="true" outlineLevel="0" collapsed="false">
      <c r="A102" s="168" t="s">
        <v>620</v>
      </c>
      <c r="B102" s="169" t="n">
        <f aca="false">SUM(C102:CH102)</f>
        <v>7053626</v>
      </c>
      <c r="C102" s="171" t="n">
        <f aca="false">C99+C100+C101</f>
        <v>0</v>
      </c>
      <c r="D102" s="171" t="n">
        <f aca="false">D99+D100+D101</f>
        <v>0</v>
      </c>
      <c r="E102" s="171" t="n">
        <f aca="false">E99+E100+E101</f>
        <v>0</v>
      </c>
      <c r="F102" s="171" t="n">
        <f aca="false">F99+F100+F101</f>
        <v>0</v>
      </c>
      <c r="G102" s="171" t="n">
        <f aca="false">G99+G100+G101</f>
        <v>0</v>
      </c>
      <c r="H102" s="171" t="n">
        <f aca="false">H99+H100+H101</f>
        <v>0</v>
      </c>
      <c r="I102" s="171" t="n">
        <f aca="false">I99+I100+I101</f>
        <v>0</v>
      </c>
      <c r="J102" s="171" t="n">
        <f aca="false">J99+J100+J101</f>
        <v>0</v>
      </c>
      <c r="K102" s="171" t="n">
        <f aca="false">K99+K100+K101</f>
        <v>0</v>
      </c>
      <c r="L102" s="171" t="n">
        <f aca="false">L99+L100+L101</f>
        <v>35550.36</v>
      </c>
      <c r="M102" s="171" t="n">
        <f aca="false">M99+M100+M101</f>
        <v>25133.36</v>
      </c>
      <c r="N102" s="171" t="n">
        <f aca="false">N99+N100+N101</f>
        <v>25133.36</v>
      </c>
      <c r="O102" s="171" t="n">
        <f aca="false">O99+O100+O101</f>
        <v>25133.36</v>
      </c>
      <c r="P102" s="171" t="n">
        <f aca="false">P99+P100+P101</f>
        <v>17633.36</v>
      </c>
      <c r="Q102" s="171" t="n">
        <f aca="false">Q99+Q100+Q101</f>
        <v>17633.36</v>
      </c>
      <c r="R102" s="171" t="n">
        <f aca="false">R99+R100+R101</f>
        <v>43527.52</v>
      </c>
      <c r="S102" s="171" t="n">
        <f aca="false">S99+S100+S101</f>
        <v>69421.68</v>
      </c>
      <c r="T102" s="171" t="n">
        <f aca="false">T99+T100+T101</f>
        <v>95315.84</v>
      </c>
      <c r="U102" s="171" t="n">
        <f aca="false">U99+U100+U101</f>
        <v>112042.99</v>
      </c>
      <c r="V102" s="171" t="n">
        <f aca="false">V99+V100+V101</f>
        <v>137937.16</v>
      </c>
      <c r="W102" s="171" t="n">
        <f aca="false">W99+W100+W101</f>
        <v>163831.31</v>
      </c>
      <c r="X102" s="171" t="n">
        <f aca="false">X99+X100+X101</f>
        <v>189725.46</v>
      </c>
      <c r="Y102" s="171" t="n">
        <f aca="false">Y99+Y100+Y101</f>
        <v>215619.62</v>
      </c>
      <c r="Z102" s="171" t="n">
        <f aca="false">Z99+Z100+Z101</f>
        <v>241513.79</v>
      </c>
      <c r="AA102" s="171" t="n">
        <f aca="false">AA99+AA100+AA101</f>
        <v>267407.94</v>
      </c>
      <c r="AB102" s="171" t="n">
        <f aca="false">AB99+AB100+AB101</f>
        <v>293302.11</v>
      </c>
      <c r="AC102" s="171" t="n">
        <f aca="false">AC99+AC100+AC101</f>
        <v>353829.61</v>
      </c>
      <c r="AD102" s="171" t="n">
        <f aca="false">AD99+AD100+AD101</f>
        <v>264511.01</v>
      </c>
      <c r="AE102" s="171" t="n">
        <f aca="false">AE99+AE100+AE101</f>
        <v>265293.13</v>
      </c>
      <c r="AF102" s="171" t="n">
        <f aca="false">AF99+AF100+AF101</f>
        <v>266075.23</v>
      </c>
      <c r="AG102" s="171" t="n">
        <f aca="false">AG99+AG100+AG101</f>
        <v>266857.34</v>
      </c>
      <c r="AH102" s="171" t="n">
        <f aca="false">AH99+AH100+AH101</f>
        <v>267639.44</v>
      </c>
      <c r="AI102" s="171" t="n">
        <f aca="false">AI99+AI100+AI101</f>
        <v>294315.71</v>
      </c>
      <c r="AJ102" s="171" t="n">
        <f aca="false">AJ99+AJ100+AJ101</f>
        <v>269203.67</v>
      </c>
      <c r="AK102" s="171" t="n">
        <f aca="false">AK99+AK100+AK101</f>
        <v>244091.62</v>
      </c>
      <c r="AL102" s="171" t="n">
        <f aca="false">AL99+AL100+AL101</f>
        <v>218979.57</v>
      </c>
      <c r="AM102" s="171" t="n">
        <f aca="false">AM99+AM100+AM101</f>
        <v>193867.51</v>
      </c>
      <c r="AN102" s="171" t="n">
        <f aca="false">AN99+AN100+AN101</f>
        <v>168755.47</v>
      </c>
      <c r="AO102" s="171" t="n">
        <f aca="false">AO99+AO100+AO101</f>
        <v>143643.42</v>
      </c>
      <c r="AP102" s="171" t="n">
        <f aca="false">AP99+AP100+AP101</f>
        <v>118531.36</v>
      </c>
      <c r="AQ102" s="171" t="n">
        <f aca="false">AQ99+AQ100+AQ101</f>
        <v>93419.32</v>
      </c>
      <c r="AR102" s="171" t="n">
        <f aca="false">AR99+AR100+AR101</f>
        <v>68307.27</v>
      </c>
      <c r="AS102" s="171" t="n">
        <f aca="false">AS99+AS100+AS101</f>
        <v>149094.1</v>
      </c>
      <c r="AT102" s="171" t="n">
        <f aca="false">AT99+AT100+AT101</f>
        <v>123199.95</v>
      </c>
      <c r="AU102" s="171" t="n">
        <f aca="false">AU99+AU100+AU101</f>
        <v>72193.75</v>
      </c>
      <c r="AV102" s="171" t="n">
        <f aca="false">AV99+AV100+AV101</f>
        <v>71411.64</v>
      </c>
      <c r="AW102" s="171" t="n">
        <f aca="false">AW99+AW100+AW101</f>
        <v>70629.52</v>
      </c>
      <c r="AX102" s="171" t="n">
        <f aca="false">AX99+AX100+AX101</f>
        <v>69847.42</v>
      </c>
      <c r="AY102" s="171" t="n">
        <f aca="false">AY99+AY100+AY101</f>
        <v>69065.31</v>
      </c>
      <c r="AZ102" s="171" t="n">
        <f aca="false">AZ99+AZ100+AZ101</f>
        <v>68283.2</v>
      </c>
      <c r="BA102" s="171" t="n">
        <f aca="false">BA99+BA100+BA101</f>
        <v>67501.09</v>
      </c>
      <c r="BB102" s="171" t="n">
        <f aca="false">BB99+BB100+BB101</f>
        <v>66718.98</v>
      </c>
      <c r="BC102" s="171" t="n">
        <f aca="false">BC99+BC100+BC101</f>
        <v>65936.87</v>
      </c>
      <c r="BD102" s="171" t="n">
        <f aca="false">BD99+BD100+BD101</f>
        <v>65154.76</v>
      </c>
      <c r="BE102" s="171" t="n">
        <f aca="false">BE99+BE100+BE101</f>
        <v>64372.65</v>
      </c>
      <c r="BF102" s="171" t="n">
        <f aca="false">BF99+BF100+BF101</f>
        <v>63590.54</v>
      </c>
      <c r="BG102" s="171" t="n">
        <f aca="false">BG99+BG100+BG101</f>
        <v>62808.44</v>
      </c>
      <c r="BH102" s="171" t="n">
        <f aca="false">BH99+BH100+BH101</f>
        <v>109027.32</v>
      </c>
      <c r="BI102" s="171" t="n">
        <f aca="false">BI99+BI100+BI101</f>
        <v>108245.21</v>
      </c>
      <c r="BJ102" s="171" t="n">
        <f aca="false">BJ99+BJ100+BJ101</f>
        <v>213361.99</v>
      </c>
      <c r="BK102" s="171" t="n">
        <f aca="false">BK99+BK100+BK101</f>
        <v>0</v>
      </c>
      <c r="BL102" s="171" t="n">
        <f aca="false">BL99+BL100+BL101</f>
        <v>0</v>
      </c>
      <c r="BM102" s="171" t="n">
        <f aca="false">BM99+BM100+BM101</f>
        <v>0</v>
      </c>
      <c r="BN102" s="171" t="n">
        <f aca="false">BN99+BN100+BN101</f>
        <v>0</v>
      </c>
      <c r="BO102" s="171" t="n">
        <f aca="false">BO99+BO100+BO101</f>
        <v>0</v>
      </c>
      <c r="BP102" s="171" t="n">
        <f aca="false">BP99+BP100+BP101</f>
        <v>0</v>
      </c>
      <c r="BQ102" s="171" t="n">
        <f aca="false">BQ99+BQ100+BQ101</f>
        <v>0</v>
      </c>
      <c r="BR102" s="171" t="n">
        <f aca="false">BR99+BR100+BR101</f>
        <v>0</v>
      </c>
      <c r="BS102" s="171" t="n">
        <f aca="false">BS99+BS100+BS101</f>
        <v>0</v>
      </c>
      <c r="BT102" s="171" t="n">
        <f aca="false">BT99+BT100+BT101</f>
        <v>0</v>
      </c>
      <c r="BU102" s="171" t="n">
        <f aca="false">BU99+BU100+BU101</f>
        <v>0</v>
      </c>
      <c r="BV102" s="171" t="n">
        <f aca="false">BV99+BV100+BV101</f>
        <v>0</v>
      </c>
      <c r="BW102" s="171" t="n">
        <f aca="false">BW99+BW100+BW101</f>
        <v>0</v>
      </c>
      <c r="BX102" s="171" t="n">
        <f aca="false">BX99+BX100+BX101</f>
        <v>0</v>
      </c>
      <c r="BY102" s="171" t="n">
        <f aca="false">BY99+BY100+BY101</f>
        <v>0</v>
      </c>
      <c r="BZ102" s="171" t="n">
        <f aca="false">BZ99+BZ100+BZ101</f>
        <v>0</v>
      </c>
      <c r="CA102" s="171" t="n">
        <f aca="false">CA99+CA100+CA101</f>
        <v>0</v>
      </c>
      <c r="CB102" s="171" t="n">
        <f aca="false">CB99+CB100+CB101</f>
        <v>0</v>
      </c>
      <c r="CC102" s="171" t="n">
        <f aca="false">CC99+CC100+CC101</f>
        <v>0</v>
      </c>
      <c r="CD102" s="171" t="n">
        <f aca="false">CD99+CD100+CD101</f>
        <v>0</v>
      </c>
      <c r="CE102" s="171" t="n">
        <f aca="false">CE99+CE100+CE101</f>
        <v>0</v>
      </c>
      <c r="CF102" s="171" t="n">
        <f aca="false">CF99+CF100+CF101</f>
        <v>0</v>
      </c>
      <c r="CG102" s="171" t="n">
        <f aca="false">CG99+CG100+CG101</f>
        <v>0</v>
      </c>
      <c r="CH102" s="171" t="n">
        <f aca="false">CH99+CH100+CH101</f>
        <v>0</v>
      </c>
    </row>
    <row r="103" customFormat="false" ht="15" hidden="false" customHeight="true" outlineLevel="0" collapsed="false">
      <c r="A103" s="168" t="s">
        <v>621</v>
      </c>
      <c r="B103" s="169" t="n">
        <f aca="false">SUM(C103:CH103)</f>
        <v>563192.617</v>
      </c>
      <c r="C103" s="171" t="n">
        <f aca="false">C99*$B$94</f>
        <v>0</v>
      </c>
      <c r="D103" s="171" t="n">
        <f aca="false">D99*$B$94</f>
        <v>0</v>
      </c>
      <c r="E103" s="171" t="n">
        <f aca="false">E99*$B$94</f>
        <v>0</v>
      </c>
      <c r="F103" s="171" t="n">
        <f aca="false">F99*$B$94</f>
        <v>0</v>
      </c>
      <c r="G103" s="171" t="n">
        <f aca="false">G99*$B$94</f>
        <v>0</v>
      </c>
      <c r="H103" s="171" t="n">
        <f aca="false">H99*$B$94</f>
        <v>0</v>
      </c>
      <c r="I103" s="171" t="n">
        <f aca="false">I99*$B$94</f>
        <v>0</v>
      </c>
      <c r="J103" s="171" t="n">
        <f aca="false">J99*$B$94</f>
        <v>0</v>
      </c>
      <c r="K103" s="171" t="n">
        <f aca="false">K99*$B$94</f>
        <v>0</v>
      </c>
      <c r="L103" s="171" t="n">
        <f aca="false">MIN(L99*$B$94,12500)</f>
        <v>4505.036</v>
      </c>
      <c r="M103" s="171" t="n">
        <f aca="false">MIN(M99*$B$94,12500)</f>
        <v>4505.036</v>
      </c>
      <c r="N103" s="171" t="n">
        <f aca="false">MIN(N99*$B$94,12500)</f>
        <v>4505.036</v>
      </c>
      <c r="O103" s="171" t="n">
        <f aca="false">MIN(O99*$B$94,12500)</f>
        <v>4505.036</v>
      </c>
      <c r="P103" s="171" t="n">
        <f aca="false">MIN(P99*$B$94,12500)</f>
        <v>4505.036</v>
      </c>
      <c r="Q103" s="171" t="n">
        <f aca="false">MIN(Q99*$B$94,12500)</f>
        <v>4505.036</v>
      </c>
      <c r="R103" s="171" t="n">
        <f aca="false">MIN(R99*$B$94,12500)</f>
        <v>7094.452</v>
      </c>
      <c r="S103" s="171" t="n">
        <f aca="false">MIN(S99*$B$94,12500)</f>
        <v>9683.868</v>
      </c>
      <c r="T103" s="171" t="n">
        <f aca="false">MIN(T99*$B$94,12500)</f>
        <v>12273.284</v>
      </c>
      <c r="U103" s="171" t="n">
        <f aca="false">MIN(U99*$B$94,12500)</f>
        <v>12500</v>
      </c>
      <c r="V103" s="171" t="n">
        <f aca="false">MIN(V99*$B$94,12500)</f>
        <v>12500</v>
      </c>
      <c r="W103" s="171" t="n">
        <f aca="false">MIN(W99*$B$94,12500)</f>
        <v>12500</v>
      </c>
      <c r="X103" s="171" t="n">
        <f aca="false">MIN(X99*$B$94,12500)</f>
        <v>12500</v>
      </c>
      <c r="Y103" s="171" t="n">
        <f aca="false">MIN(Y99*$B$94,12500)</f>
        <v>12500</v>
      </c>
      <c r="Z103" s="171" t="n">
        <f aca="false">MIN(Z99*$B$94,12500)</f>
        <v>12500</v>
      </c>
      <c r="AA103" s="171" t="n">
        <f aca="false">MIN(AA99*$B$94,12500)</f>
        <v>12500</v>
      </c>
      <c r="AB103" s="171" t="n">
        <f aca="false">MIN(AB99*$B$94,12500)</f>
        <v>12500</v>
      </c>
      <c r="AC103" s="171" t="n">
        <f aca="false">MIN(AC99*$B$94,12500)</f>
        <v>12500</v>
      </c>
      <c r="AD103" s="171" t="n">
        <f aca="false">MIN(AD99*$B$94,12500)</f>
        <v>12500</v>
      </c>
      <c r="AE103" s="171" t="n">
        <f aca="false">MIN(AE99*$B$94,12500)</f>
        <v>12500</v>
      </c>
      <c r="AF103" s="171" t="n">
        <f aca="false">MIN(AF99*$B$94,12500)</f>
        <v>12500</v>
      </c>
      <c r="AG103" s="171" t="n">
        <f aca="false">MIN(AG99*$B$94,12500)</f>
        <v>12500</v>
      </c>
      <c r="AH103" s="171" t="n">
        <f aca="false">MIN(AH99*$B$94,12500)</f>
        <v>12500</v>
      </c>
      <c r="AI103" s="171" t="n">
        <f aca="false">MIN(AI99*$B$94,12500)</f>
        <v>12500</v>
      </c>
      <c r="AJ103" s="171" t="n">
        <f aca="false">MIN(AJ99*$B$94,12500)</f>
        <v>12500</v>
      </c>
      <c r="AK103" s="171" t="n">
        <f aca="false">MIN(AK99*$B$94,12500)</f>
        <v>12500</v>
      </c>
      <c r="AL103" s="171" t="n">
        <f aca="false">MIN(AL99*$B$94,12500)</f>
        <v>12500</v>
      </c>
      <c r="AM103" s="171" t="n">
        <f aca="false">MIN(AM99*$B$94,12500)</f>
        <v>12500</v>
      </c>
      <c r="AN103" s="171" t="n">
        <f aca="false">MIN(AN99*$B$94,12500)</f>
        <v>12500</v>
      </c>
      <c r="AO103" s="171" t="n">
        <f aca="false">MIN(AO99*$B$94,12500)</f>
        <v>12500</v>
      </c>
      <c r="AP103" s="171" t="n">
        <f aca="false">MIN(AP99*$B$94,12500)</f>
        <v>12500</v>
      </c>
      <c r="AQ103" s="171" t="n">
        <f aca="false">MIN(AQ99*$B$94,12500)</f>
        <v>12500</v>
      </c>
      <c r="AR103" s="171" t="n">
        <f aca="false">MIN(AR99*$B$94,12500)</f>
        <v>11530.827</v>
      </c>
      <c r="AS103" s="171" t="n">
        <f aca="false">MIN(AS99*$B$94,12500)</f>
        <v>12500</v>
      </c>
      <c r="AT103" s="171" t="n">
        <f aca="false">MIN(AT99*$B$94,12500)</f>
        <v>12500</v>
      </c>
      <c r="AU103" s="171" t="n">
        <f aca="false">MIN(AU99*$B$94,12500)</f>
        <v>11919.475</v>
      </c>
      <c r="AV103" s="171" t="n">
        <f aca="false">MIN(AV99*$B$94,12500)</f>
        <v>11841.264</v>
      </c>
      <c r="AW103" s="171" t="n">
        <f aca="false">MIN(AW99*$B$94,12500)</f>
        <v>11763.052</v>
      </c>
      <c r="AX103" s="171" t="n">
        <f aca="false">MIN(AX99*$B$94,12500)</f>
        <v>11684.842</v>
      </c>
      <c r="AY103" s="171" t="n">
        <f aca="false">MIN(AY99*$B$94,12500)</f>
        <v>11606.631</v>
      </c>
      <c r="AZ103" s="171" t="n">
        <f aca="false">MIN(AZ99*$B$94,12500)</f>
        <v>11528.42</v>
      </c>
      <c r="BA103" s="171" t="n">
        <f aca="false">MIN(BA99*$B$94,12500)</f>
        <v>11450.209</v>
      </c>
      <c r="BB103" s="171" t="n">
        <f aca="false">MIN(BB99*$B$94,12500)</f>
        <v>11371.998</v>
      </c>
      <c r="BC103" s="171" t="n">
        <f aca="false">MIN(BC99*$B$94,12500)</f>
        <v>11293.787</v>
      </c>
      <c r="BD103" s="171" t="n">
        <f aca="false">MIN(BD99*$B$94,12500)</f>
        <v>11215.576</v>
      </c>
      <c r="BE103" s="171" t="n">
        <f aca="false">MIN(BE99*$B$94,12500)</f>
        <v>11137.365</v>
      </c>
      <c r="BF103" s="171" t="n">
        <f aca="false">MIN(BF99*$B$94,12500)</f>
        <v>11059.154</v>
      </c>
      <c r="BG103" s="171" t="n">
        <f aca="false">MIN(BG99*$B$94,12500)</f>
        <v>10980.944</v>
      </c>
      <c r="BH103" s="171" t="n">
        <f aca="false">MIN(BH99*$B$94,12500)</f>
        <v>10902.732</v>
      </c>
      <c r="BI103" s="171" t="n">
        <f aca="false">MIN(BI99*$B$94,12500)</f>
        <v>10824.521</v>
      </c>
      <c r="BJ103" s="171" t="n">
        <f aca="false">MIN(BJ99*$B$94,12500)</f>
        <v>12500</v>
      </c>
      <c r="BK103" s="171" t="n">
        <f aca="false">MIN(BK99*$B$94,12500)</f>
        <v>0</v>
      </c>
      <c r="BL103" s="171" t="n">
        <f aca="false">MIN(BL99*$B$94,12500)</f>
        <v>0</v>
      </c>
      <c r="BM103" s="171" t="n">
        <f aca="false">MIN(BM99*$B$94,12500)</f>
        <v>0</v>
      </c>
      <c r="BN103" s="171" t="n">
        <f aca="false">MIN(BN99*$B$94,12500)</f>
        <v>0</v>
      </c>
      <c r="BO103" s="171" t="n">
        <f aca="false">MIN(BO99*$B$94,12500)</f>
        <v>0</v>
      </c>
      <c r="BP103" s="171" t="n">
        <f aca="false">MIN(BP99*$B$94,12500)</f>
        <v>0</v>
      </c>
      <c r="BQ103" s="171" t="n">
        <f aca="false">MIN(BQ99*$B$94,12500)</f>
        <v>0</v>
      </c>
      <c r="BR103" s="171" t="n">
        <f aca="false">MIN(BR99*$B$94,12500)</f>
        <v>0</v>
      </c>
      <c r="BS103" s="171" t="n">
        <f aca="false">MIN(BS99*$B$94,12500)</f>
        <v>0</v>
      </c>
      <c r="BT103" s="171" t="n">
        <f aca="false">MIN(BT99*$B$94,12500)</f>
        <v>0</v>
      </c>
      <c r="BU103" s="171" t="n">
        <f aca="false">MIN(BU99*$B$94,12500)</f>
        <v>0</v>
      </c>
      <c r="BV103" s="171" t="n">
        <f aca="false">MIN(BV99*$B$94,12500)</f>
        <v>0</v>
      </c>
      <c r="BW103" s="171" t="n">
        <f aca="false">MIN(BW99*$B$94,12500)</f>
        <v>0</v>
      </c>
      <c r="BX103" s="171" t="n">
        <f aca="false">MIN(BX99*$B$94,12500)</f>
        <v>0</v>
      </c>
      <c r="BY103" s="171" t="n">
        <f aca="false">MIN(BY99*$B$94,12500)</f>
        <v>0</v>
      </c>
      <c r="BZ103" s="171" t="n">
        <f aca="false">MIN(BZ99*$B$94,12500)</f>
        <v>0</v>
      </c>
      <c r="CA103" s="171" t="n">
        <f aca="false">MIN(CA99*$B$94,12500)</f>
        <v>0</v>
      </c>
      <c r="CB103" s="171" t="n">
        <f aca="false">MIN(CB99*$B$94,12500)</f>
        <v>0</v>
      </c>
      <c r="CC103" s="171" t="n">
        <f aca="false">MIN(CC99*$B$94,12500)</f>
        <v>0</v>
      </c>
      <c r="CD103" s="171" t="n">
        <f aca="false">MIN(CD99*$B$94,12500)</f>
        <v>0</v>
      </c>
      <c r="CE103" s="171" t="n">
        <f aca="false">MIN(CE99*$B$94,12500)</f>
        <v>0</v>
      </c>
      <c r="CF103" s="171" t="n">
        <f aca="false">MIN(CF99*$B$94,12500)</f>
        <v>0</v>
      </c>
      <c r="CG103" s="171" t="n">
        <f aca="false">MIN(CG99*$B$94,12500)</f>
        <v>0</v>
      </c>
      <c r="CH103" s="171" t="n">
        <f aca="false">CH99*$B$94</f>
        <v>0</v>
      </c>
    </row>
    <row r="104" customFormat="false" ht="15" hidden="false" customHeight="true" outlineLevel="0" collapsed="false">
      <c r="A104" s="168" t="s">
        <v>622</v>
      </c>
      <c r="B104" s="169" t="n">
        <f aca="false">SUM(C104:CH104)</f>
        <v>6490433.383</v>
      </c>
      <c r="C104" s="171" t="n">
        <f aca="false">C102-C103</f>
        <v>0</v>
      </c>
      <c r="D104" s="171" t="n">
        <f aca="false">D102-D103</f>
        <v>0</v>
      </c>
      <c r="E104" s="171" t="n">
        <f aca="false">E102-E103</f>
        <v>0</v>
      </c>
      <c r="F104" s="171" t="n">
        <f aca="false">F102-F103</f>
        <v>0</v>
      </c>
      <c r="G104" s="171" t="n">
        <f aca="false">G102-G103</f>
        <v>0</v>
      </c>
      <c r="H104" s="171" t="n">
        <f aca="false">H102-H103</f>
        <v>0</v>
      </c>
      <c r="I104" s="171" t="n">
        <f aca="false">I102-I103</f>
        <v>0</v>
      </c>
      <c r="J104" s="171" t="n">
        <f aca="false">J102-J103</f>
        <v>0</v>
      </c>
      <c r="K104" s="171" t="n">
        <f aca="false">K102-K103</f>
        <v>0</v>
      </c>
      <c r="L104" s="171" t="n">
        <f aca="false">L102-L103</f>
        <v>31045.324</v>
      </c>
      <c r="M104" s="171" t="n">
        <f aca="false">M102-M103</f>
        <v>20628.324</v>
      </c>
      <c r="N104" s="171" t="n">
        <f aca="false">N102-N103</f>
        <v>20628.324</v>
      </c>
      <c r="O104" s="171" t="n">
        <f aca="false">O102-O103</f>
        <v>20628.324</v>
      </c>
      <c r="P104" s="171" t="n">
        <f aca="false">P102-P103</f>
        <v>13128.324</v>
      </c>
      <c r="Q104" s="171" t="n">
        <f aca="false">Q102-Q103</f>
        <v>13128.324</v>
      </c>
      <c r="R104" s="171" t="n">
        <f aca="false">R102-R103</f>
        <v>36433.068</v>
      </c>
      <c r="S104" s="171" t="n">
        <f aca="false">S102-S103</f>
        <v>59737.812</v>
      </c>
      <c r="T104" s="171" t="n">
        <f aca="false">T102-T103</f>
        <v>83042.556</v>
      </c>
      <c r="U104" s="171" t="n">
        <f aca="false">U102-U103</f>
        <v>99542.99</v>
      </c>
      <c r="V104" s="171" t="n">
        <f aca="false">V102-V103</f>
        <v>125437.16</v>
      </c>
      <c r="W104" s="171" t="n">
        <f aca="false">W102-W103</f>
        <v>151331.31</v>
      </c>
      <c r="X104" s="171" t="n">
        <f aca="false">X102-X103</f>
        <v>177225.46</v>
      </c>
      <c r="Y104" s="171" t="n">
        <f aca="false">Y102-Y103</f>
        <v>203119.62</v>
      </c>
      <c r="Z104" s="171" t="n">
        <f aca="false">Z102-Z103</f>
        <v>229013.79</v>
      </c>
      <c r="AA104" s="171" t="n">
        <f aca="false">AA102-AA103</f>
        <v>254907.94</v>
      </c>
      <c r="AB104" s="171" t="n">
        <f aca="false">AB102-AB103</f>
        <v>280802.11</v>
      </c>
      <c r="AC104" s="171" t="n">
        <f aca="false">AC102-AC103</f>
        <v>341329.61</v>
      </c>
      <c r="AD104" s="171" t="n">
        <f aca="false">AD102-AD103</f>
        <v>252011.01</v>
      </c>
      <c r="AE104" s="171" t="n">
        <f aca="false">AE102-AE103</f>
        <v>252793.13</v>
      </c>
      <c r="AF104" s="171" t="n">
        <f aca="false">AF102-AF103</f>
        <v>253575.23</v>
      </c>
      <c r="AG104" s="171" t="n">
        <f aca="false">AG102-AG103</f>
        <v>254357.34</v>
      </c>
      <c r="AH104" s="171" t="n">
        <f aca="false">AH102-AH103</f>
        <v>255139.44</v>
      </c>
      <c r="AI104" s="171" t="n">
        <f aca="false">AI102-AI103</f>
        <v>281815.71</v>
      </c>
      <c r="AJ104" s="171" t="n">
        <f aca="false">AJ102-AJ103</f>
        <v>256703.67</v>
      </c>
      <c r="AK104" s="171" t="n">
        <f aca="false">AK102-AK103</f>
        <v>231591.62</v>
      </c>
      <c r="AL104" s="171" t="n">
        <f aca="false">AL102-AL103</f>
        <v>206479.57</v>
      </c>
      <c r="AM104" s="171" t="n">
        <f aca="false">AM102-AM103</f>
        <v>181367.51</v>
      </c>
      <c r="AN104" s="171" t="n">
        <f aca="false">AN102-AN103</f>
        <v>156255.47</v>
      </c>
      <c r="AO104" s="171" t="n">
        <f aca="false">AO102-AO103</f>
        <v>131143.42</v>
      </c>
      <c r="AP104" s="171" t="n">
        <f aca="false">AP102-AP103</f>
        <v>106031.36</v>
      </c>
      <c r="AQ104" s="171" t="n">
        <f aca="false">AQ102-AQ103</f>
        <v>80919.32</v>
      </c>
      <c r="AR104" s="171" t="n">
        <f aca="false">AR102-AR103</f>
        <v>56776.443</v>
      </c>
      <c r="AS104" s="171" t="n">
        <f aca="false">AS102-AS103</f>
        <v>136594.1</v>
      </c>
      <c r="AT104" s="171" t="n">
        <f aca="false">AT102-AT103</f>
        <v>110699.95</v>
      </c>
      <c r="AU104" s="171" t="n">
        <f aca="false">AU102-AU103</f>
        <v>60274.275</v>
      </c>
      <c r="AV104" s="171" t="n">
        <f aca="false">AV102-AV103</f>
        <v>59570.376</v>
      </c>
      <c r="AW104" s="171" t="n">
        <f aca="false">AW102-AW103</f>
        <v>58866.468</v>
      </c>
      <c r="AX104" s="171" t="n">
        <f aca="false">AX102-AX103</f>
        <v>58162.578</v>
      </c>
      <c r="AY104" s="171" t="n">
        <f aca="false">AY102-AY103</f>
        <v>57458.679</v>
      </c>
      <c r="AZ104" s="171" t="n">
        <f aca="false">AZ102-AZ103</f>
        <v>56754.78</v>
      </c>
      <c r="BA104" s="171" t="n">
        <f aca="false">BA102-BA103</f>
        <v>56050.881</v>
      </c>
      <c r="BB104" s="171" t="n">
        <f aca="false">BB102-BB103</f>
        <v>55346.982</v>
      </c>
      <c r="BC104" s="171" t="n">
        <f aca="false">BC102-BC103</f>
        <v>54643.083</v>
      </c>
      <c r="BD104" s="171" t="n">
        <f aca="false">BD102-BD103</f>
        <v>53939.184</v>
      </c>
      <c r="BE104" s="171" t="n">
        <f aca="false">BE102-BE103</f>
        <v>53235.285</v>
      </c>
      <c r="BF104" s="171" t="n">
        <f aca="false">BF102-BF103</f>
        <v>52531.386</v>
      </c>
      <c r="BG104" s="171" t="n">
        <f aca="false">BG102-BG103</f>
        <v>51827.496</v>
      </c>
      <c r="BH104" s="171" t="n">
        <f aca="false">BH102-BH103</f>
        <v>98124.588</v>
      </c>
      <c r="BI104" s="171" t="n">
        <f aca="false">BI102-BI103</f>
        <v>97420.689</v>
      </c>
      <c r="BJ104" s="171" t="n">
        <f aca="false">BJ102-BJ103</f>
        <v>200861.99</v>
      </c>
      <c r="BK104" s="171" t="n">
        <f aca="false">BK102-BK103</f>
        <v>0</v>
      </c>
      <c r="BL104" s="171" t="n">
        <f aca="false">BL102-BL103</f>
        <v>0</v>
      </c>
      <c r="BM104" s="171" t="n">
        <f aca="false">BM102-BM103</f>
        <v>0</v>
      </c>
      <c r="BN104" s="171" t="n">
        <f aca="false">BN102-BN103</f>
        <v>0</v>
      </c>
      <c r="BO104" s="171" t="n">
        <f aca="false">BO102-BO103</f>
        <v>0</v>
      </c>
      <c r="BP104" s="171" t="n">
        <f aca="false">BP102-BP103</f>
        <v>0</v>
      </c>
      <c r="BQ104" s="171" t="n">
        <f aca="false">BQ102-BQ103</f>
        <v>0</v>
      </c>
      <c r="BR104" s="171" t="n">
        <f aca="false">BR102-BR103</f>
        <v>0</v>
      </c>
      <c r="BS104" s="171" t="n">
        <f aca="false">BS102-BS103</f>
        <v>0</v>
      </c>
      <c r="BT104" s="171" t="n">
        <f aca="false">BT102-BT103</f>
        <v>0</v>
      </c>
      <c r="BU104" s="171" t="n">
        <f aca="false">BU102-BU103</f>
        <v>0</v>
      </c>
      <c r="BV104" s="171" t="n">
        <f aca="false">BV102-BV103</f>
        <v>0</v>
      </c>
      <c r="BW104" s="171" t="n">
        <f aca="false">BW102-BW103</f>
        <v>0</v>
      </c>
      <c r="BX104" s="171" t="n">
        <f aca="false">BX102-BX103</f>
        <v>0</v>
      </c>
      <c r="BY104" s="171" t="n">
        <f aca="false">BY102-BY103</f>
        <v>0</v>
      </c>
      <c r="BZ104" s="171" t="n">
        <f aca="false">BZ102-BZ103</f>
        <v>0</v>
      </c>
      <c r="CA104" s="171" t="n">
        <f aca="false">CA102-CA103</f>
        <v>0</v>
      </c>
      <c r="CB104" s="171" t="n">
        <f aca="false">CB102-CB103</f>
        <v>0</v>
      </c>
      <c r="CC104" s="171" t="n">
        <f aca="false">CC102-CC103</f>
        <v>0</v>
      </c>
      <c r="CD104" s="171" t="n">
        <f aca="false">CD102-CD103</f>
        <v>0</v>
      </c>
      <c r="CE104" s="171" t="n">
        <f aca="false">CE102-CE103</f>
        <v>0</v>
      </c>
      <c r="CF104" s="171" t="n">
        <f aca="false">CF102-CF103</f>
        <v>0</v>
      </c>
      <c r="CG104" s="171" t="n">
        <f aca="false">CG102-CG103</f>
        <v>0</v>
      </c>
      <c r="CH104" s="171" t="n">
        <f aca="false">CH102-CH103</f>
        <v>0</v>
      </c>
    </row>
    <row r="105" customFormat="false" ht="15" hidden="false" customHeight="true" outlineLevel="0" collapsed="false">
      <c r="A105" s="168" t="s">
        <v>623</v>
      </c>
      <c r="B105" s="169" t="n">
        <f aca="false">SUM(C105:CH105)</f>
        <v>2951665.926</v>
      </c>
      <c r="C105" s="171" t="n">
        <v>0</v>
      </c>
      <c r="D105" s="171" t="n">
        <v>0</v>
      </c>
      <c r="E105" s="171" t="n">
        <v>0</v>
      </c>
      <c r="F105" s="171" t="n">
        <v>0</v>
      </c>
      <c r="G105" s="171" t="n">
        <v>0</v>
      </c>
      <c r="H105" s="171" t="n">
        <v>0</v>
      </c>
      <c r="I105" s="171" t="n">
        <v>0</v>
      </c>
      <c r="J105" s="171" t="n">
        <v>0</v>
      </c>
      <c r="K105" s="171" t="n">
        <v>0</v>
      </c>
      <c r="L105" s="171" t="n">
        <f aca="false">MAX(0,L104)*0.4</f>
        <v>12418.1296</v>
      </c>
      <c r="M105" s="171" t="n">
        <f aca="false">MAX(0,M104)*0.4</f>
        <v>8251.3296</v>
      </c>
      <c r="N105" s="171" t="n">
        <f aca="false">MAX(0,N104)*0.4</f>
        <v>8251.3296</v>
      </c>
      <c r="O105" s="171" t="n">
        <f aca="false">MAX(0,O104)*0.4</f>
        <v>8251.3296</v>
      </c>
      <c r="P105" s="171" t="n">
        <f aca="false">MAX(0,P104)*0.4</f>
        <v>5251.3296</v>
      </c>
      <c r="Q105" s="171" t="n">
        <f aca="false">MAX(0,Q104)*0.4</f>
        <v>5251.3296</v>
      </c>
      <c r="R105" s="171" t="n">
        <f aca="false">MAX(0,R104)*0.4</f>
        <v>14573.2272</v>
      </c>
      <c r="S105" s="171" t="n">
        <f aca="false">MAX(0,S104)*0.4</f>
        <v>23895.1248</v>
      </c>
      <c r="T105" s="171" t="n">
        <f aca="false">MAX(0,T104)*0.4</f>
        <v>33217.0224</v>
      </c>
      <c r="U105" s="171" t="n">
        <f aca="false">MAX(0,U104)*0.4</f>
        <v>39817.196</v>
      </c>
      <c r="V105" s="171" t="n">
        <f aca="false">MAX(0,V104)*0.4</f>
        <v>50174.864</v>
      </c>
      <c r="W105" s="171" t="n">
        <f aca="false">MAX(0,W104)*0.4</f>
        <v>60532.524</v>
      </c>
      <c r="X105" s="171" t="n">
        <f aca="false">MAX(0,X104)*0.4</f>
        <v>70890.184</v>
      </c>
      <c r="Y105" s="171" t="n">
        <f aca="false">MAX(0,Y104)*0.4</f>
        <v>81247.848</v>
      </c>
      <c r="Z105" s="171" t="n">
        <f aca="false">MAX(0,Z104)*0.4</f>
        <v>91605.516</v>
      </c>
      <c r="AA105" s="171" t="n">
        <f aca="false">MAX(0,AA104)*0.45</f>
        <v>114708.573</v>
      </c>
      <c r="AB105" s="171" t="n">
        <f aca="false">MAX(0,AB104)*0.45</f>
        <v>126360.9495</v>
      </c>
      <c r="AC105" s="171" t="n">
        <f aca="false">MAX(0,AC104)*0.45</f>
        <v>153598.3245</v>
      </c>
      <c r="AD105" s="171" t="n">
        <f aca="false">MAX(0,AD104)*0.45</f>
        <v>113404.9545</v>
      </c>
      <c r="AE105" s="171" t="n">
        <f aca="false">MAX(0,AE104)*0.45</f>
        <v>113756.9085</v>
      </c>
      <c r="AF105" s="171" t="n">
        <f aca="false">MAX(0,AF104)*0.45</f>
        <v>114108.8535</v>
      </c>
      <c r="AG105" s="171" t="n">
        <f aca="false">MAX(0,AG104)*0.45</f>
        <v>114460.803</v>
      </c>
      <c r="AH105" s="171" t="n">
        <f aca="false">MAX(0,AH104)*0.45</f>
        <v>114812.748</v>
      </c>
      <c r="AI105" s="171" t="n">
        <f aca="false">MAX(0,AI104)*0.45</f>
        <v>126817.0695</v>
      </c>
      <c r="AJ105" s="171" t="n">
        <f aca="false">MAX(0,AJ104)*0.45</f>
        <v>115516.6515</v>
      </c>
      <c r="AK105" s="171" t="n">
        <f aca="false">MAX(0,AK104)*0.45</f>
        <v>104216.229</v>
      </c>
      <c r="AL105" s="171" t="n">
        <f aca="false">MAX(0,AL104)*0.45</f>
        <v>92915.8065</v>
      </c>
      <c r="AM105" s="171" t="n">
        <f aca="false">MAX(0,AM104)*0.45</f>
        <v>81615.3795</v>
      </c>
      <c r="AN105" s="171" t="n">
        <f aca="false">MAX(0,AN104)*0.5</f>
        <v>78127.735</v>
      </c>
      <c r="AO105" s="171" t="n">
        <f aca="false">MAX(0,AO104)*0.5</f>
        <v>65571.71</v>
      </c>
      <c r="AP105" s="171" t="n">
        <f aca="false">MAX(0,AP104)*0.5</f>
        <v>53015.68</v>
      </c>
      <c r="AQ105" s="171" t="n">
        <f aca="false">MAX(0,AQ104)*0.5</f>
        <v>40459.66</v>
      </c>
      <c r="AR105" s="171" t="n">
        <f aca="false">MAX(0,AR104)*0.5</f>
        <v>28388.2215</v>
      </c>
      <c r="AS105" s="171" t="n">
        <f aca="false">MAX(0,AS104)*0.5</f>
        <v>68297.05</v>
      </c>
      <c r="AT105" s="171" t="n">
        <f aca="false">MAX(0,AT104)*0.5</f>
        <v>55349.975</v>
      </c>
      <c r="AU105" s="171" t="n">
        <f aca="false">MAX(0,AU104)*0.5</f>
        <v>30137.1375</v>
      </c>
      <c r="AV105" s="171" t="n">
        <f aca="false">MAX(0,AV104)*0.5</f>
        <v>29785.188</v>
      </c>
      <c r="AW105" s="171" t="n">
        <f aca="false">MAX(0,AW104)*0.5</f>
        <v>29433.234</v>
      </c>
      <c r="AX105" s="171" t="n">
        <f aca="false">MAX(0,AX104)*0.5</f>
        <v>29081.289</v>
      </c>
      <c r="AY105" s="171" t="n">
        <f aca="false">MAX(0,AY104)*0.5</f>
        <v>28729.3395</v>
      </c>
      <c r="AZ105" s="171" t="n">
        <f aca="false">MAX(0,AZ104)*0.5</f>
        <v>28377.39</v>
      </c>
      <c r="BA105" s="171" t="n">
        <f aca="false">MAX(0,BA104)*0.5</f>
        <v>28025.4405</v>
      </c>
      <c r="BB105" s="171" t="n">
        <f aca="false">MAX(0,BB104)*0.5</f>
        <v>27673.491</v>
      </c>
      <c r="BC105" s="171" t="n">
        <f aca="false">MAX(0,BC104)*0.5</f>
        <v>27321.5415</v>
      </c>
      <c r="BD105" s="171" t="n">
        <f aca="false">MAX(0,BD104)*0.5</f>
        <v>26969.592</v>
      </c>
      <c r="BE105" s="171" t="n">
        <f aca="false">MAX(0,BE104)*0.5</f>
        <v>26617.6425</v>
      </c>
      <c r="BF105" s="171" t="n">
        <f aca="false">MAX(0,BF104)*0.5</f>
        <v>26265.693</v>
      </c>
      <c r="BG105" s="171" t="n">
        <f aca="false">MAX(0,BG104)*0.5</f>
        <v>25913.748</v>
      </c>
      <c r="BH105" s="171" t="n">
        <f aca="false">MAX(0,BH104)*0.5</f>
        <v>49062.294</v>
      </c>
      <c r="BI105" s="171" t="n">
        <f aca="false">MAX(0,BI104)*0.5</f>
        <v>48710.3445</v>
      </c>
      <c r="BJ105" s="171" t="n">
        <f aca="false">MAX(0,BJ104)*0.5</f>
        <v>100430.995</v>
      </c>
      <c r="BK105" s="171" t="n">
        <f aca="false">MAX(0,BK104)*0.5</f>
        <v>0</v>
      </c>
      <c r="BL105" s="171" t="n">
        <f aca="false">MAX(0,BL104)*0.5</f>
        <v>0</v>
      </c>
      <c r="BM105" s="171" t="n">
        <f aca="false">MAX(0,BM104)*0.5</f>
        <v>0</v>
      </c>
      <c r="BN105" s="171" t="n">
        <f aca="false">MAX(0,BN104)*0.5</f>
        <v>0</v>
      </c>
      <c r="BO105" s="171" t="n">
        <f aca="false">MAX(0,BO104)*0.5</f>
        <v>0</v>
      </c>
      <c r="BP105" s="171" t="n">
        <f aca="false">MAX(0,BP104)*0.5</f>
        <v>0</v>
      </c>
      <c r="BQ105" s="171" t="n">
        <f aca="false">MAX(0,BQ104)*0.5</f>
        <v>0</v>
      </c>
      <c r="BR105" s="171" t="n">
        <f aca="false">MAX(0,BR104)*0.5</f>
        <v>0</v>
      </c>
      <c r="BS105" s="171" t="n">
        <f aca="false">MAX(0,BS104)*0.5</f>
        <v>0</v>
      </c>
      <c r="BT105" s="171" t="n">
        <f aca="false">MAX(0,BT104)*0.5</f>
        <v>0</v>
      </c>
      <c r="BU105" s="171" t="n">
        <f aca="false">MAX(0,BU104)*0.5</f>
        <v>0</v>
      </c>
      <c r="BV105" s="171" t="n">
        <f aca="false">MAX(0,BV104)*0.5</f>
        <v>0</v>
      </c>
      <c r="BW105" s="171" t="n">
        <f aca="false">MAX(0,BW104)*0.5</f>
        <v>0</v>
      </c>
      <c r="BX105" s="171" t="n">
        <f aca="false">MAX(0,BX104)*0.5</f>
        <v>0</v>
      </c>
      <c r="BY105" s="171" t="n">
        <f aca="false">MAX(0,BY104)*0.5</f>
        <v>0</v>
      </c>
      <c r="BZ105" s="171" t="n">
        <f aca="false">MAX(0,BZ104)*0.5</f>
        <v>0</v>
      </c>
      <c r="CA105" s="171" t="n">
        <f aca="false">MAX(0,CA104)*0.5</f>
        <v>0</v>
      </c>
      <c r="CB105" s="171" t="n">
        <f aca="false">MAX(0,CB104)*0.5</f>
        <v>0</v>
      </c>
      <c r="CC105" s="171" t="n">
        <f aca="false">MAX(0,CC104)*0.5</f>
        <v>0</v>
      </c>
      <c r="CD105" s="171" t="n">
        <f aca="false">MAX(0,CD104)*0.5</f>
        <v>0</v>
      </c>
      <c r="CE105" s="171" t="n">
        <f aca="false">MAX(0,CE104)*0.5</f>
        <v>0</v>
      </c>
      <c r="CF105" s="171" t="n">
        <f aca="false">MAX(0,CF104)*0.5</f>
        <v>0</v>
      </c>
      <c r="CG105" s="171" t="n">
        <f aca="false">MAX(0,CG104)*0.5</f>
        <v>0</v>
      </c>
      <c r="CH105" s="171" t="n">
        <f aca="false">MAX(0,CH104)*$B$95</f>
        <v>0</v>
      </c>
    </row>
    <row r="106" customFormat="false" ht="15" hidden="false" customHeight="true" outlineLevel="0" collapsed="false">
      <c r="A106" s="168" t="s">
        <v>624</v>
      </c>
      <c r="B106" s="169" t="n">
        <f aca="false">B104-B105</f>
        <v>3538767.457</v>
      </c>
      <c r="C106" s="171" t="n">
        <f aca="false">C104-C105</f>
        <v>0</v>
      </c>
      <c r="D106" s="171" t="n">
        <f aca="false">D104-D105</f>
        <v>0</v>
      </c>
      <c r="E106" s="171" t="n">
        <f aca="false">E104-E105</f>
        <v>0</v>
      </c>
      <c r="F106" s="171" t="n">
        <f aca="false">F104-F105</f>
        <v>0</v>
      </c>
      <c r="G106" s="171" t="n">
        <f aca="false">G104-G105</f>
        <v>0</v>
      </c>
      <c r="H106" s="171" t="n">
        <f aca="false">H104-H105</f>
        <v>0</v>
      </c>
      <c r="I106" s="171" t="n">
        <f aca="false">I104-I105</f>
        <v>0</v>
      </c>
      <c r="J106" s="171" t="n">
        <f aca="false">J104-J105</f>
        <v>0</v>
      </c>
      <c r="K106" s="171" t="n">
        <f aca="false">K104-K105</f>
        <v>0</v>
      </c>
      <c r="L106" s="171" t="n">
        <f aca="false">L104-L105</f>
        <v>18627.1944</v>
      </c>
      <c r="M106" s="171" t="n">
        <f aca="false">M104-M105</f>
        <v>12376.9944</v>
      </c>
      <c r="N106" s="171" t="n">
        <f aca="false">N104-N105</f>
        <v>12376.9944</v>
      </c>
      <c r="O106" s="171" t="n">
        <f aca="false">O104-O105</f>
        <v>12376.9944</v>
      </c>
      <c r="P106" s="171" t="n">
        <f aca="false">P104-P105</f>
        <v>7876.9944</v>
      </c>
      <c r="Q106" s="171" t="n">
        <f aca="false">Q104-Q105</f>
        <v>7876.9944</v>
      </c>
      <c r="R106" s="171" t="n">
        <f aca="false">R104-R105</f>
        <v>21859.8408</v>
      </c>
      <c r="S106" s="171" t="n">
        <f aca="false">S104-S105</f>
        <v>35842.6872</v>
      </c>
      <c r="T106" s="171" t="n">
        <f aca="false">T104-T105</f>
        <v>49825.5336</v>
      </c>
      <c r="U106" s="171" t="n">
        <f aca="false">U104-U105</f>
        <v>59725.794</v>
      </c>
      <c r="V106" s="171" t="n">
        <f aca="false">V104-V105</f>
        <v>75262.296</v>
      </c>
      <c r="W106" s="171" t="n">
        <f aca="false">W104-W105</f>
        <v>90798.786</v>
      </c>
      <c r="X106" s="171" t="n">
        <f aca="false">X104-X105</f>
        <v>106335.276</v>
      </c>
      <c r="Y106" s="171" t="n">
        <f aca="false">Y104-Y105</f>
        <v>121871.772</v>
      </c>
      <c r="Z106" s="171" t="n">
        <f aca="false">Z104-Z105</f>
        <v>137408.274</v>
      </c>
      <c r="AA106" s="171" t="n">
        <f aca="false">AA104-AA105</f>
        <v>140199.367</v>
      </c>
      <c r="AB106" s="171" t="n">
        <f aca="false">AB104-AB105</f>
        <v>154441.1605</v>
      </c>
      <c r="AC106" s="171" t="n">
        <f aca="false">AC104-AC105</f>
        <v>187731.2855</v>
      </c>
      <c r="AD106" s="171" t="n">
        <f aca="false">AD104-AD105</f>
        <v>138606.0555</v>
      </c>
      <c r="AE106" s="171" t="n">
        <f aca="false">AE104-AE105</f>
        <v>139036.2215</v>
      </c>
      <c r="AF106" s="171" t="n">
        <f aca="false">AF104-AF105</f>
        <v>139466.3765</v>
      </c>
      <c r="AG106" s="171" t="n">
        <f aca="false">AG104-AG105</f>
        <v>139896.537</v>
      </c>
      <c r="AH106" s="171" t="n">
        <f aca="false">AH104-AH105</f>
        <v>140326.692</v>
      </c>
      <c r="AI106" s="171" t="n">
        <f aca="false">AI104-AI105</f>
        <v>154998.6405</v>
      </c>
      <c r="AJ106" s="171" t="n">
        <f aca="false">AJ104-AJ105</f>
        <v>141187.0185</v>
      </c>
      <c r="AK106" s="171" t="n">
        <f aca="false">AK104-AK105</f>
        <v>127375.391</v>
      </c>
      <c r="AL106" s="171" t="n">
        <f aca="false">AL104-AL105</f>
        <v>113563.7635</v>
      </c>
      <c r="AM106" s="171" t="n">
        <f aca="false">AM104-AM105</f>
        <v>99752.1305</v>
      </c>
      <c r="AN106" s="171" t="n">
        <f aca="false">AN104-AN105</f>
        <v>78127.735</v>
      </c>
      <c r="AO106" s="171" t="n">
        <f aca="false">AO104-AO105</f>
        <v>65571.71</v>
      </c>
      <c r="AP106" s="171" t="n">
        <f aca="false">AP104-AP105</f>
        <v>53015.68</v>
      </c>
      <c r="AQ106" s="171" t="n">
        <f aca="false">AQ104-AQ105</f>
        <v>40459.66</v>
      </c>
      <c r="AR106" s="171" t="n">
        <f aca="false">AR104-AR105</f>
        <v>28388.2215</v>
      </c>
      <c r="AS106" s="171" t="n">
        <f aca="false">AS104-AS105</f>
        <v>68297.05</v>
      </c>
      <c r="AT106" s="171" t="n">
        <f aca="false">AT104-AT105</f>
        <v>55349.975</v>
      </c>
      <c r="AU106" s="171" t="n">
        <f aca="false">AU104-AU105</f>
        <v>30137.1375</v>
      </c>
      <c r="AV106" s="171" t="n">
        <f aca="false">AV104-AV105</f>
        <v>29785.188</v>
      </c>
      <c r="AW106" s="171" t="n">
        <f aca="false">AW104-AW105</f>
        <v>29433.234</v>
      </c>
      <c r="AX106" s="171" t="n">
        <f aca="false">AX104-AX105</f>
        <v>29081.289</v>
      </c>
      <c r="AY106" s="171" t="n">
        <f aca="false">AY104-AY105</f>
        <v>28729.3395</v>
      </c>
      <c r="AZ106" s="171" t="n">
        <f aca="false">AZ104-AZ105</f>
        <v>28377.39</v>
      </c>
      <c r="BA106" s="171" t="n">
        <f aca="false">BA104-BA105</f>
        <v>28025.4405</v>
      </c>
      <c r="BB106" s="171" t="n">
        <f aca="false">BB104-BB105</f>
        <v>27673.491</v>
      </c>
      <c r="BC106" s="171" t="n">
        <f aca="false">BC104-BC105</f>
        <v>27321.5415</v>
      </c>
      <c r="BD106" s="171" t="n">
        <f aca="false">BD104-BD105</f>
        <v>26969.592</v>
      </c>
      <c r="BE106" s="171" t="n">
        <f aca="false">BE104-BE105</f>
        <v>26617.6425</v>
      </c>
      <c r="BF106" s="171" t="n">
        <f aca="false">BF104-BF105</f>
        <v>26265.693</v>
      </c>
      <c r="BG106" s="171" t="n">
        <f aca="false">BG104-BG105</f>
        <v>25913.748</v>
      </c>
      <c r="BH106" s="171" t="n">
        <f aca="false">BH104-BH105</f>
        <v>49062.294</v>
      </c>
      <c r="BI106" s="171" t="n">
        <f aca="false">BI104-BI105</f>
        <v>48710.3445</v>
      </c>
      <c r="BJ106" s="171" t="n">
        <f aca="false">BJ104-BJ105</f>
        <v>100430.995</v>
      </c>
      <c r="BK106" s="171" t="n">
        <f aca="false">BK104-BK105</f>
        <v>0</v>
      </c>
      <c r="BL106" s="171" t="n">
        <f aca="false">BL104-BL105</f>
        <v>0</v>
      </c>
      <c r="BM106" s="171" t="n">
        <f aca="false">BM104-BM105</f>
        <v>0</v>
      </c>
      <c r="BN106" s="171" t="n">
        <f aca="false">BN104-BN105</f>
        <v>0</v>
      </c>
      <c r="BO106" s="171" t="n">
        <f aca="false">BO104-BO105</f>
        <v>0</v>
      </c>
      <c r="BP106" s="171" t="n">
        <f aca="false">BP104-BP105</f>
        <v>0</v>
      </c>
      <c r="BQ106" s="171" t="n">
        <f aca="false">BQ104-BQ105</f>
        <v>0</v>
      </c>
      <c r="BR106" s="171" t="n">
        <f aca="false">BR104-BR105</f>
        <v>0</v>
      </c>
      <c r="BS106" s="171" t="n">
        <f aca="false">BS104-BS105</f>
        <v>0</v>
      </c>
      <c r="BT106" s="171" t="n">
        <f aca="false">BT104-BT105</f>
        <v>0</v>
      </c>
      <c r="BU106" s="171" t="n">
        <f aca="false">BU104-BU105</f>
        <v>0</v>
      </c>
      <c r="BV106" s="171" t="n">
        <f aca="false">BV104-BV105</f>
        <v>0</v>
      </c>
      <c r="BW106" s="171" t="n">
        <f aca="false">BW104-BW105</f>
        <v>0</v>
      </c>
      <c r="BX106" s="171" t="n">
        <f aca="false">BX104-BX105</f>
        <v>0</v>
      </c>
      <c r="BY106" s="171" t="n">
        <f aca="false">BY104-BY105</f>
        <v>0</v>
      </c>
      <c r="BZ106" s="171" t="n">
        <f aca="false">BZ104-BZ105</f>
        <v>0</v>
      </c>
      <c r="CA106" s="171" t="n">
        <f aca="false">CA104-CA105</f>
        <v>0</v>
      </c>
      <c r="CB106" s="171" t="n">
        <f aca="false">CB104-CB105</f>
        <v>0</v>
      </c>
      <c r="CC106" s="171" t="n">
        <f aca="false">CC104-CC105</f>
        <v>0</v>
      </c>
      <c r="CD106" s="171" t="n">
        <f aca="false">CD104-CD105</f>
        <v>0</v>
      </c>
      <c r="CE106" s="171" t="n">
        <f aca="false">CE104-CE105</f>
        <v>0</v>
      </c>
      <c r="CF106" s="171" t="n">
        <f aca="false">CF104-CF105</f>
        <v>0</v>
      </c>
      <c r="CG106" s="171" t="n">
        <f aca="false">CG104-CG105</f>
        <v>0</v>
      </c>
      <c r="CH106" s="171" t="n">
        <f aca="false">CH104-CH105</f>
        <v>0</v>
      </c>
    </row>
    <row r="107" customFormat="false" ht="15" hidden="false" customHeight="true" outlineLevel="0" collapsed="false">
      <c r="A107" s="168" t="s">
        <v>625</v>
      </c>
      <c r="B107" s="169" t="n">
        <f aca="false">B103+B106</f>
        <v>4101960.074</v>
      </c>
      <c r="C107" s="171" t="n">
        <f aca="false">C103+C106</f>
        <v>0</v>
      </c>
      <c r="D107" s="171" t="n">
        <f aca="false">D103+D106</f>
        <v>0</v>
      </c>
      <c r="E107" s="171" t="n">
        <f aca="false">E103+E106</f>
        <v>0</v>
      </c>
      <c r="F107" s="171" t="n">
        <f aca="false">F103+F106</f>
        <v>0</v>
      </c>
      <c r="G107" s="171" t="n">
        <f aca="false">G103+G106</f>
        <v>0</v>
      </c>
      <c r="H107" s="171" t="n">
        <f aca="false">H103+H106</f>
        <v>0</v>
      </c>
      <c r="I107" s="171" t="n">
        <f aca="false">I103+I106</f>
        <v>0</v>
      </c>
      <c r="J107" s="171" t="n">
        <f aca="false">J103+J106</f>
        <v>0</v>
      </c>
      <c r="K107" s="171" t="n">
        <f aca="false">K103+K106</f>
        <v>0</v>
      </c>
      <c r="L107" s="171" t="n">
        <f aca="false">L103+L106</f>
        <v>23132.2304</v>
      </c>
      <c r="M107" s="171" t="n">
        <f aca="false">M103+M106</f>
        <v>16882.0304</v>
      </c>
      <c r="N107" s="171" t="n">
        <f aca="false">N103+N106</f>
        <v>16882.0304</v>
      </c>
      <c r="O107" s="171" t="n">
        <f aca="false">O103+O106</f>
        <v>16882.0304</v>
      </c>
      <c r="P107" s="171" t="n">
        <f aca="false">P103+P106</f>
        <v>12382.0304</v>
      </c>
      <c r="Q107" s="171" t="n">
        <f aca="false">Q103+Q106</f>
        <v>12382.0304</v>
      </c>
      <c r="R107" s="171" t="n">
        <f aca="false">R103+R106</f>
        <v>28954.2928</v>
      </c>
      <c r="S107" s="171" t="n">
        <f aca="false">S103+S106</f>
        <v>45526.5552</v>
      </c>
      <c r="T107" s="171" t="n">
        <f aca="false">T103+T106</f>
        <v>62098.8176</v>
      </c>
      <c r="U107" s="171" t="n">
        <f aca="false">U103+U106</f>
        <v>72225.794</v>
      </c>
      <c r="V107" s="171" t="n">
        <f aca="false">V103+V106</f>
        <v>87762.296</v>
      </c>
      <c r="W107" s="171" t="n">
        <f aca="false">W103+W106</f>
        <v>103298.786</v>
      </c>
      <c r="X107" s="171" t="n">
        <f aca="false">X103+X106</f>
        <v>118835.276</v>
      </c>
      <c r="Y107" s="171" t="n">
        <f aca="false">Y103+Y106</f>
        <v>134371.772</v>
      </c>
      <c r="Z107" s="171" t="n">
        <f aca="false">Z103+Z106</f>
        <v>149908.274</v>
      </c>
      <c r="AA107" s="171" t="n">
        <f aca="false">AA103+AA106</f>
        <v>152699.367</v>
      </c>
      <c r="AB107" s="171" t="n">
        <f aca="false">AB103+AB106</f>
        <v>166941.1605</v>
      </c>
      <c r="AC107" s="171" t="n">
        <f aca="false">AC103+AC106</f>
        <v>200231.2855</v>
      </c>
      <c r="AD107" s="171" t="n">
        <f aca="false">AD103+AD106</f>
        <v>151106.0555</v>
      </c>
      <c r="AE107" s="171" t="n">
        <f aca="false">AE103+AE106</f>
        <v>151536.2215</v>
      </c>
      <c r="AF107" s="171" t="n">
        <f aca="false">AF103+AF106</f>
        <v>151966.3765</v>
      </c>
      <c r="AG107" s="171" t="n">
        <f aca="false">AG103+AG106</f>
        <v>152396.537</v>
      </c>
      <c r="AH107" s="171" t="n">
        <f aca="false">AH103+AH106</f>
        <v>152826.692</v>
      </c>
      <c r="AI107" s="171" t="n">
        <f aca="false">AI103+AI106</f>
        <v>167498.6405</v>
      </c>
      <c r="AJ107" s="171" t="n">
        <f aca="false">AJ103+AJ106</f>
        <v>153687.0185</v>
      </c>
      <c r="AK107" s="171" t="n">
        <f aca="false">AK103+AK106</f>
        <v>139875.391</v>
      </c>
      <c r="AL107" s="171" t="n">
        <f aca="false">AL103+AL106</f>
        <v>126063.7635</v>
      </c>
      <c r="AM107" s="171" t="n">
        <f aca="false">AM103+AM106</f>
        <v>112252.1305</v>
      </c>
      <c r="AN107" s="171" t="n">
        <f aca="false">AN103+AN106</f>
        <v>90627.735</v>
      </c>
      <c r="AO107" s="171" t="n">
        <f aca="false">AO103+AO106</f>
        <v>78071.71</v>
      </c>
      <c r="AP107" s="171" t="n">
        <f aca="false">AP103+AP106</f>
        <v>65515.68</v>
      </c>
      <c r="AQ107" s="171" t="n">
        <f aca="false">AQ103+AQ106</f>
        <v>52959.66</v>
      </c>
      <c r="AR107" s="171" t="n">
        <f aca="false">AR103+AR106</f>
        <v>39919.0485</v>
      </c>
      <c r="AS107" s="171" t="n">
        <f aca="false">AS103+AS106</f>
        <v>80797.05</v>
      </c>
      <c r="AT107" s="171" t="n">
        <f aca="false">AT103+AT106</f>
        <v>67849.975</v>
      </c>
      <c r="AU107" s="171" t="n">
        <f aca="false">AU103+AU106</f>
        <v>42056.6125</v>
      </c>
      <c r="AV107" s="171" t="n">
        <f aca="false">AV103+AV106</f>
        <v>41626.452</v>
      </c>
      <c r="AW107" s="171" t="n">
        <f aca="false">AW103+AW106</f>
        <v>41196.286</v>
      </c>
      <c r="AX107" s="171" t="n">
        <f aca="false">AX103+AX106</f>
        <v>40766.131</v>
      </c>
      <c r="AY107" s="171" t="n">
        <f aca="false">AY103+AY106</f>
        <v>40335.9705</v>
      </c>
      <c r="AZ107" s="171" t="n">
        <f aca="false">AZ103+AZ106</f>
        <v>39905.81</v>
      </c>
      <c r="BA107" s="171" t="n">
        <f aca="false">BA103+BA106</f>
        <v>39475.6495</v>
      </c>
      <c r="BB107" s="171" t="n">
        <f aca="false">BB103+BB106</f>
        <v>39045.489</v>
      </c>
      <c r="BC107" s="171" t="n">
        <f aca="false">BC103+BC106</f>
        <v>38615.3285</v>
      </c>
      <c r="BD107" s="171" t="n">
        <f aca="false">BD103+BD106</f>
        <v>38185.168</v>
      </c>
      <c r="BE107" s="171" t="n">
        <f aca="false">BE103+BE106</f>
        <v>37755.0075</v>
      </c>
      <c r="BF107" s="171" t="n">
        <f aca="false">BF103+BF106</f>
        <v>37324.847</v>
      </c>
      <c r="BG107" s="171" t="n">
        <f aca="false">BG103+BG106</f>
        <v>36894.692</v>
      </c>
      <c r="BH107" s="171" t="n">
        <f aca="false">BH103+BH106</f>
        <v>59965.026</v>
      </c>
      <c r="BI107" s="171" t="n">
        <f aca="false">BI103+BI106</f>
        <v>59534.8655</v>
      </c>
      <c r="BJ107" s="171" t="n">
        <f aca="false">BJ103+BJ106</f>
        <v>112930.995</v>
      </c>
      <c r="BK107" s="171" t="n">
        <f aca="false">BK103+BK106</f>
        <v>0</v>
      </c>
      <c r="BL107" s="171" t="n">
        <f aca="false">BL103+BL106</f>
        <v>0</v>
      </c>
      <c r="BM107" s="171" t="n">
        <f aca="false">BM103+BM106</f>
        <v>0</v>
      </c>
      <c r="BN107" s="171" t="n">
        <f aca="false">BN103+BN106</f>
        <v>0</v>
      </c>
      <c r="BO107" s="171" t="n">
        <f aca="false">BO103+BO106</f>
        <v>0</v>
      </c>
      <c r="BP107" s="171" t="n">
        <f aca="false">BP103+BP106</f>
        <v>0</v>
      </c>
      <c r="BQ107" s="171" t="n">
        <f aca="false">BQ103+BQ106</f>
        <v>0</v>
      </c>
      <c r="BR107" s="171" t="n">
        <f aca="false">BR103+BR106</f>
        <v>0</v>
      </c>
      <c r="BS107" s="171" t="n">
        <f aca="false">BS103+BS106</f>
        <v>0</v>
      </c>
      <c r="BT107" s="171" t="n">
        <f aca="false">BT103+BT106</f>
        <v>0</v>
      </c>
      <c r="BU107" s="171" t="n">
        <f aca="false">BU103+BU106</f>
        <v>0</v>
      </c>
      <c r="BV107" s="171" t="n">
        <f aca="false">BV103+BV106</f>
        <v>0</v>
      </c>
      <c r="BW107" s="171" t="n">
        <f aca="false">BW103+BW106</f>
        <v>0</v>
      </c>
      <c r="BX107" s="171" t="n">
        <f aca="false">BX103+BX106</f>
        <v>0</v>
      </c>
      <c r="BY107" s="171" t="n">
        <f aca="false">BY103+BY106</f>
        <v>0</v>
      </c>
      <c r="BZ107" s="171" t="n">
        <f aca="false">BZ103+BZ106</f>
        <v>0</v>
      </c>
      <c r="CA107" s="171" t="n">
        <f aca="false">CA103+CA106</f>
        <v>0</v>
      </c>
      <c r="CB107" s="171" t="n">
        <f aca="false">CB103+CB106</f>
        <v>0</v>
      </c>
      <c r="CC107" s="171" t="n">
        <f aca="false">CC103+CC106</f>
        <v>0</v>
      </c>
      <c r="CD107" s="171" t="n">
        <f aca="false">CD103+CD106</f>
        <v>0</v>
      </c>
      <c r="CE107" s="171" t="n">
        <f aca="false">CE103+CE106</f>
        <v>0</v>
      </c>
      <c r="CF107" s="171" t="n">
        <f aca="false">CF103+CF106</f>
        <v>0</v>
      </c>
      <c r="CG107" s="171" t="n">
        <f aca="false">CG103+CG106</f>
        <v>0</v>
      </c>
      <c r="CH107" s="171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2" t="s">
        <v>733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  <c r="AK2" s="173"/>
      <c r="AL2" s="173"/>
      <c r="AM2" s="173"/>
      <c r="AN2" s="173"/>
      <c r="AO2" s="173"/>
      <c r="AP2" s="173"/>
      <c r="AQ2" s="173"/>
      <c r="AR2" s="173"/>
      <c r="AS2" s="173"/>
      <c r="AT2" s="173"/>
      <c r="AU2" s="173"/>
      <c r="AV2" s="173"/>
      <c r="AW2" s="173"/>
      <c r="AX2" s="173"/>
      <c r="AY2" s="173"/>
      <c r="AZ2" s="173"/>
      <c r="BA2" s="173"/>
      <c r="BB2" s="173"/>
      <c r="BC2" s="173"/>
      <c r="BD2" s="173"/>
      <c r="BE2" s="173"/>
      <c r="BF2" s="173"/>
      <c r="BG2" s="173"/>
      <c r="BH2" s="173"/>
      <c r="BI2" s="173"/>
      <c r="BJ2" s="173"/>
      <c r="BK2" s="173"/>
      <c r="BL2" s="173"/>
      <c r="BM2" s="173"/>
      <c r="BN2" s="173"/>
      <c r="BO2" s="173"/>
      <c r="BP2" s="173"/>
      <c r="BQ2" s="173"/>
      <c r="BR2" s="173"/>
      <c r="BS2" s="173"/>
      <c r="BT2" s="173"/>
      <c r="BU2" s="173"/>
      <c r="BV2" s="173"/>
      <c r="BW2" s="173"/>
      <c r="BX2" s="173"/>
      <c r="BY2" s="173"/>
      <c r="BZ2" s="173"/>
      <c r="CA2" s="173"/>
      <c r="CB2" s="173"/>
      <c r="CC2" s="173"/>
      <c r="CD2" s="173"/>
      <c r="CE2" s="173"/>
      <c r="CF2" s="173"/>
      <c r="CG2" s="173"/>
      <c r="CH2" s="173"/>
    </row>
    <row r="3" customFormat="false" ht="15" hidden="false" customHeight="true" outlineLevel="0" collapsed="false">
      <c r="A3" s="174"/>
      <c r="B3" s="175" t="s">
        <v>734</v>
      </c>
      <c r="C3" s="175" t="s">
        <v>735</v>
      </c>
      <c r="D3" s="175" t="s">
        <v>736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6" t="s">
        <v>49</v>
      </c>
      <c r="B5" s="177"/>
      <c r="C5" s="177"/>
      <c r="D5" s="177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8" t="s">
        <v>737</v>
      </c>
      <c r="B6" s="179" t="n">
        <f aca="false">SUM(Model!C60:CH60)</f>
        <v>1063981</v>
      </c>
      <c r="C6" s="179" t="n">
        <f aca="false">Helpers!B47</f>
        <v>1912475</v>
      </c>
      <c r="D6" s="179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738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8" t="s">
        <v>739</v>
      </c>
      <c r="B8" s="179" t="n">
        <f aca="false">-Assumptions!$B$53*Assumptions!$B$48</f>
        <v>-150000</v>
      </c>
      <c r="C8" s="179" t="n">
        <v>0</v>
      </c>
      <c r="D8" s="179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590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7" t="s">
        <v>740</v>
      </c>
      <c r="B10" s="150" t="n">
        <f aca="false">SUM(B6:B9)</f>
        <v>484296.52</v>
      </c>
      <c r="C10" s="150" t="n">
        <f aca="false">SUM(C6:C9)</f>
        <v>1912475</v>
      </c>
      <c r="D10" s="150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80"/>
      <c r="B11" s="181"/>
      <c r="C11" s="181"/>
      <c r="D11" s="181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741</v>
      </c>
      <c r="B12" s="112"/>
      <c r="C12" s="182"/>
      <c r="D12" s="182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8" t="s">
        <v>737</v>
      </c>
      <c r="B13" s="179" t="n">
        <f aca="false">SUM(Model!C62:CH62)</f>
        <v>292621</v>
      </c>
      <c r="C13" s="179" t="n">
        <f aca="false">Helpers!B48</f>
        <v>2633580</v>
      </c>
      <c r="D13" s="179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3" t="s">
        <v>738</v>
      </c>
      <c r="B14" s="184" t="n">
        <f aca="false">-Projects!$B$14*Assumptions!$B$47</f>
        <v>-413546.32</v>
      </c>
      <c r="C14" s="184" t="n">
        <v>0</v>
      </c>
      <c r="D14" s="184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8" t="s">
        <v>739</v>
      </c>
      <c r="B15" s="179" t="n">
        <f aca="false">-Assumptions!$B$55*Assumptions!$B$48</f>
        <v>-150000</v>
      </c>
      <c r="C15" s="179" t="n">
        <v>0</v>
      </c>
      <c r="D15" s="179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3" t="s">
        <v>590</v>
      </c>
      <c r="B16" s="184" t="n">
        <f aca="false">-SUM(Model!C122:CH122)</f>
        <v>-603840.547005172</v>
      </c>
      <c r="C16" s="184" t="n">
        <f aca="false">-Helpers!F93</f>
        <v>-240125.881206445</v>
      </c>
      <c r="D16" s="184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740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5"/>
      <c r="B18" s="186"/>
      <c r="C18" s="186"/>
      <c r="D18" s="186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7" t="s">
        <v>54</v>
      </c>
      <c r="B19" s="188"/>
      <c r="C19" s="188"/>
      <c r="D19" s="188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9" t="s">
        <v>737</v>
      </c>
      <c r="B20" s="190" t="n">
        <f aca="false">SUM(Model!C61:CH61)</f>
        <v>1681289</v>
      </c>
      <c r="C20" s="190" t="n">
        <f aca="false">Helpers!B49</f>
        <v>2278136</v>
      </c>
      <c r="D20" s="190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91" t="s">
        <v>738</v>
      </c>
      <c r="B21" s="192" t="n">
        <f aca="false">-Projects!$B$13*Assumptions!$B$47</f>
        <v>-452667.7</v>
      </c>
      <c r="C21" s="192" t="n">
        <v>0</v>
      </c>
      <c r="D21" s="192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9" t="s">
        <v>739</v>
      </c>
      <c r="B22" s="190" t="n">
        <f aca="false">-Assumptions!$B$54*Assumptions!$B$48</f>
        <v>-150000</v>
      </c>
      <c r="C22" s="190" t="n">
        <v>0</v>
      </c>
      <c r="D22" s="190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590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52" t="s">
        <v>740</v>
      </c>
      <c r="B24" s="154" t="n">
        <f aca="false">SUM(B20:B23)</f>
        <v>340608.026606479</v>
      </c>
      <c r="C24" s="154" t="n">
        <f aca="false">SUM(C20:C23)</f>
        <v>2278136</v>
      </c>
      <c r="D24" s="154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93"/>
      <c r="C25" s="193"/>
      <c r="D25" s="193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4" t="s">
        <v>742</v>
      </c>
      <c r="B26" s="195"/>
      <c r="C26" s="195"/>
      <c r="D26" s="19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6" t="s">
        <v>743</v>
      </c>
      <c r="B27" s="197" t="n">
        <f aca="false">B6+B13+B20</f>
        <v>3037891</v>
      </c>
      <c r="C27" s="197" t="n">
        <f aca="false">C6+C13+C20</f>
        <v>6824191</v>
      </c>
      <c r="D27" s="197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744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8" t="s">
        <v>745</v>
      </c>
      <c r="B29" s="199" t="n">
        <f aca="false">B8+B15+B22</f>
        <v>-450000</v>
      </c>
      <c r="C29" s="199" t="n">
        <f aca="false">C8+C15+C22</f>
        <v>0</v>
      </c>
      <c r="D29" s="199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200" t="s">
        <v>746</v>
      </c>
      <c r="B30" s="201" t="n">
        <f aca="false">B9+B16+B23</f>
        <v>-1341853.82039869</v>
      </c>
      <c r="C30" s="201" t="n">
        <f aca="false">C9+C16+C23</f>
        <v>-240125.881206445</v>
      </c>
      <c r="D30" s="201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747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2"/>
      <c r="B32" s="203"/>
      <c r="C32" s="203"/>
      <c r="D32" s="203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93"/>
      <c r="C33" s="193"/>
      <c r="D33" s="193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2"/>
      <c r="B34" s="203"/>
      <c r="C34" s="203"/>
      <c r="D34" s="203"/>
    </row>
    <row r="35" customFormat="false" ht="15" hidden="false" customHeight="true" outlineLevel="0" collapsed="false">
      <c r="A35" s="180"/>
      <c r="B35" s="181"/>
      <c r="C35" s="181"/>
      <c r="D35" s="181"/>
    </row>
    <row r="37" customFormat="false" ht="15" hidden="false" customHeight="true" outlineLevel="0" collapsed="false">
      <c r="A37" s="204"/>
    </row>
    <row r="38" customFormat="false" ht="15" hidden="false" customHeight="true" outlineLevel="0" collapsed="false">
      <c r="A38" s="205"/>
    </row>
    <row r="39" customFormat="false" ht="15" hidden="false" customHeight="true" outlineLevel="0" collapsed="false">
      <c r="A39" s="205"/>
    </row>
    <row r="40" customFormat="false" ht="15" hidden="false" customHeight="true" outlineLevel="0" collapsed="false">
      <c r="A40" s="205" t="s">
        <v>748</v>
      </c>
    </row>
    <row r="41" customFormat="false" ht="15" hidden="false" customHeight="true" outlineLevel="0" collapsed="false">
      <c r="A41" s="205" t="s">
        <v>749</v>
      </c>
    </row>
    <row r="42" customFormat="false" ht="15" hidden="false" customHeight="true" outlineLevel="0" collapsed="false">
      <c r="A42" s="205" t="s">
        <v>750</v>
      </c>
    </row>
    <row r="43" customFormat="false" ht="15" hidden="false" customHeight="true" outlineLevel="0" collapsed="false">
      <c r="A43" s="205" t="s">
        <v>751</v>
      </c>
    </row>
    <row r="44" customFormat="false" ht="15" hidden="false" customHeight="true" outlineLevel="0" collapsed="false">
      <c r="A44" s="205" t="s">
        <v>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2026-04-14T20:43:36Z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