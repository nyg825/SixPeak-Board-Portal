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<sst xmlns="http://schemas.openxmlformats.org/spreadsheetml/2006/main" count="1173" uniqueCount="696">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</sst>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49799774.8170812</v>
      </c>
      <c r="C3" s="7" t="n">
        <f aca="false">Model!L7+Model!M7+Model!N7+Model!O7+Model!P7+Model!Q7+Model!R7+Model!S7+Model!T7+Model!U7+Model!V7+Model!W7</f>
        <v>92633001.8915188</v>
      </c>
      <c r="D3" s="7" t="n">
        <f aca="false">Model!X7+Model!Y7+Model!Z7+Model!AA7+Model!AB7+Model!AC7+Model!AD7+Model!AE7+Model!AF7+Model!AG7+Model!AH7+Model!AI7</f>
        <v>74015215.945938</v>
      </c>
      <c r="E3" s="7" t="n">
        <f aca="false">Model!AJ7+Model!AK7+Model!AL7+Model!AM7+Model!AN7+Model!AO7+Model!AP7+Model!AQ7+Model!AR7+Model!AS7+Model!AT7+Model!AU7</f>
        <v>35500058.29045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2232648.81587491</v>
      </c>
      <c r="C5" s="10" t="n">
        <f aca="false">Model!L8+Model!M8+Model!N8+Model!O8+Model!P8+Model!Q8+Model!R8+Model!S8+Model!T8+Model!U8+Model!V8+Model!W8</f>
        <v>4101873.2577324</v>
      </c>
      <c r="D5" s="10" t="n">
        <f aca="false">Model!X8+Model!Y8+Model!Z8+Model!AA8+Model!AB8+Model!AC8+Model!AD8+Model!AE8+Model!AF8+Model!AG8+Model!AH8+Model!AI8</f>
        <v>4002490.49312201</v>
      </c>
      <c r="E5" s="10" t="n">
        <f aca="false">Model!AJ8+Model!AK8+Model!AL8+Model!AM8+Model!AN8+Model!AO8+Model!AP8+Model!AQ8+Model!AR8+Model!AS8+Model!AT8+Model!AU8</f>
        <v>1738689.8066473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2357172.97376965</v>
      </c>
      <c r="C6" s="10" t="n">
        <f aca="false">Model!L9+Model!M9+Model!N9+Model!O9+Model!P9+Model!Q9+Model!R9+Model!S9+Model!T9+Model!U9+Model!V9+Model!W9</f>
        <v>4174226.09983766</v>
      </c>
      <c r="D6" s="10" t="n">
        <f aca="false">Model!X9+Model!Y9+Model!Z9+Model!AA9+Model!AB9+Model!AC9+Model!AD9+Model!AE9+Model!AF9+Model!AG9+Model!AH9+Model!AI9</f>
        <v>4002490.49312201</v>
      </c>
      <c r="E6" s="10" t="n">
        <f aca="false">Model!AJ9+Model!AK9+Model!AL9+Model!AM9+Model!AN9+Model!AO9+Model!AP9+Model!AQ9+Model!AR9+Model!AS9+Model!AT9+Model!AU9</f>
        <v>1738689.8066473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619717.290598656</v>
      </c>
      <c r="C7" s="10" t="n">
        <f aca="false">Model!L10+Model!M10+Model!N10+Model!O10+Model!P10+Model!Q10+Model!R10+Model!S10+Model!T10+Model!U10+Model!V10+Model!W10</f>
        <v>1272072.73393712</v>
      </c>
      <c r="D7" s="10" t="n">
        <f aca="false">Model!X10+Model!Y10+Model!Z10+Model!AA10+Model!AB10+Model!AC10+Model!AD10+Model!AE10+Model!AF10+Model!AG10+Model!AH10+Model!AI10</f>
        <v>1334163.49770734</v>
      </c>
      <c r="E7" s="10" t="n">
        <f aca="false">Model!AJ10+Model!AK10+Model!AL10+Model!AM10+Model!AN10+Model!AO10+Model!AP10+Model!AQ10+Model!AR10+Model!AS10+Model!AT10+Model!AU10</f>
        <v>579563.268882433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1134400.23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6615076.70024322</v>
      </c>
      <c r="C9" s="12" t="n">
        <f aca="false">Model!L12+Model!M12+Model!N12+Model!O12+Model!P12+Model!Q12+Model!R12+Model!S12+Model!T12+Model!U12+Model!V12+Model!W12</f>
        <v>10682572.3215072</v>
      </c>
      <c r="D9" s="12" t="n">
        <f aca="false">Model!X12+Model!Y12+Model!Z12+Model!AA12+Model!AB12+Model!AC12+Model!AD12+Model!AE12+Model!AF12+Model!AG12+Model!AH12+Model!AI12</f>
        <v>9959463.96395136</v>
      </c>
      <c r="E9" s="12" t="n">
        <f aca="false">Model!AJ12+Model!AK12+Model!AL12+Model!AM12+Model!AN12+Model!AO12+Model!AP12+Model!AQ12+Model!AR12+Model!AS12+Model!AT12+Model!AU12</f>
        <v>4056942.88217703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-2457867.165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-2218919</v>
      </c>
      <c r="C13" s="10" t="n">
        <f aca="false">Model!L16+Model!M16+Model!N16+Model!O16+Model!P16+Model!Q16+Model!R16+Model!S16+Model!T16+Model!U16+Model!V16+Model!W16</f>
        <v>-3133195.38</v>
      </c>
      <c r="D13" s="10" t="n">
        <f aca="false">Model!X16+Model!Y16+Model!Z16+Model!AA16+Model!AB16+Model!AC16+Model!AD16+Model!AE16+Model!AF16+Model!AG16+Model!AH16+Model!AI16</f>
        <v>-3195859.2876</v>
      </c>
      <c r="E13" s="10" t="n">
        <f aca="false">Model!AJ16+Model!AK16+Model!AL16+Model!AM16+Model!AN16+Model!AO16+Model!AP16+Model!AQ16+Model!AR16+Model!AS16+Model!AT16+Model!AU16</f>
        <v>-3259776.473352</v>
      </c>
      <c r="F13" s="10" t="n">
        <f aca="false">Model!AV16+Model!AW16+Model!AX16+Model!AY16+Model!AZ16+Model!BA16+Model!BB16+Model!BC16+Model!BD16+Model!BE16+Model!BF16+Model!BG16</f>
        <v>-3324972.00281904</v>
      </c>
      <c r="G13" s="10" t="n">
        <f aca="false">Model!BH16+Model!BI16+Model!BJ16+Model!BK16+Model!BL16+Model!BM16+Model!BN16+Model!BO16+Model!BP16+Model!BQ16+Model!BR16+Model!BS16</f>
        <v>-3391471.44287542</v>
      </c>
      <c r="H13" s="10" t="n">
        <f aca="false">Model!BT16+Model!BU16+Model!BV16+Model!BW16+Model!BX16+Model!BY16+Model!BZ16+Model!CA16+Model!CB16+Model!CC16+Model!CD16+Model!CE16</f>
        <v>-3459300.87173293</v>
      </c>
      <c r="I13" s="10" t="n">
        <f aca="false">Model!CF16+Model!CG16+Model!CH16</f>
        <v>-869085.440681672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-4338997.1242</v>
      </c>
      <c r="C15" s="12" t="n">
        <f aca="false">Model!L38+Model!M38+Model!N38+Model!O38+Model!P38+Model!Q38+Model!R38+Model!S38+Model!T38+Model!U38+Model!V38+Model!W38</f>
        <v>-7558959.1813</v>
      </c>
      <c r="D15" s="12" t="n">
        <f aca="false">Model!X38+Model!Y38+Model!Z38+Model!AA38+Model!AB38+Model!AC38+Model!AD38+Model!AE38+Model!AF38+Model!AG38+Model!AH38+Model!AI38</f>
        <v>-6547139.396626</v>
      </c>
      <c r="E15" s="12" t="n">
        <f aca="false">Model!AJ38+Model!AK38+Model!AL38+Model!AM38+Model!AN38+Model!AO38+Model!AP38+Model!AQ38+Model!AR38+Model!AS38+Model!AT38+Model!AU38</f>
        <v>-5307176.13375852</v>
      </c>
      <c r="F15" s="12" t="n">
        <f aca="false">Model!AV38+Model!AW38+Model!AX38+Model!AY38+Model!AZ38+Model!BA38+Model!BB38+Model!BC38+Model!BD38+Model!BE38+Model!BF38+Model!BG38</f>
        <v>-5413319.65643369</v>
      </c>
      <c r="G15" s="12" t="n">
        <f aca="false">Model!BH38+Model!BI38+Model!BJ38+Model!BK38+Model!BL38+Model!BM38+Model!BN38+Model!BO38+Model!BP38+Model!BQ38+Model!BR38+Model!BS38</f>
        <v>-5521586.04956237</v>
      </c>
      <c r="H15" s="12" t="n">
        <f aca="false">Model!BT38+Model!BU38+Model!BV38+Model!BW38+Model!BX38+Model!BY38+Model!BZ38+Model!CA38+Model!CB38+Model!CC38+Model!CD38+Model!CE38</f>
        <v>-5632017.77055361</v>
      </c>
      <c r="I15" s="12" t="n">
        <f aca="false">Model!CF38+Model!CG38+Model!CH38</f>
        <v>-1414940.42511445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2276079.57604322</v>
      </c>
      <c r="C16" s="16" t="n">
        <f aca="false">Model!L40+Model!M40+Model!N40+Model!O40+Model!P40+Model!Q40+Model!R40+Model!S40+Model!T40+Model!U40+Model!V40+Model!W40</f>
        <v>3123613.14020718</v>
      </c>
      <c r="D16" s="16" t="n">
        <f aca="false">Model!X40+Model!Y40+Model!Z40+Model!AA40+Model!AB40+Model!AC40+Model!AD40+Model!AE40+Model!AF40+Model!AG40+Model!AH40+Model!AI40</f>
        <v>3412324.56732536</v>
      </c>
      <c r="E16" s="16" t="n">
        <f aca="false">Model!AJ40+Model!AK40+Model!AL40+Model!AM40+Model!AN40+Model!AO40+Model!AP40+Model!AQ40+Model!AR40+Model!AS40+Model!AT40+Model!AU40</f>
        <v>-1250233.25158149</v>
      </c>
      <c r="F16" s="16" t="n">
        <f aca="false">Model!AV40+Model!AW40+Model!AX40+Model!AY40+Model!AZ40+Model!BA40+Model!BB40+Model!BC40+Model!BD40+Model!BE40+Model!BF40+Model!BG40</f>
        <v>-3690209.98976702</v>
      </c>
      <c r="G16" s="16" t="n">
        <f aca="false">Model!BH40+Model!BI40+Model!BJ40+Model!BK40+Model!BL40+Model!BM40+Model!BN40+Model!BO40+Model!BP40+Model!BQ40+Model!BR40+Model!BS40</f>
        <v>-5521586.04956237</v>
      </c>
      <c r="H16" s="16" t="n">
        <f aca="false">Model!BT40+Model!BU40+Model!BV40+Model!BW40+Model!BX40+Model!BY40+Model!BZ40+Model!CA40+Model!CB40+Model!CC40+Model!CD40+Model!CE40</f>
        <v>-5632017.77055361</v>
      </c>
      <c r="I16" s="16" t="n">
        <f aca="false">Model!CF40+Model!CG40+Model!CH40</f>
        <v>-1414940.42511445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0.34407455562224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0.292402714083987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0.342621307700534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-0.308171272776359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-2.14159902944871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370447.9</v>
      </c>
      <c r="C19" s="19" t="n">
        <f aca="false">Model!L63+Model!M63+Model!N63+Model!O63+Model!P63+Model!Q63+Model!R63+Model!S63+Model!T63+Model!U63+Model!V63+Model!W63</f>
        <v>733409.5624</v>
      </c>
      <c r="D19" s="19" t="n">
        <f aca="false">Model!X63+Model!Y63+Model!Z63+Model!AA63+Model!AB63+Model!AC63+Model!AD63+Model!AE63+Model!AF63+Model!AG63+Model!AH63+Model!AI63</f>
        <v>2216571.5296</v>
      </c>
      <c r="E19" s="19" t="n">
        <f aca="false">Model!AJ63+Model!AK63+Model!AL63+Model!AM63+Model!AN63+Model!AO63+Model!AP63+Model!AQ63+Model!AR63+Model!AS63+Model!AT63+Model!AU63</f>
        <v>1366426.7664</v>
      </c>
      <c r="F19" s="19" t="n">
        <f aca="false">Model!AV63+Model!AW63+Model!AX63+Model!AY63+Model!AZ63+Model!BA63+Model!BB63+Model!BC63+Model!BD63+Model!BE63+Model!BF63+Model!BG63</f>
        <v>1802920.1488</v>
      </c>
      <c r="G19" s="19" t="n">
        <f aca="false">Model!BH63+Model!BI63+Model!BJ63+Model!BK63+Model!BL63+Model!BM63+Model!BN63+Model!BO63+Model!BP63+Model!BQ63+Model!BR63+Model!BS63</f>
        <v>822166.0928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-1120081.25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-749633.35</v>
      </c>
      <c r="C21" s="16" t="n">
        <f aca="false">Model!L86+Model!M86+Model!N86+Model!O86+Model!P86+Model!Q86+Model!R86+Model!S86+Model!T86+Model!U86+Model!V86+Model!W86</f>
        <v>-767767.0626</v>
      </c>
      <c r="D21" s="16" t="n">
        <f aca="false">Model!X86+Model!Y86+Model!Z86+Model!AA86+Model!AB86+Model!AC86+Model!AD86+Model!AE86+Model!AF86+Model!AG86+Model!AH86+Model!AI86</f>
        <v>685371.3721</v>
      </c>
      <c r="E21" s="16" t="n">
        <f aca="false">Model!AJ86+Model!AK86+Model!AL86+Model!AM86+Model!AN86+Model!AO86+Model!AP86+Model!AQ86+Model!AR86+Model!AS86+Model!AT86+Model!AU86</f>
        <v>-358762.39425</v>
      </c>
      <c r="F21" s="16" t="n">
        <f aca="false">Model!AV86+Model!AW86+Model!AX86+Model!AY86+Model!AZ86+Model!BA86+Model!BB86+Model!BC86+Model!BD86+Model!BE86+Model!BF86+Model!BG86</f>
        <v>-1067097.495063</v>
      </c>
      <c r="G21" s="16" t="n">
        <f aca="false">Model!BH86+Model!BI86+Model!BJ86+Model!BK86+Model!BL86+Model!BM86+Model!BN86+Model!BO86+Model!BP86+Model!BQ86+Model!BR86+Model!BS86</f>
        <v>-1230040.24394026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1526446.22604322</v>
      </c>
      <c r="C23" s="16" t="n">
        <f aca="false">Model!L95+Model!M95+Model!N95+Model!O95+Model!P95+Model!Q95+Model!R95+Model!S95+Model!T95+Model!U95+Model!V95+Model!W95</f>
        <v>2355846.07760718</v>
      </c>
      <c r="D23" s="16" t="n">
        <f aca="false">Model!X95+Model!Y95+Model!Z95+Model!AA95+Model!AB95+Model!AC95+Model!AD95+Model!AE95+Model!AF95+Model!AG95+Model!AH95+Model!AI95</f>
        <v>4097695.93942535</v>
      </c>
      <c r="E23" s="16" t="n">
        <f aca="false">Model!AJ95+Model!AK95+Model!AL95+Model!AM95+Model!AN95+Model!AO95+Model!AP95+Model!AQ95+Model!AR95+Model!AS95+Model!AT95+Model!AU95</f>
        <v>-1608995.64583149</v>
      </c>
      <c r="F23" s="16" t="n">
        <f aca="false">Model!AV95+Model!AW95+Model!AX95+Model!AY95+Model!AZ95+Model!BA95+Model!BB95+Model!BC95+Model!BD95+Model!BE95+Model!BF95+Model!BG95</f>
        <v>-4757307.48483003</v>
      </c>
      <c r="G23" s="16" t="n">
        <f aca="false">Model!BH95+Model!BI95+Model!BJ95+Model!BK95+Model!BL95+Model!BM95+Model!BN95+Model!BO95+Model!BP95+Model!BQ95+Model!BR95+Model!BS95</f>
        <v>-6751626.29350262</v>
      </c>
      <c r="H23" s="16" t="n">
        <f aca="false">Model!BT95+Model!BU95+Model!BV95+Model!BW95+Model!BX95+Model!BY95+Model!BZ95+Model!CA95+Model!CB95+Model!CC95+Model!CD95+Model!CE95</f>
        <v>-7000916.06442868</v>
      </c>
      <c r="I23" s="16" t="n">
        <f aca="false">Model!CF95+Model!CG95+Model!CH95</f>
        <v>-1735780.81978285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-0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-250000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250000</v>
      </c>
      <c r="F36" s="10" t="n">
        <f aca="false">Model!BG107</f>
        <v>250000</v>
      </c>
      <c r="G36" s="10" t="n">
        <f aca="false">Model!BS107</f>
        <v>250000</v>
      </c>
      <c r="H36" s="10" t="n">
        <f aca="false">Model!CE107</f>
        <v>250000</v>
      </c>
      <c r="I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3927995.26604322</v>
      </c>
      <c r="C42" s="21" t="n">
        <f aca="false">Model!W147</f>
        <v>7051608.4062504</v>
      </c>
      <c r="D42" s="21" t="n">
        <f aca="false">Model!AI147</f>
        <v>10463932.9735757</v>
      </c>
      <c r="E42" s="21" t="n">
        <f aca="false">Model!AU147</f>
        <v>9213699.72199426</v>
      </c>
      <c r="F42" s="21" t="n">
        <f aca="false">Model!BG147</f>
        <v>5523489.73222723</v>
      </c>
      <c r="G42" s="21" t="n">
        <f aca="false">Model!BS147</f>
        <v>1903.68266486865</v>
      </c>
      <c r="H42" s="21" t="n">
        <f aca="false">Model!CE147</f>
        <v>-5630114.08788874</v>
      </c>
      <c r="I42" s="21" t="n">
        <f aca="false">Model!CH147</f>
        <v>-7045054.5130032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-688002.19</v>
      </c>
      <c r="C43" s="21" t="n">
        <f aca="false">Model!W155</f>
        <v>-3201738.49588545</v>
      </c>
      <c r="D43" s="21" t="n">
        <f aca="false">Model!AI155</f>
        <v>-2766367.12378544</v>
      </c>
      <c r="E43" s="21" t="n">
        <f aca="false">Model!AU155</f>
        <v>-3375129.51803544</v>
      </c>
      <c r="F43" s="21" t="n">
        <f aca="false">Model!BG155</f>
        <v>-4442227.01309845</v>
      </c>
      <c r="G43" s="21" t="n">
        <f aca="false">Model!BS155</f>
        <v>-5672267.25703871</v>
      </c>
      <c r="H43" s="21" t="n">
        <f aca="false">Model!CE155</f>
        <v>-7041165.55091377</v>
      </c>
      <c r="I43" s="21" t="n">
        <f aca="false">Model!CH155</f>
        <v>-7362005.94558217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-457933.867812966</v>
      </c>
      <c r="D44" s="21" t="n">
        <f aca="false">Model!X159+Model!Y159+Model!Z159+Model!AA159+Model!AB159+Model!AC159+Model!AD159+Model!AE159+Model!AF159+Model!AG159+Model!AH159+Model!AI159</f>
        <v>-706753.823282153</v>
      </c>
      <c r="E44" s="21" t="n">
        <f aca="false">Model!AJ159+Model!AK159+Model!AL159+Model!AM159+Model!AN159+Model!AO159+Model!AP159+Model!AQ159+Model!AR159+Model!AS159+Model!AT159+Model!AU159</f>
        <v>-1229308.78182761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3239993.07604322</v>
      </c>
      <c r="C45" s="23" t="n">
        <f aca="false">Model!W160</f>
        <v>3849869.91036495</v>
      </c>
      <c r="D45" s="23" t="n">
        <f aca="false">Model!AI160</f>
        <v>7697565.8497903</v>
      </c>
      <c r="E45" s="23" t="n">
        <f aca="false">Model!AU160</f>
        <v>5838570.20395881</v>
      </c>
      <c r="F45" s="23" t="n">
        <f aca="false">Model!BG160</f>
        <v>1081262.71912879</v>
      </c>
      <c r="G45" s="23" t="n">
        <f aca="false">Model!BS160</f>
        <v>-5670363.57437384</v>
      </c>
      <c r="H45" s="23" t="n">
        <f aca="false">Model!CE160</f>
        <v>-12671279.6388025</v>
      </c>
      <c r="I45" s="23" t="n">
        <f aca="false">Model!CH160</f>
        <v>-14407060.4585854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5588599.45019762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5710673.97288332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6380432.8722675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7051517.79007647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6909835.47156294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7106252.13265953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7246741.44652729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7327821.52794079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8074323.19199373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8133889.63282423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8129424.46262029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7843516.98514798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7467947.788651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7566271.175986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7974169.60377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7901583.674484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7861060.268914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7751472.788812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7579463.816981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7351630.335235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7073914.137236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6466763.935056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6392386.61868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5525502.443855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5475342.946834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5367788.190784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5212062.392123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5019014.573595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4799873.766747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4565383.481339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4007107.137234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3841163.012343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3450195.72653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244226.278238209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244226.278238209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304874.427332536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348022.570595523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323656.070595523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323656.070595523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323656.070595523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323656.070595523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397141.086829289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397141.086829289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397141.086829289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354343.868613295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298839.681113295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298839.681113295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337749.34276743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324854.605925325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324854.605925325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324854.605925325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324854.605925325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324854.605925325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324854.605925325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289928.669493336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357062.812350478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357062.812350478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357062.812350478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357062.812350478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357062.812350478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313914.669087491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313914.669087491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244160.695061517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205251.033407382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205251.033407382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179528.820745044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258741.587448735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258741.587448735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319389.736543062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362537.879806049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332057.754806049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332057.754806049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332057.754806049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332057.754806049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405542.771039815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405542.771039815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405542.771039815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362745.552823821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303353.365323821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303353.365323821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342263.026977956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324854.605925325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324854.605925325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324854.605925325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324854.605925325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324854.605925325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324854.605925325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289928.669493336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357062.812350478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357062.812350478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357062.812350478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357062.812350478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357062.812350478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313914.669087491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313914.669087491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244160.695061517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205251.033407382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205251.033407382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179528.820745044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67316.4512987013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67316.4512987013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87532.5009968102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101915.215417806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96124.8404178059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96124.8404178059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96124.8404178059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96124.8404178059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120619.845829061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120619.845829061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120619.845829061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106354.10642373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95314.9814237298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95314.9814237298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108284.868641775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108284.868641775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108284.868641775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108284.868641775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108284.868641775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108284.868641775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108284.868641775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96642.8898311119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119020.93745016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119020.93745016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119020.93745016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119020.93745016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119020.93745016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104638.223029164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104638.223029164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81386.8983538392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68417.011135794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68417.011135794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59842.9402483482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227699.34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227699.34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570284.316985646</v>
      </c>
      <c r="H12" s="12" t="n">
        <f aca="false">H8+H9+H10+H11</f>
        <v>570284.316985646</v>
      </c>
      <c r="I12" s="12" t="n">
        <f aca="false">I8+I9+I10+I11</f>
        <v>1153856.48987241</v>
      </c>
      <c r="J12" s="12" t="n">
        <f aca="false">J8+J9+J10+J11</f>
        <v>1131426.74081938</v>
      </c>
      <c r="K12" s="12" t="n">
        <f aca="false">K8+K9+K10+K11</f>
        <v>751838.665819378</v>
      </c>
      <c r="L12" s="12" t="n">
        <f aca="false">L8+L9+L10+L11</f>
        <v>751838.665819378</v>
      </c>
      <c r="M12" s="12" t="n">
        <f aca="false">M8+M9+M10+M11</f>
        <v>751838.665819378</v>
      </c>
      <c r="N12" s="12" t="n">
        <f aca="false">N8+N9+N10+N11</f>
        <v>751838.665819378</v>
      </c>
      <c r="O12" s="12" t="n">
        <f aca="false">O8+O9+O10+O11</f>
        <v>1602305.25369817</v>
      </c>
      <c r="P12" s="12" t="n">
        <f aca="false">P8+P9+P10+P11</f>
        <v>923303.703698166</v>
      </c>
      <c r="Q12" s="12" t="n">
        <f aca="false">Q8+Q9+Q10+Q11</f>
        <v>923303.703698166</v>
      </c>
      <c r="R12" s="12" t="n">
        <f aca="false">R8+R9+R10+R11</f>
        <v>1051142.86786085</v>
      </c>
      <c r="S12" s="12" t="n">
        <f aca="false">S8+S9+S10+S11</f>
        <v>697508.027860845</v>
      </c>
      <c r="T12" s="12" t="n">
        <f aca="false">T8+T9+T10+T11</f>
        <v>697508.027860845</v>
      </c>
      <c r="U12" s="12" t="n">
        <f aca="false">U8+U9+U10+U11</f>
        <v>1015996.57838716</v>
      </c>
      <c r="V12" s="12" t="n">
        <f aca="false">V8+V9+V10+V11</f>
        <v>757994.080492424</v>
      </c>
      <c r="W12" s="12" t="n">
        <f aca="false">W8+W9+W10+W11</f>
        <v>757994.080492424</v>
      </c>
      <c r="X12" s="12" t="n">
        <f aca="false">X8+X9+X10+X11</f>
        <v>757994.080492424</v>
      </c>
      <c r="Y12" s="12" t="n">
        <f aca="false">Y8+Y9+Y10+Y11</f>
        <v>757994.080492424</v>
      </c>
      <c r="Z12" s="12" t="n">
        <f aca="false">Z8+Z9+Z10+Z11</f>
        <v>757994.080492424</v>
      </c>
      <c r="AA12" s="12" t="n">
        <f aca="false">AA8+AA9+AA10+AA11</f>
        <v>757994.080492424</v>
      </c>
      <c r="AB12" s="12" t="n">
        <f aca="false">AB8+AB9+AB10+AB11</f>
        <v>676500.228817783</v>
      </c>
      <c r="AC12" s="12" t="n">
        <f aca="false">AC8+AC9+AC10+AC11</f>
        <v>1453466.04215112</v>
      </c>
      <c r="AD12" s="12" t="n">
        <f aca="false">AD8+AD9+AD10+AD11</f>
        <v>833146.562151116</v>
      </c>
      <c r="AE12" s="12" t="n">
        <f aca="false">AE8+AE9+AE10+AE11</f>
        <v>833146.562151116</v>
      </c>
      <c r="AF12" s="12" t="n">
        <f aca="false">AF8+AF9+AF10+AF11</f>
        <v>833146.562151116</v>
      </c>
      <c r="AG12" s="12" t="n">
        <f aca="false">AG8+AG9+AG10+AG11</f>
        <v>833146.562151116</v>
      </c>
      <c r="AH12" s="12" t="n">
        <f aca="false">AH8+AH9+AH10+AH11</f>
        <v>732467.561204147</v>
      </c>
      <c r="AI12" s="12" t="n">
        <f aca="false">AI8+AI9+AI10+AI11</f>
        <v>732467.561204147</v>
      </c>
      <c r="AJ12" s="12" t="n">
        <f aca="false">AJ8+AJ9+AJ10+AJ11</f>
        <v>569708.288476874</v>
      </c>
      <c r="AK12" s="12" t="n">
        <f aca="false">AK8+AK9+AK10+AK11</f>
        <v>478919.077950558</v>
      </c>
      <c r="AL12" s="12" t="n">
        <f aca="false">AL8+AL9+AL10+AL11</f>
        <v>478919.077950558</v>
      </c>
      <c r="AM12" s="12" t="n">
        <f aca="false">AM8+AM9+AM10+AM11</f>
        <v>418900.581738437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-493348.57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-493348.57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-257241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-257241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-257241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-257241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-257241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-257241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-257241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-257241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-257241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-262385.82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-262385.82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-262385.82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-262385.82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-262385.82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-262385.82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-262385.82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-262385.82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-262385.82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-262385.82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-262385.82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-262385.82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-267633.5364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-267633.5364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-267633.5364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-267633.5364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-267633.5364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-267633.5364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-267633.5364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-267633.5364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-267633.5364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-267633.5364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-267633.5364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-267633.5364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-272986.207128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-272986.207128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-272986.207128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-272986.207128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-272986.207128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-272986.207128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-272986.207128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-272986.207128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-272986.207128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-272986.207128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-272986.207128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-272986.207128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-278445.93127056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-278445.93127056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-278445.93127056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-278445.93127056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-278445.93127056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-278445.93127056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-278445.93127056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-278445.93127056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-278445.93127056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-278445.93127056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-278445.93127056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-278445.93127056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-284014.849895971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-284014.849895971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-284014.849895971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-284014.849895971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-284014.849895971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-284014.849895971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-284014.849895971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-284014.849895971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-284014.849895971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-284014.849895971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-284014.849895971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-284014.849895971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-289695.146893891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-289695.146893891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-289695.146893891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-289695.146893891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-289695.146893891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-289695.146893891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-289695.146893891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-289695.146893891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-289695.146893891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-289695.146893891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-289695.146893891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-289695.146893891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-39211.15</v>
      </c>
      <c r="G18" s="10" t="n">
        <f aca="false">-Helpers!G4*Assumptions!$B$20</f>
        <v>-39211.15</v>
      </c>
      <c r="H18" s="10" t="n">
        <f aca="false">-Helpers!H4*Assumptions!$B$20</f>
        <v>-39211.15</v>
      </c>
      <c r="I18" s="10" t="n">
        <f aca="false">-Helpers!I4*Assumptions!$B$20</f>
        <v>-39211.15</v>
      </c>
      <c r="J18" s="10" t="n">
        <f aca="false">-Helpers!J4*Assumptions!$B$20</f>
        <v>-39211.15</v>
      </c>
      <c r="K18" s="10" t="n">
        <f aca="false">-Helpers!K4*Assumptions!$B$20</f>
        <v>-39211.15</v>
      </c>
      <c r="L18" s="10" t="n">
        <f aca="false">-Helpers!L4*Assumptions!$B$20</f>
        <v>-39211.15</v>
      </c>
      <c r="M18" s="10" t="n">
        <f aca="false">-Helpers!M4*Assumptions!$B$20</f>
        <v>-39211.15</v>
      </c>
      <c r="N18" s="10" t="n">
        <f aca="false">-Helpers!N4*Assumptions!$B$20</f>
        <v>-39211.15</v>
      </c>
      <c r="O18" s="10" t="n">
        <f aca="false">-Helpers!O4*Assumptions!$B$20</f>
        <v>-39995.373</v>
      </c>
      <c r="P18" s="10" t="n">
        <f aca="false">-Helpers!P4*Assumptions!$B$20</f>
        <v>-39995.373</v>
      </c>
      <c r="Q18" s="10" t="n">
        <f aca="false">-Helpers!Q4*Assumptions!$B$20</f>
        <v>-39995.373</v>
      </c>
      <c r="R18" s="10" t="n">
        <f aca="false">-Helpers!R4*Assumptions!$B$20</f>
        <v>-39995.373</v>
      </c>
      <c r="S18" s="10" t="n">
        <f aca="false">-Helpers!S4*Assumptions!$B$20</f>
        <v>-39995.373</v>
      </c>
      <c r="T18" s="10" t="n">
        <f aca="false">-Helpers!T4*Assumptions!$B$20</f>
        <v>-39995.373</v>
      </c>
      <c r="U18" s="10" t="n">
        <f aca="false">-Helpers!U4*Assumptions!$B$20</f>
        <v>-39995.373</v>
      </c>
      <c r="V18" s="10" t="n">
        <f aca="false">-Helpers!V4*Assumptions!$B$20</f>
        <v>-39995.373</v>
      </c>
      <c r="W18" s="10" t="n">
        <f aca="false">-Helpers!W4*Assumptions!$B$20</f>
        <v>-39995.373</v>
      </c>
      <c r="X18" s="10" t="n">
        <f aca="false">-Helpers!X4*Assumptions!$B$20</f>
        <v>-39995.373</v>
      </c>
      <c r="Y18" s="10" t="n">
        <f aca="false">-Helpers!Y4*Assumptions!$B$20</f>
        <v>-39995.373</v>
      </c>
      <c r="Z18" s="10" t="n">
        <f aca="false">-Helpers!Z4*Assumptions!$B$20</f>
        <v>-39995.373</v>
      </c>
      <c r="AA18" s="10" t="n">
        <f aca="false">-Helpers!AA4*Assumptions!$B$20</f>
        <v>-40795.28046</v>
      </c>
      <c r="AB18" s="10" t="n">
        <f aca="false">-Helpers!AB4*Assumptions!$B$20</f>
        <v>-40795.28046</v>
      </c>
      <c r="AC18" s="10" t="n">
        <f aca="false">-Helpers!AC4*Assumptions!$B$20</f>
        <v>-40795.28046</v>
      </c>
      <c r="AD18" s="10" t="n">
        <f aca="false">-Helpers!AD4*Assumptions!$B$20</f>
        <v>-40795.28046</v>
      </c>
      <c r="AE18" s="10" t="n">
        <f aca="false">-Helpers!AE4*Assumptions!$B$20</f>
        <v>-40795.28046</v>
      </c>
      <c r="AF18" s="10" t="n">
        <f aca="false">-Helpers!AF4*Assumptions!$B$20</f>
        <v>-40795.28046</v>
      </c>
      <c r="AG18" s="10" t="n">
        <f aca="false">-Helpers!AG4*Assumptions!$B$20</f>
        <v>-40795.28046</v>
      </c>
      <c r="AH18" s="10" t="n">
        <f aca="false">-Helpers!AH4*Assumptions!$B$20</f>
        <v>-40795.28046</v>
      </c>
      <c r="AI18" s="10" t="n">
        <f aca="false">-Helpers!AI4*Assumptions!$B$20</f>
        <v>-40795.28046</v>
      </c>
      <c r="AJ18" s="10" t="n">
        <f aca="false">-Helpers!AJ4*Assumptions!$B$20</f>
        <v>-40795.28046</v>
      </c>
      <c r="AK18" s="10" t="n">
        <f aca="false">-Helpers!AK4*Assumptions!$B$20</f>
        <v>-40795.28046</v>
      </c>
      <c r="AL18" s="10" t="n">
        <f aca="false">-Helpers!AL4*Assumptions!$B$20</f>
        <v>-40795.28046</v>
      </c>
      <c r="AM18" s="10" t="n">
        <f aca="false">-Helpers!AM4*Assumptions!$B$20</f>
        <v>-41611.1860692</v>
      </c>
      <c r="AN18" s="10" t="n">
        <f aca="false">-Helpers!AN4*Assumptions!$B$20</f>
        <v>-41611.1860692</v>
      </c>
      <c r="AO18" s="10" t="n">
        <f aca="false">-Helpers!AO4*Assumptions!$B$20</f>
        <v>-41611.1860692</v>
      </c>
      <c r="AP18" s="10" t="n">
        <f aca="false">-Helpers!AP4*Assumptions!$B$20</f>
        <v>-41611.1860692</v>
      </c>
      <c r="AQ18" s="10" t="n">
        <f aca="false">-Helpers!AQ4*Assumptions!$B$20</f>
        <v>-41611.1860692</v>
      </c>
      <c r="AR18" s="10" t="n">
        <f aca="false">-Helpers!AR4*Assumptions!$B$20</f>
        <v>-41611.1860692</v>
      </c>
      <c r="AS18" s="10" t="n">
        <f aca="false">-Helpers!AS4*Assumptions!$B$20</f>
        <v>-41611.1860692</v>
      </c>
      <c r="AT18" s="10" t="n">
        <f aca="false">-Helpers!AT4*Assumptions!$B$20</f>
        <v>-41611.1860692</v>
      </c>
      <c r="AU18" s="10" t="n">
        <f aca="false">-Helpers!AU4*Assumptions!$B$20</f>
        <v>-41611.1860692</v>
      </c>
      <c r="AV18" s="10" t="n">
        <f aca="false">-Helpers!AV4*Assumptions!$B$20</f>
        <v>-41611.1860692</v>
      </c>
      <c r="AW18" s="10" t="n">
        <f aca="false">-Helpers!AW4*Assumptions!$B$20</f>
        <v>-41611.1860692</v>
      </c>
      <c r="AX18" s="10" t="n">
        <f aca="false">-Helpers!AX4*Assumptions!$B$20</f>
        <v>-41611.1860692</v>
      </c>
      <c r="AY18" s="10" t="n">
        <f aca="false">-Helpers!AY4*Assumptions!$B$20</f>
        <v>-42443.409790584</v>
      </c>
      <c r="AZ18" s="10" t="n">
        <f aca="false">-Helpers!AZ4*Assumptions!$B$20</f>
        <v>-42443.409790584</v>
      </c>
      <c r="BA18" s="10" t="n">
        <f aca="false">-Helpers!BA4*Assumptions!$B$20</f>
        <v>-42443.409790584</v>
      </c>
      <c r="BB18" s="10" t="n">
        <f aca="false">-Helpers!BB4*Assumptions!$B$20</f>
        <v>-42443.409790584</v>
      </c>
      <c r="BC18" s="10" t="n">
        <f aca="false">-Helpers!BC4*Assumptions!$B$20</f>
        <v>-42443.409790584</v>
      </c>
      <c r="BD18" s="10" t="n">
        <f aca="false">-Helpers!BD4*Assumptions!$B$20</f>
        <v>-42443.409790584</v>
      </c>
      <c r="BE18" s="10" t="n">
        <f aca="false">-Helpers!BE4*Assumptions!$B$20</f>
        <v>-42443.409790584</v>
      </c>
      <c r="BF18" s="10" t="n">
        <f aca="false">-Helpers!BF4*Assumptions!$B$20</f>
        <v>-42443.409790584</v>
      </c>
      <c r="BG18" s="10" t="n">
        <f aca="false">-Helpers!BG4*Assumptions!$B$20</f>
        <v>-42443.409790584</v>
      </c>
      <c r="BH18" s="10" t="n">
        <f aca="false">-Helpers!BH4*Assumptions!$B$20</f>
        <v>-42443.409790584</v>
      </c>
      <c r="BI18" s="10" t="n">
        <f aca="false">-Helpers!BI4*Assumptions!$B$20</f>
        <v>-42443.409790584</v>
      </c>
      <c r="BJ18" s="10" t="n">
        <f aca="false">-Helpers!BJ4*Assumptions!$B$20</f>
        <v>-42443.409790584</v>
      </c>
      <c r="BK18" s="10" t="n">
        <f aca="false">-Helpers!BK4*Assumptions!$B$20</f>
        <v>-43292.2779863957</v>
      </c>
      <c r="BL18" s="10" t="n">
        <f aca="false">-Helpers!BL4*Assumptions!$B$20</f>
        <v>-43292.2779863957</v>
      </c>
      <c r="BM18" s="10" t="n">
        <f aca="false">-Helpers!BM4*Assumptions!$B$20</f>
        <v>-43292.2779863957</v>
      </c>
      <c r="BN18" s="10" t="n">
        <f aca="false">-Helpers!BN4*Assumptions!$B$20</f>
        <v>-43292.2779863957</v>
      </c>
      <c r="BO18" s="10" t="n">
        <f aca="false">-Helpers!BO4*Assumptions!$B$20</f>
        <v>-43292.2779863957</v>
      </c>
      <c r="BP18" s="10" t="n">
        <f aca="false">-Helpers!BP4*Assumptions!$B$20</f>
        <v>-43292.2779863957</v>
      </c>
      <c r="BQ18" s="10" t="n">
        <f aca="false">-Helpers!BQ4*Assumptions!$B$20</f>
        <v>-43292.2779863957</v>
      </c>
      <c r="BR18" s="10" t="n">
        <f aca="false">-Helpers!BR4*Assumptions!$B$20</f>
        <v>-43292.2779863957</v>
      </c>
      <c r="BS18" s="10" t="n">
        <f aca="false">-Helpers!BS4*Assumptions!$B$20</f>
        <v>-43292.2779863957</v>
      </c>
      <c r="BT18" s="10" t="n">
        <f aca="false">-Helpers!BT4*Assumptions!$B$20</f>
        <v>-43292.2779863957</v>
      </c>
      <c r="BU18" s="10" t="n">
        <f aca="false">-Helpers!BU4*Assumptions!$B$20</f>
        <v>-43292.2779863957</v>
      </c>
      <c r="BV18" s="10" t="n">
        <f aca="false">-Helpers!BV4*Assumptions!$B$20</f>
        <v>-43292.2779863957</v>
      </c>
      <c r="BW18" s="10" t="n">
        <f aca="false">-Helpers!BW4*Assumptions!$B$20</f>
        <v>-44158.1235461236</v>
      </c>
      <c r="BX18" s="10" t="n">
        <f aca="false">-Helpers!BX4*Assumptions!$B$20</f>
        <v>-44158.1235461236</v>
      </c>
      <c r="BY18" s="10" t="n">
        <f aca="false">-Helpers!BY4*Assumptions!$B$20</f>
        <v>-44158.1235461236</v>
      </c>
      <c r="BZ18" s="10" t="n">
        <f aca="false">-Helpers!BZ4*Assumptions!$B$20</f>
        <v>-44158.1235461236</v>
      </c>
      <c r="CA18" s="10" t="n">
        <f aca="false">-Helpers!CA4*Assumptions!$B$20</f>
        <v>-44158.1235461236</v>
      </c>
      <c r="CB18" s="10" t="n">
        <f aca="false">-Helpers!CB4*Assumptions!$B$20</f>
        <v>-44158.1235461236</v>
      </c>
      <c r="CC18" s="10" t="n">
        <f aca="false">-Helpers!CC4*Assumptions!$B$20</f>
        <v>-44158.1235461236</v>
      </c>
      <c r="CD18" s="10" t="n">
        <f aca="false">-Helpers!CD4*Assumptions!$B$20</f>
        <v>-44158.1235461236</v>
      </c>
      <c r="CE18" s="10" t="n">
        <f aca="false">-Helpers!CE4*Assumptions!$B$20</f>
        <v>-44158.1235461236</v>
      </c>
      <c r="CF18" s="10" t="n">
        <f aca="false">-Helpers!CF4*Assumptions!$B$20</f>
        <v>-44158.1235461236</v>
      </c>
      <c r="CG18" s="10" t="n">
        <f aca="false">-Helpers!CG4*Assumptions!$B$20</f>
        <v>-44158.1235461236</v>
      </c>
      <c r="CH18" s="10" t="n">
        <f aca="false">-Helpers!CH4*Assumptions!$B$20</f>
        <v>-44158.1235461236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-1307.03833333333</v>
      </c>
      <c r="G19" s="10" t="n">
        <f aca="false">-Helpers!G4*Assumptions!$B$21</f>
        <v>-1307.03833333333</v>
      </c>
      <c r="H19" s="10" t="n">
        <f aca="false">-Helpers!H4*Assumptions!$B$21</f>
        <v>-1307.03833333333</v>
      </c>
      <c r="I19" s="10" t="n">
        <f aca="false">-Helpers!I4*Assumptions!$B$21</f>
        <v>-1307.03833333333</v>
      </c>
      <c r="J19" s="10" t="n">
        <f aca="false">-Helpers!J4*Assumptions!$B$21</f>
        <v>-1307.03833333333</v>
      </c>
      <c r="K19" s="10" t="n">
        <f aca="false">-Helpers!K4*Assumptions!$B$21</f>
        <v>-1307.03833333333</v>
      </c>
      <c r="L19" s="10" t="n">
        <f aca="false">-Helpers!L4*Assumptions!$B$21</f>
        <v>-1307.03833333333</v>
      </c>
      <c r="M19" s="10" t="n">
        <f aca="false">-Helpers!M4*Assumptions!$B$21</f>
        <v>-1307.03833333333</v>
      </c>
      <c r="N19" s="10" t="n">
        <f aca="false">-Helpers!N4*Assumptions!$B$21</f>
        <v>-1307.03833333333</v>
      </c>
      <c r="O19" s="10" t="n">
        <f aca="false">-Helpers!O4*Assumptions!$B$21</f>
        <v>-1333.1791</v>
      </c>
      <c r="P19" s="10" t="n">
        <f aca="false">-Helpers!P4*Assumptions!$B$21</f>
        <v>-1333.1791</v>
      </c>
      <c r="Q19" s="10" t="n">
        <f aca="false">-Helpers!Q4*Assumptions!$B$21</f>
        <v>-1333.1791</v>
      </c>
      <c r="R19" s="10" t="n">
        <f aca="false">-Helpers!R4*Assumptions!$B$21</f>
        <v>-1333.1791</v>
      </c>
      <c r="S19" s="10" t="n">
        <f aca="false">-Helpers!S4*Assumptions!$B$21</f>
        <v>-1333.1791</v>
      </c>
      <c r="T19" s="10" t="n">
        <f aca="false">-Helpers!T4*Assumptions!$B$21</f>
        <v>-1333.1791</v>
      </c>
      <c r="U19" s="10" t="n">
        <f aca="false">-Helpers!U4*Assumptions!$B$21</f>
        <v>-1333.1791</v>
      </c>
      <c r="V19" s="10" t="n">
        <f aca="false">-Helpers!V4*Assumptions!$B$21</f>
        <v>-1333.1791</v>
      </c>
      <c r="W19" s="10" t="n">
        <f aca="false">-Helpers!W4*Assumptions!$B$21</f>
        <v>-1333.1791</v>
      </c>
      <c r="X19" s="10" t="n">
        <f aca="false">-Helpers!X4*Assumptions!$B$21</f>
        <v>-1333.1791</v>
      </c>
      <c r="Y19" s="10" t="n">
        <f aca="false">-Helpers!Y4*Assumptions!$B$21</f>
        <v>-1333.1791</v>
      </c>
      <c r="Z19" s="10" t="n">
        <f aca="false">-Helpers!Z4*Assumptions!$B$21</f>
        <v>-1333.1791</v>
      </c>
      <c r="AA19" s="10" t="n">
        <f aca="false">-Helpers!AA4*Assumptions!$B$21</f>
        <v>-1359.842682</v>
      </c>
      <c r="AB19" s="10" t="n">
        <f aca="false">-Helpers!AB4*Assumptions!$B$21</f>
        <v>-1359.842682</v>
      </c>
      <c r="AC19" s="10" t="n">
        <f aca="false">-Helpers!AC4*Assumptions!$B$21</f>
        <v>-1359.842682</v>
      </c>
      <c r="AD19" s="10" t="n">
        <f aca="false">-Helpers!AD4*Assumptions!$B$21</f>
        <v>-1359.842682</v>
      </c>
      <c r="AE19" s="10" t="n">
        <f aca="false">-Helpers!AE4*Assumptions!$B$21</f>
        <v>-1359.842682</v>
      </c>
      <c r="AF19" s="10" t="n">
        <f aca="false">-Helpers!AF4*Assumptions!$B$21</f>
        <v>-1359.842682</v>
      </c>
      <c r="AG19" s="10" t="n">
        <f aca="false">-Helpers!AG4*Assumptions!$B$21</f>
        <v>-1359.842682</v>
      </c>
      <c r="AH19" s="10" t="n">
        <f aca="false">-Helpers!AH4*Assumptions!$B$21</f>
        <v>-1359.842682</v>
      </c>
      <c r="AI19" s="10" t="n">
        <f aca="false">-Helpers!AI4*Assumptions!$B$21</f>
        <v>-1359.842682</v>
      </c>
      <c r="AJ19" s="10" t="n">
        <f aca="false">-Helpers!AJ4*Assumptions!$B$21</f>
        <v>-1359.842682</v>
      </c>
      <c r="AK19" s="10" t="n">
        <f aca="false">-Helpers!AK4*Assumptions!$B$21</f>
        <v>-1359.842682</v>
      </c>
      <c r="AL19" s="10" t="n">
        <f aca="false">-Helpers!AL4*Assumptions!$B$21</f>
        <v>-1359.842682</v>
      </c>
      <c r="AM19" s="10" t="n">
        <f aca="false">-Helpers!AM4*Assumptions!$B$21</f>
        <v>-1387.03953564</v>
      </c>
      <c r="AN19" s="10" t="n">
        <f aca="false">-Helpers!AN4*Assumptions!$B$21</f>
        <v>-1387.03953564</v>
      </c>
      <c r="AO19" s="10" t="n">
        <f aca="false">-Helpers!AO4*Assumptions!$B$21</f>
        <v>-1387.03953564</v>
      </c>
      <c r="AP19" s="10" t="n">
        <f aca="false">-Helpers!AP4*Assumptions!$B$21</f>
        <v>-1387.03953564</v>
      </c>
      <c r="AQ19" s="10" t="n">
        <f aca="false">-Helpers!AQ4*Assumptions!$B$21</f>
        <v>-1387.03953564</v>
      </c>
      <c r="AR19" s="10" t="n">
        <f aca="false">-Helpers!AR4*Assumptions!$B$21</f>
        <v>-1387.03953564</v>
      </c>
      <c r="AS19" s="10" t="n">
        <f aca="false">-Helpers!AS4*Assumptions!$B$21</f>
        <v>-1387.03953564</v>
      </c>
      <c r="AT19" s="10" t="n">
        <f aca="false">-Helpers!AT4*Assumptions!$B$21</f>
        <v>-1387.03953564</v>
      </c>
      <c r="AU19" s="10" t="n">
        <f aca="false">-Helpers!AU4*Assumptions!$B$21</f>
        <v>-1387.03953564</v>
      </c>
      <c r="AV19" s="10" t="n">
        <f aca="false">-Helpers!AV4*Assumptions!$B$21</f>
        <v>-1387.03953564</v>
      </c>
      <c r="AW19" s="10" t="n">
        <f aca="false">-Helpers!AW4*Assumptions!$B$21</f>
        <v>-1387.03953564</v>
      </c>
      <c r="AX19" s="10" t="n">
        <f aca="false">-Helpers!AX4*Assumptions!$B$21</f>
        <v>-1387.03953564</v>
      </c>
      <c r="AY19" s="10" t="n">
        <f aca="false">-Helpers!AY4*Assumptions!$B$21</f>
        <v>-1414.7803263528</v>
      </c>
      <c r="AZ19" s="10" t="n">
        <f aca="false">-Helpers!AZ4*Assumptions!$B$21</f>
        <v>-1414.7803263528</v>
      </c>
      <c r="BA19" s="10" t="n">
        <f aca="false">-Helpers!BA4*Assumptions!$B$21</f>
        <v>-1414.7803263528</v>
      </c>
      <c r="BB19" s="10" t="n">
        <f aca="false">-Helpers!BB4*Assumptions!$B$21</f>
        <v>-1414.7803263528</v>
      </c>
      <c r="BC19" s="10" t="n">
        <f aca="false">-Helpers!BC4*Assumptions!$B$21</f>
        <v>-1414.7803263528</v>
      </c>
      <c r="BD19" s="10" t="n">
        <f aca="false">-Helpers!BD4*Assumptions!$B$21</f>
        <v>-1414.7803263528</v>
      </c>
      <c r="BE19" s="10" t="n">
        <f aca="false">-Helpers!BE4*Assumptions!$B$21</f>
        <v>-1414.7803263528</v>
      </c>
      <c r="BF19" s="10" t="n">
        <f aca="false">-Helpers!BF4*Assumptions!$B$21</f>
        <v>-1414.7803263528</v>
      </c>
      <c r="BG19" s="10" t="n">
        <f aca="false">-Helpers!BG4*Assumptions!$B$21</f>
        <v>-1414.7803263528</v>
      </c>
      <c r="BH19" s="10" t="n">
        <f aca="false">-Helpers!BH4*Assumptions!$B$21</f>
        <v>-1414.7803263528</v>
      </c>
      <c r="BI19" s="10" t="n">
        <f aca="false">-Helpers!BI4*Assumptions!$B$21</f>
        <v>-1414.7803263528</v>
      </c>
      <c r="BJ19" s="10" t="n">
        <f aca="false">-Helpers!BJ4*Assumptions!$B$21</f>
        <v>-1414.7803263528</v>
      </c>
      <c r="BK19" s="10" t="n">
        <f aca="false">-Helpers!BK4*Assumptions!$B$21</f>
        <v>-1443.07593287986</v>
      </c>
      <c r="BL19" s="10" t="n">
        <f aca="false">-Helpers!BL4*Assumptions!$B$21</f>
        <v>-1443.07593287986</v>
      </c>
      <c r="BM19" s="10" t="n">
        <f aca="false">-Helpers!BM4*Assumptions!$B$21</f>
        <v>-1443.07593287986</v>
      </c>
      <c r="BN19" s="10" t="n">
        <f aca="false">-Helpers!BN4*Assumptions!$B$21</f>
        <v>-1443.07593287986</v>
      </c>
      <c r="BO19" s="10" t="n">
        <f aca="false">-Helpers!BO4*Assumptions!$B$21</f>
        <v>-1443.07593287986</v>
      </c>
      <c r="BP19" s="10" t="n">
        <f aca="false">-Helpers!BP4*Assumptions!$B$21</f>
        <v>-1443.07593287986</v>
      </c>
      <c r="BQ19" s="10" t="n">
        <f aca="false">-Helpers!BQ4*Assumptions!$B$21</f>
        <v>-1443.07593287986</v>
      </c>
      <c r="BR19" s="10" t="n">
        <f aca="false">-Helpers!BR4*Assumptions!$B$21</f>
        <v>-1443.07593287986</v>
      </c>
      <c r="BS19" s="10" t="n">
        <f aca="false">-Helpers!BS4*Assumptions!$B$21</f>
        <v>-1443.07593287986</v>
      </c>
      <c r="BT19" s="10" t="n">
        <f aca="false">-Helpers!BT4*Assumptions!$B$21</f>
        <v>-1443.07593287986</v>
      </c>
      <c r="BU19" s="10" t="n">
        <f aca="false">-Helpers!BU4*Assumptions!$B$21</f>
        <v>-1443.07593287986</v>
      </c>
      <c r="BV19" s="10" t="n">
        <f aca="false">-Helpers!BV4*Assumptions!$B$21</f>
        <v>-1443.07593287986</v>
      </c>
      <c r="BW19" s="10" t="n">
        <f aca="false">-Helpers!BW4*Assumptions!$B$21</f>
        <v>-1471.93745153745</v>
      </c>
      <c r="BX19" s="10" t="n">
        <f aca="false">-Helpers!BX4*Assumptions!$B$21</f>
        <v>-1471.93745153745</v>
      </c>
      <c r="BY19" s="10" t="n">
        <f aca="false">-Helpers!BY4*Assumptions!$B$21</f>
        <v>-1471.93745153745</v>
      </c>
      <c r="BZ19" s="10" t="n">
        <f aca="false">-Helpers!BZ4*Assumptions!$B$21</f>
        <v>-1471.93745153745</v>
      </c>
      <c r="CA19" s="10" t="n">
        <f aca="false">-Helpers!CA4*Assumptions!$B$21</f>
        <v>-1471.93745153745</v>
      </c>
      <c r="CB19" s="10" t="n">
        <f aca="false">-Helpers!CB4*Assumptions!$B$21</f>
        <v>-1471.93745153745</v>
      </c>
      <c r="CC19" s="10" t="n">
        <f aca="false">-Helpers!CC4*Assumptions!$B$21</f>
        <v>-1471.93745153745</v>
      </c>
      <c r="CD19" s="10" t="n">
        <f aca="false">-Helpers!CD4*Assumptions!$B$21</f>
        <v>-1471.93745153745</v>
      </c>
      <c r="CE19" s="10" t="n">
        <f aca="false">-Helpers!CE4*Assumptions!$B$21</f>
        <v>-1471.93745153745</v>
      </c>
      <c r="CF19" s="10" t="n">
        <f aca="false">-Helpers!CF4*Assumptions!$B$21</f>
        <v>-1471.93745153745</v>
      </c>
      <c r="CG19" s="10" t="n">
        <f aca="false">-Helpers!CG4*Assumptions!$B$21</f>
        <v>-1471.93745153745</v>
      </c>
      <c r="CH19" s="10" t="n">
        <f aca="false">-Helpers!CH4*Assumptions!$B$21</f>
        <v>-1471.93745153745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-31630.3276666667</v>
      </c>
      <c r="G20" s="10" t="n">
        <f aca="false">-Helpers!G4*Assumptions!$B$22</f>
        <v>-31630.3276666667</v>
      </c>
      <c r="H20" s="10" t="n">
        <f aca="false">-Helpers!H4*Assumptions!$B$22</f>
        <v>-31630.3276666667</v>
      </c>
      <c r="I20" s="10" t="n">
        <f aca="false">-Helpers!I4*Assumptions!$B$22</f>
        <v>-31630.3276666667</v>
      </c>
      <c r="J20" s="10" t="n">
        <f aca="false">-Helpers!J4*Assumptions!$B$22</f>
        <v>-31630.3276666667</v>
      </c>
      <c r="K20" s="10" t="n">
        <f aca="false">-Helpers!K4*Assumptions!$B$22</f>
        <v>-31630.3276666667</v>
      </c>
      <c r="L20" s="10" t="n">
        <f aca="false">-Helpers!L4*Assumptions!$B$22</f>
        <v>-31630.3276666667</v>
      </c>
      <c r="M20" s="10" t="n">
        <f aca="false">-Helpers!M4*Assumptions!$B$22</f>
        <v>-31630.3276666667</v>
      </c>
      <c r="N20" s="10" t="n">
        <f aca="false">-Helpers!N4*Assumptions!$B$22</f>
        <v>-31630.3276666667</v>
      </c>
      <c r="O20" s="10" t="n">
        <f aca="false">-Helpers!O4*Assumptions!$B$22</f>
        <v>-32262.93422</v>
      </c>
      <c r="P20" s="10" t="n">
        <f aca="false">-Helpers!P4*Assumptions!$B$22</f>
        <v>-32262.93422</v>
      </c>
      <c r="Q20" s="10" t="n">
        <f aca="false">-Helpers!Q4*Assumptions!$B$22</f>
        <v>-32262.93422</v>
      </c>
      <c r="R20" s="10" t="n">
        <f aca="false">-Helpers!R4*Assumptions!$B$22</f>
        <v>-32262.93422</v>
      </c>
      <c r="S20" s="10" t="n">
        <f aca="false">-Helpers!S4*Assumptions!$B$22</f>
        <v>-32262.93422</v>
      </c>
      <c r="T20" s="10" t="n">
        <f aca="false">-Helpers!T4*Assumptions!$B$22</f>
        <v>-32262.93422</v>
      </c>
      <c r="U20" s="10" t="n">
        <f aca="false">-Helpers!U4*Assumptions!$B$22</f>
        <v>-32262.93422</v>
      </c>
      <c r="V20" s="10" t="n">
        <f aca="false">-Helpers!V4*Assumptions!$B$22</f>
        <v>-32262.93422</v>
      </c>
      <c r="W20" s="10" t="n">
        <f aca="false">-Helpers!W4*Assumptions!$B$22</f>
        <v>-32262.93422</v>
      </c>
      <c r="X20" s="10" t="n">
        <f aca="false">-Helpers!X4*Assumptions!$B$22</f>
        <v>-32262.93422</v>
      </c>
      <c r="Y20" s="10" t="n">
        <f aca="false">-Helpers!Y4*Assumptions!$B$22</f>
        <v>-32262.93422</v>
      </c>
      <c r="Z20" s="10" t="n">
        <f aca="false">-Helpers!Z4*Assumptions!$B$22</f>
        <v>-32262.93422</v>
      </c>
      <c r="AA20" s="10" t="n">
        <f aca="false">-Helpers!AA4*Assumptions!$B$22</f>
        <v>-32908.1929044</v>
      </c>
      <c r="AB20" s="10" t="n">
        <f aca="false">-Helpers!AB4*Assumptions!$B$22</f>
        <v>-32908.1929044</v>
      </c>
      <c r="AC20" s="10" t="n">
        <f aca="false">-Helpers!AC4*Assumptions!$B$22</f>
        <v>-32908.1929044</v>
      </c>
      <c r="AD20" s="10" t="n">
        <f aca="false">-Helpers!AD4*Assumptions!$B$22</f>
        <v>-32908.1929044</v>
      </c>
      <c r="AE20" s="10" t="n">
        <f aca="false">-Helpers!AE4*Assumptions!$B$22</f>
        <v>-32908.1929044</v>
      </c>
      <c r="AF20" s="10" t="n">
        <f aca="false">-Helpers!AF4*Assumptions!$B$22</f>
        <v>-32908.1929044</v>
      </c>
      <c r="AG20" s="10" t="n">
        <f aca="false">-Helpers!AG4*Assumptions!$B$22</f>
        <v>-32908.1929044</v>
      </c>
      <c r="AH20" s="10" t="n">
        <f aca="false">-Helpers!AH4*Assumptions!$B$22</f>
        <v>-32908.1929044</v>
      </c>
      <c r="AI20" s="10" t="n">
        <f aca="false">-Helpers!AI4*Assumptions!$B$22</f>
        <v>-32908.1929044</v>
      </c>
      <c r="AJ20" s="10" t="n">
        <f aca="false">-Helpers!AJ4*Assumptions!$B$22</f>
        <v>-32908.1929044</v>
      </c>
      <c r="AK20" s="10" t="n">
        <f aca="false">-Helpers!AK4*Assumptions!$B$22</f>
        <v>-32908.1929044</v>
      </c>
      <c r="AL20" s="10" t="n">
        <f aca="false">-Helpers!AL4*Assumptions!$B$22</f>
        <v>-32908.1929044</v>
      </c>
      <c r="AM20" s="10" t="n">
        <f aca="false">-Helpers!AM4*Assumptions!$B$22</f>
        <v>-33566.356762488</v>
      </c>
      <c r="AN20" s="10" t="n">
        <f aca="false">-Helpers!AN4*Assumptions!$B$22</f>
        <v>-33566.356762488</v>
      </c>
      <c r="AO20" s="10" t="n">
        <f aca="false">-Helpers!AO4*Assumptions!$B$22</f>
        <v>-33566.356762488</v>
      </c>
      <c r="AP20" s="10" t="n">
        <f aca="false">-Helpers!AP4*Assumptions!$B$22</f>
        <v>-33566.356762488</v>
      </c>
      <c r="AQ20" s="10" t="n">
        <f aca="false">-Helpers!AQ4*Assumptions!$B$22</f>
        <v>-33566.356762488</v>
      </c>
      <c r="AR20" s="10" t="n">
        <f aca="false">-Helpers!AR4*Assumptions!$B$22</f>
        <v>-33566.356762488</v>
      </c>
      <c r="AS20" s="10" t="n">
        <f aca="false">-Helpers!AS4*Assumptions!$B$22</f>
        <v>-33566.356762488</v>
      </c>
      <c r="AT20" s="10" t="n">
        <f aca="false">-Helpers!AT4*Assumptions!$B$22</f>
        <v>-33566.356762488</v>
      </c>
      <c r="AU20" s="10" t="n">
        <f aca="false">-Helpers!AU4*Assumptions!$B$22</f>
        <v>-33566.356762488</v>
      </c>
      <c r="AV20" s="10" t="n">
        <f aca="false">-Helpers!AV4*Assumptions!$B$22</f>
        <v>-33566.356762488</v>
      </c>
      <c r="AW20" s="10" t="n">
        <f aca="false">-Helpers!AW4*Assumptions!$B$22</f>
        <v>-33566.356762488</v>
      </c>
      <c r="AX20" s="10" t="n">
        <f aca="false">-Helpers!AX4*Assumptions!$B$22</f>
        <v>-33566.356762488</v>
      </c>
      <c r="AY20" s="10" t="n">
        <f aca="false">-Helpers!AY4*Assumptions!$B$22</f>
        <v>-34237.6838977378</v>
      </c>
      <c r="AZ20" s="10" t="n">
        <f aca="false">-Helpers!AZ4*Assumptions!$B$22</f>
        <v>-34237.6838977378</v>
      </c>
      <c r="BA20" s="10" t="n">
        <f aca="false">-Helpers!BA4*Assumptions!$B$22</f>
        <v>-34237.6838977378</v>
      </c>
      <c r="BB20" s="10" t="n">
        <f aca="false">-Helpers!BB4*Assumptions!$B$22</f>
        <v>-34237.6838977378</v>
      </c>
      <c r="BC20" s="10" t="n">
        <f aca="false">-Helpers!BC4*Assumptions!$B$22</f>
        <v>-34237.6838977378</v>
      </c>
      <c r="BD20" s="10" t="n">
        <f aca="false">-Helpers!BD4*Assumptions!$B$22</f>
        <v>-34237.6838977378</v>
      </c>
      <c r="BE20" s="10" t="n">
        <f aca="false">-Helpers!BE4*Assumptions!$B$22</f>
        <v>-34237.6838977378</v>
      </c>
      <c r="BF20" s="10" t="n">
        <f aca="false">-Helpers!BF4*Assumptions!$B$22</f>
        <v>-34237.6838977378</v>
      </c>
      <c r="BG20" s="10" t="n">
        <f aca="false">-Helpers!BG4*Assumptions!$B$22</f>
        <v>-34237.6838977378</v>
      </c>
      <c r="BH20" s="10" t="n">
        <f aca="false">-Helpers!BH4*Assumptions!$B$22</f>
        <v>-34237.6838977378</v>
      </c>
      <c r="BI20" s="10" t="n">
        <f aca="false">-Helpers!BI4*Assumptions!$B$22</f>
        <v>-34237.6838977378</v>
      </c>
      <c r="BJ20" s="10" t="n">
        <f aca="false">-Helpers!BJ4*Assumptions!$B$22</f>
        <v>-34237.6838977378</v>
      </c>
      <c r="BK20" s="10" t="n">
        <f aca="false">-Helpers!BK4*Assumptions!$B$22</f>
        <v>-34922.4375756925</v>
      </c>
      <c r="BL20" s="10" t="n">
        <f aca="false">-Helpers!BL4*Assumptions!$B$22</f>
        <v>-34922.4375756925</v>
      </c>
      <c r="BM20" s="10" t="n">
        <f aca="false">-Helpers!BM4*Assumptions!$B$22</f>
        <v>-34922.4375756925</v>
      </c>
      <c r="BN20" s="10" t="n">
        <f aca="false">-Helpers!BN4*Assumptions!$B$22</f>
        <v>-34922.4375756925</v>
      </c>
      <c r="BO20" s="10" t="n">
        <f aca="false">-Helpers!BO4*Assumptions!$B$22</f>
        <v>-34922.4375756925</v>
      </c>
      <c r="BP20" s="10" t="n">
        <f aca="false">-Helpers!BP4*Assumptions!$B$22</f>
        <v>-34922.4375756925</v>
      </c>
      <c r="BQ20" s="10" t="n">
        <f aca="false">-Helpers!BQ4*Assumptions!$B$22</f>
        <v>-34922.4375756925</v>
      </c>
      <c r="BR20" s="10" t="n">
        <f aca="false">-Helpers!BR4*Assumptions!$B$22</f>
        <v>-34922.4375756925</v>
      </c>
      <c r="BS20" s="10" t="n">
        <f aca="false">-Helpers!BS4*Assumptions!$B$22</f>
        <v>-34922.4375756925</v>
      </c>
      <c r="BT20" s="10" t="n">
        <f aca="false">-Helpers!BT4*Assumptions!$B$22</f>
        <v>-34922.4375756925</v>
      </c>
      <c r="BU20" s="10" t="n">
        <f aca="false">-Helpers!BU4*Assumptions!$B$22</f>
        <v>-34922.4375756925</v>
      </c>
      <c r="BV20" s="10" t="n">
        <f aca="false">-Helpers!BV4*Assumptions!$B$22</f>
        <v>-34922.4375756925</v>
      </c>
      <c r="BW20" s="10" t="n">
        <f aca="false">-Helpers!BW4*Assumptions!$B$22</f>
        <v>-35620.8863272064</v>
      </c>
      <c r="BX20" s="10" t="n">
        <f aca="false">-Helpers!BX4*Assumptions!$B$22</f>
        <v>-35620.8863272064</v>
      </c>
      <c r="BY20" s="10" t="n">
        <f aca="false">-Helpers!BY4*Assumptions!$B$22</f>
        <v>-35620.8863272064</v>
      </c>
      <c r="BZ20" s="10" t="n">
        <f aca="false">-Helpers!BZ4*Assumptions!$B$22</f>
        <v>-35620.8863272064</v>
      </c>
      <c r="CA20" s="10" t="n">
        <f aca="false">-Helpers!CA4*Assumptions!$B$22</f>
        <v>-35620.8863272064</v>
      </c>
      <c r="CB20" s="10" t="n">
        <f aca="false">-Helpers!CB4*Assumptions!$B$22</f>
        <v>-35620.8863272064</v>
      </c>
      <c r="CC20" s="10" t="n">
        <f aca="false">-Helpers!CC4*Assumptions!$B$22</f>
        <v>-35620.8863272064</v>
      </c>
      <c r="CD20" s="10" t="n">
        <f aca="false">-Helpers!CD4*Assumptions!$B$22</f>
        <v>-35620.8863272064</v>
      </c>
      <c r="CE20" s="10" t="n">
        <f aca="false">-Helpers!CE4*Assumptions!$B$22</f>
        <v>-35620.8863272064</v>
      </c>
      <c r="CF20" s="10" t="n">
        <f aca="false">-Helpers!CF4*Assumptions!$B$22</f>
        <v>-35620.8863272064</v>
      </c>
      <c r="CG20" s="10" t="n">
        <f aca="false">-Helpers!CG4*Assumptions!$B$22</f>
        <v>-35620.8863272064</v>
      </c>
      <c r="CH20" s="10" t="n">
        <f aca="false">-Helpers!CH4*Assumptions!$B$22</f>
        <v>-35620.8863272064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-2352.669</v>
      </c>
      <c r="G21" s="10" t="n">
        <f aca="false">-Helpers!G4*Assumptions!$B$23</f>
        <v>-2352.669</v>
      </c>
      <c r="H21" s="10" t="n">
        <f aca="false">-Helpers!H4*Assumptions!$B$23</f>
        <v>-2352.669</v>
      </c>
      <c r="I21" s="10" t="n">
        <f aca="false">-Helpers!I4*Assumptions!$B$23</f>
        <v>-2352.669</v>
      </c>
      <c r="J21" s="10" t="n">
        <f aca="false">-Helpers!J4*Assumptions!$B$23</f>
        <v>-2352.669</v>
      </c>
      <c r="K21" s="10" t="n">
        <f aca="false">-Helpers!K4*Assumptions!$B$23</f>
        <v>-2352.669</v>
      </c>
      <c r="L21" s="10" t="n">
        <f aca="false">-Helpers!L4*Assumptions!$B$23</f>
        <v>-2352.669</v>
      </c>
      <c r="M21" s="10" t="n">
        <f aca="false">-Helpers!M4*Assumptions!$B$23</f>
        <v>-2352.669</v>
      </c>
      <c r="N21" s="10" t="n">
        <f aca="false">-Helpers!N4*Assumptions!$B$23</f>
        <v>-2352.669</v>
      </c>
      <c r="O21" s="10" t="n">
        <f aca="false">-Helpers!O4*Assumptions!$B$23</f>
        <v>-2399.72238</v>
      </c>
      <c r="P21" s="10" t="n">
        <f aca="false">-Helpers!P4*Assumptions!$B$23</f>
        <v>-2399.72238</v>
      </c>
      <c r="Q21" s="10" t="n">
        <f aca="false">-Helpers!Q4*Assumptions!$B$23</f>
        <v>-2399.72238</v>
      </c>
      <c r="R21" s="10" t="n">
        <f aca="false">-Helpers!R4*Assumptions!$B$23</f>
        <v>-2399.72238</v>
      </c>
      <c r="S21" s="10" t="n">
        <f aca="false">-Helpers!S4*Assumptions!$B$23</f>
        <v>-2399.72238</v>
      </c>
      <c r="T21" s="10" t="n">
        <f aca="false">-Helpers!T4*Assumptions!$B$23</f>
        <v>-2399.72238</v>
      </c>
      <c r="U21" s="10" t="n">
        <f aca="false">-Helpers!U4*Assumptions!$B$23</f>
        <v>-2399.72238</v>
      </c>
      <c r="V21" s="10" t="n">
        <f aca="false">-Helpers!V4*Assumptions!$B$23</f>
        <v>-2399.72238</v>
      </c>
      <c r="W21" s="10" t="n">
        <f aca="false">-Helpers!W4*Assumptions!$B$23</f>
        <v>-2399.72238</v>
      </c>
      <c r="X21" s="10" t="n">
        <f aca="false">-Helpers!X4*Assumptions!$B$23</f>
        <v>-2399.72238</v>
      </c>
      <c r="Y21" s="10" t="n">
        <f aca="false">-Helpers!Y4*Assumptions!$B$23</f>
        <v>-2399.72238</v>
      </c>
      <c r="Z21" s="10" t="n">
        <f aca="false">-Helpers!Z4*Assumptions!$B$23</f>
        <v>-2399.72238</v>
      </c>
      <c r="AA21" s="10" t="n">
        <f aca="false">-Helpers!AA4*Assumptions!$B$23</f>
        <v>-2447.7168276</v>
      </c>
      <c r="AB21" s="10" t="n">
        <f aca="false">-Helpers!AB4*Assumptions!$B$23</f>
        <v>-2447.7168276</v>
      </c>
      <c r="AC21" s="10" t="n">
        <f aca="false">-Helpers!AC4*Assumptions!$B$23</f>
        <v>-2447.7168276</v>
      </c>
      <c r="AD21" s="10" t="n">
        <f aca="false">-Helpers!AD4*Assumptions!$B$23</f>
        <v>-2447.7168276</v>
      </c>
      <c r="AE21" s="10" t="n">
        <f aca="false">-Helpers!AE4*Assumptions!$B$23</f>
        <v>-2447.7168276</v>
      </c>
      <c r="AF21" s="10" t="n">
        <f aca="false">-Helpers!AF4*Assumptions!$B$23</f>
        <v>-2447.7168276</v>
      </c>
      <c r="AG21" s="10" t="n">
        <f aca="false">-Helpers!AG4*Assumptions!$B$23</f>
        <v>-2447.7168276</v>
      </c>
      <c r="AH21" s="10" t="n">
        <f aca="false">-Helpers!AH4*Assumptions!$B$23</f>
        <v>-2447.7168276</v>
      </c>
      <c r="AI21" s="10" t="n">
        <f aca="false">-Helpers!AI4*Assumptions!$B$23</f>
        <v>-2447.7168276</v>
      </c>
      <c r="AJ21" s="10" t="n">
        <f aca="false">-Helpers!AJ4*Assumptions!$B$23</f>
        <v>-2447.7168276</v>
      </c>
      <c r="AK21" s="10" t="n">
        <f aca="false">-Helpers!AK4*Assumptions!$B$23</f>
        <v>-2447.7168276</v>
      </c>
      <c r="AL21" s="10" t="n">
        <f aca="false">-Helpers!AL4*Assumptions!$B$23</f>
        <v>-2447.7168276</v>
      </c>
      <c r="AM21" s="10" t="n">
        <f aca="false">-Helpers!AM4*Assumptions!$B$23</f>
        <v>-2496.671164152</v>
      </c>
      <c r="AN21" s="10" t="n">
        <f aca="false">-Helpers!AN4*Assumptions!$B$23</f>
        <v>-2496.671164152</v>
      </c>
      <c r="AO21" s="10" t="n">
        <f aca="false">-Helpers!AO4*Assumptions!$B$23</f>
        <v>-2496.671164152</v>
      </c>
      <c r="AP21" s="10" t="n">
        <f aca="false">-Helpers!AP4*Assumptions!$B$23</f>
        <v>-2496.671164152</v>
      </c>
      <c r="AQ21" s="10" t="n">
        <f aca="false">-Helpers!AQ4*Assumptions!$B$23</f>
        <v>-2496.671164152</v>
      </c>
      <c r="AR21" s="10" t="n">
        <f aca="false">-Helpers!AR4*Assumptions!$B$23</f>
        <v>-2496.671164152</v>
      </c>
      <c r="AS21" s="10" t="n">
        <f aca="false">-Helpers!AS4*Assumptions!$B$23</f>
        <v>-2496.671164152</v>
      </c>
      <c r="AT21" s="10" t="n">
        <f aca="false">-Helpers!AT4*Assumptions!$B$23</f>
        <v>-2496.671164152</v>
      </c>
      <c r="AU21" s="10" t="n">
        <f aca="false">-Helpers!AU4*Assumptions!$B$23</f>
        <v>-2496.671164152</v>
      </c>
      <c r="AV21" s="10" t="n">
        <f aca="false">-Helpers!AV4*Assumptions!$B$23</f>
        <v>-2496.671164152</v>
      </c>
      <c r="AW21" s="10" t="n">
        <f aca="false">-Helpers!AW4*Assumptions!$B$23</f>
        <v>-2496.671164152</v>
      </c>
      <c r="AX21" s="10" t="n">
        <f aca="false">-Helpers!AX4*Assumptions!$B$23</f>
        <v>-2496.671164152</v>
      </c>
      <c r="AY21" s="10" t="n">
        <f aca="false">-Helpers!AY4*Assumptions!$B$23</f>
        <v>-2546.60458743504</v>
      </c>
      <c r="AZ21" s="10" t="n">
        <f aca="false">-Helpers!AZ4*Assumptions!$B$23</f>
        <v>-2546.60458743504</v>
      </c>
      <c r="BA21" s="10" t="n">
        <f aca="false">-Helpers!BA4*Assumptions!$B$23</f>
        <v>-2546.60458743504</v>
      </c>
      <c r="BB21" s="10" t="n">
        <f aca="false">-Helpers!BB4*Assumptions!$B$23</f>
        <v>-2546.60458743504</v>
      </c>
      <c r="BC21" s="10" t="n">
        <f aca="false">-Helpers!BC4*Assumptions!$B$23</f>
        <v>-2546.60458743504</v>
      </c>
      <c r="BD21" s="10" t="n">
        <f aca="false">-Helpers!BD4*Assumptions!$B$23</f>
        <v>-2546.60458743504</v>
      </c>
      <c r="BE21" s="10" t="n">
        <f aca="false">-Helpers!BE4*Assumptions!$B$23</f>
        <v>-2546.60458743504</v>
      </c>
      <c r="BF21" s="10" t="n">
        <f aca="false">-Helpers!BF4*Assumptions!$B$23</f>
        <v>-2546.60458743504</v>
      </c>
      <c r="BG21" s="10" t="n">
        <f aca="false">-Helpers!BG4*Assumptions!$B$23</f>
        <v>-2546.60458743504</v>
      </c>
      <c r="BH21" s="10" t="n">
        <f aca="false">-Helpers!BH4*Assumptions!$B$23</f>
        <v>-2546.60458743504</v>
      </c>
      <c r="BI21" s="10" t="n">
        <f aca="false">-Helpers!BI4*Assumptions!$B$23</f>
        <v>-2546.60458743504</v>
      </c>
      <c r="BJ21" s="10" t="n">
        <f aca="false">-Helpers!BJ4*Assumptions!$B$23</f>
        <v>-2546.60458743504</v>
      </c>
      <c r="BK21" s="10" t="n">
        <f aca="false">-Helpers!BK4*Assumptions!$B$23</f>
        <v>-2597.53667918374</v>
      </c>
      <c r="BL21" s="10" t="n">
        <f aca="false">-Helpers!BL4*Assumptions!$B$23</f>
        <v>-2597.53667918374</v>
      </c>
      <c r="BM21" s="10" t="n">
        <f aca="false">-Helpers!BM4*Assumptions!$B$23</f>
        <v>-2597.53667918374</v>
      </c>
      <c r="BN21" s="10" t="n">
        <f aca="false">-Helpers!BN4*Assumptions!$B$23</f>
        <v>-2597.53667918374</v>
      </c>
      <c r="BO21" s="10" t="n">
        <f aca="false">-Helpers!BO4*Assumptions!$B$23</f>
        <v>-2597.53667918374</v>
      </c>
      <c r="BP21" s="10" t="n">
        <f aca="false">-Helpers!BP4*Assumptions!$B$23</f>
        <v>-2597.53667918374</v>
      </c>
      <c r="BQ21" s="10" t="n">
        <f aca="false">-Helpers!BQ4*Assumptions!$B$23</f>
        <v>-2597.53667918374</v>
      </c>
      <c r="BR21" s="10" t="n">
        <f aca="false">-Helpers!BR4*Assumptions!$B$23</f>
        <v>-2597.53667918374</v>
      </c>
      <c r="BS21" s="10" t="n">
        <f aca="false">-Helpers!BS4*Assumptions!$B$23</f>
        <v>-2597.53667918374</v>
      </c>
      <c r="BT21" s="10" t="n">
        <f aca="false">-Helpers!BT4*Assumptions!$B$23</f>
        <v>-2597.53667918374</v>
      </c>
      <c r="BU21" s="10" t="n">
        <f aca="false">-Helpers!BU4*Assumptions!$B$23</f>
        <v>-2597.53667918374</v>
      </c>
      <c r="BV21" s="10" t="n">
        <f aca="false">-Helpers!BV4*Assumptions!$B$23</f>
        <v>-2597.53667918374</v>
      </c>
      <c r="BW21" s="10" t="n">
        <f aca="false">-Helpers!BW4*Assumptions!$B$23</f>
        <v>-2649.48741276742</v>
      </c>
      <c r="BX21" s="10" t="n">
        <f aca="false">-Helpers!BX4*Assumptions!$B$23</f>
        <v>-2649.48741276742</v>
      </c>
      <c r="BY21" s="10" t="n">
        <f aca="false">-Helpers!BY4*Assumptions!$B$23</f>
        <v>-2649.48741276742</v>
      </c>
      <c r="BZ21" s="10" t="n">
        <f aca="false">-Helpers!BZ4*Assumptions!$B$23</f>
        <v>-2649.48741276742</v>
      </c>
      <c r="CA21" s="10" t="n">
        <f aca="false">-Helpers!CA4*Assumptions!$B$23</f>
        <v>-2649.48741276742</v>
      </c>
      <c r="CB21" s="10" t="n">
        <f aca="false">-Helpers!CB4*Assumptions!$B$23</f>
        <v>-2649.48741276742</v>
      </c>
      <c r="CC21" s="10" t="n">
        <f aca="false">-Helpers!CC4*Assumptions!$B$23</f>
        <v>-2649.48741276742</v>
      </c>
      <c r="CD21" s="10" t="n">
        <f aca="false">-Helpers!CD4*Assumptions!$B$23</f>
        <v>-2649.48741276742</v>
      </c>
      <c r="CE21" s="10" t="n">
        <f aca="false">-Helpers!CE4*Assumptions!$B$23</f>
        <v>-2649.48741276742</v>
      </c>
      <c r="CF21" s="10" t="n">
        <f aca="false">-Helpers!CF4*Assumptions!$B$23</f>
        <v>-2649.48741276742</v>
      </c>
      <c r="CG21" s="10" t="n">
        <f aca="false">-Helpers!CG4*Assumptions!$B$23</f>
        <v>-2649.48741276742</v>
      </c>
      <c r="CH21" s="10" t="n">
        <f aca="false">-Helpers!CH4*Assumptions!$B$23</f>
        <v>-2649.48741276742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-736775.383533333</v>
      </c>
      <c r="G38" s="12" t="n">
        <f aca="false">G15+G16+G17+G18+G19+G20+G21+SUM(G22:G37)</f>
        <v>-418808.868333333</v>
      </c>
      <c r="H38" s="12" t="n">
        <f aca="false">H15+H16+H17+H18+H19+H20+H21+SUM(H22:H37)</f>
        <v>-418808.868333333</v>
      </c>
      <c r="I38" s="12" t="n">
        <f aca="false">I15+I16+I17+I18+I19+I20+I21+SUM(I22:I37)</f>
        <v>-636891.715333333</v>
      </c>
      <c r="J38" s="12" t="n">
        <f aca="false">J15+J16+J17+J18+J19+J20+J21+SUM(J22:J37)</f>
        <v>-576158.065333333</v>
      </c>
      <c r="K38" s="12" t="n">
        <f aca="false">K15+K16+K17+K18+K19+K20+K21+SUM(K22:K37)</f>
        <v>-418808.868333333</v>
      </c>
      <c r="L38" s="12" t="n">
        <f aca="false">L15+L16+L17+L18+L19+L20+L21+SUM(L22:L37)</f>
        <v>-418808.868333333</v>
      </c>
      <c r="M38" s="12" t="n">
        <f aca="false">M15+M16+M17+M18+M19+M20+M21+SUM(M22:M37)</f>
        <v>-418808.868333333</v>
      </c>
      <c r="N38" s="12" t="n">
        <f aca="false">N15+N16+N17+N18+N19+N20+N21+SUM(N22:N37)</f>
        <v>-418808.868333333</v>
      </c>
      <c r="O38" s="12" t="n">
        <f aca="false">O15+O16+O17+O18+O19+O20+O21+SUM(O22:O37)</f>
        <v>-1898355.0707</v>
      </c>
      <c r="P38" s="12" t="n">
        <f aca="false">P15+P16+P17+P18+P19+P20+P21+SUM(P22:P37)</f>
        <v>-427185.0457</v>
      </c>
      <c r="Q38" s="12" t="n">
        <f aca="false">Q15+Q16+Q17+Q18+Q19+Q20+Q21+SUM(Q22:Q37)</f>
        <v>-427185.0457</v>
      </c>
      <c r="R38" s="12" t="n">
        <f aca="false">R15+R16+R17+R18+R19+R20+R21+SUM(R22:R37)</f>
        <v>-920533.6157</v>
      </c>
      <c r="S38" s="12" t="n">
        <f aca="false">S15+S16+S17+S18+S19+S20+S21+SUM(S22:S37)</f>
        <v>-427185.0457</v>
      </c>
      <c r="T38" s="12" t="n">
        <f aca="false">T15+T16+T17+T18+T19+T20+T21+SUM(T22:T37)</f>
        <v>-427185.0457</v>
      </c>
      <c r="U38" s="12" t="n">
        <f aca="false">U15+U16+U17+U18+U19+U20+U21+SUM(U22:U37)</f>
        <v>-920533.6157</v>
      </c>
      <c r="V38" s="12" t="n">
        <f aca="false">V15+V16+V17+V18+V19+V20+V21+SUM(V22:V37)</f>
        <v>-427185.0457</v>
      </c>
      <c r="W38" s="12" t="n">
        <f aca="false">W15+W16+W17+W18+W19+W20+W21+SUM(W22:W37)</f>
        <v>-427185.0457</v>
      </c>
      <c r="X38" s="12" t="n">
        <f aca="false">X15+X16+X17+X18+X19+X20+X21+SUM(X22:X37)</f>
        <v>-427185.0457</v>
      </c>
      <c r="Y38" s="12" t="n">
        <f aca="false">Y15+Y16+Y17+Y18+Y19+Y20+Y21+SUM(Y22:Y37)</f>
        <v>-427185.0457</v>
      </c>
      <c r="Z38" s="12" t="n">
        <f aca="false">Z15+Z16+Z17+Z18+Z19+Z20+Z21+SUM(Z22:Z37)</f>
        <v>-427185.0457</v>
      </c>
      <c r="AA38" s="12" t="n">
        <f aca="false">AA15+AA16+AA17+AA18+AA19+AA20+AA21+SUM(AA22:AA37)</f>
        <v>-435728.746614</v>
      </c>
      <c r="AB38" s="12" t="n">
        <f aca="false">AB15+AB16+AB17+AB18+AB19+AB20+AB21+SUM(AB22:AB37)</f>
        <v>-435728.746614</v>
      </c>
      <c r="AC38" s="12" t="n">
        <f aca="false">AC15+AC16+AC17+AC18+AC19+AC20+AC21+SUM(AC22:AC37)</f>
        <v>-1779754.286614</v>
      </c>
      <c r="AD38" s="12" t="n">
        <f aca="false">AD15+AD16+AD17+AD18+AD19+AD20+AD21+SUM(AD22:AD37)</f>
        <v>-435728.746614</v>
      </c>
      <c r="AE38" s="12" t="n">
        <f aca="false">AE15+AE16+AE17+AE18+AE19+AE20+AE21+SUM(AE22:AE37)</f>
        <v>-435728.746614</v>
      </c>
      <c r="AF38" s="12" t="n">
        <f aca="false">AF15+AF16+AF17+AF18+AF19+AF20+AF21+SUM(AF22:AF37)</f>
        <v>-435728.746614</v>
      </c>
      <c r="AG38" s="12" t="n">
        <f aca="false">AG15+AG16+AG17+AG18+AG19+AG20+AG21+SUM(AG22:AG37)</f>
        <v>-435728.746614</v>
      </c>
      <c r="AH38" s="12" t="n">
        <f aca="false">AH15+AH16+AH17+AH18+AH19+AH20+AH21+SUM(AH22:AH37)</f>
        <v>-435728.746614</v>
      </c>
      <c r="AI38" s="12" t="n">
        <f aca="false">AI15+AI16+AI17+AI18+AI19+AI20+AI21+SUM(AI22:AI37)</f>
        <v>-435728.746614</v>
      </c>
      <c r="AJ38" s="12" t="n">
        <f aca="false">AJ15+AJ16+AJ17+AJ18+AJ19+AJ20+AJ21+SUM(AJ22:AJ37)</f>
        <v>-435728.746614</v>
      </c>
      <c r="AK38" s="12" t="n">
        <f aca="false">AK15+AK16+AK17+AK18+AK19+AK20+AK21+SUM(AK22:AK37)</f>
        <v>-435728.746614</v>
      </c>
      <c r="AL38" s="12" t="n">
        <f aca="false">AL15+AL16+AL17+AL18+AL19+AL20+AL21+SUM(AL22:AL37)</f>
        <v>-435728.746614</v>
      </c>
      <c r="AM38" s="12" t="n">
        <f aca="false">AM15+AM16+AM17+AM18+AM19+AM20+AM21+SUM(AM22:AM37)</f>
        <v>-444443.32154628</v>
      </c>
      <c r="AN38" s="12" t="n">
        <f aca="false">AN15+AN16+AN17+AN18+AN19+AN20+AN21+SUM(AN22:AN37)</f>
        <v>-444443.32154628</v>
      </c>
      <c r="AO38" s="12" t="n">
        <f aca="false">AO15+AO16+AO17+AO18+AO19+AO20+AO21+SUM(AO22:AO37)</f>
        <v>-444443.32154628</v>
      </c>
      <c r="AP38" s="12" t="n">
        <f aca="false">AP15+AP16+AP17+AP18+AP19+AP20+AP21+SUM(AP22:AP37)</f>
        <v>-444443.32154628</v>
      </c>
      <c r="AQ38" s="12" t="n">
        <f aca="false">AQ15+AQ16+AQ17+AQ18+AQ19+AQ20+AQ21+SUM(AQ22:AQ37)</f>
        <v>-444443.32154628</v>
      </c>
      <c r="AR38" s="12" t="n">
        <f aca="false">AR15+AR16+AR17+AR18+AR19+AR20+AR21+SUM(AR22:AR37)</f>
        <v>-444443.32154628</v>
      </c>
      <c r="AS38" s="12" t="n">
        <f aca="false">AS15+AS16+AS17+AS18+AS19+AS20+AS21+SUM(AS22:AS37)</f>
        <v>-444443.32154628</v>
      </c>
      <c r="AT38" s="12" t="n">
        <f aca="false">AT15+AT16+AT17+AT18+AT19+AT20+AT21+SUM(AT22:AT37)</f>
        <v>-444443.32154628</v>
      </c>
      <c r="AU38" s="12" t="n">
        <f aca="false">AU15+AU16+AU17+AU18+AU19+AU20+AU21+SUM(AU22:AU37)</f>
        <v>-444443.32154628</v>
      </c>
      <c r="AV38" s="12" t="n">
        <f aca="false">AV15+AV16+AV17+AV18+AV19+AV20+AV21+SUM(AV22:AV37)</f>
        <v>-444443.32154628</v>
      </c>
      <c r="AW38" s="12" t="n">
        <f aca="false">AW15+AW16+AW17+AW18+AW19+AW20+AW21+SUM(AW22:AW37)</f>
        <v>-444443.32154628</v>
      </c>
      <c r="AX38" s="12" t="n">
        <f aca="false">AX15+AX16+AX17+AX18+AX19+AX20+AX21+SUM(AX22:AX37)</f>
        <v>-444443.32154628</v>
      </c>
      <c r="AY38" s="12" t="n">
        <f aca="false">AY15+AY16+AY17+AY18+AY19+AY20+AY21+SUM(AY22:AY37)</f>
        <v>-453332.187977206</v>
      </c>
      <c r="AZ38" s="12" t="n">
        <f aca="false">AZ15+AZ16+AZ17+AZ18+AZ19+AZ20+AZ21+SUM(AZ22:AZ37)</f>
        <v>-453332.187977206</v>
      </c>
      <c r="BA38" s="12" t="n">
        <f aca="false">BA15+BA16+BA17+BA18+BA19+BA20+BA21+SUM(BA22:BA37)</f>
        <v>-453332.187977206</v>
      </c>
      <c r="BB38" s="12" t="n">
        <f aca="false">BB15+BB16+BB17+BB18+BB19+BB20+BB21+SUM(BB22:BB37)</f>
        <v>-453332.187977206</v>
      </c>
      <c r="BC38" s="12" t="n">
        <f aca="false">BC15+BC16+BC17+BC18+BC19+BC20+BC21+SUM(BC22:BC37)</f>
        <v>-453332.187977206</v>
      </c>
      <c r="BD38" s="12" t="n">
        <f aca="false">BD15+BD16+BD17+BD18+BD19+BD20+BD21+SUM(BD22:BD37)</f>
        <v>-453332.187977206</v>
      </c>
      <c r="BE38" s="12" t="n">
        <f aca="false">BE15+BE16+BE17+BE18+BE19+BE20+BE21+SUM(BE22:BE37)</f>
        <v>-453332.187977206</v>
      </c>
      <c r="BF38" s="12" t="n">
        <f aca="false">BF15+BF16+BF17+BF18+BF19+BF20+BF21+SUM(BF22:BF37)</f>
        <v>-453332.187977206</v>
      </c>
      <c r="BG38" s="12" t="n">
        <f aca="false">BG15+BG16+BG17+BG18+BG19+BG20+BG21+SUM(BG22:BG37)</f>
        <v>-453332.187977206</v>
      </c>
      <c r="BH38" s="12" t="n">
        <f aca="false">BH15+BH16+BH17+BH18+BH19+BH20+BH21+SUM(BH22:BH37)</f>
        <v>-453332.187977206</v>
      </c>
      <c r="BI38" s="12" t="n">
        <f aca="false">BI15+BI16+BI17+BI18+BI19+BI20+BI21+SUM(BI22:BI37)</f>
        <v>-453332.187977206</v>
      </c>
      <c r="BJ38" s="12" t="n">
        <f aca="false">BJ15+BJ16+BJ17+BJ18+BJ19+BJ20+BJ21+SUM(BJ22:BJ37)</f>
        <v>-453332.187977206</v>
      </c>
      <c r="BK38" s="12" t="n">
        <f aca="false">BK15+BK16+BK17+BK18+BK19+BK20+BK21+SUM(BK22:BK37)</f>
        <v>-462398.83173675</v>
      </c>
      <c r="BL38" s="12" t="n">
        <f aca="false">BL15+BL16+BL17+BL18+BL19+BL20+BL21+SUM(BL22:BL37)</f>
        <v>-462398.83173675</v>
      </c>
      <c r="BM38" s="12" t="n">
        <f aca="false">BM15+BM16+BM17+BM18+BM19+BM20+BM21+SUM(BM22:BM37)</f>
        <v>-462398.83173675</v>
      </c>
      <c r="BN38" s="12" t="n">
        <f aca="false">BN15+BN16+BN17+BN18+BN19+BN20+BN21+SUM(BN22:BN37)</f>
        <v>-462398.83173675</v>
      </c>
      <c r="BO38" s="12" t="n">
        <f aca="false">BO15+BO16+BO17+BO18+BO19+BO20+BO21+SUM(BO22:BO37)</f>
        <v>-462398.83173675</v>
      </c>
      <c r="BP38" s="12" t="n">
        <f aca="false">BP15+BP16+BP17+BP18+BP19+BP20+BP21+SUM(BP22:BP37)</f>
        <v>-462398.83173675</v>
      </c>
      <c r="BQ38" s="12" t="n">
        <f aca="false">BQ15+BQ16+BQ17+BQ18+BQ19+BQ20+BQ21+SUM(BQ22:BQ37)</f>
        <v>-462398.83173675</v>
      </c>
      <c r="BR38" s="12" t="n">
        <f aca="false">BR15+BR16+BR17+BR18+BR19+BR20+BR21+SUM(BR22:BR37)</f>
        <v>-462398.83173675</v>
      </c>
      <c r="BS38" s="12" t="n">
        <f aca="false">BS15+BS16+BS17+BS18+BS19+BS20+BS21+SUM(BS22:BS37)</f>
        <v>-462398.83173675</v>
      </c>
      <c r="BT38" s="12" t="n">
        <f aca="false">BT15+BT16+BT17+BT18+BT19+BT20+BT21+SUM(BT22:BT37)</f>
        <v>-462398.83173675</v>
      </c>
      <c r="BU38" s="12" t="n">
        <f aca="false">BU15+BU16+BU17+BU18+BU19+BU20+BU21+SUM(BU22:BU37)</f>
        <v>-462398.83173675</v>
      </c>
      <c r="BV38" s="12" t="n">
        <f aca="false">BV15+BV16+BV17+BV18+BV19+BV20+BV21+SUM(BV22:BV37)</f>
        <v>-462398.83173675</v>
      </c>
      <c r="BW38" s="12" t="n">
        <f aca="false">BW15+BW16+BW17+BW18+BW19+BW20+BW21+SUM(BW22:BW37)</f>
        <v>-471646.808371485</v>
      </c>
      <c r="BX38" s="12" t="n">
        <f aca="false">BX15+BX16+BX17+BX18+BX19+BX20+BX21+SUM(BX22:BX37)</f>
        <v>-471646.808371485</v>
      </c>
      <c r="BY38" s="12" t="n">
        <f aca="false">BY15+BY16+BY17+BY18+BY19+BY20+BY21+SUM(BY22:BY37)</f>
        <v>-471646.808371485</v>
      </c>
      <c r="BZ38" s="12" t="n">
        <f aca="false">BZ15+BZ16+BZ17+BZ18+BZ19+BZ20+BZ21+SUM(BZ22:BZ37)</f>
        <v>-471646.808371485</v>
      </c>
      <c r="CA38" s="12" t="n">
        <f aca="false">CA15+CA16+CA17+CA18+CA19+CA20+CA21+SUM(CA22:CA37)</f>
        <v>-471646.808371485</v>
      </c>
      <c r="CB38" s="12" t="n">
        <f aca="false">CB15+CB16+CB17+CB18+CB19+CB20+CB21+SUM(CB22:CB37)</f>
        <v>-471646.808371485</v>
      </c>
      <c r="CC38" s="12" t="n">
        <f aca="false">CC15+CC16+CC17+CC18+CC19+CC20+CC21+SUM(CC22:CC37)</f>
        <v>-471646.808371485</v>
      </c>
      <c r="CD38" s="12" t="n">
        <f aca="false">CD15+CD16+CD17+CD18+CD19+CD20+CD21+SUM(CD22:CD37)</f>
        <v>-471646.808371485</v>
      </c>
      <c r="CE38" s="12" t="n">
        <f aca="false">CE15+CE16+CE17+CE18+CE19+CE20+CE21+SUM(CE22:CE37)</f>
        <v>-471646.808371485</v>
      </c>
      <c r="CF38" s="12" t="n">
        <f aca="false">CF15+CF16+CF17+CF18+CF19+CF20+CF21+SUM(CF22:CF37)</f>
        <v>-471646.808371485</v>
      </c>
      <c r="CG38" s="12" t="n">
        <f aca="false">CG15+CG16+CG17+CG18+CG19+CG20+CG21+SUM(CG22:CG37)</f>
        <v>-471646.808371485</v>
      </c>
      <c r="CH38" s="12" t="n">
        <f aca="false">CH15+CH16+CH17+CH18+CH19+CH20+CH21+SUM(CH22:CH37)</f>
        <v>-471646.808371485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478035.653452313</v>
      </c>
      <c r="G40" s="16" t="n">
        <f aca="false">G12+G38</f>
        <v>151475.448652313</v>
      </c>
      <c r="H40" s="16" t="n">
        <f aca="false">H12+H38</f>
        <v>151475.448652313</v>
      </c>
      <c r="I40" s="16" t="n">
        <f aca="false">I12+I38</f>
        <v>516964.774539075</v>
      </c>
      <c r="J40" s="16" t="n">
        <f aca="false">J12+J38</f>
        <v>555268.675486045</v>
      </c>
      <c r="K40" s="16" t="n">
        <f aca="false">K12+K38</f>
        <v>333029.797486045</v>
      </c>
      <c r="L40" s="16" t="n">
        <f aca="false">L12+L38</f>
        <v>333029.797486045</v>
      </c>
      <c r="M40" s="16" t="n">
        <f aca="false">M12+M38</f>
        <v>333029.797486045</v>
      </c>
      <c r="N40" s="16" t="n">
        <f aca="false">N12+N38</f>
        <v>333029.797486045</v>
      </c>
      <c r="O40" s="16" t="n">
        <f aca="false">O12+O38</f>
        <v>-296049.817001834</v>
      </c>
      <c r="P40" s="16" t="n">
        <f aca="false">P12+P38</f>
        <v>496118.657998166</v>
      </c>
      <c r="Q40" s="16" t="n">
        <f aca="false">Q12+Q38</f>
        <v>496118.657998166</v>
      </c>
      <c r="R40" s="16" t="n">
        <f aca="false">R12+R38</f>
        <v>130609.252160845</v>
      </c>
      <c r="S40" s="16" t="n">
        <f aca="false">S12+S38</f>
        <v>270322.982160845</v>
      </c>
      <c r="T40" s="16" t="n">
        <f aca="false">T12+T38</f>
        <v>270322.982160845</v>
      </c>
      <c r="U40" s="16" t="n">
        <f aca="false">U12+U38</f>
        <v>95462.9626871608</v>
      </c>
      <c r="V40" s="16" t="n">
        <f aca="false">V12+V38</f>
        <v>330809.034792424</v>
      </c>
      <c r="W40" s="16" t="n">
        <f aca="false">W12+W38</f>
        <v>330809.034792424</v>
      </c>
      <c r="X40" s="16" t="n">
        <f aca="false">X12+X38</f>
        <v>330809.034792424</v>
      </c>
      <c r="Y40" s="16" t="n">
        <f aca="false">Y12+Y38</f>
        <v>330809.034792424</v>
      </c>
      <c r="Z40" s="16" t="n">
        <f aca="false">Z12+Z38</f>
        <v>330809.034792424</v>
      </c>
      <c r="AA40" s="16" t="n">
        <f aca="false">AA12+AA38</f>
        <v>322265.333878424</v>
      </c>
      <c r="AB40" s="16" t="n">
        <f aca="false">AB12+AB38</f>
        <v>240771.482203783</v>
      </c>
      <c r="AC40" s="16" t="n">
        <f aca="false">AC12+AC38</f>
        <v>-326288.244462884</v>
      </c>
      <c r="AD40" s="16" t="n">
        <f aca="false">AD12+AD38</f>
        <v>397417.815537116</v>
      </c>
      <c r="AE40" s="16" t="n">
        <f aca="false">AE12+AE38</f>
        <v>397417.815537116</v>
      </c>
      <c r="AF40" s="16" t="n">
        <f aca="false">AF12+AF38</f>
        <v>397417.815537116</v>
      </c>
      <c r="AG40" s="16" t="n">
        <f aca="false">AG12+AG38</f>
        <v>397417.815537116</v>
      </c>
      <c r="AH40" s="16" t="n">
        <f aca="false">AH12+AH38</f>
        <v>296738.814590147</v>
      </c>
      <c r="AI40" s="16" t="n">
        <f aca="false">AI12+AI38</f>
        <v>296738.814590147</v>
      </c>
      <c r="AJ40" s="16" t="n">
        <f aca="false">AJ12+AJ38</f>
        <v>133979.541862874</v>
      </c>
      <c r="AK40" s="16" t="n">
        <f aca="false">AK12+AK38</f>
        <v>43190.3313365583</v>
      </c>
      <c r="AL40" s="16" t="n">
        <f aca="false">AL12+AL38</f>
        <v>43190.3313365583</v>
      </c>
      <c r="AM40" s="16" t="n">
        <f aca="false">AM12+AM38</f>
        <v>-25542.7398078431</v>
      </c>
      <c r="AN40" s="16" t="n">
        <f aca="false">AN12+AN38</f>
        <v>-116331.950334159</v>
      </c>
      <c r="AO40" s="16" t="n">
        <f aca="false">AO12+AO38</f>
        <v>-116331.950334159</v>
      </c>
      <c r="AP40" s="16" t="n">
        <f aca="false">AP12+AP38</f>
        <v>-116331.950334159</v>
      </c>
      <c r="AQ40" s="16" t="n">
        <f aca="false">AQ12+AQ38</f>
        <v>-116331.950334159</v>
      </c>
      <c r="AR40" s="16" t="n">
        <f aca="false">AR12+AR38</f>
        <v>-116331.950334159</v>
      </c>
      <c r="AS40" s="16" t="n">
        <f aca="false">AS12+AS38</f>
        <v>-287796.988212947</v>
      </c>
      <c r="AT40" s="16" t="n">
        <f aca="false">AT12+AT38</f>
        <v>-287796.988212947</v>
      </c>
      <c r="AU40" s="16" t="n">
        <f aca="false">AU12+AU38</f>
        <v>-287796.988212947</v>
      </c>
      <c r="AV40" s="16" t="n">
        <f aca="false">AV12+AV38</f>
        <v>-287796.988212947</v>
      </c>
      <c r="AW40" s="16" t="n">
        <f aca="false">AW12+AW38</f>
        <v>-287796.988212947</v>
      </c>
      <c r="AX40" s="16" t="n">
        <f aca="false">AX12+AX38</f>
        <v>-287796.988212947</v>
      </c>
      <c r="AY40" s="16" t="n">
        <f aca="false">AY12+AY38</f>
        <v>-296685.854643872</v>
      </c>
      <c r="AZ40" s="16" t="n">
        <f aca="false">AZ12+AZ38</f>
        <v>-296685.854643872</v>
      </c>
      <c r="BA40" s="16" t="n">
        <f aca="false">BA12+BA38</f>
        <v>-296685.854643872</v>
      </c>
      <c r="BB40" s="16" t="n">
        <f aca="false">BB12+BB38</f>
        <v>-296685.854643872</v>
      </c>
      <c r="BC40" s="16" t="n">
        <f aca="false">BC12+BC38</f>
        <v>-296685.854643872</v>
      </c>
      <c r="BD40" s="16" t="n">
        <f aca="false">BD12+BD38</f>
        <v>-296685.854643872</v>
      </c>
      <c r="BE40" s="16" t="n">
        <f aca="false">BE12+BE38</f>
        <v>-296685.854643872</v>
      </c>
      <c r="BF40" s="16" t="n">
        <f aca="false">BF12+BF38</f>
        <v>-296685.854643872</v>
      </c>
      <c r="BG40" s="16" t="n">
        <f aca="false">BG12+BG38</f>
        <v>-453332.187977206</v>
      </c>
      <c r="BH40" s="16" t="n">
        <f aca="false">BH12+BH38</f>
        <v>-453332.187977206</v>
      </c>
      <c r="BI40" s="16" t="n">
        <f aca="false">BI12+BI38</f>
        <v>-453332.187977206</v>
      </c>
      <c r="BJ40" s="16" t="n">
        <f aca="false">BJ12+BJ38</f>
        <v>-453332.187977206</v>
      </c>
      <c r="BK40" s="16" t="n">
        <f aca="false">BK12+BK38</f>
        <v>-462398.83173675</v>
      </c>
      <c r="BL40" s="16" t="n">
        <f aca="false">BL12+BL38</f>
        <v>-462398.83173675</v>
      </c>
      <c r="BM40" s="16" t="n">
        <f aca="false">BM12+BM38</f>
        <v>-462398.83173675</v>
      </c>
      <c r="BN40" s="16" t="n">
        <f aca="false">BN12+BN38</f>
        <v>-462398.83173675</v>
      </c>
      <c r="BO40" s="16" t="n">
        <f aca="false">BO12+BO38</f>
        <v>-462398.83173675</v>
      </c>
      <c r="BP40" s="16" t="n">
        <f aca="false">BP12+BP38</f>
        <v>-462398.83173675</v>
      </c>
      <c r="BQ40" s="16" t="n">
        <f aca="false">BQ12+BQ38</f>
        <v>-462398.83173675</v>
      </c>
      <c r="BR40" s="16" t="n">
        <f aca="false">BR12+BR38</f>
        <v>-462398.83173675</v>
      </c>
      <c r="BS40" s="16" t="n">
        <f aca="false">BS12+BS38</f>
        <v>-462398.83173675</v>
      </c>
      <c r="BT40" s="16" t="n">
        <f aca="false">BT12+BT38</f>
        <v>-462398.83173675</v>
      </c>
      <c r="BU40" s="16" t="n">
        <f aca="false">BU12+BU38</f>
        <v>-462398.83173675</v>
      </c>
      <c r="BV40" s="16" t="n">
        <f aca="false">BV12+BV38</f>
        <v>-462398.83173675</v>
      </c>
      <c r="BW40" s="16" t="n">
        <f aca="false">BW12+BW38</f>
        <v>-471646.808371485</v>
      </c>
      <c r="BX40" s="16" t="n">
        <f aca="false">BX12+BX38</f>
        <v>-471646.808371485</v>
      </c>
      <c r="BY40" s="16" t="n">
        <f aca="false">BY12+BY38</f>
        <v>-471646.808371485</v>
      </c>
      <c r="BZ40" s="16" t="n">
        <f aca="false">BZ12+BZ38</f>
        <v>-471646.808371485</v>
      </c>
      <c r="CA40" s="16" t="n">
        <f aca="false">CA12+CA38</f>
        <v>-471646.808371485</v>
      </c>
      <c r="CB40" s="16" t="n">
        <f aca="false">CB12+CB38</f>
        <v>-471646.808371485</v>
      </c>
      <c r="CC40" s="16" t="n">
        <f aca="false">CC12+CC38</f>
        <v>-471646.808371485</v>
      </c>
      <c r="CD40" s="16" t="n">
        <f aca="false">CD12+CD38</f>
        <v>-471646.808371485</v>
      </c>
      <c r="CE40" s="16" t="n">
        <f aca="false">CE12+CE38</f>
        <v>-471646.808371485</v>
      </c>
      <c r="CF40" s="16" t="n">
        <f aca="false">CF12+CF38</f>
        <v>-471646.808371485</v>
      </c>
      <c r="CG40" s="16" t="n">
        <f aca="false">CG12+CG38</f>
        <v>-471646.808371485</v>
      </c>
      <c r="CH40" s="16" t="n">
        <f aca="false">CH12+CH38</f>
        <v>-471646.808371485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0.393506182359422</v>
      </c>
      <c r="G41" s="32" t="n">
        <f aca="false">IF(G12&lt;&gt;0,G40/G12,0)</f>
        <v>0.26561391246557</v>
      </c>
      <c r="H41" s="32" t="n">
        <f aca="false">IF(H12&lt;&gt;0,H40/H12,0)</f>
        <v>0.26561391246557</v>
      </c>
      <c r="I41" s="32" t="n">
        <f aca="false">IF(I12&lt;&gt;0,I40/I12,0)</f>
        <v>0.448032124511637</v>
      </c>
      <c r="J41" s="32" t="n">
        <f aca="false">IF(J12&lt;&gt;0,J40/J12,0)</f>
        <v>0.49076856278288</v>
      </c>
      <c r="K41" s="32" t="n">
        <f aca="false">IF(K12&lt;&gt;0,K40/K12,0)</f>
        <v>0.442953804621232</v>
      </c>
      <c r="L41" s="32" t="n">
        <f aca="false">IF(L12&lt;&gt;0,L40/L12,0)</f>
        <v>0.442953804621232</v>
      </c>
      <c r="M41" s="32" t="n">
        <f aca="false">IF(M12&lt;&gt;0,M40/M12,0)</f>
        <v>0.442953804621232</v>
      </c>
      <c r="N41" s="32" t="n">
        <f aca="false">IF(N12&lt;&gt;0,N40/N12,0)</f>
        <v>0.442953804621232</v>
      </c>
      <c r="O41" s="32" t="n">
        <f aca="false">IF(O12&lt;&gt;0,O40/O12,0)</f>
        <v>-0.18476492935322</v>
      </c>
      <c r="P41" s="32" t="n">
        <f aca="false">IF(P12&lt;&gt;0,P40/P12,0)</f>
        <v>0.537329868829759</v>
      </c>
      <c r="Q41" s="32" t="n">
        <f aca="false">IF(Q12&lt;&gt;0,Q40/Q12,0)</f>
        <v>0.537329868829759</v>
      </c>
      <c r="R41" s="32" t="n">
        <f aca="false">IF(R12&lt;&gt;0,R40/R12,0)</f>
        <v>0.124254519679751</v>
      </c>
      <c r="S41" s="32" t="n">
        <f aca="false">IF(S12&lt;&gt;0,S40/S12,0)</f>
        <v>0.387555370494998</v>
      </c>
      <c r="T41" s="32" t="n">
        <f aca="false">IF(T12&lt;&gt;0,T40/T12,0)</f>
        <v>0.387555370494998</v>
      </c>
      <c r="U41" s="32" t="n">
        <f aca="false">IF(U12&lt;&gt;0,U40/U12,0)</f>
        <v>0.0939599253756377</v>
      </c>
      <c r="V41" s="32" t="n">
        <f aca="false">IF(V12&lt;&gt;0,V40/V12,0)</f>
        <v>0.436426936972274</v>
      </c>
      <c r="W41" s="32" t="n">
        <f aca="false">IF(W12&lt;&gt;0,W40/W12,0)</f>
        <v>0.436426936972274</v>
      </c>
      <c r="X41" s="32" t="n">
        <f aca="false">IF(X12&lt;&gt;0,X40/X12,0)</f>
        <v>0.436426936972274</v>
      </c>
      <c r="Y41" s="32" t="n">
        <f aca="false">IF(Y12&lt;&gt;0,Y40/Y12,0)</f>
        <v>0.436426936972274</v>
      </c>
      <c r="Z41" s="32" t="n">
        <f aca="false">IF(Z12&lt;&gt;0,Z40/Z12,0)</f>
        <v>0.436426936972274</v>
      </c>
      <c r="AA41" s="32" t="n">
        <f aca="false">IF(AA12&lt;&gt;0,AA40/AA12,0)</f>
        <v>0.42515547571172</v>
      </c>
      <c r="AB41" s="32" t="n">
        <f aca="false">IF(AB12&lt;&gt;0,AB40/AB12,0)</f>
        <v>0.355907466024872</v>
      </c>
      <c r="AC41" s="32" t="n">
        <f aca="false">IF(AC12&lt;&gt;0,AC40/AC12,0)</f>
        <v>-0.22448976102667</v>
      </c>
      <c r="AD41" s="32" t="n">
        <f aca="false">IF(AD12&lt;&gt;0,AD40/AD12,0)</f>
        <v>0.477008288326865</v>
      </c>
      <c r="AE41" s="32" t="n">
        <f aca="false">IF(AE12&lt;&gt;0,AE40/AE12,0)</f>
        <v>0.477008288326865</v>
      </c>
      <c r="AF41" s="32" t="n">
        <f aca="false">IF(AF12&lt;&gt;0,AF40/AF12,0)</f>
        <v>0.477008288326865</v>
      </c>
      <c r="AG41" s="32" t="n">
        <f aca="false">IF(AG12&lt;&gt;0,AG40/AG12,0)</f>
        <v>0.477008288326865</v>
      </c>
      <c r="AH41" s="32" t="n">
        <f aca="false">IF(AH12&lt;&gt;0,AH40/AH12,0)</f>
        <v>0.405122124592549</v>
      </c>
      <c r="AI41" s="32" t="n">
        <f aca="false">IF(AI12&lt;&gt;0,AI40/AI12,0)</f>
        <v>0.405122124592549</v>
      </c>
      <c r="AJ41" s="32" t="n">
        <f aca="false">IF(AJ12&lt;&gt;0,AJ40/AJ12,0)</f>
        <v>0.235172182979944</v>
      </c>
      <c r="AK41" s="32" t="n">
        <f aca="false">IF(AK12&lt;&gt;0,AK40/AK12,0)</f>
        <v>0.0901829418059163</v>
      </c>
      <c r="AL41" s="32" t="n">
        <f aca="false">IF(AL12&lt;&gt;0,AL40/AL12,0)</f>
        <v>0.0901829418059163</v>
      </c>
      <c r="AM41" s="32" t="n">
        <f aca="false">IF(AM12&lt;&gt;0,AM40/AM12,0)</f>
        <v>-0.0609756608640664</v>
      </c>
      <c r="AN41" s="32" t="n">
        <f aca="false">IF(AN12&lt;&gt;0,AN40/AN12,0)</f>
        <v>-0.354550194052712</v>
      </c>
      <c r="AO41" s="32" t="n">
        <f aca="false">IF(AO12&lt;&gt;0,AO40/AO12,0)</f>
        <v>-0.354550194052712</v>
      </c>
      <c r="AP41" s="32" t="n">
        <f aca="false">IF(AP12&lt;&gt;0,AP40/AP12,0)</f>
        <v>-0.354550194052712</v>
      </c>
      <c r="AQ41" s="32" t="n">
        <f aca="false">IF(AQ12&lt;&gt;0,AQ40/AQ12,0)</f>
        <v>-0.354550194052712</v>
      </c>
      <c r="AR41" s="32" t="n">
        <f aca="false">IF(AR12&lt;&gt;0,AR40/AR12,0)</f>
        <v>-0.354550194052712</v>
      </c>
      <c r="AS41" s="32" t="n">
        <f aca="false">IF(AS12&lt;&gt;0,AS40/AS12,0)</f>
        <v>-1.83724050278619</v>
      </c>
      <c r="AT41" s="32" t="n">
        <f aca="false">IF(AT12&lt;&gt;0,AT40/AT12,0)</f>
        <v>-1.83724050278619</v>
      </c>
      <c r="AU41" s="32" t="n">
        <f aca="false">IF(AU12&lt;&gt;0,AU40/AU12,0)</f>
        <v>-1.83724050278619</v>
      </c>
      <c r="AV41" s="32" t="n">
        <f aca="false">IF(AV12&lt;&gt;0,AV40/AV12,0)</f>
        <v>-1.83724050278619</v>
      </c>
      <c r="AW41" s="32" t="n">
        <f aca="false">IF(AW12&lt;&gt;0,AW40/AW12,0)</f>
        <v>-1.83724050278619</v>
      </c>
      <c r="AX41" s="32" t="n">
        <f aca="false">IF(AX12&lt;&gt;0,AX40/AX12,0)</f>
        <v>-1.83724050278619</v>
      </c>
      <c r="AY41" s="32" t="n">
        <f aca="false">IF(AY12&lt;&gt;0,AY40/AY12,0)</f>
        <v>-1.89398531284191</v>
      </c>
      <c r="AZ41" s="32" t="n">
        <f aca="false">IF(AZ12&lt;&gt;0,AZ40/AZ12,0)</f>
        <v>-1.89398531284191</v>
      </c>
      <c r="BA41" s="32" t="n">
        <f aca="false">IF(BA12&lt;&gt;0,BA40/BA12,0)</f>
        <v>-1.89398531284191</v>
      </c>
      <c r="BB41" s="32" t="n">
        <f aca="false">IF(BB12&lt;&gt;0,BB40/BB12,0)</f>
        <v>-1.89398531284191</v>
      </c>
      <c r="BC41" s="32" t="n">
        <f aca="false">IF(BC12&lt;&gt;0,BC40/BC12,0)</f>
        <v>-1.89398531284191</v>
      </c>
      <c r="BD41" s="32" t="n">
        <f aca="false">IF(BD12&lt;&gt;0,BD40/BD12,0)</f>
        <v>-1.89398531284191</v>
      </c>
      <c r="BE41" s="32" t="n">
        <f aca="false">IF(BE12&lt;&gt;0,BE40/BE12,0)</f>
        <v>-1.89398531284191</v>
      </c>
      <c r="BF41" s="32" t="n">
        <f aca="false">IF(BF12&lt;&gt;0,BF40/BF12,0)</f>
        <v>-1.89398531284191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0</v>
      </c>
      <c r="H53" s="10" t="n">
        <f aca="false">IF(Projects!$G$11="Yes",6315.79,0)</f>
        <v>0</v>
      </c>
      <c r="I53" s="10" t="n">
        <f aca="false">IF(Projects!$G$11="Yes",6315.79,0)</f>
        <v>0</v>
      </c>
      <c r="J53" s="10" t="n">
        <f aca="false">IF(Projects!$G$11="Yes",6315.79,0)</f>
        <v>0</v>
      </c>
      <c r="K53" s="10" t="n">
        <f aca="false">IF(Projects!$G$11="Yes",6315.79,0)</f>
        <v>0</v>
      </c>
      <c r="L53" s="10" t="n">
        <f aca="false">IF(Projects!$G$11="Yes",6315.79,0)</f>
        <v>0</v>
      </c>
      <c r="M53" s="10" t="n">
        <f aca="false">IF(Projects!$G$11="Yes",6315.79,0)</f>
        <v>0</v>
      </c>
      <c r="N53" s="10" t="n">
        <f aca="false">IF(Projects!$G$11="Yes",6315.79,0)</f>
        <v>0</v>
      </c>
      <c r="O53" s="10" t="n">
        <f aca="false">IF(Projects!$G$11="Yes",6315.79,0)</f>
        <v>0</v>
      </c>
      <c r="P53" s="10" t="n">
        <f aca="false">IF(Projects!$G$11="Yes",6315.79,0)</f>
        <v>0</v>
      </c>
      <c r="Q53" s="10" t="n">
        <f aca="false">IF(Projects!$G$11="Yes",6315.79,0)</f>
        <v>0</v>
      </c>
      <c r="R53" s="10" t="n">
        <f aca="false">IF(Projects!$G$11="Yes",6315.79,0)</f>
        <v>0</v>
      </c>
      <c r="S53" s="10" t="n">
        <f aca="false">IF(Projects!$G$11="Yes",6315.79,0)</f>
        <v>0</v>
      </c>
      <c r="T53" s="10" t="n">
        <f aca="false">IF(Projects!$G$11="Yes",6315.79,0)</f>
        <v>0</v>
      </c>
      <c r="U53" s="10" t="n">
        <f aca="false">IF(Projects!$G$11="Yes",6315.79,0)</f>
        <v>0</v>
      </c>
      <c r="V53" s="10" t="n">
        <f aca="false">IF(Projects!$G$11="Yes",6315.79,0)</f>
        <v>0</v>
      </c>
      <c r="W53" s="10" t="n">
        <f aca="false">IF(Projects!$G$11="Yes",6315.79,0)</f>
        <v>0</v>
      </c>
      <c r="X53" s="10" t="n">
        <f aca="false">IF(Projects!$G$11="Yes",6315.79,0)</f>
        <v>0</v>
      </c>
      <c r="Y53" s="10" t="n">
        <f aca="false">IF(Projects!$G$11="Yes",6315.79,0)</f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0</v>
      </c>
      <c r="H54" s="10" t="n">
        <f aca="false">IF(Projects!$G$11="Yes",6315.79,0)</f>
        <v>0</v>
      </c>
      <c r="I54" s="10" t="n">
        <f aca="false">IF(Projects!$G$11="Yes",6315.79,0)</f>
        <v>0</v>
      </c>
      <c r="J54" s="10" t="n">
        <f aca="false">IF(Projects!$G$11="Yes",6315.79,0)</f>
        <v>0</v>
      </c>
      <c r="K54" s="10" t="n">
        <f aca="false">IF(Projects!$G$11="Yes",6315.79,0)</f>
        <v>0</v>
      </c>
      <c r="L54" s="10" t="n">
        <f aca="false">IF(Projects!$G$11="Yes",6315.79,0)</f>
        <v>0</v>
      </c>
      <c r="M54" s="10" t="n">
        <f aca="false">IF(Projects!$G$11="Yes",6315.79,0)</f>
        <v>0</v>
      </c>
      <c r="N54" s="10" t="n">
        <f aca="false">IF(Projects!$G$11="Yes",6315.79,0)</f>
        <v>0</v>
      </c>
      <c r="O54" s="10" t="n">
        <f aca="false">IF(Projects!$G$11="Yes",6315.79,0)</f>
        <v>0</v>
      </c>
      <c r="P54" s="10" t="n">
        <f aca="false">IF(Projects!$G$11="Yes",6315.79,0)</f>
        <v>0</v>
      </c>
      <c r="Q54" s="10" t="n">
        <f aca="false">IF(Projects!$G$11="Yes",6315.79,0)</f>
        <v>0</v>
      </c>
      <c r="R54" s="10" t="n">
        <f aca="false">IF(Projects!$G$11="Yes",6315.79,0)</f>
        <v>0</v>
      </c>
      <c r="S54" s="10" t="n">
        <f aca="false">IF(Projects!$G$11="Yes",6315.79,0)</f>
        <v>0</v>
      </c>
      <c r="T54" s="10" t="n">
        <f aca="false">IF(Projects!$G$11="Yes",6315.79,0)</f>
        <v>0</v>
      </c>
      <c r="U54" s="10" t="n">
        <f aca="false">IF(Projects!$G$11="Yes",6315.79,0)</f>
        <v>0</v>
      </c>
      <c r="V54" s="10" t="n">
        <f aca="false">IF(Projects!$G$11="Yes",6315.79,0)</f>
        <v>0</v>
      </c>
      <c r="W54" s="10" t="n">
        <f aca="false">IF(Projects!$G$11="Yes",6315.79,0)</f>
        <v>0</v>
      </c>
      <c r="X54" s="10" t="n">
        <f aca="false">IF(Projects!$G$11="Yes",6315.79,0)</f>
        <v>0</v>
      </c>
      <c r="Y54" s="10" t="n">
        <f aca="false">IF(Projects!$G$11="Yes",6315.79,0)</f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0</v>
      </c>
      <c r="I56" s="10" t="n">
        <f aca="false">IF(Projects!$G$12="Yes",6315.79,0)</f>
        <v>0</v>
      </c>
      <c r="J56" s="10" t="n">
        <f aca="false">IF(Projects!$G$12="Yes",6315.79,0)</f>
        <v>0</v>
      </c>
      <c r="K56" s="10" t="n">
        <f aca="false">IF(Projects!$G$12="Yes",6315.79,0)</f>
        <v>0</v>
      </c>
      <c r="L56" s="10" t="n">
        <f aca="false">IF(Projects!$G$12="Yes",6315.79,0)</f>
        <v>0</v>
      </c>
      <c r="M56" s="10" t="n">
        <f aca="false">IF(Projects!$G$12="Yes",6315.79,0)</f>
        <v>0</v>
      </c>
      <c r="N56" s="10" t="n">
        <f aca="false">IF(Projects!$G$12="Yes",6315.79,0)</f>
        <v>0</v>
      </c>
      <c r="O56" s="10" t="n">
        <f aca="false">IF(Projects!$G$12="Yes",6315.79,0)</f>
        <v>0</v>
      </c>
      <c r="P56" s="10" t="n">
        <f aca="false">IF(Projects!$G$12="Yes",6315.79,0)</f>
        <v>0</v>
      </c>
      <c r="Q56" s="10" t="n">
        <f aca="false">IF(Projects!$G$12="Yes",6315.79,0)</f>
        <v>0</v>
      </c>
      <c r="R56" s="10" t="n">
        <f aca="false">IF(Projects!$G$12="Yes",6315.79,0)</f>
        <v>0</v>
      </c>
      <c r="S56" s="10" t="n">
        <f aca="false">IF(Projects!$G$12="Yes",6315.79,0)</f>
        <v>0</v>
      </c>
      <c r="T56" s="10" t="n">
        <f aca="false">IF(Projects!$G$12="Yes",6315.79,0)</f>
        <v>0</v>
      </c>
      <c r="U56" s="10" t="n">
        <f aca="false">IF(Projects!$G$12="Yes",6315.79,0)</f>
        <v>0</v>
      </c>
      <c r="V56" s="10" t="n">
        <f aca="false">IF(Projects!$G$12="Yes",6315.79,0)</f>
        <v>0</v>
      </c>
      <c r="W56" s="10" t="n">
        <f aca="false">IF(Projects!$G$12="Yes",6315.79,0)</f>
        <v>0</v>
      </c>
      <c r="X56" s="10" t="n">
        <f aca="false">IF(Projects!$G$12="Yes",6315.79,0)</f>
        <v>0</v>
      </c>
      <c r="Y56" s="10" t="n">
        <f aca="false">IF(Projects!$G$12="Yes",6315.79,0)</f>
        <v>0</v>
      </c>
      <c r="Z56" s="10" t="n">
        <f aca="false">IF(Projects!$G$12="Yes",6315.79,0)</f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0</v>
      </c>
      <c r="I57" s="10" t="n">
        <f aca="false">IF(Projects!$G$12="Yes",4736.84,0)</f>
        <v>0</v>
      </c>
      <c r="J57" s="10" t="n">
        <f aca="false">IF(Projects!$G$12="Yes",4736.84,0)</f>
        <v>0</v>
      </c>
      <c r="K57" s="10" t="n">
        <f aca="false">IF(Projects!$G$12="Yes",4736.84,0)</f>
        <v>0</v>
      </c>
      <c r="L57" s="10" t="n">
        <f aca="false">IF(Projects!$G$12="Yes",4736.84,0)</f>
        <v>0</v>
      </c>
      <c r="M57" s="10" t="n">
        <f aca="false">IF(Projects!$G$12="Yes",4736.84,0)</f>
        <v>0</v>
      </c>
      <c r="N57" s="10" t="n">
        <f aca="false">IF(Projects!$G$12="Yes",4736.84,0)</f>
        <v>0</v>
      </c>
      <c r="O57" s="10" t="n">
        <f aca="false">IF(Projects!$G$12="Yes",4736.84,0)</f>
        <v>0</v>
      </c>
      <c r="P57" s="10" t="n">
        <f aca="false">IF(Projects!$G$12="Yes",4736.84,0)</f>
        <v>0</v>
      </c>
      <c r="Q57" s="10" t="n">
        <f aca="false">IF(Projects!$G$12="Yes",4736.84,0)</f>
        <v>0</v>
      </c>
      <c r="R57" s="10" t="n">
        <f aca="false">IF(Projects!$G$12="Yes",4736.84,0)</f>
        <v>0</v>
      </c>
      <c r="S57" s="10" t="n">
        <f aca="false">IF(Projects!$G$12="Yes",4736.84,0)</f>
        <v>0</v>
      </c>
      <c r="T57" s="10" t="n">
        <f aca="false">IF(Projects!$G$12="Yes",4736.84,0)</f>
        <v>0</v>
      </c>
      <c r="U57" s="10" t="n">
        <f aca="false">IF(Projects!$G$12="Yes",4736.84,0)</f>
        <v>0</v>
      </c>
      <c r="V57" s="10" t="n">
        <f aca="false">IF(Projects!$G$12="Yes",4736.84,0)</f>
        <v>0</v>
      </c>
      <c r="W57" s="10" t="n">
        <f aca="false">IF(Projects!$G$12="Yes",4736.84,0)</f>
        <v>0</v>
      </c>
      <c r="X57" s="10" t="n">
        <f aca="false">IF(Projects!$G$12="Yes",4736.84,0)</f>
        <v>0</v>
      </c>
      <c r="Y57" s="10" t="n">
        <f aca="false">IF(Projects!$G$12="Yes",4736.84,0)</f>
        <v>0</v>
      </c>
      <c r="Z57" s="10" t="n">
        <f aca="false">IF(Projects!$G$12="Yes",4736.84,0)</f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12131.8304</v>
      </c>
      <c r="M62" s="10" t="n">
        <f aca="false">IF(Uplifters!$B$2="Yes",Uplifters!M107,0)</f>
        <v>12131.8304</v>
      </c>
      <c r="N62" s="10" t="n">
        <f aca="false">IF(Uplifters!$B$2="Yes",Uplifters!N107,0)</f>
        <v>12131.8304</v>
      </c>
      <c r="O62" s="10" t="n">
        <f aca="false">IF(Uplifters!$B$2="Yes",Uplifters!O107,0)</f>
        <v>12131.8304</v>
      </c>
      <c r="P62" s="10" t="n">
        <f aca="false">IF(Uplifters!$B$2="Yes",Uplifters!P107,0)</f>
        <v>12131.8304</v>
      </c>
      <c r="Q62" s="10" t="n">
        <f aca="false">IF(Uplifters!$B$2="Yes",Uplifters!Q107,0)</f>
        <v>12131.8304</v>
      </c>
      <c r="R62" s="10" t="n">
        <f aca="false">IF(Uplifters!$B$2="Yes",Uplifters!R107,0)</f>
        <v>16203.6928</v>
      </c>
      <c r="S62" s="10" t="n">
        <f aca="false">IF(Uplifters!$B$2="Yes",Uplifters!S107,0)</f>
        <v>32775.9552</v>
      </c>
      <c r="T62" s="10" t="n">
        <f aca="false">IF(Uplifters!$B$2="Yes",Uplifters!T107,0)</f>
        <v>49348.2176</v>
      </c>
      <c r="U62" s="10" t="n">
        <f aca="false">IF(Uplifters!$B$2="Yes",Uplifters!U107,0)</f>
        <v>65920.4736</v>
      </c>
      <c r="V62" s="10" t="n">
        <f aca="false">IF(Uplifters!$B$2="Yes",Uplifters!V107,0)</f>
        <v>82492.7424</v>
      </c>
      <c r="W62" s="10" t="n">
        <f aca="false">IF(Uplifters!$B$2="Yes",Uplifters!W107,0)</f>
        <v>99064.9984</v>
      </c>
      <c r="X62" s="10" t="n">
        <f aca="false">IF(Uplifters!$B$2="Yes",Uplifters!X107,0)</f>
        <v>115637.2544</v>
      </c>
      <c r="Y62" s="10" t="n">
        <f aca="false">IF(Uplifters!$B$2="Yes",Uplifters!Y107,0)</f>
        <v>132209.5168</v>
      </c>
      <c r="Z62" s="10" t="n">
        <f aca="false">IF(Uplifters!$B$2="Yes",Uplifters!Z107,0)</f>
        <v>148781.7856</v>
      </c>
      <c r="AA62" s="10" t="n">
        <f aca="false">IF(Uplifters!$B$2="Yes",Uplifters!AA107,0)</f>
        <v>165354.0416</v>
      </c>
      <c r="AB62" s="10" t="n">
        <f aca="false">IF(Uplifters!$B$2="Yes",Uplifters!AB107,0)</f>
        <v>181926.3104</v>
      </c>
      <c r="AC62" s="10" t="n">
        <f aca="false">IF(Uplifters!$B$2="Yes",Uplifters!AC107,0)</f>
        <v>227330.7904</v>
      </c>
      <c r="AD62" s="10" t="n">
        <f aca="false">IF(Uplifters!$B$2="Yes",Uplifters!AD107,0)</f>
        <v>170166.8864</v>
      </c>
      <c r="AE62" s="10" t="n">
        <f aca="false">IF(Uplifters!$B$2="Yes",Uplifters!AE107,0)</f>
        <v>170667.4432</v>
      </c>
      <c r="AF62" s="10" t="n">
        <f aca="false">IF(Uplifters!$B$2="Yes",Uplifters!AF107,0)</f>
        <v>171167.9872</v>
      </c>
      <c r="AG62" s="10" t="n">
        <f aca="false">IF(Uplifters!$B$2="Yes",Uplifters!AG107,0)</f>
        <v>171668.5376</v>
      </c>
      <c r="AH62" s="10" t="n">
        <f aca="false">IF(Uplifters!$B$2="Yes",Uplifters!AH107,0)</f>
        <v>172169.0816</v>
      </c>
      <c r="AI62" s="10" t="n">
        <f aca="false">IF(Uplifters!$B$2="Yes",Uplifters!AI107,0)</f>
        <v>189241.8944</v>
      </c>
      <c r="AJ62" s="10" t="n">
        <f aca="false">IF(Uplifters!$B$2="Yes",Uplifters!AJ107,0)</f>
        <v>173170.1888</v>
      </c>
      <c r="AK62" s="10" t="n">
        <f aca="false">IF(Uplifters!$B$2="Yes",Uplifters!AK107,0)</f>
        <v>157098.4768</v>
      </c>
      <c r="AL62" s="10" t="n">
        <f aca="false">IF(Uplifters!$B$2="Yes",Uplifters!AL107,0)</f>
        <v>141026.7648</v>
      </c>
      <c r="AM62" s="10" t="n">
        <f aca="false">IF(Uplifters!$B$2="Yes",Uplifters!AM107,0)</f>
        <v>124955.0464</v>
      </c>
      <c r="AN62" s="10" t="n">
        <f aca="false">IF(Uplifters!$B$2="Yes",Uplifters!AN107,0)</f>
        <v>108883.3408</v>
      </c>
      <c r="AO62" s="10" t="n">
        <f aca="false">IF(Uplifters!$B$2="Yes",Uplifters!AO107,0)</f>
        <v>92811.6288</v>
      </c>
      <c r="AP62" s="10" t="n">
        <f aca="false">IF(Uplifters!$B$2="Yes",Uplifters!AP107,0)</f>
        <v>76739.9104</v>
      </c>
      <c r="AQ62" s="10" t="n">
        <f aca="false">IF(Uplifters!$B$2="Yes",Uplifters!AQ107,0)</f>
        <v>60668.2048</v>
      </c>
      <c r="AR62" s="10" t="n">
        <f aca="false">IF(Uplifters!$B$2="Yes",Uplifters!AR107,0)</f>
        <v>44596.4928</v>
      </c>
      <c r="AS62" s="10" t="n">
        <f aca="false">IF(Uplifters!$B$2="Yes",Uplifters!AS107,0)</f>
        <v>96300.064</v>
      </c>
      <c r="AT62" s="10" t="n">
        <f aca="false">IF(Uplifters!$B$2="Yes",Uplifters!AT107,0)</f>
        <v>79727.808</v>
      </c>
      <c r="AU62" s="10" t="n">
        <f aca="false">IF(Uplifters!$B$2="Yes",Uplifters!AU107,0)</f>
        <v>47083.84</v>
      </c>
      <c r="AV62" s="10" t="n">
        <f aca="false">IF(Uplifters!$B$2="Yes",Uplifters!AV107,0)</f>
        <v>46583.2896</v>
      </c>
      <c r="AW62" s="10" t="n">
        <f aca="false">IF(Uplifters!$B$2="Yes",Uplifters!AW107,0)</f>
        <v>46082.7328</v>
      </c>
      <c r="AX62" s="10" t="n">
        <f aca="false">IF(Uplifters!$B$2="Yes",Uplifters!AX107,0)</f>
        <v>45582.1888</v>
      </c>
      <c r="AY62" s="10" t="n">
        <f aca="false">IF(Uplifters!$B$2="Yes",Uplifters!AY107,0)</f>
        <v>45081.6384</v>
      </c>
      <c r="AZ62" s="10" t="n">
        <f aca="false">IF(Uplifters!$B$2="Yes",Uplifters!AZ107,0)</f>
        <v>44581.088</v>
      </c>
      <c r="BA62" s="10" t="n">
        <f aca="false">IF(Uplifters!$B$2="Yes",Uplifters!BA107,0)</f>
        <v>44080.5376</v>
      </c>
      <c r="BB62" s="10" t="n">
        <f aca="false">IF(Uplifters!$B$2="Yes",Uplifters!BB107,0)</f>
        <v>43579.9872</v>
      </c>
      <c r="BC62" s="10" t="n">
        <f aca="false">IF(Uplifters!$B$2="Yes",Uplifters!BC107,0)</f>
        <v>43079.4368</v>
      </c>
      <c r="BD62" s="10" t="n">
        <f aca="false">IF(Uplifters!$B$2="Yes",Uplifters!BD107,0)</f>
        <v>42578.8864</v>
      </c>
      <c r="BE62" s="10" t="n">
        <f aca="false">IF(Uplifters!$B$2="Yes",Uplifters!BE107,0)</f>
        <v>42078.336</v>
      </c>
      <c r="BF62" s="10" t="n">
        <f aca="false">IF(Uplifters!$B$2="Yes",Uplifters!BF107,0)</f>
        <v>41577.7856</v>
      </c>
      <c r="BG62" s="10" t="n">
        <f aca="false">IF(Uplifters!$B$2="Yes",Uplifters!BG107,0)</f>
        <v>41077.2416</v>
      </c>
      <c r="BH62" s="10" t="n">
        <f aca="false">IF(Uplifters!$B$2="Yes",Uplifters!BH107,0)</f>
        <v>69777.4848</v>
      </c>
      <c r="BI62" s="10" t="n">
        <f aca="false">IF(Uplifters!$B$2="Yes",Uplifters!BI107,0)</f>
        <v>69276.9344</v>
      </c>
      <c r="BJ62" s="10" t="n">
        <f aca="false">IF(Uplifters!$B$2="Yes",Uplifters!BJ107,0)</f>
        <v>136551.6736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43614.58</v>
      </c>
      <c r="H63" s="34" t="n">
        <f aca="false">SUM(H46:H62)</f>
        <v>42781.25</v>
      </c>
      <c r="I63" s="34" t="n">
        <f aca="false">SUM(I46:I62)</f>
        <v>42781.25</v>
      </c>
      <c r="J63" s="34" t="n">
        <f aca="false">SUM(J46:J62)</f>
        <v>33406.25</v>
      </c>
      <c r="K63" s="34" t="n">
        <f aca="false">SUM(K46:K62)</f>
        <v>33406.25</v>
      </c>
      <c r="L63" s="34" t="n">
        <f aca="false">SUM(L46:L62)</f>
        <v>45538.0804</v>
      </c>
      <c r="M63" s="34" t="n">
        <f aca="false">SUM(M46:M62)</f>
        <v>45538.0804</v>
      </c>
      <c r="N63" s="34" t="n">
        <f aca="false">SUM(N46:N62)</f>
        <v>45538.0804</v>
      </c>
      <c r="O63" s="34" t="n">
        <f aca="false">SUM(O46:O62)</f>
        <v>45538.0804</v>
      </c>
      <c r="P63" s="34" t="n">
        <f aca="false">SUM(P46:P62)</f>
        <v>45538.0804</v>
      </c>
      <c r="Q63" s="34" t="n">
        <f aca="false">SUM(Q46:Q62)</f>
        <v>45538.0804</v>
      </c>
      <c r="R63" s="34" t="n">
        <f aca="false">SUM(R46:R62)</f>
        <v>25703.6928</v>
      </c>
      <c r="S63" s="34" t="n">
        <f aca="false">SUM(S46:S62)</f>
        <v>42275.9552</v>
      </c>
      <c r="T63" s="34" t="n">
        <f aca="false">SUM(T46:T62)</f>
        <v>58848.2176</v>
      </c>
      <c r="U63" s="34" t="n">
        <f aca="false">SUM(U46:U62)</f>
        <v>75420.4736</v>
      </c>
      <c r="V63" s="34" t="n">
        <f aca="false">SUM(V46:V62)</f>
        <v>91992.7424</v>
      </c>
      <c r="W63" s="34" t="n">
        <f aca="false">SUM(W46:W62)</f>
        <v>165939.9984</v>
      </c>
      <c r="X63" s="34" t="n">
        <f aca="false">SUM(X46:X62)</f>
        <v>125137.2544</v>
      </c>
      <c r="Y63" s="34" t="n">
        <f aca="false">SUM(Y46:Y62)</f>
        <v>141709.5168</v>
      </c>
      <c r="Z63" s="34" t="n">
        <f aca="false">SUM(Z46:Z62)</f>
        <v>215656.7856</v>
      </c>
      <c r="AA63" s="34" t="n">
        <f aca="false">SUM(AA46:AA62)</f>
        <v>174854.0416</v>
      </c>
      <c r="AB63" s="34" t="n">
        <f aca="false">SUM(AB46:AB62)</f>
        <v>191426.3104</v>
      </c>
      <c r="AC63" s="34" t="n">
        <f aca="false">SUM(AC46:AC62)</f>
        <v>294205.7904</v>
      </c>
      <c r="AD63" s="34" t="n">
        <f aca="false">SUM(AD46:AD62)</f>
        <v>179666.8864</v>
      </c>
      <c r="AE63" s="34" t="n">
        <f aca="false">SUM(AE46:AE62)</f>
        <v>180167.4432</v>
      </c>
      <c r="AF63" s="34" t="n">
        <f aca="false">SUM(AF46:AF62)</f>
        <v>180667.9872</v>
      </c>
      <c r="AG63" s="34" t="n">
        <f aca="false">SUM(AG46:AG62)</f>
        <v>171668.5376</v>
      </c>
      <c r="AH63" s="34" t="n">
        <f aca="false">SUM(AH46:AH62)</f>
        <v>172169.0816</v>
      </c>
      <c r="AI63" s="34" t="n">
        <f aca="false">SUM(AI46:AI62)</f>
        <v>189241.8944</v>
      </c>
      <c r="AJ63" s="34" t="n">
        <f aca="false">SUM(AJ46:AJ62)</f>
        <v>173170.1888</v>
      </c>
      <c r="AK63" s="34" t="n">
        <f aca="false">SUM(AK46:AK62)</f>
        <v>157098.4768</v>
      </c>
      <c r="AL63" s="34" t="n">
        <f aca="false">SUM(AL46:AL62)</f>
        <v>141026.7648</v>
      </c>
      <c r="AM63" s="34" t="n">
        <f aca="false">SUM(AM46:AM62)</f>
        <v>124955.0464</v>
      </c>
      <c r="AN63" s="34" t="n">
        <f aca="false">SUM(AN46:AN62)</f>
        <v>108883.3408</v>
      </c>
      <c r="AO63" s="34" t="n">
        <f aca="false">SUM(AO46:AO62)</f>
        <v>92811.6288</v>
      </c>
      <c r="AP63" s="34" t="n">
        <f aca="false">SUM(AP46:AP62)</f>
        <v>76739.9104</v>
      </c>
      <c r="AQ63" s="34" t="n">
        <f aca="false">SUM(AQ46:AQ62)</f>
        <v>60668.2048</v>
      </c>
      <c r="AR63" s="34" t="n">
        <f aca="false">SUM(AR46:AR62)</f>
        <v>126279.4928</v>
      </c>
      <c r="AS63" s="34" t="n">
        <f aca="false">SUM(AS46:AS62)</f>
        <v>96300.064</v>
      </c>
      <c r="AT63" s="34" t="n">
        <f aca="false">SUM(AT46:AT62)</f>
        <v>79727.808</v>
      </c>
      <c r="AU63" s="34" t="n">
        <f aca="false">SUM(AU46:AU62)</f>
        <v>128765.84</v>
      </c>
      <c r="AV63" s="34" t="n">
        <f aca="false">SUM(AV46:AV62)</f>
        <v>46583.2896</v>
      </c>
      <c r="AW63" s="34" t="n">
        <f aca="false">SUM(AW46:AW62)</f>
        <v>46082.7328</v>
      </c>
      <c r="AX63" s="34" t="n">
        <f aca="false">SUM(AX46:AX62)</f>
        <v>127264.1888</v>
      </c>
      <c r="AY63" s="34" t="n">
        <f aca="false">SUM(AY46:AY62)</f>
        <v>45081.6384</v>
      </c>
      <c r="AZ63" s="34" t="n">
        <f aca="false">SUM(AZ46:AZ62)</f>
        <v>44581.088</v>
      </c>
      <c r="BA63" s="34" t="n">
        <f aca="false">SUM(BA46:BA62)</f>
        <v>977601.5376</v>
      </c>
      <c r="BB63" s="34" t="n">
        <f aca="false">SUM(BB46:BB62)</f>
        <v>43579.9872</v>
      </c>
      <c r="BC63" s="34" t="n">
        <f aca="false">SUM(BC46:BC62)</f>
        <v>43079.4368</v>
      </c>
      <c r="BD63" s="34" t="n">
        <f aca="false">SUM(BD46:BD62)</f>
        <v>173456.8864</v>
      </c>
      <c r="BE63" s="34" t="n">
        <f aca="false">SUM(BE46:BE62)</f>
        <v>42078.336</v>
      </c>
      <c r="BF63" s="34" t="n">
        <f aca="false">SUM(BF46:BF62)</f>
        <v>41577.7856</v>
      </c>
      <c r="BG63" s="34" t="n">
        <f aca="false">SUM(BG46:BG62)</f>
        <v>171953.2416</v>
      </c>
      <c r="BH63" s="34" t="n">
        <f aca="false">SUM(BH46:BH62)</f>
        <v>69777.4848</v>
      </c>
      <c r="BI63" s="34" t="n">
        <f aca="false">SUM(BI46:BI62)</f>
        <v>69276.9344</v>
      </c>
      <c r="BJ63" s="34" t="n">
        <f aca="false">SUM(BJ46:BJ62)</f>
        <v>267427.6736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-0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-0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-119564.583333333</v>
      </c>
      <c r="H84" s="12" t="n">
        <f aca="false">H65+H66+H67+H68+H69+SUM(H70:H83)</f>
        <v>-119564.583333333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-75950.0033333333</v>
      </c>
      <c r="H86" s="16" t="n">
        <f aca="false">H63+H84</f>
        <v>-76783.3333333333</v>
      </c>
      <c r="I86" s="16" t="n">
        <f aca="false">I63+I84</f>
        <v>-76783.3333333333</v>
      </c>
      <c r="J86" s="16" t="n">
        <f aca="false">J63+J84</f>
        <v>-86158.3333333333</v>
      </c>
      <c r="K86" s="16" t="n">
        <f aca="false">K63+K84</f>
        <v>-107158.333333333</v>
      </c>
      <c r="L86" s="16" t="n">
        <f aca="false">L63+L84</f>
        <v>-74026.5029333333</v>
      </c>
      <c r="M86" s="16" t="n">
        <f aca="false">M63+M84</f>
        <v>-74026.5029333333</v>
      </c>
      <c r="N86" s="16" t="n">
        <f aca="false">N63+N84</f>
        <v>-74026.5029333333</v>
      </c>
      <c r="O86" s="16" t="n">
        <f aca="false">O63+O84</f>
        <v>-76417.7946</v>
      </c>
      <c r="P86" s="16" t="n">
        <f aca="false">P63+P84</f>
        <v>-76417.7946</v>
      </c>
      <c r="Q86" s="16" t="n">
        <f aca="false">Q63+Q84</f>
        <v>-76417.7946</v>
      </c>
      <c r="R86" s="16" t="n">
        <f aca="false">R63+R84</f>
        <v>-119712.1822</v>
      </c>
      <c r="S86" s="16" t="n">
        <f aca="false">S63+S84</f>
        <v>-79679.9198</v>
      </c>
      <c r="T86" s="16" t="n">
        <f aca="false">T63+T84</f>
        <v>-63107.6574</v>
      </c>
      <c r="U86" s="16" t="n">
        <f aca="false">U63+U84</f>
        <v>-46535.4014</v>
      </c>
      <c r="V86" s="16" t="n">
        <f aca="false">V63+V84</f>
        <v>-29963.1326</v>
      </c>
      <c r="W86" s="16" t="n">
        <f aca="false">W63+W84</f>
        <v>22564.1234</v>
      </c>
      <c r="X86" s="16" t="n">
        <f aca="false">X63+X84</f>
        <v>3181.37939999999</v>
      </c>
      <c r="Y86" s="16" t="n">
        <f aca="false">Y63+Y84</f>
        <v>19753.6418</v>
      </c>
      <c r="Z86" s="16" t="n">
        <f aca="false">Z63+Z84</f>
        <v>93700.9106</v>
      </c>
      <c r="AA86" s="16" t="n">
        <f aca="false">AA63+AA84</f>
        <v>50459.0491</v>
      </c>
      <c r="AB86" s="16" t="n">
        <f aca="false">AB63+AB84</f>
        <v>67031.3179</v>
      </c>
      <c r="AC86" s="16" t="n">
        <f aca="false">AC63+AC84</f>
        <v>169810.7979</v>
      </c>
      <c r="AD86" s="16" t="n">
        <f aca="false">AD63+AD84</f>
        <v>31342.6939</v>
      </c>
      <c r="AE86" s="16" t="n">
        <f aca="false">AE63+AE84</f>
        <v>55772.4507</v>
      </c>
      <c r="AF86" s="16" t="n">
        <f aca="false">AF63+AF84</f>
        <v>56272.9947</v>
      </c>
      <c r="AG86" s="16" t="n">
        <f aca="false">AG63+AG84</f>
        <v>47273.5451</v>
      </c>
      <c r="AH86" s="16" t="n">
        <f aca="false">AH63+AH84</f>
        <v>47774.0891</v>
      </c>
      <c r="AI86" s="16" t="n">
        <f aca="false">AI63+AI84</f>
        <v>42998.5019</v>
      </c>
      <c r="AJ86" s="16" t="n">
        <f aca="false">AJ63+AJ84</f>
        <v>48775.1963</v>
      </c>
      <c r="AK86" s="16" t="n">
        <f aca="false">AK63+AK84</f>
        <v>32703.4843</v>
      </c>
      <c r="AL86" s="16" t="n">
        <f aca="false">AL63+AL84</f>
        <v>16631.7723</v>
      </c>
      <c r="AM86" s="16" t="n">
        <f aca="false">AM63+AM84</f>
        <v>-1927.84595</v>
      </c>
      <c r="AN86" s="16" t="n">
        <f aca="false">AN63+AN84</f>
        <v>-17999.55155</v>
      </c>
      <c r="AO86" s="16" t="n">
        <f aca="false">AO63+AO84</f>
        <v>-34071.26355</v>
      </c>
      <c r="AP86" s="16" t="n">
        <f aca="false">AP63+AP84</f>
        <v>-74550.76595</v>
      </c>
      <c r="AQ86" s="16" t="n">
        <f aca="false">AQ63+AQ84</f>
        <v>-66214.68755</v>
      </c>
      <c r="AR86" s="16" t="n">
        <f aca="false">AR63+AR84</f>
        <v>-82286.39955</v>
      </c>
      <c r="AS86" s="16" t="n">
        <f aca="false">AS63+AS84</f>
        <v>-30582.82835</v>
      </c>
      <c r="AT86" s="16" t="n">
        <f aca="false">AT63+AT84</f>
        <v>-47155.08435</v>
      </c>
      <c r="AU86" s="16" t="n">
        <f aca="false">AU63+AU84</f>
        <v>-102084.42035</v>
      </c>
      <c r="AV86" s="16" t="n">
        <f aca="false">AV63+AV84</f>
        <v>-80299.60275</v>
      </c>
      <c r="AW86" s="16" t="n">
        <f aca="false">AW63+AW84</f>
        <v>-80800.15955</v>
      </c>
      <c r="AX86" s="16" t="n">
        <f aca="false">AX63+AX84</f>
        <v>-81300.70355</v>
      </c>
      <c r="AY86" s="16" t="n">
        <f aca="false">AY63+AY84</f>
        <v>-84338.911797</v>
      </c>
      <c r="AZ86" s="16" t="n">
        <f aca="false">AZ63+AZ84</f>
        <v>-84839.462197</v>
      </c>
      <c r="BA86" s="16" t="n">
        <f aca="false">BA63+BA84</f>
        <v>-85340.0125969999</v>
      </c>
      <c r="BB86" s="16" t="n">
        <f aca="false">BB63+BB84</f>
        <v>-110736.502677</v>
      </c>
      <c r="BC86" s="16" t="n">
        <f aca="false">BC63+BC84</f>
        <v>-86341.113397</v>
      </c>
      <c r="BD86" s="16" t="n">
        <f aca="false">BD63+BD84</f>
        <v>-86841.663797</v>
      </c>
      <c r="BE86" s="16" t="n">
        <f aca="false">BE63+BE84</f>
        <v>-87342.214197</v>
      </c>
      <c r="BF86" s="16" t="n">
        <f aca="false">BF63+BF84</f>
        <v>-87842.764597</v>
      </c>
      <c r="BG86" s="16" t="n">
        <f aca="false">BG63+BG84</f>
        <v>-111074.383957</v>
      </c>
      <c r="BH86" s="16" t="n">
        <f aca="false">BH63+BH84</f>
        <v>-59643.065397</v>
      </c>
      <c r="BI86" s="16" t="n">
        <f aca="false">BI63+BI84</f>
        <v>-60143.615797</v>
      </c>
      <c r="BJ86" s="16" t="n">
        <f aca="false">BJ63+BJ84</f>
        <v>7131.12340300001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570284.316985646</v>
      </c>
      <c r="H89" s="10" t="n">
        <f aca="false">H12</f>
        <v>570284.316985646</v>
      </c>
      <c r="I89" s="10" t="n">
        <f aca="false">I12</f>
        <v>1153856.48987241</v>
      </c>
      <c r="J89" s="10" t="n">
        <f aca="false">J12</f>
        <v>1131426.74081938</v>
      </c>
      <c r="K89" s="10" t="n">
        <f aca="false">K12</f>
        <v>751838.665819378</v>
      </c>
      <c r="L89" s="10" t="n">
        <f aca="false">L12</f>
        <v>751838.665819378</v>
      </c>
      <c r="M89" s="10" t="n">
        <f aca="false">M12</f>
        <v>751838.665819378</v>
      </c>
      <c r="N89" s="10" t="n">
        <f aca="false">N12</f>
        <v>751838.665819378</v>
      </c>
      <c r="O89" s="10" t="n">
        <f aca="false">O12</f>
        <v>1602305.25369817</v>
      </c>
      <c r="P89" s="10" t="n">
        <f aca="false">P12</f>
        <v>923303.703698166</v>
      </c>
      <c r="Q89" s="10" t="n">
        <f aca="false">Q12</f>
        <v>923303.703698166</v>
      </c>
      <c r="R89" s="10" t="n">
        <f aca="false">R12</f>
        <v>1051142.86786085</v>
      </c>
      <c r="S89" s="10" t="n">
        <f aca="false">S12</f>
        <v>697508.027860845</v>
      </c>
      <c r="T89" s="10" t="n">
        <f aca="false">T12</f>
        <v>697508.027860845</v>
      </c>
      <c r="U89" s="10" t="n">
        <f aca="false">U12</f>
        <v>1015996.57838716</v>
      </c>
      <c r="V89" s="10" t="n">
        <f aca="false">V12</f>
        <v>757994.080492424</v>
      </c>
      <c r="W89" s="10" t="n">
        <f aca="false">W12</f>
        <v>757994.080492424</v>
      </c>
      <c r="X89" s="10" t="n">
        <f aca="false">X12</f>
        <v>757994.080492424</v>
      </c>
      <c r="Y89" s="10" t="n">
        <f aca="false">Y12</f>
        <v>757994.080492424</v>
      </c>
      <c r="Z89" s="10" t="n">
        <f aca="false">Z12</f>
        <v>757994.080492424</v>
      </c>
      <c r="AA89" s="10" t="n">
        <f aca="false">AA12</f>
        <v>757994.080492424</v>
      </c>
      <c r="AB89" s="10" t="n">
        <f aca="false">AB12</f>
        <v>676500.228817783</v>
      </c>
      <c r="AC89" s="10" t="n">
        <f aca="false">AC12</f>
        <v>1453466.04215112</v>
      </c>
      <c r="AD89" s="10" t="n">
        <f aca="false">AD12</f>
        <v>833146.562151116</v>
      </c>
      <c r="AE89" s="10" t="n">
        <f aca="false">AE12</f>
        <v>833146.562151116</v>
      </c>
      <c r="AF89" s="10" t="n">
        <f aca="false">AF12</f>
        <v>833146.562151116</v>
      </c>
      <c r="AG89" s="10" t="n">
        <f aca="false">AG12</f>
        <v>833146.562151116</v>
      </c>
      <c r="AH89" s="10" t="n">
        <f aca="false">AH12</f>
        <v>732467.561204147</v>
      </c>
      <c r="AI89" s="10" t="n">
        <f aca="false">AI12</f>
        <v>732467.561204147</v>
      </c>
      <c r="AJ89" s="10" t="n">
        <f aca="false">AJ12</f>
        <v>569708.288476874</v>
      </c>
      <c r="AK89" s="10" t="n">
        <f aca="false">AK12</f>
        <v>478919.077950558</v>
      </c>
      <c r="AL89" s="10" t="n">
        <f aca="false">AL12</f>
        <v>478919.077950558</v>
      </c>
      <c r="AM89" s="10" t="n">
        <f aca="false">AM12</f>
        <v>418900.581738437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43614.58</v>
      </c>
      <c r="H90" s="10" t="n">
        <f aca="false">H63</f>
        <v>42781.25</v>
      </c>
      <c r="I90" s="10" t="n">
        <f aca="false">I63</f>
        <v>42781.25</v>
      </c>
      <c r="J90" s="10" t="n">
        <f aca="false">J63</f>
        <v>33406.25</v>
      </c>
      <c r="K90" s="10" t="n">
        <f aca="false">K63</f>
        <v>33406.25</v>
      </c>
      <c r="L90" s="10" t="n">
        <f aca="false">L63</f>
        <v>45538.0804</v>
      </c>
      <c r="M90" s="10" t="n">
        <f aca="false">M63</f>
        <v>45538.0804</v>
      </c>
      <c r="N90" s="10" t="n">
        <f aca="false">N63</f>
        <v>45538.0804</v>
      </c>
      <c r="O90" s="10" t="n">
        <f aca="false">O63</f>
        <v>45538.0804</v>
      </c>
      <c r="P90" s="10" t="n">
        <f aca="false">P63</f>
        <v>45538.0804</v>
      </c>
      <c r="Q90" s="10" t="n">
        <f aca="false">Q63</f>
        <v>45538.0804</v>
      </c>
      <c r="R90" s="10" t="n">
        <f aca="false">R63</f>
        <v>25703.6928</v>
      </c>
      <c r="S90" s="10" t="n">
        <f aca="false">S63</f>
        <v>42275.9552</v>
      </c>
      <c r="T90" s="10" t="n">
        <f aca="false">T63</f>
        <v>58848.2176</v>
      </c>
      <c r="U90" s="10" t="n">
        <f aca="false">U63</f>
        <v>75420.4736</v>
      </c>
      <c r="V90" s="10" t="n">
        <f aca="false">V63</f>
        <v>91992.7424</v>
      </c>
      <c r="W90" s="10" t="n">
        <f aca="false">W63</f>
        <v>165939.9984</v>
      </c>
      <c r="X90" s="10" t="n">
        <f aca="false">X63</f>
        <v>125137.2544</v>
      </c>
      <c r="Y90" s="10" t="n">
        <f aca="false">Y63</f>
        <v>141709.5168</v>
      </c>
      <c r="Z90" s="10" t="n">
        <f aca="false">Z63</f>
        <v>215656.7856</v>
      </c>
      <c r="AA90" s="10" t="n">
        <f aca="false">AA63</f>
        <v>174854.0416</v>
      </c>
      <c r="AB90" s="10" t="n">
        <f aca="false">AB63</f>
        <v>191426.3104</v>
      </c>
      <c r="AC90" s="10" t="n">
        <f aca="false">AC63</f>
        <v>294205.7904</v>
      </c>
      <c r="AD90" s="10" t="n">
        <f aca="false">AD63</f>
        <v>179666.8864</v>
      </c>
      <c r="AE90" s="10" t="n">
        <f aca="false">AE63</f>
        <v>180167.4432</v>
      </c>
      <c r="AF90" s="10" t="n">
        <f aca="false">AF63</f>
        <v>180667.9872</v>
      </c>
      <c r="AG90" s="10" t="n">
        <f aca="false">AG63</f>
        <v>171668.5376</v>
      </c>
      <c r="AH90" s="10" t="n">
        <f aca="false">AH63</f>
        <v>172169.0816</v>
      </c>
      <c r="AI90" s="10" t="n">
        <f aca="false">AI63</f>
        <v>189241.8944</v>
      </c>
      <c r="AJ90" s="10" t="n">
        <f aca="false">AJ63</f>
        <v>173170.1888</v>
      </c>
      <c r="AK90" s="10" t="n">
        <f aca="false">AK63</f>
        <v>157098.4768</v>
      </c>
      <c r="AL90" s="10" t="n">
        <f aca="false">AL63</f>
        <v>141026.7648</v>
      </c>
      <c r="AM90" s="10" t="n">
        <f aca="false">AM63</f>
        <v>124955.0464</v>
      </c>
      <c r="AN90" s="10" t="n">
        <f aca="false">AN63</f>
        <v>108883.3408</v>
      </c>
      <c r="AO90" s="10" t="n">
        <f aca="false">AO63</f>
        <v>92811.6288</v>
      </c>
      <c r="AP90" s="10" t="n">
        <f aca="false">AP63</f>
        <v>76739.9104</v>
      </c>
      <c r="AQ90" s="10" t="n">
        <f aca="false">AQ63</f>
        <v>60668.2048</v>
      </c>
      <c r="AR90" s="10" t="n">
        <f aca="false">AR63</f>
        <v>126279.4928</v>
      </c>
      <c r="AS90" s="10" t="n">
        <f aca="false">AS63</f>
        <v>96300.064</v>
      </c>
      <c r="AT90" s="10" t="n">
        <f aca="false">AT63</f>
        <v>79727.808</v>
      </c>
      <c r="AU90" s="10" t="n">
        <f aca="false">AU63</f>
        <v>128765.84</v>
      </c>
      <c r="AV90" s="10" t="n">
        <f aca="false">AV63</f>
        <v>46583.2896</v>
      </c>
      <c r="AW90" s="10" t="n">
        <f aca="false">AW63</f>
        <v>46082.7328</v>
      </c>
      <c r="AX90" s="10" t="n">
        <f aca="false">AX63</f>
        <v>127264.1888</v>
      </c>
      <c r="AY90" s="10" t="n">
        <f aca="false">AY63</f>
        <v>45081.6384</v>
      </c>
      <c r="AZ90" s="10" t="n">
        <f aca="false">AZ63</f>
        <v>44581.088</v>
      </c>
      <c r="BA90" s="10" t="n">
        <f aca="false">BA63</f>
        <v>977601.5376</v>
      </c>
      <c r="BB90" s="10" t="n">
        <f aca="false">BB63</f>
        <v>43579.9872</v>
      </c>
      <c r="BC90" s="10" t="n">
        <f aca="false">BC63</f>
        <v>43079.4368</v>
      </c>
      <c r="BD90" s="10" t="n">
        <f aca="false">BD63</f>
        <v>173456.8864</v>
      </c>
      <c r="BE90" s="10" t="n">
        <f aca="false">BE63</f>
        <v>42078.336</v>
      </c>
      <c r="BF90" s="10" t="n">
        <f aca="false">BF63</f>
        <v>41577.7856</v>
      </c>
      <c r="BG90" s="10" t="n">
        <f aca="false">BG63</f>
        <v>171953.2416</v>
      </c>
      <c r="BH90" s="10" t="n">
        <f aca="false">BH63</f>
        <v>69777.4848</v>
      </c>
      <c r="BI90" s="10" t="n">
        <f aca="false">BI63</f>
        <v>69276.9344</v>
      </c>
      <c r="BJ90" s="10" t="n">
        <f aca="false">BJ63</f>
        <v>267427.6736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613898.896985646</v>
      </c>
      <c r="H91" s="12" t="n">
        <f aca="false">H89+H90</f>
        <v>613065.566985646</v>
      </c>
      <c r="I91" s="12" t="n">
        <f aca="false">I89+I90</f>
        <v>1196637.73987241</v>
      </c>
      <c r="J91" s="12" t="n">
        <f aca="false">J89+J90</f>
        <v>1164832.99081938</v>
      </c>
      <c r="K91" s="12" t="n">
        <f aca="false">K89+K90</f>
        <v>785244.915819378</v>
      </c>
      <c r="L91" s="12" t="n">
        <f aca="false">L89+L90</f>
        <v>797376.746219378</v>
      </c>
      <c r="M91" s="12" t="n">
        <f aca="false">M89+M90</f>
        <v>797376.746219378</v>
      </c>
      <c r="N91" s="12" t="n">
        <f aca="false">N89+N90</f>
        <v>797376.746219378</v>
      </c>
      <c r="O91" s="12" t="n">
        <f aca="false">O89+O90</f>
        <v>1647843.33409817</v>
      </c>
      <c r="P91" s="12" t="n">
        <f aca="false">P89+P90</f>
        <v>968841.784098166</v>
      </c>
      <c r="Q91" s="12" t="n">
        <f aca="false">Q89+Q90</f>
        <v>968841.784098166</v>
      </c>
      <c r="R91" s="12" t="n">
        <f aca="false">R89+R90</f>
        <v>1076846.56066085</v>
      </c>
      <c r="S91" s="12" t="n">
        <f aca="false">S89+S90</f>
        <v>739783.983060845</v>
      </c>
      <c r="T91" s="12" t="n">
        <f aca="false">T89+T90</f>
        <v>756356.245460845</v>
      </c>
      <c r="U91" s="12" t="n">
        <f aca="false">U89+U90</f>
        <v>1091417.05198716</v>
      </c>
      <c r="V91" s="12" t="n">
        <f aca="false">V89+V90</f>
        <v>849986.822892424</v>
      </c>
      <c r="W91" s="12" t="n">
        <f aca="false">W89+W90</f>
        <v>923934.078892424</v>
      </c>
      <c r="X91" s="12" t="n">
        <f aca="false">X89+X90</f>
        <v>883131.334892424</v>
      </c>
      <c r="Y91" s="12" t="n">
        <f aca="false">Y89+Y90</f>
        <v>899703.597292424</v>
      </c>
      <c r="Z91" s="12" t="n">
        <f aca="false">Z89+Z90</f>
        <v>973650.866092424</v>
      </c>
      <c r="AA91" s="12" t="n">
        <f aca="false">AA89+AA90</f>
        <v>932848.122092424</v>
      </c>
      <c r="AB91" s="12" t="n">
        <f aca="false">AB89+AB90</f>
        <v>867926.539217783</v>
      </c>
      <c r="AC91" s="12" t="n">
        <f aca="false">AC89+AC90</f>
        <v>1747671.83255112</v>
      </c>
      <c r="AD91" s="12" t="n">
        <f aca="false">AD89+AD90</f>
        <v>1012813.44855112</v>
      </c>
      <c r="AE91" s="12" t="n">
        <f aca="false">AE89+AE90</f>
        <v>1013314.00535112</v>
      </c>
      <c r="AF91" s="12" t="n">
        <f aca="false">AF89+AF90</f>
        <v>1013814.54935112</v>
      </c>
      <c r="AG91" s="12" t="n">
        <f aca="false">AG89+AG90</f>
        <v>1004815.09975112</v>
      </c>
      <c r="AH91" s="12" t="n">
        <f aca="false">AH89+AH90</f>
        <v>904636.642804147</v>
      </c>
      <c r="AI91" s="12" t="n">
        <f aca="false">AI89+AI90</f>
        <v>921709.455604147</v>
      </c>
      <c r="AJ91" s="12" t="n">
        <f aca="false">AJ89+AJ90</f>
        <v>742878.477276874</v>
      </c>
      <c r="AK91" s="12" t="n">
        <f aca="false">AK89+AK90</f>
        <v>636017.554750558</v>
      </c>
      <c r="AL91" s="12" t="n">
        <f aca="false">AL89+AL90</f>
        <v>619945.842750558</v>
      </c>
      <c r="AM91" s="12" t="n">
        <f aca="false">AM89+AM90</f>
        <v>543855.628138437</v>
      </c>
      <c r="AN91" s="12" t="n">
        <f aca="false">AN89+AN90</f>
        <v>436994.712012121</v>
      </c>
      <c r="AO91" s="12" t="n">
        <f aca="false">AO89+AO90</f>
        <v>420923.000012121</v>
      </c>
      <c r="AP91" s="12" t="n">
        <f aca="false">AP89+AP90</f>
        <v>404851.281612121</v>
      </c>
      <c r="AQ91" s="12" t="n">
        <f aca="false">AQ89+AQ90</f>
        <v>388779.576012121</v>
      </c>
      <c r="AR91" s="12" t="n">
        <f aca="false">AR89+AR90</f>
        <v>454390.864012121</v>
      </c>
      <c r="AS91" s="12" t="n">
        <f aca="false">AS89+AS90</f>
        <v>252946.397333333</v>
      </c>
      <c r="AT91" s="12" t="n">
        <f aca="false">AT89+AT90</f>
        <v>236374.141333333</v>
      </c>
      <c r="AU91" s="12" t="n">
        <f aca="false">AU89+AU90</f>
        <v>285412.173333333</v>
      </c>
      <c r="AV91" s="12" t="n">
        <f aca="false">AV89+AV90</f>
        <v>203229.622933333</v>
      </c>
      <c r="AW91" s="12" t="n">
        <f aca="false">AW89+AW90</f>
        <v>202729.066133333</v>
      </c>
      <c r="AX91" s="12" t="n">
        <f aca="false">AX89+AX90</f>
        <v>283910.522133333</v>
      </c>
      <c r="AY91" s="12" t="n">
        <f aca="false">AY89+AY90</f>
        <v>201727.971733333</v>
      </c>
      <c r="AZ91" s="12" t="n">
        <f aca="false">AZ89+AZ90</f>
        <v>201227.421333333</v>
      </c>
      <c r="BA91" s="12" t="n">
        <f aca="false">BA89+BA90</f>
        <v>1134247.87093333</v>
      </c>
      <c r="BB91" s="12" t="n">
        <f aca="false">BB89+BB90</f>
        <v>200226.320533333</v>
      </c>
      <c r="BC91" s="12" t="n">
        <f aca="false">BC89+BC90</f>
        <v>199725.770133333</v>
      </c>
      <c r="BD91" s="12" t="n">
        <f aca="false">BD89+BD90</f>
        <v>330103.219733333</v>
      </c>
      <c r="BE91" s="12" t="n">
        <f aca="false">BE89+BE90</f>
        <v>198724.669333333</v>
      </c>
      <c r="BF91" s="12" t="n">
        <f aca="false">BF89+BF90</f>
        <v>198224.118933333</v>
      </c>
      <c r="BG91" s="12" t="n">
        <f aca="false">BG89+BG90</f>
        <v>171953.2416</v>
      </c>
      <c r="BH91" s="12" t="n">
        <f aca="false">BH89+BH90</f>
        <v>69777.4848</v>
      </c>
      <c r="BI91" s="12" t="n">
        <f aca="false">BI89+BI90</f>
        <v>69276.9344</v>
      </c>
      <c r="BJ91" s="12" t="n">
        <f aca="false">BJ89+BJ90</f>
        <v>267427.6736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-736775.383533333</v>
      </c>
      <c r="G92" s="10" t="n">
        <f aca="false">G38</f>
        <v>-418808.868333333</v>
      </c>
      <c r="H92" s="10" t="n">
        <f aca="false">H38</f>
        <v>-418808.868333333</v>
      </c>
      <c r="I92" s="10" t="n">
        <f aca="false">I38</f>
        <v>-636891.715333333</v>
      </c>
      <c r="J92" s="10" t="n">
        <f aca="false">J38</f>
        <v>-576158.065333333</v>
      </c>
      <c r="K92" s="10" t="n">
        <f aca="false">K38</f>
        <v>-418808.868333333</v>
      </c>
      <c r="L92" s="10" t="n">
        <f aca="false">L38</f>
        <v>-418808.868333333</v>
      </c>
      <c r="M92" s="10" t="n">
        <f aca="false">M38</f>
        <v>-418808.868333333</v>
      </c>
      <c r="N92" s="10" t="n">
        <f aca="false">N38</f>
        <v>-418808.868333333</v>
      </c>
      <c r="O92" s="10" t="n">
        <f aca="false">O38</f>
        <v>-1898355.0707</v>
      </c>
      <c r="P92" s="10" t="n">
        <f aca="false">P38</f>
        <v>-427185.0457</v>
      </c>
      <c r="Q92" s="10" t="n">
        <f aca="false">Q38</f>
        <v>-427185.0457</v>
      </c>
      <c r="R92" s="10" t="n">
        <f aca="false">R38</f>
        <v>-920533.6157</v>
      </c>
      <c r="S92" s="10" t="n">
        <f aca="false">S38</f>
        <v>-427185.0457</v>
      </c>
      <c r="T92" s="10" t="n">
        <f aca="false">T38</f>
        <v>-427185.0457</v>
      </c>
      <c r="U92" s="10" t="n">
        <f aca="false">U38</f>
        <v>-920533.6157</v>
      </c>
      <c r="V92" s="10" t="n">
        <f aca="false">V38</f>
        <v>-427185.0457</v>
      </c>
      <c r="W92" s="10" t="n">
        <f aca="false">W38</f>
        <v>-427185.0457</v>
      </c>
      <c r="X92" s="10" t="n">
        <f aca="false">X38</f>
        <v>-427185.0457</v>
      </c>
      <c r="Y92" s="10" t="n">
        <f aca="false">Y38</f>
        <v>-427185.0457</v>
      </c>
      <c r="Z92" s="10" t="n">
        <f aca="false">Z38</f>
        <v>-427185.0457</v>
      </c>
      <c r="AA92" s="10" t="n">
        <f aca="false">AA38</f>
        <v>-435728.746614</v>
      </c>
      <c r="AB92" s="10" t="n">
        <f aca="false">AB38</f>
        <v>-435728.746614</v>
      </c>
      <c r="AC92" s="10" t="n">
        <f aca="false">AC38</f>
        <v>-1779754.286614</v>
      </c>
      <c r="AD92" s="10" t="n">
        <f aca="false">AD38</f>
        <v>-435728.746614</v>
      </c>
      <c r="AE92" s="10" t="n">
        <f aca="false">AE38</f>
        <v>-435728.746614</v>
      </c>
      <c r="AF92" s="10" t="n">
        <f aca="false">AF38</f>
        <v>-435728.746614</v>
      </c>
      <c r="AG92" s="10" t="n">
        <f aca="false">AG38</f>
        <v>-435728.746614</v>
      </c>
      <c r="AH92" s="10" t="n">
        <f aca="false">AH38</f>
        <v>-435728.746614</v>
      </c>
      <c r="AI92" s="10" t="n">
        <f aca="false">AI38</f>
        <v>-435728.746614</v>
      </c>
      <c r="AJ92" s="10" t="n">
        <f aca="false">AJ38</f>
        <v>-435728.746614</v>
      </c>
      <c r="AK92" s="10" t="n">
        <f aca="false">AK38</f>
        <v>-435728.746614</v>
      </c>
      <c r="AL92" s="10" t="n">
        <f aca="false">AL38</f>
        <v>-435728.746614</v>
      </c>
      <c r="AM92" s="10" t="n">
        <f aca="false">AM38</f>
        <v>-444443.32154628</v>
      </c>
      <c r="AN92" s="10" t="n">
        <f aca="false">AN38</f>
        <v>-444443.32154628</v>
      </c>
      <c r="AO92" s="10" t="n">
        <f aca="false">AO38</f>
        <v>-444443.32154628</v>
      </c>
      <c r="AP92" s="10" t="n">
        <f aca="false">AP38</f>
        <v>-444443.32154628</v>
      </c>
      <c r="AQ92" s="10" t="n">
        <f aca="false">AQ38</f>
        <v>-444443.32154628</v>
      </c>
      <c r="AR92" s="10" t="n">
        <f aca="false">AR38</f>
        <v>-444443.32154628</v>
      </c>
      <c r="AS92" s="10" t="n">
        <f aca="false">AS38</f>
        <v>-444443.32154628</v>
      </c>
      <c r="AT92" s="10" t="n">
        <f aca="false">AT38</f>
        <v>-444443.32154628</v>
      </c>
      <c r="AU92" s="10" t="n">
        <f aca="false">AU38</f>
        <v>-444443.32154628</v>
      </c>
      <c r="AV92" s="10" t="n">
        <f aca="false">AV38</f>
        <v>-444443.32154628</v>
      </c>
      <c r="AW92" s="10" t="n">
        <f aca="false">AW38</f>
        <v>-444443.32154628</v>
      </c>
      <c r="AX92" s="10" t="n">
        <f aca="false">AX38</f>
        <v>-444443.32154628</v>
      </c>
      <c r="AY92" s="10" t="n">
        <f aca="false">AY38</f>
        <v>-453332.187977206</v>
      </c>
      <c r="AZ92" s="10" t="n">
        <f aca="false">AZ38</f>
        <v>-453332.187977206</v>
      </c>
      <c r="BA92" s="10" t="n">
        <f aca="false">BA38</f>
        <v>-453332.187977206</v>
      </c>
      <c r="BB92" s="10" t="n">
        <f aca="false">BB38</f>
        <v>-453332.187977206</v>
      </c>
      <c r="BC92" s="10" t="n">
        <f aca="false">BC38</f>
        <v>-453332.187977206</v>
      </c>
      <c r="BD92" s="10" t="n">
        <f aca="false">BD38</f>
        <v>-453332.187977206</v>
      </c>
      <c r="BE92" s="10" t="n">
        <f aca="false">BE38</f>
        <v>-453332.187977206</v>
      </c>
      <c r="BF92" s="10" t="n">
        <f aca="false">BF38</f>
        <v>-453332.187977206</v>
      </c>
      <c r="BG92" s="10" t="n">
        <f aca="false">BG38</f>
        <v>-453332.187977206</v>
      </c>
      <c r="BH92" s="10" t="n">
        <f aca="false">BH38</f>
        <v>-453332.187977206</v>
      </c>
      <c r="BI92" s="10" t="n">
        <f aca="false">BI38</f>
        <v>-453332.187977206</v>
      </c>
      <c r="BJ92" s="10" t="n">
        <f aca="false">BJ38</f>
        <v>-453332.187977206</v>
      </c>
      <c r="BK92" s="10" t="n">
        <f aca="false">BK38</f>
        <v>-462398.83173675</v>
      </c>
      <c r="BL92" s="10" t="n">
        <f aca="false">BL38</f>
        <v>-462398.83173675</v>
      </c>
      <c r="BM92" s="10" t="n">
        <f aca="false">BM38</f>
        <v>-462398.83173675</v>
      </c>
      <c r="BN92" s="10" t="n">
        <f aca="false">BN38</f>
        <v>-462398.83173675</v>
      </c>
      <c r="BO92" s="10" t="n">
        <f aca="false">BO38</f>
        <v>-462398.83173675</v>
      </c>
      <c r="BP92" s="10" t="n">
        <f aca="false">BP38</f>
        <v>-462398.83173675</v>
      </c>
      <c r="BQ92" s="10" t="n">
        <f aca="false">BQ38</f>
        <v>-462398.83173675</v>
      </c>
      <c r="BR92" s="10" t="n">
        <f aca="false">BR38</f>
        <v>-462398.83173675</v>
      </c>
      <c r="BS92" s="10" t="n">
        <f aca="false">BS38</f>
        <v>-462398.83173675</v>
      </c>
      <c r="BT92" s="10" t="n">
        <f aca="false">BT38</f>
        <v>-462398.83173675</v>
      </c>
      <c r="BU92" s="10" t="n">
        <f aca="false">BU38</f>
        <v>-462398.83173675</v>
      </c>
      <c r="BV92" s="10" t="n">
        <f aca="false">BV38</f>
        <v>-462398.83173675</v>
      </c>
      <c r="BW92" s="10" t="n">
        <f aca="false">BW38</f>
        <v>-471646.808371485</v>
      </c>
      <c r="BX92" s="10" t="n">
        <f aca="false">BX38</f>
        <v>-471646.808371485</v>
      </c>
      <c r="BY92" s="10" t="n">
        <f aca="false">BY38</f>
        <v>-471646.808371485</v>
      </c>
      <c r="BZ92" s="10" t="n">
        <f aca="false">BZ38</f>
        <v>-471646.808371485</v>
      </c>
      <c r="CA92" s="10" t="n">
        <f aca="false">CA38</f>
        <v>-471646.808371485</v>
      </c>
      <c r="CB92" s="10" t="n">
        <f aca="false">CB38</f>
        <v>-471646.808371485</v>
      </c>
      <c r="CC92" s="10" t="n">
        <f aca="false">CC38</f>
        <v>-471646.808371485</v>
      </c>
      <c r="CD92" s="10" t="n">
        <f aca="false">CD38</f>
        <v>-471646.808371485</v>
      </c>
      <c r="CE92" s="10" t="n">
        <f aca="false">CE38</f>
        <v>-471646.808371485</v>
      </c>
      <c r="CF92" s="10" t="n">
        <f aca="false">CF38</f>
        <v>-471646.808371485</v>
      </c>
      <c r="CG92" s="10" t="n">
        <f aca="false">CG38</f>
        <v>-471646.808371485</v>
      </c>
      <c r="CH92" s="10" t="n">
        <f aca="false">CH38</f>
        <v>-471646.808371485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-119564.583333333</v>
      </c>
      <c r="H93" s="10" t="n">
        <f aca="false">H84</f>
        <v>-119564.583333333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-879339.966866667</v>
      </c>
      <c r="G94" s="12" t="n">
        <f aca="false">G92+G93</f>
        <v>-538373.451666667</v>
      </c>
      <c r="H94" s="12" t="n">
        <f aca="false">H92+H93</f>
        <v>-538373.451666667</v>
      </c>
      <c r="I94" s="12" t="n">
        <f aca="false">I92+I93</f>
        <v>-756456.298666667</v>
      </c>
      <c r="J94" s="12" t="n">
        <f aca="false">J92+J93</f>
        <v>-695722.648666667</v>
      </c>
      <c r="K94" s="12" t="n">
        <f aca="false">K92+K93</f>
        <v>-559373.451666667</v>
      </c>
      <c r="L94" s="12" t="n">
        <f aca="false">L92+L93</f>
        <v>-538373.451666667</v>
      </c>
      <c r="M94" s="12" t="n">
        <f aca="false">M92+M93</f>
        <v>-538373.451666667</v>
      </c>
      <c r="N94" s="12" t="n">
        <f aca="false">N92+N93</f>
        <v>-538373.451666667</v>
      </c>
      <c r="O94" s="12" t="n">
        <f aca="false">O92+O93</f>
        <v>-2020310.9457</v>
      </c>
      <c r="P94" s="12" t="n">
        <f aca="false">P92+P93</f>
        <v>-549140.9207</v>
      </c>
      <c r="Q94" s="12" t="n">
        <f aca="false">Q92+Q93</f>
        <v>-549140.9207</v>
      </c>
      <c r="R94" s="12" t="n">
        <f aca="false">R92+R93</f>
        <v>-1065949.4907</v>
      </c>
      <c r="S94" s="12" t="n">
        <f aca="false">S92+S93</f>
        <v>-549140.9207</v>
      </c>
      <c r="T94" s="12" t="n">
        <f aca="false">T92+T93</f>
        <v>-549140.9207</v>
      </c>
      <c r="U94" s="12" t="n">
        <f aca="false">U92+U93</f>
        <v>-1042489.4907</v>
      </c>
      <c r="V94" s="12" t="n">
        <f aca="false">V92+V93</f>
        <v>-549140.9207</v>
      </c>
      <c r="W94" s="12" t="n">
        <f aca="false">W92+W93</f>
        <v>-570560.9207</v>
      </c>
      <c r="X94" s="12" t="n">
        <f aca="false">X92+X93</f>
        <v>-549140.9207</v>
      </c>
      <c r="Y94" s="12" t="n">
        <f aca="false">Y92+Y93</f>
        <v>-549140.9207</v>
      </c>
      <c r="Z94" s="12" t="n">
        <f aca="false">Z92+Z93</f>
        <v>-549140.9207</v>
      </c>
      <c r="AA94" s="12" t="n">
        <f aca="false">AA92+AA93</f>
        <v>-560123.739114</v>
      </c>
      <c r="AB94" s="12" t="n">
        <f aca="false">AB92+AB93</f>
        <v>-560123.739114</v>
      </c>
      <c r="AC94" s="12" t="n">
        <f aca="false">AC92+AC93</f>
        <v>-1904149.279114</v>
      </c>
      <c r="AD94" s="12" t="n">
        <f aca="false">AD92+AD93</f>
        <v>-584052.939114</v>
      </c>
      <c r="AE94" s="12" t="n">
        <f aca="false">AE92+AE93</f>
        <v>-560123.739114</v>
      </c>
      <c r="AF94" s="12" t="n">
        <f aca="false">AF92+AF93</f>
        <v>-560123.739114</v>
      </c>
      <c r="AG94" s="12" t="n">
        <f aca="false">AG92+AG93</f>
        <v>-560123.739114</v>
      </c>
      <c r="AH94" s="12" t="n">
        <f aca="false">AH92+AH93</f>
        <v>-560123.739114</v>
      </c>
      <c r="AI94" s="12" t="n">
        <f aca="false">AI92+AI93</f>
        <v>-581972.139114</v>
      </c>
      <c r="AJ94" s="12" t="n">
        <f aca="false">AJ92+AJ93</f>
        <v>-560123.739114</v>
      </c>
      <c r="AK94" s="12" t="n">
        <f aca="false">AK92+AK93</f>
        <v>-560123.739114</v>
      </c>
      <c r="AL94" s="12" t="n">
        <f aca="false">AL92+AL93</f>
        <v>-560123.739114</v>
      </c>
      <c r="AM94" s="12" t="n">
        <f aca="false">AM92+AM93</f>
        <v>-571326.21389628</v>
      </c>
      <c r="AN94" s="12" t="n">
        <f aca="false">AN92+AN93</f>
        <v>-571326.21389628</v>
      </c>
      <c r="AO94" s="12" t="n">
        <f aca="false">AO92+AO93</f>
        <v>-571326.21389628</v>
      </c>
      <c r="AP94" s="12" t="n">
        <f aca="false">AP92+AP93</f>
        <v>-595733.99789628</v>
      </c>
      <c r="AQ94" s="12" t="n">
        <f aca="false">AQ92+AQ93</f>
        <v>-571326.21389628</v>
      </c>
      <c r="AR94" s="12" t="n">
        <f aca="false">AR92+AR93</f>
        <v>-653009.21389628</v>
      </c>
      <c r="AS94" s="12" t="n">
        <f aca="false">AS92+AS93</f>
        <v>-571326.21389628</v>
      </c>
      <c r="AT94" s="12" t="n">
        <f aca="false">AT92+AT93</f>
        <v>-571326.21389628</v>
      </c>
      <c r="AU94" s="12" t="n">
        <f aca="false">AU92+AU93</f>
        <v>-675293.58189628</v>
      </c>
      <c r="AV94" s="12" t="n">
        <f aca="false">AV92+AV93</f>
        <v>-571326.21389628</v>
      </c>
      <c r="AW94" s="12" t="n">
        <f aca="false">AW92+AW93</f>
        <v>-571326.21389628</v>
      </c>
      <c r="AX94" s="12" t="n">
        <f aca="false">AX92+AX93</f>
        <v>-653008.21389628</v>
      </c>
      <c r="AY94" s="12" t="n">
        <f aca="false">AY92+AY93</f>
        <v>-582752.738174206</v>
      </c>
      <c r="AZ94" s="12" t="n">
        <f aca="false">AZ92+AZ93</f>
        <v>-582752.738174206</v>
      </c>
      <c r="BA94" s="12" t="n">
        <f aca="false">BA92+BA93</f>
        <v>-1516273.73817421</v>
      </c>
      <c r="BB94" s="12" t="n">
        <f aca="false">BB92+BB93</f>
        <v>-607648.677854206</v>
      </c>
      <c r="BC94" s="12" t="n">
        <f aca="false">BC92+BC93</f>
        <v>-582752.738174206</v>
      </c>
      <c r="BD94" s="12" t="n">
        <f aca="false">BD92+BD93</f>
        <v>-713630.738174206</v>
      </c>
      <c r="BE94" s="12" t="n">
        <f aca="false">BE92+BE93</f>
        <v>-582752.738174206</v>
      </c>
      <c r="BF94" s="12" t="n">
        <f aca="false">BF92+BF93</f>
        <v>-582752.738174206</v>
      </c>
      <c r="BG94" s="12" t="n">
        <f aca="false">BG92+BG93</f>
        <v>-736359.813534206</v>
      </c>
      <c r="BH94" s="12" t="n">
        <f aca="false">BH92+BH93</f>
        <v>-582752.738174206</v>
      </c>
      <c r="BI94" s="12" t="n">
        <f aca="false">BI92+BI93</f>
        <v>-582752.738174206</v>
      </c>
      <c r="BJ94" s="12" t="n">
        <f aca="false">BJ92+BJ93</f>
        <v>-713628.738174206</v>
      </c>
      <c r="BK94" s="12" t="n">
        <f aca="false">BK92+BK93</f>
        <v>-594407.79293769</v>
      </c>
      <c r="BL94" s="12" t="n">
        <f aca="false">BL92+BL93</f>
        <v>-594407.79293769</v>
      </c>
      <c r="BM94" s="12" t="n">
        <f aca="false">BM92+BM93</f>
        <v>-725283.79293769</v>
      </c>
      <c r="BN94" s="12" t="n">
        <f aca="false">BN92+BN93</f>
        <v>-619801.65141129</v>
      </c>
      <c r="BO94" s="12" t="n">
        <f aca="false">BO92+BO93</f>
        <v>-594407.79293769</v>
      </c>
      <c r="BP94" s="12" t="n">
        <f aca="false">BP92+BP93</f>
        <v>-685300.27293769</v>
      </c>
      <c r="BQ94" s="12" t="n">
        <f aca="false">BQ92+BQ93</f>
        <v>-594407.79293769</v>
      </c>
      <c r="BR94" s="12" t="n">
        <f aca="false">BR92+BR93</f>
        <v>-594407.79293769</v>
      </c>
      <c r="BS94" s="12" t="n">
        <f aca="false">BS92+BS93</f>
        <v>-692233.48980489</v>
      </c>
      <c r="BT94" s="12" t="n">
        <f aca="false">BT92+BT93</f>
        <v>-594407.79293769</v>
      </c>
      <c r="BU94" s="12" t="n">
        <f aca="false">BU92+BU93</f>
        <v>-594407.79293769</v>
      </c>
      <c r="BV94" s="12" t="n">
        <f aca="false">BV92+BV93</f>
        <v>-669047.79293769</v>
      </c>
      <c r="BW94" s="12" t="n">
        <f aca="false">BW92+BW93</f>
        <v>-606295.948796444</v>
      </c>
      <c r="BX94" s="12" t="n">
        <f aca="false">BX92+BX93</f>
        <v>-606295.948796444</v>
      </c>
      <c r="BY94" s="12" t="n">
        <f aca="false">BY92+BY93</f>
        <v>-754091.948796444</v>
      </c>
      <c r="BZ94" s="12" t="n">
        <f aca="false">BZ92+BZ93</f>
        <v>-632197.684439516</v>
      </c>
      <c r="CA94" s="12" t="n">
        <f aca="false">CA92+CA93</f>
        <v>-606295.948796444</v>
      </c>
      <c r="CB94" s="12" t="n">
        <f aca="false">CB92+CB93</f>
        <v>-760813.948796444</v>
      </c>
      <c r="CC94" s="12" t="n">
        <f aca="false">CC92+CC93</f>
        <v>-606295.948796444</v>
      </c>
      <c r="CD94" s="12" t="n">
        <f aca="false">CD92+CD93</f>
        <v>-606295.948796444</v>
      </c>
      <c r="CE94" s="12" t="n">
        <f aca="false">CE92+CE93</f>
        <v>-784462.359600988</v>
      </c>
      <c r="CF94" s="12" t="n">
        <f aca="false">CF92+CF93</f>
        <v>-606295.948796444</v>
      </c>
      <c r="CG94" s="12" t="n">
        <f aca="false">CG92+CG93</f>
        <v>-606295.948796444</v>
      </c>
      <c r="CH94" s="12" t="n">
        <f aca="false">CH92+CH93</f>
        <v>-754204.922189964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379085.650118979</v>
      </c>
      <c r="G95" s="16" t="n">
        <f aca="false">G91+G94</f>
        <v>75525.4453189792</v>
      </c>
      <c r="H95" s="16" t="n">
        <f aca="false">H91+H94</f>
        <v>74692.1153189793</v>
      </c>
      <c r="I95" s="16" t="n">
        <f aca="false">I91+I94</f>
        <v>440181.441205741</v>
      </c>
      <c r="J95" s="16" t="n">
        <f aca="false">J91+J94</f>
        <v>469110.342152711</v>
      </c>
      <c r="K95" s="16" t="n">
        <f aca="false">K91+K94</f>
        <v>225871.464152711</v>
      </c>
      <c r="L95" s="16" t="n">
        <f aca="false">L91+L94</f>
        <v>259003.294552711</v>
      </c>
      <c r="M95" s="16" t="n">
        <f aca="false">M91+M94</f>
        <v>259003.294552711</v>
      </c>
      <c r="N95" s="16" t="n">
        <f aca="false">N91+N94</f>
        <v>259003.294552711</v>
      </c>
      <c r="O95" s="16" t="n">
        <f aca="false">O91+O94</f>
        <v>-372467.611601834</v>
      </c>
      <c r="P95" s="16" t="n">
        <f aca="false">P91+P94</f>
        <v>419700.863398166</v>
      </c>
      <c r="Q95" s="16" t="n">
        <f aca="false">Q91+Q94</f>
        <v>419700.863398166</v>
      </c>
      <c r="R95" s="16" t="n">
        <f aca="false">R91+R94</f>
        <v>10897.0699608454</v>
      </c>
      <c r="S95" s="16" t="n">
        <f aca="false">S91+S94</f>
        <v>190643.062360845</v>
      </c>
      <c r="T95" s="16" t="n">
        <f aca="false">T91+T94</f>
        <v>207215.324760845</v>
      </c>
      <c r="U95" s="16" t="n">
        <f aca="false">U91+U94</f>
        <v>48927.5612871609</v>
      </c>
      <c r="V95" s="16" t="n">
        <f aca="false">V91+V94</f>
        <v>300845.902192424</v>
      </c>
      <c r="W95" s="16" t="n">
        <f aca="false">W91+W94</f>
        <v>353373.158192424</v>
      </c>
      <c r="X95" s="16" t="n">
        <f aca="false">X91+X94</f>
        <v>333990.414192424</v>
      </c>
      <c r="Y95" s="16" t="n">
        <f aca="false">Y91+Y94</f>
        <v>350562.676592424</v>
      </c>
      <c r="Z95" s="16" t="n">
        <f aca="false">Z91+Z94</f>
        <v>424509.945392424</v>
      </c>
      <c r="AA95" s="16" t="n">
        <f aca="false">AA91+AA94</f>
        <v>372724.382978424</v>
      </c>
      <c r="AB95" s="16" t="n">
        <f aca="false">AB91+AB94</f>
        <v>307802.800103783</v>
      </c>
      <c r="AC95" s="16" t="n">
        <f aca="false">AC91+AC94</f>
        <v>-156477.446562884</v>
      </c>
      <c r="AD95" s="16" t="n">
        <f aca="false">AD91+AD94</f>
        <v>428760.509437116</v>
      </c>
      <c r="AE95" s="16" t="n">
        <f aca="false">AE91+AE94</f>
        <v>453190.266237116</v>
      </c>
      <c r="AF95" s="16" t="n">
        <f aca="false">AF91+AF94</f>
        <v>453690.810237116</v>
      </c>
      <c r="AG95" s="16" t="n">
        <f aca="false">AG91+AG94</f>
        <v>444691.360637116</v>
      </c>
      <c r="AH95" s="16" t="n">
        <f aca="false">AH91+AH94</f>
        <v>344512.903690147</v>
      </c>
      <c r="AI95" s="16" t="n">
        <f aca="false">AI91+AI94</f>
        <v>339737.316490147</v>
      </c>
      <c r="AJ95" s="16" t="n">
        <f aca="false">AJ91+AJ94</f>
        <v>182754.738162874</v>
      </c>
      <c r="AK95" s="16" t="n">
        <f aca="false">AK91+AK94</f>
        <v>75893.8156365582</v>
      </c>
      <c r="AL95" s="16" t="n">
        <f aca="false">AL91+AL94</f>
        <v>59822.1036365582</v>
      </c>
      <c r="AM95" s="16" t="n">
        <f aca="false">AM91+AM94</f>
        <v>-27470.585757843</v>
      </c>
      <c r="AN95" s="16" t="n">
        <f aca="false">AN91+AN94</f>
        <v>-134331.501884159</v>
      </c>
      <c r="AO95" s="16" t="n">
        <f aca="false">AO91+AO94</f>
        <v>-150403.213884159</v>
      </c>
      <c r="AP95" s="16" t="n">
        <f aca="false">AP91+AP94</f>
        <v>-190882.716284159</v>
      </c>
      <c r="AQ95" s="16" t="n">
        <f aca="false">AQ91+AQ94</f>
        <v>-182546.637884159</v>
      </c>
      <c r="AR95" s="16" t="n">
        <f aca="false">AR91+AR94</f>
        <v>-198618.349884159</v>
      </c>
      <c r="AS95" s="16" t="n">
        <f aca="false">AS91+AS94</f>
        <v>-318379.816562947</v>
      </c>
      <c r="AT95" s="16" t="n">
        <f aca="false">AT91+AT94</f>
        <v>-334952.072562947</v>
      </c>
      <c r="AU95" s="16" t="n">
        <f aca="false">AU91+AU94</f>
        <v>-389881.408562947</v>
      </c>
      <c r="AV95" s="16" t="n">
        <f aca="false">AV91+AV94</f>
        <v>-368096.590962947</v>
      </c>
      <c r="AW95" s="16" t="n">
        <f aca="false">AW91+AW94</f>
        <v>-368597.147762947</v>
      </c>
      <c r="AX95" s="16" t="n">
        <f aca="false">AX91+AX94</f>
        <v>-369097.691762947</v>
      </c>
      <c r="AY95" s="16" t="n">
        <f aca="false">AY91+AY94</f>
        <v>-381024.766440872</v>
      </c>
      <c r="AZ95" s="16" t="n">
        <f aca="false">AZ91+AZ94</f>
        <v>-381525.316840872</v>
      </c>
      <c r="BA95" s="16" t="n">
        <f aca="false">BA91+BA94</f>
        <v>-382025.867240872</v>
      </c>
      <c r="BB95" s="16" t="n">
        <f aca="false">BB91+BB94</f>
        <v>-407422.357320872</v>
      </c>
      <c r="BC95" s="16" t="n">
        <f aca="false">BC91+BC94</f>
        <v>-383026.968040872</v>
      </c>
      <c r="BD95" s="16" t="n">
        <f aca="false">BD91+BD94</f>
        <v>-383527.518440872</v>
      </c>
      <c r="BE95" s="16" t="n">
        <f aca="false">BE91+BE94</f>
        <v>-384028.068840872</v>
      </c>
      <c r="BF95" s="16" t="n">
        <f aca="false">BF91+BF94</f>
        <v>-384528.619240872</v>
      </c>
      <c r="BG95" s="16" t="n">
        <f aca="false">BG91+BG94</f>
        <v>-564406.571934206</v>
      </c>
      <c r="BH95" s="16" t="n">
        <f aca="false">BH91+BH94</f>
        <v>-512975.253374206</v>
      </c>
      <c r="BI95" s="16" t="n">
        <f aca="false">BI91+BI94</f>
        <v>-513475.803774206</v>
      </c>
      <c r="BJ95" s="16" t="n">
        <f aca="false">BJ91+BJ94</f>
        <v>-446201.064574206</v>
      </c>
      <c r="BK95" s="16" t="n">
        <f aca="false">BK91+BK94</f>
        <v>-594407.79293769</v>
      </c>
      <c r="BL95" s="16" t="n">
        <f aca="false">BL91+BL94</f>
        <v>-594407.79293769</v>
      </c>
      <c r="BM95" s="16" t="n">
        <f aca="false">BM91+BM94</f>
        <v>-594407.79293769</v>
      </c>
      <c r="BN95" s="16" t="n">
        <f aca="false">BN91+BN94</f>
        <v>-619801.65141129</v>
      </c>
      <c r="BO95" s="16" t="n">
        <f aca="false">BO91+BO94</f>
        <v>-594407.79293769</v>
      </c>
      <c r="BP95" s="16" t="n">
        <f aca="false">BP91+BP94</f>
        <v>-542894.27293769</v>
      </c>
      <c r="BQ95" s="16" t="n">
        <f aca="false">BQ91+BQ94</f>
        <v>-594407.79293769</v>
      </c>
      <c r="BR95" s="16" t="n">
        <f aca="false">BR91+BR94</f>
        <v>-594407.79293769</v>
      </c>
      <c r="BS95" s="16" t="n">
        <f aca="false">BS91+BS94</f>
        <v>-549831.48980489</v>
      </c>
      <c r="BT95" s="16" t="n">
        <f aca="false">BT91+BT94</f>
        <v>-594407.79293769</v>
      </c>
      <c r="BU95" s="16" t="n">
        <f aca="false">BU91+BU94</f>
        <v>-594407.79293769</v>
      </c>
      <c r="BV95" s="16" t="n">
        <f aca="false">BV91+BV94</f>
        <v>-526645.79293769</v>
      </c>
      <c r="BW95" s="16" t="n">
        <f aca="false">BW91+BW94</f>
        <v>-606295.948796444</v>
      </c>
      <c r="BX95" s="16" t="n">
        <f aca="false">BX91+BX94</f>
        <v>-606295.948796444</v>
      </c>
      <c r="BY95" s="16" t="n">
        <f aca="false">BY91+BY94</f>
        <v>-538533.948796444</v>
      </c>
      <c r="BZ95" s="16" t="n">
        <f aca="false">BZ91+BZ94</f>
        <v>-632197.684439516</v>
      </c>
      <c r="CA95" s="16" t="n">
        <f aca="false">CA91+CA94</f>
        <v>-606295.948796444</v>
      </c>
      <c r="CB95" s="16" t="n">
        <f aca="false">CB91+CB94</f>
        <v>-529796.948796444</v>
      </c>
      <c r="CC95" s="16" t="n">
        <f aca="false">CC91+CC94</f>
        <v>-606295.948796444</v>
      </c>
      <c r="CD95" s="16" t="n">
        <f aca="false">CD91+CD94</f>
        <v>-606295.948796444</v>
      </c>
      <c r="CE95" s="16" t="n">
        <f aca="false">CE91+CE94</f>
        <v>-553446.359600988</v>
      </c>
      <c r="CF95" s="16" t="n">
        <f aca="false">CF91+CF94</f>
        <v>-606295.948796444</v>
      </c>
      <c r="CG95" s="16" t="n">
        <f aca="false">CG91+CG94</f>
        <v>-606295.948796444</v>
      </c>
      <c r="CH95" s="16" t="n">
        <f aca="false">CH91+CH94</f>
        <v>-523188.922189964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250000</v>
      </c>
      <c r="AM105" s="10" t="n">
        <f aca="false">AL107</f>
        <v>250000</v>
      </c>
      <c r="AN105" s="10" t="n">
        <f aca="false">AM107</f>
        <v>250000</v>
      </c>
      <c r="AO105" s="10" t="n">
        <f aca="false">AN107</f>
        <v>250000</v>
      </c>
      <c r="AP105" s="10" t="n">
        <f aca="false">AO107</f>
        <v>250000</v>
      </c>
      <c r="AQ105" s="10" t="n">
        <f aca="false">AP107</f>
        <v>250000</v>
      </c>
      <c r="AR105" s="10" t="n">
        <f aca="false">AQ107</f>
        <v>250000</v>
      </c>
      <c r="AS105" s="10" t="n">
        <f aca="false">AR107</f>
        <v>250000</v>
      </c>
      <c r="AT105" s="10" t="n">
        <f aca="false">AS107</f>
        <v>250000</v>
      </c>
      <c r="AU105" s="10" t="n">
        <f aca="false">AT107</f>
        <v>250000</v>
      </c>
      <c r="AV105" s="10" t="n">
        <f aca="false">AU107</f>
        <v>250000</v>
      </c>
      <c r="AW105" s="10" t="n">
        <f aca="false">AV107</f>
        <v>250000</v>
      </c>
      <c r="AX105" s="10" t="n">
        <f aca="false">AW107</f>
        <v>250000</v>
      </c>
      <c r="AY105" s="10" t="n">
        <f aca="false">AX107</f>
        <v>250000</v>
      </c>
      <c r="AZ105" s="10" t="n">
        <f aca="false">AY107</f>
        <v>250000</v>
      </c>
      <c r="BA105" s="10" t="n">
        <f aca="false">AZ107</f>
        <v>250000</v>
      </c>
      <c r="BB105" s="10" t="n">
        <f aca="false">BA107</f>
        <v>250000</v>
      </c>
      <c r="BC105" s="10" t="n">
        <f aca="false">BB107</f>
        <v>250000</v>
      </c>
      <c r="BD105" s="10" t="n">
        <f aca="false">BC107</f>
        <v>250000</v>
      </c>
      <c r="BE105" s="10" t="n">
        <f aca="false">BD107</f>
        <v>250000</v>
      </c>
      <c r="BF105" s="10" t="n">
        <f aca="false">BE107</f>
        <v>250000</v>
      </c>
      <c r="BG105" s="10" t="n">
        <f aca="false">BF107</f>
        <v>250000</v>
      </c>
      <c r="BH105" s="10" t="n">
        <f aca="false">BG107</f>
        <v>250000</v>
      </c>
      <c r="BI105" s="10" t="n">
        <f aca="false">BH107</f>
        <v>250000</v>
      </c>
      <c r="BJ105" s="10" t="n">
        <f aca="false">BI107</f>
        <v>250000</v>
      </c>
      <c r="BK105" s="10" t="n">
        <f aca="false">BJ107</f>
        <v>250000</v>
      </c>
      <c r="BL105" s="10" t="n">
        <f aca="false">BK107</f>
        <v>250000</v>
      </c>
      <c r="BM105" s="10" t="n">
        <f aca="false">BL107</f>
        <v>250000</v>
      </c>
      <c r="BN105" s="10" t="n">
        <f aca="false">BM107</f>
        <v>250000</v>
      </c>
      <c r="BO105" s="10" t="n">
        <f aca="false">BN107</f>
        <v>250000</v>
      </c>
      <c r="BP105" s="10" t="n">
        <f aca="false">BO107</f>
        <v>250000</v>
      </c>
      <c r="BQ105" s="10" t="n">
        <f aca="false">BP107</f>
        <v>250000</v>
      </c>
      <c r="BR105" s="10" t="n">
        <f aca="false">BQ107</f>
        <v>250000</v>
      </c>
      <c r="BS105" s="10" t="n">
        <f aca="false">BR107</f>
        <v>250000</v>
      </c>
      <c r="BT105" s="10" t="n">
        <f aca="false">BS107</f>
        <v>250000</v>
      </c>
      <c r="BU105" s="10" t="n">
        <f aca="false">BT107</f>
        <v>250000</v>
      </c>
      <c r="BV105" s="10" t="n">
        <f aca="false">BU107</f>
        <v>250000</v>
      </c>
      <c r="BW105" s="10" t="n">
        <f aca="false">BV107</f>
        <v>250000</v>
      </c>
      <c r="BX105" s="10" t="n">
        <f aca="false">BW107</f>
        <v>250000</v>
      </c>
      <c r="BY105" s="10" t="n">
        <f aca="false">BX107</f>
        <v>250000</v>
      </c>
      <c r="BZ105" s="10" t="n">
        <f aca="false">BY107</f>
        <v>250000</v>
      </c>
      <c r="CA105" s="10" t="n">
        <f aca="false">BZ107</f>
        <v>250000</v>
      </c>
      <c r="CB105" s="10" t="n">
        <f aca="false">CA107</f>
        <v>250000</v>
      </c>
      <c r="CC105" s="10" t="n">
        <f aca="false">CB107</f>
        <v>250000</v>
      </c>
      <c r="CD105" s="10" t="n">
        <f aca="false">CC107</f>
        <v>250000</v>
      </c>
      <c r="CE105" s="10" t="n">
        <f aca="false">CD107</f>
        <v>250000</v>
      </c>
      <c r="CF105" s="10" t="n">
        <f aca="false">CE107</f>
        <v>250000</v>
      </c>
      <c r="CG105" s="10" t="n">
        <f aca="false">CF107</f>
        <v>250000</v>
      </c>
      <c r="CH105" s="10" t="n">
        <f aca="false">CG107</f>
        <v>250000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-250000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250000</v>
      </c>
      <c r="AL107" s="34" t="n">
        <f aca="false">MAX(0,AL105+AL106)</f>
        <v>250000</v>
      </c>
      <c r="AM107" s="34" t="n">
        <f aca="false">MAX(0,AM105+AM106)</f>
        <v>250000</v>
      </c>
      <c r="AN107" s="34" t="n">
        <f aca="false">MAX(0,AN105+AN106)</f>
        <v>250000</v>
      </c>
      <c r="AO107" s="34" t="n">
        <f aca="false">MAX(0,AO105+AO106)</f>
        <v>250000</v>
      </c>
      <c r="AP107" s="34" t="n">
        <f aca="false">MAX(0,AP105+AP106)</f>
        <v>250000</v>
      </c>
      <c r="AQ107" s="34" t="n">
        <f aca="false">MAX(0,AQ105+AQ106)</f>
        <v>250000</v>
      </c>
      <c r="AR107" s="34" t="n">
        <f aca="false">MAX(0,AR105+AR106)</f>
        <v>250000</v>
      </c>
      <c r="AS107" s="34" t="n">
        <f aca="false">MAX(0,AS105+AS106)</f>
        <v>250000</v>
      </c>
      <c r="AT107" s="34" t="n">
        <f aca="false">MAX(0,AT105+AT106)</f>
        <v>250000</v>
      </c>
      <c r="AU107" s="34" t="n">
        <f aca="false">MAX(0,AU105+AU106)</f>
        <v>250000</v>
      </c>
      <c r="AV107" s="34" t="n">
        <f aca="false">MAX(0,AV105+AV106)</f>
        <v>250000</v>
      </c>
      <c r="AW107" s="34" t="n">
        <f aca="false">MAX(0,AW105+AW106)</f>
        <v>250000</v>
      </c>
      <c r="AX107" s="34" t="n">
        <f aca="false">MAX(0,AX105+AX106)</f>
        <v>250000</v>
      </c>
      <c r="AY107" s="34" t="n">
        <f aca="false">MAX(0,AY105+AY106)</f>
        <v>250000</v>
      </c>
      <c r="AZ107" s="34" t="n">
        <f aca="false">MAX(0,AZ105+AZ106)</f>
        <v>250000</v>
      </c>
      <c r="BA107" s="34" t="n">
        <f aca="false">MAX(0,BA105+BA106)</f>
        <v>250000</v>
      </c>
      <c r="BB107" s="34" t="n">
        <f aca="false">MAX(0,BB105+BB106)</f>
        <v>250000</v>
      </c>
      <c r="BC107" s="34" t="n">
        <f aca="false">MAX(0,BC105+BC106)</f>
        <v>250000</v>
      </c>
      <c r="BD107" s="34" t="n">
        <f aca="false">MAX(0,BD105+BD106)</f>
        <v>250000</v>
      </c>
      <c r="BE107" s="34" t="n">
        <f aca="false">MAX(0,BE105+BE106)</f>
        <v>250000</v>
      </c>
      <c r="BF107" s="34" t="n">
        <f aca="false">MAX(0,BF105+BF106)</f>
        <v>250000</v>
      </c>
      <c r="BG107" s="34" t="n">
        <f aca="false">MAX(0,BG105+BG106)</f>
        <v>250000</v>
      </c>
      <c r="BH107" s="34" t="n">
        <f aca="false">MAX(0,BH105+BH106)</f>
        <v>250000</v>
      </c>
      <c r="BI107" s="34" t="n">
        <f aca="false">MAX(0,BI105+BI106)</f>
        <v>250000</v>
      </c>
      <c r="BJ107" s="34" t="n">
        <f aca="false">MAX(0,BJ105+BJ106)</f>
        <v>250000</v>
      </c>
      <c r="BK107" s="34" t="n">
        <f aca="false">MAX(0,BK105+BK106)</f>
        <v>250000</v>
      </c>
      <c r="BL107" s="34" t="n">
        <f aca="false">MAX(0,BL105+BL106)</f>
        <v>250000</v>
      </c>
      <c r="BM107" s="34" t="n">
        <f aca="false">MAX(0,BM105+BM106)</f>
        <v>250000</v>
      </c>
      <c r="BN107" s="34" t="n">
        <f aca="false">MAX(0,BN105+BN106)</f>
        <v>250000</v>
      </c>
      <c r="BO107" s="34" t="n">
        <f aca="false">MAX(0,BO105+BO106)</f>
        <v>250000</v>
      </c>
      <c r="BP107" s="34" t="n">
        <f aca="false">MAX(0,BP105+BP106)</f>
        <v>250000</v>
      </c>
      <c r="BQ107" s="34" t="n">
        <f aca="false">MAX(0,BQ105+BQ106)</f>
        <v>250000</v>
      </c>
      <c r="BR107" s="34" t="n">
        <f aca="false">MAX(0,BR105+BR106)</f>
        <v>250000</v>
      </c>
      <c r="BS107" s="34" t="n">
        <f aca="false">MAX(0,BS105+BS106)</f>
        <v>250000</v>
      </c>
      <c r="BT107" s="34" t="n">
        <f aca="false">MAX(0,BT105+BT106)</f>
        <v>250000</v>
      </c>
      <c r="BU107" s="34" t="n">
        <f aca="false">MAX(0,BU105+BU106)</f>
        <v>250000</v>
      </c>
      <c r="BV107" s="34" t="n">
        <f aca="false">MAX(0,BV105+BV106)</f>
        <v>250000</v>
      </c>
      <c r="BW107" s="34" t="n">
        <f aca="false">MAX(0,BW105+BW106)</f>
        <v>250000</v>
      </c>
      <c r="BX107" s="34" t="n">
        <f aca="false">MAX(0,BX105+BX106)</f>
        <v>250000</v>
      </c>
      <c r="BY107" s="34" t="n">
        <f aca="false">MAX(0,BY105+BY106)</f>
        <v>250000</v>
      </c>
      <c r="BZ107" s="34" t="n">
        <f aca="false">MAX(0,BZ105+BZ106)</f>
        <v>250000</v>
      </c>
      <c r="CA107" s="34" t="n">
        <f aca="false">MAX(0,CA105+CA106)</f>
        <v>250000</v>
      </c>
      <c r="CB107" s="34" t="n">
        <f aca="false">MAX(0,CB105+CB106)</f>
        <v>250000</v>
      </c>
      <c r="CC107" s="34" t="n">
        <f aca="false">MAX(0,CC105+CC106)</f>
        <v>250000</v>
      </c>
      <c r="CD107" s="34" t="n">
        <f aca="false">MAX(0,CD105+CD106)</f>
        <v>250000</v>
      </c>
      <c r="CE107" s="34" t="n">
        <f aca="false">MAX(0,CE105+CE106)</f>
        <v>250000</v>
      </c>
      <c r="CF107" s="34" t="n">
        <f aca="false">MAX(0,CF105+CF106)</f>
        <v>250000</v>
      </c>
      <c r="CG107" s="34" t="n">
        <f aca="false">MAX(0,CG105+CG106)</f>
        <v>250000</v>
      </c>
      <c r="CH107" s="34" t="n">
        <f aca="false">MAX(0,CH105+CH106)</f>
        <v>250000</v>
      </c>
      <c r="CI107" s="25"/>
    </row>
    <row r="108" customFormat="fals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8" t="n">
        <f aca="false">IF(AND(Projects!$G$11="Yes",Projects!$C$11&lt;=1),Assumptions!$B$60,0)</f>
        <v>0</v>
      </c>
      <c r="D110" s="38" t="n">
        <f aca="false">IF(AND(Projects!$G$11="Yes",2=Projects!$C$11),Assumptions!$B$60,C114)</f>
        <v>0</v>
      </c>
      <c r="E110" s="38" t="n">
        <f aca="false">IF(AND(Projects!$G$11="Yes",3=Projects!$C$11),Assumptions!$B$60,D114)</f>
        <v>0</v>
      </c>
      <c r="F110" s="38" t="n">
        <f aca="false">IF(AND(Projects!$G$11="Yes",4=Projects!$C$11),Assumptions!$B$60,E114)</f>
        <v>0</v>
      </c>
      <c r="G110" s="38" t="n">
        <f aca="false">IF(AND(Projects!$G$11="Yes",5=Projects!$C$11),Assumptions!$B$60,F114)</f>
        <v>0</v>
      </c>
      <c r="H110" s="38" t="n">
        <f aca="false">IF(AND(Projects!$G$11="Yes",6=Projects!$C$11),Assumptions!$B$60,G114)</f>
        <v>0</v>
      </c>
      <c r="I110" s="38" t="n">
        <f aca="false">IF(AND(Projects!$G$11="Yes",7=Projects!$C$11),Assumptions!$B$60,H114)</f>
        <v>0</v>
      </c>
      <c r="J110" s="38" t="n">
        <f aca="false">IF(AND(Projects!$G$11="Yes",8=Projects!$C$11),Assumptions!$B$60,I114)</f>
        <v>0</v>
      </c>
      <c r="K110" s="38" t="n">
        <f aca="false">IF(AND(Projects!$G$11="Yes",9=Projects!$C$11),Assumptions!$B$60,J114)</f>
        <v>0</v>
      </c>
      <c r="L110" s="38" t="n">
        <f aca="false">IF(AND(Projects!$G$11="Yes",10=Projects!$C$11),Assumptions!$B$60,K114)</f>
        <v>0</v>
      </c>
      <c r="M110" s="38" t="n">
        <f aca="false">IF(AND(Projects!$G$11="Yes",11=Projects!$C$11),Assumptions!$B$60,L114)</f>
        <v>0</v>
      </c>
      <c r="N110" s="38" t="n">
        <f aca="false">IF(AND(Projects!$G$11="Yes",12=Projects!$C$11),Assumptions!$B$60,M114)</f>
        <v>0</v>
      </c>
      <c r="O110" s="38" t="n">
        <f aca="false">IF(AND(Projects!$G$11="Yes",13=Projects!$C$11),Assumptions!$B$60,N114)</f>
        <v>0</v>
      </c>
      <c r="P110" s="38" t="n">
        <f aca="false">IF(AND(Projects!$G$11="Yes",14=Projects!$C$11),Assumptions!$B$60,O114)</f>
        <v>0</v>
      </c>
      <c r="Q110" s="38" t="n">
        <f aca="false">IF(AND(Projects!$G$11="Yes",15=Projects!$C$11),Assumptions!$B$60,P114)</f>
        <v>0</v>
      </c>
      <c r="R110" s="38" t="n">
        <f aca="false">IF(AND(Projects!$G$11="Yes",16=Projects!$C$11),Assumptions!$B$60,Q114)</f>
        <v>0</v>
      </c>
      <c r="S110" s="38" t="n">
        <f aca="false">IF(AND(Projects!$G$11="Yes",17=Projects!$C$11),Assumptions!$B$60,R114)</f>
        <v>0</v>
      </c>
      <c r="T110" s="38" t="n">
        <f aca="false">IF(AND(Projects!$G$11="Yes",18=Projects!$C$11),Assumptions!$B$60,S114)</f>
        <v>0</v>
      </c>
      <c r="U110" s="38" t="n">
        <f aca="false">IF(AND(Projects!$G$11="Yes",19=Projects!$C$11),Assumptions!$B$60,T114)</f>
        <v>0</v>
      </c>
      <c r="V110" s="38" t="n">
        <f aca="false">IF(AND(Projects!$G$11="Yes",20=Projects!$C$11),Assumptions!$B$60,U114)</f>
        <v>0</v>
      </c>
      <c r="W110" s="38" t="n">
        <f aca="false">IF(AND(Projects!$G$11="Yes",21=Projects!$C$11),Assumptions!$B$60,V114)</f>
        <v>0</v>
      </c>
      <c r="X110" s="38" t="n">
        <f aca="false">IF(AND(Projects!$G$11="Yes",22=Projects!$C$11),Assumptions!$B$60,W114)</f>
        <v>0</v>
      </c>
      <c r="Y110" s="38" t="n">
        <f aca="false">IF(AND(Projects!$G$11="Yes",23=Projects!$C$11),Assumptions!$B$60,X114)</f>
        <v>0</v>
      </c>
      <c r="Z110" s="38" t="n">
        <f aca="false">IF(AND(Projects!$G$11="Yes",24=Projects!$C$11),Assumptions!$B$60,Y114)</f>
        <v>0</v>
      </c>
      <c r="AA110" s="38" t="n">
        <f aca="false">IF(AND(Projects!$G$11="Yes",25=Projects!$C$11),Assumptions!$B$60,Z114)</f>
        <v>0</v>
      </c>
      <c r="AB110" s="38" t="n">
        <f aca="false">IF(AND(Projects!$G$11="Yes",26=Projects!$C$11),Assumptions!$B$60,AA114)</f>
        <v>0</v>
      </c>
      <c r="AC110" s="38" t="n">
        <f aca="false">IF(AND(Projects!$G$11="Yes",27=Projects!$C$11),Assumptions!$B$60,AB114)</f>
        <v>0</v>
      </c>
      <c r="AD110" s="38" t="n">
        <f aca="false">IF(AND(Projects!$G$11="Yes",28=Projects!$C$11),Assumptions!$B$60,AC114)</f>
        <v>0</v>
      </c>
      <c r="AE110" s="38" t="n">
        <f aca="false">IF(AND(Projects!$G$11="Yes",29=Projects!$C$11),Assumptions!$B$60,AD114)</f>
        <v>0</v>
      </c>
      <c r="AF110" s="38" t="n">
        <f aca="false">IF(AND(Projects!$G$11="Yes",30=Projects!$C$11),Assumptions!$B$60,AE114)</f>
        <v>0</v>
      </c>
      <c r="AG110" s="38" t="n">
        <f aca="false">IF(AND(Projects!$G$11="Yes",31=Projects!$C$11),Assumptions!$B$60,AF114)</f>
        <v>0</v>
      </c>
      <c r="AH110" s="38" t="n">
        <f aca="false">IF(AND(Projects!$G$11="Yes",32=Projects!$C$11),Assumptions!$B$60,AG114)</f>
        <v>0</v>
      </c>
      <c r="AI110" s="38" t="n">
        <f aca="false">IF(AND(Projects!$G$11="Yes",33=Projects!$C$11),Assumptions!$B$60,AH114)</f>
        <v>0</v>
      </c>
      <c r="AJ110" s="38" t="n">
        <f aca="false">IF(AND(Projects!$G$11="Yes",34=Projects!$C$11),Assumptions!$B$60,AI114)</f>
        <v>0</v>
      </c>
      <c r="AK110" s="38" t="n">
        <f aca="false">IF(AND(Projects!$G$11="Yes",35=Projects!$C$11),Assumptions!$B$60,AJ114)</f>
        <v>0</v>
      </c>
      <c r="AL110" s="38" t="n">
        <f aca="false">IF(AND(Projects!$G$11="Yes",36=Projects!$C$11),Assumptions!$B$60,AK114)</f>
        <v>0</v>
      </c>
      <c r="AM110" s="38" t="n">
        <f aca="false">IF(AND(Projects!$G$11="Yes",37=Projects!$C$11),Assumptions!$B$60,AL114)</f>
        <v>0</v>
      </c>
      <c r="AN110" s="38" t="n">
        <f aca="false">IF(AND(Projects!$G$11="Yes",38=Projects!$C$11),Assumptions!$B$60,AM114)</f>
        <v>0</v>
      </c>
      <c r="AO110" s="38" t="n">
        <f aca="false">IF(AND(Projects!$G$11="Yes",39=Projects!$C$11),Assumptions!$B$60,AN114)</f>
        <v>0</v>
      </c>
      <c r="AP110" s="38" t="n">
        <f aca="false">IF(AND(Projects!$G$11="Yes",40=Projects!$C$11),Assumptions!$B$60,AO114)</f>
        <v>0</v>
      </c>
      <c r="AQ110" s="38" t="n">
        <f aca="false">IF(AND(Projects!$G$11="Yes",41=Projects!$C$11),Assumptions!$B$60,AP114)</f>
        <v>0</v>
      </c>
      <c r="AR110" s="38" t="n">
        <f aca="false">IF(AND(Projects!$G$11="Yes",42=Projects!$C$11),Assumptions!$B$60,AQ114)</f>
        <v>0</v>
      </c>
      <c r="AS110" s="38" t="n">
        <f aca="false">IF(AND(Projects!$G$11="Yes",43=Projects!$C$11),Assumptions!$B$60,AR114)</f>
        <v>0</v>
      </c>
      <c r="AT110" s="38" t="n">
        <f aca="false">IF(AND(Projects!$G$11="Yes",44=Projects!$C$11),Assumptions!$B$60,AS114)</f>
        <v>0</v>
      </c>
      <c r="AU110" s="38" t="n">
        <f aca="false">IF(AND(Projects!$G$11="Yes",45=Projects!$C$11),Assumptions!$B$60,AT114)</f>
        <v>0</v>
      </c>
      <c r="AV110" s="38" t="n">
        <f aca="false">IF(AND(Projects!$G$11="Yes",46=Projects!$C$11),Assumptions!$B$60,AU114)</f>
        <v>0</v>
      </c>
      <c r="AW110" s="38" t="n">
        <f aca="false">IF(AND(Projects!$G$11="Yes",47=Projects!$C$11),Assumptions!$B$60,AV114)</f>
        <v>0</v>
      </c>
      <c r="AX110" s="38" t="n">
        <f aca="false">IF(AND(Projects!$G$11="Yes",48=Projects!$C$11),Assumptions!$B$60,AW114)</f>
        <v>0</v>
      </c>
      <c r="AY110" s="38" t="n">
        <f aca="false">IF(AND(Projects!$G$11="Yes",49=Projects!$C$11),Assumptions!$B$60,AX114)</f>
        <v>0</v>
      </c>
      <c r="AZ110" s="38" t="n">
        <f aca="false">IF(AND(Projects!$G$11="Yes",50=Projects!$C$11),Assumptions!$B$60,AY114)</f>
        <v>0</v>
      </c>
      <c r="BA110" s="38" t="n">
        <f aca="false">IF(AND(Projects!$G$11="Yes",51=Projects!$C$11),Assumptions!$B$60,AZ114)</f>
        <v>0</v>
      </c>
      <c r="BB110" s="38" t="n">
        <f aca="false">IF(AND(Projects!$G$11="Yes",52=Projects!$C$11),Assumptions!$B$60,BA114)</f>
        <v>0</v>
      </c>
      <c r="BC110" s="38" t="n">
        <f aca="false">IF(AND(Projects!$G$11="Yes",53=Projects!$C$11),Assumptions!$B$60,BB114)</f>
        <v>0</v>
      </c>
      <c r="BD110" s="38" t="n">
        <f aca="false">IF(AND(Projects!$G$11="Yes",54=Projects!$C$11),Assumptions!$B$60,BC114)</f>
        <v>0</v>
      </c>
      <c r="BE110" s="38" t="n">
        <f aca="false">IF(AND(Projects!$G$11="Yes",55=Projects!$C$11),Assumptions!$B$60,BD114)</f>
        <v>0</v>
      </c>
      <c r="BF110" s="38" t="n">
        <f aca="false">IF(AND(Projects!$G$11="Yes",56=Projects!$C$11),Assumptions!$B$60,BE114)</f>
        <v>0</v>
      </c>
      <c r="BG110" s="38" t="n">
        <f aca="false">IF(AND(Projects!$G$11="Yes",57=Projects!$C$11),Assumptions!$B$60,BF114)</f>
        <v>0</v>
      </c>
      <c r="BH110" s="38" t="n">
        <f aca="false">IF(AND(Projects!$G$11="Yes",58=Projects!$C$11),Assumptions!$B$60,BG114)</f>
        <v>0</v>
      </c>
      <c r="BI110" s="38" t="n">
        <f aca="false">IF(AND(Projects!$G$11="Yes",59=Projects!$C$11),Assumptions!$B$60,BH114)</f>
        <v>0</v>
      </c>
      <c r="BJ110" s="38" t="n">
        <f aca="false">IF(AND(Projects!$G$11="Yes",60=Projects!$C$11),Assumptions!$B$60,BI114)</f>
        <v>0</v>
      </c>
      <c r="BK110" s="38" t="n">
        <f aca="false">IF(AND(Projects!$G$11="Yes",61=Projects!$C$11),Assumptions!$B$60,BJ114)</f>
        <v>0</v>
      </c>
      <c r="BL110" s="38" t="n">
        <f aca="false">IF(AND(Projects!$G$11="Yes",62=Projects!$C$11),Assumptions!$B$60,BK114)</f>
        <v>0</v>
      </c>
      <c r="BM110" s="38" t="n">
        <f aca="false">IF(AND(Projects!$G$11="Yes",63=Projects!$C$11),Assumptions!$B$60,BL114)</f>
        <v>0</v>
      </c>
      <c r="BN110" s="38" t="n">
        <f aca="false">IF(AND(Projects!$G$11="Yes",64=Projects!$C$11),Assumptions!$B$60,BM114)</f>
        <v>0</v>
      </c>
      <c r="BO110" s="38" t="n">
        <f aca="false">IF(AND(Projects!$G$11="Yes",65=Projects!$C$11),Assumptions!$B$60,BN114)</f>
        <v>0</v>
      </c>
      <c r="BP110" s="38" t="n">
        <f aca="false">IF(AND(Projects!$G$11="Yes",66=Projects!$C$11),Assumptions!$B$60,BO114)</f>
        <v>0</v>
      </c>
      <c r="BQ110" s="38" t="n">
        <f aca="false">IF(AND(Projects!$G$11="Yes",67=Projects!$C$11),Assumptions!$B$60,BP114)</f>
        <v>0</v>
      </c>
      <c r="BR110" s="38" t="n">
        <f aca="false">IF(AND(Projects!$G$11="Yes",68=Projects!$C$11),Assumptions!$B$60,BQ114)</f>
        <v>0</v>
      </c>
      <c r="BS110" s="38" t="n">
        <f aca="false">IF(AND(Projects!$G$11="Yes",69=Projects!$C$11),Assumptions!$B$60,BR114)</f>
        <v>0</v>
      </c>
      <c r="BT110" s="38" t="n">
        <f aca="false">IF(AND(Projects!$G$11="Yes",70=Projects!$C$11),Assumptions!$B$60,BS114)</f>
        <v>0</v>
      </c>
      <c r="BU110" s="38" t="n">
        <f aca="false">IF(AND(Projects!$G$11="Yes",71=Projects!$C$11),Assumptions!$B$60,BT114)</f>
        <v>0</v>
      </c>
      <c r="BV110" s="38" t="n">
        <f aca="false">IF(AND(Projects!$G$11="Yes",72=Projects!$C$11),Assumptions!$B$60,BU114)</f>
        <v>0</v>
      </c>
      <c r="BW110" s="38" t="n">
        <f aca="false">IF(AND(Projects!$G$11="Yes",73=Projects!$C$11),Assumptions!$B$60,BV114)</f>
        <v>0</v>
      </c>
      <c r="BX110" s="38" t="n">
        <f aca="false">IF(AND(Projects!$G$11="Yes",74=Projects!$C$11),Assumptions!$B$60,BW114)</f>
        <v>0</v>
      </c>
      <c r="BY110" s="38" t="n">
        <f aca="false">IF(AND(Projects!$G$11="Yes",75=Projects!$C$11),Assumptions!$B$60,BX114)</f>
        <v>0</v>
      </c>
      <c r="BZ110" s="38" t="n">
        <f aca="false">IF(AND(Projects!$G$11="Yes",76=Projects!$C$11),Assumptions!$B$60,BY114)</f>
        <v>0</v>
      </c>
      <c r="CA110" s="38" t="n">
        <f aca="false">IF(AND(Projects!$G$11="Yes",77=Projects!$C$11),Assumptions!$B$60,BZ114)</f>
        <v>0</v>
      </c>
      <c r="CB110" s="38" t="n">
        <f aca="false">IF(AND(Projects!$G$11="Yes",78=Projects!$C$11),Assumptions!$B$60,CA114)</f>
        <v>0</v>
      </c>
      <c r="CC110" s="38" t="n">
        <f aca="false">IF(AND(Projects!$G$11="Yes",79=Projects!$C$11),Assumptions!$B$60,CB114)</f>
        <v>0</v>
      </c>
      <c r="CD110" s="38" t="n">
        <f aca="false">IF(AND(Projects!$G$11="Yes",80=Projects!$C$11),Assumptions!$B$60,CC114)</f>
        <v>0</v>
      </c>
      <c r="CE110" s="38" t="n">
        <f aca="false">IF(AND(Projects!$G$11="Yes",81=Projects!$C$11),Assumptions!$B$60,CD114)</f>
        <v>0</v>
      </c>
      <c r="CF110" s="38" t="n">
        <f aca="false">IF(AND(Projects!$G$11="Yes",82=Projects!$C$11),Assumptions!$B$60,CE114)</f>
        <v>0</v>
      </c>
      <c r="CG110" s="38" t="n">
        <f aca="false">IF(AND(Projects!$G$11="Yes",83=Projects!$C$11),Assumptions!$B$60,CF114)</f>
        <v>0</v>
      </c>
      <c r="CH110" s="38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IF(AND(MOD(1,3)=0,C110&gt;0),C110*Assumptions!$B$59,0)</f>
        <v>0</v>
      </c>
      <c r="D111" s="38" t="n">
        <f aca="false">IF(AND(MOD(2,3)=0,D110&gt;0),D110*Assumptions!$B$59,0)</f>
        <v>0</v>
      </c>
      <c r="E111" s="38" t="n">
        <f aca="false">IF(AND(MOD(3,3)=0,E110&gt;0),E110*Assumptions!$B$59,0)</f>
        <v>0</v>
      </c>
      <c r="F111" s="38" t="n">
        <f aca="false">IF(AND(MOD(4,3)=0,F110&gt;0),F110*Assumptions!$B$59,0)</f>
        <v>0</v>
      </c>
      <c r="G111" s="38" t="n">
        <f aca="false">IF(AND(MOD(5,3)=0,G110&gt;0),G110*Assumptions!$B$59,0)</f>
        <v>0</v>
      </c>
      <c r="H111" s="38" t="n">
        <f aca="false">IF(AND(MOD(6,3)=0,H110&gt;0),H110*Assumptions!$B$59,0)</f>
        <v>0</v>
      </c>
      <c r="I111" s="38" t="n">
        <f aca="false">IF(AND(MOD(7,3)=0,I110&gt;0),I110*Assumptions!$B$59,0)</f>
        <v>0</v>
      </c>
      <c r="J111" s="38" t="n">
        <f aca="false">IF(AND(MOD(8,3)=0,J110&gt;0),J110*Assumptions!$B$59,0)</f>
        <v>0</v>
      </c>
      <c r="K111" s="38" t="n">
        <f aca="false">IF(AND(MOD(9,3)=0,K110&gt;0),K110*Assumptions!$B$59,0)</f>
        <v>0</v>
      </c>
      <c r="L111" s="38" t="n">
        <f aca="false">IF(AND(MOD(10,3)=0,L110&gt;0),L110*Assumptions!$B$59,0)</f>
        <v>0</v>
      </c>
      <c r="M111" s="38" t="n">
        <f aca="false">IF(AND(MOD(11,3)=0,M110&gt;0),M110*Assumptions!$B$59,0)</f>
        <v>0</v>
      </c>
      <c r="N111" s="38" t="n">
        <f aca="false">IF(AND(MOD(12,3)=0,N110&gt;0),N110*Assumptions!$B$59,0)</f>
        <v>0</v>
      </c>
      <c r="O111" s="38" t="n">
        <f aca="false">IF(AND(MOD(13,3)=0,O110&gt;0),O110*Assumptions!$B$59,0)</f>
        <v>0</v>
      </c>
      <c r="P111" s="38" t="n">
        <f aca="false">IF(AND(MOD(14,3)=0,P110&gt;0),P110*Assumptions!$B$59,0)</f>
        <v>0</v>
      </c>
      <c r="Q111" s="38" t="n">
        <f aca="false">IF(AND(MOD(15,3)=0,Q110&gt;0),Q110*Assumptions!$B$59,0)</f>
        <v>0</v>
      </c>
      <c r="R111" s="38" t="n">
        <f aca="false">IF(AND(MOD(16,3)=0,R110&gt;0),R110*Assumptions!$B$59,0)</f>
        <v>0</v>
      </c>
      <c r="S111" s="38" t="n">
        <f aca="false">IF(AND(MOD(17,3)=0,S110&gt;0),S110*Assumptions!$B$59,0)</f>
        <v>0</v>
      </c>
      <c r="T111" s="38" t="n">
        <f aca="false">IF(AND(MOD(18,3)=0,T110&gt;0),T110*Assumptions!$B$59,0)</f>
        <v>0</v>
      </c>
      <c r="U111" s="38" t="n">
        <f aca="false">IF(AND(MOD(19,3)=0,U110&gt;0),U110*Assumptions!$B$59,0)</f>
        <v>0</v>
      </c>
      <c r="V111" s="38" t="n">
        <f aca="false">IF(AND(MOD(20,3)=0,V110&gt;0),V110*Assumptions!$B$59,0)</f>
        <v>0</v>
      </c>
      <c r="W111" s="38" t="n">
        <f aca="false">IF(AND(MOD(21,3)=0,W110&gt;0),W110*Assumptions!$B$59,0)</f>
        <v>0</v>
      </c>
      <c r="X111" s="38" t="n">
        <f aca="false">IF(AND(MOD(22,3)=0,X110&gt;0),X110*Assumptions!$B$59,0)</f>
        <v>0</v>
      </c>
      <c r="Y111" s="38" t="n">
        <f aca="false">IF(AND(MOD(23,3)=0,Y110&gt;0),Y110*Assumptions!$B$59,0)</f>
        <v>0</v>
      </c>
      <c r="Z111" s="38" t="n">
        <f aca="false">IF(AND(MOD(24,3)=0,Z110&gt;0),Z110*Assumptions!$B$59,0)</f>
        <v>0</v>
      </c>
      <c r="AA111" s="38" t="n">
        <f aca="false">IF(AND(MOD(25,3)=0,AA110&gt;0),AA110*Assumptions!$B$59,0)</f>
        <v>0</v>
      </c>
      <c r="AB111" s="38" t="n">
        <f aca="false">IF(AND(MOD(26,3)=0,AB110&gt;0),AB110*Assumptions!$B$59,0)</f>
        <v>0</v>
      </c>
      <c r="AC111" s="38" t="n">
        <f aca="false">IF(AND(MOD(27,3)=0,AC110&gt;0),AC110*Assumptions!$B$59,0)</f>
        <v>0</v>
      </c>
      <c r="AD111" s="38" t="n">
        <f aca="false">IF(AND(MOD(28,3)=0,AD110&gt;0),AD110*Assumptions!$B$59,0)</f>
        <v>0</v>
      </c>
      <c r="AE111" s="38" t="n">
        <f aca="false">IF(AND(MOD(29,3)=0,AE110&gt;0),AE110*Assumptions!$B$59,0)</f>
        <v>0</v>
      </c>
      <c r="AF111" s="38" t="n">
        <f aca="false">IF(AND(MOD(30,3)=0,AF110&gt;0),AF110*Assumptions!$B$59,0)</f>
        <v>0</v>
      </c>
      <c r="AG111" s="38" t="n">
        <f aca="false">IF(AND(MOD(31,3)=0,AG110&gt;0),AG110*Assumptions!$B$59,0)</f>
        <v>0</v>
      </c>
      <c r="AH111" s="38" t="n">
        <f aca="false">IF(AND(MOD(32,3)=0,AH110&gt;0),AH110*Assumptions!$B$59,0)</f>
        <v>0</v>
      </c>
      <c r="AI111" s="38" t="n">
        <f aca="false">IF(AND(MOD(33,3)=0,AI110&gt;0),AI110*Assumptions!$B$59,0)</f>
        <v>0</v>
      </c>
      <c r="AJ111" s="38" t="n">
        <f aca="false">IF(AND(MOD(34,3)=0,AJ110&gt;0),AJ110*Assumptions!$B$59,0)</f>
        <v>0</v>
      </c>
      <c r="AK111" s="38" t="n">
        <f aca="false">IF(AND(MOD(35,3)=0,AK110&gt;0),AK110*Assumptions!$B$59,0)</f>
        <v>0</v>
      </c>
      <c r="AL111" s="38" t="n">
        <f aca="false">IF(AND(MOD(36,3)=0,AL110&gt;0),AL110*Assumptions!$B$59,0)</f>
        <v>0</v>
      </c>
      <c r="AM111" s="38" t="n">
        <f aca="false">IF(AND(MOD(37,3)=0,AM110&gt;0),AM110*Assumptions!$B$59,0)</f>
        <v>0</v>
      </c>
      <c r="AN111" s="38" t="n">
        <f aca="false">IF(AND(MOD(38,3)=0,AN110&gt;0),AN110*Assumptions!$B$59,0)</f>
        <v>0</v>
      </c>
      <c r="AO111" s="38" t="n">
        <f aca="false">IF(AND(MOD(39,3)=0,AO110&gt;0),AO110*Assumptions!$B$59,0)</f>
        <v>0</v>
      </c>
      <c r="AP111" s="38" t="n">
        <f aca="false">IF(AND(MOD(40,3)=0,AP110&gt;0),AP110*Assumptions!$B$59,0)</f>
        <v>0</v>
      </c>
      <c r="AQ111" s="38" t="n">
        <f aca="false">IF(AND(MOD(41,3)=0,AQ110&gt;0),AQ110*Assumptions!$B$59,0)</f>
        <v>0</v>
      </c>
      <c r="AR111" s="38" t="n">
        <f aca="false">IF(AND(MOD(42,3)=0,AR110&gt;0),AR110*Assumptions!$B$59,0)</f>
        <v>0</v>
      </c>
      <c r="AS111" s="38" t="n">
        <f aca="false">IF(AND(MOD(43,3)=0,AS110&gt;0),AS110*Assumptions!$B$59,0)</f>
        <v>0</v>
      </c>
      <c r="AT111" s="38" t="n">
        <f aca="false">IF(AND(MOD(44,3)=0,AT110&gt;0),AT110*Assumptions!$B$59,0)</f>
        <v>0</v>
      </c>
      <c r="AU111" s="38" t="n">
        <f aca="false">IF(AND(MOD(45,3)=0,AU110&gt;0),AU110*Assumptions!$B$59,0)</f>
        <v>0</v>
      </c>
      <c r="AV111" s="38" t="n">
        <f aca="false">IF(AND(MOD(46,3)=0,AV110&gt;0),AV110*Assumptions!$B$59,0)</f>
        <v>0</v>
      </c>
      <c r="AW111" s="38" t="n">
        <f aca="false">IF(AND(MOD(47,3)=0,AW110&gt;0),AW110*Assumptions!$B$59,0)</f>
        <v>0</v>
      </c>
      <c r="AX111" s="38" t="n">
        <f aca="false">IF(AND(MOD(48,3)=0,AX110&gt;0),AX110*Assumptions!$B$59,0)</f>
        <v>0</v>
      </c>
      <c r="AY111" s="38" t="n">
        <f aca="false">IF(AND(MOD(49,3)=0,AY110&gt;0),AY110*Assumptions!$B$59,0)</f>
        <v>0</v>
      </c>
      <c r="AZ111" s="38" t="n">
        <f aca="false">IF(AND(MOD(50,3)=0,AZ110&gt;0),AZ110*Assumptions!$B$59,0)</f>
        <v>0</v>
      </c>
      <c r="BA111" s="38" t="n">
        <f aca="false">IF(AND(MOD(51,3)=0,BA110&gt;0),BA110*Assumptions!$B$59,0)</f>
        <v>0</v>
      </c>
      <c r="BB111" s="38" t="n">
        <f aca="false">IF(AND(MOD(52,3)=0,BB110&gt;0),BB110*Assumptions!$B$59,0)</f>
        <v>0</v>
      </c>
      <c r="BC111" s="38" t="n">
        <f aca="false">IF(AND(MOD(53,3)=0,BC110&gt;0),BC110*Assumptions!$B$59,0)</f>
        <v>0</v>
      </c>
      <c r="BD111" s="38" t="n">
        <f aca="false">IF(AND(MOD(54,3)=0,BD110&gt;0),BD110*Assumptions!$B$59,0)</f>
        <v>0</v>
      </c>
      <c r="BE111" s="38" t="n">
        <f aca="false">IF(AND(MOD(55,3)=0,BE110&gt;0),BE110*Assumptions!$B$59,0)</f>
        <v>0</v>
      </c>
      <c r="BF111" s="38" t="n">
        <f aca="false">IF(AND(MOD(56,3)=0,BF110&gt;0),BF110*Assumptions!$B$59,0)</f>
        <v>0</v>
      </c>
      <c r="BG111" s="38" t="n">
        <f aca="false">IF(AND(MOD(57,3)=0,BG110&gt;0),BG110*Assumptions!$B$59,0)</f>
        <v>0</v>
      </c>
      <c r="BH111" s="38" t="n">
        <f aca="false">IF(AND(MOD(58,3)=0,BH110&gt;0),BH110*Assumptions!$B$59,0)</f>
        <v>0</v>
      </c>
      <c r="BI111" s="38" t="n">
        <f aca="false">IF(AND(MOD(59,3)=0,BI110&gt;0),BI110*Assumptions!$B$59,0)</f>
        <v>0</v>
      </c>
      <c r="BJ111" s="38" t="n">
        <f aca="false">IF(AND(MOD(60,3)=0,BJ110&gt;0),BJ110*Assumptions!$B$59,0)</f>
        <v>0</v>
      </c>
      <c r="BK111" s="38" t="n">
        <f aca="false">IF(AND(MOD(61,3)=0,BK110&gt;0),BK110*Assumptions!$B$59,0)</f>
        <v>0</v>
      </c>
      <c r="BL111" s="38" t="n">
        <f aca="false">IF(AND(MOD(62,3)=0,BL110&gt;0),BL110*Assumptions!$B$59,0)</f>
        <v>0</v>
      </c>
      <c r="BM111" s="38" t="n">
        <f aca="false">IF(AND(MOD(63,3)=0,BM110&gt;0),BM110*Assumptions!$B$59,0)</f>
        <v>0</v>
      </c>
      <c r="BN111" s="38" t="n">
        <f aca="false">IF(AND(MOD(64,3)=0,BN110&gt;0),BN110*Assumptions!$B$59,0)</f>
        <v>0</v>
      </c>
      <c r="BO111" s="38" t="n">
        <f aca="false">IF(AND(MOD(65,3)=0,BO110&gt;0),BO110*Assumptions!$B$59,0)</f>
        <v>0</v>
      </c>
      <c r="BP111" s="38" t="n">
        <f aca="false">IF(AND(MOD(66,3)=0,BP110&gt;0),BP110*Assumptions!$B$59,0)</f>
        <v>0</v>
      </c>
      <c r="BQ111" s="38" t="n">
        <f aca="false">IF(AND(MOD(67,3)=0,BQ110&gt;0),BQ110*Assumptions!$B$59,0)</f>
        <v>0</v>
      </c>
      <c r="BR111" s="38" t="n">
        <f aca="false">IF(AND(MOD(68,3)=0,BR110&gt;0),BR110*Assumptions!$B$59,0)</f>
        <v>0</v>
      </c>
      <c r="BS111" s="38" t="n">
        <f aca="false">IF(AND(MOD(69,3)=0,BS110&gt;0),BS110*Assumptions!$B$59,0)</f>
        <v>0</v>
      </c>
      <c r="BT111" s="38" t="n">
        <f aca="false">IF(AND(MOD(70,3)=0,BT110&gt;0),BT110*Assumptions!$B$59,0)</f>
        <v>0</v>
      </c>
      <c r="BU111" s="38" t="n">
        <f aca="false">IF(AND(MOD(71,3)=0,BU110&gt;0),BU110*Assumptions!$B$59,0)</f>
        <v>0</v>
      </c>
      <c r="BV111" s="38" t="n">
        <f aca="false">IF(AND(MOD(72,3)=0,BV110&gt;0),BV110*Assumptions!$B$59,0)</f>
        <v>0</v>
      </c>
      <c r="BW111" s="38" t="n">
        <f aca="false">IF(AND(MOD(73,3)=0,BW110&gt;0),BW110*Assumptions!$B$59,0)</f>
        <v>0</v>
      </c>
      <c r="BX111" s="38" t="n">
        <f aca="false">IF(AND(MOD(74,3)=0,BX110&gt;0),BX110*Assumptions!$B$59,0)</f>
        <v>0</v>
      </c>
      <c r="BY111" s="38" t="n">
        <f aca="false">IF(AND(MOD(75,3)=0,BY110&gt;0),BY110*Assumptions!$B$59,0)</f>
        <v>0</v>
      </c>
      <c r="BZ111" s="38" t="n">
        <f aca="false">IF(AND(MOD(76,3)=0,BZ110&gt;0),BZ110*Assumptions!$B$59,0)</f>
        <v>0</v>
      </c>
      <c r="CA111" s="38" t="n">
        <f aca="false">IF(AND(MOD(77,3)=0,CA110&gt;0),CA110*Assumptions!$B$59,0)</f>
        <v>0</v>
      </c>
      <c r="CB111" s="38" t="n">
        <f aca="false">IF(AND(MOD(78,3)=0,CB110&gt;0),CB110*Assumptions!$B$59,0)</f>
        <v>0</v>
      </c>
      <c r="CC111" s="38" t="n">
        <f aca="false">IF(AND(MOD(79,3)=0,CC110&gt;0),CC110*Assumptions!$B$59,0)</f>
        <v>0</v>
      </c>
      <c r="CD111" s="38" t="n">
        <f aca="false">IF(AND(MOD(80,3)=0,CD110&gt;0),CD110*Assumptions!$B$59,0)</f>
        <v>0</v>
      </c>
      <c r="CE111" s="38" t="n">
        <f aca="false">IF(AND(MOD(81,3)=0,CE110&gt;0),CE110*Assumptions!$B$59,0)</f>
        <v>0</v>
      </c>
      <c r="CF111" s="38" t="n">
        <f aca="false">IF(AND(MOD(82,3)=0,CF110&gt;0),CF110*Assumptions!$B$59,0)</f>
        <v>0</v>
      </c>
      <c r="CG111" s="38" t="n">
        <f aca="false">IF(AND(MOD(83,3)=0,CG110&gt;0),CG110*Assumptions!$B$59,0)</f>
        <v>0</v>
      </c>
      <c r="CH111" s="38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v>0</v>
      </c>
      <c r="D112" s="38" t="n">
        <v>0</v>
      </c>
      <c r="E112" s="38" t="n">
        <v>0</v>
      </c>
      <c r="F112" s="38" t="n">
        <v>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25"/>
    </row>
    <row r="113" customFormat="false" ht="15" hidden="false" customHeight="true" outlineLevel="0" collapsed="false">
      <c r="A113" s="39" t="s">
        <v>138</v>
      </c>
      <c r="B113" s="39"/>
      <c r="C113" s="40" t="n">
        <v>0</v>
      </c>
      <c r="D113" s="40" t="n">
        <v>0</v>
      </c>
      <c r="E113" s="40" t="n">
        <v>0</v>
      </c>
      <c r="F113" s="40" t="n">
        <v>0</v>
      </c>
      <c r="G113" s="40" t="n">
        <v>0</v>
      </c>
      <c r="H113" s="40" t="n">
        <v>0</v>
      </c>
      <c r="I113" s="40" t="n">
        <v>0</v>
      </c>
      <c r="J113" s="40" t="n">
        <v>0</v>
      </c>
      <c r="K113" s="40" t="n">
        <v>0</v>
      </c>
      <c r="L113" s="40" t="n">
        <v>0</v>
      </c>
      <c r="M113" s="40" t="n">
        <v>0</v>
      </c>
      <c r="N113" s="40" t="n">
        <v>0</v>
      </c>
      <c r="O113" s="40" t="n">
        <v>0</v>
      </c>
      <c r="P113" s="40" t="n">
        <v>0</v>
      </c>
      <c r="Q113" s="40" t="n">
        <v>0</v>
      </c>
      <c r="R113" s="40" t="n">
        <v>0</v>
      </c>
      <c r="S113" s="40" t="n">
        <v>0</v>
      </c>
      <c r="T113" s="40" t="n">
        <v>0</v>
      </c>
      <c r="U113" s="40" t="n">
        <v>0</v>
      </c>
      <c r="V113" s="40" t="n">
        <v>0</v>
      </c>
      <c r="W113" s="40" t="n">
        <v>0</v>
      </c>
      <c r="X113" s="40" t="n">
        <v>0</v>
      </c>
      <c r="Y113" s="40" t="n">
        <v>0</v>
      </c>
      <c r="Z113" s="40" t="n">
        <v>0</v>
      </c>
      <c r="AA113" s="40" t="n">
        <v>0</v>
      </c>
      <c r="AB113" s="40" t="n">
        <v>0</v>
      </c>
      <c r="AC113" s="40" t="n">
        <v>0</v>
      </c>
      <c r="AD113" s="40" t="n">
        <v>0</v>
      </c>
      <c r="AE113" s="40" t="n">
        <v>0</v>
      </c>
      <c r="AF113" s="40" t="n">
        <v>0</v>
      </c>
      <c r="AG113" s="40" t="n">
        <v>0</v>
      </c>
      <c r="AH113" s="40" t="n">
        <v>0</v>
      </c>
      <c r="AI113" s="40" t="n">
        <v>0</v>
      </c>
      <c r="AJ113" s="40" t="n">
        <v>0</v>
      </c>
      <c r="AK113" s="40" t="n">
        <v>0</v>
      </c>
      <c r="AL113" s="40" t="n">
        <v>0</v>
      </c>
      <c r="AM113" s="40" t="n">
        <v>0</v>
      </c>
      <c r="AN113" s="40" t="n">
        <v>0</v>
      </c>
      <c r="AO113" s="40" t="n">
        <v>0</v>
      </c>
      <c r="AP113" s="40" t="n">
        <v>0</v>
      </c>
      <c r="AQ113" s="40" t="n">
        <v>0</v>
      </c>
      <c r="AR113" s="40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40" t="n">
        <v>0</v>
      </c>
      <c r="CC113" s="40" t="n">
        <v>0</v>
      </c>
      <c r="CD113" s="40" t="n">
        <v>0</v>
      </c>
      <c r="CE113" s="40" t="n">
        <v>0</v>
      </c>
      <c r="CF113" s="40" t="n">
        <v>0</v>
      </c>
      <c r="CG113" s="40" t="n">
        <v>0</v>
      </c>
      <c r="CH113" s="40" t="n">
        <v>0</v>
      </c>
      <c r="CI113" s="25"/>
    </row>
    <row r="114" customFormat="false" ht="15" hidden="false" customHeight="true" outlineLevel="0" collapsed="false">
      <c r="A114" s="41" t="s">
        <v>139</v>
      </c>
      <c r="B114" s="42"/>
      <c r="C114" s="43" t="n">
        <f aca="false">MAX(0,C110+C111+C112+C113)</f>
        <v>0</v>
      </c>
      <c r="D114" s="43" t="n">
        <f aca="false">MAX(0,D110+D111+D112+D113)</f>
        <v>0</v>
      </c>
      <c r="E114" s="43" t="n">
        <f aca="false">MAX(0,E110+E111+E112+E113)</f>
        <v>0</v>
      </c>
      <c r="F114" s="43" t="n">
        <f aca="false">MAX(0,F110+F111+F112+F113)</f>
        <v>0</v>
      </c>
      <c r="G114" s="43" t="n">
        <f aca="false">MAX(0,G110+G111+G112+G113)</f>
        <v>0</v>
      </c>
      <c r="H114" s="43" t="n">
        <f aca="false">MAX(0,H110+H111+H112+H113)</f>
        <v>0</v>
      </c>
      <c r="I114" s="43" t="n">
        <f aca="false">MAX(0,I110+I111+I112+I113)</f>
        <v>0</v>
      </c>
      <c r="J114" s="43" t="n">
        <f aca="false">MAX(0,J110+J111+J112+J113)</f>
        <v>0</v>
      </c>
      <c r="K114" s="43" t="n">
        <f aca="false">MAX(0,K110+K111+K112+K113)</f>
        <v>0</v>
      </c>
      <c r="L114" s="43" t="n">
        <f aca="false">MAX(0,L110+L111+L112+L113)</f>
        <v>0</v>
      </c>
      <c r="M114" s="43" t="n">
        <f aca="false">MAX(0,M110+M111+M112+M113)</f>
        <v>0</v>
      </c>
      <c r="N114" s="43" t="n">
        <f aca="false">MAX(0,N110+N111+N112+N113)</f>
        <v>0</v>
      </c>
      <c r="O114" s="43" t="n">
        <f aca="false">MAX(0,O110+O111+O112+O113)</f>
        <v>0</v>
      </c>
      <c r="P114" s="43" t="n">
        <f aca="false">MAX(0,P110+P111+P112+P113)</f>
        <v>0</v>
      </c>
      <c r="Q114" s="43" t="n">
        <f aca="false">MAX(0,Q110+Q111+Q112+Q113)</f>
        <v>0</v>
      </c>
      <c r="R114" s="43" t="n">
        <f aca="false">MAX(0,R110+R111+R112+R113)</f>
        <v>0</v>
      </c>
      <c r="S114" s="43" t="n">
        <f aca="false">MAX(0,S110+S111+S112+S113)</f>
        <v>0</v>
      </c>
      <c r="T114" s="43" t="n">
        <f aca="false">MAX(0,T110+T111+T112+T113)</f>
        <v>0</v>
      </c>
      <c r="U114" s="43" t="n">
        <f aca="false">MAX(0,U110+U111+U112+U113)</f>
        <v>0</v>
      </c>
      <c r="V114" s="43" t="n">
        <f aca="false">MAX(0,V110+V111+V112+V113)</f>
        <v>0</v>
      </c>
      <c r="W114" s="43" t="n">
        <f aca="false">MAX(0,W110+W111+W112+W113)</f>
        <v>0</v>
      </c>
      <c r="X114" s="43" t="n">
        <f aca="false">MAX(0,X110+X111+X112+X113)</f>
        <v>0</v>
      </c>
      <c r="Y114" s="43" t="n">
        <f aca="false">MAX(0,Y110+Y111+Y112+Y113)</f>
        <v>0</v>
      </c>
      <c r="Z114" s="43" t="n">
        <f aca="false">MAX(0,Z110+Z111+Z112+Z113)</f>
        <v>0</v>
      </c>
      <c r="AA114" s="43" t="n">
        <f aca="false">MAX(0,AA110+AA111+AA112+AA113)</f>
        <v>0</v>
      </c>
      <c r="AB114" s="43" t="n">
        <f aca="false">MAX(0,AB110+AB111+AB112+AB113)</f>
        <v>0</v>
      </c>
      <c r="AC114" s="43" t="n">
        <f aca="false">MAX(0,AC110+AC111+AC112+AC113)</f>
        <v>0</v>
      </c>
      <c r="AD114" s="43" t="n">
        <f aca="false">MAX(0,AD110+AD111+AD112+AD113)</f>
        <v>0</v>
      </c>
      <c r="AE114" s="43" t="n">
        <f aca="false">MAX(0,AE110+AE111+AE112+AE113)</f>
        <v>0</v>
      </c>
      <c r="AF114" s="43" t="n">
        <f aca="false">MAX(0,AF110+AF111+AF112+AF113)</f>
        <v>0</v>
      </c>
      <c r="AG114" s="43" t="n">
        <f aca="false">MAX(0,AG110+AG111+AG112+AG113)</f>
        <v>0</v>
      </c>
      <c r="AH114" s="43" t="n">
        <f aca="false">MAX(0,AH110+AH111+AH112+AH113)</f>
        <v>0</v>
      </c>
      <c r="AI114" s="43" t="n">
        <f aca="false">MAX(0,AI110+AI111+AI112+AI113)</f>
        <v>0</v>
      </c>
      <c r="AJ114" s="43" t="n">
        <f aca="false">MAX(0,AJ110+AJ111+AJ112+AJ113)</f>
        <v>0</v>
      </c>
      <c r="AK114" s="43" t="n">
        <f aca="false">MAX(0,AK110+AK111+AK112+AK113)</f>
        <v>0</v>
      </c>
      <c r="AL114" s="43" t="n">
        <f aca="false">MAX(0,AL110+AL111+AL112+AL113)</f>
        <v>0</v>
      </c>
      <c r="AM114" s="43" t="n">
        <f aca="false">MAX(0,AM110+AM111+AM112+AM113)</f>
        <v>0</v>
      </c>
      <c r="AN114" s="43" t="n">
        <f aca="false">MAX(0,AN110+AN111+AN112+AN113)</f>
        <v>0</v>
      </c>
      <c r="AO114" s="43" t="n">
        <f aca="false">MAX(0,AO110+AO111+AO112+AO113)</f>
        <v>0</v>
      </c>
      <c r="AP114" s="43" t="n">
        <f aca="false">MAX(0,AP110+AP111+AP112+AP113)</f>
        <v>0</v>
      </c>
      <c r="AQ114" s="43" t="n">
        <f aca="false">MAX(0,AQ110+AQ111+AQ112+AQ113)</f>
        <v>0</v>
      </c>
      <c r="AR114" s="43" t="n">
        <f aca="false">MAX(0,AR110+AR111+AR112+AR113)</f>
        <v>0</v>
      </c>
      <c r="AS114" s="43" t="n">
        <f aca="false">MAX(0,AS110+AS111+AS112+AS113)</f>
        <v>0</v>
      </c>
      <c r="AT114" s="43" t="n">
        <f aca="false">MAX(0,AT110+AT111+AT112+AT113)</f>
        <v>0</v>
      </c>
      <c r="AU114" s="43" t="n">
        <f aca="false">MAX(0,AU110+AU111+AU112+AU113)</f>
        <v>0</v>
      </c>
      <c r="AV114" s="43" t="n">
        <f aca="false">MAX(0,AV110+AV111+AV112+AV113)</f>
        <v>0</v>
      </c>
      <c r="AW114" s="43" t="n">
        <f aca="false">MAX(0,AW110+AW111+AW112+AW113)</f>
        <v>0</v>
      </c>
      <c r="AX114" s="43" t="n">
        <f aca="false">MAX(0,AX110+AX111+AX112+AX113)</f>
        <v>0</v>
      </c>
      <c r="AY114" s="43" t="n">
        <f aca="false">MAX(0,AY110+AY111+AY112+AY113)</f>
        <v>0</v>
      </c>
      <c r="AZ114" s="43" t="n">
        <f aca="false">MAX(0,AZ110+AZ111+AZ112+AZ113)</f>
        <v>0</v>
      </c>
      <c r="BA114" s="43" t="n">
        <f aca="false">MAX(0,BA110+BA111+BA112+BA113)</f>
        <v>0</v>
      </c>
      <c r="BB114" s="43" t="n">
        <f aca="false">MAX(0,BB110+BB111+BB112+BB113)</f>
        <v>0</v>
      </c>
      <c r="BC114" s="43" t="n">
        <f aca="false">MAX(0,BC110+BC111+BC112+BC113)</f>
        <v>0</v>
      </c>
      <c r="BD114" s="43" t="n">
        <f aca="false">MAX(0,BD110+BD111+BD112+BD113)</f>
        <v>0</v>
      </c>
      <c r="BE114" s="43" t="n">
        <f aca="false">MAX(0,BE110+BE111+BE112+BE113)</f>
        <v>0</v>
      </c>
      <c r="BF114" s="43" t="n">
        <f aca="false">MAX(0,BF110+BF111+BF112+BF113)</f>
        <v>0</v>
      </c>
      <c r="BG114" s="43" t="n">
        <f aca="false">MAX(0,BG110+BG111+BG112+BG113)</f>
        <v>0</v>
      </c>
      <c r="BH114" s="43" t="n">
        <f aca="false">MAX(0,BH110+BH111+BH112+BH113)</f>
        <v>0</v>
      </c>
      <c r="BI114" s="43" t="n">
        <f aca="false">MAX(0,BI110+BI111+BI112+BI113)</f>
        <v>0</v>
      </c>
      <c r="BJ114" s="43" t="n">
        <f aca="false">MAX(0,BJ110+BJ111+BJ112+BJ113)</f>
        <v>0</v>
      </c>
      <c r="BK114" s="43" t="n">
        <f aca="false">MAX(0,BK110+BK111+BK112+BK113)</f>
        <v>0</v>
      </c>
      <c r="BL114" s="43" t="n">
        <f aca="false">MAX(0,BL110+BL111+BL112+BL113)</f>
        <v>0</v>
      </c>
      <c r="BM114" s="43" t="n">
        <f aca="false">MAX(0,BM110+BM111+BM112+BM113)</f>
        <v>0</v>
      </c>
      <c r="BN114" s="43" t="n">
        <f aca="false">MAX(0,BN110+BN111+BN112+BN113)</f>
        <v>0</v>
      </c>
      <c r="BO114" s="43" t="n">
        <f aca="false">MAX(0,BO110+BO111+BO112+BO113)</f>
        <v>0</v>
      </c>
      <c r="BP114" s="43" t="n">
        <f aca="false">MAX(0,BP110+BP111+BP112+BP113)</f>
        <v>0</v>
      </c>
      <c r="BQ114" s="43" t="n">
        <f aca="false">MAX(0,BQ110+BQ111+BQ112+BQ113)</f>
        <v>0</v>
      </c>
      <c r="BR114" s="43" t="n">
        <f aca="false">MAX(0,BR110+BR111+BR112+BR113)</f>
        <v>0</v>
      </c>
      <c r="BS114" s="43" t="n">
        <f aca="false">MAX(0,BS110+BS111+BS112+BS113)</f>
        <v>0</v>
      </c>
      <c r="BT114" s="43" t="n">
        <f aca="false">MAX(0,BT110+BT111+BT112+BT113)</f>
        <v>0</v>
      </c>
      <c r="BU114" s="43" t="n">
        <f aca="false">MAX(0,BU110+BU111+BU112+BU113)</f>
        <v>0</v>
      </c>
      <c r="BV114" s="43" t="n">
        <f aca="false">MAX(0,BV110+BV111+BV112+BV113)</f>
        <v>0</v>
      </c>
      <c r="BW114" s="43" t="n">
        <f aca="false">MAX(0,BW110+BW111+BW112+BW113)</f>
        <v>0</v>
      </c>
      <c r="BX114" s="43" t="n">
        <f aca="false">MAX(0,BX110+BX111+BX112+BX113)</f>
        <v>0</v>
      </c>
      <c r="BY114" s="43" t="n">
        <f aca="false">MAX(0,BY110+BY111+BY112+BY113)</f>
        <v>0</v>
      </c>
      <c r="BZ114" s="43" t="n">
        <f aca="false">MAX(0,BZ110+BZ111+BZ112+BZ113)</f>
        <v>0</v>
      </c>
      <c r="CA114" s="43" t="n">
        <f aca="false">MAX(0,CA110+CA111+CA112+CA113)</f>
        <v>0</v>
      </c>
      <c r="CB114" s="43" t="n">
        <f aca="false">MAX(0,CB110+CB111+CB112+CB113)</f>
        <v>0</v>
      </c>
      <c r="CC114" s="43" t="n">
        <f aca="false">MAX(0,CC110+CC111+CC112+CC113)</f>
        <v>0</v>
      </c>
      <c r="CD114" s="43" t="n">
        <f aca="false">MAX(0,CD110+CD111+CD112+CD113)</f>
        <v>0</v>
      </c>
      <c r="CE114" s="43" t="n">
        <f aca="false">MAX(0,CE110+CE111+CE112+CE113)</f>
        <v>0</v>
      </c>
      <c r="CF114" s="43" t="n">
        <f aca="false">MAX(0,CF110+CF111+CF112+CF113)</f>
        <v>0</v>
      </c>
      <c r="CG114" s="43" t="n">
        <f aca="false">MAX(0,CG110+CG111+CG112+CG113)</f>
        <v>0</v>
      </c>
      <c r="CH114" s="43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8" t="n">
        <f aca="false">IF(AND(Projects!$G$12="Yes",Projects!$C$12&lt;=1),Assumptions!$B$61,0)</f>
        <v>0</v>
      </c>
      <c r="D115" s="38" t="n">
        <f aca="false">IF(AND(Projects!$G$12="Yes",2=Projects!$C$12),Assumptions!$B$61,C119)</f>
        <v>0</v>
      </c>
      <c r="E115" s="38" t="n">
        <f aca="false">IF(AND(Projects!$G$12="Yes",3=Projects!$C$12),Assumptions!$B$61,D119)</f>
        <v>0</v>
      </c>
      <c r="F115" s="38" t="n">
        <f aca="false">IF(AND(Projects!$G$12="Yes",4=Projects!$C$12),Assumptions!$B$61,E119)</f>
        <v>0</v>
      </c>
      <c r="G115" s="38" t="n">
        <f aca="false">IF(AND(Projects!$G$12="Yes",5=Projects!$C$12),Assumptions!$B$61,F119)</f>
        <v>0</v>
      </c>
      <c r="H115" s="38" t="n">
        <f aca="false">IF(AND(Projects!$G$12="Yes",6=Projects!$C$12),Assumptions!$B$61,G119)</f>
        <v>0</v>
      </c>
      <c r="I115" s="38" t="n">
        <f aca="false">IF(AND(Projects!$G$12="Yes",7=Projects!$C$12),Assumptions!$B$61,H119)</f>
        <v>0</v>
      </c>
      <c r="J115" s="38" t="n">
        <f aca="false">IF(AND(Projects!$G$12="Yes",8=Projects!$C$12),Assumptions!$B$61,I119)</f>
        <v>0</v>
      </c>
      <c r="K115" s="38" t="n">
        <f aca="false">IF(AND(Projects!$G$12="Yes",9=Projects!$C$12),Assumptions!$B$61,J119)</f>
        <v>0</v>
      </c>
      <c r="L115" s="38" t="n">
        <f aca="false">IF(AND(Projects!$G$12="Yes",10=Projects!$C$12),Assumptions!$B$61,K119)</f>
        <v>0</v>
      </c>
      <c r="M115" s="38" t="n">
        <f aca="false">IF(AND(Projects!$G$12="Yes",11=Projects!$C$12),Assumptions!$B$61,L119)</f>
        <v>0</v>
      </c>
      <c r="N115" s="38" t="n">
        <f aca="false">IF(AND(Projects!$G$12="Yes",12=Projects!$C$12),Assumptions!$B$61,M119)</f>
        <v>0</v>
      </c>
      <c r="O115" s="38" t="n">
        <f aca="false">IF(AND(Projects!$G$12="Yes",13=Projects!$C$12),Assumptions!$B$61,N119)</f>
        <v>0</v>
      </c>
      <c r="P115" s="38" t="n">
        <f aca="false">IF(AND(Projects!$G$12="Yes",14=Projects!$C$12),Assumptions!$B$61,O119)</f>
        <v>0</v>
      </c>
      <c r="Q115" s="38" t="n">
        <f aca="false">IF(AND(Projects!$G$12="Yes",15=Projects!$C$12),Assumptions!$B$61,P119)</f>
        <v>0</v>
      </c>
      <c r="R115" s="38" t="n">
        <f aca="false">IF(AND(Projects!$G$12="Yes",16=Projects!$C$12),Assumptions!$B$61,Q119)</f>
        <v>0</v>
      </c>
      <c r="S115" s="38" t="n">
        <f aca="false">IF(AND(Projects!$G$12="Yes",17=Projects!$C$12),Assumptions!$B$61,R119)</f>
        <v>0</v>
      </c>
      <c r="T115" s="38" t="n">
        <f aca="false">IF(AND(Projects!$G$12="Yes",18=Projects!$C$12),Assumptions!$B$61,S119)</f>
        <v>0</v>
      </c>
      <c r="U115" s="38" t="n">
        <f aca="false">IF(AND(Projects!$G$12="Yes",19=Projects!$C$12),Assumptions!$B$61,T119)</f>
        <v>0</v>
      </c>
      <c r="V115" s="38" t="n">
        <f aca="false">IF(AND(Projects!$G$12="Yes",20=Projects!$C$12),Assumptions!$B$61,U119)</f>
        <v>0</v>
      </c>
      <c r="W115" s="38" t="n">
        <f aca="false">IF(AND(Projects!$G$12="Yes",21=Projects!$C$12),Assumptions!$B$61,V119)</f>
        <v>0</v>
      </c>
      <c r="X115" s="38" t="n">
        <f aca="false">IF(AND(Projects!$G$12="Yes",22=Projects!$C$12),Assumptions!$B$61,W119)</f>
        <v>0</v>
      </c>
      <c r="Y115" s="38" t="n">
        <f aca="false">IF(AND(Projects!$G$12="Yes",23=Projects!$C$12),Assumptions!$B$61,X119)</f>
        <v>0</v>
      </c>
      <c r="Z115" s="38" t="n">
        <f aca="false">IF(AND(Projects!$G$12="Yes",24=Projects!$C$12),Assumptions!$B$61,Y119)</f>
        <v>0</v>
      </c>
      <c r="AA115" s="38" t="n">
        <f aca="false">IF(AND(Projects!$G$12="Yes",25=Projects!$C$12),Assumptions!$B$61,Z119)</f>
        <v>0</v>
      </c>
      <c r="AB115" s="38" t="n">
        <f aca="false">IF(AND(Projects!$G$12="Yes",26=Projects!$C$12),Assumptions!$B$61,AA119)</f>
        <v>0</v>
      </c>
      <c r="AC115" s="38" t="n">
        <f aca="false">IF(AND(Projects!$G$12="Yes",27=Projects!$C$12),Assumptions!$B$61,AB119)</f>
        <v>0</v>
      </c>
      <c r="AD115" s="38" t="n">
        <f aca="false">IF(AND(Projects!$G$12="Yes",28=Projects!$C$12),Assumptions!$B$61,AC119)</f>
        <v>0</v>
      </c>
      <c r="AE115" s="38" t="n">
        <f aca="false">IF(AND(Projects!$G$12="Yes",29=Projects!$C$12),Assumptions!$B$61,AD119)</f>
        <v>0</v>
      </c>
      <c r="AF115" s="38" t="n">
        <f aca="false">IF(AND(Projects!$G$12="Yes",30=Projects!$C$12),Assumptions!$B$61,AE119)</f>
        <v>0</v>
      </c>
      <c r="AG115" s="38" t="n">
        <f aca="false">IF(AND(Projects!$G$12="Yes",31=Projects!$C$12),Assumptions!$B$61,AF119)</f>
        <v>0</v>
      </c>
      <c r="AH115" s="38" t="n">
        <f aca="false">IF(AND(Projects!$G$12="Yes",32=Projects!$C$12),Assumptions!$B$61,AG119)</f>
        <v>0</v>
      </c>
      <c r="AI115" s="38" t="n">
        <f aca="false">IF(AND(Projects!$G$12="Yes",33=Projects!$C$12),Assumptions!$B$61,AH119)</f>
        <v>0</v>
      </c>
      <c r="AJ115" s="38" t="n">
        <f aca="false">IF(AND(Projects!$G$12="Yes",34=Projects!$C$12),Assumptions!$B$61,AI119)</f>
        <v>0</v>
      </c>
      <c r="AK115" s="38" t="n">
        <f aca="false">IF(AND(Projects!$G$12="Yes",35=Projects!$C$12),Assumptions!$B$61,AJ119)</f>
        <v>0</v>
      </c>
      <c r="AL115" s="38" t="n">
        <f aca="false">IF(AND(Projects!$G$12="Yes",36=Projects!$C$12),Assumptions!$B$61,AK119)</f>
        <v>0</v>
      </c>
      <c r="AM115" s="38" t="n">
        <f aca="false">IF(AND(Projects!$G$12="Yes",37=Projects!$C$12),Assumptions!$B$61,AL119)</f>
        <v>0</v>
      </c>
      <c r="AN115" s="38" t="n">
        <f aca="false">IF(AND(Projects!$G$12="Yes",38=Projects!$C$12),Assumptions!$B$61,AM119)</f>
        <v>0</v>
      </c>
      <c r="AO115" s="38" t="n">
        <f aca="false">IF(AND(Projects!$G$12="Yes",39=Projects!$C$12),Assumptions!$B$61,AN119)</f>
        <v>0</v>
      </c>
      <c r="AP115" s="38" t="n">
        <f aca="false">IF(AND(Projects!$G$12="Yes",40=Projects!$C$12),Assumptions!$B$61,AO119)</f>
        <v>0</v>
      </c>
      <c r="AQ115" s="38" t="n">
        <f aca="false">IF(AND(Projects!$G$12="Yes",41=Projects!$C$12),Assumptions!$B$61,AP119)</f>
        <v>0</v>
      </c>
      <c r="AR115" s="38" t="n">
        <f aca="false">IF(AND(Projects!$G$12="Yes",42=Projects!$C$12),Assumptions!$B$61,AQ119)</f>
        <v>0</v>
      </c>
      <c r="AS115" s="38" t="n">
        <f aca="false">IF(AND(Projects!$G$12="Yes",43=Projects!$C$12),Assumptions!$B$61,AR119)</f>
        <v>0</v>
      </c>
      <c r="AT115" s="38" t="n">
        <f aca="false">IF(AND(Projects!$G$12="Yes",44=Projects!$C$12),Assumptions!$B$61,AS119)</f>
        <v>0</v>
      </c>
      <c r="AU115" s="38" t="n">
        <f aca="false">IF(AND(Projects!$G$12="Yes",45=Projects!$C$12),Assumptions!$B$61,AT119)</f>
        <v>0</v>
      </c>
      <c r="AV115" s="38" t="n">
        <f aca="false">IF(AND(Projects!$G$12="Yes",46=Projects!$C$12),Assumptions!$B$61,AU119)</f>
        <v>0</v>
      </c>
      <c r="AW115" s="38" t="n">
        <f aca="false">IF(AND(Projects!$G$12="Yes",47=Projects!$C$12),Assumptions!$B$61,AV119)</f>
        <v>0</v>
      </c>
      <c r="AX115" s="38" t="n">
        <f aca="false">IF(AND(Projects!$G$12="Yes",48=Projects!$C$12),Assumptions!$B$61,AW119)</f>
        <v>0</v>
      </c>
      <c r="AY115" s="38" t="n">
        <f aca="false">IF(AND(Projects!$G$12="Yes",49=Projects!$C$12),Assumptions!$B$61,AX119)</f>
        <v>0</v>
      </c>
      <c r="AZ115" s="38" t="n">
        <f aca="false">IF(AND(Projects!$G$12="Yes",50=Projects!$C$12),Assumptions!$B$61,AY119)</f>
        <v>0</v>
      </c>
      <c r="BA115" s="38" t="n">
        <f aca="false">IF(AND(Projects!$G$12="Yes",51=Projects!$C$12),Assumptions!$B$61,AZ119)</f>
        <v>0</v>
      </c>
      <c r="BB115" s="38" t="n">
        <f aca="false">IF(AND(Projects!$G$12="Yes",52=Projects!$C$12),Assumptions!$B$61,BA119)</f>
        <v>0</v>
      </c>
      <c r="BC115" s="38" t="n">
        <f aca="false">IF(AND(Projects!$G$12="Yes",53=Projects!$C$12),Assumptions!$B$61,BB119)</f>
        <v>0</v>
      </c>
      <c r="BD115" s="38" t="n">
        <f aca="false">IF(AND(Projects!$G$12="Yes",54=Projects!$C$12),Assumptions!$B$61,BC119)</f>
        <v>0</v>
      </c>
      <c r="BE115" s="38" t="n">
        <f aca="false">IF(AND(Projects!$G$12="Yes",55=Projects!$C$12),Assumptions!$B$61,BD119)</f>
        <v>0</v>
      </c>
      <c r="BF115" s="38" t="n">
        <f aca="false">IF(AND(Projects!$G$12="Yes",56=Projects!$C$12),Assumptions!$B$61,BE119)</f>
        <v>0</v>
      </c>
      <c r="BG115" s="38" t="n">
        <f aca="false">IF(AND(Projects!$G$12="Yes",57=Projects!$C$12),Assumptions!$B$61,BF119)</f>
        <v>0</v>
      </c>
      <c r="BH115" s="38" t="n">
        <f aca="false">IF(AND(Projects!$G$12="Yes",58=Projects!$C$12),Assumptions!$B$61,BG119)</f>
        <v>0</v>
      </c>
      <c r="BI115" s="38" t="n">
        <f aca="false">IF(AND(Projects!$G$12="Yes",59=Projects!$C$12),Assumptions!$B$61,BH119)</f>
        <v>0</v>
      </c>
      <c r="BJ115" s="38" t="n">
        <f aca="false">IF(AND(Projects!$G$12="Yes",60=Projects!$C$12),Assumptions!$B$61,BI119)</f>
        <v>0</v>
      </c>
      <c r="BK115" s="38" t="n">
        <f aca="false">IF(AND(Projects!$G$12="Yes",61=Projects!$C$12),Assumptions!$B$61,BJ119)</f>
        <v>0</v>
      </c>
      <c r="BL115" s="38" t="n">
        <f aca="false">IF(AND(Projects!$G$12="Yes",62=Projects!$C$12),Assumptions!$B$61,BK119)</f>
        <v>0</v>
      </c>
      <c r="BM115" s="38" t="n">
        <f aca="false">IF(AND(Projects!$G$12="Yes",63=Projects!$C$12),Assumptions!$B$61,BL119)</f>
        <v>0</v>
      </c>
      <c r="BN115" s="38" t="n">
        <f aca="false">IF(AND(Projects!$G$12="Yes",64=Projects!$C$12),Assumptions!$B$61,BM119)</f>
        <v>0</v>
      </c>
      <c r="BO115" s="38" t="n">
        <f aca="false">IF(AND(Projects!$G$12="Yes",65=Projects!$C$12),Assumptions!$B$61,BN119)</f>
        <v>0</v>
      </c>
      <c r="BP115" s="38" t="n">
        <f aca="false">IF(AND(Projects!$G$12="Yes",66=Projects!$C$12),Assumptions!$B$61,BO119)</f>
        <v>0</v>
      </c>
      <c r="BQ115" s="38" t="n">
        <f aca="false">IF(AND(Projects!$G$12="Yes",67=Projects!$C$12),Assumptions!$B$61,BP119)</f>
        <v>0</v>
      </c>
      <c r="BR115" s="38" t="n">
        <f aca="false">IF(AND(Projects!$G$12="Yes",68=Projects!$C$12),Assumptions!$B$61,BQ119)</f>
        <v>0</v>
      </c>
      <c r="BS115" s="38" t="n">
        <f aca="false">IF(AND(Projects!$G$12="Yes",69=Projects!$C$12),Assumptions!$B$61,BR119)</f>
        <v>0</v>
      </c>
      <c r="BT115" s="38" t="n">
        <f aca="false">IF(AND(Projects!$G$12="Yes",70=Projects!$C$12),Assumptions!$B$61,BS119)</f>
        <v>0</v>
      </c>
      <c r="BU115" s="38" t="n">
        <f aca="false">IF(AND(Projects!$G$12="Yes",71=Projects!$C$12),Assumptions!$B$61,BT119)</f>
        <v>0</v>
      </c>
      <c r="BV115" s="38" t="n">
        <f aca="false">IF(AND(Projects!$G$12="Yes",72=Projects!$C$12),Assumptions!$B$61,BU119)</f>
        <v>0</v>
      </c>
      <c r="BW115" s="38" t="n">
        <f aca="false">IF(AND(Projects!$G$12="Yes",73=Projects!$C$12),Assumptions!$B$61,BV119)</f>
        <v>0</v>
      </c>
      <c r="BX115" s="38" t="n">
        <f aca="false">IF(AND(Projects!$G$12="Yes",74=Projects!$C$12),Assumptions!$B$61,BW119)</f>
        <v>0</v>
      </c>
      <c r="BY115" s="38" t="n">
        <f aca="false">IF(AND(Projects!$G$12="Yes",75=Projects!$C$12),Assumptions!$B$61,BX119)</f>
        <v>0</v>
      </c>
      <c r="BZ115" s="38" t="n">
        <f aca="false">IF(AND(Projects!$G$12="Yes",76=Projects!$C$12),Assumptions!$B$61,BY119)</f>
        <v>0</v>
      </c>
      <c r="CA115" s="38" t="n">
        <f aca="false">IF(AND(Projects!$G$12="Yes",77=Projects!$C$12),Assumptions!$B$61,BZ119)</f>
        <v>0</v>
      </c>
      <c r="CB115" s="38" t="n">
        <f aca="false">IF(AND(Projects!$G$12="Yes",78=Projects!$C$12),Assumptions!$B$61,CA119)</f>
        <v>0</v>
      </c>
      <c r="CC115" s="38" t="n">
        <f aca="false">IF(AND(Projects!$G$12="Yes",79=Projects!$C$12),Assumptions!$B$61,CB119)</f>
        <v>0</v>
      </c>
      <c r="CD115" s="38" t="n">
        <f aca="false">IF(AND(Projects!$G$12="Yes",80=Projects!$C$12),Assumptions!$B$61,CC119)</f>
        <v>0</v>
      </c>
      <c r="CE115" s="38" t="n">
        <f aca="false">IF(AND(Projects!$G$12="Yes",81=Projects!$C$12),Assumptions!$B$61,CD119)</f>
        <v>0</v>
      </c>
      <c r="CF115" s="38" t="n">
        <f aca="false">IF(AND(Projects!$G$12="Yes",82=Projects!$C$12),Assumptions!$B$61,CE119)</f>
        <v>0</v>
      </c>
      <c r="CG115" s="38" t="n">
        <f aca="false">IF(AND(Projects!$G$12="Yes",83=Projects!$C$12),Assumptions!$B$61,CF119)</f>
        <v>0</v>
      </c>
      <c r="CH115" s="38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IF(AND(MOD(1,3)=0,C115&gt;0),C115*Assumptions!$B$59,0)</f>
        <v>0</v>
      </c>
      <c r="D116" s="38" t="n">
        <f aca="false">IF(AND(MOD(2,3)=0,D115&gt;0),D115*Assumptions!$B$59,0)</f>
        <v>0</v>
      </c>
      <c r="E116" s="38" t="n">
        <f aca="false">IF(AND(MOD(3,3)=0,E115&gt;0),E115*Assumptions!$B$59,0)</f>
        <v>0</v>
      </c>
      <c r="F116" s="38" t="n">
        <f aca="false">IF(AND(MOD(4,3)=0,F115&gt;0),F115*Assumptions!$B$59,0)</f>
        <v>0</v>
      </c>
      <c r="G116" s="38" t="n">
        <f aca="false">IF(AND(MOD(5,3)=0,G115&gt;0),G115*Assumptions!$B$59,0)</f>
        <v>0</v>
      </c>
      <c r="H116" s="38" t="n">
        <f aca="false">IF(AND(MOD(6,3)=0,H115&gt;0),H115*Assumptions!$B$59,0)</f>
        <v>0</v>
      </c>
      <c r="I116" s="38" t="n">
        <f aca="false">IF(AND(MOD(7,3)=0,I115&gt;0),I115*Assumptions!$B$59,0)</f>
        <v>0</v>
      </c>
      <c r="J116" s="38" t="n">
        <f aca="false">IF(AND(MOD(8,3)=0,J115&gt;0),J115*Assumptions!$B$59,0)</f>
        <v>0</v>
      </c>
      <c r="K116" s="38" t="n">
        <f aca="false">IF(AND(MOD(9,3)=0,K115&gt;0),K115*Assumptions!$B$59,0)</f>
        <v>0</v>
      </c>
      <c r="L116" s="38" t="n">
        <f aca="false">IF(AND(MOD(10,3)=0,L115&gt;0),L115*Assumptions!$B$59,0)</f>
        <v>0</v>
      </c>
      <c r="M116" s="38" t="n">
        <f aca="false">IF(AND(MOD(11,3)=0,M115&gt;0),M115*Assumptions!$B$59,0)</f>
        <v>0</v>
      </c>
      <c r="N116" s="38" t="n">
        <f aca="false">IF(AND(MOD(12,3)=0,N115&gt;0),N115*Assumptions!$B$59,0)</f>
        <v>0</v>
      </c>
      <c r="O116" s="38" t="n">
        <f aca="false">IF(AND(MOD(13,3)=0,O115&gt;0),O115*Assumptions!$B$59,0)</f>
        <v>0</v>
      </c>
      <c r="P116" s="38" t="n">
        <f aca="false">IF(AND(MOD(14,3)=0,P115&gt;0),P115*Assumptions!$B$59,0)</f>
        <v>0</v>
      </c>
      <c r="Q116" s="38" t="n">
        <f aca="false">IF(AND(MOD(15,3)=0,Q115&gt;0),Q115*Assumptions!$B$59,0)</f>
        <v>0</v>
      </c>
      <c r="R116" s="38" t="n">
        <f aca="false">IF(AND(MOD(16,3)=0,R115&gt;0),R115*Assumptions!$B$59,0)</f>
        <v>0</v>
      </c>
      <c r="S116" s="38" t="n">
        <f aca="false">IF(AND(MOD(17,3)=0,S115&gt;0),S115*Assumptions!$B$59,0)</f>
        <v>0</v>
      </c>
      <c r="T116" s="38" t="n">
        <f aca="false">IF(AND(MOD(18,3)=0,T115&gt;0),T115*Assumptions!$B$59,0)</f>
        <v>0</v>
      </c>
      <c r="U116" s="38" t="n">
        <f aca="false">IF(AND(MOD(19,3)=0,U115&gt;0),U115*Assumptions!$B$59,0)</f>
        <v>0</v>
      </c>
      <c r="V116" s="38" t="n">
        <f aca="false">IF(AND(MOD(20,3)=0,V115&gt;0),V115*Assumptions!$B$59,0)</f>
        <v>0</v>
      </c>
      <c r="W116" s="38" t="n">
        <f aca="false">IF(AND(MOD(21,3)=0,W115&gt;0),W115*Assumptions!$B$59,0)</f>
        <v>0</v>
      </c>
      <c r="X116" s="38" t="n">
        <f aca="false">IF(AND(MOD(22,3)=0,X115&gt;0),X115*Assumptions!$B$59,0)</f>
        <v>0</v>
      </c>
      <c r="Y116" s="38" t="n">
        <f aca="false">IF(AND(MOD(23,3)=0,Y115&gt;0),Y115*Assumptions!$B$59,0)</f>
        <v>0</v>
      </c>
      <c r="Z116" s="38" t="n">
        <f aca="false">IF(AND(MOD(24,3)=0,Z115&gt;0),Z115*Assumptions!$B$59,0)</f>
        <v>0</v>
      </c>
      <c r="AA116" s="38" t="n">
        <f aca="false">IF(AND(MOD(25,3)=0,AA115&gt;0),AA115*Assumptions!$B$59,0)</f>
        <v>0</v>
      </c>
      <c r="AB116" s="38" t="n">
        <f aca="false">IF(AND(MOD(26,3)=0,AB115&gt;0),AB115*Assumptions!$B$59,0)</f>
        <v>0</v>
      </c>
      <c r="AC116" s="38" t="n">
        <f aca="false">IF(AND(MOD(27,3)=0,AC115&gt;0),AC115*Assumptions!$B$59,0)</f>
        <v>0</v>
      </c>
      <c r="AD116" s="38" t="n">
        <f aca="false">IF(AND(MOD(28,3)=0,AD115&gt;0),AD115*Assumptions!$B$59,0)</f>
        <v>0</v>
      </c>
      <c r="AE116" s="38" t="n">
        <f aca="false">IF(AND(MOD(29,3)=0,AE115&gt;0),AE115*Assumptions!$B$59,0)</f>
        <v>0</v>
      </c>
      <c r="AF116" s="38" t="n">
        <f aca="false">IF(AND(MOD(30,3)=0,AF115&gt;0),AF115*Assumptions!$B$59,0)</f>
        <v>0</v>
      </c>
      <c r="AG116" s="38" t="n">
        <f aca="false">IF(AND(MOD(31,3)=0,AG115&gt;0),AG115*Assumptions!$B$59,0)</f>
        <v>0</v>
      </c>
      <c r="AH116" s="38" t="n">
        <f aca="false">IF(AND(MOD(32,3)=0,AH115&gt;0),AH115*Assumptions!$B$59,0)</f>
        <v>0</v>
      </c>
      <c r="AI116" s="38" t="n">
        <f aca="false">IF(AND(MOD(33,3)=0,AI115&gt;0),AI115*Assumptions!$B$59,0)</f>
        <v>0</v>
      </c>
      <c r="AJ116" s="38" t="n">
        <f aca="false">IF(AND(MOD(34,3)=0,AJ115&gt;0),AJ115*Assumptions!$B$59,0)</f>
        <v>0</v>
      </c>
      <c r="AK116" s="38" t="n">
        <f aca="false">IF(AND(MOD(35,3)=0,AK115&gt;0),AK115*Assumptions!$B$59,0)</f>
        <v>0</v>
      </c>
      <c r="AL116" s="38" t="n">
        <f aca="false">IF(AND(MOD(36,3)=0,AL115&gt;0),AL115*Assumptions!$B$59,0)</f>
        <v>0</v>
      </c>
      <c r="AM116" s="38" t="n">
        <f aca="false">IF(AND(MOD(37,3)=0,AM115&gt;0),AM115*Assumptions!$B$59,0)</f>
        <v>0</v>
      </c>
      <c r="AN116" s="38" t="n">
        <f aca="false">IF(AND(MOD(38,3)=0,AN115&gt;0),AN115*Assumptions!$B$59,0)</f>
        <v>0</v>
      </c>
      <c r="AO116" s="38" t="n">
        <f aca="false">IF(AND(MOD(39,3)=0,AO115&gt;0),AO115*Assumptions!$B$59,0)</f>
        <v>0</v>
      </c>
      <c r="AP116" s="38" t="n">
        <f aca="false">IF(AND(MOD(40,3)=0,AP115&gt;0),AP115*Assumptions!$B$59,0)</f>
        <v>0</v>
      </c>
      <c r="AQ116" s="38" t="n">
        <f aca="false">IF(AND(MOD(41,3)=0,AQ115&gt;0),AQ115*Assumptions!$B$59,0)</f>
        <v>0</v>
      </c>
      <c r="AR116" s="38" t="n">
        <f aca="false">IF(AND(MOD(42,3)=0,AR115&gt;0),AR115*Assumptions!$B$59,0)</f>
        <v>0</v>
      </c>
      <c r="AS116" s="38" t="n">
        <f aca="false">IF(AND(MOD(43,3)=0,AS115&gt;0),AS115*Assumptions!$B$59,0)</f>
        <v>0</v>
      </c>
      <c r="AT116" s="38" t="n">
        <f aca="false">IF(AND(MOD(44,3)=0,AT115&gt;0),AT115*Assumptions!$B$59,0)</f>
        <v>0</v>
      </c>
      <c r="AU116" s="38" t="n">
        <f aca="false">IF(AND(MOD(45,3)=0,AU115&gt;0),AU115*Assumptions!$B$59,0)</f>
        <v>0</v>
      </c>
      <c r="AV116" s="38" t="n">
        <f aca="false">IF(AND(MOD(46,3)=0,AV115&gt;0),AV115*Assumptions!$B$59,0)</f>
        <v>0</v>
      </c>
      <c r="AW116" s="38" t="n">
        <f aca="false">IF(AND(MOD(47,3)=0,AW115&gt;0),AW115*Assumptions!$B$59,0)</f>
        <v>0</v>
      </c>
      <c r="AX116" s="38" t="n">
        <f aca="false">IF(AND(MOD(48,3)=0,AX115&gt;0),AX115*Assumptions!$B$59,0)</f>
        <v>0</v>
      </c>
      <c r="AY116" s="38" t="n">
        <f aca="false">IF(AND(MOD(49,3)=0,AY115&gt;0),AY115*Assumptions!$B$59,0)</f>
        <v>0</v>
      </c>
      <c r="AZ116" s="38" t="n">
        <f aca="false">IF(AND(MOD(50,3)=0,AZ115&gt;0),AZ115*Assumptions!$B$59,0)</f>
        <v>0</v>
      </c>
      <c r="BA116" s="38" t="n">
        <f aca="false">IF(AND(MOD(51,3)=0,BA115&gt;0),BA115*Assumptions!$B$59,0)</f>
        <v>0</v>
      </c>
      <c r="BB116" s="38" t="n">
        <f aca="false">IF(AND(MOD(52,3)=0,BB115&gt;0),BB115*Assumptions!$B$59,0)</f>
        <v>0</v>
      </c>
      <c r="BC116" s="38" t="n">
        <f aca="false">IF(AND(MOD(53,3)=0,BC115&gt;0),BC115*Assumptions!$B$59,0)</f>
        <v>0</v>
      </c>
      <c r="BD116" s="38" t="n">
        <f aca="false">IF(AND(MOD(54,3)=0,BD115&gt;0),BD115*Assumptions!$B$59,0)</f>
        <v>0</v>
      </c>
      <c r="BE116" s="38" t="n">
        <f aca="false">IF(AND(MOD(55,3)=0,BE115&gt;0),BE115*Assumptions!$B$59,0)</f>
        <v>0</v>
      </c>
      <c r="BF116" s="38" t="n">
        <f aca="false">IF(AND(MOD(56,3)=0,BF115&gt;0),BF115*Assumptions!$B$59,0)</f>
        <v>0</v>
      </c>
      <c r="BG116" s="38" t="n">
        <f aca="false">IF(AND(MOD(57,3)=0,BG115&gt;0),BG115*Assumptions!$B$59,0)</f>
        <v>0</v>
      </c>
      <c r="BH116" s="38" t="n">
        <f aca="false">IF(AND(MOD(58,3)=0,BH115&gt;0),BH115*Assumptions!$B$59,0)</f>
        <v>0</v>
      </c>
      <c r="BI116" s="38" t="n">
        <f aca="false">IF(AND(MOD(59,3)=0,BI115&gt;0),BI115*Assumptions!$B$59,0)</f>
        <v>0</v>
      </c>
      <c r="BJ116" s="38" t="n">
        <f aca="false">IF(AND(MOD(60,3)=0,BJ115&gt;0),BJ115*Assumptions!$B$59,0)</f>
        <v>0</v>
      </c>
      <c r="BK116" s="38" t="n">
        <f aca="false">IF(AND(MOD(61,3)=0,BK115&gt;0),BK115*Assumptions!$B$59,0)</f>
        <v>0</v>
      </c>
      <c r="BL116" s="38" t="n">
        <f aca="false">IF(AND(MOD(62,3)=0,BL115&gt;0),BL115*Assumptions!$B$59,0)</f>
        <v>0</v>
      </c>
      <c r="BM116" s="38" t="n">
        <f aca="false">IF(AND(MOD(63,3)=0,BM115&gt;0),BM115*Assumptions!$B$59,0)</f>
        <v>0</v>
      </c>
      <c r="BN116" s="38" t="n">
        <f aca="false">IF(AND(MOD(64,3)=0,BN115&gt;0),BN115*Assumptions!$B$59,0)</f>
        <v>0</v>
      </c>
      <c r="BO116" s="38" t="n">
        <f aca="false">IF(AND(MOD(65,3)=0,BO115&gt;0),BO115*Assumptions!$B$59,0)</f>
        <v>0</v>
      </c>
      <c r="BP116" s="38" t="n">
        <f aca="false">IF(AND(MOD(66,3)=0,BP115&gt;0),BP115*Assumptions!$B$59,0)</f>
        <v>0</v>
      </c>
      <c r="BQ116" s="38" t="n">
        <f aca="false">IF(AND(MOD(67,3)=0,BQ115&gt;0),BQ115*Assumptions!$B$59,0)</f>
        <v>0</v>
      </c>
      <c r="BR116" s="38" t="n">
        <f aca="false">IF(AND(MOD(68,3)=0,BR115&gt;0),BR115*Assumptions!$B$59,0)</f>
        <v>0</v>
      </c>
      <c r="BS116" s="38" t="n">
        <f aca="false">IF(AND(MOD(69,3)=0,BS115&gt;0),BS115*Assumptions!$B$59,0)</f>
        <v>0</v>
      </c>
      <c r="BT116" s="38" t="n">
        <f aca="false">IF(AND(MOD(70,3)=0,BT115&gt;0),BT115*Assumptions!$B$59,0)</f>
        <v>0</v>
      </c>
      <c r="BU116" s="38" t="n">
        <f aca="false">IF(AND(MOD(71,3)=0,BU115&gt;0),BU115*Assumptions!$B$59,0)</f>
        <v>0</v>
      </c>
      <c r="BV116" s="38" t="n">
        <f aca="false">IF(AND(MOD(72,3)=0,BV115&gt;0),BV115*Assumptions!$B$59,0)</f>
        <v>0</v>
      </c>
      <c r="BW116" s="38" t="n">
        <f aca="false">IF(AND(MOD(73,3)=0,BW115&gt;0),BW115*Assumptions!$B$59,0)</f>
        <v>0</v>
      </c>
      <c r="BX116" s="38" t="n">
        <f aca="false">IF(AND(MOD(74,3)=0,BX115&gt;0),BX115*Assumptions!$B$59,0)</f>
        <v>0</v>
      </c>
      <c r="BY116" s="38" t="n">
        <f aca="false">IF(AND(MOD(75,3)=0,BY115&gt;0),BY115*Assumptions!$B$59,0)</f>
        <v>0</v>
      </c>
      <c r="BZ116" s="38" t="n">
        <f aca="false">IF(AND(MOD(76,3)=0,BZ115&gt;0),BZ115*Assumptions!$B$59,0)</f>
        <v>0</v>
      </c>
      <c r="CA116" s="38" t="n">
        <f aca="false">IF(AND(MOD(77,3)=0,CA115&gt;0),CA115*Assumptions!$B$59,0)</f>
        <v>0</v>
      </c>
      <c r="CB116" s="38" t="n">
        <f aca="false">IF(AND(MOD(78,3)=0,CB115&gt;0),CB115*Assumptions!$B$59,0)</f>
        <v>0</v>
      </c>
      <c r="CC116" s="38" t="n">
        <f aca="false">IF(AND(MOD(79,3)=0,CC115&gt;0),CC115*Assumptions!$B$59,0)</f>
        <v>0</v>
      </c>
      <c r="CD116" s="38" t="n">
        <f aca="false">IF(AND(MOD(80,3)=0,CD115&gt;0),CD115*Assumptions!$B$59,0)</f>
        <v>0</v>
      </c>
      <c r="CE116" s="38" t="n">
        <f aca="false">IF(AND(MOD(81,3)=0,CE115&gt;0),CE115*Assumptions!$B$59,0)</f>
        <v>0</v>
      </c>
      <c r="CF116" s="38" t="n">
        <f aca="false">IF(AND(MOD(82,3)=0,CF115&gt;0),CF115*Assumptions!$B$59,0)</f>
        <v>0</v>
      </c>
      <c r="CG116" s="38" t="n">
        <f aca="false">IF(AND(MOD(83,3)=0,CG115&gt;0),CG115*Assumptions!$B$59,0)</f>
        <v>0</v>
      </c>
      <c r="CH116" s="38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v>0</v>
      </c>
      <c r="D117" s="38" t="n">
        <v>0</v>
      </c>
      <c r="E117" s="38" t="n">
        <v>0</v>
      </c>
      <c r="F117" s="38" t="n">
        <v>0</v>
      </c>
      <c r="G117" s="38" t="n">
        <v>0</v>
      </c>
      <c r="H117" s="38" t="n">
        <v>0</v>
      </c>
      <c r="I117" s="38" t="n">
        <v>0</v>
      </c>
      <c r="J117" s="38" t="n">
        <v>0</v>
      </c>
      <c r="K117" s="38" t="n">
        <v>0</v>
      </c>
      <c r="L117" s="38" t="n">
        <v>0</v>
      </c>
      <c r="M117" s="38" t="n">
        <v>0</v>
      </c>
      <c r="N117" s="38" t="n">
        <v>0</v>
      </c>
      <c r="O117" s="38" t="n">
        <v>0</v>
      </c>
      <c r="P117" s="38" t="n">
        <v>0</v>
      </c>
      <c r="Q117" s="38" t="n">
        <v>0</v>
      </c>
      <c r="R117" s="38" t="n">
        <v>0</v>
      </c>
      <c r="S117" s="38" t="n">
        <v>0</v>
      </c>
      <c r="T117" s="38" t="n">
        <v>0</v>
      </c>
      <c r="U117" s="38" t="n">
        <v>0</v>
      </c>
      <c r="V117" s="38" t="n">
        <v>0</v>
      </c>
      <c r="W117" s="38" t="n">
        <v>0</v>
      </c>
      <c r="X117" s="38" t="n">
        <v>0</v>
      </c>
      <c r="Y117" s="38" t="n">
        <v>0</v>
      </c>
      <c r="Z117" s="38" t="n">
        <v>0</v>
      </c>
      <c r="AA117" s="38" t="n">
        <v>0</v>
      </c>
      <c r="AB117" s="38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38" t="n">
        <v>0</v>
      </c>
      <c r="AI117" s="38" t="n">
        <v>0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8" t="n">
        <v>0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25"/>
    </row>
    <row r="118" customFormat="false" ht="15" hidden="false" customHeight="true" outlineLevel="0" collapsed="false">
      <c r="A118" s="39" t="s">
        <v>143</v>
      </c>
      <c r="B118" s="39"/>
      <c r="C118" s="40" t="n">
        <v>0</v>
      </c>
      <c r="D118" s="40" t="n">
        <v>0</v>
      </c>
      <c r="E118" s="40" t="n">
        <v>0</v>
      </c>
      <c r="F118" s="40" t="n">
        <v>0</v>
      </c>
      <c r="G118" s="40" t="n">
        <v>0</v>
      </c>
      <c r="H118" s="40" t="n">
        <v>0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0" t="n">
        <v>0</v>
      </c>
      <c r="Q118" s="40" t="n">
        <v>0</v>
      </c>
      <c r="R118" s="40" t="n">
        <v>0</v>
      </c>
      <c r="S118" s="40" t="n">
        <v>0</v>
      </c>
      <c r="T118" s="40" t="n">
        <v>0</v>
      </c>
      <c r="U118" s="40" t="n">
        <v>0</v>
      </c>
      <c r="V118" s="40" t="n">
        <v>0</v>
      </c>
      <c r="W118" s="40" t="n">
        <v>0</v>
      </c>
      <c r="X118" s="40" t="n">
        <v>0</v>
      </c>
      <c r="Y118" s="40" t="n">
        <v>0</v>
      </c>
      <c r="Z118" s="40" t="n">
        <v>0</v>
      </c>
      <c r="AA118" s="40" t="n">
        <v>0</v>
      </c>
      <c r="AB118" s="40" t="n">
        <v>0</v>
      </c>
      <c r="AC118" s="40" t="n">
        <v>0</v>
      </c>
      <c r="AD118" s="40" t="n">
        <v>0</v>
      </c>
      <c r="AE118" s="40" t="n">
        <v>0</v>
      </c>
      <c r="AF118" s="40" t="n">
        <v>0</v>
      </c>
      <c r="AG118" s="40" t="n">
        <v>0</v>
      </c>
      <c r="AH118" s="40" t="n">
        <v>0</v>
      </c>
      <c r="AI118" s="40" t="n">
        <v>0</v>
      </c>
      <c r="AJ118" s="40" t="n">
        <v>0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0</v>
      </c>
      <c r="BZ118" s="40" t="n">
        <v>0</v>
      </c>
      <c r="CA118" s="40" t="n">
        <v>0</v>
      </c>
      <c r="CB118" s="40" t="n">
        <v>0</v>
      </c>
      <c r="CC118" s="40" t="n">
        <v>0</v>
      </c>
      <c r="CD118" s="40" t="n">
        <v>0</v>
      </c>
      <c r="CE118" s="40" t="n">
        <v>0</v>
      </c>
      <c r="CF118" s="40" t="n">
        <v>0</v>
      </c>
      <c r="CG118" s="40" t="n">
        <v>0</v>
      </c>
      <c r="CH118" s="40" t="n">
        <v>0</v>
      </c>
      <c r="CI118" s="25"/>
    </row>
    <row r="119" customFormat="false" ht="15" hidden="false" customHeight="true" outlineLevel="0" collapsed="false">
      <c r="A119" s="41" t="s">
        <v>144</v>
      </c>
      <c r="B119" s="42"/>
      <c r="C119" s="43" t="n">
        <f aca="false">MAX(0,C115+C116+C117+C118)</f>
        <v>0</v>
      </c>
      <c r="D119" s="43" t="n">
        <f aca="false">MAX(0,D115+D116+D117+D118)</f>
        <v>0</v>
      </c>
      <c r="E119" s="43" t="n">
        <f aca="false">MAX(0,E115+E116+E117+E118)</f>
        <v>0</v>
      </c>
      <c r="F119" s="43" t="n">
        <f aca="false">MAX(0,F115+F116+F117+F118)</f>
        <v>0</v>
      </c>
      <c r="G119" s="43" t="n">
        <f aca="false">MAX(0,G115+G116+G117+G118)</f>
        <v>0</v>
      </c>
      <c r="H119" s="43" t="n">
        <f aca="false">MAX(0,H115+H116+H117+H118)</f>
        <v>0</v>
      </c>
      <c r="I119" s="43" t="n">
        <f aca="false">MAX(0,I115+I116+I117+I118)</f>
        <v>0</v>
      </c>
      <c r="J119" s="43" t="n">
        <f aca="false">MAX(0,J115+J116+J117+J118)</f>
        <v>0</v>
      </c>
      <c r="K119" s="43" t="n">
        <f aca="false">MAX(0,K115+K116+K117+K118)</f>
        <v>0</v>
      </c>
      <c r="L119" s="43" t="n">
        <f aca="false">MAX(0,L115+L116+L117+L118)</f>
        <v>0</v>
      </c>
      <c r="M119" s="43" t="n">
        <f aca="false">MAX(0,M115+M116+M117+M118)</f>
        <v>0</v>
      </c>
      <c r="N119" s="43" t="n">
        <f aca="false">MAX(0,N115+N116+N117+N118)</f>
        <v>0</v>
      </c>
      <c r="O119" s="43" t="n">
        <f aca="false">MAX(0,O115+O116+O117+O118)</f>
        <v>0</v>
      </c>
      <c r="P119" s="43" t="n">
        <f aca="false">MAX(0,P115+P116+P117+P118)</f>
        <v>0</v>
      </c>
      <c r="Q119" s="43" t="n">
        <f aca="false">MAX(0,Q115+Q116+Q117+Q118)</f>
        <v>0</v>
      </c>
      <c r="R119" s="43" t="n">
        <f aca="false">MAX(0,R115+R116+R117+R118)</f>
        <v>0</v>
      </c>
      <c r="S119" s="43" t="n">
        <f aca="false">MAX(0,S115+S116+S117+S118)</f>
        <v>0</v>
      </c>
      <c r="T119" s="43" t="n">
        <f aca="false">MAX(0,T115+T116+T117+T118)</f>
        <v>0</v>
      </c>
      <c r="U119" s="43" t="n">
        <f aca="false">MAX(0,U115+U116+U117+U118)</f>
        <v>0</v>
      </c>
      <c r="V119" s="43" t="n">
        <f aca="false">MAX(0,V115+V116+V117+V118)</f>
        <v>0</v>
      </c>
      <c r="W119" s="43" t="n">
        <f aca="false">MAX(0,W115+W116+W117+W118)</f>
        <v>0</v>
      </c>
      <c r="X119" s="43" t="n">
        <f aca="false">MAX(0,X115+X116+X117+X118)</f>
        <v>0</v>
      </c>
      <c r="Y119" s="43" t="n">
        <f aca="false">MAX(0,Y115+Y116+Y117+Y118)</f>
        <v>0</v>
      </c>
      <c r="Z119" s="43" t="n">
        <f aca="false">MAX(0,Z115+Z116+Z117+Z118)</f>
        <v>0</v>
      </c>
      <c r="AA119" s="43" t="n">
        <f aca="false">MAX(0,AA115+AA116+AA117+AA118)</f>
        <v>0</v>
      </c>
      <c r="AB119" s="43" t="n">
        <f aca="false">MAX(0,AB115+AB116+AB117+AB118)</f>
        <v>0</v>
      </c>
      <c r="AC119" s="43" t="n">
        <f aca="false">MAX(0,AC115+AC116+AC117+AC118)</f>
        <v>0</v>
      </c>
      <c r="AD119" s="43" t="n">
        <f aca="false">MAX(0,AD115+AD116+AD117+AD118)</f>
        <v>0</v>
      </c>
      <c r="AE119" s="43" t="n">
        <f aca="false">MAX(0,AE115+AE116+AE117+AE118)</f>
        <v>0</v>
      </c>
      <c r="AF119" s="43" t="n">
        <f aca="false">MAX(0,AF115+AF116+AF117+AF118)</f>
        <v>0</v>
      </c>
      <c r="AG119" s="43" t="n">
        <f aca="false">MAX(0,AG115+AG116+AG117+AG118)</f>
        <v>0</v>
      </c>
      <c r="AH119" s="43" t="n">
        <f aca="false">MAX(0,AH115+AH116+AH117+AH118)</f>
        <v>0</v>
      </c>
      <c r="AI119" s="43" t="n">
        <f aca="false">MAX(0,AI115+AI116+AI117+AI118)</f>
        <v>0</v>
      </c>
      <c r="AJ119" s="43" t="n">
        <f aca="false">MAX(0,AJ115+AJ116+AJ117+AJ118)</f>
        <v>0</v>
      </c>
      <c r="AK119" s="43" t="n">
        <f aca="false">MAX(0,AK115+AK116+AK117+AK118)</f>
        <v>0</v>
      </c>
      <c r="AL119" s="43" t="n">
        <f aca="false">MAX(0,AL115+AL116+AL117+AL118)</f>
        <v>0</v>
      </c>
      <c r="AM119" s="43" t="n">
        <f aca="false">MAX(0,AM115+AM116+AM117+AM118)</f>
        <v>0</v>
      </c>
      <c r="AN119" s="43" t="n">
        <f aca="false">MAX(0,AN115+AN116+AN117+AN118)</f>
        <v>0</v>
      </c>
      <c r="AO119" s="43" t="n">
        <f aca="false">MAX(0,AO115+AO116+AO117+AO118)</f>
        <v>0</v>
      </c>
      <c r="AP119" s="43" t="n">
        <f aca="false">MAX(0,AP115+AP116+AP117+AP118)</f>
        <v>0</v>
      </c>
      <c r="AQ119" s="43" t="n">
        <f aca="false">MAX(0,AQ115+AQ116+AQ117+AQ118)</f>
        <v>0</v>
      </c>
      <c r="AR119" s="43" t="n">
        <f aca="false">MAX(0,AR115+AR116+AR117+AR118)</f>
        <v>0</v>
      </c>
      <c r="AS119" s="43" t="n">
        <f aca="false">MAX(0,AS115+AS116+AS117+AS118)</f>
        <v>0</v>
      </c>
      <c r="AT119" s="43" t="n">
        <f aca="false">MAX(0,AT115+AT116+AT117+AT118)</f>
        <v>0</v>
      </c>
      <c r="AU119" s="43" t="n">
        <f aca="false">MAX(0,AU115+AU116+AU117+AU118)</f>
        <v>0</v>
      </c>
      <c r="AV119" s="43" t="n">
        <f aca="false">MAX(0,AV115+AV116+AV117+AV118)</f>
        <v>0</v>
      </c>
      <c r="AW119" s="43" t="n">
        <f aca="false">MAX(0,AW115+AW116+AW117+AW118)</f>
        <v>0</v>
      </c>
      <c r="AX119" s="43" t="n">
        <f aca="false">MAX(0,AX115+AX116+AX117+AX118)</f>
        <v>0</v>
      </c>
      <c r="AY119" s="43" t="n">
        <f aca="false">MAX(0,AY115+AY116+AY117+AY118)</f>
        <v>0</v>
      </c>
      <c r="AZ119" s="43" t="n">
        <f aca="false">MAX(0,AZ115+AZ116+AZ117+AZ118)</f>
        <v>0</v>
      </c>
      <c r="BA119" s="43" t="n">
        <f aca="false">MAX(0,BA115+BA116+BA117+BA118)</f>
        <v>0</v>
      </c>
      <c r="BB119" s="43" t="n">
        <f aca="false">MAX(0,BB115+BB116+BB117+BB118)</f>
        <v>0</v>
      </c>
      <c r="BC119" s="43" t="n">
        <f aca="false">MAX(0,BC115+BC116+BC117+BC118)</f>
        <v>0</v>
      </c>
      <c r="BD119" s="43" t="n">
        <f aca="false">MAX(0,BD115+BD116+BD117+BD118)</f>
        <v>0</v>
      </c>
      <c r="BE119" s="43" t="n">
        <f aca="false">MAX(0,BE115+BE116+BE117+BE118)</f>
        <v>0</v>
      </c>
      <c r="BF119" s="43" t="n">
        <f aca="false">MAX(0,BF115+BF116+BF117+BF118)</f>
        <v>0</v>
      </c>
      <c r="BG119" s="43" t="n">
        <f aca="false">MAX(0,BG115+BG116+BG117+BG118)</f>
        <v>0</v>
      </c>
      <c r="BH119" s="43" t="n">
        <f aca="false">MAX(0,BH115+BH116+BH117+BH118)</f>
        <v>0</v>
      </c>
      <c r="BI119" s="43" t="n">
        <f aca="false">MAX(0,BI115+BI116+BI117+BI118)</f>
        <v>0</v>
      </c>
      <c r="BJ119" s="43" t="n">
        <f aca="false">MAX(0,BJ115+BJ116+BJ117+BJ118)</f>
        <v>0</v>
      </c>
      <c r="BK119" s="43" t="n">
        <f aca="false">MAX(0,BK115+BK116+BK117+BK118)</f>
        <v>0</v>
      </c>
      <c r="BL119" s="43" t="n">
        <f aca="false">MAX(0,BL115+BL116+BL117+BL118)</f>
        <v>0</v>
      </c>
      <c r="BM119" s="43" t="n">
        <f aca="false">MAX(0,BM115+BM116+BM117+BM118)</f>
        <v>0</v>
      </c>
      <c r="BN119" s="43" t="n">
        <f aca="false">MAX(0,BN115+BN116+BN117+BN118)</f>
        <v>0</v>
      </c>
      <c r="BO119" s="43" t="n">
        <f aca="false">MAX(0,BO115+BO116+BO117+BO118)</f>
        <v>0</v>
      </c>
      <c r="BP119" s="43" t="n">
        <f aca="false">MAX(0,BP115+BP116+BP117+BP118)</f>
        <v>0</v>
      </c>
      <c r="BQ119" s="43" t="n">
        <f aca="false">MAX(0,BQ115+BQ116+BQ117+BQ118)</f>
        <v>0</v>
      </c>
      <c r="BR119" s="43" t="n">
        <f aca="false">MAX(0,BR115+BR116+BR117+BR118)</f>
        <v>0</v>
      </c>
      <c r="BS119" s="43" t="n">
        <f aca="false">MAX(0,BS115+BS116+BS117+BS118)</f>
        <v>0</v>
      </c>
      <c r="BT119" s="43" t="n">
        <f aca="false">MAX(0,BT115+BT116+BT117+BT118)</f>
        <v>0</v>
      </c>
      <c r="BU119" s="43" t="n">
        <f aca="false">MAX(0,BU115+BU116+BU117+BU118)</f>
        <v>0</v>
      </c>
      <c r="BV119" s="43" t="n">
        <f aca="false">MAX(0,BV115+BV116+BV117+BV118)</f>
        <v>0</v>
      </c>
      <c r="BW119" s="43" t="n">
        <f aca="false">MAX(0,BW115+BW116+BW117+BW118)</f>
        <v>0</v>
      </c>
      <c r="BX119" s="43" t="n">
        <f aca="false">MAX(0,BX115+BX116+BX117+BX118)</f>
        <v>0</v>
      </c>
      <c r="BY119" s="43" t="n">
        <f aca="false">MAX(0,BY115+BY116+BY117+BY118)</f>
        <v>0</v>
      </c>
      <c r="BZ119" s="43" t="n">
        <f aca="false">MAX(0,BZ115+BZ116+BZ117+BZ118)</f>
        <v>0</v>
      </c>
      <c r="CA119" s="43" t="n">
        <f aca="false">MAX(0,CA115+CA116+CA117+CA118)</f>
        <v>0</v>
      </c>
      <c r="CB119" s="43" t="n">
        <f aca="false">MAX(0,CB115+CB116+CB117+CB118)</f>
        <v>0</v>
      </c>
      <c r="CC119" s="43" t="n">
        <f aca="false">MAX(0,CC115+CC116+CC117+CC118)</f>
        <v>0</v>
      </c>
      <c r="CD119" s="43" t="n">
        <f aca="false">MAX(0,CD115+CD116+CD117+CD118)</f>
        <v>0</v>
      </c>
      <c r="CE119" s="43" t="n">
        <f aca="false">MAX(0,CE115+CE116+CE117+CE118)</f>
        <v>0</v>
      </c>
      <c r="CF119" s="43" t="n">
        <f aca="false">MAX(0,CF115+CF116+CF117+CF118)</f>
        <v>0</v>
      </c>
      <c r="CG119" s="43" t="n">
        <f aca="false">MAX(0,CG115+CG116+CG117+CG118)</f>
        <v>0</v>
      </c>
      <c r="CH119" s="43" t="n">
        <f aca="false">MAX(0,CH115+CH116+CH117+CH118)</f>
        <v>0</v>
      </c>
      <c r="CI119" s="25"/>
    </row>
    <row r="120" customFormat="false" ht="15" hidden="false" customHeight="true" outlineLevel="0" collapsed="false">
      <c r="A120" s="44" t="s">
        <v>145</v>
      </c>
      <c r="B120" s="44"/>
      <c r="C120" s="45" t="n">
        <f aca="false">IF(Projects!$G$14="Yes",Assumptions!$B$75,0)</f>
        <v>264927.15</v>
      </c>
      <c r="D120" s="45" t="n">
        <f aca="false">C124</f>
        <v>264927.15</v>
      </c>
      <c r="E120" s="45" t="n">
        <f aca="false">IF(Projects!$G$14="Yes",D124+176618.1,D124)</f>
        <v>441545.25</v>
      </c>
      <c r="F120" s="45" t="n">
        <f aca="false">E124</f>
        <v>458103.196875</v>
      </c>
      <c r="G120" s="45" t="n">
        <f aca="false">F124</f>
        <v>458103.196875</v>
      </c>
      <c r="H120" s="45" t="n">
        <f aca="false">IF(Projects!$G$14="Yes",G124+176618.1,G124)</f>
        <v>634721.296875</v>
      </c>
      <c r="I120" s="45" t="n">
        <f aca="false">H124</f>
        <v>658523.345507813</v>
      </c>
      <c r="J120" s="45" t="n">
        <f aca="false">I124</f>
        <v>658523.345507813</v>
      </c>
      <c r="K120" s="45" t="n">
        <f aca="false">J124</f>
        <v>658523.345507813</v>
      </c>
      <c r="L120" s="45" t="n">
        <f aca="false">IF(Projects!$G$14="Yes",K124+88309.05,K124)</f>
        <v>771527.020964355</v>
      </c>
      <c r="M120" s="45" t="n">
        <f aca="false">L124</f>
        <v>771527.020964355</v>
      </c>
      <c r="N120" s="45" t="n">
        <f aca="false">M124</f>
        <v>771527.020964355</v>
      </c>
      <c r="O120" s="45" t="n">
        <f aca="false">N124</f>
        <v>800459.284250519</v>
      </c>
      <c r="P120" s="45" t="n">
        <f aca="false">O124</f>
        <v>800459.284250519</v>
      </c>
      <c r="Q120" s="45" t="n">
        <f aca="false">IF(Projects!$G$14="Yes",P124+88309.05,P124)</f>
        <v>888768.334250519</v>
      </c>
      <c r="R120" s="45" t="n">
        <f aca="false">Q124</f>
        <v>922097.146784913</v>
      </c>
      <c r="S120" s="45" t="n">
        <f aca="false">R124</f>
        <v>922097.146784913</v>
      </c>
      <c r="T120" s="45" t="n">
        <f aca="false">S124</f>
        <v>922097.146784913</v>
      </c>
      <c r="U120" s="45" t="n">
        <f aca="false">T124</f>
        <v>956675.789789348</v>
      </c>
      <c r="V120" s="45" t="n">
        <f aca="false">U124</f>
        <v>956675.789789348</v>
      </c>
      <c r="W120" s="45" t="n">
        <f aca="false">IF(Projects!$G$14="Yes",V124+88309.05,V124)</f>
        <v>1044984.83978935</v>
      </c>
      <c r="X120" s="45" t="n">
        <f aca="false">W124</f>
        <v>1084171.77128145</v>
      </c>
      <c r="Y120" s="45" t="n">
        <f aca="false">X124</f>
        <v>1084171.77128145</v>
      </c>
      <c r="Z120" s="45" t="n">
        <f aca="false">Y124</f>
        <v>1084171.77128145</v>
      </c>
      <c r="AA120" s="45" t="n">
        <f aca="false">Z124</f>
        <v>1124828.2127045</v>
      </c>
      <c r="AB120" s="45" t="n">
        <f aca="false">AA124</f>
        <v>1124828.2127045</v>
      </c>
      <c r="AC120" s="45" t="n">
        <f aca="false">IF(Projects!$G$14="Yes",AB124+Assumptions!$B$76,AB124)</f>
        <v>2007918.7127045</v>
      </c>
      <c r="AD120" s="45" t="n">
        <f aca="false">AC124</f>
        <v>283215.664430921</v>
      </c>
      <c r="AE120" s="45" t="n">
        <f aca="false">AD124</f>
        <v>283215.664430921</v>
      </c>
      <c r="AF120" s="45" t="n">
        <f aca="false">AE124</f>
        <v>283215.664430921</v>
      </c>
      <c r="AG120" s="45" t="n">
        <f aca="false">AF124</f>
        <v>293836.251847081</v>
      </c>
      <c r="AH120" s="45" t="n">
        <f aca="false">AG124</f>
        <v>293836.251847081</v>
      </c>
      <c r="AI120" s="45" t="n">
        <f aca="false">AH124</f>
        <v>293836.251847081</v>
      </c>
      <c r="AJ120" s="45" t="n">
        <f aca="false">AI124</f>
        <v>304855.111291347</v>
      </c>
      <c r="AK120" s="45" t="n">
        <f aca="false">AJ124</f>
        <v>304855.111291347</v>
      </c>
      <c r="AL120" s="45" t="n">
        <f aca="false">AK124</f>
        <v>304855.111291347</v>
      </c>
      <c r="AM120" s="45" t="n">
        <f aca="false">AL124</f>
        <v>316287.177964772</v>
      </c>
      <c r="AN120" s="45" t="n">
        <f aca="false">AM124</f>
        <v>316287.177964772</v>
      </c>
      <c r="AO120" s="45" t="n">
        <f aca="false">AN124</f>
        <v>316287.177964772</v>
      </c>
      <c r="AP120" s="45" t="n">
        <f aca="false">AO124</f>
        <v>328147.947138451</v>
      </c>
      <c r="AQ120" s="45" t="n">
        <f aca="false">AP124</f>
        <v>328147.947138451</v>
      </c>
      <c r="AR120" s="45" t="n">
        <f aca="false">AQ124</f>
        <v>328147.947138451</v>
      </c>
      <c r="AS120" s="45" t="n">
        <f aca="false">AR124</f>
        <v>340453.495156143</v>
      </c>
      <c r="AT120" s="45" t="n">
        <f aca="false">AS124</f>
        <v>340453.495156143</v>
      </c>
      <c r="AU120" s="45" t="n">
        <f aca="false">AT124</f>
        <v>340453.495156143</v>
      </c>
      <c r="AV120" s="45" t="n">
        <f aca="false">AU124</f>
        <v>353220.501224498</v>
      </c>
      <c r="AW120" s="45" t="n">
        <f aca="false">AV124</f>
        <v>353220.501224498</v>
      </c>
      <c r="AX120" s="45" t="n">
        <f aca="false">AW124</f>
        <v>353220.501224498</v>
      </c>
      <c r="AY120" s="45" t="n">
        <f aca="false">AX124</f>
        <v>366466.270020417</v>
      </c>
      <c r="AZ120" s="45" t="n">
        <f aca="false">AY124</f>
        <v>366466.270020417</v>
      </c>
      <c r="BA120" s="45" t="n">
        <f aca="false">AZ124</f>
        <v>366466.270020417</v>
      </c>
      <c r="BB120" s="45" t="n">
        <f aca="false">BA124</f>
        <v>380208.755146183</v>
      </c>
      <c r="BC120" s="45" t="n">
        <f aca="false">BB124</f>
        <v>380208.755146183</v>
      </c>
      <c r="BD120" s="45" t="n">
        <f aca="false">BC124</f>
        <v>380208.755146183</v>
      </c>
      <c r="BE120" s="45" t="n">
        <f aca="false">BD124</f>
        <v>394466.583464164</v>
      </c>
      <c r="BF120" s="45" t="n">
        <f aca="false">BE124</f>
        <v>394466.583464164</v>
      </c>
      <c r="BG120" s="45" t="n">
        <f aca="false">BF124</f>
        <v>394466.583464164</v>
      </c>
      <c r="BH120" s="45" t="n">
        <f aca="false">BG124</f>
        <v>409259.080344071</v>
      </c>
      <c r="BI120" s="45" t="n">
        <f aca="false">BH124</f>
        <v>409259.080344071</v>
      </c>
      <c r="BJ120" s="45" t="n">
        <f aca="false">BI124</f>
        <v>409259.080344071</v>
      </c>
      <c r="BK120" s="45" t="n">
        <f aca="false">BJ124</f>
        <v>424606.295856973</v>
      </c>
      <c r="BL120" s="45" t="n">
        <f aca="false">BK124</f>
        <v>424606.295856973</v>
      </c>
      <c r="BM120" s="45" t="n">
        <f aca="false">BL124</f>
        <v>424606.295856973</v>
      </c>
      <c r="BN120" s="45" t="n">
        <f aca="false">BM124</f>
        <v>440529.03195161</v>
      </c>
      <c r="BO120" s="45" t="n">
        <f aca="false">BN124</f>
        <v>440529.03195161</v>
      </c>
      <c r="BP120" s="45" t="n">
        <f aca="false">BO124</f>
        <v>440529.03195161</v>
      </c>
      <c r="BQ120" s="45" t="n">
        <f aca="false">BP124</f>
        <v>457048.870649795</v>
      </c>
      <c r="BR120" s="45" t="n">
        <f aca="false">BQ124</f>
        <v>457048.870649795</v>
      </c>
      <c r="BS120" s="45" t="n">
        <f aca="false">BR124</f>
        <v>457048.870649795</v>
      </c>
      <c r="BT120" s="45" t="n">
        <f aca="false">BS124</f>
        <v>474188.203299162</v>
      </c>
      <c r="BU120" s="45" t="n">
        <f aca="false">BT124</f>
        <v>474188.203299162</v>
      </c>
      <c r="BV120" s="45" t="n">
        <f aca="false">BU124</f>
        <v>474188.203299162</v>
      </c>
      <c r="BW120" s="45" t="n">
        <f aca="false">BV124</f>
        <v>491970.260922881</v>
      </c>
      <c r="BX120" s="45" t="n">
        <f aca="false">BW124</f>
        <v>491970.260922881</v>
      </c>
      <c r="BY120" s="45" t="n">
        <f aca="false">BX124</f>
        <v>491970.260922881</v>
      </c>
      <c r="BZ120" s="45" t="n">
        <f aca="false">BY124</f>
        <v>510419.145707489</v>
      </c>
      <c r="CA120" s="45" t="n">
        <f aca="false">BZ124</f>
        <v>510419.145707489</v>
      </c>
      <c r="CB120" s="45" t="n">
        <f aca="false">CA124</f>
        <v>510419.145707489</v>
      </c>
      <c r="CC120" s="45" t="n">
        <f aca="false">CB124</f>
        <v>529559.86367152</v>
      </c>
      <c r="CD120" s="45" t="n">
        <f aca="false">CC124</f>
        <v>529559.86367152</v>
      </c>
      <c r="CE120" s="45" t="n">
        <f aca="false">CD124</f>
        <v>529559.86367152</v>
      </c>
      <c r="CF120" s="45" t="n">
        <f aca="false">CE124</f>
        <v>549418.358559202</v>
      </c>
      <c r="CG120" s="45" t="n">
        <f aca="false">CF124</f>
        <v>549418.358559202</v>
      </c>
      <c r="CH120" s="45" t="n">
        <f aca="false">CG124</f>
        <v>549418.358559202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IF(AND(MOD(1,3)=0,C120&gt;0),C120*Assumptions!$B$59,0)</f>
        <v>0</v>
      </c>
      <c r="D121" s="45" t="n">
        <f aca="false">IF(AND(MOD(2,3)=0,D120&gt;0),D120*Assumptions!$B$59,0)</f>
        <v>0</v>
      </c>
      <c r="E121" s="45" t="n">
        <f aca="false">IF(AND(MOD(3,3)=0,E120&gt;0),E120*Assumptions!$B$59,0)</f>
        <v>16557.946875</v>
      </c>
      <c r="F121" s="45" t="n">
        <f aca="false">IF(AND(MOD(4,3)=0,F120&gt;0),F120*Assumptions!$B$59,0)</f>
        <v>0</v>
      </c>
      <c r="G121" s="45" t="n">
        <f aca="false">IF(AND(MOD(5,3)=0,G120&gt;0),G120*Assumptions!$B$59,0)</f>
        <v>0</v>
      </c>
      <c r="H121" s="45" t="n">
        <f aca="false">IF(AND(MOD(6,3)=0,H120&gt;0),H120*Assumptions!$B$59,0)</f>
        <v>23802.0486328125</v>
      </c>
      <c r="I121" s="45" t="n">
        <f aca="false">IF(AND(MOD(7,3)=0,I120&gt;0),I120*Assumptions!$B$59,0)</f>
        <v>0</v>
      </c>
      <c r="J121" s="45" t="n">
        <f aca="false">IF(AND(MOD(8,3)=0,J120&gt;0),J120*Assumptions!$B$59,0)</f>
        <v>0</v>
      </c>
      <c r="K121" s="45" t="n">
        <f aca="false">IF(AND(MOD(9,3)=0,K120&gt;0),K120*Assumptions!$B$59,0)</f>
        <v>24694.625456543</v>
      </c>
      <c r="L121" s="45" t="n">
        <f aca="false">IF(AND(MOD(10,3)=0,L120&gt;0),L120*Assumptions!$B$59,0)</f>
        <v>0</v>
      </c>
      <c r="M121" s="45" t="n">
        <f aca="false">IF(AND(MOD(11,3)=0,M120&gt;0),M120*Assumptions!$B$59,0)</f>
        <v>0</v>
      </c>
      <c r="N121" s="45" t="n">
        <f aca="false">IF(AND(MOD(12,3)=0,N120&gt;0),N120*Assumptions!$B$59,0)</f>
        <v>28932.2632861633</v>
      </c>
      <c r="O121" s="45" t="n">
        <f aca="false">IF(AND(MOD(13,3)=0,O120&gt;0),O120*Assumptions!$B$59,0)</f>
        <v>0</v>
      </c>
      <c r="P121" s="45" t="n">
        <f aca="false">IF(AND(MOD(14,3)=0,P120&gt;0),P120*Assumptions!$B$59,0)</f>
        <v>0</v>
      </c>
      <c r="Q121" s="45" t="n">
        <f aca="false">IF(AND(MOD(15,3)=0,Q120&gt;0),Q120*Assumptions!$B$59,0)</f>
        <v>33328.8125343945</v>
      </c>
      <c r="R121" s="45" t="n">
        <f aca="false">IF(AND(MOD(16,3)=0,R120&gt;0),R120*Assumptions!$B$59,0)</f>
        <v>0</v>
      </c>
      <c r="S121" s="45" t="n">
        <f aca="false">IF(AND(MOD(17,3)=0,S120&gt;0),S120*Assumptions!$B$59,0)</f>
        <v>0</v>
      </c>
      <c r="T121" s="45" t="n">
        <f aca="false">IF(AND(MOD(18,3)=0,T120&gt;0),T120*Assumptions!$B$59,0)</f>
        <v>34578.6430044343</v>
      </c>
      <c r="U121" s="45" t="n">
        <f aca="false">IF(AND(MOD(19,3)=0,U120&gt;0),U120*Assumptions!$B$59,0)</f>
        <v>0</v>
      </c>
      <c r="V121" s="45" t="n">
        <f aca="false">IF(AND(MOD(20,3)=0,V120&gt;0),V120*Assumptions!$B$59,0)</f>
        <v>0</v>
      </c>
      <c r="W121" s="45" t="n">
        <f aca="false">IF(AND(MOD(21,3)=0,W120&gt;0),W120*Assumptions!$B$59,0)</f>
        <v>39186.9314921005</v>
      </c>
      <c r="X121" s="45" t="n">
        <f aca="false">IF(AND(MOD(22,3)=0,X120&gt;0),X120*Assumptions!$B$59,0)</f>
        <v>0</v>
      </c>
      <c r="Y121" s="45" t="n">
        <f aca="false">IF(AND(MOD(23,3)=0,Y120&gt;0),Y120*Assumptions!$B$59,0)</f>
        <v>0</v>
      </c>
      <c r="Z121" s="45" t="n">
        <f aca="false">IF(AND(MOD(24,3)=0,Z120&gt;0),Z120*Assumptions!$B$59,0)</f>
        <v>40656.4414230543</v>
      </c>
      <c r="AA121" s="45" t="n">
        <f aca="false">IF(AND(MOD(25,3)=0,AA120&gt;0),AA120*Assumptions!$B$59,0)</f>
        <v>0</v>
      </c>
      <c r="AB121" s="45" t="n">
        <f aca="false">IF(AND(MOD(26,3)=0,AB120&gt;0),AB120*Assumptions!$B$59,0)</f>
        <v>0</v>
      </c>
      <c r="AC121" s="45" t="n">
        <f aca="false">IF(AND(MOD(27,3)=0,AC120&gt;0),AC120*Assumptions!$B$59,0)</f>
        <v>75296.9517264189</v>
      </c>
      <c r="AD121" s="45" t="n">
        <f aca="false">IF(AND(MOD(28,3)=0,AD120&gt;0),AD120*Assumptions!$B$59,0)</f>
        <v>0</v>
      </c>
      <c r="AE121" s="45" t="n">
        <f aca="false">IF(AND(MOD(29,3)=0,AE120&gt;0),AE120*Assumptions!$B$59,0)</f>
        <v>0</v>
      </c>
      <c r="AF121" s="45" t="n">
        <f aca="false">IF(AND(MOD(30,3)=0,AF120&gt;0),AF120*Assumptions!$B$59,0)</f>
        <v>10620.5874161596</v>
      </c>
      <c r="AG121" s="45" t="n">
        <f aca="false">IF(AND(MOD(31,3)=0,AG120&gt;0),AG120*Assumptions!$B$59,0)</f>
        <v>0</v>
      </c>
      <c r="AH121" s="45" t="n">
        <f aca="false">IF(AND(MOD(32,3)=0,AH120&gt;0),AH120*Assumptions!$B$59,0)</f>
        <v>0</v>
      </c>
      <c r="AI121" s="45" t="n">
        <f aca="false">IF(AND(MOD(33,3)=0,AI120&gt;0),AI120*Assumptions!$B$59,0)</f>
        <v>11018.8594442655</v>
      </c>
      <c r="AJ121" s="45" t="n">
        <f aca="false">IF(AND(MOD(34,3)=0,AJ120&gt;0),AJ120*Assumptions!$B$59,0)</f>
        <v>0</v>
      </c>
      <c r="AK121" s="45" t="n">
        <f aca="false">IF(AND(MOD(35,3)=0,AK120&gt;0),AK120*Assumptions!$B$59,0)</f>
        <v>0</v>
      </c>
      <c r="AL121" s="45" t="n">
        <f aca="false">IF(AND(MOD(36,3)=0,AL120&gt;0),AL120*Assumptions!$B$59,0)</f>
        <v>11432.0666734255</v>
      </c>
      <c r="AM121" s="45" t="n">
        <f aca="false">IF(AND(MOD(37,3)=0,AM120&gt;0),AM120*Assumptions!$B$59,0)</f>
        <v>0</v>
      </c>
      <c r="AN121" s="45" t="n">
        <f aca="false">IF(AND(MOD(38,3)=0,AN120&gt;0),AN120*Assumptions!$B$59,0)</f>
        <v>0</v>
      </c>
      <c r="AO121" s="45" t="n">
        <f aca="false">IF(AND(MOD(39,3)=0,AO120&gt;0),AO120*Assumptions!$B$59,0)</f>
        <v>11860.769173679</v>
      </c>
      <c r="AP121" s="45" t="n">
        <f aca="false">IF(AND(MOD(40,3)=0,AP120&gt;0),AP120*Assumptions!$B$59,0)</f>
        <v>0</v>
      </c>
      <c r="AQ121" s="45" t="n">
        <f aca="false">IF(AND(MOD(41,3)=0,AQ120&gt;0),AQ120*Assumptions!$B$59,0)</f>
        <v>0</v>
      </c>
      <c r="AR121" s="45" t="n">
        <f aca="false">IF(AND(MOD(42,3)=0,AR120&gt;0),AR120*Assumptions!$B$59,0)</f>
        <v>12305.5480176919</v>
      </c>
      <c r="AS121" s="45" t="n">
        <f aca="false">IF(AND(MOD(43,3)=0,AS120&gt;0),AS120*Assumptions!$B$59,0)</f>
        <v>0</v>
      </c>
      <c r="AT121" s="45" t="n">
        <f aca="false">IF(AND(MOD(44,3)=0,AT120&gt;0),AT120*Assumptions!$B$59,0)</f>
        <v>0</v>
      </c>
      <c r="AU121" s="45" t="n">
        <f aca="false">IF(AND(MOD(45,3)=0,AU120&gt;0),AU120*Assumptions!$B$59,0)</f>
        <v>12767.0060683554</v>
      </c>
      <c r="AV121" s="45" t="n">
        <f aca="false">IF(AND(MOD(46,3)=0,AV120&gt;0),AV120*Assumptions!$B$59,0)</f>
        <v>0</v>
      </c>
      <c r="AW121" s="45" t="n">
        <f aca="false">IF(AND(MOD(47,3)=0,AW120&gt;0),AW120*Assumptions!$B$59,0)</f>
        <v>0</v>
      </c>
      <c r="AX121" s="45" t="n">
        <f aca="false">IF(AND(MOD(48,3)=0,AX120&gt;0),AX120*Assumptions!$B$59,0)</f>
        <v>13245.7687959187</v>
      </c>
      <c r="AY121" s="45" t="n">
        <f aca="false">IF(AND(MOD(49,3)=0,AY120&gt;0),AY120*Assumptions!$B$59,0)</f>
        <v>0</v>
      </c>
      <c r="AZ121" s="45" t="n">
        <f aca="false">IF(AND(MOD(50,3)=0,AZ120&gt;0),AZ120*Assumptions!$B$59,0)</f>
        <v>0</v>
      </c>
      <c r="BA121" s="45" t="n">
        <f aca="false">IF(AND(MOD(51,3)=0,BA120&gt;0),BA120*Assumptions!$B$59,0)</f>
        <v>13742.4851257656</v>
      </c>
      <c r="BB121" s="45" t="n">
        <f aca="false">IF(AND(MOD(52,3)=0,BB120&gt;0),BB120*Assumptions!$B$59,0)</f>
        <v>0</v>
      </c>
      <c r="BC121" s="45" t="n">
        <f aca="false">IF(AND(MOD(53,3)=0,BC120&gt;0),BC120*Assumptions!$B$59,0)</f>
        <v>0</v>
      </c>
      <c r="BD121" s="45" t="n">
        <f aca="false">IF(AND(MOD(54,3)=0,BD120&gt;0),BD120*Assumptions!$B$59,0)</f>
        <v>14257.8283179818</v>
      </c>
      <c r="BE121" s="45" t="n">
        <f aca="false">IF(AND(MOD(55,3)=0,BE120&gt;0),BE120*Assumptions!$B$59,0)</f>
        <v>0</v>
      </c>
      <c r="BF121" s="45" t="n">
        <f aca="false">IF(AND(MOD(56,3)=0,BF120&gt;0),BF120*Assumptions!$B$59,0)</f>
        <v>0</v>
      </c>
      <c r="BG121" s="45" t="n">
        <f aca="false">IF(AND(MOD(57,3)=0,BG120&gt;0),BG120*Assumptions!$B$59,0)</f>
        <v>14792.4968799062</v>
      </c>
      <c r="BH121" s="45" t="n">
        <f aca="false">IF(AND(MOD(58,3)=0,BH120&gt;0),BH120*Assumptions!$B$59,0)</f>
        <v>0</v>
      </c>
      <c r="BI121" s="45" t="n">
        <f aca="false">IF(AND(MOD(59,3)=0,BI120&gt;0),BI120*Assumptions!$B$59,0)</f>
        <v>0</v>
      </c>
      <c r="BJ121" s="45" t="n">
        <f aca="false">IF(AND(MOD(60,3)=0,BJ120&gt;0),BJ120*Assumptions!$B$59,0)</f>
        <v>15347.2155129026</v>
      </c>
      <c r="BK121" s="45" t="n">
        <f aca="false">IF(AND(MOD(61,3)=0,BK120&gt;0),BK120*Assumptions!$B$59,0)</f>
        <v>0</v>
      </c>
      <c r="BL121" s="45" t="n">
        <f aca="false">IF(AND(MOD(62,3)=0,BL120&gt;0),BL120*Assumptions!$B$59,0)</f>
        <v>0</v>
      </c>
      <c r="BM121" s="45" t="n">
        <f aca="false">IF(AND(MOD(63,3)=0,BM120&gt;0),BM120*Assumptions!$B$59,0)</f>
        <v>15922.7360946365</v>
      </c>
      <c r="BN121" s="45" t="n">
        <f aca="false">IF(AND(MOD(64,3)=0,BN120&gt;0),BN120*Assumptions!$B$59,0)</f>
        <v>0</v>
      </c>
      <c r="BO121" s="45" t="n">
        <f aca="false">IF(AND(MOD(65,3)=0,BO120&gt;0),BO120*Assumptions!$B$59,0)</f>
        <v>0</v>
      </c>
      <c r="BP121" s="45" t="n">
        <f aca="false">IF(AND(MOD(66,3)=0,BP120&gt;0),BP120*Assumptions!$B$59,0)</f>
        <v>16519.8386981854</v>
      </c>
      <c r="BQ121" s="45" t="n">
        <f aca="false">IF(AND(MOD(67,3)=0,BQ120&gt;0),BQ120*Assumptions!$B$59,0)</f>
        <v>0</v>
      </c>
      <c r="BR121" s="45" t="n">
        <f aca="false">IF(AND(MOD(68,3)=0,BR120&gt;0),BR120*Assumptions!$B$59,0)</f>
        <v>0</v>
      </c>
      <c r="BS121" s="45" t="n">
        <f aca="false">IF(AND(MOD(69,3)=0,BS120&gt;0),BS120*Assumptions!$B$59,0)</f>
        <v>17139.3326493673</v>
      </c>
      <c r="BT121" s="45" t="n">
        <f aca="false">IF(AND(MOD(70,3)=0,BT120&gt;0),BT120*Assumptions!$B$59,0)</f>
        <v>0</v>
      </c>
      <c r="BU121" s="45" t="n">
        <f aca="false">IF(AND(MOD(71,3)=0,BU120&gt;0),BU120*Assumptions!$B$59,0)</f>
        <v>0</v>
      </c>
      <c r="BV121" s="45" t="n">
        <f aca="false">IF(AND(MOD(72,3)=0,BV120&gt;0),BV120*Assumptions!$B$59,0)</f>
        <v>17782.0576237186</v>
      </c>
      <c r="BW121" s="45" t="n">
        <f aca="false">IF(AND(MOD(73,3)=0,BW120&gt;0),BW120*Assumptions!$B$59,0)</f>
        <v>0</v>
      </c>
      <c r="BX121" s="45" t="n">
        <f aca="false">IF(AND(MOD(74,3)=0,BX120&gt;0),BX120*Assumptions!$B$59,0)</f>
        <v>0</v>
      </c>
      <c r="BY121" s="45" t="n">
        <f aca="false">IF(AND(MOD(75,3)=0,BY120&gt;0),BY120*Assumptions!$B$59,0)</f>
        <v>18448.884784608</v>
      </c>
      <c r="BZ121" s="45" t="n">
        <f aca="false">IF(AND(MOD(76,3)=0,BZ120&gt;0),BZ120*Assumptions!$B$59,0)</f>
        <v>0</v>
      </c>
      <c r="CA121" s="45" t="n">
        <f aca="false">IF(AND(MOD(77,3)=0,CA120&gt;0),CA120*Assumptions!$B$59,0)</f>
        <v>0</v>
      </c>
      <c r="CB121" s="45" t="n">
        <f aca="false">IF(AND(MOD(78,3)=0,CB120&gt;0),CB120*Assumptions!$B$59,0)</f>
        <v>19140.7179640308</v>
      </c>
      <c r="CC121" s="45" t="n">
        <f aca="false">IF(AND(MOD(79,3)=0,CC120&gt;0),CC120*Assumptions!$B$59,0)</f>
        <v>0</v>
      </c>
      <c r="CD121" s="45" t="n">
        <f aca="false">IF(AND(MOD(80,3)=0,CD120&gt;0),CD120*Assumptions!$B$59,0)</f>
        <v>0</v>
      </c>
      <c r="CE121" s="45" t="n">
        <f aca="false">IF(AND(MOD(81,3)=0,CE120&gt;0),CE120*Assumptions!$B$59,0)</f>
        <v>19858.494887682</v>
      </c>
      <c r="CF121" s="45" t="n">
        <f aca="false">IF(AND(MOD(82,3)=0,CF120&gt;0),CF120*Assumptions!$B$59,0)</f>
        <v>0</v>
      </c>
      <c r="CG121" s="45" t="n">
        <f aca="false">IF(AND(MOD(83,3)=0,CG120&gt;0),CG120*Assumptions!$B$59,0)</f>
        <v>0</v>
      </c>
      <c r="CH121" s="45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v>0</v>
      </c>
      <c r="D122" s="45" t="n">
        <v>0</v>
      </c>
      <c r="E122" s="45" t="n">
        <v>0</v>
      </c>
      <c r="F122" s="45" t="n">
        <v>0</v>
      </c>
      <c r="G122" s="45" t="n">
        <v>0</v>
      </c>
      <c r="H122" s="45" t="n">
        <v>0</v>
      </c>
      <c r="I122" s="45" t="n">
        <v>0</v>
      </c>
      <c r="J122" s="45" t="n">
        <v>0</v>
      </c>
      <c r="K122" s="45" t="n">
        <v>0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f aca="false">IF(Projects!$G$14="Yes",Assumptions!$B$77,0)</f>
        <v>-1800000</v>
      </c>
      <c r="AD122" s="45" t="n">
        <v>0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  <c r="AU122" s="45" t="n">
        <v>0</v>
      </c>
      <c r="AV122" s="45" t="n">
        <v>0</v>
      </c>
      <c r="AW122" s="45" t="n">
        <v>0</v>
      </c>
      <c r="AX122" s="45" t="n">
        <v>0</v>
      </c>
      <c r="AY122" s="45" t="n">
        <v>0</v>
      </c>
      <c r="AZ122" s="45" t="n">
        <v>0</v>
      </c>
      <c r="BA122" s="45" t="n">
        <v>0</v>
      </c>
      <c r="BB122" s="45" t="n">
        <v>0</v>
      </c>
      <c r="BC122" s="45" t="n">
        <v>0</v>
      </c>
      <c r="BD122" s="45" t="n">
        <v>0</v>
      </c>
      <c r="BE122" s="45" t="n">
        <v>0</v>
      </c>
      <c r="BF122" s="45" t="n">
        <v>0</v>
      </c>
      <c r="BG122" s="45" t="n">
        <v>0</v>
      </c>
      <c r="BH122" s="45" t="n">
        <v>0</v>
      </c>
      <c r="BI122" s="45" t="n">
        <v>0</v>
      </c>
      <c r="BJ122" s="45" t="n">
        <v>0</v>
      </c>
      <c r="BK122" s="45" t="n">
        <v>0</v>
      </c>
      <c r="BL122" s="45" t="n">
        <v>0</v>
      </c>
      <c r="BM122" s="45" t="n">
        <v>0</v>
      </c>
      <c r="BN122" s="45" t="n">
        <v>0</v>
      </c>
      <c r="BO122" s="45" t="n">
        <v>0</v>
      </c>
      <c r="BP122" s="45" t="n">
        <v>0</v>
      </c>
      <c r="BQ122" s="45" t="n">
        <v>0</v>
      </c>
      <c r="BR122" s="45" t="n">
        <v>0</v>
      </c>
      <c r="BS122" s="45" t="n">
        <v>0</v>
      </c>
      <c r="BT122" s="45" t="n">
        <v>0</v>
      </c>
      <c r="BU122" s="45" t="n">
        <v>0</v>
      </c>
      <c r="BV122" s="45" t="n">
        <v>0</v>
      </c>
      <c r="BW122" s="45" t="n">
        <v>0</v>
      </c>
      <c r="BX122" s="45" t="n">
        <v>0</v>
      </c>
      <c r="BY122" s="45" t="n">
        <v>0</v>
      </c>
      <c r="BZ122" s="45" t="n">
        <v>0</v>
      </c>
      <c r="CA122" s="45" t="n">
        <v>0</v>
      </c>
      <c r="CB122" s="45" t="n">
        <v>0</v>
      </c>
      <c r="CC122" s="45" t="n">
        <v>0</v>
      </c>
      <c r="CD122" s="45" t="n">
        <v>0</v>
      </c>
      <c r="CE122" s="45" t="n">
        <v>0</v>
      </c>
      <c r="CF122" s="45" t="n">
        <v>0</v>
      </c>
      <c r="CG122" s="45" t="n">
        <v>0</v>
      </c>
      <c r="CH122" s="45" t="n">
        <v>0</v>
      </c>
      <c r="CI122" s="25"/>
    </row>
    <row r="123" customFormat="false" ht="15" hidden="false" customHeight="true" outlineLevel="0" collapsed="false">
      <c r="A123" s="46" t="s">
        <v>148</v>
      </c>
      <c r="B123" s="46"/>
      <c r="C123" s="47" t="n">
        <f aca="false">-MIN(C120+C121+C122,MAX(0,C61-Helpers!C26))</f>
        <v>-0</v>
      </c>
      <c r="D123" s="47" t="n">
        <f aca="false">-MIN(D120+D121+D122,MAX(0,D61-Helpers!D26))</f>
        <v>-0</v>
      </c>
      <c r="E123" s="47" t="n">
        <f aca="false">-MIN(E120+E121+E122,MAX(0,E61-Helpers!E26))</f>
        <v>-0</v>
      </c>
      <c r="F123" s="47" t="n">
        <f aca="false">-MIN(F120+F121+F122,MAX(0,F61-Helpers!F26))</f>
        <v>-0</v>
      </c>
      <c r="G123" s="47" t="n">
        <f aca="false">-MIN(G120+G121+G122,MAX(0,G61-Helpers!G26))</f>
        <v>-0</v>
      </c>
      <c r="H123" s="47" t="n">
        <f aca="false">-MIN(H120+H121+H122,MAX(0,H61-Helpers!H26))</f>
        <v>-0</v>
      </c>
      <c r="I123" s="47" t="n">
        <f aca="false">-MIN(I120+I121+I122,MAX(0,I61-Helpers!I26))</f>
        <v>-0</v>
      </c>
      <c r="J123" s="47" t="n">
        <f aca="false">-MIN(J120+J121+J122,MAX(0,J61-Helpers!J26))</f>
        <v>-0</v>
      </c>
      <c r="K123" s="47" t="n">
        <f aca="false">-MIN(K120+K121+K122,MAX(0,K61-Helpers!K26))</f>
        <v>-0</v>
      </c>
      <c r="L123" s="47" t="n">
        <f aca="false">-MIN(L120+L121+L122,MAX(0,L61-Helpers!L26))</f>
        <v>-0</v>
      </c>
      <c r="M123" s="47" t="n">
        <f aca="false">-MIN(M120+M121+M122,MAX(0,M61-Helpers!M26))</f>
        <v>-0</v>
      </c>
      <c r="N123" s="47" t="n">
        <f aca="false">-MIN(N120+N121+N122,MAX(0,N61-Helpers!N26))</f>
        <v>-0</v>
      </c>
      <c r="O123" s="47" t="n">
        <f aca="false">-MIN(O120+O121+O122,MAX(0,O61-Helpers!O26))</f>
        <v>-0</v>
      </c>
      <c r="P123" s="47" t="n">
        <f aca="false">-MIN(P120+P121+P122,MAX(0,P61-Helpers!P26))</f>
        <v>-0</v>
      </c>
      <c r="Q123" s="47" t="n">
        <f aca="false">-MIN(Q120+Q121+Q122,MAX(0,Q61-Helpers!Q26))</f>
        <v>-0</v>
      </c>
      <c r="R123" s="47" t="n">
        <f aca="false">-MIN(R120+R121+R122,MAX(0,R61-Helpers!R26))</f>
        <v>-0</v>
      </c>
      <c r="S123" s="47" t="n">
        <f aca="false">-MIN(S120+S121+S122,MAX(0,S61-Helpers!S26))</f>
        <v>-0</v>
      </c>
      <c r="T123" s="47" t="n">
        <f aca="false">-MIN(T120+T121+T122,MAX(0,T61-Helpers!T26))</f>
        <v>-0</v>
      </c>
      <c r="U123" s="47" t="n">
        <f aca="false">-MIN(U120+U121+U122,MAX(0,U61-Helpers!U26))</f>
        <v>-0</v>
      </c>
      <c r="V123" s="47" t="n">
        <f aca="false">-MIN(V120+V121+V122,MAX(0,V61-Helpers!V26))</f>
        <v>-0</v>
      </c>
      <c r="W123" s="47" t="n">
        <f aca="false">-MIN(W120+W121+W122,MAX(0,W61-Helpers!W26))</f>
        <v>-0</v>
      </c>
      <c r="X123" s="47" t="n">
        <f aca="false">-MIN(X120+X121+X122,MAX(0,X61-Helpers!X26))</f>
        <v>-0</v>
      </c>
      <c r="Y123" s="47" t="n">
        <f aca="false">-MIN(Y120+Y121+Y122,MAX(0,Y61-Helpers!Y26))</f>
        <v>-0</v>
      </c>
      <c r="Z123" s="47" t="n">
        <f aca="false">-MIN(Z120+Z121+Z122,MAX(0,Z61-Helpers!Z26))</f>
        <v>-0</v>
      </c>
      <c r="AA123" s="47" t="n">
        <f aca="false">-MIN(AA120+AA121+AA122,MAX(0,AA61-Helpers!AA26))</f>
        <v>-0</v>
      </c>
      <c r="AB123" s="47" t="n">
        <f aca="false">-MIN(AB120+AB121+AB122,MAX(0,AB61-Helpers!AB26))</f>
        <v>-0</v>
      </c>
      <c r="AC123" s="47" t="n">
        <f aca="false">-MIN(AC120+AC121+AC122,MAX(0,AC61-Helpers!AC26))</f>
        <v>-0</v>
      </c>
      <c r="AD123" s="47" t="n">
        <f aca="false">-MIN(AD120+AD121+AD122,MAX(0,AD61-Helpers!AD26))</f>
        <v>-0</v>
      </c>
      <c r="AE123" s="47" t="n">
        <f aca="false">-MIN(AE120+AE121+AE122,MAX(0,AE61-Helpers!AE26))</f>
        <v>-0</v>
      </c>
      <c r="AF123" s="47" t="n">
        <f aca="false">-MIN(AF120+AF121+AF122,MAX(0,AF61-Helpers!AF26))</f>
        <v>-0</v>
      </c>
      <c r="AG123" s="47" t="n">
        <f aca="false">-MIN(AG120+AG121+AG122,MAX(0,AG61-Helpers!AG26))</f>
        <v>-0</v>
      </c>
      <c r="AH123" s="47" t="n">
        <f aca="false">-MIN(AH120+AH121+AH122,MAX(0,AH61-Helpers!AH26))</f>
        <v>-0</v>
      </c>
      <c r="AI123" s="47" t="n">
        <f aca="false">-MIN(AI120+AI121+AI122,MAX(0,AI61-Helpers!AI26))</f>
        <v>-0</v>
      </c>
      <c r="AJ123" s="47" t="n">
        <f aca="false">-MIN(AJ120+AJ121+AJ122,MAX(0,AJ61-Helpers!AJ26))</f>
        <v>-0</v>
      </c>
      <c r="AK123" s="47" t="n">
        <f aca="false">-MIN(AK120+AK121+AK122,MAX(0,AK61-Helpers!AK26))</f>
        <v>-0</v>
      </c>
      <c r="AL123" s="47" t="n">
        <f aca="false">-MIN(AL120+AL121+AL122,MAX(0,AL61-Helpers!AL26))</f>
        <v>-0</v>
      </c>
      <c r="AM123" s="47" t="n">
        <f aca="false">-MIN(AM120+AM121+AM122,MAX(0,AM61-Helpers!AM26))</f>
        <v>-0</v>
      </c>
      <c r="AN123" s="47" t="n">
        <f aca="false">-MIN(AN120+AN121+AN122,MAX(0,AN61-Helpers!AN26))</f>
        <v>-0</v>
      </c>
      <c r="AO123" s="47" t="n">
        <f aca="false">-MIN(AO120+AO121+AO122,MAX(0,AO61-Helpers!AO26))</f>
        <v>-0</v>
      </c>
      <c r="AP123" s="47" t="n">
        <f aca="false">-MIN(AP120+AP121+AP122,MAX(0,AP61-Helpers!AP26))</f>
        <v>-0</v>
      </c>
      <c r="AQ123" s="47" t="n">
        <f aca="false">-MIN(AQ120+AQ121+AQ122,MAX(0,AQ61-Helpers!AQ26))</f>
        <v>-0</v>
      </c>
      <c r="AR123" s="47" t="n">
        <f aca="false">-MIN(AR120+AR121+AR122,MAX(0,AR61-Helpers!AR26))</f>
        <v>-0</v>
      </c>
      <c r="AS123" s="47" t="n">
        <f aca="false">-MIN(AS120+AS121+AS122,MAX(0,AS61-Helpers!AS26))</f>
        <v>-0</v>
      </c>
      <c r="AT123" s="47" t="n">
        <f aca="false">-MIN(AT120+AT121+AT122,MAX(0,AT61-Helpers!AT26))</f>
        <v>-0</v>
      </c>
      <c r="AU123" s="47" t="n">
        <f aca="false">-MIN(AU120+AU121+AU122,MAX(0,AU61-Helpers!AU26))</f>
        <v>-0</v>
      </c>
      <c r="AV123" s="47" t="n">
        <f aca="false">-MIN(AV120+AV121+AV122,MAX(0,AV61-Helpers!AV26))</f>
        <v>-0</v>
      </c>
      <c r="AW123" s="47" t="n">
        <f aca="false">-MIN(AW120+AW121+AW122,MAX(0,AW61-Helpers!AW26))</f>
        <v>-0</v>
      </c>
      <c r="AX123" s="47" t="n">
        <f aca="false">-MIN(AX120+AX121+AX122,MAX(0,AX61-Helpers!AX26))</f>
        <v>-0</v>
      </c>
      <c r="AY123" s="47" t="n">
        <f aca="false">-MIN(AY120+AY121+AY122,MAX(0,AY61-Helpers!AY26))</f>
        <v>-0</v>
      </c>
      <c r="AZ123" s="47" t="n">
        <f aca="false">-MIN(AZ120+AZ121+AZ122,MAX(0,AZ61-Helpers!AZ26))</f>
        <v>-0</v>
      </c>
      <c r="BA123" s="47" t="n">
        <f aca="false">-MIN(BA120+BA121+BA122,MAX(0,BA61-Helpers!BA26))</f>
        <v>-0</v>
      </c>
      <c r="BB123" s="47" t="n">
        <f aca="false">-MIN(BB120+BB121+BB122,MAX(0,BB61-Helpers!BB26))</f>
        <v>-0</v>
      </c>
      <c r="BC123" s="47" t="n">
        <f aca="false">-MIN(BC120+BC121+BC122,MAX(0,BC61-Helpers!BC26))</f>
        <v>-0</v>
      </c>
      <c r="BD123" s="47" t="n">
        <f aca="false">-MIN(BD120+BD121+BD122,MAX(0,BD61-Helpers!BD26))</f>
        <v>-0</v>
      </c>
      <c r="BE123" s="47" t="n">
        <f aca="false">-MIN(BE120+BE121+BE122,MAX(0,BE61-Helpers!BE26))</f>
        <v>-0</v>
      </c>
      <c r="BF123" s="47" t="n">
        <f aca="false">-MIN(BF120+BF121+BF122,MAX(0,BF61-Helpers!BF26))</f>
        <v>-0</v>
      </c>
      <c r="BG123" s="47" t="n">
        <f aca="false">-MIN(BG120+BG121+BG122,MAX(0,BG61-Helpers!BG26))</f>
        <v>-0</v>
      </c>
      <c r="BH123" s="47" t="n">
        <f aca="false">-MIN(BH120+BH121+BH122,MAX(0,BH61-Helpers!BH26))</f>
        <v>-0</v>
      </c>
      <c r="BI123" s="47" t="n">
        <f aca="false">-MIN(BI120+BI121+BI122,MAX(0,BI61-Helpers!BI26))</f>
        <v>-0</v>
      </c>
      <c r="BJ123" s="47" t="n">
        <f aca="false">-MIN(BJ120+BJ121+BJ122,MAX(0,BJ61-Helpers!BJ26))</f>
        <v>-0</v>
      </c>
      <c r="BK123" s="47" t="n">
        <f aca="false">-MIN(BK120+BK121+BK122,MAX(0,BK61-Helpers!BK26))</f>
        <v>-0</v>
      </c>
      <c r="BL123" s="47" t="n">
        <f aca="false">-MIN(BL120+BL121+BL122,MAX(0,BL61-Helpers!BL26))</f>
        <v>-0</v>
      </c>
      <c r="BM123" s="47" t="n">
        <f aca="false">-MIN(BM120+BM121+BM122,MAX(0,BM61-Helpers!BM26))</f>
        <v>-0</v>
      </c>
      <c r="BN123" s="47" t="n">
        <f aca="false">-MIN(BN120+BN121+BN122,MAX(0,BN61-Helpers!BN26))</f>
        <v>-0</v>
      </c>
      <c r="BO123" s="47" t="n">
        <f aca="false">-MIN(BO120+BO121+BO122,MAX(0,BO61-Helpers!BO26))</f>
        <v>-0</v>
      </c>
      <c r="BP123" s="47" t="n">
        <f aca="false">-MIN(BP120+BP121+BP122,MAX(0,BP61-Helpers!BP26))</f>
        <v>-0</v>
      </c>
      <c r="BQ123" s="47" t="n">
        <f aca="false">-MIN(BQ120+BQ121+BQ122,MAX(0,BQ61-Helpers!BQ26))</f>
        <v>-0</v>
      </c>
      <c r="BR123" s="47" t="n">
        <f aca="false">-MIN(BR120+BR121+BR122,MAX(0,BR61-Helpers!BR26))</f>
        <v>-0</v>
      </c>
      <c r="BS123" s="47" t="n">
        <f aca="false">-MIN(BS120+BS121+BS122,MAX(0,BS61-Helpers!BS26))</f>
        <v>-0</v>
      </c>
      <c r="BT123" s="47" t="n">
        <f aca="false">-MIN(BT120+BT121+BT122,MAX(0,BT61-Helpers!BT26))</f>
        <v>-0</v>
      </c>
      <c r="BU123" s="47" t="n">
        <f aca="false">-MIN(BU120+BU121+BU122,MAX(0,BU61-Helpers!BU26))</f>
        <v>-0</v>
      </c>
      <c r="BV123" s="47" t="n">
        <f aca="false">-MIN(BV120+BV121+BV122,MAX(0,BV61-Helpers!BV26))</f>
        <v>-0</v>
      </c>
      <c r="BW123" s="47" t="n">
        <f aca="false">-MIN(BW120+BW121+BW122,MAX(0,BW61-Helpers!BW26))</f>
        <v>-0</v>
      </c>
      <c r="BX123" s="47" t="n">
        <f aca="false">-MIN(BX120+BX121+BX122,MAX(0,BX61-Helpers!BX26))</f>
        <v>-0</v>
      </c>
      <c r="BY123" s="47" t="n">
        <f aca="false">-MIN(BY120+BY121+BY122,MAX(0,BY61-Helpers!BY26))</f>
        <v>-0</v>
      </c>
      <c r="BZ123" s="47" t="n">
        <f aca="false">-MIN(BZ120+BZ121+BZ122,MAX(0,BZ61-Helpers!BZ26))</f>
        <v>-0</v>
      </c>
      <c r="CA123" s="47" t="n">
        <f aca="false">-MIN(CA120+CA121+CA122,MAX(0,CA61-Helpers!CA26))</f>
        <v>-0</v>
      </c>
      <c r="CB123" s="47" t="n">
        <f aca="false">-MIN(CB120+CB121+CB122,MAX(0,CB61-Helpers!CB26))</f>
        <v>-0</v>
      </c>
      <c r="CC123" s="47" t="n">
        <f aca="false">-MIN(CC120+CC121+CC122,MAX(0,CC61-Helpers!CC26))</f>
        <v>-0</v>
      </c>
      <c r="CD123" s="47" t="n">
        <f aca="false">-MIN(CD120+CD121+CD122,MAX(0,CD61-Helpers!CD26))</f>
        <v>-0</v>
      </c>
      <c r="CE123" s="47" t="n">
        <f aca="false">-MIN(CE120+CE121+CE122,MAX(0,CE61-Helpers!CE26))</f>
        <v>-0</v>
      </c>
      <c r="CF123" s="47" t="n">
        <f aca="false">-MIN(CF120+CF121+CF122,MAX(0,CF61-Helpers!CF26))</f>
        <v>-0</v>
      </c>
      <c r="CG123" s="47" t="n">
        <f aca="false">-MIN(CG120+CG121+CG122,MAX(0,CG61-Helpers!CG26))</f>
        <v>-0</v>
      </c>
      <c r="CH123" s="47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1" t="s">
        <v>149</v>
      </c>
      <c r="B124" s="42"/>
      <c r="C124" s="43" t="n">
        <f aca="false">MAX(0,C120+C121+C122+C123)</f>
        <v>264927.15</v>
      </c>
      <c r="D124" s="43" t="n">
        <f aca="false">MAX(0,D120+D121+D122+D123)</f>
        <v>264927.15</v>
      </c>
      <c r="E124" s="43" t="n">
        <f aca="false">MAX(0,E120+E121+E122+E123)</f>
        <v>458103.196875</v>
      </c>
      <c r="F124" s="43" t="n">
        <f aca="false">MAX(0,F120+F121+F122+F123)</f>
        <v>458103.196875</v>
      </c>
      <c r="G124" s="43" t="n">
        <f aca="false">MAX(0,G120+G121+G122+G123)</f>
        <v>458103.196875</v>
      </c>
      <c r="H124" s="43" t="n">
        <f aca="false">MAX(0,H120+H121+H122+H123)</f>
        <v>658523.345507813</v>
      </c>
      <c r="I124" s="43" t="n">
        <f aca="false">MAX(0,I120+I121+I122+I123)</f>
        <v>658523.345507813</v>
      </c>
      <c r="J124" s="43" t="n">
        <f aca="false">MAX(0,J120+J121+J122+J123)</f>
        <v>658523.345507813</v>
      </c>
      <c r="K124" s="43" t="n">
        <f aca="false">MAX(0,K120+K121+K122+K123)</f>
        <v>683217.970964355</v>
      </c>
      <c r="L124" s="43" t="n">
        <f aca="false">MAX(0,L120+L121+L122+L123)</f>
        <v>771527.020964355</v>
      </c>
      <c r="M124" s="43" t="n">
        <f aca="false">MAX(0,M120+M121+M122+M123)</f>
        <v>771527.020964355</v>
      </c>
      <c r="N124" s="43" t="n">
        <f aca="false">MAX(0,N120+N121+N122+N123)</f>
        <v>800459.284250519</v>
      </c>
      <c r="O124" s="43" t="n">
        <f aca="false">MAX(0,O120+O121+O122+O123)</f>
        <v>800459.284250519</v>
      </c>
      <c r="P124" s="43" t="n">
        <f aca="false">MAX(0,P120+P121+P122+P123)</f>
        <v>800459.284250519</v>
      </c>
      <c r="Q124" s="43" t="n">
        <f aca="false">MAX(0,Q120+Q121+Q122+Q123)</f>
        <v>922097.146784913</v>
      </c>
      <c r="R124" s="43" t="n">
        <f aca="false">MAX(0,R120+R121+R122+R123)</f>
        <v>922097.146784913</v>
      </c>
      <c r="S124" s="43" t="n">
        <f aca="false">MAX(0,S120+S121+S122+S123)</f>
        <v>922097.146784913</v>
      </c>
      <c r="T124" s="43" t="n">
        <f aca="false">MAX(0,T120+T121+T122+T123)</f>
        <v>956675.789789348</v>
      </c>
      <c r="U124" s="43" t="n">
        <f aca="false">MAX(0,U120+U121+U122+U123)</f>
        <v>956675.789789348</v>
      </c>
      <c r="V124" s="43" t="n">
        <f aca="false">MAX(0,V120+V121+V122+V123)</f>
        <v>956675.789789348</v>
      </c>
      <c r="W124" s="43" t="n">
        <f aca="false">MAX(0,W120+W121+W122+W123)</f>
        <v>1084171.77128145</v>
      </c>
      <c r="X124" s="43" t="n">
        <f aca="false">MAX(0,X120+X121+X122+X123)</f>
        <v>1084171.77128145</v>
      </c>
      <c r="Y124" s="43" t="n">
        <f aca="false">MAX(0,Y120+Y121+Y122+Y123)</f>
        <v>1084171.77128145</v>
      </c>
      <c r="Z124" s="43" t="n">
        <f aca="false">MAX(0,Z120+Z121+Z122+Z123)</f>
        <v>1124828.2127045</v>
      </c>
      <c r="AA124" s="43" t="n">
        <f aca="false">MAX(0,AA120+AA121+AA122+AA123)</f>
        <v>1124828.2127045</v>
      </c>
      <c r="AB124" s="43" t="n">
        <f aca="false">MAX(0,AB120+AB121+AB122+AB123)</f>
        <v>1124828.2127045</v>
      </c>
      <c r="AC124" s="43" t="n">
        <f aca="false">MAX(0,AC120+AC121+AC122+AC123)</f>
        <v>283215.664430921</v>
      </c>
      <c r="AD124" s="43" t="n">
        <f aca="false">MAX(0,AD120+AD121+AD122+AD123)</f>
        <v>283215.664430921</v>
      </c>
      <c r="AE124" s="43" t="n">
        <f aca="false">MAX(0,AE120+AE121+AE122+AE123)</f>
        <v>283215.664430921</v>
      </c>
      <c r="AF124" s="43" t="n">
        <f aca="false">MAX(0,AF120+AF121+AF122+AF123)</f>
        <v>293836.251847081</v>
      </c>
      <c r="AG124" s="43" t="n">
        <f aca="false">MAX(0,AG120+AG121+AG122+AG123)</f>
        <v>293836.251847081</v>
      </c>
      <c r="AH124" s="43" t="n">
        <f aca="false">MAX(0,AH120+AH121+AH122+AH123)</f>
        <v>293836.251847081</v>
      </c>
      <c r="AI124" s="43" t="n">
        <f aca="false">MAX(0,AI120+AI121+AI122+AI123)</f>
        <v>304855.111291347</v>
      </c>
      <c r="AJ124" s="43" t="n">
        <f aca="false">MAX(0,AJ120+AJ121+AJ122+AJ123)</f>
        <v>304855.111291347</v>
      </c>
      <c r="AK124" s="43" t="n">
        <f aca="false">MAX(0,AK120+AK121+AK122+AK123)</f>
        <v>304855.111291347</v>
      </c>
      <c r="AL124" s="43" t="n">
        <f aca="false">MAX(0,AL120+AL121+AL122+AL123)</f>
        <v>316287.177964772</v>
      </c>
      <c r="AM124" s="43" t="n">
        <f aca="false">MAX(0,AM120+AM121+AM122+AM123)</f>
        <v>316287.177964772</v>
      </c>
      <c r="AN124" s="43" t="n">
        <f aca="false">MAX(0,AN120+AN121+AN122+AN123)</f>
        <v>316287.177964772</v>
      </c>
      <c r="AO124" s="43" t="n">
        <f aca="false">MAX(0,AO120+AO121+AO122+AO123)</f>
        <v>328147.947138451</v>
      </c>
      <c r="AP124" s="43" t="n">
        <f aca="false">MAX(0,AP120+AP121+AP122+AP123)</f>
        <v>328147.947138451</v>
      </c>
      <c r="AQ124" s="43" t="n">
        <f aca="false">MAX(0,AQ120+AQ121+AQ122+AQ123)</f>
        <v>328147.947138451</v>
      </c>
      <c r="AR124" s="43" t="n">
        <f aca="false">MAX(0,AR120+AR121+AR122+AR123)</f>
        <v>340453.495156143</v>
      </c>
      <c r="AS124" s="43" t="n">
        <f aca="false">MAX(0,AS120+AS121+AS122+AS123)</f>
        <v>340453.495156143</v>
      </c>
      <c r="AT124" s="43" t="n">
        <f aca="false">MAX(0,AT120+AT121+AT122+AT123)</f>
        <v>340453.495156143</v>
      </c>
      <c r="AU124" s="43" t="n">
        <f aca="false">MAX(0,AU120+AU121+AU122+AU123)</f>
        <v>353220.501224498</v>
      </c>
      <c r="AV124" s="43" t="n">
        <f aca="false">MAX(0,AV120+AV121+AV122+AV123)</f>
        <v>353220.501224498</v>
      </c>
      <c r="AW124" s="43" t="n">
        <f aca="false">MAX(0,AW120+AW121+AW122+AW123)</f>
        <v>353220.501224498</v>
      </c>
      <c r="AX124" s="43" t="n">
        <f aca="false">MAX(0,AX120+AX121+AX122+AX123)</f>
        <v>366466.270020417</v>
      </c>
      <c r="AY124" s="43" t="n">
        <f aca="false">MAX(0,AY120+AY121+AY122+AY123)</f>
        <v>366466.270020417</v>
      </c>
      <c r="AZ124" s="43" t="n">
        <f aca="false">MAX(0,AZ120+AZ121+AZ122+AZ123)</f>
        <v>366466.270020417</v>
      </c>
      <c r="BA124" s="43" t="n">
        <f aca="false">MAX(0,BA120+BA121+BA122+BA123)</f>
        <v>380208.755146183</v>
      </c>
      <c r="BB124" s="43" t="n">
        <f aca="false">MAX(0,BB120+BB121+BB122+BB123)</f>
        <v>380208.755146183</v>
      </c>
      <c r="BC124" s="43" t="n">
        <f aca="false">MAX(0,BC120+BC121+BC122+BC123)</f>
        <v>380208.755146183</v>
      </c>
      <c r="BD124" s="43" t="n">
        <f aca="false">MAX(0,BD120+BD121+BD122+BD123)</f>
        <v>394466.583464164</v>
      </c>
      <c r="BE124" s="43" t="n">
        <f aca="false">MAX(0,BE120+BE121+BE122+BE123)</f>
        <v>394466.583464164</v>
      </c>
      <c r="BF124" s="43" t="n">
        <f aca="false">MAX(0,BF120+BF121+BF122+BF123)</f>
        <v>394466.583464164</v>
      </c>
      <c r="BG124" s="43" t="n">
        <f aca="false">MAX(0,BG120+BG121+BG122+BG123)</f>
        <v>409259.080344071</v>
      </c>
      <c r="BH124" s="43" t="n">
        <f aca="false">MAX(0,BH120+BH121+BH122+BH123)</f>
        <v>409259.080344071</v>
      </c>
      <c r="BI124" s="43" t="n">
        <f aca="false">MAX(0,BI120+BI121+BI122+BI123)</f>
        <v>409259.080344071</v>
      </c>
      <c r="BJ124" s="43" t="n">
        <f aca="false">MAX(0,BJ120+BJ121+BJ122+BJ123)</f>
        <v>424606.295856973</v>
      </c>
      <c r="BK124" s="43" t="n">
        <f aca="false">MAX(0,BK120+BK121+BK122+BK123)</f>
        <v>424606.295856973</v>
      </c>
      <c r="BL124" s="43" t="n">
        <f aca="false">MAX(0,BL120+BL121+BL122+BL123)</f>
        <v>424606.295856973</v>
      </c>
      <c r="BM124" s="43" t="n">
        <f aca="false">MAX(0,BM120+BM121+BM122+BM123)</f>
        <v>440529.03195161</v>
      </c>
      <c r="BN124" s="43" t="n">
        <f aca="false">MAX(0,BN120+BN121+BN122+BN123)</f>
        <v>440529.03195161</v>
      </c>
      <c r="BO124" s="43" t="n">
        <f aca="false">MAX(0,BO120+BO121+BO122+BO123)</f>
        <v>440529.03195161</v>
      </c>
      <c r="BP124" s="43" t="n">
        <f aca="false">MAX(0,BP120+BP121+BP122+BP123)</f>
        <v>457048.870649795</v>
      </c>
      <c r="BQ124" s="43" t="n">
        <f aca="false">MAX(0,BQ120+BQ121+BQ122+BQ123)</f>
        <v>457048.870649795</v>
      </c>
      <c r="BR124" s="43" t="n">
        <f aca="false">MAX(0,BR120+BR121+BR122+BR123)</f>
        <v>457048.870649795</v>
      </c>
      <c r="BS124" s="43" t="n">
        <f aca="false">MAX(0,BS120+BS121+BS122+BS123)</f>
        <v>474188.203299162</v>
      </c>
      <c r="BT124" s="43" t="n">
        <f aca="false">MAX(0,BT120+BT121+BT122+BT123)</f>
        <v>474188.203299162</v>
      </c>
      <c r="BU124" s="43" t="n">
        <f aca="false">MAX(0,BU120+BU121+BU122+BU123)</f>
        <v>474188.203299162</v>
      </c>
      <c r="BV124" s="43" t="n">
        <f aca="false">MAX(0,BV120+BV121+BV122+BV123)</f>
        <v>491970.260922881</v>
      </c>
      <c r="BW124" s="43" t="n">
        <f aca="false">MAX(0,BW120+BW121+BW122+BW123)</f>
        <v>491970.260922881</v>
      </c>
      <c r="BX124" s="43" t="n">
        <f aca="false">MAX(0,BX120+BX121+BX122+BX123)</f>
        <v>491970.260922881</v>
      </c>
      <c r="BY124" s="43" t="n">
        <f aca="false">MAX(0,BY120+BY121+BY122+BY123)</f>
        <v>510419.145707489</v>
      </c>
      <c r="BZ124" s="43" t="n">
        <f aca="false">MAX(0,BZ120+BZ121+BZ122+BZ123)</f>
        <v>510419.145707489</v>
      </c>
      <c r="CA124" s="43" t="n">
        <f aca="false">MAX(0,CA120+CA121+CA122+CA123)</f>
        <v>510419.145707489</v>
      </c>
      <c r="CB124" s="43" t="n">
        <f aca="false">MAX(0,CB120+CB121+CB122+CB123)</f>
        <v>529559.86367152</v>
      </c>
      <c r="CC124" s="43" t="n">
        <f aca="false">MAX(0,CC120+CC121+CC122+CC123)</f>
        <v>529559.86367152</v>
      </c>
      <c r="CD124" s="43" t="n">
        <f aca="false">MAX(0,CD120+CD121+CD122+CD123)</f>
        <v>529559.86367152</v>
      </c>
      <c r="CE124" s="43" t="n">
        <f aca="false">MAX(0,CE120+CE121+CE122+CE123)</f>
        <v>549418.358559202</v>
      </c>
      <c r="CF124" s="43" t="n">
        <f aca="false">MAX(0,CF120+CF121+CF122+CF123)</f>
        <v>549418.358559202</v>
      </c>
      <c r="CG124" s="43" t="n">
        <f aca="false">MAX(0,CG120+CG121+CG122+CG123)</f>
        <v>549418.358559202</v>
      </c>
      <c r="CH124" s="43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4" t="s">
        <v>150</v>
      </c>
      <c r="B125" s="44"/>
      <c r="C125" s="45" t="n">
        <f aca="false">IF(Projects!$G$13="Yes",Assumptions!$B$71,0)</f>
        <v>1134000</v>
      </c>
      <c r="D125" s="45" t="n">
        <f aca="false">C129+IF(AND(Projects!$G$13="Yes",2&lt;=Assumptions!$B$73),Assumptions!$B$72,0)</f>
        <v>1184000</v>
      </c>
      <c r="E125" s="45" t="n">
        <f aca="false">D129+IF(AND(Projects!$G$13="Yes",3&lt;=Assumptions!$B$73),Assumptions!$B$72,0)</f>
        <v>1234000</v>
      </c>
      <c r="F125" s="45" t="n">
        <f aca="false">E129+IF(AND(Projects!$G$13="Yes",4&lt;=Assumptions!$B$73),Assumptions!$B$72,0)</f>
        <v>1330275</v>
      </c>
      <c r="G125" s="45" t="n">
        <f aca="false">F129+IF(AND(Projects!$G$13="Yes",5&lt;=Assumptions!$B$73),Assumptions!$B$72,0)</f>
        <v>1380275</v>
      </c>
      <c r="H125" s="45" t="n">
        <f aca="false">G129+IF(AND(Projects!$G$13="Yes",6&lt;=Assumptions!$B$73),Assumptions!$B$72,0)</f>
        <v>1430275</v>
      </c>
      <c r="I125" s="45" t="n">
        <f aca="false">H129+IF(AND(Projects!$G$13="Yes",7&lt;=Assumptions!$B$73),Assumptions!$B$72,0)</f>
        <v>1533910.3125</v>
      </c>
      <c r="J125" s="45" t="n">
        <f aca="false">I129+IF(AND(Projects!$G$13="Yes",8&lt;=Assumptions!$B$73),Assumptions!$B$72,0)</f>
        <v>1583910.3125</v>
      </c>
      <c r="K125" s="45" t="n">
        <f aca="false">J129+IF(AND(Projects!$G$13="Yes",9&lt;=Assumptions!$B$73),Assumptions!$B$72,0)</f>
        <v>1633910.3125</v>
      </c>
      <c r="L125" s="45" t="n">
        <f aca="false">K129+IF(AND(Projects!$G$13="Yes",10&lt;=Assumptions!$B$73),Assumptions!$B$72,0)</f>
        <v>1745181.94921875</v>
      </c>
      <c r="M125" s="45" t="n">
        <f aca="false">L129+IF(AND(Projects!$G$13="Yes",11&lt;=Assumptions!$B$73),Assumptions!$B$72,0)</f>
        <v>1795181.94921875</v>
      </c>
      <c r="N125" s="45" t="n">
        <f aca="false">M129+IF(AND(Projects!$G$13="Yes",12&lt;=Assumptions!$B$73),Assumptions!$B$72,0)</f>
        <v>1845181.94921875</v>
      </c>
      <c r="O125" s="45" t="n">
        <f aca="false">N129+IF(AND(Projects!$G$13="Yes",13&lt;=Assumptions!$B$73),Assumptions!$B$72,0)</f>
        <v>1964376.27231445</v>
      </c>
      <c r="P125" s="45" t="n">
        <f aca="false">O129+IF(AND(Projects!$G$13="Yes",14&lt;=Assumptions!$B$73),Assumptions!$B$72,0)</f>
        <v>564376.272314453</v>
      </c>
      <c r="Q125" s="45" t="n">
        <f aca="false">P129+IF(AND(Projects!$G$13="Yes",15&lt;=Assumptions!$B$73),Assumptions!$B$72,0)</f>
        <v>564376.272314453</v>
      </c>
      <c r="R125" s="45" t="n">
        <f aca="false">Q129+IF(AND(Projects!$G$13="Yes",16&lt;=Assumptions!$B$73),Assumptions!$B$72,0)</f>
        <v>585540.382526245</v>
      </c>
      <c r="S125" s="45" t="n">
        <f aca="false">R129+IF(AND(Projects!$G$13="Yes",17&lt;=Assumptions!$B$73),Assumptions!$B$72,0)</f>
        <v>585540.382526245</v>
      </c>
      <c r="T125" s="45" t="n">
        <f aca="false">S129+IF(AND(Projects!$G$13="Yes",18&lt;=Assumptions!$B$73),Assumptions!$B$72,0)</f>
        <v>585540.382526245</v>
      </c>
      <c r="U125" s="45" t="n">
        <f aca="false">T129+IF(AND(Projects!$G$13="Yes",19&lt;=Assumptions!$B$73),Assumptions!$B$72,0)</f>
        <v>607498.146870979</v>
      </c>
      <c r="V125" s="45" t="n">
        <f aca="false">U129+IF(AND(Projects!$G$13="Yes",20&lt;=Assumptions!$B$73),Assumptions!$B$72,0)</f>
        <v>607498.146870979</v>
      </c>
      <c r="W125" s="45" t="n">
        <f aca="false">V129+IF(AND(Projects!$G$13="Yes",21&lt;=Assumptions!$B$73),Assumptions!$B$72,0)</f>
        <v>607498.146870979</v>
      </c>
      <c r="X125" s="45" t="n">
        <f aca="false">W129+IF(AND(Projects!$G$13="Yes",22&lt;=Assumptions!$B$73),Assumptions!$B$72,0)</f>
        <v>630279.327378641</v>
      </c>
      <c r="Y125" s="45" t="n">
        <f aca="false">X129+IF(AND(Projects!$G$13="Yes",23&lt;=Assumptions!$B$73),Assumptions!$B$72,0)</f>
        <v>630279.327378641</v>
      </c>
      <c r="Z125" s="45" t="n">
        <f aca="false">Y129+IF(AND(Projects!$G$13="Yes",24&lt;=Assumptions!$B$73),Assumptions!$B$72,0)</f>
        <v>630279.327378641</v>
      </c>
      <c r="AA125" s="45" t="n">
        <f aca="false">Z129+IF(AND(Projects!$G$13="Yes",25&lt;=Assumptions!$B$73),Assumptions!$B$72,0)</f>
        <v>653914.80215534</v>
      </c>
      <c r="AB125" s="45" t="n">
        <f aca="false">AA129+IF(AND(Projects!$G$13="Yes",26&lt;=Assumptions!$B$73),Assumptions!$B$72,0)</f>
        <v>653914.80215534</v>
      </c>
      <c r="AC125" s="45" t="n">
        <f aca="false">AB129+IF(AND(Projects!$G$13="Yes",27&lt;=Assumptions!$B$73),Assumptions!$B$72,0)</f>
        <v>653914.80215534</v>
      </c>
      <c r="AD125" s="45" t="n">
        <f aca="false">AC129+IF(AND(Projects!$G$13="Yes",28&lt;=Assumptions!$B$73),Assumptions!$B$72,0)</f>
        <v>678436.607236165</v>
      </c>
      <c r="AE125" s="45" t="n">
        <f aca="false">AD129+IF(AND(Projects!$G$13="Yes",29&lt;=Assumptions!$B$73),Assumptions!$B$72,0)</f>
        <v>678436.607236165</v>
      </c>
      <c r="AF125" s="45" t="n">
        <f aca="false">AE129+IF(AND(Projects!$G$13="Yes",30&lt;=Assumptions!$B$73),Assumptions!$B$72,0)</f>
        <v>678436.607236165</v>
      </c>
      <c r="AG125" s="45" t="n">
        <f aca="false">AF129+IF(AND(Projects!$G$13="Yes",31&lt;=Assumptions!$B$73),Assumptions!$B$72,0)</f>
        <v>703877.980007521</v>
      </c>
      <c r="AH125" s="45" t="n">
        <f aca="false">AG129+IF(AND(Projects!$G$13="Yes",32&lt;=Assumptions!$B$73),Assumptions!$B$72,0)</f>
        <v>703877.980007521</v>
      </c>
      <c r="AI125" s="45" t="n">
        <f aca="false">AH129+IF(AND(Projects!$G$13="Yes",33&lt;=Assumptions!$B$73),Assumptions!$B$72,0)</f>
        <v>703877.980007521</v>
      </c>
      <c r="AJ125" s="45" t="n">
        <f aca="false">AI129+IF(AND(Projects!$G$13="Yes",34&lt;=Assumptions!$B$73),Assumptions!$B$72,0)</f>
        <v>730273.404257803</v>
      </c>
      <c r="AK125" s="45" t="n">
        <f aca="false">AJ129+IF(AND(Projects!$G$13="Yes",35&lt;=Assumptions!$B$73),Assumptions!$B$72,0)</f>
        <v>730273.404257803</v>
      </c>
      <c r="AL125" s="45" t="n">
        <f aca="false">AK129+IF(AND(Projects!$G$13="Yes",36&lt;=Assumptions!$B$73),Assumptions!$B$72,0)</f>
        <v>730273.404257803</v>
      </c>
      <c r="AM125" s="45" t="n">
        <f aca="false">AL129+IF(AND(Projects!$G$13="Yes",37&lt;=Assumptions!$B$73),Assumptions!$B$72,0)</f>
        <v>757658.656917471</v>
      </c>
      <c r="AN125" s="45" t="n">
        <f aca="false">AM129+IF(AND(Projects!$G$13="Yes",38&lt;=Assumptions!$B$73),Assumptions!$B$72,0)</f>
        <v>757658.656917471</v>
      </c>
      <c r="AO125" s="45" t="n">
        <f aca="false">AN129+IF(AND(Projects!$G$13="Yes",39&lt;=Assumptions!$B$73),Assumptions!$B$72,0)</f>
        <v>757658.656917471</v>
      </c>
      <c r="AP125" s="45" t="n">
        <f aca="false">AO129+IF(AND(Projects!$G$13="Yes",40&lt;=Assumptions!$B$73),Assumptions!$B$72,0)</f>
        <v>786070.856551876</v>
      </c>
      <c r="AQ125" s="45" t="n">
        <f aca="false">AP129+IF(AND(Projects!$G$13="Yes",41&lt;=Assumptions!$B$73),Assumptions!$B$72,0)</f>
        <v>786070.856551876</v>
      </c>
      <c r="AR125" s="45" t="n">
        <f aca="false">AQ129+IF(AND(Projects!$G$13="Yes",42&lt;=Assumptions!$B$73),Assumptions!$B$72,0)</f>
        <v>786070.856551876</v>
      </c>
      <c r="AS125" s="45" t="n">
        <f aca="false">AR129+IF(AND(Projects!$G$13="Yes",43&lt;=Assumptions!$B$73),Assumptions!$B$72,0)</f>
        <v>815548.513672571</v>
      </c>
      <c r="AT125" s="45" t="n">
        <f aca="false">AS129+IF(AND(Projects!$G$13="Yes",44&lt;=Assumptions!$B$73),Assumptions!$B$72,0)</f>
        <v>815548.513672571</v>
      </c>
      <c r="AU125" s="45" t="n">
        <f aca="false">AT129+IF(AND(Projects!$G$13="Yes",45&lt;=Assumptions!$B$73),Assumptions!$B$72,0)</f>
        <v>815548.513672571</v>
      </c>
      <c r="AV125" s="45" t="n">
        <f aca="false">AU129+IF(AND(Projects!$G$13="Yes",46&lt;=Assumptions!$B$73),Assumptions!$B$72,0)</f>
        <v>846131.582935293</v>
      </c>
      <c r="AW125" s="45" t="n">
        <f aca="false">AV129+IF(AND(Projects!$G$13="Yes",47&lt;=Assumptions!$B$73),Assumptions!$B$72,0)</f>
        <v>846131.582935293</v>
      </c>
      <c r="AX125" s="45" t="n">
        <f aca="false">AW129+IF(AND(Projects!$G$13="Yes",48&lt;=Assumptions!$B$73),Assumptions!$B$72,0)</f>
        <v>846131.582935293</v>
      </c>
      <c r="AY125" s="45" t="n">
        <f aca="false">AX129+IF(AND(Projects!$G$13="Yes",49&lt;=Assumptions!$B$73),Assumptions!$B$72,0)</f>
        <v>877861.517295366</v>
      </c>
      <c r="AZ125" s="45" t="n">
        <f aca="false">AY129+IF(AND(Projects!$G$13="Yes",50&lt;=Assumptions!$B$73),Assumptions!$B$72,0)</f>
        <v>877861.517295366</v>
      </c>
      <c r="BA125" s="45" t="n">
        <f aca="false">AZ129+IF(AND(Projects!$G$13="Yes",51&lt;=Assumptions!$B$73),Assumptions!$B$72,0)</f>
        <v>877861.517295366</v>
      </c>
      <c r="BB125" s="45" t="n">
        <f aca="false">BA129+IF(AND(Projects!$G$13="Yes",52&lt;=Assumptions!$B$73),Assumptions!$B$72,0)</f>
        <v>661610.024193943</v>
      </c>
      <c r="BC125" s="45" t="n">
        <f aca="false">BB129+IF(AND(Projects!$G$13="Yes",53&lt;=Assumptions!$B$73),Assumptions!$B$72,0)</f>
        <v>661610.024193943</v>
      </c>
      <c r="BD125" s="45" t="n">
        <f aca="false">BC129+IF(AND(Projects!$G$13="Yes",54&lt;=Assumptions!$B$73),Assumptions!$B$72,0)</f>
        <v>661610.024193943</v>
      </c>
      <c r="BE125" s="45" t="n">
        <f aca="false">BD129+IF(AND(Projects!$G$13="Yes",55&lt;=Assumptions!$B$73),Assumptions!$B$72,0)</f>
        <v>614720.400101215</v>
      </c>
      <c r="BF125" s="45" t="n">
        <f aca="false">BE129+IF(AND(Projects!$G$13="Yes",56&lt;=Assumptions!$B$73),Assumptions!$B$72,0)</f>
        <v>614720.400101215</v>
      </c>
      <c r="BG125" s="45" t="n">
        <f aca="false">BF129+IF(AND(Projects!$G$13="Yes",57&lt;=Assumptions!$B$73),Assumptions!$B$72,0)</f>
        <v>614720.400101215</v>
      </c>
      <c r="BH125" s="45" t="n">
        <f aca="false">BG129+IF(AND(Projects!$G$13="Yes",58&lt;=Assumptions!$B$73),Assumptions!$B$72,0)</f>
        <v>566072.415105011</v>
      </c>
      <c r="BI125" s="45" t="n">
        <f aca="false">BH129+IF(AND(Projects!$G$13="Yes",59&lt;=Assumptions!$B$73),Assumptions!$B$72,0)</f>
        <v>566072.415105011</v>
      </c>
      <c r="BJ125" s="45" t="n">
        <f aca="false">BI129+IF(AND(Projects!$G$13="Yes",60&lt;=Assumptions!$B$73),Assumptions!$B$72,0)</f>
        <v>566072.415105011</v>
      </c>
      <c r="BK125" s="45" t="n">
        <f aca="false">BJ129+IF(AND(Projects!$G$13="Yes",61&lt;=Assumptions!$B$73),Assumptions!$B$72,0)</f>
        <v>515600.130671449</v>
      </c>
      <c r="BL125" s="45" t="n">
        <f aca="false">BK129+IF(AND(Projects!$G$13="Yes",62&lt;=Assumptions!$B$73),Assumptions!$B$72,0)</f>
        <v>515600.130671449</v>
      </c>
      <c r="BM125" s="45" t="n">
        <f aca="false">BL129+IF(AND(Projects!$G$13="Yes",63&lt;=Assumptions!$B$73),Assumptions!$B$72,0)</f>
        <v>515600.130671449</v>
      </c>
      <c r="BN125" s="45" t="n">
        <f aca="false">BM129+IF(AND(Projects!$G$13="Yes",64&lt;=Assumptions!$B$73),Assumptions!$B$72,0)</f>
        <v>463235.135571628</v>
      </c>
      <c r="BO125" s="45" t="n">
        <f aca="false">BN129+IF(AND(Projects!$G$13="Yes",65&lt;=Assumptions!$B$73),Assumptions!$B$72,0)</f>
        <v>463235.135571628</v>
      </c>
      <c r="BP125" s="45" t="n">
        <f aca="false">BO129+IF(AND(Projects!$G$13="Yes",66&lt;=Assumptions!$B$73),Assumptions!$B$72,0)</f>
        <v>463235.135571628</v>
      </c>
      <c r="BQ125" s="45" t="n">
        <f aca="false">BP129+IF(AND(Projects!$G$13="Yes",67&lt;=Assumptions!$B$73),Assumptions!$B$72,0)</f>
        <v>405963.453155564</v>
      </c>
      <c r="BR125" s="45" t="n">
        <f aca="false">BQ129+IF(AND(Projects!$G$13="Yes",68&lt;=Assumptions!$B$73),Assumptions!$B$72,0)</f>
        <v>405963.453155564</v>
      </c>
      <c r="BS125" s="45" t="n">
        <f aca="false">BR129+IF(AND(Projects!$G$13="Yes",69&lt;=Assumptions!$B$73),Assumptions!$B$72,0)</f>
        <v>405963.453155564</v>
      </c>
      <c r="BT125" s="45" t="n">
        <f aca="false">BS129+IF(AND(Projects!$G$13="Yes",70&lt;=Assumptions!$B$73),Assumptions!$B$72,0)</f>
        <v>346547.082648898</v>
      </c>
      <c r="BU125" s="45" t="n">
        <f aca="false">BT129+IF(AND(Projects!$G$13="Yes",71&lt;=Assumptions!$B$73),Assumptions!$B$72,0)</f>
        <v>346547.082648898</v>
      </c>
      <c r="BV125" s="45" t="n">
        <f aca="false">BU129+IF(AND(Projects!$G$13="Yes",72&lt;=Assumptions!$B$73),Assumptions!$B$72,0)</f>
        <v>346547.082648898</v>
      </c>
      <c r="BW125" s="45" t="n">
        <f aca="false">BV129+IF(AND(Projects!$G$13="Yes",73&lt;=Assumptions!$B$73),Assumptions!$B$72,0)</f>
        <v>284902.598248232</v>
      </c>
      <c r="BX125" s="45" t="n">
        <f aca="false">BW129+IF(AND(Projects!$G$13="Yes",74&lt;=Assumptions!$B$73),Assumptions!$B$72,0)</f>
        <v>284902.598248232</v>
      </c>
      <c r="BY125" s="45" t="n">
        <f aca="false">BX129+IF(AND(Projects!$G$13="Yes",75&lt;=Assumptions!$B$73),Assumptions!$B$72,0)</f>
        <v>284902.598248232</v>
      </c>
      <c r="BZ125" s="45" t="n">
        <f aca="false">BY129+IF(AND(Projects!$G$13="Yes",76&lt;=Assumptions!$B$73),Assumptions!$B$72,0)</f>
        <v>220946.44568254</v>
      </c>
      <c r="CA125" s="45" t="n">
        <f aca="false">BZ129+IF(AND(Projects!$G$13="Yes",77&lt;=Assumptions!$B$73),Assumptions!$B$72,0)</f>
        <v>220946.44568254</v>
      </c>
      <c r="CB125" s="45" t="n">
        <f aca="false">CA129+IF(AND(Projects!$G$13="Yes",78&lt;=Assumptions!$B$73),Assumptions!$B$72,0)</f>
        <v>220946.44568254</v>
      </c>
      <c r="CC125" s="45" t="n">
        <f aca="false">CB129+IF(AND(Projects!$G$13="Yes",79&lt;=Assumptions!$B$73),Assumptions!$B$72,0)</f>
        <v>147868.937395636</v>
      </c>
      <c r="CD125" s="45" t="n">
        <f aca="false">CC129+IF(AND(Projects!$G$13="Yes",80&lt;=Assumptions!$B$73),Assumptions!$B$72,0)</f>
        <v>147868.937395636</v>
      </c>
      <c r="CE125" s="45" t="n">
        <f aca="false">CD129+IF(AND(Projects!$G$13="Yes",81&lt;=Assumptions!$B$73),Assumptions!$B$72,0)</f>
        <v>147868.937395636</v>
      </c>
      <c r="CF125" s="45" t="n">
        <f aca="false">CE129+IF(AND(Projects!$G$13="Yes",82&lt;=Assumptions!$B$73),Assumptions!$B$72,0)</f>
        <v>72052.0225479718</v>
      </c>
      <c r="CG125" s="45" t="n">
        <f aca="false">CF129+IF(AND(Projects!$G$13="Yes",83&lt;=Assumptions!$B$73),Assumptions!$B$72,0)</f>
        <v>72052.0225479718</v>
      </c>
      <c r="CH125" s="45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IF(AND(MOD(1,3)=0,C125&gt;0),C125*Assumptions!$B$59,0)</f>
        <v>0</v>
      </c>
      <c r="D126" s="45" t="n">
        <f aca="false">IF(AND(MOD(2,3)=0,D125&gt;0),D125*Assumptions!$B$59,0)</f>
        <v>0</v>
      </c>
      <c r="E126" s="45" t="n">
        <f aca="false">IF(AND(MOD(3,3)=0,E125&gt;0),E125*Assumptions!$B$59,0)</f>
        <v>46275</v>
      </c>
      <c r="F126" s="45" t="n">
        <f aca="false">IF(AND(MOD(4,3)=0,F125&gt;0),F125*Assumptions!$B$59,0)</f>
        <v>0</v>
      </c>
      <c r="G126" s="45" t="n">
        <f aca="false">IF(AND(MOD(5,3)=0,G125&gt;0),G125*Assumptions!$B$59,0)</f>
        <v>0</v>
      </c>
      <c r="H126" s="45" t="n">
        <f aca="false">IF(AND(MOD(6,3)=0,H125&gt;0),H125*Assumptions!$B$59,0)</f>
        <v>53635.3125</v>
      </c>
      <c r="I126" s="45" t="n">
        <f aca="false">IF(AND(MOD(7,3)=0,I125&gt;0),I125*Assumptions!$B$59,0)</f>
        <v>0</v>
      </c>
      <c r="J126" s="45" t="n">
        <f aca="false">IF(AND(MOD(8,3)=0,J125&gt;0),J125*Assumptions!$B$59,0)</f>
        <v>0</v>
      </c>
      <c r="K126" s="45" t="n">
        <f aca="false">IF(AND(MOD(9,3)=0,K125&gt;0),K125*Assumptions!$B$59,0)</f>
        <v>61271.63671875</v>
      </c>
      <c r="L126" s="45" t="n">
        <f aca="false">IF(AND(MOD(10,3)=0,L125&gt;0),L125*Assumptions!$B$59,0)</f>
        <v>0</v>
      </c>
      <c r="M126" s="45" t="n">
        <f aca="false">IF(AND(MOD(11,3)=0,M125&gt;0),M125*Assumptions!$B$59,0)</f>
        <v>0</v>
      </c>
      <c r="N126" s="45" t="n">
        <f aca="false">IF(AND(MOD(12,3)=0,N125&gt;0),N125*Assumptions!$B$59,0)</f>
        <v>69194.3230957031</v>
      </c>
      <c r="O126" s="45" t="n">
        <f aca="false">IF(AND(MOD(13,3)=0,O125&gt;0),O125*Assumptions!$B$59,0)</f>
        <v>0</v>
      </c>
      <c r="P126" s="45" t="n">
        <f aca="false">IF(AND(MOD(14,3)=0,P125&gt;0),P125*Assumptions!$B$59,0)</f>
        <v>0</v>
      </c>
      <c r="Q126" s="45" t="n">
        <f aca="false">IF(AND(MOD(15,3)=0,Q125&gt;0),Q125*Assumptions!$B$59,0)</f>
        <v>21164.110211792</v>
      </c>
      <c r="R126" s="45" t="n">
        <f aca="false">IF(AND(MOD(16,3)=0,R125&gt;0),R125*Assumptions!$B$59,0)</f>
        <v>0</v>
      </c>
      <c r="S126" s="45" t="n">
        <f aca="false">IF(AND(MOD(17,3)=0,S125&gt;0),S125*Assumptions!$B$59,0)</f>
        <v>0</v>
      </c>
      <c r="T126" s="45" t="n">
        <f aca="false">IF(AND(MOD(18,3)=0,T125&gt;0),T125*Assumptions!$B$59,0)</f>
        <v>21957.7643447342</v>
      </c>
      <c r="U126" s="45" t="n">
        <f aca="false">IF(AND(MOD(19,3)=0,U125&gt;0),U125*Assumptions!$B$59,0)</f>
        <v>0</v>
      </c>
      <c r="V126" s="45" t="n">
        <f aca="false">IF(AND(MOD(20,3)=0,V125&gt;0),V125*Assumptions!$B$59,0)</f>
        <v>0</v>
      </c>
      <c r="W126" s="45" t="n">
        <f aca="false">IF(AND(MOD(21,3)=0,W125&gt;0),W125*Assumptions!$B$59,0)</f>
        <v>22781.1805076617</v>
      </c>
      <c r="X126" s="45" t="n">
        <f aca="false">IF(AND(MOD(22,3)=0,X125&gt;0),X125*Assumptions!$B$59,0)</f>
        <v>0</v>
      </c>
      <c r="Y126" s="45" t="n">
        <f aca="false">IF(AND(MOD(23,3)=0,Y125&gt;0),Y125*Assumptions!$B$59,0)</f>
        <v>0</v>
      </c>
      <c r="Z126" s="45" t="n">
        <f aca="false">IF(AND(MOD(24,3)=0,Z125&gt;0),Z125*Assumptions!$B$59,0)</f>
        <v>23635.474776699</v>
      </c>
      <c r="AA126" s="45" t="n">
        <f aca="false">IF(AND(MOD(25,3)=0,AA125&gt;0),AA125*Assumptions!$B$59,0)</f>
        <v>0</v>
      </c>
      <c r="AB126" s="45" t="n">
        <f aca="false">IF(AND(MOD(26,3)=0,AB125&gt;0),AB125*Assumptions!$B$59,0)</f>
        <v>0</v>
      </c>
      <c r="AC126" s="45" t="n">
        <f aca="false">IF(AND(MOD(27,3)=0,AC125&gt;0),AC125*Assumptions!$B$59,0)</f>
        <v>24521.8050808252</v>
      </c>
      <c r="AD126" s="45" t="n">
        <f aca="false">IF(AND(MOD(28,3)=0,AD125&gt;0),AD125*Assumptions!$B$59,0)</f>
        <v>0</v>
      </c>
      <c r="AE126" s="45" t="n">
        <f aca="false">IF(AND(MOD(29,3)=0,AE125&gt;0),AE125*Assumptions!$B$59,0)</f>
        <v>0</v>
      </c>
      <c r="AF126" s="45" t="n">
        <f aca="false">IF(AND(MOD(30,3)=0,AF125&gt;0),AF125*Assumptions!$B$59,0)</f>
        <v>25441.3727713562</v>
      </c>
      <c r="AG126" s="45" t="n">
        <f aca="false">IF(AND(MOD(31,3)=0,AG125&gt;0),AG125*Assumptions!$B$59,0)</f>
        <v>0</v>
      </c>
      <c r="AH126" s="45" t="n">
        <f aca="false">IF(AND(MOD(32,3)=0,AH125&gt;0),AH125*Assumptions!$B$59,0)</f>
        <v>0</v>
      </c>
      <c r="AI126" s="45" t="n">
        <f aca="false">IF(AND(MOD(33,3)=0,AI125&gt;0),AI125*Assumptions!$B$59,0)</f>
        <v>26395.424250282</v>
      </c>
      <c r="AJ126" s="45" t="n">
        <f aca="false">IF(AND(MOD(34,3)=0,AJ125&gt;0),AJ125*Assumptions!$B$59,0)</f>
        <v>0</v>
      </c>
      <c r="AK126" s="45" t="n">
        <f aca="false">IF(AND(MOD(35,3)=0,AK125&gt;0),AK125*Assumptions!$B$59,0)</f>
        <v>0</v>
      </c>
      <c r="AL126" s="45" t="n">
        <f aca="false">IF(AND(MOD(36,3)=0,AL125&gt;0),AL125*Assumptions!$B$59,0)</f>
        <v>27385.2526596676</v>
      </c>
      <c r="AM126" s="45" t="n">
        <f aca="false">IF(AND(MOD(37,3)=0,AM125&gt;0),AM125*Assumptions!$B$59,0)</f>
        <v>0</v>
      </c>
      <c r="AN126" s="45" t="n">
        <f aca="false">IF(AND(MOD(38,3)=0,AN125&gt;0),AN125*Assumptions!$B$59,0)</f>
        <v>0</v>
      </c>
      <c r="AO126" s="45" t="n">
        <f aca="false">IF(AND(MOD(39,3)=0,AO125&gt;0),AO125*Assumptions!$B$59,0)</f>
        <v>28412.1996344052</v>
      </c>
      <c r="AP126" s="45" t="n">
        <f aca="false">IF(AND(MOD(40,3)=0,AP125&gt;0),AP125*Assumptions!$B$59,0)</f>
        <v>0</v>
      </c>
      <c r="AQ126" s="45" t="n">
        <f aca="false">IF(AND(MOD(41,3)=0,AQ125&gt;0),AQ125*Assumptions!$B$59,0)</f>
        <v>0</v>
      </c>
      <c r="AR126" s="45" t="n">
        <f aca="false">IF(AND(MOD(42,3)=0,AR125&gt;0),AR125*Assumptions!$B$59,0)</f>
        <v>29477.6571206954</v>
      </c>
      <c r="AS126" s="45" t="n">
        <f aca="false">IF(AND(MOD(43,3)=0,AS125&gt;0),AS125*Assumptions!$B$59,0)</f>
        <v>0</v>
      </c>
      <c r="AT126" s="45" t="n">
        <f aca="false">IF(AND(MOD(44,3)=0,AT125&gt;0),AT125*Assumptions!$B$59,0)</f>
        <v>0</v>
      </c>
      <c r="AU126" s="45" t="n">
        <f aca="false">IF(AND(MOD(45,3)=0,AU125&gt;0),AU125*Assumptions!$B$59,0)</f>
        <v>30583.0692627214</v>
      </c>
      <c r="AV126" s="45" t="n">
        <f aca="false">IF(AND(MOD(46,3)=0,AV125&gt;0),AV125*Assumptions!$B$59,0)</f>
        <v>0</v>
      </c>
      <c r="AW126" s="45" t="n">
        <f aca="false">IF(AND(MOD(47,3)=0,AW125&gt;0),AW125*Assumptions!$B$59,0)</f>
        <v>0</v>
      </c>
      <c r="AX126" s="45" t="n">
        <f aca="false">IF(AND(MOD(48,3)=0,AX125&gt;0),AX125*Assumptions!$B$59,0)</f>
        <v>31729.9343600735</v>
      </c>
      <c r="AY126" s="45" t="n">
        <f aca="false">IF(AND(MOD(49,3)=0,AY125&gt;0),AY125*Assumptions!$B$59,0)</f>
        <v>0</v>
      </c>
      <c r="AZ126" s="45" t="n">
        <f aca="false">IF(AND(MOD(50,3)=0,AZ125&gt;0),AZ125*Assumptions!$B$59,0)</f>
        <v>0</v>
      </c>
      <c r="BA126" s="45" t="n">
        <f aca="false">IF(AND(MOD(51,3)=0,BA125&gt;0),BA125*Assumptions!$B$59,0)</f>
        <v>32919.8068985762</v>
      </c>
      <c r="BB126" s="45" t="n">
        <f aca="false">IF(AND(MOD(52,3)=0,BB125&gt;0),BB125*Assumptions!$B$59,0)</f>
        <v>0</v>
      </c>
      <c r="BC126" s="45" t="n">
        <f aca="false">IF(AND(MOD(53,3)=0,BC125&gt;0),BC125*Assumptions!$B$59,0)</f>
        <v>0</v>
      </c>
      <c r="BD126" s="45" t="n">
        <f aca="false">IF(AND(MOD(54,3)=0,BD125&gt;0),BD125*Assumptions!$B$59,0)</f>
        <v>24810.3759072728</v>
      </c>
      <c r="BE126" s="45" t="n">
        <f aca="false">IF(AND(MOD(55,3)=0,BE125&gt;0),BE125*Assumptions!$B$59,0)</f>
        <v>0</v>
      </c>
      <c r="BF126" s="45" t="n">
        <f aca="false">IF(AND(MOD(56,3)=0,BF125&gt;0),BF125*Assumptions!$B$59,0)</f>
        <v>0</v>
      </c>
      <c r="BG126" s="45" t="n">
        <f aca="false">IF(AND(MOD(57,3)=0,BG125&gt;0),BG125*Assumptions!$B$59,0)</f>
        <v>23052.0150037956</v>
      </c>
      <c r="BH126" s="45" t="n">
        <f aca="false">IF(AND(MOD(58,3)=0,BH125&gt;0),BH125*Assumptions!$B$59,0)</f>
        <v>0</v>
      </c>
      <c r="BI126" s="45" t="n">
        <f aca="false">IF(AND(MOD(59,3)=0,BI125&gt;0),BI125*Assumptions!$B$59,0)</f>
        <v>0</v>
      </c>
      <c r="BJ126" s="45" t="n">
        <f aca="false">IF(AND(MOD(60,3)=0,BJ125&gt;0),BJ125*Assumptions!$B$59,0)</f>
        <v>21227.7155664379</v>
      </c>
      <c r="BK126" s="45" t="n">
        <f aca="false">IF(AND(MOD(61,3)=0,BK125&gt;0),BK125*Assumptions!$B$59,0)</f>
        <v>0</v>
      </c>
      <c r="BL126" s="45" t="n">
        <f aca="false">IF(AND(MOD(62,3)=0,BL125&gt;0),BL125*Assumptions!$B$59,0)</f>
        <v>0</v>
      </c>
      <c r="BM126" s="45" t="n">
        <f aca="false">IF(AND(MOD(63,3)=0,BM125&gt;0),BM125*Assumptions!$B$59,0)</f>
        <v>19335.0049001793</v>
      </c>
      <c r="BN126" s="45" t="n">
        <f aca="false">IF(AND(MOD(64,3)=0,BN125&gt;0),BN125*Assumptions!$B$59,0)</f>
        <v>0</v>
      </c>
      <c r="BO126" s="45" t="n">
        <f aca="false">IF(AND(MOD(65,3)=0,BO125&gt;0),BO125*Assumptions!$B$59,0)</f>
        <v>0</v>
      </c>
      <c r="BP126" s="45" t="n">
        <f aca="false">IF(AND(MOD(66,3)=0,BP125&gt;0),BP125*Assumptions!$B$59,0)</f>
        <v>17371.3175839361</v>
      </c>
      <c r="BQ126" s="45" t="n">
        <f aca="false">IF(AND(MOD(67,3)=0,BQ125&gt;0),BQ125*Assumptions!$B$59,0)</f>
        <v>0</v>
      </c>
      <c r="BR126" s="45" t="n">
        <f aca="false">IF(AND(MOD(68,3)=0,BR125&gt;0),BR125*Assumptions!$B$59,0)</f>
        <v>0</v>
      </c>
      <c r="BS126" s="45" t="n">
        <f aca="false">IF(AND(MOD(69,3)=0,BS125&gt;0),BS125*Assumptions!$B$59,0)</f>
        <v>15223.6294933337</v>
      </c>
      <c r="BT126" s="45" t="n">
        <f aca="false">IF(AND(MOD(70,3)=0,BT125&gt;0),BT125*Assumptions!$B$59,0)</f>
        <v>0</v>
      </c>
      <c r="BU126" s="45" t="n">
        <f aca="false">IF(AND(MOD(71,3)=0,BU125&gt;0),BU125*Assumptions!$B$59,0)</f>
        <v>0</v>
      </c>
      <c r="BV126" s="45" t="n">
        <f aca="false">IF(AND(MOD(72,3)=0,BV125&gt;0),BV125*Assumptions!$B$59,0)</f>
        <v>12995.5155993337</v>
      </c>
      <c r="BW126" s="45" t="n">
        <f aca="false">IF(AND(MOD(73,3)=0,BW125&gt;0),BW125*Assumptions!$B$59,0)</f>
        <v>0</v>
      </c>
      <c r="BX126" s="45" t="n">
        <f aca="false">IF(AND(MOD(74,3)=0,BX125&gt;0),BX125*Assumptions!$B$59,0)</f>
        <v>0</v>
      </c>
      <c r="BY126" s="45" t="n">
        <f aca="false">IF(AND(MOD(75,3)=0,BY125&gt;0),BY125*Assumptions!$B$59,0)</f>
        <v>10683.8474343087</v>
      </c>
      <c r="BZ126" s="45" t="n">
        <f aca="false">IF(AND(MOD(76,3)=0,BZ125&gt;0),BZ125*Assumptions!$B$59,0)</f>
        <v>0</v>
      </c>
      <c r="CA126" s="45" t="n">
        <f aca="false">IF(AND(MOD(77,3)=0,CA125&gt;0),CA125*Assumptions!$B$59,0)</f>
        <v>0</v>
      </c>
      <c r="CB126" s="45" t="n">
        <f aca="false">IF(AND(MOD(78,3)=0,CB125&gt;0),CB125*Assumptions!$B$59,0)</f>
        <v>8285.49171309526</v>
      </c>
      <c r="CC126" s="45" t="n">
        <f aca="false">IF(AND(MOD(79,3)=0,CC125&gt;0),CC125*Assumptions!$B$59,0)</f>
        <v>0</v>
      </c>
      <c r="CD126" s="45" t="n">
        <f aca="false">IF(AND(MOD(80,3)=0,CD125&gt;0),CD125*Assumptions!$B$59,0)</f>
        <v>0</v>
      </c>
      <c r="CE126" s="45" t="n">
        <f aca="false">IF(AND(MOD(81,3)=0,CE125&gt;0),CE125*Assumptions!$B$59,0)</f>
        <v>5545.08515233633</v>
      </c>
      <c r="CF126" s="45" t="n">
        <f aca="false">IF(AND(MOD(82,3)=0,CF125&gt;0),CF125*Assumptions!$B$59,0)</f>
        <v>0</v>
      </c>
      <c r="CG126" s="45" t="n">
        <f aca="false">IF(AND(MOD(83,3)=0,CG125&gt;0),CG125*Assumptions!$B$59,0)</f>
        <v>0</v>
      </c>
      <c r="CH126" s="45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  <c r="O127" s="45" t="n">
        <f aca="false">IF(Projects!$G$13="Yes",Assumptions!$B$74,0)</f>
        <v>-1450000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  <c r="AU127" s="45" t="n">
        <v>0</v>
      </c>
      <c r="AV127" s="45" t="n">
        <v>0</v>
      </c>
      <c r="AW127" s="45" t="n">
        <v>0</v>
      </c>
      <c r="AX127" s="45" t="n">
        <v>0</v>
      </c>
      <c r="AY127" s="45" t="n">
        <v>0</v>
      </c>
      <c r="AZ127" s="45" t="n">
        <v>0</v>
      </c>
      <c r="BA127" s="45" t="n">
        <v>0</v>
      </c>
      <c r="BB127" s="45" t="n">
        <v>0</v>
      </c>
      <c r="BC127" s="45" t="n">
        <v>0</v>
      </c>
      <c r="BD127" s="45" t="n">
        <v>0</v>
      </c>
      <c r="BE127" s="45" t="n">
        <v>0</v>
      </c>
      <c r="BF127" s="45" t="n">
        <v>0</v>
      </c>
      <c r="BG127" s="45" t="n">
        <v>0</v>
      </c>
      <c r="BH127" s="45" t="n">
        <v>0</v>
      </c>
      <c r="BI127" s="45" t="n">
        <v>0</v>
      </c>
      <c r="BJ127" s="45" t="n">
        <v>0</v>
      </c>
      <c r="BK127" s="45" t="n">
        <v>0</v>
      </c>
      <c r="BL127" s="45" t="n">
        <v>0</v>
      </c>
      <c r="BM127" s="45" t="n">
        <v>0</v>
      </c>
      <c r="BN127" s="45" t="n">
        <v>0</v>
      </c>
      <c r="BO127" s="45" t="n">
        <v>0</v>
      </c>
      <c r="BP127" s="45" t="n">
        <v>0</v>
      </c>
      <c r="BQ127" s="45" t="n">
        <v>0</v>
      </c>
      <c r="BR127" s="45" t="n">
        <v>0</v>
      </c>
      <c r="BS127" s="45" t="n">
        <v>0</v>
      </c>
      <c r="BT127" s="45" t="n">
        <v>0</v>
      </c>
      <c r="BU127" s="45" t="n">
        <v>0</v>
      </c>
      <c r="BV127" s="45" t="n">
        <v>0</v>
      </c>
      <c r="BW127" s="45" t="n">
        <v>0</v>
      </c>
      <c r="BX127" s="45" t="n">
        <v>0</v>
      </c>
      <c r="BY127" s="45" t="n">
        <v>0</v>
      </c>
      <c r="BZ127" s="45" t="n">
        <v>0</v>
      </c>
      <c r="CA127" s="45" t="n">
        <v>0</v>
      </c>
      <c r="CB127" s="45" t="n">
        <v>0</v>
      </c>
      <c r="CC127" s="45" t="n">
        <v>0</v>
      </c>
      <c r="CD127" s="45" t="n">
        <v>0</v>
      </c>
      <c r="CE127" s="45" t="n">
        <v>0</v>
      </c>
      <c r="CF127" s="45" t="n">
        <v>0</v>
      </c>
      <c r="CG127" s="45" t="n">
        <v>0</v>
      </c>
      <c r="CH127" s="45" t="n">
        <v>0</v>
      </c>
      <c r="CI127" s="25"/>
    </row>
    <row r="128" customFormat="false" ht="15" hidden="false" customHeight="true" outlineLevel="0" collapsed="false">
      <c r="A128" s="46" t="s">
        <v>153</v>
      </c>
      <c r="B128" s="46"/>
      <c r="C128" s="47" t="n">
        <f aca="false">-MIN(C125+C126+C127,MAX(0,C60-Helpers!C23))</f>
        <v>-0</v>
      </c>
      <c r="D128" s="47" t="n">
        <f aca="false">-MIN(D125+D126+D127,MAX(0,D60-Helpers!D23))</f>
        <v>-0</v>
      </c>
      <c r="E128" s="47" t="n">
        <f aca="false">-MIN(E125+E126+E127,MAX(0,E60-Helpers!E23))</f>
        <v>-0</v>
      </c>
      <c r="F128" s="47" t="n">
        <f aca="false">-MIN(F125+F126+F127,MAX(0,F60-Helpers!F23))</f>
        <v>-0</v>
      </c>
      <c r="G128" s="47" t="n">
        <f aca="false">-MIN(G125+G126+G127,MAX(0,G60-Helpers!G23))</f>
        <v>-0</v>
      </c>
      <c r="H128" s="47" t="n">
        <f aca="false">-MIN(H125+H126+H127,MAX(0,H60-Helpers!H23))</f>
        <v>-0</v>
      </c>
      <c r="I128" s="47" t="n">
        <f aca="false">-MIN(I125+I126+I127,MAX(0,I60-Helpers!I23))</f>
        <v>-0</v>
      </c>
      <c r="J128" s="47" t="n">
        <f aca="false">-MIN(J125+J126+J127,MAX(0,J60-Helpers!J23))</f>
        <v>-0</v>
      </c>
      <c r="K128" s="47" t="n">
        <f aca="false">-MIN(K125+K126+K127,MAX(0,K60-Helpers!K23))</f>
        <v>-0</v>
      </c>
      <c r="L128" s="47" t="n">
        <f aca="false">-MIN(L125+L126+L127,MAX(0,L60-Helpers!L23))</f>
        <v>-0</v>
      </c>
      <c r="M128" s="47" t="n">
        <f aca="false">-MIN(M125+M126+M127,MAX(0,M60-Helpers!M23))</f>
        <v>-0</v>
      </c>
      <c r="N128" s="47" t="n">
        <f aca="false">-MIN(N125+N126+N127,MAX(0,N60-Helpers!N23))</f>
        <v>-0</v>
      </c>
      <c r="O128" s="47" t="n">
        <f aca="false">-MIN(O125+O126+O127,MAX(0,O60-Helpers!O23))</f>
        <v>-0</v>
      </c>
      <c r="P128" s="47" t="n">
        <f aca="false">-MIN(P125+P126+P127,MAX(0,P60-Helpers!P23))</f>
        <v>-0</v>
      </c>
      <c r="Q128" s="47" t="n">
        <f aca="false">-MIN(Q125+Q126+Q127,MAX(0,Q60-Helpers!Q23))</f>
        <v>-0</v>
      </c>
      <c r="R128" s="47" t="n">
        <f aca="false">-MIN(R125+R126+R127,MAX(0,R60-Helpers!R23))</f>
        <v>-0</v>
      </c>
      <c r="S128" s="47" t="n">
        <f aca="false">-MIN(S125+S126+S127,MAX(0,S60-Helpers!S23))</f>
        <v>-0</v>
      </c>
      <c r="T128" s="47" t="n">
        <f aca="false">-MIN(T125+T126+T127,MAX(0,T60-Helpers!T23))</f>
        <v>-0</v>
      </c>
      <c r="U128" s="47" t="n">
        <f aca="false">-MIN(U125+U126+U127,MAX(0,U60-Helpers!U23))</f>
        <v>-0</v>
      </c>
      <c r="V128" s="47" t="n">
        <f aca="false">-MIN(V125+V126+V127,MAX(0,V60-Helpers!V23))</f>
        <v>-0</v>
      </c>
      <c r="W128" s="47" t="n">
        <f aca="false">-MIN(W125+W126+W127,MAX(0,W60-Helpers!W23))</f>
        <v>-0</v>
      </c>
      <c r="X128" s="47" t="n">
        <f aca="false">-MIN(X125+X126+X127,MAX(0,X60-Helpers!X23))</f>
        <v>-0</v>
      </c>
      <c r="Y128" s="47" t="n">
        <f aca="false">-MIN(Y125+Y126+Y127,MAX(0,Y60-Helpers!Y23))</f>
        <v>-0</v>
      </c>
      <c r="Z128" s="47" t="n">
        <f aca="false">-MIN(Z125+Z126+Z127,MAX(0,Z60-Helpers!Z23))</f>
        <v>-0</v>
      </c>
      <c r="AA128" s="47" t="n">
        <f aca="false">-MIN(AA125+AA126+AA127,MAX(0,AA60-Helpers!AA23))</f>
        <v>-0</v>
      </c>
      <c r="AB128" s="47" t="n">
        <f aca="false">-MIN(AB125+AB126+AB127,MAX(0,AB60-Helpers!AB23))</f>
        <v>-0</v>
      </c>
      <c r="AC128" s="47" t="n">
        <f aca="false">-MIN(AC125+AC126+AC127,MAX(0,AC60-Helpers!AC23))</f>
        <v>-0</v>
      </c>
      <c r="AD128" s="47" t="n">
        <f aca="false">-MIN(AD125+AD126+AD127,MAX(0,AD60-Helpers!AD23))</f>
        <v>-0</v>
      </c>
      <c r="AE128" s="47" t="n">
        <f aca="false">-MIN(AE125+AE126+AE127,MAX(0,AE60-Helpers!AE23))</f>
        <v>-0</v>
      </c>
      <c r="AF128" s="47" t="n">
        <f aca="false">-MIN(AF125+AF126+AF127,MAX(0,AF60-Helpers!AF23))</f>
        <v>-0</v>
      </c>
      <c r="AG128" s="47" t="n">
        <f aca="false">-MIN(AG125+AG126+AG127,MAX(0,AG60-Helpers!AG23))</f>
        <v>-0</v>
      </c>
      <c r="AH128" s="47" t="n">
        <f aca="false">-MIN(AH125+AH126+AH127,MAX(0,AH60-Helpers!AH23))</f>
        <v>-0</v>
      </c>
      <c r="AI128" s="47" t="n">
        <f aca="false">-MIN(AI125+AI126+AI127,MAX(0,AI60-Helpers!AI23))</f>
        <v>-0</v>
      </c>
      <c r="AJ128" s="47" t="n">
        <f aca="false">-MIN(AJ125+AJ126+AJ127,MAX(0,AJ60-Helpers!AJ23))</f>
        <v>-0</v>
      </c>
      <c r="AK128" s="47" t="n">
        <f aca="false">-MIN(AK125+AK126+AK127,MAX(0,AK60-Helpers!AK23))</f>
        <v>-0</v>
      </c>
      <c r="AL128" s="47" t="n">
        <f aca="false">-MIN(AL125+AL126+AL127,MAX(0,AL60-Helpers!AL23))</f>
        <v>-0</v>
      </c>
      <c r="AM128" s="47" t="n">
        <f aca="false">-MIN(AM125+AM126+AM127,MAX(0,AM60-Helpers!AM23))</f>
        <v>-0</v>
      </c>
      <c r="AN128" s="47" t="n">
        <f aca="false">-MIN(AN125+AN126+AN127,MAX(0,AN60-Helpers!AN23))</f>
        <v>-0</v>
      </c>
      <c r="AO128" s="47" t="n">
        <f aca="false">-MIN(AO125+AO126+AO127,MAX(0,AO60-Helpers!AO23))</f>
        <v>-0</v>
      </c>
      <c r="AP128" s="47" t="n">
        <f aca="false">-MIN(AP125+AP126+AP127,MAX(0,AP60-Helpers!AP23))</f>
        <v>-0</v>
      </c>
      <c r="AQ128" s="47" t="n">
        <f aca="false">-MIN(AQ125+AQ126+AQ127,MAX(0,AQ60-Helpers!AQ23))</f>
        <v>-0</v>
      </c>
      <c r="AR128" s="47" t="n">
        <f aca="false">-MIN(AR125+AR126+AR127,MAX(0,AR60-Helpers!AR23))</f>
        <v>-0</v>
      </c>
      <c r="AS128" s="47" t="n">
        <f aca="false">-MIN(AS125+AS126+AS127,MAX(0,AS60-Helpers!AS23))</f>
        <v>-0</v>
      </c>
      <c r="AT128" s="47" t="n">
        <f aca="false">-MIN(AT125+AT126+AT127,MAX(0,AT60-Helpers!AT23))</f>
        <v>-0</v>
      </c>
      <c r="AU128" s="47" t="n">
        <f aca="false">-MIN(AU125+AU126+AU127,MAX(0,AU60-Helpers!AU23))</f>
        <v>-0</v>
      </c>
      <c r="AV128" s="47" t="n">
        <f aca="false">-MIN(AV125+AV126+AV127,MAX(0,AV60-Helpers!AV23))</f>
        <v>-0</v>
      </c>
      <c r="AW128" s="47" t="n">
        <f aca="false">-MIN(AW125+AW126+AW127,MAX(0,AW60-Helpers!AW23))</f>
        <v>-0</v>
      </c>
      <c r="AX128" s="47" t="n">
        <f aca="false">-MIN(AX125+AX126+AX127,MAX(0,AX60-Helpers!AX23))</f>
        <v>-0</v>
      </c>
      <c r="AY128" s="47" t="n">
        <f aca="false">-MIN(AY125+AY126+AY127,MAX(0,AY60-Helpers!AY23))</f>
        <v>-0</v>
      </c>
      <c r="AZ128" s="47" t="n">
        <f aca="false">-MIN(AZ125+AZ126+AZ127,MAX(0,AZ60-Helpers!AZ23))</f>
        <v>-0</v>
      </c>
      <c r="BA128" s="47" t="n">
        <f aca="false">-MIN(BA125+BA126+BA127,MAX(0,BA60-Helpers!BA23))</f>
        <v>-249171.3</v>
      </c>
      <c r="BB128" s="47" t="n">
        <f aca="false">-MIN(BB125+BB126+BB127,MAX(0,BB60-Helpers!BB23))</f>
        <v>-0</v>
      </c>
      <c r="BC128" s="47" t="n">
        <f aca="false">-MIN(BC125+BC126+BC127,MAX(0,BC60-Helpers!BC23))</f>
        <v>-0</v>
      </c>
      <c r="BD128" s="47" t="n">
        <f aca="false">-MIN(BD125+BD126+BD127,MAX(0,BD60-Helpers!BD23))</f>
        <v>-71700</v>
      </c>
      <c r="BE128" s="47" t="n">
        <f aca="false">-MIN(BE125+BE126+BE127,MAX(0,BE60-Helpers!BE23))</f>
        <v>-0</v>
      </c>
      <c r="BF128" s="47" t="n">
        <f aca="false">-MIN(BF125+BF126+BF127,MAX(0,BF60-Helpers!BF23))</f>
        <v>-0</v>
      </c>
      <c r="BG128" s="47" t="n">
        <f aca="false">-MIN(BG125+BG126+BG127,MAX(0,BG60-Helpers!BG23))</f>
        <v>-71700</v>
      </c>
      <c r="BH128" s="47" t="n">
        <f aca="false">-MIN(BH125+BH126+BH127,MAX(0,BH60-Helpers!BH23))</f>
        <v>-0</v>
      </c>
      <c r="BI128" s="47" t="n">
        <f aca="false">-MIN(BI125+BI126+BI127,MAX(0,BI60-Helpers!BI23))</f>
        <v>-0</v>
      </c>
      <c r="BJ128" s="47" t="n">
        <f aca="false">-MIN(BJ125+BJ126+BJ127,MAX(0,BJ60-Helpers!BJ23))</f>
        <v>-71700</v>
      </c>
      <c r="BK128" s="47" t="n">
        <f aca="false">-MIN(BK125+BK126+BK127,MAX(0,BK60-Helpers!BK23))</f>
        <v>-0</v>
      </c>
      <c r="BL128" s="47" t="n">
        <f aca="false">-MIN(BL125+BL126+BL127,MAX(0,BL60-Helpers!BL23))</f>
        <v>-0</v>
      </c>
      <c r="BM128" s="47" t="n">
        <f aca="false">-MIN(BM125+BM126+BM127,MAX(0,BM60-Helpers!BM23))</f>
        <v>-71700</v>
      </c>
      <c r="BN128" s="47" t="n">
        <f aca="false">-MIN(BN125+BN126+BN127,MAX(0,BN60-Helpers!BN23))</f>
        <v>-0</v>
      </c>
      <c r="BO128" s="47" t="n">
        <f aca="false">-MIN(BO125+BO126+BO127,MAX(0,BO60-Helpers!BO23))</f>
        <v>-0</v>
      </c>
      <c r="BP128" s="47" t="n">
        <f aca="false">-MIN(BP125+BP126+BP127,MAX(0,BP60-Helpers!BP23))</f>
        <v>-74643</v>
      </c>
      <c r="BQ128" s="47" t="n">
        <f aca="false">-MIN(BQ125+BQ126+BQ127,MAX(0,BQ60-Helpers!BQ23))</f>
        <v>-0</v>
      </c>
      <c r="BR128" s="47" t="n">
        <f aca="false">-MIN(BR125+BR126+BR127,MAX(0,BR60-Helpers!BR23))</f>
        <v>-0</v>
      </c>
      <c r="BS128" s="47" t="n">
        <f aca="false">-MIN(BS125+BS126+BS127,MAX(0,BS60-Helpers!BS23))</f>
        <v>-74640</v>
      </c>
      <c r="BT128" s="47" t="n">
        <f aca="false">-MIN(BT125+BT126+BT127,MAX(0,BT60-Helpers!BT23))</f>
        <v>-0</v>
      </c>
      <c r="BU128" s="47" t="n">
        <f aca="false">-MIN(BU125+BU126+BU127,MAX(0,BU60-Helpers!BU23))</f>
        <v>-0</v>
      </c>
      <c r="BV128" s="47" t="n">
        <f aca="false">-MIN(BV125+BV126+BV127,MAX(0,BV60-Helpers!BV23))</f>
        <v>-74640</v>
      </c>
      <c r="BW128" s="47" t="n">
        <f aca="false">-MIN(BW125+BW126+BW127,MAX(0,BW60-Helpers!BW23))</f>
        <v>-0</v>
      </c>
      <c r="BX128" s="47" t="n">
        <f aca="false">-MIN(BX125+BX126+BX127,MAX(0,BX60-Helpers!BX23))</f>
        <v>-0</v>
      </c>
      <c r="BY128" s="47" t="n">
        <f aca="false">-MIN(BY125+BY126+BY127,MAX(0,BY60-Helpers!BY23))</f>
        <v>-74640</v>
      </c>
      <c r="BZ128" s="47" t="n">
        <f aca="false">-MIN(BZ125+BZ126+BZ127,MAX(0,BZ60-Helpers!BZ23))</f>
        <v>-0</v>
      </c>
      <c r="CA128" s="47" t="n">
        <f aca="false">-MIN(CA125+CA126+CA127,MAX(0,CA60-Helpers!CA23))</f>
        <v>-0</v>
      </c>
      <c r="CB128" s="47" t="n">
        <f aca="false">-MIN(CB125+CB126+CB127,MAX(0,CB60-Helpers!CB23))</f>
        <v>-81363</v>
      </c>
      <c r="CC128" s="47" t="n">
        <f aca="false">-MIN(CC125+CC126+CC127,MAX(0,CC60-Helpers!CC23))</f>
        <v>-0</v>
      </c>
      <c r="CD128" s="47" t="n">
        <f aca="false">-MIN(CD125+CD126+CD127,MAX(0,CD60-Helpers!CD23))</f>
        <v>-0</v>
      </c>
      <c r="CE128" s="47" t="n">
        <f aca="false">-MIN(CE125+CE126+CE127,MAX(0,CE60-Helpers!CE23))</f>
        <v>-81362</v>
      </c>
      <c r="CF128" s="47" t="n">
        <f aca="false">-MIN(CF125+CF126+CF127,MAX(0,CF60-Helpers!CF23))</f>
        <v>-0</v>
      </c>
      <c r="CG128" s="47" t="n">
        <f aca="false">-MIN(CG125+CG126+CG127,MAX(0,CG60-Helpers!CG23))</f>
        <v>-0</v>
      </c>
      <c r="CH128" s="47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8" t="s">
        <v>154</v>
      </c>
      <c r="B129" s="49"/>
      <c r="C129" s="50" t="n">
        <f aca="false">MAX(0,C125+C126+C127+C128)</f>
        <v>1134000</v>
      </c>
      <c r="D129" s="50" t="n">
        <f aca="false">MAX(0,D125+D126+D127+D128)</f>
        <v>1184000</v>
      </c>
      <c r="E129" s="50" t="n">
        <f aca="false">MAX(0,E125+E126+E127+E128)</f>
        <v>1280275</v>
      </c>
      <c r="F129" s="50" t="n">
        <f aca="false">MAX(0,F125+F126+F127+F128)</f>
        <v>1330275</v>
      </c>
      <c r="G129" s="50" t="n">
        <f aca="false">MAX(0,G125+G126+G127+G128)</f>
        <v>1380275</v>
      </c>
      <c r="H129" s="50" t="n">
        <f aca="false">MAX(0,H125+H126+H127+H128)</f>
        <v>1483910.3125</v>
      </c>
      <c r="I129" s="50" t="n">
        <f aca="false">MAX(0,I125+I126+I127+I128)</f>
        <v>1533910.3125</v>
      </c>
      <c r="J129" s="50" t="n">
        <f aca="false">MAX(0,J125+J126+J127+J128)</f>
        <v>1583910.3125</v>
      </c>
      <c r="K129" s="50" t="n">
        <f aca="false">MAX(0,K125+K126+K127+K128)</f>
        <v>1695181.94921875</v>
      </c>
      <c r="L129" s="50" t="n">
        <f aca="false">MAX(0,L125+L126+L127+L128)</f>
        <v>1745181.94921875</v>
      </c>
      <c r="M129" s="50" t="n">
        <f aca="false">MAX(0,M125+M126+M127+M128)</f>
        <v>1795181.94921875</v>
      </c>
      <c r="N129" s="50" t="n">
        <f aca="false">MAX(0,N125+N126+N127+N128)</f>
        <v>1914376.27231445</v>
      </c>
      <c r="O129" s="50" t="n">
        <f aca="false">MAX(0,O125+O126+O127+O128)</f>
        <v>514376.272314453</v>
      </c>
      <c r="P129" s="50" t="n">
        <f aca="false">MAX(0,P125+P126+P127+P128)</f>
        <v>564376.272314453</v>
      </c>
      <c r="Q129" s="50" t="n">
        <f aca="false">MAX(0,Q125+Q126+Q127+Q128)</f>
        <v>585540.382526245</v>
      </c>
      <c r="R129" s="50" t="n">
        <f aca="false">MAX(0,R125+R126+R127+R128)</f>
        <v>585540.382526245</v>
      </c>
      <c r="S129" s="50" t="n">
        <f aca="false">MAX(0,S125+S126+S127+S128)</f>
        <v>585540.382526245</v>
      </c>
      <c r="T129" s="50" t="n">
        <f aca="false">MAX(0,T125+T126+T127+T128)</f>
        <v>607498.146870979</v>
      </c>
      <c r="U129" s="50" t="n">
        <f aca="false">MAX(0,U125+U126+U127+U128)</f>
        <v>607498.146870979</v>
      </c>
      <c r="V129" s="50" t="n">
        <f aca="false">MAX(0,V125+V126+V127+V128)</f>
        <v>607498.146870979</v>
      </c>
      <c r="W129" s="50" t="n">
        <f aca="false">MAX(0,W125+W126+W127+W128)</f>
        <v>630279.327378641</v>
      </c>
      <c r="X129" s="50" t="n">
        <f aca="false">MAX(0,X125+X126+X127+X128)</f>
        <v>630279.327378641</v>
      </c>
      <c r="Y129" s="50" t="n">
        <f aca="false">MAX(0,Y125+Y126+Y127+Y128)</f>
        <v>630279.327378641</v>
      </c>
      <c r="Z129" s="50" t="n">
        <f aca="false">MAX(0,Z125+Z126+Z127+Z128)</f>
        <v>653914.80215534</v>
      </c>
      <c r="AA129" s="50" t="n">
        <f aca="false">MAX(0,AA125+AA126+AA127+AA128)</f>
        <v>653914.80215534</v>
      </c>
      <c r="AB129" s="50" t="n">
        <f aca="false">MAX(0,AB125+AB126+AB127+AB128)</f>
        <v>653914.80215534</v>
      </c>
      <c r="AC129" s="50" t="n">
        <f aca="false">MAX(0,AC125+AC126+AC127+AC128)</f>
        <v>678436.607236165</v>
      </c>
      <c r="AD129" s="50" t="n">
        <f aca="false">MAX(0,AD125+AD126+AD127+AD128)</f>
        <v>678436.607236165</v>
      </c>
      <c r="AE129" s="50" t="n">
        <f aca="false">MAX(0,AE125+AE126+AE127+AE128)</f>
        <v>678436.607236165</v>
      </c>
      <c r="AF129" s="50" t="n">
        <f aca="false">MAX(0,AF125+AF126+AF127+AF128)</f>
        <v>703877.980007521</v>
      </c>
      <c r="AG129" s="50" t="n">
        <f aca="false">MAX(0,AG125+AG126+AG127+AG128)</f>
        <v>703877.980007521</v>
      </c>
      <c r="AH129" s="50" t="n">
        <f aca="false">MAX(0,AH125+AH126+AH127+AH128)</f>
        <v>703877.980007521</v>
      </c>
      <c r="AI129" s="50" t="n">
        <f aca="false">MAX(0,AI125+AI126+AI127+AI128)</f>
        <v>730273.404257803</v>
      </c>
      <c r="AJ129" s="50" t="n">
        <f aca="false">MAX(0,AJ125+AJ126+AJ127+AJ128)</f>
        <v>730273.404257803</v>
      </c>
      <c r="AK129" s="50" t="n">
        <f aca="false">MAX(0,AK125+AK126+AK127+AK128)</f>
        <v>730273.404257803</v>
      </c>
      <c r="AL129" s="50" t="n">
        <f aca="false">MAX(0,AL125+AL126+AL127+AL128)</f>
        <v>757658.656917471</v>
      </c>
      <c r="AM129" s="50" t="n">
        <f aca="false">MAX(0,AM125+AM126+AM127+AM128)</f>
        <v>757658.656917471</v>
      </c>
      <c r="AN129" s="50" t="n">
        <f aca="false">MAX(0,AN125+AN126+AN127+AN128)</f>
        <v>757658.656917471</v>
      </c>
      <c r="AO129" s="50" t="n">
        <f aca="false">MAX(0,AO125+AO126+AO127+AO128)</f>
        <v>786070.856551876</v>
      </c>
      <c r="AP129" s="50" t="n">
        <f aca="false">MAX(0,AP125+AP126+AP127+AP128)</f>
        <v>786070.856551876</v>
      </c>
      <c r="AQ129" s="50" t="n">
        <f aca="false">MAX(0,AQ125+AQ126+AQ127+AQ128)</f>
        <v>786070.856551876</v>
      </c>
      <c r="AR129" s="50" t="n">
        <f aca="false">MAX(0,AR125+AR126+AR127+AR128)</f>
        <v>815548.513672571</v>
      </c>
      <c r="AS129" s="50" t="n">
        <f aca="false">MAX(0,AS125+AS126+AS127+AS128)</f>
        <v>815548.513672571</v>
      </c>
      <c r="AT129" s="50" t="n">
        <f aca="false">MAX(0,AT125+AT126+AT127+AT128)</f>
        <v>815548.513672571</v>
      </c>
      <c r="AU129" s="50" t="n">
        <f aca="false">MAX(0,AU125+AU126+AU127+AU128)</f>
        <v>846131.582935293</v>
      </c>
      <c r="AV129" s="50" t="n">
        <f aca="false">MAX(0,AV125+AV126+AV127+AV128)</f>
        <v>846131.582935293</v>
      </c>
      <c r="AW129" s="50" t="n">
        <f aca="false">MAX(0,AW125+AW126+AW127+AW128)</f>
        <v>846131.582935293</v>
      </c>
      <c r="AX129" s="50" t="n">
        <f aca="false">MAX(0,AX125+AX126+AX127+AX128)</f>
        <v>877861.517295366</v>
      </c>
      <c r="AY129" s="50" t="n">
        <f aca="false">MAX(0,AY125+AY126+AY127+AY128)</f>
        <v>877861.517295366</v>
      </c>
      <c r="AZ129" s="50" t="n">
        <f aca="false">MAX(0,AZ125+AZ126+AZ127+AZ128)</f>
        <v>877861.517295366</v>
      </c>
      <c r="BA129" s="50" t="n">
        <f aca="false">MAX(0,BA125+BA126+BA127+BA128)</f>
        <v>661610.024193943</v>
      </c>
      <c r="BB129" s="50" t="n">
        <f aca="false">MAX(0,BB125+BB126+BB127+BB128)</f>
        <v>661610.024193943</v>
      </c>
      <c r="BC129" s="50" t="n">
        <f aca="false">MAX(0,BC125+BC126+BC127+BC128)</f>
        <v>661610.024193943</v>
      </c>
      <c r="BD129" s="50" t="n">
        <f aca="false">MAX(0,BD125+BD126+BD127+BD128)</f>
        <v>614720.400101215</v>
      </c>
      <c r="BE129" s="50" t="n">
        <f aca="false">MAX(0,BE125+BE126+BE127+BE128)</f>
        <v>614720.400101215</v>
      </c>
      <c r="BF129" s="50" t="n">
        <f aca="false">MAX(0,BF125+BF126+BF127+BF128)</f>
        <v>614720.400101215</v>
      </c>
      <c r="BG129" s="50" t="n">
        <f aca="false">MAX(0,BG125+BG126+BG127+BG128)</f>
        <v>566072.415105011</v>
      </c>
      <c r="BH129" s="50" t="n">
        <f aca="false">MAX(0,BH125+BH126+BH127+BH128)</f>
        <v>566072.415105011</v>
      </c>
      <c r="BI129" s="50" t="n">
        <f aca="false">MAX(0,BI125+BI126+BI127+BI128)</f>
        <v>566072.415105011</v>
      </c>
      <c r="BJ129" s="50" t="n">
        <f aca="false">MAX(0,BJ125+BJ126+BJ127+BJ128)</f>
        <v>515600.130671449</v>
      </c>
      <c r="BK129" s="50" t="n">
        <f aca="false">MAX(0,BK125+BK126+BK127+BK128)</f>
        <v>515600.130671449</v>
      </c>
      <c r="BL129" s="50" t="n">
        <f aca="false">MAX(0,BL125+BL126+BL127+BL128)</f>
        <v>515600.130671449</v>
      </c>
      <c r="BM129" s="50" t="n">
        <f aca="false">MAX(0,BM125+BM126+BM127+BM128)</f>
        <v>463235.135571628</v>
      </c>
      <c r="BN129" s="50" t="n">
        <f aca="false">MAX(0,BN125+BN126+BN127+BN128)</f>
        <v>463235.135571628</v>
      </c>
      <c r="BO129" s="50" t="n">
        <f aca="false">MAX(0,BO125+BO126+BO127+BO128)</f>
        <v>463235.135571628</v>
      </c>
      <c r="BP129" s="50" t="n">
        <f aca="false">MAX(0,BP125+BP126+BP127+BP128)</f>
        <v>405963.453155564</v>
      </c>
      <c r="BQ129" s="50" t="n">
        <f aca="false">MAX(0,BQ125+BQ126+BQ127+BQ128)</f>
        <v>405963.453155564</v>
      </c>
      <c r="BR129" s="50" t="n">
        <f aca="false">MAX(0,BR125+BR126+BR127+BR128)</f>
        <v>405963.453155564</v>
      </c>
      <c r="BS129" s="50" t="n">
        <f aca="false">MAX(0,BS125+BS126+BS127+BS128)</f>
        <v>346547.082648898</v>
      </c>
      <c r="BT129" s="50" t="n">
        <f aca="false">MAX(0,BT125+BT126+BT127+BT128)</f>
        <v>346547.082648898</v>
      </c>
      <c r="BU129" s="50" t="n">
        <f aca="false">MAX(0,BU125+BU126+BU127+BU128)</f>
        <v>346547.082648898</v>
      </c>
      <c r="BV129" s="50" t="n">
        <f aca="false">MAX(0,BV125+BV126+BV127+BV128)</f>
        <v>284902.598248232</v>
      </c>
      <c r="BW129" s="50" t="n">
        <f aca="false">MAX(0,BW125+BW126+BW127+BW128)</f>
        <v>284902.598248232</v>
      </c>
      <c r="BX129" s="50" t="n">
        <f aca="false">MAX(0,BX125+BX126+BX127+BX128)</f>
        <v>284902.598248232</v>
      </c>
      <c r="BY129" s="50" t="n">
        <f aca="false">MAX(0,BY125+BY126+BY127+BY128)</f>
        <v>220946.44568254</v>
      </c>
      <c r="BZ129" s="50" t="n">
        <f aca="false">MAX(0,BZ125+BZ126+BZ127+BZ128)</f>
        <v>220946.44568254</v>
      </c>
      <c r="CA129" s="50" t="n">
        <f aca="false">MAX(0,CA125+CA126+CA127+CA128)</f>
        <v>220946.44568254</v>
      </c>
      <c r="CB129" s="50" t="n">
        <f aca="false">MAX(0,CB125+CB126+CB127+CB128)</f>
        <v>147868.937395636</v>
      </c>
      <c r="CC129" s="50" t="n">
        <f aca="false">MAX(0,CC125+CC126+CC127+CC128)</f>
        <v>147868.937395636</v>
      </c>
      <c r="CD129" s="50" t="n">
        <f aca="false">MAX(0,CD125+CD126+CD127+CD128)</f>
        <v>147868.937395636</v>
      </c>
      <c r="CE129" s="50" t="n">
        <f aca="false">MAX(0,CE125+CE126+CE127+CE128)</f>
        <v>72052.0225479718</v>
      </c>
      <c r="CF129" s="50" t="n">
        <f aca="false">MAX(0,CF125+CF126+CF127+CF128)</f>
        <v>72052.0225479718</v>
      </c>
      <c r="CG129" s="50" t="n">
        <f aca="false">MAX(0,CG125+CG126+CG127+CG128)</f>
        <v>72052.0225479718</v>
      </c>
      <c r="CH129" s="50" t="n">
        <f aca="false">MAX(0,CH125+CH126+CH127+CH128)</f>
        <v>0</v>
      </c>
      <c r="CI129" s="25"/>
    </row>
    <row r="130" customFormat="false" ht="16.5" hidden="false" customHeight="true" outlineLevel="0" collapsed="false">
      <c r="A130" s="51"/>
      <c r="B130" s="36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37"/>
    </row>
    <row r="131" customFormat="false" ht="15" hidden="false" customHeight="true" outlineLevel="0" collapsed="false">
      <c r="A131" s="53" t="s">
        <v>155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  <c r="CJ133" s="55"/>
      <c r="CK133" s="5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  <c r="CJ134" s="56"/>
      <c r="CK134" s="56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6"/>
      <c r="CK139" s="56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6"/>
      <c r="CK140" s="56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6"/>
      <c r="CK141" s="56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6"/>
      <c r="CK142" s="56"/>
    </row>
    <row r="143" customFormat="false" ht="8.25" hidden="false" customHeight="true" outlineLevel="0" collapsed="false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37"/>
      <c r="CJ143" s="58"/>
      <c r="CK143" s="58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6"/>
      <c r="CK144" s="56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2219781.12122743</v>
      </c>
      <c r="H145" s="10" t="n">
        <f aca="false">G147</f>
        <v>2371256.56987974</v>
      </c>
      <c r="I145" s="10" t="n">
        <f aca="false">H147</f>
        <v>2522732.01853206</v>
      </c>
      <c r="J145" s="10" t="n">
        <f aca="false">I147</f>
        <v>3039696.79307113</v>
      </c>
      <c r="K145" s="10" t="n">
        <f aca="false">J147</f>
        <v>3594965.46855718</v>
      </c>
      <c r="L145" s="10" t="n">
        <f aca="false">K147</f>
        <v>3927995.26604322</v>
      </c>
      <c r="M145" s="10" t="n">
        <f aca="false">L147</f>
        <v>4261025.06352927</v>
      </c>
      <c r="N145" s="10" t="n">
        <f aca="false">M147</f>
        <v>4594054.86101531</v>
      </c>
      <c r="O145" s="10" t="n">
        <f aca="false">N147</f>
        <v>4927084.65850136</v>
      </c>
      <c r="P145" s="10" t="n">
        <f aca="false">O147</f>
        <v>4631034.84149952</v>
      </c>
      <c r="Q145" s="10" t="n">
        <f aca="false">P147</f>
        <v>5127153.49949769</v>
      </c>
      <c r="R145" s="10" t="n">
        <f aca="false">Q147</f>
        <v>5623272.15749585</v>
      </c>
      <c r="S145" s="10" t="n">
        <f aca="false">R147</f>
        <v>5753881.4096567</v>
      </c>
      <c r="T145" s="10" t="n">
        <f aca="false">S147</f>
        <v>6024204.39181754</v>
      </c>
      <c r="U145" s="10" t="n">
        <f aca="false">T147</f>
        <v>6294527.37397839</v>
      </c>
      <c r="V145" s="10" t="n">
        <f aca="false">U147</f>
        <v>6389990.33666555</v>
      </c>
      <c r="W145" s="10" t="n">
        <f aca="false">V147</f>
        <v>6720799.37145797</v>
      </c>
      <c r="X145" s="10" t="n">
        <f aca="false">W147</f>
        <v>7051608.4062504</v>
      </c>
      <c r="Y145" s="10" t="n">
        <f aca="false">X147</f>
        <v>7382417.44104282</v>
      </c>
      <c r="Z145" s="10" t="n">
        <f aca="false">Y147</f>
        <v>7713226.47583525</v>
      </c>
      <c r="AA145" s="10" t="n">
        <f aca="false">Z147</f>
        <v>8044035.51062767</v>
      </c>
      <c r="AB145" s="10" t="n">
        <f aca="false">AA147</f>
        <v>8366300.84450609</v>
      </c>
      <c r="AC145" s="10" t="n">
        <f aca="false">AB147</f>
        <v>8607072.32670988</v>
      </c>
      <c r="AD145" s="10" t="n">
        <f aca="false">AC147</f>
        <v>8280784.08224699</v>
      </c>
      <c r="AE145" s="10" t="n">
        <f aca="false">AD147</f>
        <v>8678201.89778411</v>
      </c>
      <c r="AF145" s="10" t="n">
        <f aca="false">AE147</f>
        <v>9075619.71332122</v>
      </c>
      <c r="AG145" s="10" t="n">
        <f aca="false">AF147</f>
        <v>9473037.52885834</v>
      </c>
      <c r="AH145" s="10" t="n">
        <f aca="false">AG147</f>
        <v>9870455.34439546</v>
      </c>
      <c r="AI145" s="10" t="n">
        <f aca="false">AH147</f>
        <v>10167194.1589856</v>
      </c>
      <c r="AJ145" s="10" t="n">
        <f aca="false">AI147</f>
        <v>10463932.9735757</v>
      </c>
      <c r="AK145" s="10" t="n">
        <f aca="false">AJ147</f>
        <v>10597912.5154386</v>
      </c>
      <c r="AL145" s="10" t="n">
        <f aca="false">AK147</f>
        <v>10641102.8467752</v>
      </c>
      <c r="AM145" s="10" t="n">
        <f aca="false">AL147</f>
        <v>10684293.1781117</v>
      </c>
      <c r="AN145" s="10" t="n">
        <f aca="false">AM147</f>
        <v>10658750.4383039</v>
      </c>
      <c r="AO145" s="10" t="n">
        <f aca="false">AN147</f>
        <v>10542418.4879697</v>
      </c>
      <c r="AP145" s="10" t="n">
        <f aca="false">AO147</f>
        <v>10426086.5376356</v>
      </c>
      <c r="AQ145" s="10" t="n">
        <f aca="false">AP147</f>
        <v>10309754.5873014</v>
      </c>
      <c r="AR145" s="10" t="n">
        <f aca="false">AQ147</f>
        <v>10193422.6369673</v>
      </c>
      <c r="AS145" s="10" t="n">
        <f aca="false">AR147</f>
        <v>10077090.6866331</v>
      </c>
      <c r="AT145" s="10" t="n">
        <f aca="false">AS147</f>
        <v>9789293.69842015</v>
      </c>
      <c r="AU145" s="10" t="n">
        <f aca="false">AT147</f>
        <v>9501496.7102072</v>
      </c>
      <c r="AV145" s="10" t="n">
        <f aca="false">AU147</f>
        <v>9213699.72199426</v>
      </c>
      <c r="AW145" s="10" t="n">
        <f aca="false">AV147</f>
        <v>8925902.73378131</v>
      </c>
      <c r="AX145" s="10" t="n">
        <f aca="false">AW147</f>
        <v>8638105.74556836</v>
      </c>
      <c r="AY145" s="10" t="n">
        <f aca="false">AX147</f>
        <v>8350308.75735542</v>
      </c>
      <c r="AZ145" s="10" t="n">
        <f aca="false">AY147</f>
        <v>8053622.90271154</v>
      </c>
      <c r="BA145" s="10" t="n">
        <f aca="false">AZ147</f>
        <v>7756937.04806767</v>
      </c>
      <c r="BB145" s="10" t="n">
        <f aca="false">BA147</f>
        <v>7460251.1934238</v>
      </c>
      <c r="BC145" s="10" t="n">
        <f aca="false">BB147</f>
        <v>7163565.33877993</v>
      </c>
      <c r="BD145" s="10" t="n">
        <f aca="false">BC147</f>
        <v>6866879.48413606</v>
      </c>
      <c r="BE145" s="10" t="n">
        <f aca="false">BD147</f>
        <v>6570193.62949218</v>
      </c>
      <c r="BF145" s="10" t="n">
        <f aca="false">BE147</f>
        <v>6273507.77484831</v>
      </c>
      <c r="BG145" s="10" t="n">
        <f aca="false">BF147</f>
        <v>5976821.92020444</v>
      </c>
      <c r="BH145" s="10" t="n">
        <f aca="false">BG147</f>
        <v>5523489.73222723</v>
      </c>
      <c r="BI145" s="10" t="n">
        <f aca="false">BH147</f>
        <v>5070157.54425003</v>
      </c>
      <c r="BJ145" s="10" t="n">
        <f aca="false">BI147</f>
        <v>4616825.35627282</v>
      </c>
      <c r="BK145" s="10" t="n">
        <f aca="false">BJ147</f>
        <v>4163493.16829562</v>
      </c>
      <c r="BL145" s="10" t="n">
        <f aca="false">BK147</f>
        <v>3701094.33655887</v>
      </c>
      <c r="BM145" s="10" t="n">
        <f aca="false">BL147</f>
        <v>3238695.50482212</v>
      </c>
      <c r="BN145" s="10" t="n">
        <f aca="false">BM147</f>
        <v>2776296.67308537</v>
      </c>
      <c r="BO145" s="10" t="n">
        <f aca="false">BN147</f>
        <v>2313897.84134862</v>
      </c>
      <c r="BP145" s="10" t="n">
        <f aca="false">BO147</f>
        <v>1851499.00961187</v>
      </c>
      <c r="BQ145" s="10" t="n">
        <f aca="false">BP147</f>
        <v>1389100.17787512</v>
      </c>
      <c r="BR145" s="10" t="n">
        <f aca="false">BQ147</f>
        <v>926701.346138368</v>
      </c>
      <c r="BS145" s="10" t="n">
        <f aca="false">BR147</f>
        <v>464302.514401618</v>
      </c>
      <c r="BT145" s="10" t="n">
        <f aca="false">BS147</f>
        <v>1903.68266486865</v>
      </c>
      <c r="BU145" s="10" t="n">
        <f aca="false">BT147</f>
        <v>-460495.149071881</v>
      </c>
      <c r="BV145" s="10" t="n">
        <f aca="false">BU147</f>
        <v>-922893.980808631</v>
      </c>
      <c r="BW145" s="10" t="n">
        <f aca="false">BV147</f>
        <v>-1385292.81254538</v>
      </c>
      <c r="BX145" s="10" t="n">
        <f aca="false">BW147</f>
        <v>-1856939.62091687</v>
      </c>
      <c r="BY145" s="10" t="n">
        <f aca="false">BX147</f>
        <v>-2328586.42928835</v>
      </c>
      <c r="BZ145" s="10" t="n">
        <f aca="false">BY147</f>
        <v>-2800233.23765984</v>
      </c>
      <c r="CA145" s="10" t="n">
        <f aca="false">BZ147</f>
        <v>-3271880.04603132</v>
      </c>
      <c r="CB145" s="10" t="n">
        <f aca="false">CA147</f>
        <v>-3743526.8544028</v>
      </c>
      <c r="CC145" s="10" t="n">
        <f aca="false">CB147</f>
        <v>-4215173.66277429</v>
      </c>
      <c r="CD145" s="10" t="n">
        <f aca="false">CC147</f>
        <v>-4686820.47114577</v>
      </c>
      <c r="CE145" s="10" t="n">
        <f aca="false">CD147</f>
        <v>-5158467.27951726</v>
      </c>
      <c r="CF145" s="10" t="n">
        <f aca="false">CE147</f>
        <v>-5630114.08788874</v>
      </c>
      <c r="CG145" s="10" t="n">
        <f aca="false">CF147</f>
        <v>-6101760.89626023</v>
      </c>
      <c r="CH145" s="10" t="n">
        <f aca="false">CG147</f>
        <v>-6573407.70463171</v>
      </c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478035.653452313</v>
      </c>
      <c r="G146" s="10" t="n">
        <f aca="false">G40</f>
        <v>151475.448652313</v>
      </c>
      <c r="H146" s="10" t="n">
        <f aca="false">H40</f>
        <v>151475.448652313</v>
      </c>
      <c r="I146" s="10" t="n">
        <f aca="false">I40</f>
        <v>516964.774539075</v>
      </c>
      <c r="J146" s="10" t="n">
        <f aca="false">J40</f>
        <v>555268.675486045</v>
      </c>
      <c r="K146" s="10" t="n">
        <f aca="false">K40</f>
        <v>333029.797486045</v>
      </c>
      <c r="L146" s="10" t="n">
        <f aca="false">L40</f>
        <v>333029.797486045</v>
      </c>
      <c r="M146" s="10" t="n">
        <f aca="false">M40</f>
        <v>333029.797486045</v>
      </c>
      <c r="N146" s="10" t="n">
        <f aca="false">N40</f>
        <v>333029.797486045</v>
      </c>
      <c r="O146" s="10" t="n">
        <f aca="false">O40</f>
        <v>-296049.817001834</v>
      </c>
      <c r="P146" s="10" t="n">
        <f aca="false">P40</f>
        <v>496118.657998166</v>
      </c>
      <c r="Q146" s="10" t="n">
        <f aca="false">Q40</f>
        <v>496118.657998166</v>
      </c>
      <c r="R146" s="10" t="n">
        <f aca="false">R40</f>
        <v>130609.252160845</v>
      </c>
      <c r="S146" s="10" t="n">
        <f aca="false">S40</f>
        <v>270322.982160845</v>
      </c>
      <c r="T146" s="10" t="n">
        <f aca="false">T40</f>
        <v>270322.982160845</v>
      </c>
      <c r="U146" s="10" t="n">
        <f aca="false">U40</f>
        <v>95462.9626871608</v>
      </c>
      <c r="V146" s="10" t="n">
        <f aca="false">V40</f>
        <v>330809.034792424</v>
      </c>
      <c r="W146" s="10" t="n">
        <f aca="false">W40</f>
        <v>330809.034792424</v>
      </c>
      <c r="X146" s="10" t="n">
        <f aca="false">X40</f>
        <v>330809.034792424</v>
      </c>
      <c r="Y146" s="10" t="n">
        <f aca="false">Y40</f>
        <v>330809.034792424</v>
      </c>
      <c r="Z146" s="10" t="n">
        <f aca="false">Z40</f>
        <v>330809.034792424</v>
      </c>
      <c r="AA146" s="10" t="n">
        <f aca="false">AA40</f>
        <v>322265.333878424</v>
      </c>
      <c r="AB146" s="10" t="n">
        <f aca="false">AB40</f>
        <v>240771.482203783</v>
      </c>
      <c r="AC146" s="10" t="n">
        <f aca="false">AC40</f>
        <v>-326288.244462884</v>
      </c>
      <c r="AD146" s="10" t="n">
        <f aca="false">AD40</f>
        <v>397417.815537116</v>
      </c>
      <c r="AE146" s="10" t="n">
        <f aca="false">AE40</f>
        <v>397417.815537116</v>
      </c>
      <c r="AF146" s="10" t="n">
        <f aca="false">AF40</f>
        <v>397417.815537116</v>
      </c>
      <c r="AG146" s="10" t="n">
        <f aca="false">AG40</f>
        <v>397417.815537116</v>
      </c>
      <c r="AH146" s="10" t="n">
        <f aca="false">AH40</f>
        <v>296738.814590147</v>
      </c>
      <c r="AI146" s="10" t="n">
        <f aca="false">AI40</f>
        <v>296738.814590147</v>
      </c>
      <c r="AJ146" s="10" t="n">
        <f aca="false">AJ40</f>
        <v>133979.541862874</v>
      </c>
      <c r="AK146" s="10" t="n">
        <f aca="false">AK40</f>
        <v>43190.3313365583</v>
      </c>
      <c r="AL146" s="10" t="n">
        <f aca="false">AL40</f>
        <v>43190.3313365583</v>
      </c>
      <c r="AM146" s="10" t="n">
        <f aca="false">AM40</f>
        <v>-25542.7398078431</v>
      </c>
      <c r="AN146" s="10" t="n">
        <f aca="false">AN40</f>
        <v>-116331.950334159</v>
      </c>
      <c r="AO146" s="10" t="n">
        <f aca="false">AO40</f>
        <v>-116331.950334159</v>
      </c>
      <c r="AP146" s="10" t="n">
        <f aca="false">AP40</f>
        <v>-116331.950334159</v>
      </c>
      <c r="AQ146" s="10" t="n">
        <f aca="false">AQ40</f>
        <v>-116331.950334159</v>
      </c>
      <c r="AR146" s="10" t="n">
        <f aca="false">AR40</f>
        <v>-116331.950334159</v>
      </c>
      <c r="AS146" s="10" t="n">
        <f aca="false">AS40</f>
        <v>-287796.988212947</v>
      </c>
      <c r="AT146" s="10" t="n">
        <f aca="false">AT40</f>
        <v>-287796.988212947</v>
      </c>
      <c r="AU146" s="10" t="n">
        <f aca="false">AU40</f>
        <v>-287796.988212947</v>
      </c>
      <c r="AV146" s="10" t="n">
        <f aca="false">AV40</f>
        <v>-287796.988212947</v>
      </c>
      <c r="AW146" s="10" t="n">
        <f aca="false">AW40</f>
        <v>-287796.988212947</v>
      </c>
      <c r="AX146" s="10" t="n">
        <f aca="false">AX40</f>
        <v>-287796.988212947</v>
      </c>
      <c r="AY146" s="10" t="n">
        <f aca="false">AY40</f>
        <v>-296685.854643872</v>
      </c>
      <c r="AZ146" s="10" t="n">
        <f aca="false">AZ40</f>
        <v>-296685.854643872</v>
      </c>
      <c r="BA146" s="10" t="n">
        <f aca="false">BA40</f>
        <v>-296685.854643872</v>
      </c>
      <c r="BB146" s="10" t="n">
        <f aca="false">BB40</f>
        <v>-296685.854643872</v>
      </c>
      <c r="BC146" s="10" t="n">
        <f aca="false">BC40</f>
        <v>-296685.854643872</v>
      </c>
      <c r="BD146" s="10" t="n">
        <f aca="false">BD40</f>
        <v>-296685.854643872</v>
      </c>
      <c r="BE146" s="10" t="n">
        <f aca="false">BE40</f>
        <v>-296685.854643872</v>
      </c>
      <c r="BF146" s="10" t="n">
        <f aca="false">BF40</f>
        <v>-296685.854643872</v>
      </c>
      <c r="BG146" s="10" t="n">
        <f aca="false">BG40</f>
        <v>-453332.187977206</v>
      </c>
      <c r="BH146" s="10" t="n">
        <f aca="false">BH40</f>
        <v>-453332.187977206</v>
      </c>
      <c r="BI146" s="10" t="n">
        <f aca="false">BI40</f>
        <v>-453332.187977206</v>
      </c>
      <c r="BJ146" s="10" t="n">
        <f aca="false">BJ40</f>
        <v>-453332.187977206</v>
      </c>
      <c r="BK146" s="10" t="n">
        <f aca="false">BK40</f>
        <v>-462398.83173675</v>
      </c>
      <c r="BL146" s="10" t="n">
        <f aca="false">BL40</f>
        <v>-462398.83173675</v>
      </c>
      <c r="BM146" s="10" t="n">
        <f aca="false">BM40</f>
        <v>-462398.83173675</v>
      </c>
      <c r="BN146" s="10" t="n">
        <f aca="false">BN40</f>
        <v>-462398.83173675</v>
      </c>
      <c r="BO146" s="10" t="n">
        <f aca="false">BO40</f>
        <v>-462398.83173675</v>
      </c>
      <c r="BP146" s="10" t="n">
        <f aca="false">BP40</f>
        <v>-462398.83173675</v>
      </c>
      <c r="BQ146" s="10" t="n">
        <f aca="false">BQ40</f>
        <v>-462398.83173675</v>
      </c>
      <c r="BR146" s="10" t="n">
        <f aca="false">BR40</f>
        <v>-462398.83173675</v>
      </c>
      <c r="BS146" s="10" t="n">
        <f aca="false">BS40</f>
        <v>-462398.83173675</v>
      </c>
      <c r="BT146" s="10" t="n">
        <f aca="false">BT40</f>
        <v>-462398.83173675</v>
      </c>
      <c r="BU146" s="10" t="n">
        <f aca="false">BU40</f>
        <v>-462398.83173675</v>
      </c>
      <c r="BV146" s="10" t="n">
        <f aca="false">BV40</f>
        <v>-462398.83173675</v>
      </c>
      <c r="BW146" s="10" t="n">
        <f aca="false">BW40</f>
        <v>-471646.808371485</v>
      </c>
      <c r="BX146" s="10" t="n">
        <f aca="false">BX40</f>
        <v>-471646.808371485</v>
      </c>
      <c r="BY146" s="10" t="n">
        <f aca="false">BY40</f>
        <v>-471646.808371485</v>
      </c>
      <c r="BZ146" s="10" t="n">
        <f aca="false">BZ40</f>
        <v>-471646.808371485</v>
      </c>
      <c r="CA146" s="10" t="n">
        <f aca="false">CA40</f>
        <v>-471646.808371485</v>
      </c>
      <c r="CB146" s="10" t="n">
        <f aca="false">CB40</f>
        <v>-471646.808371485</v>
      </c>
      <c r="CC146" s="10" t="n">
        <f aca="false">CC40</f>
        <v>-471646.808371485</v>
      </c>
      <c r="CD146" s="10" t="n">
        <f aca="false">CD40</f>
        <v>-471646.808371485</v>
      </c>
      <c r="CE146" s="10" t="n">
        <f aca="false">CE40</f>
        <v>-471646.808371485</v>
      </c>
      <c r="CF146" s="10" t="n">
        <f aca="false">CF40</f>
        <v>-471646.808371485</v>
      </c>
      <c r="CG146" s="10" t="n">
        <f aca="false">CG40</f>
        <v>-471646.808371485</v>
      </c>
      <c r="CH146" s="10" t="n">
        <f aca="false">CH40</f>
        <v>-471646.808371485</v>
      </c>
      <c r="CI146" s="25"/>
      <c r="CJ146" s="56"/>
      <c r="CK146" s="56"/>
    </row>
    <row r="147" customFormat="false" ht="15" hidden="false" customHeight="true" outlineLevel="0" collapsed="false">
      <c r="A147" s="59" t="s">
        <v>41</v>
      </c>
      <c r="B147" s="60"/>
      <c r="C147" s="61" t="n">
        <f aca="false">C145+C146</f>
        <v>1725763.11592504</v>
      </c>
      <c r="D147" s="61" t="n">
        <f aca="false">D145+D146</f>
        <v>1753029.29185008</v>
      </c>
      <c r="E147" s="61" t="n">
        <f aca="false">E145+E146</f>
        <v>1741745.46777512</v>
      </c>
      <c r="F147" s="61" t="n">
        <f aca="false">F145+F146</f>
        <v>2219781.12122743</v>
      </c>
      <c r="G147" s="61" t="n">
        <f aca="false">G145+G146</f>
        <v>2371256.56987974</v>
      </c>
      <c r="H147" s="61" t="n">
        <f aca="false">H145+H146</f>
        <v>2522732.01853206</v>
      </c>
      <c r="I147" s="61" t="n">
        <f aca="false">I145+I146</f>
        <v>3039696.79307113</v>
      </c>
      <c r="J147" s="61" t="n">
        <f aca="false">J145+J146</f>
        <v>3594965.46855718</v>
      </c>
      <c r="K147" s="61" t="n">
        <f aca="false">K145+K146</f>
        <v>3927995.26604322</v>
      </c>
      <c r="L147" s="61" t="n">
        <f aca="false">L145+L146</f>
        <v>4261025.06352927</v>
      </c>
      <c r="M147" s="61" t="n">
        <f aca="false">M145+M146</f>
        <v>4594054.86101531</v>
      </c>
      <c r="N147" s="61" t="n">
        <f aca="false">N145+N146</f>
        <v>4927084.65850136</v>
      </c>
      <c r="O147" s="61" t="n">
        <f aca="false">O145+O146</f>
        <v>4631034.84149952</v>
      </c>
      <c r="P147" s="61" t="n">
        <f aca="false">P145+P146</f>
        <v>5127153.49949769</v>
      </c>
      <c r="Q147" s="61" t="n">
        <f aca="false">Q145+Q146</f>
        <v>5623272.15749585</v>
      </c>
      <c r="R147" s="61" t="n">
        <f aca="false">R145+R146</f>
        <v>5753881.4096567</v>
      </c>
      <c r="S147" s="61" t="n">
        <f aca="false">S145+S146</f>
        <v>6024204.39181754</v>
      </c>
      <c r="T147" s="61" t="n">
        <f aca="false">T145+T146</f>
        <v>6294527.37397839</v>
      </c>
      <c r="U147" s="61" t="n">
        <f aca="false">U145+U146</f>
        <v>6389990.33666555</v>
      </c>
      <c r="V147" s="61" t="n">
        <f aca="false">V145+V146</f>
        <v>6720799.37145797</v>
      </c>
      <c r="W147" s="61" t="n">
        <f aca="false">W145+W146</f>
        <v>7051608.4062504</v>
      </c>
      <c r="X147" s="61" t="n">
        <f aca="false">X145+X146</f>
        <v>7382417.44104282</v>
      </c>
      <c r="Y147" s="61" t="n">
        <f aca="false">Y145+Y146</f>
        <v>7713226.47583525</v>
      </c>
      <c r="Z147" s="61" t="n">
        <f aca="false">Z145+Z146</f>
        <v>8044035.51062767</v>
      </c>
      <c r="AA147" s="61" t="n">
        <f aca="false">AA145+AA146</f>
        <v>8366300.84450609</v>
      </c>
      <c r="AB147" s="61" t="n">
        <f aca="false">AB145+AB146</f>
        <v>8607072.32670988</v>
      </c>
      <c r="AC147" s="61" t="n">
        <f aca="false">AC145+AC146</f>
        <v>8280784.08224699</v>
      </c>
      <c r="AD147" s="61" t="n">
        <f aca="false">AD145+AD146</f>
        <v>8678201.89778411</v>
      </c>
      <c r="AE147" s="61" t="n">
        <f aca="false">AE145+AE146</f>
        <v>9075619.71332122</v>
      </c>
      <c r="AF147" s="61" t="n">
        <f aca="false">AF145+AF146</f>
        <v>9473037.52885834</v>
      </c>
      <c r="AG147" s="61" t="n">
        <f aca="false">AG145+AG146</f>
        <v>9870455.34439546</v>
      </c>
      <c r="AH147" s="61" t="n">
        <f aca="false">AH145+AH146</f>
        <v>10167194.1589856</v>
      </c>
      <c r="AI147" s="61" t="n">
        <f aca="false">AI145+AI146</f>
        <v>10463932.9735757</v>
      </c>
      <c r="AJ147" s="61" t="n">
        <f aca="false">AJ145+AJ146</f>
        <v>10597912.5154386</v>
      </c>
      <c r="AK147" s="61" t="n">
        <f aca="false">AK145+AK146</f>
        <v>10641102.8467752</v>
      </c>
      <c r="AL147" s="61" t="n">
        <f aca="false">AL145+AL146</f>
        <v>10684293.1781117</v>
      </c>
      <c r="AM147" s="61" t="n">
        <f aca="false">AM145+AM146</f>
        <v>10658750.4383039</v>
      </c>
      <c r="AN147" s="61" t="n">
        <f aca="false">AN145+AN146</f>
        <v>10542418.4879697</v>
      </c>
      <c r="AO147" s="61" t="n">
        <f aca="false">AO145+AO146</f>
        <v>10426086.5376356</v>
      </c>
      <c r="AP147" s="61" t="n">
        <f aca="false">AP145+AP146</f>
        <v>10309754.5873014</v>
      </c>
      <c r="AQ147" s="61" t="n">
        <f aca="false">AQ145+AQ146</f>
        <v>10193422.6369673</v>
      </c>
      <c r="AR147" s="61" t="n">
        <f aca="false">AR145+AR146</f>
        <v>10077090.6866331</v>
      </c>
      <c r="AS147" s="61" t="n">
        <f aca="false">AS145+AS146</f>
        <v>9789293.69842015</v>
      </c>
      <c r="AT147" s="61" t="n">
        <f aca="false">AT145+AT146</f>
        <v>9501496.7102072</v>
      </c>
      <c r="AU147" s="61" t="n">
        <f aca="false">AU145+AU146</f>
        <v>9213699.72199426</v>
      </c>
      <c r="AV147" s="61" t="n">
        <f aca="false">AV145+AV146</f>
        <v>8925902.73378131</v>
      </c>
      <c r="AW147" s="61" t="n">
        <f aca="false">AW145+AW146</f>
        <v>8638105.74556836</v>
      </c>
      <c r="AX147" s="61" t="n">
        <f aca="false">AX145+AX146</f>
        <v>8350308.75735542</v>
      </c>
      <c r="AY147" s="61" t="n">
        <f aca="false">AY145+AY146</f>
        <v>8053622.90271154</v>
      </c>
      <c r="AZ147" s="61" t="n">
        <f aca="false">AZ145+AZ146</f>
        <v>7756937.04806767</v>
      </c>
      <c r="BA147" s="61" t="n">
        <f aca="false">BA145+BA146</f>
        <v>7460251.1934238</v>
      </c>
      <c r="BB147" s="61" t="n">
        <f aca="false">BB145+BB146</f>
        <v>7163565.33877993</v>
      </c>
      <c r="BC147" s="61" t="n">
        <f aca="false">BC145+BC146</f>
        <v>6866879.48413606</v>
      </c>
      <c r="BD147" s="61" t="n">
        <f aca="false">BD145+BD146</f>
        <v>6570193.62949218</v>
      </c>
      <c r="BE147" s="61" t="n">
        <f aca="false">BE145+BE146</f>
        <v>6273507.77484831</v>
      </c>
      <c r="BF147" s="61" t="n">
        <f aca="false">BF145+BF146</f>
        <v>5976821.92020444</v>
      </c>
      <c r="BG147" s="61" t="n">
        <f aca="false">BG145+BG146</f>
        <v>5523489.73222723</v>
      </c>
      <c r="BH147" s="61" t="n">
        <f aca="false">BH145+BH146</f>
        <v>5070157.54425003</v>
      </c>
      <c r="BI147" s="61" t="n">
        <f aca="false">BI145+BI146</f>
        <v>4616825.35627282</v>
      </c>
      <c r="BJ147" s="61" t="n">
        <f aca="false">BJ145+BJ146</f>
        <v>4163493.16829562</v>
      </c>
      <c r="BK147" s="61" t="n">
        <f aca="false">BK145+BK146</f>
        <v>3701094.33655887</v>
      </c>
      <c r="BL147" s="61" t="n">
        <f aca="false">BL145+BL146</f>
        <v>3238695.50482212</v>
      </c>
      <c r="BM147" s="61" t="n">
        <f aca="false">BM145+BM146</f>
        <v>2776296.67308537</v>
      </c>
      <c r="BN147" s="61" t="n">
        <f aca="false">BN145+BN146</f>
        <v>2313897.84134862</v>
      </c>
      <c r="BO147" s="61" t="n">
        <f aca="false">BO145+BO146</f>
        <v>1851499.00961187</v>
      </c>
      <c r="BP147" s="61" t="n">
        <f aca="false">BP145+BP146</f>
        <v>1389100.17787512</v>
      </c>
      <c r="BQ147" s="61" t="n">
        <f aca="false">BQ145+BQ146</f>
        <v>926701.346138368</v>
      </c>
      <c r="BR147" s="61" t="n">
        <f aca="false">BR145+BR146</f>
        <v>464302.514401618</v>
      </c>
      <c r="BS147" s="61" t="n">
        <f aca="false">BS145+BS146</f>
        <v>1903.68266486865</v>
      </c>
      <c r="BT147" s="61" t="n">
        <f aca="false">BT145+BT146</f>
        <v>-460495.149071881</v>
      </c>
      <c r="BU147" s="61" t="n">
        <f aca="false">BU145+BU146</f>
        <v>-922893.980808631</v>
      </c>
      <c r="BV147" s="61" t="n">
        <f aca="false">BV145+BV146</f>
        <v>-1385292.81254538</v>
      </c>
      <c r="BW147" s="61" t="n">
        <f aca="false">BW145+BW146</f>
        <v>-1856939.62091687</v>
      </c>
      <c r="BX147" s="61" t="n">
        <f aca="false">BX145+BX146</f>
        <v>-2328586.42928835</v>
      </c>
      <c r="BY147" s="61" t="n">
        <f aca="false">BY145+BY146</f>
        <v>-2800233.23765984</v>
      </c>
      <c r="BZ147" s="61" t="n">
        <f aca="false">BZ145+BZ146</f>
        <v>-3271880.04603132</v>
      </c>
      <c r="CA147" s="61" t="n">
        <f aca="false">CA145+CA146</f>
        <v>-3743526.8544028</v>
      </c>
      <c r="CB147" s="61" t="n">
        <f aca="false">CB145+CB146</f>
        <v>-4215173.66277429</v>
      </c>
      <c r="CC147" s="61" t="n">
        <f aca="false">CC145+CC146</f>
        <v>-4686820.47114577</v>
      </c>
      <c r="CD147" s="61" t="n">
        <f aca="false">CD145+CD146</f>
        <v>-5158467.27951726</v>
      </c>
      <c r="CE147" s="61" t="n">
        <f aca="false">CE145+CE146</f>
        <v>-5630114.08788874</v>
      </c>
      <c r="CF147" s="61" t="n">
        <f aca="false">CF145+CF146</f>
        <v>-6101760.89626023</v>
      </c>
      <c r="CG147" s="61" t="n">
        <f aca="false">CG145+CG146</f>
        <v>-6573407.70463171</v>
      </c>
      <c r="CH147" s="61" t="n">
        <f aca="false">CH145+CH146</f>
        <v>-7045054.5130032</v>
      </c>
      <c r="CI147" s="25"/>
      <c r="CJ147" s="56"/>
      <c r="CK147" s="56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6"/>
      <c r="CK148" s="56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6"/>
      <c r="CK149" s="56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48881.1433333334</v>
      </c>
      <c r="I150" s="10" t="n">
        <f aca="false">H155</f>
        <v>-27902.19</v>
      </c>
      <c r="J150" s="10" t="n">
        <f aca="false">I155</f>
        <v>-234685.523333333</v>
      </c>
      <c r="K150" s="10" t="n">
        <f aca="false">J155</f>
        <v>-450843.856666667</v>
      </c>
      <c r="L150" s="10" t="n">
        <f aca="false">K155</f>
        <v>-688002.19</v>
      </c>
      <c r="M150" s="10" t="n">
        <f aca="false">L155</f>
        <v>-892028.692933333</v>
      </c>
      <c r="N150" s="10" t="n">
        <f aca="false">M155</f>
        <v>-1346055.19586667</v>
      </c>
      <c r="O150" s="10" t="n">
        <f aca="false">N155</f>
        <v>-1550081.6988</v>
      </c>
      <c r="P150" s="10" t="n">
        <f aca="false">O155</f>
        <v>-1756499.4934</v>
      </c>
      <c r="Q150" s="10" t="n">
        <f aca="false">P155</f>
        <v>-1962917.288</v>
      </c>
      <c r="R150" s="10" t="n">
        <f aca="false">Q155</f>
        <v>-2169335.0826</v>
      </c>
      <c r="S150" s="10" t="n">
        <f aca="false">R155</f>
        <v>-2419047.2648</v>
      </c>
      <c r="T150" s="10" t="n">
        <f aca="false">S155</f>
        <v>-2628727.1846</v>
      </c>
      <c r="U150" s="10" t="n">
        <f aca="false">T155</f>
        <v>-2821834.842</v>
      </c>
      <c r="V150" s="10" t="n">
        <f aca="false">U155</f>
        <v>-2998370.2434</v>
      </c>
      <c r="W150" s="10" t="n">
        <f aca="false">V155</f>
        <v>-3158333.376</v>
      </c>
      <c r="X150" s="10" t="n">
        <f aca="false">W155</f>
        <v>-3201738.49588545</v>
      </c>
      <c r="Y150" s="10" t="n">
        <f aca="false">X155</f>
        <v>-3198557.11648545</v>
      </c>
      <c r="Z150" s="10" t="n">
        <f aca="false">Y155</f>
        <v>-3428803.47468545</v>
      </c>
      <c r="AA150" s="10" t="n">
        <f aca="false">Z155</f>
        <v>-3335102.56408545</v>
      </c>
      <c r="AB150" s="10" t="n">
        <f aca="false">AA155</f>
        <v>-3284643.51498545</v>
      </c>
      <c r="AC150" s="10" t="n">
        <f aca="false">AB155</f>
        <v>-3217612.19708545</v>
      </c>
      <c r="AD150" s="10" t="n">
        <f aca="false">AC155</f>
        <v>-3047801.39918544</v>
      </c>
      <c r="AE150" s="10" t="n">
        <f aca="false">AD155</f>
        <v>-3016458.70528545</v>
      </c>
      <c r="AF150" s="10" t="n">
        <f aca="false">AE155</f>
        <v>-2960686.25458545</v>
      </c>
      <c r="AG150" s="10" t="n">
        <f aca="false">AF155</f>
        <v>-2904413.25988545</v>
      </c>
      <c r="AH150" s="10" t="n">
        <f aca="false">AG155</f>
        <v>-2857139.71478544</v>
      </c>
      <c r="AI150" s="10" t="n">
        <f aca="false">AH155</f>
        <v>-2809365.62568544</v>
      </c>
      <c r="AJ150" s="10" t="n">
        <f aca="false">AI155</f>
        <v>-2766367.12378544</v>
      </c>
      <c r="AK150" s="10" t="n">
        <f aca="false">AJ155</f>
        <v>-2717591.92748544</v>
      </c>
      <c r="AL150" s="10" t="n">
        <f aca="false">AK155</f>
        <v>-2934888.44318544</v>
      </c>
      <c r="AM150" s="10" t="n">
        <f aca="false">AL155</f>
        <v>-2918256.67088544</v>
      </c>
      <c r="AN150" s="10" t="n">
        <f aca="false">AM155</f>
        <v>-2920184.51683544</v>
      </c>
      <c r="AO150" s="10" t="n">
        <f aca="false">AN155</f>
        <v>-2938184.06838544</v>
      </c>
      <c r="AP150" s="10" t="n">
        <f aca="false">AO155</f>
        <v>-2972255.33193544</v>
      </c>
      <c r="AQ150" s="10" t="n">
        <f aca="false">AP155</f>
        <v>-3046806.09788544</v>
      </c>
      <c r="AR150" s="10" t="n">
        <f aca="false">AQ155</f>
        <v>-3113020.78543544</v>
      </c>
      <c r="AS150" s="10" t="n">
        <f aca="false">AR155</f>
        <v>-3195307.18498544</v>
      </c>
      <c r="AT150" s="10" t="n">
        <f aca="false">AS155</f>
        <v>-3225890.01333544</v>
      </c>
      <c r="AU150" s="10" t="n">
        <f aca="false">AT155</f>
        <v>-3273045.09768544</v>
      </c>
      <c r="AV150" s="10" t="n">
        <f aca="false">AU155</f>
        <v>-3375129.51803544</v>
      </c>
      <c r="AW150" s="10" t="n">
        <f aca="false">AV155</f>
        <v>-3455429.12078544</v>
      </c>
      <c r="AX150" s="10" t="n">
        <f aca="false">AW155</f>
        <v>-3536229.28033544</v>
      </c>
      <c r="AY150" s="10" t="n">
        <f aca="false">AX155</f>
        <v>-3617529.98388544</v>
      </c>
      <c r="AZ150" s="10" t="n">
        <f aca="false">AY155</f>
        <v>-3701868.89568245</v>
      </c>
      <c r="BA150" s="10" t="n">
        <f aca="false">AZ155</f>
        <v>-3786708.35787945</v>
      </c>
      <c r="BB150" s="10" t="n">
        <f aca="false">BA155</f>
        <v>-3872048.37047644</v>
      </c>
      <c r="BC150" s="10" t="n">
        <f aca="false">BB155</f>
        <v>-3982784.87315345</v>
      </c>
      <c r="BD150" s="10" t="n">
        <f aca="false">BC155</f>
        <v>-4069125.98655044</v>
      </c>
      <c r="BE150" s="10" t="n">
        <f aca="false">BD155</f>
        <v>-4155967.65034744</v>
      </c>
      <c r="BF150" s="10" t="n">
        <f aca="false">BE155</f>
        <v>-4243309.86454445</v>
      </c>
      <c r="BG150" s="10" t="n">
        <f aca="false">BF155</f>
        <v>-4331152.62914144</v>
      </c>
      <c r="BH150" s="10" t="n">
        <f aca="false">BG155</f>
        <v>-4442227.01309845</v>
      </c>
      <c r="BI150" s="10" t="n">
        <f aca="false">BH155</f>
        <v>-4501870.07849545</v>
      </c>
      <c r="BJ150" s="10" t="n">
        <f aca="false">BI155</f>
        <v>-4562013.69429245</v>
      </c>
      <c r="BK150" s="10" t="n">
        <f aca="false">BJ155</f>
        <v>-4554882.57088945</v>
      </c>
      <c r="BL150" s="10" t="n">
        <f aca="false">BK155</f>
        <v>-4686891.53209039</v>
      </c>
      <c r="BM150" s="10" t="n">
        <f aca="false">BL155</f>
        <v>-4818900.49329133</v>
      </c>
      <c r="BN150" s="10" t="n">
        <f aca="false">BM155</f>
        <v>-4950909.45449227</v>
      </c>
      <c r="BO150" s="10" t="n">
        <f aca="false">BN155</f>
        <v>-5108312.27416681</v>
      </c>
      <c r="BP150" s="10" t="n">
        <f aca="false">BO155</f>
        <v>-5240321.23536775</v>
      </c>
      <c r="BQ150" s="10" t="n">
        <f aca="false">BP155</f>
        <v>-5320816.67656869</v>
      </c>
      <c r="BR150" s="10" t="n">
        <f aca="false">BQ155</f>
        <v>-5452825.63776963</v>
      </c>
      <c r="BS150" s="10" t="n">
        <f aca="false">BR155</f>
        <v>-5584834.59897057</v>
      </c>
      <c r="BT150" s="10" t="n">
        <f aca="false">BS155</f>
        <v>-5672267.25703871</v>
      </c>
      <c r="BU150" s="10" t="n">
        <f aca="false">BT155</f>
        <v>-5804276.21823965</v>
      </c>
      <c r="BV150" s="10" t="n">
        <f aca="false">BU155</f>
        <v>-5936285.17944059</v>
      </c>
      <c r="BW150" s="10" t="n">
        <f aca="false">BV155</f>
        <v>-6000532.14064153</v>
      </c>
      <c r="BX150" s="10" t="n">
        <f aca="false">BW155</f>
        <v>-6135181.28106649</v>
      </c>
      <c r="BY150" s="10" t="n">
        <f aca="false">BX155</f>
        <v>-6269830.42149145</v>
      </c>
      <c r="BZ150" s="10" t="n">
        <f aca="false">BY155</f>
        <v>-6336717.5619164</v>
      </c>
      <c r="CA150" s="10" t="n">
        <f aca="false">BZ155</f>
        <v>-6497268.43798444</v>
      </c>
      <c r="CB150" s="10" t="n">
        <f aca="false">CA155</f>
        <v>-6631917.57840939</v>
      </c>
      <c r="CC150" s="10" t="n">
        <f aca="false">CB155</f>
        <v>-6690067.71883435</v>
      </c>
      <c r="CD150" s="10" t="n">
        <f aca="false">CC155</f>
        <v>-6824716.85925931</v>
      </c>
      <c r="CE150" s="10" t="n">
        <f aca="false">CD155</f>
        <v>-6959365.99968427</v>
      </c>
      <c r="CF150" s="10" t="n">
        <f aca="false">CE155</f>
        <v>-7041165.55091377</v>
      </c>
      <c r="CG150" s="10" t="n">
        <f aca="false">CF155</f>
        <v>-7175814.69133873</v>
      </c>
      <c r="CH150" s="10" t="n">
        <f aca="false">CG155</f>
        <v>-7310463.83176369</v>
      </c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-75950.0033333333</v>
      </c>
      <c r="H151" s="10" t="n">
        <f aca="false">H86</f>
        <v>-76783.3333333333</v>
      </c>
      <c r="I151" s="10" t="n">
        <f aca="false">I86</f>
        <v>-76783.3333333333</v>
      </c>
      <c r="J151" s="10" t="n">
        <f aca="false">J86</f>
        <v>-86158.3333333333</v>
      </c>
      <c r="K151" s="10" t="n">
        <f aca="false">K86</f>
        <v>-107158.333333333</v>
      </c>
      <c r="L151" s="10" t="n">
        <f aca="false">L86</f>
        <v>-74026.5029333333</v>
      </c>
      <c r="M151" s="10" t="n">
        <f aca="false">M86</f>
        <v>-74026.5029333333</v>
      </c>
      <c r="N151" s="10" t="n">
        <f aca="false">N86</f>
        <v>-74026.5029333333</v>
      </c>
      <c r="O151" s="10" t="n">
        <f aca="false">O86</f>
        <v>-76417.7946</v>
      </c>
      <c r="P151" s="10" t="n">
        <f aca="false">P86</f>
        <v>-76417.7946</v>
      </c>
      <c r="Q151" s="10" t="n">
        <f aca="false">Q86</f>
        <v>-76417.7946</v>
      </c>
      <c r="R151" s="10" t="n">
        <f aca="false">R86</f>
        <v>-119712.1822</v>
      </c>
      <c r="S151" s="10" t="n">
        <f aca="false">S86</f>
        <v>-79679.9198</v>
      </c>
      <c r="T151" s="10" t="n">
        <f aca="false">T86</f>
        <v>-63107.6574</v>
      </c>
      <c r="U151" s="10" t="n">
        <f aca="false">U86</f>
        <v>-46535.4014</v>
      </c>
      <c r="V151" s="10" t="n">
        <f aca="false">V86</f>
        <v>-29963.1326</v>
      </c>
      <c r="W151" s="10" t="n">
        <f aca="false">W86</f>
        <v>22564.1234</v>
      </c>
      <c r="X151" s="10" t="n">
        <f aca="false">X86</f>
        <v>3181.37939999999</v>
      </c>
      <c r="Y151" s="10" t="n">
        <f aca="false">Y86</f>
        <v>19753.6418</v>
      </c>
      <c r="Z151" s="10" t="n">
        <f aca="false">Z86</f>
        <v>93700.9106</v>
      </c>
      <c r="AA151" s="10" t="n">
        <f aca="false">AA86</f>
        <v>50459.0491</v>
      </c>
      <c r="AB151" s="10" t="n">
        <f aca="false">AB86</f>
        <v>67031.3179</v>
      </c>
      <c r="AC151" s="10" t="n">
        <f aca="false">AC86</f>
        <v>169810.7979</v>
      </c>
      <c r="AD151" s="10" t="n">
        <f aca="false">AD86</f>
        <v>31342.6939</v>
      </c>
      <c r="AE151" s="10" t="n">
        <f aca="false">AE86</f>
        <v>55772.4507</v>
      </c>
      <c r="AF151" s="10" t="n">
        <f aca="false">AF86</f>
        <v>56272.9947</v>
      </c>
      <c r="AG151" s="10" t="n">
        <f aca="false">AG86</f>
        <v>47273.5451</v>
      </c>
      <c r="AH151" s="10" t="n">
        <f aca="false">AH86</f>
        <v>47774.0891</v>
      </c>
      <c r="AI151" s="10" t="n">
        <f aca="false">AI86</f>
        <v>42998.5019</v>
      </c>
      <c r="AJ151" s="10" t="n">
        <f aca="false">AJ86</f>
        <v>48775.1963</v>
      </c>
      <c r="AK151" s="10" t="n">
        <f aca="false">AK86</f>
        <v>32703.4843</v>
      </c>
      <c r="AL151" s="10" t="n">
        <f aca="false">AL86</f>
        <v>16631.7723</v>
      </c>
      <c r="AM151" s="10" t="n">
        <f aca="false">AM86</f>
        <v>-1927.84595</v>
      </c>
      <c r="AN151" s="10" t="n">
        <f aca="false">AN86</f>
        <v>-17999.55155</v>
      </c>
      <c r="AO151" s="10" t="n">
        <f aca="false">AO86</f>
        <v>-34071.26355</v>
      </c>
      <c r="AP151" s="10" t="n">
        <f aca="false">AP86</f>
        <v>-74550.76595</v>
      </c>
      <c r="AQ151" s="10" t="n">
        <f aca="false">AQ86</f>
        <v>-66214.68755</v>
      </c>
      <c r="AR151" s="10" t="n">
        <f aca="false">AR86</f>
        <v>-82286.39955</v>
      </c>
      <c r="AS151" s="10" t="n">
        <f aca="false">AS86</f>
        <v>-30582.82835</v>
      </c>
      <c r="AT151" s="10" t="n">
        <f aca="false">AT86</f>
        <v>-47155.08435</v>
      </c>
      <c r="AU151" s="10" t="n">
        <f aca="false">AU86</f>
        <v>-102084.42035</v>
      </c>
      <c r="AV151" s="10" t="n">
        <f aca="false">AV86</f>
        <v>-80299.60275</v>
      </c>
      <c r="AW151" s="10" t="n">
        <f aca="false">AW86</f>
        <v>-80800.15955</v>
      </c>
      <c r="AX151" s="10" t="n">
        <f aca="false">AX86</f>
        <v>-81300.70355</v>
      </c>
      <c r="AY151" s="10" t="n">
        <f aca="false">AY86</f>
        <v>-84338.911797</v>
      </c>
      <c r="AZ151" s="10" t="n">
        <f aca="false">AZ86</f>
        <v>-84839.462197</v>
      </c>
      <c r="BA151" s="10" t="n">
        <f aca="false">BA86</f>
        <v>-85340.0125969999</v>
      </c>
      <c r="BB151" s="10" t="n">
        <f aca="false">BB86</f>
        <v>-110736.502677</v>
      </c>
      <c r="BC151" s="10" t="n">
        <f aca="false">BC86</f>
        <v>-86341.113397</v>
      </c>
      <c r="BD151" s="10" t="n">
        <f aca="false">BD86</f>
        <v>-86841.663797</v>
      </c>
      <c r="BE151" s="10" t="n">
        <f aca="false">BE86</f>
        <v>-87342.214197</v>
      </c>
      <c r="BF151" s="10" t="n">
        <f aca="false">BF86</f>
        <v>-87842.764597</v>
      </c>
      <c r="BG151" s="10" t="n">
        <f aca="false">BG86</f>
        <v>-111074.383957</v>
      </c>
      <c r="BH151" s="10" t="n">
        <f aca="false">BH86</f>
        <v>-59643.065397</v>
      </c>
      <c r="BI151" s="10" t="n">
        <f aca="false">BI86</f>
        <v>-60143.615797</v>
      </c>
      <c r="BJ151" s="10" t="n">
        <f aca="false">BJ86</f>
        <v>7131.12340300001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-250000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6"/>
      <c r="CK154" s="56"/>
    </row>
    <row r="155" customFormat="false" ht="15" hidden="false" customHeight="true" outlineLevel="0" collapsed="false">
      <c r="A155" s="59" t="s">
        <v>42</v>
      </c>
      <c r="B155" s="60"/>
      <c r="C155" s="61" t="n">
        <f aca="false">C150+C151+C152+C153+C154</f>
        <v>375681.156666667</v>
      </c>
      <c r="D155" s="61" t="n">
        <f aca="false">D150+D151+D152+D153+D154</f>
        <v>299731.153333333</v>
      </c>
      <c r="E155" s="61" t="n">
        <f aca="false">E150+E151+E152+E153+E154</f>
        <v>223781.15</v>
      </c>
      <c r="F155" s="61" t="n">
        <f aca="false">F150+F151+F152+F153+F154</f>
        <v>124831.146666667</v>
      </c>
      <c r="G155" s="61" t="n">
        <f aca="false">G150+G151+G152+G153+G154</f>
        <v>48881.1433333334</v>
      </c>
      <c r="H155" s="61" t="n">
        <f aca="false">H150+H151+H152+H153+H154</f>
        <v>-27902.19</v>
      </c>
      <c r="I155" s="61" t="n">
        <f aca="false">I150+I151+I152+I153+I154</f>
        <v>-234685.523333333</v>
      </c>
      <c r="J155" s="61" t="n">
        <f aca="false">J150+J151+J152+J153+J154</f>
        <v>-450843.856666667</v>
      </c>
      <c r="K155" s="61" t="n">
        <f aca="false">K150+K151+K152+K153+K154</f>
        <v>-688002.19</v>
      </c>
      <c r="L155" s="61" t="n">
        <f aca="false">L150+L151+L152+L153+L154</f>
        <v>-892028.692933333</v>
      </c>
      <c r="M155" s="61" t="n">
        <f aca="false">M150+M151+M152+M153+M154</f>
        <v>-1346055.19586667</v>
      </c>
      <c r="N155" s="61" t="n">
        <f aca="false">N150+N151+N152+N153+N154</f>
        <v>-1550081.6988</v>
      </c>
      <c r="O155" s="61" t="n">
        <f aca="false">O150+O151+O152+O153+O154</f>
        <v>-1756499.4934</v>
      </c>
      <c r="P155" s="61" t="n">
        <f aca="false">P150+P151+P152+P153+P154</f>
        <v>-1962917.288</v>
      </c>
      <c r="Q155" s="61" t="n">
        <f aca="false">Q150+Q151+Q152+Q153+Q154</f>
        <v>-2169335.0826</v>
      </c>
      <c r="R155" s="61" t="n">
        <f aca="false">R150+R151+R152+R153+R154</f>
        <v>-2419047.2648</v>
      </c>
      <c r="S155" s="61" t="n">
        <f aca="false">S150+S151+S152+S153+S154</f>
        <v>-2628727.1846</v>
      </c>
      <c r="T155" s="61" t="n">
        <f aca="false">T150+T151+T152+T153+T154</f>
        <v>-2821834.842</v>
      </c>
      <c r="U155" s="61" t="n">
        <f aca="false">U150+U151+U152+U153+U154</f>
        <v>-2998370.2434</v>
      </c>
      <c r="V155" s="61" t="n">
        <f aca="false">V150+V151+V152+V153+V154</f>
        <v>-3158333.376</v>
      </c>
      <c r="W155" s="61" t="n">
        <f aca="false">W150+W151+W152+W153+W154</f>
        <v>-3201738.49588545</v>
      </c>
      <c r="X155" s="61" t="n">
        <f aca="false">X150+X151+X152+X153+X154</f>
        <v>-3198557.11648545</v>
      </c>
      <c r="Y155" s="61" t="n">
        <f aca="false">Y150+Y151+Y152+Y153+Y154</f>
        <v>-3428803.47468545</v>
      </c>
      <c r="Z155" s="61" t="n">
        <f aca="false">Z150+Z151+Z152+Z153+Z154</f>
        <v>-3335102.56408545</v>
      </c>
      <c r="AA155" s="61" t="n">
        <f aca="false">AA150+AA151+AA152+AA153+AA154</f>
        <v>-3284643.51498545</v>
      </c>
      <c r="AB155" s="61" t="n">
        <f aca="false">AB150+AB151+AB152+AB153+AB154</f>
        <v>-3217612.19708545</v>
      </c>
      <c r="AC155" s="61" t="n">
        <f aca="false">AC150+AC151+AC152+AC153+AC154</f>
        <v>-3047801.39918544</v>
      </c>
      <c r="AD155" s="61" t="n">
        <f aca="false">AD150+AD151+AD152+AD153+AD154</f>
        <v>-3016458.70528545</v>
      </c>
      <c r="AE155" s="61" t="n">
        <f aca="false">AE150+AE151+AE152+AE153+AE154</f>
        <v>-2960686.25458545</v>
      </c>
      <c r="AF155" s="61" t="n">
        <f aca="false">AF150+AF151+AF152+AF153+AF154</f>
        <v>-2904413.25988545</v>
      </c>
      <c r="AG155" s="61" t="n">
        <f aca="false">AG150+AG151+AG152+AG153+AG154</f>
        <v>-2857139.71478544</v>
      </c>
      <c r="AH155" s="61" t="n">
        <f aca="false">AH150+AH151+AH152+AH153+AH154</f>
        <v>-2809365.62568544</v>
      </c>
      <c r="AI155" s="61" t="n">
        <f aca="false">AI150+AI151+AI152+AI153+AI154</f>
        <v>-2766367.12378544</v>
      </c>
      <c r="AJ155" s="61" t="n">
        <f aca="false">AJ150+AJ151+AJ152+AJ153+AJ154</f>
        <v>-2717591.92748544</v>
      </c>
      <c r="AK155" s="61" t="n">
        <f aca="false">AK150+AK151+AK152+AK153+AK154</f>
        <v>-2934888.44318544</v>
      </c>
      <c r="AL155" s="61" t="n">
        <f aca="false">AL150+AL151+AL152+AL153+AL154</f>
        <v>-2918256.67088544</v>
      </c>
      <c r="AM155" s="61" t="n">
        <f aca="false">AM150+AM151+AM152+AM153+AM154</f>
        <v>-2920184.51683544</v>
      </c>
      <c r="AN155" s="61" t="n">
        <f aca="false">AN150+AN151+AN152+AN153+AN154</f>
        <v>-2938184.06838544</v>
      </c>
      <c r="AO155" s="61" t="n">
        <f aca="false">AO150+AO151+AO152+AO153+AO154</f>
        <v>-2972255.33193544</v>
      </c>
      <c r="AP155" s="61" t="n">
        <f aca="false">AP150+AP151+AP152+AP153+AP154</f>
        <v>-3046806.09788544</v>
      </c>
      <c r="AQ155" s="61" t="n">
        <f aca="false">AQ150+AQ151+AQ152+AQ153+AQ154</f>
        <v>-3113020.78543544</v>
      </c>
      <c r="AR155" s="61" t="n">
        <f aca="false">AR150+AR151+AR152+AR153+AR154</f>
        <v>-3195307.18498544</v>
      </c>
      <c r="AS155" s="61" t="n">
        <f aca="false">AS150+AS151+AS152+AS153+AS154</f>
        <v>-3225890.01333544</v>
      </c>
      <c r="AT155" s="61" t="n">
        <f aca="false">AT150+AT151+AT152+AT153+AT154</f>
        <v>-3273045.09768544</v>
      </c>
      <c r="AU155" s="61" t="n">
        <f aca="false">AU150+AU151+AU152+AU153+AU154</f>
        <v>-3375129.51803544</v>
      </c>
      <c r="AV155" s="61" t="n">
        <f aca="false">AV150+AV151+AV152+AV153+AV154</f>
        <v>-3455429.12078544</v>
      </c>
      <c r="AW155" s="61" t="n">
        <f aca="false">AW150+AW151+AW152+AW153+AW154</f>
        <v>-3536229.28033544</v>
      </c>
      <c r="AX155" s="61" t="n">
        <f aca="false">AX150+AX151+AX152+AX153+AX154</f>
        <v>-3617529.98388544</v>
      </c>
      <c r="AY155" s="61" t="n">
        <f aca="false">AY150+AY151+AY152+AY153+AY154</f>
        <v>-3701868.89568245</v>
      </c>
      <c r="AZ155" s="61" t="n">
        <f aca="false">AZ150+AZ151+AZ152+AZ153+AZ154</f>
        <v>-3786708.35787945</v>
      </c>
      <c r="BA155" s="61" t="n">
        <f aca="false">BA150+BA151+BA152+BA153+BA154</f>
        <v>-3872048.37047644</v>
      </c>
      <c r="BB155" s="61" t="n">
        <f aca="false">BB150+BB151+BB152+BB153+BB154</f>
        <v>-3982784.87315345</v>
      </c>
      <c r="BC155" s="61" t="n">
        <f aca="false">BC150+BC151+BC152+BC153+BC154</f>
        <v>-4069125.98655044</v>
      </c>
      <c r="BD155" s="61" t="n">
        <f aca="false">BD150+BD151+BD152+BD153+BD154</f>
        <v>-4155967.65034744</v>
      </c>
      <c r="BE155" s="61" t="n">
        <f aca="false">BE150+BE151+BE152+BE153+BE154</f>
        <v>-4243309.86454445</v>
      </c>
      <c r="BF155" s="61" t="n">
        <f aca="false">BF150+BF151+BF152+BF153+BF154</f>
        <v>-4331152.62914144</v>
      </c>
      <c r="BG155" s="61" t="n">
        <f aca="false">BG150+BG151+BG152+BG153+BG154</f>
        <v>-4442227.01309845</v>
      </c>
      <c r="BH155" s="61" t="n">
        <f aca="false">BH150+BH151+BH152+BH153+BH154</f>
        <v>-4501870.07849545</v>
      </c>
      <c r="BI155" s="61" t="n">
        <f aca="false">BI150+BI151+BI152+BI153+BI154</f>
        <v>-4562013.69429245</v>
      </c>
      <c r="BJ155" s="61" t="n">
        <f aca="false">BJ150+BJ151+BJ152+BJ153+BJ154</f>
        <v>-4554882.57088945</v>
      </c>
      <c r="BK155" s="61" t="n">
        <f aca="false">BK150+BK151+BK152+BK153+BK154</f>
        <v>-4686891.53209039</v>
      </c>
      <c r="BL155" s="61" t="n">
        <f aca="false">BL150+BL151+BL152+BL153+BL154</f>
        <v>-4818900.49329133</v>
      </c>
      <c r="BM155" s="61" t="n">
        <f aca="false">BM150+BM151+BM152+BM153+BM154</f>
        <v>-4950909.45449227</v>
      </c>
      <c r="BN155" s="61" t="n">
        <f aca="false">BN150+BN151+BN152+BN153+BN154</f>
        <v>-5108312.27416681</v>
      </c>
      <c r="BO155" s="61" t="n">
        <f aca="false">BO150+BO151+BO152+BO153+BO154</f>
        <v>-5240321.23536775</v>
      </c>
      <c r="BP155" s="61" t="n">
        <f aca="false">BP150+BP151+BP152+BP153+BP154</f>
        <v>-5320816.67656869</v>
      </c>
      <c r="BQ155" s="61" t="n">
        <f aca="false">BQ150+BQ151+BQ152+BQ153+BQ154</f>
        <v>-5452825.63776963</v>
      </c>
      <c r="BR155" s="61" t="n">
        <f aca="false">BR150+BR151+BR152+BR153+BR154</f>
        <v>-5584834.59897057</v>
      </c>
      <c r="BS155" s="61" t="n">
        <f aca="false">BS150+BS151+BS152+BS153+BS154</f>
        <v>-5672267.25703871</v>
      </c>
      <c r="BT155" s="61" t="n">
        <f aca="false">BT150+BT151+BT152+BT153+BT154</f>
        <v>-5804276.21823965</v>
      </c>
      <c r="BU155" s="61" t="n">
        <f aca="false">BU150+BU151+BU152+BU153+BU154</f>
        <v>-5936285.17944059</v>
      </c>
      <c r="BV155" s="61" t="n">
        <f aca="false">BV150+BV151+BV152+BV153+BV154</f>
        <v>-6000532.14064153</v>
      </c>
      <c r="BW155" s="61" t="n">
        <f aca="false">BW150+BW151+BW152+BW153+BW154</f>
        <v>-6135181.28106649</v>
      </c>
      <c r="BX155" s="61" t="n">
        <f aca="false">BX150+BX151+BX152+BX153+BX154</f>
        <v>-6269830.42149145</v>
      </c>
      <c r="BY155" s="61" t="n">
        <f aca="false">BY150+BY151+BY152+BY153+BY154</f>
        <v>-6336717.5619164</v>
      </c>
      <c r="BZ155" s="61" t="n">
        <f aca="false">BZ150+BZ151+BZ152+BZ153+BZ154</f>
        <v>-6497268.43798444</v>
      </c>
      <c r="CA155" s="61" t="n">
        <f aca="false">CA150+CA151+CA152+CA153+CA154</f>
        <v>-6631917.57840939</v>
      </c>
      <c r="CB155" s="61" t="n">
        <f aca="false">CB150+CB151+CB152+CB153+CB154</f>
        <v>-6690067.71883435</v>
      </c>
      <c r="CC155" s="61" t="n">
        <f aca="false">CC150+CC151+CC152+CC153+CC154</f>
        <v>-6824716.85925931</v>
      </c>
      <c r="CD155" s="61" t="n">
        <f aca="false">CD150+CD151+CD152+CD153+CD154</f>
        <v>-6959365.99968427</v>
      </c>
      <c r="CE155" s="61" t="n">
        <f aca="false">CE150+CE151+CE152+CE153+CE154</f>
        <v>-7041165.55091377</v>
      </c>
      <c r="CF155" s="61" t="n">
        <f aca="false">CF150+CF151+CF152+CF153+CF154</f>
        <v>-7175814.69133873</v>
      </c>
      <c r="CG155" s="61" t="n">
        <f aca="false">CG150+CG151+CG152+CG153+CG154</f>
        <v>-7310463.83176369</v>
      </c>
      <c r="CH155" s="61" t="n">
        <f aca="false">CH150+CH151+CH152+CH153+CH154</f>
        <v>-7362005.94558217</v>
      </c>
      <c r="CI155" s="25"/>
      <c r="CJ155" s="56"/>
      <c r="CK155" s="56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6"/>
      <c r="CK156" s="56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6"/>
      <c r="CK157" s="56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2344612.2678941</v>
      </c>
      <c r="H158" s="10" t="n">
        <f aca="false">H145+H150</f>
        <v>2420137.71321308</v>
      </c>
      <c r="I158" s="10" t="n">
        <f aca="false">I145+I150</f>
        <v>2494829.82853206</v>
      </c>
      <c r="J158" s="10" t="n">
        <f aca="false">J145+J150</f>
        <v>2805011.2697378</v>
      </c>
      <c r="K158" s="10" t="n">
        <f aca="false">K145+K150</f>
        <v>3144121.61189051</v>
      </c>
      <c r="L158" s="10" t="n">
        <f aca="false">L145+L150</f>
        <v>3239993.07604322</v>
      </c>
      <c r="M158" s="10" t="n">
        <f aca="false">M145+M150</f>
        <v>3368996.37059593</v>
      </c>
      <c r="N158" s="10" t="n">
        <f aca="false">N145+N150</f>
        <v>3247999.66514864</v>
      </c>
      <c r="O158" s="10" t="n">
        <f aca="false">O145+O150</f>
        <v>3377002.95970135</v>
      </c>
      <c r="P158" s="10" t="n">
        <f aca="false">P145+P150</f>
        <v>2874535.34809952</v>
      </c>
      <c r="Q158" s="10" t="n">
        <f aca="false">Q145+Q150</f>
        <v>3164236.21149769</v>
      </c>
      <c r="R158" s="10" t="n">
        <f aca="false">R145+R150</f>
        <v>3453937.07489585</v>
      </c>
      <c r="S158" s="10" t="n">
        <f aca="false">S145+S150</f>
        <v>3334834.1448567</v>
      </c>
      <c r="T158" s="10" t="n">
        <f aca="false">T145+T150</f>
        <v>3395477.20721754</v>
      </c>
      <c r="U158" s="10" t="n">
        <f aca="false">U145+U150</f>
        <v>3472692.53197839</v>
      </c>
      <c r="V158" s="10" t="n">
        <f aca="false">V145+V150</f>
        <v>3391620.09326555</v>
      </c>
      <c r="W158" s="10" t="n">
        <f aca="false">W145+W150</f>
        <v>3562465.99545797</v>
      </c>
      <c r="X158" s="10" t="n">
        <f aca="false">X145+X150</f>
        <v>3849869.91036495</v>
      </c>
      <c r="Y158" s="10" t="n">
        <f aca="false">Y145+Y150</f>
        <v>4183860.32455738</v>
      </c>
      <c r="Z158" s="10" t="n">
        <f aca="false">Z145+Z150</f>
        <v>4284423.0011498</v>
      </c>
      <c r="AA158" s="10" t="n">
        <f aca="false">AA145+AA150</f>
        <v>4708932.94654222</v>
      </c>
      <c r="AB158" s="10" t="n">
        <f aca="false">AB145+AB150</f>
        <v>5081657.32952065</v>
      </c>
      <c r="AC158" s="10" t="n">
        <f aca="false">AC145+AC150</f>
        <v>5389460.12962443</v>
      </c>
      <c r="AD158" s="10" t="n">
        <f aca="false">AD145+AD150</f>
        <v>5232982.68306155</v>
      </c>
      <c r="AE158" s="10" t="n">
        <f aca="false">AE145+AE150</f>
        <v>5661743.19249866</v>
      </c>
      <c r="AF158" s="10" t="n">
        <f aca="false">AF145+AF150</f>
        <v>6114933.45873578</v>
      </c>
      <c r="AG158" s="10" t="n">
        <f aca="false">AG145+AG150</f>
        <v>6568624.26897289</v>
      </c>
      <c r="AH158" s="10" t="n">
        <f aca="false">AH145+AH150</f>
        <v>7013315.62961001</v>
      </c>
      <c r="AI158" s="10" t="n">
        <f aca="false">AI145+AI150</f>
        <v>7357828.53330016</v>
      </c>
      <c r="AJ158" s="10" t="n">
        <f aca="false">AJ145+AJ150</f>
        <v>7697565.8497903</v>
      </c>
      <c r="AK158" s="10" t="n">
        <f aca="false">AK145+AK150</f>
        <v>7880320.58795318</v>
      </c>
      <c r="AL158" s="10" t="n">
        <f aca="false">AL145+AL150</f>
        <v>7706214.40358974</v>
      </c>
      <c r="AM158" s="10" t="n">
        <f aca="false">AM145+AM150</f>
        <v>7766036.50722629</v>
      </c>
      <c r="AN158" s="10" t="n">
        <f aca="false">AN145+AN150</f>
        <v>7738565.92146845</v>
      </c>
      <c r="AO158" s="10" t="n">
        <f aca="false">AO145+AO150</f>
        <v>7604234.41958429</v>
      </c>
      <c r="AP158" s="10" t="n">
        <f aca="false">AP145+AP150</f>
        <v>7453831.20570013</v>
      </c>
      <c r="AQ158" s="10" t="n">
        <f aca="false">AQ145+AQ150</f>
        <v>7262948.48941597</v>
      </c>
      <c r="AR158" s="10" t="n">
        <f aca="false">AR145+AR150</f>
        <v>7080401.85153181</v>
      </c>
      <c r="AS158" s="10" t="n">
        <f aca="false">AS145+AS150</f>
        <v>6881783.50164765</v>
      </c>
      <c r="AT158" s="10" t="n">
        <f aca="false">AT145+AT150</f>
        <v>6563403.68508471</v>
      </c>
      <c r="AU158" s="10" t="n">
        <f aca="false">AU145+AU150</f>
        <v>6228451.61252176</v>
      </c>
      <c r="AV158" s="10" t="n">
        <f aca="false">AV145+AV150</f>
        <v>5838570.20395881</v>
      </c>
      <c r="AW158" s="10" t="n">
        <f aca="false">AW145+AW150</f>
        <v>5470473.61299587</v>
      </c>
      <c r="AX158" s="10" t="n">
        <f aca="false">AX145+AX150</f>
        <v>5101876.46523292</v>
      </c>
      <c r="AY158" s="10" t="n">
        <f aca="false">AY145+AY150</f>
        <v>4732778.77346997</v>
      </c>
      <c r="AZ158" s="10" t="n">
        <f aca="false">AZ145+AZ150</f>
        <v>4351754.0070291</v>
      </c>
      <c r="BA158" s="10" t="n">
        <f aca="false">BA145+BA150</f>
        <v>3970228.69018823</v>
      </c>
      <c r="BB158" s="10" t="n">
        <f aca="false">BB145+BB150</f>
        <v>3588202.82294736</v>
      </c>
      <c r="BC158" s="10" t="n">
        <f aca="false">BC145+BC150</f>
        <v>3180780.46562648</v>
      </c>
      <c r="BD158" s="10" t="n">
        <f aca="false">BD145+BD150</f>
        <v>2797753.49758561</v>
      </c>
      <c r="BE158" s="10" t="n">
        <f aca="false">BE145+BE150</f>
        <v>2414225.97914474</v>
      </c>
      <c r="BF158" s="10" t="n">
        <f aca="false">BF145+BF150</f>
        <v>2030197.91030387</v>
      </c>
      <c r="BG158" s="10" t="n">
        <f aca="false">BG145+BG150</f>
        <v>1645669.291063</v>
      </c>
      <c r="BH158" s="10" t="n">
        <f aca="false">BH145+BH150</f>
        <v>1081262.71912879</v>
      </c>
      <c r="BI158" s="10" t="n">
        <f aca="false">BI145+BI150</f>
        <v>568287.465754584</v>
      </c>
      <c r="BJ158" s="10" t="n">
        <f aca="false">BJ145+BJ150</f>
        <v>54811.6619803775</v>
      </c>
      <c r="BK158" s="10" t="n">
        <f aca="false">BK145+BK150</f>
        <v>-391389.402593828</v>
      </c>
      <c r="BL158" s="10" t="n">
        <f aca="false">BL145+BL150</f>
        <v>-985797.195531518</v>
      </c>
      <c r="BM158" s="10" t="n">
        <f aca="false">BM145+BM150</f>
        <v>-1580204.98846921</v>
      </c>
      <c r="BN158" s="10" t="n">
        <f aca="false">BN145+BN150</f>
        <v>-2174612.7814069</v>
      </c>
      <c r="BO158" s="10" t="n">
        <f aca="false">BO145+BO150</f>
        <v>-2794414.43281819</v>
      </c>
      <c r="BP158" s="10" t="n">
        <f aca="false">BP145+BP150</f>
        <v>-3388822.22575588</v>
      </c>
      <c r="BQ158" s="10" t="n">
        <f aca="false">BQ145+BQ150</f>
        <v>-3931716.49869357</v>
      </c>
      <c r="BR158" s="10" t="n">
        <f aca="false">BR145+BR150</f>
        <v>-4526124.29163126</v>
      </c>
      <c r="BS158" s="10" t="n">
        <f aca="false">BS145+BS150</f>
        <v>-5120532.08456895</v>
      </c>
      <c r="BT158" s="10" t="n">
        <f aca="false">BT145+BT150</f>
        <v>-5670363.57437384</v>
      </c>
      <c r="BU158" s="10" t="n">
        <f aca="false">BU145+BU150</f>
        <v>-6264771.36731153</v>
      </c>
      <c r="BV158" s="10" t="n">
        <f aca="false">BV145+BV150</f>
        <v>-6859179.16024922</v>
      </c>
      <c r="BW158" s="10" t="n">
        <f aca="false">BW145+BW150</f>
        <v>-7385824.95318691</v>
      </c>
      <c r="BX158" s="10" t="n">
        <f aca="false">BX145+BX150</f>
        <v>-7992120.90198335</v>
      </c>
      <c r="BY158" s="10" t="n">
        <f aca="false">BY145+BY150</f>
        <v>-8598416.8507798</v>
      </c>
      <c r="BZ158" s="10" t="n">
        <f aca="false">BZ145+BZ150</f>
        <v>-9136950.79957624</v>
      </c>
      <c r="CA158" s="10" t="n">
        <f aca="false">CA145+CA150</f>
        <v>-9769148.48401576</v>
      </c>
      <c r="CB158" s="10" t="n">
        <f aca="false">CB145+CB150</f>
        <v>-10375444.4328122</v>
      </c>
      <c r="CC158" s="10" t="n">
        <f aca="false">CC145+CC150</f>
        <v>-10905241.3816086</v>
      </c>
      <c r="CD158" s="10" t="n">
        <f aca="false">CD145+CD150</f>
        <v>-11511537.3304051</v>
      </c>
      <c r="CE158" s="10" t="n">
        <f aca="false">CE145+CE150</f>
        <v>-12117833.2792015</v>
      </c>
      <c r="CF158" s="10" t="n">
        <f aca="false">CF145+CF150</f>
        <v>-12671279.6388025</v>
      </c>
      <c r="CG158" s="10" t="n">
        <f aca="false">CG145+CG150</f>
        <v>-13277575.587599</v>
      </c>
      <c r="CH158" s="10" t="n">
        <f aca="false">CH145+CH150</f>
        <v>-13883871.5363954</v>
      </c>
      <c r="CI158" s="25"/>
      <c r="CJ158" s="56"/>
      <c r="CK158" s="56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-457933.867812966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-706753.823282153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-1229308.78182761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6"/>
      <c r="CK159" s="56"/>
    </row>
    <row r="160" customFormat="false" ht="15" hidden="false" customHeight="true" outlineLevel="0" collapsed="false">
      <c r="A160" s="59" t="s">
        <v>44</v>
      </c>
      <c r="B160" s="60"/>
      <c r="C160" s="61" t="n">
        <f aca="false">C158+C146+C151+C152+C153+C154+C159</f>
        <v>2101444.27259171</v>
      </c>
      <c r="D160" s="61" t="n">
        <f aca="false">D158+D146+D151+D152+D153+D154+D159</f>
        <v>2052760.44518341</v>
      </c>
      <c r="E160" s="61" t="n">
        <f aca="false">E158+E146+E151+E152+E153+E154+E159</f>
        <v>1965526.61777512</v>
      </c>
      <c r="F160" s="61" t="n">
        <f aca="false">F158+F146+F151+F152+F153+F154+F159</f>
        <v>2344612.2678941</v>
      </c>
      <c r="G160" s="61" t="n">
        <f aca="false">G158+G146+G151+G152+G153+G154+G159</f>
        <v>2420137.71321308</v>
      </c>
      <c r="H160" s="61" t="n">
        <f aca="false">H158+H146+H151+H152+H153+H154+H159</f>
        <v>2494829.82853206</v>
      </c>
      <c r="I160" s="61" t="n">
        <f aca="false">I158+I146+I151+I152+I153+I154+I159</f>
        <v>2805011.2697378</v>
      </c>
      <c r="J160" s="61" t="n">
        <f aca="false">J158+J146+J151+J152+J153+J154+J159</f>
        <v>3144121.61189051</v>
      </c>
      <c r="K160" s="61" t="n">
        <f aca="false">K158+K146+K151+K152+K153+K154+K159</f>
        <v>3239993.07604322</v>
      </c>
      <c r="L160" s="61" t="n">
        <f aca="false">L158+L146+L151+L152+L153+L154+L159</f>
        <v>3368996.37059593</v>
      </c>
      <c r="M160" s="61" t="n">
        <f aca="false">M158+M146+M151+M152+M153+M154+M159</f>
        <v>3247999.66514864</v>
      </c>
      <c r="N160" s="61" t="n">
        <f aca="false">N158+N146+N151+N152+N153+N154+N159</f>
        <v>2919069.09188839</v>
      </c>
      <c r="O160" s="61" t="n">
        <f aca="false">O158+O146+O151+O152+O153+O154+O159</f>
        <v>2874535.34809952</v>
      </c>
      <c r="P160" s="61" t="n">
        <f aca="false">P158+P146+P151+P152+P153+P154+P159</f>
        <v>3164236.21149769</v>
      </c>
      <c r="Q160" s="61" t="n">
        <f aca="false">Q158+Q146+Q151+Q152+Q153+Q154+Q159</f>
        <v>3453937.07489585</v>
      </c>
      <c r="R160" s="61" t="n">
        <f aca="false">R158+R146+R151+R152+R153+R154+R159</f>
        <v>3334834.1448567</v>
      </c>
      <c r="S160" s="61" t="n">
        <f aca="false">S158+S146+S151+S152+S153+S154+S159</f>
        <v>3395477.20721754</v>
      </c>
      <c r="T160" s="61" t="n">
        <f aca="false">T158+T146+T151+T152+T153+T154+T159</f>
        <v>3472692.53197839</v>
      </c>
      <c r="U160" s="61" t="n">
        <f aca="false">U158+U146+U151+U152+U153+U154+U159</f>
        <v>3391620.09326555</v>
      </c>
      <c r="V160" s="61" t="n">
        <f aca="false">V158+V146+V151+V152+V153+V154+V159</f>
        <v>3562465.99545797</v>
      </c>
      <c r="W160" s="61" t="n">
        <f aca="false">W158+W146+W151+W152+W153+W154+W159</f>
        <v>3849869.91036495</v>
      </c>
      <c r="X160" s="61" t="n">
        <f aca="false">X158+X146+X151+X152+X153+X154+X159</f>
        <v>4183860.32455738</v>
      </c>
      <c r="Y160" s="61" t="n">
        <f aca="false">Y158+Y146+Y151+Y152+Y153+Y154+Y159</f>
        <v>4284423.0011498</v>
      </c>
      <c r="Z160" s="61" t="n">
        <f aca="false">Z158+Z146+Z151+Z152+Z153+Z154+Z159</f>
        <v>4002179.12326007</v>
      </c>
      <c r="AA160" s="61" t="n">
        <f aca="false">AA158+AA146+AA151+AA152+AA153+AA154+AA159</f>
        <v>5081657.32952065</v>
      </c>
      <c r="AB160" s="61" t="n">
        <f aca="false">AB158+AB146+AB151+AB152+AB153+AB154+AB159</f>
        <v>5389460.12962443</v>
      </c>
      <c r="AC160" s="61" t="n">
        <f aca="false">AC158+AC146+AC151+AC152+AC153+AC154+AC159</f>
        <v>5232982.68306155</v>
      </c>
      <c r="AD160" s="61" t="n">
        <f aca="false">AD158+AD146+AD151+AD152+AD153+AD154+AD159</f>
        <v>5661743.19249866</v>
      </c>
      <c r="AE160" s="61" t="n">
        <f aca="false">AE158+AE146+AE151+AE152+AE153+AE154+AE159</f>
        <v>6114933.45873578</v>
      </c>
      <c r="AF160" s="61" t="n">
        <f aca="false">AF158+AF146+AF151+AF152+AF153+AF154+AF159</f>
        <v>6568624.2689729</v>
      </c>
      <c r="AG160" s="61" t="n">
        <f aca="false">AG158+AG146+AG151+AG152+AG153+AG154+AG159</f>
        <v>7013315.62961001</v>
      </c>
      <c r="AH160" s="61" t="n">
        <f aca="false">AH158+AH146+AH151+AH152+AH153+AH154+AH159</f>
        <v>7357828.53330016</v>
      </c>
      <c r="AI160" s="61" t="n">
        <f aca="false">AI158+AI146+AI151+AI152+AI153+AI154+AI159</f>
        <v>7697565.8497903</v>
      </c>
      <c r="AJ160" s="61" t="n">
        <f aca="false">AJ158+AJ146+AJ151+AJ152+AJ153+AJ154+AJ159</f>
        <v>7880320.58795318</v>
      </c>
      <c r="AK160" s="61" t="n">
        <f aca="false">AK158+AK146+AK151+AK152+AK153+AK154+AK159</f>
        <v>7706214.40358974</v>
      </c>
      <c r="AL160" s="61" t="n">
        <f aca="false">AL158+AL146+AL151+AL152+AL153+AL154+AL159</f>
        <v>6536727.72539869</v>
      </c>
      <c r="AM160" s="61" t="n">
        <f aca="false">AM158+AM146+AM151+AM152+AM153+AM154+AM159</f>
        <v>7738565.92146845</v>
      </c>
      <c r="AN160" s="61" t="n">
        <f aca="false">AN158+AN146+AN151+AN152+AN153+AN154+AN159</f>
        <v>7604234.41958429</v>
      </c>
      <c r="AO160" s="61" t="n">
        <f aca="false">AO158+AO146+AO151+AO152+AO153+AO154+AO159</f>
        <v>7453831.20570013</v>
      </c>
      <c r="AP160" s="61" t="n">
        <f aca="false">AP158+AP146+AP151+AP152+AP153+AP154+AP159</f>
        <v>7262948.48941597</v>
      </c>
      <c r="AQ160" s="61" t="n">
        <f aca="false">AQ158+AQ146+AQ151+AQ152+AQ153+AQ154+AQ159</f>
        <v>7080401.85153181</v>
      </c>
      <c r="AR160" s="61" t="n">
        <f aca="false">AR158+AR146+AR151+AR152+AR153+AR154+AR159</f>
        <v>6881783.50164765</v>
      </c>
      <c r="AS160" s="61" t="n">
        <f aca="false">AS158+AS146+AS151+AS152+AS153+AS154+AS159</f>
        <v>6563403.68508471</v>
      </c>
      <c r="AT160" s="61" t="n">
        <f aca="false">AT158+AT146+AT151+AT152+AT153+AT154+AT159</f>
        <v>6228451.61252176</v>
      </c>
      <c r="AU160" s="61" t="n">
        <f aca="false">AU158+AU146+AU151+AU152+AU153+AU154+AU159</f>
        <v>5838570.20395881</v>
      </c>
      <c r="AV160" s="61" t="n">
        <f aca="false">AV158+AV146+AV151+AV152+AV153+AV154+AV159</f>
        <v>5470473.61299587</v>
      </c>
      <c r="AW160" s="61" t="n">
        <f aca="false">AW158+AW146+AW151+AW152+AW153+AW154+AW159</f>
        <v>5101876.46523292</v>
      </c>
      <c r="AX160" s="61" t="n">
        <f aca="false">AX158+AX146+AX151+AX152+AX153+AX154+AX159</f>
        <v>4732778.77346997</v>
      </c>
      <c r="AY160" s="61" t="n">
        <f aca="false">AY158+AY146+AY151+AY152+AY153+AY154+AY159</f>
        <v>4351754.0070291</v>
      </c>
      <c r="AZ160" s="61" t="n">
        <f aca="false">AZ158+AZ146+AZ151+AZ152+AZ153+AZ154+AZ159</f>
        <v>3970228.69018823</v>
      </c>
      <c r="BA160" s="61" t="n">
        <f aca="false">BA158+BA146+BA151+BA152+BA153+BA154+BA159</f>
        <v>3588202.82294736</v>
      </c>
      <c r="BB160" s="61" t="n">
        <f aca="false">BB158+BB146+BB151+BB152+BB153+BB154+BB159</f>
        <v>3180780.46562648</v>
      </c>
      <c r="BC160" s="61" t="n">
        <f aca="false">BC158+BC146+BC151+BC152+BC153+BC154+BC159</f>
        <v>2797753.49758561</v>
      </c>
      <c r="BD160" s="61" t="n">
        <f aca="false">BD158+BD146+BD151+BD152+BD153+BD154+BD159</f>
        <v>2414225.97914474</v>
      </c>
      <c r="BE160" s="61" t="n">
        <f aca="false">BE158+BE146+BE151+BE152+BE153+BE154+BE159</f>
        <v>2030197.91030387</v>
      </c>
      <c r="BF160" s="61" t="n">
        <f aca="false">BF158+BF146+BF151+BF152+BF153+BF154+BF159</f>
        <v>1645669.291063</v>
      </c>
      <c r="BG160" s="61" t="n">
        <f aca="false">BG158+BG146+BG151+BG152+BG153+BG154+BG159</f>
        <v>1081262.71912879</v>
      </c>
      <c r="BH160" s="61" t="n">
        <f aca="false">BH158+BH146+BH151+BH152+BH153+BH154+BH159</f>
        <v>568287.465754584</v>
      </c>
      <c r="BI160" s="61" t="n">
        <f aca="false">BI158+BI146+BI151+BI152+BI153+BI154+BI159</f>
        <v>54811.6619803779</v>
      </c>
      <c r="BJ160" s="61" t="n">
        <f aca="false">BJ158+BJ146+BJ151+BJ152+BJ153+BJ154+BJ159</f>
        <v>-391389.402593828</v>
      </c>
      <c r="BK160" s="61" t="n">
        <f aca="false">BK158+BK146+BK151+BK152+BK153+BK154+BK159</f>
        <v>-985797.195531518</v>
      </c>
      <c r="BL160" s="61" t="n">
        <f aca="false">BL158+BL146+BL151+BL152+BL153+BL154+BL159</f>
        <v>-1580204.98846921</v>
      </c>
      <c r="BM160" s="61" t="n">
        <f aca="false">BM158+BM146+BM151+BM152+BM153+BM154+BM159</f>
        <v>-2174612.7814069</v>
      </c>
      <c r="BN160" s="61" t="n">
        <f aca="false">BN158+BN146+BN151+BN152+BN153+BN154+BN159</f>
        <v>-2794414.43281819</v>
      </c>
      <c r="BO160" s="61" t="n">
        <f aca="false">BO158+BO146+BO151+BO152+BO153+BO154+BO159</f>
        <v>-3388822.22575588</v>
      </c>
      <c r="BP160" s="61" t="n">
        <f aca="false">BP158+BP146+BP151+BP152+BP153+BP154+BP159</f>
        <v>-3931716.49869357</v>
      </c>
      <c r="BQ160" s="61" t="n">
        <f aca="false">BQ158+BQ146+BQ151+BQ152+BQ153+BQ154+BQ159</f>
        <v>-4526124.29163126</v>
      </c>
      <c r="BR160" s="61" t="n">
        <f aca="false">BR158+BR146+BR151+BR152+BR153+BR154+BR159</f>
        <v>-5120532.08456895</v>
      </c>
      <c r="BS160" s="61" t="n">
        <f aca="false">BS158+BS146+BS151+BS152+BS153+BS154+BS159</f>
        <v>-5670363.57437384</v>
      </c>
      <c r="BT160" s="61" t="n">
        <f aca="false">BT158+BT146+BT151+BT152+BT153+BT154+BT159</f>
        <v>-6264771.36731153</v>
      </c>
      <c r="BU160" s="61" t="n">
        <f aca="false">BU158+BU146+BU151+BU152+BU153+BU154+BU159</f>
        <v>-6859179.16024922</v>
      </c>
      <c r="BV160" s="61" t="n">
        <f aca="false">BV158+BV146+BV151+BV152+BV153+BV154+BV159</f>
        <v>-7385824.95318691</v>
      </c>
      <c r="BW160" s="61" t="n">
        <f aca="false">BW158+BW146+BW151+BW152+BW153+BW154+BW159</f>
        <v>-7992120.90198335</v>
      </c>
      <c r="BX160" s="61" t="n">
        <f aca="false">BX158+BX146+BX151+BX152+BX153+BX154+BX159</f>
        <v>-8598416.8507798</v>
      </c>
      <c r="BY160" s="61" t="n">
        <f aca="false">BY158+BY146+BY151+BY152+BY153+BY154+BY159</f>
        <v>-9136950.79957624</v>
      </c>
      <c r="BZ160" s="61" t="n">
        <f aca="false">BZ158+BZ146+BZ151+BZ152+BZ153+BZ154+BZ159</f>
        <v>-9769148.48401576</v>
      </c>
      <c r="CA160" s="61" t="n">
        <f aca="false">CA158+CA146+CA151+CA152+CA153+CA154+CA159</f>
        <v>-10375444.4328122</v>
      </c>
      <c r="CB160" s="61" t="n">
        <f aca="false">CB158+CB146+CB151+CB152+CB153+CB154+CB159</f>
        <v>-10905241.3816086</v>
      </c>
      <c r="CC160" s="61" t="n">
        <f aca="false">CC158+CC146+CC151+CC152+CC153+CC154+CC159</f>
        <v>-11511537.3304051</v>
      </c>
      <c r="CD160" s="61" t="n">
        <f aca="false">CD158+CD146+CD151+CD152+CD153+CD154+CD159</f>
        <v>-12117833.2792015</v>
      </c>
      <c r="CE160" s="61" t="n">
        <f aca="false">CE158+CE146+CE151+CE152+CE153+CE154+CE159</f>
        <v>-12671279.6388025</v>
      </c>
      <c r="CF160" s="61" t="n">
        <f aca="false">CF158+CF146+CF151+CF152+CF153+CF154+CF159</f>
        <v>-13277575.587599</v>
      </c>
      <c r="CG160" s="61" t="n">
        <f aca="false">CG158+CG146+CG151+CG152+CG153+CG154+CG159</f>
        <v>-13883871.5363954</v>
      </c>
      <c r="CH160" s="61" t="n">
        <f aca="false">CH158+CH146+CH151+CH152+CH153+CH154+CH159</f>
        <v>-14407060.4585854</v>
      </c>
      <c r="CI160" s="25"/>
      <c r="CJ160" s="56"/>
      <c r="CK160" s="56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6"/>
      <c r="CK161" s="56"/>
    </row>
    <row r="162" customFormat="false" ht="15" hidden="false" customHeight="true" outlineLevel="0" collapsed="false">
      <c r="A162" s="62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3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4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</row>
    <row r="168" customFormat="false" ht="15" hidden="false" customHeight="true" outlineLevel="0" collapsed="false">
      <c r="A168" s="6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5"/>
      <c r="CJ168" s="56"/>
      <c r="CK168" s="56"/>
    </row>
    <row r="169" customFormat="false" ht="15" hidden="false" customHeight="true" outlineLevel="0" collapsed="false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16700979.110481</v>
      </c>
      <c r="D3" s="65" t="n">
        <f aca="false">Model!I7+Model!J7+Model!K7</f>
        <v>20341786.1339069</v>
      </c>
      <c r="E3" s="65" t="n">
        <f aca="false">Model!L7+Model!M7+Model!N7</f>
        <v>21680815.1071276</v>
      </c>
      <c r="F3" s="65" t="n">
        <f aca="false">Model!O7+Model!P7+Model!Q7</f>
        <v>24337637.2874382</v>
      </c>
      <c r="G3" s="65" t="n">
        <f aca="false">Model!R7+Model!S7+Model!T7</f>
        <v>22877735.949785</v>
      </c>
      <c r="H3" s="65" t="n">
        <f aca="false">Model!U7+Model!V7+Model!W7</f>
        <v>23736813.547168</v>
      </c>
      <c r="I3" s="65" t="n">
        <f aca="false">Model!X7+Model!Y7+Model!Z7</f>
        <v>22682566.941028</v>
      </c>
      <c r="J3" s="65" t="n">
        <f aca="false">Model!AA7+Model!AB7+Model!AC7</f>
        <v>19933064.690972</v>
      </c>
      <c r="K3" s="65" t="n">
        <f aca="false">Model!AD7+Model!AE7+Model!AF7</f>
        <v>16368633.581473</v>
      </c>
      <c r="L3" s="65" t="n">
        <f aca="false">Model!AG7+Model!AH7+Model!AI7</f>
        <v>15030950.732465</v>
      </c>
      <c r="M3" s="65" t="n">
        <f aca="false">Model!AJ7+Model!AK7+Model!AL7</f>
        <v>12413653.630916</v>
      </c>
      <c r="N3" s="65" t="n">
        <f aca="false">Model!AM7+Model!AN7+Model!AO7</f>
        <v>9362879.381546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732678.834714627</v>
      </c>
      <c r="D5" s="10" t="n">
        <f aca="false">Model!I8+Model!J8+Model!K8</f>
        <v>976553.068523582</v>
      </c>
      <c r="E5" s="10" t="n">
        <f aca="false">Model!L8+Model!M8+Model!N8</f>
        <v>970968.211786569</v>
      </c>
      <c r="F5" s="10" t="n">
        <f aca="false">Model!O8+Model!P8+Model!Q8</f>
        <v>1191423.26048787</v>
      </c>
      <c r="G5" s="10" t="n">
        <f aca="false">Model!R8+Model!S8+Model!T8</f>
        <v>952023.230839884</v>
      </c>
      <c r="H5" s="10" t="n">
        <f aca="false">Model!U8+Model!V8+Model!W8</f>
        <v>987458.554618079</v>
      </c>
      <c r="I5" s="10" t="n">
        <f aca="false">Model!X8+Model!Y8+Model!Z8</f>
        <v>974563.817775974</v>
      </c>
      <c r="J5" s="10" t="n">
        <f aca="false">Model!AA8+Model!AB8+Model!AC8</f>
        <v>971846.087769139</v>
      </c>
      <c r="K5" s="10" t="n">
        <f aca="false">Model!AD8+Model!AE8+Model!AF8</f>
        <v>1071188.43705144</v>
      </c>
      <c r="L5" s="10" t="n">
        <f aca="false">Model!AG8+Model!AH8+Model!AI8</f>
        <v>984892.150525461</v>
      </c>
      <c r="M5" s="10" t="n">
        <f aca="false">Model!AJ8+Model!AK8+Model!AL8</f>
        <v>654662.761876282</v>
      </c>
      <c r="N5" s="10" t="n">
        <f aca="false">Model!AM8+Model!AN8+Model!AO8</f>
        <v>460767.138926863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776224.762346206</v>
      </c>
      <c r="D6" s="10" t="n">
        <f aca="false">Model!I9+Model!J9+Model!K9</f>
        <v>1013985.37115516</v>
      </c>
      <c r="E6" s="10" t="n">
        <f aca="false">Model!L9+Model!M9+Model!N9</f>
        <v>996173.264418148</v>
      </c>
      <c r="F6" s="10" t="n">
        <f aca="false">Model!O9+Model!P9+Model!Q9</f>
        <v>1216628.31311945</v>
      </c>
      <c r="G6" s="10" t="n">
        <f aca="false">Model!R9+Model!S9+Model!T9</f>
        <v>969452.283471463</v>
      </c>
      <c r="H6" s="10" t="n">
        <f aca="false">Model!U9+Model!V9+Model!W9</f>
        <v>991972.238828605</v>
      </c>
      <c r="I6" s="10" t="n">
        <f aca="false">Model!X9+Model!Y9+Model!Z9</f>
        <v>974563.817775974</v>
      </c>
      <c r="J6" s="10" t="n">
        <f aca="false">Model!AA9+Model!AB9+Model!AC9</f>
        <v>971846.087769139</v>
      </c>
      <c r="K6" s="10" t="n">
        <f aca="false">Model!AD9+Model!AE9+Model!AF9</f>
        <v>1071188.43705144</v>
      </c>
      <c r="L6" s="10" t="n">
        <f aca="false">Model!AG9+Model!AH9+Model!AI9</f>
        <v>984892.150525461</v>
      </c>
      <c r="M6" s="10" t="n">
        <f aca="false">Model!AJ9+Model!AK9+Model!AL9</f>
        <v>654662.761876282</v>
      </c>
      <c r="N6" s="10" t="n">
        <f aca="false">Model!AM9+Model!AN9+Model!AO9</f>
        <v>460767.138926863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201949.353896104</v>
      </c>
      <c r="D7" s="10" t="n">
        <f aca="false">Model!I10+Model!J10+Model!K10</f>
        <v>285572.556832422</v>
      </c>
      <c r="E7" s="10" t="n">
        <f aca="false">Model!L10+Model!M10+Model!N10</f>
        <v>288374.521253418</v>
      </c>
      <c r="F7" s="10" t="n">
        <f aca="false">Model!O10+Model!P10+Model!Q10</f>
        <v>361859.537487184</v>
      </c>
      <c r="G7" s="10" t="n">
        <f aca="false">Model!R10+Model!S10+Model!T10</f>
        <v>296984.069271189</v>
      </c>
      <c r="H7" s="10" t="n">
        <f aca="false">Model!U10+Model!V10+Model!W10</f>
        <v>324854.605925325</v>
      </c>
      <c r="I7" s="10" t="n">
        <f aca="false">Model!X10+Model!Y10+Model!Z10</f>
        <v>324854.605925325</v>
      </c>
      <c r="J7" s="10" t="n">
        <f aca="false">Model!AA10+Model!AB10+Model!AC10</f>
        <v>323948.695923046</v>
      </c>
      <c r="K7" s="10" t="n">
        <f aca="false">Model!AD10+Model!AE10+Model!AF10</f>
        <v>357062.812350479</v>
      </c>
      <c r="L7" s="10" t="n">
        <f aca="false">Model!AG10+Model!AH10+Model!AI10</f>
        <v>328297.383508487</v>
      </c>
      <c r="M7" s="10" t="n">
        <f aca="false">Model!AJ10+Model!AK10+Model!AL10</f>
        <v>218220.920625427</v>
      </c>
      <c r="N7" s="10" t="n">
        <f aca="false">Model!AM10+Model!AN10+Model!AO10</f>
        <v>153589.046308954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227699.34</v>
      </c>
      <c r="H8" s="10" t="n">
        <f aca="false">Model!U11+Model!V11+Model!W11</f>
        <v>227699.34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2355379.67095694</v>
      </c>
      <c r="D9" s="12" t="n">
        <f aca="false">Model!I12+Model!J12+Model!K12</f>
        <v>3037121.89651116</v>
      </c>
      <c r="E9" s="12" t="n">
        <f aca="false">Model!L12+Model!M12+Model!N12</f>
        <v>2255515.99745813</v>
      </c>
      <c r="F9" s="12" t="n">
        <f aca="false">Model!O12+Model!P12+Model!Q12</f>
        <v>3448912.6610945</v>
      </c>
      <c r="G9" s="12" t="n">
        <f aca="false">Model!R12+Model!S12+Model!T12</f>
        <v>2446158.92358254</v>
      </c>
      <c r="H9" s="12" t="n">
        <f aca="false">Model!U12+Model!V12+Model!W12</f>
        <v>2531984.73937201</v>
      </c>
      <c r="I9" s="12" t="n">
        <f aca="false">Model!X12+Model!Y12+Model!Z12</f>
        <v>2273982.24147727</v>
      </c>
      <c r="J9" s="12" t="n">
        <f aca="false">Model!AA12+Model!AB12+Model!AC12</f>
        <v>2887960.35146132</v>
      </c>
      <c r="K9" s="12" t="n">
        <f aca="false">Model!AD12+Model!AE12+Model!AF12</f>
        <v>2499439.68645335</v>
      </c>
      <c r="L9" s="12" t="n">
        <f aca="false">Model!AG12+Model!AH12+Model!AI12</f>
        <v>2298081.68455941</v>
      </c>
      <c r="M9" s="12" t="n">
        <f aca="false">Model!AJ12+Model!AK12+Model!AL12</f>
        <v>1527546.44437799</v>
      </c>
      <c r="N9" s="12" t="n">
        <f aca="false">Model!AM12+Model!AN12+Model!AO12</f>
        <v>1075123.32416268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-493348.57</v>
      </c>
      <c r="H12" s="10" t="n">
        <f aca="false">Model!U15+Model!V15+Model!W15</f>
        <v>-493348.57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-771723</v>
      </c>
      <c r="D13" s="10" t="n">
        <f aca="false">Model!I16+Model!J16+Model!K16</f>
        <v>-771723</v>
      </c>
      <c r="E13" s="10" t="n">
        <f aca="false">Model!L16+Model!M16+Model!N16</f>
        <v>-771723</v>
      </c>
      <c r="F13" s="10" t="n">
        <f aca="false">Model!O16+Model!P16+Model!Q16</f>
        <v>-787157.46</v>
      </c>
      <c r="G13" s="10" t="n">
        <f aca="false">Model!R16+Model!S16+Model!T16</f>
        <v>-787157.46</v>
      </c>
      <c r="H13" s="10" t="n">
        <f aca="false">Model!U16+Model!V16+Model!W16</f>
        <v>-787157.46</v>
      </c>
      <c r="I13" s="10" t="n">
        <f aca="false">Model!X16+Model!Y16+Model!Z16</f>
        <v>-787157.46</v>
      </c>
      <c r="J13" s="10" t="n">
        <f aca="false">Model!AA16+Model!AB16+Model!AC16</f>
        <v>-802900.6092</v>
      </c>
      <c r="K13" s="10" t="n">
        <f aca="false">Model!AD16+Model!AE16+Model!AF16</f>
        <v>-802900.6092</v>
      </c>
      <c r="L13" s="10" t="n">
        <f aca="false">Model!AG16+Model!AH16+Model!AI16</f>
        <v>-802900.6092</v>
      </c>
      <c r="M13" s="10" t="n">
        <f aca="false">Model!AJ16+Model!AK16+Model!AL16</f>
        <v>-802900.6092</v>
      </c>
      <c r="N13" s="10" t="n">
        <f aca="false">Model!AM16+Model!AN16+Model!AO16</f>
        <v>-818958.621384</v>
      </c>
      <c r="O13" s="10" t="n">
        <f aca="false">Model!AP16+Model!AQ16+Model!AR16</f>
        <v>-818958.621384</v>
      </c>
      <c r="P13" s="10" t="n">
        <f aca="false">Model!AS16+Model!AT16+Model!AU16</f>
        <v>-818958.621384</v>
      </c>
      <c r="Q13" s="10" t="n">
        <f aca="false">Model!AV16+Model!AW16+Model!AX16</f>
        <v>-818958.621384</v>
      </c>
      <c r="R13" s="10" t="n">
        <f aca="false">Model!AY16+Model!AZ16+Model!BA16</f>
        <v>-835337.79381168</v>
      </c>
      <c r="S13" s="10" t="n">
        <f aca="false">Model!BB16+Model!BC16+Model!BD16</f>
        <v>-835337.79381168</v>
      </c>
      <c r="T13" s="10" t="n">
        <f aca="false">Model!BE16+Model!BF16+Model!BG16</f>
        <v>-835337.79381168</v>
      </c>
      <c r="U13" s="10" t="n">
        <f aca="false">Model!BH16+Model!BI16+Model!BJ16</f>
        <v>-835337.79381168</v>
      </c>
      <c r="V13" s="10" t="n">
        <f aca="false">Model!BK16+Model!BL16+Model!BM16</f>
        <v>-852044.549687914</v>
      </c>
      <c r="W13" s="10" t="n">
        <f aca="false">Model!BN16+Model!BO16+Model!BP16</f>
        <v>-852044.549687914</v>
      </c>
      <c r="X13" s="10" t="n">
        <f aca="false">Model!BQ16+Model!BR16+Model!BS16</f>
        <v>-852044.549687914</v>
      </c>
      <c r="Y13" s="10" t="n">
        <f aca="false">Model!BT16+Model!BU16+Model!BV16</f>
        <v>-852044.549687914</v>
      </c>
      <c r="Z13" s="10" t="n">
        <f aca="false">Model!BW16+Model!BX16+Model!BY16</f>
        <v>-869085.440681672</v>
      </c>
      <c r="AA13" s="10" t="n">
        <f aca="false">Model!BZ16+Model!CA16+Model!CB16</f>
        <v>-869085.440681672</v>
      </c>
      <c r="AB13" s="10" t="n">
        <f aca="false">Model!CC16+Model!CD16+Model!CE16</f>
        <v>-869085.440681672</v>
      </c>
      <c r="AC13" s="10" t="n">
        <f aca="false">Model!CF16+Model!CG16+Model!CH16</f>
        <v>-869085.440681672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-1574393.1202</v>
      </c>
      <c r="D15" s="12" t="n">
        <f aca="false">Model!I38+Model!J38+Model!K38</f>
        <v>-1631858.649</v>
      </c>
      <c r="E15" s="12" t="n">
        <f aca="false">Model!L38+Model!M38+Model!N38</f>
        <v>-1256426.605</v>
      </c>
      <c r="F15" s="12" t="n">
        <f aca="false">Model!O38+Model!P38+Model!Q38</f>
        <v>-2752725.1621</v>
      </c>
      <c r="G15" s="12" t="n">
        <f aca="false">Model!R38+Model!S38+Model!T38</f>
        <v>-1774903.7071</v>
      </c>
      <c r="H15" s="12" t="n">
        <f aca="false">Model!U38+Model!V38+Model!W38</f>
        <v>-1774903.7071</v>
      </c>
      <c r="I15" s="12" t="n">
        <f aca="false">Model!X38+Model!Y38+Model!Z38</f>
        <v>-1281555.1371</v>
      </c>
      <c r="J15" s="12" t="n">
        <f aca="false">Model!AA38+Model!AB38+Model!AC38</f>
        <v>-2651211.779842</v>
      </c>
      <c r="K15" s="12" t="n">
        <f aca="false">Model!AD38+Model!AE38+Model!AF38</f>
        <v>-1307186.239842</v>
      </c>
      <c r="L15" s="12" t="n">
        <f aca="false">Model!AG38+Model!AH38+Model!AI38</f>
        <v>-1307186.239842</v>
      </c>
      <c r="M15" s="12" t="n">
        <f aca="false">Model!AJ38+Model!AK38+Model!AL38</f>
        <v>-1307186.239842</v>
      </c>
      <c r="N15" s="12" t="n">
        <f aca="false">Model!AM38+Model!AN38+Model!AO38</f>
        <v>-1333329.96463884</v>
      </c>
      <c r="O15" s="12" t="n">
        <f aca="false">Model!AP38+Model!AQ38+Model!AR38</f>
        <v>-1333329.96463884</v>
      </c>
      <c r="P15" s="12" t="n">
        <f aca="false">Model!AS38+Model!AT38+Model!AU38</f>
        <v>-1333329.96463884</v>
      </c>
      <c r="Q15" s="12" t="n">
        <f aca="false">Model!AV38+Model!AW38+Model!AX38</f>
        <v>-1333329.96463884</v>
      </c>
      <c r="R15" s="12" t="n">
        <f aca="false">Model!AY38+Model!AZ38+Model!BA38</f>
        <v>-1359996.56393162</v>
      </c>
      <c r="S15" s="12" t="n">
        <f aca="false">Model!BB38+Model!BC38+Model!BD38</f>
        <v>-1359996.56393162</v>
      </c>
      <c r="T15" s="12" t="n">
        <f aca="false">Model!BE38+Model!BF38+Model!BG38</f>
        <v>-1359996.56393162</v>
      </c>
      <c r="U15" s="12" t="n">
        <f aca="false">Model!BH38+Model!BI38+Model!BJ38</f>
        <v>-1359996.56393162</v>
      </c>
      <c r="V15" s="12" t="n">
        <f aca="false">Model!BK38+Model!BL38+Model!BM38</f>
        <v>-1387196.49521025</v>
      </c>
      <c r="W15" s="12" t="n">
        <f aca="false">Model!BN38+Model!BO38+Model!BP38</f>
        <v>-1387196.49521025</v>
      </c>
      <c r="X15" s="12" t="n">
        <f aca="false">Model!BQ38+Model!BR38+Model!BS38</f>
        <v>-1387196.49521025</v>
      </c>
      <c r="Y15" s="12" t="n">
        <f aca="false">Model!BT38+Model!BU38+Model!BV38</f>
        <v>-1387196.49521025</v>
      </c>
      <c r="Z15" s="12" t="n">
        <f aca="false">Model!BW38+Model!BX38+Model!BY38</f>
        <v>-1414940.42511445</v>
      </c>
      <c r="AA15" s="12" t="n">
        <f aca="false">Model!BZ38+Model!CA38+Model!CB38</f>
        <v>-1414940.42511445</v>
      </c>
      <c r="AB15" s="12" t="n">
        <f aca="false">Model!CC38+Model!CD38+Model!CE38</f>
        <v>-1414940.42511445</v>
      </c>
      <c r="AC15" s="12" t="n">
        <f aca="false">Model!CF38+Model!CG38+Model!CH38</f>
        <v>-1414940.42511445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780986.550756938</v>
      </c>
      <c r="D16" s="16" t="n">
        <f aca="false">Model!I40+Model!J40+Model!K40</f>
        <v>1405263.24751116</v>
      </c>
      <c r="E16" s="16" t="n">
        <f aca="false">Model!L40+Model!M40+Model!N40</f>
        <v>999089.392458134</v>
      </c>
      <c r="F16" s="16" t="n">
        <f aca="false">Model!O40+Model!P40+Model!Q40</f>
        <v>696187.498994497</v>
      </c>
      <c r="G16" s="16" t="n">
        <f aca="false">Model!R40+Model!S40+Model!T40</f>
        <v>671255.216482536</v>
      </c>
      <c r="H16" s="16" t="n">
        <f aca="false">Model!U40+Model!V40+Model!W40</f>
        <v>757081.032272009</v>
      </c>
      <c r="I16" s="16" t="n">
        <f aca="false">Model!X40+Model!Y40+Model!Z40</f>
        <v>992427.104377272</v>
      </c>
      <c r="J16" s="16" t="n">
        <f aca="false">Model!AA40+Model!AB40+Model!AC40</f>
        <v>236748.571619323</v>
      </c>
      <c r="K16" s="16" t="n">
        <f aca="false">Model!AD40+Model!AE40+Model!AF40</f>
        <v>1192253.44661135</v>
      </c>
      <c r="L16" s="16" t="n">
        <f aca="false">Model!AG40+Model!AH40+Model!AI40</f>
        <v>990895.44471741</v>
      </c>
      <c r="M16" s="16" t="n">
        <f aca="false">Model!AJ40+Model!AK40+Model!AL40</f>
        <v>220360.204535991</v>
      </c>
      <c r="N16" s="16" t="n">
        <f aca="false">Model!AM40+Model!AN40+Model!AO40</f>
        <v>-258206.640476161</v>
      </c>
      <c r="O16" s="16" t="n">
        <f aca="false">Model!AP40+Model!AQ40+Model!AR40</f>
        <v>-348995.851002477</v>
      </c>
      <c r="P16" s="16" t="n">
        <f aca="false">Model!AS40+Model!AT40+Model!AU40</f>
        <v>-863390.96463884</v>
      </c>
      <c r="Q16" s="16" t="n">
        <f aca="false">Model!AV40+Model!AW40+Model!AX40</f>
        <v>-863390.96463884</v>
      </c>
      <c r="R16" s="16" t="n">
        <f aca="false">Model!AY40+Model!AZ40+Model!BA40</f>
        <v>-890057.563931617</v>
      </c>
      <c r="S16" s="16" t="n">
        <f aca="false">Model!BB40+Model!BC40+Model!BD40</f>
        <v>-890057.563931617</v>
      </c>
      <c r="T16" s="16" t="n">
        <f aca="false">Model!BE40+Model!BF40+Model!BG40</f>
        <v>-1046703.89726495</v>
      </c>
      <c r="U16" s="16" t="n">
        <f aca="false">Model!BH40+Model!BI40+Model!BJ40</f>
        <v>-1359996.56393162</v>
      </c>
      <c r="V16" s="16" t="n">
        <f aca="false">Model!BK40+Model!BL40+Model!BM40</f>
        <v>-1387196.49521025</v>
      </c>
      <c r="W16" s="16" t="n">
        <f aca="false">Model!BN40+Model!BO40+Model!BP40</f>
        <v>-1387196.49521025</v>
      </c>
      <c r="X16" s="16" t="n">
        <f aca="false">Model!BQ40+Model!BR40+Model!BS40</f>
        <v>-1387196.49521025</v>
      </c>
      <c r="Y16" s="16" t="n">
        <f aca="false">Model!BT40+Model!BU40+Model!BV40</f>
        <v>-1387196.49521025</v>
      </c>
      <c r="Z16" s="16" t="n">
        <f aca="false">Model!BW40+Model!BX40+Model!BY40</f>
        <v>-1414940.42511445</v>
      </c>
      <c r="AA16" s="16" t="n">
        <f aca="false">Model!BZ40+Model!CA40+Model!CB40</f>
        <v>-1414940.42511445</v>
      </c>
      <c r="AB16" s="16" t="n">
        <f aca="false">Model!CC40+Model!CD40+Model!CE40</f>
        <v>-1414940.42511445</v>
      </c>
      <c r="AC16" s="16" t="n">
        <f aca="false">Model!CF40+Model!CG40+Model!CH40</f>
        <v>-1414940.42511445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0.331575652276748</v>
      </c>
      <c r="D17" s="17" t="n">
        <f aca="false">IF((Model!I12+Model!J12+Model!K12)&lt;&gt;0,(Model!I40+Model!J40+Model!K40)/(Model!I12+Model!J12+Model!K12),0)</f>
        <v>0.462695701850306</v>
      </c>
      <c r="E17" s="17" t="n">
        <f aca="false">IF((Model!L12+Model!M12+Model!N12)&lt;&gt;0,(Model!L40+Model!M40+Model!N40)/(Model!L12+Model!M12+Model!N12),0)</f>
        <v>0.442953804621232</v>
      </c>
      <c r="F17" s="17" t="n">
        <f aca="false">IF((Model!O12+Model!P12+Model!Q12)&lt;&gt;0,(Model!O40+Model!P40+Model!Q40)/(Model!O12+Model!P12+Model!Q12),0)</f>
        <v>0.201857097411555</v>
      </c>
      <c r="G17" s="17" t="n">
        <f aca="false">IF((Model!R12+Model!S12+Model!T12)&lt;&gt;0,(Model!R40+Model!S40+Model!T40)/(Model!R12+Model!S12+Model!T12),0)</f>
        <v>0.274411940291862</v>
      </c>
      <c r="H17" s="17" t="n">
        <f aca="false">IF((Model!U12+Model!V12+Model!W12)&lt;&gt;0,(Model!U40+Model!V40+Model!W40)/(Model!U12+Model!V12+Model!W12),0)</f>
        <v>0.299006949172917</v>
      </c>
      <c r="I17" s="17" t="n">
        <f aca="false">IF((Model!X12+Model!Y12+Model!Z12)&lt;&gt;0,(Model!X40+Model!Y40+Model!Z40)/(Model!X12+Model!Y12+Model!Z12),0)</f>
        <v>0.436426936972274</v>
      </c>
      <c r="J17" s="17" t="n">
        <f aca="false">IF((Model!AA12+Model!AB12+Model!AC12)&lt;&gt;0,(Model!AA40+Model!AB40+Model!AC40)/(Model!AA12+Model!AB12+Model!AC12),0)</f>
        <v>0.0819777776725804</v>
      </c>
      <c r="K17" s="17" t="n">
        <f aca="false">IF((Model!AD12+Model!AE12+Model!AF12)&lt;&gt;0,(Model!AD40+Model!AE40+Model!AF40)/(Model!AD12+Model!AE12+Model!AF12),0)</f>
        <v>0.477008288326865</v>
      </c>
      <c r="L17" s="17" t="n">
        <f aca="false">IF((Model!AG12+Model!AH12+Model!AI12)&lt;&gt;0,(Model!AG40+Model!AH40+Model!AI40)/(Model!AG12+Model!AH12+Model!AI12),0)</f>
        <v>0.431183735275879</v>
      </c>
      <c r="M17" s="17" t="n">
        <f aca="false">IF((Model!AJ12+Model!AK12+Model!AL12)&lt;&gt;0,(Model!AJ40+Model!AK40+Model!AL40)/(Model!AJ12+Model!AK12+Model!AL12),0)</f>
        <v>0.14425761347356</v>
      </c>
      <c r="N17" s="17" t="n">
        <f aca="false">IF((Model!AM12+Model!AN12+Model!AO12)&lt;&gt;0,(Model!AM40+Model!AN40+Model!AO40)/(Model!AM12+Model!AN12+Model!AO12),0)</f>
        <v>-0.240164671971242</v>
      </c>
      <c r="O17" s="17" t="n">
        <f aca="false">IF((Model!AP12+Model!AQ12+Model!AR12)&lt;&gt;0,(Model!AP40+Model!AQ40+Model!AR40)/(Model!AP12+Model!AQ12+Model!AR12),0)</f>
        <v>-0.354550194052712</v>
      </c>
      <c r="P17" s="17" t="n">
        <f aca="false">IF((Model!AS12+Model!AT12+Model!AU12)&lt;&gt;0,(Model!AS40+Model!AT40+Model!AU40)/(Model!AS12+Model!AT12+Model!AU12),0)</f>
        <v>-1.83724050278619</v>
      </c>
      <c r="Q17" s="17" t="n">
        <f aca="false">IF((Model!AV12+Model!AW12+Model!AX12)&lt;&gt;0,(Model!AV40+Model!AW40+Model!AX40)/(Model!AV12+Model!AW12+Model!AX12),0)</f>
        <v>-1.83724050278619</v>
      </c>
      <c r="R17" s="17" t="n">
        <f aca="false">IF((Model!AY12+Model!AZ12+Model!BA12)&lt;&gt;0,(Model!AY40+Model!AZ40+Model!BA40)/(Model!AY12+Model!AZ12+Model!BA12),0)</f>
        <v>-1.89398531284192</v>
      </c>
      <c r="S17" s="17" t="n">
        <f aca="false">IF((Model!BB12+Model!BC12+Model!BD12)&lt;&gt;0,(Model!BB40+Model!BC40+Model!BD40)/(Model!BB12+Model!BC12+Model!BD12),0)</f>
        <v>-1.89398531284192</v>
      </c>
      <c r="T17" s="17" t="n">
        <f aca="false">IF((Model!BE12+Model!BF12+Model!BG12)&lt;&gt;0,(Model!BE40+Model!BF40+Model!BG40)/(Model!BE12+Model!BF12+Model!BG12),0)</f>
        <v>-3.34097796926287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Model!C63+Model!D63+Model!E63</f>
        <v>130843.74</v>
      </c>
      <c r="C19" s="19" t="n">
        <f aca="false">Model!F63+Model!G63+Model!H63</f>
        <v>130010.41</v>
      </c>
      <c r="D19" s="19" t="n">
        <f aca="false">Model!I63+Model!J63+Model!K63</f>
        <v>109593.75</v>
      </c>
      <c r="E19" s="19" t="n">
        <f aca="false">Model!L63+Model!M63+Model!N63</f>
        <v>136614.2412</v>
      </c>
      <c r="F19" s="19" t="n">
        <f aca="false">Model!O63+Model!P63+Model!Q63</f>
        <v>136614.2412</v>
      </c>
      <c r="G19" s="19" t="n">
        <f aca="false">Model!R63+Model!S63+Model!T63</f>
        <v>126827.8656</v>
      </c>
      <c r="H19" s="19" t="n">
        <f aca="false">Model!U63+Model!V63+Model!W63</f>
        <v>333353.2144</v>
      </c>
      <c r="I19" s="19" t="n">
        <f aca="false">Model!X63+Model!Y63+Model!Z63</f>
        <v>482503.5568</v>
      </c>
      <c r="J19" s="19" t="n">
        <f aca="false">Model!AA63+Model!AB63+Model!AC63</f>
        <v>660486.1424</v>
      </c>
      <c r="K19" s="19" t="n">
        <f aca="false">Model!AD63+Model!AE63+Model!AF63</f>
        <v>540502.3168</v>
      </c>
      <c r="L19" s="19" t="n">
        <f aca="false">Model!AG63+Model!AH63+Model!AI63</f>
        <v>533079.5136</v>
      </c>
      <c r="M19" s="19" t="n">
        <f aca="false">Model!AJ63+Model!AK63+Model!AL63</f>
        <v>471295.4304</v>
      </c>
      <c r="N19" s="19" t="n">
        <f aca="false">Model!AM63+Model!AN63+Model!AO63</f>
        <v>326650.016</v>
      </c>
      <c r="O19" s="19" t="n">
        <f aca="false">Model!AP63+Model!AQ63+Model!AR63</f>
        <v>263687.608</v>
      </c>
      <c r="P19" s="19" t="n">
        <f aca="false">Model!AS63+Model!AT63+Model!AU63</f>
        <v>304793.712</v>
      </c>
      <c r="Q19" s="19" t="n">
        <f aca="false">Model!AV63+Model!AW63+Model!AX63</f>
        <v>219930.2112</v>
      </c>
      <c r="R19" s="19" t="n">
        <f aca="false">Model!AY63+Model!AZ63+Model!BA63</f>
        <v>1067264.264</v>
      </c>
      <c r="S19" s="19" t="n">
        <f aca="false">Model!BB63+Model!BC63+Model!BD63</f>
        <v>260116.3104</v>
      </c>
      <c r="T19" s="19" t="n">
        <f aca="false">Model!BE63+Model!BF63+Model!BG63</f>
        <v>255609.3632</v>
      </c>
      <c r="U19" s="19" t="n">
        <f aca="false">Model!BH63+Model!BI63+Model!BJ63</f>
        <v>406482.0928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-381693.75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-251683.34</v>
      </c>
      <c r="D21" s="16" t="n">
        <f aca="false">Model!I86+Model!J86+Model!K86</f>
        <v>-270100</v>
      </c>
      <c r="E21" s="16" t="n">
        <f aca="false">Model!L86+Model!M86+Model!N86</f>
        <v>-222079.5088</v>
      </c>
      <c r="F21" s="16" t="n">
        <f aca="false">Model!O86+Model!P86+Model!Q86</f>
        <v>-229253.3838</v>
      </c>
      <c r="G21" s="16" t="n">
        <f aca="false">Model!R86+Model!S86+Model!T86</f>
        <v>-262499.7594</v>
      </c>
      <c r="H21" s="16" t="n">
        <f aca="false">Model!U86+Model!V86+Model!W86</f>
        <v>-53934.4106</v>
      </c>
      <c r="I21" s="16" t="n">
        <f aca="false">Model!X86+Model!Y86+Model!Z86</f>
        <v>116635.9318</v>
      </c>
      <c r="J21" s="16" t="n">
        <f aca="false">Model!AA86+Model!AB86+Model!AC86</f>
        <v>287301.1649</v>
      </c>
      <c r="K21" s="16" t="n">
        <f aca="false">Model!AD86+Model!AE86+Model!AF86</f>
        <v>143388.1393</v>
      </c>
      <c r="L21" s="16" t="n">
        <f aca="false">Model!AG86+Model!AH86+Model!AI86</f>
        <v>138046.1361</v>
      </c>
      <c r="M21" s="16" t="n">
        <f aca="false">Model!AJ86+Model!AK86+Model!AL86</f>
        <v>98110.4529</v>
      </c>
      <c r="N21" s="16" t="n">
        <f aca="false">Model!AM86+Model!AN86+Model!AO86</f>
        <v>-53998.66105</v>
      </c>
      <c r="O21" s="16" t="n">
        <f aca="false">Model!AP86+Model!AQ86+Model!AR86</f>
        <v>-223051.85305</v>
      </c>
      <c r="P21" s="16" t="n">
        <f aca="false">Model!AS86+Model!AT86+Model!AU86</f>
        <v>-179822.33305</v>
      </c>
      <c r="Q21" s="16" t="n">
        <f aca="false">Model!AV86+Model!AW86+Model!AX86</f>
        <v>-242400.46585</v>
      </c>
      <c r="R21" s="16" t="n">
        <f aca="false">Model!AY86+Model!AZ86+Model!BA86</f>
        <v>-254518.386591</v>
      </c>
      <c r="S21" s="16" t="n">
        <f aca="false">Model!BB86+Model!BC86+Model!BD86</f>
        <v>-283919.279871</v>
      </c>
      <c r="T21" s="16" t="n">
        <f aca="false">Model!BE86+Model!BF86+Model!BG86</f>
        <v>-286259.362751</v>
      </c>
      <c r="U21" s="16" t="n">
        <f aca="false">Model!BH86+Model!BI86+Model!BJ86</f>
        <v>-112655.557791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529303.210756938</v>
      </c>
      <c r="D23" s="16" t="n">
        <f aca="false">Model!I95+Model!J95+Model!K95</f>
        <v>1135163.24751116</v>
      </c>
      <c r="E23" s="16" t="n">
        <f aca="false">Model!L95+Model!M95+Model!N95</f>
        <v>777009.883658134</v>
      </c>
      <c r="F23" s="16" t="n">
        <f aca="false">Model!O95+Model!P95+Model!Q95</f>
        <v>466934.115194497</v>
      </c>
      <c r="G23" s="16" t="n">
        <f aca="false">Model!R95+Model!S95+Model!T95</f>
        <v>408755.457082536</v>
      </c>
      <c r="H23" s="16" t="n">
        <f aca="false">Model!U95+Model!V95+Model!W95</f>
        <v>703146.621672009</v>
      </c>
      <c r="I23" s="16" t="n">
        <f aca="false">Model!X95+Model!Y95+Model!Z95</f>
        <v>1109063.03617727</v>
      </c>
      <c r="J23" s="16" t="n">
        <f aca="false">Model!AA95+Model!AB95+Model!AC95</f>
        <v>524049.736519323</v>
      </c>
      <c r="K23" s="16" t="n">
        <f aca="false">Model!AD95+Model!AE95+Model!AF95</f>
        <v>1335641.58591135</v>
      </c>
      <c r="L23" s="16" t="n">
        <f aca="false">Model!AG95+Model!AH95+Model!AI95</f>
        <v>1128941.58081741</v>
      </c>
      <c r="M23" s="16" t="n">
        <f aca="false">Model!AJ95+Model!AK95+Model!AL95</f>
        <v>318470.65743599</v>
      </c>
      <c r="N23" s="16" t="n">
        <f aca="false">Model!AM95+Model!AN95+Model!AO95</f>
        <v>-312205.301526161</v>
      </c>
      <c r="O23" s="16" t="n">
        <f aca="false">Model!AP95+Model!AQ95+Model!AR95</f>
        <v>-572047.704052477</v>
      </c>
      <c r="P23" s="16" t="n">
        <f aca="false">Model!AS95+Model!AT95+Model!AU95</f>
        <v>-1043213.29768884</v>
      </c>
      <c r="Q23" s="16" t="n">
        <f aca="false">Model!AV95+Model!AW95+Model!AX95</f>
        <v>-1105791.43048884</v>
      </c>
      <c r="R23" s="16" t="n">
        <f aca="false">Model!AY95+Model!AZ95+Model!BA95</f>
        <v>-1144575.95052262</v>
      </c>
      <c r="S23" s="16" t="n">
        <f aca="false">Model!BB95+Model!BC95+Model!BD95</f>
        <v>-1173976.84380262</v>
      </c>
      <c r="T23" s="16" t="n">
        <f aca="false">Model!BE95+Model!BF95+Model!BG95</f>
        <v>-1332963.26001595</v>
      </c>
      <c r="U23" s="16" t="n">
        <f aca="false">Model!BH95+Model!BI95+Model!BJ95</f>
        <v>-1472652.12172262</v>
      </c>
      <c r="V23" s="16" t="n">
        <f aca="false">Model!BK95+Model!BL95+Model!BM95</f>
        <v>-1783223.37881307</v>
      </c>
      <c r="W23" s="16" t="n">
        <f aca="false">Model!BN95+Model!BO95+Model!BP95</f>
        <v>-1757103.71728667</v>
      </c>
      <c r="X23" s="16" t="n">
        <f aca="false">Model!BQ95+Model!BR95+Model!BS95</f>
        <v>-1738647.07568027</v>
      </c>
      <c r="Y23" s="16" t="n">
        <f aca="false">Model!BT95+Model!BU95+Model!BV95</f>
        <v>-1715461.37881307</v>
      </c>
      <c r="Z23" s="16" t="n">
        <f aca="false">Model!BW95+Model!BX95+Model!BY95</f>
        <v>-1751125.84638933</v>
      </c>
      <c r="AA23" s="16" t="n">
        <f aca="false">Model!BZ95+Model!CA95+Model!CB95</f>
        <v>-1768290.5820324</v>
      </c>
      <c r="AB23" s="16" t="n">
        <f aca="false">Model!CC95+Model!CD95+Model!CE95</f>
        <v>-1766038.25719387</v>
      </c>
      <c r="AC23" s="16" t="n">
        <f aca="false">Model!CF95+Model!CG95+Model!CH95</f>
        <v>-1735780.81978285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-0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-250000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250000</v>
      </c>
      <c r="N36" s="10" t="n">
        <f aca="false">Model!AO107</f>
        <v>250000</v>
      </c>
      <c r="O36" s="10" t="n">
        <f aca="false">Model!AR107</f>
        <v>250000</v>
      </c>
      <c r="P36" s="10" t="n">
        <f aca="false">Model!AU107</f>
        <v>250000</v>
      </c>
      <c r="Q36" s="10" t="n">
        <f aca="false">Model!AX107</f>
        <v>250000</v>
      </c>
      <c r="R36" s="10" t="n">
        <f aca="false">Model!BA107</f>
        <v>250000</v>
      </c>
      <c r="S36" s="10" t="n">
        <f aca="false">Model!BD107</f>
        <v>250000</v>
      </c>
      <c r="T36" s="10" t="n">
        <f aca="false">Model!BG107</f>
        <v>250000</v>
      </c>
      <c r="U36" s="10" t="n">
        <f aca="false">Model!BJ107</f>
        <v>250000</v>
      </c>
      <c r="V36" s="10" t="n">
        <f aca="false">Model!BM107</f>
        <v>250000</v>
      </c>
      <c r="W36" s="10" t="n">
        <f aca="false">Model!BP107</f>
        <v>250000</v>
      </c>
      <c r="X36" s="10" t="n">
        <f aca="false">Model!BS107</f>
        <v>250000</v>
      </c>
      <c r="Y36" s="10" t="n">
        <f aca="false">Model!BV107</f>
        <v>250000</v>
      </c>
      <c r="Z36" s="10" t="n">
        <f aca="false">Model!BY107</f>
        <v>250000</v>
      </c>
      <c r="AA36" s="10" t="n">
        <f aca="false">Model!CB107</f>
        <v>250000</v>
      </c>
      <c r="AB36" s="10" t="n">
        <f aca="false">Model!CE107</f>
        <v>250000</v>
      </c>
      <c r="AC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2522732.01853206</v>
      </c>
      <c r="D42" s="21" t="n">
        <f aca="false">Model!K147</f>
        <v>3927995.26604322</v>
      </c>
      <c r="E42" s="21" t="n">
        <f aca="false">Model!N147</f>
        <v>4927084.65850136</v>
      </c>
      <c r="F42" s="21" t="n">
        <f aca="false">Model!Q147</f>
        <v>5623272.15749585</v>
      </c>
      <c r="G42" s="21" t="n">
        <f aca="false">Model!T147</f>
        <v>6294527.37397839</v>
      </c>
      <c r="H42" s="21" t="n">
        <f aca="false">Model!W147</f>
        <v>7051608.4062504</v>
      </c>
      <c r="I42" s="21" t="n">
        <f aca="false">Model!Z147</f>
        <v>8044035.51062767</v>
      </c>
      <c r="J42" s="21" t="n">
        <f aca="false">Model!AC147</f>
        <v>8280784.08224699</v>
      </c>
      <c r="K42" s="21" t="n">
        <f aca="false">Model!AF147</f>
        <v>9473037.52885834</v>
      </c>
      <c r="L42" s="21" t="n">
        <f aca="false">Model!AI147</f>
        <v>10463932.9735757</v>
      </c>
      <c r="M42" s="21" t="n">
        <f aca="false">Model!AL147</f>
        <v>10684293.1781117</v>
      </c>
      <c r="N42" s="21" t="n">
        <f aca="false">Model!AO147</f>
        <v>10426086.5376356</v>
      </c>
      <c r="O42" s="21" t="n">
        <f aca="false">Model!AR147</f>
        <v>10077090.6866331</v>
      </c>
      <c r="P42" s="21" t="n">
        <f aca="false">Model!AU147</f>
        <v>9213699.72199426</v>
      </c>
      <c r="Q42" s="21" t="n">
        <f aca="false">Model!AX147</f>
        <v>8350308.75735542</v>
      </c>
      <c r="R42" s="21" t="n">
        <f aca="false">Model!BA147</f>
        <v>7460251.1934238</v>
      </c>
      <c r="S42" s="21" t="n">
        <f aca="false">Model!BD147</f>
        <v>6570193.62949218</v>
      </c>
      <c r="T42" s="21" t="n">
        <f aca="false">Model!BG147</f>
        <v>5523489.73222723</v>
      </c>
      <c r="U42" s="21" t="n">
        <f aca="false">Model!BJ147</f>
        <v>4163493.16829562</v>
      </c>
      <c r="V42" s="21" t="n">
        <f aca="false">Model!BM147</f>
        <v>2776296.67308537</v>
      </c>
      <c r="W42" s="21" t="n">
        <f aca="false">Model!BP147</f>
        <v>1389100.17787512</v>
      </c>
      <c r="X42" s="21" t="n">
        <f aca="false">Model!BS147</f>
        <v>1903.68266486865</v>
      </c>
      <c r="Y42" s="21" t="n">
        <f aca="false">Model!BV147</f>
        <v>-1385292.81254538</v>
      </c>
      <c r="Z42" s="21" t="n">
        <f aca="false">Model!BY147</f>
        <v>-2800233.23765984</v>
      </c>
      <c r="AA42" s="21" t="n">
        <f aca="false">Model!CB147</f>
        <v>-4215173.66277429</v>
      </c>
      <c r="AB42" s="21" t="n">
        <f aca="false">Model!CE147</f>
        <v>-5630114.08788874</v>
      </c>
      <c r="AC42" s="21" t="n">
        <f aca="false">Model!CH147</f>
        <v>-7045054.5130032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-27902.19</v>
      </c>
      <c r="D43" s="21" t="n">
        <f aca="false">Model!K155</f>
        <v>-688002.19</v>
      </c>
      <c r="E43" s="21" t="n">
        <f aca="false">Model!N155</f>
        <v>-1550081.6988</v>
      </c>
      <c r="F43" s="21" t="n">
        <f aca="false">Model!Q155</f>
        <v>-2169335.0826</v>
      </c>
      <c r="G43" s="21" t="n">
        <f aca="false">Model!T155</f>
        <v>-2821834.842</v>
      </c>
      <c r="H43" s="21" t="n">
        <f aca="false">Model!W155</f>
        <v>-3201738.49588545</v>
      </c>
      <c r="I43" s="21" t="n">
        <f aca="false">Model!Z155</f>
        <v>-3335102.56408545</v>
      </c>
      <c r="J43" s="21" t="n">
        <f aca="false">Model!AC155</f>
        <v>-3047801.39918544</v>
      </c>
      <c r="K43" s="21" t="n">
        <f aca="false">Model!AF155</f>
        <v>-2904413.25988545</v>
      </c>
      <c r="L43" s="21" t="n">
        <f aca="false">Model!AI155</f>
        <v>-2766367.12378544</v>
      </c>
      <c r="M43" s="21" t="n">
        <f aca="false">Model!AL155</f>
        <v>-2918256.67088544</v>
      </c>
      <c r="N43" s="21" t="n">
        <f aca="false">Model!AO155</f>
        <v>-2972255.33193544</v>
      </c>
      <c r="O43" s="21" t="n">
        <f aca="false">Model!AR155</f>
        <v>-3195307.18498544</v>
      </c>
      <c r="P43" s="21" t="n">
        <f aca="false">Model!AU155</f>
        <v>-3375129.51803544</v>
      </c>
      <c r="Q43" s="21" t="n">
        <f aca="false">Model!AX155</f>
        <v>-3617529.98388544</v>
      </c>
      <c r="R43" s="21" t="n">
        <f aca="false">Model!BA155</f>
        <v>-3872048.37047644</v>
      </c>
      <c r="S43" s="21" t="n">
        <f aca="false">Model!BD155</f>
        <v>-4155967.65034744</v>
      </c>
      <c r="T43" s="21" t="n">
        <f aca="false">Model!BG155</f>
        <v>-4442227.01309845</v>
      </c>
      <c r="U43" s="21" t="n">
        <f aca="false">Model!BJ155</f>
        <v>-4554882.57088945</v>
      </c>
      <c r="V43" s="21" t="n">
        <f aca="false">Model!BM155</f>
        <v>-4950909.45449227</v>
      </c>
      <c r="W43" s="21" t="n">
        <f aca="false">Model!BP155</f>
        <v>-5320816.67656869</v>
      </c>
      <c r="X43" s="21" t="n">
        <f aca="false">Model!BS155</f>
        <v>-5672267.25703871</v>
      </c>
      <c r="Y43" s="21" t="n">
        <f aca="false">Model!BV155</f>
        <v>-6000532.14064153</v>
      </c>
      <c r="Z43" s="21" t="n">
        <f aca="false">Model!BY155</f>
        <v>-6336717.5619164</v>
      </c>
      <c r="AA43" s="21" t="n">
        <f aca="false">Model!CB155</f>
        <v>-6690067.71883435</v>
      </c>
      <c r="AB43" s="21" t="n">
        <f aca="false">Model!CE155</f>
        <v>-7041165.55091377</v>
      </c>
      <c r="AC43" s="21" t="n">
        <f aca="false">Model!CH155</f>
        <v>-7362005.94558217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-457933.867812966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-706753.823282153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-1229308.78182761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2494829.82853206</v>
      </c>
      <c r="D45" s="23" t="n">
        <f aca="false">Model!K160</f>
        <v>3239993.07604322</v>
      </c>
      <c r="E45" s="23" t="n">
        <f aca="false">Model!N160</f>
        <v>2919069.09188839</v>
      </c>
      <c r="F45" s="23" t="n">
        <f aca="false">Model!Q160</f>
        <v>3453937.07489585</v>
      </c>
      <c r="G45" s="23" t="n">
        <f aca="false">Model!T160</f>
        <v>3472692.53197839</v>
      </c>
      <c r="H45" s="23" t="n">
        <f aca="false">Model!W160</f>
        <v>3849869.91036495</v>
      </c>
      <c r="I45" s="23" t="n">
        <f aca="false">Model!Z160</f>
        <v>4002179.12326007</v>
      </c>
      <c r="J45" s="23" t="n">
        <f aca="false">Model!AC160</f>
        <v>5232982.68306155</v>
      </c>
      <c r="K45" s="23" t="n">
        <f aca="false">Model!AF160</f>
        <v>6568624.2689729</v>
      </c>
      <c r="L45" s="23" t="n">
        <f aca="false">Model!AI160</f>
        <v>7697565.8497903</v>
      </c>
      <c r="M45" s="23" t="n">
        <f aca="false">Model!AL160</f>
        <v>6536727.72539869</v>
      </c>
      <c r="N45" s="23" t="n">
        <f aca="false">Model!AO160</f>
        <v>7453831.20570013</v>
      </c>
      <c r="O45" s="23" t="n">
        <f aca="false">Model!AR160</f>
        <v>6881783.50164765</v>
      </c>
      <c r="P45" s="23" t="n">
        <f aca="false">Model!AU160</f>
        <v>5838570.20395881</v>
      </c>
      <c r="Q45" s="23" t="n">
        <f aca="false">Model!AX160</f>
        <v>4732778.77346997</v>
      </c>
      <c r="R45" s="23" t="n">
        <f aca="false">Model!BA160</f>
        <v>3588202.82294736</v>
      </c>
      <c r="S45" s="23" t="n">
        <f aca="false">Model!BD160</f>
        <v>2414225.97914474</v>
      </c>
      <c r="T45" s="23" t="n">
        <f aca="false">Model!BG160</f>
        <v>1081262.71912879</v>
      </c>
      <c r="U45" s="23" t="n">
        <f aca="false">Model!BJ160</f>
        <v>-391389.402593828</v>
      </c>
      <c r="V45" s="23" t="n">
        <f aca="false">Model!BM160</f>
        <v>-2174612.7814069</v>
      </c>
      <c r="W45" s="23" t="n">
        <f aca="false">Model!BP160</f>
        <v>-3931716.49869357</v>
      </c>
      <c r="X45" s="23" t="n">
        <f aca="false">Model!BS160</f>
        <v>-5670363.57437384</v>
      </c>
      <c r="Y45" s="23" t="n">
        <f aca="false">Model!BV160</f>
        <v>-7385824.95318691</v>
      </c>
      <c r="Z45" s="23" t="n">
        <f aca="false">Model!BY160</f>
        <v>-9136950.79957624</v>
      </c>
      <c r="AA45" s="23" t="n">
        <f aca="false">Model!CB160</f>
        <v>-10905241.3816086</v>
      </c>
      <c r="AB45" s="23" t="n">
        <f aca="false">Model!CE160</f>
        <v>-12671279.6388025</v>
      </c>
      <c r="AC45" s="23" t="n">
        <f aca="false">Model!CH160</f>
        <v>-14407060.4585854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8" t="n">
        <f aca="false">Model!C51</f>
        <v>9375</v>
      </c>
      <c r="D4" s="68" t="n">
        <f aca="false">Model!D51</f>
        <v>9375</v>
      </c>
      <c r="E4" s="68" t="n">
        <f aca="false">Model!E51</f>
        <v>9375</v>
      </c>
      <c r="F4" s="68" t="n">
        <f aca="false">Model!F51</f>
        <v>9375</v>
      </c>
      <c r="G4" s="68" t="n">
        <f aca="false">Model!G51</f>
        <v>9375</v>
      </c>
      <c r="H4" s="68" t="n">
        <f aca="false">Model!H51</f>
        <v>9375</v>
      </c>
      <c r="I4" s="68" t="n">
        <f aca="false">Model!I51</f>
        <v>9375</v>
      </c>
      <c r="J4" s="68" t="n">
        <f aca="false">Model!J51</f>
        <v>0</v>
      </c>
      <c r="K4" s="68" t="n">
        <f aca="false">Model!K51</f>
        <v>0</v>
      </c>
      <c r="L4" s="68" t="n">
        <f aca="false">Model!L51</f>
        <v>0</v>
      </c>
      <c r="M4" s="68" t="n">
        <f aca="false">Model!M51</f>
        <v>0</v>
      </c>
      <c r="N4" s="68" t="n">
        <f aca="false">Model!N51</f>
        <v>0</v>
      </c>
      <c r="O4" s="68" t="n">
        <f aca="false">Model!O51</f>
        <v>0</v>
      </c>
      <c r="P4" s="68" t="n">
        <f aca="false">Model!P51</f>
        <v>0</v>
      </c>
      <c r="Q4" s="68" t="n">
        <f aca="false">Model!Q51</f>
        <v>0</v>
      </c>
      <c r="R4" s="68" t="n">
        <f aca="false">Model!R51</f>
        <v>0</v>
      </c>
      <c r="S4" s="68" t="n">
        <f aca="false">Model!S51</f>
        <v>0</v>
      </c>
      <c r="T4" s="68" t="n">
        <f aca="false">Model!T51</f>
        <v>0</v>
      </c>
      <c r="U4" s="68" t="n">
        <f aca="false">Model!U51</f>
        <v>0</v>
      </c>
      <c r="V4" s="68" t="n">
        <f aca="false">Model!V51</f>
        <v>0</v>
      </c>
      <c r="W4" s="68" t="n">
        <f aca="false">Model!W51</f>
        <v>0</v>
      </c>
      <c r="X4" s="68" t="n">
        <f aca="false">Model!X51</f>
        <v>0</v>
      </c>
      <c r="Y4" s="68" t="n">
        <f aca="false">Model!Y51</f>
        <v>0</v>
      </c>
      <c r="Z4" s="68" t="n">
        <f aca="false">Model!Z51</f>
        <v>0</v>
      </c>
      <c r="AA4" s="68" t="n">
        <f aca="false">Model!AA51</f>
        <v>0</v>
      </c>
      <c r="AB4" s="68" t="n">
        <f aca="false">Model!AB51</f>
        <v>0</v>
      </c>
      <c r="AC4" s="68" t="n">
        <f aca="false">Model!AC51</f>
        <v>0</v>
      </c>
      <c r="AD4" s="68" t="n">
        <f aca="false">Model!AD51</f>
        <v>0</v>
      </c>
      <c r="AE4" s="68" t="n">
        <f aca="false">Model!AE51</f>
        <v>0</v>
      </c>
      <c r="AF4" s="68" t="n">
        <f aca="false">Model!AF51</f>
        <v>0</v>
      </c>
      <c r="AG4" s="68" t="n">
        <f aca="false">Model!AG51</f>
        <v>0</v>
      </c>
      <c r="AH4" s="68" t="n">
        <f aca="false">Model!AH51</f>
        <v>0</v>
      </c>
      <c r="AI4" s="68" t="n">
        <f aca="false">Model!AI51</f>
        <v>0</v>
      </c>
      <c r="AJ4" s="68" t="n">
        <f aca="false">Model!AJ51</f>
        <v>0</v>
      </c>
      <c r="AK4" s="68" t="n">
        <f aca="false">Model!AK51</f>
        <v>0</v>
      </c>
      <c r="AL4" s="68" t="n">
        <f aca="false">Model!AL51</f>
        <v>0</v>
      </c>
      <c r="AM4" s="68" t="n">
        <f aca="false">Model!AM51</f>
        <v>0</v>
      </c>
      <c r="AN4" s="68" t="n">
        <f aca="false">Model!AN51</f>
        <v>0</v>
      </c>
      <c r="AO4" s="68" t="n">
        <f aca="false">Model!AO51</f>
        <v>0</v>
      </c>
      <c r="AP4" s="68" t="n">
        <f aca="false">Model!AP51</f>
        <v>0</v>
      </c>
      <c r="AQ4" s="68" t="n">
        <f aca="false">Model!AQ51</f>
        <v>0</v>
      </c>
      <c r="AR4" s="68" t="n">
        <f aca="false">Model!AR51</f>
        <v>0</v>
      </c>
      <c r="AS4" s="68" t="n">
        <f aca="false">Model!AS51</f>
        <v>0</v>
      </c>
      <c r="AT4" s="68" t="n">
        <f aca="false">Model!AT51</f>
        <v>0</v>
      </c>
      <c r="AU4" s="68" t="n">
        <f aca="false">Model!AU51</f>
        <v>0</v>
      </c>
      <c r="AV4" s="68" t="n">
        <f aca="false">Model!AV51</f>
        <v>0</v>
      </c>
      <c r="AW4" s="68" t="n">
        <f aca="false">Model!AW51</f>
        <v>0</v>
      </c>
      <c r="AX4" s="68" t="n">
        <f aca="false">Model!AX51</f>
        <v>0</v>
      </c>
      <c r="AY4" s="68" t="n">
        <f aca="false">Model!AY51</f>
        <v>0</v>
      </c>
      <c r="AZ4" s="68" t="n">
        <f aca="false">Model!AZ51</f>
        <v>0</v>
      </c>
      <c r="BA4" s="68" t="n">
        <f aca="false">Model!BA51</f>
        <v>0</v>
      </c>
      <c r="BB4" s="68" t="n">
        <f aca="false">Model!BB51</f>
        <v>0</v>
      </c>
      <c r="BC4" s="68" t="n">
        <f aca="false">Model!BC51</f>
        <v>0</v>
      </c>
      <c r="BD4" s="68" t="n">
        <f aca="false">Model!BD51</f>
        <v>0</v>
      </c>
      <c r="BE4" s="68" t="n">
        <f aca="false">Model!BE51</f>
        <v>0</v>
      </c>
      <c r="BF4" s="68" t="n">
        <f aca="false">Model!BF51</f>
        <v>0</v>
      </c>
      <c r="BG4" s="68" t="n">
        <f aca="false">Model!BG51</f>
        <v>0</v>
      </c>
      <c r="BH4" s="68" t="n">
        <f aca="false">Model!BH51</f>
        <v>0</v>
      </c>
      <c r="BI4" s="68" t="n">
        <f aca="false">Model!BI51</f>
        <v>0</v>
      </c>
      <c r="BJ4" s="68" t="n">
        <f aca="false">Model!BJ51</f>
        <v>0</v>
      </c>
      <c r="BK4" s="68" t="n">
        <f aca="false">Model!BK51</f>
        <v>0</v>
      </c>
      <c r="BL4" s="68" t="n">
        <f aca="false">Model!BL51</f>
        <v>0</v>
      </c>
      <c r="BM4" s="68" t="n">
        <f aca="false">Model!BM51</f>
        <v>0</v>
      </c>
      <c r="BN4" s="68" t="n">
        <f aca="false">Model!BN51</f>
        <v>0</v>
      </c>
      <c r="BO4" s="68" t="n">
        <f aca="false">Model!BO51</f>
        <v>0</v>
      </c>
      <c r="BP4" s="68" t="n">
        <f aca="false">Model!BP51</f>
        <v>0</v>
      </c>
      <c r="BQ4" s="68" t="n">
        <f aca="false">Model!BQ51</f>
        <v>0</v>
      </c>
      <c r="BR4" s="68" t="n">
        <f aca="false">Model!BR51</f>
        <v>0</v>
      </c>
      <c r="BS4" s="68" t="n">
        <f aca="false">Model!BS51</f>
        <v>0</v>
      </c>
      <c r="BT4" s="68" t="n">
        <f aca="false">Model!BT51</f>
        <v>0</v>
      </c>
      <c r="BU4" s="68" t="n">
        <f aca="false">Model!BU51</f>
        <v>0</v>
      </c>
      <c r="BV4" s="68" t="n">
        <f aca="false">Model!BV51</f>
        <v>0</v>
      </c>
      <c r="BW4" s="68" t="n">
        <f aca="false">Model!BW51</f>
        <v>0</v>
      </c>
      <c r="BX4" s="68" t="n">
        <f aca="false">Model!BX51</f>
        <v>0</v>
      </c>
      <c r="BY4" s="68" t="n">
        <f aca="false">Model!BY51</f>
        <v>0</v>
      </c>
      <c r="BZ4" s="68" t="n">
        <f aca="false">Model!BZ51</f>
        <v>0</v>
      </c>
      <c r="CA4" s="68" t="n">
        <f aca="false">Model!CA51</f>
        <v>0</v>
      </c>
      <c r="CB4" s="68" t="n">
        <f aca="false">Model!CB51</f>
        <v>0</v>
      </c>
      <c r="CC4" s="68" t="n">
        <f aca="false">Model!CC51</f>
        <v>0</v>
      </c>
      <c r="CD4" s="68" t="n">
        <f aca="false">Model!CD51</f>
        <v>0</v>
      </c>
      <c r="CE4" s="68" t="n">
        <f aca="false">Model!CE51</f>
        <v>0</v>
      </c>
      <c r="CF4" s="68" t="n">
        <f aca="false">Model!CF51</f>
        <v>0</v>
      </c>
      <c r="CG4" s="68" t="n">
        <f aca="false">Model!CG51</f>
        <v>0</v>
      </c>
      <c r="CH4" s="68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211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8" t="n">
        <f aca="false">Model!C47+Model!C48+Model!C49+Model!C50</f>
        <v>23906.25</v>
      </c>
      <c r="D9" s="68" t="n">
        <f aca="false">Model!D47+Model!D48+Model!D49+Model!D50</f>
        <v>23906.25</v>
      </c>
      <c r="E9" s="68" t="n">
        <f aca="false">Model!E47+Model!E48+Model!E49+Model!E50</f>
        <v>23906.25</v>
      </c>
      <c r="F9" s="68" t="n">
        <f aca="false">Model!F47+Model!F48+Model!F49+Model!F50</f>
        <v>23906.25</v>
      </c>
      <c r="G9" s="68" t="n">
        <f aca="false">Model!G47+Model!G48+Model!G49+Model!G50</f>
        <v>23906.25</v>
      </c>
      <c r="H9" s="68" t="n">
        <f aca="false">Model!H47+Model!H48+Model!H49+Model!H50</f>
        <v>23906.25</v>
      </c>
      <c r="I9" s="68" t="n">
        <f aca="false">Model!I47+Model!I48+Model!I49+Model!I50</f>
        <v>23906.25</v>
      </c>
      <c r="J9" s="68" t="n">
        <f aca="false">Model!J47+Model!J48+Model!J49+Model!J50</f>
        <v>23906.25</v>
      </c>
      <c r="K9" s="68" t="n">
        <f aca="false">Model!K47+Model!K48+Model!K49+Model!K50</f>
        <v>23906.25</v>
      </c>
      <c r="L9" s="68" t="n">
        <f aca="false">Model!L47+Model!L48+Model!L49+Model!L50</f>
        <v>23906.25</v>
      </c>
      <c r="M9" s="68" t="n">
        <f aca="false">Model!M47+Model!M48+Model!M49+Model!M50</f>
        <v>23906.25</v>
      </c>
      <c r="N9" s="68" t="n">
        <f aca="false">Model!N47+Model!N48+Model!N49+Model!N50</f>
        <v>23906.25</v>
      </c>
      <c r="O9" s="68" t="n">
        <f aca="false">Model!O47+Model!O48+Model!O49+Model!O50</f>
        <v>23906.25</v>
      </c>
      <c r="P9" s="68" t="n">
        <f aca="false">Model!P47+Model!P48+Model!P49+Model!P50</f>
        <v>23906.25</v>
      </c>
      <c r="Q9" s="68" t="n">
        <f aca="false">Model!Q47+Model!Q48+Model!Q49+Model!Q50</f>
        <v>23906.25</v>
      </c>
      <c r="R9" s="68" t="n">
        <f aca="false">Model!R47+Model!R48+Model!R49+Model!R50</f>
        <v>0</v>
      </c>
      <c r="S9" s="68" t="n">
        <f aca="false">Model!S47+Model!S48+Model!S49+Model!S50</f>
        <v>0</v>
      </c>
      <c r="T9" s="68" t="n">
        <f aca="false">Model!T47+Model!T48+Model!T49+Model!T50</f>
        <v>0</v>
      </c>
      <c r="U9" s="68" t="n">
        <f aca="false">Model!U47+Model!U48+Model!U49+Model!U50</f>
        <v>0</v>
      </c>
      <c r="V9" s="68" t="n">
        <f aca="false">Model!V47+Model!V48+Model!V49+Model!V50</f>
        <v>0</v>
      </c>
      <c r="W9" s="68" t="n">
        <f aca="false">Model!W47+Model!W48+Model!W49+Model!W50</f>
        <v>57375</v>
      </c>
      <c r="X9" s="68" t="n">
        <f aca="false">Model!X47+Model!X48+Model!X49+Model!X50</f>
        <v>0</v>
      </c>
      <c r="Y9" s="68" t="n">
        <f aca="false">Model!Y47+Model!Y48+Model!Y49+Model!Y50</f>
        <v>0</v>
      </c>
      <c r="Z9" s="68" t="n">
        <f aca="false">Model!Z47+Model!Z48+Model!Z49+Model!Z50</f>
        <v>57375</v>
      </c>
      <c r="AA9" s="68" t="n">
        <f aca="false">Model!AA47+Model!AA48+Model!AA49+Model!AA50</f>
        <v>0</v>
      </c>
      <c r="AB9" s="68" t="n">
        <f aca="false">Model!AB47+Model!AB48+Model!AB49+Model!AB50</f>
        <v>0</v>
      </c>
      <c r="AC9" s="68" t="n">
        <f aca="false">Model!AC47+Model!AC48+Model!AC49+Model!AC50</f>
        <v>57375</v>
      </c>
      <c r="AD9" s="68" t="n">
        <f aca="false">Model!AD47+Model!AD48+Model!AD49+Model!AD50</f>
        <v>0</v>
      </c>
      <c r="AE9" s="68" t="n">
        <f aca="false">Model!AE47+Model!AE48+Model!AE49+Model!AE50</f>
        <v>0</v>
      </c>
      <c r="AF9" s="68" t="n">
        <f aca="false">Model!AF47+Model!AF48+Model!AF49+Model!AF50</f>
        <v>0</v>
      </c>
      <c r="AG9" s="68" t="n">
        <f aca="false">Model!AG47+Model!AG48+Model!AG49+Model!AG50</f>
        <v>0</v>
      </c>
      <c r="AH9" s="68" t="n">
        <f aca="false">Model!AH47+Model!AH48+Model!AH49+Model!AH50</f>
        <v>0</v>
      </c>
      <c r="AI9" s="68" t="n">
        <f aca="false">Model!AI47+Model!AI48+Model!AI49+Model!AI50</f>
        <v>0</v>
      </c>
      <c r="AJ9" s="68" t="n">
        <f aca="false">Model!AJ47+Model!AJ48+Model!AJ49+Model!AJ50</f>
        <v>0</v>
      </c>
      <c r="AK9" s="68" t="n">
        <f aca="false">Model!AK47+Model!AK48+Model!AK49+Model!AK50</f>
        <v>0</v>
      </c>
      <c r="AL9" s="68" t="n">
        <f aca="false">Model!AL47+Model!AL48+Model!AL49+Model!AL50</f>
        <v>0</v>
      </c>
      <c r="AM9" s="68" t="n">
        <f aca="false">Model!AM47+Model!AM48+Model!AM49+Model!AM50</f>
        <v>0</v>
      </c>
      <c r="AN9" s="68" t="n">
        <f aca="false">Model!AN47+Model!AN48+Model!AN49+Model!AN50</f>
        <v>0</v>
      </c>
      <c r="AO9" s="68" t="n">
        <f aca="false">Model!AO47+Model!AO48+Model!AO49+Model!AO50</f>
        <v>0</v>
      </c>
      <c r="AP9" s="68" t="n">
        <f aca="false">Model!AP47+Model!AP48+Model!AP49+Model!AP50</f>
        <v>0</v>
      </c>
      <c r="AQ9" s="68" t="n">
        <f aca="false">Model!AQ47+Model!AQ48+Model!AQ49+Model!AQ50</f>
        <v>0</v>
      </c>
      <c r="AR9" s="68" t="n">
        <f aca="false">Model!AR47+Model!AR48+Model!AR49+Model!AR50</f>
        <v>0</v>
      </c>
      <c r="AS9" s="68" t="n">
        <f aca="false">Model!AS47+Model!AS48+Model!AS49+Model!AS50</f>
        <v>0</v>
      </c>
      <c r="AT9" s="68" t="n">
        <f aca="false">Model!AT47+Model!AT48+Model!AT49+Model!AT50</f>
        <v>0</v>
      </c>
      <c r="AU9" s="68" t="n">
        <f aca="false">Model!AU47+Model!AU48+Model!AU49+Model!AU50</f>
        <v>0</v>
      </c>
      <c r="AV9" s="68" t="n">
        <f aca="false">Model!AV47+Model!AV48+Model!AV49+Model!AV50</f>
        <v>0</v>
      </c>
      <c r="AW9" s="68" t="n">
        <f aca="false">Model!AW47+Model!AW48+Model!AW49+Model!AW50</f>
        <v>0</v>
      </c>
      <c r="AX9" s="68" t="n">
        <f aca="false">Model!AX47+Model!AX48+Model!AX49+Model!AX50</f>
        <v>0</v>
      </c>
      <c r="AY9" s="68" t="n">
        <f aca="false">Model!AY47+Model!AY48+Model!AY49+Model!AY50</f>
        <v>0</v>
      </c>
      <c r="AZ9" s="68" t="n">
        <f aca="false">Model!AZ47+Model!AZ48+Model!AZ49+Model!AZ50</f>
        <v>0</v>
      </c>
      <c r="BA9" s="68" t="n">
        <f aca="false">Model!BA47+Model!BA48+Model!BA49+Model!BA50</f>
        <v>0</v>
      </c>
      <c r="BB9" s="68" t="n">
        <f aca="false">Model!BB47+Model!BB48+Model!BB49+Model!BB50</f>
        <v>0</v>
      </c>
      <c r="BC9" s="68" t="n">
        <f aca="false">Model!BC47+Model!BC48+Model!BC49+Model!BC50</f>
        <v>0</v>
      </c>
      <c r="BD9" s="68" t="n">
        <f aca="false">Model!BD47+Model!BD48+Model!BD49+Model!BD50</f>
        <v>0</v>
      </c>
      <c r="BE9" s="68" t="n">
        <f aca="false">Model!BE47+Model!BE48+Model!BE49+Model!BE50</f>
        <v>0</v>
      </c>
      <c r="BF9" s="68" t="n">
        <f aca="false">Model!BF47+Model!BF48+Model!BF49+Model!BF50</f>
        <v>0</v>
      </c>
      <c r="BG9" s="68" t="n">
        <f aca="false">Model!BG47+Model!BG48+Model!BG49+Model!BG50</f>
        <v>0</v>
      </c>
      <c r="BH9" s="68" t="n">
        <f aca="false">Model!BH47+Model!BH48+Model!BH49+Model!BH50</f>
        <v>0</v>
      </c>
      <c r="BI9" s="68" t="n">
        <f aca="false">Model!BI47+Model!BI48+Model!BI49+Model!BI50</f>
        <v>0</v>
      </c>
      <c r="BJ9" s="68" t="n">
        <f aca="false">Model!BJ47+Model!BJ48+Model!BJ49+Model!BJ50</f>
        <v>0</v>
      </c>
      <c r="BK9" s="68" t="n">
        <f aca="false">Model!BK47+Model!BK48+Model!BK49+Model!BK50</f>
        <v>0</v>
      </c>
      <c r="BL9" s="68" t="n">
        <f aca="false">Model!BL47+Model!BL48+Model!BL49+Model!BL50</f>
        <v>0</v>
      </c>
      <c r="BM9" s="68" t="n">
        <f aca="false">Model!BM47+Model!BM48+Model!BM49+Model!BM50</f>
        <v>0</v>
      </c>
      <c r="BN9" s="68" t="n">
        <f aca="false">Model!BN47+Model!BN48+Model!BN49+Model!BN50</f>
        <v>0</v>
      </c>
      <c r="BO9" s="68" t="n">
        <f aca="false">Model!BO47+Model!BO48+Model!BO49+Model!BO50</f>
        <v>0</v>
      </c>
      <c r="BP9" s="68" t="n">
        <f aca="false">Model!BP47+Model!BP48+Model!BP49+Model!BP50</f>
        <v>0</v>
      </c>
      <c r="BQ9" s="68" t="n">
        <f aca="false">Model!BQ47+Model!BQ48+Model!BQ49+Model!BQ50</f>
        <v>0</v>
      </c>
      <c r="BR9" s="68" t="n">
        <f aca="false">Model!BR47+Model!BR48+Model!BR49+Model!BR50</f>
        <v>0</v>
      </c>
      <c r="BS9" s="68" t="n">
        <f aca="false">Model!BS47+Model!BS48+Model!BS49+Model!BS50</f>
        <v>0</v>
      </c>
      <c r="BT9" s="68" t="n">
        <f aca="false">Model!BT47+Model!BT48+Model!BT49+Model!BT50</f>
        <v>0</v>
      </c>
      <c r="BU9" s="68" t="n">
        <f aca="false">Model!BU47+Model!BU48+Model!BU49+Model!BU50</f>
        <v>0</v>
      </c>
      <c r="BV9" s="68" t="n">
        <f aca="false">Model!BV47+Model!BV48+Model!BV49+Model!BV50</f>
        <v>0</v>
      </c>
      <c r="BW9" s="68" t="n">
        <f aca="false">Model!BW47+Model!BW48+Model!BW49+Model!BW50</f>
        <v>0</v>
      </c>
      <c r="BX9" s="68" t="n">
        <f aca="false">Model!BX47+Model!BX48+Model!BX49+Model!BX50</f>
        <v>0</v>
      </c>
      <c r="BY9" s="68" t="n">
        <f aca="false">Model!BY47+Model!BY48+Model!BY49+Model!BY50</f>
        <v>0</v>
      </c>
      <c r="BZ9" s="68" t="n">
        <f aca="false">Model!BZ47+Model!BZ48+Model!BZ49+Model!BZ50</f>
        <v>0</v>
      </c>
      <c r="CA9" s="68" t="n">
        <f aca="false">Model!CA47+Model!CA48+Model!CA49+Model!CA50</f>
        <v>0</v>
      </c>
      <c r="CB9" s="68" t="n">
        <f aca="false">Model!CB47+Model!CB48+Model!CB49+Model!CB50</f>
        <v>0</v>
      </c>
      <c r="CC9" s="68" t="n">
        <f aca="false">Model!CC47+Model!CC48+Model!CC49+Model!CC50</f>
        <v>0</v>
      </c>
      <c r="CD9" s="68" t="n">
        <f aca="false">Model!CD47+Model!CD48+Model!CD49+Model!CD50</f>
        <v>0</v>
      </c>
      <c r="CE9" s="68" t="n">
        <f aca="false">Model!CE47+Model!CE48+Model!CE49+Model!CE50</f>
        <v>0</v>
      </c>
      <c r="CF9" s="68" t="n">
        <f aca="false">Model!CF47+Model!CF48+Model!CF49+Model!CF50</f>
        <v>0</v>
      </c>
      <c r="CG9" s="68" t="n">
        <f aca="false">Model!CG47+Model!CG48+Model!CG49+Model!CG50</f>
        <v>0</v>
      </c>
      <c r="CH9" s="68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211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8" t="n">
        <f aca="false">Model!C53+Model!C54+Model!C55</f>
        <v>0</v>
      </c>
      <c r="D14" s="68" t="n">
        <f aca="false">Model!D53+Model!D54+Model!D55</f>
        <v>0</v>
      </c>
      <c r="E14" s="68" t="n">
        <f aca="false">Model!E53+Model!E54+Model!E55</f>
        <v>0</v>
      </c>
      <c r="F14" s="68" t="n">
        <f aca="false">Model!F53+Model!F54+Model!F55</f>
        <v>0</v>
      </c>
      <c r="G14" s="68" t="n">
        <f aca="false">Model!G53+Model!G54+Model!G55</f>
        <v>0</v>
      </c>
      <c r="H14" s="68" t="n">
        <f aca="false">Model!H53+Model!H54+Model!H55</f>
        <v>0</v>
      </c>
      <c r="I14" s="68" t="n">
        <f aca="false">Model!I53+Model!I54+Model!I55</f>
        <v>0</v>
      </c>
      <c r="J14" s="68" t="n">
        <f aca="false">Model!J53+Model!J54+Model!J55</f>
        <v>0</v>
      </c>
      <c r="K14" s="68" t="n">
        <f aca="false">Model!K53+Model!K54+Model!K55</f>
        <v>0</v>
      </c>
      <c r="L14" s="68" t="n">
        <f aca="false">Model!L53+Model!L54+Model!L55</f>
        <v>0</v>
      </c>
      <c r="M14" s="68" t="n">
        <f aca="false">Model!M53+Model!M54+Model!M55</f>
        <v>0</v>
      </c>
      <c r="N14" s="68" t="n">
        <f aca="false">Model!N53+Model!N54+Model!N55</f>
        <v>0</v>
      </c>
      <c r="O14" s="68" t="n">
        <f aca="false">Model!O53+Model!O54+Model!O55</f>
        <v>0</v>
      </c>
      <c r="P14" s="68" t="n">
        <f aca="false">Model!P53+Model!P54+Model!P55</f>
        <v>0</v>
      </c>
      <c r="Q14" s="68" t="n">
        <f aca="false">Model!Q53+Model!Q54+Model!Q55</f>
        <v>0</v>
      </c>
      <c r="R14" s="68" t="n">
        <f aca="false">Model!R53+Model!R54+Model!R55</f>
        <v>0</v>
      </c>
      <c r="S14" s="68" t="n">
        <f aca="false">Model!S53+Model!S54+Model!S55</f>
        <v>0</v>
      </c>
      <c r="T14" s="68" t="n">
        <f aca="false">Model!T53+Model!T54+Model!T55</f>
        <v>0</v>
      </c>
      <c r="U14" s="68" t="n">
        <f aca="false">Model!U53+Model!U54+Model!U55</f>
        <v>0</v>
      </c>
      <c r="V14" s="68" t="n">
        <f aca="false">Model!V53+Model!V54+Model!V55</f>
        <v>0</v>
      </c>
      <c r="W14" s="68" t="n">
        <f aca="false">Model!W53+Model!W54+Model!W55</f>
        <v>0</v>
      </c>
      <c r="X14" s="68" t="n">
        <f aca="false">Model!X53+Model!X54+Model!X55</f>
        <v>0</v>
      </c>
      <c r="Y14" s="68" t="n">
        <f aca="false">Model!Y53+Model!Y54+Model!Y55</f>
        <v>0</v>
      </c>
      <c r="Z14" s="68" t="n">
        <f aca="false">Model!Z53+Model!Z54+Model!Z55</f>
        <v>0</v>
      </c>
      <c r="AA14" s="68" t="n">
        <f aca="false">Model!AA53+Model!AA54+Model!AA55</f>
        <v>0</v>
      </c>
      <c r="AB14" s="68" t="n">
        <f aca="false">Model!AB53+Model!AB54+Model!AB55</f>
        <v>0</v>
      </c>
      <c r="AC14" s="68" t="n">
        <f aca="false">Model!AC53+Model!AC54+Model!AC55</f>
        <v>0</v>
      </c>
      <c r="AD14" s="68" t="n">
        <f aca="false">Model!AD53+Model!AD54+Model!AD55</f>
        <v>0</v>
      </c>
      <c r="AE14" s="68" t="n">
        <f aca="false">Model!AE53+Model!AE54+Model!AE55</f>
        <v>0</v>
      </c>
      <c r="AF14" s="68" t="n">
        <f aca="false">Model!AF53+Model!AF54+Model!AF55</f>
        <v>0</v>
      </c>
      <c r="AG14" s="68" t="n">
        <f aca="false">Model!AG53+Model!AG54+Model!AG55</f>
        <v>0</v>
      </c>
      <c r="AH14" s="68" t="n">
        <f aca="false">Model!AH53+Model!AH54+Model!AH55</f>
        <v>0</v>
      </c>
      <c r="AI14" s="68" t="n">
        <f aca="false">Model!AI53+Model!AI54+Model!AI55</f>
        <v>0</v>
      </c>
      <c r="AJ14" s="68" t="n">
        <f aca="false">Model!AJ53+Model!AJ54+Model!AJ55</f>
        <v>0</v>
      </c>
      <c r="AK14" s="68" t="n">
        <f aca="false">Model!AK53+Model!AK54+Model!AK55</f>
        <v>0</v>
      </c>
      <c r="AL14" s="68" t="n">
        <f aca="false">Model!AL53+Model!AL54+Model!AL55</f>
        <v>0</v>
      </c>
      <c r="AM14" s="68" t="n">
        <f aca="false">Model!AM53+Model!AM54+Model!AM55</f>
        <v>0</v>
      </c>
      <c r="AN14" s="68" t="n">
        <f aca="false">Model!AN53+Model!AN54+Model!AN55</f>
        <v>0</v>
      </c>
      <c r="AO14" s="68" t="n">
        <f aca="false">Model!AO53+Model!AO54+Model!AO55</f>
        <v>0</v>
      </c>
      <c r="AP14" s="68" t="n">
        <f aca="false">Model!AP53+Model!AP54+Model!AP55</f>
        <v>0</v>
      </c>
      <c r="AQ14" s="68" t="n">
        <f aca="false">Model!AQ53+Model!AQ54+Model!AQ55</f>
        <v>0</v>
      </c>
      <c r="AR14" s="68" t="n">
        <f aca="false">Model!AR53+Model!AR54+Model!AR55</f>
        <v>0</v>
      </c>
      <c r="AS14" s="68" t="n">
        <f aca="false">Model!AS53+Model!AS54+Model!AS55</f>
        <v>0</v>
      </c>
      <c r="AT14" s="68" t="n">
        <f aca="false">Model!AT53+Model!AT54+Model!AT55</f>
        <v>0</v>
      </c>
      <c r="AU14" s="68" t="n">
        <f aca="false">Model!AU53+Model!AU54+Model!AU55</f>
        <v>0</v>
      </c>
      <c r="AV14" s="68" t="n">
        <f aca="false">Model!AV53+Model!AV54+Model!AV55</f>
        <v>0</v>
      </c>
      <c r="AW14" s="68" t="n">
        <f aca="false">Model!AW53+Model!AW54+Model!AW55</f>
        <v>0</v>
      </c>
      <c r="AX14" s="68" t="n">
        <f aca="false">Model!AX53+Model!AX54+Model!AX55</f>
        <v>0</v>
      </c>
      <c r="AY14" s="68" t="n">
        <f aca="false">Model!AY53+Model!AY54+Model!AY55</f>
        <v>0</v>
      </c>
      <c r="AZ14" s="68" t="n">
        <f aca="false">Model!AZ53+Model!AZ54+Model!AZ55</f>
        <v>0</v>
      </c>
      <c r="BA14" s="68" t="n">
        <f aca="false">Model!BA53+Model!BA54+Model!BA55</f>
        <v>0</v>
      </c>
      <c r="BB14" s="68" t="n">
        <f aca="false">Model!BB53+Model!BB54+Model!BB55</f>
        <v>0</v>
      </c>
      <c r="BC14" s="68" t="n">
        <f aca="false">Model!BC53+Model!BC54+Model!BC55</f>
        <v>0</v>
      </c>
      <c r="BD14" s="68" t="n">
        <f aca="false">Model!BD53+Model!BD54+Model!BD55</f>
        <v>0</v>
      </c>
      <c r="BE14" s="68" t="n">
        <f aca="false">Model!BE53+Model!BE54+Model!BE55</f>
        <v>0</v>
      </c>
      <c r="BF14" s="68" t="n">
        <f aca="false">Model!BF53+Model!BF54+Model!BF55</f>
        <v>0</v>
      </c>
      <c r="BG14" s="68" t="n">
        <f aca="false">Model!BG53+Model!BG54+Model!BG55</f>
        <v>0</v>
      </c>
      <c r="BH14" s="68" t="n">
        <f aca="false">Model!BH53+Model!BH54+Model!BH55</f>
        <v>0</v>
      </c>
      <c r="BI14" s="68" t="n">
        <f aca="false">Model!BI53+Model!BI54+Model!BI55</f>
        <v>0</v>
      </c>
      <c r="BJ14" s="68" t="n">
        <f aca="false">Model!BJ53+Model!BJ54+Model!BJ55</f>
        <v>0</v>
      </c>
      <c r="BK14" s="68" t="n">
        <f aca="false">Model!BK53+Model!BK54+Model!BK55</f>
        <v>0</v>
      </c>
      <c r="BL14" s="68" t="n">
        <f aca="false">Model!BL53+Model!BL54+Model!BL55</f>
        <v>0</v>
      </c>
      <c r="BM14" s="68" t="n">
        <f aca="false">Model!BM53+Model!BM54+Model!BM55</f>
        <v>0</v>
      </c>
      <c r="BN14" s="68" t="n">
        <f aca="false">Model!BN53+Model!BN54+Model!BN55</f>
        <v>0</v>
      </c>
      <c r="BO14" s="68" t="n">
        <f aca="false">Model!BO53+Model!BO54+Model!BO55</f>
        <v>0</v>
      </c>
      <c r="BP14" s="68" t="n">
        <f aca="false">Model!BP53+Model!BP54+Model!BP55</f>
        <v>0</v>
      </c>
      <c r="BQ14" s="68" t="n">
        <f aca="false">Model!BQ53+Model!BQ54+Model!BQ55</f>
        <v>0</v>
      </c>
      <c r="BR14" s="68" t="n">
        <f aca="false">Model!BR53+Model!BR54+Model!BR55</f>
        <v>0</v>
      </c>
      <c r="BS14" s="68" t="n">
        <f aca="false">Model!BS53+Model!BS54+Model!BS55</f>
        <v>0</v>
      </c>
      <c r="BT14" s="68" t="n">
        <f aca="false">Model!BT53+Model!BT54+Model!BT55</f>
        <v>0</v>
      </c>
      <c r="BU14" s="68" t="n">
        <f aca="false">Model!BU53+Model!BU54+Model!BU55</f>
        <v>0</v>
      </c>
      <c r="BV14" s="68" t="n">
        <f aca="false">Model!BV53+Model!BV54+Model!BV55</f>
        <v>0</v>
      </c>
      <c r="BW14" s="68" t="n">
        <f aca="false">Model!BW53+Model!BW54+Model!BW55</f>
        <v>0</v>
      </c>
      <c r="BX14" s="68" t="n">
        <f aca="false">Model!BX53+Model!BX54+Model!BX55</f>
        <v>0</v>
      </c>
      <c r="BY14" s="68" t="n">
        <f aca="false">Model!BY53+Model!BY54+Model!BY55</f>
        <v>0</v>
      </c>
      <c r="BZ14" s="68" t="n">
        <f aca="false">Model!BZ53+Model!BZ54+Model!BZ55</f>
        <v>0</v>
      </c>
      <c r="CA14" s="68" t="n">
        <f aca="false">Model!CA53+Model!CA54+Model!CA55</f>
        <v>0</v>
      </c>
      <c r="CB14" s="68" t="n">
        <f aca="false">Model!CB53+Model!CB54+Model!CB55</f>
        <v>0</v>
      </c>
      <c r="CC14" s="68" t="n">
        <f aca="false">Model!CC53+Model!CC54+Model!CC55</f>
        <v>0</v>
      </c>
      <c r="CD14" s="68" t="n">
        <f aca="false">Model!CD53+Model!CD54+Model!CD55</f>
        <v>0</v>
      </c>
      <c r="CE14" s="68" t="n">
        <f aca="false">Model!CE53+Model!CE54+Model!CE55</f>
        <v>0</v>
      </c>
      <c r="CF14" s="68" t="n">
        <f aca="false">Model!CF53+Model!CF54+Model!CF55</f>
        <v>0</v>
      </c>
      <c r="CG14" s="68" t="n">
        <f aca="false">Model!CG53+Model!CG54+Model!CG55</f>
        <v>0</v>
      </c>
      <c r="CH14" s="68" t="n">
        <f aca="false">Model!CH53+Model!CH54+Model!CH55</f>
        <v>0</v>
      </c>
    </row>
    <row r="15" customFormat="false" ht="15" hidden="false" customHeight="true" outlineLevel="0" collapsed="false">
      <c r="A15" s="71" t="s">
        <v>213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0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210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0</v>
      </c>
      <c r="H16" s="69" t="n">
        <f aca="false">H14+H15</f>
        <v>0</v>
      </c>
      <c r="I16" s="69" t="n">
        <f aca="false">I14+I15</f>
        <v>0</v>
      </c>
      <c r="J16" s="69" t="n">
        <f aca="false">J14+J15</f>
        <v>0</v>
      </c>
      <c r="K16" s="69" t="n">
        <f aca="false">K14+K15</f>
        <v>0</v>
      </c>
      <c r="L16" s="69" t="n">
        <f aca="false">L14+L15</f>
        <v>0</v>
      </c>
      <c r="M16" s="69" t="n">
        <f aca="false">M14+M15</f>
        <v>0</v>
      </c>
      <c r="N16" s="69" t="n">
        <f aca="false">N14+N15</f>
        <v>0</v>
      </c>
      <c r="O16" s="69" t="n">
        <f aca="false">O14+O15</f>
        <v>0</v>
      </c>
      <c r="P16" s="69" t="n">
        <f aca="false">P14+P15</f>
        <v>0</v>
      </c>
      <c r="Q16" s="69" t="n">
        <f aca="false">Q14+Q15</f>
        <v>0</v>
      </c>
      <c r="R16" s="69" t="n">
        <f aca="false">R14+R15</f>
        <v>0</v>
      </c>
      <c r="S16" s="69" t="n">
        <f aca="false">S14+S15</f>
        <v>0</v>
      </c>
      <c r="T16" s="69" t="n">
        <f aca="false">T14+T15</f>
        <v>0</v>
      </c>
      <c r="U16" s="69" t="n">
        <f aca="false">U14+U15</f>
        <v>0</v>
      </c>
      <c r="V16" s="69" t="n">
        <f aca="false">V14+V15</f>
        <v>0</v>
      </c>
      <c r="W16" s="69" t="n">
        <f aca="false">W14+W15</f>
        <v>0</v>
      </c>
      <c r="X16" s="69" t="n">
        <f aca="false">X14+X15</f>
        <v>0</v>
      </c>
      <c r="Y16" s="69" t="n">
        <f aca="false">Y14+Y15</f>
        <v>0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211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0</v>
      </c>
      <c r="H17" s="70" t="n">
        <f aca="false">G17+H16</f>
        <v>0</v>
      </c>
      <c r="I17" s="70" t="n">
        <f aca="false">H17+I16</f>
        <v>0</v>
      </c>
      <c r="J17" s="70" t="n">
        <f aca="false">I17+J16</f>
        <v>0</v>
      </c>
      <c r="K17" s="70" t="n">
        <f aca="false">J17+K16</f>
        <v>0</v>
      </c>
      <c r="L17" s="70" t="n">
        <f aca="false">K17+L16</f>
        <v>0</v>
      </c>
      <c r="M17" s="70" t="n">
        <f aca="false">L17+M16</f>
        <v>0</v>
      </c>
      <c r="N17" s="70" t="n">
        <f aca="false">M17+N16</f>
        <v>0</v>
      </c>
      <c r="O17" s="70" t="n">
        <f aca="false">N17+O16</f>
        <v>0</v>
      </c>
      <c r="P17" s="70" t="n">
        <f aca="false">O17+P16</f>
        <v>0</v>
      </c>
      <c r="Q17" s="70" t="n">
        <f aca="false">P17+Q16</f>
        <v>0</v>
      </c>
      <c r="R17" s="70" t="n">
        <f aca="false">Q17+R16</f>
        <v>0</v>
      </c>
      <c r="S17" s="70" t="n">
        <f aca="false">R17+S16</f>
        <v>0</v>
      </c>
      <c r="T17" s="70" t="n">
        <f aca="false">S17+T16</f>
        <v>0</v>
      </c>
      <c r="U17" s="70" t="n">
        <f aca="false">T17+U16</f>
        <v>0</v>
      </c>
      <c r="V17" s="70" t="n">
        <f aca="false">U17+V16</f>
        <v>0</v>
      </c>
      <c r="W17" s="70" t="n">
        <f aca="false">V17+W16</f>
        <v>0</v>
      </c>
      <c r="X17" s="70" t="n">
        <f aca="false">W17+X16</f>
        <v>0</v>
      </c>
      <c r="Y17" s="70" t="n">
        <f aca="false">X17+Y16</f>
        <v>0</v>
      </c>
      <c r="Z17" s="70" t="n">
        <f aca="false">Y17+Z16</f>
        <v>0</v>
      </c>
      <c r="AA17" s="70" t="n">
        <f aca="false">Z17+AA16</f>
        <v>0</v>
      </c>
      <c r="AB17" s="70" t="n">
        <f aca="false">AA17+AB16</f>
        <v>0</v>
      </c>
      <c r="AC17" s="70" t="n">
        <f aca="false">AB17+AC16</f>
        <v>0</v>
      </c>
      <c r="AD17" s="70" t="n">
        <f aca="false">AC17+AD16</f>
        <v>0</v>
      </c>
      <c r="AE17" s="70" t="n">
        <f aca="false">AD17+AE16</f>
        <v>0</v>
      </c>
      <c r="AF17" s="70" t="n">
        <f aca="false">AE17+AF16</f>
        <v>0</v>
      </c>
      <c r="AG17" s="70" t="n">
        <f aca="false">AF17+AG16</f>
        <v>0</v>
      </c>
      <c r="AH17" s="70" t="n">
        <f aca="false">AG17+AH16</f>
        <v>0</v>
      </c>
      <c r="AI17" s="70" t="n">
        <f aca="false">AH17+AI16</f>
        <v>0</v>
      </c>
      <c r="AJ17" s="70" t="n">
        <f aca="false">AI17+AJ16</f>
        <v>0</v>
      </c>
      <c r="AK17" s="70" t="n">
        <f aca="false">AJ17+AK16</f>
        <v>0</v>
      </c>
      <c r="AL17" s="70" t="n">
        <f aca="false">AK17+AL16</f>
        <v>0</v>
      </c>
      <c r="AM17" s="70" t="n">
        <f aca="false">AL17+AM16</f>
        <v>0</v>
      </c>
      <c r="AN17" s="70" t="n">
        <f aca="false">AM17+AN16</f>
        <v>0</v>
      </c>
      <c r="AO17" s="70" t="n">
        <f aca="false">AN17+AO16</f>
        <v>0</v>
      </c>
      <c r="AP17" s="70" t="n">
        <f aca="false">AO17+AP16</f>
        <v>0</v>
      </c>
      <c r="AQ17" s="70" t="n">
        <f aca="false">AP17+AQ16</f>
        <v>0</v>
      </c>
      <c r="AR17" s="70" t="n">
        <f aca="false">AQ17+AR16</f>
        <v>0</v>
      </c>
      <c r="AS17" s="70" t="n">
        <f aca="false">AR17+AS16</f>
        <v>0</v>
      </c>
      <c r="AT17" s="70" t="n">
        <f aca="false">AS17+AT16</f>
        <v>0</v>
      </c>
      <c r="AU17" s="70" t="n">
        <f aca="false">AT17+AU16</f>
        <v>0</v>
      </c>
      <c r="AV17" s="70" t="n">
        <f aca="false">AU17+AV16</f>
        <v>0</v>
      </c>
      <c r="AW17" s="70" t="n">
        <f aca="false">AV17+AW16</f>
        <v>0</v>
      </c>
      <c r="AX17" s="70" t="n">
        <f aca="false">AW17+AX16</f>
        <v>0</v>
      </c>
      <c r="AY17" s="70" t="n">
        <f aca="false">AX17+AY16</f>
        <v>0</v>
      </c>
      <c r="AZ17" s="70" t="n">
        <f aca="false">AY17+AZ16</f>
        <v>0</v>
      </c>
      <c r="BA17" s="70" t="n">
        <f aca="false">AZ17+BA16</f>
        <v>0</v>
      </c>
      <c r="BB17" s="70" t="n">
        <f aca="false">BA17+BB16</f>
        <v>0</v>
      </c>
      <c r="BC17" s="70" t="n">
        <f aca="false">BB17+BC16</f>
        <v>0</v>
      </c>
      <c r="BD17" s="70" t="n">
        <f aca="false">BC17+BD16</f>
        <v>0</v>
      </c>
      <c r="BE17" s="70" t="n">
        <f aca="false">BD17+BE16</f>
        <v>0</v>
      </c>
      <c r="BF17" s="70" t="n">
        <f aca="false">BE17+BF16</f>
        <v>0</v>
      </c>
      <c r="BG17" s="70" t="n">
        <f aca="false">BF17+BG16</f>
        <v>0</v>
      </c>
      <c r="BH17" s="70" t="n">
        <f aca="false">BG17+BH16</f>
        <v>0</v>
      </c>
      <c r="BI17" s="70" t="n">
        <f aca="false">BH17+BI16</f>
        <v>0</v>
      </c>
      <c r="BJ17" s="70" t="n">
        <f aca="false">BI17+BJ16</f>
        <v>0</v>
      </c>
      <c r="BK17" s="70" t="n">
        <f aca="false">BJ17+BK16</f>
        <v>0</v>
      </c>
      <c r="BL17" s="70" t="n">
        <f aca="false">BK17+BL16</f>
        <v>0</v>
      </c>
      <c r="BM17" s="70" t="n">
        <f aca="false">BL17+BM16</f>
        <v>0</v>
      </c>
      <c r="BN17" s="70" t="n">
        <f aca="false">BM17+BN16</f>
        <v>0</v>
      </c>
      <c r="BO17" s="70" t="n">
        <f aca="false">BN17+BO16</f>
        <v>0</v>
      </c>
      <c r="BP17" s="70" t="n">
        <f aca="false">BO17+BP16</f>
        <v>0</v>
      </c>
      <c r="BQ17" s="70" t="n">
        <f aca="false">BP17+BQ16</f>
        <v>0</v>
      </c>
      <c r="BR17" s="70" t="n">
        <f aca="false">BQ17+BR16</f>
        <v>0</v>
      </c>
      <c r="BS17" s="70" t="n">
        <f aca="false">BR17+BS16</f>
        <v>0</v>
      </c>
      <c r="BT17" s="70" t="n">
        <f aca="false">BS17+BT16</f>
        <v>0</v>
      </c>
      <c r="BU17" s="70" t="n">
        <f aca="false">BT17+BU16</f>
        <v>0</v>
      </c>
      <c r="BV17" s="70" t="n">
        <f aca="false">BU17+BV16</f>
        <v>0</v>
      </c>
      <c r="BW17" s="70" t="n">
        <f aca="false">BV17+BW16</f>
        <v>0</v>
      </c>
      <c r="BX17" s="70" t="n">
        <f aca="false">BW17+BX16</f>
        <v>0</v>
      </c>
      <c r="BY17" s="70" t="n">
        <f aca="false">BX17+BY16</f>
        <v>0</v>
      </c>
      <c r="BZ17" s="70" t="n">
        <f aca="false">BY17+BZ16</f>
        <v>0</v>
      </c>
      <c r="CA17" s="70" t="n">
        <f aca="false">BZ17+CA16</f>
        <v>0</v>
      </c>
      <c r="CB17" s="70" t="n">
        <f aca="false">CA17+CB16</f>
        <v>0</v>
      </c>
      <c r="CC17" s="70" t="n">
        <f aca="false">CB17+CC16</f>
        <v>0</v>
      </c>
      <c r="CD17" s="70" t="n">
        <f aca="false">CC17+CD16</f>
        <v>0</v>
      </c>
      <c r="CE17" s="70" t="n">
        <f aca="false">CD17+CE16</f>
        <v>0</v>
      </c>
      <c r="CF17" s="70" t="n">
        <f aca="false">CE17+CF16</f>
        <v>0</v>
      </c>
      <c r="CG17" s="70" t="n">
        <f aca="false">CF17+CG16</f>
        <v>0</v>
      </c>
      <c r="CH17" s="7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8" t="n">
        <f aca="false">Model!C56+Model!C57+Model!C58</f>
        <v>0</v>
      </c>
      <c r="D20" s="68" t="n">
        <f aca="false">Model!D56+Model!D57+Model!D58</f>
        <v>0</v>
      </c>
      <c r="E20" s="68" t="n">
        <f aca="false">Model!E56+Model!E57+Model!E58</f>
        <v>0</v>
      </c>
      <c r="F20" s="68" t="n">
        <f aca="false">Model!F56+Model!F57+Model!F58</f>
        <v>0</v>
      </c>
      <c r="G20" s="68" t="n">
        <f aca="false">Model!G56+Model!G57+Model!G58</f>
        <v>0</v>
      </c>
      <c r="H20" s="68" t="n">
        <f aca="false">Model!H56+Model!H57+Model!H58</f>
        <v>0</v>
      </c>
      <c r="I20" s="68" t="n">
        <f aca="false">Model!I56+Model!I57+Model!I58</f>
        <v>0</v>
      </c>
      <c r="J20" s="68" t="n">
        <f aca="false">Model!J56+Model!J57+Model!J58</f>
        <v>0</v>
      </c>
      <c r="K20" s="68" t="n">
        <f aca="false">Model!K56+Model!K57+Model!K58</f>
        <v>0</v>
      </c>
      <c r="L20" s="68" t="n">
        <f aca="false">Model!L56+Model!L57+Model!L58</f>
        <v>0</v>
      </c>
      <c r="M20" s="68" t="n">
        <f aca="false">Model!M56+Model!M57+Model!M58</f>
        <v>0</v>
      </c>
      <c r="N20" s="68" t="n">
        <f aca="false">Model!N56+Model!N57+Model!N58</f>
        <v>0</v>
      </c>
      <c r="O20" s="68" t="n">
        <f aca="false">Model!O56+Model!O57+Model!O58</f>
        <v>0</v>
      </c>
      <c r="P20" s="68" t="n">
        <f aca="false">Model!P56+Model!P57+Model!P58</f>
        <v>0</v>
      </c>
      <c r="Q20" s="68" t="n">
        <f aca="false">Model!Q56+Model!Q57+Model!Q58</f>
        <v>0</v>
      </c>
      <c r="R20" s="68" t="n">
        <f aca="false">Model!R56+Model!R57+Model!R58</f>
        <v>0</v>
      </c>
      <c r="S20" s="68" t="n">
        <f aca="false">Model!S56+Model!S57+Model!S58</f>
        <v>0</v>
      </c>
      <c r="T20" s="68" t="n">
        <f aca="false">Model!T56+Model!T57+Model!T58</f>
        <v>0</v>
      </c>
      <c r="U20" s="68" t="n">
        <f aca="false">Model!U56+Model!U57+Model!U58</f>
        <v>0</v>
      </c>
      <c r="V20" s="68" t="n">
        <f aca="false">Model!V56+Model!V57+Model!V58</f>
        <v>0</v>
      </c>
      <c r="W20" s="68" t="n">
        <f aca="false">Model!W56+Model!W57+Model!W58</f>
        <v>0</v>
      </c>
      <c r="X20" s="68" t="n">
        <f aca="false">Model!X56+Model!X57+Model!X58</f>
        <v>0</v>
      </c>
      <c r="Y20" s="68" t="n">
        <f aca="false">Model!Y56+Model!Y57+Model!Y58</f>
        <v>0</v>
      </c>
      <c r="Z20" s="68" t="n">
        <f aca="false">Model!Z56+Model!Z57+Model!Z58</f>
        <v>0</v>
      </c>
      <c r="AA20" s="68" t="n">
        <f aca="false">Model!AA56+Model!AA57+Model!AA58</f>
        <v>0</v>
      </c>
      <c r="AB20" s="68" t="n">
        <f aca="false">Model!AB56+Model!AB57+Model!AB58</f>
        <v>0</v>
      </c>
      <c r="AC20" s="68" t="n">
        <f aca="false">Model!AC56+Model!AC57+Model!AC58</f>
        <v>0</v>
      </c>
      <c r="AD20" s="68" t="n">
        <f aca="false">Model!AD56+Model!AD57+Model!AD58</f>
        <v>0</v>
      </c>
      <c r="AE20" s="68" t="n">
        <f aca="false">Model!AE56+Model!AE57+Model!AE58</f>
        <v>0</v>
      </c>
      <c r="AF20" s="68" t="n">
        <f aca="false">Model!AF56+Model!AF57+Model!AF58</f>
        <v>0</v>
      </c>
      <c r="AG20" s="68" t="n">
        <f aca="false">Model!AG56+Model!AG57+Model!AG58</f>
        <v>0</v>
      </c>
      <c r="AH20" s="68" t="n">
        <f aca="false">Model!AH56+Model!AH57+Model!AH58</f>
        <v>0</v>
      </c>
      <c r="AI20" s="68" t="n">
        <f aca="false">Model!AI56+Model!AI57+Model!AI58</f>
        <v>0</v>
      </c>
      <c r="AJ20" s="68" t="n">
        <f aca="false">Model!AJ56+Model!AJ57+Model!AJ58</f>
        <v>0</v>
      </c>
      <c r="AK20" s="68" t="n">
        <f aca="false">Model!AK56+Model!AK57+Model!AK58</f>
        <v>0</v>
      </c>
      <c r="AL20" s="68" t="n">
        <f aca="false">Model!AL56+Model!AL57+Model!AL58</f>
        <v>0</v>
      </c>
      <c r="AM20" s="68" t="n">
        <f aca="false">Model!AM56+Model!AM57+Model!AM58</f>
        <v>0</v>
      </c>
      <c r="AN20" s="68" t="n">
        <f aca="false">Model!AN56+Model!AN57+Model!AN58</f>
        <v>0</v>
      </c>
      <c r="AO20" s="68" t="n">
        <f aca="false">Model!AO56+Model!AO57+Model!AO58</f>
        <v>0</v>
      </c>
      <c r="AP20" s="68" t="n">
        <f aca="false">Model!AP56+Model!AP57+Model!AP58</f>
        <v>0</v>
      </c>
      <c r="AQ20" s="68" t="n">
        <f aca="false">Model!AQ56+Model!AQ57+Model!AQ58</f>
        <v>0</v>
      </c>
      <c r="AR20" s="68" t="n">
        <f aca="false">Model!AR56+Model!AR57+Model!AR58</f>
        <v>0</v>
      </c>
      <c r="AS20" s="68" t="n">
        <f aca="false">Model!AS56+Model!AS57+Model!AS58</f>
        <v>0</v>
      </c>
      <c r="AT20" s="68" t="n">
        <f aca="false">Model!AT56+Model!AT57+Model!AT58</f>
        <v>0</v>
      </c>
      <c r="AU20" s="68" t="n">
        <f aca="false">Model!AU56+Model!AU57+Model!AU58</f>
        <v>0</v>
      </c>
      <c r="AV20" s="68" t="n">
        <f aca="false">Model!AV56+Model!AV57+Model!AV58</f>
        <v>0</v>
      </c>
      <c r="AW20" s="68" t="n">
        <f aca="false">Model!AW56+Model!AW57+Model!AW58</f>
        <v>0</v>
      </c>
      <c r="AX20" s="68" t="n">
        <f aca="false">Model!AX56+Model!AX57+Model!AX58</f>
        <v>0</v>
      </c>
      <c r="AY20" s="68" t="n">
        <f aca="false">Model!AY56+Model!AY57+Model!AY58</f>
        <v>0</v>
      </c>
      <c r="AZ20" s="68" t="n">
        <f aca="false">Model!AZ56+Model!AZ57+Model!AZ58</f>
        <v>0</v>
      </c>
      <c r="BA20" s="68" t="n">
        <f aca="false">Model!BA56+Model!BA57+Model!BA58</f>
        <v>0</v>
      </c>
      <c r="BB20" s="68" t="n">
        <f aca="false">Model!BB56+Model!BB57+Model!BB58</f>
        <v>0</v>
      </c>
      <c r="BC20" s="68" t="n">
        <f aca="false">Model!BC56+Model!BC57+Model!BC58</f>
        <v>0</v>
      </c>
      <c r="BD20" s="68" t="n">
        <f aca="false">Model!BD56+Model!BD57+Model!BD58</f>
        <v>0</v>
      </c>
      <c r="BE20" s="68" t="n">
        <f aca="false">Model!BE56+Model!BE57+Model!BE58</f>
        <v>0</v>
      </c>
      <c r="BF20" s="68" t="n">
        <f aca="false">Model!BF56+Model!BF57+Model!BF58</f>
        <v>0</v>
      </c>
      <c r="BG20" s="68" t="n">
        <f aca="false">Model!BG56+Model!BG57+Model!BG58</f>
        <v>0</v>
      </c>
      <c r="BH20" s="68" t="n">
        <f aca="false">Model!BH56+Model!BH57+Model!BH58</f>
        <v>0</v>
      </c>
      <c r="BI20" s="68" t="n">
        <f aca="false">Model!BI56+Model!BI57+Model!BI58</f>
        <v>0</v>
      </c>
      <c r="BJ20" s="68" t="n">
        <f aca="false">Model!BJ56+Model!BJ57+Model!BJ58</f>
        <v>0</v>
      </c>
      <c r="BK20" s="68" t="n">
        <f aca="false">Model!BK56+Model!BK57+Model!BK58</f>
        <v>0</v>
      </c>
      <c r="BL20" s="68" t="n">
        <f aca="false">Model!BL56+Model!BL57+Model!BL58</f>
        <v>0</v>
      </c>
      <c r="BM20" s="68" t="n">
        <f aca="false">Model!BM56+Model!BM57+Model!BM58</f>
        <v>0</v>
      </c>
      <c r="BN20" s="68" t="n">
        <f aca="false">Model!BN56+Model!BN57+Model!BN58</f>
        <v>0</v>
      </c>
      <c r="BO20" s="68" t="n">
        <f aca="false">Model!BO56+Model!BO57+Model!BO58</f>
        <v>0</v>
      </c>
      <c r="BP20" s="68" t="n">
        <f aca="false">Model!BP56+Model!BP57+Model!BP58</f>
        <v>0</v>
      </c>
      <c r="BQ20" s="68" t="n">
        <f aca="false">Model!BQ56+Model!BQ57+Model!BQ58</f>
        <v>0</v>
      </c>
      <c r="BR20" s="68" t="n">
        <f aca="false">Model!BR56+Model!BR57+Model!BR58</f>
        <v>0</v>
      </c>
      <c r="BS20" s="68" t="n">
        <f aca="false">Model!BS56+Model!BS57+Model!BS58</f>
        <v>0</v>
      </c>
      <c r="BT20" s="68" t="n">
        <f aca="false">Model!BT56+Model!BT57+Model!BT58</f>
        <v>0</v>
      </c>
      <c r="BU20" s="68" t="n">
        <f aca="false">Model!BU56+Model!BU57+Model!BU58</f>
        <v>0</v>
      </c>
      <c r="BV20" s="68" t="n">
        <f aca="false">Model!BV56+Model!BV57+Model!BV58</f>
        <v>0</v>
      </c>
      <c r="BW20" s="68" t="n">
        <f aca="false">Model!BW56+Model!BW57+Model!BW58</f>
        <v>0</v>
      </c>
      <c r="BX20" s="68" t="n">
        <f aca="false">Model!BX56+Model!BX57+Model!BX58</f>
        <v>0</v>
      </c>
      <c r="BY20" s="68" t="n">
        <f aca="false">Model!BY56+Model!BY57+Model!BY58</f>
        <v>0</v>
      </c>
      <c r="BZ20" s="68" t="n">
        <f aca="false">Model!BZ56+Model!BZ57+Model!BZ58</f>
        <v>0</v>
      </c>
      <c r="CA20" s="68" t="n">
        <f aca="false">Model!CA56+Model!CA57+Model!CA58</f>
        <v>0</v>
      </c>
      <c r="CB20" s="68" t="n">
        <f aca="false">Model!CB56+Model!CB57+Model!CB58</f>
        <v>0</v>
      </c>
      <c r="CC20" s="68" t="n">
        <f aca="false">Model!CC56+Model!CC57+Model!CC58</f>
        <v>0</v>
      </c>
      <c r="CD20" s="68" t="n">
        <f aca="false">Model!CD56+Model!CD57+Model!CD58</f>
        <v>0</v>
      </c>
      <c r="CE20" s="68" t="n">
        <f aca="false">Model!CE56+Model!CE57+Model!CE58</f>
        <v>0</v>
      </c>
      <c r="CF20" s="68" t="n">
        <f aca="false">Model!CF56+Model!CF57+Model!CF58</f>
        <v>0</v>
      </c>
      <c r="CG20" s="68" t="n">
        <f aca="false">Model!CG56+Model!CG57+Model!CG58</f>
        <v>0</v>
      </c>
      <c r="CH20" s="68" t="n">
        <f aca="false">Model!CH56+Model!CH57+Model!CH58</f>
        <v>0</v>
      </c>
    </row>
    <row r="21" customFormat="false" ht="15" hidden="false" customHeight="true" outlineLevel="0" collapsed="false">
      <c r="A21" s="71" t="s">
        <v>213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0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210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0</v>
      </c>
      <c r="I22" s="69" t="n">
        <f aca="false">I20+I21</f>
        <v>0</v>
      </c>
      <c r="J22" s="69" t="n">
        <f aca="false">J20+J21</f>
        <v>0</v>
      </c>
      <c r="K22" s="69" t="n">
        <f aca="false">K20+K21</f>
        <v>0</v>
      </c>
      <c r="L22" s="69" t="n">
        <f aca="false">L20+L21</f>
        <v>0</v>
      </c>
      <c r="M22" s="69" t="n">
        <f aca="false">M20+M21</f>
        <v>0</v>
      </c>
      <c r="N22" s="69" t="n">
        <f aca="false">N20+N21</f>
        <v>0</v>
      </c>
      <c r="O22" s="69" t="n">
        <f aca="false">O20+O21</f>
        <v>0</v>
      </c>
      <c r="P22" s="69" t="n">
        <f aca="false">P20+P21</f>
        <v>0</v>
      </c>
      <c r="Q22" s="69" t="n">
        <f aca="false">Q20+Q21</f>
        <v>0</v>
      </c>
      <c r="R22" s="69" t="n">
        <f aca="false">R20+R21</f>
        <v>0</v>
      </c>
      <c r="S22" s="69" t="n">
        <f aca="false">S20+S21</f>
        <v>0</v>
      </c>
      <c r="T22" s="69" t="n">
        <f aca="false">T20+T21</f>
        <v>0</v>
      </c>
      <c r="U22" s="69" t="n">
        <f aca="false">U20+U21</f>
        <v>0</v>
      </c>
      <c r="V22" s="69" t="n">
        <f aca="false">V20+V21</f>
        <v>0</v>
      </c>
      <c r="W22" s="69" t="n">
        <f aca="false">W20+W21</f>
        <v>0</v>
      </c>
      <c r="X22" s="69" t="n">
        <f aca="false">X20+X21</f>
        <v>0</v>
      </c>
      <c r="Y22" s="69" t="n">
        <f aca="false">Y20+Y21</f>
        <v>0</v>
      </c>
      <c r="Z22" s="69" t="n">
        <f aca="false">Z20+Z21</f>
        <v>0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211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0</v>
      </c>
      <c r="I23" s="70" t="n">
        <f aca="false">H23+I22</f>
        <v>0</v>
      </c>
      <c r="J23" s="70" t="n">
        <f aca="false">I23+J22</f>
        <v>0</v>
      </c>
      <c r="K23" s="70" t="n">
        <f aca="false">J23+K22</f>
        <v>0</v>
      </c>
      <c r="L23" s="70" t="n">
        <f aca="false">K23+L22</f>
        <v>0</v>
      </c>
      <c r="M23" s="70" t="n">
        <f aca="false">L23+M22</f>
        <v>0</v>
      </c>
      <c r="N23" s="70" t="n">
        <f aca="false">M23+N22</f>
        <v>0</v>
      </c>
      <c r="O23" s="70" t="n">
        <f aca="false">N23+O22</f>
        <v>0</v>
      </c>
      <c r="P23" s="70" t="n">
        <f aca="false">O23+P22</f>
        <v>0</v>
      </c>
      <c r="Q23" s="70" t="n">
        <f aca="false">P23+Q22</f>
        <v>0</v>
      </c>
      <c r="R23" s="70" t="n">
        <f aca="false">Q23+R22</f>
        <v>0</v>
      </c>
      <c r="S23" s="70" t="n">
        <f aca="false">R23+S22</f>
        <v>0</v>
      </c>
      <c r="T23" s="70" t="n">
        <f aca="false">S23+T22</f>
        <v>0</v>
      </c>
      <c r="U23" s="70" t="n">
        <f aca="false">T23+U22</f>
        <v>0</v>
      </c>
      <c r="V23" s="70" t="n">
        <f aca="false">U23+V22</f>
        <v>0</v>
      </c>
      <c r="W23" s="70" t="n">
        <f aca="false">V23+W22</f>
        <v>0</v>
      </c>
      <c r="X23" s="70" t="n">
        <f aca="false">W23+X22</f>
        <v>0</v>
      </c>
      <c r="Y23" s="70" t="n">
        <f aca="false">X23+Y22</f>
        <v>0</v>
      </c>
      <c r="Z23" s="70" t="n">
        <f aca="false">Y23+Z22</f>
        <v>0</v>
      </c>
      <c r="AA23" s="70" t="n">
        <f aca="false">Z23+AA22</f>
        <v>0</v>
      </c>
      <c r="AB23" s="70" t="n">
        <f aca="false">AA23+AB22</f>
        <v>0</v>
      </c>
      <c r="AC23" s="70" t="n">
        <f aca="false">AB23+AC22</f>
        <v>0</v>
      </c>
      <c r="AD23" s="70" t="n">
        <f aca="false">AC23+AD22</f>
        <v>0</v>
      </c>
      <c r="AE23" s="70" t="n">
        <f aca="false">AD23+AE22</f>
        <v>0</v>
      </c>
      <c r="AF23" s="70" t="n">
        <f aca="false">AE23+AF22</f>
        <v>0</v>
      </c>
      <c r="AG23" s="70" t="n">
        <f aca="false">AF23+AG22</f>
        <v>0</v>
      </c>
      <c r="AH23" s="70" t="n">
        <f aca="false">AG23+AH22</f>
        <v>0</v>
      </c>
      <c r="AI23" s="70" t="n">
        <f aca="false">AH23+AI22</f>
        <v>0</v>
      </c>
      <c r="AJ23" s="70" t="n">
        <f aca="false">AI23+AJ22</f>
        <v>0</v>
      </c>
      <c r="AK23" s="70" t="n">
        <f aca="false">AJ23+AK22</f>
        <v>0</v>
      </c>
      <c r="AL23" s="70" t="n">
        <f aca="false">AK23+AL22</f>
        <v>0</v>
      </c>
      <c r="AM23" s="70" t="n">
        <f aca="false">AL23+AM22</f>
        <v>0</v>
      </c>
      <c r="AN23" s="70" t="n">
        <f aca="false">AM23+AN22</f>
        <v>0</v>
      </c>
      <c r="AO23" s="70" t="n">
        <f aca="false">AN23+AO22</f>
        <v>0</v>
      </c>
      <c r="AP23" s="70" t="n">
        <f aca="false">AO23+AP22</f>
        <v>0</v>
      </c>
      <c r="AQ23" s="70" t="n">
        <f aca="false">AP23+AQ22</f>
        <v>0</v>
      </c>
      <c r="AR23" s="70" t="n">
        <f aca="false">AQ23+AR22</f>
        <v>0</v>
      </c>
      <c r="AS23" s="70" t="n">
        <f aca="false">AR23+AS22</f>
        <v>0</v>
      </c>
      <c r="AT23" s="70" t="n">
        <f aca="false">AS23+AT22</f>
        <v>0</v>
      </c>
      <c r="AU23" s="70" t="n">
        <f aca="false">AT23+AU22</f>
        <v>0</v>
      </c>
      <c r="AV23" s="70" t="n">
        <f aca="false">AU23+AV22</f>
        <v>0</v>
      </c>
      <c r="AW23" s="70" t="n">
        <f aca="false">AV23+AW22</f>
        <v>0</v>
      </c>
      <c r="AX23" s="70" t="n">
        <f aca="false">AW23+AX22</f>
        <v>0</v>
      </c>
      <c r="AY23" s="70" t="n">
        <f aca="false">AX23+AY22</f>
        <v>0</v>
      </c>
      <c r="AZ23" s="70" t="n">
        <f aca="false">AY23+AZ22</f>
        <v>0</v>
      </c>
      <c r="BA23" s="70" t="n">
        <f aca="false">AZ23+BA22</f>
        <v>0</v>
      </c>
      <c r="BB23" s="70" t="n">
        <f aca="false">BA23+BB22</f>
        <v>0</v>
      </c>
      <c r="BC23" s="70" t="n">
        <f aca="false">BB23+BC22</f>
        <v>0</v>
      </c>
      <c r="BD23" s="70" t="n">
        <f aca="false">BC23+BD22</f>
        <v>0</v>
      </c>
      <c r="BE23" s="70" t="n">
        <f aca="false">BD23+BE22</f>
        <v>0</v>
      </c>
      <c r="BF23" s="70" t="n">
        <f aca="false">BE23+BF22</f>
        <v>0</v>
      </c>
      <c r="BG23" s="70" t="n">
        <f aca="false">BF23+BG22</f>
        <v>0</v>
      </c>
      <c r="BH23" s="70" t="n">
        <f aca="false">BG23+BH22</f>
        <v>0</v>
      </c>
      <c r="BI23" s="70" t="n">
        <f aca="false">BH23+BI22</f>
        <v>0</v>
      </c>
      <c r="BJ23" s="70" t="n">
        <f aca="false">BI23+BJ22</f>
        <v>0</v>
      </c>
      <c r="BK23" s="70" t="n">
        <f aca="false">BJ23+BK22</f>
        <v>0</v>
      </c>
      <c r="BL23" s="70" t="n">
        <f aca="false">BK23+BL22</f>
        <v>0</v>
      </c>
      <c r="BM23" s="70" t="n">
        <f aca="false">BL23+BM22</f>
        <v>0</v>
      </c>
      <c r="BN23" s="70" t="n">
        <f aca="false">BM23+BN22</f>
        <v>0</v>
      </c>
      <c r="BO23" s="70" t="n">
        <f aca="false">BN23+BO22</f>
        <v>0</v>
      </c>
      <c r="BP23" s="70" t="n">
        <f aca="false">BO23+BP22</f>
        <v>0</v>
      </c>
      <c r="BQ23" s="70" t="n">
        <f aca="false">BP23+BQ22</f>
        <v>0</v>
      </c>
      <c r="BR23" s="70" t="n">
        <f aca="false">BQ23+BR22</f>
        <v>0</v>
      </c>
      <c r="BS23" s="70" t="n">
        <f aca="false">BR23+BS22</f>
        <v>0</v>
      </c>
      <c r="BT23" s="70" t="n">
        <f aca="false">BS23+BT22</f>
        <v>0</v>
      </c>
      <c r="BU23" s="70" t="n">
        <f aca="false">BT23+BU22</f>
        <v>0</v>
      </c>
      <c r="BV23" s="70" t="n">
        <f aca="false">BU23+BV22</f>
        <v>0</v>
      </c>
      <c r="BW23" s="70" t="n">
        <f aca="false">BV23+BW22</f>
        <v>0</v>
      </c>
      <c r="BX23" s="70" t="n">
        <f aca="false">BW23+BX22</f>
        <v>0</v>
      </c>
      <c r="BY23" s="70" t="n">
        <f aca="false">BX23+BY22</f>
        <v>0</v>
      </c>
      <c r="BZ23" s="70" t="n">
        <f aca="false">BY23+BZ22</f>
        <v>0</v>
      </c>
      <c r="CA23" s="70" t="n">
        <f aca="false">BZ23+CA22</f>
        <v>0</v>
      </c>
      <c r="CB23" s="70" t="n">
        <f aca="false">CA23+CB22</f>
        <v>0</v>
      </c>
      <c r="CC23" s="70" t="n">
        <f aca="false">CB23+CC22</f>
        <v>0</v>
      </c>
      <c r="CD23" s="70" t="n">
        <f aca="false">CC23+CD22</f>
        <v>0</v>
      </c>
      <c r="CE23" s="70" t="n">
        <f aca="false">CD23+CE22</f>
        <v>0</v>
      </c>
      <c r="CF23" s="70" t="n">
        <f aca="false">CE23+CF22</f>
        <v>0</v>
      </c>
      <c r="CG23" s="70" t="n">
        <f aca="false">CF23+CG22</f>
        <v>0</v>
      </c>
      <c r="CH23" s="7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8" t="n">
        <f aca="false">Model!C59</f>
        <v>0</v>
      </c>
      <c r="D26" s="68" t="n">
        <f aca="false">Model!D59</f>
        <v>0</v>
      </c>
      <c r="E26" s="68" t="n">
        <f aca="false">Model!E59</f>
        <v>0</v>
      </c>
      <c r="F26" s="68" t="n">
        <f aca="false">Model!F59</f>
        <v>0</v>
      </c>
      <c r="G26" s="68" t="n">
        <f aca="false">Model!G59</f>
        <v>0</v>
      </c>
      <c r="H26" s="68" t="n">
        <f aca="false">Model!H59</f>
        <v>0</v>
      </c>
      <c r="I26" s="68" t="n">
        <f aca="false">Model!I59</f>
        <v>0</v>
      </c>
      <c r="J26" s="68" t="n">
        <f aca="false">Model!J59</f>
        <v>0</v>
      </c>
      <c r="K26" s="68" t="n">
        <f aca="false">Model!K59</f>
        <v>0</v>
      </c>
      <c r="L26" s="68" t="n">
        <f aca="false">Model!L59</f>
        <v>0</v>
      </c>
      <c r="M26" s="68" t="n">
        <f aca="false">Model!M59</f>
        <v>0</v>
      </c>
      <c r="N26" s="68" t="n">
        <f aca="false">Model!N59</f>
        <v>0</v>
      </c>
      <c r="O26" s="68" t="n">
        <f aca="false">Model!O59</f>
        <v>0</v>
      </c>
      <c r="P26" s="68" t="n">
        <f aca="false">Model!P59</f>
        <v>0</v>
      </c>
      <c r="Q26" s="68" t="n">
        <f aca="false">Model!Q59</f>
        <v>0</v>
      </c>
      <c r="R26" s="68" t="n">
        <f aca="false">Model!R59</f>
        <v>0</v>
      </c>
      <c r="S26" s="68" t="n">
        <f aca="false">Model!S59</f>
        <v>0</v>
      </c>
      <c r="T26" s="68" t="n">
        <f aca="false">Model!T59</f>
        <v>0</v>
      </c>
      <c r="U26" s="68" t="n">
        <f aca="false">Model!U59</f>
        <v>0</v>
      </c>
      <c r="V26" s="68" t="n">
        <f aca="false">Model!V59</f>
        <v>0</v>
      </c>
      <c r="W26" s="68" t="n">
        <f aca="false">Model!W59</f>
        <v>0</v>
      </c>
      <c r="X26" s="68" t="n">
        <f aca="false">Model!X59</f>
        <v>0</v>
      </c>
      <c r="Y26" s="68" t="n">
        <f aca="false">Model!Y59</f>
        <v>0</v>
      </c>
      <c r="Z26" s="68" t="n">
        <f aca="false">Model!Z59</f>
        <v>0</v>
      </c>
      <c r="AA26" s="68" t="n">
        <f aca="false">Model!AA59</f>
        <v>0</v>
      </c>
      <c r="AB26" s="68" t="n">
        <f aca="false">Model!AB59</f>
        <v>0</v>
      </c>
      <c r="AC26" s="68" t="n">
        <f aca="false">Model!AC59</f>
        <v>0</v>
      </c>
      <c r="AD26" s="68" t="n">
        <f aca="false">Model!AD59</f>
        <v>0</v>
      </c>
      <c r="AE26" s="68" t="n">
        <f aca="false">Model!AE59</f>
        <v>0</v>
      </c>
      <c r="AF26" s="68" t="n">
        <f aca="false">Model!AF59</f>
        <v>0</v>
      </c>
      <c r="AG26" s="68" t="n">
        <f aca="false">Model!AG59</f>
        <v>0</v>
      </c>
      <c r="AH26" s="68" t="n">
        <f aca="false">Model!AH59</f>
        <v>0</v>
      </c>
      <c r="AI26" s="68" t="n">
        <f aca="false">Model!AI59</f>
        <v>0</v>
      </c>
      <c r="AJ26" s="68" t="n">
        <f aca="false">Model!AJ59</f>
        <v>0</v>
      </c>
      <c r="AK26" s="68" t="n">
        <f aca="false">Model!AK59</f>
        <v>0</v>
      </c>
      <c r="AL26" s="68" t="n">
        <f aca="false">Model!AL59</f>
        <v>0</v>
      </c>
      <c r="AM26" s="68" t="n">
        <f aca="false">Model!AM59</f>
        <v>0</v>
      </c>
      <c r="AN26" s="68" t="n">
        <f aca="false">Model!AN59</f>
        <v>0</v>
      </c>
      <c r="AO26" s="68" t="n">
        <f aca="false">Model!AO59</f>
        <v>0</v>
      </c>
      <c r="AP26" s="68" t="n">
        <f aca="false">Model!AP59</f>
        <v>0</v>
      </c>
      <c r="AQ26" s="68" t="n">
        <f aca="false">Model!AQ59</f>
        <v>0</v>
      </c>
      <c r="AR26" s="68" t="n">
        <f aca="false">Model!AR59</f>
        <v>81683</v>
      </c>
      <c r="AS26" s="68" t="n">
        <f aca="false">Model!AS59</f>
        <v>0</v>
      </c>
      <c r="AT26" s="68" t="n">
        <f aca="false">Model!AT59</f>
        <v>0</v>
      </c>
      <c r="AU26" s="68" t="n">
        <f aca="false">Model!AU59</f>
        <v>81682</v>
      </c>
      <c r="AV26" s="68" t="n">
        <f aca="false">Model!AV59</f>
        <v>0</v>
      </c>
      <c r="AW26" s="68" t="n">
        <f aca="false">Model!AW59</f>
        <v>0</v>
      </c>
      <c r="AX26" s="68" t="n">
        <f aca="false">Model!AX59</f>
        <v>81682</v>
      </c>
      <c r="AY26" s="68" t="n">
        <f aca="false">Model!AY59</f>
        <v>0</v>
      </c>
      <c r="AZ26" s="68" t="n">
        <f aca="false">Model!AZ59</f>
        <v>0</v>
      </c>
      <c r="BA26" s="68" t="n">
        <f aca="false">Model!BA59</f>
        <v>81682</v>
      </c>
      <c r="BB26" s="68" t="n">
        <f aca="false">Model!BB59</f>
        <v>0</v>
      </c>
      <c r="BC26" s="68" t="n">
        <f aca="false">Model!BC59</f>
        <v>0</v>
      </c>
      <c r="BD26" s="68" t="n">
        <f aca="false">Model!BD59</f>
        <v>59178</v>
      </c>
      <c r="BE26" s="68" t="n">
        <f aca="false">Model!BE59</f>
        <v>0</v>
      </c>
      <c r="BF26" s="68" t="n">
        <f aca="false">Model!BF59</f>
        <v>0</v>
      </c>
      <c r="BG26" s="68" t="n">
        <f aca="false">Model!BG59</f>
        <v>59176</v>
      </c>
      <c r="BH26" s="68" t="n">
        <f aca="false">Model!BH59</f>
        <v>0</v>
      </c>
      <c r="BI26" s="68" t="n">
        <f aca="false">Model!BI59</f>
        <v>0</v>
      </c>
      <c r="BJ26" s="68" t="n">
        <f aca="false">Model!BJ59</f>
        <v>59176</v>
      </c>
      <c r="BK26" s="68" t="n">
        <f aca="false">Model!BK59</f>
        <v>0</v>
      </c>
      <c r="BL26" s="68" t="n">
        <f aca="false">Model!BL59</f>
        <v>0</v>
      </c>
      <c r="BM26" s="68" t="n">
        <f aca="false">Model!BM59</f>
        <v>59176</v>
      </c>
      <c r="BN26" s="68" t="n">
        <f aca="false">Model!BN59</f>
        <v>0</v>
      </c>
      <c r="BO26" s="68" t="n">
        <f aca="false">Model!BO59</f>
        <v>0</v>
      </c>
      <c r="BP26" s="68" t="n">
        <f aca="false">Model!BP59</f>
        <v>67763</v>
      </c>
      <c r="BQ26" s="68" t="n">
        <f aca="false">Model!BQ59</f>
        <v>0</v>
      </c>
      <c r="BR26" s="68" t="n">
        <f aca="false">Model!BR59</f>
        <v>0</v>
      </c>
      <c r="BS26" s="68" t="n">
        <f aca="false">Model!BS59</f>
        <v>67762</v>
      </c>
      <c r="BT26" s="68" t="n">
        <f aca="false">Model!BT59</f>
        <v>0</v>
      </c>
      <c r="BU26" s="68" t="n">
        <f aca="false">Model!BU59</f>
        <v>0</v>
      </c>
      <c r="BV26" s="68" t="n">
        <f aca="false">Model!BV59</f>
        <v>67762</v>
      </c>
      <c r="BW26" s="68" t="n">
        <f aca="false">Model!BW59</f>
        <v>0</v>
      </c>
      <c r="BX26" s="68" t="n">
        <f aca="false">Model!BX59</f>
        <v>0</v>
      </c>
      <c r="BY26" s="68" t="n">
        <f aca="false">Model!BY59</f>
        <v>67762</v>
      </c>
      <c r="BZ26" s="68" t="n">
        <f aca="false">Model!BZ59</f>
        <v>0</v>
      </c>
      <c r="CA26" s="68" t="n">
        <f aca="false">Model!CA59</f>
        <v>0</v>
      </c>
      <c r="CB26" s="68" t="n">
        <f aca="false">Model!CB59</f>
        <v>76499</v>
      </c>
      <c r="CC26" s="68" t="n">
        <f aca="false">Model!CC59</f>
        <v>0</v>
      </c>
      <c r="CD26" s="68" t="n">
        <f aca="false">Model!CD59</f>
        <v>0</v>
      </c>
      <c r="CE26" s="68" t="n">
        <f aca="false">Model!CE59</f>
        <v>76499</v>
      </c>
      <c r="CF26" s="68" t="n">
        <f aca="false">Model!CF59</f>
        <v>0</v>
      </c>
      <c r="CG26" s="68" t="n">
        <f aca="false">Model!CG59</f>
        <v>0</v>
      </c>
      <c r="CH26" s="68" t="n">
        <f aca="false">Model!CH59</f>
        <v>76499</v>
      </c>
    </row>
    <row r="27" customFormat="false" ht="15" hidden="false" customHeight="true" outlineLevel="0" collapsed="false">
      <c r="A27" s="71" t="s">
        <v>213</v>
      </c>
      <c r="B27" s="3"/>
      <c r="C27" s="72" t="n">
        <f aca="false">Model!C81</f>
        <v>-0</v>
      </c>
      <c r="D27" s="72" t="n">
        <f aca="false">Model!D81</f>
        <v>-0</v>
      </c>
      <c r="E27" s="72" t="n">
        <f aca="false">Model!E81</f>
        <v>-0</v>
      </c>
      <c r="F27" s="72" t="n">
        <f aca="false">Model!F81</f>
        <v>-0</v>
      </c>
      <c r="G27" s="72" t="n">
        <f aca="false">Model!G81</f>
        <v>-0</v>
      </c>
      <c r="H27" s="72" t="n">
        <f aca="false">Model!H81</f>
        <v>-0</v>
      </c>
      <c r="I27" s="72" t="n">
        <f aca="false">Model!I81</f>
        <v>-0</v>
      </c>
      <c r="J27" s="72" t="n">
        <f aca="false">Model!J81</f>
        <v>-0</v>
      </c>
      <c r="K27" s="72" t="n">
        <f aca="false">Model!K81</f>
        <v>-0</v>
      </c>
      <c r="L27" s="72" t="n">
        <f aca="false">Model!L81</f>
        <v>-0</v>
      </c>
      <c r="M27" s="72" t="n">
        <f aca="false">Model!M81</f>
        <v>-0</v>
      </c>
      <c r="N27" s="72" t="n">
        <f aca="false">Model!N81</f>
        <v>-0</v>
      </c>
      <c r="O27" s="72" t="n">
        <f aca="false">Model!O81</f>
        <v>-0</v>
      </c>
      <c r="P27" s="72" t="n">
        <f aca="false">Model!P81</f>
        <v>-0</v>
      </c>
      <c r="Q27" s="72" t="n">
        <f aca="false">Model!Q81</f>
        <v>-0</v>
      </c>
      <c r="R27" s="72" t="n">
        <f aca="false">Model!R81</f>
        <v>-0</v>
      </c>
      <c r="S27" s="72" t="n">
        <f aca="false">Model!S81</f>
        <v>-0</v>
      </c>
      <c r="T27" s="72" t="n">
        <f aca="false">Model!T81</f>
        <v>-0</v>
      </c>
      <c r="U27" s="72" t="n">
        <f aca="false">Model!U81</f>
        <v>-0</v>
      </c>
      <c r="V27" s="72" t="n">
        <f aca="false">Model!V81</f>
        <v>-0</v>
      </c>
      <c r="W27" s="72" t="n">
        <f aca="false">Model!W81</f>
        <v>-0</v>
      </c>
      <c r="X27" s="72" t="n">
        <f aca="false">Model!X81</f>
        <v>-0</v>
      </c>
      <c r="Y27" s="72" t="n">
        <f aca="false">Model!Y81</f>
        <v>-0</v>
      </c>
      <c r="Z27" s="72" t="n">
        <f aca="false">Model!Z81</f>
        <v>-0</v>
      </c>
      <c r="AA27" s="72" t="n">
        <f aca="false">Model!AA81</f>
        <v>-0</v>
      </c>
      <c r="AB27" s="72" t="n">
        <f aca="false">Model!AB81</f>
        <v>-0</v>
      </c>
      <c r="AC27" s="72" t="n">
        <f aca="false">Model!AC81</f>
        <v>-0</v>
      </c>
      <c r="AD27" s="72" t="n">
        <f aca="false">Model!AD81</f>
        <v>-0</v>
      </c>
      <c r="AE27" s="72" t="n">
        <f aca="false">Model!AE81</f>
        <v>-0</v>
      </c>
      <c r="AF27" s="72" t="n">
        <f aca="false">Model!AF81</f>
        <v>-0</v>
      </c>
      <c r="AG27" s="72" t="n">
        <f aca="false">Model!AG81</f>
        <v>-0</v>
      </c>
      <c r="AH27" s="72" t="n">
        <f aca="false">Model!AH81</f>
        <v>-0</v>
      </c>
      <c r="AI27" s="72" t="n">
        <f aca="false">Model!AI81</f>
        <v>-0</v>
      </c>
      <c r="AJ27" s="72" t="n">
        <f aca="false">Model!AJ81</f>
        <v>-0</v>
      </c>
      <c r="AK27" s="72" t="n">
        <f aca="false">Model!AK81</f>
        <v>-0</v>
      </c>
      <c r="AL27" s="72" t="n">
        <f aca="false">Model!AL81</f>
        <v>-0</v>
      </c>
      <c r="AM27" s="72" t="n">
        <f aca="false">Model!AM81</f>
        <v>-0</v>
      </c>
      <c r="AN27" s="72" t="n">
        <f aca="false">Model!AN81</f>
        <v>-0</v>
      </c>
      <c r="AO27" s="72" t="n">
        <f aca="false">Model!AO81</f>
        <v>-0</v>
      </c>
      <c r="AP27" s="72" t="n">
        <f aca="false">Model!AP81</f>
        <v>-0</v>
      </c>
      <c r="AQ27" s="72" t="n">
        <f aca="false">Model!AQ81</f>
        <v>-0</v>
      </c>
      <c r="AR27" s="72" t="n">
        <f aca="false">Model!AR81</f>
        <v>-81683</v>
      </c>
      <c r="AS27" s="72" t="n">
        <f aca="false">Model!AS81</f>
        <v>-0</v>
      </c>
      <c r="AT27" s="72" t="n">
        <f aca="false">Model!AT81</f>
        <v>-0</v>
      </c>
      <c r="AU27" s="72" t="n">
        <f aca="false">Model!AU81</f>
        <v>-81682</v>
      </c>
      <c r="AV27" s="72" t="n">
        <f aca="false">Model!AV81</f>
        <v>-0</v>
      </c>
      <c r="AW27" s="72" t="n">
        <f aca="false">Model!AW81</f>
        <v>-0</v>
      </c>
      <c r="AX27" s="72" t="n">
        <f aca="false">Model!AX81</f>
        <v>-81682</v>
      </c>
      <c r="AY27" s="72" t="n">
        <f aca="false">Model!AY81</f>
        <v>-0</v>
      </c>
      <c r="AZ27" s="72" t="n">
        <f aca="false">Model!AZ81</f>
        <v>-0</v>
      </c>
      <c r="BA27" s="72" t="n">
        <f aca="false">Model!BA81</f>
        <v>-81682</v>
      </c>
      <c r="BB27" s="72" t="n">
        <f aca="false">Model!BB81</f>
        <v>-0</v>
      </c>
      <c r="BC27" s="72" t="n">
        <f aca="false">Model!BC81</f>
        <v>-0</v>
      </c>
      <c r="BD27" s="72" t="n">
        <f aca="false">Model!BD81</f>
        <v>-59178</v>
      </c>
      <c r="BE27" s="72" t="n">
        <f aca="false">Model!BE81</f>
        <v>-0</v>
      </c>
      <c r="BF27" s="72" t="n">
        <f aca="false">Model!BF81</f>
        <v>-0</v>
      </c>
      <c r="BG27" s="72" t="n">
        <f aca="false">Model!BG81</f>
        <v>-59176</v>
      </c>
      <c r="BH27" s="72" t="n">
        <f aca="false">Model!BH81</f>
        <v>-0</v>
      </c>
      <c r="BI27" s="72" t="n">
        <f aca="false">Model!BI81</f>
        <v>-0</v>
      </c>
      <c r="BJ27" s="72" t="n">
        <f aca="false">Model!BJ81</f>
        <v>-59176</v>
      </c>
      <c r="BK27" s="72" t="n">
        <f aca="false">Model!BK81</f>
        <v>-0</v>
      </c>
      <c r="BL27" s="72" t="n">
        <f aca="false">Model!BL81</f>
        <v>-0</v>
      </c>
      <c r="BM27" s="72" t="n">
        <f aca="false">Model!BM81</f>
        <v>-59176</v>
      </c>
      <c r="BN27" s="72" t="n">
        <f aca="false">Model!BN81</f>
        <v>-0</v>
      </c>
      <c r="BO27" s="72" t="n">
        <f aca="false">Model!BO81</f>
        <v>-0</v>
      </c>
      <c r="BP27" s="72" t="n">
        <f aca="false">Model!BP81</f>
        <v>-16249.48</v>
      </c>
      <c r="BQ27" s="72" t="n">
        <f aca="false">Model!BQ81</f>
        <v>-0</v>
      </c>
      <c r="BR27" s="72" t="n">
        <f aca="false">Model!BR81</f>
        <v>-0</v>
      </c>
      <c r="BS27" s="72" t="n">
        <f aca="false">Model!BS81</f>
        <v>-0</v>
      </c>
      <c r="BT27" s="72" t="n">
        <f aca="false">Model!BT81</f>
        <v>-0</v>
      </c>
      <c r="BU27" s="72" t="n">
        <f aca="false">Model!BU81</f>
        <v>-0</v>
      </c>
      <c r="BV27" s="72" t="n">
        <f aca="false">Model!BV81</f>
        <v>-0</v>
      </c>
      <c r="BW27" s="72" t="n">
        <f aca="false">Model!BW81</f>
        <v>-0</v>
      </c>
      <c r="BX27" s="72" t="n">
        <f aca="false">Model!BX81</f>
        <v>-0</v>
      </c>
      <c r="BY27" s="72" t="n">
        <f aca="false">Model!BY81</f>
        <v>-0</v>
      </c>
      <c r="BZ27" s="72" t="n">
        <f aca="false">Model!BZ81</f>
        <v>-0</v>
      </c>
      <c r="CA27" s="72" t="n">
        <f aca="false">Model!CA81</f>
        <v>-0</v>
      </c>
      <c r="CB27" s="72" t="n">
        <f aca="false">Model!CB81</f>
        <v>-0</v>
      </c>
      <c r="CC27" s="72" t="n">
        <f aca="false">Model!CC81</f>
        <v>-0</v>
      </c>
      <c r="CD27" s="72" t="n">
        <f aca="false">Model!CD81</f>
        <v>-0</v>
      </c>
      <c r="CE27" s="72" t="n">
        <f aca="false">Model!CE81</f>
        <v>-0</v>
      </c>
      <c r="CF27" s="72" t="n">
        <f aca="false">Model!CF81</f>
        <v>-0</v>
      </c>
      <c r="CG27" s="72" t="n">
        <f aca="false">Model!CG81</f>
        <v>-0</v>
      </c>
      <c r="CH27" s="72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211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8" t="n">
        <f aca="false">Model!C60</f>
        <v>0</v>
      </c>
      <c r="D32" s="68" t="n">
        <f aca="false">Model!D60</f>
        <v>0</v>
      </c>
      <c r="E32" s="68" t="n">
        <f aca="false">Model!E60</f>
        <v>0</v>
      </c>
      <c r="F32" s="68" t="n">
        <f aca="false">Model!F60</f>
        <v>0</v>
      </c>
      <c r="G32" s="68" t="n">
        <f aca="false">Model!G60</f>
        <v>0</v>
      </c>
      <c r="H32" s="68" t="n">
        <f aca="false">Model!H60</f>
        <v>0</v>
      </c>
      <c r="I32" s="68" t="n">
        <f aca="false">Model!I60</f>
        <v>0</v>
      </c>
      <c r="J32" s="68" t="n">
        <f aca="false">Model!J60</f>
        <v>0</v>
      </c>
      <c r="K32" s="68" t="n">
        <f aca="false">Model!K60</f>
        <v>0</v>
      </c>
      <c r="L32" s="68" t="n">
        <f aca="false">Model!L60</f>
        <v>0</v>
      </c>
      <c r="M32" s="68" t="n">
        <f aca="false">Model!M60</f>
        <v>0</v>
      </c>
      <c r="N32" s="68" t="n">
        <f aca="false">Model!N60</f>
        <v>0</v>
      </c>
      <c r="O32" s="68" t="n">
        <f aca="false">Model!O60</f>
        <v>0</v>
      </c>
      <c r="P32" s="68" t="n">
        <f aca="false">Model!P60</f>
        <v>0</v>
      </c>
      <c r="Q32" s="68" t="n">
        <f aca="false">Model!Q60</f>
        <v>0</v>
      </c>
      <c r="R32" s="68" t="n">
        <f aca="false">Model!R60</f>
        <v>0</v>
      </c>
      <c r="S32" s="68" t="n">
        <f aca="false">Model!S60</f>
        <v>0</v>
      </c>
      <c r="T32" s="68" t="n">
        <f aca="false">Model!T60</f>
        <v>0</v>
      </c>
      <c r="U32" s="68" t="n">
        <f aca="false">Model!U60</f>
        <v>0</v>
      </c>
      <c r="V32" s="68" t="n">
        <f aca="false">Model!V60</f>
        <v>0</v>
      </c>
      <c r="W32" s="68" t="n">
        <f aca="false">Model!W60</f>
        <v>0</v>
      </c>
      <c r="X32" s="68" t="n">
        <f aca="false">Model!X60</f>
        <v>0</v>
      </c>
      <c r="Y32" s="68" t="n">
        <f aca="false">Model!Y60</f>
        <v>0</v>
      </c>
      <c r="Z32" s="68" t="n">
        <f aca="false">Model!Z60</f>
        <v>0</v>
      </c>
      <c r="AA32" s="68" t="n">
        <f aca="false">Model!AA60</f>
        <v>0</v>
      </c>
      <c r="AB32" s="68" t="n">
        <f aca="false">Model!AB60</f>
        <v>0</v>
      </c>
      <c r="AC32" s="68" t="n">
        <f aca="false">Model!AC60</f>
        <v>0</v>
      </c>
      <c r="AD32" s="68" t="n">
        <f aca="false">Model!AD60</f>
        <v>0</v>
      </c>
      <c r="AE32" s="68" t="n">
        <f aca="false">Model!AE60</f>
        <v>0</v>
      </c>
      <c r="AF32" s="68" t="n">
        <f aca="false">Model!AF60</f>
        <v>0</v>
      </c>
      <c r="AG32" s="68" t="n">
        <f aca="false">Model!AG60</f>
        <v>0</v>
      </c>
      <c r="AH32" s="68" t="n">
        <f aca="false">Model!AH60</f>
        <v>0</v>
      </c>
      <c r="AI32" s="68" t="n">
        <f aca="false">Model!AI60</f>
        <v>0</v>
      </c>
      <c r="AJ32" s="68" t="n">
        <f aca="false">Model!AJ60</f>
        <v>0</v>
      </c>
      <c r="AK32" s="68" t="n">
        <f aca="false">Model!AK60</f>
        <v>0</v>
      </c>
      <c r="AL32" s="68" t="n">
        <f aca="false">Model!AL60</f>
        <v>0</v>
      </c>
      <c r="AM32" s="68" t="n">
        <f aca="false">Model!AM60</f>
        <v>0</v>
      </c>
      <c r="AN32" s="68" t="n">
        <f aca="false">Model!AN60</f>
        <v>0</v>
      </c>
      <c r="AO32" s="68" t="n">
        <f aca="false">Model!AO60</f>
        <v>0</v>
      </c>
      <c r="AP32" s="68" t="n">
        <f aca="false">Model!AP60</f>
        <v>0</v>
      </c>
      <c r="AQ32" s="68" t="n">
        <f aca="false">Model!AQ60</f>
        <v>0</v>
      </c>
      <c r="AR32" s="68" t="n">
        <f aca="false">Model!AR60</f>
        <v>0</v>
      </c>
      <c r="AS32" s="68" t="n">
        <f aca="false">Model!AS60</f>
        <v>0</v>
      </c>
      <c r="AT32" s="68" t="n">
        <f aca="false">Model!AT60</f>
        <v>0</v>
      </c>
      <c r="AU32" s="68" t="n">
        <f aca="false">Model!AU60</f>
        <v>0</v>
      </c>
      <c r="AV32" s="68" t="n">
        <f aca="false">Model!AV60</f>
        <v>0</v>
      </c>
      <c r="AW32" s="68" t="n">
        <f aca="false">Model!AW60</f>
        <v>0</v>
      </c>
      <c r="AX32" s="68" t="n">
        <f aca="false">Model!AX60</f>
        <v>0</v>
      </c>
      <c r="AY32" s="68" t="n">
        <f aca="false">Model!AY60</f>
        <v>0</v>
      </c>
      <c r="AZ32" s="68" t="n">
        <f aca="false">Model!AZ60</f>
        <v>0</v>
      </c>
      <c r="BA32" s="68" t="n">
        <f aca="false">Model!BA60</f>
        <v>851839</v>
      </c>
      <c r="BB32" s="68" t="n">
        <f aca="false">Model!BB60</f>
        <v>0</v>
      </c>
      <c r="BC32" s="68" t="n">
        <f aca="false">Model!BC60</f>
        <v>0</v>
      </c>
      <c r="BD32" s="68" t="n">
        <f aca="false">Model!BD60</f>
        <v>71700</v>
      </c>
      <c r="BE32" s="68" t="n">
        <f aca="false">Model!BE60</f>
        <v>0</v>
      </c>
      <c r="BF32" s="68" t="n">
        <f aca="false">Model!BF60</f>
        <v>0</v>
      </c>
      <c r="BG32" s="68" t="n">
        <f aca="false">Model!BG60</f>
        <v>71700</v>
      </c>
      <c r="BH32" s="68" t="n">
        <f aca="false">Model!BH60</f>
        <v>0</v>
      </c>
      <c r="BI32" s="68" t="n">
        <f aca="false">Model!BI60</f>
        <v>0</v>
      </c>
      <c r="BJ32" s="68" t="n">
        <f aca="false">Model!BJ60</f>
        <v>71700</v>
      </c>
      <c r="BK32" s="68" t="n">
        <f aca="false">Model!BK60</f>
        <v>0</v>
      </c>
      <c r="BL32" s="68" t="n">
        <f aca="false">Model!BL60</f>
        <v>0</v>
      </c>
      <c r="BM32" s="68" t="n">
        <f aca="false">Model!BM60</f>
        <v>71700</v>
      </c>
      <c r="BN32" s="68" t="n">
        <f aca="false">Model!BN60</f>
        <v>0</v>
      </c>
      <c r="BO32" s="68" t="n">
        <f aca="false">Model!BO60</f>
        <v>0</v>
      </c>
      <c r="BP32" s="68" t="n">
        <f aca="false">Model!BP60</f>
        <v>74643</v>
      </c>
      <c r="BQ32" s="68" t="n">
        <f aca="false">Model!BQ60</f>
        <v>0</v>
      </c>
      <c r="BR32" s="68" t="n">
        <f aca="false">Model!BR60</f>
        <v>0</v>
      </c>
      <c r="BS32" s="68" t="n">
        <f aca="false">Model!BS60</f>
        <v>74640</v>
      </c>
      <c r="BT32" s="68" t="n">
        <f aca="false">Model!BT60</f>
        <v>0</v>
      </c>
      <c r="BU32" s="68" t="n">
        <f aca="false">Model!BU60</f>
        <v>0</v>
      </c>
      <c r="BV32" s="68" t="n">
        <f aca="false">Model!BV60</f>
        <v>74640</v>
      </c>
      <c r="BW32" s="68" t="n">
        <f aca="false">Model!BW60</f>
        <v>0</v>
      </c>
      <c r="BX32" s="68" t="n">
        <f aca="false">Model!BX60</f>
        <v>0</v>
      </c>
      <c r="BY32" s="68" t="n">
        <f aca="false">Model!BY60</f>
        <v>74640</v>
      </c>
      <c r="BZ32" s="68" t="n">
        <f aca="false">Model!BZ60</f>
        <v>0</v>
      </c>
      <c r="CA32" s="68" t="n">
        <f aca="false">Model!CA60</f>
        <v>0</v>
      </c>
      <c r="CB32" s="68" t="n">
        <f aca="false">Model!CB60</f>
        <v>81363</v>
      </c>
      <c r="CC32" s="68" t="n">
        <f aca="false">Model!CC60</f>
        <v>0</v>
      </c>
      <c r="CD32" s="68" t="n">
        <f aca="false">Model!CD60</f>
        <v>0</v>
      </c>
      <c r="CE32" s="68" t="n">
        <f aca="false">Model!CE60</f>
        <v>81362</v>
      </c>
      <c r="CF32" s="68" t="n">
        <f aca="false">Model!CF60</f>
        <v>0</v>
      </c>
      <c r="CG32" s="68" t="n">
        <f aca="false">Model!CG60</f>
        <v>0</v>
      </c>
      <c r="CH32" s="68" t="n">
        <f aca="false">Model!CH60</f>
        <v>81362</v>
      </c>
    </row>
    <row r="33" customFormat="false" ht="15" hidden="false" customHeight="true" outlineLevel="0" collapsed="false">
      <c r="A33" s="71" t="s">
        <v>213</v>
      </c>
      <c r="B33" s="3"/>
      <c r="C33" s="72" t="n">
        <f aca="false">Model!C82</f>
        <v>-0</v>
      </c>
      <c r="D33" s="72" t="n">
        <f aca="false">Model!D82</f>
        <v>-0</v>
      </c>
      <c r="E33" s="72" t="n">
        <f aca="false">Model!E82</f>
        <v>-0</v>
      </c>
      <c r="F33" s="72" t="n">
        <f aca="false">Model!F82</f>
        <v>-0</v>
      </c>
      <c r="G33" s="72" t="n">
        <f aca="false">Model!G82</f>
        <v>-0</v>
      </c>
      <c r="H33" s="72" t="n">
        <f aca="false">Model!H82</f>
        <v>-0</v>
      </c>
      <c r="I33" s="72" t="n">
        <f aca="false">Model!I82</f>
        <v>-0</v>
      </c>
      <c r="J33" s="72" t="n">
        <f aca="false">Model!J82</f>
        <v>-0</v>
      </c>
      <c r="K33" s="72" t="n">
        <f aca="false">Model!K82</f>
        <v>-0</v>
      </c>
      <c r="L33" s="72" t="n">
        <f aca="false">Model!L82</f>
        <v>-0</v>
      </c>
      <c r="M33" s="72" t="n">
        <f aca="false">Model!M82</f>
        <v>-0</v>
      </c>
      <c r="N33" s="72" t="n">
        <f aca="false">Model!N82</f>
        <v>-0</v>
      </c>
      <c r="O33" s="72" t="n">
        <f aca="false">Model!O82</f>
        <v>-0</v>
      </c>
      <c r="P33" s="72" t="n">
        <f aca="false">Model!P82</f>
        <v>-0</v>
      </c>
      <c r="Q33" s="72" t="n">
        <f aca="false">Model!Q82</f>
        <v>-0</v>
      </c>
      <c r="R33" s="72" t="n">
        <f aca="false">Model!R82</f>
        <v>-0</v>
      </c>
      <c r="S33" s="72" t="n">
        <f aca="false">Model!S82</f>
        <v>-0</v>
      </c>
      <c r="T33" s="72" t="n">
        <f aca="false">Model!T82</f>
        <v>-0</v>
      </c>
      <c r="U33" s="72" t="n">
        <f aca="false">Model!U82</f>
        <v>-0</v>
      </c>
      <c r="V33" s="72" t="n">
        <f aca="false">Model!V82</f>
        <v>-0</v>
      </c>
      <c r="W33" s="72" t="n">
        <f aca="false">Model!W82</f>
        <v>-0</v>
      </c>
      <c r="X33" s="72" t="n">
        <f aca="false">Model!X82</f>
        <v>-0</v>
      </c>
      <c r="Y33" s="72" t="n">
        <f aca="false">Model!Y82</f>
        <v>-0</v>
      </c>
      <c r="Z33" s="72" t="n">
        <f aca="false">Model!Z82</f>
        <v>-0</v>
      </c>
      <c r="AA33" s="72" t="n">
        <f aca="false">Model!AA82</f>
        <v>-0</v>
      </c>
      <c r="AB33" s="72" t="n">
        <f aca="false">Model!AB82</f>
        <v>-0</v>
      </c>
      <c r="AC33" s="72" t="n">
        <f aca="false">Model!AC82</f>
        <v>-0</v>
      </c>
      <c r="AD33" s="72" t="n">
        <f aca="false">Model!AD82</f>
        <v>-0</v>
      </c>
      <c r="AE33" s="72" t="n">
        <f aca="false">Model!AE82</f>
        <v>-0</v>
      </c>
      <c r="AF33" s="72" t="n">
        <f aca="false">Model!AF82</f>
        <v>-0</v>
      </c>
      <c r="AG33" s="72" t="n">
        <f aca="false">Model!AG82</f>
        <v>-0</v>
      </c>
      <c r="AH33" s="72" t="n">
        <f aca="false">Model!AH82</f>
        <v>-0</v>
      </c>
      <c r="AI33" s="72" t="n">
        <f aca="false">Model!AI82</f>
        <v>-0</v>
      </c>
      <c r="AJ33" s="72" t="n">
        <f aca="false">Model!AJ82</f>
        <v>-0</v>
      </c>
      <c r="AK33" s="72" t="n">
        <f aca="false">Model!AK82</f>
        <v>-0</v>
      </c>
      <c r="AL33" s="72" t="n">
        <f aca="false">Model!AL82</f>
        <v>-0</v>
      </c>
      <c r="AM33" s="72" t="n">
        <f aca="false">Model!AM82</f>
        <v>-0</v>
      </c>
      <c r="AN33" s="72" t="n">
        <f aca="false">Model!AN82</f>
        <v>-0</v>
      </c>
      <c r="AO33" s="72" t="n">
        <f aca="false">Model!AO82</f>
        <v>-0</v>
      </c>
      <c r="AP33" s="72" t="n">
        <f aca="false">Model!AP82</f>
        <v>-0</v>
      </c>
      <c r="AQ33" s="72" t="n">
        <f aca="false">Model!AQ82</f>
        <v>-0</v>
      </c>
      <c r="AR33" s="72" t="n">
        <f aca="false">Model!AR82</f>
        <v>-0</v>
      </c>
      <c r="AS33" s="72" t="n">
        <f aca="false">Model!AS82</f>
        <v>-0</v>
      </c>
      <c r="AT33" s="72" t="n">
        <f aca="false">Model!AT82</f>
        <v>-0</v>
      </c>
      <c r="AU33" s="72" t="n">
        <f aca="false">Model!AU82</f>
        <v>-0</v>
      </c>
      <c r="AV33" s="72" t="n">
        <f aca="false">Model!AV82</f>
        <v>-0</v>
      </c>
      <c r="AW33" s="72" t="n">
        <f aca="false">Model!AW82</f>
        <v>-0</v>
      </c>
      <c r="AX33" s="72" t="n">
        <f aca="false">Model!AX82</f>
        <v>-0</v>
      </c>
      <c r="AY33" s="72" t="n">
        <f aca="false">Model!AY82</f>
        <v>-0</v>
      </c>
      <c r="AZ33" s="72" t="n">
        <f aca="false">Model!AZ82</f>
        <v>-0</v>
      </c>
      <c r="BA33" s="72" t="n">
        <f aca="false">Model!BA82</f>
        <v>-851839</v>
      </c>
      <c r="BB33" s="72" t="n">
        <f aca="false">Model!BB82</f>
        <v>-0</v>
      </c>
      <c r="BC33" s="72" t="n">
        <f aca="false">Model!BC82</f>
        <v>-0</v>
      </c>
      <c r="BD33" s="72" t="n">
        <f aca="false">Model!BD82</f>
        <v>-71700</v>
      </c>
      <c r="BE33" s="72" t="n">
        <f aca="false">Model!BE82</f>
        <v>-0</v>
      </c>
      <c r="BF33" s="72" t="n">
        <f aca="false">Model!BF82</f>
        <v>-0</v>
      </c>
      <c r="BG33" s="72" t="n">
        <f aca="false">Model!BG82</f>
        <v>-71700</v>
      </c>
      <c r="BH33" s="72" t="n">
        <f aca="false">Model!BH82</f>
        <v>-0</v>
      </c>
      <c r="BI33" s="72" t="n">
        <f aca="false">Model!BI82</f>
        <v>-0</v>
      </c>
      <c r="BJ33" s="72" t="n">
        <f aca="false">Model!BJ82</f>
        <v>-71700</v>
      </c>
      <c r="BK33" s="72" t="n">
        <f aca="false">Model!BK82</f>
        <v>-0</v>
      </c>
      <c r="BL33" s="72" t="n">
        <f aca="false">Model!BL82</f>
        <v>-0</v>
      </c>
      <c r="BM33" s="72" t="n">
        <f aca="false">Model!BM82</f>
        <v>-71700</v>
      </c>
      <c r="BN33" s="72" t="n">
        <f aca="false">Model!BN82</f>
        <v>-0</v>
      </c>
      <c r="BO33" s="72" t="n">
        <f aca="false">Model!BO82</f>
        <v>-0</v>
      </c>
      <c r="BP33" s="72" t="n">
        <f aca="false">Model!BP82</f>
        <v>-74643</v>
      </c>
      <c r="BQ33" s="72" t="n">
        <f aca="false">Model!BQ82</f>
        <v>-0</v>
      </c>
      <c r="BR33" s="72" t="n">
        <f aca="false">Model!BR82</f>
        <v>-0</v>
      </c>
      <c r="BS33" s="72" t="n">
        <f aca="false">Model!BS82</f>
        <v>-74640</v>
      </c>
      <c r="BT33" s="72" t="n">
        <f aca="false">Model!BT82</f>
        <v>-0</v>
      </c>
      <c r="BU33" s="72" t="n">
        <f aca="false">Model!BU82</f>
        <v>-0</v>
      </c>
      <c r="BV33" s="72" t="n">
        <f aca="false">Model!BV82</f>
        <v>-74640</v>
      </c>
      <c r="BW33" s="72" t="n">
        <f aca="false">Model!BW82</f>
        <v>-0</v>
      </c>
      <c r="BX33" s="72" t="n">
        <f aca="false">Model!BX82</f>
        <v>-0</v>
      </c>
      <c r="BY33" s="72" t="n">
        <f aca="false">Model!BY82</f>
        <v>-74640</v>
      </c>
      <c r="BZ33" s="72" t="n">
        <f aca="false">Model!BZ82</f>
        <v>-0</v>
      </c>
      <c r="CA33" s="72" t="n">
        <f aca="false">Model!CA82</f>
        <v>-0</v>
      </c>
      <c r="CB33" s="72" t="n">
        <f aca="false">Model!CB82</f>
        <v>-81363</v>
      </c>
      <c r="CC33" s="72" t="n">
        <f aca="false">Model!CC82</f>
        <v>-0</v>
      </c>
      <c r="CD33" s="72" t="n">
        <f aca="false">Model!CD82</f>
        <v>-0</v>
      </c>
      <c r="CE33" s="72" t="n">
        <f aca="false">Model!CE82</f>
        <v>-81362</v>
      </c>
      <c r="CF33" s="72" t="n">
        <f aca="false">Model!CF82</f>
        <v>-0</v>
      </c>
      <c r="CG33" s="72" t="n">
        <f aca="false">Model!CG82</f>
        <v>-0</v>
      </c>
      <c r="CH33" s="72" t="n">
        <f aca="false">Model!CH82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Model!C156</f>
        <v>0</v>
      </c>
      <c r="D34" s="72" t="n">
        <f aca="false">Model!D156</f>
        <v>0</v>
      </c>
      <c r="E34" s="72" t="n">
        <f aca="false">Model!E156</f>
        <v>0</v>
      </c>
      <c r="F34" s="72" t="n">
        <f aca="false">Model!F156</f>
        <v>0</v>
      </c>
      <c r="G34" s="72" t="n">
        <f aca="false">Model!G156</f>
        <v>0</v>
      </c>
      <c r="H34" s="72" t="n">
        <f aca="false">Model!H156</f>
        <v>0</v>
      </c>
      <c r="I34" s="72" t="n">
        <f aca="false">Model!I156</f>
        <v>0</v>
      </c>
      <c r="J34" s="72" t="n">
        <f aca="false">Model!J156</f>
        <v>0</v>
      </c>
      <c r="K34" s="72" t="n">
        <f aca="false">Model!K156</f>
        <v>0</v>
      </c>
      <c r="L34" s="72" t="n">
        <f aca="false">Model!L156</f>
        <v>0</v>
      </c>
      <c r="M34" s="72" t="n">
        <f aca="false">Model!M156</f>
        <v>0</v>
      </c>
      <c r="N34" s="72" t="n">
        <f aca="false">Model!N156</f>
        <v>0</v>
      </c>
      <c r="O34" s="72" t="n">
        <f aca="false">Model!O156</f>
        <v>0</v>
      </c>
      <c r="P34" s="72" t="n">
        <f aca="false">Model!P156</f>
        <v>0</v>
      </c>
      <c r="Q34" s="72" t="n">
        <f aca="false">Model!Q156</f>
        <v>0</v>
      </c>
      <c r="R34" s="72" t="n">
        <f aca="false">Model!R156</f>
        <v>0</v>
      </c>
      <c r="S34" s="72" t="n">
        <f aca="false">Model!S156</f>
        <v>0</v>
      </c>
      <c r="T34" s="72" t="n">
        <f aca="false">Model!T156</f>
        <v>0</v>
      </c>
      <c r="U34" s="72" t="n">
        <f aca="false">Model!U156</f>
        <v>0</v>
      </c>
      <c r="V34" s="72" t="n">
        <f aca="false">Model!V156</f>
        <v>0</v>
      </c>
      <c r="W34" s="72" t="n">
        <f aca="false">Model!W156</f>
        <v>0</v>
      </c>
      <c r="X34" s="72" t="n">
        <f aca="false">Model!X156</f>
        <v>0</v>
      </c>
      <c r="Y34" s="72" t="n">
        <f aca="false">Model!Y156</f>
        <v>0</v>
      </c>
      <c r="Z34" s="72" t="n">
        <f aca="false">Model!Z156</f>
        <v>0</v>
      </c>
      <c r="AA34" s="72" t="n">
        <f aca="false">Model!AA156</f>
        <v>0</v>
      </c>
      <c r="AB34" s="72" t="n">
        <f aca="false">Model!AB156</f>
        <v>0</v>
      </c>
      <c r="AC34" s="72" t="n">
        <f aca="false">Model!AC156</f>
        <v>0</v>
      </c>
      <c r="AD34" s="72" t="n">
        <f aca="false">Model!AD156</f>
        <v>0</v>
      </c>
      <c r="AE34" s="72" t="n">
        <f aca="false">Model!AE156</f>
        <v>0</v>
      </c>
      <c r="AF34" s="72" t="n">
        <f aca="false">Model!AF156</f>
        <v>0</v>
      </c>
      <c r="AG34" s="72" t="n">
        <f aca="false">Model!AG156</f>
        <v>0</v>
      </c>
      <c r="AH34" s="72" t="n">
        <f aca="false">Model!AH156</f>
        <v>0</v>
      </c>
      <c r="AI34" s="72" t="n">
        <f aca="false">Model!AI156</f>
        <v>0</v>
      </c>
      <c r="AJ34" s="72" t="n">
        <f aca="false">Model!AJ156</f>
        <v>0</v>
      </c>
      <c r="AK34" s="72" t="n">
        <f aca="false">Model!AK156</f>
        <v>0</v>
      </c>
      <c r="AL34" s="72" t="n">
        <f aca="false">Model!AL156</f>
        <v>0</v>
      </c>
      <c r="AM34" s="72" t="n">
        <f aca="false">Model!AM156</f>
        <v>0</v>
      </c>
      <c r="AN34" s="72" t="n">
        <f aca="false">Model!AN156</f>
        <v>0</v>
      </c>
      <c r="AO34" s="72" t="n">
        <f aca="false">Model!AO156</f>
        <v>0</v>
      </c>
      <c r="AP34" s="72" t="n">
        <f aca="false">Model!AP156</f>
        <v>0</v>
      </c>
      <c r="AQ34" s="72" t="n">
        <f aca="false">Model!AQ156</f>
        <v>0</v>
      </c>
      <c r="AR34" s="72" t="n">
        <f aca="false">Model!AR156</f>
        <v>0</v>
      </c>
      <c r="AS34" s="72" t="n">
        <f aca="false">Model!AS156</f>
        <v>0</v>
      </c>
      <c r="AT34" s="72" t="n">
        <f aca="false">Model!AT156</f>
        <v>0</v>
      </c>
      <c r="AU34" s="72" t="n">
        <f aca="false">Model!AU156</f>
        <v>0</v>
      </c>
      <c r="AV34" s="72" t="n">
        <f aca="false">Model!AV156</f>
        <v>0</v>
      </c>
      <c r="AW34" s="72" t="n">
        <f aca="false">Model!AW156</f>
        <v>0</v>
      </c>
      <c r="AX34" s="72" t="n">
        <f aca="false">Model!AX156</f>
        <v>0</v>
      </c>
      <c r="AY34" s="72" t="n">
        <f aca="false">Model!AY156</f>
        <v>0</v>
      </c>
      <c r="AZ34" s="72" t="n">
        <f aca="false">Model!AZ156</f>
        <v>0</v>
      </c>
      <c r="BA34" s="72" t="n">
        <f aca="false">Model!BA156</f>
        <v>0</v>
      </c>
      <c r="BB34" s="72" t="n">
        <f aca="false">Model!BB156</f>
        <v>0</v>
      </c>
      <c r="BC34" s="72" t="n">
        <f aca="false">Model!BC156</f>
        <v>0</v>
      </c>
      <c r="BD34" s="72" t="n">
        <f aca="false">Model!BD156</f>
        <v>0</v>
      </c>
      <c r="BE34" s="72" t="n">
        <f aca="false">Model!BE156</f>
        <v>0</v>
      </c>
      <c r="BF34" s="72" t="n">
        <f aca="false">Model!BF156</f>
        <v>0</v>
      </c>
      <c r="BG34" s="72" t="n">
        <f aca="false">Model!BG156</f>
        <v>0</v>
      </c>
      <c r="BH34" s="72" t="n">
        <f aca="false">Model!BH156</f>
        <v>0</v>
      </c>
      <c r="BI34" s="72" t="n">
        <f aca="false">Model!BI156</f>
        <v>0</v>
      </c>
      <c r="BJ34" s="72" t="n">
        <f aca="false">Model!BJ156</f>
        <v>0</v>
      </c>
      <c r="BK34" s="72" t="n">
        <f aca="false">Model!BK156</f>
        <v>0</v>
      </c>
      <c r="BL34" s="72" t="n">
        <f aca="false">Model!BL156</f>
        <v>0</v>
      </c>
      <c r="BM34" s="72" t="n">
        <f aca="false">Model!BM156</f>
        <v>0</v>
      </c>
      <c r="BN34" s="72" t="n">
        <f aca="false">Model!BN156</f>
        <v>0</v>
      </c>
      <c r="BO34" s="72" t="n">
        <f aca="false">Model!BO156</f>
        <v>0</v>
      </c>
      <c r="BP34" s="72" t="n">
        <f aca="false">Model!BP156</f>
        <v>0</v>
      </c>
      <c r="BQ34" s="72" t="n">
        <f aca="false">Model!BQ156</f>
        <v>0</v>
      </c>
      <c r="BR34" s="72" t="n">
        <f aca="false">Model!BR156</f>
        <v>0</v>
      </c>
      <c r="BS34" s="72" t="n">
        <f aca="false">Model!BS156</f>
        <v>0</v>
      </c>
      <c r="BT34" s="72" t="n">
        <f aca="false">Model!BT156</f>
        <v>0</v>
      </c>
      <c r="BU34" s="72" t="n">
        <f aca="false">Model!BU156</f>
        <v>0</v>
      </c>
      <c r="BV34" s="72" t="n">
        <f aca="false">Model!BV156</f>
        <v>0</v>
      </c>
      <c r="BW34" s="72" t="n">
        <f aca="false">Model!BW156</f>
        <v>0</v>
      </c>
      <c r="BX34" s="72" t="n">
        <f aca="false">Model!BX156</f>
        <v>0</v>
      </c>
      <c r="BY34" s="72" t="n">
        <f aca="false">Model!BY156</f>
        <v>0</v>
      </c>
      <c r="BZ34" s="72" t="n">
        <f aca="false">Model!BZ156</f>
        <v>0</v>
      </c>
      <c r="CA34" s="72" t="n">
        <f aca="false">Model!CA156</f>
        <v>0</v>
      </c>
      <c r="CB34" s="72" t="n">
        <f aca="false">Model!CB156</f>
        <v>0</v>
      </c>
      <c r="CC34" s="72" t="n">
        <f aca="false">Model!CC156</f>
        <v>0</v>
      </c>
      <c r="CD34" s="72" t="n">
        <f aca="false">Model!CD156</f>
        <v>0</v>
      </c>
      <c r="CE34" s="72" t="n">
        <f aca="false">Model!CE156</f>
        <v>0</v>
      </c>
      <c r="CF34" s="72" t="n">
        <f aca="false">Model!CF156</f>
        <v>0</v>
      </c>
      <c r="CG34" s="72" t="n">
        <f aca="false">Model!CG156</f>
        <v>0</v>
      </c>
      <c r="CH34" s="72" t="n">
        <f aca="false">Model!CH156</f>
        <v>0</v>
      </c>
    </row>
    <row r="35" customFormat="false" ht="15" hidden="false" customHeight="true" outlineLevel="0" collapsed="false">
      <c r="A35" s="30" t="s">
        <v>210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211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213</v>
      </c>
      <c r="B40" s="3"/>
      <c r="C40" s="72" t="n">
        <f aca="false">Model!C83</f>
        <v>-0</v>
      </c>
      <c r="D40" s="72" t="n">
        <f aca="false">Model!D83</f>
        <v>-0</v>
      </c>
      <c r="E40" s="72" t="n">
        <f aca="false">Model!E83</f>
        <v>-0</v>
      </c>
      <c r="F40" s="72" t="n">
        <f aca="false">Model!F83</f>
        <v>-0</v>
      </c>
      <c r="G40" s="72" t="n">
        <f aca="false">Model!G83</f>
        <v>-0</v>
      </c>
      <c r="H40" s="72" t="n">
        <f aca="false">Model!H83</f>
        <v>-0</v>
      </c>
      <c r="I40" s="72" t="n">
        <f aca="false">Model!I83</f>
        <v>-0</v>
      </c>
      <c r="J40" s="72" t="n">
        <f aca="false">Model!J83</f>
        <v>-0</v>
      </c>
      <c r="K40" s="72" t="n">
        <f aca="false">Model!K83</f>
        <v>-0</v>
      </c>
      <c r="L40" s="72" t="n">
        <f aca="false">Model!L83</f>
        <v>-0</v>
      </c>
      <c r="M40" s="72" t="n">
        <f aca="false">Model!M83</f>
        <v>-0</v>
      </c>
      <c r="N40" s="72" t="n">
        <f aca="false">Model!N83</f>
        <v>-0</v>
      </c>
      <c r="O40" s="72" t="n">
        <f aca="false">Model!O83</f>
        <v>-0</v>
      </c>
      <c r="P40" s="72" t="n">
        <f aca="false">Model!P83</f>
        <v>-0</v>
      </c>
      <c r="Q40" s="72" t="n">
        <f aca="false">Model!Q83</f>
        <v>-0</v>
      </c>
      <c r="R40" s="72" t="n">
        <f aca="false">Model!R83</f>
        <v>-0</v>
      </c>
      <c r="S40" s="72" t="n">
        <f aca="false">Model!S83</f>
        <v>-0</v>
      </c>
      <c r="T40" s="72" t="n">
        <f aca="false">Model!T83</f>
        <v>-0</v>
      </c>
      <c r="U40" s="72" t="n">
        <f aca="false">Model!U83</f>
        <v>-0</v>
      </c>
      <c r="V40" s="72" t="n">
        <f aca="false">Model!V83</f>
        <v>-0</v>
      </c>
      <c r="W40" s="72" t="n">
        <f aca="false">Model!W83</f>
        <v>-0</v>
      </c>
      <c r="X40" s="72" t="n">
        <f aca="false">Model!X83</f>
        <v>-0</v>
      </c>
      <c r="Y40" s="72" t="n">
        <f aca="false">Model!Y83</f>
        <v>-0</v>
      </c>
      <c r="Z40" s="72" t="n">
        <f aca="false">Model!Z83</f>
        <v>-0</v>
      </c>
      <c r="AA40" s="72" t="n">
        <f aca="false">Model!AA83</f>
        <v>-0</v>
      </c>
      <c r="AB40" s="72" t="n">
        <f aca="false">Model!AB83</f>
        <v>-0</v>
      </c>
      <c r="AC40" s="72" t="n">
        <f aca="false">Model!AC83</f>
        <v>-0</v>
      </c>
      <c r="AD40" s="72" t="n">
        <f aca="false">Model!AD83</f>
        <v>-0</v>
      </c>
      <c r="AE40" s="72" t="n">
        <f aca="false">Model!AE83</f>
        <v>-0</v>
      </c>
      <c r="AF40" s="72" t="n">
        <f aca="false">Model!AF83</f>
        <v>-0</v>
      </c>
      <c r="AG40" s="72" t="n">
        <f aca="false">Model!AG83</f>
        <v>-0</v>
      </c>
      <c r="AH40" s="72" t="n">
        <f aca="false">Model!AH83</f>
        <v>-0</v>
      </c>
      <c r="AI40" s="72" t="n">
        <f aca="false">Model!AI83</f>
        <v>-0</v>
      </c>
      <c r="AJ40" s="72" t="n">
        <f aca="false">Model!AJ83</f>
        <v>-0</v>
      </c>
      <c r="AK40" s="72" t="n">
        <f aca="false">Model!AK83</f>
        <v>-0</v>
      </c>
      <c r="AL40" s="72" t="n">
        <f aca="false">Model!AL83</f>
        <v>-0</v>
      </c>
      <c r="AM40" s="72" t="n">
        <f aca="false">Model!AM83</f>
        <v>-0</v>
      </c>
      <c r="AN40" s="72" t="n">
        <f aca="false">Model!AN83</f>
        <v>-0</v>
      </c>
      <c r="AO40" s="72" t="n">
        <f aca="false">Model!AO83</f>
        <v>-0</v>
      </c>
      <c r="AP40" s="72" t="n">
        <f aca="false">Model!AP83</f>
        <v>-0</v>
      </c>
      <c r="AQ40" s="72" t="n">
        <f aca="false">Model!AQ83</f>
        <v>-0</v>
      </c>
      <c r="AR40" s="72" t="n">
        <f aca="false">Model!AR83</f>
        <v>-0</v>
      </c>
      <c r="AS40" s="72" t="n">
        <f aca="false">Model!AS83</f>
        <v>-0</v>
      </c>
      <c r="AT40" s="72" t="n">
        <f aca="false">Model!AT83</f>
        <v>-0</v>
      </c>
      <c r="AU40" s="72" t="n">
        <f aca="false">Model!AU83</f>
        <v>-0</v>
      </c>
      <c r="AV40" s="72" t="n">
        <f aca="false">Model!AV83</f>
        <v>-0</v>
      </c>
      <c r="AW40" s="72" t="n">
        <f aca="false">Model!AW83</f>
        <v>-0</v>
      </c>
      <c r="AX40" s="72" t="n">
        <f aca="false">Model!AX83</f>
        <v>-0</v>
      </c>
      <c r="AY40" s="72" t="n">
        <f aca="false">Model!AY83</f>
        <v>-0</v>
      </c>
      <c r="AZ40" s="72" t="n">
        <f aca="false">Model!AZ83</f>
        <v>-0</v>
      </c>
      <c r="BA40" s="72" t="n">
        <f aca="false">Model!BA83</f>
        <v>-0</v>
      </c>
      <c r="BB40" s="72" t="n">
        <f aca="false">Model!BB83</f>
        <v>-0</v>
      </c>
      <c r="BC40" s="72" t="n">
        <f aca="false">Model!BC83</f>
        <v>-0</v>
      </c>
      <c r="BD40" s="72" t="n">
        <f aca="false">Model!BD83</f>
        <v>-0</v>
      </c>
      <c r="BE40" s="72" t="n">
        <f aca="false">Model!BE83</f>
        <v>-0</v>
      </c>
      <c r="BF40" s="72" t="n">
        <f aca="false">Model!BF83</f>
        <v>-0</v>
      </c>
      <c r="BG40" s="72" t="n">
        <f aca="false">Model!BG83</f>
        <v>-0</v>
      </c>
      <c r="BH40" s="72" t="n">
        <f aca="false">Model!BH83</f>
        <v>-0</v>
      </c>
      <c r="BI40" s="72" t="n">
        <f aca="false">Model!BI83</f>
        <v>-0</v>
      </c>
      <c r="BJ40" s="72" t="n">
        <f aca="false">Model!BJ83</f>
        <v>-0</v>
      </c>
      <c r="BK40" s="72" t="n">
        <f aca="false">Model!BK83</f>
        <v>-0</v>
      </c>
      <c r="BL40" s="72" t="n">
        <f aca="false">Model!BL83</f>
        <v>-0</v>
      </c>
      <c r="BM40" s="72" t="n">
        <f aca="false">Model!BM83</f>
        <v>-0</v>
      </c>
      <c r="BN40" s="72" t="n">
        <f aca="false">Model!BN83</f>
        <v>-0</v>
      </c>
      <c r="BO40" s="72" t="n">
        <f aca="false">Model!BO83</f>
        <v>-0</v>
      </c>
      <c r="BP40" s="72" t="n">
        <f aca="false">Model!BP83</f>
        <v>-0</v>
      </c>
      <c r="BQ40" s="72" t="n">
        <f aca="false">Model!BQ83</f>
        <v>-0</v>
      </c>
      <c r="BR40" s="72" t="n">
        <f aca="false">Model!BR83</f>
        <v>-0</v>
      </c>
      <c r="BS40" s="72" t="n">
        <f aca="false">Model!BS83</f>
        <v>-0</v>
      </c>
      <c r="BT40" s="72" t="n">
        <f aca="false">Model!BT83</f>
        <v>-0</v>
      </c>
      <c r="BU40" s="72" t="n">
        <f aca="false">Model!BU83</f>
        <v>-0</v>
      </c>
      <c r="BV40" s="72" t="n">
        <f aca="false">Model!BV83</f>
        <v>-0</v>
      </c>
      <c r="BW40" s="72" t="n">
        <f aca="false">Model!BW83</f>
        <v>-0</v>
      </c>
      <c r="BX40" s="72" t="n">
        <f aca="false">Model!BX83</f>
        <v>-0</v>
      </c>
      <c r="BY40" s="72" t="n">
        <f aca="false">Model!BY83</f>
        <v>-73156</v>
      </c>
      <c r="BZ40" s="72" t="n">
        <f aca="false">Model!BZ83</f>
        <v>-0</v>
      </c>
      <c r="CA40" s="72" t="n">
        <f aca="false">Model!CA83</f>
        <v>-0</v>
      </c>
      <c r="CB40" s="72" t="n">
        <f aca="false">Model!CB83</f>
        <v>-73155</v>
      </c>
      <c r="CC40" s="72" t="n">
        <f aca="false">Model!CC83</f>
        <v>-0</v>
      </c>
      <c r="CD40" s="72" t="n">
        <f aca="false">Model!CD83</f>
        <v>-0</v>
      </c>
      <c r="CE40" s="72" t="n">
        <f aca="false">Model!CE83</f>
        <v>-73155</v>
      </c>
      <c r="CF40" s="72" t="n">
        <f aca="false">Model!CF83</f>
        <v>-0</v>
      </c>
      <c r="CG40" s="72" t="n">
        <f aca="false">Model!CG83</f>
        <v>-0</v>
      </c>
      <c r="CH40" s="72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211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33281.25</v>
      </c>
      <c r="H45" s="69" t="n">
        <f aca="false">H5+H10+H16+H22+H28+H35+H41</f>
        <v>33281.25</v>
      </c>
      <c r="I45" s="69" t="n">
        <f aca="false">I5+I10+I16+I22+I28+I35+I41</f>
        <v>33281.25</v>
      </c>
      <c r="J45" s="69" t="n">
        <f aca="false">J5+J10+J16+J22+J28+J35+J41</f>
        <v>23906.25</v>
      </c>
      <c r="K45" s="69" t="n">
        <f aca="false">K5+K10+K16+K22+K28+K35+K41</f>
        <v>23906.25</v>
      </c>
      <c r="L45" s="69" t="n">
        <f aca="false">L5+L10+L16+L22+L28+L35+L41</f>
        <v>23906.25</v>
      </c>
      <c r="M45" s="69" t="n">
        <f aca="false">M5+M10+M16+M22+M28+M35+M41</f>
        <v>23906.25</v>
      </c>
      <c r="N45" s="69" t="n">
        <f aca="false">N5+N10+N16+N22+N28+N35+N41</f>
        <v>23906.25</v>
      </c>
      <c r="O45" s="69" t="n">
        <f aca="false">O5+O10+O16+O22+O28+O35+O41</f>
        <v>23906.25</v>
      </c>
      <c r="P45" s="69" t="n">
        <f aca="false">P5+P10+P16+P22+P28+P35+P41</f>
        <v>23906.25</v>
      </c>
      <c r="Q45" s="69" t="n">
        <f aca="false">Q5+Q10+Q16+Q22+Q28+Q35+Q41</f>
        <v>23906.25</v>
      </c>
      <c r="R45" s="69" t="n">
        <f aca="false">R5+R10+R16+R22+R28+R35+R41</f>
        <v>0</v>
      </c>
      <c r="S45" s="69" t="n">
        <f aca="false">S5+S10+S16+S22+S28+S35+S41</f>
        <v>0</v>
      </c>
      <c r="T45" s="69" t="n">
        <f aca="false">T5+T10+T16+T22+T28+T35+T41</f>
        <v>0</v>
      </c>
      <c r="U45" s="69" t="n">
        <f aca="false">U5+U10+U16+U22+U28+U35+U41</f>
        <v>0</v>
      </c>
      <c r="V45" s="69" t="n">
        <f aca="false">V5+V10+V16+V22+V28+V35+V41</f>
        <v>0</v>
      </c>
      <c r="W45" s="69" t="n">
        <f aca="false">W5+W10+W16+W22+W28+W35+W41</f>
        <v>57375</v>
      </c>
      <c r="X45" s="69" t="n">
        <f aca="false">X5+X10+X16+X22+X28+X35+X41</f>
        <v>0</v>
      </c>
      <c r="Y45" s="69" t="n">
        <f aca="false">Y5+Y10+Y16+Y22+Y28+Y35+Y41</f>
        <v>0</v>
      </c>
      <c r="Z45" s="69" t="n">
        <f aca="false">Z5+Z10+Z16+Z22+Z28+Z35+Z41</f>
        <v>57375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216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166406.25</v>
      </c>
      <c r="H46" s="70" t="n">
        <f aca="false">G46+H45</f>
        <v>199687.5</v>
      </c>
      <c r="I46" s="70" t="n">
        <f aca="false">H46+I45</f>
        <v>232968.75</v>
      </c>
      <c r="J46" s="70" t="n">
        <f aca="false">I46+J45</f>
        <v>256875</v>
      </c>
      <c r="K46" s="70" t="n">
        <f aca="false">J46+K45</f>
        <v>280781.25</v>
      </c>
      <c r="L46" s="70" t="n">
        <f aca="false">K46+L45</f>
        <v>304687.5</v>
      </c>
      <c r="M46" s="70" t="n">
        <f aca="false">L46+M45</f>
        <v>328593.75</v>
      </c>
      <c r="N46" s="70" t="n">
        <f aca="false">M46+N45</f>
        <v>352500</v>
      </c>
      <c r="O46" s="70" t="n">
        <f aca="false">N46+O45</f>
        <v>376406.25</v>
      </c>
      <c r="P46" s="70" t="n">
        <f aca="false">O46+P45</f>
        <v>400312.5</v>
      </c>
      <c r="Q46" s="70" t="n">
        <f aca="false">P46+Q45</f>
        <v>424218.75</v>
      </c>
      <c r="R46" s="70" t="n">
        <f aca="false">Q46+R45</f>
        <v>424218.75</v>
      </c>
      <c r="S46" s="70" t="n">
        <f aca="false">R46+S45</f>
        <v>424218.75</v>
      </c>
      <c r="T46" s="70" t="n">
        <f aca="false">S46+T45</f>
        <v>424218.75</v>
      </c>
      <c r="U46" s="70" t="n">
        <f aca="false">T46+U45</f>
        <v>424218.75</v>
      </c>
      <c r="V46" s="70" t="n">
        <f aca="false">U46+V45</f>
        <v>424218.75</v>
      </c>
      <c r="W46" s="70" t="n">
        <f aca="false">V46+W45</f>
        <v>481593.75</v>
      </c>
      <c r="X46" s="70" t="n">
        <f aca="false">W46+X45</f>
        <v>481593.75</v>
      </c>
      <c r="Y46" s="70" t="n">
        <f aca="false">X46+Y45</f>
        <v>481593.75</v>
      </c>
      <c r="Z46" s="70" t="n">
        <f aca="false">Y46+Z45</f>
        <v>538968.75</v>
      </c>
      <c r="AA46" s="70" t="n">
        <f aca="false">Z46+AA45</f>
        <v>538968.75</v>
      </c>
      <c r="AB46" s="70" t="n">
        <f aca="false">AA46+AB45</f>
        <v>538968.75</v>
      </c>
      <c r="AC46" s="70" t="n">
        <f aca="false">AB46+AC45</f>
        <v>596343.75</v>
      </c>
      <c r="AD46" s="70" t="n">
        <f aca="false">AC46+AD45</f>
        <v>596343.75</v>
      </c>
      <c r="AE46" s="70" t="n">
        <f aca="false">AD46+AE45</f>
        <v>596343.75</v>
      </c>
      <c r="AF46" s="70" t="n">
        <f aca="false">AE46+AF45</f>
        <v>596343.75</v>
      </c>
      <c r="AG46" s="70" t="n">
        <f aca="false">AF46+AG45</f>
        <v>596343.75</v>
      </c>
      <c r="AH46" s="70" t="n">
        <f aca="false">AG46+AH45</f>
        <v>596343.75</v>
      </c>
      <c r="AI46" s="70" t="n">
        <f aca="false">AH46+AI45</f>
        <v>596343.75</v>
      </c>
      <c r="AJ46" s="70" t="n">
        <f aca="false">AI46+AJ45</f>
        <v>596343.75</v>
      </c>
      <c r="AK46" s="70" t="n">
        <f aca="false">AJ46+AK45</f>
        <v>596343.75</v>
      </c>
      <c r="AL46" s="70" t="n">
        <f aca="false">AK46+AL45</f>
        <v>596343.75</v>
      </c>
      <c r="AM46" s="70" t="n">
        <f aca="false">AL46+AM45</f>
        <v>596343.75</v>
      </c>
      <c r="AN46" s="70" t="n">
        <f aca="false">AM46+AN45</f>
        <v>596343.75</v>
      </c>
      <c r="AO46" s="70" t="n">
        <f aca="false">AN46+AO45</f>
        <v>596343.75</v>
      </c>
      <c r="AP46" s="70" t="n">
        <f aca="false">AO46+AP45</f>
        <v>596343.75</v>
      </c>
      <c r="AQ46" s="70" t="n">
        <f aca="false">AP46+AQ45</f>
        <v>596343.75</v>
      </c>
      <c r="AR46" s="70" t="n">
        <f aca="false">AQ46+AR45</f>
        <v>596343.75</v>
      </c>
      <c r="AS46" s="70" t="n">
        <f aca="false">AR46+AS45</f>
        <v>596343.75</v>
      </c>
      <c r="AT46" s="70" t="n">
        <f aca="false">AS46+AT45</f>
        <v>596343.75</v>
      </c>
      <c r="AU46" s="70" t="n">
        <f aca="false">AT46+AU45</f>
        <v>596343.75</v>
      </c>
      <c r="AV46" s="70" t="n">
        <f aca="false">AU46+AV45</f>
        <v>596343.75</v>
      </c>
      <c r="AW46" s="70" t="n">
        <f aca="false">AV46+AW45</f>
        <v>596343.75</v>
      </c>
      <c r="AX46" s="70" t="n">
        <f aca="false">AW46+AX45</f>
        <v>596343.75</v>
      </c>
      <c r="AY46" s="70" t="n">
        <f aca="false">AX46+AY45</f>
        <v>596343.75</v>
      </c>
      <c r="AZ46" s="70" t="n">
        <f aca="false">AY46+AZ45</f>
        <v>596343.75</v>
      </c>
      <c r="BA46" s="70" t="n">
        <f aca="false">AZ46+BA45</f>
        <v>596343.75</v>
      </c>
      <c r="BB46" s="70" t="n">
        <f aca="false">BA46+BB45</f>
        <v>596343.75</v>
      </c>
      <c r="BC46" s="70" t="n">
        <f aca="false">BB46+BC45</f>
        <v>596343.75</v>
      </c>
      <c r="BD46" s="70" t="n">
        <f aca="false">BC46+BD45</f>
        <v>596343.75</v>
      </c>
      <c r="BE46" s="70" t="n">
        <f aca="false">BD46+BE45</f>
        <v>596343.75</v>
      </c>
      <c r="BF46" s="70" t="n">
        <f aca="false">BE46+BF45</f>
        <v>596343.75</v>
      </c>
      <c r="BG46" s="70" t="n">
        <f aca="false">BF46+BG45</f>
        <v>596343.75</v>
      </c>
      <c r="BH46" s="70" t="n">
        <f aca="false">BG46+BH45</f>
        <v>596343.75</v>
      </c>
      <c r="BI46" s="70" t="n">
        <f aca="false">BH46+BI45</f>
        <v>596343.75</v>
      </c>
      <c r="BJ46" s="70" t="n">
        <f aca="false">BI46+BJ45</f>
        <v>596343.75</v>
      </c>
      <c r="BK46" s="70" t="n">
        <f aca="false">BJ46+BK45</f>
        <v>596343.75</v>
      </c>
      <c r="BL46" s="70" t="n">
        <f aca="false">BK46+BL45</f>
        <v>596343.75</v>
      </c>
      <c r="BM46" s="70" t="n">
        <f aca="false">BL46+BM45</f>
        <v>596343.75</v>
      </c>
      <c r="BN46" s="70" t="n">
        <f aca="false">BM46+BN45</f>
        <v>596343.75</v>
      </c>
      <c r="BO46" s="70" t="n">
        <f aca="false">BN46+BO45</f>
        <v>596343.75</v>
      </c>
      <c r="BP46" s="70" t="n">
        <f aca="false">BO46+BP45</f>
        <v>647857.27</v>
      </c>
      <c r="BQ46" s="70" t="n">
        <f aca="false">BP46+BQ45</f>
        <v>647857.27</v>
      </c>
      <c r="BR46" s="70" t="n">
        <f aca="false">BQ46+BR45</f>
        <v>647857.27</v>
      </c>
      <c r="BS46" s="70" t="n">
        <f aca="false">BR46+BS45</f>
        <v>715619.27</v>
      </c>
      <c r="BT46" s="70" t="n">
        <f aca="false">BS46+BT45</f>
        <v>715619.27</v>
      </c>
      <c r="BU46" s="70" t="n">
        <f aca="false">BT46+BU45</f>
        <v>715619.27</v>
      </c>
      <c r="BV46" s="70" t="n">
        <f aca="false">BU46+BV45</f>
        <v>783381.27</v>
      </c>
      <c r="BW46" s="70" t="n">
        <f aca="false">BV46+BW45</f>
        <v>783381.27</v>
      </c>
      <c r="BX46" s="70" t="n">
        <f aca="false">BW46+BX45</f>
        <v>783381.27</v>
      </c>
      <c r="BY46" s="70" t="n">
        <f aca="false">BX46+BY45</f>
        <v>777987.27</v>
      </c>
      <c r="BZ46" s="70" t="n">
        <f aca="false">BY46+BZ45</f>
        <v>777987.27</v>
      </c>
      <c r="CA46" s="70" t="n">
        <f aca="false">BZ46+CA45</f>
        <v>777987.27</v>
      </c>
      <c r="CB46" s="70" t="n">
        <f aca="false">CA46+CB45</f>
        <v>781331.27</v>
      </c>
      <c r="CC46" s="70" t="n">
        <f aca="false">CB46+CC45</f>
        <v>781331.27</v>
      </c>
      <c r="CD46" s="70" t="n">
        <f aca="false">CC46+CD45</f>
        <v>781331.27</v>
      </c>
      <c r="CE46" s="70" t="n">
        <f aca="false">CD46+CE45</f>
        <v>784675.27</v>
      </c>
      <c r="CF46" s="70" t="n">
        <f aca="false">CE46+CF45</f>
        <v>784675.27</v>
      </c>
      <c r="CG46" s="70" t="n">
        <f aca="false">CF46+CG45</f>
        <v>784675.27</v>
      </c>
      <c r="CH46" s="70" t="n">
        <f aca="false">CG46+CH45</f>
        <v>794627.296606479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5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226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237</v>
      </c>
      <c r="G5" s="63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237</v>
      </c>
      <c r="G6" s="63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237</v>
      </c>
      <c r="G7" s="63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237</v>
      </c>
      <c r="G8" s="63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237</v>
      </c>
      <c r="G9" s="63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237</v>
      </c>
      <c r="G10" s="63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237</v>
      </c>
      <c r="G11" s="63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237</v>
      </c>
      <c r="G12" s="63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237</v>
      </c>
      <c r="G13" s="63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255</v>
      </c>
      <c r="G14" s="63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237</v>
      </c>
      <c r="G15" s="63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237</v>
      </c>
      <c r="G16" s="63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237</v>
      </c>
      <c r="G17" s="63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264</v>
      </c>
      <c r="G18" s="63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255</v>
      </c>
      <c r="G19" s="63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6" t="str">
        <f aca="false">Projects!$G$2</f>
        <v>Yes</v>
      </c>
      <c r="C24" s="85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6" t="str">
        <f aca="false">Projects!$G$3</f>
        <v>Yes</v>
      </c>
      <c r="C25" s="85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6" t="str">
        <f aca="false">Projects!$G$4</f>
        <v>Yes</v>
      </c>
      <c r="C26" s="85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6" t="str">
        <f aca="false">Projects!$G$5</f>
        <v>Yes</v>
      </c>
      <c r="C27" s="85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6" t="str">
        <f aca="false">Projects!$G$6</f>
        <v>Yes</v>
      </c>
      <c r="C28" s="85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6" t="str">
        <f aca="false">Projects!$G$8</f>
        <v>Yes</v>
      </c>
      <c r="C30" s="85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6" t="str">
        <f aca="false">Projects!$G$9</f>
        <v>Yes</v>
      </c>
      <c r="C31" s="85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No</v>
      </c>
      <c r="C33" s="85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No</v>
      </c>
      <c r="C34" s="85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1134400.23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-4338997.1242</v>
      </c>
      <c r="C42" s="89" t="n">
        <f aca="false">'Annual Summary'!C15</f>
        <v>-7558959.1813</v>
      </c>
      <c r="D42" s="89" t="n">
        <f aca="false">'Annual Summary'!D15</f>
        <v>-6547139.396626</v>
      </c>
      <c r="E42" s="89" t="n">
        <f aca="false">'Annual Summary'!E15</f>
        <v>-5307176.13375852</v>
      </c>
      <c r="F42" s="89" t="n">
        <f aca="false">'Annual Summary'!F15</f>
        <v>-5413319.65643369</v>
      </c>
      <c r="G42" s="89" t="n">
        <f aca="false">'Annual Summary'!G15</f>
        <v>-5521586.04956237</v>
      </c>
      <c r="H42" s="89" t="n">
        <f aca="false">'Annual Summary'!H15</f>
        <v>-5632017.77055361</v>
      </c>
      <c r="I42" s="89" t="n">
        <f aca="false">'Annual Summary'!I15</f>
        <v>-1414940.42511445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2276079.57604322</v>
      </c>
      <c r="C43" s="77" t="n">
        <f aca="false">'Annual Summary'!C16</f>
        <v>3123613.14020718</v>
      </c>
      <c r="D43" s="77" t="n">
        <f aca="false">'Annual Summary'!D16</f>
        <v>3412324.56732536</v>
      </c>
      <c r="E43" s="77" t="n">
        <f aca="false">'Annual Summary'!E16</f>
        <v>-1250233.25158149</v>
      </c>
      <c r="F43" s="77" t="n">
        <f aca="false">'Annual Summary'!F16</f>
        <v>-3690209.98976702</v>
      </c>
      <c r="G43" s="77" t="n">
        <f aca="false">'Annual Summary'!G16</f>
        <v>-5521586.04956237</v>
      </c>
      <c r="H43" s="77" t="n">
        <f aca="false">'Annual Summary'!H16</f>
        <v>-5632017.77055361</v>
      </c>
      <c r="I43" s="77" t="n">
        <f aca="false">'Annual Summary'!I16</f>
        <v>-1414940.42511445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-1120081.25</v>
      </c>
      <c r="C46" s="89" t="n">
        <f aca="false">'Annual Summary'!C20</f>
        <v>-1501176.625</v>
      </c>
      <c r="D46" s="89" t="n">
        <f aca="false">'Annual Summary'!D20</f>
        <v>-1531200.1575</v>
      </c>
      <c r="E46" s="89" t="n">
        <f aca="false">'Annual Summary'!E20</f>
        <v>-1725189.16065</v>
      </c>
      <c r="F46" s="89" t="n">
        <f aca="false">'Annual Summary'!F20</f>
        <v>-2870017.643863</v>
      </c>
      <c r="G46" s="89" t="n">
        <f aca="false">'Annual Summary'!G20</f>
        <v>-2052206.33674026</v>
      </c>
      <c r="H46" s="89" t="n">
        <f aca="false">'Annual Summary'!H20</f>
        <v>-2188891.29387507</v>
      </c>
      <c r="I46" s="89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-688002.19</v>
      </c>
      <c r="C50" s="91" t="n">
        <f aca="false">'Annual Summary'!C43</f>
        <v>-3201738.49588545</v>
      </c>
      <c r="D50" s="91" t="n">
        <f aca="false">'Annual Summary'!D43</f>
        <v>-2766367.12378544</v>
      </c>
      <c r="E50" s="91" t="n">
        <f aca="false">'Annual Summary'!E43</f>
        <v>-3375129.51803544</v>
      </c>
      <c r="F50" s="91" t="n">
        <f aca="false">'Annual Summary'!F43</f>
        <v>-4442227.01309845</v>
      </c>
      <c r="G50" s="91" t="n">
        <f aca="false">'Annual Summary'!G43</f>
        <v>-5672267.25703871</v>
      </c>
      <c r="H50" s="91" t="n">
        <f aca="false">'Annual Summary'!H43</f>
        <v>-7041165.55091377</v>
      </c>
      <c r="I50" s="91" t="n">
        <f aca="false">'Annual Summary'!I43</f>
        <v>-7362005.94558217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3927995.26604322</v>
      </c>
      <c r="C52" s="91" t="n">
        <f aca="false">'Annual Summary'!C42</f>
        <v>7051608.4062504</v>
      </c>
      <c r="D52" s="91" t="n">
        <f aca="false">'Annual Summary'!D42</f>
        <v>10463932.9735757</v>
      </c>
      <c r="E52" s="91" t="n">
        <f aca="false">'Annual Summary'!E42</f>
        <v>9213699.72199426</v>
      </c>
      <c r="F52" s="91" t="n">
        <f aca="false">'Annual Summary'!F42</f>
        <v>5523489.73222723</v>
      </c>
      <c r="G52" s="91" t="n">
        <f aca="false">'Annual Summary'!G42</f>
        <v>1903.68266486865</v>
      </c>
      <c r="H52" s="91" t="n">
        <f aca="false">'Annual Summary'!H42</f>
        <v>-5630114.08788874</v>
      </c>
      <c r="I52" s="91" t="n">
        <f aca="false">'Annual Summary'!I42</f>
        <v>-7045054.5130032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292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5" t="n">
        <f aca="false">'Annual Summary'!B42</f>
        <v>3927995.26604322</v>
      </c>
      <c r="C71" s="81" t="n">
        <f aca="false">'Annual Summary'!C42</f>
        <v>7051608.4062504</v>
      </c>
      <c r="D71" s="81" t="n">
        <f aca="false">'Annual Summary'!E42</f>
        <v>9213699.72199426</v>
      </c>
      <c r="E71" s="81" t="n">
        <f aca="false">'Annual Summary'!G42</f>
        <v>1903.68266486865</v>
      </c>
      <c r="F71" s="81" t="n">
        <f aca="false">'Annual Summary'!I42</f>
        <v>-7045054.5130032</v>
      </c>
      <c r="G71" s="3"/>
      <c r="H71" s="3"/>
      <c r="I71" s="3"/>
    </row>
    <row r="72" customFormat="false" ht="15" hidden="false" customHeight="true" outlineLevel="0" collapsed="false">
      <c r="A72" s="90" t="s">
        <v>302</v>
      </c>
      <c r="B72" s="96" t="n">
        <f aca="false">'Annual Summary'!B43</f>
        <v>-688002.19</v>
      </c>
      <c r="C72" s="97" t="n">
        <f aca="false">'Annual Summary'!C43</f>
        <v>-3201738.49588545</v>
      </c>
      <c r="D72" s="97" t="n">
        <f aca="false">'Annual Summary'!E43</f>
        <v>-3375129.51803544</v>
      </c>
      <c r="E72" s="97" t="n">
        <f aca="false">'Annual Summary'!G43</f>
        <v>-5672267.25703871</v>
      </c>
      <c r="F72" s="97" t="n">
        <f aca="false">'Annual Summary'!I43</f>
        <v>-7362005.94558217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1" t="s">
        <v>318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319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324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1" t="n">
        <f aca="false">'Annual Summary'!B43</f>
        <v>-688002.19</v>
      </c>
      <c r="C100" s="81" t="n">
        <f aca="false">'Annual Summary'!C43</f>
        <v>-3201738.49588545</v>
      </c>
      <c r="D100" s="81" t="n">
        <f aca="false">'Annual Summary'!D43</f>
        <v>-2766367.12378544</v>
      </c>
      <c r="E100" s="81" t="n">
        <f aca="false">'Annual Summary'!E43</f>
        <v>-3375129.51803544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1" t="n">
        <f aca="false">'Annual Summary'!B15*0.05</f>
        <v>-216949.85621</v>
      </c>
      <c r="C101" s="81" t="n">
        <f aca="false">'Annual Summary'!C15*0.05</f>
        <v>-377947.959065</v>
      </c>
      <c r="D101" s="81" t="n">
        <f aca="false">'Annual Summary'!D15*0.05</f>
        <v>-327356.9698313</v>
      </c>
      <c r="E101" s="81" t="n">
        <f aca="false">'Annual Summary'!E15*0.05</f>
        <v>-265358.806687926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1" t="n">
        <f aca="false">B100+B101</f>
        <v>-904952.04621</v>
      </c>
      <c r="C102" s="81" t="n">
        <f aca="false">C100+C101</f>
        <v>-3579686.45495045</v>
      </c>
      <c r="D102" s="81" t="n">
        <f aca="false">D100+D101</f>
        <v>-3093724.09361674</v>
      </c>
      <c r="E102" s="81" t="n">
        <f aca="false">E100+E101</f>
        <v>-3640488.32472337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9" t="n">
        <f aca="false">B102-B99</f>
        <v>-904952.04621</v>
      </c>
      <c r="C103" s="69" t="n">
        <f aca="false">C102-C99</f>
        <v>-3579686.45495045</v>
      </c>
      <c r="D103" s="69" t="n">
        <f aca="false">D102-D99</f>
        <v>-3093724.09361674</v>
      </c>
      <c r="E103" s="69" t="n">
        <f aca="false">E102-E99</f>
        <v>-3640488.32472337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5" t="n">
        <v>1450000</v>
      </c>
      <c r="C125" s="27" t="s">
        <v>345</v>
      </c>
      <c r="D125" s="63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2" t="n">
        <v>-1450000</v>
      </c>
      <c r="C126" s="27" t="s">
        <v>348</v>
      </c>
      <c r="D126" s="63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3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9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100" t="n">
        <v>362885</v>
      </c>
      <c r="C130" s="27" t="s">
        <v>357</v>
      </c>
      <c r="D130" s="63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9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1" t="s">
        <v>403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404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405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406</v>
      </c>
    </row>
    <row r="6" customFormat="false" ht="15" hidden="false" customHeight="true" outlineLevel="0" collapsed="false">
      <c r="A6" s="101" t="s">
        <v>208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212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156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157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407</v>
      </c>
      <c r="B1" s="104"/>
      <c r="C1" s="104"/>
      <c r="D1" s="104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1" t="s">
        <v>409</v>
      </c>
      <c r="B4" s="102" t="n">
        <v>0.06</v>
      </c>
    </row>
    <row r="5" customFormat="false" ht="15" hidden="false" customHeight="true" outlineLevel="0" collapsed="false">
      <c r="A5" s="101" t="s">
        <v>239</v>
      </c>
      <c r="B5" s="102" t="n">
        <v>0.06</v>
      </c>
    </row>
    <row r="6" customFormat="false" ht="15" hidden="false" customHeight="true" outlineLevel="0" collapsed="false">
      <c r="A6" s="101" t="s">
        <v>410</v>
      </c>
      <c r="B6" s="102" t="n">
        <v>0.02</v>
      </c>
    </row>
    <row r="7" customFormat="false" ht="15" hidden="false" customHeight="true" outlineLevel="0" collapsed="false">
      <c r="A7" s="101" t="s">
        <v>411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242</v>
      </c>
      <c r="B8" s="102" t="n">
        <v>0.092</v>
      </c>
    </row>
    <row r="9" customFormat="false" ht="15" hidden="false" customHeight="true" outlineLevel="0" collapsed="false">
      <c r="A9" s="101" t="s">
        <v>412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413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414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415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1" t="s">
        <v>246</v>
      </c>
      <c r="B15" s="102" t="n">
        <v>0.015</v>
      </c>
    </row>
    <row r="16" customFormat="false" ht="15" hidden="false" customHeight="true" outlineLevel="0" collapsed="false">
      <c r="A16" s="101" t="s">
        <v>248</v>
      </c>
      <c r="B16" s="102" t="n">
        <v>0.0074</v>
      </c>
    </row>
    <row r="17" customFormat="false" ht="15" hidden="false" customHeight="true" outlineLevel="0" collapsed="false">
      <c r="A17" s="101" t="s">
        <v>250</v>
      </c>
      <c r="B17" s="102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1" t="s">
        <v>418</v>
      </c>
      <c r="B20" s="102" t="n">
        <v>0.15</v>
      </c>
    </row>
    <row r="21" customFormat="false" ht="15" hidden="false" customHeight="true" outlineLevel="0" collapsed="false">
      <c r="A21" s="101" t="s">
        <v>419</v>
      </c>
      <c r="B21" s="102" t="n">
        <v>0.005</v>
      </c>
    </row>
    <row r="22" customFormat="false" ht="15" hidden="false" customHeight="true" outlineLevel="0" collapsed="false">
      <c r="A22" s="101" t="s">
        <v>420</v>
      </c>
      <c r="B22" s="102" t="n">
        <v>0.121</v>
      </c>
    </row>
    <row r="23" customFormat="false" ht="15" hidden="false" customHeight="true" outlineLevel="0" collapsed="false">
      <c r="A23" s="101" t="s">
        <v>421</v>
      </c>
      <c r="B23" s="102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1" t="s">
        <v>423</v>
      </c>
      <c r="B26" s="78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1" t="s">
        <v>425</v>
      </c>
      <c r="B29" s="80" t="n">
        <v>1651915.69</v>
      </c>
    </row>
    <row r="30" customFormat="false" ht="15" hidden="false" customHeight="true" outlineLevel="0" collapsed="false">
      <c r="A30" s="101" t="s">
        <v>426</v>
      </c>
      <c r="B30" s="80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1" t="s">
        <v>428</v>
      </c>
      <c r="B33" s="80" t="n">
        <v>1615485</v>
      </c>
    </row>
    <row r="34" customFormat="false" ht="15" hidden="false" customHeight="true" outlineLevel="0" collapsed="false">
      <c r="A34" s="101" t="s">
        <v>429</v>
      </c>
      <c r="B34" s="102" t="n">
        <v>0.15</v>
      </c>
    </row>
    <row r="35" customFormat="false" ht="15" hidden="false" customHeight="true" outlineLevel="0" collapsed="false">
      <c r="A35" s="101" t="s">
        <v>430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431</v>
      </c>
      <c r="B36" s="80" t="n">
        <v>130000</v>
      </c>
    </row>
    <row r="37" customFormat="false" ht="15" hidden="false" customHeight="true" outlineLevel="0" collapsed="false">
      <c r="A37" s="101" t="s">
        <v>432</v>
      </c>
      <c r="B37" s="106" t="n">
        <v>7</v>
      </c>
    </row>
    <row r="38" customFormat="false" ht="15" hidden="false" customHeight="true" outlineLevel="0" collapsed="false">
      <c r="A38" s="107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1" t="s">
        <v>435</v>
      </c>
      <c r="B41" s="80" t="n">
        <v>1000000</v>
      </c>
    </row>
    <row r="42" customFormat="false" ht="15" hidden="false" customHeight="true" outlineLevel="0" collapsed="false">
      <c r="A42" s="101" t="s">
        <v>436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437</v>
      </c>
      <c r="B43" s="80" t="n">
        <v>1000000</v>
      </c>
    </row>
    <row r="44" customFormat="false" ht="15" hidden="false" customHeight="true" outlineLevel="0" collapsed="false">
      <c r="A44" s="107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1" t="s">
        <v>440</v>
      </c>
      <c r="B47" s="102" t="n">
        <v>0.01</v>
      </c>
    </row>
    <row r="48" customFormat="false" ht="15" hidden="false" customHeight="true" outlineLevel="0" collapsed="false">
      <c r="A48" s="101" t="s">
        <v>441</v>
      </c>
      <c r="B48" s="102" t="n">
        <v>0.03</v>
      </c>
    </row>
    <row r="50" customFormat="false" ht="15" hidden="false" customHeight="true" outlineLevel="0" collapsed="false">
      <c r="A50" s="8" t="s">
        <v>442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1" t="s">
        <v>444</v>
      </c>
      <c r="B58" s="102" t="n">
        <v>0.15</v>
      </c>
    </row>
    <row r="59" customFormat="false" ht="15" hidden="false" customHeight="true" outlineLevel="0" collapsed="false">
      <c r="A59" s="101" t="s">
        <v>445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446</v>
      </c>
      <c r="B60" s="80" t="n">
        <v>0</v>
      </c>
    </row>
    <row r="61" customFormat="false" ht="15" hidden="false" customHeight="true" outlineLevel="0" collapsed="false">
      <c r="A61" s="101" t="s">
        <v>447</v>
      </c>
      <c r="B61" s="80" t="n">
        <v>0</v>
      </c>
    </row>
    <row r="62" customFormat="false" ht="15" hidden="false" customHeight="true" outlineLevel="0" collapsed="false">
      <c r="A62" s="101" t="s">
        <v>448</v>
      </c>
      <c r="B62" s="80" t="n">
        <v>1784000</v>
      </c>
    </row>
    <row r="63" customFormat="false" ht="15" hidden="false" customHeight="true" outlineLevel="0" collapsed="false">
      <c r="A63" s="101" t="s">
        <v>449</v>
      </c>
      <c r="B63" s="80" t="n">
        <v>1766181</v>
      </c>
    </row>
    <row r="64" customFormat="false" ht="15" hidden="false" customHeight="true" outlineLevel="0" collapsed="false">
      <c r="A64" s="107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10" t="s">
        <v>451</v>
      </c>
      <c r="B67" s="111" t="n">
        <v>833.33</v>
      </c>
    </row>
    <row r="68" customFormat="false" ht="15" hidden="false" customHeight="true" outlineLevel="0" collapsed="false">
      <c r="A68" s="110" t="s">
        <v>452</v>
      </c>
      <c r="B68" s="110" t="n">
        <v>5</v>
      </c>
    </row>
    <row r="70" customFormat="false" ht="15" hidden="false" customHeight="true" outlineLevel="0" collapsed="false">
      <c r="A70" s="112" t="s">
        <v>453</v>
      </c>
      <c r="B70" s="112"/>
    </row>
    <row r="71" customFormat="false" ht="15" hidden="false" customHeight="true" outlineLevel="0" collapsed="false">
      <c r="A71" s="113" t="s">
        <v>454</v>
      </c>
      <c r="B71" s="114" t="n">
        <v>1134000</v>
      </c>
    </row>
    <row r="72" customFormat="false" ht="15" hidden="false" customHeight="true" outlineLevel="0" collapsed="false">
      <c r="A72" s="115" t="s">
        <v>455</v>
      </c>
      <c r="B72" s="116" t="n">
        <v>50000</v>
      </c>
    </row>
    <row r="73" customFormat="false" ht="15" hidden="false" customHeight="true" outlineLevel="0" collapsed="false">
      <c r="A73" s="113" t="s">
        <v>456</v>
      </c>
      <c r="B73" s="117" t="n">
        <v>14</v>
      </c>
    </row>
    <row r="74" customFormat="false" ht="15" hidden="false" customHeight="true" outlineLevel="0" collapsed="false">
      <c r="A74" s="115" t="s">
        <v>152</v>
      </c>
      <c r="B74" s="116" t="n">
        <v>-1450000</v>
      </c>
    </row>
    <row r="75" customFormat="false" ht="15" hidden="false" customHeight="true" outlineLevel="0" collapsed="false">
      <c r="A75" s="113" t="s">
        <v>457</v>
      </c>
      <c r="B75" s="114" t="n">
        <v>264927.15</v>
      </c>
    </row>
    <row r="76" customFormat="false" ht="15" hidden="false" customHeight="true" outlineLevel="0" collapsed="false">
      <c r="A76" s="115" t="s">
        <v>458</v>
      </c>
      <c r="B76" s="116" t="n">
        <v>883090.5</v>
      </c>
    </row>
    <row r="77" customFormat="false" ht="15" hidden="false" customHeight="true" outlineLevel="0" collapsed="false">
      <c r="A77" s="113" t="s">
        <v>147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1" t="s">
        <v>208</v>
      </c>
      <c r="B2" s="118" t="n">
        <v>5321971</v>
      </c>
      <c r="C2" s="119" t="n">
        <v>1</v>
      </c>
      <c r="D2" s="119" t="n">
        <v>8</v>
      </c>
      <c r="E2" s="119" t="n">
        <v>2</v>
      </c>
      <c r="F2" s="119" t="s">
        <v>278</v>
      </c>
      <c r="G2" s="119" t="s">
        <v>282</v>
      </c>
      <c r="H2" s="119" t="n">
        <v>0</v>
      </c>
      <c r="I2" s="105" t="n">
        <f aca="false">IF(H2=1,Assumptions!$B$16,IF(H2=2,Assumptions!$B$17,0))</f>
        <v>0</v>
      </c>
      <c r="J2" s="119" t="s">
        <v>278</v>
      </c>
      <c r="K2" s="119" t="s">
        <v>278</v>
      </c>
      <c r="L2" s="119" t="s">
        <v>465</v>
      </c>
    </row>
    <row r="3" customFormat="false" ht="15" hidden="false" customHeight="true" outlineLevel="0" collapsed="false">
      <c r="A3" s="101" t="s">
        <v>212</v>
      </c>
      <c r="B3" s="118" t="n">
        <v>19982132</v>
      </c>
      <c r="C3" s="119" t="n">
        <v>1</v>
      </c>
      <c r="D3" s="119" t="n">
        <v>16</v>
      </c>
      <c r="E3" s="119" t="n">
        <v>2</v>
      </c>
      <c r="F3" s="119" t="s">
        <v>278</v>
      </c>
      <c r="G3" s="119" t="s">
        <v>282</v>
      </c>
      <c r="H3" s="119" t="n">
        <v>0</v>
      </c>
      <c r="I3" s="105" t="n">
        <f aca="false">IF(H3=1,Assumptions!$B$16,IF(H3=2,Assumptions!$B$17,0))</f>
        <v>0</v>
      </c>
      <c r="J3" s="119" t="s">
        <v>278</v>
      </c>
      <c r="K3" s="119" t="s">
        <v>278</v>
      </c>
      <c r="L3" s="119" t="s">
        <v>465</v>
      </c>
    </row>
    <row r="4" customFormat="false" ht="15" hidden="false" customHeight="true" outlineLevel="0" collapsed="false">
      <c r="A4" s="101" t="s">
        <v>156</v>
      </c>
      <c r="B4" s="118" t="n">
        <v>11673185</v>
      </c>
      <c r="C4" s="119" t="n">
        <v>1</v>
      </c>
      <c r="D4" s="119" t="n">
        <v>15</v>
      </c>
      <c r="E4" s="119" t="n">
        <v>3</v>
      </c>
      <c r="F4" s="119" t="s">
        <v>282</v>
      </c>
      <c r="G4" s="119" t="s">
        <v>282</v>
      </c>
      <c r="H4" s="119" t="n">
        <v>1</v>
      </c>
      <c r="I4" s="105" t="n">
        <f aca="false">IF(H4=1,Assumptions!$B$16,IF(H4=2,Assumptions!$B$17,0))</f>
        <v>0.0074</v>
      </c>
      <c r="J4" s="119" t="s">
        <v>278</v>
      </c>
      <c r="K4" s="119" t="s">
        <v>282</v>
      </c>
      <c r="L4" s="119" t="s">
        <v>466</v>
      </c>
    </row>
    <row r="5" customFormat="false" ht="15" hidden="false" customHeight="true" outlineLevel="0" collapsed="false">
      <c r="A5" s="101" t="s">
        <v>157</v>
      </c>
      <c r="B5" s="118" t="n">
        <v>13492534</v>
      </c>
      <c r="C5" s="119" t="n">
        <v>1</v>
      </c>
      <c r="D5" s="119" t="n">
        <v>15</v>
      </c>
      <c r="E5" s="119" t="n">
        <v>3</v>
      </c>
      <c r="F5" s="119" t="s">
        <v>282</v>
      </c>
      <c r="G5" s="119" t="s">
        <v>282</v>
      </c>
      <c r="H5" s="119" t="n">
        <v>1</v>
      </c>
      <c r="I5" s="105" t="n">
        <f aca="false">IF(H5=1,Assumptions!$B$16,IF(H5=2,Assumptions!$B$17,0))</f>
        <v>0.0074</v>
      </c>
      <c r="J5" s="119" t="s">
        <v>278</v>
      </c>
      <c r="K5" s="119" t="s">
        <v>282</v>
      </c>
      <c r="L5" s="119" t="s">
        <v>466</v>
      </c>
    </row>
    <row r="6" customFormat="false" ht="15" hidden="false" customHeight="true" outlineLevel="0" collapsed="false">
      <c r="A6" s="101" t="s">
        <v>283</v>
      </c>
      <c r="B6" s="118" t="n">
        <v>4052747</v>
      </c>
      <c r="C6" s="119" t="n">
        <v>1</v>
      </c>
      <c r="D6" s="119" t="n">
        <v>19</v>
      </c>
      <c r="E6" s="119" t="n">
        <v>3</v>
      </c>
      <c r="F6" s="119" t="s">
        <v>278</v>
      </c>
      <c r="G6" s="119" t="s">
        <v>282</v>
      </c>
      <c r="H6" s="119" t="n">
        <v>0</v>
      </c>
      <c r="I6" s="105" t="n">
        <f aca="false">IF(H6=1,Assumptions!$B$16,IF(H6=2,Assumptions!$B$17,0))</f>
        <v>0</v>
      </c>
      <c r="J6" s="119" t="s">
        <v>278</v>
      </c>
      <c r="K6" s="119" t="s">
        <v>282</v>
      </c>
      <c r="L6" s="119" t="s">
        <v>466</v>
      </c>
    </row>
    <row r="7" customFormat="false" ht="15" hidden="false" customHeight="true" outlineLevel="0" collapsed="false">
      <c r="A7" s="101" t="s">
        <v>49</v>
      </c>
      <c r="B7" s="118" t="n">
        <v>42968448</v>
      </c>
      <c r="C7" s="119" t="n">
        <v>4</v>
      </c>
      <c r="D7" s="119" t="n">
        <v>30</v>
      </c>
      <c r="E7" s="119" t="n">
        <v>1</v>
      </c>
      <c r="F7" s="119" t="s">
        <v>282</v>
      </c>
      <c r="G7" s="119" t="s">
        <v>282</v>
      </c>
      <c r="H7" s="119" t="n">
        <v>1</v>
      </c>
      <c r="I7" s="105" t="n">
        <f aca="false">IF(H7=1,Assumptions!$B$16,IF(H7=2,Assumptions!$B$17,0))</f>
        <v>0.0074</v>
      </c>
      <c r="J7" s="119" t="s">
        <v>282</v>
      </c>
      <c r="K7" s="119" t="s">
        <v>282</v>
      </c>
      <c r="L7" s="119" t="s">
        <v>465</v>
      </c>
    </row>
    <row r="8" customFormat="false" ht="15" hidden="false" customHeight="true" outlineLevel="0" collapsed="false">
      <c r="A8" s="101" t="s">
        <v>158</v>
      </c>
      <c r="B8" s="118" t="n">
        <v>13625772</v>
      </c>
      <c r="C8" s="119" t="n">
        <v>7</v>
      </c>
      <c r="D8" s="119" t="n">
        <v>19</v>
      </c>
      <c r="E8" s="119" t="n">
        <v>3</v>
      </c>
      <c r="F8" s="119" t="s">
        <v>282</v>
      </c>
      <c r="G8" s="119" t="s">
        <v>282</v>
      </c>
      <c r="H8" s="119" t="n">
        <v>1</v>
      </c>
      <c r="I8" s="105" t="n">
        <f aca="false">IF(H8=1,Assumptions!$B$16,IF(H8=2,Assumptions!$B$17,0))</f>
        <v>0.0074</v>
      </c>
      <c r="J8" s="119" t="s">
        <v>278</v>
      </c>
      <c r="K8" s="119" t="s">
        <v>282</v>
      </c>
      <c r="L8" s="119" t="s">
        <v>466</v>
      </c>
    </row>
    <row r="9" customFormat="false" ht="15" hidden="false" customHeight="true" outlineLevel="0" collapsed="false">
      <c r="A9" s="101" t="s">
        <v>159</v>
      </c>
      <c r="B9" s="118" t="n">
        <v>15844883</v>
      </c>
      <c r="C9" s="119" t="n">
        <v>7</v>
      </c>
      <c r="D9" s="119" t="n">
        <v>30</v>
      </c>
      <c r="E9" s="119" t="n">
        <v>1</v>
      </c>
      <c r="F9" s="119" t="s">
        <v>282</v>
      </c>
      <c r="G9" s="119" t="s">
        <v>282</v>
      </c>
      <c r="H9" s="119" t="n">
        <v>1</v>
      </c>
      <c r="I9" s="105" t="n">
        <f aca="false">IF(H9=1,Assumptions!$B$16,IF(H9=2,Assumptions!$B$17,0))</f>
        <v>0.0074</v>
      </c>
      <c r="J9" s="119" t="s">
        <v>278</v>
      </c>
      <c r="K9" s="119" t="s">
        <v>282</v>
      </c>
      <c r="L9" s="119" t="s">
        <v>466</v>
      </c>
    </row>
    <row r="10" customFormat="false" ht="15" hidden="false" customHeight="true" outlineLevel="0" collapsed="false">
      <c r="A10" s="101" t="s">
        <v>53</v>
      </c>
      <c r="B10" s="118" t="n">
        <v>21263405</v>
      </c>
      <c r="C10" s="119" t="n">
        <v>8</v>
      </c>
      <c r="D10" s="119" t="n">
        <v>24</v>
      </c>
      <c r="E10" s="119" t="n">
        <v>2</v>
      </c>
      <c r="F10" s="119" t="s">
        <v>282</v>
      </c>
      <c r="G10" s="119" t="s">
        <v>282</v>
      </c>
      <c r="H10" s="119" t="n">
        <v>1</v>
      </c>
      <c r="I10" s="105" t="n">
        <f aca="false">IF(H10=1,Assumptions!$B$16,IF(H10=2,Assumptions!$B$17,0))</f>
        <v>0.0074</v>
      </c>
      <c r="J10" s="119" t="s">
        <v>278</v>
      </c>
      <c r="K10" s="119" t="s">
        <v>282</v>
      </c>
      <c r="L10" s="119" t="s">
        <v>466</v>
      </c>
    </row>
    <row r="11" customFormat="false" ht="15" hidden="false" customHeight="true" outlineLevel="0" collapsed="false">
      <c r="A11" s="101" t="s">
        <v>50</v>
      </c>
      <c r="B11" s="118" t="n">
        <v>9577109</v>
      </c>
      <c r="C11" s="119" t="n">
        <v>5</v>
      </c>
      <c r="D11" s="119" t="n">
        <v>19</v>
      </c>
      <c r="E11" s="119" t="n">
        <v>3</v>
      </c>
      <c r="F11" s="119" t="s">
        <v>278</v>
      </c>
      <c r="G11" s="119" t="s">
        <v>278</v>
      </c>
      <c r="H11" s="119" t="n">
        <v>0</v>
      </c>
      <c r="I11" s="105" t="n">
        <f aca="false">IF(H11=1,Assumptions!$B$16,IF(H11=2,Assumptions!$B$17,0))</f>
        <v>0</v>
      </c>
      <c r="J11" s="119" t="s">
        <v>282</v>
      </c>
      <c r="K11" s="119" t="s">
        <v>278</v>
      </c>
      <c r="L11" s="119" t="s">
        <v>465</v>
      </c>
    </row>
    <row r="12" customFormat="false" ht="15" hidden="false" customHeight="true" outlineLevel="0" collapsed="false">
      <c r="A12" s="101" t="s">
        <v>51</v>
      </c>
      <c r="B12" s="118" t="n">
        <v>7545203</v>
      </c>
      <c r="C12" s="119" t="n">
        <v>6</v>
      </c>
      <c r="D12" s="119" t="n">
        <v>19</v>
      </c>
      <c r="E12" s="119" t="n">
        <v>3</v>
      </c>
      <c r="F12" s="119" t="s">
        <v>278</v>
      </c>
      <c r="G12" s="119" t="s">
        <v>278</v>
      </c>
      <c r="H12" s="119" t="n">
        <v>0</v>
      </c>
      <c r="I12" s="105" t="n">
        <f aca="false">IF(H12=1,Assumptions!$B$16,IF(H12=2,Assumptions!$B$17,0))</f>
        <v>0</v>
      </c>
      <c r="J12" s="119" t="s">
        <v>282</v>
      </c>
      <c r="K12" s="119" t="s">
        <v>278</v>
      </c>
      <c r="L12" s="119" t="s">
        <v>465</v>
      </c>
    </row>
    <row r="13" customFormat="false" ht="15" hidden="false" customHeight="true" outlineLevel="0" collapsed="false">
      <c r="A13" s="101" t="s">
        <v>54</v>
      </c>
      <c r="B13" s="118" t="n">
        <v>45266770</v>
      </c>
      <c r="C13" s="119" t="n">
        <v>13</v>
      </c>
      <c r="D13" s="119" t="n">
        <v>30</v>
      </c>
      <c r="E13" s="119" t="n">
        <v>1</v>
      </c>
      <c r="F13" s="119" t="s">
        <v>282</v>
      </c>
      <c r="G13" s="119" t="s">
        <v>282</v>
      </c>
      <c r="H13" s="119" t="n">
        <v>2</v>
      </c>
      <c r="I13" s="105" t="n">
        <f aca="false">IF(H13=1,Assumptions!$B$16,IF(H13=2,Assumptions!$B$17,0))</f>
        <v>0.0325</v>
      </c>
      <c r="J13" s="119" t="s">
        <v>282</v>
      </c>
      <c r="K13" s="119" t="s">
        <v>282</v>
      </c>
      <c r="L13" s="119" t="s">
        <v>465</v>
      </c>
    </row>
    <row r="14" customFormat="false" ht="15" hidden="false" customHeight="true" outlineLevel="0" collapsed="false">
      <c r="A14" s="101" t="s">
        <v>57</v>
      </c>
      <c r="B14" s="118" t="n">
        <v>41354632</v>
      </c>
      <c r="C14" s="119" t="n">
        <v>27</v>
      </c>
      <c r="D14" s="119" t="n">
        <v>30</v>
      </c>
      <c r="E14" s="119" t="n">
        <v>1</v>
      </c>
      <c r="F14" s="119" t="s">
        <v>282</v>
      </c>
      <c r="G14" s="119" t="s">
        <v>282</v>
      </c>
      <c r="H14" s="119" t="n">
        <v>2</v>
      </c>
      <c r="I14" s="105" t="n">
        <f aca="false">IF(H14=1,Assumptions!$B$16,IF(H14=2,Assumptions!$B$17,0))</f>
        <v>0.0325</v>
      </c>
      <c r="J14" s="119" t="s">
        <v>282</v>
      </c>
      <c r="K14" s="119" t="s">
        <v>282</v>
      </c>
      <c r="L14" s="119" t="s">
        <v>465</v>
      </c>
    </row>
    <row r="15" customFormat="false" ht="15" hidden="false" customHeight="true" outlineLevel="0" collapsed="false">
      <c r="A15" s="101" t="s">
        <v>55</v>
      </c>
      <c r="B15" s="118" t="n">
        <v>15179956</v>
      </c>
      <c r="C15" s="119" t="n">
        <v>16</v>
      </c>
      <c r="D15" s="119" t="n">
        <v>19</v>
      </c>
      <c r="E15" s="119" t="n">
        <v>3</v>
      </c>
      <c r="F15" s="119" t="s">
        <v>282</v>
      </c>
      <c r="G15" s="119" t="s">
        <v>282</v>
      </c>
      <c r="H15" s="119" t="n">
        <v>2</v>
      </c>
      <c r="I15" s="105" t="n">
        <f aca="false">IF(H15=1,Assumptions!$B$16,IF(H15=2,Assumptions!$B$17,0))</f>
        <v>0.0325</v>
      </c>
      <c r="J15" s="119" t="s">
        <v>278</v>
      </c>
      <c r="K15" s="119" t="s">
        <v>282</v>
      </c>
      <c r="L15" s="119" t="s">
        <v>466</v>
      </c>
    </row>
    <row r="16" customFormat="false" ht="15" hidden="false" customHeight="true" outlineLevel="0" collapsed="false">
      <c r="A16" s="101" t="s">
        <v>56</v>
      </c>
      <c r="B16" s="118" t="n">
        <v>15179956</v>
      </c>
      <c r="C16" s="119" t="n">
        <v>19</v>
      </c>
      <c r="D16" s="119" t="n">
        <v>19</v>
      </c>
      <c r="E16" s="119" t="n">
        <v>3</v>
      </c>
      <c r="F16" s="119" t="s">
        <v>282</v>
      </c>
      <c r="G16" s="119" t="s">
        <v>282</v>
      </c>
      <c r="H16" s="119" t="n">
        <v>2</v>
      </c>
      <c r="I16" s="105" t="n">
        <f aca="false">IF(H16=1,Assumptions!$B$16,IF(H16=2,Assumptions!$B$17,0))</f>
        <v>0.0325</v>
      </c>
      <c r="J16" s="119" t="s">
        <v>278</v>
      </c>
      <c r="K16" s="119" t="s">
        <v>282</v>
      </c>
      <c r="L16" s="119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1" t="s">
        <v>473</v>
      </c>
      <c r="B2" s="101" t="s">
        <v>474</v>
      </c>
      <c r="C2" s="118" t="n">
        <v>400000</v>
      </c>
      <c r="D2" s="108" t="n">
        <f aca="false">C2/12</f>
        <v>33333.3333333333</v>
      </c>
      <c r="E2" s="119" t="n">
        <v>1</v>
      </c>
      <c r="F2" s="101" t="s">
        <v>475</v>
      </c>
      <c r="G2" s="106" t="s">
        <v>282</v>
      </c>
      <c r="H2" s="102" t="n">
        <v>0.5</v>
      </c>
      <c r="I2" s="105" t="n">
        <v>0</v>
      </c>
    </row>
    <row r="3" customFormat="false" ht="15" hidden="false" customHeight="true" outlineLevel="0" collapsed="false">
      <c r="A3" s="101" t="s">
        <v>476</v>
      </c>
      <c r="B3" s="101" t="s">
        <v>474</v>
      </c>
      <c r="C3" s="118" t="n">
        <v>250000</v>
      </c>
      <c r="D3" s="108" t="n">
        <f aca="false">C3/12</f>
        <v>20833.3333333333</v>
      </c>
      <c r="E3" s="119" t="n">
        <v>1</v>
      </c>
      <c r="F3" s="101" t="s">
        <v>475</v>
      </c>
      <c r="G3" s="106" t="s">
        <v>282</v>
      </c>
      <c r="H3" s="102" t="n">
        <v>0.5</v>
      </c>
      <c r="I3" s="105" t="n">
        <v>0</v>
      </c>
    </row>
    <row r="4" customFormat="false" ht="15" hidden="false" customHeight="true" outlineLevel="0" collapsed="false">
      <c r="A4" s="101" t="s">
        <v>477</v>
      </c>
      <c r="B4" s="101" t="s">
        <v>478</v>
      </c>
      <c r="C4" s="118" t="n">
        <v>190000</v>
      </c>
      <c r="D4" s="108" t="n">
        <f aca="false">C4/12</f>
        <v>15833.3333333333</v>
      </c>
      <c r="E4" s="119" t="n">
        <v>1</v>
      </c>
      <c r="F4" s="101" t="s">
        <v>475</v>
      </c>
      <c r="G4" s="106" t="s">
        <v>282</v>
      </c>
      <c r="H4" s="102" t="n">
        <v>0</v>
      </c>
      <c r="I4" s="105" t="n">
        <v>0</v>
      </c>
    </row>
    <row r="5" customFormat="false" ht="15" hidden="false" customHeight="true" outlineLevel="0" collapsed="false">
      <c r="A5" s="101" t="s">
        <v>479</v>
      </c>
      <c r="B5" s="101" t="s">
        <v>478</v>
      </c>
      <c r="C5" s="118" t="n">
        <v>200000</v>
      </c>
      <c r="D5" s="108" t="n">
        <f aca="false">C5/12</f>
        <v>16666.6666666667</v>
      </c>
      <c r="E5" s="119" t="n">
        <v>1</v>
      </c>
      <c r="F5" s="101" t="s">
        <v>475</v>
      </c>
      <c r="G5" s="106" t="s">
        <v>282</v>
      </c>
      <c r="H5" s="102" t="n">
        <v>0</v>
      </c>
      <c r="I5" s="105" t="n">
        <v>0</v>
      </c>
    </row>
    <row r="6" customFormat="false" ht="15" hidden="false" customHeight="true" outlineLevel="0" collapsed="false">
      <c r="A6" s="120" t="s">
        <v>480</v>
      </c>
      <c r="B6" s="101" t="s">
        <v>478</v>
      </c>
      <c r="C6" s="118" t="n">
        <v>175000</v>
      </c>
      <c r="D6" s="108" t="n">
        <f aca="false">C6/12</f>
        <v>14583.3333333333</v>
      </c>
      <c r="E6" s="119" t="n">
        <v>2</v>
      </c>
      <c r="F6" s="101" t="s">
        <v>475</v>
      </c>
      <c r="G6" s="106" t="s">
        <v>282</v>
      </c>
      <c r="H6" s="102" t="n">
        <v>0</v>
      </c>
      <c r="I6" s="105" t="n">
        <v>0</v>
      </c>
    </row>
    <row r="7" customFormat="false" ht="15" hidden="false" customHeight="true" outlineLevel="0" collapsed="false">
      <c r="A7" s="101" t="s">
        <v>481</v>
      </c>
      <c r="B7" s="101" t="s">
        <v>482</v>
      </c>
      <c r="C7" s="118" t="n">
        <v>145000</v>
      </c>
      <c r="D7" s="108" t="n">
        <f aca="false">C7/12</f>
        <v>12083.3333333333</v>
      </c>
      <c r="E7" s="119" t="n">
        <v>1</v>
      </c>
      <c r="F7" s="101" t="s">
        <v>475</v>
      </c>
      <c r="G7" s="106" t="s">
        <v>282</v>
      </c>
      <c r="H7" s="102" t="n">
        <v>0</v>
      </c>
      <c r="I7" s="105" t="n">
        <v>0</v>
      </c>
    </row>
    <row r="8" customFormat="false" ht="15" hidden="false" customHeight="true" outlineLevel="0" collapsed="false">
      <c r="A8" s="101" t="s">
        <v>483</v>
      </c>
      <c r="B8" s="101" t="s">
        <v>482</v>
      </c>
      <c r="C8" s="118" t="n">
        <v>185000</v>
      </c>
      <c r="D8" s="108" t="n">
        <f aca="false">C8/12</f>
        <v>15416.6666666667</v>
      </c>
      <c r="E8" s="119" t="n">
        <v>1</v>
      </c>
      <c r="F8" s="101" t="s">
        <v>475</v>
      </c>
      <c r="G8" s="106" t="s">
        <v>282</v>
      </c>
      <c r="H8" s="102" t="n">
        <v>0</v>
      </c>
      <c r="I8" s="105" t="n">
        <v>0</v>
      </c>
    </row>
    <row r="9" customFormat="false" ht="15" hidden="false" customHeight="true" outlineLevel="0" collapsed="false">
      <c r="A9" s="120" t="s">
        <v>484</v>
      </c>
      <c r="B9" s="101" t="s">
        <v>482</v>
      </c>
      <c r="C9" s="118" t="n">
        <v>135000</v>
      </c>
      <c r="D9" s="108" t="n">
        <f aca="false">C9/12</f>
        <v>11250</v>
      </c>
      <c r="E9" s="119" t="n">
        <v>2</v>
      </c>
      <c r="F9" s="101" t="s">
        <v>475</v>
      </c>
      <c r="G9" s="106" t="s">
        <v>282</v>
      </c>
      <c r="H9" s="102" t="n">
        <v>0</v>
      </c>
      <c r="I9" s="105" t="n">
        <v>0</v>
      </c>
    </row>
    <row r="10" customFormat="false" ht="15" hidden="false" customHeight="true" outlineLevel="0" collapsed="false">
      <c r="A10" s="120" t="s">
        <v>485</v>
      </c>
      <c r="B10" s="101" t="s">
        <v>482</v>
      </c>
      <c r="C10" s="118" t="n">
        <v>135000</v>
      </c>
      <c r="D10" s="108" t="n">
        <f aca="false">C10/12</f>
        <v>11250</v>
      </c>
      <c r="E10" s="119" t="n">
        <v>3</v>
      </c>
      <c r="F10" s="101" t="s">
        <v>475</v>
      </c>
      <c r="G10" s="106" t="s">
        <v>282</v>
      </c>
      <c r="H10" s="102" t="n">
        <v>0</v>
      </c>
      <c r="I10" s="105" t="n">
        <v>0</v>
      </c>
    </row>
    <row r="11" customFormat="false" ht="15" hidden="false" customHeight="true" outlineLevel="0" collapsed="false">
      <c r="A11" s="101" t="s">
        <v>486</v>
      </c>
      <c r="B11" s="101" t="s">
        <v>487</v>
      </c>
      <c r="C11" s="118" t="n">
        <v>150000</v>
      </c>
      <c r="D11" s="108" t="n">
        <f aca="false">C11/12</f>
        <v>12500</v>
      </c>
      <c r="E11" s="119" t="n">
        <v>1</v>
      </c>
      <c r="F11" s="101" t="s">
        <v>475</v>
      </c>
      <c r="G11" s="106" t="s">
        <v>282</v>
      </c>
      <c r="H11" s="102" t="n">
        <v>0</v>
      </c>
      <c r="I11" s="105" t="n">
        <v>0</v>
      </c>
    </row>
    <row r="12" customFormat="false" ht="15" hidden="false" customHeight="true" outlineLevel="0" collapsed="false">
      <c r="A12" s="101" t="s">
        <v>488</v>
      </c>
      <c r="B12" s="101" t="s">
        <v>487</v>
      </c>
      <c r="C12" s="118" t="n">
        <v>150000</v>
      </c>
      <c r="D12" s="108" t="n">
        <f aca="false">C12/12</f>
        <v>12500</v>
      </c>
      <c r="E12" s="119" t="n">
        <v>1</v>
      </c>
      <c r="F12" s="101" t="s">
        <v>475</v>
      </c>
      <c r="G12" s="106" t="s">
        <v>282</v>
      </c>
      <c r="H12" s="102" t="n">
        <v>0</v>
      </c>
      <c r="I12" s="105" t="n">
        <v>0</v>
      </c>
    </row>
    <row r="13" customFormat="false" ht="15" hidden="false" customHeight="true" outlineLevel="0" collapsed="false">
      <c r="A13" s="101" t="s">
        <v>489</v>
      </c>
      <c r="B13" s="101" t="s">
        <v>487</v>
      </c>
      <c r="C13" s="118" t="n">
        <v>110000</v>
      </c>
      <c r="D13" s="108" t="n">
        <f aca="false">C13/12</f>
        <v>9166.66666666667</v>
      </c>
      <c r="E13" s="119" t="n">
        <v>1</v>
      </c>
      <c r="F13" s="101" t="s">
        <v>475</v>
      </c>
      <c r="G13" s="106" t="s">
        <v>282</v>
      </c>
      <c r="H13" s="102" t="n">
        <v>0</v>
      </c>
      <c r="I13" s="105" t="n">
        <v>0</v>
      </c>
    </row>
    <row r="14" customFormat="false" ht="15" hidden="false" customHeight="true" outlineLevel="0" collapsed="false">
      <c r="A14" s="101" t="s">
        <v>490</v>
      </c>
      <c r="B14" s="101" t="s">
        <v>491</v>
      </c>
      <c r="C14" s="118" t="n">
        <v>75000</v>
      </c>
      <c r="D14" s="108" t="n">
        <f aca="false">C14/12</f>
        <v>6250</v>
      </c>
      <c r="E14" s="119" t="n">
        <v>1</v>
      </c>
      <c r="F14" s="101" t="s">
        <v>475</v>
      </c>
      <c r="G14" s="106" t="s">
        <v>282</v>
      </c>
      <c r="H14" s="102" t="n">
        <v>0</v>
      </c>
      <c r="I14" s="105" t="n">
        <v>0</v>
      </c>
    </row>
    <row r="15" customFormat="false" ht="15" hidden="false" customHeight="true" outlineLevel="0" collapsed="false">
      <c r="A15" s="120" t="s">
        <v>492</v>
      </c>
      <c r="B15" s="101" t="s">
        <v>491</v>
      </c>
      <c r="C15" s="118" t="n">
        <v>125000</v>
      </c>
      <c r="D15" s="108" t="n">
        <f aca="false">C15/12</f>
        <v>10416.6666666667</v>
      </c>
      <c r="E15" s="119" t="n">
        <v>2</v>
      </c>
      <c r="F15" s="101" t="s">
        <v>475</v>
      </c>
      <c r="G15" s="106" t="s">
        <v>282</v>
      </c>
      <c r="H15" s="102" t="n">
        <v>0</v>
      </c>
      <c r="I15" s="105" t="n">
        <v>0</v>
      </c>
    </row>
    <row r="16" customFormat="false" ht="15" hidden="false" customHeight="true" outlineLevel="0" collapsed="false">
      <c r="A16" s="120" t="s">
        <v>493</v>
      </c>
      <c r="B16" s="101" t="s">
        <v>491</v>
      </c>
      <c r="C16" s="118" t="n">
        <v>125000</v>
      </c>
      <c r="D16" s="108" t="n">
        <f aca="false">C16/12</f>
        <v>10416.6666666667</v>
      </c>
      <c r="E16" s="119" t="n">
        <v>3</v>
      </c>
      <c r="F16" s="101" t="s">
        <v>475</v>
      </c>
      <c r="G16" s="106" t="s">
        <v>282</v>
      </c>
      <c r="H16" s="102" t="n">
        <v>0</v>
      </c>
      <c r="I16" s="105" t="n">
        <v>0</v>
      </c>
    </row>
    <row r="17" customFormat="false" ht="15" hidden="false" customHeight="true" outlineLevel="0" collapsed="false">
      <c r="A17" s="120" t="s">
        <v>494</v>
      </c>
      <c r="B17" s="101" t="s">
        <v>491</v>
      </c>
      <c r="C17" s="118" t="n">
        <v>125000</v>
      </c>
      <c r="D17" s="108" t="n">
        <f aca="false">C17/12</f>
        <v>10416.6666666667</v>
      </c>
      <c r="E17" s="119" t="n">
        <v>999</v>
      </c>
      <c r="F17" s="101" t="s">
        <v>475</v>
      </c>
      <c r="G17" s="106" t="s">
        <v>282</v>
      </c>
      <c r="H17" s="102" t="n">
        <v>0</v>
      </c>
      <c r="I17" s="105" t="n">
        <v>0</v>
      </c>
    </row>
    <row r="18" customFormat="false" ht="15" hidden="false" customHeight="true" outlineLevel="0" collapsed="false">
      <c r="A18" s="120" t="s">
        <v>495</v>
      </c>
      <c r="B18" s="101" t="s">
        <v>491</v>
      </c>
      <c r="C18" s="118" t="n">
        <v>125000</v>
      </c>
      <c r="D18" s="108" t="n">
        <f aca="false">C18/12</f>
        <v>10416.6666666667</v>
      </c>
      <c r="E18" s="119" t="n">
        <v>999</v>
      </c>
      <c r="F18" s="101" t="s">
        <v>475</v>
      </c>
      <c r="G18" s="106" t="s">
        <v>282</v>
      </c>
      <c r="H18" s="102" t="n">
        <v>0</v>
      </c>
      <c r="I18" s="105" t="n">
        <v>0</v>
      </c>
    </row>
    <row r="19" customFormat="false" ht="15" hidden="false" customHeight="true" outlineLevel="0" collapsed="false">
      <c r="A19" s="101" t="s">
        <v>496</v>
      </c>
      <c r="B19" s="101" t="s">
        <v>497</v>
      </c>
      <c r="C19" s="118" t="n">
        <v>62400</v>
      </c>
      <c r="D19" s="108" t="n">
        <f aca="false">C19/12</f>
        <v>5200</v>
      </c>
      <c r="E19" s="119" t="n">
        <v>1</v>
      </c>
      <c r="F19" s="101" t="s">
        <v>475</v>
      </c>
      <c r="G19" s="106" t="s">
        <v>282</v>
      </c>
      <c r="H19" s="102" t="n">
        <v>0</v>
      </c>
      <c r="I19" s="105" t="n">
        <v>0</v>
      </c>
    </row>
    <row r="20" customFormat="false" ht="15" hidden="false" customHeight="true" outlineLevel="0" collapsed="false">
      <c r="A20" s="101" t="s">
        <v>498</v>
      </c>
      <c r="B20" s="101" t="s">
        <v>497</v>
      </c>
      <c r="C20" s="118" t="n">
        <v>85000</v>
      </c>
      <c r="D20" s="108" t="n">
        <f aca="false">C20/12</f>
        <v>7083.33333333333</v>
      </c>
      <c r="E20" s="119" t="n">
        <v>1</v>
      </c>
      <c r="F20" s="101" t="s">
        <v>475</v>
      </c>
      <c r="G20" s="106" t="s">
        <v>282</v>
      </c>
      <c r="H20" s="102" t="n">
        <v>0</v>
      </c>
      <c r="I20" s="105" t="n">
        <v>0</v>
      </c>
    </row>
    <row r="21" customFormat="false" ht="15" hidden="false" customHeight="true" outlineLevel="0" collapsed="false">
      <c r="A21" s="101" t="s">
        <v>499</v>
      </c>
      <c r="B21" s="101" t="s">
        <v>500</v>
      </c>
      <c r="C21" s="118" t="n">
        <v>69992</v>
      </c>
      <c r="D21" s="108" t="n">
        <f aca="false">C21/12</f>
        <v>5832.66666666667</v>
      </c>
      <c r="E21" s="119" t="n">
        <v>1</v>
      </c>
      <c r="F21" s="101" t="s">
        <v>475</v>
      </c>
      <c r="G21" s="106" t="s">
        <v>282</v>
      </c>
      <c r="H21" s="102" t="n">
        <v>0</v>
      </c>
      <c r="I21" s="105" t="n">
        <v>0</v>
      </c>
    </row>
    <row r="22" customFormat="false" ht="15" hidden="false" customHeight="true" outlineLevel="0" collapsed="false">
      <c r="A22" s="101" t="s">
        <v>501</v>
      </c>
      <c r="B22" s="101" t="s">
        <v>500</v>
      </c>
      <c r="C22" s="118" t="n">
        <v>52000</v>
      </c>
      <c r="D22" s="108" t="n">
        <f aca="false">C22/12</f>
        <v>4333.33333333333</v>
      </c>
      <c r="E22" s="119" t="n">
        <v>1</v>
      </c>
      <c r="F22" s="101" t="s">
        <v>475</v>
      </c>
      <c r="G22" s="106" t="s">
        <v>282</v>
      </c>
      <c r="H22" s="102" t="n">
        <v>0</v>
      </c>
      <c r="I22" s="105" t="n">
        <v>0</v>
      </c>
    </row>
    <row r="23" customFormat="false" ht="15" hidden="false" customHeight="true" outlineLevel="0" collapsed="false">
      <c r="A23" s="101" t="s">
        <v>502</v>
      </c>
      <c r="B23" s="101" t="s">
        <v>503</v>
      </c>
      <c r="C23" s="118" t="n">
        <v>70000</v>
      </c>
      <c r="D23" s="108" t="n">
        <f aca="false">C23/12</f>
        <v>5833.33333333333</v>
      </c>
      <c r="E23" s="119" t="n">
        <v>1</v>
      </c>
      <c r="F23" s="101" t="s">
        <v>475</v>
      </c>
      <c r="G23" s="106" t="s">
        <v>282</v>
      </c>
      <c r="H23" s="102" t="n">
        <v>0</v>
      </c>
      <c r="I23" s="105" t="n">
        <v>0</v>
      </c>
    </row>
    <row r="24" customFormat="false" ht="15" hidden="false" customHeight="true" outlineLevel="0" collapsed="false">
      <c r="A24" s="101" t="s">
        <v>504</v>
      </c>
      <c r="B24" s="101" t="s">
        <v>503</v>
      </c>
      <c r="C24" s="118" t="n">
        <v>97500</v>
      </c>
      <c r="D24" s="108" t="n">
        <f aca="false">C24/12</f>
        <v>8125</v>
      </c>
      <c r="E24" s="119" t="n">
        <v>1</v>
      </c>
      <c r="F24" s="101" t="s">
        <v>475</v>
      </c>
      <c r="G24" s="106" t="s">
        <v>282</v>
      </c>
      <c r="H24" s="102" t="n">
        <v>0</v>
      </c>
      <c r="I24" s="105" t="n">
        <v>0</v>
      </c>
    </row>
    <row r="25" customFormat="false" ht="15" hidden="false" customHeight="true" outlineLevel="0" collapsed="false">
      <c r="A25" s="120" t="s">
        <v>505</v>
      </c>
      <c r="B25" s="101" t="s">
        <v>503</v>
      </c>
      <c r="C25" s="118" t="n">
        <v>100000</v>
      </c>
      <c r="D25" s="108" t="n">
        <f aca="false">C25/12</f>
        <v>8333.33333333333</v>
      </c>
      <c r="E25" s="119" t="n">
        <v>3</v>
      </c>
      <c r="F25" s="101" t="s">
        <v>475</v>
      </c>
      <c r="G25" s="106" t="s">
        <v>282</v>
      </c>
      <c r="H25" s="102" t="n">
        <v>0</v>
      </c>
      <c r="I25" s="105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507</v>
      </c>
      <c r="B28" s="101" t="s">
        <v>508</v>
      </c>
      <c r="C28" s="118" t="n">
        <v>400000</v>
      </c>
      <c r="D28" s="108" t="n">
        <f aca="false">C28/12</f>
        <v>33333.3333333333</v>
      </c>
      <c r="E28" s="119" t="n">
        <v>1</v>
      </c>
      <c r="F28" s="101" t="s">
        <v>509</v>
      </c>
      <c r="G28" s="106" t="s">
        <v>282</v>
      </c>
      <c r="H28" s="102" t="n">
        <v>1</v>
      </c>
      <c r="I28" s="78" t="n">
        <v>0.5</v>
      </c>
    </row>
    <row r="29" customFormat="false" ht="15" hidden="false" customHeight="true" outlineLevel="0" collapsed="false">
      <c r="A29" s="101" t="s">
        <v>510</v>
      </c>
      <c r="B29" s="101" t="s">
        <v>508</v>
      </c>
      <c r="C29" s="118" t="n">
        <v>400000</v>
      </c>
      <c r="D29" s="108" t="n">
        <f aca="false">C29/12</f>
        <v>33333.3333333333</v>
      </c>
      <c r="E29" s="119" t="n">
        <v>1</v>
      </c>
      <c r="F29" s="101" t="s">
        <v>509</v>
      </c>
      <c r="G29" s="106" t="s">
        <v>282</v>
      </c>
      <c r="H29" s="102" t="n">
        <v>1</v>
      </c>
      <c r="I29" s="78" t="n">
        <v>0.2</v>
      </c>
    </row>
    <row r="30" customFormat="false" ht="15" hidden="false" customHeight="true" outlineLevel="0" collapsed="false">
      <c r="A30" s="101" t="s">
        <v>511</v>
      </c>
      <c r="B30" s="101" t="s">
        <v>512</v>
      </c>
      <c r="C30" s="118" t="n">
        <v>222000</v>
      </c>
      <c r="D30" s="108" t="n">
        <f aca="false">C30/12</f>
        <v>18500</v>
      </c>
      <c r="E30" s="119" t="n">
        <v>1</v>
      </c>
      <c r="F30" s="101" t="s">
        <v>509</v>
      </c>
      <c r="G30" s="106" t="s">
        <v>282</v>
      </c>
      <c r="H30" s="102" t="n">
        <v>1</v>
      </c>
      <c r="I30" s="102" t="n">
        <v>0</v>
      </c>
    </row>
    <row r="31" customFormat="false" ht="15" hidden="false" customHeight="true" outlineLevel="0" collapsed="false">
      <c r="A31" s="101" t="s">
        <v>513</v>
      </c>
      <c r="B31" s="101" t="s">
        <v>514</v>
      </c>
      <c r="C31" s="118" t="n">
        <v>115000</v>
      </c>
      <c r="D31" s="108" t="n">
        <f aca="false">C31/12</f>
        <v>9583.33333333333</v>
      </c>
      <c r="E31" s="119" t="n">
        <v>1</v>
      </c>
      <c r="F31" s="101" t="s">
        <v>509</v>
      </c>
      <c r="G31" s="106" t="s">
        <v>282</v>
      </c>
      <c r="H31" s="102" t="n">
        <v>1</v>
      </c>
      <c r="I31" s="102" t="n">
        <v>0</v>
      </c>
    </row>
    <row r="32" customFormat="false" ht="15" hidden="false" customHeight="true" outlineLevel="0" collapsed="false">
      <c r="A32" s="101" t="s">
        <v>515</v>
      </c>
      <c r="B32" s="101" t="s">
        <v>516</v>
      </c>
      <c r="C32" s="118" t="n">
        <v>250000</v>
      </c>
      <c r="D32" s="108" t="n">
        <f aca="false">C32/12</f>
        <v>20833.3333333333</v>
      </c>
      <c r="E32" s="119" t="n">
        <v>1</v>
      </c>
      <c r="F32" s="101" t="s">
        <v>509</v>
      </c>
      <c r="G32" s="106" t="s">
        <v>282</v>
      </c>
      <c r="H32" s="102" t="n">
        <v>0</v>
      </c>
      <c r="I32" s="78" t="n">
        <v>0.3</v>
      </c>
    </row>
    <row r="33" customFormat="false" ht="15" hidden="false" customHeight="true" outlineLevel="0" collapsed="false">
      <c r="A33" s="101" t="s">
        <v>517</v>
      </c>
      <c r="B33" s="101" t="s">
        <v>518</v>
      </c>
      <c r="C33" s="118" t="n">
        <v>150000</v>
      </c>
      <c r="D33" s="108" t="n">
        <f aca="false">C33/12</f>
        <v>12500</v>
      </c>
      <c r="E33" s="119" t="n">
        <v>1</v>
      </c>
      <c r="F33" s="101" t="s">
        <v>509</v>
      </c>
      <c r="G33" s="106" t="s">
        <v>282</v>
      </c>
      <c r="H33" s="102" t="n">
        <v>0</v>
      </c>
      <c r="I33" s="78" t="n">
        <v>0.75</v>
      </c>
    </row>
    <row r="34" customFormat="false" ht="15" hidden="false" customHeight="true" outlineLevel="0" collapsed="false">
      <c r="A34" s="101" t="s">
        <v>519</v>
      </c>
      <c r="B34" s="101" t="s">
        <v>520</v>
      </c>
      <c r="C34" s="118" t="n">
        <v>250000</v>
      </c>
      <c r="D34" s="108" t="n">
        <f aca="false">C34/12</f>
        <v>20833.3333333333</v>
      </c>
      <c r="E34" s="119" t="n">
        <v>1</v>
      </c>
      <c r="F34" s="101" t="s">
        <v>509</v>
      </c>
      <c r="G34" s="106" t="s">
        <v>282</v>
      </c>
      <c r="H34" s="102" t="n">
        <v>0</v>
      </c>
      <c r="I34" s="7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1" t="n">
        <v>1</v>
      </c>
      <c r="B2" s="122" t="n">
        <f aca="false">(1+Assumptions!$B$26)^INT((A2-1)/12)</f>
        <v>1</v>
      </c>
    </row>
    <row r="3" customFormat="false" ht="15" hidden="false" customHeight="true" outlineLevel="0" collapsed="false">
      <c r="A3" s="121" t="n">
        <v>2</v>
      </c>
      <c r="B3" s="122" t="n">
        <f aca="false">(1+Assumptions!$B$26)^INT((A3-1)/12)</f>
        <v>1</v>
      </c>
    </row>
    <row r="4" customFormat="false" ht="15" hidden="false" customHeight="true" outlineLevel="0" collapsed="false">
      <c r="A4" s="121" t="n">
        <v>3</v>
      </c>
      <c r="B4" s="122" t="n">
        <f aca="false">(1+Assumptions!$B$26)^INT((A4-1)/12)</f>
        <v>1</v>
      </c>
    </row>
    <row r="5" customFormat="false" ht="15" hidden="false" customHeight="true" outlineLevel="0" collapsed="false">
      <c r="A5" s="121" t="n">
        <v>4</v>
      </c>
      <c r="B5" s="122" t="n">
        <f aca="false">(1+Assumptions!$B$26)^INT((A5-1)/12)</f>
        <v>1</v>
      </c>
    </row>
    <row r="6" customFormat="false" ht="15" hidden="false" customHeight="true" outlineLevel="0" collapsed="false">
      <c r="A6" s="121" t="n">
        <v>5</v>
      </c>
      <c r="B6" s="122" t="n">
        <f aca="false">(1+Assumptions!$B$26)^INT((A6-1)/12)</f>
        <v>1</v>
      </c>
    </row>
    <row r="7" customFormat="false" ht="15" hidden="false" customHeight="true" outlineLevel="0" collapsed="false">
      <c r="A7" s="121" t="n">
        <v>6</v>
      </c>
      <c r="B7" s="122" t="n">
        <f aca="false">(1+Assumptions!$B$26)^INT((A7-1)/12)</f>
        <v>1</v>
      </c>
    </row>
    <row r="8" customFormat="false" ht="15" hidden="false" customHeight="true" outlineLevel="0" collapsed="false">
      <c r="A8" s="121" t="n">
        <v>7</v>
      </c>
      <c r="B8" s="122" t="n">
        <f aca="false">(1+Assumptions!$B$26)^INT((A8-1)/12)</f>
        <v>1</v>
      </c>
    </row>
    <row r="9" customFormat="false" ht="15" hidden="false" customHeight="true" outlineLevel="0" collapsed="false">
      <c r="A9" s="121" t="n">
        <v>8</v>
      </c>
      <c r="B9" s="122" t="n">
        <f aca="false">(1+Assumptions!$B$26)^INT((A9-1)/12)</f>
        <v>1</v>
      </c>
    </row>
    <row r="10" customFormat="false" ht="15" hidden="false" customHeight="true" outlineLevel="0" collapsed="false">
      <c r="A10" s="121" t="n">
        <v>9</v>
      </c>
      <c r="B10" s="122" t="n">
        <f aca="false">(1+Assumptions!$B$26)^INT((A10-1)/12)</f>
        <v>1</v>
      </c>
    </row>
    <row r="11" customFormat="false" ht="15" hidden="false" customHeight="true" outlineLevel="0" collapsed="false">
      <c r="A11" s="121" t="n">
        <v>10</v>
      </c>
      <c r="B11" s="122" t="n">
        <f aca="false">(1+Assumptions!$B$26)^INT((A11-1)/12)</f>
        <v>1</v>
      </c>
    </row>
    <row r="12" customFormat="false" ht="15" hidden="false" customHeight="true" outlineLevel="0" collapsed="false">
      <c r="A12" s="121" t="n">
        <v>11</v>
      </c>
      <c r="B12" s="122" t="n">
        <f aca="false">(1+Assumptions!$B$26)^INT((A12-1)/12)</f>
        <v>1</v>
      </c>
    </row>
    <row r="13" customFormat="false" ht="15" hidden="false" customHeight="true" outlineLevel="0" collapsed="false">
      <c r="A13" s="121" t="n">
        <v>12</v>
      </c>
      <c r="B13" s="122" t="n">
        <f aca="false">(1+Assumptions!$B$26)^INT((A13-1)/12)</f>
        <v>1</v>
      </c>
    </row>
    <row r="14" customFormat="false" ht="15" hidden="false" customHeight="true" outlineLevel="0" collapsed="false">
      <c r="A14" s="121" t="n">
        <v>13</v>
      </c>
      <c r="B14" s="122" t="n">
        <f aca="false">(1+Assumptions!$B$26)^INT((A14-1)/12)</f>
        <v>1.02</v>
      </c>
    </row>
    <row r="15" customFormat="false" ht="15" hidden="false" customHeight="true" outlineLevel="0" collapsed="false">
      <c r="A15" s="121" t="n">
        <v>14</v>
      </c>
      <c r="B15" s="122" t="n">
        <f aca="false">(1+Assumptions!$B$26)^INT((A15-1)/12)</f>
        <v>1.02</v>
      </c>
    </row>
    <row r="16" customFormat="false" ht="15" hidden="false" customHeight="true" outlineLevel="0" collapsed="false">
      <c r="A16" s="121" t="n">
        <v>15</v>
      </c>
      <c r="B16" s="122" t="n">
        <f aca="false">(1+Assumptions!$B$26)^INT((A16-1)/12)</f>
        <v>1.02</v>
      </c>
    </row>
    <row r="17" customFormat="false" ht="15" hidden="false" customHeight="true" outlineLevel="0" collapsed="false">
      <c r="A17" s="121" t="n">
        <v>16</v>
      </c>
      <c r="B17" s="122" t="n">
        <f aca="false">(1+Assumptions!$B$26)^INT((A17-1)/12)</f>
        <v>1.02</v>
      </c>
    </row>
    <row r="18" customFormat="false" ht="15" hidden="false" customHeight="true" outlineLevel="0" collapsed="false">
      <c r="A18" s="121" t="n">
        <v>17</v>
      </c>
      <c r="B18" s="122" t="n">
        <f aca="false">(1+Assumptions!$B$26)^INT((A18-1)/12)</f>
        <v>1.02</v>
      </c>
    </row>
    <row r="19" customFormat="false" ht="15" hidden="false" customHeight="true" outlineLevel="0" collapsed="false">
      <c r="A19" s="121" t="n">
        <v>18</v>
      </c>
      <c r="B19" s="122" t="n">
        <f aca="false">(1+Assumptions!$B$26)^INT((A19-1)/12)</f>
        <v>1.02</v>
      </c>
    </row>
    <row r="20" customFormat="false" ht="15" hidden="false" customHeight="true" outlineLevel="0" collapsed="false">
      <c r="A20" s="121" t="n">
        <v>19</v>
      </c>
      <c r="B20" s="122" t="n">
        <f aca="false">(1+Assumptions!$B$26)^INT((A20-1)/12)</f>
        <v>1.02</v>
      </c>
    </row>
    <row r="21" customFormat="false" ht="15" hidden="false" customHeight="true" outlineLevel="0" collapsed="false">
      <c r="A21" s="121" t="n">
        <v>20</v>
      </c>
      <c r="B21" s="122" t="n">
        <f aca="false">(1+Assumptions!$B$26)^INT((A21-1)/12)</f>
        <v>1.02</v>
      </c>
    </row>
    <row r="22" customFormat="false" ht="15" hidden="false" customHeight="true" outlineLevel="0" collapsed="false">
      <c r="A22" s="121" t="n">
        <v>21</v>
      </c>
      <c r="B22" s="122" t="n">
        <f aca="false">(1+Assumptions!$B$26)^INT((A22-1)/12)</f>
        <v>1.02</v>
      </c>
    </row>
    <row r="23" customFormat="false" ht="15" hidden="false" customHeight="true" outlineLevel="0" collapsed="false">
      <c r="A23" s="121" t="n">
        <v>22</v>
      </c>
      <c r="B23" s="122" t="n">
        <f aca="false">(1+Assumptions!$B$26)^INT((A23-1)/12)</f>
        <v>1.02</v>
      </c>
    </row>
    <row r="24" customFormat="false" ht="15" hidden="false" customHeight="true" outlineLevel="0" collapsed="false">
      <c r="A24" s="121" t="n">
        <v>23</v>
      </c>
      <c r="B24" s="122" t="n">
        <f aca="false">(1+Assumptions!$B$26)^INT((A24-1)/12)</f>
        <v>1.02</v>
      </c>
    </row>
    <row r="25" customFormat="false" ht="15" hidden="false" customHeight="true" outlineLevel="0" collapsed="false">
      <c r="A25" s="121" t="n">
        <v>24</v>
      </c>
      <c r="B25" s="122" t="n">
        <f aca="false">(1+Assumptions!$B$26)^INT((A25-1)/12)</f>
        <v>1.02</v>
      </c>
    </row>
    <row r="26" customFormat="false" ht="15" hidden="false" customHeight="true" outlineLevel="0" collapsed="false">
      <c r="A26" s="121" t="n">
        <v>25</v>
      </c>
      <c r="B26" s="122" t="n">
        <f aca="false">(1+Assumptions!$B$26)^INT((A26-1)/12)</f>
        <v>1.0404</v>
      </c>
    </row>
    <row r="27" customFormat="false" ht="15" hidden="false" customHeight="true" outlineLevel="0" collapsed="false">
      <c r="A27" s="121" t="n">
        <v>26</v>
      </c>
      <c r="B27" s="122" t="n">
        <f aca="false">(1+Assumptions!$B$26)^INT((A27-1)/12)</f>
        <v>1.0404</v>
      </c>
    </row>
    <row r="28" customFormat="false" ht="15" hidden="false" customHeight="true" outlineLevel="0" collapsed="false">
      <c r="A28" s="121" t="n">
        <v>27</v>
      </c>
      <c r="B28" s="122" t="n">
        <f aca="false">(1+Assumptions!$B$26)^INT((A28-1)/12)</f>
        <v>1.0404</v>
      </c>
    </row>
    <row r="29" customFormat="false" ht="15" hidden="false" customHeight="true" outlineLevel="0" collapsed="false">
      <c r="A29" s="121" t="n">
        <v>28</v>
      </c>
      <c r="B29" s="122" t="n">
        <f aca="false">(1+Assumptions!$B$26)^INT((A29-1)/12)</f>
        <v>1.0404</v>
      </c>
    </row>
    <row r="30" customFormat="false" ht="15" hidden="false" customHeight="true" outlineLevel="0" collapsed="false">
      <c r="A30" s="121" t="n">
        <v>29</v>
      </c>
      <c r="B30" s="122" t="n">
        <f aca="false">(1+Assumptions!$B$26)^INT((A30-1)/12)</f>
        <v>1.0404</v>
      </c>
    </row>
    <row r="31" customFormat="false" ht="15" hidden="false" customHeight="true" outlineLevel="0" collapsed="false">
      <c r="A31" s="121" t="n">
        <v>30</v>
      </c>
      <c r="B31" s="122" t="n">
        <f aca="false">(1+Assumptions!$B$26)^INT((A31-1)/12)</f>
        <v>1.0404</v>
      </c>
    </row>
    <row r="32" customFormat="false" ht="15" hidden="false" customHeight="true" outlineLevel="0" collapsed="false">
      <c r="A32" s="121" t="n">
        <v>31</v>
      </c>
      <c r="B32" s="122" t="n">
        <f aca="false">(1+Assumptions!$B$26)^INT((A32-1)/12)</f>
        <v>1.0404</v>
      </c>
    </row>
    <row r="33" customFormat="false" ht="15" hidden="false" customHeight="true" outlineLevel="0" collapsed="false">
      <c r="A33" s="121" t="n">
        <v>32</v>
      </c>
      <c r="B33" s="122" t="n">
        <f aca="false">(1+Assumptions!$B$26)^INT((A33-1)/12)</f>
        <v>1.0404</v>
      </c>
    </row>
    <row r="34" customFormat="false" ht="15" hidden="false" customHeight="true" outlineLevel="0" collapsed="false">
      <c r="A34" s="121" t="n">
        <v>33</v>
      </c>
      <c r="B34" s="122" t="n">
        <f aca="false">(1+Assumptions!$B$26)^INT((A34-1)/12)</f>
        <v>1.0404</v>
      </c>
    </row>
    <row r="35" customFormat="false" ht="15" hidden="false" customHeight="true" outlineLevel="0" collapsed="false">
      <c r="A35" s="121" t="n">
        <v>34</v>
      </c>
      <c r="B35" s="122" t="n">
        <f aca="false">(1+Assumptions!$B$26)^INT((A35-1)/12)</f>
        <v>1.0404</v>
      </c>
    </row>
    <row r="36" customFormat="false" ht="15" hidden="false" customHeight="true" outlineLevel="0" collapsed="false">
      <c r="A36" s="121" t="n">
        <v>35</v>
      </c>
      <c r="B36" s="122" t="n">
        <f aca="false">(1+Assumptions!$B$26)^INT((A36-1)/12)</f>
        <v>1.0404</v>
      </c>
    </row>
    <row r="37" customFormat="false" ht="15" hidden="false" customHeight="true" outlineLevel="0" collapsed="false">
      <c r="A37" s="121" t="n">
        <v>36</v>
      </c>
      <c r="B37" s="122" t="n">
        <f aca="false">(1+Assumptions!$B$26)^INT((A37-1)/12)</f>
        <v>1.0404</v>
      </c>
    </row>
    <row r="38" customFormat="false" ht="15" hidden="false" customHeight="true" outlineLevel="0" collapsed="false">
      <c r="A38" s="121" t="n">
        <v>37</v>
      </c>
      <c r="B38" s="122" t="n">
        <f aca="false">(1+Assumptions!$B$26)^INT((A38-1)/12)</f>
        <v>1.061208</v>
      </c>
    </row>
    <row r="39" customFormat="false" ht="15" hidden="false" customHeight="true" outlineLevel="0" collapsed="false">
      <c r="A39" s="121" t="n">
        <v>38</v>
      </c>
      <c r="B39" s="122" t="n">
        <f aca="false">(1+Assumptions!$B$26)^INT((A39-1)/12)</f>
        <v>1.061208</v>
      </c>
    </row>
    <row r="40" customFormat="false" ht="15" hidden="false" customHeight="true" outlineLevel="0" collapsed="false">
      <c r="A40" s="121" t="n">
        <v>39</v>
      </c>
      <c r="B40" s="122" t="n">
        <f aca="false">(1+Assumptions!$B$26)^INT((A40-1)/12)</f>
        <v>1.061208</v>
      </c>
    </row>
    <row r="41" customFormat="false" ht="15" hidden="false" customHeight="true" outlineLevel="0" collapsed="false">
      <c r="A41" s="121" t="n">
        <v>40</v>
      </c>
      <c r="B41" s="122" t="n">
        <f aca="false">(1+Assumptions!$B$26)^INT((A41-1)/12)</f>
        <v>1.061208</v>
      </c>
    </row>
    <row r="42" customFormat="false" ht="15" hidden="false" customHeight="true" outlineLevel="0" collapsed="false">
      <c r="A42" s="121" t="n">
        <v>41</v>
      </c>
      <c r="B42" s="122" t="n">
        <f aca="false">(1+Assumptions!$B$26)^INT((A42-1)/12)</f>
        <v>1.061208</v>
      </c>
    </row>
    <row r="43" customFormat="false" ht="15" hidden="false" customHeight="true" outlineLevel="0" collapsed="false">
      <c r="A43" s="121" t="n">
        <v>42</v>
      </c>
      <c r="B43" s="122" t="n">
        <f aca="false">(1+Assumptions!$B$26)^INT((A43-1)/12)</f>
        <v>1.061208</v>
      </c>
    </row>
    <row r="44" customFormat="false" ht="15" hidden="false" customHeight="true" outlineLevel="0" collapsed="false">
      <c r="A44" s="121" t="n">
        <v>43</v>
      </c>
      <c r="B44" s="122" t="n">
        <f aca="false">(1+Assumptions!$B$26)^INT((A44-1)/12)</f>
        <v>1.061208</v>
      </c>
    </row>
    <row r="45" customFormat="false" ht="15" hidden="false" customHeight="true" outlineLevel="0" collapsed="false">
      <c r="A45" s="121" t="n">
        <v>44</v>
      </c>
      <c r="B45" s="122" t="n">
        <f aca="false">(1+Assumptions!$B$26)^INT((A45-1)/12)</f>
        <v>1.061208</v>
      </c>
    </row>
    <row r="46" customFormat="false" ht="15" hidden="false" customHeight="true" outlineLevel="0" collapsed="false">
      <c r="A46" s="121" t="n">
        <v>45</v>
      </c>
      <c r="B46" s="122" t="n">
        <f aca="false">(1+Assumptions!$B$26)^INT((A46-1)/12)</f>
        <v>1.061208</v>
      </c>
    </row>
    <row r="47" customFormat="false" ht="15" hidden="false" customHeight="true" outlineLevel="0" collapsed="false">
      <c r="A47" s="121" t="n">
        <v>46</v>
      </c>
      <c r="B47" s="122" t="n">
        <f aca="false">(1+Assumptions!$B$26)^INT((A47-1)/12)</f>
        <v>1.061208</v>
      </c>
    </row>
    <row r="48" customFormat="false" ht="15" hidden="false" customHeight="true" outlineLevel="0" collapsed="false">
      <c r="A48" s="121" t="n">
        <v>47</v>
      </c>
      <c r="B48" s="122" t="n">
        <f aca="false">(1+Assumptions!$B$26)^INT((A48-1)/12)</f>
        <v>1.061208</v>
      </c>
    </row>
    <row r="49" customFormat="false" ht="15" hidden="false" customHeight="true" outlineLevel="0" collapsed="false">
      <c r="A49" s="121" t="n">
        <v>48</v>
      </c>
      <c r="B49" s="122" t="n">
        <f aca="false">(1+Assumptions!$B$26)^INT((A49-1)/12)</f>
        <v>1.061208</v>
      </c>
    </row>
    <row r="50" customFormat="false" ht="15" hidden="false" customHeight="true" outlineLevel="0" collapsed="false">
      <c r="A50" s="121" t="n">
        <v>49</v>
      </c>
      <c r="B50" s="122" t="n">
        <f aca="false">(1+Assumptions!$B$26)^INT((A50-1)/12)</f>
        <v>1.08243216</v>
      </c>
    </row>
    <row r="51" customFormat="false" ht="15" hidden="false" customHeight="true" outlineLevel="0" collapsed="false">
      <c r="A51" s="121" t="n">
        <v>50</v>
      </c>
      <c r="B51" s="122" t="n">
        <f aca="false">(1+Assumptions!$B$26)^INT((A51-1)/12)</f>
        <v>1.08243216</v>
      </c>
    </row>
    <row r="52" customFormat="false" ht="15" hidden="false" customHeight="true" outlineLevel="0" collapsed="false">
      <c r="A52" s="121" t="n">
        <v>51</v>
      </c>
      <c r="B52" s="122" t="n">
        <f aca="false">(1+Assumptions!$B$26)^INT((A52-1)/12)</f>
        <v>1.08243216</v>
      </c>
    </row>
    <row r="53" customFormat="false" ht="15" hidden="false" customHeight="true" outlineLevel="0" collapsed="false">
      <c r="A53" s="121" t="n">
        <v>52</v>
      </c>
      <c r="B53" s="122" t="n">
        <f aca="false">(1+Assumptions!$B$26)^INT((A53-1)/12)</f>
        <v>1.08243216</v>
      </c>
    </row>
    <row r="54" customFormat="false" ht="15" hidden="false" customHeight="true" outlineLevel="0" collapsed="false">
      <c r="A54" s="121" t="n">
        <v>53</v>
      </c>
      <c r="B54" s="122" t="n">
        <f aca="false">(1+Assumptions!$B$26)^INT((A54-1)/12)</f>
        <v>1.08243216</v>
      </c>
    </row>
    <row r="55" customFormat="false" ht="15" hidden="false" customHeight="true" outlineLevel="0" collapsed="false">
      <c r="A55" s="121" t="n">
        <v>54</v>
      </c>
      <c r="B55" s="122" t="n">
        <f aca="false">(1+Assumptions!$B$26)^INT((A55-1)/12)</f>
        <v>1.08243216</v>
      </c>
    </row>
    <row r="56" customFormat="false" ht="15" hidden="false" customHeight="true" outlineLevel="0" collapsed="false">
      <c r="A56" s="121" t="n">
        <v>55</v>
      </c>
      <c r="B56" s="122" t="n">
        <f aca="false">(1+Assumptions!$B$26)^INT((A56-1)/12)</f>
        <v>1.08243216</v>
      </c>
    </row>
    <row r="57" customFormat="false" ht="15" hidden="false" customHeight="true" outlineLevel="0" collapsed="false">
      <c r="A57" s="121" t="n">
        <v>56</v>
      </c>
      <c r="B57" s="122" t="n">
        <f aca="false">(1+Assumptions!$B$26)^INT((A57-1)/12)</f>
        <v>1.08243216</v>
      </c>
    </row>
    <row r="58" customFormat="false" ht="15" hidden="false" customHeight="true" outlineLevel="0" collapsed="false">
      <c r="A58" s="121" t="n">
        <v>57</v>
      </c>
      <c r="B58" s="122" t="n">
        <f aca="false">(1+Assumptions!$B$26)^INT((A58-1)/12)</f>
        <v>1.08243216</v>
      </c>
    </row>
    <row r="59" customFormat="false" ht="15" hidden="false" customHeight="true" outlineLevel="0" collapsed="false">
      <c r="A59" s="121" t="n">
        <v>58</v>
      </c>
      <c r="B59" s="122" t="n">
        <f aca="false">(1+Assumptions!$B$26)^INT((A59-1)/12)</f>
        <v>1.08243216</v>
      </c>
    </row>
    <row r="60" customFormat="false" ht="15" hidden="false" customHeight="true" outlineLevel="0" collapsed="false">
      <c r="A60" s="121" t="n">
        <v>59</v>
      </c>
      <c r="B60" s="122" t="n">
        <f aca="false">(1+Assumptions!$B$26)^INT((A60-1)/12)</f>
        <v>1.08243216</v>
      </c>
    </row>
    <row r="61" customFormat="false" ht="15" hidden="false" customHeight="true" outlineLevel="0" collapsed="false">
      <c r="A61" s="121" t="n">
        <v>60</v>
      </c>
      <c r="B61" s="122" t="n">
        <f aca="false">(1+Assumptions!$B$26)^INT((A61-1)/12)</f>
        <v>1.08243216</v>
      </c>
    </row>
    <row r="62" customFormat="false" ht="15" hidden="false" customHeight="true" outlineLevel="0" collapsed="false">
      <c r="A62" s="121" t="n">
        <v>61</v>
      </c>
      <c r="B62" s="122" t="n">
        <f aca="false">(1+Assumptions!$B$26)^INT((A62-1)/12)</f>
        <v>1.1040808032</v>
      </c>
    </row>
    <row r="63" customFormat="false" ht="15" hidden="false" customHeight="true" outlineLevel="0" collapsed="false">
      <c r="A63" s="121" t="n">
        <v>62</v>
      </c>
      <c r="B63" s="122" t="n">
        <f aca="false">(1+Assumptions!$B$26)^INT((A63-1)/12)</f>
        <v>1.1040808032</v>
      </c>
    </row>
    <row r="64" customFormat="false" ht="15" hidden="false" customHeight="true" outlineLevel="0" collapsed="false">
      <c r="A64" s="121" t="n">
        <v>63</v>
      </c>
      <c r="B64" s="122" t="n">
        <f aca="false">(1+Assumptions!$B$26)^INT((A64-1)/12)</f>
        <v>1.1040808032</v>
      </c>
    </row>
    <row r="65" customFormat="false" ht="15" hidden="false" customHeight="true" outlineLevel="0" collapsed="false">
      <c r="A65" s="121" t="n">
        <v>64</v>
      </c>
      <c r="B65" s="122" t="n">
        <f aca="false">(1+Assumptions!$B$26)^INT((A65-1)/12)</f>
        <v>1.1040808032</v>
      </c>
    </row>
    <row r="66" customFormat="false" ht="15" hidden="false" customHeight="true" outlineLevel="0" collapsed="false">
      <c r="A66" s="121" t="n">
        <v>65</v>
      </c>
      <c r="B66" s="122" t="n">
        <f aca="false">(1+Assumptions!$B$26)^INT((A66-1)/12)</f>
        <v>1.1040808032</v>
      </c>
    </row>
    <row r="67" customFormat="false" ht="15" hidden="false" customHeight="true" outlineLevel="0" collapsed="false">
      <c r="A67" s="121" t="n">
        <v>66</v>
      </c>
      <c r="B67" s="122" t="n">
        <f aca="false">(1+Assumptions!$B$26)^INT((A67-1)/12)</f>
        <v>1.1040808032</v>
      </c>
    </row>
    <row r="68" customFormat="false" ht="15" hidden="false" customHeight="true" outlineLevel="0" collapsed="false">
      <c r="A68" s="121" t="n">
        <v>67</v>
      </c>
      <c r="B68" s="122" t="n">
        <f aca="false">(1+Assumptions!$B$26)^INT((A68-1)/12)</f>
        <v>1.1040808032</v>
      </c>
    </row>
    <row r="69" customFormat="false" ht="15" hidden="false" customHeight="true" outlineLevel="0" collapsed="false">
      <c r="A69" s="121" t="n">
        <v>68</v>
      </c>
      <c r="B69" s="122" t="n">
        <f aca="false">(1+Assumptions!$B$26)^INT((A69-1)/12)</f>
        <v>1.1040808032</v>
      </c>
    </row>
    <row r="70" customFormat="false" ht="15" hidden="false" customHeight="true" outlineLevel="0" collapsed="false">
      <c r="A70" s="121" t="n">
        <v>69</v>
      </c>
      <c r="B70" s="122" t="n">
        <f aca="false">(1+Assumptions!$B$26)^INT((A70-1)/12)</f>
        <v>1.1040808032</v>
      </c>
    </row>
    <row r="71" customFormat="false" ht="15" hidden="false" customHeight="true" outlineLevel="0" collapsed="false">
      <c r="A71" s="121" t="n">
        <v>70</v>
      </c>
      <c r="B71" s="122" t="n">
        <f aca="false">(1+Assumptions!$B$26)^INT((A71-1)/12)</f>
        <v>1.1040808032</v>
      </c>
    </row>
    <row r="72" customFormat="false" ht="15" hidden="false" customHeight="true" outlineLevel="0" collapsed="false">
      <c r="A72" s="121" t="n">
        <v>71</v>
      </c>
      <c r="B72" s="122" t="n">
        <f aca="false">(1+Assumptions!$B$26)^INT((A72-1)/12)</f>
        <v>1.1040808032</v>
      </c>
    </row>
    <row r="73" customFormat="false" ht="15" hidden="false" customHeight="true" outlineLevel="0" collapsed="false">
      <c r="A73" s="121" t="n">
        <v>72</v>
      </c>
      <c r="B73" s="122" t="n">
        <f aca="false">(1+Assumptions!$B$26)^INT((A73-1)/12)</f>
        <v>1.1040808032</v>
      </c>
    </row>
    <row r="74" customFormat="false" ht="15" hidden="false" customHeight="true" outlineLevel="0" collapsed="false">
      <c r="A74" s="121" t="n">
        <v>73</v>
      </c>
      <c r="B74" s="122" t="n">
        <f aca="false">(1+Assumptions!$B$26)^INT((A74-1)/12)</f>
        <v>1.126162419264</v>
      </c>
    </row>
    <row r="75" customFormat="false" ht="15" hidden="false" customHeight="true" outlineLevel="0" collapsed="false">
      <c r="A75" s="121" t="n">
        <v>74</v>
      </c>
      <c r="B75" s="122" t="n">
        <f aca="false">(1+Assumptions!$B$26)^INT((A75-1)/12)</f>
        <v>1.126162419264</v>
      </c>
    </row>
    <row r="76" customFormat="false" ht="15" hidden="false" customHeight="true" outlineLevel="0" collapsed="false">
      <c r="A76" s="121" t="n">
        <v>75</v>
      </c>
      <c r="B76" s="122" t="n">
        <f aca="false">(1+Assumptions!$B$26)^INT((A76-1)/12)</f>
        <v>1.126162419264</v>
      </c>
    </row>
    <row r="77" customFormat="false" ht="15" hidden="false" customHeight="true" outlineLevel="0" collapsed="false">
      <c r="A77" s="121" t="n">
        <v>76</v>
      </c>
      <c r="B77" s="122" t="n">
        <f aca="false">(1+Assumptions!$B$26)^INT((A77-1)/12)</f>
        <v>1.126162419264</v>
      </c>
    </row>
    <row r="78" customFormat="false" ht="15" hidden="false" customHeight="true" outlineLevel="0" collapsed="false">
      <c r="A78" s="121" t="n">
        <v>77</v>
      </c>
      <c r="B78" s="122" t="n">
        <f aca="false">(1+Assumptions!$B$26)^INT((A78-1)/12)</f>
        <v>1.126162419264</v>
      </c>
    </row>
    <row r="79" customFormat="false" ht="15" hidden="false" customHeight="true" outlineLevel="0" collapsed="false">
      <c r="A79" s="121" t="n">
        <v>78</v>
      </c>
      <c r="B79" s="122" t="n">
        <f aca="false">(1+Assumptions!$B$26)^INT((A79-1)/12)</f>
        <v>1.126162419264</v>
      </c>
    </row>
    <row r="80" customFormat="false" ht="15" hidden="false" customHeight="true" outlineLevel="0" collapsed="false">
      <c r="A80" s="121" t="n">
        <v>79</v>
      </c>
      <c r="B80" s="122" t="n">
        <f aca="false">(1+Assumptions!$B$26)^INT((A80-1)/12)</f>
        <v>1.126162419264</v>
      </c>
    </row>
    <row r="81" customFormat="false" ht="15" hidden="false" customHeight="true" outlineLevel="0" collapsed="false">
      <c r="A81" s="121" t="n">
        <v>80</v>
      </c>
      <c r="B81" s="122" t="n">
        <f aca="false">(1+Assumptions!$B$26)^INT((A81-1)/12)</f>
        <v>1.126162419264</v>
      </c>
    </row>
    <row r="82" customFormat="false" ht="15" hidden="false" customHeight="true" outlineLevel="0" collapsed="false">
      <c r="A82" s="121" t="n">
        <v>81</v>
      </c>
      <c r="B82" s="122" t="n">
        <f aca="false">(1+Assumptions!$B$26)^INT((A82-1)/12)</f>
        <v>1.126162419264</v>
      </c>
    </row>
    <row r="83" customFormat="false" ht="15" hidden="false" customHeight="true" outlineLevel="0" collapsed="false">
      <c r="A83" s="121" t="n">
        <v>82</v>
      </c>
      <c r="B83" s="122" t="n">
        <f aca="false">(1+Assumptions!$B$26)^INT((A83-1)/12)</f>
        <v>1.126162419264</v>
      </c>
    </row>
    <row r="84" customFormat="false" ht="15" hidden="false" customHeight="true" outlineLevel="0" collapsed="false">
      <c r="A84" s="121" t="n">
        <v>83</v>
      </c>
      <c r="B84" s="122" t="n">
        <f aca="false">(1+Assumptions!$B$26)^INT((A84-1)/12)</f>
        <v>1.126162419264</v>
      </c>
    </row>
    <row r="85" customFormat="false" ht="15" hidden="false" customHeight="true" outlineLevel="0" collapsed="false">
      <c r="A85" s="121" t="n">
        <v>84</v>
      </c>
      <c r="B85" s="122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523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1" t="n">
        <v>1</v>
      </c>
      <c r="D3" s="121" t="n">
        <v>2</v>
      </c>
      <c r="E3" s="121" t="n">
        <v>3</v>
      </c>
      <c r="F3" s="121" t="n">
        <v>4</v>
      </c>
      <c r="G3" s="121" t="n">
        <v>5</v>
      </c>
      <c r="H3" s="121" t="n">
        <v>6</v>
      </c>
      <c r="I3" s="121" t="n">
        <v>7</v>
      </c>
      <c r="J3" s="121" t="n">
        <v>8</v>
      </c>
      <c r="K3" s="121" t="n">
        <v>9</v>
      </c>
      <c r="L3" s="121" t="n">
        <v>10</v>
      </c>
      <c r="M3" s="121" t="n">
        <v>11</v>
      </c>
      <c r="N3" s="121" t="n">
        <v>12</v>
      </c>
      <c r="O3" s="121" t="n">
        <v>13</v>
      </c>
      <c r="P3" s="121" t="n">
        <v>14</v>
      </c>
      <c r="Q3" s="121" t="n">
        <v>15</v>
      </c>
      <c r="R3" s="121" t="n">
        <v>16</v>
      </c>
      <c r="S3" s="121" t="n">
        <v>17</v>
      </c>
      <c r="T3" s="121" t="n">
        <v>18</v>
      </c>
      <c r="U3" s="121" t="n">
        <v>19</v>
      </c>
      <c r="V3" s="121" t="n">
        <v>20</v>
      </c>
      <c r="W3" s="121" t="n">
        <v>21</v>
      </c>
      <c r="X3" s="121" t="n">
        <v>22</v>
      </c>
      <c r="Y3" s="121" t="n">
        <v>23</v>
      </c>
      <c r="Z3" s="121" t="n">
        <v>24</v>
      </c>
      <c r="AA3" s="121" t="n">
        <v>25</v>
      </c>
      <c r="AB3" s="121" t="n">
        <v>26</v>
      </c>
      <c r="AC3" s="121" t="n">
        <v>27</v>
      </c>
      <c r="AD3" s="121" t="n">
        <v>28</v>
      </c>
      <c r="AE3" s="121" t="n">
        <v>29</v>
      </c>
      <c r="AF3" s="121" t="n">
        <v>30</v>
      </c>
      <c r="AG3" s="121" t="n">
        <v>31</v>
      </c>
      <c r="AH3" s="121" t="n">
        <v>32</v>
      </c>
      <c r="AI3" s="121" t="n">
        <v>33</v>
      </c>
      <c r="AJ3" s="121" t="n">
        <v>34</v>
      </c>
      <c r="AK3" s="121" t="n">
        <v>35</v>
      </c>
      <c r="AL3" s="121" t="n">
        <v>36</v>
      </c>
      <c r="AM3" s="121" t="n">
        <v>37</v>
      </c>
      <c r="AN3" s="121" t="n">
        <v>38</v>
      </c>
      <c r="AO3" s="121" t="n">
        <v>39</v>
      </c>
      <c r="AP3" s="121" t="n">
        <v>40</v>
      </c>
      <c r="AQ3" s="121" t="n">
        <v>41</v>
      </c>
      <c r="AR3" s="121" t="n">
        <v>42</v>
      </c>
      <c r="AS3" s="121" t="n">
        <v>43</v>
      </c>
      <c r="AT3" s="121" t="n">
        <v>44</v>
      </c>
      <c r="AU3" s="121" t="n">
        <v>45</v>
      </c>
      <c r="AV3" s="121" t="n">
        <v>46</v>
      </c>
      <c r="AW3" s="121" t="n">
        <v>47</v>
      </c>
      <c r="AX3" s="121" t="n">
        <v>48</v>
      </c>
      <c r="AY3" s="121" t="n">
        <v>49</v>
      </c>
      <c r="AZ3" s="121" t="n">
        <v>50</v>
      </c>
      <c r="BA3" s="121" t="n">
        <v>51</v>
      </c>
      <c r="BB3" s="121" t="n">
        <v>52</v>
      </c>
      <c r="BC3" s="121" t="n">
        <v>53</v>
      </c>
      <c r="BD3" s="121" t="n">
        <v>54</v>
      </c>
      <c r="BE3" s="121" t="n">
        <v>55</v>
      </c>
      <c r="BF3" s="121" t="n">
        <v>56</v>
      </c>
      <c r="BG3" s="121" t="n">
        <v>57</v>
      </c>
      <c r="BH3" s="121" t="n">
        <v>58</v>
      </c>
      <c r="BI3" s="121" t="n">
        <v>59</v>
      </c>
      <c r="BJ3" s="121" t="n">
        <v>60</v>
      </c>
      <c r="BK3" s="121" t="n">
        <v>61</v>
      </c>
      <c r="BL3" s="121" t="n">
        <v>62</v>
      </c>
      <c r="BM3" s="121" t="n">
        <v>63</v>
      </c>
      <c r="BN3" s="121" t="n">
        <v>64</v>
      </c>
      <c r="BO3" s="121" t="n">
        <v>65</v>
      </c>
      <c r="BP3" s="121" t="n">
        <v>66</v>
      </c>
      <c r="BQ3" s="121" t="n">
        <v>67</v>
      </c>
      <c r="BR3" s="121" t="n">
        <v>68</v>
      </c>
      <c r="BS3" s="121" t="n">
        <v>69</v>
      </c>
      <c r="BT3" s="121" t="n">
        <v>70</v>
      </c>
      <c r="BU3" s="121" t="n">
        <v>71</v>
      </c>
      <c r="BV3" s="121" t="n">
        <v>72</v>
      </c>
      <c r="BW3" s="121" t="n">
        <v>73</v>
      </c>
      <c r="BX3" s="121" t="n">
        <v>74</v>
      </c>
      <c r="BY3" s="121" t="n">
        <v>75</v>
      </c>
      <c r="BZ3" s="121" t="n">
        <v>76</v>
      </c>
      <c r="CA3" s="121" t="n">
        <v>77</v>
      </c>
      <c r="CB3" s="121" t="n">
        <v>78</v>
      </c>
      <c r="CC3" s="121" t="n">
        <v>79</v>
      </c>
      <c r="CD3" s="121" t="n">
        <v>80</v>
      </c>
      <c r="CE3" s="121" t="n">
        <v>81</v>
      </c>
      <c r="CF3" s="121" t="n">
        <v>82</v>
      </c>
      <c r="CG3" s="121" t="n">
        <v>83</v>
      </c>
      <c r="CH3" s="121" t="n">
        <v>84</v>
      </c>
    </row>
    <row r="4" customFormat="false" ht="15" hidden="false" customHeight="true" outlineLevel="0" collapsed="false">
      <c r="A4" s="101" t="s">
        <v>524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261407.666666667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261407.666666667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261407.666666667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261407.666666667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261407.666666667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261407.666666667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261407.666666667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261407.666666667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261407.666666667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266635.82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266635.82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266635.82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266635.82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266635.82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266635.82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266635.82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266635.82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266635.82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266635.82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266635.82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266635.82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271968.5364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271968.5364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271968.5364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271968.5364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271968.5364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271968.5364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271968.5364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271968.5364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271968.5364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271968.5364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271968.5364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271968.5364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277407.907128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277407.907128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277407.907128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277407.907128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277407.907128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277407.907128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277407.907128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277407.907128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277407.907128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277407.907128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277407.907128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277407.907128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282956.06527056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282956.06527056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282956.06527056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282956.06527056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282956.06527056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282956.06527056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282956.06527056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282956.06527056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282956.06527056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282956.06527056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282956.06527056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282956.06527056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288615.186575971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288615.186575971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288615.186575971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288615.186575971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288615.186575971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288615.186575971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288615.186575971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288615.186575971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288615.186575971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288615.186575971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288615.186575971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288615.186575971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294387.490307491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294387.490307491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294387.490307491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294387.490307491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294387.490307491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294387.490307491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294387.490307491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294387.490307491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294387.490307491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294387.490307491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294387.490307491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294387.490307491</v>
      </c>
    </row>
    <row r="5" customFormat="false" ht="15" hidden="false" customHeight="true" outlineLevel="0" collapsed="false">
      <c r="A5" s="101" t="s">
        <v>525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526</v>
      </c>
    </row>
    <row r="8" customFormat="false" ht="15" hidden="false" customHeight="true" outlineLevel="0" collapsed="false">
      <c r="A8" s="101" t="s">
        <v>156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157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158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159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3" t="s">
        <v>160</v>
      </c>
      <c r="C16" s="124" t="n">
        <f aca="false">SUM(C8:C15)</f>
        <v>23599007.06059</v>
      </c>
      <c r="D16" s="124" t="n">
        <f aca="false">SUM(D8:D15)</f>
        <v>21846708.4387409</v>
      </c>
      <c r="E16" s="124" t="n">
        <f aca="false">SUM(E8:E15)</f>
        <v>19934994.8604503</v>
      </c>
      <c r="F16" s="124" t="n">
        <f aca="false">SUM(F8:F15)</f>
        <v>59988330.5577988</v>
      </c>
      <c r="G16" s="124" t="n">
        <f aca="false">SUM(G8:G15)</f>
        <v>56830895.3462433</v>
      </c>
      <c r="H16" s="124" t="n">
        <f aca="false">SUM(H8:H15)</f>
        <v>53470466.1002521</v>
      </c>
      <c r="I16" s="124" t="n">
        <f aca="false">SUM(I8:I15)</f>
        <v>78806360.8366376</v>
      </c>
      <c r="J16" s="124" t="n">
        <f aca="false">SUM(J8:J15)</f>
        <v>95138155.8113951</v>
      </c>
      <c r="K16" s="124" t="n">
        <f aca="false">SUM(K8:K15)</f>
        <v>89880219.2871105</v>
      </c>
      <c r="L16" s="124" t="n">
        <f aca="false">SUM(L8:L15)</f>
        <v>84327348.5196844</v>
      </c>
      <c r="M16" s="124" t="n">
        <f aca="false">SUM(M8:M15)</f>
        <v>78517826.7676414</v>
      </c>
      <c r="N16" s="124" t="n">
        <f aca="false">SUM(N8:N15)</f>
        <v>72497927.0285711</v>
      </c>
      <c r="O16" s="124" t="n">
        <f aca="false">SUM(O8:O15)</f>
        <v>110860792.787625</v>
      </c>
      <c r="P16" s="124" t="n">
        <f aca="false">SUM(P8:P15)</f>
        <v>103756479.760667</v>
      </c>
      <c r="Q16" s="124" t="n">
        <f aca="false">SUM(Q8:Q15)</f>
        <v>96517203.055075</v>
      </c>
      <c r="R16" s="124" t="n">
        <f aca="false">SUM(R8:R15)</f>
        <v>89832380.402737</v>
      </c>
      <c r="S16" s="124" t="n">
        <f aca="false">SUM(S8:S15)</f>
        <v>83021753.709656</v>
      </c>
      <c r="T16" s="124" t="n">
        <f aca="false">SUM(T8:T15)</f>
        <v>76187589.600929</v>
      </c>
      <c r="U16" s="124" t="n">
        <f aca="false">SUM(U8:U15)</f>
        <v>69427945.700482</v>
      </c>
      <c r="V16" s="124" t="n">
        <f aca="false">SUM(V8:V15)</f>
        <v>62831519.462922</v>
      </c>
      <c r="W16" s="124" t="n">
        <f aca="false">SUM(W8:W15)</f>
        <v>56473335.557832</v>
      </c>
      <c r="X16" s="124" t="n">
        <f aca="false">SUM(X8:X15)</f>
        <v>50412135.689664</v>
      </c>
      <c r="Y16" s="124" t="n">
        <f aca="false">SUM(Y8:Y15)</f>
        <v>44689514.450515</v>
      </c>
      <c r="Z16" s="124" t="n">
        <f aca="false">SUM(Z8:Z15)</f>
        <v>39330314.060104</v>
      </c>
      <c r="AA16" s="124" t="n">
        <f aca="false">SUM(AA8:AA15)</f>
        <v>34344660.92992</v>
      </c>
      <c r="AB16" s="124" t="n">
        <f aca="false">SUM(AB8:AB15)</f>
        <v>30015781.27808</v>
      </c>
      <c r="AC16" s="124" t="n">
        <f aca="false">SUM(AC8:AC15)</f>
        <v>67115910.942616</v>
      </c>
      <c r="AD16" s="124" t="n">
        <f aca="false">SUM(AD8:AD15)</f>
        <v>63678669.505813</v>
      </c>
      <c r="AE16" s="124" t="n">
        <f aca="false">SUM(AE8:AE15)</f>
        <v>60195756.503803</v>
      </c>
      <c r="AF16" s="124" t="n">
        <f aca="false">SUM(AF8:AF15)</f>
        <v>56684810.890851</v>
      </c>
      <c r="AG16" s="124" t="n">
        <f aca="false">SUM(AG8:AG15)</f>
        <v>53163021.419372</v>
      </c>
      <c r="AH16" s="124" t="n">
        <f aca="false">SUM(AH8:AH15)</f>
        <v>49646883.209601</v>
      </c>
      <c r="AI16" s="124" t="n">
        <f aca="false">SUM(AI8:AI15)</f>
        <v>46152166.879778</v>
      </c>
      <c r="AJ16" s="124" t="n">
        <f aca="false">SUM(AJ8:AJ15)</f>
        <v>42693842.409563</v>
      </c>
      <c r="AK16" s="124" t="n">
        <f aca="false">SUM(AK8:AK15)</f>
        <v>39286070.295121</v>
      </c>
      <c r="AL16" s="124" t="n">
        <f aca="false">SUM(AL8:AL15)</f>
        <v>35942217.821294</v>
      </c>
      <c r="AM16" s="124" t="n">
        <f aca="false">SUM(AM8:AM15)</f>
        <v>32894612.367548</v>
      </c>
      <c r="AN16" s="124" t="n">
        <f aca="false">SUM(AN8:AN15)</f>
        <v>29903009.833158</v>
      </c>
      <c r="AO16" s="124" t="n">
        <f aca="false">SUM(AO8:AO15)</f>
        <v>26981928.712532</v>
      </c>
      <c r="AP16" s="124" t="n">
        <f aca="false">SUM(AP8:AP15)</f>
        <v>24145214.967326</v>
      </c>
      <c r="AQ16" s="124" t="n">
        <f aca="false">SUM(AQ8:AQ15)</f>
        <v>21405892.487426</v>
      </c>
      <c r="AR16" s="124" t="n">
        <f aca="false">SUM(AR8:AR15)</f>
        <v>18775979.790616</v>
      </c>
      <c r="AS16" s="124" t="n">
        <f aca="false">SUM(AS8:AS15)</f>
        <v>16893987.49148</v>
      </c>
      <c r="AT16" s="124" t="n">
        <f aca="false">SUM(AT8:AT15)</f>
        <v>15049033.294064</v>
      </c>
      <c r="AU16" s="124" t="n">
        <f aca="false">SUM(AU8:AU15)</f>
        <v>13258584.501624</v>
      </c>
      <c r="AV16" s="124" t="n">
        <f aca="false">SUM(AV8:AV15)</f>
        <v>11538273.165056</v>
      </c>
      <c r="AW16" s="124" t="n">
        <f aca="false">SUM(AW8:AW15)</f>
        <v>9901787.667552</v>
      </c>
      <c r="AX16" s="124" t="n">
        <f aca="false">SUM(AX8:AX15)</f>
        <v>8360541.887544</v>
      </c>
      <c r="AY16" s="124" t="n">
        <f aca="false">SUM(AY8:AY15)</f>
        <v>6923385.71628</v>
      </c>
      <c r="AZ16" s="124" t="n">
        <f aca="false">SUM(AZ8:AZ15)</f>
        <v>5596646.412456</v>
      </c>
      <c r="BA16" s="124" t="n">
        <f aca="false">SUM(BA8:BA15)</f>
        <v>4384004.53832</v>
      </c>
      <c r="BB16" s="124" t="n">
        <f aca="false">SUM(BB8:BB15)</f>
        <v>3286659.3782</v>
      </c>
      <c r="BC16" s="124" t="n">
        <f aca="false">SUM(BC8:BC15)</f>
        <v>2303535.711664</v>
      </c>
      <c r="BD16" s="124" t="n">
        <f aca="false">SUM(BD8:BD15)</f>
        <v>1431490.58668</v>
      </c>
      <c r="BE16" s="124" t="n">
        <f aca="false">SUM(BE8:BE15)</f>
        <v>665685.511304001</v>
      </c>
      <c r="BF16" s="124" t="n">
        <f aca="false">SUM(BF8:BF15)</f>
        <v>-165.418527995574</v>
      </c>
      <c r="BG16" s="124" t="n">
        <f aca="false">SUM(BG8:BG15)</f>
        <v>0</v>
      </c>
      <c r="BH16" s="124" t="n">
        <f aca="false">SUM(BH8:BH15)</f>
        <v>0</v>
      </c>
      <c r="BI16" s="124" t="n">
        <f aca="false">SUM(BI8:BI15)</f>
        <v>0</v>
      </c>
      <c r="BJ16" s="124" t="n">
        <f aca="false">SUM(BJ8:BJ15)</f>
        <v>0</v>
      </c>
      <c r="BK16" s="124" t="n">
        <f aca="false">SUM(BK8:BK15)</f>
        <v>0</v>
      </c>
      <c r="BL16" s="124" t="n">
        <f aca="false">SUM(BL8:BL15)</f>
        <v>0</v>
      </c>
      <c r="BM16" s="124" t="n">
        <f aca="false">SUM(BM8:BM15)</f>
        <v>0</v>
      </c>
      <c r="BN16" s="124" t="n">
        <f aca="false">SUM(BN8:BN15)</f>
        <v>0</v>
      </c>
      <c r="BO16" s="124" t="n">
        <f aca="false">SUM(BO8:BO15)</f>
        <v>0</v>
      </c>
      <c r="BP16" s="124" t="n">
        <f aca="false">SUM(BP8:BP15)</f>
        <v>0</v>
      </c>
      <c r="BQ16" s="124" t="n">
        <f aca="false">SUM(BQ8:BQ15)</f>
        <v>0</v>
      </c>
      <c r="BR16" s="124" t="n">
        <f aca="false">SUM(BR8:BR15)</f>
        <v>0</v>
      </c>
      <c r="BS16" s="124" t="n">
        <f aca="false">SUM(BS8:BS15)</f>
        <v>0</v>
      </c>
      <c r="BT16" s="124" t="n">
        <f aca="false">SUM(BT8:BT15)</f>
        <v>0</v>
      </c>
      <c r="BU16" s="124" t="n">
        <f aca="false">SUM(BU8:BU15)</f>
        <v>0</v>
      </c>
      <c r="BV16" s="124" t="n">
        <f aca="false">SUM(BV8:BV15)</f>
        <v>0</v>
      </c>
      <c r="BW16" s="124" t="n">
        <f aca="false">SUM(BW8:BW15)</f>
        <v>0</v>
      </c>
      <c r="BX16" s="124" t="n">
        <f aca="false">SUM(BX8:BX15)</f>
        <v>0</v>
      </c>
      <c r="BY16" s="124" t="n">
        <f aca="false">SUM(BY8:BY15)</f>
        <v>0</v>
      </c>
      <c r="BZ16" s="124" t="n">
        <f aca="false">SUM(BZ8:BZ15)</f>
        <v>0</v>
      </c>
      <c r="CA16" s="124" t="n">
        <f aca="false">SUM(CA8:CA15)</f>
        <v>0</v>
      </c>
      <c r="CB16" s="124" t="n">
        <f aca="false">SUM(CB8:CB15)</f>
        <v>0</v>
      </c>
      <c r="CC16" s="124" t="n">
        <f aca="false">SUM(CC8:CC15)</f>
        <v>0</v>
      </c>
      <c r="CD16" s="124" t="n">
        <f aca="false">SUM(CD8:CD15)</f>
        <v>0</v>
      </c>
      <c r="CE16" s="124" t="n">
        <f aca="false">SUM(CE8:CE15)</f>
        <v>0</v>
      </c>
      <c r="CF16" s="124" t="n">
        <f aca="false">SUM(CF8:CF15)</f>
        <v>0</v>
      </c>
      <c r="CG16" s="124" t="n">
        <f aca="false">SUM(CG8:CG15)</f>
        <v>0</v>
      </c>
      <c r="CH16" s="124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528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5" t="s">
        <v>529</v>
      </c>
      <c r="C20" s="126" t="n">
        <f aca="false">MIN(C19,Model!C59)</f>
        <v>0</v>
      </c>
      <c r="D20" s="126" t="n">
        <f aca="false">MIN(D19,Model!D59)</f>
        <v>0</v>
      </c>
      <c r="E20" s="126" t="n">
        <f aca="false">MIN(E19,Model!E59)</f>
        <v>0</v>
      </c>
      <c r="F20" s="126" t="n">
        <f aca="false">MIN(F19,Model!F59)</f>
        <v>0</v>
      </c>
      <c r="G20" s="126" t="n">
        <f aca="false">MIN(G19,Model!G59)</f>
        <v>0</v>
      </c>
      <c r="H20" s="126" t="n">
        <f aca="false">MIN(H19,Model!H59)</f>
        <v>0</v>
      </c>
      <c r="I20" s="126" t="n">
        <f aca="false">MIN(I19,Model!I59)</f>
        <v>0</v>
      </c>
      <c r="J20" s="126" t="n">
        <f aca="false">MIN(J19,Model!J59)</f>
        <v>0</v>
      </c>
      <c r="K20" s="126" t="n">
        <f aca="false">MIN(K19,Model!K59)</f>
        <v>0</v>
      </c>
      <c r="L20" s="126" t="n">
        <f aca="false">MIN(L19,Model!L59)</f>
        <v>0</v>
      </c>
      <c r="M20" s="126" t="n">
        <f aca="false">MIN(M19,Model!M59)</f>
        <v>0</v>
      </c>
      <c r="N20" s="126" t="n">
        <f aca="false">MIN(N19,Model!N59)</f>
        <v>0</v>
      </c>
      <c r="O20" s="126" t="n">
        <f aca="false">MIN(O19,Model!O59)</f>
        <v>0</v>
      </c>
      <c r="P20" s="126" t="n">
        <f aca="false">MIN(P19,Model!P59)</f>
        <v>0</v>
      </c>
      <c r="Q20" s="126" t="n">
        <f aca="false">MIN(Q19,Model!Q59)</f>
        <v>0</v>
      </c>
      <c r="R20" s="126" t="n">
        <f aca="false">MIN(R19,Model!R59)</f>
        <v>0</v>
      </c>
      <c r="S20" s="126" t="n">
        <f aca="false">MIN(S19,Model!S59)</f>
        <v>0</v>
      </c>
      <c r="T20" s="126" t="n">
        <f aca="false">MIN(T19,Model!T59)</f>
        <v>0</v>
      </c>
      <c r="U20" s="126" t="n">
        <f aca="false">MIN(U19,Model!U59)</f>
        <v>0</v>
      </c>
      <c r="V20" s="126" t="n">
        <f aca="false">MIN(V19,Model!V59)</f>
        <v>0</v>
      </c>
      <c r="W20" s="126" t="n">
        <f aca="false">MIN(W19,Model!W59)</f>
        <v>0</v>
      </c>
      <c r="X20" s="126" t="n">
        <f aca="false">MIN(X19,Model!X59)</f>
        <v>0</v>
      </c>
      <c r="Y20" s="126" t="n">
        <f aca="false">MIN(Y19,Model!Y59)</f>
        <v>0</v>
      </c>
      <c r="Z20" s="126" t="n">
        <f aca="false">MIN(Z19,Model!Z59)</f>
        <v>0</v>
      </c>
      <c r="AA20" s="126" t="n">
        <f aca="false">MIN(AA19,Model!AA59)</f>
        <v>0</v>
      </c>
      <c r="AB20" s="126" t="n">
        <f aca="false">MIN(AB19,Model!AB59)</f>
        <v>0</v>
      </c>
      <c r="AC20" s="126" t="n">
        <f aca="false">MIN(AC19,Model!AC59)</f>
        <v>0</v>
      </c>
      <c r="AD20" s="126" t="n">
        <f aca="false">MIN(AD19,Model!AD59)</f>
        <v>0</v>
      </c>
      <c r="AE20" s="126" t="n">
        <f aca="false">MIN(AE19,Model!AE59)</f>
        <v>0</v>
      </c>
      <c r="AF20" s="126" t="n">
        <f aca="false">MIN(AF19,Model!AF59)</f>
        <v>0</v>
      </c>
      <c r="AG20" s="126" t="n">
        <f aca="false">MIN(AG19,Model!AG59)</f>
        <v>0</v>
      </c>
      <c r="AH20" s="126" t="n">
        <f aca="false">MIN(AH19,Model!AH59)</f>
        <v>0</v>
      </c>
      <c r="AI20" s="126" t="n">
        <f aca="false">MIN(AI19,Model!AI59)</f>
        <v>0</v>
      </c>
      <c r="AJ20" s="126" t="n">
        <f aca="false">MIN(AJ19,Model!AJ59)</f>
        <v>0</v>
      </c>
      <c r="AK20" s="126" t="n">
        <f aca="false">MIN(AK19,Model!AK59)</f>
        <v>0</v>
      </c>
      <c r="AL20" s="126" t="n">
        <f aca="false">MIN(AL19,Model!AL59)</f>
        <v>0</v>
      </c>
      <c r="AM20" s="126" t="n">
        <f aca="false">MIN(AM19,Model!AM59)</f>
        <v>0</v>
      </c>
      <c r="AN20" s="126" t="n">
        <f aca="false">MIN(AN19,Model!AN59)</f>
        <v>0</v>
      </c>
      <c r="AO20" s="126" t="n">
        <f aca="false">MIN(AO19,Model!AO59)</f>
        <v>0</v>
      </c>
      <c r="AP20" s="126" t="n">
        <f aca="false">MIN(AP19,Model!AP59)</f>
        <v>0</v>
      </c>
      <c r="AQ20" s="126" t="n">
        <f aca="false">MIN(AQ19,Model!AQ59)</f>
        <v>0</v>
      </c>
      <c r="AR20" s="126" t="n">
        <f aca="false">MIN(AR19,Model!AR59)</f>
        <v>81683</v>
      </c>
      <c r="AS20" s="126" t="n">
        <f aca="false">MIN(AS19,Model!AS59)</f>
        <v>0</v>
      </c>
      <c r="AT20" s="126" t="n">
        <f aca="false">MIN(AT19,Model!AT59)</f>
        <v>0</v>
      </c>
      <c r="AU20" s="126" t="n">
        <f aca="false">MIN(AU19,Model!AU59)</f>
        <v>81682</v>
      </c>
      <c r="AV20" s="126" t="n">
        <f aca="false">MIN(AV19,Model!AV59)</f>
        <v>0</v>
      </c>
      <c r="AW20" s="126" t="n">
        <f aca="false">MIN(AW19,Model!AW59)</f>
        <v>0</v>
      </c>
      <c r="AX20" s="126" t="n">
        <f aca="false">MIN(AX19,Model!AX59)</f>
        <v>81682</v>
      </c>
      <c r="AY20" s="126" t="n">
        <f aca="false">MIN(AY19,Model!AY59)</f>
        <v>0</v>
      </c>
      <c r="AZ20" s="126" t="n">
        <f aca="false">MIN(AZ19,Model!AZ59)</f>
        <v>0</v>
      </c>
      <c r="BA20" s="126" t="n">
        <f aca="false">MIN(BA19,Model!BA59)</f>
        <v>81682</v>
      </c>
      <c r="BB20" s="126" t="n">
        <f aca="false">MIN(BB19,Model!BB59)</f>
        <v>0</v>
      </c>
      <c r="BC20" s="126" t="n">
        <f aca="false">MIN(BC19,Model!BC59)</f>
        <v>0</v>
      </c>
      <c r="BD20" s="126" t="n">
        <f aca="false">MIN(BD19,Model!BD59)</f>
        <v>59178</v>
      </c>
      <c r="BE20" s="126" t="n">
        <f aca="false">MIN(BE19,Model!BE59)</f>
        <v>0</v>
      </c>
      <c r="BF20" s="126" t="n">
        <f aca="false">MIN(BF19,Model!BF59)</f>
        <v>0</v>
      </c>
      <c r="BG20" s="126" t="n">
        <f aca="false">MIN(BG19,Model!BG59)</f>
        <v>59176</v>
      </c>
      <c r="BH20" s="126" t="n">
        <f aca="false">MIN(BH19,Model!BH59)</f>
        <v>0</v>
      </c>
      <c r="BI20" s="126" t="n">
        <f aca="false">MIN(BI19,Model!BI59)</f>
        <v>0</v>
      </c>
      <c r="BJ20" s="126" t="n">
        <f aca="false">MIN(BJ19,Model!BJ59)</f>
        <v>59176</v>
      </c>
      <c r="BK20" s="126" t="n">
        <f aca="false">MIN(BK19,Model!BK59)</f>
        <v>0</v>
      </c>
      <c r="BL20" s="126" t="n">
        <f aca="false">MIN(BL19,Model!BL59)</f>
        <v>0</v>
      </c>
      <c r="BM20" s="126" t="n">
        <f aca="false">MIN(BM19,Model!BM59)</f>
        <v>59176</v>
      </c>
      <c r="BN20" s="126" t="n">
        <f aca="false">MIN(BN19,Model!BN59)</f>
        <v>0</v>
      </c>
      <c r="BO20" s="126" t="n">
        <f aca="false">MIN(BO19,Model!BO59)</f>
        <v>0</v>
      </c>
      <c r="BP20" s="126" t="n">
        <f aca="false">MIN(BP19,Model!BP59)</f>
        <v>16249.48</v>
      </c>
      <c r="BQ20" s="126" t="n">
        <f aca="false">MIN(BQ19,Model!BQ59)</f>
        <v>0</v>
      </c>
      <c r="BR20" s="126" t="n">
        <f aca="false">MIN(BR19,Model!BR59)</f>
        <v>0</v>
      </c>
      <c r="BS20" s="126" t="n">
        <f aca="false">MIN(BS19,Model!BS59)</f>
        <v>0</v>
      </c>
      <c r="BT20" s="126" t="n">
        <f aca="false">MIN(BT19,Model!BT59)</f>
        <v>0</v>
      </c>
      <c r="BU20" s="126" t="n">
        <f aca="false">MIN(BU19,Model!BU59)</f>
        <v>0</v>
      </c>
      <c r="BV20" s="126" t="n">
        <f aca="false">MIN(BV19,Model!BV59)</f>
        <v>0</v>
      </c>
      <c r="BW20" s="126" t="n">
        <f aca="false">MIN(BW19,Model!BW59)</f>
        <v>0</v>
      </c>
      <c r="BX20" s="126" t="n">
        <f aca="false">MIN(BX19,Model!BX59)</f>
        <v>0</v>
      </c>
      <c r="BY20" s="126" t="n">
        <f aca="false">MIN(BY19,Model!BY59)</f>
        <v>0</v>
      </c>
      <c r="BZ20" s="126" t="n">
        <f aca="false">MIN(BZ19,Model!BZ59)</f>
        <v>0</v>
      </c>
      <c r="CA20" s="126" t="n">
        <f aca="false">MIN(CA19,Model!CA59)</f>
        <v>0</v>
      </c>
      <c r="CB20" s="126" t="n">
        <f aca="false">MIN(CB19,Model!CB59)</f>
        <v>0</v>
      </c>
      <c r="CC20" s="126" t="n">
        <f aca="false">MIN(CC19,Model!CC59)</f>
        <v>0</v>
      </c>
      <c r="CD20" s="126" t="n">
        <f aca="false">MIN(CD19,Model!CD59)</f>
        <v>0</v>
      </c>
      <c r="CE20" s="126" t="n">
        <f aca="false">MIN(CE19,Model!CE59)</f>
        <v>0</v>
      </c>
      <c r="CF20" s="126" t="n">
        <f aca="false">MIN(CF19,Model!CF59)</f>
        <v>0</v>
      </c>
      <c r="CG20" s="126" t="n">
        <f aca="false">MIN(CG19,Model!CG59)</f>
        <v>0</v>
      </c>
      <c r="CH20" s="126" t="n">
        <f aca="false">MIN(CH19,Model!CH59)</f>
        <v>0</v>
      </c>
    </row>
    <row r="21" customFormat="false" ht="15" hidden="false" customHeight="true" outlineLevel="0" collapsed="false">
      <c r="A21" s="123" t="s">
        <v>530</v>
      </c>
      <c r="C21" s="124" t="n">
        <f aca="false">MAX(0,C19-C20)</f>
        <v>579684.48</v>
      </c>
      <c r="D21" s="124" t="n">
        <f aca="false">MAX(0,D19-D20)</f>
        <v>579684.48</v>
      </c>
      <c r="E21" s="124" t="n">
        <f aca="false">MAX(0,E19-E20)</f>
        <v>579684.48</v>
      </c>
      <c r="F21" s="124" t="n">
        <f aca="false">MAX(0,F19-F20)</f>
        <v>579684.48</v>
      </c>
      <c r="G21" s="124" t="n">
        <f aca="false">MAX(0,G19-G20)</f>
        <v>579684.48</v>
      </c>
      <c r="H21" s="124" t="n">
        <f aca="false">MAX(0,H19-H20)</f>
        <v>579684.48</v>
      </c>
      <c r="I21" s="124" t="n">
        <f aca="false">MAX(0,I19-I20)</f>
        <v>579684.48</v>
      </c>
      <c r="J21" s="124" t="n">
        <f aca="false">MAX(0,J19-J20)</f>
        <v>579684.48</v>
      </c>
      <c r="K21" s="124" t="n">
        <f aca="false">MAX(0,K19-K20)</f>
        <v>579684.48</v>
      </c>
      <c r="L21" s="124" t="n">
        <f aca="false">MAX(0,L19-L20)</f>
        <v>579684.48</v>
      </c>
      <c r="M21" s="124" t="n">
        <f aca="false">MAX(0,M19-M20)</f>
        <v>579684.48</v>
      </c>
      <c r="N21" s="124" t="n">
        <f aca="false">MAX(0,N19-N20)</f>
        <v>579684.48</v>
      </c>
      <c r="O21" s="124" t="n">
        <f aca="false">MAX(0,O19-O20)</f>
        <v>579684.48</v>
      </c>
      <c r="P21" s="124" t="n">
        <f aca="false">MAX(0,P19-P20)</f>
        <v>579684.48</v>
      </c>
      <c r="Q21" s="124" t="n">
        <f aca="false">MAX(0,Q19-Q20)</f>
        <v>579684.48</v>
      </c>
      <c r="R21" s="124" t="n">
        <f aca="false">MAX(0,R19-R20)</f>
        <v>579684.48</v>
      </c>
      <c r="S21" s="124" t="n">
        <f aca="false">MAX(0,S19-S20)</f>
        <v>579684.48</v>
      </c>
      <c r="T21" s="124" t="n">
        <f aca="false">MAX(0,T19-T20)</f>
        <v>579684.48</v>
      </c>
      <c r="U21" s="124" t="n">
        <f aca="false">MAX(0,U19-U20)</f>
        <v>579684.48</v>
      </c>
      <c r="V21" s="124" t="n">
        <f aca="false">MAX(0,V19-V20)</f>
        <v>579684.48</v>
      </c>
      <c r="W21" s="124" t="n">
        <f aca="false">MAX(0,W19-W20)</f>
        <v>579684.48</v>
      </c>
      <c r="X21" s="124" t="n">
        <f aca="false">MAX(0,X19-X20)</f>
        <v>579684.48</v>
      </c>
      <c r="Y21" s="124" t="n">
        <f aca="false">MAX(0,Y19-Y20)</f>
        <v>579684.48</v>
      </c>
      <c r="Z21" s="124" t="n">
        <f aca="false">MAX(0,Z19-Z20)</f>
        <v>579684.48</v>
      </c>
      <c r="AA21" s="124" t="n">
        <f aca="false">MAX(0,AA19-AA20)</f>
        <v>579684.48</v>
      </c>
      <c r="AB21" s="124" t="n">
        <f aca="false">MAX(0,AB19-AB20)</f>
        <v>579684.48</v>
      </c>
      <c r="AC21" s="124" t="n">
        <f aca="false">MAX(0,AC19-AC20)</f>
        <v>579684.48</v>
      </c>
      <c r="AD21" s="124" t="n">
        <f aca="false">MAX(0,AD19-AD20)</f>
        <v>579684.48</v>
      </c>
      <c r="AE21" s="124" t="n">
        <f aca="false">MAX(0,AE19-AE20)</f>
        <v>579684.48</v>
      </c>
      <c r="AF21" s="124" t="n">
        <f aca="false">MAX(0,AF19-AF20)</f>
        <v>579684.48</v>
      </c>
      <c r="AG21" s="124" t="n">
        <f aca="false">MAX(0,AG19-AG20)</f>
        <v>579684.48</v>
      </c>
      <c r="AH21" s="124" t="n">
        <f aca="false">MAX(0,AH19-AH20)</f>
        <v>579684.48</v>
      </c>
      <c r="AI21" s="124" t="n">
        <f aca="false">MAX(0,AI19-AI20)</f>
        <v>579684.48</v>
      </c>
      <c r="AJ21" s="124" t="n">
        <f aca="false">MAX(0,AJ19-AJ20)</f>
        <v>579684.48</v>
      </c>
      <c r="AK21" s="124" t="n">
        <f aca="false">MAX(0,AK19-AK20)</f>
        <v>579684.48</v>
      </c>
      <c r="AL21" s="124" t="n">
        <f aca="false">MAX(0,AL19-AL20)</f>
        <v>579684.48</v>
      </c>
      <c r="AM21" s="124" t="n">
        <f aca="false">MAX(0,AM19-AM20)</f>
        <v>579684.48</v>
      </c>
      <c r="AN21" s="124" t="n">
        <f aca="false">MAX(0,AN19-AN20)</f>
        <v>579684.48</v>
      </c>
      <c r="AO21" s="124" t="n">
        <f aca="false">MAX(0,AO19-AO20)</f>
        <v>579684.48</v>
      </c>
      <c r="AP21" s="124" t="n">
        <f aca="false">MAX(0,AP19-AP20)</f>
        <v>579684.48</v>
      </c>
      <c r="AQ21" s="124" t="n">
        <f aca="false">MAX(0,AQ19-AQ20)</f>
        <v>579684.48</v>
      </c>
      <c r="AR21" s="124" t="n">
        <f aca="false">MAX(0,AR19-AR20)</f>
        <v>498001.48</v>
      </c>
      <c r="AS21" s="124" t="n">
        <f aca="false">MAX(0,AS19-AS20)</f>
        <v>498001.48</v>
      </c>
      <c r="AT21" s="124" t="n">
        <f aca="false">MAX(0,AT19-AT20)</f>
        <v>498001.48</v>
      </c>
      <c r="AU21" s="124" t="n">
        <f aca="false">MAX(0,AU19-AU20)</f>
        <v>416319.48</v>
      </c>
      <c r="AV21" s="124" t="n">
        <f aca="false">MAX(0,AV19-AV20)</f>
        <v>416319.48</v>
      </c>
      <c r="AW21" s="124" t="n">
        <f aca="false">MAX(0,AW19-AW20)</f>
        <v>416319.48</v>
      </c>
      <c r="AX21" s="124" t="n">
        <f aca="false">MAX(0,AX19-AX20)</f>
        <v>334637.48</v>
      </c>
      <c r="AY21" s="124" t="n">
        <f aca="false">MAX(0,AY19-AY20)</f>
        <v>334637.48</v>
      </c>
      <c r="AZ21" s="124" t="n">
        <f aca="false">MAX(0,AZ19-AZ20)</f>
        <v>334637.48</v>
      </c>
      <c r="BA21" s="124" t="n">
        <f aca="false">MAX(0,BA19-BA20)</f>
        <v>252955.48</v>
      </c>
      <c r="BB21" s="124" t="n">
        <f aca="false">MAX(0,BB19-BB20)</f>
        <v>252955.48</v>
      </c>
      <c r="BC21" s="124" t="n">
        <f aca="false">MAX(0,BC19-BC20)</f>
        <v>252955.48</v>
      </c>
      <c r="BD21" s="124" t="n">
        <f aca="false">MAX(0,BD19-BD20)</f>
        <v>193777.48</v>
      </c>
      <c r="BE21" s="124" t="n">
        <f aca="false">MAX(0,BE19-BE20)</f>
        <v>193777.48</v>
      </c>
      <c r="BF21" s="124" t="n">
        <f aca="false">MAX(0,BF19-BF20)</f>
        <v>193777.48</v>
      </c>
      <c r="BG21" s="124" t="n">
        <f aca="false">MAX(0,BG19-BG20)</f>
        <v>134601.48</v>
      </c>
      <c r="BH21" s="124" t="n">
        <f aca="false">MAX(0,BH19-BH20)</f>
        <v>134601.48</v>
      </c>
      <c r="BI21" s="124" t="n">
        <f aca="false">MAX(0,BI19-BI20)</f>
        <v>134601.48</v>
      </c>
      <c r="BJ21" s="124" t="n">
        <f aca="false">MAX(0,BJ19-BJ20)</f>
        <v>75425.48</v>
      </c>
      <c r="BK21" s="124" t="n">
        <f aca="false">MAX(0,BK19-BK20)</f>
        <v>75425.48</v>
      </c>
      <c r="BL21" s="124" t="n">
        <f aca="false">MAX(0,BL19-BL20)</f>
        <v>75425.48</v>
      </c>
      <c r="BM21" s="124" t="n">
        <f aca="false">MAX(0,BM19-BM20)</f>
        <v>16249.48</v>
      </c>
      <c r="BN21" s="124" t="n">
        <f aca="false">MAX(0,BN19-BN20)</f>
        <v>16249.48</v>
      </c>
      <c r="BO21" s="124" t="n">
        <f aca="false">MAX(0,BO19-BO20)</f>
        <v>16249.48</v>
      </c>
      <c r="BP21" s="124" t="n">
        <f aca="false">MAX(0,BP19-BP20)</f>
        <v>0</v>
      </c>
      <c r="BQ21" s="124" t="n">
        <f aca="false">MAX(0,BQ19-BQ20)</f>
        <v>0</v>
      </c>
      <c r="BR21" s="124" t="n">
        <f aca="false">MAX(0,BR19-BR20)</f>
        <v>0</v>
      </c>
      <c r="BS21" s="124" t="n">
        <f aca="false">MAX(0,BS19-BS20)</f>
        <v>0</v>
      </c>
      <c r="BT21" s="124" t="n">
        <f aca="false">MAX(0,BT19-BT20)</f>
        <v>0</v>
      </c>
      <c r="BU21" s="124" t="n">
        <f aca="false">MAX(0,BU19-BU20)</f>
        <v>0</v>
      </c>
      <c r="BV21" s="124" t="n">
        <f aca="false">MAX(0,BV19-BV20)</f>
        <v>0</v>
      </c>
      <c r="BW21" s="124" t="n">
        <f aca="false">MAX(0,BW19-BW20)</f>
        <v>0</v>
      </c>
      <c r="BX21" s="124" t="n">
        <f aca="false">MAX(0,BX19-BX20)</f>
        <v>0</v>
      </c>
      <c r="BY21" s="124" t="n">
        <f aca="false">MAX(0,BY19-BY20)</f>
        <v>0</v>
      </c>
      <c r="BZ21" s="124" t="n">
        <f aca="false">MAX(0,BZ19-BZ20)</f>
        <v>0</v>
      </c>
      <c r="CA21" s="124" t="n">
        <f aca="false">MAX(0,CA19-CA20)</f>
        <v>0</v>
      </c>
      <c r="CB21" s="124" t="n">
        <f aca="false">MAX(0,CB19-CB20)</f>
        <v>0</v>
      </c>
      <c r="CC21" s="124" t="n">
        <f aca="false">MAX(0,CC19-CC20)</f>
        <v>0</v>
      </c>
      <c r="CD21" s="124" t="n">
        <f aca="false">MAX(0,CD19-CD20)</f>
        <v>0</v>
      </c>
      <c r="CE21" s="124" t="n">
        <f aca="false">MAX(0,CE19-CE20)</f>
        <v>0</v>
      </c>
      <c r="CF21" s="124" t="n">
        <f aca="false">MAX(0,CF19-CF20)</f>
        <v>0</v>
      </c>
      <c r="CG21" s="124" t="n">
        <f aca="false">MAX(0,CG19-CG20)</f>
        <v>0</v>
      </c>
      <c r="CH21" s="124" t="n">
        <f aca="false">MAX(0,CH19-CH20)</f>
        <v>0</v>
      </c>
    </row>
    <row r="22" customFormat="false" ht="15" hidden="false" customHeight="true" outlineLevel="0" collapsed="false">
      <c r="A22" s="101" t="s">
        <v>531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5" t="s">
        <v>532</v>
      </c>
      <c r="C23" s="126" t="n">
        <f aca="false">MIN(C22,Model!C60)</f>
        <v>0</v>
      </c>
      <c r="D23" s="126" t="n">
        <f aca="false">MIN(D22,Model!D60)</f>
        <v>0</v>
      </c>
      <c r="E23" s="126" t="n">
        <f aca="false">MIN(E22,Model!E60)</f>
        <v>0</v>
      </c>
      <c r="F23" s="126" t="n">
        <f aca="false">MIN(F22,Model!F60)</f>
        <v>0</v>
      </c>
      <c r="G23" s="126" t="n">
        <f aca="false">MIN(G22,Model!G60)</f>
        <v>0</v>
      </c>
      <c r="H23" s="126" t="n">
        <f aca="false">MIN(H22,Model!H60)</f>
        <v>0</v>
      </c>
      <c r="I23" s="126" t="n">
        <f aca="false">MIN(I22,Model!I60)</f>
        <v>0</v>
      </c>
      <c r="J23" s="126" t="n">
        <f aca="false">MIN(J22,Model!J60)</f>
        <v>0</v>
      </c>
      <c r="K23" s="126" t="n">
        <f aca="false">MIN(K22,Model!K60)</f>
        <v>0</v>
      </c>
      <c r="L23" s="126" t="n">
        <f aca="false">MIN(L22,Model!L60)</f>
        <v>0</v>
      </c>
      <c r="M23" s="126" t="n">
        <f aca="false">MIN(M22,Model!M60)</f>
        <v>0</v>
      </c>
      <c r="N23" s="126" t="n">
        <f aca="false">MIN(N22,Model!N60)</f>
        <v>0</v>
      </c>
      <c r="O23" s="126" t="n">
        <f aca="false">MIN(O22,Model!O60)</f>
        <v>0</v>
      </c>
      <c r="P23" s="126" t="n">
        <f aca="false">MIN(P22,Model!P60)</f>
        <v>0</v>
      </c>
      <c r="Q23" s="126" t="n">
        <f aca="false">MIN(Q22,Model!Q60)</f>
        <v>0</v>
      </c>
      <c r="R23" s="126" t="n">
        <f aca="false">MIN(R22,Model!R60)</f>
        <v>0</v>
      </c>
      <c r="S23" s="126" t="n">
        <f aca="false">MIN(S22,Model!S60)</f>
        <v>0</v>
      </c>
      <c r="T23" s="126" t="n">
        <f aca="false">MIN(T22,Model!T60)</f>
        <v>0</v>
      </c>
      <c r="U23" s="126" t="n">
        <f aca="false">MIN(U22,Model!U60)</f>
        <v>0</v>
      </c>
      <c r="V23" s="126" t="n">
        <f aca="false">MIN(V22,Model!V60)</f>
        <v>0</v>
      </c>
      <c r="W23" s="126" t="n">
        <f aca="false">MIN(W22,Model!W60)</f>
        <v>0</v>
      </c>
      <c r="X23" s="126" t="n">
        <f aca="false">MIN(X22,Model!X60)</f>
        <v>0</v>
      </c>
      <c r="Y23" s="126" t="n">
        <f aca="false">MIN(Y22,Model!Y60)</f>
        <v>0</v>
      </c>
      <c r="Z23" s="126" t="n">
        <f aca="false">MIN(Z22,Model!Z60)</f>
        <v>0</v>
      </c>
      <c r="AA23" s="126" t="n">
        <f aca="false">MIN(AA22,Model!AA60)</f>
        <v>0</v>
      </c>
      <c r="AB23" s="126" t="n">
        <f aca="false">MIN(AB22,Model!AB60)</f>
        <v>0</v>
      </c>
      <c r="AC23" s="126" t="n">
        <f aca="false">MIN(AC22,Model!AC60)</f>
        <v>0</v>
      </c>
      <c r="AD23" s="126" t="n">
        <f aca="false">MIN(AD22,Model!AD60)</f>
        <v>0</v>
      </c>
      <c r="AE23" s="126" t="n">
        <f aca="false">MIN(AE22,Model!AE60)</f>
        <v>0</v>
      </c>
      <c r="AF23" s="126" t="n">
        <f aca="false">MIN(AF22,Model!AF60)</f>
        <v>0</v>
      </c>
      <c r="AG23" s="126" t="n">
        <f aca="false">MIN(AG22,Model!AG60)</f>
        <v>0</v>
      </c>
      <c r="AH23" s="126" t="n">
        <f aca="false">MIN(AH22,Model!AH60)</f>
        <v>0</v>
      </c>
      <c r="AI23" s="126" t="n">
        <f aca="false">MIN(AI22,Model!AI60)</f>
        <v>0</v>
      </c>
      <c r="AJ23" s="126" t="n">
        <f aca="false">MIN(AJ22,Model!AJ60)</f>
        <v>0</v>
      </c>
      <c r="AK23" s="126" t="n">
        <f aca="false">MIN(AK22,Model!AK60)</f>
        <v>0</v>
      </c>
      <c r="AL23" s="126" t="n">
        <f aca="false">MIN(AL22,Model!AL60)</f>
        <v>0</v>
      </c>
      <c r="AM23" s="126" t="n">
        <f aca="false">MIN(AM22,Model!AM60)</f>
        <v>0</v>
      </c>
      <c r="AN23" s="126" t="n">
        <f aca="false">MIN(AN22,Model!AN60)</f>
        <v>0</v>
      </c>
      <c r="AO23" s="126" t="n">
        <f aca="false">MIN(AO22,Model!AO60)</f>
        <v>0</v>
      </c>
      <c r="AP23" s="126" t="n">
        <f aca="false">MIN(AP22,Model!AP60)</f>
        <v>0</v>
      </c>
      <c r="AQ23" s="126" t="n">
        <f aca="false">MIN(AQ22,Model!AQ60)</f>
        <v>0</v>
      </c>
      <c r="AR23" s="126" t="n">
        <f aca="false">MIN(AR22,Model!AR60)</f>
        <v>0</v>
      </c>
      <c r="AS23" s="126" t="n">
        <f aca="false">MIN(AS22,Model!AS60)</f>
        <v>0</v>
      </c>
      <c r="AT23" s="126" t="n">
        <f aca="false">MIN(AT22,Model!AT60)</f>
        <v>0</v>
      </c>
      <c r="AU23" s="126" t="n">
        <f aca="false">MIN(AU22,Model!AU60)</f>
        <v>0</v>
      </c>
      <c r="AV23" s="126" t="n">
        <f aca="false">MIN(AV22,Model!AV60)</f>
        <v>0</v>
      </c>
      <c r="AW23" s="126" t="n">
        <f aca="false">MIN(AW22,Model!AW60)</f>
        <v>0</v>
      </c>
      <c r="AX23" s="126" t="n">
        <f aca="false">MIN(AX22,Model!AX60)</f>
        <v>0</v>
      </c>
      <c r="AY23" s="126" t="n">
        <f aca="false">MIN(AY22,Model!AY60)</f>
        <v>0</v>
      </c>
      <c r="AZ23" s="126" t="n">
        <f aca="false">MIN(AZ22,Model!AZ60)</f>
        <v>0</v>
      </c>
      <c r="BA23" s="126" t="n">
        <f aca="false">MIN(BA22,Model!BA60)</f>
        <v>602667.7</v>
      </c>
      <c r="BB23" s="126" t="n">
        <f aca="false">MIN(BB22,Model!BB60)</f>
        <v>0</v>
      </c>
      <c r="BC23" s="126" t="n">
        <f aca="false">MIN(BC22,Model!BC60)</f>
        <v>0</v>
      </c>
      <c r="BD23" s="126" t="n">
        <f aca="false">MIN(BD22,Model!BD60)</f>
        <v>0</v>
      </c>
      <c r="BE23" s="126" t="n">
        <f aca="false">MIN(BE22,Model!BE60)</f>
        <v>0</v>
      </c>
      <c r="BF23" s="126" t="n">
        <f aca="false">MIN(BF22,Model!BF60)</f>
        <v>0</v>
      </c>
      <c r="BG23" s="126" t="n">
        <f aca="false">MIN(BG22,Model!BG60)</f>
        <v>0</v>
      </c>
      <c r="BH23" s="126" t="n">
        <f aca="false">MIN(BH22,Model!BH60)</f>
        <v>0</v>
      </c>
      <c r="BI23" s="126" t="n">
        <f aca="false">MIN(BI22,Model!BI60)</f>
        <v>0</v>
      </c>
      <c r="BJ23" s="126" t="n">
        <f aca="false">MIN(BJ22,Model!BJ60)</f>
        <v>0</v>
      </c>
      <c r="BK23" s="126" t="n">
        <f aca="false">MIN(BK22,Model!BK60)</f>
        <v>0</v>
      </c>
      <c r="BL23" s="126" t="n">
        <f aca="false">MIN(BL22,Model!BL60)</f>
        <v>0</v>
      </c>
      <c r="BM23" s="126" t="n">
        <f aca="false">MIN(BM22,Model!BM60)</f>
        <v>0</v>
      </c>
      <c r="BN23" s="126" t="n">
        <f aca="false">MIN(BN22,Model!BN60)</f>
        <v>0</v>
      </c>
      <c r="BO23" s="126" t="n">
        <f aca="false">MIN(BO22,Model!BO60)</f>
        <v>0</v>
      </c>
      <c r="BP23" s="126" t="n">
        <f aca="false">MIN(BP22,Model!BP60)</f>
        <v>0</v>
      </c>
      <c r="BQ23" s="126" t="n">
        <f aca="false">MIN(BQ22,Model!BQ60)</f>
        <v>0</v>
      </c>
      <c r="BR23" s="126" t="n">
        <f aca="false">MIN(BR22,Model!BR60)</f>
        <v>0</v>
      </c>
      <c r="BS23" s="126" t="n">
        <f aca="false">MIN(BS22,Model!BS60)</f>
        <v>0</v>
      </c>
      <c r="BT23" s="126" t="n">
        <f aca="false">MIN(BT22,Model!BT60)</f>
        <v>0</v>
      </c>
      <c r="BU23" s="126" t="n">
        <f aca="false">MIN(BU22,Model!BU60)</f>
        <v>0</v>
      </c>
      <c r="BV23" s="126" t="n">
        <f aca="false">MIN(BV22,Model!BV60)</f>
        <v>0</v>
      </c>
      <c r="BW23" s="126" t="n">
        <f aca="false">MIN(BW22,Model!BW60)</f>
        <v>0</v>
      </c>
      <c r="BX23" s="126" t="n">
        <f aca="false">MIN(BX22,Model!BX60)</f>
        <v>0</v>
      </c>
      <c r="BY23" s="126" t="n">
        <f aca="false">MIN(BY22,Model!BY60)</f>
        <v>0</v>
      </c>
      <c r="BZ23" s="126" t="n">
        <f aca="false">MIN(BZ22,Model!BZ60)</f>
        <v>0</v>
      </c>
      <c r="CA23" s="126" t="n">
        <f aca="false">MIN(CA22,Model!CA60)</f>
        <v>0</v>
      </c>
      <c r="CB23" s="126" t="n">
        <f aca="false">MIN(CB22,Model!CB60)</f>
        <v>0</v>
      </c>
      <c r="CC23" s="126" t="n">
        <f aca="false">MIN(CC22,Model!CC60)</f>
        <v>0</v>
      </c>
      <c r="CD23" s="126" t="n">
        <f aca="false">MIN(CD22,Model!CD60)</f>
        <v>0</v>
      </c>
      <c r="CE23" s="126" t="n">
        <f aca="false">MIN(CE22,Model!CE60)</f>
        <v>0</v>
      </c>
      <c r="CF23" s="126" t="n">
        <f aca="false">MIN(CF22,Model!CF60)</f>
        <v>0</v>
      </c>
      <c r="CG23" s="126" t="n">
        <f aca="false">MIN(CG22,Model!CG60)</f>
        <v>0</v>
      </c>
      <c r="CH23" s="126" t="n">
        <f aca="false">MIN(CH22,Model!CH60)</f>
        <v>0</v>
      </c>
    </row>
    <row r="24" customFormat="false" ht="15" hidden="false" customHeight="true" outlineLevel="0" collapsed="false">
      <c r="A24" s="123" t="s">
        <v>533</v>
      </c>
      <c r="C24" s="124" t="n">
        <f aca="false">MAX(0,C22-C23)</f>
        <v>602667.7</v>
      </c>
      <c r="D24" s="124" t="n">
        <f aca="false">MAX(0,D22-D23)</f>
        <v>602667.7</v>
      </c>
      <c r="E24" s="124" t="n">
        <f aca="false">MAX(0,E22-E23)</f>
        <v>602667.7</v>
      </c>
      <c r="F24" s="124" t="n">
        <f aca="false">MAX(0,F22-F23)</f>
        <v>602667.7</v>
      </c>
      <c r="G24" s="124" t="n">
        <f aca="false">MAX(0,G22-G23)</f>
        <v>602667.7</v>
      </c>
      <c r="H24" s="124" t="n">
        <f aca="false">MAX(0,H22-H23)</f>
        <v>602667.7</v>
      </c>
      <c r="I24" s="124" t="n">
        <f aca="false">MAX(0,I22-I23)</f>
        <v>602667.7</v>
      </c>
      <c r="J24" s="124" t="n">
        <f aca="false">MAX(0,J22-J23)</f>
        <v>602667.7</v>
      </c>
      <c r="K24" s="124" t="n">
        <f aca="false">MAX(0,K22-K23)</f>
        <v>602667.7</v>
      </c>
      <c r="L24" s="124" t="n">
        <f aca="false">MAX(0,L22-L23)</f>
        <v>602667.7</v>
      </c>
      <c r="M24" s="124" t="n">
        <f aca="false">MAX(0,M22-M23)</f>
        <v>602667.7</v>
      </c>
      <c r="N24" s="124" t="n">
        <f aca="false">MAX(0,N22-N23)</f>
        <v>602667.7</v>
      </c>
      <c r="O24" s="124" t="n">
        <f aca="false">MAX(0,O22-O23)</f>
        <v>602667.7</v>
      </c>
      <c r="P24" s="124" t="n">
        <f aca="false">MAX(0,P22-P23)</f>
        <v>602667.7</v>
      </c>
      <c r="Q24" s="124" t="n">
        <f aca="false">MAX(0,Q22-Q23)</f>
        <v>602667.7</v>
      </c>
      <c r="R24" s="124" t="n">
        <f aca="false">MAX(0,R22-R23)</f>
        <v>602667.7</v>
      </c>
      <c r="S24" s="124" t="n">
        <f aca="false">MAX(0,S22-S23)</f>
        <v>602667.7</v>
      </c>
      <c r="T24" s="124" t="n">
        <f aca="false">MAX(0,T22-T23)</f>
        <v>602667.7</v>
      </c>
      <c r="U24" s="124" t="n">
        <f aca="false">MAX(0,U22-U23)</f>
        <v>602667.7</v>
      </c>
      <c r="V24" s="124" t="n">
        <f aca="false">MAX(0,V22-V23)</f>
        <v>602667.7</v>
      </c>
      <c r="W24" s="124" t="n">
        <f aca="false">MAX(0,W22-W23)</f>
        <v>602667.7</v>
      </c>
      <c r="X24" s="124" t="n">
        <f aca="false">MAX(0,X22-X23)</f>
        <v>602667.7</v>
      </c>
      <c r="Y24" s="124" t="n">
        <f aca="false">MAX(0,Y22-Y23)</f>
        <v>602667.7</v>
      </c>
      <c r="Z24" s="124" t="n">
        <f aca="false">MAX(0,Z22-Z23)</f>
        <v>602667.7</v>
      </c>
      <c r="AA24" s="124" t="n">
        <f aca="false">MAX(0,AA22-AA23)</f>
        <v>602667.7</v>
      </c>
      <c r="AB24" s="124" t="n">
        <f aca="false">MAX(0,AB22-AB23)</f>
        <v>602667.7</v>
      </c>
      <c r="AC24" s="124" t="n">
        <f aca="false">MAX(0,AC22-AC23)</f>
        <v>602667.7</v>
      </c>
      <c r="AD24" s="124" t="n">
        <f aca="false">MAX(0,AD22-AD23)</f>
        <v>602667.7</v>
      </c>
      <c r="AE24" s="124" t="n">
        <f aca="false">MAX(0,AE22-AE23)</f>
        <v>602667.7</v>
      </c>
      <c r="AF24" s="124" t="n">
        <f aca="false">MAX(0,AF22-AF23)</f>
        <v>602667.7</v>
      </c>
      <c r="AG24" s="124" t="n">
        <f aca="false">MAX(0,AG22-AG23)</f>
        <v>602667.7</v>
      </c>
      <c r="AH24" s="124" t="n">
        <f aca="false">MAX(0,AH22-AH23)</f>
        <v>602667.7</v>
      </c>
      <c r="AI24" s="124" t="n">
        <f aca="false">MAX(0,AI22-AI23)</f>
        <v>602667.7</v>
      </c>
      <c r="AJ24" s="124" t="n">
        <f aca="false">MAX(0,AJ22-AJ23)</f>
        <v>602667.7</v>
      </c>
      <c r="AK24" s="124" t="n">
        <f aca="false">MAX(0,AK22-AK23)</f>
        <v>602667.7</v>
      </c>
      <c r="AL24" s="124" t="n">
        <f aca="false">MAX(0,AL22-AL23)</f>
        <v>602667.7</v>
      </c>
      <c r="AM24" s="124" t="n">
        <f aca="false">MAX(0,AM22-AM23)</f>
        <v>602667.7</v>
      </c>
      <c r="AN24" s="124" t="n">
        <f aca="false">MAX(0,AN22-AN23)</f>
        <v>602667.7</v>
      </c>
      <c r="AO24" s="124" t="n">
        <f aca="false">MAX(0,AO22-AO23)</f>
        <v>602667.7</v>
      </c>
      <c r="AP24" s="124" t="n">
        <f aca="false">MAX(0,AP22-AP23)</f>
        <v>602667.7</v>
      </c>
      <c r="AQ24" s="124" t="n">
        <f aca="false">MAX(0,AQ22-AQ23)</f>
        <v>602667.7</v>
      </c>
      <c r="AR24" s="124" t="n">
        <f aca="false">MAX(0,AR22-AR23)</f>
        <v>602667.7</v>
      </c>
      <c r="AS24" s="124" t="n">
        <f aca="false">MAX(0,AS22-AS23)</f>
        <v>602667.7</v>
      </c>
      <c r="AT24" s="124" t="n">
        <f aca="false">MAX(0,AT22-AT23)</f>
        <v>602667.7</v>
      </c>
      <c r="AU24" s="124" t="n">
        <f aca="false">MAX(0,AU22-AU23)</f>
        <v>602667.7</v>
      </c>
      <c r="AV24" s="124" t="n">
        <f aca="false">MAX(0,AV22-AV23)</f>
        <v>602667.7</v>
      </c>
      <c r="AW24" s="124" t="n">
        <f aca="false">MAX(0,AW22-AW23)</f>
        <v>602667.7</v>
      </c>
      <c r="AX24" s="124" t="n">
        <f aca="false">MAX(0,AX22-AX23)</f>
        <v>602667.7</v>
      </c>
      <c r="AY24" s="124" t="n">
        <f aca="false">MAX(0,AY22-AY23)</f>
        <v>602667.7</v>
      </c>
      <c r="AZ24" s="124" t="n">
        <f aca="false">MAX(0,AZ22-AZ23)</f>
        <v>602667.7</v>
      </c>
      <c r="BA24" s="124" t="n">
        <f aca="false">MAX(0,BA22-BA23)</f>
        <v>0</v>
      </c>
      <c r="BB24" s="124" t="n">
        <f aca="false">MAX(0,BB22-BB23)</f>
        <v>0</v>
      </c>
      <c r="BC24" s="124" t="n">
        <f aca="false">MAX(0,BC22-BC23)</f>
        <v>0</v>
      </c>
      <c r="BD24" s="124" t="n">
        <f aca="false">MAX(0,BD22-BD23)</f>
        <v>0</v>
      </c>
      <c r="BE24" s="124" t="n">
        <f aca="false">MAX(0,BE22-BE23)</f>
        <v>0</v>
      </c>
      <c r="BF24" s="124" t="n">
        <f aca="false">MAX(0,BF22-BF23)</f>
        <v>0</v>
      </c>
      <c r="BG24" s="124" t="n">
        <f aca="false">MAX(0,BG22-BG23)</f>
        <v>0</v>
      </c>
      <c r="BH24" s="124" t="n">
        <f aca="false">MAX(0,BH22-BH23)</f>
        <v>0</v>
      </c>
      <c r="BI24" s="124" t="n">
        <f aca="false">MAX(0,BI22-BI23)</f>
        <v>0</v>
      </c>
      <c r="BJ24" s="124" t="n">
        <f aca="false">MAX(0,BJ22-BJ23)</f>
        <v>0</v>
      </c>
      <c r="BK24" s="124" t="n">
        <f aca="false">MAX(0,BK22-BK23)</f>
        <v>0</v>
      </c>
      <c r="BL24" s="124" t="n">
        <f aca="false">MAX(0,BL22-BL23)</f>
        <v>0</v>
      </c>
      <c r="BM24" s="124" t="n">
        <f aca="false">MAX(0,BM22-BM23)</f>
        <v>0</v>
      </c>
      <c r="BN24" s="124" t="n">
        <f aca="false">MAX(0,BN22-BN23)</f>
        <v>0</v>
      </c>
      <c r="BO24" s="124" t="n">
        <f aca="false">MAX(0,BO22-BO23)</f>
        <v>0</v>
      </c>
      <c r="BP24" s="124" t="n">
        <f aca="false">MAX(0,BP22-BP23)</f>
        <v>0</v>
      </c>
      <c r="BQ24" s="124" t="n">
        <f aca="false">MAX(0,BQ22-BQ23)</f>
        <v>0</v>
      </c>
      <c r="BR24" s="124" t="n">
        <f aca="false">MAX(0,BR22-BR23)</f>
        <v>0</v>
      </c>
      <c r="BS24" s="124" t="n">
        <f aca="false">MAX(0,BS22-BS23)</f>
        <v>0</v>
      </c>
      <c r="BT24" s="124" t="n">
        <f aca="false">MAX(0,BT22-BT23)</f>
        <v>0</v>
      </c>
      <c r="BU24" s="124" t="n">
        <f aca="false">MAX(0,BU22-BU23)</f>
        <v>0</v>
      </c>
      <c r="BV24" s="124" t="n">
        <f aca="false">MAX(0,BV22-BV23)</f>
        <v>0</v>
      </c>
      <c r="BW24" s="124" t="n">
        <f aca="false">MAX(0,BW22-BW23)</f>
        <v>0</v>
      </c>
      <c r="BX24" s="124" t="n">
        <f aca="false">MAX(0,BX22-BX23)</f>
        <v>0</v>
      </c>
      <c r="BY24" s="124" t="n">
        <f aca="false">MAX(0,BY22-BY23)</f>
        <v>0</v>
      </c>
      <c r="BZ24" s="124" t="n">
        <f aca="false">MAX(0,BZ22-BZ23)</f>
        <v>0</v>
      </c>
      <c r="CA24" s="124" t="n">
        <f aca="false">MAX(0,CA22-CA23)</f>
        <v>0</v>
      </c>
      <c r="CB24" s="124" t="n">
        <f aca="false">MAX(0,CB22-CB23)</f>
        <v>0</v>
      </c>
      <c r="CC24" s="124" t="n">
        <f aca="false">MAX(0,CC22-CC23)</f>
        <v>0</v>
      </c>
      <c r="CD24" s="124" t="n">
        <f aca="false">MAX(0,CD22-CD23)</f>
        <v>0</v>
      </c>
      <c r="CE24" s="124" t="n">
        <f aca="false">MAX(0,CE22-CE23)</f>
        <v>0</v>
      </c>
      <c r="CF24" s="124" t="n">
        <f aca="false">MAX(0,CF22-CF23)</f>
        <v>0</v>
      </c>
      <c r="CG24" s="124" t="n">
        <f aca="false">MAX(0,CG22-CG23)</f>
        <v>0</v>
      </c>
      <c r="CH24" s="124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7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7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538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28" t="s">
        <v>539</v>
      </c>
    </row>
    <row r="32" customFormat="false" ht="15" hidden="false" customHeight="true" outlineLevel="0" collapsed="false">
      <c r="A32" s="129" t="s">
        <v>49</v>
      </c>
      <c r="B32" s="65" t="n">
        <f aca="false">LOOKUP(2,1/(Model!C59:CH59&gt;0),Model!C59:CH59)</f>
        <v>76499</v>
      </c>
    </row>
    <row r="33" customFormat="false" ht="15" hidden="false" customHeight="true" outlineLevel="0" collapsed="false">
      <c r="A33" s="129" t="s">
        <v>57</v>
      </c>
      <c r="B33" s="65" t="n">
        <f aca="false">LOOKUP(2,1/(Model!C61:CH61&gt;0),Model!C61:CH61)</f>
        <v>73155</v>
      </c>
    </row>
    <row r="34" customFormat="false" ht="15" hidden="false" customHeight="true" outlineLevel="0" collapsed="false">
      <c r="A34" s="129" t="s">
        <v>54</v>
      </c>
      <c r="B34" s="65" t="n">
        <f aca="false">LOOKUP(2,1/(Model!C60:CH60&gt;0),Model!C60:CH60)</f>
        <v>81362</v>
      </c>
    </row>
    <row r="36" customFormat="false" ht="15" hidden="false" customHeight="true" outlineLevel="0" collapsed="false">
      <c r="A36" s="128" t="s">
        <v>540</v>
      </c>
    </row>
    <row r="37" customFormat="false" ht="15" hidden="false" customHeight="true" outlineLevel="0" collapsed="false">
      <c r="A37" s="129" t="s">
        <v>49</v>
      </c>
      <c r="B37" s="110" t="n">
        <f aca="false">SUMPRODUCT((Model!C59:CH59&gt;0)*1)</f>
        <v>15</v>
      </c>
    </row>
    <row r="38" customFormat="false" ht="15" hidden="false" customHeight="true" outlineLevel="0" collapsed="false">
      <c r="A38" s="129" t="s">
        <v>57</v>
      </c>
      <c r="B38" s="110" t="n">
        <f aca="false">SUMPRODUCT((Model!C61:CH61&gt;0)*1)</f>
        <v>4</v>
      </c>
    </row>
    <row r="39" customFormat="false" ht="15" hidden="false" customHeight="true" outlineLevel="0" collapsed="false">
      <c r="A39" s="129" t="s">
        <v>54</v>
      </c>
      <c r="B39" s="110" t="n">
        <f aca="false">SUMPRODUCT((Model!C60:CH60&gt;0)*1)</f>
        <v>12</v>
      </c>
    </row>
    <row r="41" customFormat="false" ht="15" hidden="false" customHeight="true" outlineLevel="0" collapsed="false">
      <c r="A41" s="128" t="s">
        <v>541</v>
      </c>
    </row>
    <row r="42" customFormat="false" ht="15" hidden="false" customHeight="true" outlineLevel="0" collapsed="false">
      <c r="A42" s="129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29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29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28" t="s">
        <v>542</v>
      </c>
    </row>
    <row r="47" customFormat="false" ht="15" hidden="false" customHeight="true" outlineLevel="0" collapsed="false">
      <c r="A47" s="129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29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29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543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28" t="s">
        <v>544</v>
      </c>
      <c r="B52" s="128" t="s">
        <v>545</v>
      </c>
      <c r="C52" s="128" t="s">
        <v>546</v>
      </c>
      <c r="D52" s="128" t="s">
        <v>547</v>
      </c>
      <c r="E52" s="128" t="s">
        <v>548</v>
      </c>
      <c r="F52" s="128" t="s">
        <v>549</v>
      </c>
      <c r="G52" s="128" t="s">
        <v>550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Model!CH124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28" t="s">
        <v>551</v>
      </c>
      <c r="D93" s="130" t="n">
        <f aca="false">SUM(D53:D92)</f>
        <v>270925.32</v>
      </c>
      <c r="F93" s="130" t="n">
        <f aca="false">SUM(F53:F92)</f>
        <v>240125.881206445</v>
      </c>
      <c r="G93" s="130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1:CH107"/>
  <sheetViews>
    <sheetView tabSelected="1" zoomScaleNormal="100" workbookViewId="0"/>
  </sheetViews>
  <sheetFormatPr defaultColWidth="8.7109375" defaultRowHeight="15" x14ac:dyDescent="0.25"/>
  <cols>
    <col min="1" max="1" width="40" customWidth="1"/>
    <col min="2" max="86" width="27" customWidth="1"/>
  </cols>
  <sheetData>
    <row r="1" spans="1:11" ht="15.75" customHeight="1" x14ac:dyDescent="0.25">
      <c r="A1" s="1" t="s">
        <v>0</v>
      </c>
    </row>
    <row r="2" spans="1:11" ht="15" customHeight="1" x14ac:dyDescent="0.25">
      <c r="A2" s="2" t="s">
        <v>1</v>
      </c>
      <c r="B2" s="3" t="s">
        <v>2</v>
      </c>
    </row>
    <row r="4" spans="1:11" ht="15" customHeight="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5" customHeight="1" x14ac:dyDescent="0.25">
      <c r="A5" s="2" t="s">
        <v>4</v>
      </c>
      <c r="B5" s="2" t="s">
        <v>0</v>
      </c>
    </row>
    <row r="6" spans="1:11" ht="15" customHeight="1" x14ac:dyDescent="0.25">
      <c r="A6" s="2" t="s">
        <v>5</v>
      </c>
      <c r="B6" s="2" t="s">
        <v>6</v>
      </c>
    </row>
    <row r="7" spans="1:11" ht="15" customHeight="1" x14ac:dyDescent="0.25">
      <c r="A7" s="2" t="s">
        <v>7</v>
      </c>
      <c r="B7" s="5">
        <v>60</v>
      </c>
    </row>
    <row r="8" spans="1:11" ht="15" customHeight="1" x14ac:dyDescent="0.25">
      <c r="A8" s="2" t="s">
        <v>8</v>
      </c>
      <c r="B8" s="2" t="s">
        <v>9</v>
      </c>
    </row>
    <row r="9" spans="1:11" ht="15" customHeight="1" x14ac:dyDescent="0.25">
      <c r="A9" s="2" t="s">
        <v>10</v>
      </c>
      <c r="B9" s="6">
        <v>1400000</v>
      </c>
    </row>
    <row r="10" spans="1:11" ht="15" customHeight="1" x14ac:dyDescent="0.25">
      <c r="A10" s="2" t="s">
        <v>11</v>
      </c>
      <c r="B10" s="6">
        <v>1609391</v>
      </c>
    </row>
    <row r="11" spans="1:11" ht="15" customHeight="1" x14ac:dyDescent="0.25">
      <c r="A11" s="2" t="s">
        <v>12</v>
      </c>
      <c r="B11" s="6">
        <v>3419763</v>
      </c>
    </row>
    <row r="12" spans="1:11" ht="15" customHeight="1" x14ac:dyDescent="0.25">
      <c r="A12" s="2" t="s">
        <v>13</v>
      </c>
      <c r="B12" s="7">
        <f>B16</f>
        <v>9009665</v>
      </c>
    </row>
    <row r="14" spans="1:11" ht="15" customHeight="1" x14ac:dyDescent="0.25">
      <c r="A14" s="8" t="s">
        <v>14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15" customHeight="1" x14ac:dyDescent="0.25">
      <c r="B15" s="9" t="s">
        <v>15</v>
      </c>
      <c r="C15" s="9" t="s">
        <v>16</v>
      </c>
      <c r="D15" s="9" t="s">
        <v>17</v>
      </c>
      <c r="E15" s="9" t="s">
        <v>18</v>
      </c>
      <c r="F15" s="9" t="s">
        <v>19</v>
      </c>
      <c r="G15" s="9" t="s">
        <v>20</v>
      </c>
      <c r="H15" s="9" t="s">
        <v>21</v>
      </c>
      <c r="I15" s="9" t="s">
        <v>22</v>
      </c>
      <c r="J15" s="9" t="s">
        <v>23</v>
      </c>
    </row>
    <row r="16" spans="1:11" ht="15" customHeight="1" x14ac:dyDescent="0.25">
      <c r="A16" s="2" t="s">
        <v>13</v>
      </c>
      <c r="B16" s="7">
        <f t="shared" ref="B16:B24" si="0">C16+D16+E16+F16+G16+H16+I16+J16</f>
        <v>9009665</v>
      </c>
      <c r="C16" s="6">
        <f t="shared" ref="C16:C24" si="1">SUM(C99:K99)</f>
        <v>0</v>
      </c>
      <c r="D16" s="6">
        <f t="shared" ref="D16:D24" si="2">SUM(L99:W99)</f>
        <v>1084381.6599999999</v>
      </c>
      <c r="E16" s="6">
        <f t="shared" ref="E16:E24" si="3">SUM(X99:AI99)</f>
        <v>3698017.3899999997</v>
      </c>
      <c r="F16" s="6">
        <f t="shared" ref="F16:F24" si="4">SUM(AJ99:AU99)</f>
        <v>2427299.0100000002</v>
      </c>
      <c r="G16" s="6">
        <f t="shared" ref="G16:G24" si="5">SUM(AV99:BG99)</f>
        <v>1369332.42</v>
      </c>
      <c r="H16" s="6">
        <f t="shared" ref="H16:H24" si="6">SUM(BH99:BS99)</f>
        <v>430634.52</v>
      </c>
      <c r="I16" s="6">
        <f t="shared" ref="I16:I24" si="7">SUM(BT99:CE99)</f>
        <v>0</v>
      </c>
      <c r="J16" s="6">
        <f t="shared" ref="J16:J24" si="8">SUM(CF99:CH99)</f>
        <v>0</v>
      </c>
    </row>
    <row r="17" spans="1:11" ht="15" customHeight="1" x14ac:dyDescent="0.25">
      <c r="A17" s="2" t="s">
        <v>24</v>
      </c>
      <c r="B17" s="7">
        <f t="shared" si="0"/>
        <v>-1500039</v>
      </c>
      <c r="C17" s="6">
        <f t="shared" si="1"/>
        <v>0</v>
      </c>
      <c r="D17" s="6">
        <f t="shared" si="2"/>
        <v>-202088</v>
      </c>
      <c r="E17" s="6">
        <f t="shared" si="3"/>
        <v>-397927</v>
      </c>
      <c r="F17" s="6">
        <f t="shared" si="4"/>
        <v>-450012</v>
      </c>
      <c r="G17" s="6">
        <f t="shared" si="5"/>
        <v>-450012</v>
      </c>
      <c r="H17" s="6">
        <f t="shared" si="6"/>
        <v>0</v>
      </c>
      <c r="I17" s="6">
        <f t="shared" si="7"/>
        <v>0</v>
      </c>
      <c r="J17" s="6">
        <f t="shared" si="8"/>
        <v>0</v>
      </c>
    </row>
    <row r="18" spans="1:11" ht="15" customHeight="1" x14ac:dyDescent="0.25">
      <c r="A18" s="2" t="s">
        <v>25</v>
      </c>
      <c r="B18" s="7">
        <f t="shared" si="0"/>
        <v>-456000</v>
      </c>
      <c r="C18" s="6">
        <f t="shared" si="1"/>
        <v>0</v>
      </c>
      <c r="D18" s="6">
        <f t="shared" si="2"/>
        <v>-114000</v>
      </c>
      <c r="E18" s="6">
        <f t="shared" si="3"/>
        <v>-114000</v>
      </c>
      <c r="F18" s="6">
        <f t="shared" si="4"/>
        <v>-114000</v>
      </c>
      <c r="G18" s="6">
        <f t="shared" si="5"/>
        <v>-114000</v>
      </c>
      <c r="H18" s="6">
        <f t="shared" si="6"/>
        <v>0</v>
      </c>
      <c r="I18" s="6">
        <f t="shared" si="7"/>
        <v>0</v>
      </c>
      <c r="J18" s="6">
        <f t="shared" si="8"/>
        <v>0</v>
      </c>
    </row>
    <row r="19" spans="1:11" ht="15" customHeight="1" x14ac:dyDescent="0.25">
      <c r="A19" s="10" t="s">
        <v>26</v>
      </c>
      <c r="B19" s="11">
        <f t="shared" si="0"/>
        <v>7053626</v>
      </c>
      <c r="C19" s="11">
        <f t="shared" si="1"/>
        <v>0</v>
      </c>
      <c r="D19" s="11">
        <f t="shared" si="2"/>
        <v>768293.65999999992</v>
      </c>
      <c r="E19" s="11">
        <f t="shared" si="3"/>
        <v>3186090.3899999997</v>
      </c>
      <c r="F19" s="11">
        <f t="shared" si="4"/>
        <v>1863287.0100000002</v>
      </c>
      <c r="G19" s="11">
        <f t="shared" si="5"/>
        <v>805320.42000000016</v>
      </c>
      <c r="H19" s="11">
        <f t="shared" si="6"/>
        <v>430634.52</v>
      </c>
      <c r="I19" s="11">
        <f t="shared" si="7"/>
        <v>0</v>
      </c>
      <c r="J19" s="11">
        <f t="shared" si="8"/>
        <v>0</v>
      </c>
    </row>
    <row r="20" spans="1:11" ht="15" customHeight="1" x14ac:dyDescent="0.25">
      <c r="A20" s="2" t="s">
        <v>27</v>
      </c>
      <c r="B20" s="7">
        <f t="shared" si="0"/>
        <v>563192.61699999997</v>
      </c>
      <c r="C20" s="6">
        <f t="shared" si="1"/>
        <v>0</v>
      </c>
      <c r="D20" s="6">
        <f t="shared" si="2"/>
        <v>93581.82</v>
      </c>
      <c r="E20" s="6">
        <f t="shared" si="3"/>
        <v>150000</v>
      </c>
      <c r="F20" s="6">
        <f t="shared" si="4"/>
        <v>148450.302</v>
      </c>
      <c r="G20" s="6">
        <f t="shared" si="5"/>
        <v>136933.242</v>
      </c>
      <c r="H20" s="6">
        <f t="shared" si="6"/>
        <v>34227.253000000004</v>
      </c>
      <c r="I20" s="6">
        <f t="shared" si="7"/>
        <v>0</v>
      </c>
      <c r="J20" s="6">
        <f t="shared" si="8"/>
        <v>0</v>
      </c>
    </row>
    <row r="21" spans="1:11" ht="15" customHeight="1" x14ac:dyDescent="0.25">
      <c r="A21" s="10" t="s">
        <v>28</v>
      </c>
      <c r="B21" s="11">
        <f t="shared" si="0"/>
        <v>6490433.3829999994</v>
      </c>
      <c r="C21" s="11">
        <f t="shared" si="1"/>
        <v>0</v>
      </c>
      <c r="D21" s="11">
        <f t="shared" si="2"/>
        <v>674711.83999999985</v>
      </c>
      <c r="E21" s="11">
        <f t="shared" si="3"/>
        <v>3036090.3899999997</v>
      </c>
      <c r="F21" s="11">
        <f t="shared" si="4"/>
        <v>1714836.7080000001</v>
      </c>
      <c r="G21" s="11">
        <f t="shared" si="5"/>
        <v>668387.17799999996</v>
      </c>
      <c r="H21" s="11">
        <f t="shared" si="6"/>
        <v>396407.26699999999</v>
      </c>
      <c r="I21" s="11">
        <f t="shared" si="7"/>
        <v>0</v>
      </c>
      <c r="J21" s="11">
        <f t="shared" si="8"/>
        <v>0</v>
      </c>
    </row>
    <row r="22" spans="1:11" ht="15" customHeight="1" x14ac:dyDescent="0.25">
      <c r="A22" s="2" t="s">
        <v>29</v>
      </c>
      <c r="B22" s="7">
        <f t="shared" si="0"/>
        <v>2951665.926</v>
      </c>
      <c r="C22" s="6">
        <f t="shared" si="1"/>
        <v>0</v>
      </c>
      <c r="D22" s="6">
        <f t="shared" si="2"/>
        <v>269884.73600000003</v>
      </c>
      <c r="E22" s="6">
        <f t="shared" si="3"/>
        <v>1335772.7319999998</v>
      </c>
      <c r="F22" s="6">
        <f t="shared" si="4"/>
        <v>813611.23549999995</v>
      </c>
      <c r="G22" s="6">
        <f t="shared" si="5"/>
        <v>334193.58899999998</v>
      </c>
      <c r="H22" s="6">
        <f t="shared" si="6"/>
        <v>198203.6335</v>
      </c>
      <c r="I22" s="6">
        <f t="shared" si="7"/>
        <v>0</v>
      </c>
      <c r="J22" s="6">
        <f t="shared" si="8"/>
        <v>0</v>
      </c>
    </row>
    <row r="23" spans="1:11" ht="15" customHeight="1" x14ac:dyDescent="0.25">
      <c r="A23" s="2" t="s">
        <v>30</v>
      </c>
      <c r="B23" s="7">
        <f t="shared" si="0"/>
        <v>3538767.4570000004</v>
      </c>
      <c r="C23" s="6">
        <f t="shared" si="1"/>
        <v>0</v>
      </c>
      <c r="D23" s="6">
        <f t="shared" si="2"/>
        <v>404827.10399999993</v>
      </c>
      <c r="E23" s="6">
        <f t="shared" si="3"/>
        <v>1700317.6580000001</v>
      </c>
      <c r="F23" s="6">
        <f t="shared" si="4"/>
        <v>901225.47249999992</v>
      </c>
      <c r="G23" s="6">
        <f t="shared" si="5"/>
        <v>334193.58899999998</v>
      </c>
      <c r="H23" s="6">
        <f t="shared" si="6"/>
        <v>198203.6335</v>
      </c>
      <c r="I23" s="6">
        <f t="shared" si="7"/>
        <v>0</v>
      </c>
      <c r="J23" s="6">
        <f t="shared" si="8"/>
        <v>0</v>
      </c>
    </row>
    <row r="24" spans="1:11" ht="15.75" customHeight="1" x14ac:dyDescent="0.25">
      <c r="A24" s="12" t="s">
        <v>31</v>
      </c>
      <c r="B24" s="13">
        <f t="shared" si="0"/>
        <v>4101960.074</v>
      </c>
      <c r="C24" s="13">
        <f t="shared" si="1"/>
        <v>0</v>
      </c>
      <c r="D24" s="13">
        <f t="shared" si="2"/>
        <v>498408.924</v>
      </c>
      <c r="E24" s="13">
        <f t="shared" si="3"/>
        <v>1850317.6580000001</v>
      </c>
      <c r="F24" s="13">
        <f t="shared" si="4"/>
        <v>1049675.7745000001</v>
      </c>
      <c r="G24" s="13">
        <f t="shared" si="5"/>
        <v>471126.83100000001</v>
      </c>
      <c r="H24" s="13">
        <f t="shared" si="6"/>
        <v>232430.88650000002</v>
      </c>
      <c r="I24" s="13">
        <f t="shared" si="7"/>
        <v>0</v>
      </c>
      <c r="J24" s="13">
        <f t="shared" si="8"/>
        <v>0</v>
      </c>
    </row>
    <row r="26" spans="1:11" ht="15" customHeight="1" x14ac:dyDescent="0.25">
      <c r="A26" s="14" t="s">
        <v>32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 customHeight="1" x14ac:dyDescent="0.25">
      <c r="A27" s="15" t="s">
        <v>33</v>
      </c>
      <c r="B27" s="15" t="s">
        <v>34</v>
      </c>
      <c r="C27" s="15" t="s">
        <v>35</v>
      </c>
      <c r="D27" s="15" t="s">
        <v>10</v>
      </c>
      <c r="E27" s="15" t="s">
        <v>36</v>
      </c>
    </row>
    <row r="28" spans="1:11" ht="15" customHeight="1" x14ac:dyDescent="0.25">
      <c r="A28" s="2" t="s">
        <v>37</v>
      </c>
      <c r="B28" s="5">
        <v>6</v>
      </c>
      <c r="C28" s="2" t="s">
        <v>38</v>
      </c>
      <c r="D28" s="6">
        <v>1400000</v>
      </c>
      <c r="E28" s="16" t="s">
        <v>39</v>
      </c>
    </row>
    <row r="29" spans="1:11" ht="15" customHeight="1" x14ac:dyDescent="0.25">
      <c r="A29" s="2" t="s">
        <v>40</v>
      </c>
      <c r="B29" s="5">
        <v>18</v>
      </c>
      <c r="C29" s="2" t="s">
        <v>41</v>
      </c>
      <c r="D29" s="6">
        <v>1400000</v>
      </c>
      <c r="E29" s="16" t="s">
        <v>42</v>
      </c>
    </row>
    <row r="30" spans="1:11" ht="15" customHeight="1" x14ac:dyDescent="0.25">
      <c r="A30" s="2" t="s">
        <v>43</v>
      </c>
      <c r="B30" s="5">
        <v>18</v>
      </c>
      <c r="C30" s="2" t="s">
        <v>44</v>
      </c>
      <c r="D30" s="6">
        <v>1400000</v>
      </c>
      <c r="E30" s="16" t="s">
        <v>45</v>
      </c>
    </row>
    <row r="31" spans="1:11" ht="15" customHeight="1" x14ac:dyDescent="0.25">
      <c r="A31" s="2" t="s">
        <v>46</v>
      </c>
      <c r="B31" s="5">
        <v>18</v>
      </c>
      <c r="C31" s="2" t="s">
        <v>47</v>
      </c>
      <c r="D31" s="6">
        <v>1400000</v>
      </c>
      <c r="E31" s="16" t="s">
        <v>48</v>
      </c>
    </row>
    <row r="32" spans="1:11" ht="15" customHeight="1" x14ac:dyDescent="0.25">
      <c r="A32" s="15" t="s">
        <v>15</v>
      </c>
      <c r="B32" s="17">
        <v>60</v>
      </c>
      <c r="C32" s="15" t="s">
        <v>49</v>
      </c>
      <c r="D32" s="18">
        <v>1400000</v>
      </c>
    </row>
    <row r="34" spans="1:11" ht="15" customHeight="1" x14ac:dyDescent="0.25">
      <c r="A34" s="19" t="s">
        <v>50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ht="15" customHeight="1" x14ac:dyDescent="0.25">
      <c r="A35" s="20" t="s">
        <v>51</v>
      </c>
      <c r="B35" s="20" t="s">
        <v>52</v>
      </c>
      <c r="C35" s="20" t="s">
        <v>53</v>
      </c>
      <c r="D35" s="20" t="s">
        <v>54</v>
      </c>
      <c r="E35" s="20" t="s">
        <v>55</v>
      </c>
      <c r="F35" s="20" t="s">
        <v>56</v>
      </c>
    </row>
    <row r="36" spans="1:11" ht="15" customHeight="1" x14ac:dyDescent="0.25">
      <c r="A36" s="2" t="s">
        <v>57</v>
      </c>
      <c r="B36" s="2" t="s">
        <v>58</v>
      </c>
      <c r="C36" s="2" t="s">
        <v>59</v>
      </c>
      <c r="D36" s="6">
        <v>14000</v>
      </c>
      <c r="E36" s="6">
        <v>840000</v>
      </c>
      <c r="F36" s="21" t="s">
        <v>60</v>
      </c>
    </row>
    <row r="37" spans="1:11" ht="15" customHeight="1" x14ac:dyDescent="0.25">
      <c r="A37" s="2" t="s">
        <v>61</v>
      </c>
      <c r="B37" s="2" t="s">
        <v>62</v>
      </c>
      <c r="C37" s="2" t="s">
        <v>63</v>
      </c>
      <c r="D37" s="6">
        <v>96563</v>
      </c>
      <c r="E37" s="6">
        <v>5793808</v>
      </c>
      <c r="F37" s="21" t="s">
        <v>64</v>
      </c>
    </row>
    <row r="38" spans="1:11" ht="15" customHeight="1" x14ac:dyDescent="0.25">
      <c r="A38" s="2" t="s">
        <v>65</v>
      </c>
      <c r="B38" s="2" t="s">
        <v>66</v>
      </c>
      <c r="C38" s="2" t="s">
        <v>67</v>
      </c>
      <c r="D38" s="6">
        <v>5400</v>
      </c>
      <c r="E38" s="6">
        <v>324000</v>
      </c>
      <c r="F38" s="21" t="s">
        <v>68</v>
      </c>
    </row>
    <row r="39" spans="1:11" ht="15" customHeight="1" x14ac:dyDescent="0.25">
      <c r="A39" s="2" t="s">
        <v>69</v>
      </c>
      <c r="B39" s="2" t="s">
        <v>58</v>
      </c>
      <c r="C39" s="2" t="s">
        <v>70</v>
      </c>
      <c r="D39" s="6">
        <v>34198</v>
      </c>
      <c r="E39" s="6">
        <v>2051858</v>
      </c>
      <c r="F39" s="21" t="s">
        <v>71</v>
      </c>
    </row>
    <row r="40" spans="1:11" ht="15" customHeight="1" x14ac:dyDescent="0.25">
      <c r="A40" s="20" t="s">
        <v>13</v>
      </c>
      <c r="D40" s="22">
        <v>150161</v>
      </c>
      <c r="E40" s="22">
        <v>9009665</v>
      </c>
    </row>
    <row r="42" spans="1:11" ht="15" customHeight="1" x14ac:dyDescent="0.25">
      <c r="A42" s="4" t="s">
        <v>72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5" customHeight="1" x14ac:dyDescent="0.25">
      <c r="A43" s="23" t="s">
        <v>73</v>
      </c>
      <c r="B43" s="23" t="s">
        <v>74</v>
      </c>
      <c r="C43" s="23" t="s">
        <v>75</v>
      </c>
      <c r="D43" s="23" t="s">
        <v>76</v>
      </c>
      <c r="E43" s="23" t="s">
        <v>77</v>
      </c>
      <c r="F43" s="23" t="s">
        <v>78</v>
      </c>
      <c r="G43" s="23" t="s">
        <v>79</v>
      </c>
    </row>
    <row r="44" spans="1:11" ht="15" customHeight="1" x14ac:dyDescent="0.25">
      <c r="A44" s="2" t="s">
        <v>80</v>
      </c>
      <c r="B44" s="6">
        <v>125000</v>
      </c>
      <c r="C44" s="6">
        <v>10417</v>
      </c>
      <c r="D44" s="2" t="s">
        <v>81</v>
      </c>
      <c r="E44" s="2" t="s">
        <v>82</v>
      </c>
      <c r="F44" s="2">
        <v>47</v>
      </c>
      <c r="G44" s="6">
        <f>C44*F44</f>
        <v>489599</v>
      </c>
    </row>
    <row r="45" spans="1:11" ht="15" customHeight="1" x14ac:dyDescent="0.25">
      <c r="A45" s="2" t="s">
        <v>83</v>
      </c>
      <c r="B45" s="6">
        <v>90000</v>
      </c>
      <c r="C45" s="6">
        <v>7500</v>
      </c>
      <c r="D45" s="2" t="s">
        <v>84</v>
      </c>
      <c r="E45" s="2" t="s">
        <v>82</v>
      </c>
      <c r="F45" s="2">
        <v>44</v>
      </c>
      <c r="G45" s="6">
        <f>C45*F45</f>
        <v>330000</v>
      </c>
    </row>
    <row r="46" spans="1:11" ht="15" customHeight="1" x14ac:dyDescent="0.25">
      <c r="A46" s="2" t="s">
        <v>85</v>
      </c>
      <c r="B46" s="6">
        <v>110000</v>
      </c>
      <c r="C46" s="6">
        <v>9167</v>
      </c>
      <c r="D46" s="2" t="s">
        <v>86</v>
      </c>
      <c r="E46" s="2" t="s">
        <v>82</v>
      </c>
      <c r="F46" s="2">
        <v>39</v>
      </c>
      <c r="G46" s="6">
        <f>C46*F46</f>
        <v>357513</v>
      </c>
    </row>
    <row r="47" spans="1:11" ht="15" customHeight="1" x14ac:dyDescent="0.25">
      <c r="A47" s="2" t="s">
        <v>87</v>
      </c>
      <c r="B47" s="6">
        <v>125000</v>
      </c>
      <c r="C47" s="6">
        <v>10417</v>
      </c>
      <c r="D47" s="2" t="s">
        <v>88</v>
      </c>
      <c r="E47" s="2" t="s">
        <v>82</v>
      </c>
      <c r="F47" s="2">
        <v>31</v>
      </c>
      <c r="G47" s="6">
        <f>C47*F47</f>
        <v>322927</v>
      </c>
    </row>
    <row r="48" spans="1:11" ht="15" customHeight="1" x14ac:dyDescent="0.25">
      <c r="A48" s="23" t="s">
        <v>89</v>
      </c>
      <c r="G48" s="24">
        <f>SUM(G44:G47)</f>
        <v>1500039</v>
      </c>
    </row>
    <row r="50" spans="1:11" ht="15" customHeight="1" x14ac:dyDescent="0.25">
      <c r="A50" s="25" t="s">
        <v>90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5" customHeight="1" x14ac:dyDescent="0.25">
      <c r="A51" s="26" t="s">
        <v>91</v>
      </c>
      <c r="B51" s="26" t="s">
        <v>92</v>
      </c>
      <c r="C51" s="26" t="s">
        <v>75</v>
      </c>
      <c r="D51" s="26" t="s">
        <v>93</v>
      </c>
      <c r="E51" s="26" t="s">
        <v>15</v>
      </c>
    </row>
    <row r="52" spans="1:11" ht="15" customHeight="1" x14ac:dyDescent="0.25">
      <c r="A52" s="2" t="s">
        <v>94</v>
      </c>
      <c r="B52" s="6">
        <v>40000</v>
      </c>
      <c r="C52" s="6">
        <v>3333</v>
      </c>
      <c r="D52" s="2">
        <v>4</v>
      </c>
      <c r="E52" s="6">
        <v>160000</v>
      </c>
    </row>
    <row r="53" spans="1:11" ht="15" customHeight="1" x14ac:dyDescent="0.25">
      <c r="A53" s="2" t="s">
        <v>95</v>
      </c>
      <c r="B53" s="6">
        <v>20000</v>
      </c>
      <c r="C53" s="6">
        <v>1667</v>
      </c>
      <c r="D53" s="2">
        <v>4</v>
      </c>
      <c r="E53" s="6">
        <v>80000</v>
      </c>
    </row>
    <row r="54" spans="1:11" ht="15" customHeight="1" x14ac:dyDescent="0.25">
      <c r="A54" s="2" t="s">
        <v>96</v>
      </c>
      <c r="B54" s="6">
        <v>30000</v>
      </c>
      <c r="C54" s="6">
        <v>2500</v>
      </c>
      <c r="D54" s="2">
        <v>4</v>
      </c>
      <c r="E54" s="6">
        <v>120000</v>
      </c>
    </row>
    <row r="55" spans="1:11" ht="15" customHeight="1" x14ac:dyDescent="0.25">
      <c r="A55" s="2" t="s">
        <v>97</v>
      </c>
      <c r="B55" s="6">
        <v>24000</v>
      </c>
      <c r="C55" s="6">
        <v>2000</v>
      </c>
      <c r="D55" s="2">
        <v>4</v>
      </c>
      <c r="E55" s="6">
        <v>96000</v>
      </c>
    </row>
    <row r="56" spans="1:11" ht="15" customHeight="1" x14ac:dyDescent="0.25">
      <c r="A56" s="26" t="s">
        <v>98</v>
      </c>
      <c r="E56" s="27">
        <v>456000</v>
      </c>
    </row>
    <row r="57" spans="1:11" ht="15" customHeight="1" x14ac:dyDescent="0.25">
      <c r="A57" s="28" t="s">
        <v>99</v>
      </c>
    </row>
    <row r="59" spans="1:11" ht="15" customHeight="1" x14ac:dyDescent="0.25">
      <c r="A59" s="29" t="s">
        <v>100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spans="1:11" ht="15" customHeight="1" x14ac:dyDescent="0.25">
      <c r="A60" s="2" t="s">
        <v>101</v>
      </c>
      <c r="B60" s="6">
        <f>B16</f>
        <v>9009665</v>
      </c>
    </row>
    <row r="61" spans="1:11" ht="15" customHeight="1" x14ac:dyDescent="0.25">
      <c r="A61" s="2" t="s">
        <v>24</v>
      </c>
      <c r="B61" s="6">
        <f>B17</f>
        <v>-1500039</v>
      </c>
    </row>
    <row r="62" spans="1:11" ht="15" customHeight="1" x14ac:dyDescent="0.25">
      <c r="A62" s="2" t="s">
        <v>25</v>
      </c>
      <c r="B62" s="6">
        <f>B18</f>
        <v>-456000</v>
      </c>
    </row>
    <row r="63" spans="1:11" ht="15" customHeight="1" x14ac:dyDescent="0.25">
      <c r="A63" s="15" t="s">
        <v>26</v>
      </c>
      <c r="B63" s="18">
        <f>B60+B61+B62</f>
        <v>7053626</v>
      </c>
    </row>
    <row r="64" spans="1:11" ht="15" customHeight="1" x14ac:dyDescent="0.25">
      <c r="A64" s="2" t="s">
        <v>102</v>
      </c>
      <c r="B64" s="6">
        <f>-B20</f>
        <v>-563192.61699999997</v>
      </c>
    </row>
    <row r="65" spans="1:11" ht="15" customHeight="1" x14ac:dyDescent="0.25">
      <c r="A65" s="15" t="s">
        <v>28</v>
      </c>
      <c r="B65" s="18">
        <f>B63+B64</f>
        <v>6490433.3830000004</v>
      </c>
    </row>
    <row r="66" spans="1:11" ht="15" customHeight="1" x14ac:dyDescent="0.25">
      <c r="A66" s="2" t="s">
        <v>103</v>
      </c>
      <c r="B66" s="6">
        <f>-B22</f>
        <v>-2951665.926</v>
      </c>
    </row>
    <row r="67" spans="1:11" ht="15" customHeight="1" x14ac:dyDescent="0.25">
      <c r="A67" s="15" t="s">
        <v>30</v>
      </c>
      <c r="B67" s="18">
        <f>B65+B66</f>
        <v>3538767.4570000004</v>
      </c>
    </row>
    <row r="68" spans="1:11" ht="15" customHeight="1" x14ac:dyDescent="0.25">
      <c r="A68" s="2" t="s">
        <v>27</v>
      </c>
      <c r="B68" s="6">
        <f>B20</f>
        <v>563192.61699999997</v>
      </c>
    </row>
    <row r="69" spans="1:11" ht="15" customHeight="1" x14ac:dyDescent="0.25">
      <c r="A69" s="15" t="s">
        <v>31</v>
      </c>
      <c r="B69" s="18">
        <f>B67+B68</f>
        <v>4101960.0740000005</v>
      </c>
    </row>
    <row r="71" spans="1:11" ht="15" customHeight="1" x14ac:dyDescent="0.25">
      <c r="A71" s="30" t="s">
        <v>104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 spans="1:11" ht="15" customHeight="1" x14ac:dyDescent="0.25">
      <c r="A72" s="20" t="s">
        <v>105</v>
      </c>
      <c r="B72" s="20" t="s">
        <v>73</v>
      </c>
      <c r="C72" s="20" t="s">
        <v>106</v>
      </c>
    </row>
    <row r="73" spans="1:11" ht="31.5" customHeight="1" x14ac:dyDescent="0.25">
      <c r="A73" s="3" t="s">
        <v>107</v>
      </c>
      <c r="B73" s="2" t="s">
        <v>108</v>
      </c>
      <c r="C73" s="40" t="s">
        <v>109</v>
      </c>
      <c r="D73" s="41"/>
      <c r="E73" s="41"/>
      <c r="F73" s="41"/>
      <c r="G73" s="41"/>
    </row>
    <row r="74" spans="1:11" ht="31.5" customHeight="1" x14ac:dyDescent="0.25">
      <c r="A74" s="3" t="s">
        <v>110</v>
      </c>
      <c r="B74" s="2" t="s">
        <v>111</v>
      </c>
      <c r="C74" s="40" t="s">
        <v>112</v>
      </c>
      <c r="D74" s="41"/>
      <c r="E74" s="41"/>
      <c r="F74" s="41"/>
      <c r="G74" s="41"/>
    </row>
    <row r="75" spans="1:11" ht="31.5" customHeight="1" x14ac:dyDescent="0.25">
      <c r="A75" s="3" t="s">
        <v>113</v>
      </c>
      <c r="B75" s="2" t="s">
        <v>114</v>
      </c>
      <c r="C75" s="40" t="s">
        <v>115</v>
      </c>
      <c r="D75" s="41"/>
      <c r="E75" s="41"/>
      <c r="F75" s="41"/>
      <c r="G75" s="41"/>
    </row>
    <row r="76" spans="1:11" ht="31.5" customHeight="1" x14ac:dyDescent="0.25">
      <c r="A76" s="3" t="s">
        <v>116</v>
      </c>
      <c r="B76" s="2" t="s">
        <v>117</v>
      </c>
      <c r="C76" s="40" t="s">
        <v>118</v>
      </c>
      <c r="D76" s="41"/>
      <c r="E76" s="41"/>
      <c r="F76" s="41"/>
      <c r="G76" s="41"/>
    </row>
    <row r="77" spans="1:11" ht="31.5" customHeight="1" x14ac:dyDescent="0.25">
      <c r="A77" s="3" t="s">
        <v>119</v>
      </c>
      <c r="B77" s="2" t="s">
        <v>117</v>
      </c>
      <c r="C77" s="40" t="s">
        <v>120</v>
      </c>
      <c r="D77" s="41"/>
      <c r="E77" s="41"/>
      <c r="F77" s="41"/>
      <c r="G77" s="41"/>
    </row>
    <row r="78" spans="1:11" ht="31.5" customHeight="1" x14ac:dyDescent="0.25">
      <c r="A78" s="3" t="s">
        <v>121</v>
      </c>
      <c r="B78" s="2" t="s">
        <v>122</v>
      </c>
      <c r="C78" s="40" t="s">
        <v>123</v>
      </c>
      <c r="D78" s="41"/>
      <c r="E78" s="41"/>
      <c r="F78" s="41"/>
      <c r="G78" s="41"/>
    </row>
    <row r="80" spans="1:11" ht="15" customHeight="1" x14ac:dyDescent="0.25">
      <c r="A80" s="31" t="s">
        <v>124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spans="1:11" ht="27.75" customHeight="1" x14ac:dyDescent="0.25">
      <c r="A81" s="3" t="s">
        <v>125</v>
      </c>
      <c r="B81" s="40" t="s">
        <v>126</v>
      </c>
      <c r="C81" s="41"/>
      <c r="D81" s="41"/>
      <c r="E81" s="41"/>
      <c r="F81" s="41"/>
      <c r="G81" s="41"/>
    </row>
    <row r="82" spans="1:11" ht="27.75" customHeight="1" x14ac:dyDescent="0.25">
      <c r="A82" s="3" t="s">
        <v>127</v>
      </c>
      <c r="B82" s="40" t="s">
        <v>128</v>
      </c>
      <c r="C82" s="41"/>
      <c r="D82" s="41"/>
      <c r="E82" s="41"/>
      <c r="F82" s="41"/>
      <c r="G82" s="41"/>
    </row>
    <row r="83" spans="1:11" ht="27.75" customHeight="1" x14ac:dyDescent="0.25">
      <c r="A83" s="3" t="s">
        <v>129</v>
      </c>
      <c r="B83" s="40" t="s">
        <v>130</v>
      </c>
      <c r="C83" s="41"/>
      <c r="D83" s="41"/>
      <c r="E83" s="41"/>
      <c r="F83" s="41"/>
      <c r="G83" s="41"/>
    </row>
    <row r="84" spans="1:11" ht="27.75" customHeight="1" x14ac:dyDescent="0.25">
      <c r="A84" s="3" t="s">
        <v>131</v>
      </c>
      <c r="B84" s="40" t="s">
        <v>132</v>
      </c>
      <c r="C84" s="41"/>
      <c r="D84" s="41"/>
      <c r="E84" s="41"/>
      <c r="F84" s="41"/>
      <c r="G84" s="41"/>
    </row>
    <row r="85" spans="1:11" ht="27.75" customHeight="1" x14ac:dyDescent="0.25">
      <c r="A85" s="3" t="s">
        <v>133</v>
      </c>
      <c r="B85" s="40" t="s">
        <v>134</v>
      </c>
      <c r="C85" s="41"/>
      <c r="D85" s="41"/>
      <c r="E85" s="41"/>
      <c r="F85" s="41"/>
      <c r="G85" s="41"/>
    </row>
    <row r="86" spans="1:11" ht="27.75" customHeight="1" x14ac:dyDescent="0.25">
      <c r="A86" s="3" t="s">
        <v>135</v>
      </c>
      <c r="B86" s="40" t="s">
        <v>136</v>
      </c>
      <c r="C86" s="41"/>
      <c r="D86" s="41"/>
      <c r="E86" s="41"/>
      <c r="F86" s="41"/>
      <c r="G86" s="41"/>
    </row>
    <row r="87" spans="1:11" ht="27.75" customHeight="1" x14ac:dyDescent="0.25">
      <c r="A87" s="3" t="s">
        <v>137</v>
      </c>
      <c r="B87" s="40" t="s">
        <v>138</v>
      </c>
      <c r="C87" s="41"/>
      <c r="D87" s="41"/>
      <c r="E87" s="41"/>
      <c r="F87" s="41"/>
      <c r="G87" s="41"/>
    </row>
    <row r="88" spans="1:11" ht="27.75" customHeight="1" x14ac:dyDescent="0.25">
      <c r="A88" s="3" t="s">
        <v>139</v>
      </c>
      <c r="B88" s="40" t="s">
        <v>140</v>
      </c>
      <c r="C88" s="41"/>
      <c r="D88" s="41"/>
      <c r="E88" s="41"/>
      <c r="F88" s="41"/>
      <c r="G88" s="41"/>
    </row>
    <row r="89" spans="1:11" ht="27.75" customHeight="1" x14ac:dyDescent="0.25">
      <c r="A89" s="3" t="s">
        <v>141</v>
      </c>
      <c r="B89" s="40" t="s">
        <v>142</v>
      </c>
      <c r="C89" s="41"/>
      <c r="D89" s="41"/>
      <c r="E89" s="41"/>
      <c r="F89" s="41"/>
      <c r="G89" s="41"/>
    </row>
    <row r="90" spans="1:11" ht="27.75" customHeight="1" x14ac:dyDescent="0.25">
      <c r="A90" s="3" t="s">
        <v>143</v>
      </c>
      <c r="B90" s="40" t="s">
        <v>144</v>
      </c>
      <c r="C90" s="41"/>
      <c r="D90" s="41"/>
      <c r="E90" s="41"/>
      <c r="F90" s="41"/>
      <c r="G90" s="41"/>
    </row>
    <row r="91" spans="1:11" ht="25.5" customHeight="1" x14ac:dyDescent="0.25">
      <c r="A91" s="38" t="s">
        <v>145</v>
      </c>
      <c r="B91" s="39" t="s">
        <v>146</v>
      </c>
    </row>
    <row r="93" spans="1:11" ht="15" customHeight="1" x14ac:dyDescent="0.25">
      <c r="A93" s="32" t="s">
        <v>147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</row>
    <row r="94" spans="1:11" ht="15" customHeight="1" x14ac:dyDescent="0.25">
      <c r="A94" s="2" t="s">
        <v>148</v>
      </c>
      <c r="B94" s="33">
        <v>0.1</v>
      </c>
    </row>
    <row r="95" spans="1:11" ht="15" customHeight="1" x14ac:dyDescent="0.25">
      <c r="A95" s="2" t="s">
        <v>149</v>
      </c>
      <c r="B95" s="6">
        <v>150000</v>
      </c>
    </row>
    <row r="96" spans="1:11" ht="15" customHeight="1" x14ac:dyDescent="0.25">
      <c r="A96" s="2" t="s">
        <v>150</v>
      </c>
      <c r="B96" s="2" t="s">
        <v>151</v>
      </c>
    </row>
    <row r="97" spans="1:86" ht="15" customHeight="1" x14ac:dyDescent="0.25">
      <c r="A97" s="3" t="s">
        <v>152</v>
      </c>
      <c r="B97" s="33"/>
      <c r="C97" s="34"/>
      <c r="D97" s="34"/>
      <c r="E97" s="34"/>
      <c r="F97" s="34"/>
      <c r="G97" s="34"/>
      <c r="H97" s="34"/>
      <c r="I97" s="34"/>
      <c r="J97" s="34"/>
      <c r="K97" s="34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</row>
    <row r="98" spans="1:86" ht="15" customHeight="1" x14ac:dyDescent="0.25">
      <c r="A98" s="2"/>
      <c r="B98" s="2"/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3">
        <v>10</v>
      </c>
      <c r="M98" s="3">
        <v>11</v>
      </c>
      <c r="N98" s="3">
        <v>12</v>
      </c>
      <c r="O98" s="3">
        <v>13</v>
      </c>
      <c r="P98" s="3">
        <v>14</v>
      </c>
      <c r="Q98" s="3">
        <v>15</v>
      </c>
      <c r="R98" s="3">
        <v>16</v>
      </c>
      <c r="S98" s="3">
        <v>17</v>
      </c>
      <c r="T98" s="3">
        <v>18</v>
      </c>
      <c r="U98" s="3">
        <v>19</v>
      </c>
      <c r="V98" s="3">
        <v>20</v>
      </c>
      <c r="W98" s="3">
        <v>21</v>
      </c>
      <c r="X98" s="3">
        <v>22</v>
      </c>
      <c r="Y98" s="3">
        <v>23</v>
      </c>
      <c r="Z98" s="3">
        <v>24</v>
      </c>
      <c r="AA98" s="3">
        <v>25</v>
      </c>
      <c r="AB98" s="3">
        <v>26</v>
      </c>
      <c r="AC98" s="3">
        <v>27</v>
      </c>
      <c r="AD98" s="3">
        <v>28</v>
      </c>
      <c r="AE98" s="3">
        <v>29</v>
      </c>
      <c r="AF98" s="3">
        <v>30</v>
      </c>
      <c r="AG98" s="3">
        <v>31</v>
      </c>
      <c r="AH98" s="3">
        <v>32</v>
      </c>
      <c r="AI98" s="3">
        <v>33</v>
      </c>
      <c r="AJ98" s="3">
        <v>34</v>
      </c>
      <c r="AK98" s="3">
        <v>35</v>
      </c>
      <c r="AL98" s="3">
        <v>36</v>
      </c>
      <c r="AM98" s="3">
        <v>37</v>
      </c>
      <c r="AN98" s="3">
        <v>38</v>
      </c>
      <c r="AO98" s="3">
        <v>39</v>
      </c>
      <c r="AP98" s="3">
        <v>40</v>
      </c>
      <c r="AQ98" s="3">
        <v>41</v>
      </c>
      <c r="AR98" s="3">
        <v>42</v>
      </c>
      <c r="AS98" s="3">
        <v>43</v>
      </c>
      <c r="AT98" s="3">
        <v>44</v>
      </c>
      <c r="AU98" s="3">
        <v>45</v>
      </c>
      <c r="AV98" s="3">
        <v>46</v>
      </c>
      <c r="AW98" s="3">
        <v>47</v>
      </c>
      <c r="AX98" s="3">
        <v>48</v>
      </c>
      <c r="AY98" s="3">
        <v>49</v>
      </c>
      <c r="AZ98" s="3">
        <v>50</v>
      </c>
      <c r="BA98" s="3">
        <v>51</v>
      </c>
      <c r="BB98" s="3">
        <v>52</v>
      </c>
      <c r="BC98" s="3">
        <v>53</v>
      </c>
      <c r="BD98" s="3">
        <v>54</v>
      </c>
      <c r="BE98" s="3">
        <v>55</v>
      </c>
      <c r="BF98" s="3">
        <v>56</v>
      </c>
      <c r="BG98" s="3">
        <v>57</v>
      </c>
      <c r="BH98" s="3">
        <v>58</v>
      </c>
      <c r="BI98" s="3">
        <v>59</v>
      </c>
      <c r="BJ98" s="3">
        <v>60</v>
      </c>
      <c r="BK98" s="3">
        <v>61</v>
      </c>
      <c r="BL98" s="3">
        <v>62</v>
      </c>
      <c r="BM98" s="3">
        <v>63</v>
      </c>
      <c r="BN98" s="3">
        <v>64</v>
      </c>
      <c r="BO98" s="3">
        <v>65</v>
      </c>
      <c r="BP98" s="3">
        <v>66</v>
      </c>
      <c r="BQ98" s="3">
        <v>67</v>
      </c>
      <c r="BR98" s="3">
        <v>68</v>
      </c>
      <c r="BS98" s="3">
        <v>69</v>
      </c>
      <c r="BT98" s="3">
        <v>70</v>
      </c>
      <c r="BU98" s="3">
        <v>71</v>
      </c>
      <c r="BV98" s="3">
        <v>72</v>
      </c>
      <c r="BW98" s="3">
        <v>73</v>
      </c>
      <c r="BX98" s="3">
        <v>74</v>
      </c>
      <c r="BY98" s="3">
        <v>75</v>
      </c>
      <c r="BZ98" s="3">
        <v>76</v>
      </c>
      <c r="CA98" s="3">
        <v>77</v>
      </c>
      <c r="CB98" s="3">
        <v>78</v>
      </c>
      <c r="CC98" s="3">
        <v>79</v>
      </c>
      <c r="CD98" s="3">
        <v>80</v>
      </c>
      <c r="CE98" s="3">
        <v>81</v>
      </c>
      <c r="CF98" s="3">
        <v>82</v>
      </c>
      <c r="CG98" s="3">
        <v>83</v>
      </c>
      <c r="CH98" s="36">
        <v>84</v>
      </c>
    </row>
    <row r="99" spans="1:86" ht="15" customHeight="1" x14ac:dyDescent="0.25">
      <c r="A99" s="2" t="s">
        <v>13</v>
      </c>
      <c r="B99" s="7">
        <f t="shared" ref="B99:B105" si="9">SUM(C99:CH99)</f>
        <v>9009664.9999999981</v>
      </c>
      <c r="C99" s="6"/>
      <c r="D99" s="6"/>
      <c r="E99" s="6"/>
      <c r="F99" s="6"/>
      <c r="G99" s="6"/>
      <c r="H99" s="6"/>
      <c r="I99" s="6"/>
      <c r="J99" s="6"/>
      <c r="K99" s="6"/>
      <c r="L99" s="6">
        <v>45050.36</v>
      </c>
      <c r="M99" s="6">
        <v>45050.36</v>
      </c>
      <c r="N99" s="6">
        <v>45050.36</v>
      </c>
      <c r="O99" s="6">
        <v>45050.36</v>
      </c>
      <c r="P99" s="6">
        <v>45050.36</v>
      </c>
      <c r="Q99" s="6">
        <v>45050.36</v>
      </c>
      <c r="R99" s="6">
        <v>70944.52</v>
      </c>
      <c r="S99" s="6">
        <v>96838.68</v>
      </c>
      <c r="T99" s="6">
        <v>122732.84</v>
      </c>
      <c r="U99" s="6">
        <v>148626.99</v>
      </c>
      <c r="V99" s="6">
        <v>174521.16</v>
      </c>
      <c r="W99" s="6">
        <v>200415.31</v>
      </c>
      <c r="X99" s="6">
        <v>226309.46</v>
      </c>
      <c r="Y99" s="6">
        <v>252203.62</v>
      </c>
      <c r="Z99" s="6">
        <v>278097.78999999998</v>
      </c>
      <c r="AA99" s="6">
        <v>303991.94</v>
      </c>
      <c r="AB99" s="6">
        <v>329886.11</v>
      </c>
      <c r="AC99" s="6">
        <v>400830.61</v>
      </c>
      <c r="AD99" s="6">
        <v>311512.01</v>
      </c>
      <c r="AE99" s="6">
        <v>312294.13</v>
      </c>
      <c r="AF99" s="6">
        <v>313076.23</v>
      </c>
      <c r="AG99" s="6">
        <v>313858.34000000003</v>
      </c>
      <c r="AH99" s="6">
        <v>314640.44</v>
      </c>
      <c r="AI99" s="6">
        <v>341316.71</v>
      </c>
      <c r="AJ99" s="6">
        <v>316204.67</v>
      </c>
      <c r="AK99" s="6">
        <v>291092.62</v>
      </c>
      <c r="AL99" s="6">
        <v>265980.57</v>
      </c>
      <c r="AM99" s="6">
        <v>240868.51</v>
      </c>
      <c r="AN99" s="6">
        <v>215756.47</v>
      </c>
      <c r="AO99" s="6">
        <v>190644.42</v>
      </c>
      <c r="AP99" s="6">
        <v>165532.35999999999</v>
      </c>
      <c r="AQ99" s="6">
        <v>140420.32</v>
      </c>
      <c r="AR99" s="6">
        <v>115308.27</v>
      </c>
      <c r="AS99" s="6">
        <v>196095.1</v>
      </c>
      <c r="AT99" s="6">
        <v>170200.95</v>
      </c>
      <c r="AU99" s="6">
        <v>119194.75</v>
      </c>
      <c r="AV99" s="6">
        <v>118412.64</v>
      </c>
      <c r="AW99" s="6">
        <v>117630.52</v>
      </c>
      <c r="AX99" s="6">
        <v>116848.42</v>
      </c>
      <c r="AY99" s="6">
        <v>116066.31</v>
      </c>
      <c r="AZ99" s="6">
        <v>115284.2</v>
      </c>
      <c r="BA99" s="6">
        <v>114502.09</v>
      </c>
      <c r="BB99" s="6">
        <v>113719.98</v>
      </c>
      <c r="BC99" s="6">
        <v>112937.87</v>
      </c>
      <c r="BD99" s="6">
        <v>112155.76</v>
      </c>
      <c r="BE99" s="6">
        <v>111373.65</v>
      </c>
      <c r="BF99" s="6">
        <v>110591.54</v>
      </c>
      <c r="BG99" s="6">
        <v>109809.44</v>
      </c>
      <c r="BH99" s="6">
        <v>109027.32</v>
      </c>
      <c r="BI99" s="6">
        <v>108245.21</v>
      </c>
      <c r="BJ99" s="6">
        <v>213361.99</v>
      </c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35"/>
    </row>
    <row r="100" spans="1:86" ht="15" customHeight="1" x14ac:dyDescent="0.25">
      <c r="A100" s="2" t="s">
        <v>24</v>
      </c>
      <c r="B100" s="7">
        <f t="shared" si="9"/>
        <v>-1500039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-10417</v>
      </c>
      <c r="N100" s="6">
        <v>-10417</v>
      </c>
      <c r="O100" s="6">
        <v>-10417</v>
      </c>
      <c r="P100" s="6">
        <v>-17917</v>
      </c>
      <c r="Q100" s="6">
        <v>-17917</v>
      </c>
      <c r="R100" s="6">
        <v>-17917</v>
      </c>
      <c r="S100" s="6">
        <v>-17917</v>
      </c>
      <c r="T100" s="6">
        <v>-17917</v>
      </c>
      <c r="U100" s="6">
        <v>-27084</v>
      </c>
      <c r="V100" s="6">
        <v>-27084</v>
      </c>
      <c r="W100" s="6">
        <v>-27084</v>
      </c>
      <c r="X100" s="6">
        <v>-27084</v>
      </c>
      <c r="Y100" s="6">
        <v>-27084</v>
      </c>
      <c r="Z100" s="6">
        <v>-27084</v>
      </c>
      <c r="AA100" s="6">
        <v>-27084</v>
      </c>
      <c r="AB100" s="6">
        <v>-27084</v>
      </c>
      <c r="AC100" s="6">
        <v>-37501</v>
      </c>
      <c r="AD100" s="6">
        <v>-37501</v>
      </c>
      <c r="AE100" s="6">
        <v>-37501</v>
      </c>
      <c r="AF100" s="6">
        <v>-37501</v>
      </c>
      <c r="AG100" s="6">
        <v>-37501</v>
      </c>
      <c r="AH100" s="6">
        <v>-37501</v>
      </c>
      <c r="AI100" s="6">
        <v>-37501</v>
      </c>
      <c r="AJ100" s="6">
        <v>-37501</v>
      </c>
      <c r="AK100" s="6">
        <v>-37501</v>
      </c>
      <c r="AL100" s="6">
        <v>-37501</v>
      </c>
      <c r="AM100" s="6">
        <v>-37501</v>
      </c>
      <c r="AN100" s="6">
        <v>-37501</v>
      </c>
      <c r="AO100" s="6">
        <v>-37501</v>
      </c>
      <c r="AP100" s="6">
        <v>-37501</v>
      </c>
      <c r="AQ100" s="6">
        <v>-37501</v>
      </c>
      <c r="AR100" s="6">
        <v>-37501</v>
      </c>
      <c r="AS100" s="6">
        <v>-37501</v>
      </c>
      <c r="AT100" s="6">
        <v>-37501</v>
      </c>
      <c r="AU100" s="6">
        <v>-37501</v>
      </c>
      <c r="AV100" s="6">
        <v>-37501</v>
      </c>
      <c r="AW100" s="6">
        <v>-37501</v>
      </c>
      <c r="AX100" s="6">
        <v>-37501</v>
      </c>
      <c r="AY100" s="6">
        <v>-37501</v>
      </c>
      <c r="AZ100" s="6">
        <v>-37501</v>
      </c>
      <c r="BA100" s="6">
        <v>-37501</v>
      </c>
      <c r="BB100" s="6">
        <v>-37501</v>
      </c>
      <c r="BC100" s="6">
        <v>-37501</v>
      </c>
      <c r="BD100" s="6">
        <v>-37501</v>
      </c>
      <c r="BE100" s="6">
        <v>-37501</v>
      </c>
      <c r="BF100" s="6">
        <v>-37501</v>
      </c>
      <c r="BG100" s="6">
        <v>-37501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35"/>
    </row>
    <row r="101" spans="1:86" ht="15" customHeight="1" x14ac:dyDescent="0.25">
      <c r="A101" s="2" t="s">
        <v>25</v>
      </c>
      <c r="B101" s="7">
        <f t="shared" si="9"/>
        <v>-456000</v>
      </c>
      <c r="C101" s="6"/>
      <c r="D101" s="6"/>
      <c r="E101" s="6"/>
      <c r="F101" s="6"/>
      <c r="G101" s="6"/>
      <c r="H101" s="6"/>
      <c r="I101" s="6"/>
      <c r="J101" s="6"/>
      <c r="K101" s="6"/>
      <c r="L101" s="6">
        <v>-9500</v>
      </c>
      <c r="M101" s="6">
        <v>-9500</v>
      </c>
      <c r="N101" s="6">
        <v>-9500</v>
      </c>
      <c r="O101" s="6">
        <v>-9500</v>
      </c>
      <c r="P101" s="6">
        <v>-9500</v>
      </c>
      <c r="Q101" s="6">
        <v>-9500</v>
      </c>
      <c r="R101" s="6">
        <v>-9500</v>
      </c>
      <c r="S101" s="6">
        <v>-9500</v>
      </c>
      <c r="T101" s="6">
        <v>-9500</v>
      </c>
      <c r="U101" s="6">
        <v>-9500</v>
      </c>
      <c r="V101" s="6">
        <v>-9500</v>
      </c>
      <c r="W101" s="6">
        <v>-9500</v>
      </c>
      <c r="X101" s="6">
        <v>-9500</v>
      </c>
      <c r="Y101" s="6">
        <v>-9500</v>
      </c>
      <c r="Z101" s="6">
        <v>-9500</v>
      </c>
      <c r="AA101" s="6">
        <v>-9500</v>
      </c>
      <c r="AB101" s="6">
        <v>-9500</v>
      </c>
      <c r="AC101" s="6">
        <v>-9500</v>
      </c>
      <c r="AD101" s="6">
        <v>-9500</v>
      </c>
      <c r="AE101" s="6">
        <v>-9500</v>
      </c>
      <c r="AF101" s="6">
        <v>-9500</v>
      </c>
      <c r="AG101" s="6">
        <v>-9500</v>
      </c>
      <c r="AH101" s="6">
        <v>-9500</v>
      </c>
      <c r="AI101" s="6">
        <v>-9500</v>
      </c>
      <c r="AJ101" s="6">
        <v>-9500</v>
      </c>
      <c r="AK101" s="6">
        <v>-9500</v>
      </c>
      <c r="AL101" s="6">
        <v>-9500</v>
      </c>
      <c r="AM101" s="6">
        <v>-9500</v>
      </c>
      <c r="AN101" s="6">
        <v>-9500</v>
      </c>
      <c r="AO101" s="6">
        <v>-9500</v>
      </c>
      <c r="AP101" s="6">
        <v>-9500</v>
      </c>
      <c r="AQ101" s="6">
        <v>-9500</v>
      </c>
      <c r="AR101" s="6">
        <v>-9500</v>
      </c>
      <c r="AS101" s="6">
        <v>-9500</v>
      </c>
      <c r="AT101" s="6">
        <v>-9500</v>
      </c>
      <c r="AU101" s="6">
        <v>-9500</v>
      </c>
      <c r="AV101" s="6">
        <v>-9500</v>
      </c>
      <c r="AW101" s="6">
        <v>-9500</v>
      </c>
      <c r="AX101" s="6">
        <v>-9500</v>
      </c>
      <c r="AY101" s="6">
        <v>-9500</v>
      </c>
      <c r="AZ101" s="6">
        <v>-9500</v>
      </c>
      <c r="BA101" s="6">
        <v>-9500</v>
      </c>
      <c r="BB101" s="6">
        <v>-9500</v>
      </c>
      <c r="BC101" s="6">
        <v>-9500</v>
      </c>
      <c r="BD101" s="6">
        <v>-9500</v>
      </c>
      <c r="BE101" s="6">
        <v>-9500</v>
      </c>
      <c r="BF101" s="6">
        <v>-9500</v>
      </c>
      <c r="BG101" s="6">
        <v>-9500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35"/>
    </row>
    <row r="102" spans="1:86" ht="15" customHeight="1" x14ac:dyDescent="0.25">
      <c r="A102" s="2" t="s">
        <v>26</v>
      </c>
      <c r="B102" s="7">
        <f t="shared" si="9"/>
        <v>7053625.9999999991</v>
      </c>
      <c r="C102" s="6">
        <f t="shared" ref="C102:AH102" si="10">C99+C100+C101</f>
        <v>0</v>
      </c>
      <c r="D102" s="6">
        <f t="shared" si="10"/>
        <v>0</v>
      </c>
      <c r="E102" s="6">
        <f t="shared" si="10"/>
        <v>0</v>
      </c>
      <c r="F102" s="6">
        <f t="shared" si="10"/>
        <v>0</v>
      </c>
      <c r="G102" s="6">
        <f t="shared" si="10"/>
        <v>0</v>
      </c>
      <c r="H102" s="6">
        <f t="shared" si="10"/>
        <v>0</v>
      </c>
      <c r="I102" s="6">
        <f t="shared" si="10"/>
        <v>0</v>
      </c>
      <c r="J102" s="6">
        <f t="shared" si="10"/>
        <v>0</v>
      </c>
      <c r="K102" s="6">
        <f t="shared" si="10"/>
        <v>0</v>
      </c>
      <c r="L102" s="6">
        <f t="shared" si="10"/>
        <v>35550.36</v>
      </c>
      <c r="M102" s="6">
        <f t="shared" si="10"/>
        <v>25133.360000000001</v>
      </c>
      <c r="N102" s="6">
        <f t="shared" si="10"/>
        <v>25133.360000000001</v>
      </c>
      <c r="O102" s="6">
        <f t="shared" si="10"/>
        <v>25133.360000000001</v>
      </c>
      <c r="P102" s="6">
        <f t="shared" si="10"/>
        <v>17633.36</v>
      </c>
      <c r="Q102" s="6">
        <f t="shared" si="10"/>
        <v>17633.36</v>
      </c>
      <c r="R102" s="6">
        <f t="shared" si="10"/>
        <v>43527.520000000004</v>
      </c>
      <c r="S102" s="6">
        <f t="shared" si="10"/>
        <v>69421.679999999993</v>
      </c>
      <c r="T102" s="6">
        <f t="shared" si="10"/>
        <v>95315.839999999997</v>
      </c>
      <c r="U102" s="6">
        <f t="shared" si="10"/>
        <v>112042.98999999999</v>
      </c>
      <c r="V102" s="6">
        <f t="shared" si="10"/>
        <v>137937.16</v>
      </c>
      <c r="W102" s="6">
        <f t="shared" si="10"/>
        <v>163831.31</v>
      </c>
      <c r="X102" s="6">
        <f t="shared" si="10"/>
        <v>189725.46</v>
      </c>
      <c r="Y102" s="6">
        <f t="shared" si="10"/>
        <v>215619.62</v>
      </c>
      <c r="Z102" s="6">
        <f t="shared" si="10"/>
        <v>241513.78999999998</v>
      </c>
      <c r="AA102" s="6">
        <f t="shared" si="10"/>
        <v>267407.94</v>
      </c>
      <c r="AB102" s="6">
        <f t="shared" si="10"/>
        <v>293302.11</v>
      </c>
      <c r="AC102" s="6">
        <f t="shared" si="10"/>
        <v>353829.61</v>
      </c>
      <c r="AD102" s="6">
        <f t="shared" si="10"/>
        <v>264511.01</v>
      </c>
      <c r="AE102" s="6">
        <f t="shared" si="10"/>
        <v>265293.13</v>
      </c>
      <c r="AF102" s="6">
        <f t="shared" si="10"/>
        <v>266075.23</v>
      </c>
      <c r="AG102" s="6">
        <f t="shared" si="10"/>
        <v>266857.34000000003</v>
      </c>
      <c r="AH102" s="6">
        <f t="shared" si="10"/>
        <v>267639.44</v>
      </c>
      <c r="AI102" s="6">
        <f t="shared" ref="AI102:BN102" si="11">AI99+AI100+AI101</f>
        <v>294315.71000000002</v>
      </c>
      <c r="AJ102" s="6">
        <f t="shared" si="11"/>
        <v>269203.67</v>
      </c>
      <c r="AK102" s="6">
        <f t="shared" si="11"/>
        <v>244091.62</v>
      </c>
      <c r="AL102" s="6">
        <f t="shared" si="11"/>
        <v>218979.57</v>
      </c>
      <c r="AM102" s="6">
        <f t="shared" si="11"/>
        <v>193867.51</v>
      </c>
      <c r="AN102" s="6">
        <f t="shared" si="11"/>
        <v>168755.47</v>
      </c>
      <c r="AO102" s="6">
        <f t="shared" si="11"/>
        <v>143643.42000000001</v>
      </c>
      <c r="AP102" s="6">
        <f t="shared" si="11"/>
        <v>118531.35999999999</v>
      </c>
      <c r="AQ102" s="6">
        <f t="shared" si="11"/>
        <v>93419.32</v>
      </c>
      <c r="AR102" s="6">
        <f t="shared" si="11"/>
        <v>68307.27</v>
      </c>
      <c r="AS102" s="6">
        <f t="shared" si="11"/>
        <v>149094.1</v>
      </c>
      <c r="AT102" s="6">
        <f t="shared" si="11"/>
        <v>123199.95000000001</v>
      </c>
      <c r="AU102" s="6">
        <f t="shared" si="11"/>
        <v>72193.75</v>
      </c>
      <c r="AV102" s="6">
        <f t="shared" si="11"/>
        <v>71411.64</v>
      </c>
      <c r="AW102" s="6">
        <f t="shared" si="11"/>
        <v>70629.52</v>
      </c>
      <c r="AX102" s="6">
        <f t="shared" si="11"/>
        <v>69847.42</v>
      </c>
      <c r="AY102" s="6">
        <f t="shared" si="11"/>
        <v>69065.31</v>
      </c>
      <c r="AZ102" s="6">
        <f t="shared" si="11"/>
        <v>68283.199999999997</v>
      </c>
      <c r="BA102" s="6">
        <f t="shared" si="11"/>
        <v>67501.09</v>
      </c>
      <c r="BB102" s="6">
        <f t="shared" si="11"/>
        <v>66718.98</v>
      </c>
      <c r="BC102" s="6">
        <f t="shared" si="11"/>
        <v>65936.87</v>
      </c>
      <c r="BD102" s="6">
        <f t="shared" si="11"/>
        <v>65154.759999999995</v>
      </c>
      <c r="BE102" s="6">
        <f t="shared" si="11"/>
        <v>64372.649999999994</v>
      </c>
      <c r="BF102" s="6">
        <f t="shared" si="11"/>
        <v>63590.539999999994</v>
      </c>
      <c r="BG102" s="6">
        <f t="shared" si="11"/>
        <v>62808.44</v>
      </c>
      <c r="BH102" s="6">
        <f t="shared" si="11"/>
        <v>109027.32</v>
      </c>
      <c r="BI102" s="6">
        <f t="shared" si="11"/>
        <v>108245.21</v>
      </c>
      <c r="BJ102" s="6">
        <f t="shared" si="11"/>
        <v>213361.99</v>
      </c>
      <c r="BK102" s="6">
        <f t="shared" si="11"/>
        <v>0</v>
      </c>
      <c r="BL102" s="6">
        <f t="shared" si="11"/>
        <v>0</v>
      </c>
      <c r="BM102" s="6">
        <f t="shared" si="11"/>
        <v>0</v>
      </c>
      <c r="BN102" s="6">
        <f t="shared" si="11"/>
        <v>0</v>
      </c>
      <c r="BO102" s="6">
        <f t="shared" ref="BO102:CT102" si="12">BO99+BO100+BO101</f>
        <v>0</v>
      </c>
      <c r="BP102" s="6">
        <f t="shared" si="12"/>
        <v>0</v>
      </c>
      <c r="BQ102" s="6">
        <f t="shared" si="12"/>
        <v>0</v>
      </c>
      <c r="BR102" s="6">
        <f t="shared" si="12"/>
        <v>0</v>
      </c>
      <c r="BS102" s="6">
        <f t="shared" si="12"/>
        <v>0</v>
      </c>
      <c r="BT102" s="6">
        <f t="shared" si="12"/>
        <v>0</v>
      </c>
      <c r="BU102" s="6">
        <f t="shared" si="12"/>
        <v>0</v>
      </c>
      <c r="BV102" s="6">
        <f t="shared" si="12"/>
        <v>0</v>
      </c>
      <c r="BW102" s="6">
        <f t="shared" si="12"/>
        <v>0</v>
      </c>
      <c r="BX102" s="6">
        <f t="shared" si="12"/>
        <v>0</v>
      </c>
      <c r="BY102" s="6">
        <f t="shared" si="12"/>
        <v>0</v>
      </c>
      <c r="BZ102" s="6">
        <f t="shared" si="12"/>
        <v>0</v>
      </c>
      <c r="CA102" s="6">
        <f t="shared" si="12"/>
        <v>0</v>
      </c>
      <c r="CB102" s="6">
        <f t="shared" si="12"/>
        <v>0</v>
      </c>
      <c r="CC102" s="6">
        <f t="shared" si="12"/>
        <v>0</v>
      </c>
      <c r="CD102" s="6">
        <f t="shared" si="12"/>
        <v>0</v>
      </c>
      <c r="CE102" s="6">
        <f t="shared" si="12"/>
        <v>0</v>
      </c>
      <c r="CF102" s="6">
        <f t="shared" si="12"/>
        <v>0</v>
      </c>
      <c r="CG102" s="6">
        <f t="shared" si="12"/>
        <v>0</v>
      </c>
      <c r="CH102" s="37">
        <f t="shared" si="12"/>
        <v>0</v>
      </c>
    </row>
    <row r="103" spans="1:86" ht="15" customHeight="1" x14ac:dyDescent="0.25">
      <c r="A103" s="2" t="s">
        <v>27</v>
      </c>
      <c r="B103" s="7">
        <f t="shared" si="9"/>
        <v>563192.61699999985</v>
      </c>
      <c r="C103" s="6">
        <f t="shared" ref="C103:K103" si="13">C99*$B$94</f>
        <v>0</v>
      </c>
      <c r="D103" s="6">
        <f t="shared" si="13"/>
        <v>0</v>
      </c>
      <c r="E103" s="6">
        <f t="shared" si="13"/>
        <v>0</v>
      </c>
      <c r="F103" s="6">
        <f t="shared" si="13"/>
        <v>0</v>
      </c>
      <c r="G103" s="6">
        <f t="shared" si="13"/>
        <v>0</v>
      </c>
      <c r="H103" s="6">
        <f t="shared" si="13"/>
        <v>0</v>
      </c>
      <c r="I103" s="6">
        <f t="shared" si="13"/>
        <v>0</v>
      </c>
      <c r="J103" s="6">
        <f t="shared" si="13"/>
        <v>0</v>
      </c>
      <c r="K103" s="6">
        <f t="shared" si="13"/>
        <v>0</v>
      </c>
      <c r="L103" s="6">
        <f t="shared" ref="L103:AQ103" si="14">MIN(L99*$B$94,12500)</f>
        <v>4505.0360000000001</v>
      </c>
      <c r="M103" s="6">
        <f t="shared" si="14"/>
        <v>4505.0360000000001</v>
      </c>
      <c r="N103" s="6">
        <f t="shared" si="14"/>
        <v>4505.0360000000001</v>
      </c>
      <c r="O103" s="6">
        <f t="shared" si="14"/>
        <v>4505.0360000000001</v>
      </c>
      <c r="P103" s="6">
        <f t="shared" si="14"/>
        <v>4505.0360000000001</v>
      </c>
      <c r="Q103" s="6">
        <f t="shared" si="14"/>
        <v>4505.0360000000001</v>
      </c>
      <c r="R103" s="6">
        <f t="shared" si="14"/>
        <v>7094.4520000000011</v>
      </c>
      <c r="S103" s="6">
        <f t="shared" si="14"/>
        <v>9683.8680000000004</v>
      </c>
      <c r="T103" s="6">
        <f t="shared" si="14"/>
        <v>12273.284</v>
      </c>
      <c r="U103" s="6">
        <f t="shared" si="14"/>
        <v>12500</v>
      </c>
      <c r="V103" s="6">
        <f t="shared" si="14"/>
        <v>12500</v>
      </c>
      <c r="W103" s="6">
        <f t="shared" si="14"/>
        <v>12500</v>
      </c>
      <c r="X103" s="6">
        <f t="shared" si="14"/>
        <v>12500</v>
      </c>
      <c r="Y103" s="6">
        <f t="shared" si="14"/>
        <v>12500</v>
      </c>
      <c r="Z103" s="6">
        <f t="shared" si="14"/>
        <v>12500</v>
      </c>
      <c r="AA103" s="6">
        <f t="shared" si="14"/>
        <v>12500</v>
      </c>
      <c r="AB103" s="6">
        <f t="shared" si="14"/>
        <v>12500</v>
      </c>
      <c r="AC103" s="6">
        <f t="shared" si="14"/>
        <v>12500</v>
      </c>
      <c r="AD103" s="6">
        <f t="shared" si="14"/>
        <v>12500</v>
      </c>
      <c r="AE103" s="6">
        <f t="shared" si="14"/>
        <v>12500</v>
      </c>
      <c r="AF103" s="6">
        <f t="shared" si="14"/>
        <v>12500</v>
      </c>
      <c r="AG103" s="6">
        <f t="shared" si="14"/>
        <v>12500</v>
      </c>
      <c r="AH103" s="6">
        <f t="shared" si="14"/>
        <v>12500</v>
      </c>
      <c r="AI103" s="6">
        <f t="shared" si="14"/>
        <v>12500</v>
      </c>
      <c r="AJ103" s="6">
        <f t="shared" si="14"/>
        <v>12500</v>
      </c>
      <c r="AK103" s="6">
        <f t="shared" si="14"/>
        <v>12500</v>
      </c>
      <c r="AL103" s="6">
        <f t="shared" si="14"/>
        <v>12500</v>
      </c>
      <c r="AM103" s="6">
        <f t="shared" si="14"/>
        <v>12500</v>
      </c>
      <c r="AN103" s="6">
        <f t="shared" si="14"/>
        <v>12500</v>
      </c>
      <c r="AO103" s="6">
        <f t="shared" si="14"/>
        <v>12500</v>
      </c>
      <c r="AP103" s="6">
        <f t="shared" si="14"/>
        <v>12500</v>
      </c>
      <c r="AQ103" s="6">
        <f t="shared" si="14"/>
        <v>12500</v>
      </c>
      <c r="AR103" s="6">
        <f t="shared" ref="AR103:BW103" si="15">MIN(AR99*$B$94,12500)</f>
        <v>11530.827000000001</v>
      </c>
      <c r="AS103" s="6">
        <f t="shared" si="15"/>
        <v>12500</v>
      </c>
      <c r="AT103" s="6">
        <f t="shared" si="15"/>
        <v>12500</v>
      </c>
      <c r="AU103" s="6">
        <f t="shared" si="15"/>
        <v>11919.475</v>
      </c>
      <c r="AV103" s="6">
        <f t="shared" si="15"/>
        <v>11841.264000000001</v>
      </c>
      <c r="AW103" s="6">
        <f t="shared" si="15"/>
        <v>11763.052000000001</v>
      </c>
      <c r="AX103" s="6">
        <f t="shared" si="15"/>
        <v>11684.842000000001</v>
      </c>
      <c r="AY103" s="6">
        <f t="shared" si="15"/>
        <v>11606.631000000001</v>
      </c>
      <c r="AZ103" s="6">
        <f t="shared" si="15"/>
        <v>11528.42</v>
      </c>
      <c r="BA103" s="6">
        <f t="shared" si="15"/>
        <v>11450.209000000001</v>
      </c>
      <c r="BB103" s="6">
        <f t="shared" si="15"/>
        <v>11371.998</v>
      </c>
      <c r="BC103" s="6">
        <f t="shared" si="15"/>
        <v>11293.787</v>
      </c>
      <c r="BD103" s="6">
        <f t="shared" si="15"/>
        <v>11215.576000000001</v>
      </c>
      <c r="BE103" s="6">
        <f t="shared" si="15"/>
        <v>11137.365</v>
      </c>
      <c r="BF103" s="6">
        <f t="shared" si="15"/>
        <v>11059.154</v>
      </c>
      <c r="BG103" s="6">
        <f t="shared" si="15"/>
        <v>10980.944000000001</v>
      </c>
      <c r="BH103" s="6">
        <f t="shared" si="15"/>
        <v>10902.732000000002</v>
      </c>
      <c r="BI103" s="6">
        <f t="shared" si="15"/>
        <v>10824.521000000001</v>
      </c>
      <c r="BJ103" s="6">
        <f t="shared" si="15"/>
        <v>12500</v>
      </c>
      <c r="BK103" s="6">
        <f t="shared" si="15"/>
        <v>0</v>
      </c>
      <c r="BL103" s="6">
        <f t="shared" si="15"/>
        <v>0</v>
      </c>
      <c r="BM103" s="6">
        <f t="shared" si="15"/>
        <v>0</v>
      </c>
      <c r="BN103" s="6">
        <f t="shared" si="15"/>
        <v>0</v>
      </c>
      <c r="BO103" s="6">
        <f t="shared" si="15"/>
        <v>0</v>
      </c>
      <c r="BP103" s="6">
        <f t="shared" si="15"/>
        <v>0</v>
      </c>
      <c r="BQ103" s="6">
        <f t="shared" si="15"/>
        <v>0</v>
      </c>
      <c r="BR103" s="6">
        <f t="shared" si="15"/>
        <v>0</v>
      </c>
      <c r="BS103" s="6">
        <f t="shared" si="15"/>
        <v>0</v>
      </c>
      <c r="BT103" s="6">
        <f t="shared" si="15"/>
        <v>0</v>
      </c>
      <c r="BU103" s="6">
        <f t="shared" si="15"/>
        <v>0</v>
      </c>
      <c r="BV103" s="6">
        <f t="shared" si="15"/>
        <v>0</v>
      </c>
      <c r="BW103" s="6">
        <f t="shared" si="15"/>
        <v>0</v>
      </c>
      <c r="BX103" s="6">
        <f t="shared" ref="BX103:CG103" si="16">MIN(BX99*$B$94,12500)</f>
        <v>0</v>
      </c>
      <c r="BY103" s="6">
        <f t="shared" si="16"/>
        <v>0</v>
      </c>
      <c r="BZ103" s="6">
        <f t="shared" si="16"/>
        <v>0</v>
      </c>
      <c r="CA103" s="6">
        <f t="shared" si="16"/>
        <v>0</v>
      </c>
      <c r="CB103" s="6">
        <f t="shared" si="16"/>
        <v>0</v>
      </c>
      <c r="CC103" s="6">
        <f t="shared" si="16"/>
        <v>0</v>
      </c>
      <c r="CD103" s="6">
        <f t="shared" si="16"/>
        <v>0</v>
      </c>
      <c r="CE103" s="6">
        <f t="shared" si="16"/>
        <v>0</v>
      </c>
      <c r="CF103" s="6">
        <f t="shared" si="16"/>
        <v>0</v>
      </c>
      <c r="CG103" s="6">
        <f t="shared" si="16"/>
        <v>0</v>
      </c>
      <c r="CH103" s="37">
        <f>CH99*$B$94</f>
        <v>0</v>
      </c>
    </row>
    <row r="104" spans="1:86" ht="15" customHeight="1" x14ac:dyDescent="0.25">
      <c r="A104" s="2" t="s">
        <v>28</v>
      </c>
      <c r="B104" s="7">
        <f t="shared" si="9"/>
        <v>6490433.3830000013</v>
      </c>
      <c r="C104" s="6">
        <f t="shared" ref="C104:AH104" si="17">C102-C103</f>
        <v>0</v>
      </c>
      <c r="D104" s="6">
        <f t="shared" si="17"/>
        <v>0</v>
      </c>
      <c r="E104" s="6">
        <f t="shared" si="17"/>
        <v>0</v>
      </c>
      <c r="F104" s="6">
        <f t="shared" si="17"/>
        <v>0</v>
      </c>
      <c r="G104" s="6">
        <f t="shared" si="17"/>
        <v>0</v>
      </c>
      <c r="H104" s="6">
        <f t="shared" si="17"/>
        <v>0</v>
      </c>
      <c r="I104" s="6">
        <f t="shared" si="17"/>
        <v>0</v>
      </c>
      <c r="J104" s="6">
        <f t="shared" si="17"/>
        <v>0</v>
      </c>
      <c r="K104" s="6">
        <f t="shared" si="17"/>
        <v>0</v>
      </c>
      <c r="L104" s="6">
        <f t="shared" si="17"/>
        <v>31045.324000000001</v>
      </c>
      <c r="M104" s="6">
        <f t="shared" si="17"/>
        <v>20628.324000000001</v>
      </c>
      <c r="N104" s="6">
        <f t="shared" si="17"/>
        <v>20628.324000000001</v>
      </c>
      <c r="O104" s="6">
        <f t="shared" si="17"/>
        <v>20628.324000000001</v>
      </c>
      <c r="P104" s="6">
        <f t="shared" si="17"/>
        <v>13128.324000000001</v>
      </c>
      <c r="Q104" s="6">
        <f t="shared" si="17"/>
        <v>13128.324000000001</v>
      </c>
      <c r="R104" s="6">
        <f t="shared" si="17"/>
        <v>36433.067999999999</v>
      </c>
      <c r="S104" s="6">
        <f t="shared" si="17"/>
        <v>59737.811999999991</v>
      </c>
      <c r="T104" s="6">
        <f t="shared" si="17"/>
        <v>83042.555999999997</v>
      </c>
      <c r="U104" s="6">
        <f t="shared" si="17"/>
        <v>99542.989999999991</v>
      </c>
      <c r="V104" s="6">
        <f t="shared" si="17"/>
        <v>125437.16</v>
      </c>
      <c r="W104" s="6">
        <f t="shared" si="17"/>
        <v>151331.31</v>
      </c>
      <c r="X104" s="6">
        <f t="shared" si="17"/>
        <v>177225.46</v>
      </c>
      <c r="Y104" s="6">
        <f t="shared" si="17"/>
        <v>203119.62</v>
      </c>
      <c r="Z104" s="6">
        <f t="shared" si="17"/>
        <v>229013.78999999998</v>
      </c>
      <c r="AA104" s="6">
        <f t="shared" si="17"/>
        <v>254907.94</v>
      </c>
      <c r="AB104" s="6">
        <f t="shared" si="17"/>
        <v>280802.11</v>
      </c>
      <c r="AC104" s="6">
        <f t="shared" si="17"/>
        <v>341329.61</v>
      </c>
      <c r="AD104" s="6">
        <f t="shared" si="17"/>
        <v>252011.01</v>
      </c>
      <c r="AE104" s="6">
        <f t="shared" si="17"/>
        <v>252793.13</v>
      </c>
      <c r="AF104" s="6">
        <f t="shared" si="17"/>
        <v>253575.22999999998</v>
      </c>
      <c r="AG104" s="6">
        <f t="shared" si="17"/>
        <v>254357.34000000003</v>
      </c>
      <c r="AH104" s="6">
        <f t="shared" si="17"/>
        <v>255139.44</v>
      </c>
      <c r="AI104" s="6">
        <f t="shared" ref="AI104:BN104" si="18">AI102-AI103</f>
        <v>281815.71000000002</v>
      </c>
      <c r="AJ104" s="6">
        <f t="shared" si="18"/>
        <v>256703.66999999998</v>
      </c>
      <c r="AK104" s="6">
        <f t="shared" si="18"/>
        <v>231591.62</v>
      </c>
      <c r="AL104" s="6">
        <f t="shared" si="18"/>
        <v>206479.57</v>
      </c>
      <c r="AM104" s="6">
        <f t="shared" si="18"/>
        <v>181367.51</v>
      </c>
      <c r="AN104" s="6">
        <f t="shared" si="18"/>
        <v>156255.47</v>
      </c>
      <c r="AO104" s="6">
        <f t="shared" si="18"/>
        <v>131143.42000000001</v>
      </c>
      <c r="AP104" s="6">
        <f t="shared" si="18"/>
        <v>106031.35999999999</v>
      </c>
      <c r="AQ104" s="6">
        <f t="shared" si="18"/>
        <v>80919.320000000007</v>
      </c>
      <c r="AR104" s="6">
        <f t="shared" si="18"/>
        <v>56776.442999999999</v>
      </c>
      <c r="AS104" s="6">
        <f t="shared" si="18"/>
        <v>136594.1</v>
      </c>
      <c r="AT104" s="6">
        <f t="shared" si="18"/>
        <v>110699.95000000001</v>
      </c>
      <c r="AU104" s="6">
        <f t="shared" si="18"/>
        <v>60274.275000000001</v>
      </c>
      <c r="AV104" s="6">
        <f t="shared" si="18"/>
        <v>59570.375999999997</v>
      </c>
      <c r="AW104" s="6">
        <f t="shared" si="18"/>
        <v>58866.468000000001</v>
      </c>
      <c r="AX104" s="6">
        <f t="shared" si="18"/>
        <v>58162.577999999994</v>
      </c>
      <c r="AY104" s="6">
        <f t="shared" si="18"/>
        <v>57458.678999999996</v>
      </c>
      <c r="AZ104" s="6">
        <f t="shared" si="18"/>
        <v>56754.78</v>
      </c>
      <c r="BA104" s="6">
        <f t="shared" si="18"/>
        <v>56050.880999999994</v>
      </c>
      <c r="BB104" s="6">
        <f t="shared" si="18"/>
        <v>55346.981999999996</v>
      </c>
      <c r="BC104" s="6">
        <f t="shared" si="18"/>
        <v>54643.082999999999</v>
      </c>
      <c r="BD104" s="6">
        <f t="shared" si="18"/>
        <v>53939.183999999994</v>
      </c>
      <c r="BE104" s="6">
        <f t="shared" si="18"/>
        <v>53235.284999999996</v>
      </c>
      <c r="BF104" s="6">
        <f t="shared" si="18"/>
        <v>52531.385999999991</v>
      </c>
      <c r="BG104" s="6">
        <f t="shared" si="18"/>
        <v>51827.495999999999</v>
      </c>
      <c r="BH104" s="6">
        <f t="shared" si="18"/>
        <v>98124.588000000003</v>
      </c>
      <c r="BI104" s="6">
        <f t="shared" si="18"/>
        <v>97420.689000000013</v>
      </c>
      <c r="BJ104" s="6">
        <f t="shared" si="18"/>
        <v>200861.99</v>
      </c>
      <c r="BK104" s="6">
        <f t="shared" si="18"/>
        <v>0</v>
      </c>
      <c r="BL104" s="6">
        <f t="shared" si="18"/>
        <v>0</v>
      </c>
      <c r="BM104" s="6">
        <f t="shared" si="18"/>
        <v>0</v>
      </c>
      <c r="BN104" s="6">
        <f t="shared" si="18"/>
        <v>0</v>
      </c>
      <c r="BO104" s="6">
        <f t="shared" ref="BO104:CT104" si="19">BO102-BO103</f>
        <v>0</v>
      </c>
      <c r="BP104" s="6">
        <f t="shared" si="19"/>
        <v>0</v>
      </c>
      <c r="BQ104" s="6">
        <f t="shared" si="19"/>
        <v>0</v>
      </c>
      <c r="BR104" s="6">
        <f t="shared" si="19"/>
        <v>0</v>
      </c>
      <c r="BS104" s="6">
        <f t="shared" si="19"/>
        <v>0</v>
      </c>
      <c r="BT104" s="6">
        <f t="shared" si="19"/>
        <v>0</v>
      </c>
      <c r="BU104" s="6">
        <f t="shared" si="19"/>
        <v>0</v>
      </c>
      <c r="BV104" s="6">
        <f t="shared" si="19"/>
        <v>0</v>
      </c>
      <c r="BW104" s="6">
        <f t="shared" si="19"/>
        <v>0</v>
      </c>
      <c r="BX104" s="6">
        <f t="shared" si="19"/>
        <v>0</v>
      </c>
      <c r="BY104" s="6">
        <f t="shared" si="19"/>
        <v>0</v>
      </c>
      <c r="BZ104" s="6">
        <f t="shared" si="19"/>
        <v>0</v>
      </c>
      <c r="CA104" s="6">
        <f t="shared" si="19"/>
        <v>0</v>
      </c>
      <c r="CB104" s="6">
        <f t="shared" si="19"/>
        <v>0</v>
      </c>
      <c r="CC104" s="6">
        <f t="shared" si="19"/>
        <v>0</v>
      </c>
      <c r="CD104" s="6">
        <f t="shared" si="19"/>
        <v>0</v>
      </c>
      <c r="CE104" s="6">
        <f t="shared" si="19"/>
        <v>0</v>
      </c>
      <c r="CF104" s="6">
        <f t="shared" si="19"/>
        <v>0</v>
      </c>
      <c r="CG104" s="6">
        <f t="shared" si="19"/>
        <v>0</v>
      </c>
      <c r="CH104" s="37">
        <f t="shared" si="19"/>
        <v>0</v>
      </c>
    </row>
    <row r="105" spans="1:86" ht="15" customHeight="1" x14ac:dyDescent="0.25">
      <c r="A105" s="2" t="s">
        <v>29</v>
      </c>
      <c r="B105" s="7">
        <f t="shared" si="9"/>
        <v>2951665.9260000009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f t="shared" ref="L105:Z105" si="20">MAX(0,L104)*0.4</f>
        <v>12418.1296</v>
      </c>
      <c r="M105" s="6">
        <f t="shared" si="20"/>
        <v>8251.3296000000009</v>
      </c>
      <c r="N105" s="6">
        <f t="shared" si="20"/>
        <v>8251.3296000000009</v>
      </c>
      <c r="O105" s="6">
        <f t="shared" si="20"/>
        <v>8251.3296000000009</v>
      </c>
      <c r="P105" s="6">
        <f t="shared" si="20"/>
        <v>5251.3296000000009</v>
      </c>
      <c r="Q105" s="6">
        <f t="shared" si="20"/>
        <v>5251.3296000000009</v>
      </c>
      <c r="R105" s="6">
        <f t="shared" si="20"/>
        <v>14573.227200000001</v>
      </c>
      <c r="S105" s="6">
        <f t="shared" si="20"/>
        <v>23895.124799999998</v>
      </c>
      <c r="T105" s="6">
        <f t="shared" si="20"/>
        <v>33217.022400000002</v>
      </c>
      <c r="U105" s="6">
        <f t="shared" si="20"/>
        <v>39817.195999999996</v>
      </c>
      <c r="V105" s="6">
        <f t="shared" si="20"/>
        <v>50174.864000000001</v>
      </c>
      <c r="W105" s="6">
        <f t="shared" si="20"/>
        <v>60532.524000000005</v>
      </c>
      <c r="X105" s="6">
        <f t="shared" si="20"/>
        <v>70890.183999999994</v>
      </c>
      <c r="Y105" s="6">
        <f t="shared" si="20"/>
        <v>81247.847999999998</v>
      </c>
      <c r="Z105" s="6">
        <f t="shared" si="20"/>
        <v>91605.516000000003</v>
      </c>
      <c r="AA105" s="6">
        <f t="shared" ref="AA105:AM105" si="21">MAX(0,AA104)*0.45</f>
        <v>114708.573</v>
      </c>
      <c r="AB105" s="6">
        <f t="shared" si="21"/>
        <v>126360.9495</v>
      </c>
      <c r="AC105" s="6">
        <f t="shared" si="21"/>
        <v>153598.32449999999</v>
      </c>
      <c r="AD105" s="6">
        <f t="shared" si="21"/>
        <v>113404.95450000001</v>
      </c>
      <c r="AE105" s="6">
        <f t="shared" si="21"/>
        <v>113756.90850000001</v>
      </c>
      <c r="AF105" s="6">
        <f t="shared" si="21"/>
        <v>114108.8535</v>
      </c>
      <c r="AG105" s="6">
        <f t="shared" si="21"/>
        <v>114460.80300000001</v>
      </c>
      <c r="AH105" s="6">
        <f t="shared" si="21"/>
        <v>114812.74800000001</v>
      </c>
      <c r="AI105" s="6">
        <f t="shared" si="21"/>
        <v>126817.06950000001</v>
      </c>
      <c r="AJ105" s="6">
        <f t="shared" si="21"/>
        <v>115516.65149999999</v>
      </c>
      <c r="AK105" s="6">
        <f t="shared" si="21"/>
        <v>104216.22900000001</v>
      </c>
      <c r="AL105" s="6">
        <f t="shared" si="21"/>
        <v>92915.806500000006</v>
      </c>
      <c r="AM105" s="6">
        <f t="shared" si="21"/>
        <v>81615.37950000001</v>
      </c>
      <c r="AN105" s="6">
        <f t="shared" ref="AN105:CG105" si="22">MAX(0,AN104)*0.5</f>
        <v>78127.735000000001</v>
      </c>
      <c r="AO105" s="6">
        <f t="shared" si="22"/>
        <v>65571.710000000006</v>
      </c>
      <c r="AP105" s="6">
        <f t="shared" si="22"/>
        <v>53015.679999999993</v>
      </c>
      <c r="AQ105" s="6">
        <f t="shared" si="22"/>
        <v>40459.660000000003</v>
      </c>
      <c r="AR105" s="6">
        <f t="shared" si="22"/>
        <v>28388.2215</v>
      </c>
      <c r="AS105" s="6">
        <f t="shared" si="22"/>
        <v>68297.05</v>
      </c>
      <c r="AT105" s="6">
        <f t="shared" si="22"/>
        <v>55349.975000000006</v>
      </c>
      <c r="AU105" s="6">
        <f t="shared" si="22"/>
        <v>30137.137500000001</v>
      </c>
      <c r="AV105" s="6">
        <f t="shared" si="22"/>
        <v>29785.187999999998</v>
      </c>
      <c r="AW105" s="6">
        <f t="shared" si="22"/>
        <v>29433.234</v>
      </c>
      <c r="AX105" s="6">
        <f t="shared" si="22"/>
        <v>29081.288999999997</v>
      </c>
      <c r="AY105" s="6">
        <f t="shared" si="22"/>
        <v>28729.339499999998</v>
      </c>
      <c r="AZ105" s="6">
        <f t="shared" si="22"/>
        <v>28377.39</v>
      </c>
      <c r="BA105" s="6">
        <f t="shared" si="22"/>
        <v>28025.440499999997</v>
      </c>
      <c r="BB105" s="6">
        <f t="shared" si="22"/>
        <v>27673.490999999998</v>
      </c>
      <c r="BC105" s="6">
        <f t="shared" si="22"/>
        <v>27321.541499999999</v>
      </c>
      <c r="BD105" s="6">
        <f t="shared" si="22"/>
        <v>26969.591999999997</v>
      </c>
      <c r="BE105" s="6">
        <f t="shared" si="22"/>
        <v>26617.642499999998</v>
      </c>
      <c r="BF105" s="6">
        <f t="shared" si="22"/>
        <v>26265.692999999996</v>
      </c>
      <c r="BG105" s="6">
        <f t="shared" si="22"/>
        <v>25913.748</v>
      </c>
      <c r="BH105" s="6">
        <f t="shared" si="22"/>
        <v>49062.294000000002</v>
      </c>
      <c r="BI105" s="6">
        <f t="shared" si="22"/>
        <v>48710.344500000007</v>
      </c>
      <c r="BJ105" s="6">
        <f t="shared" si="22"/>
        <v>100430.995</v>
      </c>
      <c r="BK105" s="6">
        <f t="shared" si="22"/>
        <v>0</v>
      </c>
      <c r="BL105" s="6">
        <f t="shared" si="22"/>
        <v>0</v>
      </c>
      <c r="BM105" s="6">
        <f t="shared" si="22"/>
        <v>0</v>
      </c>
      <c r="BN105" s="6">
        <f t="shared" si="22"/>
        <v>0</v>
      </c>
      <c r="BO105" s="6">
        <f t="shared" si="22"/>
        <v>0</v>
      </c>
      <c r="BP105" s="6">
        <f t="shared" si="22"/>
        <v>0</v>
      </c>
      <c r="BQ105" s="6">
        <f t="shared" si="22"/>
        <v>0</v>
      </c>
      <c r="BR105" s="6">
        <f t="shared" si="22"/>
        <v>0</v>
      </c>
      <c r="BS105" s="6">
        <f t="shared" si="22"/>
        <v>0</v>
      </c>
      <c r="BT105" s="6">
        <f t="shared" si="22"/>
        <v>0</v>
      </c>
      <c r="BU105" s="6">
        <f t="shared" si="22"/>
        <v>0</v>
      </c>
      <c r="BV105" s="6">
        <f t="shared" si="22"/>
        <v>0</v>
      </c>
      <c r="BW105" s="6">
        <f t="shared" si="22"/>
        <v>0</v>
      </c>
      <c r="BX105" s="6">
        <f t="shared" si="22"/>
        <v>0</v>
      </c>
      <c r="BY105" s="6">
        <f t="shared" si="22"/>
        <v>0</v>
      </c>
      <c r="BZ105" s="6">
        <f t="shared" si="22"/>
        <v>0</v>
      </c>
      <c r="CA105" s="6">
        <f t="shared" si="22"/>
        <v>0</v>
      </c>
      <c r="CB105" s="6">
        <f t="shared" si="22"/>
        <v>0</v>
      </c>
      <c r="CC105" s="6">
        <f t="shared" si="22"/>
        <v>0</v>
      </c>
      <c r="CD105" s="6">
        <f t="shared" si="22"/>
        <v>0</v>
      </c>
      <c r="CE105" s="6">
        <f t="shared" si="22"/>
        <v>0</v>
      </c>
      <c r="CF105" s="6">
        <f t="shared" si="22"/>
        <v>0</v>
      </c>
      <c r="CG105" s="6">
        <f t="shared" si="22"/>
        <v>0</v>
      </c>
      <c r="CH105" s="37">
        <f>MAX(0,CH104)*$B$95</f>
        <v>0</v>
      </c>
    </row>
    <row r="106" spans="1:86" ht="15" customHeight="1" x14ac:dyDescent="0.25">
      <c r="A106" s="2" t="s">
        <v>30</v>
      </c>
      <c r="B106" s="7">
        <f t="shared" ref="B106:AG106" si="23">B104-B105</f>
        <v>3538767.4570000004</v>
      </c>
      <c r="C106" s="6">
        <f t="shared" si="23"/>
        <v>0</v>
      </c>
      <c r="D106" s="6">
        <f t="shared" si="23"/>
        <v>0</v>
      </c>
      <c r="E106" s="6">
        <f t="shared" si="23"/>
        <v>0</v>
      </c>
      <c r="F106" s="6">
        <f t="shared" si="23"/>
        <v>0</v>
      </c>
      <c r="G106" s="6">
        <f t="shared" si="23"/>
        <v>0</v>
      </c>
      <c r="H106" s="6">
        <f t="shared" si="23"/>
        <v>0</v>
      </c>
      <c r="I106" s="6">
        <f t="shared" si="23"/>
        <v>0</v>
      </c>
      <c r="J106" s="6">
        <f t="shared" si="23"/>
        <v>0</v>
      </c>
      <c r="K106" s="6">
        <f t="shared" si="23"/>
        <v>0</v>
      </c>
      <c r="L106" s="6">
        <f t="shared" si="23"/>
        <v>18627.1944</v>
      </c>
      <c r="M106" s="6">
        <f t="shared" si="23"/>
        <v>12376.9944</v>
      </c>
      <c r="N106" s="6">
        <f t="shared" si="23"/>
        <v>12376.9944</v>
      </c>
      <c r="O106" s="6">
        <f t="shared" si="23"/>
        <v>12376.9944</v>
      </c>
      <c r="P106" s="6">
        <f t="shared" si="23"/>
        <v>7876.9943999999996</v>
      </c>
      <c r="Q106" s="6">
        <f t="shared" si="23"/>
        <v>7876.9943999999996</v>
      </c>
      <c r="R106" s="6">
        <f t="shared" si="23"/>
        <v>21859.840799999998</v>
      </c>
      <c r="S106" s="6">
        <f t="shared" si="23"/>
        <v>35842.687199999993</v>
      </c>
      <c r="T106" s="6">
        <f t="shared" si="23"/>
        <v>49825.533599999995</v>
      </c>
      <c r="U106" s="6">
        <f t="shared" si="23"/>
        <v>59725.793999999994</v>
      </c>
      <c r="V106" s="6">
        <f t="shared" si="23"/>
        <v>75262.296000000002</v>
      </c>
      <c r="W106" s="6">
        <f t="shared" si="23"/>
        <v>90798.785999999993</v>
      </c>
      <c r="X106" s="6">
        <f t="shared" si="23"/>
        <v>106335.276</v>
      </c>
      <c r="Y106" s="6">
        <f t="shared" si="23"/>
        <v>121871.772</v>
      </c>
      <c r="Z106" s="6">
        <f t="shared" si="23"/>
        <v>137408.27399999998</v>
      </c>
      <c r="AA106" s="6">
        <f t="shared" si="23"/>
        <v>140199.367</v>
      </c>
      <c r="AB106" s="6">
        <f t="shared" si="23"/>
        <v>154441.1605</v>
      </c>
      <c r="AC106" s="6">
        <f t="shared" si="23"/>
        <v>187731.2855</v>
      </c>
      <c r="AD106" s="6">
        <f t="shared" si="23"/>
        <v>138606.05550000002</v>
      </c>
      <c r="AE106" s="6">
        <f t="shared" si="23"/>
        <v>139036.22149999999</v>
      </c>
      <c r="AF106" s="6">
        <f t="shared" si="23"/>
        <v>139466.37649999998</v>
      </c>
      <c r="AG106" s="6">
        <f t="shared" si="23"/>
        <v>139896.53700000001</v>
      </c>
      <c r="AH106" s="6">
        <f t="shared" ref="AH106:BM106" si="24">AH104-AH105</f>
        <v>140326.69199999998</v>
      </c>
      <c r="AI106" s="6">
        <f t="shared" si="24"/>
        <v>154998.64050000001</v>
      </c>
      <c r="AJ106" s="6">
        <f t="shared" si="24"/>
        <v>141187.01850000001</v>
      </c>
      <c r="AK106" s="6">
        <f t="shared" si="24"/>
        <v>127375.39099999999</v>
      </c>
      <c r="AL106" s="6">
        <f t="shared" si="24"/>
        <v>113563.7635</v>
      </c>
      <c r="AM106" s="6">
        <f t="shared" si="24"/>
        <v>99752.130499999999</v>
      </c>
      <c r="AN106" s="6">
        <f t="shared" si="24"/>
        <v>78127.735000000001</v>
      </c>
      <c r="AO106" s="6">
        <f t="shared" si="24"/>
        <v>65571.710000000006</v>
      </c>
      <c r="AP106" s="6">
        <f t="shared" si="24"/>
        <v>53015.679999999993</v>
      </c>
      <c r="AQ106" s="6">
        <f t="shared" si="24"/>
        <v>40459.660000000003</v>
      </c>
      <c r="AR106" s="6">
        <f t="shared" si="24"/>
        <v>28388.2215</v>
      </c>
      <c r="AS106" s="6">
        <f t="shared" si="24"/>
        <v>68297.05</v>
      </c>
      <c r="AT106" s="6">
        <f t="shared" si="24"/>
        <v>55349.975000000006</v>
      </c>
      <c r="AU106" s="6">
        <f t="shared" si="24"/>
        <v>30137.137500000001</v>
      </c>
      <c r="AV106" s="6">
        <f t="shared" si="24"/>
        <v>29785.187999999998</v>
      </c>
      <c r="AW106" s="6">
        <f t="shared" si="24"/>
        <v>29433.234</v>
      </c>
      <c r="AX106" s="6">
        <f t="shared" si="24"/>
        <v>29081.288999999997</v>
      </c>
      <c r="AY106" s="6">
        <f t="shared" si="24"/>
        <v>28729.339499999998</v>
      </c>
      <c r="AZ106" s="6">
        <f t="shared" si="24"/>
        <v>28377.39</v>
      </c>
      <c r="BA106" s="6">
        <f t="shared" si="24"/>
        <v>28025.440499999997</v>
      </c>
      <c r="BB106" s="6">
        <f t="shared" si="24"/>
        <v>27673.490999999998</v>
      </c>
      <c r="BC106" s="6">
        <f t="shared" si="24"/>
        <v>27321.541499999999</v>
      </c>
      <c r="BD106" s="6">
        <f t="shared" si="24"/>
        <v>26969.591999999997</v>
      </c>
      <c r="BE106" s="6">
        <f t="shared" si="24"/>
        <v>26617.642499999998</v>
      </c>
      <c r="BF106" s="6">
        <f t="shared" si="24"/>
        <v>26265.692999999996</v>
      </c>
      <c r="BG106" s="6">
        <f t="shared" si="24"/>
        <v>25913.748</v>
      </c>
      <c r="BH106" s="6">
        <f t="shared" si="24"/>
        <v>49062.294000000002</v>
      </c>
      <c r="BI106" s="6">
        <f t="shared" si="24"/>
        <v>48710.344500000007</v>
      </c>
      <c r="BJ106" s="6">
        <f t="shared" si="24"/>
        <v>100430.995</v>
      </c>
      <c r="BK106" s="6">
        <f t="shared" si="24"/>
        <v>0</v>
      </c>
      <c r="BL106" s="6">
        <f t="shared" si="24"/>
        <v>0</v>
      </c>
      <c r="BM106" s="6">
        <f t="shared" si="24"/>
        <v>0</v>
      </c>
      <c r="BN106" s="6">
        <f t="shared" ref="BN106:CS106" si="25">BN104-BN105</f>
        <v>0</v>
      </c>
      <c r="BO106" s="6">
        <f t="shared" si="25"/>
        <v>0</v>
      </c>
      <c r="BP106" s="6">
        <f t="shared" si="25"/>
        <v>0</v>
      </c>
      <c r="BQ106" s="6">
        <f t="shared" si="25"/>
        <v>0</v>
      </c>
      <c r="BR106" s="6">
        <f t="shared" si="25"/>
        <v>0</v>
      </c>
      <c r="BS106" s="6">
        <f t="shared" si="25"/>
        <v>0</v>
      </c>
      <c r="BT106" s="6">
        <f t="shared" si="25"/>
        <v>0</v>
      </c>
      <c r="BU106" s="6">
        <f t="shared" si="25"/>
        <v>0</v>
      </c>
      <c r="BV106" s="6">
        <f t="shared" si="25"/>
        <v>0</v>
      </c>
      <c r="BW106" s="6">
        <f t="shared" si="25"/>
        <v>0</v>
      </c>
      <c r="BX106" s="6">
        <f t="shared" si="25"/>
        <v>0</v>
      </c>
      <c r="BY106" s="6">
        <f t="shared" si="25"/>
        <v>0</v>
      </c>
      <c r="BZ106" s="6">
        <f t="shared" si="25"/>
        <v>0</v>
      </c>
      <c r="CA106" s="6">
        <f t="shared" si="25"/>
        <v>0</v>
      </c>
      <c r="CB106" s="6">
        <f t="shared" si="25"/>
        <v>0</v>
      </c>
      <c r="CC106" s="6">
        <f t="shared" si="25"/>
        <v>0</v>
      </c>
      <c r="CD106" s="6">
        <f t="shared" si="25"/>
        <v>0</v>
      </c>
      <c r="CE106" s="6">
        <f t="shared" si="25"/>
        <v>0</v>
      </c>
      <c r="CF106" s="6">
        <f t="shared" si="25"/>
        <v>0</v>
      </c>
      <c r="CG106" s="6">
        <f t="shared" si="25"/>
        <v>0</v>
      </c>
      <c r="CH106" s="37">
        <f t="shared" si="25"/>
        <v>0</v>
      </c>
    </row>
    <row r="107" spans="1:86" ht="15" customHeight="1" x14ac:dyDescent="0.25">
      <c r="A107" s="2" t="s">
        <v>31</v>
      </c>
      <c r="B107" s="7">
        <f t="shared" ref="B107:AG107" si="26">B103+B106</f>
        <v>4101960.074</v>
      </c>
      <c r="C107" s="6">
        <f t="shared" si="26"/>
        <v>0</v>
      </c>
      <c r="D107" s="6">
        <f t="shared" si="26"/>
        <v>0</v>
      </c>
      <c r="E107" s="6">
        <f t="shared" si="26"/>
        <v>0</v>
      </c>
      <c r="F107" s="6">
        <f t="shared" si="26"/>
        <v>0</v>
      </c>
      <c r="G107" s="6">
        <f t="shared" si="26"/>
        <v>0</v>
      </c>
      <c r="H107" s="6">
        <f t="shared" si="26"/>
        <v>0</v>
      </c>
      <c r="I107" s="6">
        <f t="shared" si="26"/>
        <v>0</v>
      </c>
      <c r="J107" s="6">
        <f t="shared" si="26"/>
        <v>0</v>
      </c>
      <c r="K107" s="6">
        <f t="shared" si="26"/>
        <v>0</v>
      </c>
      <c r="L107" s="6">
        <f t="shared" si="26"/>
        <v>23132.2304</v>
      </c>
      <c r="M107" s="6">
        <f t="shared" si="26"/>
        <v>16882.0304</v>
      </c>
      <c r="N107" s="6">
        <f t="shared" si="26"/>
        <v>16882.0304</v>
      </c>
      <c r="O107" s="6">
        <f t="shared" si="26"/>
        <v>16882.0304</v>
      </c>
      <c r="P107" s="6">
        <f t="shared" si="26"/>
        <v>12382.0304</v>
      </c>
      <c r="Q107" s="6">
        <f t="shared" si="26"/>
        <v>12382.0304</v>
      </c>
      <c r="R107" s="6">
        <f t="shared" si="26"/>
        <v>28954.292799999999</v>
      </c>
      <c r="S107" s="6">
        <f t="shared" si="26"/>
        <v>45526.555199999995</v>
      </c>
      <c r="T107" s="6">
        <f t="shared" si="26"/>
        <v>62098.817599999995</v>
      </c>
      <c r="U107" s="6">
        <f t="shared" si="26"/>
        <v>72225.793999999994</v>
      </c>
      <c r="V107" s="6">
        <f t="shared" si="26"/>
        <v>87762.296000000002</v>
      </c>
      <c r="W107" s="6">
        <f t="shared" si="26"/>
        <v>103298.78599999999</v>
      </c>
      <c r="X107" s="6">
        <f t="shared" si="26"/>
        <v>118835.276</v>
      </c>
      <c r="Y107" s="6">
        <f t="shared" si="26"/>
        <v>134371.772</v>
      </c>
      <c r="Z107" s="6">
        <f t="shared" si="26"/>
        <v>149908.27399999998</v>
      </c>
      <c r="AA107" s="6">
        <f t="shared" si="26"/>
        <v>152699.367</v>
      </c>
      <c r="AB107" s="6">
        <f t="shared" si="26"/>
        <v>166941.1605</v>
      </c>
      <c r="AC107" s="6">
        <f t="shared" si="26"/>
        <v>200231.2855</v>
      </c>
      <c r="AD107" s="6">
        <f t="shared" si="26"/>
        <v>151106.05550000002</v>
      </c>
      <c r="AE107" s="6">
        <f t="shared" si="26"/>
        <v>151536.22149999999</v>
      </c>
      <c r="AF107" s="6">
        <f t="shared" si="26"/>
        <v>151966.37649999998</v>
      </c>
      <c r="AG107" s="6">
        <f t="shared" si="26"/>
        <v>152396.53700000001</v>
      </c>
      <c r="AH107" s="6">
        <f t="shared" ref="AH107:BM107" si="27">AH103+AH106</f>
        <v>152826.69199999998</v>
      </c>
      <c r="AI107" s="6">
        <f t="shared" si="27"/>
        <v>167498.64050000001</v>
      </c>
      <c r="AJ107" s="6">
        <f t="shared" si="27"/>
        <v>153687.01850000001</v>
      </c>
      <c r="AK107" s="6">
        <f t="shared" si="27"/>
        <v>139875.391</v>
      </c>
      <c r="AL107" s="6">
        <f t="shared" si="27"/>
        <v>126063.7635</v>
      </c>
      <c r="AM107" s="6">
        <f t="shared" si="27"/>
        <v>112252.1305</v>
      </c>
      <c r="AN107" s="6">
        <f t="shared" si="27"/>
        <v>90627.735000000001</v>
      </c>
      <c r="AO107" s="6">
        <f t="shared" si="27"/>
        <v>78071.710000000006</v>
      </c>
      <c r="AP107" s="6">
        <f t="shared" si="27"/>
        <v>65515.679999999993</v>
      </c>
      <c r="AQ107" s="6">
        <f t="shared" si="27"/>
        <v>52959.66</v>
      </c>
      <c r="AR107" s="6">
        <f t="shared" si="27"/>
        <v>39919.048500000004</v>
      </c>
      <c r="AS107" s="6">
        <f t="shared" si="27"/>
        <v>80797.05</v>
      </c>
      <c r="AT107" s="6">
        <f t="shared" si="27"/>
        <v>67849.975000000006</v>
      </c>
      <c r="AU107" s="6">
        <f t="shared" si="27"/>
        <v>42056.612500000003</v>
      </c>
      <c r="AV107" s="6">
        <f t="shared" si="27"/>
        <v>41626.451999999997</v>
      </c>
      <c r="AW107" s="6">
        <f t="shared" si="27"/>
        <v>41196.286</v>
      </c>
      <c r="AX107" s="6">
        <f t="shared" si="27"/>
        <v>40766.130999999994</v>
      </c>
      <c r="AY107" s="6">
        <f t="shared" si="27"/>
        <v>40335.970499999996</v>
      </c>
      <c r="AZ107" s="6">
        <f t="shared" si="27"/>
        <v>39905.81</v>
      </c>
      <c r="BA107" s="6">
        <f t="shared" si="27"/>
        <v>39475.6495</v>
      </c>
      <c r="BB107" s="6">
        <f t="shared" si="27"/>
        <v>39045.489000000001</v>
      </c>
      <c r="BC107" s="6">
        <f t="shared" si="27"/>
        <v>38615.328500000003</v>
      </c>
      <c r="BD107" s="6">
        <f t="shared" si="27"/>
        <v>38185.167999999998</v>
      </c>
      <c r="BE107" s="6">
        <f t="shared" si="27"/>
        <v>37755.0075</v>
      </c>
      <c r="BF107" s="6">
        <f t="shared" si="27"/>
        <v>37324.846999999994</v>
      </c>
      <c r="BG107" s="6">
        <f t="shared" si="27"/>
        <v>36894.692000000003</v>
      </c>
      <c r="BH107" s="6">
        <f t="shared" si="27"/>
        <v>59965.026000000005</v>
      </c>
      <c r="BI107" s="6">
        <f t="shared" si="27"/>
        <v>59534.865500000007</v>
      </c>
      <c r="BJ107" s="6">
        <f t="shared" si="27"/>
        <v>112930.995</v>
      </c>
      <c r="BK107" s="6">
        <f t="shared" si="27"/>
        <v>0</v>
      </c>
      <c r="BL107" s="6">
        <f t="shared" si="27"/>
        <v>0</v>
      </c>
      <c r="BM107" s="6">
        <f t="shared" si="27"/>
        <v>0</v>
      </c>
      <c r="BN107" s="6">
        <f t="shared" ref="BN107:CS107" si="28">BN103+BN106</f>
        <v>0</v>
      </c>
      <c r="BO107" s="6">
        <f t="shared" si="28"/>
        <v>0</v>
      </c>
      <c r="BP107" s="6">
        <f t="shared" si="28"/>
        <v>0</v>
      </c>
      <c r="BQ107" s="6">
        <f t="shared" si="28"/>
        <v>0</v>
      </c>
      <c r="BR107" s="6">
        <f t="shared" si="28"/>
        <v>0</v>
      </c>
      <c r="BS107" s="6">
        <f t="shared" si="28"/>
        <v>0</v>
      </c>
      <c r="BT107" s="6">
        <f t="shared" si="28"/>
        <v>0</v>
      </c>
      <c r="BU107" s="6">
        <f t="shared" si="28"/>
        <v>0</v>
      </c>
      <c r="BV107" s="6">
        <f t="shared" si="28"/>
        <v>0</v>
      </c>
      <c r="BW107" s="6">
        <f t="shared" si="28"/>
        <v>0</v>
      </c>
      <c r="BX107" s="6">
        <f t="shared" si="28"/>
        <v>0</v>
      </c>
      <c r="BY107" s="6">
        <f t="shared" si="28"/>
        <v>0</v>
      </c>
      <c r="BZ107" s="6">
        <f t="shared" si="28"/>
        <v>0</v>
      </c>
      <c r="CA107" s="6">
        <f t="shared" si="28"/>
        <v>0</v>
      </c>
      <c r="CB107" s="6">
        <f t="shared" si="28"/>
        <v>0</v>
      </c>
      <c r="CC107" s="6">
        <f t="shared" si="28"/>
        <v>0</v>
      </c>
      <c r="CD107" s="6">
        <f t="shared" si="28"/>
        <v>0</v>
      </c>
      <c r="CE107" s="6">
        <f t="shared" si="28"/>
        <v>0</v>
      </c>
      <c r="CF107" s="6">
        <f t="shared" si="28"/>
        <v>0</v>
      </c>
      <c r="CG107" s="6">
        <f t="shared" si="28"/>
        <v>0</v>
      </c>
      <c r="CH107" s="37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7" t="s">
        <v>676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</row>
    <row r="3" customFormat="false" ht="15" hidden="false" customHeight="true" outlineLevel="0" collapsed="false">
      <c r="A3" s="169"/>
      <c r="B3" s="170" t="s">
        <v>677</v>
      </c>
      <c r="C3" s="170" t="s">
        <v>678</v>
      </c>
      <c r="D3" s="170" t="s">
        <v>679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1" t="s">
        <v>49</v>
      </c>
      <c r="B5" s="172"/>
      <c r="C5" s="172"/>
      <c r="D5" s="172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3" t="s">
        <v>680</v>
      </c>
      <c r="B6" s="174" t="n">
        <f aca="false">SUM(Model!C59:CH59)</f>
        <v>1063981</v>
      </c>
      <c r="C6" s="174" t="n">
        <f aca="false">Helpers!B47</f>
        <v>1912475</v>
      </c>
      <c r="D6" s="174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681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3" t="s">
        <v>682</v>
      </c>
      <c r="B8" s="174" t="n">
        <f aca="false">-Assumptions!$B$53*Assumptions!$B$48</f>
        <v>-150000</v>
      </c>
      <c r="C8" s="174" t="n">
        <v>0</v>
      </c>
      <c r="D8" s="174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549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1" t="s">
        <v>683</v>
      </c>
      <c r="B10" s="144" t="n">
        <f aca="false">SUM(B6:B9)</f>
        <v>484296.52</v>
      </c>
      <c r="C10" s="144" t="n">
        <f aca="false">SUM(C6:C9)</f>
        <v>1912475</v>
      </c>
      <c r="D10" s="144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5"/>
      <c r="B11" s="176"/>
      <c r="C11" s="176"/>
      <c r="D11" s="176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684</v>
      </c>
      <c r="B12" s="112"/>
      <c r="C12" s="177"/>
      <c r="D12" s="177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3" t="s">
        <v>680</v>
      </c>
      <c r="B13" s="174" t="n">
        <f aca="false">SUM(Model!C61:CH61)</f>
        <v>292621</v>
      </c>
      <c r="C13" s="174" t="n">
        <f aca="false">Helpers!B48</f>
        <v>2633580</v>
      </c>
      <c r="D13" s="174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78" t="s">
        <v>681</v>
      </c>
      <c r="B14" s="179" t="n">
        <f aca="false">-Projects!$B$14*Assumptions!$B$47</f>
        <v>-413546.32</v>
      </c>
      <c r="C14" s="179" t="n">
        <v>0</v>
      </c>
      <c r="D14" s="179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3" t="s">
        <v>682</v>
      </c>
      <c r="B15" s="174" t="n">
        <f aca="false">-Assumptions!$B$55*Assumptions!$B$48</f>
        <v>-150000</v>
      </c>
      <c r="C15" s="174" t="n">
        <v>0</v>
      </c>
      <c r="D15" s="174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78" t="s">
        <v>549</v>
      </c>
      <c r="B16" s="179" t="n">
        <f aca="false">-SUM(Model!C121:CH121)</f>
        <v>-603840.547005172</v>
      </c>
      <c r="C16" s="179" t="n">
        <f aca="false">-Helpers!F93</f>
        <v>-240125.881206445</v>
      </c>
      <c r="D16" s="179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683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0"/>
      <c r="B18" s="181"/>
      <c r="C18" s="181"/>
      <c r="D18" s="181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2" t="s">
        <v>54</v>
      </c>
      <c r="B19" s="183"/>
      <c r="C19" s="183"/>
      <c r="D19" s="183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4" t="s">
        <v>680</v>
      </c>
      <c r="B20" s="185" t="n">
        <f aca="false">SUM(Model!C60:CH60)</f>
        <v>1681289</v>
      </c>
      <c r="C20" s="185" t="n">
        <f aca="false">Helpers!B49</f>
        <v>2278136</v>
      </c>
      <c r="D20" s="185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6" t="s">
        <v>681</v>
      </c>
      <c r="B21" s="187" t="n">
        <f aca="false">-Projects!$B$13*Assumptions!$B$47</f>
        <v>-452667.7</v>
      </c>
      <c r="C21" s="187" t="n">
        <v>0</v>
      </c>
      <c r="D21" s="187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4" t="s">
        <v>682</v>
      </c>
      <c r="B22" s="185" t="n">
        <f aca="false">-Assumptions!$B$54*Assumptions!$B$48</f>
        <v>-150000</v>
      </c>
      <c r="C22" s="185" t="n">
        <v>0</v>
      </c>
      <c r="D22" s="185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549</v>
      </c>
      <c r="B23" s="65" t="n">
        <f aca="false">-SUM(Model!C126:CH126)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6" t="s">
        <v>683</v>
      </c>
      <c r="B24" s="148" t="n">
        <f aca="false">SUM(B20:B23)</f>
        <v>340608.026606479</v>
      </c>
      <c r="C24" s="148" t="n">
        <f aca="false">SUM(C20:C23)</f>
        <v>2278136</v>
      </c>
      <c r="D24" s="148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29"/>
      <c r="B25" s="188"/>
      <c r="C25" s="188"/>
      <c r="D25" s="188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89" t="s">
        <v>685</v>
      </c>
      <c r="B26" s="190"/>
      <c r="C26" s="190"/>
      <c r="D26" s="190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1" t="s">
        <v>686</v>
      </c>
      <c r="B27" s="192" t="n">
        <f aca="false">B6+B13+B20</f>
        <v>3037891</v>
      </c>
      <c r="C27" s="192" t="n">
        <f aca="false">C6+C13+C20</f>
        <v>6824191</v>
      </c>
      <c r="D27" s="192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687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3" t="s">
        <v>688</v>
      </c>
      <c r="B29" s="194" t="n">
        <f aca="false">B8+B15+B22</f>
        <v>-450000</v>
      </c>
      <c r="C29" s="194" t="n">
        <f aca="false">C8+C15+C22</f>
        <v>0</v>
      </c>
      <c r="D29" s="194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5" t="s">
        <v>689</v>
      </c>
      <c r="B30" s="196" t="n">
        <f aca="false">B9+B16+B23</f>
        <v>-1341853.82039869</v>
      </c>
      <c r="C30" s="196" t="n">
        <f aca="false">C9+C16+C23</f>
        <v>-240125.881206445</v>
      </c>
      <c r="D30" s="196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690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197"/>
      <c r="B32" s="198"/>
      <c r="C32" s="198"/>
      <c r="D32" s="198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29"/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197"/>
      <c r="B34" s="198"/>
      <c r="C34" s="198"/>
      <c r="D34" s="198"/>
    </row>
    <row r="35" customFormat="false" ht="15" hidden="false" customHeight="true" outlineLevel="0" collapsed="false">
      <c r="A35" s="175"/>
      <c r="B35" s="176"/>
      <c r="C35" s="176"/>
      <c r="D35" s="176"/>
    </row>
    <row r="36" customFormat="false" ht="15" hidden="false" customHeight="false" outlineLevel="0" collapsed="false"/>
    <row r="37" customFormat="false" ht="15" hidden="false" customHeight="true" outlineLevel="0" collapsed="false">
      <c r="A37" s="199"/>
    </row>
    <row r="38" customFormat="false" ht="15" hidden="false" customHeight="true" outlineLevel="0" collapsed="false">
      <c r="A38" s="200"/>
    </row>
    <row r="39" customFormat="false" ht="15" hidden="false" customHeight="true" outlineLevel="0" collapsed="false">
      <c r="A39" s="200"/>
    </row>
    <row r="40" customFormat="false" ht="15" hidden="false" customHeight="true" outlineLevel="0" collapsed="false">
      <c r="A40" s="200" t="s">
        <v>691</v>
      </c>
    </row>
    <row r="41" customFormat="false" ht="15" hidden="false" customHeight="true" outlineLevel="0" collapsed="false">
      <c r="A41" s="200" t="s">
        <v>692</v>
      </c>
    </row>
    <row r="42" customFormat="false" ht="15" hidden="false" customHeight="true" outlineLevel="0" collapsed="false">
      <c r="A42" s="200" t="s">
        <v>693</v>
      </c>
    </row>
    <row r="43" customFormat="false" ht="15" hidden="false" customHeight="true" outlineLevel="0" collapsed="false">
      <c r="A43" s="200" t="s">
        <v>694</v>
      </c>
    </row>
    <row r="44" customFormat="false" ht="15" hidden="false" customHeight="true" outlineLevel="0" collapsed="false">
      <c r="A44" s="200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