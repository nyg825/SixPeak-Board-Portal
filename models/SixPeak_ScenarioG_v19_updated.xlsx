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<sst xmlns="http://schemas.openxmlformats.org/spreadsheetml/2006/main" count="1212" uniqueCount="706">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</sst>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105447082.911511</v>
      </c>
      <c r="D3" s="7" t="n">
        <f aca="false">Model!X7+Model!Y7+Model!Z7+Model!AA7+Model!AB7+Model!AC7+Model!AD7+Model!AE7+Model!AF7+Model!AG7+Model!AH7+Model!AI7</f>
        <v>75328092.06152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2320859.62362013</v>
      </c>
      <c r="C5" s="10" t="n">
        <f aca="false">Model!L8+Model!M8+Model!N8+Model!O8+Model!P8+Model!Q8+Model!R8+Model!S8+Model!T8+Model!U8+Model!V8+Model!W8</f>
        <v>4515040.40344968</v>
      </c>
      <c r="D5" s="10" t="n">
        <f aca="false">Model!X8+Model!Y8+Model!Z8+Model!AA8+Model!AB8+Model!AC8+Model!AD8+Model!AE8+Model!AF8+Model!AG8+Model!AH8+Model!AI8</f>
        <v>4135409.22495942</v>
      </c>
      <c r="E5" s="10" t="n">
        <f aca="false">Model!AJ8+Model!AK8+Model!AL8+Model!AM8+Model!AN8+Model!AO8+Model!AP8+Model!AQ8+Model!AR8+Model!AS8+Model!AT8+Model!AU8</f>
        <v>1874494.51680195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2455591.15653077</v>
      </c>
      <c r="C6" s="10" t="n">
        <f aca="false">Model!L9+Model!M9+Model!N9+Model!O9+Model!P9+Model!Q9+Model!R9+Model!S9+Model!T9+Model!U9+Model!V9+Model!W9</f>
        <v>4998446.03892542</v>
      </c>
      <c r="D6" s="10" t="n">
        <f aca="false">Model!X9+Model!Y9+Model!Z9+Model!AA9+Model!AB9+Model!AC9+Model!AD9+Model!AE9+Model!AF9+Model!AG9+Model!AH9+Model!AI9</f>
        <v>3716429.43060604</v>
      </c>
      <c r="E6" s="10" t="n">
        <f aca="false">Model!AJ9+Model!AK9+Model!AL9+Model!AM9+Model!AN9+Model!AO9+Model!AP9+Model!AQ9+Model!AR9+Model!AS9+Model!AT9+Model!AU9</f>
        <v>1865193.1960679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654413.12558171</v>
      </c>
      <c r="C7" s="10" t="n">
        <f aca="false">Model!L10+Model!M10+Model!N10+Model!O10+Model!P10+Model!Q10+Model!R10+Model!S10+Model!T10+Model!U10+Model!V10+Model!W10</f>
        <v>1404502.88344156</v>
      </c>
      <c r="D7" s="10" t="n">
        <f aca="false">Model!X10+Model!Y10+Model!Z10+Model!AA10+Model!AB10+Model!AC10+Model!AD10+Model!AE10+Model!AF10+Model!AG10+Model!AH10+Model!AI10</f>
        <v>1378469.74165314</v>
      </c>
      <c r="E7" s="10" t="n">
        <f aca="false">Model!AJ10+Model!AK10+Model!AL10+Model!AM10+Model!AN10+Model!AO10+Model!AP10+Model!AQ10+Model!AR10+Model!AS10+Model!AT10+Model!AU10</f>
        <v>624831.505600649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6836401.52573261</v>
      </c>
      <c r="C9" s="12" t="n">
        <f aca="false">Model!L12+Model!M12+Model!N12+Model!O12+Model!P12+Model!Q12+Model!R12+Model!S12+Model!T12+Model!U12+Model!V12+Model!W12</f>
        <v>12052389.5558167</v>
      </c>
      <c r="D9" s="12" t="n">
        <f aca="false">Model!X12+Model!Y12+Model!Z12+Model!AA12+Model!AB12+Model!AC12+Model!AD12+Model!AE12+Model!AF12+Model!AG12+Model!AH12+Model!AI12</f>
        <v>9850627.87721859</v>
      </c>
      <c r="E9" s="12" t="n">
        <f aca="false">Model!AJ12+Model!AK12+Model!AL12+Model!AM12+Model!AN12+Model!AO12+Model!AP12+Model!AQ12+Model!AR12+Model!AS12+Model!AT12+Model!AU12</f>
        <v>4364519.21847049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-2333502.33333333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-3336892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-3336892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-3336892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-3336892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-3336892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-3336892</v>
      </c>
      <c r="I13" s="10" t="n">
        <f aca="false">Model!CF16+Model!CF17+Model!CG16+Model!CG17+Model!CH16+Model!CH17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-4201716.42753333</v>
      </c>
      <c r="C15" s="12" t="n">
        <f aca="false">Model!L39+Model!M39+Model!N39+Model!O39+Model!P39+Model!Q39+Model!R39+Model!S39+Model!T39+Model!U39+Model!V39+Model!W39</f>
        <v>-7422451.1057</v>
      </c>
      <c r="D15" s="12" t="n">
        <f aca="false">Model!X39+Model!Y39+Model!Z39+Model!AA39+Model!AB39+Model!AC39+Model!AD39+Model!AE39+Model!AF39+Model!AG39+Model!AH39+Model!AI39</f>
        <v>-6341163.319514</v>
      </c>
      <c r="E15" s="12" t="n">
        <f aca="false">Model!AJ39+Model!AK39+Model!AL39+Model!AM39+Model!AN39+Model!AO39+Model!AP39+Model!AQ39+Model!AR39+Model!AS39+Model!AT39+Model!AU39</f>
        <v>-5030342.69510428</v>
      </c>
      <c r="F15" s="12" t="n">
        <f aca="false">Model!AV39+Model!AW39+Model!AX39+Model!AY39+Model!AZ39+Model!BA39+Model!BB39+Model!BC39+Model!BD39+Model!BE39+Model!BF39+Model!BG39</f>
        <v>-5064211.70900637</v>
      </c>
      <c r="G15" s="12" t="n">
        <f aca="false">Model!BH39+Model!BI39+Model!BJ39+Model!BK39+Model!BL39+Model!BM39+Model!BN39+Model!BO39+Model!BP39+Model!BQ39+Model!BR39+Model!BS39</f>
        <v>-5098758.1031865</v>
      </c>
      <c r="H15" s="12" t="n">
        <f aca="false">Model!BT39+Model!BU39+Model!BV39+Model!BW39+Model!BX39+Model!BY39+Model!BZ39+Model!CA39+Model!CB39+Model!CC39+Model!CD39+Model!CE39</f>
        <v>-5133995.42525022</v>
      </c>
      <c r="I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2634685.09819928</v>
      </c>
      <c r="C16" s="16" t="n">
        <f aca="false">Model!L41+Model!M41+Model!N41+Model!O41+Model!P41+Model!Q41+Model!R41+Model!S41+Model!T41+Model!U41+Model!V41+Model!W41</f>
        <v>4629938.45011665</v>
      </c>
      <c r="D16" s="16" t="n">
        <f aca="false">Model!X41+Model!Y41+Model!Z41+Model!AA41+Model!AB41+Model!AC41+Model!AD41+Model!AE41+Model!AF41+Model!AG41+Model!AH41+Model!AI41</f>
        <v>3509464.55770459</v>
      </c>
      <c r="E16" s="16" t="n">
        <f aca="false">Model!AJ41+Model!AK41+Model!AL41+Model!AM41+Model!AN41+Model!AO41+Model!AP41+Model!AQ41+Model!AR41+Model!AS41+Model!AT41+Model!AU41</f>
        <v>-665823.476633787</v>
      </c>
      <c r="F16" s="16" t="n">
        <f aca="false">Model!AV41+Model!AW41+Model!AX41+Model!AY41+Model!AZ41+Model!BA41+Model!BB41+Model!BC41+Model!BD41+Model!BE41+Model!BF41+Model!BG41</f>
        <v>-3280407.39527639</v>
      </c>
      <c r="G16" s="16" t="n">
        <f aca="false">Model!BH41+Model!BI41+Model!BJ41+Model!BK41+Model!BL41+Model!BM41+Model!BN41+Model!BO41+Model!BP41+Model!BQ41+Model!BR41+Model!BS41</f>
        <v>-5098758.1031865</v>
      </c>
      <c r="H16" s="16" t="n">
        <f aca="false">Model!BT41+Model!BU41+Model!BV41+Model!BW41+Model!BX41+Model!BY41+Model!BZ41+Model!CA41+Model!CB41+Model!CC41+Model!CD41+Model!CE41</f>
        <v>-5133995.42525022</v>
      </c>
      <c r="I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0.38539063106258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0.384151078810938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0.356268108129521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-0.152553681930428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-1.83899510166392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913541.32</v>
      </c>
      <c r="C19" s="19" t="n">
        <f aca="false">Model!L64+Model!M64+Model!N64+Model!O64+Model!P64+Model!Q64+Model!R64+Model!S64+Model!T64+Model!U64+Model!V64+Model!W64</f>
        <v>599023.02</v>
      </c>
      <c r="D19" s="19" t="n">
        <f aca="false">Model!X64+Model!Y64+Model!Z64+Model!AA64+Model!AB64+Model!AC64+Model!AD64+Model!AE64+Model!AF64+Model!AG64+Model!AH64+Model!AI64</f>
        <v>258671.05</v>
      </c>
      <c r="E19" s="19" t="n">
        <f aca="false">Model!AJ64+Model!AK64+Model!AL64+Model!AM64+Model!AN64+Model!AO64+Model!AP64+Model!AQ64+Model!AR64+Model!AS64+Model!AT64+Model!AU64</f>
        <v>163365</v>
      </c>
      <c r="F19" s="19" t="n">
        <f aca="false">Model!AV64+Model!AW64+Model!AX64+Model!AY64+Model!AZ64+Model!BA64+Model!BB64+Model!BC64+Model!BD64+Model!BE64+Model!BF64+Model!BG64</f>
        <v>1276957</v>
      </c>
      <c r="G19" s="19" t="n">
        <f aca="false">Model!BH64+Model!BI64+Model!BJ64+Model!BK64+Model!BL64+Model!BM64+Model!BN64+Model!BO64+Model!BP64+Model!BQ64+Model!BR64+Model!BS64</f>
        <v>546560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-1386554.37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-473013.05</v>
      </c>
      <c r="C21" s="16" t="n">
        <f aca="false">Model!L87+Model!M87+Model!N87+Model!O87+Model!P87+Model!Q87+Model!R87+Model!S87+Model!T87+Model!U87+Model!V87+Model!W87</f>
        <v>-868658.605</v>
      </c>
      <c r="D21" s="16" t="n">
        <f aca="false">Model!X87+Model!Y87+Model!Z87+Model!AA87+Model!AB87+Model!AC87+Model!AD87+Model!AE87+Model!AF87+Model!AG87+Model!AH87+Model!AI87</f>
        <v>-1238364.2075</v>
      </c>
      <c r="E21" s="16" t="n">
        <f aca="false">Model!AJ87+Model!AK87+Model!AL87+Model!AM87+Model!AN87+Model!AO87+Model!AP87+Model!AQ87+Model!AR87+Model!AS87+Model!AT87+Model!AU87</f>
        <v>-1526975.96265</v>
      </c>
      <c r="F21" s="16" t="n">
        <f aca="false">Model!AV87+Model!AW87+Model!AX87+Model!AY87+Model!AZ87+Model!BA87+Model!BB87+Model!BC87+Model!BD87+Model!BE87+Model!BF87+Model!BG87</f>
        <v>-1557515.481903</v>
      </c>
      <c r="G21" s="16" t="n">
        <f aca="false">Model!BH87+Model!BI87+Model!BJ87+Model!BK87+Model!BL87+Model!BM87+Model!BN87+Model!BO87+Model!BP87+Model!BQ87+Model!BR87+Model!BS87</f>
        <v>-1469390.27154106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2161672.04819928</v>
      </c>
      <c r="C23" s="16" t="n">
        <f aca="false">Model!L96+Model!M96+Model!N96+Model!O96+Model!P96+Model!Q96+Model!R96+Model!S96+Model!T96+Model!U96+Model!V96+Model!W96</f>
        <v>3761279.84511665</v>
      </c>
      <c r="D23" s="16" t="n">
        <f aca="false">Model!X96+Model!Y96+Model!Z96+Model!AA96+Model!AB96+Model!AC96+Model!AD96+Model!AE96+Model!AF96+Model!AG96+Model!AH96+Model!AI96</f>
        <v>2271100.35020459</v>
      </c>
      <c r="E23" s="16" t="n">
        <f aca="false">Model!AJ96+Model!AK96+Model!AL96+Model!AM96+Model!AN96+Model!AO96+Model!AP96+Model!AQ96+Model!AR96+Model!AS96+Model!AT96+Model!AU96</f>
        <v>-2192799.43928379</v>
      </c>
      <c r="F23" s="16" t="n">
        <f aca="false">Model!AV96+Model!AW96+Model!AX96+Model!AY96+Model!AZ96+Model!BA96+Model!BB96+Model!BC96+Model!BD96+Model!BE96+Model!BF96+Model!BG96</f>
        <v>-4837922.87717939</v>
      </c>
      <c r="G23" s="16" t="n">
        <f aca="false">Model!BH96+Model!BI96+Model!BJ96+Model!BK96+Model!BL96+Model!BM96+Model!BN96+Model!BO96+Model!BP96+Model!BQ96+Model!BR96+Model!BS96</f>
        <v>-6568148.37472755</v>
      </c>
      <c r="H23" s="16" t="n">
        <f aca="false">Model!BT96+Model!BU96+Model!BV96+Model!BW96+Model!BX96+Model!BY96+Model!BZ96+Model!CA96+Model!CB96+Model!CC96+Model!CD96+Model!CE96</f>
        <v>-6465912.53262211</v>
      </c>
      <c r="I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-171223.12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-120000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-250000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250000</v>
      </c>
      <c r="F36" s="10" t="n">
        <f aca="false">Model!BG108</f>
        <v>250000</v>
      </c>
      <c r="G36" s="10" t="n">
        <f aca="false">Model!BS108</f>
        <v>250000</v>
      </c>
      <c r="H36" s="10" t="n">
        <f aca="false">Model!CE108</f>
        <v>250000</v>
      </c>
      <c r="I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4286600.78819928</v>
      </c>
      <c r="C42" s="21" t="n">
        <f aca="false">Model!W148</f>
        <v>8916539.23831593</v>
      </c>
      <c r="D42" s="21" t="n">
        <f aca="false">Model!AI148</f>
        <v>12426003.7960205</v>
      </c>
      <c r="E42" s="21" t="n">
        <f aca="false">Model!AU148</f>
        <v>11760180.3193867</v>
      </c>
      <c r="F42" s="21" t="n">
        <f aca="false">Model!BG148</f>
        <v>8479772.92411034</v>
      </c>
      <c r="G42" s="21" t="n">
        <f aca="false">Model!BS148</f>
        <v>3381014.82092385</v>
      </c>
      <c r="H42" s="21" t="n">
        <f aca="false">Model!CE148</f>
        <v>-1752980.60432638</v>
      </c>
      <c r="I42" s="21" t="n">
        <f aca="false">Model!CH148</f>
        <v>-3038692.64219712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-411381.89</v>
      </c>
      <c r="C43" s="21" t="n">
        <f aca="false">Model!W156</f>
        <v>-3026009.73828545</v>
      </c>
      <c r="D43" s="21" t="n">
        <f aca="false">Model!AI156</f>
        <v>-4514373.94578545</v>
      </c>
      <c r="E43" s="21" t="n">
        <f aca="false">Model!AU156</f>
        <v>-6291349.90843544</v>
      </c>
      <c r="F43" s="21" t="n">
        <f aca="false">Model!BG156</f>
        <v>-7848865.39033844</v>
      </c>
      <c r="G43" s="21" t="n">
        <f aca="false">Model!BS156</f>
        <v>-9318255.6618795</v>
      </c>
      <c r="H43" s="21" t="n">
        <f aca="false">Model!CE156</f>
        <v>-10650172.7692514</v>
      </c>
      <c r="I43" s="21" t="n">
        <f aca="false">Model!CH156</f>
        <v>-10961722.3239608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-648501.614459783</v>
      </c>
      <c r="D44" s="21" t="n">
        <f aca="false">Model!X160+Model!Y160+Model!Z160+Model!AA160+Model!AB160+Model!AC160+Model!AD160+Model!AE160+Model!AF160+Model!AG160+Model!AH160+Model!AI160</f>
        <v>-1128383.953535</v>
      </c>
      <c r="E44" s="21" t="n">
        <f aca="false">Model!AJ160+Model!AK160+Model!AL160+Model!AM160+Model!AN160+Model!AO160+Model!AP160+Model!AQ160+Model!AR160+Model!AS160+Model!AT160+Model!AU160</f>
        <v>-681330.105061377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3875218.89819928</v>
      </c>
      <c r="C45" s="23" t="n">
        <f aca="false">Model!W161</f>
        <v>5890529.50003049</v>
      </c>
      <c r="D45" s="23" t="n">
        <f aca="false">Model!AI161</f>
        <v>7911629.85023508</v>
      </c>
      <c r="E45" s="23" t="n">
        <f aca="false">Model!AU161</f>
        <v>5468830.41095129</v>
      </c>
      <c r="F45" s="23" t="n">
        <f aca="false">Model!BG161</f>
        <v>630907.533771901</v>
      </c>
      <c r="G45" s="23" t="n">
        <f aca="false">Model!BS161</f>
        <v>-5937240.84095566</v>
      </c>
      <c r="H45" s="23" t="n">
        <f aca="false">Model!CE161</f>
        <v>-12403153.3735778</v>
      </c>
      <c r="I45" s="23" t="n">
        <f aca="false">Model!CH161</f>
        <v>-14000414.966158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9046566.02707998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8611260.223896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8626282.705095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8932949.763498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8747617.070646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8589371.648088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8363128.161607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8080608.411817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7551706.483186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255335.846631493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273708.90588474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331324.647524351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382061.983624188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349167.208624188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349167.208624188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349167.208624188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349167.208624188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418977.974046266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418977.974046266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480258.133948864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422723.966741071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325591.638616071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325591.638616071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374805.8171875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350305.8171875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350305.8171875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350305.8171875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373626.699492695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345357.994135552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341791.515239448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275432.236018669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339209.671732955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339209.671732955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339209.671732955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339209.671732955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390987.443648539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298218.935633117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402849.896672078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268916.83887987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194988.481737013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233571.800730519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207516.558279221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270313.045474339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287984.439903124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324129.421316108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373554.219834689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359474.664884556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373731.299825695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384831.231783846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392319.198200328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429476.127211804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433547.346576415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494536.500113638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467208.32755159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398410.578540643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399105.612167545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423162.644090411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404719.296288005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397397.8765755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386930.442541882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397180.200059715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367762.076738313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360463.004726016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299192.811930351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295751.653623993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255644.187743291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253323.496728521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248347.343242442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292920.268953743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232210.90153808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326703.042779691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248187.277951561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185393.755537612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216299.464856778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196591.740594326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71724.2561688312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77848.6092532468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97053.8564664502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113033.585166396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105216.578916396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105216.578916396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105216.578916396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105216.578916396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128486.834057089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128486.834057089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148913.554024621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123765.681622024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104447.212872024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104447.212872024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116768.605729167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116768.605729167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116768.605729167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116768.605729167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124542.233164232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115119.331378517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113930.505079816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91810.7453395563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113069.890577652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113069.890577652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113069.890577652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113069.890577652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130329.147882846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99406.3118777056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134283.298890693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89638.9462932901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64996.1605790043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77857.2669101732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69172.1860930736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597373.148274663</v>
      </c>
      <c r="H12" s="12" t="n">
        <f aca="false">H8+H9+H10+H11</f>
        <v>639541.955041111</v>
      </c>
      <c r="I12" s="12" t="n">
        <f aca="false">I8+I9+I10+I11</f>
        <v>1194567.75030691</v>
      </c>
      <c r="J12" s="12" t="n">
        <f aca="false">J8+J9+J10+J11</f>
        <v>1187600.86362527</v>
      </c>
      <c r="K12" s="12" t="n">
        <f aca="false">K8+K9+K10+K11</f>
        <v>813858.452425141</v>
      </c>
      <c r="L12" s="12" t="n">
        <f aca="false">L8+L9+L10+L11</f>
        <v>828115.08736628</v>
      </c>
      <c r="M12" s="12" t="n">
        <f aca="false">M8+M9+M10+M11</f>
        <v>839215.019324431</v>
      </c>
      <c r="N12" s="12" t="n">
        <f aca="false">N8+N9+N10+N11</f>
        <v>846702.985740912</v>
      </c>
      <c r="O12" s="12" t="n">
        <f aca="false">O8+O9+O10+O11</f>
        <v>1655942.48531516</v>
      </c>
      <c r="P12" s="12" t="n">
        <f aca="false">P8+P9+P10+P11</f>
        <v>981012.15467977</v>
      </c>
      <c r="Q12" s="12" t="n">
        <f aca="false">Q8+Q9+Q10+Q11</f>
        <v>1123708.18808712</v>
      </c>
      <c r="R12" s="12" t="n">
        <f aca="false">R8+R9+R10+R11</f>
        <v>1241397.31591469</v>
      </c>
      <c r="S12" s="12" t="n">
        <f aca="false">S8+S9+S10+S11</f>
        <v>828449.430028738</v>
      </c>
      <c r="T12" s="12" t="n">
        <f aca="false">T8+T9+T10+T11</f>
        <v>829144.46365564</v>
      </c>
      <c r="U12" s="12" t="n">
        <f aca="false">U8+U9+U10+U11</f>
        <v>1142436.40700708</v>
      </c>
      <c r="V12" s="12" t="n">
        <f aca="false">V8+V9+V10+V11</f>
        <v>871793.719204671</v>
      </c>
      <c r="W12" s="12" t="n">
        <f aca="false">W8+W9+W10+W11</f>
        <v>864472.299492167</v>
      </c>
      <c r="X12" s="12" t="n">
        <f aca="false">X8+X9+X10+X11</f>
        <v>854004.865458549</v>
      </c>
      <c r="Y12" s="12" t="n">
        <f aca="false">Y8+Y9+Y10+Y11</f>
        <v>895349.132716641</v>
      </c>
      <c r="Z12" s="12" t="n">
        <f aca="false">Z8+Z9+Z10+Z11</f>
        <v>828239.402252383</v>
      </c>
      <c r="AA12" s="12" t="n">
        <f aca="false">AA8+AA9+AA10+AA11</f>
        <v>816185.02504528</v>
      </c>
      <c r="AB12" s="12" t="n">
        <f aca="false">AB8+AB9+AB10+AB11</f>
        <v>666435.793288576</v>
      </c>
      <c r="AC12" s="12" t="n">
        <f aca="false">AC8+AC9+AC10+AC11</f>
        <v>1368350.6959346</v>
      </c>
      <c r="AD12" s="12" t="n">
        <f aca="false">AD8+AD9+AD10+AD11</f>
        <v>707923.750053897</v>
      </c>
      <c r="AE12" s="12" t="n">
        <f aca="false">AE8+AE9+AE10+AE11</f>
        <v>705603.059039127</v>
      </c>
      <c r="AF12" s="12" t="n">
        <f aca="false">AF8+AF9+AF10+AF11</f>
        <v>700626.905553048</v>
      </c>
      <c r="AG12" s="12" t="n">
        <f aca="false">AG8+AG9+AG10+AG11</f>
        <v>814236.860485128</v>
      </c>
      <c r="AH12" s="12" t="n">
        <f aca="false">AH8+AH9+AH10+AH11</f>
        <v>629836.149048903</v>
      </c>
      <c r="AI12" s="12" t="n">
        <f aca="false">AI8+AI9+AI10+AI11</f>
        <v>863836.238342461</v>
      </c>
      <c r="AJ12" s="12" t="n">
        <f aca="false">AJ8+AJ9+AJ10+AJ11</f>
        <v>606743.063124721</v>
      </c>
      <c r="AK12" s="12" t="n">
        <f aca="false">AK8+AK9+AK10+AK11</f>
        <v>445378.397853629</v>
      </c>
      <c r="AL12" s="12" t="n">
        <f aca="false">AL8+AL9+AL10+AL11</f>
        <v>527728.532497471</v>
      </c>
      <c r="AM12" s="12" t="n">
        <f aca="false">AM8+AM9+AM10+AM11</f>
        <v>473280.484966621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-94116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-104532.666666667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-104532.666666667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-104532.666666667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-104532.666666667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-104532.666666667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-104532.666666667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-104532.666666667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-104532.666666667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-104532.666666667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-104532.666666667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-104532.666666667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-104532.666666667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-104532.666666667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-104532.666666667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-104532.666666667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-104532.666666667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-104532.666666667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-104532.666666667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-104532.666666667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-104532.666666667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-104532.666666667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-104532.666666667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-104532.666666667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-104532.666666667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-104532.666666667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-104532.666666667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-104532.666666667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-104532.666666667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-104532.666666667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-104532.666666667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-104532.666666667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-104532.666666667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-104532.666666667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-104532.666666667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-104532.666666667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-104532.666666667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-104532.666666667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-104532.666666667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-104532.666666667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-104532.666666667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-104532.666666667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-104532.666666667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-104532.666666667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-104532.666666667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-104532.666666667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-104532.666666667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-104532.666666667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-104532.666666667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-104532.666666667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-104532.666666667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-104532.666666667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-104532.666666667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-104532.666666667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-104532.666666667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-104532.666666667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-104532.666666667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-104532.666666667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-104532.666666667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-104532.666666667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-104532.666666667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-104532.666666667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-104532.666666667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-104532.666666667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-104532.666666667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-104532.666666667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-104532.666666667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-104532.666666667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-104532.666666667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-104532.666666667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-104532.666666667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-104532.666666667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-104532.666666667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-104532.666666667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-104532.666666667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-104532.666666667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-104532.666666667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-104532.666666667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-104532.666666667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-104532.666666667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-104532.666666667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-19027.7033333333</v>
      </c>
      <c r="G19" s="10" t="n">
        <f aca="false">-Helpers!G4*Assumptions!$B$20</f>
        <v>-19756.87</v>
      </c>
      <c r="H19" s="10" t="n">
        <f aca="false">-Helpers!H4*Assumptions!$B$20</f>
        <v>-19756.87</v>
      </c>
      <c r="I19" s="10" t="n">
        <f aca="false">-Helpers!I4*Assumptions!$B$20</f>
        <v>-19756.87</v>
      </c>
      <c r="J19" s="10" t="n">
        <f aca="false">-Helpers!J4*Assumptions!$B$20</f>
        <v>-19756.87</v>
      </c>
      <c r="K19" s="10" t="n">
        <f aca="false">-Helpers!K4*Assumptions!$B$20</f>
        <v>-19756.87</v>
      </c>
      <c r="L19" s="10" t="n">
        <f aca="false">-Helpers!L4*Assumptions!$B$20</f>
        <v>-19756.87</v>
      </c>
      <c r="M19" s="10" t="n">
        <f aca="false">-Helpers!M4*Assumptions!$B$20</f>
        <v>-19756.87</v>
      </c>
      <c r="N19" s="10" t="n">
        <f aca="false">-Helpers!N4*Assumptions!$B$20</f>
        <v>-19756.87</v>
      </c>
      <c r="O19" s="10" t="n">
        <f aca="false">-Helpers!O4*Assumptions!$B$20</f>
        <v>-20152.0074</v>
      </c>
      <c r="P19" s="10" t="n">
        <f aca="false">-Helpers!P4*Assumptions!$B$20</f>
        <v>-20152.0074</v>
      </c>
      <c r="Q19" s="10" t="n">
        <f aca="false">-Helpers!Q4*Assumptions!$B$20</f>
        <v>-20152.0074</v>
      </c>
      <c r="R19" s="10" t="n">
        <f aca="false">-Helpers!R4*Assumptions!$B$20</f>
        <v>-20152.0074</v>
      </c>
      <c r="S19" s="10" t="n">
        <f aca="false">-Helpers!S4*Assumptions!$B$20</f>
        <v>-20152.0074</v>
      </c>
      <c r="T19" s="10" t="n">
        <f aca="false">-Helpers!T4*Assumptions!$B$20</f>
        <v>-20152.0074</v>
      </c>
      <c r="U19" s="10" t="n">
        <f aca="false">-Helpers!U4*Assumptions!$B$20</f>
        <v>-20152.0074</v>
      </c>
      <c r="V19" s="10" t="n">
        <f aca="false">-Helpers!V4*Assumptions!$B$20</f>
        <v>-20152.0074</v>
      </c>
      <c r="W19" s="10" t="n">
        <f aca="false">-Helpers!W4*Assumptions!$B$20</f>
        <v>-20152.0074</v>
      </c>
      <c r="X19" s="10" t="n">
        <f aca="false">-Helpers!X4*Assumptions!$B$20</f>
        <v>-20152.0074</v>
      </c>
      <c r="Y19" s="10" t="n">
        <f aca="false">-Helpers!Y4*Assumptions!$B$20</f>
        <v>-20152.0074</v>
      </c>
      <c r="Z19" s="10" t="n">
        <f aca="false">-Helpers!Z4*Assumptions!$B$20</f>
        <v>-20152.0074</v>
      </c>
      <c r="AA19" s="10" t="n">
        <f aca="false">-Helpers!AA4*Assumptions!$B$20</f>
        <v>-20555.047548</v>
      </c>
      <c r="AB19" s="10" t="n">
        <f aca="false">-Helpers!AB4*Assumptions!$B$20</f>
        <v>-20555.047548</v>
      </c>
      <c r="AC19" s="10" t="n">
        <f aca="false">-Helpers!AC4*Assumptions!$B$20</f>
        <v>-20555.047548</v>
      </c>
      <c r="AD19" s="10" t="n">
        <f aca="false">-Helpers!AD4*Assumptions!$B$20</f>
        <v>-20555.047548</v>
      </c>
      <c r="AE19" s="10" t="n">
        <f aca="false">-Helpers!AE4*Assumptions!$B$20</f>
        <v>-20555.047548</v>
      </c>
      <c r="AF19" s="10" t="n">
        <f aca="false">-Helpers!AF4*Assumptions!$B$20</f>
        <v>-20555.047548</v>
      </c>
      <c r="AG19" s="10" t="n">
        <f aca="false">-Helpers!AG4*Assumptions!$B$20</f>
        <v>-20555.047548</v>
      </c>
      <c r="AH19" s="10" t="n">
        <f aca="false">-Helpers!AH4*Assumptions!$B$20</f>
        <v>-20555.047548</v>
      </c>
      <c r="AI19" s="10" t="n">
        <f aca="false">-Helpers!AI4*Assumptions!$B$20</f>
        <v>-20555.047548</v>
      </c>
      <c r="AJ19" s="10" t="n">
        <f aca="false">-Helpers!AJ4*Assumptions!$B$20</f>
        <v>-20555.047548</v>
      </c>
      <c r="AK19" s="10" t="n">
        <f aca="false">-Helpers!AK4*Assumptions!$B$20</f>
        <v>-20555.047548</v>
      </c>
      <c r="AL19" s="10" t="n">
        <f aca="false">-Helpers!AL4*Assumptions!$B$20</f>
        <v>-20555.047548</v>
      </c>
      <c r="AM19" s="10" t="n">
        <f aca="false">-Helpers!AM4*Assumptions!$B$20</f>
        <v>-20966.14849896</v>
      </c>
      <c r="AN19" s="10" t="n">
        <f aca="false">-Helpers!AN4*Assumptions!$B$20</f>
        <v>-20966.14849896</v>
      </c>
      <c r="AO19" s="10" t="n">
        <f aca="false">-Helpers!AO4*Assumptions!$B$20</f>
        <v>-20966.14849896</v>
      </c>
      <c r="AP19" s="10" t="n">
        <f aca="false">-Helpers!AP4*Assumptions!$B$20</f>
        <v>-20966.14849896</v>
      </c>
      <c r="AQ19" s="10" t="n">
        <f aca="false">-Helpers!AQ4*Assumptions!$B$20</f>
        <v>-20966.14849896</v>
      </c>
      <c r="AR19" s="10" t="n">
        <f aca="false">-Helpers!AR4*Assumptions!$B$20</f>
        <v>-20966.14849896</v>
      </c>
      <c r="AS19" s="10" t="n">
        <f aca="false">-Helpers!AS4*Assumptions!$B$20</f>
        <v>-20966.14849896</v>
      </c>
      <c r="AT19" s="10" t="n">
        <f aca="false">-Helpers!AT4*Assumptions!$B$20</f>
        <v>-20966.14849896</v>
      </c>
      <c r="AU19" s="10" t="n">
        <f aca="false">-Helpers!AU4*Assumptions!$B$20</f>
        <v>-20966.14849896</v>
      </c>
      <c r="AV19" s="10" t="n">
        <f aca="false">-Helpers!AV4*Assumptions!$B$20</f>
        <v>-20966.14849896</v>
      </c>
      <c r="AW19" s="10" t="n">
        <f aca="false">-Helpers!AW4*Assumptions!$B$20</f>
        <v>-20966.14849896</v>
      </c>
      <c r="AX19" s="10" t="n">
        <f aca="false">-Helpers!AX4*Assumptions!$B$20</f>
        <v>-20966.14849896</v>
      </c>
      <c r="AY19" s="10" t="n">
        <f aca="false">-Helpers!AY4*Assumptions!$B$20</f>
        <v>-21385.4714689392</v>
      </c>
      <c r="AZ19" s="10" t="n">
        <f aca="false">-Helpers!AZ4*Assumptions!$B$20</f>
        <v>-21385.4714689392</v>
      </c>
      <c r="BA19" s="10" t="n">
        <f aca="false">-Helpers!BA4*Assumptions!$B$20</f>
        <v>-21385.4714689392</v>
      </c>
      <c r="BB19" s="10" t="n">
        <f aca="false">-Helpers!BB4*Assumptions!$B$20</f>
        <v>-21385.4714689392</v>
      </c>
      <c r="BC19" s="10" t="n">
        <f aca="false">-Helpers!BC4*Assumptions!$B$20</f>
        <v>-21385.4714689392</v>
      </c>
      <c r="BD19" s="10" t="n">
        <f aca="false">-Helpers!BD4*Assumptions!$B$20</f>
        <v>-21385.4714689392</v>
      </c>
      <c r="BE19" s="10" t="n">
        <f aca="false">-Helpers!BE4*Assumptions!$B$20</f>
        <v>-21385.4714689392</v>
      </c>
      <c r="BF19" s="10" t="n">
        <f aca="false">-Helpers!BF4*Assumptions!$B$20</f>
        <v>-21385.4714689392</v>
      </c>
      <c r="BG19" s="10" t="n">
        <f aca="false">-Helpers!BG4*Assumptions!$B$20</f>
        <v>-21385.4714689392</v>
      </c>
      <c r="BH19" s="10" t="n">
        <f aca="false">-Helpers!BH4*Assumptions!$B$20</f>
        <v>-21385.4714689392</v>
      </c>
      <c r="BI19" s="10" t="n">
        <f aca="false">-Helpers!BI4*Assumptions!$B$20</f>
        <v>-21385.4714689392</v>
      </c>
      <c r="BJ19" s="10" t="n">
        <f aca="false">-Helpers!BJ4*Assumptions!$B$20</f>
        <v>-21385.4714689392</v>
      </c>
      <c r="BK19" s="10" t="n">
        <f aca="false">-Helpers!BK4*Assumptions!$B$20</f>
        <v>-21813.180898318</v>
      </c>
      <c r="BL19" s="10" t="n">
        <f aca="false">-Helpers!BL4*Assumptions!$B$20</f>
        <v>-21813.180898318</v>
      </c>
      <c r="BM19" s="10" t="n">
        <f aca="false">-Helpers!BM4*Assumptions!$B$20</f>
        <v>-21813.180898318</v>
      </c>
      <c r="BN19" s="10" t="n">
        <f aca="false">-Helpers!BN4*Assumptions!$B$20</f>
        <v>-21813.180898318</v>
      </c>
      <c r="BO19" s="10" t="n">
        <f aca="false">-Helpers!BO4*Assumptions!$B$20</f>
        <v>-21813.180898318</v>
      </c>
      <c r="BP19" s="10" t="n">
        <f aca="false">-Helpers!BP4*Assumptions!$B$20</f>
        <v>-21813.180898318</v>
      </c>
      <c r="BQ19" s="10" t="n">
        <f aca="false">-Helpers!BQ4*Assumptions!$B$20</f>
        <v>-21813.180898318</v>
      </c>
      <c r="BR19" s="10" t="n">
        <f aca="false">-Helpers!BR4*Assumptions!$B$20</f>
        <v>-21813.180898318</v>
      </c>
      <c r="BS19" s="10" t="n">
        <f aca="false">-Helpers!BS4*Assumptions!$B$20</f>
        <v>-21813.180898318</v>
      </c>
      <c r="BT19" s="10" t="n">
        <f aca="false">-Helpers!BT4*Assumptions!$B$20</f>
        <v>-21813.180898318</v>
      </c>
      <c r="BU19" s="10" t="n">
        <f aca="false">-Helpers!BU4*Assumptions!$B$20</f>
        <v>-21813.180898318</v>
      </c>
      <c r="BV19" s="10" t="n">
        <f aca="false">-Helpers!BV4*Assumptions!$B$20</f>
        <v>-21813.180898318</v>
      </c>
      <c r="BW19" s="10" t="n">
        <f aca="false">-Helpers!BW4*Assumptions!$B$20</f>
        <v>-22249.4445162843</v>
      </c>
      <c r="BX19" s="10" t="n">
        <f aca="false">-Helpers!BX4*Assumptions!$B$20</f>
        <v>-22249.4445162843</v>
      </c>
      <c r="BY19" s="10" t="n">
        <f aca="false">-Helpers!BY4*Assumptions!$B$20</f>
        <v>-22249.4445162843</v>
      </c>
      <c r="BZ19" s="10" t="n">
        <f aca="false">-Helpers!BZ4*Assumptions!$B$20</f>
        <v>-22249.4445162843</v>
      </c>
      <c r="CA19" s="10" t="n">
        <f aca="false">-Helpers!CA4*Assumptions!$B$20</f>
        <v>-22249.4445162843</v>
      </c>
      <c r="CB19" s="10" t="n">
        <f aca="false">-Helpers!CB4*Assumptions!$B$20</f>
        <v>-22249.4445162843</v>
      </c>
      <c r="CC19" s="10" t="n">
        <f aca="false">-Helpers!CC4*Assumptions!$B$20</f>
        <v>-22249.4445162843</v>
      </c>
      <c r="CD19" s="10" t="n">
        <f aca="false">-Helpers!CD4*Assumptions!$B$20</f>
        <v>-22249.4445162843</v>
      </c>
      <c r="CE19" s="10" t="n">
        <f aca="false">-Helpers!CE4*Assumptions!$B$20</f>
        <v>-22249.4445162843</v>
      </c>
      <c r="CF19" s="10" t="n">
        <f aca="false">-Helpers!CF4*Assumptions!$B$20</f>
        <v>-22249.4445162843</v>
      </c>
      <c r="CG19" s="10" t="n">
        <f aca="false">-Helpers!CG4*Assumptions!$B$20</f>
        <v>-22249.4445162843</v>
      </c>
      <c r="CH19" s="10" t="n">
        <f aca="false">-Helpers!CH4*Assumptions!$B$20</f>
        <v>-22249.4445162843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-1359.12166666667</v>
      </c>
      <c r="G20" s="10" t="n">
        <f aca="false">-Helpers!G4*Assumptions!$B$21</f>
        <v>-1411.205</v>
      </c>
      <c r="H20" s="10" t="n">
        <f aca="false">-Helpers!H4*Assumptions!$B$21</f>
        <v>-1411.205</v>
      </c>
      <c r="I20" s="10" t="n">
        <f aca="false">-Helpers!I4*Assumptions!$B$21</f>
        <v>-1411.205</v>
      </c>
      <c r="J20" s="10" t="n">
        <f aca="false">-Helpers!J4*Assumptions!$B$21</f>
        <v>-1411.205</v>
      </c>
      <c r="K20" s="10" t="n">
        <f aca="false">-Helpers!K4*Assumptions!$B$21</f>
        <v>-1411.205</v>
      </c>
      <c r="L20" s="10" t="n">
        <f aca="false">-Helpers!L4*Assumptions!$B$21</f>
        <v>-1411.205</v>
      </c>
      <c r="M20" s="10" t="n">
        <f aca="false">-Helpers!M4*Assumptions!$B$21</f>
        <v>-1411.205</v>
      </c>
      <c r="N20" s="10" t="n">
        <f aca="false">-Helpers!N4*Assumptions!$B$21</f>
        <v>-1411.205</v>
      </c>
      <c r="O20" s="10" t="n">
        <f aca="false">-Helpers!O4*Assumptions!$B$21</f>
        <v>-1439.4291</v>
      </c>
      <c r="P20" s="10" t="n">
        <f aca="false">-Helpers!P4*Assumptions!$B$21</f>
        <v>-1439.4291</v>
      </c>
      <c r="Q20" s="10" t="n">
        <f aca="false">-Helpers!Q4*Assumptions!$B$21</f>
        <v>-1439.4291</v>
      </c>
      <c r="R20" s="10" t="n">
        <f aca="false">-Helpers!R4*Assumptions!$B$21</f>
        <v>-1439.4291</v>
      </c>
      <c r="S20" s="10" t="n">
        <f aca="false">-Helpers!S4*Assumptions!$B$21</f>
        <v>-1439.4291</v>
      </c>
      <c r="T20" s="10" t="n">
        <f aca="false">-Helpers!T4*Assumptions!$B$21</f>
        <v>-1439.4291</v>
      </c>
      <c r="U20" s="10" t="n">
        <f aca="false">-Helpers!U4*Assumptions!$B$21</f>
        <v>-1439.4291</v>
      </c>
      <c r="V20" s="10" t="n">
        <f aca="false">-Helpers!V4*Assumptions!$B$21</f>
        <v>-1439.4291</v>
      </c>
      <c r="W20" s="10" t="n">
        <f aca="false">-Helpers!W4*Assumptions!$B$21</f>
        <v>-1439.4291</v>
      </c>
      <c r="X20" s="10" t="n">
        <f aca="false">-Helpers!X4*Assumptions!$B$21</f>
        <v>-1439.4291</v>
      </c>
      <c r="Y20" s="10" t="n">
        <f aca="false">-Helpers!Y4*Assumptions!$B$21</f>
        <v>-1439.4291</v>
      </c>
      <c r="Z20" s="10" t="n">
        <f aca="false">-Helpers!Z4*Assumptions!$B$21</f>
        <v>-1439.4291</v>
      </c>
      <c r="AA20" s="10" t="n">
        <f aca="false">-Helpers!AA4*Assumptions!$B$21</f>
        <v>-1468.217682</v>
      </c>
      <c r="AB20" s="10" t="n">
        <f aca="false">-Helpers!AB4*Assumptions!$B$21</f>
        <v>-1468.217682</v>
      </c>
      <c r="AC20" s="10" t="n">
        <f aca="false">-Helpers!AC4*Assumptions!$B$21</f>
        <v>-1468.217682</v>
      </c>
      <c r="AD20" s="10" t="n">
        <f aca="false">-Helpers!AD4*Assumptions!$B$21</f>
        <v>-1468.217682</v>
      </c>
      <c r="AE20" s="10" t="n">
        <f aca="false">-Helpers!AE4*Assumptions!$B$21</f>
        <v>-1468.217682</v>
      </c>
      <c r="AF20" s="10" t="n">
        <f aca="false">-Helpers!AF4*Assumptions!$B$21</f>
        <v>-1468.217682</v>
      </c>
      <c r="AG20" s="10" t="n">
        <f aca="false">-Helpers!AG4*Assumptions!$B$21</f>
        <v>-1468.217682</v>
      </c>
      <c r="AH20" s="10" t="n">
        <f aca="false">-Helpers!AH4*Assumptions!$B$21</f>
        <v>-1468.217682</v>
      </c>
      <c r="AI20" s="10" t="n">
        <f aca="false">-Helpers!AI4*Assumptions!$B$21</f>
        <v>-1468.217682</v>
      </c>
      <c r="AJ20" s="10" t="n">
        <f aca="false">-Helpers!AJ4*Assumptions!$B$21</f>
        <v>-1468.217682</v>
      </c>
      <c r="AK20" s="10" t="n">
        <f aca="false">-Helpers!AK4*Assumptions!$B$21</f>
        <v>-1468.217682</v>
      </c>
      <c r="AL20" s="10" t="n">
        <f aca="false">-Helpers!AL4*Assumptions!$B$21</f>
        <v>-1468.217682</v>
      </c>
      <c r="AM20" s="10" t="n">
        <f aca="false">-Helpers!AM4*Assumptions!$B$21</f>
        <v>-1497.58203564</v>
      </c>
      <c r="AN20" s="10" t="n">
        <f aca="false">-Helpers!AN4*Assumptions!$B$21</f>
        <v>-1497.58203564</v>
      </c>
      <c r="AO20" s="10" t="n">
        <f aca="false">-Helpers!AO4*Assumptions!$B$21</f>
        <v>-1497.58203564</v>
      </c>
      <c r="AP20" s="10" t="n">
        <f aca="false">-Helpers!AP4*Assumptions!$B$21</f>
        <v>-1497.58203564</v>
      </c>
      <c r="AQ20" s="10" t="n">
        <f aca="false">-Helpers!AQ4*Assumptions!$B$21</f>
        <v>-1497.58203564</v>
      </c>
      <c r="AR20" s="10" t="n">
        <f aca="false">-Helpers!AR4*Assumptions!$B$21</f>
        <v>-1497.58203564</v>
      </c>
      <c r="AS20" s="10" t="n">
        <f aca="false">-Helpers!AS4*Assumptions!$B$21</f>
        <v>-1497.58203564</v>
      </c>
      <c r="AT20" s="10" t="n">
        <f aca="false">-Helpers!AT4*Assumptions!$B$21</f>
        <v>-1497.58203564</v>
      </c>
      <c r="AU20" s="10" t="n">
        <f aca="false">-Helpers!AU4*Assumptions!$B$21</f>
        <v>-1497.58203564</v>
      </c>
      <c r="AV20" s="10" t="n">
        <f aca="false">-Helpers!AV4*Assumptions!$B$21</f>
        <v>-1497.58203564</v>
      </c>
      <c r="AW20" s="10" t="n">
        <f aca="false">-Helpers!AW4*Assumptions!$B$21</f>
        <v>-1497.58203564</v>
      </c>
      <c r="AX20" s="10" t="n">
        <f aca="false">-Helpers!AX4*Assumptions!$B$21</f>
        <v>-1497.58203564</v>
      </c>
      <c r="AY20" s="10" t="n">
        <f aca="false">-Helpers!AY4*Assumptions!$B$21</f>
        <v>-1527.5336763528</v>
      </c>
      <c r="AZ20" s="10" t="n">
        <f aca="false">-Helpers!AZ4*Assumptions!$B$21</f>
        <v>-1527.5336763528</v>
      </c>
      <c r="BA20" s="10" t="n">
        <f aca="false">-Helpers!BA4*Assumptions!$B$21</f>
        <v>-1527.5336763528</v>
      </c>
      <c r="BB20" s="10" t="n">
        <f aca="false">-Helpers!BB4*Assumptions!$B$21</f>
        <v>-1527.5336763528</v>
      </c>
      <c r="BC20" s="10" t="n">
        <f aca="false">-Helpers!BC4*Assumptions!$B$21</f>
        <v>-1527.5336763528</v>
      </c>
      <c r="BD20" s="10" t="n">
        <f aca="false">-Helpers!BD4*Assumptions!$B$21</f>
        <v>-1527.5336763528</v>
      </c>
      <c r="BE20" s="10" t="n">
        <f aca="false">-Helpers!BE4*Assumptions!$B$21</f>
        <v>-1527.5336763528</v>
      </c>
      <c r="BF20" s="10" t="n">
        <f aca="false">-Helpers!BF4*Assumptions!$B$21</f>
        <v>-1527.5336763528</v>
      </c>
      <c r="BG20" s="10" t="n">
        <f aca="false">-Helpers!BG4*Assumptions!$B$21</f>
        <v>-1527.5336763528</v>
      </c>
      <c r="BH20" s="10" t="n">
        <f aca="false">-Helpers!BH4*Assumptions!$B$21</f>
        <v>-1527.5336763528</v>
      </c>
      <c r="BI20" s="10" t="n">
        <f aca="false">-Helpers!BI4*Assumptions!$B$21</f>
        <v>-1527.5336763528</v>
      </c>
      <c r="BJ20" s="10" t="n">
        <f aca="false">-Helpers!BJ4*Assumptions!$B$21</f>
        <v>-1527.5336763528</v>
      </c>
      <c r="BK20" s="10" t="n">
        <f aca="false">-Helpers!BK4*Assumptions!$B$21</f>
        <v>-1558.08434987986</v>
      </c>
      <c r="BL20" s="10" t="n">
        <f aca="false">-Helpers!BL4*Assumptions!$B$21</f>
        <v>-1558.08434987986</v>
      </c>
      <c r="BM20" s="10" t="n">
        <f aca="false">-Helpers!BM4*Assumptions!$B$21</f>
        <v>-1558.08434987986</v>
      </c>
      <c r="BN20" s="10" t="n">
        <f aca="false">-Helpers!BN4*Assumptions!$B$21</f>
        <v>-1558.08434987986</v>
      </c>
      <c r="BO20" s="10" t="n">
        <f aca="false">-Helpers!BO4*Assumptions!$B$21</f>
        <v>-1558.08434987986</v>
      </c>
      <c r="BP20" s="10" t="n">
        <f aca="false">-Helpers!BP4*Assumptions!$B$21</f>
        <v>-1558.08434987986</v>
      </c>
      <c r="BQ20" s="10" t="n">
        <f aca="false">-Helpers!BQ4*Assumptions!$B$21</f>
        <v>-1558.08434987986</v>
      </c>
      <c r="BR20" s="10" t="n">
        <f aca="false">-Helpers!BR4*Assumptions!$B$21</f>
        <v>-1558.08434987986</v>
      </c>
      <c r="BS20" s="10" t="n">
        <f aca="false">-Helpers!BS4*Assumptions!$B$21</f>
        <v>-1558.08434987986</v>
      </c>
      <c r="BT20" s="10" t="n">
        <f aca="false">-Helpers!BT4*Assumptions!$B$21</f>
        <v>-1558.08434987986</v>
      </c>
      <c r="BU20" s="10" t="n">
        <f aca="false">-Helpers!BU4*Assumptions!$B$21</f>
        <v>-1558.08434987986</v>
      </c>
      <c r="BV20" s="10" t="n">
        <f aca="false">-Helpers!BV4*Assumptions!$B$21</f>
        <v>-1558.08434987986</v>
      </c>
      <c r="BW20" s="10" t="n">
        <f aca="false">-Helpers!BW4*Assumptions!$B$21</f>
        <v>-1589.24603687745</v>
      </c>
      <c r="BX20" s="10" t="n">
        <f aca="false">-Helpers!BX4*Assumptions!$B$21</f>
        <v>-1589.24603687745</v>
      </c>
      <c r="BY20" s="10" t="n">
        <f aca="false">-Helpers!BY4*Assumptions!$B$21</f>
        <v>-1589.24603687745</v>
      </c>
      <c r="BZ20" s="10" t="n">
        <f aca="false">-Helpers!BZ4*Assumptions!$B$21</f>
        <v>-1589.24603687745</v>
      </c>
      <c r="CA20" s="10" t="n">
        <f aca="false">-Helpers!CA4*Assumptions!$B$21</f>
        <v>-1589.24603687745</v>
      </c>
      <c r="CB20" s="10" t="n">
        <f aca="false">-Helpers!CB4*Assumptions!$B$21</f>
        <v>-1589.24603687745</v>
      </c>
      <c r="CC20" s="10" t="n">
        <f aca="false">-Helpers!CC4*Assumptions!$B$21</f>
        <v>-1589.24603687745</v>
      </c>
      <c r="CD20" s="10" t="n">
        <f aca="false">-Helpers!CD4*Assumptions!$B$21</f>
        <v>-1589.24603687745</v>
      </c>
      <c r="CE20" s="10" t="n">
        <f aca="false">-Helpers!CE4*Assumptions!$B$21</f>
        <v>-1589.24603687745</v>
      </c>
      <c r="CF20" s="10" t="n">
        <f aca="false">-Helpers!CF4*Assumptions!$B$21</f>
        <v>-1589.24603687745</v>
      </c>
      <c r="CG20" s="10" t="n">
        <f aca="false">-Helpers!CG4*Assumptions!$B$21</f>
        <v>-1589.24603687745</v>
      </c>
      <c r="CH20" s="10" t="n">
        <f aca="false">-Helpers!CH4*Assumptions!$B$21</f>
        <v>-1589.24603687745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-19027.7033333333</v>
      </c>
      <c r="G21" s="10" t="n">
        <f aca="false">-Helpers!G4*Assumptions!$B$22</f>
        <v>-19756.87</v>
      </c>
      <c r="H21" s="10" t="n">
        <f aca="false">-Helpers!H4*Assumptions!$B$22</f>
        <v>-19756.87</v>
      </c>
      <c r="I21" s="10" t="n">
        <f aca="false">-Helpers!I4*Assumptions!$B$22</f>
        <v>-19756.87</v>
      </c>
      <c r="J21" s="10" t="n">
        <f aca="false">-Helpers!J4*Assumptions!$B$22</f>
        <v>-19756.87</v>
      </c>
      <c r="K21" s="10" t="n">
        <f aca="false">-Helpers!K4*Assumptions!$B$22</f>
        <v>-19756.87</v>
      </c>
      <c r="L21" s="10" t="n">
        <f aca="false">-Helpers!L4*Assumptions!$B$22</f>
        <v>-19756.87</v>
      </c>
      <c r="M21" s="10" t="n">
        <f aca="false">-Helpers!M4*Assumptions!$B$22</f>
        <v>-19756.87</v>
      </c>
      <c r="N21" s="10" t="n">
        <f aca="false">-Helpers!N4*Assumptions!$B$22</f>
        <v>-19756.87</v>
      </c>
      <c r="O21" s="10" t="n">
        <f aca="false">-Helpers!O4*Assumptions!$B$22</f>
        <v>-20152.0074</v>
      </c>
      <c r="P21" s="10" t="n">
        <f aca="false">-Helpers!P4*Assumptions!$B$22</f>
        <v>-20152.0074</v>
      </c>
      <c r="Q21" s="10" t="n">
        <f aca="false">-Helpers!Q4*Assumptions!$B$22</f>
        <v>-20152.0074</v>
      </c>
      <c r="R21" s="10" t="n">
        <f aca="false">-Helpers!R4*Assumptions!$B$22</f>
        <v>-20152.0074</v>
      </c>
      <c r="S21" s="10" t="n">
        <f aca="false">-Helpers!S4*Assumptions!$B$22</f>
        <v>-20152.0074</v>
      </c>
      <c r="T21" s="10" t="n">
        <f aca="false">-Helpers!T4*Assumptions!$B$22</f>
        <v>-20152.0074</v>
      </c>
      <c r="U21" s="10" t="n">
        <f aca="false">-Helpers!U4*Assumptions!$B$22</f>
        <v>-20152.0074</v>
      </c>
      <c r="V21" s="10" t="n">
        <f aca="false">-Helpers!V4*Assumptions!$B$22</f>
        <v>-20152.0074</v>
      </c>
      <c r="W21" s="10" t="n">
        <f aca="false">-Helpers!W4*Assumptions!$B$22</f>
        <v>-20152.0074</v>
      </c>
      <c r="X21" s="10" t="n">
        <f aca="false">-Helpers!X4*Assumptions!$B$22</f>
        <v>-20152.0074</v>
      </c>
      <c r="Y21" s="10" t="n">
        <f aca="false">-Helpers!Y4*Assumptions!$B$22</f>
        <v>-20152.0074</v>
      </c>
      <c r="Z21" s="10" t="n">
        <f aca="false">-Helpers!Z4*Assumptions!$B$22</f>
        <v>-20152.0074</v>
      </c>
      <c r="AA21" s="10" t="n">
        <f aca="false">-Helpers!AA4*Assumptions!$B$22</f>
        <v>-20555.047548</v>
      </c>
      <c r="AB21" s="10" t="n">
        <f aca="false">-Helpers!AB4*Assumptions!$B$22</f>
        <v>-20555.047548</v>
      </c>
      <c r="AC21" s="10" t="n">
        <f aca="false">-Helpers!AC4*Assumptions!$B$22</f>
        <v>-20555.047548</v>
      </c>
      <c r="AD21" s="10" t="n">
        <f aca="false">-Helpers!AD4*Assumptions!$B$22</f>
        <v>-20555.047548</v>
      </c>
      <c r="AE21" s="10" t="n">
        <f aca="false">-Helpers!AE4*Assumptions!$B$22</f>
        <v>-20555.047548</v>
      </c>
      <c r="AF21" s="10" t="n">
        <f aca="false">-Helpers!AF4*Assumptions!$B$22</f>
        <v>-20555.047548</v>
      </c>
      <c r="AG21" s="10" t="n">
        <f aca="false">-Helpers!AG4*Assumptions!$B$22</f>
        <v>-20555.047548</v>
      </c>
      <c r="AH21" s="10" t="n">
        <f aca="false">-Helpers!AH4*Assumptions!$B$22</f>
        <v>-20555.047548</v>
      </c>
      <c r="AI21" s="10" t="n">
        <f aca="false">-Helpers!AI4*Assumptions!$B$22</f>
        <v>-20555.047548</v>
      </c>
      <c r="AJ21" s="10" t="n">
        <f aca="false">-Helpers!AJ4*Assumptions!$B$22</f>
        <v>-20555.047548</v>
      </c>
      <c r="AK21" s="10" t="n">
        <f aca="false">-Helpers!AK4*Assumptions!$B$22</f>
        <v>-20555.047548</v>
      </c>
      <c r="AL21" s="10" t="n">
        <f aca="false">-Helpers!AL4*Assumptions!$B$22</f>
        <v>-20555.047548</v>
      </c>
      <c r="AM21" s="10" t="n">
        <f aca="false">-Helpers!AM4*Assumptions!$B$22</f>
        <v>-20966.14849896</v>
      </c>
      <c r="AN21" s="10" t="n">
        <f aca="false">-Helpers!AN4*Assumptions!$B$22</f>
        <v>-20966.14849896</v>
      </c>
      <c r="AO21" s="10" t="n">
        <f aca="false">-Helpers!AO4*Assumptions!$B$22</f>
        <v>-20966.14849896</v>
      </c>
      <c r="AP21" s="10" t="n">
        <f aca="false">-Helpers!AP4*Assumptions!$B$22</f>
        <v>-20966.14849896</v>
      </c>
      <c r="AQ21" s="10" t="n">
        <f aca="false">-Helpers!AQ4*Assumptions!$B$22</f>
        <v>-20966.14849896</v>
      </c>
      <c r="AR21" s="10" t="n">
        <f aca="false">-Helpers!AR4*Assumptions!$B$22</f>
        <v>-20966.14849896</v>
      </c>
      <c r="AS21" s="10" t="n">
        <f aca="false">-Helpers!AS4*Assumptions!$B$22</f>
        <v>-20966.14849896</v>
      </c>
      <c r="AT21" s="10" t="n">
        <f aca="false">-Helpers!AT4*Assumptions!$B$22</f>
        <v>-20966.14849896</v>
      </c>
      <c r="AU21" s="10" t="n">
        <f aca="false">-Helpers!AU4*Assumptions!$B$22</f>
        <v>-20966.14849896</v>
      </c>
      <c r="AV21" s="10" t="n">
        <f aca="false">-Helpers!AV4*Assumptions!$B$22</f>
        <v>-20966.14849896</v>
      </c>
      <c r="AW21" s="10" t="n">
        <f aca="false">-Helpers!AW4*Assumptions!$B$22</f>
        <v>-20966.14849896</v>
      </c>
      <c r="AX21" s="10" t="n">
        <f aca="false">-Helpers!AX4*Assumptions!$B$22</f>
        <v>-20966.14849896</v>
      </c>
      <c r="AY21" s="10" t="n">
        <f aca="false">-Helpers!AY4*Assumptions!$B$22</f>
        <v>-21385.4714689392</v>
      </c>
      <c r="AZ21" s="10" t="n">
        <f aca="false">-Helpers!AZ4*Assumptions!$B$22</f>
        <v>-21385.4714689392</v>
      </c>
      <c r="BA21" s="10" t="n">
        <f aca="false">-Helpers!BA4*Assumptions!$B$22</f>
        <v>-21385.4714689392</v>
      </c>
      <c r="BB21" s="10" t="n">
        <f aca="false">-Helpers!BB4*Assumptions!$B$22</f>
        <v>-21385.4714689392</v>
      </c>
      <c r="BC21" s="10" t="n">
        <f aca="false">-Helpers!BC4*Assumptions!$B$22</f>
        <v>-21385.4714689392</v>
      </c>
      <c r="BD21" s="10" t="n">
        <f aca="false">-Helpers!BD4*Assumptions!$B$22</f>
        <v>-21385.4714689392</v>
      </c>
      <c r="BE21" s="10" t="n">
        <f aca="false">-Helpers!BE4*Assumptions!$B$22</f>
        <v>-21385.4714689392</v>
      </c>
      <c r="BF21" s="10" t="n">
        <f aca="false">-Helpers!BF4*Assumptions!$B$22</f>
        <v>-21385.4714689392</v>
      </c>
      <c r="BG21" s="10" t="n">
        <f aca="false">-Helpers!BG4*Assumptions!$B$22</f>
        <v>-21385.4714689392</v>
      </c>
      <c r="BH21" s="10" t="n">
        <f aca="false">-Helpers!BH4*Assumptions!$B$22</f>
        <v>-21385.4714689392</v>
      </c>
      <c r="BI21" s="10" t="n">
        <f aca="false">-Helpers!BI4*Assumptions!$B$22</f>
        <v>-21385.4714689392</v>
      </c>
      <c r="BJ21" s="10" t="n">
        <f aca="false">-Helpers!BJ4*Assumptions!$B$22</f>
        <v>-21385.4714689392</v>
      </c>
      <c r="BK21" s="10" t="n">
        <f aca="false">-Helpers!BK4*Assumptions!$B$22</f>
        <v>-21813.180898318</v>
      </c>
      <c r="BL21" s="10" t="n">
        <f aca="false">-Helpers!BL4*Assumptions!$B$22</f>
        <v>-21813.180898318</v>
      </c>
      <c r="BM21" s="10" t="n">
        <f aca="false">-Helpers!BM4*Assumptions!$B$22</f>
        <v>-21813.180898318</v>
      </c>
      <c r="BN21" s="10" t="n">
        <f aca="false">-Helpers!BN4*Assumptions!$B$22</f>
        <v>-21813.180898318</v>
      </c>
      <c r="BO21" s="10" t="n">
        <f aca="false">-Helpers!BO4*Assumptions!$B$22</f>
        <v>-21813.180898318</v>
      </c>
      <c r="BP21" s="10" t="n">
        <f aca="false">-Helpers!BP4*Assumptions!$B$22</f>
        <v>-21813.180898318</v>
      </c>
      <c r="BQ21" s="10" t="n">
        <f aca="false">-Helpers!BQ4*Assumptions!$B$22</f>
        <v>-21813.180898318</v>
      </c>
      <c r="BR21" s="10" t="n">
        <f aca="false">-Helpers!BR4*Assumptions!$B$22</f>
        <v>-21813.180898318</v>
      </c>
      <c r="BS21" s="10" t="n">
        <f aca="false">-Helpers!BS4*Assumptions!$B$22</f>
        <v>-21813.180898318</v>
      </c>
      <c r="BT21" s="10" t="n">
        <f aca="false">-Helpers!BT4*Assumptions!$B$22</f>
        <v>-21813.180898318</v>
      </c>
      <c r="BU21" s="10" t="n">
        <f aca="false">-Helpers!BU4*Assumptions!$B$22</f>
        <v>-21813.180898318</v>
      </c>
      <c r="BV21" s="10" t="n">
        <f aca="false">-Helpers!BV4*Assumptions!$B$22</f>
        <v>-21813.180898318</v>
      </c>
      <c r="BW21" s="10" t="n">
        <f aca="false">-Helpers!BW4*Assumptions!$B$22</f>
        <v>-22249.4445162843</v>
      </c>
      <c r="BX21" s="10" t="n">
        <f aca="false">-Helpers!BX4*Assumptions!$B$22</f>
        <v>-22249.4445162843</v>
      </c>
      <c r="BY21" s="10" t="n">
        <f aca="false">-Helpers!BY4*Assumptions!$B$22</f>
        <v>-22249.4445162843</v>
      </c>
      <c r="BZ21" s="10" t="n">
        <f aca="false">-Helpers!BZ4*Assumptions!$B$22</f>
        <v>-22249.4445162843</v>
      </c>
      <c r="CA21" s="10" t="n">
        <f aca="false">-Helpers!CA4*Assumptions!$B$22</f>
        <v>-22249.4445162843</v>
      </c>
      <c r="CB21" s="10" t="n">
        <f aca="false">-Helpers!CB4*Assumptions!$B$22</f>
        <v>-22249.4445162843</v>
      </c>
      <c r="CC21" s="10" t="n">
        <f aca="false">-Helpers!CC4*Assumptions!$B$22</f>
        <v>-22249.4445162843</v>
      </c>
      <c r="CD21" s="10" t="n">
        <f aca="false">-Helpers!CD4*Assumptions!$B$22</f>
        <v>-22249.4445162843</v>
      </c>
      <c r="CE21" s="10" t="n">
        <f aca="false">-Helpers!CE4*Assumptions!$B$22</f>
        <v>-22249.4445162843</v>
      </c>
      <c r="CF21" s="10" t="n">
        <f aca="false">-Helpers!CF4*Assumptions!$B$22</f>
        <v>-22249.4445162843</v>
      </c>
      <c r="CG21" s="10" t="n">
        <f aca="false">-Helpers!CG4*Assumptions!$B$22</f>
        <v>-22249.4445162843</v>
      </c>
      <c r="CH21" s="10" t="n">
        <f aca="false">-Helpers!CH4*Assumptions!$B$22</f>
        <v>-22249.4445162843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-5436.48666666667</v>
      </c>
      <c r="G22" s="10" t="n">
        <f aca="false">-Helpers!G4*Assumptions!$B$23</f>
        <v>-5644.82</v>
      </c>
      <c r="H22" s="10" t="n">
        <f aca="false">-Helpers!H4*Assumptions!$B$23</f>
        <v>-5644.82</v>
      </c>
      <c r="I22" s="10" t="n">
        <f aca="false">-Helpers!I4*Assumptions!$B$23</f>
        <v>-5644.82</v>
      </c>
      <c r="J22" s="10" t="n">
        <f aca="false">-Helpers!J4*Assumptions!$B$23</f>
        <v>-5644.82</v>
      </c>
      <c r="K22" s="10" t="n">
        <f aca="false">-Helpers!K4*Assumptions!$B$23</f>
        <v>-5644.82</v>
      </c>
      <c r="L22" s="10" t="n">
        <f aca="false">-Helpers!L4*Assumptions!$B$23</f>
        <v>-5644.82</v>
      </c>
      <c r="M22" s="10" t="n">
        <f aca="false">-Helpers!M4*Assumptions!$B$23</f>
        <v>-5644.82</v>
      </c>
      <c r="N22" s="10" t="n">
        <f aca="false">-Helpers!N4*Assumptions!$B$23</f>
        <v>-5644.82</v>
      </c>
      <c r="O22" s="10" t="n">
        <f aca="false">-Helpers!O4*Assumptions!$B$23</f>
        <v>-5757.7164</v>
      </c>
      <c r="P22" s="10" t="n">
        <f aca="false">-Helpers!P4*Assumptions!$B$23</f>
        <v>-5757.7164</v>
      </c>
      <c r="Q22" s="10" t="n">
        <f aca="false">-Helpers!Q4*Assumptions!$B$23</f>
        <v>-5757.7164</v>
      </c>
      <c r="R22" s="10" t="n">
        <f aca="false">-Helpers!R4*Assumptions!$B$23</f>
        <v>-5757.7164</v>
      </c>
      <c r="S22" s="10" t="n">
        <f aca="false">-Helpers!S4*Assumptions!$B$23</f>
        <v>-5757.7164</v>
      </c>
      <c r="T22" s="10" t="n">
        <f aca="false">-Helpers!T4*Assumptions!$B$23</f>
        <v>-5757.7164</v>
      </c>
      <c r="U22" s="10" t="n">
        <f aca="false">-Helpers!U4*Assumptions!$B$23</f>
        <v>-5757.7164</v>
      </c>
      <c r="V22" s="10" t="n">
        <f aca="false">-Helpers!V4*Assumptions!$B$23</f>
        <v>-5757.7164</v>
      </c>
      <c r="W22" s="10" t="n">
        <f aca="false">-Helpers!W4*Assumptions!$B$23</f>
        <v>-5757.7164</v>
      </c>
      <c r="X22" s="10" t="n">
        <f aca="false">-Helpers!X4*Assumptions!$B$23</f>
        <v>-5757.7164</v>
      </c>
      <c r="Y22" s="10" t="n">
        <f aca="false">-Helpers!Y4*Assumptions!$B$23</f>
        <v>-5757.7164</v>
      </c>
      <c r="Z22" s="10" t="n">
        <f aca="false">-Helpers!Z4*Assumptions!$B$23</f>
        <v>-5757.7164</v>
      </c>
      <c r="AA22" s="10" t="n">
        <f aca="false">-Helpers!AA4*Assumptions!$B$23</f>
        <v>-5872.870728</v>
      </c>
      <c r="AB22" s="10" t="n">
        <f aca="false">-Helpers!AB4*Assumptions!$B$23</f>
        <v>-5872.870728</v>
      </c>
      <c r="AC22" s="10" t="n">
        <f aca="false">-Helpers!AC4*Assumptions!$B$23</f>
        <v>-5872.870728</v>
      </c>
      <c r="AD22" s="10" t="n">
        <f aca="false">-Helpers!AD4*Assumptions!$B$23</f>
        <v>-5872.870728</v>
      </c>
      <c r="AE22" s="10" t="n">
        <f aca="false">-Helpers!AE4*Assumptions!$B$23</f>
        <v>-5872.870728</v>
      </c>
      <c r="AF22" s="10" t="n">
        <f aca="false">-Helpers!AF4*Assumptions!$B$23</f>
        <v>-5872.870728</v>
      </c>
      <c r="AG22" s="10" t="n">
        <f aca="false">-Helpers!AG4*Assumptions!$B$23</f>
        <v>-5872.870728</v>
      </c>
      <c r="AH22" s="10" t="n">
        <f aca="false">-Helpers!AH4*Assumptions!$B$23</f>
        <v>-5872.870728</v>
      </c>
      <c r="AI22" s="10" t="n">
        <f aca="false">-Helpers!AI4*Assumptions!$B$23</f>
        <v>-5872.870728</v>
      </c>
      <c r="AJ22" s="10" t="n">
        <f aca="false">-Helpers!AJ4*Assumptions!$B$23</f>
        <v>-5872.870728</v>
      </c>
      <c r="AK22" s="10" t="n">
        <f aca="false">-Helpers!AK4*Assumptions!$B$23</f>
        <v>-5872.870728</v>
      </c>
      <c r="AL22" s="10" t="n">
        <f aca="false">-Helpers!AL4*Assumptions!$B$23</f>
        <v>-5872.870728</v>
      </c>
      <c r="AM22" s="10" t="n">
        <f aca="false">-Helpers!AM4*Assumptions!$B$23</f>
        <v>-5990.32814256</v>
      </c>
      <c r="AN22" s="10" t="n">
        <f aca="false">-Helpers!AN4*Assumptions!$B$23</f>
        <v>-5990.32814256</v>
      </c>
      <c r="AO22" s="10" t="n">
        <f aca="false">-Helpers!AO4*Assumptions!$B$23</f>
        <v>-5990.32814256</v>
      </c>
      <c r="AP22" s="10" t="n">
        <f aca="false">-Helpers!AP4*Assumptions!$B$23</f>
        <v>-5990.32814256</v>
      </c>
      <c r="AQ22" s="10" t="n">
        <f aca="false">-Helpers!AQ4*Assumptions!$B$23</f>
        <v>-5990.32814256</v>
      </c>
      <c r="AR22" s="10" t="n">
        <f aca="false">-Helpers!AR4*Assumptions!$B$23</f>
        <v>-5990.32814256</v>
      </c>
      <c r="AS22" s="10" t="n">
        <f aca="false">-Helpers!AS4*Assumptions!$B$23</f>
        <v>-5990.32814256</v>
      </c>
      <c r="AT22" s="10" t="n">
        <f aca="false">-Helpers!AT4*Assumptions!$B$23</f>
        <v>-5990.32814256</v>
      </c>
      <c r="AU22" s="10" t="n">
        <f aca="false">-Helpers!AU4*Assumptions!$B$23</f>
        <v>-5990.32814256</v>
      </c>
      <c r="AV22" s="10" t="n">
        <f aca="false">-Helpers!AV4*Assumptions!$B$23</f>
        <v>-5990.32814256</v>
      </c>
      <c r="AW22" s="10" t="n">
        <f aca="false">-Helpers!AW4*Assumptions!$B$23</f>
        <v>-5990.32814256</v>
      </c>
      <c r="AX22" s="10" t="n">
        <f aca="false">-Helpers!AX4*Assumptions!$B$23</f>
        <v>-5990.32814256</v>
      </c>
      <c r="AY22" s="10" t="n">
        <f aca="false">-Helpers!AY4*Assumptions!$B$23</f>
        <v>-6110.1347054112</v>
      </c>
      <c r="AZ22" s="10" t="n">
        <f aca="false">-Helpers!AZ4*Assumptions!$B$23</f>
        <v>-6110.1347054112</v>
      </c>
      <c r="BA22" s="10" t="n">
        <f aca="false">-Helpers!BA4*Assumptions!$B$23</f>
        <v>-6110.1347054112</v>
      </c>
      <c r="BB22" s="10" t="n">
        <f aca="false">-Helpers!BB4*Assumptions!$B$23</f>
        <v>-6110.1347054112</v>
      </c>
      <c r="BC22" s="10" t="n">
        <f aca="false">-Helpers!BC4*Assumptions!$B$23</f>
        <v>-6110.1347054112</v>
      </c>
      <c r="BD22" s="10" t="n">
        <f aca="false">-Helpers!BD4*Assumptions!$B$23</f>
        <v>-6110.1347054112</v>
      </c>
      <c r="BE22" s="10" t="n">
        <f aca="false">-Helpers!BE4*Assumptions!$B$23</f>
        <v>-6110.1347054112</v>
      </c>
      <c r="BF22" s="10" t="n">
        <f aca="false">-Helpers!BF4*Assumptions!$B$23</f>
        <v>-6110.1347054112</v>
      </c>
      <c r="BG22" s="10" t="n">
        <f aca="false">-Helpers!BG4*Assumptions!$B$23</f>
        <v>-6110.1347054112</v>
      </c>
      <c r="BH22" s="10" t="n">
        <f aca="false">-Helpers!BH4*Assumptions!$B$23</f>
        <v>-6110.1347054112</v>
      </c>
      <c r="BI22" s="10" t="n">
        <f aca="false">-Helpers!BI4*Assumptions!$B$23</f>
        <v>-6110.1347054112</v>
      </c>
      <c r="BJ22" s="10" t="n">
        <f aca="false">-Helpers!BJ4*Assumptions!$B$23</f>
        <v>-6110.1347054112</v>
      </c>
      <c r="BK22" s="10" t="n">
        <f aca="false">-Helpers!BK4*Assumptions!$B$23</f>
        <v>-6232.33739951943</v>
      </c>
      <c r="BL22" s="10" t="n">
        <f aca="false">-Helpers!BL4*Assumptions!$B$23</f>
        <v>-6232.33739951943</v>
      </c>
      <c r="BM22" s="10" t="n">
        <f aca="false">-Helpers!BM4*Assumptions!$B$23</f>
        <v>-6232.33739951943</v>
      </c>
      <c r="BN22" s="10" t="n">
        <f aca="false">-Helpers!BN4*Assumptions!$B$23</f>
        <v>-6232.33739951943</v>
      </c>
      <c r="BO22" s="10" t="n">
        <f aca="false">-Helpers!BO4*Assumptions!$B$23</f>
        <v>-6232.33739951943</v>
      </c>
      <c r="BP22" s="10" t="n">
        <f aca="false">-Helpers!BP4*Assumptions!$B$23</f>
        <v>-6232.33739951943</v>
      </c>
      <c r="BQ22" s="10" t="n">
        <f aca="false">-Helpers!BQ4*Assumptions!$B$23</f>
        <v>-6232.33739951943</v>
      </c>
      <c r="BR22" s="10" t="n">
        <f aca="false">-Helpers!BR4*Assumptions!$B$23</f>
        <v>-6232.33739951943</v>
      </c>
      <c r="BS22" s="10" t="n">
        <f aca="false">-Helpers!BS4*Assumptions!$B$23</f>
        <v>-6232.33739951943</v>
      </c>
      <c r="BT22" s="10" t="n">
        <f aca="false">-Helpers!BT4*Assumptions!$B$23</f>
        <v>-6232.33739951943</v>
      </c>
      <c r="BU22" s="10" t="n">
        <f aca="false">-Helpers!BU4*Assumptions!$B$23</f>
        <v>-6232.33739951943</v>
      </c>
      <c r="BV22" s="10" t="n">
        <f aca="false">-Helpers!BV4*Assumptions!$B$23</f>
        <v>-6232.33739951943</v>
      </c>
      <c r="BW22" s="10" t="n">
        <f aca="false">-Helpers!BW4*Assumptions!$B$23</f>
        <v>-6356.98414750981</v>
      </c>
      <c r="BX22" s="10" t="n">
        <f aca="false">-Helpers!BX4*Assumptions!$B$23</f>
        <v>-6356.98414750981</v>
      </c>
      <c r="BY22" s="10" t="n">
        <f aca="false">-Helpers!BY4*Assumptions!$B$23</f>
        <v>-6356.98414750981</v>
      </c>
      <c r="BZ22" s="10" t="n">
        <f aca="false">-Helpers!BZ4*Assumptions!$B$23</f>
        <v>-6356.98414750981</v>
      </c>
      <c r="CA22" s="10" t="n">
        <f aca="false">-Helpers!CA4*Assumptions!$B$23</f>
        <v>-6356.98414750981</v>
      </c>
      <c r="CB22" s="10" t="n">
        <f aca="false">-Helpers!CB4*Assumptions!$B$23</f>
        <v>-6356.98414750981</v>
      </c>
      <c r="CC22" s="10" t="n">
        <f aca="false">-Helpers!CC4*Assumptions!$B$23</f>
        <v>-6356.98414750981</v>
      </c>
      <c r="CD22" s="10" t="n">
        <f aca="false">-Helpers!CD4*Assumptions!$B$23</f>
        <v>-6356.98414750981</v>
      </c>
      <c r="CE22" s="10" t="n">
        <f aca="false">-Helpers!CE4*Assumptions!$B$23</f>
        <v>-6356.98414750981</v>
      </c>
      <c r="CF22" s="10" t="n">
        <f aca="false">-Helpers!CF4*Assumptions!$B$23</f>
        <v>-6356.98414750981</v>
      </c>
      <c r="CG22" s="10" t="n">
        <f aca="false">-Helpers!CG4*Assumptions!$B$23</f>
        <v>-6356.98414750981</v>
      </c>
      <c r="CH22" s="10" t="n">
        <f aca="false">-Helpers!CH4*Assumptions!$B$23</f>
        <v>-6356.98414750981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-717541.8802</v>
      </c>
      <c r="G39" s="12" t="n">
        <f aca="false">G15+G16+G17+G18+G19+G20+G21+G22+G23+SUM(G24:G38)</f>
        <v>-411710.781666667</v>
      </c>
      <c r="H39" s="12" t="n">
        <f aca="false">H15+H16+H17+H18+H19+H20+H21+H22+H23+SUM(H24:H38)</f>
        <v>-411710.781666667</v>
      </c>
      <c r="I39" s="12" t="n">
        <f aca="false">I15+I16+I17+I18+I19+I20+I21+I22+I23+SUM(I24:I38)</f>
        <v>-629793.628666667</v>
      </c>
      <c r="J39" s="12" t="n">
        <f aca="false">J15+J16+J17+J18+J19+J20+J21+J22+J23+SUM(J24:J38)</f>
        <v>-569059.978666667</v>
      </c>
      <c r="K39" s="12" t="n">
        <f aca="false">K15+K16+K17+K18+K19+K20+K21+K22+K23+SUM(K24:K38)</f>
        <v>-411710.781666667</v>
      </c>
      <c r="L39" s="12" t="n">
        <f aca="false">L15+L16+L17+L18+L19+L20+L21+L22+L23+SUM(L24:L38)</f>
        <v>-411710.781666667</v>
      </c>
      <c r="M39" s="12" t="n">
        <f aca="false">M15+M16+M17+M18+M19+M20+M21+M22+M23+SUM(M24:M38)</f>
        <v>-411710.781666667</v>
      </c>
      <c r="N39" s="12" t="n">
        <f aca="false">N15+N16+N17+N18+N19+N20+N21+N22+N23+SUM(N24:N38)</f>
        <v>-411710.781666667</v>
      </c>
      <c r="O39" s="12" t="n">
        <f aca="false">O15+O16+O17+O18+O19+O20+O21+O22+O23+SUM(O24:O38)</f>
        <v>-1885553.53563333</v>
      </c>
      <c r="P39" s="12" t="n">
        <f aca="false">P15+P16+P17+P18+P19+P20+P21+P22+P23+SUM(P24:P38)</f>
        <v>-414383.510633333</v>
      </c>
      <c r="Q39" s="12" t="n">
        <f aca="false">Q15+Q16+Q17+Q18+Q19+Q20+Q21+Q22+Q23+SUM(Q24:Q38)</f>
        <v>-414383.510633333</v>
      </c>
      <c r="R39" s="12" t="n">
        <f aca="false">R15+R16+R17+R18+R19+R20+R21+R22+R23+SUM(R24:R38)</f>
        <v>-907732.080633333</v>
      </c>
      <c r="S39" s="12" t="n">
        <f aca="false">S15+S16+S17+S18+S19+S20+S21+S22+S23+SUM(S24:S38)</f>
        <v>-414383.510633333</v>
      </c>
      <c r="T39" s="12" t="n">
        <f aca="false">T15+T16+T17+T18+T19+T20+T21+T22+T23+SUM(T24:T38)</f>
        <v>-414383.510633333</v>
      </c>
      <c r="U39" s="12" t="n">
        <f aca="false">U15+U16+U17+U18+U19+U20+U21+U22+U23+SUM(U24:U38)</f>
        <v>-907732.080633333</v>
      </c>
      <c r="V39" s="12" t="n">
        <f aca="false">V15+V16+V17+V18+V19+V20+V21+V22+V23+SUM(V24:V38)</f>
        <v>-414383.510633333</v>
      </c>
      <c r="W39" s="12" t="n">
        <f aca="false">W15+W16+W17+W18+W19+W20+W21+W22+W23+SUM(W24:W38)</f>
        <v>-414383.510633333</v>
      </c>
      <c r="X39" s="12" t="n">
        <f aca="false">X15+X16+X17+X18+X19+X20+X21+X22+X23+SUM(X24:X38)</f>
        <v>-414383.510633333</v>
      </c>
      <c r="Y39" s="12" t="n">
        <f aca="false">Y15+Y16+Y17+Y18+Y19+Y20+Y21+Y22+Y23+SUM(Y24:Y38)</f>
        <v>-414383.510633333</v>
      </c>
      <c r="Z39" s="12" t="n">
        <f aca="false">Z15+Z16+Z17+Z18+Z19+Z20+Z21+Z22+Z23+SUM(Z24:Z38)</f>
        <v>-414383.510633333</v>
      </c>
      <c r="AA39" s="12" t="n">
        <f aca="false">AA15+AA16+AA17+AA18+AA19+AA20+AA21+AA22+AA23+SUM(AA24:AA38)</f>
        <v>-417109.694179333</v>
      </c>
      <c r="AB39" s="12" t="n">
        <f aca="false">AB15+AB16+AB17+AB18+AB19+AB20+AB21+AB22+AB23+SUM(AB24:AB38)</f>
        <v>-417109.694179333</v>
      </c>
      <c r="AC39" s="12" t="n">
        <f aca="false">AC15+AC16+AC17+AC18+AC19+AC20+AC21+AC22+AC23+SUM(AC24:AC38)</f>
        <v>-1761135.23417933</v>
      </c>
      <c r="AD39" s="12" t="n">
        <f aca="false">AD15+AD16+AD17+AD18+AD19+AD20+AD21+AD22+AD23+SUM(AD24:AD38)</f>
        <v>-417109.694179333</v>
      </c>
      <c r="AE39" s="12" t="n">
        <f aca="false">AE15+AE16+AE17+AE18+AE19+AE20+AE21+AE22+AE23+SUM(AE24:AE38)</f>
        <v>-417109.694179333</v>
      </c>
      <c r="AF39" s="12" t="n">
        <f aca="false">AF15+AF16+AF17+AF18+AF19+AF20+AF21+AF22+AF23+SUM(AF24:AF38)</f>
        <v>-417109.694179333</v>
      </c>
      <c r="AG39" s="12" t="n">
        <f aca="false">AG15+AG16+AG17+AG18+AG19+AG20+AG21+AG22+AG23+SUM(AG24:AG38)</f>
        <v>-417109.694179333</v>
      </c>
      <c r="AH39" s="12" t="n">
        <f aca="false">AH15+AH16+AH17+AH18+AH19+AH20+AH21+AH22+AH23+SUM(AH24:AH38)</f>
        <v>-417109.694179333</v>
      </c>
      <c r="AI39" s="12" t="n">
        <f aca="false">AI15+AI16+AI17+AI18+AI19+AI20+AI21+AI22+AI23+SUM(AI24:AI38)</f>
        <v>-417109.694179333</v>
      </c>
      <c r="AJ39" s="12" t="n">
        <f aca="false">AJ15+AJ16+AJ17+AJ18+AJ19+AJ20+AJ21+AJ22+AJ23+SUM(AJ24:AJ38)</f>
        <v>-417109.694179333</v>
      </c>
      <c r="AK39" s="12" t="n">
        <f aca="false">AK15+AK16+AK17+AK18+AK19+AK20+AK21+AK22+AK23+SUM(AK24:AK38)</f>
        <v>-417109.694179333</v>
      </c>
      <c r="AL39" s="12" t="n">
        <f aca="false">AL15+AL16+AL17+AL18+AL19+AL20+AL21+AL22+AL23+SUM(AL24:AL38)</f>
        <v>-417109.694179333</v>
      </c>
      <c r="AM39" s="12" t="n">
        <f aca="false">AM15+AM16+AM17+AM18+AM19+AM20+AM21+AM22+AM23+SUM(AM24:AM38)</f>
        <v>-419890.401396254</v>
      </c>
      <c r="AN39" s="12" t="n">
        <f aca="false">AN15+AN16+AN17+AN18+AN19+AN20+AN21+AN22+AN23+SUM(AN24:AN38)</f>
        <v>-419890.401396254</v>
      </c>
      <c r="AO39" s="12" t="n">
        <f aca="false">AO15+AO16+AO17+AO18+AO19+AO20+AO21+AO22+AO23+SUM(AO24:AO38)</f>
        <v>-419890.401396254</v>
      </c>
      <c r="AP39" s="12" t="n">
        <f aca="false">AP15+AP16+AP17+AP18+AP19+AP20+AP21+AP22+AP23+SUM(AP24:AP38)</f>
        <v>-419890.401396254</v>
      </c>
      <c r="AQ39" s="12" t="n">
        <f aca="false">AQ15+AQ16+AQ17+AQ18+AQ19+AQ20+AQ21+AQ22+AQ23+SUM(AQ24:AQ38)</f>
        <v>-419890.401396254</v>
      </c>
      <c r="AR39" s="12" t="n">
        <f aca="false">AR15+AR16+AR17+AR18+AR19+AR20+AR21+AR22+AR23+SUM(AR24:AR38)</f>
        <v>-419890.401396254</v>
      </c>
      <c r="AS39" s="12" t="n">
        <f aca="false">AS15+AS16+AS17+AS18+AS19+AS20+AS21+AS22+AS23+SUM(AS24:AS38)</f>
        <v>-419890.401396254</v>
      </c>
      <c r="AT39" s="12" t="n">
        <f aca="false">AT15+AT16+AT17+AT18+AT19+AT20+AT21+AT22+AT23+SUM(AT24:AT38)</f>
        <v>-419890.401396254</v>
      </c>
      <c r="AU39" s="12" t="n">
        <f aca="false">AU15+AU16+AU17+AU18+AU19+AU20+AU21+AU22+AU23+SUM(AU24:AU38)</f>
        <v>-419890.401396254</v>
      </c>
      <c r="AV39" s="12" t="n">
        <f aca="false">AV15+AV16+AV17+AV18+AV19+AV20+AV21+AV22+AV23+SUM(AV24:AV38)</f>
        <v>-419890.401396254</v>
      </c>
      <c r="AW39" s="12" t="n">
        <f aca="false">AW15+AW16+AW17+AW18+AW19+AW20+AW21+AW22+AW23+SUM(AW24:AW38)</f>
        <v>-419890.401396254</v>
      </c>
      <c r="AX39" s="12" t="n">
        <f aca="false">AX15+AX16+AX17+AX18+AX19+AX20+AX21+AX22+AX23+SUM(AX24:AX38)</f>
        <v>-419890.401396254</v>
      </c>
      <c r="AY39" s="12" t="n">
        <f aca="false">AY15+AY16+AY17+AY18+AY19+AY20+AY21+AY22+AY23+SUM(AY24:AY38)</f>
        <v>-422726.722757512</v>
      </c>
      <c r="AZ39" s="12" t="n">
        <f aca="false">AZ15+AZ16+AZ17+AZ18+AZ19+AZ20+AZ21+AZ22+AZ23+SUM(AZ24:AZ38)</f>
        <v>-422726.722757512</v>
      </c>
      <c r="BA39" s="12" t="n">
        <f aca="false">BA15+BA16+BA17+BA18+BA19+BA20+BA21+BA22+BA23+SUM(BA24:BA38)</f>
        <v>-422726.722757512</v>
      </c>
      <c r="BB39" s="12" t="n">
        <f aca="false">BB15+BB16+BB17+BB18+BB19+BB20+BB21+BB22+BB23+SUM(BB24:BB38)</f>
        <v>-422726.722757512</v>
      </c>
      <c r="BC39" s="12" t="n">
        <f aca="false">BC15+BC16+BC17+BC18+BC19+BC20+BC21+BC22+BC23+SUM(BC24:BC38)</f>
        <v>-422726.722757512</v>
      </c>
      <c r="BD39" s="12" t="n">
        <f aca="false">BD15+BD16+BD17+BD18+BD19+BD20+BD21+BD22+BD23+SUM(BD24:BD38)</f>
        <v>-422726.722757512</v>
      </c>
      <c r="BE39" s="12" t="n">
        <f aca="false">BE15+BE16+BE17+BE18+BE19+BE20+BE21+BE22+BE23+SUM(BE24:BE38)</f>
        <v>-422726.722757512</v>
      </c>
      <c r="BF39" s="12" t="n">
        <f aca="false">BF15+BF16+BF17+BF18+BF19+BF20+BF21+BF22+BF23+SUM(BF24:BF38)</f>
        <v>-422726.722757512</v>
      </c>
      <c r="BG39" s="12" t="n">
        <f aca="false">BG15+BG16+BG17+BG18+BG19+BG20+BG21+BG22+BG23+SUM(BG24:BG38)</f>
        <v>-422726.722757512</v>
      </c>
      <c r="BH39" s="12" t="n">
        <f aca="false">BH15+BH16+BH17+BH18+BH19+BH20+BH21+BH22+BH23+SUM(BH24:BH38)</f>
        <v>-422726.722757512</v>
      </c>
      <c r="BI39" s="12" t="n">
        <f aca="false">BI15+BI16+BI17+BI18+BI19+BI20+BI21+BI22+BI23+SUM(BI24:BI38)</f>
        <v>-422726.722757512</v>
      </c>
      <c r="BJ39" s="12" t="n">
        <f aca="false">BJ15+BJ16+BJ17+BJ18+BJ19+BJ20+BJ21+BJ22+BJ23+SUM(BJ24:BJ38)</f>
        <v>-422726.722757512</v>
      </c>
      <c r="BK39" s="12" t="n">
        <f aca="false">BK15+BK16+BK17+BK18+BK19+BK20+BK21+BK22+BK23+SUM(BK24:BK38)</f>
        <v>-425619.770545995</v>
      </c>
      <c r="BL39" s="12" t="n">
        <f aca="false">BL15+BL16+BL17+BL18+BL19+BL20+BL21+BL22+BL23+SUM(BL24:BL38)</f>
        <v>-425619.770545995</v>
      </c>
      <c r="BM39" s="12" t="n">
        <f aca="false">BM15+BM16+BM17+BM18+BM19+BM20+BM21+BM22+BM23+SUM(BM24:BM38)</f>
        <v>-425619.770545995</v>
      </c>
      <c r="BN39" s="12" t="n">
        <f aca="false">BN15+BN16+BN17+BN18+BN19+BN20+BN21+BN22+BN23+SUM(BN24:BN38)</f>
        <v>-425619.770545995</v>
      </c>
      <c r="BO39" s="12" t="n">
        <f aca="false">BO15+BO16+BO17+BO18+BO19+BO20+BO21+BO22+BO23+SUM(BO24:BO38)</f>
        <v>-425619.770545995</v>
      </c>
      <c r="BP39" s="12" t="n">
        <f aca="false">BP15+BP16+BP17+BP18+BP19+BP20+BP21+BP22+BP23+SUM(BP24:BP38)</f>
        <v>-425619.770545995</v>
      </c>
      <c r="BQ39" s="12" t="n">
        <f aca="false">BQ15+BQ16+BQ17+BQ18+BQ19+BQ20+BQ21+BQ22+BQ23+SUM(BQ24:BQ38)</f>
        <v>-425619.770545995</v>
      </c>
      <c r="BR39" s="12" t="n">
        <f aca="false">BR15+BR16+BR17+BR18+BR19+BR20+BR21+BR22+BR23+SUM(BR24:BR38)</f>
        <v>-425619.770545995</v>
      </c>
      <c r="BS39" s="12" t="n">
        <f aca="false">BS15+BS16+BS17+BS18+BS19+BS20+BS21+BS22+BS23+SUM(BS24:BS38)</f>
        <v>-425619.770545995</v>
      </c>
      <c r="BT39" s="12" t="n">
        <f aca="false">BT15+BT16+BT17+BT18+BT19+BT20+BT21+BT22+BT23+SUM(BT24:BT38)</f>
        <v>-425619.770545995</v>
      </c>
      <c r="BU39" s="12" t="n">
        <f aca="false">BU15+BU16+BU17+BU18+BU19+BU20+BU21+BU22+BU23+SUM(BU24:BU38)</f>
        <v>-425619.770545995</v>
      </c>
      <c r="BV39" s="12" t="n">
        <f aca="false">BV15+BV16+BV17+BV18+BV19+BV20+BV21+BV22+BV23+SUM(BV24:BV38)</f>
        <v>-425619.770545995</v>
      </c>
      <c r="BW39" s="12" t="n">
        <f aca="false">BW15+BW16+BW17+BW18+BW19+BW20+BW21+BW22+BW23+SUM(BW24:BW38)</f>
        <v>-428570.679290249</v>
      </c>
      <c r="BX39" s="12" t="n">
        <f aca="false">BX15+BX16+BX17+BX18+BX19+BX20+BX21+BX22+BX23+SUM(BX24:BX38)</f>
        <v>-428570.679290249</v>
      </c>
      <c r="BY39" s="12" t="n">
        <f aca="false">BY15+BY16+BY17+BY18+BY19+BY20+BY21+BY22+BY23+SUM(BY24:BY38)</f>
        <v>-428570.679290249</v>
      </c>
      <c r="BZ39" s="12" t="n">
        <f aca="false">BZ15+BZ16+BZ17+BZ18+BZ19+BZ20+BZ21+BZ22+BZ23+SUM(BZ24:BZ38)</f>
        <v>-428570.679290249</v>
      </c>
      <c r="CA39" s="12" t="n">
        <f aca="false">CA15+CA16+CA17+CA18+CA19+CA20+CA21+CA22+CA23+SUM(CA24:CA38)</f>
        <v>-428570.679290249</v>
      </c>
      <c r="CB39" s="12" t="n">
        <f aca="false">CB15+CB16+CB17+CB18+CB19+CB20+CB21+CB22+CB23+SUM(CB24:CB38)</f>
        <v>-428570.679290249</v>
      </c>
      <c r="CC39" s="12" t="n">
        <f aca="false">CC15+CC16+CC17+CC18+CC19+CC20+CC21+CC22+CC23+SUM(CC24:CC38)</f>
        <v>-428570.679290249</v>
      </c>
      <c r="CD39" s="12" t="n">
        <f aca="false">CD15+CD16+CD17+CD18+CD19+CD20+CD21+CD22+CD23+SUM(CD24:CD38)</f>
        <v>-428570.679290249</v>
      </c>
      <c r="CE39" s="12" t="n">
        <f aca="false">CE15+CE16+CE17+CE18+CE19+CE20+CE21+CE22+CE23+SUM(CE24:CE38)</f>
        <v>-428570.679290249</v>
      </c>
      <c r="CF39" s="12" t="n">
        <f aca="false">CF15+CF16+CF17+CF18+CF19+CF20+CF21+CF22+CF23+SUM(CF24:CF38)</f>
        <v>-428570.679290249</v>
      </c>
      <c r="CG39" s="12" t="n">
        <f aca="false">CG15+CG16+CG17+CG18+CG19+CG20+CG21+CG22+CG23+SUM(CG24:CG38)</f>
        <v>-428570.679290249</v>
      </c>
      <c r="CH39" s="12" t="n">
        <f aca="false">CH15+CH16+CH17+CH18+CH19+CH20+CH21+CH22+CH23+SUM(CH24:CH38)</f>
        <v>-428570.679290249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472867.01092971</v>
      </c>
      <c r="G41" s="16" t="n">
        <f aca="false">G12+G39</f>
        <v>185662.366607996</v>
      </c>
      <c r="H41" s="16" t="n">
        <f aca="false">H12+H39</f>
        <v>227831.173374445</v>
      </c>
      <c r="I41" s="16" t="n">
        <f aca="false">I12+I39</f>
        <v>564774.121640242</v>
      </c>
      <c r="J41" s="16" t="n">
        <f aca="false">J12+J39</f>
        <v>618540.884958607</v>
      </c>
      <c r="K41" s="16" t="n">
        <f aca="false">K12+K39</f>
        <v>402147.670758474</v>
      </c>
      <c r="L41" s="16" t="n">
        <f aca="false">L12+L39</f>
        <v>416404.305699613</v>
      </c>
      <c r="M41" s="16" t="n">
        <f aca="false">M12+M39</f>
        <v>427504.237657764</v>
      </c>
      <c r="N41" s="16" t="n">
        <f aca="false">N12+N39</f>
        <v>434992.204074246</v>
      </c>
      <c r="O41" s="16" t="n">
        <f aca="false">O12+O39</f>
        <v>-229611.050318175</v>
      </c>
      <c r="P41" s="16" t="n">
        <f aca="false">P12+P39</f>
        <v>566628.644046436</v>
      </c>
      <c r="Q41" s="16" t="n">
        <f aca="false">Q12+Q39</f>
        <v>709324.67745379</v>
      </c>
      <c r="R41" s="16" t="n">
        <f aca="false">R12+R39</f>
        <v>333665.235281352</v>
      </c>
      <c r="S41" s="16" t="n">
        <f aca="false">S12+S39</f>
        <v>414065.919395405</v>
      </c>
      <c r="T41" s="16" t="n">
        <f aca="false">T12+T39</f>
        <v>414760.953022306</v>
      </c>
      <c r="U41" s="16" t="n">
        <f aca="false">U12+U39</f>
        <v>234704.326373744</v>
      </c>
      <c r="V41" s="16" t="n">
        <f aca="false">V12+V39</f>
        <v>457410.208571338</v>
      </c>
      <c r="W41" s="16" t="n">
        <f aca="false">W12+W39</f>
        <v>450088.788858833</v>
      </c>
      <c r="X41" s="16" t="n">
        <f aca="false">X12+X39</f>
        <v>439621.354825216</v>
      </c>
      <c r="Y41" s="16" t="n">
        <f aca="false">Y12+Y39</f>
        <v>480965.622083308</v>
      </c>
      <c r="Z41" s="16" t="n">
        <f aca="false">Z12+Z39</f>
        <v>413855.891619049</v>
      </c>
      <c r="AA41" s="16" t="n">
        <f aca="false">AA12+AA39</f>
        <v>399075.330865947</v>
      </c>
      <c r="AB41" s="16" t="n">
        <f aca="false">AB12+AB39</f>
        <v>249326.099109242</v>
      </c>
      <c r="AC41" s="16" t="n">
        <f aca="false">AC12+AC39</f>
        <v>-392784.538244734</v>
      </c>
      <c r="AD41" s="16" t="n">
        <f aca="false">AD12+AD39</f>
        <v>290814.055874564</v>
      </c>
      <c r="AE41" s="16" t="n">
        <f aca="false">AE12+AE39</f>
        <v>288493.364859794</v>
      </c>
      <c r="AF41" s="16" t="n">
        <f aca="false">AF12+AF39</f>
        <v>283517.211373714</v>
      </c>
      <c r="AG41" s="16" t="n">
        <f aca="false">AG12+AG39</f>
        <v>397127.166305794</v>
      </c>
      <c r="AH41" s="16" t="n">
        <f aca="false">AH12+AH39</f>
        <v>212726.454869569</v>
      </c>
      <c r="AI41" s="16" t="n">
        <f aca="false">AI12+AI39</f>
        <v>446726.544163128</v>
      </c>
      <c r="AJ41" s="16" t="n">
        <f aca="false">AJ12+AJ39</f>
        <v>189633.368945388</v>
      </c>
      <c r="AK41" s="16" t="n">
        <f aca="false">AK12+AK39</f>
        <v>28268.7036742959</v>
      </c>
      <c r="AL41" s="16" t="n">
        <f aca="false">AL12+AL39</f>
        <v>110618.838318138</v>
      </c>
      <c r="AM41" s="16" t="n">
        <f aca="false">AM12+AM39</f>
        <v>53390.0835703672</v>
      </c>
      <c r="AN41" s="16" t="n">
        <f aca="false">AN12+AN39</f>
        <v>-103362.617689357</v>
      </c>
      <c r="AO41" s="16" t="n">
        <f aca="false">AO12+AO39</f>
        <v>-106625.377904087</v>
      </c>
      <c r="AP41" s="16" t="n">
        <f aca="false">AP12+AP39</f>
        <v>-110528.738617513</v>
      </c>
      <c r="AQ41" s="16" t="n">
        <f aca="false">AQ12+AQ39</f>
        <v>-115034.665664949</v>
      </c>
      <c r="AR41" s="16" t="n">
        <f aca="false">AR12+AR39</f>
        <v>137100.912552478</v>
      </c>
      <c r="AS41" s="16" t="n">
        <f aca="false">AS12+AS39</f>
        <v>-247772.747493944</v>
      </c>
      <c r="AT41" s="16" t="n">
        <f aca="false">AT12+AT39</f>
        <v>-249494.73825823</v>
      </c>
      <c r="AU41" s="16" t="n">
        <f aca="false">AU12+AU39</f>
        <v>-252016.498066373</v>
      </c>
      <c r="AV41" s="16" t="n">
        <f aca="false">AV12+AV39</f>
        <v>-255261.493995515</v>
      </c>
      <c r="AW41" s="16" t="n">
        <f aca="false">AW12+AW39</f>
        <v>-259139.799861301</v>
      </c>
      <c r="AX41" s="16" t="n">
        <f aca="false">AX12+AX39</f>
        <v>-263546.182894801</v>
      </c>
      <c r="AY41" s="16" t="n">
        <f aca="false">AY12+AY39</f>
        <v>-271198.338426845</v>
      </c>
      <c r="AZ41" s="16" t="n">
        <f aca="false">AZ12+AZ39</f>
        <v>-276306.91102756</v>
      </c>
      <c r="BA41" s="16" t="n">
        <f aca="false">BA12+BA39</f>
        <v>-281585.769381631</v>
      </c>
      <c r="BB41" s="16" t="n">
        <f aca="false">BB12+BB39</f>
        <v>-286920.114104774</v>
      </c>
      <c r="BC41" s="16" t="n">
        <f aca="false">BC12+BC39</f>
        <v>-292204.71242806</v>
      </c>
      <c r="BD41" s="16" t="n">
        <f aca="false">BD12+BD39</f>
        <v>-297343.898197917</v>
      </c>
      <c r="BE41" s="16" t="n">
        <f aca="false">BE12+BE39</f>
        <v>-302259.225168417</v>
      </c>
      <c r="BF41" s="16" t="n">
        <f aca="false">BF12+BF39</f>
        <v>-71914.2270320595</v>
      </c>
      <c r="BG41" s="16" t="n">
        <f aca="false">BG12+BG39</f>
        <v>-422726.722757512</v>
      </c>
      <c r="BH41" s="16" t="n">
        <f aca="false">BH12+BH39</f>
        <v>-422726.722757512</v>
      </c>
      <c r="BI41" s="16" t="n">
        <f aca="false">BI12+BI39</f>
        <v>-422726.722757512</v>
      </c>
      <c r="BJ41" s="16" t="n">
        <f aca="false">BJ12+BJ39</f>
        <v>-422726.722757512</v>
      </c>
      <c r="BK41" s="16" t="n">
        <f aca="false">BK12+BK39</f>
        <v>-425619.770545995</v>
      </c>
      <c r="BL41" s="16" t="n">
        <f aca="false">BL12+BL39</f>
        <v>-425619.770545995</v>
      </c>
      <c r="BM41" s="16" t="n">
        <f aca="false">BM12+BM39</f>
        <v>-425619.770545995</v>
      </c>
      <c r="BN41" s="16" t="n">
        <f aca="false">BN12+BN39</f>
        <v>-425619.770545995</v>
      </c>
      <c r="BO41" s="16" t="n">
        <f aca="false">BO12+BO39</f>
        <v>-425619.770545995</v>
      </c>
      <c r="BP41" s="16" t="n">
        <f aca="false">BP12+BP39</f>
        <v>-425619.770545995</v>
      </c>
      <c r="BQ41" s="16" t="n">
        <f aca="false">BQ12+BQ39</f>
        <v>-425619.770545995</v>
      </c>
      <c r="BR41" s="16" t="n">
        <f aca="false">BR12+BR39</f>
        <v>-425619.770545995</v>
      </c>
      <c r="BS41" s="16" t="n">
        <f aca="false">BS12+BS39</f>
        <v>-425619.770545995</v>
      </c>
      <c r="BT41" s="16" t="n">
        <f aca="false">BT12+BT39</f>
        <v>-425619.770545995</v>
      </c>
      <c r="BU41" s="16" t="n">
        <f aca="false">BU12+BU39</f>
        <v>-425619.770545995</v>
      </c>
      <c r="BV41" s="16" t="n">
        <f aca="false">BV12+BV39</f>
        <v>-425619.770545995</v>
      </c>
      <c r="BW41" s="16" t="n">
        <f aca="false">BW12+BW39</f>
        <v>-428570.679290249</v>
      </c>
      <c r="BX41" s="16" t="n">
        <f aca="false">BX12+BX39</f>
        <v>-428570.679290249</v>
      </c>
      <c r="BY41" s="16" t="n">
        <f aca="false">BY12+BY39</f>
        <v>-428570.679290249</v>
      </c>
      <c r="BZ41" s="16" t="n">
        <f aca="false">BZ12+BZ39</f>
        <v>-428570.679290249</v>
      </c>
      <c r="CA41" s="16" t="n">
        <f aca="false">CA12+CA39</f>
        <v>-428570.679290249</v>
      </c>
      <c r="CB41" s="16" t="n">
        <f aca="false">CB12+CB39</f>
        <v>-428570.679290249</v>
      </c>
      <c r="CC41" s="16" t="n">
        <f aca="false">CC12+CC39</f>
        <v>-428570.679290249</v>
      </c>
      <c r="CD41" s="16" t="n">
        <f aca="false">CD12+CD39</f>
        <v>-428570.679290249</v>
      </c>
      <c r="CE41" s="16" t="n">
        <f aca="false">CE12+CE39</f>
        <v>-428570.679290249</v>
      </c>
      <c r="CF41" s="16" t="n">
        <f aca="false">CF12+CF39</f>
        <v>-428570.679290249</v>
      </c>
      <c r="CG41" s="16" t="n">
        <f aca="false">CG12+CG39</f>
        <v>-428570.679290249</v>
      </c>
      <c r="CH41" s="16" t="n">
        <f aca="false">CH12+CH39</f>
        <v>-428570.679290249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0.397230745211382</v>
      </c>
      <c r="G42" s="32" t="n">
        <f aca="false">IF(G12&lt;&gt;0,G41/G12,0)</f>
        <v>0.310797978021322</v>
      </c>
      <c r="H42" s="32" t="n">
        <f aca="false">IF(H12&lt;&gt;0,H41/H12,0)</f>
        <v>0.356241168509108</v>
      </c>
      <c r="I42" s="32" t="n">
        <f aca="false">IF(I12&lt;&gt;0,I41/I12,0)</f>
        <v>0.472785341388247</v>
      </c>
      <c r="J42" s="32" t="n">
        <f aca="false">IF(J12&lt;&gt;0,J41/J12,0)</f>
        <v>0.520832296357926</v>
      </c>
      <c r="K42" s="32" t="n">
        <f aca="false">IF(K12&lt;&gt;0,K41/K12,0)</f>
        <v>0.494124831609418</v>
      </c>
      <c r="L42" s="32" t="n">
        <f aca="false">IF(L12&lt;&gt;0,L41/L12,0)</f>
        <v>0.502833859752437</v>
      </c>
      <c r="M42" s="32" t="n">
        <f aca="false">IF(M12&lt;&gt;0,M41/M12,0)</f>
        <v>0.509409659996202</v>
      </c>
      <c r="N42" s="32" t="n">
        <f aca="false">IF(N12&lt;&gt;0,N41/N12,0)</f>
        <v>0.513748281746761</v>
      </c>
      <c r="O42" s="32" t="n">
        <f aca="false">IF(O12&lt;&gt;0,O41/O12,0)</f>
        <v>-0.138658831664963</v>
      </c>
      <c r="P42" s="32" t="n">
        <f aca="false">IF(P12&lt;&gt;0,P41/P12,0)</f>
        <v>0.57759594653687</v>
      </c>
      <c r="Q42" s="32" t="n">
        <f aca="false">IF(Q12&lt;&gt;0,Q41/Q12,0)</f>
        <v>0.631235657952503</v>
      </c>
      <c r="R42" s="32" t="n">
        <f aca="false">IF(R12&lt;&gt;0,R41/R12,0)</f>
        <v>0.268781985431877</v>
      </c>
      <c r="S42" s="32" t="n">
        <f aca="false">IF(S12&lt;&gt;0,S41/S12,0)</f>
        <v>0.499808321892431</v>
      </c>
      <c r="T42" s="32" t="n">
        <f aca="false">IF(T12&lt;&gt;0,T41/T12,0)</f>
        <v>0.500227609545452</v>
      </c>
      <c r="U42" s="32" t="n">
        <f aca="false">IF(U12&lt;&gt;0,U41/U12,0)</f>
        <v>0.205441917759445</v>
      </c>
      <c r="V42" s="32" t="n">
        <f aca="false">IF(V12&lt;&gt;0,V41/V12,0)</f>
        <v>0.52467710938389</v>
      </c>
      <c r="W42" s="32" t="n">
        <f aca="false">IF(W12&lt;&gt;0,W41/W12,0)</f>
        <v>0.520651487761074</v>
      </c>
      <c r="X42" s="32" t="n">
        <f aca="false">IF(X12&lt;&gt;0,X41/X12,0)</f>
        <v>0.514776171198001</v>
      </c>
      <c r="Y42" s="32" t="n">
        <f aca="false">IF(Y12&lt;&gt;0,Y41/Y12,0)</f>
        <v>0.537182205810572</v>
      </c>
      <c r="Z42" s="32" t="n">
        <f aca="false">IF(Z12&lt;&gt;0,Z41/Z12,0)</f>
        <v>0.499681481578364</v>
      </c>
      <c r="AA42" s="32" t="n">
        <f aca="false">IF(AA12&lt;&gt;0,AA41/AA12,0)</f>
        <v>0.488952037368986</v>
      </c>
      <c r="AB42" s="32" t="n">
        <f aca="false">IF(AB12&lt;&gt;0,AB41/AB12,0)</f>
        <v>0.37411870973935</v>
      </c>
      <c r="AC42" s="32" t="n">
        <f aca="false">IF(AC12&lt;&gt;0,AC41/AC12,0)</f>
        <v>-0.287049613386178</v>
      </c>
      <c r="AD42" s="32" t="n">
        <f aca="false">IF(AD12&lt;&gt;0,AD41/AD12,0)</f>
        <v>0.410798558252104</v>
      </c>
      <c r="AE42" s="32" t="n">
        <f aca="false">IF(AE12&lt;&gt;0,AE41/AE12,0)</f>
        <v>0.408860705979162</v>
      </c>
      <c r="AF42" s="32" t="n">
        <f aca="false">IF(AF12&lt;&gt;0,AF41/AF12,0)</f>
        <v>0.404662180579429</v>
      </c>
      <c r="AG42" s="32" t="n">
        <f aca="false">IF(AG12&lt;&gt;0,AG41/AG12,0)</f>
        <v>0.487729290552117</v>
      </c>
      <c r="AH42" s="32" t="n">
        <f aca="false">IF(AH12&lt;&gt;0,AH41/AH12,0)</f>
        <v>0.337748881500056</v>
      </c>
      <c r="AI42" s="32" t="n">
        <f aca="false">IF(AI12&lt;&gt;0,AI41/AI12,0)</f>
        <v>0.517142629973838</v>
      </c>
      <c r="AJ42" s="32" t="n">
        <f aca="false">IF(AJ12&lt;&gt;0,AJ41/AJ12,0)</f>
        <v>0.312543118282684</v>
      </c>
      <c r="AK42" s="32" t="n">
        <f aca="false">IF(AK12&lt;&gt;0,AK41/AK12,0)</f>
        <v>0.0634712051831177</v>
      </c>
      <c r="AL42" s="32" t="n">
        <f aca="false">IF(AL12&lt;&gt;0,AL41/AL12,0)</f>
        <v>0.209613146734051</v>
      </c>
      <c r="AM42" s="32" t="n">
        <f aca="false">IF(AM12&lt;&gt;0,AM41/AM12,0)</f>
        <v>0.112808546446052</v>
      </c>
      <c r="AN42" s="32" t="n">
        <f aca="false">IF(AN12&lt;&gt;0,AN41/AN12,0)</f>
        <v>-0.3265514846086</v>
      </c>
      <c r="AO42" s="32" t="n">
        <f aca="false">IF(AO12&lt;&gt;0,AO41/AO12,0)</f>
        <v>-0.340367962932682</v>
      </c>
      <c r="AP42" s="32" t="n">
        <f aca="false">IF(AP12&lt;&gt;0,AP41/AP12,0)</f>
        <v>-0.357280012089165</v>
      </c>
      <c r="AQ42" s="32" t="n">
        <f aca="false">IF(AQ12&lt;&gt;0,AQ41/AQ12,0)</f>
        <v>-0.377341319785236</v>
      </c>
      <c r="AR42" s="32" t="n">
        <f aca="false">IF(AR12&lt;&gt;0,AR41/AR12,0)</f>
        <v>0.246145512719965</v>
      </c>
      <c r="AS42" s="32" t="n">
        <f aca="false">IF(AS12&lt;&gt;0,AS41/AS12,0)</f>
        <v>-1.43955452492151</v>
      </c>
      <c r="AT42" s="32" t="n">
        <f aca="false">IF(AT12&lt;&gt;0,AT41/AT12,0)</f>
        <v>-1.46420826483203</v>
      </c>
      <c r="AU42" s="32" t="n">
        <f aca="false">IF(AU12&lt;&gt;0,AU41/AU12,0)</f>
        <v>-1.50122498534598</v>
      </c>
      <c r="AV42" s="32" t="n">
        <f aca="false">IF(AV12&lt;&gt;0,AV41/AV12,0)</f>
        <v>-1.55052656320047</v>
      </c>
      <c r="AW42" s="32" t="n">
        <f aca="false">IF(AW12&lt;&gt;0,AW41/AW12,0)</f>
        <v>-1.61206115178957</v>
      </c>
      <c r="AX42" s="32" t="n">
        <f aca="false">IF(AX12&lt;&gt;0,AX41/AX12,0)</f>
        <v>-1.6856791087056</v>
      </c>
      <c r="AY42" s="32" t="n">
        <f aca="false">IF(AY12&lt;&gt;0,AY41/AY12,0)</f>
        <v>-1.78975272273103</v>
      </c>
      <c r="AZ42" s="32" t="n">
        <f aca="false">IF(AZ12&lt;&gt;0,AZ41/AZ12,0)</f>
        <v>-1.88708691646977</v>
      </c>
      <c r="BA42" s="32" t="n">
        <f aca="false">IF(BA12&lt;&gt;0,BA41/BA12,0)</f>
        <v>-1.99506778611395</v>
      </c>
      <c r="BB42" s="32" t="n">
        <f aca="false">IF(BB12&lt;&gt;0,BB41/BB12,0)</f>
        <v>-2.11271098624101</v>
      </c>
      <c r="BC42" s="32" t="n">
        <f aca="false">IF(BC12&lt;&gt;0,BC41/BC12,0)</f>
        <v>-2.23873898119177</v>
      </c>
      <c r="BD42" s="32" t="n">
        <f aca="false">IF(BD12&lt;&gt;0,BD41/BD12,0)</f>
        <v>-2.37148827395085</v>
      </c>
      <c r="BE42" s="32" t="n">
        <f aca="false">IF(BE12&lt;&gt;0,BE41/BE12,0)</f>
        <v>-2.50905207809162</v>
      </c>
      <c r="BF42" s="32" t="n">
        <f aca="false">IF(BF12&lt;&gt;0,BF41/BF12,0)</f>
        <v>-0.204993345186712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6315.79</v>
      </c>
      <c r="H55" s="10" t="n">
        <f aca="false">IF(Projects!$G$11="Yes",6315.79,0)</f>
        <v>6315.79</v>
      </c>
      <c r="I55" s="10" t="n">
        <f aca="false">IF(Projects!$G$11="Yes",6315.79,0)</f>
        <v>6315.79</v>
      </c>
      <c r="J55" s="10" t="n">
        <f aca="false">IF(Projects!$G$11="Yes",6315.79,0)</f>
        <v>6315.79</v>
      </c>
      <c r="K55" s="10" t="n">
        <f aca="false">IF(Projects!$G$11="Yes",6315.79,0)</f>
        <v>6315.79</v>
      </c>
      <c r="L55" s="10" t="n">
        <f aca="false">IF(Projects!$G$11="Yes",6315.79,0)</f>
        <v>6315.79</v>
      </c>
      <c r="M55" s="10" t="n">
        <f aca="false">IF(Projects!$G$11="Yes",6315.79,0)</f>
        <v>6315.79</v>
      </c>
      <c r="N55" s="10" t="n">
        <f aca="false">IF(Projects!$G$11="Yes",6315.79,0)</f>
        <v>6315.79</v>
      </c>
      <c r="O55" s="10" t="n">
        <f aca="false">IF(Projects!$G$11="Yes",6315.79,0)</f>
        <v>6315.79</v>
      </c>
      <c r="P55" s="10" t="n">
        <f aca="false">IF(Projects!$G$11="Yes",6315.79,0)</f>
        <v>6315.79</v>
      </c>
      <c r="Q55" s="10" t="n">
        <f aca="false">IF(Projects!$G$11="Yes",6315.79,0)</f>
        <v>6315.79</v>
      </c>
      <c r="R55" s="10" t="n">
        <f aca="false">IF(Projects!$G$11="Yes",6315.79,0)</f>
        <v>6315.79</v>
      </c>
      <c r="S55" s="10" t="n">
        <f aca="false">IF(Projects!$G$11="Yes",6315.79,0)</f>
        <v>6315.79</v>
      </c>
      <c r="T55" s="10" t="n">
        <f aca="false">IF(Projects!$G$11="Yes",6315.79,0)</f>
        <v>6315.79</v>
      </c>
      <c r="U55" s="10" t="n">
        <f aca="false">IF(Projects!$G$11="Yes",6315.79,0)</f>
        <v>6315.79</v>
      </c>
      <c r="V55" s="10" t="n">
        <f aca="false">IF(Projects!$G$11="Yes",6315.79,0)</f>
        <v>6315.79</v>
      </c>
      <c r="W55" s="10" t="n">
        <f aca="false">IF(Projects!$G$11="Yes",6315.79,0)</f>
        <v>6315.79</v>
      </c>
      <c r="X55" s="10" t="n">
        <f aca="false">IF(Projects!$G$11="Yes",6315.79,0)</f>
        <v>6315.79</v>
      </c>
      <c r="Y55" s="10" t="n">
        <f aca="false">IF(Projects!$G$11="Yes",6315.79,0)</f>
        <v>6315.79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253980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6315.79</v>
      </c>
      <c r="I57" s="10" t="n">
        <f aca="false">IF(Projects!$G$12="Yes",6315.79,0)</f>
        <v>6315.79</v>
      </c>
      <c r="J57" s="10" t="n">
        <f aca="false">IF(Projects!$G$12="Yes",6315.79,0)</f>
        <v>6315.79</v>
      </c>
      <c r="K57" s="10" t="n">
        <f aca="false">IF(Projects!$G$12="Yes",6315.79,0)</f>
        <v>6315.79</v>
      </c>
      <c r="L57" s="10" t="n">
        <f aca="false">IF(Projects!$G$12="Yes",6315.79,0)</f>
        <v>6315.79</v>
      </c>
      <c r="M57" s="10" t="n">
        <f aca="false">IF(Projects!$G$12="Yes",6315.79,0)</f>
        <v>6315.79</v>
      </c>
      <c r="N57" s="10" t="n">
        <f aca="false">IF(Projects!$G$12="Yes",6315.79,0)</f>
        <v>6315.79</v>
      </c>
      <c r="O57" s="10" t="n">
        <f aca="false">IF(Projects!$G$12="Yes",6315.79,0)</f>
        <v>6315.79</v>
      </c>
      <c r="P57" s="10" t="n">
        <f aca="false">IF(Projects!$G$12="Yes",6315.79,0)</f>
        <v>6315.79</v>
      </c>
      <c r="Q57" s="10" t="n">
        <f aca="false">IF(Projects!$G$12="Yes",6315.79,0)</f>
        <v>6315.79</v>
      </c>
      <c r="R57" s="10" t="n">
        <f aca="false">IF(Projects!$G$12="Yes",6315.79,0)</f>
        <v>6315.79</v>
      </c>
      <c r="S57" s="10" t="n">
        <f aca="false">IF(Projects!$G$12="Yes",6315.79,0)</f>
        <v>6315.79</v>
      </c>
      <c r="T57" s="10" t="n">
        <f aca="false">IF(Projects!$G$12="Yes",6315.79,0)</f>
        <v>6315.79</v>
      </c>
      <c r="U57" s="10" t="n">
        <f aca="false">IF(Projects!$G$12="Yes",6315.79,0)</f>
        <v>6315.79</v>
      </c>
      <c r="V57" s="10" t="n">
        <f aca="false">IF(Projects!$G$12="Yes",6315.79,0)</f>
        <v>6315.79</v>
      </c>
      <c r="W57" s="10" t="n">
        <f aca="false">IF(Projects!$G$12="Yes",6315.79,0)</f>
        <v>6315.79</v>
      </c>
      <c r="X57" s="10" t="n">
        <f aca="false">IF(Projects!$G$12="Yes",6315.79,0)</f>
        <v>6315.79</v>
      </c>
      <c r="Y57" s="10" t="n">
        <f aca="false">IF(Projects!$G$12="Yes",6315.79,0)</f>
        <v>6315.79</v>
      </c>
      <c r="Z57" s="10" t="n">
        <f aca="false">IF(Projects!$G$12="Yes",6315.79,0)</f>
        <v>6315.79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4736.84</v>
      </c>
      <c r="I58" s="10" t="n">
        <f aca="false">IF(Projects!$G$12="Yes",4736.84,0)</f>
        <v>4736.84</v>
      </c>
      <c r="J58" s="10" t="n">
        <f aca="false">IF(Projects!$G$12="Yes",4736.84,0)</f>
        <v>4736.84</v>
      </c>
      <c r="K58" s="10" t="n">
        <f aca="false">IF(Projects!$G$12="Yes",4736.84,0)</f>
        <v>4736.84</v>
      </c>
      <c r="L58" s="10" t="n">
        <f aca="false">IF(Projects!$G$12="Yes",4736.84,0)</f>
        <v>4736.84</v>
      </c>
      <c r="M58" s="10" t="n">
        <f aca="false">IF(Projects!$G$12="Yes",4736.84,0)</f>
        <v>4736.84</v>
      </c>
      <c r="N58" s="10" t="n">
        <f aca="false">IF(Projects!$G$12="Yes",4736.84,0)</f>
        <v>4736.84</v>
      </c>
      <c r="O58" s="10" t="n">
        <f aca="false">IF(Projects!$G$12="Yes",4736.84,0)</f>
        <v>4736.84</v>
      </c>
      <c r="P58" s="10" t="n">
        <f aca="false">IF(Projects!$G$12="Yes",4736.84,0)</f>
        <v>4736.84</v>
      </c>
      <c r="Q58" s="10" t="n">
        <f aca="false">IF(Projects!$G$12="Yes",4736.84,0)</f>
        <v>4736.84</v>
      </c>
      <c r="R58" s="10" t="n">
        <f aca="false">IF(Projects!$G$12="Yes",4736.84,0)</f>
        <v>4736.84</v>
      </c>
      <c r="S58" s="10" t="n">
        <f aca="false">IF(Projects!$G$12="Yes",4736.84,0)</f>
        <v>4736.84</v>
      </c>
      <c r="T58" s="10" t="n">
        <f aca="false">IF(Projects!$G$12="Yes",4736.84,0)</f>
        <v>4736.84</v>
      </c>
      <c r="U58" s="10" t="n">
        <f aca="false">IF(Projects!$G$12="Yes",4736.84,0)</f>
        <v>4736.84</v>
      </c>
      <c r="V58" s="10" t="n">
        <f aca="false">IF(Projects!$G$12="Yes",4736.84,0)</f>
        <v>4736.84</v>
      </c>
      <c r="W58" s="10" t="n">
        <f aca="false">IF(Projects!$G$12="Yes",4736.84,0)</f>
        <v>4736.84</v>
      </c>
      <c r="X58" s="10" t="n">
        <f aca="false">IF(Projects!$G$12="Yes",4736.84,0)</f>
        <v>4736.84</v>
      </c>
      <c r="Y58" s="10" t="n">
        <f aca="false">IF(Projects!$G$12="Yes",4736.84,0)</f>
        <v>4736.84</v>
      </c>
      <c r="Z58" s="10" t="n">
        <f aca="false">IF(Projects!$G$12="Yes",4736.84,0)</f>
        <v>4736.84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181745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102</v>
      </c>
      <c r="B62" s="9"/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73156</v>
      </c>
      <c r="BZ62" s="10" t="n">
        <v>0</v>
      </c>
      <c r="CA62" s="10" t="n">
        <v>0</v>
      </c>
      <c r="CB62" s="10" t="n">
        <f aca="false">IF(Projects!$G$14="Yes",73155,0)</f>
        <v>73155</v>
      </c>
      <c r="CC62" s="10" t="n">
        <v>0</v>
      </c>
      <c r="CD62" s="10" t="n">
        <v>0</v>
      </c>
      <c r="CE62" s="10" t="n">
        <f aca="false">IF(Projects!$G$14="Yes",73155,0)</f>
        <v>73155</v>
      </c>
      <c r="CF62" s="10" t="n">
        <v>0</v>
      </c>
      <c r="CG62" s="10" t="n">
        <v>0</v>
      </c>
      <c r="CH62" s="10" t="n">
        <f aca="false">IF(Projects!$G$14="Yes",73155,0)</f>
        <v>73155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0</v>
      </c>
      <c r="M63" s="10" t="n">
        <f aca="false">IF(Uplifters!$B$2="Yes",Uplifters!M107,0)</f>
        <v>0</v>
      </c>
      <c r="N63" s="10" t="n">
        <f aca="false">IF(Uplifters!$B$2="Yes",Uplifters!N107,0)</f>
        <v>0</v>
      </c>
      <c r="O63" s="10" t="n">
        <f aca="false">IF(Uplifters!$B$2="Yes",Uplifters!O107,0)</f>
        <v>0</v>
      </c>
      <c r="P63" s="10" t="n">
        <f aca="false">IF(Uplifters!$B$2="Yes",Uplifters!P107,0)</f>
        <v>0</v>
      </c>
      <c r="Q63" s="10" t="n">
        <f aca="false">IF(Uplifters!$B$2="Yes",Uplifters!Q107,0)</f>
        <v>0</v>
      </c>
      <c r="R63" s="10" t="n">
        <f aca="false">IF(Uplifters!$B$2="Yes",Uplifters!R107,0)</f>
        <v>0</v>
      </c>
      <c r="S63" s="10" t="n">
        <f aca="false">IF(Uplifters!$B$2="Yes",Uplifters!S107,0)</f>
        <v>0</v>
      </c>
      <c r="T63" s="10" t="n">
        <f aca="false">IF(Uplifters!$B$2="Yes",Uplifters!T107,0)</f>
        <v>0</v>
      </c>
      <c r="U63" s="10" t="n">
        <f aca="false">IF(Uplifters!$B$2="Yes",Uplifters!U107,0)</f>
        <v>0</v>
      </c>
      <c r="V63" s="10" t="n">
        <f aca="false">IF(Uplifters!$B$2="Yes",Uplifters!V107,0)</f>
        <v>0</v>
      </c>
      <c r="W63" s="10" t="n">
        <f aca="false">IF(Uplifters!$B$2="Yes",Uplifters!W107,0)</f>
        <v>0</v>
      </c>
      <c r="X63" s="10" t="n">
        <f aca="false">IF(Uplifters!$B$2="Yes",Uplifters!X107,0)</f>
        <v>0</v>
      </c>
      <c r="Y63" s="10" t="n">
        <f aca="false">IF(Uplifters!$B$2="Yes",Uplifters!Y107,0)</f>
        <v>0</v>
      </c>
      <c r="Z63" s="10" t="n">
        <f aca="false">IF(Uplifters!$B$2="Yes",Uplifters!Z107,0)</f>
        <v>0</v>
      </c>
      <c r="AA63" s="10" t="n">
        <f aca="false">IF(Uplifters!$B$2="Yes",Uplifters!AA107,0)</f>
        <v>0</v>
      </c>
      <c r="AB63" s="10" t="n">
        <f aca="false">IF(Uplifters!$B$2="Yes",Uplifters!AB107,0)</f>
        <v>0</v>
      </c>
      <c r="AC63" s="10" t="n">
        <f aca="false">IF(Uplifters!$B$2="Yes",Uplifters!AC107,0)</f>
        <v>0</v>
      </c>
      <c r="AD63" s="10" t="n">
        <f aca="false">IF(Uplifters!$B$2="Yes",Uplifters!AD107,0)</f>
        <v>0</v>
      </c>
      <c r="AE63" s="10" t="n">
        <f aca="false">IF(Uplifters!$B$2="Yes",Uplifters!AE107,0)</f>
        <v>0</v>
      </c>
      <c r="AF63" s="10" t="n">
        <f aca="false">IF(Uplifters!$B$2="Yes",Uplifters!AF107,0)</f>
        <v>0</v>
      </c>
      <c r="AG63" s="10" t="n">
        <f aca="false">IF(Uplifters!$B$2="Yes",Uplifters!AG107,0)</f>
        <v>0</v>
      </c>
      <c r="AH63" s="10" t="n">
        <f aca="false">IF(Uplifters!$B$2="Yes",Uplifters!AH107,0)</f>
        <v>0</v>
      </c>
      <c r="AI63" s="10" t="n">
        <f aca="false">IF(Uplifters!$B$2="Yes",Uplifters!AI107,0)</f>
        <v>0</v>
      </c>
      <c r="AJ63" s="10" t="n">
        <f aca="false">IF(Uplifters!$B$2="Yes",Uplifters!AJ107,0)</f>
        <v>0</v>
      </c>
      <c r="AK63" s="10" t="n">
        <f aca="false">IF(Uplifters!$B$2="Yes",Uplifters!AK107,0)</f>
        <v>0</v>
      </c>
      <c r="AL63" s="10" t="n">
        <f aca="false">IF(Uplifters!$B$2="Yes",Uplifters!AL107,0)</f>
        <v>0</v>
      </c>
      <c r="AM63" s="10" t="n">
        <f aca="false">IF(Uplifters!$B$2="Yes",Uplifters!AM107,0)</f>
        <v>0</v>
      </c>
      <c r="AN63" s="10" t="n">
        <f aca="false">IF(Uplifters!$B$2="Yes",Uplifters!AN107,0)</f>
        <v>0</v>
      </c>
      <c r="AO63" s="10" t="n">
        <f aca="false">IF(Uplifters!$B$2="Yes",Uplifters!AO107,0)</f>
        <v>0</v>
      </c>
      <c r="AP63" s="10" t="n">
        <f aca="false">IF(Uplifters!$B$2="Yes",Uplifters!AP107,0)</f>
        <v>0</v>
      </c>
      <c r="AQ63" s="10" t="n">
        <f aca="false">IF(Uplifters!$B$2="Yes",Uplifters!AQ107,0)</f>
        <v>0</v>
      </c>
      <c r="AR63" s="10" t="n">
        <f aca="false">IF(Uplifters!$B$2="Yes",Uplifters!AR107,0)</f>
        <v>0</v>
      </c>
      <c r="AS63" s="10" t="n">
        <f aca="false">IF(Uplifters!$B$2="Yes",Uplifters!AS107,0)</f>
        <v>0</v>
      </c>
      <c r="AT63" s="10" t="n">
        <f aca="false">IF(Uplifters!$B$2="Yes",Uplifters!AT107,0)</f>
        <v>0</v>
      </c>
      <c r="AU63" s="10" t="n">
        <f aca="false">IF(Uplifters!$B$2="Yes",Uplifters!AU107,0)</f>
        <v>0</v>
      </c>
      <c r="AV63" s="10" t="n">
        <f aca="false">IF(Uplifters!$B$2="Yes",Uplifters!AV107,0)</f>
        <v>0</v>
      </c>
      <c r="AW63" s="10" t="n">
        <f aca="false">IF(Uplifters!$B$2="Yes",Uplifters!AW107,0)</f>
        <v>0</v>
      </c>
      <c r="AX63" s="10" t="n">
        <f aca="false">IF(Uplifters!$B$2="Yes",Uplifters!AX107,0)</f>
        <v>0</v>
      </c>
      <c r="AY63" s="10" t="n">
        <f aca="false">IF(Uplifters!$B$2="Yes",Uplifters!AY107,0)</f>
        <v>0</v>
      </c>
      <c r="AZ63" s="10" t="n">
        <f aca="false">IF(Uplifters!$B$2="Yes",Uplifters!AZ107,0)</f>
        <v>0</v>
      </c>
      <c r="BA63" s="10" t="n">
        <f aca="false">IF(Uplifters!$B$2="Yes",Uplifters!BA107,0)</f>
        <v>0</v>
      </c>
      <c r="BB63" s="10" t="n">
        <f aca="false">IF(Uplifters!$B$2="Yes",Uplifters!BB107,0)</f>
        <v>0</v>
      </c>
      <c r="BC63" s="10" t="n">
        <f aca="false">IF(Uplifters!$B$2="Yes",Uplifters!BC107,0)</f>
        <v>0</v>
      </c>
      <c r="BD63" s="10" t="n">
        <f aca="false">IF(Uplifters!$B$2="Yes",Uplifters!BD107,0)</f>
        <v>0</v>
      </c>
      <c r="BE63" s="10" t="n">
        <f aca="false">IF(Uplifters!$B$2="Yes",Uplifters!BE107,0)</f>
        <v>0</v>
      </c>
      <c r="BF63" s="10" t="n">
        <f aca="false">IF(Uplifters!$B$2="Yes",Uplifters!BF107,0)</f>
        <v>0</v>
      </c>
      <c r="BG63" s="10" t="n">
        <f aca="false">IF(Uplifters!$B$2="Yes",Uplifters!BG107,0)</f>
        <v>0</v>
      </c>
      <c r="BH63" s="10" t="n">
        <f aca="false">IF(Uplifters!$B$2="Yes",Uplifters!BH107,0)</f>
        <v>0</v>
      </c>
      <c r="BI63" s="10" t="n">
        <f aca="false">IF(Uplifters!$B$2="Yes",Uplifters!BI107,0)</f>
        <v>0</v>
      </c>
      <c r="BJ63" s="10" t="n">
        <f aca="false">IF(Uplifters!$B$2="Yes",Uplifters!BJ107,0)</f>
        <v>0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310226.16</v>
      </c>
      <c r="H64" s="34" t="n">
        <f aca="false">SUM(H47:H63)</f>
        <v>248210.46</v>
      </c>
      <c r="I64" s="34" t="n">
        <f aca="false">SUM(I47:I63)</f>
        <v>66465.46</v>
      </c>
      <c r="J64" s="34" t="n">
        <f aca="false">SUM(J47:J63)</f>
        <v>57090.46</v>
      </c>
      <c r="K64" s="34" t="n">
        <f aca="false">SUM(K47:K63)</f>
        <v>57090.46</v>
      </c>
      <c r="L64" s="34" t="n">
        <f aca="false">SUM(L47:L63)</f>
        <v>57090.46</v>
      </c>
      <c r="M64" s="34" t="n">
        <f aca="false">SUM(M47:M63)</f>
        <v>57090.46</v>
      </c>
      <c r="N64" s="34" t="n">
        <f aca="false">SUM(N47:N63)</f>
        <v>57090.46</v>
      </c>
      <c r="O64" s="34" t="n">
        <f aca="false">SUM(O47:O63)</f>
        <v>57090.46</v>
      </c>
      <c r="P64" s="34" t="n">
        <f aca="false">SUM(P47:P63)</f>
        <v>57090.46</v>
      </c>
      <c r="Q64" s="34" t="n">
        <f aca="false">SUM(Q47:Q63)</f>
        <v>57090.46</v>
      </c>
      <c r="R64" s="34" t="n">
        <f aca="false">SUM(R47:R63)</f>
        <v>33184.21</v>
      </c>
      <c r="S64" s="34" t="n">
        <f aca="false">SUM(S47:S63)</f>
        <v>33184.21</v>
      </c>
      <c r="T64" s="34" t="n">
        <f aca="false">SUM(T47:T63)</f>
        <v>33184.21</v>
      </c>
      <c r="U64" s="34" t="n">
        <f aca="false">SUM(U47:U63)</f>
        <v>33184.21</v>
      </c>
      <c r="V64" s="34" t="n">
        <f aca="false">SUM(V47:V63)</f>
        <v>33184.21</v>
      </c>
      <c r="W64" s="34" t="n">
        <f aca="false">SUM(W47:W63)</f>
        <v>90559.21</v>
      </c>
      <c r="X64" s="34" t="n">
        <f aca="false">SUM(X47:X63)</f>
        <v>33184.21</v>
      </c>
      <c r="Y64" s="34" t="n">
        <f aca="false">SUM(Y47:Y63)</f>
        <v>33184.21</v>
      </c>
      <c r="Z64" s="34" t="n">
        <f aca="false">SUM(Z47:Z63)</f>
        <v>77927.63</v>
      </c>
      <c r="AA64" s="34" t="n">
        <f aca="false">SUM(AA47:AA63)</f>
        <v>9500</v>
      </c>
      <c r="AB64" s="34" t="n">
        <f aca="false">SUM(AB47:AB63)</f>
        <v>9500</v>
      </c>
      <c r="AC64" s="34" t="n">
        <f aca="false">SUM(AC47:AC63)</f>
        <v>66875</v>
      </c>
      <c r="AD64" s="34" t="n">
        <f aca="false">SUM(AD47:AD63)</f>
        <v>9500</v>
      </c>
      <c r="AE64" s="34" t="n">
        <f aca="false">SUM(AE47:AE63)</f>
        <v>9500</v>
      </c>
      <c r="AF64" s="34" t="n">
        <f aca="false">SUM(AF47:AF63)</f>
        <v>9500</v>
      </c>
      <c r="AG64" s="34" t="n">
        <f aca="false">SUM(AG47:AG63)</f>
        <v>0</v>
      </c>
      <c r="AH64" s="34" t="n">
        <f aca="false">SUM(AH47:AH63)</f>
        <v>0</v>
      </c>
      <c r="AI64" s="34" t="n">
        <f aca="false">SUM(AI47:AI63)</f>
        <v>0</v>
      </c>
      <c r="AJ64" s="34" t="n">
        <f aca="false">SUM(AJ47:AJ63)</f>
        <v>0</v>
      </c>
      <c r="AK64" s="34" t="n">
        <f aca="false">SUM(AK47:AK63)</f>
        <v>0</v>
      </c>
      <c r="AL64" s="34" t="n">
        <f aca="false">SUM(AL47:AL63)</f>
        <v>0</v>
      </c>
      <c r="AM64" s="34" t="n">
        <f aca="false">SUM(AM47:AM63)</f>
        <v>0</v>
      </c>
      <c r="AN64" s="34" t="n">
        <f aca="false">SUM(AN47:AN63)</f>
        <v>0</v>
      </c>
      <c r="AO64" s="34" t="n">
        <f aca="false">SUM(AO47:AO63)</f>
        <v>0</v>
      </c>
      <c r="AP64" s="34" t="n">
        <f aca="false">SUM(AP47:AP63)</f>
        <v>0</v>
      </c>
      <c r="AQ64" s="34" t="n">
        <f aca="false">SUM(AQ47:AQ63)</f>
        <v>0</v>
      </c>
      <c r="AR64" s="34" t="n">
        <f aca="false">SUM(AR47:AR63)</f>
        <v>81683</v>
      </c>
      <c r="AS64" s="34" t="n">
        <f aca="false">SUM(AS47:AS63)</f>
        <v>0</v>
      </c>
      <c r="AT64" s="34" t="n">
        <f aca="false">SUM(AT47:AT63)</f>
        <v>0</v>
      </c>
      <c r="AU64" s="34" t="n">
        <f aca="false">SUM(AU47:AU63)</f>
        <v>81682</v>
      </c>
      <c r="AV64" s="34" t="n">
        <f aca="false">SUM(AV47:AV63)</f>
        <v>0</v>
      </c>
      <c r="AW64" s="34" t="n">
        <f aca="false">SUM(AW47:AW63)</f>
        <v>0</v>
      </c>
      <c r="AX64" s="34" t="n">
        <f aca="false">SUM(AX47:AX63)</f>
        <v>81682</v>
      </c>
      <c r="AY64" s="34" t="n">
        <f aca="false">SUM(AY47:AY63)</f>
        <v>0</v>
      </c>
      <c r="AZ64" s="34" t="n">
        <f aca="false">SUM(AZ47:AZ63)</f>
        <v>0</v>
      </c>
      <c r="BA64" s="34" t="n">
        <f aca="false">SUM(BA47:BA63)</f>
        <v>933521</v>
      </c>
      <c r="BB64" s="34" t="n">
        <f aca="false">SUM(BB47:BB63)</f>
        <v>0</v>
      </c>
      <c r="BC64" s="34" t="n">
        <f aca="false">SUM(BC47:BC63)</f>
        <v>0</v>
      </c>
      <c r="BD64" s="34" t="n">
        <f aca="false">SUM(BD47:BD63)</f>
        <v>130878</v>
      </c>
      <c r="BE64" s="34" t="n">
        <f aca="false">SUM(BE47:BE63)</f>
        <v>0</v>
      </c>
      <c r="BF64" s="34" t="n">
        <f aca="false">SUM(BF47:BF63)</f>
        <v>0</v>
      </c>
      <c r="BG64" s="34" t="n">
        <f aca="false">SUM(BG47:BG63)</f>
        <v>130876</v>
      </c>
      <c r="BH64" s="34" t="n">
        <f aca="false">SUM(BH47:BH63)</f>
        <v>0</v>
      </c>
      <c r="BI64" s="34" t="n">
        <f aca="false">SUM(BI47:BI63)</f>
        <v>0</v>
      </c>
      <c r="BJ64" s="34" t="n">
        <f aca="false">SUM(BJ47:BJ63)</f>
        <v>130876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-272585.673333333</v>
      </c>
      <c r="H85" s="12" t="n">
        <f aca="false">H66+H67+H68+H69+H70+SUM(H71:H84)</f>
        <v>-252266.613333333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37640.4866666667</v>
      </c>
      <c r="H87" s="16" t="n">
        <f aca="false">H64+H85</f>
        <v>-4056.15333333332</v>
      </c>
      <c r="I87" s="16" t="n">
        <f aca="false">I64+I85</f>
        <v>-50349.1233333333</v>
      </c>
      <c r="J87" s="16" t="n">
        <f aca="false">J64+J85</f>
        <v>-59724.1233333333</v>
      </c>
      <c r="K87" s="16" t="n">
        <f aca="false">K64+K85</f>
        <v>-80724.1233333333</v>
      </c>
      <c r="L87" s="16" t="n">
        <f aca="false">L64+L85</f>
        <v>-59724.1233333333</v>
      </c>
      <c r="M87" s="16" t="n">
        <f aca="false">M64+M85</f>
        <v>-59724.1233333333</v>
      </c>
      <c r="N87" s="16" t="n">
        <f aca="false">N64+N85</f>
        <v>-59724.1233333333</v>
      </c>
      <c r="O87" s="16" t="n">
        <f aca="false">O64+O85</f>
        <v>-62060.415</v>
      </c>
      <c r="P87" s="16" t="n">
        <f aca="false">P64+P85</f>
        <v>-62060.415</v>
      </c>
      <c r="Q87" s="16" t="n">
        <f aca="false">Q64+Q85</f>
        <v>-62060.415</v>
      </c>
      <c r="R87" s="16" t="n">
        <f aca="false">R64+R85</f>
        <v>-109426.665</v>
      </c>
      <c r="S87" s="16" t="n">
        <f aca="false">S64+S85</f>
        <v>-85966.665</v>
      </c>
      <c r="T87" s="16" t="n">
        <f aca="false">T64+T85</f>
        <v>-85966.665</v>
      </c>
      <c r="U87" s="16" t="n">
        <f aca="false">U64+U85</f>
        <v>-85966.665</v>
      </c>
      <c r="V87" s="16" t="n">
        <f aca="false">V64+V85</f>
        <v>-85966.665</v>
      </c>
      <c r="W87" s="16" t="n">
        <f aca="false">W64+W85</f>
        <v>-50011.665</v>
      </c>
      <c r="X87" s="16" t="n">
        <f aca="false">X64+X85</f>
        <v>-85966.665</v>
      </c>
      <c r="Y87" s="16" t="n">
        <f aca="false">Y64+Y85</f>
        <v>-85966.665</v>
      </c>
      <c r="Z87" s="16" t="n">
        <f aca="false">Z64+Z85</f>
        <v>-41223.245</v>
      </c>
      <c r="AA87" s="16" t="n">
        <f aca="false">AA64+AA85</f>
        <v>-112033.8925</v>
      </c>
      <c r="AB87" s="16" t="n">
        <f aca="false">AB64+AB85</f>
        <v>-112033.8925</v>
      </c>
      <c r="AC87" s="16" t="n">
        <f aca="false">AC64+AC85</f>
        <v>-54658.8925</v>
      </c>
      <c r="AD87" s="16" t="n">
        <f aca="false">AD64+AD85</f>
        <v>-135963.0925</v>
      </c>
      <c r="AE87" s="16" t="n">
        <f aca="false">AE64+AE85</f>
        <v>-112033.8925</v>
      </c>
      <c r="AF87" s="16" t="n">
        <f aca="false">AF64+AF85</f>
        <v>-112033.8925</v>
      </c>
      <c r="AG87" s="16" t="n">
        <f aca="false">AG64+AG85</f>
        <v>-121533.8925</v>
      </c>
      <c r="AH87" s="16" t="n">
        <f aca="false">AH64+AH85</f>
        <v>-121533.8925</v>
      </c>
      <c r="AI87" s="16" t="n">
        <f aca="false">AI64+AI85</f>
        <v>-143382.2925</v>
      </c>
      <c r="AJ87" s="16" t="n">
        <f aca="false">AJ64+AJ85</f>
        <v>-121533.8925</v>
      </c>
      <c r="AK87" s="16" t="n">
        <f aca="false">AK64+AK85</f>
        <v>-121533.8925</v>
      </c>
      <c r="AL87" s="16" t="n">
        <f aca="false">AL64+AL85</f>
        <v>-121533.8925</v>
      </c>
      <c r="AM87" s="16" t="n">
        <f aca="false">AM64+AM85</f>
        <v>-123964.57035</v>
      </c>
      <c r="AN87" s="16" t="n">
        <f aca="false">AN64+AN85</f>
        <v>-123964.57035</v>
      </c>
      <c r="AO87" s="16" t="n">
        <f aca="false">AO64+AO85</f>
        <v>-123964.57035</v>
      </c>
      <c r="AP87" s="16" t="n">
        <f aca="false">AP64+AP85</f>
        <v>-148372.35435</v>
      </c>
      <c r="AQ87" s="16" t="n">
        <f aca="false">AQ64+AQ85</f>
        <v>-123964.57035</v>
      </c>
      <c r="AR87" s="16" t="n">
        <f aca="false">AR64+AR85</f>
        <v>-123964.57035</v>
      </c>
      <c r="AS87" s="16" t="n">
        <f aca="false">AS64+AS85</f>
        <v>-123964.57035</v>
      </c>
      <c r="AT87" s="16" t="n">
        <f aca="false">AT64+AT85</f>
        <v>-123964.57035</v>
      </c>
      <c r="AU87" s="16" t="n">
        <f aca="false">AU64+AU85</f>
        <v>-146249.93835</v>
      </c>
      <c r="AV87" s="16" t="n">
        <f aca="false">AV64+AV85</f>
        <v>-123964.57035</v>
      </c>
      <c r="AW87" s="16" t="n">
        <f aca="false">AW64+AW85</f>
        <v>-123964.57035</v>
      </c>
      <c r="AX87" s="16" t="n">
        <f aca="false">AX64+AX85</f>
        <v>-123964.57035</v>
      </c>
      <c r="AY87" s="16" t="n">
        <f aca="false">AY64+AY85</f>
        <v>-126443.861757</v>
      </c>
      <c r="AZ87" s="16" t="n">
        <f aca="false">AZ64+AZ85</f>
        <v>-126443.861757</v>
      </c>
      <c r="BA87" s="16" t="n">
        <f aca="false">BA64+BA85</f>
        <v>-126443.861757</v>
      </c>
      <c r="BB87" s="16" t="n">
        <f aca="false">BB64+BB85</f>
        <v>-151339.801437</v>
      </c>
      <c r="BC87" s="16" t="n">
        <f aca="false">BC64+BC85</f>
        <v>-126443.861757</v>
      </c>
      <c r="BD87" s="16" t="n">
        <f aca="false">BD64+BD85</f>
        <v>-126443.861757</v>
      </c>
      <c r="BE87" s="16" t="n">
        <f aca="false">BE64+BE85</f>
        <v>-126443.861757</v>
      </c>
      <c r="BF87" s="16" t="n">
        <f aca="false">BF64+BF85</f>
        <v>-126443.861757</v>
      </c>
      <c r="BG87" s="16" t="n">
        <f aca="false">BG64+BG85</f>
        <v>-149174.937117</v>
      </c>
      <c r="BH87" s="16" t="n">
        <f aca="false">BH64+BH85</f>
        <v>-126443.861757</v>
      </c>
      <c r="BI87" s="16" t="n">
        <f aca="false">BI64+BI85</f>
        <v>-126443.861757</v>
      </c>
      <c r="BJ87" s="16" t="n">
        <f aca="false">BJ64+BJ85</f>
        <v>-126443.861757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597373.148274663</v>
      </c>
      <c r="H90" s="10" t="n">
        <f aca="false">H12</f>
        <v>639541.955041111</v>
      </c>
      <c r="I90" s="10" t="n">
        <f aca="false">I12</f>
        <v>1194567.75030691</v>
      </c>
      <c r="J90" s="10" t="n">
        <f aca="false">J12</f>
        <v>1187600.86362527</v>
      </c>
      <c r="K90" s="10" t="n">
        <f aca="false">K12</f>
        <v>813858.452425141</v>
      </c>
      <c r="L90" s="10" t="n">
        <f aca="false">L12</f>
        <v>828115.08736628</v>
      </c>
      <c r="M90" s="10" t="n">
        <f aca="false">M12</f>
        <v>839215.019324431</v>
      </c>
      <c r="N90" s="10" t="n">
        <f aca="false">N12</f>
        <v>846702.985740912</v>
      </c>
      <c r="O90" s="10" t="n">
        <f aca="false">O12</f>
        <v>1655942.48531516</v>
      </c>
      <c r="P90" s="10" t="n">
        <f aca="false">P12</f>
        <v>981012.15467977</v>
      </c>
      <c r="Q90" s="10" t="n">
        <f aca="false">Q12</f>
        <v>1123708.18808712</v>
      </c>
      <c r="R90" s="10" t="n">
        <f aca="false">R12</f>
        <v>1241397.31591469</v>
      </c>
      <c r="S90" s="10" t="n">
        <f aca="false">S12</f>
        <v>828449.430028738</v>
      </c>
      <c r="T90" s="10" t="n">
        <f aca="false">T12</f>
        <v>829144.46365564</v>
      </c>
      <c r="U90" s="10" t="n">
        <f aca="false">U12</f>
        <v>1142436.40700708</v>
      </c>
      <c r="V90" s="10" t="n">
        <f aca="false">V12</f>
        <v>871793.719204671</v>
      </c>
      <c r="W90" s="10" t="n">
        <f aca="false">W12</f>
        <v>864472.299492167</v>
      </c>
      <c r="X90" s="10" t="n">
        <f aca="false">X12</f>
        <v>854004.865458549</v>
      </c>
      <c r="Y90" s="10" t="n">
        <f aca="false">Y12</f>
        <v>895349.132716641</v>
      </c>
      <c r="Z90" s="10" t="n">
        <f aca="false">Z12</f>
        <v>828239.402252383</v>
      </c>
      <c r="AA90" s="10" t="n">
        <f aca="false">AA12</f>
        <v>816185.02504528</v>
      </c>
      <c r="AB90" s="10" t="n">
        <f aca="false">AB12</f>
        <v>666435.793288576</v>
      </c>
      <c r="AC90" s="10" t="n">
        <f aca="false">AC12</f>
        <v>1368350.6959346</v>
      </c>
      <c r="AD90" s="10" t="n">
        <f aca="false">AD12</f>
        <v>707923.750053897</v>
      </c>
      <c r="AE90" s="10" t="n">
        <f aca="false">AE12</f>
        <v>705603.059039127</v>
      </c>
      <c r="AF90" s="10" t="n">
        <f aca="false">AF12</f>
        <v>700626.905553048</v>
      </c>
      <c r="AG90" s="10" t="n">
        <f aca="false">AG12</f>
        <v>814236.860485128</v>
      </c>
      <c r="AH90" s="10" t="n">
        <f aca="false">AH12</f>
        <v>629836.149048903</v>
      </c>
      <c r="AI90" s="10" t="n">
        <f aca="false">AI12</f>
        <v>863836.238342461</v>
      </c>
      <c r="AJ90" s="10" t="n">
        <f aca="false">AJ12</f>
        <v>606743.063124721</v>
      </c>
      <c r="AK90" s="10" t="n">
        <f aca="false">AK12</f>
        <v>445378.397853629</v>
      </c>
      <c r="AL90" s="10" t="n">
        <f aca="false">AL12</f>
        <v>527728.532497471</v>
      </c>
      <c r="AM90" s="10" t="n">
        <f aca="false">AM12</f>
        <v>473280.484966621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310226.16</v>
      </c>
      <c r="H91" s="10" t="n">
        <f aca="false">H64</f>
        <v>248210.46</v>
      </c>
      <c r="I91" s="10" t="n">
        <f aca="false">I64</f>
        <v>66465.46</v>
      </c>
      <c r="J91" s="10" t="n">
        <f aca="false">J64</f>
        <v>57090.46</v>
      </c>
      <c r="K91" s="10" t="n">
        <f aca="false">K64</f>
        <v>57090.46</v>
      </c>
      <c r="L91" s="10" t="n">
        <f aca="false">L64</f>
        <v>57090.46</v>
      </c>
      <c r="M91" s="10" t="n">
        <f aca="false">M64</f>
        <v>57090.46</v>
      </c>
      <c r="N91" s="10" t="n">
        <f aca="false">N64</f>
        <v>57090.46</v>
      </c>
      <c r="O91" s="10" t="n">
        <f aca="false">O64</f>
        <v>57090.46</v>
      </c>
      <c r="P91" s="10" t="n">
        <f aca="false">P64</f>
        <v>57090.46</v>
      </c>
      <c r="Q91" s="10" t="n">
        <f aca="false">Q64</f>
        <v>57090.46</v>
      </c>
      <c r="R91" s="10" t="n">
        <f aca="false">R64</f>
        <v>33184.21</v>
      </c>
      <c r="S91" s="10" t="n">
        <f aca="false">S64</f>
        <v>33184.21</v>
      </c>
      <c r="T91" s="10" t="n">
        <f aca="false">T64</f>
        <v>33184.21</v>
      </c>
      <c r="U91" s="10" t="n">
        <f aca="false">U64</f>
        <v>33184.21</v>
      </c>
      <c r="V91" s="10" t="n">
        <f aca="false">V64</f>
        <v>33184.21</v>
      </c>
      <c r="W91" s="10" t="n">
        <f aca="false">W64</f>
        <v>90559.21</v>
      </c>
      <c r="X91" s="10" t="n">
        <f aca="false">X64</f>
        <v>33184.21</v>
      </c>
      <c r="Y91" s="10" t="n">
        <f aca="false">Y64</f>
        <v>33184.21</v>
      </c>
      <c r="Z91" s="10" t="n">
        <f aca="false">Z64</f>
        <v>77927.63</v>
      </c>
      <c r="AA91" s="10" t="n">
        <f aca="false">AA64</f>
        <v>9500</v>
      </c>
      <c r="AB91" s="10" t="n">
        <f aca="false">AB64</f>
        <v>9500</v>
      </c>
      <c r="AC91" s="10" t="n">
        <f aca="false">AC64</f>
        <v>66875</v>
      </c>
      <c r="AD91" s="10" t="n">
        <f aca="false">AD64</f>
        <v>9500</v>
      </c>
      <c r="AE91" s="10" t="n">
        <f aca="false">AE64</f>
        <v>9500</v>
      </c>
      <c r="AF91" s="10" t="n">
        <f aca="false">AF64</f>
        <v>9500</v>
      </c>
      <c r="AG91" s="10" t="n">
        <f aca="false">AG64</f>
        <v>0</v>
      </c>
      <c r="AH91" s="10" t="n">
        <f aca="false">AH64</f>
        <v>0</v>
      </c>
      <c r="AI91" s="10" t="n">
        <f aca="false">AI64</f>
        <v>0</v>
      </c>
      <c r="AJ91" s="10" t="n">
        <f aca="false">AJ64</f>
        <v>0</v>
      </c>
      <c r="AK91" s="10" t="n">
        <f aca="false">AK64</f>
        <v>0</v>
      </c>
      <c r="AL91" s="10" t="n">
        <f aca="false">AL64</f>
        <v>0</v>
      </c>
      <c r="AM91" s="10" t="n">
        <f aca="false">AM64</f>
        <v>0</v>
      </c>
      <c r="AN91" s="10" t="n">
        <f aca="false">AN64</f>
        <v>0</v>
      </c>
      <c r="AO91" s="10" t="n">
        <f aca="false">AO64</f>
        <v>0</v>
      </c>
      <c r="AP91" s="10" t="n">
        <f aca="false">AP64</f>
        <v>0</v>
      </c>
      <c r="AQ91" s="10" t="n">
        <f aca="false">AQ64</f>
        <v>0</v>
      </c>
      <c r="AR91" s="10" t="n">
        <f aca="false">AR64</f>
        <v>81683</v>
      </c>
      <c r="AS91" s="10" t="n">
        <f aca="false">AS64</f>
        <v>0</v>
      </c>
      <c r="AT91" s="10" t="n">
        <f aca="false">AT64</f>
        <v>0</v>
      </c>
      <c r="AU91" s="10" t="n">
        <f aca="false">AU64</f>
        <v>81682</v>
      </c>
      <c r="AV91" s="10" t="n">
        <f aca="false">AV64</f>
        <v>0</v>
      </c>
      <c r="AW91" s="10" t="n">
        <f aca="false">AW64</f>
        <v>0</v>
      </c>
      <c r="AX91" s="10" t="n">
        <f aca="false">AX64</f>
        <v>81682</v>
      </c>
      <c r="AY91" s="10" t="n">
        <f aca="false">AY64</f>
        <v>0</v>
      </c>
      <c r="AZ91" s="10" t="n">
        <f aca="false">AZ64</f>
        <v>0</v>
      </c>
      <c r="BA91" s="10" t="n">
        <f aca="false">BA64</f>
        <v>933521</v>
      </c>
      <c r="BB91" s="10" t="n">
        <f aca="false">BB64</f>
        <v>0</v>
      </c>
      <c r="BC91" s="10" t="n">
        <f aca="false">BC64</f>
        <v>0</v>
      </c>
      <c r="BD91" s="10" t="n">
        <f aca="false">BD64</f>
        <v>130878</v>
      </c>
      <c r="BE91" s="10" t="n">
        <f aca="false">BE64</f>
        <v>0</v>
      </c>
      <c r="BF91" s="10" t="n">
        <f aca="false">BF64</f>
        <v>0</v>
      </c>
      <c r="BG91" s="10" t="n">
        <f aca="false">BG64</f>
        <v>130876</v>
      </c>
      <c r="BH91" s="10" t="n">
        <f aca="false">BH64</f>
        <v>0</v>
      </c>
      <c r="BI91" s="10" t="n">
        <f aca="false">BI64</f>
        <v>0</v>
      </c>
      <c r="BJ91" s="10" t="n">
        <f aca="false">BJ64</f>
        <v>130876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907599.308274663</v>
      </c>
      <c r="H92" s="12" t="n">
        <f aca="false">H90+H91</f>
        <v>887752.415041111</v>
      </c>
      <c r="I92" s="12" t="n">
        <f aca="false">I90+I91</f>
        <v>1261033.21030691</v>
      </c>
      <c r="J92" s="12" t="n">
        <f aca="false">J90+J91</f>
        <v>1244691.32362527</v>
      </c>
      <c r="K92" s="12" t="n">
        <f aca="false">K90+K91</f>
        <v>870948.912425141</v>
      </c>
      <c r="L92" s="12" t="n">
        <f aca="false">L90+L91</f>
        <v>885205.54736628</v>
      </c>
      <c r="M92" s="12" t="n">
        <f aca="false">M90+M91</f>
        <v>896305.479324431</v>
      </c>
      <c r="N92" s="12" t="n">
        <f aca="false">N90+N91</f>
        <v>903793.445740912</v>
      </c>
      <c r="O92" s="12" t="n">
        <f aca="false">O90+O91</f>
        <v>1713032.94531516</v>
      </c>
      <c r="P92" s="12" t="n">
        <f aca="false">P90+P91</f>
        <v>1038102.61467977</v>
      </c>
      <c r="Q92" s="12" t="n">
        <f aca="false">Q90+Q91</f>
        <v>1180798.64808712</v>
      </c>
      <c r="R92" s="12" t="n">
        <f aca="false">R90+R91</f>
        <v>1274581.52591468</v>
      </c>
      <c r="S92" s="12" t="n">
        <f aca="false">S90+S91</f>
        <v>861633.640028738</v>
      </c>
      <c r="T92" s="12" t="n">
        <f aca="false">T90+T91</f>
        <v>862328.67365564</v>
      </c>
      <c r="U92" s="12" t="n">
        <f aca="false">U90+U91</f>
        <v>1175620.61700708</v>
      </c>
      <c r="V92" s="12" t="n">
        <f aca="false">V90+V91</f>
        <v>904977.929204671</v>
      </c>
      <c r="W92" s="12" t="n">
        <f aca="false">W90+W91</f>
        <v>955031.509492167</v>
      </c>
      <c r="X92" s="12" t="n">
        <f aca="false">X90+X91</f>
        <v>887189.075458549</v>
      </c>
      <c r="Y92" s="12" t="n">
        <f aca="false">Y90+Y91</f>
        <v>928533.342716641</v>
      </c>
      <c r="Z92" s="12" t="n">
        <f aca="false">Z90+Z91</f>
        <v>906167.032252383</v>
      </c>
      <c r="AA92" s="12" t="n">
        <f aca="false">AA90+AA91</f>
        <v>825685.02504528</v>
      </c>
      <c r="AB92" s="12" t="n">
        <f aca="false">AB90+AB91</f>
        <v>675935.793288576</v>
      </c>
      <c r="AC92" s="12" t="n">
        <f aca="false">AC90+AC91</f>
        <v>1435225.6959346</v>
      </c>
      <c r="AD92" s="12" t="n">
        <f aca="false">AD90+AD91</f>
        <v>717423.750053897</v>
      </c>
      <c r="AE92" s="12" t="n">
        <f aca="false">AE90+AE91</f>
        <v>715103.059039127</v>
      </c>
      <c r="AF92" s="12" t="n">
        <f aca="false">AF90+AF91</f>
        <v>710126.905553048</v>
      </c>
      <c r="AG92" s="12" t="n">
        <f aca="false">AG90+AG91</f>
        <v>814236.860485128</v>
      </c>
      <c r="AH92" s="12" t="n">
        <f aca="false">AH90+AH91</f>
        <v>629836.149048903</v>
      </c>
      <c r="AI92" s="12" t="n">
        <f aca="false">AI90+AI91</f>
        <v>863836.238342461</v>
      </c>
      <c r="AJ92" s="12" t="n">
        <f aca="false">AJ90+AJ91</f>
        <v>606743.063124721</v>
      </c>
      <c r="AK92" s="12" t="n">
        <f aca="false">AK90+AK91</f>
        <v>445378.397853629</v>
      </c>
      <c r="AL92" s="12" t="n">
        <f aca="false">AL90+AL91</f>
        <v>527728.532497471</v>
      </c>
      <c r="AM92" s="12" t="n">
        <f aca="false">AM90+AM91</f>
        <v>473280.484966621</v>
      </c>
      <c r="AN92" s="12" t="n">
        <f aca="false">AN90+AN91</f>
        <v>316527.783706897</v>
      </c>
      <c r="AO92" s="12" t="n">
        <f aca="false">AO90+AO91</f>
        <v>313265.023492166</v>
      </c>
      <c r="AP92" s="12" t="n">
        <f aca="false">AP90+AP91</f>
        <v>309361.662778741</v>
      </c>
      <c r="AQ92" s="12" t="n">
        <f aca="false">AQ90+AQ91</f>
        <v>304855.735731304</v>
      </c>
      <c r="AR92" s="12" t="n">
        <f aca="false">AR90+AR91</f>
        <v>638674.313948731</v>
      </c>
      <c r="AS92" s="12" t="n">
        <f aca="false">AS90+AS91</f>
        <v>172117.653902309</v>
      </c>
      <c r="AT92" s="12" t="n">
        <f aca="false">AT90+AT91</f>
        <v>170395.663138024</v>
      </c>
      <c r="AU92" s="12" t="n">
        <f aca="false">AU90+AU91</f>
        <v>249555.903329881</v>
      </c>
      <c r="AV92" s="12" t="n">
        <f aca="false">AV90+AV91</f>
        <v>164628.907400738</v>
      </c>
      <c r="AW92" s="12" t="n">
        <f aca="false">AW90+AW91</f>
        <v>160750.601534952</v>
      </c>
      <c r="AX92" s="12" t="n">
        <f aca="false">AX90+AX91</f>
        <v>238026.218501452</v>
      </c>
      <c r="AY92" s="12" t="n">
        <f aca="false">AY90+AY91</f>
        <v>151528.384330667</v>
      </c>
      <c r="AZ92" s="12" t="n">
        <f aca="false">AZ90+AZ91</f>
        <v>146419.811729952</v>
      </c>
      <c r="BA92" s="12" t="n">
        <f aca="false">BA90+BA91</f>
        <v>1074661.95337588</v>
      </c>
      <c r="BB92" s="12" t="n">
        <f aca="false">BB90+BB91</f>
        <v>135806.608652738</v>
      </c>
      <c r="BC92" s="12" t="n">
        <f aca="false">BC90+BC91</f>
        <v>130522.010329452</v>
      </c>
      <c r="BD92" s="12" t="n">
        <f aca="false">BD90+BD91</f>
        <v>256260.824559595</v>
      </c>
      <c r="BE92" s="12" t="n">
        <f aca="false">BE90+BE91</f>
        <v>120467.497589095</v>
      </c>
      <c r="BF92" s="12" t="n">
        <f aca="false">BF90+BF91</f>
        <v>350812.495725452</v>
      </c>
      <c r="BG92" s="12" t="n">
        <f aca="false">BG90+BG91</f>
        <v>130876</v>
      </c>
      <c r="BH92" s="12" t="n">
        <f aca="false">BH90+BH91</f>
        <v>0</v>
      </c>
      <c r="BI92" s="12" t="n">
        <f aca="false">BI90+BI91</f>
        <v>0</v>
      </c>
      <c r="BJ92" s="12" t="n">
        <f aca="false">BJ90+BJ91</f>
        <v>130876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-717541.8802</v>
      </c>
      <c r="G93" s="10" t="n">
        <f aca="false">G39</f>
        <v>-411710.781666667</v>
      </c>
      <c r="H93" s="10" t="n">
        <f aca="false">H39</f>
        <v>-411710.781666667</v>
      </c>
      <c r="I93" s="10" t="n">
        <f aca="false">I39</f>
        <v>-629793.628666667</v>
      </c>
      <c r="J93" s="10" t="n">
        <f aca="false">J39</f>
        <v>-569059.978666667</v>
      </c>
      <c r="K93" s="10" t="n">
        <f aca="false">K39</f>
        <v>-411710.781666667</v>
      </c>
      <c r="L93" s="10" t="n">
        <f aca="false">L39</f>
        <v>-411710.781666667</v>
      </c>
      <c r="M93" s="10" t="n">
        <f aca="false">M39</f>
        <v>-411710.781666667</v>
      </c>
      <c r="N93" s="10" t="n">
        <f aca="false">N39</f>
        <v>-411710.781666667</v>
      </c>
      <c r="O93" s="10" t="n">
        <f aca="false">O39</f>
        <v>-1885553.53563333</v>
      </c>
      <c r="P93" s="10" t="n">
        <f aca="false">P39</f>
        <v>-414383.510633333</v>
      </c>
      <c r="Q93" s="10" t="n">
        <f aca="false">Q39</f>
        <v>-414383.510633333</v>
      </c>
      <c r="R93" s="10" t="n">
        <f aca="false">R39</f>
        <v>-907732.080633333</v>
      </c>
      <c r="S93" s="10" t="n">
        <f aca="false">S39</f>
        <v>-414383.510633333</v>
      </c>
      <c r="T93" s="10" t="n">
        <f aca="false">T39</f>
        <v>-414383.510633333</v>
      </c>
      <c r="U93" s="10" t="n">
        <f aca="false">U39</f>
        <v>-907732.080633333</v>
      </c>
      <c r="V93" s="10" t="n">
        <f aca="false">V39</f>
        <v>-414383.510633333</v>
      </c>
      <c r="W93" s="10" t="n">
        <f aca="false">W39</f>
        <v>-414383.510633333</v>
      </c>
      <c r="X93" s="10" t="n">
        <f aca="false">X39</f>
        <v>-414383.510633333</v>
      </c>
      <c r="Y93" s="10" t="n">
        <f aca="false">Y39</f>
        <v>-414383.510633333</v>
      </c>
      <c r="Z93" s="10" t="n">
        <f aca="false">Z39</f>
        <v>-414383.510633333</v>
      </c>
      <c r="AA93" s="10" t="n">
        <f aca="false">AA39</f>
        <v>-417109.694179333</v>
      </c>
      <c r="AB93" s="10" t="n">
        <f aca="false">AB39</f>
        <v>-417109.694179333</v>
      </c>
      <c r="AC93" s="10" t="n">
        <f aca="false">AC39</f>
        <v>-1761135.23417933</v>
      </c>
      <c r="AD93" s="10" t="n">
        <f aca="false">AD39</f>
        <v>-417109.694179333</v>
      </c>
      <c r="AE93" s="10" t="n">
        <f aca="false">AE39</f>
        <v>-417109.694179333</v>
      </c>
      <c r="AF93" s="10" t="n">
        <f aca="false">AF39</f>
        <v>-417109.694179333</v>
      </c>
      <c r="AG93" s="10" t="n">
        <f aca="false">AG39</f>
        <v>-417109.694179333</v>
      </c>
      <c r="AH93" s="10" t="n">
        <f aca="false">AH39</f>
        <v>-417109.694179333</v>
      </c>
      <c r="AI93" s="10" t="n">
        <f aca="false">AI39</f>
        <v>-417109.694179333</v>
      </c>
      <c r="AJ93" s="10" t="n">
        <f aca="false">AJ39</f>
        <v>-417109.694179333</v>
      </c>
      <c r="AK93" s="10" t="n">
        <f aca="false">AK39</f>
        <v>-417109.694179333</v>
      </c>
      <c r="AL93" s="10" t="n">
        <f aca="false">AL39</f>
        <v>-417109.694179333</v>
      </c>
      <c r="AM93" s="10" t="n">
        <f aca="false">AM39</f>
        <v>-419890.401396254</v>
      </c>
      <c r="AN93" s="10" t="n">
        <f aca="false">AN39</f>
        <v>-419890.401396254</v>
      </c>
      <c r="AO93" s="10" t="n">
        <f aca="false">AO39</f>
        <v>-419890.401396254</v>
      </c>
      <c r="AP93" s="10" t="n">
        <f aca="false">AP39</f>
        <v>-419890.401396254</v>
      </c>
      <c r="AQ93" s="10" t="n">
        <f aca="false">AQ39</f>
        <v>-419890.401396254</v>
      </c>
      <c r="AR93" s="10" t="n">
        <f aca="false">AR39</f>
        <v>-419890.401396254</v>
      </c>
      <c r="AS93" s="10" t="n">
        <f aca="false">AS39</f>
        <v>-419890.401396254</v>
      </c>
      <c r="AT93" s="10" t="n">
        <f aca="false">AT39</f>
        <v>-419890.401396254</v>
      </c>
      <c r="AU93" s="10" t="n">
        <f aca="false">AU39</f>
        <v>-419890.401396254</v>
      </c>
      <c r="AV93" s="10" t="n">
        <f aca="false">AV39</f>
        <v>-419890.401396254</v>
      </c>
      <c r="AW93" s="10" t="n">
        <f aca="false">AW39</f>
        <v>-419890.401396254</v>
      </c>
      <c r="AX93" s="10" t="n">
        <f aca="false">AX39</f>
        <v>-419890.401396254</v>
      </c>
      <c r="AY93" s="10" t="n">
        <f aca="false">AY39</f>
        <v>-422726.722757512</v>
      </c>
      <c r="AZ93" s="10" t="n">
        <f aca="false">AZ39</f>
        <v>-422726.722757512</v>
      </c>
      <c r="BA93" s="10" t="n">
        <f aca="false">BA39</f>
        <v>-422726.722757512</v>
      </c>
      <c r="BB93" s="10" t="n">
        <f aca="false">BB39</f>
        <v>-422726.722757512</v>
      </c>
      <c r="BC93" s="10" t="n">
        <f aca="false">BC39</f>
        <v>-422726.722757512</v>
      </c>
      <c r="BD93" s="10" t="n">
        <f aca="false">BD39</f>
        <v>-422726.722757512</v>
      </c>
      <c r="BE93" s="10" t="n">
        <f aca="false">BE39</f>
        <v>-422726.722757512</v>
      </c>
      <c r="BF93" s="10" t="n">
        <f aca="false">BF39</f>
        <v>-422726.722757512</v>
      </c>
      <c r="BG93" s="10" t="n">
        <f aca="false">BG39</f>
        <v>-422726.722757512</v>
      </c>
      <c r="BH93" s="10" t="n">
        <f aca="false">BH39</f>
        <v>-422726.722757512</v>
      </c>
      <c r="BI93" s="10" t="n">
        <f aca="false">BI39</f>
        <v>-422726.722757512</v>
      </c>
      <c r="BJ93" s="10" t="n">
        <f aca="false">BJ39</f>
        <v>-422726.722757512</v>
      </c>
      <c r="BK93" s="10" t="n">
        <f aca="false">BK39</f>
        <v>-425619.770545995</v>
      </c>
      <c r="BL93" s="10" t="n">
        <f aca="false">BL39</f>
        <v>-425619.770545995</v>
      </c>
      <c r="BM93" s="10" t="n">
        <f aca="false">BM39</f>
        <v>-425619.770545995</v>
      </c>
      <c r="BN93" s="10" t="n">
        <f aca="false">BN39</f>
        <v>-425619.770545995</v>
      </c>
      <c r="BO93" s="10" t="n">
        <f aca="false">BO39</f>
        <v>-425619.770545995</v>
      </c>
      <c r="BP93" s="10" t="n">
        <f aca="false">BP39</f>
        <v>-425619.770545995</v>
      </c>
      <c r="BQ93" s="10" t="n">
        <f aca="false">BQ39</f>
        <v>-425619.770545995</v>
      </c>
      <c r="BR93" s="10" t="n">
        <f aca="false">BR39</f>
        <v>-425619.770545995</v>
      </c>
      <c r="BS93" s="10" t="n">
        <f aca="false">BS39</f>
        <v>-425619.770545995</v>
      </c>
      <c r="BT93" s="10" t="n">
        <f aca="false">BT39</f>
        <v>-425619.770545995</v>
      </c>
      <c r="BU93" s="10" t="n">
        <f aca="false">BU39</f>
        <v>-425619.770545995</v>
      </c>
      <c r="BV93" s="10" t="n">
        <f aca="false">BV39</f>
        <v>-425619.770545995</v>
      </c>
      <c r="BW93" s="10" t="n">
        <f aca="false">BW39</f>
        <v>-428570.679290249</v>
      </c>
      <c r="BX93" s="10" t="n">
        <f aca="false">BX39</f>
        <v>-428570.679290249</v>
      </c>
      <c r="BY93" s="10" t="n">
        <f aca="false">BY39</f>
        <v>-428570.679290249</v>
      </c>
      <c r="BZ93" s="10" t="n">
        <f aca="false">BZ39</f>
        <v>-428570.679290249</v>
      </c>
      <c r="CA93" s="10" t="n">
        <f aca="false">CA39</f>
        <v>-428570.679290249</v>
      </c>
      <c r="CB93" s="10" t="n">
        <f aca="false">CB39</f>
        <v>-428570.679290249</v>
      </c>
      <c r="CC93" s="10" t="n">
        <f aca="false">CC39</f>
        <v>-428570.679290249</v>
      </c>
      <c r="CD93" s="10" t="n">
        <f aca="false">CD39</f>
        <v>-428570.679290249</v>
      </c>
      <c r="CE93" s="10" t="n">
        <f aca="false">CE39</f>
        <v>-428570.679290249</v>
      </c>
      <c r="CF93" s="10" t="n">
        <f aca="false">CF39</f>
        <v>-428570.679290249</v>
      </c>
      <c r="CG93" s="10" t="n">
        <f aca="false">CG39</f>
        <v>-428570.679290249</v>
      </c>
      <c r="CH93" s="10" t="n">
        <f aca="false">CH39</f>
        <v>-428570.679290249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-272585.673333333</v>
      </c>
      <c r="H94" s="10" t="n">
        <f aca="false">H85</f>
        <v>-252266.613333333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-857356.463533334</v>
      </c>
      <c r="G95" s="12" t="n">
        <f aca="false">G93+G94</f>
        <v>-684296.455</v>
      </c>
      <c r="H95" s="12" t="n">
        <f aca="false">H93+H94</f>
        <v>-663977.395</v>
      </c>
      <c r="I95" s="12" t="n">
        <f aca="false">I93+I94</f>
        <v>-746608.212</v>
      </c>
      <c r="J95" s="12" t="n">
        <f aca="false">J93+J94</f>
        <v>-685874.562</v>
      </c>
      <c r="K95" s="12" t="n">
        <f aca="false">K93+K94</f>
        <v>-549525.365</v>
      </c>
      <c r="L95" s="12" t="n">
        <f aca="false">L93+L94</f>
        <v>-528525.365</v>
      </c>
      <c r="M95" s="12" t="n">
        <f aca="false">M93+M94</f>
        <v>-528525.365</v>
      </c>
      <c r="N95" s="12" t="n">
        <f aca="false">N93+N94</f>
        <v>-528525.365</v>
      </c>
      <c r="O95" s="12" t="n">
        <f aca="false">O93+O94</f>
        <v>-2004704.41063333</v>
      </c>
      <c r="P95" s="12" t="n">
        <f aca="false">P93+P94</f>
        <v>-533534.385633333</v>
      </c>
      <c r="Q95" s="12" t="n">
        <f aca="false">Q93+Q94</f>
        <v>-533534.385633333</v>
      </c>
      <c r="R95" s="12" t="n">
        <f aca="false">R93+R94</f>
        <v>-1050342.95563333</v>
      </c>
      <c r="S95" s="12" t="n">
        <f aca="false">S93+S94</f>
        <v>-533534.385633333</v>
      </c>
      <c r="T95" s="12" t="n">
        <f aca="false">T93+T94</f>
        <v>-533534.385633333</v>
      </c>
      <c r="U95" s="12" t="n">
        <f aca="false">U93+U94</f>
        <v>-1026882.95563333</v>
      </c>
      <c r="V95" s="12" t="n">
        <f aca="false">V93+V94</f>
        <v>-533534.385633333</v>
      </c>
      <c r="W95" s="12" t="n">
        <f aca="false">W93+W94</f>
        <v>-554954.385633333</v>
      </c>
      <c r="X95" s="12" t="n">
        <f aca="false">X93+X94</f>
        <v>-533534.385633333</v>
      </c>
      <c r="Y95" s="12" t="n">
        <f aca="false">Y93+Y94</f>
        <v>-533534.385633333</v>
      </c>
      <c r="Z95" s="12" t="n">
        <f aca="false">Z93+Z94</f>
        <v>-533534.385633333</v>
      </c>
      <c r="AA95" s="12" t="n">
        <f aca="false">AA93+AA94</f>
        <v>-538643.586679333</v>
      </c>
      <c r="AB95" s="12" t="n">
        <f aca="false">AB93+AB94</f>
        <v>-538643.586679333</v>
      </c>
      <c r="AC95" s="12" t="n">
        <f aca="false">AC93+AC94</f>
        <v>-1882669.12667933</v>
      </c>
      <c r="AD95" s="12" t="n">
        <f aca="false">AD93+AD94</f>
        <v>-562572.786679333</v>
      </c>
      <c r="AE95" s="12" t="n">
        <f aca="false">AE93+AE94</f>
        <v>-538643.586679333</v>
      </c>
      <c r="AF95" s="12" t="n">
        <f aca="false">AF93+AF94</f>
        <v>-538643.586679333</v>
      </c>
      <c r="AG95" s="12" t="n">
        <f aca="false">AG93+AG94</f>
        <v>-538643.586679333</v>
      </c>
      <c r="AH95" s="12" t="n">
        <f aca="false">AH93+AH94</f>
        <v>-538643.586679333</v>
      </c>
      <c r="AI95" s="12" t="n">
        <f aca="false">AI93+AI94</f>
        <v>-560491.986679333</v>
      </c>
      <c r="AJ95" s="12" t="n">
        <f aca="false">AJ93+AJ94</f>
        <v>-538643.586679333</v>
      </c>
      <c r="AK95" s="12" t="n">
        <f aca="false">AK93+AK94</f>
        <v>-538643.586679333</v>
      </c>
      <c r="AL95" s="12" t="n">
        <f aca="false">AL93+AL94</f>
        <v>-538643.586679333</v>
      </c>
      <c r="AM95" s="12" t="n">
        <f aca="false">AM93+AM94</f>
        <v>-543854.971746254</v>
      </c>
      <c r="AN95" s="12" t="n">
        <f aca="false">AN93+AN94</f>
        <v>-543854.971746254</v>
      </c>
      <c r="AO95" s="12" t="n">
        <f aca="false">AO93+AO94</f>
        <v>-543854.971746254</v>
      </c>
      <c r="AP95" s="12" t="n">
        <f aca="false">AP93+AP94</f>
        <v>-568262.755746254</v>
      </c>
      <c r="AQ95" s="12" t="n">
        <f aca="false">AQ93+AQ94</f>
        <v>-543854.971746254</v>
      </c>
      <c r="AR95" s="12" t="n">
        <f aca="false">AR93+AR94</f>
        <v>-625537.971746254</v>
      </c>
      <c r="AS95" s="12" t="n">
        <f aca="false">AS93+AS94</f>
        <v>-543854.971746254</v>
      </c>
      <c r="AT95" s="12" t="n">
        <f aca="false">AT93+AT94</f>
        <v>-543854.971746254</v>
      </c>
      <c r="AU95" s="12" t="n">
        <f aca="false">AU93+AU94</f>
        <v>-647822.339746254</v>
      </c>
      <c r="AV95" s="12" t="n">
        <f aca="false">AV93+AV94</f>
        <v>-543854.971746254</v>
      </c>
      <c r="AW95" s="12" t="n">
        <f aca="false">AW93+AW94</f>
        <v>-543854.971746254</v>
      </c>
      <c r="AX95" s="12" t="n">
        <f aca="false">AX93+AX94</f>
        <v>-625536.971746254</v>
      </c>
      <c r="AY95" s="12" t="n">
        <f aca="false">AY93+AY94</f>
        <v>-549170.584514512</v>
      </c>
      <c r="AZ95" s="12" t="n">
        <f aca="false">AZ93+AZ94</f>
        <v>-549170.584514512</v>
      </c>
      <c r="BA95" s="12" t="n">
        <f aca="false">BA93+BA94</f>
        <v>-1482691.58451451</v>
      </c>
      <c r="BB95" s="12" t="n">
        <f aca="false">BB93+BB94</f>
        <v>-574066.524194512</v>
      </c>
      <c r="BC95" s="12" t="n">
        <f aca="false">BC93+BC94</f>
        <v>-549170.584514512</v>
      </c>
      <c r="BD95" s="12" t="n">
        <f aca="false">BD93+BD94</f>
        <v>-680048.584514512</v>
      </c>
      <c r="BE95" s="12" t="n">
        <f aca="false">BE93+BE94</f>
        <v>-549170.584514512</v>
      </c>
      <c r="BF95" s="12" t="n">
        <f aca="false">BF93+BF94</f>
        <v>-549170.584514512</v>
      </c>
      <c r="BG95" s="12" t="n">
        <f aca="false">BG93+BG94</f>
        <v>-702777.659874512</v>
      </c>
      <c r="BH95" s="12" t="n">
        <f aca="false">BH93+BH94</f>
        <v>-549170.584514512</v>
      </c>
      <c r="BI95" s="12" t="n">
        <f aca="false">BI93+BI94</f>
        <v>-549170.584514512</v>
      </c>
      <c r="BJ95" s="12" t="n">
        <f aca="false">BJ93+BJ94</f>
        <v>-680046.584514512</v>
      </c>
      <c r="BK95" s="12" t="n">
        <f aca="false">BK93+BK94</f>
        <v>-554592.509538136</v>
      </c>
      <c r="BL95" s="12" t="n">
        <f aca="false">BL93+BL94</f>
        <v>-554592.509538136</v>
      </c>
      <c r="BM95" s="12" t="n">
        <f aca="false">BM93+BM94</f>
        <v>-685468.509538136</v>
      </c>
      <c r="BN95" s="12" t="n">
        <f aca="false">BN93+BN94</f>
        <v>-579986.368011735</v>
      </c>
      <c r="BO95" s="12" t="n">
        <f aca="false">BO93+BO94</f>
        <v>-554592.509538136</v>
      </c>
      <c r="BP95" s="12" t="n">
        <f aca="false">BP93+BP94</f>
        <v>-645484.989538136</v>
      </c>
      <c r="BQ95" s="12" t="n">
        <f aca="false">BQ93+BQ94</f>
        <v>-554592.509538136</v>
      </c>
      <c r="BR95" s="12" t="n">
        <f aca="false">BR93+BR94</f>
        <v>-554592.509538136</v>
      </c>
      <c r="BS95" s="12" t="n">
        <f aca="false">BS93+BS94</f>
        <v>-652418.206405336</v>
      </c>
      <c r="BT95" s="12" t="n">
        <f aca="false">BT93+BT94</f>
        <v>-554592.509538136</v>
      </c>
      <c r="BU95" s="12" t="n">
        <f aca="false">BU93+BU94</f>
        <v>-554592.509538136</v>
      </c>
      <c r="BV95" s="12" t="n">
        <f aca="false">BV93+BV94</f>
        <v>-629232.509538136</v>
      </c>
      <c r="BW95" s="12" t="n">
        <f aca="false">BW93+BW94</f>
        <v>-560122.873062231</v>
      </c>
      <c r="BX95" s="12" t="n">
        <f aca="false">BX93+BX94</f>
        <v>-560122.873062231</v>
      </c>
      <c r="BY95" s="12" t="n">
        <f aca="false">BY93+BY94</f>
        <v>-707918.873062231</v>
      </c>
      <c r="BZ95" s="12" t="n">
        <f aca="false">BZ93+BZ94</f>
        <v>-586024.608705303</v>
      </c>
      <c r="CA95" s="12" t="n">
        <f aca="false">CA93+CA94</f>
        <v>-560122.873062231</v>
      </c>
      <c r="CB95" s="12" t="n">
        <f aca="false">CB93+CB94</f>
        <v>-714640.873062231</v>
      </c>
      <c r="CC95" s="12" t="n">
        <f aca="false">CC93+CC94</f>
        <v>-560122.873062231</v>
      </c>
      <c r="CD95" s="12" t="n">
        <f aca="false">CD93+CD94</f>
        <v>-560122.873062231</v>
      </c>
      <c r="CE95" s="12" t="n">
        <f aca="false">CE93+CE94</f>
        <v>-738289.283866775</v>
      </c>
      <c r="CF95" s="12" t="n">
        <f aca="false">CF93+CF94</f>
        <v>-560122.873062231</v>
      </c>
      <c r="CG95" s="12" t="n">
        <f aca="false">CG93+CG94</f>
        <v>-560122.873062231</v>
      </c>
      <c r="CH95" s="12" t="n">
        <f aca="false">CH93+CH94</f>
        <v>-708031.846455752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376667.007596377</v>
      </c>
      <c r="G96" s="16" t="n">
        <f aca="false">G92+G95</f>
        <v>223302.853274663</v>
      </c>
      <c r="H96" s="16" t="n">
        <f aca="false">H92+H95</f>
        <v>223775.020041111</v>
      </c>
      <c r="I96" s="16" t="n">
        <f aca="false">I92+I95</f>
        <v>514424.998306909</v>
      </c>
      <c r="J96" s="16" t="n">
        <f aca="false">J92+J95</f>
        <v>558816.761625273</v>
      </c>
      <c r="K96" s="16" t="n">
        <f aca="false">K92+K95</f>
        <v>321423.547425141</v>
      </c>
      <c r="L96" s="16" t="n">
        <f aca="false">L92+L95</f>
        <v>356680.18236628</v>
      </c>
      <c r="M96" s="16" t="n">
        <f aca="false">M92+M95</f>
        <v>367780.114324431</v>
      </c>
      <c r="N96" s="16" t="n">
        <f aca="false">N92+N95</f>
        <v>375268.080740912</v>
      </c>
      <c r="O96" s="16" t="n">
        <f aca="false">O92+O95</f>
        <v>-291671.465318175</v>
      </c>
      <c r="P96" s="16" t="n">
        <f aca="false">P92+P95</f>
        <v>504568.229046436</v>
      </c>
      <c r="Q96" s="16" t="n">
        <f aca="false">Q92+Q95</f>
        <v>647264.26245379</v>
      </c>
      <c r="R96" s="16" t="n">
        <f aca="false">R92+R95</f>
        <v>224238.570281351</v>
      </c>
      <c r="S96" s="16" t="n">
        <f aca="false">S92+S95</f>
        <v>328099.254395405</v>
      </c>
      <c r="T96" s="16" t="n">
        <f aca="false">T92+T95</f>
        <v>328794.288022306</v>
      </c>
      <c r="U96" s="16" t="n">
        <f aca="false">U92+U95</f>
        <v>148737.661373744</v>
      </c>
      <c r="V96" s="16" t="n">
        <f aca="false">V92+V95</f>
        <v>371443.543571338</v>
      </c>
      <c r="W96" s="16" t="n">
        <f aca="false">W92+W95</f>
        <v>400077.123858833</v>
      </c>
      <c r="X96" s="16" t="n">
        <f aca="false">X92+X95</f>
        <v>353654.689825216</v>
      </c>
      <c r="Y96" s="16" t="n">
        <f aca="false">Y92+Y95</f>
        <v>394998.957083308</v>
      </c>
      <c r="Z96" s="16" t="n">
        <f aca="false">Z92+Z95</f>
        <v>372632.646619049</v>
      </c>
      <c r="AA96" s="16" t="n">
        <f aca="false">AA92+AA95</f>
        <v>287041.438365947</v>
      </c>
      <c r="AB96" s="16" t="n">
        <f aca="false">AB92+AB95</f>
        <v>137292.206609242</v>
      </c>
      <c r="AC96" s="16" t="n">
        <f aca="false">AC92+AC95</f>
        <v>-447443.430744734</v>
      </c>
      <c r="AD96" s="16" t="n">
        <f aca="false">AD92+AD95</f>
        <v>154850.963374564</v>
      </c>
      <c r="AE96" s="16" t="n">
        <f aca="false">AE92+AE95</f>
        <v>176459.472359794</v>
      </c>
      <c r="AF96" s="16" t="n">
        <f aca="false">AF92+AF95</f>
        <v>171483.318873714</v>
      </c>
      <c r="AG96" s="16" t="n">
        <f aca="false">AG92+AG95</f>
        <v>275593.273805794</v>
      </c>
      <c r="AH96" s="16" t="n">
        <f aca="false">AH92+AH95</f>
        <v>91192.5623695694</v>
      </c>
      <c r="AI96" s="16" t="n">
        <f aca="false">AI92+AI95</f>
        <v>303344.251663128</v>
      </c>
      <c r="AJ96" s="16" t="n">
        <f aca="false">AJ92+AJ95</f>
        <v>68099.4764453876</v>
      </c>
      <c r="AK96" s="16" t="n">
        <f aca="false">AK92+AK95</f>
        <v>-93265.188825704</v>
      </c>
      <c r="AL96" s="16" t="n">
        <f aca="false">AL92+AL95</f>
        <v>-10915.0541818624</v>
      </c>
      <c r="AM96" s="16" t="n">
        <f aca="false">AM92+AM95</f>
        <v>-70574.4867796329</v>
      </c>
      <c r="AN96" s="16" t="n">
        <f aca="false">AN92+AN95</f>
        <v>-227327.188039357</v>
      </c>
      <c r="AO96" s="16" t="n">
        <f aca="false">AO92+AO95</f>
        <v>-230589.948254087</v>
      </c>
      <c r="AP96" s="16" t="n">
        <f aca="false">AP92+AP95</f>
        <v>-258901.092967513</v>
      </c>
      <c r="AQ96" s="16" t="n">
        <f aca="false">AQ92+AQ95</f>
        <v>-238999.236014949</v>
      </c>
      <c r="AR96" s="16" t="n">
        <f aca="false">AR92+AR95</f>
        <v>13136.3422024775</v>
      </c>
      <c r="AS96" s="16" t="n">
        <f aca="false">AS92+AS95</f>
        <v>-371737.317843944</v>
      </c>
      <c r="AT96" s="16" t="n">
        <f aca="false">AT92+AT95</f>
        <v>-373459.30860823</v>
      </c>
      <c r="AU96" s="16" t="n">
        <f aca="false">AU92+AU95</f>
        <v>-398266.436416373</v>
      </c>
      <c r="AV96" s="16" t="n">
        <f aca="false">AV92+AV95</f>
        <v>-379226.064345515</v>
      </c>
      <c r="AW96" s="16" t="n">
        <f aca="false">AW92+AW95</f>
        <v>-383104.370211301</v>
      </c>
      <c r="AX96" s="16" t="n">
        <f aca="false">AX92+AX95</f>
        <v>-387510.753244801</v>
      </c>
      <c r="AY96" s="16" t="n">
        <f aca="false">AY92+AY95</f>
        <v>-397642.200183845</v>
      </c>
      <c r="AZ96" s="16" t="n">
        <f aca="false">AZ92+AZ95</f>
        <v>-402750.77278456</v>
      </c>
      <c r="BA96" s="16" t="n">
        <f aca="false">BA92+BA95</f>
        <v>-408029.631138631</v>
      </c>
      <c r="BB96" s="16" t="n">
        <f aca="false">BB92+BB95</f>
        <v>-438259.915541774</v>
      </c>
      <c r="BC96" s="16" t="n">
        <f aca="false">BC92+BC95</f>
        <v>-418648.57418506</v>
      </c>
      <c r="BD96" s="16" t="n">
        <f aca="false">BD92+BD95</f>
        <v>-423787.759954917</v>
      </c>
      <c r="BE96" s="16" t="n">
        <f aca="false">BE92+BE95</f>
        <v>-428703.086925417</v>
      </c>
      <c r="BF96" s="16" t="n">
        <f aca="false">BF92+BF95</f>
        <v>-198358.08878906</v>
      </c>
      <c r="BG96" s="16" t="n">
        <f aca="false">BG92+BG95</f>
        <v>-571901.659874512</v>
      </c>
      <c r="BH96" s="16" t="n">
        <f aca="false">BH92+BH95</f>
        <v>-549170.584514512</v>
      </c>
      <c r="BI96" s="16" t="n">
        <f aca="false">BI92+BI95</f>
        <v>-549170.584514512</v>
      </c>
      <c r="BJ96" s="16" t="n">
        <f aca="false">BJ92+BJ95</f>
        <v>-549170.584514512</v>
      </c>
      <c r="BK96" s="16" t="n">
        <f aca="false">BK92+BK95</f>
        <v>-554592.509538136</v>
      </c>
      <c r="BL96" s="16" t="n">
        <f aca="false">BL92+BL95</f>
        <v>-554592.509538136</v>
      </c>
      <c r="BM96" s="16" t="n">
        <f aca="false">BM92+BM95</f>
        <v>-554592.509538136</v>
      </c>
      <c r="BN96" s="16" t="n">
        <f aca="false">BN92+BN95</f>
        <v>-579986.368011735</v>
      </c>
      <c r="BO96" s="16" t="n">
        <f aca="false">BO92+BO95</f>
        <v>-554592.509538136</v>
      </c>
      <c r="BP96" s="16" t="n">
        <f aca="false">BP92+BP95</f>
        <v>-503078.989538136</v>
      </c>
      <c r="BQ96" s="16" t="n">
        <f aca="false">BQ92+BQ95</f>
        <v>-554592.509538136</v>
      </c>
      <c r="BR96" s="16" t="n">
        <f aca="false">BR92+BR95</f>
        <v>-554592.509538136</v>
      </c>
      <c r="BS96" s="16" t="n">
        <f aca="false">BS92+BS95</f>
        <v>-510016.206405335</v>
      </c>
      <c r="BT96" s="16" t="n">
        <f aca="false">BT92+BT95</f>
        <v>-554592.509538136</v>
      </c>
      <c r="BU96" s="16" t="n">
        <f aca="false">BU92+BU95</f>
        <v>-554592.509538136</v>
      </c>
      <c r="BV96" s="16" t="n">
        <f aca="false">BV92+BV95</f>
        <v>-486830.509538136</v>
      </c>
      <c r="BW96" s="16" t="n">
        <f aca="false">BW92+BW95</f>
        <v>-560122.873062231</v>
      </c>
      <c r="BX96" s="16" t="n">
        <f aca="false">BX92+BX95</f>
        <v>-560122.873062231</v>
      </c>
      <c r="BY96" s="16" t="n">
        <f aca="false">BY92+BY95</f>
        <v>-492360.873062231</v>
      </c>
      <c r="BZ96" s="16" t="n">
        <f aca="false">BZ92+BZ95</f>
        <v>-586024.608705303</v>
      </c>
      <c r="CA96" s="16" t="n">
        <f aca="false">CA92+CA95</f>
        <v>-560122.873062231</v>
      </c>
      <c r="CB96" s="16" t="n">
        <f aca="false">CB92+CB95</f>
        <v>-483623.873062231</v>
      </c>
      <c r="CC96" s="16" t="n">
        <f aca="false">CC92+CC95</f>
        <v>-560122.873062231</v>
      </c>
      <c r="CD96" s="16" t="n">
        <f aca="false">CD92+CD95</f>
        <v>-560122.873062231</v>
      </c>
      <c r="CE96" s="16" t="n">
        <f aca="false">CE92+CE95</f>
        <v>-507273.283866775</v>
      </c>
      <c r="CF96" s="16" t="n">
        <f aca="false">CF92+CF95</f>
        <v>-560122.873062231</v>
      </c>
      <c r="CG96" s="16" t="n">
        <f aca="false">CG92+CG95</f>
        <v>-560122.873062231</v>
      </c>
      <c r="CH96" s="16" t="n">
        <f aca="false">CH92+CH95</f>
        <v>-477015.846455752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250000</v>
      </c>
      <c r="AM106" s="10" t="n">
        <f aca="false">AL108</f>
        <v>250000</v>
      </c>
      <c r="AN106" s="10" t="n">
        <f aca="false">AM108</f>
        <v>250000</v>
      </c>
      <c r="AO106" s="10" t="n">
        <f aca="false">AN108</f>
        <v>250000</v>
      </c>
      <c r="AP106" s="10" t="n">
        <f aca="false">AO108</f>
        <v>250000</v>
      </c>
      <c r="AQ106" s="10" t="n">
        <f aca="false">AP108</f>
        <v>250000</v>
      </c>
      <c r="AR106" s="10" t="n">
        <f aca="false">AQ108</f>
        <v>250000</v>
      </c>
      <c r="AS106" s="10" t="n">
        <f aca="false">AR108</f>
        <v>250000</v>
      </c>
      <c r="AT106" s="10" t="n">
        <f aca="false">AS108</f>
        <v>250000</v>
      </c>
      <c r="AU106" s="10" t="n">
        <f aca="false">AT108</f>
        <v>250000</v>
      </c>
      <c r="AV106" s="10" t="n">
        <f aca="false">AU108</f>
        <v>250000</v>
      </c>
      <c r="AW106" s="10" t="n">
        <f aca="false">AV108</f>
        <v>250000</v>
      </c>
      <c r="AX106" s="10" t="n">
        <f aca="false">AW108</f>
        <v>250000</v>
      </c>
      <c r="AY106" s="10" t="n">
        <f aca="false">AX108</f>
        <v>250000</v>
      </c>
      <c r="AZ106" s="10" t="n">
        <f aca="false">AY108</f>
        <v>250000</v>
      </c>
      <c r="BA106" s="10" t="n">
        <f aca="false">AZ108</f>
        <v>250000</v>
      </c>
      <c r="BB106" s="10" t="n">
        <f aca="false">BA108</f>
        <v>250000</v>
      </c>
      <c r="BC106" s="10" t="n">
        <f aca="false">BB108</f>
        <v>250000</v>
      </c>
      <c r="BD106" s="10" t="n">
        <f aca="false">BC108</f>
        <v>250000</v>
      </c>
      <c r="BE106" s="10" t="n">
        <f aca="false">BD108</f>
        <v>250000</v>
      </c>
      <c r="BF106" s="10" t="n">
        <f aca="false">BE108</f>
        <v>250000</v>
      </c>
      <c r="BG106" s="10" t="n">
        <f aca="false">BF108</f>
        <v>250000</v>
      </c>
      <c r="BH106" s="10" t="n">
        <f aca="false">BG108</f>
        <v>250000</v>
      </c>
      <c r="BI106" s="10" t="n">
        <f aca="false">BH108</f>
        <v>250000</v>
      </c>
      <c r="BJ106" s="10" t="n">
        <f aca="false">BI108</f>
        <v>250000</v>
      </c>
      <c r="BK106" s="10" t="n">
        <f aca="false">BJ108</f>
        <v>250000</v>
      </c>
      <c r="BL106" s="10" t="n">
        <f aca="false">BK108</f>
        <v>250000</v>
      </c>
      <c r="BM106" s="10" t="n">
        <f aca="false">BL108</f>
        <v>250000</v>
      </c>
      <c r="BN106" s="10" t="n">
        <f aca="false">BM108</f>
        <v>250000</v>
      </c>
      <c r="BO106" s="10" t="n">
        <f aca="false">BN108</f>
        <v>250000</v>
      </c>
      <c r="BP106" s="10" t="n">
        <f aca="false">BO108</f>
        <v>250000</v>
      </c>
      <c r="BQ106" s="10" t="n">
        <f aca="false">BP108</f>
        <v>250000</v>
      </c>
      <c r="BR106" s="10" t="n">
        <f aca="false">BQ108</f>
        <v>250000</v>
      </c>
      <c r="BS106" s="10" t="n">
        <f aca="false">BR108</f>
        <v>250000</v>
      </c>
      <c r="BT106" s="10" t="n">
        <f aca="false">BS108</f>
        <v>250000</v>
      </c>
      <c r="BU106" s="10" t="n">
        <f aca="false">BT108</f>
        <v>250000</v>
      </c>
      <c r="BV106" s="10" t="n">
        <f aca="false">BU108</f>
        <v>250000</v>
      </c>
      <c r="BW106" s="10" t="n">
        <f aca="false">BV108</f>
        <v>250000</v>
      </c>
      <c r="BX106" s="10" t="n">
        <f aca="false">BW108</f>
        <v>250000</v>
      </c>
      <c r="BY106" s="10" t="n">
        <f aca="false">BX108</f>
        <v>250000</v>
      </c>
      <c r="BZ106" s="10" t="n">
        <f aca="false">BY108</f>
        <v>250000</v>
      </c>
      <c r="CA106" s="10" t="n">
        <f aca="false">BZ108</f>
        <v>250000</v>
      </c>
      <c r="CB106" s="10" t="n">
        <f aca="false">CA108</f>
        <v>250000</v>
      </c>
      <c r="CC106" s="10" t="n">
        <f aca="false">CB108</f>
        <v>250000</v>
      </c>
      <c r="CD106" s="10" t="n">
        <f aca="false">CC108</f>
        <v>250000</v>
      </c>
      <c r="CE106" s="10" t="n">
        <f aca="false">CD108</f>
        <v>250000</v>
      </c>
      <c r="CF106" s="10" t="n">
        <f aca="false">CE108</f>
        <v>250000</v>
      </c>
      <c r="CG106" s="10" t="n">
        <f aca="false">CF108</f>
        <v>250000</v>
      </c>
      <c r="CH106" s="10" t="n">
        <f aca="false">CG108</f>
        <v>250000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-250000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250000</v>
      </c>
      <c r="AL108" s="34" t="n">
        <f aca="false">MAX(0,AL106+AL107)</f>
        <v>250000</v>
      </c>
      <c r="AM108" s="34" t="n">
        <f aca="false">MAX(0,AM106+AM107)</f>
        <v>250000</v>
      </c>
      <c r="AN108" s="34" t="n">
        <f aca="false">MAX(0,AN106+AN107)</f>
        <v>250000</v>
      </c>
      <c r="AO108" s="34" t="n">
        <f aca="false">MAX(0,AO106+AO107)</f>
        <v>250000</v>
      </c>
      <c r="AP108" s="34" t="n">
        <f aca="false">MAX(0,AP106+AP107)</f>
        <v>250000</v>
      </c>
      <c r="AQ108" s="34" t="n">
        <f aca="false">MAX(0,AQ106+AQ107)</f>
        <v>250000</v>
      </c>
      <c r="AR108" s="34" t="n">
        <f aca="false">MAX(0,AR106+AR107)</f>
        <v>250000</v>
      </c>
      <c r="AS108" s="34" t="n">
        <f aca="false">MAX(0,AS106+AS107)</f>
        <v>250000</v>
      </c>
      <c r="AT108" s="34" t="n">
        <f aca="false">MAX(0,AT106+AT107)</f>
        <v>250000</v>
      </c>
      <c r="AU108" s="34" t="n">
        <f aca="false">MAX(0,AU106+AU107)</f>
        <v>250000</v>
      </c>
      <c r="AV108" s="34" t="n">
        <f aca="false">MAX(0,AV106+AV107)</f>
        <v>250000</v>
      </c>
      <c r="AW108" s="34" t="n">
        <f aca="false">MAX(0,AW106+AW107)</f>
        <v>250000</v>
      </c>
      <c r="AX108" s="34" t="n">
        <f aca="false">MAX(0,AX106+AX107)</f>
        <v>250000</v>
      </c>
      <c r="AY108" s="34" t="n">
        <f aca="false">MAX(0,AY106+AY107)</f>
        <v>250000</v>
      </c>
      <c r="AZ108" s="34" t="n">
        <f aca="false">MAX(0,AZ106+AZ107)</f>
        <v>250000</v>
      </c>
      <c r="BA108" s="34" t="n">
        <f aca="false">MAX(0,BA106+BA107)</f>
        <v>250000</v>
      </c>
      <c r="BB108" s="34" t="n">
        <f aca="false">MAX(0,BB106+BB107)</f>
        <v>250000</v>
      </c>
      <c r="BC108" s="34" t="n">
        <f aca="false">MAX(0,BC106+BC107)</f>
        <v>250000</v>
      </c>
      <c r="BD108" s="34" t="n">
        <f aca="false">MAX(0,BD106+BD107)</f>
        <v>250000</v>
      </c>
      <c r="BE108" s="34" t="n">
        <f aca="false">MAX(0,BE106+BE107)</f>
        <v>250000</v>
      </c>
      <c r="BF108" s="34" t="n">
        <f aca="false">MAX(0,BF106+BF107)</f>
        <v>250000</v>
      </c>
      <c r="BG108" s="34" t="n">
        <f aca="false">MAX(0,BG106+BG107)</f>
        <v>250000</v>
      </c>
      <c r="BH108" s="34" t="n">
        <f aca="false">MAX(0,BH106+BH107)</f>
        <v>250000</v>
      </c>
      <c r="BI108" s="34" t="n">
        <f aca="false">MAX(0,BI106+BI107)</f>
        <v>250000</v>
      </c>
      <c r="BJ108" s="34" t="n">
        <f aca="false">MAX(0,BJ106+BJ107)</f>
        <v>250000</v>
      </c>
      <c r="BK108" s="34" t="n">
        <f aca="false">MAX(0,BK106+BK107)</f>
        <v>250000</v>
      </c>
      <c r="BL108" s="34" t="n">
        <f aca="false">MAX(0,BL106+BL107)</f>
        <v>250000</v>
      </c>
      <c r="BM108" s="34" t="n">
        <f aca="false">MAX(0,BM106+BM107)</f>
        <v>250000</v>
      </c>
      <c r="BN108" s="34" t="n">
        <f aca="false">MAX(0,BN106+BN107)</f>
        <v>250000</v>
      </c>
      <c r="BO108" s="34" t="n">
        <f aca="false">MAX(0,BO106+BO107)</f>
        <v>250000</v>
      </c>
      <c r="BP108" s="34" t="n">
        <f aca="false">MAX(0,BP106+BP107)</f>
        <v>250000</v>
      </c>
      <c r="BQ108" s="34" t="n">
        <f aca="false">MAX(0,BQ106+BQ107)</f>
        <v>250000</v>
      </c>
      <c r="BR108" s="34" t="n">
        <f aca="false">MAX(0,BR106+BR107)</f>
        <v>250000</v>
      </c>
      <c r="BS108" s="34" t="n">
        <f aca="false">MAX(0,BS106+BS107)</f>
        <v>250000</v>
      </c>
      <c r="BT108" s="34" t="n">
        <f aca="false">MAX(0,BT106+BT107)</f>
        <v>250000</v>
      </c>
      <c r="BU108" s="34" t="n">
        <f aca="false">MAX(0,BU106+BU107)</f>
        <v>250000</v>
      </c>
      <c r="BV108" s="34" t="n">
        <f aca="false">MAX(0,BV106+BV107)</f>
        <v>250000</v>
      </c>
      <c r="BW108" s="34" t="n">
        <f aca="false">MAX(0,BW106+BW107)</f>
        <v>250000</v>
      </c>
      <c r="BX108" s="34" t="n">
        <f aca="false">MAX(0,BX106+BX107)</f>
        <v>250000</v>
      </c>
      <c r="BY108" s="34" t="n">
        <f aca="false">MAX(0,BY106+BY107)</f>
        <v>250000</v>
      </c>
      <c r="BZ108" s="34" t="n">
        <f aca="false">MAX(0,BZ106+BZ107)</f>
        <v>250000</v>
      </c>
      <c r="CA108" s="34" t="n">
        <f aca="false">MAX(0,CA106+CA107)</f>
        <v>250000</v>
      </c>
      <c r="CB108" s="34" t="n">
        <f aca="false">MAX(0,CB106+CB107)</f>
        <v>250000</v>
      </c>
      <c r="CC108" s="34" t="n">
        <f aca="false">MAX(0,CC106+CC107)</f>
        <v>250000</v>
      </c>
      <c r="CD108" s="34" t="n">
        <f aca="false">MAX(0,CD106+CD107)</f>
        <v>250000</v>
      </c>
      <c r="CE108" s="34" t="n">
        <f aca="false">MAX(0,CE106+CE107)</f>
        <v>250000</v>
      </c>
      <c r="CF108" s="34" t="n">
        <f aca="false">MAX(0,CF106+CF107)</f>
        <v>250000</v>
      </c>
      <c r="CG108" s="34" t="n">
        <f aca="false">MAX(0,CG106+CG107)</f>
        <v>250000</v>
      </c>
      <c r="CH108" s="34" t="n">
        <f aca="false">MAX(0,CH106+CH107)</f>
        <v>250000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2287644.57085951</v>
      </c>
      <c r="H146" s="10" t="n">
        <f aca="false">G148</f>
        <v>2473306.93746751</v>
      </c>
      <c r="I146" s="10" t="n">
        <f aca="false">H148</f>
        <v>2701138.11084195</v>
      </c>
      <c r="J146" s="10" t="n">
        <f aca="false">I148</f>
        <v>3265912.2324822</v>
      </c>
      <c r="K146" s="10" t="n">
        <f aca="false">J148</f>
        <v>3884453.1174408</v>
      </c>
      <c r="L146" s="10" t="n">
        <f aca="false">K148</f>
        <v>4286600.78819928</v>
      </c>
      <c r="M146" s="10" t="n">
        <f aca="false">L148</f>
        <v>4703005.09389889</v>
      </c>
      <c r="N146" s="10" t="n">
        <f aca="false">M148</f>
        <v>5130509.33155666</v>
      </c>
      <c r="O146" s="10" t="n">
        <f aca="false">N148</f>
        <v>5565501.5356309</v>
      </c>
      <c r="P146" s="10" t="n">
        <f aca="false">O148</f>
        <v>5335890.48531273</v>
      </c>
      <c r="Q146" s="10" t="n">
        <f aca="false">P148</f>
        <v>5902519.12935916</v>
      </c>
      <c r="R146" s="10" t="n">
        <f aca="false">Q148</f>
        <v>6611843.80681295</v>
      </c>
      <c r="S146" s="10" t="n">
        <f aca="false">R148</f>
        <v>6945509.0420943</v>
      </c>
      <c r="T146" s="10" t="n">
        <f aca="false">S148</f>
        <v>7359574.96148971</v>
      </c>
      <c r="U146" s="10" t="n">
        <f aca="false">T148</f>
        <v>7774335.91451202</v>
      </c>
      <c r="V146" s="10" t="n">
        <f aca="false">U148</f>
        <v>8009040.24088576</v>
      </c>
      <c r="W146" s="10" t="n">
        <f aca="false">V148</f>
        <v>8466450.4494571</v>
      </c>
      <c r="X146" s="10" t="n">
        <f aca="false">W148</f>
        <v>8916539.23831593</v>
      </c>
      <c r="Y146" s="10" t="n">
        <f aca="false">X148</f>
        <v>9356160.59314115</v>
      </c>
      <c r="Z146" s="10" t="n">
        <f aca="false">Y148</f>
        <v>9837126.21522445</v>
      </c>
      <c r="AA146" s="10" t="n">
        <f aca="false">Z148</f>
        <v>10250982.1068435</v>
      </c>
      <c r="AB146" s="10" t="n">
        <f aca="false">AA148</f>
        <v>10650057.4377095</v>
      </c>
      <c r="AC146" s="10" t="n">
        <f aca="false">AB148</f>
        <v>10899383.5368187</v>
      </c>
      <c r="AD146" s="10" t="n">
        <f aca="false">AC148</f>
        <v>10506598.998574</v>
      </c>
      <c r="AE146" s="10" t="n">
        <f aca="false">AD148</f>
        <v>10797413.0544485</v>
      </c>
      <c r="AF146" s="10" t="n">
        <f aca="false">AE148</f>
        <v>11085906.4193083</v>
      </c>
      <c r="AG146" s="10" t="n">
        <f aca="false">AF148</f>
        <v>11369423.630682</v>
      </c>
      <c r="AH146" s="10" t="n">
        <f aca="false">AG148</f>
        <v>11766550.7969878</v>
      </c>
      <c r="AI146" s="10" t="n">
        <f aca="false">AH148</f>
        <v>11979277.2518574</v>
      </c>
      <c r="AJ146" s="10" t="n">
        <f aca="false">AI148</f>
        <v>12426003.7960205</v>
      </c>
      <c r="AK146" s="10" t="n">
        <f aca="false">AJ148</f>
        <v>12615637.1649659</v>
      </c>
      <c r="AL146" s="10" t="n">
        <f aca="false">AK148</f>
        <v>12643905.8686402</v>
      </c>
      <c r="AM146" s="10" t="n">
        <f aca="false">AL148</f>
        <v>12754524.7069583</v>
      </c>
      <c r="AN146" s="10" t="n">
        <f aca="false">AM148</f>
        <v>12807914.7905287</v>
      </c>
      <c r="AO146" s="10" t="n">
        <f aca="false">AN148</f>
        <v>12704552.1728394</v>
      </c>
      <c r="AP146" s="10" t="n">
        <f aca="false">AO148</f>
        <v>12597926.7949353</v>
      </c>
      <c r="AQ146" s="10" t="n">
        <f aca="false">AP148</f>
        <v>12487398.0563178</v>
      </c>
      <c r="AR146" s="10" t="n">
        <f aca="false">AQ148</f>
        <v>12372363.3906528</v>
      </c>
      <c r="AS146" s="10" t="n">
        <f aca="false">AR148</f>
        <v>12509464.3032053</v>
      </c>
      <c r="AT146" s="10" t="n">
        <f aca="false">AS148</f>
        <v>12261691.5557113</v>
      </c>
      <c r="AU146" s="10" t="n">
        <f aca="false">AT148</f>
        <v>12012196.8174531</v>
      </c>
      <c r="AV146" s="10" t="n">
        <f aca="false">AU148</f>
        <v>11760180.3193867</v>
      </c>
      <c r="AW146" s="10" t="n">
        <f aca="false">AV148</f>
        <v>11504918.8253912</v>
      </c>
      <c r="AX146" s="10" t="n">
        <f aca="false">AW148</f>
        <v>11245779.0255299</v>
      </c>
      <c r="AY146" s="10" t="n">
        <f aca="false">AX148</f>
        <v>10982232.8426351</v>
      </c>
      <c r="AZ146" s="10" t="n">
        <f aca="false">AY148</f>
        <v>10711034.5042083</v>
      </c>
      <c r="BA146" s="10" t="n">
        <f aca="false">AZ148</f>
        <v>10434727.5931807</v>
      </c>
      <c r="BB146" s="10" t="n">
        <f aca="false">BA148</f>
        <v>10153141.8237991</v>
      </c>
      <c r="BC146" s="10" t="n">
        <f aca="false">BB148</f>
        <v>9866221.70969431</v>
      </c>
      <c r="BD146" s="10" t="n">
        <f aca="false">BC148</f>
        <v>9574016.99726625</v>
      </c>
      <c r="BE146" s="10" t="n">
        <f aca="false">BD148</f>
        <v>9276673.09906833</v>
      </c>
      <c r="BF146" s="10" t="n">
        <f aca="false">BE148</f>
        <v>8974413.87389992</v>
      </c>
      <c r="BG146" s="10" t="n">
        <f aca="false">BF148</f>
        <v>8902499.64686786</v>
      </c>
      <c r="BH146" s="10" t="n">
        <f aca="false">BG148</f>
        <v>8479772.92411034</v>
      </c>
      <c r="BI146" s="10" t="n">
        <f aca="false">BH148</f>
        <v>8057046.20135283</v>
      </c>
      <c r="BJ146" s="10" t="n">
        <f aca="false">BI148</f>
        <v>7634319.47859532</v>
      </c>
      <c r="BK146" s="10" t="n">
        <f aca="false">BJ148</f>
        <v>7211592.75583781</v>
      </c>
      <c r="BL146" s="10" t="n">
        <f aca="false">BK148</f>
        <v>6785972.98529181</v>
      </c>
      <c r="BM146" s="10" t="n">
        <f aca="false">BL148</f>
        <v>6360353.21474582</v>
      </c>
      <c r="BN146" s="10" t="n">
        <f aca="false">BM148</f>
        <v>5934733.44419982</v>
      </c>
      <c r="BO146" s="10" t="n">
        <f aca="false">BN148</f>
        <v>5509113.67365383</v>
      </c>
      <c r="BP146" s="10" t="n">
        <f aca="false">BO148</f>
        <v>5083493.90310783</v>
      </c>
      <c r="BQ146" s="10" t="n">
        <f aca="false">BP148</f>
        <v>4657874.13256183</v>
      </c>
      <c r="BR146" s="10" t="n">
        <f aca="false">BQ148</f>
        <v>4232254.36201584</v>
      </c>
      <c r="BS146" s="10" t="n">
        <f aca="false">BR148</f>
        <v>3806634.59146984</v>
      </c>
      <c r="BT146" s="10" t="n">
        <f aca="false">BS148</f>
        <v>3381014.82092385</v>
      </c>
      <c r="BU146" s="10" t="n">
        <f aca="false">BT148</f>
        <v>2955395.05037785</v>
      </c>
      <c r="BV146" s="10" t="n">
        <f aca="false">BU148</f>
        <v>2529775.27983186</v>
      </c>
      <c r="BW146" s="10" t="n">
        <f aca="false">BV148</f>
        <v>2104155.50928586</v>
      </c>
      <c r="BX146" s="10" t="n">
        <f aca="false">BW148</f>
        <v>1675584.82999561</v>
      </c>
      <c r="BY146" s="10" t="n">
        <f aca="false">BX148</f>
        <v>1247014.15070536</v>
      </c>
      <c r="BZ146" s="10" t="n">
        <f aca="false">BY148</f>
        <v>818443.471415116</v>
      </c>
      <c r="CA146" s="10" t="n">
        <f aca="false">BZ148</f>
        <v>389872.792124867</v>
      </c>
      <c r="CB146" s="10" t="n">
        <f aca="false">CA148</f>
        <v>-38697.8871653816</v>
      </c>
      <c r="CC146" s="10" t="n">
        <f aca="false">CB148</f>
        <v>-467268.56645563</v>
      </c>
      <c r="CD146" s="10" t="n">
        <f aca="false">CC148</f>
        <v>-895839.245745879</v>
      </c>
      <c r="CE146" s="10" t="n">
        <f aca="false">CD148</f>
        <v>-1324409.92503613</v>
      </c>
      <c r="CF146" s="10" t="n">
        <f aca="false">CE148</f>
        <v>-1752980.60432638</v>
      </c>
      <c r="CG146" s="10" t="n">
        <f aca="false">CF148</f>
        <v>-2181551.28361662</v>
      </c>
      <c r="CH146" s="10" t="n">
        <f aca="false">CG148</f>
        <v>-2610121.96290687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472867.01092971</v>
      </c>
      <c r="G147" s="10" t="n">
        <f aca="false">G41</f>
        <v>185662.366607996</v>
      </c>
      <c r="H147" s="10" t="n">
        <f aca="false">H41</f>
        <v>227831.173374445</v>
      </c>
      <c r="I147" s="10" t="n">
        <f aca="false">I41</f>
        <v>564774.121640242</v>
      </c>
      <c r="J147" s="10" t="n">
        <f aca="false">J41</f>
        <v>618540.884958607</v>
      </c>
      <c r="K147" s="10" t="n">
        <f aca="false">K41</f>
        <v>402147.670758474</v>
      </c>
      <c r="L147" s="10" t="n">
        <f aca="false">L41</f>
        <v>416404.305699613</v>
      </c>
      <c r="M147" s="10" t="n">
        <f aca="false">M41</f>
        <v>427504.237657764</v>
      </c>
      <c r="N147" s="10" t="n">
        <f aca="false">N41</f>
        <v>434992.204074246</v>
      </c>
      <c r="O147" s="10" t="n">
        <f aca="false">O41</f>
        <v>-229611.050318175</v>
      </c>
      <c r="P147" s="10" t="n">
        <f aca="false">P41</f>
        <v>566628.644046436</v>
      </c>
      <c r="Q147" s="10" t="n">
        <f aca="false">Q41</f>
        <v>709324.67745379</v>
      </c>
      <c r="R147" s="10" t="n">
        <f aca="false">R41</f>
        <v>333665.235281352</v>
      </c>
      <c r="S147" s="10" t="n">
        <f aca="false">S41</f>
        <v>414065.919395405</v>
      </c>
      <c r="T147" s="10" t="n">
        <f aca="false">T41</f>
        <v>414760.953022306</v>
      </c>
      <c r="U147" s="10" t="n">
        <f aca="false">U41</f>
        <v>234704.326373744</v>
      </c>
      <c r="V147" s="10" t="n">
        <f aca="false">V41</f>
        <v>457410.208571338</v>
      </c>
      <c r="W147" s="10" t="n">
        <f aca="false">W41</f>
        <v>450088.788858833</v>
      </c>
      <c r="X147" s="10" t="n">
        <f aca="false">X41</f>
        <v>439621.354825216</v>
      </c>
      <c r="Y147" s="10" t="n">
        <f aca="false">Y41</f>
        <v>480965.622083308</v>
      </c>
      <c r="Z147" s="10" t="n">
        <f aca="false">Z41</f>
        <v>413855.891619049</v>
      </c>
      <c r="AA147" s="10" t="n">
        <f aca="false">AA41</f>
        <v>399075.330865947</v>
      </c>
      <c r="AB147" s="10" t="n">
        <f aca="false">AB41</f>
        <v>249326.099109242</v>
      </c>
      <c r="AC147" s="10" t="n">
        <f aca="false">AC41</f>
        <v>-392784.538244734</v>
      </c>
      <c r="AD147" s="10" t="n">
        <f aca="false">AD41</f>
        <v>290814.055874564</v>
      </c>
      <c r="AE147" s="10" t="n">
        <f aca="false">AE41</f>
        <v>288493.364859794</v>
      </c>
      <c r="AF147" s="10" t="n">
        <f aca="false">AF41</f>
        <v>283517.211373714</v>
      </c>
      <c r="AG147" s="10" t="n">
        <f aca="false">AG41</f>
        <v>397127.166305794</v>
      </c>
      <c r="AH147" s="10" t="n">
        <f aca="false">AH41</f>
        <v>212726.454869569</v>
      </c>
      <c r="AI147" s="10" t="n">
        <f aca="false">AI41</f>
        <v>446726.544163128</v>
      </c>
      <c r="AJ147" s="10" t="n">
        <f aca="false">AJ41</f>
        <v>189633.368945388</v>
      </c>
      <c r="AK147" s="10" t="n">
        <f aca="false">AK41</f>
        <v>28268.7036742959</v>
      </c>
      <c r="AL147" s="10" t="n">
        <f aca="false">AL41</f>
        <v>110618.838318138</v>
      </c>
      <c r="AM147" s="10" t="n">
        <f aca="false">AM41</f>
        <v>53390.0835703672</v>
      </c>
      <c r="AN147" s="10" t="n">
        <f aca="false">AN41</f>
        <v>-103362.617689357</v>
      </c>
      <c r="AO147" s="10" t="n">
        <f aca="false">AO41</f>
        <v>-106625.377904087</v>
      </c>
      <c r="AP147" s="10" t="n">
        <f aca="false">AP41</f>
        <v>-110528.738617513</v>
      </c>
      <c r="AQ147" s="10" t="n">
        <f aca="false">AQ41</f>
        <v>-115034.665664949</v>
      </c>
      <c r="AR147" s="10" t="n">
        <f aca="false">AR41</f>
        <v>137100.912552478</v>
      </c>
      <c r="AS147" s="10" t="n">
        <f aca="false">AS41</f>
        <v>-247772.747493944</v>
      </c>
      <c r="AT147" s="10" t="n">
        <f aca="false">AT41</f>
        <v>-249494.73825823</v>
      </c>
      <c r="AU147" s="10" t="n">
        <f aca="false">AU41</f>
        <v>-252016.498066373</v>
      </c>
      <c r="AV147" s="10" t="n">
        <f aca="false">AV41</f>
        <v>-255261.493995515</v>
      </c>
      <c r="AW147" s="10" t="n">
        <f aca="false">AW41</f>
        <v>-259139.799861301</v>
      </c>
      <c r="AX147" s="10" t="n">
        <f aca="false">AX41</f>
        <v>-263546.182894801</v>
      </c>
      <c r="AY147" s="10" t="n">
        <f aca="false">AY41</f>
        <v>-271198.338426845</v>
      </c>
      <c r="AZ147" s="10" t="n">
        <f aca="false">AZ41</f>
        <v>-276306.91102756</v>
      </c>
      <c r="BA147" s="10" t="n">
        <f aca="false">BA41</f>
        <v>-281585.769381631</v>
      </c>
      <c r="BB147" s="10" t="n">
        <f aca="false">BB41</f>
        <v>-286920.114104774</v>
      </c>
      <c r="BC147" s="10" t="n">
        <f aca="false">BC41</f>
        <v>-292204.71242806</v>
      </c>
      <c r="BD147" s="10" t="n">
        <f aca="false">BD41</f>
        <v>-297343.898197917</v>
      </c>
      <c r="BE147" s="10" t="n">
        <f aca="false">BE41</f>
        <v>-302259.225168417</v>
      </c>
      <c r="BF147" s="10" t="n">
        <f aca="false">BF41</f>
        <v>-71914.2270320595</v>
      </c>
      <c r="BG147" s="10" t="n">
        <f aca="false">BG41</f>
        <v>-422726.722757512</v>
      </c>
      <c r="BH147" s="10" t="n">
        <f aca="false">BH41</f>
        <v>-422726.722757512</v>
      </c>
      <c r="BI147" s="10" t="n">
        <f aca="false">BI41</f>
        <v>-422726.722757512</v>
      </c>
      <c r="BJ147" s="10" t="n">
        <f aca="false">BJ41</f>
        <v>-422726.722757512</v>
      </c>
      <c r="BK147" s="10" t="n">
        <f aca="false">BK41</f>
        <v>-425619.770545995</v>
      </c>
      <c r="BL147" s="10" t="n">
        <f aca="false">BL41</f>
        <v>-425619.770545995</v>
      </c>
      <c r="BM147" s="10" t="n">
        <f aca="false">BM41</f>
        <v>-425619.770545995</v>
      </c>
      <c r="BN147" s="10" t="n">
        <f aca="false">BN41</f>
        <v>-425619.770545995</v>
      </c>
      <c r="BO147" s="10" t="n">
        <f aca="false">BO41</f>
        <v>-425619.770545995</v>
      </c>
      <c r="BP147" s="10" t="n">
        <f aca="false">BP41</f>
        <v>-425619.770545995</v>
      </c>
      <c r="BQ147" s="10" t="n">
        <f aca="false">BQ41</f>
        <v>-425619.770545995</v>
      </c>
      <c r="BR147" s="10" t="n">
        <f aca="false">BR41</f>
        <v>-425619.770545995</v>
      </c>
      <c r="BS147" s="10" t="n">
        <f aca="false">BS41</f>
        <v>-425619.770545995</v>
      </c>
      <c r="BT147" s="10" t="n">
        <f aca="false">BT41</f>
        <v>-425619.770545995</v>
      </c>
      <c r="BU147" s="10" t="n">
        <f aca="false">BU41</f>
        <v>-425619.770545995</v>
      </c>
      <c r="BV147" s="10" t="n">
        <f aca="false">BV41</f>
        <v>-425619.770545995</v>
      </c>
      <c r="BW147" s="10" t="n">
        <f aca="false">BW41</f>
        <v>-428570.679290249</v>
      </c>
      <c r="BX147" s="10" t="n">
        <f aca="false">BX41</f>
        <v>-428570.679290249</v>
      </c>
      <c r="BY147" s="10" t="n">
        <f aca="false">BY41</f>
        <v>-428570.679290249</v>
      </c>
      <c r="BZ147" s="10" t="n">
        <f aca="false">BZ41</f>
        <v>-428570.679290249</v>
      </c>
      <c r="CA147" s="10" t="n">
        <f aca="false">CA41</f>
        <v>-428570.679290249</v>
      </c>
      <c r="CB147" s="10" t="n">
        <f aca="false">CB41</f>
        <v>-428570.679290249</v>
      </c>
      <c r="CC147" s="10" t="n">
        <f aca="false">CC41</f>
        <v>-428570.679290249</v>
      </c>
      <c r="CD147" s="10" t="n">
        <f aca="false">CD41</f>
        <v>-428570.679290249</v>
      </c>
      <c r="CE147" s="10" t="n">
        <f aca="false">CE41</f>
        <v>-428570.679290249</v>
      </c>
      <c r="CF147" s="10" t="n">
        <f aca="false">CF41</f>
        <v>-428570.679290249</v>
      </c>
      <c r="CG147" s="10" t="n">
        <f aca="false">CG41</f>
        <v>-428570.679290249</v>
      </c>
      <c r="CH147" s="10" t="n">
        <f aca="false">CH41</f>
        <v>-428570.679290249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2287644.57085951</v>
      </c>
      <c r="G148" s="61" t="n">
        <f aca="false">G146+G147</f>
        <v>2473306.93746751</v>
      </c>
      <c r="H148" s="61" t="n">
        <f aca="false">H146+H147</f>
        <v>2701138.11084195</v>
      </c>
      <c r="I148" s="61" t="n">
        <f aca="false">I146+I147</f>
        <v>3265912.2324822</v>
      </c>
      <c r="J148" s="61" t="n">
        <f aca="false">J146+J147</f>
        <v>3884453.1174408</v>
      </c>
      <c r="K148" s="61" t="n">
        <f aca="false">K146+K147</f>
        <v>4286600.78819928</v>
      </c>
      <c r="L148" s="61" t="n">
        <f aca="false">L146+L147</f>
        <v>4703005.09389889</v>
      </c>
      <c r="M148" s="61" t="n">
        <f aca="false">M146+M147</f>
        <v>5130509.33155666</v>
      </c>
      <c r="N148" s="61" t="n">
        <f aca="false">N146+N147</f>
        <v>5565501.5356309</v>
      </c>
      <c r="O148" s="61" t="n">
        <f aca="false">O146+O147</f>
        <v>5335890.48531273</v>
      </c>
      <c r="P148" s="61" t="n">
        <f aca="false">P146+P147</f>
        <v>5902519.12935916</v>
      </c>
      <c r="Q148" s="61" t="n">
        <f aca="false">Q146+Q147</f>
        <v>6611843.80681295</v>
      </c>
      <c r="R148" s="61" t="n">
        <f aca="false">R146+R147</f>
        <v>6945509.0420943</v>
      </c>
      <c r="S148" s="61" t="n">
        <f aca="false">S146+S147</f>
        <v>7359574.96148971</v>
      </c>
      <c r="T148" s="61" t="n">
        <f aca="false">T146+T147</f>
        <v>7774335.91451202</v>
      </c>
      <c r="U148" s="61" t="n">
        <f aca="false">U146+U147</f>
        <v>8009040.24088576</v>
      </c>
      <c r="V148" s="61" t="n">
        <f aca="false">V146+V147</f>
        <v>8466450.4494571</v>
      </c>
      <c r="W148" s="61" t="n">
        <f aca="false">W146+W147</f>
        <v>8916539.23831593</v>
      </c>
      <c r="X148" s="61" t="n">
        <f aca="false">X146+X147</f>
        <v>9356160.59314115</v>
      </c>
      <c r="Y148" s="61" t="n">
        <f aca="false">Y146+Y147</f>
        <v>9837126.21522445</v>
      </c>
      <c r="Z148" s="61" t="n">
        <f aca="false">Z146+Z147</f>
        <v>10250982.1068435</v>
      </c>
      <c r="AA148" s="61" t="n">
        <f aca="false">AA146+AA147</f>
        <v>10650057.4377095</v>
      </c>
      <c r="AB148" s="61" t="n">
        <f aca="false">AB146+AB147</f>
        <v>10899383.5368187</v>
      </c>
      <c r="AC148" s="61" t="n">
        <f aca="false">AC146+AC147</f>
        <v>10506598.998574</v>
      </c>
      <c r="AD148" s="61" t="n">
        <f aca="false">AD146+AD147</f>
        <v>10797413.0544485</v>
      </c>
      <c r="AE148" s="61" t="n">
        <f aca="false">AE146+AE147</f>
        <v>11085906.4193083</v>
      </c>
      <c r="AF148" s="61" t="n">
        <f aca="false">AF146+AF147</f>
        <v>11369423.630682</v>
      </c>
      <c r="AG148" s="61" t="n">
        <f aca="false">AG146+AG147</f>
        <v>11766550.7969878</v>
      </c>
      <c r="AH148" s="61" t="n">
        <f aca="false">AH146+AH147</f>
        <v>11979277.2518574</v>
      </c>
      <c r="AI148" s="61" t="n">
        <f aca="false">AI146+AI147</f>
        <v>12426003.7960205</v>
      </c>
      <c r="AJ148" s="61" t="n">
        <f aca="false">AJ146+AJ147</f>
        <v>12615637.1649659</v>
      </c>
      <c r="AK148" s="61" t="n">
        <f aca="false">AK146+AK147</f>
        <v>12643905.8686402</v>
      </c>
      <c r="AL148" s="61" t="n">
        <f aca="false">AL146+AL147</f>
        <v>12754524.7069583</v>
      </c>
      <c r="AM148" s="61" t="n">
        <f aca="false">AM146+AM147</f>
        <v>12807914.7905287</v>
      </c>
      <c r="AN148" s="61" t="n">
        <f aca="false">AN146+AN147</f>
        <v>12704552.1728394</v>
      </c>
      <c r="AO148" s="61" t="n">
        <f aca="false">AO146+AO147</f>
        <v>12597926.7949353</v>
      </c>
      <c r="AP148" s="61" t="n">
        <f aca="false">AP146+AP147</f>
        <v>12487398.0563178</v>
      </c>
      <c r="AQ148" s="61" t="n">
        <f aca="false">AQ146+AQ147</f>
        <v>12372363.3906528</v>
      </c>
      <c r="AR148" s="61" t="n">
        <f aca="false">AR146+AR147</f>
        <v>12509464.3032053</v>
      </c>
      <c r="AS148" s="61" t="n">
        <f aca="false">AS146+AS147</f>
        <v>12261691.5557113</v>
      </c>
      <c r="AT148" s="61" t="n">
        <f aca="false">AT146+AT147</f>
        <v>12012196.8174531</v>
      </c>
      <c r="AU148" s="61" t="n">
        <f aca="false">AU146+AU147</f>
        <v>11760180.3193867</v>
      </c>
      <c r="AV148" s="61" t="n">
        <f aca="false">AV146+AV147</f>
        <v>11504918.8253912</v>
      </c>
      <c r="AW148" s="61" t="n">
        <f aca="false">AW146+AW147</f>
        <v>11245779.0255299</v>
      </c>
      <c r="AX148" s="61" t="n">
        <f aca="false">AX146+AX147</f>
        <v>10982232.8426351</v>
      </c>
      <c r="AY148" s="61" t="n">
        <f aca="false">AY146+AY147</f>
        <v>10711034.5042083</v>
      </c>
      <c r="AZ148" s="61" t="n">
        <f aca="false">AZ146+AZ147</f>
        <v>10434727.5931807</v>
      </c>
      <c r="BA148" s="61" t="n">
        <f aca="false">BA146+BA147</f>
        <v>10153141.8237991</v>
      </c>
      <c r="BB148" s="61" t="n">
        <f aca="false">BB146+BB147</f>
        <v>9866221.70969431</v>
      </c>
      <c r="BC148" s="61" t="n">
        <f aca="false">BC146+BC147</f>
        <v>9574016.99726625</v>
      </c>
      <c r="BD148" s="61" t="n">
        <f aca="false">BD146+BD147</f>
        <v>9276673.09906833</v>
      </c>
      <c r="BE148" s="61" t="n">
        <f aca="false">BE146+BE147</f>
        <v>8974413.87389992</v>
      </c>
      <c r="BF148" s="61" t="n">
        <f aca="false">BF146+BF147</f>
        <v>8902499.64686786</v>
      </c>
      <c r="BG148" s="61" t="n">
        <f aca="false">BG146+BG147</f>
        <v>8479772.92411034</v>
      </c>
      <c r="BH148" s="61" t="n">
        <f aca="false">BH146+BH147</f>
        <v>8057046.20135283</v>
      </c>
      <c r="BI148" s="61" t="n">
        <f aca="false">BI146+BI147</f>
        <v>7634319.47859532</v>
      </c>
      <c r="BJ148" s="61" t="n">
        <f aca="false">BJ146+BJ147</f>
        <v>7211592.75583781</v>
      </c>
      <c r="BK148" s="61" t="n">
        <f aca="false">BK146+BK147</f>
        <v>6785972.98529181</v>
      </c>
      <c r="BL148" s="61" t="n">
        <f aca="false">BL146+BL147</f>
        <v>6360353.21474582</v>
      </c>
      <c r="BM148" s="61" t="n">
        <f aca="false">BM146+BM147</f>
        <v>5934733.44419982</v>
      </c>
      <c r="BN148" s="61" t="n">
        <f aca="false">BN146+BN147</f>
        <v>5509113.67365383</v>
      </c>
      <c r="BO148" s="61" t="n">
        <f aca="false">BO146+BO147</f>
        <v>5083493.90310783</v>
      </c>
      <c r="BP148" s="61" t="n">
        <f aca="false">BP146+BP147</f>
        <v>4657874.13256183</v>
      </c>
      <c r="BQ148" s="61" t="n">
        <f aca="false">BQ146+BQ147</f>
        <v>4232254.36201584</v>
      </c>
      <c r="BR148" s="61" t="n">
        <f aca="false">BR146+BR147</f>
        <v>3806634.59146984</v>
      </c>
      <c r="BS148" s="61" t="n">
        <f aca="false">BS146+BS147</f>
        <v>3381014.82092385</v>
      </c>
      <c r="BT148" s="61" t="n">
        <f aca="false">BT146+BT147</f>
        <v>2955395.05037785</v>
      </c>
      <c r="BU148" s="61" t="n">
        <f aca="false">BU146+BU147</f>
        <v>2529775.27983186</v>
      </c>
      <c r="BV148" s="61" t="n">
        <f aca="false">BV146+BV147</f>
        <v>2104155.50928586</v>
      </c>
      <c r="BW148" s="61" t="n">
        <f aca="false">BW146+BW147</f>
        <v>1675584.82999561</v>
      </c>
      <c r="BX148" s="61" t="n">
        <f aca="false">BX146+BX147</f>
        <v>1247014.15070536</v>
      </c>
      <c r="BY148" s="61" t="n">
        <f aca="false">BY146+BY147</f>
        <v>818443.471415116</v>
      </c>
      <c r="BZ148" s="61" t="n">
        <f aca="false">BZ146+BZ147</f>
        <v>389872.792124867</v>
      </c>
      <c r="CA148" s="61" t="n">
        <f aca="false">CA146+CA147</f>
        <v>-38697.8871653816</v>
      </c>
      <c r="CB148" s="61" t="n">
        <f aca="false">CB146+CB147</f>
        <v>-467268.56645563</v>
      </c>
      <c r="CC148" s="61" t="n">
        <f aca="false">CC146+CC147</f>
        <v>-895839.245745879</v>
      </c>
      <c r="CD148" s="61" t="n">
        <f aca="false">CD146+CD147</f>
        <v>-1324409.92503613</v>
      </c>
      <c r="CE148" s="61" t="n">
        <f aca="false">CE146+CE147</f>
        <v>-1752980.60432638</v>
      </c>
      <c r="CF148" s="61" t="n">
        <f aca="false">CF146+CF147</f>
        <v>-2181551.28361662</v>
      </c>
      <c r="CG148" s="61" t="n">
        <f aca="false">CG146+CG147</f>
        <v>-2610121.96290687</v>
      </c>
      <c r="CH148" s="61" t="n">
        <f aca="false">CH146+CH147</f>
        <v>-3038692.64219712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173471.633333333</v>
      </c>
      <c r="I151" s="10" t="n">
        <f aca="false">H156</f>
        <v>169415.48</v>
      </c>
      <c r="J151" s="10" t="n">
        <f aca="false">I156</f>
        <v>-10933.6433333333</v>
      </c>
      <c r="K151" s="10" t="n">
        <f aca="false">J156</f>
        <v>-200657.766666667</v>
      </c>
      <c r="L151" s="10" t="n">
        <f aca="false">K156</f>
        <v>-411381.89</v>
      </c>
      <c r="M151" s="10" t="n">
        <f aca="false">L156</f>
        <v>-601106.013333333</v>
      </c>
      <c r="N151" s="10" t="n">
        <f aca="false">M156</f>
        <v>-1040830.13666667</v>
      </c>
      <c r="O151" s="10" t="n">
        <f aca="false">N156</f>
        <v>-1230554.26</v>
      </c>
      <c r="P151" s="10" t="n">
        <f aca="false">O156</f>
        <v>-1422614.675</v>
      </c>
      <c r="Q151" s="10" t="n">
        <f aca="false">P156</f>
        <v>-1614675.09</v>
      </c>
      <c r="R151" s="10" t="n">
        <f aca="false">Q156</f>
        <v>-1806735.505</v>
      </c>
      <c r="S151" s="10" t="n">
        <f aca="false">R156</f>
        <v>-2046162.17</v>
      </c>
      <c r="T151" s="10" t="n">
        <f aca="false">S156</f>
        <v>-2262128.835</v>
      </c>
      <c r="U151" s="10" t="n">
        <f aca="false">T156</f>
        <v>-2478095.5</v>
      </c>
      <c r="V151" s="10" t="n">
        <f aca="false">U156</f>
        <v>-2694062.165</v>
      </c>
      <c r="W151" s="10" t="n">
        <f aca="false">V156</f>
        <v>-2910028.83</v>
      </c>
      <c r="X151" s="10" t="n">
        <f aca="false">W156</f>
        <v>-3026009.73828545</v>
      </c>
      <c r="Y151" s="10" t="n">
        <f aca="false">X156</f>
        <v>-3111976.40328545</v>
      </c>
      <c r="Z151" s="10" t="n">
        <f aca="false">Y156</f>
        <v>-3447943.06828545</v>
      </c>
      <c r="AA151" s="10" t="n">
        <f aca="false">Z156</f>
        <v>-3489166.31328545</v>
      </c>
      <c r="AB151" s="10" t="n">
        <f aca="false">AA156</f>
        <v>-3601200.20578545</v>
      </c>
      <c r="AC151" s="10" t="n">
        <f aca="false">AB156</f>
        <v>-3713234.09828545</v>
      </c>
      <c r="AD151" s="10" t="n">
        <f aca="false">AC156</f>
        <v>-3767892.99078545</v>
      </c>
      <c r="AE151" s="10" t="n">
        <f aca="false">AD156</f>
        <v>-3903856.08328545</v>
      </c>
      <c r="AF151" s="10" t="n">
        <f aca="false">AE156</f>
        <v>-4015889.97578545</v>
      </c>
      <c r="AG151" s="10" t="n">
        <f aca="false">AF156</f>
        <v>-4127923.86828545</v>
      </c>
      <c r="AH151" s="10" t="n">
        <f aca="false">AG156</f>
        <v>-4249457.76078545</v>
      </c>
      <c r="AI151" s="10" t="n">
        <f aca="false">AH156</f>
        <v>-4370991.65328545</v>
      </c>
      <c r="AJ151" s="10" t="n">
        <f aca="false">AI156</f>
        <v>-4514373.94578545</v>
      </c>
      <c r="AK151" s="10" t="n">
        <f aca="false">AJ156</f>
        <v>-4635907.83828545</v>
      </c>
      <c r="AL151" s="10" t="n">
        <f aca="false">AK156</f>
        <v>-5007441.73078545</v>
      </c>
      <c r="AM151" s="10" t="n">
        <f aca="false">AL156</f>
        <v>-5128975.62328545</v>
      </c>
      <c r="AN151" s="10" t="n">
        <f aca="false">AM156</f>
        <v>-5252940.19363545</v>
      </c>
      <c r="AO151" s="10" t="n">
        <f aca="false">AN156</f>
        <v>-5376904.76398545</v>
      </c>
      <c r="AP151" s="10" t="n">
        <f aca="false">AO156</f>
        <v>-5500869.33433545</v>
      </c>
      <c r="AQ151" s="10" t="n">
        <f aca="false">AP156</f>
        <v>-5649241.68868545</v>
      </c>
      <c r="AR151" s="10" t="n">
        <f aca="false">AQ156</f>
        <v>-5773206.25903545</v>
      </c>
      <c r="AS151" s="10" t="n">
        <f aca="false">AR156</f>
        <v>-5897170.82938544</v>
      </c>
      <c r="AT151" s="10" t="n">
        <f aca="false">AS156</f>
        <v>-6021135.39973544</v>
      </c>
      <c r="AU151" s="10" t="n">
        <f aca="false">AT156</f>
        <v>-6145099.97008544</v>
      </c>
      <c r="AV151" s="10" t="n">
        <f aca="false">AU156</f>
        <v>-6291349.90843544</v>
      </c>
      <c r="AW151" s="10" t="n">
        <f aca="false">AV156</f>
        <v>-6415314.47878544</v>
      </c>
      <c r="AX151" s="10" t="n">
        <f aca="false">AW156</f>
        <v>-6539279.04913544</v>
      </c>
      <c r="AY151" s="10" t="n">
        <f aca="false">AX156</f>
        <v>-6663243.61948544</v>
      </c>
      <c r="AZ151" s="10" t="n">
        <f aca="false">AY156</f>
        <v>-6789687.48124244</v>
      </c>
      <c r="BA151" s="10" t="n">
        <f aca="false">AZ156</f>
        <v>-6916131.34299944</v>
      </c>
      <c r="BB151" s="10" t="n">
        <f aca="false">BA156</f>
        <v>-7042575.20475644</v>
      </c>
      <c r="BC151" s="10" t="n">
        <f aca="false">BB156</f>
        <v>-7193915.00619344</v>
      </c>
      <c r="BD151" s="10" t="n">
        <f aca="false">BC156</f>
        <v>-7320358.86795044</v>
      </c>
      <c r="BE151" s="10" t="n">
        <f aca="false">BD156</f>
        <v>-7446802.72970744</v>
      </c>
      <c r="BF151" s="10" t="n">
        <f aca="false">BE156</f>
        <v>-7573246.59146444</v>
      </c>
      <c r="BG151" s="10" t="n">
        <f aca="false">BF156</f>
        <v>-7699690.45322144</v>
      </c>
      <c r="BH151" s="10" t="n">
        <f aca="false">BG156</f>
        <v>-7848865.39033844</v>
      </c>
      <c r="BI151" s="10" t="n">
        <f aca="false">BH156</f>
        <v>-7975309.25209544</v>
      </c>
      <c r="BJ151" s="10" t="n">
        <f aca="false">BI156</f>
        <v>-8101753.11385244</v>
      </c>
      <c r="BK151" s="10" t="n">
        <f aca="false">BJ156</f>
        <v>-8228196.97560944</v>
      </c>
      <c r="BL151" s="10" t="n">
        <f aca="false">BK156</f>
        <v>-8357169.71460158</v>
      </c>
      <c r="BM151" s="10" t="n">
        <f aca="false">BL156</f>
        <v>-8486142.45359372</v>
      </c>
      <c r="BN151" s="10" t="n">
        <f aca="false">BM156</f>
        <v>-8615115.19258586</v>
      </c>
      <c r="BO151" s="10" t="n">
        <f aca="false">BN156</f>
        <v>-8769481.7900516</v>
      </c>
      <c r="BP151" s="10" t="n">
        <f aca="false">BO156</f>
        <v>-8898454.52904374</v>
      </c>
      <c r="BQ151" s="10" t="n">
        <f aca="false">BP156</f>
        <v>-8975913.74803588</v>
      </c>
      <c r="BR151" s="10" t="n">
        <f aca="false">BQ156</f>
        <v>-9104886.48702802</v>
      </c>
      <c r="BS151" s="10" t="n">
        <f aca="false">BR156</f>
        <v>-9233859.22602016</v>
      </c>
      <c r="BT151" s="10" t="n">
        <f aca="false">BS156</f>
        <v>-9318255.6618795</v>
      </c>
      <c r="BU151" s="10" t="n">
        <f aca="false">BT156</f>
        <v>-9447228.40087164</v>
      </c>
      <c r="BV151" s="10" t="n">
        <f aca="false">BU156</f>
        <v>-9576201.13986378</v>
      </c>
      <c r="BW151" s="10" t="n">
        <f aca="false">BV156</f>
        <v>-9637411.87885592</v>
      </c>
      <c r="BX151" s="10" t="n">
        <f aca="false">BW156</f>
        <v>-9768964.0726279</v>
      </c>
      <c r="BY151" s="10" t="n">
        <f aca="false">BX156</f>
        <v>-9900516.26639989</v>
      </c>
      <c r="BZ151" s="10" t="n">
        <f aca="false">BY156</f>
        <v>-9964306.46017187</v>
      </c>
      <c r="CA151" s="10" t="n">
        <f aca="false">BZ156</f>
        <v>-10121760.3895869</v>
      </c>
      <c r="CB151" s="10" t="n">
        <f aca="false">CA156</f>
        <v>-10253312.5833589</v>
      </c>
      <c r="CC151" s="10" t="n">
        <f aca="false">CB156</f>
        <v>-10308365.7771309</v>
      </c>
      <c r="CD151" s="10" t="n">
        <f aca="false">CC156</f>
        <v>-10439917.9709029</v>
      </c>
      <c r="CE151" s="10" t="n">
        <f aca="false">CD156</f>
        <v>-10571470.1646749</v>
      </c>
      <c r="CF151" s="10" t="n">
        <f aca="false">CE156</f>
        <v>-10650172.7692514</v>
      </c>
      <c r="CG151" s="10" t="n">
        <f aca="false">CF156</f>
        <v>-10781724.9630234</v>
      </c>
      <c r="CH151" s="10" t="n">
        <f aca="false">CG156</f>
        <v>-10913277.1567953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37640.4866666667</v>
      </c>
      <c r="H152" s="10" t="n">
        <f aca="false">H87</f>
        <v>-4056.15333333332</v>
      </c>
      <c r="I152" s="10" t="n">
        <f aca="false">I87</f>
        <v>-50349.1233333333</v>
      </c>
      <c r="J152" s="10" t="n">
        <f aca="false">J87</f>
        <v>-59724.1233333333</v>
      </c>
      <c r="K152" s="10" t="n">
        <f aca="false">K87</f>
        <v>-80724.1233333333</v>
      </c>
      <c r="L152" s="10" t="n">
        <f aca="false">L87</f>
        <v>-59724.1233333333</v>
      </c>
      <c r="M152" s="10" t="n">
        <f aca="false">M87</f>
        <v>-59724.1233333333</v>
      </c>
      <c r="N152" s="10" t="n">
        <f aca="false">N87</f>
        <v>-59724.1233333333</v>
      </c>
      <c r="O152" s="10" t="n">
        <f aca="false">O87</f>
        <v>-62060.415</v>
      </c>
      <c r="P152" s="10" t="n">
        <f aca="false">P87</f>
        <v>-62060.415</v>
      </c>
      <c r="Q152" s="10" t="n">
        <f aca="false">Q87</f>
        <v>-62060.415</v>
      </c>
      <c r="R152" s="10" t="n">
        <f aca="false">R87</f>
        <v>-109426.665</v>
      </c>
      <c r="S152" s="10" t="n">
        <f aca="false">S87</f>
        <v>-85966.665</v>
      </c>
      <c r="T152" s="10" t="n">
        <f aca="false">T87</f>
        <v>-85966.665</v>
      </c>
      <c r="U152" s="10" t="n">
        <f aca="false">U87</f>
        <v>-85966.665</v>
      </c>
      <c r="V152" s="10" t="n">
        <f aca="false">V87</f>
        <v>-85966.665</v>
      </c>
      <c r="W152" s="10" t="n">
        <f aca="false">W87</f>
        <v>-50011.665</v>
      </c>
      <c r="X152" s="10" t="n">
        <f aca="false">X87</f>
        <v>-85966.665</v>
      </c>
      <c r="Y152" s="10" t="n">
        <f aca="false">Y87</f>
        <v>-85966.665</v>
      </c>
      <c r="Z152" s="10" t="n">
        <f aca="false">Z87</f>
        <v>-41223.245</v>
      </c>
      <c r="AA152" s="10" t="n">
        <f aca="false">AA87</f>
        <v>-112033.8925</v>
      </c>
      <c r="AB152" s="10" t="n">
        <f aca="false">AB87</f>
        <v>-112033.8925</v>
      </c>
      <c r="AC152" s="10" t="n">
        <f aca="false">AC87</f>
        <v>-54658.8925</v>
      </c>
      <c r="AD152" s="10" t="n">
        <f aca="false">AD87</f>
        <v>-135963.0925</v>
      </c>
      <c r="AE152" s="10" t="n">
        <f aca="false">AE87</f>
        <v>-112033.8925</v>
      </c>
      <c r="AF152" s="10" t="n">
        <f aca="false">AF87</f>
        <v>-112033.8925</v>
      </c>
      <c r="AG152" s="10" t="n">
        <f aca="false">AG87</f>
        <v>-121533.8925</v>
      </c>
      <c r="AH152" s="10" t="n">
        <f aca="false">AH87</f>
        <v>-121533.8925</v>
      </c>
      <c r="AI152" s="10" t="n">
        <f aca="false">AI87</f>
        <v>-143382.2925</v>
      </c>
      <c r="AJ152" s="10" t="n">
        <f aca="false">AJ87</f>
        <v>-121533.8925</v>
      </c>
      <c r="AK152" s="10" t="n">
        <f aca="false">AK87</f>
        <v>-121533.8925</v>
      </c>
      <c r="AL152" s="10" t="n">
        <f aca="false">AL87</f>
        <v>-121533.8925</v>
      </c>
      <c r="AM152" s="10" t="n">
        <f aca="false">AM87</f>
        <v>-123964.57035</v>
      </c>
      <c r="AN152" s="10" t="n">
        <f aca="false">AN87</f>
        <v>-123964.57035</v>
      </c>
      <c r="AO152" s="10" t="n">
        <f aca="false">AO87</f>
        <v>-123964.57035</v>
      </c>
      <c r="AP152" s="10" t="n">
        <f aca="false">AP87</f>
        <v>-148372.35435</v>
      </c>
      <c r="AQ152" s="10" t="n">
        <f aca="false">AQ87</f>
        <v>-123964.57035</v>
      </c>
      <c r="AR152" s="10" t="n">
        <f aca="false">AR87</f>
        <v>-123964.57035</v>
      </c>
      <c r="AS152" s="10" t="n">
        <f aca="false">AS87</f>
        <v>-123964.57035</v>
      </c>
      <c r="AT152" s="10" t="n">
        <f aca="false">AT87</f>
        <v>-123964.57035</v>
      </c>
      <c r="AU152" s="10" t="n">
        <f aca="false">AU87</f>
        <v>-146249.93835</v>
      </c>
      <c r="AV152" s="10" t="n">
        <f aca="false">AV87</f>
        <v>-123964.57035</v>
      </c>
      <c r="AW152" s="10" t="n">
        <f aca="false">AW87</f>
        <v>-123964.57035</v>
      </c>
      <c r="AX152" s="10" t="n">
        <f aca="false">AX87</f>
        <v>-123964.57035</v>
      </c>
      <c r="AY152" s="10" t="n">
        <f aca="false">AY87</f>
        <v>-126443.861757</v>
      </c>
      <c r="AZ152" s="10" t="n">
        <f aca="false">AZ87</f>
        <v>-126443.861757</v>
      </c>
      <c r="BA152" s="10" t="n">
        <f aca="false">BA87</f>
        <v>-126443.861757</v>
      </c>
      <c r="BB152" s="10" t="n">
        <f aca="false">BB87</f>
        <v>-151339.801437</v>
      </c>
      <c r="BC152" s="10" t="n">
        <f aca="false">BC87</f>
        <v>-126443.861757</v>
      </c>
      <c r="BD152" s="10" t="n">
        <f aca="false">BD87</f>
        <v>-126443.861757</v>
      </c>
      <c r="BE152" s="10" t="n">
        <f aca="false">BE87</f>
        <v>-126443.861757</v>
      </c>
      <c r="BF152" s="10" t="n">
        <f aca="false">BF87</f>
        <v>-126443.861757</v>
      </c>
      <c r="BG152" s="10" t="n">
        <f aca="false">BG87</f>
        <v>-149174.937117</v>
      </c>
      <c r="BH152" s="10" t="n">
        <f aca="false">BH87</f>
        <v>-126443.861757</v>
      </c>
      <c r="BI152" s="10" t="n">
        <f aca="false">BI87</f>
        <v>-126443.861757</v>
      </c>
      <c r="BJ152" s="10" t="n">
        <f aca="false">BJ87</f>
        <v>-126443.861757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-250000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173471.633333333</v>
      </c>
      <c r="H156" s="61" t="n">
        <f aca="false">H151+H152+H153+H154+H155</f>
        <v>169415.48</v>
      </c>
      <c r="I156" s="61" t="n">
        <f aca="false">I151+I152+I153+I154+I155</f>
        <v>-10933.6433333333</v>
      </c>
      <c r="J156" s="61" t="n">
        <f aca="false">J151+J152+J153+J154+J155</f>
        <v>-200657.766666667</v>
      </c>
      <c r="K156" s="61" t="n">
        <f aca="false">K151+K152+K153+K154+K155</f>
        <v>-411381.89</v>
      </c>
      <c r="L156" s="61" t="n">
        <f aca="false">L151+L152+L153+L154+L155</f>
        <v>-601106.013333333</v>
      </c>
      <c r="M156" s="61" t="n">
        <f aca="false">M151+M152+M153+M154+M155</f>
        <v>-1040830.13666667</v>
      </c>
      <c r="N156" s="61" t="n">
        <f aca="false">N151+N152+N153+N154+N155</f>
        <v>-1230554.26</v>
      </c>
      <c r="O156" s="61" t="n">
        <f aca="false">O151+O152+O153+O154+O155</f>
        <v>-1422614.675</v>
      </c>
      <c r="P156" s="61" t="n">
        <f aca="false">P151+P152+P153+P154+P155</f>
        <v>-1614675.09</v>
      </c>
      <c r="Q156" s="61" t="n">
        <f aca="false">Q151+Q152+Q153+Q154+Q155</f>
        <v>-1806735.505</v>
      </c>
      <c r="R156" s="61" t="n">
        <f aca="false">R151+R152+R153+R154+R155</f>
        <v>-2046162.17</v>
      </c>
      <c r="S156" s="61" t="n">
        <f aca="false">S151+S152+S153+S154+S155</f>
        <v>-2262128.835</v>
      </c>
      <c r="T156" s="61" t="n">
        <f aca="false">T151+T152+T153+T154+T155</f>
        <v>-2478095.5</v>
      </c>
      <c r="U156" s="61" t="n">
        <f aca="false">U151+U152+U153+U154+U155</f>
        <v>-2694062.165</v>
      </c>
      <c r="V156" s="61" t="n">
        <f aca="false">V151+V152+V153+V154+V155</f>
        <v>-2910028.83</v>
      </c>
      <c r="W156" s="61" t="n">
        <f aca="false">W151+W152+W153+W154+W155</f>
        <v>-3026009.73828545</v>
      </c>
      <c r="X156" s="61" t="n">
        <f aca="false">X151+X152+X153+X154+X155</f>
        <v>-3111976.40328545</v>
      </c>
      <c r="Y156" s="61" t="n">
        <f aca="false">Y151+Y152+Y153+Y154+Y155</f>
        <v>-3447943.06828545</v>
      </c>
      <c r="Z156" s="61" t="n">
        <f aca="false">Z151+Z152+Z153+Z154+Z155</f>
        <v>-3489166.31328545</v>
      </c>
      <c r="AA156" s="61" t="n">
        <f aca="false">AA151+AA152+AA153+AA154+AA155</f>
        <v>-3601200.20578545</v>
      </c>
      <c r="AB156" s="61" t="n">
        <f aca="false">AB151+AB152+AB153+AB154+AB155</f>
        <v>-3713234.09828545</v>
      </c>
      <c r="AC156" s="61" t="n">
        <f aca="false">AC151+AC152+AC153+AC154+AC155</f>
        <v>-3767892.99078545</v>
      </c>
      <c r="AD156" s="61" t="n">
        <f aca="false">AD151+AD152+AD153+AD154+AD155</f>
        <v>-3903856.08328545</v>
      </c>
      <c r="AE156" s="61" t="n">
        <f aca="false">AE151+AE152+AE153+AE154+AE155</f>
        <v>-4015889.97578545</v>
      </c>
      <c r="AF156" s="61" t="n">
        <f aca="false">AF151+AF152+AF153+AF154+AF155</f>
        <v>-4127923.86828545</v>
      </c>
      <c r="AG156" s="61" t="n">
        <f aca="false">AG151+AG152+AG153+AG154+AG155</f>
        <v>-4249457.76078545</v>
      </c>
      <c r="AH156" s="61" t="n">
        <f aca="false">AH151+AH152+AH153+AH154+AH155</f>
        <v>-4370991.65328545</v>
      </c>
      <c r="AI156" s="61" t="n">
        <f aca="false">AI151+AI152+AI153+AI154+AI155</f>
        <v>-4514373.94578545</v>
      </c>
      <c r="AJ156" s="61" t="n">
        <f aca="false">AJ151+AJ152+AJ153+AJ154+AJ155</f>
        <v>-4635907.83828545</v>
      </c>
      <c r="AK156" s="61" t="n">
        <f aca="false">AK151+AK152+AK153+AK154+AK155</f>
        <v>-5007441.73078545</v>
      </c>
      <c r="AL156" s="61" t="n">
        <f aca="false">AL151+AL152+AL153+AL154+AL155</f>
        <v>-5128975.62328545</v>
      </c>
      <c r="AM156" s="61" t="n">
        <f aca="false">AM151+AM152+AM153+AM154+AM155</f>
        <v>-5252940.19363545</v>
      </c>
      <c r="AN156" s="61" t="n">
        <f aca="false">AN151+AN152+AN153+AN154+AN155</f>
        <v>-5376904.76398545</v>
      </c>
      <c r="AO156" s="61" t="n">
        <f aca="false">AO151+AO152+AO153+AO154+AO155</f>
        <v>-5500869.33433545</v>
      </c>
      <c r="AP156" s="61" t="n">
        <f aca="false">AP151+AP152+AP153+AP154+AP155</f>
        <v>-5649241.68868545</v>
      </c>
      <c r="AQ156" s="61" t="n">
        <f aca="false">AQ151+AQ152+AQ153+AQ154+AQ155</f>
        <v>-5773206.25903545</v>
      </c>
      <c r="AR156" s="61" t="n">
        <f aca="false">AR151+AR152+AR153+AR154+AR155</f>
        <v>-5897170.82938544</v>
      </c>
      <c r="AS156" s="61" t="n">
        <f aca="false">AS151+AS152+AS153+AS154+AS155</f>
        <v>-6021135.39973544</v>
      </c>
      <c r="AT156" s="61" t="n">
        <f aca="false">AT151+AT152+AT153+AT154+AT155</f>
        <v>-6145099.97008544</v>
      </c>
      <c r="AU156" s="61" t="n">
        <f aca="false">AU151+AU152+AU153+AU154+AU155</f>
        <v>-6291349.90843544</v>
      </c>
      <c r="AV156" s="61" t="n">
        <f aca="false">AV151+AV152+AV153+AV154+AV155</f>
        <v>-6415314.47878544</v>
      </c>
      <c r="AW156" s="61" t="n">
        <f aca="false">AW151+AW152+AW153+AW154+AW155</f>
        <v>-6539279.04913544</v>
      </c>
      <c r="AX156" s="61" t="n">
        <f aca="false">AX151+AX152+AX153+AX154+AX155</f>
        <v>-6663243.61948544</v>
      </c>
      <c r="AY156" s="61" t="n">
        <f aca="false">AY151+AY152+AY153+AY154+AY155</f>
        <v>-6789687.48124244</v>
      </c>
      <c r="AZ156" s="61" t="n">
        <f aca="false">AZ151+AZ152+AZ153+AZ154+AZ155</f>
        <v>-6916131.34299944</v>
      </c>
      <c r="BA156" s="61" t="n">
        <f aca="false">BA151+BA152+BA153+BA154+BA155</f>
        <v>-7042575.20475644</v>
      </c>
      <c r="BB156" s="61" t="n">
        <f aca="false">BB151+BB152+BB153+BB154+BB155</f>
        <v>-7193915.00619344</v>
      </c>
      <c r="BC156" s="61" t="n">
        <f aca="false">BC151+BC152+BC153+BC154+BC155</f>
        <v>-7320358.86795044</v>
      </c>
      <c r="BD156" s="61" t="n">
        <f aca="false">BD151+BD152+BD153+BD154+BD155</f>
        <v>-7446802.72970744</v>
      </c>
      <c r="BE156" s="61" t="n">
        <f aca="false">BE151+BE152+BE153+BE154+BE155</f>
        <v>-7573246.59146444</v>
      </c>
      <c r="BF156" s="61" t="n">
        <f aca="false">BF151+BF152+BF153+BF154+BF155</f>
        <v>-7699690.45322144</v>
      </c>
      <c r="BG156" s="61" t="n">
        <f aca="false">BG151+BG152+BG153+BG154+BG155</f>
        <v>-7848865.39033844</v>
      </c>
      <c r="BH156" s="61" t="n">
        <f aca="false">BH151+BH152+BH153+BH154+BH155</f>
        <v>-7975309.25209544</v>
      </c>
      <c r="BI156" s="61" t="n">
        <f aca="false">BI151+BI152+BI153+BI154+BI155</f>
        <v>-8101753.11385244</v>
      </c>
      <c r="BJ156" s="61" t="n">
        <f aca="false">BJ151+BJ152+BJ153+BJ154+BJ155</f>
        <v>-8228196.97560944</v>
      </c>
      <c r="BK156" s="61" t="n">
        <f aca="false">BK151+BK152+BK153+BK154+BK155</f>
        <v>-8357169.71460158</v>
      </c>
      <c r="BL156" s="61" t="n">
        <f aca="false">BL151+BL152+BL153+BL154+BL155</f>
        <v>-8486142.45359372</v>
      </c>
      <c r="BM156" s="61" t="n">
        <f aca="false">BM151+BM152+BM153+BM154+BM155</f>
        <v>-8615115.19258586</v>
      </c>
      <c r="BN156" s="61" t="n">
        <f aca="false">BN151+BN152+BN153+BN154+BN155</f>
        <v>-8769481.7900516</v>
      </c>
      <c r="BO156" s="61" t="n">
        <f aca="false">BO151+BO152+BO153+BO154+BO155</f>
        <v>-8898454.52904374</v>
      </c>
      <c r="BP156" s="61" t="n">
        <f aca="false">BP151+BP152+BP153+BP154+BP155</f>
        <v>-8975913.74803588</v>
      </c>
      <c r="BQ156" s="61" t="n">
        <f aca="false">BQ151+BQ152+BQ153+BQ154+BQ155</f>
        <v>-9104886.48702802</v>
      </c>
      <c r="BR156" s="61" t="n">
        <f aca="false">BR151+BR152+BR153+BR154+BR155</f>
        <v>-9233859.22602016</v>
      </c>
      <c r="BS156" s="61" t="n">
        <f aca="false">BS151+BS152+BS153+BS154+BS155</f>
        <v>-9318255.6618795</v>
      </c>
      <c r="BT156" s="61" t="n">
        <f aca="false">BT151+BT152+BT153+BT154+BT155</f>
        <v>-9447228.40087164</v>
      </c>
      <c r="BU156" s="61" t="n">
        <f aca="false">BU151+BU152+BU153+BU154+BU155</f>
        <v>-9576201.13986378</v>
      </c>
      <c r="BV156" s="61" t="n">
        <f aca="false">BV151+BV152+BV153+BV154+BV155</f>
        <v>-9637411.87885592</v>
      </c>
      <c r="BW156" s="61" t="n">
        <f aca="false">BW151+BW152+BW153+BW154+BW155</f>
        <v>-9768964.0726279</v>
      </c>
      <c r="BX156" s="61" t="n">
        <f aca="false">BX151+BX152+BX153+BX154+BX155</f>
        <v>-9900516.26639989</v>
      </c>
      <c r="BY156" s="61" t="n">
        <f aca="false">BY151+BY152+BY153+BY154+BY155</f>
        <v>-9964306.46017187</v>
      </c>
      <c r="BZ156" s="61" t="n">
        <f aca="false">BZ151+BZ152+BZ153+BZ154+BZ155</f>
        <v>-10121760.3895869</v>
      </c>
      <c r="CA156" s="61" t="n">
        <f aca="false">CA151+CA152+CA153+CA154+CA155</f>
        <v>-10253312.5833589</v>
      </c>
      <c r="CB156" s="61" t="n">
        <f aca="false">CB151+CB152+CB153+CB154+CB155</f>
        <v>-10308365.7771309</v>
      </c>
      <c r="CC156" s="61" t="n">
        <f aca="false">CC151+CC152+CC153+CC154+CC155</f>
        <v>-10439917.9709029</v>
      </c>
      <c r="CD156" s="61" t="n">
        <f aca="false">CD151+CD152+CD153+CD154+CD155</f>
        <v>-10571470.1646749</v>
      </c>
      <c r="CE156" s="61" t="n">
        <f aca="false">CE151+CE152+CE153+CE154+CE155</f>
        <v>-10650172.7692514</v>
      </c>
      <c r="CF156" s="61" t="n">
        <f aca="false">CF151+CF152+CF153+CF154+CF155</f>
        <v>-10781724.9630234</v>
      </c>
      <c r="CG156" s="61" t="n">
        <f aca="false">CG151+CG152+CG153+CG154+CG155</f>
        <v>-10913277.1567953</v>
      </c>
      <c r="CH156" s="61" t="n">
        <f aca="false">CH151+CH152+CH153+CH154+CH155</f>
        <v>-10961722.3239608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2423475.71752618</v>
      </c>
      <c r="H159" s="10" t="n">
        <f aca="false">H146+H151</f>
        <v>2646778.57080084</v>
      </c>
      <c r="I159" s="10" t="n">
        <f aca="false">I146+I151</f>
        <v>2870553.59084195</v>
      </c>
      <c r="J159" s="10" t="n">
        <f aca="false">J146+J151</f>
        <v>3254978.58914886</v>
      </c>
      <c r="K159" s="10" t="n">
        <f aca="false">K146+K151</f>
        <v>3683795.35077414</v>
      </c>
      <c r="L159" s="10" t="n">
        <f aca="false">L146+L151</f>
        <v>3875218.89819928</v>
      </c>
      <c r="M159" s="10" t="n">
        <f aca="false">M146+M151</f>
        <v>4101899.08056556</v>
      </c>
      <c r="N159" s="10" t="n">
        <f aca="false">N146+N151</f>
        <v>4089679.19488999</v>
      </c>
      <c r="O159" s="10" t="n">
        <f aca="false">O146+O151</f>
        <v>4334947.2756309</v>
      </c>
      <c r="P159" s="10" t="n">
        <f aca="false">P146+P151</f>
        <v>3913275.81031273</v>
      </c>
      <c r="Q159" s="10" t="n">
        <f aca="false">Q146+Q151</f>
        <v>4287844.03935916</v>
      </c>
      <c r="R159" s="10" t="n">
        <f aca="false">R146+R151</f>
        <v>4805108.30181295</v>
      </c>
      <c r="S159" s="10" t="n">
        <f aca="false">S146+S151</f>
        <v>4899346.8720943</v>
      </c>
      <c r="T159" s="10" t="n">
        <f aca="false">T146+T151</f>
        <v>5097446.12648971</v>
      </c>
      <c r="U159" s="10" t="n">
        <f aca="false">U146+U151</f>
        <v>5296240.41451202</v>
      </c>
      <c r="V159" s="10" t="n">
        <f aca="false">V146+V151</f>
        <v>5314978.07588576</v>
      </c>
      <c r="W159" s="10" t="n">
        <f aca="false">W146+W151</f>
        <v>5556421.6194571</v>
      </c>
      <c r="X159" s="10" t="n">
        <f aca="false">X146+X151</f>
        <v>5890529.50003049</v>
      </c>
      <c r="Y159" s="10" t="n">
        <f aca="false">Y146+Y151</f>
        <v>6244184.1898557</v>
      </c>
      <c r="Z159" s="10" t="n">
        <f aca="false">Z146+Z151</f>
        <v>6389183.14693901</v>
      </c>
      <c r="AA159" s="10" t="n">
        <f aca="false">AA146+AA151</f>
        <v>6761815.79355806</v>
      </c>
      <c r="AB159" s="10" t="n">
        <f aca="false">AB146+AB151</f>
        <v>7048857.23192401</v>
      </c>
      <c r="AC159" s="10" t="n">
        <f aca="false">AC146+AC151</f>
        <v>7186149.43853325</v>
      </c>
      <c r="AD159" s="10" t="n">
        <f aca="false">AD146+AD151</f>
        <v>6738706.00778851</v>
      </c>
      <c r="AE159" s="10" t="n">
        <f aca="false">AE146+AE151</f>
        <v>6893556.97116308</v>
      </c>
      <c r="AF159" s="10" t="n">
        <f aca="false">AF146+AF151</f>
        <v>7070016.44352287</v>
      </c>
      <c r="AG159" s="10" t="n">
        <f aca="false">AG146+AG151</f>
        <v>7241499.76239659</v>
      </c>
      <c r="AH159" s="10" t="n">
        <f aca="false">AH146+AH151</f>
        <v>7517093.03620238</v>
      </c>
      <c r="AI159" s="10" t="n">
        <f aca="false">AI146+AI151</f>
        <v>7608285.59857195</v>
      </c>
      <c r="AJ159" s="10" t="n">
        <f aca="false">AJ146+AJ151</f>
        <v>7911629.85023508</v>
      </c>
      <c r="AK159" s="10" t="n">
        <f aca="false">AK146+AK151</f>
        <v>7979729.32668047</v>
      </c>
      <c r="AL159" s="10" t="n">
        <f aca="false">AL146+AL151</f>
        <v>7636464.13785476</v>
      </c>
      <c r="AM159" s="10" t="n">
        <f aca="false">AM146+AM151</f>
        <v>7625549.0836729</v>
      </c>
      <c r="AN159" s="10" t="n">
        <f aca="false">AN146+AN151</f>
        <v>7554974.59689327</v>
      </c>
      <c r="AO159" s="10" t="n">
        <f aca="false">AO146+AO151</f>
        <v>7327647.40885391</v>
      </c>
      <c r="AP159" s="10" t="n">
        <f aca="false">AP146+AP151</f>
        <v>7097057.46059982</v>
      </c>
      <c r="AQ159" s="10" t="n">
        <f aca="false">AQ146+AQ151</f>
        <v>6838156.36763231</v>
      </c>
      <c r="AR159" s="10" t="n">
        <f aca="false">AR146+AR151</f>
        <v>6599157.13161736</v>
      </c>
      <c r="AS159" s="10" t="n">
        <f aca="false">AS146+AS151</f>
        <v>6612293.47381984</v>
      </c>
      <c r="AT159" s="10" t="n">
        <f aca="false">AT146+AT151</f>
        <v>6240556.1559759</v>
      </c>
      <c r="AU159" s="10" t="n">
        <f aca="false">AU146+AU151</f>
        <v>5867096.84736767</v>
      </c>
      <c r="AV159" s="10" t="n">
        <f aca="false">AV146+AV151</f>
        <v>5468830.41095129</v>
      </c>
      <c r="AW159" s="10" t="n">
        <f aca="false">AW146+AW151</f>
        <v>5089604.34660578</v>
      </c>
      <c r="AX159" s="10" t="n">
        <f aca="false">AX146+AX151</f>
        <v>4706499.97639448</v>
      </c>
      <c r="AY159" s="10" t="n">
        <f aca="false">AY146+AY151</f>
        <v>4318989.22314968</v>
      </c>
      <c r="AZ159" s="10" t="n">
        <f aca="false">AZ146+AZ151</f>
        <v>3921347.02296583</v>
      </c>
      <c r="BA159" s="10" t="n">
        <f aca="false">BA146+BA151</f>
        <v>3518596.25018127</v>
      </c>
      <c r="BB159" s="10" t="n">
        <f aca="false">BB146+BB151</f>
        <v>3110566.61904264</v>
      </c>
      <c r="BC159" s="10" t="n">
        <f aca="false">BC146+BC151</f>
        <v>2672306.70350087</v>
      </c>
      <c r="BD159" s="10" t="n">
        <f aca="false">BD146+BD151</f>
        <v>2253658.12931581</v>
      </c>
      <c r="BE159" s="10" t="n">
        <f aca="false">BE146+BE151</f>
        <v>1829870.36936089</v>
      </c>
      <c r="BF159" s="10" t="n">
        <f aca="false">BF146+BF151</f>
        <v>1401167.28243547</v>
      </c>
      <c r="BG159" s="10" t="n">
        <f aca="false">BG146+BG151</f>
        <v>1202809.19364641</v>
      </c>
      <c r="BH159" s="10" t="n">
        <f aca="false">BH146+BH151</f>
        <v>630907.533771901</v>
      </c>
      <c r="BI159" s="10" t="n">
        <f aca="false">BI146+BI151</f>
        <v>81736.9492573887</v>
      </c>
      <c r="BJ159" s="10" t="n">
        <f aca="false">BJ146+BJ151</f>
        <v>-467433.635257123</v>
      </c>
      <c r="BK159" s="10" t="n">
        <f aca="false">BK146+BK151</f>
        <v>-1016604.21977163</v>
      </c>
      <c r="BL159" s="10" t="n">
        <f aca="false">BL146+BL151</f>
        <v>-1571196.72930977</v>
      </c>
      <c r="BM159" s="10" t="n">
        <f aca="false">BM146+BM151</f>
        <v>-2125789.23884791</v>
      </c>
      <c r="BN159" s="10" t="n">
        <f aca="false">BN146+BN151</f>
        <v>-2680381.74838604</v>
      </c>
      <c r="BO159" s="10" t="n">
        <f aca="false">BO146+BO151</f>
        <v>-3260368.11639778</v>
      </c>
      <c r="BP159" s="10" t="n">
        <f aca="false">BP146+BP151</f>
        <v>-3814960.62593591</v>
      </c>
      <c r="BQ159" s="10" t="n">
        <f aca="false">BQ146+BQ151</f>
        <v>-4318039.61547405</v>
      </c>
      <c r="BR159" s="10" t="n">
        <f aca="false">BR146+BR151</f>
        <v>-4872632.12501219</v>
      </c>
      <c r="BS159" s="10" t="n">
        <f aca="false">BS146+BS151</f>
        <v>-5427224.63455032</v>
      </c>
      <c r="BT159" s="10" t="n">
        <f aca="false">BT146+BT151</f>
        <v>-5937240.84095566</v>
      </c>
      <c r="BU159" s="10" t="n">
        <f aca="false">BU146+BU151</f>
        <v>-6491833.35049379</v>
      </c>
      <c r="BV159" s="10" t="n">
        <f aca="false">BV146+BV151</f>
        <v>-7046425.86003193</v>
      </c>
      <c r="BW159" s="10" t="n">
        <f aca="false">BW146+BW151</f>
        <v>-7533256.36957006</v>
      </c>
      <c r="BX159" s="10" t="n">
        <f aca="false">BX146+BX151</f>
        <v>-8093379.24263229</v>
      </c>
      <c r="BY159" s="10" t="n">
        <f aca="false">BY146+BY151</f>
        <v>-8653502.11569452</v>
      </c>
      <c r="BZ159" s="10" t="n">
        <f aca="false">BZ146+BZ151</f>
        <v>-9145862.98875675</v>
      </c>
      <c r="CA159" s="10" t="n">
        <f aca="false">CA146+CA151</f>
        <v>-9731887.59746206</v>
      </c>
      <c r="CB159" s="10" t="n">
        <f aca="false">CB146+CB151</f>
        <v>-10292010.4705243</v>
      </c>
      <c r="CC159" s="10" t="n">
        <f aca="false">CC146+CC151</f>
        <v>-10775634.3435865</v>
      </c>
      <c r="CD159" s="10" t="n">
        <f aca="false">CD146+CD151</f>
        <v>-11335757.2166488</v>
      </c>
      <c r="CE159" s="10" t="n">
        <f aca="false">CE146+CE151</f>
        <v>-11895880.089711</v>
      </c>
      <c r="CF159" s="10" t="n">
        <f aca="false">CF146+CF151</f>
        <v>-12403153.3735778</v>
      </c>
      <c r="CG159" s="10" t="n">
        <f aca="false">CG146+CG151</f>
        <v>-12963276.24664</v>
      </c>
      <c r="CH159" s="10" t="n">
        <f aca="false">CH146+CH151</f>
        <v>-13523399.1197022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-648501.614459783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-1128383.953535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-681330.105061377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2423475.71752618</v>
      </c>
      <c r="G161" s="61" t="n">
        <f aca="false">G159+G147+G152+G153+G154+G155+G160</f>
        <v>2646778.57080084</v>
      </c>
      <c r="H161" s="61" t="n">
        <f aca="false">H159+H147+H152+H153+H154+H155+H160</f>
        <v>2870553.59084195</v>
      </c>
      <c r="I161" s="61" t="n">
        <f aca="false">I159+I147+I152+I153+I154+I155+I160</f>
        <v>3254978.58914886</v>
      </c>
      <c r="J161" s="61" t="n">
        <f aca="false">J159+J147+J152+J153+J154+J155+J160</f>
        <v>3683795.35077414</v>
      </c>
      <c r="K161" s="61" t="n">
        <f aca="false">K159+K147+K152+K153+K154+K155+K160</f>
        <v>3875218.89819928</v>
      </c>
      <c r="L161" s="61" t="n">
        <f aca="false">L159+L147+L152+L153+L154+L155+L160</f>
        <v>4101899.08056556</v>
      </c>
      <c r="M161" s="61" t="n">
        <f aca="false">M159+M147+M152+M153+M154+M155+M160</f>
        <v>4089679.19488999</v>
      </c>
      <c r="N161" s="61" t="n">
        <f aca="false">N159+N147+N152+N153+N154+N155+N160</f>
        <v>3686445.66117112</v>
      </c>
      <c r="O161" s="61" t="n">
        <f aca="false">O159+O147+O152+O153+O154+O155+O160</f>
        <v>3913275.81031273</v>
      </c>
      <c r="P161" s="61" t="n">
        <f aca="false">P159+P147+P152+P153+P154+P155+P160</f>
        <v>4287844.03935916</v>
      </c>
      <c r="Q161" s="61" t="n">
        <f aca="false">Q159+Q147+Q152+Q153+Q154+Q155+Q160</f>
        <v>4805108.30181295</v>
      </c>
      <c r="R161" s="61" t="n">
        <f aca="false">R159+R147+R152+R153+R154+R155+R160</f>
        <v>4899346.8720943</v>
      </c>
      <c r="S161" s="61" t="n">
        <f aca="false">S159+S147+S152+S153+S154+S155+S160</f>
        <v>5097446.12648971</v>
      </c>
      <c r="T161" s="61" t="n">
        <f aca="false">T159+T147+T152+T153+T154+T155+T160</f>
        <v>5296240.41451202</v>
      </c>
      <c r="U161" s="61" t="n">
        <f aca="false">U159+U147+U152+U153+U154+U155+U160</f>
        <v>5314978.07588576</v>
      </c>
      <c r="V161" s="61" t="n">
        <f aca="false">V159+V147+V152+V153+V154+V155+V160</f>
        <v>5556421.6194571</v>
      </c>
      <c r="W161" s="61" t="n">
        <f aca="false">W159+W147+W152+W153+W154+W155+W160</f>
        <v>5890529.50003049</v>
      </c>
      <c r="X161" s="61" t="n">
        <f aca="false">X159+X147+X152+X153+X154+X155+X160</f>
        <v>6244184.1898557</v>
      </c>
      <c r="Y161" s="61" t="n">
        <f aca="false">Y159+Y147+Y152+Y153+Y154+Y155+Y160</f>
        <v>6389183.14693901</v>
      </c>
      <c r="Z161" s="61" t="n">
        <f aca="false">Z159+Z147+Z152+Z153+Z154+Z155+Z160</f>
        <v>5633431.84002306</v>
      </c>
      <c r="AA161" s="61" t="n">
        <f aca="false">AA159+AA147+AA152+AA153+AA154+AA155+AA160</f>
        <v>7048857.231924</v>
      </c>
      <c r="AB161" s="61" t="n">
        <f aca="false">AB159+AB147+AB152+AB153+AB154+AB155+AB160</f>
        <v>7186149.43853325</v>
      </c>
      <c r="AC161" s="61" t="n">
        <f aca="false">AC159+AC147+AC152+AC153+AC154+AC155+AC160</f>
        <v>6738706.00778851</v>
      </c>
      <c r="AD161" s="61" t="n">
        <f aca="false">AD159+AD147+AD152+AD153+AD154+AD155+AD160</f>
        <v>6893556.97116308</v>
      </c>
      <c r="AE161" s="61" t="n">
        <f aca="false">AE159+AE147+AE152+AE153+AE154+AE155+AE160</f>
        <v>7070016.44352287</v>
      </c>
      <c r="AF161" s="61" t="n">
        <f aca="false">AF159+AF147+AF152+AF153+AF154+AF155+AF160</f>
        <v>7241499.76239658</v>
      </c>
      <c r="AG161" s="61" t="n">
        <f aca="false">AG159+AG147+AG152+AG153+AG154+AG155+AG160</f>
        <v>7517093.03620238</v>
      </c>
      <c r="AH161" s="61" t="n">
        <f aca="false">AH159+AH147+AH152+AH153+AH154+AH155+AH160</f>
        <v>7608285.59857195</v>
      </c>
      <c r="AI161" s="61" t="n">
        <f aca="false">AI159+AI147+AI152+AI153+AI154+AI155+AI160</f>
        <v>7911629.85023508</v>
      </c>
      <c r="AJ161" s="61" t="n">
        <f aca="false">AJ159+AJ147+AJ152+AJ153+AJ154+AJ155+AJ160</f>
        <v>7979729.32668046</v>
      </c>
      <c r="AK161" s="61" t="n">
        <f aca="false">AK159+AK147+AK152+AK153+AK154+AK155+AK160</f>
        <v>7636464.13785476</v>
      </c>
      <c r="AL161" s="61" t="n">
        <f aca="false">AL159+AL147+AL152+AL153+AL154+AL155+AL160</f>
        <v>6944218.97861152</v>
      </c>
      <c r="AM161" s="61" t="n">
        <f aca="false">AM159+AM147+AM152+AM153+AM154+AM155+AM160</f>
        <v>7554974.59689327</v>
      </c>
      <c r="AN161" s="61" t="n">
        <f aca="false">AN159+AN147+AN152+AN153+AN154+AN155+AN160</f>
        <v>7327647.40885391</v>
      </c>
      <c r="AO161" s="61" t="n">
        <f aca="false">AO159+AO147+AO152+AO153+AO154+AO155+AO160</f>
        <v>7097057.46059982</v>
      </c>
      <c r="AP161" s="61" t="n">
        <f aca="false">AP159+AP147+AP152+AP153+AP154+AP155+AP160</f>
        <v>6838156.36763231</v>
      </c>
      <c r="AQ161" s="61" t="n">
        <f aca="false">AQ159+AQ147+AQ152+AQ153+AQ154+AQ155+AQ160</f>
        <v>6599157.13161736</v>
      </c>
      <c r="AR161" s="61" t="n">
        <f aca="false">AR159+AR147+AR152+AR153+AR154+AR155+AR160</f>
        <v>6612293.47381984</v>
      </c>
      <c r="AS161" s="61" t="n">
        <f aca="false">AS159+AS147+AS152+AS153+AS154+AS155+AS160</f>
        <v>6240556.1559759</v>
      </c>
      <c r="AT161" s="61" t="n">
        <f aca="false">AT159+AT147+AT152+AT153+AT154+AT155+AT160</f>
        <v>5867096.84736767</v>
      </c>
      <c r="AU161" s="61" t="n">
        <f aca="false">AU159+AU147+AU152+AU153+AU154+AU155+AU160</f>
        <v>5468830.41095129</v>
      </c>
      <c r="AV161" s="61" t="n">
        <f aca="false">AV159+AV147+AV152+AV153+AV154+AV155+AV160</f>
        <v>5089604.34660578</v>
      </c>
      <c r="AW161" s="61" t="n">
        <f aca="false">AW159+AW147+AW152+AW153+AW154+AW155+AW160</f>
        <v>4706499.97639448</v>
      </c>
      <c r="AX161" s="61" t="n">
        <f aca="false">AX159+AX147+AX152+AX153+AX154+AX155+AX160</f>
        <v>4318989.22314968</v>
      </c>
      <c r="AY161" s="61" t="n">
        <f aca="false">AY159+AY147+AY152+AY153+AY154+AY155+AY160</f>
        <v>3921347.02296583</v>
      </c>
      <c r="AZ161" s="61" t="n">
        <f aca="false">AZ159+AZ147+AZ152+AZ153+AZ154+AZ155+AZ160</f>
        <v>3518596.25018127</v>
      </c>
      <c r="BA161" s="61" t="n">
        <f aca="false">BA159+BA147+BA152+BA153+BA154+BA155+BA160</f>
        <v>3110566.61904264</v>
      </c>
      <c r="BB161" s="61" t="n">
        <f aca="false">BB159+BB147+BB152+BB153+BB154+BB155+BB160</f>
        <v>2672306.70350087</v>
      </c>
      <c r="BC161" s="61" t="n">
        <f aca="false">BC159+BC147+BC152+BC153+BC154+BC155+BC160</f>
        <v>2253658.12931581</v>
      </c>
      <c r="BD161" s="61" t="n">
        <f aca="false">BD159+BD147+BD152+BD153+BD154+BD155+BD160</f>
        <v>1829870.36936089</v>
      </c>
      <c r="BE161" s="61" t="n">
        <f aca="false">BE159+BE147+BE152+BE153+BE154+BE155+BE160</f>
        <v>1401167.28243547</v>
      </c>
      <c r="BF161" s="61" t="n">
        <f aca="false">BF159+BF147+BF152+BF153+BF154+BF155+BF160</f>
        <v>1202809.19364641</v>
      </c>
      <c r="BG161" s="61" t="n">
        <f aca="false">BG159+BG147+BG152+BG153+BG154+BG155+BG160</f>
        <v>630907.533771901</v>
      </c>
      <c r="BH161" s="61" t="n">
        <f aca="false">BH159+BH147+BH152+BH153+BH154+BH155+BH160</f>
        <v>81736.9492573886</v>
      </c>
      <c r="BI161" s="61" t="n">
        <f aca="false">BI159+BI147+BI152+BI153+BI154+BI155+BI160</f>
        <v>-467433.635257123</v>
      </c>
      <c r="BJ161" s="61" t="n">
        <f aca="false">BJ159+BJ147+BJ152+BJ153+BJ154+BJ155+BJ160</f>
        <v>-1016604.21977163</v>
      </c>
      <c r="BK161" s="61" t="n">
        <f aca="false">BK159+BK147+BK152+BK153+BK154+BK155+BK160</f>
        <v>-1571196.72930977</v>
      </c>
      <c r="BL161" s="61" t="n">
        <f aca="false">BL159+BL147+BL152+BL153+BL154+BL155+BL160</f>
        <v>-2125789.23884791</v>
      </c>
      <c r="BM161" s="61" t="n">
        <f aca="false">BM159+BM147+BM152+BM153+BM154+BM155+BM160</f>
        <v>-2680381.74838604</v>
      </c>
      <c r="BN161" s="61" t="n">
        <f aca="false">BN159+BN147+BN152+BN153+BN154+BN155+BN160</f>
        <v>-3260368.11639778</v>
      </c>
      <c r="BO161" s="61" t="n">
        <f aca="false">BO159+BO147+BO152+BO153+BO154+BO155+BO160</f>
        <v>-3814960.62593591</v>
      </c>
      <c r="BP161" s="61" t="n">
        <f aca="false">BP159+BP147+BP152+BP153+BP154+BP155+BP160</f>
        <v>-4318039.61547405</v>
      </c>
      <c r="BQ161" s="61" t="n">
        <f aca="false">BQ159+BQ147+BQ152+BQ153+BQ154+BQ155+BQ160</f>
        <v>-4872632.12501219</v>
      </c>
      <c r="BR161" s="61" t="n">
        <f aca="false">BR159+BR147+BR152+BR153+BR154+BR155+BR160</f>
        <v>-5427224.63455032</v>
      </c>
      <c r="BS161" s="61" t="n">
        <f aca="false">BS159+BS147+BS152+BS153+BS154+BS155+BS160</f>
        <v>-5937240.84095566</v>
      </c>
      <c r="BT161" s="61" t="n">
        <f aca="false">BT159+BT147+BT152+BT153+BT154+BT155+BT160</f>
        <v>-6491833.35049379</v>
      </c>
      <c r="BU161" s="61" t="n">
        <f aca="false">BU159+BU147+BU152+BU153+BU154+BU155+BU160</f>
        <v>-7046425.86003193</v>
      </c>
      <c r="BV161" s="61" t="n">
        <f aca="false">BV159+BV147+BV152+BV153+BV154+BV155+BV160</f>
        <v>-7533256.36957006</v>
      </c>
      <c r="BW161" s="61" t="n">
        <f aca="false">BW159+BW147+BW152+BW153+BW154+BW155+BW160</f>
        <v>-8093379.24263229</v>
      </c>
      <c r="BX161" s="61" t="n">
        <f aca="false">BX159+BX147+BX152+BX153+BX154+BX155+BX160</f>
        <v>-8653502.11569452</v>
      </c>
      <c r="BY161" s="61" t="n">
        <f aca="false">BY159+BY147+BY152+BY153+BY154+BY155+BY160</f>
        <v>-9145862.98875675</v>
      </c>
      <c r="BZ161" s="61" t="n">
        <f aca="false">BZ159+BZ147+BZ152+BZ153+BZ154+BZ155+BZ160</f>
        <v>-9731887.59746206</v>
      </c>
      <c r="CA161" s="61" t="n">
        <f aca="false">CA159+CA147+CA152+CA153+CA154+CA155+CA160</f>
        <v>-10292010.4705243</v>
      </c>
      <c r="CB161" s="61" t="n">
        <f aca="false">CB159+CB147+CB152+CB153+CB154+CB155+CB160</f>
        <v>-10775634.3435865</v>
      </c>
      <c r="CC161" s="61" t="n">
        <f aca="false">CC159+CC147+CC152+CC153+CC154+CC155+CC160</f>
        <v>-11335757.2166488</v>
      </c>
      <c r="CD161" s="61" t="n">
        <f aca="false">CD159+CD147+CD152+CD153+CD154+CD155+CD160</f>
        <v>-11895880.089711</v>
      </c>
      <c r="CE161" s="61" t="n">
        <f aca="false">CE159+CE147+CE152+CE153+CE154+CE155+CE160</f>
        <v>-12403153.3735778</v>
      </c>
      <c r="CF161" s="61" t="n">
        <f aca="false">CF159+CF147+CF152+CF153+CF154+CF155+CF160</f>
        <v>-12963276.24664</v>
      </c>
      <c r="CG161" s="61" t="n">
        <f aca="false">CG159+CG147+CG152+CG153+CG154+CG155+CG160</f>
        <v>-13523399.1197022</v>
      </c>
      <c r="CH161" s="61" t="n">
        <f aca="false">CH159+CH147+CH152+CH153+CH154+CH155+CH160</f>
        <v>-14000414.966158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26284108.956071</v>
      </c>
      <c r="H3" s="65" t="n">
        <f aca="false">Model!U7+Model!V7+Model!W7</f>
        <v>26269938.482232</v>
      </c>
      <c r="I3" s="65" t="n">
        <f aca="false">Model!X7+Model!Y7+Model!Z7</f>
        <v>23995443.05661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761059.716842532</v>
      </c>
      <c r="D5" s="10" t="n">
        <f aca="false">Model!I8+Model!J8+Model!K8</f>
        <v>1062553.83977273</v>
      </c>
      <c r="E5" s="10" t="n">
        <f aca="false">Model!L8+Model!M8+Model!N8</f>
        <v>1047501.62587256</v>
      </c>
      <c r="F5" s="10" t="n">
        <f aca="false">Model!O8+Model!P8+Model!Q8</f>
        <v>1318214.0820414</v>
      </c>
      <c r="G5" s="10" t="n">
        <f aca="false">Model!R8+Model!S8+Model!T8</f>
        <v>1073907.24397321</v>
      </c>
      <c r="H5" s="10" t="n">
        <f aca="false">Model!U8+Model!V8+Model!W8</f>
        <v>1075417.4515625</v>
      </c>
      <c r="I5" s="10" t="n">
        <f aca="false">Model!X8+Model!Y8+Model!Z8</f>
        <v>1069290.51081575</v>
      </c>
      <c r="J5" s="10" t="n">
        <f aca="false">Model!AA8+Model!AB8+Model!AC8</f>
        <v>956433.422991071</v>
      </c>
      <c r="K5" s="10" t="n">
        <f aca="false">Model!AD8+Model!AE8+Model!AF8</f>
        <v>1017629.01519886</v>
      </c>
      <c r="L5" s="10" t="n">
        <f aca="false">Model!AG8+Model!AH8+Model!AI8</f>
        <v>1092056.27595373</v>
      </c>
      <c r="M5" s="10" t="n">
        <f aca="false">Model!AJ8+Model!AK8+Model!AL8</f>
        <v>697477.121347403</v>
      </c>
      <c r="N5" s="10" t="n">
        <f aca="false">Model!AM8+Model!AN8+Model!AO8</f>
        <v>474692.960551948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808214.063447108</v>
      </c>
      <c r="D6" s="10" t="n">
        <f aca="false">Model!I9+Model!J9+Model!K9</f>
        <v>1057158.30603535</v>
      </c>
      <c r="E6" s="10" t="n">
        <f aca="false">Model!L9+Model!M9+Model!N9</f>
        <v>1150881.72980987</v>
      </c>
      <c r="F6" s="10" t="n">
        <f aca="false">Model!O9+Model!P9+Model!Q9</f>
        <v>1357559.97390186</v>
      </c>
      <c r="G6" s="10" t="n">
        <f aca="false">Model!R9+Model!S9+Model!T9</f>
        <v>1264724.51825978</v>
      </c>
      <c r="H6" s="10" t="n">
        <f aca="false">Model!U9+Model!V9+Model!W9</f>
        <v>1225279.81695392</v>
      </c>
      <c r="I6" s="10" t="n">
        <f aca="false">Model!X9+Model!Y9+Model!Z9</f>
        <v>1151872.71933991</v>
      </c>
      <c r="J6" s="10" t="n">
        <f aca="false">Model!AA9+Model!AB9+Model!AC9</f>
        <v>955407.47028036</v>
      </c>
      <c r="K6" s="10" t="n">
        <f aca="false">Model!AD9+Model!AE9+Model!AF9</f>
        <v>757315.027714254</v>
      </c>
      <c r="L6" s="10" t="n">
        <f aca="false">Model!AG9+Model!AH9+Model!AI9</f>
        <v>851834.213271514</v>
      </c>
      <c r="M6" s="10" t="n">
        <f aca="false">Model!AJ9+Model!AK9+Model!AL9</f>
        <v>649880.498345951</v>
      </c>
      <c r="N6" s="10" t="n">
        <f aca="false">Model!AM9+Model!AN9+Model!AO9</f>
        <v>470149.344763086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213523.494155844</v>
      </c>
      <c r="D7" s="10" t="n">
        <f aca="false">Model!I10+Model!J10+Model!K10</f>
        <v>315304.020549242</v>
      </c>
      <c r="E7" s="10" t="n">
        <f aca="false">Model!L10+Model!M10+Model!N10</f>
        <v>315649.736749188</v>
      </c>
      <c r="F7" s="10" t="n">
        <f aca="false">Model!O10+Model!P10+Model!Q10</f>
        <v>405887.222138799</v>
      </c>
      <c r="G7" s="10" t="n">
        <f aca="false">Model!R10+Model!S10+Model!T10</f>
        <v>332660.107366072</v>
      </c>
      <c r="H7" s="10" t="n">
        <f aca="false">Model!U10+Model!V10+Model!W10</f>
        <v>350305.8171875</v>
      </c>
      <c r="I7" s="10" t="n">
        <f aca="false">Model!X10+Model!Y10+Model!Z10</f>
        <v>356430.170271916</v>
      </c>
      <c r="J7" s="10" t="n">
        <f aca="false">Model!AA10+Model!AB10+Model!AC10</f>
        <v>318811.140997024</v>
      </c>
      <c r="K7" s="10" t="n">
        <f aca="false">Model!AD10+Model!AE10+Model!AF10</f>
        <v>339209.671732955</v>
      </c>
      <c r="L7" s="10" t="n">
        <f aca="false">Model!AG10+Model!AH10+Model!AI10</f>
        <v>364018.758651245</v>
      </c>
      <c r="M7" s="10" t="n">
        <f aca="false">Model!AJ10+Model!AK10+Model!AL10</f>
        <v>232492.373782468</v>
      </c>
      <c r="N7" s="10" t="n">
        <f aca="false">Model!AM10+Model!AN10+Model!AO10</f>
        <v>158230.986850649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2427323.99444549</v>
      </c>
      <c r="D9" s="12" t="n">
        <f aca="false">Model!I12+Model!J12+Model!K12</f>
        <v>3196027.06635732</v>
      </c>
      <c r="E9" s="12" t="n">
        <f aca="false">Model!L12+Model!M12+Model!N12</f>
        <v>2514033.09243162</v>
      </c>
      <c r="F9" s="12" t="n">
        <f aca="false">Model!O12+Model!P12+Model!Q12</f>
        <v>3760662.82808205</v>
      </c>
      <c r="G9" s="12" t="n">
        <f aca="false">Model!R12+Model!S12+Model!T12</f>
        <v>2898991.20959906</v>
      </c>
      <c r="H9" s="12" t="n">
        <f aca="false">Model!U12+Model!V12+Model!W12</f>
        <v>2878702.42570392</v>
      </c>
      <c r="I9" s="12" t="n">
        <f aca="false">Model!X12+Model!Y12+Model!Z12</f>
        <v>2577593.40042757</v>
      </c>
      <c r="J9" s="12" t="n">
        <f aca="false">Model!AA12+Model!AB12+Model!AC12</f>
        <v>2850971.51426846</v>
      </c>
      <c r="K9" s="12" t="n">
        <f aca="false">Model!AD12+Model!AE12+Model!AF12</f>
        <v>2114153.71464607</v>
      </c>
      <c r="L9" s="12" t="n">
        <f aca="false">Model!AG12+Model!AH12+Model!AI12</f>
        <v>2307909.24787649</v>
      </c>
      <c r="M9" s="12" t="n">
        <f aca="false">Model!AJ12+Model!AK12+Model!AL12</f>
        <v>1579849.99347582</v>
      </c>
      <c r="N9" s="12" t="n">
        <f aca="false">Model!AM12+Model!AN12+Model!AO12</f>
        <v>1103073.29216568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-823806.333333333</v>
      </c>
      <c r="D13" s="10" t="n">
        <f aca="false">Model!I16+Model!J16+Model!K16+Model!I17+Model!J17+Model!K17</f>
        <v>-834223</v>
      </c>
      <c r="E13" s="10" t="n">
        <f aca="false">Model!L16+Model!M16+Model!N16+Model!L17+Model!M17+Model!N17</f>
        <v>-834223</v>
      </c>
      <c r="F13" s="10" t="n">
        <f aca="false">Model!O16+Model!P16+Model!Q16+Model!O17+Model!P17+Model!Q17</f>
        <v>-834223</v>
      </c>
      <c r="G13" s="10" t="n">
        <f aca="false">Model!R16+Model!S16+Model!T16+Model!R17+Model!S17+Model!T17</f>
        <v>-834223</v>
      </c>
      <c r="H13" s="10" t="n">
        <f aca="false">Model!U16+Model!V16+Model!W16+Model!U17+Model!V17+Model!W17</f>
        <v>-834223</v>
      </c>
      <c r="I13" s="10" t="n">
        <f aca="false">Model!X16+Model!Y16+Model!Z16+Model!X17+Model!Y17+Model!Z17</f>
        <v>-834223</v>
      </c>
      <c r="J13" s="10" t="n">
        <f aca="false">Model!AA16+Model!AB16+Model!AC16+Model!AA17+Model!AB17+Model!AC17</f>
        <v>-834223</v>
      </c>
      <c r="K13" s="10" t="n">
        <f aca="false">Model!AD16+Model!AE16+Model!AF16+Model!AD17+Model!AE17+Model!AF17</f>
        <v>-834223</v>
      </c>
      <c r="L13" s="10" t="n">
        <f aca="false">Model!AG16+Model!AH16+Model!AI16+Model!AG17+Model!AH17+Model!AI17</f>
        <v>-834223</v>
      </c>
      <c r="M13" s="10" t="n">
        <f aca="false">Model!AJ16+Model!AK16+Model!AL16+Model!AJ17+Model!AK17+Model!AL17</f>
        <v>-834223</v>
      </c>
      <c r="N13" s="10" t="n">
        <f aca="false">Model!AM16+Model!AN16+Model!AO16+Model!AM17+Model!AN17+Model!AO17</f>
        <v>-834223</v>
      </c>
      <c r="O13" s="10" t="n">
        <f aca="false">Model!AP16+Model!AQ16+Model!AR16+Model!AP17+Model!AQ17+Model!AR17</f>
        <v>-834223</v>
      </c>
      <c r="P13" s="10" t="n">
        <f aca="false">Model!AS16+Model!AT16+Model!AU16+Model!AS17+Model!AT17+Model!AU17</f>
        <v>-834223</v>
      </c>
      <c r="Q13" s="10" t="n">
        <f aca="false">Model!AV16+Model!AW16+Model!AX16+Model!AV17+Model!AW17+Model!AX17</f>
        <v>-834223</v>
      </c>
      <c r="R13" s="10" t="n">
        <f aca="false">Model!AY16+Model!AZ16+Model!BA16+Model!AY17+Model!AZ17+Model!BA17</f>
        <v>-834223</v>
      </c>
      <c r="S13" s="10" t="n">
        <f aca="false">Model!BB16+Model!BC16+Model!BD16+Model!BB17+Model!BC17+Model!BD17</f>
        <v>-834223</v>
      </c>
      <c r="T13" s="10" t="n">
        <f aca="false">Model!BE16+Model!BF16+Model!BG16+Model!BE17+Model!BF17+Model!BG17</f>
        <v>-834223</v>
      </c>
      <c r="U13" s="10" t="n">
        <f aca="false">Model!BH16+Model!BI16+Model!BJ16+Model!BH17+Model!BI17+Model!BJ17</f>
        <v>-834223</v>
      </c>
      <c r="V13" s="10" t="n">
        <f aca="false">Model!BK16+Model!BL16+Model!BM16+Model!BK17+Model!BL17+Model!BM17</f>
        <v>-834223</v>
      </c>
      <c r="W13" s="10" t="n">
        <f aca="false">Model!BN16+Model!BO16+Model!BP16+Model!BN17+Model!BO17+Model!BP17</f>
        <v>-834223</v>
      </c>
      <c r="X13" s="10" t="n">
        <f aca="false">Model!BQ16+Model!BR16+Model!BS16+Model!BQ17+Model!BR17+Model!BS17</f>
        <v>-834223</v>
      </c>
      <c r="Y13" s="10" t="n">
        <f aca="false">Model!BT16+Model!BU16+Model!BV16+Model!BT17+Model!BU17+Model!BV17</f>
        <v>-834223</v>
      </c>
      <c r="Z13" s="10" t="n">
        <f aca="false">Model!BW16+Model!BX16+Model!BY16+Model!BW17+Model!BX17+Model!BY17</f>
        <v>-834223</v>
      </c>
      <c r="AA13" s="10" t="n">
        <f aca="false">Model!BZ16+Model!CA16+Model!CB16+Model!BZ17+Model!CA17+Model!CB17</f>
        <v>-834223</v>
      </c>
      <c r="AB13" s="10" t="n">
        <f aca="false">Model!CC16+Model!CD16+Model!CE16+Model!CC17+Model!CD17+Model!CE17</f>
        <v>-834223</v>
      </c>
      <c r="AC13" s="10" t="n">
        <f aca="false">Model!CF16+Model!CG16+Model!CH16+Model!CF17+Model!CG17+Model!CH17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-1540963.44353333</v>
      </c>
      <c r="D15" s="12" t="n">
        <f aca="false">Model!I39+Model!J39+Model!K39</f>
        <v>-1610564.389</v>
      </c>
      <c r="E15" s="12" t="n">
        <f aca="false">Model!L39+Model!M39+Model!N39</f>
        <v>-1235132.345</v>
      </c>
      <c r="F15" s="12" t="n">
        <f aca="false">Model!O39+Model!P39+Model!Q39</f>
        <v>-2714320.5569</v>
      </c>
      <c r="G15" s="12" t="n">
        <f aca="false">Model!R39+Model!S39+Model!T39</f>
        <v>-1736499.1019</v>
      </c>
      <c r="H15" s="12" t="n">
        <f aca="false">Model!U39+Model!V39+Model!W39</f>
        <v>-1736499.1019</v>
      </c>
      <c r="I15" s="12" t="n">
        <f aca="false">Model!X39+Model!Y39+Model!Z39</f>
        <v>-1243150.5319</v>
      </c>
      <c r="J15" s="12" t="n">
        <f aca="false">Model!AA39+Model!AB39+Model!AC39</f>
        <v>-2595354.622538</v>
      </c>
      <c r="K15" s="12" t="n">
        <f aca="false">Model!AD39+Model!AE39+Model!AF39</f>
        <v>-1251329.082538</v>
      </c>
      <c r="L15" s="12" t="n">
        <f aca="false">Model!AG39+Model!AH39+Model!AI39</f>
        <v>-1251329.082538</v>
      </c>
      <c r="M15" s="12" t="n">
        <f aca="false">Model!AJ39+Model!AK39+Model!AL39</f>
        <v>-1251329.082538</v>
      </c>
      <c r="N15" s="12" t="n">
        <f aca="false">Model!AM39+Model!AN39+Model!AO39</f>
        <v>-1259671.20418876</v>
      </c>
      <c r="O15" s="12" t="n">
        <f aca="false">Model!AP39+Model!AQ39+Model!AR39</f>
        <v>-1259671.20418876</v>
      </c>
      <c r="P15" s="12" t="n">
        <f aca="false">Model!AS39+Model!AT39+Model!AU39</f>
        <v>-1259671.20418876</v>
      </c>
      <c r="Q15" s="12" t="n">
        <f aca="false">Model!AV39+Model!AW39+Model!AX39</f>
        <v>-1259671.20418876</v>
      </c>
      <c r="R15" s="12" t="n">
        <f aca="false">Model!AY39+Model!AZ39+Model!BA39</f>
        <v>-1268180.16827254</v>
      </c>
      <c r="S15" s="12" t="n">
        <f aca="false">Model!BB39+Model!BC39+Model!BD39</f>
        <v>-1268180.16827254</v>
      </c>
      <c r="T15" s="12" t="n">
        <f aca="false">Model!BE39+Model!BF39+Model!BG39</f>
        <v>-1268180.16827254</v>
      </c>
      <c r="U15" s="12" t="n">
        <f aca="false">Model!BH39+Model!BI39+Model!BJ39</f>
        <v>-1268180.16827254</v>
      </c>
      <c r="V15" s="12" t="n">
        <f aca="false">Model!BK39+Model!BL39+Model!BM39</f>
        <v>-1276859.31163799</v>
      </c>
      <c r="W15" s="12" t="n">
        <f aca="false">Model!BN39+Model!BO39+Model!BP39</f>
        <v>-1276859.31163799</v>
      </c>
      <c r="X15" s="12" t="n">
        <f aca="false">Model!BQ39+Model!BR39+Model!BS39</f>
        <v>-1276859.31163799</v>
      </c>
      <c r="Y15" s="12" t="n">
        <f aca="false">Model!BT39+Model!BU39+Model!BV39</f>
        <v>-1276859.31163799</v>
      </c>
      <c r="Z15" s="12" t="n">
        <f aca="false">Model!BW39+Model!BX39+Model!BY39</f>
        <v>-1285712.03787075</v>
      </c>
      <c r="AA15" s="12" t="n">
        <f aca="false">Model!BZ39+Model!CA39+Model!CB39</f>
        <v>-1285712.03787075</v>
      </c>
      <c r="AB15" s="12" t="n">
        <f aca="false">Model!CC39+Model!CD39+Model!CE39</f>
        <v>-1285712.03787075</v>
      </c>
      <c r="AC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886360.550912151</v>
      </c>
      <c r="D16" s="16" t="n">
        <f aca="false">Model!I41+Model!J41+Model!K41</f>
        <v>1585462.67735732</v>
      </c>
      <c r="E16" s="16" t="n">
        <f aca="false">Model!L41+Model!M41+Model!N41</f>
        <v>1278900.74743162</v>
      </c>
      <c r="F16" s="16" t="n">
        <f aca="false">Model!O41+Model!P41+Model!Q41</f>
        <v>1046342.27118205</v>
      </c>
      <c r="G16" s="16" t="n">
        <f aca="false">Model!R41+Model!S41+Model!T41</f>
        <v>1162492.10769906</v>
      </c>
      <c r="H16" s="16" t="n">
        <f aca="false">Model!U41+Model!V41+Model!W41</f>
        <v>1142203.32380392</v>
      </c>
      <c r="I16" s="16" t="n">
        <f aca="false">Model!X41+Model!Y41+Model!Z41</f>
        <v>1334442.86852757</v>
      </c>
      <c r="J16" s="16" t="n">
        <f aca="false">Model!AA41+Model!AB41+Model!AC41</f>
        <v>255616.891730455</v>
      </c>
      <c r="K16" s="16" t="n">
        <f aca="false">Model!AD41+Model!AE41+Model!AF41</f>
        <v>862824.632108072</v>
      </c>
      <c r="L16" s="16" t="n">
        <f aca="false">Model!AG41+Model!AH41+Model!AI41</f>
        <v>1056580.16533849</v>
      </c>
      <c r="M16" s="16" t="n">
        <f aca="false">Model!AJ41+Model!AK41+Model!AL41</f>
        <v>328520.910937821</v>
      </c>
      <c r="N16" s="16" t="n">
        <f aca="false">Model!AM41+Model!AN41+Model!AO41</f>
        <v>-156597.912023077</v>
      </c>
      <c r="O16" s="16" t="n">
        <f aca="false">Model!AP41+Model!AQ41+Model!AR41</f>
        <v>-88462.4917299846</v>
      </c>
      <c r="P16" s="16" t="n">
        <f aca="false">Model!AS41+Model!AT41+Model!AU41</f>
        <v>-749283.983818546</v>
      </c>
      <c r="Q16" s="16" t="n">
        <f aca="false">Model!AV41+Model!AW41+Model!AX41</f>
        <v>-777947.476751618</v>
      </c>
      <c r="R16" s="16" t="n">
        <f aca="false">Model!AY41+Model!AZ41+Model!BA41</f>
        <v>-829091.018836036</v>
      </c>
      <c r="S16" s="16" t="n">
        <f aca="false">Model!BB41+Model!BC41+Model!BD41</f>
        <v>-876468.72473075</v>
      </c>
      <c r="T16" s="16" t="n">
        <f aca="false">Model!BE41+Model!BF41+Model!BG41</f>
        <v>-796900.174957988</v>
      </c>
      <c r="U16" s="16" t="n">
        <f aca="false">Model!BH41+Model!BI41+Model!BJ41</f>
        <v>-1268180.16827254</v>
      </c>
      <c r="V16" s="16" t="n">
        <f aca="false">Model!BK41+Model!BL41+Model!BM41</f>
        <v>-1276859.31163799</v>
      </c>
      <c r="W16" s="16" t="n">
        <f aca="false">Model!BN41+Model!BO41+Model!BP41</f>
        <v>-1276859.31163799</v>
      </c>
      <c r="X16" s="16" t="n">
        <f aca="false">Model!BQ41+Model!BR41+Model!BS41</f>
        <v>-1276859.31163799</v>
      </c>
      <c r="Y16" s="16" t="n">
        <f aca="false">Model!BT41+Model!BU41+Model!BV41</f>
        <v>-1276859.31163799</v>
      </c>
      <c r="Z16" s="16" t="n">
        <f aca="false">Model!BW41+Model!BX41+Model!BY41</f>
        <v>-1285712.03787075</v>
      </c>
      <c r="AA16" s="16" t="n">
        <f aca="false">Model!BZ41+Model!CA41+Model!CB41</f>
        <v>-1285712.03787075</v>
      </c>
      <c r="AB16" s="16" t="n">
        <f aca="false">Model!CC41+Model!CD41+Model!CE41</f>
        <v>-1285712.03787075</v>
      </c>
      <c r="AC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0.365159555518932</v>
      </c>
      <c r="D17" s="17" t="n">
        <f aca="false">IF((Model!I12+Model!J12+Model!K12)&lt;&gt;0,(Model!I41+Model!J41+Model!K41)/(Model!I12+Model!J12+Model!K12),0)</f>
        <v>0.496072981998978</v>
      </c>
      <c r="E17" s="17" t="n">
        <f aca="false">IF((Model!L12+Model!M12+Model!N12)&lt;&gt;0,(Model!L41+Model!M41+Model!N41)/(Model!L12+Model!M12+Model!N12),0)</f>
        <v>0.508704818278523</v>
      </c>
      <c r="F17" s="17" t="n">
        <f aca="false">IF((Model!O12+Model!P12+Model!Q12)&lt;&gt;0,(Model!O41+Model!P41+Model!Q41)/(Model!O12+Model!P12+Model!Q12),0)</f>
        <v>0.278233470804318</v>
      </c>
      <c r="G17" s="17" t="n">
        <f aca="false">IF((Model!R12+Model!S12+Model!T12)&lt;&gt;0,(Model!R41+Model!S41+Model!T41)/(Model!R12+Model!S12+Model!T12),0)</f>
        <v>0.400998838440713</v>
      </c>
      <c r="H17" s="17" t="n">
        <f aca="false">IF((Model!U12+Model!V12+Model!W12)&lt;&gt;0,(Model!U41+Model!V41+Model!W41)/(Model!U12+Model!V12+Model!W12),0)</f>
        <v>0.396777142925642</v>
      </c>
      <c r="I17" s="17" t="n">
        <f aca="false">IF((Model!X12+Model!Y12+Model!Z12)&lt;&gt;0,(Model!X41+Model!Y41+Model!Z41)/(Model!X12+Model!Y12+Model!Z12),0)</f>
        <v>0.517708831930674</v>
      </c>
      <c r="J17" s="17" t="n">
        <f aca="false">IF((Model!AA12+Model!AB12+Model!AC12)&lt;&gt;0,(Model!AA41+Model!AB41+Model!AC41)/(Model!AA12+Model!AB12+Model!AC12),0)</f>
        <v>0.089659574096462</v>
      </c>
      <c r="K17" s="17" t="n">
        <f aca="false">IF((Model!AD12+Model!AE12+Model!AF12)&lt;&gt;0,(Model!AD41+Model!AE41+Model!AF41)/(Model!AD12+Model!AE12+Model!AF12),0)</f>
        <v>0.408118211145549</v>
      </c>
      <c r="L17" s="17" t="n">
        <f aca="false">IF((Model!AG12+Model!AH12+Model!AI12)&lt;&gt;0,(Model!AG41+Model!AH41+Model!AI41)/(Model!AG12+Model!AH12+Model!AI12),0)</f>
        <v>0.457808367599658</v>
      </c>
      <c r="M17" s="17" t="n">
        <f aca="false">IF((Model!AJ12+Model!AK12+Model!AL12)&lt;&gt;0,(Model!AJ41+Model!AK41+Model!AL41)/(Model!AJ12+Model!AK12+Model!AL12),0)</f>
        <v>0.207944369588561</v>
      </c>
      <c r="N17" s="17" t="n">
        <f aca="false">IF((Model!AM12+Model!AN12+Model!AO12)&lt;&gt;0,(Model!AM41+Model!AN41+Model!AO41)/(Model!AM12+Model!AN12+Model!AO12),0)</f>
        <v>-0.141965101625864</v>
      </c>
      <c r="O17" s="17" t="n">
        <f aca="false">IF((Model!AP12+Model!AQ12+Model!AR12)&lt;&gt;0,(Model!AP41+Model!AQ41+Model!AR41)/(Model!AP12+Model!AQ12+Model!AR12),0)</f>
        <v>-0.0755309372180736</v>
      </c>
      <c r="P17" s="17" t="n">
        <f aca="false">IF((Model!AS12+Model!AT12+Model!AU12)&lt;&gt;0,(Model!AS41+Model!AT41+Model!AU41)/(Model!AS12+Model!AT12+Model!AU12),0)</f>
        <v>-1.46806964185946</v>
      </c>
      <c r="Q17" s="17" t="n">
        <f aca="false">IF((Model!AV12+Model!AW12+Model!AX12)&lt;&gt;0,(Model!AV41+Model!AW41+Model!AX41)/(Model!AV12+Model!AW12+Model!AX12),0)</f>
        <v>-1.61492455621906</v>
      </c>
      <c r="R17" s="17" t="n">
        <f aca="false">IF((Model!AY12+Model!AZ12+Model!BA12)&lt;&gt;0,(Model!AY41+Model!AZ41+Model!BA41)/(Model!AY12+Model!AZ12+Model!BA12),0)</f>
        <v>-1.88820657467861</v>
      </c>
      <c r="S17" s="17" t="n">
        <f aca="false">IF((Model!BB12+Model!BC12+Model!BD12)&lt;&gt;0,(Model!BB41+Model!BC41+Model!BD41)/(Model!BB12+Model!BC12+Model!BD12),0)</f>
        <v>-2.23753668467246</v>
      </c>
      <c r="T17" s="17" t="n">
        <f aca="false">IF((Model!BE12+Model!BF12+Model!BG12)&lt;&gt;0,(Model!BE41+Model!BF41+Model!BG41)/(Model!BE12+Model!BF12+Model!BG12),0)</f>
        <v>-1.69092723277585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602051.2</v>
      </c>
      <c r="D19" s="19" t="n">
        <f aca="false">Model!I64+Model!J64+Model!K64</f>
        <v>180646.38</v>
      </c>
      <c r="E19" s="19" t="n">
        <f aca="false">Model!L64+Model!M64+Model!N64</f>
        <v>171271.38</v>
      </c>
      <c r="F19" s="19" t="n">
        <f aca="false">Model!O64+Model!P64+Model!Q64</f>
        <v>171271.38</v>
      </c>
      <c r="G19" s="19" t="n">
        <f aca="false">Model!R64+Model!S64+Model!T64</f>
        <v>99552.63</v>
      </c>
      <c r="H19" s="19" t="n">
        <f aca="false">Model!U64+Model!V64+Model!W64</f>
        <v>156927.63</v>
      </c>
      <c r="I19" s="19" t="n">
        <f aca="false">Model!X64+Model!Y64+Model!Z64</f>
        <v>144296.05</v>
      </c>
      <c r="J19" s="19" t="n">
        <f aca="false">Model!AA64+Model!AB64+Model!AC64</f>
        <v>85875</v>
      </c>
      <c r="K19" s="19" t="n">
        <f aca="false">Model!AD64+Model!AE64+Model!AF64</f>
        <v>28500</v>
      </c>
      <c r="L19" s="19" t="n">
        <f aca="false">Model!AG64+Model!AH64+Model!AI64</f>
        <v>0</v>
      </c>
      <c r="M19" s="19" t="n">
        <f aca="false">Model!AJ64+Model!AK64+Model!AL64</f>
        <v>0</v>
      </c>
      <c r="N19" s="19" t="n">
        <f aca="false">Model!AM64+Model!AN64+Model!AO64</f>
        <v>0</v>
      </c>
      <c r="O19" s="19" t="n">
        <f aca="false">Model!AP64+Model!AQ64+Model!AR64</f>
        <v>81683</v>
      </c>
      <c r="P19" s="19" t="n">
        <f aca="false">Model!AS64+Model!AT64+Model!AU64</f>
        <v>81682</v>
      </c>
      <c r="Q19" s="19" t="n">
        <f aca="false">Model!AV64+Model!AW64+Model!AX64</f>
        <v>81682</v>
      </c>
      <c r="R19" s="19" t="n">
        <f aca="false">Model!AY64+Model!AZ64+Model!BA64</f>
        <v>933521</v>
      </c>
      <c r="S19" s="19" t="n">
        <f aca="false">Model!BB64+Model!BC64+Model!BD64</f>
        <v>130878</v>
      </c>
      <c r="T19" s="19" t="n">
        <f aca="false">Model!BE64+Model!BF64+Model!BG64</f>
        <v>130876</v>
      </c>
      <c r="U19" s="19" t="n">
        <f aca="false">Model!BH64+Model!BI64+Model!BJ64</f>
        <v>130876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-664666.87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-62615.6699999999</v>
      </c>
      <c r="D21" s="16" t="n">
        <f aca="false">Model!I87+Model!J87+Model!K87</f>
        <v>-190797.37</v>
      </c>
      <c r="E21" s="16" t="n">
        <f aca="false">Model!L87+Model!M87+Model!N87</f>
        <v>-179172.37</v>
      </c>
      <c r="F21" s="16" t="n">
        <f aca="false">Model!O87+Model!P87+Model!Q87</f>
        <v>-186181.245</v>
      </c>
      <c r="G21" s="16" t="n">
        <f aca="false">Model!R87+Model!S87+Model!T87</f>
        <v>-281359.995</v>
      </c>
      <c r="H21" s="16" t="n">
        <f aca="false">Model!U87+Model!V87+Model!W87</f>
        <v>-221944.995</v>
      </c>
      <c r="I21" s="16" t="n">
        <f aca="false">Model!X87+Model!Y87+Model!Z87</f>
        <v>-213156.575</v>
      </c>
      <c r="J21" s="16" t="n">
        <f aca="false">Model!AA87+Model!AB87+Model!AC87</f>
        <v>-278726.6775</v>
      </c>
      <c r="K21" s="16" t="n">
        <f aca="false">Model!AD87+Model!AE87+Model!AF87</f>
        <v>-360030.8775</v>
      </c>
      <c r="L21" s="16" t="n">
        <f aca="false">Model!AG87+Model!AH87+Model!AI87</f>
        <v>-386450.0775</v>
      </c>
      <c r="M21" s="16" t="n">
        <f aca="false">Model!AJ87+Model!AK87+Model!AL87</f>
        <v>-364601.6775</v>
      </c>
      <c r="N21" s="16" t="n">
        <f aca="false">Model!AM87+Model!AN87+Model!AO87</f>
        <v>-371893.71105</v>
      </c>
      <c r="O21" s="16" t="n">
        <f aca="false">Model!AP87+Model!AQ87+Model!AR87</f>
        <v>-396301.49505</v>
      </c>
      <c r="P21" s="16" t="n">
        <f aca="false">Model!AS87+Model!AT87+Model!AU87</f>
        <v>-394179.07905</v>
      </c>
      <c r="Q21" s="16" t="n">
        <f aca="false">Model!AV87+Model!AW87+Model!AX87</f>
        <v>-371893.71105</v>
      </c>
      <c r="R21" s="16" t="n">
        <f aca="false">Model!AY87+Model!AZ87+Model!BA87</f>
        <v>-379331.585271</v>
      </c>
      <c r="S21" s="16" t="n">
        <f aca="false">Model!BB87+Model!BC87+Model!BD87</f>
        <v>-404227.524951</v>
      </c>
      <c r="T21" s="16" t="n">
        <f aca="false">Model!BE87+Model!BF87+Model!BG87</f>
        <v>-402062.660631</v>
      </c>
      <c r="U21" s="16" t="n">
        <f aca="false">Model!BH87+Model!BI87+Model!BJ87</f>
        <v>-379331.585271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823744.880912151</v>
      </c>
      <c r="D23" s="16" t="n">
        <f aca="false">Model!I96+Model!J96+Model!K96</f>
        <v>1394665.30735732</v>
      </c>
      <c r="E23" s="16" t="n">
        <f aca="false">Model!L96+Model!M96+Model!N96</f>
        <v>1099728.37743162</v>
      </c>
      <c r="F23" s="16" t="n">
        <f aca="false">Model!O96+Model!P96+Model!Q96</f>
        <v>860161.026182051</v>
      </c>
      <c r="G23" s="16" t="n">
        <f aca="false">Model!R96+Model!S96+Model!T96</f>
        <v>881132.112699063</v>
      </c>
      <c r="H23" s="16" t="n">
        <f aca="false">Model!U96+Model!V96+Model!W96</f>
        <v>920258.328803915</v>
      </c>
      <c r="I23" s="16" t="n">
        <f aca="false">Model!X96+Model!Y96+Model!Z96</f>
        <v>1121286.29352757</v>
      </c>
      <c r="J23" s="16" t="n">
        <f aca="false">Model!AA96+Model!AB96+Model!AC96</f>
        <v>-23109.7857695449</v>
      </c>
      <c r="K23" s="16" t="n">
        <f aca="false">Model!AD96+Model!AE96+Model!AF96</f>
        <v>502793.754608072</v>
      </c>
      <c r="L23" s="16" t="n">
        <f aca="false">Model!AG96+Model!AH96+Model!AI96</f>
        <v>670130.087838492</v>
      </c>
      <c r="M23" s="16" t="n">
        <f aca="false">Model!AJ96+Model!AK96+Model!AL96</f>
        <v>-36080.7665621789</v>
      </c>
      <c r="N23" s="16" t="n">
        <f aca="false">Model!AM96+Model!AN96+Model!AO96</f>
        <v>-528491.623073077</v>
      </c>
      <c r="O23" s="16" t="n">
        <f aca="false">Model!AP96+Model!AQ96+Model!AR96</f>
        <v>-484763.986779985</v>
      </c>
      <c r="P23" s="16" t="n">
        <f aca="false">Model!AS96+Model!AT96+Model!AU96</f>
        <v>-1143463.06286855</v>
      </c>
      <c r="Q23" s="16" t="n">
        <f aca="false">Model!AV96+Model!AW96+Model!AX96</f>
        <v>-1149841.18780162</v>
      </c>
      <c r="R23" s="16" t="n">
        <f aca="false">Model!AY96+Model!AZ96+Model!BA96</f>
        <v>-1208422.60410704</v>
      </c>
      <c r="S23" s="16" t="n">
        <f aca="false">Model!BB96+Model!BC96+Model!BD96</f>
        <v>-1280696.24968175</v>
      </c>
      <c r="T23" s="16" t="n">
        <f aca="false">Model!BE96+Model!BF96+Model!BG96</f>
        <v>-1198962.83558899</v>
      </c>
      <c r="U23" s="16" t="n">
        <f aca="false">Model!BH96+Model!BI96+Model!BJ96</f>
        <v>-1647511.75354354</v>
      </c>
      <c r="V23" s="16" t="n">
        <f aca="false">Model!BK96+Model!BL96+Model!BM96</f>
        <v>-1663777.52861441</v>
      </c>
      <c r="W23" s="16" t="n">
        <f aca="false">Model!BN96+Model!BO96+Model!BP96</f>
        <v>-1637657.86708801</v>
      </c>
      <c r="X23" s="16" t="n">
        <f aca="false">Model!BQ96+Model!BR96+Model!BS96</f>
        <v>-1619201.22548161</v>
      </c>
      <c r="Y23" s="16" t="n">
        <f aca="false">Model!BT96+Model!BU96+Model!BV96</f>
        <v>-1596015.52861441</v>
      </c>
      <c r="Z23" s="16" t="n">
        <f aca="false">Model!BW96+Model!BX96+Model!BY96</f>
        <v>-1612606.61918669</v>
      </c>
      <c r="AA23" s="16" t="n">
        <f aca="false">Model!BZ96+Model!CA96+Model!CB96</f>
        <v>-1629771.35482977</v>
      </c>
      <c r="AB23" s="16" t="n">
        <f aca="false">Model!CC96+Model!CD96+Model!CE96</f>
        <v>-1627519.02999124</v>
      </c>
      <c r="AC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-171223.12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-120000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-250000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250000</v>
      </c>
      <c r="N36" s="10" t="n">
        <f aca="false">Model!AO108</f>
        <v>250000</v>
      </c>
      <c r="O36" s="10" t="n">
        <f aca="false">Model!AR108</f>
        <v>250000</v>
      </c>
      <c r="P36" s="10" t="n">
        <f aca="false">Model!AU108</f>
        <v>250000</v>
      </c>
      <c r="Q36" s="10" t="n">
        <f aca="false">Model!AX108</f>
        <v>250000</v>
      </c>
      <c r="R36" s="10" t="n">
        <f aca="false">Model!BA108</f>
        <v>250000</v>
      </c>
      <c r="S36" s="10" t="n">
        <f aca="false">Model!BD108</f>
        <v>250000</v>
      </c>
      <c r="T36" s="10" t="n">
        <f aca="false">Model!BG108</f>
        <v>250000</v>
      </c>
      <c r="U36" s="10" t="n">
        <f aca="false">Model!BJ108</f>
        <v>250000</v>
      </c>
      <c r="V36" s="10" t="n">
        <f aca="false">Model!BM108</f>
        <v>250000</v>
      </c>
      <c r="W36" s="10" t="n">
        <f aca="false">Model!BP108</f>
        <v>250000</v>
      </c>
      <c r="X36" s="10" t="n">
        <f aca="false">Model!BS108</f>
        <v>250000</v>
      </c>
      <c r="Y36" s="10" t="n">
        <f aca="false">Model!BV108</f>
        <v>250000</v>
      </c>
      <c r="Z36" s="10" t="n">
        <f aca="false">Model!BY108</f>
        <v>250000</v>
      </c>
      <c r="AA36" s="10" t="n">
        <f aca="false">Model!CB108</f>
        <v>250000</v>
      </c>
      <c r="AB36" s="10" t="n">
        <f aca="false">Model!CE108</f>
        <v>250000</v>
      </c>
      <c r="AC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2701138.11084195</v>
      </c>
      <c r="D42" s="21" t="n">
        <f aca="false">Model!K148</f>
        <v>4286600.78819928</v>
      </c>
      <c r="E42" s="21" t="n">
        <f aca="false">Model!N148</f>
        <v>5565501.5356309</v>
      </c>
      <c r="F42" s="21" t="n">
        <f aca="false">Model!Q148</f>
        <v>6611843.80681295</v>
      </c>
      <c r="G42" s="21" t="n">
        <f aca="false">Model!T148</f>
        <v>7774335.91451202</v>
      </c>
      <c r="H42" s="21" t="n">
        <f aca="false">Model!W148</f>
        <v>8916539.23831593</v>
      </c>
      <c r="I42" s="21" t="n">
        <f aca="false">Model!Z148</f>
        <v>10250982.1068435</v>
      </c>
      <c r="J42" s="21" t="n">
        <f aca="false">Model!AC148</f>
        <v>10506598.998574</v>
      </c>
      <c r="K42" s="21" t="n">
        <f aca="false">Model!AF148</f>
        <v>11369423.630682</v>
      </c>
      <c r="L42" s="21" t="n">
        <f aca="false">Model!AI148</f>
        <v>12426003.7960205</v>
      </c>
      <c r="M42" s="21" t="n">
        <f aca="false">Model!AL148</f>
        <v>12754524.7069583</v>
      </c>
      <c r="N42" s="21" t="n">
        <f aca="false">Model!AO148</f>
        <v>12597926.7949353</v>
      </c>
      <c r="O42" s="21" t="n">
        <f aca="false">Model!AR148</f>
        <v>12509464.3032053</v>
      </c>
      <c r="P42" s="21" t="n">
        <f aca="false">Model!AU148</f>
        <v>11760180.3193867</v>
      </c>
      <c r="Q42" s="21" t="n">
        <f aca="false">Model!AX148</f>
        <v>10982232.8426351</v>
      </c>
      <c r="R42" s="21" t="n">
        <f aca="false">Model!BA148</f>
        <v>10153141.8237991</v>
      </c>
      <c r="S42" s="21" t="n">
        <f aca="false">Model!BD148</f>
        <v>9276673.09906833</v>
      </c>
      <c r="T42" s="21" t="n">
        <f aca="false">Model!BG148</f>
        <v>8479772.92411034</v>
      </c>
      <c r="U42" s="21" t="n">
        <f aca="false">Model!BJ148</f>
        <v>7211592.75583781</v>
      </c>
      <c r="V42" s="21" t="n">
        <f aca="false">Model!BM148</f>
        <v>5934733.44419982</v>
      </c>
      <c r="W42" s="21" t="n">
        <f aca="false">Model!BP148</f>
        <v>4657874.13256183</v>
      </c>
      <c r="X42" s="21" t="n">
        <f aca="false">Model!BS148</f>
        <v>3381014.82092385</v>
      </c>
      <c r="Y42" s="21" t="n">
        <f aca="false">Model!BV148</f>
        <v>2104155.50928586</v>
      </c>
      <c r="Z42" s="21" t="n">
        <f aca="false">Model!BY148</f>
        <v>818443.471415116</v>
      </c>
      <c r="AA42" s="21" t="n">
        <f aca="false">Model!CB148</f>
        <v>-467268.56645563</v>
      </c>
      <c r="AB42" s="21" t="n">
        <f aca="false">Model!CE148</f>
        <v>-1752980.60432638</v>
      </c>
      <c r="AC42" s="21" t="n">
        <f aca="false">Model!CH148</f>
        <v>-3038692.64219712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169415.48</v>
      </c>
      <c r="D43" s="21" t="n">
        <f aca="false">Model!K156</f>
        <v>-411381.89</v>
      </c>
      <c r="E43" s="21" t="n">
        <f aca="false">Model!N156</f>
        <v>-1230554.26</v>
      </c>
      <c r="F43" s="21" t="n">
        <f aca="false">Model!Q156</f>
        <v>-1806735.505</v>
      </c>
      <c r="G43" s="21" t="n">
        <f aca="false">Model!T156</f>
        <v>-2478095.5</v>
      </c>
      <c r="H43" s="21" t="n">
        <f aca="false">Model!W156</f>
        <v>-3026009.73828545</v>
      </c>
      <c r="I43" s="21" t="n">
        <f aca="false">Model!Z156</f>
        <v>-3489166.31328545</v>
      </c>
      <c r="J43" s="21" t="n">
        <f aca="false">Model!AC156</f>
        <v>-3767892.99078545</v>
      </c>
      <c r="K43" s="21" t="n">
        <f aca="false">Model!AF156</f>
        <v>-4127923.86828545</v>
      </c>
      <c r="L43" s="21" t="n">
        <f aca="false">Model!AI156</f>
        <v>-4514373.94578545</v>
      </c>
      <c r="M43" s="21" t="n">
        <f aca="false">Model!AL156</f>
        <v>-5128975.62328545</v>
      </c>
      <c r="N43" s="21" t="n">
        <f aca="false">Model!AO156</f>
        <v>-5500869.33433545</v>
      </c>
      <c r="O43" s="21" t="n">
        <f aca="false">Model!AR156</f>
        <v>-5897170.82938544</v>
      </c>
      <c r="P43" s="21" t="n">
        <f aca="false">Model!AU156</f>
        <v>-6291349.90843544</v>
      </c>
      <c r="Q43" s="21" t="n">
        <f aca="false">Model!AX156</f>
        <v>-6663243.61948544</v>
      </c>
      <c r="R43" s="21" t="n">
        <f aca="false">Model!BA156</f>
        <v>-7042575.20475644</v>
      </c>
      <c r="S43" s="21" t="n">
        <f aca="false">Model!BD156</f>
        <v>-7446802.72970744</v>
      </c>
      <c r="T43" s="21" t="n">
        <f aca="false">Model!BG156</f>
        <v>-7848865.39033844</v>
      </c>
      <c r="U43" s="21" t="n">
        <f aca="false">Model!BJ156</f>
        <v>-8228196.97560944</v>
      </c>
      <c r="V43" s="21" t="n">
        <f aca="false">Model!BM156</f>
        <v>-8615115.19258586</v>
      </c>
      <c r="W43" s="21" t="n">
        <f aca="false">Model!BP156</f>
        <v>-8975913.74803588</v>
      </c>
      <c r="X43" s="21" t="n">
        <f aca="false">Model!BS156</f>
        <v>-9318255.6618795</v>
      </c>
      <c r="Y43" s="21" t="n">
        <f aca="false">Model!BV156</f>
        <v>-9637411.87885592</v>
      </c>
      <c r="Z43" s="21" t="n">
        <f aca="false">Model!BY156</f>
        <v>-9964306.46017187</v>
      </c>
      <c r="AA43" s="21" t="n">
        <f aca="false">Model!CB156</f>
        <v>-10308365.7771309</v>
      </c>
      <c r="AB43" s="21" t="n">
        <f aca="false">Model!CE156</f>
        <v>-10650172.7692514</v>
      </c>
      <c r="AC43" s="21" t="n">
        <f aca="false">Model!CH156</f>
        <v>-10961722.3239608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-648501.614459783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-1128383.953535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-681330.105061377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2870553.59084195</v>
      </c>
      <c r="D45" s="23" t="n">
        <f aca="false">Model!K161</f>
        <v>3875218.89819928</v>
      </c>
      <c r="E45" s="23" t="n">
        <f aca="false">Model!N161</f>
        <v>3686445.66117112</v>
      </c>
      <c r="F45" s="23" t="n">
        <f aca="false">Model!Q161</f>
        <v>4805108.30181295</v>
      </c>
      <c r="G45" s="23" t="n">
        <f aca="false">Model!T161</f>
        <v>5296240.41451202</v>
      </c>
      <c r="H45" s="23" t="n">
        <f aca="false">Model!W161</f>
        <v>5890529.50003049</v>
      </c>
      <c r="I45" s="23" t="n">
        <f aca="false">Model!Z161</f>
        <v>5633431.84002306</v>
      </c>
      <c r="J45" s="23" t="n">
        <f aca="false">Model!AC161</f>
        <v>6738706.00778851</v>
      </c>
      <c r="K45" s="23" t="n">
        <f aca="false">Model!AF161</f>
        <v>7241499.76239658</v>
      </c>
      <c r="L45" s="23" t="n">
        <f aca="false">Model!AI161</f>
        <v>7911629.85023508</v>
      </c>
      <c r="M45" s="23" t="n">
        <f aca="false">Model!AL161</f>
        <v>6944218.97861152</v>
      </c>
      <c r="N45" s="23" t="n">
        <f aca="false">Model!AO161</f>
        <v>7097057.46059982</v>
      </c>
      <c r="O45" s="23" t="n">
        <f aca="false">Model!AR161</f>
        <v>6612293.47381984</v>
      </c>
      <c r="P45" s="23" t="n">
        <f aca="false">Model!AU161</f>
        <v>5468830.41095129</v>
      </c>
      <c r="Q45" s="23" t="n">
        <f aca="false">Model!AX161</f>
        <v>4318989.22314968</v>
      </c>
      <c r="R45" s="23" t="n">
        <f aca="false">Model!BA161</f>
        <v>3110566.61904264</v>
      </c>
      <c r="S45" s="23" t="n">
        <f aca="false">Model!BD161</f>
        <v>1829870.36936089</v>
      </c>
      <c r="T45" s="23" t="n">
        <f aca="false">Model!BG161</f>
        <v>630907.533771901</v>
      </c>
      <c r="U45" s="23" t="n">
        <f aca="false">Model!BJ161</f>
        <v>-1016604.21977163</v>
      </c>
      <c r="V45" s="23" t="n">
        <f aca="false">Model!BM161</f>
        <v>-2680381.74838604</v>
      </c>
      <c r="W45" s="23" t="n">
        <f aca="false">Model!BP161</f>
        <v>-4318039.61547405</v>
      </c>
      <c r="X45" s="23" t="n">
        <f aca="false">Model!BS161</f>
        <v>-5937240.84095566</v>
      </c>
      <c r="Y45" s="23" t="n">
        <f aca="false">Model!BV161</f>
        <v>-7533256.36957006</v>
      </c>
      <c r="Z45" s="23" t="n">
        <f aca="false">Model!BY161</f>
        <v>-9145862.98875675</v>
      </c>
      <c r="AA45" s="23" t="n">
        <f aca="false">Model!CB161</f>
        <v>-10775634.3435865</v>
      </c>
      <c r="AB45" s="23" t="n">
        <f aca="false">Model!CE161</f>
        <v>-12403153.3735778</v>
      </c>
      <c r="AC45" s="23" t="n">
        <f aca="false">Model!CH161</f>
        <v>-14000414.966158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266611.58</v>
      </c>
      <c r="H14" s="68" t="n">
        <f aca="false">Model!H54+Model!H55+Model!H56</f>
        <v>12631.58</v>
      </c>
      <c r="I14" s="68" t="n">
        <f aca="false">Model!I54+Model!I55+Model!I56</f>
        <v>12631.58</v>
      </c>
      <c r="J14" s="68" t="n">
        <f aca="false">Model!J54+Model!J55+Model!J56</f>
        <v>12631.58</v>
      </c>
      <c r="K14" s="68" t="n">
        <f aca="false">Model!K54+Model!K55+Model!K56</f>
        <v>12631.58</v>
      </c>
      <c r="L14" s="68" t="n">
        <f aca="false">Model!L54+Model!L55+Model!L56</f>
        <v>12631.58</v>
      </c>
      <c r="M14" s="68" t="n">
        <f aca="false">Model!M54+Model!M55+Model!M56</f>
        <v>12631.58</v>
      </c>
      <c r="N14" s="68" t="n">
        <f aca="false">Model!N54+Model!N55+Model!N56</f>
        <v>12631.58</v>
      </c>
      <c r="O14" s="68" t="n">
        <f aca="false">Model!O54+Model!O55+Model!O56</f>
        <v>12631.58</v>
      </c>
      <c r="P14" s="68" t="n">
        <f aca="false">Model!P54+Model!P55+Model!P56</f>
        <v>12631.58</v>
      </c>
      <c r="Q14" s="68" t="n">
        <f aca="false">Model!Q54+Model!Q55+Model!Q56</f>
        <v>12631.58</v>
      </c>
      <c r="R14" s="68" t="n">
        <f aca="false">Model!R54+Model!R55+Model!R56</f>
        <v>12631.58</v>
      </c>
      <c r="S14" s="68" t="n">
        <f aca="false">Model!S54+Model!S55+Model!S56</f>
        <v>12631.58</v>
      </c>
      <c r="T14" s="68" t="n">
        <f aca="false">Model!T54+Model!T55+Model!T56</f>
        <v>12631.58</v>
      </c>
      <c r="U14" s="68" t="n">
        <f aca="false">Model!U54+Model!U55+Model!U56</f>
        <v>12631.58</v>
      </c>
      <c r="V14" s="68" t="n">
        <f aca="false">Model!V54+Model!V55+Model!V56</f>
        <v>12631.58</v>
      </c>
      <c r="W14" s="68" t="n">
        <f aca="false">Model!W54+Model!W55+Model!W56</f>
        <v>12631.58</v>
      </c>
      <c r="X14" s="68" t="n">
        <f aca="false">Model!X54+Model!X55+Model!X56</f>
        <v>12631.58</v>
      </c>
      <c r="Y14" s="68" t="n">
        <f aca="false">Model!Y54+Model!Y55+Model!Y56</f>
        <v>12631.58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192797.63</v>
      </c>
      <c r="I20" s="68" t="n">
        <f aca="false">Model!I57+Model!I58+Model!I59</f>
        <v>11052.63</v>
      </c>
      <c r="J20" s="68" t="n">
        <f aca="false">Model!J57+Model!J58+Model!J59</f>
        <v>11052.63</v>
      </c>
      <c r="K20" s="68" t="n">
        <f aca="false">Model!K57+Model!K58+Model!K59</f>
        <v>11052.63</v>
      </c>
      <c r="L20" s="68" t="n">
        <f aca="false">Model!L57+Model!L58+Model!L59</f>
        <v>11052.63</v>
      </c>
      <c r="M20" s="68" t="n">
        <f aca="false">Model!M57+Model!M58+Model!M59</f>
        <v>11052.63</v>
      </c>
      <c r="N20" s="68" t="n">
        <f aca="false">Model!N57+Model!N58+Model!N59</f>
        <v>11052.63</v>
      </c>
      <c r="O20" s="68" t="n">
        <f aca="false">Model!O57+Model!O58+Model!O59</f>
        <v>11052.63</v>
      </c>
      <c r="P20" s="68" t="n">
        <f aca="false">Model!P57+Model!P58+Model!P59</f>
        <v>11052.63</v>
      </c>
      <c r="Q20" s="68" t="n">
        <f aca="false">Model!Q57+Model!Q58+Model!Q59</f>
        <v>11052.63</v>
      </c>
      <c r="R20" s="68" t="n">
        <f aca="false">Model!R57+Model!R58+Model!R59</f>
        <v>11052.63</v>
      </c>
      <c r="S20" s="68" t="n">
        <f aca="false">Model!S57+Model!S58+Model!S59</f>
        <v>11052.63</v>
      </c>
      <c r="T20" s="68" t="n">
        <f aca="false">Model!T57+Model!T58+Model!T59</f>
        <v>11052.63</v>
      </c>
      <c r="U20" s="68" t="n">
        <f aca="false">Model!U57+Model!U58+Model!U59</f>
        <v>11052.63</v>
      </c>
      <c r="V20" s="68" t="n">
        <f aca="false">Model!V57+Model!V58+Model!V59</f>
        <v>11052.63</v>
      </c>
      <c r="W20" s="68" t="n">
        <f aca="false">Model!W57+Model!W58+Model!W59</f>
        <v>11052.63</v>
      </c>
      <c r="X20" s="68" t="n">
        <f aca="false">Model!X57+Model!X58+Model!X59</f>
        <v>11052.63</v>
      </c>
      <c r="Y20" s="68" t="n">
        <f aca="false">Model!Y57+Model!Y58+Model!Y59</f>
        <v>11052.63</v>
      </c>
      <c r="Z20" s="68" t="n">
        <f aca="false">Model!Z57+Model!Z58+Model!Z59</f>
        <v>11052.63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-4201716.42753333</v>
      </c>
      <c r="C42" s="89" t="n">
        <f aca="false">'Annual Summary'!C15</f>
        <v>-7422451.1057</v>
      </c>
      <c r="D42" s="89" t="n">
        <f aca="false">'Annual Summary'!D15</f>
        <v>-6341163.319514</v>
      </c>
      <c r="E42" s="89" t="n">
        <f aca="false">'Annual Summary'!E15</f>
        <v>-5030342.69510428</v>
      </c>
      <c r="F42" s="89" t="n">
        <f aca="false">'Annual Summary'!F15</f>
        <v>-5064211.70900637</v>
      </c>
      <c r="G42" s="89" t="n">
        <f aca="false">'Annual Summary'!G15</f>
        <v>-5098758.1031865</v>
      </c>
      <c r="H42" s="89" t="n">
        <f aca="false">'Annual Summary'!H15</f>
        <v>-5133995.42525022</v>
      </c>
      <c r="I42" s="89" t="n">
        <f aca="false">'Annual Summary'!I15</f>
        <v>-1285712.03787075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2634685.09819928</v>
      </c>
      <c r="C43" s="77" t="n">
        <f aca="false">'Annual Summary'!C16</f>
        <v>4629938.45011665</v>
      </c>
      <c r="D43" s="77" t="n">
        <f aca="false">'Annual Summary'!D16</f>
        <v>3509464.55770459</v>
      </c>
      <c r="E43" s="77" t="n">
        <f aca="false">'Annual Summary'!E16</f>
        <v>-665823.476633787</v>
      </c>
      <c r="F43" s="77" t="n">
        <f aca="false">'Annual Summary'!F16</f>
        <v>-3280407.39527639</v>
      </c>
      <c r="G43" s="77" t="n">
        <f aca="false">'Annual Summary'!G16</f>
        <v>-5098758.1031865</v>
      </c>
      <c r="H43" s="77" t="n">
        <f aca="false">'Annual Summary'!H16</f>
        <v>-5133995.42525022</v>
      </c>
      <c r="I43" s="77" t="n">
        <f aca="false">'Annual Summary'!I16</f>
        <v>-1285712.03787075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-1386554.37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-411381.89</v>
      </c>
      <c r="C50" s="91" t="n">
        <f aca="false">'Annual Summary'!C43</f>
        <v>-3026009.73828545</v>
      </c>
      <c r="D50" s="91" t="n">
        <f aca="false">'Annual Summary'!D43</f>
        <v>-4514373.94578545</v>
      </c>
      <c r="E50" s="91" t="n">
        <f aca="false">'Annual Summary'!E43</f>
        <v>-6291349.90843544</v>
      </c>
      <c r="F50" s="91" t="n">
        <f aca="false">'Annual Summary'!F43</f>
        <v>-7848865.39033844</v>
      </c>
      <c r="G50" s="91" t="n">
        <f aca="false">'Annual Summary'!G43</f>
        <v>-9318255.6618795</v>
      </c>
      <c r="H50" s="91" t="n">
        <f aca="false">'Annual Summary'!H43</f>
        <v>-10650172.7692514</v>
      </c>
      <c r="I50" s="91" t="n">
        <f aca="false">'Annual Summary'!I43</f>
        <v>-10961722.3239608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4286600.78819928</v>
      </c>
      <c r="C52" s="91" t="n">
        <f aca="false">'Annual Summary'!C42</f>
        <v>8916539.23831593</v>
      </c>
      <c r="D52" s="91" t="n">
        <f aca="false">'Annual Summary'!D42</f>
        <v>12426003.7960205</v>
      </c>
      <c r="E52" s="91" t="n">
        <f aca="false">'Annual Summary'!E42</f>
        <v>11760180.3193867</v>
      </c>
      <c r="F52" s="91" t="n">
        <f aca="false">'Annual Summary'!F42</f>
        <v>8479772.92411034</v>
      </c>
      <c r="G52" s="91" t="n">
        <f aca="false">'Annual Summary'!G42</f>
        <v>3381014.82092385</v>
      </c>
      <c r="H52" s="91" t="n">
        <f aca="false">'Annual Summary'!H42</f>
        <v>-1752980.60432638</v>
      </c>
      <c r="I52" s="91" t="n">
        <f aca="false">'Annual Summary'!I42</f>
        <v>-3038692.64219712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4286600.78819928</v>
      </c>
      <c r="C71" s="81" t="n">
        <f aca="false">'Annual Summary'!C42</f>
        <v>8916539.23831593</v>
      </c>
      <c r="D71" s="81" t="n">
        <f aca="false">'Annual Summary'!E42</f>
        <v>11760180.3193867</v>
      </c>
      <c r="E71" s="81" t="n">
        <f aca="false">'Annual Summary'!G42</f>
        <v>3381014.82092385</v>
      </c>
      <c r="F71" s="81" t="n">
        <f aca="false">'Annual Summary'!I42</f>
        <v>-3038692.64219712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-411381.89</v>
      </c>
      <c r="C72" s="97" t="n">
        <f aca="false">'Annual Summary'!C43</f>
        <v>-3026009.73828545</v>
      </c>
      <c r="D72" s="97" t="n">
        <f aca="false">'Annual Summary'!E43</f>
        <v>-6291349.90843544</v>
      </c>
      <c r="E72" s="97" t="n">
        <f aca="false">'Annual Summary'!G43</f>
        <v>-9318255.6618795</v>
      </c>
      <c r="F72" s="97" t="n">
        <f aca="false">'Annual Summary'!I43</f>
        <v>-10961722.3239608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-411381.89</v>
      </c>
      <c r="C100" s="81" t="n">
        <f aca="false">'Annual Summary'!C43</f>
        <v>-3026009.73828545</v>
      </c>
      <c r="D100" s="81" t="n">
        <f aca="false">'Annual Summary'!D43</f>
        <v>-4514373.94578545</v>
      </c>
      <c r="E100" s="81" t="n">
        <f aca="false">'Annual Summary'!E43</f>
        <v>-6291349.90843544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-210085.821376667</v>
      </c>
      <c r="C101" s="81" t="n">
        <f aca="false">'Annual Summary'!C15*0.05</f>
        <v>-371122.555285</v>
      </c>
      <c r="D101" s="81" t="n">
        <f aca="false">'Annual Summary'!D15*0.05</f>
        <v>-317058.1659757</v>
      </c>
      <c r="E101" s="81" t="n">
        <f aca="false">'Annual Summary'!E15*0.05</f>
        <v>-251517.134755214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-621467.711376667</v>
      </c>
      <c r="C102" s="81" t="n">
        <f aca="false">C100+C101</f>
        <v>-3397132.29357045</v>
      </c>
      <c r="D102" s="81" t="n">
        <f aca="false">D100+D101</f>
        <v>-4831432.11176115</v>
      </c>
      <c r="E102" s="81" t="n">
        <f aca="false">E100+E101</f>
        <v>-6542867.04319066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-621467.711376667</v>
      </c>
      <c r="C103" s="69" t="n">
        <f aca="false">C102-C99</f>
        <v>-3397132.29357045</v>
      </c>
      <c r="D103" s="69" t="n">
        <f aca="false">D102-D99</f>
        <v>-4831432.11176115</v>
      </c>
      <c r="E103" s="69" t="n">
        <f aca="false">E102-E99</f>
        <v>-6542867.04319066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19" t="n">
        <v>194932</v>
      </c>
      <c r="O2" s="119" t="n">
        <f aca="false">B2*Assumptions!$B$11</f>
        <v>259186.899350649</v>
      </c>
      <c r="P2" s="119" t="n">
        <v>46323</v>
      </c>
      <c r="Q2" s="119" t="n">
        <f aca="false">N2+O2+P2</f>
        <v>500441.899350649</v>
      </c>
      <c r="R2" s="119" t="n">
        <f aca="false">Q2*0.05</f>
        <v>25022.0949675325</v>
      </c>
      <c r="S2" s="101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19" t="n">
        <v>888067</v>
      </c>
      <c r="O3" s="119" t="n">
        <f aca="false">B3*Assumptions!$B$11</f>
        <v>973155.779220779</v>
      </c>
      <c r="P3" s="119" t="n">
        <v>176626</v>
      </c>
      <c r="Q3" s="119" t="n">
        <f aca="false">N3+O3+P3</f>
        <v>2037848.77922078</v>
      </c>
      <c r="R3" s="119" t="n">
        <f aca="false">Q3*0.05</f>
        <v>101892.438961039</v>
      </c>
      <c r="S3" s="101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19" t="n">
        <f aca="false">B4*Assumptions!$B$10</f>
        <v>568499.26948052</v>
      </c>
      <c r="O4" s="119" t="n">
        <f aca="false">B4*Assumptions!$B$11</f>
        <v>568499.26948052</v>
      </c>
      <c r="P4" s="119" t="n">
        <f aca="false">B4*Assumptions!$B$12</f>
        <v>189499.756493507</v>
      </c>
      <c r="Q4" s="119" t="n">
        <f aca="false">N4+O4+P4</f>
        <v>1326498.29545455</v>
      </c>
      <c r="R4" s="119" t="n">
        <f aca="false">Q4*0.05</f>
        <v>66324.9147727273</v>
      </c>
      <c r="S4" s="101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19" t="n">
        <f aca="false">B5*Assumptions!$B$10</f>
        <v>657103.928571429</v>
      </c>
      <c r="O5" s="119" t="n">
        <f aca="false">B5*Assumptions!$B$11</f>
        <v>657103.928571429</v>
      </c>
      <c r="P5" s="119" t="n">
        <f aca="false">B5*Assumptions!$B$12</f>
        <v>219034.642857143</v>
      </c>
      <c r="Q5" s="119" t="n">
        <f aca="false">N5+O5+P5</f>
        <v>1533242.5</v>
      </c>
      <c r="R5" s="119" t="n">
        <f aca="false">Q5*0.05</f>
        <v>76662.125</v>
      </c>
      <c r="S5" s="101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19" t="n">
        <v>245000</v>
      </c>
      <c r="O6" s="119" t="n">
        <f aca="false">B6*Assumptions!$B$11</f>
        <v>197374.042207792</v>
      </c>
      <c r="P6" s="119" t="n">
        <v>0</v>
      </c>
      <c r="Q6" s="119" t="n">
        <f aca="false">N6+O6+P6</f>
        <v>442374.042207792</v>
      </c>
      <c r="R6" s="119" t="n">
        <f aca="false">Q6*0.05</f>
        <v>22118.7021103896</v>
      </c>
      <c r="S6" s="101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19" t="n">
        <f aca="false">B7*Assumptions!$B$10</f>
        <v>2092619.22077922</v>
      </c>
      <c r="O7" s="119" t="n">
        <f aca="false">B7*Assumptions!$B$11</f>
        <v>2092619.22077922</v>
      </c>
      <c r="P7" s="119" t="n">
        <f aca="false">B7*Assumptions!$B$12</f>
        <v>697539.74025974</v>
      </c>
      <c r="Q7" s="119" t="n">
        <f aca="false">N7+O7+P7</f>
        <v>4882778.18181818</v>
      </c>
      <c r="R7" s="119" t="n">
        <f aca="false">Q7*0.05</f>
        <v>244138.909090909</v>
      </c>
      <c r="S7" s="101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19" t="n">
        <f aca="false">B8*Assumptions!$B$10</f>
        <v>663592.792207792</v>
      </c>
      <c r="O8" s="119" t="n">
        <f aca="false">B8*Assumptions!$B$11</f>
        <v>663592.792207792</v>
      </c>
      <c r="P8" s="119" t="n">
        <f aca="false">B8*Assumptions!$B$12</f>
        <v>221197.597402597</v>
      </c>
      <c r="Q8" s="119" t="n">
        <f aca="false">N8+O8+P8</f>
        <v>1548383.18181818</v>
      </c>
      <c r="R8" s="119" t="n">
        <f aca="false">Q8*0.05</f>
        <v>77419.1590909091</v>
      </c>
      <c r="S8" s="101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19" t="n">
        <f aca="false">B9*Assumptions!$B$10</f>
        <v>771666.37987013</v>
      </c>
      <c r="O9" s="119" t="n">
        <f aca="false">B9*Assumptions!$B$11</f>
        <v>771666.37987013</v>
      </c>
      <c r="P9" s="119" t="n">
        <f aca="false">B9*Assumptions!$B$12</f>
        <v>257222.126623377</v>
      </c>
      <c r="Q9" s="119" t="n">
        <f aca="false">N9+O9+P9</f>
        <v>1800554.88636364</v>
      </c>
      <c r="R9" s="119" t="n">
        <f aca="false">Q9*0.05</f>
        <v>90027.7443181818</v>
      </c>
      <c r="S9" s="101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19" t="n">
        <f aca="false">B10*Assumptions!$B$10</f>
        <v>1035555.43831169</v>
      </c>
      <c r="O10" s="119" t="n">
        <f aca="false">B10*Assumptions!$B$11</f>
        <v>1035555.43831169</v>
      </c>
      <c r="P10" s="119" t="n">
        <f aca="false">B10*Assumptions!$B$12</f>
        <v>345185.146103896</v>
      </c>
      <c r="Q10" s="119" t="n">
        <f aca="false">N10+O10+P10</f>
        <v>2416296.02272727</v>
      </c>
      <c r="R10" s="119" t="n">
        <f aca="false">Q10*0.05</f>
        <v>120814.801136364</v>
      </c>
      <c r="S10" s="101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283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19" t="n">
        <f aca="false">B11*Assumptions!$B$10</f>
        <v>466417.646103896</v>
      </c>
      <c r="O11" s="119" t="n">
        <f aca="false">B11*Assumptions!$B$11</f>
        <v>466417.646103896</v>
      </c>
      <c r="P11" s="119" t="n">
        <f aca="false">B11*Assumptions!$B$12</f>
        <v>155472.548701299</v>
      </c>
      <c r="Q11" s="119" t="n">
        <f aca="false">N11+O11+P11</f>
        <v>1088307.84090909</v>
      </c>
      <c r="R11" s="119" t="n">
        <f aca="false">Q11*0.05</f>
        <v>54415.3920454545</v>
      </c>
      <c r="S11" s="101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283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19" t="n">
        <f aca="false">B12*Assumptions!$B$10</f>
        <v>367461.185064935</v>
      </c>
      <c r="O12" s="119" t="n">
        <f aca="false">B12*Assumptions!$B$11</f>
        <v>367461.185064935</v>
      </c>
      <c r="P12" s="119" t="n">
        <f aca="false">B12*Assumptions!$B$12</f>
        <v>122487.061688312</v>
      </c>
      <c r="Q12" s="119" t="n">
        <f aca="false">N12+O12+P12</f>
        <v>857409.431818182</v>
      </c>
      <c r="R12" s="119" t="n">
        <f aca="false">Q12*0.05</f>
        <v>42870.4715909091</v>
      </c>
      <c r="S12" s="101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19" t="n">
        <f aca="false">B13*Assumptions!$B$10</f>
        <v>2204550.48701299</v>
      </c>
      <c r="O13" s="119" t="n">
        <f aca="false">B13*Assumptions!$B$11</f>
        <v>2204550.48701299</v>
      </c>
      <c r="P13" s="119" t="n">
        <f aca="false">B13*Assumptions!$B$12</f>
        <v>734850.162337662</v>
      </c>
      <c r="Q13" s="119" t="n">
        <f aca="false">N13+O13+P13</f>
        <v>5143951.13636364</v>
      </c>
      <c r="R13" s="119" t="n">
        <f aca="false">Q13*0.05</f>
        <v>257197.556818182</v>
      </c>
      <c r="S13" s="101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19" t="n">
        <f aca="false">B14*Assumptions!$B$10</f>
        <v>2014024.28571429</v>
      </c>
      <c r="O14" s="119" t="n">
        <f aca="false">B14*Assumptions!$B$11</f>
        <v>2014024.28571429</v>
      </c>
      <c r="P14" s="119" t="n">
        <f aca="false">B14*Assumptions!$B$12</f>
        <v>671341.428571429</v>
      </c>
      <c r="Q14" s="119" t="n">
        <f aca="false">N14+O14+P14</f>
        <v>4699390</v>
      </c>
      <c r="R14" s="119" t="n">
        <f aca="false">Q14*0.05</f>
        <v>234969.5</v>
      </c>
      <c r="S14" s="101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283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19" t="n">
        <f aca="false">B15*Assumptions!$B$10</f>
        <v>739283.571428571</v>
      </c>
      <c r="O15" s="119" t="n">
        <f aca="false">B15*Assumptions!$B$11</f>
        <v>739283.571428571</v>
      </c>
      <c r="P15" s="119" t="n">
        <f aca="false">B15*Assumptions!$B$12</f>
        <v>246427.857142857</v>
      </c>
      <c r="Q15" s="119" t="n">
        <f aca="false">N15+O15+P15</f>
        <v>1724995</v>
      </c>
      <c r="R15" s="119" t="n">
        <f aca="false">Q15*0.05</f>
        <v>86249.75</v>
      </c>
      <c r="S15" s="101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283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19" t="n">
        <f aca="false">B16*Assumptions!$B$10</f>
        <v>739283.571428571</v>
      </c>
      <c r="O16" s="119" t="n">
        <f aca="false">B16*Assumptions!$B$11</f>
        <v>739283.571428571</v>
      </c>
      <c r="P16" s="119" t="n">
        <f aca="false">B16*Assumptions!$B$12</f>
        <v>246427.857142857</v>
      </c>
      <c r="Q16" s="119" t="n">
        <f aca="false">N16+O16+P16</f>
        <v>1724995</v>
      </c>
      <c r="R16" s="119" t="n">
        <f aca="false">Q16*0.05</f>
        <v>86249.75</v>
      </c>
      <c r="S16" s="101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4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5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No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